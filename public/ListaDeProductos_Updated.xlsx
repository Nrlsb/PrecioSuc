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640" windowHeight="11040" activeTab="2"/>
  </bookViews>
  <sheets>
    <sheet sheetId="1" name="SB1" state="visible" r:id="rId4"/>
    <sheet sheetId="2" name="001" state="visible" r:id="rId5"/>
    <sheet sheetId="4" name="DA1" state="visible" r:id="rId6"/>
    <sheet sheetId="3" name="ListaCorte" state="visible" r:id="rId7"/>
  </sheets>
  <definedNames>
    <definedName name="_xlnm._FilterDatabase">001!$A$1:$H$4628</definedName>
  </definedNames>
  <calcPr calcId="171027"/>
</workbook>
</file>

<file path=xl/sharedStrings.xml><?xml version="1.0" encoding="utf-8"?>
<sst xmlns="http://schemas.openxmlformats.org/spreadsheetml/2006/main" count="35536" uniqueCount="14514">
  <si>
    <t xml:space="preserve">Codigo      </t>
  </si>
  <si>
    <t xml:space="preserve">Descripcion </t>
  </si>
  <si>
    <t xml:space="preserve">TS Estandar </t>
  </si>
  <si>
    <t>000001</t>
  </si>
  <si>
    <t>MERCADERIA SALDOS</t>
  </si>
  <si>
    <t>503</t>
  </si>
  <si>
    <t>000002</t>
  </si>
  <si>
    <t>CINTA PELIGRO X 100 MTS DOBLE FAZ(CP100)</t>
  </si>
  <si>
    <t>000003</t>
  </si>
  <si>
    <t>CINTA PELIGRO X 200 MTS DOBLE FAZ(CP200)</t>
  </si>
  <si>
    <t>000004</t>
  </si>
  <si>
    <t>PISTOLA APLICADORA SKELETOR REFORZADA</t>
  </si>
  <si>
    <t>000005</t>
  </si>
  <si>
    <t>PORTA PINCEL MAGNETICO</t>
  </si>
  <si>
    <t>000006</t>
  </si>
  <si>
    <t>COBERTURA PLASTICA MULTIUSO 3X3MTS.(AC315)</t>
  </si>
  <si>
    <t>000007</t>
  </si>
  <si>
    <t>COBERTURA PLASTICA MULTIUSO 3X4MTS.(AC316)</t>
  </si>
  <si>
    <t>000008</t>
  </si>
  <si>
    <t>COBERTURA PLASTICA MULTIUSO 3X5MTS.(AC317)</t>
  </si>
  <si>
    <t>000009</t>
  </si>
  <si>
    <t>FONDO ANTIOXIDO COLORIN ROJO X  0,250</t>
  </si>
  <si>
    <t>000010</t>
  </si>
  <si>
    <t>ESMALTE SINTETICO TERSUAVE 2EN1 MATE NEGRO X  0,500</t>
  </si>
  <si>
    <t>000011</t>
  </si>
  <si>
    <t>ESMALTE SINTETICO TERSUAVE 2EN1 MATE NEGRO X  1</t>
  </si>
  <si>
    <t>000012</t>
  </si>
  <si>
    <t>ESMALTE SINTETICO TERSUAVE 2EN1 MATE NEGRO X  4</t>
  </si>
  <si>
    <t>000013</t>
  </si>
  <si>
    <t>ESMALTE SINTETICO TERSUAVE 2EN1 MATE BLANCO X  0,500</t>
  </si>
  <si>
    <t>000014</t>
  </si>
  <si>
    <t>ESMALTE SINTETICO TERSUAVE 2EN1 MATE BLANCO X  1</t>
  </si>
  <si>
    <t>000015</t>
  </si>
  <si>
    <t>ESMALTE SINTETICO TERSUAVE 2EN1 MATE BLANCO X  4</t>
  </si>
  <si>
    <t>000016</t>
  </si>
  <si>
    <t>FONDO ANTIOXIDO COLORIN ROJO X  0,500</t>
  </si>
  <si>
    <t>000017</t>
  </si>
  <si>
    <t>FONDO ANTIOXIDO COLORIN ROJO X  1</t>
  </si>
  <si>
    <t>000018</t>
  </si>
  <si>
    <t>FONDO ANTIOXIDO COLORIN ROJO X  4</t>
  </si>
  <si>
    <t>000019</t>
  </si>
  <si>
    <t>FONDO ANTIOXIDO COLORIN ROJO X 20</t>
  </si>
  <si>
    <t>000020</t>
  </si>
  <si>
    <t>FONDO PARA MADERA COLORIN BLANCO X  0,500</t>
  </si>
  <si>
    <t>000021</t>
  </si>
  <si>
    <t>FONDO PARA MADERA COLORIN BLANCO X  1</t>
  </si>
  <si>
    <t>000022</t>
  </si>
  <si>
    <t>FONDO PARA MADERA COLORIN BLANCO X  4</t>
  </si>
  <si>
    <t>000023</t>
  </si>
  <si>
    <t>FONDO PARA MADERA COLORIN BLANCO X 20</t>
  </si>
  <si>
    <t>000024</t>
  </si>
  <si>
    <t>AUTOPOLISH COLORIN AUTOCERA X 0,450</t>
  </si>
  <si>
    <t>000025</t>
  </si>
  <si>
    <t>AUTOPOLISH COLORIN BICAPA X 0,450</t>
  </si>
  <si>
    <t>000026</t>
  </si>
  <si>
    <t>BARNIZ PARA MADERA EXTERIOR ALBATROS AL AGUA BRILLANTE INCOLORO X 1</t>
  </si>
  <si>
    <t>000027</t>
  </si>
  <si>
    <t>BARNIZ PARA MADERA EXTERIOR ALBATROS AL AGUA BRILLANTE INCOLORO X 4</t>
  </si>
  <si>
    <t>000028</t>
  </si>
  <si>
    <t>REMOVEDOR GEL PETRILAC X 4</t>
  </si>
  <si>
    <t>000029</t>
  </si>
  <si>
    <t>LATEX INTERIOR COLORIN ACRYLATEX MATE BLANCO X  1</t>
  </si>
  <si>
    <t>000030</t>
  </si>
  <si>
    <t>LATEX INTERIOR COLORIN ACRYLATEX MATE BLANCO X  4</t>
  </si>
  <si>
    <t>000031</t>
  </si>
  <si>
    <t>LATEX INTERIOR COLORIN ACRYLATEX MATE BLANCO X 20</t>
  </si>
  <si>
    <t>000032</t>
  </si>
  <si>
    <t>LATEX PARA CIELORRASOS COLORIN MATE BLANCO X  1</t>
  </si>
  <si>
    <t>000033</t>
  </si>
  <si>
    <t>LATEX PARA CIELORRASOS COLORIN MATE BLANCO X  4</t>
  </si>
  <si>
    <t>000034</t>
  </si>
  <si>
    <t>LATEX PARA CIELORRASOS COLORIN MATE BLANCO X 20</t>
  </si>
  <si>
    <t>000035</t>
  </si>
  <si>
    <t>ENDUIDO INTERIOR COLORIN SUPER LIVIANO X 10</t>
  </si>
  <si>
    <t>000036</t>
  </si>
  <si>
    <t>ENDUIDO INTERIOR COLORIN SUPER LIVIANO X  1</t>
  </si>
  <si>
    <t>000037</t>
  </si>
  <si>
    <t>ENDUIDO INTERIOR COLORIN SUPER LIVIANO X  4</t>
  </si>
  <si>
    <t>000038</t>
  </si>
  <si>
    <t>ENDUIDO EXTERIOR COLORIN X  1</t>
  </si>
  <si>
    <t>000039</t>
  </si>
  <si>
    <t>ENDUIDO EXTERIOR COLORIN X  4</t>
  </si>
  <si>
    <t>000040</t>
  </si>
  <si>
    <t>BARNIZ PARA MADERA INTERIOR CRISTALBA PU MATE NATURAL X 0,500</t>
  </si>
  <si>
    <t>000041</t>
  </si>
  <si>
    <t>BARNIZ PARA MADERA INTERIOR CRISTALBA PU MATE NATURAL X 1</t>
  </si>
  <si>
    <t>000042</t>
  </si>
  <si>
    <t>BARNIZ PARA MADERA INTERIOR CRISTALBA PU MATE NATURAL X 4</t>
  </si>
  <si>
    <t>000043</t>
  </si>
  <si>
    <t>MEZCLADOR PROFESIONAL(MIXER) Ø8CMX40CM</t>
  </si>
  <si>
    <t>000044</t>
  </si>
  <si>
    <t>PALETA ABRELATA 30CM</t>
  </si>
  <si>
    <t>000045</t>
  </si>
  <si>
    <t>COMPL.NITRO COLORIN X 0,125</t>
  </si>
  <si>
    <t>000046</t>
  </si>
  <si>
    <t>JUEGO DE LAMINAS DE MASILLAR (5-8-10-12)</t>
  </si>
  <si>
    <t>000047</t>
  </si>
  <si>
    <t>LATEX EXTERIOR COLORIN TITANIO PRO BLANCO X  4</t>
  </si>
  <si>
    <t>000048</t>
  </si>
  <si>
    <t>BARNIZ MATE COLORIN X 0,900</t>
  </si>
  <si>
    <t>000049</t>
  </si>
  <si>
    <t>BARNIZ MATE COLORIN X 3,600</t>
  </si>
  <si>
    <t>000050</t>
  </si>
  <si>
    <t>TRINCHETA-CUTTER PRO GUIA METAL USO PESADO</t>
  </si>
  <si>
    <t>000051</t>
  </si>
  <si>
    <t>GUANTE NITRILO SOFT NEGRO S/P #XL MEDIGLOVE X 100</t>
  </si>
  <si>
    <t>000052</t>
  </si>
  <si>
    <t>BALDE PLASTICO REFORZADO 8LTS. (BC01)</t>
  </si>
  <si>
    <t>000053</t>
  </si>
  <si>
    <t>PINTURA PARA PILETA COLORIN AL AGUA NATACION BLANCO X  4</t>
  </si>
  <si>
    <t>000054</t>
  </si>
  <si>
    <t>BASE ACRILICA-UNIVERSAL MMB X 0,875</t>
  </si>
  <si>
    <t>000055</t>
  </si>
  <si>
    <t>BASE ACRILICA-UNIVERSAL MMB X 3,500</t>
  </si>
  <si>
    <t>000056</t>
  </si>
  <si>
    <t>PINTURA PARA PILETA COLORIN AL AGUA NATACION AZUL X  4</t>
  </si>
  <si>
    <t>000057</t>
  </si>
  <si>
    <t>FONDO ANTIOXIDO UNIVERSAL MMB X 1</t>
  </si>
  <si>
    <t>000058</t>
  </si>
  <si>
    <t>FONDO ANTIOXIDO UNIVERSAL MMB X 4</t>
  </si>
  <si>
    <t>000059</t>
  </si>
  <si>
    <t>MASILLA UNIVERSAL MMB X 1</t>
  </si>
  <si>
    <t>000060</t>
  </si>
  <si>
    <t>MASILLA UNIVERSAL MMB X 4</t>
  </si>
  <si>
    <t>000061</t>
  </si>
  <si>
    <t>PINTURA PARA PILETA COLORIN AL AGUA NATACION BLANCO X 20</t>
  </si>
  <si>
    <t>000062</t>
  </si>
  <si>
    <t>PINTURA PARA PILETA COLORIN AL AGUA NATACION AZUL X 20</t>
  </si>
  <si>
    <t>000063</t>
  </si>
  <si>
    <t>ESMALTE ANTICORROSIVO FERROXIN HIERRO ANTIGUO X 1</t>
  </si>
  <si>
    <t>000064</t>
  </si>
  <si>
    <t>ESMALTE ANTICORROSIVO FERROXIN HIERRO ANTIGUO X 4</t>
  </si>
  <si>
    <t>000065</t>
  </si>
  <si>
    <t>LATEX EXTERIOR COLORIN TITANIO PRO BLANCO X 10</t>
  </si>
  <si>
    <t>000066</t>
  </si>
  <si>
    <t>LATEX EXTERIOR COLORIN TITANIO PRO BLANCO X 20</t>
  </si>
  <si>
    <t>000067</t>
  </si>
  <si>
    <t>PROTECTOR PARA MADERA CETOL BELLEZA NATURAL MATE INCOLORO X 1</t>
  </si>
  <si>
    <t>000068</t>
  </si>
  <si>
    <t>PROTECTOR PARA MADERA CETOL BELLEZA NATURAL MATE INCOLORO X 4</t>
  </si>
  <si>
    <t>000069</t>
  </si>
  <si>
    <t>KIT ESPATULAS PLASTICAS LH X3</t>
  </si>
  <si>
    <t>000070</t>
  </si>
  <si>
    <t>ATLANTICO D.FILTRO SOLAR X 0,500</t>
  </si>
  <si>
    <t>000071</t>
  </si>
  <si>
    <t>CUCHARA WELBY N 7 (CU02)</t>
  </si>
  <si>
    <t>000072</t>
  </si>
  <si>
    <t>ESMALTE SINTETICO TERSUAVE 2EN1 MATE NEGRO X 20</t>
  </si>
  <si>
    <t>000073</t>
  </si>
  <si>
    <t>D8501 PRIMER 2K DP4000 BLANCO AUTONIVELANTE (G1) X 1</t>
  </si>
  <si>
    <t>000074</t>
  </si>
  <si>
    <t>D8507 PRIMER 2K DP4000 GRIS  AUTONIVELANTE (G7) X 1</t>
  </si>
  <si>
    <t>000075</t>
  </si>
  <si>
    <t>D8238 CATALIZADOR P/ D8115 / D8117 / D8501/D8507 (DP4000) X 0,500 "DISCONTINUADO"</t>
  </si>
  <si>
    <t>000076</t>
  </si>
  <si>
    <t>LACA PARA PISO FORESTA HIDRO PARQUET BRILLANTE X 1</t>
  </si>
  <si>
    <t>000077</t>
  </si>
  <si>
    <t>LACA PARA PISO FORESTA HIDRO PARQUET BRILLANTE X 4</t>
  </si>
  <si>
    <t>000078</t>
  </si>
  <si>
    <t>LATEX PARA CIELORRASOS COLORIN MATE BLANCO X 10</t>
  </si>
  <si>
    <t>000079</t>
  </si>
  <si>
    <t>COMPL.ACRIL.COLORIN G1 X 0,125</t>
  </si>
  <si>
    <t>000080</t>
  </si>
  <si>
    <t>FIJADOR PARA PARED COLORIN AL AGUA X  1</t>
  </si>
  <si>
    <t>000081</t>
  </si>
  <si>
    <t>FIJADOR PARA PARED COLORIN AL AGUA X  4</t>
  </si>
  <si>
    <t>000082</t>
  </si>
  <si>
    <t>ENDUIDO INTERIOR COLORIN SUPER LIVIANO X 20</t>
  </si>
  <si>
    <t>000083</t>
  </si>
  <si>
    <t>PROTECTOR SUBCARROCERIA MMB ACUOSA NEGRO X 1</t>
  </si>
  <si>
    <t>000084</t>
  </si>
  <si>
    <t>PROTECTOR SUBCARROCERIA MMB ACUOSA BLANCO X 1</t>
  </si>
  <si>
    <t>000085</t>
  </si>
  <si>
    <t>MAGIPLAST ANTI-HONGO X 0,200</t>
  </si>
  <si>
    <t>000086</t>
  </si>
  <si>
    <t>PASTA PULIR MMB FINA X 0,500</t>
  </si>
  <si>
    <t>000087</t>
  </si>
  <si>
    <t>AUTOPOLISH COLORIN CLASICO X 0,450</t>
  </si>
  <si>
    <t>000088</t>
  </si>
  <si>
    <t>REMOVEDOR GEL PETRILAC X 1</t>
  </si>
  <si>
    <t>000089</t>
  </si>
  <si>
    <t>ESMALTE SINTETICO TERSUAVE 2EN1 MATE NEGRO X  0,250</t>
  </si>
  <si>
    <t>000090</t>
  </si>
  <si>
    <t>TEXTURANTE MARTILLADO X 0,002</t>
  </si>
  <si>
    <t>000091</t>
  </si>
  <si>
    <t>FIJADOR PARA PARED COLORIN AL AGUA X 10</t>
  </si>
  <si>
    <t>000092</t>
  </si>
  <si>
    <t>LACA PARA PISO FORESTA HIDRO PARQUET SATINADA X 1</t>
  </si>
  <si>
    <t>000093</t>
  </si>
  <si>
    <t>LACA PARA PISO FORESTA HIDRO PARQUET SATINADA X 4</t>
  </si>
  <si>
    <t>000094</t>
  </si>
  <si>
    <t>COMPL.ACRIL.COLORIN G2 X 0,125</t>
  </si>
  <si>
    <t>000095</t>
  </si>
  <si>
    <t>COMPL.ACRIL.COLORIN G3 X 0,125</t>
  </si>
  <si>
    <t>000096</t>
  </si>
  <si>
    <t>REVIVIDOR PARA MADERA CETOL RELUCE ULTRA X 0,500</t>
  </si>
  <si>
    <t>000097</t>
  </si>
  <si>
    <t>FIJADOR PARA PARED ALBA AL AGUARRAS X 20</t>
  </si>
  <si>
    <t>000098</t>
  </si>
  <si>
    <t>PROTECTOR SUBCARROCERIAS ACUOSA TERSUAVE NEGRO X 1</t>
  </si>
  <si>
    <t>000100</t>
  </si>
  <si>
    <t>IMPERMEABILIZANTE PARA FRENTES Y MUROS ALBAFRENT MATE BLANCO X 10</t>
  </si>
  <si>
    <t>000101</t>
  </si>
  <si>
    <t>DESOXIDANTE COLORIN X 1</t>
  </si>
  <si>
    <t>000102</t>
  </si>
  <si>
    <t>PROMOTOR ADHESION PARA PLASTICO MMB X 1</t>
  </si>
  <si>
    <t>000103</t>
  </si>
  <si>
    <t>LLANA DENTADA SANTA JUANA 30 4X4</t>
  </si>
  <si>
    <t>000104</t>
  </si>
  <si>
    <t>LATEX INTERIOR COLORIN ACRYLATEX MATE BLANCO X 10</t>
  </si>
  <si>
    <t>000105</t>
  </si>
  <si>
    <t>ESMALTE PARA AZULEJOS ALBA AL AGUA BRILLANTE X 0,900</t>
  </si>
  <si>
    <t>000106</t>
  </si>
  <si>
    <t>ESMALTE PARA AZULEJOS ALBA AL AGUA BRILLANTE X 3,600</t>
  </si>
  <si>
    <t>000107</t>
  </si>
  <si>
    <t>FERRO BET CLASSIC BTE.BLANCO X 0,250</t>
  </si>
  <si>
    <t>000108</t>
  </si>
  <si>
    <t>CUCHARA WELBY CUCHARIN N 5 1/2 (CU08)</t>
  </si>
  <si>
    <t>000109</t>
  </si>
  <si>
    <t>FIJADOR PARA PARED COLORIN AL AGUA X 20</t>
  </si>
  <si>
    <t>000110</t>
  </si>
  <si>
    <t>LATEX INTERIOR ALBALATEX MATE BLANCO X  1</t>
  </si>
  <si>
    <t>000111</t>
  </si>
  <si>
    <t>LATEX INTERIOR ALBALATEX MATE BLANCO X  4</t>
  </si>
  <si>
    <t>000112</t>
  </si>
  <si>
    <t>FRATACHO PLASTICO 30CM CON GOMA ESPUMA (FR08)</t>
  </si>
  <si>
    <t>000113</t>
  </si>
  <si>
    <t>LATEX INTERIOR ALBALATEX MATE BLANCO X 20</t>
  </si>
  <si>
    <t>000114</t>
  </si>
  <si>
    <t>LATEX INTERIOR ALBALATEX DESIGN SATINADO BLANCO X  1</t>
  </si>
  <si>
    <t>000115</t>
  </si>
  <si>
    <t>LATEX INTERIOR ALBALATEX DESIGN SATINADO BLANCO X  4</t>
  </si>
  <si>
    <t>000116</t>
  </si>
  <si>
    <t>LATEX INTERIOR ALBALATEX DESIGN SATINADO BLANCO X 10</t>
  </si>
  <si>
    <t>000117</t>
  </si>
  <si>
    <t>LATEX INTERIOR ALBALATEX DESIGN SATINADO BLANCO X 20</t>
  </si>
  <si>
    <t>000118</t>
  </si>
  <si>
    <t>LATEX PARA CIELORRASOS ALBA MATE BLANCO X  1</t>
  </si>
  <si>
    <t>000119</t>
  </si>
  <si>
    <t>LATEX PARA CIELORRASOS ALBA MATE BLANCO X  4</t>
  </si>
  <si>
    <t>000120</t>
  </si>
  <si>
    <t>FRATACHO DE PINO 30CM (FR11)</t>
  </si>
  <si>
    <t>000121</t>
  </si>
  <si>
    <t>LATEX PARA CIELORRASOS ALBA MATE BLANCO X 20</t>
  </si>
  <si>
    <t>000122</t>
  </si>
  <si>
    <t>MART.HAMMERITE GRIS X 0,225</t>
  </si>
  <si>
    <t>000123</t>
  </si>
  <si>
    <t>AEROSOL RUST-OLEUM IMPRIMANTE PLASTICO PRIMER BLANCO X 0,340 (249323)</t>
  </si>
  <si>
    <t>000124</t>
  </si>
  <si>
    <t>AEROSOL RUST-OLEUM IMPRIMANTE PLASTICO PRIMER GRIS X 0,340 (252472/371258)</t>
  </si>
  <si>
    <t>000125</t>
  </si>
  <si>
    <t>CARDENAL LATEX P/EXTERIOR X 4</t>
  </si>
  <si>
    <t>000126</t>
  </si>
  <si>
    <t>ESMALTE SINTETICO COLORIN SATINE SATINADO BLANCO X 0,500</t>
  </si>
  <si>
    <t>000127</t>
  </si>
  <si>
    <t>EXTENSOR TELESCOPICO 4 (2,50-4,80)</t>
  </si>
  <si>
    <t>000128</t>
  </si>
  <si>
    <t>LACA PARA PISO PETRILAC PLASTILAC X 1</t>
  </si>
  <si>
    <t>000129</t>
  </si>
  <si>
    <t>LACA PARA PISO PETRILAC PLASTILAC X 4</t>
  </si>
  <si>
    <t>000130</t>
  </si>
  <si>
    <t>ESMALTE SINTETICO TERSUAVE 2EN1 MATE BLANCO X  0,250</t>
  </si>
  <si>
    <t>000131</t>
  </si>
  <si>
    <t>ESMALTE SINTETICO TERSUAVE 2EN1 MATE BLANCO X 20</t>
  </si>
  <si>
    <t>000132</t>
  </si>
  <si>
    <t>LATEX PARA CIELORRASOS ALBA MATE BLANCO X 10</t>
  </si>
  <si>
    <t>000133</t>
  </si>
  <si>
    <t>ENTONADOR UNIVERSAL TONALBA 001 AMARILLO X 0,030</t>
  </si>
  <si>
    <t>000134</t>
  </si>
  <si>
    <t>ENTONADOR UNIVERSAL TONALBA 002 BERMELLON X 0,030</t>
  </si>
  <si>
    <t>000135</t>
  </si>
  <si>
    <t>ENTONADOR UNIVERSAL TONALBA 003 OCRE X 0,030</t>
  </si>
  <si>
    <t>000136</t>
  </si>
  <si>
    <t>ENTONADOR UNIVERSAL TONALBA 004 VERDE CLARO X 0,030</t>
  </si>
  <si>
    <t>000137</t>
  </si>
  <si>
    <t>ENTONADOR UNIVERSAL TONALBA 005 VERDE OSCURO X 0,030</t>
  </si>
  <si>
    <t>000138</t>
  </si>
  <si>
    <t>ENTONADOR UNIVERSAL TONALBA 006 AZUL X 0,030</t>
  </si>
  <si>
    <t>000139</t>
  </si>
  <si>
    <t>ENTONADOR UNIVERSAL TONALBA 007 CEDRO X 0,030</t>
  </si>
  <si>
    <t>000140</t>
  </si>
  <si>
    <t>ENTONADOR UNIVERSAL TONALBA 008 SIENA X 0,030</t>
  </si>
  <si>
    <t>000141</t>
  </si>
  <si>
    <t>ENTONADOR UNIVERSAL TONALBA 009 NEGRO X 0,030</t>
  </si>
  <si>
    <t>000142</t>
  </si>
  <si>
    <t>ENTONADOR UNIVERSAL TONALBA 010 NARANJA X 0,030</t>
  </si>
  <si>
    <t>000143</t>
  </si>
  <si>
    <t>ENTONADOR UNIVERSAL TONALBA 011 VIOLETA X 0,030</t>
  </si>
  <si>
    <t>000144</t>
  </si>
  <si>
    <t>ENTONADOR UNIVERSAL TONALBA 001 AMARILLO X 0,120</t>
  </si>
  <si>
    <t>000145</t>
  </si>
  <si>
    <t>ENTONADOR UNIVERSAL TONALBA 002 BERMELLON X 0,120</t>
  </si>
  <si>
    <t>000146</t>
  </si>
  <si>
    <t>ENTONADOR UNIVERSAL TONALBA 003 OCRE X 0,120</t>
  </si>
  <si>
    <t>000147</t>
  </si>
  <si>
    <t>ENTONADOR UNIVERSAL TONALBA 004 VERDE CLARO X 0,120</t>
  </si>
  <si>
    <t>000148</t>
  </si>
  <si>
    <t>ENTONADOR UNIVERSAL TONALBA 005 VERDE OSCURO X 0,120</t>
  </si>
  <si>
    <t>000149</t>
  </si>
  <si>
    <t>ENTONADOR UNIVERSAL TONALBA 006 AZUL X 0,120</t>
  </si>
  <si>
    <t>000150</t>
  </si>
  <si>
    <t>ENTONADOR UNIVERSAL TONALBA 007 CEDRO X 0,120</t>
  </si>
  <si>
    <t>000151</t>
  </si>
  <si>
    <t>ENTONADOR UNIVERSAL TONALBA 008 SIENA X 0,120</t>
  </si>
  <si>
    <t>000152</t>
  </si>
  <si>
    <t>ENTONADOR UNIVERSAL TONALBA 009 NEGRO X 0,120</t>
  </si>
  <si>
    <t>000153</t>
  </si>
  <si>
    <t>ENTONADOR UNIVERSAL TONALBA 010 NARANJA X 0,120</t>
  </si>
  <si>
    <t>000154</t>
  </si>
  <si>
    <t>ENTONADOR UNIVERSAL TONALBA 011 VIOLETA X 0,120</t>
  </si>
  <si>
    <t>000155</t>
  </si>
  <si>
    <t>EXTENSOR TELESCOPICO 1 (0,70-1,20)</t>
  </si>
  <si>
    <t>000156</t>
  </si>
  <si>
    <t>DILUYENTE DIELECTRICO DIXILINA X 18</t>
  </si>
  <si>
    <t>000157</t>
  </si>
  <si>
    <t>DILUYENTE DIELECTRICO DIXILINA X 200</t>
  </si>
  <si>
    <t>000158</t>
  </si>
  <si>
    <t>ESMALTE SINTETICO SATINOL SATINADO BLANCO X  1</t>
  </si>
  <si>
    <t>000159</t>
  </si>
  <si>
    <t>ESMALTE SINTETICO SATINOL SATINADO BLANCO X  4</t>
  </si>
  <si>
    <t>000160</t>
  </si>
  <si>
    <t>ESMALTE SINTETICO SATINOL SATINADO NEGRO X  0,500</t>
  </si>
  <si>
    <t>000161</t>
  </si>
  <si>
    <t>ESMALTE SINTETICO SATINOL SATINADO NEGRO X  1</t>
  </si>
  <si>
    <t>000162</t>
  </si>
  <si>
    <t>ESMALTE SINTETICO SATINOL SATINADO NEGRO X  4</t>
  </si>
  <si>
    <t>000163</t>
  </si>
  <si>
    <t>AEROSOL RUST-OLEUM PARA PARACHOQUES NEGRO MATE X 0,340 (251574/313551)</t>
  </si>
  <si>
    <t>000164</t>
  </si>
  <si>
    <t>PINTURA PARA PILETA ALBA AL AGUA MATE CELESTE X 10</t>
  </si>
  <si>
    <t>000165</t>
  </si>
  <si>
    <t>LATEX INTERIOR ALBALATEX MATE BLANCO X 10</t>
  </si>
  <si>
    <t>000166</t>
  </si>
  <si>
    <t>BARNIZ PARA MADERA INTERIOR CRISTALBA SATINADO NATURAL X 0,500</t>
  </si>
  <si>
    <t>000167</t>
  </si>
  <si>
    <t>BARNIZ PARA MADERA INTERIOR CRISTALBA PU SATINADO NATURAL X 1</t>
  </si>
  <si>
    <t>000168</t>
  </si>
  <si>
    <t>BARNIZ PARA MADERA INTERIOR CRISTALBA PU SATINADO NATURAL X 4</t>
  </si>
  <si>
    <t>000169</t>
  </si>
  <si>
    <t>ESMALTE SINTETICO ALBALUX BRILLANTE BLANCO X  0,250</t>
  </si>
  <si>
    <t>000170</t>
  </si>
  <si>
    <t>ESMALTE SINTETICO ALBALUX BRILLANTE BLANCO X  0,500</t>
  </si>
  <si>
    <t>000171</t>
  </si>
  <si>
    <t>ESMALTE SINTETICO ALBALUX BRILLANTE BLANCO X  1</t>
  </si>
  <si>
    <t>000172</t>
  </si>
  <si>
    <t>ESMALTE SINTETICO ALBALUX BRILLANTE BLANCO X  4</t>
  </si>
  <si>
    <t>000173</t>
  </si>
  <si>
    <t>ESMALTE SINTETICO ALBALUX BRILLANTE BLANCO X 20</t>
  </si>
  <si>
    <t>000174</t>
  </si>
  <si>
    <t>AEROSOL RUST-OLEUM TERMINACION MATE NEGRO X 0,340 (263422)</t>
  </si>
  <si>
    <t>000175</t>
  </si>
  <si>
    <t>MART.HAMMERITE VERDE OSC.X 2,400</t>
  </si>
  <si>
    <t>000176</t>
  </si>
  <si>
    <t>LATEX INTERIOR ALBA ANTIHONGO BANO/COCINA BLANCO X 1</t>
  </si>
  <si>
    <t>000177</t>
  </si>
  <si>
    <t>LATEX INTERIOR ALBA ANTIHONGO BANO/COCINA BLANCO X 4</t>
  </si>
  <si>
    <t>000178</t>
  </si>
  <si>
    <t>FIJADOR PARA PARED ALBA AL AGUARRAS X  1</t>
  </si>
  <si>
    <t>000179</t>
  </si>
  <si>
    <t>FIJADOR PARA PARED ALBA AL AGUARRAS X  4</t>
  </si>
  <si>
    <t>000180</t>
  </si>
  <si>
    <t>ENDUIDO INTERIOR ALBAPLAST X  1</t>
  </si>
  <si>
    <t>000181</t>
  </si>
  <si>
    <t>ENDUIDO INTERIOR ALBAPLAST X  4</t>
  </si>
  <si>
    <t>000182</t>
  </si>
  <si>
    <t>ENDUIDO EXTERIOR ALBA X  1</t>
  </si>
  <si>
    <t>000183</t>
  </si>
  <si>
    <t>ENDUIDO EXTERIOR ALBA X  4</t>
  </si>
  <si>
    <t>000184</t>
  </si>
  <si>
    <t>MART.HAMMERITE GRIS PLATA X 0,225</t>
  </si>
  <si>
    <t>000185</t>
  </si>
  <si>
    <t>AEROSOL RUST-OLEUM PARA PLASTICO BRILLANTE NEGRO X 0,340 (248649)</t>
  </si>
  <si>
    <t>000186</t>
  </si>
  <si>
    <t>AEROSOL RUST-OLEUM PARA PLASTICO BRILLANTE BLANCO X 0,340 (248650)</t>
  </si>
  <si>
    <t>000187</t>
  </si>
  <si>
    <t>MART.HAMMERITE NEGRO X 0,225</t>
  </si>
  <si>
    <t>000188</t>
  </si>
  <si>
    <t>MART.HAMMERITE NEGRO X 0,800</t>
  </si>
  <si>
    <t>000189</t>
  </si>
  <si>
    <t>AEROSOL RUST-OLEUM PARA PLASTICO BRILLANTE ROJO X 0,340 (248651)</t>
  </si>
  <si>
    <t>000190</t>
  </si>
  <si>
    <t>MART.HAMMERITE AZUL OSC.X 0,225</t>
  </si>
  <si>
    <t>000191</t>
  </si>
  <si>
    <t>MART.HAMMERITE AZUL OSC.X 0,800</t>
  </si>
  <si>
    <t>000192</t>
  </si>
  <si>
    <t>MART.HAMMERITE AZUL OSC.X 2,400</t>
  </si>
  <si>
    <t>000193</t>
  </si>
  <si>
    <t>FONDO PARA MADERA ALBA BLANCO X 20</t>
  </si>
  <si>
    <t>000194</t>
  </si>
  <si>
    <t>FRATACHO DE PINO 30CM CON FIELTRO (FR16)</t>
  </si>
  <si>
    <t>000195</t>
  </si>
  <si>
    <t>FONDO ANTIOXIDO ALBA ROJO X  0,500</t>
  </si>
  <si>
    <t>000196</t>
  </si>
  <si>
    <t>FONDO ANTIOXIDO ALBA ROJO X  1</t>
  </si>
  <si>
    <t>000197</t>
  </si>
  <si>
    <t>FONDO ANTIOXIDO ALBA ROJO X  4</t>
  </si>
  <si>
    <t>000198</t>
  </si>
  <si>
    <t>FONDO ANTIOXIDO ALBA ROJO X 20</t>
  </si>
  <si>
    <t>000199</t>
  </si>
  <si>
    <t>FONDO PARA MADERA ALBA BLANCO X  0,500</t>
  </si>
  <si>
    <t>000200</t>
  </si>
  <si>
    <t>FONDO PARA MADERA ALBA BLANCO X  1</t>
  </si>
  <si>
    <t>000201</t>
  </si>
  <si>
    <t>FONDO PARA MADERA ALBA BLANCO X  4</t>
  </si>
  <si>
    <t>000202</t>
  </si>
  <si>
    <t>TRAPO CAMISETA X 0,500</t>
  </si>
  <si>
    <t>000203</t>
  </si>
  <si>
    <t>BARNIZ PARA MADERA EXTERIOR ALBATROS BRILLANTE DOBLE VIDA INCOLORO X 0,500</t>
  </si>
  <si>
    <t>000204</t>
  </si>
  <si>
    <t>BARNIZ PARA MADERA EXTERIOR ALBATROS BRILLANTE NATURAL X  1</t>
  </si>
  <si>
    <t>000205</t>
  </si>
  <si>
    <t>BARNIZ PARA MADERA EXTERIOR ALBATROS BRILLANTE NATURAL X  4</t>
  </si>
  <si>
    <t>000206</t>
  </si>
  <si>
    <t>BARNIZ PARA MADERA EXTERIOR ALBATROS BRILLANTE NATURAL X 20</t>
  </si>
  <si>
    <t>000207</t>
  </si>
  <si>
    <t>BARNIZ PARA MADERA INTERIOR CRISTALBA PU BRILLANTE NATURAL X  0,500</t>
  </si>
  <si>
    <t>000208</t>
  </si>
  <si>
    <t>BARNIZ PARA MADERA INTERIOR CRISTALBA PU BRILLANTE NATURAL X  1</t>
  </si>
  <si>
    <t>000209</t>
  </si>
  <si>
    <t>BARNIZ PARA MADERA INTERIOR CRISTALBA PU BRILLANTE NATURAL X  4</t>
  </si>
  <si>
    <t>000210</t>
  </si>
  <si>
    <t>BARNIZ PARA MADERA INTERIOR CRISTALBA PU BRILLANTE NATURAL X 20</t>
  </si>
  <si>
    <t>000211</t>
  </si>
  <si>
    <t>DISCO REMOVEDOR DE ADHESIVO 89X</t>
  </si>
  <si>
    <t>000212</t>
  </si>
  <si>
    <t>ESMALTE SINTETICO COLORIN SATINE SATINADO BLANCO X 1</t>
  </si>
  <si>
    <t>000213</t>
  </si>
  <si>
    <t>ESMALTE SINTETICO COLORIN SATINE SATINADO BLANCO X 4</t>
  </si>
  <si>
    <t>000214</t>
  </si>
  <si>
    <t>ESMALTE SINTETICO COLORIN SATINE SATINADO NEGRO X 1</t>
  </si>
  <si>
    <t>000215</t>
  </si>
  <si>
    <t>ESMALTE SINTETICO COLORIN SATINE SATINADO NEGRO X 4</t>
  </si>
  <si>
    <t>000216</t>
  </si>
  <si>
    <t>AGITADOR MANUAL PARA PINTURAS</t>
  </si>
  <si>
    <t>000217</t>
  </si>
  <si>
    <t>COLA PAPEL COLVINIL X 0,250</t>
  </si>
  <si>
    <t>000218</t>
  </si>
  <si>
    <t>PM01.04 PRIMER MULTIFILLER 1K ACS X 0.900</t>
  </si>
  <si>
    <t>000219</t>
  </si>
  <si>
    <t>COLA PAPEL COLVINIL X 0,500</t>
  </si>
  <si>
    <t>000220</t>
  </si>
  <si>
    <t>FBR551 CLEAR EPOXI MAXIPISO X 20</t>
  </si>
  <si>
    <t>000221</t>
  </si>
  <si>
    <t>FBR560 ENDURECEDOR EPOXI MAXIPISO X 0,600</t>
  </si>
  <si>
    <t>000222</t>
  </si>
  <si>
    <t>FBR100 PRIMER PU DIRECTO METAL X 20</t>
  </si>
  <si>
    <t>000223</t>
  </si>
  <si>
    <t>PISTOLA PARA PINTAR EXPERTO SISTEMA HVLP 600 PICO 1.4 (383058)</t>
  </si>
  <si>
    <t>501</t>
  </si>
  <si>
    <t>000224</t>
  </si>
  <si>
    <t>PISTOLA PARA PINTAR EXPERTO SISTEMA HVLP 2EN1 PREMIUM 600 PICO 1.3 (383147)</t>
  </si>
  <si>
    <t>000225</t>
  </si>
  <si>
    <t>PM01.01 PRIMER MULTIFILLER 1K ACS X 3.500</t>
  </si>
  <si>
    <t>000226</t>
  </si>
  <si>
    <t>PISTOLA PARA SUBCARROCERIA EXPERTO 50MM (387711)</t>
  </si>
  <si>
    <t>000227</t>
  </si>
  <si>
    <t>V21.08 BARNIZ HS ACS EVOLUTION X 4</t>
  </si>
  <si>
    <t>000228</t>
  </si>
  <si>
    <t>EC800.01 BARNIZ DE SECADO ULTRA RAPIDO EHP X 3.785</t>
  </si>
  <si>
    <t>000229</t>
  </si>
  <si>
    <t>ECH8075.900 CATALIZADOR PARA BARNIZ EC800 EHP X 0.946</t>
  </si>
  <si>
    <t>000230</t>
  </si>
  <si>
    <t>REGULADOR DE AIRE EXPERTO CON MANOMETRO (383074)</t>
  </si>
  <si>
    <t>000231</t>
  </si>
  <si>
    <t>ALBA ROMBO VERDE DILUY X 4</t>
  </si>
  <si>
    <t>000232</t>
  </si>
  <si>
    <t>C083-9447 MASILLA UNIV.X 1,5 - (DISCONTINUADO)</t>
  </si>
  <si>
    <t>000233</t>
  </si>
  <si>
    <t>C083-9447 MASILLA UNIV.X 4 - (DISCONTINUADO)</t>
  </si>
  <si>
    <t>000234</t>
  </si>
  <si>
    <t>AUTOPOLISH COLORIN AUTOCERA EXPRESS X 0,450</t>
  </si>
  <si>
    <t>000235</t>
  </si>
  <si>
    <t>PAPEL DAMERO - DOXG1G7</t>
  </si>
  <si>
    <t>000236</t>
  </si>
  <si>
    <t>T190-9426 CRISTAL NITRO X 4</t>
  </si>
  <si>
    <t>000237</t>
  </si>
  <si>
    <t>IMPERMEABILIZANTE PARA TECHOS PLAVICON TAPATODO MEMBRANA BLANCO X  5</t>
  </si>
  <si>
    <t>000238</t>
  </si>
  <si>
    <t>MADERALBA BRILL X 4</t>
  </si>
  <si>
    <t>000239</t>
  </si>
  <si>
    <t>IMPERMEABILIZANTE PARA TECHOS PLAVICON TAPATODO MEMBRANA BLANCO X 20</t>
  </si>
  <si>
    <t>000240</t>
  </si>
  <si>
    <t>MADERALBA SATINADA X 4</t>
  </si>
  <si>
    <t>000241</t>
  </si>
  <si>
    <t>SILICONA FASTIX NEGRO X 280</t>
  </si>
  <si>
    <t>000242</t>
  </si>
  <si>
    <t>BARNIZ PARA MADERA EXTERIOR ALBATROS BRILLANTE DOBLE VIDA INCOLORO X 1</t>
  </si>
  <si>
    <t>000243</t>
  </si>
  <si>
    <t>BARNIZ PARA MADERA EXTERIOR ALBATROS BRILLANTE DOBLE VIDA INCOLORO X 4</t>
  </si>
  <si>
    <t>000244</t>
  </si>
  <si>
    <t>PINTURA PARA PILETA ALBA AL AGUA MATE CELESTE X  4</t>
  </si>
  <si>
    <t>000245</t>
  </si>
  <si>
    <t>PINCEL ROSARPIN 190 V2 CCH.10</t>
  </si>
  <si>
    <t>000246</t>
  </si>
  <si>
    <t>PINCEL ROSARPIN 190 V2 CCH.15</t>
  </si>
  <si>
    <t>000247</t>
  </si>
  <si>
    <t>PINTURA PARA PILETA ALBA AL AGUA MATE BLANCO X 4</t>
  </si>
  <si>
    <t>000248</t>
  </si>
  <si>
    <t>PINCEL ROSARPIN 190 V2 CCH.20</t>
  </si>
  <si>
    <t>000249</t>
  </si>
  <si>
    <t>PINCEL ROSARPIN 190 V2 CCH.25</t>
  </si>
  <si>
    <t>000250</t>
  </si>
  <si>
    <t>PINCEL ROSARPIN 190 V2 CCH.30</t>
  </si>
  <si>
    <t>000251</t>
  </si>
  <si>
    <t>IMPERMEABILIZANTE PARA TECHOS PLAVICON TAPATODO MEMBRANA ROJO CERAMICO X  5</t>
  </si>
  <si>
    <t>000252</t>
  </si>
  <si>
    <t>MADERALBA SELLADOR X 4</t>
  </si>
  <si>
    <t>000253</t>
  </si>
  <si>
    <t>ESMALTE SINTETICO SATINOL SATINADO BLANCO X 20</t>
  </si>
  <si>
    <t>000254</t>
  </si>
  <si>
    <t>ENTONADOR UNIVERSAL TONALBA 012 MARRON X 0,030</t>
  </si>
  <si>
    <t>000255</t>
  </si>
  <si>
    <t>ENTONADOR UNIVERSAL TONALBA 012 MARRON X 0,120</t>
  </si>
  <si>
    <t>000256</t>
  </si>
  <si>
    <t>SILICONA FASTIX TRANSPARENTE X 280</t>
  </si>
  <si>
    <t>000257</t>
  </si>
  <si>
    <t>SILICONA FASTIX BLANCO X 290</t>
  </si>
  <si>
    <t>000258</t>
  </si>
  <si>
    <t>ESMALTE SINTETICO PARA PIZARRON ALBA MATE NEGRO X 0,500</t>
  </si>
  <si>
    <t>000259</t>
  </si>
  <si>
    <t>ESMALTE SINTETICO PARA PIZARRON ALBA MATE NEGRO X 1</t>
  </si>
  <si>
    <t>000260</t>
  </si>
  <si>
    <t>IMPERMEABILIZANTE PARA TECHOS PLAVICON TAPATODO MEMBRANA ROJO CERAMICO X 20</t>
  </si>
  <si>
    <t>000261</t>
  </si>
  <si>
    <t>ESMALTE SINTETICO PARA PIZARRON ALBA MATE VERDE X 1</t>
  </si>
  <si>
    <t>000262</t>
  </si>
  <si>
    <t>ESMALTE SINTETICO ALBAMATE MATE BLANCO X  1</t>
  </si>
  <si>
    <t>000263</t>
  </si>
  <si>
    <t>ESMALTE SINTETICO ALBAMATE MATE BLANCO X  4</t>
  </si>
  <si>
    <t>000264</t>
  </si>
  <si>
    <t>COLA PAPEL COLVINIL X 1</t>
  </si>
  <si>
    <t>000265</t>
  </si>
  <si>
    <t>COLA PAPEL COLVINIL X 4</t>
  </si>
  <si>
    <t>000266</t>
  </si>
  <si>
    <t>COLA VINILICA COLVINIL 04 X 10</t>
  </si>
  <si>
    <t>000267</t>
  </si>
  <si>
    <t>COLA VINILICA COLVINIL 04 X 22</t>
  </si>
  <si>
    <t>000268</t>
  </si>
  <si>
    <t>AUTOPOLISH COLORIN ECOLOGIO X 0,450</t>
  </si>
  <si>
    <t>000269</t>
  </si>
  <si>
    <t>AUTOPOLISH COLORIN LIMPIADOR DESENGRASANTE X 0,500</t>
  </si>
  <si>
    <t>000270</t>
  </si>
  <si>
    <t>ESMALTE SINTETICO ALBAMATE MATE BLANCO X 20</t>
  </si>
  <si>
    <t>000271</t>
  </si>
  <si>
    <t>PROTECTOR PARA LADRILLO COLORIN CERAMICO X  1</t>
  </si>
  <si>
    <t>000272</t>
  </si>
  <si>
    <t>ESMALTE SINTETICO PLAVICON 3EN1 BRILLANTE NEGRO X  0,250</t>
  </si>
  <si>
    <t>000273</t>
  </si>
  <si>
    <t>REMOVEDOR DE PINTURA DIXILINA REMODIX LIQUIDO X 1</t>
  </si>
  <si>
    <t>000274</t>
  </si>
  <si>
    <t>ESMALTE SINTETICO PLAVICON 3EN1 BRILLANTE NEGRO X  0,500</t>
  </si>
  <si>
    <t>000275</t>
  </si>
  <si>
    <t>V21.11 BARNIZ HS ACS EVOLUTION X 0.900</t>
  </si>
  <si>
    <t>000276</t>
  </si>
  <si>
    <t>REPUESTO MINI FOAM  8CM(RO1108)</t>
  </si>
  <si>
    <t>000277</t>
  </si>
  <si>
    <t>REPUESTO MINI FOAM 10CM(RO110)</t>
  </si>
  <si>
    <t>000278</t>
  </si>
  <si>
    <t>ESMALTE SINTETICO PLAVICON 3EN1 BRILLANTE NEGRO X  1</t>
  </si>
  <si>
    <t>000279</t>
  </si>
  <si>
    <t>IMPRIMACION FIJADORA ALBA AL AGUA X  1</t>
  </si>
  <si>
    <t>000280</t>
  </si>
  <si>
    <t>IMPRIMACION FIJADORA ALBA AL AGUA X  4</t>
  </si>
  <si>
    <t>000281</t>
  </si>
  <si>
    <t>IMPRIMACION FIJADORA ALBA AL AGUA X 10</t>
  </si>
  <si>
    <t>000282</t>
  </si>
  <si>
    <t>IMPRIMACION FIJADORA ALBA AL AGUA X 20</t>
  </si>
  <si>
    <t>000283</t>
  </si>
  <si>
    <t>ESMALTE SINTETICO PLAVICON 3EN1 BRILLANTE NEGRO X  4</t>
  </si>
  <si>
    <t>000284</t>
  </si>
  <si>
    <t>FERRO BET CONV ROJO X  0,250</t>
  </si>
  <si>
    <t>000285</t>
  </si>
  <si>
    <t>ESMALTE SINTETICO PLAVICON 3EN1 BRILLANTE NEGRO X 20</t>
  </si>
  <si>
    <t>000286</t>
  </si>
  <si>
    <t>PRIMER RELLENADOR ONE SHOT MMB BEIGE X 1</t>
  </si>
  <si>
    <t>000287</t>
  </si>
  <si>
    <t>PRIMER RELLENADOR ONE SHOT MMB BEIGE X 4</t>
  </si>
  <si>
    <t>000288</t>
  </si>
  <si>
    <t>FONDO PARA MADERA ALBA AL AGUA BLANCO X 0,500</t>
  </si>
  <si>
    <t>000289</t>
  </si>
  <si>
    <t>FONDO PARA MADERA ALBA AL AGUA BLANCO X 1</t>
  </si>
  <si>
    <t>000290</t>
  </si>
  <si>
    <t>IMPRIMACION FIJADORA AL AGUA TERSUAVE BLANCA X  1</t>
  </si>
  <si>
    <t>000291</t>
  </si>
  <si>
    <t>IMPRIMACION FIJADORA AL AGUA TERSUAVE BLANCA X  4</t>
  </si>
  <si>
    <t>000292</t>
  </si>
  <si>
    <t>IMPRIMACION FIJADORA AL AGUA TERSUAVE BLANCA X 10</t>
  </si>
  <si>
    <t>000293</t>
  </si>
  <si>
    <t>IMPRIMACION FIJADORA AL AGUA TERSUAVE BLANCA X 20</t>
  </si>
  <si>
    <t>000294</t>
  </si>
  <si>
    <t>PROTECTOR PARA LADRILLO COLORIN CERAMICO X  4</t>
  </si>
  <si>
    <t>000295</t>
  </si>
  <si>
    <t>PROTECTOR PARA LADRILLO COLORIN NATURAL X  1</t>
  </si>
  <si>
    <t>000296</t>
  </si>
  <si>
    <t>PROTECTOR PARA LADRILLO COLORIN NATURAL X  4</t>
  </si>
  <si>
    <t>000297</t>
  </si>
  <si>
    <t>ESMALTE SINTETICO PLAVICON 3EN1 BRILLANTE AMARILLO X  0,250</t>
  </si>
  <si>
    <t>000298</t>
  </si>
  <si>
    <t>TEXTURADO ALBA RUSTICO X 30</t>
  </si>
  <si>
    <t>000299</t>
  </si>
  <si>
    <t>ESMALTE SINTETICO PLAVICON 3EN1 BRILLANTE AMARILLO X  0,500</t>
  </si>
  <si>
    <t>000300</t>
  </si>
  <si>
    <t>ESMALTE SINTETICO PLAVICON 3EN1 BRILLANTE AMARILLO X  1</t>
  </si>
  <si>
    <t>000301</t>
  </si>
  <si>
    <t>SILICONA FASTIX BLANCO X  25</t>
  </si>
  <si>
    <t>000302</t>
  </si>
  <si>
    <t>SILICONA FASTIX NEGRO X  25</t>
  </si>
  <si>
    <t>000303</t>
  </si>
  <si>
    <t>ESMALTE SINTETICO PLAVICON 3EN1 BRILLANTE AMARILLO X  4</t>
  </si>
  <si>
    <t>000304</t>
  </si>
  <si>
    <t>IMPRESION UNIVERSAL MMB GRIS X 1</t>
  </si>
  <si>
    <t>000305</t>
  </si>
  <si>
    <t>IMPRESION UNIVERSAL MMB GRIS X 4</t>
  </si>
  <si>
    <t>000306</t>
  </si>
  <si>
    <t>ESMALTE SINTETICO PLAVICON 3EN1 BRILLANTE AMARILLO X 20</t>
  </si>
  <si>
    <t>000307</t>
  </si>
  <si>
    <t>ESMALTE SINTETICO PLAVICON 3EN1 BRILLANTE AMARILLO MEDIANO X  0,250</t>
  </si>
  <si>
    <t>000308</t>
  </si>
  <si>
    <t>AUTOPOLISH COLORIN SILICONA C/ESP.450</t>
  </si>
  <si>
    <t>000309</t>
  </si>
  <si>
    <t>PASTA PULIR MMB GRUESA X 0,500</t>
  </si>
  <si>
    <t>000310</t>
  </si>
  <si>
    <t>ESMALTE SINTETICO PLAVICON 3EN1 BRILLANTE AMARILLO MEDIANO X  0,500</t>
  </si>
  <si>
    <t>000311</t>
  </si>
  <si>
    <t>ESMALTE SINTETICO PLAVICON 3EN1 BRILLANTE AMARILLO MEDIANO X  1</t>
  </si>
  <si>
    <t>000312</t>
  </si>
  <si>
    <t>REPUESTO MINI FOAM 15CM(RO111)</t>
  </si>
  <si>
    <t>000313</t>
  </si>
  <si>
    <t>ESMALTE SINTETICO PLAVICON 3EN1 BRILLANTE AMARILLO MEDIANO X  4</t>
  </si>
  <si>
    <t>000314</t>
  </si>
  <si>
    <t>ESMALTE SINTETICO PLAVICON 3EN1 BRILLANTE AMARILLO MEDIANO X 20</t>
  </si>
  <si>
    <t>000315</t>
  </si>
  <si>
    <t>LLANA LISA LH 12X25</t>
  </si>
  <si>
    <t>000316</t>
  </si>
  <si>
    <t>ESPUMA POLIURETANO NODUPOL X 0,250</t>
  </si>
  <si>
    <t>000317</t>
  </si>
  <si>
    <t>ESPUMA POLIURETANO NODUPOL X 0,500</t>
  </si>
  <si>
    <t>000318</t>
  </si>
  <si>
    <t>ESPUMA POLIURETANO NODUPOL X 0,750</t>
  </si>
  <si>
    <t>000319</t>
  </si>
  <si>
    <t>REMOVEDOR DE PINTURA DIXILINA REMODIX LIQUIDO X 4</t>
  </si>
  <si>
    <t>000320</t>
  </si>
  <si>
    <t>ESMALTE SINTETICO PLAVICON 3EN1 BRILLANTE NARANJA X  0,250</t>
  </si>
  <si>
    <t>000321</t>
  </si>
  <si>
    <t>ENDUIDO EXTERIOR TERSUAVE X 10</t>
  </si>
  <si>
    <t>000322</t>
  </si>
  <si>
    <t>ESMALTE SINTETICO PLAVICON 3EN1 BRILLANTE NARANJA X  0,500</t>
  </si>
  <si>
    <t>000323</t>
  </si>
  <si>
    <t>ENDUIDO EXTERIOR TERSUAVE X 20</t>
  </si>
  <si>
    <t>000324</t>
  </si>
  <si>
    <t>ESMALTE SINTETICO PLAVICON 3EN1 BRILLANTE NARANJA X  1</t>
  </si>
  <si>
    <t>000325</t>
  </si>
  <si>
    <t>FILTRO DE PAPEL PARA BASE AGUA DOX125V</t>
  </si>
  <si>
    <t>000326</t>
  </si>
  <si>
    <t>ESMALTE SINTETICO PLAVICON 3EN1 BRILLANTE NARANJA X  4</t>
  </si>
  <si>
    <t>000327</t>
  </si>
  <si>
    <t>ESMALTE SINTETICO PLAVICON 3EN1 BRILLANTE NARANJA X 20</t>
  </si>
  <si>
    <t>000328</t>
  </si>
  <si>
    <t>FONDO PARA MADERA ALBA AL AGUA BLANCO X 4</t>
  </si>
  <si>
    <t>000329</t>
  </si>
  <si>
    <t>C850-0500 DIL.P/PROD.1C X20 (DISCONTINUADO)</t>
  </si>
  <si>
    <t>000330</t>
  </si>
  <si>
    <t>FILTRO DE PAPEL PARA BASE SOLVENTE DOX113V</t>
  </si>
  <si>
    <t>000331</t>
  </si>
  <si>
    <t>C850-0600 DIL.POL/BIC X 4 (DISCONTINUADO)</t>
  </si>
  <si>
    <t>000332</t>
  </si>
  <si>
    <t>LATEX PARA CIELORRASOS SINTEPLAST MATE BLANCO X  1</t>
  </si>
  <si>
    <t>000333</t>
  </si>
  <si>
    <t>LATEX PARA CIELORRASOS SINTEPLAST MATE BLANCO X  4</t>
  </si>
  <si>
    <t>000334</t>
  </si>
  <si>
    <t>LATEX PARA CIELORRASOS SINTEPLAST MATE BLANCO X 20</t>
  </si>
  <si>
    <t>000335</t>
  </si>
  <si>
    <t>LATEX INTERIOR ALBACRYL MATE BLANCO X 10</t>
  </si>
  <si>
    <t>000336</t>
  </si>
  <si>
    <t>LATEX INTERIOR ALBACRYL MATE BLANCO X  4</t>
  </si>
  <si>
    <t>000337</t>
  </si>
  <si>
    <t>ESMALTE SINTETICO PLAVICON 3EN1 BRILLANTE BERMELLON X  0,250</t>
  </si>
  <si>
    <t>000338</t>
  </si>
  <si>
    <t>LATEX INTERIOR ALBACRYL MATE BLANCO X 20</t>
  </si>
  <si>
    <t>000339</t>
  </si>
  <si>
    <t>ESMALTE SINTETICO PLAVICON 3EN1 BRILLANTE BERMELLON X  0,500</t>
  </si>
  <si>
    <t>000340</t>
  </si>
  <si>
    <t>LACA UREICA COLVINIL BRILLANTE TRANSPARENTE C/CAT. X  0,900</t>
  </si>
  <si>
    <t>000341</t>
  </si>
  <si>
    <t>LACA UREICA COLVINIL BRILLANTE TRANSPARENTE C/CAT. X  3,600</t>
  </si>
  <si>
    <t>000342</t>
  </si>
  <si>
    <t>LACA UREICA COLVINIL BRILLANTE TRANSPARENTE C/CAT. X 18</t>
  </si>
  <si>
    <t>000343</t>
  </si>
  <si>
    <t>LACA UREICA COLVINIL SATINADA TRANSPARENTE C/CAT. X  0,900</t>
  </si>
  <si>
    <t>000344</t>
  </si>
  <si>
    <t>LACA UREICA COLVINIL SATINADA TRANSPARENTE C/CAT. X  3,600</t>
  </si>
  <si>
    <t>000345</t>
  </si>
  <si>
    <t>LACA UREICA COLVINIL SATINADA TRANSPARENTE C/CAT. X 18</t>
  </si>
  <si>
    <t>000346</t>
  </si>
  <si>
    <t>ESMALTE SINTETICO PLAVICON 3EN1 BRILLANTE BERMELLON X  1</t>
  </si>
  <si>
    <t>000347</t>
  </si>
  <si>
    <t>ESMALTE SINTETICO PLAVICON 3EN1 BRILLANTE BERMELLON X  4</t>
  </si>
  <si>
    <t>000348</t>
  </si>
  <si>
    <t>ESMALTE SINTETICO PLAVICON 3EN1 BRILLANTE BERMELLON X 20</t>
  </si>
  <si>
    <t>000349</t>
  </si>
  <si>
    <t>ESMALTE SINTETICO PLAVICON 3EN1 BRILLANTE ALUMINIO X  0,250</t>
  </si>
  <si>
    <t>000350</t>
  </si>
  <si>
    <t>ESMALTE SINTETICO PLAVICON 3EN1 BRILLANTE ALUMINIO X  0,500</t>
  </si>
  <si>
    <t>000351</t>
  </si>
  <si>
    <t>ESMALTE SINTETICO PLAVICON 3EN1 BRILLANTE ALUMINIO X  1</t>
  </si>
  <si>
    <t>000352</t>
  </si>
  <si>
    <t>ESMALTE SINTETICO PLAVICON 3EN1 BRILLANTE ALUMINIO X  4</t>
  </si>
  <si>
    <t>000353</t>
  </si>
  <si>
    <t>ESMALTE SINTETICO PLAVICON 3EN1 BRILLANTE ALUMINIO X 20</t>
  </si>
  <si>
    <t>000354</t>
  </si>
  <si>
    <t>ESMALTE SINTETICO PLAVICON 3EN1 BRILLANTE MARFIL X  0,250</t>
  </si>
  <si>
    <t>000355</t>
  </si>
  <si>
    <t>ESMALTE SINTETICO PLAVICON 3EN1 BRILLANTE MARFIL X  0,500</t>
  </si>
  <si>
    <t>000356</t>
  </si>
  <si>
    <t>LIJA RUBI FLEX DOBLE A N  80/100 M.</t>
  </si>
  <si>
    <t>000357</t>
  </si>
  <si>
    <t>ESMALTE SINTETICO PLAVICON 3EN1 BRILLANTE MARFIL X  1</t>
  </si>
  <si>
    <t>000358</t>
  </si>
  <si>
    <t>ESPATULA PLASTICA NORTON</t>
  </si>
  <si>
    <t>000359</t>
  </si>
  <si>
    <t>ESMALTE SINTETICO PLAVICON 3EN1 BRILLANTE MARFIL X  4</t>
  </si>
  <si>
    <t>000360</t>
  </si>
  <si>
    <t>ESMALTE SINTETICO PLAVICON 3EN1 BRILLANTE MARFIL X 20</t>
  </si>
  <si>
    <t>000361</t>
  </si>
  <si>
    <t>TAMBOR X 200</t>
  </si>
  <si>
    <t>000362</t>
  </si>
  <si>
    <t>IMPERMEABILIZANTE RECUPLAST TECHOS PERDURA BLANCO X  1</t>
  </si>
  <si>
    <t>000363</t>
  </si>
  <si>
    <t>IMPERMEABILIZANTE RECUPLAST TECHOS PERDURA BLANCO X  4</t>
  </si>
  <si>
    <t>000364</t>
  </si>
  <si>
    <t>IMPERMEABILIZANTE RECUPLAST TECHOS PERDURA BLANCO X 10</t>
  </si>
  <si>
    <t>000365</t>
  </si>
  <si>
    <t>IMPERMEABILIZANTE RECUPLAST TECHOS PERDURA BLANCO X 20</t>
  </si>
  <si>
    <t>000366</t>
  </si>
  <si>
    <t>CONVERSOL ROJO X 0,450</t>
  </si>
  <si>
    <t>000367</t>
  </si>
  <si>
    <t>CONVERSOL ROJO X 0,900</t>
  </si>
  <si>
    <t>000368</t>
  </si>
  <si>
    <t>CONVERSOL ROJO X 3,600</t>
  </si>
  <si>
    <t>000369</t>
  </si>
  <si>
    <t>CONVERSOL ROJO X 18,000</t>
  </si>
  <si>
    <t>000370</t>
  </si>
  <si>
    <t>MATEANTE PETRILAC X 100</t>
  </si>
  <si>
    <t>000371</t>
  </si>
  <si>
    <t>ESTOPA DE LUSTRE APELES BLANCA X 0,350</t>
  </si>
  <si>
    <t>000372</t>
  </si>
  <si>
    <t>ESMALTE SINTETICO PLAVICON 3EN1 BRILLANTE MARFIL SEDA X  0,250</t>
  </si>
  <si>
    <t>000373</t>
  </si>
  <si>
    <t>ESMALTE SINTETICO PLAVICON 3EN1 BRILLANTE MARFIL SEDA X  0,500</t>
  </si>
  <si>
    <t>000374</t>
  </si>
  <si>
    <t>MEMBRANA  AUTOADHESIVA NC MEGAFACIL ALUMINIO 25CM X25MT</t>
  </si>
  <si>
    <t>000375</t>
  </si>
  <si>
    <t>PROTECTOR PARA LADRILLO DURALBA SATINADO CON PELICULA TRANSPARENTE X  1</t>
  </si>
  <si>
    <t>000376</t>
  </si>
  <si>
    <t>PROTECTOR PARA LADRILLO DURALBA SATINADO CON PELICULA TRANSPARENTE X  4</t>
  </si>
  <si>
    <t>000377</t>
  </si>
  <si>
    <t>PROTECTOR PARA LADRILLO DURALBA SATINADO CON PELICULA TRANSPARENTE X 10</t>
  </si>
  <si>
    <t>000378</t>
  </si>
  <si>
    <t>PROTECTOR PARA LADRILLO DURALBA SATINADO CON PELICULA TRANSPARENTE X 20</t>
  </si>
  <si>
    <t>000379</t>
  </si>
  <si>
    <t>ESMALTE SINTETICO PLAVICON 3EN1 BRILLANTE MARFIL SEDA X  1</t>
  </si>
  <si>
    <t>000380</t>
  </si>
  <si>
    <t>DISCO PIEL CHICO PARA KIT (57)</t>
  </si>
  <si>
    <t>000381</t>
  </si>
  <si>
    <t>AEROSOL RUST-OLEUM IMPRIMANTE PARA MOTOR GRIS X 0,340 (249410)</t>
  </si>
  <si>
    <t>000382</t>
  </si>
  <si>
    <t>AEROSOL RUST-OLEUM PARA MOTOR NEGRO X 0,340 (313545/358864)</t>
  </si>
  <si>
    <t>000383</t>
  </si>
  <si>
    <t>PROTECTOR PARA LADRILLO COLORIN CERAMICO X 20</t>
  </si>
  <si>
    <t>000384</t>
  </si>
  <si>
    <t>LATEX INTERIOR ALBACRYL MATE BLANCO X  1</t>
  </si>
  <si>
    <t>000385</t>
  </si>
  <si>
    <t>LATEX INTERIOR ALBACRYL RINDE MAS MATE BLANCO X  1</t>
  </si>
  <si>
    <t>000386</t>
  </si>
  <si>
    <t>LATEX INTERIOR ALBACRYL RINDE MAS MATE BLANCO X  4</t>
  </si>
  <si>
    <t>000387</t>
  </si>
  <si>
    <t>MASCARILLA DESCARTABLE(B502)</t>
  </si>
  <si>
    <t>000388</t>
  </si>
  <si>
    <t>ENDUIDO EXTERIOR COLORIN X 20</t>
  </si>
  <si>
    <t>000389</t>
  </si>
  <si>
    <t>MASILLA CHICLE SR60 X 1</t>
  </si>
  <si>
    <t>000390</t>
  </si>
  <si>
    <t>FUNGICIDA COLORIN X 0,500</t>
  </si>
  <si>
    <t>000391</t>
  </si>
  <si>
    <t>IMPERMEABILIZANTE PARA FRENTES Y MUROS DURALBA MATE BLANCO X  4</t>
  </si>
  <si>
    <t>000392</t>
  </si>
  <si>
    <t>IMPERMEABILIZANTE PARA FRENTES Y MUROS DURALBA MATE BLANCO X 10</t>
  </si>
  <si>
    <t>000393</t>
  </si>
  <si>
    <t>IMPERMEABILIZANTE PARA FRENTES Y MUROS DURALBA MATE BLANCO X  1</t>
  </si>
  <si>
    <t>000394</t>
  </si>
  <si>
    <t>IMPERMEABILIZANTE PARA FRENTES Y MUROS DURALBA MATE BLANCO X 20</t>
  </si>
  <si>
    <t>000395</t>
  </si>
  <si>
    <t>LATEX INTERIOR ALBACRYL RINDE MAS MATE BLANCO X 10</t>
  </si>
  <si>
    <t>000396</t>
  </si>
  <si>
    <t>LATEX INTERIOR ALBACRYL RINDE MAS MATE BLANCO X 20</t>
  </si>
  <si>
    <t>000397</t>
  </si>
  <si>
    <t>ESMALTE SINTETICO PLAVICON 3EN1 BRILLANTE MARFIL SEDA X  4</t>
  </si>
  <si>
    <t>000398</t>
  </si>
  <si>
    <t>ESMALTE SINTETICO PLAVICON 3EN1 BRILLANTE MARFIL SEDA X 20</t>
  </si>
  <si>
    <t>000399</t>
  </si>
  <si>
    <t>ESMALTE SINTETICO PLAVICON 3EN1 BRILLANTE MARFIL CHAMPAGNE X  0,250</t>
  </si>
  <si>
    <t>000400</t>
  </si>
  <si>
    <t>FERRO BET CONV ROJO X  0,500</t>
  </si>
  <si>
    <t>000401</t>
  </si>
  <si>
    <t>FERRO BET CONV ROJO X  1</t>
  </si>
  <si>
    <t>000402</t>
  </si>
  <si>
    <t>FERRO BET CONV ROJO X  4</t>
  </si>
  <si>
    <t>000403</t>
  </si>
  <si>
    <t>FERRO BET CONV ROJO X 20</t>
  </si>
  <si>
    <t>000404</t>
  </si>
  <si>
    <t>LATEX EXTERIOR DURALBA MATE BLANCO X  1</t>
  </si>
  <si>
    <t>000405</t>
  </si>
  <si>
    <t>RENOVADOR SR60 X 473</t>
  </si>
  <si>
    <t>000406</t>
  </si>
  <si>
    <t>LATEX EXTERIOR DURALBA MATE BLANCO X  4</t>
  </si>
  <si>
    <t>000407</t>
  </si>
  <si>
    <t>GASA BARNIZADA PPG (SX1070X)</t>
  </si>
  <si>
    <t>000408</t>
  </si>
  <si>
    <t>LATEX EXTERIOR DURALBA MATE BLANCO X 20</t>
  </si>
  <si>
    <t>000409</t>
  </si>
  <si>
    <t>C210-0999 END.P/C190-0998 X 0,115 (DISCONTINUADO)</t>
  </si>
  <si>
    <t>000410</t>
  </si>
  <si>
    <t>C210-3504 END.P/C565-6504 X0,150 (DISCONTINUADO)</t>
  </si>
  <si>
    <t>000411</t>
  </si>
  <si>
    <t>ACEITE DE LINO MAGIPLAST X  1</t>
  </si>
  <si>
    <t>000412</t>
  </si>
  <si>
    <t>ACEITE DE LINO MAGIPLAST X  4</t>
  </si>
  <si>
    <t>000413</t>
  </si>
  <si>
    <t>BARNIZ PARA MADERA INTERIOR CRISTALBA AL AGUA BRILLANTE NATURAL X 0,500</t>
  </si>
  <si>
    <t>000414</t>
  </si>
  <si>
    <t>LATEX EXTERIOR DURALBA MATE BLANCO X 10</t>
  </si>
  <si>
    <t>000415</t>
  </si>
  <si>
    <t>SELLADOR PARA MADERA RESOL HOLZLACK STD. X 1</t>
  </si>
  <si>
    <t>000416</t>
  </si>
  <si>
    <t>SELLADOR PARA MADERA RESOL HOLZLACK STD. X 4</t>
  </si>
  <si>
    <t>000417</t>
  </si>
  <si>
    <t>SELLADOR PARA MADERA RESOL HOLZLACK STD. X 18</t>
  </si>
  <si>
    <t>000418</t>
  </si>
  <si>
    <t>IMPERMEABILIZANTE RECUPLAST TECHOS PERDURA TEJA X  1</t>
  </si>
  <si>
    <t>000419</t>
  </si>
  <si>
    <t>IMPERMEABILIZANTE RECUPLAST TECHOS PERDURA TEJA X  4</t>
  </si>
  <si>
    <t>000420</t>
  </si>
  <si>
    <t>IMPERMEABILIZANTE RECUPLAST TECHOS PERDURA TEJA X 10</t>
  </si>
  <si>
    <t>000421</t>
  </si>
  <si>
    <t>IMPERMEABILIZANTE RECUPLAST TECHOS PERDURA TEJA X 20</t>
  </si>
  <si>
    <t>000422</t>
  </si>
  <si>
    <t>LATEX EXTERIOR ALBAFRENT MATE BLANCO X  1</t>
  </si>
  <si>
    <t>000423</t>
  </si>
  <si>
    <t>LATEX EXTERIOR ALBAFRENT MATE BLANCO X  4</t>
  </si>
  <si>
    <t>000424</t>
  </si>
  <si>
    <t>LATEX EXTERIOR ALBAFRENT MATE BLANCO X 10</t>
  </si>
  <si>
    <t>000425</t>
  </si>
  <si>
    <t>LATEX EXTERIOR ALBAFRENT MATE BLANCO X 20</t>
  </si>
  <si>
    <t>000426</t>
  </si>
  <si>
    <t>ESMALTE SINTETICO PLAVICON 3EN1 BRILLANTE MARFIL CHAMPAGNE X  0,500</t>
  </si>
  <si>
    <t>000427</t>
  </si>
  <si>
    <t>PLAQUETA PARA PULIR VERDE</t>
  </si>
  <si>
    <t>000428</t>
  </si>
  <si>
    <t>FERRO BET ANTIOXIDO ROJO X 1</t>
  </si>
  <si>
    <t>000429</t>
  </si>
  <si>
    <t>DUO EXPRESS DILUYENTE X 0,500</t>
  </si>
  <si>
    <t>000430</t>
  </si>
  <si>
    <t>DISCO DE FIBRA DOBLE A 178X22HY-71 G.A.#120</t>
  </si>
  <si>
    <t>000431</t>
  </si>
  <si>
    <t>BASE POLIURETANO 2K 2703 X 0,625</t>
  </si>
  <si>
    <t>000432</t>
  </si>
  <si>
    <t>LIJA RUBI FLEX DOBLE A N 180/220 E.F.</t>
  </si>
  <si>
    <t>000433</t>
  </si>
  <si>
    <t>ESMALTE SINTETICO PLAVICON 3EN1 BRILLANTE MARFIL CHAMPAGNE X  1</t>
  </si>
  <si>
    <t>000434</t>
  </si>
  <si>
    <t>FERRO BET ANTIOXIDO ROJO X 4</t>
  </si>
  <si>
    <t>000435</t>
  </si>
  <si>
    <t>SELLADOR JUNTAFLEX X 300</t>
  </si>
  <si>
    <t>000436</t>
  </si>
  <si>
    <t>CINTA DE PAPEL DOBLE A (988AA)  6MM</t>
  </si>
  <si>
    <t>000437</t>
  </si>
  <si>
    <t>CLEAR BICAPA 2K 2733 X 0,750</t>
  </si>
  <si>
    <t>000438</t>
  </si>
  <si>
    <t>CINTA DE PAPEL DOBLE A (988AA) 10MM</t>
  </si>
  <si>
    <t>000439</t>
  </si>
  <si>
    <t>CINTA DE PAPEL DOBLE A (988AA) 12MM</t>
  </si>
  <si>
    <t>000440</t>
  </si>
  <si>
    <t>CINTA DE PAPEL DOBLE A (988AA) 15MM</t>
  </si>
  <si>
    <t>000441</t>
  </si>
  <si>
    <t>CINTA DE PAPEL DOBLE A (988AA) 18MM</t>
  </si>
  <si>
    <t>000442</t>
  </si>
  <si>
    <t>CINTA DE PAPEL DOBLE A (988AA) 24MM</t>
  </si>
  <si>
    <t>000443</t>
  </si>
  <si>
    <t>DISCO DE FIBRA DOBLE A 178X22HX-73 G.A.#14</t>
  </si>
  <si>
    <t>000444</t>
  </si>
  <si>
    <t>DISCO DE FIBRA DOBLE A 178X22HX-73 G.A.#16</t>
  </si>
  <si>
    <t>000445</t>
  </si>
  <si>
    <t>DISCO DE FIBRA DOBLE A 178X22HX-73 G.A.#24</t>
  </si>
  <si>
    <t>000446</t>
  </si>
  <si>
    <t>DISCO DE FIBRA DOBLE A 178X22HX-73 G.A.#36</t>
  </si>
  <si>
    <t>000447</t>
  </si>
  <si>
    <t>DISCO DE FIBRA DOBLE A 178X22HY-71 G.A. #50</t>
  </si>
  <si>
    <t>000448</t>
  </si>
  <si>
    <t>DISCO PIEL LUDAMAR/WOOLLY (51)</t>
  </si>
  <si>
    <t>000449</t>
  </si>
  <si>
    <t>CINTA DE PAPEL DOBLE A (988AA) 36MM</t>
  </si>
  <si>
    <t>000450</t>
  </si>
  <si>
    <t>LIJA RUBI FLEX DOBLE A N  36/40 E.G.</t>
  </si>
  <si>
    <t>000451</t>
  </si>
  <si>
    <t>LLANA LISA LH 12X30</t>
  </si>
  <si>
    <t>000452</t>
  </si>
  <si>
    <t>ESTOPA PARA LUSTRE LUMAR BLANCA X 0,300 (31/A)</t>
  </si>
  <si>
    <t>000453</t>
  </si>
  <si>
    <t>CINTA DE PAPEL DOBLE A (988AA) 48MM</t>
  </si>
  <si>
    <t>000454</t>
  </si>
  <si>
    <t>DISCO DE FIBRA DOBLE A 178X22HY-71 G.A. #60</t>
  </si>
  <si>
    <t>000455</t>
  </si>
  <si>
    <t>ESPATULA PINTOR SANTA JUANA RECTIFICADA BI MATERIAL 30</t>
  </si>
  <si>
    <t>000456</t>
  </si>
  <si>
    <t>ESPATULA PINTOR SANTA JUANA RECTIFICADA BI MATERIAL 40</t>
  </si>
  <si>
    <t>000457</t>
  </si>
  <si>
    <t>ESPATULA PINTOR SANTA JUANA RECTIFICADA BI MATERIAL 50</t>
  </si>
  <si>
    <t>000458</t>
  </si>
  <si>
    <t>ESPATULA PINTOR SANTA JUANA RECTIFICADA BI MATERIAL 60</t>
  </si>
  <si>
    <t>000459</t>
  </si>
  <si>
    <t>ESPATULA PINTOR SANTA JUANA RECTIFICADA BI MATERIAL 70</t>
  </si>
  <si>
    <t>000460</t>
  </si>
  <si>
    <t>ESPATULA PINTOR SANTA JUANA RECTIFICADA BI MATERIAL 80</t>
  </si>
  <si>
    <t>000461</t>
  </si>
  <si>
    <t>DISCO DE FIBRA DOBLE A 178X22HY-71 G.A. #80</t>
  </si>
  <si>
    <t>000462</t>
  </si>
  <si>
    <t>SILICONA FASTIX BLANCO X 100</t>
  </si>
  <si>
    <t>000463</t>
  </si>
  <si>
    <t>SILICONA FASTIX NEGRO X 100</t>
  </si>
  <si>
    <t>000464</t>
  </si>
  <si>
    <t>IMPERMEABILIZANTE PARA FRENTES Y MUROS ALBAFRENT MATE BLANCO X  4</t>
  </si>
  <si>
    <t>000465</t>
  </si>
  <si>
    <t>IMPERMEABILIZANTE PARA FRENTES Y MUROS ALBAFRENT MATE BLANCO X 20</t>
  </si>
  <si>
    <t>000466</t>
  </si>
  <si>
    <t>DISCO DE FIBRA DOBLE A 178X22HY-71 G.A.#100</t>
  </si>
  <si>
    <t>000467</t>
  </si>
  <si>
    <t>MASILLA UNIVERSAL MMB X 0,340</t>
  </si>
  <si>
    <t>000468</t>
  </si>
  <si>
    <t>ESPATULA PINTOR SANTA JUANA RECTIFICADA BI MATERIAL INOXIDABLE 150</t>
  </si>
  <si>
    <t>000469</t>
  </si>
  <si>
    <t>LAMINA PARA MASILLAR  6 X 10</t>
  </si>
  <si>
    <t>000470</t>
  </si>
  <si>
    <t>DESOXIDANTE FOSFATIZANTE X 1</t>
  </si>
  <si>
    <t>000471</t>
  </si>
  <si>
    <t>LAMINA PARA MASILLAR 10 X 12</t>
  </si>
  <si>
    <t>000472</t>
  </si>
  <si>
    <t>ESMALTE SINTETICO PLAVICON 3EN1 BRILLANTE MARFIL CHAMPAGNE X  4</t>
  </si>
  <si>
    <t>000473</t>
  </si>
  <si>
    <t>IMPREGNANTE PARA PISO CETOL DECK NATURAL X 1</t>
  </si>
  <si>
    <t>000474</t>
  </si>
  <si>
    <t>IMPREGNANTE PARA PISO CETOL DECK NATURAL X 4</t>
  </si>
  <si>
    <t>000475</t>
  </si>
  <si>
    <t>ESPATULA PINTOR SANTA JUANA RECTIFICADA BI MATERIAL 90</t>
  </si>
  <si>
    <t>000476</t>
  </si>
  <si>
    <t>ESMALTE SINTETICO PLAVICON 3EN1 BRILLANTE MARFIL CHAMPAGNE X 20</t>
  </si>
  <si>
    <t>000477</t>
  </si>
  <si>
    <t>ESMALTE SINTETICO PLAVICON 3EN1 BRILLANTE CREMA X  0,250</t>
  </si>
  <si>
    <t>000478</t>
  </si>
  <si>
    <t>ESMALTE SINTETICO PLAVICON 3EN1 BRILLANTE CREMA X  0,500</t>
  </si>
  <si>
    <t>000479</t>
  </si>
  <si>
    <t>ESMALTE SINTETICO PLAVICON 3EN1 BRILLANTE CREMA X  1</t>
  </si>
  <si>
    <t>000480</t>
  </si>
  <si>
    <t>ESMALTE SINTETICO PLAVICON 3EN1 BRILLANTE CREMA X  4</t>
  </si>
  <si>
    <t>000481</t>
  </si>
  <si>
    <t>PINTURA PARA PILETA RESOL CRISTAFLEX CELESTE X  4</t>
  </si>
  <si>
    <t>000482</t>
  </si>
  <si>
    <t>ESMALTE SINTETICO PLAVICON 3EN1 BRILLANTE CREMA X 20</t>
  </si>
  <si>
    <t>000483</t>
  </si>
  <si>
    <t>PINTURA PARA PILETA RESOL CRISTAFLEX CELESTE X 20</t>
  </si>
  <si>
    <t>000484</t>
  </si>
  <si>
    <t>ENDUIDO EXTERIOR TERSUAVE X  1</t>
  </si>
  <si>
    <t>000485</t>
  </si>
  <si>
    <t>ENDUIDO EXTERIOR TERSUAVE X  4</t>
  </si>
  <si>
    <t>000486</t>
  </si>
  <si>
    <t>RODILLO LUMAR LATEX SATINADO PELO MEDIO 17(920B)</t>
  </si>
  <si>
    <t>000487</t>
  </si>
  <si>
    <t>RODILLO LUMAR LATEX SATINADO PELO MEDIO 22(920C)</t>
  </si>
  <si>
    <t>000488</t>
  </si>
  <si>
    <t>ESMALTE SINTETICO PLAVICON 3EN1 BRILLANTE GRIS PERLA  X  0,250</t>
  </si>
  <si>
    <t>000489</t>
  </si>
  <si>
    <t>ESMALTE SINTETICO PLAVICON 3EN1 BRILLANTE GRIS PERLA X  0,500</t>
  </si>
  <si>
    <t>000490</t>
  </si>
  <si>
    <t>HOJA DE APOYO SIN FIN 7</t>
  </si>
  <si>
    <t>000491</t>
  </si>
  <si>
    <t>HOJA DE APOYO SIN FIN 8</t>
  </si>
  <si>
    <t>000492</t>
  </si>
  <si>
    <t>HOJA DE APOYO SIN FIN 9</t>
  </si>
  <si>
    <t>000493</t>
  </si>
  <si>
    <t>HOJA DE APOYO SIN FIN 10</t>
  </si>
  <si>
    <t>000494</t>
  </si>
  <si>
    <t>HOJA DE APOYO SIN FIN 11</t>
  </si>
  <si>
    <t>000495</t>
  </si>
  <si>
    <t>HOJA DE APOYO SIN FIN 12</t>
  </si>
  <si>
    <t>000496</t>
  </si>
  <si>
    <t>ESMALTE SINTETICO PLAVICON 3EN1 BRILLANTE GRIS PERLA X  1</t>
  </si>
  <si>
    <t>000497</t>
  </si>
  <si>
    <t>ESMALTE SINTETICO PLAVICON 3EN1 BRILLANTE GRIS PERLA X  4</t>
  </si>
  <si>
    <t>000498</t>
  </si>
  <si>
    <t>MEZCLA ADHESIVA PLASTICA POXIMIX INTERIOR X 5,000 (129)</t>
  </si>
  <si>
    <t>000499</t>
  </si>
  <si>
    <t>MEZCLA ADHESIVA PLASTICA POXIMIX EXTERIOR X 5,000 (521)</t>
  </si>
  <si>
    <t>000500</t>
  </si>
  <si>
    <t>AUTOPOLISH COLORIN SILICONA AUTONUEVO 450</t>
  </si>
  <si>
    <t>000501</t>
  </si>
  <si>
    <t>DILUYENTE TERSIRRAS X   1</t>
  </si>
  <si>
    <t>000502</t>
  </si>
  <si>
    <t>DILUYENTE TERSIRRAS X   4</t>
  </si>
  <si>
    <t>000503</t>
  </si>
  <si>
    <t>DILUYENTE TERSIRRAS X  18</t>
  </si>
  <si>
    <t>000504</t>
  </si>
  <si>
    <t>MEZCLA ADHESIVA PLASTICA POXIMIX EXTERIOR X 3,000 (...)</t>
  </si>
  <si>
    <t>000505</t>
  </si>
  <si>
    <t>BANDEJA PARA PINTAR PLASTICA PLANA (013)</t>
  </si>
  <si>
    <t>000506</t>
  </si>
  <si>
    <t>MEZCLA ADHESIVA PLASTICA POXIMIX INTERIOR X 3,000 (...)</t>
  </si>
  <si>
    <t>000507</t>
  </si>
  <si>
    <t>PEGAMENTO LA GOTITA X 2</t>
  </si>
  <si>
    <t>000508</t>
  </si>
  <si>
    <t>SILICONA FASTIX TRANSPARENTE X  25</t>
  </si>
  <si>
    <t>000509</t>
  </si>
  <si>
    <t>ESMALTE SINTETICO PLAVICON 3EN1 BRILLANTE GRIS PERLA X 20</t>
  </si>
  <si>
    <t>000510</t>
  </si>
  <si>
    <t>REMOVEDOR GEL X 1</t>
  </si>
  <si>
    <t>000511</t>
  </si>
  <si>
    <t>LIJA AL AGUA DOBLE A #   80</t>
  </si>
  <si>
    <t>000512</t>
  </si>
  <si>
    <t>LIJA AL AGUA DOBLE A #  100</t>
  </si>
  <si>
    <t>000513</t>
  </si>
  <si>
    <t>LIJA AL AGUA DOBLE A #  120</t>
  </si>
  <si>
    <t>000514</t>
  </si>
  <si>
    <t>LIJA AL AGUA DOBLE A #  150</t>
  </si>
  <si>
    <t>000515</t>
  </si>
  <si>
    <t>LIJA AL AGUA DOBLE A #  180</t>
  </si>
  <si>
    <t>000516</t>
  </si>
  <si>
    <t>LIJA AL AGUA DOBLE A #  220</t>
  </si>
  <si>
    <t>000517</t>
  </si>
  <si>
    <t>LIJA AL AGUA DOBLE A #  240</t>
  </si>
  <si>
    <t>000518</t>
  </si>
  <si>
    <t>LIJA AL AGUA DOBLE A #  280</t>
  </si>
  <si>
    <t>000519</t>
  </si>
  <si>
    <t>LIJA AL AGUA DOBLE A #  320</t>
  </si>
  <si>
    <t>000520</t>
  </si>
  <si>
    <t>LIJA AL AGUA DOBLE A #  360</t>
  </si>
  <si>
    <t>000521</t>
  </si>
  <si>
    <t>LIJA AL AGUA DOBLE A #  400</t>
  </si>
  <si>
    <t>000522</t>
  </si>
  <si>
    <t>LIJA AL AGUA DOBLE A #  500</t>
  </si>
  <si>
    <t>000523</t>
  </si>
  <si>
    <t>LIJA AL AGUA DOBLE A #  600</t>
  </si>
  <si>
    <t>000524</t>
  </si>
  <si>
    <t>LIJA PARA MASILLA PLATICA DOBLE A 36</t>
  </si>
  <si>
    <t>000525</t>
  </si>
  <si>
    <t>PROTECTOR PARA LADRILLO COLORIN NATURAL X 20</t>
  </si>
  <si>
    <t>000526</t>
  </si>
  <si>
    <t>DILUYENTE TERSIRRAS X 200</t>
  </si>
  <si>
    <t>000527</t>
  </si>
  <si>
    <t>ESMALTE SINTETICO PLAVICON 3EN1 BRILLANTE GRIS HIELO X  0,250</t>
  </si>
  <si>
    <t>000528</t>
  </si>
  <si>
    <t>ESMALTE SINTETICO PLAVICON 3EN1 BRILLANTE GRIS HIELO X  0,500</t>
  </si>
  <si>
    <t>000529</t>
  </si>
  <si>
    <t>MASILLA PLASTICA ZEOCAR FINISH X 1 (47)</t>
  </si>
  <si>
    <t>000530</t>
  </si>
  <si>
    <t>ESMALTE SINTETICO PLAVICON 3EN1 BRILLANTE GRIS HIELO X  1</t>
  </si>
  <si>
    <t>000531</t>
  </si>
  <si>
    <t>DESOXIDANTE FOSFATIZANTE X 4</t>
  </si>
  <si>
    <t>000532</t>
  </si>
  <si>
    <t>ENDUIDO INTERIOR ALBAPLAST X 10</t>
  </si>
  <si>
    <t>000533</t>
  </si>
  <si>
    <t>MASILLA PLASTICA ZEOCAR FINISH X 4 (48)</t>
  </si>
  <si>
    <t>000534</t>
  </si>
  <si>
    <t>MASILLA PLASTICA MMB X 0,500</t>
  </si>
  <si>
    <t>000535</t>
  </si>
  <si>
    <t>MASILLA PLASTICA MMB X 1</t>
  </si>
  <si>
    <t>000536</t>
  </si>
  <si>
    <t>MASILLA PLASTICA MMB X 4</t>
  </si>
  <si>
    <t>000537</t>
  </si>
  <si>
    <t>PINCEL ROSARPIN 1700 V1 C.CH 7</t>
  </si>
  <si>
    <t>000538</t>
  </si>
  <si>
    <t>ESMALTE SINTETICO PLAVICON 3EN1 BRILLANTE GRIS HIELO X  4</t>
  </si>
  <si>
    <t>000539</t>
  </si>
  <si>
    <t>PARCHE ADHESIVO POXITAS X 12</t>
  </si>
  <si>
    <t>000540</t>
  </si>
  <si>
    <t>ESMALTE SINTETICO PLAVICON 3EN1 BRILLANTE GRIS HIELO X 20</t>
  </si>
  <si>
    <t>000541</t>
  </si>
  <si>
    <t>ESMALTE SINTETICO PLAVICON 3EN1 BRILLANTE GRIS ESPACIAL X  0,250</t>
  </si>
  <si>
    <t>000542</t>
  </si>
  <si>
    <t>ESMALTE SINTETICO PLAVICON 3EN1 BRILLANTE GRIS ESPACIAL X  0,500</t>
  </si>
  <si>
    <t>000543</t>
  </si>
  <si>
    <t>SOLDURA PLASTICA POXIPOL TRANSPARENTE X 14</t>
  </si>
  <si>
    <t>000544</t>
  </si>
  <si>
    <t>PINCEL ROSARPIN 170 V1 NO. 7</t>
  </si>
  <si>
    <t>000545</t>
  </si>
  <si>
    <t>MEZCLA ADHESIVA PLASTICA POXIMIX INTERIOR X 0,500 (126)</t>
  </si>
  <si>
    <t>000546</t>
  </si>
  <si>
    <t>MEZCLA ADHESIVA PLASTICA POXIMIX INTERIOR X 1,250 (518)</t>
  </si>
  <si>
    <t>000547</t>
  </si>
  <si>
    <t>MEZCLA ADHESIVA PLASTICA POXIMIX EXTERIOR X 0,500 (519)</t>
  </si>
  <si>
    <t>000548</t>
  </si>
  <si>
    <t>ADHESIVO DE CONTACTO POXIRRAN X 0,050</t>
  </si>
  <si>
    <t>000549</t>
  </si>
  <si>
    <t>ESMALTE SINTETICO PLAVICON 3EN1 BRILLANTE GRIS ESPACIAL X  1</t>
  </si>
  <si>
    <t>000550</t>
  </si>
  <si>
    <t>ESTOPA PARA LIMPIEZA LUMAR X 0,300 (33/A)</t>
  </si>
  <si>
    <t>000551</t>
  </si>
  <si>
    <t>LIJA TELA ESMERIL DOBLE A N  36</t>
  </si>
  <si>
    <t>000552</t>
  </si>
  <si>
    <t>SILICONA FASTIX TRANSPARENTE X 100</t>
  </si>
  <si>
    <t>000553</t>
  </si>
  <si>
    <t>PINCELETA ROSARPIN 9000 C.CH.40</t>
  </si>
  <si>
    <t>000554</t>
  </si>
  <si>
    <t>MEZCLA ADHESIVA PLASTICA POXIMIX EXTERIOR X 1,250 (520)</t>
  </si>
  <si>
    <t>000555</t>
  </si>
  <si>
    <t>PINCELETA ROSARPIN 50 STAN.40</t>
  </si>
  <si>
    <t>000556</t>
  </si>
  <si>
    <t>PANO DE CORDERO ZEOCAR CON ABROJO 8 (120)</t>
  </si>
  <si>
    <t>000557</t>
  </si>
  <si>
    <t>PANO DE CORDERO DOBLE ZEOCAR CON ABROJO 8 (121)</t>
  </si>
  <si>
    <t>000558</t>
  </si>
  <si>
    <t>PANO DE GOMA ESPUMA ZEOCAR CON ABROJO 8 NEGRO (130)</t>
  </si>
  <si>
    <t>000559</t>
  </si>
  <si>
    <t>PANO DE GOMA ESPUMA ZEOCAR DOBLE 8 (131)</t>
  </si>
  <si>
    <t>000560</t>
  </si>
  <si>
    <t>ADAPTADOR ZEOCAR DE M14 A 5/8 (100)</t>
  </si>
  <si>
    <t>000561</t>
  </si>
  <si>
    <t>LIJA TELA ESMERIL DOBLE A N 120</t>
  </si>
  <si>
    <t>000562</t>
  </si>
  <si>
    <t>LIJA TELA ESMERIL DOBLE A N  80</t>
  </si>
  <si>
    <t>000563</t>
  </si>
  <si>
    <t>LIJA TELA ESMERIL DOBLE A N  50</t>
  </si>
  <si>
    <t>000564</t>
  </si>
  <si>
    <t>PINCELETA ROSARPIN 150 P.S 40</t>
  </si>
  <si>
    <t>000565</t>
  </si>
  <si>
    <t>LIJA TELA ESMERIL DOBLE A N 180</t>
  </si>
  <si>
    <t>000566</t>
  </si>
  <si>
    <t>PINCEL ROSARPIN 170 V1 NO.10</t>
  </si>
  <si>
    <t>000567</t>
  </si>
  <si>
    <t>PINCEL ROSARPIN 170 V1 NO.15</t>
  </si>
  <si>
    <t>000568</t>
  </si>
  <si>
    <t>PINCEL ROSARPIN 170 V1 NO.20</t>
  </si>
  <si>
    <t>000569</t>
  </si>
  <si>
    <t>PINCEL ROSARPIN 170 V1 NO.25</t>
  </si>
  <si>
    <t>000570</t>
  </si>
  <si>
    <t>PINCEL ROSARPIN 170 V1 NO.30</t>
  </si>
  <si>
    <t>000571</t>
  </si>
  <si>
    <t>ESMALTE SINTETICO PLAVICON 3EN1 BRILLANTE GRIS ESPACIAL X  4</t>
  </si>
  <si>
    <t>000572</t>
  </si>
  <si>
    <t>ESMALTE SINTETICO PLAVICON 3EN1 BRILLANTE GRIS ESPACIAL X 20</t>
  </si>
  <si>
    <t>000573</t>
  </si>
  <si>
    <t>ESMALTE SINTETICO PLAVICON 3EN1 BRILLANTE VERDE NOCHE X  0,250</t>
  </si>
  <si>
    <t>000574</t>
  </si>
  <si>
    <t>ESMALTE SINTETICO PLAVICON 3EN1 BRILLANTE VERDE NOCHE X  0,500</t>
  </si>
  <si>
    <t>000575</t>
  </si>
  <si>
    <t>ESMALTE SINTETICO PLAVICON 3EN1 BRILLANTE VERDE NOCHE X  1</t>
  </si>
  <si>
    <t>000576</t>
  </si>
  <si>
    <t>LIJA AL AGUA DOBLE A #   60</t>
  </si>
  <si>
    <t>000577</t>
  </si>
  <si>
    <t>LIJA AL AGUA DOBLE A # 1000 (MG)</t>
  </si>
  <si>
    <t>000578</t>
  </si>
  <si>
    <t>LIJA AL AGUA DOBLE A # 1200 (MG)</t>
  </si>
  <si>
    <t>000579</t>
  </si>
  <si>
    <t>ESMALTE SINTETICO PLAVICON 3EN1 BRILLANTE VERDE NOCHE X  4</t>
  </si>
  <si>
    <t>000580</t>
  </si>
  <si>
    <t>ESMALTE SINTETICO PLAVICON 3EN1 BRILLANTE VERDE NOCHE X 20</t>
  </si>
  <si>
    <t>000581</t>
  </si>
  <si>
    <t>PINCEL ROSARPIN 1700 V1 C.CH.10</t>
  </si>
  <si>
    <t>000582</t>
  </si>
  <si>
    <t>PINCEL ROSARPIN 1700 V1 C.CH.15</t>
  </si>
  <si>
    <t>000583</t>
  </si>
  <si>
    <t>PINCEL ROSARPIN 1700 V1 C.CH.20</t>
  </si>
  <si>
    <t>000584</t>
  </si>
  <si>
    <t>PINCEL ROSARPIN 1700 V1 C.CH.30</t>
  </si>
  <si>
    <t>000585</t>
  </si>
  <si>
    <t>REMOVEDOR GEL X 4</t>
  </si>
  <si>
    <t>000586</t>
  </si>
  <si>
    <t>PINCEL ROSARPIN 1462 V2 C.CH.10</t>
  </si>
  <si>
    <t>000587</t>
  </si>
  <si>
    <t>PINCEL ROSARPIN 1462 V2 C.CH.15</t>
  </si>
  <si>
    <t>000588</t>
  </si>
  <si>
    <t>PINCEL ROSARPIN 1462 V2 C.CH.20</t>
  </si>
  <si>
    <t>000589</t>
  </si>
  <si>
    <t>PINCEL ROSARPIN 1462 V2 C.CH.25</t>
  </si>
  <si>
    <t>000590</t>
  </si>
  <si>
    <t>PINCEL ROSARPIN 1462 V2 C.CH.30</t>
  </si>
  <si>
    <t>000591</t>
  </si>
  <si>
    <t>ESMALTE SINTETICO PLAVICON 3EN1 BRILLANTE VERDE INGLES X  0,250</t>
  </si>
  <si>
    <t>000592</t>
  </si>
  <si>
    <t>ESMALTE SINTETICO PLAVICON 3EN1 BRILLANTE VERDE INGLES X  0,500</t>
  </si>
  <si>
    <t>000593</t>
  </si>
  <si>
    <t>RODILLO LUMAR EPOXI PELO CORTO FINO  5(44/A)</t>
  </si>
  <si>
    <t>000594</t>
  </si>
  <si>
    <t>RODILLO LUMAR EPOXI PELO CORTO FINO  8(44/B)</t>
  </si>
  <si>
    <t>000595</t>
  </si>
  <si>
    <t>RODILLO LUMAR EPOXI PELO CORTO FINO 10(44/C)</t>
  </si>
  <si>
    <t>000596</t>
  </si>
  <si>
    <t>PINCEL ROSARPIN 1700 V1 C.CH.25</t>
  </si>
  <si>
    <t>000597</t>
  </si>
  <si>
    <t>BARNIZ PARA MADERA INTERIOR CRISTALBA AL AGUA BRILLANTE NATURAL X 4</t>
  </si>
  <si>
    <t>000598</t>
  </si>
  <si>
    <t>CLIP-PIN SOSTENEDOR DE PINCEL</t>
  </si>
  <si>
    <t>000599</t>
  </si>
  <si>
    <t>ESMALTE SINTETICO PLAVICON 3EN1 BRILLANTE VERDE INGLES X  1</t>
  </si>
  <si>
    <t>000600</t>
  </si>
  <si>
    <t>ESMALTE SINTETICO PLAVICON 3EN1 BRILLANTE VERDE INGLES X  4</t>
  </si>
  <si>
    <t>000601</t>
  </si>
  <si>
    <t>ESMALTE SINTETICO PLAVICON 3EN1 BRILLANTE VERDE INGLES X 20</t>
  </si>
  <si>
    <t>000602</t>
  </si>
  <si>
    <t>ESMALTE SINTETICO PLAVICON 3EN1 BRILLANTE VERDE CLARO X  0,250</t>
  </si>
  <si>
    <t>000603</t>
  </si>
  <si>
    <t>ESMALTE SINTETICO PLAVICON 3EN1 BRILLANTE VERDE CLARO X  0,500</t>
  </si>
  <si>
    <t>000604</t>
  </si>
  <si>
    <t>ESMALTE SINTETICO PLAVICON 3EN1 BRILLANTE VERDE CLARO X  1</t>
  </si>
  <si>
    <t>000605</t>
  </si>
  <si>
    <t>DETAILING KAC ZEOCAR (140)</t>
  </si>
  <si>
    <t>000606</t>
  </si>
  <si>
    <t>PLATO SOPORTE M14 ZEOCAR (110)</t>
  </si>
  <si>
    <t>000607</t>
  </si>
  <si>
    <t>LIJA PARA MASILLA PLATICA DOBLE A 50</t>
  </si>
  <si>
    <t>000608</t>
  </si>
  <si>
    <t>BARNIZ PARA MADERA INTERIOR CRISTALBA AL AGUA BRILLANTE NATURAL X 1</t>
  </si>
  <si>
    <t>000609</t>
  </si>
  <si>
    <t>PANO DE MICROFIBRA ZEOCAR 40X50MM (90)</t>
  </si>
  <si>
    <t>000610</t>
  </si>
  <si>
    <t>FONDO CONVERTIDOR DE OXIDO CONVERPLAST MATE BLANCO X  0,500</t>
  </si>
  <si>
    <t>000611</t>
  </si>
  <si>
    <t>FONDO CONVERTIDOR DE OXIDO CONVERPLAST MATE BLANCO X  1</t>
  </si>
  <si>
    <t>000612</t>
  </si>
  <si>
    <t>FONDO CONVERTIDOR DE OXIDO CONVERPLAST MATE BLANCO X  4</t>
  </si>
  <si>
    <t>000613</t>
  </si>
  <si>
    <t>FONDO CONVERTIDOR DE OXIDO CONVERPLAST MATE BLANCO X 20</t>
  </si>
  <si>
    <t>000614</t>
  </si>
  <si>
    <t>FONDO CONVERTIDOR DE OXIDO CONVERPLAST MATE GRIS X  0,500</t>
  </si>
  <si>
    <t>000615</t>
  </si>
  <si>
    <t>FONDO CONVERTIDOR DE OXIDO CONVERPLAST MATE GRIS X  1</t>
  </si>
  <si>
    <t>000616</t>
  </si>
  <si>
    <t>AFIX SILICONA ACETICO TTE X 0,280</t>
  </si>
  <si>
    <t>000617</t>
  </si>
  <si>
    <t>ENDUIDO INTERIOR ALBAPLAST X 20</t>
  </si>
  <si>
    <t>000618</t>
  </si>
  <si>
    <t>SELLADOR SINTETICO MULTIUSO TACK NODULO CARTUCHO X 0,400</t>
  </si>
  <si>
    <t>000619</t>
  </si>
  <si>
    <t>FONDO CONVERTIDOR DE OXIDO CONVERPLAST MATE GRIS X  4</t>
  </si>
  <si>
    <t>000620</t>
  </si>
  <si>
    <t>FONDO CONVERTIDOR DE OXIDO CONVERPLAST MATE GRIS X 20</t>
  </si>
  <si>
    <t>000621</t>
  </si>
  <si>
    <t>FONDO CONVERTIDOR DE OXIDO CONVERPLAST MATE ROJO X  0,500</t>
  </si>
  <si>
    <t>000622</t>
  </si>
  <si>
    <t>FONDO CONVERTIDOR DE OXIDO CONVERPLAST MATE ROJO X  1</t>
  </si>
  <si>
    <t>000623</t>
  </si>
  <si>
    <t>FONDO CONVERTIDOR DE OXIDO CONVERPLAST MATE ROJO X  4</t>
  </si>
  <si>
    <t>000624</t>
  </si>
  <si>
    <t>FIJADOR PARA PARED ALBA AL AGUA X  1</t>
  </si>
  <si>
    <t>000625</t>
  </si>
  <si>
    <t>FIJADOR PARA PARED ALBA AL AGUA X  4</t>
  </si>
  <si>
    <t>000626</t>
  </si>
  <si>
    <t>FIJADOR PARA PARED ALBA AL AGUA X 10</t>
  </si>
  <si>
    <t>000627</t>
  </si>
  <si>
    <t>FIJADOR PARA PARED ALBA AL AGUA X 20</t>
  </si>
  <si>
    <t>000628</t>
  </si>
  <si>
    <t>PINCEL ROSARPIN FILETEAR CH/R.14</t>
  </si>
  <si>
    <t>000629</t>
  </si>
  <si>
    <t>PINCEL ROSARPIN FILETEAR CH/R.16</t>
  </si>
  <si>
    <t>000630</t>
  </si>
  <si>
    <t>PASTA PARA PULIR FINA ZEOCAR X 0,480 (01)</t>
  </si>
  <si>
    <t>000631</t>
  </si>
  <si>
    <t>PASTA PARA PULIR FINA ZEOCAR X 1 (02)</t>
  </si>
  <si>
    <t>000632</t>
  </si>
  <si>
    <t>PASTA PARA PULIR GRUESA ZEOCAR X 0,480 (04)</t>
  </si>
  <si>
    <t>000633</t>
  </si>
  <si>
    <t>FONDO CONVERTIDOR DE OXIDO CONVERPLAST MATE ROJO X 20</t>
  </si>
  <si>
    <t>000634</t>
  </si>
  <si>
    <t>MASILLA PLASTICA ZEOCAR FINISH X 2,5 (46)</t>
  </si>
  <si>
    <t>000635</t>
  </si>
  <si>
    <t>FONDO CONVERTIDOR DE OXIDO CONVERPLAST MATE NEGRO X  0,500</t>
  </si>
  <si>
    <t>000636</t>
  </si>
  <si>
    <t>FONDO CONVERTIDOR DE OXIDO CONVERPLAST MATE NEGRO X  1</t>
  </si>
  <si>
    <t>000637</t>
  </si>
  <si>
    <t>FONDO CONVERTIDOR DE OXIDO CONVERPLAST MATE NEGRO X  4</t>
  </si>
  <si>
    <t>000638</t>
  </si>
  <si>
    <t>FONDO CONVERTIDOR DE OXIDO CONVERPLAST MATE NEGRO X 20</t>
  </si>
  <si>
    <t>000639</t>
  </si>
  <si>
    <t>ESMALTE SINTETICO PLAVICON 3EN1 BRILLANTE VERDE CLARO X  4</t>
  </si>
  <si>
    <t>000640</t>
  </si>
  <si>
    <t>PASTA AL AGUA ZEOCAR FINE PASTE X 0,500 (76)</t>
  </si>
  <si>
    <t>000641</t>
  </si>
  <si>
    <t>MORTERO ANTIHUMEDAD RECUBLOCK CIMIENTOS SINTEPLAST X  5</t>
  </si>
  <si>
    <t>000642</t>
  </si>
  <si>
    <t>MORTERO ANTIHUMEDAD RECUBLOCK CIMIENTOS SINTEPLAST X 12</t>
  </si>
  <si>
    <t>000643</t>
  </si>
  <si>
    <t>ZEOCAR FINISH LIGHT BLUE MAS X 1,340 (44)</t>
  </si>
  <si>
    <t>000644</t>
  </si>
  <si>
    <t>LIJA PARA MASILLA PLATICA DOBLE A 80</t>
  </si>
  <si>
    <t>000645</t>
  </si>
  <si>
    <t>PASTA AL AGUA ZEOCAR FINE PASTE X 0,200 (74)</t>
  </si>
  <si>
    <t>000646</t>
  </si>
  <si>
    <t>PASTA AL AGUA ZEOCAR FINE PASTE X 1 (75)</t>
  </si>
  <si>
    <t>000647</t>
  </si>
  <si>
    <t>PASTA PARA PULIR A MAQUINA ZEOCAR MACHINE GLAZE X 0,200 (77)</t>
  </si>
  <si>
    <t>000648</t>
  </si>
  <si>
    <t>PASTA PARA PULIR A MAQUINA ZEOCAR MACHINE GLAZE X 1 (78)</t>
  </si>
  <si>
    <t>000649</t>
  </si>
  <si>
    <t>PINTURA ASFALTICA SECADO RAPIDO MEGAFLEX X  1</t>
  </si>
  <si>
    <t>000650</t>
  </si>
  <si>
    <t>PINTURA ASFALTICA SECADO RAPIDO MEGAFLEX X  4</t>
  </si>
  <si>
    <t>000651</t>
  </si>
  <si>
    <t>PINTURA ASFALTICA SECADO RAPIDO MEGAFLEX X 18</t>
  </si>
  <si>
    <t>000652</t>
  </si>
  <si>
    <t>MASILLA POLIESTER ZEOCAR X 0,300 (66)</t>
  </si>
  <si>
    <t>000653</t>
  </si>
  <si>
    <t>MASILLA POLIESTER ZEOCAR X 0,500 (34)</t>
  </si>
  <si>
    <t>000654</t>
  </si>
  <si>
    <t>CERA CARNAUBA ZEOCAR ZEOWAX X 0,290 (83)</t>
  </si>
  <si>
    <t>000655</t>
  </si>
  <si>
    <t>MASILLA POLIESTER ZEOCAR X 1 (35)</t>
  </si>
  <si>
    <t>000656</t>
  </si>
  <si>
    <t>MASILLA POLIESTER ZEOCAR X 2,50 (38)</t>
  </si>
  <si>
    <t>000657</t>
  </si>
  <si>
    <t>MASILLA POLIESTER ZEOCAR X 3,25 (33)</t>
  </si>
  <si>
    <t>000658</t>
  </si>
  <si>
    <t>MASILLA POLIESTER ZEOCAR X 4 (37)</t>
  </si>
  <si>
    <t>000659</t>
  </si>
  <si>
    <t>PISTOLA PARA PINTAR CANE A.L 150</t>
  </si>
  <si>
    <t>000660</t>
  </si>
  <si>
    <t>PISTOLA PARA PINTAR CANE  A.L 700</t>
  </si>
  <si>
    <t>000661</t>
  </si>
  <si>
    <t>AEROSOL RUST-OLEUM SP BANERAS Y AZULEJOS X 0,340(280882 / 358949)</t>
  </si>
  <si>
    <t>000662</t>
  </si>
  <si>
    <t>PISTOLA PARA PINTAR CANE C 5000</t>
  </si>
  <si>
    <t>000663</t>
  </si>
  <si>
    <t>PISTOLA PARA PINTAR CANE S.K.P.</t>
  </si>
  <si>
    <t>000664</t>
  </si>
  <si>
    <t>RODILLO LUMAR LANA MARRON ESPECIAL 17 (510B)</t>
  </si>
  <si>
    <t>000665</t>
  </si>
  <si>
    <t>RODILLO LUMAR LANA MARRON ESPECIAL 22 (510C)</t>
  </si>
  <si>
    <t>000666</t>
  </si>
  <si>
    <t>PISTOLA PARA PINTAR CANE H.V.G.</t>
  </si>
  <si>
    <t>000667</t>
  </si>
  <si>
    <t>PASTA PARA PULIR A MAQUINA ZEOCAR MACHINE GLAZE X 0,500 (79)</t>
  </si>
  <si>
    <t>000668</t>
  </si>
  <si>
    <t>MASILLA POLIESTER PARA PLASTICOS ZEOFLEX X 0,700 (65)</t>
  </si>
  <si>
    <t>000669</t>
  </si>
  <si>
    <t>PARCHE PLASTICO ZEOCAR FIBRADA X 0,535 (20)</t>
  </si>
  <si>
    <t>000670</t>
  </si>
  <si>
    <t>PARCHE PLASTICO ZEOCAR FIBRADA X 1,5 (21)</t>
  </si>
  <si>
    <t>000671</t>
  </si>
  <si>
    <t>ESMALTE SINTETICO PLAVICON 3EN1 BRILLANTE VERDE CLARO X 20</t>
  </si>
  <si>
    <t>000672</t>
  </si>
  <si>
    <t>DILUYENTE DESENGRASANTE X  1</t>
  </si>
  <si>
    <t>000673</t>
  </si>
  <si>
    <t>DILUYENTE DESENGRASANTE X  4</t>
  </si>
  <si>
    <t>000674</t>
  </si>
  <si>
    <t>RODILLO LUMAR LANA BLANCO 17 (210B)</t>
  </si>
  <si>
    <t>000675</t>
  </si>
  <si>
    <t>RODILLO LUMAR LANA BLANCO 22 (210C)</t>
  </si>
  <si>
    <t>000676</t>
  </si>
  <si>
    <t>ADHESIVO MOLDURA COLVINIL CARTUCHO X 0,500</t>
  </si>
  <si>
    <t>000677</t>
  </si>
  <si>
    <t>ADHESIVO MOLDURA COLVINIL X 1,200</t>
  </si>
  <si>
    <t>000678</t>
  </si>
  <si>
    <t>RODILLO LUMAR MINI COMUN  5 CM (40A)</t>
  </si>
  <si>
    <t>000679</t>
  </si>
  <si>
    <t>RODILLO LUMAR MINI COMUN  8 CM (40B)</t>
  </si>
  <si>
    <t>000680</t>
  </si>
  <si>
    <t>RODILLO LUMAR MINI COMUN 10 CM (40C)</t>
  </si>
  <si>
    <t>000681</t>
  </si>
  <si>
    <t>DILUYENTE TERSUAVE THINNER STANDARD X  1</t>
  </si>
  <si>
    <t>000682</t>
  </si>
  <si>
    <t>DILUYENTE TERSUAVE THINNER STANDARD X  4</t>
  </si>
  <si>
    <t>000683</t>
  </si>
  <si>
    <t>PROTECTOR PARA LADRILLO DURALBA SATINADO CON PELICULA CERAMICO  X  1</t>
  </si>
  <si>
    <t>000684</t>
  </si>
  <si>
    <t>PROTECTOR PARA LADRILLO DURALBA SATINADO CON PELICULA CERAMICO  X  4</t>
  </si>
  <si>
    <t>000685</t>
  </si>
  <si>
    <t>THINNER STANDARD X 18</t>
  </si>
  <si>
    <t>000686</t>
  </si>
  <si>
    <t>PROTECTOR PARA LADRILLO DURALBA SATINADO CON PELICULA CERAMICO  X 20</t>
  </si>
  <si>
    <t>000687</t>
  </si>
  <si>
    <t>ESMALTE SINTETICO COLORIN TITANIO BRILLANTE BLANCO X 0,500</t>
  </si>
  <si>
    <t>000688</t>
  </si>
  <si>
    <t>ESMALTE SINTETICO COLORIN TITANIO BRILLANTE BLANCO X 1</t>
  </si>
  <si>
    <t>000689</t>
  </si>
  <si>
    <t>THINNER STANDARD X 200</t>
  </si>
  <si>
    <t>000690</t>
  </si>
  <si>
    <t>ESMALTE SINTETICO COLORIN TITANIO BRILLANTE BLANCO X 4</t>
  </si>
  <si>
    <t>000691</t>
  </si>
  <si>
    <t>TRAPO REJILLA (40X50)</t>
  </si>
  <si>
    <t>000692</t>
  </si>
  <si>
    <t>LUBRICANTE ANTIOXIDANTE WD-40 X 3,78 (1GALON)</t>
  </si>
  <si>
    <t>000693</t>
  </si>
  <si>
    <t>TRAPO FRANELA (50X50)</t>
  </si>
  <si>
    <t>000694</t>
  </si>
  <si>
    <t>AUTOPOLISH COLORIN CLASICO PROFES.X 0,900</t>
  </si>
  <si>
    <t>000695</t>
  </si>
  <si>
    <t>TIZA BCO X 1</t>
  </si>
  <si>
    <t>000696</t>
  </si>
  <si>
    <t>FERRITE ROJO X 0,500</t>
  </si>
  <si>
    <t>000697</t>
  </si>
  <si>
    <t>FERRITE ROJO X 1</t>
  </si>
  <si>
    <t>000698</t>
  </si>
  <si>
    <t>DILUYENTE DESENGRASANTE X 18</t>
  </si>
  <si>
    <t>000699</t>
  </si>
  <si>
    <t>APLICADOR WD-40</t>
  </si>
  <si>
    <t>000700</t>
  </si>
  <si>
    <t>THINNER DIXILINA S/ORO X  0,900</t>
  </si>
  <si>
    <t>000701</t>
  </si>
  <si>
    <t>THINNER DIXILINA S/ORO X  3,600</t>
  </si>
  <si>
    <t>000702</t>
  </si>
  <si>
    <t>DILUYENTE DESENGRASANTE DIXILINA ANTISILICONA X 200</t>
  </si>
  <si>
    <t>000703</t>
  </si>
  <si>
    <t>THINNER DIXILINA S/ORO X 200</t>
  </si>
  <si>
    <t>000704</t>
  </si>
  <si>
    <t>THINNER TEDE S.ORO X  4</t>
  </si>
  <si>
    <t>000705</t>
  </si>
  <si>
    <t>PASTA PARA PULIR MANUAL ZEOCAR HAND GLAZE X 0,200 (80)</t>
  </si>
  <si>
    <t>000706</t>
  </si>
  <si>
    <t>THINNER DIXILINA S/ORO X 18</t>
  </si>
  <si>
    <t>000707</t>
  </si>
  <si>
    <t>DILUYENTE TERSUAVE THINNER ORO X   1</t>
  </si>
  <si>
    <t>000708</t>
  </si>
  <si>
    <t>PASTA PARA PULIR MANUAL ZEOCAR HAND GLAZE X 0,500 (82)</t>
  </si>
  <si>
    <t>000709</t>
  </si>
  <si>
    <t>PASTA PARA PULIR MANUAL ZEOCAR HAND GLAZE X 1 (81)</t>
  </si>
  <si>
    <t>000710</t>
  </si>
  <si>
    <t>PLAQUETA PARA PULIR ROJA</t>
  </si>
  <si>
    <t>000711</t>
  </si>
  <si>
    <t>ENDUIDO EXTERIOR ALBA X 10</t>
  </si>
  <si>
    <t>000712</t>
  </si>
  <si>
    <t>DILUYENTE TERSUAVE THINNER ORO X   4</t>
  </si>
  <si>
    <t>000713</t>
  </si>
  <si>
    <t>THINNER SELLO DE ORO X 18</t>
  </si>
  <si>
    <t>000714</t>
  </si>
  <si>
    <t>THINNER SELLO DE ORO X 200</t>
  </si>
  <si>
    <t>000715</t>
  </si>
  <si>
    <t>VIRUTA DE ACERO LA HACENDOSA GRUESA X 330</t>
  </si>
  <si>
    <t>000716</t>
  </si>
  <si>
    <t>VIRUTA DE ACERO LA HACENDOSA MEDIANA X 330</t>
  </si>
  <si>
    <t>000717</t>
  </si>
  <si>
    <t>VIRUTA DE ACERO LA HACENDOSA FINA X 330</t>
  </si>
  <si>
    <t>000718</t>
  </si>
  <si>
    <t>YESO TRADICIONAL TUYANGO BLANCO X 1</t>
  </si>
  <si>
    <t>000719</t>
  </si>
  <si>
    <t>FERRITE AMARILLO X 0,500</t>
  </si>
  <si>
    <t>000720</t>
  </si>
  <si>
    <t>FERRITE AMARILLO X 1</t>
  </si>
  <si>
    <t>000721</t>
  </si>
  <si>
    <t>YESO TRADICIONAL TUYANGO BLANCO X 3,500</t>
  </si>
  <si>
    <t>000722</t>
  </si>
  <si>
    <t>LUBRICANTE ANTIOXIDANTE WD-40 X  155</t>
  </si>
  <si>
    <t>000723</t>
  </si>
  <si>
    <t>PROMOTOR ADHESION PARA PLASTICO MMB X 0,500</t>
  </si>
  <si>
    <t>000724</t>
  </si>
  <si>
    <t>LIJA DOBLE A MASTER N 400</t>
  </si>
  <si>
    <t>000725</t>
  </si>
  <si>
    <t>IMPREGNANTE PARA MADERA CETOL BALANCE VINTAGE X 1</t>
  </si>
  <si>
    <t>000726</t>
  </si>
  <si>
    <t>IMPREGNANTE PARA MADERA CETOL BALANCE VINTAGE X 4</t>
  </si>
  <si>
    <t>000727</t>
  </si>
  <si>
    <t>SILICONA FASTIX ALTA TEMPERATURA X 25</t>
  </si>
  <si>
    <t>000728</t>
  </si>
  <si>
    <t>ESCALERA DE MADERA SIN FIN PINTOR  4</t>
  </si>
  <si>
    <t>000729</t>
  </si>
  <si>
    <t>LIJA DOBLE A MASTER N 600</t>
  </si>
  <si>
    <t>000730</t>
  </si>
  <si>
    <t>EXTENSOR DE ALUMINIO ROSARPIN 1,50-4,50 M</t>
  </si>
  <si>
    <t>000731</t>
  </si>
  <si>
    <t>LIJA DOBLE A MASTER N 800</t>
  </si>
  <si>
    <t>000732</t>
  </si>
  <si>
    <t>THINNER ALBA S/ORO S (C850-0500) (DISCONTINUADO)</t>
  </si>
  <si>
    <t>000733</t>
  </si>
  <si>
    <t>EXTENSOR DE ALUMINIO ROSARPIN 1,00-2,00 M</t>
  </si>
  <si>
    <t>000734</t>
  </si>
  <si>
    <t>EXTENSOR DE ALUMINIO ROSARPIN 1,50-3,00 M</t>
  </si>
  <si>
    <t>000735</t>
  </si>
  <si>
    <t>EXTENSOR DE ALUMINIO ROSARPIN 1,60-6,00 M</t>
  </si>
  <si>
    <t>000736</t>
  </si>
  <si>
    <t>FONDO ANTIOXIDO ALBA INDUSTRIAL GRIS X  4</t>
  </si>
  <si>
    <t>000737</t>
  </si>
  <si>
    <t>CABALLETE MADERA SIN FIN</t>
  </si>
  <si>
    <t>000738</t>
  </si>
  <si>
    <t>SOLDURA PLASTICA POXIPOL GRIS X 14</t>
  </si>
  <si>
    <t>000739</t>
  </si>
  <si>
    <t>SUB/C.ACUOSO PROMO BCO X 1</t>
  </si>
  <si>
    <t>000740</t>
  </si>
  <si>
    <t>LUBRICANTE ANTIOXIDANTE WD-40 X  311</t>
  </si>
  <si>
    <t>000741</t>
  </si>
  <si>
    <t>LIJA DOBLE A MASTER N 240</t>
  </si>
  <si>
    <t>000742</t>
  </si>
  <si>
    <t>LIJA DOBLE A MASTER N 360</t>
  </si>
  <si>
    <t>000743</t>
  </si>
  <si>
    <t>PINCELETA ROSARPIN 180 CCH.40</t>
  </si>
  <si>
    <t>000744</t>
  </si>
  <si>
    <t>ESCALERA DE MADERA SIN FIN FAMILIAR SIMPLE 5</t>
  </si>
  <si>
    <t>000745</t>
  </si>
  <si>
    <t>ESCALERA DE MADERA SIN FIN FAMILIAR SIMPLE 6</t>
  </si>
  <si>
    <t>000746</t>
  </si>
  <si>
    <t>ESCALERA DE MADERA SIN FIN FAMILIAR SIMPLE 7</t>
  </si>
  <si>
    <t>000747</t>
  </si>
  <si>
    <t>ESCALERA DE MADERA SIN FIN FAMILIAR SIMPLE 8</t>
  </si>
  <si>
    <t>000748</t>
  </si>
  <si>
    <t>ESCALERA DE MADERA SIN FIN FAMILIAR SIMPLE 9</t>
  </si>
  <si>
    <t>000749</t>
  </si>
  <si>
    <t>ESCALERA DE MADERA SIN FIN FAMILIAR SIMPLE10</t>
  </si>
  <si>
    <t>000750</t>
  </si>
  <si>
    <t>ESCALERA DE MADERA SIN FIN PINTOR  5</t>
  </si>
  <si>
    <t>000751</t>
  </si>
  <si>
    <t>ESCALERA DE MADERA SIN FIN PINTOR  6</t>
  </si>
  <si>
    <t>000752</t>
  </si>
  <si>
    <t>ESCALERA DE MADERA SIN FIN PINTOR  7</t>
  </si>
  <si>
    <t>000753</t>
  </si>
  <si>
    <t>ESCALERA DE MADERA SIN FIN PINTOR  8</t>
  </si>
  <si>
    <t>000754</t>
  </si>
  <si>
    <t>ESCALERA DE MADERA SIN FIN PINTOR  9</t>
  </si>
  <si>
    <t>000755</t>
  </si>
  <si>
    <t>ESCALERA DE MADERA SIN FIN PINTOR 10</t>
  </si>
  <si>
    <t>000756</t>
  </si>
  <si>
    <t>ESCALERA DE MADERA SIN FIN PINTOR 11</t>
  </si>
  <si>
    <t>000757</t>
  </si>
  <si>
    <t>ESCALERA DE MADERA SIN FIN PINTOR 12</t>
  </si>
  <si>
    <t>000758</t>
  </si>
  <si>
    <t>ADHESIVO MOLDURA COLVINIL X 0,300</t>
  </si>
  <si>
    <t>000759</t>
  </si>
  <si>
    <t>ADHESIVO MOLDURA COLVINIL X 0,600</t>
  </si>
  <si>
    <t>000760</t>
  </si>
  <si>
    <t>RODILLO WOOLLY LANA ORO 10</t>
  </si>
  <si>
    <t>000761</t>
  </si>
  <si>
    <t>RODILLO WOOLLY LANA ORO 18</t>
  </si>
  <si>
    <t>000762</t>
  </si>
  <si>
    <t>RODILLO WOOLLY LANA ORO 22</t>
  </si>
  <si>
    <t>000763</t>
  </si>
  <si>
    <t>RODILLO ROSARPIN DE PUAS T.40 - 10 CM</t>
  </si>
  <si>
    <t>000764</t>
  </si>
  <si>
    <t>RODILLO ROSARPIN DE PUAS T.40 - 22 CM</t>
  </si>
  <si>
    <t>000765</t>
  </si>
  <si>
    <t>FIJADOR PARA PARED SELLAPLAST SINTEPLAST AL AGUA X  1</t>
  </si>
  <si>
    <t>000766</t>
  </si>
  <si>
    <t>FIJADOR PARA PARED SELLAPLAST SINTEPLAST AL AGUA X  4</t>
  </si>
  <si>
    <t>000767</t>
  </si>
  <si>
    <t>FIJADOR PARA PARED SELLAPLAST SINTEPLAST AL AGUA X 10</t>
  </si>
  <si>
    <t>000768</t>
  </si>
  <si>
    <t>FIJADOR PARA PARED SELLAPLAST SINTEPLAST AL AGUA X 20</t>
  </si>
  <si>
    <t>000769</t>
  </si>
  <si>
    <t>RASQUETA LIMPIA VIDRIOS-SCRAPPER</t>
  </si>
  <si>
    <t>000770</t>
  </si>
  <si>
    <t>ESMALTE SINTETICO PLAVICON 3EN1 BRILLANTE AZUL MARINO X  0,250</t>
  </si>
  <si>
    <t>000771</t>
  </si>
  <si>
    <t>ESMALTE SINTETICO PLAVICON 3EN1 BRILLANTE AZUL MARINO X  0,500</t>
  </si>
  <si>
    <t>000772</t>
  </si>
  <si>
    <t>ESMALTE SINTETICO PLAVICON 3EN1 BRILLANTE AZUL MARINO X  1</t>
  </si>
  <si>
    <t>000773</t>
  </si>
  <si>
    <t>CABALLETE METALICO SIN FIN</t>
  </si>
  <si>
    <t>000774</t>
  </si>
  <si>
    <t>CONVERSOL ROJO X 0,225</t>
  </si>
  <si>
    <t>000775</t>
  </si>
  <si>
    <t>ESMALTE SINTETICO SATINOL 2EN1 SATINADO BLANCO X  1</t>
  </si>
  <si>
    <t>000776</t>
  </si>
  <si>
    <t>ESMALTE SINTETICO SATINOL 2EN1 SATINADO BLANCO X  4</t>
  </si>
  <si>
    <t>000777</t>
  </si>
  <si>
    <t>LACA MELACRILICA PETRILAC BRILLANTE X 0,500</t>
  </si>
  <si>
    <t>000778</t>
  </si>
  <si>
    <t>LACA MELACRILICA PETRILAC SEMIMATE X 0,500</t>
  </si>
  <si>
    <t>000779</t>
  </si>
  <si>
    <t>MATEANTE PETRILAC X 500</t>
  </si>
  <si>
    <t>000780</t>
  </si>
  <si>
    <t>LIJA RUBI FLEX DOBLE A N 120/150 F.</t>
  </si>
  <si>
    <t>000781</t>
  </si>
  <si>
    <t>ESMALTE SINTETICO PLAVICON 3EN1 BRILLANTE AZUL MARINO X  4</t>
  </si>
  <si>
    <t>000782</t>
  </si>
  <si>
    <t>LIJA RUBI FLEX DOBLE A N  50/60 G.</t>
  </si>
  <si>
    <t>000783</t>
  </si>
  <si>
    <t>LIJA DOBLE A MASTER N 150</t>
  </si>
  <si>
    <t>000784</t>
  </si>
  <si>
    <t>LIJA DOBLE A MASTER N 180</t>
  </si>
  <si>
    <t>000785</t>
  </si>
  <si>
    <t>LIJA DOBLE A MASTER N 220</t>
  </si>
  <si>
    <t>000786</t>
  </si>
  <si>
    <t>LACA MELACRILICA PETRILAC SEMIMATE X 1</t>
  </si>
  <si>
    <t>000787</t>
  </si>
  <si>
    <t>LACA MELACRILICA PETRILAC SEMIMATE X 4</t>
  </si>
  <si>
    <t>000788</t>
  </si>
  <si>
    <t>ESCALERA MULTIPROPOSITO ALUMINIO 12 ESC</t>
  </si>
  <si>
    <t>000789</t>
  </si>
  <si>
    <t>ESCALERA MULTIPROPOSITO ALUMINIO 16 ESC.</t>
  </si>
  <si>
    <t>000790</t>
  </si>
  <si>
    <t>LIJA DOBLE A MASTER N 120</t>
  </si>
  <si>
    <t>000791</t>
  </si>
  <si>
    <t>LIJA DOBLE A MASTER N 280</t>
  </si>
  <si>
    <t>000792</t>
  </si>
  <si>
    <t>ESMALTE SINTETICO PLAVICON 3EN1 BRILLANTE AZUL MARINO X 20</t>
  </si>
  <si>
    <t>000793</t>
  </si>
  <si>
    <t>ESMALTE SINTETICO PLAVICON 3EN1 BRILLANTE AZUL TRAFUL X  0,250</t>
  </si>
  <si>
    <t>000794</t>
  </si>
  <si>
    <t>LACA MELACRILICA PETRILAC BRILLANTE X 1</t>
  </si>
  <si>
    <t>000795</t>
  </si>
  <si>
    <t>LACA MELACRILICA PETRILAC BRILLANTE X 4</t>
  </si>
  <si>
    <t>000796</t>
  </si>
  <si>
    <t>DILUYENTE PARA LACAS Y BARNICES PETRILAC X 0,500</t>
  </si>
  <si>
    <t>000797</t>
  </si>
  <si>
    <t>DILUYENTE PARA LACAS Y BARNICES PETRILAC X 1</t>
  </si>
  <si>
    <t>000798</t>
  </si>
  <si>
    <t>DILUYENTE PARA LACAS Y BARNICES PETRILAC X 4</t>
  </si>
  <si>
    <t>000799</t>
  </si>
  <si>
    <t>COLA VINILICA COLVINIL 04 X  0,250</t>
  </si>
  <si>
    <t>000800</t>
  </si>
  <si>
    <t>ENDUIDO INTERIOR ENDUPLAST SINTEPLAST X  1</t>
  </si>
  <si>
    <t>000801</t>
  </si>
  <si>
    <t>INDALBA FDO.OXIDO X  4</t>
  </si>
  <si>
    <t>000802</t>
  </si>
  <si>
    <t>ENVASE PLASTICO X  1</t>
  </si>
  <si>
    <t>000803</t>
  </si>
  <si>
    <t>ENVASE PLASTICO X  5</t>
  </si>
  <si>
    <t>000804</t>
  </si>
  <si>
    <t>DEMARCACION VIAL ALBAVIAL BLANCO X 4</t>
  </si>
  <si>
    <t>000805</t>
  </si>
  <si>
    <t>DEMARCACION VIAL ALBAVIAL AMARILLO X 4</t>
  </si>
  <si>
    <t>000806</t>
  </si>
  <si>
    <t>PINCEL ROSARPIN FILETEAR CH/R.20</t>
  </si>
  <si>
    <t>000807</t>
  </si>
  <si>
    <t>INDALBA FDO.OXIDO X 20</t>
  </si>
  <si>
    <t>000808</t>
  </si>
  <si>
    <t>CEMENTO DE CONTACTO COLVINIL 50 X  0,250</t>
  </si>
  <si>
    <t>000809</t>
  </si>
  <si>
    <t>CEMENTO DE CONTACTO COLVINIL 50 X  0,500</t>
  </si>
  <si>
    <t>000810</t>
  </si>
  <si>
    <t>CEMENTO DE CONTACTO COLVINIL 50 X  0,750 (1 LT)</t>
  </si>
  <si>
    <t>000811</t>
  </si>
  <si>
    <t>CEMENTO DE CONTACTO COLVINIL 50 X  2,800 (4 LTS)</t>
  </si>
  <si>
    <t>000812</t>
  </si>
  <si>
    <t>COLA VINILICA COLVINIL 04 X  1</t>
  </si>
  <si>
    <t>000813</t>
  </si>
  <si>
    <t>COLA VINILICA COLVINIL 04 X  5</t>
  </si>
  <si>
    <t>000814</t>
  </si>
  <si>
    <t>ESPATULA DE GOMA CHICA</t>
  </si>
  <si>
    <t>000815</t>
  </si>
  <si>
    <t>ENDUIDO INTERIOR ENDUPLAST SINTEPLAST X  4</t>
  </si>
  <si>
    <t>000816</t>
  </si>
  <si>
    <t>TALCO INDUSTRIAL X 1</t>
  </si>
  <si>
    <t>000817</t>
  </si>
  <si>
    <t>GUANTES DE JERSEY MOTEADOS X2</t>
  </si>
  <si>
    <t>000818</t>
  </si>
  <si>
    <t>PINTURA EN POLVO TERSUAVE MARFIL X 4</t>
  </si>
  <si>
    <t>000819</t>
  </si>
  <si>
    <t>ENDUIDO INTERIOR ENDUPLAST SINTEPLAST X 10</t>
  </si>
  <si>
    <t>000820</t>
  </si>
  <si>
    <t>ABRE BALDES X10 / X20</t>
  </si>
  <si>
    <t>000821</t>
  </si>
  <si>
    <t>LIJA DOBLE A MASTER N  80</t>
  </si>
  <si>
    <t>000822</t>
  </si>
  <si>
    <t>ESMALTE SINTETICO PLAVICON 3EN1 BRILLANTE AZUL TRAFUL X  0,500</t>
  </si>
  <si>
    <t>000823</t>
  </si>
  <si>
    <t>ESMALTE SINTETICO PLAVICON 3EN1 BRILLANTE AZUL TRAFUL X  1</t>
  </si>
  <si>
    <t>000824</t>
  </si>
  <si>
    <t>ENDUIDO INTERIOR ENDUPLAST SINTEPLAST X 25</t>
  </si>
  <si>
    <t>000825</t>
  </si>
  <si>
    <t>LATIZADOR MAGIPLAST 095 X 0,250</t>
  </si>
  <si>
    <t>000826</t>
  </si>
  <si>
    <t>FONDO ANTIOXIDO ALBA INDUSTRIAL ROJO X  4</t>
  </si>
  <si>
    <t>000827</t>
  </si>
  <si>
    <t>PINTURA EN POLVO TERSUAVE BLANCO X 4</t>
  </si>
  <si>
    <t>000828</t>
  </si>
  <si>
    <t>C210-3087 END.P/COL.POLIUR.X0,450 (DISCONTINUADO)</t>
  </si>
  <si>
    <t>000829</t>
  </si>
  <si>
    <t>C565-7007 PRIMER PU GRIS OSCURO X 0,750 (DISCONTINUADO)</t>
  </si>
  <si>
    <t>000830</t>
  </si>
  <si>
    <t>ESMALTE SINTETICO PLAVICON 3EN1 BRILLANTE BLANCO X  0,250</t>
  </si>
  <si>
    <t>000831</t>
  </si>
  <si>
    <t>ESMALTE SINTETICO PLAVICON 3EN1 BRILLANTE BLANCO X  0,500</t>
  </si>
  <si>
    <t>000832</t>
  </si>
  <si>
    <t>ESMALTE SINTETICO PLAVICON 3EN1 BRILLANTE BLANCO X  1</t>
  </si>
  <si>
    <t>000833</t>
  </si>
  <si>
    <t>ESMALTE SINTETICO PLAVICON 3EN1 BRILLANTE BLANCO X  4</t>
  </si>
  <si>
    <t>000834</t>
  </si>
  <si>
    <t>ESMALTE SINTETICO PLAVICON 3EN1 BRILLANTE BLANCO X 20</t>
  </si>
  <si>
    <t>000835</t>
  </si>
  <si>
    <t>PROTECTOR SUBCARROCERIA MMB ACUOSA NEGRO X 3,600</t>
  </si>
  <si>
    <t>000836</t>
  </si>
  <si>
    <t>PROTECTOR PARA LADRILLO DURALBA NATURAL SIN PELICULA X  4</t>
  </si>
  <si>
    <t>000837</t>
  </si>
  <si>
    <t>PROTECTOR PARA LADRILLO DURALBA NATURAL SIN PELICULA X 20</t>
  </si>
  <si>
    <t>000838</t>
  </si>
  <si>
    <t>BASE BICAPA MMB X 0,875</t>
  </si>
  <si>
    <t>000839</t>
  </si>
  <si>
    <t>MASCARA NORTON P1</t>
  </si>
  <si>
    <t>000840</t>
  </si>
  <si>
    <t>ESMALTE SINTETICO SATINOL 2EN1 SATINADO NEGRO X  1</t>
  </si>
  <si>
    <t>000841</t>
  </si>
  <si>
    <t>ESMALTE SINTETICO SATINOL 2EN1 SATINADO NEGRO X  4</t>
  </si>
  <si>
    <t>000842</t>
  </si>
  <si>
    <t>COMPL.BICAP.COLORIN G2 X0,125</t>
  </si>
  <si>
    <t>000843</t>
  </si>
  <si>
    <t>COMPL.BICAP.COLORIN G3 X0,125</t>
  </si>
  <si>
    <t>000844</t>
  </si>
  <si>
    <t>ESMALTE SINTETICO PLAVICON 3EN1 BRILLANTE AZUL TRAFUL X  4</t>
  </si>
  <si>
    <t>000845</t>
  </si>
  <si>
    <t>FONDO ANTIOXIDO ALBA INDUSTRIAL ROJO X 20</t>
  </si>
  <si>
    <t>000846</t>
  </si>
  <si>
    <t>ESPATULA DE GOMA GRANDE</t>
  </si>
  <si>
    <t>000847</t>
  </si>
  <si>
    <t>ENDUIDO EXTERIOR ENDUPLAST SINTEPLAST X  1</t>
  </si>
  <si>
    <t>000848</t>
  </si>
  <si>
    <t>ENDUIDO EXTERIOR ENDUPLAST SINTEPLAST X  4</t>
  </si>
  <si>
    <t>000849</t>
  </si>
  <si>
    <t>PINCEL ROSARPIN FILETEAR CH/R 2</t>
  </si>
  <si>
    <t>000850</t>
  </si>
  <si>
    <t>PINCEL ROSARPIN FILETEAR CH/R 4</t>
  </si>
  <si>
    <t>000851</t>
  </si>
  <si>
    <t>PINCEL ROSARPIN FILETEAR CH/R 6</t>
  </si>
  <si>
    <t>000852</t>
  </si>
  <si>
    <t>PINCEL ROSARPIN FILETEAR CH/R 8</t>
  </si>
  <si>
    <t>000853</t>
  </si>
  <si>
    <t>PINCEL ROSARPIN FILETEAR CH/R.10</t>
  </si>
  <si>
    <t>000854</t>
  </si>
  <si>
    <t>PINCEL ROSARPIN FILETEAR CH/R.12</t>
  </si>
  <si>
    <t>000855</t>
  </si>
  <si>
    <t>ENDUIDO EXTERIOR ENDUPLAST SINTEPLAST X 10</t>
  </si>
  <si>
    <t>000856</t>
  </si>
  <si>
    <t>MASCARA NORTON P2</t>
  </si>
  <si>
    <t>000857</t>
  </si>
  <si>
    <t>ENDUIDO EXTERIOR ENDUPLAST SINTEPLAST X 25</t>
  </si>
  <si>
    <t>000858</t>
  </si>
  <si>
    <t>PAD APLICADOR PLANO PARA PINTURA (A13M)</t>
  </si>
  <si>
    <t>000859</t>
  </si>
  <si>
    <t>BASE POLIURETANO 2K 2702 X 0,875</t>
  </si>
  <si>
    <t>000860</t>
  </si>
  <si>
    <t>CATALIZADOR 2K C-2721 X 0,500</t>
  </si>
  <si>
    <t>000861</t>
  </si>
  <si>
    <t>CINTA DE PINTOR DOBLE A AZUL (C900) 18MM X 40M</t>
  </si>
  <si>
    <t>000862</t>
  </si>
  <si>
    <t>LIJA DOBLE A MASTER N 100</t>
  </si>
  <si>
    <t>000863</t>
  </si>
  <si>
    <t>ESMALTE SINTETICO PLAVICON 3EN1 BRILLANTE AZUL TRAFUL X 20</t>
  </si>
  <si>
    <t>000864</t>
  </si>
  <si>
    <t>ESMALTE SINTETICO PLAVICON 3EN1 BRILLANTE AZULEJO X  0,250</t>
  </si>
  <si>
    <t>000865</t>
  </si>
  <si>
    <t>PINCEL ROSARPIN FILETEAR CH/R.18</t>
  </si>
  <si>
    <t>000866</t>
  </si>
  <si>
    <t>PINTURA PARA PILETA ALBA AL AGUA MATE CELESTE PROFUNDO X 4</t>
  </si>
  <si>
    <t>000867</t>
  </si>
  <si>
    <t>ESMALTE SINTETICO PLAVICON 3EN1 BRILLANTE AZULEJO X  0,500</t>
  </si>
  <si>
    <t>000868</t>
  </si>
  <si>
    <t>AUTOPOLISH COLORIN AUTOKLIN LPU X 0,900</t>
  </si>
  <si>
    <t>000869</t>
  </si>
  <si>
    <t>CINTA DE PINTOR DOBLE A AZUL (C900) 24MM X 40M</t>
  </si>
  <si>
    <t>000870</t>
  </si>
  <si>
    <t>CINTA DE PINTOR DOBLE A AZUL (C900) 36MM X 40M</t>
  </si>
  <si>
    <t>000871</t>
  </si>
  <si>
    <t>ESMALTE SINTETICO PLAVICON 3EN1 BRILLANTE AZULEJO X  1</t>
  </si>
  <si>
    <t>000872</t>
  </si>
  <si>
    <t>ESMALTE SINTETICO PLAVICON 3EN1 BRILLANTE AZULEJO X  4</t>
  </si>
  <si>
    <t>000873</t>
  </si>
  <si>
    <t>ESMALTE SINTETICO PLAVICON 3EN1 BRILLANTE AZULEJO X 20</t>
  </si>
  <si>
    <t>000874</t>
  </si>
  <si>
    <t>LUBRICANTE ANTIOXIDANTE WD-40 X  220</t>
  </si>
  <si>
    <t>000875</t>
  </si>
  <si>
    <t>CINTA DE PINTOR DOBLE A AZUL (C900) 48MM X 40M</t>
  </si>
  <si>
    <t>000876</t>
  </si>
  <si>
    <t>ESMALTE SINTETICO PLAVICON 3EN1 BRILLANTE CEDRO X  0,250</t>
  </si>
  <si>
    <t>000877</t>
  </si>
  <si>
    <t>AUTOPOLISH COLORIN AUTOKLIN CRISTALES C/BOMBA X 0,500</t>
  </si>
  <si>
    <t>000878</t>
  </si>
  <si>
    <t>AUTOPOLISH COLORIN SHAMPOO X 0,500</t>
  </si>
  <si>
    <t>000879</t>
  </si>
  <si>
    <t>ESMALTE SINTETICO PLAVICON 3EN1 BRILLANTE CEDRO X  0,500</t>
  </si>
  <si>
    <t>000880</t>
  </si>
  <si>
    <t>ESMALTE SINTETICO PLAVICON 3EN1 BRILLANTE CEDRO X  1</t>
  </si>
  <si>
    <t>000881</t>
  </si>
  <si>
    <t>THINNER DIXILINA ORO E X  1</t>
  </si>
  <si>
    <t>000882</t>
  </si>
  <si>
    <t>ESMALTE SINTETICO PLAVICON 3EN1 BRILLANTE CEDRO X  4</t>
  </si>
  <si>
    <t>000883</t>
  </si>
  <si>
    <t>AUTOPOLISH COLORIN EXPRESS X 0,450</t>
  </si>
  <si>
    <t>000884</t>
  </si>
  <si>
    <t>AUTOPOLISH COLORIN SILICONA C/GAT.450</t>
  </si>
  <si>
    <t>000885</t>
  </si>
  <si>
    <t>FONDO CONVERTIDOR DE OXIDO COLORIN SEAKROME NARANJA X 0,900</t>
  </si>
  <si>
    <t>000886</t>
  </si>
  <si>
    <t>FONDO CONVERTIDOR DE OXIDO COLORIN SEAKROME NARANJA X 3,600</t>
  </si>
  <si>
    <t>000887</t>
  </si>
  <si>
    <t>DILUYENTE PARA CEMENTO DE CONTACTO X 200</t>
  </si>
  <si>
    <t>000888</t>
  </si>
  <si>
    <t>FILTRO CANE C.10</t>
  </si>
  <si>
    <t>000889</t>
  </si>
  <si>
    <t>PURPURINA EN POLVO X 0.001</t>
  </si>
  <si>
    <t>000890</t>
  </si>
  <si>
    <t>ESMALTE SINTETICO PLAVICON 3EN1 BRILLANTE CEDRO X 20</t>
  </si>
  <si>
    <t>000891</t>
  </si>
  <si>
    <t>ESMALTE SINTETICO PLAVICON 3EN1 BRILLANTE TABACO X  0,250</t>
  </si>
  <si>
    <t>000892</t>
  </si>
  <si>
    <t>CINTA AUTOMOTOR DOBLE A PREMIUM (C995) 18MM X 40M</t>
  </si>
  <si>
    <t>000893</t>
  </si>
  <si>
    <t>CINTA AUTOMOTOR DOBLE A PREMIUM (C995) 48MM X 40M</t>
  </si>
  <si>
    <t>000894</t>
  </si>
  <si>
    <t>ENVASE PLASTICO X 10</t>
  </si>
  <si>
    <t>000895</t>
  </si>
  <si>
    <t>GUANTE NITRILO SOFT NEGRO S/P #L MEDIGLOVE X 100</t>
  </si>
  <si>
    <t>000896</t>
  </si>
  <si>
    <t>ESMALTE SINTETICO PLAVICON 3EN1 BRILLANTE TABACO X  0,500</t>
  </si>
  <si>
    <t>000897</t>
  </si>
  <si>
    <t>ESPONJA ABRASIVA DOBLE A SIMPLE 115X140X5 #180</t>
  </si>
  <si>
    <t>000898</t>
  </si>
  <si>
    <t>ESPONJA ABRASIVA DOBLE A SIMPLE 115X140X5 #100</t>
  </si>
  <si>
    <t>000899</t>
  </si>
  <si>
    <t>ESPONJA ABRASIVA DOBLE A SIMPLE 115X140X5 # 60</t>
  </si>
  <si>
    <t>000900</t>
  </si>
  <si>
    <t>ESPONJA ABRASIVA DOBLE A SIMPLE 115X140X5 #280</t>
  </si>
  <si>
    <t>000901</t>
  </si>
  <si>
    <t>ESPUMA POLIURETANO COLVINIL X 0,300</t>
  </si>
  <si>
    <t>000902</t>
  </si>
  <si>
    <t>ESPUMA POLIURETANO COLVINIL X 0,500</t>
  </si>
  <si>
    <t>000903</t>
  </si>
  <si>
    <t>V51.04 BARNIZ BI COMPONENTE ACS X 0.750</t>
  </si>
  <si>
    <t>000904</t>
  </si>
  <si>
    <t>SOLDURA PLASTICA POXIPOL GRIS X 700</t>
  </si>
  <si>
    <t>000905</t>
  </si>
  <si>
    <t>P51.04 PRIMER PU 5:1 ACS X 0.750</t>
  </si>
  <si>
    <t>000906</t>
  </si>
  <si>
    <t>ENDUIDO EXTERIOR ALBA X 20</t>
  </si>
  <si>
    <t>000907</t>
  </si>
  <si>
    <t>ESMALTE SINTETICO PLAVICON 3EN1 BRILLANTE TABACO X  1</t>
  </si>
  <si>
    <t>000908</t>
  </si>
  <si>
    <t>ESMALTE SINTETICO PLAVICON 3EN1 BRILLANTE TABACO X  4</t>
  </si>
  <si>
    <t>000909</t>
  </si>
  <si>
    <t>PU01.04 PRIMER UNIVERSAL 1K ACS X 0.900</t>
  </si>
  <si>
    <t>000910</t>
  </si>
  <si>
    <t>PISTOLA PARA PINTAR CANE C.S 150</t>
  </si>
  <si>
    <t>000911</t>
  </si>
  <si>
    <t>CEMENTO DE CONTACTO COLVINIL 50 X 14,000 (18 LTS)</t>
  </si>
  <si>
    <t>000912</t>
  </si>
  <si>
    <t>RODILLO LUMAR MINI FORRADO  5 CM (41A)</t>
  </si>
  <si>
    <t>000913</t>
  </si>
  <si>
    <t>RODILLO LUMAR MINI FORRADO  8 CM (41B)</t>
  </si>
  <si>
    <t>000914</t>
  </si>
  <si>
    <t>RODILLO LUMAR MINI FORRADO 10 CM (41C)</t>
  </si>
  <si>
    <t>000915</t>
  </si>
  <si>
    <t>MEMBRANA  AUTOADHESIVA NC MEGAFACIL ALUMINIO 10CM X25MT</t>
  </si>
  <si>
    <t>000916</t>
  </si>
  <si>
    <t>MEMBRANA  AUTOADHESIVA NC MEGAFACIL ALUMINIO 15CM X25MT</t>
  </si>
  <si>
    <t>000917</t>
  </si>
  <si>
    <t>LATEX INTERIOR/EXTERIOR RESOL CRISTALATEX MATE BLANCO X  4</t>
  </si>
  <si>
    <t>000918</t>
  </si>
  <si>
    <t>LATEX INTERIOR/EXTERIOR RESOL CRISTALATEX MATE BLANCO X 10</t>
  </si>
  <si>
    <t>000919</t>
  </si>
  <si>
    <t>LATEX INTERIOR/EXTERIOR RESOL CRISTALATEX MATE BLANCO X 20</t>
  </si>
  <si>
    <t>000920</t>
  </si>
  <si>
    <t>PINTURA ASFALTICA MEGAFLEX ALUMINIZADA X  1</t>
  </si>
  <si>
    <t>000921</t>
  </si>
  <si>
    <t>PINTURA ASFALTICA MEGAFLEX ALUMINIZADA X  4</t>
  </si>
  <si>
    <t>000922</t>
  </si>
  <si>
    <t>PINTURA ASFALTICA MEGAFLEX ALUMINIZADA X 18</t>
  </si>
  <si>
    <t>000923</t>
  </si>
  <si>
    <t>FONDO ANTIOXIDO PLAVICON CONVEROX ROJO X  0,250</t>
  </si>
  <si>
    <t>000924</t>
  </si>
  <si>
    <t>FONDO ANTIOXIDO PLAVICON CONVEROX ROJO X  0,500</t>
  </si>
  <si>
    <t>000925</t>
  </si>
  <si>
    <t>IMPERMEABILIZANTE PARA FRENTES Y MUROS RECUPLAST PERDURA BLANCO X  4</t>
  </si>
  <si>
    <t>000926</t>
  </si>
  <si>
    <t>IMPERMEABILIZANTE PARA FRENTES Y MUROS RECUPLAST PERDURA BLANCO X 20</t>
  </si>
  <si>
    <t>000927</t>
  </si>
  <si>
    <t>MASILLA EPOXI POXILINA X 38.000</t>
  </si>
  <si>
    <t>000928</t>
  </si>
  <si>
    <t>RODILLO LUMAR POLIESTER ESPECIAL 17 (410B)</t>
  </si>
  <si>
    <t>000929</t>
  </si>
  <si>
    <t>RODILLO LUMAR POLIESTER ESPECIAL 22 (410C)</t>
  </si>
  <si>
    <t>000930</t>
  </si>
  <si>
    <t>FONDO ANTIOXIDO PLAVICON CONVEROX ROJO X  1</t>
  </si>
  <si>
    <t>000931</t>
  </si>
  <si>
    <t>FONDO ANTIOXIDO PLAVICON CONVEROX ROJO X  4</t>
  </si>
  <si>
    <t>000932</t>
  </si>
  <si>
    <t>FONDO ANTIOXIDO PLAVICON CONVEROX ROJO X 20</t>
  </si>
  <si>
    <t>000933</t>
  </si>
  <si>
    <t>LACA UREICA COLVINIL BRILLANTE BLANCA C/CAT. X  0,900</t>
  </si>
  <si>
    <t>000934</t>
  </si>
  <si>
    <t>LACA UREICA COLVINIL BRILLANTE BLANCA C/CAT. X  3,600</t>
  </si>
  <si>
    <t>000935</t>
  </si>
  <si>
    <t>LACA UREICA COLVINIL SATINADA BLANCA C/CAT. X  0,900</t>
  </si>
  <si>
    <t>000936</t>
  </si>
  <si>
    <t>LACA UREICA COLVINIL SATINADA BLANCA C/CAT. X  3,600</t>
  </si>
  <si>
    <t>000937</t>
  </si>
  <si>
    <t>IMPERMEABLIZANTE PARA TECHOS RECUPLAST TECHOS BLANCO X  1,200</t>
  </si>
  <si>
    <t>000938</t>
  </si>
  <si>
    <t>IMPERMEABLIZANTE PARA TECHOS RECUPLAST TECHOS BLANCO X  5</t>
  </si>
  <si>
    <t>000939</t>
  </si>
  <si>
    <t>IMPERMEABLIZANTE PARA TECHOS RECUPLAST TECHOS BLANCO X 12</t>
  </si>
  <si>
    <t>000940</t>
  </si>
  <si>
    <t>IMPERMEABLIZANTE PARA TECHOS RECUPLAST TECHOS BLANCO X 20</t>
  </si>
  <si>
    <t>000941</t>
  </si>
  <si>
    <t>IMPERMEABILIZANTE PARA TECHOS ALBAFRENT FIBRADO SATINADO BLANCO X  1</t>
  </si>
  <si>
    <t>000942</t>
  </si>
  <si>
    <t>IMPERMEABILIZANTE PARA TECHOS ALBAFRENT FIBRADO SATINADO BLANCO X  4</t>
  </si>
  <si>
    <t>000943</t>
  </si>
  <si>
    <t>IMPERMEABILIZANTE PARA TECHOS ALBAFRENT FIBRADO SATINADO BLANCO X 10</t>
  </si>
  <si>
    <t>000944</t>
  </si>
  <si>
    <t>IMPERMEABILIZANTE PARA TECHOS ALBAFRENT FIBRADO SATINADO BLANCO X 20</t>
  </si>
  <si>
    <t>000945</t>
  </si>
  <si>
    <t>ESCALERA DE MADERA SIN FIN FAMILIAR DOBLE 3</t>
  </si>
  <si>
    <t>000946</t>
  </si>
  <si>
    <t>ESCALERA DE MADERA SIN FIN FAMILIAR DOBLE 4</t>
  </si>
  <si>
    <t>000947</t>
  </si>
  <si>
    <t>ESCALERA DE MADERA SIN FIN FAMILIAR DOBLE 5</t>
  </si>
  <si>
    <t>000948</t>
  </si>
  <si>
    <t>FIJADOR PARA PARED ALBA 2EN1 AL AGUARRAS BLANCO X  1</t>
  </si>
  <si>
    <t>000949</t>
  </si>
  <si>
    <t>FIJADOR PARA PARED ALBA 2EN1 AL AGUARRAS BLANCO X  4</t>
  </si>
  <si>
    <t>000950</t>
  </si>
  <si>
    <t>FIJADOR PARA PARED ALBA 2EN1 AL AGUARRAS BLANCO X 20</t>
  </si>
  <si>
    <t>000951</t>
  </si>
  <si>
    <t>ESCALERA DE ALUMINIO SIN FIN BOMBERO 8 ESC.</t>
  </si>
  <si>
    <t>000952</t>
  </si>
  <si>
    <t>ESCALERA DE ALUMINIO SIN FIN BOMBERO 9 ESC.</t>
  </si>
  <si>
    <t>000953</t>
  </si>
  <si>
    <t>ESCALERA DE ALUMINIO SIN FIN BOMBERO 10 ESC.</t>
  </si>
  <si>
    <t>000954</t>
  </si>
  <si>
    <t>ESCALERA DE ALUMINIO SIN FIN BOMBERO 12 ESC.</t>
  </si>
  <si>
    <t>000955</t>
  </si>
  <si>
    <t>ESCALERA DE ALUMINIO SIN FIN BOMBERO 14 ESC.</t>
  </si>
  <si>
    <t>000956</t>
  </si>
  <si>
    <t>ESCALERA DE ALUMINIO SIN FIN BOMBERO 16 ESC.</t>
  </si>
  <si>
    <t>000957</t>
  </si>
  <si>
    <t>ESCALERA DE ALUMINIO SIN FIN BOMBERO 18 ESC.</t>
  </si>
  <si>
    <t>000958</t>
  </si>
  <si>
    <t>ESCALERA DE ALUMINIO SIN FIN BOMBERO 20 ESC.</t>
  </si>
  <si>
    <t>000959</t>
  </si>
  <si>
    <t>LACA UREICA COLVINIL BRILLANTE BLANCA C/CAT. X 18</t>
  </si>
  <si>
    <t>000960</t>
  </si>
  <si>
    <t>ESCALERA DE MADERA SIN FIN FAMILIAR DOBLE 6</t>
  </si>
  <si>
    <t>000961</t>
  </si>
  <si>
    <t>ESCALERA DE MADERA SIN FIN FAMILIAR DOBLE 7</t>
  </si>
  <si>
    <t>000962</t>
  </si>
  <si>
    <t>ESCALERA DE MADERA SIN FIN FAMILIAR DOBLE 8</t>
  </si>
  <si>
    <t>000963</t>
  </si>
  <si>
    <t>LACA UREICA COLVINIL SATINADA BLANCA C/CAT. X 18</t>
  </si>
  <si>
    <t>000964</t>
  </si>
  <si>
    <t>LATEX INTERIOR/EXTERIOR COLORIN ACRYLATEX MATE BLANCO  X  1</t>
  </si>
  <si>
    <t>000965</t>
  </si>
  <si>
    <t>LATEX INTERIOR/EXTERIOR COLORIN ACRYLATEX MATE BLANCO X  4</t>
  </si>
  <si>
    <t>000966</t>
  </si>
  <si>
    <t>LATEX INTERIOR/EXTERIOR COLORIN ACRYLATEX MATE BLANCO X 10</t>
  </si>
  <si>
    <t>000967</t>
  </si>
  <si>
    <t>LATEX INTERIOR/EXTERIOR COLORIN ACRYLATEX MATE BLANCO X 20</t>
  </si>
  <si>
    <t>000968</t>
  </si>
  <si>
    <t>LLANA PLASTICA LH 12X25</t>
  </si>
  <si>
    <t>000969</t>
  </si>
  <si>
    <t>LLANA PLASTICA LH 14X30</t>
  </si>
  <si>
    <t>000970</t>
  </si>
  <si>
    <t>IMPERMEABILIZANTE PARA FRENTES Y MUROS THERMOCONTROL FLEX BLANCO X  1</t>
  </si>
  <si>
    <t>000971</t>
  </si>
  <si>
    <t>IMPERMEABILIZANTE PARA FRENTES Y MUROS THERMOCONTROL FLEX BLANCO X  4</t>
  </si>
  <si>
    <t>000972</t>
  </si>
  <si>
    <t>IMPERMEABILIZANTE PARA FRENTES Y MUROS THERMOCONTROL FLEX BLANCO X 10</t>
  </si>
  <si>
    <t>000973</t>
  </si>
  <si>
    <t>IMPERMEABILIZANTE PARA FRENTES Y MUROS THERMOCONTROL FLEX BLANCO X 20</t>
  </si>
  <si>
    <t>000974</t>
  </si>
  <si>
    <t>LATEX INTERIOR ALBALATEX DESIGN TOQUE DE LUZ MATE BLANCO X  1</t>
  </si>
  <si>
    <t>000975</t>
  </si>
  <si>
    <t>LATEX INTERIOR ALBALATEX DESIGN TOQUE DE LUZ MATE BLANCO X  4</t>
  </si>
  <si>
    <t>000976</t>
  </si>
  <si>
    <t>LATEX INTERIOR ALBALATEX DESIGN TOQUE DE LUZ MATE BLANCO X 10</t>
  </si>
  <si>
    <t>000977</t>
  </si>
  <si>
    <t>LATEX INTERIOR ALBALATEX DESIGN TOQUE DE LUZ MATE BLANCO X 20</t>
  </si>
  <si>
    <t>000978</t>
  </si>
  <si>
    <t>RODILLO LUMAR EPOXI PELO CORTO ANCHO  5(70/A)</t>
  </si>
  <si>
    <t>000979</t>
  </si>
  <si>
    <t>RODILLO LUMAR EPOXI PELO CORTO ANCHO  8(70/B)</t>
  </si>
  <si>
    <t>000980</t>
  </si>
  <si>
    <t>RODILLO LUMAR EPOXI PELO CORTO ANCHO 10(70/C)</t>
  </si>
  <si>
    <t>000981</t>
  </si>
  <si>
    <t>LATEX PARA CIELORRASOS PLAVICON MATE BLANCO X  1</t>
  </si>
  <si>
    <t>000982</t>
  </si>
  <si>
    <t>LATEX PARA CIELORRASOS PLAVICON MATE BLANCO X  4</t>
  </si>
  <si>
    <t>000983</t>
  </si>
  <si>
    <t>PINCELETA ROSARPIN 8000 C.CH.40</t>
  </si>
  <si>
    <t>000984</t>
  </si>
  <si>
    <t>PEGAMENTO LA GOTITA GEL X 3</t>
  </si>
  <si>
    <t>000985</t>
  </si>
  <si>
    <t>RODILLO LUMAR EPOXI PELO CORTO 18(910B)</t>
  </si>
  <si>
    <t>000986</t>
  </si>
  <si>
    <t>RODILLO LUMAR EPOXI PELO CORTO 22(910C)</t>
  </si>
  <si>
    <t>000987</t>
  </si>
  <si>
    <t>RODILLO LUMAR LUDAMAR LANA MARRON 17 (110B)</t>
  </si>
  <si>
    <t>000988</t>
  </si>
  <si>
    <t>RODILLO LUMAR LUDAMAR LANA MARRON 22 (110C)</t>
  </si>
  <si>
    <t>000989</t>
  </si>
  <si>
    <t>DISCO PIEL LUMAR ESPECIAL (50)</t>
  </si>
  <si>
    <t>000990</t>
  </si>
  <si>
    <t>DISCO PIEL COMUN X 2 (55)</t>
  </si>
  <si>
    <t>000991</t>
  </si>
  <si>
    <t>RODILLO LUMAR POLIESTER ESPECIAL 10 (410A)</t>
  </si>
  <si>
    <t>000992</t>
  </si>
  <si>
    <t>LIJA DOBLE A MASTER N 320</t>
  </si>
  <si>
    <t>000993</t>
  </si>
  <si>
    <t>PINCELETA ROSARPIN 9000 C.CH.35</t>
  </si>
  <si>
    <t>000994</t>
  </si>
  <si>
    <t>DISCO DE GOMA CON ROSCA</t>
  </si>
  <si>
    <t>000995</t>
  </si>
  <si>
    <t>LATEX PARA CIELORRASOS PLAVICON MATE BLANCO X 10</t>
  </si>
  <si>
    <t>000996</t>
  </si>
  <si>
    <t>LATEX PARA CIELORRASOS PLAVICON MATE BLANCO X 20</t>
  </si>
  <si>
    <t>000997</t>
  </si>
  <si>
    <t>DILUYENTE P/PILETA S</t>
  </si>
  <si>
    <t>000999</t>
  </si>
  <si>
    <t>LIJA AL AGUA DOBLE A # 1500 (MG)</t>
  </si>
  <si>
    <t>001000</t>
  </si>
  <si>
    <t>CLEAR BICAPA MMB X 1</t>
  </si>
  <si>
    <t>001001</t>
  </si>
  <si>
    <t>COLORANTE CONCENTRADO ACOTONE MA1 MAGENTA X 0,720</t>
  </si>
  <si>
    <t>001002</t>
  </si>
  <si>
    <t>COLORANTE CONCENTRADO ACOTONE UM1 TIERRA SOMBRA X 0,720</t>
  </si>
  <si>
    <t>001003</t>
  </si>
  <si>
    <t>COLORANTE CONCENTRADO ACOTONE XR1 ROJO OXIDO X 0,720</t>
  </si>
  <si>
    <t>001004</t>
  </si>
  <si>
    <t>ACEITE DE LINO MAGIPLAST X 20</t>
  </si>
  <si>
    <t>001005</t>
  </si>
  <si>
    <t>LATIZADOR TERSUAVE X 0,250</t>
  </si>
  <si>
    <t>001006</t>
  </si>
  <si>
    <t>ACIDO MURIATICO INDUQUIMICA X 1</t>
  </si>
  <si>
    <t>001007</t>
  </si>
  <si>
    <t>ACIDO MURIATICO INDUQUIMICA X 5</t>
  </si>
  <si>
    <t>001008</t>
  </si>
  <si>
    <t>CEPILLO DE CERDA EMPAPELAR 25CM</t>
  </si>
  <si>
    <t>001009</t>
  </si>
  <si>
    <t>CINTA DE ALUMINIO DOBLE A 48MM X 3MTS.</t>
  </si>
  <si>
    <t>001010</t>
  </si>
  <si>
    <t>COLA VINILICA COLVINIL 04 X  0,500</t>
  </si>
  <si>
    <t>001011</t>
  </si>
  <si>
    <t>CINTA POLI DOBLE A TRANSPARENTE (293) 48MM X 50MTS.</t>
  </si>
  <si>
    <t>001012</t>
  </si>
  <si>
    <t>COLORANTE CONCENTRADO ACOTONE WH1 BLANCO X 0,720</t>
  </si>
  <si>
    <t>001013</t>
  </si>
  <si>
    <t>COLORANTE CONCENTRADO ACOTONE XY1 AMARILLO OXIDO X 0,720</t>
  </si>
  <si>
    <t>001014</t>
  </si>
  <si>
    <t>COLORANTE CONCENTRADO ACOTONE YE1 AMARILLO X 0,720</t>
  </si>
  <si>
    <t>001015</t>
  </si>
  <si>
    <t>ESPATULA CELTA ENDUIR 20 CM.</t>
  </si>
  <si>
    <t>001016</t>
  </si>
  <si>
    <t>ESPATULA DE GOMA MEDIANA</t>
  </si>
  <si>
    <t>001017</t>
  </si>
  <si>
    <t>LIJA AL AGUA DOBLE A # 2000 (MG)</t>
  </si>
  <si>
    <t>001018</t>
  </si>
  <si>
    <t>COLORANTE CONCENTRADO ACOTONE BU1 AZUL INTENSO X 0,720</t>
  </si>
  <si>
    <t>001019</t>
  </si>
  <si>
    <t>COLORANTE CONCENTRADO ACOTONE GR1 VERDE X 0,720</t>
  </si>
  <si>
    <t>001020</t>
  </si>
  <si>
    <t>COLORANTE CONCENTRADO ACOTONE YE2 AMARILLO VERDOSO X 0,720</t>
  </si>
  <si>
    <t>001021</t>
  </si>
  <si>
    <t>PINCEL 40 ANOS MERCURIO</t>
  </si>
  <si>
    <t>001022</t>
  </si>
  <si>
    <t>COLORANTE CONCENTRADO ACOTONE OR1 NARANJA X 0,720</t>
  </si>
  <si>
    <t>001023</t>
  </si>
  <si>
    <t>COLORANTE CONCENTRADO ACOTONE RE1 ROJO INTENSO X 0,720</t>
  </si>
  <si>
    <t>001024</t>
  </si>
  <si>
    <t>COLORANTE CONCENTRADO ACOTONE BU2 AZUL CLARO X 0,720</t>
  </si>
  <si>
    <t>001025</t>
  </si>
  <si>
    <t>COLORANTE CONCENTRADO ACOTONE NO1 NEGRO  X 0,720</t>
  </si>
  <si>
    <t>001026</t>
  </si>
  <si>
    <t>IMPERMEABILIZANTE MAGIPLAST 295 TRANSPARENTE X 0,500</t>
  </si>
  <si>
    <t>001027</t>
  </si>
  <si>
    <t>IMPERMEABILIZANTE MAGIPLAST 295 TRANSPARENTE X 1</t>
  </si>
  <si>
    <t>001028</t>
  </si>
  <si>
    <t>IMPERMEABILIZANTE MAGIPLAST 295 TRANSPARENTE X 5</t>
  </si>
  <si>
    <t>001029</t>
  </si>
  <si>
    <t>TACO DE GOMA MEDIANA</t>
  </si>
  <si>
    <t>001030</t>
  </si>
  <si>
    <t>CINTA PARA MOLDURA DOBLE A 12 MM X 10M</t>
  </si>
  <si>
    <t>001031</t>
  </si>
  <si>
    <t>BANDEJA PARA PINTAR PLASTICA MINI (003)</t>
  </si>
  <si>
    <t>001032</t>
  </si>
  <si>
    <t>MEMBRANA ASFALTICA MEGAFLEX NO CRACK PLUS BLANCO X 40KG</t>
  </si>
  <si>
    <t>001033</t>
  </si>
  <si>
    <t>BARNIZ SINTETICO PARA MADERA INTERIOR PLAVICON BRILLANTE INCOLORO X  0,250</t>
  </si>
  <si>
    <t>001034</t>
  </si>
  <si>
    <t>BARNIZ SINTETICO PARA MADERA INTERIOR PLAVICON BRILLANTE INCOLORO X  0,500</t>
  </si>
  <si>
    <t>001035</t>
  </si>
  <si>
    <t>BARNIZ SINTETICO PARA MADERA INTERIOR PLAVICON BRILLANTE INCOLORO X  1</t>
  </si>
  <si>
    <t>001036</t>
  </si>
  <si>
    <t>BARNIZ SINTETICO PARA MADERA INTERIOR PLAVICON BRILLANTE INCOLORO X  4</t>
  </si>
  <si>
    <t>001037</t>
  </si>
  <si>
    <t>BARNIZ SINTETICO PARA MADERA INTERIOR PLAVICON BRILLANTE INCOLORO X 20</t>
  </si>
  <si>
    <t>001038</t>
  </si>
  <si>
    <t>PINCELETA ROSARPIN 2008 C.CH.40</t>
  </si>
  <si>
    <t>001039</t>
  </si>
  <si>
    <t>CINTA PARA MOLDURA DOBLE A 18 MM X 10M</t>
  </si>
  <si>
    <t>001040</t>
  </si>
  <si>
    <t>CINTA PARA MOLDURA DOBLE A 24MM X 10M</t>
  </si>
  <si>
    <t>001041</t>
  </si>
  <si>
    <t>BTE.HAMMERITE BCO X 0,225</t>
  </si>
  <si>
    <t>001042</t>
  </si>
  <si>
    <t>RODILLO LUMAR LANA BLANCO 10 (210A)</t>
  </si>
  <si>
    <t>001043</t>
  </si>
  <si>
    <t>MEMBRANA ASFALTICA MEGAFLEX MEGALUM 4MM(NC) X 10MTS</t>
  </si>
  <si>
    <t>001044</t>
  </si>
  <si>
    <t>BARNIZ ULTRAMARINO PARA MADERA EXTERIOR PLAVICON BRILLANTE INCOLORO X  0,500</t>
  </si>
  <si>
    <t>001045</t>
  </si>
  <si>
    <t>BARNIZ ULTRAMARINO PARA MADERA EXTERIOR PLAVICON BRILLANTE INCOLORO X  1</t>
  </si>
  <si>
    <t>001046</t>
  </si>
  <si>
    <t>SOLVENTE INDUSTRIAL S</t>
  </si>
  <si>
    <t>001047</t>
  </si>
  <si>
    <t>BURLETE T PERFECT FOAM ESP X MT</t>
  </si>
  <si>
    <t>001048</t>
  </si>
  <si>
    <t>BTE.HAMMERITE AMARILLO X 0,225</t>
  </si>
  <si>
    <t>001049</t>
  </si>
  <si>
    <t>BTE.HAMMERITE AMARILLO X 0,800</t>
  </si>
  <si>
    <t>001050</t>
  </si>
  <si>
    <t>BTE.HAMMERITE AMARILLO X 2,400</t>
  </si>
  <si>
    <t>001051</t>
  </si>
  <si>
    <t>BTE.HAMMERITE GRIS X 0,225</t>
  </si>
  <si>
    <t>001052</t>
  </si>
  <si>
    <t>CINTA POLI DOBLE A MARRON (293) 48MM X 50MTS.</t>
  </si>
  <si>
    <t>001053</t>
  </si>
  <si>
    <t>TACO DE GOMA GRANDE</t>
  </si>
  <si>
    <t>001054</t>
  </si>
  <si>
    <t>AUTOPOLISH COLORIN AUTOCERA PROFESIONAL X 0,900</t>
  </si>
  <si>
    <t>001055</t>
  </si>
  <si>
    <t>AEROSOL TERSUAVE ESMALTE SINTETICO ALTA TEMPERATURA BLANCO X 0,250</t>
  </si>
  <si>
    <t>001056</t>
  </si>
  <si>
    <t>BARNIZ ULTRAMARINO PARA MADERA EXTERIOR PLAVICON BRILLANTE INCOLORO X  4</t>
  </si>
  <si>
    <t>001057</t>
  </si>
  <si>
    <t>BARNIZ ULTRAMARINO PARA MADERA EXTERIOR PLAVICON BRILLANTE INCOLORO X 20</t>
  </si>
  <si>
    <t>001058</t>
  </si>
  <si>
    <t>ESPATULA CELTA ENDUIR 22 CM.</t>
  </si>
  <si>
    <t>001059</t>
  </si>
  <si>
    <t>BARNIZ MARINO PARA MADERA EXTERIOR PLAVICON BRILLANTE INCOLORO X  0,500</t>
  </si>
  <si>
    <t>001060</t>
  </si>
  <si>
    <t>LAMINA PARA MASILLAR  8 X 10</t>
  </si>
  <si>
    <t>001061</t>
  </si>
  <si>
    <t>LAMINA PARA MASILLAR 10 X 14</t>
  </si>
  <si>
    <t>001062</t>
  </si>
  <si>
    <t>PINTURA ASFALTICA CLIPPERFLEX X  1</t>
  </si>
  <si>
    <t>001063</t>
  </si>
  <si>
    <t>PINTURA ASFALTICA CLIPPERFLEX X  4</t>
  </si>
  <si>
    <t>001064</t>
  </si>
  <si>
    <t>PINTURA ASFALTICA CLIPPERFLEX X 18</t>
  </si>
  <si>
    <t>001065</t>
  </si>
  <si>
    <t>BARNIZ MARINO PARA MADERA EXTERIOR PLAVICON BRILLANTE INCOLORO X  1</t>
  </si>
  <si>
    <t>001066</t>
  </si>
  <si>
    <t>BARNIZ MARINO PARA MADERA EXTERIOR PLAVICON BRILLANTE INCOLORO X  4</t>
  </si>
  <si>
    <t>001067</t>
  </si>
  <si>
    <t>BARNIZ MARINO PARA MADERA EXTERIOR PLAVICON BRILLANTE INCOLORO X 20</t>
  </si>
  <si>
    <t>001068</t>
  </si>
  <si>
    <t>ESMALTE AL AGUA HABITAT PLAVICON SATINADO BLANCO X 0,500</t>
  </si>
  <si>
    <t>001069</t>
  </si>
  <si>
    <t>ESMALTE AL AGUA HABITAT PLAVICON SATINADO BLANCO X 1</t>
  </si>
  <si>
    <t>001070</t>
  </si>
  <si>
    <t>ESMALTE AL AGUA HABITAT PLAVICON SATINADO BLANCO X 4</t>
  </si>
  <si>
    <t>001071</t>
  </si>
  <si>
    <t>ESMALTE AL AGUA HABITAT PLAVICON SATINADO NEGRO X 0,500</t>
  </si>
  <si>
    <t>001072</t>
  </si>
  <si>
    <t>ESMALTE AL AGUA HABITAT PLAVICON SATINADO NEGRO X 1</t>
  </si>
  <si>
    <t>001073</t>
  </si>
  <si>
    <t>ESMALTE AL AGUA HABITAT PLAVICON SATINADO NEGRO X 4</t>
  </si>
  <si>
    <t>001074</t>
  </si>
  <si>
    <t>IMPREGNANTE PARA MADERA PLAVICON LASUR BRILLANTE ROBLE X  1</t>
  </si>
  <si>
    <t>001075</t>
  </si>
  <si>
    <t>IMPREGNANTE PARA MADERA PLAVICON LASUR BRILLANTE ROBLE X  4</t>
  </si>
  <si>
    <t>001076</t>
  </si>
  <si>
    <t>AEROSOL TERSUAVE ESMALTE SINTETICO ALTA TEMPERATURA ALUMINIO X 0,250</t>
  </si>
  <si>
    <t>001077</t>
  </si>
  <si>
    <t>AEROSOL RUST-OLEUM SP METALICO ORO X 0,312(272071)</t>
  </si>
  <si>
    <t>001078</t>
  </si>
  <si>
    <t>AEROSOL RUST-OLEUM SP METALICO PLATA X 0,312 (272073)</t>
  </si>
  <si>
    <t>001079</t>
  </si>
  <si>
    <t>AEROSOL TERSUAVE ESMALTE SINTETICO ALTA TEMPERATURA NEGRO X 0,250</t>
  </si>
  <si>
    <t>001080</t>
  </si>
  <si>
    <t>AEROSOL RUST-OLEUM SP METALICO COBRE X 0,312(272075)</t>
  </si>
  <si>
    <t>001081</t>
  </si>
  <si>
    <t>AEROSOL RUST-OLEUM SP METALICO BRONCE X 0,312 (272074)</t>
  </si>
  <si>
    <t>001082</t>
  </si>
  <si>
    <t>AEROSOL RUST-OLEUM UC BRILLANTE OCEANO X 0,340(201017)</t>
  </si>
  <si>
    <t>001083</t>
  </si>
  <si>
    <t>AEROSOL RUST-OLEUM UC BRILLANTE CORAL X 0,340(292323)</t>
  </si>
  <si>
    <t>001084</t>
  </si>
  <si>
    <t>LACA PARA MADERA RESOL CRISTASOL 2C SEMI MATE X 1</t>
  </si>
  <si>
    <t>001085</t>
  </si>
  <si>
    <t>LACA PARA MADERA RESOL CRISTASOL 2C SEMI MATE X 4</t>
  </si>
  <si>
    <t>001086</t>
  </si>
  <si>
    <t>BTE.HAMMERITE AZUL OSCURO X 0,225</t>
  </si>
  <si>
    <t>001087</t>
  </si>
  <si>
    <t>BTE.HAMMERITE AZUL OSCURO X 0,800</t>
  </si>
  <si>
    <t>001088</t>
  </si>
  <si>
    <t>BTE.HAMMERITE AZUL OSCURO X 2,400</t>
  </si>
  <si>
    <t>001089</t>
  </si>
  <si>
    <t>BTE.HAMMERITE BERMELLON X 0,225</t>
  </si>
  <si>
    <t>001090</t>
  </si>
  <si>
    <t>BTE.HAMMERITE BERMELLON X 0,800</t>
  </si>
  <si>
    <t>001091</t>
  </si>
  <si>
    <t>BTE.HAMMERITE BERMELLON X 2,400</t>
  </si>
  <si>
    <t>001092</t>
  </si>
  <si>
    <t>BTE.HAMMERITE GRIS X 0,800</t>
  </si>
  <si>
    <t>001093</t>
  </si>
  <si>
    <t>AEROSOL RUST-OLEUM UC BRILLANTE TURQUESA X 0,340(279247)</t>
  </si>
  <si>
    <t>001094</t>
  </si>
  <si>
    <t>CEPILLO ACERO CON MANGO 4X19</t>
  </si>
  <si>
    <t>001095</t>
  </si>
  <si>
    <t>CEPILLO ACERO SIN MANGO 6X19</t>
  </si>
  <si>
    <t>001096</t>
  </si>
  <si>
    <t>AEROSOL RUST-OLEUM UC BRILLANTE PURPURA X 0,340(313391)</t>
  </si>
  <si>
    <t>001097</t>
  </si>
  <si>
    <t>CINTA DE ALUMINIO DOBLE A 48MM X 25MTS.</t>
  </si>
  <si>
    <t>001098</t>
  </si>
  <si>
    <t>BTE.HAMMERITE GRIS PLATA X 0,800</t>
  </si>
  <si>
    <t>001099</t>
  </si>
  <si>
    <t>AEROSOL RUST-OLEUM UC BRILLANTE BLANCO NARANJO X 0,340(262200)</t>
  </si>
  <si>
    <t>001100</t>
  </si>
  <si>
    <t>MEMBRANA ASFALTICA MEGAFLEX NO CRACK PLUS ALUMINIO 40KG X 10MTS</t>
  </si>
  <si>
    <t>001101</t>
  </si>
  <si>
    <t>MEMBRANA ASFALTICA MEGAFLEX GEOALUM-450 40KG</t>
  </si>
  <si>
    <t>001102</t>
  </si>
  <si>
    <t>PASTA PULIR MMB MEDIANA X 0,500</t>
  </si>
  <si>
    <t>001103</t>
  </si>
  <si>
    <t>PASTA PULIR MMB MEDIANA X 1</t>
  </si>
  <si>
    <t>001104</t>
  </si>
  <si>
    <t>P425-900 SUPER WHITE X 2,5 (DISCONTINUADO)</t>
  </si>
  <si>
    <t>001105</t>
  </si>
  <si>
    <t>EMULSION ASFALTICA ACUOSA CLIPPERFLEX X 18KG</t>
  </si>
  <si>
    <t>001106</t>
  </si>
  <si>
    <t>COMP.BICA.G2 VERDE LIGHT VW X 0,125</t>
  </si>
  <si>
    <t>001107</t>
  </si>
  <si>
    <t>COMP.BICA.G2 VERDE NICE VW X 0,125</t>
  </si>
  <si>
    <t>001108</t>
  </si>
  <si>
    <t>EMULSION ASFALTICA ACUOSA CLIPPERFLEX X 200KG</t>
  </si>
  <si>
    <t>001109</t>
  </si>
  <si>
    <t>CEPILLO BRONCE CURVO</t>
  </si>
  <si>
    <t>001110</t>
  </si>
  <si>
    <t>LIJA AL AGUA DOBLE A # 2500 (MG)</t>
  </si>
  <si>
    <t>001111</t>
  </si>
  <si>
    <t>BANDEJA PARA PINTAR PLASTICA PARA COLGAR (012)</t>
  </si>
  <si>
    <t>001112</t>
  </si>
  <si>
    <t>LATEX INTERIOR PLAVIPINT MATE BLANCO X  1</t>
  </si>
  <si>
    <t>001113</t>
  </si>
  <si>
    <t>LATEX INTERIOR PLAVIPINT MATE BLANCO X  4</t>
  </si>
  <si>
    <t>001114</t>
  </si>
  <si>
    <t>COMPSUG5 COL.ROJO REAL PERL.VW X 0,125</t>
  </si>
  <si>
    <t>001115</t>
  </si>
  <si>
    <t>COMP.BICA.G3 VERDE YUCA VW X 0,125</t>
  </si>
  <si>
    <t>001116</t>
  </si>
  <si>
    <t>IMPERMEABILIZANTE PARA TECHOS PLAVICON SOBRETECHOS BLANCO X  1,250</t>
  </si>
  <si>
    <t>001117</t>
  </si>
  <si>
    <t>IMPERMEABILIZANTE PARA TECHOS PLAVICON SOBRETECHOS BLANCO X  5</t>
  </si>
  <si>
    <t>001118</t>
  </si>
  <si>
    <t>IMPERMEABILIZANTE PARA TECHOS PLAVICON SOBRETECHOS BLANCO X 10</t>
  </si>
  <si>
    <t>001119</t>
  </si>
  <si>
    <t>IMPERMEABILIZANTE PARA TECHOS PLAVICON SOBRETECHOS BLANCO X 20</t>
  </si>
  <si>
    <t>001120</t>
  </si>
  <si>
    <t>IMPERMEABILIZANTE PARA TECHOS PLAVICON SOBRETECHOS ROJO X  1,250</t>
  </si>
  <si>
    <t>001121</t>
  </si>
  <si>
    <t>IMPERMEABILIZANTE PARA TECHOS PLAVICON SOBRETECHOS ROJO X  5</t>
  </si>
  <si>
    <t>001122</t>
  </si>
  <si>
    <t>IMPERMEABILIZANTE PARA TECHOS PLAVICON SOBRETECHOS ROJO X 10</t>
  </si>
  <si>
    <t>001123</t>
  </si>
  <si>
    <t>IMPERMEABILIZANTE PARA TECHOS PLAVICON SOBRETECHOS ROJO X 20</t>
  </si>
  <si>
    <t>001124</t>
  </si>
  <si>
    <t>IMPERMEABILIZANTE PARA TECHOS PLAVICON SOBRETECHOS VERDE X  1,250</t>
  </si>
  <si>
    <t>001125</t>
  </si>
  <si>
    <t>IMPERMEABILIZANTE PARA TECHOS PLAVICON SOBRETECHOS VERDE X  5</t>
  </si>
  <si>
    <t>001126</t>
  </si>
  <si>
    <t>IMPERMEABILIZANTE PARA TECHOS PLAVICON SOBRETECHOS VERDE X 10</t>
  </si>
  <si>
    <t>001127</t>
  </si>
  <si>
    <t>IMPERMEABILIZANTE PARA TECHOS PLAVICON SOBRETECHOS VERDE X 20</t>
  </si>
  <si>
    <t>001128</t>
  </si>
  <si>
    <t>IMPERMEABILIZANTE PARA TECHOS PU PLAVICON BLANCO X  5</t>
  </si>
  <si>
    <t>001129</t>
  </si>
  <si>
    <t>IMPERMEABILIZANTE PARA TECHOS PU PLAVICON BLANCO X 12</t>
  </si>
  <si>
    <t>001130</t>
  </si>
  <si>
    <t>IMPERMEABILIZANTE PARA TECHOS PU PLAVICON BLANCO X 25</t>
  </si>
  <si>
    <t>001131</t>
  </si>
  <si>
    <t>IMPERMEABILIZANTE PARA TECHOS PU PLAVICON ROJO X  5</t>
  </si>
  <si>
    <t>001132</t>
  </si>
  <si>
    <t>IMPERMEABILIZANTE PARA TECHOS PU PLAVICON ROJO X 12</t>
  </si>
  <si>
    <t>001133</t>
  </si>
  <si>
    <t>IMPERMEABILIZANTE PARA TECHOS PU PLAVICON ROJO X 25</t>
  </si>
  <si>
    <t>001134</t>
  </si>
  <si>
    <t>IMPERMEABILIZANTE PARA TECHOS PU PLAVICON GRIS X  5</t>
  </si>
  <si>
    <t>001135</t>
  </si>
  <si>
    <t>FORJA HAMMERITE VERDE X 0,225</t>
  </si>
  <si>
    <t>001136</t>
  </si>
  <si>
    <t>FORJA HAMMERITE VERDE X 0,800</t>
  </si>
  <si>
    <t>001137</t>
  </si>
  <si>
    <t>IMPERMEABILIZANTE PARA TECHOS PU PLAVICON GRIS X 12</t>
  </si>
  <si>
    <t>001138</t>
  </si>
  <si>
    <t>BALDE PLASTICO C/TAPA Y MANIJA X 10 L</t>
  </si>
  <si>
    <t>001139</t>
  </si>
  <si>
    <t>COMPSUG5 COL.PLATA IMPERIAL VW X 0,125</t>
  </si>
  <si>
    <t>001140</t>
  </si>
  <si>
    <t>BTE.HAMMERITE MARRON X 0,225</t>
  </si>
  <si>
    <t>001141</t>
  </si>
  <si>
    <t>BTE.HAMMERITE MARRON X 0,800</t>
  </si>
  <si>
    <t>001142</t>
  </si>
  <si>
    <t>BTE.HAMMERITE MARRON X 2,400</t>
  </si>
  <si>
    <t>001143</t>
  </si>
  <si>
    <t>IMPERMEABILIZANTE PARA TECHOS PU PLAVICON GRIS X 25</t>
  </si>
  <si>
    <t>001144</t>
  </si>
  <si>
    <t>ESCALERA DE MADERA SIN FIN FAMILIAR SIMPLE 3</t>
  </si>
  <si>
    <t>001145</t>
  </si>
  <si>
    <t>ESCALERA DE MADERA SIN FIN FAMILIAR SIMPLE 4</t>
  </si>
  <si>
    <t>001146</t>
  </si>
  <si>
    <t>LATEX INTERIOR PLAVIPINT MATE BLANCO X 10</t>
  </si>
  <si>
    <t>001147</t>
  </si>
  <si>
    <t>LATEX INTERIOR PLAVIPINT MATE BLANCO X 20</t>
  </si>
  <si>
    <t>001148</t>
  </si>
  <si>
    <t>COMP.BICA.G0 GRIS NOBLE VW X 0,125</t>
  </si>
  <si>
    <t>001149</t>
  </si>
  <si>
    <t>LATEX INTERIOR/EXTERIOR PLAVIPINT MATE BLANCO X  1</t>
  </si>
  <si>
    <t>001150</t>
  </si>
  <si>
    <t>COMP.BICA.G4 ROJO MONTERREY VW X 0,125</t>
  </si>
  <si>
    <t>001151</t>
  </si>
  <si>
    <t>LATEX INTERIOR/EXTERIOR PLAVIPINT MATE BLANCO X  4</t>
  </si>
  <si>
    <t>001152</t>
  </si>
  <si>
    <t>LATEX INTERIOR/EXTERIOR PLAVIPINT MATE BLANCO X 10</t>
  </si>
  <si>
    <t>001153</t>
  </si>
  <si>
    <t>LATEX INTERIOR/EXTERIOR PLAVIPINT MATE BLANCO X 20</t>
  </si>
  <si>
    <t>001154</t>
  </si>
  <si>
    <t>MASILLA POLIESTER ZEOCAR UNICA X 1,45 (60)</t>
  </si>
  <si>
    <t>001155</t>
  </si>
  <si>
    <t>MEMBRANA ASFALTICA MEGAFLEX AUTOADHESIVA BLANCO 10CM X25MT.</t>
  </si>
  <si>
    <t>001156</t>
  </si>
  <si>
    <t>MEMBRANA ASFALTICA MEGAFLEX AUTOADHESIVA ROJO 10CM X25MT.</t>
  </si>
  <si>
    <t>001157</t>
  </si>
  <si>
    <t>AEROSOL RUST-OLEUM SP LACA BRILLANTE TRANSPARENTE X 0,312(272121)</t>
  </si>
  <si>
    <t>001158</t>
  </si>
  <si>
    <t>EXTENSOR DE ACERO ROSARPIN1,50-3,00 M.</t>
  </si>
  <si>
    <t>001159</t>
  </si>
  <si>
    <t>AUTOPOLISH COLORIN PASTA AL AGUA X 1,000</t>
  </si>
  <si>
    <t>001160</t>
  </si>
  <si>
    <t>IMPREGNANTE PARA MADERA PLAVICON LASUR BRILLANTE ROBLE X 20</t>
  </si>
  <si>
    <t>001161</t>
  </si>
  <si>
    <t>DILUYENTE P/EPOXI S</t>
  </si>
  <si>
    <t>001162</t>
  </si>
  <si>
    <t>PROTECTOR SUBCARROCERIA NODULO UNDERLASTIC ANTIRRUIDO/SUBCARROC X  1</t>
  </si>
  <si>
    <t>001163</t>
  </si>
  <si>
    <t>PROTECTOR SUBCARROCERIA NODULO UNDERLASTIC ANTIRRUIDO/SUBCARROC X  4</t>
  </si>
  <si>
    <t>001164</t>
  </si>
  <si>
    <t>PROTECTOR SUBCARROCERIA NODULO UNDERLASTIC ANTIRRUIDO/SUBCARROC X 25</t>
  </si>
  <si>
    <t>001165</t>
  </si>
  <si>
    <t>DILUYENTE P/POLIURETANO S</t>
  </si>
  <si>
    <t>001166</t>
  </si>
  <si>
    <t>LIJA EN ROLLO DOBLE A #  36 X 1 MT</t>
  </si>
  <si>
    <t>001167</t>
  </si>
  <si>
    <t>BTE.HAMMERITE GRIS PLATA X 0,225</t>
  </si>
  <si>
    <t>001168</t>
  </si>
  <si>
    <t>COLORANTE CONCENTRADO TERSUAVE AXX AMARILLO X 946</t>
  </si>
  <si>
    <t>001169</t>
  </si>
  <si>
    <t>COLORANTE CONCENTRADO TERSUAVE B NEGRO X 0,946</t>
  </si>
  <si>
    <t>001170</t>
  </si>
  <si>
    <t>COLORANTE CONCENTRADO TERSUAVE C AMARILLO OXIDO X 0,946</t>
  </si>
  <si>
    <t>001171</t>
  </si>
  <si>
    <t>COLORANTE CONCENTRADO TERSUAVE D VERDE THALO X 0,946</t>
  </si>
  <si>
    <t>001172</t>
  </si>
  <si>
    <t>COLORANTE CONCENTRADO TERSUAVE E AZUL THALO X 0,946</t>
  </si>
  <si>
    <t>001173</t>
  </si>
  <si>
    <t>COLORANTE CONCENTRADO TERSUAVE F ROJO OXIDO X 0,946</t>
  </si>
  <si>
    <t>001174</t>
  </si>
  <si>
    <t>COLORANTE CONCENTRADO TERSUAVE I MARRON OXIDO X 0,946</t>
  </si>
  <si>
    <t>001175</t>
  </si>
  <si>
    <t>COLORANTE CONCENTRADO TERSUAVE KX BLANCO X 0,946</t>
  </si>
  <si>
    <t>001176</t>
  </si>
  <si>
    <t>COLORANTE CONCENTRADO TERSUAVE L TIERRA SOMBRA X 0,946</t>
  </si>
  <si>
    <t>001177</t>
  </si>
  <si>
    <t>COLORANTE CONCENTRADO TERSUAVE R ROJO X 0,946</t>
  </si>
  <si>
    <t>001178</t>
  </si>
  <si>
    <t>COLORANTE CONCENTRADO TERSUAVE T AMAR.MEDIO X 0,946</t>
  </si>
  <si>
    <t>001179</t>
  </si>
  <si>
    <t>COLORANTE CONCENTRADO TERSUAVE V MAGENTA X 0,946</t>
  </si>
  <si>
    <t>001180</t>
  </si>
  <si>
    <t>IMPERMEABILIZANTE PARA FRENTES PLAVICON TAPATODO BLANCO X   5</t>
  </si>
  <si>
    <t>001181</t>
  </si>
  <si>
    <t>IMPERMEABILIZANTE PARA FRENTES PLAVICON TAPATODO BLANCO X 25</t>
  </si>
  <si>
    <t>001182</t>
  </si>
  <si>
    <t>CARTUCHO FILTRO G01AA X 2</t>
  </si>
  <si>
    <t>001183</t>
  </si>
  <si>
    <t>IMPREGNANTE PARA MADERA PLAVICON LASUR BRILLANTE NATURAL X  1</t>
  </si>
  <si>
    <t>001184</t>
  </si>
  <si>
    <t>FILTRO PARA PINTURA 10A20L X 5U</t>
  </si>
  <si>
    <t>001185</t>
  </si>
  <si>
    <t>EXTENSOR DE ACERO ROSARPIN 1,00-2,00 M.</t>
  </si>
  <si>
    <t>001186</t>
  </si>
  <si>
    <t>ESCALERA CON PLATAFORMA SIN FIN 8</t>
  </si>
  <si>
    <t>001187</t>
  </si>
  <si>
    <t>IMPERMEABILIZANTE PARA TECHOS PLAVICON SOBREMEMBRANA ROJO X  1,200</t>
  </si>
  <si>
    <t>001188</t>
  </si>
  <si>
    <t>IMPERMEABILIZANTE PARA TECHOS PLAVICON SOBREMEMBRANA ROJO X  4,600</t>
  </si>
  <si>
    <t>001189</t>
  </si>
  <si>
    <t>IMPERMEABILIZANTE PARA TECHOS PLAVICON SOBREMEMBRANA ROJO X 10</t>
  </si>
  <si>
    <t>001190</t>
  </si>
  <si>
    <t>IMPERMEABILIZANTE PARA TECHOS PLAVICON SOBREMEMBRANA ROJO X 20</t>
  </si>
  <si>
    <t>001191</t>
  </si>
  <si>
    <t>IMPERMEABILIZANTE PARA TECHOS PLAVICON SOBREMEMBRANA GRIS X  1,200</t>
  </si>
  <si>
    <t>001192</t>
  </si>
  <si>
    <t>IMPERMEABILIZANTE PARA TECHOS PLAVICON SOBREMEMBRANA GRIS X  4,600</t>
  </si>
  <si>
    <t>001193</t>
  </si>
  <si>
    <t>IMPERMEABILIZANTE PARA TECHOS PLAVICON SOBREMEMBRANA GRIS X 10</t>
  </si>
  <si>
    <t>001194</t>
  </si>
  <si>
    <t>IMPERMEABILIZANTE PARA TECHOS PLAVICON SOBREMEMBRANA GRIS X 20</t>
  </si>
  <si>
    <t>001195</t>
  </si>
  <si>
    <t>SOLDURA PLASTICA POXIPOL TRANSPARENTE X 700</t>
  </si>
  <si>
    <t>001196</t>
  </si>
  <si>
    <t>SELLADOR NITROCELULOSICO PARA MADERA COLVINIL X 200</t>
  </si>
  <si>
    <t>001197</t>
  </si>
  <si>
    <t>ESMALTE AL AGUA HABITAT PLAVICON BRILLANTE BLANCO X 0,500</t>
  </si>
  <si>
    <t>001198</t>
  </si>
  <si>
    <t>ESMALTE AL AGUA HABITAT PLAVICON BRILLANTE BLANCO X 1</t>
  </si>
  <si>
    <t>001199</t>
  </si>
  <si>
    <t>ESMALTE AL AGUA HABITAT PLAVICON BRILLANTE BLANCO X 4</t>
  </si>
  <si>
    <t>001200</t>
  </si>
  <si>
    <t>SELLADOR NITROCELULOSICO PARA MADERA COLVINIL X  0,500</t>
  </si>
  <si>
    <t>001201</t>
  </si>
  <si>
    <t>SELLADOR NITROCELULOSICO PARA MADERA COLVINIL X  0,900</t>
  </si>
  <si>
    <t>001202</t>
  </si>
  <si>
    <t>SELLADOR NITROCELULOSICO PARA MADERA COLVINIL X  3.600</t>
  </si>
  <si>
    <t>001203</t>
  </si>
  <si>
    <t>SELLADOR NITROCELULOSICO PARA MADERA COLVINIL X 18</t>
  </si>
  <si>
    <t>001204</t>
  </si>
  <si>
    <t>AEROSOL RUST-OLEUM SP EPOXI BLANCO X 0,340(2720571)</t>
  </si>
  <si>
    <t>001205</t>
  </si>
  <si>
    <t>AEROSOL RUST-OLEUM SP EPOXI NEGRO X 0,340(2720581)</t>
  </si>
  <si>
    <t>001206</t>
  </si>
  <si>
    <t>AEROSOL RUST-OLEUM SP EPOXI ACERO INOXIDABLE GRIS X 0,340(2720631)</t>
  </si>
  <si>
    <t>001207</t>
  </si>
  <si>
    <t>AEROSOL RUST-OLEUM SP EPOXI ALMENDRA X 0,340(272062)</t>
  </si>
  <si>
    <t>001208</t>
  </si>
  <si>
    <t>LATEX EXTERIOR DURALBA MATE BASE T X  0,900</t>
  </si>
  <si>
    <t>001209</t>
  </si>
  <si>
    <t>LATEX EXTERIOR DURALBA MATE BASE T X  3,600</t>
  </si>
  <si>
    <t>001210</t>
  </si>
  <si>
    <t>LATEX INTERIOR PLAVICON HABITAT LISTO PARA USAR MATE APPLE X  1</t>
  </si>
  <si>
    <t>001211</t>
  </si>
  <si>
    <t>LATEX INTERIOR PLAVICON HABITAT LISTO PARA USAR MATE APPLE X 4</t>
  </si>
  <si>
    <t>001212</t>
  </si>
  <si>
    <t>LATEX EXTERIOR DURALBA MATE BASE F X  0,900</t>
  </si>
  <si>
    <t>001213</t>
  </si>
  <si>
    <t>LATEX EXTERIOR DURALBA MATE BASE F X  3,600</t>
  </si>
  <si>
    <t>001214</t>
  </si>
  <si>
    <t>LATEX EXTERIOR DURALBA MATE BASE F X  8,700</t>
  </si>
  <si>
    <t>001215</t>
  </si>
  <si>
    <t>LATEX EXTERIOR DURALBA MATE BASE F X 17,400</t>
  </si>
  <si>
    <t>001216</t>
  </si>
  <si>
    <t>IMPERMEABILIZANTE PARA TECHOS SINTEPLAST BLANCO X  4</t>
  </si>
  <si>
    <t>001217</t>
  </si>
  <si>
    <t>IMPERMEABILIZANTE PARA TECHOS SINTEPLAST BLANCO X 20</t>
  </si>
  <si>
    <t>001218</t>
  </si>
  <si>
    <t>IMPERMEABILIZANTE PARA TECHOS SINTEPLAST TEJA X  4</t>
  </si>
  <si>
    <t>001219</t>
  </si>
  <si>
    <t>IMPERMEABILIZANTE PARA TECHOS SINTEPLAST TEJA X 20</t>
  </si>
  <si>
    <t>001220</t>
  </si>
  <si>
    <t>LATEX EXTERIOR DURALBA MATE BASE P X  0,900</t>
  </si>
  <si>
    <t>001221</t>
  </si>
  <si>
    <t>LATEX EXTERIOR DURALBA MATE BASE P X  3,600</t>
  </si>
  <si>
    <t>001222</t>
  </si>
  <si>
    <t>LATEX EXTERIOR DURALBA MATE BASE P X  8,700</t>
  </si>
  <si>
    <t>001223</t>
  </si>
  <si>
    <t>LATEX EXTERIOR DURALBA MATE BASE P X 17,400</t>
  </si>
  <si>
    <t>001224</t>
  </si>
  <si>
    <t>LATEX EXTERIOR PLAVIPINT MATE BLANCO X  1</t>
  </si>
  <si>
    <t>001225</t>
  </si>
  <si>
    <t>MR.04 MASILLA RAPIDA UNIVERSAL (GRIS) X 0.900</t>
  </si>
  <si>
    <t>001226</t>
  </si>
  <si>
    <t>END020.32 CATALIZADOR RAPIDO ACS X 0.180</t>
  </si>
  <si>
    <t>001227</t>
  </si>
  <si>
    <t>LATEX EXTERIOR PLAVIPINT MATE BLANCO X  4</t>
  </si>
  <si>
    <t>001228</t>
  </si>
  <si>
    <t>LATEX EXTERIOR PLAVIPINT MATE BLANCO X 10</t>
  </si>
  <si>
    <t>001229</t>
  </si>
  <si>
    <t>LATEX EXTERIOR PLAVIPINT MATE BLANCO X 20</t>
  </si>
  <si>
    <t>001230</t>
  </si>
  <si>
    <t>C100-3402 FLEXIB.P/PLAST.X 0,250 (DISCONTINUADO)</t>
  </si>
  <si>
    <t>001231</t>
  </si>
  <si>
    <t>IMPERMEABILIZANTE PARA TECHOS PLAVICON SOBREMEMBRANA BLANCO X  1,200</t>
  </si>
  <si>
    <t>001232</t>
  </si>
  <si>
    <t>LATEX INTERIOR ALBALATEX MATE BASE T X  0,900</t>
  </si>
  <si>
    <t>001233</t>
  </si>
  <si>
    <t>LATEX INTERIOR ALBALATEX MATE BASE T X  3,600</t>
  </si>
  <si>
    <t>001234</t>
  </si>
  <si>
    <t>LATEX INTERIOR ALBALATEX DESIGN SATINADO BASE T X  0,900</t>
  </si>
  <si>
    <t>001235</t>
  </si>
  <si>
    <t>LATEX INTERIOR ALBALATEX DESIGN SATINADO BASE T X  3,600</t>
  </si>
  <si>
    <t>001236</t>
  </si>
  <si>
    <t>LATEX INTERIOR ALBALATEX MATE BASE F X  0,900</t>
  </si>
  <si>
    <t>001237</t>
  </si>
  <si>
    <t>LATEX INTERIOR ALBALATEX MATE BASE F X  3,600</t>
  </si>
  <si>
    <t>001238</t>
  </si>
  <si>
    <t>LATEX INTERIOR ALBALATEX MATE BASE F X  8,700</t>
  </si>
  <si>
    <t>001239</t>
  </si>
  <si>
    <t>LATEX INTERIOR ALBALATEX MATE BASE F X 17,400</t>
  </si>
  <si>
    <t>001240</t>
  </si>
  <si>
    <t>LATEX INTERIOR ALBALATEX MATE BASE M X 0,900</t>
  </si>
  <si>
    <t>001241</t>
  </si>
  <si>
    <t>ESMALTE AL AGUA HABITAT PLAVICON BRILLANTE NEGRO X 0,500</t>
  </si>
  <si>
    <t>001242</t>
  </si>
  <si>
    <t>ESMALTE AL AGUA HABITAT PLAVICON BRILLANTE NEGRO X 1</t>
  </si>
  <si>
    <t>001243</t>
  </si>
  <si>
    <t>ESMALTE AL AGUA HABITAT PLAVICON BRILLANTE NEGRO X 4</t>
  </si>
  <si>
    <t>001244</t>
  </si>
  <si>
    <t>LATEX INTERIOR ALBALATEX MATE BASE P X  0,900</t>
  </si>
  <si>
    <t>001245</t>
  </si>
  <si>
    <t>LATEX INTERIOR ALBALATEX MATE BASE P X  3,600</t>
  </si>
  <si>
    <t>001246</t>
  </si>
  <si>
    <t>LATEX INTERIOR ALBALATEX MATE BASE P X  8,700</t>
  </si>
  <si>
    <t>001247</t>
  </si>
  <si>
    <t>LATEX INTERIOR ALBALATEX MATE BASE P X 17,400</t>
  </si>
  <si>
    <t>001248</t>
  </si>
  <si>
    <t>LATEX INTERIOR ALBALATEX DESIGN SATINADO BASE P X  0,900</t>
  </si>
  <si>
    <t>001249</t>
  </si>
  <si>
    <t>LATEX INTERIOR ALBALATEX DESIGN SATINADO BASE P X  3,600</t>
  </si>
  <si>
    <t>001250</t>
  </si>
  <si>
    <t>LATEX INTERIOR ALBALATEX DESIGN SATINADO BASE P X  8,700</t>
  </si>
  <si>
    <t>001251</t>
  </si>
  <si>
    <t>LATEX INTERIOR ALBALATEX DESIGN SATINADO BASE P X 17,400</t>
  </si>
  <si>
    <t>001252</t>
  </si>
  <si>
    <t>LATEX INTERIOR ALBALATEX DESIGN SATINADO BASE M X  0,900</t>
  </si>
  <si>
    <t>001253</t>
  </si>
  <si>
    <t>IMPREGNANTE PARA MADERA PLAVICON LASUR BRILLANTE CEDRO X  1</t>
  </si>
  <si>
    <t>001254</t>
  </si>
  <si>
    <t>IMPREGNANTE PARA MADERA PLAVICON LASUR BRILLANTE CEDRO X  4</t>
  </si>
  <si>
    <t>001255</t>
  </si>
  <si>
    <t>IMPREGNANTE PARA MADERA PLAVICON LASUR BRILLANTE CEDRO X 20</t>
  </si>
  <si>
    <t>001256</t>
  </si>
  <si>
    <t>LATEX INTERIOR ALBALATEX DESIGN SATINADO BASE F X  0,900</t>
  </si>
  <si>
    <t>001257</t>
  </si>
  <si>
    <t>LATEX INTERIOR ALBALATEX DESIGN SATINADO BASE F X  3,600</t>
  </si>
  <si>
    <t>001258</t>
  </si>
  <si>
    <t>LATEX INTERIOR ALBALATEX DESIGN SATINADO BASE F X  8,700</t>
  </si>
  <si>
    <t>001259</t>
  </si>
  <si>
    <t>LATEX INTERIOR ALBALATEX DESIGN SATINADO BASE F X 17,400</t>
  </si>
  <si>
    <t>001260</t>
  </si>
  <si>
    <t>ESM.ALTA TEMP.300C ALUMINIO X 20</t>
  </si>
  <si>
    <t>001261</t>
  </si>
  <si>
    <t>LATEX INTERIOR ALBACRYL MATE BASE F X  3,600</t>
  </si>
  <si>
    <t>001262</t>
  </si>
  <si>
    <t>LATEX INTERIOR ALBACRYL MATE BASE F X  8,700</t>
  </si>
  <si>
    <t>001263</t>
  </si>
  <si>
    <t>LATEX INTERIOR ALBACRYL MATE BASE F X 17,400</t>
  </si>
  <si>
    <t>001264</t>
  </si>
  <si>
    <t>IMPREGNANTE PARA MADERA PLAVICON LASUR BRILLANTE CAOBA X  1</t>
  </si>
  <si>
    <t>001265</t>
  </si>
  <si>
    <t>IMPREGNANTE PARA MADERA PLAVICON LASUR BRILLANTE CAOBA X  4</t>
  </si>
  <si>
    <t>001266</t>
  </si>
  <si>
    <t>IMPREGNANTE PARA MADERA PLAVICON LASUR BRILLANTE CAOBA X 20</t>
  </si>
  <si>
    <t>001267</t>
  </si>
  <si>
    <t>LATEX INTERIOR ALBACRYL MATE BASE P X  3,600</t>
  </si>
  <si>
    <t>001268</t>
  </si>
  <si>
    <t>LATEX INTERIOR ALBACRYL MATE BASE P X  8,700</t>
  </si>
  <si>
    <t>001269</t>
  </si>
  <si>
    <t>LATEX INTERIOR ALBACRYL MATE BASE P X 17,400</t>
  </si>
  <si>
    <t>001270</t>
  </si>
  <si>
    <t>ESMALTE SINTETICO ALBALUX BRILLANTE BASE P X  0,900</t>
  </si>
  <si>
    <t>001271</t>
  </si>
  <si>
    <t>ESMALTE SINTETICO ALBALUX BRILLANTE BASE P X  3,600</t>
  </si>
  <si>
    <t>001272</t>
  </si>
  <si>
    <t>ESMALTE SINTETICO ALBALUX BRILLANTE BASE P X 17,400</t>
  </si>
  <si>
    <t>001273</t>
  </si>
  <si>
    <t>ESMALTE SINTETICO ALBALUX BRILLANTE BASE M X 0,900</t>
  </si>
  <si>
    <t>001274</t>
  </si>
  <si>
    <t>ESMALTE SINTETICO ALBALUX BRILLANTE BASE M X 3,600</t>
  </si>
  <si>
    <t>001275</t>
  </si>
  <si>
    <t>IMPREGNANTE PARA MADERA PLAVICON LASUR BRILLANTE NATURAL X  4</t>
  </si>
  <si>
    <t>001276</t>
  </si>
  <si>
    <t>BTE.HAMMERITE NEGRO X 0,225</t>
  </si>
  <si>
    <t>001277</t>
  </si>
  <si>
    <t>BTE.HAMMERITE NEGRO X 0,800</t>
  </si>
  <si>
    <t>001278</t>
  </si>
  <si>
    <t>AEROSOL RUST-OLEUM UC BRILLANTE AZUL SPA X 0,340(262196)</t>
  </si>
  <si>
    <t>001279</t>
  </si>
  <si>
    <t>ESMALTE SINTETICO ALBALUX BRILLANTE BASE T X 0,900</t>
  </si>
  <si>
    <t>001280</t>
  </si>
  <si>
    <t>ESMALTE SINTETICO ALBALUX BRILLANTE BASE T X 3,600</t>
  </si>
  <si>
    <t>001281</t>
  </si>
  <si>
    <t>LIJA EN ROLLO DOBLE A # 120 X 1 MT</t>
  </si>
  <si>
    <t>001282</t>
  </si>
  <si>
    <t>ESMALTE SINTETICO ALBALUX BRILLANTE BASE F X  0,900</t>
  </si>
  <si>
    <t>001283</t>
  </si>
  <si>
    <t>ESMALTE SINTETICO ALBALUX BRILLANTE BASE F X  3,600</t>
  </si>
  <si>
    <t>001284</t>
  </si>
  <si>
    <t>ESMALTE SINTETICO ALBALUX BRILLANTE BASE F X 17,400</t>
  </si>
  <si>
    <t>001285</t>
  </si>
  <si>
    <t>ESMALTE SINTETICO SATINOL SATINADO BASE P X  0,900</t>
  </si>
  <si>
    <t>001286</t>
  </si>
  <si>
    <t>ESMALTE SINTETICO SATINOL SATINADO BASE P X  3,600</t>
  </si>
  <si>
    <t>001287</t>
  </si>
  <si>
    <t>ESMALTE SINTETICO SATINOL SATINADO BASE P X 17,400</t>
  </si>
  <si>
    <t>001288</t>
  </si>
  <si>
    <t>ESMALTE SINTETICO SATINOL SATINADO BASE M X 0,900</t>
  </si>
  <si>
    <t>001289</t>
  </si>
  <si>
    <t>ESMALTE SINTETICO SATINOL SATINADO BASE M X 3,600</t>
  </si>
  <si>
    <t>001290</t>
  </si>
  <si>
    <t>IMPREGNANTE PARA MADERA PLAVICON LASUR BRILLANTE NATURAL X 20</t>
  </si>
  <si>
    <t>001291</t>
  </si>
  <si>
    <t>ESMALTE SINTETICO SATINOL SATINADO BASE T X 0,900</t>
  </si>
  <si>
    <t>001292</t>
  </si>
  <si>
    <t>ESMALTE SINTETICO SATINOL SATINADO BASE T X 3,600</t>
  </si>
  <si>
    <t>001293</t>
  </si>
  <si>
    <t>ESMALTE SINTETICO SATINOL SATINADO BASE F X  0,900</t>
  </si>
  <si>
    <t>001294</t>
  </si>
  <si>
    <t>ESMALTE SINTETICO SATINOL SATINADO BASE F X  3,600</t>
  </si>
  <si>
    <t>001295</t>
  </si>
  <si>
    <t>ESMALTE SINTETICO SATINOL SATINADO BASE F X 17,400</t>
  </si>
  <si>
    <t>001296</t>
  </si>
  <si>
    <t>LIJA EN ROLLO DOBLE A #  80 X 1 MT</t>
  </si>
  <si>
    <t>001297</t>
  </si>
  <si>
    <t>IMPREGNANTE PARA MADERA PLAVICON LASUR BRILLANTE NOGAL X  1</t>
  </si>
  <si>
    <t>001298</t>
  </si>
  <si>
    <t>IMPREGNANTE PARA MADERA PLAVICON LASUR BRILLANTE NOGAL X  4</t>
  </si>
  <si>
    <t>001299</t>
  </si>
  <si>
    <t>IMPREGNANTE PARA MADERA PLAVICON LASUR BRILLANTE NOGAL X 20</t>
  </si>
  <si>
    <t>001300</t>
  </si>
  <si>
    <t>IMPREGNANTE PARA MADERA PLAVICON LASUR BRILLANTE CRISTAL X  1</t>
  </si>
  <si>
    <t>001301</t>
  </si>
  <si>
    <t>IMPREGNANTE PARA MADERA PLAVICON LASUR BRILLANTE CRISTAL X  4</t>
  </si>
  <si>
    <t>001302</t>
  </si>
  <si>
    <t>IMPREGNANTE PARA MADERA PLAVICON LASUR BRILLANTE CRISTAL X 20</t>
  </si>
  <si>
    <t>001303</t>
  </si>
  <si>
    <t>ALBAMATE B F X 0,900</t>
  </si>
  <si>
    <t>001304</t>
  </si>
  <si>
    <t>IMPREGNANTE PARA MADERA PLAVICON LASUR SATINADO ROBLE X  1</t>
  </si>
  <si>
    <t>001305</t>
  </si>
  <si>
    <t>COLORANTE CONCENTRADO ALBA B AMARILLO X 0,946</t>
  </si>
  <si>
    <t>001306</t>
  </si>
  <si>
    <t>COLORANTE CONCENTRADO ALBA C NARANJA X 0,946</t>
  </si>
  <si>
    <t>001307</t>
  </si>
  <si>
    <t>IMPREGNANTE PARA MADERA PLAVICON LASUR SATINADO ROBLE X  4</t>
  </si>
  <si>
    <t>001308</t>
  </si>
  <si>
    <t>COLORANTE CONCENTRADO ALBA H ROJO OXIDO X 0,946</t>
  </si>
  <si>
    <t>001309</t>
  </si>
  <si>
    <t>COLORANTE CONCENTRADO ALBA V ROJO INTENSO X 0,946</t>
  </si>
  <si>
    <t>001310</t>
  </si>
  <si>
    <t>COLORANTE CONCENTRADO ALBA M VERDE X 0,946</t>
  </si>
  <si>
    <t>001311</t>
  </si>
  <si>
    <t>COLORANTE CONCENTRADO ALBA N AZUL X 0,946</t>
  </si>
  <si>
    <t>001312</t>
  </si>
  <si>
    <t>COLORANTE CONCENTRADO ALBA O VIOLETA X 0,946</t>
  </si>
  <si>
    <t>001313</t>
  </si>
  <si>
    <t>COLORANTE CONCENTRADO ALBA R NEGRO X 0,946</t>
  </si>
  <si>
    <t>001314</t>
  </si>
  <si>
    <t>COLORANTE CONCENTRADO ALBA S BLANCO X 0,946</t>
  </si>
  <si>
    <t>001315</t>
  </si>
  <si>
    <t>COLORANTE CONCENTRADO ALBA T AMARILLO OXIDO X 0,946</t>
  </si>
  <si>
    <t>001316</t>
  </si>
  <si>
    <t>COLORANTE CONCENTRADO ALBA Z TIERRA SOMBRA X 0,946</t>
  </si>
  <si>
    <t>001317</t>
  </si>
  <si>
    <t>LATEX INTERIOR ALBALATEX MATE BASE T X 17,400</t>
  </si>
  <si>
    <t>001318</t>
  </si>
  <si>
    <t>LATEX EXTERIOR DURALBA MATE BASE T X 17,400</t>
  </si>
  <si>
    <t>001319</t>
  </si>
  <si>
    <t>PEGAMENTO PARA ZAPATILLAS ECCOLE X 0,09</t>
  </si>
  <si>
    <t>001320</t>
  </si>
  <si>
    <t>RODILLO FUCO SATINADO BLANCO 17/50</t>
  </si>
  <si>
    <t>001321</t>
  </si>
  <si>
    <t>RODILLO FUCO SATINADO BLANCO 22/50</t>
  </si>
  <si>
    <t>001322</t>
  </si>
  <si>
    <t>RODILLO FUCO BLANCO 10/50</t>
  </si>
  <si>
    <t>001323</t>
  </si>
  <si>
    <t>RODILLO FUCO BLANCO 17/50</t>
  </si>
  <si>
    <t>001324</t>
  </si>
  <si>
    <t>RODILLO FUCO BLANCO 22/50</t>
  </si>
  <si>
    <t>001325</t>
  </si>
  <si>
    <t>RODILLO FUCO ORO 10/50</t>
  </si>
  <si>
    <t>001326</t>
  </si>
  <si>
    <t>RODILLO FUCO ORO 17/50</t>
  </si>
  <si>
    <t>001327</t>
  </si>
  <si>
    <t>RODILLO FUCO ORO 22/50</t>
  </si>
  <si>
    <t>001328</t>
  </si>
  <si>
    <t>ALBAMAX LAVABLE INT BCO X  1</t>
  </si>
  <si>
    <t>001329</t>
  </si>
  <si>
    <t>ALBAMAX LAVABLE INT BCO X  4</t>
  </si>
  <si>
    <t>001330</t>
  </si>
  <si>
    <t>ALBAMAX LAVABLE INT BCO X 10</t>
  </si>
  <si>
    <t>001331</t>
  </si>
  <si>
    <t>ALBAMAX LAVABLE INT BCO X 20</t>
  </si>
  <si>
    <t>001332</t>
  </si>
  <si>
    <t>IMPREGNANTE PARA MADERA PLAVICON LASUR SATINADO NATURAL X  1</t>
  </si>
  <si>
    <t>001333</t>
  </si>
  <si>
    <t>IMPREGNANTE PARA MADERA PLAVICON LASUR SATINADO NATURAL X  4</t>
  </si>
  <si>
    <t>001334</t>
  </si>
  <si>
    <t>IMPREGNANTE PARA MADERA PLAVICON LASUR SATINADO NATURAL X 20</t>
  </si>
  <si>
    <t>001335</t>
  </si>
  <si>
    <t>IMPREGNANTE PARA MADERA PLAVICON LASUR SATINADO CEDRO X  1</t>
  </si>
  <si>
    <t>001336</t>
  </si>
  <si>
    <t>IMPREGNANTE PARA MADERA PLAVICON LASUR SATINADO CEDRO X  4</t>
  </si>
  <si>
    <t>001337</t>
  </si>
  <si>
    <t>IMPREGNANTE PARA MADERA PLAVICON LASUR SATINADO CEDRO X 20</t>
  </si>
  <si>
    <t>001338</t>
  </si>
  <si>
    <t>LATEX INTERIOR TERSUAVE LAVABLE MATE BLANCO X  1</t>
  </si>
  <si>
    <t>001339</t>
  </si>
  <si>
    <t>LATEX INTERIOR TERSUAVE LAVABLE MATE BLANCO X  4</t>
  </si>
  <si>
    <t>001340</t>
  </si>
  <si>
    <t>LATEX INTERIOR TERSUAVE LAVABLE MATE BLANCO X 10</t>
  </si>
  <si>
    <t>001341</t>
  </si>
  <si>
    <t>LATEX INTERIOR TERSUAVE LAVABLE MATE BLANCO X 20</t>
  </si>
  <si>
    <t>001342</t>
  </si>
  <si>
    <t>LATEX INTERIOR TERSINOL BLANCO X  4</t>
  </si>
  <si>
    <t>001343</t>
  </si>
  <si>
    <t>LATEX INTERIOR TERSINOL BLANCO X 10</t>
  </si>
  <si>
    <t>001344</t>
  </si>
  <si>
    <t>LATEX INTERIOR TERSINOL BLANCO X 20</t>
  </si>
  <si>
    <t>001345</t>
  </si>
  <si>
    <t>LATEX PARA CIELORRASOS TERSEN MATE BLANCO X  1</t>
  </si>
  <si>
    <t>001346</t>
  </si>
  <si>
    <t>LATEX PARA CIELORRASOS TERSEN MATE BLANCO X  4</t>
  </si>
  <si>
    <t>001347</t>
  </si>
  <si>
    <t>LATEX PARA CIELORRASOS TERSEN MATE BLANCO X 10</t>
  </si>
  <si>
    <t>001348</t>
  </si>
  <si>
    <t>LATEX PARA CIELORRASOS TERSEN MATE BLANCO X 20</t>
  </si>
  <si>
    <t>001349</t>
  </si>
  <si>
    <t>LATEX EXTERIOR TERSEN MATE BLANCO X  1</t>
  </si>
  <si>
    <t>001350</t>
  </si>
  <si>
    <t>LATEX EXTERIOR TERSEN MATE BLANCO X  4</t>
  </si>
  <si>
    <t>001351</t>
  </si>
  <si>
    <t>LATEX EXTERIOR TERSEN MATE BLANCO X 10</t>
  </si>
  <si>
    <t>001352</t>
  </si>
  <si>
    <t>LATEX EXTERIOR TERSEN MATE BLANCO X 20</t>
  </si>
  <si>
    <t>001353</t>
  </si>
  <si>
    <t>ENDUIDO INTERIOR TERSUAVE X  1</t>
  </si>
  <si>
    <t>001354</t>
  </si>
  <si>
    <t>ENDUIDO INTERIOR TERSUAVE X  4</t>
  </si>
  <si>
    <t>001355</t>
  </si>
  <si>
    <t>ENDUIDO INTERIOR TERSUAVE X 10</t>
  </si>
  <si>
    <t>001356</t>
  </si>
  <si>
    <t>ENDUIDO INTERIOR TERSUAVE X 20</t>
  </si>
  <si>
    <t>001357</t>
  </si>
  <si>
    <t>P273-1444 ESPONJA LIMPIADORA P/PLASTICO - (DISCONTINUADO)</t>
  </si>
  <si>
    <t>001358</t>
  </si>
  <si>
    <t>BARNIZ PARA MADERA CRISTASOL BRILLANTE X 200</t>
  </si>
  <si>
    <t>001359</t>
  </si>
  <si>
    <t>IMPREGNANTE PARA MADERA PLAVICON LASUR SATINADO ROBLE X 20</t>
  </si>
  <si>
    <t>001360</t>
  </si>
  <si>
    <t>END010.11 CATALIZADOR NORMAL ACS X 1</t>
  </si>
  <si>
    <t>001361</t>
  </si>
  <si>
    <t>IMPREGNANTE PARA MADERA PLAVICON LASUR SATINADO CAOBA  X  1</t>
  </si>
  <si>
    <t>001362</t>
  </si>
  <si>
    <t>IMPREGNANTE PARA MADERA PLAVICON LASUR SATINADO CAOBA X  4</t>
  </si>
  <si>
    <t>001363</t>
  </si>
  <si>
    <t>IMPREGNANTE PARA MADERA PLAVICON LASUR SATINADO CAOBA X 20</t>
  </si>
  <si>
    <t>001364</t>
  </si>
  <si>
    <t>IMPREGNANTE PARA MADERA PLAVICON LASUR SATINADO NOGAL X  1</t>
  </si>
  <si>
    <t>001365</t>
  </si>
  <si>
    <t>IMPREGNANTE PARA MADERA PLAVICON LASUR SATINADO NOGAL X  4</t>
  </si>
  <si>
    <t>001366</t>
  </si>
  <si>
    <t>IMPREGNANTE PARA MADERA PLAVICON LASUR SATINADO NOGAL X 20</t>
  </si>
  <si>
    <t>001367</t>
  </si>
  <si>
    <t>IMPREGNANTE PARA MADERA PLAVICON LASUR SATINADO CRISTAL X  1</t>
  </si>
  <si>
    <t>001368</t>
  </si>
  <si>
    <t>LATEX INTERIOR ALBAMASTER MATE BLANCO X  1</t>
  </si>
  <si>
    <t>001369</t>
  </si>
  <si>
    <t>LATEX INTERIOR ALBAMASTER MATE BLANCO X  4</t>
  </si>
  <si>
    <t>001370</t>
  </si>
  <si>
    <t>LATEX INTERIOR ALBAMASTER MATE BLANCO X 10</t>
  </si>
  <si>
    <t>001371</t>
  </si>
  <si>
    <t>LATEX INTERIOR ALBAMASTER MATE BLANCO X 20</t>
  </si>
  <si>
    <t>001372</t>
  </si>
  <si>
    <t>BTE.HAMMERITE VERDE OSC.X 0,225</t>
  </si>
  <si>
    <t>001373</t>
  </si>
  <si>
    <t>MASILLA PARA MADERA COLVINIL NATURAL X 0,250</t>
  </si>
  <si>
    <t>001374</t>
  </si>
  <si>
    <t>MASILLA PARA MADERA COLVINIL CAOBA X 0,250</t>
  </si>
  <si>
    <t>001375</t>
  </si>
  <si>
    <t>MASILLA PARA MADERA COLVINIL ROBLE X 0,250</t>
  </si>
  <si>
    <t>001376</t>
  </si>
  <si>
    <t>MASILLA PARA MADERA COLVINIL CEDRO X 0,250</t>
  </si>
  <si>
    <t>001377</t>
  </si>
  <si>
    <t>MASILLA PARA MADERA COLVINIL ALGARROBO X 0,250</t>
  </si>
  <si>
    <t>001378</t>
  </si>
  <si>
    <t>BTE.HAMMERITE VERDE OSC.X 0,800</t>
  </si>
  <si>
    <t>001379</t>
  </si>
  <si>
    <t>IMPREGNANTE PARA MADERA PLAVICON LASUR SATINADO CRISTAL X  4</t>
  </si>
  <si>
    <t>001380</t>
  </si>
  <si>
    <t>BURLETE ADHESIVO 13MM X 50MTS</t>
  </si>
  <si>
    <t>001381</t>
  </si>
  <si>
    <t>LIJA DE BANDA TELA FENOBOND DOBLE A 120X6300 # 40</t>
  </si>
  <si>
    <t>001382</t>
  </si>
  <si>
    <t>ESMALTE SINTETICO TERSUAVE 2EN1 SATINADO BLANCO X  0,500</t>
  </si>
  <si>
    <t>001383</t>
  </si>
  <si>
    <t>ESMALTE SINTETICO TERSUAVE 2EN1 SATINADO BLANCO X  1</t>
  </si>
  <si>
    <t>001384</t>
  </si>
  <si>
    <t>ESMALTE SINTETICO TERSUAVE 2EN1 SATINADO BLANCO X  4</t>
  </si>
  <si>
    <t>001385</t>
  </si>
  <si>
    <t>ESMALTE SINTETICO TERSUAVE 2EN1 SATINADO NEGRO X  0,500</t>
  </si>
  <si>
    <t>001386</t>
  </si>
  <si>
    <t>ESMALTE SINTETICO TERSUAVE 2EN1 SATINADO BLANCO X 20</t>
  </si>
  <si>
    <t>001387</t>
  </si>
  <si>
    <t>M01.17 MASILLA POLIESTER ACS EVOLUTION X 1.000</t>
  </si>
  <si>
    <t>001388</t>
  </si>
  <si>
    <t>LIJA DE BANDA TELA FENOBOND DOBLE A 120X6300 # 60</t>
  </si>
  <si>
    <t>001389</t>
  </si>
  <si>
    <t>ESMALTE SINTETICO TERSUAVE 2EN1 SATINADO NEGRO X  1</t>
  </si>
  <si>
    <t>001390</t>
  </si>
  <si>
    <t>LIJA DE BANDA TELA FENOBOND DOBLE A 120X6300 # 50</t>
  </si>
  <si>
    <t>001391</t>
  </si>
  <si>
    <t>IMPREGNANTE PARA MADERA PLAVICON LASUR SATINADO CRISTAL X 20</t>
  </si>
  <si>
    <t>001392</t>
  </si>
  <si>
    <t>ESMALTE SINTETICO TERSUAVE 2EN1 SATINADO NEGRO X 20</t>
  </si>
  <si>
    <t>001393</t>
  </si>
  <si>
    <t>DILUYENTE POLIURETANO PETRILAC X 0,500</t>
  </si>
  <si>
    <t>001394</t>
  </si>
  <si>
    <t>DILUYENTE POLIURETANO PETRILAC X 1</t>
  </si>
  <si>
    <t>001395</t>
  </si>
  <si>
    <t>PETRISIL P/LADRILLOS, TEJAS Y MAT.FTES X  1</t>
  </si>
  <si>
    <t>001396</t>
  </si>
  <si>
    <t>ESMALTE SINTETICO TERSUAVE 2EN1 SATINADO NEGRO X  4</t>
  </si>
  <si>
    <t>001397</t>
  </si>
  <si>
    <t>ESMALTE SINTETICO PLAVICON 3EN1 BRILLANTE TABACO X 20</t>
  </si>
  <si>
    <t>001398</t>
  </si>
  <si>
    <t>AEROSOL RUST-OLEUM ESMALTE SINTETICO PARA MOTOR AZUL FORD X 0,340 (248945)</t>
  </si>
  <si>
    <t>001399</t>
  </si>
  <si>
    <t>AEROSOL RUST-OLEUM ESMALTE SINTETICO PARA MOTOR ALUMINIO X 0,340 (248949/371260)</t>
  </si>
  <si>
    <t>001400</t>
  </si>
  <si>
    <t>LACA PARA MADERA 7 VIDAS EXTERIOR NATURAL X 0,500</t>
  </si>
  <si>
    <t>001401</t>
  </si>
  <si>
    <t>LACA PARA MADERA 7 VIDAS EXTERIOR NATURAL X 1</t>
  </si>
  <si>
    <t>001402</t>
  </si>
  <si>
    <t>LACA PARA MADERA 7 VIDAS EXTERIOR NATURAL X 4</t>
  </si>
  <si>
    <t>001403</t>
  </si>
  <si>
    <t>LACA PARA MADERA 7 VIDAS EXTERIOR EBANO X 0,500</t>
  </si>
  <si>
    <t>001404</t>
  </si>
  <si>
    <t>LACA PARA MADERA 7 VIDAS EXTERIOR EBANO X 1</t>
  </si>
  <si>
    <t>001405</t>
  </si>
  <si>
    <t>LACA PARA MADERA 7 VIDAS EXTERIOR EBANO X 4</t>
  </si>
  <si>
    <t>001406</t>
  </si>
  <si>
    <t>LACA PARA MADERA 7 VIDAS EXTERIOR CEREZO X 0,500</t>
  </si>
  <si>
    <t>001407</t>
  </si>
  <si>
    <t>LACA PARA MADERA 7 VIDAS EXTERIOR CEREZO X 1</t>
  </si>
  <si>
    <t>001408</t>
  </si>
  <si>
    <t>LACA PARA MADERA 7 VIDAS EXTERIOR CEREZO X 4</t>
  </si>
  <si>
    <t>001409</t>
  </si>
  <si>
    <t>LACA PARA MADERA 7 VIDAS EXTERIOR CEDRO X 0,500</t>
  </si>
  <si>
    <t>001410</t>
  </si>
  <si>
    <t>LACA PARA MADERA 7 VIDAS EXTERIOR CEDRO X 1</t>
  </si>
  <si>
    <t>001411</t>
  </si>
  <si>
    <t>LACA PARA MADERA 7 VIDAS EXTERIOR CEDRO X 4</t>
  </si>
  <si>
    <t>001412</t>
  </si>
  <si>
    <t>LACA PARA MADERA 7 VIDAS EXTERIOR ROBLE X 0,500</t>
  </si>
  <si>
    <t>001413</t>
  </si>
  <si>
    <t>LACA PARA MADERA 7 VIDAS EXTERIOR ROBLE X 1</t>
  </si>
  <si>
    <t>001414</t>
  </si>
  <si>
    <t>LACA PARA MADERA 7 VIDAS EXTERIOR ROBLE X 4</t>
  </si>
  <si>
    <t>001415</t>
  </si>
  <si>
    <t>LACA PARA MADERA 7 VIDAS EXTERIOR OLIVO X 0,500</t>
  </si>
  <si>
    <t>001416</t>
  </si>
  <si>
    <t>LACA PARA MADERA 7 VIDAS EXTERIOR OLIVO X 1</t>
  </si>
  <si>
    <t>001417</t>
  </si>
  <si>
    <t>LACA PARA MADERA 7 VIDAS EXTERIOR OLIVO X 4</t>
  </si>
  <si>
    <t>001418</t>
  </si>
  <si>
    <t>DILUYENTE PARA LACA 7 VIDAS  X 0,500</t>
  </si>
  <si>
    <t>001419</t>
  </si>
  <si>
    <t>DILUYENTE PARA LACA 7 VIDAS X 1</t>
  </si>
  <si>
    <t>001420</t>
  </si>
  <si>
    <t>DILUYENTE PARA LACA 7 VIDAS X 4</t>
  </si>
  <si>
    <t>001421</t>
  </si>
  <si>
    <t>END010.31 CATALIZADOR NORMAL ACS X 0.150</t>
  </si>
  <si>
    <t>001422</t>
  </si>
  <si>
    <t>END020.02 CATALIZADOR RAPIDO ACS X 0.450</t>
  </si>
  <si>
    <t>001423</t>
  </si>
  <si>
    <t>END020.11 CATALIZADOR RAPIDO ACS X 1</t>
  </si>
  <si>
    <t>001424</t>
  </si>
  <si>
    <t>END010.02 CATALIZADOR NORMAL ACS X 0.450</t>
  </si>
  <si>
    <t>001425</t>
  </si>
  <si>
    <t>C210-9604 ENDUR.SINT.ER X 0,440</t>
  </si>
  <si>
    <t>001426</t>
  </si>
  <si>
    <t>C275-9605 CATAL.P/ESM.EPOXI X 1</t>
  </si>
  <si>
    <t>001427</t>
  </si>
  <si>
    <t>ESMALTE SINTETICO PLAVICON 3EN1 BRILLANTE MARRON X  0,250</t>
  </si>
  <si>
    <t>001428</t>
  </si>
  <si>
    <t>C275-922 CATAL.P/FDO.EPOXI X 1</t>
  </si>
  <si>
    <t>001429</t>
  </si>
  <si>
    <t>ESMALTE SINTETICO PLAVICON 3EN1 BRILLANTE MARRON X  0,500</t>
  </si>
  <si>
    <t>001430</t>
  </si>
  <si>
    <t>COMPSUG4 COL.ROJO BORGOÏ¿½A VW X 125</t>
  </si>
  <si>
    <t>001431</t>
  </si>
  <si>
    <t>RESINA  ALQUIDICA SIGMARINE 48 GREY PPG X 20</t>
  </si>
  <si>
    <t>001432</t>
  </si>
  <si>
    <t>SIGMATHERM 540 X 20</t>
  </si>
  <si>
    <t>001433</t>
  </si>
  <si>
    <t>D807P.04 DILUYENTE MEDIO PU/POLIESTER PPG X  1</t>
  </si>
  <si>
    <t>001434</t>
  </si>
  <si>
    <t>D807P-10 DILUYENTE MEDIO PU/POLIESTER PPG X  5</t>
  </si>
  <si>
    <t>001435</t>
  </si>
  <si>
    <t>D807P.20 DILUYENTE MEDIO PU/POLIESTER PPG X 20</t>
  </si>
  <si>
    <t>001436</t>
  </si>
  <si>
    <t>ESMALTE SINTETICO PLAVICON 3EN1 BRILLANTE MARRON X  1</t>
  </si>
  <si>
    <t>001437</t>
  </si>
  <si>
    <t>C850-9704 DILUYENTE SINT.X 5</t>
  </si>
  <si>
    <t>001438</t>
  </si>
  <si>
    <t>BTE.HAMMERITE VERDE OSC.X 2,400</t>
  </si>
  <si>
    <t>001439</t>
  </si>
  <si>
    <t>AEROSOL RUST-OLEUM SP LACA BRILLANTE BLANCO X 0,312(272076)</t>
  </si>
  <si>
    <t>001440</t>
  </si>
  <si>
    <t>ESMALTE SINTETICO PLAVICON 3EN1 BRILLANTE MARRON X  4</t>
  </si>
  <si>
    <t>001441</t>
  </si>
  <si>
    <t>ESMALTE SINTETICO PLAVICON 3EN1 BRILLANTE MARRON X 20</t>
  </si>
  <si>
    <t>001442</t>
  </si>
  <si>
    <t>C084-9411 PRIMER RAPIDO X 3,500</t>
  </si>
  <si>
    <t>001443</t>
  </si>
  <si>
    <t>ESMALTE SINTETICO PLAVICON 3EN1 BRILLANTE GRIS X  0,250</t>
  </si>
  <si>
    <t>001444</t>
  </si>
  <si>
    <t>C580-9415 PRIMER EPOXI X 3,500</t>
  </si>
  <si>
    <t>001445</t>
  </si>
  <si>
    <t>ESMALTE SINTETICO PLAVICON 3EN1 BRILLANTE GRIS X  0,500</t>
  </si>
  <si>
    <t>001446</t>
  </si>
  <si>
    <t>ESMALTE SINTETICO PLAVICON 3EN1 BRILLANTE GRIS X  1</t>
  </si>
  <si>
    <t>001447</t>
  </si>
  <si>
    <t>LATEX INTERIOR COLORIN EMOCION MATE BLANCO X  1</t>
  </si>
  <si>
    <t>001448</t>
  </si>
  <si>
    <t>LATEX INTERIOR COLORIN EMOCION MATE BLANCO X  4</t>
  </si>
  <si>
    <t>001449</t>
  </si>
  <si>
    <t>LATEX INTERIOR COLORIN EMOCION MATE BLANCO X 10</t>
  </si>
  <si>
    <t>001450</t>
  </si>
  <si>
    <t>LATEX INTERIOR COLORIN EMOCION MATE BLANCO X 20</t>
  </si>
  <si>
    <t>001451</t>
  </si>
  <si>
    <t>P426-HE01 H S BLUE FROST X 1 (DISCONTINUADO)</t>
  </si>
  <si>
    <t>001452</t>
  </si>
  <si>
    <t>P426-HE03 GRAPHITE FLAKE X 1</t>
  </si>
  <si>
    <t>001453</t>
  </si>
  <si>
    <t>P426-HE04 GOLD FLASH X 1</t>
  </si>
  <si>
    <t>001454</t>
  </si>
  <si>
    <t>P426-PP05 PEARL WHITE X 1</t>
  </si>
  <si>
    <t>001455</t>
  </si>
  <si>
    <t>P426-PP06 FINE PEARL WHITE X 1</t>
  </si>
  <si>
    <t>001456</t>
  </si>
  <si>
    <t>P426-PP07-E1C PEARL BLUE X 1</t>
  </si>
  <si>
    <t>001457</t>
  </si>
  <si>
    <t>P426-PP08-E1C RED PEARL X 1</t>
  </si>
  <si>
    <t>001458</t>
  </si>
  <si>
    <t>P426-PP09 PEARL GOLD X 1</t>
  </si>
  <si>
    <t>001459</t>
  </si>
  <si>
    <t>P426-PP10 COPPER PEARL X 1</t>
  </si>
  <si>
    <t>001460</t>
  </si>
  <si>
    <t>P426-PP60 PEARL WHITE ULTRAFINE X 1</t>
  </si>
  <si>
    <t>001461</t>
  </si>
  <si>
    <t>P426-PP61 PEARL RED FINE X 1</t>
  </si>
  <si>
    <t>001462</t>
  </si>
  <si>
    <t>P426-PP62 RUSSET PEARL FINE X 1</t>
  </si>
  <si>
    <t>001463</t>
  </si>
  <si>
    <t>P426-PP63 PEARL BLUE FINE X 1</t>
  </si>
  <si>
    <t>001464</t>
  </si>
  <si>
    <t>P426-PP64 PEARL VIOLET MEDIUM X 1</t>
  </si>
  <si>
    <t>001465</t>
  </si>
  <si>
    <t>P426-PP65 PEARL GREEN MEDIUM X 1</t>
  </si>
  <si>
    <t>001466</t>
  </si>
  <si>
    <t>AEROSOL RUST-OLEUM UC BRILLANTE ALUMINIO METALIZADO X 0,312(2621711-358909-249128)</t>
  </si>
  <si>
    <t>001467</t>
  </si>
  <si>
    <t>AEROSOL RUST-OLEUM UC BRILLANTE ROJO MANZANA X 0,340(262151/358898)</t>
  </si>
  <si>
    <t>001468</t>
  </si>
  <si>
    <t>AEROSOL RUST-OLEUM UC BRILLANTE MARRON X 0,340(262153)</t>
  </si>
  <si>
    <t>001469</t>
  </si>
  <si>
    <t>AEROSOL RUST-OLEUM UC BRILLANTE ROJO COLONIAL X 0,340(262205)</t>
  </si>
  <si>
    <t>001470</t>
  </si>
  <si>
    <t>AEROSOL RUST-OLEUM UC BRILLANTE NARANJA X 0,340(262161)</t>
  </si>
  <si>
    <t>001471</t>
  </si>
  <si>
    <t>AEROSOL RUST-OLEUM UC BRILLANTE ROSA INTENSO X 0,340(2621601)</t>
  </si>
  <si>
    <t>001472</t>
  </si>
  <si>
    <t>AEROSOL RUST-OLEUM UC BRILLANTE AMARILLO SOL X 0,340(2621581)</t>
  </si>
  <si>
    <t>001473</t>
  </si>
  <si>
    <t>AEROSOL RUST-OLEUM UC BRILLANTE AZUL MARINO X 0,340(262168)</t>
  </si>
  <si>
    <t>001474</t>
  </si>
  <si>
    <t>AEROSOL RUST-OLEUM UC BRILLANTE AZUL X 0,340(262156)</t>
  </si>
  <si>
    <t>001475</t>
  </si>
  <si>
    <t>AEROSOL RUST-OLEUM UC BRILLANTE TRANSPARENTE X 0,340(2621541)</t>
  </si>
  <si>
    <t>001476</t>
  </si>
  <si>
    <t>AEROSOL RUST-OLEUM UC BRILLANTE VERDE OSCURO X 0,340(262174)</t>
  </si>
  <si>
    <t>001477</t>
  </si>
  <si>
    <t>AEROSOL RUST-OLEUM UC BRILLANTE AMARILLO ORO X 0,340(262190)</t>
  </si>
  <si>
    <t>001478</t>
  </si>
  <si>
    <t>AEROSOL RUST-OLEUM UC BRILLANTE GRIS OSCURO X 0,340(2621731)</t>
  </si>
  <si>
    <t>001479</t>
  </si>
  <si>
    <t>AEROSOL RUST-OLEUM UC BRILLANTE ALMENDRA X 0,340(262195)</t>
  </si>
  <si>
    <t>001480</t>
  </si>
  <si>
    <t>AEROSOL RUST-OLEUM UC BRILLANTE BLANCO X 0,340(2620981/313957/351550)</t>
  </si>
  <si>
    <t>001481</t>
  </si>
  <si>
    <t>AEROSOL RUST-OLEUM UC SATINADO BLANCO X 0,340(2621551)</t>
  </si>
  <si>
    <t>001482</t>
  </si>
  <si>
    <t>AEROSOL RUST-OLEUM UC MATE BLANCO X 0,340(2621521)</t>
  </si>
  <si>
    <t>001483</t>
  </si>
  <si>
    <t>AEROSOL RUST-OLEUM UC BRILLANTE NEGRO X 0,340(262097/313956)</t>
  </si>
  <si>
    <t>001484</t>
  </si>
  <si>
    <t>AEROSOL RUST-OLEUM UC MATE TRASNPARENTE X 0,340(262167/358910)</t>
  </si>
  <si>
    <t>001485</t>
  </si>
  <si>
    <t>PINCELETA ROSARPIN 6000 V2 CH.40</t>
  </si>
  <si>
    <t>001486</t>
  </si>
  <si>
    <t>TABLON DE MADERA SIN FIN 2,30 X 0,68</t>
  </si>
  <si>
    <t>001487</t>
  </si>
  <si>
    <t>BUTACA ESCALERA SIN FIN CON ASIENTO</t>
  </si>
  <si>
    <t>001488</t>
  </si>
  <si>
    <t>ESCALERA METALICA SIN FIN 3</t>
  </si>
  <si>
    <t>001489</t>
  </si>
  <si>
    <t>ESCALERA METALICA SIN FIN 4</t>
  </si>
  <si>
    <t>001490</t>
  </si>
  <si>
    <t>ESCALERA METALICA SIN FIN 5</t>
  </si>
  <si>
    <t>001491</t>
  </si>
  <si>
    <t>ESCALERA METALICA SIN FIN 6</t>
  </si>
  <si>
    <t>001492</t>
  </si>
  <si>
    <t>ESCALERA METALICA SIN FIN 7</t>
  </si>
  <si>
    <t>001493</t>
  </si>
  <si>
    <t>EXTENSIBLE 3 HOJAS 1,5X3 13</t>
  </si>
  <si>
    <t>001494</t>
  </si>
  <si>
    <t>EXTENSIBLE 3 HOJAS 1,5X3 14</t>
  </si>
  <si>
    <t>001495</t>
  </si>
  <si>
    <t>EXTENSIBLE 3 HOJAS 1,5X3 15</t>
  </si>
  <si>
    <t>001496</t>
  </si>
  <si>
    <t>EXTENSIBLE 3 HOJAS 1,5X3 16</t>
  </si>
  <si>
    <t>001497</t>
  </si>
  <si>
    <t>EXTENSIBLE 3 HOJAS 1,5X3 17</t>
  </si>
  <si>
    <t>001498</t>
  </si>
  <si>
    <t>LIJA EN ROLLO DOBLE A #  50 X 1 MT</t>
  </si>
  <si>
    <t>001499</t>
  </si>
  <si>
    <t>AEROSOL RUST-OLEUM UC SATINADO TRASNPARENTE X 0,340(262170)</t>
  </si>
  <si>
    <t>001500</t>
  </si>
  <si>
    <t>ESMALTE SINTETICO TERSUAVE BRILLANTE BASE W X  0,900</t>
  </si>
  <si>
    <t>001501</t>
  </si>
  <si>
    <t>ESMALTE SINTETICO TERSUAVE BRILLANTE BASE W X  3,840</t>
  </si>
  <si>
    <t>001502</t>
  </si>
  <si>
    <t>ESMALTE SINTETICO PLAVICON 3EN1 BRILLANTE GRIS X  4</t>
  </si>
  <si>
    <t>001503</t>
  </si>
  <si>
    <t>ESMALTE SINTETICO TERSUAVE BRILLANTE BASE W X 19,200</t>
  </si>
  <si>
    <t>001504</t>
  </si>
  <si>
    <t>ESMALTE SINTETICO TERSUAVE BRILLANTE BASE M X  0,940</t>
  </si>
  <si>
    <t>001505</t>
  </si>
  <si>
    <t>ESMALTE SINTETICO TERSUAVE BRILLANTE BASE M X  3,760</t>
  </si>
  <si>
    <t>001506</t>
  </si>
  <si>
    <t>ESMALTE SINTETICO PLAVICON 3EN1 BRILLANTE GRIS X 20</t>
  </si>
  <si>
    <t>001507</t>
  </si>
  <si>
    <t>ESMALTE SINTETICO TERSUAVE BRILLANTE BASE M X 18,800</t>
  </si>
  <si>
    <t>001508</t>
  </si>
  <si>
    <t>ESMALTE SINTETICO TERSUAVE BRILLANTE BASE D X  0,930</t>
  </si>
  <si>
    <t>001509</t>
  </si>
  <si>
    <t>ESMALTE SINTETICO TERSUAVE BRILLANTE BASE D X  3,720</t>
  </si>
  <si>
    <t>001510</t>
  </si>
  <si>
    <t>ESMALTE SINTETICO PLAVICON 3EN1 BRILLANTE VIOLETA X  0,250</t>
  </si>
  <si>
    <t>001511</t>
  </si>
  <si>
    <t>ESMALTE SINTETICO TERSUAVE BRILLANTE BASE D X 18,600</t>
  </si>
  <si>
    <t>001512</t>
  </si>
  <si>
    <t>ESMALTE SINTETICO TERSUAVE BRILLANTE BASE C X  0,900</t>
  </si>
  <si>
    <t>001513</t>
  </si>
  <si>
    <t>ESMALTE SINTETICO TERSUAVE BRILLANTE BASE C X  3,600</t>
  </si>
  <si>
    <t>001514</t>
  </si>
  <si>
    <t>ESMALTE SINTETICO PLAVICON 3EN1 BRILLANTE VIOLETA X  0,500</t>
  </si>
  <si>
    <t>001515</t>
  </si>
  <si>
    <t>ESMALTE SINTETICO TERSUAVE BRILLANTE BASE C X 18,000</t>
  </si>
  <si>
    <t>001516</t>
  </si>
  <si>
    <t>ESMALTE SINTETICO PLAVICON 3EN1 BRILLANTE VIOLETA X  1</t>
  </si>
  <si>
    <t>001517</t>
  </si>
  <si>
    <t>ESMALTE SINTETICO PLAVICON 3EN1 BRILLANTE VIOLETA X  4</t>
  </si>
  <si>
    <t>001518</t>
  </si>
  <si>
    <t>ESMALTE SINTETICO TERSUAVE SATINADO BASE M X 0,940</t>
  </si>
  <si>
    <t>001519</t>
  </si>
  <si>
    <t>ESMALTE SINTETICO TERSUAVE SATINADO BASE M X 3,600</t>
  </si>
  <si>
    <t>001520</t>
  </si>
  <si>
    <t>ESMALTE SINTETICO TERSUAVE SATINADO BASE D X 0,900</t>
  </si>
  <si>
    <t>001521</t>
  </si>
  <si>
    <t>ESMALTE SINTETICO TERSUAVE SATINADO BASE D X 3,600</t>
  </si>
  <si>
    <t>001522</t>
  </si>
  <si>
    <t>ESMALTE SINTETICO TERSUAVE SATINADO BASE C X  0,900</t>
  </si>
  <si>
    <t>001523</t>
  </si>
  <si>
    <t>ESMALTE SINTETICO TERSUAVE SATINADO BASE C X 3,600</t>
  </si>
  <si>
    <t>001524</t>
  </si>
  <si>
    <t>LATEX INTERIOR TERSUAVE LAVABLE BASE W X  0,900</t>
  </si>
  <si>
    <t>001525</t>
  </si>
  <si>
    <t>LATEX INTERIOR TERSUAVE LAVABLE BASE W X  3,600</t>
  </si>
  <si>
    <t>001526</t>
  </si>
  <si>
    <t>LATEX INTERIOR TERSUAVE LAVABLE BASE W X  9,000</t>
  </si>
  <si>
    <t>001527</t>
  </si>
  <si>
    <t>LATEX INTERIOR TERSUAVE LAVABLE BASE W X 18,000</t>
  </si>
  <si>
    <t>001528</t>
  </si>
  <si>
    <t>LATEX INTERIOR TERSUAVE LAVABLE BASE M X  0,900</t>
  </si>
  <si>
    <t>001529</t>
  </si>
  <si>
    <t>LATEX INTERIOR TERSUAVE LAVABLE BASE M X  3,600</t>
  </si>
  <si>
    <t>001530</t>
  </si>
  <si>
    <t>LATEX INTERIOR TERSUAVE LAVABLE BASE M X  9,000</t>
  </si>
  <si>
    <t>001531</t>
  </si>
  <si>
    <t>LATEX INTERIOR TERSUAVE LAVABLE BASE M X 18</t>
  </si>
  <si>
    <t>001532</t>
  </si>
  <si>
    <t>LATEX INTERIOR TERSUAVE LAVABLE BASE D X  0,900</t>
  </si>
  <si>
    <t>001533</t>
  </si>
  <si>
    <t>LATEX INTERIOR TERSUAVE LAVABLE BASE D X  3,600</t>
  </si>
  <si>
    <t>001534</t>
  </si>
  <si>
    <t>LATEX INTERIOR TERSUAVE LAVABLE BASE D X  9,000</t>
  </si>
  <si>
    <t>001535</t>
  </si>
  <si>
    <t>LATEX INTERIOR TERSUAVE LAVABLE BASE D X 18</t>
  </si>
  <si>
    <t>001536</t>
  </si>
  <si>
    <t>LATEX INTERIOR TERSUAVE LAVABLE BASE C X  0,900</t>
  </si>
  <si>
    <t>001537</t>
  </si>
  <si>
    <t>LATEX INTERIOR TERSUAVE LAVABLE BASE C X  3,600</t>
  </si>
  <si>
    <t>001538</t>
  </si>
  <si>
    <t>LATEX INTERIOR TERSUAVE LAVABLE BASE C X  9,000</t>
  </si>
  <si>
    <t>001539</t>
  </si>
  <si>
    <t>LATEX INTERIOR TERSUAVE LAVABLE BASE C X 18,000</t>
  </si>
  <si>
    <t>001540</t>
  </si>
  <si>
    <t>AQUA-REPEL IMPERMEABILIZANTE X 1</t>
  </si>
  <si>
    <t>001541</t>
  </si>
  <si>
    <t>AQUA-REPEL IMPERMEABILIZANTE X 4</t>
  </si>
  <si>
    <t>001542</t>
  </si>
  <si>
    <t>ESMALTE SINTETICO PLAVICON 3EN1 BRILLANTE VIOLETA X 20</t>
  </si>
  <si>
    <t>001543</t>
  </si>
  <si>
    <t>ESMALTE SINTETICO PLAVICON 3EN1 BRILLANTE CASTANO X  0,250</t>
  </si>
  <si>
    <t>001544</t>
  </si>
  <si>
    <t>IMPERMEABILIZANTE PARA FRENTES Y MUROS TERSUAVE BASE M X  0,900</t>
  </si>
  <si>
    <t>001545</t>
  </si>
  <si>
    <t>IMPERMEABILIZANTE PARA FRENTES Y MUROS TERSUAVE BASE M X  3,600</t>
  </si>
  <si>
    <t>001546</t>
  </si>
  <si>
    <t>IMPERMEABILIZANTE PARA FRENTES Y MUROS TERSUAVE BASE M X  9</t>
  </si>
  <si>
    <t>001547</t>
  </si>
  <si>
    <t>IMPERMEABILIZANTE PARA FRENTES Y MUROS TERSUAVE BASE M X 18</t>
  </si>
  <si>
    <t>001548</t>
  </si>
  <si>
    <t>IMPERMEABILIZANTE PARA FRENTES Y MUROS TERSUAVE BASE D X  0,900</t>
  </si>
  <si>
    <t>001549</t>
  </si>
  <si>
    <t>IMPERMEABILIZANTE PARA FRENTES Y MUROS TERSUAVE BASE D X  3,600</t>
  </si>
  <si>
    <t>001550</t>
  </si>
  <si>
    <t>IMPERMEABILIZANTE PARA FRENTES Y MUROS TERSUAVE BASE D X  9</t>
  </si>
  <si>
    <t>001551</t>
  </si>
  <si>
    <t>IMPERMEABILIZANTE PARA FRENTES Y MUROS TERSUAVE BASE D X 18</t>
  </si>
  <si>
    <t>001552</t>
  </si>
  <si>
    <t>IMPERMEABILIZANTE PARA FRENTES Y MUROS TERSUAVE BASE C X  0,900</t>
  </si>
  <si>
    <t>001553</t>
  </si>
  <si>
    <t>IMPERMEABILIZANTE PARA FRENTES Y MUROS TERSUAVE BASE C X  3,600</t>
  </si>
  <si>
    <t>001554</t>
  </si>
  <si>
    <t>IMPERMEABILIZANTE PARA FRENTES Y MUROS TERSUAVE BASE C X  9,000</t>
  </si>
  <si>
    <t>001555</t>
  </si>
  <si>
    <t>IMPERMEABILIZANTE PARA FRENTES Y MUROS TERSUAVE BASE C X 18,000</t>
  </si>
  <si>
    <t>001556</t>
  </si>
  <si>
    <t>PARCHE RAPID SR60 X 0,250</t>
  </si>
  <si>
    <t>001557</t>
  </si>
  <si>
    <t>PARCHE RAPID SR60 X 0,500</t>
  </si>
  <si>
    <t>001558</t>
  </si>
  <si>
    <t>PARCHE RAPID SR60 X 1</t>
  </si>
  <si>
    <t>001559</t>
  </si>
  <si>
    <t>ESMALTE SINTETICO PLAVICON 3EN1 BRILLANTE CASTANO X  0,500</t>
  </si>
  <si>
    <t>001560</t>
  </si>
  <si>
    <t>ESCALERA DE MADERA SIN FIN PINTOR 13</t>
  </si>
  <si>
    <t>001561</t>
  </si>
  <si>
    <t>ESCALERA DE MADERA SIN FIN PINTOR 14</t>
  </si>
  <si>
    <t>001562</t>
  </si>
  <si>
    <t>ESCALERA DE MADERA SIN FIN PINTOR 15</t>
  </si>
  <si>
    <t>001563</t>
  </si>
  <si>
    <t>ESCALERA DE MADERA SIN FIN PINTOR 16</t>
  </si>
  <si>
    <t>001564</t>
  </si>
  <si>
    <t>ESCALERA DE MADERA SIN FIN PINTOR 17</t>
  </si>
  <si>
    <t>001565</t>
  </si>
  <si>
    <t>ESMALTE SINTETICO PLAVICON 3EN1 BRILLANTE CASTANO X  1</t>
  </si>
  <si>
    <t>001566</t>
  </si>
  <si>
    <t>ESMALTE SINTETICO PLAVICON 3EN1 BRILLANTE CASTANO X  4</t>
  </si>
  <si>
    <t>001567</t>
  </si>
  <si>
    <t>ESMALTE SINTETICO PLAVICON 3EN1 BRILLANTE CASTANO X 20</t>
  </si>
  <si>
    <t>001568</t>
  </si>
  <si>
    <t>ESMALTE SINTETICO PLAVICON 3EN1 BRILLANTE OCRE X  0,250</t>
  </si>
  <si>
    <t>001569</t>
  </si>
  <si>
    <t>ESMALTE SINTETICO PLAVICON 3EN1 BRILLANTE OCRE X  0,500</t>
  </si>
  <si>
    <t>001570</t>
  </si>
  <si>
    <t>ESMALTE SINTETICO PLAVICON 3EN1 BRILLANTE OCRE X  1</t>
  </si>
  <si>
    <t>001571</t>
  </si>
  <si>
    <t>ESMALTE SINTETICO PLAVICON 3EN1 BRILLANTE OCRE X  4</t>
  </si>
  <si>
    <t>001572</t>
  </si>
  <si>
    <t>ESMALTE SINTETICO PLAVICON 3EN1 BRILLANTE OCRE X 20</t>
  </si>
  <si>
    <t>001573</t>
  </si>
  <si>
    <t>ESMALTE SINTETICO PLAVICON 3EN1 BRILLANTE BEIGE X  0,250</t>
  </si>
  <si>
    <t>001574</t>
  </si>
  <si>
    <t>ESMALTE SINTETICO PLAVICON 3EN1 BRILLANTE BEIGE X  0,500</t>
  </si>
  <si>
    <t>001575</t>
  </si>
  <si>
    <t>LACA PARA MADERA RESOL CRISTASOL 2C BRILLANTE X  1</t>
  </si>
  <si>
    <t>001576</t>
  </si>
  <si>
    <t>LACA PARA MADERA RESOL CRISTASOL 2C BRILLANTE X  4</t>
  </si>
  <si>
    <t>001577</t>
  </si>
  <si>
    <t>ESMALTE SINTETICO PLAVICON 3EN1 BRILLANTE BEIGE X  1</t>
  </si>
  <si>
    <t>001578</t>
  </si>
  <si>
    <t>ESMALTE SINTETICO PLAVICON 3EN1 BRILLANTE BEIGE X  4</t>
  </si>
  <si>
    <t>001579</t>
  </si>
  <si>
    <t>ESMALTE SINTETICO PLAVICON 3EN1 BRILLANTE BEIGE X 20</t>
  </si>
  <si>
    <t>001580</t>
  </si>
  <si>
    <t>ESMALTE SINTETICO PLAVICON 3EN1 BRILLANTE CELESTE X  0,250</t>
  </si>
  <si>
    <t>001581</t>
  </si>
  <si>
    <t>ESMALTE SINTETICO PLAVICON 3EN1 BRILLANTE CELESTE X  0,500</t>
  </si>
  <si>
    <t>001582</t>
  </si>
  <si>
    <t>ESMALTE SINTETICO PLAVICON 3EN1 BRILLANTE CELESTE X  1</t>
  </si>
  <si>
    <t>001583</t>
  </si>
  <si>
    <t>ESMALTE SINTETICO PLAVICON 3EN1 BRILLANTE CELESTE X  4</t>
  </si>
  <si>
    <t>001584</t>
  </si>
  <si>
    <t>ANTICORROS.RESOL ALUMINIO X 18</t>
  </si>
  <si>
    <t>001585</t>
  </si>
  <si>
    <t>COMPSUG3 COL.GRIS URBANO VW X 125</t>
  </si>
  <si>
    <t>001586</t>
  </si>
  <si>
    <t>ESMALTE SINTETICO PLAVICON 3EN1 BRILLANTE CELESTE X 20</t>
  </si>
  <si>
    <t>001587</t>
  </si>
  <si>
    <t>CINTA DE PAPEL RAPIFIX USO GENERAL NEGRO (520) 12MM</t>
  </si>
  <si>
    <t>001588</t>
  </si>
  <si>
    <t>CINTA DE PAPEL RAPIFIX USO GENERAL NEGRO (520) 18MM</t>
  </si>
  <si>
    <t>001589</t>
  </si>
  <si>
    <t>CINTA DE PAPEL RAPIFIX USO GENERAL NEGRO (520) 24MM</t>
  </si>
  <si>
    <t>001590</t>
  </si>
  <si>
    <t>CINTA DE PAPEL RAPIFIX USO GENERAL NEGRO (520) 30MM</t>
  </si>
  <si>
    <t>001591</t>
  </si>
  <si>
    <t>CINTA DE PAPEL RAPIFIX USO GENERAL NEGRO (520) 36MM</t>
  </si>
  <si>
    <t>001592</t>
  </si>
  <si>
    <t>CINTA DE PAPEL RAPIFIX USO GENERAL NEGRO (520) 48MM</t>
  </si>
  <si>
    <t>001593</t>
  </si>
  <si>
    <t>CINTA DE PAPEL RAPIFIX OBRA PREMIUM AZUL (550) 18MM</t>
  </si>
  <si>
    <t>001594</t>
  </si>
  <si>
    <t>CINTA DE PAPEL RAPIFIX OBRA PREMIUM AZUL (550) 24MM</t>
  </si>
  <si>
    <t>001595</t>
  </si>
  <si>
    <t>CINTA DE PAPEL RAPIFIX OBRA PREMIUM AZUL (550) 36MM</t>
  </si>
  <si>
    <t>001596</t>
  </si>
  <si>
    <t>CINTA DE PAPEL RAPIFIX OBRA PREMIUM AZUL (550) 48MM</t>
  </si>
  <si>
    <t>001597</t>
  </si>
  <si>
    <t>ALTO RENDIMIENTO ALBA X 3</t>
  </si>
  <si>
    <t>001598</t>
  </si>
  <si>
    <t>PANO DE FIBRA ABRASIVA DOBLE A  ABRATEX 150X230 #100 ESTUCHE X 1 (MARRON)</t>
  </si>
  <si>
    <t>001599</t>
  </si>
  <si>
    <t>PANO DE FIBRA ABRASIVA DOBLE A  ABRATEX 150X230 #220 ESTUCHE X 2 (MARRON)</t>
  </si>
  <si>
    <t>001600</t>
  </si>
  <si>
    <t>PANO DE FIBRA ABRASIVA DOBLE A  ABRATEX 150X230 #320 ESTUCHE X 2 (VERDE)</t>
  </si>
  <si>
    <t>001601</t>
  </si>
  <si>
    <t>PANO DE FIBRA ABRASIVA DOBLE A  ABRATEX 150X230 #400 ESTUCHE X 2 (BORDO)</t>
  </si>
  <si>
    <t>001602</t>
  </si>
  <si>
    <t>PANO DE FIBRA ABRASIVA DOBLE A  ABRATEX 150X230 #600 ESTUCHE X 2 (GRIS)</t>
  </si>
  <si>
    <t>001603</t>
  </si>
  <si>
    <t>TAPAGOTERAS MAGIPLAST X 1</t>
  </si>
  <si>
    <t>001604</t>
  </si>
  <si>
    <t>TAPAGOTERAS MAGIPLAST X 5</t>
  </si>
  <si>
    <t>001605</t>
  </si>
  <si>
    <t>AEROSOL RUST-OLEUM UC SATINADO GRANITO X 0,340(358903)</t>
  </si>
  <si>
    <t>001606</t>
  </si>
  <si>
    <t>REP.P/MUEBLES VENIER CLARO X 0,125</t>
  </si>
  <si>
    <t>001607</t>
  </si>
  <si>
    <t>MASILLA POLIESTER ZEOCAR UNICA X 2,25 (61)</t>
  </si>
  <si>
    <t>001608</t>
  </si>
  <si>
    <t>AEROSOL RUST-OLEUM UC IMPRIMANTE MATE GRIS X 0,340(262159)</t>
  </si>
  <si>
    <t>001609</t>
  </si>
  <si>
    <t>AEROSOL RUST-OLEUM UC IMPRIMANTE MATE BLANCO X 0,340(262193)</t>
  </si>
  <si>
    <t>001610</t>
  </si>
  <si>
    <t>D839.04 PRIMER 2K PRIMA X 0,750</t>
  </si>
  <si>
    <t>001611</t>
  </si>
  <si>
    <t>D839.01 PRIMER 2K PRIMA X 3</t>
  </si>
  <si>
    <t>001612</t>
  </si>
  <si>
    <t>IMPERMEABILIZANTE PARA FRENTES Y MUROS TERSITECH SEMIMATE BLANCO X  1</t>
  </si>
  <si>
    <t>001613</t>
  </si>
  <si>
    <t>IMPERMEABILIZANTE PARA FRENTES Y MUROS TERSITECH SEMIMATE BLANCO X  4</t>
  </si>
  <si>
    <t>001614</t>
  </si>
  <si>
    <t>IMPERMEABILIZANTE PARA FRENTES Y MUROS TERSITECH SEMIMATE BLANCO X 10</t>
  </si>
  <si>
    <t>001615</t>
  </si>
  <si>
    <t>IMPERMEABILIZANTE PARA FRENTES Y MUROS TERSITECH SEMIMATE BLANCO X 20</t>
  </si>
  <si>
    <t>001616</t>
  </si>
  <si>
    <t>AEROSOL TERSUAVE ESMALTE SINTETICO METALIZADO BRILLANTE BRONCE X 0,440</t>
  </si>
  <si>
    <t>001617</t>
  </si>
  <si>
    <t>AEROSOL TERSUAVE ESMALTE SINTETICO METALIZADO BRILLANTE PLATA X 0,440</t>
  </si>
  <si>
    <t>001618</t>
  </si>
  <si>
    <t>AEROSOL TERSUAVE ESMALTE SINTETICO METALIZADO BRILLANTE COBRE X 0,440</t>
  </si>
  <si>
    <t>001619</t>
  </si>
  <si>
    <t>AEROSOL TERSUAVE ESMALTE SINTETICO METALIZADO BRILLANTE ORO X 0,440</t>
  </si>
  <si>
    <t>001620</t>
  </si>
  <si>
    <t>AEROSOL RUST-OLEUM UC BRILLANTE ROSA CLARO X 0,340(262191)</t>
  </si>
  <si>
    <t>001621</t>
  </si>
  <si>
    <t>AEROSOL RUST-OLEUM UC BRILLANTE GRIS INVIERNO X 0,340(262175)</t>
  </si>
  <si>
    <t>001622</t>
  </si>
  <si>
    <t>AEROSOL RUST-OLEUM UC BRILLANTE UVA X 0,340(262172)</t>
  </si>
  <si>
    <t>001623</t>
  </si>
  <si>
    <t>PLACA DE YESO PLACO RH (1,20MX2,4MX12,5MM)</t>
  </si>
  <si>
    <t>001624</t>
  </si>
  <si>
    <t>LATEX INTERIOR/EXTERIOR ALBA HOGAR BLANCO X  1</t>
  </si>
  <si>
    <t>001625</t>
  </si>
  <si>
    <t>LATEX INTERIOR/EXTERIOR ALBA HOGAR BLANCO X  4</t>
  </si>
  <si>
    <t>001626</t>
  </si>
  <si>
    <t>LATEX INTERIOR/EXTERIOR ALBA HOGAR BLANCO X 10</t>
  </si>
  <si>
    <t>001627</t>
  </si>
  <si>
    <t>LATEX INTERIOR/EXTERIOR ALBA HOGAR BLANCO X 20</t>
  </si>
  <si>
    <t>001628</t>
  </si>
  <si>
    <t>RESTAURADOR LUSTRELAC MEDIO X 0,250</t>
  </si>
  <si>
    <t>001629</t>
  </si>
  <si>
    <t>RESTAURADOR LUSTRELAC OSCURO X 0,250</t>
  </si>
  <si>
    <t>001630</t>
  </si>
  <si>
    <t>ADHESIVO DE MONTAJE EL PULPITO X 0,050</t>
  </si>
  <si>
    <t>001631</t>
  </si>
  <si>
    <t>FONDO PARA MADERA PLAVICON BLANCO X  0,500</t>
  </si>
  <si>
    <t>001632</t>
  </si>
  <si>
    <t>FONDO PARA MADERA PLAVICON BLANCO X  1</t>
  </si>
  <si>
    <t>001633</t>
  </si>
  <si>
    <t>ADHESIVO DE MONTAJE EL PULPITO X 0,120</t>
  </si>
  <si>
    <t>001634</t>
  </si>
  <si>
    <t>P425-992/E1 SHINING COARSE ALUMINIUM X 1</t>
  </si>
  <si>
    <t>001635</t>
  </si>
  <si>
    <t>AEROSOL RUST-OLEUM SP FLUORESCENTE ROJO/NARANJA X 0,312(2721281)</t>
  </si>
  <si>
    <t>001636</t>
  </si>
  <si>
    <t>FONDO PARA MADERA PLAVICON BLANCO X  4</t>
  </si>
  <si>
    <t>001637</t>
  </si>
  <si>
    <t>FONDO PARA MADERA PLAVICON BLANCO X 20</t>
  </si>
  <si>
    <t>001638</t>
  </si>
  <si>
    <t>MP03.04 PASTA DE PULIR BASE AGUA X 1.000</t>
  </si>
  <si>
    <t>001639</t>
  </si>
  <si>
    <t>P850-1492 DISOLV MEDIO X 4</t>
  </si>
  <si>
    <t>001640</t>
  </si>
  <si>
    <t>P425-956 HS SUPER BLUE X 1</t>
  </si>
  <si>
    <t>001641</t>
  </si>
  <si>
    <t>P426-HE02/E1 ULTRA FINE WHITE X 1</t>
  </si>
  <si>
    <t>001642</t>
  </si>
  <si>
    <t>P425-941 H S STRONG RED X 1</t>
  </si>
  <si>
    <t>001643</t>
  </si>
  <si>
    <t>AEROSOL RUST-OLEUM SP FLUORESCENTE VERDE X 0,312(2721301)</t>
  </si>
  <si>
    <t>001644</t>
  </si>
  <si>
    <t>ENVASE DE HOJALATA VACIO X 0,500</t>
  </si>
  <si>
    <t>001645</t>
  </si>
  <si>
    <t>ENVASE DE HOJALATA VACIO X 1</t>
  </si>
  <si>
    <t>001646</t>
  </si>
  <si>
    <t>ENVASE DE HOJALATA VACIO X 4</t>
  </si>
  <si>
    <t>001647</t>
  </si>
  <si>
    <t>P192-475/E1 CLEARS BICAPA COLORES SOLIDOS X 1</t>
  </si>
  <si>
    <t>001648</t>
  </si>
  <si>
    <t>P192-5600/E2.5 CLEARS BICAPA PERLADOS/METALIZADOS X 2.500</t>
  </si>
  <si>
    <t>001649</t>
  </si>
  <si>
    <t>P192-528 CLEARS BICAPA ALUMINIOS X 2,500</t>
  </si>
  <si>
    <t>001650</t>
  </si>
  <si>
    <t>P565-554 MATIZANTE X 1</t>
  </si>
  <si>
    <t>001651</t>
  </si>
  <si>
    <t>P420-902 R/T PALE WHITE X 1</t>
  </si>
  <si>
    <t>001652</t>
  </si>
  <si>
    <t>P420-904 TRANSPARENT BLACK X 1</t>
  </si>
  <si>
    <t>001653</t>
  </si>
  <si>
    <t>P420-905 YELLOW OXIDE X 2,5</t>
  </si>
  <si>
    <t>001654</t>
  </si>
  <si>
    <t>P420-907 RED OXIDE X 1</t>
  </si>
  <si>
    <t>001655</t>
  </si>
  <si>
    <t>P420-908 R/T RUSSET X 1</t>
  </si>
  <si>
    <t>001656</t>
  </si>
  <si>
    <t>P420-910 R/T DEEP BLUE X 1</t>
  </si>
  <si>
    <t>001657</t>
  </si>
  <si>
    <t>P420-918 R/T MEDIUM YELLOW X 1</t>
  </si>
  <si>
    <t>001658</t>
  </si>
  <si>
    <t>P420-920 VIOLET X 1</t>
  </si>
  <si>
    <t>001659</t>
  </si>
  <si>
    <t>P420-926 SUPER RED X 3,5 (DISCONTINUADO)</t>
  </si>
  <si>
    <t>001660</t>
  </si>
  <si>
    <t>P420-930 BLUE LAKE X 1</t>
  </si>
  <si>
    <t>001661</t>
  </si>
  <si>
    <t>P420-933 BLUE BLACK X 3,5</t>
  </si>
  <si>
    <t>001662</t>
  </si>
  <si>
    <t>P420-938 TONE CONTROLLER X 1</t>
  </si>
  <si>
    <t>001663</t>
  </si>
  <si>
    <t>P420-942 TRANSOXIDE RED X 1</t>
  </si>
  <si>
    <t>001664</t>
  </si>
  <si>
    <t>P420-952 FAST BLUE X 1</t>
  </si>
  <si>
    <t>001665</t>
  </si>
  <si>
    <t>P420-960 R/T BURGUNDY X 1</t>
  </si>
  <si>
    <t>001666</t>
  </si>
  <si>
    <t>P420-966 WINE RED X 1 (DISCONTINUADO)</t>
  </si>
  <si>
    <t>001667</t>
  </si>
  <si>
    <t>P420-974 CYAN BLUE X 1 (DISCONTINUADO)</t>
  </si>
  <si>
    <t>001668</t>
  </si>
  <si>
    <t>P420-975 BRONZE GREEN X 1</t>
  </si>
  <si>
    <t>001669</t>
  </si>
  <si>
    <t>P420-977 STRONG MAROON X 1 (DISCONTINUADO)</t>
  </si>
  <si>
    <t>001670</t>
  </si>
  <si>
    <t>P420-978 BROWN X 1</t>
  </si>
  <si>
    <t>001671</t>
  </si>
  <si>
    <t>P420-903 MEDIUM PALE YELLOW X 1</t>
  </si>
  <si>
    <t>001672</t>
  </si>
  <si>
    <t>P420-982-E1C TRANSOXIDE YELLOW X 1(DISCONTINUADO)</t>
  </si>
  <si>
    <t>001673</t>
  </si>
  <si>
    <t>P420-983 STRONG YELLOW X 1</t>
  </si>
  <si>
    <t>001674</t>
  </si>
  <si>
    <t>P425-900-E3 SUPER WHITE X 3,5</t>
  </si>
  <si>
    <t>001675</t>
  </si>
  <si>
    <t>P425-921 H S CLARET X 1</t>
  </si>
  <si>
    <t>001676</t>
  </si>
  <si>
    <t>P425-922 H S LAGOON BLUE X 1</t>
  </si>
  <si>
    <t>001677</t>
  </si>
  <si>
    <t>P426-HE05 ORANGE FLASH X 1</t>
  </si>
  <si>
    <t>001678</t>
  </si>
  <si>
    <t>P425-927 H S BRIGHT YELLOW X 1 (DISCONTINUADO)</t>
  </si>
  <si>
    <t>001679</t>
  </si>
  <si>
    <t>P425-928 H S SUN YELLOW X 1 (DISCONTIINUADO)</t>
  </si>
  <si>
    <t>001680</t>
  </si>
  <si>
    <t>P425-941 H S STRONG RED X 2,5 (DISCONTINUADO)</t>
  </si>
  <si>
    <t>001681</t>
  </si>
  <si>
    <t>P425-948/E1 H S BLACK X 1</t>
  </si>
  <si>
    <t>001682</t>
  </si>
  <si>
    <t>P425-950 H S JET BLACK X 1</t>
  </si>
  <si>
    <t>001683</t>
  </si>
  <si>
    <t>P425-954 H S BLUE GREEN X 1</t>
  </si>
  <si>
    <t>001684</t>
  </si>
  <si>
    <t>P425-957 H S FAST BLUE X 1</t>
  </si>
  <si>
    <t>001685</t>
  </si>
  <si>
    <t>P425-971 H S BRILLANT RED X 1</t>
  </si>
  <si>
    <t>001686</t>
  </si>
  <si>
    <t>P425-984/E1 H S BRIGHT ALUMINIUM X 1</t>
  </si>
  <si>
    <t>001687</t>
  </si>
  <si>
    <t>P425-985 ALUMINIUM FINE X 1</t>
  </si>
  <si>
    <t>001688</t>
  </si>
  <si>
    <t>P425-986 ALUMINIUM MEDIUM X 3,5</t>
  </si>
  <si>
    <t>001689</t>
  </si>
  <si>
    <t>P425-987 MEDIUM COARSE X 2,5</t>
  </si>
  <si>
    <t>001690</t>
  </si>
  <si>
    <t>P425-988 ALUMINIUM CAORSE X 1</t>
  </si>
  <si>
    <t>001691</t>
  </si>
  <si>
    <t>P425-989 ALUMINIUM VERY COARSE X 1</t>
  </si>
  <si>
    <t>001692</t>
  </si>
  <si>
    <t>P425-998 H S COARSE SILVER DOLLAR ALUMINIUM X 1</t>
  </si>
  <si>
    <t>001693</t>
  </si>
  <si>
    <t>P429-923 BRIGHT MAROON X 1</t>
  </si>
  <si>
    <t>001694</t>
  </si>
  <si>
    <t>P429-937 PALE YELOW X 1</t>
  </si>
  <si>
    <t>001695</t>
  </si>
  <si>
    <t>P429-976 H S RED VIOLET X 1</t>
  </si>
  <si>
    <t>001696</t>
  </si>
  <si>
    <t>P190-376-E2 B INCOLORA DE MEZCLA X 2,5</t>
  </si>
  <si>
    <t>001697</t>
  </si>
  <si>
    <t>AEROSOL RUST-OLEUM UC BRILLANTE MARFIL X 0,340(262169)</t>
  </si>
  <si>
    <t>001698</t>
  </si>
  <si>
    <t>AEROSOL RUST-OLEUM UC BRILLANTE VERDE CLARO X 0,340(262166)</t>
  </si>
  <si>
    <t>001699</t>
  </si>
  <si>
    <t>AEROSOL RUST-OLEUM UC BRILLANTE AZUL PROFUNDO X 0,340(262165)</t>
  </si>
  <si>
    <t>001700</t>
  </si>
  <si>
    <t>IMPERMEABILIZANTE PARA TECHOS PLAVICON SOBREMEMBRANA BLANCO X  4,600</t>
  </si>
  <si>
    <t>001701</t>
  </si>
  <si>
    <t>ENVASE DE HOJALATA VACIO X20</t>
  </si>
  <si>
    <t>001702</t>
  </si>
  <si>
    <t>C850-0900 SOLUCION DESENGRASANTE X 4 (DISCONTINUADO)</t>
  </si>
  <si>
    <t>001703</t>
  </si>
  <si>
    <t>P429-961 HS CLEAN MAGENTA X 1</t>
  </si>
  <si>
    <t>001704</t>
  </si>
  <si>
    <t>IMPERMEABILIZANTE PARA TECHOS PLAVICON SOBREMEMBRANA BLANCO X 10</t>
  </si>
  <si>
    <t>001705</t>
  </si>
  <si>
    <t>IMPERMEABILIZANTE PARA TECHOS PLAVICON SOBREMEMBRANA BLANCO X 20</t>
  </si>
  <si>
    <t>001706</t>
  </si>
  <si>
    <t>FORJA HAMMERITE GRIS X 0,225</t>
  </si>
  <si>
    <t>001707</t>
  </si>
  <si>
    <t>AEROSOL RUST-OLEUM UC BRILLANTE VERDE LIMA X 0,340(262162)</t>
  </si>
  <si>
    <t>001708</t>
  </si>
  <si>
    <t>AEROSOL RUST-OLEUM SP FLUORESCENTE NARANJA X 0,312(2721311)</t>
  </si>
  <si>
    <t>001709</t>
  </si>
  <si>
    <t>AEROSOL RUST-OLEUM SP FLUORESCENTE ROSA X 0,312(272132)</t>
  </si>
  <si>
    <t>001710</t>
  </si>
  <si>
    <t>AEROSOL RUST-OLEUM SP FLUORESCENTE AMARILLO X 0,312(2721331)</t>
  </si>
  <si>
    <t>001711</t>
  </si>
  <si>
    <t>CINTA DE PAPEL RAPIFIX OBRA (500) 12MM</t>
  </si>
  <si>
    <t>001712</t>
  </si>
  <si>
    <t>CINTA DE PAPEL RAPIFIX OBRA (500) 18MM</t>
  </si>
  <si>
    <t>001713</t>
  </si>
  <si>
    <t>CINTA DE PAPEL RAPIFIX OBRA (500) 24MM</t>
  </si>
  <si>
    <t>001714</t>
  </si>
  <si>
    <t>CINTA DE PAPEL RAPIFIX OBRA (500) 36MM</t>
  </si>
  <si>
    <t>001715</t>
  </si>
  <si>
    <t>CINTA DE PAPEL RAPIFIX OBRA (500) 48MM</t>
  </si>
  <si>
    <t>001716</t>
  </si>
  <si>
    <t>CINTA  AUTOMOTOR RAPIFIX (570) 12MM</t>
  </si>
  <si>
    <t>001717</t>
  </si>
  <si>
    <t>CINTA  AUTOMOTOR RAPIFIX (570) 15MM</t>
  </si>
  <si>
    <t>001718</t>
  </si>
  <si>
    <t>CINTA  AUTOMOTOR RAPIFIX (570) 18MM</t>
  </si>
  <si>
    <t>001719</t>
  </si>
  <si>
    <t>CINTA  AUTOMOTOR RAPIFIX (570) 24MM</t>
  </si>
  <si>
    <t>001720</t>
  </si>
  <si>
    <t>CINTA  AUTOMOTOR RAPIFIX (570) 36MM</t>
  </si>
  <si>
    <t>001721</t>
  </si>
  <si>
    <t>CINTA  AUTOMOTOR RAPIFIX (570) 48MM</t>
  </si>
  <si>
    <t>001722</t>
  </si>
  <si>
    <t>CINTA  AUTOMOTOR RAPIFIX PREMIUM VERDE (560) 18MM</t>
  </si>
  <si>
    <t>001723</t>
  </si>
  <si>
    <t>CINTA  AUTOMOTOR RAPIFIX PREMIUM VERDE (560) 48MM</t>
  </si>
  <si>
    <t>001724</t>
  </si>
  <si>
    <t>IMPERMEABILIZANTE PARA FRENTES Y MUROS DURALBA MATE BASE P X  8,700</t>
  </si>
  <si>
    <t>001725</t>
  </si>
  <si>
    <t>IMPERMEABILIZANTE PARA FRENTES Y MUROS DURALBA MATE BASE F X  8,700</t>
  </si>
  <si>
    <t>001726</t>
  </si>
  <si>
    <t>LATEX INTERIOR ALBA HOGAR BLANCO X  1</t>
  </si>
  <si>
    <t>001727</t>
  </si>
  <si>
    <t>LATEX INTERIOR ALBA HOGAR BLANCO X  4</t>
  </si>
  <si>
    <t>001728</t>
  </si>
  <si>
    <t>LATEX INTERIOR ALBA HOGAR BLANCO X 10</t>
  </si>
  <si>
    <t>001729</t>
  </si>
  <si>
    <t>LATEX INTERIOR ALBA HOGAR BLANCO X 20</t>
  </si>
  <si>
    <t>001730</t>
  </si>
  <si>
    <t>IMPERMEABILIZANTE PARA FRENTES Y MUROS DURALBA MATE BASE P X  3,600</t>
  </si>
  <si>
    <t>001731</t>
  </si>
  <si>
    <t>IMPERMEABILIZANTE PARA FRENTES Y MUROS DURALBA MATE BASE P X 17,400</t>
  </si>
  <si>
    <t>001732</t>
  </si>
  <si>
    <t>PLACA DE YESO PLACO RH (1,20MX2,6MX12,5MM)</t>
  </si>
  <si>
    <t>001733</t>
  </si>
  <si>
    <t>PLACA DE YESO PLACO RH (1,20MX2,4MX15MM)</t>
  </si>
  <si>
    <t>001734</t>
  </si>
  <si>
    <t>IMPERMEABILIZANTE PARA FRENTES Y MUROS DURALBA MATE BASE F X  3,600</t>
  </si>
  <si>
    <t>001735</t>
  </si>
  <si>
    <t>IMPERMEABILIZANTE PARA FRENTES Y MUROS DURALBA MATE BASE F X 17,400</t>
  </si>
  <si>
    <t>001736</t>
  </si>
  <si>
    <t>IMPERMEABILIZANTE PARA FRENTES Y MUROS DURALBA MATE BASE T X  3,600</t>
  </si>
  <si>
    <t>001737</t>
  </si>
  <si>
    <t>IMPERMEABILIZANTE PARA FRENTES Y MUROS DURALBA MATE BASE T X 17,400</t>
  </si>
  <si>
    <t>001738</t>
  </si>
  <si>
    <t>ADHESIVO DE MONTAJE EL PULPITO X 0,240</t>
  </si>
  <si>
    <t>001739</t>
  </si>
  <si>
    <t>ADHESIVO DE MONTAJE EL PULPITO X 0,400</t>
  </si>
  <si>
    <t>001740</t>
  </si>
  <si>
    <t>ESM SINT ULTRARRAP BCO X 20</t>
  </si>
  <si>
    <t>001741</t>
  </si>
  <si>
    <t>FONDO ANTIOXIDO ALBA INDUSTRIAL GRIS X 20</t>
  </si>
  <si>
    <t>001742</t>
  </si>
  <si>
    <t>FONDO SINTETICO ALBA ULTRARRAPIDO BLANCO X 20</t>
  </si>
  <si>
    <t>001743</t>
  </si>
  <si>
    <t>PLACA DE YESO PLACO RH (1,20MX2,6MX15MM)</t>
  </si>
  <si>
    <t>001744</t>
  </si>
  <si>
    <t>IMPERMEABILIZANTE PARA TECHOS DURALBA FIBRADO SATINADO TEJA X  4</t>
  </si>
  <si>
    <t>001745</t>
  </si>
  <si>
    <t>IMPERMEABILIZANTE PARA TECHOS DURALBA FIBRADO SATINADO TEJA X 10</t>
  </si>
  <si>
    <t>001746</t>
  </si>
  <si>
    <t>IMPERMEABILIZANTE PARA TECHOS DURALBA FIBRADO SATINADO TEJA X 20</t>
  </si>
  <si>
    <t>001747</t>
  </si>
  <si>
    <t>PROTECTOR PARA PISO PETRILAC CLINSY TRANSPARENTE X 1</t>
  </si>
  <si>
    <t>001748</t>
  </si>
  <si>
    <t>PROTECTOR PARA PISO PETRILAC CLINSY NEGRO X 1</t>
  </si>
  <si>
    <t>001749</t>
  </si>
  <si>
    <t>PROTECTOR PARA PISO PETRILAC CLINSY ROJO X 1</t>
  </si>
  <si>
    <t>001750</t>
  </si>
  <si>
    <t>REMOVEDOR PETRILAC AUTOBRILLO X 1</t>
  </si>
  <si>
    <t>001751</t>
  </si>
  <si>
    <t>FIJADOR PARA PARED TERSUAVE AL AGUA X  1</t>
  </si>
  <si>
    <t>001752</t>
  </si>
  <si>
    <t>FIJADOR PARA PARED TERSUAVE AL AGUA X  4</t>
  </si>
  <si>
    <t>001753</t>
  </si>
  <si>
    <t>FIJADOR PARA PARED TERSUAVE AL AGUA X 10</t>
  </si>
  <si>
    <t>001754</t>
  </si>
  <si>
    <t>FIJADOR PARA PARED TERSUAVE AL AGUA X 20</t>
  </si>
  <si>
    <t>001755</t>
  </si>
  <si>
    <t>PLACA DE YESO PLACO IMPACT (1,20MX2,4MX12,5MM)</t>
  </si>
  <si>
    <t>001756</t>
  </si>
  <si>
    <t>PLACA DE YESO PLACO IMPACT (1,20MX2,6MX12,5MM)</t>
  </si>
  <si>
    <t>001757</t>
  </si>
  <si>
    <t>LIJA ULTRA DOBLE A N  80</t>
  </si>
  <si>
    <t>001758</t>
  </si>
  <si>
    <t>LIJA ULTRA DOBLE A N 100</t>
  </si>
  <si>
    <t>001759</t>
  </si>
  <si>
    <t>LIJA ULTRA DOBLE A N 120</t>
  </si>
  <si>
    <t>001760</t>
  </si>
  <si>
    <t>LIJA ULTRA DOBLE A N 150</t>
  </si>
  <si>
    <t>001761</t>
  </si>
  <si>
    <t>LIJA ULTRA DOBLE A N 180</t>
  </si>
  <si>
    <t>001762</t>
  </si>
  <si>
    <t>LIJA ULTRA DOBLE A N 220</t>
  </si>
  <si>
    <t>001763</t>
  </si>
  <si>
    <t>LIJA ULTRA DOBLE A N 240</t>
  </si>
  <si>
    <t>001764</t>
  </si>
  <si>
    <t>LIJA ULTRA DOBLE A N 280</t>
  </si>
  <si>
    <t>001765</t>
  </si>
  <si>
    <t>LIJA ULTRA DOBLE A N 320</t>
  </si>
  <si>
    <t>001766</t>
  </si>
  <si>
    <t>LIJA ULTRA DOBLE A N 360</t>
  </si>
  <si>
    <t>001767</t>
  </si>
  <si>
    <t>LIJA ULTRA DOBLE A N 400</t>
  </si>
  <si>
    <t>001768</t>
  </si>
  <si>
    <t>LIJA ULTRA DOBLE A N 500</t>
  </si>
  <si>
    <t>001769</t>
  </si>
  <si>
    <t>LIJA ULTRA DOBLE A N 600</t>
  </si>
  <si>
    <t>001770</t>
  </si>
  <si>
    <t>LIJA ULTRA DOBLE A N 800</t>
  </si>
  <si>
    <t>001771</t>
  </si>
  <si>
    <t>PLACA DE YESO PLACO IMPACT (1,20MX2,4MX15MM)</t>
  </si>
  <si>
    <t>001772</t>
  </si>
  <si>
    <t>PLACA DE YESO PLACO IMPACT (1,20MX2,6MX15MM)</t>
  </si>
  <si>
    <t>001773</t>
  </si>
  <si>
    <t>PLACA DE YESO HABITO (1,20MX2,4MX12,5MM)</t>
  </si>
  <si>
    <t>001774</t>
  </si>
  <si>
    <t>TORNILLOS HABITO 26MM</t>
  </si>
  <si>
    <t>001775</t>
  </si>
  <si>
    <t>3D GLASS POLISH COMPUESTO PULIDOR DE VIDRIOS 521OZ16  X 0,500</t>
  </si>
  <si>
    <t>001776</t>
  </si>
  <si>
    <t>MASILLA PARA PLACA DE YESO PLACO LPU X  7KG</t>
  </si>
  <si>
    <t>001777</t>
  </si>
  <si>
    <t>MASILLA PARA PLACA DE YESO PLACO LPU X 15KG</t>
  </si>
  <si>
    <t>001778</t>
  </si>
  <si>
    <t>MASILLA PARA PLACA DE YESO PLACO LPU X 28KG</t>
  </si>
  <si>
    <t>001779</t>
  </si>
  <si>
    <t>LATEX INTERIOR RECUPLAST MATE BLANCO X  1</t>
  </si>
  <si>
    <t>001780</t>
  </si>
  <si>
    <t>LATEX INTERIOR RECUPLAST MATE BLANCO X  4</t>
  </si>
  <si>
    <t>001781</t>
  </si>
  <si>
    <t>LATEX INTERIOR RECUPLAST MATE BLANCO X 10</t>
  </si>
  <si>
    <t>001782</t>
  </si>
  <si>
    <t>LATEX INTERIOR RECUPLAST MATE BLANCO X 20</t>
  </si>
  <si>
    <t>001783</t>
  </si>
  <si>
    <t>IMPERMEABILIZANTE PARA FRENTES Y MUROS RECUPLAST BLANCO X  1</t>
  </si>
  <si>
    <t>001784</t>
  </si>
  <si>
    <t>IMPERMEABILIZANTE PARA FRENTES Y MUROS RECUPLAST BLANCO X  4</t>
  </si>
  <si>
    <t>001785</t>
  </si>
  <si>
    <t>IMPERMEABILIZANTE PARA FRENTES Y MUROS RECUPLAST BLANCO X 10</t>
  </si>
  <si>
    <t>001786</t>
  </si>
  <si>
    <t>IMPERMEABILIZANTE PARA FRENTES Y MUROS RECUPLAST BLANCO X 20</t>
  </si>
  <si>
    <t>001787</t>
  </si>
  <si>
    <t>LATEX INTERIOR/EXTERIOR ACRILPLAST MATE BLANCO X  1</t>
  </si>
  <si>
    <t>001788</t>
  </si>
  <si>
    <t>LATEX INTERIOR/EXTERIOR ACRILPLAST MATE BLANCO X  4</t>
  </si>
  <si>
    <t>001789</t>
  </si>
  <si>
    <t>LATEX INTERIOR/EXTERIOR ACRILPLAST MATE BLANCO X 10</t>
  </si>
  <si>
    <t>001790</t>
  </si>
  <si>
    <t>LATEX INTERIOR/EXTERIOR ACRILPLAST MATE BLANCO X 20</t>
  </si>
  <si>
    <t>001791</t>
  </si>
  <si>
    <t>LATEX INTERIOR SINTEPLAST PROFESIONAL BLANCO X  1</t>
  </si>
  <si>
    <t>001792</t>
  </si>
  <si>
    <t>LATEX INTERIOR SINTEPLAST PROFESIONAL BLANCO X  4</t>
  </si>
  <si>
    <t>001793</t>
  </si>
  <si>
    <t>LATEX INTERIOR SINTEPLAST PROFESIONAL BLANCO X 10</t>
  </si>
  <si>
    <t>001794</t>
  </si>
  <si>
    <t>LATEX INTERIOR SINTEPLAST PROFESIONAL BLANCO X 20</t>
  </si>
  <si>
    <t>001795</t>
  </si>
  <si>
    <t>RECUBRIMIENTO EPOXI HB TERSUAVE INDULAC GRIS INDUSTRIAL X  2</t>
  </si>
  <si>
    <t>001796</t>
  </si>
  <si>
    <t>RECUBRIMIENTO EPOXI HB TERSUAVE INDULAC GRIS INDUSTRIAL X  8</t>
  </si>
  <si>
    <t>001797</t>
  </si>
  <si>
    <t>RECUBRIMIENTO EPOXI HB TERSUAVE INDULAC GRIS INDUSTRIAL X 40</t>
  </si>
  <si>
    <t>001798</t>
  </si>
  <si>
    <t>PROTECTOR PARA LADRILLO RECUBRICK AL SOLVENTE CERAMICO X  1</t>
  </si>
  <si>
    <t>001799</t>
  </si>
  <si>
    <t>PROTECTOR PARA LADRILLO RECUBRICK AL SOLVENTE CERAMICO X  4</t>
  </si>
  <si>
    <t>001800</t>
  </si>
  <si>
    <t>ES LATEX INT BCO X 4</t>
  </si>
  <si>
    <t>001801</t>
  </si>
  <si>
    <t>ES LATEX INT BCO X 10</t>
  </si>
  <si>
    <t>001802</t>
  </si>
  <si>
    <t>ES LATEX INT BCO X 20</t>
  </si>
  <si>
    <t>001803</t>
  </si>
  <si>
    <t>ES LATEX EXT BCO X 4</t>
  </si>
  <si>
    <t>001804</t>
  </si>
  <si>
    <t>ES LATEX EXT BCO X 10</t>
  </si>
  <si>
    <t>001805</t>
  </si>
  <si>
    <t>ES LATEX EXT BCO X 20</t>
  </si>
  <si>
    <t>001806</t>
  </si>
  <si>
    <t>LATEX INTERIOR/EXTERIOR TERSINOL BLANCO X  4</t>
  </si>
  <si>
    <t>001807</t>
  </si>
  <si>
    <t>LATEX INTERIOR/EXTERIOR TERSINOL BLANCO X 10</t>
  </si>
  <si>
    <t>001808</t>
  </si>
  <si>
    <t>LATEX INTERIOR/EXTERIOR TERSINOL BLANCO X 20</t>
  </si>
  <si>
    <t>001809</t>
  </si>
  <si>
    <t>LATEX INTERIOR/EXTERIOR TERSEN MATE BLANCO X  1</t>
  </si>
  <si>
    <t>001810</t>
  </si>
  <si>
    <t>LATEX INTERIOR/EXTERIOR TERSEN MATE BLANCO X  4</t>
  </si>
  <si>
    <t>001811</t>
  </si>
  <si>
    <t>LATEX INTERIOR/EXTERIOR TERSEN MATE BLANCO X 10</t>
  </si>
  <si>
    <t>001812</t>
  </si>
  <si>
    <t>LATEX INTERIOR/EXTERIOR TERSEN MATE BLANCO X 20</t>
  </si>
  <si>
    <t>001813</t>
  </si>
  <si>
    <t>PINTURA EN POLVO TERSUAVE CREMA X 4</t>
  </si>
  <si>
    <t>001814</t>
  </si>
  <si>
    <t>PINTURA EN POLVO TERSUAVE VERDE X 4</t>
  </si>
  <si>
    <t>001815</t>
  </si>
  <si>
    <t>PINTURA EN POLVO TERSUAVE GRIS CLARO X 4</t>
  </si>
  <si>
    <t>001816</t>
  </si>
  <si>
    <t>PINTURA EN POLVO TERSUAVE ROSA X 4</t>
  </si>
  <si>
    <t>001817</t>
  </si>
  <si>
    <t>PINTURA EN POLVO TERSUAVE CELESTE X 4</t>
  </si>
  <si>
    <t>001818</t>
  </si>
  <si>
    <t>PINTURA EN POLVO TERSUAVE DURAZNO X 4</t>
  </si>
  <si>
    <t>001819</t>
  </si>
  <si>
    <t>PINTURA EN POLVO TERSUAVE GRIS OSCURO X 4</t>
  </si>
  <si>
    <t>001820</t>
  </si>
  <si>
    <t>PINTURA EN POLVO TERSUAVE AZUL X 4</t>
  </si>
  <si>
    <t>001821</t>
  </si>
  <si>
    <t>PINTURA EN POLVO TERSUAVE VERDE MAR X 4</t>
  </si>
  <si>
    <t>001822</t>
  </si>
  <si>
    <t>PINTURA EN POLVO TERSUAVE TABACO X 4</t>
  </si>
  <si>
    <t>001823</t>
  </si>
  <si>
    <t>PINTURA EN POLVO TERSUAVE AZUL COBALTO X 4</t>
  </si>
  <si>
    <t>001824</t>
  </si>
  <si>
    <t>PINTURA EN POLVO TERSUAVE VERDE CACTUS X 4</t>
  </si>
  <si>
    <t>001825</t>
  </si>
  <si>
    <t>PINTURA EN POLVO TERSUAVE AMARILLO X 4</t>
  </si>
  <si>
    <t>001826</t>
  </si>
  <si>
    <t>PINTURA EN POLVO TERSUAVE LILA X 4</t>
  </si>
  <si>
    <t>001827</t>
  </si>
  <si>
    <t>PINTURA EN POLVO TERSUAVE CORAL X 4</t>
  </si>
  <si>
    <t>001828</t>
  </si>
  <si>
    <t>PLACA DE YESO PLACO STD  (1,20MX2,4MX9,5MM)</t>
  </si>
  <si>
    <t>001829</t>
  </si>
  <si>
    <t>PLACA DE YESO PLACO STD (1,20MX2,4MX12,5MM)</t>
  </si>
  <si>
    <t>001830</t>
  </si>
  <si>
    <t>PROTECTOR PARA LADRILLO TERSIDRYL AL AGUA SEMI MATE CON PELICULA X  1</t>
  </si>
  <si>
    <t>001831</t>
  </si>
  <si>
    <t>PROTECTOR PARA LADRILLO TERSIDRYL AL AGUA SEMI MATE CON PELICULA X  4</t>
  </si>
  <si>
    <t>001832</t>
  </si>
  <si>
    <t>PROTECTOR PARA LADRILLO TERSIDRYL AL AGUA SEMI MATE CON PELICULA X 10</t>
  </si>
  <si>
    <t>001833</t>
  </si>
  <si>
    <t>PROTECTOR PARA LADRILLO TERSIDRYL AL AGUA SEMI MATE CON PELICULA X 20</t>
  </si>
  <si>
    <t>001834</t>
  </si>
  <si>
    <t>LATEX INTERIOR TERSUAVE LAVABLE SATINADO BLANCO X  1</t>
  </si>
  <si>
    <t>001835</t>
  </si>
  <si>
    <t>LATEX INTERIOR TERSUAVE LAVABLE SATINADO BLANCO X  4</t>
  </si>
  <si>
    <t>001836</t>
  </si>
  <si>
    <t>LATEX INTERIOR TERSUAVE LAVABLE SATINADO BLANCO X 10</t>
  </si>
  <si>
    <t>001837</t>
  </si>
  <si>
    <t>LATEX INTERIOR TERSUAVE LAVABLE SATINADO BLANCO X 20</t>
  </si>
  <si>
    <t>001838</t>
  </si>
  <si>
    <t>FIJADOR PARA PARED TERSUAVE AL AGUARRAS X  1</t>
  </si>
  <si>
    <t>001839</t>
  </si>
  <si>
    <t>FIJADOR PARA PARED TERSUAVE AL AGUARRAS X  4</t>
  </si>
  <si>
    <t>001840</t>
  </si>
  <si>
    <t>FIJADOR PARA PARED TERSUAVE AL AGUARRAS X 20</t>
  </si>
  <si>
    <t>001841</t>
  </si>
  <si>
    <t>LATEX INTERIOR TERSUAVE PROFESIONAL BLANCO X  1</t>
  </si>
  <si>
    <t>001842</t>
  </si>
  <si>
    <t>LATEX INTERIOR TERSUAVE PROFESIONAL BLANCO X  4</t>
  </si>
  <si>
    <t>001843</t>
  </si>
  <si>
    <t>LATEX INTERIOR TERSUAVE PROFESIONAL BLANCO X 10</t>
  </si>
  <si>
    <t>001844</t>
  </si>
  <si>
    <t>LATEX INTERIOR TERSUAVE PROFESIONAL BLANCO X 20</t>
  </si>
  <si>
    <t>001845</t>
  </si>
  <si>
    <t>FONDO PARA GALVANIZADO TERSUAVE GALVANIC GRIS X 1</t>
  </si>
  <si>
    <t>001846</t>
  </si>
  <si>
    <t>FONDO PARA GALVANIZADO TERSUAVE GALVANIC GRIS X 4</t>
  </si>
  <si>
    <t>001847</t>
  </si>
  <si>
    <t>ESMALTE EPOXI TERSUAVE INDULAC BITUMINOSO X  1</t>
  </si>
  <si>
    <t>001848</t>
  </si>
  <si>
    <t>ESMALTE EPOXI TERSUAVE INDULAC BITUMINOSO X  4</t>
  </si>
  <si>
    <t>001849</t>
  </si>
  <si>
    <t>ESMALTE EPOXI TERSUAVE INDULAC BITUMINOSO X 20</t>
  </si>
  <si>
    <t>001850</t>
  </si>
  <si>
    <t>IMPERMEABILIZANTE PARA FRENTES TERSINOL BLANCO X  1,25</t>
  </si>
  <si>
    <t>001851</t>
  </si>
  <si>
    <t>IMPERMEABILIZANTE PARA FRENTES TERSINOL BLANCO X  5</t>
  </si>
  <si>
    <t>001852</t>
  </si>
  <si>
    <t>IMPERMEABILIZANTE PARA FRENTES TERSINOL BLANCO X 12,50</t>
  </si>
  <si>
    <t>001853</t>
  </si>
  <si>
    <t>IMPERMEABILIZANTE PARA FRENTES TERSINOL BLANCO X 25</t>
  </si>
  <si>
    <t>001854</t>
  </si>
  <si>
    <t>PRESERVADOR MADERAS TERSUAVE LISTO PARA USAR X  1</t>
  </si>
  <si>
    <t>001855</t>
  </si>
  <si>
    <t>PRESERVADOR MADERAS TERSUAVE LISTO PARA USAR X  4</t>
  </si>
  <si>
    <t>001856</t>
  </si>
  <si>
    <t>PRESERVADOR MADERAS TERSUAVE LISTO PARA USAR X 20</t>
  </si>
  <si>
    <t>001857</t>
  </si>
  <si>
    <t>ESM. TERS. CAUCHO VERDE INGLES X  4</t>
  </si>
  <si>
    <t>001858</t>
  </si>
  <si>
    <t>ESM. TERS. CAUCHO VERDE INGLES X 20</t>
  </si>
  <si>
    <t>001859</t>
  </si>
  <si>
    <t>IMPRIMACION AL AGUA CEMENTICIOS RECUPLAST X  1</t>
  </si>
  <si>
    <t>001860</t>
  </si>
  <si>
    <t>IMPRIMACION AL AGUA CEMENTICIOS RECUPLAST X  5</t>
  </si>
  <si>
    <t>001861</t>
  </si>
  <si>
    <t>IMPRIMACION AL AGUA CEMENTICIOS RECUPLAST X 20</t>
  </si>
  <si>
    <t>001862</t>
  </si>
  <si>
    <t>PLACA DE YESO PLACO STD (1,20MX2,6MX12,5MM)</t>
  </si>
  <si>
    <t>001863</t>
  </si>
  <si>
    <t>PLACA DE YESO PLACO STD (1,20MX2,8MX12,5MM)</t>
  </si>
  <si>
    <t>001864</t>
  </si>
  <si>
    <t>PLACA DE YESO PLACO STD (1,20MX3,0MX12,5MM)</t>
  </si>
  <si>
    <t>001865</t>
  </si>
  <si>
    <t>PLACA DE YESO PLACO STD  (1,20MX2,4MX15MM)</t>
  </si>
  <si>
    <t>001866</t>
  </si>
  <si>
    <t>PLACA DE YESO PLACO STD (1,20MX2,6MX15MM)</t>
  </si>
  <si>
    <t>001867</t>
  </si>
  <si>
    <t>REVESTIMIENTO PARA PISO RECUPLAST MICROCEMENTO GRIS CLARO X 20</t>
  </si>
  <si>
    <t>001868</t>
  </si>
  <si>
    <t>REVESTIMIENTO PARA PISO RECUPLAST MICROCEMENTO BLANCO X 20</t>
  </si>
  <si>
    <t>001869</t>
  </si>
  <si>
    <t>LATEX INTERIOR ALBA CONSTRUCTOR MATE BLANCO X  1</t>
  </si>
  <si>
    <t>001870</t>
  </si>
  <si>
    <t>LATEX INTERIOR ALBA CONSTRUCTOR MATE BLANCO X  4</t>
  </si>
  <si>
    <t>001871</t>
  </si>
  <si>
    <t>LATEX INTERIOR ALBA CONSTRUCTOR MATE BLANCO X 10</t>
  </si>
  <si>
    <t>001872</t>
  </si>
  <si>
    <t>LATEX INTERIOR ALBA CONSTRUCTOR MATE BLANCO X 20</t>
  </si>
  <si>
    <t>001873</t>
  </si>
  <si>
    <t>PLACA DE YESO PLACO RF (1,20MX2,4MX12,5MM)</t>
  </si>
  <si>
    <t>001874</t>
  </si>
  <si>
    <t>PLACA DE YESO PLACO RF (1,20MX2,6MX12,5MM)</t>
  </si>
  <si>
    <t>001875</t>
  </si>
  <si>
    <t>PETRISIL P/LADRILLOS, TEJAS Y MAT.FTES X  4</t>
  </si>
  <si>
    <t>001876</t>
  </si>
  <si>
    <t>PLACA DE YESO PLACO RF (1,20MX2,4MX15MM)</t>
  </si>
  <si>
    <t>001877</t>
  </si>
  <si>
    <t>PLACA DE YESO PLACO RF (1,20MX2,6MX15MM)</t>
  </si>
  <si>
    <t>001878</t>
  </si>
  <si>
    <t>PETRISIL P/LADRILLOS, TEJAS Y MAT.FTES X 20</t>
  </si>
  <si>
    <t>001879</t>
  </si>
  <si>
    <t>REVESTIMIENTO INTERNO PARA CHAPAS PLAVICON ANTICONDENSANTE X  4</t>
  </si>
  <si>
    <t>001880</t>
  </si>
  <si>
    <t>REVESTIMIENTO INTERNO PARA CHAPAS PLAVICON ANTICONDENSANTE X 20</t>
  </si>
  <si>
    <t>001881</t>
  </si>
  <si>
    <t>LIJA ROJA OXIDO ALUMINIO RAPIFIX # 100</t>
  </si>
  <si>
    <t>001882</t>
  </si>
  <si>
    <t>LIJA ROJA OXIDO ALUMINIO RAPIFIX #  60</t>
  </si>
  <si>
    <t>001883</t>
  </si>
  <si>
    <t>LIJA ROJA OXIDO ALUMINIO RAPIFIX #  80</t>
  </si>
  <si>
    <t>001884</t>
  </si>
  <si>
    <t>LIJA ROJA OXIDO ALUMINIO RAPIFIX # 120</t>
  </si>
  <si>
    <t>001885</t>
  </si>
  <si>
    <t>LIJA ROJA OXIDO ALUMINIO RAPIFIX # 150</t>
  </si>
  <si>
    <t>001886</t>
  </si>
  <si>
    <t>LIJA ROJA OXIDO ALUMINIO RAPIFIX # 180</t>
  </si>
  <si>
    <t>001887</t>
  </si>
  <si>
    <t>PRESERVADOR MADERAS TERSUAVE CONCENTRADO X 1</t>
  </si>
  <si>
    <t>001888</t>
  </si>
  <si>
    <t>PRESERVADOR MADERAS TERSUAVE CONCENTRADO X 4</t>
  </si>
  <si>
    <t>001889</t>
  </si>
  <si>
    <t>IMPRIMACION EPOXI TERSUAVE X 4</t>
  </si>
  <si>
    <t>001890</t>
  </si>
  <si>
    <t>IMPRIMACION EPOXI TERSUAVE X20</t>
  </si>
  <si>
    <t>001891</t>
  </si>
  <si>
    <t>TONALBA LISTO 013 VAINILLA X 120</t>
  </si>
  <si>
    <t>001892</t>
  </si>
  <si>
    <t>LIJA ANTIEMPASTE OXIDO ALUMINIO RAPIFIX #  80</t>
  </si>
  <si>
    <t>001893</t>
  </si>
  <si>
    <t>LIJA ANTIEMPASTE OXIDO ALUMINIO RAPIFIX # 100</t>
  </si>
  <si>
    <t>001894</t>
  </si>
  <si>
    <t>LIJA ANTIEMPASTE OXIDO ALUMINIO RAPIFIX # 120</t>
  </si>
  <si>
    <t>001895</t>
  </si>
  <si>
    <t>LIJA ANTIEMPASTE OXIDO ALUMINIO RAPIFIX # 150</t>
  </si>
  <si>
    <t>001896</t>
  </si>
  <si>
    <t>LIJA ANTIEMPASTE OXIDO ALUMINIO RAPIFIX # 180</t>
  </si>
  <si>
    <t>001897</t>
  </si>
  <si>
    <t>LIJA ANTIEMPASTE OXIDO ALUMINIO RAPIFIX # 220</t>
  </si>
  <si>
    <t>001898</t>
  </si>
  <si>
    <t>LIJA ANTIEMPASTE OXIDO ALUMINIO RAPIFIX # 240</t>
  </si>
  <si>
    <t>001899</t>
  </si>
  <si>
    <t>PROTECTOR PARA LADRILLO RECUBRICK AL SOLVENTE CERAMICO X 20</t>
  </si>
  <si>
    <t>001900</t>
  </si>
  <si>
    <t>IMPERMEABILIZANTE PARA TECHOS PLAVICON FIBRADO ROJO X  0,320</t>
  </si>
  <si>
    <t>001901</t>
  </si>
  <si>
    <t>IMPERMEABILIZANTE PARA TECHOS PLAVICON FIBRADO ROJO X  1,250</t>
  </si>
  <si>
    <t>001902</t>
  </si>
  <si>
    <t>IMPERMEABILIZANTE PARA TECHOS PLAVICON FIBRADO ROJO X  5</t>
  </si>
  <si>
    <t>001903</t>
  </si>
  <si>
    <t>IMPERMEABILIZANTE PARA TECHOS PLAVICON FIBRADO ROJO X 12</t>
  </si>
  <si>
    <t>001904</t>
  </si>
  <si>
    <t>IMPERMEABILIZANTE PARA TECHOS PLAVICON FIBRADO ROJO X 25</t>
  </si>
  <si>
    <t>001905</t>
  </si>
  <si>
    <t>LIJA ANTIEMPASTE OXIDO ALUMINIO RAPIFIX # 320</t>
  </si>
  <si>
    <t>001906</t>
  </si>
  <si>
    <t>LIJA ANTIEMPASTE OXIDO ALUMINIO RAPIFIX # 360</t>
  </si>
  <si>
    <t>001907</t>
  </si>
  <si>
    <t>LIJA ANTIEMPASTE OXIDO ALUMINIO RAPIFIX # 400</t>
  </si>
  <si>
    <t>001908</t>
  </si>
  <si>
    <t>TELA FIBRADA 20 CM X 1 MT,</t>
  </si>
  <si>
    <t>001909</t>
  </si>
  <si>
    <t>SELLADOR MULTIUSO PLAVICON SELLADOR PRO BLANCO X  5</t>
  </si>
  <si>
    <t>001910</t>
  </si>
  <si>
    <t>IMPERMEABILIZANTE PARA TECHOS PLAVICON TAPAGOTERAS X  1</t>
  </si>
  <si>
    <t>001911</t>
  </si>
  <si>
    <t>IMPERMEABILIZANTE PARA TECHOS PLAVICON TAPAGOTERAS X  5</t>
  </si>
  <si>
    <t>001912</t>
  </si>
  <si>
    <t>IMPERMEABILIZANTE PARA TECHOS PLAVICON TAPAGOTERAS X 20</t>
  </si>
  <si>
    <t>001913</t>
  </si>
  <si>
    <t>SELLADOR MULTIUSO PLAVICON SELLADOR PRO BLANCO X  0,450</t>
  </si>
  <si>
    <t>001914</t>
  </si>
  <si>
    <t>TELA FIBRADA 10 CM X 1 MT.</t>
  </si>
  <si>
    <t>001915</t>
  </si>
  <si>
    <t>TELA FIBRADA 1 MT X 1 MT.</t>
  </si>
  <si>
    <t>001916</t>
  </si>
  <si>
    <t>SELLADOR MULTIUSO PLAVICON SELLADOR PRO BLANCO X  0,350</t>
  </si>
  <si>
    <t>001917</t>
  </si>
  <si>
    <t>SELLADOR MULTIUSO PLAVICON SELLADOR PRO BLANCO X  1</t>
  </si>
  <si>
    <t>001918</t>
  </si>
  <si>
    <t>SELLADOR SINTETICO PARA FISURAS Y GRIETAS PLAVICON SELLADOR PILETAS X 0,450</t>
  </si>
  <si>
    <t>001919</t>
  </si>
  <si>
    <t>SELLADOR SINTETICO PARA FISURAS Y GRIETAS PLAVICON SELLADOR PILETAS X 1,250</t>
  </si>
  <si>
    <t>001920</t>
  </si>
  <si>
    <t>LACA PARA PISO PLAVICON PISOACRIL TRANSPARENTE X  1</t>
  </si>
  <si>
    <t>001921</t>
  </si>
  <si>
    <t>LACA PARA PISO PLAVICON PISOACRIL TRANSPARENTE X  4</t>
  </si>
  <si>
    <t>001922</t>
  </si>
  <si>
    <t>IMPERMEABILIZANTE PARA FRENTES PLAVICON MATE BLANCO X  1,250</t>
  </si>
  <si>
    <t>001923</t>
  </si>
  <si>
    <t>IMPERMEABILIZANTE PARA FRENTES PLAVICON MATE BLANCO X  5</t>
  </si>
  <si>
    <t>001924</t>
  </si>
  <si>
    <t>IMPERMEABILIZANTE PARA FRENTES PLAVICON MATE BLANCO X 12</t>
  </si>
  <si>
    <t>001925</t>
  </si>
  <si>
    <t>IMPERMEABILIZANTE PARA FRENTES PLAVICON MATE BLANCO X 25</t>
  </si>
  <si>
    <t>001926</t>
  </si>
  <si>
    <t>IMPERMEABLIZANTE ANTIHUMEDAD TERSEC X 1</t>
  </si>
  <si>
    <t>001927</t>
  </si>
  <si>
    <t>IMPERMEABLIZANTE ANTIHUMEDAD TERSEC X 4</t>
  </si>
  <si>
    <t>001928</t>
  </si>
  <si>
    <t>IMPERMEABILIZANTE PARA FRENTES PLAVICON MATE ROJO X  1,250</t>
  </si>
  <si>
    <t>001929</t>
  </si>
  <si>
    <t>IMPERMEABILIZANTE PARA FRENTES PLAVICON MATE ROJO X  5</t>
  </si>
  <si>
    <t>001930</t>
  </si>
  <si>
    <t>IMPERMEABILIZANTE PARA FRENTES PLAVICON MATE ROJO X 12</t>
  </si>
  <si>
    <t>001931</t>
  </si>
  <si>
    <t>IMPERMEABILIZANTE PARA FRENTES PLAVICON MATE ROJO X 25</t>
  </si>
  <si>
    <t>001932</t>
  </si>
  <si>
    <t>MEMBRANA ASFALTICA MEGAFLEX ALUMINIO MGX 35KG.X 10MTS</t>
  </si>
  <si>
    <t>001933</t>
  </si>
  <si>
    <t>SELLADOR MULTIUSO PLAVICON SELLADOR PRO BLANCO X 25</t>
  </si>
  <si>
    <t>001934</t>
  </si>
  <si>
    <t>MORTERO REPARACION HORMIGON WEBER DUR GRIS CLARO X 25</t>
  </si>
  <si>
    <t>001935</t>
  </si>
  <si>
    <t>ESQUINERO FLEXIBLE LEVELLINE 30M</t>
  </si>
  <si>
    <t>001936</t>
  </si>
  <si>
    <t>IMPERMEABILIZANTE PARA TECHOS PLAVICON TAPAGOTERAS X 10</t>
  </si>
  <si>
    <t>001937</t>
  </si>
  <si>
    <t>MASILLA PREMIUM SR60 X 1</t>
  </si>
  <si>
    <t>001938</t>
  </si>
  <si>
    <t>PROTECTOR PARA PISO ATERMICO PLAVICON ARENA X 4</t>
  </si>
  <si>
    <t>001939</t>
  </si>
  <si>
    <t>FILTRO PARA PINTURA   1A4L X 10U</t>
  </si>
  <si>
    <t>001940</t>
  </si>
  <si>
    <t>IMPERMEABILIZANTE PARA TECHOS PLAVICON FIBRADO BLANCO X  0,320</t>
  </si>
  <si>
    <t>001941</t>
  </si>
  <si>
    <t>IMPERMEABILIZANTE PARA TECHOS PLAVICON FIBRADO BLANCO X  1,250</t>
  </si>
  <si>
    <t>001942</t>
  </si>
  <si>
    <t>LACA PARA PISO PLAVICON PISOACRIL TRANSPARENTE X 20</t>
  </si>
  <si>
    <t>001943</t>
  </si>
  <si>
    <t>IMPERMEABILIZANTE PARA TECHOS PLAVICON FIBRADO BLANCO X  5</t>
  </si>
  <si>
    <t>001944</t>
  </si>
  <si>
    <t>IMPERMEABILIZANTE PARA TECHOS PLAVICON FIBRADO BLANCO X 12</t>
  </si>
  <si>
    <t>001945</t>
  </si>
  <si>
    <t>IMPERMEABILIZANTE PARA TECHOS PLAVICON FIBRADO BLANCO X 25</t>
  </si>
  <si>
    <t>001946</t>
  </si>
  <si>
    <t>IMPERMEABILIZANTE PARA MUROS PLAVICON MATE BLANCO X  1,250</t>
  </si>
  <si>
    <t>001947</t>
  </si>
  <si>
    <t>IMPERMEABILIZANTE PARA MUROS PLAVICON MATE BLANCO X  5</t>
  </si>
  <si>
    <t>001948</t>
  </si>
  <si>
    <t>IMPERMEABILIZANTE PARA MUROS PLAVICON MATE BLANCO X 12</t>
  </si>
  <si>
    <t>001949</t>
  </si>
  <si>
    <t>IMPERMEABILIZANTE PARA MUROS PLAVICON MATE BLANCO X 25</t>
  </si>
  <si>
    <t>001950</t>
  </si>
  <si>
    <t>IMPERMEABILIZANTE PARA TANQUES PLAVICON BLANCO X  1</t>
  </si>
  <si>
    <t>001951</t>
  </si>
  <si>
    <t>IMPERMEABILIZANTE PARA TANQUES PLAVICON BLANCO X  4</t>
  </si>
  <si>
    <t>001952</t>
  </si>
  <si>
    <t>IMPERMEABILIZANTE PARA TANQUES PLAVICON BLANCO X 20</t>
  </si>
  <si>
    <t>001953</t>
  </si>
  <si>
    <t>LATEX INTERIOR LAVABLE PLAVICON MATE BLANCO X  1</t>
  </si>
  <si>
    <t>001954</t>
  </si>
  <si>
    <t>LATEX INTERIOR LAVABLE PLAVICON MATE BLANCO X  4</t>
  </si>
  <si>
    <t>001955</t>
  </si>
  <si>
    <t>LATEX INTERIOR LAVABLE PLAVICON MATE BLANCO X 10</t>
  </si>
  <si>
    <t>001956</t>
  </si>
  <si>
    <t>LATEX INTERIOR LAVABLE PLAVICON MATE BLANCO X 20</t>
  </si>
  <si>
    <t>001957</t>
  </si>
  <si>
    <t>FIJADOR PARA PARED PLAVICON AL AGUA X  1</t>
  </si>
  <si>
    <t>001958</t>
  </si>
  <si>
    <t>FIJADOR PARA PARED PLAVICON AL AGUA X  4</t>
  </si>
  <si>
    <t>001959</t>
  </si>
  <si>
    <t>FIJADOR PARA PARED PLAVICON AL AGUA X 10</t>
  </si>
  <si>
    <t>001960</t>
  </si>
  <si>
    <t>FIJADOR PARA PARED PLAVICON AL AGUA X 20</t>
  </si>
  <si>
    <t>001961</t>
  </si>
  <si>
    <t>ENDUIDO INTERIOR PLAVICON X  0,400</t>
  </si>
  <si>
    <t>001962</t>
  </si>
  <si>
    <t>ENDUIDO INTERIOR PLAVICON X  1</t>
  </si>
  <si>
    <t>001963</t>
  </si>
  <si>
    <t>ENDUIDO INTERIOR PLAVICON X  4</t>
  </si>
  <si>
    <t>001964</t>
  </si>
  <si>
    <t>ENDUIDO INTERIOR PLAVICON X 20</t>
  </si>
  <si>
    <t>001965</t>
  </si>
  <si>
    <t>PROTECTOR PARA LADRILLO TERSIDRYL AL AGUA MATE SIN PELICULA X  1</t>
  </si>
  <si>
    <t>001966</t>
  </si>
  <si>
    <t>PROTECTOR PARA LADRILLO TERSIDRYL AL AGUA MATE SIN PELICULA X  4</t>
  </si>
  <si>
    <t>001967</t>
  </si>
  <si>
    <t>PROTECTOR PARA LADRILLO TERSIDRYL AL AGUA MATE SIN PELICULA X 10</t>
  </si>
  <si>
    <t>001968</t>
  </si>
  <si>
    <t>PROTECTOR PARA LADRILLO TERSIDRYL AL AGUA MATE SIN PELICULA X 20</t>
  </si>
  <si>
    <t>001969</t>
  </si>
  <si>
    <t>YESO PROYECTABLE SG TUYANGO X 30KG</t>
  </si>
  <si>
    <t>001970</t>
  </si>
  <si>
    <t>REPARADOR DE PAREDES PLACOMIX INTERIOR X 1KG</t>
  </si>
  <si>
    <t>001971</t>
  </si>
  <si>
    <t>REPARADOR DE PAREDES PLACOMIX INTERIOR X 3,500KG</t>
  </si>
  <si>
    <t>001972</t>
  </si>
  <si>
    <t>REPARADOR DE PAREDES PLACOMIX EXTERIOR X 1KG</t>
  </si>
  <si>
    <t>001973</t>
  </si>
  <si>
    <t>REPARADOR DE PAREDES PLACOMIX EXTERIOR X 3,500KG</t>
  </si>
  <si>
    <t>001974</t>
  </si>
  <si>
    <t>IMPERMEABILIZANTE PARA FRENTES Y MUROS SINTEPLAST PROFESIONAL BLANCO X  1</t>
  </si>
  <si>
    <t>001975</t>
  </si>
  <si>
    <t>IMPERMEABILIZANTE PARA FRENTES Y MUROS SINTEPLAST PROFESIONAL BLANCO X  5</t>
  </si>
  <si>
    <t>001976</t>
  </si>
  <si>
    <t>IMPERMEABILIZANTE PARA FRENTES Y MUROS SINTEPLAST PROFESIONAL BLANCO X 25</t>
  </si>
  <si>
    <t>001977</t>
  </si>
  <si>
    <t>IMPERMEABLIZANTE PARA TECHOS SINTEPLAST PROFESIONAL BLANCO X  1</t>
  </si>
  <si>
    <t>001978</t>
  </si>
  <si>
    <t>IMPERMEABLIZANTE PARA TECHOS SINTEPLAST PROFESIONAL BLANCO X  4</t>
  </si>
  <si>
    <t>001979</t>
  </si>
  <si>
    <t>IMPERMEABLIZANTE PARA TECHOS SINTEPLAST PROFESIONAL BLANCO X 20</t>
  </si>
  <si>
    <t>001980</t>
  </si>
  <si>
    <t>ESPECTOFOTOMETRO 5 ANGULOS (TP5A-RMCADS)</t>
  </si>
  <si>
    <t>001981</t>
  </si>
  <si>
    <t>PROTECTOR PARA LADRILLO PLAVIPINT SEMIMATE CON PELICULA INCOLORO X  1</t>
  </si>
  <si>
    <t>001982</t>
  </si>
  <si>
    <t>PROTECTOR PARA LADRILLO PLAVIPINT SEMIMATE CON PELICULA INCOLORO X  4</t>
  </si>
  <si>
    <t>001983</t>
  </si>
  <si>
    <t>PROTECTOR PARA LADRILLO PLAVIPINT SEMIMATE CON PELICULA INCOLORO X 10</t>
  </si>
  <si>
    <t>001984</t>
  </si>
  <si>
    <t>PROTECTOR PARA LADRILLO PLAVIPINT SEMIMATE CON PELICULA INCOLORO X 20</t>
  </si>
  <si>
    <t>001985</t>
  </si>
  <si>
    <t>DISCO LIJA DOBLE A GOLD 24K AUF6P P 80</t>
  </si>
  <si>
    <t>001986</t>
  </si>
  <si>
    <t>DISCO LIJA DOBLE A GOLD 24K AUF6P P100</t>
  </si>
  <si>
    <t>001987</t>
  </si>
  <si>
    <t>DISCO LIJA DOBLE A GOLD 24K AUF6P P120</t>
  </si>
  <si>
    <t>001988</t>
  </si>
  <si>
    <t>DISCO LIJA DOBLE A GOLD 24K AUF6P P150</t>
  </si>
  <si>
    <t>001989</t>
  </si>
  <si>
    <t>DISCO LIJA DOBLE A GOLD 24K AUF6P P180</t>
  </si>
  <si>
    <t>001990</t>
  </si>
  <si>
    <t>DISCO LIJA DOBLE A GOLD 24K AUF6P P220</t>
  </si>
  <si>
    <t>001991</t>
  </si>
  <si>
    <t>DISCO LIJA DOBLE A GOLD 24K AUF6P P240</t>
  </si>
  <si>
    <t>001992</t>
  </si>
  <si>
    <t>DISCO LIJA DOBLE A GOLD 24K AUF6P P280</t>
  </si>
  <si>
    <t>001993</t>
  </si>
  <si>
    <t>DISCO LIJA DOBLE A GOLD 24K AUF6P P320</t>
  </si>
  <si>
    <t>001994</t>
  </si>
  <si>
    <t>DISCO LIJA DOBLE A GOLD 24K AUF6P P360</t>
  </si>
  <si>
    <t>001995</t>
  </si>
  <si>
    <t>DISCO LIJA DOBLE A GOLD 24K AUF6P P400</t>
  </si>
  <si>
    <t>001996</t>
  </si>
  <si>
    <t>DISCO ULTRA STRIP DOBLE A 115X22</t>
  </si>
  <si>
    <t>001997</t>
  </si>
  <si>
    <t>DISCO LIJA DOBLE A GOLD 24K AUF6P P600</t>
  </si>
  <si>
    <t>001998</t>
  </si>
  <si>
    <t>IMPERMEABILIZANTE PARA MUROS PLAVICON MATE BEIGE X 25</t>
  </si>
  <si>
    <t>001999</t>
  </si>
  <si>
    <t>ESPECTOFOTOMETRO 11 ANGULOS (K0H11-RM-WF-CA2C)</t>
  </si>
  <si>
    <t>002000</t>
  </si>
  <si>
    <t>CL-500 BCO PLENO X 3,5</t>
  </si>
  <si>
    <t>002001</t>
  </si>
  <si>
    <t>CL-502 NEGRO PLENO X 1</t>
  </si>
  <si>
    <t>002002</t>
  </si>
  <si>
    <t>CL-510 AZUL INT X 1</t>
  </si>
  <si>
    <t>002003</t>
  </si>
  <si>
    <t>CL-512 AZUL VERDOSO X 1</t>
  </si>
  <si>
    <t>002004</t>
  </si>
  <si>
    <t>CL-513 VERDE PROFUNDO X 1</t>
  </si>
  <si>
    <t>002005</t>
  </si>
  <si>
    <t>CL-517 VIOLETA PURO X 1</t>
  </si>
  <si>
    <t>002006</t>
  </si>
  <si>
    <t>CL-530 AMARILLO OCRE X 1</t>
  </si>
  <si>
    <t>002007</t>
  </si>
  <si>
    <t>CL-531 ROJO COLORADO X 1</t>
  </si>
  <si>
    <t>002008</t>
  </si>
  <si>
    <t>CL-533 AMARILLO SOL X 1 (DISCONTINUADO)</t>
  </si>
  <si>
    <t>002009</t>
  </si>
  <si>
    <t>CL-535 AMARILLO CITRICO X 1 (DISCONTINUADO)</t>
  </si>
  <si>
    <t>002010</t>
  </si>
  <si>
    <t>CL-537 ROJO FUERTE X 1</t>
  </si>
  <si>
    <t>002011</t>
  </si>
  <si>
    <t>CL-539 ROJO PALIDO X 1</t>
  </si>
  <si>
    <t>002012</t>
  </si>
  <si>
    <t>CL-542 NARANJA FUEGO X 1  (DISCONTINUADO)</t>
  </si>
  <si>
    <t>002013</t>
  </si>
  <si>
    <t>CL-544 AMARILLO MEDIO X 1 (DISCONTINUADO)</t>
  </si>
  <si>
    <t>002014</t>
  </si>
  <si>
    <t>CL-546 BORDO X 1</t>
  </si>
  <si>
    <t>002015</t>
  </si>
  <si>
    <t>CL-548 ROJO INT X 1</t>
  </si>
  <si>
    <t>002016</t>
  </si>
  <si>
    <t>CL-549 ROSA X 1</t>
  </si>
  <si>
    <t>002017</t>
  </si>
  <si>
    <t>CL-550 AZUL PURO X 1</t>
  </si>
  <si>
    <t>002018</t>
  </si>
  <si>
    <t>CL-551 NARANJA SOL X 1 (DISCONTINUADO)</t>
  </si>
  <si>
    <t>002019</t>
  </si>
  <si>
    <t>CL-553 VERDE PURO X 1</t>
  </si>
  <si>
    <t>002020</t>
  </si>
  <si>
    <t>CL-554 ROJO CORAL X 1</t>
  </si>
  <si>
    <t>002021</t>
  </si>
  <si>
    <t>CL-555 ROJO FUEGO X 1</t>
  </si>
  <si>
    <t>002022</t>
  </si>
  <si>
    <t>CL-556 AMARILLO LIMON X 1</t>
  </si>
  <si>
    <t>002023</t>
  </si>
  <si>
    <t>CM-007 NEGRO INT X 1</t>
  </si>
  <si>
    <t>002024</t>
  </si>
  <si>
    <t>CM-105 ALUMINIO MEDIO BRILL X 1</t>
  </si>
  <si>
    <t>002025</t>
  </si>
  <si>
    <t>CM-016 AZUL LUMINOSO BRILL X 1 (DISCONTINUADO)</t>
  </si>
  <si>
    <t>002026</t>
  </si>
  <si>
    <t>CM-019 AZUL OSCURO PROFUNDO X 1</t>
  </si>
  <si>
    <t>002027</t>
  </si>
  <si>
    <t>CM-202 PERLADO BCO FINO X 1</t>
  </si>
  <si>
    <t>002028</t>
  </si>
  <si>
    <t>CM-203 PERLADO PLATA LUMINOSO X 1</t>
  </si>
  <si>
    <t>002029</t>
  </si>
  <si>
    <t>CM-100 ALUMINIO EXTRA FINO X 3,5</t>
  </si>
  <si>
    <t>002030</t>
  </si>
  <si>
    <t>CM-106 ALUMINIO MEDIO LUMINOSO X 1</t>
  </si>
  <si>
    <t>002031</t>
  </si>
  <si>
    <t>CM-103 ALUMINIO GRUESO LUMINOSO X 1</t>
  </si>
  <si>
    <t>002032</t>
  </si>
  <si>
    <t>CM-102 ALUMINIO GRUESO X 3,5</t>
  </si>
  <si>
    <t>002033</t>
  </si>
  <si>
    <t>CM-002 NEGRO X 3,5</t>
  </si>
  <si>
    <t>002034</t>
  </si>
  <si>
    <t>CM-062 VERDE OSCURO X 1</t>
  </si>
  <si>
    <t>002035</t>
  </si>
  <si>
    <t>CM-063 AMARILLO ESVERDEADO X 1</t>
  </si>
  <si>
    <t>002036</t>
  </si>
  <si>
    <t>CM-064 ROJO X 1 (DISCONTINUADO)</t>
  </si>
  <si>
    <t>002037</t>
  </si>
  <si>
    <t>CM-065 AZUL BRILL X 1</t>
  </si>
  <si>
    <t>002038</t>
  </si>
  <si>
    <t>C565-7000 PRIMER PU BCO ACS X 0,750 (DISCONTINUADO)</t>
  </si>
  <si>
    <t>002039</t>
  </si>
  <si>
    <t>CM-068 MAGENTA OSCURO X 1</t>
  </si>
  <si>
    <t>002040</t>
  </si>
  <si>
    <t>CM-107 ALUMINIO FINO BRILL X 1</t>
  </si>
  <si>
    <t>002041</t>
  </si>
  <si>
    <t>CM-206 PERLADO VIOLEA X 1</t>
  </si>
  <si>
    <t>002042</t>
  </si>
  <si>
    <t>CM-207 B MATIZANTE X 1</t>
  </si>
  <si>
    <t>002043</t>
  </si>
  <si>
    <t>CM-011 AZUL FTALO X 1</t>
  </si>
  <si>
    <t>002044</t>
  </si>
  <si>
    <t>CM-010 AZUL ROJIZO X 1</t>
  </si>
  <si>
    <t>002045</t>
  </si>
  <si>
    <t>CM-015 VIOLETA X 1</t>
  </si>
  <si>
    <t>002046</t>
  </si>
  <si>
    <t>CM-209 DORADO PERLADO X 1</t>
  </si>
  <si>
    <t>002047</t>
  </si>
  <si>
    <t>CM-200 PERLADO AZUL FINO X 1</t>
  </si>
  <si>
    <t>002048</t>
  </si>
  <si>
    <t>CM-201 PERLADO AZUL SUPER X 1</t>
  </si>
  <si>
    <t>002049</t>
  </si>
  <si>
    <t>CM-212 DORADO SUPER PERLADO X 1</t>
  </si>
  <si>
    <t>002050</t>
  </si>
  <si>
    <t>CM-213 PERLADO AMARILLO X 1</t>
  </si>
  <si>
    <t>002051</t>
  </si>
  <si>
    <t>CM-214 VERDE PERLADO X 1</t>
  </si>
  <si>
    <t>002052</t>
  </si>
  <si>
    <t>CM-060 BORDO X 1</t>
  </si>
  <si>
    <t>002053</t>
  </si>
  <si>
    <t>CM-204 PERLADO ROJO FINO X 1</t>
  </si>
  <si>
    <t>002054</t>
  </si>
  <si>
    <t>CM-205 PERLADO ROJO SUPER X 1</t>
  </si>
  <si>
    <t>002055</t>
  </si>
  <si>
    <t>CM-001 BCO X 1</t>
  </si>
  <si>
    <t>002056</t>
  </si>
  <si>
    <t>CM-042 ROJO TRANSP X 1</t>
  </si>
  <si>
    <t>002057</t>
  </si>
  <si>
    <t>CM-040 ROJO RUBI X 1 (DISCONTINUADO)</t>
  </si>
  <si>
    <t>002058</t>
  </si>
  <si>
    <t>CM-074 ROJO FUERTE X 1</t>
  </si>
  <si>
    <t>002059</t>
  </si>
  <si>
    <t>CM-043 ROJO VIVO X 1</t>
  </si>
  <si>
    <t>002060</t>
  </si>
  <si>
    <t>CM-003 BCO NIEVE X 1</t>
  </si>
  <si>
    <t>002061</t>
  </si>
  <si>
    <t>CM-038 ROJO OXIDO X 1</t>
  </si>
  <si>
    <t>002062</t>
  </si>
  <si>
    <t>CM-073 MARRON PERMANENTE X 1 (DISCONTINUADO)</t>
  </si>
  <si>
    <t>002063</t>
  </si>
  <si>
    <t>CM-033 AMARILLO TRANSP X 1</t>
  </si>
  <si>
    <t>002064</t>
  </si>
  <si>
    <t>CM-031 AMARILLO ORO X 1</t>
  </si>
  <si>
    <t>002065</t>
  </si>
  <si>
    <t>CR-600 NEGRO REDUCIDO X 1</t>
  </si>
  <si>
    <t>002066</t>
  </si>
  <si>
    <t>CR-601 AZUL REDUCIDO X 1 (DISCONTINUADO)</t>
  </si>
  <si>
    <t>002067</t>
  </si>
  <si>
    <t>CR-602 ROJO REDUCIDO X 1 (DISCONTINUADO)</t>
  </si>
  <si>
    <t>002068</t>
  </si>
  <si>
    <t>CR-603 AMARILLO REDUCIDO X 1 (DISCONTINUADO)</t>
  </si>
  <si>
    <t>002069</t>
  </si>
  <si>
    <t>CM-017 VERDE BRILL X 1</t>
  </si>
  <si>
    <t>002070</t>
  </si>
  <si>
    <t>CM-035 ROJO BRILL X 1</t>
  </si>
  <si>
    <t>002071</t>
  </si>
  <si>
    <t>CM-050 CASTANO X 1 (DISCONTINUADO)</t>
  </si>
  <si>
    <t>002072</t>
  </si>
  <si>
    <t>BP-04.01 CLEAR POLISTER BICAPA ACS X 3.500</t>
  </si>
  <si>
    <t>002073</t>
  </si>
  <si>
    <t>BP-05 BARNIZ DE MEZCLA BICAPA P/AJUSTE X 3,5 (DISCONTINUADO)</t>
  </si>
  <si>
    <t>002074</t>
  </si>
  <si>
    <t>BU-02.01 CLEARS BASE BLANCA P/PU ACS X 3.500</t>
  </si>
  <si>
    <t>002075</t>
  </si>
  <si>
    <t>BU-01 CLEARS DE MEZCLA PU ACS X 3,5 (DISCONTINUADO)</t>
  </si>
  <si>
    <t>002076</t>
  </si>
  <si>
    <t>BU-03 CLEARS DE AJUSTE P/PU ACS X3,5 (DISCONTINUADO)</t>
  </si>
  <si>
    <t>002077</t>
  </si>
  <si>
    <t>BA-04 BARNIZ DE MEZC ACRILICO P/SOLIDOS X 3 5 (DISCONTINUADO)</t>
  </si>
  <si>
    <t>002078</t>
  </si>
  <si>
    <t>BA-05 BARNIZ DE MEZC ACRILICO P/METALICOS X 3 5 (DISCONTINUADO)</t>
  </si>
  <si>
    <t>002079</t>
  </si>
  <si>
    <t>AEROSOL RUST-OLEUM UC SATINADO NEGRO X 0,340(2620991)</t>
  </si>
  <si>
    <t>002080</t>
  </si>
  <si>
    <t>AEROSOL RUST-OLEUM UC MATE NEGRO X 0,340(2621501)</t>
  </si>
  <si>
    <t>002081</t>
  </si>
  <si>
    <t>BARNIZ MARINO PARA MADERA TERSUAVE BRILLANTE CON FILTRO SOLAR X 1</t>
  </si>
  <si>
    <t>002082</t>
  </si>
  <si>
    <t>BARNIZ MARINO PARA MADERA TERSUAVE BRILLANTE CON FILTRO SOLAR X 4</t>
  </si>
  <si>
    <t>002083</t>
  </si>
  <si>
    <t>P425-941/E3,5 H S STRONG RED X 3</t>
  </si>
  <si>
    <t>002084</t>
  </si>
  <si>
    <t>BARNIZ PARA MADERA INTERIOR TERSUAVE MATE X 0,500</t>
  </si>
  <si>
    <t>002085</t>
  </si>
  <si>
    <t>BARNIZ PARA MADERA INTERIOR TERSUAVE MATE X 1</t>
  </si>
  <si>
    <t>002086</t>
  </si>
  <si>
    <t>BARNIZ PARA MADERA INTERIOR TERSUAVE MATE X 4</t>
  </si>
  <si>
    <t>002087</t>
  </si>
  <si>
    <t>BARNIZ PARA MADERA INTERIOR TERSUAVE SATINADO X  0,500</t>
  </si>
  <si>
    <t>002088</t>
  </si>
  <si>
    <t>BARNIZ PARA MADERA INTERIOR TERSUAVE SATINADO X  1</t>
  </si>
  <si>
    <t>002089</t>
  </si>
  <si>
    <t>BARNIZ PARA MADERA INTERIOR TERSUAVE SATINADO X  4</t>
  </si>
  <si>
    <t>002090</t>
  </si>
  <si>
    <t>BARNIZ PARA MADERA INTERIOR TERSUAVE SATINADO X 20</t>
  </si>
  <si>
    <t>002091</t>
  </si>
  <si>
    <t>LACA NITROSINTETICA TERSUAVE BLANCO PURO X 0,500</t>
  </si>
  <si>
    <t>002092</t>
  </si>
  <si>
    <t>LACA NITROSINTETICA TERSUAVE AMARILLO TAXI X 0,500</t>
  </si>
  <si>
    <t>002093</t>
  </si>
  <si>
    <t>LACA NITROSINTETICA TERSUAVE NARANJA ESC.X 0,500</t>
  </si>
  <si>
    <t>002094</t>
  </si>
  <si>
    <t>LACA NITROSINTETICA TERSUAVE NEGRO AZABACHE X 0,500</t>
  </si>
  <si>
    <t>002095</t>
  </si>
  <si>
    <t>LACA NITROSINTETICA TERSUAVE NEGRO SATINADO X 0,500</t>
  </si>
  <si>
    <t>002096</t>
  </si>
  <si>
    <t>LACA NITROSINTETICA TERSUAVE ALUMINIO PARA LLANTAS X 0,500</t>
  </si>
  <si>
    <t>002097</t>
  </si>
  <si>
    <t>P420-905 YELLOW OXIDE X 1</t>
  </si>
  <si>
    <t>002098</t>
  </si>
  <si>
    <t>REVEX FINO BCO X 25</t>
  </si>
  <si>
    <t>002099</t>
  </si>
  <si>
    <t>REVEX FINO BASE RV X 25</t>
  </si>
  <si>
    <t>002100</t>
  </si>
  <si>
    <t>ESMALTE SINTETICO PARA PIZARRON TERSUAVE MATE VERDE X 0,250</t>
  </si>
  <si>
    <t>002101</t>
  </si>
  <si>
    <t>ESMALTE SINTETICO TERSUAVE 2EN1 BRILLANTE BLANCO X  0,250</t>
  </si>
  <si>
    <t>002102</t>
  </si>
  <si>
    <t>ESMALTE SINTETICO TERSUAVE 2EN1 BRILLANTE BERMELLON X  0,250</t>
  </si>
  <si>
    <t>002103</t>
  </si>
  <si>
    <t>ESMALTE SINTETICO TERSUAVE 2EN1 BRILLANTE NARANJA X  0,250</t>
  </si>
  <si>
    <t>002104</t>
  </si>
  <si>
    <t>ESMALTE SINTETICO TERSUAVE 2EN1 BRILLANTE AMARILLO X  0,250</t>
  </si>
  <si>
    <t>002105</t>
  </si>
  <si>
    <t>FONDO PARA MADERA TERSUAVE BLANCO X  0,250</t>
  </si>
  <si>
    <t>002106</t>
  </si>
  <si>
    <t>BARNIZ MARINO PARA MADERA TERSUAVE BRILLANTE X  0,250</t>
  </si>
  <si>
    <t>002107</t>
  </si>
  <si>
    <t>ESMALTE SINTETICO TERSUAVE ALTA TEMPERATURA ALUMINIO X 0,250</t>
  </si>
  <si>
    <t>002108</t>
  </si>
  <si>
    <t>ESMALTE SINTETICO TERSUAVE ALTA TEMPERATURA NEGRO X 0,250</t>
  </si>
  <si>
    <t>002109</t>
  </si>
  <si>
    <t>ESMALTE SINTETICO TERSUAVE 2EN1 BRILLANTE BEIGE X  0,250</t>
  </si>
  <si>
    <t>002110</t>
  </si>
  <si>
    <t>ESMALTE SINTETICO PARA PIZARRON TERSUAVE MATE NEGRO X 0,250</t>
  </si>
  <si>
    <t>002111</t>
  </si>
  <si>
    <t>ESMALTE SINTETICO TERSUAVE ALTA TEMPERATURA BLANCO X 0,250</t>
  </si>
  <si>
    <t>002112</t>
  </si>
  <si>
    <t>ESMALTE POLIURETANO ALBA BLANCO X 1</t>
  </si>
  <si>
    <t>002113</t>
  </si>
  <si>
    <t>ESMALTE SINTETICO TERSUAVE 2EN1 BRILLANTE CEDRO X  0,250</t>
  </si>
  <si>
    <t>002114</t>
  </si>
  <si>
    <t>TINTA PARA MADERA TERSUAVE CAOBA X 0,060</t>
  </si>
  <si>
    <t>002115</t>
  </si>
  <si>
    <t>ESMALTE SINTETICO TERSUAVE 2EN1 BRILLANTE NEGRO X  0,250</t>
  </si>
  <si>
    <t>002116</t>
  </si>
  <si>
    <t>ESMALTE SINTETICO TERSUAVE 2EN1 BRILLANTE ORO X 0,250</t>
  </si>
  <si>
    <t>002117</t>
  </si>
  <si>
    <t>ESMALTE SINTETICO TERSUAVE 2EN1 BRILLANTE ALUMINIO X  0,250</t>
  </si>
  <si>
    <t>002118</t>
  </si>
  <si>
    <t>ESMALTE SINTETICO TERSUAVE 2EN1 BRILLANTE MARRON X  0,250</t>
  </si>
  <si>
    <t>002119</t>
  </si>
  <si>
    <t>ESMALTE SINTETICO TERSUAVE 2EN1 BRILLANTE VERDE CLARO X  0,250</t>
  </si>
  <si>
    <t>002120</t>
  </si>
  <si>
    <t>ESMALTE SINTETICO TERSUAVE 2EN1 BRILLANTE GRIS OSCURO X  0,250</t>
  </si>
  <si>
    <t>002121</t>
  </si>
  <si>
    <t>TINTA PARA MADERA TERSUAVE CEDRO X 0,060</t>
  </si>
  <si>
    <t>002122</t>
  </si>
  <si>
    <t>TINTA PARA MADERA TERSUAVE NOGAL X 0,060</t>
  </si>
  <si>
    <t>002123</t>
  </si>
  <si>
    <t>ESMALTE SINTETICO TERSUAVE 2EN1 BRILLANTE CELESTE X  0,250</t>
  </si>
  <si>
    <t>002124</t>
  </si>
  <si>
    <t>ESMALTE SINTETICO TERSUAVE 2EN1 BRILLANTE MARFIL SEDA X  0,250</t>
  </si>
  <si>
    <t>002125</t>
  </si>
  <si>
    <t>TINTA PARA MADERA TERSUAVE PETIRIBI X 0,060</t>
  </si>
  <si>
    <t>002126</t>
  </si>
  <si>
    <t>ESMALTE SINTETICO TERSUAVE 2EN1 BRILLANTE GRIS ESPACIAL X  0,250</t>
  </si>
  <si>
    <t>002127</t>
  </si>
  <si>
    <t>TINTA PARA MADERA TERSUAVE ROBLE CLARO X 0,060</t>
  </si>
  <si>
    <t>002128</t>
  </si>
  <si>
    <t>ESMALTE SINTETICO TERSUAVE 2EN1 BRILLANTE GRIS PERLA X  0,250</t>
  </si>
  <si>
    <t>002129</t>
  </si>
  <si>
    <t>ESMALTE SINTETICO TERSUAVE 2EN1 BRILLANTE GRIS HIELO X  0,250</t>
  </si>
  <si>
    <t>002130</t>
  </si>
  <si>
    <t>ESMALTE SINTETICO TERSUAVE 2EN1 BRILLANTE VERDE INGLES X  0,250</t>
  </si>
  <si>
    <t>002131</t>
  </si>
  <si>
    <t>ESMALTE POLIURETANO ALBA NEGRO X 1</t>
  </si>
  <si>
    <t>002132</t>
  </si>
  <si>
    <t>ESMALTE SINTETICO TERSUAVE 2EN1 BRILLANTE AZULEJO X  0,250</t>
  </si>
  <si>
    <t>002133</t>
  </si>
  <si>
    <t>ESMALTE SINTETICO TERSUAVE 2EN1 BRILLANTE MARFIL CHAMPAGNE X  0,250</t>
  </si>
  <si>
    <t>002134</t>
  </si>
  <si>
    <t>ESMALTE SINTETICO TERSUAVE 2EN1 BRILLANTE VERDE ILUSION X  0,250</t>
  </si>
  <si>
    <t>002135</t>
  </si>
  <si>
    <t>ESMALTE POLIURETANO ALBA GRIS HIELO X 1</t>
  </si>
  <si>
    <t>002136</t>
  </si>
  <si>
    <t>ESMALTE SINTETICO TERSUAVE 2EN1 BRILLANTE CREMA X  0,250</t>
  </si>
  <si>
    <t>002137</t>
  </si>
  <si>
    <t>ESMALTE SINTETICO TERSUAVE 2EN1 BRILLANTE CASTANO X  0,250</t>
  </si>
  <si>
    <t>002138</t>
  </si>
  <si>
    <t>ESMALTE SINTETICO TERSUAVE 2EN1 BRILLANTE VERDE NOCHE X  0,250</t>
  </si>
  <si>
    <t>002139</t>
  </si>
  <si>
    <t>TINTA PARA MADERA TERSUAVE ROBLE OSCURO X 0,060</t>
  </si>
  <si>
    <t>002140</t>
  </si>
  <si>
    <t>REVEX FINO BASE TA X 25</t>
  </si>
  <si>
    <t>002141</t>
  </si>
  <si>
    <t>ESMALTE SINTETICO TERSUAVE 2EN1 BRILLANTE TRAFUL X  0,250</t>
  </si>
  <si>
    <t>002142</t>
  </si>
  <si>
    <t>ESMALTE POLIURETANO ALBA VERDE INGLES X 1</t>
  </si>
  <si>
    <t>002143</t>
  </si>
  <si>
    <t>ESMALTE SINTETICO TERSUAVE 2EN1 BRILLANTE AZUL X  0,250</t>
  </si>
  <si>
    <t>002144</t>
  </si>
  <si>
    <t>MARBLE MEDIO BASE TA X 30</t>
  </si>
  <si>
    <t>002145</t>
  </si>
  <si>
    <t>ESMALTE POLIURETANO ALBA BERMELLON X 1</t>
  </si>
  <si>
    <t>002146</t>
  </si>
  <si>
    <t>ESMALTE POLIURETANO ALBA AMARILLO X  1</t>
  </si>
  <si>
    <t>002147</t>
  </si>
  <si>
    <t>ESMALTE SINTETICO TERSUAVE 2EN1 BRILLANTE TABACO X  0,250</t>
  </si>
  <si>
    <t>002148</t>
  </si>
  <si>
    <t>ESMALTE EPOXI TERSUAVE INDULAC BLANCO X  0,250</t>
  </si>
  <si>
    <t>002149</t>
  </si>
  <si>
    <t>REVOQUE FINO FLEXIBLE BASE TA X 25</t>
  </si>
  <si>
    <t>002150</t>
  </si>
  <si>
    <t>ESMALTE SINTETICO TERSUAVE 2EN1 BRILLANTE VIOLETA X 0,250</t>
  </si>
  <si>
    <t>002151</t>
  </si>
  <si>
    <t>SELLADOR MULTIUSO PLAVICON SELLADOR PRO GRIS CEMENTO X  0,350</t>
  </si>
  <si>
    <t>002152</t>
  </si>
  <si>
    <t>MARBLE MEDIO BCO X 30</t>
  </si>
  <si>
    <t>002153</t>
  </si>
  <si>
    <t>SELLADOR MULTIUSO PLAVICON SELLADOR PRO GRIS CEMENTO X  0,450</t>
  </si>
  <si>
    <t>002154</t>
  </si>
  <si>
    <t>REVOQUE FINO FLEXIBLE BCO X 5</t>
  </si>
  <si>
    <t>002155</t>
  </si>
  <si>
    <t>REVOQUE FINO FLEXIBLE BCO X 25</t>
  </si>
  <si>
    <t>002156</t>
  </si>
  <si>
    <t>ESMALTE SINTETICO TERSUAVE 2EN1 BRILLANTE AMAR.MED. X  0,250</t>
  </si>
  <si>
    <t>002157</t>
  </si>
  <si>
    <t>LATEX INTERIOR PLAVICON PERFORMA MATE BLANCO X  4</t>
  </si>
  <si>
    <t>002158</t>
  </si>
  <si>
    <t>NATURAL STONE CLEAR X 30</t>
  </si>
  <si>
    <t>002159</t>
  </si>
  <si>
    <t>LATEX INTERIOR PLAVICON PERFORMA MATE BLANCO X 10</t>
  </si>
  <si>
    <t>002160</t>
  </si>
  <si>
    <t>LATEX INTERIOR PLAVICON PERFORMA MATE BLANCO X 20</t>
  </si>
  <si>
    <t>002161</t>
  </si>
  <si>
    <t>NATURAL STONE SILICA X 30</t>
  </si>
  <si>
    <t>002162</t>
  </si>
  <si>
    <t>LATEX INTERIOR/EXTERIOR ALBA CONSTRUCTOR MATE BLANCO X  1</t>
  </si>
  <si>
    <t>002163</t>
  </si>
  <si>
    <t>LATEX INTERIOR/EXTERIOR ALBA CONSTRUCTOR MATE BLANCO X  4</t>
  </si>
  <si>
    <t>002164</t>
  </si>
  <si>
    <t>LATEX INTERIOR/EXTERIOR ALBA CONSTRUCTOR MATE BLANCO X 10</t>
  </si>
  <si>
    <t>002165</t>
  </si>
  <si>
    <t>LATEX INTERIOR/EXTERIOR ALBA CONSTRUCTOR MATE BLANCO X 20</t>
  </si>
  <si>
    <t>002166</t>
  </si>
  <si>
    <t>NATURAL STONE GRAY X 6</t>
  </si>
  <si>
    <t>002167</t>
  </si>
  <si>
    <t>SELLADOR MULTIUSO PLAVICON SELLADOR PRO GRIS CEMENTO X  1</t>
  </si>
  <si>
    <t>002168</t>
  </si>
  <si>
    <t>SELLADOR MULTIUSO PLAVICON SELLADOR PRO GRIS CEMENTO X  5</t>
  </si>
  <si>
    <t>002169</t>
  </si>
  <si>
    <t>ESCALERA DE ALUMINIO SIN FIN FAMILIAR 3</t>
  </si>
  <si>
    <t>002170</t>
  </si>
  <si>
    <t>ESCALERA DE ALUMINIO SIN FIN FAMILIAR 4</t>
  </si>
  <si>
    <t>002171</t>
  </si>
  <si>
    <t>ESCALERA DE ALUMINIO SIN FIN FAMILIAR 5</t>
  </si>
  <si>
    <t>002172</t>
  </si>
  <si>
    <t>ESCALERA DE ALUMINIO SIN FIN FAMILIAR 6</t>
  </si>
  <si>
    <t>002173</t>
  </si>
  <si>
    <t>ESCALERA DE ALUMINIO SIN FIN FAMILIAR 7</t>
  </si>
  <si>
    <t>002174</t>
  </si>
  <si>
    <t>ESCALERA DE ALUMINIO SIN FIN FAMILIAR 8</t>
  </si>
  <si>
    <t>002175</t>
  </si>
  <si>
    <t>ESCALERA DE ALUMINIO SIN FIN FAMILIAR 9</t>
  </si>
  <si>
    <t>002176</t>
  </si>
  <si>
    <t>ESCALERA DE ALUMINIO SIN FIN FAMILIAR 10</t>
  </si>
  <si>
    <t>002177</t>
  </si>
  <si>
    <t>CEMENTO DE CONTACTO SIN TOLUENO COLVINIL 55 X  0,250</t>
  </si>
  <si>
    <t>002178</t>
  </si>
  <si>
    <t>CEMENTO DE CONTACTO SIN TOLUENO COLVINIL 55 X  0,500</t>
  </si>
  <si>
    <t>002179</t>
  </si>
  <si>
    <t>CEMENTO DE CONTACTO SIN TOLUENO COLVINIL 55 X  0,900</t>
  </si>
  <si>
    <t>002180</t>
  </si>
  <si>
    <t>CEMENTO DE CONTACTO SIN TOLUENO COLVINIL 55 X  3,600</t>
  </si>
  <si>
    <t>002181</t>
  </si>
  <si>
    <t>CEMENTO DE CONTACTO SIN TOLUENO COLVINIL 55 X 18,000</t>
  </si>
  <si>
    <t>002182</t>
  </si>
  <si>
    <t>ESMALTE AL AGUA SATINOL SATINADO BLANCO X  0,500</t>
  </si>
  <si>
    <t>002183</t>
  </si>
  <si>
    <t>ESMALTE AL AGUA SATINOL SATINADO BLANCO X  1</t>
  </si>
  <si>
    <t>002184</t>
  </si>
  <si>
    <t>ESMALTE AL AGUA SATINOL SATINADO BLANCO X  4</t>
  </si>
  <si>
    <t>002185</t>
  </si>
  <si>
    <t>SELLADOR MULTIUSO PLAVICON SELLADOR PRO GRIS CEMENTO X 25</t>
  </si>
  <si>
    <t>002186</t>
  </si>
  <si>
    <t>ESMALTE AL AGUA SATINOL SATINADO NEGRO X  0,500</t>
  </si>
  <si>
    <t>002187</t>
  </si>
  <si>
    <t>ESMALTE AL AGUA SATINOL SATINADO NEGRO X  1</t>
  </si>
  <si>
    <t>002188</t>
  </si>
  <si>
    <t>ESMALTE AL AGUA SATINOL SATINADO NEGRO X  4</t>
  </si>
  <si>
    <t>002189</t>
  </si>
  <si>
    <t>AERSES SALDOS X 0,410</t>
  </si>
  <si>
    <t>002190</t>
  </si>
  <si>
    <t>ESMALTE AL AGUA SATINOL SATINADO BLANCO X 20</t>
  </si>
  <si>
    <t>002191</t>
  </si>
  <si>
    <t>LACA NITROSINTETICA MMB BLANCO PURO X 1</t>
  </si>
  <si>
    <t>002192</t>
  </si>
  <si>
    <t>LACA NITROSINTETICA TERSUAVE AMARILLO TAXI X 1</t>
  </si>
  <si>
    <t>002193</t>
  </si>
  <si>
    <t>LACA NITROSINTETICA TERSUAVE NARANJA ESC.X 1</t>
  </si>
  <si>
    <t>002194</t>
  </si>
  <si>
    <t>LACA NITROSINTETICA TERSUAVE NEGRO AZABACHE X 1</t>
  </si>
  <si>
    <t>002195</t>
  </si>
  <si>
    <t>LACA NITROSINTETICA MMB NEGRO SATINADO X 1</t>
  </si>
  <si>
    <t>002196</t>
  </si>
  <si>
    <t>LACA NITROSINTETICA MMB ALUMINIO PARA LLANTAS X 1</t>
  </si>
  <si>
    <t>002197</t>
  </si>
  <si>
    <t>REVOQUE PROYECTABLE 2EN1 WEBER PROMEX INTERIOR GRIS X 30</t>
  </si>
  <si>
    <t>002198</t>
  </si>
  <si>
    <t>REVEX MEDIO BCO X 25</t>
  </si>
  <si>
    <t>002199</t>
  </si>
  <si>
    <t>REVOQUE FINO FLEXIBLE BASE MT X 25</t>
  </si>
  <si>
    <t>002200</t>
  </si>
  <si>
    <t>ESMALTE SINTETICO PARA PIZARRON TERSUAVE MATE VERDE X 0,500</t>
  </si>
  <si>
    <t>002201</t>
  </si>
  <si>
    <t>ESMALTE SINTETICO TERSUAVE 2EN1 BRILLANTE BLANCO X  0,500</t>
  </si>
  <si>
    <t>002202</t>
  </si>
  <si>
    <t>ESMALTE SINTETICO TERSUAVE 2EN1 BRILLANTE BERMELLON X  0,500</t>
  </si>
  <si>
    <t>002203</t>
  </si>
  <si>
    <t>ESMALTE SINTETICO TERSUAVE 2EN1 BRILLANTE NARANJA X  0,500</t>
  </si>
  <si>
    <t>002204</t>
  </si>
  <si>
    <t>ESMALTE SINTETICO TERSUAVE 2EN1 BRILLANTE AMARILLO X  0,500</t>
  </si>
  <si>
    <t>002205</t>
  </si>
  <si>
    <t>FONDO PARA MADERA TERSUAVE BLANCO X  0,500</t>
  </si>
  <si>
    <t>002206</t>
  </si>
  <si>
    <t>BARNIZ MARINO PARA MADERA TERSUAVE BRILLANTE X  0,500</t>
  </si>
  <si>
    <t>002207</t>
  </si>
  <si>
    <t>ESMALTE SINTETICO TERSUAVE ALTA TEMPERATURA ALUMINIO X 0,500</t>
  </si>
  <si>
    <t>002208</t>
  </si>
  <si>
    <t>ESMALTE SINTETICO TERSUAVE ALTA TEMPERATURA NEGRO X 0,500</t>
  </si>
  <si>
    <t>002209</t>
  </si>
  <si>
    <t>ESMALTE SINTETICO TERSUAVE 2EN1 BRILLANTE BEIGE X  0,500</t>
  </si>
  <si>
    <t>002210</t>
  </si>
  <si>
    <t>ESMALTE SINTETICO PARA PIZARRON TERSUAVE MATE NEGRO X 0,500</t>
  </si>
  <si>
    <t>002211</t>
  </si>
  <si>
    <t>ESMALTE SINTETICO TERSUAVE ALTA TEMPERATURA BLANCO X 0,500</t>
  </si>
  <si>
    <t>002212</t>
  </si>
  <si>
    <t>ESMALTE POLIURETANO ALBA BLANCO X 4</t>
  </si>
  <si>
    <t>002213</t>
  </si>
  <si>
    <t>ESMALTE SINTETICO TERSUAVE 2EN1 BRILLANTE CEDRO X  0,500</t>
  </si>
  <si>
    <t>002214</t>
  </si>
  <si>
    <t>TINTA PARA MADERA TERSUAVE CAOBA X 0,240</t>
  </si>
  <si>
    <t>002215</t>
  </si>
  <si>
    <t>ESMALTE SINTETICO TERSUAVE 2EN1 BRILLANTE NEGRO X  0,500</t>
  </si>
  <si>
    <t>002216</t>
  </si>
  <si>
    <t>DISCO CORTE DOBLE A T42 MASTER ACERO 180X3,0X22,2</t>
  </si>
  <si>
    <t>002217</t>
  </si>
  <si>
    <t>ESMALTE SINTETICO TERSUAVE 2EN1 BRILLANTE ALUMINIO X  0,500</t>
  </si>
  <si>
    <t>002218</t>
  </si>
  <si>
    <t>ESMALTE SINTETICO TERSUAVE 2EN1 BRILLANTE MARRON X  0,500</t>
  </si>
  <si>
    <t>002219</t>
  </si>
  <si>
    <t>ESMALTE SINTETICO TERSUAVE 2EN1 BRILLANTE VERDE CLARO X  0,500</t>
  </si>
  <si>
    <t>002220</t>
  </si>
  <si>
    <t>ESMALTE SINTETICO TERSUAVE 2EN1 BRILLANTE GRIS OSCURO X  0,500</t>
  </si>
  <si>
    <t>002221</t>
  </si>
  <si>
    <t>TINTA PARA MADERA TERSUAVE CEDRO X 0,240</t>
  </si>
  <si>
    <t>002222</t>
  </si>
  <si>
    <t>TINTA PARA MADERA TERSUAVE NOGAL X 0,240</t>
  </si>
  <si>
    <t>002223</t>
  </si>
  <si>
    <t>ESMALTE SINTETICO TERSUAVE 2EN1 BRILLANTE CELESTE X  0,500</t>
  </si>
  <si>
    <t>002224</t>
  </si>
  <si>
    <t>ESMALTE SINTETICO TERSUAVE 2EN1 BRILLANTE MARFIL SEDA X  0,500</t>
  </si>
  <si>
    <t>002225</t>
  </si>
  <si>
    <t>TINTA PARA MADERA TERSUAVE PETIRIBI X 0,240</t>
  </si>
  <si>
    <t>002226</t>
  </si>
  <si>
    <t>ESMALTE SINTETICO TERSUAVE 2EN1 BRILLANTE GRIS ESPACIAL X  0,500</t>
  </si>
  <si>
    <t>002227</t>
  </si>
  <si>
    <t>TINTA PARA MADERA TERSUAVE ROBLE CLARO X 0,240</t>
  </si>
  <si>
    <t>002228</t>
  </si>
  <si>
    <t>ESMALTE SINTETICO TERSUAVE 2EN1 BRILLANTE GRIS PERLA X  0,500</t>
  </si>
  <si>
    <t>002229</t>
  </si>
  <si>
    <t>ESMALTE SINTETICO TERSUAVE 2EN1 BRILLANTE GRIS HIELO X  0,500</t>
  </si>
  <si>
    <t>002230</t>
  </si>
  <si>
    <t>ESMALTE SINTETICO TERSUAVE 2EN1 BRILLANTE VERDE INGLES X  0,500</t>
  </si>
  <si>
    <t>002231</t>
  </si>
  <si>
    <t>ESMALTE POLIURETANO ALBA NEGRO X 4</t>
  </si>
  <si>
    <t>002232</t>
  </si>
  <si>
    <t>ESMALTE SINTETICO TERSUAVE 2EN1 BRILLANTE AZULEJO X  0,500</t>
  </si>
  <si>
    <t>002233</t>
  </si>
  <si>
    <t>ESMALTE SINTETICO TERSUAVE 2EN1 BRILLANTE MARFIL CHAMPAGNE X  0,500</t>
  </si>
  <si>
    <t>002234</t>
  </si>
  <si>
    <t>ESMALTE SINTETICO TERSUAVE 2EN1 BRILLANTE VERDE ILUSION X  0,500</t>
  </si>
  <si>
    <t>002235</t>
  </si>
  <si>
    <t>ESMALTE POLIURETANO ALBA GRIS HIELO X 4</t>
  </si>
  <si>
    <t>002236</t>
  </si>
  <si>
    <t>ESMALTE SINTETICO TERSUAVE 2EN1 BRILLANTE CREMA X  0,500</t>
  </si>
  <si>
    <t>002237</t>
  </si>
  <si>
    <t>ESMALTE SINTETICO TERSUAVE 2EN1 BRILLANTE CASTANO X  0,500</t>
  </si>
  <si>
    <t>002238</t>
  </si>
  <si>
    <t>ESMALTE SINTETICO TERSUAVE 2EN1 BRILLANTE VERDE NOCHE X  0,500</t>
  </si>
  <si>
    <t>002239</t>
  </si>
  <si>
    <t>TINTA PARA MADERA TERSUAVE ROBLE OSCURO X 0,240</t>
  </si>
  <si>
    <t>002240</t>
  </si>
  <si>
    <t>AEROSOL RUST-OLEUM SP PLASTICO BRILLANTE BLANCO X 0,340(272122)</t>
  </si>
  <si>
    <t>002241</t>
  </si>
  <si>
    <t>ESMALTE SINTETICO TERSUAVE 2EN1 BRILLANTE TRAFUL X  0,500</t>
  </si>
  <si>
    <t>002242</t>
  </si>
  <si>
    <t>ESMALTE POLIURETANO ALBA VERDE INGLES X 4</t>
  </si>
  <si>
    <t>002243</t>
  </si>
  <si>
    <t>ESMALTE SINTETICO TERSUAVE 2EN1 BRILLANTE AZUL X  0,500</t>
  </si>
  <si>
    <t>002244</t>
  </si>
  <si>
    <t>DISCO CORTE DOBLE A T41 MASTER ACERO 115X1,6X22,2</t>
  </si>
  <si>
    <t>002245</t>
  </si>
  <si>
    <t>ESMALTE POLIURETANO ALBA BERMELLON X 4</t>
  </si>
  <si>
    <t>002246</t>
  </si>
  <si>
    <t>ESMALTE POLIURETANO ALBA AMARILLO X  4</t>
  </si>
  <si>
    <t>002247</t>
  </si>
  <si>
    <t>ESMALTE SINTETICO TERSUAVE 2EN1 BRILLANTE TABACO X  0,500</t>
  </si>
  <si>
    <t>002248</t>
  </si>
  <si>
    <t>ESMALTE EPOXI TERSUAVE INDULAC BLANCO X  1</t>
  </si>
  <si>
    <t>002249</t>
  </si>
  <si>
    <t>PROTECTOR PARA LADRILLO TERSUAVE IMPRECOL SATINADO NATURAL X  1</t>
  </si>
  <si>
    <t>002250</t>
  </si>
  <si>
    <t>ESMALTE SINTETICO TERSUAVE 2EN1 BRILLANTE VIOLETA X 0,500</t>
  </si>
  <si>
    <t>002251</t>
  </si>
  <si>
    <t>PROTECTOR PARA LADRILLO TERSUAVE IMPRECOL SATINADO CERAMICO X  1</t>
  </si>
  <si>
    <t>002252</t>
  </si>
  <si>
    <t>IMPERMEABLIZANTE PARA TECHOS RECUPLAST FIBRADO BLANCO X  1</t>
  </si>
  <si>
    <t>002253</t>
  </si>
  <si>
    <t>IMPERMEABLIZANTE PARA TECHOS RECUPLAST FIBRADO BLANCO X  4</t>
  </si>
  <si>
    <t>002254</t>
  </si>
  <si>
    <t>IMPERMEABLIZANTE PARA TECHOS RECUPLAST FIBRADO BLANCO X 10</t>
  </si>
  <si>
    <t>002255</t>
  </si>
  <si>
    <t>IMPERMEABLIZANTE PARA TECHOS RECUPLAST FIBRADO BLANCO X 20</t>
  </si>
  <si>
    <t>002256</t>
  </si>
  <si>
    <t>ESMALTE SINTETICO TERSUAVE 2EN1 BRILLANTE AMAR.MED. X  0,500</t>
  </si>
  <si>
    <t>002257</t>
  </si>
  <si>
    <t>AEROSOL RUST-OLEUM SP PLASTICO BRILLANTE NEGRO X 0,340(272124)</t>
  </si>
  <si>
    <t>002258</t>
  </si>
  <si>
    <t>LATEX INTERIOR ALBALATEX FLEX MATE BLANCO X  4</t>
  </si>
  <si>
    <t>002259</t>
  </si>
  <si>
    <t>LATEX INTERIOR ALBALATEX FLEX MATE BLANCO X 10</t>
  </si>
  <si>
    <t>002260</t>
  </si>
  <si>
    <t>LATEX INTERIOR ALBALATEX 2EN1 MATE BLANCO X  1</t>
  </si>
  <si>
    <t>002261</t>
  </si>
  <si>
    <t>LATEX INTERIOR ALBALATEX 2EN1 MATE BLANCO X  4</t>
  </si>
  <si>
    <t>002262</t>
  </si>
  <si>
    <t>LATEX INTERIOR ALBALATEX 2EN1 MATE BLANCO X 20</t>
  </si>
  <si>
    <t>002263</t>
  </si>
  <si>
    <t>DURALBA 2EN1 BCO X  1</t>
  </si>
  <si>
    <t>002264</t>
  </si>
  <si>
    <t>DURALBA 2EN1 BCO X  4</t>
  </si>
  <si>
    <t>002265</t>
  </si>
  <si>
    <t>DURALBA 2EN1 BCO X 20</t>
  </si>
  <si>
    <t>002266</t>
  </si>
  <si>
    <t>HOJA RECTA ALUMINIO SIN FIN 8 ESC</t>
  </si>
  <si>
    <t>002267</t>
  </si>
  <si>
    <t>HOJA RECTA ALUMINIO SIN FIN 10 ESC</t>
  </si>
  <si>
    <t>002268</t>
  </si>
  <si>
    <t>HOJA RECTA ALUMINIO SIN FIN 12 ESC</t>
  </si>
  <si>
    <t>002269</t>
  </si>
  <si>
    <t>HOJA RECTA ALUMINIO SIN FIN 14 ESC</t>
  </si>
  <si>
    <t>002270</t>
  </si>
  <si>
    <t>HOJA RECTA ALUMINIO SIN FIN 16 ESC</t>
  </si>
  <si>
    <t>002271</t>
  </si>
  <si>
    <t>HOJA RECTA ALUMINIO SIN FIN 18 ESC</t>
  </si>
  <si>
    <t>002272</t>
  </si>
  <si>
    <t>HOJA RECTA ALUMINIO SIN FIN 20 ESC</t>
  </si>
  <si>
    <t>002273</t>
  </si>
  <si>
    <t>HOJA RECTA ALUMINIO SIN FIN 22 ESC</t>
  </si>
  <si>
    <t>002274</t>
  </si>
  <si>
    <t>DISCO LIJA DOBLE A MASTER PLUMA AUF8P 127X- 80</t>
  </si>
  <si>
    <t>002275</t>
  </si>
  <si>
    <t>DISCO LIJA DOBLE A MASTER PLUMA AUF8P 127X-100</t>
  </si>
  <si>
    <t>002276</t>
  </si>
  <si>
    <t>DISCO LIJA DOBLE A MASTER PLUMA AUF8P 127X-120</t>
  </si>
  <si>
    <t>002277</t>
  </si>
  <si>
    <t>DISCO LIJA DOBLE A MASTER PLUMA AUF8P 127X-150</t>
  </si>
  <si>
    <t>002278</t>
  </si>
  <si>
    <t>DISCO LIJA DOBLE A MASTER PLUMA AUF8P 127X-180</t>
  </si>
  <si>
    <t>002279</t>
  </si>
  <si>
    <t>DISCO LIJA DOBLE A MASTER PLUMA AUF8P 127X-220</t>
  </si>
  <si>
    <t>002280</t>
  </si>
  <si>
    <t>DISCO LIJA DOBLE A MASTER PLUMA AUF8P 127X-240</t>
  </si>
  <si>
    <t>002281</t>
  </si>
  <si>
    <t>DISCO LIJA DOBLE A MASTER PLUMA AUF8P 127X-280</t>
  </si>
  <si>
    <t>002282</t>
  </si>
  <si>
    <t>DISCO LIJA DOBLE A MASTER PLUMA AUF8P 127X-320</t>
  </si>
  <si>
    <t>002283</t>
  </si>
  <si>
    <t>DISCO LIJA DOBLE A MASTER PLUMA AUF8P 127X-360</t>
  </si>
  <si>
    <t>002284</t>
  </si>
  <si>
    <t>DISCO LIJA DOBLE A MASTER AUF8P 127X-400</t>
  </si>
  <si>
    <t>002285</t>
  </si>
  <si>
    <t>DISCO LIJA DOBLE A MASTER AUF8P 127X-600</t>
  </si>
  <si>
    <t>002286</t>
  </si>
  <si>
    <t>PANO DE FIBRA ABRASIVA DOBLE A ABRATEX 150X225 #100 (MARRON)</t>
  </si>
  <si>
    <t>002287</t>
  </si>
  <si>
    <t>PANO DE FIBRA ABRASIVA DOBLE A ABRATEX 150X225 #220 (MARRON)</t>
  </si>
  <si>
    <t>002288</t>
  </si>
  <si>
    <t>PANO DE FIBRA ABRASIVA DOBLE A ABRATEX 150X225 #320 (VERDE)</t>
  </si>
  <si>
    <t>002289</t>
  </si>
  <si>
    <t>PANO DE FIBRA ABRASIVA DOBLE A ABRATEX 150X225 #400 (BORDO)</t>
  </si>
  <si>
    <t>002290</t>
  </si>
  <si>
    <t>PANO DE FIBRA ABRASIVA DOBLE A ABRATEX 150X225 #600 (GRIS)</t>
  </si>
  <si>
    <t>002291</t>
  </si>
  <si>
    <t>LACA NITROSINTETICA TERSUAVE BLANCO PURO X 4</t>
  </si>
  <si>
    <t>002292</t>
  </si>
  <si>
    <t>LACA NITROSINTETICA TERSUAVE AMARILLO TAXI X 4</t>
  </si>
  <si>
    <t>002293</t>
  </si>
  <si>
    <t>LACA NITROSINTETICA TERSUAVE NARANJA ESC.X 4</t>
  </si>
  <si>
    <t>002294</t>
  </si>
  <si>
    <t>LACA NITROSINTETICA TERSUAVE NEGRO AZABACHE X 4</t>
  </si>
  <si>
    <t>002295</t>
  </si>
  <si>
    <t>LACA NITROSINTETICA TERSUAVE NEGRO SATINADO X 4</t>
  </si>
  <si>
    <t>002296</t>
  </si>
  <si>
    <t>LACA NITROSINTETICA TERSUAVE ALUMINIO PARA LLANTAS X 4</t>
  </si>
  <si>
    <t>002297</t>
  </si>
  <si>
    <t>MARBLE FINO BCO X 6</t>
  </si>
  <si>
    <t>002298</t>
  </si>
  <si>
    <t>MARBLE FINO BCO X 30</t>
  </si>
  <si>
    <t>002299</t>
  </si>
  <si>
    <t>REVOQUE FINO FLEXIBLE BASE FD X 25</t>
  </si>
  <si>
    <t>002300</t>
  </si>
  <si>
    <t>ESMALTE SINTETICO PARA PIZARRON TERSUAVE MATE VERDE X 1</t>
  </si>
  <si>
    <t>002301</t>
  </si>
  <si>
    <t>ESMALTE SINTETICO TERSUAVE 2EN1 BRILLANTE BLANCO X  1</t>
  </si>
  <si>
    <t>002302</t>
  </si>
  <si>
    <t>ESMALTE SINTETICO TERSUAVE 2EN1 BRILLANTE BERMELLON X  1</t>
  </si>
  <si>
    <t>002303</t>
  </si>
  <si>
    <t>ESMALTE SINTETICO TERSUAVE 2EN1 BRILLANTE NARANJA X  1</t>
  </si>
  <si>
    <t>002304</t>
  </si>
  <si>
    <t>ESMALTE SINTETICO TERSUAVE 2EN1 BRILLANTE AMARILLO X  1</t>
  </si>
  <si>
    <t>002305</t>
  </si>
  <si>
    <t>FONDO PARA MADERA TERSUAVE BLANCO X  1</t>
  </si>
  <si>
    <t>002306</t>
  </si>
  <si>
    <t>BARNIZ MARINO PARA MADERA TERSUAVE BRILLANTE X  1</t>
  </si>
  <si>
    <t>002307</t>
  </si>
  <si>
    <t>ESMALTE SINTETICO TERSUAVE ALTA TEMPERATURA ALUMINIO X 1</t>
  </si>
  <si>
    <t>002308</t>
  </si>
  <si>
    <t>ESMALTE SINTETICO TERSUAVE ALTA TEMPERATURA NEGRO X 1</t>
  </si>
  <si>
    <t>002309</t>
  </si>
  <si>
    <t>ESMALTE SINTETICO TERSUAVE 2EN1 BRILLANTE BEIGE X  1</t>
  </si>
  <si>
    <t>002310</t>
  </si>
  <si>
    <t>ESMALTE SINTETICO PARA PIZARRON TERSUAVE MATE NEGRO X 1</t>
  </si>
  <si>
    <t>002311</t>
  </si>
  <si>
    <t>ESMALTE SINTETICO TERSUAVE ALTA TEMPERATURA BLANCO X 1</t>
  </si>
  <si>
    <t>002312</t>
  </si>
  <si>
    <t>DEMARCACION VIAL TERSUAVE BLANCO X  4</t>
  </si>
  <si>
    <t>002313</t>
  </si>
  <si>
    <t>ESMALTE SINTETICO TERSUAVE 2EN1 BRILLANTE CEDRO X  1</t>
  </si>
  <si>
    <t>002314</t>
  </si>
  <si>
    <t>MARBLE FINO BASE TA X 30</t>
  </si>
  <si>
    <t>002315</t>
  </si>
  <si>
    <t>ESMALTE SINTETICO TERSUAVE 2EN1 BRILLANTE NEGRO X  1</t>
  </si>
  <si>
    <t>002316</t>
  </si>
  <si>
    <t>ESMALTE SINTETICO TERSUAVE 2EN1 BRILLANTE ORO X 1</t>
  </si>
  <si>
    <t>002317</t>
  </si>
  <si>
    <t>ESMALTE SINTETICO TERSUAVE 2EN1 BRILLANTE ALUMINIO X  1</t>
  </si>
  <si>
    <t>002318</t>
  </si>
  <si>
    <t>ESMALTE SINTETICO TERSUAVE 2EN1 BRILLANTE MARRON X  1</t>
  </si>
  <si>
    <t>002319</t>
  </si>
  <si>
    <t>ESMALTE SINTETICO TERSUAVE 2EN1 BRILLANTE VERDE CLARO X  1</t>
  </si>
  <si>
    <t>002320</t>
  </si>
  <si>
    <t>ESMALTE SINTETICO TERSUAVE 2EN1 BRILLANTE GRIS OSCURO X  1</t>
  </si>
  <si>
    <t>002321</t>
  </si>
  <si>
    <t>DISCO CORTE DOBLE A T41 MASTER ACERO 115X1,0X22,2</t>
  </si>
  <si>
    <t>002322</t>
  </si>
  <si>
    <t>DISCO DESBASTE DOBLE A T27 MASTER ACERO 115X6,4X22,2</t>
  </si>
  <si>
    <t>002323</t>
  </si>
  <si>
    <t>ESMALTE SINTETICO TERSUAVE 2EN1 BRILLANTE CELESTE X  1</t>
  </si>
  <si>
    <t>002324</t>
  </si>
  <si>
    <t>ESMALTE SINTETICO TERSUAVE 2EN1 BRILLANTE MARFIL SEDA X  1</t>
  </si>
  <si>
    <t>002325</t>
  </si>
  <si>
    <t>DISCO DESBASTE DOBLE A T27 MASTER ACERO 180X6,4X22,2</t>
  </si>
  <si>
    <t>002326</t>
  </si>
  <si>
    <t>ESMALTE SINTETICO TERSUAVE 2EN1 BRILLANTE GRIS ESPACIAL X  1</t>
  </si>
  <si>
    <t>002327</t>
  </si>
  <si>
    <t>FILM PARA AUTOMOTOR/OBRA RAPIFIX 4000MMX100M (795)</t>
  </si>
  <si>
    <t>002328</t>
  </si>
  <si>
    <t>ESMALTE SINTETICO TERSUAVE 2EN1 BRILLANTE GRIS PERLA X  1</t>
  </si>
  <si>
    <t>002329</t>
  </si>
  <si>
    <t>ESMALTE SINTETICO TERSUAVE 2EN1 BRILLANTE GRIS HIELO X  1</t>
  </si>
  <si>
    <t>002330</t>
  </si>
  <si>
    <t>ESMALTE SINTETICO TERSUAVE 2EN1 BRILLANTE VERDE INGLES X  1</t>
  </si>
  <si>
    <t>002331</t>
  </si>
  <si>
    <t>ESMALTE EPOXI TERSUAVE INDULAC NEGRO X  4</t>
  </si>
  <si>
    <t>002332</t>
  </si>
  <si>
    <t>ESMALTE SINTETICO TERSUAVE 2EN1 BRILLANTE AZULEJO X  1</t>
  </si>
  <si>
    <t>002333</t>
  </si>
  <si>
    <t>ESMALTE SINTETICO TERSUAVE 2EN1 BRILLANTE MARFIL CHAMPAGNE X  1</t>
  </si>
  <si>
    <t>002334</t>
  </si>
  <si>
    <t>ESMALTE SINTETICO TERSUAVE 2EN1 BRILLANTE VERDE ILUSION X  1</t>
  </si>
  <si>
    <t>002335</t>
  </si>
  <si>
    <t>FONDO EPOXI TERSUAVE INDULAC ANTICORROSIVO AMARILLO X  4</t>
  </si>
  <si>
    <t>002336</t>
  </si>
  <si>
    <t>ESMALTE SINTETICO TERSUAVE 2EN1 BRILLANTE CREMA X  1</t>
  </si>
  <si>
    <t>002337</t>
  </si>
  <si>
    <t>ESMALTE SINTETICO TERSUAVE 2EN1 BRILLANTE CASTANO X  1</t>
  </si>
  <si>
    <t>002338</t>
  </si>
  <si>
    <t>ESMALTE SINTETICO TERSUAVE 2EN1 BRILLANTE VERDE NOCHE X  1</t>
  </si>
  <si>
    <t>002339</t>
  </si>
  <si>
    <t>CINTA  AUTOMOTOR RAPIFIX AMARILLO (590) 18MM</t>
  </si>
  <si>
    <t>002340</t>
  </si>
  <si>
    <t>CINTA  AUTOMOTOR RAPIFIX AMARILLO (590) 48MM</t>
  </si>
  <si>
    <t>002341</t>
  </si>
  <si>
    <t>ESMALTE SINTETICO TERSUAVE 2EN1 BRILLANTE TRAFUL X  1</t>
  </si>
  <si>
    <t>002342</t>
  </si>
  <si>
    <t>ESMALTE EPOXI TERSUAVE INDULAC VERDE CLARO X  4</t>
  </si>
  <si>
    <t>002343</t>
  </si>
  <si>
    <t>ESMALTE SINTETICO TERSUAVE 2EN1 BRILLANTE AZUL X  1</t>
  </si>
  <si>
    <t>002344</t>
  </si>
  <si>
    <t>DISCO CORTE DOBLE A T41 ULTRA ACERO 180X1,6X22,2</t>
  </si>
  <si>
    <t>002345</t>
  </si>
  <si>
    <t>ESMALTE EPOXI TERSUAVE INDULAC AMARILLO X  4</t>
  </si>
  <si>
    <t>002346</t>
  </si>
  <si>
    <t>DEMARCACION VIAL TERSUAVE AMARILLO X  4</t>
  </si>
  <si>
    <t>002347</t>
  </si>
  <si>
    <t>ESMALTE SINTETICO TERSUAVE 2EN1 BRILLANTE TABACO X  1</t>
  </si>
  <si>
    <t>002348</t>
  </si>
  <si>
    <t>ESMALTE EPOXI TERSUAVE INDULAC BLANCO X  4</t>
  </si>
  <si>
    <t>002349</t>
  </si>
  <si>
    <t>PROTECTOR PARA LADRILLO TERSUAVE IMPRECOL SATINADO NATURAL X  4</t>
  </si>
  <si>
    <t>002350</t>
  </si>
  <si>
    <t>ESMALTE SINTETICO TERSUAVE 2EN1 BRILLANTE VIOLETA X 1</t>
  </si>
  <si>
    <t>002351</t>
  </si>
  <si>
    <t>PROTECTOR PARA LADRILLO TERSUAVE IMPRECOL SATINADO CERAMICO X  4</t>
  </si>
  <si>
    <t>002352</t>
  </si>
  <si>
    <t>ESMALTE AL AGUA ALBALUX BRILLANTE BASE MF X 0,900</t>
  </si>
  <si>
    <t>002353</t>
  </si>
  <si>
    <t>ESMALTE AL AGUA ALBALUX BRILLANTE BASE MF X 3,600</t>
  </si>
  <si>
    <t>002354</t>
  </si>
  <si>
    <t>ESMALTE AL AGUA ALBALUX BRILLANTE BASE T X 0,900</t>
  </si>
  <si>
    <t>002355</t>
  </si>
  <si>
    <t>ESMALTE AL AGUA ALBALUX BRILLANTE BASE T X 3,600</t>
  </si>
  <si>
    <t>002356</t>
  </si>
  <si>
    <t>ESMALTE SINTETICO TERSUAVE 2EN1 BRILLANTE AMAR.MED. X  1</t>
  </si>
  <si>
    <t>002357</t>
  </si>
  <si>
    <t>PROTECTOR PARA LADRILLO RECUBRICK AL AGUA INCOLORO X  1</t>
  </si>
  <si>
    <t>002358</t>
  </si>
  <si>
    <t>PROTECTOR PARA LADRILLO RECUBRICK AL AGUA INCOLORO X  4</t>
  </si>
  <si>
    <t>002359</t>
  </si>
  <si>
    <t>PROTECTOR PARA LADRILLO RECUBRICK AL AGUA INCOLORO X 10</t>
  </si>
  <si>
    <t>002360</t>
  </si>
  <si>
    <t>PROTECTOR PARA LADRILLO RECUBRICK AL AGUA INCOLORO X 20</t>
  </si>
  <si>
    <t>002361</t>
  </si>
  <si>
    <t>LIJA AL AGUA CS RAPIFIX #   60</t>
  </si>
  <si>
    <t>002362</t>
  </si>
  <si>
    <t>LIJA AL AGUA CS RAPIFIX #   80</t>
  </si>
  <si>
    <t>002363</t>
  </si>
  <si>
    <t>LIJA AL AGUA CS RAPIFIX #  100</t>
  </si>
  <si>
    <t>002364</t>
  </si>
  <si>
    <t>LIJA AL AGUA CS RAPIFIX #  120</t>
  </si>
  <si>
    <t>002365</t>
  </si>
  <si>
    <t>LIJA AL AGUA CS RAPIFIX #  150</t>
  </si>
  <si>
    <t>002366</t>
  </si>
  <si>
    <t>LIJA AL AGUA CS RAPIFIX #  180</t>
  </si>
  <si>
    <t>002367</t>
  </si>
  <si>
    <t>LIJA AL AGUA CS RAPIFIX #  220</t>
  </si>
  <si>
    <t>002368</t>
  </si>
  <si>
    <t>LIJA AL AGUA CS RAPIFIX #  240</t>
  </si>
  <si>
    <t>002369</t>
  </si>
  <si>
    <t>LIJA AL AGUA CS RAPIFIX #  320</t>
  </si>
  <si>
    <t>002370</t>
  </si>
  <si>
    <t>LIJA AL AGUA CS RAPIFIX #  360</t>
  </si>
  <si>
    <t>002371</t>
  </si>
  <si>
    <t>LIJA AL AGUA CS RAPIFIX #  400</t>
  </si>
  <si>
    <t>002372</t>
  </si>
  <si>
    <t>LIJA AL AGUA CS RAPIFIX #  600</t>
  </si>
  <si>
    <t>002373</t>
  </si>
  <si>
    <t>LIJA AL AGUA CS RAPIFIX # 1000</t>
  </si>
  <si>
    <t>002374</t>
  </si>
  <si>
    <t>LIJA AL AGUA CS RAPIFIX # 1500</t>
  </si>
  <si>
    <t>002375</t>
  </si>
  <si>
    <t>LIJA AL AGUA CS RAPIFIX # 2000</t>
  </si>
  <si>
    <t>002376</t>
  </si>
  <si>
    <t>LIJA AL AGUA CS RAPIFIX # 2500</t>
  </si>
  <si>
    <t>002377</t>
  </si>
  <si>
    <t>REVESTIMIENTO TEXTURADO RECUPLAST AGRESTE FINO BLANCO X  6</t>
  </si>
  <si>
    <t>002378</t>
  </si>
  <si>
    <t>REVESTIMIENTO TEXTURADO RECUPLAST AGRESTE FINO BLANCO X 25</t>
  </si>
  <si>
    <t>002379</t>
  </si>
  <si>
    <t>REVESTIMIENTO TEXTURADO RECUPLAST AGRESTE MEDIO BLANCO X  6</t>
  </si>
  <si>
    <t>002380</t>
  </si>
  <si>
    <t>REVESTIMIENTO TEXTURADO RECUPLAST AGRESTE MEDIO BLANCO X 25</t>
  </si>
  <si>
    <t>002381</t>
  </si>
  <si>
    <t>REVESTIMIENTO TEXTURADO RECUPLAST AGRESTE GRUESO BLANCO X  6</t>
  </si>
  <si>
    <t>002382</t>
  </si>
  <si>
    <t>REVESTIMIENTO TEXTURADO RECUPLAST AGRESTE GRUESO BLANCO X 25</t>
  </si>
  <si>
    <t>002383</t>
  </si>
  <si>
    <t>SELLADOR MULTIUSO PLAVICON SELLADOR PRO GRIS ACERO X  0,350</t>
  </si>
  <si>
    <t>002384</t>
  </si>
  <si>
    <t>SELLADOR MULTIUSO PLAVICON SELLADOR PRO GRIS ACERO X  0,450</t>
  </si>
  <si>
    <t>002385</t>
  </si>
  <si>
    <t>SELLADOR MULTIUSO PLAVICON SELLADOR PRO GRIS ACERO X  1</t>
  </si>
  <si>
    <t>002386</t>
  </si>
  <si>
    <t>SELLADOR MULTIUSO PLAVICON SELLADOR PRO GRIS ACERO X  5</t>
  </si>
  <si>
    <t>002387</t>
  </si>
  <si>
    <t>SELLADOR MULTIUSO PLAVICON SELLADOR PRO GRIS ACERO X 25</t>
  </si>
  <si>
    <t>002388</t>
  </si>
  <si>
    <t>SELLADOR MULTIUSO PLAVICON SELLADOR PRO ROJO CERAMICO X  0,350</t>
  </si>
  <si>
    <t>002389</t>
  </si>
  <si>
    <t>SELLADOR MULTIUSO PLAVICON SELLADOR PRO ROJO CERAMICO X  0,450</t>
  </si>
  <si>
    <t>002390</t>
  </si>
  <si>
    <t>SELLADOR MULTIUSO PLAVICON SELLADOR PRO ROJO CERAMICO X  1</t>
  </si>
  <si>
    <t>002391</t>
  </si>
  <si>
    <t>SELLADOR MULTIUSO PLAVICON SELLADOR PRO ROJO CERAMICO X  5</t>
  </si>
  <si>
    <t>002392</t>
  </si>
  <si>
    <t>SELLADOR MULTIUSO PLAVICON SELLADOR PRO ROJO CERAMICO X 25</t>
  </si>
  <si>
    <t>002393</t>
  </si>
  <si>
    <t>BLOQUEADOR HIDROESTATICO DE CIMIENTOS PLAVICON INCOLORO X  1</t>
  </si>
  <si>
    <t>002394</t>
  </si>
  <si>
    <t>BLOQUEADOR HIDROESTATICO DE CIMIENTOS PLAVICON INCOLORO X  5</t>
  </si>
  <si>
    <t>002395</t>
  </si>
  <si>
    <t>BLOQUEADOR HIDROESTATICO DE CIMIENTOS PLAVICON INCOLORO X 10</t>
  </si>
  <si>
    <t>002396</t>
  </si>
  <si>
    <t>ESPATULA PINTOR SANTA JUANA CABO PLASTICO 30</t>
  </si>
  <si>
    <t>002397</t>
  </si>
  <si>
    <t>ESPATULA PINTOR SANTA JUANA CABO PLASTICO 40</t>
  </si>
  <si>
    <t>002398</t>
  </si>
  <si>
    <t>ESPATULA PINTOR SANTA JUANA CABO PLASTICO 50</t>
  </si>
  <si>
    <t>002399</t>
  </si>
  <si>
    <t>ESPATULA PINTOR SANTA JUANA CABO PLASTICO 60</t>
  </si>
  <si>
    <t>002400</t>
  </si>
  <si>
    <t>ZM-400 ROJO</t>
  </si>
  <si>
    <t>002401</t>
  </si>
  <si>
    <t>ZM-401 B BLANCA PU ACRILICO</t>
  </si>
  <si>
    <t>002402</t>
  </si>
  <si>
    <t>ZM-402 NARANJA</t>
  </si>
  <si>
    <t>002403</t>
  </si>
  <si>
    <t>ZM-403 ROJO OXIDO</t>
  </si>
  <si>
    <t>002404</t>
  </si>
  <si>
    <t>ZM-404 ROJO BRILL</t>
  </si>
  <si>
    <t>002405</t>
  </si>
  <si>
    <t>ZM-405 RUBI</t>
  </si>
  <si>
    <t>002406</t>
  </si>
  <si>
    <t>ZM-406 VIOLETA</t>
  </si>
  <si>
    <t>002407</t>
  </si>
  <si>
    <t>ZM-407 AMARILLO CROMO CLARO</t>
  </si>
  <si>
    <t>002408</t>
  </si>
  <si>
    <t>ZM-408 AMARILLO CROMO</t>
  </si>
  <si>
    <t>002409</t>
  </si>
  <si>
    <t>ZM-409 MATEANTE</t>
  </si>
  <si>
    <t>002410</t>
  </si>
  <si>
    <t>ZM-410 AMARILLO OXIDO</t>
  </si>
  <si>
    <t>002411</t>
  </si>
  <si>
    <t>ZM-411 NEGRO</t>
  </si>
  <si>
    <t>002412</t>
  </si>
  <si>
    <t>DEMARCACION VIAL TERSUAVE BLANCO X 20</t>
  </si>
  <si>
    <t>002413</t>
  </si>
  <si>
    <t>ZM-413 VERDE MEDIO</t>
  </si>
  <si>
    <t>002414</t>
  </si>
  <si>
    <t>ZM-414 VERDE OBSCURO</t>
  </si>
  <si>
    <t>002415</t>
  </si>
  <si>
    <t>ZM-415 AZUL</t>
  </si>
  <si>
    <t>002416</t>
  </si>
  <si>
    <t>ZM-416 AZUL NOCHE</t>
  </si>
  <si>
    <t>002417</t>
  </si>
  <si>
    <t>ZM-417 BCO</t>
  </si>
  <si>
    <t>002418</t>
  </si>
  <si>
    <t>ZM-418 B BLANCA SINTETICO ER</t>
  </si>
  <si>
    <t>002419</t>
  </si>
  <si>
    <t>DEMARCACION VIAL TERSUAVE AZUL X 20</t>
  </si>
  <si>
    <t>002420</t>
  </si>
  <si>
    <t>DISCO CORTE DOBLE A T41 ULTRA ACERO 230X2X22,2</t>
  </si>
  <si>
    <t>002421</t>
  </si>
  <si>
    <t>ZM-421 NEGRO BAJO TINTING</t>
  </si>
  <si>
    <t>002422</t>
  </si>
  <si>
    <t>ZM-422 AZUL BAJO TINTING</t>
  </si>
  <si>
    <t>002423</t>
  </si>
  <si>
    <t>ZM-423 AMARILLO BAJO TINTING</t>
  </si>
  <si>
    <t>002424</t>
  </si>
  <si>
    <t>ZM-424 ROJO BAJO TINTING</t>
  </si>
  <si>
    <t>002425</t>
  </si>
  <si>
    <t>ZM-425 NARANJA SINTETICO</t>
  </si>
  <si>
    <t>002426</t>
  </si>
  <si>
    <t>ZM-426 ROSA</t>
  </si>
  <si>
    <t>002427</t>
  </si>
  <si>
    <t>ZM-427 AMARILLO CLARO</t>
  </si>
  <si>
    <t>002428</t>
  </si>
  <si>
    <t>ZM-428 AMARILLO</t>
  </si>
  <si>
    <t>002429</t>
  </si>
  <si>
    <t>BLOQUEADOR HIDROESTATICO DE CIMIENTOS PLAVICON INCOLORO X 20</t>
  </si>
  <si>
    <t>002430</t>
  </si>
  <si>
    <t>DEMARCACION VIAL TERSUAVE COLOREADO VERDE X 20</t>
  </si>
  <si>
    <t>002431</t>
  </si>
  <si>
    <t>ESMALTE EPOXI TERSUAVE INDULAC NEGRO X 20</t>
  </si>
  <si>
    <t>002432</t>
  </si>
  <si>
    <t>MARBLE FINO BASE RV X 30</t>
  </si>
  <si>
    <t>002433</t>
  </si>
  <si>
    <t>ESMALTE POLIURETANO TERSUAVE COLOREADO BERMELLON X 20</t>
  </si>
  <si>
    <t>002434</t>
  </si>
  <si>
    <t>ZM-434 CLEAR PU ACRILICO</t>
  </si>
  <si>
    <t>002435</t>
  </si>
  <si>
    <t>FONDO EPOXI TERSUAVE INDULAC ANTICORROSIVO AMARILLO X 20</t>
  </si>
  <si>
    <t>002436</t>
  </si>
  <si>
    <t>ZM-436 CLEAR SINTETICO ER</t>
  </si>
  <si>
    <t>002437</t>
  </si>
  <si>
    <t>BARNIZ PARA MADERA TERSUAVE ACUOSO BRILLANTE X 1</t>
  </si>
  <si>
    <t>002438</t>
  </si>
  <si>
    <t>BARNIZ PARA MADERA TERSUAVE ACUOSO BRILLANTE X 4</t>
  </si>
  <si>
    <t>002439</t>
  </si>
  <si>
    <t>ZM-439 CLEAR NITRO</t>
  </si>
  <si>
    <t>002440</t>
  </si>
  <si>
    <t>ZM-440 CLEAR POLIESTER</t>
  </si>
  <si>
    <t>002441</t>
  </si>
  <si>
    <t>CINTA POLI DOBLE A TRANSPARENTE (293) 24MM X 50MTS.</t>
  </si>
  <si>
    <t>002442</t>
  </si>
  <si>
    <t>ESMALTE EPOXI TERSUAVE INDULAC VERDE CLARO X 20</t>
  </si>
  <si>
    <t>002443</t>
  </si>
  <si>
    <t>CINTA POLI DOBLE A TRANSPARENTE (293) 36MM X 50MTS.</t>
  </si>
  <si>
    <t>002444</t>
  </si>
  <si>
    <t>ZM-444 CLEAR EPOXI</t>
  </si>
  <si>
    <t>002445</t>
  </si>
  <si>
    <t>ESMALTE EPOXI TERSUAVE INDULAC AMARILLO X 20</t>
  </si>
  <si>
    <t>002446</t>
  </si>
  <si>
    <t>DEMARCACION VIAL TERSUAVE AMARILLO X 20</t>
  </si>
  <si>
    <t>002447</t>
  </si>
  <si>
    <t>DISCO CORTE DOBLE A T42 MASTER ACERO 115X3,0X22,2</t>
  </si>
  <si>
    <t>002448</t>
  </si>
  <si>
    <t>ESMALTE EPOXI TERSUAVE INDULAC BLANCO X 20</t>
  </si>
  <si>
    <t>002449</t>
  </si>
  <si>
    <t>PROTECTOR PARA LADRILLO TERSUAVE IMPRECOL SATINADO NATURAL X 20</t>
  </si>
  <si>
    <t>002450</t>
  </si>
  <si>
    <t>DISCO DESBASTE DOBLE A T27 MASTER ACERO 230X6,4X22,2</t>
  </si>
  <si>
    <t>002451</t>
  </si>
  <si>
    <t>PROTECTOR PARA LADRILLO TERSUAVE IMPRECOL SATINADO CERAMICO X 20</t>
  </si>
  <si>
    <t>002452</t>
  </si>
  <si>
    <t>DISCO DIAMANTADO DOBLE A MASTER 230X22,23 SEG</t>
  </si>
  <si>
    <t>002453</t>
  </si>
  <si>
    <t>DISCO DIAMANTADO DOBLE A MASTER 230X22,23 TURBO</t>
  </si>
  <si>
    <t>002454</t>
  </si>
  <si>
    <t>ESPATULA PARA ENDUIR SANTA JUANA CABO PLASTICO 100</t>
  </si>
  <si>
    <t>002455</t>
  </si>
  <si>
    <t>ESPATULA PARA ENDUIR SANTA JUANA CABO PLASTICO 120</t>
  </si>
  <si>
    <t>002456</t>
  </si>
  <si>
    <t>ESPATULA PARA ENDUIR SANTA JUANA CABO PLASTICO 140</t>
  </si>
  <si>
    <t>002457</t>
  </si>
  <si>
    <t>ESPATULA PARA ENDUIR SANTA JUANA CABO PLASTICO 160</t>
  </si>
  <si>
    <t>002458</t>
  </si>
  <si>
    <t>ESPATULA PARA ENDUIR SANTA JUANA CABO PLASTICO 180</t>
  </si>
  <si>
    <t>002459</t>
  </si>
  <si>
    <t>FRATACHO LIJADOR SANTA JUANA CABO PLASTICO</t>
  </si>
  <si>
    <t>002460</t>
  </si>
  <si>
    <t>ZM-460 SOLUCION DE SECANTE</t>
  </si>
  <si>
    <t>002461</t>
  </si>
  <si>
    <t>DISCO LIJA DOBLE A MASTER AUF6P  80</t>
  </si>
  <si>
    <t>002462</t>
  </si>
  <si>
    <t>DISCO LIJA DOBLE A MASTER AUF6P 100</t>
  </si>
  <si>
    <t>002463</t>
  </si>
  <si>
    <t>DISCO LIJA DOBLE A MASTER AUF6P 120</t>
  </si>
  <si>
    <t>002464</t>
  </si>
  <si>
    <t>DISCO LIJA DOBLE A MASTER AUF6P 150</t>
  </si>
  <si>
    <t>002465</t>
  </si>
  <si>
    <t>DISCO LIJA DOBLE A MASTER AUF6P 180</t>
  </si>
  <si>
    <t>002466</t>
  </si>
  <si>
    <t>DISCO LIJA DOBLE A MASTER AUF6P 220</t>
  </si>
  <si>
    <t>002467</t>
  </si>
  <si>
    <t>DISCO LIJA DOBLE A MASTER AUF6P 240</t>
  </si>
  <si>
    <t>002468</t>
  </si>
  <si>
    <t>DISCO LIJA DOBLE A MASTER AUF6P 280</t>
  </si>
  <si>
    <t>002469</t>
  </si>
  <si>
    <t>DISCO LIJA DOBLE A MASTER AUF6P 320</t>
  </si>
  <si>
    <t>002470</t>
  </si>
  <si>
    <t>DISCO LIJA DOBLE A MASTER AUF6P 360</t>
  </si>
  <si>
    <t>002471</t>
  </si>
  <si>
    <t>DISCO LIJA DOBLE A MASTER AUF6P 400</t>
  </si>
  <si>
    <t>002472</t>
  </si>
  <si>
    <t>DISCO LIJA DOBLE A MASTER AUF6P 600</t>
  </si>
  <si>
    <t>002473</t>
  </si>
  <si>
    <t>PINTURA ASFALTICA MACA P EMAPI SECADO RAPIDO X  1</t>
  </si>
  <si>
    <t>002474</t>
  </si>
  <si>
    <t>PINTURA ASFALTICA MACA P EMAPI SECADO RAPIDO X  4</t>
  </si>
  <si>
    <t>002475</t>
  </si>
  <si>
    <t>PINTURA ASFALTICA MACA P EMAPI SECADO RAPIDO X 18</t>
  </si>
  <si>
    <t>002476</t>
  </si>
  <si>
    <t>PINTURA ASFALTICA SOLVENTE SUPERFLEX X 200</t>
  </si>
  <si>
    <t>002477</t>
  </si>
  <si>
    <t>LIJA DE BANDA TELA FENOBOND DOBLE A 120X7200 # 80</t>
  </si>
  <si>
    <t>002478</t>
  </si>
  <si>
    <t>LIJA DE BANDA TELA FENOBOND DOBLE A 120X7200 #100</t>
  </si>
  <si>
    <t>002479</t>
  </si>
  <si>
    <t>LIJA DE BANDA TELA FENOBOND DOBLE A 120X7200 #120</t>
  </si>
  <si>
    <t>002480</t>
  </si>
  <si>
    <t>LATEX EXTERIOR TERSUAVE LAVABLE BLANCO X  1</t>
  </si>
  <si>
    <t>002481</t>
  </si>
  <si>
    <t>LATEX EXTERIOR TERSUAVE LAVABLE AMARILLO X  1</t>
  </si>
  <si>
    <t>002482</t>
  </si>
  <si>
    <t>LATEX EXTERIOR TERSUAVE LAVABLE AZUL CIELO X  1</t>
  </si>
  <si>
    <t>002483</t>
  </si>
  <si>
    <t>LATEX EXTERIOR TERSUAVE LAVABLE AZUL TRAFUL X  1</t>
  </si>
  <si>
    <t>002484</t>
  </si>
  <si>
    <t>LATEX EXTERIOR TERSUAVE LAVABLE BERMELLON X  1</t>
  </si>
  <si>
    <t>002485</t>
  </si>
  <si>
    <t>LATEX EXTERIOR TERSUAVE LAVABLE CHOCOLATE X  1</t>
  </si>
  <si>
    <t>002486</t>
  </si>
  <si>
    <t>LATEX EXTERIOR TERSUAVE LAVABLE GRIS ACERO X  1</t>
  </si>
  <si>
    <t>002487</t>
  </si>
  <si>
    <t>LATEX EXTERIOR TERSUAVE LAVABLE GRIS CEMENTO X  1</t>
  </si>
  <si>
    <t>002488</t>
  </si>
  <si>
    <t>LATEX EXTERIOR TERSUAVE LAVABLE MARRON AFRICANO X  1</t>
  </si>
  <si>
    <t>002489</t>
  </si>
  <si>
    <t>LATEX EXTERIOR TERSUAVE LAVABLE NEGRO EBANO X  1</t>
  </si>
  <si>
    <t>002490</t>
  </si>
  <si>
    <t>LATEX EXTERIOR TERSUAVE LAVABLE OCRE X  1</t>
  </si>
  <si>
    <t>002491</t>
  </si>
  <si>
    <t>LATEX EXTERIOR TERSUAVE LAVABLE ROJO BORGOGNA X  1</t>
  </si>
  <si>
    <t>002492</t>
  </si>
  <si>
    <t>LATEX EXTERIOR TERSUAVE LAVABLE ROJO TEJA X  1</t>
  </si>
  <si>
    <t>002493</t>
  </si>
  <si>
    <t>LATEX EXTERIOR TERSUAVE LAVABLE ROSA VIEJO X  1</t>
  </si>
  <si>
    <t>002494</t>
  </si>
  <si>
    <t>LATEX EXTERIOR TERSUAVE LAVABLE VERDE FORESTA X  1</t>
  </si>
  <si>
    <t>002495</t>
  </si>
  <si>
    <t>LATEX EXTERIOR TERSUAVE LAVABLE VERDE SAFARI X  1</t>
  </si>
  <si>
    <t>002496</t>
  </si>
  <si>
    <t>LATEX EXTERIOR TERSUAVE LAVABLE VIOLETA DEL SUR X  1</t>
  </si>
  <si>
    <t>002497</t>
  </si>
  <si>
    <t>IMPERMEABLIZANTE PARA TECHOS RECUPLAST TECHOS VERDE INGLES X  1,200</t>
  </si>
  <si>
    <t>002498</t>
  </si>
  <si>
    <t>IMPERMEABLIZANTE PARA TECHOS RECUPLAST TECHOS VERDE INGLES X  5</t>
  </si>
  <si>
    <t>002499</t>
  </si>
  <si>
    <t>IMPERMEABLIZANTE PARA TECHOS RECUPLAST TECHOS VERDE INGLES X 20</t>
  </si>
  <si>
    <t>002500</t>
  </si>
  <si>
    <t>REVESTIMIENTO TEXTURADO TERPLAST REVOQUE PLASTICO BLANCO X  5</t>
  </si>
  <si>
    <t>002501</t>
  </si>
  <si>
    <t>MEMBRANA ASFALTICA EMAPI W450 AL MAX 40KG</t>
  </si>
  <si>
    <t>002502</t>
  </si>
  <si>
    <t>ESMALTE SINTETICO TERSUAVE FERRO MICACEO PLATA INCAICA X 0,750</t>
  </si>
  <si>
    <t>002503</t>
  </si>
  <si>
    <t>ESMALTE SINTETICO TERSUAVE FERRO MICACEO GRAFITO X 0,750</t>
  </si>
  <si>
    <t>002504</t>
  </si>
  <si>
    <t>PINTURA PARA PILETA SINTEPLAST PISCINA P/PLASTICO CELESTE X  1</t>
  </si>
  <si>
    <t>002505</t>
  </si>
  <si>
    <t>PINTURA PARA PILETA SINTEPLAST PISCINA P/PLASTICO CELESTE X  4</t>
  </si>
  <si>
    <t>002506</t>
  </si>
  <si>
    <t>DILUYENTE MULTIUSO SINTEPLAST X 1</t>
  </si>
  <si>
    <t>002507</t>
  </si>
  <si>
    <t>PINTURA PARA PILETA SINTEPLAST PISCINA P/PLASTICO CELESTE X 10</t>
  </si>
  <si>
    <t>002508</t>
  </si>
  <si>
    <t>ESMALTE AL AGUA SATINOL SATINADO BASE MF X 0,900</t>
  </si>
  <si>
    <t>002509</t>
  </si>
  <si>
    <t>ESMALTE AL AGUA SATINOL SATINADO BASE MF X 3,600</t>
  </si>
  <si>
    <t>002510</t>
  </si>
  <si>
    <t>ESMALTE AL AGUA SATINOL SATINADO BASE T X 0,900</t>
  </si>
  <si>
    <t>002511</t>
  </si>
  <si>
    <t>ESMALTE AL AGUA SATINOL SATINADO BASE T X 3,600</t>
  </si>
  <si>
    <t>002512</t>
  </si>
  <si>
    <t>ESMALTE SINTETICO TERSUAVE FERRO MICACEO PLATA INCAICA X 2,500</t>
  </si>
  <si>
    <t>002513</t>
  </si>
  <si>
    <t>ESMALTE SINTETICO TERSUAVE FERRO MICACEO GRAFITO X 2,500</t>
  </si>
  <si>
    <t>002514</t>
  </si>
  <si>
    <t>REVESTIMIENTO TEXTURADO RECUPLAST TEXTURA FINA BASE ACCENT X  5</t>
  </si>
  <si>
    <t>002515</t>
  </si>
  <si>
    <t>PINTURA PARA PILETA SINTEPLAST PISCINA P/PLASTICO AZUL PROFUNDO X  1</t>
  </si>
  <si>
    <t>002516</t>
  </si>
  <si>
    <t>PINTURA PARA PILETA SINTEPLAST PISCINA P/PLASTICO AZUL PROFUNDO X  4</t>
  </si>
  <si>
    <t>002517</t>
  </si>
  <si>
    <t>PINTURA PARA PILETA SINTEPLAST PISCINA P/PLASTICO AZUL PROFUNDO X 10</t>
  </si>
  <si>
    <t>002518</t>
  </si>
  <si>
    <t>REVESTIMIENTO TEXTURADO RECUPLAST TEXTURA FINA BASE ACCENT X 25</t>
  </si>
  <si>
    <t>002519</t>
  </si>
  <si>
    <t>REVESTIMIENTO TEXTURADO RECUPLAST TEXTURA FINA BLANCO X  5</t>
  </si>
  <si>
    <t>002520</t>
  </si>
  <si>
    <t>REVEX MEDIO BASE RV X 25</t>
  </si>
  <si>
    <t>002521</t>
  </si>
  <si>
    <t>REVESTIMIENTO TEXTURADO RECUPLAST TEXTURA FINA BLANCO X 25</t>
  </si>
  <si>
    <t>002522</t>
  </si>
  <si>
    <t>REVESTIMIENTO TEXTURADO RECUPLAST TEXTURA MEDIA BLANCO X  5</t>
  </si>
  <si>
    <t>002523</t>
  </si>
  <si>
    <t>REVESTIMIENTO TEXTURADO RECUPLAST TEXTURA MEDIA BASE ACCENT X  5</t>
  </si>
  <si>
    <t>002524</t>
  </si>
  <si>
    <t>DISCO CORTE DOBLE A T42 MASTER ACERO 180X2X22,2</t>
  </si>
  <si>
    <t>002525</t>
  </si>
  <si>
    <t>REVESTIMIENTO TEXTURADO RECUPLAST TEXTURA MEDIA BLANCO X 25</t>
  </si>
  <si>
    <t>002526</t>
  </si>
  <si>
    <t>DISCO CORTE DOBLE A T42 MASTER ACERO 230X3,0X22,2</t>
  </si>
  <si>
    <t>002527</t>
  </si>
  <si>
    <t>REVESTIMIENTO TEXTURADO RECUPLAST TEXTURA MEDIA BASE ACCENTX 25</t>
  </si>
  <si>
    <t>002528</t>
  </si>
  <si>
    <t>IMPERMEABLIZANTE PARA TECHOS RECUPLAST TECHOS NEGRO X  1,200</t>
  </si>
  <si>
    <t>002529</t>
  </si>
  <si>
    <t>IMPERMEABLIZANTE PARA TECHOS RECUPLAST TECHOS NEGRO X  5</t>
  </si>
  <si>
    <t>002530</t>
  </si>
  <si>
    <t>IMPERMEABLIZANTE PARA TECHOS RECUPLAST TECHOS NEGRO X 20</t>
  </si>
  <si>
    <t>002531</t>
  </si>
  <si>
    <t>IMPERMEABLIZANTE PARA TECHOS RECUPLAST TECHOS AZUL X  1</t>
  </si>
  <si>
    <t>002532</t>
  </si>
  <si>
    <t>IMPERMEABLIZANTE PARA TECHOS RECUPLAST TECHOS AZUL X  4</t>
  </si>
  <si>
    <t>002533</t>
  </si>
  <si>
    <t>IMPERMEABLIZANTE PARA TECHOS RECUPLAST TECHOS AZUL X 20</t>
  </si>
  <si>
    <t>002534</t>
  </si>
  <si>
    <t>IMPERMEABLIZANTE PARA TECHOS RECUPLAST TECHOS GRIS X  1,200</t>
  </si>
  <si>
    <t>002535</t>
  </si>
  <si>
    <t>IMPERMEABLIZANTE PARA TECHOS RECUPLAST TECHOS GRIS X  5</t>
  </si>
  <si>
    <t>002536</t>
  </si>
  <si>
    <t>IMPERMEABLIZANTE PARA TECHOS RECUPLAST TECHOS GRIS X 20</t>
  </si>
  <si>
    <t>002537</t>
  </si>
  <si>
    <t>ESMALTE SINTETICO PLAVICON BRILLANTE BASE PASTEL X  0,900</t>
  </si>
  <si>
    <t>002538</t>
  </si>
  <si>
    <t>ESMALTE SINTETICO PLAVICON BRILLANTE BASE PASTEL X  3,600</t>
  </si>
  <si>
    <t>002539</t>
  </si>
  <si>
    <t>ESMALTE SINTETICO PLAVICON BRILLANTE BASE PASTEL X 18</t>
  </si>
  <si>
    <t>002540</t>
  </si>
  <si>
    <t>ESMALTE SINTETICO PLAVICON BRILLANTE BASE MEDIANO X  0,900</t>
  </si>
  <si>
    <t>002541</t>
  </si>
  <si>
    <t>ESMALTE SINTETICO PLAVICON BRILLANTE BASE MEDIANO X  3,600</t>
  </si>
  <si>
    <t>002542</t>
  </si>
  <si>
    <t>ESMALTE SINTETICO PLAVICON BRILLANTE BASE MEDIANO X 18</t>
  </si>
  <si>
    <t>002543</t>
  </si>
  <si>
    <t>ESMALTE SINTETICO PLAVICON BRILLANTE BASE INTENSO X  0,900</t>
  </si>
  <si>
    <t>002544</t>
  </si>
  <si>
    <t>ESMALTE SINTETICO PLAVICON BRILLANTE BASE INTENSO X  3,600</t>
  </si>
  <si>
    <t>002545</t>
  </si>
  <si>
    <t>ESMALTE SINTETICO PLAVICON BRILLANTE BASE INTENSO X 18</t>
  </si>
  <si>
    <t>002546</t>
  </si>
  <si>
    <t>ESMALTE SINTETICO PLAVICON SATINADO BASE PASTEL X  0,900</t>
  </si>
  <si>
    <t>002547</t>
  </si>
  <si>
    <t>ESMALTE SINTETICO PLAVICON SATINADO BASE PASTEL X  3,600</t>
  </si>
  <si>
    <t>002548</t>
  </si>
  <si>
    <t>ESMALTE SINTETICO PLAVICON SATINADO BASE PASTEL X 18</t>
  </si>
  <si>
    <t>002549</t>
  </si>
  <si>
    <t>ESMALTE SINTETICO PLAVICON SATINADO BASE MEDIANO X  0,900</t>
  </si>
  <si>
    <t>002550</t>
  </si>
  <si>
    <t>ESMALTE SINTETICO PLAVICON SATINADO BASE MEDIANO X  3,600</t>
  </si>
  <si>
    <t>002551</t>
  </si>
  <si>
    <t>ESMALTE SINTETICO PLAVICON SATINADO BASE MEDIANO X 18</t>
  </si>
  <si>
    <t>002552</t>
  </si>
  <si>
    <t>ESMALTE SINTETICO PLAVICON SATINADO BASE INTENSO X  0,900</t>
  </si>
  <si>
    <t>002553</t>
  </si>
  <si>
    <t>ESMALTE SINTETICO PLAVICON SATINADO BASE INTENSO X  3,600</t>
  </si>
  <si>
    <t>002554</t>
  </si>
  <si>
    <t>ESMALTE SINTETICO PLAVICON SATINADO BASE INTENSO X 18</t>
  </si>
  <si>
    <t>002555</t>
  </si>
  <si>
    <t>ESPATULA PARA ENDUIR SANTA JUANA CABO CORTO MADERA 100</t>
  </si>
  <si>
    <t>002556</t>
  </si>
  <si>
    <t>ESPATULA PARA ENDUIR SANTA JUANA CABO CORTO MADERA 120</t>
  </si>
  <si>
    <t>002557</t>
  </si>
  <si>
    <t>ESPATULA PARA ENDUIR SANTA JUANA CABO CORTO MADERA 140</t>
  </si>
  <si>
    <t>002558</t>
  </si>
  <si>
    <t>ESPATULA PARA ENDUIR SANTA JUANA CABO CORTO MADERA 160</t>
  </si>
  <si>
    <t>002559</t>
  </si>
  <si>
    <t>ESPATULA PARA ENDUIR SANTA JUANA CABO CORTO MADERA 180</t>
  </si>
  <si>
    <t>002560</t>
  </si>
  <si>
    <t>ESPATULA PARA ENDUIR SANTA JUANA CABO CORTO MADERA 200</t>
  </si>
  <si>
    <t>002561</t>
  </si>
  <si>
    <t>ESPATULA PARA ENDUIR SANTA JUANA CABO CORTO MADERA 220</t>
  </si>
  <si>
    <t>002562</t>
  </si>
  <si>
    <t>ESPATULA PARA ENDUIR SANTA JUANA CABO CORTO MADERA 240</t>
  </si>
  <si>
    <t>002563</t>
  </si>
  <si>
    <t>ESPATULA PARA ENDUIR SANTA JUANA CABO LARGO MADERA 100</t>
  </si>
  <si>
    <t>002564</t>
  </si>
  <si>
    <t>ESPATULA PARA ENDUIR SANTA JUANA CABO LARGO MADERA 120</t>
  </si>
  <si>
    <t>002565</t>
  </si>
  <si>
    <t>ESPATULA PARA ENDUIR SANTA JUANA CABO LARGO MADERA 140</t>
  </si>
  <si>
    <t>002566</t>
  </si>
  <si>
    <t>ESPATULA PARA ENDUIR SANTA JUANA CABO LARGO MADERA 160</t>
  </si>
  <si>
    <t>002567</t>
  </si>
  <si>
    <t>ESPATULA PARA ENDUIR SANTA JUANA CABO LARGO MADERA 180</t>
  </si>
  <si>
    <t>002568</t>
  </si>
  <si>
    <t>ESPATULA PARA ENDUIR SANTA JUANA CABO LARGO MADERA 200</t>
  </si>
  <si>
    <t>002569</t>
  </si>
  <si>
    <t>ESPATULA PARA ENDUIR SANTA JUANA CABO LARGO MADERA 220</t>
  </si>
  <si>
    <t>002570</t>
  </si>
  <si>
    <t>ESPATULA PARA ENDUIR SANTA JUANA CABO LARGO MADERA 240</t>
  </si>
  <si>
    <t>002571</t>
  </si>
  <si>
    <t>LLANA DURA SANTA JUANA CABO PLASTICO 12X25</t>
  </si>
  <si>
    <t>002572</t>
  </si>
  <si>
    <t>LLANA DURA SANTA JUANA CABO PLASTICO 12X30</t>
  </si>
  <si>
    <t>002573</t>
  </si>
  <si>
    <t>CINTA PARA DEMARCACION DOBLE A AMARILLA/NEGRA 48MM X 33M</t>
  </si>
  <si>
    <t>002574</t>
  </si>
  <si>
    <t>CINTA PARA DEMARCACION DOBLE A ROJO/BLANCO 48MM X 33M</t>
  </si>
  <si>
    <t>002575</t>
  </si>
  <si>
    <t>CINTA PARA DEMARCACION DOBLE A AMARILLO 48MM X 33M</t>
  </si>
  <si>
    <t>002576</t>
  </si>
  <si>
    <t>CINTA PARA DEMARCACION DOBLE A AZUL 48MM X 33M</t>
  </si>
  <si>
    <t>002577</t>
  </si>
  <si>
    <t>CINTA PARA DEMARCACION DOBLE A ROJO 48MM X 33M</t>
  </si>
  <si>
    <t>002578</t>
  </si>
  <si>
    <t>CINTA PARA DEMARCACION DOBLE A VERDE 48MM X 33M</t>
  </si>
  <si>
    <t>002579</t>
  </si>
  <si>
    <t>CINTA PARA DEMARCACION DOBLE A BLANCO 48MM X 33M</t>
  </si>
  <si>
    <t>002580</t>
  </si>
  <si>
    <t>LATEX EXTERIOR TERSUAVE LAVABLE BLANCO X  4</t>
  </si>
  <si>
    <t>002581</t>
  </si>
  <si>
    <t>LATEX EXTERIOR TERSUAVE LAVABLE AMARILLO X  4</t>
  </si>
  <si>
    <t>002582</t>
  </si>
  <si>
    <t>LATEX EXTERIOR TERSUAVE LAVABLE AZUL CIELO X  4</t>
  </si>
  <si>
    <t>002583</t>
  </si>
  <si>
    <t>LATEX EXTERIOR TERSUAVE LAVABLE AZUL TRAFUL X  4</t>
  </si>
  <si>
    <t>002584</t>
  </si>
  <si>
    <t>LATEX EXTERIOR TERSUAVE LAVABLE BERMELLON X  4</t>
  </si>
  <si>
    <t>002585</t>
  </si>
  <si>
    <t>LATEX EXTERIOR TERSUAVE LAVABLE CHOCOLATE X  4</t>
  </si>
  <si>
    <t>002586</t>
  </si>
  <si>
    <t>LATEX EXTERIOR TERSUAVE LAVABLE GRIS ACERO X  4</t>
  </si>
  <si>
    <t>002587</t>
  </si>
  <si>
    <t>LATEX EXTERIOR TERSUAVE LAVABLE GRIS CEMENTO X  4</t>
  </si>
  <si>
    <t>002588</t>
  </si>
  <si>
    <t>LATEX EXTERIOR TERSUAVE LAVABLE MARRON AFRICANO X  4</t>
  </si>
  <si>
    <t>002589</t>
  </si>
  <si>
    <t>LATEX EXTERIOR TERSUAVE LAVABLE NEGRO EBANO X  4</t>
  </si>
  <si>
    <t>002590</t>
  </si>
  <si>
    <t>LATEX EXTERIOR TERSUAVE LAVABLE OCRE X  4</t>
  </si>
  <si>
    <t>002591</t>
  </si>
  <si>
    <t>LATEX EXTERIOR TERSUAVE LAVABLE ROJO BORGOGNA X  4</t>
  </si>
  <si>
    <t>002592</t>
  </si>
  <si>
    <t>LATEX EXTERIOR TERSUAVE LAVABLE ROJO TEJA X  4</t>
  </si>
  <si>
    <t>002593</t>
  </si>
  <si>
    <t>LATEX EXTERIOR TERSUAVE LAVABLE ROSA VIEJO X  4</t>
  </si>
  <si>
    <t>002594</t>
  </si>
  <si>
    <t>LATEX EXTERIOR TERSUAVE LAVABLE VERDE FORESTA X  4</t>
  </si>
  <si>
    <t>002595</t>
  </si>
  <si>
    <t>LATEX EXTERIOR TERSUAVE LAVABLE VERDE SAFARI X  4</t>
  </si>
  <si>
    <t>002596</t>
  </si>
  <si>
    <t>LATEX EXTERIOR TERSUAVE LAVABLE VIOLETA DEL SUR X  4</t>
  </si>
  <si>
    <t>002597</t>
  </si>
  <si>
    <t>DISCO FLAP DOBLE A ULTRA OX ZIRCONIO 115X22 P 40</t>
  </si>
  <si>
    <t>002598</t>
  </si>
  <si>
    <t>DISCO FLAP DOBLE A ULTRA OX ZIRCONIO 115X22 P 80</t>
  </si>
  <si>
    <t>002599</t>
  </si>
  <si>
    <t>DISCO FLAP DOBLE A ULTRA OX ZIRCONIO 115X22 P120</t>
  </si>
  <si>
    <t>002600</t>
  </si>
  <si>
    <t>ESMALTE SINTETICO PARA PIZARRON TERSUAVE MATE VERDE X 4</t>
  </si>
  <si>
    <t>002601</t>
  </si>
  <si>
    <t>ESMALTE SINTETICO TERSUAVE 2EN1 BRILLANTE BLANCO X  4</t>
  </si>
  <si>
    <t>002602</t>
  </si>
  <si>
    <t>ESMALTE SINTETICO TERSUAVE 2EN1 BRILLANTE BERMELLON X  4</t>
  </si>
  <si>
    <t>002603</t>
  </si>
  <si>
    <t>ESMALTE SINTETICO TERSUAVE 2EN1 BRILLANTE NARANJA X  4</t>
  </si>
  <si>
    <t>002604</t>
  </si>
  <si>
    <t>ESMALTE SINTETICO TERSUAVE 2EN1 BRILLANTE AMARILLO X  4</t>
  </si>
  <si>
    <t>002605</t>
  </si>
  <si>
    <t>FONDO PARA MADERA TERSUAVE BLANCO X  4</t>
  </si>
  <si>
    <t>002606</t>
  </si>
  <si>
    <t>BARNIZ MARINO PARA MADERA TERSUAVE BRILLANTE X  4</t>
  </si>
  <si>
    <t>002607</t>
  </si>
  <si>
    <t>ESMALTE SINTETICO TERSUAVE ALTA TEMPERATURA ALUMINIO X 4</t>
  </si>
  <si>
    <t>002608</t>
  </si>
  <si>
    <t>ESMALTE SINTETICO TERSUAVE ALTA TEMPERATURA NEGRO X 4</t>
  </si>
  <si>
    <t>002609</t>
  </si>
  <si>
    <t>ESMALTE SINTETICO TERSUAVE 2EN1 BRILLANTE BEIGE X  4</t>
  </si>
  <si>
    <t>002610</t>
  </si>
  <si>
    <t>ESMALTE SINTETICO PARA PIZARRON TERSUAVE MATE NEGRO X 4</t>
  </si>
  <si>
    <t>002611</t>
  </si>
  <si>
    <t>ESMALTE SINTETICO TERSUAVE ALTA TEMPERATURA BLANCO X 4</t>
  </si>
  <si>
    <t>002612</t>
  </si>
  <si>
    <t>CM-108 ALUMINIO BRILL X 1</t>
  </si>
  <si>
    <t>002613</t>
  </si>
  <si>
    <t>ESMALTE SINTETICO TERSUAVE 2EN1 BRILLANTE CEDRO X  4</t>
  </si>
  <si>
    <t>002614</t>
  </si>
  <si>
    <t>AEROSOL RUST-OLEUM SP IMPRIMACION PLASTICO BLANCO X 0,340(272127/209460)</t>
  </si>
  <si>
    <t>002615</t>
  </si>
  <si>
    <t>ESMALTE SINTETICO TERSUAVE 2EN1 BRILLANTE NEGRO X  4</t>
  </si>
  <si>
    <t>002616</t>
  </si>
  <si>
    <t>ESMALTE SINTETICO TERSUAVE 2EN1 BRILLANTE ORO X 4</t>
  </si>
  <si>
    <t>002617</t>
  </si>
  <si>
    <t>ESMALTE SINTETICO TERSUAVE 2EN1 BRILLANTE ALUMINIO X  4</t>
  </si>
  <si>
    <t>002618</t>
  </si>
  <si>
    <t>ESMALTE SINTETICO TERSUAVE 2EN1 BRILLANTE MARRON X  4</t>
  </si>
  <si>
    <t>002619</t>
  </si>
  <si>
    <t>ESMALTE SINTETICO TERSUAVE 2EN1 BRILLANTE VERDE CLARO X  4</t>
  </si>
  <si>
    <t>002620</t>
  </si>
  <si>
    <t>ESMALTE SINTETICO TERSUAVE 2EN1 BRILLANTE GRIS OSCURO X  4</t>
  </si>
  <si>
    <t>002621</t>
  </si>
  <si>
    <t>ESMALTE SINTETICO TERSPRAY MARTILLADO SECADO RAPIDO GRIS ACERO X 1</t>
  </si>
  <si>
    <t>002622</t>
  </si>
  <si>
    <t>REVOQUE PROYECTABLE 3EN1 WEBER PROMEX EXTERIOR GRIS X 30</t>
  </si>
  <si>
    <t>002623</t>
  </si>
  <si>
    <t>ESMALTE SINTETICO TERSUAVE 2EN1 BRILLANTE CELESTE X  4</t>
  </si>
  <si>
    <t>002624</t>
  </si>
  <si>
    <t>ESMALTE SINTETICO TERSUAVE 2EN1 BRILLANTE MARFIL SEDA X  4</t>
  </si>
  <si>
    <t>002625</t>
  </si>
  <si>
    <t>MORTERO DE ASIENTO Y PUENTE DE ADHERENCIA BLOQUES DE HORMIGON WEBER CELUBLOCK GRIS X 30</t>
  </si>
  <si>
    <t>002626</t>
  </si>
  <si>
    <t>ESMALTE SINTETICO TERSUAVE 2EN1 BRILLANTE GRIS ESPACIAL X  4</t>
  </si>
  <si>
    <t>002627</t>
  </si>
  <si>
    <t>DISCO CORTE DOBLE A T42 MASTER ACERO 115X2,0X22,2</t>
  </si>
  <si>
    <t>002628</t>
  </si>
  <si>
    <t>ESMALTE SINTETICO TERSUAVE 2EN1 BRILLANTE GRIS PERLA X  4</t>
  </si>
  <si>
    <t>002629</t>
  </si>
  <si>
    <t>ESMALTE SINTETICO TERSUAVE 2EN1 BRILLANTE GRIS HIELO X  4</t>
  </si>
  <si>
    <t>002630</t>
  </si>
  <si>
    <t>ESMALTE SINTETICO TERSUAVE 2EN1 BRILLANTE VERDE INGLES X  4</t>
  </si>
  <si>
    <t>002631</t>
  </si>
  <si>
    <t>DISCO FLAP DOBLE A ULTRA OX ZIRCONIO 115X22 P 60</t>
  </si>
  <si>
    <t>002632</t>
  </si>
  <si>
    <t>ESMALTE SINTETICO TERSUAVE 2EN1 BRILLANTE AZULEJO X  4</t>
  </si>
  <si>
    <t>002633</t>
  </si>
  <si>
    <t>ESMALTE SINTETICO TERSUAVE 2EN1 BRILLANTE MARFIL CHAMPAGNE X  4</t>
  </si>
  <si>
    <t>002634</t>
  </si>
  <si>
    <t>ESMALTE SINTETICO TERSUAVE 2EN1 BRILLANTE VERDE ILUSION X  4</t>
  </si>
  <si>
    <t>002635</t>
  </si>
  <si>
    <t>DISCO LIJA DOBLE A MASTER AUF6P 800</t>
  </si>
  <si>
    <t>002636</t>
  </si>
  <si>
    <t>ESMALTE SINTETICO TERSUAVE 2EN1 BRILLANTE CREMA X  4</t>
  </si>
  <si>
    <t>002637</t>
  </si>
  <si>
    <t>ESMALTE SINTETICO TERSUAVE 2EN1 BRILLANTE CASTANO X  4</t>
  </si>
  <si>
    <t>002638</t>
  </si>
  <si>
    <t>ESMALTE SINTETICO TERSUAVE 2EN1 BRILLANTE VERDE NOCHE X  4</t>
  </si>
  <si>
    <t>002639</t>
  </si>
  <si>
    <t>PROTECTOR PARA LADRILLO BRIKOL SILICONA PROFESIONAL INCOLORO X  4</t>
  </si>
  <si>
    <t>002640</t>
  </si>
  <si>
    <t>PROTECTOR PARA LADRILLO BRIKOL SILICONA PROFESIONAL INCOLORO X 20</t>
  </si>
  <si>
    <t>002641</t>
  </si>
  <si>
    <t>ESMALTE SINTETICO TERSUAVE 2EN1 BRILLANTE TRAFUL X  4</t>
  </si>
  <si>
    <t>002642</t>
  </si>
  <si>
    <t>PEGAMENTO PARA PIEZAS DE CERAMICA WEBER BASIC INTERIOR X 25</t>
  </si>
  <si>
    <t>002643</t>
  </si>
  <si>
    <t>ESMALTE SINTETICO TERSUAVE 2EN1 BRILLANTE AZUL X  4</t>
  </si>
  <si>
    <t>002644</t>
  </si>
  <si>
    <t>ESMALTE SINTETICO ALBA ANTIGRAFITTI X 1</t>
  </si>
  <si>
    <t>002645</t>
  </si>
  <si>
    <t>ESMALTE SINTETICO ALBA ANTIGRAFITTI X 4</t>
  </si>
  <si>
    <t>002646</t>
  </si>
  <si>
    <t>ESMALTE SINTETICO ALBA ALTA TEMPERATURA 540OC ALUMINIO X 1</t>
  </si>
  <si>
    <t>002647</t>
  </si>
  <si>
    <t>ESMALTE SINTETICO TERSUAVE 2EN1 BRILLANTE TABACO X  4</t>
  </si>
  <si>
    <t>002648</t>
  </si>
  <si>
    <t>FONDO ALQUIDICO INTERPRIME 222 GRIS X  3,600</t>
  </si>
  <si>
    <t>002649</t>
  </si>
  <si>
    <t>FONDO ALQUIDICO INTERPRIME 222 GRIS X 20</t>
  </si>
  <si>
    <t>002650</t>
  </si>
  <si>
    <t>ESMALTE SINTETICO TERSUAVE 2EN1 BRILLANTE VIOLETA X 4</t>
  </si>
  <si>
    <t>002651</t>
  </si>
  <si>
    <t>ESMALTE SINTETICO SECADO RAPIDO ALBAMIX TRASPARENTE X  3,200(4519000)</t>
  </si>
  <si>
    <t>002652</t>
  </si>
  <si>
    <t>ESMALTE SINTETICO SECADO RAPIDO ALBAMIX TRASPARENTE X 16(4519000)</t>
  </si>
  <si>
    <t>002653</t>
  </si>
  <si>
    <t>DISCO CORTE DOBLE A T42 MASTER ACERO 115X0,8X22,2</t>
  </si>
  <si>
    <t>002654</t>
  </si>
  <si>
    <t>ESMALTE SINTETICO ALBA ALTA TEMPERATURA 540OC ALUMINIO X 4</t>
  </si>
  <si>
    <t>002655</t>
  </si>
  <si>
    <t>P426-PP68-E033 ORANGE PEARL. X 0,330</t>
  </si>
  <si>
    <t>002656</t>
  </si>
  <si>
    <t>ESMALTE SINTETICO TERSUAVE 2EN1 BRILLANTE AMAR.MED. X  4</t>
  </si>
  <si>
    <t>002657</t>
  </si>
  <si>
    <t>ESM SINT IND ALUMINIO X  4</t>
  </si>
  <si>
    <t>002658</t>
  </si>
  <si>
    <t>ESM SINT IND ALUMINIO X 20</t>
  </si>
  <si>
    <t>002659</t>
  </si>
  <si>
    <t>ESM SINT IND NEGRO X  4</t>
  </si>
  <si>
    <t>002660</t>
  </si>
  <si>
    <t>ESM SINT IND NEGRO X 20</t>
  </si>
  <si>
    <t>002661</t>
  </si>
  <si>
    <t>ESM SINT IND VDE CLARO 019 X  4</t>
  </si>
  <si>
    <t>002662</t>
  </si>
  <si>
    <t>ESM SINT IND VDE CLARO 019 X 20</t>
  </si>
  <si>
    <t>002663</t>
  </si>
  <si>
    <t>ESM SINT IND AMARILLO CAT X  4</t>
  </si>
  <si>
    <t>002664</t>
  </si>
  <si>
    <t>ESM SINT IND AMARILLO CAT X 20</t>
  </si>
  <si>
    <t>002665</t>
  </si>
  <si>
    <t>ESM SINT IND AZUL MARINO 043 X  4</t>
  </si>
  <si>
    <t>002666</t>
  </si>
  <si>
    <t>ESM SINT IND AZUL MARINO 043 X 20</t>
  </si>
  <si>
    <t>002667</t>
  </si>
  <si>
    <t>ESM SINT IND GRIS 020 X  4</t>
  </si>
  <si>
    <t>002668</t>
  </si>
  <si>
    <t>ESM SINT IND GRIS 020 X 20</t>
  </si>
  <si>
    <t>002669</t>
  </si>
  <si>
    <t>ESM SINT IND AZULEJO 032 X  4</t>
  </si>
  <si>
    <t>002670</t>
  </si>
  <si>
    <t>ESM SINT IND AZULEJO 032 X 20</t>
  </si>
  <si>
    <t>002671</t>
  </si>
  <si>
    <t>ESM SINT IND AMARILLO MED 056 X  4</t>
  </si>
  <si>
    <t>002672</t>
  </si>
  <si>
    <t>ESM SINT IND AMARILLO MED 056 X 20</t>
  </si>
  <si>
    <t>002673</t>
  </si>
  <si>
    <t>ESM SINT IND BERMELLON 002 X  4</t>
  </si>
  <si>
    <t>002674</t>
  </si>
  <si>
    <t>ESM SINT IND BERMELLON 002 X 20</t>
  </si>
  <si>
    <t>002675</t>
  </si>
  <si>
    <t>ESM SINT IND NARANJA 003 X  4</t>
  </si>
  <si>
    <t>002676</t>
  </si>
  <si>
    <t>ESM SINT IND NARANJA 003 X 20</t>
  </si>
  <si>
    <t>002677</t>
  </si>
  <si>
    <t>ESM SINT IND BCO X  4</t>
  </si>
  <si>
    <t>002678</t>
  </si>
  <si>
    <t>ESM SINT IND BCO X 20</t>
  </si>
  <si>
    <t>002679</t>
  </si>
  <si>
    <t>ESM SINT IND VDE INGLES 030 X  4</t>
  </si>
  <si>
    <t>002680</t>
  </si>
  <si>
    <t>ESM SINT IND VDE INGLES 030 X 20</t>
  </si>
  <si>
    <t>002681</t>
  </si>
  <si>
    <t>ESM SINT IND VDE NOCHE 038 X  4</t>
  </si>
  <si>
    <t>002682</t>
  </si>
  <si>
    <t>ESM SINT IND VDE NOCHE 038 X 20</t>
  </si>
  <si>
    <t>002683</t>
  </si>
  <si>
    <t>ESM SINT IND GRIS ESP 026 X  4</t>
  </si>
  <si>
    <t>002684</t>
  </si>
  <si>
    <t>ESM SINT IND GRIS ESP 026 X 20</t>
  </si>
  <si>
    <t>002685</t>
  </si>
  <si>
    <t>ESM SINT IND AMARILLO 004 X  4</t>
  </si>
  <si>
    <t>002686</t>
  </si>
  <si>
    <t>ESM SINT IND AMARILLO 004 X 20</t>
  </si>
  <si>
    <t>002687</t>
  </si>
  <si>
    <t>ESM SINT ULTRARRAP NEGRO X 4</t>
  </si>
  <si>
    <t>002688</t>
  </si>
  <si>
    <t>P429-967-E1C DEEP ANGLE BLACK X 1</t>
  </si>
  <si>
    <t>002689</t>
  </si>
  <si>
    <t>ESM SINT ULTRARRAP NARANJA X  4</t>
  </si>
  <si>
    <t>002690</t>
  </si>
  <si>
    <t>REVESTIMIENTO ACRILICO PARA CHAPAS CHAPACRIL PLAVICON GRIS X  1</t>
  </si>
  <si>
    <t>002691</t>
  </si>
  <si>
    <t>REVESTIMIENTO ACRILICO PARA CHAPAS CHAPACRIL PLAVICON GRIS X  4</t>
  </si>
  <si>
    <t>002692</t>
  </si>
  <si>
    <t>REVESTIMIENTO ACRILICO PARA CHAPAS CHAPACRIL PLAVICON GRIS X 20</t>
  </si>
  <si>
    <t>002693</t>
  </si>
  <si>
    <t>REVESTIMIENTO ACRILICO PARA CHAPAS CHAPACRIL PLAVICON NEGRO X  1</t>
  </si>
  <si>
    <t>002694</t>
  </si>
  <si>
    <t>REVESTIMIENTO ACRILICO PARA CHAPAS CHAPACRIL PLAVICON NEGRO X  4</t>
  </si>
  <si>
    <t>002695</t>
  </si>
  <si>
    <t>REVESTIMIENTO ACRILICO PARA CHAPAS CHAPACRIL PLAVICON NEGRO X 20</t>
  </si>
  <si>
    <t>002696</t>
  </si>
  <si>
    <t>P429-972-E1C BRIGHT AMBER X 1</t>
  </si>
  <si>
    <t>002697</t>
  </si>
  <si>
    <t>ESM SINT ULTRARRAP BCO X  4</t>
  </si>
  <si>
    <t>002698</t>
  </si>
  <si>
    <t>P429-973-E1C HS BRIGHT ORANGE X 1</t>
  </si>
  <si>
    <t>002699</t>
  </si>
  <si>
    <t>FONDO SINTETICO ALBA ULTRARRAPIDO BLANCO X  4</t>
  </si>
  <si>
    <t>002700</t>
  </si>
  <si>
    <t>ROLLO CARTON CORRUGADO 1X30MT</t>
  </si>
  <si>
    <t>002701</t>
  </si>
  <si>
    <t>ROLLO CARTON CORRUGADO 0,90X30MT</t>
  </si>
  <si>
    <t>002702</t>
  </si>
  <si>
    <t>SELLADOR MULTIUSO TERSIFLEX BLANCO X 0,350</t>
  </si>
  <si>
    <t>002703</t>
  </si>
  <si>
    <t>RODILLO LANA BLANCO 22/50</t>
  </si>
  <si>
    <t>002704</t>
  </si>
  <si>
    <t>RODILLO LANA ORO 22/50</t>
  </si>
  <si>
    <t>002705</t>
  </si>
  <si>
    <t>ESPATULA PINTOR SANTA JUANA CABO MADERA 30</t>
  </si>
  <si>
    <t>002706</t>
  </si>
  <si>
    <t>ESPATULA PINTOR SANTA JUANA CABO MADERA 40</t>
  </si>
  <si>
    <t>002707</t>
  </si>
  <si>
    <t>ESPATULA PINTOR SANTA JUANA CABO MADERA 50</t>
  </si>
  <si>
    <t>002708</t>
  </si>
  <si>
    <t>ESPATULA PINTOR SANTA JUANA CABO MADERA 60</t>
  </si>
  <si>
    <t>002709</t>
  </si>
  <si>
    <t>ESPATULA PINTOR SANTA JUANA CABO MADERA 70</t>
  </si>
  <si>
    <t>002710</t>
  </si>
  <si>
    <t>ESPATULA PINTOR SANTA JUANA CABO MADERA 80</t>
  </si>
  <si>
    <t>002711</t>
  </si>
  <si>
    <t>ESPATULA PINTOR SANTA JUANA CABO MADERA 90</t>
  </si>
  <si>
    <t>002712</t>
  </si>
  <si>
    <t>SELLADOR MULTIUSO TERSIFLEX BLANCO X 0,450</t>
  </si>
  <si>
    <t>002713</t>
  </si>
  <si>
    <t>ESPATULA PLASTICA COMUNES LH 10CM</t>
  </si>
  <si>
    <t>002714</t>
  </si>
  <si>
    <t>ESPATULA PLASTICA COMUNES LH 12,5CM</t>
  </si>
  <si>
    <t>002715</t>
  </si>
  <si>
    <t>ESPATULA PLASTICA COMUNES LH 15CM</t>
  </si>
  <si>
    <t>002716</t>
  </si>
  <si>
    <t>BRILLOPLAST MAX GRUPO 1 X 0,250</t>
  </si>
  <si>
    <t>002717</t>
  </si>
  <si>
    <t>BRILLOPLAST MAX GRUPO 1 X 0,500</t>
  </si>
  <si>
    <t>002718</t>
  </si>
  <si>
    <t>BRILLOPLAST MAX GRUPO 1 X 1</t>
  </si>
  <si>
    <t>002719</t>
  </si>
  <si>
    <t>BRILLOPLAST MAX GRUPO 1 X 4</t>
  </si>
  <si>
    <t>002720</t>
  </si>
  <si>
    <t>BRILLOPLAST MAX GRUPO 1 X 20</t>
  </si>
  <si>
    <t>002721</t>
  </si>
  <si>
    <t>ESMALTE SINTETICO BRILLOPLAST BRILLANTE BLANCO X  0,250</t>
  </si>
  <si>
    <t>002722</t>
  </si>
  <si>
    <t>ESMALTE SINTETICO BRILLOPLAST BRILLANTE BLANCO X  0,500</t>
  </si>
  <si>
    <t>002723</t>
  </si>
  <si>
    <t>ESMALTE SINTETICO BRILLOPLAST BRILLANTE BLANCO X  1</t>
  </si>
  <si>
    <t>002724</t>
  </si>
  <si>
    <t>ESMALTE SINTETICO BRILLOPLAST BRILLANTE BLANCO X  4</t>
  </si>
  <si>
    <t>002725</t>
  </si>
  <si>
    <t>ESMALTE SINTETICO BRILLOPLAST BRILLANTE BLANCO X 20</t>
  </si>
  <si>
    <t>002726</t>
  </si>
  <si>
    <t>BRILLOPLAST MAX GRUPO 3 X 0,250</t>
  </si>
  <si>
    <t>002727</t>
  </si>
  <si>
    <t>BRILLOPLAST MAX GRUPO 3 X 0,500</t>
  </si>
  <si>
    <t>002728</t>
  </si>
  <si>
    <t>BRILLOPLAST MAX GRUPO 3 X 1</t>
  </si>
  <si>
    <t>002729</t>
  </si>
  <si>
    <t>BRILLOPLAST MAX GRUPO 3 X 4</t>
  </si>
  <si>
    <t>002730</t>
  </si>
  <si>
    <t>ESMALTE SINTETICO BRILLOPLAST BRILLANTE GRIS ESPACIAL X 20</t>
  </si>
  <si>
    <t>002731</t>
  </si>
  <si>
    <t>IMPREGNANTE PARA MADERA TERSUAVE SATINADO CAOBA X  1</t>
  </si>
  <si>
    <t>002732</t>
  </si>
  <si>
    <t>IMPREGNANTE PARA MADERA TERSUAVE SATINADO CEDRO X  1</t>
  </si>
  <si>
    <t>002733</t>
  </si>
  <si>
    <t>IMPREGNANTE PARA MADERA TERSUAVE SATINADO CRISTAL X  1</t>
  </si>
  <si>
    <t>002734</t>
  </si>
  <si>
    <t>IMPREGNANTE PARA MADERA TERSUAVE SATINADO NATURAL X  1</t>
  </si>
  <si>
    <t>002735</t>
  </si>
  <si>
    <t>IMPREGNANTE PARA MADERA TERSUAVE SATINADO NOGAL X  1</t>
  </si>
  <si>
    <t>002736</t>
  </si>
  <si>
    <t>IMPREGNANTE PARA MADERA TERSUAVE SATINADO ROBLE CLARO X  1</t>
  </si>
  <si>
    <t>002737</t>
  </si>
  <si>
    <t>3D I-CUT COMPUESTO INDUSTRIAL DE UN SOLO PASO 513OZ16 X 0,500</t>
  </si>
  <si>
    <t>002738</t>
  </si>
  <si>
    <t>3D I-CUT COMPUESTO INDUSTRIAL DE UN SOLO PASO 513OZ32  X 1</t>
  </si>
  <si>
    <t>002739</t>
  </si>
  <si>
    <t>LIJA DE BANDA TELA FENOBOND DOBLE A 120X6300 #120</t>
  </si>
  <si>
    <t>002740</t>
  </si>
  <si>
    <t>IMPERMEABILIZANTE PARA TECHOS TERSITECH FIBRADO BLANCO X  1</t>
  </si>
  <si>
    <t>002741</t>
  </si>
  <si>
    <t>IMPERMEABILIZANTE PARA TECHOS TERSITECH BLANCO X  1</t>
  </si>
  <si>
    <t>002742</t>
  </si>
  <si>
    <t>ESPATULA PINTOR SANTA JUANA CABO PLASTICO 70</t>
  </si>
  <si>
    <t>002743</t>
  </si>
  <si>
    <t>ESPATULA PINTOR SANTA JUANA CABO PLASTICO 80</t>
  </si>
  <si>
    <t>002744</t>
  </si>
  <si>
    <t>ESPATULA PINTOR SANTA JUANA CABO PLASTICO 90</t>
  </si>
  <si>
    <t>002745</t>
  </si>
  <si>
    <t>IMPERMEABILIZANTE PARA TECHOS TERSITECH ROJO X  1</t>
  </si>
  <si>
    <t>002746</t>
  </si>
  <si>
    <t>IMPERMEABILIZANTE PARA TECHOS TERSITECH VERDE X  1</t>
  </si>
  <si>
    <t>002747</t>
  </si>
  <si>
    <t>IMPERMEABILIZANTE PARA TECHOS TERSITECH FIBRADO TEJA X  1</t>
  </si>
  <si>
    <t>002748</t>
  </si>
  <si>
    <t>IMPERMEABILIZANTE PARA TECHOS DURALBA TECHOS TOTAL SATINADO BLANCO X  4</t>
  </si>
  <si>
    <t>002749</t>
  </si>
  <si>
    <t>IMPERMEABILIZANTE PARA TECHOS DURALBA TECHOS TOTAL SATINADO BLANCO X 20</t>
  </si>
  <si>
    <t>002750</t>
  </si>
  <si>
    <t>IMPERMEABILIZANTE PARA TECHOS TERSITECH FIBRADO BLANCO X  4</t>
  </si>
  <si>
    <t>002751</t>
  </si>
  <si>
    <t>IMPERMEABILIZANTE PARA TECHOS TERSITECH BLANCO X  4</t>
  </si>
  <si>
    <t>002752</t>
  </si>
  <si>
    <t>LATEX PARA PISO TERSPORT AZUL X  4</t>
  </si>
  <si>
    <t>002753</t>
  </si>
  <si>
    <t>LATEX PARA PISO TERSPORT ROJO X  4</t>
  </si>
  <si>
    <t>002754</t>
  </si>
  <si>
    <t>LATEX PARA PISO TERSPORT VERDE X  4</t>
  </si>
  <si>
    <t>002755</t>
  </si>
  <si>
    <t>IMPERMEABILIZANTE PARA TECHOS TERSITECH ROJO X  4</t>
  </si>
  <si>
    <t>002756</t>
  </si>
  <si>
    <t>IMPERMEABILIZANTE PARA TECHOS TERSITECH VERDE X  4</t>
  </si>
  <si>
    <t>002757</t>
  </si>
  <si>
    <t>IMPERMEABILIZANTE PARA TECHOS TERSITECH FIBRADO TEJA X  4</t>
  </si>
  <si>
    <t>002758</t>
  </si>
  <si>
    <t>IMPREGNATE IGNIFUGO TERSUAVE TEXTILES Y MADERAS X  1</t>
  </si>
  <si>
    <t>002759</t>
  </si>
  <si>
    <t>IMPREGNATE IGNIFUGO TERSUAVE TEXTILES Y MADERAS X  5</t>
  </si>
  <si>
    <t>002760</t>
  </si>
  <si>
    <t>IMPREGNATE IGNIFUGO TERSUAVE TEXTILES Y MADERAS X 20</t>
  </si>
  <si>
    <t>002761</t>
  </si>
  <si>
    <t>IMPREGNANTE PARA MADERA TERSUAVE SATINADO CAOBA X  4</t>
  </si>
  <si>
    <t>002762</t>
  </si>
  <si>
    <t>IMPREGNANTE PARA MADERA TERSUAVE SATINADO CEDRO X  4</t>
  </si>
  <si>
    <t>002763</t>
  </si>
  <si>
    <t>IMPREGNANTE PARA MADERA TERSUAVE SATINADO CRISTAL X  4</t>
  </si>
  <si>
    <t>002764</t>
  </si>
  <si>
    <t>IMPREGNANTE PARA MADERA TERSUAVE SATINADO NATURAL X  4</t>
  </si>
  <si>
    <t>002765</t>
  </si>
  <si>
    <t>IMPREGNANTE PARA MADERA TERSUAVE SATINADO NOGAL X  4</t>
  </si>
  <si>
    <t>002766</t>
  </si>
  <si>
    <t>IMPREGNANTE PARA MADERA TERSUAVE SATINADO ROBLE CLARO X  4</t>
  </si>
  <si>
    <t>002767</t>
  </si>
  <si>
    <t>PROTECTOR PARA LADRILLO RECUBRICK AL SOLVENTE NATURAL X  1</t>
  </si>
  <si>
    <t>002768</t>
  </si>
  <si>
    <t>PROTECTOR PARA LADRILLO RECUBRICK AL SOLVENTE NATURAL X  4</t>
  </si>
  <si>
    <t>002769</t>
  </si>
  <si>
    <t>PROTECTOR PARA LADRILLO RECUBRICK AL SOLVENTE NATURAL X 20</t>
  </si>
  <si>
    <t>002770</t>
  </si>
  <si>
    <t>IMPERMEABILIZANTE PARA TECHOS TERSITECH FIBRADO BLANCO X 10</t>
  </si>
  <si>
    <t>002771</t>
  </si>
  <si>
    <t>IMPERMEABILIZANTE PARA TECHOS TERSITECH BLANCO X 10</t>
  </si>
  <si>
    <t>002772</t>
  </si>
  <si>
    <t>DISCO DIAMANTADO DOBLE A MASTER 180X22,23 SEG</t>
  </si>
  <si>
    <t>002773</t>
  </si>
  <si>
    <t>DISCO DIAMANTADO DOBLE A MASTER 180X22,23 TURBO</t>
  </si>
  <si>
    <t>002774</t>
  </si>
  <si>
    <t>DYL06P SINTETICO ALUMINIO X 20</t>
  </si>
  <si>
    <t>002775</t>
  </si>
  <si>
    <t>IMPERMEABILIZANTE PARA TECHOS TERSITECH ROJO X 10</t>
  </si>
  <si>
    <t>002776</t>
  </si>
  <si>
    <t>IMPERMEABILIZANTE PARA TECHOS TERSITECH VERDE X 10</t>
  </si>
  <si>
    <t>002777</t>
  </si>
  <si>
    <t>IMPERMEABILIZANTE PARA TECHOS TERSITECH FIBRADO TEJA X 10</t>
  </si>
  <si>
    <t>002778</t>
  </si>
  <si>
    <t>BARNIZ PARA MADERA TERSUAVE ACUOSO MATE X 1</t>
  </si>
  <si>
    <t>002779</t>
  </si>
  <si>
    <t>BARNIZ PARA MADERA TERSUAVE ACUOSO MATE X 4</t>
  </si>
  <si>
    <t>002780</t>
  </si>
  <si>
    <t>LATEX EXTERIOR TERSUAVE LAVABLE BLANCO X 10</t>
  </si>
  <si>
    <t>002781</t>
  </si>
  <si>
    <t>IMPREGNANTE PARA MADERA TERSUAVE SATINADO CAOBA X 20</t>
  </si>
  <si>
    <t>002782</t>
  </si>
  <si>
    <t>IMPREGNANTE PARA MADERA TERSUAVE SATINADO CEDRO X 20</t>
  </si>
  <si>
    <t>002783</t>
  </si>
  <si>
    <t>IMPREGNANTE PARA MADERA TERSUAVE SATINADO CRISTAL X 20</t>
  </si>
  <si>
    <t>002784</t>
  </si>
  <si>
    <t>IMPREGNANTE PARA MADERA TERSUAVE SATINADO NATURAL X 20</t>
  </si>
  <si>
    <t>002785</t>
  </si>
  <si>
    <t>IMPREGNANTE PARA MADERA TERSUAVE SATINADO NOGAL X 20</t>
  </si>
  <si>
    <t>002786</t>
  </si>
  <si>
    <t>IMPREGNANTE PARA MADERA TERSUAVE SATINADO ROBLE CLARO X 20</t>
  </si>
  <si>
    <t>002787</t>
  </si>
  <si>
    <t>REVEMOR REV.ACR BCO X 30</t>
  </si>
  <si>
    <t>002788</t>
  </si>
  <si>
    <t>REVEMOR REV.ACR BASE RV X 30</t>
  </si>
  <si>
    <t>002789</t>
  </si>
  <si>
    <t>REVEMOR REV.ACR BASE TA X 30</t>
  </si>
  <si>
    <t>002790</t>
  </si>
  <si>
    <t>IMPERMEABILIZANTE PARA TECHOS TERSITECH FIBRADO BLANCO X 20</t>
  </si>
  <si>
    <t>002791</t>
  </si>
  <si>
    <t>IMPERMEABILIZANTE PARA TECHOS TERSITECH BLANCO X 20</t>
  </si>
  <si>
    <t>002792</t>
  </si>
  <si>
    <t>LATEX PARA PISO TERSPORT AZUL X 20</t>
  </si>
  <si>
    <t>002793</t>
  </si>
  <si>
    <t>LATEX PARA PISO TERSPORT ROJO X 20</t>
  </si>
  <si>
    <t>002794</t>
  </si>
  <si>
    <t>LATEX PARA PISO TERSPORT VERDE X 20</t>
  </si>
  <si>
    <t>002795</t>
  </si>
  <si>
    <t>IMPERMEABILIZANTE PARA TECHOS TERSITECH ROJO X 20</t>
  </si>
  <si>
    <t>002796</t>
  </si>
  <si>
    <t>IMPERMEABILIZANTE PARA TECHOS TERSITECH VERDE X 20</t>
  </si>
  <si>
    <t>002797</t>
  </si>
  <si>
    <t>IMPERMEABILIZANTE PARA TECHOS TERSITECH FIBRADO TEJA X 20</t>
  </si>
  <si>
    <t>002798</t>
  </si>
  <si>
    <t>DYL01.11  ESMALTE PU BLANCO PLENO DELFLEET X 1</t>
  </si>
  <si>
    <t>002799</t>
  </si>
  <si>
    <t>DYL01P.01 ESMALTE PU BLANCO PLENO DELFLEET X 3,500</t>
  </si>
  <si>
    <t>002800</t>
  </si>
  <si>
    <t>REVESTIMIENTO TEXTURADO TERPLAST REVOQUE PLASTICO BLANCO X 12,5</t>
  </si>
  <si>
    <t>002801</t>
  </si>
  <si>
    <t>ESMALTE SINTETICO TERSUAVE 2EN1 BRILLANTE BLANCO X 20</t>
  </si>
  <si>
    <t>002802</t>
  </si>
  <si>
    <t>ESMALTE SINTETICO TERSUAVE 2EN1 BRILLANTE BERMELLON X 20</t>
  </si>
  <si>
    <t>002803</t>
  </si>
  <si>
    <t>ESMALTE SINTETICO TERSUAVE 2EN1 BRILLANTE NARANJA X 20</t>
  </si>
  <si>
    <t>002804</t>
  </si>
  <si>
    <t>ESMALTE SINTETICO TERSUAVE 2EN1 BRILLANTE AMARILLO X 20</t>
  </si>
  <si>
    <t>002805</t>
  </si>
  <si>
    <t>FONDO PARA MADERA TERSUAVE BLANCO X 20</t>
  </si>
  <si>
    <t>002806</t>
  </si>
  <si>
    <t>BARNIZ MARINO PARA MADERA TERSUAVE BRILLANTE X 20</t>
  </si>
  <si>
    <t>002807</t>
  </si>
  <si>
    <t>REVEPLASTER REVOQUE ACRÏ¿Ï¿½LICO BCO X 25</t>
  </si>
  <si>
    <t>002808</t>
  </si>
  <si>
    <t>P429-980-E1C SPEED RED X 1</t>
  </si>
  <si>
    <t>002809</t>
  </si>
  <si>
    <t>ESMALTE SINTETICO TERSUAVE 2EN1 BRILLANTE BEIGE X 20</t>
  </si>
  <si>
    <t>002810</t>
  </si>
  <si>
    <t>P433-XR18-E033 AMETHIST DREAM X 0,330</t>
  </si>
  <si>
    <t>002811</t>
  </si>
  <si>
    <t>DILUYENTE INTERNATIONAL GTA220LS P/EPOXI  X 4</t>
  </si>
  <si>
    <t>002812</t>
  </si>
  <si>
    <t>DILUYENTE INTERNATIONAL GTA220LS P/EPOXI X 20</t>
  </si>
  <si>
    <t>002813</t>
  </si>
  <si>
    <t>ESMALTE SINTETICO TERSUAVE 2EN1 BRILLANTE CEDRO X 20</t>
  </si>
  <si>
    <t>002814</t>
  </si>
  <si>
    <t>LATEX PARA CIELORRASOS SINTEPLAST MATE BLANCO X 10</t>
  </si>
  <si>
    <t>002815</t>
  </si>
  <si>
    <t>ESMALTE SINTETICO TERSUAVE 2EN1 BRILLANTE NEGRO X 20</t>
  </si>
  <si>
    <t>002816</t>
  </si>
  <si>
    <t>CINTA ALUMINIO LISO ISOVER ROLAC PLATA 7,6X45,70</t>
  </si>
  <si>
    <t>002817</t>
  </si>
  <si>
    <t>ESMALTE SINTETICO TERSUAVE 2EN1 BRILLANTE ALUMINIO X 20</t>
  </si>
  <si>
    <t>002818</t>
  </si>
  <si>
    <t>ESMALTE SINTETICO TERSUAVE 2EN1 BRILLANTE MARRON X 20</t>
  </si>
  <si>
    <t>002819</t>
  </si>
  <si>
    <t>AEROSOL RUST-OLEUM ALTA TEMPERATURA NEGRO MATE X 0,340 (358859 / 313518)</t>
  </si>
  <si>
    <t>002820</t>
  </si>
  <si>
    <t>ESMALTE SINTETICO TERSUAVE 2EN1 BRILLANTE GRIS OSCURO X 20</t>
  </si>
  <si>
    <t>002821</t>
  </si>
  <si>
    <t>AEROSOL RUST-OLEUM SP ALTA TEMPERATURA NEGRO X 0,340(358919)</t>
  </si>
  <si>
    <t>002822</t>
  </si>
  <si>
    <t>DISCO CORTE DOBLE A T41 MASTER ACERO 178X1,6X22,2</t>
  </si>
  <si>
    <t>002823</t>
  </si>
  <si>
    <t>ESMALTE SINTETICO TERSUAVE 2EN1 BRILLANTE CELESTE X 20</t>
  </si>
  <si>
    <t>002824</t>
  </si>
  <si>
    <t>ESMALTE SINTETICO TERSUAVE 2EN1 BRILLANTE MARFIL SEDA X 20</t>
  </si>
  <si>
    <t>002825</t>
  </si>
  <si>
    <t>LANA DE VIDRIO INTERIOR ISOVER ROLAC PLATA MURO 0,40X12X50</t>
  </si>
  <si>
    <t>002826</t>
  </si>
  <si>
    <t>ESMALTE SINTETICO TERSUAVE 2EN1 BRILLANTE GRIS ESPACIAL X 20</t>
  </si>
  <si>
    <t>002827</t>
  </si>
  <si>
    <t>LANA DE VIDRIO INTERIOR ISOVER ROLAC PLATA MURO 0,40X8X70</t>
  </si>
  <si>
    <t>002828</t>
  </si>
  <si>
    <t>ESMALTE SINTETICO TERSUAVE 2EN1 BRILLANTE GRIS PERLA X 20</t>
  </si>
  <si>
    <t>002829</t>
  </si>
  <si>
    <t>ESMALTE SINTETICO TERSUAVE 2EN1 BRILLANTE GRIS HIELO X 20</t>
  </si>
  <si>
    <t>002830</t>
  </si>
  <si>
    <t>ESMALTE SINTETICO TERSUAVE 2EN1 BRILLANTE VERDE INGLES X 20</t>
  </si>
  <si>
    <t>002831</t>
  </si>
  <si>
    <t>LANA DE VIDRIO INTERIOR ISOVER ROLAC PLATA MURO 0,40X6X100</t>
  </si>
  <si>
    <t>002832</t>
  </si>
  <si>
    <t>ESMALTE SINTETICO TERSUAVE 2EN1 BRILLANTE AZULEJO X 20</t>
  </si>
  <si>
    <t>002833</t>
  </si>
  <si>
    <t>ESMALTE SINTETICO TERSUAVE 2EN1 BRILLANTE MARFIL CHAMPAGNE X 20</t>
  </si>
  <si>
    <t>002834</t>
  </si>
  <si>
    <t>ESMALTE SINTETICO TERSUAVE 2EN1 BRILLANTE VERDE ILUSION X 20</t>
  </si>
  <si>
    <t>002835</t>
  </si>
  <si>
    <t>DISCO DESBASTE DOBLE A T27 MASTER ACERO 115X5,0X22,2</t>
  </si>
  <si>
    <t>002836</t>
  </si>
  <si>
    <t>ESMALTE SINTETICO TERSUAVE 2EN1 BRILLANTE CREMA X 20</t>
  </si>
  <si>
    <t>002837</t>
  </si>
  <si>
    <t>ESMALTE SINTETICO TERSUAVE 2EN1 BRILLANTE CASTANO X 20</t>
  </si>
  <si>
    <t>002838</t>
  </si>
  <si>
    <t>ESMALTE SINTETICO TERSUAVE 2EN1 BRILLANTE VERDE NOCHE X 20</t>
  </si>
  <si>
    <t>002839</t>
  </si>
  <si>
    <t>ZM INTERNATIONAL GTA007LS X 4</t>
  </si>
  <si>
    <t>002840</t>
  </si>
  <si>
    <t>DILUYENTE INTERNATIONAL GTA007 X 20</t>
  </si>
  <si>
    <t>002841</t>
  </si>
  <si>
    <t>ESMALTE SINTETICO TERSUAVE 2EN1 BRILLANTE TRAFUL X 20</t>
  </si>
  <si>
    <t>002842</t>
  </si>
  <si>
    <t>HOGAR BARNIZ SINT.BRILLANTE X 20</t>
  </si>
  <si>
    <t>002843</t>
  </si>
  <si>
    <t>ESMALTE SINTETICO TERSUAVE 2EN1 BRILLANTE AZUL X 20</t>
  </si>
  <si>
    <t>002844</t>
  </si>
  <si>
    <t>AEROSOL RUST-OLEUM ALTA TEMPERATURA ALUMINIO X 0,340 (313519/358858)</t>
  </si>
  <si>
    <t>002845</t>
  </si>
  <si>
    <t>EPOXI INTERTUF 262 ROJO X  3,6</t>
  </si>
  <si>
    <t>002846</t>
  </si>
  <si>
    <t>EPOXI INTERTUF 262 ROJO X 20</t>
  </si>
  <si>
    <t>002847</t>
  </si>
  <si>
    <t>ESMALTE SINTETICO TERSUAVE 2EN1 BRILLANTE TABACO X 20</t>
  </si>
  <si>
    <t>002848</t>
  </si>
  <si>
    <t>ANDAMIO 1.85 MULTIUSO EQUUS</t>
  </si>
  <si>
    <t>002849</t>
  </si>
  <si>
    <t>GUANTES TACTIL POLI 21-103 -T09 X 2</t>
  </si>
  <si>
    <t>002850</t>
  </si>
  <si>
    <t>GUANTES TACTIL POLI 21-103 -T10 X 2</t>
  </si>
  <si>
    <t>002851</t>
  </si>
  <si>
    <t>AEROSOL RUST-OLEUM ALTA TEMPERATURA ROJO MATE X 0,340 (358860/313520)</t>
  </si>
  <si>
    <t>002852</t>
  </si>
  <si>
    <t>AEROSOL RUST-OLEUM SP ALTA TEMPERATURA PLATA X 0,340(358918)</t>
  </si>
  <si>
    <t>002853</t>
  </si>
  <si>
    <t>LATEX PARA CIELORRASOS RECUPLAST MATE BLANCO X  1</t>
  </si>
  <si>
    <t>002854</t>
  </si>
  <si>
    <t>LATEX PARA CIELORRASOS RECUPLAST MATE BLANCO X  4</t>
  </si>
  <si>
    <t>002855</t>
  </si>
  <si>
    <t>LATEX PARA CIELORRASOS RECUPLAST MATE BLANCO X 20</t>
  </si>
  <si>
    <t>002856</t>
  </si>
  <si>
    <t>ESMALTE SINTETICO TERSUAVE 2EN1 BRILLANTE AMAR.MED. X 20</t>
  </si>
  <si>
    <t>002857</t>
  </si>
  <si>
    <t>IMPERMEABILIZANTE PARA TECHOS TERSINOL BLANCO X  1</t>
  </si>
  <si>
    <t>002858</t>
  </si>
  <si>
    <t>IMPERMEABILIZANTE PARA TECHOS TERSINOL BLANCO X  4</t>
  </si>
  <si>
    <t>002859</t>
  </si>
  <si>
    <t>IMPERMEABILIZANTE PARA TECHOS TERSINOL BLANCO X 10</t>
  </si>
  <si>
    <t>002860</t>
  </si>
  <si>
    <t>ESMALTE SINTETICO TERSPRAY SECADO RAPIDO BLANCO X  1</t>
  </si>
  <si>
    <t>002861</t>
  </si>
  <si>
    <t>ESMALTE SINTETICO TERSPRAY SECADO RAPIDO BERMELLON X 1</t>
  </si>
  <si>
    <t>002862</t>
  </si>
  <si>
    <t>ESMALTE SINTETICO TERSPRAY SECADO RAPIDO NARANJA FIAT X 1</t>
  </si>
  <si>
    <t>002863</t>
  </si>
  <si>
    <t>ESMALTE SINTETICO TERSPRAY SECADO RAPIDO AMAR.CROM. X 1</t>
  </si>
  <si>
    <t>002864</t>
  </si>
  <si>
    <t>ESMALTE SINTETICO TERSPRAY SECADO RAPIDO NEGRO X 1</t>
  </si>
  <si>
    <t>002865</t>
  </si>
  <si>
    <t>ZM INTERTHERM 50 ALUMINIO X 3,6</t>
  </si>
  <si>
    <t>002866</t>
  </si>
  <si>
    <t>SELLADOR SILICONA ACETICA WEBER S TRANSPARENTE X 0,300</t>
  </si>
  <si>
    <t>002867</t>
  </si>
  <si>
    <t>ESMALTE SINTETICO TERSPRAY SECADO RAPIDO AZUL BANDERA X 1</t>
  </si>
  <si>
    <t>002868</t>
  </si>
  <si>
    <t>AEROSOL RUST-OLEUM ALTA TEMPERATURA NARANJA MATE X 0,340 (248905)</t>
  </si>
  <si>
    <t>002869</t>
  </si>
  <si>
    <t>ESMALTE SINTETICO TERSPRAY SECADO RAPIDO VERDE J.D X 1</t>
  </si>
  <si>
    <t>002870</t>
  </si>
  <si>
    <t>ESMALTE SINTETICO TERSPRAY SECADO RAPIDO BLANCO X  4</t>
  </si>
  <si>
    <t>002871</t>
  </si>
  <si>
    <t>ESMALTE SINTETICO TERSPRAY SECADO RAPIDO BERMELLON X 4</t>
  </si>
  <si>
    <t>002872</t>
  </si>
  <si>
    <t>ESMALTE SINTETICO TERSPRAY SECADO RAPIDO NARANJA FIAT X 4</t>
  </si>
  <si>
    <t>002873</t>
  </si>
  <si>
    <t>ESMALTE SINTETICO TERSPRAY SECADO RAPIDO AMAR.CROM.X 4</t>
  </si>
  <si>
    <t>002874</t>
  </si>
  <si>
    <t>ESMALTE SINTETICO TERSPRAY SECADO RAPIDO NEGRO X 4</t>
  </si>
  <si>
    <t>002875</t>
  </si>
  <si>
    <t>AEROSOL RUST-OLEUM SP ALTA TEMPERATURA BLANCO MATE X 0,340(358920/7751830)</t>
  </si>
  <si>
    <t>002876</t>
  </si>
  <si>
    <t>LANA DE VIDRIO HIDROREPELENTE ISOVER ROLAC PLATA CUBIERTA 1,20X8X80</t>
  </si>
  <si>
    <t>002877</t>
  </si>
  <si>
    <t>ESMALTE SINTETICO TERSPRAY SECADO RAPIDO AZUL BANDERA X 4</t>
  </si>
  <si>
    <t>002878</t>
  </si>
  <si>
    <t>IMPERMEABILIZANTE PARA TECHOS TERSINOL BLANCO X 20</t>
  </si>
  <si>
    <t>002879</t>
  </si>
  <si>
    <t>ESMALTE SINTETICO TERSPRAY SECADO RAPIDO VERDE J.D X 4</t>
  </si>
  <si>
    <t>002880</t>
  </si>
  <si>
    <t>IMPERMEABILIZANTE PARA TECHOS TERSITECH NEGRO X  1</t>
  </si>
  <si>
    <t>002881</t>
  </si>
  <si>
    <t>IMPERMEABILIZANTE PARA TECHOS TERSITECH NEGRO X  4</t>
  </si>
  <si>
    <t>002882</t>
  </si>
  <si>
    <t>IMPERMEABILIZANTE PARA TECHOS TERSITECH NEGRO X 10</t>
  </si>
  <si>
    <t>002883</t>
  </si>
  <si>
    <t>IMPERMEABILIZANTE PARA TECHOS TERSITECH NEGRO X 20</t>
  </si>
  <si>
    <t>002884</t>
  </si>
  <si>
    <t>LANA DE VIDRIO HIDROREPELENTE ISOVER ROLAC PLATA CUBIERTA 1,20X6X100</t>
  </si>
  <si>
    <t>002885</t>
  </si>
  <si>
    <t>DISCO CORTE DOBLE A T41 MASTER ACERO 350X3,2X25,4 2MALLA</t>
  </si>
  <si>
    <t>002886</t>
  </si>
  <si>
    <t>LANA DE VIDRIO HIDROREPELENTE ISOVER ROLAC PLATA CUBIERTA 1,20X12X38</t>
  </si>
  <si>
    <t>002887</t>
  </si>
  <si>
    <t>LANA DE VIDRIO HIDROREPELENTE ISOVER ROLAC PLATA CUBIERTA 1,20X12X50</t>
  </si>
  <si>
    <t>002888</t>
  </si>
  <si>
    <t>IMPRIMACION EPOXI TERSUAVE X 1</t>
  </si>
  <si>
    <t>002889</t>
  </si>
  <si>
    <t>DEPOSITO DE PINTURA DE 20LTS. ADIABATIC (DEPO/20R)</t>
  </si>
  <si>
    <t>002890</t>
  </si>
  <si>
    <t>FILTRO ESPUMA P/TAPA ADIABATIC (1218DLPO)</t>
  </si>
  <si>
    <t>002891</t>
  </si>
  <si>
    <t>CARBON DE 9X9 JUEGOX2 ADIABATIC (1481K2)</t>
  </si>
  <si>
    <t>002892</t>
  </si>
  <si>
    <t>PICO 0,75 MM DIFU PLASTICO ADIABATIC (1523CLLO)</t>
  </si>
  <si>
    <t>002893</t>
  </si>
  <si>
    <t>PICO 1 MM DIFU PLASTICO ADIABATIC (1524CLLO)</t>
  </si>
  <si>
    <t>002894</t>
  </si>
  <si>
    <t>PICO 1,5 MM DIFU PLASTICO ADIABATIC (1525CLLO)</t>
  </si>
  <si>
    <t>002895</t>
  </si>
  <si>
    <t>PICO 2 MM DIFU PLASTICO ADIABATIC ( 1526CLLO)</t>
  </si>
  <si>
    <t>002896</t>
  </si>
  <si>
    <t>AGUJA INOXIDABLE PARA PISTOLA C2C5 (7113DLLO)</t>
  </si>
  <si>
    <t>002897</t>
  </si>
  <si>
    <t>JUNTA UNIVERSAL P/TAZAS ADIABATIC (0269CNPO)</t>
  </si>
  <si>
    <t>002898</t>
  </si>
  <si>
    <t>JUNTA PRENSA ESTOPA DE TEFLON ADIABATIC (0143DLXO)</t>
  </si>
  <si>
    <t>002899</t>
  </si>
  <si>
    <t>AEROSOL RUST-OLEUM ALTA TEMPERATURA GRIS X 0,340 (249340/371549)</t>
  </si>
  <si>
    <t>002900</t>
  </si>
  <si>
    <t>REVESTIMIENTO TEXTURADO TERPLAST REVOQUE PLASTICO BLANCO X 25</t>
  </si>
  <si>
    <t>002901</t>
  </si>
  <si>
    <t>ENTONADOR UNIVERSAL TERSUAVE AMARILLO X 0,030</t>
  </si>
  <si>
    <t>002902</t>
  </si>
  <si>
    <t>ENTONADOR UNIVERSAL TERSUAVE BERMELLON X 0,030</t>
  </si>
  <si>
    <t>002903</t>
  </si>
  <si>
    <t>ENTONADOR UNIVERSAL TERSUAVE OCRE X 0,030</t>
  </si>
  <si>
    <t>002904</t>
  </si>
  <si>
    <t>ENTONADOR UNIVERSAL TERSUAVE VERDE CLARO X 0,030</t>
  </si>
  <si>
    <t>002905</t>
  </si>
  <si>
    <t>ENTONADOR UNIVERSAL TERSUAVE VERDE OSCURO X 0,030</t>
  </si>
  <si>
    <t>002906</t>
  </si>
  <si>
    <t>ENTONADOR UNIVERSAL TERSUAVE AZUL X 0,030</t>
  </si>
  <si>
    <t>002907</t>
  </si>
  <si>
    <t>ENTONADOR UNIVERSAL TERSUAVE CEDRO X 0,030</t>
  </si>
  <si>
    <t>002908</t>
  </si>
  <si>
    <t>ENTONADOR UNIVERSAL TERSUAVE SIENA X 0,030</t>
  </si>
  <si>
    <t>002909</t>
  </si>
  <si>
    <t>ENTONADOR UNIVERSAL TERSUAVE NEGRO X 0,030</t>
  </si>
  <si>
    <t>002910</t>
  </si>
  <si>
    <t>ENTONADOR UNIVERSAL TERSUAVE NARANJA X 0,030</t>
  </si>
  <si>
    <t>002911</t>
  </si>
  <si>
    <t>ENTONADOR UNIVERSAL TERSUAVE VIOLETA X 0,030</t>
  </si>
  <si>
    <t>002912</t>
  </si>
  <si>
    <t>ENTONADOR UNIVERSAL TERSUAVE MARRON X 0,030</t>
  </si>
  <si>
    <t>002913</t>
  </si>
  <si>
    <t>ESM.MATE ESP TERS LADRILLO X 1</t>
  </si>
  <si>
    <t>002914</t>
  </si>
  <si>
    <t>PROTECTOR PARA PISO ATERMICO PLAVICON CUARZO X 4</t>
  </si>
  <si>
    <t>002915</t>
  </si>
  <si>
    <t>DISCO FLAP DOBLE A MASTER OX ALUMINIO 115X22  36</t>
  </si>
  <si>
    <t>002916</t>
  </si>
  <si>
    <t>DISCO FLAP DOBLE A MASTER OX ALUMINIO 115X22  60</t>
  </si>
  <si>
    <t>002917</t>
  </si>
  <si>
    <t>DISCO FLAP DOBLE A ULTRA OX.ZIRCONIO 180X22 P 40</t>
  </si>
  <si>
    <t>002918</t>
  </si>
  <si>
    <t>DISCO FLAP DOBLE A ULTRA OX.ZIRCONIO 180X22 P 60</t>
  </si>
  <si>
    <t>002919</t>
  </si>
  <si>
    <t>DISCO FLAP DOBLE A ULTRA OX.ZIRCONIO 180X22 P 80</t>
  </si>
  <si>
    <t>002920</t>
  </si>
  <si>
    <t>DISCO FLAP DOBLE A ULTRA OX.ZIRCONIO 180X22 P120</t>
  </si>
  <si>
    <t>002921</t>
  </si>
  <si>
    <t>DISCO FLAP DOBLE A MASTER OX ALUMINIO 115X22  80</t>
  </si>
  <si>
    <t>002922</t>
  </si>
  <si>
    <t>DISCO DIAMANTADO DOBLE A MASTER 110X22,23 SEG</t>
  </si>
  <si>
    <t>002923</t>
  </si>
  <si>
    <t>DISCO DIAMANTADO DOBLE A MASTER 110X22,23 TURBO</t>
  </si>
  <si>
    <t>002924</t>
  </si>
  <si>
    <t>FILTRO DE PINTURA P/PISTOLA ADIABATIC (1247DLXO)</t>
  </si>
  <si>
    <t>002925</t>
  </si>
  <si>
    <t>DISCO FLAP DOBLE A MASTER OX ALUMINIO 115X22 120</t>
  </si>
  <si>
    <t>002926</t>
  </si>
  <si>
    <t>DISCO CORTE DOBLE A T41 MASTER ACERO 300X3,2X25,4 2MALLA</t>
  </si>
  <si>
    <t>002927</t>
  </si>
  <si>
    <t>GUANTES ANSELL NEOPRENO 29-865 T.10 X 2</t>
  </si>
  <si>
    <t>002928</t>
  </si>
  <si>
    <t>TUBO DE PESCA PISTOLA C4 ADIABATIC (1039DLPO)</t>
  </si>
  <si>
    <t>002929</t>
  </si>
  <si>
    <t>GUANTES TACTIL FOAM 20-102/PONY 22-102 -T09 X 2</t>
  </si>
  <si>
    <t>002930</t>
  </si>
  <si>
    <t>GUANTES TACTIL FOAM 20-102/PONY 22-102 -T10 X 2</t>
  </si>
  <si>
    <t>002931</t>
  </si>
  <si>
    <t>GUANTES ANSELL NEOPRENO 29-865 T.11 X 2</t>
  </si>
  <si>
    <t>002932</t>
  </si>
  <si>
    <t>REPUESTO CANE BOQUILLA (107503)</t>
  </si>
  <si>
    <t>002933</t>
  </si>
  <si>
    <t>REPUESTO CANE ARANDELA SELLO (121023)</t>
  </si>
  <si>
    <t>002934</t>
  </si>
  <si>
    <t>REPUESTO CANE PICO 1,8 MM (107502)</t>
  </si>
  <si>
    <t>002935</t>
  </si>
  <si>
    <t>REPUESTO CANE DIFUSOR DE AIRE (121022)</t>
  </si>
  <si>
    <t>002936</t>
  </si>
  <si>
    <t>REPUESTO CANE CUERPO (108501)</t>
  </si>
  <si>
    <t>002937</t>
  </si>
  <si>
    <t>REPUESTO CANE CUERPO REG.AIRE (121065)</t>
  </si>
  <si>
    <t>002938</t>
  </si>
  <si>
    <t>REPUESTO CANE PERILLA REG.AIRE (121058)</t>
  </si>
  <si>
    <t>002939</t>
  </si>
  <si>
    <t>REPUESTO CANE ANILLOSEEGER RS5X0,7 (121107)</t>
  </si>
  <si>
    <t>002940</t>
  </si>
  <si>
    <t>REPUESTO CANE EMPAQUETADURA (18017)</t>
  </si>
  <si>
    <t>002941</t>
  </si>
  <si>
    <t>REPUESTO CANE JUNTA (108007)</t>
  </si>
  <si>
    <t>002942</t>
  </si>
  <si>
    <t>REPUESTO CANE GUIA DE AGUJA (108006)</t>
  </si>
  <si>
    <t>002943</t>
  </si>
  <si>
    <t>REPUESTO CANE AGUJA (108505)</t>
  </si>
  <si>
    <t>002944</t>
  </si>
  <si>
    <t>REPUESTO CANE RESORTE DE AGUJA (108014)</t>
  </si>
  <si>
    <t>002945</t>
  </si>
  <si>
    <t>REPUESTO CANE PERILLA REG.PRODUCTO (107511)</t>
  </si>
  <si>
    <t>002946</t>
  </si>
  <si>
    <t>REPUESTO CANE TORNILLO PRENSAESTOPA (20707)</t>
  </si>
  <si>
    <t>002947</t>
  </si>
  <si>
    <t>REPUESTO CANE EMPAQUETADURA (3062)</t>
  </si>
  <si>
    <t>002948</t>
  </si>
  <si>
    <t>REPUESTO CANE CUERPO VALVULA AIRE (108145)</t>
  </si>
  <si>
    <t>002949</t>
  </si>
  <si>
    <t>REPUESTO CANE VASTAGO VALVULA AIRE (108149)</t>
  </si>
  <si>
    <t>002950</t>
  </si>
  <si>
    <t>REPUESTO CANE RESORTE VALVULA AIRE (108150)</t>
  </si>
  <si>
    <t>002951</t>
  </si>
  <si>
    <t>REPUESTO CANE ARANDELA DE CIERRE (108146)</t>
  </si>
  <si>
    <t>002952</t>
  </si>
  <si>
    <t>REPUESTO CANE VALVULA AIRE (108548)</t>
  </si>
  <si>
    <t>002953</t>
  </si>
  <si>
    <t>REPUESTO CANE PASADOR DEL GATILLO (108524)</t>
  </si>
  <si>
    <t>002954</t>
  </si>
  <si>
    <t>REPUESTO CANE GATILLO (108023)</t>
  </si>
  <si>
    <t>002955</t>
  </si>
  <si>
    <t>REPUESTO CANE REGULADOR CAUDAL (125100)</t>
  </si>
  <si>
    <t>002956</t>
  </si>
  <si>
    <t>REPUESTO CANE TUBO SUCCION (146102)</t>
  </si>
  <si>
    <t>002957</t>
  </si>
  <si>
    <t>REPUESTO CANE TUBO SUCCION (121027)</t>
  </si>
  <si>
    <t>002958</t>
  </si>
  <si>
    <t>REPUESTO CANE TRAVESAÏ¿½O (126031)</t>
  </si>
  <si>
    <t>002959</t>
  </si>
  <si>
    <t>REPUESTO CANE ARANDELA FRICCION (126039)</t>
  </si>
  <si>
    <t>002960</t>
  </si>
  <si>
    <t>REPUESTO CANE LEVA DE CIERRE RAPIDO (126032)</t>
  </si>
  <si>
    <t>002961</t>
  </si>
  <si>
    <t>REPUESTO CANE TAPA DE TAZA (126033)</t>
  </si>
  <si>
    <t>002962</t>
  </si>
  <si>
    <t>REPUESTO CANE JUNTA DE TAPA (6035)</t>
  </si>
  <si>
    <t>002963</t>
  </si>
  <si>
    <t>REPUESTO CANE TUERCA TUBO SUCCION (6034)</t>
  </si>
  <si>
    <t>002964</t>
  </si>
  <si>
    <t>REPUESTO CANE ARANDELA ANTIGOTEO (121025)</t>
  </si>
  <si>
    <t>002965</t>
  </si>
  <si>
    <t>REPUESTO CANE TAPA Y TUBO SUCCION (146107)</t>
  </si>
  <si>
    <t>002966</t>
  </si>
  <si>
    <t>REPUESTO CANE TAZA (6036)</t>
  </si>
  <si>
    <t>002967</t>
  </si>
  <si>
    <t>REPUESTO CANE FILTRO P/PINTURA (121033)</t>
  </si>
  <si>
    <t>002968</t>
  </si>
  <si>
    <t>ESMALTE EPOXI ALBA MULTIPROPOSITO BLANCO X 1</t>
  </si>
  <si>
    <t>002969</t>
  </si>
  <si>
    <t>ESMALTE EPOXI ALBA MULTIPROPOSITO BLANCO X 4</t>
  </si>
  <si>
    <t>002970</t>
  </si>
  <si>
    <t>ESMALTE EPOXI ALBA MULTIPROPOSITO NEGRO X 1</t>
  </si>
  <si>
    <t>002971</t>
  </si>
  <si>
    <t>ESMALTE EPOXI ALBA MULTIPROPOSITO NEGRO X 4</t>
  </si>
  <si>
    <t>002972</t>
  </si>
  <si>
    <t>ESMALTE EPOXI ALBA MULTIPROPOSITO BERMELLON X 1</t>
  </si>
  <si>
    <t>002973</t>
  </si>
  <si>
    <t>ESMALTE EPOXI ALBA MULTIPROPOSITO BERMELLON X 4</t>
  </si>
  <si>
    <t>002974</t>
  </si>
  <si>
    <t>ESMALTE EPOXI ALBA MULTIPROPOSITO VERDE X 1</t>
  </si>
  <si>
    <t>002975</t>
  </si>
  <si>
    <t>ESMALTE EPOXI ALBA MULTIPROPOSITO VERDE X 4</t>
  </si>
  <si>
    <t>002976</t>
  </si>
  <si>
    <t>ESMALTE EPOXI ALBA MULTIPROPOSITO GRIS HIELO X 1</t>
  </si>
  <si>
    <t>002977</t>
  </si>
  <si>
    <t>ESMALTE EPOXI ALBA MULTIPROPOSITO GRIS HIELO X 4</t>
  </si>
  <si>
    <t>002978</t>
  </si>
  <si>
    <t>EQUIPO PARA PINTAR ADIABATIC EC.2000</t>
  </si>
  <si>
    <t>002979</t>
  </si>
  <si>
    <t>EQUIPO PARA PINTAR ADIABATIC EC.3000</t>
  </si>
  <si>
    <t>002980</t>
  </si>
  <si>
    <t>LATEX EXTERIOR TERSUAVE LAVABLE BLANCO X 20</t>
  </si>
  <si>
    <t>002981</t>
  </si>
  <si>
    <t>LATEX EXTERIOR TERSUAVE LAVABLE AMARILLO X 20</t>
  </si>
  <si>
    <t>002982</t>
  </si>
  <si>
    <t>LATEX EXTERIOR TERSUAVE LAVABLE AZUL CIELO X 20</t>
  </si>
  <si>
    <t>002983</t>
  </si>
  <si>
    <t>LATEX EXTERIOR TERSUAVE LAVABLE AZUL TRAFUL X 20</t>
  </si>
  <si>
    <t>002984</t>
  </si>
  <si>
    <t>LATEX EXTERIOR TERSUAVE LAVABLE BERMELLON X 20</t>
  </si>
  <si>
    <t>002985</t>
  </si>
  <si>
    <t>LATEX EXTERIOR TERSUAVE LAVABLE CHOCOLATE X 20</t>
  </si>
  <si>
    <t>002986</t>
  </si>
  <si>
    <t>LATEX EXTERIOR TERSUAVE LAVABLE GRIS ACERO X 20</t>
  </si>
  <si>
    <t>002987</t>
  </si>
  <si>
    <t>LATEX EXTERIOR TERSUAVE LAVABLE GRIS CEMENTO X 20</t>
  </si>
  <si>
    <t>002988</t>
  </si>
  <si>
    <t>LATEX EXTERIOR TERSUAVE LAVABLE MARRON AFRICANO X 20</t>
  </si>
  <si>
    <t>002989</t>
  </si>
  <si>
    <t>LATEX EXTERIOR TERSUAVE LAVABLE NEGRO EBANO X 20</t>
  </si>
  <si>
    <t>002990</t>
  </si>
  <si>
    <t>LATEX EXTERIOR TERSUAVE LAVABLE OCRE X 20</t>
  </si>
  <si>
    <t>002991</t>
  </si>
  <si>
    <t>LATEX EXTERIOR TERSUAVE LAVABLE ROJO BORGOGNA X 20</t>
  </si>
  <si>
    <t>002992</t>
  </si>
  <si>
    <t>LATEX EXTERIOR TERSUAVE LAVABLE ROJO TEJA X 20</t>
  </si>
  <si>
    <t>002993</t>
  </si>
  <si>
    <t>LATEX EXTERIOR TERSUAVE LAVABLE ROSA VIEJO X 20</t>
  </si>
  <si>
    <t>002994</t>
  </si>
  <si>
    <t>LATEX EXTERIOR TERSUAVE LAVABLE VERDE FORESTA X 20</t>
  </si>
  <si>
    <t>002995</t>
  </si>
  <si>
    <t>LATEX EXTERIOR TERSUAVE LAVABLE VERDE SAFARI X 20</t>
  </si>
  <si>
    <t>002996</t>
  </si>
  <si>
    <t>LATEX EXTERIOR TERSUAVE LAVABLE VIOLETA DEL SUR X 20</t>
  </si>
  <si>
    <t>002997</t>
  </si>
  <si>
    <t>ESMALTE SINTETICO ALBALUX 2EN1 FORJA GRIS X 1</t>
  </si>
  <si>
    <t>002998</t>
  </si>
  <si>
    <t>ESMALTE SINTETICO ALBALUX 2EN1 FORJA GRIS X 4</t>
  </si>
  <si>
    <t>002999</t>
  </si>
  <si>
    <t>ESMALTE SINTETICO ALBALUX 2EN1 FORJA NEGRO X 1</t>
  </si>
  <si>
    <t>003000</t>
  </si>
  <si>
    <t>ESMALTE SINTETICO ALBALUX 2EN1 FORJA NEGRO X 4</t>
  </si>
  <si>
    <t>003001</t>
  </si>
  <si>
    <t>ESMALTE SINTETICO ALBALUX 2EN1 MARTILLADO GRIS X 1</t>
  </si>
  <si>
    <t>003002</t>
  </si>
  <si>
    <t>ESMALTE SINTETICO ALBALUX 2EN1 MARTILLADO GRIS X 4</t>
  </si>
  <si>
    <t>003003</t>
  </si>
  <si>
    <t>ESMALTE SINTETICO ALBALUX 2EN1 MARTILLADO GRIS PLATA X 1</t>
  </si>
  <si>
    <t>003004</t>
  </si>
  <si>
    <t>ESMALTE SINTETICO ALBALUX 2EN1 MARTILLADO GRIS PLATA X 4</t>
  </si>
  <si>
    <t>003005</t>
  </si>
  <si>
    <t>ESMALTE SINTETICO ALBALUX 2EN1 MARTILLADO NEGRO X 1</t>
  </si>
  <si>
    <t>003006</t>
  </si>
  <si>
    <t>ESMALTE SINTETICO ALBALUX 2EN1 MARTILLADO NEGRO X 4</t>
  </si>
  <si>
    <t>003007</t>
  </si>
  <si>
    <t>FONDO EPOXI ALBA ROJO X 1</t>
  </si>
  <si>
    <t>003008</t>
  </si>
  <si>
    <t>CINTA ANTIDESLIZANTE DOBLE A TRANSPARENTE 25MM X 5M</t>
  </si>
  <si>
    <t>003009</t>
  </si>
  <si>
    <t>CINTA ANTIDESLIZANTE DOBLE A NEGRO 25MM X 5M</t>
  </si>
  <si>
    <t>003010</t>
  </si>
  <si>
    <t>COMPSUG3 COL.GRIS CUARZO FI/PE X 0,125</t>
  </si>
  <si>
    <t>003011</t>
  </si>
  <si>
    <t>COMPSUG3 COL.AZUL ATLÏ¿½NTICO FI/PE X 0,125</t>
  </si>
  <si>
    <t>003012</t>
  </si>
  <si>
    <t>ADITIVO ELECTROSTATICO X 4</t>
  </si>
  <si>
    <t>003013</t>
  </si>
  <si>
    <t>PINTURA PARA PILETA TERSUAVE AL AGUA AZUL X  1</t>
  </si>
  <si>
    <t>003014</t>
  </si>
  <si>
    <t>C565-6520 IMPRIMAC.PU A.SOL.X18  (DISCONTINUADO)</t>
  </si>
  <si>
    <t>003015</t>
  </si>
  <si>
    <t>PINTURA PARA PILETA TERSUAVE AL AGUA AZUL X  4</t>
  </si>
  <si>
    <t>003016</t>
  </si>
  <si>
    <t>ANTEOJO ROGUANT LIBUS ECOLINE INCOLORO(200452)</t>
  </si>
  <si>
    <t>003017</t>
  </si>
  <si>
    <t>ANTEOJO ROGUANT LIBUS ECOLINE GRIS(200450)</t>
  </si>
  <si>
    <t>003018</t>
  </si>
  <si>
    <t>ANTEOJO ROGUANT KORT GRIS HC(207602)(LIBUS ARGON)</t>
  </si>
  <si>
    <t>003019</t>
  </si>
  <si>
    <t>ANTEOJO ROGUANT KORT INCOLORO HC(207598) (LIBUS ARGON)</t>
  </si>
  <si>
    <t>003020</t>
  </si>
  <si>
    <t>IMPERMEABILIZANTE PARA FRENTES Y MUROS RECUPLAST GRIS CEMENTO X  1</t>
  </si>
  <si>
    <t>003021</t>
  </si>
  <si>
    <t>IMPERMEABILIZANTE PARA FRENTES Y MUROS RECUPLAST GRIS CEMENTO X  4</t>
  </si>
  <si>
    <t>003022</t>
  </si>
  <si>
    <t>IMPERMEABILIZANTE PARA FRENTES Y MUROS RECUPLAST GRIS CEMENTO X 10</t>
  </si>
  <si>
    <t>003023</t>
  </si>
  <si>
    <t>IMPERMEABILIZANTE PARA FRENTES Y MUROS RECUPLAST GRIS CEMENTO X 20</t>
  </si>
  <si>
    <t>003024</t>
  </si>
  <si>
    <t>CM-112 ALUMINIO GROSSL BRILHANTE X 1</t>
  </si>
  <si>
    <t>003025</t>
  </si>
  <si>
    <t>DIS. FIBRA G CERAM 180X22 # 36</t>
  </si>
  <si>
    <t>003026</t>
  </si>
  <si>
    <t>DIS. FIBRA G CERAM 180X22 # 50</t>
  </si>
  <si>
    <t>003027</t>
  </si>
  <si>
    <t>DIS. FIBRA G CERAM 180X22 # 60</t>
  </si>
  <si>
    <t>003028</t>
  </si>
  <si>
    <t>DIS. FIBRA G CERAM 180X22 # 80</t>
  </si>
  <si>
    <t>003029</t>
  </si>
  <si>
    <t>DIS. FIBRA G CERAM 180X22 #120</t>
  </si>
  <si>
    <t>003030</t>
  </si>
  <si>
    <t>CM-117 ALUMINIO FINO LUMINOSO X 1</t>
  </si>
  <si>
    <t>003031</t>
  </si>
  <si>
    <t>BP-10.01 CLEARS BASE BLANCA BICAPA ACS X 3.500</t>
  </si>
  <si>
    <t>003032</t>
  </si>
  <si>
    <t>ANTEOJO ROGUANT ELVEX AVION SG-18C-ARG</t>
  </si>
  <si>
    <t>003033</t>
  </si>
  <si>
    <t>ANTEOJO ROGUANT ELVEX AVION SG-18G-ARG</t>
  </si>
  <si>
    <t>003034</t>
  </si>
  <si>
    <t>COMP.BICA.G1 ROJO ASTI FI/PE X 0,125</t>
  </si>
  <si>
    <t>003035</t>
  </si>
  <si>
    <t>IMPERMEABLIZANTE PARA TECHOS RECUPLAST TECHOS TEJA X  1,200</t>
  </si>
  <si>
    <t>003036</t>
  </si>
  <si>
    <t>IMPERMEABLIZANTE PARA TECHOS RECUPLAST TECHOS TEJA X  5</t>
  </si>
  <si>
    <t>003037</t>
  </si>
  <si>
    <t>IMPERMEABLIZANTE PARA TECHOS RECUPLAST TECHOS TEJA X 10</t>
  </si>
  <si>
    <t>003038</t>
  </si>
  <si>
    <t>IMPERMEABLIZANTE PARA TECHOS RECUPLAST TECHOS TEJA X 20</t>
  </si>
  <si>
    <t>003039</t>
  </si>
  <si>
    <t>AEROSOL TERSUAVE ESMALTE SINTETICO DOBLE ACCION BRILLANTE BLANCO X 0,250</t>
  </si>
  <si>
    <t>003040</t>
  </si>
  <si>
    <t>AEROSOL TERSUAVE ESMALTE SINTETICO DOBLE ACCION BRILLANTE BERMELLON X 0,250</t>
  </si>
  <si>
    <t>003041</t>
  </si>
  <si>
    <t>AEROSOL TERSUAVE ESMALTE SINTETICO DOBLE ACCION BRILLANTE NEGRO X 0,250</t>
  </si>
  <si>
    <t>003042</t>
  </si>
  <si>
    <t>AEROSOL TERSUAVE ESMALTE SINTETICO DOBLE ACCION BRILLANTE VERDE INGLES X 0,250</t>
  </si>
  <si>
    <t>003043</t>
  </si>
  <si>
    <t>DRAGER-MASCARILLA X-PLORE 1350 N95</t>
  </si>
  <si>
    <t>003044</t>
  </si>
  <si>
    <t>DRAGER-MASCARILLA X-PLORE 1350 N95 VALVULA</t>
  </si>
  <si>
    <t>003045</t>
  </si>
  <si>
    <t>CM-076 ROJO BRILL X 1</t>
  </si>
  <si>
    <t>003046</t>
  </si>
  <si>
    <t>DRAGER-SEMIMASCARA X-PLORE 3300</t>
  </si>
  <si>
    <t>003047</t>
  </si>
  <si>
    <t>DRAGER-SEMIMASCARA X-PLORE 3500</t>
  </si>
  <si>
    <t>003048</t>
  </si>
  <si>
    <t>CM-110 ALUMINIO FINO X 1</t>
  </si>
  <si>
    <t>003049</t>
  </si>
  <si>
    <t>GUANTES TACTIL KELY 26-109 T09 X 2</t>
  </si>
  <si>
    <t>003050</t>
  </si>
  <si>
    <t>GUANTES TACTIL KELY 26-109 T10 X 2</t>
  </si>
  <si>
    <t>003051</t>
  </si>
  <si>
    <t>PINTURA PARA PILETA TERSUAVE AL AGUA AZUL X 10</t>
  </si>
  <si>
    <t>003052</t>
  </si>
  <si>
    <t>PINTURA PARA PILETA TERSUAVE AL AGUA AZUL X 20</t>
  </si>
  <si>
    <t>003053</t>
  </si>
  <si>
    <t>ESTENS.ALUM.2HOJAS (EAR 2-216) 8 ESC.</t>
  </si>
  <si>
    <t>003054</t>
  </si>
  <si>
    <t>PINTURA PARA PILETA TERSUAVE AL AGUA BLANCO X  1</t>
  </si>
  <si>
    <t>003055</t>
  </si>
  <si>
    <t>PINTURA PARA PILETA TERSUAVE AL AGUA BLANCO X  4</t>
  </si>
  <si>
    <t>003056</t>
  </si>
  <si>
    <t>PINTURA PARA PILETA TERSUAVE AL AGUA BLANCO X 10</t>
  </si>
  <si>
    <t>003057</t>
  </si>
  <si>
    <t>PINTURA PARA PILETA TERSUAVE AL AGUA BLANCO X 20</t>
  </si>
  <si>
    <t>003058</t>
  </si>
  <si>
    <t>PINTURA PARA PILETA TERSUAVE AL SOLVENTE CELESTE X  1</t>
  </si>
  <si>
    <t>003059</t>
  </si>
  <si>
    <t>PINTURA PARA PILETA TERSUAVE AL SOLVENTE CELESTE X  4</t>
  </si>
  <si>
    <t>003060</t>
  </si>
  <si>
    <t>PINTURA PARA PILETA TERSUAVE AL SOLVENTE CELESTE X 10</t>
  </si>
  <si>
    <t>003061</t>
  </si>
  <si>
    <t>PINTURA PARA PILETA TERSUAVE AL SOLVENTE CELESTE X 20</t>
  </si>
  <si>
    <t>003062</t>
  </si>
  <si>
    <t>PINTURA PARA PILETA TERSUAVE AL SOLVENTE AZUL X  1</t>
  </si>
  <si>
    <t>003063</t>
  </si>
  <si>
    <t>PINTURA PARA PILETA TERSUAVE AL SOLVENTE AZUL X  4</t>
  </si>
  <si>
    <t>003064</t>
  </si>
  <si>
    <t>PINTURA PARA PILETA TERSUAVE AL SOLVENTE AZUL X 10</t>
  </si>
  <si>
    <t>003065</t>
  </si>
  <si>
    <t>COMPSUG6 COL.ROJO GRANADA FI/PE X 0,125</t>
  </si>
  <si>
    <t>003066</t>
  </si>
  <si>
    <t>DRAGER-FILTRO A1 P/VAPORES ORGANICOS</t>
  </si>
  <si>
    <t>003067</t>
  </si>
  <si>
    <t>COMP.BICA.G4 GRIS CRÏ¿½TER FI/PE X 0,125</t>
  </si>
  <si>
    <t>003068</t>
  </si>
  <si>
    <t>COMPSUG5 COL.AZUL PRUSIA FI/PE X 0,125</t>
  </si>
  <si>
    <t>003069</t>
  </si>
  <si>
    <t>CM-116 ALUMINIO MEDIO X 1</t>
  </si>
  <si>
    <t>003070</t>
  </si>
  <si>
    <t>PINTURA PARA PILETA TERSUAVE AL SOLVENTE AZUL X 20</t>
  </si>
  <si>
    <t>003071</t>
  </si>
  <si>
    <t>PINTURA PARA PILETA TERSUAVE AL SOLVENTE BLANCO X  1</t>
  </si>
  <si>
    <t>003072</t>
  </si>
  <si>
    <t>STUCCADO REV.AC CITRINA X 5</t>
  </si>
  <si>
    <t>003073</t>
  </si>
  <si>
    <t>PINTURA PARA PILETA TERSUAVE AL SOLVENTE BLANCO X  4</t>
  </si>
  <si>
    <t>003074</t>
  </si>
  <si>
    <t>STUCCADO REV.AC ESMERALDA X 5</t>
  </si>
  <si>
    <t>003075</t>
  </si>
  <si>
    <t>PINTURA PARA PILETA TERSUAVE AL SOLVENTE BLANCO X 10</t>
  </si>
  <si>
    <t>003076</t>
  </si>
  <si>
    <t>STUCCADO REV.AC GRANATE X 5</t>
  </si>
  <si>
    <t>003077</t>
  </si>
  <si>
    <t>PINTURA PARA PILETA TERSUAVE AL SOLVENTE BLANCO X 20</t>
  </si>
  <si>
    <t>003078</t>
  </si>
  <si>
    <t>STUCCADO REV.AC JASPE X 5</t>
  </si>
  <si>
    <t>003079</t>
  </si>
  <si>
    <t>3D GLASS POLISH COMPUESTO PULIDOR DE VIDRIOS 521OZ32 X 1</t>
  </si>
  <si>
    <t>003080</t>
  </si>
  <si>
    <t>STUCCADO REV.AC RUBI X 5</t>
  </si>
  <si>
    <t>003081</t>
  </si>
  <si>
    <t>CINTA ANTIDESLIZANTE RAPIFIX (2200) 25MM X 5MTS</t>
  </si>
  <si>
    <t>003082</t>
  </si>
  <si>
    <t>STUCCADO REV.AC SAFIRO X 5</t>
  </si>
  <si>
    <t>003083</t>
  </si>
  <si>
    <t>SELLADOR SILICONA ACETICA WEBER S BLANCO X 0,300</t>
  </si>
  <si>
    <t>003084</t>
  </si>
  <si>
    <t>LATEX INTERIOR ALBALATEX DESIGN MATE ROJO INTENSO X 1</t>
  </si>
  <si>
    <t>003085</t>
  </si>
  <si>
    <t>LATEX INTERIOR ALBALATEX DESIGN MATE ROJO INTENSO X 4</t>
  </si>
  <si>
    <t>003086</t>
  </si>
  <si>
    <t>LATEX INTERIOR ALBALATEX DESIGN MATE AMARILLO LATINO X 1</t>
  </si>
  <si>
    <t>003087</t>
  </si>
  <si>
    <t>LATEX INTERIOR ALBALATEX DESIGN MATE AMARILLO LATINO X 4</t>
  </si>
  <si>
    <t>003088</t>
  </si>
  <si>
    <t>LATEX INTERIOR ALBALATEX DESIGN MATE VERDE EXOTICO X 1</t>
  </si>
  <si>
    <t>003089</t>
  </si>
  <si>
    <t>LATEX INTERIOR ALBALATEX DESIGN MATE VERDE EXOTICO X 4</t>
  </si>
  <si>
    <t>003090</t>
  </si>
  <si>
    <t>LATEX INTERIOR ALBALATEX DESIGN MATE AZUL BAHAMAS X 1</t>
  </si>
  <si>
    <t>003091</t>
  </si>
  <si>
    <t>LATEX INTERIOR ALBALATEX DESIGN MATE AZUL BAHAMAS X 4</t>
  </si>
  <si>
    <t>003092</t>
  </si>
  <si>
    <t>LATEX INTERIOR ALBALATEX DESIGN MATE VIOLETA ESTELAR X 1</t>
  </si>
  <si>
    <t>003093</t>
  </si>
  <si>
    <t>LATEX INTERIOR ALBALATEX DESIGN MATE VIOLETA ESTELAR X 4</t>
  </si>
  <si>
    <t>003094</t>
  </si>
  <si>
    <t>LATEX INTERIOR ALBALATEX DESIGN MATE NARANJA DULCE X 1</t>
  </si>
  <si>
    <t>003095</t>
  </si>
  <si>
    <t>LATEX INTERIOR ALBALATEX DESIGN MATE NARANJA DULCE X 4</t>
  </si>
  <si>
    <t>003096</t>
  </si>
  <si>
    <t>LATEX INTERIOR ALBALATEX DESIGN MATE LEYENDA X 1</t>
  </si>
  <si>
    <t>003097</t>
  </si>
  <si>
    <t>LATEX INTERIOR ALBALATEX DESIGN MATE LEYENDA X 4</t>
  </si>
  <si>
    <t>003098</t>
  </si>
  <si>
    <t>LATEX INTERIOR ALBALATEX DESIGN MATE GRIS CINCEL X 1</t>
  </si>
  <si>
    <t>003099</t>
  </si>
  <si>
    <t>LATEX INTERIOR ALBALATEX DESIGN MATE GRIS CINCEL X 4</t>
  </si>
  <si>
    <t>003100</t>
  </si>
  <si>
    <t>LATEX INTERIOR ALBALATEX DESIGN MATE BLANCO X  1</t>
  </si>
  <si>
    <t>003101</t>
  </si>
  <si>
    <t>LATEX INTERIOR ALBALATEX DESIGN MATE BLANCO X  4</t>
  </si>
  <si>
    <t>003102</t>
  </si>
  <si>
    <t>LATEX INTERIOR ALBALATEX DESIGN MATE BLANCO X 10</t>
  </si>
  <si>
    <t>003103</t>
  </si>
  <si>
    <t>LATEX INTERIOR ALBALATEX DESIGN MATE BLANCO X 20</t>
  </si>
  <si>
    <t>003104</t>
  </si>
  <si>
    <t>FONDO CONVERTIDOR DE OXIDO TERSUAVE MATE BLANCO X  0,500</t>
  </si>
  <si>
    <t>003105</t>
  </si>
  <si>
    <t>FONDO CONVERTIDOR DE OXIDO TERSUAVE MATE GRIS X  0,500</t>
  </si>
  <si>
    <t>003106</t>
  </si>
  <si>
    <t>DRAGER-RETENEDOR P/FILTRO PAD P2</t>
  </si>
  <si>
    <t>003107</t>
  </si>
  <si>
    <t>FONDO CONVERTIDOR DE OXIDO TERSUAVE MATE NEGRO X  0,500</t>
  </si>
  <si>
    <t>003108</t>
  </si>
  <si>
    <t>DRAGER-PREFILTRO PAD P2 (202600)</t>
  </si>
  <si>
    <t>003109</t>
  </si>
  <si>
    <t>FONDO CONVERTIDOR DE OXIDO TERSUAVE MATE ROJO X  0,500</t>
  </si>
  <si>
    <t>003110</t>
  </si>
  <si>
    <t>AEROSOL TERSUAVE ESMALTE SINTETICO BRILLANTE BLANCO X 0,250</t>
  </si>
  <si>
    <t>003111</t>
  </si>
  <si>
    <t>AEROSOL TERSUAVE ESMALTE SINTETICO BRILLANTE BERMELLON X 0,250</t>
  </si>
  <si>
    <t>003112</t>
  </si>
  <si>
    <t>AEROSOL TERSUAVE ESMALTE SINTETICO BRILLANTE NARANJA X 0,250</t>
  </si>
  <si>
    <t>003113</t>
  </si>
  <si>
    <t>AEROSOL TERSUAVE ESMALTE SINTETICO BRILLANTE AMARILLO X 0,250</t>
  </si>
  <si>
    <t>003114</t>
  </si>
  <si>
    <t>RODILLOS ECO 17/22</t>
  </si>
  <si>
    <t>003115</t>
  </si>
  <si>
    <t>AEROSOL TERSUAVE ESMALTE SINTETICO BRILLANTE NEGRO X 0,250</t>
  </si>
  <si>
    <t>003116</t>
  </si>
  <si>
    <t>AEROSOL TERSUAVE ESMALTE SINTETICO MATE NEGRO X 0,250</t>
  </si>
  <si>
    <t>003117</t>
  </si>
  <si>
    <t>AEROSOL TERSUAVE ESMALTE SINTETICO BRILLANTE AZUL X 0,250</t>
  </si>
  <si>
    <t>003118</t>
  </si>
  <si>
    <t>RODILLOS PREMIUN 17/22</t>
  </si>
  <si>
    <t>003119</t>
  </si>
  <si>
    <t>AEROSOL TERSUAVE ESMALTE SINTETICO BRILLANTE VERDE INGLES X 0,250</t>
  </si>
  <si>
    <t>003120</t>
  </si>
  <si>
    <t>AEROSOL TERSUAVE ESMALTE SINTETICO BRILLANTE MARRON X 0,250</t>
  </si>
  <si>
    <t>003121</t>
  </si>
  <si>
    <t>AEROSOL TERSUAVE CONVERTIDOR DE OXIDO MATE ROJO X 0,250</t>
  </si>
  <si>
    <t>003122</t>
  </si>
  <si>
    <t>AEROSOL TERSUAVE BARNIZ BRILLANTE INCOLORO X 0,250</t>
  </si>
  <si>
    <t>003123</t>
  </si>
  <si>
    <t>PINCELETAS VARIOS</t>
  </si>
  <si>
    <t>003124</t>
  </si>
  <si>
    <t>AEROSOL TERSUAVE ESMALTE SINTETICO MATE BLANCO X 0,250</t>
  </si>
  <si>
    <t>003125</t>
  </si>
  <si>
    <t>AEROSOL TERSUAVE ESMALTE SINTETICO FLUO MATE VERDE X 0,250</t>
  </si>
  <si>
    <t>003126</t>
  </si>
  <si>
    <t>AEROSOL TERSUAVE ESMALTE SINTETICO BRILLANTE CELESTE X 0,250</t>
  </si>
  <si>
    <t>003127</t>
  </si>
  <si>
    <t>AEROSOL TERSUAVE ESMALTE SINTETICO BRILLANTE MARFIL SEDA X 0,250</t>
  </si>
  <si>
    <t>003128</t>
  </si>
  <si>
    <t>AEROSOL TERSUAVE ESMALTE SINTETICO FLUO MATE NARANJA X 0,250</t>
  </si>
  <si>
    <t>003129</t>
  </si>
  <si>
    <t>AEROSOL TERSUAVE ESMALTE SINTETICO BRILLANTE GRIS ESPACIAL X 0,250</t>
  </si>
  <si>
    <t>003130</t>
  </si>
  <si>
    <t>AEROSOL TERSUAVE ESMALTE SINTETICO FLUO MATE AMARILLO X 0,250</t>
  </si>
  <si>
    <t>003131</t>
  </si>
  <si>
    <t>AEROSOL TERSUAVE ESMALTE SINTETICO BRILLANTE TRAFUL X 0,250</t>
  </si>
  <si>
    <t>003132</t>
  </si>
  <si>
    <t>AEROSOL TERSUAVE ESMALTE SINTETICO SATINADO NEGRO X 0,250</t>
  </si>
  <si>
    <t>003133</t>
  </si>
  <si>
    <t>AEROSOL TERSUAVE ESMALTE SINTETICO FLUO MATE FUCSIA X 0,250</t>
  </si>
  <si>
    <t>003134</t>
  </si>
  <si>
    <t>AEROSOL TERSUAVE ESMALTE SINTETICO BRILLANTE VIOLETA X 0,250</t>
  </si>
  <si>
    <t>003135</t>
  </si>
  <si>
    <t>AEROSOL TERSUAVE ESMALTE SINTETICO FLUO MATE ROJO X 0,250</t>
  </si>
  <si>
    <t>003136</t>
  </si>
  <si>
    <t>FONDO CONVERTIDOR DE OXIDO TERSUAVE MATE VERDE X  0,500</t>
  </si>
  <si>
    <t>003137</t>
  </si>
  <si>
    <t>AEROSOL TERSUAVE ESMALTE SINTETICO BRILLANTE VIOLETA X 0,440</t>
  </si>
  <si>
    <t>003138</t>
  </si>
  <si>
    <t>AEROSOL TERSUAVE ESMALTE SINTETICO SATINADO BLANCO X 0,250</t>
  </si>
  <si>
    <t>003139</t>
  </si>
  <si>
    <t>AEROSOL TERSUAVE ESMALTE SINTETICO SATINADO NEGRO X 0,440</t>
  </si>
  <si>
    <t>003140</t>
  </si>
  <si>
    <t>AEROSOL TERSUAVE ESMALTE SINTETICO METALIZADO BRILLANTE ORO X 0,250</t>
  </si>
  <si>
    <t>003141</t>
  </si>
  <si>
    <t>AEROSOL TERSUAVE ESMALTE SINTETICO METALIZADO BRILLANTE COBRE X 0,250</t>
  </si>
  <si>
    <t>003142</t>
  </si>
  <si>
    <t>AEROSOL TERSUAVE ESMALTE SINTETICO METALIZADO BRILLANTE PLATA X 0,250</t>
  </si>
  <si>
    <t>003143</t>
  </si>
  <si>
    <t>AEROSOL TERSUAVE ESMALTE SINTETICO METALIZADO BRILLANTE BRONCE X 0,250</t>
  </si>
  <si>
    <t>003144</t>
  </si>
  <si>
    <t>AEROSOL TERSUAVE ESMALTE EFECTO ESMERILADO X 0,250</t>
  </si>
  <si>
    <t>003145</t>
  </si>
  <si>
    <t>AEROSOL TERSUAVE CONVERTIDOR DE OXIDO MATE NEGRO X 0,250</t>
  </si>
  <si>
    <t>003146</t>
  </si>
  <si>
    <t>TERPLAST ROMANO MEDIO TONO CERRADO (3256-D) X 30</t>
  </si>
  <si>
    <t>003147</t>
  </si>
  <si>
    <t>ESCALERA ALUM.1HOJA (SAR 2-108) 8 ESC.</t>
  </si>
  <si>
    <t>003148</t>
  </si>
  <si>
    <t>ESCALERA ALUM.1HOJA (SAR 2-109) 9 ESC.</t>
  </si>
  <si>
    <t>003149</t>
  </si>
  <si>
    <t>TERPLAST ROMANO MEDIO BESO DE ALMENDRA (3353-P) X 30</t>
  </si>
  <si>
    <t>003150</t>
  </si>
  <si>
    <t>ESCALERA ALUM.1HOJA (SAR 2-111) 11 ESC.</t>
  </si>
  <si>
    <t>003151</t>
  </si>
  <si>
    <t>CINTA DOBLE FAZ RAPIFIX (380) 12MM</t>
  </si>
  <si>
    <t>003152</t>
  </si>
  <si>
    <t>ESCALERA ALUM.1HOJA (SAR 2-113) 13 ESC.</t>
  </si>
  <si>
    <t>003153</t>
  </si>
  <si>
    <t>ESCALERA ALUM.1HOJA (SAR 2-114) 14 ESC.</t>
  </si>
  <si>
    <t>003154</t>
  </si>
  <si>
    <t>CINTA DOBLE FAZ RAPIFIX (380) 18MM</t>
  </si>
  <si>
    <t>003155</t>
  </si>
  <si>
    <t>CINTA DOBLE FAZ RAPIFIX (380) 24MM</t>
  </si>
  <si>
    <t>003156</t>
  </si>
  <si>
    <t>CINTA DOBLE FAZ RAPIFIX (380) 36MM</t>
  </si>
  <si>
    <t>003157</t>
  </si>
  <si>
    <t>CINTA DOBLE FAZ RAPIFIX (380) 48MM</t>
  </si>
  <si>
    <t>003158</t>
  </si>
  <si>
    <t>COMPSUG5 COL.GRIS ACERO FIAT X 0,125</t>
  </si>
  <si>
    <t>003159</t>
  </si>
  <si>
    <t>COMP.BICA.G2 GRIS TREND FIAT X 0,125</t>
  </si>
  <si>
    <t>003160</t>
  </si>
  <si>
    <t>BASE NIVELADORA REVEAR X 30</t>
  </si>
  <si>
    <t>003161</t>
  </si>
  <si>
    <t>COMP.BICA.G2 AZUL SANTIAGO FIAT X 0,125</t>
  </si>
  <si>
    <t>003162</t>
  </si>
  <si>
    <t>EQUIPO PARA PINTAR ADIABATIC PROFESIONAL FOGL</t>
  </si>
  <si>
    <t>003163</t>
  </si>
  <si>
    <t>COMPSUG1 COL.BLANCO BANQUIZA FIAT X 0,125</t>
  </si>
  <si>
    <t>003164</t>
  </si>
  <si>
    <t>LATEX INTERIOR ALBALATEX ULTRALAVABLE MATE BLANCO X  1</t>
  </si>
  <si>
    <t>003165</t>
  </si>
  <si>
    <t>LATEX INTERIOR ALBALATEX ULTRALAVABLE MATE BLANCO X  4</t>
  </si>
  <si>
    <t>003166</t>
  </si>
  <si>
    <t>LATEX INTERIOR ALBALATEX ULTRALAVABLE MATE BLANCO X 10</t>
  </si>
  <si>
    <t>003167</t>
  </si>
  <si>
    <t>LATEX INTERIOR ALBALATEX ULTRALAVABLE MATE BLANCO X 20</t>
  </si>
  <si>
    <t>003168</t>
  </si>
  <si>
    <t>LATEX INTERIOR ALBALATEX ULTRALAVABLE MATE BASE P X  0,900</t>
  </si>
  <si>
    <t>003169</t>
  </si>
  <si>
    <t>LATEX INTERIOR ALBALATEX ULTRALAVABLE MATE BASE P X  3,600</t>
  </si>
  <si>
    <t>003170</t>
  </si>
  <si>
    <t>LATEX INTERIOR ALBALATEX ULTRALAVABLE MATE BASE P X  8,700</t>
  </si>
  <si>
    <t>003171</t>
  </si>
  <si>
    <t>LATEX INTERIOR ALBALATEX ULTRALAVABLE MATE BASE P X 17,400</t>
  </si>
  <si>
    <t>003172</t>
  </si>
  <si>
    <t>LATEX INTERIOR ALBALATEX ULTRALAVABLE MATE BASE F X  0,900</t>
  </si>
  <si>
    <t>003173</t>
  </si>
  <si>
    <t>LATEX INTERIOR ALBALATEX ULTRALAVABLE MATE BASE F X  3,600</t>
  </si>
  <si>
    <t>003174</t>
  </si>
  <si>
    <t>LATEX INTERIOR ALBALATEX ULTRALAVABLE MATE BASE F X  8,700</t>
  </si>
  <si>
    <t>003175</t>
  </si>
  <si>
    <t>LATEX INTERIOR ALBALATEX ULTRALAVABLE MATE BASE F X 17,40</t>
  </si>
  <si>
    <t>003176</t>
  </si>
  <si>
    <t>LATEX INTERIOR ALBALATEX ULTRALAVABLE MATE BASE T X  0,900</t>
  </si>
  <si>
    <t>003177</t>
  </si>
  <si>
    <t>LATEX INTERIOR ALBALATEX ULTRALAVABLE MATE BASE T X  3,600</t>
  </si>
  <si>
    <t>003178</t>
  </si>
  <si>
    <t>ZM INTERTHERM 50 ALUMINIO X 6</t>
  </si>
  <si>
    <t>003179</t>
  </si>
  <si>
    <t>AEROSOL TERSUAVE CONVERTIDOR DE OXIDO MATE BLANCO X 0,250</t>
  </si>
  <si>
    <t>003180</t>
  </si>
  <si>
    <t>AEROSOL TERSUAVE CONVERTIDOR DE OXIDO MATE BLANCO X 0,440</t>
  </si>
  <si>
    <t>003181</t>
  </si>
  <si>
    <t>AEROSOL TERSUAVE ESMALTE SINTETICO MATE BLANCO X 0,440</t>
  </si>
  <si>
    <t>003182</t>
  </si>
  <si>
    <t>AEROSOL TERSUAVE ESMALTE SINTETICO BRILLANTE CELESTE X 0,440</t>
  </si>
  <si>
    <t>003183</t>
  </si>
  <si>
    <t>AEROSOL TERSUAVE ESMALTE SINTETICO BRILLANTE GRIS ESPACIAL X 0,440</t>
  </si>
  <si>
    <t>003184</t>
  </si>
  <si>
    <t>CM-069 NEGRO AMARILLENTO X 1 (DISCONTINUADO)</t>
  </si>
  <si>
    <t>003185</t>
  </si>
  <si>
    <t>BRILLOPLAST MAX GRUPO 4 X 0,250</t>
  </si>
  <si>
    <t>003186</t>
  </si>
  <si>
    <t>BRILLOPLAST MAX GRUPO 4 X 0,500</t>
  </si>
  <si>
    <t>003187</t>
  </si>
  <si>
    <t>BRILLOPLAST MAX GRUPO 4 X 1</t>
  </si>
  <si>
    <t>003188</t>
  </si>
  <si>
    <t>BRILLOPLAST MAX GRUPO 4 X 4</t>
  </si>
  <si>
    <t>003189</t>
  </si>
  <si>
    <t>BRILLOPLAST MAX GRUPO 4 X 20</t>
  </si>
  <si>
    <t>003190</t>
  </si>
  <si>
    <t>CINTA DUCT TAPE DOBLE A AMARILLO</t>
  </si>
  <si>
    <t>003191</t>
  </si>
  <si>
    <t>CINTA DUCT TAPE DOBLE A AZUL</t>
  </si>
  <si>
    <t>003192</t>
  </si>
  <si>
    <t>CINTA DUCT TAPE DOBLE A BLANCO</t>
  </si>
  <si>
    <t>003193</t>
  </si>
  <si>
    <t>CINTA DUCT TAPE DOBLE A GRIS</t>
  </si>
  <si>
    <t>003194</t>
  </si>
  <si>
    <t>CINTA DUCT TAPE DOBLE A NARANJA</t>
  </si>
  <si>
    <t>003195</t>
  </si>
  <si>
    <t>CINTA DUCT TAPE DOBLE A NEGRO</t>
  </si>
  <si>
    <t>003196</t>
  </si>
  <si>
    <t>ESPUMA POLIURETANO WEBER X 0,300</t>
  </si>
  <si>
    <t>003197</t>
  </si>
  <si>
    <t>CINTA DUCT TAPE DOBLE A PURPURA</t>
  </si>
  <si>
    <t>003198</t>
  </si>
  <si>
    <t>CINTA DUCT TAPE DOBLE A ROJO</t>
  </si>
  <si>
    <t>003199</t>
  </si>
  <si>
    <t>CINTA DUCT TAPE DOBLE A VERDE</t>
  </si>
  <si>
    <t>003200</t>
  </si>
  <si>
    <t>CINTA DOBLE FAZ DOBLE A (592AA) 18MM X 30M</t>
  </si>
  <si>
    <t>003201</t>
  </si>
  <si>
    <t>CINTA DOBLE FAZ DOBLE A (592AA) 24MM X 30M</t>
  </si>
  <si>
    <t>003202</t>
  </si>
  <si>
    <t>CINTA DOBLE FAZ DOBLE A (592AA) 36MM X 30M</t>
  </si>
  <si>
    <t>003203</t>
  </si>
  <si>
    <t>CINTA DOBLE FAZ DOBLE A (592AA) 48MM X 30M</t>
  </si>
  <si>
    <t>003204</t>
  </si>
  <si>
    <t>FONDO CONVERTIDOR DE OXIDO TERSUAVE MATE BLANCO X  1</t>
  </si>
  <si>
    <t>003205</t>
  </si>
  <si>
    <t>FONDO CONVERTIDOR DE OXIDO TERSUAVE MATE GRIS X  1</t>
  </si>
  <si>
    <t>003206</t>
  </si>
  <si>
    <t>TAZA PLASTICA REFORZADA 1LT P/C2 ADIABATIC</t>
  </si>
  <si>
    <t>003207</t>
  </si>
  <si>
    <t>FONDO CONVERTIDOR DE OXIDO TERSUAVE MATE NEGRO X  1</t>
  </si>
  <si>
    <t>003208</t>
  </si>
  <si>
    <t>MANG.AIRE 7,5 M ACOP.RAP ADIABATIC (00MA7_5R)</t>
  </si>
  <si>
    <t>003209</t>
  </si>
  <si>
    <t>FONDO CONVERTIDOR DE OXIDO TERSUAVE MATE ROJO X  1</t>
  </si>
  <si>
    <t>003210</t>
  </si>
  <si>
    <t>AEROSOL TERSUAVE ESMALTE SINTETICO BRILLANTE PLATA X 0,250</t>
  </si>
  <si>
    <t>003211</t>
  </si>
  <si>
    <t>IMPRIMACION DEMARCACION VIAL TERVIAL BRILLANTE X  4</t>
  </si>
  <si>
    <t>003212</t>
  </si>
  <si>
    <t>IMPRIMACION DEMARCACION VIAL TERVIAL BRILLANTE X 20</t>
  </si>
  <si>
    <t>003213</t>
  </si>
  <si>
    <t>PISTOLA HVLP GP ADIABATIC</t>
  </si>
  <si>
    <t>003214</t>
  </si>
  <si>
    <t>MICROESFERA PARA SEMBRADO DROP-ON H80 X 1</t>
  </si>
  <si>
    <t>003215</t>
  </si>
  <si>
    <t>EFECTO ESPECIAL DESIGN BASE VELVET/NUAGE X 2,1</t>
  </si>
  <si>
    <t>003216</t>
  </si>
  <si>
    <t>MICROESFERAS DE PREMEZCLADO PRE-MIX P93 X 1</t>
  </si>
  <si>
    <t>003217</t>
  </si>
  <si>
    <t>LATEX INTERIOR ALBALATEX DESIGN MATE BASE P X  0,900</t>
  </si>
  <si>
    <t>003218</t>
  </si>
  <si>
    <t>LATEX INTERIOR ALBALATEX DESIGN MATE BASE P X  3,600</t>
  </si>
  <si>
    <t>003219</t>
  </si>
  <si>
    <t>LATEX INTERIOR ALBALATEX DESIGN MATE BASE P X  8,700</t>
  </si>
  <si>
    <t>003220</t>
  </si>
  <si>
    <t>LATEX INTERIOR ALBALATEX DESIGN MATE BASE P X 17,400</t>
  </si>
  <si>
    <t>003221</t>
  </si>
  <si>
    <t>CM-008 PRETO AZULADO X 1</t>
  </si>
  <si>
    <t>003222</t>
  </si>
  <si>
    <t>CM-070 AZUL MARINO X 1</t>
  </si>
  <si>
    <t>003223</t>
  </si>
  <si>
    <t>LATEX INTERIOR ALBALATEX DESIGN MATE BASE F X  0,900</t>
  </si>
  <si>
    <t>003224</t>
  </si>
  <si>
    <t>LATEX INTERIOR ALBALATEX DESIGN MATE BASE F X  3,600</t>
  </si>
  <si>
    <t>003225</t>
  </si>
  <si>
    <t>LATEX INTERIOR ALBALATEX DESIGN MATE BASE F X 17,400</t>
  </si>
  <si>
    <t>003226</t>
  </si>
  <si>
    <t>LATEX INTERIOR ALBALATEX DESIGN MATE BASE T X  0,900</t>
  </si>
  <si>
    <t>003227</t>
  </si>
  <si>
    <t>LATEX INTERIOR ALBALATEX DESIGN MATE BASE T X  3,600</t>
  </si>
  <si>
    <t>003228</t>
  </si>
  <si>
    <t>EFECTO ESPECIAL DESIGN BASE MARMOL X 3,240</t>
  </si>
  <si>
    <t>003229</t>
  </si>
  <si>
    <t>EFECTO ESPECIAL DESIGN BASE CEMENTO X 3,240</t>
  </si>
  <si>
    <t>003230</t>
  </si>
  <si>
    <t>AEROSOL TERSUAVE ESMALTE SINTETICO BRILLANTE ORO X 0,250</t>
  </si>
  <si>
    <t>003231</t>
  </si>
  <si>
    <t>AEROSOL TERSUAVE ESMALTE SINTETICO BRILLANTE COBRE X 0,250</t>
  </si>
  <si>
    <t>003232</t>
  </si>
  <si>
    <t>AEROSOL TERSUAVE ESMALTE SINTETICO BRILLANTE COBRE X 0,440</t>
  </si>
  <si>
    <t>003233</t>
  </si>
  <si>
    <t>REVEGLAZE LACA PROTECTORA X 1</t>
  </si>
  <si>
    <t>003234</t>
  </si>
  <si>
    <t>REVEGLAZE LACA PROTECTORA X 4</t>
  </si>
  <si>
    <t>003235</t>
  </si>
  <si>
    <t>REVEGLAZE LACA PROTECTORA X 20</t>
  </si>
  <si>
    <t>003236</t>
  </si>
  <si>
    <t>FONDO CONVERTIDOR DE OXIDO TERSUAVE MATE VERDE X  1</t>
  </si>
  <si>
    <t>003237</t>
  </si>
  <si>
    <t>AEROSOL TERSUAVE ESMALTE SINTETICO BRILLANTE MARRON X 0,440</t>
  </si>
  <si>
    <t>003238</t>
  </si>
  <si>
    <t>DISCO FOAM AZUL FINO(DFAZULF)</t>
  </si>
  <si>
    <t>003239</t>
  </si>
  <si>
    <t>DISCO FOAM AZUL SUPERFINO(DFAZULSF)</t>
  </si>
  <si>
    <t>003240</t>
  </si>
  <si>
    <t>DISCO FOAM AZUL MICROFINO(DFAZULMF)</t>
  </si>
  <si>
    <t>003241</t>
  </si>
  <si>
    <t>ABRAP DC ESP P 500(GRIS)</t>
  </si>
  <si>
    <t>003242</t>
  </si>
  <si>
    <t>ABRAP DC ESP P 800(AZUL)</t>
  </si>
  <si>
    <t>003243</t>
  </si>
  <si>
    <t>ABRAP DC ESP P1000/1200(VIOLETA)</t>
  </si>
  <si>
    <t>003244</t>
  </si>
  <si>
    <t>ABRAP DC ESP P1500/2000(NARANJA)</t>
  </si>
  <si>
    <t>003245</t>
  </si>
  <si>
    <t>ABRAP DC ESP P2500/3000(ROJO)</t>
  </si>
  <si>
    <t>003246</t>
  </si>
  <si>
    <t>ABRAP DC ESP P4000(VERDE)</t>
  </si>
  <si>
    <t>003247</t>
  </si>
  <si>
    <t>ABRAP DC ESP P5000(AMARILLO)</t>
  </si>
  <si>
    <t>003248</t>
  </si>
  <si>
    <t>FILM PARA ENMASCASCARAR 19MM X 35CM X 22,5</t>
  </si>
  <si>
    <t>003249</t>
  </si>
  <si>
    <t>FILM PARA ENMASCASCARAR 19MM X  60CM X 22,5</t>
  </si>
  <si>
    <t>003250</t>
  </si>
  <si>
    <t>FILM PARA ENMASCASCARAR 19MM X 90CM X 22,5</t>
  </si>
  <si>
    <t>003251</t>
  </si>
  <si>
    <t>FILM PARA ENMASCASCARAR 19MM X 120CM X 22,5</t>
  </si>
  <si>
    <t>003252</t>
  </si>
  <si>
    <t>SOPORTE DE PINTADO MULTIFUNCION</t>
  </si>
  <si>
    <t>003253</t>
  </si>
  <si>
    <t>KIT DE LIMPIEZA DE PISTOLAS</t>
  </si>
  <si>
    <t>003254</t>
  </si>
  <si>
    <t>CUCHILLA CORTA PLASTICOS</t>
  </si>
  <si>
    <t>003255</t>
  </si>
  <si>
    <t>SOPORTE MAGNETICO PARA PISTOLA</t>
  </si>
  <si>
    <t>003256</t>
  </si>
  <si>
    <t>PISTOLA PARA PINTAR ADIABATIC HVLP (PI-H827-14) (PI-H881-14)</t>
  </si>
  <si>
    <t>003257</t>
  </si>
  <si>
    <t>PISTOLA PARA PINTAR ADIABATIC ALTA PRESION (PI-S701-17)</t>
  </si>
  <si>
    <t>003258</t>
  </si>
  <si>
    <t>DILUYENTE AGUARRAS MINERAL X  1</t>
  </si>
  <si>
    <t>003259</t>
  </si>
  <si>
    <t>DILUYENTE AGUARRAS MINERAL X  4</t>
  </si>
  <si>
    <t>003260</t>
  </si>
  <si>
    <t>DILUYENTE AGUARRAS MINERAL X 10</t>
  </si>
  <si>
    <t>003261</t>
  </si>
  <si>
    <t>MANGUERA DE PINTURA DE 5MTS. ADIABATIC (00MPIN5M)</t>
  </si>
  <si>
    <t>003262</t>
  </si>
  <si>
    <t>MANGUERA DE AIRE DE 10MTS. ADIABATIC (00MAI10M)</t>
  </si>
  <si>
    <t>003263</t>
  </si>
  <si>
    <t>PISTOLA PARA PINTAR ADIABATIC TAZA AB.PROF.C2 PLUS P/EC2000</t>
  </si>
  <si>
    <t>003264</t>
  </si>
  <si>
    <t>PISTOLA PARA PINTAR ADIABATIC TAZA AB.PROF.C5 PLUS P/EC3000</t>
  </si>
  <si>
    <t>003265</t>
  </si>
  <si>
    <t>PISTOLA DE GRAVEDAD PARA PINTAR ADIABATIC TAZA DE PLASTICO</t>
  </si>
  <si>
    <t>003266</t>
  </si>
  <si>
    <t>NITRO COL.BLANCO 233 FIAT X0,125</t>
  </si>
  <si>
    <t>003267</t>
  </si>
  <si>
    <t>BIFURCADOR DE AIRE DE 2 SALIDAS ADIABATIC(00BIFAI2)</t>
  </si>
  <si>
    <t>003268</t>
  </si>
  <si>
    <t>TUERCA TAPON 24 X 1,5 MM ADIABATIC (0173DLL0)</t>
  </si>
  <si>
    <t>003269</t>
  </si>
  <si>
    <t>CR-303 BRANCO NEVE REDUZIDO X 1</t>
  </si>
  <si>
    <t>003270</t>
  </si>
  <si>
    <t>REPUESTO CANE PICO 1,8 MM HVG (200182)</t>
  </si>
  <si>
    <t>003271</t>
  </si>
  <si>
    <t>P41.04 PRIMER 2K ALTOS SOLIDOS ACS X 0.720</t>
  </si>
  <si>
    <t>003272</t>
  </si>
  <si>
    <t>A242 MASILLA ACR.FINA BEIGE X 0,200</t>
  </si>
  <si>
    <t>003273</t>
  </si>
  <si>
    <t>END010.32 CATALIZADOR NORMAL ACS X 0.180</t>
  </si>
  <si>
    <t>003274</t>
  </si>
  <si>
    <t>ESPONJA CARRO FINA (MARRON)</t>
  </si>
  <si>
    <t>003275</t>
  </si>
  <si>
    <t>ESPONJA CARRO SUPER FINA (VERDE)</t>
  </si>
  <si>
    <t>003276</t>
  </si>
  <si>
    <t>ESPONJA CARRO MICROFINA (LILA)</t>
  </si>
  <si>
    <t>003277</t>
  </si>
  <si>
    <t>CR-309 PRETO REDUZIDO X 1</t>
  </si>
  <si>
    <t>003278</t>
  </si>
  <si>
    <t>REVIVIDOR REVEAR P/TEXT X 4</t>
  </si>
  <si>
    <t>003279</t>
  </si>
  <si>
    <t>REVIVIDOR REVEAR P/TEXT X 20</t>
  </si>
  <si>
    <t>003280</t>
  </si>
  <si>
    <t>NITRO COL.AZUL MARINO FIAT X0,125</t>
  </si>
  <si>
    <t>003281</t>
  </si>
  <si>
    <t>COMPSUG1 COL.AZUL MEDITERRÏ¿½NEO FIAT X0,125</t>
  </si>
  <si>
    <t>003282</t>
  </si>
  <si>
    <t>LIJA AL AGUAAA CS # P 60</t>
  </si>
  <si>
    <t>003283</t>
  </si>
  <si>
    <t>LIJA AL AGUAAA CS # P 80</t>
  </si>
  <si>
    <t>003284</t>
  </si>
  <si>
    <t>LIJA AL AGUAAA CS # P100</t>
  </si>
  <si>
    <t>003285</t>
  </si>
  <si>
    <t>LIJA AL AGUAAA CS # P120</t>
  </si>
  <si>
    <t>003286</t>
  </si>
  <si>
    <t>LIJA AL AGUAAA CS # P150</t>
  </si>
  <si>
    <t>003287</t>
  </si>
  <si>
    <t>LIJA AL AGUAAA CS # P180</t>
  </si>
  <si>
    <t>003288</t>
  </si>
  <si>
    <t>LIJA AL AGUAAA CS # P220</t>
  </si>
  <si>
    <t>003289</t>
  </si>
  <si>
    <t>LIJA AL AGUAAA CS # P240</t>
  </si>
  <si>
    <t>003290</t>
  </si>
  <si>
    <t>LIJA AL AGUAAA CS # P280</t>
  </si>
  <si>
    <t>003291</t>
  </si>
  <si>
    <t>LIJA AL AGUAAA CS # P320</t>
  </si>
  <si>
    <t>003292</t>
  </si>
  <si>
    <t>LIJA AL AGUAAA CS # P360</t>
  </si>
  <si>
    <t>003293</t>
  </si>
  <si>
    <t>LIJA AL AGUAAA CS # P400</t>
  </si>
  <si>
    <t>003294</t>
  </si>
  <si>
    <t>LIJA AL AGUAAA CS # P600</t>
  </si>
  <si>
    <t>003295</t>
  </si>
  <si>
    <t>NITRO COL.ROJO CORSA FIAT X0,125</t>
  </si>
  <si>
    <t>003296</t>
  </si>
  <si>
    <t>CR-311 AZUL ESVERDEADO REDUZIDO X 1</t>
  </si>
  <si>
    <t>003297</t>
  </si>
  <si>
    <t>REVEPRIM IMPRIMACIÏ¿½N X 1</t>
  </si>
  <si>
    <t>003298</t>
  </si>
  <si>
    <t>REVEPRIM IMPRIMACIÏ¿½N X 4</t>
  </si>
  <si>
    <t>003299</t>
  </si>
  <si>
    <t>REVEPRIM IMPRIMACIÏ¿½N X 20</t>
  </si>
  <si>
    <t>003300</t>
  </si>
  <si>
    <t>LATEX INTERIOR/EXTERIOR PLAVICON PERFORMA MATE BLANCO X  4</t>
  </si>
  <si>
    <t>003301</t>
  </si>
  <si>
    <t>LATEX INTERIOR/EXTERIOR PLAVICON PERFORMA MATE BLANCO X 10</t>
  </si>
  <si>
    <t>003302</t>
  </si>
  <si>
    <t>LATEX INTERIOR/EXTERIOR PLAVICON PERFORMA MATE BLANCO X 20</t>
  </si>
  <si>
    <t>003303</t>
  </si>
  <si>
    <t>LATEX INTERIOR/EXTERIOR WEBERPINT MATE  BLANCO X  4</t>
  </si>
  <si>
    <t>003304</t>
  </si>
  <si>
    <t>FONDO CONVERTIDOR DE OXIDO TERSUAVE MATE BLANCO X  4</t>
  </si>
  <si>
    <t>003305</t>
  </si>
  <si>
    <t>FONDO CONVERTIDOR DE OXIDO TERSUAVE MATE GRIS X  4</t>
  </si>
  <si>
    <t>003306</t>
  </si>
  <si>
    <t>LATEX INTERIOR/EXTERIOR WEBERPINT MATE  BLANCO X 10</t>
  </si>
  <si>
    <t>003307</t>
  </si>
  <si>
    <t>FONDO CONVERTIDOR DE OXIDO TERSUAVE MATE NEGRO X  4</t>
  </si>
  <si>
    <t>003308</t>
  </si>
  <si>
    <t>LATEX INTERIOR/EXTERIOR WEBERPINT MATE  BLANCO X 20</t>
  </si>
  <si>
    <t>003309</t>
  </si>
  <si>
    <t>FONDO CONVERTIDOR DE OXIDO TERSUAVE MATE ROJO X  4</t>
  </si>
  <si>
    <t>003310</t>
  </si>
  <si>
    <t>AEROSOL TERSUAVE ESMALTE SINTETICO BRILLANTE BLANCO X 0,440</t>
  </si>
  <si>
    <t>003311</t>
  </si>
  <si>
    <t>AEROSOL TERSUAVE ESMALTE SINTETICO BRILLANTE BERMELLON X 0,440</t>
  </si>
  <si>
    <t>003312</t>
  </si>
  <si>
    <t>AEROSOL TERSUAVE ESMALTE SINTETICO BRILLANTE NARANJA X 0,440</t>
  </si>
  <si>
    <t>003313</t>
  </si>
  <si>
    <t>AEROSOL TERSUAVE ESMALTE SINTETICO BRILLANTE AMARILLO X 0,440</t>
  </si>
  <si>
    <t>003314</t>
  </si>
  <si>
    <t>AEROSOL TERSUAVE ESMALTE SINTETICO BRILLANTE NEGRO X 0,440</t>
  </si>
  <si>
    <t>003315</t>
  </si>
  <si>
    <t>AEROSOL TERSUAVE ESMALTE SINTETICO MATE NEGRO X 0,440</t>
  </si>
  <si>
    <t>003316</t>
  </si>
  <si>
    <t>AEROSOL TERSUAVE ESMALTE SINTETICO BRILLANTE AZUL X 0,440</t>
  </si>
  <si>
    <t>003317</t>
  </si>
  <si>
    <t>AEROSOL TERSUAVE ESMALTE SINTETICO BRILLANTE VERDE INGLES X 0,440</t>
  </si>
  <si>
    <t>003318</t>
  </si>
  <si>
    <t>AEROSOL TERSUAVE CONVERTIDOR DE OXIDO MATE ROJO X 0,440</t>
  </si>
  <si>
    <t>003319</t>
  </si>
  <si>
    <t>AEROSOL TERSUAVE ESMALTE SINTETICO BRILLANTE TRAFUL X 0,440</t>
  </si>
  <si>
    <t>003320</t>
  </si>
  <si>
    <t>AEROSOL TERSUAVE CONVERTIDOR DE OXIDO MATE NEGRO X 0,440</t>
  </si>
  <si>
    <t>003321</t>
  </si>
  <si>
    <t>ESPUMA POLIURETANO WEBER X 0,500</t>
  </si>
  <si>
    <t>003322</t>
  </si>
  <si>
    <t>AEROSOL TERSUAVE BARNIZ BRILLANTE INCOLORO X 0,440</t>
  </si>
  <si>
    <t>003323</t>
  </si>
  <si>
    <t>BUJE INT MANG.ACOPLE RAP ADIABATIC (1364CLS0)</t>
  </si>
  <si>
    <t>003324</t>
  </si>
  <si>
    <t>CLIP ACOPLE MANGUERA AIRE ADIABATIC (1357DLX0)</t>
  </si>
  <si>
    <t>003325</t>
  </si>
  <si>
    <t>BUJE EXT MANG.AIRE 2,5M ADIABATIC (1297DLA0)</t>
  </si>
  <si>
    <t>003326</t>
  </si>
  <si>
    <t>BUJE ACOPLE INT P/MANG.AIRE ADIABATIC (0166DLS0)</t>
  </si>
  <si>
    <t>003327</t>
  </si>
  <si>
    <t>AEROSOL TERSUAVE ESMALTE SINTETICO BRILLANTE MARFIL SEDA X 0,440</t>
  </si>
  <si>
    <t>003328</t>
  </si>
  <si>
    <t>ZM INTERZONE 954 GREY N6,5 X 3,6</t>
  </si>
  <si>
    <t>003329</t>
  </si>
  <si>
    <t>ZM INTERTHERM 228HS BLANCO X 3,6</t>
  </si>
  <si>
    <t>003330</t>
  </si>
  <si>
    <t>AEROSOL TERSUAVE ESMALTE SINTETICO BRILLANTE PLATA X 0,440</t>
  </si>
  <si>
    <t>003331</t>
  </si>
  <si>
    <t>IMPREGNANTE PARA MADERA TERSUAVE BRILLANTE CAOBA X  1</t>
  </si>
  <si>
    <t>003332</t>
  </si>
  <si>
    <t>IMPREGNANTE PARA MADERA TERSUAVE BRILLANTE CEDRO X  1</t>
  </si>
  <si>
    <t>003333</t>
  </si>
  <si>
    <t>IMPREGNANTE PARA MADERA TERSUAVE BRILLANTE CRISTAL X  1</t>
  </si>
  <si>
    <t>003334</t>
  </si>
  <si>
    <t>IMPREGNANTE PARA MADERA TERSUAVE BRILLANTE NATURAL X  1</t>
  </si>
  <si>
    <t>003335</t>
  </si>
  <si>
    <t>IMPREGNANTE PARA MADERA TERSUAVE BRILLANTE NOGAL X  1</t>
  </si>
  <si>
    <t>003336</t>
  </si>
  <si>
    <t>FONDO CONVERTIDOR DE OXIDO TERSUAVE MATE VERDE X  4</t>
  </si>
  <si>
    <t>003337</t>
  </si>
  <si>
    <t>IMPREGNANTE PARA MADERA TERSUAVE BRILLANTE ROBLE CLARO X  1</t>
  </si>
  <si>
    <t>003338</t>
  </si>
  <si>
    <t>AEROSOL TERSUAVE ESMALTE SINTETICO SATINADO BLANCO X 0,440</t>
  </si>
  <si>
    <t>003339</t>
  </si>
  <si>
    <t>AEROSOL TERSUAVE ESMALTE SINTETICO DOBLE ACCION BRILLANTE BLANCO X 0,440</t>
  </si>
  <si>
    <t>003340</t>
  </si>
  <si>
    <t>AEROSOL TERSUAVE ESMALTE SINTETICO DOBLE ACCION BRILLANTE BERMELLON X 0,440</t>
  </si>
  <si>
    <t>003341</t>
  </si>
  <si>
    <t>AEROSOL TERSUAVE ESMALTE SINTETICO DOBLE ACCION BRILLANTE NEGRO X 0,440</t>
  </si>
  <si>
    <t>003342</t>
  </si>
  <si>
    <t>AEROSOL TERSUAVE ESMALTE SINTETICO DOBLE ACCION BRILLANTE VERDE INGLES X 0,440</t>
  </si>
  <si>
    <t>003343</t>
  </si>
  <si>
    <t>ESPUMA POLIURETANO WEBER X 0,750</t>
  </si>
  <si>
    <t>003344</t>
  </si>
  <si>
    <t>AEROSOL TERSUAVE ESMALTE EFECTO ESMERILADO X 0,440</t>
  </si>
  <si>
    <t>003345</t>
  </si>
  <si>
    <t>IMPERMEABILIZANTE PARA TECHOS Y MUROS RECUPLAST TRADICIONAL TEJA X  1</t>
  </si>
  <si>
    <t>003346</t>
  </si>
  <si>
    <t>IMPERMEABILIZANTE PARA TECHOS Y MUROS RECUPLAST TRADICIONAL TEJA X  4</t>
  </si>
  <si>
    <t>003347</t>
  </si>
  <si>
    <t>IMPERMEABILIZANTE PARA TECHOS Y MUROS RECUPLAST TRADICIONAL TEJA X 10</t>
  </si>
  <si>
    <t>003348</t>
  </si>
  <si>
    <t>IMPERMEABILIZANTE PARA TECHOS Y MUROS RECUPLAST TRADICIONAL TEJA X 20</t>
  </si>
  <si>
    <t>003349</t>
  </si>
  <si>
    <t>LATEX INTERIOR WEBERPINT MATE BLANCO X  1</t>
  </si>
  <si>
    <t>003350</t>
  </si>
  <si>
    <t>LATEX INTERIOR WEBERPINT MATE BLANCO X  4</t>
  </si>
  <si>
    <t>003351</t>
  </si>
  <si>
    <t>LATEX INTERIOR WEBERPINT MATE BLANCO X 10</t>
  </si>
  <si>
    <t>003352</t>
  </si>
  <si>
    <t>LATEX INTERIOR WEBERPINT MATE BLANCO X 20</t>
  </si>
  <si>
    <t>003353</t>
  </si>
  <si>
    <t>AEROSOL TERSUAVE ESMALTE SINTETICO BRILLANTE ORO X 0,440</t>
  </si>
  <si>
    <t>003354</t>
  </si>
  <si>
    <t>TUERCA P/MANGUERA AIRE 24X1,5 ADIABATIC (0167DLL0)</t>
  </si>
  <si>
    <t>003355</t>
  </si>
  <si>
    <t>AEROSOL TERSUAVE ESMALTE SINTETICO ALTA TEMPERATURA BLANCO X 0,440</t>
  </si>
  <si>
    <t>003356</t>
  </si>
  <si>
    <t>DEMARCACION VIAL SINTEPLAST ALQUIDICA BLANCO X  1</t>
  </si>
  <si>
    <t>003357</t>
  </si>
  <si>
    <t>DEMARCACION VIAL SINTEPLAST ALQUIDICA BLANCO X  4</t>
  </si>
  <si>
    <t>003358</t>
  </si>
  <si>
    <t>DEMARCACION VIAL SINTEPLAST ALQUIDICA BLANCO X 20</t>
  </si>
  <si>
    <t>003359</t>
  </si>
  <si>
    <t>DILUYENTE MULTIUSO SINTEPLAST X 4</t>
  </si>
  <si>
    <t>003360</t>
  </si>
  <si>
    <t>COLA MADEPRIX 513 X 22</t>
  </si>
  <si>
    <t>003361</t>
  </si>
  <si>
    <t>IMPREGNANTE PARA MADERA TERSUAVE BRILLANTE CAOBA X  4</t>
  </si>
  <si>
    <t>003362</t>
  </si>
  <si>
    <t>IMPREGNANTE PARA MADERA TERSUAVE BRILLANTE CEDRO X  4</t>
  </si>
  <si>
    <t>003363</t>
  </si>
  <si>
    <t>IMPREGNANTE PARA MADERA TERSUAVE BRILLANTE CRISTAL X  4</t>
  </si>
  <si>
    <t>003364</t>
  </si>
  <si>
    <t>IMPREGNANTE PARA MADERA TERSUAVE BRILLANTE NATURAL X  4</t>
  </si>
  <si>
    <t>003365</t>
  </si>
  <si>
    <t>IMPREGNANTE PARA MADERA TERSUAVE BRILLANTE NOGAL X  4</t>
  </si>
  <si>
    <t>003366</t>
  </si>
  <si>
    <t>ESC.TIJERA ALUM.LIV.(TSA 1-303) 3 ESC.</t>
  </si>
  <si>
    <t>003367</t>
  </si>
  <si>
    <t>IMPREGNANTE PARA MADERA TERSUAVE BRILLANTE ROBLE CLARO X  4</t>
  </si>
  <si>
    <t>003368</t>
  </si>
  <si>
    <t>ESC.TIJERA ALUM.LIV.(TSA 1-305) 5 ESC.</t>
  </si>
  <si>
    <t>003369</t>
  </si>
  <si>
    <t>ESC.TIJERA ALUM.LIV.(TSA 1-306) 6 ESC.</t>
  </si>
  <si>
    <t>003370</t>
  </si>
  <si>
    <t>DEMARCACION VIAL SINTEPLAST ALQUIDICA AMARILLO X  1</t>
  </si>
  <si>
    <t>003371</t>
  </si>
  <si>
    <t>ESC.TIJERA ALUM.LIV.(TSA 1-308) 8 ESC.</t>
  </si>
  <si>
    <t>003372</t>
  </si>
  <si>
    <t>ESC.TIJERA ALUM.LIV.(TSA 1-309) 9 ESC.</t>
  </si>
  <si>
    <t>003373</t>
  </si>
  <si>
    <t>IMPERMEABILIZANTE PARA FRENTES Y MUROS RECUPLAST GRIS X  1</t>
  </si>
  <si>
    <t>003374</t>
  </si>
  <si>
    <t>IMPERMEABILIZANTE PARA FRENTES Y MUROS RECUPLAST GRIS X  4</t>
  </si>
  <si>
    <t>003375</t>
  </si>
  <si>
    <t>IMPERMEABILIZANTE PARA FRENTES Y MUROS RECUPLAST GRIS X 20</t>
  </si>
  <si>
    <t>003376</t>
  </si>
  <si>
    <t>AEROSOL TERSUAVE ESMALTE SINTETICO ALTA TEMPERATURA ALUMINIO X 0,440</t>
  </si>
  <si>
    <t>003377</t>
  </si>
  <si>
    <t>ZM INTERZONE 954 GREY C/PARTE B (16+4) X 20</t>
  </si>
  <si>
    <t>003378</t>
  </si>
  <si>
    <t>DEMARCACION VIAL SINTEPLAST ALQUIDICA AMARILLO X  4</t>
  </si>
  <si>
    <t>003379</t>
  </si>
  <si>
    <t>AEROSOL TERSUAVE ESMALTE SINTETICO ALTA TEMPERATURA NEGRO X 0,440</t>
  </si>
  <si>
    <t>003380</t>
  </si>
  <si>
    <t>BUJE SAL.AIRE EC20PL ADIABATIC (1196DLA0)</t>
  </si>
  <si>
    <t>003381</t>
  </si>
  <si>
    <t>IMPREGNANTE PARA MADERA TERSUAVE BRILLANTE CAOBA X 20</t>
  </si>
  <si>
    <t>003382</t>
  </si>
  <si>
    <t>IMPREGNANTE PARA MADERA TERSUAVE BRILLANTE CEDRO X 20</t>
  </si>
  <si>
    <t>003383</t>
  </si>
  <si>
    <t>IMPREGNANTE PARA MADERA TERSUAVE BRILLANTE CRISTAL X 20</t>
  </si>
  <si>
    <t>003384</t>
  </si>
  <si>
    <t>IMPREGNANTE PARA MADERA TERSUAVE BRILLANTE NATURAL X 20</t>
  </si>
  <si>
    <t>003385</t>
  </si>
  <si>
    <t>IMPREGNANTE PARA MADERA TERSUAVE BRILLANTE NOGAL X 20</t>
  </si>
  <si>
    <t>003386</t>
  </si>
  <si>
    <t>DEMARCACION VIAL SINTEPLAST ALQUIDICA AMARILLO X 20</t>
  </si>
  <si>
    <t>003387</t>
  </si>
  <si>
    <t>IMPREGNANTE PARA MADERA TERSUAVE BRILLANTE ROBLE CLARO X 20</t>
  </si>
  <si>
    <t>003388</t>
  </si>
  <si>
    <t>IMPERMEABILIZANTE PARA TECHO PLAVICON SOBRECHAPA BLANCO X  1,250</t>
  </si>
  <si>
    <t>003389</t>
  </si>
  <si>
    <t>IMPERMEABILIZANTE PARA TECHO PLAVICON SOBRECHAPA BLANCO X  5</t>
  </si>
  <si>
    <t>003390</t>
  </si>
  <si>
    <t>IMPERMEABILIZANTE PARA TECHO PLAVICON SOBRECHAPA BLANCO X 10</t>
  </si>
  <si>
    <t>003391</t>
  </si>
  <si>
    <t>IMPERMEABILIZANTE PARA TECHO PLAVICON SOBRECHAPA BLANCO X 20</t>
  </si>
  <si>
    <t>003392</t>
  </si>
  <si>
    <t>REPUESTO PAR DE CARBONES 3D PARA PULIDORA ROTATIVA</t>
  </si>
  <si>
    <t>003393</t>
  </si>
  <si>
    <t>ESC.TIJERA ALUM.REF.(TSA 2-310) 10 ESC.</t>
  </si>
  <si>
    <t>003394</t>
  </si>
  <si>
    <t>PASTINA PARA CERAMICA WEBER CLASSIC ARENA X 2</t>
  </si>
  <si>
    <t>003395</t>
  </si>
  <si>
    <t>PASTINA PARA CERAMICA WEBER CLASSIC BEIGE X 2</t>
  </si>
  <si>
    <t>003396</t>
  </si>
  <si>
    <t>PASTINA PARA CERAMICA WEBER CLASSIC CEDRO X 2</t>
  </si>
  <si>
    <t>003397</t>
  </si>
  <si>
    <t>PASTINA PARA CERAMICA WEBER CLASSIC CHAMPAGNE X 2</t>
  </si>
  <si>
    <t>003398</t>
  </si>
  <si>
    <t>PASTINA PARA CERAMICA WEBER CLASSIC FERRICO X 2</t>
  </si>
  <si>
    <t>003399</t>
  </si>
  <si>
    <t>PASTINA PARA CERAMICA WEBER CLASSIC GRIS PERLA X 2</t>
  </si>
  <si>
    <t>003400</t>
  </si>
  <si>
    <t>PASTINA PARA CERAMICA WEBER CLASSIC HABANO X 2</t>
  </si>
  <si>
    <t>003401</t>
  </si>
  <si>
    <t>PASTINA PARA CERAMICA WEBER CLASSIC HUESO X 2</t>
  </si>
  <si>
    <t>003402</t>
  </si>
  <si>
    <t>PASTINA PARA CERAMICA WEBER CLASSIC MEDANO X 2</t>
  </si>
  <si>
    <t>003403</t>
  </si>
  <si>
    <t>PASTINA PARA CERAMICA WEBER CLASSIC NEGRO X 2</t>
  </si>
  <si>
    <t>003404</t>
  </si>
  <si>
    <t>PASTINA PARA CERAMICA WEBER CLASSIC NIEVE X 2</t>
  </si>
  <si>
    <t>003405</t>
  </si>
  <si>
    <t>PASTINA PARA CERAMICA WEBER CLASSIC PERLATO X 2</t>
  </si>
  <si>
    <t>003406</t>
  </si>
  <si>
    <t>PASTINA PARA CERAMICA WEBER CLASSIC PLATA X 2</t>
  </si>
  <si>
    <t>003407</t>
  </si>
  <si>
    <t>PASTINA PARA CERAMICA WEBER CLASSIC PLOMO X 2</t>
  </si>
  <si>
    <t>003408</t>
  </si>
  <si>
    <t>PASTINA PARA CERAMICA WEBER CLASSIC TERRACOTA X 2</t>
  </si>
  <si>
    <t>003409</t>
  </si>
  <si>
    <t>ESMALTE POLIURETANO ACRILICO ALBAMIX FULL WHITE X 18,5</t>
  </si>
  <si>
    <t>003410</t>
  </si>
  <si>
    <t>PANO DE MICROFIBRA PARA ABROJO ZEOCAR 7 (88)</t>
  </si>
  <si>
    <t>003411</t>
  </si>
  <si>
    <t>ESMALTE SINTETICO PLAVICON 3EN1 SATINADO BLANCO X  0,250</t>
  </si>
  <si>
    <t>003412</t>
  </si>
  <si>
    <t>ESMALTE SINTETICO PLAVICON 3EN1 SATINADO BLANCO X  0,500</t>
  </si>
  <si>
    <t>003413</t>
  </si>
  <si>
    <t>ESMALTE SINTETICO PLAVICON 3EN1 SATINADO BLANCO X  1</t>
  </si>
  <si>
    <t>003414</t>
  </si>
  <si>
    <t>ESMALTE SINTETICO PLAVICON 3EN1 SATINADO BLANCO X  4</t>
  </si>
  <si>
    <t>003415</t>
  </si>
  <si>
    <t>ESMALTE SINTETICO PLAVICON 3EN1 SATINADO BLANCO X 20</t>
  </si>
  <si>
    <t>003416</t>
  </si>
  <si>
    <t>ENDUIDO EXTERIOR PLAVICON X  1</t>
  </si>
  <si>
    <t>003417</t>
  </si>
  <si>
    <t>ENDUIDO EXTERIOR PLAVICON X  4</t>
  </si>
  <si>
    <t>003418</t>
  </si>
  <si>
    <t>ENDUIDO EXTERIOR PLAVICON X 20</t>
  </si>
  <si>
    <t>003419</t>
  </si>
  <si>
    <t>GUANTES TACTIL POLI 21-103 -T07 X 2</t>
  </si>
  <si>
    <t>003420</t>
  </si>
  <si>
    <t>GUANTES TACTIL POLI 21-103 -T08 X 2</t>
  </si>
  <si>
    <t>003421</t>
  </si>
  <si>
    <t>FONDO EPOXI ANTICORROSIVO W/W ALBAMIX GRIS X  4</t>
  </si>
  <si>
    <t>003422</t>
  </si>
  <si>
    <t>FONDO EPOXI ANTICORROSIVO W/W ALBAMIX GRIS X 20</t>
  </si>
  <si>
    <t>003423</t>
  </si>
  <si>
    <t>FONDO POLIURETANO ESPECIAL ALBAMIX BEIGE X 20(4585012)</t>
  </si>
  <si>
    <t>003424</t>
  </si>
  <si>
    <t>CONVERTIDOR P/ POLIURETANO 45700XX-45701XX ALBAMIX X 4</t>
  </si>
  <si>
    <t>003425</t>
  </si>
  <si>
    <t>ESMALTE SINTETICO CRISTASOL BRILLANTE DORADO X 0,900</t>
  </si>
  <si>
    <t>003426</t>
  </si>
  <si>
    <t>REVESTIMIENTO TEXTURADO RECUPLAST AGRESTE MEDIO BASE ACCENT X 6</t>
  </si>
  <si>
    <t>003427</t>
  </si>
  <si>
    <t>REVESTIMIENTO TEXTURADO RECUPLAST AGRESTE MEDIO BASE ACCENT X 30</t>
  </si>
  <si>
    <t>003428</t>
  </si>
  <si>
    <t>RODILLO LUMAR POLIESTER ESPECIAL FORRADO 10 (420A)</t>
  </si>
  <si>
    <t>003429</t>
  </si>
  <si>
    <t>RODILLO LUMAR POLIESTER ESPECIAL FORRADO 17 (420B)</t>
  </si>
  <si>
    <t>003430</t>
  </si>
  <si>
    <t>RODILLO LUMAR POLIESTER ESPECIAL FORRADO 22 (420C)</t>
  </si>
  <si>
    <t>003431</t>
  </si>
  <si>
    <t>ESMALTE SINTETICO PLAVICON 3EN1 SATINADO NEGRO X  0,250</t>
  </si>
  <si>
    <t>003432</t>
  </si>
  <si>
    <t>ESMALTE SINTETICO PLAVICON 3EN1 SATINADO NEGRO X  0,500</t>
  </si>
  <si>
    <t>003433</t>
  </si>
  <si>
    <t>ESMALTE SINTETICO PLAVICON 3EN1 SATINADO NEGRO X  1</t>
  </si>
  <si>
    <t>003434</t>
  </si>
  <si>
    <t>ESMALTE SINTETICO PLAVICON 3EN1 SATINADO NEGRO X  4</t>
  </si>
  <si>
    <t>003435</t>
  </si>
  <si>
    <t>ESMALTE SINTETICO PLAVICON 3EN1 SATINADO NEGRO X 20</t>
  </si>
  <si>
    <t>003436</t>
  </si>
  <si>
    <t>CONVERTIDOR P/ POLIURETANO 4585006/45701XX ALBAMIX X 4</t>
  </si>
  <si>
    <t>003437</t>
  </si>
  <si>
    <t>CONVERTIDOR P/ FONDO EPOXI ALBAMIX GRIS 85007 X 4</t>
  </si>
  <si>
    <t>003438</t>
  </si>
  <si>
    <t>REGRETA METALICA - 031309-0163</t>
  </si>
  <si>
    <t>003439</t>
  </si>
  <si>
    <t>AEROSOL RUST-OLEUM ACABADO METALICO BRILLANTE CROMO X 0,340 (313527/248652)</t>
  </si>
  <si>
    <t>003440</t>
  </si>
  <si>
    <t>PASTINA ALTA PRESTACIONES WEBER PRESTIGE IRON X 5</t>
  </si>
  <si>
    <t>003441</t>
  </si>
  <si>
    <t>PASTINA PARA CERAMICA WEBER CLASSIC NIEVE X 5</t>
  </si>
  <si>
    <t>003442</t>
  </si>
  <si>
    <t>PASTINA PARA CERAMICA WEBER CLASSIC PERLATO X 5</t>
  </si>
  <si>
    <t>003443</t>
  </si>
  <si>
    <t>PASTINA PARA CERAMICA WEBER CLASSIC CHAMPAGNE X 5</t>
  </si>
  <si>
    <t>003444</t>
  </si>
  <si>
    <t>PASTINA PARA CERAMICA WEBER CLASSIC ARENA X 5</t>
  </si>
  <si>
    <t>003445</t>
  </si>
  <si>
    <t>PASTINA PARA CERAMICA WEBER CLASSIC BEIGE X 5</t>
  </si>
  <si>
    <t>003446</t>
  </si>
  <si>
    <t>PASTINA PARA CERAMICA WEBER CLASSIC TERRACOTA X 5</t>
  </si>
  <si>
    <t>003447</t>
  </si>
  <si>
    <t>PASTINA PARA CERAMICA WEBER CLASSIC FERRICO X 5</t>
  </si>
  <si>
    <t>003448</t>
  </si>
  <si>
    <t>PASTINA PARA CERAMICA WEBER CLASSIC HABANO X 5</t>
  </si>
  <si>
    <t>003449</t>
  </si>
  <si>
    <t>PASTINA PARA CERAMICA WEBER CLASSIC PLATA X 5</t>
  </si>
  <si>
    <t>003450</t>
  </si>
  <si>
    <t>PASTINA PARA CERAMICA WEBER CLASSIC PLOMO X 5</t>
  </si>
  <si>
    <t>003451</t>
  </si>
  <si>
    <t>PASTINA PARA CERAMICA WEBER CLASSIC NEGRO X 5</t>
  </si>
  <si>
    <t>003452</t>
  </si>
  <si>
    <t>PASTINA PARA CERAMICA WEBER CLASSIC GRIS PERLA X 5</t>
  </si>
  <si>
    <t>003453</t>
  </si>
  <si>
    <t>PASTINA PARA CERAMICA WEBER CLASSIC MEDANO X 5</t>
  </si>
  <si>
    <t>003454</t>
  </si>
  <si>
    <t>PASTINA PARA CERAMICA WEBER CLASSIC HUESO X 5</t>
  </si>
  <si>
    <t>003455</t>
  </si>
  <si>
    <t>PASTINA PARA CERAMICA WEBER CLASSIC CEDRO X 5</t>
  </si>
  <si>
    <t>003456</t>
  </si>
  <si>
    <t>PASTINA ALTA PRESTACIONES WEBER PRESTIGE NIEVE X 5</t>
  </si>
  <si>
    <t>003457</t>
  </si>
  <si>
    <t>PASTINA ALTA PRESTACIONES WEBER PRESTIGE PERLATO X 5</t>
  </si>
  <si>
    <t>003458</t>
  </si>
  <si>
    <t>PASTINA ALTA PRESTACIONES WEBER PRESTIGE CHAMPAGNE X 5</t>
  </si>
  <si>
    <t>003459</t>
  </si>
  <si>
    <t>PASTINA ALTA PRESTACIONES WEBER PRESTIGE ARENA X 5</t>
  </si>
  <si>
    <t>003460</t>
  </si>
  <si>
    <t>PASTINA ALTA PRESTACIONES WEBER PRESTIGE BEIGE X 5</t>
  </si>
  <si>
    <t>003461</t>
  </si>
  <si>
    <t>PASTINA ALTA PRESTACIONES WEBER PRESTIGE TERRACOTA X 5</t>
  </si>
  <si>
    <t>003462</t>
  </si>
  <si>
    <t>PASTINA ALTA PRESTACIONES WEBER PRESTIGE FERRICO X 5</t>
  </si>
  <si>
    <t>003463</t>
  </si>
  <si>
    <t>PASTINA ALTA PRESTACIONES WEBER PRESTIGE TEJA X 5</t>
  </si>
  <si>
    <t>003464</t>
  </si>
  <si>
    <t>PASTINA ALTA PRESTACIONES WEBER PRESTIGE ANTILOPE X 5</t>
  </si>
  <si>
    <t>003465</t>
  </si>
  <si>
    <t>PASTINA ALTA PRESTACIONES WEBER PRESTIGE HABANO X 5</t>
  </si>
  <si>
    <t>003466</t>
  </si>
  <si>
    <t>PASTINA ALTA PRESTACIONES WEBER PRESTIGE JADE X 5</t>
  </si>
  <si>
    <t>003467</t>
  </si>
  <si>
    <t>PASTINA ALTA PRESTACIONES WEBER PRESTIGE PLATA X 5</t>
  </si>
  <si>
    <t>003468</t>
  </si>
  <si>
    <t>PASTINA ALTA PRESTACIONES WEBER PRESTIGE PLOMO X 5</t>
  </si>
  <si>
    <t>003469</t>
  </si>
  <si>
    <t>PASTINA ALTA PRESTACIONES WEBER PRESTIGE NEGRO X 5</t>
  </si>
  <si>
    <t>003470</t>
  </si>
  <si>
    <t>PASTINA ALTA PRESTACIONES WEBER PRESTIGE GRIS PERLA X 5</t>
  </si>
  <si>
    <t>003471</t>
  </si>
  <si>
    <t>PASTINA ALTA PRESTACIONES WEBER PRESTIGE MEDANO X 5</t>
  </si>
  <si>
    <t>003472</t>
  </si>
  <si>
    <t>PASTINA ALTA PRESTACIONES WEBER PRESTIGE NIEBLA X 5</t>
  </si>
  <si>
    <t>003473</t>
  </si>
  <si>
    <t>PASTINA ALTA PRESTACIONES WEBER PRESTIGE HUESO X 5</t>
  </si>
  <si>
    <t>003474</t>
  </si>
  <si>
    <t>PASTINA ALTA PRESTACIONES WEBER PRESTIGE ATLANTICO X 5</t>
  </si>
  <si>
    <t>003475</t>
  </si>
  <si>
    <t>PASTINA ALTA PRESTACIONES WEBER PRESTIGE CENIZA X 5</t>
  </si>
  <si>
    <t>003476</t>
  </si>
  <si>
    <t>PASTINA ALTA PRESTACIONES WEBER PRESTIGE CEDRO X 5</t>
  </si>
  <si>
    <t>003477</t>
  </si>
  <si>
    <t>PASTINA ALTA PRESTACIONES WEBER PRESTIGE ROBLE X 5</t>
  </si>
  <si>
    <t>003478</t>
  </si>
  <si>
    <t>PASTINA ALTA PRESTACIONES WEBER PRESTIGE OLMO X 5</t>
  </si>
  <si>
    <t>003479</t>
  </si>
  <si>
    <t>PASTINA ALTA PRESTACIONES WEBER PRESTIGE CALACATTA X 5</t>
  </si>
  <si>
    <t>003480</t>
  </si>
  <si>
    <t>ENDUIDO INTERIOR COLORIN X  1</t>
  </si>
  <si>
    <t>003481</t>
  </si>
  <si>
    <t>ENDUIDO INTERIOR COLORIN X  4</t>
  </si>
  <si>
    <t>003482</t>
  </si>
  <si>
    <t>ENDUIDO INTERIOR COLORIN X 10</t>
  </si>
  <si>
    <t>003483</t>
  </si>
  <si>
    <t>ENDUIDO INTERIOR COLORIN X 20</t>
  </si>
  <si>
    <t>003484</t>
  </si>
  <si>
    <t>DISCO DE FIBRA DOBLE A 115X22HX-73 G.A.#14</t>
  </si>
  <si>
    <t>003485</t>
  </si>
  <si>
    <t>DISCO DE FIBRA DOBLE A 115X22HX-73 G.A.#16</t>
  </si>
  <si>
    <t>003486</t>
  </si>
  <si>
    <t>DISCO DE FIBRA DOBLE A 115X22HY-71 O.A. #24</t>
  </si>
  <si>
    <t>003487</t>
  </si>
  <si>
    <t>DISCO DE FIBRA DOBLE A 115X22HY-71 O.A. #36</t>
  </si>
  <si>
    <t>003488</t>
  </si>
  <si>
    <t>DISCO DE FIBRA DOBLE A 115X22HY-71 O.A. #50</t>
  </si>
  <si>
    <t>003489</t>
  </si>
  <si>
    <t>DISCO DE FIBRA DOBLE A 115X22HY-71 O.A. #60</t>
  </si>
  <si>
    <t>003490</t>
  </si>
  <si>
    <t>DISCO DE FIBRA DOBLE A 115X22HY-71 O.A. #80</t>
  </si>
  <si>
    <t>003491</t>
  </si>
  <si>
    <t>DISCO DE FIBRA DOBLE A 115X22HY-71 O.A.#100</t>
  </si>
  <si>
    <t>003492</t>
  </si>
  <si>
    <t>DISCO DE FIBRA DOBLE A 115X22HY-71 O.A.#120</t>
  </si>
  <si>
    <t>003493</t>
  </si>
  <si>
    <t>DEMARCACION VIAL TERSUAVE ALQUIDICA AMARILLO X  4</t>
  </si>
  <si>
    <t>003494</t>
  </si>
  <si>
    <t>DEMARCACION VIAL TERSUAVE ALQUIDICA AMARILLO X 20</t>
  </si>
  <si>
    <t>003495</t>
  </si>
  <si>
    <t>DEMARCACION VIAL TERSUAVE ALQUIDICA BLANCO X  4</t>
  </si>
  <si>
    <t>003496</t>
  </si>
  <si>
    <t>DEMARCACION VIAL TERSUAVE ALQUIDICA BLANCO X 20</t>
  </si>
  <si>
    <t>003497</t>
  </si>
  <si>
    <t>AEROSOL RUST-OLEUM METALICO BRILLANTE ALUMINIO X 0,340 (248655)</t>
  </si>
  <si>
    <t>003498</t>
  </si>
  <si>
    <t>PANO DE CORDERO ZEOCAR CON ABROJO 3 (122)</t>
  </si>
  <si>
    <t>003499</t>
  </si>
  <si>
    <t>FILTRO DE ESPUMA P/TU7 ADIABATIC</t>
  </si>
  <si>
    <t>003500</t>
  </si>
  <si>
    <t>PEGAMENTO CERAM.YPORCE. PIEZAS H.60X60 WEBER PRO PORCELLANATOS GRIS X 25</t>
  </si>
  <si>
    <t>003501</t>
  </si>
  <si>
    <t>ESMALTE SINTETICO TERSUAVE DOBLE ACCION BLANCO X 0,500</t>
  </si>
  <si>
    <t>003502</t>
  </si>
  <si>
    <t>ESMALTE SINTETICO TERSUAVE DOBLE ACCION BERMELLON X 0,500</t>
  </si>
  <si>
    <t>003503</t>
  </si>
  <si>
    <t>COPA Y TAPA DOX251V PLASTICA P/MEZCLA PPG</t>
  </si>
  <si>
    <t>003504</t>
  </si>
  <si>
    <t>TAPA P/COPA PLASTICA DE MEZCLADO PPG - DOX251L</t>
  </si>
  <si>
    <t>003505</t>
  </si>
  <si>
    <t>PROTECTOR PARA LADRILLO TERSIDRYL AL SOLVENTE MATE SIN PELICULA X  1</t>
  </si>
  <si>
    <t>003506</t>
  </si>
  <si>
    <t>PROTECTOR PARA LADRILLO TERSIDRYL AL SOLVENTE MATE SIN PELICULA X  4</t>
  </si>
  <si>
    <t>003507</t>
  </si>
  <si>
    <t>PROTECTOR PARA LADRILLO TERSIDRYL AL SOLVENTE MATE SIN PELICULA X 20</t>
  </si>
  <si>
    <t>003508</t>
  </si>
  <si>
    <t>PEGAMENTO IMPERMEAB.PIEZAS H.20X120 WEBER FORTE PORCELLANATO GRIS X 25</t>
  </si>
  <si>
    <t>003509</t>
  </si>
  <si>
    <t>SIGMAZINC 105 IMPRIMACION EPOXI 2C GRIS MATE X 20</t>
  </si>
  <si>
    <t>003510</t>
  </si>
  <si>
    <t>SIGMAPRIME200 (BAS16+HRD4) X 20</t>
  </si>
  <si>
    <t>003511</t>
  </si>
  <si>
    <t>SIGMAFAST 278 RAL7035 (BAS15+HRD5) X 20</t>
  </si>
  <si>
    <t>003512</t>
  </si>
  <si>
    <t>SIGMADUR 550 RAL9001 (BAS17,6+HRD2,4) X 20</t>
  </si>
  <si>
    <t>003513</t>
  </si>
  <si>
    <t>DILUYENTE 91-92 EPOXI X 20</t>
  </si>
  <si>
    <t>003514</t>
  </si>
  <si>
    <t>DILUYENTE 21-06 POLIURETANICO X 20</t>
  </si>
  <si>
    <t>003515</t>
  </si>
  <si>
    <t>ESMALTE SINTETICO TERSUAVE DOBLE ACCION NEGRO X 0,500</t>
  </si>
  <si>
    <t>003516</t>
  </si>
  <si>
    <t>DIL021.16 CATALIZADOR WASH PRIMER WP21 X 0.300</t>
  </si>
  <si>
    <t>003517</t>
  </si>
  <si>
    <t>WP21.11 WASH PRIMER FOSFATIZANTE VINILICO X 0.600</t>
  </si>
  <si>
    <t>003518</t>
  </si>
  <si>
    <t>ESMALTE SINTETICO TERSUAVE DOBLE ACCION MARRON X 0,500</t>
  </si>
  <si>
    <t>003519</t>
  </si>
  <si>
    <t>P433-XR10-E033 - CRYSTAL SILVER X 0,330</t>
  </si>
  <si>
    <t>003520</t>
  </si>
  <si>
    <t>P433-XR11-E033 - SUNBEAM GOLD X 0,330</t>
  </si>
  <si>
    <t>003521</t>
  </si>
  <si>
    <t>P433-XR12-E033 - RADIANT RED X 0,330</t>
  </si>
  <si>
    <t>003522</t>
  </si>
  <si>
    <t>P433-XR13-E033 - GALAXY BLUE X 0,330</t>
  </si>
  <si>
    <t>003523</t>
  </si>
  <si>
    <t>P433-XR14-E033 - STELLAR GREEN X 0,330</t>
  </si>
  <si>
    <t>003524</t>
  </si>
  <si>
    <t>P433-XR15-E033 - SOLARIS RED X 0,330</t>
  </si>
  <si>
    <t>003525</t>
  </si>
  <si>
    <t>P433-XR16-E033 - FIRESIDE COPPER X 0,330</t>
  </si>
  <si>
    <t>003526</t>
  </si>
  <si>
    <t>ESMALTE SINTETICO TERSUAVE DOBLE ACCION GRIS ESPACIAL X 0,500</t>
  </si>
  <si>
    <t>003527</t>
  </si>
  <si>
    <t>PANO DE GOMA ESPUMA ZEOCAR NARANJA 3 (142)</t>
  </si>
  <si>
    <t>003528</t>
  </si>
  <si>
    <t>PANO DE GOMA ESPUMA ZEOCAR NEGRO 3 (141)</t>
  </si>
  <si>
    <t>003529</t>
  </si>
  <si>
    <t>PANO DE MICROFIBRA PARA ABROJO ZEOCAR 3 (87)</t>
  </si>
  <si>
    <t>003530</t>
  </si>
  <si>
    <t>ESMALTE SINTETICO TERSUAVE DOBLE ACCION VERDE INGLES X 0,500</t>
  </si>
  <si>
    <t>003531</t>
  </si>
  <si>
    <t>PLATO SOPORTE 3 M14 ZEOCAR (112)</t>
  </si>
  <si>
    <t>003532</t>
  </si>
  <si>
    <t>AEROSOL RUST-OLEUM MP MATE BLANCO X 0,340(272090)</t>
  </si>
  <si>
    <t>003533</t>
  </si>
  <si>
    <t>BASE PP P/TEXTURADOS REVEAR X 25</t>
  </si>
  <si>
    <t>003534</t>
  </si>
  <si>
    <t>CR-315 VIOLETA REDUZIDO X 1</t>
  </si>
  <si>
    <t>003535</t>
  </si>
  <si>
    <t>REVESTIMIENTO TEXTURADO ALBA PETREO A RODILLO ARENA X  6</t>
  </si>
  <si>
    <t>003536</t>
  </si>
  <si>
    <t>REVESTIMIENTO TEXTURADO ALBA PETREO A RODILLO ARENA X 30</t>
  </si>
  <si>
    <t>003537</t>
  </si>
  <si>
    <t>REVESTIMIENTO TEXTURADO ALBA PETREO A RODILLO CAMEL X  6</t>
  </si>
  <si>
    <t>003538</t>
  </si>
  <si>
    <t>REVESTIMIENTO TEXTURADO ALBA PETREO A RODILLO CAMEL X 30</t>
  </si>
  <si>
    <t>003539</t>
  </si>
  <si>
    <t>REVESTIMIENTO TEXTURADO ALBA PETREO A RODILLO DESIERTO X  6</t>
  </si>
  <si>
    <t>003540</t>
  </si>
  <si>
    <t>REVESTIMIENTO TEXTURADO ALBA PETREO A RODILLO DESIERTO X 30</t>
  </si>
  <si>
    <t>003541</t>
  </si>
  <si>
    <t>REVESTIMIENTO TEXTURADO ALBA PETREO A RODILLO TERRA CLARO X  6</t>
  </si>
  <si>
    <t>003542</t>
  </si>
  <si>
    <t>REVESTIMIENTO TEXTURADO ALBA PETREO A RODILLO TERRA CLARO X 30</t>
  </si>
  <si>
    <t>003543</t>
  </si>
  <si>
    <t>ESMALTE SINTETICO TERSUAVE DOBLE ACCION AZUL MARINO X 0,500</t>
  </si>
  <si>
    <t>003544</t>
  </si>
  <si>
    <t>RODILLO ROSARPIN HILADO T40 PELO CORTO 10 CM</t>
  </si>
  <si>
    <t>003545</t>
  </si>
  <si>
    <t>RODILLO ROSARPIN HILADO T40 PELO CORTO 18 CM</t>
  </si>
  <si>
    <t>003546</t>
  </si>
  <si>
    <t>RODILLO ROSARPIN HILADO T40 PELO CORTO 22 CM</t>
  </si>
  <si>
    <t>003547</t>
  </si>
  <si>
    <t>RODILLO ROSARPIN HILADO T50 EXTREMO 10 CM</t>
  </si>
  <si>
    <t>003548</t>
  </si>
  <si>
    <t>RODILLO ROSARPIN HILADO T50 EXTREMO 18 CM</t>
  </si>
  <si>
    <t>003549</t>
  </si>
  <si>
    <t>RODILLO ROSARPIN HILADO T50 EXTREMO 22 CM</t>
  </si>
  <si>
    <t>003550</t>
  </si>
  <si>
    <t>RODILLO ROSARPIN HILADO T50 R.PREMIUM 18 CM</t>
  </si>
  <si>
    <t>003551</t>
  </si>
  <si>
    <t>RODILLO ROSARPIN HILADO T50 R.PREMIUM 22 CM</t>
  </si>
  <si>
    <t>003552</t>
  </si>
  <si>
    <t>LATEX INTERIOR RECUPLAST MATE BASE TINT X  0,970</t>
  </si>
  <si>
    <t>003553</t>
  </si>
  <si>
    <t>LATEX INTERIOR RECUPLAST MATE BASE TINT X  3,880</t>
  </si>
  <si>
    <t>003554</t>
  </si>
  <si>
    <t>LATEX INTERIOR RECUPLAST MATE BASE TINT X 19,400</t>
  </si>
  <si>
    <t>003555</t>
  </si>
  <si>
    <t>LATEX INTERIOR RECUPLAST MATE BASE DEEP X  0,940</t>
  </si>
  <si>
    <t>003556</t>
  </si>
  <si>
    <t>LATEX INTERIOR RECUPLAST MATE BASE DEEP X  3,750</t>
  </si>
  <si>
    <t>003557</t>
  </si>
  <si>
    <t>LATEX INTERIOR RECUPLAST MATE BASE DEEP X 18,800</t>
  </si>
  <si>
    <t>003558</t>
  </si>
  <si>
    <t>LATEX INTERIOR RECUPLAST MATE BASE ACCENT X  0,910</t>
  </si>
  <si>
    <t>003559</t>
  </si>
  <si>
    <t>LATEX INTERIOR RECUPLAST MATE BASE ACCENT X  3,620</t>
  </si>
  <si>
    <t>003560</t>
  </si>
  <si>
    <t>LATEX INTERIOR RECUPLAST MATE BASE ACCENT X 18,100</t>
  </si>
  <si>
    <t>003561</t>
  </si>
  <si>
    <t>CR-332 AMARELO REDUZIDO X 1</t>
  </si>
  <si>
    <t>003562</t>
  </si>
  <si>
    <t>IMPERMEABILIZANTE PARA FRENTES Y MUROS RECUPLAST BASE TINT X  1</t>
  </si>
  <si>
    <t>003563</t>
  </si>
  <si>
    <t>IMPERMEABILIZANTE PARA FRENTES Y MUROS RECUPLAST BASE TINT X  4</t>
  </si>
  <si>
    <t>003564</t>
  </si>
  <si>
    <t>IMPERMEABILIZANTE PARA FRENTES Y MUROS RECUPLAST BASE TINT X 10</t>
  </si>
  <si>
    <t>003565</t>
  </si>
  <si>
    <t>IMPERMEABILIZANTE PARA FRENTES Y MUROS RECUPLAST BASE TINT X 20</t>
  </si>
  <si>
    <t>003566</t>
  </si>
  <si>
    <t>IMPERMEABILIZANTE PARA FRENTES Y MUROS RECUPLAST BASE DEEP X  1</t>
  </si>
  <si>
    <t>003567</t>
  </si>
  <si>
    <t>IMPERMEABILIZANTE PARA FRENTES Y MUROS RECUPLAST BASE DEEP X  4</t>
  </si>
  <si>
    <t>003568</t>
  </si>
  <si>
    <t>IMPERMEABILIZANTE PARA FRENTES Y MUROS RECUPLAST BASE DEEP X 10</t>
  </si>
  <si>
    <t>003569</t>
  </si>
  <si>
    <t>IMPERMEABILIZANTE PARA FRENTES Y MUROS RECUPLAST BASE DEEP X 20</t>
  </si>
  <si>
    <t>003570</t>
  </si>
  <si>
    <t>IMPERMEABILIZANTE PARA FRENTES Y MUROS RECUPLAST BASE ACCENT X  1</t>
  </si>
  <si>
    <t>003571</t>
  </si>
  <si>
    <t>IMPERMEABILIZANTE PARA FRENTES Y MUROS RECUPLAST BASE ACCENT X  4</t>
  </si>
  <si>
    <t>003572</t>
  </si>
  <si>
    <t>IMPERMEABILIZANTE PARA FRENTES Y MUROS RECUPLAST BASE ACCENT X 10</t>
  </si>
  <si>
    <t>003573</t>
  </si>
  <si>
    <t>IMPERMEABILIZANTE PARA FRENTES Y MUROS RECUPLAST BASE ACCENT X 20</t>
  </si>
  <si>
    <t>003574</t>
  </si>
  <si>
    <t>ESMALTE SINTETICO SATINPLAST SATINADO BASE TINT X  0,970</t>
  </si>
  <si>
    <t>003575</t>
  </si>
  <si>
    <t>ESMALTE SINTETICO SATINPLAST SATINADO BASE TINT X  3,880</t>
  </si>
  <si>
    <t>003576</t>
  </si>
  <si>
    <t>ESMALTE SINTETICO SATINPLAST SATINADO BASE TINT X 19,400</t>
  </si>
  <si>
    <t>003577</t>
  </si>
  <si>
    <t>ESMALTE SINTETICO SATINPLAST SATINADO BASE DEEP X  0,940</t>
  </si>
  <si>
    <t>003578</t>
  </si>
  <si>
    <t>ESMALTE SINTETICO SATINPLAST SATINADO BASE DEEP X  3,750</t>
  </si>
  <si>
    <t>003579</t>
  </si>
  <si>
    <t>ESMALTE SINTETICO SATINPLAST SATINADO BASE DEEP X 18,800</t>
  </si>
  <si>
    <t>003580</t>
  </si>
  <si>
    <t>ESMALTE SINTETICO SATINPLAST SATINADO BASE ACCENT X  0,910</t>
  </si>
  <si>
    <t>003581</t>
  </si>
  <si>
    <t>ESMALTE SINTETICO CRISTASOL BRILLANTE ALUMINIO X 18</t>
  </si>
  <si>
    <t>003582</t>
  </si>
  <si>
    <t>SILICONA LADRIK ACUOSO PLAVICON INCOLORO X 1</t>
  </si>
  <si>
    <t>003583</t>
  </si>
  <si>
    <t>SILICONA LADRIK ACUOSO PLAVICON INCOLORO X 4</t>
  </si>
  <si>
    <t>003584</t>
  </si>
  <si>
    <t>REVESTIMIENTO TEXTURADO ALBA TRAVERTINO FINO ALMENDRA X  6</t>
  </si>
  <si>
    <t>003585</t>
  </si>
  <si>
    <t>REVESTIMIENTO TEXTURADO ALBA TRAVERTINO FINO ALMENDRA X 30</t>
  </si>
  <si>
    <t>003586</t>
  </si>
  <si>
    <t>REVESTIMIENTO TEXTURADO ALBA TRAVERTINO MEDIO ALMENDRA X  6</t>
  </si>
  <si>
    <t>003587</t>
  </si>
  <si>
    <t>REVESTIMIENTO TEXTURADO ALBA TRAVERTINO MEDIO ALMENDRA X 30</t>
  </si>
  <si>
    <t>003588</t>
  </si>
  <si>
    <t>REVESTIMIENTO TEXTURADO ALBA TRAVERTINO FINO BASE INTENSO X  6</t>
  </si>
  <si>
    <t>003589</t>
  </si>
  <si>
    <t>REVESTIMIENTO TEXTURADO ALBA TRAVERTINO FINO BASE INTENSO X 25</t>
  </si>
  <si>
    <t>003590</t>
  </si>
  <si>
    <t>REVESTIMIENTO TEXTURADO ALBA TRAVERTINO FINO BLANCO X  6</t>
  </si>
  <si>
    <t>003591</t>
  </si>
  <si>
    <t>REVESTIMIENTO TEXTURADO ALBA TRAVERTINO FINO BLANCO X 25</t>
  </si>
  <si>
    <t>003592</t>
  </si>
  <si>
    <t>COMPSUG3 COL.ROJO NEARCO FIAT X 125</t>
  </si>
  <si>
    <t>003593</t>
  </si>
  <si>
    <t>REVESTIMIENTO TEXTURADO ALBA PETREO NATURAL CLEAR X  6</t>
  </si>
  <si>
    <t>003594</t>
  </si>
  <si>
    <t>REVESTIMIENTO TEXTURADO ALBA PETREO NATURAL CLEAR X 30</t>
  </si>
  <si>
    <t>003595</t>
  </si>
  <si>
    <t>REVESTIMIENTO TEXTURADO ALBA PETREO NATURAL GRAY X  6</t>
  </si>
  <si>
    <t>003596</t>
  </si>
  <si>
    <t>REVESTIMIENTO TEXTURADO ALBA PETREO NATURAL GRAY X 30</t>
  </si>
  <si>
    <t>003597</t>
  </si>
  <si>
    <t>REVESTIMIENTO TEXTURADO ALBA PETREO NATURAL PARIS X  6</t>
  </si>
  <si>
    <t>003598</t>
  </si>
  <si>
    <t>REVESTIMIENTO TEXTURADO ALBA PETREO NATURAL PARIS X 30</t>
  </si>
  <si>
    <t>003599</t>
  </si>
  <si>
    <t>REVESTIMIENTO TEXTURADO ALBA PETREO NATURAL SILICA X  6</t>
  </si>
  <si>
    <t>003600</t>
  </si>
  <si>
    <t>REVESTIMIENTO TEXTURADO ALBA PETREO NATURAL SILICA X 30</t>
  </si>
  <si>
    <t>003601</t>
  </si>
  <si>
    <t>ESMALTE SINTETICO TERSUAVE DOBLE ACCION BCO X 1</t>
  </si>
  <si>
    <t>003602</t>
  </si>
  <si>
    <t>CINTA ANTIDESLIZANTE RAPIFIX (2200) 50MM X 5MTS</t>
  </si>
  <si>
    <t>003603</t>
  </si>
  <si>
    <t>ZAPATOS DE PUAS METALICAS</t>
  </si>
  <si>
    <t>003604</t>
  </si>
  <si>
    <t>BASE EPOXI 9100 MASSTONE BRILLANTE X 3,785 (9107405)</t>
  </si>
  <si>
    <t>003605</t>
  </si>
  <si>
    <t>REVESTIMIENTO TEXTURADO ALBA TRAVERTINO MEDIO BASE INTENSO X  6</t>
  </si>
  <si>
    <t>003606</t>
  </si>
  <si>
    <t>REVESTIMIENTO TEXTURADO ALBA TRAVERTINO MEDIO BASE INTENSO X 25</t>
  </si>
  <si>
    <t>003607</t>
  </si>
  <si>
    <t>REVESTIMIENTO TEXTURADO ALBA TRAVERTINO MEDIO BLANCO X  6</t>
  </si>
  <si>
    <t>003608</t>
  </si>
  <si>
    <t>REVESTIMIENTO TEXTURADO ALBA TRAVERTINO MEDIO BLANCO X 25</t>
  </si>
  <si>
    <t>003609</t>
  </si>
  <si>
    <t>COMPSUG1 COL.BEIGE ANTÏ¿½LOPE FIAT X 125</t>
  </si>
  <si>
    <t>003610</t>
  </si>
  <si>
    <t>ESMALTE SINTETICO SATINPLAST SATINADO BASE ACCENT X  3,620</t>
  </si>
  <si>
    <t>003611</t>
  </si>
  <si>
    <t>ESMALTE SINTETICO SATINPLAST SATINADO BASE ACCENT X 18,100</t>
  </si>
  <si>
    <t>003612</t>
  </si>
  <si>
    <t>LATEX INTERIOR/EXTERIOR ACRILPLAST MATE BASE TINT X  1</t>
  </si>
  <si>
    <t>003613</t>
  </si>
  <si>
    <t>LATEX INTERIOR/EXTERIOR ACRILPLAST MATE BASE TINT X  4</t>
  </si>
  <si>
    <t>003614</t>
  </si>
  <si>
    <t>LATEX INTERIOR/EXTERIOR ACRILPLAST MATE BASE TINT X 20</t>
  </si>
  <si>
    <t>003615</t>
  </si>
  <si>
    <t>ESMALTE SINTETICO TERSUAVE DOBLE ACCION NEGRO X 1</t>
  </si>
  <si>
    <t>003616</t>
  </si>
  <si>
    <t>THINNER DIXILINA ESPEC.L X 18</t>
  </si>
  <si>
    <t>003617</t>
  </si>
  <si>
    <t>THINNER DIXILINA ESPEC.L X 200</t>
  </si>
  <si>
    <t>003618</t>
  </si>
  <si>
    <t>ESMALTE SINTETICO TERSUAVE DOBLE ACCION MARRON X 1</t>
  </si>
  <si>
    <t>003619</t>
  </si>
  <si>
    <t>THINNER DIXILINA STANDARD X 18</t>
  </si>
  <si>
    <t>003620</t>
  </si>
  <si>
    <t>THINNER DIXILINA STANDARD X 200</t>
  </si>
  <si>
    <t>003621</t>
  </si>
  <si>
    <t>COMPSUG1 COL.AZUL OCÏ¿½ANO FIAT X 125</t>
  </si>
  <si>
    <t>003622</t>
  </si>
  <si>
    <t>LIVING INT BCO X  1</t>
  </si>
  <si>
    <t>003623</t>
  </si>
  <si>
    <t>LIVING INT BCO X  4</t>
  </si>
  <si>
    <t>003624</t>
  </si>
  <si>
    <t>LIVING INT BCO X 10</t>
  </si>
  <si>
    <t>003625</t>
  </si>
  <si>
    <t>LIVING INT BCO X 20</t>
  </si>
  <si>
    <t>003626</t>
  </si>
  <si>
    <t>ESMALTE SINTETICO TERSUAVE DOBLE ACCION GRIS ESPACIAL X 1</t>
  </si>
  <si>
    <t>003627</t>
  </si>
  <si>
    <t>FILM PARA ENMASCASCARAR 19MM X 180CM X 22,5</t>
  </si>
  <si>
    <t>003628</t>
  </si>
  <si>
    <t>FILM PARA ENMASCASCARAR 25MM X 260CM X 22,5</t>
  </si>
  <si>
    <t>003629</t>
  </si>
  <si>
    <t>FILM PARA ENMASCASCARAR 25MM X 360CM X 22,5</t>
  </si>
  <si>
    <t>003630</t>
  </si>
  <si>
    <t>ESMALTE SINTETICO TERSUAVE DOBLE ACCION VERDE INGLES X 1</t>
  </si>
  <si>
    <t>003631</t>
  </si>
  <si>
    <t>LATEX INTERIOR/EXTERIOR ACRILPLAST MATE BASE DEEP X  1</t>
  </si>
  <si>
    <t>003632</t>
  </si>
  <si>
    <t>LATEX INTERIOR/EXTERIOR ACRILPLAST MATE BASE DEEP X  4</t>
  </si>
  <si>
    <t>003633</t>
  </si>
  <si>
    <t>LATEX INTERIOR/EXTERIOR ACRILPLAST MATE BASE DEEP X 20</t>
  </si>
  <si>
    <t>003634</t>
  </si>
  <si>
    <t>LATEX INTERIOR/EXTERIOR ACRILPLAST MATE BASE ACCENT X  1</t>
  </si>
  <si>
    <t>003635</t>
  </si>
  <si>
    <t>LATEX INTERIOR/EXTERIOR ACRILPLAST MATE BASE ACCENT X  4</t>
  </si>
  <si>
    <t>003636</t>
  </si>
  <si>
    <t>LATEX INTERIOR/EXTERIOR ACRILPLAST MATE BASE ACCENT X 20</t>
  </si>
  <si>
    <t>003637</t>
  </si>
  <si>
    <t>COLORANTE CONCENTRADO SINTEPLAST AXX AMARILLO X 1</t>
  </si>
  <si>
    <t>003638</t>
  </si>
  <si>
    <t>COLORANTE CONCENTRADO SINTEPLAST B NEGRO X 1</t>
  </si>
  <si>
    <t>003639</t>
  </si>
  <si>
    <t>COLORANTE CONCENTRADO SINTEPLAST C OCRE X 1</t>
  </si>
  <si>
    <t>003640</t>
  </si>
  <si>
    <t>COLORANTE CONCENTRADO SINTEPLAST D VERDE X 1</t>
  </si>
  <si>
    <t>003641</t>
  </si>
  <si>
    <t>COLORANTE CONCENTRADO SINTEPLAST E AZUL X 1</t>
  </si>
  <si>
    <t>003642</t>
  </si>
  <si>
    <t>COLORANTE CONCENTRADO SINTEPLAST F ROJO Ï¿½XIDO X 1</t>
  </si>
  <si>
    <t>003643</t>
  </si>
  <si>
    <t>ESMALTE SINTETICO TERSUAVE DOBLE ACCION AZUL MARINO X 1</t>
  </si>
  <si>
    <t>003644</t>
  </si>
  <si>
    <t>COMPSUG1 COL.BLANCO REAL FIAT X 125</t>
  </si>
  <si>
    <t>003645</t>
  </si>
  <si>
    <t>IMPERMEABILIZANTE PARA TECHOS Y MUROS COLORIN TITANIO PRO BLANCO X  4</t>
  </si>
  <si>
    <t>003646</t>
  </si>
  <si>
    <t>IMPERMEABILIZANTE PARA TECHOS Y MUROS COLORIN TITANIO PRO BLANCO X 10</t>
  </si>
  <si>
    <t>003647</t>
  </si>
  <si>
    <t>IMPERMEABILIZANTE PARA TECHOS Y MUROS COLORIN TITANIO PRO BLANCO X 20</t>
  </si>
  <si>
    <t>003648</t>
  </si>
  <si>
    <t>COMPSUG5 COL.ROJO VERONA F/PEU.X 0,125</t>
  </si>
  <si>
    <t>003649</t>
  </si>
  <si>
    <t>EQUIPO PARA PINTAR ADIABATIC EC.2000 - P.GRAVEDAD</t>
  </si>
  <si>
    <t>003650</t>
  </si>
  <si>
    <t>EQUIPO PARA PINTAR ADIABATIC EC.3000 - P.GRAVEDAD</t>
  </si>
  <si>
    <t>003651</t>
  </si>
  <si>
    <t>COMPSUG1 COL.BEIGE JAMAICA F/P X 0,125</t>
  </si>
  <si>
    <t>003652</t>
  </si>
  <si>
    <t>ESMALTE SINTETICO BRILLOPLAST BRILLANTE BASE TINT X  0,970</t>
  </si>
  <si>
    <t>003653</t>
  </si>
  <si>
    <t>ESMALTE SINTETICO BRILLOPLAST BRILLANTE BASE TINT X  3,880</t>
  </si>
  <si>
    <t>003654</t>
  </si>
  <si>
    <t>ESMALTE SINTETICO BRILLOPLAST BRILLANTE BASE TINT X 19,400</t>
  </si>
  <si>
    <t>003655</t>
  </si>
  <si>
    <t>ESMALTE SINTETICO BRILLOPLAST BRILLANTE BASE DEEP X  0,940</t>
  </si>
  <si>
    <t>003656</t>
  </si>
  <si>
    <t>ESMALTE SINTETICO BRILLOPLAST BRILLANTE BASE DEEP X  3,750</t>
  </si>
  <si>
    <t>003657</t>
  </si>
  <si>
    <t>ESMALTE SINTETICO BRILLOPLAST BRILLANTE BASE DEEP X 18,800</t>
  </si>
  <si>
    <t>003658</t>
  </si>
  <si>
    <t>ESMALTE SINTETICO BRILLOPLAST BRILLANTE BASE ACCENT X  0,910</t>
  </si>
  <si>
    <t>003659</t>
  </si>
  <si>
    <t>ESMALTE SINTETICO BRILLOPLAST BRILLANTE BASE ACCENT X  3,620</t>
  </si>
  <si>
    <t>003660</t>
  </si>
  <si>
    <t>ESMALTE SINTETICO BRILLOPLAST BRILLANTE BASE ACCENT X 18,100</t>
  </si>
  <si>
    <t>003661</t>
  </si>
  <si>
    <t>CONVERSOL BCO X 0,450</t>
  </si>
  <si>
    <t>003662</t>
  </si>
  <si>
    <t>CONVERSOL AZUL X 0,450</t>
  </si>
  <si>
    <t>003663</t>
  </si>
  <si>
    <t>CONVERSOL NEGRO X 0,450</t>
  </si>
  <si>
    <t>003664</t>
  </si>
  <si>
    <t>CONVERSOL GRIS X 0,450</t>
  </si>
  <si>
    <t>003665</t>
  </si>
  <si>
    <t>CONVERSOL BEIGE X 0,450</t>
  </si>
  <si>
    <t>003666</t>
  </si>
  <si>
    <t>CONVERSOL VERDE X 0,450</t>
  </si>
  <si>
    <t>003667</t>
  </si>
  <si>
    <t>IMPERMEABILIZANTE PARA TECHOS THERMOCONTROL FIBRADO BLANCO X  1</t>
  </si>
  <si>
    <t>003668</t>
  </si>
  <si>
    <t>IMPERMEABILIZANTE PARA TECHOS THERMOCONTROL FIBRADO BLANCO X  4</t>
  </si>
  <si>
    <t>003669</t>
  </si>
  <si>
    <t>IMPERMEABILIZANTE PARA TECHOS THERMOCONTROL FIBRADO BLANCO X 10</t>
  </si>
  <si>
    <t>003670</t>
  </si>
  <si>
    <t>IMPERMEABILIZANTE PARA TECHOS THERMOCONTROL FIBRADO BLANCO X 20</t>
  </si>
  <si>
    <t>003671</t>
  </si>
  <si>
    <t>CONVERSOL BCO X 0,900</t>
  </si>
  <si>
    <t>003672</t>
  </si>
  <si>
    <t>CONVERSOL AZUL X 0,900</t>
  </si>
  <si>
    <t>003673</t>
  </si>
  <si>
    <t>CONVERSOL NEGRO X 0,900</t>
  </si>
  <si>
    <t>003674</t>
  </si>
  <si>
    <t>CONVERSOL GRIS X 0,900</t>
  </si>
  <si>
    <t>003675</t>
  </si>
  <si>
    <t>CONVERSOL BEIGE X 0,900</t>
  </si>
  <si>
    <t>003676</t>
  </si>
  <si>
    <t>CONVERSOL VERDE X 0,900</t>
  </si>
  <si>
    <t>003677</t>
  </si>
  <si>
    <t>IMPERMEABILIZANTE PARA TECHOS THERMOCONTROL FIBRADO TEJA X  1</t>
  </si>
  <si>
    <t>003678</t>
  </si>
  <si>
    <t>IMPERMEABILIZANTE PARA TECHOS THERMOCONTROL FIBRADO TEJA X  4</t>
  </si>
  <si>
    <t>003679</t>
  </si>
  <si>
    <t>IMPERMEABILIZANTE PARA TECHOS THERMOCONTROL FIBRADO TEJA X 10</t>
  </si>
  <si>
    <t>003680</t>
  </si>
  <si>
    <t>IMPERMEABILIZANTE PARA TECHOS THERMOCONTROL FIBRADO TEJA X 20</t>
  </si>
  <si>
    <t>003681</t>
  </si>
  <si>
    <t>CONVERSOL BCO X 3,600</t>
  </si>
  <si>
    <t>003682</t>
  </si>
  <si>
    <t>CONVERSOL AZUL X 3,600</t>
  </si>
  <si>
    <t>003683</t>
  </si>
  <si>
    <t>CONVERSOL NEGRO X 3,600</t>
  </si>
  <si>
    <t>003684</t>
  </si>
  <si>
    <t>CONVERSOL GRIS X 3,600</t>
  </si>
  <si>
    <t>003685</t>
  </si>
  <si>
    <t>CONVERSOL BEIGE X 3,600</t>
  </si>
  <si>
    <t>003686</t>
  </si>
  <si>
    <t>CONVERSOL VERDE X 3,600</t>
  </si>
  <si>
    <t>003687</t>
  </si>
  <si>
    <t>PARCHE PLASTICO ZEOCAR X 0,190 (17)</t>
  </si>
  <si>
    <t>003688</t>
  </si>
  <si>
    <t>PARCHE PLASTICO ZEOCAR X 0,500 (16)</t>
  </si>
  <si>
    <t>003689</t>
  </si>
  <si>
    <t>PARCHE PLASTICO ZEOCAR X 1 (18)</t>
  </si>
  <si>
    <t>003690</t>
  </si>
  <si>
    <t>PARCHE PLASTICO ZEOCAR X 4 (19)</t>
  </si>
  <si>
    <t>003691</t>
  </si>
  <si>
    <t>CONVERSOL BCO X 18,000</t>
  </si>
  <si>
    <t>003692</t>
  </si>
  <si>
    <t>CONVERSOL AZUL X 18,000</t>
  </si>
  <si>
    <t>003693</t>
  </si>
  <si>
    <t>CONVERSOL NEGRO X 18,000</t>
  </si>
  <si>
    <t>003694</t>
  </si>
  <si>
    <t>CONVERSOL GRIS X 18,000</t>
  </si>
  <si>
    <t>003695</t>
  </si>
  <si>
    <t>CONVERSOL BEIGE X 18,000</t>
  </si>
  <si>
    <t>003696</t>
  </si>
  <si>
    <t>CONVERSOL VERDE X 18,000</t>
  </si>
  <si>
    <t>003697</t>
  </si>
  <si>
    <t>LATEX INTERIOR COLORIN TITANIO PRO BLANCO X  4</t>
  </si>
  <si>
    <t>003698</t>
  </si>
  <si>
    <t>LATEX INTERIOR COLORIN TITANIO PRO BLANCO X 10</t>
  </si>
  <si>
    <t>003699</t>
  </si>
  <si>
    <t>LATEX INTERIOR COLORIN TITANIO PRO BLANCO X 20</t>
  </si>
  <si>
    <t>003700</t>
  </si>
  <si>
    <t>ALBAVIAL ACRILICO SOLVENTE BLANCO X  4</t>
  </si>
  <si>
    <t>003701</t>
  </si>
  <si>
    <t>ESMALTE SINTETICO TERSUAVE DOBLE ACCION BCO X 4</t>
  </si>
  <si>
    <t>003702</t>
  </si>
  <si>
    <t>ESMALTE SINTETICO TERSUAVE DOBLE ACCION BERMELLON X 4</t>
  </si>
  <si>
    <t>003703</t>
  </si>
  <si>
    <t>PANO MICROFIBRAS DOBLE A 40X50CM</t>
  </si>
  <si>
    <t>003704</t>
  </si>
  <si>
    <t>ALBAVIAL ACRILICO SOLVENTE BLANCO X 18</t>
  </si>
  <si>
    <t>003705</t>
  </si>
  <si>
    <t>DESOXIDANTE ZEOCAR X  0,950 (09)</t>
  </si>
  <si>
    <t>003706</t>
  </si>
  <si>
    <t>DESOXIDANTE ZEOCAR X  5 (10)</t>
  </si>
  <si>
    <t>003707</t>
  </si>
  <si>
    <t>DESOXIDANTE ZEOCAR X 20 (11)</t>
  </si>
  <si>
    <t>003708</t>
  </si>
  <si>
    <t>ALBAVIAL ACRILICO SOLVENTE AMARILLO X  4</t>
  </si>
  <si>
    <t>003709</t>
  </si>
  <si>
    <t>ALBAVIAL ACRILICO SOLVENTE AMARILLO X 18</t>
  </si>
  <si>
    <t>003710</t>
  </si>
  <si>
    <t>COLORANTE CONCENTRADO SINTEPLAST I MARRON X 1</t>
  </si>
  <si>
    <t>003711</t>
  </si>
  <si>
    <t>COLORANTE CONCENTRADO SINTEPLAST KX BLANCO X 1</t>
  </si>
  <si>
    <t>003712</t>
  </si>
  <si>
    <t>COLORANTE CONCENTRADO SINTEPLAST L MARRON OSCURO X 1</t>
  </si>
  <si>
    <t>003713</t>
  </si>
  <si>
    <t>COLORANTE CONCENTRADO SINTEPLAST R ROJO X 1</t>
  </si>
  <si>
    <t>003714</t>
  </si>
  <si>
    <t>COLORANTE CONCENTRADO SINTEPLAST T AMARILLO X 1</t>
  </si>
  <si>
    <t>003715</t>
  </si>
  <si>
    <t>ESMALTE SINTETICO TERSUAVE DOBLE ACCION NEGRO X 4</t>
  </si>
  <si>
    <t>003716</t>
  </si>
  <si>
    <t>COLORANTE CONCENTRADO SINTEPLAST V MAGENTA X 1</t>
  </si>
  <si>
    <t>003717</t>
  </si>
  <si>
    <t>COLORANTE CONCENTRADO SINTEPLAST M MAGENTA X 1</t>
  </si>
  <si>
    <t>003718</t>
  </si>
  <si>
    <t>ESMALTE PU HP 9400 MASSTONE RUST OLEUM X 3,785(9407405)</t>
  </si>
  <si>
    <t>003719</t>
  </si>
  <si>
    <t>PAD ESPUMA VERDE CORTE PULIDO 5,5</t>
  </si>
  <si>
    <t>003720</t>
  </si>
  <si>
    <t>PAD ESPUMA AZUL CORTE PULIDO 5,5</t>
  </si>
  <si>
    <t>003721</t>
  </si>
  <si>
    <t>PASO 1 COMPUESTO PULIDOR X 0,700</t>
  </si>
  <si>
    <t>003722</t>
  </si>
  <si>
    <t>PASO 2 LIQUIDO ABRILL. X 0,700</t>
  </si>
  <si>
    <t>003723</t>
  </si>
  <si>
    <t>PASO 3 BRILLO RAPIDO X 0,500</t>
  </si>
  <si>
    <t>003724</t>
  </si>
  <si>
    <t>PAD ESPUMA ROJO LUSTRE MANUAL</t>
  </si>
  <si>
    <t>003725</t>
  </si>
  <si>
    <t>ADAPTADOR ZEOCAR P/TALADRO M14 (102)</t>
  </si>
  <si>
    <t>003726</t>
  </si>
  <si>
    <t>ACTIVADOR EPOXI HP 9100 MASTIC RUST OLEUM X 3,785(357499)</t>
  </si>
  <si>
    <t>003727</t>
  </si>
  <si>
    <t>COLORANTE CONCENTRADO SINTEPLAST SS ROJO X 1</t>
  </si>
  <si>
    <t>003728</t>
  </si>
  <si>
    <t>IMPERMEABILIZANTE PARA FRENTES Y MUROS DURALBA MATE BASE F X  0,900</t>
  </si>
  <si>
    <t>003729</t>
  </si>
  <si>
    <t>IMPERMEABILIZANTE PARA FRENTES Y MUROS DURALBA MATE BASE P X  0,900</t>
  </si>
  <si>
    <t>003730</t>
  </si>
  <si>
    <t>ESMALTE SINTETICO TERSUAVE DOBLE ACCION VERDE INGLES X 4</t>
  </si>
  <si>
    <t>003731</t>
  </si>
  <si>
    <t>IMPERMEABILIZANTE PARA FRENTES Y MUROS DURALBA MATE BASE T X  0,900</t>
  </si>
  <si>
    <t>003732</t>
  </si>
  <si>
    <t>LATEX INTERIOR RECUPLAST SATINADO BASE BLANCO/PASTEL X  1</t>
  </si>
  <si>
    <t>003733</t>
  </si>
  <si>
    <t>LATEX INTERIOR RECUPLAST SATINADO BASE BLANCO/PASTEL X  4</t>
  </si>
  <si>
    <t>003734</t>
  </si>
  <si>
    <t>LATEX INTERIOR RECUPLAST SATINADO BASE BLANCO/PASTEL X 10</t>
  </si>
  <si>
    <t>003735</t>
  </si>
  <si>
    <t>LATEX INTERIOR RECUPLAST SATINADO BASE BLANCO/PASTEL X 20</t>
  </si>
  <si>
    <t>003736</t>
  </si>
  <si>
    <t>LATEX INTERIOR RECUPLAST SATINADO BASE TINT X 0,970</t>
  </si>
  <si>
    <t>003737</t>
  </si>
  <si>
    <t>LATEX INTERIOR RECUPLAST SATINADO BASE TINT X 3,880</t>
  </si>
  <si>
    <t>003738</t>
  </si>
  <si>
    <t>LATEX INTERIOR RECUPLAST SATINADO BASE DEEP X 0,940</t>
  </si>
  <si>
    <t>003739</t>
  </si>
  <si>
    <t>LATEX INTERIOR RECUPLAST SATINADO BASE DEEP X 3.750</t>
  </si>
  <si>
    <t>003740</t>
  </si>
  <si>
    <t>LATEX INTERIOR RECUPLAST SATINADO BASE ACCENT X 0,910</t>
  </si>
  <si>
    <t>003741</t>
  </si>
  <si>
    <t>LATEX INTERIOR RECUPLAST SATINADO BASE ACCENT X 3,620</t>
  </si>
  <si>
    <t>003742</t>
  </si>
  <si>
    <t>DILUYENTE POLIACRILICO TERSUAVE X 0,500</t>
  </si>
  <si>
    <t>003743</t>
  </si>
  <si>
    <t>ACTIVADOR EPOXI CS 6500 100% SOLIDO RUST OLEUM X 1,43(357508)</t>
  </si>
  <si>
    <t>003744</t>
  </si>
  <si>
    <t>IMPREGNANTE PARA MADERA CETOL BALANCE CLASSIC BRILLANTE CAOBA X 10</t>
  </si>
  <si>
    <t>003745</t>
  </si>
  <si>
    <t>IMPREGNANTE PARA MADERA CETOL BALANCE CLASSIC BRILLANTE CEDRO X 10</t>
  </si>
  <si>
    <t>003746</t>
  </si>
  <si>
    <t>IMPREGNANTE PARA MADERA CETOL BALANCE CLASSIC BRILLANTE CRISTAL X 10</t>
  </si>
  <si>
    <t>003747</t>
  </si>
  <si>
    <t>IMPREGNANTE PARA MADERA CETOL BALANCE CLASSIC BRILLANTE NATURAL X 10</t>
  </si>
  <si>
    <t>003748</t>
  </si>
  <si>
    <t>IMPREGNANTE PARA MADERA CETOL BALANCE CLASSIC BRILLANTE NOGAL X 10</t>
  </si>
  <si>
    <t>003749</t>
  </si>
  <si>
    <t>IMPREGNANTE PARA MADERA CETOL BALANCE CLASSIC BRILLANTE ROBLE X 10</t>
  </si>
  <si>
    <t>003750</t>
  </si>
  <si>
    <t>ESMALTE SINTETICO SINTEPLAST MATE BLANCO X  0,500</t>
  </si>
  <si>
    <t>003751</t>
  </si>
  <si>
    <t>ESMALTE SINTETICO SINTEPLAST MATE BLANCO X  1</t>
  </si>
  <si>
    <t>003752</t>
  </si>
  <si>
    <t>ESMALTE SINTETICO SINTEPLAST MATE BLANCO X  4</t>
  </si>
  <si>
    <t>003753</t>
  </si>
  <si>
    <t>ESMALTE SINTETICO SINTEPLAST MATE BLANCO X 20</t>
  </si>
  <si>
    <t>003754</t>
  </si>
  <si>
    <t>ESMALTE AL AGUA RECUPLAST BRILLANTE BASE TINT X 1</t>
  </si>
  <si>
    <t>003755</t>
  </si>
  <si>
    <t>ESMALTE AL AGUA RECUPLAST BRILLANTE BASE TINT X 4</t>
  </si>
  <si>
    <t>003756</t>
  </si>
  <si>
    <t>ESMALTE AL AGUA RECUPLAST BRILLANTE BASE DEEP X 1</t>
  </si>
  <si>
    <t>003757</t>
  </si>
  <si>
    <t>ESMALTE AL AGUA RECUPLAST BRILLANTE BASE DEEP X 4</t>
  </si>
  <si>
    <t>003758</t>
  </si>
  <si>
    <t>ESMALTE AL AGUA RECUPLAST BRILLANTE BASE ACCENT X 1</t>
  </si>
  <si>
    <t>003759</t>
  </si>
  <si>
    <t>ESMALTE AL AGUA RECUPLAST BRILLANTE BASE ACCENT X 4</t>
  </si>
  <si>
    <t>003760</t>
  </si>
  <si>
    <t>ESMALTE SINTETICO SINTEPLAST MATE NEGRO X 0,250</t>
  </si>
  <si>
    <t>003761</t>
  </si>
  <si>
    <t>ESMALTE SINTETICO SINTEPLAST MATE NEGRO X 0,500</t>
  </si>
  <si>
    <t>003762</t>
  </si>
  <si>
    <t>ESMALTE SINTETICO SINTEPLAST MATE NEGRO X 1</t>
  </si>
  <si>
    <t>003763</t>
  </si>
  <si>
    <t>ESMALTE SINTETICO SINTEPLAST MATE NEGRO X 4</t>
  </si>
  <si>
    <t>003764</t>
  </si>
  <si>
    <t>AEROSOL RUST-OLEUM MP METALICO NEGRO NOCHE X 0,312(272053)</t>
  </si>
  <si>
    <t>003765</t>
  </si>
  <si>
    <t>DRAGER-MASCARA X-PLORE 5500</t>
  </si>
  <si>
    <t>003766</t>
  </si>
  <si>
    <t>DRAGER FILM PROTECTOR P/MASCARA X-PLORE 5500 X 25</t>
  </si>
  <si>
    <t>003767</t>
  </si>
  <si>
    <t>MAMELUCO LIVIANO BLANCO 60GR(M60BL)</t>
  </si>
  <si>
    <t>003768</t>
  </si>
  <si>
    <t>FILM PLASTICO CUBRE COCHE 4X150</t>
  </si>
  <si>
    <t>003769</t>
  </si>
  <si>
    <t>FILM PLASTICO CUBRE COCHE 4X300</t>
  </si>
  <si>
    <t>003770</t>
  </si>
  <si>
    <t>FILM PLASTICO CUBRE COCHE 5X120 ESP.SUV</t>
  </si>
  <si>
    <t>003771</t>
  </si>
  <si>
    <t>CARRO DISPENSADOR DE ROLLO FILM</t>
  </si>
  <si>
    <t>003772</t>
  </si>
  <si>
    <t>SOPORTE MAGNETICO P/ 2 PISTOLAS</t>
  </si>
  <si>
    <t>003773</t>
  </si>
  <si>
    <t>JUEGO ESPATULAS METALICAS PARA MASILLAR X 4 (DISCONTINUADO)</t>
  </si>
  <si>
    <t>003774</t>
  </si>
  <si>
    <t>HIDROLAVADORA A PRESION - 1800 W - 6,5</t>
  </si>
  <si>
    <t>003775</t>
  </si>
  <si>
    <t>PULIDORA 3D ROTATIVA C/BACKING PLATE (L-36)</t>
  </si>
  <si>
    <t>003776</t>
  </si>
  <si>
    <t>IMPERMEABILIZANTE PARA FRENTES Y MUROS TERSUAVE BASE W X  0,900</t>
  </si>
  <si>
    <t>003777</t>
  </si>
  <si>
    <t>IMPERMEABILIZANTE PARA FRENTES Y MUROS TERSUAVE BASE W X  3,600</t>
  </si>
  <si>
    <t>003778</t>
  </si>
  <si>
    <t>IMPERMEABILIZANTE PARA FRENTES Y MUROS TERSUAVE BASE W X  9,000</t>
  </si>
  <si>
    <t>003779</t>
  </si>
  <si>
    <t>IMPERMEABILIZANTE PARA FRENTES Y MUROS TERSUAVE BASE W X 18,000</t>
  </si>
  <si>
    <t>003780</t>
  </si>
  <si>
    <t>LACA PARA PISO DE CEMENTO RECUFLOOR HIDROLACA X 1</t>
  </si>
  <si>
    <t>003781</t>
  </si>
  <si>
    <t>LACA PARA PISO DE CEMENTO RECUFLOOR HIDROLACA X 5</t>
  </si>
  <si>
    <t>003782</t>
  </si>
  <si>
    <t>MASILLA PARA YESO TERSUAVE X  6</t>
  </si>
  <si>
    <t>003783</t>
  </si>
  <si>
    <t>MASILLA PARA YESO TERSUAVE X 16</t>
  </si>
  <si>
    <t>003784</t>
  </si>
  <si>
    <t>MASILLA PARA YESO TERSUAVE X 32</t>
  </si>
  <si>
    <t>003785</t>
  </si>
  <si>
    <t>REVESTIMIENTO TEXTURADO RECUPLAST GRANIT HUMO X  6</t>
  </si>
  <si>
    <t>003786</t>
  </si>
  <si>
    <t>REVESTIMIENTO TEXTURADO RECUPLAST GRANIT HUMO X 30</t>
  </si>
  <si>
    <t>003787</t>
  </si>
  <si>
    <t>MAMELUCO MICROPERFORADO RESPIRABLE BLANCO 60G #XL(MR60XL)</t>
  </si>
  <si>
    <t>003788</t>
  </si>
  <si>
    <t>MAMELUCO MICROPERFORADO RESPIRABLE BLANCO 60G #XXL(MR60XXL)</t>
  </si>
  <si>
    <t>003789</t>
  </si>
  <si>
    <t>AEROSOL RUST-OLEUM US 1600 INVERTIDO AGUA AZUL REAL BRILLANTE X 0,482(318193)</t>
  </si>
  <si>
    <t>003790</t>
  </si>
  <si>
    <t>AEROSOL RUST-OLEUM US 1600 INVERTIDO AGUA  AMARILLO BRILLANTE X 0,482(206045)</t>
  </si>
  <si>
    <t>003791</t>
  </si>
  <si>
    <t>AEROSOL RUST-OLEUM US 1800 INVERTIDO AGUA ROJO SEG MATE X 0,482(203038)</t>
  </si>
  <si>
    <t>003792</t>
  </si>
  <si>
    <t>AEROSOL RUST-OLEUM US 1600 INVERTIDO AGUA BLANCO SATINADO X 0,482(206043)</t>
  </si>
  <si>
    <t>003793</t>
  </si>
  <si>
    <t>EPOXI 100% SOLIDOS CS 6500 RUST OLEUM TRANSPARENTE X 2,34 (357509)</t>
  </si>
  <si>
    <t>003794</t>
  </si>
  <si>
    <t>3D BOLSO MULTIUSO P/HERRAMIENTAS (J-073D)</t>
  </si>
  <si>
    <t>003795</t>
  </si>
  <si>
    <t>PIEDRA PARA RECOLECCION DE PELOS 3D (M-20S)</t>
  </si>
  <si>
    <t>003796</t>
  </si>
  <si>
    <t>CINTA AUTOMOTOR DOBLE A ULTRA (C974) 18MM X 40M</t>
  </si>
  <si>
    <t>003797</t>
  </si>
  <si>
    <t>CINTA AUTOMOTOR DOBLE A ULTRA (C974) 24MM X 40M</t>
  </si>
  <si>
    <t>003798</t>
  </si>
  <si>
    <t>CINTA AUTOMOTOR DOBLE A ULTRA (C974) 48MM X 40M</t>
  </si>
  <si>
    <t>003799</t>
  </si>
  <si>
    <t>MINI ANDAMIO EQUUS</t>
  </si>
  <si>
    <t>003800</t>
  </si>
  <si>
    <t>CR-338 VERMEHO OXIDO REDUZIDO X 1</t>
  </si>
  <si>
    <t>003801</t>
  </si>
  <si>
    <t>CR-377 ESVERDEADO REDUZIDO X 1</t>
  </si>
  <si>
    <t>003802</t>
  </si>
  <si>
    <t>REVESTIMIENTO TEXTURADO TERPLAST MICACEO BLANCO X  6</t>
  </si>
  <si>
    <t>003803</t>
  </si>
  <si>
    <t>REVESTIMIENTO TEXTURADO TERPLAST MICACEO BLANCO X 25</t>
  </si>
  <si>
    <t>003804</t>
  </si>
  <si>
    <t>FONDO CONVERTIDOR DE OXIDO TERSUAVE MATE BLANCO X 20</t>
  </si>
  <si>
    <t>003805</t>
  </si>
  <si>
    <t>FONDO CONVERTIDOR DE OXIDO TERSUAVE MATE GRIS X 20</t>
  </si>
  <si>
    <t>003806</t>
  </si>
  <si>
    <t>NITRO COL.LILA 422 FIAT X0,125</t>
  </si>
  <si>
    <t>003807</t>
  </si>
  <si>
    <t>FONDO CONVERTIDOR DE OXIDO TERSUAVE MATE NEGRO X 20</t>
  </si>
  <si>
    <t>003808</t>
  </si>
  <si>
    <t>CX-10 3B EFEITO PRATA CRISTAL X 0 33</t>
  </si>
  <si>
    <t>003809</t>
  </si>
  <si>
    <t>FONDO CONVERTIDOR DE OXIDO TERSUAVE MATE ROJO X 20</t>
  </si>
  <si>
    <t>003810</t>
  </si>
  <si>
    <t>LACA POLIACRILICA TERSUAVE BRILLANTE X 1</t>
  </si>
  <si>
    <t>003811</t>
  </si>
  <si>
    <t>LACA POLIACRILICA TERSUAVE BRILLANTE X 4</t>
  </si>
  <si>
    <t>003812</t>
  </si>
  <si>
    <t>PINTURA PARA PILETA RESOL AL SOLVENTE CELESTE TRAFUL X 4</t>
  </si>
  <si>
    <t>003813</t>
  </si>
  <si>
    <t>PINTURA PARA PILETA RESOL AL SOLVENTE BLANCO X  4</t>
  </si>
  <si>
    <t>003814</t>
  </si>
  <si>
    <t>PROLONGADOR ZEOCAR 5/8 A 5/8 (101)</t>
  </si>
  <si>
    <t>003815</t>
  </si>
  <si>
    <t>CX-11 3B EFEITO OURO X 0 33</t>
  </si>
  <si>
    <t>003816</t>
  </si>
  <si>
    <t>LACA POLIACRILICA TERSUAVE SATINADA X 1</t>
  </si>
  <si>
    <t>003817</t>
  </si>
  <si>
    <t>LACA POLIACRILICA TERSUAVE SATINADA X 4</t>
  </si>
  <si>
    <t>003818</t>
  </si>
  <si>
    <t>PERFUME PARA AUTO 3D NEUTRALIZADOR X 0,100</t>
  </si>
  <si>
    <t>003819</t>
  </si>
  <si>
    <t>PERFUME PARA AUTO 3D CEREZA X 0,113</t>
  </si>
  <si>
    <t>003820</t>
  </si>
  <si>
    <t>PERFUME PARA AUTO 3D COCO X 0,100</t>
  </si>
  <si>
    <t>003821</t>
  </si>
  <si>
    <t>PERFUME PARA AUTO 3D ANANA X 0,100</t>
  </si>
  <si>
    <t>003822</t>
  </si>
  <si>
    <t>PERFUME PARA AUTO 3D FRUTILLA X 0,100</t>
  </si>
  <si>
    <t>003823</t>
  </si>
  <si>
    <t>PERFUME PARA AUTO 3D CUERO X 0,113</t>
  </si>
  <si>
    <t>003824</t>
  </si>
  <si>
    <t>PERFUME PARA AUTO 3D CHICLE X 0,100</t>
  </si>
  <si>
    <t>003825</t>
  </si>
  <si>
    <t>AEROSOL TERSUAVE ESMALTE SINTETICO FLUO MATE VERDE X 0,440</t>
  </si>
  <si>
    <t>003826</t>
  </si>
  <si>
    <t>PERFUME PARA AUTO 3D LIMON X 0,113</t>
  </si>
  <si>
    <t>003827</t>
  </si>
  <si>
    <t>PERFUME PARA AUTO 3D MANZANA VERDE X 0,100</t>
  </si>
  <si>
    <t>003828</t>
  </si>
  <si>
    <t>AEROSOL TERSUAVE ESMALTE SINTETICO FLUO MATE NARANJA X 0,440</t>
  </si>
  <si>
    <t>003829</t>
  </si>
  <si>
    <t>PERFUME PARA AUTO 3D PINO DE MONTAÏ¿½A X 0,100</t>
  </si>
  <si>
    <t>003830</t>
  </si>
  <si>
    <t>AEROSOL TERSUAVE ESMALTE SINTETICO FLUO MATE AMARILLO X 0,440</t>
  </si>
  <si>
    <t>003831</t>
  </si>
  <si>
    <t>PERFUME PARA AUTO 3D VAINILLA X 0,100</t>
  </si>
  <si>
    <t>003832</t>
  </si>
  <si>
    <t>PERFUME PARA AUTO 3D TALCO DE BEBE X 0,100</t>
  </si>
  <si>
    <t>003833</t>
  </si>
  <si>
    <t>AEROSOL TERSUAVE ESMALTE SINTETICO FLUO MATE FUCSIA X 0,440</t>
  </si>
  <si>
    <t>003834</t>
  </si>
  <si>
    <t>PERFUME PARA AUTO 3D JAZMIN X 0,100</t>
  </si>
  <si>
    <t>003835</t>
  </si>
  <si>
    <t>AEROSOL TERSUAVE ESMALTE SINTETICO FLUO MATE ROJO X 0,440</t>
  </si>
  <si>
    <t>003836</t>
  </si>
  <si>
    <t>FONDO CONVERTIDOR DE OXIDO TERSUAVE MATE VERDE X 20</t>
  </si>
  <si>
    <t>003837</t>
  </si>
  <si>
    <t>DILUYENTE POLIACRILICO TERSUAVE X 1</t>
  </si>
  <si>
    <t>003838</t>
  </si>
  <si>
    <t>CX-12 3B EFEITO VERMELHO RUBI X 0 33</t>
  </si>
  <si>
    <t>003839</t>
  </si>
  <si>
    <t>ESMALTE SINTETICO SATINPLAST SATINADO BASE BLANCO/PASTEL X  1</t>
  </si>
  <si>
    <t>003840</t>
  </si>
  <si>
    <t>ESMALTE SINTETICO SATINPLAST SATINADO BASE BLANCO/PASTEL X  4</t>
  </si>
  <si>
    <t>003841</t>
  </si>
  <si>
    <t>ESMALTE SINTETICO SATINPLAST SATINADO BASE BLANCO/PASTEL X 20</t>
  </si>
  <si>
    <t>003842</t>
  </si>
  <si>
    <t>CX-13 3B EFEITO AZUL UNIVERSO X 0 33</t>
  </si>
  <si>
    <t>003843</t>
  </si>
  <si>
    <t>NITRO COL.BCO.CORFÏ¿½ 224 FIAT X0,125</t>
  </si>
  <si>
    <t>003844</t>
  </si>
  <si>
    <t>IMPREGNANTE PARA MADERA CETOL BALANCE CLASSIC SATINADO CAOBA X 10</t>
  </si>
  <si>
    <t>003845</t>
  </si>
  <si>
    <t>IMPREGNANTE PARA MADERA CETOL BALANCE CLASSIC SATINADO CEDRO X 10</t>
  </si>
  <si>
    <t>003846</t>
  </si>
  <si>
    <t>IMPREGNANTE PARA MADERA CETOL BALANCE CLASSIC SATINADO CRISTAL X 10</t>
  </si>
  <si>
    <t>003847</t>
  </si>
  <si>
    <t>IMPREGNANTE PARA MADERA CETOL BALANCE CLASSIC SATINADO NATURAL X 10</t>
  </si>
  <si>
    <t>003848</t>
  </si>
  <si>
    <t>IMPREGNANTE PARA MADERA CETOL BALANCE CLASSIC SATINADO NOGAL X 10</t>
  </si>
  <si>
    <t>003849</t>
  </si>
  <si>
    <t>IMPREGNANTE PARA MADERA CETOL BALANCE CLASSIC SATINADO ROBLE X 10</t>
  </si>
  <si>
    <t>003850</t>
  </si>
  <si>
    <t>DESENGRASANTE PARA MOTORES 3D 100 GRAND SLAM X 0,500</t>
  </si>
  <si>
    <t>003851</t>
  </si>
  <si>
    <t>DESENGRASANTE  MULTIPROPOSITO 3D 104  ALL PURPOSE CLEANER X 0,500</t>
  </si>
  <si>
    <t>003852</t>
  </si>
  <si>
    <t>DESENGRASANTE INTERIOR/EXTERIOR 3D 109 ORANGE DEGREASER X 0,500</t>
  </si>
  <si>
    <t>003853</t>
  </si>
  <si>
    <t>DESENGRASANTE EXTERIOR PARA LLANTAS 3D 106 YELLOW DEGREASER X 0,500</t>
  </si>
  <si>
    <t>003854</t>
  </si>
  <si>
    <t>LIMPIADOR DE VINILOS,CUEROS Y PLASTICOS 3D 112 LVP CLEANER X 0,500</t>
  </si>
  <si>
    <t>003855</t>
  </si>
  <si>
    <t>3D LIMPIADOR/REMOV.DE POLVO FRENOS X 0,500 (117OZ16)</t>
  </si>
  <si>
    <t>003856</t>
  </si>
  <si>
    <t>REMOVEDOR DE INSECTOS 3D 103 BUG REMOVER X 0,500</t>
  </si>
  <si>
    <t>003857</t>
  </si>
  <si>
    <t>LIMPIAVIDRIOS 3D 901 GLASS CLEANER X 0,500</t>
  </si>
  <si>
    <t>003858</t>
  </si>
  <si>
    <t>3D LIMPIAVIDRIOS EN AERS X 0,312 (902)</t>
  </si>
  <si>
    <t>003859</t>
  </si>
  <si>
    <t>LIMPIADOR ESPUMA DE TAPIZADOS Y ALFOMBRAS 3D 205 CARPET &amp; UPHOLSTERY CLEANER X 0,539</t>
  </si>
  <si>
    <t>003860</t>
  </si>
  <si>
    <t>REMOVEDOR DE BREA Y PEGAMENTO 3D 806 GUM &amp; TAR X 0,250</t>
  </si>
  <si>
    <t>003861</t>
  </si>
  <si>
    <t>PULIDOR DE METALES 3D X 0,500 (602OZ16)</t>
  </si>
  <si>
    <t>003862</t>
  </si>
  <si>
    <t>SHAMPOO PARA ALFOMBRAS Y TAPIZADO 3D 204 UPHOLSTERY &amp; CARPET SHAMPOO X 0,500</t>
  </si>
  <si>
    <t>003863</t>
  </si>
  <si>
    <t>REVIVIDOR SILICONADO PARA CUBIERTAS 3D 703OZ16 X 0,500</t>
  </si>
  <si>
    <t>003864</t>
  </si>
  <si>
    <t>REVIVIDOR DE VINILOS PLASTICOS Y NEUMATICOS S/SIL 3D 703NSOZ16 NON-SILICONE DRESSING X 0,5</t>
  </si>
  <si>
    <t>003865</t>
  </si>
  <si>
    <t>PROTECTOR Y EMBELLECEDOR DE GOMAS Y PLASTICOS 3D 706 ULTRA PROTECTANT X 0,500</t>
  </si>
  <si>
    <t>003866</t>
  </si>
  <si>
    <t>CERA DE CARNAUBA EN PASTA 3D 412 CARNAUBA PASTE X 0,330</t>
  </si>
  <si>
    <t>003867</t>
  </si>
  <si>
    <t>CERA DE CARNAUBA LIQUIDA 3D 908 CARNAUBA X 0,500</t>
  </si>
  <si>
    <t>003868</t>
  </si>
  <si>
    <t>CERA EFECTO MOJADO 3D 906 CHERRY WAX X 0,500</t>
  </si>
  <si>
    <t>003869</t>
  </si>
  <si>
    <t>CERA LIQUIDA DE RAPIDA APLICACION 3D 401 EXPRESS WAX X 0,500</t>
  </si>
  <si>
    <t>003870</t>
  </si>
  <si>
    <t>QUICK DETAILER 3D 403 FINAL TOUCH X 0,500</t>
  </si>
  <si>
    <t>003871</t>
  </si>
  <si>
    <t>SHAMPOO CONCENTRADO PH NEUTRO SIN CERA 3D 202 PINK CAR SOAP X 0,500</t>
  </si>
  <si>
    <t>003872</t>
  </si>
  <si>
    <t>SHAMPOO CONCENTRADO CON CERA 3D 201 WASH &amp; WAX X 0,500</t>
  </si>
  <si>
    <t>003873</t>
  </si>
  <si>
    <t>PERFUME PARA AUTO 3D MANGO X 0,113</t>
  </si>
  <si>
    <t>003874</t>
  </si>
  <si>
    <t>PERFUME PARA AUTO 3D AUTO NUEVO X 0,113</t>
  </si>
  <si>
    <t>003875</t>
  </si>
  <si>
    <t>NEUTRALIZADOR DE OLORES 3D 913-ODOR ELIMINATOR X 0,500</t>
  </si>
  <si>
    <t>003876</t>
  </si>
  <si>
    <t>3D KIT PADS PULIDO+BACKING PLATE 7''(K-07-KIT)'</t>
  </si>
  <si>
    <t>003877</t>
  </si>
  <si>
    <t>APLICADOR VELCRO PADS X 5 3D APLICATOR PADS X5 (G-31)</t>
  </si>
  <si>
    <t>003878</t>
  </si>
  <si>
    <t>APLICADOR  MULTIPROPOSITO 3D MULTI PURPOSE - PACK X 2 (G-32)</t>
  </si>
  <si>
    <t>003879</t>
  </si>
  <si>
    <t>TOALLA MICROFIBRA 3D MICROFIBER WEFT TOWEL 70X95 (G-44G)</t>
  </si>
  <si>
    <t>003880</t>
  </si>
  <si>
    <t>MICROFIBRA 3D SUAVE - NEGRA 60X40 G-41B</t>
  </si>
  <si>
    <t>003881</t>
  </si>
  <si>
    <t>MICROFIBRA 3D SUAVE - AMARILLA 60X40 G-41Y</t>
  </si>
  <si>
    <t>003882</t>
  </si>
  <si>
    <t>MICROFIBRA 3D SUAVE - VERDE 60X40 G-41G</t>
  </si>
  <si>
    <t>003883</t>
  </si>
  <si>
    <t>TOALLA MICROFIBRA 3D MICROFIBER TOWELS WAFFLE - CELESTE 60X40 G-42B</t>
  </si>
  <si>
    <t>003884</t>
  </si>
  <si>
    <t>TOALLA MICROFIBRA 3D MICROFIBER TOWELS ROJO 60X40 (G-47RL)</t>
  </si>
  <si>
    <t>003885</t>
  </si>
  <si>
    <t>TELA SINTÉTICA PARA SECADO 3D WATER SPRITE (G-01A)</t>
  </si>
  <si>
    <t>003886</t>
  </si>
  <si>
    <t>ESPONJA APLICADORA BLANCA 3D APPLICATOR SPONGE BLANCA(G-26)</t>
  </si>
  <si>
    <t>003887</t>
  </si>
  <si>
    <t>DILUYENTE PARA CEMENTO DE CONTACTO X   1</t>
  </si>
  <si>
    <t>003888</t>
  </si>
  <si>
    <t>GUANTE MICROFIBRA SANDWICH 3D CHENILLE SANDWICH WASH MITT (G-02Y)</t>
  </si>
  <si>
    <t>003889</t>
  </si>
  <si>
    <t>GUANTE NARANJA MICROFIBRA  3D MICROFIBER FUZZY NARANJA (G-02-01OR)</t>
  </si>
  <si>
    <t>003890</t>
  </si>
  <si>
    <t>GUANTE ROSA MICROFIBRA 3D MICROFIBER FUZZY ROSA (G-02-01PI)</t>
  </si>
  <si>
    <t>003891</t>
  </si>
  <si>
    <t>PAD LAVADO NARANJA 3D WASH PAD NARANJA (G-02-02OR)</t>
  </si>
  <si>
    <t>003892</t>
  </si>
  <si>
    <t>PAD LAVADO NARANJA 3D WASH PAD ROSA (G-02-02PI)</t>
  </si>
  <si>
    <t>003893</t>
  </si>
  <si>
    <t>3D PAD DE LAVADO DE MICROFIBRAS NARANJA G-45OR</t>
  </si>
  <si>
    <t>003894</t>
  </si>
  <si>
    <t>3D PAD DE LAVADO DE MICROFIBRAS ROSADO (G-45PI)</t>
  </si>
  <si>
    <t>003895</t>
  </si>
  <si>
    <t>CEPILLO ALFOMBRA C/ MANGO 3D - (M-11)</t>
  </si>
  <si>
    <t>003896</t>
  </si>
  <si>
    <t>CEPILLO CERDA PLASTICA 3D BRUSH INT UPHOLSTERY &amp; CARPET - (M-15)</t>
  </si>
  <si>
    <t>003897</t>
  </si>
  <si>
    <t>PINCEL CERDA NEGRA 3D BRUSH VENT &amp; DASH - (M-16L)</t>
  </si>
  <si>
    <t>003898</t>
  </si>
  <si>
    <t>CEPILLO PELO FINO 3D BRUSH UPHOLSTERY - (M-26)</t>
  </si>
  <si>
    <t>003899</t>
  </si>
  <si>
    <t>PRIMER COAT IN ICH 6100 SHOP RUST - OLEUM GRIS X 3,780(206331)</t>
  </si>
  <si>
    <t>003900</t>
  </si>
  <si>
    <t>ACTIVADOR POLIURETANICO 9400 X 3,785 (9401402)</t>
  </si>
  <si>
    <t>003901</t>
  </si>
  <si>
    <t>ENTONADOR UNIVERSAL TERSUAVE AMARILLO X 0,120</t>
  </si>
  <si>
    <t>003902</t>
  </si>
  <si>
    <t>ENTONADOR UNIVERSAL TERSUAVE BERMELLON X 0,120</t>
  </si>
  <si>
    <t>003903</t>
  </si>
  <si>
    <t>ENTONADOR UNIVERSAL TERSUAVE OCRE X 0,120</t>
  </si>
  <si>
    <t>003904</t>
  </si>
  <si>
    <t>ENTONADOR UNIVERSAL TERSUAVE VERDE CLARO X 0,120</t>
  </si>
  <si>
    <t>003905</t>
  </si>
  <si>
    <t>ENTONADOR UNIVERSAL TERSUAVE VERDE OSCURO X 0,120</t>
  </si>
  <si>
    <t>003906</t>
  </si>
  <si>
    <t>ENTONADOR UNIVERSAL TERSUAVE AZUL X 0,120</t>
  </si>
  <si>
    <t>003907</t>
  </si>
  <si>
    <t>ENTONADOR UNIVERSAL TERSUAVE CEDRO X 0,120</t>
  </si>
  <si>
    <t>003908</t>
  </si>
  <si>
    <t>ENTONADOR UNIVERSAL TERSUAVE SIENA X 0,120</t>
  </si>
  <si>
    <t>003909</t>
  </si>
  <si>
    <t>ENTONADOR UNIVERSAL TERSUAVE NEGRO X 0,120</t>
  </si>
  <si>
    <t>003910</t>
  </si>
  <si>
    <t>ENTONADOR UNIVERSAL TERSUAVE NARANJA X 0,120</t>
  </si>
  <si>
    <t>003911</t>
  </si>
  <si>
    <t>ENTONADOR UNIVERSAL TERSUAVE VIOLETA X 0,120</t>
  </si>
  <si>
    <t>003912</t>
  </si>
  <si>
    <t>ENTONADOR UNIVERSAL TERSUAVE MARRON X 0,120</t>
  </si>
  <si>
    <t>003913</t>
  </si>
  <si>
    <t>COLOR TEST ALBA ADOQUIN X 0,030</t>
  </si>
  <si>
    <t>003914</t>
  </si>
  <si>
    <t>COLOR TEST ALBA ADORNO RUPESTRE X 0,030</t>
  </si>
  <si>
    <t>003915</t>
  </si>
  <si>
    <t>COLOR TEST ALBA AGUAMARINA MEDIO X 0,030</t>
  </si>
  <si>
    <t>003916</t>
  </si>
  <si>
    <t>COLOR TEST ALBA AGUAS DE ISLANDIA X 0,030</t>
  </si>
  <si>
    <t>003917</t>
  </si>
  <si>
    <t>COLOR TEST ALBA AZUL COSMICO X 0,030</t>
  </si>
  <si>
    <t>003918</t>
  </si>
  <si>
    <t>COLOR TEST ALBA AZUL DICHA X 0,030</t>
  </si>
  <si>
    <t>003919</t>
  </si>
  <si>
    <t>COLOR TEST ALBA AZUL FERIADO X 0,030</t>
  </si>
  <si>
    <t>003920</t>
  </si>
  <si>
    <t>COLOR TEST ALBA AZUL MOVIMIENTO X 0,030</t>
  </si>
  <si>
    <t>003921</t>
  </si>
  <si>
    <t>COLOR TEST ALBA BANO RELAJANTE X 0,030</t>
  </si>
  <si>
    <t>003922</t>
  </si>
  <si>
    <t>COLOR TEST ALBA BARRO X 0,030</t>
  </si>
  <si>
    <t>003923</t>
  </si>
  <si>
    <t>COLOR TEST ALBA BEGONIA OSADA X 0,030</t>
  </si>
  <si>
    <t>003924</t>
  </si>
  <si>
    <t>COLOR TEST ALBA BORGONA X 0,030</t>
  </si>
  <si>
    <t>003925</t>
  </si>
  <si>
    <t>COLOR TEST ALBA BOTIN DE ORO X 0,030</t>
  </si>
  <si>
    <t>003926</t>
  </si>
  <si>
    <t>COLOR TEST ALBA BRONCEADO DE VERANO X 0,030</t>
  </si>
  <si>
    <t>003927</t>
  </si>
  <si>
    <t>COLOR TEST ALBA BURBUJA DE CHOCOLATE X 0,030</t>
  </si>
  <si>
    <t>003928</t>
  </si>
  <si>
    <t>COLOR TEST ALBA CAMINATAS OTONALES X 0,030</t>
  </si>
  <si>
    <t>003929</t>
  </si>
  <si>
    <t>COLOR TEST ALBA CANTO DE PAVO REAL X 0,030</t>
  </si>
  <si>
    <t>003930</t>
  </si>
  <si>
    <t>COLOR TEST ALBA CAOBA IMPONENTE X 0,030</t>
  </si>
  <si>
    <t>003931</t>
  </si>
  <si>
    <t>COLOR TEST ALBA CARAMELO CROCANTE X 0,030</t>
  </si>
  <si>
    <t>003932</t>
  </si>
  <si>
    <t>COLOR TEST ALBA CASTILLLO DEL DESIERTO X 0,030</t>
  </si>
  <si>
    <t>003933</t>
  </si>
  <si>
    <t>COLOR TEST ALBA CATARATAS DE PASION X 0,030</t>
  </si>
  <si>
    <t>003934</t>
  </si>
  <si>
    <t>COLOR TEST ALBA CELESTER FLORECIENTE X 0,030</t>
  </si>
  <si>
    <t>003935</t>
  </si>
  <si>
    <t>COLOR TEST ALBA CEMENTO QUEMADO X 0,030</t>
  </si>
  <si>
    <t>003936</t>
  </si>
  <si>
    <t>COLOR TEST ALBA CINTA VIOLETA X 0,030</t>
  </si>
  <si>
    <t>003937</t>
  </si>
  <si>
    <t>COLOR TEST ALBA COSTA DE PELICANOS X 0,030</t>
  </si>
  <si>
    <t>003938</t>
  </si>
  <si>
    <t>COLOR TEST ALBA DIA FELIZ X 0,030</t>
  </si>
  <si>
    <t>003939</t>
  </si>
  <si>
    <t>COLOR TEST ALBA DIGNIDAD X 0,030</t>
  </si>
  <si>
    <t>003940</t>
  </si>
  <si>
    <t>COLOR TEST ALBA DURAZNO CALIDO X 0,030</t>
  </si>
  <si>
    <t>003941</t>
  </si>
  <si>
    <t>COLOR TEST ALBA DURAZNO DELICIOSO X 0,030</t>
  </si>
  <si>
    <t>003942</t>
  </si>
  <si>
    <t>COLOR TEST ALBA ESPECIA FUERTE X 0,030</t>
  </si>
  <si>
    <t>003943</t>
  </si>
  <si>
    <t>COLOR TEST ALBA ESPIRITU DE SEDUCCION X 0,030</t>
  </si>
  <si>
    <t>003944</t>
  </si>
  <si>
    <t>COLOR TEST ALBA ESTALLIDO ESTELAR X 0,030</t>
  </si>
  <si>
    <t>003945</t>
  </si>
  <si>
    <t>COLOR TEST ALBA EXPLOSION DE GRIS X 0,030</t>
  </si>
  <si>
    <t>003946</t>
  </si>
  <si>
    <t>COLOR TEST ALBA FANTASIA DEL BOSQUE X 0,030</t>
  </si>
  <si>
    <t>003947</t>
  </si>
  <si>
    <t>COLOR TEST ALBA FANTASTICO FOLLAJE X 0,030</t>
  </si>
  <si>
    <t>003948</t>
  </si>
  <si>
    <t>COLOR TEST ALBA FIESTA PRIMAVERAL X 0,030</t>
  </si>
  <si>
    <t>003949</t>
  </si>
  <si>
    <t>COLOR TEST ALBA FLOR DE NARANJA X 0,030</t>
  </si>
  <si>
    <t>003950</t>
  </si>
  <si>
    <t>COLOR TEST ALBA FLORECER DE SETIEMBRE X 0,030</t>
  </si>
  <si>
    <t>003951</t>
  </si>
  <si>
    <t>COLOR TEST ALBA FUGA DEL TIEMPO X 0,030</t>
  </si>
  <si>
    <t>003952</t>
  </si>
  <si>
    <t>COLOR TEST ALBA GAMUZA ROSA X 0,030</t>
  </si>
  <si>
    <t>003953</t>
  </si>
  <si>
    <t>COLOR TEST ALBA GRANITO HUMEDO X 0,030</t>
  </si>
  <si>
    <t>003954</t>
  </si>
  <si>
    <t>COLOR TEST ALBA GRIS AZULADO X 0,030</t>
  </si>
  <si>
    <t>003955</t>
  </si>
  <si>
    <t>COLOR TEST ALBA GRIS CABLE X 0,030</t>
  </si>
  <si>
    <t>003956</t>
  </si>
  <si>
    <t>COLOR TEST ALBA GRIS EXOTICO X 0,030</t>
  </si>
  <si>
    <t>003957</t>
  </si>
  <si>
    <t>COLOR TEST ALBA GRIS GENEROSO X 0,030</t>
  </si>
  <si>
    <t>003958</t>
  </si>
  <si>
    <t>COLOR TEST ALBA GRIS NIEBLA X 0,030</t>
  </si>
  <si>
    <t>003959</t>
  </si>
  <si>
    <t>COLOR TEST ALBA GRIS NOBLE X 0,030</t>
  </si>
  <si>
    <t>003960</t>
  </si>
  <si>
    <t>COLOR TEST ALBA GRIS PLATA X 0,030</t>
  </si>
  <si>
    <t>003961</t>
  </si>
  <si>
    <t>COLOR TEST ALBA LANGOSTA X 0,030</t>
  </si>
  <si>
    <t>003962</t>
  </si>
  <si>
    <t>COLOR TEST ALBA LENO HUMEANTE X 0,030</t>
  </si>
  <si>
    <t>003963</t>
  </si>
  <si>
    <t>COLOR TEST ALBA MAR SOLENCIOSO X 0,030</t>
  </si>
  <si>
    <t>003964</t>
  </si>
  <si>
    <t>COLOR TEST ALBA MAR TURBULENTO X 0,030</t>
  </si>
  <si>
    <t>003965</t>
  </si>
  <si>
    <t>COLOR TEST ALBA MARRON HABANA X 0,030</t>
  </si>
  <si>
    <t>003966</t>
  </si>
  <si>
    <t>COLOR TEST ALBA MINA DE GRAVA X 0,030</t>
  </si>
  <si>
    <t>003967</t>
  </si>
  <si>
    <t>COLOR TEST ALBA MISTICO X 0,030</t>
  </si>
  <si>
    <t>003968</t>
  </si>
  <si>
    <t>COLOR TEST ALBA MOMENTO DE GRIS X 0,030</t>
  </si>
  <si>
    <t>003969</t>
  </si>
  <si>
    <t>COLOR TEST ALBA MOSTAZA TENUE X 0,030</t>
  </si>
  <si>
    <t>003970</t>
  </si>
  <si>
    <t>COLOR TEST ALBA MOUSSE DE GALLETITA X 0,030</t>
  </si>
  <si>
    <t>003971</t>
  </si>
  <si>
    <t>COLOR TEST ALBA NATURAL URBANO X 0,030</t>
  </si>
  <si>
    <t>003972</t>
  </si>
  <si>
    <t>COLOR TEST ALBA NAVIOS EN EL MAR X 0,030</t>
  </si>
  <si>
    <t>003973</t>
  </si>
  <si>
    <t>COLOR TEST ALBA NUEVO ROCIO X 0,030</t>
  </si>
  <si>
    <t>003974</t>
  </si>
  <si>
    <t>COLOR TEST ALBA OSCURA TORMENTA X 0,030</t>
  </si>
  <si>
    <t>003975</t>
  </si>
  <si>
    <t>COLOR TEST ALBA PALTA INTENSO X 0,030</t>
  </si>
  <si>
    <t>003976</t>
  </si>
  <si>
    <t>COLOR TEST ALBA PASA DE UVA X 0,030</t>
  </si>
  <si>
    <t>003977</t>
  </si>
  <si>
    <t>COLOR TEST ALBA PAVO REAL X 0,030</t>
  </si>
  <si>
    <t>003978</t>
  </si>
  <si>
    <t>COLOR TEST ALBA PELOURINHO X 0,030</t>
  </si>
  <si>
    <t>003979</t>
  </si>
  <si>
    <t>COLOR TEST ALBA PINO ESPINOSO X 0,030</t>
  </si>
  <si>
    <t>003980</t>
  </si>
  <si>
    <t>COLOR TEST ALBA PLAYA DE CORAL X 0,030</t>
  </si>
  <si>
    <t>003981</t>
  </si>
  <si>
    <t>COLOR TEST ALBA POPURRI DE ALGAS X 0,030</t>
  </si>
  <si>
    <t>003982</t>
  </si>
  <si>
    <t>COLOR TEST ALBA PRADOS X 0,030</t>
  </si>
  <si>
    <t>003983</t>
  </si>
  <si>
    <t>COLOR TEST ALBA PUERTO DE PIEDRA X 0,030</t>
  </si>
  <si>
    <t>003984</t>
  </si>
  <si>
    <t>COLOR TEST ALBA RAYO DE LUZ X 0,030</t>
  </si>
  <si>
    <t>003985</t>
  </si>
  <si>
    <t>COLOR TEST ALBA ROSA AMARILLA X 0,030</t>
  </si>
  <si>
    <t>003986</t>
  </si>
  <si>
    <t>COLOR TEST ALBA ROSA BALLET X 0,030</t>
  </si>
  <si>
    <t>003987</t>
  </si>
  <si>
    <t>COLOR TEST ALBA ROSA CAPRI X 0,030</t>
  </si>
  <si>
    <t>003988</t>
  </si>
  <si>
    <t>COLOR TEST ALBA ROSA COLONIAL X 0,030</t>
  </si>
  <si>
    <t>003989</t>
  </si>
  <si>
    <t>COLOR TEST ALBA ROSA SEDOSA X 0,030</t>
  </si>
  <si>
    <t>003990</t>
  </si>
  <si>
    <t>COLOR TEST ALBA SALVIA X 0,030</t>
  </si>
  <si>
    <t>003991</t>
  </si>
  <si>
    <t>COLOR TEST ALBA SENDERO EN EL SAHARA X 0,030</t>
  </si>
  <si>
    <t>003992</t>
  </si>
  <si>
    <t>COLOR TEST ALBA SENSACION CRISTAL X 0,030</t>
  </si>
  <si>
    <t>003993</t>
  </si>
  <si>
    <t>COLOR TEST ALBA SENSACION VIOLETA X 0,030</t>
  </si>
  <si>
    <t>003994</t>
  </si>
  <si>
    <t>COLOR TEST ALBA SOL CELESTIAL X 0,030</t>
  </si>
  <si>
    <t>003995</t>
  </si>
  <si>
    <t>COLOR TEST ALBA SUAVE CAUDAL X 0,030</t>
  </si>
  <si>
    <t>003996</t>
  </si>
  <si>
    <t>COLOR TEST ALBA TE DANZANTE X 0,030</t>
  </si>
  <si>
    <t>003997</t>
  </si>
  <si>
    <t>COLOR TEST ALBA TINTE BOTELLA X 0,030</t>
  </si>
  <si>
    <t>003998</t>
  </si>
  <si>
    <t>COLOR TEST ALBA TOQUE DE CEREZA X 0,030</t>
  </si>
  <si>
    <t>003999</t>
  </si>
  <si>
    <t>COLOR TEST ALBA TORMENTA MELANCOLICA X 0,030</t>
  </si>
  <si>
    <t>004000</t>
  </si>
  <si>
    <t>LIJA LIQUIDA ALABASTINE X 0,500</t>
  </si>
  <si>
    <t>004001</t>
  </si>
  <si>
    <t>REPARA MADERAS ALABASTINE NATURAL X 0,075</t>
  </si>
  <si>
    <t>004002</t>
  </si>
  <si>
    <t>REPARA MADERAS ALABASTINE ROBLE X 0,075</t>
  </si>
  <si>
    <t>004003</t>
  </si>
  <si>
    <t>REPARA MADERAS ALABASTINE CAOBA X 0,075</t>
  </si>
  <si>
    <t>004004</t>
  </si>
  <si>
    <t>REPARA MADERAS ALABASTINE ROBLE OSCURO X 0,075</t>
  </si>
  <si>
    <t>004005</t>
  </si>
  <si>
    <t>REPARA MADERAS ALABASTINE BLANCO X 0,075</t>
  </si>
  <si>
    <t>004006</t>
  </si>
  <si>
    <t>REPARA MADERAS ALABASTINE HAYA X 0,075</t>
  </si>
  <si>
    <t>004007</t>
  </si>
  <si>
    <t>COMP.BICA.G2 GRIS JAGUAR F-VW X 0,125</t>
  </si>
  <si>
    <t>004008</t>
  </si>
  <si>
    <t>REPARA PAREDES ALABASTINE S.O.S  X 0,020</t>
  </si>
  <si>
    <t>004009</t>
  </si>
  <si>
    <t>REPARA PAREDES ALABASTINE PRO X 0,600</t>
  </si>
  <si>
    <t>004010</t>
  </si>
  <si>
    <t>REPARA PAREDES ALABASTINE PRO X 2,500</t>
  </si>
  <si>
    <t>004011</t>
  </si>
  <si>
    <t>REPARA MADERAS ALABASTINE NATURAL X 0,200</t>
  </si>
  <si>
    <t>004012</t>
  </si>
  <si>
    <t>NIVELA MADERAS ALABASTINE X 0,400</t>
  </si>
  <si>
    <t>004013</t>
  </si>
  <si>
    <t>REPARA PAREDES ALABASTINE X 0,330</t>
  </si>
  <si>
    <t>004014</t>
  </si>
  <si>
    <t>REPARA PAREDES ALABASTINE X 1</t>
  </si>
  <si>
    <t>004015</t>
  </si>
  <si>
    <t>REPARA PAREDES ALABASTINE ACCION RAPIDA X 0,330</t>
  </si>
  <si>
    <t>004016</t>
  </si>
  <si>
    <t>REMOVEDOR GEL ALABASTINE X 0,900</t>
  </si>
  <si>
    <t>004017</t>
  </si>
  <si>
    <t>REMOVEDOR GEL ALABASTINE X 3,600</t>
  </si>
  <si>
    <t>004018</t>
  </si>
  <si>
    <t>CL-559 AMARILLO ROJIZO X 1</t>
  </si>
  <si>
    <t>004019</t>
  </si>
  <si>
    <t>REPARADOR FLEXIBLE ALABASTINE X 0,310</t>
  </si>
  <si>
    <t>004020</t>
  </si>
  <si>
    <t>FONDO 1-2-3 ALABASTINE X 0,900</t>
  </si>
  <si>
    <t>004021</t>
  </si>
  <si>
    <t>FONDO 1-2-3 ALABASTINE X 3,600</t>
  </si>
  <si>
    <t>004022</t>
  </si>
  <si>
    <t>ESMALTE POLIURETANO VARATHANE AL AGUA INTERIOR BRILLANTE X 0,946(281827)</t>
  </si>
  <si>
    <t>004023</t>
  </si>
  <si>
    <t>ESMALTE POLIURETANO VARATHANE AL AGUA INTERIOR BRILLANTE X 3,785(281831)</t>
  </si>
  <si>
    <t>004024</t>
  </si>
  <si>
    <t>ESMALTE POLIURETANO VARATHANE AL AGUA INTERIOR SATINADO X 0,946(281829)</t>
  </si>
  <si>
    <t>004025</t>
  </si>
  <si>
    <t>ESMALTE POLIURETANO VARATHANE AL AGUA INTERIOR SATINADO X 3,785(281833)</t>
  </si>
  <si>
    <t>004026</t>
  </si>
  <si>
    <t>ESMALTE POLIURETANO VARATHANE TRIPLE CAPA BRILLANTE X 0,946(305507)</t>
  </si>
  <si>
    <t>004027</t>
  </si>
  <si>
    <t>ESMALTE POLIURETANO VARATHANE TRIPLE CAPA SATINADO X 0,946(305510)</t>
  </si>
  <si>
    <t>004028</t>
  </si>
  <si>
    <t>ESMALTE POLIURETANO PARA PISO VARATHANE ACEITE INTERIOR BRILLANTE X 3,785(281857)</t>
  </si>
  <si>
    <t>004029</t>
  </si>
  <si>
    <t>ESMALTE POLIURETANO PARA PISO VARATHANE ACEITE INTERIOR SATINADO X 3,785(281859)</t>
  </si>
  <si>
    <t>004030</t>
  </si>
  <si>
    <t>ESMALTE POLIURETANO PARA PISO VARATHANE AL AGUA INTERIOR BRILLANTE X 3,785(281853)</t>
  </si>
  <si>
    <t>004031</t>
  </si>
  <si>
    <t>ESMALTE POLIURETANO PARA PISO VARATHANE AL AGUA INTERIOR SATINADO X 3,785(281855)</t>
  </si>
  <si>
    <t>004032</t>
  </si>
  <si>
    <t>CL-561 NARANJA X 1</t>
  </si>
  <si>
    <t>004033</t>
  </si>
  <si>
    <t>CL-560 BASE MATEANTE X1</t>
  </si>
  <si>
    <t>004034</t>
  </si>
  <si>
    <t>ESMALTE POLIURETANO PARA PISO VARATHANE AL AGUA INTERIOR SATINADO X 18,9</t>
  </si>
  <si>
    <t>004035</t>
  </si>
  <si>
    <t>LATEX INTERIOR/EXTERIOR TERSUAVE MATE BASE M X  0.900</t>
  </si>
  <si>
    <t>004036</t>
  </si>
  <si>
    <t>LATEX INTERIOR/EXTERIOR TERSUAVE MATE BASE M X  3.6</t>
  </si>
  <si>
    <t>004037</t>
  </si>
  <si>
    <t>LATEX INTERIOR/EXTERIOR TERSUAVE MATE BASE M X  9.0</t>
  </si>
  <si>
    <t>004038</t>
  </si>
  <si>
    <t>LATEX INTERIOR/EXTERIOR TERSUAVE MATE BASE M X 18</t>
  </si>
  <si>
    <t>004039</t>
  </si>
  <si>
    <t>LATEX INTERIOR/EXTERIOR TERSUAVE MATE BASE D X  0.900</t>
  </si>
  <si>
    <t>004040</t>
  </si>
  <si>
    <t>LATEX INTERIOR/EXTERIOR TERSUAVE MATE BASE D X  3.6</t>
  </si>
  <si>
    <t>004041</t>
  </si>
  <si>
    <t>LATEX INTERIOR/EXTERIOR TERSUAVE MATE BASE D X  9.0</t>
  </si>
  <si>
    <t>004042</t>
  </si>
  <si>
    <t>LATEX INTERIOR/EXTERIOR TERSUAVE MATE BASE D X 18</t>
  </si>
  <si>
    <t>004043</t>
  </si>
  <si>
    <t>LATEX INTERIOR/EXTERIOR TERSUAVE MATE BASE C X  0.900</t>
  </si>
  <si>
    <t>004044</t>
  </si>
  <si>
    <t>LATEX INTERIOR/EXTERIOR TERSUAVE MATE BASE C X  3.6</t>
  </si>
  <si>
    <t>004045</t>
  </si>
  <si>
    <t>LATEX INTERIOR/EXTERIOR TERSUAVE MATE BASE C X  9.0</t>
  </si>
  <si>
    <t>004046</t>
  </si>
  <si>
    <t>LATEX INTERIOR/EXTERIOR TERSUAVE MATE BASE C X 18.0</t>
  </si>
  <si>
    <t>004047</t>
  </si>
  <si>
    <t>LATEX INTERIOR RUST OLEUM ZINSSER PERMA-WHITE SATINADO BLANCO X 0.946(281971)</t>
  </si>
  <si>
    <t>004048</t>
  </si>
  <si>
    <t>LATEX INTERIOR RUST OLEUM ZINSSER PERMA-WHITE SATINADO BLANCO X 3,785(281970)</t>
  </si>
  <si>
    <t>004049</t>
  </si>
  <si>
    <t>LATEX INTERIOR RUST OLEUM ZINSSER PERMA-WHITE SATINADO BLANCO X  18,900(2700)</t>
  </si>
  <si>
    <t>004050</t>
  </si>
  <si>
    <t>ESMALTE SINTETICO TERSUAVE TRIPLE ACCION DECOLUX BRILLANTE BLANCO X  1</t>
  </si>
  <si>
    <t>004051</t>
  </si>
  <si>
    <t>ESMALTE SINTETICO TERSUAVE TRIPLE ACCION DECOLUX BRILLANTE BLANCO X  4</t>
  </si>
  <si>
    <t>004052</t>
  </si>
  <si>
    <t>ESMALTE SINTETICO TERSUAVE TRIPLE ACCION DECOLUX BRILLANTE BLANCO X 20</t>
  </si>
  <si>
    <t>004053</t>
  </si>
  <si>
    <t>COMP SU G3 COL.AZUL NASSAU F-VW X 0,125</t>
  </si>
  <si>
    <t>004054</t>
  </si>
  <si>
    <t>PROTECTOR VARATHANE ACEITE DE TECA X 0,946(281800)</t>
  </si>
  <si>
    <t>004055</t>
  </si>
  <si>
    <t>PROTECTOR VARATHANE ACEITE DE TECA X 3,875(281799)</t>
  </si>
  <si>
    <t>004056</t>
  </si>
  <si>
    <t>CM-071 GRAFITO X 1 (DISCONTINUADO)</t>
  </si>
  <si>
    <t>004057</t>
  </si>
  <si>
    <t>BARANDAS P/ANDAMIO MULTIUSO EQUUS</t>
  </si>
  <si>
    <t>004058</t>
  </si>
  <si>
    <t>COLOR TEST ALBA LILA PRIMAVERAL X 0,030</t>
  </si>
  <si>
    <t>004059</t>
  </si>
  <si>
    <t>COLOR TEST ALBA LUZ OXIDRICA X 0,030</t>
  </si>
  <si>
    <t>004060</t>
  </si>
  <si>
    <t>COLOR TEST ALBA MAD AGRISADA X 0,030</t>
  </si>
  <si>
    <t>004061</t>
  </si>
  <si>
    <t>COLOR TEST ALBA MALVA DE INVIERNO X 0,030</t>
  </si>
  <si>
    <t>004062</t>
  </si>
  <si>
    <t>COLOR TEST ALBA MANDARINA DELICIOSA X 0,030</t>
  </si>
  <si>
    <t>004063</t>
  </si>
  <si>
    <t>BOINA DE CORDERO 3D CON VELCRO 5"(K-WW5)</t>
  </si>
  <si>
    <t>004064</t>
  </si>
  <si>
    <t>PAD LANA NEGRO (CORTE) 3D PAD BLACK WOOL 5.1'' (K-WB5)'</t>
  </si>
  <si>
    <t>004065</t>
  </si>
  <si>
    <t>PAD ESPUMA 3D PAD RED FLEXIBLE FOAM 5.5'' ROJO(K-80-R)'</t>
  </si>
  <si>
    <t>004066</t>
  </si>
  <si>
    <t>PAD ESPUMA AZUL 3D PAD BLUE FLEXIBLE FOAM 5.5  (K-80-B)</t>
  </si>
  <si>
    <t>004067</t>
  </si>
  <si>
    <t>3D BOLSO MULT. P/HERRAMIENTAS/INSUMOS (J-063D)</t>
  </si>
  <si>
    <t>004068</t>
  </si>
  <si>
    <t>COBERTOR ASIENTO P/ MASCOTAS 3D KURGO SHORTY BUCKET SEAT COVER SMALL(G-14S)</t>
  </si>
  <si>
    <t>004069</t>
  </si>
  <si>
    <t>PAD ESPUMA VIOLETA CORTE 3D DARK PURPLE FOAM CUTTING (K-55DP)</t>
  </si>
  <si>
    <t>004070</t>
  </si>
  <si>
    <t>3D PAD DE ESPUMA PURPURA CLARO DE CORTE/FINALIZADO (K-55LP)</t>
  </si>
  <si>
    <t>004071</t>
  </si>
  <si>
    <t>PAD ESPUMA NEGRO PULIDO/FINISH 3D 5.5 BLACK FOAM POLISHING(K-55BK)</t>
  </si>
  <si>
    <t>004072</t>
  </si>
  <si>
    <t>COMPL.BICAPA NEGRO DAKAR X 0,125</t>
  </si>
  <si>
    <t>004073</t>
  </si>
  <si>
    <t>CM-075 ROJO PROFUNDO X 1</t>
  </si>
  <si>
    <t>004074</t>
  </si>
  <si>
    <t>COMPSUG5 COL.ROJO CAMBRIDGE F-VW X 0,125</t>
  </si>
  <si>
    <t>004075</t>
  </si>
  <si>
    <t>CM-077 AMARILLO VERDOSO X 1</t>
  </si>
  <si>
    <t>004076</t>
  </si>
  <si>
    <t>CM-078 NARANJA LIMPIO X 1</t>
  </si>
  <si>
    <t>004077</t>
  </si>
  <si>
    <t>CM-118 DOLAR ALUMINIO X 1</t>
  </si>
  <si>
    <t>004078</t>
  </si>
  <si>
    <t>SELLADOR PARA PISO VARATHANE AL AGUA NANOSHIELD ADVANCE X 3,785(137201)</t>
  </si>
  <si>
    <t>004079</t>
  </si>
  <si>
    <t>TERMINACION PARA PISO VARATHANE AL AGUA NANOSHIELD ADVANCE  SATINADO X 3,785(137243)</t>
  </si>
  <si>
    <t>004080</t>
  </si>
  <si>
    <t>ADITIVO HARDENER VARATHANE X 0,227(137195)</t>
  </si>
  <si>
    <t>004081</t>
  </si>
  <si>
    <t>ESMALTE POLIURETANO VARATHANE AL AGUA EXTERIOR BRILLANTE X 0,946(281910)</t>
  </si>
  <si>
    <t>004082</t>
  </si>
  <si>
    <t>ESMALTE POLIURETANO VARATHANE AL AGUA EXTERIOR BRILLANTE X 3,785(281936)</t>
  </si>
  <si>
    <t>004083</t>
  </si>
  <si>
    <t>ESMALTE POLIURETANO VARATHANE AL AGUA EXTERIOR SATINADO X 0,946 (281912)</t>
  </si>
  <si>
    <t>004084</t>
  </si>
  <si>
    <t>ESMALTE POLIURETANO VARATHANE AL AGUA EXTERIOR SATINADO X 3,785 (281938)</t>
  </si>
  <si>
    <t>004085</t>
  </si>
  <si>
    <t>COMP.BICA.G1 VERDE PINUS F-VW X 0,125</t>
  </si>
  <si>
    <t>004086</t>
  </si>
  <si>
    <t>CR-604-OAL OXIDO ROJO REDUCIDO X 1</t>
  </si>
  <si>
    <t>004087</t>
  </si>
  <si>
    <t>DILUYENTE PARA PILETA Y DEMARCACION VIAL X  18</t>
  </si>
  <si>
    <t>004088</t>
  </si>
  <si>
    <t>DILUYENTE PARA PILETA Y DEMARCACION VIAL X 200</t>
  </si>
  <si>
    <t>004089</t>
  </si>
  <si>
    <t>CX-14 3B EFEITO VERDE LUMINOSO X 0 33</t>
  </si>
  <si>
    <t>004090</t>
  </si>
  <si>
    <t>CINTA DE CAUCHO AUTOADHESIVA PLAVICON RAPIPARCHE NEGRO 10X150</t>
  </si>
  <si>
    <t>004091</t>
  </si>
  <si>
    <t>COMP.BICA.G1 GRIS COPENHAGEN F-VW X 0,125</t>
  </si>
  <si>
    <t>004092</t>
  </si>
  <si>
    <t>CINTA DE CAUCHO AUTOADHESIVA PLAVICON RAPIPARCHE TRANSPARENTE 10X150</t>
  </si>
  <si>
    <t>004093</t>
  </si>
  <si>
    <t>COMPL.BICAPA AZUL DALLAS F-VW X 0,125</t>
  </si>
  <si>
    <t>004094</t>
  </si>
  <si>
    <t>COMPSUG5 COL.ROJO SPORTY F-VW X 0,125</t>
  </si>
  <si>
    <t>004095</t>
  </si>
  <si>
    <t>IMPERMEABILIZANTE PARA MUROS PLAVICON MATE MICROFIBRADO BLANCO X  1,250</t>
  </si>
  <si>
    <t>004096</t>
  </si>
  <si>
    <t>IMPERMEABILIZANTE PARA MUROS PLAVICON MATE MICROFIBRADO BLANCO X  5</t>
  </si>
  <si>
    <t>004097</t>
  </si>
  <si>
    <t>IMPERMEABILIZANTE PARA MUROS PLAVICON MATE MICROFIBRADO BLANCO X 12</t>
  </si>
  <si>
    <t>004098</t>
  </si>
  <si>
    <t>IMPERMEABILIZANTE PARA MUROS PLAVICON MATE MICROFIBRADO BLANCO X 25</t>
  </si>
  <si>
    <t>004099</t>
  </si>
  <si>
    <t>REVESTIMIENTO TEXTURADO ALBA PETREO CLASSIC PARIS X  6</t>
  </si>
  <si>
    <t>004100</t>
  </si>
  <si>
    <t>REVESTIMIENTO TEXTURADO ALBA PETREO CLASSIC PARIS X 30</t>
  </si>
  <si>
    <t>004101</t>
  </si>
  <si>
    <t>ESMALTE SINTETICO PARA PISO TERSUAVE BRILLANTE BLANCO X 1</t>
  </si>
  <si>
    <t>004102</t>
  </si>
  <si>
    <t>ESMALTE SINTETICO PARA PISO TERSUAVE BRILLANTE GRIS X 1</t>
  </si>
  <si>
    <t>004103</t>
  </si>
  <si>
    <t>ESMALTE SINTETICO PARA PISO TERSUAVE BRILLANTE ROJO X 1</t>
  </si>
  <si>
    <t>004104</t>
  </si>
  <si>
    <t>ESMALTE SINTETICO PARA PISO TERSUAVE BRILLANTE VERDE X 1</t>
  </si>
  <si>
    <t>004105</t>
  </si>
  <si>
    <t>COMP.BICA.G4 ROJO FUTURA FORD X 0,125</t>
  </si>
  <si>
    <t>004106</t>
  </si>
  <si>
    <t>ESMALTE SINTETICO PARA PISO TERSUAVE BRILLANTE ROBLE X 1</t>
  </si>
  <si>
    <t>004107</t>
  </si>
  <si>
    <t>ESMALTE EPOXI TERSUAVE INDULAC BERMELLON X  4</t>
  </si>
  <si>
    <t>004108</t>
  </si>
  <si>
    <t>ESMALTE EPOXI TERSUAVE INDULAC BERMELLON X 20</t>
  </si>
  <si>
    <t>004109</t>
  </si>
  <si>
    <t>COMP.BICA.G3 AZUL NOBLE F-VW X 0,125</t>
  </si>
  <si>
    <t>004110</t>
  </si>
  <si>
    <t>COMP.BICA.G3 AZUL CLASS F-VW X 0,125</t>
  </si>
  <si>
    <t>004111</t>
  </si>
  <si>
    <t>LATEX INTERIOR COLORIN RINDEMAX MATE BLANCO X  4</t>
  </si>
  <si>
    <t>004112</t>
  </si>
  <si>
    <t>LATEX INTERIOR COLORIN RINDEMAX MATE BLANCO X 10</t>
  </si>
  <si>
    <t>004113</t>
  </si>
  <si>
    <t>LATEX INTERIOR COLORIN RINDEMAX MATE BLANCO X 20</t>
  </si>
  <si>
    <t>004114</t>
  </si>
  <si>
    <t>COMPL.BICAPA ROJO REAL F-VW X 0,125</t>
  </si>
  <si>
    <t>004115</t>
  </si>
  <si>
    <t>DILUYENTE 20-05 X 20</t>
  </si>
  <si>
    <t>004116</t>
  </si>
  <si>
    <t>SIGMATHERM 500 X 5</t>
  </si>
  <si>
    <t>004117</t>
  </si>
  <si>
    <t>SIGMASHIELD 880 BAS GREY (BAS15+HRD5) X 20</t>
  </si>
  <si>
    <t>004118</t>
  </si>
  <si>
    <t>COMPL.BICAPA ROJO RADIANTE F-VW X 0,125</t>
  </si>
  <si>
    <t>004119</t>
  </si>
  <si>
    <t>COMP.BICA.G4 ROJO REGENCIA F-VW X 0,125</t>
  </si>
  <si>
    <t>004120</t>
  </si>
  <si>
    <t>LATEX INTERIOR/EXTERIOR COLORIN RINDEMAX MATE BLANCO X  4</t>
  </si>
  <si>
    <t>004121</t>
  </si>
  <si>
    <t>LATEX INTERIOR/EXTERIOR COLORIN RINDEMAX MATE BLANCO X 10</t>
  </si>
  <si>
    <t>004122</t>
  </si>
  <si>
    <t>COMP.BICA.G0 BEIGE LINCE FORD X 0,125</t>
  </si>
  <si>
    <t>004123</t>
  </si>
  <si>
    <t>COMPL.BICAPA AZUL EUROPA FORD X 0,125</t>
  </si>
  <si>
    <t>004124</t>
  </si>
  <si>
    <t>COMP.BICA.G0 GRIS MERCURIO F-VW X 0,125</t>
  </si>
  <si>
    <t>004125</t>
  </si>
  <si>
    <t>LATEX INTERIOR/EXTERIOR COLORIN RINDEMAX MATE BLANCO X 20</t>
  </si>
  <si>
    <t>004126</t>
  </si>
  <si>
    <t>SELLADOR AUTOMOTRIZ PARABRISA PU BLANCO X 0,400</t>
  </si>
  <si>
    <t>004127</t>
  </si>
  <si>
    <t>SELL. AUTO. CARRO. PU GRIS X 0,400</t>
  </si>
  <si>
    <t>004128</t>
  </si>
  <si>
    <t>SELLADOR AUTOMOTRIZ CARROCERIA PU BLANCO X 0,400</t>
  </si>
  <si>
    <t>004129</t>
  </si>
  <si>
    <t>ADAPTADOR PARA RUEDA DE REMOCION DE ADHESIVO</t>
  </si>
  <si>
    <t>004130</t>
  </si>
  <si>
    <t>COMPSUG5 COL.PLATA LUNAR VW X 0,125</t>
  </si>
  <si>
    <t>004131</t>
  </si>
  <si>
    <t>COMPL.BICAPA ROJO BORDEAUX F-VW X 0,125</t>
  </si>
  <si>
    <t>004132</t>
  </si>
  <si>
    <t>COMP.BICA.G2 AZUL PETRÏ¿½LEO FORD X 0,125</t>
  </si>
  <si>
    <t>004133</t>
  </si>
  <si>
    <t>COMP.BICA.G4 ROJO CABERNET F-VW X 0,125</t>
  </si>
  <si>
    <t>004134</t>
  </si>
  <si>
    <t>TACO PARA LIJA MICROFINA NORTON 70X135X12</t>
  </si>
  <si>
    <t>004135</t>
  </si>
  <si>
    <t>TACO LIJADOR NORTON X 2 (68X124)</t>
  </si>
  <si>
    <t>004136</t>
  </si>
  <si>
    <t>TAZA MEDIDORA RIGIDA NORTON PSN 8/250</t>
  </si>
  <si>
    <t>004137</t>
  </si>
  <si>
    <t>TAZA MEDIDORA RIGIDA NORTON PSN 25/750</t>
  </si>
  <si>
    <t>004138</t>
  </si>
  <si>
    <t>TAZA MEDIDORA RIGIDA NORTON PSN 32/950</t>
  </si>
  <si>
    <t>004139</t>
  </si>
  <si>
    <t>GASA BARNIZADA TACK CLOTH</t>
  </si>
  <si>
    <t>004140</t>
  </si>
  <si>
    <t>COMPL.BICAPA VERMELHO ITALIA FORD X 0,125</t>
  </si>
  <si>
    <t>004141</t>
  </si>
  <si>
    <t>TINTA PARA MADERA VARATHANE BLANCO ANTIGUO X 0,237(315204)</t>
  </si>
  <si>
    <t>004142</t>
  </si>
  <si>
    <t>TINTA PARA MADERA VARATHANE AZUL DESTENIDO X 0,237(315205)</t>
  </si>
  <si>
    <t>004143</t>
  </si>
  <si>
    <t>TINTA PARA MADERA VARATHANE CELESTE VINTAGE X 0,237(315206)</t>
  </si>
  <si>
    <t>004144</t>
  </si>
  <si>
    <t>COMPL.BICAPA VERMELHO PARIS FORD X 0,125</t>
  </si>
  <si>
    <t>004145</t>
  </si>
  <si>
    <t>ESTABILIZADORES ANDAMIO MULTIUSO EQUUS</t>
  </si>
  <si>
    <t>004146</t>
  </si>
  <si>
    <t>COMPL.BICAPA VERDE CAYMAN FORD X 0,125</t>
  </si>
  <si>
    <t>004147</t>
  </si>
  <si>
    <t>PULIDORA 3D ROTO ORBITAL (L-35)</t>
  </si>
  <si>
    <t>004148</t>
  </si>
  <si>
    <t>ADAPTADOR RUEDA REMOCION ADHESIVO</t>
  </si>
  <si>
    <t>004149</t>
  </si>
  <si>
    <t>IMPERMEABILIZANTE PARA TECHOS DURALBA FIBRADO SATINADO BLANCO X  1</t>
  </si>
  <si>
    <t>004150</t>
  </si>
  <si>
    <t>IMPERMEABILIZANTE PARA TECHOS DURALBA FIBRADO SATINADO BLANCO X  4</t>
  </si>
  <si>
    <t>004151</t>
  </si>
  <si>
    <t>IMPERMEABILIZANTE PARA TECHOS DURALBA FIBRADO SATINADO BLANCO X 10</t>
  </si>
  <si>
    <t>004152</t>
  </si>
  <si>
    <t>IMPERMEABILIZANTE PARA TECHOS DURALBA FIBRADO SATINADO BLANCO X 20</t>
  </si>
  <si>
    <t>004153</t>
  </si>
  <si>
    <t>ESMALTE SINTETICO TERSUAVE TRIPLE ACCION DECOLUX BRILLANTE BERMELLON X  1</t>
  </si>
  <si>
    <t>004154</t>
  </si>
  <si>
    <t>ESMALTE SINTETICO TERSUAVE TRIPLE ACCION DECOLUX BRILLANTE BERMELLON X  4</t>
  </si>
  <si>
    <t>004155</t>
  </si>
  <si>
    <t>ESMALTE SINTETICO TERSUAVE TRIPLE ACCION DECOLUX BRILLANTE BERMELLON X 20</t>
  </si>
  <si>
    <t>004156</t>
  </si>
  <si>
    <t>ESMALTE SINTETICO TERSUAVE TRIPLE ACCION DECOLUX BRILLANTE AMARILLO X  1</t>
  </si>
  <si>
    <t>004157</t>
  </si>
  <si>
    <t>ESMALTE SINTETICO TERSUAVE TRIPLE ACCION DECOLUX BRILLANTE AMARILLO X  4</t>
  </si>
  <si>
    <t>004158</t>
  </si>
  <si>
    <t>ESMALTE SINTETICO TERSUAVE TRIPLE ACCION DECOLUX BRILLANTE AMARILLO X 20</t>
  </si>
  <si>
    <t>004159</t>
  </si>
  <si>
    <t>ESMALTE SINTETICO TERSUAVE TRIPLE ACCION DECOLUX BRILLANTE VERDE INGLES X  1</t>
  </si>
  <si>
    <t>004160</t>
  </si>
  <si>
    <t>ESMALTE SINTETICO TERSUAVE TRIPLE ACCION DECOLUX BRILLANTE VERDE INGLES X  4</t>
  </si>
  <si>
    <t>004161</t>
  </si>
  <si>
    <t>ESMALTE SINTETICO TERSUAVE TRIPLE ACCION DECOLUX BRILLANTE VERDE INGLES X 20</t>
  </si>
  <si>
    <t>004162</t>
  </si>
  <si>
    <t>ESMALTE SINTETICO TERSUAVE TRIPLE ACCION DECOLUX BRILLANTE AZUL X  1</t>
  </si>
  <si>
    <t>004163</t>
  </si>
  <si>
    <t>ESMALTE SINTETICO TERSUAVE TRIPLE ACCION DECOLUX BRILLANTE AZUL X  4</t>
  </si>
  <si>
    <t>004164</t>
  </si>
  <si>
    <t>ESMALTE SINTETICO TERSUAVE TRIPLE ACCION DECOLUX BRILLANTE AZUL X 20</t>
  </si>
  <si>
    <t>004165</t>
  </si>
  <si>
    <t>ESMALTE SINTETICO TERSUAVE TRIPLE ACCION DECOLUX BRILLANTE GRIS ESPACIAL X  1</t>
  </si>
  <si>
    <t>004166</t>
  </si>
  <si>
    <t>ESMALTE SINTETICO TERSUAVE TRIPLE ACCION DECOLUX BRILLANTE GRIS ESPACIAL X  4</t>
  </si>
  <si>
    <t>004167</t>
  </si>
  <si>
    <t>ESMALTE SINTETICO TERSUAVE TRIPLE ACCION DECOLUX BRILLANTE GRIS ESPACIAL X 20</t>
  </si>
  <si>
    <t>004168</t>
  </si>
  <si>
    <t>ESMALTE SINTETICO TERSUAVE TRIPLE ACCION DECOLUX BRILLANTE NEGRO X  1</t>
  </si>
  <si>
    <t>004169</t>
  </si>
  <si>
    <t>ESMALTE SINTETICO TERSUAVE TRIPLE ACCION DECOLUX BRILLANTE NEGRO X  4</t>
  </si>
  <si>
    <t>004170</t>
  </si>
  <si>
    <t>ESMALTE SINTETICO TERSUAVE TRIPLE ACCION DECOLUX BRILLANTE NEGRO X 20</t>
  </si>
  <si>
    <t>004171</t>
  </si>
  <si>
    <t>ESMALTE SINTETICO TERSUAVE TRIPLE ACCION DECOLUX BRILLANTE GRIS OSCURO X  1</t>
  </si>
  <si>
    <t>004172</t>
  </si>
  <si>
    <t>ESMALTE SINTETICO TERSUAVE TRIPLE ACCION DECOLUX BRILLANTE GRIS OSCURO X  4</t>
  </si>
  <si>
    <t>004173</t>
  </si>
  <si>
    <t>ESMALTE SINTETICO TERSUAVE TRIPLE ACCION DECOLUX BRILLANTE GRIS OSCURO X 20</t>
  </si>
  <si>
    <t>004174</t>
  </si>
  <si>
    <t>NITRO COL.BLANCO CORINTHIAN FORD X0,125</t>
  </si>
  <si>
    <t>004175</t>
  </si>
  <si>
    <t>TINTA PARA MADERA VARATHANE DESCOLORIDO X 0,237(281754)</t>
  </si>
  <si>
    <t>004176</t>
  </si>
  <si>
    <t>TINTA PARA MADERA VARATHANE ROBLE DE VERANO X 0,237(281755)</t>
  </si>
  <si>
    <t>004177</t>
  </si>
  <si>
    <t>TINTA PARA MADERA VARATHANE CEREZO TRADICIONAL X 0,237(281756)</t>
  </si>
  <si>
    <t>004178</t>
  </si>
  <si>
    <t>TINTA PARA MADERA VARATHANE ARCE COLONIAL X 0.237(281757)</t>
  </si>
  <si>
    <t>004179</t>
  </si>
  <si>
    <t>TINTA PARA MADERA VARATHANE NOGAL AMERICANO X 0,237(281759)</t>
  </si>
  <si>
    <t>004180</t>
  </si>
  <si>
    <t>TINTA PARA MADERA VARATHANE NOGAL OSCURO X 0.237(281760)</t>
  </si>
  <si>
    <t>004181</t>
  </si>
  <si>
    <t>TINTA PARA MADERA VARATHANE CABERNET X 0.237(281761)</t>
  </si>
  <si>
    <t>004182</t>
  </si>
  <si>
    <t>TINTA PARA MADERA VARATHANE CEREZO NEGRO X 0,237(281762)</t>
  </si>
  <si>
    <t>004183</t>
  </si>
  <si>
    <t>TINTA PARA MADERA VARATHANE KONA X 0,237(281763)</t>
  </si>
  <si>
    <t>004184</t>
  </si>
  <si>
    <t>TINTA PARA MADERA VARATHANE EBANO X 0,237(281764)</t>
  </si>
  <si>
    <t>004185</t>
  </si>
  <si>
    <t>COMPL.BICAPA BCO DIAMANTE FORD X 0,125</t>
  </si>
  <si>
    <t>004186</t>
  </si>
  <si>
    <t>TINTA PARA MADERA VARATHANE NOGAL CLARO X 0,237(281758)</t>
  </si>
  <si>
    <t>004187</t>
  </si>
  <si>
    <t>WEBERPLAST RODILLADO GRIS PLOMO X 30</t>
  </si>
  <si>
    <t>004188</t>
  </si>
  <si>
    <t>COMPSUG1 COL.BLANCO ASPEN FORD X 0,125</t>
  </si>
  <si>
    <t>004189</t>
  </si>
  <si>
    <t>SISTEMA KIT LINER PSN 190Ï¿½ 8/250</t>
  </si>
  <si>
    <t>004190</t>
  </si>
  <si>
    <t>SISTEMA KIT LINER PSN 190Ï¿½ 25/750</t>
  </si>
  <si>
    <t>004191</t>
  </si>
  <si>
    <t>SISTEMA KIT LINER PSN 190Ï¿½ 32/950</t>
  </si>
  <si>
    <t>004192</t>
  </si>
  <si>
    <t>SOPORTE 6 AGUJ.SPEED GRIP 152X0X6</t>
  </si>
  <si>
    <t>004193</t>
  </si>
  <si>
    <t>REDUCTOR IMPACTO INTERFAZ 6 AGU. 152X0X6</t>
  </si>
  <si>
    <t>004194</t>
  </si>
  <si>
    <t>COMPSUG1 COL.BLANCO OXFORD FORD X 0,125</t>
  </si>
  <si>
    <t>004195</t>
  </si>
  <si>
    <t>ENMASCARAMIENTO CAJA CUBRE RUEDAS X 50 UNIDADES</t>
  </si>
  <si>
    <t>004196</t>
  </si>
  <si>
    <t>FILM PARA ENMASCARAMIENTO 125X4 (FPM0001)</t>
  </si>
  <si>
    <t>004197</t>
  </si>
  <si>
    <t>ENMASCARAMIENTO CAJA CUBRE ASIENTOS X 125 UNIDADES</t>
  </si>
  <si>
    <t>004198</t>
  </si>
  <si>
    <t>CONTROL LIJADO P/MASILLA Y PRIMER</t>
  </si>
  <si>
    <t>004199</t>
  </si>
  <si>
    <t>ADAPTADOR PSN+ 40A.1</t>
  </si>
  <si>
    <t>004200</t>
  </si>
  <si>
    <t>WEBERPLAST RODILLADO BLANCO X 30</t>
  </si>
  <si>
    <t>004201</t>
  </si>
  <si>
    <t>ESMALTE SINTETICO PARA PISO TERSUAVE BRILLANTE BLANCO X 4</t>
  </si>
  <si>
    <t>004202</t>
  </si>
  <si>
    <t>ESMALTE SINTETICO PARA PISO TERSUAVE BRILLANTE GRIS X 4</t>
  </si>
  <si>
    <t>004203</t>
  </si>
  <si>
    <t>ESMALTE SINTETICO PARA PISO TERSUAVE BRILLANTE ROJO X 4</t>
  </si>
  <si>
    <t>004204</t>
  </si>
  <si>
    <t>ESMALTE SINTETICO PARA PISO TERSUAVE BRILLANTE VERDE X 4</t>
  </si>
  <si>
    <t>004205</t>
  </si>
  <si>
    <t>REVESTIMIENTO PARA PISO RECUPLAST MICROCEMENTO NEGRO X 20</t>
  </si>
  <si>
    <t>004206</t>
  </si>
  <si>
    <t>ESMALTE SINTETICO PARA PISO TERSUAVE BRILLANTE ROBLE X 4</t>
  </si>
  <si>
    <t>004207</t>
  </si>
  <si>
    <t>MEMBRANA ASFALTICA MEGAFLEX NO CRACK  ALUMINIO 35KG X 10MTS</t>
  </si>
  <si>
    <t>004208</t>
  </si>
  <si>
    <t>MEMBRANA ASFALTICA WEBER ALUMI PLUS 40KG</t>
  </si>
  <si>
    <t>004209</t>
  </si>
  <si>
    <t>MEMBRANA ASFALTICA WEBER ALUMI MAX 4MM</t>
  </si>
  <si>
    <t>004210</t>
  </si>
  <si>
    <t>TELA FIBRADA 10 CM X 25 MT.</t>
  </si>
  <si>
    <t>004211</t>
  </si>
  <si>
    <t>TELA FIBRADA 20 CM X 25 MT.</t>
  </si>
  <si>
    <t>004212</t>
  </si>
  <si>
    <t>TELA FIBRADA 1 MT X 25 MT.</t>
  </si>
  <si>
    <t>004213</t>
  </si>
  <si>
    <t>T402 TRACE WHITE X 0.500</t>
  </si>
  <si>
    <t>004214</t>
  </si>
  <si>
    <t>T403 MICRO WHITE X 0,500</t>
  </si>
  <si>
    <t>004215</t>
  </si>
  <si>
    <t>T405 GRAPHITE BLACK X 0,500</t>
  </si>
  <si>
    <t>004216</t>
  </si>
  <si>
    <t>T409 DEEP BLACK  X 2</t>
  </si>
  <si>
    <t>004217</t>
  </si>
  <si>
    <t>T411 BLUE X 1</t>
  </si>
  <si>
    <t>004218</t>
  </si>
  <si>
    <t>T412.E1 TRANSPARENT BLUE X 1</t>
  </si>
  <si>
    <t>004219</t>
  </si>
  <si>
    <t>T414 RICH BLUE X 2</t>
  </si>
  <si>
    <t>004220</t>
  </si>
  <si>
    <t>T421 OLIVE X 0,500</t>
  </si>
  <si>
    <t>004221</t>
  </si>
  <si>
    <t>T425 PERMANENT YELLOW X 0,500</t>
  </si>
  <si>
    <t>004222</t>
  </si>
  <si>
    <t>4EN1 MONOCAPA  ANTARTICO WEBER X 30 KG</t>
  </si>
  <si>
    <t>004223</t>
  </si>
  <si>
    <t>T427 YELLOW X 1</t>
  </si>
  <si>
    <t>004224</t>
  </si>
  <si>
    <t>T429 TRANSPARENT GOLDEN YELLOW X 0,500</t>
  </si>
  <si>
    <t>004225</t>
  </si>
  <si>
    <t>T430 HIGH STRENGH TRANSPARENT GREEN X 1</t>
  </si>
  <si>
    <t>004226</t>
  </si>
  <si>
    <t>T431 HIGH STRENGH PHTALO GREEN X 1</t>
  </si>
  <si>
    <t>004227</t>
  </si>
  <si>
    <t>T432 TRANSPARENT RED X 1</t>
  </si>
  <si>
    <t>004228</t>
  </si>
  <si>
    <t>T4321 ENVIROBASE HC YELLO X 0,500</t>
  </si>
  <si>
    <t>004229</t>
  </si>
  <si>
    <t>T436 RED OXIDE X 0,500</t>
  </si>
  <si>
    <t>004230</t>
  </si>
  <si>
    <t>T438 ROSE X 1</t>
  </si>
  <si>
    <t>004231</t>
  </si>
  <si>
    <t>T4342 HC MAGENTA X 0,500</t>
  </si>
  <si>
    <t>004232</t>
  </si>
  <si>
    <t>T4343 ENVIROBASE HC ORGAN X 0,500</t>
  </si>
  <si>
    <t>004233</t>
  </si>
  <si>
    <t>T441 CARMINE X 0,500</t>
  </si>
  <si>
    <t>004234</t>
  </si>
  <si>
    <t>T442 BROWN X 0,500</t>
  </si>
  <si>
    <t>004235</t>
  </si>
  <si>
    <t>T444 BORDEAUX X 1</t>
  </si>
  <si>
    <t>004236</t>
  </si>
  <si>
    <t>T447 BRIGHT RED X 1</t>
  </si>
  <si>
    <t>004237</t>
  </si>
  <si>
    <t>T451 EXTRA FINE WHITE PEARL X 0,500</t>
  </si>
  <si>
    <t>004238</t>
  </si>
  <si>
    <t>T452 FINE WHITE PEARL X 0,500</t>
  </si>
  <si>
    <t>004239</t>
  </si>
  <si>
    <t>T453 WHITE PEARL X 1</t>
  </si>
  <si>
    <t>004240</t>
  </si>
  <si>
    <t>T454 BRIGHT RED PEARL X 1</t>
  </si>
  <si>
    <t>004241</t>
  </si>
  <si>
    <t>T456 BLUE PEARL X 1</t>
  </si>
  <si>
    <t>004242</t>
  </si>
  <si>
    <t>T457 GREEN PEARL X 0,500</t>
  </si>
  <si>
    <t>004243</t>
  </si>
  <si>
    <t>T461.E0.5 GOLDEN YELLOW PEARL X 0,500</t>
  </si>
  <si>
    <t>004244</t>
  </si>
  <si>
    <t>T462.E1 FINE RED PEARL X 1</t>
  </si>
  <si>
    <t>004245</t>
  </si>
  <si>
    <t>T471 EXTRA FINE METALLIC X 2</t>
  </si>
  <si>
    <t>004246</t>
  </si>
  <si>
    <t>T472 FINE LENTICULAR METALLIC X 2</t>
  </si>
  <si>
    <t>004247</t>
  </si>
  <si>
    <t>T473.E2 MEDIUM METALLIC X 2</t>
  </si>
  <si>
    <t>004248</t>
  </si>
  <si>
    <t>T474 FINE METALLIC X 1</t>
  </si>
  <si>
    <t>004249</t>
  </si>
  <si>
    <t>T476 COARSE LENTICULAR METALLIC X 2</t>
  </si>
  <si>
    <t>004250</t>
  </si>
  <si>
    <t>WEBERPLAST RODILLADO TERRACOTA X 30</t>
  </si>
  <si>
    <t>004251</t>
  </si>
  <si>
    <t>ESMALTE POLIURETANO TERSUAVE COLOREADO VERDE NOCHE X 25</t>
  </si>
  <si>
    <t>004252</t>
  </si>
  <si>
    <t>ADAPTADOR PSN+ 7A.1</t>
  </si>
  <si>
    <t>004253</t>
  </si>
  <si>
    <t>ADAPTADOR PSN+ 15A.1</t>
  </si>
  <si>
    <t>004254</t>
  </si>
  <si>
    <t>ADAPTADOR PSN+ 14A.1</t>
  </si>
  <si>
    <t>004255</t>
  </si>
  <si>
    <t>ADAPTADOR PSN+ 2A.1</t>
  </si>
  <si>
    <t>004256</t>
  </si>
  <si>
    <t>ADAPTADOR PSN+ 6A.1</t>
  </si>
  <si>
    <t>004257</t>
  </si>
  <si>
    <t>ADAPTADOR PSN+ 5A.1</t>
  </si>
  <si>
    <t>004258</t>
  </si>
  <si>
    <t>ADAPTADOR PSN+ 9A.1</t>
  </si>
  <si>
    <t>004259</t>
  </si>
  <si>
    <t>ADAPTADOR PSN+ 8A.1</t>
  </si>
  <si>
    <t>004260</t>
  </si>
  <si>
    <t>ADAPTADOR PSN+ 22A.1</t>
  </si>
  <si>
    <t>004261</t>
  </si>
  <si>
    <t>ADAPTADOR PSN+ 32A.1</t>
  </si>
  <si>
    <t>004262</t>
  </si>
  <si>
    <t>PINTURA PARA PILETA RESOL AL SOLVENTE CELESTE TRAFUL X18</t>
  </si>
  <si>
    <t>004263</t>
  </si>
  <si>
    <t>PINTURA PARA PILETA RESOL AL SOLVENTE BLANCO X 18</t>
  </si>
  <si>
    <t>004264</t>
  </si>
  <si>
    <t>T477.E1 EXTRA COARSE METALLIC X 1</t>
  </si>
  <si>
    <t>004265</t>
  </si>
  <si>
    <t>D837P.10 DESENGRASANTE SPIRIT WIPE PPG X 4</t>
  </si>
  <si>
    <t>004266</t>
  </si>
  <si>
    <t>DCH3085 CATALIZADOR NORMAL TEMPERATURA MEDIA P/ DC3000/4000 X 0,237</t>
  </si>
  <si>
    <t>004267</t>
  </si>
  <si>
    <t>T479 COARSE SILVER DOLLAR ALUMINIUM X 1</t>
  </si>
  <si>
    <t>004268</t>
  </si>
  <si>
    <t>T491 MATTING BASE X 1</t>
  </si>
  <si>
    <t>004269</t>
  </si>
  <si>
    <t>T4000 CRISTAL SILVER X 0,500</t>
  </si>
  <si>
    <t>004270</t>
  </si>
  <si>
    <t>T4001 ENVIROBASE TINTER BASE ACUOSA X 0,500</t>
  </si>
  <si>
    <t>004271</t>
  </si>
  <si>
    <t>T4003 GALAXY BLUE X 0,500</t>
  </si>
  <si>
    <t>004272</t>
  </si>
  <si>
    <t>T4004 STELLAR GREEN X 0,500</t>
  </si>
  <si>
    <t>004273</t>
  </si>
  <si>
    <t>T4032 ENVIROBASE TINTER BARNIZ X 0,250</t>
  </si>
  <si>
    <t>004274</t>
  </si>
  <si>
    <t>T4034 ENVIROBASE TINTER BARNIZ X 0,250</t>
  </si>
  <si>
    <t>004275</t>
  </si>
  <si>
    <t>T4040 ORANGE FLASH X 0,500</t>
  </si>
  <si>
    <t>004276</t>
  </si>
  <si>
    <t>T4700 LIQUID METAL  X 0,250</t>
  </si>
  <si>
    <t>004277</t>
  </si>
  <si>
    <t>T4705 ENVIROBASE HP LIQUID METAL II X 0,500</t>
  </si>
  <si>
    <t>004278</t>
  </si>
  <si>
    <t>T400/E2 WHITE X 2</t>
  </si>
  <si>
    <t>004279</t>
  </si>
  <si>
    <t>T404 TRACE BLUE BLACK X 0,500</t>
  </si>
  <si>
    <t>004280</t>
  </si>
  <si>
    <t>T406 BLUE BLACK X 1</t>
  </si>
  <si>
    <t>004281</t>
  </si>
  <si>
    <t>T407 JET BLACK X 2</t>
  </si>
  <si>
    <t>004282</t>
  </si>
  <si>
    <t>T413 BRIGHT BLUE X 1</t>
  </si>
  <si>
    <t>004283</t>
  </si>
  <si>
    <t>T415 TRACE BLUE X 0,500</t>
  </si>
  <si>
    <t>004284</t>
  </si>
  <si>
    <t>T420 HIGH STRENGH BLUE X 1</t>
  </si>
  <si>
    <t>004285</t>
  </si>
  <si>
    <t>T422 YELLOW OXIDE X 0,500</t>
  </si>
  <si>
    <t>004286</t>
  </si>
  <si>
    <t>T423 TRACE YELLOW OXIDE X 0,500</t>
  </si>
  <si>
    <t>004287</t>
  </si>
  <si>
    <t>T426 WARM YELLOW X 0,500</t>
  </si>
  <si>
    <t>004288</t>
  </si>
  <si>
    <t>T4281 ENVIROBASE HP SOLID X 0,500</t>
  </si>
  <si>
    <t>004289</t>
  </si>
  <si>
    <t>T4311 ENVIROBASE HC GREEN X 0,500</t>
  </si>
  <si>
    <t>004290</t>
  </si>
  <si>
    <t>T433 BRILLIANT ORANGE X 0,500</t>
  </si>
  <si>
    <t>004291</t>
  </si>
  <si>
    <t>T435 SALMON RED X 1</t>
  </si>
  <si>
    <t>004292</t>
  </si>
  <si>
    <t>T4341 HC TRANSOXIDE RED X 0,500</t>
  </si>
  <si>
    <t>004293</t>
  </si>
  <si>
    <t>T440 TRACE RED OXIDE X 0,500</t>
  </si>
  <si>
    <t>004294</t>
  </si>
  <si>
    <t>T443 VIOLET X 1</t>
  </si>
  <si>
    <t>004295</t>
  </si>
  <si>
    <t>T445 TRANSPARENT MAGENTA X 0,500</t>
  </si>
  <si>
    <t>004296</t>
  </si>
  <si>
    <t>T448 RUSSET X 1</t>
  </si>
  <si>
    <t>004297</t>
  </si>
  <si>
    <t>T455 FINE BLUE PEARL X 0,500</t>
  </si>
  <si>
    <t>004298</t>
  </si>
  <si>
    <t>T458.E0.5 BLUE - GREEN PEARL X 0,500</t>
  </si>
  <si>
    <t>004299</t>
  </si>
  <si>
    <t>T459 COPPER PEARL X 1</t>
  </si>
  <si>
    <t>004300</t>
  </si>
  <si>
    <t>COLA VINILICA COLVINIL 05 POMO X 0,250</t>
  </si>
  <si>
    <t>004301</t>
  </si>
  <si>
    <t>T460 YELLOW PEARL X 0,500</t>
  </si>
  <si>
    <t>004302</t>
  </si>
  <si>
    <t>T465.E0.5 RED PEARL X 0,500</t>
  </si>
  <si>
    <t>004303</t>
  </si>
  <si>
    <t>T466 ORANGE PEARL X 0,500</t>
  </si>
  <si>
    <t>004304</t>
  </si>
  <si>
    <t>T468 VIOLET PEARL X 0,500</t>
  </si>
  <si>
    <t>004305</t>
  </si>
  <si>
    <t>T475.E2 MEDIUM LENTICULAR METALLIC X 2</t>
  </si>
  <si>
    <t>004306</t>
  </si>
  <si>
    <t>T489 MEDIUM ALUMINIUM GOLD X 0,500</t>
  </si>
  <si>
    <t>004307</t>
  </si>
  <si>
    <t>T490.E1 TINTED CLEAR ADDITIVE X 1</t>
  </si>
  <si>
    <t>004308</t>
  </si>
  <si>
    <t>T4002 RADIANT RED X 0,500</t>
  </si>
  <si>
    <t>004309</t>
  </si>
  <si>
    <t>T4005 SOLARIS RED X 0,500</t>
  </si>
  <si>
    <t>004310</t>
  </si>
  <si>
    <t>T4006 FIRESIDE COPPER X 0,500</t>
  </si>
  <si>
    <t>004311</t>
  </si>
  <si>
    <t>T4008 ENVIROBASE TINTER BARNIZ X0,250</t>
  </si>
  <si>
    <t>004312</t>
  </si>
  <si>
    <t>T497 LIMPIADOR DE PISTOLAS AL AGUA X 5</t>
  </si>
  <si>
    <t>004313</t>
  </si>
  <si>
    <t>T494.E5 DILUYENTE MEDIO P/BASE AGUA/PRIMER ACUOSO X 5</t>
  </si>
  <si>
    <t>004314</t>
  </si>
  <si>
    <t>ESMALTE POLIURETANO TERSUAVE INDULAC BLANCO X  1</t>
  </si>
  <si>
    <t>004315</t>
  </si>
  <si>
    <t>ESMALTE POLIURETANO TERSUAVE INDULAC BLANCO X  4</t>
  </si>
  <si>
    <t>004316</t>
  </si>
  <si>
    <t>ESMALTE POLIURETANO TERSUAVE INDULAC BLANCO X 20</t>
  </si>
  <si>
    <t>004317</t>
  </si>
  <si>
    <t>ESMALTE POLIURETANO TERSUAVE INDULAC NEGRO X  1</t>
  </si>
  <si>
    <t>004318</t>
  </si>
  <si>
    <t>ESMALTE POLIURETANO TERSUAVE INDULAC NEGRO X  4</t>
  </si>
  <si>
    <t>004319</t>
  </si>
  <si>
    <t>ESMALTE POLIURETANO TERSUAVE INDULAC NEGRO X 20</t>
  </si>
  <si>
    <t>004320</t>
  </si>
  <si>
    <t>ESMALTE POLIURETANO TERSUAVE INDULAC NARANJA X 20</t>
  </si>
  <si>
    <t>004321</t>
  </si>
  <si>
    <t>CINTA POLI DOBLE A MARRON (293) 24MM X 50MTS.</t>
  </si>
  <si>
    <t>004322</t>
  </si>
  <si>
    <t>CINTA POLI DOBLE A MARRON (293) 36MM X 50MTS.</t>
  </si>
  <si>
    <t>004323</t>
  </si>
  <si>
    <t>SELLATEC FRENTES CEMENTO X  1</t>
  </si>
  <si>
    <t>004324</t>
  </si>
  <si>
    <t>SELLATEC FRENTES CEMENTO X  4</t>
  </si>
  <si>
    <t>004325</t>
  </si>
  <si>
    <t>SELLATEC FRENTES CEMENTO X 10</t>
  </si>
  <si>
    <t>004326</t>
  </si>
  <si>
    <t>SELLATEC FRENTES CEMENTO X 20</t>
  </si>
  <si>
    <t>004327</t>
  </si>
  <si>
    <t>DCH3085 CATALIZADOR NORMAL TEMPERATURA MEDIA P/ DC3000/4000 X 1</t>
  </si>
  <si>
    <t>004328</t>
  </si>
  <si>
    <t>COMPSUG1 COL.BLANCO TUNEZ FORD X 125</t>
  </si>
  <si>
    <t>004329</t>
  </si>
  <si>
    <t>REVESTIMIENTO TEXTURADO TERPLAST ROMANO GRUESO BLANCO X  6</t>
  </si>
  <si>
    <t>004330</t>
  </si>
  <si>
    <t>REVESTIMIENTO TEXTURADO TERPLAST ROMANO GRUESO BLANCO X 25</t>
  </si>
  <si>
    <t>004331</t>
  </si>
  <si>
    <t>REVESTIMIENTO TEXTURADO TERPLAST ROMANO GRUESO CLEAR X 25</t>
  </si>
  <si>
    <t>004332</t>
  </si>
  <si>
    <t>COMPSUG3 COL.ROJO CARDENAL FORD X 125</t>
  </si>
  <si>
    <t>004333</t>
  </si>
  <si>
    <t>REVESTIMIENTO TEXTURADO TERPLAST ROMANO FINO BLANCO X 25</t>
  </si>
  <si>
    <t>004334</t>
  </si>
  <si>
    <t>REVESTIMIENTO TEXTURADO TERPLAST ROMANO FINO CLEAR X 25</t>
  </si>
  <si>
    <t>004335</t>
  </si>
  <si>
    <t>REVESTIMIENTO TEXTURADO TERPLAST ROMANO MEDIO BLANCO X  6</t>
  </si>
  <si>
    <t>004336</t>
  </si>
  <si>
    <t>REVESTIMIENTO TEXTURADO TERPLAST ROMANO MEDIO BLANCO X 25</t>
  </si>
  <si>
    <t>004337</t>
  </si>
  <si>
    <t>REVESTIMIENTO TEXTURADO TERPLAST ROMANO MEDIO CLEAR X 25</t>
  </si>
  <si>
    <t>004338</t>
  </si>
  <si>
    <t>COMPLACOLORIN AZUL GRANADERO FORD X 125</t>
  </si>
  <si>
    <t>004339</t>
  </si>
  <si>
    <t>COMPSUG3 COL.AZUL PLATA FORD X 125</t>
  </si>
  <si>
    <t>004340</t>
  </si>
  <si>
    <t>T4007 COSMIC TURQUOISE ENVIROBASE X 0,250</t>
  </si>
  <si>
    <t>004341</t>
  </si>
  <si>
    <t>IMPREGNANTE PARA MADERA SINTEPLAST FORESTA ADVANCE BRILLANTE CAOBA X 1</t>
  </si>
  <si>
    <t>004342</t>
  </si>
  <si>
    <t>IMPREGNANTE PARA MADERA SINTEPLAST FORESTA ADVANCE BRILLANTE CAOBA X 4</t>
  </si>
  <si>
    <t>004343</t>
  </si>
  <si>
    <t>IMPREGNANTE PARA MADERA SINTEPLAST FORESTA ADVANCE BRILLANTE CEDRO X 1</t>
  </si>
  <si>
    <t>004344</t>
  </si>
  <si>
    <t>IMPREGNANTE PARA MADERA SINTEPLAST FORESTA ADVANCE BRILLANTE CEDRO X 4</t>
  </si>
  <si>
    <t>004345</t>
  </si>
  <si>
    <t>IMPREGNANTE PARA MADERA SINTEPLAST FORESTA ADVANCE BRILLANTE INCOLORO X 1</t>
  </si>
  <si>
    <t>004346</t>
  </si>
  <si>
    <t>IMPREGNANTE PARA MADERA SINTEPLAST FORESTA ADVANCE BRILLANTE INCOLORO X 4</t>
  </si>
  <si>
    <t>004347</t>
  </si>
  <si>
    <t>IMPREGNANTE PARA MADERA SINTEPLAST FORESTA ADVANCE BRILLANTE NATURAL X 1</t>
  </si>
  <si>
    <t>004348</t>
  </si>
  <si>
    <t>IMPREGNANTE PARA MADERA SINTEPLAST FORESTA ADVANCE BRILLANTE NATURAL X 4</t>
  </si>
  <si>
    <t>004349</t>
  </si>
  <si>
    <t>IMPREGNANTE PARA MADERA SINTEPLAST FORESTA ADVANCE BRILLANTE NOGAL X 1</t>
  </si>
  <si>
    <t>004350</t>
  </si>
  <si>
    <t>IMPREGNANTE PARA MADERA SINTEPLAST FORESTA ADVANCE BRILLANTE NOGAL X 4</t>
  </si>
  <si>
    <t>004351</t>
  </si>
  <si>
    <t>IMPREGNANTE PARA MADERA SINTEPLAST FORESTA ADVANCE BRILLANTE ROBLE X 1</t>
  </si>
  <si>
    <t>004352</t>
  </si>
  <si>
    <t>IMPREGNANTE PARA MADERA SINTEPLAST FORESTA ADVANCE BRILLANTE ROBLE X 4</t>
  </si>
  <si>
    <t>004353</t>
  </si>
  <si>
    <t>EMULSION ASFALTICA ACUOSA MEGAFLEX X 200KG</t>
  </si>
  <si>
    <t>004354</t>
  </si>
  <si>
    <t>MEMBRANA ASFALTICA MEGAFLEX GEOMAX X 4MM</t>
  </si>
  <si>
    <t>004355</t>
  </si>
  <si>
    <t>MEMBRANA LIQUIDA TRANSITABLE MEGAFLEX BLANCO X 20KG</t>
  </si>
  <si>
    <t>004356</t>
  </si>
  <si>
    <t>BARNIZ PARA MADERA TERSUAVE IGNIFUGO BRILLANTE X  4</t>
  </si>
  <si>
    <t>004357</t>
  </si>
  <si>
    <t>BARNIZ PARA MADERA TERSUAVE IGNIFUGO BRILLANTE X 20</t>
  </si>
  <si>
    <t>004358</t>
  </si>
  <si>
    <t>ESMALTE IGNIFUGO TERSUAVE BASE ACUOSA X  4</t>
  </si>
  <si>
    <t>004359</t>
  </si>
  <si>
    <t>ESMALTE IGNIFUGO TERSUAVE BASE ACUOSA X 20</t>
  </si>
  <si>
    <t>004360</t>
  </si>
  <si>
    <t>INDULAC EPOXI SIN SOLVENTE X 5 KG</t>
  </si>
  <si>
    <t>004361</t>
  </si>
  <si>
    <t>END010.11 ENDURECEDOR MEDIO X 1(F361) (DISCONTINUADO)</t>
  </si>
  <si>
    <t>004362</t>
  </si>
  <si>
    <t>LATEX PARA PISO TERSPORT AZUL X  1</t>
  </si>
  <si>
    <t>004363</t>
  </si>
  <si>
    <t>LATEX PARA PISO TERSPORT ROJO X  1</t>
  </si>
  <si>
    <t>004364</t>
  </si>
  <si>
    <t>LATEX PARA PISO TERSPORT VERDE X  1</t>
  </si>
  <si>
    <t>004365</t>
  </si>
  <si>
    <t>LATEX PARA PISO TERSPORT NEGRO X  1</t>
  </si>
  <si>
    <t>004366</t>
  </si>
  <si>
    <t>LATEX PARA PISO TERSPORT NEGRO X  4</t>
  </si>
  <si>
    <t>004367</t>
  </si>
  <si>
    <t>LATEX PARA PISO TERSPORT NEGRO X 20</t>
  </si>
  <si>
    <t>004368</t>
  </si>
  <si>
    <t>LATEX PARA PISO TERSPORT GRIS PLOMO X  1</t>
  </si>
  <si>
    <t>004369</t>
  </si>
  <si>
    <t>LATEX PARA PISO TERSPORT GRIS PLOMO X  4</t>
  </si>
  <si>
    <t>004370</t>
  </si>
  <si>
    <t>LATEX PARA PISO TERSPORT GRIS PLOMO X 20</t>
  </si>
  <si>
    <t>004371</t>
  </si>
  <si>
    <t>LATEX PARA PISO TERSPORT BLANCO X 1</t>
  </si>
  <si>
    <t>004372</t>
  </si>
  <si>
    <t>LATEX PARA PISO TERSPORT BLANCO X 4</t>
  </si>
  <si>
    <t>004373</t>
  </si>
  <si>
    <t>PASTINA LISTA WEBER NIEVE X 1 KG</t>
  </si>
  <si>
    <t>004374</t>
  </si>
  <si>
    <t>PASTINA LISTA WEBER GRIS PERLA X 1 KG</t>
  </si>
  <si>
    <t>004375</t>
  </si>
  <si>
    <t>PASTINA LISTA WEBER BEIGE X 1 KG</t>
  </si>
  <si>
    <t>004376</t>
  </si>
  <si>
    <t>PASTINA LISTA WEBER MEDANO X 1 KG</t>
  </si>
  <si>
    <t>004377</t>
  </si>
  <si>
    <t>PASTINA LISTA WEBER HUESO X 1 KG</t>
  </si>
  <si>
    <t>004378</t>
  </si>
  <si>
    <t>PASTINA LISTA WEBER PLATA X 1 KG</t>
  </si>
  <si>
    <t>004379</t>
  </si>
  <si>
    <t>PASTINA LISTA WEBER PERLATO X 1 KG</t>
  </si>
  <si>
    <t>004380</t>
  </si>
  <si>
    <t>PASTINA LISTA WEBER CEDRO X 1 KG</t>
  </si>
  <si>
    <t>004381</t>
  </si>
  <si>
    <t>PASTINA LISTA WEBER NEGRO X 1 KG</t>
  </si>
  <si>
    <t>004382</t>
  </si>
  <si>
    <t>PASTINA LISTA WEBER HABANO X 1 KG</t>
  </si>
  <si>
    <t>004383</t>
  </si>
  <si>
    <t>MORTEROS WEBER LISTO GRIS X 3 KG</t>
  </si>
  <si>
    <t>004384</t>
  </si>
  <si>
    <t>MORTEROS TECNICOS WEBER.TEC RAPID X 2 KG</t>
  </si>
  <si>
    <t>004385</t>
  </si>
  <si>
    <t>MORTEROS TECNICOS WEBER.TEC RAPID X 10 KG</t>
  </si>
  <si>
    <t>004386</t>
  </si>
  <si>
    <t>REPARADOR DE HORMIGON WEBER HORMIVISTO GRIS X 10KG</t>
  </si>
  <si>
    <t>004387</t>
  </si>
  <si>
    <t>REVOQUES MANUALES WEBER MIX I X  5 KG</t>
  </si>
  <si>
    <t>004388</t>
  </si>
  <si>
    <t>REVOQUES MANUALES WEBER MIX I X 30 KG</t>
  </si>
  <si>
    <t>004389</t>
  </si>
  <si>
    <t>REVOQUES MANUALES WEBER MIX E X  5 KG</t>
  </si>
  <si>
    <t>004390</t>
  </si>
  <si>
    <t>REVOQUES MANUALES WEBER MIX E X 30 KG</t>
  </si>
  <si>
    <t>004391</t>
  </si>
  <si>
    <t>GASA BARNIZADA DOBLE A</t>
  </si>
  <si>
    <t>004392</t>
  </si>
  <si>
    <t>MEMBRANA ASFALTICA MEGAFLEX GEOTRANS X 40KG</t>
  </si>
  <si>
    <t>004393</t>
  </si>
  <si>
    <t>COMPSUG2 COL.GRIS NUBE MET.FORD X 125</t>
  </si>
  <si>
    <t>004394</t>
  </si>
  <si>
    <t>PLATO SOPORTE P/MANO 3D BACKING PLATE P/ MANO 5,5'' (E-02)'</t>
  </si>
  <si>
    <t>004395</t>
  </si>
  <si>
    <t>PLATO SOPORTE PU. ROSCA 3D BACKING PULIRETANO-ROSCA 5'' (K-73Y)'</t>
  </si>
  <si>
    <t>004396</t>
  </si>
  <si>
    <t>PLATO SOPORTE P/ROTATIVA 3D BACKING P/ROTA-ROSCA M14 5'' (K-73)</t>
  </si>
  <si>
    <t>004397</t>
  </si>
  <si>
    <t>PLATO SOPORTE P/ROTO ORBITAL 3D BACKING P/MAQ. ROTO ORBITALES 5,5'' (K-75)'</t>
  </si>
  <si>
    <t>004398</t>
  </si>
  <si>
    <t>3D KIT PADS Y LIJAS P/RESTAU.OPTICAS 3'' (K-08-KIT)'</t>
  </si>
  <si>
    <t>004399</t>
  </si>
  <si>
    <t>PLATO SOPORTE P/ TALADRO 3D BACKING PARA TALADRO 3'' (K-96)'</t>
  </si>
  <si>
    <t>004400</t>
  </si>
  <si>
    <t>COLOR TEST ALBA TRIGO DORADO X 0,030</t>
  </si>
  <si>
    <t>004401</t>
  </si>
  <si>
    <t>COLOR TEST ALBA TROFEO DE PLATA X 0,030</t>
  </si>
  <si>
    <t>004402</t>
  </si>
  <si>
    <t>COLOR TEST ALBA TRUFA DE HIERBABUENA X 0,030</t>
  </si>
  <si>
    <t>004403</t>
  </si>
  <si>
    <t>COLOR TEST ALBA TURQUESA VENECIANA X 0,030</t>
  </si>
  <si>
    <t>004404</t>
  </si>
  <si>
    <t>COLOR TEST ALBA UVA VERDE X 0,030</t>
  </si>
  <si>
    <t>004405</t>
  </si>
  <si>
    <t>COLOR TEST ALBA VERDE PARQUE X 0,030</t>
  </si>
  <si>
    <t>004406</t>
  </si>
  <si>
    <t>COLOR TEST ALBA VIDRIO AHUMADO X 0,030</t>
  </si>
  <si>
    <t>004407</t>
  </si>
  <si>
    <t>COLOR TEST ALBA YUTE DORADO X 0,030</t>
  </si>
  <si>
    <t>004408</t>
  </si>
  <si>
    <t>AEROSOL RUST-OLEUM PINTURA TIZADA CHALKED TRANSPARENTE MATE X 0,340(335323)</t>
  </si>
  <si>
    <t>004409</t>
  </si>
  <si>
    <t>AEROSOL RUST-OLEUM PINTURA TIZADA CHALKED BLANCO LINO X 0,340(335341)</t>
  </si>
  <si>
    <t>004410</t>
  </si>
  <si>
    <t>AEROSOL RUST-OLEUM PINTURA TIZADA CHALKED CARBON X 0,340(335347)</t>
  </si>
  <si>
    <t>004411</t>
  </si>
  <si>
    <t>AEROSOL RUST-OLEUM PINTURA TIZADA CHALKED GRIS CAMPESTRE X 0,340(335344)</t>
  </si>
  <si>
    <t>004412</t>
  </si>
  <si>
    <t>AEROSOL RUST-OLEUM PINTURA TIZADA CHALKED GRIS ENVEJECIDO X 0,340(335346)</t>
  </si>
  <si>
    <t>004413</t>
  </si>
  <si>
    <t>AEROSOL RUST-OLEUM PINTURA TIZADA CHALKED AZUL SERENO X 0,340(335342)</t>
  </si>
  <si>
    <t>004414</t>
  </si>
  <si>
    <t>AEROSOL RUST-OLEUM PINTURA TIZADA CHALKED ROSA PALIDO X 0,340(335345)</t>
  </si>
  <si>
    <t>004415</t>
  </si>
  <si>
    <t>AEROSOL RUST-OLEUM PINTURA TIZADA CHALKED CREMA GASA X 0,340(335348)</t>
  </si>
  <si>
    <t>004416</t>
  </si>
  <si>
    <t>AEROSOL RUST-OLEUM PINTURA TIZADA CHALKED AZUL COSTENO X 0,340(335350)</t>
  </si>
  <si>
    <t>004417</t>
  </si>
  <si>
    <t>AEROSOL RUST-OLEUM PINTURA TIZADA CHALKED VERDE ESTANQUE X 0,340(335349)</t>
  </si>
  <si>
    <t>004418</t>
  </si>
  <si>
    <t>AEROSOL RUST-OLEUM PINTURA TIZADA CHALKED ROJO CAMPESTRE X 0,340(343434)</t>
  </si>
  <si>
    <t>004419</t>
  </si>
  <si>
    <t>AEROSOL RUST-OLEUM PINTURA TIZADA CHALKED ROSA INVIERNO X 0,340(358361)</t>
  </si>
  <si>
    <t>004420</t>
  </si>
  <si>
    <t>AEROSOL RUST-OLEUM PINTURA TIZADA CHALKED SALMON CLARON X 0,340(358362)</t>
  </si>
  <si>
    <t>004421</t>
  </si>
  <si>
    <t>PINTURA A LA TIZA CHALKED RUST-OLEUM BLANCO LINO X 0,887(311320)</t>
  </si>
  <si>
    <t>004422</t>
  </si>
  <si>
    <t>PINTURA A LA TIZA CHALKED RUST-OLEUM CARBON X 0,887(311335-375522)</t>
  </si>
  <si>
    <t>004423</t>
  </si>
  <si>
    <t>PINTURA A LA TIZA CHALKED RUST-OLEUM GRIS CAMPESTRE X 0,887(311332)</t>
  </si>
  <si>
    <t>004424</t>
  </si>
  <si>
    <t>PINTURA A LA TIZA CHALKED RUST-OLEUM GRIS ENVEJECIDO X 0,887(311334-375523)</t>
  </si>
  <si>
    <t>004425</t>
  </si>
  <si>
    <t>PINTURA A LA TIZA CHALKED RUST-OLEUM AZUL SERENO X 0,887(311331)</t>
  </si>
  <si>
    <t>004426</t>
  </si>
  <si>
    <t>PINTURA A LA TIZA CHALKED RUST-OLEUM ROSA PALIDO X 0,887(311333)</t>
  </si>
  <si>
    <t>004427</t>
  </si>
  <si>
    <t>PINTURA A LA TIZA CHALKED RUST-OLEUM CREMA GASA X 0,887(337883)</t>
  </si>
  <si>
    <t>004428</t>
  </si>
  <si>
    <t>PINTURA A LA TIZA CHALKED RUST-OLEUM AZUL COSTENO X 0,887(337879)</t>
  </si>
  <si>
    <t>004429</t>
  </si>
  <si>
    <t>PINTURA A LA TIZA CHALKED RUST-OLEUM VERDE ESTANQUE X 0,887(337885)</t>
  </si>
  <si>
    <t>004430</t>
  </si>
  <si>
    <t>PINTURA A LA TIZA CHALKED RUST-OLEUM ROJO CAMPESTRE X 0,887(342646)</t>
  </si>
  <si>
    <t>004431</t>
  </si>
  <si>
    <t>PINTURA A LA TIZA CHALKED RUST-OLEUM VERDE MENTA X 0,887(337884)</t>
  </si>
  <si>
    <t>004432</t>
  </si>
  <si>
    <t>PINTURA A LA TIZA CHALKED RUST-OLEUM TURQUESA  AGUAMARINA X 0,887(350624)</t>
  </si>
  <si>
    <t>004433</t>
  </si>
  <si>
    <t>PINTURA A LA TIZA CHALKED RUST-OLEUM AMARILLO AMANECER X 0,887(350483)</t>
  </si>
  <si>
    <t>004434</t>
  </si>
  <si>
    <t>PINTURA A LA TIZA CHALKED RUST-OLEUM SALMON CLARO X 0,887(358364)</t>
  </si>
  <si>
    <t>004435</t>
  </si>
  <si>
    <t>AEROSOL RUST OLEUM FONDO MULTIUSO ZINSSER 123 MATE BLANCO X 0,368(281957/358274)</t>
  </si>
  <si>
    <t>004436</t>
  </si>
  <si>
    <t>AEROSOL RUST OLEUM FONDO MULTIUSO ZINSSER 123 MATE GRIS X 0,368 (290971)</t>
  </si>
  <si>
    <t>004437</t>
  </si>
  <si>
    <t>FONDO MULTIUSO RUST OLEUM ZINSSER 123 MATE BLANCO X 0,946 (281956)</t>
  </si>
  <si>
    <t>004438</t>
  </si>
  <si>
    <t>FONDO MULTIUSO RUST OLEUM ZINSSER 123 MATE BLANCO X 3,785 (281954)</t>
  </si>
  <si>
    <t>004439</t>
  </si>
  <si>
    <t>FONDO MULTIUSO RUST OLEUM ZINSSER 123 MATE BLANCO X 18,9 (2000)</t>
  </si>
  <si>
    <t>004440</t>
  </si>
  <si>
    <t>FONDO MULTIUSO RUST OLEUM ZINSSER 123 MATE GRIS X 0,946 (286258)</t>
  </si>
  <si>
    <t>004441</t>
  </si>
  <si>
    <t>FONDO MULTIUSO RUST OLEUM ZINSSER 123 MATE GRIS X 3,785 (285085)</t>
  </si>
  <si>
    <t>004442</t>
  </si>
  <si>
    <t>FONDO MULTIUSO RUST OLEUM ZINSSER 123 MATE GRIS X 18,9 (285090)</t>
  </si>
  <si>
    <t>004443</t>
  </si>
  <si>
    <t>ESMALTE AL AGUA TERSUAVE BRILLANTE BERMELLON X 1</t>
  </si>
  <si>
    <t>004444</t>
  </si>
  <si>
    <t>ESMALTE AL AGUA TERSUAVE BRILLANTE BERMELLON X 4</t>
  </si>
  <si>
    <t>004445</t>
  </si>
  <si>
    <t>ESMALTE AL AGUA TERSUAVE BRILLANTE AMARILLO X 1</t>
  </si>
  <si>
    <t>004446</t>
  </si>
  <si>
    <t>ESMALTE AL AGUA TERSUAVE BRILLANTE AMARILLO X 4</t>
  </si>
  <si>
    <t>004447</t>
  </si>
  <si>
    <t>ESMALTE AL AGUA TERSUAVE BRILLANTE VERDE INGLES X 1</t>
  </si>
  <si>
    <t>004448</t>
  </si>
  <si>
    <t>ESMALTE AL AGUA TERSUAVE BRILLANTE VERDE INGLES X 4</t>
  </si>
  <si>
    <t>004449</t>
  </si>
  <si>
    <t>COMPLACOLORIN ORO SOL MET.FORD X 125</t>
  </si>
  <si>
    <t>004450</t>
  </si>
  <si>
    <t>FRATACHO C/VELCRO ASPIRACION 198CMX70MM</t>
  </si>
  <si>
    <t>004451</t>
  </si>
  <si>
    <t>FRATACHO C/VELCRO ASPIRACION 125CMX70MM</t>
  </si>
  <si>
    <t>004452</t>
  </si>
  <si>
    <t>DISCO OXIDO ALUMINIO CERAMICO PREMIUM CYCLONIC BLAZE 150X18 P80</t>
  </si>
  <si>
    <t>004453</t>
  </si>
  <si>
    <t>DISCO OXIDO ALUMINIO CERAMICO PREMIUM CYCLONIC BLAZE 150X18 P120</t>
  </si>
  <si>
    <t>004454</t>
  </si>
  <si>
    <t>DISCO OXIDO ALUMINIO CERAMICO PREMIUM CYCLONIC BLAZE 150X18 P180</t>
  </si>
  <si>
    <t>004455</t>
  </si>
  <si>
    <t>DISCO OXIDO ALUMINIO CERAMICO PREMIUM CYCLONIC BLAZE 150X18 P220</t>
  </si>
  <si>
    <t>004456</t>
  </si>
  <si>
    <t>DISCO OXIDO ALUMINIO CERAMICO PREMIUM CYCLONIC BLAZE 150X18 P320</t>
  </si>
  <si>
    <t>004457</t>
  </si>
  <si>
    <t>DISCO OXIDO ALUMINIO CERAMICO PREMIUM CYCLONIC BLAZE 150X18 P400</t>
  </si>
  <si>
    <t>004458</t>
  </si>
  <si>
    <t>DISCO OXIDO ALUMINIO CERAMICO PREMIUM CYCLONIC BLAZE 150X18 P500</t>
  </si>
  <si>
    <t>004459</t>
  </si>
  <si>
    <t>DISCO OXIDO ALUMINIO MULTI-AIR SOFT-TOUCH A275 P800</t>
  </si>
  <si>
    <t>004460</t>
  </si>
  <si>
    <t>ROLLO A995 BLAZE CYCLONIC P80</t>
  </si>
  <si>
    <t>004461</t>
  </si>
  <si>
    <t>ROLLO CON VELCRO A995 BLAZE CYCLONIC P120</t>
  </si>
  <si>
    <t>004462</t>
  </si>
  <si>
    <t>ROLLO A995 BLAZE CYCLONIC P180</t>
  </si>
  <si>
    <t>004463</t>
  </si>
  <si>
    <t>ROLLO A995 BLAZE CYCLONIC P220</t>
  </si>
  <si>
    <t>004464</t>
  </si>
  <si>
    <t>ROLLO A995 BLAZE CYCLONIC P320</t>
  </si>
  <si>
    <t>004465</t>
  </si>
  <si>
    <t>DISCO OXIDO ALUMINIO CERAMICO PREMIUM RAPID STRIP BLAZE XCRS 115X22MM</t>
  </si>
  <si>
    <t>004466</t>
  </si>
  <si>
    <t>LIJA MICROFINA T499 BLACK-ICE J2000</t>
  </si>
  <si>
    <t>004467</t>
  </si>
  <si>
    <t>COMPSUG1 COL.AGUAMARINA FORD X 0,125</t>
  </si>
  <si>
    <t>004468</t>
  </si>
  <si>
    <t>REVESTIMIENTO TEXTURADO TERPLAST REVOQUE PLASTICO CLEAR X 25</t>
  </si>
  <si>
    <t>004469</t>
  </si>
  <si>
    <t>COMPLACOLORIN VERDE JUNGLA FORD X 125</t>
  </si>
  <si>
    <t>004470</t>
  </si>
  <si>
    <t>REVESTIMIENTO PARA PISO RECUPLAST MICROCEMENTO BASE GRIS X  5</t>
  </si>
  <si>
    <t>004471</t>
  </si>
  <si>
    <t>REVESTIMIENTO PARA PISO RECUPLAST MICROCEMENTO BASE GRIS X 20</t>
  </si>
  <si>
    <t>004472</t>
  </si>
  <si>
    <t>COMPSUG3 COL.AZUL NOCHE FORD X 125</t>
  </si>
  <si>
    <t>004473</t>
  </si>
  <si>
    <t>LIJA MICROFINA T499 BLACK-ICE J2500</t>
  </si>
  <si>
    <t>004474</t>
  </si>
  <si>
    <t>SOPORTE CYCLONIC MULTI-AIR</t>
  </si>
  <si>
    <t>004475</t>
  </si>
  <si>
    <t>REDUCTOR DE IMPACTO CYCLONIC MULTI-AIR</t>
  </si>
  <si>
    <t>004476</t>
  </si>
  <si>
    <t>TACO LIJADOR MANUAL DE GOMA NORTON</t>
  </si>
  <si>
    <t>004477</t>
  </si>
  <si>
    <t>COMPSUG2 COL.AMAR.SAHARA FORD X 125</t>
  </si>
  <si>
    <t>004478</t>
  </si>
  <si>
    <t>CINTA GOLD 18X40</t>
  </si>
  <si>
    <t>004479</t>
  </si>
  <si>
    <t>CINTA GOLD 48X40</t>
  </si>
  <si>
    <t>004480</t>
  </si>
  <si>
    <t>BURLETE ADHESIVO 20MM X 50MTS</t>
  </si>
  <si>
    <t>004481</t>
  </si>
  <si>
    <t>DISCO SPEED-GRIP A275 3 AGU. 3''  P80'</t>
  </si>
  <si>
    <t>004482</t>
  </si>
  <si>
    <t>DISCO SPEED-GRIP A275 3 AGU. 3'' P120'</t>
  </si>
  <si>
    <t>004483</t>
  </si>
  <si>
    <t>DISCO SPEED-GRIP A275 3 AGU. 3'' P180'</t>
  </si>
  <si>
    <t>004484</t>
  </si>
  <si>
    <t>DISCO SPEED-GRIP A275 3 AGU. 3'' P220'</t>
  </si>
  <si>
    <t>004485</t>
  </si>
  <si>
    <t>DISCO SPEED-GRIP A275 3 AGU. 3'' P320'</t>
  </si>
  <si>
    <t>004486</t>
  </si>
  <si>
    <t>DISCO SPEED-GRIP A275 3 AGU. 3'' P400'</t>
  </si>
  <si>
    <t>004487</t>
  </si>
  <si>
    <t>COMPLACOLORIN NARANJA ESTIVAL FORD X 125</t>
  </si>
  <si>
    <t>004488</t>
  </si>
  <si>
    <t>3D GUANTE MICROFIBRA DOBLE CARA (G-02YD)</t>
  </si>
  <si>
    <t>004489</t>
  </si>
  <si>
    <t>COMPSUG3 COL.ROJO PERSA FORD X 125</t>
  </si>
  <si>
    <t>004490</t>
  </si>
  <si>
    <t>DISCO SPEED-GRIP A275 3 AGU. 3'' P500'</t>
  </si>
  <si>
    <t>004491</t>
  </si>
  <si>
    <t>DISCO SPEED-GRIP A275 3 AGU. 3'' P800'</t>
  </si>
  <si>
    <t>004492</t>
  </si>
  <si>
    <t>INTERFAZ P/ROTO DE 3''-DE 3 AGU.'</t>
  </si>
  <si>
    <t>004493</t>
  </si>
  <si>
    <t>DISCO Q255 P2000</t>
  </si>
  <si>
    <t>004494</t>
  </si>
  <si>
    <t>DISCO Q255 P3000</t>
  </si>
  <si>
    <t>004495</t>
  </si>
  <si>
    <t>LIQUIDO PULIDOR ICE QUIT CUT STEP 1</t>
  </si>
  <si>
    <t>004496</t>
  </si>
  <si>
    <t>LIQUIDO PULIDOR ICE XTRA-CUT</t>
  </si>
  <si>
    <t>004497</t>
  </si>
  <si>
    <t>LIQUIDO PULIDOR OEM STEP 2</t>
  </si>
  <si>
    <t>004498</t>
  </si>
  <si>
    <t>ENMASCARAMIENTO ROLLO CUBRE VOLANTE</t>
  </si>
  <si>
    <t>004499</t>
  </si>
  <si>
    <t>SOPORTE CON VELCRO P/BOINA</t>
  </si>
  <si>
    <t>004500</t>
  </si>
  <si>
    <t>BOINA PULIDO ESPUMA BLANCA</t>
  </si>
  <si>
    <t>004501</t>
  </si>
  <si>
    <t>BOINA CORDERO C/VELCRO</t>
  </si>
  <si>
    <t>004502</t>
  </si>
  <si>
    <t>BOINA PULIDO ESPUMA AZUL</t>
  </si>
  <si>
    <t>004503</t>
  </si>
  <si>
    <t>DILUYENTE AGUARRAS MINERAL X 200</t>
  </si>
  <si>
    <t>004504</t>
  </si>
  <si>
    <t>ESMALTE AL AGUA TERSUAVE SATINADO BLANCO X 0,500</t>
  </si>
  <si>
    <t>004505</t>
  </si>
  <si>
    <t>ESMALTE AL AGUA TERSUAVE SATINADO BLANCO X 1</t>
  </si>
  <si>
    <t>004506</t>
  </si>
  <si>
    <t>ESMALTE AL AGUA TERSUAVE SATINADO BLANCO X 4</t>
  </si>
  <si>
    <t>004507</t>
  </si>
  <si>
    <t>ESMALTE AL AGUA TERSUAVE SATINADO NEGRO X 0,500</t>
  </si>
  <si>
    <t>004508</t>
  </si>
  <si>
    <t>ESMALTE AL AGUA TERSUAVE SATINADO NEGRO X 1</t>
  </si>
  <si>
    <t>004509</t>
  </si>
  <si>
    <t>ESMALTE AL AGUA TERSUAVE SATINADO NEGRO X 4</t>
  </si>
  <si>
    <t>004510</t>
  </si>
  <si>
    <t>COMPSUG3 COL.GRIS VISÏ¿½N FORD X 125</t>
  </si>
  <si>
    <t>004511</t>
  </si>
  <si>
    <t>REVESTIMIENTO TEXTURADO ALBA PETREO CLASSIC CLEAR X  6</t>
  </si>
  <si>
    <t>004512</t>
  </si>
  <si>
    <t>REVESTIMIENTO TEXTURADO ALBA PETREO CLASSIC CLEAR X 30</t>
  </si>
  <si>
    <t>004513</t>
  </si>
  <si>
    <t>REVESTIMIENTO TEXTURADO ALBA PETREO CLASSIC SILICA X  6</t>
  </si>
  <si>
    <t>004514</t>
  </si>
  <si>
    <t>REVESTIMIENTO TEXTURADO ALBA PETREO CLASSIC SILICA X 30</t>
  </si>
  <si>
    <t>004515</t>
  </si>
  <si>
    <t>REVESTIMIENTO TEXTURADO ALBA PETREO CLASSIC GRAY X  6</t>
  </si>
  <si>
    <t>004516</t>
  </si>
  <si>
    <t>REVESTIMIENTO TEXTURADO ALBA PETREO CLASSIC GRAY X 30</t>
  </si>
  <si>
    <t>004517</t>
  </si>
  <si>
    <t>MEMBRANA ASFALTICA MEGAFLEX NO CRACK A40 BLANCO X 40KG</t>
  </si>
  <si>
    <t>004518</t>
  </si>
  <si>
    <t>MEMBRANA ASFALTICA MEGAFLEX NO CRACK A40 ROJO X 40KG</t>
  </si>
  <si>
    <t>004519</t>
  </si>
  <si>
    <t>MEMBRANA ASFALTICA MEGAFLEX NO CRACK PLUS GRIS X 40KG</t>
  </si>
  <si>
    <t>004520</t>
  </si>
  <si>
    <t>MEMBRANA ASFALTICA MEGAFLEX NO CRACK ROJO X 40KG</t>
  </si>
  <si>
    <t>004521</t>
  </si>
  <si>
    <t>MEMBRANA ASFALTICA MEGAFLEX NO CRACK BLANCO X 35KG</t>
  </si>
  <si>
    <t>004522</t>
  </si>
  <si>
    <t>MEMBRANA ASFALTICA MEGAFLEX NO CRACK GRIS X 35KG</t>
  </si>
  <si>
    <t>004523</t>
  </si>
  <si>
    <t>MEMBRANA ASFALTICA MEGAFLEX 500 X 45KG</t>
  </si>
  <si>
    <t>004524</t>
  </si>
  <si>
    <t>MEMBRANA ASFALTICA MEGAFLEX NO CRACK MEGALUM BLANCO 4 MM</t>
  </si>
  <si>
    <t>004525</t>
  </si>
  <si>
    <t>REVESTIMIENTO TEXTURADO TERPLAST REVOQUE PLASTICO AZUL ANCESTRAL X  5</t>
  </si>
  <si>
    <t>004526</t>
  </si>
  <si>
    <t>REVESTIMIENTO TEXTURADO TERPLAST REVOQUE PLASTICO AZUL ANCESTRAL X 12,5</t>
  </si>
  <si>
    <t>004527</t>
  </si>
  <si>
    <t>REVESTIMIENTO TEXTURADO TERPLAST REVOQUE PLASTICO AZUL ANCESTRAL X 25</t>
  </si>
  <si>
    <t>004528</t>
  </si>
  <si>
    <t>REVESTIMIENTO TEXTURADO TERPLAST REVOQUE PLASTICO DURAZNO MADURO X  5</t>
  </si>
  <si>
    <t>004529</t>
  </si>
  <si>
    <t>REVESTIMIENTO TEXTURADO TERPLAST REVOQUE PLASTICO DURAZNO MADURO X 12,5</t>
  </si>
  <si>
    <t>004530</t>
  </si>
  <si>
    <t>REVESTIMIENTO TEXTURADO TERPLAST REVOQUE PLASTICO DURAZNO MADURO X 25</t>
  </si>
  <si>
    <t>004531</t>
  </si>
  <si>
    <t>REVESTIMIENTO TEXTURADO TERPLAST REVOQUE PLASTICO GRIS MATINAL X  5</t>
  </si>
  <si>
    <t>004532</t>
  </si>
  <si>
    <t>REVESTIMIENTO TEXTURADO TERPLAST REVOQUE PLASTICO GRIS MATINAL X 12,5</t>
  </si>
  <si>
    <t>004533</t>
  </si>
  <si>
    <t>REVESTIMIENTO TEXTURADO TERPLAST REVOQUE PLASTICO GRIS MATINAL X 25</t>
  </si>
  <si>
    <t>004534</t>
  </si>
  <si>
    <t>REVESTIMIENTO TEXTURADO TERPLAST REVOQUE PLASTICO MARFIL DUNA X  5</t>
  </si>
  <si>
    <t>004535</t>
  </si>
  <si>
    <t>REVESTIMIENTO TEXTURADO TERPLAST REVOQUE PLASTICO MARFIL DUNA X 12,5</t>
  </si>
  <si>
    <t>004536</t>
  </si>
  <si>
    <t>REVESTIMIENTO TEXTURADO TERPLAST REVOQUE PLASTICO MARFIL DUNA X 25</t>
  </si>
  <si>
    <t>004537</t>
  </si>
  <si>
    <t>REVESTIMIENTO TEXTURADO TERPLAST REVOQUE PLASTICO ROSA PATRIO X  5</t>
  </si>
  <si>
    <t>004538</t>
  </si>
  <si>
    <t>REVESTIMIENTO TEXTURADO TERPLAST REVOQUE PLASTICO ROSA PATRIO X 12,5</t>
  </si>
  <si>
    <t>004539</t>
  </si>
  <si>
    <t>REVESTIMIENTO TEXTURADO TERPLAST REVOQUE PLASTICO ROSA PATRIO X 25</t>
  </si>
  <si>
    <t>004540</t>
  </si>
  <si>
    <t>REVESTIMIENTO TEXTURADO TERPLAST REVOQUE PLASTICO VERDE NATURALEZA X  5</t>
  </si>
  <si>
    <t>004541</t>
  </si>
  <si>
    <t>COMPLACOLORIN VERDE ALERCE FORD X 125</t>
  </si>
  <si>
    <t>004542</t>
  </si>
  <si>
    <t>COMPSUG2 COL.AZUL ESPECIAL FORD X 125</t>
  </si>
  <si>
    <t>004543</t>
  </si>
  <si>
    <t>COMPSUG5 COL.ROJO MORISCO FORD X 125</t>
  </si>
  <si>
    <t>004544</t>
  </si>
  <si>
    <t>ESMALTE AL AGUA TERSUAVE BRILLANTE BLANCO X 0,500</t>
  </si>
  <si>
    <t>004545</t>
  </si>
  <si>
    <t>ESMALTE AL AGUA TERSUAVE BRILLANTE BLANCO X 1</t>
  </si>
  <si>
    <t>004546</t>
  </si>
  <si>
    <t>ESMALTE AL AGUA TERSUAVE BRILLANTE BLANCO X 4</t>
  </si>
  <si>
    <t>004547</t>
  </si>
  <si>
    <t>ESMALTE AL AGUA TERSUAVE BRILLANTE NEGRO X 0,500</t>
  </si>
  <si>
    <t>004548</t>
  </si>
  <si>
    <t>ESMALTE AL AGUA TERSUAVE BRILLANTE NEGRO X 1</t>
  </si>
  <si>
    <t>004549</t>
  </si>
  <si>
    <t>ESMALTE AL AGUA TERSUAVE BRILLANTE NEGRO X 4</t>
  </si>
  <si>
    <t>004550</t>
  </si>
  <si>
    <t>ESMALTE AL AGUA TERSUAVE BRILLANTE GRIS ESPACIAL X 1</t>
  </si>
  <si>
    <t>004551</t>
  </si>
  <si>
    <t>ESMALTE AL AGUA TERSUAVE BRILLANTE GRIS ESPACIAL X 4</t>
  </si>
  <si>
    <t>004552</t>
  </si>
  <si>
    <t>COMPSUG3 COL.AZUL BERMUDA FORD X 125</t>
  </si>
  <si>
    <t>004553</t>
  </si>
  <si>
    <t>ESMALTE AL AGUA TERSUAVE BRILLANTE MARRON X 1</t>
  </si>
  <si>
    <t>004554</t>
  </si>
  <si>
    <t>ESMALTE AL AGUA TERSUAVE BRILLANTE MARRON X 4</t>
  </si>
  <si>
    <t>004555</t>
  </si>
  <si>
    <t>ESMALTE AL AGUA TERSUAVE BRILLANTE AZUL X 1</t>
  </si>
  <si>
    <t>004556</t>
  </si>
  <si>
    <t>ESMALTE AL AGUA TERSUAVE BRILLANTE AZUL X 4</t>
  </si>
  <si>
    <t>004557</t>
  </si>
  <si>
    <t>COMPLACOLORIN BRONCE OTOÏ¿½AL FORD X 125</t>
  </si>
  <si>
    <t>004558</t>
  </si>
  <si>
    <t>REVESTIMIENTO TEXTURADO TERPLAST REVOQUE PLASTICO VERDE NATURALEZA X 12,5</t>
  </si>
  <si>
    <t>004559</t>
  </si>
  <si>
    <t>REVESTIMIENTO TEXTURADO TERPLAST REVOQUE PLASTICO VERDE NATURALEZA X 25</t>
  </si>
  <si>
    <t>004560</t>
  </si>
  <si>
    <t>ESMALTE EPOXI AL AGUA SINTEPLAST MONOCOMPONENTE BLANCO X 1</t>
  </si>
  <si>
    <t>004561</t>
  </si>
  <si>
    <t>ESMALTE EPOXI AL AGUA SINTEPLAST MONOCOMPONENTE BLANCO X 4</t>
  </si>
  <si>
    <t>004562</t>
  </si>
  <si>
    <t>ESMALTE EPOXI AL AGUA SINTEPLAST MONOCOMPONENTE GRIS X 1</t>
  </si>
  <si>
    <t>004563</t>
  </si>
  <si>
    <t>ESMALTE EPOXI AL AGUA SINTEPLAST MONOCOMPONENTE GRIS X 4</t>
  </si>
  <si>
    <t>004564</t>
  </si>
  <si>
    <t>ESMALTE EPOXI AL AGUA SINTEPLAST MONOCOMPONENTE NEGRO X 1</t>
  </si>
  <si>
    <t>004565</t>
  </si>
  <si>
    <t>ESMALTE EPOXI AL AGUA SINTEPLAST MONOCOMPONENTE NEGRO X 4</t>
  </si>
  <si>
    <t>004566</t>
  </si>
  <si>
    <t>FONDO ALQUIDICO ALBA INTERPRIME 198 GRIS X  3,600</t>
  </si>
  <si>
    <t>004567</t>
  </si>
  <si>
    <t>FONDO ALQUIDICO ALBA INTERPRIME 198 GRIS X 20</t>
  </si>
  <si>
    <t>004568</t>
  </si>
  <si>
    <t>SELLADOR POLIURETANICO WEBER FLEX BLANCO X 0,300 ML</t>
  </si>
  <si>
    <t>004569</t>
  </si>
  <si>
    <t>SELLADOR POLIURETANICO WEBER FLEX GRIS X 0,300 ML</t>
  </si>
  <si>
    <t>004570</t>
  </si>
  <si>
    <t>SELLADOR POLIURETANICO WEBER FLEX MEDANO X 0,300 ML</t>
  </si>
  <si>
    <t>004571</t>
  </si>
  <si>
    <t>SELLADOR POLIURETANICO WEBER FLEX GRIS X 0,600 ML</t>
  </si>
  <si>
    <t>004572</t>
  </si>
  <si>
    <t>COMPSUG4 COL.VERDE CRISTAL FORD X 125</t>
  </si>
  <si>
    <t>004573</t>
  </si>
  <si>
    <t>COMPLACOLORIN AZUL BERMUDA FORD X 125</t>
  </si>
  <si>
    <t>004574</t>
  </si>
  <si>
    <t>SPRAY CLEAN UP</t>
  </si>
  <si>
    <t>004575</t>
  </si>
  <si>
    <t>NIPLE UNION CPO-TAZA CR ADIABATIC (1450DLSO)</t>
  </si>
  <si>
    <t>004576</t>
  </si>
  <si>
    <t>MEMBRANA ASFALTICA MEGAFLEX GEOTRANS X 36KG</t>
  </si>
  <si>
    <t>004577</t>
  </si>
  <si>
    <t>MORTEROS TECNICOS WEBER HYDROMUR X 25 K</t>
  </si>
  <si>
    <t>004578</t>
  </si>
  <si>
    <t>COMPSUG3 COL.GRIS GRAFITO FORD X 125</t>
  </si>
  <si>
    <t>004579</t>
  </si>
  <si>
    <t>PAÏ¿½O MICROFIBRA AZUL</t>
  </si>
  <si>
    <t>004580</t>
  </si>
  <si>
    <t>COMPSUG3 COL.AZUL COSMOS FORD X 125</t>
  </si>
  <si>
    <t>004581</t>
  </si>
  <si>
    <t>FONDO ANTIOXIDO SINTEPLAST PROTEROX ROJO X  0,250</t>
  </si>
  <si>
    <t>004582</t>
  </si>
  <si>
    <t>FONDO ANTIOXIDO SINTEPLAST PROTEROX ROJO X  0,500</t>
  </si>
  <si>
    <t>004583</t>
  </si>
  <si>
    <t>FONDO ANTIOXIDO SINTEPLAST PROTEROX ROJO X  1</t>
  </si>
  <si>
    <t>004584</t>
  </si>
  <si>
    <t>FONDO ANTIOXIDO SINTEPLAST PROTEROX ROJO X  4</t>
  </si>
  <si>
    <t>004585</t>
  </si>
  <si>
    <t>FONDO ANTIOXIDO SINTEPLAST PROTEROX ROJO X 20</t>
  </si>
  <si>
    <t>004586</t>
  </si>
  <si>
    <t>SIGMARINE 28 GREY X 20</t>
  </si>
  <si>
    <t>004587</t>
  </si>
  <si>
    <t>COMPSUG3 COL.VERDE PINO FORD X 125</t>
  </si>
  <si>
    <t>004588</t>
  </si>
  <si>
    <t>REVESTIMIENTO TEXTURADO TERPLAST ROMANO MEDIO BEIGE COCADA X  6</t>
  </si>
  <si>
    <t>004589</t>
  </si>
  <si>
    <t>REVESTIMIENTO TEXTURADO TERPLAST ROMANO MEDIO BEIGE COCADA X 25</t>
  </si>
  <si>
    <t>004590</t>
  </si>
  <si>
    <t>REVESTIMIENTO TEXTURADO TERPLAST ROMANO MEDIO MARFILENO X  6</t>
  </si>
  <si>
    <t>004591</t>
  </si>
  <si>
    <t>REVESTIMIENTO TEXTURADO TERPLAST ROMANO MEDIO MARFILENO X 25</t>
  </si>
  <si>
    <t>004592</t>
  </si>
  <si>
    <t>REVESTIMIENTO TEXTURADO TERPLAST ROMANO MEDIO MARRON SERRANO X  6</t>
  </si>
  <si>
    <t>004593</t>
  </si>
  <si>
    <t>REVESTIMIENTO TEXTURADO TERPLAST ROMANO MEDIO MARRON SERRANO X 25</t>
  </si>
  <si>
    <t>004594</t>
  </si>
  <si>
    <t>REVESTIMIENTO TEXTURADO TERPLAST ROMANO MEDIO GRIS BRUMA X  6</t>
  </si>
  <si>
    <t>004595</t>
  </si>
  <si>
    <t>REVESTIMIENTO TEXTURADO TERPLAST ROMANO MEDIO GRIS BRUMA X 25</t>
  </si>
  <si>
    <t>004596</t>
  </si>
  <si>
    <t>REVESTIMIENTO TEXTURADO TERPLAST ROMANO MEDIO VERDE LIQUEN X  6</t>
  </si>
  <si>
    <t>004597</t>
  </si>
  <si>
    <t>REVESTIMIENTO TEXTURADO TERPLAST ROMANO MEDIO VERDE LIQUEN X 25</t>
  </si>
  <si>
    <t>004598</t>
  </si>
  <si>
    <t>REVESTIMIENTO TEXTURADO TERPLAST ROMANO MEDIO ROJO CRIOLLO X  6</t>
  </si>
  <si>
    <t>004599</t>
  </si>
  <si>
    <t>REVESTIMIENTO TEXTURADO TERPLAST ROMANO MEDIO ROJO CRIOLLO X 25</t>
  </si>
  <si>
    <t>004600</t>
  </si>
  <si>
    <t>REVESTIMIENTO TEXTURADO TERPLAST ROMANO MEDIO ROJO FRESA X  6</t>
  </si>
  <si>
    <t>004601</t>
  </si>
  <si>
    <t>REVESTIMIENTO TEXTURADO TERPLAST ROMANO MEDIO ROJO FRESA X 25</t>
  </si>
  <si>
    <t>004602</t>
  </si>
  <si>
    <t>REVESTIMIENTO TEXTURADO TERPLAST ROMANO MEDIO MARRON CUBANO X  6</t>
  </si>
  <si>
    <t>004603</t>
  </si>
  <si>
    <t>REVESTIMIENTO TEXTURADO TERPLAST ROMANO MEDIO MARRON CUBANO X 25</t>
  </si>
  <si>
    <t>004604</t>
  </si>
  <si>
    <t>REVESTIMIENTO TEXTURADO TERPLAST ROMANO MEDIO GRIS ROCA X  6</t>
  </si>
  <si>
    <t>004605</t>
  </si>
  <si>
    <t>REVESTIMIENTO TEXTURADO TERPLAST ROMANO MEDIO GRIS ROCA X25</t>
  </si>
  <si>
    <t>004606</t>
  </si>
  <si>
    <t>LATEX INTERIOR/EXTERIOR TERSUAVE MATE BASE W X  0,900</t>
  </si>
  <si>
    <t>004607</t>
  </si>
  <si>
    <t>LATEX INTERIOR/EXTERIOR TERSUAVE MATE BASE W X  3,600</t>
  </si>
  <si>
    <t>004608</t>
  </si>
  <si>
    <t>LATEX INTERIOR/EXTERIOR TERSUAVE MATE BASE W X  9</t>
  </si>
  <si>
    <t>004609</t>
  </si>
  <si>
    <t>LATEX INTERIOR/EXTERIOR TERSUAVE MATE BASE W X 18</t>
  </si>
  <si>
    <t>004610</t>
  </si>
  <si>
    <t>ANCLAJE QUIMICO WEBER GRIS X 0,300</t>
  </si>
  <si>
    <t>004611</t>
  </si>
  <si>
    <t>SELLADOR SILICONA NEUTRA WEBER C BLANCO X 0,300</t>
  </si>
  <si>
    <t>004612</t>
  </si>
  <si>
    <t>SELLADOR SILICONA NEUTRA WEBER C TRANSPARENTE X 0,300</t>
  </si>
  <si>
    <t>004613</t>
  </si>
  <si>
    <t>COMPSUG1 COL.BLANCO POLAR FORD X 125</t>
  </si>
  <si>
    <t>004614</t>
  </si>
  <si>
    <t>COLORANTE INDUSTRIAL SINTEPLAST ROJO OXIDO RO X 0,940</t>
  </si>
  <si>
    <t>004615</t>
  </si>
  <si>
    <t>COLORANTE INDUSTRIAL SINTEPLAST MARRON BU  X 0,940</t>
  </si>
  <si>
    <t>004616</t>
  </si>
  <si>
    <t>COLORANTE INDUSTRIAL SINTEPLAST AMARILLO MEDIO MY X 0,940</t>
  </si>
  <si>
    <t>004617</t>
  </si>
  <si>
    <t>COLORANTE INDUSTRIAL SINTEPLAST AMARILLO OXIDO YO  X 0,940</t>
  </si>
  <si>
    <t>004618</t>
  </si>
  <si>
    <t>COLORANTE INDUSTRIAL SINTEPLAST ROJO KR X 0,940</t>
  </si>
  <si>
    <t>004619</t>
  </si>
  <si>
    <t>COLORANTE INDUSTRIAL SINTEPLAST NARANJA UO X 0,940</t>
  </si>
  <si>
    <t>004620</t>
  </si>
  <si>
    <t>COLORANTE INDUSTRIAL SINTEPLAST BLANCO TW X 0,940</t>
  </si>
  <si>
    <t>004621</t>
  </si>
  <si>
    <t>COLORANTE INDUSTRIAL SINTEPLAST AZUL PB X 0,940</t>
  </si>
  <si>
    <t>004622</t>
  </si>
  <si>
    <t>COLORANTE INDUSTRIAL SINTEPLAST AMARILLO OY X 0,940</t>
  </si>
  <si>
    <t>004623</t>
  </si>
  <si>
    <t>COLORANTE INDUSTRIAL SINTEPLAST VERDE PG X 0,940</t>
  </si>
  <si>
    <t>004624</t>
  </si>
  <si>
    <t>COLORANTE INDUSTRIAL SINTEPLAST VIOLETA QV X 0,940</t>
  </si>
  <si>
    <t>004625</t>
  </si>
  <si>
    <t>COLORANTE INDUSTRIAL SINTEPLAST NEGRO LB X 0,940</t>
  </si>
  <si>
    <t>004626</t>
  </si>
  <si>
    <t>ESMALTE POLIURETANO ACRILICO ALBAMIX TRASPARENTE X 15(4570100)</t>
  </si>
  <si>
    <t>004627</t>
  </si>
  <si>
    <t>ACELERANTE PARA POLIURETANO ALBAMIX X 1(5597009)</t>
  </si>
  <si>
    <t>004628</t>
  </si>
  <si>
    <t>EPOXI MASTIC INTERSEAL 670 HS ALUMINIO X 20</t>
  </si>
  <si>
    <t>004629</t>
  </si>
  <si>
    <t>MEMBRANA FLEXIBLE CEMENTICIA WEBERTEC X 25 (CAJA)</t>
  </si>
  <si>
    <t>004630</t>
  </si>
  <si>
    <t>FONDO ANTIOXIDO SINTEPLAST PROTEROX GRIS X  0,500</t>
  </si>
  <si>
    <t>004631</t>
  </si>
  <si>
    <t>FONDO ANTIOXIDO SINTEPLAST PROTEROX GRIS X  1</t>
  </si>
  <si>
    <t>004632</t>
  </si>
  <si>
    <t>FONDO ANTIOXIDO SINTEPLAST PROTEROX GRIS X  4</t>
  </si>
  <si>
    <t>004633</t>
  </si>
  <si>
    <t>FONDO ANTIOXIDO SINTEPLAST PROTEROX GRIS X 20</t>
  </si>
  <si>
    <t>004634</t>
  </si>
  <si>
    <t>PEGAMENTO WEBER VENECIANO NIEVE+BLANCO X  5</t>
  </si>
  <si>
    <t>004635</t>
  </si>
  <si>
    <t>PEGAMENTO WEBER VENECIANO NIEVE+BLANCO X 30</t>
  </si>
  <si>
    <t>004636</t>
  </si>
  <si>
    <t>PEGAMENTO WEBER VENECIANO NEGRO X 30</t>
  </si>
  <si>
    <t>004637</t>
  </si>
  <si>
    <t>PEGAMENTO WEBER VENECIANO ROSA X 30</t>
  </si>
  <si>
    <t>004638</t>
  </si>
  <si>
    <t>PEGAMENTO WEBER VENECIANO JADE X 30</t>
  </si>
  <si>
    <t>004639</t>
  </si>
  <si>
    <t>PEGAMENTO WEBER VENECIANO AGUAMARINA X 30</t>
  </si>
  <si>
    <t>004640</t>
  </si>
  <si>
    <t>PEGAMENTO WEBER VENECIANO BEIGE X 30</t>
  </si>
  <si>
    <t>004641</t>
  </si>
  <si>
    <t>SELLADOR POLIURETANO NODULO NODUPOL 46 BLANCO X 0,300</t>
  </si>
  <si>
    <t>004642</t>
  </si>
  <si>
    <t>SELLADOR POLIURETANO NODULO NODUPOL 46 GRIS X 0,300</t>
  </si>
  <si>
    <t>004643</t>
  </si>
  <si>
    <t>SELLADOR POLIURETANO NODULO NODUPOL 46 NEGRO X 0,300</t>
  </si>
  <si>
    <t>004644</t>
  </si>
  <si>
    <t>SELLADOR POLIURETANO NODULO NODUPOL 46 BLANCO X 0,600</t>
  </si>
  <si>
    <t>004645</t>
  </si>
  <si>
    <t>SELLADOR POLIURETANO NODULO NODUPOL 46 GRIS X 0,600</t>
  </si>
  <si>
    <t>004646</t>
  </si>
  <si>
    <t>SELLADOR POLIURETANO NODULO NODUPOL 46 NEGRO X 0,600</t>
  </si>
  <si>
    <t>004647</t>
  </si>
  <si>
    <t>COMPSUG1 COL.BLANCO DIAMANTE FORD X 125</t>
  </si>
  <si>
    <t>004648</t>
  </si>
  <si>
    <t>COMPLACOLORIN BCO ASPEN FORD X 125</t>
  </si>
  <si>
    <t>004649</t>
  </si>
  <si>
    <t>REVESTIMIENTO TEXTURADO TERPLAST MICACEO CLEAR X 30</t>
  </si>
  <si>
    <t>004650</t>
  </si>
  <si>
    <t>COMPLACOLORIN BCO DIANA VW X 125</t>
  </si>
  <si>
    <t>004651</t>
  </si>
  <si>
    <t>ASFALTO DURO 100/15 MEGAFLEX EN PANES X 1TN</t>
  </si>
  <si>
    <t>004652</t>
  </si>
  <si>
    <t>ASFALTO DURO 100/15 MEGAFLEX EN PANES X 20KG</t>
  </si>
  <si>
    <t>004653</t>
  </si>
  <si>
    <t>ASFALTO PLASTICO 90/60 MEGAFLEX EN PANES X 1TN</t>
  </si>
  <si>
    <t>004654</t>
  </si>
  <si>
    <t>ASFALTO PLASTICO 90/60 MEGAFLEX EN PANES X 20KG</t>
  </si>
  <si>
    <t>004655</t>
  </si>
  <si>
    <t>ESMALTE SINTETICO BRILLOPLAST SECADO RAPIDO 3EN1 BERMELLON OSCURO X 1</t>
  </si>
  <si>
    <t>004656</t>
  </si>
  <si>
    <t>ESMALTE SINTETICO BRILLOPLAST SECADO RAPIDO 3EN1 BERMELLON OSCURO X 4</t>
  </si>
  <si>
    <t>004657</t>
  </si>
  <si>
    <t>ESMALTE SINTETICO BRILLOPLAST SECADO RAPIDO 3EN1 BLANCO X 1</t>
  </si>
  <si>
    <t>004658</t>
  </si>
  <si>
    <t>ESMALTE SINTETICO BRILLOPLAST SECADO RAPIDO 3EN1 BLANCO X 4</t>
  </si>
  <si>
    <t>004659</t>
  </si>
  <si>
    <t>ESMALTE SINTETICO BRILLOPLAST SECADO RAPIDO 3EN1 AMARILLO VIAL X 1</t>
  </si>
  <si>
    <t>004660</t>
  </si>
  <si>
    <t>ESMALTE SINTETICO BRILLOPLAST SECADO RAPIDO 3EN1 AMARILLO VIAL X 4</t>
  </si>
  <si>
    <t>004661</t>
  </si>
  <si>
    <t>ESMALTE SINTETICO BRILLOPLAST SECADO RAPIDO 3EN1 NARANJA X 1</t>
  </si>
  <si>
    <t>004662</t>
  </si>
  <si>
    <t>ESMALTE SINTETICO BRILLOPLAST SECADO RAPIDO 3EN1 NARANJA X 4</t>
  </si>
  <si>
    <t>004663</t>
  </si>
  <si>
    <t>ESMALTE SINTETICO BRILLOPLAST SECADO RAPIDO 3EN1 AZUL MARINO X 1</t>
  </si>
  <si>
    <t>004664</t>
  </si>
  <si>
    <t>ESMALTE SINTETICO BRILLOPLAST SECADO RAPIDO 3EN1 AZUL MARINO X 4</t>
  </si>
  <si>
    <t>004665</t>
  </si>
  <si>
    <t>ESMALTE SINTETICO BRILLOPLAST SECADO RAPIDO 3EN1 AZUL TRAFUL X 1</t>
  </si>
  <si>
    <t>004666</t>
  </si>
  <si>
    <t>ESMALTE SINTETICO BRILLOPLAST SECADO RAPIDO 3EN1 AZUL TRAFUL X 4</t>
  </si>
  <si>
    <t>004667</t>
  </si>
  <si>
    <t>COMPSUG6 COL.PLATA COLUMBIA FORD X 0,125</t>
  </si>
  <si>
    <t>004668</t>
  </si>
  <si>
    <t>ESMALTE SINTETICO BRILLOPLAST SECADO RAPIDO 3EN1 GRIS X 1</t>
  </si>
  <si>
    <t>004669</t>
  </si>
  <si>
    <t>COMPSUG4 COL.PLATA GEADA FORD X 125</t>
  </si>
  <si>
    <t>004670</t>
  </si>
  <si>
    <t>ESMALTE SINTETICO BRILLOPLAST SECADO RAPIDO 3EN1 GRIS X 4</t>
  </si>
  <si>
    <t>004671</t>
  </si>
  <si>
    <t>ESMALTE SINTETICO BRILLOPLAST SECADO RAPIDO 3EN1 MARFIL X 1</t>
  </si>
  <si>
    <t>004672</t>
  </si>
  <si>
    <t>ESMALTE SINTETICO BRILLOPLAST SECADO RAPIDO 3EN1 MARFIL X 4</t>
  </si>
  <si>
    <t>004673</t>
  </si>
  <si>
    <t>ESMALTE SINTETICO BRILLOPLAST SECADO RAPIDO 3EN1 VERDE INGLES X 1</t>
  </si>
  <si>
    <t>004674</t>
  </si>
  <si>
    <t>ESMALTE SINTETICO BRILLOPLAST SECADO RAPIDO 3EN1 VERDE INGLES X 4</t>
  </si>
  <si>
    <t>004675</t>
  </si>
  <si>
    <t>ESMALTE SINTETICO BRILLOPLAST SECADO RAPIDO 3EN1 CEDRO X 1</t>
  </si>
  <si>
    <t>004676</t>
  </si>
  <si>
    <t>ESMALTE SINTETICO BRILLOPLAST SECADO RAPIDO 3EN1 CEDRO X 4</t>
  </si>
  <si>
    <t>004677</t>
  </si>
  <si>
    <t>ESMALTE SINTETICO BRILLOPLAST SECADO RAPIDO 3EN1 MARRON X 1</t>
  </si>
  <si>
    <t>004678</t>
  </si>
  <si>
    <t>ESMALTE SINTETICO BRILLOPLAST SECADO RAPIDO 3EN1 MARRON X 4</t>
  </si>
  <si>
    <t>004679</t>
  </si>
  <si>
    <t>ESMALTE SINTETICO BRILLOPLAST SECADO RAPIDO 3EN1 NEGRO X 1</t>
  </si>
  <si>
    <t>004680</t>
  </si>
  <si>
    <t>ESMALTE SINTETICO BRILLOPLAST SECADO RAPIDO 3EN1 NEGRO X 4</t>
  </si>
  <si>
    <t>004681</t>
  </si>
  <si>
    <t>DEMARCACION VIAL PISOACRIL AMARILLO X  1</t>
  </si>
  <si>
    <t>004682</t>
  </si>
  <si>
    <t>DEMARCACION VIAL PISOACRIL AMARILLO X  4</t>
  </si>
  <si>
    <t>004683</t>
  </si>
  <si>
    <t>DEMARCACION VIAL PISOACRIL AMARILLO X 20</t>
  </si>
  <si>
    <t>004684</t>
  </si>
  <si>
    <t>DEMARCACION VIAL PISOACRIL BLANCO X  1</t>
  </si>
  <si>
    <t>004685</t>
  </si>
  <si>
    <t>DEMARCACION VIAL PISOACRIL BLANCO X  4</t>
  </si>
  <si>
    <t>004686</t>
  </si>
  <si>
    <t>DEMARCACION VIAL PISOACRIL BLANCO X 20</t>
  </si>
  <si>
    <t>004687</t>
  </si>
  <si>
    <t>DEMARCACION VIAL PISOACRIL ROJO X  1</t>
  </si>
  <si>
    <t>004688</t>
  </si>
  <si>
    <t>DEMARCACION VIAL PISOACRIL ROJO X  4</t>
  </si>
  <si>
    <t>004689</t>
  </si>
  <si>
    <t>DEMARCACION VIAL PISOACRIL ROJO X 20</t>
  </si>
  <si>
    <t>004690</t>
  </si>
  <si>
    <t>EMULSION ASFALTICA ACUOSA MEGAFLEX X  4KG</t>
  </si>
  <si>
    <t>004691</t>
  </si>
  <si>
    <t>EMULSION ASFALTICA ACUOSA MEGAFLEX X 10KG</t>
  </si>
  <si>
    <t>004692</t>
  </si>
  <si>
    <t>EMULSION ASFALTICA ACUOSA MEGAFLEX X 18KG</t>
  </si>
  <si>
    <t>004693</t>
  </si>
  <si>
    <t>EMULSION ASFALTICA ACUOSA MEGAFLEX X 18KG (CAJA)</t>
  </si>
  <si>
    <t>004694</t>
  </si>
  <si>
    <t>DILUYENTE SINTETICO DIXILINA NRO 2 PARA HORNO X  1</t>
  </si>
  <si>
    <t>004695</t>
  </si>
  <si>
    <t>DILUYENTE SINTETICO DIXILINA NRO 2 PARA HORNO X  4</t>
  </si>
  <si>
    <t>004696</t>
  </si>
  <si>
    <t>DILUYENTE SINTETICO DIXILINA NRO 2 PARA HORNO X 18</t>
  </si>
  <si>
    <t>004697</t>
  </si>
  <si>
    <t>DILUYENTE SINTETICO DIXILINA NRO 2 PARA HORNO X 200</t>
  </si>
  <si>
    <t>004698</t>
  </si>
  <si>
    <t>THINNER TEDE STANDAR 10 X 18</t>
  </si>
  <si>
    <t>004699</t>
  </si>
  <si>
    <t>SILICONA LADRIK SOLVENTE PLAVICON INCOLORO X  1</t>
  </si>
  <si>
    <t>004700</t>
  </si>
  <si>
    <t>SILICONA LADRIK SOLVENTE PLAVICON INCOLORO X  4</t>
  </si>
  <si>
    <t>004701</t>
  </si>
  <si>
    <t>SILICONA LADRIK SOLVENTE PLAVICON INCOLORO X 20</t>
  </si>
  <si>
    <t>004702</t>
  </si>
  <si>
    <t>THINNER TEDE UNIV 00 X 18</t>
  </si>
  <si>
    <t>004703</t>
  </si>
  <si>
    <t>FIJADOR PARA PARED TERSUAVE DECO AL AGUA X  1</t>
  </si>
  <si>
    <t>004704</t>
  </si>
  <si>
    <t>FIJADOR PARA PARED TERSUAVE DECO AL AGUA X  4</t>
  </si>
  <si>
    <t>004705</t>
  </si>
  <si>
    <t>FIJADOR PARA PARED TERSUAVE DECO AL AGUA X 10</t>
  </si>
  <si>
    <t>004706</t>
  </si>
  <si>
    <t>FIJADOR PARA PARED TERSUAVE DECO AL AGUA X 20</t>
  </si>
  <si>
    <t>004707</t>
  </si>
  <si>
    <t>THINNER TEDE S.ORO X 18</t>
  </si>
  <si>
    <t>004708</t>
  </si>
  <si>
    <t>IMPERMEABILIZANTE PARA FRENTES PLAVICON BASE PASTEL X  1,170</t>
  </si>
  <si>
    <t>004709</t>
  </si>
  <si>
    <t>IMPERMEABILIZANTE PARA FRENTES PLAVICON BASE PASTEL X  4,800</t>
  </si>
  <si>
    <t>004710</t>
  </si>
  <si>
    <t>IMPERMEABILIZANTE PARA FRENTES PLAVICON BASE PASTEL X 11</t>
  </si>
  <si>
    <t>004711</t>
  </si>
  <si>
    <t>IMPERMEABILIZANTE PARA FRENTES PLAVICON BASE PASTEL X 21,500</t>
  </si>
  <si>
    <t>004712</t>
  </si>
  <si>
    <t>IMPERMEABILIZANTE PARA FRENTES PLAVICON BASE MEDIANO X  1,170</t>
  </si>
  <si>
    <t>004713</t>
  </si>
  <si>
    <t>IMPERMEABILIZANTE PARA FRENTES PLAVICON BASE MEDIANO X  4,800</t>
  </si>
  <si>
    <t>004714</t>
  </si>
  <si>
    <t>IMPERMEABILIZANTE PARA FRENTES PLAVICON BASE MEDIANO X 11</t>
  </si>
  <si>
    <t>004715</t>
  </si>
  <si>
    <t>IMPERMEABILIZANTE PARA FRENTES PLAVICON BASE MEDIANO X 21,500</t>
  </si>
  <si>
    <t>004716</t>
  </si>
  <si>
    <t>IMPERMEABILIZANTE PARA FRENTES PLAVICON BASE INTENSO X  1,170</t>
  </si>
  <si>
    <t>004717</t>
  </si>
  <si>
    <t>IMPERMEABILIZANTE PARA FRENTES PLAVICON BASE INTENSO X  4,800</t>
  </si>
  <si>
    <t>004718</t>
  </si>
  <si>
    <t>IMPERMEABILIZANTE PARA FRENTES PLAVICON BASE INTENSO X 11</t>
  </si>
  <si>
    <t>004719</t>
  </si>
  <si>
    <t>IMPERMEABILIZANTE PARA FRENTES PLAVICON BASE INTENSO X 21,500</t>
  </si>
  <si>
    <t>004720</t>
  </si>
  <si>
    <t>IMPERMEABILIZANTE PARA MUROS PLAVICON BASE PASTEL X  1,170</t>
  </si>
  <si>
    <t>004721</t>
  </si>
  <si>
    <t>IMPERMEABILIZANTE PARA MUROS PLAVICON BASE PASTEL X  4,800</t>
  </si>
  <si>
    <t>004722</t>
  </si>
  <si>
    <t>IMPERMEABILIZANTE PARA MUROS PLAVICON BASE PASTEL X 11</t>
  </si>
  <si>
    <t>004723</t>
  </si>
  <si>
    <t>IMPERMEABILIZANTE PARA MUROS PLAVICON BASE PASTEL X 21,500</t>
  </si>
  <si>
    <t>004724</t>
  </si>
  <si>
    <t>IMPERMEABILIZANTE PARA MUROS PLAVICON BASE MEDIANO X  1,170</t>
  </si>
  <si>
    <t>004725</t>
  </si>
  <si>
    <t>IMPERMEABILIZANTE PARA MUROS PLAVICON BASE MEDIANO X  4,800</t>
  </si>
  <si>
    <t>004726</t>
  </si>
  <si>
    <t>IMPERMEABILIZANTE PARA MUROS PLAVICON BASE MEDIANO X 11</t>
  </si>
  <si>
    <t>004727</t>
  </si>
  <si>
    <t>IMPERMEABILIZANTE PARA MUROS PLAVICON BASE MEDIANO X 21,500</t>
  </si>
  <si>
    <t>004728</t>
  </si>
  <si>
    <t>IMPERMEABILIZANTE PARA MUROS PLAVICON BASE INTENSO X  1,170</t>
  </si>
  <si>
    <t>004729</t>
  </si>
  <si>
    <t>IMPERMEABILIZANTE PARA MUROS PLAVICON BASE INTENSO X  4,800</t>
  </si>
  <si>
    <t>004730</t>
  </si>
  <si>
    <t>IMPERMEABILIZANTE PARA MUROS PLAVICON BASE INTENSO X 11</t>
  </si>
  <si>
    <t>004731</t>
  </si>
  <si>
    <t>IMPERMEABILIZANTE PARA MUROS PLAVICON BASE INTENSO X 21,500</t>
  </si>
  <si>
    <t>004732</t>
  </si>
  <si>
    <t>LATEX INTERIOR PLAVICON MATE BASE PASTEL X  0,900</t>
  </si>
  <si>
    <t>004733</t>
  </si>
  <si>
    <t>LATEX INTERIOR PLAVICON MATE BASE PASTEL X  3,600</t>
  </si>
  <si>
    <t>004734</t>
  </si>
  <si>
    <t>LATEX INTERIOR PLAVICON MATE BASE PASTEL X  9</t>
  </si>
  <si>
    <t>004735</t>
  </si>
  <si>
    <t>LATEX INTERIOR PLAVICON MATE BASE PASTEL X 18</t>
  </si>
  <si>
    <t>004736</t>
  </si>
  <si>
    <t>LATEX INTERIOR PLAVICON MATE BASE MEDIANO X  0,900</t>
  </si>
  <si>
    <t>004737</t>
  </si>
  <si>
    <t>LATEX INTERIOR PLAVICON MATE BASE MEDIANO X  3,600</t>
  </si>
  <si>
    <t>004738</t>
  </si>
  <si>
    <t>LATEX INTERIOR PLAVICON MATE BASE MEDIANO X  9</t>
  </si>
  <si>
    <t>004739</t>
  </si>
  <si>
    <t>LATEX INTERIOR PLAVICON MATE BASE MEDIANO X 18</t>
  </si>
  <si>
    <t>004740</t>
  </si>
  <si>
    <t>LATEX INTERIOR PLAVICON MATE BASE INTENSO X  0,900</t>
  </si>
  <si>
    <t>004741</t>
  </si>
  <si>
    <t>LATEX INTERIOR PLAVICON MATE BASE INTENSO X  3,600</t>
  </si>
  <si>
    <t>004742</t>
  </si>
  <si>
    <t>LATEX INTERIOR PLAVICON MATE BASE INTENSO X  9</t>
  </si>
  <si>
    <t>004743</t>
  </si>
  <si>
    <t>LATEX INTERIOR PLAVICON MATE BASE INTENSO X 18</t>
  </si>
  <si>
    <t>004744</t>
  </si>
  <si>
    <t>COLORANTE CONCENTRADO PLAVICON FT VIOLETA X 1</t>
  </si>
  <si>
    <t>004745</t>
  </si>
  <si>
    <t>COLORANTE CONCENTRADO PLAVICON HS MAGENTA X 1</t>
  </si>
  <si>
    <t>004746</t>
  </si>
  <si>
    <t>COLORANTE CONCENTRADO PLAVICON ST MARRON X 1</t>
  </si>
  <si>
    <t>004747</t>
  </si>
  <si>
    <t>COLORANTE CONCENTRADO PLAVICON LS VERDE X 1</t>
  </si>
  <si>
    <t>004748</t>
  </si>
  <si>
    <t>COLORANTE CONCENTRADO PLAVICON LT VERDE X 1</t>
  </si>
  <si>
    <t>004749</t>
  </si>
  <si>
    <t>COLORANTE CONCENTRADO PLAVICON MS AZUL X 1</t>
  </si>
  <si>
    <t>004750</t>
  </si>
  <si>
    <t>COLORANTE CONCENTRADO PLAVICON MT AZUL X 1</t>
  </si>
  <si>
    <t>004751</t>
  </si>
  <si>
    <t>COLORANTE CONCENTRADO PLAVICON PT ROJO X 1</t>
  </si>
  <si>
    <t>004752</t>
  </si>
  <si>
    <t>COLORANTE CONCENTRADO PLAVICON RS ROJO X 1</t>
  </si>
  <si>
    <t>004753</t>
  </si>
  <si>
    <t>COLORANTE CONCENTRADO PLAVICON VT ROJO X 1</t>
  </si>
  <si>
    <t>004754</t>
  </si>
  <si>
    <t>COLORANTE CONCENTRADO PLAVICON KS AMARILLO X 1</t>
  </si>
  <si>
    <t>004755</t>
  </si>
  <si>
    <t>COLORANTE CONCENTRADO PLAVICON US AMARILLO X 1</t>
  </si>
  <si>
    <t>004756</t>
  </si>
  <si>
    <t>COLORANTE CONCENTRADO PLAVICON RT AMARILLO X 1</t>
  </si>
  <si>
    <t>004757</t>
  </si>
  <si>
    <t>COLORANTE CONCENTRADO PLAVICON ZT AMARILLO X 1</t>
  </si>
  <si>
    <t>004758</t>
  </si>
  <si>
    <t>COLORANTE CONCENTRADO PLAVICON TT NEGRO X 1</t>
  </si>
  <si>
    <t>004759</t>
  </si>
  <si>
    <t>COLORANTE CONCENTRADO PLAVICON XT BLANCO X 1</t>
  </si>
  <si>
    <t>004760</t>
  </si>
  <si>
    <t>LATEX INTERIOR/EXTERIOR WEBERPINT MATE AZUL AUSTRALIA X 1</t>
  </si>
  <si>
    <t>004761</t>
  </si>
  <si>
    <t>LATEX INTERIOR/EXTERIOR WEBERPINT MATE AZUL AUSTRALIA X 4</t>
  </si>
  <si>
    <t>004762</t>
  </si>
  <si>
    <t>LATEX INTERIOR/EXTERIOR WEBERPINT MATE BEIGE EGIPTO X 1</t>
  </si>
  <si>
    <t>004763</t>
  </si>
  <si>
    <t>LATEX INTERIOR/EXTERIOR WEBERPINT MATE BEIGE EGIPTO X 4</t>
  </si>
  <si>
    <t>004764</t>
  </si>
  <si>
    <t>LATEX INTERIOR/EXTERIOR WEBERPINT MATE GRIS POLONIA X 1</t>
  </si>
  <si>
    <t>004765</t>
  </si>
  <si>
    <t>LATEX INTERIOR/EXTERIOR WEBERPINT MATE GRIS POLONIA X 4</t>
  </si>
  <si>
    <t>004766</t>
  </si>
  <si>
    <t>LATEX INTERIOR/EXTERIOR WEBERPINT MATE MARRON BELGICA X 1</t>
  </si>
  <si>
    <t>004767</t>
  </si>
  <si>
    <t>LATEX INTERIOR/EXTERIOR WEBERPINT MATE MARRON BELGICA X 4</t>
  </si>
  <si>
    <t>004768</t>
  </si>
  <si>
    <t>LATEX INTERIOR/EXTERIOR WEBERPINT MATE NEGRO PRUSIA  X 1</t>
  </si>
  <si>
    <t>004769</t>
  </si>
  <si>
    <t>LATEX INTERIOR/EXTERIOR WEBERPINT MATE NEGRO PRUSIA X 4</t>
  </si>
  <si>
    <t>004770</t>
  </si>
  <si>
    <t>LATEX INTERIOR/EXTERIOR WEBERPINT MATE VERDE THAILANDIA X 1</t>
  </si>
  <si>
    <t>004771</t>
  </si>
  <si>
    <t>LATEX INTERIOR/EXTERIOR WEBERPINT MATE VERDE THAILANDIA X 4</t>
  </si>
  <si>
    <t>004772</t>
  </si>
  <si>
    <t>LATEX INTERIOR/EXTERIOR WEBERPINT MATE AMARILLO ESPANA X 1</t>
  </si>
  <si>
    <t>004773</t>
  </si>
  <si>
    <t>LATEX INTERIOR/EXTERIOR WEBERPINT MATE AMARILLO ESPANA X 4</t>
  </si>
  <si>
    <t>004774</t>
  </si>
  <si>
    <t>LATEX INTERIOR/EXTERIOR WEBERPINT MATE AMARILLO BRUNEI X 1</t>
  </si>
  <si>
    <t>004775</t>
  </si>
  <si>
    <t>LATEX INTERIOR/EXTERIOR WEBERPINT MATE AMARILLO BRUNEI X 4</t>
  </si>
  <si>
    <t>004776</t>
  </si>
  <si>
    <t>LATEX INTERIOR/EXTERIOR WEBERPINT MATE MAGENTA NICARAGUA X 1</t>
  </si>
  <si>
    <t>004777</t>
  </si>
  <si>
    <t>LATEX INTERIOR/EXTERIOR WEBERPINT MATE MAGENTA NICARAGUA X 4</t>
  </si>
  <si>
    <t>004778</t>
  </si>
  <si>
    <t>LATEX INTERIOR/EXTERIOR WEBERPINT MATE NARANJA HOLANDA X 1</t>
  </si>
  <si>
    <t>004779</t>
  </si>
  <si>
    <t>LATEX INTERIOR/EXTERIOR WEBERPINT MATE NARANJA HOLANDA X 4</t>
  </si>
  <si>
    <t>004780</t>
  </si>
  <si>
    <t>LATEX INTERIOR/EXTERIOR WEBERPINT MATE ROJO TURQUIA X 1</t>
  </si>
  <si>
    <t>004781</t>
  </si>
  <si>
    <t>LATEX INTERIOR/EXTERIOR WEBERPINT MATE ROJO TURQUIA X 4</t>
  </si>
  <si>
    <t>004782</t>
  </si>
  <si>
    <t>LATEX INTERIOR/EXTERIOR WEBERPINT MATE VERDE JAMAICA X 1</t>
  </si>
  <si>
    <t>004783</t>
  </si>
  <si>
    <t>LATEX INTERIOR/EXTERIOR WEBERPINT MATE VERDE JAMAICA X 4</t>
  </si>
  <si>
    <t>004784</t>
  </si>
  <si>
    <t>RECUBRIMIENTO LADRIK ACRILICO PLAVICON SEMIMATE NATURAL X  1</t>
  </si>
  <si>
    <t>004785</t>
  </si>
  <si>
    <t>RECUBRIMIENTO LADRIK ACRILICO PLAVICON SEMIMATE NATURAL X  4</t>
  </si>
  <si>
    <t>004786</t>
  </si>
  <si>
    <t>RECUBRIMIENTO LADRIK ACRILICO PLAVICON SEMIMATE NATURAL X 10</t>
  </si>
  <si>
    <t>004787</t>
  </si>
  <si>
    <t>RECUBRIMIENTO LADRIK ACRILICO PLAVICON SEMIMATE NATURAL X 20</t>
  </si>
  <si>
    <t>004788</t>
  </si>
  <si>
    <t>RECUBRIMIENTO LADRIK ACRILICO PLAVICON SEMIMATE ROJO CERAMICO X  1</t>
  </si>
  <si>
    <t>004789</t>
  </si>
  <si>
    <t>RECUBRIMIENTO LADRIK ACRILICO PLAVICON SEMIMATE ROJO CERAMICO X  4</t>
  </si>
  <si>
    <t>004790</t>
  </si>
  <si>
    <t>RECUBRIMIENTO LADRIK ACRILICO PLAVICON SEMIMATE ROJO CERAMICO X 10</t>
  </si>
  <si>
    <t>004791</t>
  </si>
  <si>
    <t>RECUBRIMIENTO LADRIK ACRILICO PLAVICON SEMIMATE ROJO CERAMICO X 20</t>
  </si>
  <si>
    <t>004792</t>
  </si>
  <si>
    <t>RECUBRIMIENTO LADRIK SOLVENTE PLAVICON SEMIMATE NATURAL X  1</t>
  </si>
  <si>
    <t>004793</t>
  </si>
  <si>
    <t>RECUBRIMIENTO LADRIK SOLVENTE PLAVICON SEMIMATE NATURAL X  4</t>
  </si>
  <si>
    <t>004794</t>
  </si>
  <si>
    <t>RECUBRIMIENTO LADRIK SOLVENTE PLAVICON SEMIMATE NATURAL X 10</t>
  </si>
  <si>
    <t>004795</t>
  </si>
  <si>
    <t>RECUBRIMIENTO LADRIK SOLVENTE PLAVICON SEMIMATE NATURAL X 20</t>
  </si>
  <si>
    <t>004796</t>
  </si>
  <si>
    <t>RECUBRIMIENTO LADRIK SOLVENTE PLAVICON SEMIMATE ROJO CERAMICO X  1</t>
  </si>
  <si>
    <t>004797</t>
  </si>
  <si>
    <t>RECUBRIMIENTO LADRIK SOLVENTE PLAVICON SEMIMATE ROJO CERAMICO X  4</t>
  </si>
  <si>
    <t>004798</t>
  </si>
  <si>
    <t>RECUBRIMIENTO LADRIK SOLVENTE PLAVICON SEMIMATE ROJO CERAMICO X 10</t>
  </si>
  <si>
    <t>004799</t>
  </si>
  <si>
    <t>RECUBRIMIENTO LADRIK SOLVENTE PLAVICON SEMIMATE ROJO CERAMICO X 20</t>
  </si>
  <si>
    <t>004800</t>
  </si>
  <si>
    <t>D800.10 BARNIZ CONCEPT 2020 DELTRON X 5,000</t>
  </si>
  <si>
    <t>004801</t>
  </si>
  <si>
    <t>HIDROFUGO ORGANICO EN PASTA CERESITA WEBER X  1</t>
  </si>
  <si>
    <t>004802</t>
  </si>
  <si>
    <t>HIDROFUGO ORGANICO EN PASTA CERESITA WEBER X  4</t>
  </si>
  <si>
    <t>004803</t>
  </si>
  <si>
    <t>HIDROFUGO ORGANICO EN PASTA CERESITA WEBER X 10</t>
  </si>
  <si>
    <t>004804</t>
  </si>
  <si>
    <t>HIDROFUGO ORGANICO EN PASTA CERESITA WEBER X 20</t>
  </si>
  <si>
    <t>004805</t>
  </si>
  <si>
    <t>HIDROFUGO ORGANICO EN PASTA CERESITA WEBER X 200</t>
  </si>
  <si>
    <t>004806</t>
  </si>
  <si>
    <t>LATEX PARA CIELORRASOS TERSINOL MATE BLANCO X  1</t>
  </si>
  <si>
    <t>004807</t>
  </si>
  <si>
    <t>LATEX PARA CIELORRASOS TERSINOL MATE BLANCO X  4</t>
  </si>
  <si>
    <t>004808</t>
  </si>
  <si>
    <t>LATEX PARA CIELORRASOS TERSINOL MATE BLANCO X 10</t>
  </si>
  <si>
    <t>004809</t>
  </si>
  <si>
    <t>LATEX PARA CIELORRASOS TERSINOL MATE BLANCO X 20</t>
  </si>
  <si>
    <t>004810</t>
  </si>
  <si>
    <t>PINTURA PARA PILETA RESOL CRISTAFLEX BLANCO X  4</t>
  </si>
  <si>
    <t>004811</t>
  </si>
  <si>
    <t>DILUYENTE DE BAJA POLARIDAD X  1</t>
  </si>
  <si>
    <t>004812</t>
  </si>
  <si>
    <t>DILUYENTE DE BAJA POLARIDAD X  4</t>
  </si>
  <si>
    <t>004813</t>
  </si>
  <si>
    <t>DILUYENTE DE BAJA POLARIDAD X 18</t>
  </si>
  <si>
    <t>004814</t>
  </si>
  <si>
    <t>DILUYENTE DE BAJA POLARIDAD X 200</t>
  </si>
  <si>
    <t>004815</t>
  </si>
  <si>
    <t>TERPLAST ROMANO MEDIO CARA PALIDA (3622-P) X 25</t>
  </si>
  <si>
    <t>004816</t>
  </si>
  <si>
    <t>TERPLAST ROMANO MEDIO COLOREADO MEDIO X 25</t>
  </si>
  <si>
    <t>004817</t>
  </si>
  <si>
    <t>P425-987 MEDIUM COARSE X 3,5</t>
  </si>
  <si>
    <t>004818</t>
  </si>
  <si>
    <t>SELLADOR SILICONA PLAVICON ACETICO BLANCO X 0,280</t>
  </si>
  <si>
    <t>004819</t>
  </si>
  <si>
    <t>SELLADOR SILICONA PLAVICON ACETICO TRANSPARENTE X 0,280</t>
  </si>
  <si>
    <t>004820</t>
  </si>
  <si>
    <t>REVOQUE FINO A LA CAL INTERIOR WEBER FINO BLANCO X 25</t>
  </si>
  <si>
    <t>004821</t>
  </si>
  <si>
    <t>REVOQUE FINO A LA CAL EXTERIOR WEBER FORTE GRIS X 25</t>
  </si>
  <si>
    <t>004822</t>
  </si>
  <si>
    <t>CINTA EMBALAJE RAPIFIX TRANSPARENTE (350) 24MM</t>
  </si>
  <si>
    <t>004823</t>
  </si>
  <si>
    <t>CINTA EMBALAJE RAPIFIX TRANSPARENTE (350) 36MM</t>
  </si>
  <si>
    <t>004824</t>
  </si>
  <si>
    <t>CINTA EMBALAJE RAPIFIX TRANSPARENTE (350) 48MM</t>
  </si>
  <si>
    <t>004825</t>
  </si>
  <si>
    <t>REVESTIMIENTO TEXTURADO TERPLAST SIMIL PIEDRA PARIS X  6</t>
  </si>
  <si>
    <t>004826</t>
  </si>
  <si>
    <t>REVESTIMIENTO TEXTURADO TERPLAST SIMIL PIEDRA PARIS X 30</t>
  </si>
  <si>
    <t>004827</t>
  </si>
  <si>
    <t>MASILLA POLIESTER MULTIUSO TRIMAS X 1</t>
  </si>
  <si>
    <t>004828</t>
  </si>
  <si>
    <t>MASILLA POLIESTER MULTIUSO TRIMAS X 2</t>
  </si>
  <si>
    <t>004829</t>
  </si>
  <si>
    <t>MASILLA POLIESTER MULTIUSO TRIMAS X 4</t>
  </si>
  <si>
    <t>004830</t>
  </si>
  <si>
    <t>PINTURA PARA PILETA RESOL CRISTAFLEX BLANCO X 20</t>
  </si>
  <si>
    <t>004831</t>
  </si>
  <si>
    <t>PASTINA ALTA PRESTACIONES WEBER PRESTIGE NIEVE X 2</t>
  </si>
  <si>
    <t>004832</t>
  </si>
  <si>
    <t>PASTINA ALTA PRESTACIONES WEBER PRESTIGE PERLATO X 2</t>
  </si>
  <si>
    <t>004833</t>
  </si>
  <si>
    <t>PASTINA ALTA PRESTACIONES WEBER PRESTIGE CHAMPAGNE X 2</t>
  </si>
  <si>
    <t>004834</t>
  </si>
  <si>
    <t>PASTINA ALTA PRESTACIONES WEBER PRESTIGE ARENA X 2</t>
  </si>
  <si>
    <t>004835</t>
  </si>
  <si>
    <t>PASTINA ALTA PRESTACIONES WEBER PRESTIGE BEIGE X 2</t>
  </si>
  <si>
    <t>004836</t>
  </si>
  <si>
    <t>PASTINA ALTA PRESTACIONES WEBER PRESTIGE TERRACOTA X 2</t>
  </si>
  <si>
    <t>004837</t>
  </si>
  <si>
    <t>PASTINA ALTA PRESTACIONES WEBER PRESTIGE FERRICO X 2</t>
  </si>
  <si>
    <t>004838</t>
  </si>
  <si>
    <t>PASTINA ALTA PRESTACIONES WEBER PRESTIGE TEJA X 2</t>
  </si>
  <si>
    <t>004839</t>
  </si>
  <si>
    <t>PASTINA ALTA PRESTACIONES WEBER PRESTIGE ANTILOPE X 2</t>
  </si>
  <si>
    <t>004840</t>
  </si>
  <si>
    <t>PASTINA ALTA PRESTACIONES WEBER PRESTIGE HABANO X 2</t>
  </si>
  <si>
    <t>004841</t>
  </si>
  <si>
    <t>PASTINA ALTA PRESTACIONES WEBER PRESTIGE JADE X 2</t>
  </si>
  <si>
    <t>004842</t>
  </si>
  <si>
    <t>PASTINA ALTA PRESTACIONES WEBER PRESTIGE PLATA X 2</t>
  </si>
  <si>
    <t>004843</t>
  </si>
  <si>
    <t>PASTINA ALTA PRESTACIONES WEBER PRESTIGE PLOMO X 2</t>
  </si>
  <si>
    <t>004844</t>
  </si>
  <si>
    <t>PASTINA ALTA PRESTACIONES WEBER PRESTIGE NEGRO X 2</t>
  </si>
  <si>
    <t>004845</t>
  </si>
  <si>
    <t>PASTINA ALTA PRESTACIONES WEBER PRESTIGE GRIS PERLA X 2</t>
  </si>
  <si>
    <t>004846</t>
  </si>
  <si>
    <t>PASTINA ALTA PRESTACIONES WEBER PRESTIGE MEDANO X 2</t>
  </si>
  <si>
    <t>004847</t>
  </si>
  <si>
    <t>PASTINA ALTA PRESTACIONES WEBER PRESTIGE NIEBLA X 2</t>
  </si>
  <si>
    <t>004848</t>
  </si>
  <si>
    <t>PASTINA ALTA PRESTACIONES WEBER PRESTIGE HUESO X 2</t>
  </si>
  <si>
    <t>004849</t>
  </si>
  <si>
    <t>PASTINA ALTA PRESTACIONES WEBER PRESTIGE ATLANTICO X 2</t>
  </si>
  <si>
    <t>004850</t>
  </si>
  <si>
    <t>PASTINA ALTA PRESTACIONES WEBER PRESTIGE CENIZA X 2</t>
  </si>
  <si>
    <t>004851</t>
  </si>
  <si>
    <t>PASTINA ALTA PRESTACIONES WEBER PRESTIGE CEDRO X 2</t>
  </si>
  <si>
    <t>004852</t>
  </si>
  <si>
    <t>PASTINA ALTA PRESTACIONES WEBER PRESTIGE ROBLE X 2</t>
  </si>
  <si>
    <t>004853</t>
  </si>
  <si>
    <t>PASTINA ALTA PRESTACIONES WEBER PRESTIGE OLMO X 2</t>
  </si>
  <si>
    <t>004854</t>
  </si>
  <si>
    <t>PASTINA ALTA PRESTACIONES WEBER PRESTIGE IRON X 2</t>
  </si>
  <si>
    <t>004855</t>
  </si>
  <si>
    <t>PASTINA ALTA PRESTACIONES WEBER PRESTIGE CALACATTA X 2</t>
  </si>
  <si>
    <t>004856</t>
  </si>
  <si>
    <t>PINTURA ASFALTICA SECADO RAPIDO MEGAFLEX X 200</t>
  </si>
  <si>
    <t>004857</t>
  </si>
  <si>
    <t>YESO TUYANGO AP X 25KG</t>
  </si>
  <si>
    <t>004858</t>
  </si>
  <si>
    <t>REVESTIMIENTO WEBERPLAST RULATO TAVERTINO MEDIO BLANCO X 30</t>
  </si>
  <si>
    <t>004859</t>
  </si>
  <si>
    <t>REVESTIMIENTO TEXTURADO TERPLAST ROMANO ULTRA FINO BLANCO X 25</t>
  </si>
  <si>
    <t>004860</t>
  </si>
  <si>
    <t>REVESTIMIENTO TEXTURADO TERPLAST ROMANO ULTRA FINO CLEAR X 25</t>
  </si>
  <si>
    <t>004861</t>
  </si>
  <si>
    <t>IMPERMEABILIZANTE PARA MUROS PLAVICON MATE GRIS CEMENTO X  1,250</t>
  </si>
  <si>
    <t>004862</t>
  </si>
  <si>
    <t>IMPERMEABILIZANTE PARA MUROS PLAVICON MATE GRIS CEMENTO X  5</t>
  </si>
  <si>
    <t>004863</t>
  </si>
  <si>
    <t>IMPERMEABILIZANTE PARA MUROS PLAVICON MATE GRIS CEMENTO X 12</t>
  </si>
  <si>
    <t>004864</t>
  </si>
  <si>
    <t>IMPERMEABILIZANTE PARA MUROS PLAVICON MATE GRIS CEMENTO X 25</t>
  </si>
  <si>
    <t>004865</t>
  </si>
  <si>
    <t>IMPREGNANTE PENTA STAIN + INSECTICIDA BRILLANTE CAOBA X  1</t>
  </si>
  <si>
    <t>004866</t>
  </si>
  <si>
    <t>IMPREGNANTE PENTA STAIN + INSECTICIDA BRILLANTE CAOBA X  4</t>
  </si>
  <si>
    <t>004867</t>
  </si>
  <si>
    <t>IMPREGNANTE PENTA STAIN + INSECTICIDA BRILLANTE CAOBA X 10</t>
  </si>
  <si>
    <t>004868</t>
  </si>
  <si>
    <t>IMPREGNANTE PENTA STAIN + INSECTICIDA BRILLANTE CAOBA X 20</t>
  </si>
  <si>
    <t>004869</t>
  </si>
  <si>
    <t>IMPREGNANTE PENTA STAIN + INSECTICIDA BRILLANTE CEDRO X  1</t>
  </si>
  <si>
    <t>004870</t>
  </si>
  <si>
    <t>IMPREGNANTE PENTA STAIN + INSECTICIDA BRILLANTE CEDRO X  4</t>
  </si>
  <si>
    <t>004871</t>
  </si>
  <si>
    <t>IMPREGNANTE PENTA STAIN + INSECTICIDA BRILLANTE CEDRO X 10</t>
  </si>
  <si>
    <t>004872</t>
  </si>
  <si>
    <t>IMPREGNANTE PENTA STAIN + INSECTICIDA BRILLANTE CEDRO X 20</t>
  </si>
  <si>
    <t>004873</t>
  </si>
  <si>
    <t>IMPREGNANTE PENTA STAIN + INSECTICIDA BRILLANTE CRISTAL X  1</t>
  </si>
  <si>
    <t>004874</t>
  </si>
  <si>
    <t>IMPREGNANTE PENTA STAIN + INSECTICIDA BRILLANTE CRISTAL X  4</t>
  </si>
  <si>
    <t>004875</t>
  </si>
  <si>
    <t>IMPREGNANTE PENTA STAIN + INSECTICIDA BRILLANTE CRISTAL X 10</t>
  </si>
  <si>
    <t>004876</t>
  </si>
  <si>
    <t>IMPREGNANTE PENTA STAIN + INSECTICIDA BRILLANTE CRISTAL X 20</t>
  </si>
  <si>
    <t>004877</t>
  </si>
  <si>
    <t>IMPREGNANTE PENTA STAIN + INSECTICIDA BRILLANTE NATURAL X  1</t>
  </si>
  <si>
    <t>004878</t>
  </si>
  <si>
    <t>IMPREGNANTE PENTA STAIN + INSECTICIDA BRILLANTE NATURAL X  4</t>
  </si>
  <si>
    <t>004879</t>
  </si>
  <si>
    <t>IMPREGNANTE PENTA STAIN + INSECTICIDA BRILLANTE NATURAL X 10</t>
  </si>
  <si>
    <t>004880</t>
  </si>
  <si>
    <t>IMPREGNANTE PENTA STAIN + INSECTICIDA BRILLANTE NATURAL X 20</t>
  </si>
  <si>
    <t>004881</t>
  </si>
  <si>
    <t>IMPREGNANTE PENTA STAIN + INSECTICIDA BRILLANTE NOGAL X  1</t>
  </si>
  <si>
    <t>004882</t>
  </si>
  <si>
    <t>IMPREGNANTE PENTA STAIN + INSECTICIDA BRILLANTE NOGAL X  4</t>
  </si>
  <si>
    <t>004883</t>
  </si>
  <si>
    <t>IMPREGNANTE PENTA STAIN + INSECTICIDA BRILLANTE NOGAL X 10</t>
  </si>
  <si>
    <t>004884</t>
  </si>
  <si>
    <t>IMPREGNANTE PENTA STAIN + INSECTICIDA BRILLANTE NOGAL X 20</t>
  </si>
  <si>
    <t>004885</t>
  </si>
  <si>
    <t>IMPREGNANTE PENTA STAIN + INSECTICIDA BRILLANTE ROBLE X  1</t>
  </si>
  <si>
    <t>004886</t>
  </si>
  <si>
    <t>IMPREGNANTE PENTA STAIN + INSECTICIDA BRILLANTE ROBLE X  4</t>
  </si>
  <si>
    <t>004887</t>
  </si>
  <si>
    <t>IMPREGNANTE PENTA STAIN + INSECTICIDA BRILLANTE ROBLE X 10</t>
  </si>
  <si>
    <t>004888</t>
  </si>
  <si>
    <t>IMPREGNANTE PENTA STAIN + INSECTICIDA BRILLANTE ROBLE X 20</t>
  </si>
  <si>
    <t>004889</t>
  </si>
  <si>
    <t>IMPREGNANTE PENTA STAIN + INSECTICIDA SATINADO CAOBA X  1</t>
  </si>
  <si>
    <t>004890</t>
  </si>
  <si>
    <t>IMPREGNANTE PENTA STAIN + INSECTICIDA SATINADO CAOBA X  4</t>
  </si>
  <si>
    <t>004891</t>
  </si>
  <si>
    <t>IMPREGNANTE PENTA STAIN + INSECTICIDA SATINADO CAOBA X 10</t>
  </si>
  <si>
    <t>004892</t>
  </si>
  <si>
    <t>IMPREGNANTE PENTA STAIN + INSECTICIDA SATINADO CAOBA X 20</t>
  </si>
  <si>
    <t>004893</t>
  </si>
  <si>
    <t>IMPREGNANTE PENTA STAIN + INSECTICIDA SATINADO CEDRO X  1</t>
  </si>
  <si>
    <t>004894</t>
  </si>
  <si>
    <t>IMPREGNANTE PENTA STAIN + INSECTICIDA SATINADO CEDRO X  4</t>
  </si>
  <si>
    <t>004895</t>
  </si>
  <si>
    <t>IMPREGNANTE PENTA STAIN + INSECTICIDA SATINADO CEDRO X 10</t>
  </si>
  <si>
    <t>004896</t>
  </si>
  <si>
    <t>IMPREGNANTE PENTA STAIN + INSECTICIDA SATINADO CEDRO X 20</t>
  </si>
  <si>
    <t>004897</t>
  </si>
  <si>
    <t>IMPREGNANTE PENTA STAIN + INSECTICIDA SATINADO CRISTAL X  1</t>
  </si>
  <si>
    <t>004898</t>
  </si>
  <si>
    <t>IMPREGNANTE PENTA STAIN + INSECTICIDA SATINADO CRISTAL X  4</t>
  </si>
  <si>
    <t>004899</t>
  </si>
  <si>
    <t>IMPREGNANTE PENTA STAIN + INSECTICIDA SATINADO CRISTAL X 10</t>
  </si>
  <si>
    <t>004900</t>
  </si>
  <si>
    <t>IMPREGNANTE PENTA STAIN + INSECTICIDA SATINADO CRISTAL X 20</t>
  </si>
  <si>
    <t>004901</t>
  </si>
  <si>
    <t>IMPREGNANTE PENTA STAIN + INSECTICIDA SATINADO NATURAL X  1</t>
  </si>
  <si>
    <t>004902</t>
  </si>
  <si>
    <t>IMPREGNANTE PENTA STAIN + INSECTICIDA SATINADO NATURAL X  4</t>
  </si>
  <si>
    <t>004903</t>
  </si>
  <si>
    <t>IMPREGNANTE PENTA STAIN + INSECTICIDA SATINADO NATURAL X 10</t>
  </si>
  <si>
    <t>004904</t>
  </si>
  <si>
    <t>IMPREGNANTE PENTA STAIN + INSECTICIDA SATINADO NATURAL X 20</t>
  </si>
  <si>
    <t>004905</t>
  </si>
  <si>
    <t>IMPREGNANTE PENTA STAIN + INSECTICIDA SATINADO NOGAL X  1</t>
  </si>
  <si>
    <t>004906</t>
  </si>
  <si>
    <t>IMPREGNANTE PENTA STAIN + INSECTICIDA SATINADO NOGAL X  4</t>
  </si>
  <si>
    <t>004907</t>
  </si>
  <si>
    <t>IMPREGNANTE PENTA STAIN + INSECTICIDA SATINADO NOGAL X 10</t>
  </si>
  <si>
    <t>004908</t>
  </si>
  <si>
    <t>IMPREGNANTE PENTA STAIN + INSECTICIDA SATINADO NOGAL X 20</t>
  </si>
  <si>
    <t>004909</t>
  </si>
  <si>
    <t>IMPREGNANTE PENTA STAIN + INSECTICIDA SATINADO ROBLE X  1</t>
  </si>
  <si>
    <t>004910</t>
  </si>
  <si>
    <t>IMPREGNANTE PENTA STAIN + INSECTICIDA SATINADO ROBLE X  4</t>
  </si>
  <si>
    <t>004911</t>
  </si>
  <si>
    <t>IMPREGNANTE PENTA STAIN + INSECTICIDA SATINADO ROBLE X 10</t>
  </si>
  <si>
    <t>004912</t>
  </si>
  <si>
    <t>IMPREGNANTE PENTA STAIN + INSECTICIDA SATINADO ROBLE X 20</t>
  </si>
  <si>
    <t>004913</t>
  </si>
  <si>
    <t>IMPERMEABILIZANTE PARA TECHOS PLAVICON FIBRADO SILICONA BLANCO X  4</t>
  </si>
  <si>
    <t>004914</t>
  </si>
  <si>
    <t>IMPERMEABILIZANTE PARA TECHOS PLAVICON FIBRADO SILICONA BLANCO X 20</t>
  </si>
  <si>
    <t>004915</t>
  </si>
  <si>
    <t>IMPERMEABILIZANTE PARA TECHOS PLAVICON FIBRADO SILICONA ROJO X  4</t>
  </si>
  <si>
    <t>004916</t>
  </si>
  <si>
    <t>IMPERMEABILIZANTE PARA TECHOS PLAVICON FIBRADO SILICONA ROJO X 20</t>
  </si>
  <si>
    <t>004917</t>
  </si>
  <si>
    <t>ADITICO VINILICO MULTIUSO TACURU BLANCO X  1</t>
  </si>
  <si>
    <t>004918</t>
  </si>
  <si>
    <t>ADITICO VINILICO MULTIUSO TACURU BLANCO X  4</t>
  </si>
  <si>
    <t>004919</t>
  </si>
  <si>
    <t>ADITICO VINILICO MULTIUSO TACURU BLANCO X 10</t>
  </si>
  <si>
    <t>004920</t>
  </si>
  <si>
    <t>ADITICO VINILICO MULTIUSO TACURU BLANCO X 20</t>
  </si>
  <si>
    <t>004921</t>
  </si>
  <si>
    <t>ADITICO VINILICO MULTIUSO TACURU BLANCO X 200</t>
  </si>
  <si>
    <t>004922</t>
  </si>
  <si>
    <t>MORTERO DE ASIENTO WEBER MULTIUSO PLUS GRIS X 30</t>
  </si>
  <si>
    <t>004923</t>
  </si>
  <si>
    <t>MORTERO FACIL NIVELACION WEBER RAS GRIS X 30</t>
  </si>
  <si>
    <t>004924</t>
  </si>
  <si>
    <t>PROMOTOR DE ADHERENCIA WEBER PRIMER BLANCO X 10</t>
  </si>
  <si>
    <t>004925</t>
  </si>
  <si>
    <t>SINTETICO TERSUAVE TONO CERRADO (3256-D) X 20</t>
  </si>
  <si>
    <t>004926</t>
  </si>
  <si>
    <t>ESMALTE SINTETICO TERSUAVE 2EN1 METALIZADO GRAFITO X 1</t>
  </si>
  <si>
    <t>004927</t>
  </si>
  <si>
    <t>ESMALTE SINTETICO TERSUAVE 2EN1 METALIZADO GRAFITO X 4</t>
  </si>
  <si>
    <t>004928</t>
  </si>
  <si>
    <t>MORTERO DE ALBANILERIA WEBER MULTIUSO GRIS X 10</t>
  </si>
  <si>
    <t>004929</t>
  </si>
  <si>
    <t>MORTERO DE ALBANILERIA WEBER MULTIUSO GRIS X 25</t>
  </si>
  <si>
    <t>004930</t>
  </si>
  <si>
    <t>ESMALTE EPOXI TERSUAVE INDULAC GRIS INDUSTRIAL X  4</t>
  </si>
  <si>
    <t>004931</t>
  </si>
  <si>
    <t>ESMALTE EPOXI TERSUAVE INDULAC GRIS INDUSTRIAL X 20</t>
  </si>
  <si>
    <t>004932</t>
  </si>
  <si>
    <t>RODILLO LUMAR LANA SATINADO MARRON 10(1300/A)</t>
  </si>
  <si>
    <t>004933</t>
  </si>
  <si>
    <t>RODILLO LUMAR LANA SATINADO MARRON 17(1300/B)</t>
  </si>
  <si>
    <t>004934</t>
  </si>
  <si>
    <t>RODILLO LUMAR LANA SATINADO MARRON 22(1300/C)</t>
  </si>
  <si>
    <t>004935</t>
  </si>
  <si>
    <t>PINTURA PARA PILETA PLAVIPINT AL SOLVENTE AZUL X  4</t>
  </si>
  <si>
    <t>004936</t>
  </si>
  <si>
    <t>PINTURA PARA PILETA PLAVIPINT AL SOLVENTE AZUL X 20</t>
  </si>
  <si>
    <t>004937</t>
  </si>
  <si>
    <t>PINTURA PARA PILETA PLAVIPINT AL AGUA  AZUL X  4</t>
  </si>
  <si>
    <t>004938</t>
  </si>
  <si>
    <t>PINTURA PARA PILETA PLAVIPINT AL AGUA  AZUL X 20</t>
  </si>
  <si>
    <t>004939</t>
  </si>
  <si>
    <t>MALLA FIBRA DE VIDRIO  R-FV90 5X5MM 1X50M</t>
  </si>
  <si>
    <t>004940</t>
  </si>
  <si>
    <t>MALLA FIBRA DE VIDRIO R-FV110 10X10MM 1X50M</t>
  </si>
  <si>
    <t>004941</t>
  </si>
  <si>
    <t>PULVERIZADOR TURBO ADIABATIC PMT3</t>
  </si>
  <si>
    <t>004942</t>
  </si>
  <si>
    <t>BP-01A.01 BASE TRANSPARENTE POLIESTER X 3,500</t>
  </si>
  <si>
    <t>004943</t>
  </si>
  <si>
    <t>RECUBRIMIENTO ATERMIK REFLECTIVO PLAVICON BLANCO X  4</t>
  </si>
  <si>
    <t>004944</t>
  </si>
  <si>
    <t>RECUBRIMIENTO ATERMIK REFLECTIVO PLAVICON BLANCO X 10</t>
  </si>
  <si>
    <t>004945</t>
  </si>
  <si>
    <t>RECUBRIMIENTO ATERMIK REFLECTIVO PLAVICON BLANCO X 20</t>
  </si>
  <si>
    <t>004946</t>
  </si>
  <si>
    <t>LACA PARA PISO PU PLASTILUX Q501 BRILLANTE X  1</t>
  </si>
  <si>
    <t>004947</t>
  </si>
  <si>
    <t>LACA PARA PISO PU PLASTILUX Q501 BRILLANTE X  4</t>
  </si>
  <si>
    <t>004948</t>
  </si>
  <si>
    <t>LACA PARA PISO PU PLASTILUX Q501 BRILLANTE X 10</t>
  </si>
  <si>
    <t>004949</t>
  </si>
  <si>
    <t>REVESTIMIENTO PLASTICO CONTINUO BASE COAT X 27</t>
  </si>
  <si>
    <t>004950</t>
  </si>
  <si>
    <t>RELLENO FONDO DE JUNTA WEBER 8MM X 1500 MTS.</t>
  </si>
  <si>
    <t>004951</t>
  </si>
  <si>
    <t>RELLENO FONDO DE JUNTA WEBER 15MM X 550MTS.</t>
  </si>
  <si>
    <t>004952</t>
  </si>
  <si>
    <t>RELLENO FONDO DE JUNTA WEBER 25MM X 200 MTS.</t>
  </si>
  <si>
    <t>004953</t>
  </si>
  <si>
    <t>PINTURA PARA PILETA PLAVICON AL AGUA MATE AZUL CARIBE X  1</t>
  </si>
  <si>
    <t>004954</t>
  </si>
  <si>
    <t>PINTURA PARA PILETA PLAVICON AL AGUA MATE AZUL CARIBE X  4</t>
  </si>
  <si>
    <t>004955</t>
  </si>
  <si>
    <t>PINTURA PARA PILETA PLAVICON AL AGUA MATE AZUL CARIBE X 10</t>
  </si>
  <si>
    <t>004956</t>
  </si>
  <si>
    <t>PINTURA PARA PILETA PLAVICON AL AGUA MATE AZUL CARIBE X 20</t>
  </si>
  <si>
    <t>004957</t>
  </si>
  <si>
    <t>PINTURA PARA PILETA PLAVICON AL AGUA MATE BLANCO X  1</t>
  </si>
  <si>
    <t>004958</t>
  </si>
  <si>
    <t>PINTURA PARA PILETA PLAVICON AL AGUA MATE BLANCO X  4</t>
  </si>
  <si>
    <t>004959</t>
  </si>
  <si>
    <t>PINTURA PARA PILETA PLAVICON AL AGUA MATE BLANCO X 10</t>
  </si>
  <si>
    <t>004960</t>
  </si>
  <si>
    <t>PINTURA PARA PILETA PLAVICON AL AGUA MATE BLANCO X 20</t>
  </si>
  <si>
    <t>004961</t>
  </si>
  <si>
    <t>PINTURA PARA PILETA PLAVICON AL AGUA MATE ARENA X  1</t>
  </si>
  <si>
    <t>004962</t>
  </si>
  <si>
    <t>PINTURA PARA PILETA PLAVICON AL AGUA MATE ARENA X  4</t>
  </si>
  <si>
    <t>004963</t>
  </si>
  <si>
    <t>PINTURA PARA PILETA PLAVICON AL AGUA MATE ARENA X 10</t>
  </si>
  <si>
    <t>004964</t>
  </si>
  <si>
    <t>PINTURA PARA PILETA PLAVICON AL AGUA MATE ARENA X 20</t>
  </si>
  <si>
    <t>004965</t>
  </si>
  <si>
    <t>PINTURA PARA PILETA PLAVICON AL AGUA MATE AZUL PROFUNDO X  1</t>
  </si>
  <si>
    <t>004966</t>
  </si>
  <si>
    <t>PINTURA PARA PILETA PLAVICON AL AGUA MATE AZUL PROFUNDO X  4</t>
  </si>
  <si>
    <t>004967</t>
  </si>
  <si>
    <t>PINTURA PARA PILETA PLAVICON AL AGUA MATE AZUL PROFUNDO X 10</t>
  </si>
  <si>
    <t>004968</t>
  </si>
  <si>
    <t>PINTURA PARA PILETA PLAVICON AL AGUA MATE AZUL PROFUNDO X 20</t>
  </si>
  <si>
    <t>004969</t>
  </si>
  <si>
    <t>PINTURA PARA PILETA PLAVICON AL AGUA MATE VERDE ESMERALDA X  1</t>
  </si>
  <si>
    <t>004970</t>
  </si>
  <si>
    <t>PINTURA PARA PILETA PLAVICON AL AGUA MATE VERDE ESMERALDA X  4</t>
  </si>
  <si>
    <t>004971</t>
  </si>
  <si>
    <t>PINTURA PARA PILETA PLAVICON AL AGUA MATE VERDE ESMERALDA X 10</t>
  </si>
  <si>
    <t>004972</t>
  </si>
  <si>
    <t>PINTURA PARA PILETA PLAVICON AL AGUA MATE VERDE ESMERALDA X 20</t>
  </si>
  <si>
    <t>004973</t>
  </si>
  <si>
    <t>PINTURA PARA PILETA PLAVICON CON CAUCHO MATE AZUL ATLANTICO X  1</t>
  </si>
  <si>
    <t>004974</t>
  </si>
  <si>
    <t>PINTURA PARA PILETA PLAVICON CON CAUCHO MATE AZUL ATLANTICO X  4</t>
  </si>
  <si>
    <t>004975</t>
  </si>
  <si>
    <t>PINTURA PARA PILETA PLAVICON CON CAUCHO MATE AZUL ATLANTICO X 20</t>
  </si>
  <si>
    <t>004976</t>
  </si>
  <si>
    <t>PINTURA PARA PILETA PLAVICON CON CAUCHO MATE BLANCO X  1</t>
  </si>
  <si>
    <t>004977</t>
  </si>
  <si>
    <t>PINTURA PARA PILETA PLAVICON CON CAUCHO MATE BLANCO X  4</t>
  </si>
  <si>
    <t>004978</t>
  </si>
  <si>
    <t>PINTURA PARA PILETA PLAVICON CON CAUCHO MATE BLANCO X 20</t>
  </si>
  <si>
    <t>004979</t>
  </si>
  <si>
    <t>PINTURA PARA PILETA PLAVICON AL SOLVENTE AZUL CIELO X  1</t>
  </si>
  <si>
    <t>004980</t>
  </si>
  <si>
    <t>PINTURA PARA PILETA PLAVICON AL SOLVENTE AZUL CIELO X  4</t>
  </si>
  <si>
    <t>004981</t>
  </si>
  <si>
    <t>PINTURA PARA PILETA PLAVICON AL SOLVENTE AZUL CIELO X 20</t>
  </si>
  <si>
    <t>004982</t>
  </si>
  <si>
    <t>PINTURA PARA PILETA PLAVICON AL SOLVENTE BLANCO X  1</t>
  </si>
  <si>
    <t>004983</t>
  </si>
  <si>
    <t>PINTURA PARA PILETA PLAVICON AL SOLVENTE BLANCO X  4</t>
  </si>
  <si>
    <t>004984</t>
  </si>
  <si>
    <t>PINTURA PARA PILETA PLAVICON AL SOLVENTE BLANCO X 20</t>
  </si>
  <si>
    <t>004985</t>
  </si>
  <si>
    <t>IMPREGNANTE PARA PISO PETRILAC DECK TEKA X 1</t>
  </si>
  <si>
    <t>004986</t>
  </si>
  <si>
    <t>IMPREGNANTE PARA PISO PETRILAC DECK TEKA X 4</t>
  </si>
  <si>
    <t>004987</t>
  </si>
  <si>
    <t>IMPREGNANTE PARA PISO PETRILAC DECK HABANO X 1</t>
  </si>
  <si>
    <t>004988</t>
  </si>
  <si>
    <t>IMPREGNANTE PARA PISO PETRILAC DECK HABANO X 4</t>
  </si>
  <si>
    <t>004989</t>
  </si>
  <si>
    <t>IMPREGNANTE PARA PISO PETRILAC DECK CEREZO X 1</t>
  </si>
  <si>
    <t>004990</t>
  </si>
  <si>
    <t>IMPREGNANTE PARA PISO PETRILAC DECK CEREZO X 4</t>
  </si>
  <si>
    <t>004991</t>
  </si>
  <si>
    <t>MALLA FIBRA DE VIDRIO R-FV165 10X10MM 1X50M</t>
  </si>
  <si>
    <t>004992</t>
  </si>
  <si>
    <t>TRANSEPOXI TERSUAVE INDULAC X 2</t>
  </si>
  <si>
    <t>004993</t>
  </si>
  <si>
    <t>TRANSEPOXI TERSUAVE INDULAC X 8</t>
  </si>
  <si>
    <t>004994</t>
  </si>
  <si>
    <t>PEGAMENTO RAPIDO WEBER PISO SOBRE PISO 12 HS. GRIS X 25</t>
  </si>
  <si>
    <t>004995</t>
  </si>
  <si>
    <t>PEGAMENTO FLEX.PIEZAS H.60X120 WEBER FLEX PORCELLANATO GRIS X 25</t>
  </si>
  <si>
    <t>004996</t>
  </si>
  <si>
    <t>ACTIVADOR EPOXY HP 5300 BASE AGUA RUST OLEUM X 0,47 (5301604)</t>
  </si>
  <si>
    <t>004997</t>
  </si>
  <si>
    <t>EPOXY BASE AGUA HP 5300 RUST OLEUM BLANCO X 3,78 (5392408)</t>
  </si>
  <si>
    <t>004998</t>
  </si>
  <si>
    <t>IMPERMEABILIZANTE PARA TECHOS ALBAFRENT SATINADO BLANCO X  4</t>
  </si>
  <si>
    <t>004999</t>
  </si>
  <si>
    <t>IMPERMEABILIZANTE PARA TECHOS ALBAFRENT SATINADO BLANCO X 10</t>
  </si>
  <si>
    <t>005000</t>
  </si>
  <si>
    <t>IMPERMEABILIZANTE PARA TECHOS ALBAFRENT SATINADO BLANCO X 20</t>
  </si>
  <si>
    <t>005001</t>
  </si>
  <si>
    <t>DX101 PASTA DE LIJADO X 0,325</t>
  </si>
  <si>
    <t>005002</t>
  </si>
  <si>
    <t>PASTINA EPOXI WEBER MAX NEGRO X 3</t>
  </si>
  <si>
    <t>005003</t>
  </si>
  <si>
    <t>PASTINA EPOXI WEBER MAX GRIS PERLA X 3</t>
  </si>
  <si>
    <t>005004</t>
  </si>
  <si>
    <t>PASTINA EPOXI WEBER MAX HUESO X 3</t>
  </si>
  <si>
    <t>005005</t>
  </si>
  <si>
    <t>PASTINA EPOXI WEBER MAX NIEVE X 3</t>
  </si>
  <si>
    <t>005006</t>
  </si>
  <si>
    <t>EPOXI MASTIC INTERSEAL 670 HS BLANCO X  3,600</t>
  </si>
  <si>
    <t>005007</t>
  </si>
  <si>
    <t>EPOXI MASTIC INTERSEAL 670 HS BLANCO X 20</t>
  </si>
  <si>
    <t>005008</t>
  </si>
  <si>
    <t>REVOQUE FINO WEBER HIDRORREPELENTE INTERIOR EXTERIOR BLANCO X 25</t>
  </si>
  <si>
    <t>005009</t>
  </si>
  <si>
    <t>ANTEOJO ROGUANT SPHEREXSG-51M ELVEX (200416)</t>
  </si>
  <si>
    <t>005010</t>
  </si>
  <si>
    <t>EPOXI INTERTUF 262 GRIS X  3,6</t>
  </si>
  <si>
    <t>005011</t>
  </si>
  <si>
    <t>EPOXI INTERTUF 262 GRIS X 20</t>
  </si>
  <si>
    <t>005012</t>
  </si>
  <si>
    <t>D8731/E0.4  DIFUMINANTE EN AEROSOL PU X 0,400 (D8730/E0.4)</t>
  </si>
  <si>
    <t>005013</t>
  </si>
  <si>
    <t>FIELTRO LIVIANO HR (VIOLETA) ISOVER 1,20X18X38</t>
  </si>
  <si>
    <t>005014</t>
  </si>
  <si>
    <t>FIELTRO LIVIANO HR (VIOLETA) ISOVER 1,20X18X50</t>
  </si>
  <si>
    <t>005015</t>
  </si>
  <si>
    <t>FIELTRO LIVIANO HR (VIOLETA) ISOVER 1,20X11X80</t>
  </si>
  <si>
    <t>005016</t>
  </si>
  <si>
    <t>FIELTRO LIVIANO HR (VIOLETA) ISOVER 1,20X9X100</t>
  </si>
  <si>
    <t>005017</t>
  </si>
  <si>
    <t>FIELTRO LIVIANO HR (VIOLETA) ISOVER 1,20X9X125</t>
  </si>
  <si>
    <t>005018</t>
  </si>
  <si>
    <t>FIELTRO LIVIANO HR (VIOLETA) ISOVER 1,20X5X150</t>
  </si>
  <si>
    <t>005019</t>
  </si>
  <si>
    <t>EPOXI INTERTUF 262 NEGRO X  3,600</t>
  </si>
  <si>
    <t>005020</t>
  </si>
  <si>
    <t>EPOXI INTERTUF 262 NEGRO X 20</t>
  </si>
  <si>
    <t>005021</t>
  </si>
  <si>
    <t>EPOXI INTERTUF 262 BLANCO X  3,600</t>
  </si>
  <si>
    <t>005022</t>
  </si>
  <si>
    <t>PEGAMENTO WEBER IMPERMEABLE PIEZAS H.60X60 CERAMICO CON CERESITA X 25</t>
  </si>
  <si>
    <t>005023</t>
  </si>
  <si>
    <t>CAPA BASE NIVELADORA WEBERTHERM BASE COAT GRIS X 25</t>
  </si>
  <si>
    <t>005024</t>
  </si>
  <si>
    <t>CINTA AISLADORA DOBLE A  NEGRO (C146) 18MMX20MT</t>
  </si>
  <si>
    <t>005025</t>
  </si>
  <si>
    <t>CINTA AISLADORA DOBLE A NEGRO (C146) 18MMX10MT</t>
  </si>
  <si>
    <t>005026</t>
  </si>
  <si>
    <t>CINTA AISLADORA DOBLE A AMARILLO Y VERDE (C146) 18MMX10MT</t>
  </si>
  <si>
    <t>005027</t>
  </si>
  <si>
    <t>CINTA AISLADORA DOBLE A VERDE (C146) 18MMX10MT</t>
  </si>
  <si>
    <t>005028</t>
  </si>
  <si>
    <t>CINTA AISLADORA DOBLE A BLANCO (C146) 18MMX10MT</t>
  </si>
  <si>
    <t>005029</t>
  </si>
  <si>
    <t>CINTA AISLADORA DOBLE A AZUL (C146) 18MMX10MT</t>
  </si>
  <si>
    <t>005030</t>
  </si>
  <si>
    <t>CINTA AISLADORA DOBLE A MARRON (C146) 18MMX10MT</t>
  </si>
  <si>
    <t>005031</t>
  </si>
  <si>
    <t>CINTA AISLADORA DOBLE A ROJO CERAMICO (C146) 18MMX10MT</t>
  </si>
  <si>
    <t>005032</t>
  </si>
  <si>
    <t>DISCO DIAMANTADO DOBLE A MASTER 110X22,23 CONT.</t>
  </si>
  <si>
    <t>005033</t>
  </si>
  <si>
    <t>DISCO DIAMANTADO DOBLE A MASTER 180X22,23 CONT.</t>
  </si>
  <si>
    <t>005034</t>
  </si>
  <si>
    <t>DISCO DIAMANTADO DOBLE A MASTER 230X22,23 CONT.</t>
  </si>
  <si>
    <t>005035</t>
  </si>
  <si>
    <t>DISCO DIAMANTADO CORTE Y DESBASTE DOBLE A ULTRA 115X22,23 2EN1</t>
  </si>
  <si>
    <t>005036</t>
  </si>
  <si>
    <t>ESMALTE ALTA TEMPERATURA 426 °C RUST OLEUM NEGRO BRILLANTE X 3,78(286509)</t>
  </si>
  <si>
    <t>005037</t>
  </si>
  <si>
    <t>CINTA PYTHON ALTA RESISTENCIA NEGRO 9MTS.</t>
  </si>
  <si>
    <t>005038</t>
  </si>
  <si>
    <t>T494.63 DILUYENTE MEDIO P/BASE AGUA/PRIMER ACUOSO X 2</t>
  </si>
  <si>
    <t>005039</t>
  </si>
  <si>
    <t>ESMALTE SINTETICO PLAVICON 3EN1 MATE BLANCO X  0,250</t>
  </si>
  <si>
    <t>005040</t>
  </si>
  <si>
    <t>ESMALTE SINTETICO PLAVICON 3EN1 MATE BLANCO X  0,500</t>
  </si>
  <si>
    <t>005041</t>
  </si>
  <si>
    <t>ESMALTE SINTETICO PLAVICON 3EN1 MATE BLANCO X  1</t>
  </si>
  <si>
    <t>005042</t>
  </si>
  <si>
    <t>ESMALTE SINTETICO PLAVICON 3EN1 MATE BLANCO X  4</t>
  </si>
  <si>
    <t>005043</t>
  </si>
  <si>
    <t>ESMALTE SINTETICO PLAVICON 3EN1 MATE BLANCO X 20</t>
  </si>
  <si>
    <t>005044</t>
  </si>
  <si>
    <t>ESMALTE SINTETICO PLAVICON 3EN1 MATE NEGRO X  0,250</t>
  </si>
  <si>
    <t>005045</t>
  </si>
  <si>
    <t>ESMALTE SINTETICO PLAVICON 3EN1 MATE NEGRO X  0,500</t>
  </si>
  <si>
    <t>005046</t>
  </si>
  <si>
    <t>ESMALTE SINTETICO PLAVICON 3EN1 MATE NEGRO X  1</t>
  </si>
  <si>
    <t>005047</t>
  </si>
  <si>
    <t>ESMALTE SINTETICO PLAVICON 3EN1 MATE NEGRO X  4</t>
  </si>
  <si>
    <t>005048</t>
  </si>
  <si>
    <t>D8421 AEROSOL 1K PRIMER (G5) X 0.400</t>
  </si>
  <si>
    <t>005049</t>
  </si>
  <si>
    <t>D8416/E.04 AEROSOL 1K PRIMER WHITE (G1) X 0,400</t>
  </si>
  <si>
    <t>005050</t>
  </si>
  <si>
    <t>T030-9400 NARANJA ESCOLAR BASICO</t>
  </si>
  <si>
    <t>005051</t>
  </si>
  <si>
    <t>DISCO CORTE DOBLE A ELEMENT T41 180X3,0X22,23</t>
  </si>
  <si>
    <t>005052</t>
  </si>
  <si>
    <t>D8424/E.04 AEROSOL 1K PRIMER GREY (G6) X 0,400</t>
  </si>
  <si>
    <t>005053</t>
  </si>
  <si>
    <t>DC4000.04 BARNIZ RAPIDO PREMIUN DE ALTO SOLIDO DELTRON X 0,720</t>
  </si>
  <si>
    <t>005054</t>
  </si>
  <si>
    <t>DCH3070 CATALIZADOR RAPIDO BAJA TEMPERATURA DELTRON P/DC3000/4000 X 0,237</t>
  </si>
  <si>
    <t>005055</t>
  </si>
  <si>
    <t>D8010 PRIMER PU BLANCO GREYMATIC DELTRON X 3,000</t>
  </si>
  <si>
    <t>005056</t>
  </si>
  <si>
    <t>D8017 PRIMER HS 2K GRIS OSCURO DELTRON X 3,000</t>
  </si>
  <si>
    <t>005057</t>
  </si>
  <si>
    <t>DC4000FYL BARNIZ RAPIDO PREMIUN DE ALTOS SOLIDOS DELTRON X 3,785</t>
  </si>
  <si>
    <t>005058</t>
  </si>
  <si>
    <t>ECA83.900 DILUYENTE REDUCTOR PARA BARNIZ EC800 EHP X 0.946</t>
  </si>
  <si>
    <t>005059</t>
  </si>
  <si>
    <t>D803 ENDURECEDOR RAPIDO DELTRON X 1</t>
  </si>
  <si>
    <t>005060</t>
  </si>
  <si>
    <t>D8426 AEROSOL 1K PRIMER DARK GREY (G7) X 0,400</t>
  </si>
  <si>
    <t>005061</t>
  </si>
  <si>
    <t>FONDO IMPERMEABLE TERPLAST X 5</t>
  </si>
  <si>
    <t>005062</t>
  </si>
  <si>
    <t>FONDO IMPERMEABLE TERPLAST X 25</t>
  </si>
  <si>
    <t>005063</t>
  </si>
  <si>
    <t>ESMALTE EPOXI ALBA AMARILLO X 1</t>
  </si>
  <si>
    <t>005064</t>
  </si>
  <si>
    <t>DISCO CORTE DOBLE A ELEMENT T41 115X1,0X22,23</t>
  </si>
  <si>
    <t>005065</t>
  </si>
  <si>
    <t>DISCO CORTE DOBLE A ELEMENT T41 115X1,6X22,23</t>
  </si>
  <si>
    <t>005066</t>
  </si>
  <si>
    <t>DISCO CORTE DOBLE A ELEMENT T41 180X1,6X22,23</t>
  </si>
  <si>
    <t>005067</t>
  </si>
  <si>
    <t>DISCO CORTE DOBLE A ELEMENT T41 115X3,0X22,23</t>
  </si>
  <si>
    <t>005068</t>
  </si>
  <si>
    <t>DISCO CORTE DOBLE A ELEMENT T41 230X3,0X22,23</t>
  </si>
  <si>
    <t>005069</t>
  </si>
  <si>
    <t>DISCO DESBASTE DOBLE A ELEMENT T27 115X6,4X22,2</t>
  </si>
  <si>
    <t>005070</t>
  </si>
  <si>
    <t>DISCO DESBASTE DOBLE A ELEMENT T27 180X6,4X22,2</t>
  </si>
  <si>
    <t>005071</t>
  </si>
  <si>
    <t>DISCO DIAMANTADO DOBLE A ELEMENT 110X22,23 CONT.</t>
  </si>
  <si>
    <t>005072</t>
  </si>
  <si>
    <t>DISCO DIAMANTADO DOBLE A ELEMENT 110X22,23 SEG.</t>
  </si>
  <si>
    <t>005073</t>
  </si>
  <si>
    <t>DISCO DIAMANTADO DOBLE A ELEMENT 110X22,23 TURBO</t>
  </si>
  <si>
    <t>005074</t>
  </si>
  <si>
    <t>DISCO FLAP DOBLE A ELEMENT OA FIBRA ANG 115X22   36</t>
  </si>
  <si>
    <t>005075</t>
  </si>
  <si>
    <t>DISCO FLAP DOBLE A ELEMENT OA FIBRA ANG 115X22   60</t>
  </si>
  <si>
    <t>005076</t>
  </si>
  <si>
    <t>DISCO FLAP DOBLE A ELEMENT OA FIBRA ANG 115X22   80</t>
  </si>
  <si>
    <t>005077</t>
  </si>
  <si>
    <t>DISCO FLAP DOBLE A ELEMENT OA FIBRA ANG 115X22  120</t>
  </si>
  <si>
    <t>005078</t>
  </si>
  <si>
    <t>IMPERMEABILIZANTE PARA FRENTES PLAVICON MATE BEIGE X  1,250</t>
  </si>
  <si>
    <t>005079</t>
  </si>
  <si>
    <t>IMPERMEABILIZANTE PARA FRENTES PLAVICON MATE BEIGE X  5</t>
  </si>
  <si>
    <t>005080</t>
  </si>
  <si>
    <t>D8540AL TRANSPARENT SEALER X 1</t>
  </si>
  <si>
    <t>005081</t>
  </si>
  <si>
    <t>A6520BK MASILLA IVIPLAST 66 X 1,500</t>
  </si>
  <si>
    <t>005082</t>
  </si>
  <si>
    <t>A722/E1.5K MASSA POLIESTER UNIVERSAL STOPPER X 1,550</t>
  </si>
  <si>
    <t>005083</t>
  </si>
  <si>
    <t>D8460 DESENGRASANTE PARA PLASTICOS X 1</t>
  </si>
  <si>
    <t>005084</t>
  </si>
  <si>
    <t>PPG-6403.04 PROMOTOR ADHERENCIA P/ PLASTICO X 0,900(EXSU49030)</t>
  </si>
  <si>
    <t>005085</t>
  </si>
  <si>
    <t>IMPERMEABILIZANTE PARA TECHO PLAVICON SOBRECHAPA ROJO CERAMICO X  1,250</t>
  </si>
  <si>
    <t>005086</t>
  </si>
  <si>
    <t>IMPERMEABILIZANTE PARA TECHO PLAVICON SOBRECHAPA ROJO CERAMICO X  5</t>
  </si>
  <si>
    <t>005087</t>
  </si>
  <si>
    <t>IMPERMEABILIZANTE PARA TECHO PLAVICON SOBRECHAPA ROJO CERAMICO X 10</t>
  </si>
  <si>
    <t>005088</t>
  </si>
  <si>
    <t>IMPERMEABILIZANTE PARA TECHO PLAVICON SOBRECHAPA ROJO CERAMICO X 20</t>
  </si>
  <si>
    <t>005089</t>
  </si>
  <si>
    <t>IMPERMEABILIZANTE PARA TECHO PLAVICON SOBRECHAPA VERDE X  1,250</t>
  </si>
  <si>
    <t>005090</t>
  </si>
  <si>
    <t>IMPERMEABILIZANTE PARA TECHO PLAVICON SOBRECHAPA VERDE X  5</t>
  </si>
  <si>
    <t>005091</t>
  </si>
  <si>
    <t>IMPERMEABILIZANTE PARA TECHO PLAVICON SOBRECHAPA VERDE X 10</t>
  </si>
  <si>
    <t>005092</t>
  </si>
  <si>
    <t>IMPERMEABILIZANTE PARA TECHO PLAVICON SOBRECHAPA VERDE X 20</t>
  </si>
  <si>
    <t>005093</t>
  </si>
  <si>
    <t>IMPERMEABILIZANTE PARA TECHO PLAVICON SOBRECHAPA NEGRO X  1,250</t>
  </si>
  <si>
    <t>005094</t>
  </si>
  <si>
    <t>IMPERMEABILIZANTE PARA TECHO PLAVICON SOBRECHAPA NEGRO X  5</t>
  </si>
  <si>
    <t>005095</t>
  </si>
  <si>
    <t>IMPERMEABILIZANTE PARA TECHO PLAVICON SOBRECHAPA NEGRO X 10</t>
  </si>
  <si>
    <t>005096</t>
  </si>
  <si>
    <t>IMPERMEABILIZANTE PARA TECHO PLAVICON SOBRECHAPA NEGRO X 20</t>
  </si>
  <si>
    <t>005097</t>
  </si>
  <si>
    <t>IMPERMEABILIZANTE PARA FRENTES PLAVICON MATE BEIGE X 12</t>
  </si>
  <si>
    <t>005098</t>
  </si>
  <si>
    <t>IMPERMEABILIZANTE PARA FRENTES PLAVICON MATE BEIGE X 25</t>
  </si>
  <si>
    <t>005099</t>
  </si>
  <si>
    <t>IMPERMEABILIZANTE PARA FRENTES PLAVICON MATE GRIS CEMENTO X  1,250</t>
  </si>
  <si>
    <t>005100</t>
  </si>
  <si>
    <t>IMPERMEABILIZANTE PARA FRENTES PLAVICON MATE GRIS CEMENTO X  5</t>
  </si>
  <si>
    <t>005101</t>
  </si>
  <si>
    <t>IMPERMEABILIZANTE PARA FRENTES PLAVICON MATE GRIS CEMENTO X 12</t>
  </si>
  <si>
    <t>005102</t>
  </si>
  <si>
    <t>IMPERMEABILIZANTE PARA FRENTES PLAVICON MATE GRIS CEMENTO X 25</t>
  </si>
  <si>
    <t>005103</t>
  </si>
  <si>
    <t>IMPERMEABILIZANTE PARA FRENTES PLAVICON MATE OCRE X  1,250</t>
  </si>
  <si>
    <t>005104</t>
  </si>
  <si>
    <t>IMPERMEABILIZANTE PARA FRENTES PLAVICON MATE OCRE X  5</t>
  </si>
  <si>
    <t>005105</t>
  </si>
  <si>
    <t>IMPERMEABILIZANTE PARA FRENTES PLAVICON MATE OCRE X 12</t>
  </si>
  <si>
    <t>005106</t>
  </si>
  <si>
    <t>IMPERMEABILIZANTE PARA FRENTES PLAVICON MATE OCRE X 25</t>
  </si>
  <si>
    <t>005107</t>
  </si>
  <si>
    <t>IMPERMEABILIZANTE PARA FRENTES PLAVICON MATE NEGRO X  1,250</t>
  </si>
  <si>
    <t>005108</t>
  </si>
  <si>
    <t>IMPERMEABILIZANTE PARA FRENTES PLAVICON MATE NEGRO X  5</t>
  </si>
  <si>
    <t>005109</t>
  </si>
  <si>
    <t>IMPERMEABILIZANTE PARA FRENTES PLAVICON MATE NEGRO X 12</t>
  </si>
  <si>
    <t>005110</t>
  </si>
  <si>
    <t>IMPERMEABILIZANTE PARA FRENTES PLAVICON MATE NEGRO X 25</t>
  </si>
  <si>
    <t>005111</t>
  </si>
  <si>
    <t>FONDO ANTIOXIDO TERSUAVE MATE MARFIL X  0,250</t>
  </si>
  <si>
    <t>005112</t>
  </si>
  <si>
    <t>ESMALTE SINTETICO PLAVICON 3EN1 MATE NEGRO X 20</t>
  </si>
  <si>
    <t>005113</t>
  </si>
  <si>
    <t>ENDUIDO INTERIOR PLAVICON X 10</t>
  </si>
  <si>
    <t>005114</t>
  </si>
  <si>
    <t>MALLA FIBRA DE VIDRIO  R-FV60 2,85X2,85MM 1X50M</t>
  </si>
  <si>
    <t>005115</t>
  </si>
  <si>
    <t>FONDO ANTIOXIDO TERSUAVE MATE NEGRO X  0,250</t>
  </si>
  <si>
    <t>005116</t>
  </si>
  <si>
    <t>PROTECTOR PARA LADRILLO PLAVIPINT SEMIMATE CON PELICULA CERAMICO X  1</t>
  </si>
  <si>
    <t>005117</t>
  </si>
  <si>
    <t>PROTECTOR PARA LADRILLO PLAVIPINT SEMIMATE CON PELICULA CERAMICO X  4</t>
  </si>
  <si>
    <t>005118</t>
  </si>
  <si>
    <t>PROTECTOR PARA LADRILLO PLAVIPINT SEMIMATE CON PELICULA CERAMICO X 10</t>
  </si>
  <si>
    <t>005119</t>
  </si>
  <si>
    <t>PROTECTOR PARA LADRILLO PLAVIPINT SEMIMATE CON PELICULA CERAMICO X 20</t>
  </si>
  <si>
    <t>005120</t>
  </si>
  <si>
    <t>DILUYENTE P/ESMALTE Y FONDO EPOXI X 4(4595003)</t>
  </si>
  <si>
    <t>005121</t>
  </si>
  <si>
    <t>DILUYENTE P/ESMALTE Y FONDO EPOXI X 20(4595003)</t>
  </si>
  <si>
    <t>005122</t>
  </si>
  <si>
    <t>DILUYENTE P/ESMALTE POLIURETANO X 4(4595004)</t>
  </si>
  <si>
    <t>005123</t>
  </si>
  <si>
    <t>DILUYENTE P/ESMALTE POLIURETANO X 20(4595004)</t>
  </si>
  <si>
    <t>005124</t>
  </si>
  <si>
    <t>T030-9400 AZUL COSMOS RENAULT</t>
  </si>
  <si>
    <t>005125</t>
  </si>
  <si>
    <t>LATEX INTERIOR PLAVICON HABITAT LISTO PARA USAR MATE CACAO X 1</t>
  </si>
  <si>
    <t>005126</t>
  </si>
  <si>
    <t>LATEX INTERIOR PLAVICON HABITAT LISTO PARA USAR MATE CACAO X 4</t>
  </si>
  <si>
    <t>005127</t>
  </si>
  <si>
    <t>FONDO ANTIOXIDO TERSUAVE MATE GRIS X  0,250</t>
  </si>
  <si>
    <t>005128</t>
  </si>
  <si>
    <t>IMPERMEABILIZANTE PARA FRENTES PLAVICON MATE VERDE FORESTA X  1,250</t>
  </si>
  <si>
    <t>005129</t>
  </si>
  <si>
    <t>IMPERMEABILIZANTE PARA FRENTES PLAVICON MATE VERDE FORESTA X  5</t>
  </si>
  <si>
    <t>005130</t>
  </si>
  <si>
    <t>IMPERMEABILIZANTE PARA FRENTES PLAVICON MATE VERDE FORESTA X 12</t>
  </si>
  <si>
    <t>005131</t>
  </si>
  <si>
    <t>IMPERMEABILIZANTE PARA FRENTES PLAVICON MATE VERDE FORESTA X 25</t>
  </si>
  <si>
    <t>005132</t>
  </si>
  <si>
    <t>IMPERMEABILIZANTE PARA FRENTES PLAVICON MATE VERDE PADDLE X  1,250</t>
  </si>
  <si>
    <t>005133</t>
  </si>
  <si>
    <t>IMPERMEABILIZANTE PARA FRENTES PLAVICON MATE VERDE PADDLE X  5</t>
  </si>
  <si>
    <t>005134</t>
  </si>
  <si>
    <t>IMPERMEABILIZANTE PARA FRENTES PLAVICON MATE VERDE PADDLE X 12</t>
  </si>
  <si>
    <t>005135</t>
  </si>
  <si>
    <t>IMPERMEABILIZANTE PARA FRENTES PLAVICON MATE VERDE PADDLE X 25</t>
  </si>
  <si>
    <t>005136</t>
  </si>
  <si>
    <t>IMPERMEABILIZANTE PARA FRENTES PLAVICON MATE AZUL X  1,250</t>
  </si>
  <si>
    <t>005137</t>
  </si>
  <si>
    <t>IMPERMEABILIZANTE PARA FRENTES PLAVICON MATE AZUL X  5</t>
  </si>
  <si>
    <t>005138</t>
  </si>
  <si>
    <t>IMPERMEABILIZANTE PARA FRENTES PLAVICON MATE AZUL X 12</t>
  </si>
  <si>
    <t>005139</t>
  </si>
  <si>
    <t>IMPERMEABILIZANTE PARA FRENTES PLAVICON MATE AZUL X 25</t>
  </si>
  <si>
    <t>005140</t>
  </si>
  <si>
    <t>IMPERMEABILIZANTE PARA FRENTES PLAVICON MATE TABACO X  1,250</t>
  </si>
  <si>
    <t>005141</t>
  </si>
  <si>
    <t>IMPERMEABILIZANTE PARA FRENTES PLAVICON MATE TABACO X  5</t>
  </si>
  <si>
    <t>005142</t>
  </si>
  <si>
    <t>IMPERMEABILIZANTE PARA FRENTES PLAVICON MATE TABACO X 12</t>
  </si>
  <si>
    <t>005143</t>
  </si>
  <si>
    <t>IMPERMEABILIZANTE PARA FRENTES PLAVICON MATE TABACO X 25</t>
  </si>
  <si>
    <t>005144</t>
  </si>
  <si>
    <t>FONDO ANTIOXIDO TERSUAVE MATE VERDE X  0,250</t>
  </si>
  <si>
    <t>005145</t>
  </si>
  <si>
    <t>LATEX INTERIOR PLAVICON HABITAT LISTO PARA USAR MATE CASSIS X 1</t>
  </si>
  <si>
    <t>005146</t>
  </si>
  <si>
    <t>LATEX INTERIOR PLAVICON HABITAT LISTO PARA USAR MATE CASSIS X 4</t>
  </si>
  <si>
    <t>005147</t>
  </si>
  <si>
    <t>LATEX INTERIOR PLAVICON HABITAT LISTO PARA USAR MATE CORAL X 1</t>
  </si>
  <si>
    <t>005148</t>
  </si>
  <si>
    <t>LATEX INTERIOR PLAVICON HABITAT LISTO PARA USAR MATE CORAL X 4</t>
  </si>
  <si>
    <t>005149</t>
  </si>
  <si>
    <t>LATEX INTERIOR PLAVICON HABITAT LISTO PARA USAR MATE CURACAO X 1</t>
  </si>
  <si>
    <t>005150</t>
  </si>
  <si>
    <t>LATEX INTERIOR PLAVICON HABITAT LISTO PARA USAR MATE CURACAO X 4</t>
  </si>
  <si>
    <t>005151</t>
  </si>
  <si>
    <t>LATEX INTERIOR PLAVICON HABITAT LISTO PARA USAR MATE DAMASCO X 1</t>
  </si>
  <si>
    <t>005152</t>
  </si>
  <si>
    <t>LATEX INTERIOR PLAVICON HABITAT LISTO PARA USAR MATE DAMASCO X 4</t>
  </si>
  <si>
    <t>005153</t>
  </si>
  <si>
    <t>LATEX INTERIOR PLAVICON HABITAT LISTO PARA USAR MATE ESMERALDA X 1</t>
  </si>
  <si>
    <t>005154</t>
  </si>
  <si>
    <t>LATEX INTERIOR PLAVICON HABITAT LISTO PARA USAR MATE ESMERALDA X 4</t>
  </si>
  <si>
    <t>005155</t>
  </si>
  <si>
    <t>LATEX INTERIOR PLAVICON HABITAT LISTO PARA USAR MATE FRAMBUESA X 1</t>
  </si>
  <si>
    <t>005156</t>
  </si>
  <si>
    <t>LATEX INTERIOR PLAVICON HABITAT LISTO PARA USAR MATE FRAMBUESA X 4</t>
  </si>
  <si>
    <t>005157</t>
  </si>
  <si>
    <t>LATEX INTERIOR PLAVICON HABITAT LISTO PARA USAR MATE GRANADA X 1</t>
  </si>
  <si>
    <t>005158</t>
  </si>
  <si>
    <t>LATEX INTERIOR PLAVICON HABITAT LISTO PARA USAR MATE GRANADA X 4</t>
  </si>
  <si>
    <t>005159</t>
  </si>
  <si>
    <t>LATEX INTERIOR PLAVICON HABITAT LISTO PARA USAR MATE MELON X 1</t>
  </si>
  <si>
    <t>005160</t>
  </si>
  <si>
    <t>LATEX INTERIOR PLAVICON HABITAT LISTO PARA USAR MATE MELON X 4</t>
  </si>
  <si>
    <t>005161</t>
  </si>
  <si>
    <t>LATEX INTERIOR PLAVICON HABITAT LISTO PARA USAR MATE MENTA X 1</t>
  </si>
  <si>
    <t>005162</t>
  </si>
  <si>
    <t>LATEX INTERIOR PLAVICON HABITAT LISTO PARA USAR MATE MENTA X 4</t>
  </si>
  <si>
    <t>005163</t>
  </si>
  <si>
    <t>LATEX INTERIOR PLAVICON HABITAT LISTO PARA USAR MATE MOSTAZA X 1</t>
  </si>
  <si>
    <t>005164</t>
  </si>
  <si>
    <t>LATEX INTERIOR PLAVICON HABITAT LISTO PARA USAR MATE MOSTAZA X 4</t>
  </si>
  <si>
    <t>005165</t>
  </si>
  <si>
    <t>LATEX INTERIOR PLAVICON HABITAT LISTO PARA USAR MATE PAPAYA X 1</t>
  </si>
  <si>
    <t>005166</t>
  </si>
  <si>
    <t>LATEX INTERIOR PLAVICON HABITAT LISTO PARA USAR MATE PAPAYA X 4</t>
  </si>
  <si>
    <t>005167</t>
  </si>
  <si>
    <t>LATEX INTERIOR PLAVICON HABITAT LISTO PARA USAR MATE PINO X 1</t>
  </si>
  <si>
    <t>005168</t>
  </si>
  <si>
    <t>LATEX INTERIOR PLAVICON HABITAT LISTO PARA USAR MATE PINO X 4</t>
  </si>
  <si>
    <t>005169</t>
  </si>
  <si>
    <t>LATEX INTERIOR PLAVICON HABITAT LISTO PARA USAR MATE PIZARRA X 1</t>
  </si>
  <si>
    <t>005170</t>
  </si>
  <si>
    <t>LATEX INTERIOR PLAVICON HABITAT LISTO PARA USAR MATE PIZARRA X 4</t>
  </si>
  <si>
    <t>005171</t>
  </si>
  <si>
    <t>COMPSUG5 COL.PLATA ESCUNA GM/CH X 0,125</t>
  </si>
  <si>
    <t>005172</t>
  </si>
  <si>
    <t>AEROSOL RUST-OLEUM MP COMPUESTO GALVANIZADO GRIS X 0,454(272126)</t>
  </si>
  <si>
    <t>005173</t>
  </si>
  <si>
    <t>EPOXI MASTIC INTERSEAL 670 HS GRIS X  3,600</t>
  </si>
  <si>
    <t>005174</t>
  </si>
  <si>
    <t>EPOXI MASTIC INTERSEAL 670 HS GRIS X 20</t>
  </si>
  <si>
    <t>005175</t>
  </si>
  <si>
    <t>COMPSUG4 COL.PLATA POLARIS GM X 125</t>
  </si>
  <si>
    <t>005176</t>
  </si>
  <si>
    <t>CEILCOTE 242 FLAKELINE CINZA X 19,64(110NCA00918)</t>
  </si>
  <si>
    <t>005177</t>
  </si>
  <si>
    <t>CEILCOTE #2 HARDENER PART. B X 0,36(110NCA00204)</t>
  </si>
  <si>
    <t>005178</t>
  </si>
  <si>
    <t>CEILCOTE 380 PRIMER PART. A X 19,64(110NCA06118)</t>
  </si>
  <si>
    <t>005179</t>
  </si>
  <si>
    <t>ALBAMIX ANTICORROSIVO POLIURETANO PRIMER GREY X 20(5355655)</t>
  </si>
  <si>
    <t>005180</t>
  </si>
  <si>
    <t>ESMALTE POLIURETANO ACRILICO ALBAMIX FULL WHITE X  3,7</t>
  </si>
  <si>
    <t>005181</t>
  </si>
  <si>
    <t>COMPSUG1 COL.BRANCO MAHLER GM X 0,125</t>
  </si>
  <si>
    <t>005182</t>
  </si>
  <si>
    <t>LATEX PARA CIELORRASOS ALBA ESTANDAR MATE BLANCO X  1</t>
  </si>
  <si>
    <t>005183</t>
  </si>
  <si>
    <t>LATEX PARA CIELORRASOS ALBA ESTANDAR MATE BLANCO X  4</t>
  </si>
  <si>
    <t>005184</t>
  </si>
  <si>
    <t>LATEX PARA CIELORRASOS ALBA ESTANDAR MATE BLANCO X 10</t>
  </si>
  <si>
    <t>005185</t>
  </si>
  <si>
    <t>LATEX PARA CIELORRASOS ALBA ESTANDAR MATE BLANCO X 20</t>
  </si>
  <si>
    <t>005186</t>
  </si>
  <si>
    <t>CONVERTIDOR P/ POLIURETANO 4585006/45701XX ALBAMIX X 1(5188812)</t>
  </si>
  <si>
    <t>005187</t>
  </si>
  <si>
    <t>ESMALTE ALTA TEMPERATURA BROCHABLE RUST OLEUM NEGRO MATE  X 0,946(322633)</t>
  </si>
  <si>
    <t>005188</t>
  </si>
  <si>
    <t>RODILLO LUMAR SIMIL LANA PARA LATEX BLANCO 50/10(1200/A)</t>
  </si>
  <si>
    <t>005189</t>
  </si>
  <si>
    <t>RODILLO LUMAR SIMIL LANA PARA LATEX BLANCO 50/17(1200/B)</t>
  </si>
  <si>
    <t>005190</t>
  </si>
  <si>
    <t>RODILLO LUMAR SIMIL LANA PARA LATEX BLANCO 50/22(1200/C)</t>
  </si>
  <si>
    <t>005191</t>
  </si>
  <si>
    <t>REPUESTO LUMAR SIMIL LANA PARA LATEX BLANCO 50/10(1205/A)</t>
  </si>
  <si>
    <t>005192</t>
  </si>
  <si>
    <t>REPUESTO LUMAR SIMIL LANA PARA LATEX BLANCO 50/17(1205/B)</t>
  </si>
  <si>
    <t>005193</t>
  </si>
  <si>
    <t>REPUESTO LUMAR SIMIL LANA PARA LATEX BLANCO 50/22(1205/C)</t>
  </si>
  <si>
    <t>005194</t>
  </si>
  <si>
    <t>FIELTRO TENSADO POLIPROPILENO ISOVER BLANCO 1,20X14X50</t>
  </si>
  <si>
    <t>005195</t>
  </si>
  <si>
    <t>FIELTRO TENSADO POLIPROPILENO ISOVER BLANCO 1,20X9X80</t>
  </si>
  <si>
    <t>005196</t>
  </si>
  <si>
    <t>FIELTRO TENSADO POLIPROPILENO ISOVER BLANCO 1,20X7X100</t>
  </si>
  <si>
    <t>005197</t>
  </si>
  <si>
    <t>FIELTRO TENSADO POLIPROPILENO ISOVER BLANCO 1,20X5X125</t>
  </si>
  <si>
    <t>005198</t>
  </si>
  <si>
    <t>FIELTRO TENSADO POLIPROPILENO ISOVER BLANCO 1,20X5X150</t>
  </si>
  <si>
    <t>005199</t>
  </si>
  <si>
    <t>FONDO ANTIOXIDO TERSUAVE MATE ROJO X  0,250</t>
  </si>
  <si>
    <t>005200</t>
  </si>
  <si>
    <t>MEZCLA DE ASIENTO WEBERMUR MANGA GRIS X 25</t>
  </si>
  <si>
    <t>005201</t>
  </si>
  <si>
    <t>ESMALTE ALTA TEMPERATURA BROCHABLE RUST OLEUM NEGRO MATE  X 3,785(233967)</t>
  </si>
  <si>
    <t>005202</t>
  </si>
  <si>
    <t>DILUYENTE INTERNATIONAL GTA 713LS P/POLIURETANO X  4</t>
  </si>
  <si>
    <t>005203</t>
  </si>
  <si>
    <t>DILUYENTE INTERNATIONAL GTA 713LS P/POLIURETANO X 20</t>
  </si>
  <si>
    <t>005204</t>
  </si>
  <si>
    <t>PEGAMENTO MAX.ADHER.PIEZAS H.80X120 WEBER SUPERFLEX GRIS X 25</t>
  </si>
  <si>
    <t>005205</t>
  </si>
  <si>
    <t>ESMALTE SINTETICO TERSILUX FERROMICACEO MATE GRAFITO X 1</t>
  </si>
  <si>
    <t>005206</t>
  </si>
  <si>
    <t>ESMALTE SINTETICO TERSILUX FERROMICACEO MATE GRAFITO X 4</t>
  </si>
  <si>
    <t>005207</t>
  </si>
  <si>
    <t>ESMALTE SINTETICO TERSILUX FERROMICACEO MATE PLATA X 1</t>
  </si>
  <si>
    <t>005208</t>
  </si>
  <si>
    <t>ESMALTE SINTETICO TERSILUX FERROMICACEO MATE PLATA X 4</t>
  </si>
  <si>
    <t>005209</t>
  </si>
  <si>
    <t>D8238/E1 CATALIZADOR P/ D8115/D8117/D8501/D8507(DP4000) X 1</t>
  </si>
  <si>
    <t>005210</t>
  </si>
  <si>
    <t>LLANA OVALADA PARA ESTUCADO 12X30(LYOV2-30)</t>
  </si>
  <si>
    <t>005211</t>
  </si>
  <si>
    <t>FONDO ANTIOXIDO TERSUAVE MATE MARFIL X  0,500</t>
  </si>
  <si>
    <t>005212</t>
  </si>
  <si>
    <t>DC3000.04 BARNIZ RAPIDO DE ALTO SOLIDO X 0,720</t>
  </si>
  <si>
    <t>005213</t>
  </si>
  <si>
    <t>DC3000FYL BARNIZ RAPIDO DE ALTO SOLIDO X 3,785</t>
  </si>
  <si>
    <t>005214</t>
  </si>
  <si>
    <t>NIVELADOR BAJO SOLADO WEBER CARPETA CON CERESITA X 30KG</t>
  </si>
  <si>
    <t>005215</t>
  </si>
  <si>
    <t>FONDO ANTIOXIDO TERSUAVE MATE NEGRO X  0,500</t>
  </si>
  <si>
    <t>005216</t>
  </si>
  <si>
    <t>ANCLAJE CEMENTICIO ALTA RESISTENCIA WEBER GROUT GRIS X 30KG</t>
  </si>
  <si>
    <t>005217</t>
  </si>
  <si>
    <t>ENDURECEDOR PARA PISO WEBER PRINT XC  NATURAL X 30</t>
  </si>
  <si>
    <t>005218</t>
  </si>
  <si>
    <t>ENDURECEDOR PARA PISO WEBER PRINT XC ARENA X 30</t>
  </si>
  <si>
    <t>005219</t>
  </si>
  <si>
    <t>ENDURECEDOR PARA PISO WEBER PRINT XC BLANCO X 30</t>
  </si>
  <si>
    <t>005220</t>
  </si>
  <si>
    <t>ENDURECEDOR PARA PISO WEBER PRINT XC GRIS CLARO X 30</t>
  </si>
  <si>
    <t>005221</t>
  </si>
  <si>
    <t>ENDURECEDOR PARA PISO WEBER PRINT XC GRIS OSCURO X 30</t>
  </si>
  <si>
    <t>005222</t>
  </si>
  <si>
    <t>ENDURECEDOR PARA PISO WEBER PRINT XC TERRA X 30</t>
  </si>
  <si>
    <t>005223</t>
  </si>
  <si>
    <t>ENDURECEDOR PARA PISO WEBER PRINT XC TERRACOTA X 30</t>
  </si>
  <si>
    <t>005224</t>
  </si>
  <si>
    <t>ENDURECEDOR PARA PISO WEBER PRINT XC TITANIO X 30</t>
  </si>
  <si>
    <t>005225</t>
  </si>
  <si>
    <t>ENDURECEDOR PARA PISO WEBER PRINT XC VERDE CONCRETO X 30</t>
  </si>
  <si>
    <t>005226</t>
  </si>
  <si>
    <t>LACA NITROCELULOSICA COLVINIL BRILLANTE X  0,900</t>
  </si>
  <si>
    <t>005227</t>
  </si>
  <si>
    <t>FONDO ANTIOXIDO TERSUAVE MATE GRIS X  0,500</t>
  </si>
  <si>
    <t>005228</t>
  </si>
  <si>
    <t>LACA NITROCELULOSICA COLVINIL BRILLANTE X  3,600</t>
  </si>
  <si>
    <t>005229</t>
  </si>
  <si>
    <t>LACA NITROCELULOSICA COLVINIL BRILLANTE X 18</t>
  </si>
  <si>
    <t>005230</t>
  </si>
  <si>
    <t>MASILLA PARA MADERA COLVINIL ALGARROBO X 0,700</t>
  </si>
  <si>
    <t>005231</t>
  </si>
  <si>
    <t>MASILLA PARA MADERA COLVINIL CAOBA X 0,700</t>
  </si>
  <si>
    <t>005232</t>
  </si>
  <si>
    <t>MASILLA PARA MADERA COLVINIL CEDRO X 0,700</t>
  </si>
  <si>
    <t>005233</t>
  </si>
  <si>
    <t>MASILLA PARA MADERA COLVINIL NATURAL X 0,700</t>
  </si>
  <si>
    <t>005234</t>
  </si>
  <si>
    <t>MASILLA PARA MADERA COLVINIL ROBLE X 0,700</t>
  </si>
  <si>
    <t>005235</t>
  </si>
  <si>
    <t>MASILLA PARA MADERA COLVINIL ALGARROBO X 6</t>
  </si>
  <si>
    <t>005236</t>
  </si>
  <si>
    <t>MASILLA PARA MADERA COLVINIL CAOBA X 6</t>
  </si>
  <si>
    <t>005237</t>
  </si>
  <si>
    <t>MASILLA PARA MADERA COLVINIL CEDRO X 6</t>
  </si>
  <si>
    <t>005238</t>
  </si>
  <si>
    <t>MASILLA PARA MADERA COLVINIL NATURAL X 6</t>
  </si>
  <si>
    <t>005239</t>
  </si>
  <si>
    <t>MASILLA PARA MADERA COLVINIL ROBLE X 6</t>
  </si>
  <si>
    <t>005240</t>
  </si>
  <si>
    <t>DEMARCACION VIAL ALTO TRANSITO PISOACRIL BLANCO X  1</t>
  </si>
  <si>
    <t>005241</t>
  </si>
  <si>
    <t>DEMARCACION VIAL ALTO TRANSITO PISOACRIL BLANCO X  4</t>
  </si>
  <si>
    <t>005242</t>
  </si>
  <si>
    <t>INTERTHANE 990 BASE BLANCA X  3,53(5189324)</t>
  </si>
  <si>
    <t>005243</t>
  </si>
  <si>
    <t>INTERTHANE 990 BASE BLANCA X 19,63(5189323)</t>
  </si>
  <si>
    <t>005244</t>
  </si>
  <si>
    <t>FONDO ANTIOXIDO TERSUAVE MATE VERDE X  0,500</t>
  </si>
  <si>
    <t>005245</t>
  </si>
  <si>
    <t>ESMALTE EPOXI PLAVICON PISOACRIL BLANCO X  1</t>
  </si>
  <si>
    <t>005246</t>
  </si>
  <si>
    <t>ESMALTE EPOXI PLAVICON PISOACRIL BLANCO X  4</t>
  </si>
  <si>
    <t>005247</t>
  </si>
  <si>
    <t>ESMALTE EPOXI PLAVICON PISOACRIL BLANCO X 16</t>
  </si>
  <si>
    <t>005248</t>
  </si>
  <si>
    <t>ESMALTE EPOXI PLAVICON PISOACRIL GRIS AZULADO X  1</t>
  </si>
  <si>
    <t>005249</t>
  </si>
  <si>
    <t>ESMALTE EPOXI PLAVICON PISOACRIL GRIS AZULADO X  4</t>
  </si>
  <si>
    <t>005250</t>
  </si>
  <si>
    <t>ESMALTE EPOXI PLAVICON PISOACRIL GRIS AZULADO X 16</t>
  </si>
  <si>
    <t>005251</t>
  </si>
  <si>
    <t>ESMALTE EPOXI PLAVICON PISOACRIL GRIS PLATA X  1</t>
  </si>
  <si>
    <t>005252</t>
  </si>
  <si>
    <t>ESMALTE EPOXI PLAVICON PISOACRIL GRIS PLATA X  4</t>
  </si>
  <si>
    <t>005253</t>
  </si>
  <si>
    <t>ESMALTE EPOXI PLAVICON PISOACRIL GRIS PLATA X 16</t>
  </si>
  <si>
    <t>005254</t>
  </si>
  <si>
    <t>ESMALTE EPOXI PLAVICON PISOACRIL NEGRO X  1</t>
  </si>
  <si>
    <t>005255</t>
  </si>
  <si>
    <t>ESMALTE EPOXI PLAVICON PISOACRIL NEGRO X  4</t>
  </si>
  <si>
    <t>005256</t>
  </si>
  <si>
    <t>ESMALTE EPOXI PLAVICON PISOACRIL NEGRO X 16</t>
  </si>
  <si>
    <t>005257</t>
  </si>
  <si>
    <t>ESMALTE EPOXI PLAVICON PISOACRIL AMARILLO X  1</t>
  </si>
  <si>
    <t>005258</t>
  </si>
  <si>
    <t>ESMALTE EPOXI PLAVICON PISOACRIL AMARILLO X  4</t>
  </si>
  <si>
    <t>005259</t>
  </si>
  <si>
    <t>ESMALTE EPOXI PLAVICON PISOACRIL AMARILLO X 16</t>
  </si>
  <si>
    <t>005260</t>
  </si>
  <si>
    <t>ESMALTE EPOXI PLAVICON PISOACRIL VERDE INGLES X  1</t>
  </si>
  <si>
    <t>005261</t>
  </si>
  <si>
    <t>ESMALTE EPOXI PLAVICON PISOACRIL VERDE INGLES X  4</t>
  </si>
  <si>
    <t>005262</t>
  </si>
  <si>
    <t>ESMALTE EPOXI PLAVICON PISOACRIL VERDE INGLES X 16</t>
  </si>
  <si>
    <t>005263</t>
  </si>
  <si>
    <t>ESMALTE EPOXI PLAVICON PISOACRIL ROJO OXIDO X  1</t>
  </si>
  <si>
    <t>005264</t>
  </si>
  <si>
    <t>ESMALTE EPOXI PLAVICON PISOACRIL ROJO OXIDO X  4</t>
  </si>
  <si>
    <t>005265</t>
  </si>
  <si>
    <t>ESMALTE EPOXI PLAVICON PISOACRIL ROJO OXIDO X 16</t>
  </si>
  <si>
    <t>005266</t>
  </si>
  <si>
    <t>ESMALTE EPOXI PLAVICON PISOACRIL CLEAR X  1</t>
  </si>
  <si>
    <t>005267</t>
  </si>
  <si>
    <t>ESMALTE EPOXI PLAVICON PISOACRIL CLEAR X  4</t>
  </si>
  <si>
    <t>005268</t>
  </si>
  <si>
    <t>ESMALTE EPOXI PLAVICON PISOACRIL CLEAR X 16</t>
  </si>
  <si>
    <t>005269</t>
  </si>
  <si>
    <t>REPUESTO ROSARPIN RODILLO T40 PELO CORTO 10 CM</t>
  </si>
  <si>
    <t>005270</t>
  </si>
  <si>
    <t>REPUESTO ROSARPIN RODILLO T40 PELO CORTO 18 CM</t>
  </si>
  <si>
    <t>005271</t>
  </si>
  <si>
    <t>REPUESTO ROSARPIN RODILLO T40 PELO CORTO 22 CM</t>
  </si>
  <si>
    <t>005272</t>
  </si>
  <si>
    <t>PERFUME PARA EL AUTOMOTOR LIBELLE COCO Y ALGODON X 0,125</t>
  </si>
  <si>
    <t>005273</t>
  </si>
  <si>
    <t>PERFUME PARA EL AUTOMOTOR LIBELLE CEDRO Y SANDALO X 0,125</t>
  </si>
  <si>
    <t>005274</t>
  </si>
  <si>
    <t>PERFUME PARA EL AUTOMOTOR LIBELLE TABACO Y BAMBU X 0,125</t>
  </si>
  <si>
    <t>005275</t>
  </si>
  <si>
    <t>PERFUME PARA EL AUTOMOTOR LIBELLE SANDALO INTENSO X 0,125</t>
  </si>
  <si>
    <t>005276</t>
  </si>
  <si>
    <t>PERFUME PARA EL AUTOMOTOR LIBELLE MADERA Y FLORES  X 0,125</t>
  </si>
  <si>
    <t>005277</t>
  </si>
  <si>
    <t>PERFUME PARA EL AUTOMOTOR LIBELLE TE VERDE Y PEPINO X 0,125</t>
  </si>
  <si>
    <t>005278</t>
  </si>
  <si>
    <t>PERFUME PARA EL AUTOMOTOR LIBELLE COCO Y MARACUYA X 0,125</t>
  </si>
  <si>
    <t>005279</t>
  </si>
  <si>
    <t>PERFUME PARA EL AUTOMOTOR LIBELLE AMBAR FLORAL X 0,125</t>
  </si>
  <si>
    <t>005280</t>
  </si>
  <si>
    <t>PERFUME PARA EL AUTOMOTOR LIBELLE CITRICOS Y ALMENDRAS X 0,125</t>
  </si>
  <si>
    <t>005281</t>
  </si>
  <si>
    <t>PERFUME PARA EL AUTOMOTOR LIBELLE POMELO Y MELON X 0,125</t>
  </si>
  <si>
    <t>005282</t>
  </si>
  <si>
    <t>PERFUME PARA EL AUTOMOTOR LIBELLE CUERO X 0,125</t>
  </si>
  <si>
    <t>005283</t>
  </si>
  <si>
    <t>DEMARCACION VIAL ALTO TRANSITO PISOACRIL BLANCO X 20</t>
  </si>
  <si>
    <t>005284</t>
  </si>
  <si>
    <t>DEMARCACION VIAL ALTO TRANSITO PISOACRIL NEGRO X  1</t>
  </si>
  <si>
    <t>005285</t>
  </si>
  <si>
    <t>DEMARCACION VIAL ALTO TRANSITO PISOACRIL NEGRO X  4</t>
  </si>
  <si>
    <t>005286</t>
  </si>
  <si>
    <t>DEMARCACION VIAL ALTO TRANSITO PISOACRIL NEGRO X 20</t>
  </si>
  <si>
    <t>005287</t>
  </si>
  <si>
    <t>DEMARCACION VIAL ALTO TRANSITO PISOACRIL ROJO X  1</t>
  </si>
  <si>
    <t>005288</t>
  </si>
  <si>
    <t>DEMARCACION VIAL ALTO TRANSITO PISOACRIL ROJO X  4</t>
  </si>
  <si>
    <t>005289</t>
  </si>
  <si>
    <t>DEMARCACION VIAL ALTO TRANSITO PISOACRIL ROJO X 20</t>
  </si>
  <si>
    <t>005290</t>
  </si>
  <si>
    <t>DEMARCACION VIAL ALTO TRANSITO PISOACRIL VERDE X  1</t>
  </si>
  <si>
    <t>005291</t>
  </si>
  <si>
    <t>DEMARCACION VIAL ALTO TRANSITO PISOACRIL VERDE X  4</t>
  </si>
  <si>
    <t>005292</t>
  </si>
  <si>
    <t>DEMARCACION VIAL ALTO TRANSITO PISOACRIL VERDE X 20</t>
  </si>
  <si>
    <t>005293</t>
  </si>
  <si>
    <t>DEMARCACION VIAL ALTO TRANSITO PISOACRIL GRIS X  1</t>
  </si>
  <si>
    <t>005294</t>
  </si>
  <si>
    <t>DEMARCACION VIAL ALTO TRANSITO PISOACRIL GRIS X  4</t>
  </si>
  <si>
    <t>005295</t>
  </si>
  <si>
    <t>DEMARCACION VIAL ALTO TRANSITO PISOACRIL GRIS X 20</t>
  </si>
  <si>
    <t>005296</t>
  </si>
  <si>
    <t>DEMARCACION VIAL ALTO TRANSITO PISOACRIL AMARILLO X  1</t>
  </si>
  <si>
    <t>005297</t>
  </si>
  <si>
    <t>DEMARCACION VIAL ALTO TRANSITO PISOACRIL AMARILLO X  4</t>
  </si>
  <si>
    <t>005298</t>
  </si>
  <si>
    <t>DEMARCACION VIAL ALTO TRANSITO PISOACRIL AMARILLO X 20</t>
  </si>
  <si>
    <t>005299</t>
  </si>
  <si>
    <t>FONDO ANTIOXIDO TERSUAVE MATE ROJO X  0,500</t>
  </si>
  <si>
    <t>005300</t>
  </si>
  <si>
    <t>MINI DIFUSOR LIBELLE CUERO X 10ML</t>
  </si>
  <si>
    <t>005301</t>
  </si>
  <si>
    <t>MINI DIFUSOR LIBELLE POMELO Y MELON X 10ML</t>
  </si>
  <si>
    <t>005302</t>
  </si>
  <si>
    <t>MINI DIFUSOR LIBELLE CITRICOS Y ALMENDRAS X 10ML</t>
  </si>
  <si>
    <t>005303</t>
  </si>
  <si>
    <t>MINI DIFUSOR LIBELLE AMBAR FLORAL X 10ML</t>
  </si>
  <si>
    <t>005304</t>
  </si>
  <si>
    <t>MINI DIFUSOR LIBELLE COCO Y MARACUYA X 10ML</t>
  </si>
  <si>
    <t>005305</t>
  </si>
  <si>
    <t>MINI DIFUSOR LIBELLE TE VERDE Y PEPINO X 10ML</t>
  </si>
  <si>
    <t>005306</t>
  </si>
  <si>
    <t>MINI DIFUSOR LIBELLE MADERA Y FLORES X 10ML</t>
  </si>
  <si>
    <t>005307</t>
  </si>
  <si>
    <t>MINI DIFUSOR LIBELLE SANDALO INTENSO X 10ML</t>
  </si>
  <si>
    <t>005308</t>
  </si>
  <si>
    <t>MINI DIFUSOR LIBELLE TABACO Y BAMBU X 10ML</t>
  </si>
  <si>
    <t>005309</t>
  </si>
  <si>
    <t>MINI DIFUSOR LIBELLE CEDRO Y SANDALO X 10ML</t>
  </si>
  <si>
    <t>005310</t>
  </si>
  <si>
    <t>MINI DIFUSOR LIBELLE COCO Y ALGODON X 10ML</t>
  </si>
  <si>
    <t>005311</t>
  </si>
  <si>
    <t>FONDO ANTIOXIDO TERSUAVE MATE MARFIL X  1</t>
  </si>
  <si>
    <t>005312</t>
  </si>
  <si>
    <t>ESMALTE SINTETICO TERSUAVE SATINADO BASE W X  0,900</t>
  </si>
  <si>
    <t>005313</t>
  </si>
  <si>
    <t>ESMALTE SINTETICO TERSUAVE SATINADO BASE W X  3,600</t>
  </si>
  <si>
    <t>005314</t>
  </si>
  <si>
    <t>ESMALTE SINTETICO TERSUAVE SATINADO BASE W X 18,000</t>
  </si>
  <si>
    <t>005315</t>
  </si>
  <si>
    <t>FONDO ANTIOXIDO TERSUAVE MATE NEGRO X  1</t>
  </si>
  <si>
    <t>005316</t>
  </si>
  <si>
    <t>MUESTRA LIBELLE CUERO X 0,30</t>
  </si>
  <si>
    <t>005317</t>
  </si>
  <si>
    <t>MUESTRA LIBELLE POMELO Y MELON X 0,30</t>
  </si>
  <si>
    <t>005318</t>
  </si>
  <si>
    <t>MUESTRA LIBELLE CITRICOS Y ALMENDRAS X 0,30</t>
  </si>
  <si>
    <t>005319</t>
  </si>
  <si>
    <t>MUESTRA LIBELLE AMBAR FLORAL X 0,30</t>
  </si>
  <si>
    <t>005320</t>
  </si>
  <si>
    <t>MUESTRA LIBELLE COCO Y MARACUYA X 0,30</t>
  </si>
  <si>
    <t>005321</t>
  </si>
  <si>
    <t>MUESTRA LIBELLE TE VERDE Y PEPINO X 0,30</t>
  </si>
  <si>
    <t>005322</t>
  </si>
  <si>
    <t>MUESTRA LIBELLE MADERA Y FLORES X 0,30</t>
  </si>
  <si>
    <t>005323</t>
  </si>
  <si>
    <t>MUESTRA LIBELLE SANDALO INTENSO X 0,30</t>
  </si>
  <si>
    <t>005324</t>
  </si>
  <si>
    <t>MUESTRA LIBELLE TABACO Y BAMBU X 0,30</t>
  </si>
  <si>
    <t>005325</t>
  </si>
  <si>
    <t>MUESTRA LIBELLE CEDRO Y SANDALO X 0,30</t>
  </si>
  <si>
    <t>005326</t>
  </si>
  <si>
    <t>MUESTRA LIBELLE COCO Y ALGODON X 0,30</t>
  </si>
  <si>
    <t>005327</t>
  </si>
  <si>
    <t>FONDO ANTIOXIDO TERSUAVE MATE GRIS X  1</t>
  </si>
  <si>
    <t>005328</t>
  </si>
  <si>
    <t>REVESTIMIENTO CEMENTICIO BASE COAT X 25</t>
  </si>
  <si>
    <t>005329</t>
  </si>
  <si>
    <t>HP EPOXI 9100 MASTIC AMARILLO SEGURIDAD X 3,785 (357492/9144402)</t>
  </si>
  <si>
    <t>005330</t>
  </si>
  <si>
    <t>HP EPOXI 9100 MASTIC GRIS NAVAL X 3,785 (357488)</t>
  </si>
  <si>
    <t>005331</t>
  </si>
  <si>
    <t>T030-9400 AZUL ORIENTE 498 FIAT</t>
  </si>
  <si>
    <t>005332</t>
  </si>
  <si>
    <t>ESMALTE POLIURETANO FAST-GUARD VANGUARD  TRANSPARENTE X  3</t>
  </si>
  <si>
    <t>005333</t>
  </si>
  <si>
    <t>ESMALTE POLIURETANO FAST-GUARD VANGUARD  TRANSPARENTE X 15</t>
  </si>
  <si>
    <t>005334</t>
  </si>
  <si>
    <t>ESMALTE POLIURETANO FAST-GUARD VANGUARD  BLANCO X  3,7</t>
  </si>
  <si>
    <t>005335</t>
  </si>
  <si>
    <t>ESMALTE POLIURETANO FAST-GUARD VANGUARD  BLANCO X 18,5</t>
  </si>
  <si>
    <t>005336</t>
  </si>
  <si>
    <t>ESMALTE POLIURETANO ALTO BRILLO VANGUARD  TRANSPARENTE X  3,2</t>
  </si>
  <si>
    <t>005337</t>
  </si>
  <si>
    <t>ESMALTE POLIURETANO ALTO BRILLO VANGUARD  TRANSPARENTE X 16</t>
  </si>
  <si>
    <t>005338</t>
  </si>
  <si>
    <t>ESMALTE POLIURETANO ALTO BRILLO VANGUARD  BLANCO X  3,2</t>
  </si>
  <si>
    <t>005339</t>
  </si>
  <si>
    <t>ESMALTE POLIURETANO ALTO BRILLO VANGUARD  BLANCO X 16</t>
  </si>
  <si>
    <t>005340</t>
  </si>
  <si>
    <t>CONVERTIDOR PARA POLIURETANO VANGUARD X  0,800</t>
  </si>
  <si>
    <t>005341</t>
  </si>
  <si>
    <t>CONVERTIDOR PARA POLIURETANO VANGUARD X  1</t>
  </si>
  <si>
    <t>005342</t>
  </si>
  <si>
    <t>CONVERTIDOR PARA POLIURETANO VANGUARD X  4</t>
  </si>
  <si>
    <t>005343</t>
  </si>
  <si>
    <t>CONVERTIDOR PARA POLIURETANO VANGUARD X 20</t>
  </si>
  <si>
    <t>005344</t>
  </si>
  <si>
    <t>FONDO ANTIOXIDO TERSUAVE MATE VERDE X  1</t>
  </si>
  <si>
    <t>005345</t>
  </si>
  <si>
    <t>CONCENTRADO VANGUARD BLANCO X 4</t>
  </si>
  <si>
    <t>005346</t>
  </si>
  <si>
    <t>CONCENTRADO VANGUARD AMARILLO OXIDO X 4</t>
  </si>
  <si>
    <t>005347</t>
  </si>
  <si>
    <t>CONCENTRADO VANGUARD ROJO OXIDO X 4</t>
  </si>
  <si>
    <t>005348</t>
  </si>
  <si>
    <t>CONCENTRADO VANGUARD VERDE FTALO X 4</t>
  </si>
  <si>
    <t>005349</t>
  </si>
  <si>
    <t>CONCENTRADO VANGUARD NEGRO X 4</t>
  </si>
  <si>
    <t>005350</t>
  </si>
  <si>
    <t>CONCENTRADO VANGUARD NEUTRO X 4</t>
  </si>
  <si>
    <t>005351</t>
  </si>
  <si>
    <t>CONCENTRADO VANGUARD AMARILLO MEDIO X 4</t>
  </si>
  <si>
    <t>005352</t>
  </si>
  <si>
    <t>CONCENTRADO VANGUARD ROJO CLARO X 4</t>
  </si>
  <si>
    <t>005353</t>
  </si>
  <si>
    <t>CONCENTRADO VANGUARD AZUL FTALO X 4</t>
  </si>
  <si>
    <t>005354</t>
  </si>
  <si>
    <t>CONCENTRADO VANGUARD ROJO SOLIDO X 4</t>
  </si>
  <si>
    <t>005355</t>
  </si>
  <si>
    <t>CONCENTRADO VANGUARD AMARILLO LIMON X 4</t>
  </si>
  <si>
    <t>005356</t>
  </si>
  <si>
    <t>CONCENTRADO VANGUARD ROJO OSCURO X 4</t>
  </si>
  <si>
    <t>005357</t>
  </si>
  <si>
    <t>CONCENTRADO VANGUARD NARANJA X 4</t>
  </si>
  <si>
    <t>005358</t>
  </si>
  <si>
    <t>CONCENTRADO VANGUARD VIOLETA X 4</t>
  </si>
  <si>
    <t>005359</t>
  </si>
  <si>
    <t>ESMALTE SINTETICO EXTRA RAPIDO VANGUARD ALUMINIO X 20</t>
  </si>
  <si>
    <t>005360</t>
  </si>
  <si>
    <t>DILUYENTE LIVIANO 08 P/ ESM. PU VANGUARD X 20</t>
  </si>
  <si>
    <t>005361</t>
  </si>
  <si>
    <t>SECANTE PARA ESMALTE SINTETICO VANGUARD X 1</t>
  </si>
  <si>
    <t>005362</t>
  </si>
  <si>
    <t>FONDO EPOXI VANGUARD GRIS W/W X  4</t>
  </si>
  <si>
    <t>005363</t>
  </si>
  <si>
    <t>FONDO EPOXI VANGUARD GRIS W/W X 20</t>
  </si>
  <si>
    <t>005364</t>
  </si>
  <si>
    <t>CONVERTIDOR P/ FONDO Y ESMALTE EPOXI VANGUARD X 0,800</t>
  </si>
  <si>
    <t>005365</t>
  </si>
  <si>
    <t>CONVERTIDOR P/ FONDO Y ESMALTE EPOXI VANGUARD X 4</t>
  </si>
  <si>
    <t>005366</t>
  </si>
  <si>
    <t>BROCHA DOBLE TRAGAMUROS 17X7CM(TM717)</t>
  </si>
  <si>
    <t>005367</t>
  </si>
  <si>
    <t>LACA PARA PISO MADERA ROLAC HIDROLACA PETRILAC BRILLANTE X  1</t>
  </si>
  <si>
    <t>005368</t>
  </si>
  <si>
    <t>LACA PARA PISO MADERA ROLAC HIDROLACA PETRILAC BRILLANTE X  5</t>
  </si>
  <si>
    <t>005369</t>
  </si>
  <si>
    <t>LACA PARA PISO MADERA ROLAC HIDROLACA PETRILAC BRILLANTE X 10</t>
  </si>
  <si>
    <t>005370</t>
  </si>
  <si>
    <t>LACA PARA PISO MADERA ROLAC HIDROLACA PETRILAC SATINADA X  1</t>
  </si>
  <si>
    <t>005371</t>
  </si>
  <si>
    <t>LACA PARA PISO MADERA ROLAC HIDROLACA PETRILAC SATINADA X  5</t>
  </si>
  <si>
    <t>005372</t>
  </si>
  <si>
    <t>LACA PARA PISO MADERA ROLAC HIDROLACA PETRILAC SATINADA X 10</t>
  </si>
  <si>
    <t>005373</t>
  </si>
  <si>
    <t>DILUYENTE LIVIANO 08 P/ ESM. PU VANGUARD X  4</t>
  </si>
  <si>
    <t>005374</t>
  </si>
  <si>
    <t>ESMALTE SINTETICO TERSPRAY SECADO RAPIDO BLANCO X 20</t>
  </si>
  <si>
    <t>005375</t>
  </si>
  <si>
    <t>ESMALTE ANTICORROSIVO FERROXIN BASE PLATA X 1</t>
  </si>
  <si>
    <t>005376</t>
  </si>
  <si>
    <t>ESMALTE ANTICORROSIVO FERROXIN BASE PLATA X 4</t>
  </si>
  <si>
    <t>005377</t>
  </si>
  <si>
    <t>ESMALTE SINTETICO PROFESIONAL PLAVIPINT BRILLANTE BLANCO X  1</t>
  </si>
  <si>
    <t>005378</t>
  </si>
  <si>
    <t>ESMALTE SINTETICO PROFESIONAL PLAVIPINT BRILLANTE BLANCO X  4</t>
  </si>
  <si>
    <t>005379</t>
  </si>
  <si>
    <t>ESMALTE SINTETICO PROFESIONAL PLAVIPINT BRILLANTE BLANCO X 20</t>
  </si>
  <si>
    <t>005380</t>
  </si>
  <si>
    <t>ESMALTE SINTETICO PROFESIONAL PLAVIPINT BRILLANTE NEGRO X  1</t>
  </si>
  <si>
    <t>005381</t>
  </si>
  <si>
    <t>ESMALTE SINTETICO PROFESIONAL PLAVIPINT BRILLANTE NEGRO X  4</t>
  </si>
  <si>
    <t>005382</t>
  </si>
  <si>
    <t>ESMALTE SINTETICO PROFESIONAL PLAVIPINT BRILLANTE NEGRO X 20</t>
  </si>
  <si>
    <t>005383</t>
  </si>
  <si>
    <t>LLANA LARGA PARA YESO Y MASILLA  40CM(EI400)</t>
  </si>
  <si>
    <t>005384</t>
  </si>
  <si>
    <t>LLANA LARGA PARA YESO Y MASILLA  60CM(EI600)</t>
  </si>
  <si>
    <t>005385</t>
  </si>
  <si>
    <t>LLANA LARGA PARA YESO Y MASILLA  80CM(EI800)</t>
  </si>
  <si>
    <t>005386</t>
  </si>
  <si>
    <t>LLANA LARGA PARA YESO Y MASILLA 1MT(EI1000)</t>
  </si>
  <si>
    <t>005387</t>
  </si>
  <si>
    <t>RODILLO LUMAR ANTIGOTA 10CM(940/A)</t>
  </si>
  <si>
    <t>005388</t>
  </si>
  <si>
    <t>RODILLO LUMAR ANTIGOTA 17CM(940/B)</t>
  </si>
  <si>
    <t>005389</t>
  </si>
  <si>
    <t>RODILLO LUMAR ANTIGOTA 22CM(940/C)</t>
  </si>
  <si>
    <t>005390</t>
  </si>
  <si>
    <t>RODILLO LUMAR ECOLATEX MARRON PELO CORTO 10CM(3900/A)</t>
  </si>
  <si>
    <t>005391</t>
  </si>
  <si>
    <t>RODILLO LUMAR ECOLATEX MARRON PELO CORTO 17CM(3900/B)</t>
  </si>
  <si>
    <t>005392</t>
  </si>
  <si>
    <t>RODILLO LUMAR ECOLATEX MARRON PELO CORTO 22CM(3900/C)</t>
  </si>
  <si>
    <t>005393</t>
  </si>
  <si>
    <t>MEZCLA ADHESIVA LISTA PARA USAR WEBER PASTA BLANCO HUESO X 7</t>
  </si>
  <si>
    <t>005394</t>
  </si>
  <si>
    <t>MEZCLA ADHESIVA LISTA PARA USAR WEBER PASTA BLANCO HUESO X 25</t>
  </si>
  <si>
    <t>005395</t>
  </si>
  <si>
    <t>IMPERMEABILIZANTE PARA HORMIGON CAPA FINA WEBER IMPER F GRIS CEMENTOS X 25</t>
  </si>
  <si>
    <t>005396</t>
  </si>
  <si>
    <t>ACTIVADOR EPOXY S60 RUST OLEUM X 3,78(248284)</t>
  </si>
  <si>
    <t>005397</t>
  </si>
  <si>
    <t>EPOXY S60 RUST OLEUM BRILLANTE BLANCO X 3,78(248273)</t>
  </si>
  <si>
    <t>005398</t>
  </si>
  <si>
    <t>SELLADOR PISOS WEBER PROTECTOR BASE INCOLORO X 5</t>
  </si>
  <si>
    <t>005399</t>
  </si>
  <si>
    <t>FONDO ANTIOXIDO TERSUAVE MATE ROJO X  1</t>
  </si>
  <si>
    <t>005400</t>
  </si>
  <si>
    <t>CERA PARA PISOS WEBER CERA FINISH BLANCO X 5</t>
  </si>
  <si>
    <t>005401</t>
  </si>
  <si>
    <t>LATEX INTERIOR TERSEN BLANCO X  1</t>
  </si>
  <si>
    <t>005402</t>
  </si>
  <si>
    <t>LATEX INTERIOR/EXTERIOR TERSEN NARANJA X 1</t>
  </si>
  <si>
    <t>005403</t>
  </si>
  <si>
    <t>LATEX INTERIOR/EXTERIOR TERSEN AMARILLO X 1</t>
  </si>
  <si>
    <t>005404</t>
  </si>
  <si>
    <t>LATEX INTERIOR/EXTERIOR TERSEN AZUL X 1</t>
  </si>
  <si>
    <t>005405</t>
  </si>
  <si>
    <t>LATEX INTERIOR/EXTERIOR TERSEN CORAL X 1</t>
  </si>
  <si>
    <t>005406</t>
  </si>
  <si>
    <t>LATEX INTERIOR/EXTERIOR TERSEN ROSA X 1</t>
  </si>
  <si>
    <t>005407</t>
  </si>
  <si>
    <t>LATEX INTERIOR/EXTERIOR TERSEN TURQUESA X 1</t>
  </si>
  <si>
    <t>005408</t>
  </si>
  <si>
    <t>LATEX INTERIOR/EXTERIOR TERSEN VERDE X 1</t>
  </si>
  <si>
    <t>005409</t>
  </si>
  <si>
    <t>LATEX INTERIOR/EXTERIOR TERSEN VIOLETA X 1</t>
  </si>
  <si>
    <t>005410</t>
  </si>
  <si>
    <t>LATEX INTERIOR/EXTERIOR TERSEN ROJO X 1</t>
  </si>
  <si>
    <t>005411</t>
  </si>
  <si>
    <t>ENDUIDO+MASILLA PARA YESO ALBA X  1</t>
  </si>
  <si>
    <t>005412</t>
  </si>
  <si>
    <t>ENDUIDO+MASILLA PARA YESO ALBA X  4</t>
  </si>
  <si>
    <t>005413</t>
  </si>
  <si>
    <t>ENDUIDO+MASILLA PARA YESO ALBA X 10</t>
  </si>
  <si>
    <t>005414</t>
  </si>
  <si>
    <t>ENDUIDO+MASILLA PARA YESO ALBA X 20</t>
  </si>
  <si>
    <t>005415</t>
  </si>
  <si>
    <t>LATEX PARA PISO PISOACRIL SPORT AZUL X 4</t>
  </si>
  <si>
    <t>005416</t>
  </si>
  <si>
    <t>LATEX PARA PISO PISOACRIL SPORT AZUL X 20</t>
  </si>
  <si>
    <t>005417</t>
  </si>
  <si>
    <t>LATEX PARA PISO PISOACRIL SPORT ROJO CERAMICO X 4</t>
  </si>
  <si>
    <t>005418</t>
  </si>
  <si>
    <t>LATEX PARA PISO PISOACRIL SPORT ROJO CERAMICO X 20</t>
  </si>
  <si>
    <t>005419</t>
  </si>
  <si>
    <t>LATEX PARA PISO PISOACRIL SPORT VERDE PADDLE X 4</t>
  </si>
  <si>
    <t>005420</t>
  </si>
  <si>
    <t>LATEX PARA PISO PISOACRIL SPORT VERDE PADDLE X 20</t>
  </si>
  <si>
    <t>005421</t>
  </si>
  <si>
    <t>LATEX PARA PISO PISOACRIL SPORT VERDE TENIS X 4</t>
  </si>
  <si>
    <t>005422</t>
  </si>
  <si>
    <t>LATEX PARA PISO PISOACRIL SPORT VERDE TENIS X 20</t>
  </si>
  <si>
    <t>005423</t>
  </si>
  <si>
    <t>T510/E1 CONVERTIDOR WB ENGINE BAY (PARA BASE AGUA) X 1</t>
  </si>
  <si>
    <t>005424</t>
  </si>
  <si>
    <t>AUTONIVELANTE CAPA FINA SECADO NORMAL WEBER AUTONIVELA GRIS X 25</t>
  </si>
  <si>
    <t>005425</t>
  </si>
  <si>
    <t>DILUYENTE PARA ESMALTE DE SECADO RAPIDO X  1</t>
  </si>
  <si>
    <t>005426</t>
  </si>
  <si>
    <t>DILUYENTE PARA ESMALTE DE SECADO RAPIDO X  4</t>
  </si>
  <si>
    <t>005427</t>
  </si>
  <si>
    <t>DILUYENTE PARA ESMALTE DE SECADO RAPIDO X 18</t>
  </si>
  <si>
    <t>005428</t>
  </si>
  <si>
    <t>DILUYENTE PARA ESMALTE DE SECADO RAPIDO X 200</t>
  </si>
  <si>
    <t>005429</t>
  </si>
  <si>
    <t>DISCO LIJA DOBLE A MASTER PLUS AUF6P 225X  80</t>
  </si>
  <si>
    <t>005430</t>
  </si>
  <si>
    <t>DISCO LIJA DOBLE A MASTER PLUS AUF6P 225X 100</t>
  </si>
  <si>
    <t>005431</t>
  </si>
  <si>
    <t>DISCO LIJA DOBLE A MASTER PLUS AUF6P 225X 120</t>
  </si>
  <si>
    <t>005432</t>
  </si>
  <si>
    <t>DISCO LIJA DOBLE A MASTER PLUS AUF6P 225X 150</t>
  </si>
  <si>
    <t>005433</t>
  </si>
  <si>
    <t>DISCO LIJA DOBLE A MASTER PLUS AUF6P 225X 180</t>
  </si>
  <si>
    <t>005434</t>
  </si>
  <si>
    <t>DISCO LIJA DOBLE A MASTER PLUS AUF6P 225X 220</t>
  </si>
  <si>
    <t>005435</t>
  </si>
  <si>
    <t>FONDO SINTETICO ULTRA RAPIDO VANGUARD BLANCO X  4</t>
  </si>
  <si>
    <t>005436</t>
  </si>
  <si>
    <t>FONDO SINTETICO ULTRA RAPIDO VANGUARD BLANCO X 20</t>
  </si>
  <si>
    <t>005437</t>
  </si>
  <si>
    <t>FONDO SINTETICO SECADO RAPIDO VANGUARD GRIS X  4</t>
  </si>
  <si>
    <t>005438</t>
  </si>
  <si>
    <t>FONDO SINTETICO SECADO RAPIDO VANGUARD GRIS X 20</t>
  </si>
  <si>
    <t>005439</t>
  </si>
  <si>
    <t>ESMALTE SINTETICO SECADO RAPIDO VANGUARD BLANCO X  4</t>
  </si>
  <si>
    <t>005440</t>
  </si>
  <si>
    <t>ESMALTE SINTETICO SECADO RAPIDO VANGUARD BLANCO X 20</t>
  </si>
  <si>
    <t>005441</t>
  </si>
  <si>
    <t>ESMALTE SINTETICO SECADO RAPIDO VANGUARD NEGRO X  4</t>
  </si>
  <si>
    <t>005442</t>
  </si>
  <si>
    <t>ESMALTE SINTETICO SECADO RAPIDO VANGUARD NEGRO X 20</t>
  </si>
  <si>
    <t>005443</t>
  </si>
  <si>
    <t>ESMALTE SINTETICO SECADO RAPIDO VANGUARD BERMELLON X  4</t>
  </si>
  <si>
    <t>005444</t>
  </si>
  <si>
    <t>ESMALTE SINTETICO SECADO RAPIDO VANGUARD BERMELLON X 20</t>
  </si>
  <si>
    <t>005445</t>
  </si>
  <si>
    <t>ESMALTE SINTETICO SECADO RAPIDO VANGUARD AMARILLO MEDIO X  4</t>
  </si>
  <si>
    <t>005446</t>
  </si>
  <si>
    <t>ESMALTE SINTETICO SECADO RAPIDO VANGUARD AMARILLO MEDIO X 20</t>
  </si>
  <si>
    <t>005447</t>
  </si>
  <si>
    <t>ESMALTE SINTETICO SECADO RAPIDO VANGUARD VERDE INGLES X  4</t>
  </si>
  <si>
    <t>005448</t>
  </si>
  <si>
    <t>ESMALTE SINTETICO SECADO RAPIDO VANGUARD VERDE INGLES X 20</t>
  </si>
  <si>
    <t>005449</t>
  </si>
  <si>
    <t>ESMALTE SINTETICO SECADO RAPIDO VANGUARD AZULEJO X  4</t>
  </si>
  <si>
    <t>005450</t>
  </si>
  <si>
    <t>ESMALTE SINTETICO SECADO RAPIDO VANGUARD AZULEJO X 20</t>
  </si>
  <si>
    <t>005451</t>
  </si>
  <si>
    <t>ESMALTE SINTETICO SECADO RAPIDO VANGUARD GRIS 020 X  4</t>
  </si>
  <si>
    <t>005452</t>
  </si>
  <si>
    <t>ESMALTE SINTETICO SECADO RAPIDO VANGUARD GRIS 020 X 20</t>
  </si>
  <si>
    <t>005453</t>
  </si>
  <si>
    <t>ESMALTE SINTETICO SECADO RAPIDO VANGUARD ALUMINIO X  4</t>
  </si>
  <si>
    <t>005454</t>
  </si>
  <si>
    <t>ESMALTE SINTETICO SECADO RAPIDO VANGUARD ALUMINIO X 20</t>
  </si>
  <si>
    <t>005455</t>
  </si>
  <si>
    <t>ESMALTE SINTETICO SECADO RAPIDO VANGUARD TRANSPARENTE X  3,2</t>
  </si>
  <si>
    <t>005456</t>
  </si>
  <si>
    <t>ESMALTE SINTETICO SECADO RAPIDO VANGUARD TRANSPARENTE X 16</t>
  </si>
  <si>
    <t>005457</t>
  </si>
  <si>
    <t>ESMALTE SINTETICO SECADO RAPIDO VANGUARD BLANCO X  3,20</t>
  </si>
  <si>
    <t>005458</t>
  </si>
  <si>
    <t>ESMALTE SINTETICO SECADO RAPIDO VANGUARD BLANCO X 16</t>
  </si>
  <si>
    <t>005459</t>
  </si>
  <si>
    <t>ACTIVADOR EPOXY US 9200 TANQUE AGUA POTABLE RUST OLEUM X 3,78(316836)</t>
  </si>
  <si>
    <t>005460</t>
  </si>
  <si>
    <t>EPOXY HP9200 TANQUE AGUA POTABLE RUST OLEUM BLANCO X 15,100</t>
  </si>
  <si>
    <t>005461</t>
  </si>
  <si>
    <t>BALDE DE 11LTS CON ESCURRIDOR BLACK</t>
  </si>
  <si>
    <t>005462</t>
  </si>
  <si>
    <t>ESCURRIDOR PARA BALDE (GRANDE)</t>
  </si>
  <si>
    <t>005463</t>
  </si>
  <si>
    <t>LATEX INTERIOR ACRILPLAST MATE BLANCO X  1</t>
  </si>
  <si>
    <t>005464</t>
  </si>
  <si>
    <t>LATEX INTERIOR ACRILPLAST MATE BLANCO X  4</t>
  </si>
  <si>
    <t>005465</t>
  </si>
  <si>
    <t>LATEX INTERIOR ACRILPLAST MATE BLANCO X 10</t>
  </si>
  <si>
    <t>005466</t>
  </si>
  <si>
    <t>LATEX INTERIOR ACRILPLAST MATE BLANCO X 20</t>
  </si>
  <si>
    <t>005467</t>
  </si>
  <si>
    <t>EPOXI INTERSEAL 1509 GRIS N6,5 X 7,2</t>
  </si>
  <si>
    <t>005468</t>
  </si>
  <si>
    <t>EPOXI INTERSEAL 1509 GRIS N6,5 X 40</t>
  </si>
  <si>
    <t>005469</t>
  </si>
  <si>
    <t>SELLADOR PARA TANQUES PLAVICON GRIS X 0,450</t>
  </si>
  <si>
    <t>005470</t>
  </si>
  <si>
    <t>SPRAY CHALKED AMARILLO X 0,170(307591)</t>
  </si>
  <si>
    <t>005471</t>
  </si>
  <si>
    <t>SPRAY CHALKED AZUL X 0,170(307589)</t>
  </si>
  <si>
    <t>005472</t>
  </si>
  <si>
    <t>SPRAY CHALKED BLANCO X 0,170(307587)</t>
  </si>
  <si>
    <t>005473</t>
  </si>
  <si>
    <t>SPRAY CHALKED ROSA X 0,170(307588)</t>
  </si>
  <si>
    <t>005474</t>
  </si>
  <si>
    <t>PINTURA BROCHABLE CHALKED RUST-OLEUM EXTERIOR MATE ANTRACITA X 0,887(365435)</t>
  </si>
  <si>
    <t>005475</t>
  </si>
  <si>
    <t>PINTURA BROCHABLE CHALKED RUST-OLEUM EXTERIOR MATE AZUL AMANECER X 0,887(365431)</t>
  </si>
  <si>
    <t>005476</t>
  </si>
  <si>
    <t>PINTURA BROCHABLE CHALKED RUST-OLEUM EXTERIOR MATE AZUL PROFUNDO X 0,887(365432)</t>
  </si>
  <si>
    <t>005477</t>
  </si>
  <si>
    <t>PINTURA BROCHABLE CHALKED RUST-OLEUM EXTERIOR MATE BLANCO TIZA X 0,887(365427)</t>
  </si>
  <si>
    <t>005478</t>
  </si>
  <si>
    <t>PINTURA BROCHABLE CHALKED RUST-OLEUM EXTERIOR MATE BRUMA X 0,887(365434)</t>
  </si>
  <si>
    <t>005479</t>
  </si>
  <si>
    <t>PINTURA BROCHABLE CHALKED RUST-OLEUM EXTERIOR MATE CREMA X 0,887(365428)</t>
  </si>
  <si>
    <t>005480</t>
  </si>
  <si>
    <t>PINTURA BROCHABLE CHALKED RUST-OLEUM EXTERIOR MATE GRIS PALIDO X 0,887(365429)</t>
  </si>
  <si>
    <t>005481</t>
  </si>
  <si>
    <t>PINTURA BROCHABLE CHALKED RUST-OLEUM EXTERIOR MATE VERDE SERENO X 0,887(365433)</t>
  </si>
  <si>
    <t>005482</t>
  </si>
  <si>
    <t>MAT 5 MASILLA ACRILICA ELASTOMERICA TERSUAVE BLANCO X  1</t>
  </si>
  <si>
    <t>005483</t>
  </si>
  <si>
    <t>MAT 5 MASILLA ACRILICA ELASTOMERICA TERSUAVE BLANCO X  5</t>
  </si>
  <si>
    <t>005484</t>
  </si>
  <si>
    <t>MAT 5 MASILLA ACRILICA ELASTOMERICA TERSUAVE BLANCO X 20</t>
  </si>
  <si>
    <t>005485</t>
  </si>
  <si>
    <t>MAT 5 MASILLA ACRILICA ELASTOMERICA TERSUAVE GRIS X  1</t>
  </si>
  <si>
    <t>005486</t>
  </si>
  <si>
    <t>MAT 5 MASILLA ACRILICA ELASTOMERICA TERSUAVE GRIS X  5</t>
  </si>
  <si>
    <t>005487</t>
  </si>
  <si>
    <t>MAT 5 MASILLA ACRILICA ELASTOMERICA TERSUAVE GRIS X 20</t>
  </si>
  <si>
    <t>005488</t>
  </si>
  <si>
    <t>ESMALTE POLIURETANO ACRILICO VANGUARD VERDE JOHN DEERE RAL 6001 X 20</t>
  </si>
  <si>
    <t>005489</t>
  </si>
  <si>
    <t>ESMALTE POLIURETANO ACRILICO VANGUARD ROJO JOHN DEERE RAL 3020 X 20</t>
  </si>
  <si>
    <t>005490</t>
  </si>
  <si>
    <t>ESMALTE POLIURETANO FAST-GUARD VANGUARD VERDE JOHN DEERE RAL 6001 X 20</t>
  </si>
  <si>
    <t>005491</t>
  </si>
  <si>
    <t>ESMALTE POLIURETANO FAST-GUARD VANGUARD ROJO JOHN DEERE RAL 3020 X 20</t>
  </si>
  <si>
    <t>005492</t>
  </si>
  <si>
    <t>LATEX INTERIOR ALBALATEX DESIGN TOQUE DE LUZ MATE BASE P X  0,900</t>
  </si>
  <si>
    <t>005493</t>
  </si>
  <si>
    <t>LATEX INTERIOR ALBALATEX DESIGN TOQUE DE LUZ MATE BASE P X  3,600</t>
  </si>
  <si>
    <t>005494</t>
  </si>
  <si>
    <t>LATEX INTERIOR ALBALATEX DESIGN TOQUE DE LUZ MATE BASE P X  8,700</t>
  </si>
  <si>
    <t>005495</t>
  </si>
  <si>
    <t>LATEX INTERIOR ALBALATEX DESIGN TOQUE DE LUZ MATE BASE P X 17,400</t>
  </si>
  <si>
    <t>005496</t>
  </si>
  <si>
    <t>LATEX INTERIOR ALBALATEX DESIGN TOQUE DE LUZ MATE BASE F X  0,900</t>
  </si>
  <si>
    <t>005497</t>
  </si>
  <si>
    <t>LATEX INTERIOR ALBALATEX DESIGN TOQUE DE LUZ MATE BASE F X  3,600</t>
  </si>
  <si>
    <t>005498</t>
  </si>
  <si>
    <t>LATEX INTERIOR ALBALATEX DESIGN TOQUE DE LUZ MATE BASE F X 17,400</t>
  </si>
  <si>
    <t>005499</t>
  </si>
  <si>
    <t>LATEX INTERIOR ALBALATEX DESIGN TOQUE DE LUZ MATE BASE T X  0,900</t>
  </si>
  <si>
    <t>005500</t>
  </si>
  <si>
    <t>LATEX INTERIOR ALBALATEX DESIGN TOQUE DE LUZ MATE BASE T X  3,600</t>
  </si>
  <si>
    <t>005501</t>
  </si>
  <si>
    <t>LATEX INTERIOR TERSEN BLANCO X  4</t>
  </si>
  <si>
    <t>005502</t>
  </si>
  <si>
    <t>LATEX INTERIOR/EXTERIOR TERSEN NARANJA X 4</t>
  </si>
  <si>
    <t>005503</t>
  </si>
  <si>
    <t>LATEX INTERIOR/EXTERIOR TERSEN AMARILLO X 4</t>
  </si>
  <si>
    <t>005504</t>
  </si>
  <si>
    <t>LATEX INTERIOR/EXTERIOR TERSEN AZUL X 4</t>
  </si>
  <si>
    <t>005505</t>
  </si>
  <si>
    <t>LATEX INTERIOR/EXTERIOR TERSEN CORAL X 4</t>
  </si>
  <si>
    <t>005506</t>
  </si>
  <si>
    <t>LATEX INTERIOR/EXTERIOR TERSEN ROSA X 4</t>
  </si>
  <si>
    <t>005507</t>
  </si>
  <si>
    <t>LATEX INTERIOR/EXTERIOR TERSEN TURQUESA X 4</t>
  </si>
  <si>
    <t>005508</t>
  </si>
  <si>
    <t>LATEX INTERIOR/EXTERIOR TERSEN VERDE X 4</t>
  </si>
  <si>
    <t>005509</t>
  </si>
  <si>
    <t>LATEX INTERIOR/EXTERIOR TERSEN VIOLETA X 4</t>
  </si>
  <si>
    <t>005510</t>
  </si>
  <si>
    <t>LATEX INTERIOR/EXTERIOR TERSEN ROJO X 4</t>
  </si>
  <si>
    <t>005511</t>
  </si>
  <si>
    <t>ARCO NIVELADOR 1,5 MM LINEA PREMIUM (BOLSA X 150U)</t>
  </si>
  <si>
    <t>005512</t>
  </si>
  <si>
    <t>ARCO NIVELADOR 2 MM LINEA PREMIUM (BOLSA X 150U)</t>
  </si>
  <si>
    <t>005513</t>
  </si>
  <si>
    <t>ARCO NIVELADOR 3 MM LINEA PREMIUM (BOLSA X 150U)</t>
  </si>
  <si>
    <t>005514</t>
  </si>
  <si>
    <t>CUÑA NIVELADORA (BOLSA X 150U)</t>
  </si>
  <si>
    <t>005515</t>
  </si>
  <si>
    <t>TORNILLO NIVELADOR 2 MM (BOLSA X 100U)</t>
  </si>
  <si>
    <t>005516</t>
  </si>
  <si>
    <t>TUERCA NIVELADORA (BOLSA X 50U)</t>
  </si>
  <si>
    <t>005517</t>
  </si>
  <si>
    <t>PINZA NIVELADORA</t>
  </si>
  <si>
    <t>005518</t>
  </si>
  <si>
    <t>MAZA DE GOMA 350G</t>
  </si>
  <si>
    <t>005519</t>
  </si>
  <si>
    <t>CRUCETAS C-3 MM (BOLSA X 100U)</t>
  </si>
  <si>
    <t>005520</t>
  </si>
  <si>
    <t>SOPAPA VENTOSA SIMPLE</t>
  </si>
  <si>
    <t>005521</t>
  </si>
  <si>
    <t>RODILLERA DE TRABAJO/PROTECCION ( POR PAR)</t>
  </si>
  <si>
    <t>005522</t>
  </si>
  <si>
    <t>PEINE COPIADOR CONTORNOS / MOLDURAS 6"</t>
  </si>
  <si>
    <t>005523</t>
  </si>
  <si>
    <t>LACA NITROCELULOSICA TERSUAVE BRILLANTE X 1</t>
  </si>
  <si>
    <t>005524</t>
  </si>
  <si>
    <t>LACA NITROCELULOSICA TERSUAVE BRILLANTE X 4</t>
  </si>
  <si>
    <t>005525</t>
  </si>
  <si>
    <t>LACA NITROCELULOSICA TERSUAVE SATINADA X 1</t>
  </si>
  <si>
    <t>005526</t>
  </si>
  <si>
    <t>LACA NITROCELULOSICA TERSUAVE SATINADA X 4</t>
  </si>
  <si>
    <t>005527</t>
  </si>
  <si>
    <t>SELLADOR NITROCELULOSICO PARA MADERA SEMIMATE TERSUAVE X  1</t>
  </si>
  <si>
    <t>005528</t>
  </si>
  <si>
    <t>SELLADOR NITROCELULOSICO PARA MADERA SEMIMATE TERSUAVE X  4</t>
  </si>
  <si>
    <t>005529</t>
  </si>
  <si>
    <t>SELLADOR NITROCELULOSICO PARA MADERA SEMIMATE TERSUAVE X 20</t>
  </si>
  <si>
    <t>005530</t>
  </si>
  <si>
    <t>CUCHARA WELBY N 6 (CU01)</t>
  </si>
  <si>
    <t>005531</t>
  </si>
  <si>
    <t>CUCHARA WELBY N 7 MOCHA (CU03)</t>
  </si>
  <si>
    <t>005532</t>
  </si>
  <si>
    <t>CUCHARA WELBY N 8 (CU04)</t>
  </si>
  <si>
    <t>005533</t>
  </si>
  <si>
    <t>CUCHARA WELBY N 8 MOCHA (CU05)</t>
  </si>
  <si>
    <t>005534</t>
  </si>
  <si>
    <t>CUCHARA WELBY N 9 (CU06)</t>
  </si>
  <si>
    <t>005535</t>
  </si>
  <si>
    <t>CUCHARA WELBY CUCHARIN N 5 (CU07)</t>
  </si>
  <si>
    <t>005536</t>
  </si>
  <si>
    <t>CUCHARA WELBY CUCHARIN N 6 (CU09)</t>
  </si>
  <si>
    <t>005537</t>
  </si>
  <si>
    <t>ESCUADRA 300MM (ES01)</t>
  </si>
  <si>
    <t>005538</t>
  </si>
  <si>
    <t>ESCUADRA 400MM (ES02)</t>
  </si>
  <si>
    <t>005539</t>
  </si>
  <si>
    <t>ESCUADRA 500MM (ES03)</t>
  </si>
  <si>
    <t>005540</t>
  </si>
  <si>
    <t>ESCUADRA 600MM (ES04)</t>
  </si>
  <si>
    <t>005541</t>
  </si>
  <si>
    <t>ESCUADRA 700MM (ES05)</t>
  </si>
  <si>
    <t>005542</t>
  </si>
  <si>
    <t>FRATACHO PLASTICO 20CM CON GOMA ESPUMA (FR06)</t>
  </si>
  <si>
    <t>005543</t>
  </si>
  <si>
    <t>FRATACHO PLASTICO 25CM CON GOMA ESPUMA (FR07)</t>
  </si>
  <si>
    <t>005544</t>
  </si>
  <si>
    <t>FRATACHO DE PINO 20CM (FR09)</t>
  </si>
  <si>
    <t>005545</t>
  </si>
  <si>
    <t>FRATACHO DE PINO 25CM (FR10)</t>
  </si>
  <si>
    <t>005546</t>
  </si>
  <si>
    <t>FRATACHO DE PINO 35CM (FR12)</t>
  </si>
  <si>
    <t>005547</t>
  </si>
  <si>
    <t>FRATACHO DE PINO 40CM (FR13)</t>
  </si>
  <si>
    <t>005548</t>
  </si>
  <si>
    <t>FRATACHO DE PINO 20CM CON FIELTRO (FR14)</t>
  </si>
  <si>
    <t>005549</t>
  </si>
  <si>
    <t>FRATACHO DE PINO 25CM CON FIELTRO (FR15)</t>
  </si>
  <si>
    <t>005550</t>
  </si>
  <si>
    <t>FRATACHO DE PINO 35CM CON FIELTRO (FR17)</t>
  </si>
  <si>
    <t>005551</t>
  </si>
  <si>
    <t>LLANA DENTADA 130X300 DE  6X6 MGO MADERA (LL08/6)</t>
  </si>
  <si>
    <t>005552</t>
  </si>
  <si>
    <t>LLANA DENTADA 130X300 DE  8X8 MGO MADERA (LL08/8)</t>
  </si>
  <si>
    <t>005553</t>
  </si>
  <si>
    <t>LLANA DENTADA 130X300 DE 10X10 MGO MADERA (LL08/10)</t>
  </si>
  <si>
    <t>005554</t>
  </si>
  <si>
    <t>LLANA DENTADA 130X300 DE 12X12 MGO MADERA (LL08/12)</t>
  </si>
  <si>
    <t>005555</t>
  </si>
  <si>
    <t>MARTILLO GALPONERO PROFESIONAL 27MM (MA02E)</t>
  </si>
  <si>
    <t>005556</t>
  </si>
  <si>
    <t>PLOMADA 300GRS (PL02)</t>
  </si>
  <si>
    <t>005557</t>
  </si>
  <si>
    <t>ESMALTE EPOXI VANGUARD BASE TRANSPARENTE X  3</t>
  </si>
  <si>
    <t>005558</t>
  </si>
  <si>
    <t>ESMALTE EPOXI VANGUARD BASE TRANSPARENTE X 15</t>
  </si>
  <si>
    <t>005559</t>
  </si>
  <si>
    <t>ESMALTE EPOXI VANGUARD BLANCO X  3</t>
  </si>
  <si>
    <t>005560</t>
  </si>
  <si>
    <t>ESMALTE EPOXI VANGUARD BLANCO X 15</t>
  </si>
  <si>
    <t>005561</t>
  </si>
  <si>
    <t>BASE NIVELADORA WEBER GRANITEX BASE COAT X 25</t>
  </si>
  <si>
    <t>005562</t>
  </si>
  <si>
    <t>MORTERO DE ASIENTO BLOQUES DE HORMIGON WEBER BLOCK GRIS X 30</t>
  </si>
  <si>
    <t>005563</t>
  </si>
  <si>
    <t>SISTEMA MICROPISO WEBER MICROCOLOR GREIGE X 25</t>
  </si>
  <si>
    <t>005564</t>
  </si>
  <si>
    <t>SISTEMA MICROPISO WEBER MICROCOLOR ACERO X 25</t>
  </si>
  <si>
    <t>005565</t>
  </si>
  <si>
    <t>SISTEMA MICROPISO WEBER MICROCOLOR ARENA X 25</t>
  </si>
  <si>
    <t>005566</t>
  </si>
  <si>
    <t>SISTEMA MICROPISO WEBER MICROCOLOR AVELLANA X 25</t>
  </si>
  <si>
    <t>005567</t>
  </si>
  <si>
    <t>SISTEMA MICROPISO WEBER MICROCOLOR CUERO X 25</t>
  </si>
  <si>
    <t>005568</t>
  </si>
  <si>
    <t>SISTEMA MICROPISO WEBER MICROCOLOR HUMO X 25</t>
  </si>
  <si>
    <t>005569</t>
  </si>
  <si>
    <t>SISTEMA MICROPISO WEBER MICROCOLOR PIEDRA X 25</t>
  </si>
  <si>
    <t>005570</t>
  </si>
  <si>
    <t>SISTEMA MICROPISO WEBER MICROBASE GRIS X 30</t>
  </si>
  <si>
    <t>005571</t>
  </si>
  <si>
    <t>SISTEMA MICROPISO WEBER EMULSION BLANCO X 10</t>
  </si>
  <si>
    <t>005572</t>
  </si>
  <si>
    <t>IMPERMEABILIZANTE PARA TECHOS DURALBA MULTISUPERFICIE BLANCO X  5</t>
  </si>
  <si>
    <t>005573</t>
  </si>
  <si>
    <t>IMPERMEABILIZANTE PARA TECHOS DURALBA MULTISUPERFICIE BLANCO X 12</t>
  </si>
  <si>
    <t>005574</t>
  </si>
  <si>
    <t>IMPERMEABILIZANTE PARA TECHOS DURALBA MULTISUPERFICIE BLANCO X 24</t>
  </si>
  <si>
    <t>005575</t>
  </si>
  <si>
    <t>IMPERMEABILIZANTE PARA TECHOS DURALBA MULTISUPERFICIE TEJA X  5</t>
  </si>
  <si>
    <t>005576</t>
  </si>
  <si>
    <t>IMPERMEABILIZANTE PARA TECHOS DURALBA MULTISUPERFICIE TEJA X 12</t>
  </si>
  <si>
    <t>005577</t>
  </si>
  <si>
    <t>IMPERMEABILIZANTE PARA TECHOS DURALBA MULTISUPERFICIE TEJA X 24</t>
  </si>
  <si>
    <t>005578</t>
  </si>
  <si>
    <t>IMPERMEABILIZANTE PARA TECHOS DURALBA MULTISUPERFICIE GRIS OSCURO X 12</t>
  </si>
  <si>
    <t>005579</t>
  </si>
  <si>
    <t>IMPERMEABILIZANTE PARA TECHOS DURALBA MULTISUPERFICIE GRIS OSCURO X 24</t>
  </si>
  <si>
    <t>005580</t>
  </si>
  <si>
    <t>IMPERMEABILIZANTE PARA TECHOS DURALBA MULTISUPERFICIE VERDE INGLES X 12</t>
  </si>
  <si>
    <t>005581</t>
  </si>
  <si>
    <t>IMPERMEABILIZANTE PARA TECHOS DURALBA MULTISUPERFICIE VERDE INGLES X 24</t>
  </si>
  <si>
    <t>005582</t>
  </si>
  <si>
    <t>IMPERMEABILIZANTE PARA TECHOS DURALBA TRANSITABLE BLANCO X   4</t>
  </si>
  <si>
    <t>005583</t>
  </si>
  <si>
    <t>IMPERMEABILIZANTE PARA TECHOS DURALBA TRANSITABLE BLANCO X 10</t>
  </si>
  <si>
    <t>005584</t>
  </si>
  <si>
    <t>IMPERMEABILIZANTE PARA TECHOS DURALBA TRANSITABLE BLANCO X 20</t>
  </si>
  <si>
    <t>005585</t>
  </si>
  <si>
    <t>IMPERMEABILIZANTE PARA TECHOS DURALBA TRANSITABLE TEJA X  4</t>
  </si>
  <si>
    <t>005586</t>
  </si>
  <si>
    <t>IMPERMEABILIZANTE PARA TECHOS DURALBA TRANSITABLE TEJA X 10</t>
  </si>
  <si>
    <t>005587</t>
  </si>
  <si>
    <t>IMPERMEABILIZANTE PARA TECHOS DURALBA TRANSITABLE TEJA X 20</t>
  </si>
  <si>
    <t>005588</t>
  </si>
  <si>
    <t>IMPERMEABILIZANTE PARA TECHOS DURALBA TRANSITABLE VERDE CEMENTO X 10</t>
  </si>
  <si>
    <t>005589</t>
  </si>
  <si>
    <t>IMPERMEABILIZANTE PARA TECHOS DURALBA TRANSITABLE VERDE CEMENTO X 20</t>
  </si>
  <si>
    <t>005590</t>
  </si>
  <si>
    <t>LATEX INTERIOR/EXTERIOR ALBA CONSTRUCTOR MATE AMARILLO FUEGUINO X 1</t>
  </si>
  <si>
    <t>005591</t>
  </si>
  <si>
    <t>LATEX INTERIOR/EXTERIOR ALBA CONSTRUCTOR MATE AMARILLO FUEGUINO X 4</t>
  </si>
  <si>
    <t>005592</t>
  </si>
  <si>
    <t>LATEX INTERIOR/EXTERIOR ALBA CONSTRUCTOR MATE AZUL GLACIAR X 1</t>
  </si>
  <si>
    <t>005593</t>
  </si>
  <si>
    <t>LATEX INTERIOR/EXTERIOR ALBA CONSTRUCTOR MATE AZUL GLACIAR X 4</t>
  </si>
  <si>
    <t>005594</t>
  </si>
  <si>
    <t>LATEX INTERIOR/EXTERIOR ALBA CONSTRUCTOR MATE BEIGE URBANO X 1</t>
  </si>
  <si>
    <t>005595</t>
  </si>
  <si>
    <t>LATEX INTERIOR/EXTERIOR ALBA CONSTRUCTOR MATE BEIGE URBANO X 4</t>
  </si>
  <si>
    <t>005596</t>
  </si>
  <si>
    <t>LATEX INTERIOR/EXTERIOR ALBA CONSTRUCTOR MATE GRIS ANDINO X 1</t>
  </si>
  <si>
    <t>005597</t>
  </si>
  <si>
    <t>LATEX INTERIOR/EXTERIOR ALBA CONSTRUCTOR MATE GRIS ANDINO X 4</t>
  </si>
  <si>
    <t>005598</t>
  </si>
  <si>
    <t>LATEX INTERIOR/EXTERIOR ALBA CONSTRUCTOR MATE GRIS PATAGONICO X 1</t>
  </si>
  <si>
    <t>005599</t>
  </si>
  <si>
    <t>LATEX INTERIOR/EXTERIOR ALBA CONSTRUCTOR MATE GRIS PATAGONICO X 4</t>
  </si>
  <si>
    <t>005600</t>
  </si>
  <si>
    <t>LATEX INTERIOR/EXTERIOR ALBA CONSTRUCTOR MATE NARANJA CAFAYATE X 1</t>
  </si>
  <si>
    <t>005601</t>
  </si>
  <si>
    <t>LATEX INTERIOR/EXTERIOR ALBA CONSTRUCTOR MATE NARANJA CAFAYATE X 4</t>
  </si>
  <si>
    <t>005602</t>
  </si>
  <si>
    <t>LATEX INTERIOR/EXTERIOR ALBA CONSTRUCTOR MATE ROJO CHAQUENO X 1</t>
  </si>
  <si>
    <t>005603</t>
  </si>
  <si>
    <t>LATEX INTERIOR/EXTERIOR ALBA CONSTRUCTOR MATE ROJO CHAQUENO X 4</t>
  </si>
  <si>
    <t>005604</t>
  </si>
  <si>
    <t>LATEX INTERIOR/EXTERIOR ALBA CONSTRUCTOR MATE VERDE PAMPEANO X 1</t>
  </si>
  <si>
    <t>005605</t>
  </si>
  <si>
    <t>LATEX INTERIOR/EXTERIOR ALBA CONSTRUCTOR MATE VERDE PAMPEANO X 4</t>
  </si>
  <si>
    <t>005606</t>
  </si>
  <si>
    <t>LATEX INTERIOR/EXTERIOR ALBA CONSTRUCTOR MATE VIOLETA CUYO X 1</t>
  </si>
  <si>
    <t>005607</t>
  </si>
  <si>
    <t>LATEX INTERIOR/EXTERIOR ALBA CONSTRUCTOR MATE VIOLETA CUYO X 4</t>
  </si>
  <si>
    <t>005608</t>
  </si>
  <si>
    <t>REVESTIMIENTO TEXTURADO TERPLAST REVOQUE ACRILICO BLANCO X  5</t>
  </si>
  <si>
    <t>005609</t>
  </si>
  <si>
    <t>REVESTIMIENTO TEXTURADO TERPLAST REVOQUE ACRILICO BLANCO X 25</t>
  </si>
  <si>
    <t>005610</t>
  </si>
  <si>
    <t>REVESTIMIENTO TEXTURADO TERPLAST REVOQUE ACRILICO CLEAR X 25</t>
  </si>
  <si>
    <t>005611</t>
  </si>
  <si>
    <t>FONDO ANTIOXIDO TERSUAVE MATE MARFIL X  4</t>
  </si>
  <si>
    <t>005612</t>
  </si>
  <si>
    <t>ESMALTE EPOXI TERSUAVE INDULAC NEGRO X  1</t>
  </si>
  <si>
    <t>005613</t>
  </si>
  <si>
    <t>D8401.E5 DESENGRASANTE BASE AGUA X 5</t>
  </si>
  <si>
    <t>005614</t>
  </si>
  <si>
    <t>MEZCLA ADHESIVA CAPA GRUESA WEBER VEREDAS X 30</t>
  </si>
  <si>
    <t>005615</t>
  </si>
  <si>
    <t>FONDO ANTIOXIDO TERSUAVE MATE NEGRO X  4</t>
  </si>
  <si>
    <t>005616</t>
  </si>
  <si>
    <t>REPARADOR DE HORMIGON VISTO WEBER HORMIESTETIC X 25</t>
  </si>
  <si>
    <t>005617</t>
  </si>
  <si>
    <t>LATEX INTERIOR/EXTERIOR TERSEN MATE TOSTADO ARMONIA X 1</t>
  </si>
  <si>
    <t>005618</t>
  </si>
  <si>
    <t>LATEX INTERIOR/EXTERIOR TERSEN MATE TOSTADO ARMONIA X 4</t>
  </si>
  <si>
    <t>005619</t>
  </si>
  <si>
    <t>LATEX INTERIOR/EXTERIOR TERSEN MATE GRIS MISTERIO X 1</t>
  </si>
  <si>
    <t>005620</t>
  </si>
  <si>
    <t>LATEX INTERIOR/EXTERIOR TERSEN MATE GRIS MISTERIO X 4</t>
  </si>
  <si>
    <t>005621</t>
  </si>
  <si>
    <t>LATEX INTERIOR/EXTERIOR TERSEN MATE BEIGE SUTIL X 1</t>
  </si>
  <si>
    <t>005622</t>
  </si>
  <si>
    <t>LATEX INTERIOR/EXTERIOR TERSEN MATE BEIGE SUTIL X 4</t>
  </si>
  <si>
    <t>005623</t>
  </si>
  <si>
    <t>MEMBRANA ASFALTICA EMAPI W400 AL MAX 35KG</t>
  </si>
  <si>
    <t>005624</t>
  </si>
  <si>
    <t>MEMBRANA AUTOADHESIVA FITA FLEX 0,10X25MTS</t>
  </si>
  <si>
    <t>005625</t>
  </si>
  <si>
    <t>MEMBRANA AUTOADHESIVA FITA FLEX 0,15X25MTS</t>
  </si>
  <si>
    <t>005626</t>
  </si>
  <si>
    <t>MEMBRANA AUTOADHESIVA FITA FLEX 0,20X25MTS</t>
  </si>
  <si>
    <t>005627</t>
  </si>
  <si>
    <t>FONDO ANTIOXIDO TERSUAVE MATE GRIS X  4</t>
  </si>
  <si>
    <t>005628</t>
  </si>
  <si>
    <t>DISCO LIJA DOBLE A BX94 MASTER PLUMA  AUF6P 152X  40</t>
  </si>
  <si>
    <t>005629</t>
  </si>
  <si>
    <t>DISCO LIJA DOBLE A BX94 MASTER PLUMA  AUF6P 152X  60</t>
  </si>
  <si>
    <t>005630</t>
  </si>
  <si>
    <t>DISCO LIJA DOBLE A BX94 MASTER PLUMA  AUF6P 152X  80</t>
  </si>
  <si>
    <t>005631</t>
  </si>
  <si>
    <t>DISCO LIJA DOBLE A BX94 MASTER PLUMA  AUF6P 152X 100</t>
  </si>
  <si>
    <t>005632</t>
  </si>
  <si>
    <t>DISCO LIJA DOBLE A BX94 MASTER PLUMA  AUF6P 152X 120</t>
  </si>
  <si>
    <t>005633</t>
  </si>
  <si>
    <t>DISCO LIJA DOBLE A BX94 MASTER PLUMA  AUF6P 152X 150</t>
  </si>
  <si>
    <t>005634</t>
  </si>
  <si>
    <t>DISCO LIJA DOBLE A BX94 MASTER PLUMA  AUF6P 152X 180</t>
  </si>
  <si>
    <t>005635</t>
  </si>
  <si>
    <t>DISCO LIJA DOBLE A BX94 MASTER PLUMA  AUF6P 152X 220</t>
  </si>
  <si>
    <t>005636</t>
  </si>
  <si>
    <t>DISCO LIJA DOBLE A BX94 MASTER PLUMA  AUF6P 152X 240</t>
  </si>
  <si>
    <t>005637</t>
  </si>
  <si>
    <t>DISCO LIJA DOBLE A BX94 MASTER PLUMA  AUF6P 152X 280</t>
  </si>
  <si>
    <t>005638</t>
  </si>
  <si>
    <t>DISCO LIJA DOBLE A BX94 MASTER PLUMA  AUF6P 152X 320</t>
  </si>
  <si>
    <t>005639</t>
  </si>
  <si>
    <t>DISCO LIJA DOBLE A BX94 MASTER PLUMA  AUF6P 152X 360</t>
  </si>
  <si>
    <t>005640</t>
  </si>
  <si>
    <t>DISCO LIJA DOBLE A BX94 MASTER PLUMA  AUF6P 152X 400</t>
  </si>
  <si>
    <t>005641</t>
  </si>
  <si>
    <t>DISCO LIJA DOBLE A BX94 MASTER PLUMA  AUF6P 152X 600</t>
  </si>
  <si>
    <t>005642</t>
  </si>
  <si>
    <t>DISCO LIJA DOBLE A BX94 MASTER PLUMA  AUF6P 152X 800</t>
  </si>
  <si>
    <t>005643</t>
  </si>
  <si>
    <t>RODILLO ESQUINERO DE ESPUMA 10CM X 25MM(REE)</t>
  </si>
  <si>
    <t>005644</t>
  </si>
  <si>
    <t>FONDO ANTIOXIDO TERSUAVE MATE VERDE X  4</t>
  </si>
  <si>
    <t>005645</t>
  </si>
  <si>
    <t>PINTURA ASFALTICA SOLVENTE SUPERFLEX X  1</t>
  </si>
  <si>
    <t>005646</t>
  </si>
  <si>
    <t>PINTURA ASFALTICA SOLVENTE SUPERFLEX X  4</t>
  </si>
  <si>
    <t>005647</t>
  </si>
  <si>
    <t>PINTURA ASFALTICA SOLVENTE SUPERFLEX X 18</t>
  </si>
  <si>
    <t>005648</t>
  </si>
  <si>
    <t>MEMBRANA ASFALTICA EMAPI D 400 AL 35KG</t>
  </si>
  <si>
    <t>005649</t>
  </si>
  <si>
    <t>MEMBRANA ASFALTICA EMAPI D 450 AL 40KG</t>
  </si>
  <si>
    <t>005650</t>
  </si>
  <si>
    <t>ACOPLE RAPIDO H25 1" RI PLASTICO</t>
  </si>
  <si>
    <t>005651</t>
  </si>
  <si>
    <t>ACOPLAMIENTO GEKA CON BOQUILLA 3/4</t>
  </si>
  <si>
    <t>005652</t>
  </si>
  <si>
    <t>ACOPLE GEKA RI 1"</t>
  </si>
  <si>
    <t>005653</t>
  </si>
  <si>
    <t>MAGUERA MORTERO 25MM</t>
  </si>
  <si>
    <t>005654</t>
  </si>
  <si>
    <t>ROTOR MONOMIX LILA REGULABLE</t>
  </si>
  <si>
    <t>005655</t>
  </si>
  <si>
    <t>STATOR MONOMIX LILA</t>
  </si>
  <si>
    <t>005656</t>
  </si>
  <si>
    <t>STATOR UE 45 / 7 AMARILLO REGULABLE 35MM</t>
  </si>
  <si>
    <t>005657</t>
  </si>
  <si>
    <t>ROTOR UE 45 / 7 AMARILLO 35MM</t>
  </si>
  <si>
    <t>005658</t>
  </si>
  <si>
    <t>STATOR AUTOAJUSTABLE GRIS D4</t>
  </si>
  <si>
    <t>005659</t>
  </si>
  <si>
    <t>ROTOR D4</t>
  </si>
  <si>
    <t>005660</t>
  </si>
  <si>
    <t>MANGO RODILLO MINI FF  8CM(MRM8)</t>
  </si>
  <si>
    <t>005661</t>
  </si>
  <si>
    <t>MANGO RODILLO MINI FF 10CM(MRM10)</t>
  </si>
  <si>
    <t>005662</t>
  </si>
  <si>
    <t>MANGO RODILLO MINI FF 15CM(MRM15)</t>
  </si>
  <si>
    <t>005663</t>
  </si>
  <si>
    <t>PINCEL REDONDO N 15(PRE15)</t>
  </si>
  <si>
    <t>005664</t>
  </si>
  <si>
    <t>PINCEL REDONDO N 18(PRE18)</t>
  </si>
  <si>
    <t>005665</t>
  </si>
  <si>
    <t>PINCEL REDONDO N 25(PRE25)</t>
  </si>
  <si>
    <t>005666</t>
  </si>
  <si>
    <t>RODILLO PARA TEXTURA RUSTICA 22CM(RO100)</t>
  </si>
  <si>
    <t>005667</t>
  </si>
  <si>
    <t>RODILLO PARA TEXTURA RUSTICA 10CM(RO101)</t>
  </si>
  <si>
    <t>005668</t>
  </si>
  <si>
    <t>APLICADOR ESQUINERO PREMIUM(A15MA)</t>
  </si>
  <si>
    <t>005669</t>
  </si>
  <si>
    <t>BREA EN PAN OXIFLEX HOGAR 20KG</t>
  </si>
  <si>
    <t>005670</t>
  </si>
  <si>
    <t>D807P.48 DILUYENTE MEDIO PU/POLIESTER PPG X 200</t>
  </si>
  <si>
    <t>005671</t>
  </si>
  <si>
    <t>MAQUINA DUO MIX (98-0015 )</t>
  </si>
  <si>
    <t>005672</t>
  </si>
  <si>
    <t>MATEANTE EN POLVO VANGUARD X 4 KG</t>
  </si>
  <si>
    <t>005673</t>
  </si>
  <si>
    <t>MEMBRANA ASFALTICA EMAPI N 500 AL PLUS 43KG</t>
  </si>
  <si>
    <t>005674</t>
  </si>
  <si>
    <t>DISCO LIJA OXIDO ALUMINIO RAPIFIX 6A AMARILLO 150MM   #40</t>
  </si>
  <si>
    <t>005675</t>
  </si>
  <si>
    <t>DISCO LIJA OXIDO ALUMINIO RAPIFIX 6A AMARILLO 150MM   #60</t>
  </si>
  <si>
    <t>005676</t>
  </si>
  <si>
    <t>DISCO LIJA OXIDO ALUMINIO RAPIFIX 6A AMARILLO 150MM   #80</t>
  </si>
  <si>
    <t>005677</t>
  </si>
  <si>
    <t>DISCO LIJA OXIDO ALUMINIO RAPIFIX 6A AMARILLO 150MM  #120</t>
  </si>
  <si>
    <t>005678</t>
  </si>
  <si>
    <t>DISCO LIJA OXIDO ALUMINIO RAPIFIX 6A AMARILLO 150MM  #150</t>
  </si>
  <si>
    <t>005679</t>
  </si>
  <si>
    <t>DISCO LIJA OXIDO ALUMINIO RAPIFIX 6A AMARILLO 150MM  #180</t>
  </si>
  <si>
    <t>005680</t>
  </si>
  <si>
    <t>DISCO LIJA OXIDO ALUMINIO RAPIFIX 6A AMARILLO 150MM  #220</t>
  </si>
  <si>
    <t>005681</t>
  </si>
  <si>
    <t>DISCO LIJA OXIDO ALUMINIO RAPIFIX 6A AMARILLO 150MM  #240</t>
  </si>
  <si>
    <t>005682</t>
  </si>
  <si>
    <t>DISCO LIJA OXIDO ALUMINIO RAPIFIX 6A AMARILLO 150MM  #320</t>
  </si>
  <si>
    <t>005683</t>
  </si>
  <si>
    <t>DISCO LIJA OXIDO ALUMINIO RAPIFIX 6A AMARILLO 150MM  #400</t>
  </si>
  <si>
    <t>005684</t>
  </si>
  <si>
    <t>DISCO LIJA OXIDO ALUMINIO RAPIFIX 6A AMARILLO 150MM  #500</t>
  </si>
  <si>
    <t>005685</t>
  </si>
  <si>
    <t>DISCO LIJA OXIDO ALUMINIO RAPIFIX 6A AMARILLO 150MM  #600</t>
  </si>
  <si>
    <t>005686</t>
  </si>
  <si>
    <t>DISCO LIJA OXIDO ALUMINIO RAPIFIX 6A AMARILLO 150MM #1000</t>
  </si>
  <si>
    <t>005687</t>
  </si>
  <si>
    <t>DISCO LIJA OXIDO ALUMINIO RAPIFIX 6A AMARILLO 150MM #1500</t>
  </si>
  <si>
    <t>005688</t>
  </si>
  <si>
    <t>DISCO LIJA OXIDO ALUMINIO RAPIFIX 6A AMARILLO 150MM #2000</t>
  </si>
  <si>
    <t>005689</t>
  </si>
  <si>
    <t>DISCO LIJA OXIDO ALUMINIO RAPIFIX 6A AMARILLO 150MM #2500</t>
  </si>
  <si>
    <t>005690</t>
  </si>
  <si>
    <t>ESMALTE SINTETICO TERSPRAY MARTILLADO SECADO RAPIDO GRIS ACERO X 4</t>
  </si>
  <si>
    <t>005691</t>
  </si>
  <si>
    <t>ESMALTE SINTETICO TERSPRAY MARTILLADO SECADO RAPIDO AZUL OSCURO X 1</t>
  </si>
  <si>
    <t>005692</t>
  </si>
  <si>
    <t>ESMALTE SINTETICO TERSPRAY MARTILLADO SECADO RAPIDO AZUL OSCURO X 4</t>
  </si>
  <si>
    <t>005693</t>
  </si>
  <si>
    <t>ESMALTE SINTETICO TERSPRAY MARTILLADO SECADO RAPIDO VERDE ESMERALDA X 1</t>
  </si>
  <si>
    <t>005694</t>
  </si>
  <si>
    <t>ESMALTE SINTETICO TERSPRAY MARTILLADO SECADO RAPIDO VERDE ESMERALDA X 4</t>
  </si>
  <si>
    <t>005695</t>
  </si>
  <si>
    <t>ADITIVO TEXTURANTE TERSPRAY X 0,04</t>
  </si>
  <si>
    <t>005696</t>
  </si>
  <si>
    <t>ESMALTE EPOXI VANGUARD GRIS CEMENTO RAL 7023 X  3,2</t>
  </si>
  <si>
    <t>005697</t>
  </si>
  <si>
    <t>ESMALTE EPOXI VANGUARD GRIS CEMENTO RAL 7023 X 16</t>
  </si>
  <si>
    <t>005698</t>
  </si>
  <si>
    <t>CINTA DE PAPEL FIJAPEL 48MMX40MT</t>
  </si>
  <si>
    <t>005699</t>
  </si>
  <si>
    <t>FONDO ANTIOXIDO TERSUAVE MATE ROJO X  4</t>
  </si>
  <si>
    <t>005700</t>
  </si>
  <si>
    <t>KIT DE 5 PINCELES DE POLI ESPUMA(KITP1)</t>
  </si>
  <si>
    <t>005701</t>
  </si>
  <si>
    <t>LATEX INTERIOR TERSEN BLANCO X 10</t>
  </si>
  <si>
    <t>005702</t>
  </si>
  <si>
    <t>D740/E3.5 BLACK X 3,5</t>
  </si>
  <si>
    <t>005703</t>
  </si>
  <si>
    <t>D7410AL DELTRON BC BRIGHT BLUE X 1</t>
  </si>
  <si>
    <t>005704</t>
  </si>
  <si>
    <t>D7440AL WARM YELLOW X 1</t>
  </si>
  <si>
    <t>005705</t>
  </si>
  <si>
    <t>D7460AL DELTRON BC MAGENTA X 1</t>
  </si>
  <si>
    <t>005706</t>
  </si>
  <si>
    <t>D7480AL DELTRON BC TRANSPARENT MAROON X 1</t>
  </si>
  <si>
    <t>005707</t>
  </si>
  <si>
    <t>D7490AL DELTRON BC MARRON X 1</t>
  </si>
  <si>
    <t>005708</t>
  </si>
  <si>
    <t>D7500AL DELTRON BC OLIVE X 1</t>
  </si>
  <si>
    <t>005709</t>
  </si>
  <si>
    <t>D751/E1 DELTRON BC PERLA BLANCA X 1</t>
  </si>
  <si>
    <t>005710</t>
  </si>
  <si>
    <t>D752/E1 DELTRON BC ROJO X 1</t>
  </si>
  <si>
    <t>005711</t>
  </si>
  <si>
    <t>D753/E3.5 DELTRON BC BASECOAT WHITE X 3,5</t>
  </si>
  <si>
    <t>005712</t>
  </si>
  <si>
    <t>D754/E1 DELTRON BC AZUL TRANSPARENTE X 1</t>
  </si>
  <si>
    <t>005713</t>
  </si>
  <si>
    <t>D756/E1 DELTRON BC BLUE BLACK X 1</t>
  </si>
  <si>
    <t>005714</t>
  </si>
  <si>
    <t>D7570AL DELTRON BC RUBY X 1</t>
  </si>
  <si>
    <t>005715</t>
  </si>
  <si>
    <t>D759/E1 DELTRON BC BASE MATEANTE X 1</t>
  </si>
  <si>
    <t>005716</t>
  </si>
  <si>
    <t>D760/E1 TRANSPARENT MID SHADE BLUE X 1</t>
  </si>
  <si>
    <t>005717</t>
  </si>
  <si>
    <t>D761/E1 RICH RED BLUE X 1</t>
  </si>
  <si>
    <t>005718</t>
  </si>
  <si>
    <t>D762/E1 DELTRON BC VIOLET BLUE X 1</t>
  </si>
  <si>
    <t>005719</t>
  </si>
  <si>
    <t>D763/E1 DELTRON BC BLUE PEARL X 1</t>
  </si>
  <si>
    <t>005720</t>
  </si>
  <si>
    <t>D7640AL DELTRON BC RED VIOLET X 1</t>
  </si>
  <si>
    <t>005721</t>
  </si>
  <si>
    <t>D7650AL DELTRON BC FINE RED PEARL X 1</t>
  </si>
  <si>
    <t>005722</t>
  </si>
  <si>
    <t>D7670AL DELTRON BC FINE SATIN ALUMINIUM X 1</t>
  </si>
  <si>
    <t>005723</t>
  </si>
  <si>
    <t>D768/E1 DELTRON BC MEDIUM SATIN ALUMINIUM X 1</t>
  </si>
  <si>
    <t>005724</t>
  </si>
  <si>
    <t>D769/E1 D769 DELTRON BC SILVER EXTRA FINE X 1</t>
  </si>
  <si>
    <t>005725</t>
  </si>
  <si>
    <t>D770/E3.5 DELTRON BC ALUMINIO FINO X 3,5</t>
  </si>
  <si>
    <t>005726</t>
  </si>
  <si>
    <t>D771/E3.5 DELTRON BC ALUMINIO MEDIO X 3,5</t>
  </si>
  <si>
    <t>005727</t>
  </si>
  <si>
    <t>D772/E3.5 DELTRON BC ALUMINIO GRUESO X 3,5</t>
  </si>
  <si>
    <t>005728</t>
  </si>
  <si>
    <t>D7760AL DELTRON BC AZUL X 1</t>
  </si>
  <si>
    <t>005729</t>
  </si>
  <si>
    <t>D7770AL DELTRON BC VERDE TRANSPARENTE X 1</t>
  </si>
  <si>
    <t>005730</t>
  </si>
  <si>
    <t>D7780AL YELLOW OXIDE X 1</t>
  </si>
  <si>
    <t>005731</t>
  </si>
  <si>
    <t>D7790AL DELTRON BC ROJO OXIDO X 1</t>
  </si>
  <si>
    <t>005732</t>
  </si>
  <si>
    <t>D7800AL DELTRON BC AMARILLO BRILLANTE X 1</t>
  </si>
  <si>
    <t>005733</t>
  </si>
  <si>
    <t>D789/E3.5 DELTRON BC JET BLACK X 3,5</t>
  </si>
  <si>
    <t>005734</t>
  </si>
  <si>
    <t>D7900AL DELTRON BC TRANSPARENT ORANGE X 1</t>
  </si>
  <si>
    <t>005735</t>
  </si>
  <si>
    <t>D7920AL DELTRON BC NARANJA LUMINOSO X 1</t>
  </si>
  <si>
    <t>005736</t>
  </si>
  <si>
    <t>D7930AL DELTRON BC BRIGHT RED PEARL X 1</t>
  </si>
  <si>
    <t>005737</t>
  </si>
  <si>
    <t>D7940AL DELTRON BC VERDANT YELLOW X 1</t>
  </si>
  <si>
    <t>005738</t>
  </si>
  <si>
    <t>D7970AL DELTRON BC VERDE PTHALO X 1</t>
  </si>
  <si>
    <t>005739</t>
  </si>
  <si>
    <t>D8950AL DELTRON BC COLOR BLENDER X 1</t>
  </si>
  <si>
    <t>005740</t>
  </si>
  <si>
    <t>D9021/E0.35 DELTRON BC VIOLA FANTASY X 0,350</t>
  </si>
  <si>
    <t>005741</t>
  </si>
  <si>
    <t>D9037/E0.35 DELTRON BC TROPIC SUNRISE X 0,350</t>
  </si>
  <si>
    <t>005742</t>
  </si>
  <si>
    <t>D9420AL DELTRON BC GRAPHITE BLACK X 1</t>
  </si>
  <si>
    <t>005743</t>
  </si>
  <si>
    <t>D9430AL DELTRON BC FINE BLUE PEARL X 1</t>
  </si>
  <si>
    <t>005744</t>
  </si>
  <si>
    <t>D9440AL DELTRON BC ALUM. DORADO GRANO MEDIO X 1</t>
  </si>
  <si>
    <t>005745</t>
  </si>
  <si>
    <t>D945/E1 DELTRON BC PERLA AMARILLO ORO X 1</t>
  </si>
  <si>
    <t>005746</t>
  </si>
  <si>
    <t>D946/E3.5 DELTRON BC ALUM.LENTIC.  EXTRA FINO X 3,5</t>
  </si>
  <si>
    <t>005747</t>
  </si>
  <si>
    <t>D952/E3.5 DELTRON BC ALUM. LENTICULAR FINO X 3,5</t>
  </si>
  <si>
    <t>005748</t>
  </si>
  <si>
    <t>D953/E1 DELTRON BC ALUM. LENTICULAR GRUESO X 1</t>
  </si>
  <si>
    <t>005749</t>
  </si>
  <si>
    <t>D9540AL DELTRON BC EXTRA FINE WHITE PEARL X 1</t>
  </si>
  <si>
    <t>005750</t>
  </si>
  <si>
    <t>D9550AL DELTRON BC PERLA COBRE X 1</t>
  </si>
  <si>
    <t>005751</t>
  </si>
  <si>
    <t>D9560AL DELTRON BC PERLA AMARILLA X 1</t>
  </si>
  <si>
    <t>005752</t>
  </si>
  <si>
    <t>D9570AL DELTRON BC PERLA VERDE X 1</t>
  </si>
  <si>
    <t>005753</t>
  </si>
  <si>
    <t>D9580AL DELTRON BC PERLA VIOLETA X 1</t>
  </si>
  <si>
    <t>005754</t>
  </si>
  <si>
    <t>D9590AL DELTRON BC ULTRA FINE WHITE X 1</t>
  </si>
  <si>
    <t>005755</t>
  </si>
  <si>
    <t>D9600AL DELTRON BC PERLA ROJA X 1</t>
  </si>
  <si>
    <t>005756</t>
  </si>
  <si>
    <t>D9640AL AMARILLO LUMINOSO X 1</t>
  </si>
  <si>
    <t>005757</t>
  </si>
  <si>
    <t>D9650AL BC ORANGE PEARL X 1</t>
  </si>
  <si>
    <t>005758</t>
  </si>
  <si>
    <t>D9660AL DELTRON BC TRACE WHITE X 1</t>
  </si>
  <si>
    <t>005759</t>
  </si>
  <si>
    <t>D9670AL DELTRON BC TRACE BLACK X 1</t>
  </si>
  <si>
    <t>005760</t>
  </si>
  <si>
    <t>D9680AL DELTRON BC TRACE RED X 1</t>
  </si>
  <si>
    <t>005761</t>
  </si>
  <si>
    <t>D9690AL DELTRON BC TRACE YELLOW X 1</t>
  </si>
  <si>
    <t>005762</t>
  </si>
  <si>
    <t>D9700AL DELTRON BC TRACE BLUE X 1</t>
  </si>
  <si>
    <t>005763</t>
  </si>
  <si>
    <t>D9710AL DELTRON TRACE GREEN BC X 1</t>
  </si>
  <si>
    <t>005764</t>
  </si>
  <si>
    <t>D973/E1 DELTRON BC RED GREEN PEARL X 1</t>
  </si>
  <si>
    <t>005765</t>
  </si>
  <si>
    <t>D9760AL DELTRON BC MAGENTA X 1</t>
  </si>
  <si>
    <t>005766</t>
  </si>
  <si>
    <t>D9770AL DELTRON BC RED SHADE BLUE X 1</t>
  </si>
  <si>
    <t>005767</t>
  </si>
  <si>
    <t>D9780AL DELTRON BC SCARLET X 1</t>
  </si>
  <si>
    <t>005768</t>
  </si>
  <si>
    <t>D9790AL DELTRON BC TRANSPARENT VIOLET X 1</t>
  </si>
  <si>
    <t>005769</t>
  </si>
  <si>
    <t>D9800AL DELTRON BC TRANSPARENT GOLD X 1</t>
  </si>
  <si>
    <t>005770</t>
  </si>
  <si>
    <t>D9810AL DELTRON BC INTENSE VIOLET X 1</t>
  </si>
  <si>
    <t>005771</t>
  </si>
  <si>
    <t>D9830AL DELTRON BC ORANGE ALUMINIUM X 1</t>
  </si>
  <si>
    <t>005772</t>
  </si>
  <si>
    <t>D985/E1 DELTRON BC BLUE ALUMINIUM X 1</t>
  </si>
  <si>
    <t>005773</t>
  </si>
  <si>
    <t>D9890AL DELTRON BC COARSE SILVER DOLLAR ALUMINIUM X 1</t>
  </si>
  <si>
    <t>005774</t>
  </si>
  <si>
    <t>D990/E1 DELTRON BC FINE GLACIER WHITE X 1</t>
  </si>
  <si>
    <t>005775</t>
  </si>
  <si>
    <t>D991/E1 DELTRON BC RUBINE X 1</t>
  </si>
  <si>
    <t>005776</t>
  </si>
  <si>
    <t>PRLX1KAAH DELTRON BC CRYSTAL RED PEARL X 0,113</t>
  </si>
  <si>
    <t>005777</t>
  </si>
  <si>
    <t>PRLX2KAAH DELTRON BC CRYSTAL SILVER PEARL X 0,113</t>
  </si>
  <si>
    <t>005778</t>
  </si>
  <si>
    <t>PRLX3KAAH CRYSTAL GOLD PEARL X 0,133</t>
  </si>
  <si>
    <t>005779</t>
  </si>
  <si>
    <t>PRLX4KAAH DELTRON BC CRYSTAL BLUE PEARL X 0,113</t>
  </si>
  <si>
    <t>005780</t>
  </si>
  <si>
    <t>PRLX5KAAH DELTRON BC STELLAR GREEN PEARL X 0,113</t>
  </si>
  <si>
    <t>005781</t>
  </si>
  <si>
    <t>PRLX6KAAH SOLARIS RED PEARL X 0,113</t>
  </si>
  <si>
    <t>005782</t>
  </si>
  <si>
    <t>PRLX7KAAH DELTRON BC FIRESIDE COPPER PEARL X 0,113</t>
  </si>
  <si>
    <t>005783</t>
  </si>
  <si>
    <t>PRLX8KAAH DELTRON BC COSMIC TURQUOISE PEARL X 0,113</t>
  </si>
  <si>
    <t>005784</t>
  </si>
  <si>
    <t>PRLX9KAAH DELTRON BC AMETHYST DREAM PEARL X X 0,113</t>
  </si>
  <si>
    <t>005785</t>
  </si>
  <si>
    <t>ROTOR AZUL</t>
  </si>
  <si>
    <t>005786</t>
  </si>
  <si>
    <t>STATOR AZUL AUTORREGULABLE</t>
  </si>
  <si>
    <t>005787</t>
  </si>
  <si>
    <t>IMPERMEABILIZANTE PARA FRENTES REVECAUCHO NEGRO X 11</t>
  </si>
  <si>
    <t>005788</t>
  </si>
  <si>
    <t>IMPERMEABILIZANTE PARA FRENTES REVECAUCHO NEGRO X 22</t>
  </si>
  <si>
    <t>005789</t>
  </si>
  <si>
    <t>IMPERMEABILIZANTE PARA FRENTES REVECAUCHO ROJO X 11</t>
  </si>
  <si>
    <t>005790</t>
  </si>
  <si>
    <t>IMPERMEABILIZANTE PARA FRENTES REVECAUCHO ROJO X 22</t>
  </si>
  <si>
    <t>005791</t>
  </si>
  <si>
    <t>IMPERMEABILIZANTE PARA FRENTES REVECAUCHO VERDE X 11</t>
  </si>
  <si>
    <t>005792</t>
  </si>
  <si>
    <t>IMPERMEABILIZANTE PARA FRENTES REVECAUCHO VERDE X 22</t>
  </si>
  <si>
    <t>005793</t>
  </si>
  <si>
    <t>IMPERMEABILIZANTE PARA FRENTES PLAVICON CAUCHO SUPERGOMA GRIS X  4</t>
  </si>
  <si>
    <t>005794</t>
  </si>
  <si>
    <t>IMPERMEABILIZANTE PARA FRENTES PLAVICON CAUCHO SUPERGOMA GRIS X 20</t>
  </si>
  <si>
    <t>005795</t>
  </si>
  <si>
    <t>PULIDORA 3D ROTO ORBITAL (L-37PRO)</t>
  </si>
  <si>
    <t>005796</t>
  </si>
  <si>
    <t>AEROSOL AL AGUA RUST-OLEUM LOW ODOR NEGRO X 0,312 (388245)</t>
  </si>
  <si>
    <t>005797</t>
  </si>
  <si>
    <t>AEROSOL AL AGUA RUST-OLEUM LOW ODOR GRIS ANCLA X 0,312 (388246)</t>
  </si>
  <si>
    <t>005798</t>
  </si>
  <si>
    <t>AEROSOL AL AGUA RUST-OLEUM LOW ODOR ROJO LADYBUG X 0,312 (388247)</t>
  </si>
  <si>
    <t>005799</t>
  </si>
  <si>
    <t>AEROSOL AL AGUA RUST-OLEUM LOW ODOR AMARILLO MARGARITA X 0,312 (388269)</t>
  </si>
  <si>
    <t>005800</t>
  </si>
  <si>
    <t>AEROSOL AL AGUA RUST-OLEUM LOW ODOR VERDE SUERTE X 0,312 (388270)</t>
  </si>
  <si>
    <t>005801</t>
  </si>
  <si>
    <t>AEROSOL AL AGUA RUST-OLEUM LOW ODOR AZUL MARINO X 0,312 (388271)</t>
  </si>
  <si>
    <t>005802</t>
  </si>
  <si>
    <t>AEROSOL AL AGUA RUST-OLEUM LOW ODOR BLANCO NIEVE X 0,312 (388274)</t>
  </si>
  <si>
    <t>005811</t>
  </si>
  <si>
    <t>FONDO ANTIOXIDO TERSUAVE MATE MARFIL X 20</t>
  </si>
  <si>
    <t>005812</t>
  </si>
  <si>
    <t>TRAJE DE PINTURA ANTI ESTATICA  #M</t>
  </si>
  <si>
    <t>005813</t>
  </si>
  <si>
    <t>TRAJE DE PINTURA ANTI ESTATICA #EG</t>
  </si>
  <si>
    <t>005814</t>
  </si>
  <si>
    <t>TRAJE DE PINTURA ANTI ESTATICA #EXG</t>
  </si>
  <si>
    <t>005815</t>
  </si>
  <si>
    <t>FONDO ANTIOXIDO TERSUAVE MATE NEGRO X 20</t>
  </si>
  <si>
    <t>005816</t>
  </si>
  <si>
    <t>LATEX INTERIOR/EXTERIOR TERSUAVE DECO MATE BLANCO X  4</t>
  </si>
  <si>
    <t>005817</t>
  </si>
  <si>
    <t>LATEX INTERIOR/EXTERIOR TERSUAVE DECO MATE BLANCO X 10</t>
  </si>
  <si>
    <t>005818</t>
  </si>
  <si>
    <t>LATEX INTERIOR/EXTERIOR TERSUAVE DECO MATE BLANCO X 20</t>
  </si>
  <si>
    <t>005819</t>
  </si>
  <si>
    <t>LATEX EXTERIOR TERSUAVE DECO MATE BLANCO X  4</t>
  </si>
  <si>
    <t>005820</t>
  </si>
  <si>
    <t>LATEX EXTERIOR TERSUAVE DECO MATE BLANCO X 10</t>
  </si>
  <si>
    <t>005821</t>
  </si>
  <si>
    <t>LATEX EXTERIOR TERSUAVE DECO MATE BLANCO X 20</t>
  </si>
  <si>
    <t>005822</t>
  </si>
  <si>
    <t>COMPUESTO DE PULIDO Y SELLADO SIN SILICONA 3D 505 AAT CORRECTION GLAZE X 0,500(505OZ16)</t>
  </si>
  <si>
    <t>005823</t>
  </si>
  <si>
    <t>CREMA DE PULIDO 3D 520 ACA FINISHING POLISH X 0,500 (520OZ16)</t>
  </si>
  <si>
    <t>005824</t>
  </si>
  <si>
    <t>PINTURA PARA MELAMINA RUST OLEUM MATE VERDE PACIFICO X 0,887(PA000003)</t>
  </si>
  <si>
    <t>005825</t>
  </si>
  <si>
    <t>PINTURA PARA MELAMINA RUST OLEUM MATE BLANCO CRUDO X 0,887(PA000004)</t>
  </si>
  <si>
    <t>005826</t>
  </si>
  <si>
    <t>PINTURA PARA MELAMINA RUST OLEUM MATE GRIS PALIDO X 0,887(PA000005)</t>
  </si>
  <si>
    <t>005827</t>
  </si>
  <si>
    <t>FONDO ANTIOXIDO TERSUAVE MATE GRIS X 20</t>
  </si>
  <si>
    <t>005828</t>
  </si>
  <si>
    <t>IMPERMEABILIZANTE PARA MUROS Y TECHOS TECHESCO BLANCO X  4</t>
  </si>
  <si>
    <t>005829</t>
  </si>
  <si>
    <t>IMPERMEABILIZANTE PARA MUROS Y TECHOS TECHESCO BLANCO X 20</t>
  </si>
  <si>
    <t>005830</t>
  </si>
  <si>
    <t>IMPERMEABILIZANTE PARA MUROS Y TECHOS TECHESCO GRIS X  4</t>
  </si>
  <si>
    <t>005831</t>
  </si>
  <si>
    <t>IMPERMEABILIZANTE PARA MUROS Y TECHOS TECHESCO GRIS X 20</t>
  </si>
  <si>
    <t>005832</t>
  </si>
  <si>
    <t>IMPERMEABILIZANTE PARA MUROS Y TECHOS TECHESCO GRIS OSCURO X  4</t>
  </si>
  <si>
    <t>005833</t>
  </si>
  <si>
    <t>IMPERMEABILIZANTE PARA MUROS Y TECHOS TECHESCO GRIS OSCURO X 20</t>
  </si>
  <si>
    <t>005834</t>
  </si>
  <si>
    <t>IMPERMEABILIZANTE PARA MUROS Y TECHOS TECHESCO ROJO X  4</t>
  </si>
  <si>
    <t>005835</t>
  </si>
  <si>
    <t>IMPERMEABILIZANTE PARA MUROS Y TECHOS TECHESCO ROJO X 20</t>
  </si>
  <si>
    <t>005836</t>
  </si>
  <si>
    <t>LATEX INTERIOR/EXTERIOR MULTICOLOR BLANCO X 25</t>
  </si>
  <si>
    <t>005837</t>
  </si>
  <si>
    <t>LATEX INTERIOR TERSUAVE LAVABLE ANTIMANCHAS MATE BLANCO X  1</t>
  </si>
  <si>
    <t>005838</t>
  </si>
  <si>
    <t>LATEX INTERIOR TERSUAVE LAVABLE ANTIMANCHAS MATE BLANCO X  4</t>
  </si>
  <si>
    <t>005839</t>
  </si>
  <si>
    <t>LATEX INTERIOR TERSUAVE LAVABLE ANTIMANCHAS MATE BLANCO X 10</t>
  </si>
  <si>
    <t>005840</t>
  </si>
  <si>
    <t>LATEX INTERIOR TERSUAVE LAVABLE ANTIMANCHAS MATE BLANCO X 20</t>
  </si>
  <si>
    <t>005841</t>
  </si>
  <si>
    <t>MEMBRANA ASFALTICA EMAPI GEOTEXTIL N 500 GEO PINT PLUS 43KG</t>
  </si>
  <si>
    <t>005842</t>
  </si>
  <si>
    <t>MASILLA EPOXI TERSUAVE INDULAC BEIGE CLARO X 2</t>
  </si>
  <si>
    <t>005843</t>
  </si>
  <si>
    <t>MASILLA EPOXI TERSUAVE INDULAC BEIGE CLARO X 8</t>
  </si>
  <si>
    <t>005844</t>
  </si>
  <si>
    <t>FONDO ANTIOXIDO TERSUAVE MATE VERDE X 20</t>
  </si>
  <si>
    <t>005845</t>
  </si>
  <si>
    <t>MEMBRANA LIQUIDA PARA TECHOS TECHESCO BLANCO X  5</t>
  </si>
  <si>
    <t>005846</t>
  </si>
  <si>
    <t>MEMBRANA LIQUIDA PARA TECHOS TECHESCO BLANCO X 10</t>
  </si>
  <si>
    <t>005847</t>
  </si>
  <si>
    <t>MEMBRANA LIQUIDA PARA TECHOS TECHESCO BLANCO X 20</t>
  </si>
  <si>
    <t>005848</t>
  </si>
  <si>
    <t>MEMBRANA LIQUIDA PARA TECHOS TECHESCO NEGRO X  5</t>
  </si>
  <si>
    <t>005849</t>
  </si>
  <si>
    <t>MEMBRANA LIQUIDA PARA TECHOS TECHESCO NEGRO X 10</t>
  </si>
  <si>
    <t>005850</t>
  </si>
  <si>
    <t>MEMBRANA LIQUIDA PARA TECHOS TECHESCO NEGRO X 20</t>
  </si>
  <si>
    <t>005851</t>
  </si>
  <si>
    <t>MEMBRANA LIQUIDA PARA TECHOS TECHESCO ROJO X  5</t>
  </si>
  <si>
    <t>005852</t>
  </si>
  <si>
    <t>MEMBRANA LIQUIDA PARA TECHOS TECHESCO ROJO X 10</t>
  </si>
  <si>
    <t>005853</t>
  </si>
  <si>
    <t>MEMBRANA LIQUIDA PARA TECHOS TECHESCO ROJO X 20</t>
  </si>
  <si>
    <t>005854</t>
  </si>
  <si>
    <t>ESMALTE SINTETICO CRISTASOL BRILLANTE GRIS HIELO X 18</t>
  </si>
  <si>
    <t>005855</t>
  </si>
  <si>
    <t>FONDO EPOXI MASTIC VANGUARD TINTABLE TRANSPARENTE 72% X  3,2</t>
  </si>
  <si>
    <t>005856</t>
  </si>
  <si>
    <t>FONDO EPOXI MASTIC VANGUARD TINTABLE TRANSPARENTE 72% X 16</t>
  </si>
  <si>
    <t>005857</t>
  </si>
  <si>
    <t>FONDO EPOXI MASTIC VANGUARD GRIS 72% X  4</t>
  </si>
  <si>
    <t>005858</t>
  </si>
  <si>
    <t>FONDO EPOXI MASTIC VANGUARD GRIS 72% X 20</t>
  </si>
  <si>
    <t>005859</t>
  </si>
  <si>
    <t>CATALIZADOR PARA FONDO EPOXI MASTIC VANGUARD X  4</t>
  </si>
  <si>
    <t>005860</t>
  </si>
  <si>
    <t>CATALIZADOR PARA FONDO EPOXI MASTIC VANGUARD X 20</t>
  </si>
  <si>
    <t>005861</t>
  </si>
  <si>
    <t>US FLOORING SOLUTIONS PRIME&amp;SEAL KIT(237333)</t>
  </si>
  <si>
    <t>005862</t>
  </si>
  <si>
    <t>US CONCRETE 8000S KIT EPOXI 100% SOLIDO GRIS CALRO X 11,34(388961)</t>
  </si>
  <si>
    <t>005863</t>
  </si>
  <si>
    <t>US CONCRETE 8000S KIT EPOXI 100% SOLIDO GRIS ARMADURA X 11,34(388962)</t>
  </si>
  <si>
    <t>005864</t>
  </si>
  <si>
    <t>US CONCRETE 8000S KIT EPOXI 100% SOLIDO TRANSPARENTE X 11,34(388964)</t>
  </si>
  <si>
    <t>005865</t>
  </si>
  <si>
    <t>US FLOORING SOLUTIONS TURBOKRETE MORTERO CONCRETE PASTCH GRIS KIT(253479)</t>
  </si>
  <si>
    <t>005866</t>
  </si>
  <si>
    <t>REVOQUE TERMOAISLANTE WEBERTHERM CLIMAMUR GRIS X 7</t>
  </si>
  <si>
    <t>005867</t>
  </si>
  <si>
    <t>DEMARCACION VIAL TERSUAVE COLOREADO ROJO X 20</t>
  </si>
  <si>
    <t>005868</t>
  </si>
  <si>
    <t>ACOPLE SINTETICO DUO MIX(98-0075)</t>
  </si>
  <si>
    <t>005869</t>
  </si>
  <si>
    <t>ESCALERA FIBRA DE VIDRIO SIN FIN BOMBERO  8 ESC.</t>
  </si>
  <si>
    <t>005870</t>
  </si>
  <si>
    <t>ESCALERA FIBRA DE VIDRIO SIN FIN BOMBERO 10 ESC.</t>
  </si>
  <si>
    <t>005871</t>
  </si>
  <si>
    <t>ESCALERA FIBRA DE VIDRIO SIN FIN BOMBERO 12 ESC.</t>
  </si>
  <si>
    <t>005872</t>
  </si>
  <si>
    <t>ESCALERA FIBRA DE VIDRIO SIN FIN BOMBERO 14 ESC.</t>
  </si>
  <si>
    <t>005873</t>
  </si>
  <si>
    <t>ESCALERA FIBRA DE VIDRIO SIN FIN BOMBERO 16 ESC.</t>
  </si>
  <si>
    <t>005874</t>
  </si>
  <si>
    <t>ESCALERA FIBRA DE VIDRIO SIN FIN BOMBERO 18 ESC.</t>
  </si>
  <si>
    <t>005875</t>
  </si>
  <si>
    <t>ESCALERA FIBRA DE VIDRIO SIN FIN BOMBERO 20 ESC.</t>
  </si>
  <si>
    <t>005876</t>
  </si>
  <si>
    <t>LATEX INTERIOR ALBALATEX ULTRALAVABLE ANTIMARCAS MATE BASE F X  0,900</t>
  </si>
  <si>
    <t>005877</t>
  </si>
  <si>
    <t>LATEX INTERIOR ALBALATEX ULTRALAVABLE ANTIMARCAS MATE BASE F X  3,600</t>
  </si>
  <si>
    <t>005878</t>
  </si>
  <si>
    <t>LATEX INTERIOR ALBALATEX ULTRALAVABLE ANTIMARCAS MATE BASE F X 17,400</t>
  </si>
  <si>
    <t>005879</t>
  </si>
  <si>
    <t>LATEX INTERIOR ALBALATEX ULTRALAVABLE ANTIMARCAS MATE BASE P X  0,900</t>
  </si>
  <si>
    <t>005880</t>
  </si>
  <si>
    <t>LATEX INTERIOR ALBALATEX ULTRALAVABLE ANTIMARCAS MATE BASE P X  3,600</t>
  </si>
  <si>
    <t>005881</t>
  </si>
  <si>
    <t>LATEX INTERIOR ALBALATEX ULTRALAVABLE ANTIMARCAS MATE BASE P X  8,700</t>
  </si>
  <si>
    <t>005882</t>
  </si>
  <si>
    <t>LATEX INTERIOR ALBALATEX ULTRALAVABLE ANTIMARCAS MATE BASE P X 17,400</t>
  </si>
  <si>
    <t>005883</t>
  </si>
  <si>
    <t>LATEX INTERIOR ALBALATEX ULTRALAVABLE ANTIMARCAS MATE BASE T X  0,900</t>
  </si>
  <si>
    <t>005884</t>
  </si>
  <si>
    <t>LATEX INTERIOR ALBALATEX ULTRALAVABLE ANTIMARCAS MATE BASE T X  3,600</t>
  </si>
  <si>
    <t>005885</t>
  </si>
  <si>
    <t>LATEX INTERIOR ALBALATEX ULTRALAVABLE ANTIMARCAS MATE BLANCO X  1</t>
  </si>
  <si>
    <t>005886</t>
  </si>
  <si>
    <t>LATEX INTERIOR ALBALATEX ULTRALAVABLE ANTIMARCAS MATE BLANCO X  4</t>
  </si>
  <si>
    <t>005887</t>
  </si>
  <si>
    <t>LATEX INTERIOR ALBALATEX ULTRALAVABLE ANTIMARCAS MATE BLANCO X 10</t>
  </si>
  <si>
    <t>005888</t>
  </si>
  <si>
    <t>LATEX INTERIOR ALBALATEX ULTRALAVABLE ANTIMARCAS MATE BLANCO X 20</t>
  </si>
  <si>
    <t>005889</t>
  </si>
  <si>
    <t>IMPERMEABILIZANTE PARA FRENTES Y MUROS ALBAFRENT MATE BASE P X  3,600</t>
  </si>
  <si>
    <t>005890</t>
  </si>
  <si>
    <t>IMPERMEABILIZANTE PARA FRENTES Y MUROS ALBAFRENT MATE BASE P X 17,400</t>
  </si>
  <si>
    <t>005891</t>
  </si>
  <si>
    <t>IMPERMEABILIZANTE PARA TECHOS PLAVICON FIBRADO VERDE X  0,320</t>
  </si>
  <si>
    <t>005892</t>
  </si>
  <si>
    <t>IMPERMEABILIZANTE PARA TECHOS PLAVICON FIBRADO VERDE X  1,250</t>
  </si>
  <si>
    <t>005893</t>
  </si>
  <si>
    <t>IMPERMEABILIZANTE PARA TECHOS PLAVICON FIBRADO VERDE X  5</t>
  </si>
  <si>
    <t>005894</t>
  </si>
  <si>
    <t>IMPERMEABILIZANTE PARA TECHOS PLAVICON FIBRADO VERDE X 12</t>
  </si>
  <si>
    <t>005895</t>
  </si>
  <si>
    <t>IMPERMEABILIZANTE PARA TECHOS PLAVICON FIBRADO VERDE X 25</t>
  </si>
  <si>
    <t>005896</t>
  </si>
  <si>
    <t>SIGMAZINC 158 IMPRIMACION DE SILICATO DE ZINC 2C GRIS MATE X 18,5</t>
  </si>
  <si>
    <t>005897</t>
  </si>
  <si>
    <t>TUBO PLÁSTICO 200 MM 98-0070</t>
  </si>
  <si>
    <t>005898</t>
  </si>
  <si>
    <t>PINTURA PARA PILETA ALBA AL CAUCHO MATE CELESTE PROFUNDO X 20</t>
  </si>
  <si>
    <t>005899</t>
  </si>
  <si>
    <t>FONDO ANTIOXIDO TERSUAVE MATE ROJO X 20</t>
  </si>
  <si>
    <t>005900</t>
  </si>
  <si>
    <t>SELLADOR PARA CABAÑAS NODULO MARRON X 0,420</t>
  </si>
  <si>
    <t>005901</t>
  </si>
  <si>
    <t>LATEX INTERIOR TERSEN BLANCO X 20</t>
  </si>
  <si>
    <t>005902</t>
  </si>
  <si>
    <t>ESMALTE SINTETICO TERSUAVE TRIPLE ACCION DECOLUX BRILLANTE GRIS X  1</t>
  </si>
  <si>
    <t>005903</t>
  </si>
  <si>
    <t>ESMALTE SINTETICO TERSUAVE TRIPLE ACCION DECOLUX BRILLANTE GRIS X  4</t>
  </si>
  <si>
    <t>005904</t>
  </si>
  <si>
    <t>ESMALTE SINTETICO TERSUAVE TRIPLE ACCION DECOLUX BRILLANTE GRIS X 20</t>
  </si>
  <si>
    <t>005905</t>
  </si>
  <si>
    <t>ESMALTE EPOXI RECUFLOOR ALTOTRANSITO 2C GRIS X 1</t>
  </si>
  <si>
    <t>005906</t>
  </si>
  <si>
    <t>ESMALTE EPOXI RECUFLOOR ALTOTRANSITO 2C GRIS X 4</t>
  </si>
  <si>
    <t>005907</t>
  </si>
  <si>
    <t>REVESTIMIENTO TEXTURADO ALBA TRAVERTINO FINO BLANCO X 25 - NO USAR</t>
  </si>
  <si>
    <t>005908</t>
  </si>
  <si>
    <t>005909</t>
  </si>
  <si>
    <t>REVESTIMIENTO TEXTURADO ALBA TRAVERTINO MEDIO BLANCO X 25 - NO USAR</t>
  </si>
  <si>
    <t>005910</t>
  </si>
  <si>
    <t>005911</t>
  </si>
  <si>
    <t>RED SOSTEN RESISTENTE UV ROLLO 2X10 (20M2)</t>
  </si>
  <si>
    <t>005912</t>
  </si>
  <si>
    <t>RED SOSTEN RESISTENTE UV ROLLO 2X25 (50M2)</t>
  </si>
  <si>
    <t>005913</t>
  </si>
  <si>
    <t>RED SOSTEN RESISTENTE UV ROLLO 2X50 (100M2)</t>
  </si>
  <si>
    <t>005914</t>
  </si>
  <si>
    <t>RED SOSTEN RESISTENTE UV ROLLO 2X100 (200M2)</t>
  </si>
  <si>
    <t>005915</t>
  </si>
  <si>
    <t>RED SOSTEN RESISTENTE UV ROLLO 2X200 (400M2)</t>
  </si>
  <si>
    <t>006001</t>
  </si>
  <si>
    <t>COMPL.BICAPA GRIS SEPIA RENAULT X 0,125</t>
  </si>
  <si>
    <t>006002</t>
  </si>
  <si>
    <t>COMPL.BICAPA GRIS HÏ¿½SAR RENAULT X 0,125</t>
  </si>
  <si>
    <t>006004</t>
  </si>
  <si>
    <t>COMP.BICA.G3 BEIGE DUNA RENAULT X 0,125</t>
  </si>
  <si>
    <t>006009</t>
  </si>
  <si>
    <t>COMPL.BICAPA AZUL MALLORCA RENAULT X 0,125</t>
  </si>
  <si>
    <t>006033</t>
  </si>
  <si>
    <t>COMPL.BICAPA GRIS FRAGATA RENAULT X 0,125</t>
  </si>
  <si>
    <t>006035</t>
  </si>
  <si>
    <t>COMPL.BICAPA NEGRO ECLIPSE RENAULT X 0,125</t>
  </si>
  <si>
    <t>006036</t>
  </si>
  <si>
    <t>COMPL.BICAPA AZUL ORION RENAULT X 0,125</t>
  </si>
  <si>
    <t>006037</t>
  </si>
  <si>
    <t>COMPSUG5 COL.GRIS TITANIO RENAULT X 0,125</t>
  </si>
  <si>
    <t>006050</t>
  </si>
  <si>
    <t>COMPL.BICAPA VERDE ESTIVAL RENAULT X 0,125</t>
  </si>
  <si>
    <t>006058</t>
  </si>
  <si>
    <t>COMP.BICA.G3 AZUL MEDIANOCHE RENAULT X 0,125</t>
  </si>
  <si>
    <t>006060</t>
  </si>
  <si>
    <t>COMPSUG5 COL.ROJO ASIÏ¿½TICO RENAULT X 0,125</t>
  </si>
  <si>
    <t>006062</t>
  </si>
  <si>
    <t>COMP.BICA.G4 ROJO BIZANTINO RENAULT X 0,125</t>
  </si>
  <si>
    <t>006063</t>
  </si>
  <si>
    <t>COMPL.BICAPA AZUL ATLANTIS RENAULT X 0,125</t>
  </si>
  <si>
    <t>006064</t>
  </si>
  <si>
    <t>COMPSUG2 COL.GRIS ALBATROS RENAULT X 0,125</t>
  </si>
  <si>
    <t>006066</t>
  </si>
  <si>
    <t>COMPL.BICAPA AZUL CORFU RENAULT X 0,125</t>
  </si>
  <si>
    <t>006079</t>
  </si>
  <si>
    <t>COMPSUG4 COL.GRIS TRITON RENAULT X 0,125</t>
  </si>
  <si>
    <t>006082</t>
  </si>
  <si>
    <t>COMPL.BICAPA ROJO CÏ¿½RDOBA RENAULT X 0,125</t>
  </si>
  <si>
    <t>006099</t>
  </si>
  <si>
    <t>COMPSUG1 COL.NEGRO EMBAJADOR RENAULT X 0,125</t>
  </si>
  <si>
    <t>006100</t>
  </si>
  <si>
    <t>COMPSUG5 COL.GRIS ICEBERG RENAULT X 0,125</t>
  </si>
  <si>
    <t>006103</t>
  </si>
  <si>
    <t>COMP.BICA.G2 VERDE TYROL RENAULT X 0,125</t>
  </si>
  <si>
    <t>006108</t>
  </si>
  <si>
    <t>COMPL.BICAPA ROJO PERSAN RENAULT X 0,125</t>
  </si>
  <si>
    <t>006109</t>
  </si>
  <si>
    <t>COMPL.BICAPA VERDE GIOTTO GM/CH X 0,125</t>
  </si>
  <si>
    <t>006120</t>
  </si>
  <si>
    <t>COMP.BICA.G2 AZUL NOCHE RENAULT X 0,125</t>
  </si>
  <si>
    <t>006129</t>
  </si>
  <si>
    <t>COMP.BICA.G2 AZUL MEMPHIS RENAULT X 0,125</t>
  </si>
  <si>
    <t>006135</t>
  </si>
  <si>
    <t>COMPSUG4 COL.GRIS MERCURIO RENAULT X 0,125</t>
  </si>
  <si>
    <t>006137</t>
  </si>
  <si>
    <t>COMPL.BICAPA AZUL IRIS RENAULT X 0,125</t>
  </si>
  <si>
    <t>006138</t>
  </si>
  <si>
    <t>COMP.BICA.G3 AZUL CREPÏ¿½SCULO RENAULT X 0,125</t>
  </si>
  <si>
    <t>006141</t>
  </si>
  <si>
    <t>COMPL.BICAPA ROJO VIF RENAULT X 0,125</t>
  </si>
  <si>
    <t>006143</t>
  </si>
  <si>
    <t>COMP.BICA.G3 ROJO ETRUSCO RENAULT X 0,125</t>
  </si>
  <si>
    <t>006147</t>
  </si>
  <si>
    <t>COMP.BICA.G4 AZUL METHIL RENAULT X 0,125</t>
  </si>
  <si>
    <t>006167</t>
  </si>
  <si>
    <t>COMPL.BICAPA GRIS XERUS RENAULT X 0,125</t>
  </si>
  <si>
    <t>006186</t>
  </si>
  <si>
    <t>COMPL.BICAPA BCO NÏ¿½RDICO RENAULT X 0,125</t>
  </si>
  <si>
    <t>006187</t>
  </si>
  <si>
    <t>COMPL.BICAPA BCO GLACIAR RENAULT X 0,125</t>
  </si>
  <si>
    <t>006188</t>
  </si>
  <si>
    <t>SIGMACOVER 350 (BAS16+HRD4) X 20</t>
  </si>
  <si>
    <t>006444</t>
  </si>
  <si>
    <t>COMPLACOLORIN GRIS ALAMO RENAULT X 125</t>
  </si>
  <si>
    <t>006448</t>
  </si>
  <si>
    <t>COMPLACOLORIN AZUL REGATA RENAULT X 125</t>
  </si>
  <si>
    <t>006468</t>
  </si>
  <si>
    <t>COMPSUG1 COL.BLANCO PORTILLO RENAULT X 125</t>
  </si>
  <si>
    <t>006493</t>
  </si>
  <si>
    <t>COMPLACOLORIN GRIS CORAZA RENAULT X 125</t>
  </si>
  <si>
    <t>006499</t>
  </si>
  <si>
    <t>COMPSUG2 COL.AZUL COSMOS RENAULT X 125</t>
  </si>
  <si>
    <t>006516</t>
  </si>
  <si>
    <t>COMPLACOLORIN COBRE NATIVO RENAULT X 125</t>
  </si>
  <si>
    <t>006517</t>
  </si>
  <si>
    <t>COMPSUG3 COL.ROJO IBERICO RENAULT X 125</t>
  </si>
  <si>
    <t>006518</t>
  </si>
  <si>
    <t>COMPSUG3 COL.AZUL NAUTILUS RENAULT X 125</t>
  </si>
  <si>
    <t>006531</t>
  </si>
  <si>
    <t>COMPLACOLORIN VERDE AMAZONIA RENAULT X 125</t>
  </si>
  <si>
    <t>006545</t>
  </si>
  <si>
    <t>COMPSUG4 COL.GRIS PRETORIA RENAULT X 125</t>
  </si>
  <si>
    <t>006546</t>
  </si>
  <si>
    <t>COMPLACOLORIN VERDE ALGA RENAULT X 125</t>
  </si>
  <si>
    <t>006547</t>
  </si>
  <si>
    <t>COMPLACOLORIN ROJO MONTECARLO RENAULT X 125</t>
  </si>
  <si>
    <t>006550</t>
  </si>
  <si>
    <t>COMPLACOLORIN AZUL SAMOA RENAULT X 125</t>
  </si>
  <si>
    <t>006574</t>
  </si>
  <si>
    <t>COMPSUG1 COL.BLANCO CHAPELCO RENAULT X 125</t>
  </si>
  <si>
    <t>006588</t>
  </si>
  <si>
    <t>COMPLACOLORIN AZUL CREPÏ¿½SCULO RENAULT X 125</t>
  </si>
  <si>
    <t>006614</t>
  </si>
  <si>
    <t>COMPSUG4 COL.ROJO MÏ¿½DENA RENAULT X 125</t>
  </si>
  <si>
    <t>006626</t>
  </si>
  <si>
    <t>COMPSUG3 COL.ROJO FIESTA RENAULT X 125</t>
  </si>
  <si>
    <t>006628</t>
  </si>
  <si>
    <t>COMPSUG4 COL.ROJO IBIZA RENAULT X 125</t>
  </si>
  <si>
    <t>006646</t>
  </si>
  <si>
    <t>COMPSUG1 COL.BLANCO NÏ¿½RDICO RENAULT X 125</t>
  </si>
  <si>
    <t>006657</t>
  </si>
  <si>
    <t>COMPACOLORIN BCO GLACIAR RENAULT X 125</t>
  </si>
  <si>
    <t>006661</t>
  </si>
  <si>
    <t>COMPSUG4 COL.AZUL SPORT PERL.REN.X 0,125</t>
  </si>
  <si>
    <t>006664</t>
  </si>
  <si>
    <t>COMPSUG4 COL.GRIS BOREAL PERL.REN.X 0,125</t>
  </si>
  <si>
    <t>006802</t>
  </si>
  <si>
    <t>NITRO COL.BLANCO PORTILLO RENAULT X0,125</t>
  </si>
  <si>
    <t>006818</t>
  </si>
  <si>
    <t>NITRO COL.AZUL PATRICIO RENAULT X0,125</t>
  </si>
  <si>
    <t>007001</t>
  </si>
  <si>
    <t>MOLDURA DE TERGOPOL ATTENEAS CORNIZA AT 20 X 2 MTS.</t>
  </si>
  <si>
    <t>007002</t>
  </si>
  <si>
    <t>MOLDURA DE TERGOPOL ATTENEAS CORNIZA AT 30 X 2 MTS.</t>
  </si>
  <si>
    <t>007003</t>
  </si>
  <si>
    <t>MOLDURA DE TERGOPOL ATTENEAS CORNIZA AT 35 X 2 MTS.</t>
  </si>
  <si>
    <t>007004</t>
  </si>
  <si>
    <t>MOLDURA DE TERGOPOL ATTENEAS CORNIZA AT 36 X 2 MTS.</t>
  </si>
  <si>
    <t>007005</t>
  </si>
  <si>
    <t>MOLDURA DE TERGOPOL ATTENEAS CORNIZA AT 40 X 2 MTS.</t>
  </si>
  <si>
    <t>007006</t>
  </si>
  <si>
    <t>MOLDURA DE TERGOPOL ATTENEAS CORNIZA AT 46 X 2 MTS.</t>
  </si>
  <si>
    <t>007007</t>
  </si>
  <si>
    <t>MOLDURA DE TERGOPOL ATTENEAS CORNIZA AT 49 X 2 MTS.</t>
  </si>
  <si>
    <t>007008</t>
  </si>
  <si>
    <t>MOLDURA DE TERGOPOL ATTENEAS CORNIZA AT 52 X 2 MTS.</t>
  </si>
  <si>
    <t>007009</t>
  </si>
  <si>
    <t>MOLDURA DE TERGOPOL ATTENEAS CORNIZA AT 58 X 2 MTS.</t>
  </si>
  <si>
    <t>007010</t>
  </si>
  <si>
    <t>MOLDURA DE TERGOPOL ATTENEAS CORNIZA AT 70 X 2 MTS.</t>
  </si>
  <si>
    <t>007011</t>
  </si>
  <si>
    <t>MOLDURA DE TERGOPOL ATTENEAS CORNIZA AT 76 X 2 MTS.</t>
  </si>
  <si>
    <t>007012</t>
  </si>
  <si>
    <t>MOLDURA DE TERGOPOL ATTENEAS CORNIZA AT 85 X 2 MTS.</t>
  </si>
  <si>
    <t>007013</t>
  </si>
  <si>
    <t>MOLDURA DE TERGOPOL ATTENEAS CORNIZA AT 90 X 2 MTS.</t>
  </si>
  <si>
    <t>007014</t>
  </si>
  <si>
    <t>MOLDURA DE TERGOPOL ATTENEAS CORNIZA AT105 X 2 MTS.</t>
  </si>
  <si>
    <t>007015</t>
  </si>
  <si>
    <t>MOLDURA DE TERGOPOL ATTENEAS GUARDA AT 04 X 2 MTS.</t>
  </si>
  <si>
    <t>007016</t>
  </si>
  <si>
    <t>MOLDURA DE TERGOPOL ATTENEAS GUARDA AT 05 X 2 MTS.</t>
  </si>
  <si>
    <t>007017</t>
  </si>
  <si>
    <t>MOLDURA DE TERGOPOL ATTENEAS GUARDA AT 06 X 2 MTS.</t>
  </si>
  <si>
    <t>007018</t>
  </si>
  <si>
    <t>MOLDURA DE TERGOPOL ATTENEAS GUARDA AT 07 X 2 MTS.</t>
  </si>
  <si>
    <t>007019</t>
  </si>
  <si>
    <t>MOLDURA DE TERGOPOL ATTENEAS CURVAS ATC 04 X 2 MTS.</t>
  </si>
  <si>
    <t>007020</t>
  </si>
  <si>
    <t>MOLDURA DE TERGOPOL ATTENEAS CURVAS ATC 06 X 2 MTS.</t>
  </si>
  <si>
    <t>007021</t>
  </si>
  <si>
    <t>ROSETON DE TERGOPOL ATENNEAS ATR 00</t>
  </si>
  <si>
    <t>007022</t>
  </si>
  <si>
    <t>ROSETON DE TERGOPOL ATENNEAS ATR 04</t>
  </si>
  <si>
    <t>007023</t>
  </si>
  <si>
    <t>ROSETON DE TERGOPOL ATENNEAS ATR 12</t>
  </si>
  <si>
    <t>007024</t>
  </si>
  <si>
    <t>ROSETON DE TERGOPOL ATENNEAS ATR 15</t>
  </si>
  <si>
    <t>007025</t>
  </si>
  <si>
    <t>ROSETON DE TERGOPOL ATENNEAS ATR 16</t>
  </si>
  <si>
    <t>007026</t>
  </si>
  <si>
    <t>ROSETON DE TERGOPOL ATENNEAS ATR 17</t>
  </si>
  <si>
    <t>007027</t>
  </si>
  <si>
    <t>ROSETON DE TERGOPOL ATENNEAS ATR 19</t>
  </si>
  <si>
    <t>007028</t>
  </si>
  <si>
    <t>ROSETON DE TERGOPOL ATENNEAS ATR 195</t>
  </si>
  <si>
    <t>007029</t>
  </si>
  <si>
    <t>ROSETON DE TERGOPOL ATENNEAS ATR 290</t>
  </si>
  <si>
    <t>007030</t>
  </si>
  <si>
    <t>ROSETON DE TERGOPOL ATENNEAS ATR 24</t>
  </si>
  <si>
    <t>007031</t>
  </si>
  <si>
    <t>ROSETON DE TERGOPOL ATENNEAS ATR 25</t>
  </si>
  <si>
    <t>007032</t>
  </si>
  <si>
    <t>ROSETON DE TERGOPOL ATENNEAS ATR 36</t>
  </si>
  <si>
    <t>007034</t>
  </si>
  <si>
    <t>IMPREGNANTE PARA MADERA CETOL CLASSIC SATINADO CAOBA X 20</t>
  </si>
  <si>
    <t>007035</t>
  </si>
  <si>
    <t>IMPREGNANTE PARA MADERA CETOL CLASSIC SATINADO CEDRO X 20</t>
  </si>
  <si>
    <t>007036</t>
  </si>
  <si>
    <t>IMPREGNANTE PARA MADERA CETOL CLASSIC SATINADO CRISTAL X 20</t>
  </si>
  <si>
    <t>007037</t>
  </si>
  <si>
    <t>IMPREGNANTE PARA MADERA CETOL CLASSIC SATINADO NATURAL X 20</t>
  </si>
  <si>
    <t>007038</t>
  </si>
  <si>
    <t>IMPREGNANTE PARA MADERA CETOL CLASSIC SATINADO NOGAL X 20</t>
  </si>
  <si>
    <t>007039</t>
  </si>
  <si>
    <t>IMPREGNANTE PARA MADERA CETOL CLASSIC SATINADO ROBLE X 20</t>
  </si>
  <si>
    <t>007040</t>
  </si>
  <si>
    <t>ESMALTE SINTETICO PARA PISO BRIKOL ALTO TRANSITO AMARILLO X 1</t>
  </si>
  <si>
    <t>007041</t>
  </si>
  <si>
    <t>ESMALTE SINTETICO PARA PISO BRIKOL ALTO TRANSITO AMARILLO X 4</t>
  </si>
  <si>
    <t>007042</t>
  </si>
  <si>
    <t>ESMALTE SINTETICO PARA PISO BRIKOL ALTO TRANSITO BLANCO X 1</t>
  </si>
  <si>
    <t>007043</t>
  </si>
  <si>
    <t>ESMALTE SINTETICO PARA PISO BRIKOL ALTO TRANSITO BLANCO X 4</t>
  </si>
  <si>
    <t>007044</t>
  </si>
  <si>
    <t>ESMALTE SINTETICO PARA PISO BRIKOL ALTO TRANSITO GRIS X  1</t>
  </si>
  <si>
    <t>007045</t>
  </si>
  <si>
    <t>ESMALTE SINTETICO PARA PISO BRIKOL ALTO TRANSITO GRIS X  4</t>
  </si>
  <si>
    <t>007046</t>
  </si>
  <si>
    <t>ESMALTE SINTETICO PARA PISO BRIKOL ALTO TRANSITO NEGRO X  1</t>
  </si>
  <si>
    <t>007047</t>
  </si>
  <si>
    <t>ESMALTE SINTETICO PARA PISO BRIKOL ALTO TRANSITO NEGRO X  4</t>
  </si>
  <si>
    <t>007048</t>
  </si>
  <si>
    <t>ESMALTE SINTETICO PARA PISO BRIKOL ALTO TRANSITO ROJO X  1</t>
  </si>
  <si>
    <t>007049</t>
  </si>
  <si>
    <t>ESMALTE SINTETICO PARA PISO BRIKOL ALTO TRANSITO ROJO X  4</t>
  </si>
  <si>
    <t>007050</t>
  </si>
  <si>
    <t>ESMALTE SINTETICO PARA PISO BRIKOL ALTO TRANSITO VERDE X  1</t>
  </si>
  <si>
    <t>007051</t>
  </si>
  <si>
    <t>ESMALTE SINTETICO PARA PISO BRIKOL ALTO TRANSITO VERDE X  4</t>
  </si>
  <si>
    <t>007052</t>
  </si>
  <si>
    <t>IMPREGNANTE PARA MADERA CETOL BALANCE CLASSIC BRILLANTE CAOBA X  1</t>
  </si>
  <si>
    <t>007053</t>
  </si>
  <si>
    <t>IMPREGNANTE PARA MADERA CETOL BALANCE CLASSIC BRILLANTE CAOBA X  4</t>
  </si>
  <si>
    <t>007054</t>
  </si>
  <si>
    <t>IMPREGNANTE PARA MADERA CETOL BALANCE CLASSIC BRILLANTE CRISTAL X  1</t>
  </si>
  <si>
    <t>007055</t>
  </si>
  <si>
    <t>IMPREGNANTE PARA MADERA CETOL BALANCE CLASSIC BRILLANTE CRISTAL X  4</t>
  </si>
  <si>
    <t>007056</t>
  </si>
  <si>
    <t>IMPREGNANTE PARA MADERA CETOL BALANCE CLASSIC BRILLANTE NATURAL X  1</t>
  </si>
  <si>
    <t>007057</t>
  </si>
  <si>
    <t>IMPREGNANTE PARA MADERA CETOL BALANCE CLASSIC BRILLANTE NATURAL X  4</t>
  </si>
  <si>
    <t>007058</t>
  </si>
  <si>
    <t>IMPREGNANTE PARA MADERA CETOL BALANCE CLASSIC BRILLANTE ROBLE X  1</t>
  </si>
  <si>
    <t>007059</t>
  </si>
  <si>
    <t>IMPREGNANTE PARA MADERA CETOL BALANCE CLASSIC BRILLANTE ROBLE X  4</t>
  </si>
  <si>
    <t>007060</t>
  </si>
  <si>
    <t>IMPREGNANTE PARA MADERA CETOL BALANCE CLASSIC SATINADO CAOBA X  1</t>
  </si>
  <si>
    <t>007061</t>
  </si>
  <si>
    <t>IMPREGNANTE PARA MADERA CETOL BALANCE CLASSIC SATINADO CAOBA X  4</t>
  </si>
  <si>
    <t>007062</t>
  </si>
  <si>
    <t>IMPREGNANTE PARA MADERA CETOL BALANCE CLASSIC SATINADO CRISTAL X  1</t>
  </si>
  <si>
    <t>007063</t>
  </si>
  <si>
    <t>IMPREGNANTE PARA MADERA CETOL BALANCE CLASSIC SATINADO CRISTAL X  4</t>
  </si>
  <si>
    <t>007064</t>
  </si>
  <si>
    <t>IMPREGNANTE PARA MADERA CETOL BALANCE CLASSIC SATINADO NATURAL X  1</t>
  </si>
  <si>
    <t>007065</t>
  </si>
  <si>
    <t>IMPREGNANTE PARA MADERA CETOL BALANCE CLASSIC SATINADO NATURAL X  4</t>
  </si>
  <si>
    <t>007066</t>
  </si>
  <si>
    <t>IMPREGNANTE PARA MADERA CETOL BALANCE CLASSIC SATINADO ROBLE X  1</t>
  </si>
  <si>
    <t>007067</t>
  </si>
  <si>
    <t>IMPREGNANTE PARA MADERA CETOL BALANCE CLASSIC SATINADO ROBLE X  4</t>
  </si>
  <si>
    <t>007068</t>
  </si>
  <si>
    <t>ESMALTE SINTETICO PARA PISO BRIKOL ALTO TRANSITO GRIS X 10</t>
  </si>
  <si>
    <t>007069</t>
  </si>
  <si>
    <t>ESMALTE SINTETICO PARA PISO BRIKOL ALTO TRANSITO NEGRO X 10</t>
  </si>
  <si>
    <t>007070</t>
  </si>
  <si>
    <t>ESMALTE SINTETICO PARA PISO BRIKOL ALTO TRANSITO ROJO X 10</t>
  </si>
  <si>
    <t>007071</t>
  </si>
  <si>
    <t>IMPREGNANTE PARA PISO CETOL DECK ROBLE X 4</t>
  </si>
  <si>
    <t>007072</t>
  </si>
  <si>
    <t>ESMALTE SINTETICO PARA PISO BRIKOL ALTO TRANSITO VERDE X 10</t>
  </si>
  <si>
    <t>007074</t>
  </si>
  <si>
    <t>IMPREGNANTE PARA PISO CETOL DECK TECA X 1</t>
  </si>
  <si>
    <t>007075</t>
  </si>
  <si>
    <t>IMPREGNANTE PARA PISO CETOL DECK TECA X 4</t>
  </si>
  <si>
    <t>007076</t>
  </si>
  <si>
    <t>IMPREGNANTE PARA PISO CETOL BALANCE DECK SATINADO NATURAL X 1</t>
  </si>
  <si>
    <t>007077</t>
  </si>
  <si>
    <t>IMPREGNANTE PARA PISO CETOL BALANCE DECK SATINADO NATURAL X 4</t>
  </si>
  <si>
    <t>007078</t>
  </si>
  <si>
    <t>IMPREGNANTE PARA PISO CETOL DECK BALANCE TECA X 1</t>
  </si>
  <si>
    <t>007079</t>
  </si>
  <si>
    <t>IMPREGNANTE PARA PISO CETOL DECK BALANCE TECA X 4</t>
  </si>
  <si>
    <t>007080</t>
  </si>
  <si>
    <t>IMPREGNANTE PARA MADERA CETOL BALANCE DURACION EXTREMA BRILLANTE CAOBA X 1</t>
  </si>
  <si>
    <t>007081</t>
  </si>
  <si>
    <t>IMPREGNANTE PARA MADERA CETOL BALANCE DURACION EXTREMA BRILLANTE CAOBA X 4</t>
  </si>
  <si>
    <t>007082</t>
  </si>
  <si>
    <t>IMPREGNANTE PARA MADERA CETOL BALANCE DURACION EXTREMA BRILLANTE CRISTAL X 1</t>
  </si>
  <si>
    <t>007083</t>
  </si>
  <si>
    <t>IMPREGNANTE PARA MADERA CETOL BALANCE DURACION EXTREMA BRILLANTE CRISTAL X 4</t>
  </si>
  <si>
    <t>007084</t>
  </si>
  <si>
    <t>IMPREGNANTE PARA MADERA CETOL BALANCE DURACION EXTREMA BRILLANTE NATURAL X 1</t>
  </si>
  <si>
    <t>007085</t>
  </si>
  <si>
    <t>IMPREGNANTE PARA MADERA CETOL BALANCE DURACION EXTREMA BRILLANTE NATURAL X 4</t>
  </si>
  <si>
    <t>007086</t>
  </si>
  <si>
    <t>IMPREGNANTE PARA MADERA CETOL BALANCE DURACION EXTREMA BRILLANTE ROBLE X 1</t>
  </si>
  <si>
    <t>007087</t>
  </si>
  <si>
    <t>IMPREGNANTE PARA MADERA CETOL BALANCE DURACION EXTREMA BRILLANTE ROBLE X 4</t>
  </si>
  <si>
    <t>007088</t>
  </si>
  <si>
    <t>IMPREGNANTE PARA MADERA CETOL BALANCE DURACION EXTREMA BRILLANTE NOGAL X 1</t>
  </si>
  <si>
    <t>007089</t>
  </si>
  <si>
    <t>IMPREGNANTE PARA MADERA CETOL BALANCE DURACION EXTREMA BRILLANTE NOGAL X 4</t>
  </si>
  <si>
    <t>007090</t>
  </si>
  <si>
    <t>IMPREGNANTE PARA MADERA CETOL BALANCE DURACION EXTREMA SATINADO CAOBA X 1</t>
  </si>
  <si>
    <t>007091</t>
  </si>
  <si>
    <t>IMPREGNANTE PARA MADERA CETOL BALANCE DURACION EXTREMA SATINADO CAOBA X 4</t>
  </si>
  <si>
    <t>007092</t>
  </si>
  <si>
    <t>IMPREGNANTE PARA MADERA CETOL BALANCE DURACION EXTREMA SATINADO CRISTAL X 1</t>
  </si>
  <si>
    <t>007093</t>
  </si>
  <si>
    <t>IMPREGNANTE PARA MADERA CETOL BALANCE DURACION EXTREMA SATINADO CRISTAL X 4</t>
  </si>
  <si>
    <t>007094</t>
  </si>
  <si>
    <t>IMPREGNANTE PARA MADERA CETOL BALANCE DURACION EXTREMA SATINADO NATURAL X 1</t>
  </si>
  <si>
    <t>007095</t>
  </si>
  <si>
    <t>IMPREGNANTE PARA MADERA CETOL BALANCE DURACION EXTREMA SATINADO NATURAL X 4</t>
  </si>
  <si>
    <t>007096</t>
  </si>
  <si>
    <t>IMPREGNANTE PARA MADERA CETOL BALANCE DURACION EXTREMA SATINADO ROBLE X 1</t>
  </si>
  <si>
    <t>007097</t>
  </si>
  <si>
    <t>IMPREGNANTE PARA MADERA CETOL BALANCE DURACION EXTREMA SATINADO ROBLE X 4</t>
  </si>
  <si>
    <t>007098</t>
  </si>
  <si>
    <t>IMPREGNANTE PARA MADERA CETOL BALANCE DURACION EXTREMA SATINADO NOGAL X 1</t>
  </si>
  <si>
    <t>007099</t>
  </si>
  <si>
    <t>IMPREGNANTE PARA MADERA CETOL BALANCE DURACION EXTREMA SATINADO NOGAL X 4</t>
  </si>
  <si>
    <t>007100</t>
  </si>
  <si>
    <t>LIMPIADOR PARA MADERA CETOL X 1</t>
  </si>
  <si>
    <t>007102</t>
  </si>
  <si>
    <t>PROTECTOR PARA PISO BRIKOL INCOLORO X 1</t>
  </si>
  <si>
    <t>007103</t>
  </si>
  <si>
    <t>PROTECTOR PARA PISO BRIKOL INCOLORO X 4</t>
  </si>
  <si>
    <t>007104</t>
  </si>
  <si>
    <t>PROTECTOR PARA PISO BRIKOL NEGRO X 1</t>
  </si>
  <si>
    <t>007105</t>
  </si>
  <si>
    <t>PROTECTOR PARA PISO BRIKOL NEGRO X 4</t>
  </si>
  <si>
    <t>007106</t>
  </si>
  <si>
    <t>PROTECTOR PARA PISO BRIKOL ROJO X 1</t>
  </si>
  <si>
    <t>007107</t>
  </si>
  <si>
    <t>PROTECTOR PARA PISO BRIKOL ROJO X 4</t>
  </si>
  <si>
    <t>007108</t>
  </si>
  <si>
    <t>IMPREGNANTE PARA PISO CETOL DECK PLUS NATURAL X 1</t>
  </si>
  <si>
    <t>007109</t>
  </si>
  <si>
    <t>IMPREGNANTE PARA PISO CETOL DECK PLUS NATURAL X 4</t>
  </si>
  <si>
    <t>007110</t>
  </si>
  <si>
    <t>IMPREGNANTE PARA PISO CETOL DECK PLUS TECA X 1</t>
  </si>
  <si>
    <t>007111</t>
  </si>
  <si>
    <t>IMPREGNANTE PARA PISO CETOL DECK PLUS TECA X 4</t>
  </si>
  <si>
    <t>007112</t>
  </si>
  <si>
    <t>IMPREGNANTE PARA MADERA CETOL BALANCE CLASSIC SATINADO CEDRO X  1</t>
  </si>
  <si>
    <t>007113</t>
  </si>
  <si>
    <t>PROTECTOR PARA PIEDRA Y CERAMICA BRIKOL INCOLORO X 1</t>
  </si>
  <si>
    <t>007114</t>
  </si>
  <si>
    <t>IMPREGNANTE PARA MADERA CETOL BALANCE CLASSIC SATINADO CEDRO X  4</t>
  </si>
  <si>
    <t>007115</t>
  </si>
  <si>
    <t>PROTECTOR PARA PIEDRA Y CERAMICA BRIKOL INCOLORO X 4</t>
  </si>
  <si>
    <t>007116</t>
  </si>
  <si>
    <t>IMPREGNANTE PARA MADERA CETOL BALANCE INTERIOR BRILLANTE CRISTAL X 1</t>
  </si>
  <si>
    <t>007117</t>
  </si>
  <si>
    <t>IMPREGNANTE PARA MADERA CETOL BALANCE INTERIOR BRILLANTE CRISTAL X 4</t>
  </si>
  <si>
    <t>007118</t>
  </si>
  <si>
    <t>IMPREGNANTE PARA MADERA CETOL BALANCE INTERIOR SATINADO CRISTAL X 1</t>
  </si>
  <si>
    <t>007119</t>
  </si>
  <si>
    <t>IMPREGNANTE PARA MADERA CETOL BALANCE INTERIOR SATINADO CRISTAL X 4</t>
  </si>
  <si>
    <t>007120</t>
  </si>
  <si>
    <t>AEROSOL RUST-OLEUM REMOVIBLE PEEL COAT MATE NEGRO X 0,312 (313529)</t>
  </si>
  <si>
    <t>007121</t>
  </si>
  <si>
    <t>AEROSOL RUST-OLEUM REMOVIBLE PEEL COAT PLATA X 0,312 (276802/313530)</t>
  </si>
  <si>
    <t>007122</t>
  </si>
  <si>
    <t>AEROSOL RUST-OLEUM REMOVIBLE PEEL COAT MATE ROJO X 0,312 (284314)</t>
  </si>
  <si>
    <t>007123</t>
  </si>
  <si>
    <t>AEROSOL RUST-OLEUM REMOVIBLE PEEL COAT MATE BLANCO X 0,312 (276800)</t>
  </si>
  <si>
    <t>007124</t>
  </si>
  <si>
    <t>AEROSOL RUST-OLEUM REMOVIBLE PEEL COAT GRAFITO X 0,312 (284320 / 313533)</t>
  </si>
  <si>
    <t>007125</t>
  </si>
  <si>
    <t>AEROSOL RUST-OLEUM REMOVIBLE PEEL COAT BRILLANTE AZUL X 0,312 (284315)</t>
  </si>
  <si>
    <t>007126</t>
  </si>
  <si>
    <t>AEROSOL RUST-OLEUM REMOVIBLE PEEL COAT MATE ROSA X 0,312 (284317)</t>
  </si>
  <si>
    <t>007127</t>
  </si>
  <si>
    <t>AEROSOL RUST-OLEUM REMOVIBLE PEEL COAT BRILLANTE NEGRO X 0,312 (297383/315099)</t>
  </si>
  <si>
    <t>007128</t>
  </si>
  <si>
    <t>AEROSOL RUST-OLEUM REMOVIBLE PEEL COAT MATE NEGRO X 3,780 (283824)</t>
  </si>
  <si>
    <t>007129</t>
  </si>
  <si>
    <t>AEROSOL RUST-OLEUM PARA CAJA DE CAMIONETA NEGRO X 0,425 (248914/313500</t>
  </si>
  <si>
    <t>007130</t>
  </si>
  <si>
    <t>IMPREGNANTE PARA MADERA CETOL BALANCE DURACION EXTREMA BRILLANTE CEDRO X 1</t>
  </si>
  <si>
    <t>007131</t>
  </si>
  <si>
    <t>IMPREGNANTE PARA MADERA CETOL BALANCE DURACION EXTREMA BRILLANTE CEDRO X 4</t>
  </si>
  <si>
    <t>007132</t>
  </si>
  <si>
    <t>IMPREGNANTE PARA MADERA CETOL BALANCE DURACION EXTREMA SATINADO CEDRO X 1</t>
  </si>
  <si>
    <t>007133</t>
  </si>
  <si>
    <t>IMPREGNANTE PARA MADERA CETOL BALANCE DURACION EXTREMA SATINADO CEDRO X 4</t>
  </si>
  <si>
    <t>007152</t>
  </si>
  <si>
    <t>AEROSOL RUST-OLEUM LACA ACRILICA BLANCO X 0,340 (253364)</t>
  </si>
  <si>
    <t>007153</t>
  </si>
  <si>
    <t>AEROSOL RUST-OLEUM LACA ACRILICA NEGRO X 0,340 (253365)</t>
  </si>
  <si>
    <t>007154</t>
  </si>
  <si>
    <t>SELLADOR PARA PARQUET CETOL BALANCE X 1</t>
  </si>
  <si>
    <t>007155</t>
  </si>
  <si>
    <t>AEROSOL RUST-OLEUM LACA ACRILICA TRANSPARENTE X 0,340 (253366/371259)</t>
  </si>
  <si>
    <t>007156</t>
  </si>
  <si>
    <t>IMPREGNANTE PARA PARQUET CETOL BALANCE BRILLANTE NATURAL X 1</t>
  </si>
  <si>
    <t>007157</t>
  </si>
  <si>
    <t>IMPREGNANTE PARA PARQUET CETOL BALANCE BRILLANTE NATURAL X 4</t>
  </si>
  <si>
    <t>007160</t>
  </si>
  <si>
    <t>IMPREGNANTE PARA PARQUET CETOL VITRO BRILLANTE NATURAL X 1</t>
  </si>
  <si>
    <t>007161</t>
  </si>
  <si>
    <t>IMPREGNANTE PARA PARQUET CETOL VITRO BRILLANTE NATURAL X 4</t>
  </si>
  <si>
    <t>007183</t>
  </si>
  <si>
    <t>COMPSUG6 COL.GRIS QUARTZ PEUGEOT X 0,125</t>
  </si>
  <si>
    <t>007185</t>
  </si>
  <si>
    <t>IMPREGNANTE PARA MADERA CETOL BALANCE CLASSIC SATINADO NOGAL X  1</t>
  </si>
  <si>
    <t>007186</t>
  </si>
  <si>
    <t>IMPREGNANTE PARA MADERA CETOL BALANCE CLASSIC SATINADO NOGAL X  4</t>
  </si>
  <si>
    <t>007187</t>
  </si>
  <si>
    <t>IMPREGNANTE PARA MADERA CETOL BALANCE CLASSIC BRILLANTE CEDRO X  1</t>
  </si>
  <si>
    <t>007188</t>
  </si>
  <si>
    <t>IMPREGNANTE PARA MADERA CETOL BALANCE CLASSIC BRILLANTE CEDRO X  4</t>
  </si>
  <si>
    <t>007189</t>
  </si>
  <si>
    <t>IMPREGNANTE PARA MADERA CETOL BALANCE CLASSIC BRILLANTE NOGAL X  1</t>
  </si>
  <si>
    <t>007190</t>
  </si>
  <si>
    <t>IMPREGNANTE PARA MADERA CETOL BALANCE CLASSIC BRILLANTE NOGAL X  4</t>
  </si>
  <si>
    <t>007195</t>
  </si>
  <si>
    <t>COMPSUG5 COL.AZUL DE CHINA PERL.PEU.X 0,125</t>
  </si>
  <si>
    <t>007211</t>
  </si>
  <si>
    <t>PROTECTOR PARA LADRILLO BRIKOL INCOLORO X 20</t>
  </si>
  <si>
    <t>007213</t>
  </si>
  <si>
    <t>PROTECTOR PARA LADRILLO BRIKOL NATURAL X 20</t>
  </si>
  <si>
    <t>007214</t>
  </si>
  <si>
    <t>PROTECTOR PARA LADRILLO BRIKOL CERAMICO X 20</t>
  </si>
  <si>
    <t>007251</t>
  </si>
  <si>
    <t>PROTECTOR PARA LADRILLO BRIKOL INCOLORO X  1</t>
  </si>
  <si>
    <t>007252</t>
  </si>
  <si>
    <t>COMP.NITRO COL.BLANCO BARILOCHE PEUGEOT X0,125</t>
  </si>
  <si>
    <t>007253</t>
  </si>
  <si>
    <t>PROTECTOR PARA LADRILLO BRIKOL NATURAL X  1</t>
  </si>
  <si>
    <t>007254</t>
  </si>
  <si>
    <t>PROTECTOR PARA LADRILLO BRIKOL CERAMICO X  1</t>
  </si>
  <si>
    <t>007261</t>
  </si>
  <si>
    <t>PROTECTOR PARA LADRILLO BRIKOL INCOLORO X  4</t>
  </si>
  <si>
    <t>007263</t>
  </si>
  <si>
    <t>PROTECTOR PARA LADRILLO BRIKOL NATURAL X  4</t>
  </si>
  <si>
    <t>007264</t>
  </si>
  <si>
    <t>PROTECTOR PARA LADRILLO BRIKOL CERAMICO X  4</t>
  </si>
  <si>
    <t>007281</t>
  </si>
  <si>
    <t>PROTECTOR PARA LADRILLO BRIKOL INCOLORO X 10</t>
  </si>
  <si>
    <t>007283</t>
  </si>
  <si>
    <t>PROTECTOR PARA LADRILLO BRIKOL NATURAL X 10</t>
  </si>
  <si>
    <t>007284</t>
  </si>
  <si>
    <t>PROTECTOR PARA LADRILLO BRIKOL CERAMICO X 10</t>
  </si>
  <si>
    <t>007300</t>
  </si>
  <si>
    <t>F300 BCO X 3,5</t>
  </si>
  <si>
    <t>007301</t>
  </si>
  <si>
    <t>F301 RUBI X 3,5</t>
  </si>
  <si>
    <t>007302</t>
  </si>
  <si>
    <t>F302 VIOLETA X 3,5</t>
  </si>
  <si>
    <t>007304</t>
  </si>
  <si>
    <t>F304 ROJO X 3,5</t>
  </si>
  <si>
    <t>007305</t>
  </si>
  <si>
    <t>F305 ROJO ESCARLATA X 3,5</t>
  </si>
  <si>
    <t>007306</t>
  </si>
  <si>
    <t>F306 AMARILLO ESPLENDIDO X 3,5</t>
  </si>
  <si>
    <t>007308</t>
  </si>
  <si>
    <t>F308 AMARILLO ORGANICO CLARO X 3,5</t>
  </si>
  <si>
    <t>007309</t>
  </si>
  <si>
    <t>F309 NARANJA ORGANICO CLARO X 3,5</t>
  </si>
  <si>
    <t>007310</t>
  </si>
  <si>
    <t>F310 AMARILLO CROMO CLARO X 3,5 (DISCONTINUADO)</t>
  </si>
  <si>
    <t>007311</t>
  </si>
  <si>
    <t>F311 AMARILLO CROMO X 3,5 (DISCONTINUADO)</t>
  </si>
  <si>
    <t>007312</t>
  </si>
  <si>
    <t>F312 NARANJA X 3,5 (DISCONTINUADO)</t>
  </si>
  <si>
    <t>007313</t>
  </si>
  <si>
    <t>F313 AMARILLO ORGANICO X 3,5</t>
  </si>
  <si>
    <t>007314</t>
  </si>
  <si>
    <t>F314 VERDE MEDIO X 3,5</t>
  </si>
  <si>
    <t>007315</t>
  </si>
  <si>
    <t>F315 VERDE ORGANICO OSCURO X 3,5</t>
  </si>
  <si>
    <t>007316</t>
  </si>
  <si>
    <t>FBR029.01 ALUMINIO FINO X 3,5(EX F3160GL)</t>
  </si>
  <si>
    <t>007317</t>
  </si>
  <si>
    <t>F317.01 OXIDO AMARILLO X 3,5</t>
  </si>
  <si>
    <t>007318</t>
  </si>
  <si>
    <t>F318.01 NEGRO X 3,5</t>
  </si>
  <si>
    <t>007319</t>
  </si>
  <si>
    <t>F319 OXIDO ROJO X 3,5</t>
  </si>
  <si>
    <t>007320</t>
  </si>
  <si>
    <t>F320.01 AZUL ORGANICO X 3,5</t>
  </si>
  <si>
    <t>007321</t>
  </si>
  <si>
    <t>F321.01 AZUL NOCHE X 3,5</t>
  </si>
  <si>
    <t>007323</t>
  </si>
  <si>
    <t>F323 ROJO VIVO X 3,5</t>
  </si>
  <si>
    <t>007324</t>
  </si>
  <si>
    <t>F324 NEGRO INT X 3,5</t>
  </si>
  <si>
    <t>007325</t>
  </si>
  <si>
    <t>F325.01 NARANJA PERMANENTE X 3,5</t>
  </si>
  <si>
    <t>007328</t>
  </si>
  <si>
    <t>F328 NARANJA ORGANICO X 3,5</t>
  </si>
  <si>
    <t>007341</t>
  </si>
  <si>
    <t>F341.20 RESINA PU LINEA 350 X 20</t>
  </si>
  <si>
    <t>007342</t>
  </si>
  <si>
    <t>FBR197.01 RESINA ACRILICA MATE X 3,5 (F342)</t>
  </si>
  <si>
    <t>007343</t>
  </si>
  <si>
    <t>F343 RESINA PU LINEA 280 X 20</t>
  </si>
  <si>
    <t>007346</t>
  </si>
  <si>
    <t>F3460JL RESINA NITRO ACRILICA- NA X 5 (DISCONTINUADO)</t>
  </si>
  <si>
    <t>007347</t>
  </si>
  <si>
    <t>F3470JL RESINA NITROCELULOSICA- NC X 5</t>
  </si>
  <si>
    <t>007348</t>
  </si>
  <si>
    <t>F348 RESINA QD SINTETICA SECADO RAPIDO X 4 (DISCONTINUADO)</t>
  </si>
  <si>
    <t>007349</t>
  </si>
  <si>
    <t>BS-02 ADITIVO SEC X 1</t>
  </si>
  <si>
    <t>007351</t>
  </si>
  <si>
    <t>F351.10 RESINA EPOXI X 5</t>
  </si>
  <si>
    <t>007359</t>
  </si>
  <si>
    <t>F359 CATALIZADOR EPOXI X 1</t>
  </si>
  <si>
    <t>007361</t>
  </si>
  <si>
    <t>END010.10 CATALIZADOR NORMAL ACS X 5</t>
  </si>
  <si>
    <t>007362</t>
  </si>
  <si>
    <t>F362 CATALIZADOR MS RAPIDO X 1 (DISCONTINUADO)</t>
  </si>
  <si>
    <t>007365</t>
  </si>
  <si>
    <t>F365 CATALIZADOR WASH PRIMER X 2 (DISCONTINUADO)</t>
  </si>
  <si>
    <t>007369</t>
  </si>
  <si>
    <t>F369 CATALIZADOR MS CLEAR F380 DU 1001 X 5</t>
  </si>
  <si>
    <t>007372</t>
  </si>
  <si>
    <t>BTC-1000.01 CLEARS PARA TRICAPAS ACS X 3.500</t>
  </si>
  <si>
    <t>007380</t>
  </si>
  <si>
    <t>BN-01P CLEAR NITROCELULOSICO ACS X 4 (DISCONTINUADO)</t>
  </si>
  <si>
    <t>007381</t>
  </si>
  <si>
    <t>F3800JL 2K ANTIGRAFITI X 5</t>
  </si>
  <si>
    <t>007385</t>
  </si>
  <si>
    <t>F385.04 MATEANTE PARA QD SINTETICO 1K X 0,900</t>
  </si>
  <si>
    <t>007392</t>
  </si>
  <si>
    <t>F392.01 FONDO 2K HS RELLENO X 3.500</t>
  </si>
  <si>
    <t>007393</t>
  </si>
  <si>
    <t>F3930HL WASH PRIMER BASE SIN CROMATOS X 4</t>
  </si>
  <si>
    <t>007400</t>
  </si>
  <si>
    <t>A400 BASE SINT. EXT. RAP. X 20</t>
  </si>
  <si>
    <t>007402</t>
  </si>
  <si>
    <t>DP402LF CATALIZADOR RAPIDO P/DP40LF X 0,473</t>
  </si>
  <si>
    <t>007420</t>
  </si>
  <si>
    <t>F420.20 RESINA PU LINEA 290 X 20</t>
  </si>
  <si>
    <t>007421</t>
  </si>
  <si>
    <t>F421.01 BLANCA LINEA 290 X 3,5</t>
  </si>
  <si>
    <t>007440</t>
  </si>
  <si>
    <t>DP50LF/04 FONDO EPOXI X 0,946(EX DP40LF)</t>
  </si>
  <si>
    <t>007445</t>
  </si>
  <si>
    <t>AEROSOL RUST-OLEUM PARA LLANTAS ACERO X 0,340 (248927 / 313522)</t>
  </si>
  <si>
    <t>007446</t>
  </si>
  <si>
    <t>AEROSOL RUST-OLEUM PARA LLANTAS MATE NEGRO X 0,340 (248928 / 313547)</t>
  </si>
  <si>
    <t>007447</t>
  </si>
  <si>
    <t>AEROSOL RUST-OLEUM PARA LLANTAS TRANSPARENTE X 0,340 (248929/313548)</t>
  </si>
  <si>
    <t>007448</t>
  </si>
  <si>
    <t>AEROSOL RUST-OLEUM PARA LLANTAS GRAFITO X 0,340 (248930 / 313523)</t>
  </si>
  <si>
    <t>007449</t>
  </si>
  <si>
    <t>AEROSOL RUST-OLEUM PROTECTOR DE CAUCHO NEGRO X 0,425 (248657 / 313552)</t>
  </si>
  <si>
    <t>007450</t>
  </si>
  <si>
    <t>AEROSOL RUST-OLEUM PARA FARO TRASLUCIDO NEGRO X 0,340 (253256-371262)</t>
  </si>
  <si>
    <t>007451</t>
  </si>
  <si>
    <t>AEROSOL RUST-OLEUM PROTECTOR TEMPORAL TRANSPARENTE X 0,396 (263420)</t>
  </si>
  <si>
    <t>007452</t>
  </si>
  <si>
    <t>AEROSOL RUST-OLEUM SELLADOR LEAKSEAL NEGRO X 0,340(265494)</t>
  </si>
  <si>
    <t>007453</t>
  </si>
  <si>
    <t>AEROSOL RUST-OLEUM SELLADOR LEAKSEAL TRANSPARENTE X 0,340(265495)</t>
  </si>
  <si>
    <t>007454</t>
  </si>
  <si>
    <t>AEROSOL RUST-OLEUM SELLADOR LEAKSEAL BLANCO X 0,340(270786/267970)</t>
  </si>
  <si>
    <t>007455</t>
  </si>
  <si>
    <t>AEROSOL RUST-OLEUM SELLADOR LEAKSEAL ALUMINIO X 0,340(267972)</t>
  </si>
  <si>
    <t>007456</t>
  </si>
  <si>
    <t>GATILLO APLICADOR RUST-OLEUM(241526)</t>
  </si>
  <si>
    <t>007457</t>
  </si>
  <si>
    <t>AEROSOL RUST-OLEUM PARA CALIPERS ROJO X 0,340 (251591 / 313516)</t>
  </si>
  <si>
    <t>007458</t>
  </si>
  <si>
    <t>AEROSOL RUST-OLEUM PARA CALIPERS NEGRO X 0,340 (313544/358862)</t>
  </si>
  <si>
    <t>007461</t>
  </si>
  <si>
    <t>DESENCOFRANTE WEBER AMBAR X 20</t>
  </si>
  <si>
    <t>007462</t>
  </si>
  <si>
    <t>DESENCOFRANTE WEBER AMBAR X 200</t>
  </si>
  <si>
    <t>007514</t>
  </si>
  <si>
    <t>COMPLACOLORIN GRIS NÏ¿½CAR PEUGEOT X 125</t>
  </si>
  <si>
    <t>007522</t>
  </si>
  <si>
    <t>COMPLACOLORIN ROJO AMARANTE PEUGEOT X 125</t>
  </si>
  <si>
    <t>007526</t>
  </si>
  <si>
    <t>COMPLACOLORIN AZUL CIELO PEUGEOT X 125</t>
  </si>
  <si>
    <t>007539</t>
  </si>
  <si>
    <t>COMPLACOLORIN BCO ANDINO PEUGEOT X 125</t>
  </si>
  <si>
    <t>007565</t>
  </si>
  <si>
    <t>COMPLACOLORIN GRIS TORMENTA PEUGEOT X 125</t>
  </si>
  <si>
    <t>007566</t>
  </si>
  <si>
    <t>COMPSUG1 COL.BLANCO CORFÏ¿½ 224 PEUGEOT X125</t>
  </si>
  <si>
    <t>007658</t>
  </si>
  <si>
    <t>COMPSUG4 COL.AZUL GRAND PAVOIS PERL.PEU.X0,125</t>
  </si>
  <si>
    <t>007662</t>
  </si>
  <si>
    <t>COMPSUG4 COL.BLUE RECIFE PERL.PEU.X 0,125</t>
  </si>
  <si>
    <t>007663</t>
  </si>
  <si>
    <t>COMPSUG4 COL.BLUE NEVIS PERL.PEU.X 0,125</t>
  </si>
  <si>
    <t>007665</t>
  </si>
  <si>
    <t>COMPSUG6 COL.ROJO LUCIFER PERL.PEU.X 0,125</t>
  </si>
  <si>
    <t>007741</t>
  </si>
  <si>
    <t>CONVERSOL BCO X 0,225</t>
  </si>
  <si>
    <t>007742</t>
  </si>
  <si>
    <t>CONVERSOL AZUL X 0,225</t>
  </si>
  <si>
    <t>007743</t>
  </si>
  <si>
    <t>CONVERSOL NEGRO X 0,225</t>
  </si>
  <si>
    <t>007744</t>
  </si>
  <si>
    <t>CONVERSOL GRIS X 0,225</t>
  </si>
  <si>
    <t>007745</t>
  </si>
  <si>
    <t>CONVERSOL BEIGE X 0,225</t>
  </si>
  <si>
    <t>007746</t>
  </si>
  <si>
    <t>CONVERSOL VERDE X 0,225</t>
  </si>
  <si>
    <t>007800</t>
  </si>
  <si>
    <t>D800.04 BARNIZ CONCEPT 2020 DELTRON X 0,675</t>
  </si>
  <si>
    <t>007803</t>
  </si>
  <si>
    <t>D803.11 CATALIZADOR RAPIDO DELTRON X 1</t>
  </si>
  <si>
    <t>007812</t>
  </si>
  <si>
    <t>D812 DILUYENTE LENTO PPG X 18</t>
  </si>
  <si>
    <t>007826</t>
  </si>
  <si>
    <t>NITRO COL.BLANCO ANDINO PEUGEOT X0,125</t>
  </si>
  <si>
    <t>007841</t>
  </si>
  <si>
    <t>D841.11 CATALIZADOR MEDIO DELTRON X 1.0</t>
  </si>
  <si>
    <t>007884</t>
  </si>
  <si>
    <t>IMPREGNANTE PARA MADERA CETOL CLASSIC SATINADO CAOBA X  1</t>
  </si>
  <si>
    <t>007885</t>
  </si>
  <si>
    <t>IMPREGNANTE PARA MADERA CETOL CLASSIC SATINADO CEDRO X  1</t>
  </si>
  <si>
    <t>007886</t>
  </si>
  <si>
    <t>IMPREGNANTE PARA MADERA CETOL CLASSIC SATINADO CRISTAL X  1</t>
  </si>
  <si>
    <t>007887</t>
  </si>
  <si>
    <t>IMPREGNANTE PARA MADERA CETOL CLASSIC SATINADO NATURAL X  1</t>
  </si>
  <si>
    <t>007888</t>
  </si>
  <si>
    <t>IMPREGNANTE PARA MADERA CETOL CLASSIC SATINADO NOGAL X  1</t>
  </si>
  <si>
    <t>007889</t>
  </si>
  <si>
    <t>IMPREGNANTE PARA MADERA CETOL CLASSIC SATINADO ROBLE X  1</t>
  </si>
  <si>
    <t>007894</t>
  </si>
  <si>
    <t>IMPREGNANTE PARA MADERA CETOL CLASSIC SATINADO CAOBA X  4</t>
  </si>
  <si>
    <t>007895</t>
  </si>
  <si>
    <t>IMPREGNANTE PARA MADERA CETOL CLASSIC SATINADO CEDRO X  4</t>
  </si>
  <si>
    <t>007896</t>
  </si>
  <si>
    <t>IMPREGNANTE PARA MADERA CETOL CLASSIC SATINADO CRISTAL X  4</t>
  </si>
  <si>
    <t>007897</t>
  </si>
  <si>
    <t>IMPREGNANTE PARA MADERA CETOL CLASSIC SATINADO NATURAL X  4</t>
  </si>
  <si>
    <t>007898</t>
  </si>
  <si>
    <t>IMPREGNANTE PARA MADERA CETOL CLASSIC SATINADO NOGAL X  4</t>
  </si>
  <si>
    <t>007899</t>
  </si>
  <si>
    <t>IMPREGNANTE PARA MADERA CETOL CLASSIC SATINADO ROBLE X  4</t>
  </si>
  <si>
    <t>007901</t>
  </si>
  <si>
    <t>TINTA PARA MADERA CETOL ROBLE CLARO X 0,060</t>
  </si>
  <si>
    <t>007902</t>
  </si>
  <si>
    <t>TINTA PARA MADERA CETOL ROBLE OSCURO X 0,060</t>
  </si>
  <si>
    <t>007903</t>
  </si>
  <si>
    <t>TINTA PARA MADERA CETOL CEDRO X 0,060</t>
  </si>
  <si>
    <t>007904</t>
  </si>
  <si>
    <t>TINTA PARA MADERA CETOL CAOBA X 0,060</t>
  </si>
  <si>
    <t>007905</t>
  </si>
  <si>
    <t>TINTA PARA MADERA CETOL NOGAL X 0,060</t>
  </si>
  <si>
    <t>007906</t>
  </si>
  <si>
    <t>TINTA PARA MADERA CETOL VIRARO X 0,060</t>
  </si>
  <si>
    <t>007907</t>
  </si>
  <si>
    <t>TINTA PARA MADERA CETOL PETIRIBI X 0,060</t>
  </si>
  <si>
    <t>007908</t>
  </si>
  <si>
    <t>TINTA PARA MADERA CETOL ALGARROBO X 0,060</t>
  </si>
  <si>
    <t>007909</t>
  </si>
  <si>
    <t>TINTA PARA MADERA CETOL WENGE X 0,060</t>
  </si>
  <si>
    <t>008002</t>
  </si>
  <si>
    <t>NITRO COL.NEGRO ESPECIAL VARIOS X0,125</t>
  </si>
  <si>
    <t>008004</t>
  </si>
  <si>
    <t>NITRO COL.BERMELLÏ¿½N VARIOS X0,125</t>
  </si>
  <si>
    <t>008125</t>
  </si>
  <si>
    <t>D8125/E1 RAPID PERFORMANCE CLEARCOAT X 1</t>
  </si>
  <si>
    <t>008126</t>
  </si>
  <si>
    <t>D8125/E5 RAPID PERFORMANCE CLEARCOAT X 5</t>
  </si>
  <si>
    <t>008189</t>
  </si>
  <si>
    <t>COMPL.BICAPA BCO MB X 0,125</t>
  </si>
  <si>
    <t>008191</t>
  </si>
  <si>
    <t>COMPSUG1 COL.BLANCO PURO VAR X 0,125</t>
  </si>
  <si>
    <t>008192</t>
  </si>
  <si>
    <t>COMPSUG1 COL.AMARILLO TAXI VAR X 0,125</t>
  </si>
  <si>
    <t>008260</t>
  </si>
  <si>
    <t>D8260/E0.5 ACTIVADDOR P/T510 (B.ACUOSA) X 0,500</t>
  </si>
  <si>
    <t>008261</t>
  </si>
  <si>
    <t>NITRO COL AMARILLO TAXI VARIOS X0,125</t>
  </si>
  <si>
    <t>008262</t>
  </si>
  <si>
    <t>D8262/E0.5 CATALIZADOR RAPIDO P/BZ. D8125 X 0,200</t>
  </si>
  <si>
    <t>008263</t>
  </si>
  <si>
    <t>D8263/E0.5 CATALIZADOR MEDIO P/BZ. D8125 X 0,500</t>
  </si>
  <si>
    <t>008264</t>
  </si>
  <si>
    <t>D8263/E2.5 CATALIZADOR MEDIO D8125 X 2,500</t>
  </si>
  <si>
    <t>008290</t>
  </si>
  <si>
    <t>COMPSUG3 COL.NARANJA ESCOLAR VARIOS X0,125</t>
  </si>
  <si>
    <t>008301</t>
  </si>
  <si>
    <t>ALBA STD ESM.01-BLANCO X 0,500</t>
  </si>
  <si>
    <t>008302</t>
  </si>
  <si>
    <t>ESMALTE AL AGUA ALBALUX BRILLANTE BERMELLON X 0,500</t>
  </si>
  <si>
    <t>008304</t>
  </si>
  <si>
    <t>ESMALTE AL AGUA ALBALUX BRILLANTE AMARILLO X 0,500</t>
  </si>
  <si>
    <t>008318</t>
  </si>
  <si>
    <t>ESMALTE AL AGUA ALBALUX BRILLANTE MARRON X 0,500</t>
  </si>
  <si>
    <t>008320</t>
  </si>
  <si>
    <t>ESMALTE AL AGUA ALBALUX BRILLANTE GRIS X 0,500</t>
  </si>
  <si>
    <t>008329</t>
  </si>
  <si>
    <t>ESMALTE AL AGUA ALBALUX BRILLANTE GRIS HIELO X 0,500</t>
  </si>
  <si>
    <t>008330</t>
  </si>
  <si>
    <t>ESMALTE AL AGUA ALBALUX BRILLANTE VERDE INGLES X 0,500</t>
  </si>
  <si>
    <t>008338</t>
  </si>
  <si>
    <t>ESMALTE AL AGUA ALBALUX BRILLANTE VERDE NOCHE X 0,500</t>
  </si>
  <si>
    <t>008341</t>
  </si>
  <si>
    <t>ESMALTE AL AGUA ALBALUX BRILLANTE TRAFUL X 0,500</t>
  </si>
  <si>
    <t>008343</t>
  </si>
  <si>
    <t>ESMALTE AL AGUA ALBALUX BRILLANTE AZUL MARINO X 0,500</t>
  </si>
  <si>
    <t>008347</t>
  </si>
  <si>
    <t>ESMALTE SINTETICO SATINOL SATINADO BLANCO X  0,500</t>
  </si>
  <si>
    <t>008402</t>
  </si>
  <si>
    <t>ESMALTE AL AGUA ALBALUX BRILLANTE BERMELLON X 1</t>
  </si>
  <si>
    <t>008404</t>
  </si>
  <si>
    <t>ESMALTE AL AGUA ALBALUX BRILLANTE AMARILLO X 1</t>
  </si>
  <si>
    <t>008418</t>
  </si>
  <si>
    <t>ESMALTE AL AGUA ALBALUX BRILLANTE MARRON X 1</t>
  </si>
  <si>
    <t>008420</t>
  </si>
  <si>
    <t>ESMALTE AL AGUA ALBALUX BRILLANTE GRIS X 1</t>
  </si>
  <si>
    <t>008429</t>
  </si>
  <si>
    <t>ESMALTE AL AGUA ALBALUX BRILLANTE GRIS HIELO X 1</t>
  </si>
  <si>
    <t>008430</t>
  </si>
  <si>
    <t>ESMALTE AL AGUA ALBALUX BRILLANTE VERDE INGLES X 1</t>
  </si>
  <si>
    <t>008438</t>
  </si>
  <si>
    <t>ESMALTE AL AGUA ALBALUX BRILLANTE VERDE NOCHE X 1</t>
  </si>
  <si>
    <t>008441</t>
  </si>
  <si>
    <t>ESMALTE AL AGUA ALBALUX BRILLANTE TRAFUL X 1</t>
  </si>
  <si>
    <t>008443</t>
  </si>
  <si>
    <t>ESMALTE AL AGUA ALBALUX BRILLANTE AZUL MARINO X 1</t>
  </si>
  <si>
    <t>008447</t>
  </si>
  <si>
    <t>ESMALTE SINTETICO SATINOL SATINADO NEGRO X  0,250</t>
  </si>
  <si>
    <t>008502</t>
  </si>
  <si>
    <t>ESMALTE AL AGUA ALBALUX BRILLANTE BERMELLON X 4</t>
  </si>
  <si>
    <t>008504</t>
  </si>
  <si>
    <t>ESMALTE AL AGUA ALBALUX BRILLANTE AMARILLO X 4</t>
  </si>
  <si>
    <t>008518</t>
  </si>
  <si>
    <t>ESMALTE AL AGUA ALBALUX BRILLANTE MARRON X 4</t>
  </si>
  <si>
    <t>008520</t>
  </si>
  <si>
    <t>ESMALTE AL AGUA ALBALUX BRILLANTE GRIS X 4</t>
  </si>
  <si>
    <t>008529</t>
  </si>
  <si>
    <t>ESMALTE AL AGUA ALBALUX BRILLANTE GRIS HIELO X 4</t>
  </si>
  <si>
    <t>008530</t>
  </si>
  <si>
    <t>ESMALTE AL AGUA ALBALUX BRILLANTE VERDE INGLES X 4</t>
  </si>
  <si>
    <t>008538</t>
  </si>
  <si>
    <t>ESMALTE AL AGUA ALBALUX BRILLANTE VERDE NOCHE X 4</t>
  </si>
  <si>
    <t>008541</t>
  </si>
  <si>
    <t>ESMALTE AL AGUA ALBALUX BRILLANTE TRAFUL X 4</t>
  </si>
  <si>
    <t>008543</t>
  </si>
  <si>
    <t>ESMALTE AL AGUA ALBALUX BRILLANTE AZUL MARINO X 4</t>
  </si>
  <si>
    <t>008601</t>
  </si>
  <si>
    <t>TINTA PARA MADERA CETOL ROBLE CLARO X 0,240</t>
  </si>
  <si>
    <t>008602</t>
  </si>
  <si>
    <t>TINTA PARA MADERA CETOL ROBLE OSCURO X 0,240</t>
  </si>
  <si>
    <t>008603</t>
  </si>
  <si>
    <t>TINTA PARA MADERA CETOL CEDRO X 0,240</t>
  </si>
  <si>
    <t>008604</t>
  </si>
  <si>
    <t>TINTA PARA MADERA CETOL CAOBA X 0,240</t>
  </si>
  <si>
    <t>008605</t>
  </si>
  <si>
    <t>TINTA PARA MADERA CETOL NOGAL X 0,240</t>
  </si>
  <si>
    <t>008606</t>
  </si>
  <si>
    <t>TINTA PARA MADERA CETOL VIRARO X 0,240</t>
  </si>
  <si>
    <t>008607</t>
  </si>
  <si>
    <t>TINTA PARA MADERA CETOL PETIRIBI X 0,240</t>
  </si>
  <si>
    <t>008608</t>
  </si>
  <si>
    <t>TINTA PARA MADERA CETOL ALGARROBO X 0,240</t>
  </si>
  <si>
    <t>008609</t>
  </si>
  <si>
    <t>TINTA PARA MADERA CETOL WENGE X 0,240</t>
  </si>
  <si>
    <t>008617</t>
  </si>
  <si>
    <t>COMPLACOLORIN BCO MB X 125</t>
  </si>
  <si>
    <t>008653</t>
  </si>
  <si>
    <t>COMPACOLORIN BCO ARTICO MB X 125</t>
  </si>
  <si>
    <t>008705</t>
  </si>
  <si>
    <t>COLORANTE CONCENTRADO INDUSTRIAL TERSUAVE AMARILLO LIMON X 1</t>
  </si>
  <si>
    <t>008707</t>
  </si>
  <si>
    <t>COLORANTE CONCENTRADO INDUSTRIAL TERSUAVE AMARILLO LIMON X 4</t>
  </si>
  <si>
    <t>008715</t>
  </si>
  <si>
    <t>COLORANTE CONCENTRADO INDUSTRIAL TERSUAVE AMARILLO MEDIO X 1</t>
  </si>
  <si>
    <t>008717</t>
  </si>
  <si>
    <t>COLORANTE CONCENTRADO INDUSTRIAL TERSUAVE AMARILLO MEDIO X 4</t>
  </si>
  <si>
    <t>008725</t>
  </si>
  <si>
    <t>COLORANTE CONCENTRADO INDUSTRIAL TERSUAVE AZUL FTALO X 1</t>
  </si>
  <si>
    <t>008727</t>
  </si>
  <si>
    <t>COLORANTE CONCENTRADO INDUSTRIAL TERSUAVE AZUL FTALO X 4</t>
  </si>
  <si>
    <t>008735</t>
  </si>
  <si>
    <t>COLORANTE CONCENTRADO INDUSTRIAL TERSUAVE BLANCO X 1</t>
  </si>
  <si>
    <t>008737</t>
  </si>
  <si>
    <t>COLORANTE CONCENTRADO INDUSTRIAL TERSUAVE BLANCO X 4</t>
  </si>
  <si>
    <t>008745</t>
  </si>
  <si>
    <t>COLORANTE CONCENTRADO INDUSTRIAL TERSUAVE FERRITE AMARILLO X 1</t>
  </si>
  <si>
    <t>008747</t>
  </si>
  <si>
    <t>COLORANTE CONCENTRADO INDUSTRIAL TERSUAVE FERRITE AMARILLO X 4</t>
  </si>
  <si>
    <t>008755</t>
  </si>
  <si>
    <t>COLORANTE CONCENTRADO INDUSTRIAL TERSUAVE FERRITE ROJO X 1</t>
  </si>
  <si>
    <t>008757</t>
  </si>
  <si>
    <t>COLORANTE CONCENTRADO INDUSTRIAL TERSUAVE FERRITE ROJO X 4</t>
  </si>
  <si>
    <t>008765</t>
  </si>
  <si>
    <t>COLORANTE CONCENTRADO INDUSTRIAL TERSUAVE NARANJA X 1</t>
  </si>
  <si>
    <t>008767</t>
  </si>
  <si>
    <t>COLORANTE CONCENTRADO INDUSTRIAL TERSUAVE NARANJA X 4</t>
  </si>
  <si>
    <t>008775</t>
  </si>
  <si>
    <t>COLORANTE CONCENTRADO INDUSTRIAL TERSUAVE NEGRO X 1</t>
  </si>
  <si>
    <t>008777</t>
  </si>
  <si>
    <t>COLORANTE CONCENTRADO INDUSTRIAL TERSUAVE NEGRO X 4</t>
  </si>
  <si>
    <t>008785</t>
  </si>
  <si>
    <t>COLORANTE CONCENTRADO INDUSTRIAL TERSUAVE ROJO X 1</t>
  </si>
  <si>
    <t>008787</t>
  </si>
  <si>
    <t>COLORANTE CONCENTRADO INDUSTRIAL TERSUAVE ROJO X 4</t>
  </si>
  <si>
    <t>008800</t>
  </si>
  <si>
    <t>D800 DELTRON CLEAR CONCEPT 2020 X 3,000 (DISCONTINUADO)</t>
  </si>
  <si>
    <t>008801</t>
  </si>
  <si>
    <t>AIRLESS 390PC GRACO - PULVERIZADOR ELECTRICO</t>
  </si>
  <si>
    <t>008805</t>
  </si>
  <si>
    <t>COLORANTE CONCENTRADO INDUSTRIAL TERSUAVE VERDE FTALO X 1</t>
  </si>
  <si>
    <t>008813</t>
  </si>
  <si>
    <t>NITRO COL.ALUMINIO VARIOS X0,125</t>
  </si>
  <si>
    <t>008815</t>
  </si>
  <si>
    <t>COLORANTE CONCENTRADO INDUSTRIAL TERSUAVE VIOLETA X 1</t>
  </si>
  <si>
    <t>008829</t>
  </si>
  <si>
    <t>COLORANTE CONCENTRADO INDUSTRIAL TERSUAVE PASTA ST25 ALUMINIO X 20</t>
  </si>
  <si>
    <t>008839</t>
  </si>
  <si>
    <t>COLORANTE CONCENTRADO INDUSTRIAL TERSUAVE PASTA ST25 N ALUMINIO X 20</t>
  </si>
  <si>
    <t>008847</t>
  </si>
  <si>
    <t>COLORANTE CONCENTRADO INDUSTRIAL TERSUAVE PASTA FR SUPER ORO X 4</t>
  </si>
  <si>
    <t>008851</t>
  </si>
  <si>
    <t>COMPSUG1 COL.ALUMINO P/LLANTAS VARIOS X0,125</t>
  </si>
  <si>
    <t>008853</t>
  </si>
  <si>
    <t>COMPSUG3 COL.BERMELLÏ¿½N 3940 M.BENZ X0,125</t>
  </si>
  <si>
    <t>008854</t>
  </si>
  <si>
    <t>COMPSUG1 COL.AZUL 5950 M.BENZ X0,125</t>
  </si>
  <si>
    <t>008865</t>
  </si>
  <si>
    <t>NITRO COL.BLANCO NIEVE M.BENZ X0,125</t>
  </si>
  <si>
    <t>008871</t>
  </si>
  <si>
    <t>COMPSUG1 COL.BLANCO 9004 MB X 0,125</t>
  </si>
  <si>
    <t>008879</t>
  </si>
  <si>
    <t>COMPSUG1 COL.BLANCO ARTICO MB X 125</t>
  </si>
  <si>
    <t>008951</t>
  </si>
  <si>
    <t>D8951.51 BASE TRANSPARENTE X 18</t>
  </si>
  <si>
    <t>009000</t>
  </si>
  <si>
    <t>TACO VANGUARDIA DH</t>
  </si>
  <si>
    <t>009011</t>
  </si>
  <si>
    <t>SELLADOR SILICONA NODULO NODUFIX ACETICO TRANSPARENTE X 0,050</t>
  </si>
  <si>
    <t>009101</t>
  </si>
  <si>
    <t>ESMALTE SINTETICO MAGIC 3EN1 BRILLANTE BLANCO X  0,250</t>
  </si>
  <si>
    <t>009102</t>
  </si>
  <si>
    <t>ESMALTE SINTETICO MAGIC 3EN1 BRILLANTE NEGRO X 0,250</t>
  </si>
  <si>
    <t>009108</t>
  </si>
  <si>
    <t>ESMALTE SINTETICO MAGIC 3EN1 BRILLANTE BERMELLON X  0,250</t>
  </si>
  <si>
    <t>009114</t>
  </si>
  <si>
    <t>ESMALTE SINTETICO MAGIC 3EN1 BRILLANTE AMARILLO MEDIANO X  0,250</t>
  </si>
  <si>
    <t>009119</t>
  </si>
  <si>
    <t>ESMALTE SINTETICO MAGIC 3EN1 BRILLANTE VERDE INGLES X 0,250</t>
  </si>
  <si>
    <t>009123</t>
  </si>
  <si>
    <t>ESMALTE SINTETICO MAGIC 3EN1 BRILLANTE AZUL ADRIATICO X  0,250</t>
  </si>
  <si>
    <t>009130</t>
  </si>
  <si>
    <t>ESMALTE SINTETICO MAGIC 3EN1 BRILLANTE ALUMINIO X  0,250</t>
  </si>
  <si>
    <t>009149</t>
  </si>
  <si>
    <t>ESMALTE SINTETICO MAGIC 3EN1 BRILLANTE MARRON/CASTANO X 0,250</t>
  </si>
  <si>
    <t>009150</t>
  </si>
  <si>
    <t>ESMALTE SINTETICO MAGIC 3EN1 BRILLANTE AZUL BANDERA X  0,250</t>
  </si>
  <si>
    <t>009166</t>
  </si>
  <si>
    <t>ESMALTE SINTETICO MAGIC 3EN1 BRILLANTE CAFE X  0,250</t>
  </si>
  <si>
    <t>009201</t>
  </si>
  <si>
    <t>ESMALTE SINTETICO MAGIC 3EN1 BRILLANTE BLANCO X  0,500</t>
  </si>
  <si>
    <t>009202</t>
  </si>
  <si>
    <t>ESMALTE SINTETICO MAGIC 3EN1 BRILLANTE NEGRO X 0,500</t>
  </si>
  <si>
    <t>009203</t>
  </si>
  <si>
    <t>ESMALTE SINTETICO MAGIC 3EN1 BRILLANTE GRIS PERLA X 0,500</t>
  </si>
  <si>
    <t>009205</t>
  </si>
  <si>
    <t>ESMALTE SINTETICO MAGIC 3EN1 BRILLANTE GRIS HIELO X 0,500</t>
  </si>
  <si>
    <t>009206</t>
  </si>
  <si>
    <t>ESMALTE SINTETICO MAGIC 3EN1 BRILLANTE GRIS X 0,500</t>
  </si>
  <si>
    <t>009207</t>
  </si>
  <si>
    <t>ESMALTE SINTETICO MAGIC 3EN1 BRILLANTE NARANJA X 0,500</t>
  </si>
  <si>
    <t>009208</t>
  </si>
  <si>
    <t>ESMALTE SINTETICO MAGIC 3EN1 BRILLANTE BERMELLON X  0,500</t>
  </si>
  <si>
    <t>009214</t>
  </si>
  <si>
    <t>ESMALTE SINTETICO MAGIC 3EN1 BRILLANTE AMARILLO MEDIANO X  0,500</t>
  </si>
  <si>
    <t>009219</t>
  </si>
  <si>
    <t>ESMALTE SINTETICO MAGIC 3EN1 BRILLANTE VERDE INGLES X 0,500</t>
  </si>
  <si>
    <t>009223</t>
  </si>
  <si>
    <t>ESMALTE SINTETICO MAGIC 3EN1 BRILLANTE AZUL ADRIATICO X  0,500</t>
  </si>
  <si>
    <t>009227</t>
  </si>
  <si>
    <t>ESMALTE SINTETICO MAGIC 3EN1 SATINADO BLANCO X  0,500</t>
  </si>
  <si>
    <t>009230</t>
  </si>
  <si>
    <t>ESMALTE SINTETICO MAGIC 3EN1 BRILLANTE ALUMINIO X  0,500</t>
  </si>
  <si>
    <t>009231</t>
  </si>
  <si>
    <t>ESMALTE SINTETICO MAGIC 3EN1 BRILLANTE VERDE JADE X 0,500</t>
  </si>
  <si>
    <t>009232</t>
  </si>
  <si>
    <t>ESMALTE SINTETICO MAGIC 3EN1 BRILLANTE VERDE NOCHE X 0,500</t>
  </si>
  <si>
    <t>009241</t>
  </si>
  <si>
    <t>ESMALTE SINTETICO MAGIC 3EN1 BRILLANTE MARFIL X 0,500</t>
  </si>
  <si>
    <t>009247</t>
  </si>
  <si>
    <t>ESMALTE SINTETICO MAGIC 3EN1 MATE BLANCO X 0,500</t>
  </si>
  <si>
    <t>009249</t>
  </si>
  <si>
    <t>ESMALTE SINTETICO MAGIC 3EN1 BRILLANTE MARRON/CASTANO X 0,500</t>
  </si>
  <si>
    <t>009250</t>
  </si>
  <si>
    <t>ESMALTE SINTETICO MAGIC 3EN1 BRILLANTE AZUL BANDERA X  0,500</t>
  </si>
  <si>
    <t>009253</t>
  </si>
  <si>
    <t>ESMALTE SINTETICO MAGIC 3EN1 BRILLANTE TOSTADO X 0,500</t>
  </si>
  <si>
    <t>009259</t>
  </si>
  <si>
    <t>ESMALTE SINTETICO MAGIC 3EN1 BRILLANTE OCEANICO X 0,500</t>
  </si>
  <si>
    <t>009263</t>
  </si>
  <si>
    <t>ESMALTE SINTETICO MAGIC 3EN1 BRILLANTE AMARILLO X  0,500</t>
  </si>
  <si>
    <t>009266</t>
  </si>
  <si>
    <t>ESMALTE SINTETICO MAGIC 3EN1 BRILLANTE CAFE X  0,500</t>
  </si>
  <si>
    <t>009271</t>
  </si>
  <si>
    <t>ESMALTE SINTETICO MAGIC 3EN1 MATE NEGRO X 0,500</t>
  </si>
  <si>
    <t>009301</t>
  </si>
  <si>
    <t>ESMALTE SINTETICO MAGIC 3EN1 BRILLANTE BLANCO X  1</t>
  </si>
  <si>
    <t>009302</t>
  </si>
  <si>
    <t>ESMALTE SINTETICO MAGIC 3EN1 BRILLANTE NEGRO X 1</t>
  </si>
  <si>
    <t>009303</t>
  </si>
  <si>
    <t>ESMALTE SINTETICO MAGIC 3EN1 BRILLANTE GRIS PERLA X 1</t>
  </si>
  <si>
    <t>009305</t>
  </si>
  <si>
    <t>ESMALTE SINTETICO MAGIC 3EN1 BRILLANTE GRIS HIELO X 1</t>
  </si>
  <si>
    <t>009306</t>
  </si>
  <si>
    <t>ESMALTE SINTETICO MAGIC 3EN1 BRILLANTE GRIS X 1</t>
  </si>
  <si>
    <t>009307</t>
  </si>
  <si>
    <t>ESMALTE SINTETICO MAGIC 3EN1 BRILLANTE NARANJA X 1</t>
  </si>
  <si>
    <t>009308</t>
  </si>
  <si>
    <t>ESMALTE SINTETICO MAGIC 3EN1 BRILLANTE BERMELLON X  1</t>
  </si>
  <si>
    <t>009310</t>
  </si>
  <si>
    <t>ESMALTE SINTETICO MAGIC 3EN1 SATINADO NEGRO X 1</t>
  </si>
  <si>
    <t>009314</t>
  </si>
  <si>
    <t>ESMALTE SINTETICO MAGIC 3EN1 BRILLANTE AMARILLO MEDIANO X  1</t>
  </si>
  <si>
    <t>009319</t>
  </si>
  <si>
    <t>ESMALTE SINTETICO MAGIC 3EN1 BRILLANTE VERDE INGLES X 1</t>
  </si>
  <si>
    <t>009323</t>
  </si>
  <si>
    <t>ESMALTE SINTETICO MAGIC 3EN1 BRILLANTE AZUL ADRIATICO X  1</t>
  </si>
  <si>
    <t>009327</t>
  </si>
  <si>
    <t>ESMALTE SINTETICO MAGIC 3EN1 SATINADO BLANCO X  1</t>
  </si>
  <si>
    <t>009330</t>
  </si>
  <si>
    <t>ESMALTE SINTETICO MAGIC 3EN1 BRILLANTE ALUMINIO X  1</t>
  </si>
  <si>
    <t>009331</t>
  </si>
  <si>
    <t>ESMALTE SINTETICO MAGIC 3EN1 BRILLANTE VERDE JADE X 1</t>
  </si>
  <si>
    <t>009332</t>
  </si>
  <si>
    <t>ESMALTE SINTETICO MAGIC 3EN1 BRILLANTE VERDE NOCHE X 1</t>
  </si>
  <si>
    <t>009341</t>
  </si>
  <si>
    <t>ESMALTE SINTETICO MAGIC 3EN1 BRILLANTE MARFIL X 1</t>
  </si>
  <si>
    <t>009347</t>
  </si>
  <si>
    <t>ESMALTE SINTETICO MAGIC 3EN1 MATE BLANCO X 1</t>
  </si>
  <si>
    <t>009349</t>
  </si>
  <si>
    <t>ESMALTE SINTETICO MAGIC 3EN1 BRILLANTE MARRON/CASTANO X 1</t>
  </si>
  <si>
    <t>009350</t>
  </si>
  <si>
    <t>ESMALTE SINTETICO MAGIC 3EN1 BRILLANTE AZUL BANDERA X  1</t>
  </si>
  <si>
    <t>009353</t>
  </si>
  <si>
    <t>ESMALTE SINTETICO MAGIC 3EN1 BRILLANTE TOSTADO X 1</t>
  </si>
  <si>
    <t>009359</t>
  </si>
  <si>
    <t>ESMALTE SINTETICO MAGIC 3EN1 BRILLANTE OCEANICO X 1</t>
  </si>
  <si>
    <t>009363</t>
  </si>
  <si>
    <t>ESMALTE SINTETICO MAGIC 3EN1 BRILLANTE AMARILLO X  1</t>
  </si>
  <si>
    <t>009366</t>
  </si>
  <si>
    <t>ESMALTE SINTETICO MAGIC 3EN1 BRILLANTE CAFE X  1</t>
  </si>
  <si>
    <t>009371</t>
  </si>
  <si>
    <t>ESMALTE SINTETICO MAGIC 3EN1 MATE NEGRO X 1</t>
  </si>
  <si>
    <t>009401</t>
  </si>
  <si>
    <t>SELLADOR SILICONA NODULO NODULASTIC 415 NEUTRO TRANSPARENTE X 0,280</t>
  </si>
  <si>
    <t>009411</t>
  </si>
  <si>
    <t>SELLADOR SILICONA NODULO NODUFIX ACETICO TRANSPARENTE X 0,280</t>
  </si>
  <si>
    <t>009421</t>
  </si>
  <si>
    <t>SELLADOR SILICONA NODULO NODULASTIC 415 NEUTRO BLANCO X 0,280</t>
  </si>
  <si>
    <t>009431</t>
  </si>
  <si>
    <t>SELLADOR PARA CHAPA NODULO ZINKGOTA SOLDADURA PLASTICA GRIS X 0,280</t>
  </si>
  <si>
    <t>009491</t>
  </si>
  <si>
    <t>SELLADOR CARROCERIAS NODULO PINCELABLE BLANCO X 0,280</t>
  </si>
  <si>
    <t>009501</t>
  </si>
  <si>
    <t>ESMALTE AL AGUA ALBALUX BRILLANTE BLANCO X  0,500</t>
  </si>
  <si>
    <t>009502</t>
  </si>
  <si>
    <t>ESM.AGUA ALBA ROJO DERBY X 0,500</t>
  </si>
  <si>
    <t>009504</t>
  </si>
  <si>
    <t>ESM.AGUA ALBA AMAR.DAISY X 0,500</t>
  </si>
  <si>
    <t>009515</t>
  </si>
  <si>
    <t>ESMALTE AL AGUA ALBALUX BRILLANTE NEGRO X 0,500</t>
  </si>
  <si>
    <t>009518</t>
  </si>
  <si>
    <t>ESM.AGUA ALBA MARRON VILLAGE X 0,500</t>
  </si>
  <si>
    <t>009529</t>
  </si>
  <si>
    <t>ESM.AGUA ALBA GRIS PERSA X 0,500</t>
  </si>
  <si>
    <t>009530</t>
  </si>
  <si>
    <t>ESM.AGUA ALBA VERDE ALPINO X 0,500</t>
  </si>
  <si>
    <t>009543</t>
  </si>
  <si>
    <t>ESM.AGUA ALBA AZUL NAVY X 0,500</t>
  </si>
  <si>
    <t>009591</t>
  </si>
  <si>
    <t>SELLADOR CARROCERIAS NODULO PINCELABLE GRIS X 0,500</t>
  </si>
  <si>
    <t>009601</t>
  </si>
  <si>
    <t>ESMALTE SINTETICO MAGIC 3EN1 BRILLANTE BLANCO X  4</t>
  </si>
  <si>
    <t>009602</t>
  </si>
  <si>
    <t>ESMALTE SINTETICO MAGIC 3EN1 BRILLANTE NEGRO X 4</t>
  </si>
  <si>
    <t>009603</t>
  </si>
  <si>
    <t>ESMALTE SINTETICO MAGIC 3EN1 BRILLANTE GRIS PERLA X 4</t>
  </si>
  <si>
    <t>009605</t>
  </si>
  <si>
    <t>ESMALTE SINTETICO MAGIC 3EN1 BRILLANTE GRIS HIELO X 4</t>
  </si>
  <si>
    <t>009606</t>
  </si>
  <si>
    <t>ESMALTE SINTETICO MAGIC 3EN1 BRILLANTE GRIS X 4</t>
  </si>
  <si>
    <t>009607</t>
  </si>
  <si>
    <t>ESMALTE SINTETICO MAGIC 3EN1 BRILLANTE NARANJA X 4</t>
  </si>
  <si>
    <t>009608</t>
  </si>
  <si>
    <t>ESMALTE SINTETICO MAGIC 3EN1 BRILLANTE BERMELLON X  4</t>
  </si>
  <si>
    <t>009610</t>
  </si>
  <si>
    <t>ESMALTE SINTETICO MAGIC 3EN1 SATINADO NEGRO X 4</t>
  </si>
  <si>
    <t>009614</t>
  </si>
  <si>
    <t>ESMALTE SINTETICO MAGIC 3EN1 BRILLANTE AMARILLO MEDIANO X  4</t>
  </si>
  <si>
    <t>009619</t>
  </si>
  <si>
    <t>ESMALTE SINTETICO MAGIC 3EN1 BRILLANTE VERDE INGLES X 4</t>
  </si>
  <si>
    <t>009623</t>
  </si>
  <si>
    <t>ESMALTE SINTETICO MAGIC 3EN1 BRILLANTE AZUL ADRIATICO X  4</t>
  </si>
  <si>
    <t>009627</t>
  </si>
  <si>
    <t>ESMALTE SINTETICO MAGIC 3EN1 SATINADO BLANCO X  4</t>
  </si>
  <si>
    <t>009630</t>
  </si>
  <si>
    <t>ESMALTE SINTETICO MAGIC 3EN1 BRILLANTE ALUMINIO X  4</t>
  </si>
  <si>
    <t>009631</t>
  </si>
  <si>
    <t>ESMALTE SINTETICO MAGIC 3EN1 BRILLANTE VERDE JADE X 4</t>
  </si>
  <si>
    <t>009632</t>
  </si>
  <si>
    <t>ESMALTE SINTETICO MAGIC 3EN1 BRILLANTE VERDE NOCHE X 4</t>
  </si>
  <si>
    <t>009641</t>
  </si>
  <si>
    <t>ESMALTE SINTETICO MAGIC 3EN1 BRILLANTE MARFIL X 4</t>
  </si>
  <si>
    <t>009647</t>
  </si>
  <si>
    <t>ESMALTE SINTETICO MAGIC 3EN1 MATE BLANCO X 4</t>
  </si>
  <si>
    <t>009649</t>
  </si>
  <si>
    <t>ESMALTE SINTETICO MAGIC 3EN1 BRILLANTE MARRON/CASTANO X 4</t>
  </si>
  <si>
    <t>009650</t>
  </si>
  <si>
    <t>ESMALTE SINTETICO MAGIC 3EN1 BRILLANTE AZUL BANDERA X  4</t>
  </si>
  <si>
    <t>009653</t>
  </si>
  <si>
    <t>ESMALTE SINTETICO MAGIC 3EN1 BRILLANTE TOSTADO X 4</t>
  </si>
  <si>
    <t>009659</t>
  </si>
  <si>
    <t>ESMALTE SINTETICO MAGIC 3EN1 BRILLANTE OCEANICO X 4</t>
  </si>
  <si>
    <t>009663</t>
  </si>
  <si>
    <t>ESMALTE SINTETICO MAGIC 3EN1 BRILLANTE AMARILLO X  4</t>
  </si>
  <si>
    <t>009666</t>
  </si>
  <si>
    <t>ESMALTE SINTETICO MAGIC 3EN1 BRILLANTE CAFE X  4</t>
  </si>
  <si>
    <t>009671</t>
  </si>
  <si>
    <t>ESMALTE SINTETICO MAGIC 3EN1 MATE NEGRO X 4</t>
  </si>
  <si>
    <t>009701</t>
  </si>
  <si>
    <t>ESMALTE AL AGUA ALBALUX BRILLANTE BLANCO X  1</t>
  </si>
  <si>
    <t>009702</t>
  </si>
  <si>
    <t>ESM.AGUA ALBA ROJO DERBY X 1</t>
  </si>
  <si>
    <t>009704</t>
  </si>
  <si>
    <t>ESM.AGUA ALBA AMAR.DAISY X 1</t>
  </si>
  <si>
    <t>009715</t>
  </si>
  <si>
    <t>ESMALTE AL AGUA ALBALUX BRILLANTE NEGRO X 1</t>
  </si>
  <si>
    <t>009718</t>
  </si>
  <si>
    <t>ESM.AGUA ALBA MARRON VILLAGE X 1</t>
  </si>
  <si>
    <t>009729</t>
  </si>
  <si>
    <t>ESM.AGUA ALBA GRIS PERSA X 1</t>
  </si>
  <si>
    <t>009730</t>
  </si>
  <si>
    <t>ESM.AGUA ALBA VERDE ALPINO X 1</t>
  </si>
  <si>
    <t>009743</t>
  </si>
  <si>
    <t>ESM.AGUA ALBA AZUL NAVY X 1</t>
  </si>
  <si>
    <t>009781</t>
  </si>
  <si>
    <t>SELLADOR DE ABERTURAS NODULO BLANCO X 0,420</t>
  </si>
  <si>
    <t>009801</t>
  </si>
  <si>
    <t>ESMALTE SINTETICO MAGIC 3EN1 BRILLANTE BLANCO X 20</t>
  </si>
  <si>
    <t>009802</t>
  </si>
  <si>
    <t>ESMALTE SINTETICO MAGIC 3EN1 BRILLANTE NEGRO X20</t>
  </si>
  <si>
    <t>009806</t>
  </si>
  <si>
    <t>ESMALTE SINTETICO MAGIC 3EN1 BRILLANTE GRIS X20</t>
  </si>
  <si>
    <t>009808</t>
  </si>
  <si>
    <t>ESMALTE SINTETICO MAGIC 3EN1 BRILLANTE BERMELLON X 20</t>
  </si>
  <si>
    <t>009819</t>
  </si>
  <si>
    <t>ESMALTE SINTETICO MAGIC 3EN1 BRILLANTE VERDE INGLES X20</t>
  </si>
  <si>
    <t>009827</t>
  </si>
  <si>
    <t>ESMALTE SINTETICO MAGIC 3EN1 SATINADO BLANCO X 20</t>
  </si>
  <si>
    <t>009830</t>
  </si>
  <si>
    <t>ESMALTE SINTETICO MAGIC 3EN1 BRILLANTE ALUMINIO X 20</t>
  </si>
  <si>
    <t>009851</t>
  </si>
  <si>
    <t>PROTECTOR SUBCARROCERIA NODULO UNDERLASTIC ANTIRRUIDO/SUBCARROC SECADO RAPIDO NEGRO X 1</t>
  </si>
  <si>
    <t>009901</t>
  </si>
  <si>
    <t>ESMALTE AL AGUA ALBALUX BRILLANTE BLANCO X  4</t>
  </si>
  <si>
    <t>009902</t>
  </si>
  <si>
    <t>ESM.AGUA ALBA ROJO DERBY X 4</t>
  </si>
  <si>
    <t>009904</t>
  </si>
  <si>
    <t>ESM.AGUA ALBA AMAR.DAISY X 4</t>
  </si>
  <si>
    <t>009915</t>
  </si>
  <si>
    <t>ESMALTE AL AGUA ALBALUX BRILLANTE NEGRO X 4</t>
  </si>
  <si>
    <t>009918</t>
  </si>
  <si>
    <t>ESM.AGUA ALBA MARRON VILLAGE X 4</t>
  </si>
  <si>
    <t>009929</t>
  </si>
  <si>
    <t>ESM.AGUA ALBA GRIS PERSA X 4</t>
  </si>
  <si>
    <t>009930</t>
  </si>
  <si>
    <t>ESM.AGUA ALBA VERDE ALPINO X 4</t>
  </si>
  <si>
    <t>009941</t>
  </si>
  <si>
    <t>009943</t>
  </si>
  <si>
    <t>ESM.AGUA ALBA AZUL NAVY X 4</t>
  </si>
  <si>
    <t>010000</t>
  </si>
  <si>
    <t>PALLET ARLOG</t>
  </si>
  <si>
    <t>010001</t>
  </si>
  <si>
    <t>ESMALTE EPOXI ALBA BCO X 1</t>
  </si>
  <si>
    <t>010101</t>
  </si>
  <si>
    <t>ESMALTE AL AGUA ALBALUX BRILLANTE BLANCO X 20</t>
  </si>
  <si>
    <t>010501</t>
  </si>
  <si>
    <t>ESMALTE SINTETICO COLORIN VITROSPRAY SECADO ULTRARAPIDO BLANCO X 1</t>
  </si>
  <si>
    <t>010502</t>
  </si>
  <si>
    <t>ESMALTE SINTETICO COLORIN VITROSPRAY SECADO ULTRARAPIDO NEGRO X 1</t>
  </si>
  <si>
    <t>010503</t>
  </si>
  <si>
    <t>DILUYENTE AGUARRAS PARA ESMALTE X   0,900 (PET)</t>
  </si>
  <si>
    <t>010505</t>
  </si>
  <si>
    <t>ESMALTE SINTETICO COLORIN VITROSPRAY SECADO ULTRARAPIDO NARANJA FIAT X 1</t>
  </si>
  <si>
    <t>010506</t>
  </si>
  <si>
    <t>ESMALTE SINTETICO COLORIN VITROSPRAY SECADO ULTRARAPIDO BERMELLON X 1</t>
  </si>
  <si>
    <t>010507</t>
  </si>
  <si>
    <t>ESMALTE SINTETICO COLORIN VITROSPRAY SECADO ULTRARAPIDO AMAR.CROMO X 1</t>
  </si>
  <si>
    <t>010601</t>
  </si>
  <si>
    <t>ESMALTE SINTETICO COLORIN VITROSPRAY SECADO ULTRARAPIDO BLANCO X 4</t>
  </si>
  <si>
    <t>010602</t>
  </si>
  <si>
    <t>ESMALTE SINTETICO COLORIN VITROSPRAY SECADO ULTRARAPIDO NEGRO X 4</t>
  </si>
  <si>
    <t>010606</t>
  </si>
  <si>
    <t>ESMALTE SINTETICO COLORIN VITROSPRAY SECADO ULTRARAPIDO BERMELLON X 4</t>
  </si>
  <si>
    <t>010607</t>
  </si>
  <si>
    <t>ESMALTE SINTETICO COLORIN VITROSPRAY SECADO ULTRARAPIDO AMAR.CROMO X 4</t>
  </si>
  <si>
    <t>010623</t>
  </si>
  <si>
    <t>DILUYENTE AGUARRAS PARA ESMALTE X 200</t>
  </si>
  <si>
    <t>010640</t>
  </si>
  <si>
    <t>ESMALTE SINTETICO COLORIN VITROSPRAY SECADO ULTRARAPIDO NARANJA FIAT X 4</t>
  </si>
  <si>
    <t>010698</t>
  </si>
  <si>
    <t>THINNER DIXILINA VERTIENTE UNIVERSAL 702 X 18</t>
  </si>
  <si>
    <t>010702</t>
  </si>
  <si>
    <t>THINNER STANDARD X   0,900 (PET)</t>
  </si>
  <si>
    <t>010707</t>
  </si>
  <si>
    <t>THINNER SELLO DE ORO X   0,900 (PET)</t>
  </si>
  <si>
    <t>010713</t>
  </si>
  <si>
    <t>ESMALTE SINTETICO COLORIN VITROSPRAY SECADO ULTRARAPIDO AZUL BANDERA X 1</t>
  </si>
  <si>
    <t>010804</t>
  </si>
  <si>
    <t>IMPREGNANTE PARA MADERA CETOL CLASSIC BRILLANTE CAOBA X  1</t>
  </si>
  <si>
    <t>010805</t>
  </si>
  <si>
    <t>IMPREGNANTE PARA MADERA CETOL CLASSIC BRILLANTE CEDRO X  1</t>
  </si>
  <si>
    <t>010806</t>
  </si>
  <si>
    <t>IMPREGNANTE PARA MADERA CETOL CLASSIC BRILLANTE CRISTAL X  1</t>
  </si>
  <si>
    <t>010807</t>
  </si>
  <si>
    <t>IMPREGNANTE PARA MADERA CETOL CLASSIC BRILLANTE NATURAL X  1</t>
  </si>
  <si>
    <t>010808</t>
  </si>
  <si>
    <t>IMPREGNANTE PARA MADERA CETOL CLASSIC BRILLANTE NOGAL X  1</t>
  </si>
  <si>
    <t>010809</t>
  </si>
  <si>
    <t>IMPREGNANTE PARA MADERA CETOL CLASSIC BRILLANTE ROBLE X  1</t>
  </si>
  <si>
    <t>010813</t>
  </si>
  <si>
    <t>ESMALTE SINTETICO COLORIN VITROSPRAY SECADO ULTRARAPIDO AZUL BANDERA X 4</t>
  </si>
  <si>
    <t>010814</t>
  </si>
  <si>
    <t>IMPREGNANTE PARA MADERA CETOL CLASSIC BRILLANTE CAOBA X  4</t>
  </si>
  <si>
    <t>010815</t>
  </si>
  <si>
    <t>IMPREGNANTE PARA MADERA CETOL CLASSIC BRILLANTE CEDRO X  4</t>
  </si>
  <si>
    <t>010816</t>
  </si>
  <si>
    <t>IMPREGNANTE PARA MADERA CETOL CLASSIC BRILLANTE CRISTAL X  4</t>
  </si>
  <si>
    <t>010817</t>
  </si>
  <si>
    <t>IMPREGNANTE PARA MADERA CETOL CLASSIC BRILLANTE NATURAL X  4</t>
  </si>
  <si>
    <t>010818</t>
  </si>
  <si>
    <t>IMPREGNANTE PARA MADERA CETOL CLASSIC BRILLANTE NOGAL X  4</t>
  </si>
  <si>
    <t>010819</t>
  </si>
  <si>
    <t>IMPREGNANTE PARA MADERA CETOL CLASSIC BRILLANTE ROBLE X  4</t>
  </si>
  <si>
    <t>010824</t>
  </si>
  <si>
    <t>IMPREGNANTE PARA MADERA CETOL CLASSIC BRILLANTE CAOBA X 10</t>
  </si>
  <si>
    <t>010825</t>
  </si>
  <si>
    <t>IMPREGNANTE PARA MADERA CETOL CLASSIC BRILLANTE CEDRO X 10</t>
  </si>
  <si>
    <t>010826</t>
  </si>
  <si>
    <t>IMPREGNANTE PARA MADERA CETOL CLASSIC BRILLANTE CRISTAL X 10</t>
  </si>
  <si>
    <t>010827</t>
  </si>
  <si>
    <t>IMPREGNANTE PARA MADERA CETOL CLASSIC BRILLANTE NATURAL X 10</t>
  </si>
  <si>
    <t>010828</t>
  </si>
  <si>
    <t>IMPREGNANTE PARA MADERA CETOL CLASSIC BRILLANTE NOGAL X 10</t>
  </si>
  <si>
    <t>010829</t>
  </si>
  <si>
    <t>IMPREGNANTE PARA MADERA CETOL CLASSIC BRILLANTE ROBLE X 10</t>
  </si>
  <si>
    <t>010881</t>
  </si>
  <si>
    <t>THINNER DIXILINA ORO E X 18</t>
  </si>
  <si>
    <t>010887</t>
  </si>
  <si>
    <t>DILUYENTE PARA CEMENTO DE CONTACTO X 18</t>
  </si>
  <si>
    <t>010997</t>
  </si>
  <si>
    <t>DILUYENTE PARA PILETA Y DEMARCACION VIAL X   1</t>
  </si>
  <si>
    <t>011002</t>
  </si>
  <si>
    <t>ESMALTE EPOXI ALBA NEGRO X 1</t>
  </si>
  <si>
    <t>011046</t>
  </si>
  <si>
    <t>SOLVENTE INDUSTRIAL X 18</t>
  </si>
  <si>
    <t>011160</t>
  </si>
  <si>
    <t>COMP.BICA.G0 BCO HELADA VW X 0,125</t>
  </si>
  <si>
    <t>011161</t>
  </si>
  <si>
    <t>DILUYENTE PARA EPOXI PLUS X  18</t>
  </si>
  <si>
    <t>011165</t>
  </si>
  <si>
    <t>DILUYENTE POLIURETANICO PLUS X  18</t>
  </si>
  <si>
    <t>011170</t>
  </si>
  <si>
    <t>COMPL.BICAPA PLATA POLAR VW X 0,125</t>
  </si>
  <si>
    <t>011307</t>
  </si>
  <si>
    <t>COMPLACOLORIN BCO CHRYLER VW X 125</t>
  </si>
  <si>
    <t>011356</t>
  </si>
  <si>
    <t>COMPSUG1 COL.BLANCO CGEADA VW X 125</t>
  </si>
  <si>
    <t>011475</t>
  </si>
  <si>
    <t>COMPLACOLORIN ROJO ANARANJADO VW X 125</t>
  </si>
  <si>
    <t>011478</t>
  </si>
  <si>
    <t>COMPLACOLORIN BEIGE ALTEZA VW X 125</t>
  </si>
  <si>
    <t>011482</t>
  </si>
  <si>
    <t>COMPLACOLORIN AZUL ATLÏ¿½NTICO VW X 125</t>
  </si>
  <si>
    <t>011519</t>
  </si>
  <si>
    <t>COMPLACOLORIN AMARILLO SAHARA VW X 125</t>
  </si>
  <si>
    <t>011584</t>
  </si>
  <si>
    <t>COMPSUG4 COL.PLATINO MET.VW X 125</t>
  </si>
  <si>
    <t>011585</t>
  </si>
  <si>
    <t>011606</t>
  </si>
  <si>
    <t>COMPLACOLORIN GRIS ANTÏ¿½RTICO VW X 125</t>
  </si>
  <si>
    <t>011618</t>
  </si>
  <si>
    <t>COMPSUG2 COL.GRIS METEORO VW X 125</t>
  </si>
  <si>
    <t>011668</t>
  </si>
  <si>
    <t>COMPSUG3 COL.ROJO FLASH VW X 125</t>
  </si>
  <si>
    <t>011670</t>
  </si>
  <si>
    <t>COMPSUG1 COL.BLANCO CANDY VW X 125</t>
  </si>
  <si>
    <t>011680</t>
  </si>
  <si>
    <t>COMPSUG1 COL.GRIS URANO VW X 125</t>
  </si>
  <si>
    <t>011683</t>
  </si>
  <si>
    <t>COMPSUG4 COL.PLATA REFLEX MET.VW X 0,125</t>
  </si>
  <si>
    <t>011693</t>
  </si>
  <si>
    <t>COMPSUG4 COL.PLATA LIGHT MET.VW X 125</t>
  </si>
  <si>
    <t>012008</t>
  </si>
  <si>
    <t>ESMALTE EPOXI ALBA GRIS HIELO X 1</t>
  </si>
  <si>
    <t>012101</t>
  </si>
  <si>
    <t>DEMARCACION VIAL RESOL BLANCO X  1</t>
  </si>
  <si>
    <t>012111</t>
  </si>
  <si>
    <t>DEMARCACION VIAL RESOL BLANCO X  4</t>
  </si>
  <si>
    <t>012121</t>
  </si>
  <si>
    <t>DEMARCACION VIAL RESOL BLANCO X 18</t>
  </si>
  <si>
    <t>012122</t>
  </si>
  <si>
    <t>DEMARCACION VIAL RESOL AMARILLO VIAL X 18</t>
  </si>
  <si>
    <t>012200</t>
  </si>
  <si>
    <t>FONDO EPOXI ALBA GRIS X 1</t>
  </si>
  <si>
    <t>012201</t>
  </si>
  <si>
    <t>FONDO CONVERTIDOR DE OXIDO ALBA MATE BLANCO X 0,500</t>
  </si>
  <si>
    <t>012215</t>
  </si>
  <si>
    <t>FONDO CONVERTIDOR DE OXIDO ALBA MATE NEGRO X 0,500</t>
  </si>
  <si>
    <t>012227</t>
  </si>
  <si>
    <t>FONDO CONVERTIDOR DE OXIDO ALBA MATE GRIS X 0,500</t>
  </si>
  <si>
    <t>012252</t>
  </si>
  <si>
    <t>TONALBA MAD ROBLE X 0,060</t>
  </si>
  <si>
    <t>012256</t>
  </si>
  <si>
    <t>TONALBA MAD ROBLE OSC X 0,060</t>
  </si>
  <si>
    <t>012299</t>
  </si>
  <si>
    <t>FONDO CONVERTIDOR DE OXIDO ALBA MATE ROJO X 0,500</t>
  </si>
  <si>
    <t>012301</t>
  </si>
  <si>
    <t>FONDO CONVERTIDOR DE OXIDO ALBA MATE BLANCO X 1</t>
  </si>
  <si>
    <t>012315</t>
  </si>
  <si>
    <t>FONDO CONVERTIDOR DE OXIDO ALBA MATE NEGRO X 1</t>
  </si>
  <si>
    <t>012327</t>
  </si>
  <si>
    <t>FONDO CONVERTIDOR DE OXIDO ALBA MATE GRIS X 1</t>
  </si>
  <si>
    <t>012399</t>
  </si>
  <si>
    <t>FONDO CONVERTIDOR DE OXIDO ALBA MATE ROJO X 1  (DISC)</t>
  </si>
  <si>
    <t>012401</t>
  </si>
  <si>
    <t>FONDO CONVERTIDOR DE OXIDO ALBA MATE BLANCO X 4</t>
  </si>
  <si>
    <t>012415</t>
  </si>
  <si>
    <t>FONDO CONVERTIDOR DE OXIDO ALBA MATE NEGRO X 4</t>
  </si>
  <si>
    <t>012427</t>
  </si>
  <si>
    <t>FONDO CONVERTIDOR DE OXIDO ALBA MATE GRIS X 4</t>
  </si>
  <si>
    <t>012499</t>
  </si>
  <si>
    <t>FONDO CONVERTIDOR DE OXIDO ALBA MATE ROJO X 4</t>
  </si>
  <si>
    <t>012551</t>
  </si>
  <si>
    <t>TINTALUSTRE ROBLE CLARO X 0,500</t>
  </si>
  <si>
    <t>012553</t>
  </si>
  <si>
    <t>TINTALUSTRE CEDRO X 0,500</t>
  </si>
  <si>
    <t>012651</t>
  </si>
  <si>
    <t>TINTALUSTRE ROBLE CLARO X 1</t>
  </si>
  <si>
    <t>012653</t>
  </si>
  <si>
    <t>TINTALUSTRE CEDRO X 1</t>
  </si>
  <si>
    <t>012850</t>
  </si>
  <si>
    <t>MADECOR RECUBRIM.CRISTAL X 1</t>
  </si>
  <si>
    <t>012865</t>
  </si>
  <si>
    <t>MADECOR RECUBRIM.NOGAL X 1</t>
  </si>
  <si>
    <t>012939</t>
  </si>
  <si>
    <t>MADECOR RECUBRIM.CAOBA X 4</t>
  </si>
  <si>
    <t>012965</t>
  </si>
  <si>
    <t>MADECOR RECUBRIM.NOGAL X 4</t>
  </si>
  <si>
    <t>012985</t>
  </si>
  <si>
    <t>MADECOR RECUBRIM.NATURAL X 4</t>
  </si>
  <si>
    <t>013007</t>
  </si>
  <si>
    <t>ESMALTE SINTETICO BRILLOPLAST BRILLANTE NARANJA X 0,500</t>
  </si>
  <si>
    <t>013008</t>
  </si>
  <si>
    <t>ESMALTE SINTETICO BRILLOPLAST BRILLANTE BERMELLON CLARO X 0,500</t>
  </si>
  <si>
    <t>013026</t>
  </si>
  <si>
    <t>ESMALTE SINTETICO BRILLOPLAST BRILLANTE BERMELLON OSCURO X 0,500</t>
  </si>
  <si>
    <t>013117</t>
  </si>
  <si>
    <t>COMP.BICA.G4 ROJO IMOLA FI/PE X 0,125</t>
  </si>
  <si>
    <t>013121</t>
  </si>
  <si>
    <t>COMPL.BICAPA VERDE MAYERLING FI/PE X 0,125</t>
  </si>
  <si>
    <t>013125</t>
  </si>
  <si>
    <t>COMPL.BICAPA GRIS PERLA FI/PE X 0,125</t>
  </si>
  <si>
    <t>013126</t>
  </si>
  <si>
    <t>COMPSUG4 COL.GRIS SATURNO FI/PE X 0,125</t>
  </si>
  <si>
    <t>013128</t>
  </si>
  <si>
    <t>COMPL.BICAPA VERDE BAHÏ¿½A FI/PE X0,125</t>
  </si>
  <si>
    <t>014002</t>
  </si>
  <si>
    <t>ESMALTE EPOXI ALBA BERMELLON X 1</t>
  </si>
  <si>
    <t>015014</t>
  </si>
  <si>
    <t>ESMALTE SINTETICO BRILLOPLAST BRILLANTE AMARILLO MEDIANO X 0,500</t>
  </si>
  <si>
    <t>015063</t>
  </si>
  <si>
    <t>ESMALTE SINTETICO BRILLOPLAST BRILLANTE AMARILLO VIAL X  0,500</t>
  </si>
  <si>
    <t>016033</t>
  </si>
  <si>
    <t>ESMALTE EPOXI ALBA V.INGLES X 1</t>
  </si>
  <si>
    <t>016050</t>
  </si>
  <si>
    <t>PINTURA PARA PILETA ALBA EPOXI TANQUES Y PILETAS GRIS X 1</t>
  </si>
  <si>
    <t>016051</t>
  </si>
  <si>
    <t>PINTURA PARA PILETA ALBA EPOXI TANQUES Y PILETAS BLANCO X 1</t>
  </si>
  <si>
    <t>016315</t>
  </si>
  <si>
    <t>ESMALTE SINTETICO ALBALUX BRILLANTE NEGRO X 20</t>
  </si>
  <si>
    <t>016328</t>
  </si>
  <si>
    <t>ESMALTE SINTETICO ALBALUX BRILLANTE PERLA X 20</t>
  </si>
  <si>
    <t>016330</t>
  </si>
  <si>
    <t>ESMALTE SINTETICO ALBALUX BRILLANTE V. INGLES X 20</t>
  </si>
  <si>
    <t>016338</t>
  </si>
  <si>
    <t>ESMALTE SINTETICO ALBALUX BRILLANTE V. NOCHE X 20</t>
  </si>
  <si>
    <t>016343</t>
  </si>
  <si>
    <t>ESMALTE SINTETICO ALBALUX BRILLANTE A. MARINO X 20</t>
  </si>
  <si>
    <t>017001</t>
  </si>
  <si>
    <t>PINTURA PARA PILETA ALBA EPOXI TANQUES Y PILETAS CELESTE INTENSO X 1</t>
  </si>
  <si>
    <t>017125</t>
  </si>
  <si>
    <t>COMPSUG3 COL.GRIS PERLA FIAT X 125</t>
  </si>
  <si>
    <t>017401</t>
  </si>
  <si>
    <t>ESMALTE SINTETICO PARA EXTERIOR ALBASOL BRILLANTE BLANCO X  4</t>
  </si>
  <si>
    <t>017413</t>
  </si>
  <si>
    <t>ESMALTE SINTETICO PARA EXTERIOR ALBASOL BRILLANTE COLORADO X  4</t>
  </si>
  <si>
    <t>017417</t>
  </si>
  <si>
    <t>ESMALTE SINTETICO PARA EXTERIOR ALBASOL BRILLANTE ALUMINIO X  4</t>
  </si>
  <si>
    <t>017430</t>
  </si>
  <si>
    <t>ESMALTE SINTETICO PARA EXTERIOR ALBASOL BRILLANTE VERDE VAGON X  4</t>
  </si>
  <si>
    <t>017501</t>
  </si>
  <si>
    <t>ESMALTE SINTETICO PARA EXTERIOR ALBASOL BRILLANTE BLANCO X 20</t>
  </si>
  <si>
    <t>017513</t>
  </si>
  <si>
    <t>ESMALTE SINTETICO PARA EXTERIOR ALBASOL BRILLANTE COLORADO X 20</t>
  </si>
  <si>
    <t>017517</t>
  </si>
  <si>
    <t>ESMALTE SINTETICO PARA EXTERIOR ALBASOL BRILLANTE ALUMINIO X 20</t>
  </si>
  <si>
    <t>017530</t>
  </si>
  <si>
    <t>ESMALTE SINTETICO PARA EXTERIOR ALBASOL BRILLANTE VERDE VAGON X 20</t>
  </si>
  <si>
    <t>018030</t>
  </si>
  <si>
    <t>ESMALTE SINTETICO BRILLOPLAST BRILLANTE ALUMINIO X  0,500</t>
  </si>
  <si>
    <t>018402</t>
  </si>
  <si>
    <t>ESMALTE SINTETICO ALBALUX BRILLANTE BERMELLON X  0,250</t>
  </si>
  <si>
    <t>018404</t>
  </si>
  <si>
    <t>ESMALTE SINTETICO ALBALUX BRILLANTE AMARILLO X  0,250</t>
  </si>
  <si>
    <t>018417</t>
  </si>
  <si>
    <t>ESMALTE SINTETICO ALBALUX BRILLANTE ALUMINIIO X  0,250</t>
  </si>
  <si>
    <t>018502</t>
  </si>
  <si>
    <t>ESMALTE SINTETICO ALBALUX BRILLANTE BERMELLON X  0,500</t>
  </si>
  <si>
    <t>018504</t>
  </si>
  <si>
    <t>ESMALTE SINTETICO ALBALUX BRILLANTE AMARILLO X  0,500</t>
  </si>
  <si>
    <t>018510</t>
  </si>
  <si>
    <t>ESMALTE SINTETICO ALBALUX BRILLANTE CARMIN X 0,500</t>
  </si>
  <si>
    <t>018517</t>
  </si>
  <si>
    <t>ESMALTE SINTETICO ALBALUX BRILLANTE ALUMINIIO X  0,500</t>
  </si>
  <si>
    <t>018556</t>
  </si>
  <si>
    <t>ESMALTE SINTETICO ALBALUX BRILLANTE AM. MEDIO X  0,500</t>
  </si>
  <si>
    <t>018602</t>
  </si>
  <si>
    <t>ESMALTE SINTETICO ALBALUX BRILLANTE BERMELLON X  1</t>
  </si>
  <si>
    <t>018603</t>
  </si>
  <si>
    <t>ESMALTE SINTETICO ALBALUX BRILLANTE NARANJA X  1</t>
  </si>
  <si>
    <t>018604</t>
  </si>
  <si>
    <t>ESMALTE SINTETICO ALBALUX BRILLANTE AMARILLO X  1</t>
  </si>
  <si>
    <t>018610</t>
  </si>
  <si>
    <t>ESMALTE SINTETICO ALBALUX BRILLANTE CARMIN X 1</t>
  </si>
  <si>
    <t>018617</t>
  </si>
  <si>
    <t>ESMALTE SINTETICO ALBALUX BRILLANTE ALUMINIIO X  1</t>
  </si>
  <si>
    <t>018656</t>
  </si>
  <si>
    <t>ESMALTE SINTETICO ALBALUX BRILLANTE AM. MEDIO X  1</t>
  </si>
  <si>
    <t>018702</t>
  </si>
  <si>
    <t>ESMALTE SINTETICO ALBALUX BRILLANTE BERMELLON X  4</t>
  </si>
  <si>
    <t>018703</t>
  </si>
  <si>
    <t>ESMALTE SINTETICO ALBALUX BRILLANTE NARANJA X  4</t>
  </si>
  <si>
    <t>018704</t>
  </si>
  <si>
    <t>ESMALTE SINTETICO ALBALUX BRILLANTE AMARILLO X  4</t>
  </si>
  <si>
    <t>018710</t>
  </si>
  <si>
    <t>ESMALTE SINTETICO ALBALUX BRILLANTE CARMIN X 4</t>
  </si>
  <si>
    <t>018717</t>
  </si>
  <si>
    <t>ESMALTE SINTETICO ALBALUX BRILLANTE ALUMINIIO X  4</t>
  </si>
  <si>
    <t>018756</t>
  </si>
  <si>
    <t>ESMALTE SINTETICO ALBALUX BRILLANTE AM. MEDIO X  4</t>
  </si>
  <si>
    <t>018802</t>
  </si>
  <si>
    <t>ESMALTE SINTETICO ALBALUX BRILLANTE BERMELLON X 20</t>
  </si>
  <si>
    <t>018803</t>
  </si>
  <si>
    <t>ESMALTE SINTETICO ALBALUX BRILLANTE NARANJA X 20</t>
  </si>
  <si>
    <t>018817</t>
  </si>
  <si>
    <t>ESMALTE SINTETICO ALBALUX BRILLANTE ALUMINIIO X 20</t>
  </si>
  <si>
    <t>018856</t>
  </si>
  <si>
    <t>ESMALTE SINTETICO ALBALUX BRILLANTE AM. MEDIO X 20</t>
  </si>
  <si>
    <t>018915</t>
  </si>
  <si>
    <t>ESMALTE SINTETICO ALBALUX BRILLANTE NEGRO X  0,250</t>
  </si>
  <si>
    <t>018918</t>
  </si>
  <si>
    <t>ESMALTE SINTETICO ALBALUX BRILLANTE MARRON X 0,250</t>
  </si>
  <si>
    <t>018930</t>
  </si>
  <si>
    <t>ESMALTE SINTETICO ALBALUX BRILLANTE V. INGLES X  0,250</t>
  </si>
  <si>
    <t>018943</t>
  </si>
  <si>
    <t>ESMALTE SINTETICO ALBALUX BRILLANTE A. MARINO X  0,250</t>
  </si>
  <si>
    <t>019009</t>
  </si>
  <si>
    <t>ESMALTE SINTETICO ALBALUX BRILLANTE BEIGE X 0,500</t>
  </si>
  <si>
    <t>019013</t>
  </si>
  <si>
    <t>ESMALTE SINTETICO ALBALUX BRILLANTE CEDRO X 0,500</t>
  </si>
  <si>
    <t>019015</t>
  </si>
  <si>
    <t>ESMALTE SINTETICO ALBALUX BRILLANTE NEGRO X  0,500</t>
  </si>
  <si>
    <t>019018</t>
  </si>
  <si>
    <t>ESMALTE SINTETICO ALBALUX BRILLANTE MARRON X 0,500</t>
  </si>
  <si>
    <t>019019</t>
  </si>
  <si>
    <t>ESMALTE SINTETICO ALBALUX BRILLANTE V. CLARO X 0,500</t>
  </si>
  <si>
    <t>019020</t>
  </si>
  <si>
    <t>ESMALTE SINTETICO ALBALUX BRILLANTE GRIS X 0,500</t>
  </si>
  <si>
    <t>019021</t>
  </si>
  <si>
    <t>ESMALTE SINTETICO ALBALUX BRILLANTE G. VISON X 0,500</t>
  </si>
  <si>
    <t>019023</t>
  </si>
  <si>
    <t>ESMALTE SINTETICO ALBALUX BRILLANTE CELESTE X 0,500</t>
  </si>
  <si>
    <t>019024</t>
  </si>
  <si>
    <t>ESMALTE SINTETICO ALBALUX BRILLANTE M. SEDA X 0,500</t>
  </si>
  <si>
    <t>019026</t>
  </si>
  <si>
    <t>ESMALTE SINTETICO ALBALUX BRILLANTE G. ESPACIAL X 0,500</t>
  </si>
  <si>
    <t>019028</t>
  </si>
  <si>
    <t>ESMALTE SINTETICO ALBALUX BRILLANTE PERLA X  0,500</t>
  </si>
  <si>
    <t>019029</t>
  </si>
  <si>
    <t>ESMALTE SINTETICO ALBALUX BRILLANTE G. HIELO X 0,500</t>
  </si>
  <si>
    <t>019030</t>
  </si>
  <si>
    <t>ESMALTE SINTETICO ALBALUX BRILLANTE V. INGLES X  0,500</t>
  </si>
  <si>
    <t>019032</t>
  </si>
  <si>
    <t>ESMALTE SINTETICO ALBALUX BRILLANTE AZULEJO X 0,500</t>
  </si>
  <si>
    <t>019033</t>
  </si>
  <si>
    <t>ESMALTE SINTETICO ALBALUX BRILLANTE M. CHAMPAGNE (CASTOR) X 0,500</t>
  </si>
  <si>
    <t>019035</t>
  </si>
  <si>
    <t>ESMALTE SINTETICO ALBALUX BRILLANTE VICUNA X 0,500</t>
  </si>
  <si>
    <t>019037</t>
  </si>
  <si>
    <t>ESMALTE SINTETICO ALBALUX BRILLANTE CASTANO X 0,500</t>
  </si>
  <si>
    <t>019038</t>
  </si>
  <si>
    <t>ESMALTE SINTETICO ALBALUX BRILLANTE V. NOCHE X  0,500</t>
  </si>
  <si>
    <t>019041</t>
  </si>
  <si>
    <t>ESMALTE SINTETICO ALBALUX BRILLANTE TRAFUL X 0,500</t>
  </si>
  <si>
    <t>019043</t>
  </si>
  <si>
    <t>ESMALTE SINTETICO ALBALUX BRILLANTE A. MARINO X  0,500</t>
  </si>
  <si>
    <t>019047</t>
  </si>
  <si>
    <t>ESMALTE SINTETICO ALBALUX BRILLANTE TABACO X 0,500</t>
  </si>
  <si>
    <t>019109</t>
  </si>
  <si>
    <t>ESMALTE SINTETICO ALBALUX BRILLANTE BEIGE X 1</t>
  </si>
  <si>
    <t>019111</t>
  </si>
  <si>
    <t>ESMALTE SINTETICO ALBALUX BRILLANTE MARFIL X 1</t>
  </si>
  <si>
    <t>019113</t>
  </si>
  <si>
    <t>ESMALTE SINTETICO ALBALUX BRILLANTE CEDRO X 1</t>
  </si>
  <si>
    <t>019115</t>
  </si>
  <si>
    <t>ESMALTE SINTETICO ALBALUX BRILLANTE NEGRO X  1</t>
  </si>
  <si>
    <t>019118</t>
  </si>
  <si>
    <t>ESMALTE SINTETICO ALBALUX BRILLANTE MARRON X 1</t>
  </si>
  <si>
    <t>019119</t>
  </si>
  <si>
    <t>ESMALTE SINTETICO ALBALUX BRILLANTE V. CLARO X 1</t>
  </si>
  <si>
    <t>019120</t>
  </si>
  <si>
    <t>ESMALTE SINTETICO ALBALUX BRILLANTE GRIS X 1</t>
  </si>
  <si>
    <t>019121</t>
  </si>
  <si>
    <t>ESMALTE SINTETICO ALBALUX BRILLANTE G. VISON X 1</t>
  </si>
  <si>
    <t>019122</t>
  </si>
  <si>
    <t>ESMALTE SINTETICO ALBALUX BRILLANTE ESMERALDA X 1</t>
  </si>
  <si>
    <t>019123</t>
  </si>
  <si>
    <t>ESMALTE SINTETICO ALBALUX BRILLANTE CELESTE X 1</t>
  </si>
  <si>
    <t>019124</t>
  </si>
  <si>
    <t>ESMALTE SINTETICO ALBALUX BRILLANTE M. SEDA X 1</t>
  </si>
  <si>
    <t>019126</t>
  </si>
  <si>
    <t>ESMALTE SINTETICO ALBALUX BRILLANTE G. ESPACIAL X 1</t>
  </si>
  <si>
    <t>019128</t>
  </si>
  <si>
    <t>ESMALTE SINTETICO ALBALUX BRILLANTE PERLA X  1</t>
  </si>
  <si>
    <t>019129</t>
  </si>
  <si>
    <t>ESMALTE SINTETICO ALBALUX BRILLANTE G. HIELO X 1</t>
  </si>
  <si>
    <t>019130</t>
  </si>
  <si>
    <t>ESMALTE SINTETICO ALBALUX BRILLANTE V. INGLES X  1</t>
  </si>
  <si>
    <t>019132</t>
  </si>
  <si>
    <t>ESMALTE SINTETICO ALBALUX BRILLANTE AZULEJO X 1</t>
  </si>
  <si>
    <t>019133</t>
  </si>
  <si>
    <t>ESMALTE SINTETICO ALBALUX BRILLANTE M. CHAMPAGNE (CASTOR) X 1</t>
  </si>
  <si>
    <t>019134</t>
  </si>
  <si>
    <t>ESMALTE SINTETICO ALBALUX BRILLANTE V. ILUSION X 1</t>
  </si>
  <si>
    <t>019135</t>
  </si>
  <si>
    <t>ESMALTE SINTETICO ALBALUX BRILLANTE VICUNA X 1</t>
  </si>
  <si>
    <t>019136</t>
  </si>
  <si>
    <t>ESMALTE SINTETICO ALBALUX BRILLANTE CREMA X 1</t>
  </si>
  <si>
    <t>019137</t>
  </si>
  <si>
    <t>ESMALTE SINTETICO ALBALUX BRILLANTE CASTANO X 1</t>
  </si>
  <si>
    <t>019138</t>
  </si>
  <si>
    <t>ESMALTE SINTETICO ALBALUX BRILLANTE V. NOCHE X  1</t>
  </si>
  <si>
    <t>019141</t>
  </si>
  <si>
    <t>ESMALTE SINTETICO ALBALUX BRILLANTE TRAFUL X 1</t>
  </si>
  <si>
    <t>019143</t>
  </si>
  <si>
    <t>ESMALTE SINTETICO ALBALUX BRILLANTE A. MARINO X  1</t>
  </si>
  <si>
    <t>019145</t>
  </si>
  <si>
    <t>ESMALTE SINTETICO ALBALUX BRILLANTE OCRE X 1</t>
  </si>
  <si>
    <t>019147</t>
  </si>
  <si>
    <t>ESMALTE SINTETICO ALBALUX BRILLANTE TABACO X 1</t>
  </si>
  <si>
    <t>019209</t>
  </si>
  <si>
    <t>ESMALTE SINTETICO ALBALUX BRILLANTE BEIGE X 4</t>
  </si>
  <si>
    <t>019211</t>
  </si>
  <si>
    <t>ESMALTE SINTETICO ALBALUX BRILLANTE MARFIL X 4</t>
  </si>
  <si>
    <t>019213</t>
  </si>
  <si>
    <t>ESMALTE SINTETICO ALBALUX BRILLANTE CEDRO X 4</t>
  </si>
  <si>
    <t>019215</t>
  </si>
  <si>
    <t>ESMALTE SINTETICO ALBALUX BRILLANTE NEGRO X  4</t>
  </si>
  <si>
    <t>019218</t>
  </si>
  <si>
    <t>ESMALTE SINTETICO ALBALUX BRILLANTE MARRON X 4</t>
  </si>
  <si>
    <t>019219</t>
  </si>
  <si>
    <t>ESMALTE SINTETICO ALBALUX BRILLANTE V. CLARO X 4</t>
  </si>
  <si>
    <t>019220</t>
  </si>
  <si>
    <t>ESMALTE SINTETICO ALBALUX BRILLANTE GRIS X 4</t>
  </si>
  <si>
    <t>019221</t>
  </si>
  <si>
    <t>ESMALTE SINTETICO ALBALUX BRILLANTE G. VISON X 4</t>
  </si>
  <si>
    <t>019222</t>
  </si>
  <si>
    <t>ESMALTE SINTETICO ALBALUX BRILLANTE ESMERALDA X 4</t>
  </si>
  <si>
    <t>019223</t>
  </si>
  <si>
    <t>ESMALTE SINTETICO ALBALUX BRILLANTE CELESTE X 4</t>
  </si>
  <si>
    <t>019224</t>
  </si>
  <si>
    <t>ESMALTE SINTETICO ALBALUX BRILLANTE M. SEDA X 4</t>
  </si>
  <si>
    <t>019226</t>
  </si>
  <si>
    <t>ESMALTE SINTETICO ALBALUX BRILLANTE G. ESPACIAL X 4</t>
  </si>
  <si>
    <t>019228</t>
  </si>
  <si>
    <t>ESMALTE SINTETICO ALBALUX BRILLANTE PERLA X  4</t>
  </si>
  <si>
    <t>019229</t>
  </si>
  <si>
    <t>ESMALTE SINTETICO ALBALUX BRILLANTE G. HIELO X 4</t>
  </si>
  <si>
    <t>019230</t>
  </si>
  <si>
    <t>ESMALTE SINTETICO ALBALUX BRILLANTE V. INGLES X  4</t>
  </si>
  <si>
    <t>019232</t>
  </si>
  <si>
    <t>ESMALTE SINTETICO ALBALUX BRILLANTE AZULEJO X 4</t>
  </si>
  <si>
    <t>019233</t>
  </si>
  <si>
    <t>ESMALTE SINTETICO ALBALUX BRILLANTE M. CHAMPAGNE (CASTOR) X 4</t>
  </si>
  <si>
    <t>019234</t>
  </si>
  <si>
    <t>ESMALTE SINTETICO ALBALUX BRILLANTE V. ILUSION X 4</t>
  </si>
  <si>
    <t>019235</t>
  </si>
  <si>
    <t>ESMALTE SINTETICO ALBALUX BRILLANTE VICUNA X 4</t>
  </si>
  <si>
    <t>019236</t>
  </si>
  <si>
    <t>ESMALTE SINTETICO ALBALUX BRILLANTE CREMA X 4</t>
  </si>
  <si>
    <t>019237</t>
  </si>
  <si>
    <t>ESMALTE SINTETICO ALBALUX BRILLANTE CASTANO X 4</t>
  </si>
  <si>
    <t>019238</t>
  </si>
  <si>
    <t>ESMALTE SINTETICO ALBALUX BRILLANTE V. NOCHE X  4</t>
  </si>
  <si>
    <t>019241</t>
  </si>
  <si>
    <t>ESMALTE SINTETICO ALBALUX BRILLANTE TRAFUL X 4</t>
  </si>
  <si>
    <t>019243</t>
  </si>
  <si>
    <t>ESMALTE SINTETICO ALBALUX BRILLANTE A. MARINO X  4</t>
  </si>
  <si>
    <t>019245</t>
  </si>
  <si>
    <t>ESMALTE SINTETICO ALBALUX BRILLANTE OCRE X 4</t>
  </si>
  <si>
    <t>019247</t>
  </si>
  <si>
    <t>ESMALTE SINTETICO ALBALUX BRILLANTE TABACO X 4</t>
  </si>
  <si>
    <t>020503</t>
  </si>
  <si>
    <t>DILUYENTE AGUARRAS PARA ESMALTE X   4 (PET)</t>
  </si>
  <si>
    <t>020623</t>
  </si>
  <si>
    <t>DILUYENTE AGUARRAS PARA ESMALTE X 18</t>
  </si>
  <si>
    <t>020698</t>
  </si>
  <si>
    <t>THINNER DIXILINA VERTIENTE ORO 707 X 18</t>
  </si>
  <si>
    <t>020702</t>
  </si>
  <si>
    <t>THINNER STANDARD X   4 (PET)</t>
  </si>
  <si>
    <t>020707</t>
  </si>
  <si>
    <t>THINNER SELLO DE ORO X   4 (PET)</t>
  </si>
  <si>
    <t>020881</t>
  </si>
  <si>
    <t>THINNER DIXILINA ORO E X  4</t>
  </si>
  <si>
    <t>020887</t>
  </si>
  <si>
    <t>DILUYENTE PARA CEMENTO DE CONTACTO X   4</t>
  </si>
  <si>
    <t>020997</t>
  </si>
  <si>
    <t>DILUYENTE PARA PILETA Y DEMARCACION VIAL X   4</t>
  </si>
  <si>
    <t>021046</t>
  </si>
  <si>
    <t>SOLVENTE INDUSTRIAL X   4</t>
  </si>
  <si>
    <t>021150</t>
  </si>
  <si>
    <t>BARNIZ PARA MADERA EXTERIOR ALBATROS BRILLANTE DOBLE VIDA NATURAL X 0,500</t>
  </si>
  <si>
    <t>021153</t>
  </si>
  <si>
    <t>BARNIZ PARA MADERA EXTERIOR ALBATROS BRILLANTE DOBLE VIDA CEDRO X 0,500</t>
  </si>
  <si>
    <t>021154</t>
  </si>
  <si>
    <t>BARNIZ PARA MADERA EXTERIOR ALBATROS BRILLANTE DOBLE VIDA CAOBA X 0,500</t>
  </si>
  <si>
    <t>021155</t>
  </si>
  <si>
    <t>BARNIZ PARA MADERA EXTERIOR ALBATROS BRILLANTE DOBLE VIDA NOGAL X 0,500</t>
  </si>
  <si>
    <t>021161</t>
  </si>
  <si>
    <t>DILUYENTE PARA EPOXI PLUS X   4</t>
  </si>
  <si>
    <t>021165</t>
  </si>
  <si>
    <t>DILUYENTE POLIURETANICO PLUS X   4</t>
  </si>
  <si>
    <t>021308</t>
  </si>
  <si>
    <t>PINTURA PARA PILETA ALBA AL CAUCHO MATE CELESTE PROFUNDO X  1</t>
  </si>
  <si>
    <t>021401</t>
  </si>
  <si>
    <t>PINTURA PARA PILETA ALBA AL CAUCHO MATE BLANCO X 4</t>
  </si>
  <si>
    <t>021404</t>
  </si>
  <si>
    <t>PINTURA PARA PILETA ALBA AL CAUCHO MATE CELESTE X 4</t>
  </si>
  <si>
    <t>021408</t>
  </si>
  <si>
    <t>PINTURA PARA PILETA ALBA AL CAUCHO MATE CELESTE PROFUNDO X  4</t>
  </si>
  <si>
    <t>022819</t>
  </si>
  <si>
    <t>ESMALTE SINTETICO TERSUAVE 2EN1 BRILLANTE VERDE CLARO X 20</t>
  </si>
  <si>
    <t>023007</t>
  </si>
  <si>
    <t>ESMALTE SINTETICO BRILLOPLAST BRILLANTE NARANJA X 1</t>
  </si>
  <si>
    <t>023008</t>
  </si>
  <si>
    <t>ESMALTE SINTETICO BRILLOPLAST BRILLANTE BERMELLON CLARO X 1</t>
  </si>
  <si>
    <t>023026</t>
  </si>
  <si>
    <t>ESMALTE SINTETICO BRILLOPLAST BRILLANTE BERMELLON OSCURO X 1</t>
  </si>
  <si>
    <t>023127</t>
  </si>
  <si>
    <t>COMP.BICA.G4 ROJO ARIZONA FI/PE X 0,125</t>
  </si>
  <si>
    <t>024250</t>
  </si>
  <si>
    <t>BARNIZ PARA MADERA EXTERIOR ALBATROS BRILLANTE DOBLE VIDA NATURAL X 1</t>
  </si>
  <si>
    <t>024253</t>
  </si>
  <si>
    <t>BARNIZ PARA MADERA EXTERIOR ALBATROS BRILLANTE DOBLE VIDA CEDRO X 1</t>
  </si>
  <si>
    <t>024254</t>
  </si>
  <si>
    <t>BARNIZ PARA MADERA EXTERIOR ALBATROS BRILLANTE DOBLE VIDA CAOBA X 1</t>
  </si>
  <si>
    <t>024255</t>
  </si>
  <si>
    <t>BARNIZ PARA MADERA EXTERIOR ALBATROS BRILLANTE DOBLE VIDA NOGAL X 1</t>
  </si>
  <si>
    <t>024350</t>
  </si>
  <si>
    <t>BARNIZ PARA MADERA EXTERIOR ALBATROS BRILLANTE DOBLE VIDA NATURAL X 4</t>
  </si>
  <si>
    <t>024353</t>
  </si>
  <si>
    <t>BARNIZ PARA MADERA EXTERIOR ALBATROS BRILLANTE DOBLE VIDA CEDRO X 4</t>
  </si>
  <si>
    <t>024354</t>
  </si>
  <si>
    <t>BARNIZ PARA MADERA EXTERIOR ALBATROS BRILLANTE DOBLE VIDA CAOBA X 4</t>
  </si>
  <si>
    <t>024355</t>
  </si>
  <si>
    <t>BARNIZ PARA MADERA EXTERIOR ALBATROS BRILLANTE DOBLE VIDA NOGAL X 4</t>
  </si>
  <si>
    <t>025014</t>
  </si>
  <si>
    <t>ESMALTE SINTETICO BRILLOPLAST BRILLANTE AMARILLO MEDIANO X 1</t>
  </si>
  <si>
    <t>025063</t>
  </si>
  <si>
    <t>ESMALTE SINTETICO BRILLOPLAST BRILLANTE AMARILLO VIAL X  1</t>
  </si>
  <si>
    <t>026715</t>
  </si>
  <si>
    <t>ESMALTE SINTETICO ALBA ALTA TEMPERATURA NEGRO X 1</t>
  </si>
  <si>
    <t>026717</t>
  </si>
  <si>
    <t>ESMALTE SINTETICO ALBA ALTA TEMPERATURA ALUMINIO X 1</t>
  </si>
  <si>
    <t>027301</t>
  </si>
  <si>
    <t>LATEX EXTERIOR DURALBA MATE GRIS CEMENTO X  1</t>
  </si>
  <si>
    <t>027303</t>
  </si>
  <si>
    <t>LATEX EXTERIOR DURALBA MATE MARRON X  1</t>
  </si>
  <si>
    <t>027304</t>
  </si>
  <si>
    <t>LATEX EXTERIOR DURALBA MATE OCRE X  1</t>
  </si>
  <si>
    <t>027305</t>
  </si>
  <si>
    <t>LATEX EXTERIOR DURALBA MATE AZUL X  1</t>
  </si>
  <si>
    <t>027306</t>
  </si>
  <si>
    <t>LATEX EXTERIOR DURALBA MATE VERDE MUSGO X  1</t>
  </si>
  <si>
    <t>027307</t>
  </si>
  <si>
    <t>LATEX EXTERIOR DURALBA MATE TEJA X  1</t>
  </si>
  <si>
    <t>027308</t>
  </si>
  <si>
    <t>LATEX EXTERIOR DURALBA MATE ROJO TANINO X  1</t>
  </si>
  <si>
    <t>027322</t>
  </si>
  <si>
    <t>LATEX EXTERIOR DURALBA MATE BERMELLON X  1</t>
  </si>
  <si>
    <t>027340</t>
  </si>
  <si>
    <t>LATEX EXTERIOR DURALBA MATE NEGRO X  1</t>
  </si>
  <si>
    <t>027341</t>
  </si>
  <si>
    <t>LATEX EXTERIOR DURALBA MATE VERDE TENIS X  1</t>
  </si>
  <si>
    <t>027344</t>
  </si>
  <si>
    <t>LATEX EXTERIOR DURALBA MATE AMARILLO X  1</t>
  </si>
  <si>
    <t>027501</t>
  </si>
  <si>
    <t>IMPERMEABILIZANTE PARA TECHOS DURALBA SATINADO BLANCO X  1</t>
  </si>
  <si>
    <t>027601</t>
  </si>
  <si>
    <t>IMPERMEABILIZANTE PARA TECHOS DURALBA SATINADO BLANCO X  4</t>
  </si>
  <si>
    <t>027607</t>
  </si>
  <si>
    <t>IMPERMEABILIZANTE PARA TECHOS DURALBA SATINADO TEJA X  4</t>
  </si>
  <si>
    <t>027701</t>
  </si>
  <si>
    <t>IMPERMEABILIZANTE PARA TECHOS DURALBA SATINADO BLANCO X 10</t>
  </si>
  <si>
    <t>027707</t>
  </si>
  <si>
    <t>IMPERMEABILIZANTE PARA TECHOS DURALBA SATINADO TEJA X 10</t>
  </si>
  <si>
    <t>027801</t>
  </si>
  <si>
    <t>IMPERMEABILIZANTE PARA TECHOS DURALBA SATINADO BLANCO X 20</t>
  </si>
  <si>
    <t>027807</t>
  </si>
  <si>
    <t>IMPERMEABILIZANTE PARA TECHOS DURALBA SATINADO TEJA X 20</t>
  </si>
  <si>
    <t>028030</t>
  </si>
  <si>
    <t>ESMALTE SINTETICO BRILLOPLAST BRILLANTE ALUMINIO X  1</t>
  </si>
  <si>
    <t>030503</t>
  </si>
  <si>
    <t>DILUYENTE AGUARRAS DIXILINA VERTIRRAS X 200</t>
  </si>
  <si>
    <t>030702</t>
  </si>
  <si>
    <t>THINNER DIXILINA VERTIENTE UNIVERSAL 702 X 200</t>
  </si>
  <si>
    <t>030707</t>
  </si>
  <si>
    <t>THINNER DIXILINA VERTIENTE ORO 707 X 200</t>
  </si>
  <si>
    <t>030715</t>
  </si>
  <si>
    <t>ESMALTE SINTETICO ALBA ALTA TEMPERATURA NEGRO X 0,500</t>
  </si>
  <si>
    <t>030717</t>
  </si>
  <si>
    <t>ESMALTE SINTETICO ALBA ALTA TEMPERATURA ALUMINIO X 0,500</t>
  </si>
  <si>
    <t>031002</t>
  </si>
  <si>
    <t>ESMALTE EPOXI ALBA NEGRO X 4</t>
  </si>
  <si>
    <t>031046</t>
  </si>
  <si>
    <t>SOLVENTE INDUSTRIAL X   1</t>
  </si>
  <si>
    <t>031117</t>
  </si>
  <si>
    <t>ESMALTE SINTETICO ALBA ALTA TEMPERATURA ALUMINIO X 4</t>
  </si>
  <si>
    <t>031161</t>
  </si>
  <si>
    <t>DILUYENTE PARA EPOXI PLUS X   1</t>
  </si>
  <si>
    <t>031165</t>
  </si>
  <si>
    <t>DILUYENTE POLIURETANICO PLUS X   1</t>
  </si>
  <si>
    <t>031256</t>
  </si>
  <si>
    <t>INDALBA AMARILLO MEDIANO X  4</t>
  </si>
  <si>
    <t>031263</t>
  </si>
  <si>
    <t>INDALBA NARANJA X  4</t>
  </si>
  <si>
    <t>031264</t>
  </si>
  <si>
    <t>INDALBA ROJO AGRICOLA X  4</t>
  </si>
  <si>
    <t>031265</t>
  </si>
  <si>
    <t>INDALBA AMARILLO VIAL X  4</t>
  </si>
  <si>
    <t>031280</t>
  </si>
  <si>
    <t>INDALBA ROJO SENAL X  4</t>
  </si>
  <si>
    <t>031291</t>
  </si>
  <si>
    <t>ESMALTE SINTETICO INDUSTRIAL INDALBA BCO X  4</t>
  </si>
  <si>
    <t>031356</t>
  </si>
  <si>
    <t>INDALBA AMARILLO MEDIANO X 20</t>
  </si>
  <si>
    <t>031363</t>
  </si>
  <si>
    <t>INDALBA NARANJA X 20</t>
  </si>
  <si>
    <t>031364</t>
  </si>
  <si>
    <t>INDALBA ROJO AGRICOLA X 20</t>
  </si>
  <si>
    <t>031365</t>
  </si>
  <si>
    <t>INDALBA AMARILLO VIAL X 20</t>
  </si>
  <si>
    <t>031380</t>
  </si>
  <si>
    <t>INDALBA ROJO SENAL X 20</t>
  </si>
  <si>
    <t>031391</t>
  </si>
  <si>
    <t>ESMALTE SINTETICO INDUSTRIAL INDALBA BCO X 20</t>
  </si>
  <si>
    <t>031460</t>
  </si>
  <si>
    <t>INDALBA GRIS CLARO X  4</t>
  </si>
  <si>
    <t>031467</t>
  </si>
  <si>
    <t>INDALBA AZUL BANDERA X  4</t>
  </si>
  <si>
    <t>031487</t>
  </si>
  <si>
    <t>INDALBA VERDE TRACTOR X  4</t>
  </si>
  <si>
    <t>031492</t>
  </si>
  <si>
    <t>INDALBA NEGRO X  4</t>
  </si>
  <si>
    <t>031560</t>
  </si>
  <si>
    <t>INDALBA GRIS CLARO X 20</t>
  </si>
  <si>
    <t>031567</t>
  </si>
  <si>
    <t>INDALBA AZUL BANDERA X 20</t>
  </si>
  <si>
    <t>031587</t>
  </si>
  <si>
    <t>INDALBA VERDE TRACTOR X 20</t>
  </si>
  <si>
    <t>031592</t>
  </si>
  <si>
    <t>INDALBA NEGRO X 20</t>
  </si>
  <si>
    <t>032012</t>
  </si>
  <si>
    <t>SELLADOR GRIETAS&amp;FISURAS NODULO X 0,320</t>
  </si>
  <si>
    <t>032013</t>
  </si>
  <si>
    <t>SELLADOR GRIETAS&amp;FISURAS NODULO X 0,420</t>
  </si>
  <si>
    <t>032014</t>
  </si>
  <si>
    <t>SELLADOR GRIETAS&amp;FISURAS NODULO X 1</t>
  </si>
  <si>
    <t>032015</t>
  </si>
  <si>
    <t>SELLADOR GRIETAS&amp;FISURAS NODULO X 5</t>
  </si>
  <si>
    <t>033007</t>
  </si>
  <si>
    <t>ESMALTE SINTETICO BRILLOPLAST BRILLANTE NARANJA X 4</t>
  </si>
  <si>
    <t>033008</t>
  </si>
  <si>
    <t>ESMALTE SINTETICO BRILLOPLAST BRILLANTE BERMELLON CLARO X 4</t>
  </si>
  <si>
    <t>033026</t>
  </si>
  <si>
    <t>ESMALTE SINTETICO BRILLOPLAST BRILLANTE BERMELLON OSCURO X 4</t>
  </si>
  <si>
    <t>035014</t>
  </si>
  <si>
    <t>ESMALTE SINTETICO BRILLOPLAST BRILLANTE AMARILLO MEDIANO X 4</t>
  </si>
  <si>
    <t>035063</t>
  </si>
  <si>
    <t>ESMALTE SINTETICO BRILLOPLAST BRILLANTE AMARILLO VIAL X  4</t>
  </si>
  <si>
    <t>038030</t>
  </si>
  <si>
    <t>ESMALTE SINTETICO BRILLOPLAST BRILLANTE ALUMINIO X  4</t>
  </si>
  <si>
    <t>039101</t>
  </si>
  <si>
    <t>IMPERMEABILIZANTE PARA FRENTES Y MUROS DURALBA MATE GRIS CEMENTO X  4</t>
  </si>
  <si>
    <t>039102</t>
  </si>
  <si>
    <t>IMPERMEABILIZANTE PARA FRENTES Y MUROS DURALBA MATE BERMELLON X  4</t>
  </si>
  <si>
    <t>039103</t>
  </si>
  <si>
    <t>IMPERMEABILIZANTE PARA FRENTES Y MUROS DURALBA MATE EGGSH NEGRO X  4</t>
  </si>
  <si>
    <t>039105</t>
  </si>
  <si>
    <t>IMPERMEABILIZANTE PARA FRENTES Y MUROS DURALBA MATE AZUL TRAFUL X  4</t>
  </si>
  <si>
    <t>039107</t>
  </si>
  <si>
    <t>IMPERMEABILIZANTE PARA FRENTES Y MUROS DURALBA MATE TEJA X  4</t>
  </si>
  <si>
    <t>039144</t>
  </si>
  <si>
    <t>IMPERMEABILIZANTE PARA FRENTES Y MUROS DURALBA MATE AMARILLO X  4</t>
  </si>
  <si>
    <t>039301</t>
  </si>
  <si>
    <t>IMPERMEABILIZANTE PARA FRENTES Y MUROS DURALBA MATE GRIS CEMENTO X  1</t>
  </si>
  <si>
    <t>039302</t>
  </si>
  <si>
    <t>IMPERMEABILIZANTE PARA FRENTES Y MUROS DURALBA MATE BERMELLON X  1</t>
  </si>
  <si>
    <t>039303</t>
  </si>
  <si>
    <t>IMPERMEABILIZANTE PARA FRENTES Y MUROS DURALBA MATE EGGSH NEGRO X  1</t>
  </si>
  <si>
    <t>039305</t>
  </si>
  <si>
    <t>IMPERMEABILIZANTE PARA FRENTES Y MUROS DURALBA MATE AZUL TRAFUL X  1</t>
  </si>
  <si>
    <t>039307</t>
  </si>
  <si>
    <t>IMPERMEABILIZANTE PARA FRENTES Y MUROS DURALBA MATE TEJA X  1</t>
  </si>
  <si>
    <t>039344</t>
  </si>
  <si>
    <t>IMPERMEABILIZANTE PARA FRENTES Y MUROS DURALBA MATE AMARILLO X  1</t>
  </si>
  <si>
    <t>039401</t>
  </si>
  <si>
    <t>IMPERMEABILIZANTE PARA FRENTES Y MUROS DURALBA MATE GRIS CEMENTO X 20</t>
  </si>
  <si>
    <t>039402</t>
  </si>
  <si>
    <t>IMPERMEABILIZANTE PARA FRENTES Y MUROS DURALBA MATE BERMELLON X 20</t>
  </si>
  <si>
    <t>039403</t>
  </si>
  <si>
    <t>IMPERMEABILIZANTE PARA FRENTES Y MUROS DURALBA MATE EGGSH NEGRO X 20</t>
  </si>
  <si>
    <t>039405</t>
  </si>
  <si>
    <t>IMPERMEABILIZANTE PARA FRENTES Y MUROS DURALBA MATE AZUL TRAFUL X 20</t>
  </si>
  <si>
    <t>039407</t>
  </si>
  <si>
    <t>IMPERMEABILIZANTE PARA FRENTES Y MUROS DURALBA MATE TEJA X 20</t>
  </si>
  <si>
    <t>039444</t>
  </si>
  <si>
    <t>IMPERMEABILIZANTE PARA FRENTES Y MUROS DURALBA MATE AMARILLO X 20</t>
  </si>
  <si>
    <t>039601</t>
  </si>
  <si>
    <t>ESMALTE SINTETICO ALBALUX 2EN1 BRILLANTE BLANCO X 0,500</t>
  </si>
  <si>
    <t>039602</t>
  </si>
  <si>
    <t>ESMALTE SINTETICO ALBALUX 2EN1 BRILLANTE BERMELLON X 0,500</t>
  </si>
  <si>
    <t>039604</t>
  </si>
  <si>
    <t>ESMALTE SINTETICO ALBALUX 2EN1 BRILLANTE AMARILLO X 0,500</t>
  </si>
  <si>
    <t>039701</t>
  </si>
  <si>
    <t>ESMALTE SINTETICO ALBALUX 2EN1 BRILLANTE BLANCO X 1</t>
  </si>
  <si>
    <t>039702</t>
  </si>
  <si>
    <t>ESMALTE SINTETICO ALBALUX 2EN1 BRILLANTE BERMELLON X 1</t>
  </si>
  <si>
    <t>039704</t>
  </si>
  <si>
    <t>ESMALTE SINTETICO ALBALUX 2EN1 BRILLANTE AMARILLO X 1</t>
  </si>
  <si>
    <t>039801</t>
  </si>
  <si>
    <t>ESMALTE SINTETICO ALBALUX 2EN1 BRILLANTE BLANCO X 4</t>
  </si>
  <si>
    <t>039802</t>
  </si>
  <si>
    <t>ESMALTE SINTETICO ALBALUX 2EN1 BRILLANTE BERMELLON X 4</t>
  </si>
  <si>
    <t>039804</t>
  </si>
  <si>
    <t>ESMALTE SINTETICO ALBALUX 2EN1 BRILLANTE AMARILLO X 4</t>
  </si>
  <si>
    <t>040001</t>
  </si>
  <si>
    <t>ESMALTE EPOXI ALBA BCO X 4</t>
  </si>
  <si>
    <t>040901</t>
  </si>
  <si>
    <t>LATEX EXTERIOR DURALBA MATE GRIS CEMENTO X  4</t>
  </si>
  <si>
    <t>040903</t>
  </si>
  <si>
    <t>LATEX EXTERIOR DURALBA MATE MARRON X  4</t>
  </si>
  <si>
    <t>040904</t>
  </si>
  <si>
    <t>LATEX EXTERIOR DURALBA MATE OCRE X  4</t>
  </si>
  <si>
    <t>040905</t>
  </si>
  <si>
    <t>LATEX EXTERIOR DURALBA MATE AZUL X  4</t>
  </si>
  <si>
    <t>040906</t>
  </si>
  <si>
    <t>LATEX EXTERIOR DURALBA MATE VERDE MUSGO X  4</t>
  </si>
  <si>
    <t>040907</t>
  </si>
  <si>
    <t>LATEX EXTERIOR DURALBA MATE TEJA X  4</t>
  </si>
  <si>
    <t>040908</t>
  </si>
  <si>
    <t>LATEX EXTERIOR DURALBA MATE ROJO TANINO X  4</t>
  </si>
  <si>
    <t>040922</t>
  </si>
  <si>
    <t>LATEX EXTERIOR DURALBA MATE BERMELLON X  4</t>
  </si>
  <si>
    <t>040940</t>
  </si>
  <si>
    <t>LATEX EXTERIOR DURALBA MATE NEGRO X  4</t>
  </si>
  <si>
    <t>040941</t>
  </si>
  <si>
    <t>LATEX EXTERIOR DURALBA MATE VERDE TENIS X  4</t>
  </si>
  <si>
    <t>040944</t>
  </si>
  <si>
    <t>LATEX EXTERIOR DURALBA MATE AMARILLO X  4</t>
  </si>
  <si>
    <t>041001</t>
  </si>
  <si>
    <t>LATEX EXTERIOR DURALBA MATE GRIS CEMENTO X 20</t>
  </si>
  <si>
    <t>041003</t>
  </si>
  <si>
    <t>LATEX EXTERIOR DURALBA MATE MARRON X 20</t>
  </si>
  <si>
    <t>041004</t>
  </si>
  <si>
    <t>LATEX EXTERIOR DURALBA MATE OCRE X 20</t>
  </si>
  <si>
    <t>041005</t>
  </si>
  <si>
    <t>LATEX EXTERIOR DURALBA MATE AZUL X 20</t>
  </si>
  <si>
    <t>041006</t>
  </si>
  <si>
    <t>LATEX EXTERIOR DURALBA MATE VERDE MUSGO X 20</t>
  </si>
  <si>
    <t>041007</t>
  </si>
  <si>
    <t>LATEX EXTERIOR DURALBA MATE TEJA X 20</t>
  </si>
  <si>
    <t>041008</t>
  </si>
  <si>
    <t>LATEX EXTERIOR DURALBA MATE ROJO TANINO X 20</t>
  </si>
  <si>
    <t>041022</t>
  </si>
  <si>
    <t>LATEX EXTERIOR DURALBA MATE BERMELLON X 20</t>
  </si>
  <si>
    <t>041041</t>
  </si>
  <si>
    <t>LATEX EXTERIOR DURALBA MATE VERDE TENIS X 20</t>
  </si>
  <si>
    <t>041044</t>
  </si>
  <si>
    <t>LATEX EXTERIOR DURALBA MATE AMARILLO X 20</t>
  </si>
  <si>
    <t>041046</t>
  </si>
  <si>
    <t>SOLVENTE INDUSTRIAL X 200</t>
  </si>
  <si>
    <t>041161</t>
  </si>
  <si>
    <t>DILUYENTE PARA EPOXI PLUS X 200</t>
  </si>
  <si>
    <t>041165</t>
  </si>
  <si>
    <t>DILUYENTE POLIURETANICO PLUS X 200</t>
  </si>
  <si>
    <t>042008</t>
  </si>
  <si>
    <t>ESMALTE EPOXI ALBA GRIS HIELO X 4</t>
  </si>
  <si>
    <t>042200</t>
  </si>
  <si>
    <t>FONDO EPOXI ALBA GRIS X 4</t>
  </si>
  <si>
    <t>043007</t>
  </si>
  <si>
    <t>FONDO EPOXI ALBA ROJO X 4 (DISC)</t>
  </si>
  <si>
    <t>044002</t>
  </si>
  <si>
    <t>ESMALTE EPOXI ALBA BERMELLON X 4</t>
  </si>
  <si>
    <t>045063</t>
  </si>
  <si>
    <t>ESMALTE EPOXI ALBA AMARILLO X 4</t>
  </si>
  <si>
    <t>046033</t>
  </si>
  <si>
    <t>ESMALTE EPOXI ALBA V.INGLES X 4</t>
  </si>
  <si>
    <t>046050</t>
  </si>
  <si>
    <t>PINTURA PARA PILETA ALBA EPOXI TANQUES Y PILETAS GRIS X 4</t>
  </si>
  <si>
    <t>046051</t>
  </si>
  <si>
    <t>PINTURA PARA PILETA ALBA EPOXI TANQUES Y PILETAS BLANCO X 4</t>
  </si>
  <si>
    <t>047001</t>
  </si>
  <si>
    <t>PINTURA PARA PILETA ALBA EPOXI TANQUES Y PILETAS CELESTE INTENSO X 4</t>
  </si>
  <si>
    <t>048030</t>
  </si>
  <si>
    <t>ESMALTE SINTETICO BRILLOPLAST BRILLANTE ALUMINIO X 20</t>
  </si>
  <si>
    <t>049805</t>
  </si>
  <si>
    <t>LATEX PARA PISO ALBA MATE AZUL X  4</t>
  </si>
  <si>
    <t>049806</t>
  </si>
  <si>
    <t>LATEX PARA PISO ALBA MATE GRAFITO X  4</t>
  </si>
  <si>
    <t>049821</t>
  </si>
  <si>
    <t>LATEX PARA PISO ALBA MATE ROJO COLONIAL X  4</t>
  </si>
  <si>
    <t>049822</t>
  </si>
  <si>
    <t>LATEX PARA PISO ALBA MATE CENIZA X  4</t>
  </si>
  <si>
    <t>049840</t>
  </si>
  <si>
    <t>LATEX PARA PISO ALBA MATE NEGRO X 4</t>
  </si>
  <si>
    <t>049841</t>
  </si>
  <si>
    <t>LATEX PARA PISO ALBA MATE VERDE TENIS X  4</t>
  </si>
  <si>
    <t>049905</t>
  </si>
  <si>
    <t>LATEX PARA PISO ALBA MATE AZUL X 20</t>
  </si>
  <si>
    <t>049906</t>
  </si>
  <si>
    <t>LATEX PARA PISO ALBA MATE GRAFITO X 20</t>
  </si>
  <si>
    <t>049921</t>
  </si>
  <si>
    <t>LATEX PARA PISO ALBA MATE ROJO COLONIAL X 20</t>
  </si>
  <si>
    <t>049922</t>
  </si>
  <si>
    <t>LATEX PARA PISO ALBA MATE CENIZA X 20</t>
  </si>
  <si>
    <t>049941</t>
  </si>
  <si>
    <t>LATEX PARA PISO ALBA MATE VERDE TENIS X 20</t>
  </si>
  <si>
    <t>051002</t>
  </si>
  <si>
    <t>ESMALTE SINTETICO BRILLOPLAST BRILLANTE NEGRO X 0,250</t>
  </si>
  <si>
    <t>053026</t>
  </si>
  <si>
    <t>ESMALTE SINTETICO BRILLOPLAST BRILLANTE BERMELLON OSCURO X 0,250</t>
  </si>
  <si>
    <t>053584</t>
  </si>
  <si>
    <t>PROTECTOR ALBA RENOVA CHALK MATE TRANSPARENTE X 1</t>
  </si>
  <si>
    <t>053850</t>
  </si>
  <si>
    <t>PINTURA A LA TIZA ALBA RENOVA CHALK MATE SENSACION FELIZ X 1</t>
  </si>
  <si>
    <t>053851</t>
  </si>
  <si>
    <t>PINTURA A LA TIZA ALBA RENOVA CHALK MATE GRIS NOBLE X 1</t>
  </si>
  <si>
    <t>053858</t>
  </si>
  <si>
    <t>PINTURA A LA TIZA ALBA RENOVA CHALK MATE BIZCOCHO ENCANTADO X 1</t>
  </si>
  <si>
    <t>053903</t>
  </si>
  <si>
    <t>PINTURA A LA TIZA ALBA RENOVA CHALK MATE CAMINO URBANO X 1</t>
  </si>
  <si>
    <t>053904</t>
  </si>
  <si>
    <t>PINTURA A LA TIZA ALBA RENOVA CHALK MATE MARFIL ELOCUENTE X 1</t>
  </si>
  <si>
    <t>053905</t>
  </si>
  <si>
    <t>PINTURA A LA TIZA ALBA RENOVA CHALK MATE TROFEO DE PLATA X 1</t>
  </si>
  <si>
    <t>053906</t>
  </si>
  <si>
    <t>PINTURA A LA TIZA ALBA RENOVA CHALK MATE ESCONDITE SILENCIOSO X 1</t>
  </si>
  <si>
    <t>054048</t>
  </si>
  <si>
    <t>ESMALTE SINTETICO BRILLOPLAST BRILLANTE CASTANO X 0,250</t>
  </si>
  <si>
    <t>054066</t>
  </si>
  <si>
    <t>ESMALTE SINTETICO BRILLOPLAST BRILLANTE MARRON AFRICANO X 0,250</t>
  </si>
  <si>
    <t>056019</t>
  </si>
  <si>
    <t>ESMALTE SINTETICO BRILLOPLAST BRILLANTE VERDE INGLES X  0,250</t>
  </si>
  <si>
    <t>057023</t>
  </si>
  <si>
    <t>ESMALTE SINTETICO BRILLOPLAST BRILLANTE AZUL MARINO X 0,250</t>
  </si>
  <si>
    <t>057050</t>
  </si>
  <si>
    <t>ESMALTE SINTETICO BRILLOPLAST BRILLANTE AZUL TRAFUL X 0,250</t>
  </si>
  <si>
    <t>061002</t>
  </si>
  <si>
    <t>ESMALTE SINTETICO BRILLOPLAST BRILLANTE NEGRO X 0,500</t>
  </si>
  <si>
    <t>061952</t>
  </si>
  <si>
    <t>SATINOL AMARILLO CANARIAS X 1</t>
  </si>
  <si>
    <t>061955</t>
  </si>
  <si>
    <t>SATINOL ROJO BORNEO X 1</t>
  </si>
  <si>
    <t>061957</t>
  </si>
  <si>
    <t>SATINOL OCRE MADEIRA X 1</t>
  </si>
  <si>
    <t>061960</t>
  </si>
  <si>
    <t>SATINOL AZUL CAPRI X 1</t>
  </si>
  <si>
    <t>061961</t>
  </si>
  <si>
    <t>SATINOL VERDE PETREO X 1</t>
  </si>
  <si>
    <t>061962</t>
  </si>
  <si>
    <t>SATINOL VERDE GUAJIRA X 1</t>
  </si>
  <si>
    <t>061963</t>
  </si>
  <si>
    <t>SATINOL MARRON TOBAGO X 1</t>
  </si>
  <si>
    <t>062003</t>
  </si>
  <si>
    <t>ESMALTE SINTETICO BRILLOPLAST BRILLANTE GRIS PERLA X 0,500</t>
  </si>
  <si>
    <t>062004</t>
  </si>
  <si>
    <t>ESMALTE SINTETICO SATINPLAST SATINADO NEGRO X 0,500</t>
  </si>
  <si>
    <t>062005</t>
  </si>
  <si>
    <t>ESMALTE SINTETICO SATINPLAST SATINADO BLANCO X 0,500</t>
  </si>
  <si>
    <t>062006</t>
  </si>
  <si>
    <t>ESMALTE SINTETICO BRILLOPLAST BRILLANTE GRIS X  0,500</t>
  </si>
  <si>
    <t>062042</t>
  </si>
  <si>
    <t>ESMALTE SINTETICO BRILLOPLAST BRILLANTE GRIS ESPACIAL X  0,500</t>
  </si>
  <si>
    <t>062052</t>
  </si>
  <si>
    <t>SATINOL AMARILLO CANARIAS X 4</t>
  </si>
  <si>
    <t>062055</t>
  </si>
  <si>
    <t>SATINOL ROJO BORNEO X 4</t>
  </si>
  <si>
    <t>062057</t>
  </si>
  <si>
    <t>SATINOL OCRE MADEIRA X 4</t>
  </si>
  <si>
    <t>062060</t>
  </si>
  <si>
    <t>SATINOL AZUL CAPRI X 4</t>
  </si>
  <si>
    <t>062061</t>
  </si>
  <si>
    <t>SATINOL VERDE PETREO X 4</t>
  </si>
  <si>
    <t>062062</t>
  </si>
  <si>
    <t>SATINOL VERDE GUAJIRA X 4</t>
  </si>
  <si>
    <t>062063</t>
  </si>
  <si>
    <t>SATINOL MARRON TOBAGO X 4</t>
  </si>
  <si>
    <t>062150</t>
  </si>
  <si>
    <t>IMPREGNANTE PARA MADERA SINTEPLAST FORESTA ADVANCE SATINADO NATURAL X 1</t>
  </si>
  <si>
    <t>062152</t>
  </si>
  <si>
    <t>IMPREGNANTE PARA MADERA SINTEPLAST FORESTA ADVANCE SATINADO ROBLE X 1</t>
  </si>
  <si>
    <t>062153</t>
  </si>
  <si>
    <t>IMPREGNANTE PARA MADERA SINTEPLAST FORESTA ADVANCE SATINADO CEDRO X 1</t>
  </si>
  <si>
    <t>062154</t>
  </si>
  <si>
    <t>IMPREGNANTE PARA MADERA SINTEPLAST FORESTA ADVANCE SATINADO CAOBA X 1</t>
  </si>
  <si>
    <t>062155</t>
  </si>
  <si>
    <t>IMPREGNANTE PARA MADERA SINTEPLAST FORESTA ADVANCE SATINADO NOGAL X 1</t>
  </si>
  <si>
    <t>062195</t>
  </si>
  <si>
    <t>IMPREGNANTE PARA MADERA SINTEPLAST FORESTA ADVANCE SATINADO INCOLORO X 1</t>
  </si>
  <si>
    <t>062250</t>
  </si>
  <si>
    <t>IMPREGNANTE PARA MADERA SINTEPLAST FORESTA ADVANCE SATINADO NATURAL X 4</t>
  </si>
  <si>
    <t>062252</t>
  </si>
  <si>
    <t>IMPREGNANTE PARA MADERA SINTEPLAST FORESTA ADVANCE SATINADO ROBLE X 4</t>
  </si>
  <si>
    <t>062253</t>
  </si>
  <si>
    <t>IMPREGNANTE PARA MADERA SINTEPLAST FORESTA ADVANCE SATINADO CEDRO X 4</t>
  </si>
  <si>
    <t>062254</t>
  </si>
  <si>
    <t>IMPREGNANTE PARA MADERA SINTEPLAST FORESTA ADVANCE SATINADO CAOBA X 4</t>
  </si>
  <si>
    <t>062255</t>
  </si>
  <si>
    <t>IMPREGNANTE PARA MADERA SINTEPLAST FORESTA ADVANCE SATINADO NOGAL X 4</t>
  </si>
  <si>
    <t>062295</t>
  </si>
  <si>
    <t>IMPREGNANTE PARA MADERA SINTEPLAST FORESTA ADVANCE SATINADO INCOLORO X 4</t>
  </si>
  <si>
    <t>064048</t>
  </si>
  <si>
    <t>ESMALTE SINTETICO BRILLOPLAST BRILLANTE CASTANO X 0,500</t>
  </si>
  <si>
    <t>064052</t>
  </si>
  <si>
    <t>ESMALTE SINTETICO BRILLOPLAST BRILLANTE BEIGE X 0,500</t>
  </si>
  <si>
    <t>064053</t>
  </si>
  <si>
    <t>ESMALTE SINTETICO BRILLOPLAST BRILLANTE CEDRO X 0,500</t>
  </si>
  <si>
    <t>064066</t>
  </si>
  <si>
    <t>ESMALTE SINTETICO BRILLOPLAST BRILLANTE MARRON AFRICANO X 0,500</t>
  </si>
  <si>
    <t>065011</t>
  </si>
  <si>
    <t>ESMALTE SINTETICO BRILLOPLAST BRILLANTE CREMA X 0,500</t>
  </si>
  <si>
    <t>065041</t>
  </si>
  <si>
    <t>ESMALTE SINTETICO BRILLOPLAST BRILLANTE MARFIL X 0,500</t>
  </si>
  <si>
    <t>066019</t>
  </si>
  <si>
    <t>ESMALTE SINTETICO BRILLOPLAST BRILLANTE VERDE INGLES X  0,500</t>
  </si>
  <si>
    <t>066032</t>
  </si>
  <si>
    <t>ESMALTE SINTETICO BRILLOPLAST BRILLANTE VERDE NOCHE X 0,500</t>
  </si>
  <si>
    <t>067021</t>
  </si>
  <si>
    <t>ESMALTE SINTETICO BRILLOPLAST BRILLANTE MARRON TINAJA X 0,500</t>
  </si>
  <si>
    <t>067023</t>
  </si>
  <si>
    <t>ESMALTE SINTETICO BRILLOPLAST BRILLANTE AZUL MARINO X 0,500</t>
  </si>
  <si>
    <t>067050</t>
  </si>
  <si>
    <t>ESMALTE SINTETICO BRILLOPLAST BRILLANTE AZUL TRAFUL X 0,500</t>
  </si>
  <si>
    <t>067059</t>
  </si>
  <si>
    <t>ESMALTE SINTETICO BRILLOPLAST BRILLANTE AZULEJO X 0,500</t>
  </si>
  <si>
    <t>070750</t>
  </si>
  <si>
    <t>DUO EXPRESS NEGRO X 0,500</t>
  </si>
  <si>
    <t>070759</t>
  </si>
  <si>
    <t>DUO EXPRESS VERDE NOCHE X 0,500</t>
  </si>
  <si>
    <t>070764</t>
  </si>
  <si>
    <t>DUO EXPRESS GRIS X 0,500</t>
  </si>
  <si>
    <t>071002</t>
  </si>
  <si>
    <t>ESMALTE SINTETICO BRILLOPLAST BRILLANTE NEGRO X 1</t>
  </si>
  <si>
    <t>071759</t>
  </si>
  <si>
    <t>DUO EXPRESS VERDE NOCHE X 1</t>
  </si>
  <si>
    <t>072003</t>
  </si>
  <si>
    <t>ESMALTE SINTETICO BRILLOPLAST BRILLANTE GRIS PERLA X 1</t>
  </si>
  <si>
    <t>072004</t>
  </si>
  <si>
    <t>ESMALTE SINTETICO SATINPLAST SATINADO NEGRO X 1</t>
  </si>
  <si>
    <t>072005</t>
  </si>
  <si>
    <t>ESMALTE SINTETICO SATINPLAST SATINADO BLANCO X 1</t>
  </si>
  <si>
    <t>072006</t>
  </si>
  <si>
    <t>ESMALTE SINTETICO BRILLOPLAST BRILLANTE GRIS X  1</t>
  </si>
  <si>
    <t>072042</t>
  </si>
  <si>
    <t>ESMALTE SINTETICO BRILLOPLAST BRILLANTE GRIS ESPACIAL X  1</t>
  </si>
  <si>
    <t>074048</t>
  </si>
  <si>
    <t>ESMALTE SINTETICO BRILLOPLAST BRILLANTE CASTANO X 1</t>
  </si>
  <si>
    <t>074052</t>
  </si>
  <si>
    <t>ESMALTE SINTETICO BRILLOPLAST BRILLANTE BEIGE X 1</t>
  </si>
  <si>
    <t>074053</t>
  </si>
  <si>
    <t>ESMALTE SINTETICO BRILLOPLAST BRILLANTE CEDRO X 1</t>
  </si>
  <si>
    <t>074066</t>
  </si>
  <si>
    <t>ESMALTE SINTETICO BRILLOPLAST BRILLANTE MARRON AFRICANO X 1</t>
  </si>
  <si>
    <t>075011</t>
  </si>
  <si>
    <t>ESMALTE SINTETICO BRILLOPLAST BRILLANTE CREMA X 1</t>
  </si>
  <si>
    <t>075041</t>
  </si>
  <si>
    <t>ESMALTE SINTETICO BRILLOPLAST BRILLANTE MARFIL X 1</t>
  </si>
  <si>
    <t>076019</t>
  </si>
  <si>
    <t>ESMALTE SINTETICO BRILLOPLAST BRILLANTE VERDE INGLES X  1</t>
  </si>
  <si>
    <t>076032</t>
  </si>
  <si>
    <t>ESMALTE SINTETICO BRILLOPLAST BRILLANTE VERDE NOCHE X 1</t>
  </si>
  <si>
    <t>077021</t>
  </si>
  <si>
    <t>ESMALTE SINTETICO BRILLOPLAST BRILLANTE MARRON TINAJA X 1</t>
  </si>
  <si>
    <t>077023</t>
  </si>
  <si>
    <t>ESMALTE SINTETICO BRILLOPLAST BRILLANTE AZUL MARINO X 1</t>
  </si>
  <si>
    <t>077050</t>
  </si>
  <si>
    <t>ESMALTE SINTETICO BRILLOPLAST BRILLANTE AZUL TRAFUL X 1</t>
  </si>
  <si>
    <t>077059</t>
  </si>
  <si>
    <t>ESMALTE SINTETICO BRILLOPLAST BRILLANTE AZULEJO X 1</t>
  </si>
  <si>
    <t>079235</t>
  </si>
  <si>
    <t>TINTA PARA MADERA PETRILAC R.CLARO X 0,060</t>
  </si>
  <si>
    <t>079236</t>
  </si>
  <si>
    <t>TINTA PARA MADERA PETRILAC R.OSCURO X 0,060</t>
  </si>
  <si>
    <t>079237</t>
  </si>
  <si>
    <t>TINTA PARA MADERA PETRILAC CAOBA X 0,060</t>
  </si>
  <si>
    <t>079238</t>
  </si>
  <si>
    <t>TINTA PARA MADERA PETRILAC PETERIBI X 0,060</t>
  </si>
  <si>
    <t>079239</t>
  </si>
  <si>
    <t>TINTA PARA MADERA PETRILAC NOGAL X 0,060</t>
  </si>
  <si>
    <t>079240</t>
  </si>
  <si>
    <t>TINTA PARA MADERA PETRILAC CEDRO X 0,060</t>
  </si>
  <si>
    <t>079241</t>
  </si>
  <si>
    <t>TINTA PARA MADERA PETRILAC VIRARO X 0,060</t>
  </si>
  <si>
    <t>079244</t>
  </si>
  <si>
    <t>TINTA PARA MADERA PETRILAC WENGE X 0,060</t>
  </si>
  <si>
    <t>079245</t>
  </si>
  <si>
    <t>TINTA PARA MADERA PETRILAC ALGARROBO X 0,060</t>
  </si>
  <si>
    <t>079335</t>
  </si>
  <si>
    <t>TINTA PARA MADERA PETRILAC R.CLARO X 0,240</t>
  </si>
  <si>
    <t>079336</t>
  </si>
  <si>
    <t>TINTA PARA MADERA PETRILAC R.OSCURO X 0,240</t>
  </si>
  <si>
    <t>079337</t>
  </si>
  <si>
    <t>TINTA PARA MADERA PETRILAC CAOBA X 0,240</t>
  </si>
  <si>
    <t>079338</t>
  </si>
  <si>
    <t>TINTA PARA MADERA PETRILAC PETERIBI X 0,240</t>
  </si>
  <si>
    <t>079339</t>
  </si>
  <si>
    <t>TINTA PARA MADERA PETRILAC NOGAL X 0,240</t>
  </si>
  <si>
    <t>079340</t>
  </si>
  <si>
    <t>TINTA PARA MADERA PETRILAC CEDRO X 0,240</t>
  </si>
  <si>
    <t>079341</t>
  </si>
  <si>
    <t>TINTA PARA MADERA PETRILAC VIRARO X 0,240</t>
  </si>
  <si>
    <t>079344</t>
  </si>
  <si>
    <t>TINTA PARA MADERA PETRILAC WENGE X 0,240</t>
  </si>
  <si>
    <t>079345</t>
  </si>
  <si>
    <t>TINTA PARA MADERA PETRILAC ALGARROBO X 0,240</t>
  </si>
  <si>
    <t>080000</t>
  </si>
  <si>
    <t>DOSIFICADOR MANUAL 12 DEPOSITOS ONZA 29,57 ML</t>
  </si>
  <si>
    <t>080001</t>
  </si>
  <si>
    <t>MIXER GIROSCOPICO SEMIAUT. SATURNO QUALITY</t>
  </si>
  <si>
    <t>080002</t>
  </si>
  <si>
    <t>MIXER GIROSCÓPICO TM 430 PLUS 3 VELOC.</t>
  </si>
  <si>
    <t>080003</t>
  </si>
  <si>
    <t>DOSIFICADOR MANUAL 14 DEPOSITOS ONZA 29,57 ML</t>
  </si>
  <si>
    <t>080004</t>
  </si>
  <si>
    <t>AGITADORA DE PINTURA AUTOMOTOR 2K PPG - 65P (57*1 8*3.5)</t>
  </si>
  <si>
    <t>080005</t>
  </si>
  <si>
    <t>TAPAS AGITADORA DE 0,900/1LT. UNV. 2006 JUNTA PLANA</t>
  </si>
  <si>
    <t>080006</t>
  </si>
  <si>
    <t>TAPAS AGITADORA DE 3,500/4LT. UNV. 2006 JUNTA PLANA</t>
  </si>
  <si>
    <t>080007</t>
  </si>
  <si>
    <t>BALANZA DE PRECISION 10KG</t>
  </si>
  <si>
    <t>080008</t>
  </si>
  <si>
    <t>AGITADORA DE PINTURA AUTOMOTOR DELFLEET PPG - 24P (24*3.5)</t>
  </si>
  <si>
    <t>080009</t>
  </si>
  <si>
    <t>BALANZA DE PRECISION 30KG</t>
  </si>
  <si>
    <t>080010</t>
  </si>
  <si>
    <t>DOSIFICADOR MANUAL 12 DEPOSITOS ONZA 31,27 ML</t>
  </si>
  <si>
    <t>080011</t>
  </si>
  <si>
    <t>DOSIFICADOR MANUAL 14 DEPOSITOS ONZA 31,27 ML</t>
  </si>
  <si>
    <t>080012</t>
  </si>
  <si>
    <t>DOSIFICADORA  AUTOMATICA COROB D180 SECUENCIAL 12 CANISTER</t>
  </si>
  <si>
    <t>080013</t>
  </si>
  <si>
    <t>DOSIFICADORA  AUTOMATICA BASE AGUA COROB FIRST 1 TX 16 CANISTER</t>
  </si>
  <si>
    <t>080014</t>
  </si>
  <si>
    <t>MEZCLADOR GIROSCOPIC COROB CLAVERMIX CLV 20</t>
  </si>
  <si>
    <t>080015</t>
  </si>
  <si>
    <t>MEZCLADOR GIROSCOPIC COROB FMX 40</t>
  </si>
  <si>
    <t>080100</t>
  </si>
  <si>
    <t>MEZCLADOR DE PINTURA Y CEMENTO EINHELL 1400 W</t>
  </si>
  <si>
    <t>080101</t>
  </si>
  <si>
    <t>PALETA PARA MEZCLADOR EINHELL</t>
  </si>
  <si>
    <t>080102</t>
  </si>
  <si>
    <t>PLATO 14 CANISTER / DISCO GOTEO</t>
  </si>
  <si>
    <t>080103</t>
  </si>
  <si>
    <t>CANISTER DOSIFICADORA MANUAL 29,57 ML</t>
  </si>
  <si>
    <t>080104</t>
  </si>
  <si>
    <t>CANISTER DOSIFICADORA MANUAL 31,27 ML</t>
  </si>
  <si>
    <t>080105</t>
  </si>
  <si>
    <t>AGITADOR  DE PIE P/ REVESTIMIENTOS 4 HP. 220V 50HZ</t>
  </si>
  <si>
    <t>080106</t>
  </si>
  <si>
    <t>AGITADOR  DE PIE P/ REVESTIMIENTOS 4 HP TRIFAS. 380V 50HZ</t>
  </si>
  <si>
    <t>081002</t>
  </si>
  <si>
    <t>ESMALTE SINTETICO BRILLOPLAST BRILLANTE NEGRO X 4</t>
  </si>
  <si>
    <t>082003</t>
  </si>
  <si>
    <t>ESMALTE SINTETICO BRILLOPLAST BRILLANTE GRIS PERLA X 4</t>
  </si>
  <si>
    <t>082004</t>
  </si>
  <si>
    <t>ESMALTE SINTETICO SATINPLAST SATINADO NEGRO X 4</t>
  </si>
  <si>
    <t>082005</t>
  </si>
  <si>
    <t>ESMALTE SINTETICO SATINPLAST SATINADO BLANCO X 4</t>
  </si>
  <si>
    <t>082006</t>
  </si>
  <si>
    <t>ESMALTE SINTETICO BRILLOPLAST BRILLANTE GRIS X  4</t>
  </si>
  <si>
    <t>082042</t>
  </si>
  <si>
    <t>ESMALTE SINTETICO BRILLOPLAST BRILLANTE GRIS ESPACIAL X  4</t>
  </si>
  <si>
    <t>084048</t>
  </si>
  <si>
    <t>ESMALTE SINTETICO BRILLOPLAST BRILLANTE CASTANO X 4</t>
  </si>
  <si>
    <t>084052</t>
  </si>
  <si>
    <t>ESMALTE SINTETICO BRILLOPLAST BRILLANTE BEIGE X 4</t>
  </si>
  <si>
    <t>084053</t>
  </si>
  <si>
    <t>ESMALTE SINTETICO BRILLOPLAST BRILLANTE CEDRO X 4</t>
  </si>
  <si>
    <t>084066</t>
  </si>
  <si>
    <t>ESMALTE SINTETICO BRILLOPLAST BRILLANTE MARRON AFRICANO X 4</t>
  </si>
  <si>
    <t>085011</t>
  </si>
  <si>
    <t>ESMALTE SINTETICO BRILLOPLAST BRILLANTE CREMA X 4</t>
  </si>
  <si>
    <t>085015</t>
  </si>
  <si>
    <t>PASTA PULIR MMB GRUESA X 1</t>
  </si>
  <si>
    <t>085016</t>
  </si>
  <si>
    <t>PASTA PULIR MMB FINA X 1</t>
  </si>
  <si>
    <t>085041</t>
  </si>
  <si>
    <t>ESMALTE SINTETICO BRILLOPLAST BRILLANTE MARFIL X 4</t>
  </si>
  <si>
    <t>086019</t>
  </si>
  <si>
    <t>ESMALTE SINTETICO BRILLOPLAST BRILLANTE VERDE INGLES X  4</t>
  </si>
  <si>
    <t>086032</t>
  </si>
  <si>
    <t>ESMALTE SINTETICO BRILLOPLAST BRILLANTE VERDE NOCHE X 4</t>
  </si>
  <si>
    <t>086315</t>
  </si>
  <si>
    <t>ESMALTE SINTETICO ALBALUX 2EN1 BRILLANTE NEGRO X 0,500</t>
  </si>
  <si>
    <t>086318</t>
  </si>
  <si>
    <t>ESMALTE SINTETICO ALBALUX 2EN1 BRILLANTE MARRON X 0,500</t>
  </si>
  <si>
    <t>086326</t>
  </si>
  <si>
    <t>ESMALTE SINTETICO ALBALUX 2EN1 BRILLANTE GRIS ESPACIAL X 0,500</t>
  </si>
  <si>
    <t>086330</t>
  </si>
  <si>
    <t>ESMALTE SINTETICO ALBALUX 2EN1 BRILLANTE VERDE INGLES X 0,500</t>
  </si>
  <si>
    <t>086333</t>
  </si>
  <si>
    <t>ESMALTE SINTETICO ALBALUX 2EN1 BRILLANTE MARFIL CHAMPAGNE X 0,500</t>
  </si>
  <si>
    <t>086338</t>
  </si>
  <si>
    <t>ESMALTE SINTETICO ALBALUX 2EN1 BRILLANTE VERDE NOCHE X 0,500</t>
  </si>
  <si>
    <t>086341</t>
  </si>
  <si>
    <t>ESMALTE SINTETICO ALBALUX 2EN1 BRILLANTE TRAFUL X 0,500</t>
  </si>
  <si>
    <t>086343</t>
  </si>
  <si>
    <t>ESMALTE SINTETICO ALBALUX 2EN1 BRILLANTE AZUL MARINO X 0,500</t>
  </si>
  <si>
    <t>086415</t>
  </si>
  <si>
    <t>ESMALTE SINTETICO ALBALUX 2EN1 BRILLANTE NEGRO X 1</t>
  </si>
  <si>
    <t>086418</t>
  </si>
  <si>
    <t>ESMALTE SINTETICO ALBALUX 2EN1 BRILLANTE MARRON X 1</t>
  </si>
  <si>
    <t>086426</t>
  </si>
  <si>
    <t>ESMALTE SINTETICO ALBALUX 2EN1 BRILLANTE GRIS ESPACIAL X 1</t>
  </si>
  <si>
    <t>086430</t>
  </si>
  <si>
    <t>ESMALTE SINTETICO ALBALUX 2EN1 BRILLANTE VERDE INGLES X 1</t>
  </si>
  <si>
    <t>086433</t>
  </si>
  <si>
    <t>ESMALTE SINTETICO ALBALUX 2EN1 BRILLANTE MARFIL CHAMPAGNE X 1</t>
  </si>
  <si>
    <t>086438</t>
  </si>
  <si>
    <t>ESMALTE SINTETICO ALBALUX 2EN1 BRILLANTE VERDE NOCHE X 1</t>
  </si>
  <si>
    <t>086441</t>
  </si>
  <si>
    <t>ESMALTE SINTETICO ALBALUX 2EN1 BRILLANTE TRAFUL X 1</t>
  </si>
  <si>
    <t>086443</t>
  </si>
  <si>
    <t>ESMALTE SINTETICO ALBALUX 2EN1 BRILLANTE AZUL MARINO X 1</t>
  </si>
  <si>
    <t>086515</t>
  </si>
  <si>
    <t>ESMALTE SINTETICO ALBALUX 2EN1 BRILLANTE NEGRO X 4</t>
  </si>
  <si>
    <t>086518</t>
  </si>
  <si>
    <t>ESMALTE SINTETICO ALBALUX 2EN1 BRILLANTE MARRON X 4</t>
  </si>
  <si>
    <t>086526</t>
  </si>
  <si>
    <t>ESMALTE SINTETICO ALBALUX 2EN1 BRILLANTE GRIS ESPACIAL X 4</t>
  </si>
  <si>
    <t>086530</t>
  </si>
  <si>
    <t>ESMALTE SINTETICO ALBALUX 2EN1 BRILLANTE VERDE INGLES X 4</t>
  </si>
  <si>
    <t>086533</t>
  </si>
  <si>
    <t>ESMALTE SINTETICO ALBALUX 2EN1 BRILLANTE MARFIL CHAMPAGNE X 4</t>
  </si>
  <si>
    <t>086538</t>
  </si>
  <si>
    <t>ESMALTE SINTETICO ALBALUX 2EN1 BRILLANTE VERDE NOCHE X 4</t>
  </si>
  <si>
    <t>086541</t>
  </si>
  <si>
    <t>ESMALTE SINTETICO ALBALUX 2EN1 BRILLANTE TRAFUL X 4</t>
  </si>
  <si>
    <t>086543</t>
  </si>
  <si>
    <t>ESMALTE SINTETICO ALBALUX 2EN1 BRILLANTE AZUL MARINO X 4</t>
  </si>
  <si>
    <t>087021</t>
  </si>
  <si>
    <t>ESMALTE SINTETICO BRILLOPLAST BRILLANTE MARRON TINAJA X 4</t>
  </si>
  <si>
    <t>087023</t>
  </si>
  <si>
    <t>ESMALTE SINTETICO BRILLOPLAST BRILLANTE AZUL MARINO X 4</t>
  </si>
  <si>
    <t>087050</t>
  </si>
  <si>
    <t>ESMALTE SINTETICO BRILLOPLAST BRILLANTE AZUL TRAFUL X 4</t>
  </si>
  <si>
    <t>087059</t>
  </si>
  <si>
    <t>ESMALTE SINTETICO BRILLOPLAST BRILLANTE AZULEJO X 4</t>
  </si>
  <si>
    <t>088012</t>
  </si>
  <si>
    <t>ESMALTE SINTETICO MARTILUX MARTILLADO GRIS ACERO X 1</t>
  </si>
  <si>
    <t>088017</t>
  </si>
  <si>
    <t>ESMALTE SINTETICO MARTILUX MARTILLADO VERDE ESMERALDA X 1</t>
  </si>
  <si>
    <t>088025</t>
  </si>
  <si>
    <t>ESMALTE SINTETICO MARTILUX MARTILLADO AZUL OSCURO X 1</t>
  </si>
  <si>
    <t>089012</t>
  </si>
  <si>
    <t>ESMALTE SINTETICO MARTILUX MARTILLADO GRIS ACERO X 4</t>
  </si>
  <si>
    <t>089017</t>
  </si>
  <si>
    <t>ESMALTE SINTETICO MARTILUX MARTILLADO VERDE ESMERALDA X 4</t>
  </si>
  <si>
    <t>089018</t>
  </si>
  <si>
    <t>DILUYENTE DEMARCACION VIAL TERSUAVE X  4</t>
  </si>
  <si>
    <t>089019</t>
  </si>
  <si>
    <t>CREMA DE PULIDO 3D 502 AAT FINISHING POLISH X 1(502OZ32)</t>
  </si>
  <si>
    <t>089020</t>
  </si>
  <si>
    <t>COMPUESTO DE PULIDO Y SELLADO SIN SILICONA 3D 505 AAT CORRECTION GLAZE X 1(505OZ32)</t>
  </si>
  <si>
    <t>089021</t>
  </si>
  <si>
    <t>COMPUESTO DE CORTE AGRESIVO 3D 500 ACA X-TRA CUT COMPUND X 1(500OZ32)</t>
  </si>
  <si>
    <t>089022</t>
  </si>
  <si>
    <t>CREMA DE CORTE 3D 501 AAT RUBBING COMPOUND X 1(501OZ32)</t>
  </si>
  <si>
    <t>089023</t>
  </si>
  <si>
    <t>CREMA DE PULIDO 3D 520 ACA FINISHING POLISH X 1(520OZ32)</t>
  </si>
  <si>
    <t>089024</t>
  </si>
  <si>
    <t>3D BLADE RAZOR (HOJA DE CUTTER ESPATULA) (G-10)</t>
  </si>
  <si>
    <t>089025</t>
  </si>
  <si>
    <t>ESMALTE SINTETICO MARTILUX MARTILLADO AZUL OSCURO X 4</t>
  </si>
  <si>
    <t>089026</t>
  </si>
  <si>
    <t>CLAY BAR/ DESCONTAMINANTE 3D CLAY BAR (G-09HD)</t>
  </si>
  <si>
    <t>089027</t>
  </si>
  <si>
    <t>DILUYENTE DEMARCACION VIAL TERSUAVE X 18</t>
  </si>
  <si>
    <t>089028</t>
  </si>
  <si>
    <t>COMPUESTO DE CORTE AGRESIVO 3D 500 ACA X-TRA CUT COMPUND X 0,500(500OZ16)</t>
  </si>
  <si>
    <t>092006</t>
  </si>
  <si>
    <t>ESMALTE SINTETICO BRILLOPLAST BRILLANTE GRIS X 20</t>
  </si>
  <si>
    <t>094442</t>
  </si>
  <si>
    <t>PROTECTOR PARA PISO RECUFLOOR ACRILICO TRANSPARENTE  X 5</t>
  </si>
  <si>
    <t>096019</t>
  </si>
  <si>
    <t>ESMALTE SINTETICO BRILLOPLAST BRILLANTE VERDE INGLES X 20</t>
  </si>
  <si>
    <t>098405</t>
  </si>
  <si>
    <t>LATEX PARA PISO ALBA MATE AZUL X  1</t>
  </si>
  <si>
    <t>098406</t>
  </si>
  <si>
    <t>LATEX PARA PISO ALBA MATE GRAFITO X  1</t>
  </si>
  <si>
    <t>098421</t>
  </si>
  <si>
    <t>LATEX PARA PISO ALBA MATE ROJO COLONIAL X  1</t>
  </si>
  <si>
    <t>098422</t>
  </si>
  <si>
    <t>LATEX PARA PISO ALBA MATE CENIZA X  1</t>
  </si>
  <si>
    <t>098440</t>
  </si>
  <si>
    <t>LATEX PARA PISO ALBA MATE NEGRO X 1</t>
  </si>
  <si>
    <t>098441</t>
  </si>
  <si>
    <t>LATEX PARA PISO ALBA MATE VERDE TENIS X  1</t>
  </si>
  <si>
    <t>098463</t>
  </si>
  <si>
    <t>PRODUCTO COMPUESTO -GENERICO-</t>
  </si>
  <si>
    <t>099998</t>
  </si>
  <si>
    <t>COLORES AUTOMOTOR PU X 1</t>
  </si>
  <si>
    <t>099999</t>
  </si>
  <si>
    <t>COLORES AUTOMOTOR BICAPA X 1</t>
  </si>
  <si>
    <t>111111</t>
  </si>
  <si>
    <t>BASE GENERICA</t>
  </si>
  <si>
    <t>200623</t>
  </si>
  <si>
    <t>DILUYENTE SECADO A AIRE DIXILINA NRO.3 X 200</t>
  </si>
  <si>
    <t>200881</t>
  </si>
  <si>
    <t>THINNER DIXILINA ORO E X 200</t>
  </si>
  <si>
    <t>800001</t>
  </si>
  <si>
    <t>BOLSAS CAMISETAS X 100U</t>
  </si>
  <si>
    <t>800002</t>
  </si>
  <si>
    <t>STRETCH S/MANGO 50CM</t>
  </si>
  <si>
    <t>800003</t>
  </si>
  <si>
    <t>BOLSAS ECOLOGICAS MERCURIO</t>
  </si>
  <si>
    <t>800004</t>
  </si>
  <si>
    <t>LAPICERA NEGRA</t>
  </si>
  <si>
    <t>800005</t>
  </si>
  <si>
    <t>REGLA</t>
  </si>
  <si>
    <t>8000054</t>
  </si>
  <si>
    <t>ALCOHOL EN GEL</t>
  </si>
  <si>
    <t>800006</t>
  </si>
  <si>
    <t>LAPIZ</t>
  </si>
  <si>
    <t>800007</t>
  </si>
  <si>
    <t>ABROCHADORA 21/6</t>
  </si>
  <si>
    <t>800008</t>
  </si>
  <si>
    <t>CLIPS N 5</t>
  </si>
  <si>
    <t>800009</t>
  </si>
  <si>
    <t>AGUJEREADORA</t>
  </si>
  <si>
    <t>800010</t>
  </si>
  <si>
    <t>TIJERA</t>
  </si>
  <si>
    <t>800011</t>
  </si>
  <si>
    <t>CALCULADORA</t>
  </si>
  <si>
    <t>800012</t>
  </si>
  <si>
    <t>TONER P1102W</t>
  </si>
  <si>
    <t>800013</t>
  </si>
  <si>
    <t>FIBRON DETECTOR BILLETE FALSO</t>
  </si>
  <si>
    <t>800014</t>
  </si>
  <si>
    <t>FIBRON INDELEBLE PUNTA GRUESA</t>
  </si>
  <si>
    <t>800015</t>
  </si>
  <si>
    <t>RESALTADORES FLUOR</t>
  </si>
  <si>
    <t>800016</t>
  </si>
  <si>
    <t>TINTA PARA FIBRON</t>
  </si>
  <si>
    <t>800017</t>
  </si>
  <si>
    <t>HOJA A4 75G</t>
  </si>
  <si>
    <t>800018</t>
  </si>
  <si>
    <t>ROLLO POSNET 57MMX20MT.</t>
  </si>
  <si>
    <t>800019</t>
  </si>
  <si>
    <t>ROLLO FISCAL</t>
  </si>
  <si>
    <t>800020</t>
  </si>
  <si>
    <t>CINTA FISCAL</t>
  </si>
  <si>
    <t>800021</t>
  </si>
  <si>
    <t>DICRO LED 7W</t>
  </si>
  <si>
    <t>800022</t>
  </si>
  <si>
    <t>FOCOS GRANDE SALON 48W</t>
  </si>
  <si>
    <t>800023</t>
  </si>
  <si>
    <t>ARTEFACTO COLGANTE</t>
  </si>
  <si>
    <t>800024</t>
  </si>
  <si>
    <t>GANCHOS N 10</t>
  </si>
  <si>
    <t>800025</t>
  </si>
  <si>
    <t>GANCHOS N 21/6</t>
  </si>
  <si>
    <t>800026</t>
  </si>
  <si>
    <t>REFLECTOR 30W</t>
  </si>
  <si>
    <t>800027</t>
  </si>
  <si>
    <t>GANCHO MARIPOSA</t>
  </si>
  <si>
    <t>800028</t>
  </si>
  <si>
    <t>BANDA ELASTICA</t>
  </si>
  <si>
    <t>800029</t>
  </si>
  <si>
    <t>PILAS AA</t>
  </si>
  <si>
    <t>800030</t>
  </si>
  <si>
    <t>REPUESTO AROMATIZADOR</t>
  </si>
  <si>
    <t>800031</t>
  </si>
  <si>
    <t>LAVANDINA X 1</t>
  </si>
  <si>
    <t>800032</t>
  </si>
  <si>
    <t>DETERGENTE X 1</t>
  </si>
  <si>
    <t>800033</t>
  </si>
  <si>
    <t>DESINFECTANTE X 1</t>
  </si>
  <si>
    <t>800034</t>
  </si>
  <si>
    <t>ESCOBILLON</t>
  </si>
  <si>
    <t>800035</t>
  </si>
  <si>
    <t>PALO P/ESCOBA</t>
  </si>
  <si>
    <t>800036</t>
  </si>
  <si>
    <t>TRAPO DE PISO</t>
  </si>
  <si>
    <t>800037</t>
  </si>
  <si>
    <t>JABON TOCADOR</t>
  </si>
  <si>
    <t>800038</t>
  </si>
  <si>
    <t>JABON LIQUIDO</t>
  </si>
  <si>
    <t>800039</t>
  </si>
  <si>
    <t>ESCOBA PAJA</t>
  </si>
  <si>
    <t>800040</t>
  </si>
  <si>
    <t>BOLSA DE RESIDUO (120X90) X10U</t>
  </si>
  <si>
    <t>800041</t>
  </si>
  <si>
    <t>PAPEL HIGIENICO</t>
  </si>
  <si>
    <t>800042</t>
  </si>
  <si>
    <t>PLUMERO</t>
  </si>
  <si>
    <t>800043</t>
  </si>
  <si>
    <t>TOALLA DE MANO</t>
  </si>
  <si>
    <t>800044</t>
  </si>
  <si>
    <t>BOBINA PAPEL GRANDE</t>
  </si>
  <si>
    <t>800045</t>
  </si>
  <si>
    <t>BOBINA PAPEL CHICA</t>
  </si>
  <si>
    <t>800046</t>
  </si>
  <si>
    <t>LIMPIAVIDRIO</t>
  </si>
  <si>
    <t>800047</t>
  </si>
  <si>
    <t>AROMATIZADOR AUTOMATICO</t>
  </si>
  <si>
    <t>800049</t>
  </si>
  <si>
    <t>ESCURRIDOR</t>
  </si>
  <si>
    <t>800050</t>
  </si>
  <si>
    <t>BALDE</t>
  </si>
  <si>
    <t>800051</t>
  </si>
  <si>
    <t>TONER 107W</t>
  </si>
  <si>
    <t>800052</t>
  </si>
  <si>
    <t>TONNER M12W</t>
  </si>
  <si>
    <t>800053</t>
  </si>
  <si>
    <t>FOCO LED 15W</t>
  </si>
  <si>
    <t>800055</t>
  </si>
  <si>
    <t>PALITA</t>
  </si>
  <si>
    <t>800056</t>
  </si>
  <si>
    <t>ETIQUETAS AUTOADHESIVAS</t>
  </si>
  <si>
    <t>800057</t>
  </si>
  <si>
    <t>800058</t>
  </si>
  <si>
    <t>GANCHOS N 24/6</t>
  </si>
  <si>
    <t>800059</t>
  </si>
  <si>
    <t>TONNER W1105 1106 1107</t>
  </si>
  <si>
    <t>800060</t>
  </si>
  <si>
    <t>ROLLO FISCAL U.G. 80MM</t>
  </si>
  <si>
    <t>800061</t>
  </si>
  <si>
    <t>GOMA</t>
  </si>
  <si>
    <t>800062</t>
  </si>
  <si>
    <t>TONER ALTERNATIVO BROTHER 1060 BLUE BOX 1K - BROTHER 1200/1200W</t>
  </si>
  <si>
    <t>800063</t>
  </si>
  <si>
    <t>TONER ALTERNATIVO HP 279A BLUE BOX - HP M12/HP M12W</t>
  </si>
  <si>
    <t>800064</t>
  </si>
  <si>
    <t>TONER ALTERNATIVO HP W105A (SIN CHIP) STARLNK 1K - HP 107W</t>
  </si>
  <si>
    <t>800065</t>
  </si>
  <si>
    <t>TONER ALTERNATIVO HP 435/436/285/278 STARLNK - HP P1102W</t>
  </si>
  <si>
    <t>800066</t>
  </si>
  <si>
    <t>TONER HP 1020 (12A)</t>
  </si>
  <si>
    <t>800067</t>
  </si>
  <si>
    <t>TONER ALTERNATIVO HP 283A BLUE BOX 1K - HP M225DW</t>
  </si>
  <si>
    <t>800068</t>
  </si>
  <si>
    <t>CEPILLO PARA TELARANAS</t>
  </si>
  <si>
    <t>800069</t>
  </si>
  <si>
    <t>TONER ALTERNATIVO SP3710 - RICOH M320F</t>
  </si>
  <si>
    <t>800070</t>
  </si>
  <si>
    <t>PAPEL KRAFT COPSI  0,60CM</t>
  </si>
  <si>
    <t>800071</t>
  </si>
  <si>
    <t>GUATA 100MM X 30MTS</t>
  </si>
  <si>
    <t>800072</t>
  </si>
  <si>
    <t>PILA AAA</t>
  </si>
  <si>
    <t>800073</t>
  </si>
  <si>
    <t>FIBRON INDELEBLE PUNTA MEDIA</t>
  </si>
  <si>
    <t>800074</t>
  </si>
  <si>
    <t>LAVANDINA EN POLVO 20GRS</t>
  </si>
  <si>
    <t>999995</t>
  </si>
  <si>
    <t>GENERICO 20 LITROS PREMIUM</t>
  </si>
  <si>
    <t>999996</t>
  </si>
  <si>
    <t>GENERICO 20 LITROS ESTANDAR</t>
  </si>
  <si>
    <t>999997</t>
  </si>
  <si>
    <t>GENERICO 10 LITROS PREMIUM</t>
  </si>
  <si>
    <t>999998</t>
  </si>
  <si>
    <t>GENERICO 10 LITROS ESTANDAR</t>
  </si>
  <si>
    <t>A00010</t>
  </si>
  <si>
    <t>BIEN DE USO - VEHICULOS</t>
  </si>
  <si>
    <t/>
  </si>
  <si>
    <t>A00011</t>
  </si>
  <si>
    <t>BIENES DE USO - EQUIPOS COMPUTACION</t>
  </si>
  <si>
    <t>A00012</t>
  </si>
  <si>
    <t>BIENES DE USO - MUEBLES Y UTILES</t>
  </si>
  <si>
    <t>A00100</t>
  </si>
  <si>
    <t>INGRESOS BRUTOS</t>
  </si>
  <si>
    <t>A00101</t>
  </si>
  <si>
    <t>DREI</t>
  </si>
  <si>
    <t>A00102</t>
  </si>
  <si>
    <t>IMPUESTO A LAS GANANCIAS</t>
  </si>
  <si>
    <t>A00103</t>
  </si>
  <si>
    <t>IMPUESTO BIENES PERSONALES</t>
  </si>
  <si>
    <t>A00104</t>
  </si>
  <si>
    <t>ANTICIPO IMPUESTO A LAS GANANCIAS</t>
  </si>
  <si>
    <t>A00105</t>
  </si>
  <si>
    <t>ANTICIPO BIENES PERSONALES</t>
  </si>
  <si>
    <t>A00106</t>
  </si>
  <si>
    <t>AUTONOMO</t>
  </si>
  <si>
    <t>A00107</t>
  </si>
  <si>
    <t>APORTES Y LEYES SOCIALES</t>
  </si>
  <si>
    <t>A00108</t>
  </si>
  <si>
    <t>INGRESOS BRUTOS RETENIDOS</t>
  </si>
  <si>
    <t>A00109</t>
  </si>
  <si>
    <t>IMPUESTO A LAS GANANCIAS RETENIDOS</t>
  </si>
  <si>
    <t>A00110</t>
  </si>
  <si>
    <t>SUELDOS</t>
  </si>
  <si>
    <t>A00111</t>
  </si>
  <si>
    <t>AGUINALDOS</t>
  </si>
  <si>
    <t>A00112</t>
  </si>
  <si>
    <t>COMISIONES</t>
  </si>
  <si>
    <t>A00113</t>
  </si>
  <si>
    <t>LEY 25413</t>
  </si>
  <si>
    <t>A00114</t>
  </si>
  <si>
    <t>COMISION BANCARIA</t>
  </si>
  <si>
    <t>A00115</t>
  </si>
  <si>
    <t>COMISION TARJETAS CREDITO / DEBITO</t>
  </si>
  <si>
    <t>A00116</t>
  </si>
  <si>
    <t>SIRCREB</t>
  </si>
  <si>
    <t>A00117</t>
  </si>
  <si>
    <t>APORTES SINDICATOS</t>
  </si>
  <si>
    <t>A00118</t>
  </si>
  <si>
    <t>FAECYS</t>
  </si>
  <si>
    <t>A00119</t>
  </si>
  <si>
    <t>INACAP</t>
  </si>
  <si>
    <t>A00120</t>
  </si>
  <si>
    <t>SEGURO LA ESTRELLA</t>
  </si>
  <si>
    <t>A00208</t>
  </si>
  <si>
    <t>SEGUROS</t>
  </si>
  <si>
    <t>A00300</t>
  </si>
  <si>
    <t>FLETES PROVEEDORES PINTURAS Y ACCESORIOS</t>
  </si>
  <si>
    <t>506</t>
  </si>
  <si>
    <t>A00301</t>
  </si>
  <si>
    <t>FLETES PROVEEDORES OTROS SERVICIOS</t>
  </si>
  <si>
    <t>A00303</t>
  </si>
  <si>
    <t>FLETES INTERNOS</t>
  </si>
  <si>
    <t>A00304</t>
  </si>
  <si>
    <t>FLETES A CLIENTES</t>
  </si>
  <si>
    <t>A00305</t>
  </si>
  <si>
    <t>ALQUILERES</t>
  </si>
  <si>
    <t>728</t>
  </si>
  <si>
    <t>A00306</t>
  </si>
  <si>
    <t>COMBUSTIBLES</t>
  </si>
  <si>
    <t>A00307</t>
  </si>
  <si>
    <t>VARIOS LIBRERIA</t>
  </si>
  <si>
    <t>A00308</t>
  </si>
  <si>
    <t>SERVICIO MECANICO</t>
  </si>
  <si>
    <t>504</t>
  </si>
  <si>
    <t>A00309</t>
  </si>
  <si>
    <t>GASTOS VARIOS DE MANTENIMIENTO</t>
  </si>
  <si>
    <t>A00310</t>
  </si>
  <si>
    <t>COMISIONES Y RENOVACIONES CONTRATOS</t>
  </si>
  <si>
    <t>A00311</t>
  </si>
  <si>
    <t>VIATICOS</t>
  </si>
  <si>
    <t>A00312</t>
  </si>
  <si>
    <t>MARKETING</t>
  </si>
  <si>
    <t>A00313</t>
  </si>
  <si>
    <t>HONORARIOS PROFESIONALES</t>
  </si>
  <si>
    <t>A00314</t>
  </si>
  <si>
    <t>VARIOS ELECTRICIDAD</t>
  </si>
  <si>
    <t>708</t>
  </si>
  <si>
    <t>A00315</t>
  </si>
  <si>
    <t>VARIOS CONSTRUCCION</t>
  </si>
  <si>
    <t>A00316</t>
  </si>
  <si>
    <t>TASA MUNICIPAL</t>
  </si>
  <si>
    <t>A00317</t>
  </si>
  <si>
    <t>IMPUESTO INMOBILIARIO</t>
  </si>
  <si>
    <t>A00318</t>
  </si>
  <si>
    <t>LUZ, AGUA Y GAS</t>
  </si>
  <si>
    <t>A00319</t>
  </si>
  <si>
    <t>TELEFONIA, INTERNET Y COMUNICACION</t>
  </si>
  <si>
    <t>A00320</t>
  </si>
  <si>
    <t>CHEQUE RECHAZADO</t>
  </si>
  <si>
    <t>605</t>
  </si>
  <si>
    <t>A00321</t>
  </si>
  <si>
    <t>GASTOS POR CHEQUE RECHAZADO</t>
  </si>
  <si>
    <t>A00322</t>
  </si>
  <si>
    <t>DESCUENTOS FINANCIEROS</t>
  </si>
  <si>
    <t>753</t>
  </si>
  <si>
    <t>A00323</t>
  </si>
  <si>
    <t>PATENTES</t>
  </si>
  <si>
    <t>A00324</t>
  </si>
  <si>
    <t>IVA</t>
  </si>
  <si>
    <t>A00325</t>
  </si>
  <si>
    <t>SERVICIO PICKIT</t>
  </si>
  <si>
    <t>A00326</t>
  </si>
  <si>
    <t>ROPA DE TRABAJO</t>
  </si>
  <si>
    <t>A00327</t>
  </si>
  <si>
    <t>DEUDOR INCOBRABLE</t>
  </si>
  <si>
    <t>A00328</t>
  </si>
  <si>
    <t>EVENTO EMPRESARIAL ANUAL / USO GERENCIA</t>
  </si>
  <si>
    <t>A00329</t>
  </si>
  <si>
    <t>CREDITO BANCARIO</t>
  </si>
  <si>
    <t>A00330</t>
  </si>
  <si>
    <t>INTERESES DEVENGADOS</t>
  </si>
  <si>
    <t>A00331</t>
  </si>
  <si>
    <t>ACCION COMPARTIDA GERENCIA</t>
  </si>
  <si>
    <t>A00332</t>
  </si>
  <si>
    <t>HONORARIOS Y MANO DE OBRA ALBERDI 1539</t>
  </si>
  <si>
    <t>A00333</t>
  </si>
  <si>
    <t>MATERIALES DE CONSTRUCCION VARIOS ALBERDI 1539</t>
  </si>
  <si>
    <t>A00334</t>
  </si>
  <si>
    <t>MOBILIARIO Y EQUIPAMIENTOS ALBERDI 1539</t>
  </si>
  <si>
    <t>A00335</t>
  </si>
  <si>
    <t>CARGA IVA</t>
  </si>
  <si>
    <t>A00336</t>
  </si>
  <si>
    <t>SOPORTE SISTEMA INFORMATICO</t>
  </si>
  <si>
    <t>A00337</t>
  </si>
  <si>
    <t>NCC AUTOMATICA PAGO ELECTRÓNICO</t>
  </si>
  <si>
    <t>A00338</t>
  </si>
  <si>
    <t>SELLADO PROVINCIAL</t>
  </si>
  <si>
    <t>A00339</t>
  </si>
  <si>
    <t>PREMIOS</t>
  </si>
  <si>
    <t>A00340</t>
  </si>
  <si>
    <t>GASTOS PARTICULARES</t>
  </si>
  <si>
    <t>M00002</t>
  </si>
  <si>
    <t>TARJETA PLATINO</t>
  </si>
  <si>
    <t>M00003</t>
  </si>
  <si>
    <t>TARJETA BLACK</t>
  </si>
  <si>
    <t>M00004</t>
  </si>
  <si>
    <t>DESCUENTO TARJETA PLATINO</t>
  </si>
  <si>
    <t>M00005</t>
  </si>
  <si>
    <t>DESCUENTO TARJETA BLACK</t>
  </si>
  <si>
    <t>M00006</t>
  </si>
  <si>
    <t>CETOL+LIJA-LIQ</t>
  </si>
  <si>
    <t>M00007</t>
  </si>
  <si>
    <t>CETOL+REMOV</t>
  </si>
  <si>
    <t>M00008</t>
  </si>
  <si>
    <t>ENDUIDO+ESPAT</t>
  </si>
  <si>
    <t>M00009</t>
  </si>
  <si>
    <t>ALBALUX-BAL+PINCEL</t>
  </si>
  <si>
    <t>M00010</t>
  </si>
  <si>
    <t>ALBACRYL+RODILLO</t>
  </si>
  <si>
    <t>M00011</t>
  </si>
  <si>
    <t>PUBLICIDAD GRAFICA, RADIAL Y MEDIOS</t>
  </si>
  <si>
    <t>M00012</t>
  </si>
  <si>
    <t>REGALOS EMPRESARIALES</t>
  </si>
  <si>
    <t>M00013</t>
  </si>
  <si>
    <t>MERCHANDISING</t>
  </si>
  <si>
    <t>M00014</t>
  </si>
  <si>
    <t>EVENTO EMPRESARIAL DE AREA</t>
  </si>
  <si>
    <t>M00015</t>
  </si>
  <si>
    <t>ACCION COMPARTIDA MARKETING</t>
  </si>
  <si>
    <t>M00016</t>
  </si>
  <si>
    <t>VIATICOS MARKETING</t>
  </si>
  <si>
    <t>M00017</t>
  </si>
  <si>
    <t>MATERIAL PROMOCIONAL SUCURSALES / CLIENTES</t>
  </si>
  <si>
    <t>M00018</t>
  </si>
  <si>
    <t>SUELDOS / SAC MARKETING</t>
  </si>
  <si>
    <t>M00019</t>
  </si>
  <si>
    <t>COMISIONES MARKETING</t>
  </si>
  <si>
    <t>M00020</t>
  </si>
  <si>
    <t>APORTES Y LEYES SOCIALES MARKETING</t>
  </si>
  <si>
    <t>M00021</t>
  </si>
  <si>
    <t>APORTES SINDICATOS MARKETING</t>
  </si>
  <si>
    <t>M00022</t>
  </si>
  <si>
    <t>FAECYS MARKETING</t>
  </si>
  <si>
    <t>M00023</t>
  </si>
  <si>
    <t>INACAP MARKETING</t>
  </si>
  <si>
    <t>M00024</t>
  </si>
  <si>
    <t>SEGURO LA ESTRELLA MARKETING</t>
  </si>
  <si>
    <t>P00003</t>
  </si>
  <si>
    <t>ENVASADO</t>
  </si>
  <si>
    <t>P00100</t>
  </si>
  <si>
    <t>MERCADERIA NO CODIFICADA</t>
  </si>
  <si>
    <t>P00101</t>
  </si>
  <si>
    <t>P00102</t>
  </si>
  <si>
    <t>P00103</t>
  </si>
  <si>
    <t>REDONDEO 21%</t>
  </si>
  <si>
    <t>P00104</t>
  </si>
  <si>
    <t>DEBITOS FINANCIEROS</t>
  </si>
  <si>
    <t>P00105</t>
  </si>
  <si>
    <t>ACCION COMPARTIDA MARKETING - PROVEEDORES</t>
  </si>
  <si>
    <t>P00106</t>
  </si>
  <si>
    <t>ACCION COMPARTIDA COMERCIAL - PROVEEDORES</t>
  </si>
  <si>
    <t>RH0001</t>
  </si>
  <si>
    <t>RH0002</t>
  </si>
  <si>
    <t>REGALOS LABORALES</t>
  </si>
  <si>
    <t>RH0003</t>
  </si>
  <si>
    <t>CAPACITACIONES LABORALES</t>
  </si>
  <si>
    <t>RH0004</t>
  </si>
  <si>
    <t>ACCION COMPARTIDA RRHH</t>
  </si>
  <si>
    <t>RH0005</t>
  </si>
  <si>
    <t>SUELDOS / SAC RRHH</t>
  </si>
  <si>
    <t>RH0006</t>
  </si>
  <si>
    <t>COMISIONES RRHH</t>
  </si>
  <si>
    <t>RH0007</t>
  </si>
  <si>
    <t>AP. Y LEYES SOCIALES RRHH</t>
  </si>
  <si>
    <t>RH0008</t>
  </si>
  <si>
    <t>SINDICATOS RRHH</t>
  </si>
  <si>
    <t>RH0009</t>
  </si>
  <si>
    <t>FAECYS RRHH</t>
  </si>
  <si>
    <t>RH0010</t>
  </si>
  <si>
    <t>INACAP RRHH</t>
  </si>
  <si>
    <t>RH0011</t>
  </si>
  <si>
    <t>SEGURO LA ESTRELLA RRHH</t>
  </si>
  <si>
    <t>RH0012</t>
  </si>
  <si>
    <t>PREOCUPACIONALES - GTOS. MEDICOS RRHH</t>
  </si>
  <si>
    <t>RH0013</t>
  </si>
  <si>
    <t>GASTOS VARIOS ÁREA RRHH</t>
  </si>
  <si>
    <t xml:space="preserve">Cod. Tabla  </t>
  </si>
  <si>
    <t>Cod.Producto</t>
  </si>
  <si>
    <t>Descripcion</t>
  </si>
  <si>
    <t xml:space="preserve">Grupo       </t>
  </si>
  <si>
    <t>Precio Venta</t>
  </si>
  <si>
    <t>TES</t>
  </si>
  <si>
    <t>%</t>
  </si>
  <si>
    <t>Final</t>
  </si>
  <si>
    <t>Moneda</t>
  </si>
  <si>
    <t>001</t>
  </si>
  <si>
    <t>0165</t>
  </si>
  <si>
    <t>0152</t>
  </si>
  <si>
    <t>0166</t>
  </si>
  <si>
    <t>0902</t>
  </si>
  <si>
    <t>0116</t>
  </si>
  <si>
    <t>0107</t>
  </si>
  <si>
    <t>0177</t>
  </si>
  <si>
    <t>0176</t>
  </si>
  <si>
    <t>0137</t>
  </si>
  <si>
    <t>0105</t>
  </si>
  <si>
    <t>0134</t>
  </si>
  <si>
    <t>0129</t>
  </si>
  <si>
    <t>0148</t>
  </si>
  <si>
    <t>0138</t>
  </si>
  <si>
    <t>0145</t>
  </si>
  <si>
    <t>0102</t>
  </si>
  <si>
    <t>0103</t>
  </si>
  <si>
    <t>0119</t>
  </si>
  <si>
    <t>0132</t>
  </si>
  <si>
    <t>0133</t>
  </si>
  <si>
    <t>0180</t>
  </si>
  <si>
    <t>0169</t>
  </si>
  <si>
    <t>0139</t>
  </si>
  <si>
    <t>0140</t>
  </si>
  <si>
    <t>0144</t>
  </si>
  <si>
    <t>0126</t>
  </si>
  <si>
    <t>0136</t>
  </si>
  <si>
    <t>0150</t>
  </si>
  <si>
    <t>0167</t>
  </si>
  <si>
    <t>0122</t>
  </si>
  <si>
    <t>0130</t>
  </si>
  <si>
    <t>0128</t>
  </si>
  <si>
    <t>0127</t>
  </si>
  <si>
    <t>0179</t>
  </si>
  <si>
    <t>0141</t>
  </si>
  <si>
    <t>0149</t>
  </si>
  <si>
    <t>0186</t>
  </si>
  <si>
    <t>0157</t>
  </si>
  <si>
    <t>0115</t>
  </si>
  <si>
    <t>0146</t>
  </si>
  <si>
    <t>0124</t>
  </si>
  <si>
    <t>0120</t>
  </si>
  <si>
    <t>0187</t>
  </si>
  <si>
    <t>0110</t>
  </si>
  <si>
    <t>0108</t>
  </si>
  <si>
    <t>0156</t>
  </si>
  <si>
    <t>0154</t>
  </si>
  <si>
    <t>0125</t>
  </si>
  <si>
    <t>0162</t>
  </si>
  <si>
    <t>0131</t>
  </si>
  <si>
    <t>0181</t>
  </si>
  <si>
    <t>0153</t>
  </si>
  <si>
    <t>0163</t>
  </si>
  <si>
    <t>0112</t>
  </si>
  <si>
    <t>0175</t>
  </si>
  <si>
    <t>0106</t>
  </si>
  <si>
    <t>0111</t>
  </si>
  <si>
    <t>0161</t>
  </si>
  <si>
    <t>0143</t>
  </si>
  <si>
    <t>0185</t>
  </si>
  <si>
    <t>0104</t>
  </si>
  <si>
    <t>0192</t>
  </si>
  <si>
    <t>0158</t>
  </si>
  <si>
    <t>0191</t>
  </si>
  <si>
    <t>0159</t>
  </si>
  <si>
    <t>0160</t>
  </si>
  <si>
    <t>0170</t>
  </si>
  <si>
    <t>0173</t>
  </si>
  <si>
    <t>0188</t>
  </si>
  <si>
    <t>0190</t>
  </si>
  <si>
    <t>0195</t>
  </si>
  <si>
    <t>0196</t>
  </si>
  <si>
    <t>0182</t>
  </si>
  <si>
    <t>0114</t>
  </si>
  <si>
    <t>0121</t>
  </si>
  <si>
    <t>0164</t>
  </si>
  <si>
    <t>0147</t>
  </si>
  <si>
    <t xml:space="preserve">Moneda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</si>
</sst>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$&quot; * #,##0.00_-;-&quot;$&quot; * #,##0.00_-;_-&quot;$&quot; * &quot;-&quot;??_-;_-@_-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Aptos Narrow"/>
    </font>
    <font>
      <b/>
      <color theme="1"/>
      <family val="2"/>
      <scheme val="minor"/>
      <sz val="9"/>
      <name val="Aptos Narrow"/>
    </font>
    <font>
      <color theme="1"/>
      <family val="2"/>
      <scheme val="minor"/>
      <sz val="11"/>
      <name val="Aptos Narrow"/>
    </font>
    <font>
      <u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12"/>
  <sheetViews>
    <sheetView workbookViewId="0" zoomScale="100" zoomScaleNormal="100">
      <selection activeCell="F13" sqref="F13"/>
    </sheetView>
  </sheetViews>
  <sheetFormatPr defaultRowHeight="12" outlineLevelRow="0" outlineLevelCol="0" x14ac:dyDescent="0.25" defaultColWidth="11.5703125" customHeight="1"/>
  <cols>
    <col min="1" max="1" width="7.5703125" style="1" customWidth="1"/>
    <col min="2" max="2" width="74.28515625" style="1" customWidth="1"/>
    <col min="3" max="3" width="9.140625" style="1" customWidth="1"/>
    <col min="4" max="16384" width="11.5703125" style="1" customWidth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5</v>
      </c>
    </row>
    <row r="5" spans="1:3" x14ac:dyDescent="0.25">
      <c r="A5" s="1" t="s">
        <v>10</v>
      </c>
      <c r="B5" s="1" t="s">
        <v>11</v>
      </c>
      <c r="C5" s="1" t="s">
        <v>5</v>
      </c>
    </row>
    <row r="6" spans="1:3" x14ac:dyDescent="0.25">
      <c r="A6" s="1" t="s">
        <v>12</v>
      </c>
      <c r="B6" s="1" t="s">
        <v>13</v>
      </c>
      <c r="C6" s="1" t="s">
        <v>5</v>
      </c>
    </row>
    <row r="7" spans="1:3" x14ac:dyDescent="0.25">
      <c r="A7" s="1" t="s">
        <v>14</v>
      </c>
      <c r="B7" s="1" t="s">
        <v>15</v>
      </c>
      <c r="C7" s="1" t="s">
        <v>5</v>
      </c>
    </row>
    <row r="8" spans="1:3" x14ac:dyDescent="0.25">
      <c r="A8" s="1" t="s">
        <v>16</v>
      </c>
      <c r="B8" s="1" t="s">
        <v>17</v>
      </c>
      <c r="C8" s="1" t="s">
        <v>5</v>
      </c>
    </row>
    <row r="9" spans="1:3" x14ac:dyDescent="0.25">
      <c r="A9" s="1" t="s">
        <v>18</v>
      </c>
      <c r="B9" s="1" t="s">
        <v>19</v>
      </c>
      <c r="C9" s="1" t="s">
        <v>5</v>
      </c>
    </row>
    <row r="10" spans="1:3" x14ac:dyDescent="0.25">
      <c r="A10" s="1" t="s">
        <v>20</v>
      </c>
      <c r="B10" s="1" t="s">
        <v>21</v>
      </c>
      <c r="C10" s="1" t="s">
        <v>5</v>
      </c>
    </row>
    <row r="11" spans="1:3" x14ac:dyDescent="0.25">
      <c r="A11" s="1" t="s">
        <v>22</v>
      </c>
      <c r="B11" s="1" t="s">
        <v>23</v>
      </c>
      <c r="C11" s="1" t="s">
        <v>5</v>
      </c>
    </row>
    <row r="12" spans="1:3" x14ac:dyDescent="0.25">
      <c r="A12" s="1" t="s">
        <v>24</v>
      </c>
      <c r="B12" s="1" t="s">
        <v>25</v>
      </c>
      <c r="C12" s="1" t="s">
        <v>5</v>
      </c>
    </row>
    <row r="13" spans="1:3" x14ac:dyDescent="0.25">
      <c r="A13" s="1" t="s">
        <v>26</v>
      </c>
      <c r="B13" s="1" t="s">
        <v>27</v>
      </c>
      <c r="C13" s="1" t="s">
        <v>5</v>
      </c>
    </row>
    <row r="14" spans="1:3" x14ac:dyDescent="0.25">
      <c r="A14" s="1" t="s">
        <v>28</v>
      </c>
      <c r="B14" s="1" t="s">
        <v>29</v>
      </c>
      <c r="C14" s="1" t="s">
        <v>5</v>
      </c>
    </row>
    <row r="15" spans="1:3" x14ac:dyDescent="0.25">
      <c r="A15" s="1" t="s">
        <v>30</v>
      </c>
      <c r="B15" s="1" t="s">
        <v>31</v>
      </c>
      <c r="C15" s="1" t="s">
        <v>5</v>
      </c>
    </row>
    <row r="16" spans="1:3" x14ac:dyDescent="0.25">
      <c r="A16" s="1" t="s">
        <v>32</v>
      </c>
      <c r="B16" s="1" t="s">
        <v>33</v>
      </c>
      <c r="C16" s="1" t="s">
        <v>5</v>
      </c>
    </row>
    <row r="17" spans="1:3" x14ac:dyDescent="0.25">
      <c r="A17" s="1" t="s">
        <v>34</v>
      </c>
      <c r="B17" s="1" t="s">
        <v>35</v>
      </c>
      <c r="C17" s="1" t="s">
        <v>5</v>
      </c>
    </row>
    <row r="18" spans="1:3" x14ac:dyDescent="0.25">
      <c r="A18" s="1" t="s">
        <v>36</v>
      </c>
      <c r="B18" s="1" t="s">
        <v>37</v>
      </c>
      <c r="C18" s="1" t="s">
        <v>5</v>
      </c>
    </row>
    <row r="19" spans="1:3" x14ac:dyDescent="0.25">
      <c r="A19" s="1" t="s">
        <v>38</v>
      </c>
      <c r="B19" s="1" t="s">
        <v>39</v>
      </c>
      <c r="C19" s="1" t="s">
        <v>5</v>
      </c>
    </row>
    <row r="20" spans="1:3" x14ac:dyDescent="0.25">
      <c r="A20" s="1" t="s">
        <v>40</v>
      </c>
      <c r="B20" s="1" t="s">
        <v>41</v>
      </c>
      <c r="C20" s="1" t="s">
        <v>5</v>
      </c>
    </row>
    <row r="21" spans="1:3" x14ac:dyDescent="0.25">
      <c r="A21" s="1" t="s">
        <v>42</v>
      </c>
      <c r="B21" s="1" t="s">
        <v>43</v>
      </c>
      <c r="C21" s="1" t="s">
        <v>5</v>
      </c>
    </row>
    <row r="22" spans="1:3" x14ac:dyDescent="0.25">
      <c r="A22" s="1" t="s">
        <v>44</v>
      </c>
      <c r="B22" s="1" t="s">
        <v>45</v>
      </c>
      <c r="C22" s="1" t="s">
        <v>5</v>
      </c>
    </row>
    <row r="23" spans="1:3" x14ac:dyDescent="0.25">
      <c r="A23" s="1" t="s">
        <v>46</v>
      </c>
      <c r="B23" s="1" t="s">
        <v>47</v>
      </c>
      <c r="C23" s="1" t="s">
        <v>5</v>
      </c>
    </row>
    <row r="24" spans="1:3" x14ac:dyDescent="0.25">
      <c r="A24" s="1" t="s">
        <v>48</v>
      </c>
      <c r="B24" s="1" t="s">
        <v>49</v>
      </c>
      <c r="C24" s="1" t="s">
        <v>5</v>
      </c>
    </row>
    <row r="25" spans="1:3" x14ac:dyDescent="0.25">
      <c r="A25" s="1" t="s">
        <v>50</v>
      </c>
      <c r="B25" s="1" t="s">
        <v>51</v>
      </c>
      <c r="C25" s="1" t="s">
        <v>5</v>
      </c>
    </row>
    <row r="26" spans="1:3" x14ac:dyDescent="0.25">
      <c r="A26" s="1" t="s">
        <v>52</v>
      </c>
      <c r="B26" s="1" t="s">
        <v>53</v>
      </c>
      <c r="C26" s="1" t="s">
        <v>5</v>
      </c>
    </row>
    <row r="27" spans="1:3" x14ac:dyDescent="0.25">
      <c r="A27" s="1" t="s">
        <v>54</v>
      </c>
      <c r="B27" s="1" t="s">
        <v>55</v>
      </c>
      <c r="C27" s="1" t="s">
        <v>5</v>
      </c>
    </row>
    <row r="28" spans="1:3" x14ac:dyDescent="0.25">
      <c r="A28" s="1" t="s">
        <v>56</v>
      </c>
      <c r="B28" s="1" t="s">
        <v>57</v>
      </c>
      <c r="C28" s="1" t="s">
        <v>5</v>
      </c>
    </row>
    <row r="29" spans="1:3" x14ac:dyDescent="0.25">
      <c r="A29" s="1" t="s">
        <v>58</v>
      </c>
      <c r="B29" s="1" t="s">
        <v>59</v>
      </c>
      <c r="C29" s="1" t="s">
        <v>5</v>
      </c>
    </row>
    <row r="30" spans="1:3" x14ac:dyDescent="0.25">
      <c r="A30" s="1" t="s">
        <v>60</v>
      </c>
      <c r="B30" s="1" t="s">
        <v>61</v>
      </c>
      <c r="C30" s="1" t="s">
        <v>5</v>
      </c>
    </row>
    <row r="31" spans="1:3" x14ac:dyDescent="0.25">
      <c r="A31" s="1" t="s">
        <v>62</v>
      </c>
      <c r="B31" s="1" t="s">
        <v>63</v>
      </c>
      <c r="C31" s="1" t="s">
        <v>5</v>
      </c>
    </row>
    <row r="32" spans="1:3" x14ac:dyDescent="0.25">
      <c r="A32" s="1" t="s">
        <v>64</v>
      </c>
      <c r="B32" s="1" t="s">
        <v>65</v>
      </c>
      <c r="C32" s="1" t="s">
        <v>5</v>
      </c>
    </row>
    <row r="33" spans="1:3" x14ac:dyDescent="0.25">
      <c r="A33" s="1" t="s">
        <v>66</v>
      </c>
      <c r="B33" s="1" t="s">
        <v>67</v>
      </c>
      <c r="C33" s="1" t="s">
        <v>5</v>
      </c>
    </row>
    <row r="34" spans="1:3" x14ac:dyDescent="0.25">
      <c r="A34" s="1" t="s">
        <v>68</v>
      </c>
      <c r="B34" s="1" t="s">
        <v>69</v>
      </c>
      <c r="C34" s="1" t="s">
        <v>5</v>
      </c>
    </row>
    <row r="35" spans="1:3" x14ac:dyDescent="0.25">
      <c r="A35" s="1" t="s">
        <v>70</v>
      </c>
      <c r="B35" s="1" t="s">
        <v>71</v>
      </c>
      <c r="C35" s="1" t="s">
        <v>5</v>
      </c>
    </row>
    <row r="36" spans="1:3" x14ac:dyDescent="0.25">
      <c r="A36" s="1" t="s">
        <v>72</v>
      </c>
      <c r="B36" s="1" t="s">
        <v>73</v>
      </c>
      <c r="C36" s="1" t="s">
        <v>5</v>
      </c>
    </row>
    <row r="37" spans="1:3" x14ac:dyDescent="0.25">
      <c r="A37" s="1" t="s">
        <v>74</v>
      </c>
      <c r="B37" s="1" t="s">
        <v>75</v>
      </c>
      <c r="C37" s="1" t="s">
        <v>5</v>
      </c>
    </row>
    <row r="38" spans="1:3" x14ac:dyDescent="0.25">
      <c r="A38" s="1" t="s">
        <v>76</v>
      </c>
      <c r="B38" s="1" t="s">
        <v>77</v>
      </c>
      <c r="C38" s="1" t="s">
        <v>5</v>
      </c>
    </row>
    <row r="39" spans="1:3" x14ac:dyDescent="0.25">
      <c r="A39" s="1" t="s">
        <v>78</v>
      </c>
      <c r="B39" s="1" t="s">
        <v>79</v>
      </c>
      <c r="C39" s="1" t="s">
        <v>5</v>
      </c>
    </row>
    <row r="40" spans="1:3" x14ac:dyDescent="0.25">
      <c r="A40" s="1" t="s">
        <v>80</v>
      </c>
      <c r="B40" s="1" t="s">
        <v>81</v>
      </c>
      <c r="C40" s="1" t="s">
        <v>5</v>
      </c>
    </row>
    <row r="41" spans="1:3" x14ac:dyDescent="0.25">
      <c r="A41" s="1" t="s">
        <v>82</v>
      </c>
      <c r="B41" s="1" t="s">
        <v>83</v>
      </c>
      <c r="C41" s="1" t="s">
        <v>5</v>
      </c>
    </row>
    <row r="42" spans="1:3" x14ac:dyDescent="0.25">
      <c r="A42" s="1" t="s">
        <v>84</v>
      </c>
      <c r="B42" s="1" t="s">
        <v>85</v>
      </c>
      <c r="C42" s="1" t="s">
        <v>5</v>
      </c>
    </row>
    <row r="43" spans="1:3" x14ac:dyDescent="0.25">
      <c r="A43" s="1" t="s">
        <v>86</v>
      </c>
      <c r="B43" s="1" t="s">
        <v>87</v>
      </c>
      <c r="C43" s="1" t="s">
        <v>5</v>
      </c>
    </row>
    <row r="44" spans="1:3" x14ac:dyDescent="0.25">
      <c r="A44" s="1" t="s">
        <v>88</v>
      </c>
      <c r="B44" s="1" t="s">
        <v>89</v>
      </c>
      <c r="C44" s="1" t="s">
        <v>5</v>
      </c>
    </row>
    <row r="45" spans="1:3" x14ac:dyDescent="0.25">
      <c r="A45" s="1" t="s">
        <v>90</v>
      </c>
      <c r="B45" s="1" t="s">
        <v>91</v>
      </c>
      <c r="C45" s="1" t="s">
        <v>5</v>
      </c>
    </row>
    <row r="46" spans="1:3" x14ac:dyDescent="0.25">
      <c r="A46" s="1" t="s">
        <v>92</v>
      </c>
      <c r="B46" s="1" t="s">
        <v>93</v>
      </c>
      <c r="C46" s="1" t="s">
        <v>5</v>
      </c>
    </row>
    <row r="47" spans="1:3" x14ac:dyDescent="0.25">
      <c r="A47" s="1" t="s">
        <v>94</v>
      </c>
      <c r="B47" s="1" t="s">
        <v>95</v>
      </c>
      <c r="C47" s="1" t="s">
        <v>5</v>
      </c>
    </row>
    <row r="48" spans="1:3" x14ac:dyDescent="0.25">
      <c r="A48" s="1" t="s">
        <v>96</v>
      </c>
      <c r="B48" s="1" t="s">
        <v>97</v>
      </c>
      <c r="C48" s="1" t="s">
        <v>5</v>
      </c>
    </row>
    <row r="49" spans="1:3" x14ac:dyDescent="0.25">
      <c r="A49" s="1" t="s">
        <v>98</v>
      </c>
      <c r="B49" s="1" t="s">
        <v>99</v>
      </c>
      <c r="C49" s="1" t="s">
        <v>5</v>
      </c>
    </row>
    <row r="50" spans="1:3" x14ac:dyDescent="0.25">
      <c r="A50" s="1" t="s">
        <v>100</v>
      </c>
      <c r="B50" s="1" t="s">
        <v>101</v>
      </c>
      <c r="C50" s="1" t="s">
        <v>5</v>
      </c>
    </row>
    <row r="51" spans="1:3" x14ac:dyDescent="0.25">
      <c r="A51" s="1" t="s">
        <v>102</v>
      </c>
      <c r="B51" s="1" t="s">
        <v>103</v>
      </c>
      <c r="C51" s="1" t="s">
        <v>5</v>
      </c>
    </row>
    <row r="52" spans="1:3" x14ac:dyDescent="0.25">
      <c r="A52" s="1" t="s">
        <v>104</v>
      </c>
      <c r="B52" s="1" t="s">
        <v>105</v>
      </c>
      <c r="C52" s="1" t="s">
        <v>5</v>
      </c>
    </row>
    <row r="53" spans="1:3" x14ac:dyDescent="0.25">
      <c r="A53" s="1" t="s">
        <v>106</v>
      </c>
      <c r="B53" s="1" t="s">
        <v>107</v>
      </c>
      <c r="C53" s="1" t="s">
        <v>5</v>
      </c>
    </row>
    <row r="54" spans="1:3" x14ac:dyDescent="0.25">
      <c r="A54" s="1" t="s">
        <v>108</v>
      </c>
      <c r="B54" s="1" t="s">
        <v>109</v>
      </c>
      <c r="C54" s="1" t="s">
        <v>5</v>
      </c>
    </row>
    <row r="55" spans="1:3" x14ac:dyDescent="0.25">
      <c r="A55" s="1" t="s">
        <v>110</v>
      </c>
      <c r="B55" s="1" t="s">
        <v>111</v>
      </c>
      <c r="C55" s="1" t="s">
        <v>5</v>
      </c>
    </row>
    <row r="56" spans="1:3" x14ac:dyDescent="0.25">
      <c r="A56" s="1" t="s">
        <v>112</v>
      </c>
      <c r="B56" s="1" t="s">
        <v>113</v>
      </c>
      <c r="C56" s="1" t="s">
        <v>5</v>
      </c>
    </row>
    <row r="57" spans="1:3" x14ac:dyDescent="0.25">
      <c r="A57" s="1" t="s">
        <v>114</v>
      </c>
      <c r="B57" s="1" t="s">
        <v>115</v>
      </c>
      <c r="C57" s="1" t="s">
        <v>5</v>
      </c>
    </row>
    <row r="58" spans="1:3" x14ac:dyDescent="0.25">
      <c r="A58" s="1" t="s">
        <v>116</v>
      </c>
      <c r="B58" s="1" t="s">
        <v>117</v>
      </c>
      <c r="C58" s="1" t="s">
        <v>5</v>
      </c>
    </row>
    <row r="59" spans="1:3" x14ac:dyDescent="0.25">
      <c r="A59" s="1" t="s">
        <v>118</v>
      </c>
      <c r="B59" s="1" t="s">
        <v>119</v>
      </c>
      <c r="C59" s="1" t="s">
        <v>5</v>
      </c>
    </row>
    <row r="60" spans="1:3" x14ac:dyDescent="0.25">
      <c r="A60" s="1" t="s">
        <v>120</v>
      </c>
      <c r="B60" s="1" t="s">
        <v>121</v>
      </c>
      <c r="C60" s="1" t="s">
        <v>5</v>
      </c>
    </row>
    <row r="61" spans="1:3" x14ac:dyDescent="0.25">
      <c r="A61" s="1" t="s">
        <v>122</v>
      </c>
      <c r="B61" s="1" t="s">
        <v>123</v>
      </c>
      <c r="C61" s="1" t="s">
        <v>5</v>
      </c>
    </row>
    <row r="62" spans="1:3" x14ac:dyDescent="0.25">
      <c r="A62" s="1" t="s">
        <v>124</v>
      </c>
      <c r="B62" s="1" t="s">
        <v>125</v>
      </c>
      <c r="C62" s="1" t="s">
        <v>5</v>
      </c>
    </row>
    <row r="63" spans="1:3" x14ac:dyDescent="0.25">
      <c r="A63" s="1" t="s">
        <v>126</v>
      </c>
      <c r="B63" s="1" t="s">
        <v>127</v>
      </c>
      <c r="C63" s="1" t="s">
        <v>5</v>
      </c>
    </row>
    <row r="64" spans="1:3" x14ac:dyDescent="0.25">
      <c r="A64" s="1" t="s">
        <v>128</v>
      </c>
      <c r="B64" s="1" t="s">
        <v>129</v>
      </c>
      <c r="C64" s="1" t="s">
        <v>5</v>
      </c>
    </row>
    <row r="65" spans="1:3" x14ac:dyDescent="0.25">
      <c r="A65" s="1" t="s">
        <v>130</v>
      </c>
      <c r="B65" s="1" t="s">
        <v>131</v>
      </c>
      <c r="C65" s="1" t="s">
        <v>5</v>
      </c>
    </row>
    <row r="66" spans="1:3" x14ac:dyDescent="0.25">
      <c r="A66" s="1" t="s">
        <v>132</v>
      </c>
      <c r="B66" s="1" t="s">
        <v>133</v>
      </c>
      <c r="C66" s="1" t="s">
        <v>5</v>
      </c>
    </row>
    <row r="67" spans="1:3" x14ac:dyDescent="0.25">
      <c r="A67" s="1" t="s">
        <v>134</v>
      </c>
      <c r="B67" s="1" t="s">
        <v>135</v>
      </c>
      <c r="C67" s="1" t="s">
        <v>5</v>
      </c>
    </row>
    <row r="68" spans="1:3" x14ac:dyDescent="0.25">
      <c r="A68" s="1" t="s">
        <v>136</v>
      </c>
      <c r="B68" s="1" t="s">
        <v>137</v>
      </c>
      <c r="C68" s="1" t="s">
        <v>5</v>
      </c>
    </row>
    <row r="69" spans="1:3" x14ac:dyDescent="0.25">
      <c r="A69" s="1" t="s">
        <v>138</v>
      </c>
      <c r="B69" s="1" t="s">
        <v>139</v>
      </c>
      <c r="C69" s="1" t="s">
        <v>5</v>
      </c>
    </row>
    <row r="70" spans="1:3" x14ac:dyDescent="0.25">
      <c r="A70" s="1" t="s">
        <v>140</v>
      </c>
      <c r="B70" s="1" t="s">
        <v>141</v>
      </c>
      <c r="C70" s="1" t="s">
        <v>5</v>
      </c>
    </row>
    <row r="71" spans="1:3" x14ac:dyDescent="0.25">
      <c r="A71" s="1" t="s">
        <v>142</v>
      </c>
      <c r="B71" s="1" t="s">
        <v>143</v>
      </c>
      <c r="C71" s="1" t="s">
        <v>5</v>
      </c>
    </row>
    <row r="72" spans="1:3" x14ac:dyDescent="0.25">
      <c r="A72" s="1" t="s">
        <v>144</v>
      </c>
      <c r="B72" s="1" t="s">
        <v>145</v>
      </c>
      <c r="C72" s="1" t="s">
        <v>5</v>
      </c>
    </row>
    <row r="73" spans="1:3" x14ac:dyDescent="0.25">
      <c r="A73" s="1" t="s">
        <v>146</v>
      </c>
      <c r="B73" s="1" t="s">
        <v>147</v>
      </c>
      <c r="C73" s="1" t="s">
        <v>5</v>
      </c>
    </row>
    <row r="74" spans="1:3" x14ac:dyDescent="0.25">
      <c r="A74" s="1" t="s">
        <v>148</v>
      </c>
      <c r="B74" s="1" t="s">
        <v>149</v>
      </c>
      <c r="C74" s="1" t="s">
        <v>5</v>
      </c>
    </row>
    <row r="75" spans="1:3" x14ac:dyDescent="0.25">
      <c r="A75" s="1" t="s">
        <v>150</v>
      </c>
      <c r="B75" s="1" t="s">
        <v>151</v>
      </c>
      <c r="C75" s="1" t="s">
        <v>5</v>
      </c>
    </row>
    <row r="76" spans="1:3" x14ac:dyDescent="0.25">
      <c r="A76" s="1" t="s">
        <v>152</v>
      </c>
      <c r="B76" s="1" t="s">
        <v>153</v>
      </c>
      <c r="C76" s="1" t="s">
        <v>5</v>
      </c>
    </row>
    <row r="77" spans="1:3" x14ac:dyDescent="0.25">
      <c r="A77" s="1" t="s">
        <v>154</v>
      </c>
      <c r="B77" s="1" t="s">
        <v>155</v>
      </c>
      <c r="C77" s="1" t="s">
        <v>5</v>
      </c>
    </row>
    <row r="78" spans="1:3" x14ac:dyDescent="0.25">
      <c r="A78" s="1" t="s">
        <v>156</v>
      </c>
      <c r="B78" s="1" t="s">
        <v>157</v>
      </c>
      <c r="C78" s="1" t="s">
        <v>5</v>
      </c>
    </row>
    <row r="79" spans="1:3" x14ac:dyDescent="0.25">
      <c r="A79" s="1" t="s">
        <v>158</v>
      </c>
      <c r="B79" s="1" t="s">
        <v>159</v>
      </c>
      <c r="C79" s="1" t="s">
        <v>5</v>
      </c>
    </row>
    <row r="80" spans="1:3" x14ac:dyDescent="0.25">
      <c r="A80" s="1" t="s">
        <v>160</v>
      </c>
      <c r="B80" s="1" t="s">
        <v>161</v>
      </c>
      <c r="C80" s="1" t="s">
        <v>5</v>
      </c>
    </row>
    <row r="81" spans="1:3" x14ac:dyDescent="0.25">
      <c r="A81" s="1" t="s">
        <v>162</v>
      </c>
      <c r="B81" s="1" t="s">
        <v>163</v>
      </c>
      <c r="C81" s="1" t="s">
        <v>5</v>
      </c>
    </row>
    <row r="82" spans="1:3" x14ac:dyDescent="0.25">
      <c r="A82" s="1" t="s">
        <v>164</v>
      </c>
      <c r="B82" s="1" t="s">
        <v>165</v>
      </c>
      <c r="C82" s="1" t="s">
        <v>5</v>
      </c>
    </row>
    <row r="83" spans="1:3" x14ac:dyDescent="0.25">
      <c r="A83" s="1" t="s">
        <v>166</v>
      </c>
      <c r="B83" s="1" t="s">
        <v>167</v>
      </c>
      <c r="C83" s="1" t="s">
        <v>5</v>
      </c>
    </row>
    <row r="84" spans="1:3" x14ac:dyDescent="0.25">
      <c r="A84" s="1" t="s">
        <v>168</v>
      </c>
      <c r="B84" s="1" t="s">
        <v>169</v>
      </c>
      <c r="C84" s="1" t="s">
        <v>5</v>
      </c>
    </row>
    <row r="85" spans="1:3" x14ac:dyDescent="0.25">
      <c r="A85" s="1" t="s">
        <v>170</v>
      </c>
      <c r="B85" s="1" t="s">
        <v>171</v>
      </c>
      <c r="C85" s="1" t="s">
        <v>5</v>
      </c>
    </row>
    <row r="86" spans="1:3" x14ac:dyDescent="0.25">
      <c r="A86" s="1" t="s">
        <v>172</v>
      </c>
      <c r="B86" s="1" t="s">
        <v>173</v>
      </c>
      <c r="C86" s="1" t="s">
        <v>5</v>
      </c>
    </row>
    <row r="87" spans="1:3" x14ac:dyDescent="0.25">
      <c r="A87" s="1" t="s">
        <v>174</v>
      </c>
      <c r="B87" s="1" t="s">
        <v>175</v>
      </c>
      <c r="C87" s="1" t="s">
        <v>5</v>
      </c>
    </row>
    <row r="88" spans="1:3" x14ac:dyDescent="0.25">
      <c r="A88" s="1" t="s">
        <v>176</v>
      </c>
      <c r="B88" s="1" t="s">
        <v>177</v>
      </c>
      <c r="C88" s="1" t="s">
        <v>5</v>
      </c>
    </row>
    <row r="89" spans="1:3" x14ac:dyDescent="0.25">
      <c r="A89" s="1" t="s">
        <v>178</v>
      </c>
      <c r="B89" s="1" t="s">
        <v>179</v>
      </c>
      <c r="C89" s="1" t="s">
        <v>5</v>
      </c>
    </row>
    <row r="90" spans="1:3" x14ac:dyDescent="0.25">
      <c r="A90" s="1" t="s">
        <v>180</v>
      </c>
      <c r="B90" s="1" t="s">
        <v>181</v>
      </c>
      <c r="C90" s="1" t="s">
        <v>5</v>
      </c>
    </row>
    <row r="91" spans="1:3" x14ac:dyDescent="0.25">
      <c r="A91" s="1" t="s">
        <v>182</v>
      </c>
      <c r="B91" s="1" t="s">
        <v>183</v>
      </c>
      <c r="C91" s="1" t="s">
        <v>5</v>
      </c>
    </row>
    <row r="92" spans="1:3" x14ac:dyDescent="0.25">
      <c r="A92" s="1" t="s">
        <v>184</v>
      </c>
      <c r="B92" s="1" t="s">
        <v>185</v>
      </c>
      <c r="C92" s="1" t="s">
        <v>5</v>
      </c>
    </row>
    <row r="93" spans="1:3" x14ac:dyDescent="0.25">
      <c r="A93" s="1" t="s">
        <v>186</v>
      </c>
      <c r="B93" s="1" t="s">
        <v>187</v>
      </c>
      <c r="C93" s="1" t="s">
        <v>5</v>
      </c>
    </row>
    <row r="94" spans="1:3" x14ac:dyDescent="0.25">
      <c r="A94" s="1" t="s">
        <v>188</v>
      </c>
      <c r="B94" s="1" t="s">
        <v>189</v>
      </c>
      <c r="C94" s="1" t="s">
        <v>5</v>
      </c>
    </row>
    <row r="95" spans="1:3" x14ac:dyDescent="0.25">
      <c r="A95" s="1" t="s">
        <v>190</v>
      </c>
      <c r="B95" s="1" t="s">
        <v>191</v>
      </c>
      <c r="C95" s="1" t="s">
        <v>5</v>
      </c>
    </row>
    <row r="96" spans="1:3" x14ac:dyDescent="0.25">
      <c r="A96" s="1" t="s">
        <v>192</v>
      </c>
      <c r="B96" s="1" t="s">
        <v>193</v>
      </c>
      <c r="C96" s="1" t="s">
        <v>5</v>
      </c>
    </row>
    <row r="97" spans="1:3" x14ac:dyDescent="0.25">
      <c r="A97" s="1" t="s">
        <v>194</v>
      </c>
      <c r="B97" s="1" t="s">
        <v>195</v>
      </c>
      <c r="C97" s="1" t="s">
        <v>5</v>
      </c>
    </row>
    <row r="98" spans="1:3" x14ac:dyDescent="0.25">
      <c r="A98" s="1" t="s">
        <v>196</v>
      </c>
      <c r="B98" s="1" t="s">
        <v>197</v>
      </c>
      <c r="C98" s="1" t="s">
        <v>5</v>
      </c>
    </row>
    <row r="99" spans="1:3" x14ac:dyDescent="0.25">
      <c r="A99" s="1" t="s">
        <v>198</v>
      </c>
      <c r="B99" s="1" t="s">
        <v>199</v>
      </c>
      <c r="C99" s="1" t="s">
        <v>5</v>
      </c>
    </row>
    <row r="100" spans="1:3" x14ac:dyDescent="0.25">
      <c r="A100" s="1" t="s">
        <v>200</v>
      </c>
      <c r="B100" s="1" t="s">
        <v>201</v>
      </c>
      <c r="C100" s="1" t="s">
        <v>5</v>
      </c>
    </row>
    <row r="101" spans="1:3" x14ac:dyDescent="0.25">
      <c r="A101" s="1" t="s">
        <v>202</v>
      </c>
      <c r="B101" s="1" t="s">
        <v>203</v>
      </c>
      <c r="C101" s="1" t="s">
        <v>5</v>
      </c>
    </row>
    <row r="102" spans="1:3" x14ac:dyDescent="0.25">
      <c r="A102" s="1" t="s">
        <v>204</v>
      </c>
      <c r="B102" s="1" t="s">
        <v>205</v>
      </c>
      <c r="C102" s="1" t="s">
        <v>5</v>
      </c>
    </row>
    <row r="103" spans="1:3" x14ac:dyDescent="0.25">
      <c r="A103" s="1" t="s">
        <v>206</v>
      </c>
      <c r="B103" s="1" t="s">
        <v>207</v>
      </c>
      <c r="C103" s="1" t="s">
        <v>5</v>
      </c>
    </row>
    <row r="104" spans="1:3" x14ac:dyDescent="0.25">
      <c r="A104" s="1" t="s">
        <v>208</v>
      </c>
      <c r="B104" s="1" t="s">
        <v>209</v>
      </c>
      <c r="C104" s="1" t="s">
        <v>5</v>
      </c>
    </row>
    <row r="105" spans="1:3" x14ac:dyDescent="0.25">
      <c r="A105" s="1" t="s">
        <v>210</v>
      </c>
      <c r="B105" s="1" t="s">
        <v>211</v>
      </c>
      <c r="C105" s="1" t="s">
        <v>5</v>
      </c>
    </row>
    <row r="106" spans="1:3" x14ac:dyDescent="0.25">
      <c r="A106" s="1" t="s">
        <v>212</v>
      </c>
      <c r="B106" s="1" t="s">
        <v>213</v>
      </c>
      <c r="C106" s="1" t="s">
        <v>5</v>
      </c>
    </row>
    <row r="107" spans="1:3" x14ac:dyDescent="0.25">
      <c r="A107" s="1" t="s">
        <v>214</v>
      </c>
      <c r="B107" s="1" t="s">
        <v>215</v>
      </c>
      <c r="C107" s="1" t="s">
        <v>5</v>
      </c>
    </row>
    <row r="108" spans="1:3" x14ac:dyDescent="0.25">
      <c r="A108" s="1" t="s">
        <v>216</v>
      </c>
      <c r="B108" s="1" t="s">
        <v>217</v>
      </c>
      <c r="C108" s="1" t="s">
        <v>5</v>
      </c>
    </row>
    <row r="109" spans="1:3" x14ac:dyDescent="0.25">
      <c r="A109" s="1" t="s">
        <v>218</v>
      </c>
      <c r="B109" s="1" t="s">
        <v>219</v>
      </c>
      <c r="C109" s="1" t="s">
        <v>5</v>
      </c>
    </row>
    <row r="110" spans="1:3" x14ac:dyDescent="0.25">
      <c r="A110" s="1" t="s">
        <v>220</v>
      </c>
      <c r="B110" s="1" t="s">
        <v>221</v>
      </c>
      <c r="C110" s="1" t="s">
        <v>5</v>
      </c>
    </row>
    <row r="111" spans="1:3" x14ac:dyDescent="0.25">
      <c r="A111" s="1" t="s">
        <v>222</v>
      </c>
      <c r="B111" s="1" t="s">
        <v>223</v>
      </c>
      <c r="C111" s="1" t="s">
        <v>5</v>
      </c>
    </row>
    <row r="112" spans="1:3" x14ac:dyDescent="0.25">
      <c r="A112" s="1" t="s">
        <v>224</v>
      </c>
      <c r="B112" s="1" t="s">
        <v>225</v>
      </c>
      <c r="C112" s="1" t="s">
        <v>5</v>
      </c>
    </row>
    <row r="113" spans="1:3" x14ac:dyDescent="0.25">
      <c r="A113" s="1" t="s">
        <v>226</v>
      </c>
      <c r="B113" s="1" t="s">
        <v>227</v>
      </c>
      <c r="C113" s="1" t="s">
        <v>5</v>
      </c>
    </row>
    <row r="114" spans="1:3" x14ac:dyDescent="0.25">
      <c r="A114" s="1" t="s">
        <v>228</v>
      </c>
      <c r="B114" s="1" t="s">
        <v>229</v>
      </c>
      <c r="C114" s="1" t="s">
        <v>5</v>
      </c>
    </row>
    <row r="115" spans="1:3" x14ac:dyDescent="0.25">
      <c r="A115" s="1" t="s">
        <v>230</v>
      </c>
      <c r="B115" s="1" t="s">
        <v>231</v>
      </c>
      <c r="C115" s="1" t="s">
        <v>5</v>
      </c>
    </row>
    <row r="116" spans="1:3" x14ac:dyDescent="0.25">
      <c r="A116" s="1" t="s">
        <v>232</v>
      </c>
      <c r="B116" s="1" t="s">
        <v>233</v>
      </c>
      <c r="C116" s="1" t="s">
        <v>5</v>
      </c>
    </row>
    <row r="117" spans="1:3" x14ac:dyDescent="0.25">
      <c r="A117" s="1" t="s">
        <v>234</v>
      </c>
      <c r="B117" s="1" t="s">
        <v>235</v>
      </c>
      <c r="C117" s="1" t="s">
        <v>5</v>
      </c>
    </row>
    <row r="118" spans="1:3" x14ac:dyDescent="0.25">
      <c r="A118" s="1" t="s">
        <v>236</v>
      </c>
      <c r="B118" s="1" t="s">
        <v>237</v>
      </c>
      <c r="C118" s="1" t="s">
        <v>5</v>
      </c>
    </row>
    <row r="119" spans="1:3" x14ac:dyDescent="0.25">
      <c r="A119" s="1" t="s">
        <v>238</v>
      </c>
      <c r="B119" s="1" t="s">
        <v>239</v>
      </c>
      <c r="C119" s="1" t="s">
        <v>5</v>
      </c>
    </row>
    <row r="120" spans="1:3" x14ac:dyDescent="0.25">
      <c r="A120" s="1" t="s">
        <v>240</v>
      </c>
      <c r="B120" s="1" t="s">
        <v>241</v>
      </c>
      <c r="C120" s="1" t="s">
        <v>5</v>
      </c>
    </row>
    <row r="121" spans="1:3" x14ac:dyDescent="0.25">
      <c r="A121" s="1" t="s">
        <v>242</v>
      </c>
      <c r="B121" s="1" t="s">
        <v>243</v>
      </c>
      <c r="C121" s="1" t="s">
        <v>5</v>
      </c>
    </row>
    <row r="122" spans="1:3" x14ac:dyDescent="0.25">
      <c r="A122" s="1" t="s">
        <v>244</v>
      </c>
      <c r="B122" s="1" t="s">
        <v>245</v>
      </c>
      <c r="C122" s="1" t="s">
        <v>5</v>
      </c>
    </row>
    <row r="123" spans="1:3" x14ac:dyDescent="0.25">
      <c r="A123" s="1" t="s">
        <v>246</v>
      </c>
      <c r="B123" s="1" t="s">
        <v>247</v>
      </c>
      <c r="C123" s="1" t="s">
        <v>5</v>
      </c>
    </row>
    <row r="124" spans="1:3" x14ac:dyDescent="0.25">
      <c r="A124" s="1" t="s">
        <v>248</v>
      </c>
      <c r="B124" s="1" t="s">
        <v>249</v>
      </c>
      <c r="C124" s="1" t="s">
        <v>5</v>
      </c>
    </row>
    <row r="125" spans="1:3" x14ac:dyDescent="0.25">
      <c r="A125" s="1" t="s">
        <v>250</v>
      </c>
      <c r="B125" s="1" t="s">
        <v>251</v>
      </c>
      <c r="C125" s="1" t="s">
        <v>5</v>
      </c>
    </row>
    <row r="126" spans="1:3" x14ac:dyDescent="0.25">
      <c r="A126" s="1" t="s">
        <v>252</v>
      </c>
      <c r="B126" s="1" t="s">
        <v>253</v>
      </c>
      <c r="C126" s="1" t="s">
        <v>5</v>
      </c>
    </row>
    <row r="127" spans="1:3" x14ac:dyDescent="0.25">
      <c r="A127" s="1" t="s">
        <v>254</v>
      </c>
      <c r="B127" s="1" t="s">
        <v>255</v>
      </c>
      <c r="C127" s="1" t="s">
        <v>5</v>
      </c>
    </row>
    <row r="128" spans="1:3" x14ac:dyDescent="0.25">
      <c r="A128" s="1" t="s">
        <v>256</v>
      </c>
      <c r="B128" s="1" t="s">
        <v>257</v>
      </c>
      <c r="C128" s="1" t="s">
        <v>5</v>
      </c>
    </row>
    <row r="129" spans="1:3" x14ac:dyDescent="0.25">
      <c r="A129" s="1" t="s">
        <v>258</v>
      </c>
      <c r="B129" s="1" t="s">
        <v>259</v>
      </c>
      <c r="C129" s="1" t="s">
        <v>5</v>
      </c>
    </row>
    <row r="130" spans="1:3" x14ac:dyDescent="0.25">
      <c r="A130" s="1" t="s">
        <v>260</v>
      </c>
      <c r="B130" s="1" t="s">
        <v>261</v>
      </c>
      <c r="C130" s="1" t="s">
        <v>5</v>
      </c>
    </row>
    <row r="131" spans="1:3" x14ac:dyDescent="0.25">
      <c r="A131" s="1" t="s">
        <v>262</v>
      </c>
      <c r="B131" s="1" t="s">
        <v>263</v>
      </c>
      <c r="C131" s="1" t="s">
        <v>5</v>
      </c>
    </row>
    <row r="132" spans="1:3" x14ac:dyDescent="0.25">
      <c r="A132" s="1" t="s">
        <v>264</v>
      </c>
      <c r="B132" s="1" t="s">
        <v>265</v>
      </c>
      <c r="C132" s="1" t="s">
        <v>5</v>
      </c>
    </row>
    <row r="133" spans="1:3" x14ac:dyDescent="0.25">
      <c r="A133" s="1" t="s">
        <v>266</v>
      </c>
      <c r="B133" s="1" t="s">
        <v>267</v>
      </c>
      <c r="C133" s="1" t="s">
        <v>5</v>
      </c>
    </row>
    <row r="134" spans="1:3" x14ac:dyDescent="0.25">
      <c r="A134" s="1" t="s">
        <v>268</v>
      </c>
      <c r="B134" s="1" t="s">
        <v>269</v>
      </c>
      <c r="C134" s="1" t="s">
        <v>5</v>
      </c>
    </row>
    <row r="135" spans="1:3" x14ac:dyDescent="0.25">
      <c r="A135" s="1" t="s">
        <v>270</v>
      </c>
      <c r="B135" s="1" t="s">
        <v>271</v>
      </c>
      <c r="C135" s="1" t="s">
        <v>5</v>
      </c>
    </row>
    <row r="136" spans="1:3" x14ac:dyDescent="0.25">
      <c r="A136" s="1" t="s">
        <v>272</v>
      </c>
      <c r="B136" s="1" t="s">
        <v>273</v>
      </c>
      <c r="C136" s="1" t="s">
        <v>5</v>
      </c>
    </row>
    <row r="137" spans="1:3" x14ac:dyDescent="0.25">
      <c r="A137" s="1" t="s">
        <v>274</v>
      </c>
      <c r="B137" s="1" t="s">
        <v>275</v>
      </c>
      <c r="C137" s="1" t="s">
        <v>5</v>
      </c>
    </row>
    <row r="138" spans="1:3" x14ac:dyDescent="0.25">
      <c r="A138" s="1" t="s">
        <v>276</v>
      </c>
      <c r="B138" s="1" t="s">
        <v>277</v>
      </c>
      <c r="C138" s="1" t="s">
        <v>5</v>
      </c>
    </row>
    <row r="139" spans="1:3" x14ac:dyDescent="0.25">
      <c r="A139" s="1" t="s">
        <v>278</v>
      </c>
      <c r="B139" s="1" t="s">
        <v>279</v>
      </c>
      <c r="C139" s="1" t="s">
        <v>5</v>
      </c>
    </row>
    <row r="140" spans="1:3" x14ac:dyDescent="0.25">
      <c r="A140" s="1" t="s">
        <v>280</v>
      </c>
      <c r="B140" s="1" t="s">
        <v>281</v>
      </c>
      <c r="C140" s="1" t="s">
        <v>5</v>
      </c>
    </row>
    <row r="141" spans="1:3" x14ac:dyDescent="0.25">
      <c r="A141" s="1" t="s">
        <v>282</v>
      </c>
      <c r="B141" s="1" t="s">
        <v>283</v>
      </c>
      <c r="C141" s="1" t="s">
        <v>5</v>
      </c>
    </row>
    <row r="142" spans="1:3" x14ac:dyDescent="0.25">
      <c r="A142" s="1" t="s">
        <v>284</v>
      </c>
      <c r="B142" s="1" t="s">
        <v>285</v>
      </c>
      <c r="C142" s="1" t="s">
        <v>5</v>
      </c>
    </row>
    <row r="143" spans="1:3" x14ac:dyDescent="0.25">
      <c r="A143" s="1" t="s">
        <v>286</v>
      </c>
      <c r="B143" s="1" t="s">
        <v>287</v>
      </c>
      <c r="C143" s="1" t="s">
        <v>5</v>
      </c>
    </row>
    <row r="144" spans="1:3" x14ac:dyDescent="0.25">
      <c r="A144" s="1" t="s">
        <v>288</v>
      </c>
      <c r="B144" s="1" t="s">
        <v>289</v>
      </c>
      <c r="C144" s="1" t="s">
        <v>5</v>
      </c>
    </row>
    <row r="145" spans="1:3" x14ac:dyDescent="0.25">
      <c r="A145" s="1" t="s">
        <v>290</v>
      </c>
      <c r="B145" s="1" t="s">
        <v>291</v>
      </c>
      <c r="C145" s="1" t="s">
        <v>5</v>
      </c>
    </row>
    <row r="146" spans="1:3" x14ac:dyDescent="0.25">
      <c r="A146" s="1" t="s">
        <v>292</v>
      </c>
      <c r="B146" s="1" t="s">
        <v>293</v>
      </c>
      <c r="C146" s="1" t="s">
        <v>5</v>
      </c>
    </row>
    <row r="147" spans="1:3" x14ac:dyDescent="0.25">
      <c r="A147" s="1" t="s">
        <v>294</v>
      </c>
      <c r="B147" s="1" t="s">
        <v>295</v>
      </c>
      <c r="C147" s="1" t="s">
        <v>5</v>
      </c>
    </row>
    <row r="148" spans="1:3" x14ac:dyDescent="0.25">
      <c r="A148" s="1" t="s">
        <v>296</v>
      </c>
      <c r="B148" s="1" t="s">
        <v>297</v>
      </c>
      <c r="C148" s="1" t="s">
        <v>5</v>
      </c>
    </row>
    <row r="149" spans="1:3" x14ac:dyDescent="0.25">
      <c r="A149" s="1" t="s">
        <v>298</v>
      </c>
      <c r="B149" s="1" t="s">
        <v>299</v>
      </c>
      <c r="C149" s="1" t="s">
        <v>5</v>
      </c>
    </row>
    <row r="150" spans="1:3" x14ac:dyDescent="0.25">
      <c r="A150" s="1" t="s">
        <v>300</v>
      </c>
      <c r="B150" s="1" t="s">
        <v>301</v>
      </c>
      <c r="C150" s="1" t="s">
        <v>5</v>
      </c>
    </row>
    <row r="151" spans="1:3" x14ac:dyDescent="0.25">
      <c r="A151" s="1" t="s">
        <v>302</v>
      </c>
      <c r="B151" s="1" t="s">
        <v>303</v>
      </c>
      <c r="C151" s="1" t="s">
        <v>5</v>
      </c>
    </row>
    <row r="152" spans="1:3" x14ac:dyDescent="0.25">
      <c r="A152" s="1" t="s">
        <v>304</v>
      </c>
      <c r="B152" s="1" t="s">
        <v>305</v>
      </c>
      <c r="C152" s="1" t="s">
        <v>5</v>
      </c>
    </row>
    <row r="153" spans="1:3" x14ac:dyDescent="0.25">
      <c r="A153" s="1" t="s">
        <v>306</v>
      </c>
      <c r="B153" s="1" t="s">
        <v>307</v>
      </c>
      <c r="C153" s="1" t="s">
        <v>5</v>
      </c>
    </row>
    <row r="154" spans="1:3" x14ac:dyDescent="0.25">
      <c r="A154" s="1" t="s">
        <v>308</v>
      </c>
      <c r="B154" s="1" t="s">
        <v>309</v>
      </c>
      <c r="C154" s="1" t="s">
        <v>5</v>
      </c>
    </row>
    <row r="155" spans="1:3" x14ac:dyDescent="0.25">
      <c r="A155" s="1" t="s">
        <v>310</v>
      </c>
      <c r="B155" s="1" t="s">
        <v>311</v>
      </c>
      <c r="C155" s="1" t="s">
        <v>5</v>
      </c>
    </row>
    <row r="156" spans="1:3" x14ac:dyDescent="0.25">
      <c r="A156" s="1" t="s">
        <v>312</v>
      </c>
      <c r="B156" s="1" t="s">
        <v>313</v>
      </c>
      <c r="C156" s="1" t="s">
        <v>5</v>
      </c>
    </row>
    <row r="157" spans="1:3" x14ac:dyDescent="0.25">
      <c r="A157" s="1" t="s">
        <v>314</v>
      </c>
      <c r="B157" s="1" t="s">
        <v>315</v>
      </c>
      <c r="C157" s="1" t="s">
        <v>5</v>
      </c>
    </row>
    <row r="158" spans="1:3" x14ac:dyDescent="0.25">
      <c r="A158" s="1" t="s">
        <v>316</v>
      </c>
      <c r="B158" s="1" t="s">
        <v>317</v>
      </c>
      <c r="C158" s="1" t="s">
        <v>5</v>
      </c>
    </row>
    <row r="159" spans="1:3" x14ac:dyDescent="0.25">
      <c r="A159" s="1" t="s">
        <v>318</v>
      </c>
      <c r="B159" s="1" t="s">
        <v>319</v>
      </c>
      <c r="C159" s="1" t="s">
        <v>5</v>
      </c>
    </row>
    <row r="160" spans="1:3" x14ac:dyDescent="0.25">
      <c r="A160" s="1" t="s">
        <v>320</v>
      </c>
      <c r="B160" s="1" t="s">
        <v>321</v>
      </c>
      <c r="C160" s="1" t="s">
        <v>5</v>
      </c>
    </row>
    <row r="161" spans="1:3" x14ac:dyDescent="0.25">
      <c r="A161" s="1" t="s">
        <v>322</v>
      </c>
      <c r="B161" s="1" t="s">
        <v>323</v>
      </c>
      <c r="C161" s="1" t="s">
        <v>5</v>
      </c>
    </row>
    <row r="162" spans="1:3" x14ac:dyDescent="0.25">
      <c r="A162" s="1" t="s">
        <v>324</v>
      </c>
      <c r="B162" s="1" t="s">
        <v>325</v>
      </c>
      <c r="C162" s="1" t="s">
        <v>5</v>
      </c>
    </row>
    <row r="163" spans="1:3" x14ac:dyDescent="0.25">
      <c r="A163" s="1" t="s">
        <v>326</v>
      </c>
      <c r="B163" s="1" t="s">
        <v>327</v>
      </c>
      <c r="C163" s="1" t="s">
        <v>5</v>
      </c>
    </row>
    <row r="164" spans="1:3" x14ac:dyDescent="0.25">
      <c r="A164" s="1" t="s">
        <v>328</v>
      </c>
      <c r="B164" s="1" t="s">
        <v>329</v>
      </c>
      <c r="C164" s="1" t="s">
        <v>5</v>
      </c>
    </row>
    <row r="165" spans="1:3" x14ac:dyDescent="0.25">
      <c r="A165" s="1" t="s">
        <v>330</v>
      </c>
      <c r="B165" s="1" t="s">
        <v>331</v>
      </c>
      <c r="C165" s="1" t="s">
        <v>5</v>
      </c>
    </row>
    <row r="166" spans="1:3" x14ac:dyDescent="0.25">
      <c r="A166" s="1" t="s">
        <v>332</v>
      </c>
      <c r="B166" s="1" t="s">
        <v>333</v>
      </c>
      <c r="C166" s="1" t="s">
        <v>5</v>
      </c>
    </row>
    <row r="167" spans="1:3" x14ac:dyDescent="0.25">
      <c r="A167" s="1" t="s">
        <v>334</v>
      </c>
      <c r="B167" s="1" t="s">
        <v>335</v>
      </c>
      <c r="C167" s="1" t="s">
        <v>5</v>
      </c>
    </row>
    <row r="168" spans="1:3" x14ac:dyDescent="0.25">
      <c r="A168" s="1" t="s">
        <v>336</v>
      </c>
      <c r="B168" s="1" t="s">
        <v>337</v>
      </c>
      <c r="C168" s="1" t="s">
        <v>5</v>
      </c>
    </row>
    <row r="169" spans="1:3" x14ac:dyDescent="0.25">
      <c r="A169" s="1" t="s">
        <v>338</v>
      </c>
      <c r="B169" s="1" t="s">
        <v>339</v>
      </c>
      <c r="C169" s="1" t="s">
        <v>5</v>
      </c>
    </row>
    <row r="170" spans="1:3" x14ac:dyDescent="0.25">
      <c r="A170" s="1" t="s">
        <v>340</v>
      </c>
      <c r="B170" s="1" t="s">
        <v>341</v>
      </c>
      <c r="C170" s="1" t="s">
        <v>5</v>
      </c>
    </row>
    <row r="171" spans="1:3" x14ac:dyDescent="0.25">
      <c r="A171" s="1" t="s">
        <v>342</v>
      </c>
      <c r="B171" s="1" t="s">
        <v>343</v>
      </c>
      <c r="C171" s="1" t="s">
        <v>5</v>
      </c>
    </row>
    <row r="172" spans="1:3" x14ac:dyDescent="0.25">
      <c r="A172" s="1" t="s">
        <v>344</v>
      </c>
      <c r="B172" s="1" t="s">
        <v>345</v>
      </c>
      <c r="C172" s="1" t="s">
        <v>5</v>
      </c>
    </row>
    <row r="173" spans="1:3" x14ac:dyDescent="0.25">
      <c r="A173" s="1" t="s">
        <v>346</v>
      </c>
      <c r="B173" s="1" t="s">
        <v>347</v>
      </c>
      <c r="C173" s="1" t="s">
        <v>5</v>
      </c>
    </row>
    <row r="174" spans="1:3" x14ac:dyDescent="0.25">
      <c r="A174" s="1" t="s">
        <v>348</v>
      </c>
      <c r="B174" s="1" t="s">
        <v>349</v>
      </c>
      <c r="C174" s="1" t="s">
        <v>5</v>
      </c>
    </row>
    <row r="175" spans="1:3" x14ac:dyDescent="0.25">
      <c r="A175" s="1" t="s">
        <v>350</v>
      </c>
      <c r="B175" s="1" t="s">
        <v>351</v>
      </c>
      <c r="C175" s="1" t="s">
        <v>5</v>
      </c>
    </row>
    <row r="176" spans="1:3" x14ac:dyDescent="0.25">
      <c r="A176" s="1" t="s">
        <v>352</v>
      </c>
      <c r="B176" s="1" t="s">
        <v>353</v>
      </c>
      <c r="C176" s="1" t="s">
        <v>5</v>
      </c>
    </row>
    <row r="177" spans="1:3" x14ac:dyDescent="0.25">
      <c r="A177" s="1" t="s">
        <v>354</v>
      </c>
      <c r="B177" s="1" t="s">
        <v>355</v>
      </c>
      <c r="C177" s="1" t="s">
        <v>5</v>
      </c>
    </row>
    <row r="178" spans="1:3" x14ac:dyDescent="0.25">
      <c r="A178" s="1" t="s">
        <v>356</v>
      </c>
      <c r="B178" s="1" t="s">
        <v>357</v>
      </c>
      <c r="C178" s="1" t="s">
        <v>5</v>
      </c>
    </row>
    <row r="179" spans="1:3" x14ac:dyDescent="0.25">
      <c r="A179" s="1" t="s">
        <v>358</v>
      </c>
      <c r="B179" s="1" t="s">
        <v>359</v>
      </c>
      <c r="C179" s="1" t="s">
        <v>5</v>
      </c>
    </row>
    <row r="180" spans="1:3" x14ac:dyDescent="0.25">
      <c r="A180" s="1" t="s">
        <v>360</v>
      </c>
      <c r="B180" s="1" t="s">
        <v>361</v>
      </c>
      <c r="C180" s="1" t="s">
        <v>5</v>
      </c>
    </row>
    <row r="181" spans="1:3" x14ac:dyDescent="0.25">
      <c r="A181" s="1" t="s">
        <v>362</v>
      </c>
      <c r="B181" s="1" t="s">
        <v>363</v>
      </c>
      <c r="C181" s="1" t="s">
        <v>5</v>
      </c>
    </row>
    <row r="182" spans="1:3" x14ac:dyDescent="0.25">
      <c r="A182" s="1" t="s">
        <v>364</v>
      </c>
      <c r="B182" s="1" t="s">
        <v>365</v>
      </c>
      <c r="C182" s="1" t="s">
        <v>5</v>
      </c>
    </row>
    <row r="183" spans="1:3" x14ac:dyDescent="0.25">
      <c r="A183" s="1" t="s">
        <v>366</v>
      </c>
      <c r="B183" s="1" t="s">
        <v>367</v>
      </c>
      <c r="C183" s="1" t="s">
        <v>5</v>
      </c>
    </row>
    <row r="184" spans="1:3" x14ac:dyDescent="0.25">
      <c r="A184" s="1" t="s">
        <v>368</v>
      </c>
      <c r="B184" s="1" t="s">
        <v>369</v>
      </c>
      <c r="C184" s="1" t="s">
        <v>5</v>
      </c>
    </row>
    <row r="185" spans="1:3" x14ac:dyDescent="0.25">
      <c r="A185" s="1" t="s">
        <v>370</v>
      </c>
      <c r="B185" s="1" t="s">
        <v>371</v>
      </c>
      <c r="C185" s="1" t="s">
        <v>5</v>
      </c>
    </row>
    <row r="186" spans="1:3" x14ac:dyDescent="0.25">
      <c r="A186" s="1" t="s">
        <v>372</v>
      </c>
      <c r="B186" s="1" t="s">
        <v>373</v>
      </c>
      <c r="C186" s="1" t="s">
        <v>5</v>
      </c>
    </row>
    <row r="187" spans="1:3" x14ac:dyDescent="0.25">
      <c r="A187" s="1" t="s">
        <v>374</v>
      </c>
      <c r="B187" s="1" t="s">
        <v>375</v>
      </c>
      <c r="C187" s="1" t="s">
        <v>5</v>
      </c>
    </row>
    <row r="188" spans="1:3" x14ac:dyDescent="0.25">
      <c r="A188" s="1" t="s">
        <v>376</v>
      </c>
      <c r="B188" s="1" t="s">
        <v>377</v>
      </c>
      <c r="C188" s="1" t="s">
        <v>5</v>
      </c>
    </row>
    <row r="189" spans="1:3" x14ac:dyDescent="0.25">
      <c r="A189" s="1" t="s">
        <v>378</v>
      </c>
      <c r="B189" s="1" t="s">
        <v>379</v>
      </c>
      <c r="C189" s="1" t="s">
        <v>5</v>
      </c>
    </row>
    <row r="190" spans="1:3" x14ac:dyDescent="0.25">
      <c r="A190" s="1" t="s">
        <v>380</v>
      </c>
      <c r="B190" s="1" t="s">
        <v>381</v>
      </c>
      <c r="C190" s="1" t="s">
        <v>5</v>
      </c>
    </row>
    <row r="191" spans="1:3" x14ac:dyDescent="0.25">
      <c r="A191" s="1" t="s">
        <v>382</v>
      </c>
      <c r="B191" s="1" t="s">
        <v>383</v>
      </c>
      <c r="C191" s="1" t="s">
        <v>5</v>
      </c>
    </row>
    <row r="192" spans="1:3" x14ac:dyDescent="0.25">
      <c r="A192" s="1" t="s">
        <v>384</v>
      </c>
      <c r="B192" s="1" t="s">
        <v>385</v>
      </c>
      <c r="C192" s="1" t="s">
        <v>5</v>
      </c>
    </row>
    <row r="193" spans="1:3" x14ac:dyDescent="0.25">
      <c r="A193" s="1" t="s">
        <v>386</v>
      </c>
      <c r="B193" s="1" t="s">
        <v>387</v>
      </c>
      <c r="C193" s="1" t="s">
        <v>5</v>
      </c>
    </row>
    <row r="194" spans="1:3" x14ac:dyDescent="0.25">
      <c r="A194" s="1" t="s">
        <v>388</v>
      </c>
      <c r="B194" s="1" t="s">
        <v>389</v>
      </c>
      <c r="C194" s="1" t="s">
        <v>5</v>
      </c>
    </row>
    <row r="195" spans="1:3" x14ac:dyDescent="0.25">
      <c r="A195" s="1" t="s">
        <v>390</v>
      </c>
      <c r="B195" s="1" t="s">
        <v>391</v>
      </c>
      <c r="C195" s="1" t="s">
        <v>5</v>
      </c>
    </row>
    <row r="196" spans="1:3" x14ac:dyDescent="0.25">
      <c r="A196" s="1" t="s">
        <v>392</v>
      </c>
      <c r="B196" s="1" t="s">
        <v>393</v>
      </c>
      <c r="C196" s="1" t="s">
        <v>5</v>
      </c>
    </row>
    <row r="197" spans="1:3" x14ac:dyDescent="0.25">
      <c r="A197" s="1" t="s">
        <v>394</v>
      </c>
      <c r="B197" s="1" t="s">
        <v>395</v>
      </c>
      <c r="C197" s="1" t="s">
        <v>5</v>
      </c>
    </row>
    <row r="198" spans="1:3" x14ac:dyDescent="0.25">
      <c r="A198" s="1" t="s">
        <v>396</v>
      </c>
      <c r="B198" s="1" t="s">
        <v>397</v>
      </c>
      <c r="C198" s="1" t="s">
        <v>5</v>
      </c>
    </row>
    <row r="199" spans="1:3" x14ac:dyDescent="0.25">
      <c r="A199" s="1" t="s">
        <v>398</v>
      </c>
      <c r="B199" s="1" t="s">
        <v>399</v>
      </c>
      <c r="C199" s="1" t="s">
        <v>5</v>
      </c>
    </row>
    <row r="200" spans="1:3" x14ac:dyDescent="0.25">
      <c r="A200" s="1" t="s">
        <v>400</v>
      </c>
      <c r="B200" s="1" t="s">
        <v>401</v>
      </c>
      <c r="C200" s="1" t="s">
        <v>5</v>
      </c>
    </row>
    <row r="201" spans="1:3" x14ac:dyDescent="0.25">
      <c r="A201" s="1" t="s">
        <v>402</v>
      </c>
      <c r="B201" s="1" t="s">
        <v>403</v>
      </c>
      <c r="C201" s="1" t="s">
        <v>5</v>
      </c>
    </row>
    <row r="202" spans="1:3" x14ac:dyDescent="0.25">
      <c r="A202" s="1" t="s">
        <v>404</v>
      </c>
      <c r="B202" s="1" t="s">
        <v>405</v>
      </c>
      <c r="C202" s="1" t="s">
        <v>5</v>
      </c>
    </row>
    <row r="203" spans="1:3" x14ac:dyDescent="0.25">
      <c r="A203" s="1" t="s">
        <v>406</v>
      </c>
      <c r="B203" s="1" t="s">
        <v>407</v>
      </c>
      <c r="C203" s="1" t="s">
        <v>5</v>
      </c>
    </row>
    <row r="204" spans="1:3" x14ac:dyDescent="0.25">
      <c r="A204" s="1" t="s">
        <v>408</v>
      </c>
      <c r="B204" s="1" t="s">
        <v>409</v>
      </c>
      <c r="C204" s="1" t="s">
        <v>5</v>
      </c>
    </row>
    <row r="205" spans="1:3" x14ac:dyDescent="0.25">
      <c r="A205" s="1" t="s">
        <v>410</v>
      </c>
      <c r="B205" s="1" t="s">
        <v>411</v>
      </c>
      <c r="C205" s="1" t="s">
        <v>5</v>
      </c>
    </row>
    <row r="206" spans="1:3" x14ac:dyDescent="0.25">
      <c r="A206" s="1" t="s">
        <v>412</v>
      </c>
      <c r="B206" s="1" t="s">
        <v>413</v>
      </c>
      <c r="C206" s="1" t="s">
        <v>5</v>
      </c>
    </row>
    <row r="207" spans="1:3" x14ac:dyDescent="0.25">
      <c r="A207" s="1" t="s">
        <v>414</v>
      </c>
      <c r="B207" s="1" t="s">
        <v>415</v>
      </c>
      <c r="C207" s="1" t="s">
        <v>5</v>
      </c>
    </row>
    <row r="208" spans="1:3" x14ac:dyDescent="0.25">
      <c r="A208" s="1" t="s">
        <v>416</v>
      </c>
      <c r="B208" s="1" t="s">
        <v>417</v>
      </c>
      <c r="C208" s="1" t="s">
        <v>5</v>
      </c>
    </row>
    <row r="209" spans="1:3" x14ac:dyDescent="0.25">
      <c r="A209" s="1" t="s">
        <v>418</v>
      </c>
      <c r="B209" s="1" t="s">
        <v>419</v>
      </c>
      <c r="C209" s="1" t="s">
        <v>5</v>
      </c>
    </row>
    <row r="210" spans="1:3" x14ac:dyDescent="0.25">
      <c r="A210" s="1" t="s">
        <v>420</v>
      </c>
      <c r="B210" s="1" t="s">
        <v>421</v>
      </c>
      <c r="C210" s="1" t="s">
        <v>5</v>
      </c>
    </row>
    <row r="211" spans="1:3" x14ac:dyDescent="0.25">
      <c r="A211" s="1" t="s">
        <v>422</v>
      </c>
      <c r="B211" s="1" t="s">
        <v>423</v>
      </c>
      <c r="C211" s="1" t="s">
        <v>5</v>
      </c>
    </row>
    <row r="212" spans="1:3" x14ac:dyDescent="0.25">
      <c r="A212" s="1" t="s">
        <v>424</v>
      </c>
      <c r="B212" s="1" t="s">
        <v>425</v>
      </c>
      <c r="C212" s="1" t="s">
        <v>5</v>
      </c>
    </row>
    <row r="213" spans="1:3" x14ac:dyDescent="0.25">
      <c r="A213" s="1" t="s">
        <v>426</v>
      </c>
      <c r="B213" s="1" t="s">
        <v>427</v>
      </c>
      <c r="C213" s="1" t="s">
        <v>5</v>
      </c>
    </row>
    <row r="214" spans="1:3" x14ac:dyDescent="0.25">
      <c r="A214" s="1" t="s">
        <v>428</v>
      </c>
      <c r="B214" s="1" t="s">
        <v>429</v>
      </c>
      <c r="C214" s="1" t="s">
        <v>5</v>
      </c>
    </row>
    <row r="215" spans="1:3" x14ac:dyDescent="0.25">
      <c r="A215" s="1" t="s">
        <v>430</v>
      </c>
      <c r="B215" s="1" t="s">
        <v>431</v>
      </c>
      <c r="C215" s="1" t="s">
        <v>5</v>
      </c>
    </row>
    <row r="216" spans="1:3" x14ac:dyDescent="0.25">
      <c r="A216" s="1" t="s">
        <v>432</v>
      </c>
      <c r="B216" s="1" t="s">
        <v>433</v>
      </c>
      <c r="C216" s="1" t="s">
        <v>5</v>
      </c>
    </row>
    <row r="217" spans="1:3" x14ac:dyDescent="0.25">
      <c r="A217" s="1" t="s">
        <v>434</v>
      </c>
      <c r="B217" s="1" t="s">
        <v>435</v>
      </c>
      <c r="C217" s="1" t="s">
        <v>5</v>
      </c>
    </row>
    <row r="218" spans="1:3" x14ac:dyDescent="0.25">
      <c r="A218" s="1" t="s">
        <v>436</v>
      </c>
      <c r="B218" s="1" t="s">
        <v>437</v>
      </c>
      <c r="C218" s="1" t="s">
        <v>5</v>
      </c>
    </row>
    <row r="219" spans="1:3" x14ac:dyDescent="0.25">
      <c r="A219" s="1" t="s">
        <v>438</v>
      </c>
      <c r="B219" s="1" t="s">
        <v>439</v>
      </c>
      <c r="C219" s="1" t="s">
        <v>5</v>
      </c>
    </row>
    <row r="220" spans="1:3" x14ac:dyDescent="0.25">
      <c r="A220" s="1" t="s">
        <v>440</v>
      </c>
      <c r="B220" s="1" t="s">
        <v>441</v>
      </c>
      <c r="C220" s="1" t="s">
        <v>5</v>
      </c>
    </row>
    <row r="221" spans="1:3" x14ac:dyDescent="0.25">
      <c r="A221" s="1" t="s">
        <v>442</v>
      </c>
      <c r="B221" s="1" t="s">
        <v>443</v>
      </c>
      <c r="C221" s="1" t="s">
        <v>5</v>
      </c>
    </row>
    <row r="222" spans="1:3" x14ac:dyDescent="0.25">
      <c r="A222" s="1" t="s">
        <v>444</v>
      </c>
      <c r="B222" s="1" t="s">
        <v>445</v>
      </c>
      <c r="C222" s="1" t="s">
        <v>5</v>
      </c>
    </row>
    <row r="223" spans="1:3" x14ac:dyDescent="0.25">
      <c r="A223" s="1" t="s">
        <v>446</v>
      </c>
      <c r="B223" s="1" t="s">
        <v>447</v>
      </c>
      <c r="C223" s="1" t="s">
        <v>448</v>
      </c>
    </row>
    <row r="224" spans="1:3" x14ac:dyDescent="0.25">
      <c r="A224" s="1" t="s">
        <v>449</v>
      </c>
      <c r="B224" s="1" t="s">
        <v>450</v>
      </c>
      <c r="C224" s="1" t="s">
        <v>448</v>
      </c>
    </row>
    <row r="225" spans="1:3" x14ac:dyDescent="0.25">
      <c r="A225" s="1" t="s">
        <v>451</v>
      </c>
      <c r="B225" s="1" t="s">
        <v>452</v>
      </c>
      <c r="C225" s="1" t="s">
        <v>5</v>
      </c>
    </row>
    <row r="226" spans="1:3" x14ac:dyDescent="0.25">
      <c r="A226" s="1" t="s">
        <v>453</v>
      </c>
      <c r="B226" s="1" t="s">
        <v>454</v>
      </c>
      <c r="C226" s="1" t="s">
        <v>448</v>
      </c>
    </row>
    <row r="227" spans="1:3" x14ac:dyDescent="0.25">
      <c r="A227" s="1" t="s">
        <v>455</v>
      </c>
      <c r="B227" s="1" t="s">
        <v>456</v>
      </c>
      <c r="C227" s="1" t="s">
        <v>5</v>
      </c>
    </row>
    <row r="228" spans="1:3" x14ac:dyDescent="0.25">
      <c r="A228" s="1" t="s">
        <v>457</v>
      </c>
      <c r="B228" s="1" t="s">
        <v>458</v>
      </c>
      <c r="C228" s="1" t="s">
        <v>5</v>
      </c>
    </row>
    <row r="229" spans="1:3" x14ac:dyDescent="0.25">
      <c r="A229" s="1" t="s">
        <v>459</v>
      </c>
      <c r="B229" s="1" t="s">
        <v>460</v>
      </c>
      <c r="C229" s="1" t="s">
        <v>5</v>
      </c>
    </row>
    <row r="230" spans="1:3" x14ac:dyDescent="0.25">
      <c r="A230" s="1" t="s">
        <v>461</v>
      </c>
      <c r="B230" s="1" t="s">
        <v>462</v>
      </c>
      <c r="C230" s="1" t="s">
        <v>5</v>
      </c>
    </row>
    <row r="231" spans="1:3" x14ac:dyDescent="0.25">
      <c r="A231" s="1" t="s">
        <v>463</v>
      </c>
      <c r="B231" s="1" t="s">
        <v>464</v>
      </c>
      <c r="C231" s="1" t="s">
        <v>5</v>
      </c>
    </row>
    <row r="232" spans="1:3" x14ac:dyDescent="0.25">
      <c r="A232" s="1" t="s">
        <v>465</v>
      </c>
      <c r="B232" s="1" t="s">
        <v>466</v>
      </c>
      <c r="C232" s="1" t="s">
        <v>5</v>
      </c>
    </row>
    <row r="233" spans="1:3" x14ac:dyDescent="0.25">
      <c r="A233" s="1" t="s">
        <v>467</v>
      </c>
      <c r="B233" s="1" t="s">
        <v>468</v>
      </c>
      <c r="C233" s="1" t="s">
        <v>5</v>
      </c>
    </row>
    <row r="234" spans="1:3" x14ac:dyDescent="0.25">
      <c r="A234" s="1" t="s">
        <v>469</v>
      </c>
      <c r="B234" s="1" t="s">
        <v>470</v>
      </c>
      <c r="C234" s="1" t="s">
        <v>5</v>
      </c>
    </row>
    <row r="235" spans="1:3" x14ac:dyDescent="0.25">
      <c r="A235" s="1" t="s">
        <v>471</v>
      </c>
      <c r="B235" s="1" t="s">
        <v>472</v>
      </c>
      <c r="C235" s="1" t="s">
        <v>5</v>
      </c>
    </row>
    <row r="236" spans="1:3" x14ac:dyDescent="0.25">
      <c r="A236" s="1" t="s">
        <v>473</v>
      </c>
      <c r="B236" s="1" t="s">
        <v>474</v>
      </c>
      <c r="C236" s="1" t="s">
        <v>5</v>
      </c>
    </row>
    <row r="237" spans="1:3" x14ac:dyDescent="0.25">
      <c r="A237" s="1" t="s">
        <v>475</v>
      </c>
      <c r="B237" s="1" t="s">
        <v>476</v>
      </c>
      <c r="C237" s="1" t="s">
        <v>5</v>
      </c>
    </row>
    <row r="238" spans="1:3" x14ac:dyDescent="0.25">
      <c r="A238" s="1" t="s">
        <v>477</v>
      </c>
      <c r="B238" s="1" t="s">
        <v>478</v>
      </c>
      <c r="C238" s="1" t="s">
        <v>5</v>
      </c>
    </row>
    <row r="239" spans="1:3" x14ac:dyDescent="0.25">
      <c r="A239" s="1" t="s">
        <v>479</v>
      </c>
      <c r="B239" s="1" t="s">
        <v>480</v>
      </c>
      <c r="C239" s="1" t="s">
        <v>5</v>
      </c>
    </row>
    <row r="240" spans="1:3" x14ac:dyDescent="0.25">
      <c r="A240" s="1" t="s">
        <v>481</v>
      </c>
      <c r="B240" s="1" t="s">
        <v>482</v>
      </c>
      <c r="C240" s="1" t="s">
        <v>5</v>
      </c>
    </row>
    <row r="241" spans="1:3" x14ac:dyDescent="0.25">
      <c r="A241" s="1" t="s">
        <v>483</v>
      </c>
      <c r="B241" s="1" t="s">
        <v>484</v>
      </c>
      <c r="C241" s="1" t="s">
        <v>5</v>
      </c>
    </row>
    <row r="242" spans="1:3" x14ac:dyDescent="0.25">
      <c r="A242" s="1" t="s">
        <v>485</v>
      </c>
      <c r="B242" s="1" t="s">
        <v>486</v>
      </c>
      <c r="C242" s="1" t="s">
        <v>5</v>
      </c>
    </row>
    <row r="243" spans="1:3" x14ac:dyDescent="0.25">
      <c r="A243" s="1" t="s">
        <v>487</v>
      </c>
      <c r="B243" s="1" t="s">
        <v>488</v>
      </c>
      <c r="C243" s="1" t="s">
        <v>5</v>
      </c>
    </row>
    <row r="244" spans="1:3" x14ac:dyDescent="0.25">
      <c r="A244" s="1" t="s">
        <v>489</v>
      </c>
      <c r="B244" s="1" t="s">
        <v>490</v>
      </c>
      <c r="C244" s="1" t="s">
        <v>5</v>
      </c>
    </row>
    <row r="245" spans="1:3" x14ac:dyDescent="0.25">
      <c r="A245" s="1" t="s">
        <v>491</v>
      </c>
      <c r="B245" s="1" t="s">
        <v>492</v>
      </c>
      <c r="C245" s="1" t="s">
        <v>5</v>
      </c>
    </row>
    <row r="246" spans="1:3" x14ac:dyDescent="0.25">
      <c r="A246" s="1" t="s">
        <v>493</v>
      </c>
      <c r="B246" s="1" t="s">
        <v>494</v>
      </c>
      <c r="C246" s="1" t="s">
        <v>5</v>
      </c>
    </row>
    <row r="247" spans="1:3" x14ac:dyDescent="0.25">
      <c r="A247" s="1" t="s">
        <v>495</v>
      </c>
      <c r="B247" s="1" t="s">
        <v>496</v>
      </c>
      <c r="C247" s="1" t="s">
        <v>5</v>
      </c>
    </row>
    <row r="248" spans="1:3" x14ac:dyDescent="0.25">
      <c r="A248" s="1" t="s">
        <v>497</v>
      </c>
      <c r="B248" s="1" t="s">
        <v>498</v>
      </c>
      <c r="C248" s="1" t="s">
        <v>5</v>
      </c>
    </row>
    <row r="249" spans="1:3" x14ac:dyDescent="0.25">
      <c r="A249" s="1" t="s">
        <v>499</v>
      </c>
      <c r="B249" s="1" t="s">
        <v>500</v>
      </c>
      <c r="C249" s="1" t="s">
        <v>5</v>
      </c>
    </row>
    <row r="250" spans="1:3" x14ac:dyDescent="0.25">
      <c r="A250" s="1" t="s">
        <v>501</v>
      </c>
      <c r="B250" s="1" t="s">
        <v>502</v>
      </c>
      <c r="C250" s="1" t="s">
        <v>5</v>
      </c>
    </row>
    <row r="251" spans="1:3" x14ac:dyDescent="0.25">
      <c r="A251" s="1" t="s">
        <v>503</v>
      </c>
      <c r="B251" s="1" t="s">
        <v>504</v>
      </c>
      <c r="C251" s="1" t="s">
        <v>5</v>
      </c>
    </row>
    <row r="252" spans="1:3" x14ac:dyDescent="0.25">
      <c r="A252" s="1" t="s">
        <v>505</v>
      </c>
      <c r="B252" s="1" t="s">
        <v>506</v>
      </c>
      <c r="C252" s="1" t="s">
        <v>5</v>
      </c>
    </row>
    <row r="253" spans="1:3" x14ac:dyDescent="0.25">
      <c r="A253" s="1" t="s">
        <v>507</v>
      </c>
      <c r="B253" s="1" t="s">
        <v>508</v>
      </c>
      <c r="C253" s="1" t="s">
        <v>5</v>
      </c>
    </row>
    <row r="254" spans="1:3" x14ac:dyDescent="0.25">
      <c r="A254" s="1" t="s">
        <v>509</v>
      </c>
      <c r="B254" s="1" t="s">
        <v>510</v>
      </c>
      <c r="C254" s="1" t="s">
        <v>5</v>
      </c>
    </row>
    <row r="255" spans="1:3" x14ac:dyDescent="0.25">
      <c r="A255" s="1" t="s">
        <v>511</v>
      </c>
      <c r="B255" s="1" t="s">
        <v>512</v>
      </c>
      <c r="C255" s="1" t="s">
        <v>5</v>
      </c>
    </row>
    <row r="256" spans="1:3" x14ac:dyDescent="0.25">
      <c r="A256" s="1" t="s">
        <v>513</v>
      </c>
      <c r="B256" s="1" t="s">
        <v>514</v>
      </c>
      <c r="C256" s="1" t="s">
        <v>5</v>
      </c>
    </row>
    <row r="257" spans="1:3" x14ac:dyDescent="0.25">
      <c r="A257" s="1" t="s">
        <v>515</v>
      </c>
      <c r="B257" s="1" t="s">
        <v>516</v>
      </c>
      <c r="C257" s="1" t="s">
        <v>5</v>
      </c>
    </row>
    <row r="258" spans="1:3" x14ac:dyDescent="0.25">
      <c r="A258" s="1" t="s">
        <v>517</v>
      </c>
      <c r="B258" s="1" t="s">
        <v>518</v>
      </c>
      <c r="C258" s="1" t="s">
        <v>5</v>
      </c>
    </row>
    <row r="259" spans="1:3" x14ac:dyDescent="0.25">
      <c r="A259" s="1" t="s">
        <v>519</v>
      </c>
      <c r="B259" s="1" t="s">
        <v>520</v>
      </c>
      <c r="C259" s="1" t="s">
        <v>5</v>
      </c>
    </row>
    <row r="260" spans="1:3" x14ac:dyDescent="0.25">
      <c r="A260" s="1" t="s">
        <v>521</v>
      </c>
      <c r="B260" s="1" t="s">
        <v>522</v>
      </c>
      <c r="C260" s="1" t="s">
        <v>5</v>
      </c>
    </row>
    <row r="261" spans="1:3" x14ac:dyDescent="0.25">
      <c r="A261" s="1" t="s">
        <v>523</v>
      </c>
      <c r="B261" s="1" t="s">
        <v>524</v>
      </c>
      <c r="C261" s="1" t="s">
        <v>5</v>
      </c>
    </row>
    <row r="262" spans="1:3" x14ac:dyDescent="0.25">
      <c r="A262" s="1" t="s">
        <v>525</v>
      </c>
      <c r="B262" s="1" t="s">
        <v>526</v>
      </c>
      <c r="C262" s="1" t="s">
        <v>5</v>
      </c>
    </row>
    <row r="263" spans="1:3" x14ac:dyDescent="0.25">
      <c r="A263" s="1" t="s">
        <v>527</v>
      </c>
      <c r="B263" s="1" t="s">
        <v>528</v>
      </c>
      <c r="C263" s="1" t="s">
        <v>5</v>
      </c>
    </row>
    <row r="264" spans="1:3" x14ac:dyDescent="0.25">
      <c r="A264" s="1" t="s">
        <v>529</v>
      </c>
      <c r="B264" s="1" t="s">
        <v>530</v>
      </c>
      <c r="C264" s="1" t="s">
        <v>5</v>
      </c>
    </row>
    <row r="265" spans="1:3" x14ac:dyDescent="0.25">
      <c r="A265" s="1" t="s">
        <v>531</v>
      </c>
      <c r="B265" s="1" t="s">
        <v>532</v>
      </c>
      <c r="C265" s="1" t="s">
        <v>5</v>
      </c>
    </row>
    <row r="266" spans="1:3" x14ac:dyDescent="0.25">
      <c r="A266" s="1" t="s">
        <v>533</v>
      </c>
      <c r="B266" s="1" t="s">
        <v>534</v>
      </c>
      <c r="C266" s="1" t="s">
        <v>5</v>
      </c>
    </row>
    <row r="267" spans="1:3" x14ac:dyDescent="0.25">
      <c r="A267" s="1" t="s">
        <v>535</v>
      </c>
      <c r="B267" s="1" t="s">
        <v>536</v>
      </c>
      <c r="C267" s="1" t="s">
        <v>5</v>
      </c>
    </row>
    <row r="268" spans="1:3" x14ac:dyDescent="0.25">
      <c r="A268" s="1" t="s">
        <v>537</v>
      </c>
      <c r="B268" s="1" t="s">
        <v>538</v>
      </c>
      <c r="C268" s="1" t="s">
        <v>5</v>
      </c>
    </row>
    <row r="269" spans="1:3" x14ac:dyDescent="0.25">
      <c r="A269" s="1" t="s">
        <v>539</v>
      </c>
      <c r="B269" s="1" t="s">
        <v>540</v>
      </c>
      <c r="C269" s="1" t="s">
        <v>5</v>
      </c>
    </row>
    <row r="270" spans="1:3" x14ac:dyDescent="0.25">
      <c r="A270" s="1" t="s">
        <v>541</v>
      </c>
      <c r="B270" s="1" t="s">
        <v>542</v>
      </c>
      <c r="C270" s="1" t="s">
        <v>5</v>
      </c>
    </row>
    <row r="271" spans="1:3" x14ac:dyDescent="0.25">
      <c r="A271" s="1" t="s">
        <v>543</v>
      </c>
      <c r="B271" s="1" t="s">
        <v>544</v>
      </c>
      <c r="C271" s="1" t="s">
        <v>5</v>
      </c>
    </row>
    <row r="272" spans="1:3" x14ac:dyDescent="0.25">
      <c r="A272" s="1" t="s">
        <v>545</v>
      </c>
      <c r="B272" s="1" t="s">
        <v>546</v>
      </c>
      <c r="C272" s="1" t="s">
        <v>5</v>
      </c>
    </row>
    <row r="273" spans="1:3" x14ac:dyDescent="0.25">
      <c r="A273" s="1" t="s">
        <v>547</v>
      </c>
      <c r="B273" s="1" t="s">
        <v>548</v>
      </c>
      <c r="C273" s="1" t="s">
        <v>5</v>
      </c>
    </row>
    <row r="274" spans="1:3" x14ac:dyDescent="0.25">
      <c r="A274" s="1" t="s">
        <v>549</v>
      </c>
      <c r="B274" s="1" t="s">
        <v>550</v>
      </c>
      <c r="C274" s="1" t="s">
        <v>5</v>
      </c>
    </row>
    <row r="275" spans="1:3" x14ac:dyDescent="0.25">
      <c r="A275" s="1" t="s">
        <v>551</v>
      </c>
      <c r="B275" s="1" t="s">
        <v>552</v>
      </c>
      <c r="C275" s="1" t="s">
        <v>5</v>
      </c>
    </row>
    <row r="276" spans="1:3" x14ac:dyDescent="0.25">
      <c r="A276" s="1" t="s">
        <v>553</v>
      </c>
      <c r="B276" s="1" t="s">
        <v>554</v>
      </c>
      <c r="C276" s="1" t="s">
        <v>5</v>
      </c>
    </row>
    <row r="277" spans="1:3" x14ac:dyDescent="0.25">
      <c r="A277" s="1" t="s">
        <v>555</v>
      </c>
      <c r="B277" s="1" t="s">
        <v>556</v>
      </c>
      <c r="C277" s="1" t="s">
        <v>5</v>
      </c>
    </row>
    <row r="278" spans="1:3" x14ac:dyDescent="0.25">
      <c r="A278" s="1" t="s">
        <v>557</v>
      </c>
      <c r="B278" s="1" t="s">
        <v>558</v>
      </c>
      <c r="C278" s="1" t="s">
        <v>5</v>
      </c>
    </row>
    <row r="279" spans="1:3" x14ac:dyDescent="0.25">
      <c r="A279" s="1" t="s">
        <v>559</v>
      </c>
      <c r="B279" s="1" t="s">
        <v>560</v>
      </c>
      <c r="C279" s="1" t="s">
        <v>5</v>
      </c>
    </row>
    <row r="280" spans="1:3" x14ac:dyDescent="0.25">
      <c r="A280" s="1" t="s">
        <v>561</v>
      </c>
      <c r="B280" s="1" t="s">
        <v>562</v>
      </c>
      <c r="C280" s="1" t="s">
        <v>5</v>
      </c>
    </row>
    <row r="281" spans="1:3" x14ac:dyDescent="0.25">
      <c r="A281" s="1" t="s">
        <v>563</v>
      </c>
      <c r="B281" s="1" t="s">
        <v>564</v>
      </c>
      <c r="C281" s="1" t="s">
        <v>5</v>
      </c>
    </row>
    <row r="282" spans="1:3" x14ac:dyDescent="0.25">
      <c r="A282" s="1" t="s">
        <v>565</v>
      </c>
      <c r="B282" s="1" t="s">
        <v>566</v>
      </c>
      <c r="C282" s="1" t="s">
        <v>5</v>
      </c>
    </row>
    <row r="283" spans="1:3" x14ac:dyDescent="0.25">
      <c r="A283" s="1" t="s">
        <v>567</v>
      </c>
      <c r="B283" s="1" t="s">
        <v>568</v>
      </c>
      <c r="C283" s="1" t="s">
        <v>5</v>
      </c>
    </row>
    <row r="284" spans="1:3" x14ac:dyDescent="0.25">
      <c r="A284" s="1" t="s">
        <v>569</v>
      </c>
      <c r="B284" s="1" t="s">
        <v>570</v>
      </c>
      <c r="C284" s="1" t="s">
        <v>5</v>
      </c>
    </row>
    <row r="285" spans="1:3" x14ac:dyDescent="0.25">
      <c r="A285" s="1" t="s">
        <v>571</v>
      </c>
      <c r="B285" s="1" t="s">
        <v>572</v>
      </c>
      <c r="C285" s="1" t="s">
        <v>5</v>
      </c>
    </row>
    <row r="286" spans="1:3" x14ac:dyDescent="0.25">
      <c r="A286" s="1" t="s">
        <v>573</v>
      </c>
      <c r="B286" s="1" t="s">
        <v>574</v>
      </c>
      <c r="C286" s="1" t="s">
        <v>5</v>
      </c>
    </row>
    <row r="287" spans="1:3" x14ac:dyDescent="0.25">
      <c r="A287" s="1" t="s">
        <v>575</v>
      </c>
      <c r="B287" s="1" t="s">
        <v>576</v>
      </c>
      <c r="C287" s="1" t="s">
        <v>5</v>
      </c>
    </row>
    <row r="288" spans="1:3" x14ac:dyDescent="0.25">
      <c r="A288" s="1" t="s">
        <v>577</v>
      </c>
      <c r="B288" s="1" t="s">
        <v>578</v>
      </c>
      <c r="C288" s="1" t="s">
        <v>5</v>
      </c>
    </row>
    <row r="289" spans="1:3" x14ac:dyDescent="0.25">
      <c r="A289" s="1" t="s">
        <v>579</v>
      </c>
      <c r="B289" s="1" t="s">
        <v>580</v>
      </c>
      <c r="C289" s="1" t="s">
        <v>5</v>
      </c>
    </row>
    <row r="290" spans="1:3" x14ac:dyDescent="0.25">
      <c r="A290" s="1" t="s">
        <v>581</v>
      </c>
      <c r="B290" s="1" t="s">
        <v>582</v>
      </c>
      <c r="C290" s="1" t="s">
        <v>5</v>
      </c>
    </row>
    <row r="291" spans="1:3" x14ac:dyDescent="0.25">
      <c r="A291" s="1" t="s">
        <v>583</v>
      </c>
      <c r="B291" s="1" t="s">
        <v>584</v>
      </c>
      <c r="C291" s="1" t="s">
        <v>5</v>
      </c>
    </row>
    <row r="292" spans="1:3" x14ac:dyDescent="0.25">
      <c r="A292" s="1" t="s">
        <v>585</v>
      </c>
      <c r="B292" s="1" t="s">
        <v>586</v>
      </c>
      <c r="C292" s="1" t="s">
        <v>5</v>
      </c>
    </row>
    <row r="293" spans="1:3" x14ac:dyDescent="0.25">
      <c r="A293" s="1" t="s">
        <v>587</v>
      </c>
      <c r="B293" s="1" t="s">
        <v>588</v>
      </c>
      <c r="C293" s="1" t="s">
        <v>5</v>
      </c>
    </row>
    <row r="294" spans="1:3" x14ac:dyDescent="0.25">
      <c r="A294" s="1" t="s">
        <v>589</v>
      </c>
      <c r="B294" s="1" t="s">
        <v>590</v>
      </c>
      <c r="C294" s="1" t="s">
        <v>5</v>
      </c>
    </row>
    <row r="295" spans="1:3" x14ac:dyDescent="0.25">
      <c r="A295" s="1" t="s">
        <v>591</v>
      </c>
      <c r="B295" s="1" t="s">
        <v>592</v>
      </c>
      <c r="C295" s="1" t="s">
        <v>5</v>
      </c>
    </row>
    <row r="296" spans="1:3" x14ac:dyDescent="0.25">
      <c r="A296" s="1" t="s">
        <v>593</v>
      </c>
      <c r="B296" s="1" t="s">
        <v>594</v>
      </c>
      <c r="C296" s="1" t="s">
        <v>5</v>
      </c>
    </row>
    <row r="297" spans="1:3" x14ac:dyDescent="0.25">
      <c r="A297" s="1" t="s">
        <v>595</v>
      </c>
      <c r="B297" s="1" t="s">
        <v>596</v>
      </c>
      <c r="C297" s="1" t="s">
        <v>5</v>
      </c>
    </row>
    <row r="298" spans="1:3" x14ac:dyDescent="0.25">
      <c r="A298" s="1" t="s">
        <v>597</v>
      </c>
      <c r="B298" s="1" t="s">
        <v>598</v>
      </c>
      <c r="C298" s="1" t="s">
        <v>5</v>
      </c>
    </row>
    <row r="299" spans="1:3" x14ac:dyDescent="0.25">
      <c r="A299" s="1" t="s">
        <v>599</v>
      </c>
      <c r="B299" s="1" t="s">
        <v>600</v>
      </c>
      <c r="C299" s="1" t="s">
        <v>5</v>
      </c>
    </row>
    <row r="300" spans="1:3" x14ac:dyDescent="0.25">
      <c r="A300" s="1" t="s">
        <v>601</v>
      </c>
      <c r="B300" s="1" t="s">
        <v>602</v>
      </c>
      <c r="C300" s="1" t="s">
        <v>5</v>
      </c>
    </row>
    <row r="301" spans="1:3" x14ac:dyDescent="0.25">
      <c r="A301" s="1" t="s">
        <v>603</v>
      </c>
      <c r="B301" s="1" t="s">
        <v>604</v>
      </c>
      <c r="C301" s="1" t="s">
        <v>5</v>
      </c>
    </row>
    <row r="302" spans="1:3" x14ac:dyDescent="0.25">
      <c r="A302" s="1" t="s">
        <v>605</v>
      </c>
      <c r="B302" s="1" t="s">
        <v>606</v>
      </c>
      <c r="C302" s="1" t="s">
        <v>5</v>
      </c>
    </row>
    <row r="303" spans="1:3" x14ac:dyDescent="0.25">
      <c r="A303" s="1" t="s">
        <v>607</v>
      </c>
      <c r="B303" s="1" t="s">
        <v>608</v>
      </c>
      <c r="C303" s="1" t="s">
        <v>5</v>
      </c>
    </row>
    <row r="304" spans="1:3" x14ac:dyDescent="0.25">
      <c r="A304" s="1" t="s">
        <v>609</v>
      </c>
      <c r="B304" s="1" t="s">
        <v>610</v>
      </c>
      <c r="C304" s="1" t="s">
        <v>5</v>
      </c>
    </row>
    <row r="305" spans="1:3" x14ac:dyDescent="0.25">
      <c r="A305" s="1" t="s">
        <v>611</v>
      </c>
      <c r="B305" s="1" t="s">
        <v>612</v>
      </c>
      <c r="C305" s="1" t="s">
        <v>5</v>
      </c>
    </row>
    <row r="306" spans="1:3" x14ac:dyDescent="0.25">
      <c r="A306" s="1" t="s">
        <v>613</v>
      </c>
      <c r="B306" s="1" t="s">
        <v>614</v>
      </c>
      <c r="C306" s="1" t="s">
        <v>5</v>
      </c>
    </row>
    <row r="307" spans="1:3" x14ac:dyDescent="0.25">
      <c r="A307" s="1" t="s">
        <v>615</v>
      </c>
      <c r="B307" s="1" t="s">
        <v>616</v>
      </c>
      <c r="C307" s="1" t="s">
        <v>5</v>
      </c>
    </row>
    <row r="308" spans="1:3" x14ac:dyDescent="0.25">
      <c r="A308" s="1" t="s">
        <v>617</v>
      </c>
      <c r="B308" s="1" t="s">
        <v>618</v>
      </c>
      <c r="C308" s="1" t="s">
        <v>5</v>
      </c>
    </row>
    <row r="309" spans="1:3" x14ac:dyDescent="0.25">
      <c r="A309" s="1" t="s">
        <v>619</v>
      </c>
      <c r="B309" s="1" t="s">
        <v>620</v>
      </c>
      <c r="C309" s="1" t="s">
        <v>5</v>
      </c>
    </row>
    <row r="310" spans="1:3" x14ac:dyDescent="0.25">
      <c r="A310" s="1" t="s">
        <v>621</v>
      </c>
      <c r="B310" s="1" t="s">
        <v>622</v>
      </c>
      <c r="C310" s="1" t="s">
        <v>5</v>
      </c>
    </row>
    <row r="311" spans="1:3" x14ac:dyDescent="0.25">
      <c r="A311" s="1" t="s">
        <v>623</v>
      </c>
      <c r="B311" s="1" t="s">
        <v>624</v>
      </c>
      <c r="C311" s="1" t="s">
        <v>5</v>
      </c>
    </row>
    <row r="312" spans="1:3" x14ac:dyDescent="0.25">
      <c r="A312" s="1" t="s">
        <v>625</v>
      </c>
      <c r="B312" s="1" t="s">
        <v>626</v>
      </c>
      <c r="C312" s="1" t="s">
        <v>5</v>
      </c>
    </row>
    <row r="313" spans="1:3" x14ac:dyDescent="0.25">
      <c r="A313" s="1" t="s">
        <v>627</v>
      </c>
      <c r="B313" s="1" t="s">
        <v>628</v>
      </c>
      <c r="C313" s="1" t="s">
        <v>5</v>
      </c>
    </row>
    <row r="314" spans="1:3" x14ac:dyDescent="0.25">
      <c r="A314" s="1" t="s">
        <v>629</v>
      </c>
      <c r="B314" s="1" t="s">
        <v>630</v>
      </c>
      <c r="C314" s="1" t="s">
        <v>5</v>
      </c>
    </row>
    <row r="315" spans="1:3" x14ac:dyDescent="0.25">
      <c r="A315" s="1" t="s">
        <v>631</v>
      </c>
      <c r="B315" s="1" t="s">
        <v>632</v>
      </c>
      <c r="C315" s="1" t="s">
        <v>5</v>
      </c>
    </row>
    <row r="316" spans="1:3" x14ac:dyDescent="0.25">
      <c r="A316" s="1" t="s">
        <v>633</v>
      </c>
      <c r="B316" s="1" t="s">
        <v>634</v>
      </c>
      <c r="C316" s="1" t="s">
        <v>5</v>
      </c>
    </row>
    <row r="317" spans="1:3" x14ac:dyDescent="0.25">
      <c r="A317" s="1" t="s">
        <v>635</v>
      </c>
      <c r="B317" s="1" t="s">
        <v>636</v>
      </c>
      <c r="C317" s="1" t="s">
        <v>5</v>
      </c>
    </row>
    <row r="318" spans="1:3" x14ac:dyDescent="0.25">
      <c r="A318" s="1" t="s">
        <v>637</v>
      </c>
      <c r="B318" s="1" t="s">
        <v>638</v>
      </c>
      <c r="C318" s="1" t="s">
        <v>5</v>
      </c>
    </row>
    <row r="319" spans="1:3" x14ac:dyDescent="0.25">
      <c r="A319" s="1" t="s">
        <v>639</v>
      </c>
      <c r="B319" s="1" t="s">
        <v>640</v>
      </c>
      <c r="C319" s="1" t="s">
        <v>5</v>
      </c>
    </row>
    <row r="320" spans="1:3" x14ac:dyDescent="0.25">
      <c r="A320" s="1" t="s">
        <v>641</v>
      </c>
      <c r="B320" s="1" t="s">
        <v>642</v>
      </c>
      <c r="C320" s="1" t="s">
        <v>5</v>
      </c>
    </row>
    <row r="321" spans="1:3" x14ac:dyDescent="0.25">
      <c r="A321" s="1" t="s">
        <v>643</v>
      </c>
      <c r="B321" s="1" t="s">
        <v>644</v>
      </c>
      <c r="C321" s="1" t="s">
        <v>5</v>
      </c>
    </row>
    <row r="322" spans="1:3" x14ac:dyDescent="0.25">
      <c r="A322" s="1" t="s">
        <v>645</v>
      </c>
      <c r="B322" s="1" t="s">
        <v>646</v>
      </c>
      <c r="C322" s="1" t="s">
        <v>5</v>
      </c>
    </row>
    <row r="323" spans="1:3" x14ac:dyDescent="0.25">
      <c r="A323" s="1" t="s">
        <v>647</v>
      </c>
      <c r="B323" s="1" t="s">
        <v>648</v>
      </c>
      <c r="C323" s="1" t="s">
        <v>5</v>
      </c>
    </row>
    <row r="324" spans="1:3" x14ac:dyDescent="0.25">
      <c r="A324" s="1" t="s">
        <v>649</v>
      </c>
      <c r="B324" s="1" t="s">
        <v>650</v>
      </c>
      <c r="C324" s="1" t="s">
        <v>5</v>
      </c>
    </row>
    <row r="325" spans="1:3" x14ac:dyDescent="0.25">
      <c r="A325" s="1" t="s">
        <v>651</v>
      </c>
      <c r="B325" s="1" t="s">
        <v>652</v>
      </c>
      <c r="C325" s="1" t="s">
        <v>5</v>
      </c>
    </row>
    <row r="326" spans="1:3" x14ac:dyDescent="0.25">
      <c r="A326" s="1" t="s">
        <v>653</v>
      </c>
      <c r="B326" s="1" t="s">
        <v>654</v>
      </c>
      <c r="C326" s="1" t="s">
        <v>5</v>
      </c>
    </row>
    <row r="327" spans="1:3" x14ac:dyDescent="0.25">
      <c r="A327" s="1" t="s">
        <v>655</v>
      </c>
      <c r="B327" s="1" t="s">
        <v>656</v>
      </c>
      <c r="C327" s="1" t="s">
        <v>5</v>
      </c>
    </row>
    <row r="328" spans="1:3" x14ac:dyDescent="0.25">
      <c r="A328" s="1" t="s">
        <v>657</v>
      </c>
      <c r="B328" s="1" t="s">
        <v>658</v>
      </c>
      <c r="C328" s="1" t="s">
        <v>5</v>
      </c>
    </row>
    <row r="329" spans="1:3" x14ac:dyDescent="0.25">
      <c r="A329" s="1" t="s">
        <v>659</v>
      </c>
      <c r="B329" s="1" t="s">
        <v>660</v>
      </c>
      <c r="C329" s="1" t="s">
        <v>5</v>
      </c>
    </row>
    <row r="330" spans="1:3" x14ac:dyDescent="0.25">
      <c r="A330" s="1" t="s">
        <v>661</v>
      </c>
      <c r="B330" s="1" t="s">
        <v>662</v>
      </c>
      <c r="C330" s="1" t="s">
        <v>5</v>
      </c>
    </row>
    <row r="331" spans="1:3" x14ac:dyDescent="0.25">
      <c r="A331" s="1" t="s">
        <v>663</v>
      </c>
      <c r="B331" s="1" t="s">
        <v>664</v>
      </c>
      <c r="C331" s="1" t="s">
        <v>5</v>
      </c>
    </row>
    <row r="332" spans="1:3" x14ac:dyDescent="0.25">
      <c r="A332" s="1" t="s">
        <v>665</v>
      </c>
      <c r="B332" s="1" t="s">
        <v>666</v>
      </c>
      <c r="C332" s="1" t="s">
        <v>5</v>
      </c>
    </row>
    <row r="333" spans="1:3" x14ac:dyDescent="0.25">
      <c r="A333" s="1" t="s">
        <v>667</v>
      </c>
      <c r="B333" s="1" t="s">
        <v>668</v>
      </c>
      <c r="C333" s="1" t="s">
        <v>5</v>
      </c>
    </row>
    <row r="334" spans="1:3" x14ac:dyDescent="0.25">
      <c r="A334" s="1" t="s">
        <v>669</v>
      </c>
      <c r="B334" s="1" t="s">
        <v>670</v>
      </c>
      <c r="C334" s="1" t="s">
        <v>5</v>
      </c>
    </row>
    <row r="335" spans="1:3" x14ac:dyDescent="0.25">
      <c r="A335" s="1" t="s">
        <v>671</v>
      </c>
      <c r="B335" s="1" t="s">
        <v>672</v>
      </c>
      <c r="C335" s="1" t="s">
        <v>5</v>
      </c>
    </row>
    <row r="336" spans="1:3" x14ac:dyDescent="0.25">
      <c r="A336" s="1" t="s">
        <v>673</v>
      </c>
      <c r="B336" s="1" t="s">
        <v>674</v>
      </c>
      <c r="C336" s="1" t="s">
        <v>5</v>
      </c>
    </row>
    <row r="337" spans="1:3" x14ac:dyDescent="0.25">
      <c r="A337" s="1" t="s">
        <v>675</v>
      </c>
      <c r="B337" s="1" t="s">
        <v>676</v>
      </c>
      <c r="C337" s="1" t="s">
        <v>5</v>
      </c>
    </row>
    <row r="338" spans="1:3" x14ac:dyDescent="0.25">
      <c r="A338" s="1" t="s">
        <v>677</v>
      </c>
      <c r="B338" s="1" t="s">
        <v>678</v>
      </c>
      <c r="C338" s="1" t="s">
        <v>5</v>
      </c>
    </row>
    <row r="339" spans="1:3" x14ac:dyDescent="0.25">
      <c r="A339" s="1" t="s">
        <v>679</v>
      </c>
      <c r="B339" s="1" t="s">
        <v>680</v>
      </c>
      <c r="C339" s="1" t="s">
        <v>5</v>
      </c>
    </row>
    <row r="340" spans="1:3" x14ac:dyDescent="0.25">
      <c r="A340" s="1" t="s">
        <v>681</v>
      </c>
      <c r="B340" s="1" t="s">
        <v>682</v>
      </c>
      <c r="C340" s="1" t="s">
        <v>5</v>
      </c>
    </row>
    <row r="341" spans="1:3" x14ac:dyDescent="0.25">
      <c r="A341" s="1" t="s">
        <v>683</v>
      </c>
      <c r="B341" s="1" t="s">
        <v>684</v>
      </c>
      <c r="C341" s="1" t="s">
        <v>5</v>
      </c>
    </row>
    <row r="342" spans="1:3" x14ac:dyDescent="0.25">
      <c r="A342" s="1" t="s">
        <v>685</v>
      </c>
      <c r="B342" s="1" t="s">
        <v>686</v>
      </c>
      <c r="C342" s="1" t="s">
        <v>5</v>
      </c>
    </row>
    <row r="343" spans="1:3" x14ac:dyDescent="0.25">
      <c r="A343" s="1" t="s">
        <v>687</v>
      </c>
      <c r="B343" s="1" t="s">
        <v>688</v>
      </c>
      <c r="C343" s="1" t="s">
        <v>5</v>
      </c>
    </row>
    <row r="344" spans="1:3" x14ac:dyDescent="0.25">
      <c r="A344" s="1" t="s">
        <v>689</v>
      </c>
      <c r="B344" s="1" t="s">
        <v>690</v>
      </c>
      <c r="C344" s="1" t="s">
        <v>5</v>
      </c>
    </row>
    <row r="345" spans="1:3" x14ac:dyDescent="0.25">
      <c r="A345" s="1" t="s">
        <v>691</v>
      </c>
      <c r="B345" s="1" t="s">
        <v>692</v>
      </c>
      <c r="C345" s="1" t="s">
        <v>5</v>
      </c>
    </row>
    <row r="346" spans="1:3" x14ac:dyDescent="0.25">
      <c r="A346" s="1" t="s">
        <v>693</v>
      </c>
      <c r="B346" s="1" t="s">
        <v>694</v>
      </c>
      <c r="C346" s="1" t="s">
        <v>5</v>
      </c>
    </row>
    <row r="347" spans="1:3" x14ac:dyDescent="0.25">
      <c r="A347" s="1" t="s">
        <v>695</v>
      </c>
      <c r="B347" s="1" t="s">
        <v>696</v>
      </c>
      <c r="C347" s="1" t="s">
        <v>5</v>
      </c>
    </row>
    <row r="348" spans="1:3" x14ac:dyDescent="0.25">
      <c r="A348" s="1" t="s">
        <v>697</v>
      </c>
      <c r="B348" s="1" t="s">
        <v>698</v>
      </c>
      <c r="C348" s="1" t="s">
        <v>5</v>
      </c>
    </row>
    <row r="349" spans="1:3" x14ac:dyDescent="0.25">
      <c r="A349" s="1" t="s">
        <v>699</v>
      </c>
      <c r="B349" s="1" t="s">
        <v>700</v>
      </c>
      <c r="C349" s="1" t="s">
        <v>5</v>
      </c>
    </row>
    <row r="350" spans="1:3" x14ac:dyDescent="0.25">
      <c r="A350" s="1" t="s">
        <v>701</v>
      </c>
      <c r="B350" s="1" t="s">
        <v>702</v>
      </c>
      <c r="C350" s="1" t="s">
        <v>5</v>
      </c>
    </row>
    <row r="351" spans="1:3" x14ac:dyDescent="0.25">
      <c r="A351" s="1" t="s">
        <v>703</v>
      </c>
      <c r="B351" s="1" t="s">
        <v>704</v>
      </c>
      <c r="C351" s="1" t="s">
        <v>5</v>
      </c>
    </row>
    <row r="352" spans="1:3" x14ac:dyDescent="0.25">
      <c r="A352" s="1" t="s">
        <v>705</v>
      </c>
      <c r="B352" s="1" t="s">
        <v>706</v>
      </c>
      <c r="C352" s="1" t="s">
        <v>5</v>
      </c>
    </row>
    <row r="353" spans="1:3" x14ac:dyDescent="0.25">
      <c r="A353" s="1" t="s">
        <v>707</v>
      </c>
      <c r="B353" s="1" t="s">
        <v>708</v>
      </c>
      <c r="C353" s="1" t="s">
        <v>5</v>
      </c>
    </row>
    <row r="354" spans="1:3" x14ac:dyDescent="0.25">
      <c r="A354" s="1" t="s">
        <v>709</v>
      </c>
      <c r="B354" s="1" t="s">
        <v>710</v>
      </c>
      <c r="C354" s="1" t="s">
        <v>5</v>
      </c>
    </row>
    <row r="355" spans="1:3" x14ac:dyDescent="0.25">
      <c r="A355" s="1" t="s">
        <v>711</v>
      </c>
      <c r="B355" s="1" t="s">
        <v>712</v>
      </c>
      <c r="C355" s="1" t="s">
        <v>5</v>
      </c>
    </row>
    <row r="356" spans="1:3" x14ac:dyDescent="0.25">
      <c r="A356" s="1" t="s">
        <v>713</v>
      </c>
      <c r="B356" s="1" t="s">
        <v>714</v>
      </c>
      <c r="C356" s="1" t="s">
        <v>5</v>
      </c>
    </row>
    <row r="357" spans="1:3" x14ac:dyDescent="0.25">
      <c r="A357" s="1" t="s">
        <v>715</v>
      </c>
      <c r="B357" s="1" t="s">
        <v>716</v>
      </c>
      <c r="C357" s="1" t="s">
        <v>5</v>
      </c>
    </row>
    <row r="358" spans="1:3" x14ac:dyDescent="0.25">
      <c r="A358" s="1" t="s">
        <v>717</v>
      </c>
      <c r="B358" s="1" t="s">
        <v>718</v>
      </c>
      <c r="C358" s="1" t="s">
        <v>5</v>
      </c>
    </row>
    <row r="359" spans="1:3" x14ac:dyDescent="0.25">
      <c r="A359" s="1" t="s">
        <v>719</v>
      </c>
      <c r="B359" s="1" t="s">
        <v>720</v>
      </c>
      <c r="C359" s="1" t="s">
        <v>5</v>
      </c>
    </row>
    <row r="360" spans="1:3" x14ac:dyDescent="0.25">
      <c r="A360" s="1" t="s">
        <v>721</v>
      </c>
      <c r="B360" s="1" t="s">
        <v>722</v>
      </c>
      <c r="C360" s="1" t="s">
        <v>5</v>
      </c>
    </row>
    <row r="361" spans="1:3" x14ac:dyDescent="0.25">
      <c r="A361" s="1" t="s">
        <v>723</v>
      </c>
      <c r="B361" s="1" t="s">
        <v>724</v>
      </c>
      <c r="C361" s="1" t="s">
        <v>5</v>
      </c>
    </row>
    <row r="362" spans="1:3" x14ac:dyDescent="0.25">
      <c r="A362" s="1" t="s">
        <v>725</v>
      </c>
      <c r="B362" s="1" t="s">
        <v>726</v>
      </c>
      <c r="C362" s="1" t="s">
        <v>5</v>
      </c>
    </row>
    <row r="363" spans="1:3" x14ac:dyDescent="0.25">
      <c r="A363" s="1" t="s">
        <v>727</v>
      </c>
      <c r="B363" s="1" t="s">
        <v>728</v>
      </c>
      <c r="C363" s="1" t="s">
        <v>5</v>
      </c>
    </row>
    <row r="364" spans="1:3" x14ac:dyDescent="0.25">
      <c r="A364" s="1" t="s">
        <v>729</v>
      </c>
      <c r="B364" s="1" t="s">
        <v>730</v>
      </c>
      <c r="C364" s="1" t="s">
        <v>5</v>
      </c>
    </row>
    <row r="365" spans="1:3" x14ac:dyDescent="0.25">
      <c r="A365" s="1" t="s">
        <v>731</v>
      </c>
      <c r="B365" s="1" t="s">
        <v>732</v>
      </c>
      <c r="C365" s="1" t="s">
        <v>5</v>
      </c>
    </row>
    <row r="366" spans="1:3" x14ac:dyDescent="0.25">
      <c r="A366" s="1" t="s">
        <v>733</v>
      </c>
      <c r="B366" s="1" t="s">
        <v>734</v>
      </c>
      <c r="C366" s="1" t="s">
        <v>5</v>
      </c>
    </row>
    <row r="367" spans="1:3" x14ac:dyDescent="0.25">
      <c r="A367" s="1" t="s">
        <v>735</v>
      </c>
      <c r="B367" s="1" t="s">
        <v>736</v>
      </c>
      <c r="C367" s="1" t="s">
        <v>5</v>
      </c>
    </row>
    <row r="368" spans="1:3" x14ac:dyDescent="0.25">
      <c r="A368" s="1" t="s">
        <v>737</v>
      </c>
      <c r="B368" s="1" t="s">
        <v>738</v>
      </c>
      <c r="C368" s="1" t="s">
        <v>5</v>
      </c>
    </row>
    <row r="369" spans="1:3" x14ac:dyDescent="0.25">
      <c r="A369" s="1" t="s">
        <v>739</v>
      </c>
      <c r="B369" s="1" t="s">
        <v>740</v>
      </c>
      <c r="C369" s="1" t="s">
        <v>5</v>
      </c>
    </row>
    <row r="370" spans="1:3" x14ac:dyDescent="0.25">
      <c r="A370" s="1" t="s">
        <v>741</v>
      </c>
      <c r="B370" s="1" t="s">
        <v>742</v>
      </c>
      <c r="C370" s="1" t="s">
        <v>5</v>
      </c>
    </row>
    <row r="371" spans="1:3" x14ac:dyDescent="0.25">
      <c r="A371" s="1" t="s">
        <v>743</v>
      </c>
      <c r="B371" s="1" t="s">
        <v>744</v>
      </c>
      <c r="C371" s="1" t="s">
        <v>5</v>
      </c>
    </row>
    <row r="372" spans="1:3" x14ac:dyDescent="0.25">
      <c r="A372" s="1" t="s">
        <v>745</v>
      </c>
      <c r="B372" s="1" t="s">
        <v>746</v>
      </c>
      <c r="C372" s="1" t="s">
        <v>5</v>
      </c>
    </row>
    <row r="373" spans="1:3" x14ac:dyDescent="0.25">
      <c r="A373" s="1" t="s">
        <v>747</v>
      </c>
      <c r="B373" s="1" t="s">
        <v>748</v>
      </c>
      <c r="C373" s="1" t="s">
        <v>5</v>
      </c>
    </row>
    <row r="374" spans="1:3" x14ac:dyDescent="0.25">
      <c r="A374" s="1" t="s">
        <v>749</v>
      </c>
      <c r="B374" s="1" t="s">
        <v>750</v>
      </c>
      <c r="C374" s="1" t="s">
        <v>5</v>
      </c>
    </row>
    <row r="375" spans="1:3" x14ac:dyDescent="0.25">
      <c r="A375" s="1" t="s">
        <v>751</v>
      </c>
      <c r="B375" s="1" t="s">
        <v>752</v>
      </c>
      <c r="C375" s="1" t="s">
        <v>5</v>
      </c>
    </row>
    <row r="376" spans="1:3" x14ac:dyDescent="0.25">
      <c r="A376" s="1" t="s">
        <v>753</v>
      </c>
      <c r="B376" s="1" t="s">
        <v>754</v>
      </c>
      <c r="C376" s="1" t="s">
        <v>5</v>
      </c>
    </row>
    <row r="377" spans="1:3" x14ac:dyDescent="0.25">
      <c r="A377" s="1" t="s">
        <v>755</v>
      </c>
      <c r="B377" s="1" t="s">
        <v>756</v>
      </c>
      <c r="C377" s="1" t="s">
        <v>5</v>
      </c>
    </row>
    <row r="378" spans="1:3" x14ac:dyDescent="0.25">
      <c r="A378" s="1" t="s">
        <v>757</v>
      </c>
      <c r="B378" s="1" t="s">
        <v>758</v>
      </c>
      <c r="C378" s="1" t="s">
        <v>5</v>
      </c>
    </row>
    <row r="379" spans="1:3" x14ac:dyDescent="0.25">
      <c r="A379" s="1" t="s">
        <v>759</v>
      </c>
      <c r="B379" s="1" t="s">
        <v>760</v>
      </c>
      <c r="C379" s="1" t="s">
        <v>5</v>
      </c>
    </row>
    <row r="380" spans="1:3" x14ac:dyDescent="0.25">
      <c r="A380" s="1" t="s">
        <v>761</v>
      </c>
      <c r="B380" s="1" t="s">
        <v>762</v>
      </c>
      <c r="C380" s="1" t="s">
        <v>5</v>
      </c>
    </row>
    <row r="381" spans="1:3" x14ac:dyDescent="0.25">
      <c r="A381" s="1" t="s">
        <v>763</v>
      </c>
      <c r="B381" s="1" t="s">
        <v>764</v>
      </c>
      <c r="C381" s="1" t="s">
        <v>5</v>
      </c>
    </row>
    <row r="382" spans="1:3" x14ac:dyDescent="0.25">
      <c r="A382" s="1" t="s">
        <v>765</v>
      </c>
      <c r="B382" s="1" t="s">
        <v>766</v>
      </c>
      <c r="C382" s="1" t="s">
        <v>5</v>
      </c>
    </row>
    <row r="383" spans="1:3" x14ac:dyDescent="0.25">
      <c r="A383" s="1" t="s">
        <v>767</v>
      </c>
      <c r="B383" s="1" t="s">
        <v>768</v>
      </c>
      <c r="C383" s="1" t="s">
        <v>5</v>
      </c>
    </row>
    <row r="384" spans="1:3" x14ac:dyDescent="0.25">
      <c r="A384" s="1" t="s">
        <v>769</v>
      </c>
      <c r="B384" s="1" t="s">
        <v>770</v>
      </c>
      <c r="C384" s="1" t="s">
        <v>5</v>
      </c>
    </row>
    <row r="385" spans="1:3" x14ac:dyDescent="0.25">
      <c r="A385" s="1" t="s">
        <v>771</v>
      </c>
      <c r="B385" s="1" t="s">
        <v>772</v>
      </c>
      <c r="C385" s="1" t="s">
        <v>5</v>
      </c>
    </row>
    <row r="386" spans="1:3" x14ac:dyDescent="0.25">
      <c r="A386" s="1" t="s">
        <v>773</v>
      </c>
      <c r="B386" s="1" t="s">
        <v>774</v>
      </c>
      <c r="C386" s="1" t="s">
        <v>5</v>
      </c>
    </row>
    <row r="387" spans="1:3" x14ac:dyDescent="0.25">
      <c r="A387" s="1" t="s">
        <v>775</v>
      </c>
      <c r="B387" s="1" t="s">
        <v>776</v>
      </c>
      <c r="C387" s="1" t="s">
        <v>5</v>
      </c>
    </row>
    <row r="388" spans="1:3" x14ac:dyDescent="0.25">
      <c r="A388" s="1" t="s">
        <v>777</v>
      </c>
      <c r="B388" s="1" t="s">
        <v>778</v>
      </c>
      <c r="C388" s="1" t="s">
        <v>5</v>
      </c>
    </row>
    <row r="389" spans="1:3" x14ac:dyDescent="0.25">
      <c r="A389" s="1" t="s">
        <v>779</v>
      </c>
      <c r="B389" s="1" t="s">
        <v>780</v>
      </c>
      <c r="C389" s="1" t="s">
        <v>5</v>
      </c>
    </row>
    <row r="390" spans="1:3" x14ac:dyDescent="0.25">
      <c r="A390" s="1" t="s">
        <v>781</v>
      </c>
      <c r="B390" s="1" t="s">
        <v>782</v>
      </c>
      <c r="C390" s="1" t="s">
        <v>5</v>
      </c>
    </row>
    <row r="391" spans="1:3" x14ac:dyDescent="0.25">
      <c r="A391" s="1" t="s">
        <v>783</v>
      </c>
      <c r="B391" s="1" t="s">
        <v>784</v>
      </c>
      <c r="C391" s="1" t="s">
        <v>5</v>
      </c>
    </row>
    <row r="392" spans="1:3" x14ac:dyDescent="0.25">
      <c r="A392" s="1" t="s">
        <v>785</v>
      </c>
      <c r="B392" s="1" t="s">
        <v>786</v>
      </c>
      <c r="C392" s="1" t="s">
        <v>5</v>
      </c>
    </row>
    <row r="393" spans="1:3" x14ac:dyDescent="0.25">
      <c r="A393" s="1" t="s">
        <v>787</v>
      </c>
      <c r="B393" s="1" t="s">
        <v>788</v>
      </c>
      <c r="C393" s="1" t="s">
        <v>5</v>
      </c>
    </row>
    <row r="394" spans="1:3" x14ac:dyDescent="0.25">
      <c r="A394" s="1" t="s">
        <v>789</v>
      </c>
      <c r="B394" s="1" t="s">
        <v>790</v>
      </c>
      <c r="C394" s="1" t="s">
        <v>5</v>
      </c>
    </row>
    <row r="395" spans="1:3" x14ac:dyDescent="0.25">
      <c r="A395" s="1" t="s">
        <v>791</v>
      </c>
      <c r="B395" s="1" t="s">
        <v>792</v>
      </c>
      <c r="C395" s="1" t="s">
        <v>5</v>
      </c>
    </row>
    <row r="396" spans="1:3" x14ac:dyDescent="0.25">
      <c r="A396" s="1" t="s">
        <v>793</v>
      </c>
      <c r="B396" s="1" t="s">
        <v>794</v>
      </c>
      <c r="C396" s="1" t="s">
        <v>5</v>
      </c>
    </row>
    <row r="397" spans="1:3" x14ac:dyDescent="0.25">
      <c r="A397" s="1" t="s">
        <v>795</v>
      </c>
      <c r="B397" s="1" t="s">
        <v>796</v>
      </c>
      <c r="C397" s="1" t="s">
        <v>5</v>
      </c>
    </row>
    <row r="398" spans="1:3" x14ac:dyDescent="0.25">
      <c r="A398" s="1" t="s">
        <v>797</v>
      </c>
      <c r="B398" s="1" t="s">
        <v>798</v>
      </c>
      <c r="C398" s="1" t="s">
        <v>5</v>
      </c>
    </row>
    <row r="399" spans="1:3" x14ac:dyDescent="0.25">
      <c r="A399" s="1" t="s">
        <v>799</v>
      </c>
      <c r="B399" s="1" t="s">
        <v>800</v>
      </c>
      <c r="C399" s="1" t="s">
        <v>5</v>
      </c>
    </row>
    <row r="400" spans="1:3" x14ac:dyDescent="0.25">
      <c r="A400" s="1" t="s">
        <v>801</v>
      </c>
      <c r="B400" s="1" t="s">
        <v>802</v>
      </c>
      <c r="C400" s="1" t="s">
        <v>5</v>
      </c>
    </row>
    <row r="401" spans="1:3" x14ac:dyDescent="0.25">
      <c r="A401" s="1" t="s">
        <v>803</v>
      </c>
      <c r="B401" s="1" t="s">
        <v>804</v>
      </c>
      <c r="C401" s="1" t="s">
        <v>5</v>
      </c>
    </row>
    <row r="402" spans="1:3" x14ac:dyDescent="0.25">
      <c r="A402" s="1" t="s">
        <v>805</v>
      </c>
      <c r="B402" s="1" t="s">
        <v>806</v>
      </c>
      <c r="C402" s="1" t="s">
        <v>5</v>
      </c>
    </row>
    <row r="403" spans="1:3" x14ac:dyDescent="0.25">
      <c r="A403" s="1" t="s">
        <v>807</v>
      </c>
      <c r="B403" s="1" t="s">
        <v>808</v>
      </c>
      <c r="C403" s="1" t="s">
        <v>5</v>
      </c>
    </row>
    <row r="404" spans="1:3" x14ac:dyDescent="0.25">
      <c r="A404" s="1" t="s">
        <v>809</v>
      </c>
      <c r="B404" s="1" t="s">
        <v>810</v>
      </c>
      <c r="C404" s="1" t="s">
        <v>5</v>
      </c>
    </row>
    <row r="405" spans="1:3" x14ac:dyDescent="0.25">
      <c r="A405" s="1" t="s">
        <v>811</v>
      </c>
      <c r="B405" s="1" t="s">
        <v>812</v>
      </c>
      <c r="C405" s="1" t="s">
        <v>5</v>
      </c>
    </row>
    <row r="406" spans="1:3" x14ac:dyDescent="0.25">
      <c r="A406" s="1" t="s">
        <v>813</v>
      </c>
      <c r="B406" s="1" t="s">
        <v>814</v>
      </c>
      <c r="C406" s="1" t="s">
        <v>5</v>
      </c>
    </row>
    <row r="407" spans="1:3" x14ac:dyDescent="0.25">
      <c r="A407" s="1" t="s">
        <v>815</v>
      </c>
      <c r="B407" s="1" t="s">
        <v>816</v>
      </c>
      <c r="C407" s="1" t="s">
        <v>5</v>
      </c>
    </row>
    <row r="408" spans="1:3" x14ac:dyDescent="0.25">
      <c r="A408" s="1" t="s">
        <v>817</v>
      </c>
      <c r="B408" s="1" t="s">
        <v>818</v>
      </c>
      <c r="C408" s="1" t="s">
        <v>5</v>
      </c>
    </row>
    <row r="409" spans="1:3" x14ac:dyDescent="0.25">
      <c r="A409" s="1" t="s">
        <v>819</v>
      </c>
      <c r="B409" s="1" t="s">
        <v>820</v>
      </c>
      <c r="C409" s="1" t="s">
        <v>5</v>
      </c>
    </row>
    <row r="410" spans="1:3" x14ac:dyDescent="0.25">
      <c r="A410" s="1" t="s">
        <v>821</v>
      </c>
      <c r="B410" s="1" t="s">
        <v>822</v>
      </c>
      <c r="C410" s="1" t="s">
        <v>5</v>
      </c>
    </row>
    <row r="411" spans="1:3" x14ac:dyDescent="0.25">
      <c r="A411" s="1" t="s">
        <v>823</v>
      </c>
      <c r="B411" s="1" t="s">
        <v>824</v>
      </c>
      <c r="C411" s="1" t="s">
        <v>5</v>
      </c>
    </row>
    <row r="412" spans="1:3" x14ac:dyDescent="0.25">
      <c r="A412" s="1" t="s">
        <v>825</v>
      </c>
      <c r="B412" s="1" t="s">
        <v>826</v>
      </c>
      <c r="C412" s="1" t="s">
        <v>5</v>
      </c>
    </row>
    <row r="413" spans="1:3" x14ac:dyDescent="0.25">
      <c r="A413" s="1" t="s">
        <v>827</v>
      </c>
      <c r="B413" s="1" t="s">
        <v>828</v>
      </c>
      <c r="C413" s="1" t="s">
        <v>5</v>
      </c>
    </row>
    <row r="414" spans="1:3" x14ac:dyDescent="0.25">
      <c r="A414" s="1" t="s">
        <v>829</v>
      </c>
      <c r="B414" s="1" t="s">
        <v>830</v>
      </c>
      <c r="C414" s="1" t="s">
        <v>5</v>
      </c>
    </row>
    <row r="415" spans="1:3" x14ac:dyDescent="0.25">
      <c r="A415" s="1" t="s">
        <v>831</v>
      </c>
      <c r="B415" s="1" t="s">
        <v>832</v>
      </c>
      <c r="C415" s="1" t="s">
        <v>5</v>
      </c>
    </row>
    <row r="416" spans="1:3" x14ac:dyDescent="0.25">
      <c r="A416" s="1" t="s">
        <v>833</v>
      </c>
      <c r="B416" s="1" t="s">
        <v>834</v>
      </c>
      <c r="C416" s="1" t="s">
        <v>5</v>
      </c>
    </row>
    <row r="417" spans="1:3" x14ac:dyDescent="0.25">
      <c r="A417" s="1" t="s">
        <v>835</v>
      </c>
      <c r="B417" s="1" t="s">
        <v>836</v>
      </c>
      <c r="C417" s="1" t="s">
        <v>5</v>
      </c>
    </row>
    <row r="418" spans="1:3" x14ac:dyDescent="0.25">
      <c r="A418" s="1" t="s">
        <v>837</v>
      </c>
      <c r="B418" s="1" t="s">
        <v>838</v>
      </c>
      <c r="C418" s="1" t="s">
        <v>5</v>
      </c>
    </row>
    <row r="419" spans="1:3" x14ac:dyDescent="0.25">
      <c r="A419" s="1" t="s">
        <v>839</v>
      </c>
      <c r="B419" s="1" t="s">
        <v>840</v>
      </c>
      <c r="C419" s="1" t="s">
        <v>5</v>
      </c>
    </row>
    <row r="420" spans="1:3" x14ac:dyDescent="0.25">
      <c r="A420" s="1" t="s">
        <v>841</v>
      </c>
      <c r="B420" s="1" t="s">
        <v>842</v>
      </c>
      <c r="C420" s="1" t="s">
        <v>5</v>
      </c>
    </row>
    <row r="421" spans="1:3" x14ac:dyDescent="0.25">
      <c r="A421" s="1" t="s">
        <v>843</v>
      </c>
      <c r="B421" s="1" t="s">
        <v>844</v>
      </c>
      <c r="C421" s="1" t="s">
        <v>5</v>
      </c>
    </row>
    <row r="422" spans="1:3" x14ac:dyDescent="0.25">
      <c r="A422" s="1" t="s">
        <v>845</v>
      </c>
      <c r="B422" s="1" t="s">
        <v>846</v>
      </c>
      <c r="C422" s="1" t="s">
        <v>5</v>
      </c>
    </row>
    <row r="423" spans="1:3" x14ac:dyDescent="0.25">
      <c r="A423" s="1" t="s">
        <v>847</v>
      </c>
      <c r="B423" s="1" t="s">
        <v>848</v>
      </c>
      <c r="C423" s="1" t="s">
        <v>5</v>
      </c>
    </row>
    <row r="424" spans="1:3" x14ac:dyDescent="0.25">
      <c r="A424" s="1" t="s">
        <v>849</v>
      </c>
      <c r="B424" s="1" t="s">
        <v>850</v>
      </c>
      <c r="C424" s="1" t="s">
        <v>5</v>
      </c>
    </row>
    <row r="425" spans="1:3" x14ac:dyDescent="0.25">
      <c r="A425" s="1" t="s">
        <v>851</v>
      </c>
      <c r="B425" s="1" t="s">
        <v>852</v>
      </c>
      <c r="C425" s="1" t="s">
        <v>5</v>
      </c>
    </row>
    <row r="426" spans="1:3" x14ac:dyDescent="0.25">
      <c r="A426" s="1" t="s">
        <v>853</v>
      </c>
      <c r="B426" s="1" t="s">
        <v>854</v>
      </c>
      <c r="C426" s="1" t="s">
        <v>5</v>
      </c>
    </row>
    <row r="427" spans="1:3" x14ac:dyDescent="0.25">
      <c r="A427" s="1" t="s">
        <v>855</v>
      </c>
      <c r="B427" s="1" t="s">
        <v>856</v>
      </c>
      <c r="C427" s="1" t="s">
        <v>5</v>
      </c>
    </row>
    <row r="428" spans="1:3" x14ac:dyDescent="0.25">
      <c r="A428" s="1" t="s">
        <v>857</v>
      </c>
      <c r="B428" s="1" t="s">
        <v>858</v>
      </c>
      <c r="C428" s="1" t="s">
        <v>5</v>
      </c>
    </row>
    <row r="429" spans="1:3" x14ac:dyDescent="0.25">
      <c r="A429" s="1" t="s">
        <v>859</v>
      </c>
      <c r="B429" s="1" t="s">
        <v>860</v>
      </c>
      <c r="C429" s="1" t="s">
        <v>5</v>
      </c>
    </row>
    <row r="430" spans="1:3" x14ac:dyDescent="0.25">
      <c r="A430" s="1" t="s">
        <v>861</v>
      </c>
      <c r="B430" s="1" t="s">
        <v>862</v>
      </c>
      <c r="C430" s="1" t="s">
        <v>5</v>
      </c>
    </row>
    <row r="431" spans="1:3" x14ac:dyDescent="0.25">
      <c r="A431" s="1" t="s">
        <v>863</v>
      </c>
      <c r="B431" s="1" t="s">
        <v>864</v>
      </c>
      <c r="C431" s="1" t="s">
        <v>5</v>
      </c>
    </row>
    <row r="432" spans="1:3" x14ac:dyDescent="0.25">
      <c r="A432" s="1" t="s">
        <v>865</v>
      </c>
      <c r="B432" s="1" t="s">
        <v>866</v>
      </c>
      <c r="C432" s="1" t="s">
        <v>5</v>
      </c>
    </row>
    <row r="433" spans="1:3" x14ac:dyDescent="0.25">
      <c r="A433" s="1" t="s">
        <v>867</v>
      </c>
      <c r="B433" s="1" t="s">
        <v>868</v>
      </c>
      <c r="C433" s="1" t="s">
        <v>5</v>
      </c>
    </row>
    <row r="434" spans="1:3" x14ac:dyDescent="0.25">
      <c r="A434" s="1" t="s">
        <v>869</v>
      </c>
      <c r="B434" s="1" t="s">
        <v>870</v>
      </c>
      <c r="C434" s="1" t="s">
        <v>5</v>
      </c>
    </row>
    <row r="435" spans="1:3" x14ac:dyDescent="0.25">
      <c r="A435" s="1" t="s">
        <v>871</v>
      </c>
      <c r="B435" s="1" t="s">
        <v>872</v>
      </c>
      <c r="C435" s="1" t="s">
        <v>5</v>
      </c>
    </row>
    <row r="436" spans="1:3" x14ac:dyDescent="0.25">
      <c r="A436" s="1" t="s">
        <v>873</v>
      </c>
      <c r="B436" s="1" t="s">
        <v>874</v>
      </c>
      <c r="C436" s="1" t="s">
        <v>5</v>
      </c>
    </row>
    <row r="437" spans="1:3" x14ac:dyDescent="0.25">
      <c r="A437" s="1" t="s">
        <v>875</v>
      </c>
      <c r="B437" s="1" t="s">
        <v>876</v>
      </c>
      <c r="C437" s="1" t="s">
        <v>5</v>
      </c>
    </row>
    <row r="438" spans="1:3" x14ac:dyDescent="0.25">
      <c r="A438" s="1" t="s">
        <v>877</v>
      </c>
      <c r="B438" s="1" t="s">
        <v>878</v>
      </c>
      <c r="C438" s="1" t="s">
        <v>5</v>
      </c>
    </row>
    <row r="439" spans="1:3" x14ac:dyDescent="0.25">
      <c r="A439" s="1" t="s">
        <v>879</v>
      </c>
      <c r="B439" s="1" t="s">
        <v>880</v>
      </c>
      <c r="C439" s="1" t="s">
        <v>5</v>
      </c>
    </row>
    <row r="440" spans="1:3" x14ac:dyDescent="0.25">
      <c r="A440" s="1" t="s">
        <v>881</v>
      </c>
      <c r="B440" s="1" t="s">
        <v>882</v>
      </c>
      <c r="C440" s="1" t="s">
        <v>5</v>
      </c>
    </row>
    <row r="441" spans="1:3" x14ac:dyDescent="0.25">
      <c r="A441" s="1" t="s">
        <v>883</v>
      </c>
      <c r="B441" s="1" t="s">
        <v>884</v>
      </c>
      <c r="C441" s="1" t="s">
        <v>5</v>
      </c>
    </row>
    <row r="442" spans="1:3" x14ac:dyDescent="0.25">
      <c r="A442" s="1" t="s">
        <v>885</v>
      </c>
      <c r="B442" s="1" t="s">
        <v>886</v>
      </c>
      <c r="C442" s="1" t="s">
        <v>5</v>
      </c>
    </row>
    <row r="443" spans="1:3" x14ac:dyDescent="0.25">
      <c r="A443" s="1" t="s">
        <v>887</v>
      </c>
      <c r="B443" s="1" t="s">
        <v>888</v>
      </c>
      <c r="C443" s="1" t="s">
        <v>5</v>
      </c>
    </row>
    <row r="444" spans="1:3" x14ac:dyDescent="0.25">
      <c r="A444" s="1" t="s">
        <v>889</v>
      </c>
      <c r="B444" s="1" t="s">
        <v>890</v>
      </c>
      <c r="C444" s="1" t="s">
        <v>5</v>
      </c>
    </row>
    <row r="445" spans="1:3" x14ac:dyDescent="0.25">
      <c r="A445" s="1" t="s">
        <v>891</v>
      </c>
      <c r="B445" s="1" t="s">
        <v>892</v>
      </c>
      <c r="C445" s="1" t="s">
        <v>5</v>
      </c>
    </row>
    <row r="446" spans="1:3" x14ac:dyDescent="0.25">
      <c r="A446" s="1" t="s">
        <v>893</v>
      </c>
      <c r="B446" s="1" t="s">
        <v>894</v>
      </c>
      <c r="C446" s="1" t="s">
        <v>5</v>
      </c>
    </row>
    <row r="447" spans="1:3" x14ac:dyDescent="0.25">
      <c r="A447" s="1" t="s">
        <v>895</v>
      </c>
      <c r="B447" s="1" t="s">
        <v>896</v>
      </c>
      <c r="C447" s="1" t="s">
        <v>5</v>
      </c>
    </row>
    <row r="448" spans="1:3" x14ac:dyDescent="0.25">
      <c r="A448" s="1" t="s">
        <v>897</v>
      </c>
      <c r="B448" s="1" t="s">
        <v>898</v>
      </c>
      <c r="C448" s="1" t="s">
        <v>5</v>
      </c>
    </row>
    <row r="449" spans="1:3" x14ac:dyDescent="0.25">
      <c r="A449" s="1" t="s">
        <v>899</v>
      </c>
      <c r="B449" s="1" t="s">
        <v>900</v>
      </c>
      <c r="C449" s="1" t="s">
        <v>5</v>
      </c>
    </row>
    <row r="450" spans="1:3" x14ac:dyDescent="0.25">
      <c r="A450" s="1" t="s">
        <v>901</v>
      </c>
      <c r="B450" s="1" t="s">
        <v>902</v>
      </c>
      <c r="C450" s="1" t="s">
        <v>5</v>
      </c>
    </row>
    <row r="451" spans="1:3" x14ac:dyDescent="0.25">
      <c r="A451" s="1" t="s">
        <v>903</v>
      </c>
      <c r="B451" s="1" t="s">
        <v>904</v>
      </c>
      <c r="C451" s="1" t="s">
        <v>5</v>
      </c>
    </row>
    <row r="452" spans="1:3" x14ac:dyDescent="0.25">
      <c r="A452" s="1" t="s">
        <v>905</v>
      </c>
      <c r="B452" s="1" t="s">
        <v>906</v>
      </c>
      <c r="C452" s="1" t="s">
        <v>5</v>
      </c>
    </row>
    <row r="453" spans="1:3" x14ac:dyDescent="0.25">
      <c r="A453" s="1" t="s">
        <v>907</v>
      </c>
      <c r="B453" s="1" t="s">
        <v>908</v>
      </c>
      <c r="C453" s="1" t="s">
        <v>5</v>
      </c>
    </row>
    <row r="454" spans="1:3" x14ac:dyDescent="0.25">
      <c r="A454" s="1" t="s">
        <v>909</v>
      </c>
      <c r="B454" s="1" t="s">
        <v>910</v>
      </c>
      <c r="C454" s="1" t="s">
        <v>5</v>
      </c>
    </row>
    <row r="455" spans="1:3" x14ac:dyDescent="0.25">
      <c r="A455" s="1" t="s">
        <v>911</v>
      </c>
      <c r="B455" s="1" t="s">
        <v>912</v>
      </c>
      <c r="C455" s="1" t="s">
        <v>5</v>
      </c>
    </row>
    <row r="456" spans="1:3" x14ac:dyDescent="0.25">
      <c r="A456" s="1" t="s">
        <v>913</v>
      </c>
      <c r="B456" s="1" t="s">
        <v>914</v>
      </c>
      <c r="C456" s="1" t="s">
        <v>5</v>
      </c>
    </row>
    <row r="457" spans="1:3" x14ac:dyDescent="0.25">
      <c r="A457" s="1" t="s">
        <v>915</v>
      </c>
      <c r="B457" s="1" t="s">
        <v>916</v>
      </c>
      <c r="C457" s="1" t="s">
        <v>5</v>
      </c>
    </row>
    <row r="458" spans="1:3" x14ac:dyDescent="0.25">
      <c r="A458" s="1" t="s">
        <v>917</v>
      </c>
      <c r="B458" s="1" t="s">
        <v>918</v>
      </c>
      <c r="C458" s="1" t="s">
        <v>5</v>
      </c>
    </row>
    <row r="459" spans="1:3" x14ac:dyDescent="0.25">
      <c r="A459" s="1" t="s">
        <v>919</v>
      </c>
      <c r="B459" s="1" t="s">
        <v>920</v>
      </c>
      <c r="C459" s="1" t="s">
        <v>5</v>
      </c>
    </row>
    <row r="460" spans="1:3" x14ac:dyDescent="0.25">
      <c r="A460" s="1" t="s">
        <v>921</v>
      </c>
      <c r="B460" s="1" t="s">
        <v>922</v>
      </c>
      <c r="C460" s="1" t="s">
        <v>5</v>
      </c>
    </row>
    <row r="461" spans="1:3" x14ac:dyDescent="0.25">
      <c r="A461" s="1" t="s">
        <v>923</v>
      </c>
      <c r="B461" s="1" t="s">
        <v>924</v>
      </c>
      <c r="C461" s="1" t="s">
        <v>5</v>
      </c>
    </row>
    <row r="462" spans="1:3" x14ac:dyDescent="0.25">
      <c r="A462" s="1" t="s">
        <v>925</v>
      </c>
      <c r="B462" s="1" t="s">
        <v>926</v>
      </c>
      <c r="C462" s="1" t="s">
        <v>5</v>
      </c>
    </row>
    <row r="463" spans="1:3" x14ac:dyDescent="0.25">
      <c r="A463" s="1" t="s">
        <v>927</v>
      </c>
      <c r="B463" s="1" t="s">
        <v>928</v>
      </c>
      <c r="C463" s="1" t="s">
        <v>5</v>
      </c>
    </row>
    <row r="464" spans="1:3" x14ac:dyDescent="0.25">
      <c r="A464" s="1" t="s">
        <v>929</v>
      </c>
      <c r="B464" s="1" t="s">
        <v>930</v>
      </c>
      <c r="C464" s="1" t="s">
        <v>5</v>
      </c>
    </row>
    <row r="465" spans="1:3" x14ac:dyDescent="0.25">
      <c r="A465" s="1" t="s">
        <v>931</v>
      </c>
      <c r="B465" s="1" t="s">
        <v>932</v>
      </c>
      <c r="C465" s="1" t="s">
        <v>5</v>
      </c>
    </row>
    <row r="466" spans="1:3" x14ac:dyDescent="0.25">
      <c r="A466" s="1" t="s">
        <v>933</v>
      </c>
      <c r="B466" s="1" t="s">
        <v>934</v>
      </c>
      <c r="C466" s="1" t="s">
        <v>5</v>
      </c>
    </row>
    <row r="467" spans="1:3" x14ac:dyDescent="0.25">
      <c r="A467" s="1" t="s">
        <v>935</v>
      </c>
      <c r="B467" s="1" t="s">
        <v>936</v>
      </c>
      <c r="C467" s="1" t="s">
        <v>5</v>
      </c>
    </row>
    <row r="468" spans="1:3" x14ac:dyDescent="0.25">
      <c r="A468" s="1" t="s">
        <v>937</v>
      </c>
      <c r="B468" s="1" t="s">
        <v>938</v>
      </c>
      <c r="C468" s="1" t="s">
        <v>5</v>
      </c>
    </row>
    <row r="469" spans="1:3" x14ac:dyDescent="0.25">
      <c r="A469" s="1" t="s">
        <v>939</v>
      </c>
      <c r="B469" s="1" t="s">
        <v>940</v>
      </c>
      <c r="C469" s="1" t="s">
        <v>5</v>
      </c>
    </row>
    <row r="470" spans="1:3" x14ac:dyDescent="0.25">
      <c r="A470" s="1" t="s">
        <v>941</v>
      </c>
      <c r="B470" s="1" t="s">
        <v>942</v>
      </c>
      <c r="C470" s="1" t="s">
        <v>5</v>
      </c>
    </row>
    <row r="471" spans="1:3" x14ac:dyDescent="0.25">
      <c r="A471" s="1" t="s">
        <v>943</v>
      </c>
      <c r="B471" s="1" t="s">
        <v>944</v>
      </c>
      <c r="C471" s="1" t="s">
        <v>5</v>
      </c>
    </row>
    <row r="472" spans="1:3" x14ac:dyDescent="0.25">
      <c r="A472" s="1" t="s">
        <v>945</v>
      </c>
      <c r="B472" s="1" t="s">
        <v>946</v>
      </c>
      <c r="C472" s="1" t="s">
        <v>5</v>
      </c>
    </row>
    <row r="473" spans="1:3" x14ac:dyDescent="0.25">
      <c r="A473" s="1" t="s">
        <v>947</v>
      </c>
      <c r="B473" s="1" t="s">
        <v>948</v>
      </c>
      <c r="C473" s="1" t="s">
        <v>5</v>
      </c>
    </row>
    <row r="474" spans="1:3" x14ac:dyDescent="0.25">
      <c r="A474" s="1" t="s">
        <v>949</v>
      </c>
      <c r="B474" s="1" t="s">
        <v>950</v>
      </c>
      <c r="C474" s="1" t="s">
        <v>5</v>
      </c>
    </row>
    <row r="475" spans="1:3" x14ac:dyDescent="0.25">
      <c r="A475" s="1" t="s">
        <v>951</v>
      </c>
      <c r="B475" s="1" t="s">
        <v>952</v>
      </c>
      <c r="C475" s="1" t="s">
        <v>5</v>
      </c>
    </row>
    <row r="476" spans="1:3" x14ac:dyDescent="0.25">
      <c r="A476" s="1" t="s">
        <v>953</v>
      </c>
      <c r="B476" s="1" t="s">
        <v>954</v>
      </c>
      <c r="C476" s="1" t="s">
        <v>5</v>
      </c>
    </row>
    <row r="477" spans="1:3" x14ac:dyDescent="0.25">
      <c r="A477" s="1" t="s">
        <v>955</v>
      </c>
      <c r="B477" s="1" t="s">
        <v>956</v>
      </c>
      <c r="C477" s="1" t="s">
        <v>5</v>
      </c>
    </row>
    <row r="478" spans="1:3" x14ac:dyDescent="0.25">
      <c r="A478" s="1" t="s">
        <v>957</v>
      </c>
      <c r="B478" s="1" t="s">
        <v>958</v>
      </c>
      <c r="C478" s="1" t="s">
        <v>5</v>
      </c>
    </row>
    <row r="479" spans="1:3" x14ac:dyDescent="0.25">
      <c r="A479" s="1" t="s">
        <v>959</v>
      </c>
      <c r="B479" s="1" t="s">
        <v>960</v>
      </c>
      <c r="C479" s="1" t="s">
        <v>5</v>
      </c>
    </row>
    <row r="480" spans="1:3" x14ac:dyDescent="0.25">
      <c r="A480" s="1" t="s">
        <v>961</v>
      </c>
      <c r="B480" s="1" t="s">
        <v>962</v>
      </c>
      <c r="C480" s="1" t="s">
        <v>5</v>
      </c>
    </row>
    <row r="481" spans="1:3" x14ac:dyDescent="0.25">
      <c r="A481" s="1" t="s">
        <v>963</v>
      </c>
      <c r="B481" s="1" t="s">
        <v>964</v>
      </c>
      <c r="C481" s="1" t="s">
        <v>5</v>
      </c>
    </row>
    <row r="482" spans="1:3" x14ac:dyDescent="0.25">
      <c r="A482" s="1" t="s">
        <v>965</v>
      </c>
      <c r="B482" s="1" t="s">
        <v>966</v>
      </c>
      <c r="C482" s="1" t="s">
        <v>5</v>
      </c>
    </row>
    <row r="483" spans="1:3" x14ac:dyDescent="0.25">
      <c r="A483" s="1" t="s">
        <v>967</v>
      </c>
      <c r="B483" s="1" t="s">
        <v>968</v>
      </c>
      <c r="C483" s="1" t="s">
        <v>5</v>
      </c>
    </row>
    <row r="484" spans="1:3" x14ac:dyDescent="0.25">
      <c r="A484" s="1" t="s">
        <v>969</v>
      </c>
      <c r="B484" s="1" t="s">
        <v>970</v>
      </c>
      <c r="C484" s="1" t="s">
        <v>5</v>
      </c>
    </row>
    <row r="485" spans="1:3" x14ac:dyDescent="0.25">
      <c r="A485" s="1" t="s">
        <v>971</v>
      </c>
      <c r="B485" s="1" t="s">
        <v>972</v>
      </c>
      <c r="C485" s="1" t="s">
        <v>5</v>
      </c>
    </row>
    <row r="486" spans="1:3" x14ac:dyDescent="0.25">
      <c r="A486" s="1" t="s">
        <v>973</v>
      </c>
      <c r="B486" s="1" t="s">
        <v>974</v>
      </c>
      <c r="C486" s="1" t="s">
        <v>5</v>
      </c>
    </row>
    <row r="487" spans="1:3" x14ac:dyDescent="0.25">
      <c r="A487" s="1" t="s">
        <v>975</v>
      </c>
      <c r="B487" s="1" t="s">
        <v>976</v>
      </c>
      <c r="C487" s="1" t="s">
        <v>5</v>
      </c>
    </row>
    <row r="488" spans="1:3" x14ac:dyDescent="0.25">
      <c r="A488" s="1" t="s">
        <v>977</v>
      </c>
      <c r="B488" s="1" t="s">
        <v>978</v>
      </c>
      <c r="C488" s="1" t="s">
        <v>5</v>
      </c>
    </row>
    <row r="489" spans="1:3" x14ac:dyDescent="0.25">
      <c r="A489" s="1" t="s">
        <v>979</v>
      </c>
      <c r="B489" s="1" t="s">
        <v>980</v>
      </c>
      <c r="C489" s="1" t="s">
        <v>5</v>
      </c>
    </row>
    <row r="490" spans="1:3" x14ac:dyDescent="0.25">
      <c r="A490" s="1" t="s">
        <v>981</v>
      </c>
      <c r="B490" s="1" t="s">
        <v>982</v>
      </c>
      <c r="C490" s="1" t="s">
        <v>5</v>
      </c>
    </row>
    <row r="491" spans="1:3" x14ac:dyDescent="0.25">
      <c r="A491" s="1" t="s">
        <v>983</v>
      </c>
      <c r="B491" s="1" t="s">
        <v>984</v>
      </c>
      <c r="C491" s="1" t="s">
        <v>5</v>
      </c>
    </row>
    <row r="492" spans="1:3" x14ac:dyDescent="0.25">
      <c r="A492" s="1" t="s">
        <v>985</v>
      </c>
      <c r="B492" s="1" t="s">
        <v>986</v>
      </c>
      <c r="C492" s="1" t="s">
        <v>5</v>
      </c>
    </row>
    <row r="493" spans="1:3" x14ac:dyDescent="0.25">
      <c r="A493" s="1" t="s">
        <v>987</v>
      </c>
      <c r="B493" s="1" t="s">
        <v>988</v>
      </c>
      <c r="C493" s="1" t="s">
        <v>5</v>
      </c>
    </row>
    <row r="494" spans="1:3" x14ac:dyDescent="0.25">
      <c r="A494" s="1" t="s">
        <v>989</v>
      </c>
      <c r="B494" s="1" t="s">
        <v>990</v>
      </c>
      <c r="C494" s="1" t="s">
        <v>5</v>
      </c>
    </row>
    <row r="495" spans="1:3" x14ac:dyDescent="0.25">
      <c r="A495" s="1" t="s">
        <v>991</v>
      </c>
      <c r="B495" s="1" t="s">
        <v>992</v>
      </c>
      <c r="C495" s="1" t="s">
        <v>5</v>
      </c>
    </row>
    <row r="496" spans="1:3" x14ac:dyDescent="0.25">
      <c r="A496" s="1" t="s">
        <v>993</v>
      </c>
      <c r="B496" s="1" t="s">
        <v>994</v>
      </c>
      <c r="C496" s="1" t="s">
        <v>5</v>
      </c>
    </row>
    <row r="497" spans="1:3" x14ac:dyDescent="0.25">
      <c r="A497" s="1" t="s">
        <v>995</v>
      </c>
      <c r="B497" s="1" t="s">
        <v>996</v>
      </c>
      <c r="C497" s="1" t="s">
        <v>5</v>
      </c>
    </row>
    <row r="498" spans="1:3" x14ac:dyDescent="0.25">
      <c r="A498" s="1" t="s">
        <v>997</v>
      </c>
      <c r="B498" s="1" t="s">
        <v>998</v>
      </c>
      <c r="C498" s="1" t="s">
        <v>5</v>
      </c>
    </row>
    <row r="499" spans="1:3" x14ac:dyDescent="0.25">
      <c r="A499" s="1" t="s">
        <v>999</v>
      </c>
      <c r="B499" s="1" t="s">
        <v>1000</v>
      </c>
      <c r="C499" s="1" t="s">
        <v>5</v>
      </c>
    </row>
    <row r="500" spans="1:3" x14ac:dyDescent="0.25">
      <c r="A500" s="1" t="s">
        <v>1001</v>
      </c>
      <c r="B500" s="1" t="s">
        <v>1002</v>
      </c>
      <c r="C500" s="1" t="s">
        <v>5</v>
      </c>
    </row>
    <row r="501" spans="1:3" x14ac:dyDescent="0.25">
      <c r="A501" s="1" t="s">
        <v>1003</v>
      </c>
      <c r="B501" s="1" t="s">
        <v>1004</v>
      </c>
      <c r="C501" s="1" t="s">
        <v>5</v>
      </c>
    </row>
    <row r="502" spans="1:3" x14ac:dyDescent="0.25">
      <c r="A502" s="1" t="s">
        <v>1005</v>
      </c>
      <c r="B502" s="1" t="s">
        <v>1006</v>
      </c>
      <c r="C502" s="1" t="s">
        <v>5</v>
      </c>
    </row>
    <row r="503" spans="1:3" x14ac:dyDescent="0.25">
      <c r="A503" s="1" t="s">
        <v>1007</v>
      </c>
      <c r="B503" s="1" t="s">
        <v>1008</v>
      </c>
      <c r="C503" s="1" t="s">
        <v>5</v>
      </c>
    </row>
    <row r="504" spans="1:3" x14ac:dyDescent="0.25">
      <c r="A504" s="1" t="s">
        <v>1009</v>
      </c>
      <c r="B504" s="1" t="s">
        <v>1010</v>
      </c>
      <c r="C504" s="1" t="s">
        <v>5</v>
      </c>
    </row>
    <row r="505" spans="1:3" x14ac:dyDescent="0.25">
      <c r="A505" s="1" t="s">
        <v>1011</v>
      </c>
      <c r="B505" s="1" t="s">
        <v>1012</v>
      </c>
      <c r="C505" s="1" t="s">
        <v>5</v>
      </c>
    </row>
    <row r="506" spans="1:3" x14ac:dyDescent="0.25">
      <c r="A506" s="1" t="s">
        <v>1013</v>
      </c>
      <c r="B506" s="1" t="s">
        <v>1014</v>
      </c>
      <c r="C506" s="1" t="s">
        <v>5</v>
      </c>
    </row>
    <row r="507" spans="1:3" x14ac:dyDescent="0.25">
      <c r="A507" s="1" t="s">
        <v>1015</v>
      </c>
      <c r="B507" s="1" t="s">
        <v>1016</v>
      </c>
      <c r="C507" s="1" t="s">
        <v>5</v>
      </c>
    </row>
    <row r="508" spans="1:3" x14ac:dyDescent="0.25">
      <c r="A508" s="1" t="s">
        <v>1017</v>
      </c>
      <c r="B508" s="1" t="s">
        <v>1018</v>
      </c>
      <c r="C508" s="1" t="s">
        <v>5</v>
      </c>
    </row>
    <row r="509" spans="1:3" x14ac:dyDescent="0.25">
      <c r="A509" s="1" t="s">
        <v>1019</v>
      </c>
      <c r="B509" s="1" t="s">
        <v>1020</v>
      </c>
      <c r="C509" s="1" t="s">
        <v>5</v>
      </c>
    </row>
    <row r="510" spans="1:3" x14ac:dyDescent="0.25">
      <c r="A510" s="1" t="s">
        <v>1021</v>
      </c>
      <c r="B510" s="1" t="s">
        <v>1022</v>
      </c>
      <c r="C510" s="1" t="s">
        <v>5</v>
      </c>
    </row>
    <row r="511" spans="1:3" x14ac:dyDescent="0.25">
      <c r="A511" s="1" t="s">
        <v>1023</v>
      </c>
      <c r="B511" s="1" t="s">
        <v>1024</v>
      </c>
      <c r="C511" s="1" t="s">
        <v>5</v>
      </c>
    </row>
    <row r="512" spans="1:3" x14ac:dyDescent="0.25">
      <c r="A512" s="1" t="s">
        <v>1025</v>
      </c>
      <c r="B512" s="1" t="s">
        <v>1026</v>
      </c>
      <c r="C512" s="1" t="s">
        <v>5</v>
      </c>
    </row>
    <row r="513" spans="1:3" x14ac:dyDescent="0.25">
      <c r="A513" s="1" t="s">
        <v>1027</v>
      </c>
      <c r="B513" s="1" t="s">
        <v>1028</v>
      </c>
      <c r="C513" s="1" t="s">
        <v>5</v>
      </c>
    </row>
    <row r="514" spans="1:3" x14ac:dyDescent="0.25">
      <c r="A514" s="1" t="s">
        <v>1029</v>
      </c>
      <c r="B514" s="1" t="s">
        <v>1030</v>
      </c>
      <c r="C514" s="1" t="s">
        <v>5</v>
      </c>
    </row>
    <row r="515" spans="1:3" x14ac:dyDescent="0.25">
      <c r="A515" s="1" t="s">
        <v>1031</v>
      </c>
      <c r="B515" s="1" t="s">
        <v>1032</v>
      </c>
      <c r="C515" s="1" t="s">
        <v>5</v>
      </c>
    </row>
    <row r="516" spans="1:3" x14ac:dyDescent="0.25">
      <c r="A516" s="1" t="s">
        <v>1033</v>
      </c>
      <c r="B516" s="1" t="s">
        <v>1034</v>
      </c>
      <c r="C516" s="1" t="s">
        <v>5</v>
      </c>
    </row>
    <row r="517" spans="1:3" x14ac:dyDescent="0.25">
      <c r="A517" s="1" t="s">
        <v>1035</v>
      </c>
      <c r="B517" s="1" t="s">
        <v>1036</v>
      </c>
      <c r="C517" s="1" t="s">
        <v>5</v>
      </c>
    </row>
    <row r="518" spans="1:3" x14ac:dyDescent="0.25">
      <c r="A518" s="1" t="s">
        <v>1037</v>
      </c>
      <c r="B518" s="1" t="s">
        <v>1038</v>
      </c>
      <c r="C518" s="1" t="s">
        <v>5</v>
      </c>
    </row>
    <row r="519" spans="1:3" x14ac:dyDescent="0.25">
      <c r="A519" s="1" t="s">
        <v>1039</v>
      </c>
      <c r="B519" s="1" t="s">
        <v>1040</v>
      </c>
      <c r="C519" s="1" t="s">
        <v>5</v>
      </c>
    </row>
    <row r="520" spans="1:3" x14ac:dyDescent="0.25">
      <c r="A520" s="1" t="s">
        <v>1041</v>
      </c>
      <c r="B520" s="1" t="s">
        <v>1042</v>
      </c>
      <c r="C520" s="1" t="s">
        <v>5</v>
      </c>
    </row>
    <row r="521" spans="1:3" x14ac:dyDescent="0.25">
      <c r="A521" s="1" t="s">
        <v>1043</v>
      </c>
      <c r="B521" s="1" t="s">
        <v>1044</v>
      </c>
      <c r="C521" s="1" t="s">
        <v>5</v>
      </c>
    </row>
    <row r="522" spans="1:3" x14ac:dyDescent="0.25">
      <c r="A522" s="1" t="s">
        <v>1045</v>
      </c>
      <c r="B522" s="1" t="s">
        <v>1046</v>
      </c>
      <c r="C522" s="1" t="s">
        <v>5</v>
      </c>
    </row>
    <row r="523" spans="1:3" x14ac:dyDescent="0.25">
      <c r="A523" s="1" t="s">
        <v>1047</v>
      </c>
      <c r="B523" s="1" t="s">
        <v>1048</v>
      </c>
      <c r="C523" s="1" t="s">
        <v>5</v>
      </c>
    </row>
    <row r="524" spans="1:3" x14ac:dyDescent="0.25">
      <c r="A524" s="1" t="s">
        <v>1049</v>
      </c>
      <c r="B524" s="1" t="s">
        <v>1050</v>
      </c>
      <c r="C524" s="1" t="s">
        <v>5</v>
      </c>
    </row>
    <row r="525" spans="1:3" x14ac:dyDescent="0.25">
      <c r="A525" s="1" t="s">
        <v>1051</v>
      </c>
      <c r="B525" s="1" t="s">
        <v>1052</v>
      </c>
      <c r="C525" s="1" t="s">
        <v>5</v>
      </c>
    </row>
    <row r="526" spans="1:3" x14ac:dyDescent="0.25">
      <c r="A526" s="1" t="s">
        <v>1053</v>
      </c>
      <c r="B526" s="1" t="s">
        <v>1054</v>
      </c>
      <c r="C526" s="1" t="s">
        <v>5</v>
      </c>
    </row>
    <row r="527" spans="1:3" x14ac:dyDescent="0.25">
      <c r="A527" s="1" t="s">
        <v>1055</v>
      </c>
      <c r="B527" s="1" t="s">
        <v>1056</v>
      </c>
      <c r="C527" s="1" t="s">
        <v>5</v>
      </c>
    </row>
    <row r="528" spans="1:3" x14ac:dyDescent="0.25">
      <c r="A528" s="1" t="s">
        <v>1057</v>
      </c>
      <c r="B528" s="1" t="s">
        <v>1058</v>
      </c>
      <c r="C528" s="1" t="s">
        <v>5</v>
      </c>
    </row>
    <row r="529" spans="1:3" x14ac:dyDescent="0.25">
      <c r="A529" s="1" t="s">
        <v>1059</v>
      </c>
      <c r="B529" s="1" t="s">
        <v>1060</v>
      </c>
      <c r="C529" s="1" t="s">
        <v>5</v>
      </c>
    </row>
    <row r="530" spans="1:3" x14ac:dyDescent="0.25">
      <c r="A530" s="1" t="s">
        <v>1061</v>
      </c>
      <c r="B530" s="1" t="s">
        <v>1062</v>
      </c>
      <c r="C530" s="1" t="s">
        <v>5</v>
      </c>
    </row>
    <row r="531" spans="1:3" x14ac:dyDescent="0.25">
      <c r="A531" s="1" t="s">
        <v>1063</v>
      </c>
      <c r="B531" s="1" t="s">
        <v>1064</v>
      </c>
      <c r="C531" s="1" t="s">
        <v>5</v>
      </c>
    </row>
    <row r="532" spans="1:3" x14ac:dyDescent="0.25">
      <c r="A532" s="1" t="s">
        <v>1065</v>
      </c>
      <c r="B532" s="1" t="s">
        <v>1066</v>
      </c>
      <c r="C532" s="1" t="s">
        <v>5</v>
      </c>
    </row>
    <row r="533" spans="1:3" x14ac:dyDescent="0.25">
      <c r="A533" s="1" t="s">
        <v>1067</v>
      </c>
      <c r="B533" s="1" t="s">
        <v>1068</v>
      </c>
      <c r="C533" s="1" t="s">
        <v>5</v>
      </c>
    </row>
    <row r="534" spans="1:3" x14ac:dyDescent="0.25">
      <c r="A534" s="1" t="s">
        <v>1069</v>
      </c>
      <c r="B534" s="1" t="s">
        <v>1070</v>
      </c>
      <c r="C534" s="1" t="s">
        <v>5</v>
      </c>
    </row>
    <row r="535" spans="1:3" x14ac:dyDescent="0.25">
      <c r="A535" s="1" t="s">
        <v>1071</v>
      </c>
      <c r="B535" s="1" t="s">
        <v>1072</v>
      </c>
      <c r="C535" s="1" t="s">
        <v>5</v>
      </c>
    </row>
    <row r="536" spans="1:3" x14ac:dyDescent="0.25">
      <c r="A536" s="1" t="s">
        <v>1073</v>
      </c>
      <c r="B536" s="1" t="s">
        <v>1074</v>
      </c>
      <c r="C536" s="1" t="s">
        <v>5</v>
      </c>
    </row>
    <row r="537" spans="1:3" x14ac:dyDescent="0.25">
      <c r="A537" s="1" t="s">
        <v>1075</v>
      </c>
      <c r="B537" s="1" t="s">
        <v>1076</v>
      </c>
      <c r="C537" s="1" t="s">
        <v>5</v>
      </c>
    </row>
    <row r="538" spans="1:3" x14ac:dyDescent="0.25">
      <c r="A538" s="1" t="s">
        <v>1077</v>
      </c>
      <c r="B538" s="1" t="s">
        <v>1078</v>
      </c>
      <c r="C538" s="1" t="s">
        <v>5</v>
      </c>
    </row>
    <row r="539" spans="1:3" x14ac:dyDescent="0.25">
      <c r="A539" s="1" t="s">
        <v>1079</v>
      </c>
      <c r="B539" s="1" t="s">
        <v>1080</v>
      </c>
      <c r="C539" s="1" t="s">
        <v>5</v>
      </c>
    </row>
    <row r="540" spans="1:3" x14ac:dyDescent="0.25">
      <c r="A540" s="1" t="s">
        <v>1081</v>
      </c>
      <c r="B540" s="1" t="s">
        <v>1082</v>
      </c>
      <c r="C540" s="1" t="s">
        <v>5</v>
      </c>
    </row>
    <row r="541" spans="1:3" x14ac:dyDescent="0.25">
      <c r="A541" s="1" t="s">
        <v>1083</v>
      </c>
      <c r="B541" s="1" t="s">
        <v>1084</v>
      </c>
      <c r="C541" s="1" t="s">
        <v>5</v>
      </c>
    </row>
    <row r="542" spans="1:3" x14ac:dyDescent="0.25">
      <c r="A542" s="1" t="s">
        <v>1085</v>
      </c>
      <c r="B542" s="1" t="s">
        <v>1086</v>
      </c>
      <c r="C542" s="1" t="s">
        <v>5</v>
      </c>
    </row>
    <row r="543" spans="1:3" x14ac:dyDescent="0.25">
      <c r="A543" s="1" t="s">
        <v>1087</v>
      </c>
      <c r="B543" s="1" t="s">
        <v>1088</v>
      </c>
      <c r="C543" s="1" t="s">
        <v>5</v>
      </c>
    </row>
    <row r="544" spans="1:3" x14ac:dyDescent="0.25">
      <c r="A544" s="1" t="s">
        <v>1089</v>
      </c>
      <c r="B544" s="1" t="s">
        <v>1090</v>
      </c>
      <c r="C544" s="1" t="s">
        <v>5</v>
      </c>
    </row>
    <row r="545" spans="1:3" x14ac:dyDescent="0.25">
      <c r="A545" s="1" t="s">
        <v>1091</v>
      </c>
      <c r="B545" s="1" t="s">
        <v>1092</v>
      </c>
      <c r="C545" s="1" t="s">
        <v>5</v>
      </c>
    </row>
    <row r="546" spans="1:3" x14ac:dyDescent="0.25">
      <c r="A546" s="1" t="s">
        <v>1093</v>
      </c>
      <c r="B546" s="1" t="s">
        <v>1094</v>
      </c>
      <c r="C546" s="1" t="s">
        <v>5</v>
      </c>
    </row>
    <row r="547" spans="1:3" x14ac:dyDescent="0.25">
      <c r="A547" s="1" t="s">
        <v>1095</v>
      </c>
      <c r="B547" s="1" t="s">
        <v>1096</v>
      </c>
      <c r="C547" s="1" t="s">
        <v>5</v>
      </c>
    </row>
    <row r="548" spans="1:3" x14ac:dyDescent="0.25">
      <c r="A548" s="1" t="s">
        <v>1097</v>
      </c>
      <c r="B548" s="1" t="s">
        <v>1098</v>
      </c>
      <c r="C548" s="1" t="s">
        <v>5</v>
      </c>
    </row>
    <row r="549" spans="1:3" x14ac:dyDescent="0.25">
      <c r="A549" s="1" t="s">
        <v>1099</v>
      </c>
      <c r="B549" s="1" t="s">
        <v>1100</v>
      </c>
      <c r="C549" s="1" t="s">
        <v>5</v>
      </c>
    </row>
    <row r="550" spans="1:3" x14ac:dyDescent="0.25">
      <c r="A550" s="1" t="s">
        <v>1101</v>
      </c>
      <c r="B550" s="1" t="s">
        <v>1102</v>
      </c>
      <c r="C550" s="1" t="s">
        <v>5</v>
      </c>
    </row>
    <row r="551" spans="1:3" x14ac:dyDescent="0.25">
      <c r="A551" s="1" t="s">
        <v>1103</v>
      </c>
      <c r="B551" s="1" t="s">
        <v>1104</v>
      </c>
      <c r="C551" s="1" t="s">
        <v>5</v>
      </c>
    </row>
    <row r="552" spans="1:3" x14ac:dyDescent="0.25">
      <c r="A552" s="1" t="s">
        <v>1105</v>
      </c>
      <c r="B552" s="1" t="s">
        <v>1106</v>
      </c>
      <c r="C552" s="1" t="s">
        <v>5</v>
      </c>
    </row>
    <row r="553" spans="1:3" x14ac:dyDescent="0.25">
      <c r="A553" s="1" t="s">
        <v>1107</v>
      </c>
      <c r="B553" s="1" t="s">
        <v>1108</v>
      </c>
      <c r="C553" s="1" t="s">
        <v>5</v>
      </c>
    </row>
    <row r="554" spans="1:3" x14ac:dyDescent="0.25">
      <c r="A554" s="1" t="s">
        <v>1109</v>
      </c>
      <c r="B554" s="1" t="s">
        <v>1110</v>
      </c>
      <c r="C554" s="1" t="s">
        <v>5</v>
      </c>
    </row>
    <row r="555" spans="1:3" x14ac:dyDescent="0.25">
      <c r="A555" s="1" t="s">
        <v>1111</v>
      </c>
      <c r="B555" s="1" t="s">
        <v>1112</v>
      </c>
      <c r="C555" s="1" t="s">
        <v>5</v>
      </c>
    </row>
    <row r="556" spans="1:3" x14ac:dyDescent="0.25">
      <c r="A556" s="1" t="s">
        <v>1113</v>
      </c>
      <c r="B556" s="1" t="s">
        <v>1114</v>
      </c>
      <c r="C556" s="1" t="s">
        <v>5</v>
      </c>
    </row>
    <row r="557" spans="1:3" x14ac:dyDescent="0.25">
      <c r="A557" s="1" t="s">
        <v>1115</v>
      </c>
      <c r="B557" s="1" t="s">
        <v>1116</v>
      </c>
      <c r="C557" s="1" t="s">
        <v>5</v>
      </c>
    </row>
    <row r="558" spans="1:3" x14ac:dyDescent="0.25">
      <c r="A558" s="1" t="s">
        <v>1117</v>
      </c>
      <c r="B558" s="1" t="s">
        <v>1118</v>
      </c>
      <c r="C558" s="1" t="s">
        <v>5</v>
      </c>
    </row>
    <row r="559" spans="1:3" x14ac:dyDescent="0.25">
      <c r="A559" s="1" t="s">
        <v>1119</v>
      </c>
      <c r="B559" s="1" t="s">
        <v>1120</v>
      </c>
      <c r="C559" s="1" t="s">
        <v>5</v>
      </c>
    </row>
    <row r="560" spans="1:3" x14ac:dyDescent="0.25">
      <c r="A560" s="1" t="s">
        <v>1121</v>
      </c>
      <c r="B560" s="1" t="s">
        <v>1122</v>
      </c>
      <c r="C560" s="1" t="s">
        <v>5</v>
      </c>
    </row>
    <row r="561" spans="1:3" x14ac:dyDescent="0.25">
      <c r="A561" s="1" t="s">
        <v>1123</v>
      </c>
      <c r="B561" s="1" t="s">
        <v>1124</v>
      </c>
      <c r="C561" s="1" t="s">
        <v>5</v>
      </c>
    </row>
    <row r="562" spans="1:3" x14ac:dyDescent="0.25">
      <c r="A562" s="1" t="s">
        <v>1125</v>
      </c>
      <c r="B562" s="1" t="s">
        <v>1126</v>
      </c>
      <c r="C562" s="1" t="s">
        <v>5</v>
      </c>
    </row>
    <row r="563" spans="1:3" x14ac:dyDescent="0.25">
      <c r="A563" s="1" t="s">
        <v>1127</v>
      </c>
      <c r="B563" s="1" t="s">
        <v>1128</v>
      </c>
      <c r="C563" s="1" t="s">
        <v>5</v>
      </c>
    </row>
    <row r="564" spans="1:3" x14ac:dyDescent="0.25">
      <c r="A564" s="1" t="s">
        <v>1129</v>
      </c>
      <c r="B564" s="1" t="s">
        <v>1130</v>
      </c>
      <c r="C564" s="1" t="s">
        <v>5</v>
      </c>
    </row>
    <row r="565" spans="1:3" x14ac:dyDescent="0.25">
      <c r="A565" s="1" t="s">
        <v>1131</v>
      </c>
      <c r="B565" s="1" t="s">
        <v>1132</v>
      </c>
      <c r="C565" s="1" t="s">
        <v>5</v>
      </c>
    </row>
    <row r="566" spans="1:3" x14ac:dyDescent="0.25">
      <c r="A566" s="1" t="s">
        <v>1133</v>
      </c>
      <c r="B566" s="1" t="s">
        <v>1134</v>
      </c>
      <c r="C566" s="1" t="s">
        <v>5</v>
      </c>
    </row>
    <row r="567" spans="1:3" x14ac:dyDescent="0.25">
      <c r="A567" s="1" t="s">
        <v>1135</v>
      </c>
      <c r="B567" s="1" t="s">
        <v>1136</v>
      </c>
      <c r="C567" s="1" t="s">
        <v>5</v>
      </c>
    </row>
    <row r="568" spans="1:3" x14ac:dyDescent="0.25">
      <c r="A568" s="1" t="s">
        <v>1137</v>
      </c>
      <c r="B568" s="1" t="s">
        <v>1138</v>
      </c>
      <c r="C568" s="1" t="s">
        <v>5</v>
      </c>
    </row>
    <row r="569" spans="1:3" x14ac:dyDescent="0.25">
      <c r="A569" s="1" t="s">
        <v>1139</v>
      </c>
      <c r="B569" s="1" t="s">
        <v>1140</v>
      </c>
      <c r="C569" s="1" t="s">
        <v>5</v>
      </c>
    </row>
    <row r="570" spans="1:3" x14ac:dyDescent="0.25">
      <c r="A570" s="1" t="s">
        <v>1141</v>
      </c>
      <c r="B570" s="1" t="s">
        <v>1142</v>
      </c>
      <c r="C570" s="1" t="s">
        <v>5</v>
      </c>
    </row>
    <row r="571" spans="1:3" x14ac:dyDescent="0.25">
      <c r="A571" s="1" t="s">
        <v>1143</v>
      </c>
      <c r="B571" s="1" t="s">
        <v>1144</v>
      </c>
      <c r="C571" s="1" t="s">
        <v>5</v>
      </c>
    </row>
    <row r="572" spans="1:3" x14ac:dyDescent="0.25">
      <c r="A572" s="1" t="s">
        <v>1145</v>
      </c>
      <c r="B572" s="1" t="s">
        <v>1146</v>
      </c>
      <c r="C572" s="1" t="s">
        <v>5</v>
      </c>
    </row>
    <row r="573" spans="1:3" x14ac:dyDescent="0.25">
      <c r="A573" s="1" t="s">
        <v>1147</v>
      </c>
      <c r="B573" s="1" t="s">
        <v>1148</v>
      </c>
      <c r="C573" s="1" t="s">
        <v>5</v>
      </c>
    </row>
    <row r="574" spans="1:3" x14ac:dyDescent="0.25">
      <c r="A574" s="1" t="s">
        <v>1149</v>
      </c>
      <c r="B574" s="1" t="s">
        <v>1150</v>
      </c>
      <c r="C574" s="1" t="s">
        <v>5</v>
      </c>
    </row>
    <row r="575" spans="1:3" x14ac:dyDescent="0.25">
      <c r="A575" s="1" t="s">
        <v>1151</v>
      </c>
      <c r="B575" s="1" t="s">
        <v>1152</v>
      </c>
      <c r="C575" s="1" t="s">
        <v>5</v>
      </c>
    </row>
    <row r="576" spans="1:3" x14ac:dyDescent="0.25">
      <c r="A576" s="1" t="s">
        <v>1153</v>
      </c>
      <c r="B576" s="1" t="s">
        <v>1154</v>
      </c>
      <c r="C576" s="1" t="s">
        <v>5</v>
      </c>
    </row>
    <row r="577" spans="1:3" x14ac:dyDescent="0.25">
      <c r="A577" s="1" t="s">
        <v>1155</v>
      </c>
      <c r="B577" s="1" t="s">
        <v>1156</v>
      </c>
      <c r="C577" s="1" t="s">
        <v>5</v>
      </c>
    </row>
    <row r="578" spans="1:3" x14ac:dyDescent="0.25">
      <c r="A578" s="1" t="s">
        <v>1157</v>
      </c>
      <c r="B578" s="1" t="s">
        <v>1158</v>
      </c>
      <c r="C578" s="1" t="s">
        <v>5</v>
      </c>
    </row>
    <row r="579" spans="1:3" x14ac:dyDescent="0.25">
      <c r="A579" s="1" t="s">
        <v>1159</v>
      </c>
      <c r="B579" s="1" t="s">
        <v>1160</v>
      </c>
      <c r="C579" s="1" t="s">
        <v>5</v>
      </c>
    </row>
    <row r="580" spans="1:3" x14ac:dyDescent="0.25">
      <c r="A580" s="1" t="s">
        <v>1161</v>
      </c>
      <c r="B580" s="1" t="s">
        <v>1162</v>
      </c>
      <c r="C580" s="1" t="s">
        <v>5</v>
      </c>
    </row>
    <row r="581" spans="1:3" x14ac:dyDescent="0.25">
      <c r="A581" s="1" t="s">
        <v>1163</v>
      </c>
      <c r="B581" s="1" t="s">
        <v>1164</v>
      </c>
      <c r="C581" s="1" t="s">
        <v>5</v>
      </c>
    </row>
    <row r="582" spans="1:3" x14ac:dyDescent="0.25">
      <c r="A582" s="1" t="s">
        <v>1165</v>
      </c>
      <c r="B582" s="1" t="s">
        <v>1166</v>
      </c>
      <c r="C582" s="1" t="s">
        <v>5</v>
      </c>
    </row>
    <row r="583" spans="1:3" x14ac:dyDescent="0.25">
      <c r="A583" s="1" t="s">
        <v>1167</v>
      </c>
      <c r="B583" s="1" t="s">
        <v>1168</v>
      </c>
      <c r="C583" s="1" t="s">
        <v>5</v>
      </c>
    </row>
    <row r="584" spans="1:3" x14ac:dyDescent="0.25">
      <c r="A584" s="1" t="s">
        <v>1169</v>
      </c>
      <c r="B584" s="1" t="s">
        <v>1170</v>
      </c>
      <c r="C584" s="1" t="s">
        <v>5</v>
      </c>
    </row>
    <row r="585" spans="1:3" x14ac:dyDescent="0.25">
      <c r="A585" s="1" t="s">
        <v>1171</v>
      </c>
      <c r="B585" s="1" t="s">
        <v>1172</v>
      </c>
      <c r="C585" s="1" t="s">
        <v>5</v>
      </c>
    </row>
    <row r="586" spans="1:3" x14ac:dyDescent="0.25">
      <c r="A586" s="1" t="s">
        <v>1173</v>
      </c>
      <c r="B586" s="1" t="s">
        <v>1174</v>
      </c>
      <c r="C586" s="1" t="s">
        <v>5</v>
      </c>
    </row>
    <row r="587" spans="1:3" x14ac:dyDescent="0.25">
      <c r="A587" s="1" t="s">
        <v>1175</v>
      </c>
      <c r="B587" s="1" t="s">
        <v>1176</v>
      </c>
      <c r="C587" s="1" t="s">
        <v>5</v>
      </c>
    </row>
    <row r="588" spans="1:3" x14ac:dyDescent="0.25">
      <c r="A588" s="1" t="s">
        <v>1177</v>
      </c>
      <c r="B588" s="1" t="s">
        <v>1178</v>
      </c>
      <c r="C588" s="1" t="s">
        <v>5</v>
      </c>
    </row>
    <row r="589" spans="1:3" x14ac:dyDescent="0.25">
      <c r="A589" s="1" t="s">
        <v>1179</v>
      </c>
      <c r="B589" s="1" t="s">
        <v>1180</v>
      </c>
      <c r="C589" s="1" t="s">
        <v>5</v>
      </c>
    </row>
    <row r="590" spans="1:3" x14ac:dyDescent="0.25">
      <c r="A590" s="1" t="s">
        <v>1181</v>
      </c>
      <c r="B590" s="1" t="s">
        <v>1182</v>
      </c>
      <c r="C590" s="1" t="s">
        <v>5</v>
      </c>
    </row>
    <row r="591" spans="1:3" x14ac:dyDescent="0.25">
      <c r="A591" s="1" t="s">
        <v>1183</v>
      </c>
      <c r="B591" s="1" t="s">
        <v>1184</v>
      </c>
      <c r="C591" s="1" t="s">
        <v>5</v>
      </c>
    </row>
    <row r="592" spans="1:3" x14ac:dyDescent="0.25">
      <c r="A592" s="1" t="s">
        <v>1185</v>
      </c>
      <c r="B592" s="1" t="s">
        <v>1186</v>
      </c>
      <c r="C592" s="1" t="s">
        <v>5</v>
      </c>
    </row>
    <row r="593" spans="1:3" x14ac:dyDescent="0.25">
      <c r="A593" s="1" t="s">
        <v>1187</v>
      </c>
      <c r="B593" s="1" t="s">
        <v>1188</v>
      </c>
      <c r="C593" s="1" t="s">
        <v>5</v>
      </c>
    </row>
    <row r="594" spans="1:3" x14ac:dyDescent="0.25">
      <c r="A594" s="1" t="s">
        <v>1189</v>
      </c>
      <c r="B594" s="1" t="s">
        <v>1190</v>
      </c>
      <c r="C594" s="1" t="s">
        <v>5</v>
      </c>
    </row>
    <row r="595" spans="1:3" x14ac:dyDescent="0.25">
      <c r="A595" s="1" t="s">
        <v>1191</v>
      </c>
      <c r="B595" s="1" t="s">
        <v>1192</v>
      </c>
      <c r="C595" s="1" t="s">
        <v>5</v>
      </c>
    </row>
    <row r="596" spans="1:3" x14ac:dyDescent="0.25">
      <c r="A596" s="1" t="s">
        <v>1193</v>
      </c>
      <c r="B596" s="1" t="s">
        <v>1194</v>
      </c>
      <c r="C596" s="1" t="s">
        <v>5</v>
      </c>
    </row>
    <row r="597" spans="1:3" x14ac:dyDescent="0.25">
      <c r="A597" s="1" t="s">
        <v>1195</v>
      </c>
      <c r="B597" s="1" t="s">
        <v>1196</v>
      </c>
      <c r="C597" s="1" t="s">
        <v>5</v>
      </c>
    </row>
    <row r="598" spans="1:3" x14ac:dyDescent="0.25">
      <c r="A598" s="1" t="s">
        <v>1197</v>
      </c>
      <c r="B598" s="1" t="s">
        <v>1198</v>
      </c>
      <c r="C598" s="1" t="s">
        <v>5</v>
      </c>
    </row>
    <row r="599" spans="1:3" x14ac:dyDescent="0.25">
      <c r="A599" s="1" t="s">
        <v>1199</v>
      </c>
      <c r="B599" s="1" t="s">
        <v>1200</v>
      </c>
      <c r="C599" s="1" t="s">
        <v>5</v>
      </c>
    </row>
    <row r="600" spans="1:3" x14ac:dyDescent="0.25">
      <c r="A600" s="1" t="s">
        <v>1201</v>
      </c>
      <c r="B600" s="1" t="s">
        <v>1202</v>
      </c>
      <c r="C600" s="1" t="s">
        <v>5</v>
      </c>
    </row>
    <row r="601" spans="1:3" x14ac:dyDescent="0.25">
      <c r="A601" s="1" t="s">
        <v>1203</v>
      </c>
      <c r="B601" s="1" t="s">
        <v>1204</v>
      </c>
      <c r="C601" s="1" t="s">
        <v>5</v>
      </c>
    </row>
    <row r="602" spans="1:3" x14ac:dyDescent="0.25">
      <c r="A602" s="1" t="s">
        <v>1205</v>
      </c>
      <c r="B602" s="1" t="s">
        <v>1206</v>
      </c>
      <c r="C602" s="1" t="s">
        <v>5</v>
      </c>
    </row>
    <row r="603" spans="1:3" x14ac:dyDescent="0.25">
      <c r="A603" s="1" t="s">
        <v>1207</v>
      </c>
      <c r="B603" s="1" t="s">
        <v>1208</v>
      </c>
      <c r="C603" s="1" t="s">
        <v>5</v>
      </c>
    </row>
    <row r="604" spans="1:3" x14ac:dyDescent="0.25">
      <c r="A604" s="1" t="s">
        <v>1209</v>
      </c>
      <c r="B604" s="1" t="s">
        <v>1210</v>
      </c>
      <c r="C604" s="1" t="s">
        <v>5</v>
      </c>
    </row>
    <row r="605" spans="1:3" x14ac:dyDescent="0.25">
      <c r="A605" s="1" t="s">
        <v>1211</v>
      </c>
      <c r="B605" s="1" t="s">
        <v>1212</v>
      </c>
      <c r="C605" s="1" t="s">
        <v>5</v>
      </c>
    </row>
    <row r="606" spans="1:3" x14ac:dyDescent="0.25">
      <c r="A606" s="1" t="s">
        <v>1213</v>
      </c>
      <c r="B606" s="1" t="s">
        <v>1214</v>
      </c>
      <c r="C606" s="1" t="s">
        <v>5</v>
      </c>
    </row>
    <row r="607" spans="1:3" x14ac:dyDescent="0.25">
      <c r="A607" s="1" t="s">
        <v>1215</v>
      </c>
      <c r="B607" s="1" t="s">
        <v>1216</v>
      </c>
      <c r="C607" s="1" t="s">
        <v>5</v>
      </c>
    </row>
    <row r="608" spans="1:3" x14ac:dyDescent="0.25">
      <c r="A608" s="1" t="s">
        <v>1217</v>
      </c>
      <c r="B608" s="1" t="s">
        <v>1218</v>
      </c>
      <c r="C608" s="1" t="s">
        <v>5</v>
      </c>
    </row>
    <row r="609" spans="1:3" x14ac:dyDescent="0.25">
      <c r="A609" s="1" t="s">
        <v>1219</v>
      </c>
      <c r="B609" s="1" t="s">
        <v>1220</v>
      </c>
      <c r="C609" s="1" t="s">
        <v>5</v>
      </c>
    </row>
    <row r="610" spans="1:3" x14ac:dyDescent="0.25">
      <c r="A610" s="1" t="s">
        <v>1221</v>
      </c>
      <c r="B610" s="1" t="s">
        <v>1222</v>
      </c>
      <c r="C610" s="1" t="s">
        <v>5</v>
      </c>
    </row>
    <row r="611" spans="1:3" x14ac:dyDescent="0.25">
      <c r="A611" s="1" t="s">
        <v>1223</v>
      </c>
      <c r="B611" s="1" t="s">
        <v>1224</v>
      </c>
      <c r="C611" s="1" t="s">
        <v>5</v>
      </c>
    </row>
    <row r="612" spans="1:3" x14ac:dyDescent="0.25">
      <c r="A612" s="1" t="s">
        <v>1225</v>
      </c>
      <c r="B612" s="1" t="s">
        <v>1226</v>
      </c>
      <c r="C612" s="1" t="s">
        <v>5</v>
      </c>
    </row>
    <row r="613" spans="1:3" x14ac:dyDescent="0.25">
      <c r="A613" s="1" t="s">
        <v>1227</v>
      </c>
      <c r="B613" s="1" t="s">
        <v>1228</v>
      </c>
      <c r="C613" s="1" t="s">
        <v>5</v>
      </c>
    </row>
    <row r="614" spans="1:3" x14ac:dyDescent="0.25">
      <c r="A614" s="1" t="s">
        <v>1229</v>
      </c>
      <c r="B614" s="1" t="s">
        <v>1230</v>
      </c>
      <c r="C614" s="1" t="s">
        <v>5</v>
      </c>
    </row>
    <row r="615" spans="1:3" x14ac:dyDescent="0.25">
      <c r="A615" s="1" t="s">
        <v>1231</v>
      </c>
      <c r="B615" s="1" t="s">
        <v>1232</v>
      </c>
      <c r="C615" s="1" t="s">
        <v>5</v>
      </c>
    </row>
    <row r="616" spans="1:3" x14ac:dyDescent="0.25">
      <c r="A616" s="1" t="s">
        <v>1233</v>
      </c>
      <c r="B616" s="1" t="s">
        <v>1234</v>
      </c>
      <c r="C616" s="1" t="s">
        <v>5</v>
      </c>
    </row>
    <row r="617" spans="1:3" x14ac:dyDescent="0.25">
      <c r="A617" s="1" t="s">
        <v>1235</v>
      </c>
      <c r="B617" s="1" t="s">
        <v>1236</v>
      </c>
      <c r="C617" s="1" t="s">
        <v>5</v>
      </c>
    </row>
    <row r="618" spans="1:3" x14ac:dyDescent="0.25">
      <c r="A618" s="1" t="s">
        <v>1237</v>
      </c>
      <c r="B618" s="1" t="s">
        <v>1238</v>
      </c>
      <c r="C618" s="1" t="s">
        <v>5</v>
      </c>
    </row>
    <row r="619" spans="1:3" x14ac:dyDescent="0.25">
      <c r="A619" s="1" t="s">
        <v>1239</v>
      </c>
      <c r="B619" s="1" t="s">
        <v>1240</v>
      </c>
      <c r="C619" s="1" t="s">
        <v>5</v>
      </c>
    </row>
    <row r="620" spans="1:3" x14ac:dyDescent="0.25">
      <c r="A620" s="1" t="s">
        <v>1241</v>
      </c>
      <c r="B620" s="1" t="s">
        <v>1242</v>
      </c>
      <c r="C620" s="1" t="s">
        <v>5</v>
      </c>
    </row>
    <row r="621" spans="1:3" x14ac:dyDescent="0.25">
      <c r="A621" s="1" t="s">
        <v>1243</v>
      </c>
      <c r="B621" s="1" t="s">
        <v>1244</v>
      </c>
      <c r="C621" s="1" t="s">
        <v>5</v>
      </c>
    </row>
    <row r="622" spans="1:3" x14ac:dyDescent="0.25">
      <c r="A622" s="1" t="s">
        <v>1245</v>
      </c>
      <c r="B622" s="1" t="s">
        <v>1246</v>
      </c>
      <c r="C622" s="1" t="s">
        <v>5</v>
      </c>
    </row>
    <row r="623" spans="1:3" x14ac:dyDescent="0.25">
      <c r="A623" s="1" t="s">
        <v>1247</v>
      </c>
      <c r="B623" s="1" t="s">
        <v>1248</v>
      </c>
      <c r="C623" s="1" t="s">
        <v>5</v>
      </c>
    </row>
    <row r="624" spans="1:3" x14ac:dyDescent="0.25">
      <c r="A624" s="1" t="s">
        <v>1249</v>
      </c>
      <c r="B624" s="1" t="s">
        <v>1250</v>
      </c>
      <c r="C624" s="1" t="s">
        <v>5</v>
      </c>
    </row>
    <row r="625" spans="1:3" x14ac:dyDescent="0.25">
      <c r="A625" s="1" t="s">
        <v>1251</v>
      </c>
      <c r="B625" s="1" t="s">
        <v>1252</v>
      </c>
      <c r="C625" s="1" t="s">
        <v>5</v>
      </c>
    </row>
    <row r="626" spans="1:3" x14ac:dyDescent="0.25">
      <c r="A626" s="1" t="s">
        <v>1253</v>
      </c>
      <c r="B626" s="1" t="s">
        <v>1254</v>
      </c>
      <c r="C626" s="1" t="s">
        <v>5</v>
      </c>
    </row>
    <row r="627" spans="1:3" x14ac:dyDescent="0.25">
      <c r="A627" s="1" t="s">
        <v>1255</v>
      </c>
      <c r="B627" s="1" t="s">
        <v>1256</v>
      </c>
      <c r="C627" s="1" t="s">
        <v>5</v>
      </c>
    </row>
    <row r="628" spans="1:3" x14ac:dyDescent="0.25">
      <c r="A628" s="1" t="s">
        <v>1257</v>
      </c>
      <c r="B628" s="1" t="s">
        <v>1258</v>
      </c>
      <c r="C628" s="1" t="s">
        <v>5</v>
      </c>
    </row>
    <row r="629" spans="1:3" x14ac:dyDescent="0.25">
      <c r="A629" s="1" t="s">
        <v>1259</v>
      </c>
      <c r="B629" s="1" t="s">
        <v>1260</v>
      </c>
      <c r="C629" s="1" t="s">
        <v>5</v>
      </c>
    </row>
    <row r="630" spans="1:3" x14ac:dyDescent="0.25">
      <c r="A630" s="1" t="s">
        <v>1261</v>
      </c>
      <c r="B630" s="1" t="s">
        <v>1262</v>
      </c>
      <c r="C630" s="1" t="s">
        <v>5</v>
      </c>
    </row>
    <row r="631" spans="1:3" x14ac:dyDescent="0.25">
      <c r="A631" s="1" t="s">
        <v>1263</v>
      </c>
      <c r="B631" s="1" t="s">
        <v>1264</v>
      </c>
      <c r="C631" s="1" t="s">
        <v>5</v>
      </c>
    </row>
    <row r="632" spans="1:3" x14ac:dyDescent="0.25">
      <c r="A632" s="1" t="s">
        <v>1265</v>
      </c>
      <c r="B632" s="1" t="s">
        <v>1266</v>
      </c>
      <c r="C632" s="1" t="s">
        <v>5</v>
      </c>
    </row>
    <row r="633" spans="1:3" x14ac:dyDescent="0.25">
      <c r="A633" s="1" t="s">
        <v>1267</v>
      </c>
      <c r="B633" s="1" t="s">
        <v>1268</v>
      </c>
      <c r="C633" s="1" t="s">
        <v>5</v>
      </c>
    </row>
    <row r="634" spans="1:3" x14ac:dyDescent="0.25">
      <c r="A634" s="1" t="s">
        <v>1269</v>
      </c>
      <c r="B634" s="1" t="s">
        <v>1270</v>
      </c>
      <c r="C634" s="1" t="s">
        <v>5</v>
      </c>
    </row>
    <row r="635" spans="1:3" x14ac:dyDescent="0.25">
      <c r="A635" s="1" t="s">
        <v>1271</v>
      </c>
      <c r="B635" s="1" t="s">
        <v>1272</v>
      </c>
      <c r="C635" s="1" t="s">
        <v>5</v>
      </c>
    </row>
    <row r="636" spans="1:3" x14ac:dyDescent="0.25">
      <c r="A636" s="1" t="s">
        <v>1273</v>
      </c>
      <c r="B636" s="1" t="s">
        <v>1274</v>
      </c>
      <c r="C636" s="1" t="s">
        <v>5</v>
      </c>
    </row>
    <row r="637" spans="1:3" x14ac:dyDescent="0.25">
      <c r="A637" s="1" t="s">
        <v>1275</v>
      </c>
      <c r="B637" s="1" t="s">
        <v>1276</v>
      </c>
      <c r="C637" s="1" t="s">
        <v>5</v>
      </c>
    </row>
    <row r="638" spans="1:3" x14ac:dyDescent="0.25">
      <c r="A638" s="1" t="s">
        <v>1277</v>
      </c>
      <c r="B638" s="1" t="s">
        <v>1278</v>
      </c>
      <c r="C638" s="1" t="s">
        <v>5</v>
      </c>
    </row>
    <row r="639" spans="1:3" x14ac:dyDescent="0.25">
      <c r="A639" s="1" t="s">
        <v>1279</v>
      </c>
      <c r="B639" s="1" t="s">
        <v>1280</v>
      </c>
      <c r="C639" s="1" t="s">
        <v>5</v>
      </c>
    </row>
    <row r="640" spans="1:3" x14ac:dyDescent="0.25">
      <c r="A640" s="1" t="s">
        <v>1281</v>
      </c>
      <c r="B640" s="1" t="s">
        <v>1282</v>
      </c>
      <c r="C640" s="1" t="s">
        <v>5</v>
      </c>
    </row>
    <row r="641" spans="1:3" x14ac:dyDescent="0.25">
      <c r="A641" s="1" t="s">
        <v>1283</v>
      </c>
      <c r="B641" s="1" t="s">
        <v>1284</v>
      </c>
      <c r="C641" s="1" t="s">
        <v>5</v>
      </c>
    </row>
    <row r="642" spans="1:3" x14ac:dyDescent="0.25">
      <c r="A642" s="1" t="s">
        <v>1285</v>
      </c>
      <c r="B642" s="1" t="s">
        <v>1286</v>
      </c>
      <c r="C642" s="1" t="s">
        <v>5</v>
      </c>
    </row>
    <row r="643" spans="1:3" x14ac:dyDescent="0.25">
      <c r="A643" s="1" t="s">
        <v>1287</v>
      </c>
      <c r="B643" s="1" t="s">
        <v>1288</v>
      </c>
      <c r="C643" s="1" t="s">
        <v>5</v>
      </c>
    </row>
    <row r="644" spans="1:3" x14ac:dyDescent="0.25">
      <c r="A644" s="1" t="s">
        <v>1289</v>
      </c>
      <c r="B644" s="1" t="s">
        <v>1290</v>
      </c>
      <c r="C644" s="1" t="s">
        <v>5</v>
      </c>
    </row>
    <row r="645" spans="1:3" x14ac:dyDescent="0.25">
      <c r="A645" s="1" t="s">
        <v>1291</v>
      </c>
      <c r="B645" s="1" t="s">
        <v>1292</v>
      </c>
      <c r="C645" s="1" t="s">
        <v>5</v>
      </c>
    </row>
    <row r="646" spans="1:3" x14ac:dyDescent="0.25">
      <c r="A646" s="1" t="s">
        <v>1293</v>
      </c>
      <c r="B646" s="1" t="s">
        <v>1294</v>
      </c>
      <c r="C646" s="1" t="s">
        <v>5</v>
      </c>
    </row>
    <row r="647" spans="1:3" x14ac:dyDescent="0.25">
      <c r="A647" s="1" t="s">
        <v>1295</v>
      </c>
      <c r="B647" s="1" t="s">
        <v>1296</v>
      </c>
      <c r="C647" s="1" t="s">
        <v>5</v>
      </c>
    </row>
    <row r="648" spans="1:3" x14ac:dyDescent="0.25">
      <c r="A648" s="1" t="s">
        <v>1297</v>
      </c>
      <c r="B648" s="1" t="s">
        <v>1298</v>
      </c>
      <c r="C648" s="1" t="s">
        <v>5</v>
      </c>
    </row>
    <row r="649" spans="1:3" x14ac:dyDescent="0.25">
      <c r="A649" s="1" t="s">
        <v>1299</v>
      </c>
      <c r="B649" s="1" t="s">
        <v>1300</v>
      </c>
      <c r="C649" s="1" t="s">
        <v>5</v>
      </c>
    </row>
    <row r="650" spans="1:3" x14ac:dyDescent="0.25">
      <c r="A650" s="1" t="s">
        <v>1301</v>
      </c>
      <c r="B650" s="1" t="s">
        <v>1302</v>
      </c>
      <c r="C650" s="1" t="s">
        <v>5</v>
      </c>
    </row>
    <row r="651" spans="1:3" x14ac:dyDescent="0.25">
      <c r="A651" s="1" t="s">
        <v>1303</v>
      </c>
      <c r="B651" s="1" t="s">
        <v>1304</v>
      </c>
      <c r="C651" s="1" t="s">
        <v>5</v>
      </c>
    </row>
    <row r="652" spans="1:3" x14ac:dyDescent="0.25">
      <c r="A652" s="1" t="s">
        <v>1305</v>
      </c>
      <c r="B652" s="1" t="s">
        <v>1306</v>
      </c>
      <c r="C652" s="1" t="s">
        <v>5</v>
      </c>
    </row>
    <row r="653" spans="1:3" x14ac:dyDescent="0.25">
      <c r="A653" s="1" t="s">
        <v>1307</v>
      </c>
      <c r="B653" s="1" t="s">
        <v>1308</v>
      </c>
      <c r="C653" s="1" t="s">
        <v>5</v>
      </c>
    </row>
    <row r="654" spans="1:3" x14ac:dyDescent="0.25">
      <c r="A654" s="1" t="s">
        <v>1309</v>
      </c>
      <c r="B654" s="1" t="s">
        <v>1310</v>
      </c>
      <c r="C654" s="1" t="s">
        <v>5</v>
      </c>
    </row>
    <row r="655" spans="1:3" x14ac:dyDescent="0.25">
      <c r="A655" s="1" t="s">
        <v>1311</v>
      </c>
      <c r="B655" s="1" t="s">
        <v>1312</v>
      </c>
      <c r="C655" s="1" t="s">
        <v>5</v>
      </c>
    </row>
    <row r="656" spans="1:3" x14ac:dyDescent="0.25">
      <c r="A656" s="1" t="s">
        <v>1313</v>
      </c>
      <c r="B656" s="1" t="s">
        <v>1314</v>
      </c>
      <c r="C656" s="1" t="s">
        <v>5</v>
      </c>
    </row>
    <row r="657" spans="1:3" x14ac:dyDescent="0.25">
      <c r="A657" s="1" t="s">
        <v>1315</v>
      </c>
      <c r="B657" s="1" t="s">
        <v>1316</v>
      </c>
      <c r="C657" s="1" t="s">
        <v>5</v>
      </c>
    </row>
    <row r="658" spans="1:3" x14ac:dyDescent="0.25">
      <c r="A658" s="1" t="s">
        <v>1317</v>
      </c>
      <c r="B658" s="1" t="s">
        <v>1318</v>
      </c>
      <c r="C658" s="1" t="s">
        <v>5</v>
      </c>
    </row>
    <row r="659" spans="1:3" x14ac:dyDescent="0.25">
      <c r="A659" s="1" t="s">
        <v>1319</v>
      </c>
      <c r="B659" s="1" t="s">
        <v>1320</v>
      </c>
      <c r="C659" s="1" t="s">
        <v>448</v>
      </c>
    </row>
    <row r="660" spans="1:3" x14ac:dyDescent="0.25">
      <c r="A660" s="1" t="s">
        <v>1321</v>
      </c>
      <c r="B660" s="1" t="s">
        <v>1322</v>
      </c>
      <c r="C660" s="1" t="s">
        <v>448</v>
      </c>
    </row>
    <row r="661" spans="1:3" x14ac:dyDescent="0.25">
      <c r="A661" s="1" t="s">
        <v>1323</v>
      </c>
      <c r="B661" s="1" t="s">
        <v>1324</v>
      </c>
      <c r="C661" s="1" t="s">
        <v>5</v>
      </c>
    </row>
    <row r="662" spans="1:3" x14ac:dyDescent="0.25">
      <c r="A662" s="1" t="s">
        <v>1325</v>
      </c>
      <c r="B662" s="1" t="s">
        <v>1326</v>
      </c>
      <c r="C662" s="1" t="s">
        <v>448</v>
      </c>
    </row>
    <row r="663" spans="1:3" x14ac:dyDescent="0.25">
      <c r="A663" s="1" t="s">
        <v>1327</v>
      </c>
      <c r="B663" s="1" t="s">
        <v>1328</v>
      </c>
      <c r="C663" s="1" t="s">
        <v>448</v>
      </c>
    </row>
    <row r="664" spans="1:3" x14ac:dyDescent="0.25">
      <c r="A664" s="1" t="s">
        <v>1329</v>
      </c>
      <c r="B664" s="1" t="s">
        <v>1330</v>
      </c>
      <c r="C664" s="1" t="s">
        <v>5</v>
      </c>
    </row>
    <row r="665" spans="1:3" x14ac:dyDescent="0.25">
      <c r="A665" s="1" t="s">
        <v>1331</v>
      </c>
      <c r="B665" s="1" t="s">
        <v>1332</v>
      </c>
      <c r="C665" s="1" t="s">
        <v>5</v>
      </c>
    </row>
    <row r="666" spans="1:3" x14ac:dyDescent="0.25">
      <c r="A666" s="1" t="s">
        <v>1333</v>
      </c>
      <c r="B666" s="1" t="s">
        <v>1334</v>
      </c>
      <c r="C666" s="1" t="s">
        <v>448</v>
      </c>
    </row>
    <row r="667" spans="1:3" x14ac:dyDescent="0.25">
      <c r="A667" s="1" t="s">
        <v>1335</v>
      </c>
      <c r="B667" s="1" t="s">
        <v>1336</v>
      </c>
      <c r="C667" s="1" t="s">
        <v>5</v>
      </c>
    </row>
    <row r="668" spans="1:3" x14ac:dyDescent="0.25">
      <c r="A668" s="1" t="s">
        <v>1337</v>
      </c>
      <c r="B668" s="1" t="s">
        <v>1338</v>
      </c>
      <c r="C668" s="1" t="s">
        <v>5</v>
      </c>
    </row>
    <row r="669" spans="1:3" x14ac:dyDescent="0.25">
      <c r="A669" s="1" t="s">
        <v>1339</v>
      </c>
      <c r="B669" s="1" t="s">
        <v>1340</v>
      </c>
      <c r="C669" s="1" t="s">
        <v>5</v>
      </c>
    </row>
    <row r="670" spans="1:3" x14ac:dyDescent="0.25">
      <c r="A670" s="1" t="s">
        <v>1341</v>
      </c>
      <c r="B670" s="1" t="s">
        <v>1342</v>
      </c>
      <c r="C670" s="1" t="s">
        <v>5</v>
      </c>
    </row>
    <row r="671" spans="1:3" x14ac:dyDescent="0.25">
      <c r="A671" s="1" t="s">
        <v>1343</v>
      </c>
      <c r="B671" s="1" t="s">
        <v>1344</v>
      </c>
      <c r="C671" s="1" t="s">
        <v>5</v>
      </c>
    </row>
    <row r="672" spans="1:3" x14ac:dyDescent="0.25">
      <c r="A672" s="1" t="s">
        <v>1345</v>
      </c>
      <c r="B672" s="1" t="s">
        <v>1346</v>
      </c>
      <c r="C672" s="1" t="s">
        <v>5</v>
      </c>
    </row>
    <row r="673" spans="1:3" x14ac:dyDescent="0.25">
      <c r="A673" s="1" t="s">
        <v>1347</v>
      </c>
      <c r="B673" s="1" t="s">
        <v>1348</v>
      </c>
      <c r="C673" s="1" t="s">
        <v>5</v>
      </c>
    </row>
    <row r="674" spans="1:3" x14ac:dyDescent="0.25">
      <c r="A674" s="1" t="s">
        <v>1349</v>
      </c>
      <c r="B674" s="1" t="s">
        <v>1350</v>
      </c>
      <c r="C674" s="1" t="s">
        <v>5</v>
      </c>
    </row>
    <row r="675" spans="1:3" x14ac:dyDescent="0.25">
      <c r="A675" s="1" t="s">
        <v>1351</v>
      </c>
      <c r="B675" s="1" t="s">
        <v>1352</v>
      </c>
      <c r="C675" s="1" t="s">
        <v>5</v>
      </c>
    </row>
    <row r="676" spans="1:3" x14ac:dyDescent="0.25">
      <c r="A676" s="1" t="s">
        <v>1353</v>
      </c>
      <c r="B676" s="1" t="s">
        <v>1354</v>
      </c>
      <c r="C676" s="1" t="s">
        <v>5</v>
      </c>
    </row>
    <row r="677" spans="1:3" x14ac:dyDescent="0.25">
      <c r="A677" s="1" t="s">
        <v>1355</v>
      </c>
      <c r="B677" s="1" t="s">
        <v>1356</v>
      </c>
      <c r="C677" s="1" t="s">
        <v>5</v>
      </c>
    </row>
    <row r="678" spans="1:3" x14ac:dyDescent="0.25">
      <c r="A678" s="1" t="s">
        <v>1357</v>
      </c>
      <c r="B678" s="1" t="s">
        <v>1358</v>
      </c>
      <c r="C678" s="1" t="s">
        <v>5</v>
      </c>
    </row>
    <row r="679" spans="1:3" x14ac:dyDescent="0.25">
      <c r="A679" s="1" t="s">
        <v>1359</v>
      </c>
      <c r="B679" s="1" t="s">
        <v>1360</v>
      </c>
      <c r="C679" s="1" t="s">
        <v>5</v>
      </c>
    </row>
    <row r="680" spans="1:3" x14ac:dyDescent="0.25">
      <c r="A680" s="1" t="s">
        <v>1361</v>
      </c>
      <c r="B680" s="1" t="s">
        <v>1362</v>
      </c>
      <c r="C680" s="1" t="s">
        <v>5</v>
      </c>
    </row>
    <row r="681" spans="1:3" x14ac:dyDescent="0.25">
      <c r="A681" s="1" t="s">
        <v>1363</v>
      </c>
      <c r="B681" s="1" t="s">
        <v>1364</v>
      </c>
      <c r="C681" s="1" t="s">
        <v>5</v>
      </c>
    </row>
    <row r="682" spans="1:3" x14ac:dyDescent="0.25">
      <c r="A682" s="1" t="s">
        <v>1365</v>
      </c>
      <c r="B682" s="1" t="s">
        <v>1366</v>
      </c>
      <c r="C682" s="1" t="s">
        <v>5</v>
      </c>
    </row>
    <row r="683" spans="1:3" x14ac:dyDescent="0.25">
      <c r="A683" s="1" t="s">
        <v>1367</v>
      </c>
      <c r="B683" s="1" t="s">
        <v>1368</v>
      </c>
      <c r="C683" s="1" t="s">
        <v>5</v>
      </c>
    </row>
    <row r="684" spans="1:3" x14ac:dyDescent="0.25">
      <c r="A684" s="1" t="s">
        <v>1369</v>
      </c>
      <c r="B684" s="1" t="s">
        <v>1370</v>
      </c>
      <c r="C684" s="1" t="s">
        <v>5</v>
      </c>
    </row>
    <row r="685" spans="1:3" x14ac:dyDescent="0.25">
      <c r="A685" s="1" t="s">
        <v>1371</v>
      </c>
      <c r="B685" s="1" t="s">
        <v>1372</v>
      </c>
      <c r="C685" s="1" t="s">
        <v>5</v>
      </c>
    </row>
    <row r="686" spans="1:3" x14ac:dyDescent="0.25">
      <c r="A686" s="1" t="s">
        <v>1373</v>
      </c>
      <c r="B686" s="1" t="s">
        <v>1374</v>
      </c>
      <c r="C686" s="1" t="s">
        <v>5</v>
      </c>
    </row>
    <row r="687" spans="1:3" x14ac:dyDescent="0.25">
      <c r="A687" s="1" t="s">
        <v>1375</v>
      </c>
      <c r="B687" s="1" t="s">
        <v>1376</v>
      </c>
      <c r="C687" s="1" t="s">
        <v>5</v>
      </c>
    </row>
    <row r="688" spans="1:3" x14ac:dyDescent="0.25">
      <c r="A688" s="1" t="s">
        <v>1377</v>
      </c>
      <c r="B688" s="1" t="s">
        <v>1378</v>
      </c>
      <c r="C688" s="1" t="s">
        <v>5</v>
      </c>
    </row>
    <row r="689" spans="1:3" x14ac:dyDescent="0.25">
      <c r="A689" s="1" t="s">
        <v>1379</v>
      </c>
      <c r="B689" s="1" t="s">
        <v>1380</v>
      </c>
      <c r="C689" s="1" t="s">
        <v>5</v>
      </c>
    </row>
    <row r="690" spans="1:3" x14ac:dyDescent="0.25">
      <c r="A690" s="1" t="s">
        <v>1381</v>
      </c>
      <c r="B690" s="1" t="s">
        <v>1382</v>
      </c>
      <c r="C690" s="1" t="s">
        <v>5</v>
      </c>
    </row>
    <row r="691" spans="1:3" x14ac:dyDescent="0.25">
      <c r="A691" s="1" t="s">
        <v>1383</v>
      </c>
      <c r="B691" s="1" t="s">
        <v>1384</v>
      </c>
      <c r="C691" s="1" t="s">
        <v>5</v>
      </c>
    </row>
    <row r="692" spans="1:3" x14ac:dyDescent="0.25">
      <c r="A692" s="1" t="s">
        <v>1385</v>
      </c>
      <c r="B692" s="1" t="s">
        <v>1386</v>
      </c>
      <c r="C692" s="1" t="s">
        <v>5</v>
      </c>
    </row>
    <row r="693" spans="1:3" x14ac:dyDescent="0.25">
      <c r="A693" s="1" t="s">
        <v>1387</v>
      </c>
      <c r="B693" s="1" t="s">
        <v>1388</v>
      </c>
      <c r="C693" s="1" t="s">
        <v>5</v>
      </c>
    </row>
    <row r="694" spans="1:3" x14ac:dyDescent="0.25">
      <c r="A694" s="1" t="s">
        <v>1389</v>
      </c>
      <c r="B694" s="1" t="s">
        <v>1390</v>
      </c>
      <c r="C694" s="1" t="s">
        <v>5</v>
      </c>
    </row>
    <row r="695" spans="1:3" x14ac:dyDescent="0.25">
      <c r="A695" s="1" t="s">
        <v>1391</v>
      </c>
      <c r="B695" s="1" t="s">
        <v>1392</v>
      </c>
      <c r="C695" s="1" t="s">
        <v>5</v>
      </c>
    </row>
    <row r="696" spans="1:3" x14ac:dyDescent="0.25">
      <c r="A696" s="1" t="s">
        <v>1393</v>
      </c>
      <c r="B696" s="1" t="s">
        <v>1394</v>
      </c>
      <c r="C696" s="1" t="s">
        <v>5</v>
      </c>
    </row>
    <row r="697" spans="1:3" x14ac:dyDescent="0.25">
      <c r="A697" s="1" t="s">
        <v>1395</v>
      </c>
      <c r="B697" s="1" t="s">
        <v>1396</v>
      </c>
      <c r="C697" s="1" t="s">
        <v>5</v>
      </c>
    </row>
    <row r="698" spans="1:3" x14ac:dyDescent="0.25">
      <c r="A698" s="1" t="s">
        <v>1397</v>
      </c>
      <c r="B698" s="1" t="s">
        <v>1398</v>
      </c>
      <c r="C698" s="1" t="s">
        <v>5</v>
      </c>
    </row>
    <row r="699" spans="1:3" x14ac:dyDescent="0.25">
      <c r="A699" s="1" t="s">
        <v>1399</v>
      </c>
      <c r="B699" s="1" t="s">
        <v>1400</v>
      </c>
      <c r="C699" s="1" t="s">
        <v>5</v>
      </c>
    </row>
    <row r="700" spans="1:3" x14ac:dyDescent="0.25">
      <c r="A700" s="1" t="s">
        <v>1401</v>
      </c>
      <c r="B700" s="1" t="s">
        <v>1402</v>
      </c>
      <c r="C700" s="1" t="s">
        <v>5</v>
      </c>
    </row>
    <row r="701" spans="1:3" x14ac:dyDescent="0.25">
      <c r="A701" s="1" t="s">
        <v>1403</v>
      </c>
      <c r="B701" s="1" t="s">
        <v>1404</v>
      </c>
      <c r="C701" s="1" t="s">
        <v>5</v>
      </c>
    </row>
    <row r="702" spans="1:3" x14ac:dyDescent="0.25">
      <c r="A702" s="1" t="s">
        <v>1405</v>
      </c>
      <c r="B702" s="1" t="s">
        <v>1406</v>
      </c>
      <c r="C702" s="1" t="s">
        <v>5</v>
      </c>
    </row>
    <row r="703" spans="1:3" x14ac:dyDescent="0.25">
      <c r="A703" s="1" t="s">
        <v>1407</v>
      </c>
      <c r="B703" s="1" t="s">
        <v>1408</v>
      </c>
      <c r="C703" s="1" t="s">
        <v>5</v>
      </c>
    </row>
    <row r="704" spans="1:3" x14ac:dyDescent="0.25">
      <c r="A704" s="1" t="s">
        <v>1409</v>
      </c>
      <c r="B704" s="1" t="s">
        <v>1410</v>
      </c>
      <c r="C704" s="1" t="s">
        <v>5</v>
      </c>
    </row>
    <row r="705" spans="1:3" x14ac:dyDescent="0.25">
      <c r="A705" s="1" t="s">
        <v>1411</v>
      </c>
      <c r="B705" s="1" t="s">
        <v>1412</v>
      </c>
      <c r="C705" s="1" t="s">
        <v>5</v>
      </c>
    </row>
    <row r="706" spans="1:3" x14ac:dyDescent="0.25">
      <c r="A706" s="1" t="s">
        <v>1413</v>
      </c>
      <c r="B706" s="1" t="s">
        <v>1414</v>
      </c>
      <c r="C706" s="1" t="s">
        <v>5</v>
      </c>
    </row>
    <row r="707" spans="1:3" x14ac:dyDescent="0.25">
      <c r="A707" s="1" t="s">
        <v>1415</v>
      </c>
      <c r="B707" s="1" t="s">
        <v>1416</v>
      </c>
      <c r="C707" s="1" t="s">
        <v>5</v>
      </c>
    </row>
    <row r="708" spans="1:3" x14ac:dyDescent="0.25">
      <c r="A708" s="1" t="s">
        <v>1417</v>
      </c>
      <c r="B708" s="1" t="s">
        <v>1418</v>
      </c>
      <c r="C708" s="1" t="s">
        <v>5</v>
      </c>
    </row>
    <row r="709" spans="1:3" x14ac:dyDescent="0.25">
      <c r="A709" s="1" t="s">
        <v>1419</v>
      </c>
      <c r="B709" s="1" t="s">
        <v>1420</v>
      </c>
      <c r="C709" s="1" t="s">
        <v>5</v>
      </c>
    </row>
    <row r="710" spans="1:3" x14ac:dyDescent="0.25">
      <c r="A710" s="1" t="s">
        <v>1421</v>
      </c>
      <c r="B710" s="1" t="s">
        <v>1422</v>
      </c>
      <c r="C710" s="1" t="s">
        <v>5</v>
      </c>
    </row>
    <row r="711" spans="1:3" x14ac:dyDescent="0.25">
      <c r="A711" s="1" t="s">
        <v>1423</v>
      </c>
      <c r="B711" s="1" t="s">
        <v>1424</v>
      </c>
      <c r="C711" s="1" t="s">
        <v>5</v>
      </c>
    </row>
    <row r="712" spans="1:3" x14ac:dyDescent="0.25">
      <c r="A712" s="1" t="s">
        <v>1425</v>
      </c>
      <c r="B712" s="1" t="s">
        <v>1426</v>
      </c>
      <c r="C712" s="1" t="s">
        <v>5</v>
      </c>
    </row>
    <row r="713" spans="1:3" x14ac:dyDescent="0.25">
      <c r="A713" s="1" t="s">
        <v>1427</v>
      </c>
      <c r="B713" s="1" t="s">
        <v>1428</v>
      </c>
      <c r="C713" s="1" t="s">
        <v>5</v>
      </c>
    </row>
    <row r="714" spans="1:3" x14ac:dyDescent="0.25">
      <c r="A714" s="1" t="s">
        <v>1429</v>
      </c>
      <c r="B714" s="1" t="s">
        <v>1430</v>
      </c>
      <c r="C714" s="1" t="s">
        <v>5</v>
      </c>
    </row>
    <row r="715" spans="1:3" x14ac:dyDescent="0.25">
      <c r="A715" s="1" t="s">
        <v>1431</v>
      </c>
      <c r="B715" s="1" t="s">
        <v>1432</v>
      </c>
      <c r="C715" s="1" t="s">
        <v>5</v>
      </c>
    </row>
    <row r="716" spans="1:3" x14ac:dyDescent="0.25">
      <c r="A716" s="1" t="s">
        <v>1433</v>
      </c>
      <c r="B716" s="1" t="s">
        <v>1434</v>
      </c>
      <c r="C716" s="1" t="s">
        <v>5</v>
      </c>
    </row>
    <row r="717" spans="1:3" x14ac:dyDescent="0.25">
      <c r="A717" s="1" t="s">
        <v>1435</v>
      </c>
      <c r="B717" s="1" t="s">
        <v>1436</v>
      </c>
      <c r="C717" s="1" t="s">
        <v>5</v>
      </c>
    </row>
    <row r="718" spans="1:3" x14ac:dyDescent="0.25">
      <c r="A718" s="1" t="s">
        <v>1437</v>
      </c>
      <c r="B718" s="1" t="s">
        <v>1438</v>
      </c>
      <c r="C718" s="1" t="s">
        <v>5</v>
      </c>
    </row>
    <row r="719" spans="1:3" x14ac:dyDescent="0.25">
      <c r="A719" s="1" t="s">
        <v>1439</v>
      </c>
      <c r="B719" s="1" t="s">
        <v>1440</v>
      </c>
      <c r="C719" s="1" t="s">
        <v>5</v>
      </c>
    </row>
    <row r="720" spans="1:3" x14ac:dyDescent="0.25">
      <c r="A720" s="1" t="s">
        <v>1441</v>
      </c>
      <c r="B720" s="1" t="s">
        <v>1442</v>
      </c>
      <c r="C720" s="1" t="s">
        <v>5</v>
      </c>
    </row>
    <row r="721" spans="1:3" x14ac:dyDescent="0.25">
      <c r="A721" s="1" t="s">
        <v>1443</v>
      </c>
      <c r="B721" s="1" t="s">
        <v>1444</v>
      </c>
      <c r="C721" s="1" t="s">
        <v>5</v>
      </c>
    </row>
    <row r="722" spans="1:3" x14ac:dyDescent="0.25">
      <c r="A722" s="1" t="s">
        <v>1445</v>
      </c>
      <c r="B722" s="1" t="s">
        <v>1446</v>
      </c>
      <c r="C722" s="1" t="s">
        <v>5</v>
      </c>
    </row>
    <row r="723" spans="1:3" x14ac:dyDescent="0.25">
      <c r="A723" s="1" t="s">
        <v>1447</v>
      </c>
      <c r="B723" s="1" t="s">
        <v>1448</v>
      </c>
      <c r="C723" s="1" t="s">
        <v>5</v>
      </c>
    </row>
    <row r="724" spans="1:3" x14ac:dyDescent="0.25">
      <c r="A724" s="1" t="s">
        <v>1449</v>
      </c>
      <c r="B724" s="1" t="s">
        <v>1450</v>
      </c>
      <c r="C724" s="1" t="s">
        <v>5</v>
      </c>
    </row>
    <row r="725" spans="1:3" x14ac:dyDescent="0.25">
      <c r="A725" s="1" t="s">
        <v>1451</v>
      </c>
      <c r="B725" s="1" t="s">
        <v>1452</v>
      </c>
      <c r="C725" s="1" t="s">
        <v>5</v>
      </c>
    </row>
    <row r="726" spans="1:3" x14ac:dyDescent="0.25">
      <c r="A726" s="1" t="s">
        <v>1453</v>
      </c>
      <c r="B726" s="1" t="s">
        <v>1454</v>
      </c>
      <c r="C726" s="1" t="s">
        <v>5</v>
      </c>
    </row>
    <row r="727" spans="1:3" x14ac:dyDescent="0.25">
      <c r="A727" s="1" t="s">
        <v>1455</v>
      </c>
      <c r="B727" s="1" t="s">
        <v>1456</v>
      </c>
      <c r="C727" s="1" t="s">
        <v>5</v>
      </c>
    </row>
    <row r="728" spans="1:3" x14ac:dyDescent="0.25">
      <c r="A728" s="1" t="s">
        <v>1457</v>
      </c>
      <c r="B728" s="1" t="s">
        <v>1458</v>
      </c>
      <c r="C728" s="1" t="s">
        <v>5</v>
      </c>
    </row>
    <row r="729" spans="1:3" x14ac:dyDescent="0.25">
      <c r="A729" s="1" t="s">
        <v>1459</v>
      </c>
      <c r="B729" s="1" t="s">
        <v>1460</v>
      </c>
      <c r="C729" s="1" t="s">
        <v>5</v>
      </c>
    </row>
    <row r="730" spans="1:3" x14ac:dyDescent="0.25">
      <c r="A730" s="1" t="s">
        <v>1461</v>
      </c>
      <c r="B730" s="1" t="s">
        <v>1462</v>
      </c>
      <c r="C730" s="1" t="s">
        <v>5</v>
      </c>
    </row>
    <row r="731" spans="1:3" x14ac:dyDescent="0.25">
      <c r="A731" s="1" t="s">
        <v>1463</v>
      </c>
      <c r="B731" s="1" t="s">
        <v>1464</v>
      </c>
      <c r="C731" s="1" t="s">
        <v>5</v>
      </c>
    </row>
    <row r="732" spans="1:3" x14ac:dyDescent="0.25">
      <c r="A732" s="1" t="s">
        <v>1465</v>
      </c>
      <c r="B732" s="1" t="s">
        <v>1466</v>
      </c>
      <c r="C732" s="1" t="s">
        <v>5</v>
      </c>
    </row>
    <row r="733" spans="1:3" x14ac:dyDescent="0.25">
      <c r="A733" s="1" t="s">
        <v>1467</v>
      </c>
      <c r="B733" s="1" t="s">
        <v>1468</v>
      </c>
      <c r="C733" s="1" t="s">
        <v>5</v>
      </c>
    </row>
    <row r="734" spans="1:3" x14ac:dyDescent="0.25">
      <c r="A734" s="1" t="s">
        <v>1469</v>
      </c>
      <c r="B734" s="1" t="s">
        <v>1470</v>
      </c>
      <c r="C734" s="1" t="s">
        <v>5</v>
      </c>
    </row>
    <row r="735" spans="1:3" x14ac:dyDescent="0.25">
      <c r="A735" s="1" t="s">
        <v>1471</v>
      </c>
      <c r="B735" s="1" t="s">
        <v>1472</v>
      </c>
      <c r="C735" s="1" t="s">
        <v>5</v>
      </c>
    </row>
    <row r="736" spans="1:3" x14ac:dyDescent="0.25">
      <c r="A736" s="1" t="s">
        <v>1473</v>
      </c>
      <c r="B736" s="1" t="s">
        <v>1474</v>
      </c>
      <c r="C736" s="1" t="s">
        <v>5</v>
      </c>
    </row>
    <row r="737" spans="1:3" x14ac:dyDescent="0.25">
      <c r="A737" s="1" t="s">
        <v>1475</v>
      </c>
      <c r="B737" s="1" t="s">
        <v>1476</v>
      </c>
      <c r="C737" s="1" t="s">
        <v>5</v>
      </c>
    </row>
    <row r="738" spans="1:3" x14ac:dyDescent="0.25">
      <c r="A738" s="1" t="s">
        <v>1477</v>
      </c>
      <c r="B738" s="1" t="s">
        <v>1478</v>
      </c>
      <c r="C738" s="1" t="s">
        <v>5</v>
      </c>
    </row>
    <row r="739" spans="1:3" x14ac:dyDescent="0.25">
      <c r="A739" s="1" t="s">
        <v>1479</v>
      </c>
      <c r="B739" s="1" t="s">
        <v>1480</v>
      </c>
      <c r="C739" s="1" t="s">
        <v>5</v>
      </c>
    </row>
    <row r="740" spans="1:3" x14ac:dyDescent="0.25">
      <c r="A740" s="1" t="s">
        <v>1481</v>
      </c>
      <c r="B740" s="1" t="s">
        <v>1482</v>
      </c>
      <c r="C740" s="1" t="s">
        <v>5</v>
      </c>
    </row>
    <row r="741" spans="1:3" x14ac:dyDescent="0.25">
      <c r="A741" s="1" t="s">
        <v>1483</v>
      </c>
      <c r="B741" s="1" t="s">
        <v>1484</v>
      </c>
      <c r="C741" s="1" t="s">
        <v>5</v>
      </c>
    </row>
    <row r="742" spans="1:3" x14ac:dyDescent="0.25">
      <c r="A742" s="1" t="s">
        <v>1485</v>
      </c>
      <c r="B742" s="1" t="s">
        <v>1486</v>
      </c>
      <c r="C742" s="1" t="s">
        <v>5</v>
      </c>
    </row>
    <row r="743" spans="1:3" x14ac:dyDescent="0.25">
      <c r="A743" s="1" t="s">
        <v>1487</v>
      </c>
      <c r="B743" s="1" t="s">
        <v>1488</v>
      </c>
      <c r="C743" s="1" t="s">
        <v>5</v>
      </c>
    </row>
    <row r="744" spans="1:3" x14ac:dyDescent="0.25">
      <c r="A744" s="1" t="s">
        <v>1489</v>
      </c>
      <c r="B744" s="1" t="s">
        <v>1490</v>
      </c>
      <c r="C744" s="1" t="s">
        <v>5</v>
      </c>
    </row>
    <row r="745" spans="1:3" x14ac:dyDescent="0.25">
      <c r="A745" s="1" t="s">
        <v>1491</v>
      </c>
      <c r="B745" s="1" t="s">
        <v>1492</v>
      </c>
      <c r="C745" s="1" t="s">
        <v>5</v>
      </c>
    </row>
    <row r="746" spans="1:3" x14ac:dyDescent="0.25">
      <c r="A746" s="1" t="s">
        <v>1493</v>
      </c>
      <c r="B746" s="1" t="s">
        <v>1494</v>
      </c>
      <c r="C746" s="1" t="s">
        <v>5</v>
      </c>
    </row>
    <row r="747" spans="1:3" x14ac:dyDescent="0.25">
      <c r="A747" s="1" t="s">
        <v>1495</v>
      </c>
      <c r="B747" s="1" t="s">
        <v>1496</v>
      </c>
      <c r="C747" s="1" t="s">
        <v>5</v>
      </c>
    </row>
    <row r="748" spans="1:3" x14ac:dyDescent="0.25">
      <c r="A748" s="1" t="s">
        <v>1497</v>
      </c>
      <c r="B748" s="1" t="s">
        <v>1498</v>
      </c>
      <c r="C748" s="1" t="s">
        <v>5</v>
      </c>
    </row>
    <row r="749" spans="1:3" x14ac:dyDescent="0.25">
      <c r="A749" s="1" t="s">
        <v>1499</v>
      </c>
      <c r="B749" s="1" t="s">
        <v>1500</v>
      </c>
      <c r="C749" s="1" t="s">
        <v>5</v>
      </c>
    </row>
    <row r="750" spans="1:3" x14ac:dyDescent="0.25">
      <c r="A750" s="1" t="s">
        <v>1501</v>
      </c>
      <c r="B750" s="1" t="s">
        <v>1502</v>
      </c>
      <c r="C750" s="1" t="s">
        <v>5</v>
      </c>
    </row>
    <row r="751" spans="1:3" x14ac:dyDescent="0.25">
      <c r="A751" s="1" t="s">
        <v>1503</v>
      </c>
      <c r="B751" s="1" t="s">
        <v>1504</v>
      </c>
      <c r="C751" s="1" t="s">
        <v>5</v>
      </c>
    </row>
    <row r="752" spans="1:3" x14ac:dyDescent="0.25">
      <c r="A752" s="1" t="s">
        <v>1505</v>
      </c>
      <c r="B752" s="1" t="s">
        <v>1506</v>
      </c>
      <c r="C752" s="1" t="s">
        <v>5</v>
      </c>
    </row>
    <row r="753" spans="1:3" x14ac:dyDescent="0.25">
      <c r="A753" s="1" t="s">
        <v>1507</v>
      </c>
      <c r="B753" s="1" t="s">
        <v>1508</v>
      </c>
      <c r="C753" s="1" t="s">
        <v>5</v>
      </c>
    </row>
    <row r="754" spans="1:3" x14ac:dyDescent="0.25">
      <c r="A754" s="1" t="s">
        <v>1509</v>
      </c>
      <c r="B754" s="1" t="s">
        <v>1510</v>
      </c>
      <c r="C754" s="1" t="s">
        <v>5</v>
      </c>
    </row>
    <row r="755" spans="1:3" x14ac:dyDescent="0.25">
      <c r="A755" s="1" t="s">
        <v>1511</v>
      </c>
      <c r="B755" s="1" t="s">
        <v>1512</v>
      </c>
      <c r="C755" s="1" t="s">
        <v>5</v>
      </c>
    </row>
    <row r="756" spans="1:3" x14ac:dyDescent="0.25">
      <c r="A756" s="1" t="s">
        <v>1513</v>
      </c>
      <c r="B756" s="1" t="s">
        <v>1514</v>
      </c>
      <c r="C756" s="1" t="s">
        <v>5</v>
      </c>
    </row>
    <row r="757" spans="1:3" x14ac:dyDescent="0.25">
      <c r="A757" s="1" t="s">
        <v>1515</v>
      </c>
      <c r="B757" s="1" t="s">
        <v>1516</v>
      </c>
      <c r="C757" s="1" t="s">
        <v>5</v>
      </c>
    </row>
    <row r="758" spans="1:3" x14ac:dyDescent="0.25">
      <c r="A758" s="1" t="s">
        <v>1517</v>
      </c>
      <c r="B758" s="1" t="s">
        <v>1518</v>
      </c>
      <c r="C758" s="1" t="s">
        <v>5</v>
      </c>
    </row>
    <row r="759" spans="1:3" x14ac:dyDescent="0.25">
      <c r="A759" s="1" t="s">
        <v>1519</v>
      </c>
      <c r="B759" s="1" t="s">
        <v>1520</v>
      </c>
      <c r="C759" s="1" t="s">
        <v>5</v>
      </c>
    </row>
    <row r="760" spans="1:3" x14ac:dyDescent="0.25">
      <c r="A760" s="1" t="s">
        <v>1521</v>
      </c>
      <c r="B760" s="1" t="s">
        <v>1522</v>
      </c>
      <c r="C760" s="1" t="s">
        <v>5</v>
      </c>
    </row>
    <row r="761" spans="1:3" x14ac:dyDescent="0.25">
      <c r="A761" s="1" t="s">
        <v>1523</v>
      </c>
      <c r="B761" s="1" t="s">
        <v>1524</v>
      </c>
      <c r="C761" s="1" t="s">
        <v>5</v>
      </c>
    </row>
    <row r="762" spans="1:3" x14ac:dyDescent="0.25">
      <c r="A762" s="1" t="s">
        <v>1525</v>
      </c>
      <c r="B762" s="1" t="s">
        <v>1526</v>
      </c>
      <c r="C762" s="1" t="s">
        <v>5</v>
      </c>
    </row>
    <row r="763" spans="1:3" x14ac:dyDescent="0.25">
      <c r="A763" s="1" t="s">
        <v>1527</v>
      </c>
      <c r="B763" s="1" t="s">
        <v>1528</v>
      </c>
      <c r="C763" s="1" t="s">
        <v>5</v>
      </c>
    </row>
    <row r="764" spans="1:3" x14ac:dyDescent="0.25">
      <c r="A764" s="1" t="s">
        <v>1529</v>
      </c>
      <c r="B764" s="1" t="s">
        <v>1530</v>
      </c>
      <c r="C764" s="1" t="s">
        <v>5</v>
      </c>
    </row>
    <row r="765" spans="1:3" x14ac:dyDescent="0.25">
      <c r="A765" s="1" t="s">
        <v>1531</v>
      </c>
      <c r="B765" s="1" t="s">
        <v>1532</v>
      </c>
      <c r="C765" s="1" t="s">
        <v>5</v>
      </c>
    </row>
    <row r="766" spans="1:3" x14ac:dyDescent="0.25">
      <c r="A766" s="1" t="s">
        <v>1533</v>
      </c>
      <c r="B766" s="1" t="s">
        <v>1534</v>
      </c>
      <c r="C766" s="1" t="s">
        <v>5</v>
      </c>
    </row>
    <row r="767" spans="1:3" x14ac:dyDescent="0.25">
      <c r="A767" s="1" t="s">
        <v>1535</v>
      </c>
      <c r="B767" s="1" t="s">
        <v>1536</v>
      </c>
      <c r="C767" s="1" t="s">
        <v>5</v>
      </c>
    </row>
    <row r="768" spans="1:3" x14ac:dyDescent="0.25">
      <c r="A768" s="1" t="s">
        <v>1537</v>
      </c>
      <c r="B768" s="1" t="s">
        <v>1538</v>
      </c>
      <c r="C768" s="1" t="s">
        <v>5</v>
      </c>
    </row>
    <row r="769" spans="1:3" x14ac:dyDescent="0.25">
      <c r="A769" s="1" t="s">
        <v>1539</v>
      </c>
      <c r="B769" s="1" t="s">
        <v>1540</v>
      </c>
      <c r="C769" s="1" t="s">
        <v>5</v>
      </c>
    </row>
    <row r="770" spans="1:3" x14ac:dyDescent="0.25">
      <c r="A770" s="1" t="s">
        <v>1541</v>
      </c>
      <c r="B770" s="1" t="s">
        <v>1542</v>
      </c>
      <c r="C770" s="1" t="s">
        <v>5</v>
      </c>
    </row>
    <row r="771" spans="1:3" x14ac:dyDescent="0.25">
      <c r="A771" s="1" t="s">
        <v>1543</v>
      </c>
      <c r="B771" s="1" t="s">
        <v>1544</v>
      </c>
      <c r="C771" s="1" t="s">
        <v>5</v>
      </c>
    </row>
    <row r="772" spans="1:3" x14ac:dyDescent="0.25">
      <c r="A772" s="1" t="s">
        <v>1545</v>
      </c>
      <c r="B772" s="1" t="s">
        <v>1546</v>
      </c>
      <c r="C772" s="1" t="s">
        <v>5</v>
      </c>
    </row>
    <row r="773" spans="1:3" x14ac:dyDescent="0.25">
      <c r="A773" s="1" t="s">
        <v>1547</v>
      </c>
      <c r="B773" s="1" t="s">
        <v>1548</v>
      </c>
      <c r="C773" s="1" t="s">
        <v>5</v>
      </c>
    </row>
    <row r="774" spans="1:3" x14ac:dyDescent="0.25">
      <c r="A774" s="1" t="s">
        <v>1549</v>
      </c>
      <c r="B774" s="1" t="s">
        <v>1550</v>
      </c>
      <c r="C774" s="1" t="s">
        <v>5</v>
      </c>
    </row>
    <row r="775" spans="1:3" x14ac:dyDescent="0.25">
      <c r="A775" s="1" t="s">
        <v>1551</v>
      </c>
      <c r="B775" s="1" t="s">
        <v>1552</v>
      </c>
      <c r="C775" s="1" t="s">
        <v>5</v>
      </c>
    </row>
    <row r="776" spans="1:3" x14ac:dyDescent="0.25">
      <c r="A776" s="1" t="s">
        <v>1553</v>
      </c>
      <c r="B776" s="1" t="s">
        <v>1554</v>
      </c>
      <c r="C776" s="1" t="s">
        <v>5</v>
      </c>
    </row>
    <row r="777" spans="1:3" x14ac:dyDescent="0.25">
      <c r="A777" s="1" t="s">
        <v>1555</v>
      </c>
      <c r="B777" s="1" t="s">
        <v>1556</v>
      </c>
      <c r="C777" s="1" t="s">
        <v>5</v>
      </c>
    </row>
    <row r="778" spans="1:3" x14ac:dyDescent="0.25">
      <c r="A778" s="1" t="s">
        <v>1557</v>
      </c>
      <c r="B778" s="1" t="s">
        <v>1558</v>
      </c>
      <c r="C778" s="1" t="s">
        <v>5</v>
      </c>
    </row>
    <row r="779" spans="1:3" x14ac:dyDescent="0.25">
      <c r="A779" s="1" t="s">
        <v>1559</v>
      </c>
      <c r="B779" s="1" t="s">
        <v>1560</v>
      </c>
      <c r="C779" s="1" t="s">
        <v>5</v>
      </c>
    </row>
    <row r="780" spans="1:3" x14ac:dyDescent="0.25">
      <c r="A780" s="1" t="s">
        <v>1561</v>
      </c>
      <c r="B780" s="1" t="s">
        <v>1562</v>
      </c>
      <c r="C780" s="1" t="s">
        <v>5</v>
      </c>
    </row>
    <row r="781" spans="1:3" x14ac:dyDescent="0.25">
      <c r="A781" s="1" t="s">
        <v>1563</v>
      </c>
      <c r="B781" s="1" t="s">
        <v>1564</v>
      </c>
      <c r="C781" s="1" t="s">
        <v>5</v>
      </c>
    </row>
    <row r="782" spans="1:3" x14ac:dyDescent="0.25">
      <c r="A782" s="1" t="s">
        <v>1565</v>
      </c>
      <c r="B782" s="1" t="s">
        <v>1566</v>
      </c>
      <c r="C782" s="1" t="s">
        <v>5</v>
      </c>
    </row>
    <row r="783" spans="1:3" x14ac:dyDescent="0.25">
      <c r="A783" s="1" t="s">
        <v>1567</v>
      </c>
      <c r="B783" s="1" t="s">
        <v>1568</v>
      </c>
      <c r="C783" s="1" t="s">
        <v>5</v>
      </c>
    </row>
    <row r="784" spans="1:3" x14ac:dyDescent="0.25">
      <c r="A784" s="1" t="s">
        <v>1569</v>
      </c>
      <c r="B784" s="1" t="s">
        <v>1570</v>
      </c>
      <c r="C784" s="1" t="s">
        <v>5</v>
      </c>
    </row>
    <row r="785" spans="1:3" x14ac:dyDescent="0.25">
      <c r="A785" s="1" t="s">
        <v>1571</v>
      </c>
      <c r="B785" s="1" t="s">
        <v>1572</v>
      </c>
      <c r="C785" s="1" t="s">
        <v>5</v>
      </c>
    </row>
    <row r="786" spans="1:3" x14ac:dyDescent="0.25">
      <c r="A786" s="1" t="s">
        <v>1573</v>
      </c>
      <c r="B786" s="1" t="s">
        <v>1574</v>
      </c>
      <c r="C786" s="1" t="s">
        <v>5</v>
      </c>
    </row>
    <row r="787" spans="1:3" x14ac:dyDescent="0.25">
      <c r="A787" s="1" t="s">
        <v>1575</v>
      </c>
      <c r="B787" s="1" t="s">
        <v>1576</v>
      </c>
      <c r="C787" s="1" t="s">
        <v>5</v>
      </c>
    </row>
    <row r="788" spans="1:3" x14ac:dyDescent="0.25">
      <c r="A788" s="1" t="s">
        <v>1577</v>
      </c>
      <c r="B788" s="1" t="s">
        <v>1578</v>
      </c>
      <c r="C788" s="1" t="s">
        <v>5</v>
      </c>
    </row>
    <row r="789" spans="1:3" x14ac:dyDescent="0.25">
      <c r="A789" s="1" t="s">
        <v>1579</v>
      </c>
      <c r="B789" s="1" t="s">
        <v>1580</v>
      </c>
      <c r="C789" s="1" t="s">
        <v>5</v>
      </c>
    </row>
    <row r="790" spans="1:3" x14ac:dyDescent="0.25">
      <c r="A790" s="1" t="s">
        <v>1581</v>
      </c>
      <c r="B790" s="1" t="s">
        <v>1582</v>
      </c>
      <c r="C790" s="1" t="s">
        <v>5</v>
      </c>
    </row>
    <row r="791" spans="1:3" x14ac:dyDescent="0.25">
      <c r="A791" s="1" t="s">
        <v>1583</v>
      </c>
      <c r="B791" s="1" t="s">
        <v>1584</v>
      </c>
      <c r="C791" s="1" t="s">
        <v>5</v>
      </c>
    </row>
    <row r="792" spans="1:3" x14ac:dyDescent="0.25">
      <c r="A792" s="1" t="s">
        <v>1585</v>
      </c>
      <c r="B792" s="1" t="s">
        <v>1586</v>
      </c>
      <c r="C792" s="1" t="s">
        <v>5</v>
      </c>
    </row>
    <row r="793" spans="1:3" x14ac:dyDescent="0.25">
      <c r="A793" s="1" t="s">
        <v>1587</v>
      </c>
      <c r="B793" s="1" t="s">
        <v>1588</v>
      </c>
      <c r="C793" s="1" t="s">
        <v>5</v>
      </c>
    </row>
    <row r="794" spans="1:3" x14ac:dyDescent="0.25">
      <c r="A794" s="1" t="s">
        <v>1589</v>
      </c>
      <c r="B794" s="1" t="s">
        <v>1590</v>
      </c>
      <c r="C794" s="1" t="s">
        <v>5</v>
      </c>
    </row>
    <row r="795" spans="1:3" x14ac:dyDescent="0.25">
      <c r="A795" s="1" t="s">
        <v>1591</v>
      </c>
      <c r="B795" s="1" t="s">
        <v>1592</v>
      </c>
      <c r="C795" s="1" t="s">
        <v>5</v>
      </c>
    </row>
    <row r="796" spans="1:3" x14ac:dyDescent="0.25">
      <c r="A796" s="1" t="s">
        <v>1593</v>
      </c>
      <c r="B796" s="1" t="s">
        <v>1594</v>
      </c>
      <c r="C796" s="1" t="s">
        <v>5</v>
      </c>
    </row>
    <row r="797" spans="1:3" x14ac:dyDescent="0.25">
      <c r="A797" s="1" t="s">
        <v>1595</v>
      </c>
      <c r="B797" s="1" t="s">
        <v>1596</v>
      </c>
      <c r="C797" s="1" t="s">
        <v>5</v>
      </c>
    </row>
    <row r="798" spans="1:3" x14ac:dyDescent="0.25">
      <c r="A798" s="1" t="s">
        <v>1597</v>
      </c>
      <c r="B798" s="1" t="s">
        <v>1598</v>
      </c>
      <c r="C798" s="1" t="s">
        <v>5</v>
      </c>
    </row>
    <row r="799" spans="1:3" x14ac:dyDescent="0.25">
      <c r="A799" s="1" t="s">
        <v>1599</v>
      </c>
      <c r="B799" s="1" t="s">
        <v>1600</v>
      </c>
      <c r="C799" s="1" t="s">
        <v>5</v>
      </c>
    </row>
    <row r="800" spans="1:3" x14ac:dyDescent="0.25">
      <c r="A800" s="1" t="s">
        <v>1601</v>
      </c>
      <c r="B800" s="1" t="s">
        <v>1602</v>
      </c>
      <c r="C800" s="1" t="s">
        <v>5</v>
      </c>
    </row>
    <row r="801" spans="1:3" x14ac:dyDescent="0.25">
      <c r="A801" s="1" t="s">
        <v>1603</v>
      </c>
      <c r="B801" s="1" t="s">
        <v>1604</v>
      </c>
      <c r="C801" s="1" t="s">
        <v>5</v>
      </c>
    </row>
    <row r="802" spans="1:3" x14ac:dyDescent="0.25">
      <c r="A802" s="1" t="s">
        <v>1605</v>
      </c>
      <c r="B802" s="1" t="s">
        <v>1606</v>
      </c>
      <c r="C802" s="1" t="s">
        <v>5</v>
      </c>
    </row>
    <row r="803" spans="1:3" x14ac:dyDescent="0.25">
      <c r="A803" s="1" t="s">
        <v>1607</v>
      </c>
      <c r="B803" s="1" t="s">
        <v>1608</v>
      </c>
      <c r="C803" s="1" t="s">
        <v>5</v>
      </c>
    </row>
    <row r="804" spans="1:3" x14ac:dyDescent="0.25">
      <c r="A804" s="1" t="s">
        <v>1609</v>
      </c>
      <c r="B804" s="1" t="s">
        <v>1610</v>
      </c>
      <c r="C804" s="1" t="s">
        <v>5</v>
      </c>
    </row>
    <row r="805" spans="1:3" x14ac:dyDescent="0.25">
      <c r="A805" s="1" t="s">
        <v>1611</v>
      </c>
      <c r="B805" s="1" t="s">
        <v>1612</v>
      </c>
      <c r="C805" s="1" t="s">
        <v>5</v>
      </c>
    </row>
    <row r="806" spans="1:3" x14ac:dyDescent="0.25">
      <c r="A806" s="1" t="s">
        <v>1613</v>
      </c>
      <c r="B806" s="1" t="s">
        <v>1614</v>
      </c>
      <c r="C806" s="1" t="s">
        <v>5</v>
      </c>
    </row>
    <row r="807" spans="1:3" x14ac:dyDescent="0.25">
      <c r="A807" s="1" t="s">
        <v>1615</v>
      </c>
      <c r="B807" s="1" t="s">
        <v>1616</v>
      </c>
      <c r="C807" s="1" t="s">
        <v>5</v>
      </c>
    </row>
    <row r="808" spans="1:3" x14ac:dyDescent="0.25">
      <c r="A808" s="1" t="s">
        <v>1617</v>
      </c>
      <c r="B808" s="1" t="s">
        <v>1618</v>
      </c>
      <c r="C808" s="1" t="s">
        <v>5</v>
      </c>
    </row>
    <row r="809" spans="1:3" x14ac:dyDescent="0.25">
      <c r="A809" s="1" t="s">
        <v>1619</v>
      </c>
      <c r="B809" s="1" t="s">
        <v>1620</v>
      </c>
      <c r="C809" s="1" t="s">
        <v>5</v>
      </c>
    </row>
    <row r="810" spans="1:3" x14ac:dyDescent="0.25">
      <c r="A810" s="1" t="s">
        <v>1621</v>
      </c>
      <c r="B810" s="1" t="s">
        <v>1622</v>
      </c>
      <c r="C810" s="1" t="s">
        <v>5</v>
      </c>
    </row>
    <row r="811" spans="1:3" x14ac:dyDescent="0.25">
      <c r="A811" s="1" t="s">
        <v>1623</v>
      </c>
      <c r="B811" s="1" t="s">
        <v>1624</v>
      </c>
      <c r="C811" s="1" t="s">
        <v>5</v>
      </c>
    </row>
    <row r="812" spans="1:3" x14ac:dyDescent="0.25">
      <c r="A812" s="1" t="s">
        <v>1625</v>
      </c>
      <c r="B812" s="1" t="s">
        <v>1626</v>
      </c>
      <c r="C812" s="1" t="s">
        <v>5</v>
      </c>
    </row>
    <row r="813" spans="1:3" x14ac:dyDescent="0.25">
      <c r="A813" s="1" t="s">
        <v>1627</v>
      </c>
      <c r="B813" s="1" t="s">
        <v>1628</v>
      </c>
      <c r="C813" s="1" t="s">
        <v>5</v>
      </c>
    </row>
    <row r="814" spans="1:3" x14ac:dyDescent="0.25">
      <c r="A814" s="1" t="s">
        <v>1629</v>
      </c>
      <c r="B814" s="1" t="s">
        <v>1630</v>
      </c>
      <c r="C814" s="1" t="s">
        <v>5</v>
      </c>
    </row>
    <row r="815" spans="1:3" x14ac:dyDescent="0.25">
      <c r="A815" s="1" t="s">
        <v>1631</v>
      </c>
      <c r="B815" s="1" t="s">
        <v>1632</v>
      </c>
      <c r="C815" s="1" t="s">
        <v>5</v>
      </c>
    </row>
    <row r="816" spans="1:3" x14ac:dyDescent="0.25">
      <c r="A816" s="1" t="s">
        <v>1633</v>
      </c>
      <c r="B816" s="1" t="s">
        <v>1634</v>
      </c>
      <c r="C816" s="1" t="s">
        <v>5</v>
      </c>
    </row>
    <row r="817" spans="1:3" x14ac:dyDescent="0.25">
      <c r="A817" s="1" t="s">
        <v>1635</v>
      </c>
      <c r="B817" s="1" t="s">
        <v>1636</v>
      </c>
      <c r="C817" s="1" t="s">
        <v>5</v>
      </c>
    </row>
    <row r="818" spans="1:3" x14ac:dyDescent="0.25">
      <c r="A818" s="1" t="s">
        <v>1637</v>
      </c>
      <c r="B818" s="1" t="s">
        <v>1638</v>
      </c>
      <c r="C818" s="1" t="s">
        <v>5</v>
      </c>
    </row>
    <row r="819" spans="1:3" x14ac:dyDescent="0.25">
      <c r="A819" s="1" t="s">
        <v>1639</v>
      </c>
      <c r="B819" s="1" t="s">
        <v>1640</v>
      </c>
      <c r="C819" s="1" t="s">
        <v>5</v>
      </c>
    </row>
    <row r="820" spans="1:3" x14ac:dyDescent="0.25">
      <c r="A820" s="1" t="s">
        <v>1641</v>
      </c>
      <c r="B820" s="1" t="s">
        <v>1642</v>
      </c>
      <c r="C820" s="1" t="s">
        <v>5</v>
      </c>
    </row>
    <row r="821" spans="1:3" x14ac:dyDescent="0.25">
      <c r="A821" s="1" t="s">
        <v>1643</v>
      </c>
      <c r="B821" s="1" t="s">
        <v>1644</v>
      </c>
      <c r="C821" s="1" t="s">
        <v>5</v>
      </c>
    </row>
    <row r="822" spans="1:3" x14ac:dyDescent="0.25">
      <c r="A822" s="1" t="s">
        <v>1645</v>
      </c>
      <c r="B822" s="1" t="s">
        <v>1646</v>
      </c>
      <c r="C822" s="1" t="s">
        <v>5</v>
      </c>
    </row>
    <row r="823" spans="1:3" x14ac:dyDescent="0.25">
      <c r="A823" s="1" t="s">
        <v>1647</v>
      </c>
      <c r="B823" s="1" t="s">
        <v>1648</v>
      </c>
      <c r="C823" s="1" t="s">
        <v>5</v>
      </c>
    </row>
    <row r="824" spans="1:3" x14ac:dyDescent="0.25">
      <c r="A824" s="1" t="s">
        <v>1649</v>
      </c>
      <c r="B824" s="1" t="s">
        <v>1650</v>
      </c>
      <c r="C824" s="1" t="s">
        <v>5</v>
      </c>
    </row>
    <row r="825" spans="1:3" x14ac:dyDescent="0.25">
      <c r="A825" s="1" t="s">
        <v>1651</v>
      </c>
      <c r="B825" s="1" t="s">
        <v>1652</v>
      </c>
      <c r="C825" s="1" t="s">
        <v>5</v>
      </c>
    </row>
    <row r="826" spans="1:3" x14ac:dyDescent="0.25">
      <c r="A826" s="1" t="s">
        <v>1653</v>
      </c>
      <c r="B826" s="1" t="s">
        <v>1654</v>
      </c>
      <c r="C826" s="1" t="s">
        <v>5</v>
      </c>
    </row>
    <row r="827" spans="1:3" x14ac:dyDescent="0.25">
      <c r="A827" s="1" t="s">
        <v>1655</v>
      </c>
      <c r="B827" s="1" t="s">
        <v>1656</v>
      </c>
      <c r="C827" s="1" t="s">
        <v>5</v>
      </c>
    </row>
    <row r="828" spans="1:3" x14ac:dyDescent="0.25">
      <c r="A828" s="1" t="s">
        <v>1657</v>
      </c>
      <c r="B828" s="1" t="s">
        <v>1658</v>
      </c>
      <c r="C828" s="1" t="s">
        <v>5</v>
      </c>
    </row>
    <row r="829" spans="1:3" x14ac:dyDescent="0.25">
      <c r="A829" s="1" t="s">
        <v>1659</v>
      </c>
      <c r="B829" s="1" t="s">
        <v>1660</v>
      </c>
      <c r="C829" s="1" t="s">
        <v>5</v>
      </c>
    </row>
    <row r="830" spans="1:3" x14ac:dyDescent="0.25">
      <c r="A830" s="1" t="s">
        <v>1661</v>
      </c>
      <c r="B830" s="1" t="s">
        <v>1662</v>
      </c>
      <c r="C830" s="1" t="s">
        <v>5</v>
      </c>
    </row>
    <row r="831" spans="1:3" x14ac:dyDescent="0.25">
      <c r="A831" s="1" t="s">
        <v>1663</v>
      </c>
      <c r="B831" s="1" t="s">
        <v>1664</v>
      </c>
      <c r="C831" s="1" t="s">
        <v>5</v>
      </c>
    </row>
    <row r="832" spans="1:3" x14ac:dyDescent="0.25">
      <c r="A832" s="1" t="s">
        <v>1665</v>
      </c>
      <c r="B832" s="1" t="s">
        <v>1666</v>
      </c>
      <c r="C832" s="1" t="s">
        <v>5</v>
      </c>
    </row>
    <row r="833" spans="1:3" x14ac:dyDescent="0.25">
      <c r="A833" s="1" t="s">
        <v>1667</v>
      </c>
      <c r="B833" s="1" t="s">
        <v>1668</v>
      </c>
      <c r="C833" s="1" t="s">
        <v>5</v>
      </c>
    </row>
    <row r="834" spans="1:3" x14ac:dyDescent="0.25">
      <c r="A834" s="1" t="s">
        <v>1669</v>
      </c>
      <c r="B834" s="1" t="s">
        <v>1670</v>
      </c>
      <c r="C834" s="1" t="s">
        <v>5</v>
      </c>
    </row>
    <row r="835" spans="1:3" x14ac:dyDescent="0.25">
      <c r="A835" s="1" t="s">
        <v>1671</v>
      </c>
      <c r="B835" s="1" t="s">
        <v>1672</v>
      </c>
      <c r="C835" s="1" t="s">
        <v>5</v>
      </c>
    </row>
    <row r="836" spans="1:3" x14ac:dyDescent="0.25">
      <c r="A836" s="1" t="s">
        <v>1673</v>
      </c>
      <c r="B836" s="1" t="s">
        <v>1674</v>
      </c>
      <c r="C836" s="1" t="s">
        <v>5</v>
      </c>
    </row>
    <row r="837" spans="1:3" x14ac:dyDescent="0.25">
      <c r="A837" s="1" t="s">
        <v>1675</v>
      </c>
      <c r="B837" s="1" t="s">
        <v>1676</v>
      </c>
      <c r="C837" s="1" t="s">
        <v>5</v>
      </c>
    </row>
    <row r="838" spans="1:3" x14ac:dyDescent="0.25">
      <c r="A838" s="1" t="s">
        <v>1677</v>
      </c>
      <c r="B838" s="1" t="s">
        <v>1678</v>
      </c>
      <c r="C838" s="1" t="s">
        <v>5</v>
      </c>
    </row>
    <row r="839" spans="1:3" x14ac:dyDescent="0.25">
      <c r="A839" s="1" t="s">
        <v>1679</v>
      </c>
      <c r="B839" s="1" t="s">
        <v>1680</v>
      </c>
      <c r="C839" s="1" t="s">
        <v>5</v>
      </c>
    </row>
    <row r="840" spans="1:3" x14ac:dyDescent="0.25">
      <c r="A840" s="1" t="s">
        <v>1681</v>
      </c>
      <c r="B840" s="1" t="s">
        <v>1682</v>
      </c>
      <c r="C840" s="1" t="s">
        <v>5</v>
      </c>
    </row>
    <row r="841" spans="1:3" x14ac:dyDescent="0.25">
      <c r="A841" s="1" t="s">
        <v>1683</v>
      </c>
      <c r="B841" s="1" t="s">
        <v>1684</v>
      </c>
      <c r="C841" s="1" t="s">
        <v>5</v>
      </c>
    </row>
    <row r="842" spans="1:3" x14ac:dyDescent="0.25">
      <c r="A842" s="1" t="s">
        <v>1685</v>
      </c>
      <c r="B842" s="1" t="s">
        <v>1686</v>
      </c>
      <c r="C842" s="1" t="s">
        <v>5</v>
      </c>
    </row>
    <row r="843" spans="1:3" x14ac:dyDescent="0.25">
      <c r="A843" s="1" t="s">
        <v>1687</v>
      </c>
      <c r="B843" s="1" t="s">
        <v>1688</v>
      </c>
      <c r="C843" s="1" t="s">
        <v>5</v>
      </c>
    </row>
    <row r="844" spans="1:3" x14ac:dyDescent="0.25">
      <c r="A844" s="1" t="s">
        <v>1689</v>
      </c>
      <c r="B844" s="1" t="s">
        <v>1690</v>
      </c>
      <c r="C844" s="1" t="s">
        <v>5</v>
      </c>
    </row>
    <row r="845" spans="1:3" x14ac:dyDescent="0.25">
      <c r="A845" s="1" t="s">
        <v>1691</v>
      </c>
      <c r="B845" s="1" t="s">
        <v>1692</v>
      </c>
      <c r="C845" s="1" t="s">
        <v>5</v>
      </c>
    </row>
    <row r="846" spans="1:3" x14ac:dyDescent="0.25">
      <c r="A846" s="1" t="s">
        <v>1693</v>
      </c>
      <c r="B846" s="1" t="s">
        <v>1694</v>
      </c>
      <c r="C846" s="1" t="s">
        <v>5</v>
      </c>
    </row>
    <row r="847" spans="1:3" x14ac:dyDescent="0.25">
      <c r="A847" s="1" t="s">
        <v>1695</v>
      </c>
      <c r="B847" s="1" t="s">
        <v>1696</v>
      </c>
      <c r="C847" s="1" t="s">
        <v>5</v>
      </c>
    </row>
    <row r="848" spans="1:3" x14ac:dyDescent="0.25">
      <c r="A848" s="1" t="s">
        <v>1697</v>
      </c>
      <c r="B848" s="1" t="s">
        <v>1698</v>
      </c>
      <c r="C848" s="1" t="s">
        <v>5</v>
      </c>
    </row>
    <row r="849" spans="1:3" x14ac:dyDescent="0.25">
      <c r="A849" s="1" t="s">
        <v>1699</v>
      </c>
      <c r="B849" s="1" t="s">
        <v>1700</v>
      </c>
      <c r="C849" s="1" t="s">
        <v>5</v>
      </c>
    </row>
    <row r="850" spans="1:3" x14ac:dyDescent="0.25">
      <c r="A850" s="1" t="s">
        <v>1701</v>
      </c>
      <c r="B850" s="1" t="s">
        <v>1702</v>
      </c>
      <c r="C850" s="1" t="s">
        <v>5</v>
      </c>
    </row>
    <row r="851" spans="1:3" x14ac:dyDescent="0.25">
      <c r="A851" s="1" t="s">
        <v>1703</v>
      </c>
      <c r="B851" s="1" t="s">
        <v>1704</v>
      </c>
      <c r="C851" s="1" t="s">
        <v>5</v>
      </c>
    </row>
    <row r="852" spans="1:3" x14ac:dyDescent="0.25">
      <c r="A852" s="1" t="s">
        <v>1705</v>
      </c>
      <c r="B852" s="1" t="s">
        <v>1706</v>
      </c>
      <c r="C852" s="1" t="s">
        <v>5</v>
      </c>
    </row>
    <row r="853" spans="1:3" x14ac:dyDescent="0.25">
      <c r="A853" s="1" t="s">
        <v>1707</v>
      </c>
      <c r="B853" s="1" t="s">
        <v>1708</v>
      </c>
      <c r="C853" s="1" t="s">
        <v>5</v>
      </c>
    </row>
    <row r="854" spans="1:3" x14ac:dyDescent="0.25">
      <c r="A854" s="1" t="s">
        <v>1709</v>
      </c>
      <c r="B854" s="1" t="s">
        <v>1710</v>
      </c>
      <c r="C854" s="1" t="s">
        <v>5</v>
      </c>
    </row>
    <row r="855" spans="1:3" x14ac:dyDescent="0.25">
      <c r="A855" s="1" t="s">
        <v>1711</v>
      </c>
      <c r="B855" s="1" t="s">
        <v>1712</v>
      </c>
      <c r="C855" s="1" t="s">
        <v>5</v>
      </c>
    </row>
    <row r="856" spans="1:3" x14ac:dyDescent="0.25">
      <c r="A856" s="1" t="s">
        <v>1713</v>
      </c>
      <c r="B856" s="1" t="s">
        <v>1714</v>
      </c>
      <c r="C856" s="1" t="s">
        <v>5</v>
      </c>
    </row>
    <row r="857" spans="1:3" x14ac:dyDescent="0.25">
      <c r="A857" s="1" t="s">
        <v>1715</v>
      </c>
      <c r="B857" s="1" t="s">
        <v>1716</v>
      </c>
      <c r="C857" s="1" t="s">
        <v>5</v>
      </c>
    </row>
    <row r="858" spans="1:3" x14ac:dyDescent="0.25">
      <c r="A858" s="1" t="s">
        <v>1717</v>
      </c>
      <c r="B858" s="1" t="s">
        <v>1718</v>
      </c>
      <c r="C858" s="1" t="s">
        <v>5</v>
      </c>
    </row>
    <row r="859" spans="1:3" x14ac:dyDescent="0.25">
      <c r="A859" s="1" t="s">
        <v>1719</v>
      </c>
      <c r="B859" s="1" t="s">
        <v>1720</v>
      </c>
      <c r="C859" s="1" t="s">
        <v>5</v>
      </c>
    </row>
    <row r="860" spans="1:3" x14ac:dyDescent="0.25">
      <c r="A860" s="1" t="s">
        <v>1721</v>
      </c>
      <c r="B860" s="1" t="s">
        <v>1722</v>
      </c>
      <c r="C860" s="1" t="s">
        <v>5</v>
      </c>
    </row>
    <row r="861" spans="1:3" x14ac:dyDescent="0.25">
      <c r="A861" s="1" t="s">
        <v>1723</v>
      </c>
      <c r="B861" s="1" t="s">
        <v>1724</v>
      </c>
      <c r="C861" s="1" t="s">
        <v>5</v>
      </c>
    </row>
    <row r="862" spans="1:3" x14ac:dyDescent="0.25">
      <c r="A862" s="1" t="s">
        <v>1725</v>
      </c>
      <c r="B862" s="1" t="s">
        <v>1726</v>
      </c>
      <c r="C862" s="1" t="s">
        <v>5</v>
      </c>
    </row>
    <row r="863" spans="1:3" x14ac:dyDescent="0.25">
      <c r="A863" s="1" t="s">
        <v>1727</v>
      </c>
      <c r="B863" s="1" t="s">
        <v>1728</v>
      </c>
      <c r="C863" s="1" t="s">
        <v>5</v>
      </c>
    </row>
    <row r="864" spans="1:3" x14ac:dyDescent="0.25">
      <c r="A864" s="1" t="s">
        <v>1729</v>
      </c>
      <c r="B864" s="1" t="s">
        <v>1730</v>
      </c>
      <c r="C864" s="1" t="s">
        <v>5</v>
      </c>
    </row>
    <row r="865" spans="1:3" x14ac:dyDescent="0.25">
      <c r="A865" s="1" t="s">
        <v>1731</v>
      </c>
      <c r="B865" s="1" t="s">
        <v>1732</v>
      </c>
      <c r="C865" s="1" t="s">
        <v>5</v>
      </c>
    </row>
    <row r="866" spans="1:3" x14ac:dyDescent="0.25">
      <c r="A866" s="1" t="s">
        <v>1733</v>
      </c>
      <c r="B866" s="1" t="s">
        <v>1734</v>
      </c>
      <c r="C866" s="1" t="s">
        <v>5</v>
      </c>
    </row>
    <row r="867" spans="1:3" x14ac:dyDescent="0.25">
      <c r="A867" s="1" t="s">
        <v>1735</v>
      </c>
      <c r="B867" s="1" t="s">
        <v>1736</v>
      </c>
      <c r="C867" s="1" t="s">
        <v>5</v>
      </c>
    </row>
    <row r="868" spans="1:3" x14ac:dyDescent="0.25">
      <c r="A868" s="1" t="s">
        <v>1737</v>
      </c>
      <c r="B868" s="1" t="s">
        <v>1738</v>
      </c>
      <c r="C868" s="1" t="s">
        <v>5</v>
      </c>
    </row>
    <row r="869" spans="1:3" x14ac:dyDescent="0.25">
      <c r="A869" s="1" t="s">
        <v>1739</v>
      </c>
      <c r="B869" s="1" t="s">
        <v>1740</v>
      </c>
      <c r="C869" s="1" t="s">
        <v>5</v>
      </c>
    </row>
    <row r="870" spans="1:3" x14ac:dyDescent="0.25">
      <c r="A870" s="1" t="s">
        <v>1741</v>
      </c>
      <c r="B870" s="1" t="s">
        <v>1742</v>
      </c>
      <c r="C870" s="1" t="s">
        <v>5</v>
      </c>
    </row>
    <row r="871" spans="1:3" x14ac:dyDescent="0.25">
      <c r="A871" s="1" t="s">
        <v>1743</v>
      </c>
      <c r="B871" s="1" t="s">
        <v>1744</v>
      </c>
      <c r="C871" s="1" t="s">
        <v>5</v>
      </c>
    </row>
    <row r="872" spans="1:3" x14ac:dyDescent="0.25">
      <c r="A872" s="1" t="s">
        <v>1745</v>
      </c>
      <c r="B872" s="1" t="s">
        <v>1746</v>
      </c>
      <c r="C872" s="1" t="s">
        <v>5</v>
      </c>
    </row>
    <row r="873" spans="1:3" x14ac:dyDescent="0.25">
      <c r="A873" s="1" t="s">
        <v>1747</v>
      </c>
      <c r="B873" s="1" t="s">
        <v>1748</v>
      </c>
      <c r="C873" s="1" t="s">
        <v>5</v>
      </c>
    </row>
    <row r="874" spans="1:3" x14ac:dyDescent="0.25">
      <c r="A874" s="1" t="s">
        <v>1749</v>
      </c>
      <c r="B874" s="1" t="s">
        <v>1750</v>
      </c>
      <c r="C874" s="1" t="s">
        <v>5</v>
      </c>
    </row>
    <row r="875" spans="1:3" x14ac:dyDescent="0.25">
      <c r="A875" s="1" t="s">
        <v>1751</v>
      </c>
      <c r="B875" s="1" t="s">
        <v>1752</v>
      </c>
      <c r="C875" s="1" t="s">
        <v>5</v>
      </c>
    </row>
    <row r="876" spans="1:3" x14ac:dyDescent="0.25">
      <c r="A876" s="1" t="s">
        <v>1753</v>
      </c>
      <c r="B876" s="1" t="s">
        <v>1754</v>
      </c>
      <c r="C876" s="1" t="s">
        <v>5</v>
      </c>
    </row>
    <row r="877" spans="1:3" x14ac:dyDescent="0.25">
      <c r="A877" s="1" t="s">
        <v>1755</v>
      </c>
      <c r="B877" s="1" t="s">
        <v>1756</v>
      </c>
      <c r="C877" s="1" t="s">
        <v>5</v>
      </c>
    </row>
    <row r="878" spans="1:3" x14ac:dyDescent="0.25">
      <c r="A878" s="1" t="s">
        <v>1757</v>
      </c>
      <c r="B878" s="1" t="s">
        <v>1758</v>
      </c>
      <c r="C878" s="1" t="s">
        <v>5</v>
      </c>
    </row>
    <row r="879" spans="1:3" x14ac:dyDescent="0.25">
      <c r="A879" s="1" t="s">
        <v>1759</v>
      </c>
      <c r="B879" s="1" t="s">
        <v>1760</v>
      </c>
      <c r="C879" s="1" t="s">
        <v>5</v>
      </c>
    </row>
    <row r="880" spans="1:3" x14ac:dyDescent="0.25">
      <c r="A880" s="1" t="s">
        <v>1761</v>
      </c>
      <c r="B880" s="1" t="s">
        <v>1762</v>
      </c>
      <c r="C880" s="1" t="s">
        <v>5</v>
      </c>
    </row>
    <row r="881" spans="1:3" x14ac:dyDescent="0.25">
      <c r="A881" s="1" t="s">
        <v>1763</v>
      </c>
      <c r="B881" s="1" t="s">
        <v>1764</v>
      </c>
      <c r="C881" s="1" t="s">
        <v>5</v>
      </c>
    </row>
    <row r="882" spans="1:3" x14ac:dyDescent="0.25">
      <c r="A882" s="1" t="s">
        <v>1765</v>
      </c>
      <c r="B882" s="1" t="s">
        <v>1766</v>
      </c>
      <c r="C882" s="1" t="s">
        <v>5</v>
      </c>
    </row>
    <row r="883" spans="1:3" x14ac:dyDescent="0.25">
      <c r="A883" s="1" t="s">
        <v>1767</v>
      </c>
      <c r="B883" s="1" t="s">
        <v>1768</v>
      </c>
      <c r="C883" s="1" t="s">
        <v>5</v>
      </c>
    </row>
    <row r="884" spans="1:3" x14ac:dyDescent="0.25">
      <c r="A884" s="1" t="s">
        <v>1769</v>
      </c>
      <c r="B884" s="1" t="s">
        <v>1770</v>
      </c>
      <c r="C884" s="1" t="s">
        <v>5</v>
      </c>
    </row>
    <row r="885" spans="1:3" x14ac:dyDescent="0.25">
      <c r="A885" s="1" t="s">
        <v>1771</v>
      </c>
      <c r="B885" s="1" t="s">
        <v>1772</v>
      </c>
      <c r="C885" s="1" t="s">
        <v>5</v>
      </c>
    </row>
    <row r="886" spans="1:3" x14ac:dyDescent="0.25">
      <c r="A886" s="1" t="s">
        <v>1773</v>
      </c>
      <c r="B886" s="1" t="s">
        <v>1774</v>
      </c>
      <c r="C886" s="1" t="s">
        <v>5</v>
      </c>
    </row>
    <row r="887" spans="1:3" x14ac:dyDescent="0.25">
      <c r="A887" s="1" t="s">
        <v>1775</v>
      </c>
      <c r="B887" s="1" t="s">
        <v>1776</v>
      </c>
      <c r="C887" s="1" t="s">
        <v>5</v>
      </c>
    </row>
    <row r="888" spans="1:3" x14ac:dyDescent="0.25">
      <c r="A888" s="1" t="s">
        <v>1777</v>
      </c>
      <c r="B888" s="1" t="s">
        <v>1778</v>
      </c>
      <c r="C888" s="1" t="s">
        <v>448</v>
      </c>
    </row>
    <row r="889" spans="1:3" x14ac:dyDescent="0.25">
      <c r="A889" s="1" t="s">
        <v>1779</v>
      </c>
      <c r="B889" s="1" t="s">
        <v>1780</v>
      </c>
      <c r="C889" s="1" t="s">
        <v>5</v>
      </c>
    </row>
    <row r="890" spans="1:3" x14ac:dyDescent="0.25">
      <c r="A890" s="1" t="s">
        <v>1781</v>
      </c>
      <c r="B890" s="1" t="s">
        <v>1782</v>
      </c>
      <c r="C890" s="1" t="s">
        <v>5</v>
      </c>
    </row>
    <row r="891" spans="1:3" x14ac:dyDescent="0.25">
      <c r="A891" s="1" t="s">
        <v>1783</v>
      </c>
      <c r="B891" s="1" t="s">
        <v>1784</v>
      </c>
      <c r="C891" s="1" t="s">
        <v>5</v>
      </c>
    </row>
    <row r="892" spans="1:3" x14ac:dyDescent="0.25">
      <c r="A892" s="1" t="s">
        <v>1785</v>
      </c>
      <c r="B892" s="1" t="s">
        <v>1786</v>
      </c>
      <c r="C892" s="1" t="s">
        <v>5</v>
      </c>
    </row>
    <row r="893" spans="1:3" x14ac:dyDescent="0.25">
      <c r="A893" s="1" t="s">
        <v>1787</v>
      </c>
      <c r="B893" s="1" t="s">
        <v>1788</v>
      </c>
      <c r="C893" s="1" t="s">
        <v>5</v>
      </c>
    </row>
    <row r="894" spans="1:3" x14ac:dyDescent="0.25">
      <c r="A894" s="1" t="s">
        <v>1789</v>
      </c>
      <c r="B894" s="1" t="s">
        <v>1790</v>
      </c>
      <c r="C894" s="1" t="s">
        <v>5</v>
      </c>
    </row>
    <row r="895" spans="1:3" x14ac:dyDescent="0.25">
      <c r="A895" s="1" t="s">
        <v>1791</v>
      </c>
      <c r="B895" s="1" t="s">
        <v>1792</v>
      </c>
      <c r="C895" s="1" t="s">
        <v>5</v>
      </c>
    </row>
    <row r="896" spans="1:3" x14ac:dyDescent="0.25">
      <c r="A896" s="1" t="s">
        <v>1793</v>
      </c>
      <c r="B896" s="1" t="s">
        <v>1794</v>
      </c>
      <c r="C896" s="1" t="s">
        <v>5</v>
      </c>
    </row>
    <row r="897" spans="1:3" x14ac:dyDescent="0.25">
      <c r="A897" s="1" t="s">
        <v>1795</v>
      </c>
      <c r="B897" s="1" t="s">
        <v>1796</v>
      </c>
      <c r="C897" s="1" t="s">
        <v>5</v>
      </c>
    </row>
    <row r="898" spans="1:3" x14ac:dyDescent="0.25">
      <c r="A898" s="1" t="s">
        <v>1797</v>
      </c>
      <c r="B898" s="1" t="s">
        <v>1798</v>
      </c>
      <c r="C898" s="1" t="s">
        <v>5</v>
      </c>
    </row>
    <row r="899" spans="1:3" x14ac:dyDescent="0.25">
      <c r="A899" s="1" t="s">
        <v>1799</v>
      </c>
      <c r="B899" s="1" t="s">
        <v>1800</v>
      </c>
      <c r="C899" s="1" t="s">
        <v>5</v>
      </c>
    </row>
    <row r="900" spans="1:3" x14ac:dyDescent="0.25">
      <c r="A900" s="1" t="s">
        <v>1801</v>
      </c>
      <c r="B900" s="1" t="s">
        <v>1802</v>
      </c>
      <c r="C900" s="1" t="s">
        <v>5</v>
      </c>
    </row>
    <row r="901" spans="1:3" x14ac:dyDescent="0.25">
      <c r="A901" s="1" t="s">
        <v>1803</v>
      </c>
      <c r="B901" s="1" t="s">
        <v>1804</v>
      </c>
      <c r="C901" s="1" t="s">
        <v>5</v>
      </c>
    </row>
    <row r="902" spans="1:3" x14ac:dyDescent="0.25">
      <c r="A902" s="1" t="s">
        <v>1805</v>
      </c>
      <c r="B902" s="1" t="s">
        <v>1806</v>
      </c>
      <c r="C902" s="1" t="s">
        <v>5</v>
      </c>
    </row>
    <row r="903" spans="1:3" x14ac:dyDescent="0.25">
      <c r="A903" s="1" t="s">
        <v>1807</v>
      </c>
      <c r="B903" s="1" t="s">
        <v>1808</v>
      </c>
      <c r="C903" s="1" t="s">
        <v>5</v>
      </c>
    </row>
    <row r="904" spans="1:3" x14ac:dyDescent="0.25">
      <c r="A904" s="1" t="s">
        <v>1809</v>
      </c>
      <c r="B904" s="1" t="s">
        <v>1810</v>
      </c>
      <c r="C904" s="1" t="s">
        <v>5</v>
      </c>
    </row>
    <row r="905" spans="1:3" x14ac:dyDescent="0.25">
      <c r="A905" s="1" t="s">
        <v>1811</v>
      </c>
      <c r="B905" s="1" t="s">
        <v>1812</v>
      </c>
      <c r="C905" s="1" t="s">
        <v>5</v>
      </c>
    </row>
    <row r="906" spans="1:3" x14ac:dyDescent="0.25">
      <c r="A906" s="1" t="s">
        <v>1813</v>
      </c>
      <c r="B906" s="1" t="s">
        <v>1814</v>
      </c>
      <c r="C906" s="1" t="s">
        <v>5</v>
      </c>
    </row>
    <row r="907" spans="1:3" x14ac:dyDescent="0.25">
      <c r="A907" s="1" t="s">
        <v>1815</v>
      </c>
      <c r="B907" s="1" t="s">
        <v>1816</v>
      </c>
      <c r="C907" s="1" t="s">
        <v>5</v>
      </c>
    </row>
    <row r="908" spans="1:3" x14ac:dyDescent="0.25">
      <c r="A908" s="1" t="s">
        <v>1817</v>
      </c>
      <c r="B908" s="1" t="s">
        <v>1818</v>
      </c>
      <c r="C908" s="1" t="s">
        <v>5</v>
      </c>
    </row>
    <row r="909" spans="1:3" x14ac:dyDescent="0.25">
      <c r="A909" s="1" t="s">
        <v>1819</v>
      </c>
      <c r="B909" s="1" t="s">
        <v>1820</v>
      </c>
      <c r="C909" s="1" t="s">
        <v>5</v>
      </c>
    </row>
    <row r="910" spans="1:3" x14ac:dyDescent="0.25">
      <c r="A910" s="1" t="s">
        <v>1821</v>
      </c>
      <c r="B910" s="1" t="s">
        <v>1822</v>
      </c>
      <c r="C910" s="1" t="s">
        <v>448</v>
      </c>
    </row>
    <row r="911" spans="1:3" x14ac:dyDescent="0.25">
      <c r="A911" s="1" t="s">
        <v>1823</v>
      </c>
      <c r="B911" s="1" t="s">
        <v>1824</v>
      </c>
      <c r="C911" s="1" t="s">
        <v>5</v>
      </c>
    </row>
    <row r="912" spans="1:3" x14ac:dyDescent="0.25">
      <c r="A912" s="1" t="s">
        <v>1825</v>
      </c>
      <c r="B912" s="1" t="s">
        <v>1826</v>
      </c>
      <c r="C912" s="1" t="s">
        <v>5</v>
      </c>
    </row>
    <row r="913" spans="1:3" x14ac:dyDescent="0.25">
      <c r="A913" s="1" t="s">
        <v>1827</v>
      </c>
      <c r="B913" s="1" t="s">
        <v>1828</v>
      </c>
      <c r="C913" s="1" t="s">
        <v>5</v>
      </c>
    </row>
    <row r="914" spans="1:3" x14ac:dyDescent="0.25">
      <c r="A914" s="1" t="s">
        <v>1829</v>
      </c>
      <c r="B914" s="1" t="s">
        <v>1830</v>
      </c>
      <c r="C914" s="1" t="s">
        <v>5</v>
      </c>
    </row>
    <row r="915" spans="1:3" x14ac:dyDescent="0.25">
      <c r="A915" s="1" t="s">
        <v>1831</v>
      </c>
      <c r="B915" s="1" t="s">
        <v>1832</v>
      </c>
      <c r="C915" s="1" t="s">
        <v>5</v>
      </c>
    </row>
    <row r="916" spans="1:3" x14ac:dyDescent="0.25">
      <c r="A916" s="1" t="s">
        <v>1833</v>
      </c>
      <c r="B916" s="1" t="s">
        <v>1834</v>
      </c>
      <c r="C916" s="1" t="s">
        <v>5</v>
      </c>
    </row>
    <row r="917" spans="1:3" x14ac:dyDescent="0.25">
      <c r="A917" s="1" t="s">
        <v>1835</v>
      </c>
      <c r="B917" s="1" t="s">
        <v>1836</v>
      </c>
      <c r="C917" s="1" t="s">
        <v>5</v>
      </c>
    </row>
    <row r="918" spans="1:3" x14ac:dyDescent="0.25">
      <c r="A918" s="1" t="s">
        <v>1837</v>
      </c>
      <c r="B918" s="1" t="s">
        <v>1838</v>
      </c>
      <c r="C918" s="1" t="s">
        <v>5</v>
      </c>
    </row>
    <row r="919" spans="1:3" x14ac:dyDescent="0.25">
      <c r="A919" s="1" t="s">
        <v>1839</v>
      </c>
      <c r="B919" s="1" t="s">
        <v>1840</v>
      </c>
      <c r="C919" s="1" t="s">
        <v>5</v>
      </c>
    </row>
    <row r="920" spans="1:3" x14ac:dyDescent="0.25">
      <c r="A920" s="1" t="s">
        <v>1841</v>
      </c>
      <c r="B920" s="1" t="s">
        <v>1842</v>
      </c>
      <c r="C920" s="1" t="s">
        <v>5</v>
      </c>
    </row>
    <row r="921" spans="1:3" x14ac:dyDescent="0.25">
      <c r="A921" s="1" t="s">
        <v>1843</v>
      </c>
      <c r="B921" s="1" t="s">
        <v>1844</v>
      </c>
      <c r="C921" s="1" t="s">
        <v>5</v>
      </c>
    </row>
    <row r="922" spans="1:3" x14ac:dyDescent="0.25">
      <c r="A922" s="1" t="s">
        <v>1845</v>
      </c>
      <c r="B922" s="1" t="s">
        <v>1846</v>
      </c>
      <c r="C922" s="1" t="s">
        <v>5</v>
      </c>
    </row>
    <row r="923" spans="1:3" x14ac:dyDescent="0.25">
      <c r="A923" s="1" t="s">
        <v>1847</v>
      </c>
      <c r="B923" s="1" t="s">
        <v>1848</v>
      </c>
      <c r="C923" s="1" t="s">
        <v>5</v>
      </c>
    </row>
    <row r="924" spans="1:3" x14ac:dyDescent="0.25">
      <c r="A924" s="1" t="s">
        <v>1849</v>
      </c>
      <c r="B924" s="1" t="s">
        <v>1850</v>
      </c>
      <c r="C924" s="1" t="s">
        <v>5</v>
      </c>
    </row>
    <row r="925" spans="1:3" x14ac:dyDescent="0.25">
      <c r="A925" s="1" t="s">
        <v>1851</v>
      </c>
      <c r="B925" s="1" t="s">
        <v>1852</v>
      </c>
      <c r="C925" s="1" t="s">
        <v>5</v>
      </c>
    </row>
    <row r="926" spans="1:3" x14ac:dyDescent="0.25">
      <c r="A926" s="1" t="s">
        <v>1853</v>
      </c>
      <c r="B926" s="1" t="s">
        <v>1854</v>
      </c>
      <c r="C926" s="1" t="s">
        <v>5</v>
      </c>
    </row>
    <row r="927" spans="1:3" x14ac:dyDescent="0.25">
      <c r="A927" s="1" t="s">
        <v>1855</v>
      </c>
      <c r="B927" s="1" t="s">
        <v>1856</v>
      </c>
      <c r="C927" s="1" t="s">
        <v>5</v>
      </c>
    </row>
    <row r="928" spans="1:3" x14ac:dyDescent="0.25">
      <c r="A928" s="1" t="s">
        <v>1857</v>
      </c>
      <c r="B928" s="1" t="s">
        <v>1858</v>
      </c>
      <c r="C928" s="1" t="s">
        <v>5</v>
      </c>
    </row>
    <row r="929" spans="1:3" x14ac:dyDescent="0.25">
      <c r="A929" s="1" t="s">
        <v>1859</v>
      </c>
      <c r="B929" s="1" t="s">
        <v>1860</v>
      </c>
      <c r="C929" s="1" t="s">
        <v>5</v>
      </c>
    </row>
    <row r="930" spans="1:3" x14ac:dyDescent="0.25">
      <c r="A930" s="1" t="s">
        <v>1861</v>
      </c>
      <c r="B930" s="1" t="s">
        <v>1862</v>
      </c>
      <c r="C930" s="1" t="s">
        <v>5</v>
      </c>
    </row>
    <row r="931" spans="1:3" x14ac:dyDescent="0.25">
      <c r="A931" s="1" t="s">
        <v>1863</v>
      </c>
      <c r="B931" s="1" t="s">
        <v>1864</v>
      </c>
      <c r="C931" s="1" t="s">
        <v>5</v>
      </c>
    </row>
    <row r="932" spans="1:3" x14ac:dyDescent="0.25">
      <c r="A932" s="1" t="s">
        <v>1865</v>
      </c>
      <c r="B932" s="1" t="s">
        <v>1866</v>
      </c>
      <c r="C932" s="1" t="s">
        <v>5</v>
      </c>
    </row>
    <row r="933" spans="1:3" x14ac:dyDescent="0.25">
      <c r="A933" s="1" t="s">
        <v>1867</v>
      </c>
      <c r="B933" s="1" t="s">
        <v>1868</v>
      </c>
      <c r="C933" s="1" t="s">
        <v>5</v>
      </c>
    </row>
    <row r="934" spans="1:3" x14ac:dyDescent="0.25">
      <c r="A934" s="1" t="s">
        <v>1869</v>
      </c>
      <c r="B934" s="1" t="s">
        <v>1870</v>
      </c>
      <c r="C934" s="1" t="s">
        <v>5</v>
      </c>
    </row>
    <row r="935" spans="1:3" x14ac:dyDescent="0.25">
      <c r="A935" s="1" t="s">
        <v>1871</v>
      </c>
      <c r="B935" s="1" t="s">
        <v>1872</v>
      </c>
      <c r="C935" s="1" t="s">
        <v>5</v>
      </c>
    </row>
    <row r="936" spans="1:3" x14ac:dyDescent="0.25">
      <c r="A936" s="1" t="s">
        <v>1873</v>
      </c>
      <c r="B936" s="1" t="s">
        <v>1874</v>
      </c>
      <c r="C936" s="1" t="s">
        <v>5</v>
      </c>
    </row>
    <row r="937" spans="1:3" x14ac:dyDescent="0.25">
      <c r="A937" s="1" t="s">
        <v>1875</v>
      </c>
      <c r="B937" s="1" t="s">
        <v>1876</v>
      </c>
      <c r="C937" s="1" t="s">
        <v>5</v>
      </c>
    </row>
    <row r="938" spans="1:3" x14ac:dyDescent="0.25">
      <c r="A938" s="1" t="s">
        <v>1877</v>
      </c>
      <c r="B938" s="1" t="s">
        <v>1878</v>
      </c>
      <c r="C938" s="1" t="s">
        <v>5</v>
      </c>
    </row>
    <row r="939" spans="1:3" x14ac:dyDescent="0.25">
      <c r="A939" s="1" t="s">
        <v>1879</v>
      </c>
      <c r="B939" s="1" t="s">
        <v>1880</v>
      </c>
      <c r="C939" s="1" t="s">
        <v>5</v>
      </c>
    </row>
    <row r="940" spans="1:3" x14ac:dyDescent="0.25">
      <c r="A940" s="1" t="s">
        <v>1881</v>
      </c>
      <c r="B940" s="1" t="s">
        <v>1882</v>
      </c>
      <c r="C940" s="1" t="s">
        <v>5</v>
      </c>
    </row>
    <row r="941" spans="1:3" x14ac:dyDescent="0.25">
      <c r="A941" s="1" t="s">
        <v>1883</v>
      </c>
      <c r="B941" s="1" t="s">
        <v>1884</v>
      </c>
      <c r="C941" s="1" t="s">
        <v>5</v>
      </c>
    </row>
    <row r="942" spans="1:3" x14ac:dyDescent="0.25">
      <c r="A942" s="1" t="s">
        <v>1885</v>
      </c>
      <c r="B942" s="1" t="s">
        <v>1886</v>
      </c>
      <c r="C942" s="1" t="s">
        <v>5</v>
      </c>
    </row>
    <row r="943" spans="1:3" x14ac:dyDescent="0.25">
      <c r="A943" s="1" t="s">
        <v>1887</v>
      </c>
      <c r="B943" s="1" t="s">
        <v>1888</v>
      </c>
      <c r="C943" s="1" t="s">
        <v>5</v>
      </c>
    </row>
    <row r="944" spans="1:3" x14ac:dyDescent="0.25">
      <c r="A944" s="1" t="s">
        <v>1889</v>
      </c>
      <c r="B944" s="1" t="s">
        <v>1890</v>
      </c>
      <c r="C944" s="1" t="s">
        <v>5</v>
      </c>
    </row>
    <row r="945" spans="1:3" x14ac:dyDescent="0.25">
      <c r="A945" s="1" t="s">
        <v>1891</v>
      </c>
      <c r="B945" s="1" t="s">
        <v>1892</v>
      </c>
      <c r="C945" s="1" t="s">
        <v>5</v>
      </c>
    </row>
    <row r="946" spans="1:3" x14ac:dyDescent="0.25">
      <c r="A946" s="1" t="s">
        <v>1893</v>
      </c>
      <c r="B946" s="1" t="s">
        <v>1894</v>
      </c>
      <c r="C946" s="1" t="s">
        <v>5</v>
      </c>
    </row>
    <row r="947" spans="1:3" x14ac:dyDescent="0.25">
      <c r="A947" s="1" t="s">
        <v>1895</v>
      </c>
      <c r="B947" s="1" t="s">
        <v>1896</v>
      </c>
      <c r="C947" s="1" t="s">
        <v>5</v>
      </c>
    </row>
    <row r="948" spans="1:3" x14ac:dyDescent="0.25">
      <c r="A948" s="1" t="s">
        <v>1897</v>
      </c>
      <c r="B948" s="1" t="s">
        <v>1898</v>
      </c>
      <c r="C948" s="1" t="s">
        <v>5</v>
      </c>
    </row>
    <row r="949" spans="1:3" x14ac:dyDescent="0.25">
      <c r="A949" s="1" t="s">
        <v>1899</v>
      </c>
      <c r="B949" s="1" t="s">
        <v>1900</v>
      </c>
      <c r="C949" s="1" t="s">
        <v>5</v>
      </c>
    </row>
    <row r="950" spans="1:3" x14ac:dyDescent="0.25">
      <c r="A950" s="1" t="s">
        <v>1901</v>
      </c>
      <c r="B950" s="1" t="s">
        <v>1902</v>
      </c>
      <c r="C950" s="1" t="s">
        <v>5</v>
      </c>
    </row>
    <row r="951" spans="1:3" x14ac:dyDescent="0.25">
      <c r="A951" s="1" t="s">
        <v>1903</v>
      </c>
      <c r="B951" s="1" t="s">
        <v>1904</v>
      </c>
      <c r="C951" s="1" t="s">
        <v>5</v>
      </c>
    </row>
    <row r="952" spans="1:3" x14ac:dyDescent="0.25">
      <c r="A952" s="1" t="s">
        <v>1905</v>
      </c>
      <c r="B952" s="1" t="s">
        <v>1906</v>
      </c>
      <c r="C952" s="1" t="s">
        <v>5</v>
      </c>
    </row>
    <row r="953" spans="1:3" x14ac:dyDescent="0.25">
      <c r="A953" s="1" t="s">
        <v>1907</v>
      </c>
      <c r="B953" s="1" t="s">
        <v>1908</v>
      </c>
      <c r="C953" s="1" t="s">
        <v>5</v>
      </c>
    </row>
    <row r="954" spans="1:3" x14ac:dyDescent="0.25">
      <c r="A954" s="1" t="s">
        <v>1909</v>
      </c>
      <c r="B954" s="1" t="s">
        <v>1910</v>
      </c>
      <c r="C954" s="1" t="s">
        <v>5</v>
      </c>
    </row>
    <row r="955" spans="1:3" x14ac:dyDescent="0.25">
      <c r="A955" s="1" t="s">
        <v>1911</v>
      </c>
      <c r="B955" s="1" t="s">
        <v>1912</v>
      </c>
      <c r="C955" s="1" t="s">
        <v>5</v>
      </c>
    </row>
    <row r="956" spans="1:3" x14ac:dyDescent="0.25">
      <c r="A956" s="1" t="s">
        <v>1913</v>
      </c>
      <c r="B956" s="1" t="s">
        <v>1914</v>
      </c>
      <c r="C956" s="1" t="s">
        <v>5</v>
      </c>
    </row>
    <row r="957" spans="1:3" x14ac:dyDescent="0.25">
      <c r="A957" s="1" t="s">
        <v>1915</v>
      </c>
      <c r="B957" s="1" t="s">
        <v>1916</v>
      </c>
      <c r="C957" s="1" t="s">
        <v>5</v>
      </c>
    </row>
    <row r="958" spans="1:3" x14ac:dyDescent="0.25">
      <c r="A958" s="1" t="s">
        <v>1917</v>
      </c>
      <c r="B958" s="1" t="s">
        <v>1918</v>
      </c>
      <c r="C958" s="1" t="s">
        <v>5</v>
      </c>
    </row>
    <row r="959" spans="1:3" x14ac:dyDescent="0.25">
      <c r="A959" s="1" t="s">
        <v>1919</v>
      </c>
      <c r="B959" s="1" t="s">
        <v>1920</v>
      </c>
      <c r="C959" s="1" t="s">
        <v>5</v>
      </c>
    </row>
    <row r="960" spans="1:3" x14ac:dyDescent="0.25">
      <c r="A960" s="1" t="s">
        <v>1921</v>
      </c>
      <c r="B960" s="1" t="s">
        <v>1922</v>
      </c>
      <c r="C960" s="1" t="s">
        <v>5</v>
      </c>
    </row>
    <row r="961" spans="1:3" x14ac:dyDescent="0.25">
      <c r="A961" s="1" t="s">
        <v>1923</v>
      </c>
      <c r="B961" s="1" t="s">
        <v>1924</v>
      </c>
      <c r="C961" s="1" t="s">
        <v>5</v>
      </c>
    </row>
    <row r="962" spans="1:3" x14ac:dyDescent="0.25">
      <c r="A962" s="1" t="s">
        <v>1925</v>
      </c>
      <c r="B962" s="1" t="s">
        <v>1926</v>
      </c>
      <c r="C962" s="1" t="s">
        <v>5</v>
      </c>
    </row>
    <row r="963" spans="1:3" x14ac:dyDescent="0.25">
      <c r="A963" s="1" t="s">
        <v>1927</v>
      </c>
      <c r="B963" s="1" t="s">
        <v>1928</v>
      </c>
      <c r="C963" s="1" t="s">
        <v>5</v>
      </c>
    </row>
    <row r="964" spans="1:3" x14ac:dyDescent="0.25">
      <c r="A964" s="1" t="s">
        <v>1929</v>
      </c>
      <c r="B964" s="1" t="s">
        <v>1930</v>
      </c>
      <c r="C964" s="1" t="s">
        <v>5</v>
      </c>
    </row>
    <row r="965" spans="1:3" x14ac:dyDescent="0.25">
      <c r="A965" s="1" t="s">
        <v>1931</v>
      </c>
      <c r="B965" s="1" t="s">
        <v>1932</v>
      </c>
      <c r="C965" s="1" t="s">
        <v>5</v>
      </c>
    </row>
    <row r="966" spans="1:3" x14ac:dyDescent="0.25">
      <c r="A966" s="1" t="s">
        <v>1933</v>
      </c>
      <c r="B966" s="1" t="s">
        <v>1934</v>
      </c>
      <c r="C966" s="1" t="s">
        <v>5</v>
      </c>
    </row>
    <row r="967" spans="1:3" x14ac:dyDescent="0.25">
      <c r="A967" s="1" t="s">
        <v>1935</v>
      </c>
      <c r="B967" s="1" t="s">
        <v>1936</v>
      </c>
      <c r="C967" s="1" t="s">
        <v>5</v>
      </c>
    </row>
    <row r="968" spans="1:3" x14ac:dyDescent="0.25">
      <c r="A968" s="1" t="s">
        <v>1937</v>
      </c>
      <c r="B968" s="1" t="s">
        <v>1938</v>
      </c>
      <c r="C968" s="1" t="s">
        <v>5</v>
      </c>
    </row>
    <row r="969" spans="1:3" x14ac:dyDescent="0.25">
      <c r="A969" s="1" t="s">
        <v>1939</v>
      </c>
      <c r="B969" s="1" t="s">
        <v>1940</v>
      </c>
      <c r="C969" s="1" t="s">
        <v>5</v>
      </c>
    </row>
    <row r="970" spans="1:3" x14ac:dyDescent="0.25">
      <c r="A970" s="1" t="s">
        <v>1941</v>
      </c>
      <c r="B970" s="1" t="s">
        <v>1942</v>
      </c>
      <c r="C970" s="1" t="s">
        <v>5</v>
      </c>
    </row>
    <row r="971" spans="1:3" x14ac:dyDescent="0.25">
      <c r="A971" s="1" t="s">
        <v>1943</v>
      </c>
      <c r="B971" s="1" t="s">
        <v>1944</v>
      </c>
      <c r="C971" s="1" t="s">
        <v>5</v>
      </c>
    </row>
    <row r="972" spans="1:3" x14ac:dyDescent="0.25">
      <c r="A972" s="1" t="s">
        <v>1945</v>
      </c>
      <c r="B972" s="1" t="s">
        <v>1946</v>
      </c>
      <c r="C972" s="1" t="s">
        <v>5</v>
      </c>
    </row>
    <row r="973" spans="1:3" x14ac:dyDescent="0.25">
      <c r="A973" s="1" t="s">
        <v>1947</v>
      </c>
      <c r="B973" s="1" t="s">
        <v>1948</v>
      </c>
      <c r="C973" s="1" t="s">
        <v>5</v>
      </c>
    </row>
    <row r="974" spans="1:3" x14ac:dyDescent="0.25">
      <c r="A974" s="1" t="s">
        <v>1949</v>
      </c>
      <c r="B974" s="1" t="s">
        <v>1950</v>
      </c>
      <c r="C974" s="1" t="s">
        <v>5</v>
      </c>
    </row>
    <row r="975" spans="1:3" x14ac:dyDescent="0.25">
      <c r="A975" s="1" t="s">
        <v>1951</v>
      </c>
      <c r="B975" s="1" t="s">
        <v>1952</v>
      </c>
      <c r="C975" s="1" t="s">
        <v>5</v>
      </c>
    </row>
    <row r="976" spans="1:3" x14ac:dyDescent="0.25">
      <c r="A976" s="1" t="s">
        <v>1953</v>
      </c>
      <c r="B976" s="1" t="s">
        <v>1954</v>
      </c>
      <c r="C976" s="1" t="s">
        <v>5</v>
      </c>
    </row>
    <row r="977" spans="1:3" x14ac:dyDescent="0.25">
      <c r="A977" s="1" t="s">
        <v>1955</v>
      </c>
      <c r="B977" s="1" t="s">
        <v>1956</v>
      </c>
      <c r="C977" s="1" t="s">
        <v>5</v>
      </c>
    </row>
    <row r="978" spans="1:3" x14ac:dyDescent="0.25">
      <c r="A978" s="1" t="s">
        <v>1957</v>
      </c>
      <c r="B978" s="1" t="s">
        <v>1958</v>
      </c>
      <c r="C978" s="1" t="s">
        <v>5</v>
      </c>
    </row>
    <row r="979" spans="1:3" x14ac:dyDescent="0.25">
      <c r="A979" s="1" t="s">
        <v>1959</v>
      </c>
      <c r="B979" s="1" t="s">
        <v>1960</v>
      </c>
      <c r="C979" s="1" t="s">
        <v>5</v>
      </c>
    </row>
    <row r="980" spans="1:3" x14ac:dyDescent="0.25">
      <c r="A980" s="1" t="s">
        <v>1961</v>
      </c>
      <c r="B980" s="1" t="s">
        <v>1962</v>
      </c>
      <c r="C980" s="1" t="s">
        <v>5</v>
      </c>
    </row>
    <row r="981" spans="1:3" x14ac:dyDescent="0.25">
      <c r="A981" s="1" t="s">
        <v>1963</v>
      </c>
      <c r="B981" s="1" t="s">
        <v>1964</v>
      </c>
      <c r="C981" s="1" t="s">
        <v>5</v>
      </c>
    </row>
    <row r="982" spans="1:3" x14ac:dyDescent="0.25">
      <c r="A982" s="1" t="s">
        <v>1965</v>
      </c>
      <c r="B982" s="1" t="s">
        <v>1966</v>
      </c>
      <c r="C982" s="1" t="s">
        <v>5</v>
      </c>
    </row>
    <row r="983" spans="1:3" x14ac:dyDescent="0.25">
      <c r="A983" s="1" t="s">
        <v>1967</v>
      </c>
      <c r="B983" s="1" t="s">
        <v>1968</v>
      </c>
      <c r="C983" s="1" t="s">
        <v>5</v>
      </c>
    </row>
    <row r="984" spans="1:3" x14ac:dyDescent="0.25">
      <c r="A984" s="1" t="s">
        <v>1969</v>
      </c>
      <c r="B984" s="1" t="s">
        <v>1970</v>
      </c>
      <c r="C984" s="1" t="s">
        <v>5</v>
      </c>
    </row>
    <row r="985" spans="1:3" x14ac:dyDescent="0.25">
      <c r="A985" s="1" t="s">
        <v>1971</v>
      </c>
      <c r="B985" s="1" t="s">
        <v>1972</v>
      </c>
      <c r="C985" s="1" t="s">
        <v>5</v>
      </c>
    </row>
    <row r="986" spans="1:3" x14ac:dyDescent="0.25">
      <c r="A986" s="1" t="s">
        <v>1973</v>
      </c>
      <c r="B986" s="1" t="s">
        <v>1974</v>
      </c>
      <c r="C986" s="1" t="s">
        <v>5</v>
      </c>
    </row>
    <row r="987" spans="1:3" x14ac:dyDescent="0.25">
      <c r="A987" s="1" t="s">
        <v>1975</v>
      </c>
      <c r="B987" s="1" t="s">
        <v>1976</v>
      </c>
      <c r="C987" s="1" t="s">
        <v>5</v>
      </c>
    </row>
    <row r="988" spans="1:3" x14ac:dyDescent="0.25">
      <c r="A988" s="1" t="s">
        <v>1977</v>
      </c>
      <c r="B988" s="1" t="s">
        <v>1978</v>
      </c>
      <c r="C988" s="1" t="s">
        <v>5</v>
      </c>
    </row>
    <row r="989" spans="1:3" x14ac:dyDescent="0.25">
      <c r="A989" s="1" t="s">
        <v>1979</v>
      </c>
      <c r="B989" s="1" t="s">
        <v>1980</v>
      </c>
      <c r="C989" s="1" t="s">
        <v>5</v>
      </c>
    </row>
    <row r="990" spans="1:3" x14ac:dyDescent="0.25">
      <c r="A990" s="1" t="s">
        <v>1981</v>
      </c>
      <c r="B990" s="1" t="s">
        <v>1982</v>
      </c>
      <c r="C990" s="1" t="s">
        <v>5</v>
      </c>
    </row>
    <row r="991" spans="1:3" x14ac:dyDescent="0.25">
      <c r="A991" s="1" t="s">
        <v>1983</v>
      </c>
      <c r="B991" s="1" t="s">
        <v>1984</v>
      </c>
      <c r="C991" s="1" t="s">
        <v>5</v>
      </c>
    </row>
    <row r="992" spans="1:3" x14ac:dyDescent="0.25">
      <c r="A992" s="1" t="s">
        <v>1985</v>
      </c>
      <c r="B992" s="1" t="s">
        <v>1986</v>
      </c>
      <c r="C992" s="1" t="s">
        <v>5</v>
      </c>
    </row>
    <row r="993" spans="1:3" x14ac:dyDescent="0.25">
      <c r="A993" s="1" t="s">
        <v>1987</v>
      </c>
      <c r="B993" s="1" t="s">
        <v>1988</v>
      </c>
      <c r="C993" s="1" t="s">
        <v>5</v>
      </c>
    </row>
    <row r="994" spans="1:3" x14ac:dyDescent="0.25">
      <c r="A994" s="1" t="s">
        <v>1989</v>
      </c>
      <c r="B994" s="1" t="s">
        <v>1990</v>
      </c>
      <c r="C994" s="1" t="s">
        <v>5</v>
      </c>
    </row>
    <row r="995" spans="1:3" x14ac:dyDescent="0.25">
      <c r="A995" s="1" t="s">
        <v>1991</v>
      </c>
      <c r="B995" s="1" t="s">
        <v>1992</v>
      </c>
      <c r="C995" s="1" t="s">
        <v>5</v>
      </c>
    </row>
    <row r="996" spans="1:3" x14ac:dyDescent="0.25">
      <c r="A996" s="1" t="s">
        <v>1993</v>
      </c>
      <c r="B996" s="1" t="s">
        <v>1994</v>
      </c>
      <c r="C996" s="1" t="s">
        <v>5</v>
      </c>
    </row>
    <row r="997" spans="1:3" x14ac:dyDescent="0.25">
      <c r="A997" s="1" t="s">
        <v>1995</v>
      </c>
      <c r="B997" s="1" t="s">
        <v>1996</v>
      </c>
      <c r="C997" s="1" t="s">
        <v>5</v>
      </c>
    </row>
    <row r="998" spans="1:3" x14ac:dyDescent="0.25">
      <c r="A998" s="1" t="s">
        <v>1997</v>
      </c>
      <c r="B998" s="1" t="s">
        <v>1998</v>
      </c>
      <c r="C998" s="1" t="s">
        <v>5</v>
      </c>
    </row>
    <row r="999" spans="1:3" x14ac:dyDescent="0.25">
      <c r="A999" s="1" t="s">
        <v>1999</v>
      </c>
      <c r="B999" s="1" t="s">
        <v>2000</v>
      </c>
      <c r="C999" s="1" t="s">
        <v>5</v>
      </c>
    </row>
    <row r="1000" spans="1:3" x14ac:dyDescent="0.25">
      <c r="A1000" s="1" t="s">
        <v>2001</v>
      </c>
      <c r="B1000" s="1" t="s">
        <v>2002</v>
      </c>
      <c r="C1000" s="1" t="s">
        <v>5</v>
      </c>
    </row>
    <row r="1001" spans="1:3" x14ac:dyDescent="0.25">
      <c r="A1001" s="1" t="s">
        <v>2003</v>
      </c>
      <c r="B1001" s="1" t="s">
        <v>2004</v>
      </c>
      <c r="C1001" s="1" t="s">
        <v>5</v>
      </c>
    </row>
    <row r="1002" spans="1:3" x14ac:dyDescent="0.25">
      <c r="A1002" s="1" t="s">
        <v>2005</v>
      </c>
      <c r="B1002" s="1" t="s">
        <v>2006</v>
      </c>
      <c r="C1002" s="1" t="s">
        <v>5</v>
      </c>
    </row>
    <row r="1003" spans="1:3" x14ac:dyDescent="0.25">
      <c r="A1003" s="1" t="s">
        <v>2007</v>
      </c>
      <c r="B1003" s="1" t="s">
        <v>2008</v>
      </c>
      <c r="C1003" s="1" t="s">
        <v>5</v>
      </c>
    </row>
    <row r="1004" spans="1:3" x14ac:dyDescent="0.25">
      <c r="A1004" s="1" t="s">
        <v>2009</v>
      </c>
      <c r="B1004" s="1" t="s">
        <v>2010</v>
      </c>
      <c r="C1004" s="1" t="s">
        <v>5</v>
      </c>
    </row>
    <row r="1005" spans="1:3" x14ac:dyDescent="0.25">
      <c r="A1005" s="1" t="s">
        <v>2011</v>
      </c>
      <c r="B1005" s="1" t="s">
        <v>2012</v>
      </c>
      <c r="C1005" s="1" t="s">
        <v>5</v>
      </c>
    </row>
    <row r="1006" spans="1:3" x14ac:dyDescent="0.25">
      <c r="A1006" s="1" t="s">
        <v>2013</v>
      </c>
      <c r="B1006" s="1" t="s">
        <v>2014</v>
      </c>
      <c r="C1006" s="1" t="s">
        <v>5</v>
      </c>
    </row>
    <row r="1007" spans="1:3" x14ac:dyDescent="0.25">
      <c r="A1007" s="1" t="s">
        <v>2015</v>
      </c>
      <c r="B1007" s="1" t="s">
        <v>2016</v>
      </c>
      <c r="C1007" s="1" t="s">
        <v>5</v>
      </c>
    </row>
    <row r="1008" spans="1:3" x14ac:dyDescent="0.25">
      <c r="A1008" s="1" t="s">
        <v>2017</v>
      </c>
      <c r="B1008" s="1" t="s">
        <v>2018</v>
      </c>
      <c r="C1008" s="1" t="s">
        <v>5</v>
      </c>
    </row>
    <row r="1009" spans="1:3" x14ac:dyDescent="0.25">
      <c r="A1009" s="1" t="s">
        <v>2019</v>
      </c>
      <c r="B1009" s="1" t="s">
        <v>2020</v>
      </c>
      <c r="C1009" s="1" t="s">
        <v>5</v>
      </c>
    </row>
    <row r="1010" spans="1:3" x14ac:dyDescent="0.25">
      <c r="A1010" s="1" t="s">
        <v>2021</v>
      </c>
      <c r="B1010" s="1" t="s">
        <v>2022</v>
      </c>
      <c r="C1010" s="1" t="s">
        <v>5</v>
      </c>
    </row>
    <row r="1011" spans="1:3" x14ac:dyDescent="0.25">
      <c r="A1011" s="1" t="s">
        <v>2023</v>
      </c>
      <c r="B1011" s="1" t="s">
        <v>2024</v>
      </c>
      <c r="C1011" s="1" t="s">
        <v>5</v>
      </c>
    </row>
    <row r="1012" spans="1:3" x14ac:dyDescent="0.25">
      <c r="A1012" s="1" t="s">
        <v>2025</v>
      </c>
      <c r="B1012" s="1" t="s">
        <v>2026</v>
      </c>
      <c r="C1012" s="1" t="s">
        <v>5</v>
      </c>
    </row>
    <row r="1013" spans="1:3" x14ac:dyDescent="0.25">
      <c r="A1013" s="1" t="s">
        <v>2027</v>
      </c>
      <c r="B1013" s="1" t="s">
        <v>2028</v>
      </c>
      <c r="C1013" s="1" t="s">
        <v>5</v>
      </c>
    </row>
    <row r="1014" spans="1:3" x14ac:dyDescent="0.25">
      <c r="A1014" s="1" t="s">
        <v>2029</v>
      </c>
      <c r="B1014" s="1" t="s">
        <v>2030</v>
      </c>
      <c r="C1014" s="1" t="s">
        <v>5</v>
      </c>
    </row>
    <row r="1015" spans="1:3" x14ac:dyDescent="0.25">
      <c r="A1015" s="1" t="s">
        <v>2031</v>
      </c>
      <c r="B1015" s="1" t="s">
        <v>2032</v>
      </c>
      <c r="C1015" s="1" t="s">
        <v>5</v>
      </c>
    </row>
    <row r="1016" spans="1:3" x14ac:dyDescent="0.25">
      <c r="A1016" s="1" t="s">
        <v>2033</v>
      </c>
      <c r="B1016" s="1" t="s">
        <v>2034</v>
      </c>
      <c r="C1016" s="1" t="s">
        <v>5</v>
      </c>
    </row>
    <row r="1017" spans="1:3" x14ac:dyDescent="0.25">
      <c r="A1017" s="1" t="s">
        <v>2035</v>
      </c>
      <c r="B1017" s="1" t="s">
        <v>2036</v>
      </c>
      <c r="C1017" s="1" t="s">
        <v>5</v>
      </c>
    </row>
    <row r="1018" spans="1:3" x14ac:dyDescent="0.25">
      <c r="A1018" s="1" t="s">
        <v>2037</v>
      </c>
      <c r="B1018" s="1" t="s">
        <v>2038</v>
      </c>
      <c r="C1018" s="1" t="s">
        <v>5</v>
      </c>
    </row>
    <row r="1019" spans="1:3" x14ac:dyDescent="0.25">
      <c r="A1019" s="1" t="s">
        <v>2039</v>
      </c>
      <c r="B1019" s="1" t="s">
        <v>2040</v>
      </c>
      <c r="C1019" s="1" t="s">
        <v>5</v>
      </c>
    </row>
    <row r="1020" spans="1:3" x14ac:dyDescent="0.25">
      <c r="A1020" s="1" t="s">
        <v>2041</v>
      </c>
      <c r="B1020" s="1" t="s">
        <v>2042</v>
      </c>
      <c r="C1020" s="1" t="s">
        <v>5</v>
      </c>
    </row>
    <row r="1021" spans="1:3" x14ac:dyDescent="0.25">
      <c r="A1021" s="1" t="s">
        <v>2043</v>
      </c>
      <c r="B1021" s="1" t="s">
        <v>2044</v>
      </c>
      <c r="C1021" s="1" t="s">
        <v>5</v>
      </c>
    </row>
    <row r="1022" spans="1:3" x14ac:dyDescent="0.25">
      <c r="A1022" s="1" t="s">
        <v>2045</v>
      </c>
      <c r="B1022" s="1" t="s">
        <v>2046</v>
      </c>
      <c r="C1022" s="1" t="s">
        <v>5</v>
      </c>
    </row>
    <row r="1023" spans="1:3" x14ac:dyDescent="0.25">
      <c r="A1023" s="1" t="s">
        <v>2047</v>
      </c>
      <c r="B1023" s="1" t="s">
        <v>2048</v>
      </c>
      <c r="C1023" s="1" t="s">
        <v>5</v>
      </c>
    </row>
    <row r="1024" spans="1:3" x14ac:dyDescent="0.25">
      <c r="A1024" s="1" t="s">
        <v>2049</v>
      </c>
      <c r="B1024" s="1" t="s">
        <v>2050</v>
      </c>
      <c r="C1024" s="1" t="s">
        <v>5</v>
      </c>
    </row>
    <row r="1025" spans="1:3" x14ac:dyDescent="0.25">
      <c r="A1025" s="1" t="s">
        <v>2051</v>
      </c>
      <c r="B1025" s="1" t="s">
        <v>2052</v>
      </c>
      <c r="C1025" s="1" t="s">
        <v>5</v>
      </c>
    </row>
    <row r="1026" spans="1:3" x14ac:dyDescent="0.25">
      <c r="A1026" s="1" t="s">
        <v>2053</v>
      </c>
      <c r="B1026" s="1" t="s">
        <v>2054</v>
      </c>
      <c r="C1026" s="1" t="s">
        <v>5</v>
      </c>
    </row>
    <row r="1027" spans="1:3" x14ac:dyDescent="0.25">
      <c r="A1027" s="1" t="s">
        <v>2055</v>
      </c>
      <c r="B1027" s="1" t="s">
        <v>2056</v>
      </c>
      <c r="C1027" s="1" t="s">
        <v>5</v>
      </c>
    </row>
    <row r="1028" spans="1:3" x14ac:dyDescent="0.25">
      <c r="A1028" s="1" t="s">
        <v>2057</v>
      </c>
      <c r="B1028" s="1" t="s">
        <v>2058</v>
      </c>
      <c r="C1028" s="1" t="s">
        <v>5</v>
      </c>
    </row>
    <row r="1029" spans="1:3" x14ac:dyDescent="0.25">
      <c r="A1029" s="1" t="s">
        <v>2059</v>
      </c>
      <c r="B1029" s="1" t="s">
        <v>2060</v>
      </c>
      <c r="C1029" s="1" t="s">
        <v>5</v>
      </c>
    </row>
    <row r="1030" spans="1:3" x14ac:dyDescent="0.25">
      <c r="A1030" s="1" t="s">
        <v>2061</v>
      </c>
      <c r="B1030" s="1" t="s">
        <v>2062</v>
      </c>
      <c r="C1030" s="1" t="s">
        <v>5</v>
      </c>
    </row>
    <row r="1031" spans="1:3" x14ac:dyDescent="0.25">
      <c r="A1031" s="1" t="s">
        <v>2063</v>
      </c>
      <c r="B1031" s="1" t="s">
        <v>2064</v>
      </c>
      <c r="C1031" s="1" t="s">
        <v>5</v>
      </c>
    </row>
    <row r="1032" spans="1:3" x14ac:dyDescent="0.25">
      <c r="A1032" s="1" t="s">
        <v>2065</v>
      </c>
      <c r="B1032" s="1" t="s">
        <v>2066</v>
      </c>
      <c r="C1032" s="1" t="s">
        <v>5</v>
      </c>
    </row>
    <row r="1033" spans="1:3" x14ac:dyDescent="0.25">
      <c r="A1033" s="1" t="s">
        <v>2067</v>
      </c>
      <c r="B1033" s="1" t="s">
        <v>2068</v>
      </c>
      <c r="C1033" s="1" t="s">
        <v>5</v>
      </c>
    </row>
    <row r="1034" spans="1:3" x14ac:dyDescent="0.25">
      <c r="A1034" s="1" t="s">
        <v>2069</v>
      </c>
      <c r="B1034" s="1" t="s">
        <v>2070</v>
      </c>
      <c r="C1034" s="1" t="s">
        <v>5</v>
      </c>
    </row>
    <row r="1035" spans="1:3" x14ac:dyDescent="0.25">
      <c r="A1035" s="1" t="s">
        <v>2071</v>
      </c>
      <c r="B1035" s="1" t="s">
        <v>2072</v>
      </c>
      <c r="C1035" s="1" t="s">
        <v>5</v>
      </c>
    </row>
    <row r="1036" spans="1:3" x14ac:dyDescent="0.25">
      <c r="A1036" s="1" t="s">
        <v>2073</v>
      </c>
      <c r="B1036" s="1" t="s">
        <v>2074</v>
      </c>
      <c r="C1036" s="1" t="s">
        <v>5</v>
      </c>
    </row>
    <row r="1037" spans="1:3" x14ac:dyDescent="0.25">
      <c r="A1037" s="1" t="s">
        <v>2075</v>
      </c>
      <c r="B1037" s="1" t="s">
        <v>2076</v>
      </c>
      <c r="C1037" s="1" t="s">
        <v>5</v>
      </c>
    </row>
    <row r="1038" spans="1:3" x14ac:dyDescent="0.25">
      <c r="A1038" s="1" t="s">
        <v>2077</v>
      </c>
      <c r="B1038" s="1" t="s">
        <v>2078</v>
      </c>
      <c r="C1038" s="1" t="s">
        <v>5</v>
      </c>
    </row>
    <row r="1039" spans="1:3" x14ac:dyDescent="0.25">
      <c r="A1039" s="1" t="s">
        <v>2079</v>
      </c>
      <c r="B1039" s="1" t="s">
        <v>2080</v>
      </c>
      <c r="C1039" s="1" t="s">
        <v>5</v>
      </c>
    </row>
    <row r="1040" spans="1:3" x14ac:dyDescent="0.25">
      <c r="A1040" s="1" t="s">
        <v>2081</v>
      </c>
      <c r="B1040" s="1" t="s">
        <v>2082</v>
      </c>
      <c r="C1040" s="1" t="s">
        <v>5</v>
      </c>
    </row>
    <row r="1041" spans="1:3" x14ac:dyDescent="0.25">
      <c r="A1041" s="1" t="s">
        <v>2083</v>
      </c>
      <c r="B1041" s="1" t="s">
        <v>2084</v>
      </c>
      <c r="C1041" s="1" t="s">
        <v>5</v>
      </c>
    </row>
    <row r="1042" spans="1:3" x14ac:dyDescent="0.25">
      <c r="A1042" s="1" t="s">
        <v>2085</v>
      </c>
      <c r="B1042" s="1" t="s">
        <v>2086</v>
      </c>
      <c r="C1042" s="1" t="s">
        <v>5</v>
      </c>
    </row>
    <row r="1043" spans="1:3" x14ac:dyDescent="0.25">
      <c r="A1043" s="1" t="s">
        <v>2087</v>
      </c>
      <c r="B1043" s="1" t="s">
        <v>2088</v>
      </c>
      <c r="C1043" s="1" t="s">
        <v>5</v>
      </c>
    </row>
    <row r="1044" spans="1:3" x14ac:dyDescent="0.25">
      <c r="A1044" s="1" t="s">
        <v>2089</v>
      </c>
      <c r="B1044" s="1" t="s">
        <v>2090</v>
      </c>
      <c r="C1044" s="1" t="s">
        <v>5</v>
      </c>
    </row>
    <row r="1045" spans="1:3" x14ac:dyDescent="0.25">
      <c r="A1045" s="1" t="s">
        <v>2091</v>
      </c>
      <c r="B1045" s="1" t="s">
        <v>2092</v>
      </c>
      <c r="C1045" s="1" t="s">
        <v>5</v>
      </c>
    </row>
    <row r="1046" spans="1:3" x14ac:dyDescent="0.25">
      <c r="A1046" s="1" t="s">
        <v>2093</v>
      </c>
      <c r="B1046" s="1" t="s">
        <v>2094</v>
      </c>
      <c r="C1046" s="1" t="s">
        <v>5</v>
      </c>
    </row>
    <row r="1047" spans="1:3" x14ac:dyDescent="0.25">
      <c r="A1047" s="1" t="s">
        <v>2095</v>
      </c>
      <c r="B1047" s="1" t="s">
        <v>2096</v>
      </c>
      <c r="C1047" s="1" t="s">
        <v>5</v>
      </c>
    </row>
    <row r="1048" spans="1:3" x14ac:dyDescent="0.25">
      <c r="A1048" s="1" t="s">
        <v>2097</v>
      </c>
      <c r="B1048" s="1" t="s">
        <v>2098</v>
      </c>
      <c r="C1048" s="1" t="s">
        <v>5</v>
      </c>
    </row>
    <row r="1049" spans="1:3" x14ac:dyDescent="0.25">
      <c r="A1049" s="1" t="s">
        <v>2099</v>
      </c>
      <c r="B1049" s="1" t="s">
        <v>2100</v>
      </c>
      <c r="C1049" s="1" t="s">
        <v>5</v>
      </c>
    </row>
    <row r="1050" spans="1:3" x14ac:dyDescent="0.25">
      <c r="A1050" s="1" t="s">
        <v>2101</v>
      </c>
      <c r="B1050" s="1" t="s">
        <v>2102</v>
      </c>
      <c r="C1050" s="1" t="s">
        <v>5</v>
      </c>
    </row>
    <row r="1051" spans="1:3" x14ac:dyDescent="0.25">
      <c r="A1051" s="1" t="s">
        <v>2103</v>
      </c>
      <c r="B1051" s="1" t="s">
        <v>2104</v>
      </c>
      <c r="C1051" s="1" t="s">
        <v>5</v>
      </c>
    </row>
    <row r="1052" spans="1:3" x14ac:dyDescent="0.25">
      <c r="A1052" s="1" t="s">
        <v>2105</v>
      </c>
      <c r="B1052" s="1" t="s">
        <v>2106</v>
      </c>
      <c r="C1052" s="1" t="s">
        <v>5</v>
      </c>
    </row>
    <row r="1053" spans="1:3" x14ac:dyDescent="0.25">
      <c r="A1053" s="1" t="s">
        <v>2107</v>
      </c>
      <c r="B1053" s="1" t="s">
        <v>2108</v>
      </c>
      <c r="C1053" s="1" t="s">
        <v>5</v>
      </c>
    </row>
    <row r="1054" spans="1:3" x14ac:dyDescent="0.25">
      <c r="A1054" s="1" t="s">
        <v>2109</v>
      </c>
      <c r="B1054" s="1" t="s">
        <v>2110</v>
      </c>
      <c r="C1054" s="1" t="s">
        <v>5</v>
      </c>
    </row>
    <row r="1055" spans="1:3" x14ac:dyDescent="0.25">
      <c r="A1055" s="1" t="s">
        <v>2111</v>
      </c>
      <c r="B1055" s="1" t="s">
        <v>2112</v>
      </c>
      <c r="C1055" s="1" t="s">
        <v>5</v>
      </c>
    </row>
    <row r="1056" spans="1:3" x14ac:dyDescent="0.25">
      <c r="A1056" s="1" t="s">
        <v>2113</v>
      </c>
      <c r="B1056" s="1" t="s">
        <v>2114</v>
      </c>
      <c r="C1056" s="1" t="s">
        <v>5</v>
      </c>
    </row>
    <row r="1057" spans="1:3" x14ac:dyDescent="0.25">
      <c r="A1057" s="1" t="s">
        <v>2115</v>
      </c>
      <c r="B1057" s="1" t="s">
        <v>2116</v>
      </c>
      <c r="C1057" s="1" t="s">
        <v>5</v>
      </c>
    </row>
    <row r="1058" spans="1:3" x14ac:dyDescent="0.25">
      <c r="A1058" s="1" t="s">
        <v>2117</v>
      </c>
      <c r="B1058" s="1" t="s">
        <v>2118</v>
      </c>
      <c r="C1058" s="1" t="s">
        <v>5</v>
      </c>
    </row>
    <row r="1059" spans="1:3" x14ac:dyDescent="0.25">
      <c r="A1059" s="1" t="s">
        <v>2119</v>
      </c>
      <c r="B1059" s="1" t="s">
        <v>2120</v>
      </c>
      <c r="C1059" s="1" t="s">
        <v>5</v>
      </c>
    </row>
    <row r="1060" spans="1:3" x14ac:dyDescent="0.25">
      <c r="A1060" s="1" t="s">
        <v>2121</v>
      </c>
      <c r="B1060" s="1" t="s">
        <v>2122</v>
      </c>
      <c r="C1060" s="1" t="s">
        <v>5</v>
      </c>
    </row>
    <row r="1061" spans="1:3" x14ac:dyDescent="0.25">
      <c r="A1061" s="1" t="s">
        <v>2123</v>
      </c>
      <c r="B1061" s="1" t="s">
        <v>2124</v>
      </c>
      <c r="C1061" s="1" t="s">
        <v>5</v>
      </c>
    </row>
    <row r="1062" spans="1:3" x14ac:dyDescent="0.25">
      <c r="A1062" s="1" t="s">
        <v>2125</v>
      </c>
      <c r="B1062" s="1" t="s">
        <v>2126</v>
      </c>
      <c r="C1062" s="1" t="s">
        <v>5</v>
      </c>
    </row>
    <row r="1063" spans="1:3" x14ac:dyDescent="0.25">
      <c r="A1063" s="1" t="s">
        <v>2127</v>
      </c>
      <c r="B1063" s="1" t="s">
        <v>2128</v>
      </c>
      <c r="C1063" s="1" t="s">
        <v>5</v>
      </c>
    </row>
    <row r="1064" spans="1:3" x14ac:dyDescent="0.25">
      <c r="A1064" s="1" t="s">
        <v>2129</v>
      </c>
      <c r="B1064" s="1" t="s">
        <v>2130</v>
      </c>
      <c r="C1064" s="1" t="s">
        <v>5</v>
      </c>
    </row>
    <row r="1065" spans="1:3" x14ac:dyDescent="0.25">
      <c r="A1065" s="1" t="s">
        <v>2131</v>
      </c>
      <c r="B1065" s="1" t="s">
        <v>2132</v>
      </c>
      <c r="C1065" s="1" t="s">
        <v>5</v>
      </c>
    </row>
    <row r="1066" spans="1:3" x14ac:dyDescent="0.25">
      <c r="A1066" s="1" t="s">
        <v>2133</v>
      </c>
      <c r="B1066" s="1" t="s">
        <v>2134</v>
      </c>
      <c r="C1066" s="1" t="s">
        <v>5</v>
      </c>
    </row>
    <row r="1067" spans="1:3" x14ac:dyDescent="0.25">
      <c r="A1067" s="1" t="s">
        <v>2135</v>
      </c>
      <c r="B1067" s="1" t="s">
        <v>2136</v>
      </c>
      <c r="C1067" s="1" t="s">
        <v>5</v>
      </c>
    </row>
    <row r="1068" spans="1:3" x14ac:dyDescent="0.25">
      <c r="A1068" s="1" t="s">
        <v>2137</v>
      </c>
      <c r="B1068" s="1" t="s">
        <v>2138</v>
      </c>
      <c r="C1068" s="1" t="s">
        <v>5</v>
      </c>
    </row>
    <row r="1069" spans="1:3" x14ac:dyDescent="0.25">
      <c r="A1069" s="1" t="s">
        <v>2139</v>
      </c>
      <c r="B1069" s="1" t="s">
        <v>2140</v>
      </c>
      <c r="C1069" s="1" t="s">
        <v>5</v>
      </c>
    </row>
    <row r="1070" spans="1:3" x14ac:dyDescent="0.25">
      <c r="A1070" s="1" t="s">
        <v>2141</v>
      </c>
      <c r="B1070" s="1" t="s">
        <v>2142</v>
      </c>
      <c r="C1070" s="1" t="s">
        <v>5</v>
      </c>
    </row>
    <row r="1071" spans="1:3" x14ac:dyDescent="0.25">
      <c r="A1071" s="1" t="s">
        <v>2143</v>
      </c>
      <c r="B1071" s="1" t="s">
        <v>2144</v>
      </c>
      <c r="C1071" s="1" t="s">
        <v>5</v>
      </c>
    </row>
    <row r="1072" spans="1:3" x14ac:dyDescent="0.25">
      <c r="A1072" s="1" t="s">
        <v>2145</v>
      </c>
      <c r="B1072" s="1" t="s">
        <v>2146</v>
      </c>
      <c r="C1072" s="1" t="s">
        <v>5</v>
      </c>
    </row>
    <row r="1073" spans="1:3" x14ac:dyDescent="0.25">
      <c r="A1073" s="1" t="s">
        <v>2147</v>
      </c>
      <c r="B1073" s="1" t="s">
        <v>2148</v>
      </c>
      <c r="C1073" s="1" t="s">
        <v>5</v>
      </c>
    </row>
    <row r="1074" spans="1:3" x14ac:dyDescent="0.25">
      <c r="A1074" s="1" t="s">
        <v>2149</v>
      </c>
      <c r="B1074" s="1" t="s">
        <v>2150</v>
      </c>
      <c r="C1074" s="1" t="s">
        <v>5</v>
      </c>
    </row>
    <row r="1075" spans="1:3" x14ac:dyDescent="0.25">
      <c r="A1075" s="1" t="s">
        <v>2151</v>
      </c>
      <c r="B1075" s="1" t="s">
        <v>2152</v>
      </c>
      <c r="C1075" s="1" t="s">
        <v>5</v>
      </c>
    </row>
    <row r="1076" spans="1:3" x14ac:dyDescent="0.25">
      <c r="A1076" s="1" t="s">
        <v>2153</v>
      </c>
      <c r="B1076" s="1" t="s">
        <v>2154</v>
      </c>
      <c r="C1076" s="1" t="s">
        <v>5</v>
      </c>
    </row>
    <row r="1077" spans="1:3" x14ac:dyDescent="0.25">
      <c r="A1077" s="1" t="s">
        <v>2155</v>
      </c>
      <c r="B1077" s="1" t="s">
        <v>2156</v>
      </c>
      <c r="C1077" s="1" t="s">
        <v>5</v>
      </c>
    </row>
    <row r="1078" spans="1:3" x14ac:dyDescent="0.25">
      <c r="A1078" s="1" t="s">
        <v>2157</v>
      </c>
      <c r="B1078" s="1" t="s">
        <v>2158</v>
      </c>
      <c r="C1078" s="1" t="s">
        <v>5</v>
      </c>
    </row>
    <row r="1079" spans="1:3" x14ac:dyDescent="0.25">
      <c r="A1079" s="1" t="s">
        <v>2159</v>
      </c>
      <c r="B1079" s="1" t="s">
        <v>2160</v>
      </c>
      <c r="C1079" s="1" t="s">
        <v>5</v>
      </c>
    </row>
    <row r="1080" spans="1:3" x14ac:dyDescent="0.25">
      <c r="A1080" s="1" t="s">
        <v>2161</v>
      </c>
      <c r="B1080" s="1" t="s">
        <v>2162</v>
      </c>
      <c r="C1080" s="1" t="s">
        <v>5</v>
      </c>
    </row>
    <row r="1081" spans="1:3" x14ac:dyDescent="0.25">
      <c r="A1081" s="1" t="s">
        <v>2163</v>
      </c>
      <c r="B1081" s="1" t="s">
        <v>2164</v>
      </c>
      <c r="C1081" s="1" t="s">
        <v>5</v>
      </c>
    </row>
    <row r="1082" spans="1:3" x14ac:dyDescent="0.25">
      <c r="A1082" s="1" t="s">
        <v>2165</v>
      </c>
      <c r="B1082" s="1" t="s">
        <v>2166</v>
      </c>
      <c r="C1082" s="1" t="s">
        <v>5</v>
      </c>
    </row>
    <row r="1083" spans="1:3" x14ac:dyDescent="0.25">
      <c r="A1083" s="1" t="s">
        <v>2167</v>
      </c>
      <c r="B1083" s="1" t="s">
        <v>2168</v>
      </c>
      <c r="C1083" s="1" t="s">
        <v>5</v>
      </c>
    </row>
    <row r="1084" spans="1:3" x14ac:dyDescent="0.25">
      <c r="A1084" s="1" t="s">
        <v>2169</v>
      </c>
      <c r="B1084" s="1" t="s">
        <v>2170</v>
      </c>
      <c r="C1084" s="1" t="s">
        <v>5</v>
      </c>
    </row>
    <row r="1085" spans="1:3" x14ac:dyDescent="0.25">
      <c r="A1085" s="1" t="s">
        <v>2171</v>
      </c>
      <c r="B1085" s="1" t="s">
        <v>2172</v>
      </c>
      <c r="C1085" s="1" t="s">
        <v>5</v>
      </c>
    </row>
    <row r="1086" spans="1:3" x14ac:dyDescent="0.25">
      <c r="A1086" s="1" t="s">
        <v>2173</v>
      </c>
      <c r="B1086" s="1" t="s">
        <v>2174</v>
      </c>
      <c r="C1086" s="1" t="s">
        <v>5</v>
      </c>
    </row>
    <row r="1087" spans="1:3" x14ac:dyDescent="0.25">
      <c r="A1087" s="1" t="s">
        <v>2175</v>
      </c>
      <c r="B1087" s="1" t="s">
        <v>2176</v>
      </c>
      <c r="C1087" s="1" t="s">
        <v>5</v>
      </c>
    </row>
    <row r="1088" spans="1:3" x14ac:dyDescent="0.25">
      <c r="A1088" s="1" t="s">
        <v>2177</v>
      </c>
      <c r="B1088" s="1" t="s">
        <v>2178</v>
      </c>
      <c r="C1088" s="1" t="s">
        <v>5</v>
      </c>
    </row>
    <row r="1089" spans="1:3" x14ac:dyDescent="0.25">
      <c r="A1089" s="1" t="s">
        <v>2179</v>
      </c>
      <c r="B1089" s="1" t="s">
        <v>2180</v>
      </c>
      <c r="C1089" s="1" t="s">
        <v>5</v>
      </c>
    </row>
    <row r="1090" spans="1:3" x14ac:dyDescent="0.25">
      <c r="A1090" s="1" t="s">
        <v>2181</v>
      </c>
      <c r="B1090" s="1" t="s">
        <v>2182</v>
      </c>
      <c r="C1090" s="1" t="s">
        <v>5</v>
      </c>
    </row>
    <row r="1091" spans="1:3" x14ac:dyDescent="0.25">
      <c r="A1091" s="1" t="s">
        <v>2183</v>
      </c>
      <c r="B1091" s="1" t="s">
        <v>2184</v>
      </c>
      <c r="C1091" s="1" t="s">
        <v>5</v>
      </c>
    </row>
    <row r="1092" spans="1:3" x14ac:dyDescent="0.25">
      <c r="A1092" s="1" t="s">
        <v>2185</v>
      </c>
      <c r="B1092" s="1" t="s">
        <v>2186</v>
      </c>
      <c r="C1092" s="1" t="s">
        <v>5</v>
      </c>
    </row>
    <row r="1093" spans="1:3" x14ac:dyDescent="0.25">
      <c r="A1093" s="1" t="s">
        <v>2187</v>
      </c>
      <c r="B1093" s="1" t="s">
        <v>2188</v>
      </c>
      <c r="C1093" s="1" t="s">
        <v>5</v>
      </c>
    </row>
    <row r="1094" spans="1:3" x14ac:dyDescent="0.25">
      <c r="A1094" s="1" t="s">
        <v>2189</v>
      </c>
      <c r="B1094" s="1" t="s">
        <v>2190</v>
      </c>
      <c r="C1094" s="1" t="s">
        <v>5</v>
      </c>
    </row>
    <row r="1095" spans="1:3" x14ac:dyDescent="0.25">
      <c r="A1095" s="1" t="s">
        <v>2191</v>
      </c>
      <c r="B1095" s="1" t="s">
        <v>2192</v>
      </c>
      <c r="C1095" s="1" t="s">
        <v>5</v>
      </c>
    </row>
    <row r="1096" spans="1:3" x14ac:dyDescent="0.25">
      <c r="A1096" s="1" t="s">
        <v>2193</v>
      </c>
      <c r="B1096" s="1" t="s">
        <v>2194</v>
      </c>
      <c r="C1096" s="1" t="s">
        <v>5</v>
      </c>
    </row>
    <row r="1097" spans="1:3" x14ac:dyDescent="0.25">
      <c r="A1097" s="1" t="s">
        <v>2195</v>
      </c>
      <c r="B1097" s="1" t="s">
        <v>2196</v>
      </c>
      <c r="C1097" s="1" t="s">
        <v>5</v>
      </c>
    </row>
    <row r="1098" spans="1:3" x14ac:dyDescent="0.25">
      <c r="A1098" s="1" t="s">
        <v>2197</v>
      </c>
      <c r="B1098" s="1" t="s">
        <v>2198</v>
      </c>
      <c r="C1098" s="1" t="s">
        <v>5</v>
      </c>
    </row>
    <row r="1099" spans="1:3" x14ac:dyDescent="0.25">
      <c r="A1099" s="1" t="s">
        <v>2199</v>
      </c>
      <c r="B1099" s="1" t="s">
        <v>2200</v>
      </c>
      <c r="C1099" s="1" t="s">
        <v>5</v>
      </c>
    </row>
    <row r="1100" spans="1:3" x14ac:dyDescent="0.25">
      <c r="A1100" s="1" t="s">
        <v>2201</v>
      </c>
      <c r="B1100" s="1" t="s">
        <v>2202</v>
      </c>
      <c r="C1100" s="1" t="s">
        <v>5</v>
      </c>
    </row>
    <row r="1101" spans="1:3" x14ac:dyDescent="0.25">
      <c r="A1101" s="1" t="s">
        <v>2203</v>
      </c>
      <c r="B1101" s="1" t="s">
        <v>2204</v>
      </c>
      <c r="C1101" s="1" t="s">
        <v>5</v>
      </c>
    </row>
    <row r="1102" spans="1:3" x14ac:dyDescent="0.25">
      <c r="A1102" s="1" t="s">
        <v>2205</v>
      </c>
      <c r="B1102" s="1" t="s">
        <v>2206</v>
      </c>
      <c r="C1102" s="1" t="s">
        <v>5</v>
      </c>
    </row>
    <row r="1103" spans="1:3" x14ac:dyDescent="0.25">
      <c r="A1103" s="1" t="s">
        <v>2207</v>
      </c>
      <c r="B1103" s="1" t="s">
        <v>2208</v>
      </c>
      <c r="C1103" s="1" t="s">
        <v>5</v>
      </c>
    </row>
    <row r="1104" spans="1:3" x14ac:dyDescent="0.25">
      <c r="A1104" s="1" t="s">
        <v>2209</v>
      </c>
      <c r="B1104" s="1" t="s">
        <v>2210</v>
      </c>
      <c r="C1104" s="1" t="s">
        <v>5</v>
      </c>
    </row>
    <row r="1105" spans="1:3" x14ac:dyDescent="0.25">
      <c r="A1105" s="1" t="s">
        <v>2211</v>
      </c>
      <c r="B1105" s="1" t="s">
        <v>2212</v>
      </c>
      <c r="C1105" s="1" t="s">
        <v>5</v>
      </c>
    </row>
    <row r="1106" spans="1:3" x14ac:dyDescent="0.25">
      <c r="A1106" s="1" t="s">
        <v>2213</v>
      </c>
      <c r="B1106" s="1" t="s">
        <v>2214</v>
      </c>
      <c r="C1106" s="1" t="s">
        <v>5</v>
      </c>
    </row>
    <row r="1107" spans="1:3" x14ac:dyDescent="0.25">
      <c r="A1107" s="1" t="s">
        <v>2215</v>
      </c>
      <c r="B1107" s="1" t="s">
        <v>2216</v>
      </c>
      <c r="C1107" s="1" t="s">
        <v>5</v>
      </c>
    </row>
    <row r="1108" spans="1:3" x14ac:dyDescent="0.25">
      <c r="A1108" s="1" t="s">
        <v>2217</v>
      </c>
      <c r="B1108" s="1" t="s">
        <v>2218</v>
      </c>
      <c r="C1108" s="1" t="s">
        <v>5</v>
      </c>
    </row>
    <row r="1109" spans="1:3" x14ac:dyDescent="0.25">
      <c r="A1109" s="1" t="s">
        <v>2219</v>
      </c>
      <c r="B1109" s="1" t="s">
        <v>2220</v>
      </c>
      <c r="C1109" s="1" t="s">
        <v>5</v>
      </c>
    </row>
    <row r="1110" spans="1:3" x14ac:dyDescent="0.25">
      <c r="A1110" s="1" t="s">
        <v>2221</v>
      </c>
      <c r="B1110" s="1" t="s">
        <v>2222</v>
      </c>
      <c r="C1110" s="1" t="s">
        <v>5</v>
      </c>
    </row>
    <row r="1111" spans="1:3" x14ac:dyDescent="0.25">
      <c r="A1111" s="1" t="s">
        <v>2223</v>
      </c>
      <c r="B1111" s="1" t="s">
        <v>2224</v>
      </c>
      <c r="C1111" s="1" t="s">
        <v>5</v>
      </c>
    </row>
    <row r="1112" spans="1:3" x14ac:dyDescent="0.25">
      <c r="A1112" s="1" t="s">
        <v>2225</v>
      </c>
      <c r="B1112" s="1" t="s">
        <v>2226</v>
      </c>
      <c r="C1112" s="1" t="s">
        <v>5</v>
      </c>
    </row>
    <row r="1113" spans="1:3" x14ac:dyDescent="0.25">
      <c r="A1113" s="1" t="s">
        <v>2227</v>
      </c>
      <c r="B1113" s="1" t="s">
        <v>2228</v>
      </c>
      <c r="C1113" s="1" t="s">
        <v>5</v>
      </c>
    </row>
    <row r="1114" spans="1:3" x14ac:dyDescent="0.25">
      <c r="A1114" s="1" t="s">
        <v>2229</v>
      </c>
      <c r="B1114" s="1" t="s">
        <v>2230</v>
      </c>
      <c r="C1114" s="1" t="s">
        <v>5</v>
      </c>
    </row>
    <row r="1115" spans="1:3" x14ac:dyDescent="0.25">
      <c r="A1115" s="1" t="s">
        <v>2231</v>
      </c>
      <c r="B1115" s="1" t="s">
        <v>2232</v>
      </c>
      <c r="C1115" s="1" t="s">
        <v>5</v>
      </c>
    </row>
    <row r="1116" spans="1:3" x14ac:dyDescent="0.25">
      <c r="A1116" s="1" t="s">
        <v>2233</v>
      </c>
      <c r="B1116" s="1" t="s">
        <v>2234</v>
      </c>
      <c r="C1116" s="1" t="s">
        <v>5</v>
      </c>
    </row>
    <row r="1117" spans="1:3" x14ac:dyDescent="0.25">
      <c r="A1117" s="1" t="s">
        <v>2235</v>
      </c>
      <c r="B1117" s="1" t="s">
        <v>2236</v>
      </c>
      <c r="C1117" s="1" t="s">
        <v>5</v>
      </c>
    </row>
    <row r="1118" spans="1:3" x14ac:dyDescent="0.25">
      <c r="A1118" s="1" t="s">
        <v>2237</v>
      </c>
      <c r="B1118" s="1" t="s">
        <v>2238</v>
      </c>
      <c r="C1118" s="1" t="s">
        <v>5</v>
      </c>
    </row>
    <row r="1119" spans="1:3" x14ac:dyDescent="0.25">
      <c r="A1119" s="1" t="s">
        <v>2239</v>
      </c>
      <c r="B1119" s="1" t="s">
        <v>2240</v>
      </c>
      <c r="C1119" s="1" t="s">
        <v>5</v>
      </c>
    </row>
    <row r="1120" spans="1:3" x14ac:dyDescent="0.25">
      <c r="A1120" s="1" t="s">
        <v>2241</v>
      </c>
      <c r="B1120" s="1" t="s">
        <v>2242</v>
      </c>
      <c r="C1120" s="1" t="s">
        <v>5</v>
      </c>
    </row>
    <row r="1121" spans="1:3" x14ac:dyDescent="0.25">
      <c r="A1121" s="1" t="s">
        <v>2243</v>
      </c>
      <c r="B1121" s="1" t="s">
        <v>2244</v>
      </c>
      <c r="C1121" s="1" t="s">
        <v>5</v>
      </c>
    </row>
    <row r="1122" spans="1:3" x14ac:dyDescent="0.25">
      <c r="A1122" s="1" t="s">
        <v>2245</v>
      </c>
      <c r="B1122" s="1" t="s">
        <v>2246</v>
      </c>
      <c r="C1122" s="1" t="s">
        <v>5</v>
      </c>
    </row>
    <row r="1123" spans="1:3" x14ac:dyDescent="0.25">
      <c r="A1123" s="1" t="s">
        <v>2247</v>
      </c>
      <c r="B1123" s="1" t="s">
        <v>2248</v>
      </c>
      <c r="C1123" s="1" t="s">
        <v>5</v>
      </c>
    </row>
    <row r="1124" spans="1:3" x14ac:dyDescent="0.25">
      <c r="A1124" s="1" t="s">
        <v>2249</v>
      </c>
      <c r="B1124" s="1" t="s">
        <v>2250</v>
      </c>
      <c r="C1124" s="1" t="s">
        <v>5</v>
      </c>
    </row>
    <row r="1125" spans="1:3" x14ac:dyDescent="0.25">
      <c r="A1125" s="1" t="s">
        <v>2251</v>
      </c>
      <c r="B1125" s="1" t="s">
        <v>2252</v>
      </c>
      <c r="C1125" s="1" t="s">
        <v>5</v>
      </c>
    </row>
    <row r="1126" spans="1:3" x14ac:dyDescent="0.25">
      <c r="A1126" s="1" t="s">
        <v>2253</v>
      </c>
      <c r="B1126" s="1" t="s">
        <v>2254</v>
      </c>
      <c r="C1126" s="1" t="s">
        <v>5</v>
      </c>
    </row>
    <row r="1127" spans="1:3" x14ac:dyDescent="0.25">
      <c r="A1127" s="1" t="s">
        <v>2255</v>
      </c>
      <c r="B1127" s="1" t="s">
        <v>2256</v>
      </c>
      <c r="C1127" s="1" t="s">
        <v>5</v>
      </c>
    </row>
    <row r="1128" spans="1:3" x14ac:dyDescent="0.25">
      <c r="A1128" s="1" t="s">
        <v>2257</v>
      </c>
      <c r="B1128" s="1" t="s">
        <v>2258</v>
      </c>
      <c r="C1128" s="1" t="s">
        <v>5</v>
      </c>
    </row>
    <row r="1129" spans="1:3" x14ac:dyDescent="0.25">
      <c r="A1129" s="1" t="s">
        <v>2259</v>
      </c>
      <c r="B1129" s="1" t="s">
        <v>2260</v>
      </c>
      <c r="C1129" s="1" t="s">
        <v>5</v>
      </c>
    </row>
    <row r="1130" spans="1:3" x14ac:dyDescent="0.25">
      <c r="A1130" s="1" t="s">
        <v>2261</v>
      </c>
      <c r="B1130" s="1" t="s">
        <v>2262</v>
      </c>
      <c r="C1130" s="1" t="s">
        <v>5</v>
      </c>
    </row>
    <row r="1131" spans="1:3" x14ac:dyDescent="0.25">
      <c r="A1131" s="1" t="s">
        <v>2263</v>
      </c>
      <c r="B1131" s="1" t="s">
        <v>2264</v>
      </c>
      <c r="C1131" s="1" t="s">
        <v>5</v>
      </c>
    </row>
    <row r="1132" spans="1:3" x14ac:dyDescent="0.25">
      <c r="A1132" s="1" t="s">
        <v>2265</v>
      </c>
      <c r="B1132" s="1" t="s">
        <v>2266</v>
      </c>
      <c r="C1132" s="1" t="s">
        <v>5</v>
      </c>
    </row>
    <row r="1133" spans="1:3" x14ac:dyDescent="0.25">
      <c r="A1133" s="1" t="s">
        <v>2267</v>
      </c>
      <c r="B1133" s="1" t="s">
        <v>2268</v>
      </c>
      <c r="C1133" s="1" t="s">
        <v>5</v>
      </c>
    </row>
    <row r="1134" spans="1:3" x14ac:dyDescent="0.25">
      <c r="A1134" s="1" t="s">
        <v>2269</v>
      </c>
      <c r="B1134" s="1" t="s">
        <v>2270</v>
      </c>
      <c r="C1134" s="1" t="s">
        <v>5</v>
      </c>
    </row>
    <row r="1135" spans="1:3" x14ac:dyDescent="0.25">
      <c r="A1135" s="1" t="s">
        <v>2271</v>
      </c>
      <c r="B1135" s="1" t="s">
        <v>2272</v>
      </c>
      <c r="C1135" s="1" t="s">
        <v>5</v>
      </c>
    </row>
    <row r="1136" spans="1:3" x14ac:dyDescent="0.25">
      <c r="A1136" s="1" t="s">
        <v>2273</v>
      </c>
      <c r="B1136" s="1" t="s">
        <v>2274</v>
      </c>
      <c r="C1136" s="1" t="s">
        <v>5</v>
      </c>
    </row>
    <row r="1137" spans="1:3" x14ac:dyDescent="0.25">
      <c r="A1137" s="1" t="s">
        <v>2275</v>
      </c>
      <c r="B1137" s="1" t="s">
        <v>2276</v>
      </c>
      <c r="C1137" s="1" t="s">
        <v>5</v>
      </c>
    </row>
    <row r="1138" spans="1:3" x14ac:dyDescent="0.25">
      <c r="A1138" s="1" t="s">
        <v>2277</v>
      </c>
      <c r="B1138" s="1" t="s">
        <v>2278</v>
      </c>
      <c r="C1138" s="1" t="s">
        <v>5</v>
      </c>
    </row>
    <row r="1139" spans="1:3" x14ac:dyDescent="0.25">
      <c r="A1139" s="1" t="s">
        <v>2279</v>
      </c>
      <c r="B1139" s="1" t="s">
        <v>2280</v>
      </c>
      <c r="C1139" s="1" t="s">
        <v>5</v>
      </c>
    </row>
    <row r="1140" spans="1:3" x14ac:dyDescent="0.25">
      <c r="A1140" s="1" t="s">
        <v>2281</v>
      </c>
      <c r="B1140" s="1" t="s">
        <v>2282</v>
      </c>
      <c r="C1140" s="1" t="s">
        <v>5</v>
      </c>
    </row>
    <row r="1141" spans="1:3" x14ac:dyDescent="0.25">
      <c r="A1141" s="1" t="s">
        <v>2283</v>
      </c>
      <c r="B1141" s="1" t="s">
        <v>2284</v>
      </c>
      <c r="C1141" s="1" t="s">
        <v>5</v>
      </c>
    </row>
    <row r="1142" spans="1:3" x14ac:dyDescent="0.25">
      <c r="A1142" s="1" t="s">
        <v>2285</v>
      </c>
      <c r="B1142" s="1" t="s">
        <v>2286</v>
      </c>
      <c r="C1142" s="1" t="s">
        <v>5</v>
      </c>
    </row>
    <row r="1143" spans="1:3" x14ac:dyDescent="0.25">
      <c r="A1143" s="1" t="s">
        <v>2287</v>
      </c>
      <c r="B1143" s="1" t="s">
        <v>2288</v>
      </c>
      <c r="C1143" s="1" t="s">
        <v>5</v>
      </c>
    </row>
    <row r="1144" spans="1:3" x14ac:dyDescent="0.25">
      <c r="A1144" s="1" t="s">
        <v>2289</v>
      </c>
      <c r="B1144" s="1" t="s">
        <v>2290</v>
      </c>
      <c r="C1144" s="1" t="s">
        <v>5</v>
      </c>
    </row>
    <row r="1145" spans="1:3" x14ac:dyDescent="0.25">
      <c r="A1145" s="1" t="s">
        <v>2291</v>
      </c>
      <c r="B1145" s="1" t="s">
        <v>2292</v>
      </c>
      <c r="C1145" s="1" t="s">
        <v>5</v>
      </c>
    </row>
    <row r="1146" spans="1:3" x14ac:dyDescent="0.25">
      <c r="A1146" s="1" t="s">
        <v>2293</v>
      </c>
      <c r="B1146" s="1" t="s">
        <v>2294</v>
      </c>
      <c r="C1146" s="1" t="s">
        <v>5</v>
      </c>
    </row>
    <row r="1147" spans="1:3" x14ac:dyDescent="0.25">
      <c r="A1147" s="1" t="s">
        <v>2295</v>
      </c>
      <c r="B1147" s="1" t="s">
        <v>2296</v>
      </c>
      <c r="C1147" s="1" t="s">
        <v>5</v>
      </c>
    </row>
    <row r="1148" spans="1:3" x14ac:dyDescent="0.25">
      <c r="A1148" s="1" t="s">
        <v>2297</v>
      </c>
      <c r="B1148" s="1" t="s">
        <v>2298</v>
      </c>
      <c r="C1148" s="1" t="s">
        <v>5</v>
      </c>
    </row>
    <row r="1149" spans="1:3" x14ac:dyDescent="0.25">
      <c r="A1149" s="1" t="s">
        <v>2299</v>
      </c>
      <c r="B1149" s="1" t="s">
        <v>2300</v>
      </c>
      <c r="C1149" s="1" t="s">
        <v>5</v>
      </c>
    </row>
    <row r="1150" spans="1:3" x14ac:dyDescent="0.25">
      <c r="A1150" s="1" t="s">
        <v>2301</v>
      </c>
      <c r="B1150" s="1" t="s">
        <v>2302</v>
      </c>
      <c r="C1150" s="1" t="s">
        <v>5</v>
      </c>
    </row>
    <row r="1151" spans="1:3" x14ac:dyDescent="0.25">
      <c r="A1151" s="1" t="s">
        <v>2303</v>
      </c>
      <c r="B1151" s="1" t="s">
        <v>2304</v>
      </c>
      <c r="C1151" s="1" t="s">
        <v>5</v>
      </c>
    </row>
    <row r="1152" spans="1:3" x14ac:dyDescent="0.25">
      <c r="A1152" s="1" t="s">
        <v>2305</v>
      </c>
      <c r="B1152" s="1" t="s">
        <v>2306</v>
      </c>
      <c r="C1152" s="1" t="s">
        <v>5</v>
      </c>
    </row>
    <row r="1153" spans="1:3" x14ac:dyDescent="0.25">
      <c r="A1153" s="1" t="s">
        <v>2307</v>
      </c>
      <c r="B1153" s="1" t="s">
        <v>2308</v>
      </c>
      <c r="C1153" s="1" t="s">
        <v>5</v>
      </c>
    </row>
    <row r="1154" spans="1:3" x14ac:dyDescent="0.25">
      <c r="A1154" s="1" t="s">
        <v>2309</v>
      </c>
      <c r="B1154" s="1" t="s">
        <v>2310</v>
      </c>
      <c r="C1154" s="1" t="s">
        <v>5</v>
      </c>
    </row>
    <row r="1155" spans="1:3" x14ac:dyDescent="0.25">
      <c r="A1155" s="1" t="s">
        <v>2311</v>
      </c>
      <c r="B1155" s="1" t="s">
        <v>2312</v>
      </c>
      <c r="C1155" s="1" t="s">
        <v>5</v>
      </c>
    </row>
    <row r="1156" spans="1:3" x14ac:dyDescent="0.25">
      <c r="A1156" s="1" t="s">
        <v>2313</v>
      </c>
      <c r="B1156" s="1" t="s">
        <v>2314</v>
      </c>
      <c r="C1156" s="1" t="s">
        <v>5</v>
      </c>
    </row>
    <row r="1157" spans="1:3" x14ac:dyDescent="0.25">
      <c r="A1157" s="1" t="s">
        <v>2315</v>
      </c>
      <c r="B1157" s="1" t="s">
        <v>2316</v>
      </c>
      <c r="C1157" s="1" t="s">
        <v>5</v>
      </c>
    </row>
    <row r="1158" spans="1:3" x14ac:dyDescent="0.25">
      <c r="A1158" s="1" t="s">
        <v>2317</v>
      </c>
      <c r="B1158" s="1" t="s">
        <v>2318</v>
      </c>
      <c r="C1158" s="1" t="s">
        <v>5</v>
      </c>
    </row>
    <row r="1159" spans="1:3" x14ac:dyDescent="0.25">
      <c r="A1159" s="1" t="s">
        <v>2319</v>
      </c>
      <c r="B1159" s="1" t="s">
        <v>2320</v>
      </c>
      <c r="C1159" s="1" t="s">
        <v>5</v>
      </c>
    </row>
    <row r="1160" spans="1:3" x14ac:dyDescent="0.25">
      <c r="A1160" s="1" t="s">
        <v>2321</v>
      </c>
      <c r="B1160" s="1" t="s">
        <v>2322</v>
      </c>
      <c r="C1160" s="1" t="s">
        <v>5</v>
      </c>
    </row>
    <row r="1161" spans="1:3" x14ac:dyDescent="0.25">
      <c r="A1161" s="1" t="s">
        <v>2323</v>
      </c>
      <c r="B1161" s="1" t="s">
        <v>2324</v>
      </c>
      <c r="C1161" s="1" t="s">
        <v>5</v>
      </c>
    </row>
    <row r="1162" spans="1:3" x14ac:dyDescent="0.25">
      <c r="A1162" s="1" t="s">
        <v>2325</v>
      </c>
      <c r="B1162" s="1" t="s">
        <v>2326</v>
      </c>
      <c r="C1162" s="1" t="s">
        <v>5</v>
      </c>
    </row>
    <row r="1163" spans="1:3" x14ac:dyDescent="0.25">
      <c r="A1163" s="1" t="s">
        <v>2327</v>
      </c>
      <c r="B1163" s="1" t="s">
        <v>2328</v>
      </c>
      <c r="C1163" s="1" t="s">
        <v>5</v>
      </c>
    </row>
    <row r="1164" spans="1:3" x14ac:dyDescent="0.25">
      <c r="A1164" s="1" t="s">
        <v>2329</v>
      </c>
      <c r="B1164" s="1" t="s">
        <v>2330</v>
      </c>
      <c r="C1164" s="1" t="s">
        <v>5</v>
      </c>
    </row>
    <row r="1165" spans="1:3" x14ac:dyDescent="0.25">
      <c r="A1165" s="1" t="s">
        <v>2331</v>
      </c>
      <c r="B1165" s="1" t="s">
        <v>2332</v>
      </c>
      <c r="C1165" s="1" t="s">
        <v>5</v>
      </c>
    </row>
    <row r="1166" spans="1:3" x14ac:dyDescent="0.25">
      <c r="A1166" s="1" t="s">
        <v>2333</v>
      </c>
      <c r="B1166" s="1" t="s">
        <v>2334</v>
      </c>
      <c r="C1166" s="1" t="s">
        <v>5</v>
      </c>
    </row>
    <row r="1167" spans="1:3" x14ac:dyDescent="0.25">
      <c r="A1167" s="1" t="s">
        <v>2335</v>
      </c>
      <c r="B1167" s="1" t="s">
        <v>2336</v>
      </c>
      <c r="C1167" s="1" t="s">
        <v>5</v>
      </c>
    </row>
    <row r="1168" spans="1:3" x14ac:dyDescent="0.25">
      <c r="A1168" s="1" t="s">
        <v>2337</v>
      </c>
      <c r="B1168" s="1" t="s">
        <v>2338</v>
      </c>
      <c r="C1168" s="1" t="s">
        <v>5</v>
      </c>
    </row>
    <row r="1169" spans="1:3" x14ac:dyDescent="0.25">
      <c r="A1169" s="1" t="s">
        <v>2339</v>
      </c>
      <c r="B1169" s="1" t="s">
        <v>2340</v>
      </c>
      <c r="C1169" s="1" t="s">
        <v>5</v>
      </c>
    </row>
    <row r="1170" spans="1:3" x14ac:dyDescent="0.25">
      <c r="A1170" s="1" t="s">
        <v>2341</v>
      </c>
      <c r="B1170" s="1" t="s">
        <v>2342</v>
      </c>
      <c r="C1170" s="1" t="s">
        <v>5</v>
      </c>
    </row>
    <row r="1171" spans="1:3" x14ac:dyDescent="0.25">
      <c r="A1171" s="1" t="s">
        <v>2343</v>
      </c>
      <c r="B1171" s="1" t="s">
        <v>2344</v>
      </c>
      <c r="C1171" s="1" t="s">
        <v>5</v>
      </c>
    </row>
    <row r="1172" spans="1:3" x14ac:dyDescent="0.25">
      <c r="A1172" s="1" t="s">
        <v>2345</v>
      </c>
      <c r="B1172" s="1" t="s">
        <v>2346</v>
      </c>
      <c r="C1172" s="1" t="s">
        <v>5</v>
      </c>
    </row>
    <row r="1173" spans="1:3" x14ac:dyDescent="0.25">
      <c r="A1173" s="1" t="s">
        <v>2347</v>
      </c>
      <c r="B1173" s="1" t="s">
        <v>2348</v>
      </c>
      <c r="C1173" s="1" t="s">
        <v>5</v>
      </c>
    </row>
    <row r="1174" spans="1:3" x14ac:dyDescent="0.25">
      <c r="A1174" s="1" t="s">
        <v>2349</v>
      </c>
      <c r="B1174" s="1" t="s">
        <v>2350</v>
      </c>
      <c r="C1174" s="1" t="s">
        <v>5</v>
      </c>
    </row>
    <row r="1175" spans="1:3" x14ac:dyDescent="0.25">
      <c r="A1175" s="1" t="s">
        <v>2351</v>
      </c>
      <c r="B1175" s="1" t="s">
        <v>2352</v>
      </c>
      <c r="C1175" s="1" t="s">
        <v>5</v>
      </c>
    </row>
    <row r="1176" spans="1:3" x14ac:dyDescent="0.25">
      <c r="A1176" s="1" t="s">
        <v>2353</v>
      </c>
      <c r="B1176" s="1" t="s">
        <v>2354</v>
      </c>
      <c r="C1176" s="1" t="s">
        <v>5</v>
      </c>
    </row>
    <row r="1177" spans="1:3" x14ac:dyDescent="0.25">
      <c r="A1177" s="1" t="s">
        <v>2355</v>
      </c>
      <c r="B1177" s="1" t="s">
        <v>2356</v>
      </c>
      <c r="C1177" s="1" t="s">
        <v>5</v>
      </c>
    </row>
    <row r="1178" spans="1:3" x14ac:dyDescent="0.25">
      <c r="A1178" s="1" t="s">
        <v>2357</v>
      </c>
      <c r="B1178" s="1" t="s">
        <v>2358</v>
      </c>
      <c r="C1178" s="1" t="s">
        <v>5</v>
      </c>
    </row>
    <row r="1179" spans="1:3" x14ac:dyDescent="0.25">
      <c r="A1179" s="1" t="s">
        <v>2359</v>
      </c>
      <c r="B1179" s="1" t="s">
        <v>2360</v>
      </c>
      <c r="C1179" s="1" t="s">
        <v>5</v>
      </c>
    </row>
    <row r="1180" spans="1:3" x14ac:dyDescent="0.25">
      <c r="A1180" s="1" t="s">
        <v>2361</v>
      </c>
      <c r="B1180" s="1" t="s">
        <v>2362</v>
      </c>
      <c r="C1180" s="1" t="s">
        <v>5</v>
      </c>
    </row>
    <row r="1181" spans="1:3" x14ac:dyDescent="0.25">
      <c r="A1181" s="1" t="s">
        <v>2363</v>
      </c>
      <c r="B1181" s="1" t="s">
        <v>2364</v>
      </c>
      <c r="C1181" s="1" t="s">
        <v>5</v>
      </c>
    </row>
    <row r="1182" spans="1:3" x14ac:dyDescent="0.25">
      <c r="A1182" s="1" t="s">
        <v>2365</v>
      </c>
      <c r="B1182" s="1" t="s">
        <v>2366</v>
      </c>
      <c r="C1182" s="1" t="s">
        <v>5</v>
      </c>
    </row>
    <row r="1183" spans="1:3" x14ac:dyDescent="0.25">
      <c r="A1183" s="1" t="s">
        <v>2367</v>
      </c>
      <c r="B1183" s="1" t="s">
        <v>2368</v>
      </c>
      <c r="C1183" s="1" t="s">
        <v>5</v>
      </c>
    </row>
    <row r="1184" spans="1:3" x14ac:dyDescent="0.25">
      <c r="A1184" s="1" t="s">
        <v>2369</v>
      </c>
      <c r="B1184" s="1" t="s">
        <v>2370</v>
      </c>
      <c r="C1184" s="1" t="s">
        <v>5</v>
      </c>
    </row>
    <row r="1185" spans="1:3" x14ac:dyDescent="0.25">
      <c r="A1185" s="1" t="s">
        <v>2371</v>
      </c>
      <c r="B1185" s="1" t="s">
        <v>2372</v>
      </c>
      <c r="C1185" s="1" t="s">
        <v>5</v>
      </c>
    </row>
    <row r="1186" spans="1:3" x14ac:dyDescent="0.25">
      <c r="A1186" s="1" t="s">
        <v>2373</v>
      </c>
      <c r="B1186" s="1" t="s">
        <v>2374</v>
      </c>
      <c r="C1186" s="1" t="s">
        <v>5</v>
      </c>
    </row>
    <row r="1187" spans="1:3" x14ac:dyDescent="0.25">
      <c r="A1187" s="1" t="s">
        <v>2375</v>
      </c>
      <c r="B1187" s="1" t="s">
        <v>2376</v>
      </c>
      <c r="C1187" s="1" t="s">
        <v>5</v>
      </c>
    </row>
    <row r="1188" spans="1:3" x14ac:dyDescent="0.25">
      <c r="A1188" s="1" t="s">
        <v>2377</v>
      </c>
      <c r="B1188" s="1" t="s">
        <v>2378</v>
      </c>
      <c r="C1188" s="1" t="s">
        <v>5</v>
      </c>
    </row>
    <row r="1189" spans="1:3" x14ac:dyDescent="0.25">
      <c r="A1189" s="1" t="s">
        <v>2379</v>
      </c>
      <c r="B1189" s="1" t="s">
        <v>2380</v>
      </c>
      <c r="C1189" s="1" t="s">
        <v>5</v>
      </c>
    </row>
    <row r="1190" spans="1:3" x14ac:dyDescent="0.25">
      <c r="A1190" s="1" t="s">
        <v>2381</v>
      </c>
      <c r="B1190" s="1" t="s">
        <v>2382</v>
      </c>
      <c r="C1190" s="1" t="s">
        <v>5</v>
      </c>
    </row>
    <row r="1191" spans="1:3" x14ac:dyDescent="0.25">
      <c r="A1191" s="1" t="s">
        <v>2383</v>
      </c>
      <c r="B1191" s="1" t="s">
        <v>2384</v>
      </c>
      <c r="C1191" s="1" t="s">
        <v>5</v>
      </c>
    </row>
    <row r="1192" spans="1:3" x14ac:dyDescent="0.25">
      <c r="A1192" s="1" t="s">
        <v>2385</v>
      </c>
      <c r="B1192" s="1" t="s">
        <v>2386</v>
      </c>
      <c r="C1192" s="1" t="s">
        <v>5</v>
      </c>
    </row>
    <row r="1193" spans="1:3" x14ac:dyDescent="0.25">
      <c r="A1193" s="1" t="s">
        <v>2387</v>
      </c>
      <c r="B1193" s="1" t="s">
        <v>2388</v>
      </c>
      <c r="C1193" s="1" t="s">
        <v>5</v>
      </c>
    </row>
    <row r="1194" spans="1:3" x14ac:dyDescent="0.25">
      <c r="A1194" s="1" t="s">
        <v>2389</v>
      </c>
      <c r="B1194" s="1" t="s">
        <v>2390</v>
      </c>
      <c r="C1194" s="1" t="s">
        <v>5</v>
      </c>
    </row>
    <row r="1195" spans="1:3" x14ac:dyDescent="0.25">
      <c r="A1195" s="1" t="s">
        <v>2391</v>
      </c>
      <c r="B1195" s="1" t="s">
        <v>2392</v>
      </c>
      <c r="C1195" s="1" t="s">
        <v>5</v>
      </c>
    </row>
    <row r="1196" spans="1:3" x14ac:dyDescent="0.25">
      <c r="A1196" s="1" t="s">
        <v>2393</v>
      </c>
      <c r="B1196" s="1" t="s">
        <v>2394</v>
      </c>
      <c r="C1196" s="1" t="s">
        <v>5</v>
      </c>
    </row>
    <row r="1197" spans="1:3" x14ac:dyDescent="0.25">
      <c r="A1197" s="1" t="s">
        <v>2395</v>
      </c>
      <c r="B1197" s="1" t="s">
        <v>2396</v>
      </c>
      <c r="C1197" s="1" t="s">
        <v>5</v>
      </c>
    </row>
    <row r="1198" spans="1:3" x14ac:dyDescent="0.25">
      <c r="A1198" s="1" t="s">
        <v>2397</v>
      </c>
      <c r="B1198" s="1" t="s">
        <v>2398</v>
      </c>
      <c r="C1198" s="1" t="s">
        <v>5</v>
      </c>
    </row>
    <row r="1199" spans="1:3" x14ac:dyDescent="0.25">
      <c r="A1199" s="1" t="s">
        <v>2399</v>
      </c>
      <c r="B1199" s="1" t="s">
        <v>2400</v>
      </c>
      <c r="C1199" s="1" t="s">
        <v>5</v>
      </c>
    </row>
    <row r="1200" spans="1:3" x14ac:dyDescent="0.25">
      <c r="A1200" s="1" t="s">
        <v>2401</v>
      </c>
      <c r="B1200" s="1" t="s">
        <v>2402</v>
      </c>
      <c r="C1200" s="1" t="s">
        <v>5</v>
      </c>
    </row>
    <row r="1201" spans="1:3" x14ac:dyDescent="0.25">
      <c r="A1201" s="1" t="s">
        <v>2403</v>
      </c>
      <c r="B1201" s="1" t="s">
        <v>2404</v>
      </c>
      <c r="C1201" s="1" t="s">
        <v>5</v>
      </c>
    </row>
    <row r="1202" spans="1:3" x14ac:dyDescent="0.25">
      <c r="A1202" s="1" t="s">
        <v>2405</v>
      </c>
      <c r="B1202" s="1" t="s">
        <v>2406</v>
      </c>
      <c r="C1202" s="1" t="s">
        <v>5</v>
      </c>
    </row>
    <row r="1203" spans="1:3" x14ac:dyDescent="0.25">
      <c r="A1203" s="1" t="s">
        <v>2407</v>
      </c>
      <c r="B1203" s="1" t="s">
        <v>2408</v>
      </c>
      <c r="C1203" s="1" t="s">
        <v>5</v>
      </c>
    </row>
    <row r="1204" spans="1:3" x14ac:dyDescent="0.25">
      <c r="A1204" s="1" t="s">
        <v>2409</v>
      </c>
      <c r="B1204" s="1" t="s">
        <v>2410</v>
      </c>
      <c r="C1204" s="1" t="s">
        <v>5</v>
      </c>
    </row>
    <row r="1205" spans="1:3" x14ac:dyDescent="0.25">
      <c r="A1205" s="1" t="s">
        <v>2411</v>
      </c>
      <c r="B1205" s="1" t="s">
        <v>2412</v>
      </c>
      <c r="C1205" s="1" t="s">
        <v>5</v>
      </c>
    </row>
    <row r="1206" spans="1:3" x14ac:dyDescent="0.25">
      <c r="A1206" s="1" t="s">
        <v>2413</v>
      </c>
      <c r="B1206" s="1" t="s">
        <v>2414</v>
      </c>
      <c r="C1206" s="1" t="s">
        <v>5</v>
      </c>
    </row>
    <row r="1207" spans="1:3" x14ac:dyDescent="0.25">
      <c r="A1207" s="1" t="s">
        <v>2415</v>
      </c>
      <c r="B1207" s="1" t="s">
        <v>2416</v>
      </c>
      <c r="C1207" s="1" t="s">
        <v>5</v>
      </c>
    </row>
    <row r="1208" spans="1:3" x14ac:dyDescent="0.25">
      <c r="A1208" s="1" t="s">
        <v>2417</v>
      </c>
      <c r="B1208" s="1" t="s">
        <v>2418</v>
      </c>
      <c r="C1208" s="1" t="s">
        <v>5</v>
      </c>
    </row>
    <row r="1209" spans="1:3" x14ac:dyDescent="0.25">
      <c r="A1209" s="1" t="s">
        <v>2419</v>
      </c>
      <c r="B1209" s="1" t="s">
        <v>2420</v>
      </c>
      <c r="C1209" s="1" t="s">
        <v>5</v>
      </c>
    </row>
    <row r="1210" spans="1:3" x14ac:dyDescent="0.25">
      <c r="A1210" s="1" t="s">
        <v>2421</v>
      </c>
      <c r="B1210" s="1" t="s">
        <v>2422</v>
      </c>
      <c r="C1210" s="1" t="s">
        <v>5</v>
      </c>
    </row>
    <row r="1211" spans="1:3" x14ac:dyDescent="0.25">
      <c r="A1211" s="1" t="s">
        <v>2423</v>
      </c>
      <c r="B1211" s="1" t="s">
        <v>2424</v>
      </c>
      <c r="C1211" s="1" t="s">
        <v>5</v>
      </c>
    </row>
    <row r="1212" spans="1:3" x14ac:dyDescent="0.25">
      <c r="A1212" s="1" t="s">
        <v>2425</v>
      </c>
      <c r="B1212" s="1" t="s">
        <v>2426</v>
      </c>
      <c r="C1212" s="1" t="s">
        <v>5</v>
      </c>
    </row>
    <row r="1213" spans="1:3" x14ac:dyDescent="0.25">
      <c r="A1213" s="1" t="s">
        <v>2427</v>
      </c>
      <c r="B1213" s="1" t="s">
        <v>2428</v>
      </c>
      <c r="C1213" s="1" t="s">
        <v>5</v>
      </c>
    </row>
    <row r="1214" spans="1:3" x14ac:dyDescent="0.25">
      <c r="A1214" s="1" t="s">
        <v>2429</v>
      </c>
      <c r="B1214" s="1" t="s">
        <v>2430</v>
      </c>
      <c r="C1214" s="1" t="s">
        <v>5</v>
      </c>
    </row>
    <row r="1215" spans="1:3" x14ac:dyDescent="0.25">
      <c r="A1215" s="1" t="s">
        <v>2431</v>
      </c>
      <c r="B1215" s="1" t="s">
        <v>2432</v>
      </c>
      <c r="C1215" s="1" t="s">
        <v>5</v>
      </c>
    </row>
    <row r="1216" spans="1:3" x14ac:dyDescent="0.25">
      <c r="A1216" s="1" t="s">
        <v>2433</v>
      </c>
      <c r="B1216" s="1" t="s">
        <v>2434</v>
      </c>
      <c r="C1216" s="1" t="s">
        <v>5</v>
      </c>
    </row>
    <row r="1217" spans="1:3" x14ac:dyDescent="0.25">
      <c r="A1217" s="1" t="s">
        <v>2435</v>
      </c>
      <c r="B1217" s="1" t="s">
        <v>2436</v>
      </c>
      <c r="C1217" s="1" t="s">
        <v>5</v>
      </c>
    </row>
    <row r="1218" spans="1:3" x14ac:dyDescent="0.25">
      <c r="A1218" s="1" t="s">
        <v>2437</v>
      </c>
      <c r="B1218" s="1" t="s">
        <v>2438</v>
      </c>
      <c r="C1218" s="1" t="s">
        <v>5</v>
      </c>
    </row>
    <row r="1219" spans="1:3" x14ac:dyDescent="0.25">
      <c r="A1219" s="1" t="s">
        <v>2439</v>
      </c>
      <c r="B1219" s="1" t="s">
        <v>2440</v>
      </c>
      <c r="C1219" s="1" t="s">
        <v>5</v>
      </c>
    </row>
    <row r="1220" spans="1:3" x14ac:dyDescent="0.25">
      <c r="A1220" s="1" t="s">
        <v>2441</v>
      </c>
      <c r="B1220" s="1" t="s">
        <v>2442</v>
      </c>
      <c r="C1220" s="1" t="s">
        <v>5</v>
      </c>
    </row>
    <row r="1221" spans="1:3" x14ac:dyDescent="0.25">
      <c r="A1221" s="1" t="s">
        <v>2443</v>
      </c>
      <c r="B1221" s="1" t="s">
        <v>2444</v>
      </c>
      <c r="C1221" s="1" t="s">
        <v>5</v>
      </c>
    </row>
    <row r="1222" spans="1:3" x14ac:dyDescent="0.25">
      <c r="A1222" s="1" t="s">
        <v>2445</v>
      </c>
      <c r="B1222" s="1" t="s">
        <v>2446</v>
      </c>
      <c r="C1222" s="1" t="s">
        <v>5</v>
      </c>
    </row>
    <row r="1223" spans="1:3" x14ac:dyDescent="0.25">
      <c r="A1223" s="1" t="s">
        <v>2447</v>
      </c>
      <c r="B1223" s="1" t="s">
        <v>2448</v>
      </c>
      <c r="C1223" s="1" t="s">
        <v>5</v>
      </c>
    </row>
    <row r="1224" spans="1:3" x14ac:dyDescent="0.25">
      <c r="A1224" s="1" t="s">
        <v>2449</v>
      </c>
      <c r="B1224" s="1" t="s">
        <v>2450</v>
      </c>
      <c r="C1224" s="1" t="s">
        <v>5</v>
      </c>
    </row>
    <row r="1225" spans="1:3" x14ac:dyDescent="0.25">
      <c r="A1225" s="1" t="s">
        <v>2451</v>
      </c>
      <c r="B1225" s="1" t="s">
        <v>2452</v>
      </c>
      <c r="C1225" s="1" t="s">
        <v>5</v>
      </c>
    </row>
    <row r="1226" spans="1:3" x14ac:dyDescent="0.25">
      <c r="A1226" s="1" t="s">
        <v>2453</v>
      </c>
      <c r="B1226" s="1" t="s">
        <v>2454</v>
      </c>
      <c r="C1226" s="1" t="s">
        <v>5</v>
      </c>
    </row>
    <row r="1227" spans="1:3" x14ac:dyDescent="0.25">
      <c r="A1227" s="1" t="s">
        <v>2455</v>
      </c>
      <c r="B1227" s="1" t="s">
        <v>2456</v>
      </c>
      <c r="C1227" s="1" t="s">
        <v>5</v>
      </c>
    </row>
    <row r="1228" spans="1:3" x14ac:dyDescent="0.25">
      <c r="A1228" s="1" t="s">
        <v>2457</v>
      </c>
      <c r="B1228" s="1" t="s">
        <v>2458</v>
      </c>
      <c r="C1228" s="1" t="s">
        <v>5</v>
      </c>
    </row>
    <row r="1229" spans="1:3" x14ac:dyDescent="0.25">
      <c r="A1229" s="1" t="s">
        <v>2459</v>
      </c>
      <c r="B1229" s="1" t="s">
        <v>2460</v>
      </c>
      <c r="C1229" s="1" t="s">
        <v>5</v>
      </c>
    </row>
    <row r="1230" spans="1:3" x14ac:dyDescent="0.25">
      <c r="A1230" s="1" t="s">
        <v>2461</v>
      </c>
      <c r="B1230" s="1" t="s">
        <v>2462</v>
      </c>
      <c r="C1230" s="1" t="s">
        <v>5</v>
      </c>
    </row>
    <row r="1231" spans="1:3" x14ac:dyDescent="0.25">
      <c r="A1231" s="1" t="s">
        <v>2463</v>
      </c>
      <c r="B1231" s="1" t="s">
        <v>2464</v>
      </c>
      <c r="C1231" s="1" t="s">
        <v>5</v>
      </c>
    </row>
    <row r="1232" spans="1:3" x14ac:dyDescent="0.25">
      <c r="A1232" s="1" t="s">
        <v>2465</v>
      </c>
      <c r="B1232" s="1" t="s">
        <v>2466</v>
      </c>
      <c r="C1232" s="1" t="s">
        <v>5</v>
      </c>
    </row>
    <row r="1233" spans="1:3" x14ac:dyDescent="0.25">
      <c r="A1233" s="1" t="s">
        <v>2467</v>
      </c>
      <c r="B1233" s="1" t="s">
        <v>2468</v>
      </c>
      <c r="C1233" s="1" t="s">
        <v>5</v>
      </c>
    </row>
    <row r="1234" spans="1:3" x14ac:dyDescent="0.25">
      <c r="A1234" s="1" t="s">
        <v>2469</v>
      </c>
      <c r="B1234" s="1" t="s">
        <v>2470</v>
      </c>
      <c r="C1234" s="1" t="s">
        <v>5</v>
      </c>
    </row>
    <row r="1235" spans="1:3" x14ac:dyDescent="0.25">
      <c r="A1235" s="1" t="s">
        <v>2471</v>
      </c>
      <c r="B1235" s="1" t="s">
        <v>2472</v>
      </c>
      <c r="C1235" s="1" t="s">
        <v>5</v>
      </c>
    </row>
    <row r="1236" spans="1:3" x14ac:dyDescent="0.25">
      <c r="A1236" s="1" t="s">
        <v>2473</v>
      </c>
      <c r="B1236" s="1" t="s">
        <v>2474</v>
      </c>
      <c r="C1236" s="1" t="s">
        <v>5</v>
      </c>
    </row>
    <row r="1237" spans="1:3" x14ac:dyDescent="0.25">
      <c r="A1237" s="1" t="s">
        <v>2475</v>
      </c>
      <c r="B1237" s="1" t="s">
        <v>2476</v>
      </c>
      <c r="C1237" s="1" t="s">
        <v>5</v>
      </c>
    </row>
    <row r="1238" spans="1:3" x14ac:dyDescent="0.25">
      <c r="A1238" s="1" t="s">
        <v>2477</v>
      </c>
      <c r="B1238" s="1" t="s">
        <v>2478</v>
      </c>
      <c r="C1238" s="1" t="s">
        <v>5</v>
      </c>
    </row>
    <row r="1239" spans="1:3" x14ac:dyDescent="0.25">
      <c r="A1239" s="1" t="s">
        <v>2479</v>
      </c>
      <c r="B1239" s="1" t="s">
        <v>2480</v>
      </c>
      <c r="C1239" s="1" t="s">
        <v>5</v>
      </c>
    </row>
    <row r="1240" spans="1:3" x14ac:dyDescent="0.25">
      <c r="A1240" s="1" t="s">
        <v>2481</v>
      </c>
      <c r="B1240" s="1" t="s">
        <v>2482</v>
      </c>
      <c r="C1240" s="1" t="s">
        <v>5</v>
      </c>
    </row>
    <row r="1241" spans="1:3" x14ac:dyDescent="0.25">
      <c r="A1241" s="1" t="s">
        <v>2483</v>
      </c>
      <c r="B1241" s="1" t="s">
        <v>2484</v>
      </c>
      <c r="C1241" s="1" t="s">
        <v>5</v>
      </c>
    </row>
    <row r="1242" spans="1:3" x14ac:dyDescent="0.25">
      <c r="A1242" s="1" t="s">
        <v>2485</v>
      </c>
      <c r="B1242" s="1" t="s">
        <v>2486</v>
      </c>
      <c r="C1242" s="1" t="s">
        <v>5</v>
      </c>
    </row>
    <row r="1243" spans="1:3" x14ac:dyDescent="0.25">
      <c r="A1243" s="1" t="s">
        <v>2487</v>
      </c>
      <c r="B1243" s="1" t="s">
        <v>2488</v>
      </c>
      <c r="C1243" s="1" t="s">
        <v>5</v>
      </c>
    </row>
    <row r="1244" spans="1:3" x14ac:dyDescent="0.25">
      <c r="A1244" s="1" t="s">
        <v>2489</v>
      </c>
      <c r="B1244" s="1" t="s">
        <v>2490</v>
      </c>
      <c r="C1244" s="1" t="s">
        <v>5</v>
      </c>
    </row>
    <row r="1245" spans="1:3" x14ac:dyDescent="0.25">
      <c r="A1245" s="1" t="s">
        <v>2491</v>
      </c>
      <c r="B1245" s="1" t="s">
        <v>2492</v>
      </c>
      <c r="C1245" s="1" t="s">
        <v>5</v>
      </c>
    </row>
    <row r="1246" spans="1:3" x14ac:dyDescent="0.25">
      <c r="A1246" s="1" t="s">
        <v>2493</v>
      </c>
      <c r="B1246" s="1" t="s">
        <v>2494</v>
      </c>
      <c r="C1246" s="1" t="s">
        <v>5</v>
      </c>
    </row>
    <row r="1247" spans="1:3" x14ac:dyDescent="0.25">
      <c r="A1247" s="1" t="s">
        <v>2495</v>
      </c>
      <c r="B1247" s="1" t="s">
        <v>2496</v>
      </c>
      <c r="C1247" s="1" t="s">
        <v>5</v>
      </c>
    </row>
    <row r="1248" spans="1:3" x14ac:dyDescent="0.25">
      <c r="A1248" s="1" t="s">
        <v>2497</v>
      </c>
      <c r="B1248" s="1" t="s">
        <v>2498</v>
      </c>
      <c r="C1248" s="1" t="s">
        <v>5</v>
      </c>
    </row>
    <row r="1249" spans="1:3" x14ac:dyDescent="0.25">
      <c r="A1249" s="1" t="s">
        <v>2499</v>
      </c>
      <c r="B1249" s="1" t="s">
        <v>2500</v>
      </c>
      <c r="C1249" s="1" t="s">
        <v>5</v>
      </c>
    </row>
    <row r="1250" spans="1:3" x14ac:dyDescent="0.25">
      <c r="A1250" s="1" t="s">
        <v>2501</v>
      </c>
      <c r="B1250" s="1" t="s">
        <v>2502</v>
      </c>
      <c r="C1250" s="1" t="s">
        <v>5</v>
      </c>
    </row>
    <row r="1251" spans="1:3" x14ac:dyDescent="0.25">
      <c r="A1251" s="1" t="s">
        <v>2503</v>
      </c>
      <c r="B1251" s="1" t="s">
        <v>2504</v>
      </c>
      <c r="C1251" s="1" t="s">
        <v>5</v>
      </c>
    </row>
    <row r="1252" spans="1:3" x14ac:dyDescent="0.25">
      <c r="A1252" s="1" t="s">
        <v>2505</v>
      </c>
      <c r="B1252" s="1" t="s">
        <v>2506</v>
      </c>
      <c r="C1252" s="1" t="s">
        <v>5</v>
      </c>
    </row>
    <row r="1253" spans="1:3" x14ac:dyDescent="0.25">
      <c r="A1253" s="1" t="s">
        <v>2507</v>
      </c>
      <c r="B1253" s="1" t="s">
        <v>2508</v>
      </c>
      <c r="C1253" s="1" t="s">
        <v>5</v>
      </c>
    </row>
    <row r="1254" spans="1:3" x14ac:dyDescent="0.25">
      <c r="A1254" s="1" t="s">
        <v>2509</v>
      </c>
      <c r="B1254" s="1" t="s">
        <v>2510</v>
      </c>
      <c r="C1254" s="1" t="s">
        <v>5</v>
      </c>
    </row>
    <row r="1255" spans="1:3" x14ac:dyDescent="0.25">
      <c r="A1255" s="1" t="s">
        <v>2511</v>
      </c>
      <c r="B1255" s="1" t="s">
        <v>2512</v>
      </c>
      <c r="C1255" s="1" t="s">
        <v>5</v>
      </c>
    </row>
    <row r="1256" spans="1:3" x14ac:dyDescent="0.25">
      <c r="A1256" s="1" t="s">
        <v>2513</v>
      </c>
      <c r="B1256" s="1" t="s">
        <v>2514</v>
      </c>
      <c r="C1256" s="1" t="s">
        <v>5</v>
      </c>
    </row>
    <row r="1257" spans="1:3" x14ac:dyDescent="0.25">
      <c r="A1257" s="1" t="s">
        <v>2515</v>
      </c>
      <c r="B1257" s="1" t="s">
        <v>2516</v>
      </c>
      <c r="C1257" s="1" t="s">
        <v>5</v>
      </c>
    </row>
    <row r="1258" spans="1:3" x14ac:dyDescent="0.25">
      <c r="A1258" s="1" t="s">
        <v>2517</v>
      </c>
      <c r="B1258" s="1" t="s">
        <v>2518</v>
      </c>
      <c r="C1258" s="1" t="s">
        <v>5</v>
      </c>
    </row>
    <row r="1259" spans="1:3" x14ac:dyDescent="0.25">
      <c r="A1259" s="1" t="s">
        <v>2519</v>
      </c>
      <c r="B1259" s="1" t="s">
        <v>2520</v>
      </c>
      <c r="C1259" s="1" t="s">
        <v>5</v>
      </c>
    </row>
    <row r="1260" spans="1:3" x14ac:dyDescent="0.25">
      <c r="A1260" s="1" t="s">
        <v>2521</v>
      </c>
      <c r="B1260" s="1" t="s">
        <v>2522</v>
      </c>
      <c r="C1260" s="1" t="s">
        <v>5</v>
      </c>
    </row>
    <row r="1261" spans="1:3" x14ac:dyDescent="0.25">
      <c r="A1261" s="1" t="s">
        <v>2523</v>
      </c>
      <c r="B1261" s="1" t="s">
        <v>2524</v>
      </c>
      <c r="C1261" s="1" t="s">
        <v>5</v>
      </c>
    </row>
    <row r="1262" spans="1:3" x14ac:dyDescent="0.25">
      <c r="A1262" s="1" t="s">
        <v>2525</v>
      </c>
      <c r="B1262" s="1" t="s">
        <v>2526</v>
      </c>
      <c r="C1262" s="1" t="s">
        <v>5</v>
      </c>
    </row>
    <row r="1263" spans="1:3" x14ac:dyDescent="0.25">
      <c r="A1263" s="1" t="s">
        <v>2527</v>
      </c>
      <c r="B1263" s="1" t="s">
        <v>2528</v>
      </c>
      <c r="C1263" s="1" t="s">
        <v>5</v>
      </c>
    </row>
    <row r="1264" spans="1:3" x14ac:dyDescent="0.25">
      <c r="A1264" s="1" t="s">
        <v>2529</v>
      </c>
      <c r="B1264" s="1" t="s">
        <v>2530</v>
      </c>
      <c r="C1264" s="1" t="s">
        <v>5</v>
      </c>
    </row>
    <row r="1265" spans="1:3" x14ac:dyDescent="0.25">
      <c r="A1265" s="1" t="s">
        <v>2531</v>
      </c>
      <c r="B1265" s="1" t="s">
        <v>2532</v>
      </c>
      <c r="C1265" s="1" t="s">
        <v>5</v>
      </c>
    </row>
    <row r="1266" spans="1:3" x14ac:dyDescent="0.25">
      <c r="A1266" s="1" t="s">
        <v>2533</v>
      </c>
      <c r="B1266" s="1" t="s">
        <v>2534</v>
      </c>
      <c r="C1266" s="1" t="s">
        <v>5</v>
      </c>
    </row>
    <row r="1267" spans="1:3" x14ac:dyDescent="0.25">
      <c r="A1267" s="1" t="s">
        <v>2535</v>
      </c>
      <c r="B1267" s="1" t="s">
        <v>2536</v>
      </c>
      <c r="C1267" s="1" t="s">
        <v>5</v>
      </c>
    </row>
    <row r="1268" spans="1:3" x14ac:dyDescent="0.25">
      <c r="A1268" s="1" t="s">
        <v>2537</v>
      </c>
      <c r="B1268" s="1" t="s">
        <v>2538</v>
      </c>
      <c r="C1268" s="1" t="s">
        <v>5</v>
      </c>
    </row>
    <row r="1269" spans="1:3" x14ac:dyDescent="0.25">
      <c r="A1269" s="1" t="s">
        <v>2539</v>
      </c>
      <c r="B1269" s="1" t="s">
        <v>2540</v>
      </c>
      <c r="C1269" s="1" t="s">
        <v>5</v>
      </c>
    </row>
    <row r="1270" spans="1:3" x14ac:dyDescent="0.25">
      <c r="A1270" s="1" t="s">
        <v>2541</v>
      </c>
      <c r="B1270" s="1" t="s">
        <v>2542</v>
      </c>
      <c r="C1270" s="1" t="s">
        <v>5</v>
      </c>
    </row>
    <row r="1271" spans="1:3" x14ac:dyDescent="0.25">
      <c r="A1271" s="1" t="s">
        <v>2543</v>
      </c>
      <c r="B1271" s="1" t="s">
        <v>2544</v>
      </c>
      <c r="C1271" s="1" t="s">
        <v>5</v>
      </c>
    </row>
    <row r="1272" spans="1:3" x14ac:dyDescent="0.25">
      <c r="A1272" s="1" t="s">
        <v>2545</v>
      </c>
      <c r="B1272" s="1" t="s">
        <v>2546</v>
      </c>
      <c r="C1272" s="1" t="s">
        <v>5</v>
      </c>
    </row>
    <row r="1273" spans="1:3" x14ac:dyDescent="0.25">
      <c r="A1273" s="1" t="s">
        <v>2547</v>
      </c>
      <c r="B1273" s="1" t="s">
        <v>2548</v>
      </c>
      <c r="C1273" s="1" t="s">
        <v>5</v>
      </c>
    </row>
    <row r="1274" spans="1:3" x14ac:dyDescent="0.25">
      <c r="A1274" s="1" t="s">
        <v>2549</v>
      </c>
      <c r="B1274" s="1" t="s">
        <v>2550</v>
      </c>
      <c r="C1274" s="1" t="s">
        <v>5</v>
      </c>
    </row>
    <row r="1275" spans="1:3" x14ac:dyDescent="0.25">
      <c r="A1275" s="1" t="s">
        <v>2551</v>
      </c>
      <c r="B1275" s="1" t="s">
        <v>2552</v>
      </c>
      <c r="C1275" s="1" t="s">
        <v>5</v>
      </c>
    </row>
    <row r="1276" spans="1:3" x14ac:dyDescent="0.25">
      <c r="A1276" s="1" t="s">
        <v>2553</v>
      </c>
      <c r="B1276" s="1" t="s">
        <v>2554</v>
      </c>
      <c r="C1276" s="1" t="s">
        <v>5</v>
      </c>
    </row>
    <row r="1277" spans="1:3" x14ac:dyDescent="0.25">
      <c r="A1277" s="1" t="s">
        <v>2555</v>
      </c>
      <c r="B1277" s="1" t="s">
        <v>2556</v>
      </c>
      <c r="C1277" s="1" t="s">
        <v>5</v>
      </c>
    </row>
    <row r="1278" spans="1:3" x14ac:dyDescent="0.25">
      <c r="A1278" s="1" t="s">
        <v>2557</v>
      </c>
      <c r="B1278" s="1" t="s">
        <v>2558</v>
      </c>
      <c r="C1278" s="1" t="s">
        <v>5</v>
      </c>
    </row>
    <row r="1279" spans="1:3" x14ac:dyDescent="0.25">
      <c r="A1279" s="1" t="s">
        <v>2559</v>
      </c>
      <c r="B1279" s="1" t="s">
        <v>2560</v>
      </c>
      <c r="C1279" s="1" t="s">
        <v>5</v>
      </c>
    </row>
    <row r="1280" spans="1:3" x14ac:dyDescent="0.25">
      <c r="A1280" s="1" t="s">
        <v>2561</v>
      </c>
      <c r="B1280" s="1" t="s">
        <v>2562</v>
      </c>
      <c r="C1280" s="1" t="s">
        <v>5</v>
      </c>
    </row>
    <row r="1281" spans="1:3" x14ac:dyDescent="0.25">
      <c r="A1281" s="1" t="s">
        <v>2563</v>
      </c>
      <c r="B1281" s="1" t="s">
        <v>2564</v>
      </c>
      <c r="C1281" s="1" t="s">
        <v>5</v>
      </c>
    </row>
    <row r="1282" spans="1:3" x14ac:dyDescent="0.25">
      <c r="A1282" s="1" t="s">
        <v>2565</v>
      </c>
      <c r="B1282" s="1" t="s">
        <v>2566</v>
      </c>
      <c r="C1282" s="1" t="s">
        <v>5</v>
      </c>
    </row>
    <row r="1283" spans="1:3" x14ac:dyDescent="0.25">
      <c r="A1283" s="1" t="s">
        <v>2567</v>
      </c>
      <c r="B1283" s="1" t="s">
        <v>2568</v>
      </c>
      <c r="C1283" s="1" t="s">
        <v>5</v>
      </c>
    </row>
    <row r="1284" spans="1:3" x14ac:dyDescent="0.25">
      <c r="A1284" s="1" t="s">
        <v>2569</v>
      </c>
      <c r="B1284" s="1" t="s">
        <v>2570</v>
      </c>
      <c r="C1284" s="1" t="s">
        <v>5</v>
      </c>
    </row>
    <row r="1285" spans="1:3" x14ac:dyDescent="0.25">
      <c r="A1285" s="1" t="s">
        <v>2571</v>
      </c>
      <c r="B1285" s="1" t="s">
        <v>2572</v>
      </c>
      <c r="C1285" s="1" t="s">
        <v>5</v>
      </c>
    </row>
    <row r="1286" spans="1:3" x14ac:dyDescent="0.25">
      <c r="A1286" s="1" t="s">
        <v>2573</v>
      </c>
      <c r="B1286" s="1" t="s">
        <v>2574</v>
      </c>
      <c r="C1286" s="1" t="s">
        <v>5</v>
      </c>
    </row>
    <row r="1287" spans="1:3" x14ac:dyDescent="0.25">
      <c r="A1287" s="1" t="s">
        <v>2575</v>
      </c>
      <c r="B1287" s="1" t="s">
        <v>2576</v>
      </c>
      <c r="C1287" s="1" t="s">
        <v>5</v>
      </c>
    </row>
    <row r="1288" spans="1:3" x14ac:dyDescent="0.25">
      <c r="A1288" s="1" t="s">
        <v>2577</v>
      </c>
      <c r="B1288" s="1" t="s">
        <v>2578</v>
      </c>
      <c r="C1288" s="1" t="s">
        <v>5</v>
      </c>
    </row>
    <row r="1289" spans="1:3" x14ac:dyDescent="0.25">
      <c r="A1289" s="1" t="s">
        <v>2579</v>
      </c>
      <c r="B1289" s="1" t="s">
        <v>2580</v>
      </c>
      <c r="C1289" s="1" t="s">
        <v>5</v>
      </c>
    </row>
    <row r="1290" spans="1:3" x14ac:dyDescent="0.25">
      <c r="A1290" s="1" t="s">
        <v>2581</v>
      </c>
      <c r="B1290" s="1" t="s">
        <v>2582</v>
      </c>
      <c r="C1290" s="1" t="s">
        <v>5</v>
      </c>
    </row>
    <row r="1291" spans="1:3" x14ac:dyDescent="0.25">
      <c r="A1291" s="1" t="s">
        <v>2583</v>
      </c>
      <c r="B1291" s="1" t="s">
        <v>2584</v>
      </c>
      <c r="C1291" s="1" t="s">
        <v>5</v>
      </c>
    </row>
    <row r="1292" spans="1:3" x14ac:dyDescent="0.25">
      <c r="A1292" s="1" t="s">
        <v>2585</v>
      </c>
      <c r="B1292" s="1" t="s">
        <v>2586</v>
      </c>
      <c r="C1292" s="1" t="s">
        <v>5</v>
      </c>
    </row>
    <row r="1293" spans="1:3" x14ac:dyDescent="0.25">
      <c r="A1293" s="1" t="s">
        <v>2587</v>
      </c>
      <c r="B1293" s="1" t="s">
        <v>2588</v>
      </c>
      <c r="C1293" s="1" t="s">
        <v>5</v>
      </c>
    </row>
    <row r="1294" spans="1:3" x14ac:dyDescent="0.25">
      <c r="A1294" s="1" t="s">
        <v>2589</v>
      </c>
      <c r="B1294" s="1" t="s">
        <v>2590</v>
      </c>
      <c r="C1294" s="1" t="s">
        <v>5</v>
      </c>
    </row>
    <row r="1295" spans="1:3" x14ac:dyDescent="0.25">
      <c r="A1295" s="1" t="s">
        <v>2591</v>
      </c>
      <c r="B1295" s="1" t="s">
        <v>2592</v>
      </c>
      <c r="C1295" s="1" t="s">
        <v>5</v>
      </c>
    </row>
    <row r="1296" spans="1:3" x14ac:dyDescent="0.25">
      <c r="A1296" s="1" t="s">
        <v>2593</v>
      </c>
      <c r="B1296" s="1" t="s">
        <v>2594</v>
      </c>
      <c r="C1296" s="1" t="s">
        <v>5</v>
      </c>
    </row>
    <row r="1297" spans="1:3" x14ac:dyDescent="0.25">
      <c r="A1297" s="1" t="s">
        <v>2595</v>
      </c>
      <c r="B1297" s="1" t="s">
        <v>2596</v>
      </c>
      <c r="C1297" s="1" t="s">
        <v>5</v>
      </c>
    </row>
    <row r="1298" spans="1:3" x14ac:dyDescent="0.25">
      <c r="A1298" s="1" t="s">
        <v>2597</v>
      </c>
      <c r="B1298" s="1" t="s">
        <v>2598</v>
      </c>
      <c r="C1298" s="1" t="s">
        <v>5</v>
      </c>
    </row>
    <row r="1299" spans="1:3" x14ac:dyDescent="0.25">
      <c r="A1299" s="1" t="s">
        <v>2599</v>
      </c>
      <c r="B1299" s="1" t="s">
        <v>2600</v>
      </c>
      <c r="C1299" s="1" t="s">
        <v>5</v>
      </c>
    </row>
    <row r="1300" spans="1:3" x14ac:dyDescent="0.25">
      <c r="A1300" s="1" t="s">
        <v>2601</v>
      </c>
      <c r="B1300" s="1" t="s">
        <v>2602</v>
      </c>
      <c r="C1300" s="1" t="s">
        <v>5</v>
      </c>
    </row>
    <row r="1301" spans="1:3" x14ac:dyDescent="0.25">
      <c r="A1301" s="1" t="s">
        <v>2603</v>
      </c>
      <c r="B1301" s="1" t="s">
        <v>2604</v>
      </c>
      <c r="C1301" s="1" t="s">
        <v>5</v>
      </c>
    </row>
    <row r="1302" spans="1:3" x14ac:dyDescent="0.25">
      <c r="A1302" s="1" t="s">
        <v>2605</v>
      </c>
      <c r="B1302" s="1" t="s">
        <v>2606</v>
      </c>
      <c r="C1302" s="1" t="s">
        <v>5</v>
      </c>
    </row>
    <row r="1303" spans="1:3" x14ac:dyDescent="0.25">
      <c r="A1303" s="1" t="s">
        <v>2607</v>
      </c>
      <c r="B1303" s="1" t="s">
        <v>2608</v>
      </c>
      <c r="C1303" s="1" t="s">
        <v>5</v>
      </c>
    </row>
    <row r="1304" spans="1:3" x14ac:dyDescent="0.25">
      <c r="A1304" s="1" t="s">
        <v>2609</v>
      </c>
      <c r="B1304" s="1" t="s">
        <v>2610</v>
      </c>
      <c r="C1304" s="1" t="s">
        <v>5</v>
      </c>
    </row>
    <row r="1305" spans="1:3" x14ac:dyDescent="0.25">
      <c r="A1305" s="1" t="s">
        <v>2611</v>
      </c>
      <c r="B1305" s="1" t="s">
        <v>2612</v>
      </c>
      <c r="C1305" s="1" t="s">
        <v>5</v>
      </c>
    </row>
    <row r="1306" spans="1:3" x14ac:dyDescent="0.25">
      <c r="A1306" s="1" t="s">
        <v>2613</v>
      </c>
      <c r="B1306" s="1" t="s">
        <v>2614</v>
      </c>
      <c r="C1306" s="1" t="s">
        <v>5</v>
      </c>
    </row>
    <row r="1307" spans="1:3" x14ac:dyDescent="0.25">
      <c r="A1307" s="1" t="s">
        <v>2615</v>
      </c>
      <c r="B1307" s="1" t="s">
        <v>2616</v>
      </c>
      <c r="C1307" s="1" t="s">
        <v>5</v>
      </c>
    </row>
    <row r="1308" spans="1:3" x14ac:dyDescent="0.25">
      <c r="A1308" s="1" t="s">
        <v>2617</v>
      </c>
      <c r="B1308" s="1" t="s">
        <v>2618</v>
      </c>
      <c r="C1308" s="1" t="s">
        <v>5</v>
      </c>
    </row>
    <row r="1309" spans="1:3" x14ac:dyDescent="0.25">
      <c r="A1309" s="1" t="s">
        <v>2619</v>
      </c>
      <c r="B1309" s="1" t="s">
        <v>2620</v>
      </c>
      <c r="C1309" s="1" t="s">
        <v>5</v>
      </c>
    </row>
    <row r="1310" spans="1:3" x14ac:dyDescent="0.25">
      <c r="A1310" s="1" t="s">
        <v>2621</v>
      </c>
      <c r="B1310" s="1" t="s">
        <v>2622</v>
      </c>
      <c r="C1310" s="1" t="s">
        <v>5</v>
      </c>
    </row>
    <row r="1311" spans="1:3" x14ac:dyDescent="0.25">
      <c r="A1311" s="1" t="s">
        <v>2623</v>
      </c>
      <c r="B1311" s="1" t="s">
        <v>2624</v>
      </c>
      <c r="C1311" s="1" t="s">
        <v>5</v>
      </c>
    </row>
    <row r="1312" spans="1:3" x14ac:dyDescent="0.25">
      <c r="A1312" s="1" t="s">
        <v>2625</v>
      </c>
      <c r="B1312" s="1" t="s">
        <v>2626</v>
      </c>
      <c r="C1312" s="1" t="s">
        <v>5</v>
      </c>
    </row>
    <row r="1313" spans="1:3" x14ac:dyDescent="0.25">
      <c r="A1313" s="1" t="s">
        <v>2627</v>
      </c>
      <c r="B1313" s="1" t="s">
        <v>2628</v>
      </c>
      <c r="C1313" s="1" t="s">
        <v>5</v>
      </c>
    </row>
    <row r="1314" spans="1:3" x14ac:dyDescent="0.25">
      <c r="A1314" s="1" t="s">
        <v>2629</v>
      </c>
      <c r="B1314" s="1" t="s">
        <v>2630</v>
      </c>
      <c r="C1314" s="1" t="s">
        <v>5</v>
      </c>
    </row>
    <row r="1315" spans="1:3" x14ac:dyDescent="0.25">
      <c r="A1315" s="1" t="s">
        <v>2631</v>
      </c>
      <c r="B1315" s="1" t="s">
        <v>2632</v>
      </c>
      <c r="C1315" s="1" t="s">
        <v>5</v>
      </c>
    </row>
    <row r="1316" spans="1:3" x14ac:dyDescent="0.25">
      <c r="A1316" s="1" t="s">
        <v>2633</v>
      </c>
      <c r="B1316" s="1" t="s">
        <v>2634</v>
      </c>
      <c r="C1316" s="1" t="s">
        <v>5</v>
      </c>
    </row>
    <row r="1317" spans="1:3" x14ac:dyDescent="0.25">
      <c r="A1317" s="1" t="s">
        <v>2635</v>
      </c>
      <c r="B1317" s="1" t="s">
        <v>2636</v>
      </c>
      <c r="C1317" s="1" t="s">
        <v>5</v>
      </c>
    </row>
    <row r="1318" spans="1:3" x14ac:dyDescent="0.25">
      <c r="A1318" s="1" t="s">
        <v>2637</v>
      </c>
      <c r="B1318" s="1" t="s">
        <v>2638</v>
      </c>
      <c r="C1318" s="1" t="s">
        <v>5</v>
      </c>
    </row>
    <row r="1319" spans="1:3" x14ac:dyDescent="0.25">
      <c r="A1319" s="1" t="s">
        <v>2639</v>
      </c>
      <c r="B1319" s="1" t="s">
        <v>2640</v>
      </c>
      <c r="C1319" s="1" t="s">
        <v>5</v>
      </c>
    </row>
    <row r="1320" spans="1:3" x14ac:dyDescent="0.25">
      <c r="A1320" s="1" t="s">
        <v>2641</v>
      </c>
      <c r="B1320" s="1" t="s">
        <v>2642</v>
      </c>
      <c r="C1320" s="1" t="s">
        <v>5</v>
      </c>
    </row>
    <row r="1321" spans="1:3" x14ac:dyDescent="0.25">
      <c r="A1321" s="1" t="s">
        <v>2643</v>
      </c>
      <c r="B1321" s="1" t="s">
        <v>2644</v>
      </c>
      <c r="C1321" s="1" t="s">
        <v>5</v>
      </c>
    </row>
    <row r="1322" spans="1:3" x14ac:dyDescent="0.25">
      <c r="A1322" s="1" t="s">
        <v>2645</v>
      </c>
      <c r="B1322" s="1" t="s">
        <v>2646</v>
      </c>
      <c r="C1322" s="1" t="s">
        <v>5</v>
      </c>
    </row>
    <row r="1323" spans="1:3" x14ac:dyDescent="0.25">
      <c r="A1323" s="1" t="s">
        <v>2647</v>
      </c>
      <c r="B1323" s="1" t="s">
        <v>2648</v>
      </c>
      <c r="C1323" s="1" t="s">
        <v>5</v>
      </c>
    </row>
    <row r="1324" spans="1:3" x14ac:dyDescent="0.25">
      <c r="A1324" s="1" t="s">
        <v>2649</v>
      </c>
      <c r="B1324" s="1" t="s">
        <v>2650</v>
      </c>
      <c r="C1324" s="1" t="s">
        <v>5</v>
      </c>
    </row>
    <row r="1325" spans="1:3" x14ac:dyDescent="0.25">
      <c r="A1325" s="1" t="s">
        <v>2651</v>
      </c>
      <c r="B1325" s="1" t="s">
        <v>2652</v>
      </c>
      <c r="C1325" s="1" t="s">
        <v>5</v>
      </c>
    </row>
    <row r="1326" spans="1:3" x14ac:dyDescent="0.25">
      <c r="A1326" s="1" t="s">
        <v>2653</v>
      </c>
      <c r="B1326" s="1" t="s">
        <v>2654</v>
      </c>
      <c r="C1326" s="1" t="s">
        <v>5</v>
      </c>
    </row>
    <row r="1327" spans="1:3" x14ac:dyDescent="0.25">
      <c r="A1327" s="1" t="s">
        <v>2655</v>
      </c>
      <c r="B1327" s="1" t="s">
        <v>2656</v>
      </c>
      <c r="C1327" s="1" t="s">
        <v>5</v>
      </c>
    </row>
    <row r="1328" spans="1:3" x14ac:dyDescent="0.25">
      <c r="A1328" s="1" t="s">
        <v>2657</v>
      </c>
      <c r="B1328" s="1" t="s">
        <v>2658</v>
      </c>
      <c r="C1328" s="1" t="s">
        <v>5</v>
      </c>
    </row>
    <row r="1329" spans="1:3" x14ac:dyDescent="0.25">
      <c r="A1329" s="1" t="s">
        <v>2659</v>
      </c>
      <c r="B1329" s="1" t="s">
        <v>2660</v>
      </c>
      <c r="C1329" s="1" t="s">
        <v>5</v>
      </c>
    </row>
    <row r="1330" spans="1:3" x14ac:dyDescent="0.25">
      <c r="A1330" s="1" t="s">
        <v>2661</v>
      </c>
      <c r="B1330" s="1" t="s">
        <v>2662</v>
      </c>
      <c r="C1330" s="1" t="s">
        <v>5</v>
      </c>
    </row>
    <row r="1331" spans="1:3" x14ac:dyDescent="0.25">
      <c r="A1331" s="1" t="s">
        <v>2663</v>
      </c>
      <c r="B1331" s="1" t="s">
        <v>2664</v>
      </c>
      <c r="C1331" s="1" t="s">
        <v>5</v>
      </c>
    </row>
    <row r="1332" spans="1:3" x14ac:dyDescent="0.25">
      <c r="A1332" s="1" t="s">
        <v>2665</v>
      </c>
      <c r="B1332" s="1" t="s">
        <v>2666</v>
      </c>
      <c r="C1332" s="1" t="s">
        <v>5</v>
      </c>
    </row>
    <row r="1333" spans="1:3" x14ac:dyDescent="0.25">
      <c r="A1333" s="1" t="s">
        <v>2667</v>
      </c>
      <c r="B1333" s="1" t="s">
        <v>2668</v>
      </c>
      <c r="C1333" s="1" t="s">
        <v>5</v>
      </c>
    </row>
    <row r="1334" spans="1:3" x14ac:dyDescent="0.25">
      <c r="A1334" s="1" t="s">
        <v>2669</v>
      </c>
      <c r="B1334" s="1" t="s">
        <v>2670</v>
      </c>
      <c r="C1334" s="1" t="s">
        <v>5</v>
      </c>
    </row>
    <row r="1335" spans="1:3" x14ac:dyDescent="0.25">
      <c r="A1335" s="1" t="s">
        <v>2671</v>
      </c>
      <c r="B1335" s="1" t="s">
        <v>2672</v>
      </c>
      <c r="C1335" s="1" t="s">
        <v>5</v>
      </c>
    </row>
    <row r="1336" spans="1:3" x14ac:dyDescent="0.25">
      <c r="A1336" s="1" t="s">
        <v>2673</v>
      </c>
      <c r="B1336" s="1" t="s">
        <v>2674</v>
      </c>
      <c r="C1336" s="1" t="s">
        <v>5</v>
      </c>
    </row>
    <row r="1337" spans="1:3" x14ac:dyDescent="0.25">
      <c r="A1337" s="1" t="s">
        <v>2675</v>
      </c>
      <c r="B1337" s="1" t="s">
        <v>2676</v>
      </c>
      <c r="C1337" s="1" t="s">
        <v>5</v>
      </c>
    </row>
    <row r="1338" spans="1:3" x14ac:dyDescent="0.25">
      <c r="A1338" s="1" t="s">
        <v>2677</v>
      </c>
      <c r="B1338" s="1" t="s">
        <v>2678</v>
      </c>
      <c r="C1338" s="1" t="s">
        <v>5</v>
      </c>
    </row>
    <row r="1339" spans="1:3" x14ac:dyDescent="0.25">
      <c r="A1339" s="1" t="s">
        <v>2679</v>
      </c>
      <c r="B1339" s="1" t="s">
        <v>2680</v>
      </c>
      <c r="C1339" s="1" t="s">
        <v>5</v>
      </c>
    </row>
    <row r="1340" spans="1:3" x14ac:dyDescent="0.25">
      <c r="A1340" s="1" t="s">
        <v>2681</v>
      </c>
      <c r="B1340" s="1" t="s">
        <v>2682</v>
      </c>
      <c r="C1340" s="1" t="s">
        <v>5</v>
      </c>
    </row>
    <row r="1341" spans="1:3" x14ac:dyDescent="0.25">
      <c r="A1341" s="1" t="s">
        <v>2683</v>
      </c>
      <c r="B1341" s="1" t="s">
        <v>2684</v>
      </c>
      <c r="C1341" s="1" t="s">
        <v>5</v>
      </c>
    </row>
    <row r="1342" spans="1:3" x14ac:dyDescent="0.25">
      <c r="A1342" s="1" t="s">
        <v>2685</v>
      </c>
      <c r="B1342" s="1" t="s">
        <v>2686</v>
      </c>
      <c r="C1342" s="1" t="s">
        <v>5</v>
      </c>
    </row>
    <row r="1343" spans="1:3" x14ac:dyDescent="0.25">
      <c r="A1343" s="1" t="s">
        <v>2687</v>
      </c>
      <c r="B1343" s="1" t="s">
        <v>2688</v>
      </c>
      <c r="C1343" s="1" t="s">
        <v>5</v>
      </c>
    </row>
    <row r="1344" spans="1:3" x14ac:dyDescent="0.25">
      <c r="A1344" s="1" t="s">
        <v>2689</v>
      </c>
      <c r="B1344" s="1" t="s">
        <v>2690</v>
      </c>
      <c r="C1344" s="1" t="s">
        <v>5</v>
      </c>
    </row>
    <row r="1345" spans="1:3" x14ac:dyDescent="0.25">
      <c r="A1345" s="1" t="s">
        <v>2691</v>
      </c>
      <c r="B1345" s="1" t="s">
        <v>2692</v>
      </c>
      <c r="C1345" s="1" t="s">
        <v>5</v>
      </c>
    </row>
    <row r="1346" spans="1:3" x14ac:dyDescent="0.25">
      <c r="A1346" s="1" t="s">
        <v>2693</v>
      </c>
      <c r="B1346" s="1" t="s">
        <v>2694</v>
      </c>
      <c r="C1346" s="1" t="s">
        <v>5</v>
      </c>
    </row>
    <row r="1347" spans="1:3" x14ac:dyDescent="0.25">
      <c r="A1347" s="1" t="s">
        <v>2695</v>
      </c>
      <c r="B1347" s="1" t="s">
        <v>2696</v>
      </c>
      <c r="C1347" s="1" t="s">
        <v>5</v>
      </c>
    </row>
    <row r="1348" spans="1:3" x14ac:dyDescent="0.25">
      <c r="A1348" s="1" t="s">
        <v>2697</v>
      </c>
      <c r="B1348" s="1" t="s">
        <v>2698</v>
      </c>
      <c r="C1348" s="1" t="s">
        <v>5</v>
      </c>
    </row>
    <row r="1349" spans="1:3" x14ac:dyDescent="0.25">
      <c r="A1349" s="1" t="s">
        <v>2699</v>
      </c>
      <c r="B1349" s="1" t="s">
        <v>2700</v>
      </c>
      <c r="C1349" s="1" t="s">
        <v>5</v>
      </c>
    </row>
    <row r="1350" spans="1:3" x14ac:dyDescent="0.25">
      <c r="A1350" s="1" t="s">
        <v>2701</v>
      </c>
      <c r="B1350" s="1" t="s">
        <v>2702</v>
      </c>
      <c r="C1350" s="1" t="s">
        <v>5</v>
      </c>
    </row>
    <row r="1351" spans="1:3" x14ac:dyDescent="0.25">
      <c r="A1351" s="1" t="s">
        <v>2703</v>
      </c>
      <c r="B1351" s="1" t="s">
        <v>2704</v>
      </c>
      <c r="C1351" s="1" t="s">
        <v>5</v>
      </c>
    </row>
    <row r="1352" spans="1:3" x14ac:dyDescent="0.25">
      <c r="A1352" s="1" t="s">
        <v>2705</v>
      </c>
      <c r="B1352" s="1" t="s">
        <v>2706</v>
      </c>
      <c r="C1352" s="1" t="s">
        <v>5</v>
      </c>
    </row>
    <row r="1353" spans="1:3" x14ac:dyDescent="0.25">
      <c r="A1353" s="1" t="s">
        <v>2707</v>
      </c>
      <c r="B1353" s="1" t="s">
        <v>2708</v>
      </c>
      <c r="C1353" s="1" t="s">
        <v>5</v>
      </c>
    </row>
    <row r="1354" spans="1:3" x14ac:dyDescent="0.25">
      <c r="A1354" s="1" t="s">
        <v>2709</v>
      </c>
      <c r="B1354" s="1" t="s">
        <v>2710</v>
      </c>
      <c r="C1354" s="1" t="s">
        <v>5</v>
      </c>
    </row>
    <row r="1355" spans="1:3" x14ac:dyDescent="0.25">
      <c r="A1355" s="1" t="s">
        <v>2711</v>
      </c>
      <c r="B1355" s="1" t="s">
        <v>2712</v>
      </c>
      <c r="C1355" s="1" t="s">
        <v>5</v>
      </c>
    </row>
    <row r="1356" spans="1:3" x14ac:dyDescent="0.25">
      <c r="A1356" s="1" t="s">
        <v>2713</v>
      </c>
      <c r="B1356" s="1" t="s">
        <v>2714</v>
      </c>
      <c r="C1356" s="1" t="s">
        <v>5</v>
      </c>
    </row>
    <row r="1357" spans="1:3" x14ac:dyDescent="0.25">
      <c r="A1357" s="1" t="s">
        <v>2715</v>
      </c>
      <c r="B1357" s="1" t="s">
        <v>2716</v>
      </c>
      <c r="C1357" s="1" t="s">
        <v>5</v>
      </c>
    </row>
    <row r="1358" spans="1:3" x14ac:dyDescent="0.25">
      <c r="A1358" s="1" t="s">
        <v>2717</v>
      </c>
      <c r="B1358" s="1" t="s">
        <v>2718</v>
      </c>
      <c r="C1358" s="1" t="s">
        <v>5</v>
      </c>
    </row>
    <row r="1359" spans="1:3" x14ac:dyDescent="0.25">
      <c r="A1359" s="1" t="s">
        <v>2719</v>
      </c>
      <c r="B1359" s="1" t="s">
        <v>2720</v>
      </c>
      <c r="C1359" s="1" t="s">
        <v>5</v>
      </c>
    </row>
    <row r="1360" spans="1:3" x14ac:dyDescent="0.25">
      <c r="A1360" s="1" t="s">
        <v>2721</v>
      </c>
      <c r="B1360" s="1" t="s">
        <v>2722</v>
      </c>
      <c r="C1360" s="1" t="s">
        <v>5</v>
      </c>
    </row>
    <row r="1361" spans="1:3" x14ac:dyDescent="0.25">
      <c r="A1361" s="1" t="s">
        <v>2723</v>
      </c>
      <c r="B1361" s="1" t="s">
        <v>2724</v>
      </c>
      <c r="C1361" s="1" t="s">
        <v>5</v>
      </c>
    </row>
    <row r="1362" spans="1:3" x14ac:dyDescent="0.25">
      <c r="A1362" s="1" t="s">
        <v>2725</v>
      </c>
      <c r="B1362" s="1" t="s">
        <v>2726</v>
      </c>
      <c r="C1362" s="1" t="s">
        <v>5</v>
      </c>
    </row>
    <row r="1363" spans="1:3" x14ac:dyDescent="0.25">
      <c r="A1363" s="1" t="s">
        <v>2727</v>
      </c>
      <c r="B1363" s="1" t="s">
        <v>2728</v>
      </c>
      <c r="C1363" s="1" t="s">
        <v>5</v>
      </c>
    </row>
    <row r="1364" spans="1:3" x14ac:dyDescent="0.25">
      <c r="A1364" s="1" t="s">
        <v>2729</v>
      </c>
      <c r="B1364" s="1" t="s">
        <v>2730</v>
      </c>
      <c r="C1364" s="1" t="s">
        <v>5</v>
      </c>
    </row>
    <row r="1365" spans="1:3" x14ac:dyDescent="0.25">
      <c r="A1365" s="1" t="s">
        <v>2731</v>
      </c>
      <c r="B1365" s="1" t="s">
        <v>2732</v>
      </c>
      <c r="C1365" s="1" t="s">
        <v>5</v>
      </c>
    </row>
    <row r="1366" spans="1:3" x14ac:dyDescent="0.25">
      <c r="A1366" s="1" t="s">
        <v>2733</v>
      </c>
      <c r="B1366" s="1" t="s">
        <v>2734</v>
      </c>
      <c r="C1366" s="1" t="s">
        <v>5</v>
      </c>
    </row>
    <row r="1367" spans="1:3" x14ac:dyDescent="0.25">
      <c r="A1367" s="1" t="s">
        <v>2735</v>
      </c>
      <c r="B1367" s="1" t="s">
        <v>2736</v>
      </c>
      <c r="C1367" s="1" t="s">
        <v>5</v>
      </c>
    </row>
    <row r="1368" spans="1:3" x14ac:dyDescent="0.25">
      <c r="A1368" s="1" t="s">
        <v>2737</v>
      </c>
      <c r="B1368" s="1" t="s">
        <v>2738</v>
      </c>
      <c r="C1368" s="1" t="s">
        <v>5</v>
      </c>
    </row>
    <row r="1369" spans="1:3" x14ac:dyDescent="0.25">
      <c r="A1369" s="1" t="s">
        <v>2739</v>
      </c>
      <c r="B1369" s="1" t="s">
        <v>2740</v>
      </c>
      <c r="C1369" s="1" t="s">
        <v>5</v>
      </c>
    </row>
    <row r="1370" spans="1:3" x14ac:dyDescent="0.25">
      <c r="A1370" s="1" t="s">
        <v>2741</v>
      </c>
      <c r="B1370" s="1" t="s">
        <v>2742</v>
      </c>
      <c r="C1370" s="1" t="s">
        <v>5</v>
      </c>
    </row>
    <row r="1371" spans="1:3" x14ac:dyDescent="0.25">
      <c r="A1371" s="1" t="s">
        <v>2743</v>
      </c>
      <c r="B1371" s="1" t="s">
        <v>2744</v>
      </c>
      <c r="C1371" s="1" t="s">
        <v>5</v>
      </c>
    </row>
    <row r="1372" spans="1:3" x14ac:dyDescent="0.25">
      <c r="A1372" s="1" t="s">
        <v>2745</v>
      </c>
      <c r="B1372" s="1" t="s">
        <v>2746</v>
      </c>
      <c r="C1372" s="1" t="s">
        <v>5</v>
      </c>
    </row>
    <row r="1373" spans="1:3" x14ac:dyDescent="0.25">
      <c r="A1373" s="1" t="s">
        <v>2747</v>
      </c>
      <c r="B1373" s="1" t="s">
        <v>2748</v>
      </c>
      <c r="C1373" s="1" t="s">
        <v>5</v>
      </c>
    </row>
    <row r="1374" spans="1:3" x14ac:dyDescent="0.25">
      <c r="A1374" s="1" t="s">
        <v>2749</v>
      </c>
      <c r="B1374" s="1" t="s">
        <v>2750</v>
      </c>
      <c r="C1374" s="1" t="s">
        <v>5</v>
      </c>
    </row>
    <row r="1375" spans="1:3" x14ac:dyDescent="0.25">
      <c r="A1375" s="1" t="s">
        <v>2751</v>
      </c>
      <c r="B1375" s="1" t="s">
        <v>2752</v>
      </c>
      <c r="C1375" s="1" t="s">
        <v>5</v>
      </c>
    </row>
    <row r="1376" spans="1:3" x14ac:dyDescent="0.25">
      <c r="A1376" s="1" t="s">
        <v>2753</v>
      </c>
      <c r="B1376" s="1" t="s">
        <v>2754</v>
      </c>
      <c r="C1376" s="1" t="s">
        <v>5</v>
      </c>
    </row>
    <row r="1377" spans="1:3" x14ac:dyDescent="0.25">
      <c r="A1377" s="1" t="s">
        <v>2755</v>
      </c>
      <c r="B1377" s="1" t="s">
        <v>2756</v>
      </c>
      <c r="C1377" s="1" t="s">
        <v>5</v>
      </c>
    </row>
    <row r="1378" spans="1:3" x14ac:dyDescent="0.25">
      <c r="A1378" s="1" t="s">
        <v>2757</v>
      </c>
      <c r="B1378" s="1" t="s">
        <v>2758</v>
      </c>
      <c r="C1378" s="1" t="s">
        <v>5</v>
      </c>
    </row>
    <row r="1379" spans="1:3" x14ac:dyDescent="0.25">
      <c r="A1379" s="1" t="s">
        <v>2759</v>
      </c>
      <c r="B1379" s="1" t="s">
        <v>2760</v>
      </c>
      <c r="C1379" s="1" t="s">
        <v>5</v>
      </c>
    </row>
    <row r="1380" spans="1:3" x14ac:dyDescent="0.25">
      <c r="A1380" s="1" t="s">
        <v>2761</v>
      </c>
      <c r="B1380" s="1" t="s">
        <v>2762</v>
      </c>
      <c r="C1380" s="1" t="s">
        <v>5</v>
      </c>
    </row>
    <row r="1381" spans="1:3" x14ac:dyDescent="0.25">
      <c r="A1381" s="1" t="s">
        <v>2763</v>
      </c>
      <c r="B1381" s="1" t="s">
        <v>2764</v>
      </c>
      <c r="C1381" s="1" t="s">
        <v>5</v>
      </c>
    </row>
    <row r="1382" spans="1:3" x14ac:dyDescent="0.25">
      <c r="A1382" s="1" t="s">
        <v>2765</v>
      </c>
      <c r="B1382" s="1" t="s">
        <v>2766</v>
      </c>
      <c r="C1382" s="1" t="s">
        <v>5</v>
      </c>
    </row>
    <row r="1383" spans="1:3" x14ac:dyDescent="0.25">
      <c r="A1383" s="1" t="s">
        <v>2767</v>
      </c>
      <c r="B1383" s="1" t="s">
        <v>2768</v>
      </c>
      <c r="C1383" s="1" t="s">
        <v>5</v>
      </c>
    </row>
    <row r="1384" spans="1:3" x14ac:dyDescent="0.25">
      <c r="A1384" s="1" t="s">
        <v>2769</v>
      </c>
      <c r="B1384" s="1" t="s">
        <v>2770</v>
      </c>
      <c r="C1384" s="1" t="s">
        <v>5</v>
      </c>
    </row>
    <row r="1385" spans="1:3" x14ac:dyDescent="0.25">
      <c r="A1385" s="1" t="s">
        <v>2771</v>
      </c>
      <c r="B1385" s="1" t="s">
        <v>2772</v>
      </c>
      <c r="C1385" s="1" t="s">
        <v>5</v>
      </c>
    </row>
    <row r="1386" spans="1:3" x14ac:dyDescent="0.25">
      <c r="A1386" s="1" t="s">
        <v>2773</v>
      </c>
      <c r="B1386" s="1" t="s">
        <v>2774</v>
      </c>
      <c r="C1386" s="1" t="s">
        <v>5</v>
      </c>
    </row>
    <row r="1387" spans="1:3" x14ac:dyDescent="0.25">
      <c r="A1387" s="1" t="s">
        <v>2775</v>
      </c>
      <c r="B1387" s="1" t="s">
        <v>2776</v>
      </c>
      <c r="C1387" s="1" t="s">
        <v>5</v>
      </c>
    </row>
    <row r="1388" spans="1:3" x14ac:dyDescent="0.25">
      <c r="A1388" s="1" t="s">
        <v>2777</v>
      </c>
      <c r="B1388" s="1" t="s">
        <v>2778</v>
      </c>
      <c r="C1388" s="1" t="s">
        <v>5</v>
      </c>
    </row>
    <row r="1389" spans="1:3" x14ac:dyDescent="0.25">
      <c r="A1389" s="1" t="s">
        <v>2779</v>
      </c>
      <c r="B1389" s="1" t="s">
        <v>2780</v>
      </c>
      <c r="C1389" s="1" t="s">
        <v>5</v>
      </c>
    </row>
    <row r="1390" spans="1:3" x14ac:dyDescent="0.25">
      <c r="A1390" s="1" t="s">
        <v>2781</v>
      </c>
      <c r="B1390" s="1" t="s">
        <v>2782</v>
      </c>
      <c r="C1390" s="1" t="s">
        <v>5</v>
      </c>
    </row>
    <row r="1391" spans="1:3" x14ac:dyDescent="0.25">
      <c r="A1391" s="1" t="s">
        <v>2783</v>
      </c>
      <c r="B1391" s="1" t="s">
        <v>2784</v>
      </c>
      <c r="C1391" s="1" t="s">
        <v>5</v>
      </c>
    </row>
    <row r="1392" spans="1:3" x14ac:dyDescent="0.25">
      <c r="A1392" s="1" t="s">
        <v>2785</v>
      </c>
      <c r="B1392" s="1" t="s">
        <v>2786</v>
      </c>
      <c r="C1392" s="1" t="s">
        <v>5</v>
      </c>
    </row>
    <row r="1393" spans="1:3" x14ac:dyDescent="0.25">
      <c r="A1393" s="1" t="s">
        <v>2787</v>
      </c>
      <c r="B1393" s="1" t="s">
        <v>2788</v>
      </c>
      <c r="C1393" s="1" t="s">
        <v>5</v>
      </c>
    </row>
    <row r="1394" spans="1:3" x14ac:dyDescent="0.25">
      <c r="A1394" s="1" t="s">
        <v>2789</v>
      </c>
      <c r="B1394" s="1" t="s">
        <v>2790</v>
      </c>
      <c r="C1394" s="1" t="s">
        <v>5</v>
      </c>
    </row>
    <row r="1395" spans="1:3" x14ac:dyDescent="0.25">
      <c r="A1395" s="1" t="s">
        <v>2791</v>
      </c>
      <c r="B1395" s="1" t="s">
        <v>2792</v>
      </c>
      <c r="C1395" s="1" t="s">
        <v>5</v>
      </c>
    </row>
    <row r="1396" spans="1:3" x14ac:dyDescent="0.25">
      <c r="A1396" s="1" t="s">
        <v>2793</v>
      </c>
      <c r="B1396" s="1" t="s">
        <v>2794</v>
      </c>
      <c r="C1396" s="1" t="s">
        <v>5</v>
      </c>
    </row>
    <row r="1397" spans="1:3" x14ac:dyDescent="0.25">
      <c r="A1397" s="1" t="s">
        <v>2795</v>
      </c>
      <c r="B1397" s="1" t="s">
        <v>2796</v>
      </c>
      <c r="C1397" s="1" t="s">
        <v>5</v>
      </c>
    </row>
    <row r="1398" spans="1:3" x14ac:dyDescent="0.25">
      <c r="A1398" s="1" t="s">
        <v>2797</v>
      </c>
      <c r="B1398" s="1" t="s">
        <v>2798</v>
      </c>
      <c r="C1398" s="1" t="s">
        <v>5</v>
      </c>
    </row>
    <row r="1399" spans="1:3" x14ac:dyDescent="0.25">
      <c r="A1399" s="1" t="s">
        <v>2799</v>
      </c>
      <c r="B1399" s="1" t="s">
        <v>2800</v>
      </c>
      <c r="C1399" s="1" t="s">
        <v>5</v>
      </c>
    </row>
    <row r="1400" spans="1:3" x14ac:dyDescent="0.25">
      <c r="A1400" s="1" t="s">
        <v>2801</v>
      </c>
      <c r="B1400" s="1" t="s">
        <v>2802</v>
      </c>
      <c r="C1400" s="1" t="s">
        <v>5</v>
      </c>
    </row>
    <row r="1401" spans="1:3" x14ac:dyDescent="0.25">
      <c r="A1401" s="1" t="s">
        <v>2803</v>
      </c>
      <c r="B1401" s="1" t="s">
        <v>2804</v>
      </c>
      <c r="C1401" s="1" t="s">
        <v>5</v>
      </c>
    </row>
    <row r="1402" spans="1:3" x14ac:dyDescent="0.25">
      <c r="A1402" s="1" t="s">
        <v>2805</v>
      </c>
      <c r="B1402" s="1" t="s">
        <v>2806</v>
      </c>
      <c r="C1402" s="1" t="s">
        <v>5</v>
      </c>
    </row>
    <row r="1403" spans="1:3" x14ac:dyDescent="0.25">
      <c r="A1403" s="1" t="s">
        <v>2807</v>
      </c>
      <c r="B1403" s="1" t="s">
        <v>2808</v>
      </c>
      <c r="C1403" s="1" t="s">
        <v>5</v>
      </c>
    </row>
    <row r="1404" spans="1:3" x14ac:dyDescent="0.25">
      <c r="A1404" s="1" t="s">
        <v>2809</v>
      </c>
      <c r="B1404" s="1" t="s">
        <v>2810</v>
      </c>
      <c r="C1404" s="1" t="s">
        <v>5</v>
      </c>
    </row>
    <row r="1405" spans="1:3" x14ac:dyDescent="0.25">
      <c r="A1405" s="1" t="s">
        <v>2811</v>
      </c>
      <c r="B1405" s="1" t="s">
        <v>2812</v>
      </c>
      <c r="C1405" s="1" t="s">
        <v>5</v>
      </c>
    </row>
    <row r="1406" spans="1:3" x14ac:dyDescent="0.25">
      <c r="A1406" s="1" t="s">
        <v>2813</v>
      </c>
      <c r="B1406" s="1" t="s">
        <v>2814</v>
      </c>
      <c r="C1406" s="1" t="s">
        <v>5</v>
      </c>
    </row>
    <row r="1407" spans="1:3" x14ac:dyDescent="0.25">
      <c r="A1407" s="1" t="s">
        <v>2815</v>
      </c>
      <c r="B1407" s="1" t="s">
        <v>2816</v>
      </c>
      <c r="C1407" s="1" t="s">
        <v>5</v>
      </c>
    </row>
    <row r="1408" spans="1:3" x14ac:dyDescent="0.25">
      <c r="A1408" s="1" t="s">
        <v>2817</v>
      </c>
      <c r="B1408" s="1" t="s">
        <v>2818</v>
      </c>
      <c r="C1408" s="1" t="s">
        <v>5</v>
      </c>
    </row>
    <row r="1409" spans="1:3" x14ac:dyDescent="0.25">
      <c r="A1409" s="1" t="s">
        <v>2819</v>
      </c>
      <c r="B1409" s="1" t="s">
        <v>2820</v>
      </c>
      <c r="C1409" s="1" t="s">
        <v>5</v>
      </c>
    </row>
    <row r="1410" spans="1:3" x14ac:dyDescent="0.25">
      <c r="A1410" s="1" t="s">
        <v>2821</v>
      </c>
      <c r="B1410" s="1" t="s">
        <v>2822</v>
      </c>
      <c r="C1410" s="1" t="s">
        <v>5</v>
      </c>
    </row>
    <row r="1411" spans="1:3" x14ac:dyDescent="0.25">
      <c r="A1411" s="1" t="s">
        <v>2823</v>
      </c>
      <c r="B1411" s="1" t="s">
        <v>2824</v>
      </c>
      <c r="C1411" s="1" t="s">
        <v>5</v>
      </c>
    </row>
    <row r="1412" spans="1:3" x14ac:dyDescent="0.25">
      <c r="A1412" s="1" t="s">
        <v>2825</v>
      </c>
      <c r="B1412" s="1" t="s">
        <v>2826</v>
      </c>
      <c r="C1412" s="1" t="s">
        <v>5</v>
      </c>
    </row>
    <row r="1413" spans="1:3" x14ac:dyDescent="0.25">
      <c r="A1413" s="1" t="s">
        <v>2827</v>
      </c>
      <c r="B1413" s="1" t="s">
        <v>2828</v>
      </c>
      <c r="C1413" s="1" t="s">
        <v>5</v>
      </c>
    </row>
    <row r="1414" spans="1:3" x14ac:dyDescent="0.25">
      <c r="A1414" s="1" t="s">
        <v>2829</v>
      </c>
      <c r="B1414" s="1" t="s">
        <v>2830</v>
      </c>
      <c r="C1414" s="1" t="s">
        <v>5</v>
      </c>
    </row>
    <row r="1415" spans="1:3" x14ac:dyDescent="0.25">
      <c r="A1415" s="1" t="s">
        <v>2831</v>
      </c>
      <c r="B1415" s="1" t="s">
        <v>2832</v>
      </c>
      <c r="C1415" s="1" t="s">
        <v>5</v>
      </c>
    </row>
    <row r="1416" spans="1:3" x14ac:dyDescent="0.25">
      <c r="A1416" s="1" t="s">
        <v>2833</v>
      </c>
      <c r="B1416" s="1" t="s">
        <v>2834</v>
      </c>
      <c r="C1416" s="1" t="s">
        <v>5</v>
      </c>
    </row>
    <row r="1417" spans="1:3" x14ac:dyDescent="0.25">
      <c r="A1417" s="1" t="s">
        <v>2835</v>
      </c>
      <c r="B1417" s="1" t="s">
        <v>2836</v>
      </c>
      <c r="C1417" s="1" t="s">
        <v>5</v>
      </c>
    </row>
    <row r="1418" spans="1:3" x14ac:dyDescent="0.25">
      <c r="A1418" s="1" t="s">
        <v>2837</v>
      </c>
      <c r="B1418" s="1" t="s">
        <v>2838</v>
      </c>
      <c r="C1418" s="1" t="s">
        <v>5</v>
      </c>
    </row>
    <row r="1419" spans="1:3" x14ac:dyDescent="0.25">
      <c r="A1419" s="1" t="s">
        <v>2839</v>
      </c>
      <c r="B1419" s="1" t="s">
        <v>2840</v>
      </c>
      <c r="C1419" s="1" t="s">
        <v>5</v>
      </c>
    </row>
    <row r="1420" spans="1:3" x14ac:dyDescent="0.25">
      <c r="A1420" s="1" t="s">
        <v>2841</v>
      </c>
      <c r="B1420" s="1" t="s">
        <v>2842</v>
      </c>
      <c r="C1420" s="1" t="s">
        <v>5</v>
      </c>
    </row>
    <row r="1421" spans="1:3" x14ac:dyDescent="0.25">
      <c r="A1421" s="1" t="s">
        <v>2843</v>
      </c>
      <c r="B1421" s="1" t="s">
        <v>2844</v>
      </c>
      <c r="C1421" s="1" t="s">
        <v>5</v>
      </c>
    </row>
    <row r="1422" spans="1:3" x14ac:dyDescent="0.25">
      <c r="A1422" s="1" t="s">
        <v>2845</v>
      </c>
      <c r="B1422" s="1" t="s">
        <v>2846</v>
      </c>
      <c r="C1422" s="1" t="s">
        <v>5</v>
      </c>
    </row>
    <row r="1423" spans="1:3" x14ac:dyDescent="0.25">
      <c r="A1423" s="1" t="s">
        <v>2847</v>
      </c>
      <c r="B1423" s="1" t="s">
        <v>2848</v>
      </c>
      <c r="C1423" s="1" t="s">
        <v>5</v>
      </c>
    </row>
    <row r="1424" spans="1:3" x14ac:dyDescent="0.25">
      <c r="A1424" s="1" t="s">
        <v>2849</v>
      </c>
      <c r="B1424" s="1" t="s">
        <v>2850</v>
      </c>
      <c r="C1424" s="1" t="s">
        <v>5</v>
      </c>
    </row>
    <row r="1425" spans="1:3" x14ac:dyDescent="0.25">
      <c r="A1425" s="1" t="s">
        <v>2851</v>
      </c>
      <c r="B1425" s="1" t="s">
        <v>2852</v>
      </c>
      <c r="C1425" s="1" t="s">
        <v>5</v>
      </c>
    </row>
    <row r="1426" spans="1:3" x14ac:dyDescent="0.25">
      <c r="A1426" s="1" t="s">
        <v>2853</v>
      </c>
      <c r="B1426" s="1" t="s">
        <v>2854</v>
      </c>
      <c r="C1426" s="1" t="s">
        <v>5</v>
      </c>
    </row>
    <row r="1427" spans="1:3" x14ac:dyDescent="0.25">
      <c r="A1427" s="1" t="s">
        <v>2855</v>
      </c>
      <c r="B1427" s="1" t="s">
        <v>2856</v>
      </c>
      <c r="C1427" s="1" t="s">
        <v>5</v>
      </c>
    </row>
    <row r="1428" spans="1:3" x14ac:dyDescent="0.25">
      <c r="A1428" s="1" t="s">
        <v>2857</v>
      </c>
      <c r="B1428" s="1" t="s">
        <v>2858</v>
      </c>
      <c r="C1428" s="1" t="s">
        <v>5</v>
      </c>
    </row>
    <row r="1429" spans="1:3" x14ac:dyDescent="0.25">
      <c r="A1429" s="1" t="s">
        <v>2859</v>
      </c>
      <c r="B1429" s="1" t="s">
        <v>2860</v>
      </c>
      <c r="C1429" s="1" t="s">
        <v>5</v>
      </c>
    </row>
    <row r="1430" spans="1:3" x14ac:dyDescent="0.25">
      <c r="A1430" s="1" t="s">
        <v>2861</v>
      </c>
      <c r="B1430" s="1" t="s">
        <v>2862</v>
      </c>
      <c r="C1430" s="1" t="s">
        <v>5</v>
      </c>
    </row>
    <row r="1431" spans="1:3" x14ac:dyDescent="0.25">
      <c r="A1431" s="1" t="s">
        <v>2863</v>
      </c>
      <c r="B1431" s="1" t="s">
        <v>2864</v>
      </c>
      <c r="C1431" s="1" t="s">
        <v>5</v>
      </c>
    </row>
    <row r="1432" spans="1:3" x14ac:dyDescent="0.25">
      <c r="A1432" s="1" t="s">
        <v>2865</v>
      </c>
      <c r="B1432" s="1" t="s">
        <v>2866</v>
      </c>
      <c r="C1432" s="1" t="s">
        <v>5</v>
      </c>
    </row>
    <row r="1433" spans="1:3" x14ac:dyDescent="0.25">
      <c r="A1433" s="1" t="s">
        <v>2867</v>
      </c>
      <c r="B1433" s="1" t="s">
        <v>2868</v>
      </c>
      <c r="C1433" s="1" t="s">
        <v>5</v>
      </c>
    </row>
    <row r="1434" spans="1:3" x14ac:dyDescent="0.25">
      <c r="A1434" s="1" t="s">
        <v>2869</v>
      </c>
      <c r="B1434" s="1" t="s">
        <v>2870</v>
      </c>
      <c r="C1434" s="1" t="s">
        <v>5</v>
      </c>
    </row>
    <row r="1435" spans="1:3" x14ac:dyDescent="0.25">
      <c r="A1435" s="1" t="s">
        <v>2871</v>
      </c>
      <c r="B1435" s="1" t="s">
        <v>2872</v>
      </c>
      <c r="C1435" s="1" t="s">
        <v>5</v>
      </c>
    </row>
    <row r="1436" spans="1:3" x14ac:dyDescent="0.25">
      <c r="A1436" s="1" t="s">
        <v>2873</v>
      </c>
      <c r="B1436" s="1" t="s">
        <v>2874</v>
      </c>
      <c r="C1436" s="1" t="s">
        <v>5</v>
      </c>
    </row>
    <row r="1437" spans="1:3" x14ac:dyDescent="0.25">
      <c r="A1437" s="1" t="s">
        <v>2875</v>
      </c>
      <c r="B1437" s="1" t="s">
        <v>2876</v>
      </c>
      <c r="C1437" s="1" t="s">
        <v>5</v>
      </c>
    </row>
    <row r="1438" spans="1:3" x14ac:dyDescent="0.25">
      <c r="A1438" s="1" t="s">
        <v>2877</v>
      </c>
      <c r="B1438" s="1" t="s">
        <v>2878</v>
      </c>
      <c r="C1438" s="1" t="s">
        <v>5</v>
      </c>
    </row>
    <row r="1439" spans="1:3" x14ac:dyDescent="0.25">
      <c r="A1439" s="1" t="s">
        <v>2879</v>
      </c>
      <c r="B1439" s="1" t="s">
        <v>2880</v>
      </c>
      <c r="C1439" s="1" t="s">
        <v>5</v>
      </c>
    </row>
    <row r="1440" spans="1:3" x14ac:dyDescent="0.25">
      <c r="A1440" s="1" t="s">
        <v>2881</v>
      </c>
      <c r="B1440" s="1" t="s">
        <v>2882</v>
      </c>
      <c r="C1440" s="1" t="s">
        <v>5</v>
      </c>
    </row>
    <row r="1441" spans="1:3" x14ac:dyDescent="0.25">
      <c r="A1441" s="1" t="s">
        <v>2883</v>
      </c>
      <c r="B1441" s="1" t="s">
        <v>2884</v>
      </c>
      <c r="C1441" s="1" t="s">
        <v>5</v>
      </c>
    </row>
    <row r="1442" spans="1:3" x14ac:dyDescent="0.25">
      <c r="A1442" s="1" t="s">
        <v>2885</v>
      </c>
      <c r="B1442" s="1" t="s">
        <v>2886</v>
      </c>
      <c r="C1442" s="1" t="s">
        <v>5</v>
      </c>
    </row>
    <row r="1443" spans="1:3" x14ac:dyDescent="0.25">
      <c r="A1443" s="1" t="s">
        <v>2887</v>
      </c>
      <c r="B1443" s="1" t="s">
        <v>2888</v>
      </c>
      <c r="C1443" s="1" t="s">
        <v>5</v>
      </c>
    </row>
    <row r="1444" spans="1:3" x14ac:dyDescent="0.25">
      <c r="A1444" s="1" t="s">
        <v>2889</v>
      </c>
      <c r="B1444" s="1" t="s">
        <v>2890</v>
      </c>
      <c r="C1444" s="1" t="s">
        <v>5</v>
      </c>
    </row>
    <row r="1445" spans="1:3" x14ac:dyDescent="0.25">
      <c r="A1445" s="1" t="s">
        <v>2891</v>
      </c>
      <c r="B1445" s="1" t="s">
        <v>2892</v>
      </c>
      <c r="C1445" s="1" t="s">
        <v>5</v>
      </c>
    </row>
    <row r="1446" spans="1:3" x14ac:dyDescent="0.25">
      <c r="A1446" s="1" t="s">
        <v>2893</v>
      </c>
      <c r="B1446" s="1" t="s">
        <v>2894</v>
      </c>
      <c r="C1446" s="1" t="s">
        <v>5</v>
      </c>
    </row>
    <row r="1447" spans="1:3" x14ac:dyDescent="0.25">
      <c r="A1447" s="1" t="s">
        <v>2895</v>
      </c>
      <c r="B1447" s="1" t="s">
        <v>2896</v>
      </c>
      <c r="C1447" s="1" t="s">
        <v>5</v>
      </c>
    </row>
    <row r="1448" spans="1:3" x14ac:dyDescent="0.25">
      <c r="A1448" s="1" t="s">
        <v>2897</v>
      </c>
      <c r="B1448" s="1" t="s">
        <v>2898</v>
      </c>
      <c r="C1448" s="1" t="s">
        <v>5</v>
      </c>
    </row>
    <row r="1449" spans="1:3" x14ac:dyDescent="0.25">
      <c r="A1449" s="1" t="s">
        <v>2899</v>
      </c>
      <c r="B1449" s="1" t="s">
        <v>2900</v>
      </c>
      <c r="C1449" s="1" t="s">
        <v>5</v>
      </c>
    </row>
    <row r="1450" spans="1:3" x14ac:dyDescent="0.25">
      <c r="A1450" s="1" t="s">
        <v>2901</v>
      </c>
      <c r="B1450" s="1" t="s">
        <v>2902</v>
      </c>
      <c r="C1450" s="1" t="s">
        <v>5</v>
      </c>
    </row>
    <row r="1451" spans="1:3" x14ac:dyDescent="0.25">
      <c r="A1451" s="1" t="s">
        <v>2903</v>
      </c>
      <c r="B1451" s="1" t="s">
        <v>2904</v>
      </c>
      <c r="C1451" s="1" t="s">
        <v>5</v>
      </c>
    </row>
    <row r="1452" spans="1:3" x14ac:dyDescent="0.25">
      <c r="A1452" s="1" t="s">
        <v>2905</v>
      </c>
      <c r="B1452" s="1" t="s">
        <v>2906</v>
      </c>
      <c r="C1452" s="1" t="s">
        <v>5</v>
      </c>
    </row>
    <row r="1453" spans="1:3" x14ac:dyDescent="0.25">
      <c r="A1453" s="1" t="s">
        <v>2907</v>
      </c>
      <c r="B1453" s="1" t="s">
        <v>2908</v>
      </c>
      <c r="C1453" s="1" t="s">
        <v>5</v>
      </c>
    </row>
    <row r="1454" spans="1:3" x14ac:dyDescent="0.25">
      <c r="A1454" s="1" t="s">
        <v>2909</v>
      </c>
      <c r="B1454" s="1" t="s">
        <v>2910</v>
      </c>
      <c r="C1454" s="1" t="s">
        <v>5</v>
      </c>
    </row>
    <row r="1455" spans="1:3" x14ac:dyDescent="0.25">
      <c r="A1455" s="1" t="s">
        <v>2911</v>
      </c>
      <c r="B1455" s="1" t="s">
        <v>2912</v>
      </c>
      <c r="C1455" s="1" t="s">
        <v>5</v>
      </c>
    </row>
    <row r="1456" spans="1:3" x14ac:dyDescent="0.25">
      <c r="A1456" s="1" t="s">
        <v>2913</v>
      </c>
      <c r="B1456" s="1" t="s">
        <v>2914</v>
      </c>
      <c r="C1456" s="1" t="s">
        <v>5</v>
      </c>
    </row>
    <row r="1457" spans="1:3" x14ac:dyDescent="0.25">
      <c r="A1457" s="1" t="s">
        <v>2915</v>
      </c>
      <c r="B1457" s="1" t="s">
        <v>2916</v>
      </c>
      <c r="C1457" s="1" t="s">
        <v>5</v>
      </c>
    </row>
    <row r="1458" spans="1:3" x14ac:dyDescent="0.25">
      <c r="A1458" s="1" t="s">
        <v>2917</v>
      </c>
      <c r="B1458" s="1" t="s">
        <v>2918</v>
      </c>
      <c r="C1458" s="1" t="s">
        <v>5</v>
      </c>
    </row>
    <row r="1459" spans="1:3" x14ac:dyDescent="0.25">
      <c r="A1459" s="1" t="s">
        <v>2919</v>
      </c>
      <c r="B1459" s="1" t="s">
        <v>2920</v>
      </c>
      <c r="C1459" s="1" t="s">
        <v>5</v>
      </c>
    </row>
    <row r="1460" spans="1:3" x14ac:dyDescent="0.25">
      <c r="A1460" s="1" t="s">
        <v>2921</v>
      </c>
      <c r="B1460" s="1" t="s">
        <v>2922</v>
      </c>
      <c r="C1460" s="1" t="s">
        <v>5</v>
      </c>
    </row>
    <row r="1461" spans="1:3" x14ac:dyDescent="0.25">
      <c r="A1461" s="1" t="s">
        <v>2923</v>
      </c>
      <c r="B1461" s="1" t="s">
        <v>2924</v>
      </c>
      <c r="C1461" s="1" t="s">
        <v>5</v>
      </c>
    </row>
    <row r="1462" spans="1:3" x14ac:dyDescent="0.25">
      <c r="A1462" s="1" t="s">
        <v>2925</v>
      </c>
      <c r="B1462" s="1" t="s">
        <v>2926</v>
      </c>
      <c r="C1462" s="1" t="s">
        <v>5</v>
      </c>
    </row>
    <row r="1463" spans="1:3" x14ac:dyDescent="0.25">
      <c r="A1463" s="1" t="s">
        <v>2927</v>
      </c>
      <c r="B1463" s="1" t="s">
        <v>2928</v>
      </c>
      <c r="C1463" s="1" t="s">
        <v>5</v>
      </c>
    </row>
    <row r="1464" spans="1:3" x14ac:dyDescent="0.25">
      <c r="A1464" s="1" t="s">
        <v>2929</v>
      </c>
      <c r="B1464" s="1" t="s">
        <v>2930</v>
      </c>
      <c r="C1464" s="1" t="s">
        <v>5</v>
      </c>
    </row>
    <row r="1465" spans="1:3" x14ac:dyDescent="0.25">
      <c r="A1465" s="1" t="s">
        <v>2931</v>
      </c>
      <c r="B1465" s="1" t="s">
        <v>2932</v>
      </c>
      <c r="C1465" s="1" t="s">
        <v>5</v>
      </c>
    </row>
    <row r="1466" spans="1:3" x14ac:dyDescent="0.25">
      <c r="A1466" s="1" t="s">
        <v>2933</v>
      </c>
      <c r="B1466" s="1" t="s">
        <v>2934</v>
      </c>
      <c r="C1466" s="1" t="s">
        <v>5</v>
      </c>
    </row>
    <row r="1467" spans="1:3" x14ac:dyDescent="0.25">
      <c r="A1467" s="1" t="s">
        <v>2935</v>
      </c>
      <c r="B1467" s="1" t="s">
        <v>2936</v>
      </c>
      <c r="C1467" s="1" t="s">
        <v>5</v>
      </c>
    </row>
    <row r="1468" spans="1:3" x14ac:dyDescent="0.25">
      <c r="A1468" s="1" t="s">
        <v>2937</v>
      </c>
      <c r="B1468" s="1" t="s">
        <v>2938</v>
      </c>
      <c r="C1468" s="1" t="s">
        <v>5</v>
      </c>
    </row>
    <row r="1469" spans="1:3" x14ac:dyDescent="0.25">
      <c r="A1469" s="1" t="s">
        <v>2939</v>
      </c>
      <c r="B1469" s="1" t="s">
        <v>2940</v>
      </c>
      <c r="C1469" s="1" t="s">
        <v>5</v>
      </c>
    </row>
    <row r="1470" spans="1:3" x14ac:dyDescent="0.25">
      <c r="A1470" s="1" t="s">
        <v>2941</v>
      </c>
      <c r="B1470" s="1" t="s">
        <v>2942</v>
      </c>
      <c r="C1470" s="1" t="s">
        <v>5</v>
      </c>
    </row>
    <row r="1471" spans="1:3" x14ac:dyDescent="0.25">
      <c r="A1471" s="1" t="s">
        <v>2943</v>
      </c>
      <c r="B1471" s="1" t="s">
        <v>2944</v>
      </c>
      <c r="C1471" s="1" t="s">
        <v>5</v>
      </c>
    </row>
    <row r="1472" spans="1:3" x14ac:dyDescent="0.25">
      <c r="A1472" s="1" t="s">
        <v>2945</v>
      </c>
      <c r="B1472" s="1" t="s">
        <v>2946</v>
      </c>
      <c r="C1472" s="1" t="s">
        <v>5</v>
      </c>
    </row>
    <row r="1473" spans="1:3" x14ac:dyDescent="0.25">
      <c r="A1473" s="1" t="s">
        <v>2947</v>
      </c>
      <c r="B1473" s="1" t="s">
        <v>2948</v>
      </c>
      <c r="C1473" s="1" t="s">
        <v>5</v>
      </c>
    </row>
    <row r="1474" spans="1:3" x14ac:dyDescent="0.25">
      <c r="A1474" s="1" t="s">
        <v>2949</v>
      </c>
      <c r="B1474" s="1" t="s">
        <v>2950</v>
      </c>
      <c r="C1474" s="1" t="s">
        <v>5</v>
      </c>
    </row>
    <row r="1475" spans="1:3" x14ac:dyDescent="0.25">
      <c r="A1475" s="1" t="s">
        <v>2951</v>
      </c>
      <c r="B1475" s="1" t="s">
        <v>2952</v>
      </c>
      <c r="C1475" s="1" t="s">
        <v>5</v>
      </c>
    </row>
    <row r="1476" spans="1:3" x14ac:dyDescent="0.25">
      <c r="A1476" s="1" t="s">
        <v>2953</v>
      </c>
      <c r="B1476" s="1" t="s">
        <v>2954</v>
      </c>
      <c r="C1476" s="1" t="s">
        <v>5</v>
      </c>
    </row>
    <row r="1477" spans="1:3" x14ac:dyDescent="0.25">
      <c r="A1477" s="1" t="s">
        <v>2955</v>
      </c>
      <c r="B1477" s="1" t="s">
        <v>2956</v>
      </c>
      <c r="C1477" s="1" t="s">
        <v>5</v>
      </c>
    </row>
    <row r="1478" spans="1:3" x14ac:dyDescent="0.25">
      <c r="A1478" s="1" t="s">
        <v>2957</v>
      </c>
      <c r="B1478" s="1" t="s">
        <v>2958</v>
      </c>
      <c r="C1478" s="1" t="s">
        <v>5</v>
      </c>
    </row>
    <row r="1479" spans="1:3" x14ac:dyDescent="0.25">
      <c r="A1479" s="1" t="s">
        <v>2959</v>
      </c>
      <c r="B1479" s="1" t="s">
        <v>2960</v>
      </c>
      <c r="C1479" s="1" t="s">
        <v>5</v>
      </c>
    </row>
    <row r="1480" spans="1:3" x14ac:dyDescent="0.25">
      <c r="A1480" s="1" t="s">
        <v>2961</v>
      </c>
      <c r="B1480" s="1" t="s">
        <v>2962</v>
      </c>
      <c r="C1480" s="1" t="s">
        <v>5</v>
      </c>
    </row>
    <row r="1481" spans="1:3" x14ac:dyDescent="0.25">
      <c r="A1481" s="1" t="s">
        <v>2963</v>
      </c>
      <c r="B1481" s="1" t="s">
        <v>2964</v>
      </c>
      <c r="C1481" s="1" t="s">
        <v>5</v>
      </c>
    </row>
    <row r="1482" spans="1:3" x14ac:dyDescent="0.25">
      <c r="A1482" s="1" t="s">
        <v>2965</v>
      </c>
      <c r="B1482" s="1" t="s">
        <v>2966</v>
      </c>
      <c r="C1482" s="1" t="s">
        <v>5</v>
      </c>
    </row>
    <row r="1483" spans="1:3" x14ac:dyDescent="0.25">
      <c r="A1483" s="1" t="s">
        <v>2967</v>
      </c>
      <c r="B1483" s="1" t="s">
        <v>2968</v>
      </c>
      <c r="C1483" s="1" t="s">
        <v>5</v>
      </c>
    </row>
    <row r="1484" spans="1:3" x14ac:dyDescent="0.25">
      <c r="A1484" s="1" t="s">
        <v>2969</v>
      </c>
      <c r="B1484" s="1" t="s">
        <v>2970</v>
      </c>
      <c r="C1484" s="1" t="s">
        <v>5</v>
      </c>
    </row>
    <row r="1485" spans="1:3" x14ac:dyDescent="0.25">
      <c r="A1485" s="1" t="s">
        <v>2971</v>
      </c>
      <c r="B1485" s="1" t="s">
        <v>2972</v>
      </c>
      <c r="C1485" s="1" t="s">
        <v>5</v>
      </c>
    </row>
    <row r="1486" spans="1:3" x14ac:dyDescent="0.25">
      <c r="A1486" s="1" t="s">
        <v>2973</v>
      </c>
      <c r="B1486" s="1" t="s">
        <v>2974</v>
      </c>
      <c r="C1486" s="1" t="s">
        <v>5</v>
      </c>
    </row>
    <row r="1487" spans="1:3" x14ac:dyDescent="0.25">
      <c r="A1487" s="1" t="s">
        <v>2975</v>
      </c>
      <c r="B1487" s="1" t="s">
        <v>2976</v>
      </c>
      <c r="C1487" s="1" t="s">
        <v>5</v>
      </c>
    </row>
    <row r="1488" spans="1:3" x14ac:dyDescent="0.25">
      <c r="A1488" s="1" t="s">
        <v>2977</v>
      </c>
      <c r="B1488" s="1" t="s">
        <v>2978</v>
      </c>
      <c r="C1488" s="1" t="s">
        <v>5</v>
      </c>
    </row>
    <row r="1489" spans="1:3" x14ac:dyDescent="0.25">
      <c r="A1489" s="1" t="s">
        <v>2979</v>
      </c>
      <c r="B1489" s="1" t="s">
        <v>2980</v>
      </c>
      <c r="C1489" s="1" t="s">
        <v>5</v>
      </c>
    </row>
    <row r="1490" spans="1:3" x14ac:dyDescent="0.25">
      <c r="A1490" s="1" t="s">
        <v>2981</v>
      </c>
      <c r="B1490" s="1" t="s">
        <v>2982</v>
      </c>
      <c r="C1490" s="1" t="s">
        <v>5</v>
      </c>
    </row>
    <row r="1491" spans="1:3" x14ac:dyDescent="0.25">
      <c r="A1491" s="1" t="s">
        <v>2983</v>
      </c>
      <c r="B1491" s="1" t="s">
        <v>2984</v>
      </c>
      <c r="C1491" s="1" t="s">
        <v>5</v>
      </c>
    </row>
    <row r="1492" spans="1:3" x14ac:dyDescent="0.25">
      <c r="A1492" s="1" t="s">
        <v>2985</v>
      </c>
      <c r="B1492" s="1" t="s">
        <v>2986</v>
      </c>
      <c r="C1492" s="1" t="s">
        <v>5</v>
      </c>
    </row>
    <row r="1493" spans="1:3" x14ac:dyDescent="0.25">
      <c r="A1493" s="1" t="s">
        <v>2987</v>
      </c>
      <c r="B1493" s="1" t="s">
        <v>2988</v>
      </c>
      <c r="C1493" s="1" t="s">
        <v>5</v>
      </c>
    </row>
    <row r="1494" spans="1:3" x14ac:dyDescent="0.25">
      <c r="A1494" s="1" t="s">
        <v>2989</v>
      </c>
      <c r="B1494" s="1" t="s">
        <v>2990</v>
      </c>
      <c r="C1494" s="1" t="s">
        <v>5</v>
      </c>
    </row>
    <row r="1495" spans="1:3" x14ac:dyDescent="0.25">
      <c r="A1495" s="1" t="s">
        <v>2991</v>
      </c>
      <c r="B1495" s="1" t="s">
        <v>2992</v>
      </c>
      <c r="C1495" s="1" t="s">
        <v>5</v>
      </c>
    </row>
    <row r="1496" spans="1:3" x14ac:dyDescent="0.25">
      <c r="A1496" s="1" t="s">
        <v>2993</v>
      </c>
      <c r="B1496" s="1" t="s">
        <v>2994</v>
      </c>
      <c r="C1496" s="1" t="s">
        <v>5</v>
      </c>
    </row>
    <row r="1497" spans="1:3" x14ac:dyDescent="0.25">
      <c r="A1497" s="1" t="s">
        <v>2995</v>
      </c>
      <c r="B1497" s="1" t="s">
        <v>2996</v>
      </c>
      <c r="C1497" s="1" t="s">
        <v>5</v>
      </c>
    </row>
    <row r="1498" spans="1:3" x14ac:dyDescent="0.25">
      <c r="A1498" s="1" t="s">
        <v>2997</v>
      </c>
      <c r="B1498" s="1" t="s">
        <v>2998</v>
      </c>
      <c r="C1498" s="1" t="s">
        <v>5</v>
      </c>
    </row>
    <row r="1499" spans="1:3" x14ac:dyDescent="0.25">
      <c r="A1499" s="1" t="s">
        <v>2999</v>
      </c>
      <c r="B1499" s="1" t="s">
        <v>3000</v>
      </c>
      <c r="C1499" s="1" t="s">
        <v>5</v>
      </c>
    </row>
    <row r="1500" spans="1:3" x14ac:dyDescent="0.25">
      <c r="A1500" s="1" t="s">
        <v>3001</v>
      </c>
      <c r="B1500" s="1" t="s">
        <v>3002</v>
      </c>
      <c r="C1500" s="1" t="s">
        <v>5</v>
      </c>
    </row>
    <row r="1501" spans="1:3" x14ac:dyDescent="0.25">
      <c r="A1501" s="1" t="s">
        <v>3003</v>
      </c>
      <c r="B1501" s="1" t="s">
        <v>3004</v>
      </c>
      <c r="C1501" s="1" t="s">
        <v>5</v>
      </c>
    </row>
    <row r="1502" spans="1:3" x14ac:dyDescent="0.25">
      <c r="A1502" s="1" t="s">
        <v>3005</v>
      </c>
      <c r="B1502" s="1" t="s">
        <v>3006</v>
      </c>
      <c r="C1502" s="1" t="s">
        <v>5</v>
      </c>
    </row>
    <row r="1503" spans="1:3" x14ac:dyDescent="0.25">
      <c r="A1503" s="1" t="s">
        <v>3007</v>
      </c>
      <c r="B1503" s="1" t="s">
        <v>3008</v>
      </c>
      <c r="C1503" s="1" t="s">
        <v>5</v>
      </c>
    </row>
    <row r="1504" spans="1:3" x14ac:dyDescent="0.25">
      <c r="A1504" s="1" t="s">
        <v>3009</v>
      </c>
      <c r="B1504" s="1" t="s">
        <v>3010</v>
      </c>
      <c r="C1504" s="1" t="s">
        <v>5</v>
      </c>
    </row>
    <row r="1505" spans="1:3" x14ac:dyDescent="0.25">
      <c r="A1505" s="1" t="s">
        <v>3011</v>
      </c>
      <c r="B1505" s="1" t="s">
        <v>3012</v>
      </c>
      <c r="C1505" s="1" t="s">
        <v>5</v>
      </c>
    </row>
    <row r="1506" spans="1:3" x14ac:dyDescent="0.25">
      <c r="A1506" s="1" t="s">
        <v>3013</v>
      </c>
      <c r="B1506" s="1" t="s">
        <v>3014</v>
      </c>
      <c r="C1506" s="1" t="s">
        <v>5</v>
      </c>
    </row>
    <row r="1507" spans="1:3" x14ac:dyDescent="0.25">
      <c r="A1507" s="1" t="s">
        <v>3015</v>
      </c>
      <c r="B1507" s="1" t="s">
        <v>3016</v>
      </c>
      <c r="C1507" s="1" t="s">
        <v>5</v>
      </c>
    </row>
    <row r="1508" spans="1:3" x14ac:dyDescent="0.25">
      <c r="A1508" s="1" t="s">
        <v>3017</v>
      </c>
      <c r="B1508" s="1" t="s">
        <v>3018</v>
      </c>
      <c r="C1508" s="1" t="s">
        <v>5</v>
      </c>
    </row>
    <row r="1509" spans="1:3" x14ac:dyDescent="0.25">
      <c r="A1509" s="1" t="s">
        <v>3019</v>
      </c>
      <c r="B1509" s="1" t="s">
        <v>3020</v>
      </c>
      <c r="C1509" s="1" t="s">
        <v>5</v>
      </c>
    </row>
    <row r="1510" spans="1:3" x14ac:dyDescent="0.25">
      <c r="A1510" s="1" t="s">
        <v>3021</v>
      </c>
      <c r="B1510" s="1" t="s">
        <v>3022</v>
      </c>
      <c r="C1510" s="1" t="s">
        <v>5</v>
      </c>
    </row>
    <row r="1511" spans="1:3" x14ac:dyDescent="0.25">
      <c r="A1511" s="1" t="s">
        <v>3023</v>
      </c>
      <c r="B1511" s="1" t="s">
        <v>3024</v>
      </c>
      <c r="C1511" s="1" t="s">
        <v>5</v>
      </c>
    </row>
    <row r="1512" spans="1:3" x14ac:dyDescent="0.25">
      <c r="A1512" s="1" t="s">
        <v>3025</v>
      </c>
      <c r="B1512" s="1" t="s">
        <v>3026</v>
      </c>
      <c r="C1512" s="1" t="s">
        <v>5</v>
      </c>
    </row>
    <row r="1513" spans="1:3" x14ac:dyDescent="0.25">
      <c r="A1513" s="1" t="s">
        <v>3027</v>
      </c>
      <c r="B1513" s="1" t="s">
        <v>3028</v>
      </c>
      <c r="C1513" s="1" t="s">
        <v>5</v>
      </c>
    </row>
    <row r="1514" spans="1:3" x14ac:dyDescent="0.25">
      <c r="A1514" s="1" t="s">
        <v>3029</v>
      </c>
      <c r="B1514" s="1" t="s">
        <v>3030</v>
      </c>
      <c r="C1514" s="1" t="s">
        <v>5</v>
      </c>
    </row>
    <row r="1515" spans="1:3" x14ac:dyDescent="0.25">
      <c r="A1515" s="1" t="s">
        <v>3031</v>
      </c>
      <c r="B1515" s="1" t="s">
        <v>3032</v>
      </c>
      <c r="C1515" s="1" t="s">
        <v>5</v>
      </c>
    </row>
    <row r="1516" spans="1:3" x14ac:dyDescent="0.25">
      <c r="A1516" s="1" t="s">
        <v>3033</v>
      </c>
      <c r="B1516" s="1" t="s">
        <v>3034</v>
      </c>
      <c r="C1516" s="1" t="s">
        <v>5</v>
      </c>
    </row>
    <row r="1517" spans="1:3" x14ac:dyDescent="0.25">
      <c r="A1517" s="1" t="s">
        <v>3035</v>
      </c>
      <c r="B1517" s="1" t="s">
        <v>3036</v>
      </c>
      <c r="C1517" s="1" t="s">
        <v>5</v>
      </c>
    </row>
    <row r="1518" spans="1:3" x14ac:dyDescent="0.25">
      <c r="A1518" s="1" t="s">
        <v>3037</v>
      </c>
      <c r="B1518" s="1" t="s">
        <v>3038</v>
      </c>
      <c r="C1518" s="1" t="s">
        <v>5</v>
      </c>
    </row>
    <row r="1519" spans="1:3" x14ac:dyDescent="0.25">
      <c r="A1519" s="1" t="s">
        <v>3039</v>
      </c>
      <c r="B1519" s="1" t="s">
        <v>3040</v>
      </c>
      <c r="C1519" s="1" t="s">
        <v>5</v>
      </c>
    </row>
    <row r="1520" spans="1:3" x14ac:dyDescent="0.25">
      <c r="A1520" s="1" t="s">
        <v>3041</v>
      </c>
      <c r="B1520" s="1" t="s">
        <v>3042</v>
      </c>
      <c r="C1520" s="1" t="s">
        <v>5</v>
      </c>
    </row>
    <row r="1521" spans="1:3" x14ac:dyDescent="0.25">
      <c r="A1521" s="1" t="s">
        <v>3043</v>
      </c>
      <c r="B1521" s="1" t="s">
        <v>3044</v>
      </c>
      <c r="C1521" s="1" t="s">
        <v>5</v>
      </c>
    </row>
    <row r="1522" spans="1:3" x14ac:dyDescent="0.25">
      <c r="A1522" s="1" t="s">
        <v>3045</v>
      </c>
      <c r="B1522" s="1" t="s">
        <v>3046</v>
      </c>
      <c r="C1522" s="1" t="s">
        <v>5</v>
      </c>
    </row>
    <row r="1523" spans="1:3" x14ac:dyDescent="0.25">
      <c r="A1523" s="1" t="s">
        <v>3047</v>
      </c>
      <c r="B1523" s="1" t="s">
        <v>3048</v>
      </c>
      <c r="C1523" s="1" t="s">
        <v>5</v>
      </c>
    </row>
    <row r="1524" spans="1:3" x14ac:dyDescent="0.25">
      <c r="A1524" s="1" t="s">
        <v>3049</v>
      </c>
      <c r="B1524" s="1" t="s">
        <v>3050</v>
      </c>
      <c r="C1524" s="1" t="s">
        <v>5</v>
      </c>
    </row>
    <row r="1525" spans="1:3" x14ac:dyDescent="0.25">
      <c r="A1525" s="1" t="s">
        <v>3051</v>
      </c>
      <c r="B1525" s="1" t="s">
        <v>3052</v>
      </c>
      <c r="C1525" s="1" t="s">
        <v>5</v>
      </c>
    </row>
    <row r="1526" spans="1:3" x14ac:dyDescent="0.25">
      <c r="A1526" s="1" t="s">
        <v>3053</v>
      </c>
      <c r="B1526" s="1" t="s">
        <v>3054</v>
      </c>
      <c r="C1526" s="1" t="s">
        <v>5</v>
      </c>
    </row>
    <row r="1527" spans="1:3" x14ac:dyDescent="0.25">
      <c r="A1527" s="1" t="s">
        <v>3055</v>
      </c>
      <c r="B1527" s="1" t="s">
        <v>3056</v>
      </c>
      <c r="C1527" s="1" t="s">
        <v>5</v>
      </c>
    </row>
    <row r="1528" spans="1:3" x14ac:dyDescent="0.25">
      <c r="A1528" s="1" t="s">
        <v>3057</v>
      </c>
      <c r="B1528" s="1" t="s">
        <v>3058</v>
      </c>
      <c r="C1528" s="1" t="s">
        <v>5</v>
      </c>
    </row>
    <row r="1529" spans="1:3" x14ac:dyDescent="0.25">
      <c r="A1529" s="1" t="s">
        <v>3059</v>
      </c>
      <c r="B1529" s="1" t="s">
        <v>3060</v>
      </c>
      <c r="C1529" s="1" t="s">
        <v>5</v>
      </c>
    </row>
    <row r="1530" spans="1:3" x14ac:dyDescent="0.25">
      <c r="A1530" s="1" t="s">
        <v>3061</v>
      </c>
      <c r="B1530" s="1" t="s">
        <v>3062</v>
      </c>
      <c r="C1530" s="1" t="s">
        <v>5</v>
      </c>
    </row>
    <row r="1531" spans="1:3" x14ac:dyDescent="0.25">
      <c r="A1531" s="1" t="s">
        <v>3063</v>
      </c>
      <c r="B1531" s="1" t="s">
        <v>3064</v>
      </c>
      <c r="C1531" s="1" t="s">
        <v>5</v>
      </c>
    </row>
    <row r="1532" spans="1:3" x14ac:dyDescent="0.25">
      <c r="A1532" s="1" t="s">
        <v>3065</v>
      </c>
      <c r="B1532" s="1" t="s">
        <v>3066</v>
      </c>
      <c r="C1532" s="1" t="s">
        <v>5</v>
      </c>
    </row>
    <row r="1533" spans="1:3" x14ac:dyDescent="0.25">
      <c r="A1533" s="1" t="s">
        <v>3067</v>
      </c>
      <c r="B1533" s="1" t="s">
        <v>3068</v>
      </c>
      <c r="C1533" s="1" t="s">
        <v>5</v>
      </c>
    </row>
    <row r="1534" spans="1:3" x14ac:dyDescent="0.25">
      <c r="A1534" s="1" t="s">
        <v>3069</v>
      </c>
      <c r="B1534" s="1" t="s">
        <v>3070</v>
      </c>
      <c r="C1534" s="1" t="s">
        <v>5</v>
      </c>
    </row>
    <row r="1535" spans="1:3" x14ac:dyDescent="0.25">
      <c r="A1535" s="1" t="s">
        <v>3071</v>
      </c>
      <c r="B1535" s="1" t="s">
        <v>3072</v>
      </c>
      <c r="C1535" s="1" t="s">
        <v>5</v>
      </c>
    </row>
    <row r="1536" spans="1:3" x14ac:dyDescent="0.25">
      <c r="A1536" s="1" t="s">
        <v>3073</v>
      </c>
      <c r="B1536" s="1" t="s">
        <v>3074</v>
      </c>
      <c r="C1536" s="1" t="s">
        <v>5</v>
      </c>
    </row>
    <row r="1537" spans="1:3" x14ac:dyDescent="0.25">
      <c r="A1537" s="1" t="s">
        <v>3075</v>
      </c>
      <c r="B1537" s="1" t="s">
        <v>3076</v>
      </c>
      <c r="C1537" s="1" t="s">
        <v>5</v>
      </c>
    </row>
    <row r="1538" spans="1:3" x14ac:dyDescent="0.25">
      <c r="A1538" s="1" t="s">
        <v>3077</v>
      </c>
      <c r="B1538" s="1" t="s">
        <v>3078</v>
      </c>
      <c r="C1538" s="1" t="s">
        <v>5</v>
      </c>
    </row>
    <row r="1539" spans="1:3" x14ac:dyDescent="0.25">
      <c r="A1539" s="1" t="s">
        <v>3079</v>
      </c>
      <c r="B1539" s="1" t="s">
        <v>3080</v>
      </c>
      <c r="C1539" s="1" t="s">
        <v>5</v>
      </c>
    </row>
    <row r="1540" spans="1:3" x14ac:dyDescent="0.25">
      <c r="A1540" s="1" t="s">
        <v>3081</v>
      </c>
      <c r="B1540" s="1" t="s">
        <v>3082</v>
      </c>
      <c r="C1540" s="1" t="s">
        <v>5</v>
      </c>
    </row>
    <row r="1541" spans="1:3" x14ac:dyDescent="0.25">
      <c r="A1541" s="1" t="s">
        <v>3083</v>
      </c>
      <c r="B1541" s="1" t="s">
        <v>3084</v>
      </c>
      <c r="C1541" s="1" t="s">
        <v>5</v>
      </c>
    </row>
    <row r="1542" spans="1:3" x14ac:dyDescent="0.25">
      <c r="A1542" s="1" t="s">
        <v>3085</v>
      </c>
      <c r="B1542" s="1" t="s">
        <v>3086</v>
      </c>
      <c r="C1542" s="1" t="s">
        <v>5</v>
      </c>
    </row>
    <row r="1543" spans="1:3" x14ac:dyDescent="0.25">
      <c r="A1543" s="1" t="s">
        <v>3087</v>
      </c>
      <c r="B1543" s="1" t="s">
        <v>3088</v>
      </c>
      <c r="C1543" s="1" t="s">
        <v>5</v>
      </c>
    </row>
    <row r="1544" spans="1:3" x14ac:dyDescent="0.25">
      <c r="A1544" s="1" t="s">
        <v>3089</v>
      </c>
      <c r="B1544" s="1" t="s">
        <v>3090</v>
      </c>
      <c r="C1544" s="1" t="s">
        <v>5</v>
      </c>
    </row>
    <row r="1545" spans="1:3" x14ac:dyDescent="0.25">
      <c r="A1545" s="1" t="s">
        <v>3091</v>
      </c>
      <c r="B1545" s="1" t="s">
        <v>3092</v>
      </c>
      <c r="C1545" s="1" t="s">
        <v>5</v>
      </c>
    </row>
    <row r="1546" spans="1:3" x14ac:dyDescent="0.25">
      <c r="A1546" s="1" t="s">
        <v>3093</v>
      </c>
      <c r="B1546" s="1" t="s">
        <v>3094</v>
      </c>
      <c r="C1546" s="1" t="s">
        <v>5</v>
      </c>
    </row>
    <row r="1547" spans="1:3" x14ac:dyDescent="0.25">
      <c r="A1547" s="1" t="s">
        <v>3095</v>
      </c>
      <c r="B1547" s="1" t="s">
        <v>3096</v>
      </c>
      <c r="C1547" s="1" t="s">
        <v>5</v>
      </c>
    </row>
    <row r="1548" spans="1:3" x14ac:dyDescent="0.25">
      <c r="A1548" s="1" t="s">
        <v>3097</v>
      </c>
      <c r="B1548" s="1" t="s">
        <v>3098</v>
      </c>
      <c r="C1548" s="1" t="s">
        <v>5</v>
      </c>
    </row>
    <row r="1549" spans="1:3" x14ac:dyDescent="0.25">
      <c r="A1549" s="1" t="s">
        <v>3099</v>
      </c>
      <c r="B1549" s="1" t="s">
        <v>3100</v>
      </c>
      <c r="C1549" s="1" t="s">
        <v>5</v>
      </c>
    </row>
    <row r="1550" spans="1:3" x14ac:dyDescent="0.25">
      <c r="A1550" s="1" t="s">
        <v>3101</v>
      </c>
      <c r="B1550" s="1" t="s">
        <v>3102</v>
      </c>
      <c r="C1550" s="1" t="s">
        <v>5</v>
      </c>
    </row>
    <row r="1551" spans="1:3" x14ac:dyDescent="0.25">
      <c r="A1551" s="1" t="s">
        <v>3103</v>
      </c>
      <c r="B1551" s="1" t="s">
        <v>3104</v>
      </c>
      <c r="C1551" s="1" t="s">
        <v>5</v>
      </c>
    </row>
    <row r="1552" spans="1:3" x14ac:dyDescent="0.25">
      <c r="A1552" s="1" t="s">
        <v>3105</v>
      </c>
      <c r="B1552" s="1" t="s">
        <v>3106</v>
      </c>
      <c r="C1552" s="1" t="s">
        <v>5</v>
      </c>
    </row>
    <row r="1553" spans="1:3" x14ac:dyDescent="0.25">
      <c r="A1553" s="1" t="s">
        <v>3107</v>
      </c>
      <c r="B1553" s="1" t="s">
        <v>3108</v>
      </c>
      <c r="C1553" s="1" t="s">
        <v>5</v>
      </c>
    </row>
    <row r="1554" spans="1:3" x14ac:dyDescent="0.25">
      <c r="A1554" s="1" t="s">
        <v>3109</v>
      </c>
      <c r="B1554" s="1" t="s">
        <v>3110</v>
      </c>
      <c r="C1554" s="1" t="s">
        <v>5</v>
      </c>
    </row>
    <row r="1555" spans="1:3" x14ac:dyDescent="0.25">
      <c r="A1555" s="1" t="s">
        <v>3111</v>
      </c>
      <c r="B1555" s="1" t="s">
        <v>3112</v>
      </c>
      <c r="C1555" s="1" t="s">
        <v>5</v>
      </c>
    </row>
    <row r="1556" spans="1:3" x14ac:dyDescent="0.25">
      <c r="A1556" s="1" t="s">
        <v>3113</v>
      </c>
      <c r="B1556" s="1" t="s">
        <v>3114</v>
      </c>
      <c r="C1556" s="1" t="s">
        <v>5</v>
      </c>
    </row>
    <row r="1557" spans="1:3" x14ac:dyDescent="0.25">
      <c r="A1557" s="1" t="s">
        <v>3115</v>
      </c>
      <c r="B1557" s="1" t="s">
        <v>3116</v>
      </c>
      <c r="C1557" s="1" t="s">
        <v>5</v>
      </c>
    </row>
    <row r="1558" spans="1:3" x14ac:dyDescent="0.25">
      <c r="A1558" s="1" t="s">
        <v>3117</v>
      </c>
      <c r="B1558" s="1" t="s">
        <v>3118</v>
      </c>
      <c r="C1558" s="1" t="s">
        <v>5</v>
      </c>
    </row>
    <row r="1559" spans="1:3" x14ac:dyDescent="0.25">
      <c r="A1559" s="1" t="s">
        <v>3119</v>
      </c>
      <c r="B1559" s="1" t="s">
        <v>3120</v>
      </c>
      <c r="C1559" s="1" t="s">
        <v>5</v>
      </c>
    </row>
    <row r="1560" spans="1:3" x14ac:dyDescent="0.25">
      <c r="A1560" s="1" t="s">
        <v>3121</v>
      </c>
      <c r="B1560" s="1" t="s">
        <v>3122</v>
      </c>
      <c r="C1560" s="1" t="s">
        <v>5</v>
      </c>
    </row>
    <row r="1561" spans="1:3" x14ac:dyDescent="0.25">
      <c r="A1561" s="1" t="s">
        <v>3123</v>
      </c>
      <c r="B1561" s="1" t="s">
        <v>3124</v>
      </c>
      <c r="C1561" s="1" t="s">
        <v>5</v>
      </c>
    </row>
    <row r="1562" spans="1:3" x14ac:dyDescent="0.25">
      <c r="A1562" s="1" t="s">
        <v>3125</v>
      </c>
      <c r="B1562" s="1" t="s">
        <v>3126</v>
      </c>
      <c r="C1562" s="1" t="s">
        <v>5</v>
      </c>
    </row>
    <row r="1563" spans="1:3" x14ac:dyDescent="0.25">
      <c r="A1563" s="1" t="s">
        <v>3127</v>
      </c>
      <c r="B1563" s="1" t="s">
        <v>3128</v>
      </c>
      <c r="C1563" s="1" t="s">
        <v>5</v>
      </c>
    </row>
    <row r="1564" spans="1:3" x14ac:dyDescent="0.25">
      <c r="A1564" s="1" t="s">
        <v>3129</v>
      </c>
      <c r="B1564" s="1" t="s">
        <v>3130</v>
      </c>
      <c r="C1564" s="1" t="s">
        <v>5</v>
      </c>
    </row>
    <row r="1565" spans="1:3" x14ac:dyDescent="0.25">
      <c r="A1565" s="1" t="s">
        <v>3131</v>
      </c>
      <c r="B1565" s="1" t="s">
        <v>3132</v>
      </c>
      <c r="C1565" s="1" t="s">
        <v>5</v>
      </c>
    </row>
    <row r="1566" spans="1:3" x14ac:dyDescent="0.25">
      <c r="A1566" s="1" t="s">
        <v>3133</v>
      </c>
      <c r="B1566" s="1" t="s">
        <v>3134</v>
      </c>
      <c r="C1566" s="1" t="s">
        <v>5</v>
      </c>
    </row>
    <row r="1567" spans="1:3" x14ac:dyDescent="0.25">
      <c r="A1567" s="1" t="s">
        <v>3135</v>
      </c>
      <c r="B1567" s="1" t="s">
        <v>3136</v>
      </c>
      <c r="C1567" s="1" t="s">
        <v>5</v>
      </c>
    </row>
    <row r="1568" spans="1:3" x14ac:dyDescent="0.25">
      <c r="A1568" s="1" t="s">
        <v>3137</v>
      </c>
      <c r="B1568" s="1" t="s">
        <v>3138</v>
      </c>
      <c r="C1568" s="1" t="s">
        <v>5</v>
      </c>
    </row>
    <row r="1569" spans="1:3" x14ac:dyDescent="0.25">
      <c r="A1569" s="1" t="s">
        <v>3139</v>
      </c>
      <c r="B1569" s="1" t="s">
        <v>3140</v>
      </c>
      <c r="C1569" s="1" t="s">
        <v>5</v>
      </c>
    </row>
    <row r="1570" spans="1:3" x14ac:dyDescent="0.25">
      <c r="A1570" s="1" t="s">
        <v>3141</v>
      </c>
      <c r="B1570" s="1" t="s">
        <v>3142</v>
      </c>
      <c r="C1570" s="1" t="s">
        <v>5</v>
      </c>
    </row>
    <row r="1571" spans="1:3" x14ac:dyDescent="0.25">
      <c r="A1571" s="1" t="s">
        <v>3143</v>
      </c>
      <c r="B1571" s="1" t="s">
        <v>3144</v>
      </c>
      <c r="C1571" s="1" t="s">
        <v>5</v>
      </c>
    </row>
    <row r="1572" spans="1:3" x14ac:dyDescent="0.25">
      <c r="A1572" s="1" t="s">
        <v>3145</v>
      </c>
      <c r="B1572" s="1" t="s">
        <v>3146</v>
      </c>
      <c r="C1572" s="1" t="s">
        <v>5</v>
      </c>
    </row>
    <row r="1573" spans="1:3" x14ac:dyDescent="0.25">
      <c r="A1573" s="1" t="s">
        <v>3147</v>
      </c>
      <c r="B1573" s="1" t="s">
        <v>3148</v>
      </c>
      <c r="C1573" s="1" t="s">
        <v>5</v>
      </c>
    </row>
    <row r="1574" spans="1:3" x14ac:dyDescent="0.25">
      <c r="A1574" s="1" t="s">
        <v>3149</v>
      </c>
      <c r="B1574" s="1" t="s">
        <v>3150</v>
      </c>
      <c r="C1574" s="1" t="s">
        <v>5</v>
      </c>
    </row>
    <row r="1575" spans="1:3" x14ac:dyDescent="0.25">
      <c r="A1575" s="1" t="s">
        <v>3151</v>
      </c>
      <c r="B1575" s="1" t="s">
        <v>3152</v>
      </c>
      <c r="C1575" s="1" t="s">
        <v>5</v>
      </c>
    </row>
    <row r="1576" spans="1:3" x14ac:dyDescent="0.25">
      <c r="A1576" s="1" t="s">
        <v>3153</v>
      </c>
      <c r="B1576" s="1" t="s">
        <v>3154</v>
      </c>
      <c r="C1576" s="1" t="s">
        <v>5</v>
      </c>
    </row>
    <row r="1577" spans="1:3" x14ac:dyDescent="0.25">
      <c r="A1577" s="1" t="s">
        <v>3155</v>
      </c>
      <c r="B1577" s="1" t="s">
        <v>3156</v>
      </c>
      <c r="C1577" s="1" t="s">
        <v>5</v>
      </c>
    </row>
    <row r="1578" spans="1:3" x14ac:dyDescent="0.25">
      <c r="A1578" s="1" t="s">
        <v>3157</v>
      </c>
      <c r="B1578" s="1" t="s">
        <v>3158</v>
      </c>
      <c r="C1578" s="1" t="s">
        <v>5</v>
      </c>
    </row>
    <row r="1579" spans="1:3" x14ac:dyDescent="0.25">
      <c r="A1579" s="1" t="s">
        <v>3159</v>
      </c>
      <c r="B1579" s="1" t="s">
        <v>3160</v>
      </c>
      <c r="C1579" s="1" t="s">
        <v>5</v>
      </c>
    </row>
    <row r="1580" spans="1:3" x14ac:dyDescent="0.25">
      <c r="A1580" s="1" t="s">
        <v>3161</v>
      </c>
      <c r="B1580" s="1" t="s">
        <v>3162</v>
      </c>
      <c r="C1580" s="1" t="s">
        <v>5</v>
      </c>
    </row>
    <row r="1581" spans="1:3" x14ac:dyDescent="0.25">
      <c r="A1581" s="1" t="s">
        <v>3163</v>
      </c>
      <c r="B1581" s="1" t="s">
        <v>3164</v>
      </c>
      <c r="C1581" s="1" t="s">
        <v>5</v>
      </c>
    </row>
    <row r="1582" spans="1:3" x14ac:dyDescent="0.25">
      <c r="A1582" s="1" t="s">
        <v>3165</v>
      </c>
      <c r="B1582" s="1" t="s">
        <v>3166</v>
      </c>
      <c r="C1582" s="1" t="s">
        <v>5</v>
      </c>
    </row>
    <row r="1583" spans="1:3" x14ac:dyDescent="0.25">
      <c r="A1583" s="1" t="s">
        <v>3167</v>
      </c>
      <c r="B1583" s="1" t="s">
        <v>3168</v>
      </c>
      <c r="C1583" s="1" t="s">
        <v>5</v>
      </c>
    </row>
    <row r="1584" spans="1:3" x14ac:dyDescent="0.25">
      <c r="A1584" s="1" t="s">
        <v>3169</v>
      </c>
      <c r="B1584" s="1" t="s">
        <v>3170</v>
      </c>
      <c r="C1584" s="1" t="s">
        <v>5</v>
      </c>
    </row>
    <row r="1585" spans="1:3" x14ac:dyDescent="0.25">
      <c r="A1585" s="1" t="s">
        <v>3171</v>
      </c>
      <c r="B1585" s="1" t="s">
        <v>3172</v>
      </c>
      <c r="C1585" s="1" t="s">
        <v>5</v>
      </c>
    </row>
    <row r="1586" spans="1:3" x14ac:dyDescent="0.25">
      <c r="A1586" s="1" t="s">
        <v>3173</v>
      </c>
      <c r="B1586" s="1" t="s">
        <v>3174</v>
      </c>
      <c r="C1586" s="1" t="s">
        <v>5</v>
      </c>
    </row>
    <row r="1587" spans="1:3" x14ac:dyDescent="0.25">
      <c r="A1587" s="1" t="s">
        <v>3175</v>
      </c>
      <c r="B1587" s="1" t="s">
        <v>3176</v>
      </c>
      <c r="C1587" s="1" t="s">
        <v>5</v>
      </c>
    </row>
    <row r="1588" spans="1:3" x14ac:dyDescent="0.25">
      <c r="A1588" s="1" t="s">
        <v>3177</v>
      </c>
      <c r="B1588" s="1" t="s">
        <v>3178</v>
      </c>
      <c r="C1588" s="1" t="s">
        <v>5</v>
      </c>
    </row>
    <row r="1589" spans="1:3" x14ac:dyDescent="0.25">
      <c r="A1589" s="1" t="s">
        <v>3179</v>
      </c>
      <c r="B1589" s="1" t="s">
        <v>3180</v>
      </c>
      <c r="C1589" s="1" t="s">
        <v>5</v>
      </c>
    </row>
    <row r="1590" spans="1:3" x14ac:dyDescent="0.25">
      <c r="A1590" s="1" t="s">
        <v>3181</v>
      </c>
      <c r="B1590" s="1" t="s">
        <v>3182</v>
      </c>
      <c r="C1590" s="1" t="s">
        <v>5</v>
      </c>
    </row>
    <row r="1591" spans="1:3" x14ac:dyDescent="0.25">
      <c r="A1591" s="1" t="s">
        <v>3183</v>
      </c>
      <c r="B1591" s="1" t="s">
        <v>3184</v>
      </c>
      <c r="C1591" s="1" t="s">
        <v>5</v>
      </c>
    </row>
    <row r="1592" spans="1:3" x14ac:dyDescent="0.25">
      <c r="A1592" s="1" t="s">
        <v>3185</v>
      </c>
      <c r="B1592" s="1" t="s">
        <v>3186</v>
      </c>
      <c r="C1592" s="1" t="s">
        <v>5</v>
      </c>
    </row>
    <row r="1593" spans="1:3" x14ac:dyDescent="0.25">
      <c r="A1593" s="1" t="s">
        <v>3187</v>
      </c>
      <c r="B1593" s="1" t="s">
        <v>3188</v>
      </c>
      <c r="C1593" s="1" t="s">
        <v>5</v>
      </c>
    </row>
    <row r="1594" spans="1:3" x14ac:dyDescent="0.25">
      <c r="A1594" s="1" t="s">
        <v>3189</v>
      </c>
      <c r="B1594" s="1" t="s">
        <v>3190</v>
      </c>
      <c r="C1594" s="1" t="s">
        <v>5</v>
      </c>
    </row>
    <row r="1595" spans="1:3" x14ac:dyDescent="0.25">
      <c r="A1595" s="1" t="s">
        <v>3191</v>
      </c>
      <c r="B1595" s="1" t="s">
        <v>3192</v>
      </c>
      <c r="C1595" s="1" t="s">
        <v>5</v>
      </c>
    </row>
    <row r="1596" spans="1:3" x14ac:dyDescent="0.25">
      <c r="A1596" s="1" t="s">
        <v>3193</v>
      </c>
      <c r="B1596" s="1" t="s">
        <v>3194</v>
      </c>
      <c r="C1596" s="1" t="s">
        <v>5</v>
      </c>
    </row>
    <row r="1597" spans="1:3" x14ac:dyDescent="0.25">
      <c r="A1597" s="1" t="s">
        <v>3195</v>
      </c>
      <c r="B1597" s="1" t="s">
        <v>3196</v>
      </c>
      <c r="C1597" s="1" t="s">
        <v>5</v>
      </c>
    </row>
    <row r="1598" spans="1:3" x14ac:dyDescent="0.25">
      <c r="A1598" s="1" t="s">
        <v>3197</v>
      </c>
      <c r="B1598" s="1" t="s">
        <v>3198</v>
      </c>
      <c r="C1598" s="1" t="s">
        <v>5</v>
      </c>
    </row>
    <row r="1599" spans="1:3" x14ac:dyDescent="0.25">
      <c r="A1599" s="1" t="s">
        <v>3199</v>
      </c>
      <c r="B1599" s="1" t="s">
        <v>3200</v>
      </c>
      <c r="C1599" s="1" t="s">
        <v>5</v>
      </c>
    </row>
    <row r="1600" spans="1:3" x14ac:dyDescent="0.25">
      <c r="A1600" s="1" t="s">
        <v>3201</v>
      </c>
      <c r="B1600" s="1" t="s">
        <v>3202</v>
      </c>
      <c r="C1600" s="1" t="s">
        <v>5</v>
      </c>
    </row>
    <row r="1601" spans="1:3" x14ac:dyDescent="0.25">
      <c r="A1601" s="1" t="s">
        <v>3203</v>
      </c>
      <c r="B1601" s="1" t="s">
        <v>3204</v>
      </c>
      <c r="C1601" s="1" t="s">
        <v>5</v>
      </c>
    </row>
    <row r="1602" spans="1:3" x14ac:dyDescent="0.25">
      <c r="A1602" s="1" t="s">
        <v>3205</v>
      </c>
      <c r="B1602" s="1" t="s">
        <v>3206</v>
      </c>
      <c r="C1602" s="1" t="s">
        <v>5</v>
      </c>
    </row>
    <row r="1603" spans="1:3" x14ac:dyDescent="0.25">
      <c r="A1603" s="1" t="s">
        <v>3207</v>
      </c>
      <c r="B1603" s="1" t="s">
        <v>3208</v>
      </c>
      <c r="C1603" s="1" t="s">
        <v>5</v>
      </c>
    </row>
    <row r="1604" spans="1:3" x14ac:dyDescent="0.25">
      <c r="A1604" s="1" t="s">
        <v>3209</v>
      </c>
      <c r="B1604" s="1" t="s">
        <v>3210</v>
      </c>
      <c r="C1604" s="1" t="s">
        <v>5</v>
      </c>
    </row>
    <row r="1605" spans="1:3" x14ac:dyDescent="0.25">
      <c r="A1605" s="1" t="s">
        <v>3211</v>
      </c>
      <c r="B1605" s="1" t="s">
        <v>3212</v>
      </c>
      <c r="C1605" s="1" t="s">
        <v>5</v>
      </c>
    </row>
    <row r="1606" spans="1:3" x14ac:dyDescent="0.25">
      <c r="A1606" s="1" t="s">
        <v>3213</v>
      </c>
      <c r="B1606" s="1" t="s">
        <v>3214</v>
      </c>
      <c r="C1606" s="1" t="s">
        <v>5</v>
      </c>
    </row>
    <row r="1607" spans="1:3" x14ac:dyDescent="0.25">
      <c r="A1607" s="1" t="s">
        <v>3215</v>
      </c>
      <c r="B1607" s="1" t="s">
        <v>3216</v>
      </c>
      <c r="C1607" s="1" t="s">
        <v>5</v>
      </c>
    </row>
    <row r="1608" spans="1:3" x14ac:dyDescent="0.25">
      <c r="A1608" s="1" t="s">
        <v>3217</v>
      </c>
      <c r="B1608" s="1" t="s">
        <v>3218</v>
      </c>
      <c r="C1608" s="1" t="s">
        <v>5</v>
      </c>
    </row>
    <row r="1609" spans="1:3" x14ac:dyDescent="0.25">
      <c r="A1609" s="1" t="s">
        <v>3219</v>
      </c>
      <c r="B1609" s="1" t="s">
        <v>3220</v>
      </c>
      <c r="C1609" s="1" t="s">
        <v>5</v>
      </c>
    </row>
    <row r="1610" spans="1:3" x14ac:dyDescent="0.25">
      <c r="A1610" s="1" t="s">
        <v>3221</v>
      </c>
      <c r="B1610" s="1" t="s">
        <v>3222</v>
      </c>
      <c r="C1610" s="1" t="s">
        <v>5</v>
      </c>
    </row>
    <row r="1611" spans="1:3" x14ac:dyDescent="0.25">
      <c r="A1611" s="1" t="s">
        <v>3223</v>
      </c>
      <c r="B1611" s="1" t="s">
        <v>3224</v>
      </c>
      <c r="C1611" s="1" t="s">
        <v>5</v>
      </c>
    </row>
    <row r="1612" spans="1:3" x14ac:dyDescent="0.25">
      <c r="A1612" s="1" t="s">
        <v>3225</v>
      </c>
      <c r="B1612" s="1" t="s">
        <v>3226</v>
      </c>
      <c r="C1612" s="1" t="s">
        <v>5</v>
      </c>
    </row>
    <row r="1613" spans="1:3" x14ac:dyDescent="0.25">
      <c r="A1613" s="1" t="s">
        <v>3227</v>
      </c>
      <c r="B1613" s="1" t="s">
        <v>3228</v>
      </c>
      <c r="C1613" s="1" t="s">
        <v>5</v>
      </c>
    </row>
    <row r="1614" spans="1:3" x14ac:dyDescent="0.25">
      <c r="A1614" s="1" t="s">
        <v>3229</v>
      </c>
      <c r="B1614" s="1" t="s">
        <v>3230</v>
      </c>
      <c r="C1614" s="1" t="s">
        <v>5</v>
      </c>
    </row>
    <row r="1615" spans="1:3" x14ac:dyDescent="0.25">
      <c r="A1615" s="1" t="s">
        <v>3231</v>
      </c>
      <c r="B1615" s="1" t="s">
        <v>3232</v>
      </c>
      <c r="C1615" s="1" t="s">
        <v>5</v>
      </c>
    </row>
    <row r="1616" spans="1:3" x14ac:dyDescent="0.25">
      <c r="A1616" s="1" t="s">
        <v>3233</v>
      </c>
      <c r="B1616" s="1" t="s">
        <v>3234</v>
      </c>
      <c r="C1616" s="1" t="s">
        <v>5</v>
      </c>
    </row>
    <row r="1617" spans="1:3" x14ac:dyDescent="0.25">
      <c r="A1617" s="1" t="s">
        <v>3235</v>
      </c>
      <c r="B1617" s="1" t="s">
        <v>3236</v>
      </c>
      <c r="C1617" s="1" t="s">
        <v>5</v>
      </c>
    </row>
    <row r="1618" spans="1:3" x14ac:dyDescent="0.25">
      <c r="A1618" s="1" t="s">
        <v>3237</v>
      </c>
      <c r="B1618" s="1" t="s">
        <v>3238</v>
      </c>
      <c r="C1618" s="1" t="s">
        <v>5</v>
      </c>
    </row>
    <row r="1619" spans="1:3" x14ac:dyDescent="0.25">
      <c r="A1619" s="1" t="s">
        <v>3239</v>
      </c>
      <c r="B1619" s="1" t="s">
        <v>3240</v>
      </c>
      <c r="C1619" s="1" t="s">
        <v>5</v>
      </c>
    </row>
    <row r="1620" spans="1:3" x14ac:dyDescent="0.25">
      <c r="A1620" s="1" t="s">
        <v>3241</v>
      </c>
      <c r="B1620" s="1" t="s">
        <v>3242</v>
      </c>
      <c r="C1620" s="1" t="s">
        <v>5</v>
      </c>
    </row>
    <row r="1621" spans="1:3" x14ac:dyDescent="0.25">
      <c r="A1621" s="1" t="s">
        <v>3243</v>
      </c>
      <c r="B1621" s="1" t="s">
        <v>3244</v>
      </c>
      <c r="C1621" s="1" t="s">
        <v>5</v>
      </c>
    </row>
    <row r="1622" spans="1:3" x14ac:dyDescent="0.25">
      <c r="A1622" s="1" t="s">
        <v>3245</v>
      </c>
      <c r="B1622" s="1" t="s">
        <v>3246</v>
      </c>
      <c r="C1622" s="1" t="s">
        <v>5</v>
      </c>
    </row>
    <row r="1623" spans="1:3" x14ac:dyDescent="0.25">
      <c r="A1623" s="1" t="s">
        <v>3247</v>
      </c>
      <c r="B1623" s="1" t="s">
        <v>3248</v>
      </c>
      <c r="C1623" s="1" t="s">
        <v>5</v>
      </c>
    </row>
    <row r="1624" spans="1:3" x14ac:dyDescent="0.25">
      <c r="A1624" s="1" t="s">
        <v>3249</v>
      </c>
      <c r="B1624" s="1" t="s">
        <v>3250</v>
      </c>
      <c r="C1624" s="1" t="s">
        <v>5</v>
      </c>
    </row>
    <row r="1625" spans="1:3" x14ac:dyDescent="0.25">
      <c r="A1625" s="1" t="s">
        <v>3251</v>
      </c>
      <c r="B1625" s="1" t="s">
        <v>3252</v>
      </c>
      <c r="C1625" s="1" t="s">
        <v>5</v>
      </c>
    </row>
    <row r="1626" spans="1:3" x14ac:dyDescent="0.25">
      <c r="A1626" s="1" t="s">
        <v>3253</v>
      </c>
      <c r="B1626" s="1" t="s">
        <v>3254</v>
      </c>
      <c r="C1626" s="1" t="s">
        <v>5</v>
      </c>
    </row>
    <row r="1627" spans="1:3" x14ac:dyDescent="0.25">
      <c r="A1627" s="1" t="s">
        <v>3255</v>
      </c>
      <c r="B1627" s="1" t="s">
        <v>3256</v>
      </c>
      <c r="C1627" s="1" t="s">
        <v>5</v>
      </c>
    </row>
    <row r="1628" spans="1:3" x14ac:dyDescent="0.25">
      <c r="A1628" s="1" t="s">
        <v>3257</v>
      </c>
      <c r="B1628" s="1" t="s">
        <v>3258</v>
      </c>
      <c r="C1628" s="1" t="s">
        <v>5</v>
      </c>
    </row>
    <row r="1629" spans="1:3" x14ac:dyDescent="0.25">
      <c r="A1629" s="1" t="s">
        <v>3259</v>
      </c>
      <c r="B1629" s="1" t="s">
        <v>3260</v>
      </c>
      <c r="C1629" s="1" t="s">
        <v>5</v>
      </c>
    </row>
    <row r="1630" spans="1:3" x14ac:dyDescent="0.25">
      <c r="A1630" s="1" t="s">
        <v>3261</v>
      </c>
      <c r="B1630" s="1" t="s">
        <v>3262</v>
      </c>
      <c r="C1630" s="1" t="s">
        <v>5</v>
      </c>
    </row>
    <row r="1631" spans="1:3" x14ac:dyDescent="0.25">
      <c r="A1631" s="1" t="s">
        <v>3263</v>
      </c>
      <c r="B1631" s="1" t="s">
        <v>3264</v>
      </c>
      <c r="C1631" s="1" t="s">
        <v>5</v>
      </c>
    </row>
    <row r="1632" spans="1:3" x14ac:dyDescent="0.25">
      <c r="A1632" s="1" t="s">
        <v>3265</v>
      </c>
      <c r="B1632" s="1" t="s">
        <v>3266</v>
      </c>
      <c r="C1632" s="1" t="s">
        <v>5</v>
      </c>
    </row>
    <row r="1633" spans="1:3" x14ac:dyDescent="0.25">
      <c r="A1633" s="1" t="s">
        <v>3267</v>
      </c>
      <c r="B1633" s="1" t="s">
        <v>3268</v>
      </c>
      <c r="C1633" s="1" t="s">
        <v>5</v>
      </c>
    </row>
    <row r="1634" spans="1:3" x14ac:dyDescent="0.25">
      <c r="A1634" s="1" t="s">
        <v>3269</v>
      </c>
      <c r="B1634" s="1" t="s">
        <v>3270</v>
      </c>
      <c r="C1634" s="1" t="s">
        <v>5</v>
      </c>
    </row>
    <row r="1635" spans="1:3" x14ac:dyDescent="0.25">
      <c r="A1635" s="1" t="s">
        <v>3271</v>
      </c>
      <c r="B1635" s="1" t="s">
        <v>3272</v>
      </c>
      <c r="C1635" s="1" t="s">
        <v>5</v>
      </c>
    </row>
    <row r="1636" spans="1:3" x14ac:dyDescent="0.25">
      <c r="A1636" s="1" t="s">
        <v>3273</v>
      </c>
      <c r="B1636" s="1" t="s">
        <v>3274</v>
      </c>
      <c r="C1636" s="1" t="s">
        <v>5</v>
      </c>
    </row>
    <row r="1637" spans="1:3" x14ac:dyDescent="0.25">
      <c r="A1637" s="1" t="s">
        <v>3275</v>
      </c>
      <c r="B1637" s="1" t="s">
        <v>3276</v>
      </c>
      <c r="C1637" s="1" t="s">
        <v>5</v>
      </c>
    </row>
    <row r="1638" spans="1:3" x14ac:dyDescent="0.25">
      <c r="A1638" s="1" t="s">
        <v>3277</v>
      </c>
      <c r="B1638" s="1" t="s">
        <v>3278</v>
      </c>
      <c r="C1638" s="1" t="s">
        <v>5</v>
      </c>
    </row>
    <row r="1639" spans="1:3" x14ac:dyDescent="0.25">
      <c r="A1639" s="1" t="s">
        <v>3279</v>
      </c>
      <c r="B1639" s="1" t="s">
        <v>3280</v>
      </c>
      <c r="C1639" s="1" t="s">
        <v>5</v>
      </c>
    </row>
    <row r="1640" spans="1:3" x14ac:dyDescent="0.25">
      <c r="A1640" s="1" t="s">
        <v>3281</v>
      </c>
      <c r="B1640" s="1" t="s">
        <v>3282</v>
      </c>
      <c r="C1640" s="1" t="s">
        <v>5</v>
      </c>
    </row>
    <row r="1641" spans="1:3" x14ac:dyDescent="0.25">
      <c r="A1641" s="1" t="s">
        <v>3283</v>
      </c>
      <c r="B1641" s="1" t="s">
        <v>3284</v>
      </c>
      <c r="C1641" s="1" t="s">
        <v>5</v>
      </c>
    </row>
    <row r="1642" spans="1:3" x14ac:dyDescent="0.25">
      <c r="A1642" s="1" t="s">
        <v>3285</v>
      </c>
      <c r="B1642" s="1" t="s">
        <v>3286</v>
      </c>
      <c r="C1642" s="1" t="s">
        <v>5</v>
      </c>
    </row>
    <row r="1643" spans="1:3" x14ac:dyDescent="0.25">
      <c r="A1643" s="1" t="s">
        <v>3287</v>
      </c>
      <c r="B1643" s="1" t="s">
        <v>3288</v>
      </c>
      <c r="C1643" s="1" t="s">
        <v>5</v>
      </c>
    </row>
    <row r="1644" spans="1:3" x14ac:dyDescent="0.25">
      <c r="A1644" s="1" t="s">
        <v>3289</v>
      </c>
      <c r="B1644" s="1" t="s">
        <v>3290</v>
      </c>
      <c r="C1644" s="1" t="s">
        <v>5</v>
      </c>
    </row>
    <row r="1645" spans="1:3" x14ac:dyDescent="0.25">
      <c r="A1645" s="1" t="s">
        <v>3291</v>
      </c>
      <c r="B1645" s="1" t="s">
        <v>3292</v>
      </c>
      <c r="C1645" s="1" t="s">
        <v>5</v>
      </c>
    </row>
    <row r="1646" spans="1:3" x14ac:dyDescent="0.25">
      <c r="A1646" s="1" t="s">
        <v>3293</v>
      </c>
      <c r="B1646" s="1" t="s">
        <v>3294</v>
      </c>
      <c r="C1646" s="1" t="s">
        <v>5</v>
      </c>
    </row>
    <row r="1647" spans="1:3" x14ac:dyDescent="0.25">
      <c r="A1647" s="1" t="s">
        <v>3295</v>
      </c>
      <c r="B1647" s="1" t="s">
        <v>3296</v>
      </c>
      <c r="C1647" s="1" t="s">
        <v>5</v>
      </c>
    </row>
    <row r="1648" spans="1:3" x14ac:dyDescent="0.25">
      <c r="A1648" s="1" t="s">
        <v>3297</v>
      </c>
      <c r="B1648" s="1" t="s">
        <v>3298</v>
      </c>
      <c r="C1648" s="1" t="s">
        <v>5</v>
      </c>
    </row>
    <row r="1649" spans="1:3" x14ac:dyDescent="0.25">
      <c r="A1649" s="1" t="s">
        <v>3299</v>
      </c>
      <c r="B1649" s="1" t="s">
        <v>3300</v>
      </c>
      <c r="C1649" s="1" t="s">
        <v>5</v>
      </c>
    </row>
    <row r="1650" spans="1:3" x14ac:dyDescent="0.25">
      <c r="A1650" s="1" t="s">
        <v>3301</v>
      </c>
      <c r="B1650" s="1" t="s">
        <v>3302</v>
      </c>
      <c r="C1650" s="1" t="s">
        <v>5</v>
      </c>
    </row>
    <row r="1651" spans="1:3" x14ac:dyDescent="0.25">
      <c r="A1651" s="1" t="s">
        <v>3303</v>
      </c>
      <c r="B1651" s="1" t="s">
        <v>3304</v>
      </c>
      <c r="C1651" s="1" t="s">
        <v>5</v>
      </c>
    </row>
    <row r="1652" spans="1:3" x14ac:dyDescent="0.25">
      <c r="A1652" s="1" t="s">
        <v>3305</v>
      </c>
      <c r="B1652" s="1" t="s">
        <v>3306</v>
      </c>
      <c r="C1652" s="1" t="s">
        <v>5</v>
      </c>
    </row>
    <row r="1653" spans="1:3" x14ac:dyDescent="0.25">
      <c r="A1653" s="1" t="s">
        <v>3307</v>
      </c>
      <c r="B1653" s="1" t="s">
        <v>3308</v>
      </c>
      <c r="C1653" s="1" t="s">
        <v>5</v>
      </c>
    </row>
    <row r="1654" spans="1:3" x14ac:dyDescent="0.25">
      <c r="A1654" s="1" t="s">
        <v>3309</v>
      </c>
      <c r="B1654" s="1" t="s">
        <v>3310</v>
      </c>
      <c r="C1654" s="1" t="s">
        <v>5</v>
      </c>
    </row>
    <row r="1655" spans="1:3" x14ac:dyDescent="0.25">
      <c r="A1655" s="1" t="s">
        <v>3311</v>
      </c>
      <c r="B1655" s="1" t="s">
        <v>3312</v>
      </c>
      <c r="C1655" s="1" t="s">
        <v>5</v>
      </c>
    </row>
    <row r="1656" spans="1:3" x14ac:dyDescent="0.25">
      <c r="A1656" s="1" t="s">
        <v>3313</v>
      </c>
      <c r="B1656" s="1" t="s">
        <v>3314</v>
      </c>
      <c r="C1656" s="1" t="s">
        <v>5</v>
      </c>
    </row>
    <row r="1657" spans="1:3" x14ac:dyDescent="0.25">
      <c r="A1657" s="1" t="s">
        <v>3315</v>
      </c>
      <c r="B1657" s="1" t="s">
        <v>3316</v>
      </c>
      <c r="C1657" s="1" t="s">
        <v>5</v>
      </c>
    </row>
    <row r="1658" spans="1:3" x14ac:dyDescent="0.25">
      <c r="A1658" s="1" t="s">
        <v>3317</v>
      </c>
      <c r="B1658" s="1" t="s">
        <v>3318</v>
      </c>
      <c r="C1658" s="1" t="s">
        <v>5</v>
      </c>
    </row>
    <row r="1659" spans="1:3" x14ac:dyDescent="0.25">
      <c r="A1659" s="1" t="s">
        <v>3319</v>
      </c>
      <c r="B1659" s="1" t="s">
        <v>3320</v>
      </c>
      <c r="C1659" s="1" t="s">
        <v>5</v>
      </c>
    </row>
    <row r="1660" spans="1:3" x14ac:dyDescent="0.25">
      <c r="A1660" s="1" t="s">
        <v>3321</v>
      </c>
      <c r="B1660" s="1" t="s">
        <v>3322</v>
      </c>
      <c r="C1660" s="1" t="s">
        <v>5</v>
      </c>
    </row>
    <row r="1661" spans="1:3" x14ac:dyDescent="0.25">
      <c r="A1661" s="1" t="s">
        <v>3323</v>
      </c>
      <c r="B1661" s="1" t="s">
        <v>3324</v>
      </c>
      <c r="C1661" s="1" t="s">
        <v>5</v>
      </c>
    </row>
    <row r="1662" spans="1:3" x14ac:dyDescent="0.25">
      <c r="A1662" s="1" t="s">
        <v>3325</v>
      </c>
      <c r="B1662" s="1" t="s">
        <v>3326</v>
      </c>
      <c r="C1662" s="1" t="s">
        <v>5</v>
      </c>
    </row>
    <row r="1663" spans="1:3" x14ac:dyDescent="0.25">
      <c r="A1663" s="1" t="s">
        <v>3327</v>
      </c>
      <c r="B1663" s="1" t="s">
        <v>3328</v>
      </c>
      <c r="C1663" s="1" t="s">
        <v>5</v>
      </c>
    </row>
    <row r="1664" spans="1:3" x14ac:dyDescent="0.25">
      <c r="A1664" s="1" t="s">
        <v>3329</v>
      </c>
      <c r="B1664" s="1" t="s">
        <v>3330</v>
      </c>
      <c r="C1664" s="1" t="s">
        <v>5</v>
      </c>
    </row>
    <row r="1665" spans="1:3" x14ac:dyDescent="0.25">
      <c r="A1665" s="1" t="s">
        <v>3331</v>
      </c>
      <c r="B1665" s="1" t="s">
        <v>3332</v>
      </c>
      <c r="C1665" s="1" t="s">
        <v>5</v>
      </c>
    </row>
    <row r="1666" spans="1:3" x14ac:dyDescent="0.25">
      <c r="A1666" s="1" t="s">
        <v>3333</v>
      </c>
      <c r="B1666" s="1" t="s">
        <v>3334</v>
      </c>
      <c r="C1666" s="1" t="s">
        <v>5</v>
      </c>
    </row>
    <row r="1667" spans="1:3" x14ac:dyDescent="0.25">
      <c r="A1667" s="1" t="s">
        <v>3335</v>
      </c>
      <c r="B1667" s="1" t="s">
        <v>3336</v>
      </c>
      <c r="C1667" s="1" t="s">
        <v>5</v>
      </c>
    </row>
    <row r="1668" spans="1:3" x14ac:dyDescent="0.25">
      <c r="A1668" s="1" t="s">
        <v>3337</v>
      </c>
      <c r="B1668" s="1" t="s">
        <v>3338</v>
      </c>
      <c r="C1668" s="1" t="s">
        <v>5</v>
      </c>
    </row>
    <row r="1669" spans="1:3" x14ac:dyDescent="0.25">
      <c r="A1669" s="1" t="s">
        <v>3339</v>
      </c>
      <c r="B1669" s="1" t="s">
        <v>3340</v>
      </c>
      <c r="C1669" s="1" t="s">
        <v>5</v>
      </c>
    </row>
    <row r="1670" spans="1:3" x14ac:dyDescent="0.25">
      <c r="A1670" s="1" t="s">
        <v>3341</v>
      </c>
      <c r="B1670" s="1" t="s">
        <v>3342</v>
      </c>
      <c r="C1670" s="1" t="s">
        <v>5</v>
      </c>
    </row>
    <row r="1671" spans="1:3" x14ac:dyDescent="0.25">
      <c r="A1671" s="1" t="s">
        <v>3343</v>
      </c>
      <c r="B1671" s="1" t="s">
        <v>3344</v>
      </c>
      <c r="C1671" s="1" t="s">
        <v>5</v>
      </c>
    </row>
    <row r="1672" spans="1:3" x14ac:dyDescent="0.25">
      <c r="A1672" s="1" t="s">
        <v>3345</v>
      </c>
      <c r="B1672" s="1" t="s">
        <v>3346</v>
      </c>
      <c r="C1672" s="1" t="s">
        <v>5</v>
      </c>
    </row>
    <row r="1673" spans="1:3" x14ac:dyDescent="0.25">
      <c r="A1673" s="1" t="s">
        <v>3347</v>
      </c>
      <c r="B1673" s="1" t="s">
        <v>3348</v>
      </c>
      <c r="C1673" s="1" t="s">
        <v>5</v>
      </c>
    </row>
    <row r="1674" spans="1:3" x14ac:dyDescent="0.25">
      <c r="A1674" s="1" t="s">
        <v>3349</v>
      </c>
      <c r="B1674" s="1" t="s">
        <v>3350</v>
      </c>
      <c r="C1674" s="1" t="s">
        <v>5</v>
      </c>
    </row>
    <row r="1675" spans="1:3" x14ac:dyDescent="0.25">
      <c r="A1675" s="1" t="s">
        <v>3351</v>
      </c>
      <c r="B1675" s="1" t="s">
        <v>3352</v>
      </c>
      <c r="C1675" s="1" t="s">
        <v>5</v>
      </c>
    </row>
    <row r="1676" spans="1:3" x14ac:dyDescent="0.25">
      <c r="A1676" s="1" t="s">
        <v>3353</v>
      </c>
      <c r="B1676" s="1" t="s">
        <v>3354</v>
      </c>
      <c r="C1676" s="1" t="s">
        <v>5</v>
      </c>
    </row>
    <row r="1677" spans="1:3" x14ac:dyDescent="0.25">
      <c r="A1677" s="1" t="s">
        <v>3355</v>
      </c>
      <c r="B1677" s="1" t="s">
        <v>3356</v>
      </c>
      <c r="C1677" s="1" t="s">
        <v>5</v>
      </c>
    </row>
    <row r="1678" spans="1:3" x14ac:dyDescent="0.25">
      <c r="A1678" s="1" t="s">
        <v>3357</v>
      </c>
      <c r="B1678" s="1" t="s">
        <v>3358</v>
      </c>
      <c r="C1678" s="1" t="s">
        <v>5</v>
      </c>
    </row>
    <row r="1679" spans="1:3" x14ac:dyDescent="0.25">
      <c r="A1679" s="1" t="s">
        <v>3359</v>
      </c>
      <c r="B1679" s="1" t="s">
        <v>3360</v>
      </c>
      <c r="C1679" s="1" t="s">
        <v>5</v>
      </c>
    </row>
    <row r="1680" spans="1:3" x14ac:dyDescent="0.25">
      <c r="A1680" s="1" t="s">
        <v>3361</v>
      </c>
      <c r="B1680" s="1" t="s">
        <v>3362</v>
      </c>
      <c r="C1680" s="1" t="s">
        <v>5</v>
      </c>
    </row>
    <row r="1681" spans="1:3" x14ac:dyDescent="0.25">
      <c r="A1681" s="1" t="s">
        <v>3363</v>
      </c>
      <c r="B1681" s="1" t="s">
        <v>3364</v>
      </c>
      <c r="C1681" s="1" t="s">
        <v>5</v>
      </c>
    </row>
    <row r="1682" spans="1:3" x14ac:dyDescent="0.25">
      <c r="A1682" s="1" t="s">
        <v>3365</v>
      </c>
      <c r="B1682" s="1" t="s">
        <v>3366</v>
      </c>
      <c r="C1682" s="1" t="s">
        <v>5</v>
      </c>
    </row>
    <row r="1683" spans="1:3" x14ac:dyDescent="0.25">
      <c r="A1683" s="1" t="s">
        <v>3367</v>
      </c>
      <c r="B1683" s="1" t="s">
        <v>3368</v>
      </c>
      <c r="C1683" s="1" t="s">
        <v>5</v>
      </c>
    </row>
    <row r="1684" spans="1:3" x14ac:dyDescent="0.25">
      <c r="A1684" s="1" t="s">
        <v>3369</v>
      </c>
      <c r="B1684" s="1" t="s">
        <v>3370</v>
      </c>
      <c r="C1684" s="1" t="s">
        <v>5</v>
      </c>
    </row>
    <row r="1685" spans="1:3" x14ac:dyDescent="0.25">
      <c r="A1685" s="1" t="s">
        <v>3371</v>
      </c>
      <c r="B1685" s="1" t="s">
        <v>3372</v>
      </c>
      <c r="C1685" s="1" t="s">
        <v>5</v>
      </c>
    </row>
    <row r="1686" spans="1:3" x14ac:dyDescent="0.25">
      <c r="A1686" s="1" t="s">
        <v>3373</v>
      </c>
      <c r="B1686" s="1" t="s">
        <v>3374</v>
      </c>
      <c r="C1686" s="1" t="s">
        <v>5</v>
      </c>
    </row>
    <row r="1687" spans="1:3" x14ac:dyDescent="0.25">
      <c r="A1687" s="1" t="s">
        <v>3375</v>
      </c>
      <c r="B1687" s="1" t="s">
        <v>3376</v>
      </c>
      <c r="C1687" s="1" t="s">
        <v>5</v>
      </c>
    </row>
    <row r="1688" spans="1:3" x14ac:dyDescent="0.25">
      <c r="A1688" s="1" t="s">
        <v>3377</v>
      </c>
      <c r="B1688" s="1" t="s">
        <v>3378</v>
      </c>
      <c r="C1688" s="1" t="s">
        <v>5</v>
      </c>
    </row>
    <row r="1689" spans="1:3" x14ac:dyDescent="0.25">
      <c r="A1689" s="1" t="s">
        <v>3379</v>
      </c>
      <c r="B1689" s="1" t="s">
        <v>3380</v>
      </c>
      <c r="C1689" s="1" t="s">
        <v>5</v>
      </c>
    </row>
    <row r="1690" spans="1:3" x14ac:dyDescent="0.25">
      <c r="A1690" s="1" t="s">
        <v>3381</v>
      </c>
      <c r="B1690" s="1" t="s">
        <v>3382</v>
      </c>
      <c r="C1690" s="1" t="s">
        <v>5</v>
      </c>
    </row>
    <row r="1691" spans="1:3" x14ac:dyDescent="0.25">
      <c r="A1691" s="1" t="s">
        <v>3383</v>
      </c>
      <c r="B1691" s="1" t="s">
        <v>3384</v>
      </c>
      <c r="C1691" s="1" t="s">
        <v>5</v>
      </c>
    </row>
    <row r="1692" spans="1:3" x14ac:dyDescent="0.25">
      <c r="A1692" s="1" t="s">
        <v>3385</v>
      </c>
      <c r="B1692" s="1" t="s">
        <v>3386</v>
      </c>
      <c r="C1692" s="1" t="s">
        <v>5</v>
      </c>
    </row>
    <row r="1693" spans="1:3" x14ac:dyDescent="0.25">
      <c r="A1693" s="1" t="s">
        <v>3387</v>
      </c>
      <c r="B1693" s="1" t="s">
        <v>3388</v>
      </c>
      <c r="C1693" s="1" t="s">
        <v>5</v>
      </c>
    </row>
    <row r="1694" spans="1:3" x14ac:dyDescent="0.25">
      <c r="A1694" s="1" t="s">
        <v>3389</v>
      </c>
      <c r="B1694" s="1" t="s">
        <v>3390</v>
      </c>
      <c r="C1694" s="1" t="s">
        <v>5</v>
      </c>
    </row>
    <row r="1695" spans="1:3" x14ac:dyDescent="0.25">
      <c r="A1695" s="1" t="s">
        <v>3391</v>
      </c>
      <c r="B1695" s="1" t="s">
        <v>3392</v>
      </c>
      <c r="C1695" s="1" t="s">
        <v>5</v>
      </c>
    </row>
    <row r="1696" spans="1:3" x14ac:dyDescent="0.25">
      <c r="A1696" s="1" t="s">
        <v>3393</v>
      </c>
      <c r="B1696" s="1" t="s">
        <v>3394</v>
      </c>
      <c r="C1696" s="1" t="s">
        <v>5</v>
      </c>
    </row>
    <row r="1697" spans="1:3" x14ac:dyDescent="0.25">
      <c r="A1697" s="1" t="s">
        <v>3395</v>
      </c>
      <c r="B1697" s="1" t="s">
        <v>3396</v>
      </c>
      <c r="C1697" s="1" t="s">
        <v>5</v>
      </c>
    </row>
    <row r="1698" spans="1:3" x14ac:dyDescent="0.25">
      <c r="A1698" s="1" t="s">
        <v>3397</v>
      </c>
      <c r="B1698" s="1" t="s">
        <v>3398</v>
      </c>
      <c r="C1698" s="1" t="s">
        <v>5</v>
      </c>
    </row>
    <row r="1699" spans="1:3" x14ac:dyDescent="0.25">
      <c r="A1699" s="1" t="s">
        <v>3399</v>
      </c>
      <c r="B1699" s="1" t="s">
        <v>3400</v>
      </c>
      <c r="C1699" s="1" t="s">
        <v>5</v>
      </c>
    </row>
    <row r="1700" spans="1:3" x14ac:dyDescent="0.25">
      <c r="A1700" s="1" t="s">
        <v>3401</v>
      </c>
      <c r="B1700" s="1" t="s">
        <v>3402</v>
      </c>
      <c r="C1700" s="1" t="s">
        <v>5</v>
      </c>
    </row>
    <row r="1701" spans="1:3" x14ac:dyDescent="0.25">
      <c r="A1701" s="1" t="s">
        <v>3403</v>
      </c>
      <c r="B1701" s="1" t="s">
        <v>3404</v>
      </c>
      <c r="C1701" s="1" t="s">
        <v>5</v>
      </c>
    </row>
    <row r="1702" spans="1:3" x14ac:dyDescent="0.25">
      <c r="A1702" s="1" t="s">
        <v>3405</v>
      </c>
      <c r="B1702" s="1" t="s">
        <v>3406</v>
      </c>
      <c r="C1702" s="1" t="s">
        <v>5</v>
      </c>
    </row>
    <row r="1703" spans="1:3" x14ac:dyDescent="0.25">
      <c r="A1703" s="1" t="s">
        <v>3407</v>
      </c>
      <c r="B1703" s="1" t="s">
        <v>3408</v>
      </c>
      <c r="C1703" s="1" t="s">
        <v>5</v>
      </c>
    </row>
    <row r="1704" spans="1:3" x14ac:dyDescent="0.25">
      <c r="A1704" s="1" t="s">
        <v>3409</v>
      </c>
      <c r="B1704" s="1" t="s">
        <v>3410</v>
      </c>
      <c r="C1704" s="1" t="s">
        <v>5</v>
      </c>
    </row>
    <row r="1705" spans="1:3" x14ac:dyDescent="0.25">
      <c r="A1705" s="1" t="s">
        <v>3411</v>
      </c>
      <c r="B1705" s="1" t="s">
        <v>3412</v>
      </c>
      <c r="C1705" s="1" t="s">
        <v>5</v>
      </c>
    </row>
    <row r="1706" spans="1:3" x14ac:dyDescent="0.25">
      <c r="A1706" s="1" t="s">
        <v>3413</v>
      </c>
      <c r="B1706" s="1" t="s">
        <v>3414</v>
      </c>
      <c r="C1706" s="1" t="s">
        <v>5</v>
      </c>
    </row>
    <row r="1707" spans="1:3" x14ac:dyDescent="0.25">
      <c r="A1707" s="1" t="s">
        <v>3415</v>
      </c>
      <c r="B1707" s="1" t="s">
        <v>3416</v>
      </c>
      <c r="C1707" s="1" t="s">
        <v>5</v>
      </c>
    </row>
    <row r="1708" spans="1:3" x14ac:dyDescent="0.25">
      <c r="A1708" s="1" t="s">
        <v>3417</v>
      </c>
      <c r="B1708" s="1" t="s">
        <v>3418</v>
      </c>
      <c r="C1708" s="1" t="s">
        <v>5</v>
      </c>
    </row>
    <row r="1709" spans="1:3" x14ac:dyDescent="0.25">
      <c r="A1709" s="1" t="s">
        <v>3419</v>
      </c>
      <c r="B1709" s="1" t="s">
        <v>3420</v>
      </c>
      <c r="C1709" s="1" t="s">
        <v>5</v>
      </c>
    </row>
    <row r="1710" spans="1:3" x14ac:dyDescent="0.25">
      <c r="A1710" s="1" t="s">
        <v>3421</v>
      </c>
      <c r="B1710" s="1" t="s">
        <v>3422</v>
      </c>
      <c r="C1710" s="1" t="s">
        <v>5</v>
      </c>
    </row>
    <row r="1711" spans="1:3" x14ac:dyDescent="0.25">
      <c r="A1711" s="1" t="s">
        <v>3423</v>
      </c>
      <c r="B1711" s="1" t="s">
        <v>3424</v>
      </c>
      <c r="C1711" s="1" t="s">
        <v>5</v>
      </c>
    </row>
    <row r="1712" spans="1:3" x14ac:dyDescent="0.25">
      <c r="A1712" s="1" t="s">
        <v>3425</v>
      </c>
      <c r="B1712" s="1" t="s">
        <v>3426</v>
      </c>
      <c r="C1712" s="1" t="s">
        <v>5</v>
      </c>
    </row>
    <row r="1713" spans="1:3" x14ac:dyDescent="0.25">
      <c r="A1713" s="1" t="s">
        <v>3427</v>
      </c>
      <c r="B1713" s="1" t="s">
        <v>3428</v>
      </c>
      <c r="C1713" s="1" t="s">
        <v>5</v>
      </c>
    </row>
    <row r="1714" spans="1:3" x14ac:dyDescent="0.25">
      <c r="A1714" s="1" t="s">
        <v>3429</v>
      </c>
      <c r="B1714" s="1" t="s">
        <v>3430</v>
      </c>
      <c r="C1714" s="1" t="s">
        <v>5</v>
      </c>
    </row>
    <row r="1715" spans="1:3" x14ac:dyDescent="0.25">
      <c r="A1715" s="1" t="s">
        <v>3431</v>
      </c>
      <c r="B1715" s="1" t="s">
        <v>3432</v>
      </c>
      <c r="C1715" s="1" t="s">
        <v>5</v>
      </c>
    </row>
    <row r="1716" spans="1:3" x14ac:dyDescent="0.25">
      <c r="A1716" s="1" t="s">
        <v>3433</v>
      </c>
      <c r="B1716" s="1" t="s">
        <v>3434</v>
      </c>
      <c r="C1716" s="1" t="s">
        <v>5</v>
      </c>
    </row>
    <row r="1717" spans="1:3" x14ac:dyDescent="0.25">
      <c r="A1717" s="1" t="s">
        <v>3435</v>
      </c>
      <c r="B1717" s="1" t="s">
        <v>3436</v>
      </c>
      <c r="C1717" s="1" t="s">
        <v>5</v>
      </c>
    </row>
    <row r="1718" spans="1:3" x14ac:dyDescent="0.25">
      <c r="A1718" s="1" t="s">
        <v>3437</v>
      </c>
      <c r="B1718" s="1" t="s">
        <v>3438</v>
      </c>
      <c r="C1718" s="1" t="s">
        <v>5</v>
      </c>
    </row>
    <row r="1719" spans="1:3" x14ac:dyDescent="0.25">
      <c r="A1719" s="1" t="s">
        <v>3439</v>
      </c>
      <c r="B1719" s="1" t="s">
        <v>3440</v>
      </c>
      <c r="C1719" s="1" t="s">
        <v>5</v>
      </c>
    </row>
    <row r="1720" spans="1:3" x14ac:dyDescent="0.25">
      <c r="A1720" s="1" t="s">
        <v>3441</v>
      </c>
      <c r="B1720" s="1" t="s">
        <v>3442</v>
      </c>
      <c r="C1720" s="1" t="s">
        <v>5</v>
      </c>
    </row>
    <row r="1721" spans="1:3" x14ac:dyDescent="0.25">
      <c r="A1721" s="1" t="s">
        <v>3443</v>
      </c>
      <c r="B1721" s="1" t="s">
        <v>3444</v>
      </c>
      <c r="C1721" s="1" t="s">
        <v>5</v>
      </c>
    </row>
    <row r="1722" spans="1:3" x14ac:dyDescent="0.25">
      <c r="A1722" s="1" t="s">
        <v>3445</v>
      </c>
      <c r="B1722" s="1" t="s">
        <v>3446</v>
      </c>
      <c r="C1722" s="1" t="s">
        <v>5</v>
      </c>
    </row>
    <row r="1723" spans="1:3" x14ac:dyDescent="0.25">
      <c r="A1723" s="1" t="s">
        <v>3447</v>
      </c>
      <c r="B1723" s="1" t="s">
        <v>3448</v>
      </c>
      <c r="C1723" s="1" t="s">
        <v>5</v>
      </c>
    </row>
    <row r="1724" spans="1:3" x14ac:dyDescent="0.25">
      <c r="A1724" s="1" t="s">
        <v>3449</v>
      </c>
      <c r="B1724" s="1" t="s">
        <v>3450</v>
      </c>
      <c r="C1724" s="1" t="s">
        <v>5</v>
      </c>
    </row>
    <row r="1725" spans="1:3" x14ac:dyDescent="0.25">
      <c r="A1725" s="1" t="s">
        <v>3451</v>
      </c>
      <c r="B1725" s="1" t="s">
        <v>3452</v>
      </c>
      <c r="C1725" s="1" t="s">
        <v>5</v>
      </c>
    </row>
    <row r="1726" spans="1:3" x14ac:dyDescent="0.25">
      <c r="A1726" s="1" t="s">
        <v>3453</v>
      </c>
      <c r="B1726" s="1" t="s">
        <v>3454</v>
      </c>
      <c r="C1726" s="1" t="s">
        <v>5</v>
      </c>
    </row>
    <row r="1727" spans="1:3" x14ac:dyDescent="0.25">
      <c r="A1727" s="1" t="s">
        <v>3455</v>
      </c>
      <c r="B1727" s="1" t="s">
        <v>3456</v>
      </c>
      <c r="C1727" s="1" t="s">
        <v>5</v>
      </c>
    </row>
    <row r="1728" spans="1:3" x14ac:dyDescent="0.25">
      <c r="A1728" s="1" t="s">
        <v>3457</v>
      </c>
      <c r="B1728" s="1" t="s">
        <v>3458</v>
      </c>
      <c r="C1728" s="1" t="s">
        <v>5</v>
      </c>
    </row>
    <row r="1729" spans="1:3" x14ac:dyDescent="0.25">
      <c r="A1729" s="1" t="s">
        <v>3459</v>
      </c>
      <c r="B1729" s="1" t="s">
        <v>3460</v>
      </c>
      <c r="C1729" s="1" t="s">
        <v>5</v>
      </c>
    </row>
    <row r="1730" spans="1:3" x14ac:dyDescent="0.25">
      <c r="A1730" s="1" t="s">
        <v>3461</v>
      </c>
      <c r="B1730" s="1" t="s">
        <v>3462</v>
      </c>
      <c r="C1730" s="1" t="s">
        <v>5</v>
      </c>
    </row>
    <row r="1731" spans="1:3" x14ac:dyDescent="0.25">
      <c r="A1731" s="1" t="s">
        <v>3463</v>
      </c>
      <c r="B1731" s="1" t="s">
        <v>3464</v>
      </c>
      <c r="C1731" s="1" t="s">
        <v>5</v>
      </c>
    </row>
    <row r="1732" spans="1:3" x14ac:dyDescent="0.25">
      <c r="A1732" s="1" t="s">
        <v>3465</v>
      </c>
      <c r="B1732" s="1" t="s">
        <v>3466</v>
      </c>
      <c r="C1732" s="1" t="s">
        <v>5</v>
      </c>
    </row>
    <row r="1733" spans="1:3" x14ac:dyDescent="0.25">
      <c r="A1733" s="1" t="s">
        <v>3467</v>
      </c>
      <c r="B1733" s="1" t="s">
        <v>3468</v>
      </c>
      <c r="C1733" s="1" t="s">
        <v>5</v>
      </c>
    </row>
    <row r="1734" spans="1:3" x14ac:dyDescent="0.25">
      <c r="A1734" s="1" t="s">
        <v>3469</v>
      </c>
      <c r="B1734" s="1" t="s">
        <v>3470</v>
      </c>
      <c r="C1734" s="1" t="s">
        <v>5</v>
      </c>
    </row>
    <row r="1735" spans="1:3" x14ac:dyDescent="0.25">
      <c r="A1735" s="1" t="s">
        <v>3471</v>
      </c>
      <c r="B1735" s="1" t="s">
        <v>3472</v>
      </c>
      <c r="C1735" s="1" t="s">
        <v>5</v>
      </c>
    </row>
    <row r="1736" spans="1:3" x14ac:dyDescent="0.25">
      <c r="A1736" s="1" t="s">
        <v>3473</v>
      </c>
      <c r="B1736" s="1" t="s">
        <v>3474</v>
      </c>
      <c r="C1736" s="1" t="s">
        <v>5</v>
      </c>
    </row>
    <row r="1737" spans="1:3" x14ac:dyDescent="0.25">
      <c r="A1737" s="1" t="s">
        <v>3475</v>
      </c>
      <c r="B1737" s="1" t="s">
        <v>3476</v>
      </c>
      <c r="C1737" s="1" t="s">
        <v>5</v>
      </c>
    </row>
    <row r="1738" spans="1:3" x14ac:dyDescent="0.25">
      <c r="A1738" s="1" t="s">
        <v>3477</v>
      </c>
      <c r="B1738" s="1" t="s">
        <v>3478</v>
      </c>
      <c r="C1738" s="1" t="s">
        <v>5</v>
      </c>
    </row>
    <row r="1739" spans="1:3" x14ac:dyDescent="0.25">
      <c r="A1739" s="1" t="s">
        <v>3479</v>
      </c>
      <c r="B1739" s="1" t="s">
        <v>3480</v>
      </c>
      <c r="C1739" s="1" t="s">
        <v>5</v>
      </c>
    </row>
    <row r="1740" spans="1:3" x14ac:dyDescent="0.25">
      <c r="A1740" s="1" t="s">
        <v>3481</v>
      </c>
      <c r="B1740" s="1" t="s">
        <v>3482</v>
      </c>
      <c r="C1740" s="1" t="s">
        <v>5</v>
      </c>
    </row>
    <row r="1741" spans="1:3" x14ac:dyDescent="0.25">
      <c r="A1741" s="1" t="s">
        <v>3483</v>
      </c>
      <c r="B1741" s="1" t="s">
        <v>3484</v>
      </c>
      <c r="C1741" s="1" t="s">
        <v>5</v>
      </c>
    </row>
    <row r="1742" spans="1:3" x14ac:dyDescent="0.25">
      <c r="A1742" s="1" t="s">
        <v>3485</v>
      </c>
      <c r="B1742" s="1" t="s">
        <v>3486</v>
      </c>
      <c r="C1742" s="1" t="s">
        <v>5</v>
      </c>
    </row>
    <row r="1743" spans="1:3" x14ac:dyDescent="0.25">
      <c r="A1743" s="1" t="s">
        <v>3487</v>
      </c>
      <c r="B1743" s="1" t="s">
        <v>3488</v>
      </c>
      <c r="C1743" s="1" t="s">
        <v>5</v>
      </c>
    </row>
    <row r="1744" spans="1:3" x14ac:dyDescent="0.25">
      <c r="A1744" s="1" t="s">
        <v>3489</v>
      </c>
      <c r="B1744" s="1" t="s">
        <v>3490</v>
      </c>
      <c r="C1744" s="1" t="s">
        <v>5</v>
      </c>
    </row>
    <row r="1745" spans="1:3" x14ac:dyDescent="0.25">
      <c r="A1745" s="1" t="s">
        <v>3491</v>
      </c>
      <c r="B1745" s="1" t="s">
        <v>3492</v>
      </c>
      <c r="C1745" s="1" t="s">
        <v>5</v>
      </c>
    </row>
    <row r="1746" spans="1:3" x14ac:dyDescent="0.25">
      <c r="A1746" s="1" t="s">
        <v>3493</v>
      </c>
      <c r="B1746" s="1" t="s">
        <v>3494</v>
      </c>
      <c r="C1746" s="1" t="s">
        <v>5</v>
      </c>
    </row>
    <row r="1747" spans="1:3" x14ac:dyDescent="0.25">
      <c r="A1747" s="1" t="s">
        <v>3495</v>
      </c>
      <c r="B1747" s="1" t="s">
        <v>3496</v>
      </c>
      <c r="C1747" s="1" t="s">
        <v>5</v>
      </c>
    </row>
    <row r="1748" spans="1:3" x14ac:dyDescent="0.25">
      <c r="A1748" s="1" t="s">
        <v>3497</v>
      </c>
      <c r="B1748" s="1" t="s">
        <v>3498</v>
      </c>
      <c r="C1748" s="1" t="s">
        <v>5</v>
      </c>
    </row>
    <row r="1749" spans="1:3" x14ac:dyDescent="0.25">
      <c r="A1749" s="1" t="s">
        <v>3499</v>
      </c>
      <c r="B1749" s="1" t="s">
        <v>3500</v>
      </c>
      <c r="C1749" s="1" t="s">
        <v>5</v>
      </c>
    </row>
    <row r="1750" spans="1:3" x14ac:dyDescent="0.25">
      <c r="A1750" s="1" t="s">
        <v>3501</v>
      </c>
      <c r="B1750" s="1" t="s">
        <v>3502</v>
      </c>
      <c r="C1750" s="1" t="s">
        <v>5</v>
      </c>
    </row>
    <row r="1751" spans="1:3" x14ac:dyDescent="0.25">
      <c r="A1751" s="1" t="s">
        <v>3503</v>
      </c>
      <c r="B1751" s="1" t="s">
        <v>3504</v>
      </c>
      <c r="C1751" s="1" t="s">
        <v>5</v>
      </c>
    </row>
    <row r="1752" spans="1:3" x14ac:dyDescent="0.25">
      <c r="A1752" s="1" t="s">
        <v>3505</v>
      </c>
      <c r="B1752" s="1" t="s">
        <v>3506</v>
      </c>
      <c r="C1752" s="1" t="s">
        <v>5</v>
      </c>
    </row>
    <row r="1753" spans="1:3" x14ac:dyDescent="0.25">
      <c r="A1753" s="1" t="s">
        <v>3507</v>
      </c>
      <c r="B1753" s="1" t="s">
        <v>3508</v>
      </c>
      <c r="C1753" s="1" t="s">
        <v>5</v>
      </c>
    </row>
    <row r="1754" spans="1:3" x14ac:dyDescent="0.25">
      <c r="A1754" s="1" t="s">
        <v>3509</v>
      </c>
      <c r="B1754" s="1" t="s">
        <v>3510</v>
      </c>
      <c r="C1754" s="1" t="s">
        <v>5</v>
      </c>
    </row>
    <row r="1755" spans="1:3" x14ac:dyDescent="0.25">
      <c r="A1755" s="1" t="s">
        <v>3511</v>
      </c>
      <c r="B1755" s="1" t="s">
        <v>3512</v>
      </c>
      <c r="C1755" s="1" t="s">
        <v>5</v>
      </c>
    </row>
    <row r="1756" spans="1:3" x14ac:dyDescent="0.25">
      <c r="A1756" s="1" t="s">
        <v>3513</v>
      </c>
      <c r="B1756" s="1" t="s">
        <v>3514</v>
      </c>
      <c r="C1756" s="1" t="s">
        <v>5</v>
      </c>
    </row>
    <row r="1757" spans="1:3" x14ac:dyDescent="0.25">
      <c r="A1757" s="1" t="s">
        <v>3515</v>
      </c>
      <c r="B1757" s="1" t="s">
        <v>3516</v>
      </c>
      <c r="C1757" s="1" t="s">
        <v>5</v>
      </c>
    </row>
    <row r="1758" spans="1:3" x14ac:dyDescent="0.25">
      <c r="A1758" s="1" t="s">
        <v>3517</v>
      </c>
      <c r="B1758" s="1" t="s">
        <v>3518</v>
      </c>
      <c r="C1758" s="1" t="s">
        <v>5</v>
      </c>
    </row>
    <row r="1759" spans="1:3" x14ac:dyDescent="0.25">
      <c r="A1759" s="1" t="s">
        <v>3519</v>
      </c>
      <c r="B1759" s="1" t="s">
        <v>3520</v>
      </c>
      <c r="C1759" s="1" t="s">
        <v>5</v>
      </c>
    </row>
    <row r="1760" spans="1:3" x14ac:dyDescent="0.25">
      <c r="A1760" s="1" t="s">
        <v>3521</v>
      </c>
      <c r="B1760" s="1" t="s">
        <v>3522</v>
      </c>
      <c r="C1760" s="1" t="s">
        <v>5</v>
      </c>
    </row>
    <row r="1761" spans="1:3" x14ac:dyDescent="0.25">
      <c r="A1761" s="1" t="s">
        <v>3523</v>
      </c>
      <c r="B1761" s="1" t="s">
        <v>3524</v>
      </c>
      <c r="C1761" s="1" t="s">
        <v>5</v>
      </c>
    </row>
    <row r="1762" spans="1:3" x14ac:dyDescent="0.25">
      <c r="A1762" s="1" t="s">
        <v>3525</v>
      </c>
      <c r="B1762" s="1" t="s">
        <v>3526</v>
      </c>
      <c r="C1762" s="1" t="s">
        <v>5</v>
      </c>
    </row>
    <row r="1763" spans="1:3" x14ac:dyDescent="0.25">
      <c r="A1763" s="1" t="s">
        <v>3527</v>
      </c>
      <c r="B1763" s="1" t="s">
        <v>3528</v>
      </c>
      <c r="C1763" s="1" t="s">
        <v>5</v>
      </c>
    </row>
    <row r="1764" spans="1:3" x14ac:dyDescent="0.25">
      <c r="A1764" s="1" t="s">
        <v>3529</v>
      </c>
      <c r="B1764" s="1" t="s">
        <v>3530</v>
      </c>
      <c r="C1764" s="1" t="s">
        <v>5</v>
      </c>
    </row>
    <row r="1765" spans="1:3" x14ac:dyDescent="0.25">
      <c r="A1765" s="1" t="s">
        <v>3531</v>
      </c>
      <c r="B1765" s="1" t="s">
        <v>3532</v>
      </c>
      <c r="C1765" s="1" t="s">
        <v>5</v>
      </c>
    </row>
    <row r="1766" spans="1:3" x14ac:dyDescent="0.25">
      <c r="A1766" s="1" t="s">
        <v>3533</v>
      </c>
      <c r="B1766" s="1" t="s">
        <v>3534</v>
      </c>
      <c r="C1766" s="1" t="s">
        <v>5</v>
      </c>
    </row>
    <row r="1767" spans="1:3" x14ac:dyDescent="0.25">
      <c r="A1767" s="1" t="s">
        <v>3535</v>
      </c>
      <c r="B1767" s="1" t="s">
        <v>3536</v>
      </c>
      <c r="C1767" s="1" t="s">
        <v>5</v>
      </c>
    </row>
    <row r="1768" spans="1:3" x14ac:dyDescent="0.25">
      <c r="A1768" s="1" t="s">
        <v>3537</v>
      </c>
      <c r="B1768" s="1" t="s">
        <v>3538</v>
      </c>
      <c r="C1768" s="1" t="s">
        <v>5</v>
      </c>
    </row>
    <row r="1769" spans="1:3" x14ac:dyDescent="0.25">
      <c r="A1769" s="1" t="s">
        <v>3539</v>
      </c>
      <c r="B1769" s="1" t="s">
        <v>3540</v>
      </c>
      <c r="C1769" s="1" t="s">
        <v>5</v>
      </c>
    </row>
    <row r="1770" spans="1:3" x14ac:dyDescent="0.25">
      <c r="A1770" s="1" t="s">
        <v>3541</v>
      </c>
      <c r="B1770" s="1" t="s">
        <v>3542</v>
      </c>
      <c r="C1770" s="1" t="s">
        <v>5</v>
      </c>
    </row>
    <row r="1771" spans="1:3" x14ac:dyDescent="0.25">
      <c r="A1771" s="1" t="s">
        <v>3543</v>
      </c>
      <c r="B1771" s="1" t="s">
        <v>3544</v>
      </c>
      <c r="C1771" s="1" t="s">
        <v>5</v>
      </c>
    </row>
    <row r="1772" spans="1:3" x14ac:dyDescent="0.25">
      <c r="A1772" s="1" t="s">
        <v>3545</v>
      </c>
      <c r="B1772" s="1" t="s">
        <v>3546</v>
      </c>
      <c r="C1772" s="1" t="s">
        <v>5</v>
      </c>
    </row>
    <row r="1773" spans="1:3" x14ac:dyDescent="0.25">
      <c r="A1773" s="1" t="s">
        <v>3547</v>
      </c>
      <c r="B1773" s="1" t="s">
        <v>3548</v>
      </c>
      <c r="C1773" s="1" t="s">
        <v>5</v>
      </c>
    </row>
    <row r="1774" spans="1:3" x14ac:dyDescent="0.25">
      <c r="A1774" s="1" t="s">
        <v>3549</v>
      </c>
      <c r="B1774" s="1" t="s">
        <v>3550</v>
      </c>
      <c r="C1774" s="1" t="s">
        <v>5</v>
      </c>
    </row>
    <row r="1775" spans="1:3" x14ac:dyDescent="0.25">
      <c r="A1775" s="1" t="s">
        <v>3551</v>
      </c>
      <c r="B1775" s="1" t="s">
        <v>3552</v>
      </c>
      <c r="C1775" s="1" t="s">
        <v>5</v>
      </c>
    </row>
    <row r="1776" spans="1:3" x14ac:dyDescent="0.25">
      <c r="A1776" s="1" t="s">
        <v>3553</v>
      </c>
      <c r="B1776" s="1" t="s">
        <v>3554</v>
      </c>
      <c r="C1776" s="1" t="s">
        <v>5</v>
      </c>
    </row>
    <row r="1777" spans="1:3" x14ac:dyDescent="0.25">
      <c r="A1777" s="1" t="s">
        <v>3555</v>
      </c>
      <c r="B1777" s="1" t="s">
        <v>3556</v>
      </c>
      <c r="C1777" s="1" t="s">
        <v>5</v>
      </c>
    </row>
    <row r="1778" spans="1:3" x14ac:dyDescent="0.25">
      <c r="A1778" s="1" t="s">
        <v>3557</v>
      </c>
      <c r="B1778" s="1" t="s">
        <v>3558</v>
      </c>
      <c r="C1778" s="1" t="s">
        <v>5</v>
      </c>
    </row>
    <row r="1779" spans="1:3" x14ac:dyDescent="0.25">
      <c r="A1779" s="1" t="s">
        <v>3559</v>
      </c>
      <c r="B1779" s="1" t="s">
        <v>3560</v>
      </c>
      <c r="C1779" s="1" t="s">
        <v>5</v>
      </c>
    </row>
    <row r="1780" spans="1:3" x14ac:dyDescent="0.25">
      <c r="A1780" s="1" t="s">
        <v>3561</v>
      </c>
      <c r="B1780" s="1" t="s">
        <v>3562</v>
      </c>
      <c r="C1780" s="1" t="s">
        <v>5</v>
      </c>
    </row>
    <row r="1781" spans="1:3" x14ac:dyDescent="0.25">
      <c r="A1781" s="1" t="s">
        <v>3563</v>
      </c>
      <c r="B1781" s="1" t="s">
        <v>3564</v>
      </c>
      <c r="C1781" s="1" t="s">
        <v>5</v>
      </c>
    </row>
    <row r="1782" spans="1:3" x14ac:dyDescent="0.25">
      <c r="A1782" s="1" t="s">
        <v>3565</v>
      </c>
      <c r="B1782" s="1" t="s">
        <v>3566</v>
      </c>
      <c r="C1782" s="1" t="s">
        <v>5</v>
      </c>
    </row>
    <row r="1783" spans="1:3" x14ac:dyDescent="0.25">
      <c r="A1783" s="1" t="s">
        <v>3567</v>
      </c>
      <c r="B1783" s="1" t="s">
        <v>3568</v>
      </c>
      <c r="C1783" s="1" t="s">
        <v>5</v>
      </c>
    </row>
    <row r="1784" spans="1:3" x14ac:dyDescent="0.25">
      <c r="A1784" s="1" t="s">
        <v>3569</v>
      </c>
      <c r="B1784" s="1" t="s">
        <v>3570</v>
      </c>
      <c r="C1784" s="1" t="s">
        <v>5</v>
      </c>
    </row>
    <row r="1785" spans="1:3" x14ac:dyDescent="0.25">
      <c r="A1785" s="1" t="s">
        <v>3571</v>
      </c>
      <c r="B1785" s="1" t="s">
        <v>3572</v>
      </c>
      <c r="C1785" s="1" t="s">
        <v>5</v>
      </c>
    </row>
    <row r="1786" spans="1:3" x14ac:dyDescent="0.25">
      <c r="A1786" s="1" t="s">
        <v>3573</v>
      </c>
      <c r="B1786" s="1" t="s">
        <v>3574</v>
      </c>
      <c r="C1786" s="1" t="s">
        <v>5</v>
      </c>
    </row>
    <row r="1787" spans="1:3" x14ac:dyDescent="0.25">
      <c r="A1787" s="1" t="s">
        <v>3575</v>
      </c>
      <c r="B1787" s="1" t="s">
        <v>3576</v>
      </c>
      <c r="C1787" s="1" t="s">
        <v>5</v>
      </c>
    </row>
    <row r="1788" spans="1:3" x14ac:dyDescent="0.25">
      <c r="A1788" s="1" t="s">
        <v>3577</v>
      </c>
      <c r="B1788" s="1" t="s">
        <v>3578</v>
      </c>
      <c r="C1788" s="1" t="s">
        <v>5</v>
      </c>
    </row>
    <row r="1789" spans="1:3" x14ac:dyDescent="0.25">
      <c r="A1789" s="1" t="s">
        <v>3579</v>
      </c>
      <c r="B1789" s="1" t="s">
        <v>3580</v>
      </c>
      <c r="C1789" s="1" t="s">
        <v>5</v>
      </c>
    </row>
    <row r="1790" spans="1:3" x14ac:dyDescent="0.25">
      <c r="A1790" s="1" t="s">
        <v>3581</v>
      </c>
      <c r="B1790" s="1" t="s">
        <v>3582</v>
      </c>
      <c r="C1790" s="1" t="s">
        <v>5</v>
      </c>
    </row>
    <row r="1791" spans="1:3" x14ac:dyDescent="0.25">
      <c r="A1791" s="1" t="s">
        <v>3583</v>
      </c>
      <c r="B1791" s="1" t="s">
        <v>3584</v>
      </c>
      <c r="C1791" s="1" t="s">
        <v>5</v>
      </c>
    </row>
    <row r="1792" spans="1:3" x14ac:dyDescent="0.25">
      <c r="A1792" s="1" t="s">
        <v>3585</v>
      </c>
      <c r="B1792" s="1" t="s">
        <v>3586</v>
      </c>
      <c r="C1792" s="1" t="s">
        <v>5</v>
      </c>
    </row>
    <row r="1793" spans="1:3" x14ac:dyDescent="0.25">
      <c r="A1793" s="1" t="s">
        <v>3587</v>
      </c>
      <c r="B1793" s="1" t="s">
        <v>3588</v>
      </c>
      <c r="C1793" s="1" t="s">
        <v>5</v>
      </c>
    </row>
    <row r="1794" spans="1:3" x14ac:dyDescent="0.25">
      <c r="A1794" s="1" t="s">
        <v>3589</v>
      </c>
      <c r="B1794" s="1" t="s">
        <v>3590</v>
      </c>
      <c r="C1794" s="1" t="s">
        <v>5</v>
      </c>
    </row>
    <row r="1795" spans="1:3" x14ac:dyDescent="0.25">
      <c r="A1795" s="1" t="s">
        <v>3591</v>
      </c>
      <c r="B1795" s="1" t="s">
        <v>3592</v>
      </c>
      <c r="C1795" s="1" t="s">
        <v>5</v>
      </c>
    </row>
    <row r="1796" spans="1:3" x14ac:dyDescent="0.25">
      <c r="A1796" s="1" t="s">
        <v>3593</v>
      </c>
      <c r="B1796" s="1" t="s">
        <v>3594</v>
      </c>
      <c r="C1796" s="1" t="s">
        <v>5</v>
      </c>
    </row>
    <row r="1797" spans="1:3" x14ac:dyDescent="0.25">
      <c r="A1797" s="1" t="s">
        <v>3595</v>
      </c>
      <c r="B1797" s="1" t="s">
        <v>3596</v>
      </c>
      <c r="C1797" s="1" t="s">
        <v>5</v>
      </c>
    </row>
    <row r="1798" spans="1:3" x14ac:dyDescent="0.25">
      <c r="A1798" s="1" t="s">
        <v>3597</v>
      </c>
      <c r="B1798" s="1" t="s">
        <v>3598</v>
      </c>
      <c r="C1798" s="1" t="s">
        <v>5</v>
      </c>
    </row>
    <row r="1799" spans="1:3" x14ac:dyDescent="0.25">
      <c r="A1799" s="1" t="s">
        <v>3599</v>
      </c>
      <c r="B1799" s="1" t="s">
        <v>3600</v>
      </c>
      <c r="C1799" s="1" t="s">
        <v>5</v>
      </c>
    </row>
    <row r="1800" spans="1:3" x14ac:dyDescent="0.25">
      <c r="A1800" s="1" t="s">
        <v>3601</v>
      </c>
      <c r="B1800" s="1" t="s">
        <v>3602</v>
      </c>
      <c r="C1800" s="1" t="s">
        <v>5</v>
      </c>
    </row>
    <row r="1801" spans="1:3" x14ac:dyDescent="0.25">
      <c r="A1801" s="1" t="s">
        <v>3603</v>
      </c>
      <c r="B1801" s="1" t="s">
        <v>3604</v>
      </c>
      <c r="C1801" s="1" t="s">
        <v>5</v>
      </c>
    </row>
    <row r="1802" spans="1:3" x14ac:dyDescent="0.25">
      <c r="A1802" s="1" t="s">
        <v>3605</v>
      </c>
      <c r="B1802" s="1" t="s">
        <v>3606</v>
      </c>
      <c r="C1802" s="1" t="s">
        <v>5</v>
      </c>
    </row>
    <row r="1803" spans="1:3" x14ac:dyDescent="0.25">
      <c r="A1803" s="1" t="s">
        <v>3607</v>
      </c>
      <c r="B1803" s="1" t="s">
        <v>3608</v>
      </c>
      <c r="C1803" s="1" t="s">
        <v>5</v>
      </c>
    </row>
    <row r="1804" spans="1:3" x14ac:dyDescent="0.25">
      <c r="A1804" s="1" t="s">
        <v>3609</v>
      </c>
      <c r="B1804" s="1" t="s">
        <v>3610</v>
      </c>
      <c r="C1804" s="1" t="s">
        <v>5</v>
      </c>
    </row>
    <row r="1805" spans="1:3" x14ac:dyDescent="0.25">
      <c r="A1805" s="1" t="s">
        <v>3611</v>
      </c>
      <c r="B1805" s="1" t="s">
        <v>3612</v>
      </c>
      <c r="C1805" s="1" t="s">
        <v>5</v>
      </c>
    </row>
    <row r="1806" spans="1:3" x14ac:dyDescent="0.25">
      <c r="A1806" s="1" t="s">
        <v>3613</v>
      </c>
      <c r="B1806" s="1" t="s">
        <v>3614</v>
      </c>
      <c r="C1806" s="1" t="s">
        <v>5</v>
      </c>
    </row>
    <row r="1807" spans="1:3" x14ac:dyDescent="0.25">
      <c r="A1807" s="1" t="s">
        <v>3615</v>
      </c>
      <c r="B1807" s="1" t="s">
        <v>3616</v>
      </c>
      <c r="C1807" s="1" t="s">
        <v>5</v>
      </c>
    </row>
    <row r="1808" spans="1:3" x14ac:dyDescent="0.25">
      <c r="A1808" s="1" t="s">
        <v>3617</v>
      </c>
      <c r="B1808" s="1" t="s">
        <v>3618</v>
      </c>
      <c r="C1808" s="1" t="s">
        <v>5</v>
      </c>
    </row>
    <row r="1809" spans="1:3" x14ac:dyDescent="0.25">
      <c r="A1809" s="1" t="s">
        <v>3619</v>
      </c>
      <c r="B1809" s="1" t="s">
        <v>3620</v>
      </c>
      <c r="C1809" s="1" t="s">
        <v>5</v>
      </c>
    </row>
    <row r="1810" spans="1:3" x14ac:dyDescent="0.25">
      <c r="A1810" s="1" t="s">
        <v>3621</v>
      </c>
      <c r="B1810" s="1" t="s">
        <v>3622</v>
      </c>
      <c r="C1810" s="1" t="s">
        <v>5</v>
      </c>
    </row>
    <row r="1811" spans="1:3" x14ac:dyDescent="0.25">
      <c r="A1811" s="1" t="s">
        <v>3623</v>
      </c>
      <c r="B1811" s="1" t="s">
        <v>3624</v>
      </c>
      <c r="C1811" s="1" t="s">
        <v>5</v>
      </c>
    </row>
    <row r="1812" spans="1:3" x14ac:dyDescent="0.25">
      <c r="A1812" s="1" t="s">
        <v>3625</v>
      </c>
      <c r="B1812" s="1" t="s">
        <v>3626</v>
      </c>
      <c r="C1812" s="1" t="s">
        <v>5</v>
      </c>
    </row>
    <row r="1813" spans="1:3" x14ac:dyDescent="0.25">
      <c r="A1813" s="1" t="s">
        <v>3627</v>
      </c>
      <c r="B1813" s="1" t="s">
        <v>3628</v>
      </c>
      <c r="C1813" s="1" t="s">
        <v>5</v>
      </c>
    </row>
    <row r="1814" spans="1:3" x14ac:dyDescent="0.25">
      <c r="A1814" s="1" t="s">
        <v>3629</v>
      </c>
      <c r="B1814" s="1" t="s">
        <v>3630</v>
      </c>
      <c r="C1814" s="1" t="s">
        <v>5</v>
      </c>
    </row>
    <row r="1815" spans="1:3" x14ac:dyDescent="0.25">
      <c r="A1815" s="1" t="s">
        <v>3631</v>
      </c>
      <c r="B1815" s="1" t="s">
        <v>3632</v>
      </c>
      <c r="C1815" s="1" t="s">
        <v>5</v>
      </c>
    </row>
    <row r="1816" spans="1:3" x14ac:dyDescent="0.25">
      <c r="A1816" s="1" t="s">
        <v>3633</v>
      </c>
      <c r="B1816" s="1" t="s">
        <v>3634</v>
      </c>
      <c r="C1816" s="1" t="s">
        <v>5</v>
      </c>
    </row>
    <row r="1817" spans="1:3" x14ac:dyDescent="0.25">
      <c r="A1817" s="1" t="s">
        <v>3635</v>
      </c>
      <c r="B1817" s="1" t="s">
        <v>3636</v>
      </c>
      <c r="C1817" s="1" t="s">
        <v>5</v>
      </c>
    </row>
    <row r="1818" spans="1:3" x14ac:dyDescent="0.25">
      <c r="A1818" s="1" t="s">
        <v>3637</v>
      </c>
      <c r="B1818" s="1" t="s">
        <v>3638</v>
      </c>
      <c r="C1818" s="1" t="s">
        <v>5</v>
      </c>
    </row>
    <row r="1819" spans="1:3" x14ac:dyDescent="0.25">
      <c r="A1819" s="1" t="s">
        <v>3639</v>
      </c>
      <c r="B1819" s="1" t="s">
        <v>3640</v>
      </c>
      <c r="C1819" s="1" t="s">
        <v>5</v>
      </c>
    </row>
    <row r="1820" spans="1:3" x14ac:dyDescent="0.25">
      <c r="A1820" s="1" t="s">
        <v>3641</v>
      </c>
      <c r="B1820" s="1" t="s">
        <v>3642</v>
      </c>
      <c r="C1820" s="1" t="s">
        <v>5</v>
      </c>
    </row>
    <row r="1821" spans="1:3" x14ac:dyDescent="0.25">
      <c r="A1821" s="1" t="s">
        <v>3643</v>
      </c>
      <c r="B1821" s="1" t="s">
        <v>3644</v>
      </c>
      <c r="C1821" s="1" t="s">
        <v>5</v>
      </c>
    </row>
    <row r="1822" spans="1:3" x14ac:dyDescent="0.25">
      <c r="A1822" s="1" t="s">
        <v>3645</v>
      </c>
      <c r="B1822" s="1" t="s">
        <v>3646</v>
      </c>
      <c r="C1822" s="1" t="s">
        <v>5</v>
      </c>
    </row>
    <row r="1823" spans="1:3" x14ac:dyDescent="0.25">
      <c r="A1823" s="1" t="s">
        <v>3647</v>
      </c>
      <c r="B1823" s="1" t="s">
        <v>3648</v>
      </c>
      <c r="C1823" s="1" t="s">
        <v>5</v>
      </c>
    </row>
    <row r="1824" spans="1:3" x14ac:dyDescent="0.25">
      <c r="A1824" s="1" t="s">
        <v>3649</v>
      </c>
      <c r="B1824" s="1" t="s">
        <v>3650</v>
      </c>
      <c r="C1824" s="1" t="s">
        <v>5</v>
      </c>
    </row>
    <row r="1825" spans="1:3" x14ac:dyDescent="0.25">
      <c r="A1825" s="1" t="s">
        <v>3651</v>
      </c>
      <c r="B1825" s="1" t="s">
        <v>3652</v>
      </c>
      <c r="C1825" s="1" t="s">
        <v>5</v>
      </c>
    </row>
    <row r="1826" spans="1:3" x14ac:dyDescent="0.25">
      <c r="A1826" s="1" t="s">
        <v>3653</v>
      </c>
      <c r="B1826" s="1" t="s">
        <v>3654</v>
      </c>
      <c r="C1826" s="1" t="s">
        <v>5</v>
      </c>
    </row>
    <row r="1827" spans="1:3" x14ac:dyDescent="0.25">
      <c r="A1827" s="1" t="s">
        <v>3655</v>
      </c>
      <c r="B1827" s="1" t="s">
        <v>3656</v>
      </c>
      <c r="C1827" s="1" t="s">
        <v>5</v>
      </c>
    </row>
    <row r="1828" spans="1:3" x14ac:dyDescent="0.25">
      <c r="A1828" s="1" t="s">
        <v>3657</v>
      </c>
      <c r="B1828" s="1" t="s">
        <v>3658</v>
      </c>
      <c r="C1828" s="1" t="s">
        <v>5</v>
      </c>
    </row>
    <row r="1829" spans="1:3" x14ac:dyDescent="0.25">
      <c r="A1829" s="1" t="s">
        <v>3659</v>
      </c>
      <c r="B1829" s="1" t="s">
        <v>3660</v>
      </c>
      <c r="C1829" s="1" t="s">
        <v>5</v>
      </c>
    </row>
    <row r="1830" spans="1:3" x14ac:dyDescent="0.25">
      <c r="A1830" s="1" t="s">
        <v>3661</v>
      </c>
      <c r="B1830" s="1" t="s">
        <v>3662</v>
      </c>
      <c r="C1830" s="1" t="s">
        <v>5</v>
      </c>
    </row>
    <row r="1831" spans="1:3" x14ac:dyDescent="0.25">
      <c r="A1831" s="1" t="s">
        <v>3663</v>
      </c>
      <c r="B1831" s="1" t="s">
        <v>3664</v>
      </c>
      <c r="C1831" s="1" t="s">
        <v>5</v>
      </c>
    </row>
    <row r="1832" spans="1:3" x14ac:dyDescent="0.25">
      <c r="A1832" s="1" t="s">
        <v>3665</v>
      </c>
      <c r="B1832" s="1" t="s">
        <v>3666</v>
      </c>
      <c r="C1832" s="1" t="s">
        <v>5</v>
      </c>
    </row>
    <row r="1833" spans="1:3" x14ac:dyDescent="0.25">
      <c r="A1833" s="1" t="s">
        <v>3667</v>
      </c>
      <c r="B1833" s="1" t="s">
        <v>3668</v>
      </c>
      <c r="C1833" s="1" t="s">
        <v>5</v>
      </c>
    </row>
    <row r="1834" spans="1:3" x14ac:dyDescent="0.25">
      <c r="A1834" s="1" t="s">
        <v>3669</v>
      </c>
      <c r="B1834" s="1" t="s">
        <v>3670</v>
      </c>
      <c r="C1834" s="1" t="s">
        <v>5</v>
      </c>
    </row>
    <row r="1835" spans="1:3" x14ac:dyDescent="0.25">
      <c r="A1835" s="1" t="s">
        <v>3671</v>
      </c>
      <c r="B1835" s="1" t="s">
        <v>3672</v>
      </c>
      <c r="C1835" s="1" t="s">
        <v>5</v>
      </c>
    </row>
    <row r="1836" spans="1:3" x14ac:dyDescent="0.25">
      <c r="A1836" s="1" t="s">
        <v>3673</v>
      </c>
      <c r="B1836" s="1" t="s">
        <v>3674</v>
      </c>
      <c r="C1836" s="1" t="s">
        <v>5</v>
      </c>
    </row>
    <row r="1837" spans="1:3" x14ac:dyDescent="0.25">
      <c r="A1837" s="1" t="s">
        <v>3675</v>
      </c>
      <c r="B1837" s="1" t="s">
        <v>3676</v>
      </c>
      <c r="C1837" s="1" t="s">
        <v>5</v>
      </c>
    </row>
    <row r="1838" spans="1:3" x14ac:dyDescent="0.25">
      <c r="A1838" s="1" t="s">
        <v>3677</v>
      </c>
      <c r="B1838" s="1" t="s">
        <v>3678</v>
      </c>
      <c r="C1838" s="1" t="s">
        <v>5</v>
      </c>
    </row>
    <row r="1839" spans="1:3" x14ac:dyDescent="0.25">
      <c r="A1839" s="1" t="s">
        <v>3679</v>
      </c>
      <c r="B1839" s="1" t="s">
        <v>3680</v>
      </c>
      <c r="C1839" s="1" t="s">
        <v>5</v>
      </c>
    </row>
    <row r="1840" spans="1:3" x14ac:dyDescent="0.25">
      <c r="A1840" s="1" t="s">
        <v>3681</v>
      </c>
      <c r="B1840" s="1" t="s">
        <v>3682</v>
      </c>
      <c r="C1840" s="1" t="s">
        <v>5</v>
      </c>
    </row>
    <row r="1841" spans="1:3" x14ac:dyDescent="0.25">
      <c r="A1841" s="1" t="s">
        <v>3683</v>
      </c>
      <c r="B1841" s="1" t="s">
        <v>3684</v>
      </c>
      <c r="C1841" s="1" t="s">
        <v>5</v>
      </c>
    </row>
    <row r="1842" spans="1:3" x14ac:dyDescent="0.25">
      <c r="A1842" s="1" t="s">
        <v>3685</v>
      </c>
      <c r="B1842" s="1" t="s">
        <v>3686</v>
      </c>
      <c r="C1842" s="1" t="s">
        <v>5</v>
      </c>
    </row>
    <row r="1843" spans="1:3" x14ac:dyDescent="0.25">
      <c r="A1843" s="1" t="s">
        <v>3687</v>
      </c>
      <c r="B1843" s="1" t="s">
        <v>3688</v>
      </c>
      <c r="C1843" s="1" t="s">
        <v>5</v>
      </c>
    </row>
    <row r="1844" spans="1:3" x14ac:dyDescent="0.25">
      <c r="A1844" s="1" t="s">
        <v>3689</v>
      </c>
      <c r="B1844" s="1" t="s">
        <v>3690</v>
      </c>
      <c r="C1844" s="1" t="s">
        <v>5</v>
      </c>
    </row>
    <row r="1845" spans="1:3" x14ac:dyDescent="0.25">
      <c r="A1845" s="1" t="s">
        <v>3691</v>
      </c>
      <c r="B1845" s="1" t="s">
        <v>3692</v>
      </c>
      <c r="C1845" s="1" t="s">
        <v>5</v>
      </c>
    </row>
    <row r="1846" spans="1:3" x14ac:dyDescent="0.25">
      <c r="A1846" s="1" t="s">
        <v>3693</v>
      </c>
      <c r="B1846" s="1" t="s">
        <v>3694</v>
      </c>
      <c r="C1846" s="1" t="s">
        <v>5</v>
      </c>
    </row>
    <row r="1847" spans="1:3" x14ac:dyDescent="0.25">
      <c r="A1847" s="1" t="s">
        <v>3695</v>
      </c>
      <c r="B1847" s="1" t="s">
        <v>3696</v>
      </c>
      <c r="C1847" s="1" t="s">
        <v>5</v>
      </c>
    </row>
    <row r="1848" spans="1:3" x14ac:dyDescent="0.25">
      <c r="A1848" s="1" t="s">
        <v>3697</v>
      </c>
      <c r="B1848" s="1" t="s">
        <v>3698</v>
      </c>
      <c r="C1848" s="1" t="s">
        <v>5</v>
      </c>
    </row>
    <row r="1849" spans="1:3" x14ac:dyDescent="0.25">
      <c r="A1849" s="1" t="s">
        <v>3699</v>
      </c>
      <c r="B1849" s="1" t="s">
        <v>3700</v>
      </c>
      <c r="C1849" s="1" t="s">
        <v>5</v>
      </c>
    </row>
    <row r="1850" spans="1:3" x14ac:dyDescent="0.25">
      <c r="A1850" s="1" t="s">
        <v>3701</v>
      </c>
      <c r="B1850" s="1" t="s">
        <v>3702</v>
      </c>
      <c r="C1850" s="1" t="s">
        <v>5</v>
      </c>
    </row>
    <row r="1851" spans="1:3" x14ac:dyDescent="0.25">
      <c r="A1851" s="1" t="s">
        <v>3703</v>
      </c>
      <c r="B1851" s="1" t="s">
        <v>3704</v>
      </c>
      <c r="C1851" s="1" t="s">
        <v>5</v>
      </c>
    </row>
    <row r="1852" spans="1:3" x14ac:dyDescent="0.25">
      <c r="A1852" s="1" t="s">
        <v>3705</v>
      </c>
      <c r="B1852" s="1" t="s">
        <v>3706</v>
      </c>
      <c r="C1852" s="1" t="s">
        <v>5</v>
      </c>
    </row>
    <row r="1853" spans="1:3" x14ac:dyDescent="0.25">
      <c r="A1853" s="1" t="s">
        <v>3707</v>
      </c>
      <c r="B1853" s="1" t="s">
        <v>3708</v>
      </c>
      <c r="C1853" s="1" t="s">
        <v>5</v>
      </c>
    </row>
    <row r="1854" spans="1:3" x14ac:dyDescent="0.25">
      <c r="A1854" s="1" t="s">
        <v>3709</v>
      </c>
      <c r="B1854" s="1" t="s">
        <v>3710</v>
      </c>
      <c r="C1854" s="1" t="s">
        <v>5</v>
      </c>
    </row>
    <row r="1855" spans="1:3" x14ac:dyDescent="0.25">
      <c r="A1855" s="1" t="s">
        <v>3711</v>
      </c>
      <c r="B1855" s="1" t="s">
        <v>3712</v>
      </c>
      <c r="C1855" s="1" t="s">
        <v>5</v>
      </c>
    </row>
    <row r="1856" spans="1:3" x14ac:dyDescent="0.25">
      <c r="A1856" s="1" t="s">
        <v>3713</v>
      </c>
      <c r="B1856" s="1" t="s">
        <v>3714</v>
      </c>
      <c r="C1856" s="1" t="s">
        <v>5</v>
      </c>
    </row>
    <row r="1857" spans="1:3" x14ac:dyDescent="0.25">
      <c r="A1857" s="1" t="s">
        <v>3715</v>
      </c>
      <c r="B1857" s="1" t="s">
        <v>3716</v>
      </c>
      <c r="C1857" s="1" t="s">
        <v>5</v>
      </c>
    </row>
    <row r="1858" spans="1:3" x14ac:dyDescent="0.25">
      <c r="A1858" s="1" t="s">
        <v>3717</v>
      </c>
      <c r="B1858" s="1" t="s">
        <v>3718</v>
      </c>
      <c r="C1858" s="1" t="s">
        <v>5</v>
      </c>
    </row>
    <row r="1859" spans="1:3" x14ac:dyDescent="0.25">
      <c r="A1859" s="1" t="s">
        <v>3719</v>
      </c>
      <c r="B1859" s="1" t="s">
        <v>3720</v>
      </c>
      <c r="C1859" s="1" t="s">
        <v>5</v>
      </c>
    </row>
    <row r="1860" spans="1:3" x14ac:dyDescent="0.25">
      <c r="A1860" s="1" t="s">
        <v>3721</v>
      </c>
      <c r="B1860" s="1" t="s">
        <v>3722</v>
      </c>
      <c r="C1860" s="1" t="s">
        <v>5</v>
      </c>
    </row>
    <row r="1861" spans="1:3" x14ac:dyDescent="0.25">
      <c r="A1861" s="1" t="s">
        <v>3723</v>
      </c>
      <c r="B1861" s="1" t="s">
        <v>3724</v>
      </c>
      <c r="C1861" s="1" t="s">
        <v>5</v>
      </c>
    </row>
    <row r="1862" spans="1:3" x14ac:dyDescent="0.25">
      <c r="A1862" s="1" t="s">
        <v>3725</v>
      </c>
      <c r="B1862" s="1" t="s">
        <v>3726</v>
      </c>
      <c r="C1862" s="1" t="s">
        <v>5</v>
      </c>
    </row>
    <row r="1863" spans="1:3" x14ac:dyDescent="0.25">
      <c r="A1863" s="1" t="s">
        <v>3727</v>
      </c>
      <c r="B1863" s="1" t="s">
        <v>3728</v>
      </c>
      <c r="C1863" s="1" t="s">
        <v>5</v>
      </c>
    </row>
    <row r="1864" spans="1:3" x14ac:dyDescent="0.25">
      <c r="A1864" s="1" t="s">
        <v>3729</v>
      </c>
      <c r="B1864" s="1" t="s">
        <v>3730</v>
      </c>
      <c r="C1864" s="1" t="s">
        <v>5</v>
      </c>
    </row>
    <row r="1865" spans="1:3" x14ac:dyDescent="0.25">
      <c r="A1865" s="1" t="s">
        <v>3731</v>
      </c>
      <c r="B1865" s="1" t="s">
        <v>3732</v>
      </c>
      <c r="C1865" s="1" t="s">
        <v>5</v>
      </c>
    </row>
    <row r="1866" spans="1:3" x14ac:dyDescent="0.25">
      <c r="A1866" s="1" t="s">
        <v>3733</v>
      </c>
      <c r="B1866" s="1" t="s">
        <v>3734</v>
      </c>
      <c r="C1866" s="1" t="s">
        <v>5</v>
      </c>
    </row>
    <row r="1867" spans="1:3" x14ac:dyDescent="0.25">
      <c r="A1867" s="1" t="s">
        <v>3735</v>
      </c>
      <c r="B1867" s="1" t="s">
        <v>3736</v>
      </c>
      <c r="C1867" s="1" t="s">
        <v>5</v>
      </c>
    </row>
    <row r="1868" spans="1:3" x14ac:dyDescent="0.25">
      <c r="A1868" s="1" t="s">
        <v>3737</v>
      </c>
      <c r="B1868" s="1" t="s">
        <v>3738</v>
      </c>
      <c r="C1868" s="1" t="s">
        <v>5</v>
      </c>
    </row>
    <row r="1869" spans="1:3" x14ac:dyDescent="0.25">
      <c r="A1869" s="1" t="s">
        <v>3739</v>
      </c>
      <c r="B1869" s="1" t="s">
        <v>3740</v>
      </c>
      <c r="C1869" s="1" t="s">
        <v>5</v>
      </c>
    </row>
    <row r="1870" spans="1:3" x14ac:dyDescent="0.25">
      <c r="A1870" s="1" t="s">
        <v>3741</v>
      </c>
      <c r="B1870" s="1" t="s">
        <v>3742</v>
      </c>
      <c r="C1870" s="1" t="s">
        <v>5</v>
      </c>
    </row>
    <row r="1871" spans="1:3" x14ac:dyDescent="0.25">
      <c r="A1871" s="1" t="s">
        <v>3743</v>
      </c>
      <c r="B1871" s="1" t="s">
        <v>3744</v>
      </c>
      <c r="C1871" s="1" t="s">
        <v>5</v>
      </c>
    </row>
    <row r="1872" spans="1:3" x14ac:dyDescent="0.25">
      <c r="A1872" s="1" t="s">
        <v>3745</v>
      </c>
      <c r="B1872" s="1" t="s">
        <v>3746</v>
      </c>
      <c r="C1872" s="1" t="s">
        <v>5</v>
      </c>
    </row>
    <row r="1873" spans="1:3" x14ac:dyDescent="0.25">
      <c r="A1873" s="1" t="s">
        <v>3747</v>
      </c>
      <c r="B1873" s="1" t="s">
        <v>3748</v>
      </c>
      <c r="C1873" s="1" t="s">
        <v>5</v>
      </c>
    </row>
    <row r="1874" spans="1:3" x14ac:dyDescent="0.25">
      <c r="A1874" s="1" t="s">
        <v>3749</v>
      </c>
      <c r="B1874" s="1" t="s">
        <v>3750</v>
      </c>
      <c r="C1874" s="1" t="s">
        <v>5</v>
      </c>
    </row>
    <row r="1875" spans="1:3" x14ac:dyDescent="0.25">
      <c r="A1875" s="1" t="s">
        <v>3751</v>
      </c>
      <c r="B1875" s="1" t="s">
        <v>3752</v>
      </c>
      <c r="C1875" s="1" t="s">
        <v>5</v>
      </c>
    </row>
    <row r="1876" spans="1:3" x14ac:dyDescent="0.25">
      <c r="A1876" s="1" t="s">
        <v>3753</v>
      </c>
      <c r="B1876" s="1" t="s">
        <v>3754</v>
      </c>
      <c r="C1876" s="1" t="s">
        <v>5</v>
      </c>
    </row>
    <row r="1877" spans="1:3" x14ac:dyDescent="0.25">
      <c r="A1877" s="1" t="s">
        <v>3755</v>
      </c>
      <c r="B1877" s="1" t="s">
        <v>3756</v>
      </c>
      <c r="C1877" s="1" t="s">
        <v>5</v>
      </c>
    </row>
    <row r="1878" spans="1:3" x14ac:dyDescent="0.25">
      <c r="A1878" s="1" t="s">
        <v>3757</v>
      </c>
      <c r="B1878" s="1" t="s">
        <v>3758</v>
      </c>
      <c r="C1878" s="1" t="s">
        <v>5</v>
      </c>
    </row>
    <row r="1879" spans="1:3" x14ac:dyDescent="0.25">
      <c r="A1879" s="1" t="s">
        <v>3759</v>
      </c>
      <c r="B1879" s="1" t="s">
        <v>3760</v>
      </c>
      <c r="C1879" s="1" t="s">
        <v>5</v>
      </c>
    </row>
    <row r="1880" spans="1:3" x14ac:dyDescent="0.25">
      <c r="A1880" s="1" t="s">
        <v>3761</v>
      </c>
      <c r="B1880" s="1" t="s">
        <v>3762</v>
      </c>
      <c r="C1880" s="1" t="s">
        <v>5</v>
      </c>
    </row>
    <row r="1881" spans="1:3" x14ac:dyDescent="0.25">
      <c r="A1881" s="1" t="s">
        <v>3763</v>
      </c>
      <c r="B1881" s="1" t="s">
        <v>3764</v>
      </c>
      <c r="C1881" s="1" t="s">
        <v>5</v>
      </c>
    </row>
    <row r="1882" spans="1:3" x14ac:dyDescent="0.25">
      <c r="A1882" s="1" t="s">
        <v>3765</v>
      </c>
      <c r="B1882" s="1" t="s">
        <v>3766</v>
      </c>
      <c r="C1882" s="1" t="s">
        <v>5</v>
      </c>
    </row>
    <row r="1883" spans="1:3" x14ac:dyDescent="0.25">
      <c r="A1883" s="1" t="s">
        <v>3767</v>
      </c>
      <c r="B1883" s="1" t="s">
        <v>3768</v>
      </c>
      <c r="C1883" s="1" t="s">
        <v>5</v>
      </c>
    </row>
    <row r="1884" spans="1:3" x14ac:dyDescent="0.25">
      <c r="A1884" s="1" t="s">
        <v>3769</v>
      </c>
      <c r="B1884" s="1" t="s">
        <v>3770</v>
      </c>
      <c r="C1884" s="1" t="s">
        <v>5</v>
      </c>
    </row>
    <row r="1885" spans="1:3" x14ac:dyDescent="0.25">
      <c r="A1885" s="1" t="s">
        <v>3771</v>
      </c>
      <c r="B1885" s="1" t="s">
        <v>3772</v>
      </c>
      <c r="C1885" s="1" t="s">
        <v>5</v>
      </c>
    </row>
    <row r="1886" spans="1:3" x14ac:dyDescent="0.25">
      <c r="A1886" s="1" t="s">
        <v>3773</v>
      </c>
      <c r="B1886" s="1" t="s">
        <v>3774</v>
      </c>
      <c r="C1886" s="1" t="s">
        <v>5</v>
      </c>
    </row>
    <row r="1887" spans="1:3" x14ac:dyDescent="0.25">
      <c r="A1887" s="1" t="s">
        <v>3775</v>
      </c>
      <c r="B1887" s="1" t="s">
        <v>3776</v>
      </c>
      <c r="C1887" s="1" t="s">
        <v>5</v>
      </c>
    </row>
    <row r="1888" spans="1:3" x14ac:dyDescent="0.25">
      <c r="A1888" s="1" t="s">
        <v>3777</v>
      </c>
      <c r="B1888" s="1" t="s">
        <v>3778</v>
      </c>
      <c r="C1888" s="1" t="s">
        <v>5</v>
      </c>
    </row>
    <row r="1889" spans="1:3" x14ac:dyDescent="0.25">
      <c r="A1889" s="1" t="s">
        <v>3779</v>
      </c>
      <c r="B1889" s="1" t="s">
        <v>3780</v>
      </c>
      <c r="C1889" s="1" t="s">
        <v>5</v>
      </c>
    </row>
    <row r="1890" spans="1:3" x14ac:dyDescent="0.25">
      <c r="A1890" s="1" t="s">
        <v>3781</v>
      </c>
      <c r="B1890" s="1" t="s">
        <v>3782</v>
      </c>
      <c r="C1890" s="1" t="s">
        <v>5</v>
      </c>
    </row>
    <row r="1891" spans="1:3" x14ac:dyDescent="0.25">
      <c r="A1891" s="1" t="s">
        <v>3783</v>
      </c>
      <c r="B1891" s="1" t="s">
        <v>3784</v>
      </c>
      <c r="C1891" s="1" t="s">
        <v>5</v>
      </c>
    </row>
    <row r="1892" spans="1:3" x14ac:dyDescent="0.25">
      <c r="A1892" s="1" t="s">
        <v>3785</v>
      </c>
      <c r="B1892" s="1" t="s">
        <v>3786</v>
      </c>
      <c r="C1892" s="1" t="s">
        <v>5</v>
      </c>
    </row>
    <row r="1893" spans="1:3" x14ac:dyDescent="0.25">
      <c r="A1893" s="1" t="s">
        <v>3787</v>
      </c>
      <c r="B1893" s="1" t="s">
        <v>3788</v>
      </c>
      <c r="C1893" s="1" t="s">
        <v>5</v>
      </c>
    </row>
    <row r="1894" spans="1:3" x14ac:dyDescent="0.25">
      <c r="A1894" s="1" t="s">
        <v>3789</v>
      </c>
      <c r="B1894" s="1" t="s">
        <v>3790</v>
      </c>
      <c r="C1894" s="1" t="s">
        <v>5</v>
      </c>
    </row>
    <row r="1895" spans="1:3" x14ac:dyDescent="0.25">
      <c r="A1895" s="1" t="s">
        <v>3791</v>
      </c>
      <c r="B1895" s="1" t="s">
        <v>3792</v>
      </c>
      <c r="C1895" s="1" t="s">
        <v>5</v>
      </c>
    </row>
    <row r="1896" spans="1:3" x14ac:dyDescent="0.25">
      <c r="A1896" s="1" t="s">
        <v>3793</v>
      </c>
      <c r="B1896" s="1" t="s">
        <v>3794</v>
      </c>
      <c r="C1896" s="1" t="s">
        <v>5</v>
      </c>
    </row>
    <row r="1897" spans="1:3" x14ac:dyDescent="0.25">
      <c r="A1897" s="1" t="s">
        <v>3795</v>
      </c>
      <c r="B1897" s="1" t="s">
        <v>3796</v>
      </c>
      <c r="C1897" s="1" t="s">
        <v>5</v>
      </c>
    </row>
    <row r="1898" spans="1:3" x14ac:dyDescent="0.25">
      <c r="A1898" s="1" t="s">
        <v>3797</v>
      </c>
      <c r="B1898" s="1" t="s">
        <v>3798</v>
      </c>
      <c r="C1898" s="1" t="s">
        <v>5</v>
      </c>
    </row>
    <row r="1899" spans="1:3" x14ac:dyDescent="0.25">
      <c r="A1899" s="1" t="s">
        <v>3799</v>
      </c>
      <c r="B1899" s="1" t="s">
        <v>3800</v>
      </c>
      <c r="C1899" s="1" t="s">
        <v>5</v>
      </c>
    </row>
    <row r="1900" spans="1:3" x14ac:dyDescent="0.25">
      <c r="A1900" s="1" t="s">
        <v>3801</v>
      </c>
      <c r="B1900" s="1" t="s">
        <v>3802</v>
      </c>
      <c r="C1900" s="1" t="s">
        <v>5</v>
      </c>
    </row>
    <row r="1901" spans="1:3" x14ac:dyDescent="0.25">
      <c r="A1901" s="1" t="s">
        <v>3803</v>
      </c>
      <c r="B1901" s="1" t="s">
        <v>3804</v>
      </c>
      <c r="C1901" s="1" t="s">
        <v>5</v>
      </c>
    </row>
    <row r="1902" spans="1:3" x14ac:dyDescent="0.25">
      <c r="A1902" s="1" t="s">
        <v>3805</v>
      </c>
      <c r="B1902" s="1" t="s">
        <v>3806</v>
      </c>
      <c r="C1902" s="1" t="s">
        <v>5</v>
      </c>
    </row>
    <row r="1903" spans="1:3" x14ac:dyDescent="0.25">
      <c r="A1903" s="1" t="s">
        <v>3807</v>
      </c>
      <c r="B1903" s="1" t="s">
        <v>3808</v>
      </c>
      <c r="C1903" s="1" t="s">
        <v>5</v>
      </c>
    </row>
    <row r="1904" spans="1:3" x14ac:dyDescent="0.25">
      <c r="A1904" s="1" t="s">
        <v>3809</v>
      </c>
      <c r="B1904" s="1" t="s">
        <v>3810</v>
      </c>
      <c r="C1904" s="1" t="s">
        <v>5</v>
      </c>
    </row>
    <row r="1905" spans="1:3" x14ac:dyDescent="0.25">
      <c r="A1905" s="1" t="s">
        <v>3811</v>
      </c>
      <c r="B1905" s="1" t="s">
        <v>3812</v>
      </c>
      <c r="C1905" s="1" t="s">
        <v>5</v>
      </c>
    </row>
    <row r="1906" spans="1:3" x14ac:dyDescent="0.25">
      <c r="A1906" s="1" t="s">
        <v>3813</v>
      </c>
      <c r="B1906" s="1" t="s">
        <v>3814</v>
      </c>
      <c r="C1906" s="1" t="s">
        <v>5</v>
      </c>
    </row>
    <row r="1907" spans="1:3" x14ac:dyDescent="0.25">
      <c r="A1907" s="1" t="s">
        <v>3815</v>
      </c>
      <c r="B1907" s="1" t="s">
        <v>3816</v>
      </c>
      <c r="C1907" s="1" t="s">
        <v>5</v>
      </c>
    </row>
    <row r="1908" spans="1:3" x14ac:dyDescent="0.25">
      <c r="A1908" s="1" t="s">
        <v>3817</v>
      </c>
      <c r="B1908" s="1" t="s">
        <v>3818</v>
      </c>
      <c r="C1908" s="1" t="s">
        <v>5</v>
      </c>
    </row>
    <row r="1909" spans="1:3" x14ac:dyDescent="0.25">
      <c r="A1909" s="1" t="s">
        <v>3819</v>
      </c>
      <c r="B1909" s="1" t="s">
        <v>3820</v>
      </c>
      <c r="C1909" s="1" t="s">
        <v>5</v>
      </c>
    </row>
    <row r="1910" spans="1:3" x14ac:dyDescent="0.25">
      <c r="A1910" s="1" t="s">
        <v>3821</v>
      </c>
      <c r="B1910" s="1" t="s">
        <v>3822</v>
      </c>
      <c r="C1910" s="1" t="s">
        <v>5</v>
      </c>
    </row>
    <row r="1911" spans="1:3" x14ac:dyDescent="0.25">
      <c r="A1911" s="1" t="s">
        <v>3823</v>
      </c>
      <c r="B1911" s="1" t="s">
        <v>3824</v>
      </c>
      <c r="C1911" s="1" t="s">
        <v>5</v>
      </c>
    </row>
    <row r="1912" spans="1:3" x14ac:dyDescent="0.25">
      <c r="A1912" s="1" t="s">
        <v>3825</v>
      </c>
      <c r="B1912" s="1" t="s">
        <v>3826</v>
      </c>
      <c r="C1912" s="1" t="s">
        <v>5</v>
      </c>
    </row>
    <row r="1913" spans="1:3" x14ac:dyDescent="0.25">
      <c r="A1913" s="1" t="s">
        <v>3827</v>
      </c>
      <c r="B1913" s="1" t="s">
        <v>3828</v>
      </c>
      <c r="C1913" s="1" t="s">
        <v>5</v>
      </c>
    </row>
    <row r="1914" spans="1:3" x14ac:dyDescent="0.25">
      <c r="A1914" s="1" t="s">
        <v>3829</v>
      </c>
      <c r="B1914" s="1" t="s">
        <v>3830</v>
      </c>
      <c r="C1914" s="1" t="s">
        <v>5</v>
      </c>
    </row>
    <row r="1915" spans="1:3" x14ac:dyDescent="0.25">
      <c r="A1915" s="1" t="s">
        <v>3831</v>
      </c>
      <c r="B1915" s="1" t="s">
        <v>3832</v>
      </c>
      <c r="C1915" s="1" t="s">
        <v>5</v>
      </c>
    </row>
    <row r="1916" spans="1:3" x14ac:dyDescent="0.25">
      <c r="A1916" s="1" t="s">
        <v>3833</v>
      </c>
      <c r="B1916" s="1" t="s">
        <v>3834</v>
      </c>
      <c r="C1916" s="1" t="s">
        <v>5</v>
      </c>
    </row>
    <row r="1917" spans="1:3" x14ac:dyDescent="0.25">
      <c r="A1917" s="1" t="s">
        <v>3835</v>
      </c>
      <c r="B1917" s="1" t="s">
        <v>3836</v>
      </c>
      <c r="C1917" s="1" t="s">
        <v>5</v>
      </c>
    </row>
    <row r="1918" spans="1:3" x14ac:dyDescent="0.25">
      <c r="A1918" s="1" t="s">
        <v>3837</v>
      </c>
      <c r="B1918" s="1" t="s">
        <v>3838</v>
      </c>
      <c r="C1918" s="1" t="s">
        <v>5</v>
      </c>
    </row>
    <row r="1919" spans="1:3" x14ac:dyDescent="0.25">
      <c r="A1919" s="1" t="s">
        <v>3839</v>
      </c>
      <c r="B1919" s="1" t="s">
        <v>3840</v>
      </c>
      <c r="C1919" s="1" t="s">
        <v>5</v>
      </c>
    </row>
    <row r="1920" spans="1:3" x14ac:dyDescent="0.25">
      <c r="A1920" s="1" t="s">
        <v>3841</v>
      </c>
      <c r="B1920" s="1" t="s">
        <v>3842</v>
      </c>
      <c r="C1920" s="1" t="s">
        <v>5</v>
      </c>
    </row>
    <row r="1921" spans="1:3" x14ac:dyDescent="0.25">
      <c r="A1921" s="1" t="s">
        <v>3843</v>
      </c>
      <c r="B1921" s="1" t="s">
        <v>3844</v>
      </c>
      <c r="C1921" s="1" t="s">
        <v>5</v>
      </c>
    </row>
    <row r="1922" spans="1:3" x14ac:dyDescent="0.25">
      <c r="A1922" s="1" t="s">
        <v>3845</v>
      </c>
      <c r="B1922" s="1" t="s">
        <v>3846</v>
      </c>
      <c r="C1922" s="1" t="s">
        <v>5</v>
      </c>
    </row>
    <row r="1923" spans="1:3" x14ac:dyDescent="0.25">
      <c r="A1923" s="1" t="s">
        <v>3847</v>
      </c>
      <c r="B1923" s="1" t="s">
        <v>3848</v>
      </c>
      <c r="C1923" s="1" t="s">
        <v>5</v>
      </c>
    </row>
    <row r="1924" spans="1:3" x14ac:dyDescent="0.25">
      <c r="A1924" s="1" t="s">
        <v>3849</v>
      </c>
      <c r="B1924" s="1" t="s">
        <v>3850</v>
      </c>
      <c r="C1924" s="1" t="s">
        <v>5</v>
      </c>
    </row>
    <row r="1925" spans="1:3" x14ac:dyDescent="0.25">
      <c r="A1925" s="1" t="s">
        <v>3851</v>
      </c>
      <c r="B1925" s="1" t="s">
        <v>3852</v>
      </c>
      <c r="C1925" s="1" t="s">
        <v>5</v>
      </c>
    </row>
    <row r="1926" spans="1:3" x14ac:dyDescent="0.25">
      <c r="A1926" s="1" t="s">
        <v>3853</v>
      </c>
      <c r="B1926" s="1" t="s">
        <v>3854</v>
      </c>
      <c r="C1926" s="1" t="s">
        <v>5</v>
      </c>
    </row>
    <row r="1927" spans="1:3" x14ac:dyDescent="0.25">
      <c r="A1927" s="1" t="s">
        <v>3855</v>
      </c>
      <c r="B1927" s="1" t="s">
        <v>3856</v>
      </c>
      <c r="C1927" s="1" t="s">
        <v>5</v>
      </c>
    </row>
    <row r="1928" spans="1:3" x14ac:dyDescent="0.25">
      <c r="A1928" s="1" t="s">
        <v>3857</v>
      </c>
      <c r="B1928" s="1" t="s">
        <v>3858</v>
      </c>
      <c r="C1928" s="1" t="s">
        <v>5</v>
      </c>
    </row>
    <row r="1929" spans="1:3" x14ac:dyDescent="0.25">
      <c r="A1929" s="1" t="s">
        <v>3859</v>
      </c>
      <c r="B1929" s="1" t="s">
        <v>3860</v>
      </c>
      <c r="C1929" s="1" t="s">
        <v>5</v>
      </c>
    </row>
    <row r="1930" spans="1:3" x14ac:dyDescent="0.25">
      <c r="A1930" s="1" t="s">
        <v>3861</v>
      </c>
      <c r="B1930" s="1" t="s">
        <v>3862</v>
      </c>
      <c r="C1930" s="1" t="s">
        <v>5</v>
      </c>
    </row>
    <row r="1931" spans="1:3" x14ac:dyDescent="0.25">
      <c r="A1931" s="1" t="s">
        <v>3863</v>
      </c>
      <c r="B1931" s="1" t="s">
        <v>3864</v>
      </c>
      <c r="C1931" s="1" t="s">
        <v>5</v>
      </c>
    </row>
    <row r="1932" spans="1:3" x14ac:dyDescent="0.25">
      <c r="A1932" s="1" t="s">
        <v>3865</v>
      </c>
      <c r="B1932" s="1" t="s">
        <v>3866</v>
      </c>
      <c r="C1932" s="1" t="s">
        <v>5</v>
      </c>
    </row>
    <row r="1933" spans="1:3" x14ac:dyDescent="0.25">
      <c r="A1933" s="1" t="s">
        <v>3867</v>
      </c>
      <c r="B1933" s="1" t="s">
        <v>3868</v>
      </c>
      <c r="C1933" s="1" t="s">
        <v>5</v>
      </c>
    </row>
    <row r="1934" spans="1:3" x14ac:dyDescent="0.25">
      <c r="A1934" s="1" t="s">
        <v>3869</v>
      </c>
      <c r="B1934" s="1" t="s">
        <v>3870</v>
      </c>
      <c r="C1934" s="1" t="s">
        <v>5</v>
      </c>
    </row>
    <row r="1935" spans="1:3" x14ac:dyDescent="0.25">
      <c r="A1935" s="1" t="s">
        <v>3871</v>
      </c>
      <c r="B1935" s="1" t="s">
        <v>3872</v>
      </c>
      <c r="C1935" s="1" t="s">
        <v>5</v>
      </c>
    </row>
    <row r="1936" spans="1:3" x14ac:dyDescent="0.25">
      <c r="A1936" s="1" t="s">
        <v>3873</v>
      </c>
      <c r="B1936" s="1" t="s">
        <v>3874</v>
      </c>
      <c r="C1936" s="1" t="s">
        <v>5</v>
      </c>
    </row>
    <row r="1937" spans="1:3" x14ac:dyDescent="0.25">
      <c r="A1937" s="1" t="s">
        <v>3875</v>
      </c>
      <c r="B1937" s="1" t="s">
        <v>3876</v>
      </c>
      <c r="C1937" s="1" t="s">
        <v>5</v>
      </c>
    </row>
    <row r="1938" spans="1:3" x14ac:dyDescent="0.25">
      <c r="A1938" s="1" t="s">
        <v>3877</v>
      </c>
      <c r="B1938" s="1" t="s">
        <v>3878</v>
      </c>
      <c r="C1938" s="1" t="s">
        <v>5</v>
      </c>
    </row>
    <row r="1939" spans="1:3" x14ac:dyDescent="0.25">
      <c r="A1939" s="1" t="s">
        <v>3879</v>
      </c>
      <c r="B1939" s="1" t="s">
        <v>3880</v>
      </c>
      <c r="C1939" s="1" t="s">
        <v>5</v>
      </c>
    </row>
    <row r="1940" spans="1:3" x14ac:dyDescent="0.25">
      <c r="A1940" s="1" t="s">
        <v>3881</v>
      </c>
      <c r="B1940" s="1" t="s">
        <v>3882</v>
      </c>
      <c r="C1940" s="1" t="s">
        <v>5</v>
      </c>
    </row>
    <row r="1941" spans="1:3" x14ac:dyDescent="0.25">
      <c r="A1941" s="1" t="s">
        <v>3883</v>
      </c>
      <c r="B1941" s="1" t="s">
        <v>3884</v>
      </c>
      <c r="C1941" s="1" t="s">
        <v>5</v>
      </c>
    </row>
    <row r="1942" spans="1:3" x14ac:dyDescent="0.25">
      <c r="A1942" s="1" t="s">
        <v>3885</v>
      </c>
      <c r="B1942" s="1" t="s">
        <v>3886</v>
      </c>
      <c r="C1942" s="1" t="s">
        <v>5</v>
      </c>
    </row>
    <row r="1943" spans="1:3" x14ac:dyDescent="0.25">
      <c r="A1943" s="1" t="s">
        <v>3887</v>
      </c>
      <c r="B1943" s="1" t="s">
        <v>3888</v>
      </c>
      <c r="C1943" s="1" t="s">
        <v>5</v>
      </c>
    </row>
    <row r="1944" spans="1:3" x14ac:dyDescent="0.25">
      <c r="A1944" s="1" t="s">
        <v>3889</v>
      </c>
      <c r="B1944" s="1" t="s">
        <v>3890</v>
      </c>
      <c r="C1944" s="1" t="s">
        <v>5</v>
      </c>
    </row>
    <row r="1945" spans="1:3" x14ac:dyDescent="0.25">
      <c r="A1945" s="1" t="s">
        <v>3891</v>
      </c>
      <c r="B1945" s="1" t="s">
        <v>3892</v>
      </c>
      <c r="C1945" s="1" t="s">
        <v>5</v>
      </c>
    </row>
    <row r="1946" spans="1:3" x14ac:dyDescent="0.25">
      <c r="A1946" s="1" t="s">
        <v>3893</v>
      </c>
      <c r="B1946" s="1" t="s">
        <v>3894</v>
      </c>
      <c r="C1946" s="1" t="s">
        <v>5</v>
      </c>
    </row>
    <row r="1947" spans="1:3" x14ac:dyDescent="0.25">
      <c r="A1947" s="1" t="s">
        <v>3895</v>
      </c>
      <c r="B1947" s="1" t="s">
        <v>3896</v>
      </c>
      <c r="C1947" s="1" t="s">
        <v>5</v>
      </c>
    </row>
    <row r="1948" spans="1:3" x14ac:dyDescent="0.25">
      <c r="A1948" s="1" t="s">
        <v>3897</v>
      </c>
      <c r="B1948" s="1" t="s">
        <v>3898</v>
      </c>
      <c r="C1948" s="1" t="s">
        <v>5</v>
      </c>
    </row>
    <row r="1949" spans="1:3" x14ac:dyDescent="0.25">
      <c r="A1949" s="1" t="s">
        <v>3899</v>
      </c>
      <c r="B1949" s="1" t="s">
        <v>3900</v>
      </c>
      <c r="C1949" s="1" t="s">
        <v>5</v>
      </c>
    </row>
    <row r="1950" spans="1:3" x14ac:dyDescent="0.25">
      <c r="A1950" s="1" t="s">
        <v>3901</v>
      </c>
      <c r="B1950" s="1" t="s">
        <v>3902</v>
      </c>
      <c r="C1950" s="1" t="s">
        <v>5</v>
      </c>
    </row>
    <row r="1951" spans="1:3" x14ac:dyDescent="0.25">
      <c r="A1951" s="1" t="s">
        <v>3903</v>
      </c>
      <c r="B1951" s="1" t="s">
        <v>3904</v>
      </c>
      <c r="C1951" s="1" t="s">
        <v>5</v>
      </c>
    </row>
    <row r="1952" spans="1:3" x14ac:dyDescent="0.25">
      <c r="A1952" s="1" t="s">
        <v>3905</v>
      </c>
      <c r="B1952" s="1" t="s">
        <v>3906</v>
      </c>
      <c r="C1952" s="1" t="s">
        <v>5</v>
      </c>
    </row>
    <row r="1953" spans="1:3" x14ac:dyDescent="0.25">
      <c r="A1953" s="1" t="s">
        <v>3907</v>
      </c>
      <c r="B1953" s="1" t="s">
        <v>3908</v>
      </c>
      <c r="C1953" s="1" t="s">
        <v>5</v>
      </c>
    </row>
    <row r="1954" spans="1:3" x14ac:dyDescent="0.25">
      <c r="A1954" s="1" t="s">
        <v>3909</v>
      </c>
      <c r="B1954" s="1" t="s">
        <v>3910</v>
      </c>
      <c r="C1954" s="1" t="s">
        <v>5</v>
      </c>
    </row>
    <row r="1955" spans="1:3" x14ac:dyDescent="0.25">
      <c r="A1955" s="1" t="s">
        <v>3911</v>
      </c>
      <c r="B1955" s="1" t="s">
        <v>3912</v>
      </c>
      <c r="C1955" s="1" t="s">
        <v>5</v>
      </c>
    </row>
    <row r="1956" spans="1:3" x14ac:dyDescent="0.25">
      <c r="A1956" s="1" t="s">
        <v>3913</v>
      </c>
      <c r="B1956" s="1" t="s">
        <v>3914</v>
      </c>
      <c r="C1956" s="1" t="s">
        <v>5</v>
      </c>
    </row>
    <row r="1957" spans="1:3" x14ac:dyDescent="0.25">
      <c r="A1957" s="1" t="s">
        <v>3915</v>
      </c>
      <c r="B1957" s="1" t="s">
        <v>3916</v>
      </c>
      <c r="C1957" s="1" t="s">
        <v>5</v>
      </c>
    </row>
    <row r="1958" spans="1:3" x14ac:dyDescent="0.25">
      <c r="A1958" s="1" t="s">
        <v>3917</v>
      </c>
      <c r="B1958" s="1" t="s">
        <v>3918</v>
      </c>
      <c r="C1958" s="1" t="s">
        <v>5</v>
      </c>
    </row>
    <row r="1959" spans="1:3" x14ac:dyDescent="0.25">
      <c r="A1959" s="1" t="s">
        <v>3919</v>
      </c>
      <c r="B1959" s="1" t="s">
        <v>3920</v>
      </c>
      <c r="C1959" s="1" t="s">
        <v>5</v>
      </c>
    </row>
    <row r="1960" spans="1:3" x14ac:dyDescent="0.25">
      <c r="A1960" s="1" t="s">
        <v>3921</v>
      </c>
      <c r="B1960" s="1" t="s">
        <v>3922</v>
      </c>
      <c r="C1960" s="1" t="s">
        <v>5</v>
      </c>
    </row>
    <row r="1961" spans="1:3" x14ac:dyDescent="0.25">
      <c r="A1961" s="1" t="s">
        <v>3923</v>
      </c>
      <c r="B1961" s="1" t="s">
        <v>3924</v>
      </c>
      <c r="C1961" s="1" t="s">
        <v>5</v>
      </c>
    </row>
    <row r="1962" spans="1:3" x14ac:dyDescent="0.25">
      <c r="A1962" s="1" t="s">
        <v>3925</v>
      </c>
      <c r="B1962" s="1" t="s">
        <v>3926</v>
      </c>
      <c r="C1962" s="1" t="s">
        <v>5</v>
      </c>
    </row>
    <row r="1963" spans="1:3" x14ac:dyDescent="0.25">
      <c r="A1963" s="1" t="s">
        <v>3927</v>
      </c>
      <c r="B1963" s="1" t="s">
        <v>3928</v>
      </c>
      <c r="C1963" s="1" t="s">
        <v>5</v>
      </c>
    </row>
    <row r="1964" spans="1:3" x14ac:dyDescent="0.25">
      <c r="A1964" s="1" t="s">
        <v>3929</v>
      </c>
      <c r="B1964" s="1" t="s">
        <v>3930</v>
      </c>
      <c r="C1964" s="1" t="s">
        <v>5</v>
      </c>
    </row>
    <row r="1965" spans="1:3" x14ac:dyDescent="0.25">
      <c r="A1965" s="1" t="s">
        <v>3931</v>
      </c>
      <c r="B1965" s="1" t="s">
        <v>3932</v>
      </c>
      <c r="C1965" s="1" t="s">
        <v>5</v>
      </c>
    </row>
    <row r="1966" spans="1:3" x14ac:dyDescent="0.25">
      <c r="A1966" s="1" t="s">
        <v>3933</v>
      </c>
      <c r="B1966" s="1" t="s">
        <v>3934</v>
      </c>
      <c r="C1966" s="1" t="s">
        <v>5</v>
      </c>
    </row>
    <row r="1967" spans="1:3" x14ac:dyDescent="0.25">
      <c r="A1967" s="1" t="s">
        <v>3935</v>
      </c>
      <c r="B1967" s="1" t="s">
        <v>3936</v>
      </c>
      <c r="C1967" s="1" t="s">
        <v>5</v>
      </c>
    </row>
    <row r="1968" spans="1:3" x14ac:dyDescent="0.25">
      <c r="A1968" s="1" t="s">
        <v>3937</v>
      </c>
      <c r="B1968" s="1" t="s">
        <v>3938</v>
      </c>
      <c r="C1968" s="1" t="s">
        <v>5</v>
      </c>
    </row>
    <row r="1969" spans="1:3" x14ac:dyDescent="0.25">
      <c r="A1969" s="1" t="s">
        <v>3939</v>
      </c>
      <c r="B1969" s="1" t="s">
        <v>3940</v>
      </c>
      <c r="C1969" s="1" t="s">
        <v>5</v>
      </c>
    </row>
    <row r="1970" spans="1:3" x14ac:dyDescent="0.25">
      <c r="A1970" s="1" t="s">
        <v>3941</v>
      </c>
      <c r="B1970" s="1" t="s">
        <v>3942</v>
      </c>
      <c r="C1970" s="1" t="s">
        <v>5</v>
      </c>
    </row>
    <row r="1971" spans="1:3" x14ac:dyDescent="0.25">
      <c r="A1971" s="1" t="s">
        <v>3943</v>
      </c>
      <c r="B1971" s="1" t="s">
        <v>3944</v>
      </c>
      <c r="C1971" s="1" t="s">
        <v>5</v>
      </c>
    </row>
    <row r="1972" spans="1:3" x14ac:dyDescent="0.25">
      <c r="A1972" s="1" t="s">
        <v>3945</v>
      </c>
      <c r="B1972" s="1" t="s">
        <v>3946</v>
      </c>
      <c r="C1972" s="1" t="s">
        <v>5</v>
      </c>
    </row>
    <row r="1973" spans="1:3" x14ac:dyDescent="0.25">
      <c r="A1973" s="1" t="s">
        <v>3947</v>
      </c>
      <c r="B1973" s="1" t="s">
        <v>3948</v>
      </c>
      <c r="C1973" s="1" t="s">
        <v>5</v>
      </c>
    </row>
    <row r="1974" spans="1:3" x14ac:dyDescent="0.25">
      <c r="A1974" s="1" t="s">
        <v>3949</v>
      </c>
      <c r="B1974" s="1" t="s">
        <v>3950</v>
      </c>
      <c r="C1974" s="1" t="s">
        <v>5</v>
      </c>
    </row>
    <row r="1975" spans="1:3" x14ac:dyDescent="0.25">
      <c r="A1975" s="1" t="s">
        <v>3951</v>
      </c>
      <c r="B1975" s="1" t="s">
        <v>3952</v>
      </c>
      <c r="C1975" s="1" t="s">
        <v>5</v>
      </c>
    </row>
    <row r="1976" spans="1:3" x14ac:dyDescent="0.25">
      <c r="A1976" s="1" t="s">
        <v>3953</v>
      </c>
      <c r="B1976" s="1" t="s">
        <v>3954</v>
      </c>
      <c r="C1976" s="1" t="s">
        <v>5</v>
      </c>
    </row>
    <row r="1977" spans="1:3" x14ac:dyDescent="0.25">
      <c r="A1977" s="1" t="s">
        <v>3955</v>
      </c>
      <c r="B1977" s="1" t="s">
        <v>3956</v>
      </c>
      <c r="C1977" s="1" t="s">
        <v>5</v>
      </c>
    </row>
    <row r="1978" spans="1:3" x14ac:dyDescent="0.25">
      <c r="A1978" s="1" t="s">
        <v>3957</v>
      </c>
      <c r="B1978" s="1" t="s">
        <v>3958</v>
      </c>
      <c r="C1978" s="1" t="s">
        <v>5</v>
      </c>
    </row>
    <row r="1979" spans="1:3" x14ac:dyDescent="0.25">
      <c r="A1979" s="1" t="s">
        <v>3959</v>
      </c>
      <c r="B1979" s="1" t="s">
        <v>3960</v>
      </c>
      <c r="C1979" s="1" t="s">
        <v>448</v>
      </c>
    </row>
    <row r="1980" spans="1:3" x14ac:dyDescent="0.25">
      <c r="A1980" s="1" t="s">
        <v>3961</v>
      </c>
      <c r="B1980" s="1" t="s">
        <v>3962</v>
      </c>
      <c r="C1980" s="1" t="s">
        <v>5</v>
      </c>
    </row>
    <row r="1981" spans="1:3" x14ac:dyDescent="0.25">
      <c r="A1981" s="1" t="s">
        <v>3963</v>
      </c>
      <c r="B1981" s="1" t="s">
        <v>3964</v>
      </c>
      <c r="C1981" s="1" t="s">
        <v>5</v>
      </c>
    </row>
    <row r="1982" spans="1:3" x14ac:dyDescent="0.25">
      <c r="A1982" s="1" t="s">
        <v>3965</v>
      </c>
      <c r="B1982" s="1" t="s">
        <v>3966</v>
      </c>
      <c r="C1982" s="1" t="s">
        <v>5</v>
      </c>
    </row>
    <row r="1983" spans="1:3" x14ac:dyDescent="0.25">
      <c r="A1983" s="1" t="s">
        <v>3967</v>
      </c>
      <c r="B1983" s="1" t="s">
        <v>3968</v>
      </c>
      <c r="C1983" s="1" t="s">
        <v>5</v>
      </c>
    </row>
    <row r="1984" spans="1:3" x14ac:dyDescent="0.25">
      <c r="A1984" s="1" t="s">
        <v>3969</v>
      </c>
      <c r="B1984" s="1" t="s">
        <v>3970</v>
      </c>
      <c r="C1984" s="1" t="s">
        <v>5</v>
      </c>
    </row>
    <row r="1985" spans="1:3" x14ac:dyDescent="0.25">
      <c r="A1985" s="1" t="s">
        <v>3971</v>
      </c>
      <c r="B1985" s="1" t="s">
        <v>3972</v>
      </c>
      <c r="C1985" s="1" t="s">
        <v>5</v>
      </c>
    </row>
    <row r="1986" spans="1:3" x14ac:dyDescent="0.25">
      <c r="A1986" s="1" t="s">
        <v>3973</v>
      </c>
      <c r="B1986" s="1" t="s">
        <v>3974</v>
      </c>
      <c r="C1986" s="1" t="s">
        <v>5</v>
      </c>
    </row>
    <row r="1987" spans="1:3" x14ac:dyDescent="0.25">
      <c r="A1987" s="1" t="s">
        <v>3975</v>
      </c>
      <c r="B1987" s="1" t="s">
        <v>3976</v>
      </c>
      <c r="C1987" s="1" t="s">
        <v>5</v>
      </c>
    </row>
    <row r="1988" spans="1:3" x14ac:dyDescent="0.25">
      <c r="A1988" s="1" t="s">
        <v>3977</v>
      </c>
      <c r="B1988" s="1" t="s">
        <v>3978</v>
      </c>
      <c r="C1988" s="1" t="s">
        <v>5</v>
      </c>
    </row>
    <row r="1989" spans="1:3" x14ac:dyDescent="0.25">
      <c r="A1989" s="1" t="s">
        <v>3979</v>
      </c>
      <c r="B1989" s="1" t="s">
        <v>3980</v>
      </c>
      <c r="C1989" s="1" t="s">
        <v>5</v>
      </c>
    </row>
    <row r="1990" spans="1:3" x14ac:dyDescent="0.25">
      <c r="A1990" s="1" t="s">
        <v>3981</v>
      </c>
      <c r="B1990" s="1" t="s">
        <v>3982</v>
      </c>
      <c r="C1990" s="1" t="s">
        <v>5</v>
      </c>
    </row>
    <row r="1991" spans="1:3" x14ac:dyDescent="0.25">
      <c r="A1991" s="1" t="s">
        <v>3983</v>
      </c>
      <c r="B1991" s="1" t="s">
        <v>3984</v>
      </c>
      <c r="C1991" s="1" t="s">
        <v>5</v>
      </c>
    </row>
    <row r="1992" spans="1:3" x14ac:dyDescent="0.25">
      <c r="A1992" s="1" t="s">
        <v>3985</v>
      </c>
      <c r="B1992" s="1" t="s">
        <v>3986</v>
      </c>
      <c r="C1992" s="1" t="s">
        <v>5</v>
      </c>
    </row>
    <row r="1993" spans="1:3" x14ac:dyDescent="0.25">
      <c r="A1993" s="1" t="s">
        <v>3987</v>
      </c>
      <c r="B1993" s="1" t="s">
        <v>3988</v>
      </c>
      <c r="C1993" s="1" t="s">
        <v>5</v>
      </c>
    </row>
    <row r="1994" spans="1:3" x14ac:dyDescent="0.25">
      <c r="A1994" s="1" t="s">
        <v>3989</v>
      </c>
      <c r="B1994" s="1" t="s">
        <v>3990</v>
      </c>
      <c r="C1994" s="1" t="s">
        <v>5</v>
      </c>
    </row>
    <row r="1995" spans="1:3" x14ac:dyDescent="0.25">
      <c r="A1995" s="1" t="s">
        <v>3991</v>
      </c>
      <c r="B1995" s="1" t="s">
        <v>3992</v>
      </c>
      <c r="C1995" s="1" t="s">
        <v>5</v>
      </c>
    </row>
    <row r="1996" spans="1:3" x14ac:dyDescent="0.25">
      <c r="A1996" s="1" t="s">
        <v>3993</v>
      </c>
      <c r="B1996" s="1" t="s">
        <v>3994</v>
      </c>
      <c r="C1996" s="1" t="s">
        <v>5</v>
      </c>
    </row>
    <row r="1997" spans="1:3" x14ac:dyDescent="0.25">
      <c r="A1997" s="1" t="s">
        <v>3995</v>
      </c>
      <c r="B1997" s="1" t="s">
        <v>3996</v>
      </c>
      <c r="C1997" s="1" t="s">
        <v>5</v>
      </c>
    </row>
    <row r="1998" spans="1:3" x14ac:dyDescent="0.25">
      <c r="A1998" s="1" t="s">
        <v>3997</v>
      </c>
      <c r="B1998" s="1" t="s">
        <v>3998</v>
      </c>
      <c r="C1998" s="1" t="s">
        <v>5</v>
      </c>
    </row>
    <row r="1999" spans="1:3" x14ac:dyDescent="0.25">
      <c r="A1999" s="1" t="s">
        <v>3999</v>
      </c>
      <c r="B1999" s="1" t="s">
        <v>4000</v>
      </c>
      <c r="C1999" s="1" t="s">
        <v>5</v>
      </c>
    </row>
    <row r="2000" spans="1:3" x14ac:dyDescent="0.25">
      <c r="A2000" s="1" t="s">
        <v>4001</v>
      </c>
      <c r="B2000" s="1" t="s">
        <v>4002</v>
      </c>
      <c r="C2000" s="1" t="s">
        <v>5</v>
      </c>
    </row>
    <row r="2001" spans="1:3" x14ac:dyDescent="0.25">
      <c r="A2001" s="1" t="s">
        <v>4003</v>
      </c>
      <c r="B2001" s="1" t="s">
        <v>4004</v>
      </c>
      <c r="C2001" s="1" t="s">
        <v>5</v>
      </c>
    </row>
    <row r="2002" spans="1:3" x14ac:dyDescent="0.25">
      <c r="A2002" s="1" t="s">
        <v>4005</v>
      </c>
      <c r="B2002" s="1" t="s">
        <v>4006</v>
      </c>
      <c r="C2002" s="1" t="s">
        <v>5</v>
      </c>
    </row>
    <row r="2003" spans="1:3" x14ac:dyDescent="0.25">
      <c r="A2003" s="1" t="s">
        <v>4007</v>
      </c>
      <c r="B2003" s="1" t="s">
        <v>4008</v>
      </c>
      <c r="C2003" s="1" t="s">
        <v>5</v>
      </c>
    </row>
    <row r="2004" spans="1:3" x14ac:dyDescent="0.25">
      <c r="A2004" s="1" t="s">
        <v>4009</v>
      </c>
      <c r="B2004" s="1" t="s">
        <v>4010</v>
      </c>
      <c r="C2004" s="1" t="s">
        <v>5</v>
      </c>
    </row>
    <row r="2005" spans="1:3" x14ac:dyDescent="0.25">
      <c r="A2005" s="1" t="s">
        <v>4011</v>
      </c>
      <c r="B2005" s="1" t="s">
        <v>4012</v>
      </c>
      <c r="C2005" s="1" t="s">
        <v>5</v>
      </c>
    </row>
    <row r="2006" spans="1:3" x14ac:dyDescent="0.25">
      <c r="A2006" s="1" t="s">
        <v>4013</v>
      </c>
      <c r="B2006" s="1" t="s">
        <v>4014</v>
      </c>
      <c r="C2006" s="1" t="s">
        <v>5</v>
      </c>
    </row>
    <row r="2007" spans="1:3" x14ac:dyDescent="0.25">
      <c r="A2007" s="1" t="s">
        <v>4015</v>
      </c>
      <c r="B2007" s="1" t="s">
        <v>4016</v>
      </c>
      <c r="C2007" s="1" t="s">
        <v>5</v>
      </c>
    </row>
    <row r="2008" spans="1:3" x14ac:dyDescent="0.25">
      <c r="A2008" s="1" t="s">
        <v>4017</v>
      </c>
      <c r="B2008" s="1" t="s">
        <v>4018</v>
      </c>
      <c r="C2008" s="1" t="s">
        <v>5</v>
      </c>
    </row>
    <row r="2009" spans="1:3" x14ac:dyDescent="0.25">
      <c r="A2009" s="1" t="s">
        <v>4019</v>
      </c>
      <c r="B2009" s="1" t="s">
        <v>4020</v>
      </c>
      <c r="C2009" s="1" t="s">
        <v>5</v>
      </c>
    </row>
    <row r="2010" spans="1:3" x14ac:dyDescent="0.25">
      <c r="A2010" s="1" t="s">
        <v>4021</v>
      </c>
      <c r="B2010" s="1" t="s">
        <v>4022</v>
      </c>
      <c r="C2010" s="1" t="s">
        <v>5</v>
      </c>
    </row>
    <row r="2011" spans="1:3" x14ac:dyDescent="0.25">
      <c r="A2011" s="1" t="s">
        <v>4023</v>
      </c>
      <c r="B2011" s="1" t="s">
        <v>4024</v>
      </c>
      <c r="C2011" s="1" t="s">
        <v>5</v>
      </c>
    </row>
    <row r="2012" spans="1:3" x14ac:dyDescent="0.25">
      <c r="A2012" s="1" t="s">
        <v>4025</v>
      </c>
      <c r="B2012" s="1" t="s">
        <v>4026</v>
      </c>
      <c r="C2012" s="1" t="s">
        <v>5</v>
      </c>
    </row>
    <row r="2013" spans="1:3" x14ac:dyDescent="0.25">
      <c r="A2013" s="1" t="s">
        <v>4027</v>
      </c>
      <c r="B2013" s="1" t="s">
        <v>4028</v>
      </c>
      <c r="C2013" s="1" t="s">
        <v>5</v>
      </c>
    </row>
    <row r="2014" spans="1:3" x14ac:dyDescent="0.25">
      <c r="A2014" s="1" t="s">
        <v>4029</v>
      </c>
      <c r="B2014" s="1" t="s">
        <v>4030</v>
      </c>
      <c r="C2014" s="1" t="s">
        <v>5</v>
      </c>
    </row>
    <row r="2015" spans="1:3" x14ac:dyDescent="0.25">
      <c r="A2015" s="1" t="s">
        <v>4031</v>
      </c>
      <c r="B2015" s="1" t="s">
        <v>4032</v>
      </c>
      <c r="C2015" s="1" t="s">
        <v>5</v>
      </c>
    </row>
    <row r="2016" spans="1:3" x14ac:dyDescent="0.25">
      <c r="A2016" s="1" t="s">
        <v>4033</v>
      </c>
      <c r="B2016" s="1" t="s">
        <v>4034</v>
      </c>
      <c r="C2016" s="1" t="s">
        <v>5</v>
      </c>
    </row>
    <row r="2017" spans="1:3" x14ac:dyDescent="0.25">
      <c r="A2017" s="1" t="s">
        <v>4035</v>
      </c>
      <c r="B2017" s="1" t="s">
        <v>4036</v>
      </c>
      <c r="C2017" s="1" t="s">
        <v>5</v>
      </c>
    </row>
    <row r="2018" spans="1:3" x14ac:dyDescent="0.25">
      <c r="A2018" s="1" t="s">
        <v>4037</v>
      </c>
      <c r="B2018" s="1" t="s">
        <v>4038</v>
      </c>
      <c r="C2018" s="1" t="s">
        <v>5</v>
      </c>
    </row>
    <row r="2019" spans="1:3" x14ac:dyDescent="0.25">
      <c r="A2019" s="1" t="s">
        <v>4039</v>
      </c>
      <c r="B2019" s="1" t="s">
        <v>4040</v>
      </c>
      <c r="C2019" s="1" t="s">
        <v>5</v>
      </c>
    </row>
    <row r="2020" spans="1:3" x14ac:dyDescent="0.25">
      <c r="A2020" s="1" t="s">
        <v>4041</v>
      </c>
      <c r="B2020" s="1" t="s">
        <v>4042</v>
      </c>
      <c r="C2020" s="1" t="s">
        <v>5</v>
      </c>
    </row>
    <row r="2021" spans="1:3" x14ac:dyDescent="0.25">
      <c r="A2021" s="1" t="s">
        <v>4043</v>
      </c>
      <c r="B2021" s="1" t="s">
        <v>4044</v>
      </c>
      <c r="C2021" s="1" t="s">
        <v>5</v>
      </c>
    </row>
    <row r="2022" spans="1:3" x14ac:dyDescent="0.25">
      <c r="A2022" s="1" t="s">
        <v>4045</v>
      </c>
      <c r="B2022" s="1" t="s">
        <v>4046</v>
      </c>
      <c r="C2022" s="1" t="s">
        <v>5</v>
      </c>
    </row>
    <row r="2023" spans="1:3" x14ac:dyDescent="0.25">
      <c r="A2023" s="1" t="s">
        <v>4047</v>
      </c>
      <c r="B2023" s="1" t="s">
        <v>4048</v>
      </c>
      <c r="C2023" s="1" t="s">
        <v>5</v>
      </c>
    </row>
    <row r="2024" spans="1:3" x14ac:dyDescent="0.25">
      <c r="A2024" s="1" t="s">
        <v>4049</v>
      </c>
      <c r="B2024" s="1" t="s">
        <v>4050</v>
      </c>
      <c r="C2024" s="1" t="s">
        <v>5</v>
      </c>
    </row>
    <row r="2025" spans="1:3" x14ac:dyDescent="0.25">
      <c r="A2025" s="1" t="s">
        <v>4051</v>
      </c>
      <c r="B2025" s="1" t="s">
        <v>4052</v>
      </c>
      <c r="C2025" s="1" t="s">
        <v>5</v>
      </c>
    </row>
    <row r="2026" spans="1:3" x14ac:dyDescent="0.25">
      <c r="A2026" s="1" t="s">
        <v>4053</v>
      </c>
      <c r="B2026" s="1" t="s">
        <v>4054</v>
      </c>
      <c r="C2026" s="1" t="s">
        <v>5</v>
      </c>
    </row>
    <row r="2027" spans="1:3" x14ac:dyDescent="0.25">
      <c r="A2027" s="1" t="s">
        <v>4055</v>
      </c>
      <c r="B2027" s="1" t="s">
        <v>4056</v>
      </c>
      <c r="C2027" s="1" t="s">
        <v>5</v>
      </c>
    </row>
    <row r="2028" spans="1:3" x14ac:dyDescent="0.25">
      <c r="A2028" s="1" t="s">
        <v>4057</v>
      </c>
      <c r="B2028" s="1" t="s">
        <v>4058</v>
      </c>
      <c r="C2028" s="1" t="s">
        <v>5</v>
      </c>
    </row>
    <row r="2029" spans="1:3" x14ac:dyDescent="0.25">
      <c r="A2029" s="1" t="s">
        <v>4059</v>
      </c>
      <c r="B2029" s="1" t="s">
        <v>4060</v>
      </c>
      <c r="C2029" s="1" t="s">
        <v>5</v>
      </c>
    </row>
    <row r="2030" spans="1:3" x14ac:dyDescent="0.25">
      <c r="A2030" s="1" t="s">
        <v>4061</v>
      </c>
      <c r="B2030" s="1" t="s">
        <v>4062</v>
      </c>
      <c r="C2030" s="1" t="s">
        <v>5</v>
      </c>
    </row>
    <row r="2031" spans="1:3" x14ac:dyDescent="0.25">
      <c r="A2031" s="1" t="s">
        <v>4063</v>
      </c>
      <c r="B2031" s="1" t="s">
        <v>4064</v>
      </c>
      <c r="C2031" s="1" t="s">
        <v>5</v>
      </c>
    </row>
    <row r="2032" spans="1:3" x14ac:dyDescent="0.25">
      <c r="A2032" s="1" t="s">
        <v>4065</v>
      </c>
      <c r="B2032" s="1" t="s">
        <v>4066</v>
      </c>
      <c r="C2032" s="1" t="s">
        <v>5</v>
      </c>
    </row>
    <row r="2033" spans="1:3" x14ac:dyDescent="0.25">
      <c r="A2033" s="1" t="s">
        <v>4067</v>
      </c>
      <c r="B2033" s="1" t="s">
        <v>4068</v>
      </c>
      <c r="C2033" s="1" t="s">
        <v>5</v>
      </c>
    </row>
    <row r="2034" spans="1:3" x14ac:dyDescent="0.25">
      <c r="A2034" s="1" t="s">
        <v>4069</v>
      </c>
      <c r="B2034" s="1" t="s">
        <v>4070</v>
      </c>
      <c r="C2034" s="1" t="s">
        <v>5</v>
      </c>
    </row>
    <row r="2035" spans="1:3" x14ac:dyDescent="0.25">
      <c r="A2035" s="1" t="s">
        <v>4071</v>
      </c>
      <c r="B2035" s="1" t="s">
        <v>4072</v>
      </c>
      <c r="C2035" s="1" t="s">
        <v>5</v>
      </c>
    </row>
    <row r="2036" spans="1:3" x14ac:dyDescent="0.25">
      <c r="A2036" s="1" t="s">
        <v>4073</v>
      </c>
      <c r="B2036" s="1" t="s">
        <v>4074</v>
      </c>
      <c r="C2036" s="1" t="s">
        <v>5</v>
      </c>
    </row>
    <row r="2037" spans="1:3" x14ac:dyDescent="0.25">
      <c r="A2037" s="1" t="s">
        <v>4075</v>
      </c>
      <c r="B2037" s="1" t="s">
        <v>4076</v>
      </c>
      <c r="C2037" s="1" t="s">
        <v>5</v>
      </c>
    </row>
    <row r="2038" spans="1:3" x14ac:dyDescent="0.25">
      <c r="A2038" s="1" t="s">
        <v>4077</v>
      </c>
      <c r="B2038" s="1" t="s">
        <v>4078</v>
      </c>
      <c r="C2038" s="1" t="s">
        <v>5</v>
      </c>
    </row>
    <row r="2039" spans="1:3" x14ac:dyDescent="0.25">
      <c r="A2039" s="1" t="s">
        <v>4079</v>
      </c>
      <c r="B2039" s="1" t="s">
        <v>4080</v>
      </c>
      <c r="C2039" s="1" t="s">
        <v>5</v>
      </c>
    </row>
    <row r="2040" spans="1:3" x14ac:dyDescent="0.25">
      <c r="A2040" s="1" t="s">
        <v>4081</v>
      </c>
      <c r="B2040" s="1" t="s">
        <v>4082</v>
      </c>
      <c r="C2040" s="1" t="s">
        <v>5</v>
      </c>
    </row>
    <row r="2041" spans="1:3" x14ac:dyDescent="0.25">
      <c r="A2041" s="1" t="s">
        <v>4083</v>
      </c>
      <c r="B2041" s="1" t="s">
        <v>4084</v>
      </c>
      <c r="C2041" s="1" t="s">
        <v>5</v>
      </c>
    </row>
    <row r="2042" spans="1:3" x14ac:dyDescent="0.25">
      <c r="A2042" s="1" t="s">
        <v>4085</v>
      </c>
      <c r="B2042" s="1" t="s">
        <v>4086</v>
      </c>
      <c r="C2042" s="1" t="s">
        <v>5</v>
      </c>
    </row>
    <row r="2043" spans="1:3" x14ac:dyDescent="0.25">
      <c r="A2043" s="1" t="s">
        <v>4087</v>
      </c>
      <c r="B2043" s="1" t="s">
        <v>4088</v>
      </c>
      <c r="C2043" s="1" t="s">
        <v>5</v>
      </c>
    </row>
    <row r="2044" spans="1:3" x14ac:dyDescent="0.25">
      <c r="A2044" s="1" t="s">
        <v>4089</v>
      </c>
      <c r="B2044" s="1" t="s">
        <v>4090</v>
      </c>
      <c r="C2044" s="1" t="s">
        <v>5</v>
      </c>
    </row>
    <row r="2045" spans="1:3" x14ac:dyDescent="0.25">
      <c r="A2045" s="1" t="s">
        <v>4091</v>
      </c>
      <c r="B2045" s="1" t="s">
        <v>4092</v>
      </c>
      <c r="C2045" s="1" t="s">
        <v>5</v>
      </c>
    </row>
    <row r="2046" spans="1:3" x14ac:dyDescent="0.25">
      <c r="A2046" s="1" t="s">
        <v>4093</v>
      </c>
      <c r="B2046" s="1" t="s">
        <v>4094</v>
      </c>
      <c r="C2046" s="1" t="s">
        <v>5</v>
      </c>
    </row>
    <row r="2047" spans="1:3" x14ac:dyDescent="0.25">
      <c r="A2047" s="1" t="s">
        <v>4095</v>
      </c>
      <c r="B2047" s="1" t="s">
        <v>4096</v>
      </c>
      <c r="C2047" s="1" t="s">
        <v>5</v>
      </c>
    </row>
    <row r="2048" spans="1:3" x14ac:dyDescent="0.25">
      <c r="A2048" s="1" t="s">
        <v>4097</v>
      </c>
      <c r="B2048" s="1" t="s">
        <v>4098</v>
      </c>
      <c r="C2048" s="1" t="s">
        <v>5</v>
      </c>
    </row>
    <row r="2049" spans="1:3" x14ac:dyDescent="0.25">
      <c r="A2049" s="1" t="s">
        <v>4099</v>
      </c>
      <c r="B2049" s="1" t="s">
        <v>4100</v>
      </c>
      <c r="C2049" s="1" t="s">
        <v>5</v>
      </c>
    </row>
    <row r="2050" spans="1:3" x14ac:dyDescent="0.25">
      <c r="A2050" s="1" t="s">
        <v>4101</v>
      </c>
      <c r="B2050" s="1" t="s">
        <v>4102</v>
      </c>
      <c r="C2050" s="1" t="s">
        <v>5</v>
      </c>
    </row>
    <row r="2051" spans="1:3" x14ac:dyDescent="0.25">
      <c r="A2051" s="1" t="s">
        <v>4103</v>
      </c>
      <c r="B2051" s="1" t="s">
        <v>4104</v>
      </c>
      <c r="C2051" s="1" t="s">
        <v>5</v>
      </c>
    </row>
    <row r="2052" spans="1:3" x14ac:dyDescent="0.25">
      <c r="A2052" s="1" t="s">
        <v>4105</v>
      </c>
      <c r="B2052" s="1" t="s">
        <v>4106</v>
      </c>
      <c r="C2052" s="1" t="s">
        <v>5</v>
      </c>
    </row>
    <row r="2053" spans="1:3" x14ac:dyDescent="0.25">
      <c r="A2053" s="1" t="s">
        <v>4107</v>
      </c>
      <c r="B2053" s="1" t="s">
        <v>4108</v>
      </c>
      <c r="C2053" s="1" t="s">
        <v>5</v>
      </c>
    </row>
    <row r="2054" spans="1:3" x14ac:dyDescent="0.25">
      <c r="A2054" s="1" t="s">
        <v>4109</v>
      </c>
      <c r="B2054" s="1" t="s">
        <v>4110</v>
      </c>
      <c r="C2054" s="1" t="s">
        <v>5</v>
      </c>
    </row>
    <row r="2055" spans="1:3" x14ac:dyDescent="0.25">
      <c r="A2055" s="1" t="s">
        <v>4111</v>
      </c>
      <c r="B2055" s="1" t="s">
        <v>4112</v>
      </c>
      <c r="C2055" s="1" t="s">
        <v>5</v>
      </c>
    </row>
    <row r="2056" spans="1:3" x14ac:dyDescent="0.25">
      <c r="A2056" s="1" t="s">
        <v>4113</v>
      </c>
      <c r="B2056" s="1" t="s">
        <v>4114</v>
      </c>
      <c r="C2056" s="1" t="s">
        <v>5</v>
      </c>
    </row>
    <row r="2057" spans="1:3" x14ac:dyDescent="0.25">
      <c r="A2057" s="1" t="s">
        <v>4115</v>
      </c>
      <c r="B2057" s="1" t="s">
        <v>4116</v>
      </c>
      <c r="C2057" s="1" t="s">
        <v>5</v>
      </c>
    </row>
    <row r="2058" spans="1:3" x14ac:dyDescent="0.25">
      <c r="A2058" s="1" t="s">
        <v>4117</v>
      </c>
      <c r="B2058" s="1" t="s">
        <v>4118</v>
      </c>
      <c r="C2058" s="1" t="s">
        <v>5</v>
      </c>
    </row>
    <row r="2059" spans="1:3" x14ac:dyDescent="0.25">
      <c r="A2059" s="1" t="s">
        <v>4119</v>
      </c>
      <c r="B2059" s="1" t="s">
        <v>4120</v>
      </c>
      <c r="C2059" s="1" t="s">
        <v>5</v>
      </c>
    </row>
    <row r="2060" spans="1:3" x14ac:dyDescent="0.25">
      <c r="A2060" s="1" t="s">
        <v>4121</v>
      </c>
      <c r="B2060" s="1" t="s">
        <v>4122</v>
      </c>
      <c r="C2060" s="1" t="s">
        <v>5</v>
      </c>
    </row>
    <row r="2061" spans="1:3" x14ac:dyDescent="0.25">
      <c r="A2061" s="1" t="s">
        <v>4123</v>
      </c>
      <c r="B2061" s="1" t="s">
        <v>4124</v>
      </c>
      <c r="C2061" s="1" t="s">
        <v>5</v>
      </c>
    </row>
    <row r="2062" spans="1:3" x14ac:dyDescent="0.25">
      <c r="A2062" s="1" t="s">
        <v>4125</v>
      </c>
      <c r="B2062" s="1" t="s">
        <v>4126</v>
      </c>
      <c r="C2062" s="1" t="s">
        <v>5</v>
      </c>
    </row>
    <row r="2063" spans="1:3" x14ac:dyDescent="0.25">
      <c r="A2063" s="1" t="s">
        <v>4127</v>
      </c>
      <c r="B2063" s="1" t="s">
        <v>4128</v>
      </c>
      <c r="C2063" s="1" t="s">
        <v>5</v>
      </c>
    </row>
    <row r="2064" spans="1:3" x14ac:dyDescent="0.25">
      <c r="A2064" s="1" t="s">
        <v>4129</v>
      </c>
      <c r="B2064" s="1" t="s">
        <v>4130</v>
      </c>
      <c r="C2064" s="1" t="s">
        <v>5</v>
      </c>
    </row>
    <row r="2065" spans="1:3" x14ac:dyDescent="0.25">
      <c r="A2065" s="1" t="s">
        <v>4131</v>
      </c>
      <c r="B2065" s="1" t="s">
        <v>4132</v>
      </c>
      <c r="C2065" s="1" t="s">
        <v>5</v>
      </c>
    </row>
    <row r="2066" spans="1:3" x14ac:dyDescent="0.25">
      <c r="A2066" s="1" t="s">
        <v>4133</v>
      </c>
      <c r="B2066" s="1" t="s">
        <v>4134</v>
      </c>
      <c r="C2066" s="1" t="s">
        <v>5</v>
      </c>
    </row>
    <row r="2067" spans="1:3" x14ac:dyDescent="0.25">
      <c r="A2067" s="1" t="s">
        <v>4135</v>
      </c>
      <c r="B2067" s="1" t="s">
        <v>4136</v>
      </c>
      <c r="C2067" s="1" t="s">
        <v>5</v>
      </c>
    </row>
    <row r="2068" spans="1:3" x14ac:dyDescent="0.25">
      <c r="A2068" s="1" t="s">
        <v>4137</v>
      </c>
      <c r="B2068" s="1" t="s">
        <v>4138</v>
      </c>
      <c r="C2068" s="1" t="s">
        <v>5</v>
      </c>
    </row>
    <row r="2069" spans="1:3" x14ac:dyDescent="0.25">
      <c r="A2069" s="1" t="s">
        <v>4139</v>
      </c>
      <c r="B2069" s="1" t="s">
        <v>4140</v>
      </c>
      <c r="C2069" s="1" t="s">
        <v>5</v>
      </c>
    </row>
    <row r="2070" spans="1:3" x14ac:dyDescent="0.25">
      <c r="A2070" s="1" t="s">
        <v>4141</v>
      </c>
      <c r="B2070" s="1" t="s">
        <v>4142</v>
      </c>
      <c r="C2070" s="1" t="s">
        <v>5</v>
      </c>
    </row>
    <row r="2071" spans="1:3" x14ac:dyDescent="0.25">
      <c r="A2071" s="1" t="s">
        <v>4143</v>
      </c>
      <c r="B2071" s="1" t="s">
        <v>4144</v>
      </c>
      <c r="C2071" s="1" t="s">
        <v>5</v>
      </c>
    </row>
    <row r="2072" spans="1:3" x14ac:dyDescent="0.25">
      <c r="A2072" s="1" t="s">
        <v>4145</v>
      </c>
      <c r="B2072" s="1" t="s">
        <v>4146</v>
      </c>
      <c r="C2072" s="1" t="s">
        <v>5</v>
      </c>
    </row>
    <row r="2073" spans="1:3" x14ac:dyDescent="0.25">
      <c r="A2073" s="1" t="s">
        <v>4147</v>
      </c>
      <c r="B2073" s="1" t="s">
        <v>4148</v>
      </c>
      <c r="C2073" s="1" t="s">
        <v>5</v>
      </c>
    </row>
    <row r="2074" spans="1:3" x14ac:dyDescent="0.25">
      <c r="A2074" s="1" t="s">
        <v>4149</v>
      </c>
      <c r="B2074" s="1" t="s">
        <v>4150</v>
      </c>
      <c r="C2074" s="1" t="s">
        <v>5</v>
      </c>
    </row>
    <row r="2075" spans="1:3" x14ac:dyDescent="0.25">
      <c r="A2075" s="1" t="s">
        <v>4151</v>
      </c>
      <c r="B2075" s="1" t="s">
        <v>4152</v>
      </c>
      <c r="C2075" s="1" t="s">
        <v>5</v>
      </c>
    </row>
    <row r="2076" spans="1:3" x14ac:dyDescent="0.25">
      <c r="A2076" s="1" t="s">
        <v>4153</v>
      </c>
      <c r="B2076" s="1" t="s">
        <v>4154</v>
      </c>
      <c r="C2076" s="1" t="s">
        <v>5</v>
      </c>
    </row>
    <row r="2077" spans="1:3" x14ac:dyDescent="0.25">
      <c r="A2077" s="1" t="s">
        <v>4155</v>
      </c>
      <c r="B2077" s="1" t="s">
        <v>4156</v>
      </c>
      <c r="C2077" s="1" t="s">
        <v>5</v>
      </c>
    </row>
    <row r="2078" spans="1:3" x14ac:dyDescent="0.25">
      <c r="A2078" s="1" t="s">
        <v>4157</v>
      </c>
      <c r="B2078" s="1" t="s">
        <v>4158</v>
      </c>
      <c r="C2078" s="1" t="s">
        <v>5</v>
      </c>
    </row>
    <row r="2079" spans="1:3" x14ac:dyDescent="0.25">
      <c r="A2079" s="1" t="s">
        <v>4159</v>
      </c>
      <c r="B2079" s="1" t="s">
        <v>4160</v>
      </c>
      <c r="C2079" s="1" t="s">
        <v>5</v>
      </c>
    </row>
    <row r="2080" spans="1:3" x14ac:dyDescent="0.25">
      <c r="A2080" s="1" t="s">
        <v>4161</v>
      </c>
      <c r="B2080" s="1" t="s">
        <v>4162</v>
      </c>
      <c r="C2080" s="1" t="s">
        <v>5</v>
      </c>
    </row>
    <row r="2081" spans="1:3" x14ac:dyDescent="0.25">
      <c r="A2081" s="1" t="s">
        <v>4163</v>
      </c>
      <c r="B2081" s="1" t="s">
        <v>4164</v>
      </c>
      <c r="C2081" s="1" t="s">
        <v>5</v>
      </c>
    </row>
    <row r="2082" spans="1:3" x14ac:dyDescent="0.25">
      <c r="A2082" s="1" t="s">
        <v>4165</v>
      </c>
      <c r="B2082" s="1" t="s">
        <v>4166</v>
      </c>
      <c r="C2082" s="1" t="s">
        <v>5</v>
      </c>
    </row>
    <row r="2083" spans="1:3" x14ac:dyDescent="0.25">
      <c r="A2083" s="1" t="s">
        <v>4167</v>
      </c>
      <c r="B2083" s="1" t="s">
        <v>4168</v>
      </c>
      <c r="C2083" s="1" t="s">
        <v>5</v>
      </c>
    </row>
    <row r="2084" spans="1:3" x14ac:dyDescent="0.25">
      <c r="A2084" s="1" t="s">
        <v>4169</v>
      </c>
      <c r="B2084" s="1" t="s">
        <v>4170</v>
      </c>
      <c r="C2084" s="1" t="s">
        <v>5</v>
      </c>
    </row>
    <row r="2085" spans="1:3" x14ac:dyDescent="0.25">
      <c r="A2085" s="1" t="s">
        <v>4171</v>
      </c>
      <c r="B2085" s="1" t="s">
        <v>4172</v>
      </c>
      <c r="C2085" s="1" t="s">
        <v>5</v>
      </c>
    </row>
    <row r="2086" spans="1:3" x14ac:dyDescent="0.25">
      <c r="A2086" s="1" t="s">
        <v>4173</v>
      </c>
      <c r="B2086" s="1" t="s">
        <v>4174</v>
      </c>
      <c r="C2086" s="1" t="s">
        <v>5</v>
      </c>
    </row>
    <row r="2087" spans="1:3" x14ac:dyDescent="0.25">
      <c r="A2087" s="1" t="s">
        <v>4175</v>
      </c>
      <c r="B2087" s="1" t="s">
        <v>4176</v>
      </c>
      <c r="C2087" s="1" t="s">
        <v>5</v>
      </c>
    </row>
    <row r="2088" spans="1:3" x14ac:dyDescent="0.25">
      <c r="A2088" s="1" t="s">
        <v>4177</v>
      </c>
      <c r="B2088" s="1" t="s">
        <v>4178</v>
      </c>
      <c r="C2088" s="1" t="s">
        <v>5</v>
      </c>
    </row>
    <row r="2089" spans="1:3" x14ac:dyDescent="0.25">
      <c r="A2089" s="1" t="s">
        <v>4179</v>
      </c>
      <c r="B2089" s="1" t="s">
        <v>4180</v>
      </c>
      <c r="C2089" s="1" t="s">
        <v>5</v>
      </c>
    </row>
    <row r="2090" spans="1:3" x14ac:dyDescent="0.25">
      <c r="A2090" s="1" t="s">
        <v>4181</v>
      </c>
      <c r="B2090" s="1" t="s">
        <v>4182</v>
      </c>
      <c r="C2090" s="1" t="s">
        <v>5</v>
      </c>
    </row>
    <row r="2091" spans="1:3" x14ac:dyDescent="0.25">
      <c r="A2091" s="1" t="s">
        <v>4183</v>
      </c>
      <c r="B2091" s="1" t="s">
        <v>4184</v>
      </c>
      <c r="C2091" s="1" t="s">
        <v>5</v>
      </c>
    </row>
    <row r="2092" spans="1:3" x14ac:dyDescent="0.25">
      <c r="A2092" s="1" t="s">
        <v>4185</v>
      </c>
      <c r="B2092" s="1" t="s">
        <v>4186</v>
      </c>
      <c r="C2092" s="1" t="s">
        <v>5</v>
      </c>
    </row>
    <row r="2093" spans="1:3" x14ac:dyDescent="0.25">
      <c r="A2093" s="1" t="s">
        <v>4187</v>
      </c>
      <c r="B2093" s="1" t="s">
        <v>4188</v>
      </c>
      <c r="C2093" s="1" t="s">
        <v>5</v>
      </c>
    </row>
    <row r="2094" spans="1:3" x14ac:dyDescent="0.25">
      <c r="A2094" s="1" t="s">
        <v>4189</v>
      </c>
      <c r="B2094" s="1" t="s">
        <v>4190</v>
      </c>
      <c r="C2094" s="1" t="s">
        <v>5</v>
      </c>
    </row>
    <row r="2095" spans="1:3" x14ac:dyDescent="0.25">
      <c r="A2095" s="1" t="s">
        <v>4191</v>
      </c>
      <c r="B2095" s="1" t="s">
        <v>4192</v>
      </c>
      <c r="C2095" s="1" t="s">
        <v>5</v>
      </c>
    </row>
    <row r="2096" spans="1:3" x14ac:dyDescent="0.25">
      <c r="A2096" s="1" t="s">
        <v>4193</v>
      </c>
      <c r="B2096" s="1" t="s">
        <v>4194</v>
      </c>
      <c r="C2096" s="1" t="s">
        <v>5</v>
      </c>
    </row>
    <row r="2097" spans="1:3" x14ac:dyDescent="0.25">
      <c r="A2097" s="1" t="s">
        <v>4195</v>
      </c>
      <c r="B2097" s="1" t="s">
        <v>4196</v>
      </c>
      <c r="C2097" s="1" t="s">
        <v>5</v>
      </c>
    </row>
    <row r="2098" spans="1:3" x14ac:dyDescent="0.25">
      <c r="A2098" s="1" t="s">
        <v>4197</v>
      </c>
      <c r="B2098" s="1" t="s">
        <v>4198</v>
      </c>
      <c r="C2098" s="1" t="s">
        <v>5</v>
      </c>
    </row>
    <row r="2099" spans="1:3" x14ac:dyDescent="0.25">
      <c r="A2099" s="1" t="s">
        <v>4199</v>
      </c>
      <c r="B2099" s="1" t="s">
        <v>4200</v>
      </c>
      <c r="C2099" s="1" t="s">
        <v>5</v>
      </c>
    </row>
    <row r="2100" spans="1:3" x14ac:dyDescent="0.25">
      <c r="A2100" s="1" t="s">
        <v>4201</v>
      </c>
      <c r="B2100" s="1" t="s">
        <v>4202</v>
      </c>
      <c r="C2100" s="1" t="s">
        <v>5</v>
      </c>
    </row>
    <row r="2101" spans="1:3" x14ac:dyDescent="0.25">
      <c r="A2101" s="1" t="s">
        <v>4203</v>
      </c>
      <c r="B2101" s="1" t="s">
        <v>4204</v>
      </c>
      <c r="C2101" s="1" t="s">
        <v>5</v>
      </c>
    </row>
    <row r="2102" spans="1:3" x14ac:dyDescent="0.25">
      <c r="A2102" s="1" t="s">
        <v>4205</v>
      </c>
      <c r="B2102" s="1" t="s">
        <v>4206</v>
      </c>
      <c r="C2102" s="1" t="s">
        <v>5</v>
      </c>
    </row>
    <row r="2103" spans="1:3" x14ac:dyDescent="0.25">
      <c r="A2103" s="1" t="s">
        <v>4207</v>
      </c>
      <c r="B2103" s="1" t="s">
        <v>4208</v>
      </c>
      <c r="C2103" s="1" t="s">
        <v>5</v>
      </c>
    </row>
    <row r="2104" spans="1:3" x14ac:dyDescent="0.25">
      <c r="A2104" s="1" t="s">
        <v>4209</v>
      </c>
      <c r="B2104" s="1" t="s">
        <v>4210</v>
      </c>
      <c r="C2104" s="1" t="s">
        <v>5</v>
      </c>
    </row>
    <row r="2105" spans="1:3" x14ac:dyDescent="0.25">
      <c r="A2105" s="1" t="s">
        <v>4211</v>
      </c>
      <c r="B2105" s="1" t="s">
        <v>4212</v>
      </c>
      <c r="C2105" s="1" t="s">
        <v>5</v>
      </c>
    </row>
    <row r="2106" spans="1:3" x14ac:dyDescent="0.25">
      <c r="A2106" s="1" t="s">
        <v>4213</v>
      </c>
      <c r="B2106" s="1" t="s">
        <v>4214</v>
      </c>
      <c r="C2106" s="1" t="s">
        <v>5</v>
      </c>
    </row>
    <row r="2107" spans="1:3" x14ac:dyDescent="0.25">
      <c r="A2107" s="1" t="s">
        <v>4215</v>
      </c>
      <c r="B2107" s="1" t="s">
        <v>4216</v>
      </c>
      <c r="C2107" s="1" t="s">
        <v>5</v>
      </c>
    </row>
    <row r="2108" spans="1:3" x14ac:dyDescent="0.25">
      <c r="A2108" s="1" t="s">
        <v>4217</v>
      </c>
      <c r="B2108" s="1" t="s">
        <v>4218</v>
      </c>
      <c r="C2108" s="1" t="s">
        <v>5</v>
      </c>
    </row>
    <row r="2109" spans="1:3" x14ac:dyDescent="0.25">
      <c r="A2109" s="1" t="s">
        <v>4219</v>
      </c>
      <c r="B2109" s="1" t="s">
        <v>4220</v>
      </c>
      <c r="C2109" s="1" t="s">
        <v>5</v>
      </c>
    </row>
    <row r="2110" spans="1:3" x14ac:dyDescent="0.25">
      <c r="A2110" s="1" t="s">
        <v>4221</v>
      </c>
      <c r="B2110" s="1" t="s">
        <v>4222</v>
      </c>
      <c r="C2110" s="1" t="s">
        <v>5</v>
      </c>
    </row>
    <row r="2111" spans="1:3" x14ac:dyDescent="0.25">
      <c r="A2111" s="1" t="s">
        <v>4223</v>
      </c>
      <c r="B2111" s="1" t="s">
        <v>4224</v>
      </c>
      <c r="C2111" s="1" t="s">
        <v>5</v>
      </c>
    </row>
    <row r="2112" spans="1:3" x14ac:dyDescent="0.25">
      <c r="A2112" s="1" t="s">
        <v>4225</v>
      </c>
      <c r="B2112" s="1" t="s">
        <v>4226</v>
      </c>
      <c r="C2112" s="1" t="s">
        <v>5</v>
      </c>
    </row>
    <row r="2113" spans="1:3" x14ac:dyDescent="0.25">
      <c r="A2113" s="1" t="s">
        <v>4227</v>
      </c>
      <c r="B2113" s="1" t="s">
        <v>4228</v>
      </c>
      <c r="C2113" s="1" t="s">
        <v>5</v>
      </c>
    </row>
    <row r="2114" spans="1:3" x14ac:dyDescent="0.25">
      <c r="A2114" s="1" t="s">
        <v>4229</v>
      </c>
      <c r="B2114" s="1" t="s">
        <v>4230</v>
      </c>
      <c r="C2114" s="1" t="s">
        <v>5</v>
      </c>
    </row>
    <row r="2115" spans="1:3" x14ac:dyDescent="0.25">
      <c r="A2115" s="1" t="s">
        <v>4231</v>
      </c>
      <c r="B2115" s="1" t="s">
        <v>4232</v>
      </c>
      <c r="C2115" s="1" t="s">
        <v>5</v>
      </c>
    </row>
    <row r="2116" spans="1:3" x14ac:dyDescent="0.25">
      <c r="A2116" s="1" t="s">
        <v>4233</v>
      </c>
      <c r="B2116" s="1" t="s">
        <v>4234</v>
      </c>
      <c r="C2116" s="1" t="s">
        <v>5</v>
      </c>
    </row>
    <row r="2117" spans="1:3" x14ac:dyDescent="0.25">
      <c r="A2117" s="1" t="s">
        <v>4235</v>
      </c>
      <c r="B2117" s="1" t="s">
        <v>4236</v>
      </c>
      <c r="C2117" s="1" t="s">
        <v>5</v>
      </c>
    </row>
    <row r="2118" spans="1:3" x14ac:dyDescent="0.25">
      <c r="A2118" s="1" t="s">
        <v>4237</v>
      </c>
      <c r="B2118" s="1" t="s">
        <v>4238</v>
      </c>
      <c r="C2118" s="1" t="s">
        <v>5</v>
      </c>
    </row>
    <row r="2119" spans="1:3" x14ac:dyDescent="0.25">
      <c r="A2119" s="1" t="s">
        <v>4239</v>
      </c>
      <c r="B2119" s="1" t="s">
        <v>4240</v>
      </c>
      <c r="C2119" s="1" t="s">
        <v>5</v>
      </c>
    </row>
    <row r="2120" spans="1:3" x14ac:dyDescent="0.25">
      <c r="A2120" s="1" t="s">
        <v>4241</v>
      </c>
      <c r="B2120" s="1" t="s">
        <v>4242</v>
      </c>
      <c r="C2120" s="1" t="s">
        <v>5</v>
      </c>
    </row>
    <row r="2121" spans="1:3" x14ac:dyDescent="0.25">
      <c r="A2121" s="1" t="s">
        <v>4243</v>
      </c>
      <c r="B2121" s="1" t="s">
        <v>4244</v>
      </c>
      <c r="C2121" s="1" t="s">
        <v>5</v>
      </c>
    </row>
    <row r="2122" spans="1:3" x14ac:dyDescent="0.25">
      <c r="A2122" s="1" t="s">
        <v>4245</v>
      </c>
      <c r="B2122" s="1" t="s">
        <v>4246</v>
      </c>
      <c r="C2122" s="1" t="s">
        <v>5</v>
      </c>
    </row>
    <row r="2123" spans="1:3" x14ac:dyDescent="0.25">
      <c r="A2123" s="1" t="s">
        <v>4247</v>
      </c>
      <c r="B2123" s="1" t="s">
        <v>4248</v>
      </c>
      <c r="C2123" s="1" t="s">
        <v>5</v>
      </c>
    </row>
    <row r="2124" spans="1:3" x14ac:dyDescent="0.25">
      <c r="A2124" s="1" t="s">
        <v>4249</v>
      </c>
      <c r="B2124" s="1" t="s">
        <v>4250</v>
      </c>
      <c r="C2124" s="1" t="s">
        <v>5</v>
      </c>
    </row>
    <row r="2125" spans="1:3" x14ac:dyDescent="0.25">
      <c r="A2125" s="1" t="s">
        <v>4251</v>
      </c>
      <c r="B2125" s="1" t="s">
        <v>4252</v>
      </c>
      <c r="C2125" s="1" t="s">
        <v>5</v>
      </c>
    </row>
    <row r="2126" spans="1:3" x14ac:dyDescent="0.25">
      <c r="A2126" s="1" t="s">
        <v>4253</v>
      </c>
      <c r="B2126" s="1" t="s">
        <v>4254</v>
      </c>
      <c r="C2126" s="1" t="s">
        <v>5</v>
      </c>
    </row>
    <row r="2127" spans="1:3" x14ac:dyDescent="0.25">
      <c r="A2127" s="1" t="s">
        <v>4255</v>
      </c>
      <c r="B2127" s="1" t="s">
        <v>4256</v>
      </c>
      <c r="C2127" s="1" t="s">
        <v>5</v>
      </c>
    </row>
    <row r="2128" spans="1:3" x14ac:dyDescent="0.25">
      <c r="A2128" s="1" t="s">
        <v>4257</v>
      </c>
      <c r="B2128" s="1" t="s">
        <v>4258</v>
      </c>
      <c r="C2128" s="1" t="s">
        <v>5</v>
      </c>
    </row>
    <row r="2129" spans="1:3" x14ac:dyDescent="0.25">
      <c r="A2129" s="1" t="s">
        <v>4259</v>
      </c>
      <c r="B2129" s="1" t="s">
        <v>4260</v>
      </c>
      <c r="C2129" s="1" t="s">
        <v>5</v>
      </c>
    </row>
    <row r="2130" spans="1:3" x14ac:dyDescent="0.25">
      <c r="A2130" s="1" t="s">
        <v>4261</v>
      </c>
      <c r="B2130" s="1" t="s">
        <v>4262</v>
      </c>
      <c r="C2130" s="1" t="s">
        <v>5</v>
      </c>
    </row>
    <row r="2131" spans="1:3" x14ac:dyDescent="0.25">
      <c r="A2131" s="1" t="s">
        <v>4263</v>
      </c>
      <c r="B2131" s="1" t="s">
        <v>4264</v>
      </c>
      <c r="C2131" s="1" t="s">
        <v>5</v>
      </c>
    </row>
    <row r="2132" spans="1:3" x14ac:dyDescent="0.25">
      <c r="A2132" s="1" t="s">
        <v>4265</v>
      </c>
      <c r="B2132" s="1" t="s">
        <v>4266</v>
      </c>
      <c r="C2132" s="1" t="s">
        <v>5</v>
      </c>
    </row>
    <row r="2133" spans="1:3" x14ac:dyDescent="0.25">
      <c r="A2133" s="1" t="s">
        <v>4267</v>
      </c>
      <c r="B2133" s="1" t="s">
        <v>4268</v>
      </c>
      <c r="C2133" s="1" t="s">
        <v>5</v>
      </c>
    </row>
    <row r="2134" spans="1:3" x14ac:dyDescent="0.25">
      <c r="A2134" s="1" t="s">
        <v>4269</v>
      </c>
      <c r="B2134" s="1" t="s">
        <v>4270</v>
      </c>
      <c r="C2134" s="1" t="s">
        <v>5</v>
      </c>
    </row>
    <row r="2135" spans="1:3" x14ac:dyDescent="0.25">
      <c r="A2135" s="1" t="s">
        <v>4271</v>
      </c>
      <c r="B2135" s="1" t="s">
        <v>4272</v>
      </c>
      <c r="C2135" s="1" t="s">
        <v>5</v>
      </c>
    </row>
    <row r="2136" spans="1:3" x14ac:dyDescent="0.25">
      <c r="A2136" s="1" t="s">
        <v>4273</v>
      </c>
      <c r="B2136" s="1" t="s">
        <v>4274</v>
      </c>
      <c r="C2136" s="1" t="s">
        <v>5</v>
      </c>
    </row>
    <row r="2137" spans="1:3" x14ac:dyDescent="0.25">
      <c r="A2137" s="1" t="s">
        <v>4275</v>
      </c>
      <c r="B2137" s="1" t="s">
        <v>4276</v>
      </c>
      <c r="C2137" s="1" t="s">
        <v>5</v>
      </c>
    </row>
    <row r="2138" spans="1:3" x14ac:dyDescent="0.25">
      <c r="A2138" s="1" t="s">
        <v>4277</v>
      </c>
      <c r="B2138" s="1" t="s">
        <v>4278</v>
      </c>
      <c r="C2138" s="1" t="s">
        <v>5</v>
      </c>
    </row>
    <row r="2139" spans="1:3" x14ac:dyDescent="0.25">
      <c r="A2139" s="1" t="s">
        <v>4279</v>
      </c>
      <c r="B2139" s="1" t="s">
        <v>4280</v>
      </c>
      <c r="C2139" s="1" t="s">
        <v>5</v>
      </c>
    </row>
    <row r="2140" spans="1:3" x14ac:dyDescent="0.25">
      <c r="A2140" s="1" t="s">
        <v>4281</v>
      </c>
      <c r="B2140" s="1" t="s">
        <v>4282</v>
      </c>
      <c r="C2140" s="1" t="s">
        <v>5</v>
      </c>
    </row>
    <row r="2141" spans="1:3" x14ac:dyDescent="0.25">
      <c r="A2141" s="1" t="s">
        <v>4283</v>
      </c>
      <c r="B2141" s="1" t="s">
        <v>4284</v>
      </c>
      <c r="C2141" s="1" t="s">
        <v>5</v>
      </c>
    </row>
    <row r="2142" spans="1:3" x14ac:dyDescent="0.25">
      <c r="A2142" s="1" t="s">
        <v>4285</v>
      </c>
      <c r="B2142" s="1" t="s">
        <v>4286</v>
      </c>
      <c r="C2142" s="1" t="s">
        <v>5</v>
      </c>
    </row>
    <row r="2143" spans="1:3" x14ac:dyDescent="0.25">
      <c r="A2143" s="1" t="s">
        <v>4287</v>
      </c>
      <c r="B2143" s="1" t="s">
        <v>4288</v>
      </c>
      <c r="C2143" s="1" t="s">
        <v>5</v>
      </c>
    </row>
    <row r="2144" spans="1:3" x14ac:dyDescent="0.25">
      <c r="A2144" s="1" t="s">
        <v>4289</v>
      </c>
      <c r="B2144" s="1" t="s">
        <v>4290</v>
      </c>
      <c r="C2144" s="1" t="s">
        <v>5</v>
      </c>
    </row>
    <row r="2145" spans="1:3" x14ac:dyDescent="0.25">
      <c r="A2145" s="1" t="s">
        <v>4291</v>
      </c>
      <c r="B2145" s="1" t="s">
        <v>4292</v>
      </c>
      <c r="C2145" s="1" t="s">
        <v>5</v>
      </c>
    </row>
    <row r="2146" spans="1:3" x14ac:dyDescent="0.25">
      <c r="A2146" s="1" t="s">
        <v>4293</v>
      </c>
      <c r="B2146" s="1" t="s">
        <v>4294</v>
      </c>
      <c r="C2146" s="1" t="s">
        <v>5</v>
      </c>
    </row>
    <row r="2147" spans="1:3" x14ac:dyDescent="0.25">
      <c r="A2147" s="1" t="s">
        <v>4295</v>
      </c>
      <c r="B2147" s="1" t="s">
        <v>4296</v>
      </c>
      <c r="C2147" s="1" t="s">
        <v>5</v>
      </c>
    </row>
    <row r="2148" spans="1:3" x14ac:dyDescent="0.25">
      <c r="A2148" s="1" t="s">
        <v>4297</v>
      </c>
      <c r="B2148" s="1" t="s">
        <v>4298</v>
      </c>
      <c r="C2148" s="1" t="s">
        <v>5</v>
      </c>
    </row>
    <row r="2149" spans="1:3" x14ac:dyDescent="0.25">
      <c r="A2149" s="1" t="s">
        <v>4299</v>
      </c>
      <c r="B2149" s="1" t="s">
        <v>4300</v>
      </c>
      <c r="C2149" s="1" t="s">
        <v>5</v>
      </c>
    </row>
    <row r="2150" spans="1:3" x14ac:dyDescent="0.25">
      <c r="A2150" s="1" t="s">
        <v>4301</v>
      </c>
      <c r="B2150" s="1" t="s">
        <v>4302</v>
      </c>
      <c r="C2150" s="1" t="s">
        <v>5</v>
      </c>
    </row>
    <row r="2151" spans="1:3" x14ac:dyDescent="0.25">
      <c r="A2151" s="1" t="s">
        <v>4303</v>
      </c>
      <c r="B2151" s="1" t="s">
        <v>4304</v>
      </c>
      <c r="C2151" s="1" t="s">
        <v>5</v>
      </c>
    </row>
    <row r="2152" spans="1:3" x14ac:dyDescent="0.25">
      <c r="A2152" s="1" t="s">
        <v>4305</v>
      </c>
      <c r="B2152" s="1" t="s">
        <v>4306</v>
      </c>
      <c r="C2152" s="1" t="s">
        <v>5</v>
      </c>
    </row>
    <row r="2153" spans="1:3" x14ac:dyDescent="0.25">
      <c r="A2153" s="1" t="s">
        <v>4307</v>
      </c>
      <c r="B2153" s="1" t="s">
        <v>4308</v>
      </c>
      <c r="C2153" s="1" t="s">
        <v>5</v>
      </c>
    </row>
    <row r="2154" spans="1:3" x14ac:dyDescent="0.25">
      <c r="A2154" s="1" t="s">
        <v>4309</v>
      </c>
      <c r="B2154" s="1" t="s">
        <v>4310</v>
      </c>
      <c r="C2154" s="1" t="s">
        <v>5</v>
      </c>
    </row>
    <row r="2155" spans="1:3" x14ac:dyDescent="0.25">
      <c r="A2155" s="1" t="s">
        <v>4311</v>
      </c>
      <c r="B2155" s="1" t="s">
        <v>4312</v>
      </c>
      <c r="C2155" s="1" t="s">
        <v>5</v>
      </c>
    </row>
    <row r="2156" spans="1:3" x14ac:dyDescent="0.25">
      <c r="A2156" s="1" t="s">
        <v>4313</v>
      </c>
      <c r="B2156" s="1" t="s">
        <v>4314</v>
      </c>
      <c r="C2156" s="1" t="s">
        <v>5</v>
      </c>
    </row>
    <row r="2157" spans="1:3" x14ac:dyDescent="0.25">
      <c r="A2157" s="1" t="s">
        <v>4315</v>
      </c>
      <c r="B2157" s="1" t="s">
        <v>4316</v>
      </c>
      <c r="C2157" s="1" t="s">
        <v>5</v>
      </c>
    </row>
    <row r="2158" spans="1:3" x14ac:dyDescent="0.25">
      <c r="A2158" s="1" t="s">
        <v>4317</v>
      </c>
      <c r="B2158" s="1" t="s">
        <v>4318</v>
      </c>
      <c r="C2158" s="1" t="s">
        <v>5</v>
      </c>
    </row>
    <row r="2159" spans="1:3" x14ac:dyDescent="0.25">
      <c r="A2159" s="1" t="s">
        <v>4319</v>
      </c>
      <c r="B2159" s="1" t="s">
        <v>4320</v>
      </c>
      <c r="C2159" s="1" t="s">
        <v>5</v>
      </c>
    </row>
    <row r="2160" spans="1:3" x14ac:dyDescent="0.25">
      <c r="A2160" s="1" t="s">
        <v>4321</v>
      </c>
      <c r="B2160" s="1" t="s">
        <v>4322</v>
      </c>
      <c r="C2160" s="1" t="s">
        <v>5</v>
      </c>
    </row>
    <row r="2161" spans="1:3" x14ac:dyDescent="0.25">
      <c r="A2161" s="1" t="s">
        <v>4323</v>
      </c>
      <c r="B2161" s="1" t="s">
        <v>4324</v>
      </c>
      <c r="C2161" s="1" t="s">
        <v>5</v>
      </c>
    </row>
    <row r="2162" spans="1:3" x14ac:dyDescent="0.25">
      <c r="A2162" s="1" t="s">
        <v>4325</v>
      </c>
      <c r="B2162" s="1" t="s">
        <v>4326</v>
      </c>
      <c r="C2162" s="1" t="s">
        <v>5</v>
      </c>
    </row>
    <row r="2163" spans="1:3" x14ac:dyDescent="0.25">
      <c r="A2163" s="1" t="s">
        <v>4327</v>
      </c>
      <c r="B2163" s="1" t="s">
        <v>4328</v>
      </c>
      <c r="C2163" s="1" t="s">
        <v>5</v>
      </c>
    </row>
    <row r="2164" spans="1:3" x14ac:dyDescent="0.25">
      <c r="A2164" s="1" t="s">
        <v>4329</v>
      </c>
      <c r="B2164" s="1" t="s">
        <v>4330</v>
      </c>
      <c r="C2164" s="1" t="s">
        <v>5</v>
      </c>
    </row>
    <row r="2165" spans="1:3" x14ac:dyDescent="0.25">
      <c r="A2165" s="1" t="s">
        <v>4331</v>
      </c>
      <c r="B2165" s="1" t="s">
        <v>4332</v>
      </c>
      <c r="C2165" s="1" t="s">
        <v>5</v>
      </c>
    </row>
    <row r="2166" spans="1:3" x14ac:dyDescent="0.25">
      <c r="A2166" s="1" t="s">
        <v>4333</v>
      </c>
      <c r="B2166" s="1" t="s">
        <v>4334</v>
      </c>
      <c r="C2166" s="1" t="s">
        <v>5</v>
      </c>
    </row>
    <row r="2167" spans="1:3" x14ac:dyDescent="0.25">
      <c r="A2167" s="1" t="s">
        <v>4335</v>
      </c>
      <c r="B2167" s="1" t="s">
        <v>4336</v>
      </c>
      <c r="C2167" s="1" t="s">
        <v>5</v>
      </c>
    </row>
    <row r="2168" spans="1:3" x14ac:dyDescent="0.25">
      <c r="A2168" s="1" t="s">
        <v>4337</v>
      </c>
      <c r="B2168" s="1" t="s">
        <v>4338</v>
      </c>
      <c r="C2168" s="1" t="s">
        <v>5</v>
      </c>
    </row>
    <row r="2169" spans="1:3" x14ac:dyDescent="0.25">
      <c r="A2169" s="1" t="s">
        <v>4339</v>
      </c>
      <c r="B2169" s="1" t="s">
        <v>4340</v>
      </c>
      <c r="C2169" s="1" t="s">
        <v>5</v>
      </c>
    </row>
    <row r="2170" spans="1:3" x14ac:dyDescent="0.25">
      <c r="A2170" s="1" t="s">
        <v>4341</v>
      </c>
      <c r="B2170" s="1" t="s">
        <v>4342</v>
      </c>
      <c r="C2170" s="1" t="s">
        <v>5</v>
      </c>
    </row>
    <row r="2171" spans="1:3" x14ac:dyDescent="0.25">
      <c r="A2171" s="1" t="s">
        <v>4343</v>
      </c>
      <c r="B2171" s="1" t="s">
        <v>4344</v>
      </c>
      <c r="C2171" s="1" t="s">
        <v>5</v>
      </c>
    </row>
    <row r="2172" spans="1:3" x14ac:dyDescent="0.25">
      <c r="A2172" s="1" t="s">
        <v>4345</v>
      </c>
      <c r="B2172" s="1" t="s">
        <v>4346</v>
      </c>
      <c r="C2172" s="1" t="s">
        <v>5</v>
      </c>
    </row>
    <row r="2173" spans="1:3" x14ac:dyDescent="0.25">
      <c r="A2173" s="1" t="s">
        <v>4347</v>
      </c>
      <c r="B2173" s="1" t="s">
        <v>4348</v>
      </c>
      <c r="C2173" s="1" t="s">
        <v>5</v>
      </c>
    </row>
    <row r="2174" spans="1:3" x14ac:dyDescent="0.25">
      <c r="A2174" s="1" t="s">
        <v>4349</v>
      </c>
      <c r="B2174" s="1" t="s">
        <v>4350</v>
      </c>
      <c r="C2174" s="1" t="s">
        <v>5</v>
      </c>
    </row>
    <row r="2175" spans="1:3" x14ac:dyDescent="0.25">
      <c r="A2175" s="1" t="s">
        <v>4351</v>
      </c>
      <c r="B2175" s="1" t="s">
        <v>4352</v>
      </c>
      <c r="C2175" s="1" t="s">
        <v>5</v>
      </c>
    </row>
    <row r="2176" spans="1:3" x14ac:dyDescent="0.25">
      <c r="A2176" s="1" t="s">
        <v>4353</v>
      </c>
      <c r="B2176" s="1" t="s">
        <v>4354</v>
      </c>
      <c r="C2176" s="1" t="s">
        <v>5</v>
      </c>
    </row>
    <row r="2177" spans="1:3" x14ac:dyDescent="0.25">
      <c r="A2177" s="1" t="s">
        <v>4355</v>
      </c>
      <c r="B2177" s="1" t="s">
        <v>4356</v>
      </c>
      <c r="C2177" s="1" t="s">
        <v>5</v>
      </c>
    </row>
    <row r="2178" spans="1:3" x14ac:dyDescent="0.25">
      <c r="A2178" s="1" t="s">
        <v>4357</v>
      </c>
      <c r="B2178" s="1" t="s">
        <v>4358</v>
      </c>
      <c r="C2178" s="1" t="s">
        <v>5</v>
      </c>
    </row>
    <row r="2179" spans="1:3" x14ac:dyDescent="0.25">
      <c r="A2179" s="1" t="s">
        <v>4359</v>
      </c>
      <c r="B2179" s="1" t="s">
        <v>4360</v>
      </c>
      <c r="C2179" s="1" t="s">
        <v>5</v>
      </c>
    </row>
    <row r="2180" spans="1:3" x14ac:dyDescent="0.25">
      <c r="A2180" s="1" t="s">
        <v>4361</v>
      </c>
      <c r="B2180" s="1" t="s">
        <v>4362</v>
      </c>
      <c r="C2180" s="1" t="s">
        <v>5</v>
      </c>
    </row>
    <row r="2181" spans="1:3" x14ac:dyDescent="0.25">
      <c r="A2181" s="1" t="s">
        <v>4363</v>
      </c>
      <c r="B2181" s="1" t="s">
        <v>4364</v>
      </c>
      <c r="C2181" s="1" t="s">
        <v>5</v>
      </c>
    </row>
    <row r="2182" spans="1:3" x14ac:dyDescent="0.25">
      <c r="A2182" s="1" t="s">
        <v>4365</v>
      </c>
      <c r="B2182" s="1" t="s">
        <v>4366</v>
      </c>
      <c r="C2182" s="1" t="s">
        <v>5</v>
      </c>
    </row>
    <row r="2183" spans="1:3" x14ac:dyDescent="0.25">
      <c r="A2183" s="1" t="s">
        <v>4367</v>
      </c>
      <c r="B2183" s="1" t="s">
        <v>4368</v>
      </c>
      <c r="C2183" s="1" t="s">
        <v>5</v>
      </c>
    </row>
    <row r="2184" spans="1:3" x14ac:dyDescent="0.25">
      <c r="A2184" s="1" t="s">
        <v>4369</v>
      </c>
      <c r="B2184" s="1" t="s">
        <v>4370</v>
      </c>
      <c r="C2184" s="1" t="s">
        <v>5</v>
      </c>
    </row>
    <row r="2185" spans="1:3" x14ac:dyDescent="0.25">
      <c r="A2185" s="1" t="s">
        <v>4371</v>
      </c>
      <c r="B2185" s="1" t="s">
        <v>4372</v>
      </c>
      <c r="C2185" s="1" t="s">
        <v>5</v>
      </c>
    </row>
    <row r="2186" spans="1:3" x14ac:dyDescent="0.25">
      <c r="A2186" s="1" t="s">
        <v>4373</v>
      </c>
      <c r="B2186" s="1" t="s">
        <v>4374</v>
      </c>
      <c r="C2186" s="1" t="s">
        <v>5</v>
      </c>
    </row>
    <row r="2187" spans="1:3" x14ac:dyDescent="0.25">
      <c r="A2187" s="1" t="s">
        <v>4375</v>
      </c>
      <c r="B2187" s="1" t="s">
        <v>4376</v>
      </c>
      <c r="C2187" s="1" t="s">
        <v>5</v>
      </c>
    </row>
    <row r="2188" spans="1:3" x14ac:dyDescent="0.25">
      <c r="A2188" s="1" t="s">
        <v>4377</v>
      </c>
      <c r="B2188" s="1" t="s">
        <v>4378</v>
      </c>
      <c r="C2188" s="1" t="s">
        <v>5</v>
      </c>
    </row>
    <row r="2189" spans="1:3" x14ac:dyDescent="0.25">
      <c r="A2189" s="1" t="s">
        <v>4379</v>
      </c>
      <c r="B2189" s="1" t="s">
        <v>4380</v>
      </c>
      <c r="C2189" s="1" t="s">
        <v>5</v>
      </c>
    </row>
    <row r="2190" spans="1:3" x14ac:dyDescent="0.25">
      <c r="A2190" s="1" t="s">
        <v>4381</v>
      </c>
      <c r="B2190" s="1" t="s">
        <v>4382</v>
      </c>
      <c r="C2190" s="1" t="s">
        <v>5</v>
      </c>
    </row>
    <row r="2191" spans="1:3" x14ac:dyDescent="0.25">
      <c r="A2191" s="1" t="s">
        <v>4383</v>
      </c>
      <c r="B2191" s="1" t="s">
        <v>4384</v>
      </c>
      <c r="C2191" s="1" t="s">
        <v>5</v>
      </c>
    </row>
    <row r="2192" spans="1:3" x14ac:dyDescent="0.25">
      <c r="A2192" s="1" t="s">
        <v>4385</v>
      </c>
      <c r="B2192" s="1" t="s">
        <v>4386</v>
      </c>
      <c r="C2192" s="1" t="s">
        <v>5</v>
      </c>
    </row>
    <row r="2193" spans="1:3" x14ac:dyDescent="0.25">
      <c r="A2193" s="1" t="s">
        <v>4387</v>
      </c>
      <c r="B2193" s="1" t="s">
        <v>4388</v>
      </c>
      <c r="C2193" s="1" t="s">
        <v>5</v>
      </c>
    </row>
    <row r="2194" spans="1:3" x14ac:dyDescent="0.25">
      <c r="A2194" s="1" t="s">
        <v>4389</v>
      </c>
      <c r="B2194" s="1" t="s">
        <v>4390</v>
      </c>
      <c r="C2194" s="1" t="s">
        <v>5</v>
      </c>
    </row>
    <row r="2195" spans="1:3" x14ac:dyDescent="0.25">
      <c r="A2195" s="1" t="s">
        <v>4391</v>
      </c>
      <c r="B2195" s="1" t="s">
        <v>4392</v>
      </c>
      <c r="C2195" s="1" t="s">
        <v>5</v>
      </c>
    </row>
    <row r="2196" spans="1:3" x14ac:dyDescent="0.25">
      <c r="A2196" s="1" t="s">
        <v>4393</v>
      </c>
      <c r="B2196" s="1" t="s">
        <v>4394</v>
      </c>
      <c r="C2196" s="1" t="s">
        <v>5</v>
      </c>
    </row>
    <row r="2197" spans="1:3" x14ac:dyDescent="0.25">
      <c r="A2197" s="1" t="s">
        <v>4395</v>
      </c>
      <c r="B2197" s="1" t="s">
        <v>4396</v>
      </c>
      <c r="C2197" s="1" t="s">
        <v>5</v>
      </c>
    </row>
    <row r="2198" spans="1:3" x14ac:dyDescent="0.25">
      <c r="A2198" s="1" t="s">
        <v>4397</v>
      </c>
      <c r="B2198" s="1" t="s">
        <v>4398</v>
      </c>
      <c r="C2198" s="1" t="s">
        <v>5</v>
      </c>
    </row>
    <row r="2199" spans="1:3" x14ac:dyDescent="0.25">
      <c r="A2199" s="1" t="s">
        <v>4399</v>
      </c>
      <c r="B2199" s="1" t="s">
        <v>4400</v>
      </c>
      <c r="C2199" s="1" t="s">
        <v>5</v>
      </c>
    </row>
    <row r="2200" spans="1:3" x14ac:dyDescent="0.25">
      <c r="A2200" s="1" t="s">
        <v>4401</v>
      </c>
      <c r="B2200" s="1" t="s">
        <v>4402</v>
      </c>
      <c r="C2200" s="1" t="s">
        <v>5</v>
      </c>
    </row>
    <row r="2201" spans="1:3" x14ac:dyDescent="0.25">
      <c r="A2201" s="1" t="s">
        <v>4403</v>
      </c>
      <c r="B2201" s="1" t="s">
        <v>4404</v>
      </c>
      <c r="C2201" s="1" t="s">
        <v>5</v>
      </c>
    </row>
    <row r="2202" spans="1:3" x14ac:dyDescent="0.25">
      <c r="A2202" s="1" t="s">
        <v>4405</v>
      </c>
      <c r="B2202" s="1" t="s">
        <v>4406</v>
      </c>
      <c r="C2202" s="1" t="s">
        <v>5</v>
      </c>
    </row>
    <row r="2203" spans="1:3" x14ac:dyDescent="0.25">
      <c r="A2203" s="1" t="s">
        <v>4407</v>
      </c>
      <c r="B2203" s="1" t="s">
        <v>4408</v>
      </c>
      <c r="C2203" s="1" t="s">
        <v>5</v>
      </c>
    </row>
    <row r="2204" spans="1:3" x14ac:dyDescent="0.25">
      <c r="A2204" s="1" t="s">
        <v>4409</v>
      </c>
      <c r="B2204" s="1" t="s">
        <v>4410</v>
      </c>
      <c r="C2204" s="1" t="s">
        <v>5</v>
      </c>
    </row>
    <row r="2205" spans="1:3" x14ac:dyDescent="0.25">
      <c r="A2205" s="1" t="s">
        <v>4411</v>
      </c>
      <c r="B2205" s="1" t="s">
        <v>4412</v>
      </c>
      <c r="C2205" s="1" t="s">
        <v>5</v>
      </c>
    </row>
    <row r="2206" spans="1:3" x14ac:dyDescent="0.25">
      <c r="A2206" s="1" t="s">
        <v>4413</v>
      </c>
      <c r="B2206" s="1" t="s">
        <v>4414</v>
      </c>
      <c r="C2206" s="1" t="s">
        <v>5</v>
      </c>
    </row>
    <row r="2207" spans="1:3" x14ac:dyDescent="0.25">
      <c r="A2207" s="1" t="s">
        <v>4415</v>
      </c>
      <c r="B2207" s="1" t="s">
        <v>4416</v>
      </c>
      <c r="C2207" s="1" t="s">
        <v>5</v>
      </c>
    </row>
    <row r="2208" spans="1:3" x14ac:dyDescent="0.25">
      <c r="A2208" s="1" t="s">
        <v>4417</v>
      </c>
      <c r="B2208" s="1" t="s">
        <v>4418</v>
      </c>
      <c r="C2208" s="1" t="s">
        <v>5</v>
      </c>
    </row>
    <row r="2209" spans="1:3" x14ac:dyDescent="0.25">
      <c r="A2209" s="1" t="s">
        <v>4419</v>
      </c>
      <c r="B2209" s="1" t="s">
        <v>4420</v>
      </c>
      <c r="C2209" s="1" t="s">
        <v>5</v>
      </c>
    </row>
    <row r="2210" spans="1:3" x14ac:dyDescent="0.25">
      <c r="A2210" s="1" t="s">
        <v>4421</v>
      </c>
      <c r="B2210" s="1" t="s">
        <v>4422</v>
      </c>
      <c r="C2210" s="1" t="s">
        <v>5</v>
      </c>
    </row>
    <row r="2211" spans="1:3" x14ac:dyDescent="0.25">
      <c r="A2211" s="1" t="s">
        <v>4423</v>
      </c>
      <c r="B2211" s="1" t="s">
        <v>4424</v>
      </c>
      <c r="C2211" s="1" t="s">
        <v>5</v>
      </c>
    </row>
    <row r="2212" spans="1:3" x14ac:dyDescent="0.25">
      <c r="A2212" s="1" t="s">
        <v>4425</v>
      </c>
      <c r="B2212" s="1" t="s">
        <v>4426</v>
      </c>
      <c r="C2212" s="1" t="s">
        <v>5</v>
      </c>
    </row>
    <row r="2213" spans="1:3" x14ac:dyDescent="0.25">
      <c r="A2213" s="1" t="s">
        <v>4427</v>
      </c>
      <c r="B2213" s="1" t="s">
        <v>4428</v>
      </c>
      <c r="C2213" s="1" t="s">
        <v>5</v>
      </c>
    </row>
    <row r="2214" spans="1:3" x14ac:dyDescent="0.25">
      <c r="A2214" s="1" t="s">
        <v>4429</v>
      </c>
      <c r="B2214" s="1" t="s">
        <v>4430</v>
      </c>
      <c r="C2214" s="1" t="s">
        <v>5</v>
      </c>
    </row>
    <row r="2215" spans="1:3" x14ac:dyDescent="0.25">
      <c r="A2215" s="1" t="s">
        <v>4431</v>
      </c>
      <c r="B2215" s="1" t="s">
        <v>4432</v>
      </c>
      <c r="C2215" s="1" t="s">
        <v>5</v>
      </c>
    </row>
    <row r="2216" spans="1:3" x14ac:dyDescent="0.25">
      <c r="A2216" s="1" t="s">
        <v>4433</v>
      </c>
      <c r="B2216" s="1" t="s">
        <v>4434</v>
      </c>
      <c r="C2216" s="1" t="s">
        <v>5</v>
      </c>
    </row>
    <row r="2217" spans="1:3" x14ac:dyDescent="0.25">
      <c r="A2217" s="1" t="s">
        <v>4435</v>
      </c>
      <c r="B2217" s="1" t="s">
        <v>4436</v>
      </c>
      <c r="C2217" s="1" t="s">
        <v>5</v>
      </c>
    </row>
    <row r="2218" spans="1:3" x14ac:dyDescent="0.25">
      <c r="A2218" s="1" t="s">
        <v>4437</v>
      </c>
      <c r="B2218" s="1" t="s">
        <v>4438</v>
      </c>
      <c r="C2218" s="1" t="s">
        <v>5</v>
      </c>
    </row>
    <row r="2219" spans="1:3" x14ac:dyDescent="0.25">
      <c r="A2219" s="1" t="s">
        <v>4439</v>
      </c>
      <c r="B2219" s="1" t="s">
        <v>4440</v>
      </c>
      <c r="C2219" s="1" t="s">
        <v>5</v>
      </c>
    </row>
    <row r="2220" spans="1:3" x14ac:dyDescent="0.25">
      <c r="A2220" s="1" t="s">
        <v>4441</v>
      </c>
      <c r="B2220" s="1" t="s">
        <v>4442</v>
      </c>
      <c r="C2220" s="1" t="s">
        <v>5</v>
      </c>
    </row>
    <row r="2221" spans="1:3" x14ac:dyDescent="0.25">
      <c r="A2221" s="1" t="s">
        <v>4443</v>
      </c>
      <c r="B2221" s="1" t="s">
        <v>4444</v>
      </c>
      <c r="C2221" s="1" t="s">
        <v>5</v>
      </c>
    </row>
    <row r="2222" spans="1:3" x14ac:dyDescent="0.25">
      <c r="A2222" s="1" t="s">
        <v>4445</v>
      </c>
      <c r="B2222" s="1" t="s">
        <v>4446</v>
      </c>
      <c r="C2222" s="1" t="s">
        <v>5</v>
      </c>
    </row>
    <row r="2223" spans="1:3" x14ac:dyDescent="0.25">
      <c r="A2223" s="1" t="s">
        <v>4447</v>
      </c>
      <c r="B2223" s="1" t="s">
        <v>4448</v>
      </c>
      <c r="C2223" s="1" t="s">
        <v>5</v>
      </c>
    </row>
    <row r="2224" spans="1:3" x14ac:dyDescent="0.25">
      <c r="A2224" s="1" t="s">
        <v>4449</v>
      </c>
      <c r="B2224" s="1" t="s">
        <v>4450</v>
      </c>
      <c r="C2224" s="1" t="s">
        <v>5</v>
      </c>
    </row>
    <row r="2225" spans="1:3" x14ac:dyDescent="0.25">
      <c r="A2225" s="1" t="s">
        <v>4451</v>
      </c>
      <c r="B2225" s="1" t="s">
        <v>4452</v>
      </c>
      <c r="C2225" s="1" t="s">
        <v>5</v>
      </c>
    </row>
    <row r="2226" spans="1:3" x14ac:dyDescent="0.25">
      <c r="A2226" s="1" t="s">
        <v>4453</v>
      </c>
      <c r="B2226" s="1" t="s">
        <v>4454</v>
      </c>
      <c r="C2226" s="1" t="s">
        <v>5</v>
      </c>
    </row>
    <row r="2227" spans="1:3" x14ac:dyDescent="0.25">
      <c r="A2227" s="1" t="s">
        <v>4455</v>
      </c>
      <c r="B2227" s="1" t="s">
        <v>4456</v>
      </c>
      <c r="C2227" s="1" t="s">
        <v>5</v>
      </c>
    </row>
    <row r="2228" spans="1:3" x14ac:dyDescent="0.25">
      <c r="A2228" s="1" t="s">
        <v>4457</v>
      </c>
      <c r="B2228" s="1" t="s">
        <v>4458</v>
      </c>
      <c r="C2228" s="1" t="s">
        <v>5</v>
      </c>
    </row>
    <row r="2229" spans="1:3" x14ac:dyDescent="0.25">
      <c r="A2229" s="1" t="s">
        <v>4459</v>
      </c>
      <c r="B2229" s="1" t="s">
        <v>4460</v>
      </c>
      <c r="C2229" s="1" t="s">
        <v>5</v>
      </c>
    </row>
    <row r="2230" spans="1:3" x14ac:dyDescent="0.25">
      <c r="A2230" s="1" t="s">
        <v>4461</v>
      </c>
      <c r="B2230" s="1" t="s">
        <v>4462</v>
      </c>
      <c r="C2230" s="1" t="s">
        <v>5</v>
      </c>
    </row>
    <row r="2231" spans="1:3" x14ac:dyDescent="0.25">
      <c r="A2231" s="1" t="s">
        <v>4463</v>
      </c>
      <c r="B2231" s="1" t="s">
        <v>4464</v>
      </c>
      <c r="C2231" s="1" t="s">
        <v>5</v>
      </c>
    </row>
    <row r="2232" spans="1:3" x14ac:dyDescent="0.25">
      <c r="A2232" s="1" t="s">
        <v>4465</v>
      </c>
      <c r="B2232" s="1" t="s">
        <v>4466</v>
      </c>
      <c r="C2232" s="1" t="s">
        <v>5</v>
      </c>
    </row>
    <row r="2233" spans="1:3" x14ac:dyDescent="0.25">
      <c r="A2233" s="1" t="s">
        <v>4467</v>
      </c>
      <c r="B2233" s="1" t="s">
        <v>4468</v>
      </c>
      <c r="C2233" s="1" t="s">
        <v>5</v>
      </c>
    </row>
    <row r="2234" spans="1:3" x14ac:dyDescent="0.25">
      <c r="A2234" s="1" t="s">
        <v>4469</v>
      </c>
      <c r="B2234" s="1" t="s">
        <v>4470</v>
      </c>
      <c r="C2234" s="1" t="s">
        <v>5</v>
      </c>
    </row>
    <row r="2235" spans="1:3" x14ac:dyDescent="0.25">
      <c r="A2235" s="1" t="s">
        <v>4471</v>
      </c>
      <c r="B2235" s="1" t="s">
        <v>4472</v>
      </c>
      <c r="C2235" s="1" t="s">
        <v>5</v>
      </c>
    </row>
    <row r="2236" spans="1:3" x14ac:dyDescent="0.25">
      <c r="A2236" s="1" t="s">
        <v>4473</v>
      </c>
      <c r="B2236" s="1" t="s">
        <v>4474</v>
      </c>
      <c r="C2236" s="1" t="s">
        <v>5</v>
      </c>
    </row>
    <row r="2237" spans="1:3" x14ac:dyDescent="0.25">
      <c r="A2237" s="1" t="s">
        <v>4475</v>
      </c>
      <c r="B2237" s="1" t="s">
        <v>4476</v>
      </c>
      <c r="C2237" s="1" t="s">
        <v>5</v>
      </c>
    </row>
    <row r="2238" spans="1:3" x14ac:dyDescent="0.25">
      <c r="A2238" s="1" t="s">
        <v>4477</v>
      </c>
      <c r="B2238" s="1" t="s">
        <v>4478</v>
      </c>
      <c r="C2238" s="1" t="s">
        <v>5</v>
      </c>
    </row>
    <row r="2239" spans="1:3" x14ac:dyDescent="0.25">
      <c r="A2239" s="1" t="s">
        <v>4479</v>
      </c>
      <c r="B2239" s="1" t="s">
        <v>4480</v>
      </c>
      <c r="C2239" s="1" t="s">
        <v>5</v>
      </c>
    </row>
    <row r="2240" spans="1:3" x14ac:dyDescent="0.25">
      <c r="A2240" s="1" t="s">
        <v>4481</v>
      </c>
      <c r="B2240" s="1" t="s">
        <v>4482</v>
      </c>
      <c r="C2240" s="1" t="s">
        <v>5</v>
      </c>
    </row>
    <row r="2241" spans="1:3" x14ac:dyDescent="0.25">
      <c r="A2241" s="1" t="s">
        <v>4483</v>
      </c>
      <c r="B2241" s="1" t="s">
        <v>4484</v>
      </c>
      <c r="C2241" s="1" t="s">
        <v>5</v>
      </c>
    </row>
    <row r="2242" spans="1:3" x14ac:dyDescent="0.25">
      <c r="A2242" s="1" t="s">
        <v>4485</v>
      </c>
      <c r="B2242" s="1" t="s">
        <v>4486</v>
      </c>
      <c r="C2242" s="1" t="s">
        <v>5</v>
      </c>
    </row>
    <row r="2243" spans="1:3" x14ac:dyDescent="0.25">
      <c r="A2243" s="1" t="s">
        <v>4487</v>
      </c>
      <c r="B2243" s="1" t="s">
        <v>4488</v>
      </c>
      <c r="C2243" s="1" t="s">
        <v>5</v>
      </c>
    </row>
    <row r="2244" spans="1:3" x14ac:dyDescent="0.25">
      <c r="A2244" s="1" t="s">
        <v>4489</v>
      </c>
      <c r="B2244" s="1" t="s">
        <v>4490</v>
      </c>
      <c r="C2244" s="1" t="s">
        <v>5</v>
      </c>
    </row>
    <row r="2245" spans="1:3" x14ac:dyDescent="0.25">
      <c r="A2245" s="1" t="s">
        <v>4491</v>
      </c>
      <c r="B2245" s="1" t="s">
        <v>4492</v>
      </c>
      <c r="C2245" s="1" t="s">
        <v>5</v>
      </c>
    </row>
    <row r="2246" spans="1:3" x14ac:dyDescent="0.25">
      <c r="A2246" s="1" t="s">
        <v>4493</v>
      </c>
      <c r="B2246" s="1" t="s">
        <v>4494</v>
      </c>
      <c r="C2246" s="1" t="s">
        <v>5</v>
      </c>
    </row>
    <row r="2247" spans="1:3" x14ac:dyDescent="0.25">
      <c r="A2247" s="1" t="s">
        <v>4495</v>
      </c>
      <c r="B2247" s="1" t="s">
        <v>4496</v>
      </c>
      <c r="C2247" s="1" t="s">
        <v>5</v>
      </c>
    </row>
    <row r="2248" spans="1:3" x14ac:dyDescent="0.25">
      <c r="A2248" s="1" t="s">
        <v>4497</v>
      </c>
      <c r="B2248" s="1" t="s">
        <v>4498</v>
      </c>
      <c r="C2248" s="1" t="s">
        <v>5</v>
      </c>
    </row>
    <row r="2249" spans="1:3" x14ac:dyDescent="0.25">
      <c r="A2249" s="1" t="s">
        <v>4499</v>
      </c>
      <c r="B2249" s="1" t="s">
        <v>4500</v>
      </c>
      <c r="C2249" s="1" t="s">
        <v>5</v>
      </c>
    </row>
    <row r="2250" spans="1:3" x14ac:dyDescent="0.25">
      <c r="A2250" s="1" t="s">
        <v>4501</v>
      </c>
      <c r="B2250" s="1" t="s">
        <v>4502</v>
      </c>
      <c r="C2250" s="1" t="s">
        <v>5</v>
      </c>
    </row>
    <row r="2251" spans="1:3" x14ac:dyDescent="0.25">
      <c r="A2251" s="1" t="s">
        <v>4503</v>
      </c>
      <c r="B2251" s="1" t="s">
        <v>4504</v>
      </c>
      <c r="C2251" s="1" t="s">
        <v>5</v>
      </c>
    </row>
    <row r="2252" spans="1:3" x14ac:dyDescent="0.25">
      <c r="A2252" s="1" t="s">
        <v>4505</v>
      </c>
      <c r="B2252" s="1" t="s">
        <v>4506</v>
      </c>
      <c r="C2252" s="1" t="s">
        <v>5</v>
      </c>
    </row>
    <row r="2253" spans="1:3" x14ac:dyDescent="0.25">
      <c r="A2253" s="1" t="s">
        <v>4507</v>
      </c>
      <c r="B2253" s="1" t="s">
        <v>4508</v>
      </c>
      <c r="C2253" s="1" t="s">
        <v>5</v>
      </c>
    </row>
    <row r="2254" spans="1:3" x14ac:dyDescent="0.25">
      <c r="A2254" s="1" t="s">
        <v>4509</v>
      </c>
      <c r="B2254" s="1" t="s">
        <v>4510</v>
      </c>
      <c r="C2254" s="1" t="s">
        <v>5</v>
      </c>
    </row>
    <row r="2255" spans="1:3" x14ac:dyDescent="0.25">
      <c r="A2255" s="1" t="s">
        <v>4511</v>
      </c>
      <c r="B2255" s="1" t="s">
        <v>4512</v>
      </c>
      <c r="C2255" s="1" t="s">
        <v>5</v>
      </c>
    </row>
    <row r="2256" spans="1:3" x14ac:dyDescent="0.25">
      <c r="A2256" s="1" t="s">
        <v>4513</v>
      </c>
      <c r="B2256" s="1" t="s">
        <v>4514</v>
      </c>
      <c r="C2256" s="1" t="s">
        <v>5</v>
      </c>
    </row>
    <row r="2257" spans="1:3" x14ac:dyDescent="0.25">
      <c r="A2257" s="1" t="s">
        <v>4515</v>
      </c>
      <c r="B2257" s="1" t="s">
        <v>4516</v>
      </c>
      <c r="C2257" s="1" t="s">
        <v>5</v>
      </c>
    </row>
    <row r="2258" spans="1:3" x14ac:dyDescent="0.25">
      <c r="A2258" s="1" t="s">
        <v>4517</v>
      </c>
      <c r="B2258" s="1" t="s">
        <v>4518</v>
      </c>
      <c r="C2258" s="1" t="s">
        <v>5</v>
      </c>
    </row>
    <row r="2259" spans="1:3" x14ac:dyDescent="0.25">
      <c r="A2259" s="1" t="s">
        <v>4519</v>
      </c>
      <c r="B2259" s="1" t="s">
        <v>4520</v>
      </c>
      <c r="C2259" s="1" t="s">
        <v>5</v>
      </c>
    </row>
    <row r="2260" spans="1:3" x14ac:dyDescent="0.25">
      <c r="A2260" s="1" t="s">
        <v>4521</v>
      </c>
      <c r="B2260" s="1" t="s">
        <v>4522</v>
      </c>
      <c r="C2260" s="1" t="s">
        <v>5</v>
      </c>
    </row>
    <row r="2261" spans="1:3" x14ac:dyDescent="0.25">
      <c r="A2261" s="1" t="s">
        <v>4523</v>
      </c>
      <c r="B2261" s="1" t="s">
        <v>4524</v>
      </c>
      <c r="C2261" s="1" t="s">
        <v>5</v>
      </c>
    </row>
    <row r="2262" spans="1:3" x14ac:dyDescent="0.25">
      <c r="A2262" s="1" t="s">
        <v>4525</v>
      </c>
      <c r="B2262" s="1" t="s">
        <v>4526</v>
      </c>
      <c r="C2262" s="1" t="s">
        <v>5</v>
      </c>
    </row>
    <row r="2263" spans="1:3" x14ac:dyDescent="0.25">
      <c r="A2263" s="1" t="s">
        <v>4527</v>
      </c>
      <c r="B2263" s="1" t="s">
        <v>4528</v>
      </c>
      <c r="C2263" s="1" t="s">
        <v>5</v>
      </c>
    </row>
    <row r="2264" spans="1:3" x14ac:dyDescent="0.25">
      <c r="A2264" s="1" t="s">
        <v>4529</v>
      </c>
      <c r="B2264" s="1" t="s">
        <v>4530</v>
      </c>
      <c r="C2264" s="1" t="s">
        <v>5</v>
      </c>
    </row>
    <row r="2265" spans="1:3" x14ac:dyDescent="0.25">
      <c r="A2265" s="1" t="s">
        <v>4531</v>
      </c>
      <c r="B2265" s="1" t="s">
        <v>4532</v>
      </c>
      <c r="C2265" s="1" t="s">
        <v>5</v>
      </c>
    </row>
    <row r="2266" spans="1:3" x14ac:dyDescent="0.25">
      <c r="A2266" s="1" t="s">
        <v>4533</v>
      </c>
      <c r="B2266" s="1" t="s">
        <v>4534</v>
      </c>
      <c r="C2266" s="1" t="s">
        <v>5</v>
      </c>
    </row>
    <row r="2267" spans="1:3" x14ac:dyDescent="0.25">
      <c r="A2267" s="1" t="s">
        <v>4535</v>
      </c>
      <c r="B2267" s="1" t="s">
        <v>4536</v>
      </c>
      <c r="C2267" s="1" t="s">
        <v>5</v>
      </c>
    </row>
    <row r="2268" spans="1:3" x14ac:dyDescent="0.25">
      <c r="A2268" s="1" t="s">
        <v>4537</v>
      </c>
      <c r="B2268" s="1" t="s">
        <v>4538</v>
      </c>
      <c r="C2268" s="1" t="s">
        <v>5</v>
      </c>
    </row>
    <row r="2269" spans="1:3" x14ac:dyDescent="0.25">
      <c r="A2269" s="1" t="s">
        <v>4539</v>
      </c>
      <c r="B2269" s="1" t="s">
        <v>4540</v>
      </c>
      <c r="C2269" s="1" t="s">
        <v>5</v>
      </c>
    </row>
    <row r="2270" spans="1:3" x14ac:dyDescent="0.25">
      <c r="A2270" s="1" t="s">
        <v>4541</v>
      </c>
      <c r="B2270" s="1" t="s">
        <v>4542</v>
      </c>
      <c r="C2270" s="1" t="s">
        <v>5</v>
      </c>
    </row>
    <row r="2271" spans="1:3" x14ac:dyDescent="0.25">
      <c r="A2271" s="1" t="s">
        <v>4543</v>
      </c>
      <c r="B2271" s="1" t="s">
        <v>4544</v>
      </c>
      <c r="C2271" s="1" t="s">
        <v>5</v>
      </c>
    </row>
    <row r="2272" spans="1:3" x14ac:dyDescent="0.25">
      <c r="A2272" s="1" t="s">
        <v>4545</v>
      </c>
      <c r="B2272" s="1" t="s">
        <v>4546</v>
      </c>
      <c r="C2272" s="1" t="s">
        <v>5</v>
      </c>
    </row>
    <row r="2273" spans="1:3" x14ac:dyDescent="0.25">
      <c r="A2273" s="1" t="s">
        <v>4547</v>
      </c>
      <c r="B2273" s="1" t="s">
        <v>4548</v>
      </c>
      <c r="C2273" s="1" t="s">
        <v>5</v>
      </c>
    </row>
    <row r="2274" spans="1:3" x14ac:dyDescent="0.25">
      <c r="A2274" s="1" t="s">
        <v>4549</v>
      </c>
      <c r="B2274" s="1" t="s">
        <v>4550</v>
      </c>
      <c r="C2274" s="1" t="s">
        <v>5</v>
      </c>
    </row>
    <row r="2275" spans="1:3" x14ac:dyDescent="0.25">
      <c r="A2275" s="1" t="s">
        <v>4551</v>
      </c>
      <c r="B2275" s="1" t="s">
        <v>4552</v>
      </c>
      <c r="C2275" s="1" t="s">
        <v>5</v>
      </c>
    </row>
    <row r="2276" spans="1:3" x14ac:dyDescent="0.25">
      <c r="A2276" s="1" t="s">
        <v>4553</v>
      </c>
      <c r="B2276" s="1" t="s">
        <v>4554</v>
      </c>
      <c r="C2276" s="1" t="s">
        <v>5</v>
      </c>
    </row>
    <row r="2277" spans="1:3" x14ac:dyDescent="0.25">
      <c r="A2277" s="1" t="s">
        <v>4555</v>
      </c>
      <c r="B2277" s="1" t="s">
        <v>4556</v>
      </c>
      <c r="C2277" s="1" t="s">
        <v>5</v>
      </c>
    </row>
    <row r="2278" spans="1:3" x14ac:dyDescent="0.25">
      <c r="A2278" s="1" t="s">
        <v>4557</v>
      </c>
      <c r="B2278" s="1" t="s">
        <v>4558</v>
      </c>
      <c r="C2278" s="1" t="s">
        <v>5</v>
      </c>
    </row>
    <row r="2279" spans="1:3" x14ac:dyDescent="0.25">
      <c r="A2279" s="1" t="s">
        <v>4559</v>
      </c>
      <c r="B2279" s="1" t="s">
        <v>4560</v>
      </c>
      <c r="C2279" s="1" t="s">
        <v>5</v>
      </c>
    </row>
    <row r="2280" spans="1:3" x14ac:dyDescent="0.25">
      <c r="A2280" s="1" t="s">
        <v>4561</v>
      </c>
      <c r="B2280" s="1" t="s">
        <v>4562</v>
      </c>
      <c r="C2280" s="1" t="s">
        <v>5</v>
      </c>
    </row>
    <row r="2281" spans="1:3" x14ac:dyDescent="0.25">
      <c r="A2281" s="1" t="s">
        <v>4563</v>
      </c>
      <c r="B2281" s="1" t="s">
        <v>4564</v>
      </c>
      <c r="C2281" s="1" t="s">
        <v>5</v>
      </c>
    </row>
    <row r="2282" spans="1:3" x14ac:dyDescent="0.25">
      <c r="A2282" s="1" t="s">
        <v>4565</v>
      </c>
      <c r="B2282" s="1" t="s">
        <v>4566</v>
      </c>
      <c r="C2282" s="1" t="s">
        <v>5</v>
      </c>
    </row>
    <row r="2283" spans="1:3" x14ac:dyDescent="0.25">
      <c r="A2283" s="1" t="s">
        <v>4567</v>
      </c>
      <c r="B2283" s="1" t="s">
        <v>4568</v>
      </c>
      <c r="C2283" s="1" t="s">
        <v>5</v>
      </c>
    </row>
    <row r="2284" spans="1:3" x14ac:dyDescent="0.25">
      <c r="A2284" s="1" t="s">
        <v>4569</v>
      </c>
      <c r="B2284" s="1" t="s">
        <v>4570</v>
      </c>
      <c r="C2284" s="1" t="s">
        <v>5</v>
      </c>
    </row>
    <row r="2285" spans="1:3" x14ac:dyDescent="0.25">
      <c r="A2285" s="1" t="s">
        <v>4571</v>
      </c>
      <c r="B2285" s="1" t="s">
        <v>4572</v>
      </c>
      <c r="C2285" s="1" t="s">
        <v>5</v>
      </c>
    </row>
    <row r="2286" spans="1:3" x14ac:dyDescent="0.25">
      <c r="A2286" s="1" t="s">
        <v>4573</v>
      </c>
      <c r="B2286" s="1" t="s">
        <v>4574</v>
      </c>
      <c r="C2286" s="1" t="s">
        <v>5</v>
      </c>
    </row>
    <row r="2287" spans="1:3" x14ac:dyDescent="0.25">
      <c r="A2287" s="1" t="s">
        <v>4575</v>
      </c>
      <c r="B2287" s="1" t="s">
        <v>4576</v>
      </c>
      <c r="C2287" s="1" t="s">
        <v>5</v>
      </c>
    </row>
    <row r="2288" spans="1:3" x14ac:dyDescent="0.25">
      <c r="A2288" s="1" t="s">
        <v>4577</v>
      </c>
      <c r="B2288" s="1" t="s">
        <v>4578</v>
      </c>
      <c r="C2288" s="1" t="s">
        <v>5</v>
      </c>
    </row>
    <row r="2289" spans="1:3" x14ac:dyDescent="0.25">
      <c r="A2289" s="1" t="s">
        <v>4579</v>
      </c>
      <c r="B2289" s="1" t="s">
        <v>4580</v>
      </c>
      <c r="C2289" s="1" t="s">
        <v>5</v>
      </c>
    </row>
    <row r="2290" spans="1:3" x14ac:dyDescent="0.25">
      <c r="A2290" s="1" t="s">
        <v>4581</v>
      </c>
      <c r="B2290" s="1" t="s">
        <v>4582</v>
      </c>
      <c r="C2290" s="1" t="s">
        <v>5</v>
      </c>
    </row>
    <row r="2291" spans="1:3" x14ac:dyDescent="0.25">
      <c r="A2291" s="1" t="s">
        <v>4583</v>
      </c>
      <c r="B2291" s="1" t="s">
        <v>4584</v>
      </c>
      <c r="C2291" s="1" t="s">
        <v>5</v>
      </c>
    </row>
    <row r="2292" spans="1:3" x14ac:dyDescent="0.25">
      <c r="A2292" s="1" t="s">
        <v>4585</v>
      </c>
      <c r="B2292" s="1" t="s">
        <v>4586</v>
      </c>
      <c r="C2292" s="1" t="s">
        <v>5</v>
      </c>
    </row>
    <row r="2293" spans="1:3" x14ac:dyDescent="0.25">
      <c r="A2293" s="1" t="s">
        <v>4587</v>
      </c>
      <c r="B2293" s="1" t="s">
        <v>4588</v>
      </c>
      <c r="C2293" s="1" t="s">
        <v>5</v>
      </c>
    </row>
    <row r="2294" spans="1:3" x14ac:dyDescent="0.25">
      <c r="A2294" s="1" t="s">
        <v>4589</v>
      </c>
      <c r="B2294" s="1" t="s">
        <v>4590</v>
      </c>
      <c r="C2294" s="1" t="s">
        <v>5</v>
      </c>
    </row>
    <row r="2295" spans="1:3" x14ac:dyDescent="0.25">
      <c r="A2295" s="1" t="s">
        <v>4591</v>
      </c>
      <c r="B2295" s="1" t="s">
        <v>4592</v>
      </c>
      <c r="C2295" s="1" t="s">
        <v>5</v>
      </c>
    </row>
    <row r="2296" spans="1:3" x14ac:dyDescent="0.25">
      <c r="A2296" s="1" t="s">
        <v>4593</v>
      </c>
      <c r="B2296" s="1" t="s">
        <v>4594</v>
      </c>
      <c r="C2296" s="1" t="s">
        <v>5</v>
      </c>
    </row>
    <row r="2297" spans="1:3" x14ac:dyDescent="0.25">
      <c r="A2297" s="1" t="s">
        <v>4595</v>
      </c>
      <c r="B2297" s="1" t="s">
        <v>4596</v>
      </c>
      <c r="C2297" s="1" t="s">
        <v>5</v>
      </c>
    </row>
    <row r="2298" spans="1:3" x14ac:dyDescent="0.25">
      <c r="A2298" s="1" t="s">
        <v>4597</v>
      </c>
      <c r="B2298" s="1" t="s">
        <v>4598</v>
      </c>
      <c r="C2298" s="1" t="s">
        <v>5</v>
      </c>
    </row>
    <row r="2299" spans="1:3" x14ac:dyDescent="0.25">
      <c r="A2299" s="1" t="s">
        <v>4599</v>
      </c>
      <c r="B2299" s="1" t="s">
        <v>4600</v>
      </c>
      <c r="C2299" s="1" t="s">
        <v>5</v>
      </c>
    </row>
    <row r="2300" spans="1:3" x14ac:dyDescent="0.25">
      <c r="A2300" s="1" t="s">
        <v>4601</v>
      </c>
      <c r="B2300" s="1" t="s">
        <v>4602</v>
      </c>
      <c r="C2300" s="1" t="s">
        <v>5</v>
      </c>
    </row>
    <row r="2301" spans="1:3" x14ac:dyDescent="0.25">
      <c r="A2301" s="1" t="s">
        <v>4603</v>
      </c>
      <c r="B2301" s="1" t="s">
        <v>4604</v>
      </c>
      <c r="C2301" s="1" t="s">
        <v>5</v>
      </c>
    </row>
    <row r="2302" spans="1:3" x14ac:dyDescent="0.25">
      <c r="A2302" s="1" t="s">
        <v>4605</v>
      </c>
      <c r="B2302" s="1" t="s">
        <v>4606</v>
      </c>
      <c r="C2302" s="1" t="s">
        <v>5</v>
      </c>
    </row>
    <row r="2303" spans="1:3" x14ac:dyDescent="0.25">
      <c r="A2303" s="1" t="s">
        <v>4607</v>
      </c>
      <c r="B2303" s="1" t="s">
        <v>4608</v>
      </c>
      <c r="C2303" s="1" t="s">
        <v>5</v>
      </c>
    </row>
    <row r="2304" spans="1:3" x14ac:dyDescent="0.25">
      <c r="A2304" s="1" t="s">
        <v>4609</v>
      </c>
      <c r="B2304" s="1" t="s">
        <v>4610</v>
      </c>
      <c r="C2304" s="1" t="s">
        <v>5</v>
      </c>
    </row>
    <row r="2305" spans="1:3" x14ac:dyDescent="0.25">
      <c r="A2305" s="1" t="s">
        <v>4611</v>
      </c>
      <c r="B2305" s="1" t="s">
        <v>4612</v>
      </c>
      <c r="C2305" s="1" t="s">
        <v>5</v>
      </c>
    </row>
    <row r="2306" spans="1:3" x14ac:dyDescent="0.25">
      <c r="A2306" s="1" t="s">
        <v>4613</v>
      </c>
      <c r="B2306" s="1" t="s">
        <v>4614</v>
      </c>
      <c r="C2306" s="1" t="s">
        <v>5</v>
      </c>
    </row>
    <row r="2307" spans="1:3" x14ac:dyDescent="0.25">
      <c r="A2307" s="1" t="s">
        <v>4615</v>
      </c>
      <c r="B2307" s="1" t="s">
        <v>4616</v>
      </c>
      <c r="C2307" s="1" t="s">
        <v>5</v>
      </c>
    </row>
    <row r="2308" spans="1:3" x14ac:dyDescent="0.25">
      <c r="A2308" s="1" t="s">
        <v>4617</v>
      </c>
      <c r="B2308" s="1" t="s">
        <v>4618</v>
      </c>
      <c r="C2308" s="1" t="s">
        <v>5</v>
      </c>
    </row>
    <row r="2309" spans="1:3" x14ac:dyDescent="0.25">
      <c r="A2309" s="1" t="s">
        <v>4619</v>
      </c>
      <c r="B2309" s="1" t="s">
        <v>4620</v>
      </c>
      <c r="C2309" s="1" t="s">
        <v>5</v>
      </c>
    </row>
    <row r="2310" spans="1:3" x14ac:dyDescent="0.25">
      <c r="A2310" s="1" t="s">
        <v>4621</v>
      </c>
      <c r="B2310" s="1" t="s">
        <v>4622</v>
      </c>
      <c r="C2310" s="1" t="s">
        <v>5</v>
      </c>
    </row>
    <row r="2311" spans="1:3" x14ac:dyDescent="0.25">
      <c r="A2311" s="1" t="s">
        <v>4623</v>
      </c>
      <c r="B2311" s="1" t="s">
        <v>4624</v>
      </c>
      <c r="C2311" s="1" t="s">
        <v>5</v>
      </c>
    </row>
    <row r="2312" spans="1:3" x14ac:dyDescent="0.25">
      <c r="A2312" s="1" t="s">
        <v>4625</v>
      </c>
      <c r="B2312" s="1" t="s">
        <v>4626</v>
      </c>
      <c r="C2312" s="1" t="s">
        <v>5</v>
      </c>
    </row>
    <row r="2313" spans="1:3" x14ac:dyDescent="0.25">
      <c r="A2313" s="1" t="s">
        <v>4627</v>
      </c>
      <c r="B2313" s="1" t="s">
        <v>4628</v>
      </c>
      <c r="C2313" s="1" t="s">
        <v>5</v>
      </c>
    </row>
    <row r="2314" spans="1:3" x14ac:dyDescent="0.25">
      <c r="A2314" s="1" t="s">
        <v>4629</v>
      </c>
      <c r="B2314" s="1" t="s">
        <v>4630</v>
      </c>
      <c r="C2314" s="1" t="s">
        <v>5</v>
      </c>
    </row>
    <row r="2315" spans="1:3" x14ac:dyDescent="0.25">
      <c r="A2315" s="1" t="s">
        <v>4631</v>
      </c>
      <c r="B2315" s="1" t="s">
        <v>4632</v>
      </c>
      <c r="C2315" s="1" t="s">
        <v>5</v>
      </c>
    </row>
    <row r="2316" spans="1:3" x14ac:dyDescent="0.25">
      <c r="A2316" s="1" t="s">
        <v>4633</v>
      </c>
      <c r="B2316" s="1" t="s">
        <v>4634</v>
      </c>
      <c r="C2316" s="1" t="s">
        <v>5</v>
      </c>
    </row>
    <row r="2317" spans="1:3" x14ac:dyDescent="0.25">
      <c r="A2317" s="1" t="s">
        <v>4635</v>
      </c>
      <c r="B2317" s="1" t="s">
        <v>4636</v>
      </c>
      <c r="C2317" s="1" t="s">
        <v>5</v>
      </c>
    </row>
    <row r="2318" spans="1:3" x14ac:dyDescent="0.25">
      <c r="A2318" s="1" t="s">
        <v>4637</v>
      </c>
      <c r="B2318" s="1" t="s">
        <v>4638</v>
      </c>
      <c r="C2318" s="1" t="s">
        <v>5</v>
      </c>
    </row>
    <row r="2319" spans="1:3" x14ac:dyDescent="0.25">
      <c r="A2319" s="1" t="s">
        <v>4639</v>
      </c>
      <c r="B2319" s="1" t="s">
        <v>4640</v>
      </c>
      <c r="C2319" s="1" t="s">
        <v>5</v>
      </c>
    </row>
    <row r="2320" spans="1:3" x14ac:dyDescent="0.25">
      <c r="A2320" s="1" t="s">
        <v>4641</v>
      </c>
      <c r="B2320" s="1" t="s">
        <v>4642</v>
      </c>
      <c r="C2320" s="1" t="s">
        <v>5</v>
      </c>
    </row>
    <row r="2321" spans="1:3" x14ac:dyDescent="0.25">
      <c r="A2321" s="1" t="s">
        <v>4643</v>
      </c>
      <c r="B2321" s="1" t="s">
        <v>4644</v>
      </c>
      <c r="C2321" s="1" t="s">
        <v>5</v>
      </c>
    </row>
    <row r="2322" spans="1:3" x14ac:dyDescent="0.25">
      <c r="A2322" s="1" t="s">
        <v>4645</v>
      </c>
      <c r="B2322" s="1" t="s">
        <v>4646</v>
      </c>
      <c r="C2322" s="1" t="s">
        <v>5</v>
      </c>
    </row>
    <row r="2323" spans="1:3" x14ac:dyDescent="0.25">
      <c r="A2323" s="1" t="s">
        <v>4647</v>
      </c>
      <c r="B2323" s="1" t="s">
        <v>4648</v>
      </c>
      <c r="C2323" s="1" t="s">
        <v>5</v>
      </c>
    </row>
    <row r="2324" spans="1:3" x14ac:dyDescent="0.25">
      <c r="A2324" s="1" t="s">
        <v>4649</v>
      </c>
      <c r="B2324" s="1" t="s">
        <v>4650</v>
      </c>
      <c r="C2324" s="1" t="s">
        <v>5</v>
      </c>
    </row>
    <row r="2325" spans="1:3" x14ac:dyDescent="0.25">
      <c r="A2325" s="1" t="s">
        <v>4651</v>
      </c>
      <c r="B2325" s="1" t="s">
        <v>4652</v>
      </c>
      <c r="C2325" s="1" t="s">
        <v>5</v>
      </c>
    </row>
    <row r="2326" spans="1:3" x14ac:dyDescent="0.25">
      <c r="A2326" s="1" t="s">
        <v>4653</v>
      </c>
      <c r="B2326" s="1" t="s">
        <v>4654</v>
      </c>
      <c r="C2326" s="1" t="s">
        <v>5</v>
      </c>
    </row>
    <row r="2327" spans="1:3" x14ac:dyDescent="0.25">
      <c r="A2327" s="1" t="s">
        <v>4655</v>
      </c>
      <c r="B2327" s="1" t="s">
        <v>4656</v>
      </c>
      <c r="C2327" s="1" t="s">
        <v>5</v>
      </c>
    </row>
    <row r="2328" spans="1:3" x14ac:dyDescent="0.25">
      <c r="A2328" s="1" t="s">
        <v>4657</v>
      </c>
      <c r="B2328" s="1" t="s">
        <v>4658</v>
      </c>
      <c r="C2328" s="1" t="s">
        <v>5</v>
      </c>
    </row>
    <row r="2329" spans="1:3" x14ac:dyDescent="0.25">
      <c r="A2329" s="1" t="s">
        <v>4659</v>
      </c>
      <c r="B2329" s="1" t="s">
        <v>4660</v>
      </c>
      <c r="C2329" s="1" t="s">
        <v>5</v>
      </c>
    </row>
    <row r="2330" spans="1:3" x14ac:dyDescent="0.25">
      <c r="A2330" s="1" t="s">
        <v>4661</v>
      </c>
      <c r="B2330" s="1" t="s">
        <v>4662</v>
      </c>
      <c r="C2330" s="1" t="s">
        <v>5</v>
      </c>
    </row>
    <row r="2331" spans="1:3" x14ac:dyDescent="0.25">
      <c r="A2331" s="1" t="s">
        <v>4663</v>
      </c>
      <c r="B2331" s="1" t="s">
        <v>4664</v>
      </c>
      <c r="C2331" s="1" t="s">
        <v>5</v>
      </c>
    </row>
    <row r="2332" spans="1:3" x14ac:dyDescent="0.25">
      <c r="A2332" s="1" t="s">
        <v>4665</v>
      </c>
      <c r="B2332" s="1" t="s">
        <v>4666</v>
      </c>
      <c r="C2332" s="1" t="s">
        <v>5</v>
      </c>
    </row>
    <row r="2333" spans="1:3" x14ac:dyDescent="0.25">
      <c r="A2333" s="1" t="s">
        <v>4667</v>
      </c>
      <c r="B2333" s="1" t="s">
        <v>4668</v>
      </c>
      <c r="C2333" s="1" t="s">
        <v>5</v>
      </c>
    </row>
    <row r="2334" spans="1:3" x14ac:dyDescent="0.25">
      <c r="A2334" s="1" t="s">
        <v>4669</v>
      </c>
      <c r="B2334" s="1" t="s">
        <v>4670</v>
      </c>
      <c r="C2334" s="1" t="s">
        <v>5</v>
      </c>
    </row>
    <row r="2335" spans="1:3" x14ac:dyDescent="0.25">
      <c r="A2335" s="1" t="s">
        <v>4671</v>
      </c>
      <c r="B2335" s="1" t="s">
        <v>4672</v>
      </c>
      <c r="C2335" s="1" t="s">
        <v>5</v>
      </c>
    </row>
    <row r="2336" spans="1:3" x14ac:dyDescent="0.25">
      <c r="A2336" s="1" t="s">
        <v>4673</v>
      </c>
      <c r="B2336" s="1" t="s">
        <v>4674</v>
      </c>
      <c r="C2336" s="1" t="s">
        <v>5</v>
      </c>
    </row>
    <row r="2337" spans="1:3" x14ac:dyDescent="0.25">
      <c r="A2337" s="1" t="s">
        <v>4675</v>
      </c>
      <c r="B2337" s="1" t="s">
        <v>4676</v>
      </c>
      <c r="C2337" s="1" t="s">
        <v>5</v>
      </c>
    </row>
    <row r="2338" spans="1:3" x14ac:dyDescent="0.25">
      <c r="A2338" s="1" t="s">
        <v>4677</v>
      </c>
      <c r="B2338" s="1" t="s">
        <v>4678</v>
      </c>
      <c r="C2338" s="1" t="s">
        <v>5</v>
      </c>
    </row>
    <row r="2339" spans="1:3" x14ac:dyDescent="0.25">
      <c r="A2339" s="1" t="s">
        <v>4679</v>
      </c>
      <c r="B2339" s="1" t="s">
        <v>4680</v>
      </c>
      <c r="C2339" s="1" t="s">
        <v>5</v>
      </c>
    </row>
    <row r="2340" spans="1:3" x14ac:dyDescent="0.25">
      <c r="A2340" s="1" t="s">
        <v>4681</v>
      </c>
      <c r="B2340" s="1" t="s">
        <v>4682</v>
      </c>
      <c r="C2340" s="1" t="s">
        <v>5</v>
      </c>
    </row>
    <row r="2341" spans="1:3" x14ac:dyDescent="0.25">
      <c r="A2341" s="1" t="s">
        <v>4683</v>
      </c>
      <c r="B2341" s="1" t="s">
        <v>4684</v>
      </c>
      <c r="C2341" s="1" t="s">
        <v>5</v>
      </c>
    </row>
    <row r="2342" spans="1:3" x14ac:dyDescent="0.25">
      <c r="A2342" s="1" t="s">
        <v>4685</v>
      </c>
      <c r="B2342" s="1" t="s">
        <v>4686</v>
      </c>
      <c r="C2342" s="1" t="s">
        <v>5</v>
      </c>
    </row>
    <row r="2343" spans="1:3" x14ac:dyDescent="0.25">
      <c r="A2343" s="1" t="s">
        <v>4687</v>
      </c>
      <c r="B2343" s="1" t="s">
        <v>4688</v>
      </c>
      <c r="C2343" s="1" t="s">
        <v>5</v>
      </c>
    </row>
    <row r="2344" spans="1:3" x14ac:dyDescent="0.25">
      <c r="A2344" s="1" t="s">
        <v>4689</v>
      </c>
      <c r="B2344" s="1" t="s">
        <v>4690</v>
      </c>
      <c r="C2344" s="1" t="s">
        <v>5</v>
      </c>
    </row>
    <row r="2345" spans="1:3" x14ac:dyDescent="0.25">
      <c r="A2345" s="1" t="s">
        <v>4691</v>
      </c>
      <c r="B2345" s="1" t="s">
        <v>4692</v>
      </c>
      <c r="C2345" s="1" t="s">
        <v>5</v>
      </c>
    </row>
    <row r="2346" spans="1:3" x14ac:dyDescent="0.25">
      <c r="A2346" s="1" t="s">
        <v>4693</v>
      </c>
      <c r="B2346" s="1" t="s">
        <v>4694</v>
      </c>
      <c r="C2346" s="1" t="s">
        <v>5</v>
      </c>
    </row>
    <row r="2347" spans="1:3" x14ac:dyDescent="0.25">
      <c r="A2347" s="1" t="s">
        <v>4695</v>
      </c>
      <c r="B2347" s="1" t="s">
        <v>4696</v>
      </c>
      <c r="C2347" s="1" t="s">
        <v>5</v>
      </c>
    </row>
    <row r="2348" spans="1:3" x14ac:dyDescent="0.25">
      <c r="A2348" s="1" t="s">
        <v>4697</v>
      </c>
      <c r="B2348" s="1" t="s">
        <v>4698</v>
      </c>
      <c r="C2348" s="1" t="s">
        <v>5</v>
      </c>
    </row>
    <row r="2349" spans="1:3" x14ac:dyDescent="0.25">
      <c r="A2349" s="1" t="s">
        <v>4699</v>
      </c>
      <c r="B2349" s="1" t="s">
        <v>4700</v>
      </c>
      <c r="C2349" s="1" t="s">
        <v>5</v>
      </c>
    </row>
    <row r="2350" spans="1:3" x14ac:dyDescent="0.25">
      <c r="A2350" s="1" t="s">
        <v>4701</v>
      </c>
      <c r="B2350" s="1" t="s">
        <v>4702</v>
      </c>
      <c r="C2350" s="1" t="s">
        <v>5</v>
      </c>
    </row>
    <row r="2351" spans="1:3" x14ac:dyDescent="0.25">
      <c r="A2351" s="1" t="s">
        <v>4703</v>
      </c>
      <c r="B2351" s="1" t="s">
        <v>4704</v>
      </c>
      <c r="C2351" s="1" t="s">
        <v>5</v>
      </c>
    </row>
    <row r="2352" spans="1:3" x14ac:dyDescent="0.25">
      <c r="A2352" s="1" t="s">
        <v>4705</v>
      </c>
      <c r="B2352" s="1" t="s">
        <v>4706</v>
      </c>
      <c r="C2352" s="1" t="s">
        <v>5</v>
      </c>
    </row>
    <row r="2353" spans="1:3" x14ac:dyDescent="0.25">
      <c r="A2353" s="1" t="s">
        <v>4707</v>
      </c>
      <c r="B2353" s="1" t="s">
        <v>4708</v>
      </c>
      <c r="C2353" s="1" t="s">
        <v>5</v>
      </c>
    </row>
    <row r="2354" spans="1:3" x14ac:dyDescent="0.25">
      <c r="A2354" s="1" t="s">
        <v>4709</v>
      </c>
      <c r="B2354" s="1" t="s">
        <v>4710</v>
      </c>
      <c r="C2354" s="1" t="s">
        <v>5</v>
      </c>
    </row>
    <row r="2355" spans="1:3" x14ac:dyDescent="0.25">
      <c r="A2355" s="1" t="s">
        <v>4711</v>
      </c>
      <c r="B2355" s="1" t="s">
        <v>4712</v>
      </c>
      <c r="C2355" s="1" t="s">
        <v>5</v>
      </c>
    </row>
    <row r="2356" spans="1:3" x14ac:dyDescent="0.25">
      <c r="A2356" s="1" t="s">
        <v>4713</v>
      </c>
      <c r="B2356" s="1" t="s">
        <v>4714</v>
      </c>
      <c r="C2356" s="1" t="s">
        <v>5</v>
      </c>
    </row>
    <row r="2357" spans="1:3" x14ac:dyDescent="0.25">
      <c r="A2357" s="1" t="s">
        <v>4715</v>
      </c>
      <c r="B2357" s="1" t="s">
        <v>4716</v>
      </c>
      <c r="C2357" s="1" t="s">
        <v>5</v>
      </c>
    </row>
    <row r="2358" spans="1:3" x14ac:dyDescent="0.25">
      <c r="A2358" s="1" t="s">
        <v>4717</v>
      </c>
      <c r="B2358" s="1" t="s">
        <v>4718</v>
      </c>
      <c r="C2358" s="1" t="s">
        <v>5</v>
      </c>
    </row>
    <row r="2359" spans="1:3" x14ac:dyDescent="0.25">
      <c r="A2359" s="1" t="s">
        <v>4719</v>
      </c>
      <c r="B2359" s="1" t="s">
        <v>4720</v>
      </c>
      <c r="C2359" s="1" t="s">
        <v>5</v>
      </c>
    </row>
    <row r="2360" spans="1:3" x14ac:dyDescent="0.25">
      <c r="A2360" s="1" t="s">
        <v>4721</v>
      </c>
      <c r="B2360" s="1" t="s">
        <v>4722</v>
      </c>
      <c r="C2360" s="1" t="s">
        <v>5</v>
      </c>
    </row>
    <row r="2361" spans="1:3" x14ac:dyDescent="0.25">
      <c r="A2361" s="1" t="s">
        <v>4723</v>
      </c>
      <c r="B2361" s="1" t="s">
        <v>4724</v>
      </c>
      <c r="C2361" s="1" t="s">
        <v>5</v>
      </c>
    </row>
    <row r="2362" spans="1:3" x14ac:dyDescent="0.25">
      <c r="A2362" s="1" t="s">
        <v>4725</v>
      </c>
      <c r="B2362" s="1" t="s">
        <v>4726</v>
      </c>
      <c r="C2362" s="1" t="s">
        <v>5</v>
      </c>
    </row>
    <row r="2363" spans="1:3" x14ac:dyDescent="0.25">
      <c r="A2363" s="1" t="s">
        <v>4727</v>
      </c>
      <c r="B2363" s="1" t="s">
        <v>4728</v>
      </c>
      <c r="C2363" s="1" t="s">
        <v>5</v>
      </c>
    </row>
    <row r="2364" spans="1:3" x14ac:dyDescent="0.25">
      <c r="A2364" s="1" t="s">
        <v>4729</v>
      </c>
      <c r="B2364" s="1" t="s">
        <v>4730</v>
      </c>
      <c r="C2364" s="1" t="s">
        <v>5</v>
      </c>
    </row>
    <row r="2365" spans="1:3" x14ac:dyDescent="0.25">
      <c r="A2365" s="1" t="s">
        <v>4731</v>
      </c>
      <c r="B2365" s="1" t="s">
        <v>4732</v>
      </c>
      <c r="C2365" s="1" t="s">
        <v>5</v>
      </c>
    </row>
    <row r="2366" spans="1:3" x14ac:dyDescent="0.25">
      <c r="A2366" s="1" t="s">
        <v>4733</v>
      </c>
      <c r="B2366" s="1" t="s">
        <v>4734</v>
      </c>
      <c r="C2366" s="1" t="s">
        <v>5</v>
      </c>
    </row>
    <row r="2367" spans="1:3" x14ac:dyDescent="0.25">
      <c r="A2367" s="1" t="s">
        <v>4735</v>
      </c>
      <c r="B2367" s="1" t="s">
        <v>4736</v>
      </c>
      <c r="C2367" s="1" t="s">
        <v>5</v>
      </c>
    </row>
    <row r="2368" spans="1:3" x14ac:dyDescent="0.25">
      <c r="A2368" s="1" t="s">
        <v>4737</v>
      </c>
      <c r="B2368" s="1" t="s">
        <v>4738</v>
      </c>
      <c r="C2368" s="1" t="s">
        <v>5</v>
      </c>
    </row>
    <row r="2369" spans="1:3" x14ac:dyDescent="0.25">
      <c r="A2369" s="1" t="s">
        <v>4739</v>
      </c>
      <c r="B2369" s="1" t="s">
        <v>4740</v>
      </c>
      <c r="C2369" s="1" t="s">
        <v>5</v>
      </c>
    </row>
    <row r="2370" spans="1:3" x14ac:dyDescent="0.25">
      <c r="A2370" s="1" t="s">
        <v>4741</v>
      </c>
      <c r="B2370" s="1" t="s">
        <v>4742</v>
      </c>
      <c r="C2370" s="1" t="s">
        <v>5</v>
      </c>
    </row>
    <row r="2371" spans="1:3" x14ac:dyDescent="0.25">
      <c r="A2371" s="1" t="s">
        <v>4743</v>
      </c>
      <c r="B2371" s="1" t="s">
        <v>4744</v>
      </c>
      <c r="C2371" s="1" t="s">
        <v>5</v>
      </c>
    </row>
    <row r="2372" spans="1:3" x14ac:dyDescent="0.25">
      <c r="A2372" s="1" t="s">
        <v>4745</v>
      </c>
      <c r="B2372" s="1" t="s">
        <v>4746</v>
      </c>
      <c r="C2372" s="1" t="s">
        <v>5</v>
      </c>
    </row>
    <row r="2373" spans="1:3" x14ac:dyDescent="0.25">
      <c r="A2373" s="1" t="s">
        <v>4747</v>
      </c>
      <c r="B2373" s="1" t="s">
        <v>4748</v>
      </c>
      <c r="C2373" s="1" t="s">
        <v>5</v>
      </c>
    </row>
    <row r="2374" spans="1:3" x14ac:dyDescent="0.25">
      <c r="A2374" s="1" t="s">
        <v>4749</v>
      </c>
      <c r="B2374" s="1" t="s">
        <v>4750</v>
      </c>
      <c r="C2374" s="1" t="s">
        <v>5</v>
      </c>
    </row>
    <row r="2375" spans="1:3" x14ac:dyDescent="0.25">
      <c r="A2375" s="1" t="s">
        <v>4751</v>
      </c>
      <c r="B2375" s="1" t="s">
        <v>4752</v>
      </c>
      <c r="C2375" s="1" t="s">
        <v>5</v>
      </c>
    </row>
    <row r="2376" spans="1:3" x14ac:dyDescent="0.25">
      <c r="A2376" s="1" t="s">
        <v>4753</v>
      </c>
      <c r="B2376" s="1" t="s">
        <v>4754</v>
      </c>
      <c r="C2376" s="1" t="s">
        <v>5</v>
      </c>
    </row>
    <row r="2377" spans="1:3" x14ac:dyDescent="0.25">
      <c r="A2377" s="1" t="s">
        <v>4755</v>
      </c>
      <c r="B2377" s="1" t="s">
        <v>4756</v>
      </c>
      <c r="C2377" s="1" t="s">
        <v>5</v>
      </c>
    </row>
    <row r="2378" spans="1:3" x14ac:dyDescent="0.25">
      <c r="A2378" s="1" t="s">
        <v>4757</v>
      </c>
      <c r="B2378" s="1" t="s">
        <v>4758</v>
      </c>
      <c r="C2378" s="1" t="s">
        <v>5</v>
      </c>
    </row>
    <row r="2379" spans="1:3" x14ac:dyDescent="0.25">
      <c r="A2379" s="1" t="s">
        <v>4759</v>
      </c>
      <c r="B2379" s="1" t="s">
        <v>4760</v>
      </c>
      <c r="C2379" s="1" t="s">
        <v>5</v>
      </c>
    </row>
    <row r="2380" spans="1:3" x14ac:dyDescent="0.25">
      <c r="A2380" s="1" t="s">
        <v>4761</v>
      </c>
      <c r="B2380" s="1" t="s">
        <v>4762</v>
      </c>
      <c r="C2380" s="1" t="s">
        <v>5</v>
      </c>
    </row>
    <row r="2381" spans="1:3" x14ac:dyDescent="0.25">
      <c r="A2381" s="1" t="s">
        <v>4763</v>
      </c>
      <c r="B2381" s="1" t="s">
        <v>4764</v>
      </c>
      <c r="C2381" s="1" t="s">
        <v>5</v>
      </c>
    </row>
    <row r="2382" spans="1:3" x14ac:dyDescent="0.25">
      <c r="A2382" s="1" t="s">
        <v>4765</v>
      </c>
      <c r="B2382" s="1" t="s">
        <v>4766</v>
      </c>
      <c r="C2382" s="1" t="s">
        <v>5</v>
      </c>
    </row>
    <row r="2383" spans="1:3" x14ac:dyDescent="0.25">
      <c r="A2383" s="1" t="s">
        <v>4767</v>
      </c>
      <c r="B2383" s="1" t="s">
        <v>4768</v>
      </c>
      <c r="C2383" s="1" t="s">
        <v>5</v>
      </c>
    </row>
    <row r="2384" spans="1:3" x14ac:dyDescent="0.25">
      <c r="A2384" s="1" t="s">
        <v>4769</v>
      </c>
      <c r="B2384" s="1" t="s">
        <v>4770</v>
      </c>
      <c r="C2384" s="1" t="s">
        <v>5</v>
      </c>
    </row>
    <row r="2385" spans="1:3" x14ac:dyDescent="0.25">
      <c r="A2385" s="1" t="s">
        <v>4771</v>
      </c>
      <c r="B2385" s="1" t="s">
        <v>4772</v>
      </c>
      <c r="C2385" s="1" t="s">
        <v>5</v>
      </c>
    </row>
    <row r="2386" spans="1:3" x14ac:dyDescent="0.25">
      <c r="A2386" s="1" t="s">
        <v>4773</v>
      </c>
      <c r="B2386" s="1" t="s">
        <v>4774</v>
      </c>
      <c r="C2386" s="1" t="s">
        <v>5</v>
      </c>
    </row>
    <row r="2387" spans="1:3" x14ac:dyDescent="0.25">
      <c r="A2387" s="1" t="s">
        <v>4775</v>
      </c>
      <c r="B2387" s="1" t="s">
        <v>4776</v>
      </c>
      <c r="C2387" s="1" t="s">
        <v>5</v>
      </c>
    </row>
    <row r="2388" spans="1:3" x14ac:dyDescent="0.25">
      <c r="A2388" s="1" t="s">
        <v>4777</v>
      </c>
      <c r="B2388" s="1" t="s">
        <v>4778</v>
      </c>
      <c r="C2388" s="1" t="s">
        <v>5</v>
      </c>
    </row>
    <row r="2389" spans="1:3" x14ac:dyDescent="0.25">
      <c r="A2389" s="1" t="s">
        <v>4779</v>
      </c>
      <c r="B2389" s="1" t="s">
        <v>4780</v>
      </c>
      <c r="C2389" s="1" t="s">
        <v>5</v>
      </c>
    </row>
    <row r="2390" spans="1:3" x14ac:dyDescent="0.25">
      <c r="A2390" s="1" t="s">
        <v>4781</v>
      </c>
      <c r="B2390" s="1" t="s">
        <v>4782</v>
      </c>
      <c r="C2390" s="1" t="s">
        <v>5</v>
      </c>
    </row>
    <row r="2391" spans="1:3" x14ac:dyDescent="0.25">
      <c r="A2391" s="1" t="s">
        <v>4783</v>
      </c>
      <c r="B2391" s="1" t="s">
        <v>4784</v>
      </c>
      <c r="C2391" s="1" t="s">
        <v>5</v>
      </c>
    </row>
    <row r="2392" spans="1:3" x14ac:dyDescent="0.25">
      <c r="A2392" s="1" t="s">
        <v>4785</v>
      </c>
      <c r="B2392" s="1" t="s">
        <v>4786</v>
      </c>
      <c r="C2392" s="1" t="s">
        <v>5</v>
      </c>
    </row>
    <row r="2393" spans="1:3" x14ac:dyDescent="0.25">
      <c r="A2393" s="1" t="s">
        <v>4787</v>
      </c>
      <c r="B2393" s="1" t="s">
        <v>4788</v>
      </c>
      <c r="C2393" s="1" t="s">
        <v>5</v>
      </c>
    </row>
    <row r="2394" spans="1:3" x14ac:dyDescent="0.25">
      <c r="A2394" s="1" t="s">
        <v>4789</v>
      </c>
      <c r="B2394" s="1" t="s">
        <v>4790</v>
      </c>
      <c r="C2394" s="1" t="s">
        <v>5</v>
      </c>
    </row>
    <row r="2395" spans="1:3" x14ac:dyDescent="0.25">
      <c r="A2395" s="1" t="s">
        <v>4791</v>
      </c>
      <c r="B2395" s="1" t="s">
        <v>4792</v>
      </c>
      <c r="C2395" s="1" t="s">
        <v>5</v>
      </c>
    </row>
    <row r="2396" spans="1:3" x14ac:dyDescent="0.25">
      <c r="A2396" s="1" t="s">
        <v>4793</v>
      </c>
      <c r="B2396" s="1" t="s">
        <v>4794</v>
      </c>
      <c r="C2396" s="1" t="s">
        <v>5</v>
      </c>
    </row>
    <row r="2397" spans="1:3" x14ac:dyDescent="0.25">
      <c r="A2397" s="1" t="s">
        <v>4795</v>
      </c>
      <c r="B2397" s="1" t="s">
        <v>4796</v>
      </c>
      <c r="C2397" s="1" t="s">
        <v>5</v>
      </c>
    </row>
    <row r="2398" spans="1:3" x14ac:dyDescent="0.25">
      <c r="A2398" s="1" t="s">
        <v>4797</v>
      </c>
      <c r="B2398" s="1" t="s">
        <v>4798</v>
      </c>
      <c r="C2398" s="1" t="s">
        <v>5</v>
      </c>
    </row>
    <row r="2399" spans="1:3" x14ac:dyDescent="0.25">
      <c r="A2399" s="1" t="s">
        <v>4799</v>
      </c>
      <c r="B2399" s="1" t="s">
        <v>4800</v>
      </c>
      <c r="C2399" s="1" t="s">
        <v>5</v>
      </c>
    </row>
    <row r="2400" spans="1:3" x14ac:dyDescent="0.25">
      <c r="A2400" s="1" t="s">
        <v>4801</v>
      </c>
      <c r="B2400" s="1" t="s">
        <v>4802</v>
      </c>
      <c r="C2400" s="1" t="s">
        <v>5</v>
      </c>
    </row>
    <row r="2401" spans="1:3" x14ac:dyDescent="0.25">
      <c r="A2401" s="1" t="s">
        <v>4803</v>
      </c>
      <c r="B2401" s="1" t="s">
        <v>4804</v>
      </c>
      <c r="C2401" s="1" t="s">
        <v>5</v>
      </c>
    </row>
    <row r="2402" spans="1:3" x14ac:dyDescent="0.25">
      <c r="A2402" s="1" t="s">
        <v>4805</v>
      </c>
      <c r="B2402" s="1" t="s">
        <v>4806</v>
      </c>
      <c r="C2402" s="1" t="s">
        <v>5</v>
      </c>
    </row>
    <row r="2403" spans="1:3" x14ac:dyDescent="0.25">
      <c r="A2403" s="1" t="s">
        <v>4807</v>
      </c>
      <c r="B2403" s="1" t="s">
        <v>4808</v>
      </c>
      <c r="C2403" s="1" t="s">
        <v>5</v>
      </c>
    </row>
    <row r="2404" spans="1:3" x14ac:dyDescent="0.25">
      <c r="A2404" s="1" t="s">
        <v>4809</v>
      </c>
      <c r="B2404" s="1" t="s">
        <v>4810</v>
      </c>
      <c r="C2404" s="1" t="s">
        <v>5</v>
      </c>
    </row>
    <row r="2405" spans="1:3" x14ac:dyDescent="0.25">
      <c r="A2405" s="1" t="s">
        <v>4811</v>
      </c>
      <c r="B2405" s="1" t="s">
        <v>4812</v>
      </c>
      <c r="C2405" s="1" t="s">
        <v>5</v>
      </c>
    </row>
    <row r="2406" spans="1:3" x14ac:dyDescent="0.25">
      <c r="A2406" s="1" t="s">
        <v>4813</v>
      </c>
      <c r="B2406" s="1" t="s">
        <v>4814</v>
      </c>
      <c r="C2406" s="1" t="s">
        <v>5</v>
      </c>
    </row>
    <row r="2407" spans="1:3" x14ac:dyDescent="0.25">
      <c r="A2407" s="1" t="s">
        <v>4815</v>
      </c>
      <c r="B2407" s="1" t="s">
        <v>4816</v>
      </c>
      <c r="C2407" s="1" t="s">
        <v>5</v>
      </c>
    </row>
    <row r="2408" spans="1:3" x14ac:dyDescent="0.25">
      <c r="A2408" s="1" t="s">
        <v>4817</v>
      </c>
      <c r="B2408" s="1" t="s">
        <v>4818</v>
      </c>
      <c r="C2408" s="1" t="s">
        <v>5</v>
      </c>
    </row>
    <row r="2409" spans="1:3" x14ac:dyDescent="0.25">
      <c r="A2409" s="1" t="s">
        <v>4819</v>
      </c>
      <c r="B2409" s="1" t="s">
        <v>4820</v>
      </c>
      <c r="C2409" s="1" t="s">
        <v>5</v>
      </c>
    </row>
    <row r="2410" spans="1:3" x14ac:dyDescent="0.25">
      <c r="A2410" s="1" t="s">
        <v>4821</v>
      </c>
      <c r="B2410" s="1" t="s">
        <v>4822</v>
      </c>
      <c r="C2410" s="1" t="s">
        <v>5</v>
      </c>
    </row>
    <row r="2411" spans="1:3" x14ac:dyDescent="0.25">
      <c r="A2411" s="1" t="s">
        <v>4823</v>
      </c>
      <c r="B2411" s="1" t="s">
        <v>4824</v>
      </c>
      <c r="C2411" s="1" t="s">
        <v>5</v>
      </c>
    </row>
    <row r="2412" spans="1:3" x14ac:dyDescent="0.25">
      <c r="A2412" s="1" t="s">
        <v>4825</v>
      </c>
      <c r="B2412" s="1" t="s">
        <v>4826</v>
      </c>
      <c r="C2412" s="1" t="s">
        <v>5</v>
      </c>
    </row>
    <row r="2413" spans="1:3" x14ac:dyDescent="0.25">
      <c r="A2413" s="1" t="s">
        <v>4827</v>
      </c>
      <c r="B2413" s="1" t="s">
        <v>4828</v>
      </c>
      <c r="C2413" s="1" t="s">
        <v>5</v>
      </c>
    </row>
    <row r="2414" spans="1:3" x14ac:dyDescent="0.25">
      <c r="A2414" s="1" t="s">
        <v>4829</v>
      </c>
      <c r="B2414" s="1" t="s">
        <v>4830</v>
      </c>
      <c r="C2414" s="1" t="s">
        <v>5</v>
      </c>
    </row>
    <row r="2415" spans="1:3" x14ac:dyDescent="0.25">
      <c r="A2415" s="1" t="s">
        <v>4831</v>
      </c>
      <c r="B2415" s="1" t="s">
        <v>4832</v>
      </c>
      <c r="C2415" s="1" t="s">
        <v>5</v>
      </c>
    </row>
    <row r="2416" spans="1:3" x14ac:dyDescent="0.25">
      <c r="A2416" s="1" t="s">
        <v>4833</v>
      </c>
      <c r="B2416" s="1" t="s">
        <v>4834</v>
      </c>
      <c r="C2416" s="1" t="s">
        <v>5</v>
      </c>
    </row>
    <row r="2417" spans="1:3" x14ac:dyDescent="0.25">
      <c r="A2417" s="1" t="s">
        <v>4835</v>
      </c>
      <c r="B2417" s="1" t="s">
        <v>4836</v>
      </c>
      <c r="C2417" s="1" t="s">
        <v>5</v>
      </c>
    </row>
    <row r="2418" spans="1:3" x14ac:dyDescent="0.25">
      <c r="A2418" s="1" t="s">
        <v>4837</v>
      </c>
      <c r="B2418" s="1" t="s">
        <v>4838</v>
      </c>
      <c r="C2418" s="1" t="s">
        <v>5</v>
      </c>
    </row>
    <row r="2419" spans="1:3" x14ac:dyDescent="0.25">
      <c r="A2419" s="1" t="s">
        <v>4839</v>
      </c>
      <c r="B2419" s="1" t="s">
        <v>4840</v>
      </c>
      <c r="C2419" s="1" t="s">
        <v>5</v>
      </c>
    </row>
    <row r="2420" spans="1:3" x14ac:dyDescent="0.25">
      <c r="A2420" s="1" t="s">
        <v>4841</v>
      </c>
      <c r="B2420" s="1" t="s">
        <v>4842</v>
      </c>
      <c r="C2420" s="1" t="s">
        <v>5</v>
      </c>
    </row>
    <row r="2421" spans="1:3" x14ac:dyDescent="0.25">
      <c r="A2421" s="1" t="s">
        <v>4843</v>
      </c>
      <c r="B2421" s="1" t="s">
        <v>4844</v>
      </c>
      <c r="C2421" s="1" t="s">
        <v>5</v>
      </c>
    </row>
    <row r="2422" spans="1:3" x14ac:dyDescent="0.25">
      <c r="A2422" s="1" t="s">
        <v>4845</v>
      </c>
      <c r="B2422" s="1" t="s">
        <v>4846</v>
      </c>
      <c r="C2422" s="1" t="s">
        <v>5</v>
      </c>
    </row>
    <row r="2423" spans="1:3" x14ac:dyDescent="0.25">
      <c r="A2423" s="1" t="s">
        <v>4847</v>
      </c>
      <c r="B2423" s="1" t="s">
        <v>4848</v>
      </c>
      <c r="C2423" s="1" t="s">
        <v>5</v>
      </c>
    </row>
    <row r="2424" spans="1:3" x14ac:dyDescent="0.25">
      <c r="A2424" s="1" t="s">
        <v>4849</v>
      </c>
      <c r="B2424" s="1" t="s">
        <v>4850</v>
      </c>
      <c r="C2424" s="1" t="s">
        <v>5</v>
      </c>
    </row>
    <row r="2425" spans="1:3" x14ac:dyDescent="0.25">
      <c r="A2425" s="1" t="s">
        <v>4851</v>
      </c>
      <c r="B2425" s="1" t="s">
        <v>4852</v>
      </c>
      <c r="C2425" s="1" t="s">
        <v>5</v>
      </c>
    </row>
    <row r="2426" spans="1:3" x14ac:dyDescent="0.25">
      <c r="A2426" s="1" t="s">
        <v>4853</v>
      </c>
      <c r="B2426" s="1" t="s">
        <v>4854</v>
      </c>
      <c r="C2426" s="1" t="s">
        <v>5</v>
      </c>
    </row>
    <row r="2427" spans="1:3" x14ac:dyDescent="0.25">
      <c r="A2427" s="1" t="s">
        <v>4855</v>
      </c>
      <c r="B2427" s="1" t="s">
        <v>4856</v>
      </c>
      <c r="C2427" s="1" t="s">
        <v>5</v>
      </c>
    </row>
    <row r="2428" spans="1:3" x14ac:dyDescent="0.25">
      <c r="A2428" s="1" t="s">
        <v>4857</v>
      </c>
      <c r="B2428" s="1" t="s">
        <v>4858</v>
      </c>
      <c r="C2428" s="1" t="s">
        <v>5</v>
      </c>
    </row>
    <row r="2429" spans="1:3" x14ac:dyDescent="0.25">
      <c r="A2429" s="1" t="s">
        <v>4859</v>
      </c>
      <c r="B2429" s="1" t="s">
        <v>4860</v>
      </c>
      <c r="C2429" s="1" t="s">
        <v>5</v>
      </c>
    </row>
    <row r="2430" spans="1:3" x14ac:dyDescent="0.25">
      <c r="A2430" s="1" t="s">
        <v>4861</v>
      </c>
      <c r="B2430" s="1" t="s">
        <v>4862</v>
      </c>
      <c r="C2430" s="1" t="s">
        <v>5</v>
      </c>
    </row>
    <row r="2431" spans="1:3" x14ac:dyDescent="0.25">
      <c r="A2431" s="1" t="s">
        <v>4863</v>
      </c>
      <c r="B2431" s="1" t="s">
        <v>4864</v>
      </c>
      <c r="C2431" s="1" t="s">
        <v>5</v>
      </c>
    </row>
    <row r="2432" spans="1:3" x14ac:dyDescent="0.25">
      <c r="A2432" s="1" t="s">
        <v>4865</v>
      </c>
      <c r="B2432" s="1" t="s">
        <v>4866</v>
      </c>
      <c r="C2432" s="1" t="s">
        <v>5</v>
      </c>
    </row>
    <row r="2433" spans="1:3" x14ac:dyDescent="0.25">
      <c r="A2433" s="1" t="s">
        <v>4867</v>
      </c>
      <c r="B2433" s="1" t="s">
        <v>4868</v>
      </c>
      <c r="C2433" s="1" t="s">
        <v>5</v>
      </c>
    </row>
    <row r="2434" spans="1:3" x14ac:dyDescent="0.25">
      <c r="A2434" s="1" t="s">
        <v>4869</v>
      </c>
      <c r="B2434" s="1" t="s">
        <v>4870</v>
      </c>
      <c r="C2434" s="1" t="s">
        <v>5</v>
      </c>
    </row>
    <row r="2435" spans="1:3" x14ac:dyDescent="0.25">
      <c r="A2435" s="1" t="s">
        <v>4871</v>
      </c>
      <c r="B2435" s="1" t="s">
        <v>4872</v>
      </c>
      <c r="C2435" s="1" t="s">
        <v>5</v>
      </c>
    </row>
    <row r="2436" spans="1:3" x14ac:dyDescent="0.25">
      <c r="A2436" s="1" t="s">
        <v>4873</v>
      </c>
      <c r="B2436" s="1" t="s">
        <v>4874</v>
      </c>
      <c r="C2436" s="1" t="s">
        <v>5</v>
      </c>
    </row>
    <row r="2437" spans="1:3" x14ac:dyDescent="0.25">
      <c r="A2437" s="1" t="s">
        <v>4875</v>
      </c>
      <c r="B2437" s="1" t="s">
        <v>4876</v>
      </c>
      <c r="C2437" s="1" t="s">
        <v>5</v>
      </c>
    </row>
    <row r="2438" spans="1:3" x14ac:dyDescent="0.25">
      <c r="A2438" s="1" t="s">
        <v>4877</v>
      </c>
      <c r="B2438" s="1" t="s">
        <v>4878</v>
      </c>
      <c r="C2438" s="1" t="s">
        <v>5</v>
      </c>
    </row>
    <row r="2439" spans="1:3" x14ac:dyDescent="0.25">
      <c r="A2439" s="1" t="s">
        <v>4879</v>
      </c>
      <c r="B2439" s="1" t="s">
        <v>4880</v>
      </c>
      <c r="C2439" s="1" t="s">
        <v>5</v>
      </c>
    </row>
    <row r="2440" spans="1:3" x14ac:dyDescent="0.25">
      <c r="A2440" s="1" t="s">
        <v>4881</v>
      </c>
      <c r="B2440" s="1" t="s">
        <v>4882</v>
      </c>
      <c r="C2440" s="1" t="s">
        <v>5</v>
      </c>
    </row>
    <row r="2441" spans="1:3" x14ac:dyDescent="0.25">
      <c r="A2441" s="1" t="s">
        <v>4883</v>
      </c>
      <c r="B2441" s="1" t="s">
        <v>4884</v>
      </c>
      <c r="C2441" s="1" t="s">
        <v>5</v>
      </c>
    </row>
    <row r="2442" spans="1:3" x14ac:dyDescent="0.25">
      <c r="A2442" s="1" t="s">
        <v>4885</v>
      </c>
      <c r="B2442" s="1" t="s">
        <v>4886</v>
      </c>
      <c r="C2442" s="1" t="s">
        <v>5</v>
      </c>
    </row>
    <row r="2443" spans="1:3" x14ac:dyDescent="0.25">
      <c r="A2443" s="1" t="s">
        <v>4887</v>
      </c>
      <c r="B2443" s="1" t="s">
        <v>4888</v>
      </c>
      <c r="C2443" s="1" t="s">
        <v>5</v>
      </c>
    </row>
    <row r="2444" spans="1:3" x14ac:dyDescent="0.25">
      <c r="A2444" s="1" t="s">
        <v>4889</v>
      </c>
      <c r="B2444" s="1" t="s">
        <v>4890</v>
      </c>
      <c r="C2444" s="1" t="s">
        <v>5</v>
      </c>
    </row>
    <row r="2445" spans="1:3" x14ac:dyDescent="0.25">
      <c r="A2445" s="1" t="s">
        <v>4891</v>
      </c>
      <c r="B2445" s="1" t="s">
        <v>4892</v>
      </c>
      <c r="C2445" s="1" t="s">
        <v>5</v>
      </c>
    </row>
    <row r="2446" spans="1:3" x14ac:dyDescent="0.25">
      <c r="A2446" s="1" t="s">
        <v>4893</v>
      </c>
      <c r="B2446" s="1" t="s">
        <v>4894</v>
      </c>
      <c r="C2446" s="1" t="s">
        <v>5</v>
      </c>
    </row>
    <row r="2447" spans="1:3" x14ac:dyDescent="0.25">
      <c r="A2447" s="1" t="s">
        <v>4895</v>
      </c>
      <c r="B2447" s="1" t="s">
        <v>4896</v>
      </c>
      <c r="C2447" s="1" t="s">
        <v>5</v>
      </c>
    </row>
    <row r="2448" spans="1:3" x14ac:dyDescent="0.25">
      <c r="A2448" s="1" t="s">
        <v>4897</v>
      </c>
      <c r="B2448" s="1" t="s">
        <v>4898</v>
      </c>
      <c r="C2448" s="1" t="s">
        <v>5</v>
      </c>
    </row>
    <row r="2449" spans="1:3" x14ac:dyDescent="0.25">
      <c r="A2449" s="1" t="s">
        <v>4899</v>
      </c>
      <c r="B2449" s="1" t="s">
        <v>4900</v>
      </c>
      <c r="C2449" s="1" t="s">
        <v>5</v>
      </c>
    </row>
    <row r="2450" spans="1:3" x14ac:dyDescent="0.25">
      <c r="A2450" s="1" t="s">
        <v>4901</v>
      </c>
      <c r="B2450" s="1" t="s">
        <v>4902</v>
      </c>
      <c r="C2450" s="1" t="s">
        <v>5</v>
      </c>
    </row>
    <row r="2451" spans="1:3" x14ac:dyDescent="0.25">
      <c r="A2451" s="1" t="s">
        <v>4903</v>
      </c>
      <c r="B2451" s="1" t="s">
        <v>4904</v>
      </c>
      <c r="C2451" s="1" t="s">
        <v>5</v>
      </c>
    </row>
    <row r="2452" spans="1:3" x14ac:dyDescent="0.25">
      <c r="A2452" s="1" t="s">
        <v>4905</v>
      </c>
      <c r="B2452" s="1" t="s">
        <v>4906</v>
      </c>
      <c r="C2452" s="1" t="s">
        <v>5</v>
      </c>
    </row>
    <row r="2453" spans="1:3" x14ac:dyDescent="0.25">
      <c r="A2453" s="1" t="s">
        <v>4907</v>
      </c>
      <c r="B2453" s="1" t="s">
        <v>4908</v>
      </c>
      <c r="C2453" s="1" t="s">
        <v>5</v>
      </c>
    </row>
    <row r="2454" spans="1:3" x14ac:dyDescent="0.25">
      <c r="A2454" s="1" t="s">
        <v>4909</v>
      </c>
      <c r="B2454" s="1" t="s">
        <v>4910</v>
      </c>
      <c r="C2454" s="1" t="s">
        <v>5</v>
      </c>
    </row>
    <row r="2455" spans="1:3" x14ac:dyDescent="0.25">
      <c r="A2455" s="1" t="s">
        <v>4911</v>
      </c>
      <c r="B2455" s="1" t="s">
        <v>4912</v>
      </c>
      <c r="C2455" s="1" t="s">
        <v>5</v>
      </c>
    </row>
    <row r="2456" spans="1:3" x14ac:dyDescent="0.25">
      <c r="A2456" s="1" t="s">
        <v>4913</v>
      </c>
      <c r="B2456" s="1" t="s">
        <v>4914</v>
      </c>
      <c r="C2456" s="1" t="s">
        <v>5</v>
      </c>
    </row>
    <row r="2457" spans="1:3" x14ac:dyDescent="0.25">
      <c r="A2457" s="1" t="s">
        <v>4915</v>
      </c>
      <c r="B2457" s="1" t="s">
        <v>4916</v>
      </c>
      <c r="C2457" s="1" t="s">
        <v>5</v>
      </c>
    </row>
    <row r="2458" spans="1:3" x14ac:dyDescent="0.25">
      <c r="A2458" s="1" t="s">
        <v>4917</v>
      </c>
      <c r="B2458" s="1" t="s">
        <v>4918</v>
      </c>
      <c r="C2458" s="1" t="s">
        <v>5</v>
      </c>
    </row>
    <row r="2459" spans="1:3" x14ac:dyDescent="0.25">
      <c r="A2459" s="1" t="s">
        <v>4919</v>
      </c>
      <c r="B2459" s="1" t="s">
        <v>4920</v>
      </c>
      <c r="C2459" s="1" t="s">
        <v>5</v>
      </c>
    </row>
    <row r="2460" spans="1:3" x14ac:dyDescent="0.25">
      <c r="A2460" s="1" t="s">
        <v>4921</v>
      </c>
      <c r="B2460" s="1" t="s">
        <v>4922</v>
      </c>
      <c r="C2460" s="1" t="s">
        <v>5</v>
      </c>
    </row>
    <row r="2461" spans="1:3" x14ac:dyDescent="0.25">
      <c r="A2461" s="1" t="s">
        <v>4923</v>
      </c>
      <c r="B2461" s="1" t="s">
        <v>4924</v>
      </c>
      <c r="C2461" s="1" t="s">
        <v>5</v>
      </c>
    </row>
    <row r="2462" spans="1:3" x14ac:dyDescent="0.25">
      <c r="A2462" s="1" t="s">
        <v>4925</v>
      </c>
      <c r="B2462" s="1" t="s">
        <v>4926</v>
      </c>
      <c r="C2462" s="1" t="s">
        <v>5</v>
      </c>
    </row>
    <row r="2463" spans="1:3" x14ac:dyDescent="0.25">
      <c r="A2463" s="1" t="s">
        <v>4927</v>
      </c>
      <c r="B2463" s="1" t="s">
        <v>4928</v>
      </c>
      <c r="C2463" s="1" t="s">
        <v>5</v>
      </c>
    </row>
    <row r="2464" spans="1:3" x14ac:dyDescent="0.25">
      <c r="A2464" s="1" t="s">
        <v>4929</v>
      </c>
      <c r="B2464" s="1" t="s">
        <v>4930</v>
      </c>
      <c r="C2464" s="1" t="s">
        <v>5</v>
      </c>
    </row>
    <row r="2465" spans="1:3" x14ac:dyDescent="0.25">
      <c r="A2465" s="1" t="s">
        <v>4931</v>
      </c>
      <c r="B2465" s="1" t="s">
        <v>4932</v>
      </c>
      <c r="C2465" s="1" t="s">
        <v>5</v>
      </c>
    </row>
    <row r="2466" spans="1:3" x14ac:dyDescent="0.25">
      <c r="A2466" s="1" t="s">
        <v>4933</v>
      </c>
      <c r="B2466" s="1" t="s">
        <v>4934</v>
      </c>
      <c r="C2466" s="1" t="s">
        <v>5</v>
      </c>
    </row>
    <row r="2467" spans="1:3" x14ac:dyDescent="0.25">
      <c r="A2467" s="1" t="s">
        <v>4935</v>
      </c>
      <c r="B2467" s="1" t="s">
        <v>4936</v>
      </c>
      <c r="C2467" s="1" t="s">
        <v>5</v>
      </c>
    </row>
    <row r="2468" spans="1:3" x14ac:dyDescent="0.25">
      <c r="A2468" s="1" t="s">
        <v>4937</v>
      </c>
      <c r="B2468" s="1" t="s">
        <v>4938</v>
      </c>
      <c r="C2468" s="1" t="s">
        <v>5</v>
      </c>
    </row>
    <row r="2469" spans="1:3" x14ac:dyDescent="0.25">
      <c r="A2469" s="1" t="s">
        <v>4939</v>
      </c>
      <c r="B2469" s="1" t="s">
        <v>4940</v>
      </c>
      <c r="C2469" s="1" t="s">
        <v>5</v>
      </c>
    </row>
    <row r="2470" spans="1:3" x14ac:dyDescent="0.25">
      <c r="A2470" s="1" t="s">
        <v>4941</v>
      </c>
      <c r="B2470" s="1" t="s">
        <v>4942</v>
      </c>
      <c r="C2470" s="1" t="s">
        <v>5</v>
      </c>
    </row>
    <row r="2471" spans="1:3" x14ac:dyDescent="0.25">
      <c r="A2471" s="1" t="s">
        <v>4943</v>
      </c>
      <c r="B2471" s="1" t="s">
        <v>4944</v>
      </c>
      <c r="C2471" s="1" t="s">
        <v>5</v>
      </c>
    </row>
    <row r="2472" spans="1:3" x14ac:dyDescent="0.25">
      <c r="A2472" s="1" t="s">
        <v>4945</v>
      </c>
      <c r="B2472" s="1" t="s">
        <v>4946</v>
      </c>
      <c r="C2472" s="1" t="s">
        <v>5</v>
      </c>
    </row>
    <row r="2473" spans="1:3" x14ac:dyDescent="0.25">
      <c r="A2473" s="1" t="s">
        <v>4947</v>
      </c>
      <c r="B2473" s="1" t="s">
        <v>4948</v>
      </c>
      <c r="C2473" s="1" t="s">
        <v>5</v>
      </c>
    </row>
    <row r="2474" spans="1:3" x14ac:dyDescent="0.25">
      <c r="A2474" s="1" t="s">
        <v>4949</v>
      </c>
      <c r="B2474" s="1" t="s">
        <v>4950</v>
      </c>
      <c r="C2474" s="1" t="s">
        <v>5</v>
      </c>
    </row>
    <row r="2475" spans="1:3" x14ac:dyDescent="0.25">
      <c r="A2475" s="1" t="s">
        <v>4951</v>
      </c>
      <c r="B2475" s="1" t="s">
        <v>4952</v>
      </c>
      <c r="C2475" s="1" t="s">
        <v>5</v>
      </c>
    </row>
    <row r="2476" spans="1:3" x14ac:dyDescent="0.25">
      <c r="A2476" s="1" t="s">
        <v>4953</v>
      </c>
      <c r="B2476" s="1" t="s">
        <v>4954</v>
      </c>
      <c r="C2476" s="1" t="s">
        <v>5</v>
      </c>
    </row>
    <row r="2477" spans="1:3" x14ac:dyDescent="0.25">
      <c r="A2477" s="1" t="s">
        <v>4955</v>
      </c>
      <c r="B2477" s="1" t="s">
        <v>4956</v>
      </c>
      <c r="C2477" s="1" t="s">
        <v>5</v>
      </c>
    </row>
    <row r="2478" spans="1:3" x14ac:dyDescent="0.25">
      <c r="A2478" s="1" t="s">
        <v>4957</v>
      </c>
      <c r="B2478" s="1" t="s">
        <v>4958</v>
      </c>
      <c r="C2478" s="1" t="s">
        <v>5</v>
      </c>
    </row>
    <row r="2479" spans="1:3" x14ac:dyDescent="0.25">
      <c r="A2479" s="1" t="s">
        <v>4959</v>
      </c>
      <c r="B2479" s="1" t="s">
        <v>4960</v>
      </c>
      <c r="C2479" s="1" t="s">
        <v>5</v>
      </c>
    </row>
    <row r="2480" spans="1:3" x14ac:dyDescent="0.25">
      <c r="A2480" s="1" t="s">
        <v>4961</v>
      </c>
      <c r="B2480" s="1" t="s">
        <v>4962</v>
      </c>
      <c r="C2480" s="1" t="s">
        <v>5</v>
      </c>
    </row>
    <row r="2481" spans="1:3" x14ac:dyDescent="0.25">
      <c r="A2481" s="1" t="s">
        <v>4963</v>
      </c>
      <c r="B2481" s="1" t="s">
        <v>4964</v>
      </c>
      <c r="C2481" s="1" t="s">
        <v>5</v>
      </c>
    </row>
    <row r="2482" spans="1:3" x14ac:dyDescent="0.25">
      <c r="A2482" s="1" t="s">
        <v>4965</v>
      </c>
      <c r="B2482" s="1" t="s">
        <v>4966</v>
      </c>
      <c r="C2482" s="1" t="s">
        <v>5</v>
      </c>
    </row>
    <row r="2483" spans="1:3" x14ac:dyDescent="0.25">
      <c r="A2483" s="1" t="s">
        <v>4967</v>
      </c>
      <c r="B2483" s="1" t="s">
        <v>4968</v>
      </c>
      <c r="C2483" s="1" t="s">
        <v>5</v>
      </c>
    </row>
    <row r="2484" spans="1:3" x14ac:dyDescent="0.25">
      <c r="A2484" s="1" t="s">
        <v>4969</v>
      </c>
      <c r="B2484" s="1" t="s">
        <v>4970</v>
      </c>
      <c r="C2484" s="1" t="s">
        <v>5</v>
      </c>
    </row>
    <row r="2485" spans="1:3" x14ac:dyDescent="0.25">
      <c r="A2485" s="1" t="s">
        <v>4971</v>
      </c>
      <c r="B2485" s="1" t="s">
        <v>4972</v>
      </c>
      <c r="C2485" s="1" t="s">
        <v>5</v>
      </c>
    </row>
    <row r="2486" spans="1:3" x14ac:dyDescent="0.25">
      <c r="A2486" s="1" t="s">
        <v>4973</v>
      </c>
      <c r="B2486" s="1" t="s">
        <v>4974</v>
      </c>
      <c r="C2486" s="1" t="s">
        <v>5</v>
      </c>
    </row>
    <row r="2487" spans="1:3" x14ac:dyDescent="0.25">
      <c r="A2487" s="1" t="s">
        <v>4975</v>
      </c>
      <c r="B2487" s="1" t="s">
        <v>4976</v>
      </c>
      <c r="C2487" s="1" t="s">
        <v>5</v>
      </c>
    </row>
    <row r="2488" spans="1:3" x14ac:dyDescent="0.25">
      <c r="A2488" s="1" t="s">
        <v>4977</v>
      </c>
      <c r="B2488" s="1" t="s">
        <v>4978</v>
      </c>
      <c r="C2488" s="1" t="s">
        <v>5</v>
      </c>
    </row>
    <row r="2489" spans="1:3" x14ac:dyDescent="0.25">
      <c r="A2489" s="1" t="s">
        <v>4979</v>
      </c>
      <c r="B2489" s="1" t="s">
        <v>4980</v>
      </c>
      <c r="C2489" s="1" t="s">
        <v>5</v>
      </c>
    </row>
    <row r="2490" spans="1:3" x14ac:dyDescent="0.25">
      <c r="A2490" s="1" t="s">
        <v>4981</v>
      </c>
      <c r="B2490" s="1" t="s">
        <v>4982</v>
      </c>
      <c r="C2490" s="1" t="s">
        <v>5</v>
      </c>
    </row>
    <row r="2491" spans="1:3" x14ac:dyDescent="0.25">
      <c r="A2491" s="1" t="s">
        <v>4983</v>
      </c>
      <c r="B2491" s="1" t="s">
        <v>4984</v>
      </c>
      <c r="C2491" s="1" t="s">
        <v>5</v>
      </c>
    </row>
    <row r="2492" spans="1:3" x14ac:dyDescent="0.25">
      <c r="A2492" s="1" t="s">
        <v>4985</v>
      </c>
      <c r="B2492" s="1" t="s">
        <v>4986</v>
      </c>
      <c r="C2492" s="1" t="s">
        <v>5</v>
      </c>
    </row>
    <row r="2493" spans="1:3" x14ac:dyDescent="0.25">
      <c r="A2493" s="1" t="s">
        <v>4987</v>
      </c>
      <c r="B2493" s="1" t="s">
        <v>4988</v>
      </c>
      <c r="C2493" s="1" t="s">
        <v>5</v>
      </c>
    </row>
    <row r="2494" spans="1:3" x14ac:dyDescent="0.25">
      <c r="A2494" s="1" t="s">
        <v>4989</v>
      </c>
      <c r="B2494" s="1" t="s">
        <v>4990</v>
      </c>
      <c r="C2494" s="1" t="s">
        <v>5</v>
      </c>
    </row>
    <row r="2495" spans="1:3" x14ac:dyDescent="0.25">
      <c r="A2495" s="1" t="s">
        <v>4991</v>
      </c>
      <c r="B2495" s="1" t="s">
        <v>4992</v>
      </c>
      <c r="C2495" s="1" t="s">
        <v>5</v>
      </c>
    </row>
    <row r="2496" spans="1:3" x14ac:dyDescent="0.25">
      <c r="A2496" s="1" t="s">
        <v>4993</v>
      </c>
      <c r="B2496" s="1" t="s">
        <v>4994</v>
      </c>
      <c r="C2496" s="1" t="s">
        <v>5</v>
      </c>
    </row>
    <row r="2497" spans="1:3" x14ac:dyDescent="0.25">
      <c r="A2497" s="1" t="s">
        <v>4995</v>
      </c>
      <c r="B2497" s="1" t="s">
        <v>4996</v>
      </c>
      <c r="C2497" s="1" t="s">
        <v>5</v>
      </c>
    </row>
    <row r="2498" spans="1:3" x14ac:dyDescent="0.25">
      <c r="A2498" s="1" t="s">
        <v>4997</v>
      </c>
      <c r="B2498" s="1" t="s">
        <v>4998</v>
      </c>
      <c r="C2498" s="1" t="s">
        <v>5</v>
      </c>
    </row>
    <row r="2499" spans="1:3" x14ac:dyDescent="0.25">
      <c r="A2499" s="1" t="s">
        <v>4999</v>
      </c>
      <c r="B2499" s="1" t="s">
        <v>5000</v>
      </c>
      <c r="C2499" s="1" t="s">
        <v>5</v>
      </c>
    </row>
    <row r="2500" spans="1:3" x14ac:dyDescent="0.25">
      <c r="A2500" s="1" t="s">
        <v>5001</v>
      </c>
      <c r="B2500" s="1" t="s">
        <v>5002</v>
      </c>
      <c r="C2500" s="1" t="s">
        <v>5</v>
      </c>
    </row>
    <row r="2501" spans="1:3" x14ac:dyDescent="0.25">
      <c r="A2501" s="1" t="s">
        <v>5003</v>
      </c>
      <c r="B2501" s="1" t="s">
        <v>5004</v>
      </c>
      <c r="C2501" s="1" t="s">
        <v>5</v>
      </c>
    </row>
    <row r="2502" spans="1:3" x14ac:dyDescent="0.25">
      <c r="A2502" s="1" t="s">
        <v>5005</v>
      </c>
      <c r="B2502" s="1" t="s">
        <v>5006</v>
      </c>
      <c r="C2502" s="1" t="s">
        <v>5</v>
      </c>
    </row>
    <row r="2503" spans="1:3" x14ac:dyDescent="0.25">
      <c r="A2503" s="1" t="s">
        <v>5007</v>
      </c>
      <c r="B2503" s="1" t="s">
        <v>5008</v>
      </c>
      <c r="C2503" s="1" t="s">
        <v>5</v>
      </c>
    </row>
    <row r="2504" spans="1:3" x14ac:dyDescent="0.25">
      <c r="A2504" s="1" t="s">
        <v>5009</v>
      </c>
      <c r="B2504" s="1" t="s">
        <v>5010</v>
      </c>
      <c r="C2504" s="1" t="s">
        <v>5</v>
      </c>
    </row>
    <row r="2505" spans="1:3" x14ac:dyDescent="0.25">
      <c r="A2505" s="1" t="s">
        <v>5011</v>
      </c>
      <c r="B2505" s="1" t="s">
        <v>5012</v>
      </c>
      <c r="C2505" s="1" t="s">
        <v>5</v>
      </c>
    </row>
    <row r="2506" spans="1:3" x14ac:dyDescent="0.25">
      <c r="A2506" s="1" t="s">
        <v>5013</v>
      </c>
      <c r="B2506" s="1" t="s">
        <v>5014</v>
      </c>
      <c r="C2506" s="1" t="s">
        <v>5</v>
      </c>
    </row>
    <row r="2507" spans="1:3" x14ac:dyDescent="0.25">
      <c r="A2507" s="1" t="s">
        <v>5015</v>
      </c>
      <c r="B2507" s="1" t="s">
        <v>5016</v>
      </c>
      <c r="C2507" s="1" t="s">
        <v>5</v>
      </c>
    </row>
    <row r="2508" spans="1:3" x14ac:dyDescent="0.25">
      <c r="A2508" s="1" t="s">
        <v>5017</v>
      </c>
      <c r="B2508" s="1" t="s">
        <v>5018</v>
      </c>
      <c r="C2508" s="1" t="s">
        <v>5</v>
      </c>
    </row>
    <row r="2509" spans="1:3" x14ac:dyDescent="0.25">
      <c r="A2509" s="1" t="s">
        <v>5019</v>
      </c>
      <c r="B2509" s="1" t="s">
        <v>5020</v>
      </c>
      <c r="C2509" s="1" t="s">
        <v>5</v>
      </c>
    </row>
    <row r="2510" spans="1:3" x14ac:dyDescent="0.25">
      <c r="A2510" s="1" t="s">
        <v>5021</v>
      </c>
      <c r="B2510" s="1" t="s">
        <v>5022</v>
      </c>
      <c r="C2510" s="1" t="s">
        <v>5</v>
      </c>
    </row>
    <row r="2511" spans="1:3" x14ac:dyDescent="0.25">
      <c r="A2511" s="1" t="s">
        <v>5023</v>
      </c>
      <c r="B2511" s="1" t="s">
        <v>5024</v>
      </c>
      <c r="C2511" s="1" t="s">
        <v>5</v>
      </c>
    </row>
    <row r="2512" spans="1:3" x14ac:dyDescent="0.25">
      <c r="A2512" s="1" t="s">
        <v>5025</v>
      </c>
      <c r="B2512" s="1" t="s">
        <v>5026</v>
      </c>
      <c r="C2512" s="1" t="s">
        <v>5</v>
      </c>
    </row>
    <row r="2513" spans="1:3" x14ac:dyDescent="0.25">
      <c r="A2513" s="1" t="s">
        <v>5027</v>
      </c>
      <c r="B2513" s="1" t="s">
        <v>5028</v>
      </c>
      <c r="C2513" s="1" t="s">
        <v>5</v>
      </c>
    </row>
    <row r="2514" spans="1:3" x14ac:dyDescent="0.25">
      <c r="A2514" s="1" t="s">
        <v>5029</v>
      </c>
      <c r="B2514" s="1" t="s">
        <v>5030</v>
      </c>
      <c r="C2514" s="1" t="s">
        <v>5</v>
      </c>
    </row>
    <row r="2515" spans="1:3" x14ac:dyDescent="0.25">
      <c r="A2515" s="1" t="s">
        <v>5031</v>
      </c>
      <c r="B2515" s="1" t="s">
        <v>5032</v>
      </c>
      <c r="C2515" s="1" t="s">
        <v>5</v>
      </c>
    </row>
    <row r="2516" spans="1:3" x14ac:dyDescent="0.25">
      <c r="A2516" s="1" t="s">
        <v>5033</v>
      </c>
      <c r="B2516" s="1" t="s">
        <v>5034</v>
      </c>
      <c r="C2516" s="1" t="s">
        <v>5</v>
      </c>
    </row>
    <row r="2517" spans="1:3" x14ac:dyDescent="0.25">
      <c r="A2517" s="1" t="s">
        <v>5035</v>
      </c>
      <c r="B2517" s="1" t="s">
        <v>5036</v>
      </c>
      <c r="C2517" s="1" t="s">
        <v>5</v>
      </c>
    </row>
    <row r="2518" spans="1:3" x14ac:dyDescent="0.25">
      <c r="A2518" s="1" t="s">
        <v>5037</v>
      </c>
      <c r="B2518" s="1" t="s">
        <v>5038</v>
      </c>
      <c r="C2518" s="1" t="s">
        <v>5</v>
      </c>
    </row>
    <row r="2519" spans="1:3" x14ac:dyDescent="0.25">
      <c r="A2519" s="1" t="s">
        <v>5039</v>
      </c>
      <c r="B2519" s="1" t="s">
        <v>5040</v>
      </c>
      <c r="C2519" s="1" t="s">
        <v>5</v>
      </c>
    </row>
    <row r="2520" spans="1:3" x14ac:dyDescent="0.25">
      <c r="A2520" s="1" t="s">
        <v>5041</v>
      </c>
      <c r="B2520" s="1" t="s">
        <v>5042</v>
      </c>
      <c r="C2520" s="1" t="s">
        <v>5</v>
      </c>
    </row>
    <row r="2521" spans="1:3" x14ac:dyDescent="0.25">
      <c r="A2521" s="1" t="s">
        <v>5043</v>
      </c>
      <c r="B2521" s="1" t="s">
        <v>5044</v>
      </c>
      <c r="C2521" s="1" t="s">
        <v>5</v>
      </c>
    </row>
    <row r="2522" spans="1:3" x14ac:dyDescent="0.25">
      <c r="A2522" s="1" t="s">
        <v>5045</v>
      </c>
      <c r="B2522" s="1" t="s">
        <v>5046</v>
      </c>
      <c r="C2522" s="1" t="s">
        <v>5</v>
      </c>
    </row>
    <row r="2523" spans="1:3" x14ac:dyDescent="0.25">
      <c r="A2523" s="1" t="s">
        <v>5047</v>
      </c>
      <c r="B2523" s="1" t="s">
        <v>5048</v>
      </c>
      <c r="C2523" s="1" t="s">
        <v>5</v>
      </c>
    </row>
    <row r="2524" spans="1:3" x14ac:dyDescent="0.25">
      <c r="A2524" s="1" t="s">
        <v>5049</v>
      </c>
      <c r="B2524" s="1" t="s">
        <v>5050</v>
      </c>
      <c r="C2524" s="1" t="s">
        <v>5</v>
      </c>
    </row>
    <row r="2525" spans="1:3" x14ac:dyDescent="0.25">
      <c r="A2525" s="1" t="s">
        <v>5051</v>
      </c>
      <c r="B2525" s="1" t="s">
        <v>5052</v>
      </c>
      <c r="C2525" s="1" t="s">
        <v>5</v>
      </c>
    </row>
    <row r="2526" spans="1:3" x14ac:dyDescent="0.25">
      <c r="A2526" s="1" t="s">
        <v>5053</v>
      </c>
      <c r="B2526" s="1" t="s">
        <v>5054</v>
      </c>
      <c r="C2526" s="1" t="s">
        <v>5</v>
      </c>
    </row>
    <row r="2527" spans="1:3" x14ac:dyDescent="0.25">
      <c r="A2527" s="1" t="s">
        <v>5055</v>
      </c>
      <c r="B2527" s="1" t="s">
        <v>5056</v>
      </c>
      <c r="C2527" s="1" t="s">
        <v>5</v>
      </c>
    </row>
    <row r="2528" spans="1:3" x14ac:dyDescent="0.25">
      <c r="A2528" s="1" t="s">
        <v>5057</v>
      </c>
      <c r="B2528" s="1" t="s">
        <v>5058</v>
      </c>
      <c r="C2528" s="1" t="s">
        <v>5</v>
      </c>
    </row>
    <row r="2529" spans="1:3" x14ac:dyDescent="0.25">
      <c r="A2529" s="1" t="s">
        <v>5059</v>
      </c>
      <c r="B2529" s="1" t="s">
        <v>5060</v>
      </c>
      <c r="C2529" s="1" t="s">
        <v>5</v>
      </c>
    </row>
    <row r="2530" spans="1:3" x14ac:dyDescent="0.25">
      <c r="A2530" s="1" t="s">
        <v>5061</v>
      </c>
      <c r="B2530" s="1" t="s">
        <v>5062</v>
      </c>
      <c r="C2530" s="1" t="s">
        <v>5</v>
      </c>
    </row>
    <row r="2531" spans="1:3" x14ac:dyDescent="0.25">
      <c r="A2531" s="1" t="s">
        <v>5063</v>
      </c>
      <c r="B2531" s="1" t="s">
        <v>5064</v>
      </c>
      <c r="C2531" s="1" t="s">
        <v>5</v>
      </c>
    </row>
    <row r="2532" spans="1:3" x14ac:dyDescent="0.25">
      <c r="A2532" s="1" t="s">
        <v>5065</v>
      </c>
      <c r="B2532" s="1" t="s">
        <v>5066</v>
      </c>
      <c r="C2532" s="1" t="s">
        <v>5</v>
      </c>
    </row>
    <row r="2533" spans="1:3" x14ac:dyDescent="0.25">
      <c r="A2533" s="1" t="s">
        <v>5067</v>
      </c>
      <c r="B2533" s="1" t="s">
        <v>5068</v>
      </c>
      <c r="C2533" s="1" t="s">
        <v>5</v>
      </c>
    </row>
    <row r="2534" spans="1:3" x14ac:dyDescent="0.25">
      <c r="A2534" s="1" t="s">
        <v>5069</v>
      </c>
      <c r="B2534" s="1" t="s">
        <v>5070</v>
      </c>
      <c r="C2534" s="1" t="s">
        <v>5</v>
      </c>
    </row>
    <row r="2535" spans="1:3" x14ac:dyDescent="0.25">
      <c r="A2535" s="1" t="s">
        <v>5071</v>
      </c>
      <c r="B2535" s="1" t="s">
        <v>5072</v>
      </c>
      <c r="C2535" s="1" t="s">
        <v>5</v>
      </c>
    </row>
    <row r="2536" spans="1:3" x14ac:dyDescent="0.25">
      <c r="A2536" s="1" t="s">
        <v>5073</v>
      </c>
      <c r="B2536" s="1" t="s">
        <v>5074</v>
      </c>
      <c r="C2536" s="1" t="s">
        <v>5</v>
      </c>
    </row>
    <row r="2537" spans="1:3" x14ac:dyDescent="0.25">
      <c r="A2537" s="1" t="s">
        <v>5075</v>
      </c>
      <c r="B2537" s="1" t="s">
        <v>5076</v>
      </c>
      <c r="C2537" s="1" t="s">
        <v>5</v>
      </c>
    </row>
    <row r="2538" spans="1:3" x14ac:dyDescent="0.25">
      <c r="A2538" s="1" t="s">
        <v>5077</v>
      </c>
      <c r="B2538" s="1" t="s">
        <v>5078</v>
      </c>
      <c r="C2538" s="1" t="s">
        <v>5</v>
      </c>
    </row>
    <row r="2539" spans="1:3" x14ac:dyDescent="0.25">
      <c r="A2539" s="1" t="s">
        <v>5079</v>
      </c>
      <c r="B2539" s="1" t="s">
        <v>5080</v>
      </c>
      <c r="C2539" s="1" t="s">
        <v>5</v>
      </c>
    </row>
    <row r="2540" spans="1:3" x14ac:dyDescent="0.25">
      <c r="A2540" s="1" t="s">
        <v>5081</v>
      </c>
      <c r="B2540" s="1" t="s">
        <v>5082</v>
      </c>
      <c r="C2540" s="1" t="s">
        <v>5</v>
      </c>
    </row>
    <row r="2541" spans="1:3" x14ac:dyDescent="0.25">
      <c r="A2541" s="1" t="s">
        <v>5083</v>
      </c>
      <c r="B2541" s="1" t="s">
        <v>5084</v>
      </c>
      <c r="C2541" s="1" t="s">
        <v>5</v>
      </c>
    </row>
    <row r="2542" spans="1:3" x14ac:dyDescent="0.25">
      <c r="A2542" s="1" t="s">
        <v>5085</v>
      </c>
      <c r="B2542" s="1" t="s">
        <v>5086</v>
      </c>
      <c r="C2542" s="1" t="s">
        <v>5</v>
      </c>
    </row>
    <row r="2543" spans="1:3" x14ac:dyDescent="0.25">
      <c r="A2543" s="1" t="s">
        <v>5087</v>
      </c>
      <c r="B2543" s="1" t="s">
        <v>5088</v>
      </c>
      <c r="C2543" s="1" t="s">
        <v>5</v>
      </c>
    </row>
    <row r="2544" spans="1:3" x14ac:dyDescent="0.25">
      <c r="A2544" s="1" t="s">
        <v>5089</v>
      </c>
      <c r="B2544" s="1" t="s">
        <v>5090</v>
      </c>
      <c r="C2544" s="1" t="s">
        <v>5</v>
      </c>
    </row>
    <row r="2545" spans="1:3" x14ac:dyDescent="0.25">
      <c r="A2545" s="1" t="s">
        <v>5091</v>
      </c>
      <c r="B2545" s="1" t="s">
        <v>5092</v>
      </c>
      <c r="C2545" s="1" t="s">
        <v>5</v>
      </c>
    </row>
    <row r="2546" spans="1:3" x14ac:dyDescent="0.25">
      <c r="A2546" s="1" t="s">
        <v>5093</v>
      </c>
      <c r="B2546" s="1" t="s">
        <v>5094</v>
      </c>
      <c r="C2546" s="1" t="s">
        <v>5</v>
      </c>
    </row>
    <row r="2547" spans="1:3" x14ac:dyDescent="0.25">
      <c r="A2547" s="1" t="s">
        <v>5095</v>
      </c>
      <c r="B2547" s="1" t="s">
        <v>5096</v>
      </c>
      <c r="C2547" s="1" t="s">
        <v>5</v>
      </c>
    </row>
    <row r="2548" spans="1:3" x14ac:dyDescent="0.25">
      <c r="A2548" s="1" t="s">
        <v>5097</v>
      </c>
      <c r="B2548" s="1" t="s">
        <v>5098</v>
      </c>
      <c r="C2548" s="1" t="s">
        <v>5</v>
      </c>
    </row>
    <row r="2549" spans="1:3" x14ac:dyDescent="0.25">
      <c r="A2549" s="1" t="s">
        <v>5099</v>
      </c>
      <c r="B2549" s="1" t="s">
        <v>5100</v>
      </c>
      <c r="C2549" s="1" t="s">
        <v>5</v>
      </c>
    </row>
    <row r="2550" spans="1:3" x14ac:dyDescent="0.25">
      <c r="A2550" s="1" t="s">
        <v>5101</v>
      </c>
      <c r="B2550" s="1" t="s">
        <v>5102</v>
      </c>
      <c r="C2550" s="1" t="s">
        <v>5</v>
      </c>
    </row>
    <row r="2551" spans="1:3" x14ac:dyDescent="0.25">
      <c r="A2551" s="1" t="s">
        <v>5103</v>
      </c>
      <c r="B2551" s="1" t="s">
        <v>5104</v>
      </c>
      <c r="C2551" s="1" t="s">
        <v>5</v>
      </c>
    </row>
    <row r="2552" spans="1:3" x14ac:dyDescent="0.25">
      <c r="A2552" s="1" t="s">
        <v>5105</v>
      </c>
      <c r="B2552" s="1" t="s">
        <v>5106</v>
      </c>
      <c r="C2552" s="1" t="s">
        <v>5</v>
      </c>
    </row>
    <row r="2553" spans="1:3" x14ac:dyDescent="0.25">
      <c r="A2553" s="1" t="s">
        <v>5107</v>
      </c>
      <c r="B2553" s="1" t="s">
        <v>5108</v>
      </c>
      <c r="C2553" s="1" t="s">
        <v>5</v>
      </c>
    </row>
    <row r="2554" spans="1:3" x14ac:dyDescent="0.25">
      <c r="A2554" s="1" t="s">
        <v>5109</v>
      </c>
      <c r="B2554" s="1" t="s">
        <v>5110</v>
      </c>
      <c r="C2554" s="1" t="s">
        <v>5</v>
      </c>
    </row>
    <row r="2555" spans="1:3" x14ac:dyDescent="0.25">
      <c r="A2555" s="1" t="s">
        <v>5111</v>
      </c>
      <c r="B2555" s="1" t="s">
        <v>5112</v>
      </c>
      <c r="C2555" s="1" t="s">
        <v>5</v>
      </c>
    </row>
    <row r="2556" spans="1:3" x14ac:dyDescent="0.25">
      <c r="A2556" s="1" t="s">
        <v>5113</v>
      </c>
      <c r="B2556" s="1" t="s">
        <v>5114</v>
      </c>
      <c r="C2556" s="1" t="s">
        <v>5</v>
      </c>
    </row>
    <row r="2557" spans="1:3" x14ac:dyDescent="0.25">
      <c r="A2557" s="1" t="s">
        <v>5115</v>
      </c>
      <c r="B2557" s="1" t="s">
        <v>5116</v>
      </c>
      <c r="C2557" s="1" t="s">
        <v>5</v>
      </c>
    </row>
    <row r="2558" spans="1:3" x14ac:dyDescent="0.25">
      <c r="A2558" s="1" t="s">
        <v>5117</v>
      </c>
      <c r="B2558" s="1" t="s">
        <v>5118</v>
      </c>
      <c r="C2558" s="1" t="s">
        <v>5</v>
      </c>
    </row>
    <row r="2559" spans="1:3" x14ac:dyDescent="0.25">
      <c r="A2559" s="1" t="s">
        <v>5119</v>
      </c>
      <c r="B2559" s="1" t="s">
        <v>5120</v>
      </c>
      <c r="C2559" s="1" t="s">
        <v>5</v>
      </c>
    </row>
    <row r="2560" spans="1:3" x14ac:dyDescent="0.25">
      <c r="A2560" s="1" t="s">
        <v>5121</v>
      </c>
      <c r="B2560" s="1" t="s">
        <v>5122</v>
      </c>
      <c r="C2560" s="1" t="s">
        <v>5</v>
      </c>
    </row>
    <row r="2561" spans="1:3" x14ac:dyDescent="0.25">
      <c r="A2561" s="1" t="s">
        <v>5123</v>
      </c>
      <c r="B2561" s="1" t="s">
        <v>5124</v>
      </c>
      <c r="C2561" s="1" t="s">
        <v>5</v>
      </c>
    </row>
    <row r="2562" spans="1:3" x14ac:dyDescent="0.25">
      <c r="A2562" s="1" t="s">
        <v>5125</v>
      </c>
      <c r="B2562" s="1" t="s">
        <v>5126</v>
      </c>
      <c r="C2562" s="1" t="s">
        <v>5</v>
      </c>
    </row>
    <row r="2563" spans="1:3" x14ac:dyDescent="0.25">
      <c r="A2563" s="1" t="s">
        <v>5127</v>
      </c>
      <c r="B2563" s="1" t="s">
        <v>5128</v>
      </c>
      <c r="C2563" s="1" t="s">
        <v>5</v>
      </c>
    </row>
    <row r="2564" spans="1:3" x14ac:dyDescent="0.25">
      <c r="A2564" s="1" t="s">
        <v>5129</v>
      </c>
      <c r="B2564" s="1" t="s">
        <v>5130</v>
      </c>
      <c r="C2564" s="1" t="s">
        <v>5</v>
      </c>
    </row>
    <row r="2565" spans="1:3" x14ac:dyDescent="0.25">
      <c r="A2565" s="1" t="s">
        <v>5131</v>
      </c>
      <c r="B2565" s="1" t="s">
        <v>5132</v>
      </c>
      <c r="C2565" s="1" t="s">
        <v>5</v>
      </c>
    </row>
    <row r="2566" spans="1:3" x14ac:dyDescent="0.25">
      <c r="A2566" s="1" t="s">
        <v>5133</v>
      </c>
      <c r="B2566" s="1" t="s">
        <v>5134</v>
      </c>
      <c r="C2566" s="1" t="s">
        <v>5</v>
      </c>
    </row>
    <row r="2567" spans="1:3" x14ac:dyDescent="0.25">
      <c r="A2567" s="1" t="s">
        <v>5135</v>
      </c>
      <c r="B2567" s="1" t="s">
        <v>5136</v>
      </c>
      <c r="C2567" s="1" t="s">
        <v>5</v>
      </c>
    </row>
    <row r="2568" spans="1:3" x14ac:dyDescent="0.25">
      <c r="A2568" s="1" t="s">
        <v>5137</v>
      </c>
      <c r="B2568" s="1" t="s">
        <v>5138</v>
      </c>
      <c r="C2568" s="1" t="s">
        <v>5</v>
      </c>
    </row>
    <row r="2569" spans="1:3" x14ac:dyDescent="0.25">
      <c r="A2569" s="1" t="s">
        <v>5139</v>
      </c>
      <c r="B2569" s="1" t="s">
        <v>5140</v>
      </c>
      <c r="C2569" s="1" t="s">
        <v>5</v>
      </c>
    </row>
    <row r="2570" spans="1:3" x14ac:dyDescent="0.25">
      <c r="A2570" s="1" t="s">
        <v>5141</v>
      </c>
      <c r="B2570" s="1" t="s">
        <v>5142</v>
      </c>
      <c r="C2570" s="1" t="s">
        <v>5</v>
      </c>
    </row>
    <row r="2571" spans="1:3" x14ac:dyDescent="0.25">
      <c r="A2571" s="1" t="s">
        <v>5143</v>
      </c>
      <c r="B2571" s="1" t="s">
        <v>5144</v>
      </c>
      <c r="C2571" s="1" t="s">
        <v>5</v>
      </c>
    </row>
    <row r="2572" spans="1:3" x14ac:dyDescent="0.25">
      <c r="A2572" s="1" t="s">
        <v>5145</v>
      </c>
      <c r="B2572" s="1" t="s">
        <v>5146</v>
      </c>
      <c r="C2572" s="1" t="s">
        <v>5</v>
      </c>
    </row>
    <row r="2573" spans="1:3" x14ac:dyDescent="0.25">
      <c r="A2573" s="1" t="s">
        <v>5147</v>
      </c>
      <c r="B2573" s="1" t="s">
        <v>5148</v>
      </c>
      <c r="C2573" s="1" t="s">
        <v>5</v>
      </c>
    </row>
    <row r="2574" spans="1:3" x14ac:dyDescent="0.25">
      <c r="A2574" s="1" t="s">
        <v>5149</v>
      </c>
      <c r="B2574" s="1" t="s">
        <v>5150</v>
      </c>
      <c r="C2574" s="1" t="s">
        <v>5</v>
      </c>
    </row>
    <row r="2575" spans="1:3" x14ac:dyDescent="0.25">
      <c r="A2575" s="1" t="s">
        <v>5151</v>
      </c>
      <c r="B2575" s="1" t="s">
        <v>5152</v>
      </c>
      <c r="C2575" s="1" t="s">
        <v>5</v>
      </c>
    </row>
    <row r="2576" spans="1:3" x14ac:dyDescent="0.25">
      <c r="A2576" s="1" t="s">
        <v>5153</v>
      </c>
      <c r="B2576" s="1" t="s">
        <v>5154</v>
      </c>
      <c r="C2576" s="1" t="s">
        <v>5</v>
      </c>
    </row>
    <row r="2577" spans="1:3" x14ac:dyDescent="0.25">
      <c r="A2577" s="1" t="s">
        <v>5155</v>
      </c>
      <c r="B2577" s="1" t="s">
        <v>5156</v>
      </c>
      <c r="C2577" s="1" t="s">
        <v>5</v>
      </c>
    </row>
    <row r="2578" spans="1:3" x14ac:dyDescent="0.25">
      <c r="A2578" s="1" t="s">
        <v>5157</v>
      </c>
      <c r="B2578" s="1" t="s">
        <v>5158</v>
      </c>
      <c r="C2578" s="1" t="s">
        <v>5</v>
      </c>
    </row>
    <row r="2579" spans="1:3" x14ac:dyDescent="0.25">
      <c r="A2579" s="1" t="s">
        <v>5159</v>
      </c>
      <c r="B2579" s="1" t="s">
        <v>5160</v>
      </c>
      <c r="C2579" s="1" t="s">
        <v>5</v>
      </c>
    </row>
    <row r="2580" spans="1:3" x14ac:dyDescent="0.25">
      <c r="A2580" s="1" t="s">
        <v>5161</v>
      </c>
      <c r="B2580" s="1" t="s">
        <v>5162</v>
      </c>
      <c r="C2580" s="1" t="s">
        <v>5</v>
      </c>
    </row>
    <row r="2581" spans="1:3" x14ac:dyDescent="0.25">
      <c r="A2581" s="1" t="s">
        <v>5163</v>
      </c>
      <c r="B2581" s="1" t="s">
        <v>5164</v>
      </c>
      <c r="C2581" s="1" t="s">
        <v>5</v>
      </c>
    </row>
    <row r="2582" spans="1:3" x14ac:dyDescent="0.25">
      <c r="A2582" s="1" t="s">
        <v>5165</v>
      </c>
      <c r="B2582" s="1" t="s">
        <v>5166</v>
      </c>
      <c r="C2582" s="1" t="s">
        <v>5</v>
      </c>
    </row>
    <row r="2583" spans="1:3" x14ac:dyDescent="0.25">
      <c r="A2583" s="1" t="s">
        <v>5167</v>
      </c>
      <c r="B2583" s="1" t="s">
        <v>5168</v>
      </c>
      <c r="C2583" s="1" t="s">
        <v>5</v>
      </c>
    </row>
    <row r="2584" spans="1:3" x14ac:dyDescent="0.25">
      <c r="A2584" s="1" t="s">
        <v>5169</v>
      </c>
      <c r="B2584" s="1" t="s">
        <v>5170</v>
      </c>
      <c r="C2584" s="1" t="s">
        <v>5</v>
      </c>
    </row>
    <row r="2585" spans="1:3" x14ac:dyDescent="0.25">
      <c r="A2585" s="1" t="s">
        <v>5171</v>
      </c>
      <c r="B2585" s="1" t="s">
        <v>5172</v>
      </c>
      <c r="C2585" s="1" t="s">
        <v>5</v>
      </c>
    </row>
    <row r="2586" spans="1:3" x14ac:dyDescent="0.25">
      <c r="A2586" s="1" t="s">
        <v>5173</v>
      </c>
      <c r="B2586" s="1" t="s">
        <v>5174</v>
      </c>
      <c r="C2586" s="1" t="s">
        <v>5</v>
      </c>
    </row>
    <row r="2587" spans="1:3" x14ac:dyDescent="0.25">
      <c r="A2587" s="1" t="s">
        <v>5175</v>
      </c>
      <c r="B2587" s="1" t="s">
        <v>5176</v>
      </c>
      <c r="C2587" s="1" t="s">
        <v>5</v>
      </c>
    </row>
    <row r="2588" spans="1:3" x14ac:dyDescent="0.25">
      <c r="A2588" s="1" t="s">
        <v>5177</v>
      </c>
      <c r="B2588" s="1" t="s">
        <v>5178</v>
      </c>
      <c r="C2588" s="1" t="s">
        <v>5</v>
      </c>
    </row>
    <row r="2589" spans="1:3" x14ac:dyDescent="0.25">
      <c r="A2589" s="1" t="s">
        <v>5179</v>
      </c>
      <c r="B2589" s="1" t="s">
        <v>5180</v>
      </c>
      <c r="C2589" s="1" t="s">
        <v>5</v>
      </c>
    </row>
    <row r="2590" spans="1:3" x14ac:dyDescent="0.25">
      <c r="A2590" s="1" t="s">
        <v>5181</v>
      </c>
      <c r="B2590" s="1" t="s">
        <v>5182</v>
      </c>
      <c r="C2590" s="1" t="s">
        <v>5</v>
      </c>
    </row>
    <row r="2591" spans="1:3" x14ac:dyDescent="0.25">
      <c r="A2591" s="1" t="s">
        <v>5183</v>
      </c>
      <c r="B2591" s="1" t="s">
        <v>5184</v>
      </c>
      <c r="C2591" s="1" t="s">
        <v>5</v>
      </c>
    </row>
    <row r="2592" spans="1:3" x14ac:dyDescent="0.25">
      <c r="A2592" s="1" t="s">
        <v>5185</v>
      </c>
      <c r="B2592" s="1" t="s">
        <v>5186</v>
      </c>
      <c r="C2592" s="1" t="s">
        <v>5</v>
      </c>
    </row>
    <row r="2593" spans="1:3" x14ac:dyDescent="0.25">
      <c r="A2593" s="1" t="s">
        <v>5187</v>
      </c>
      <c r="B2593" s="1" t="s">
        <v>5188</v>
      </c>
      <c r="C2593" s="1" t="s">
        <v>5</v>
      </c>
    </row>
    <row r="2594" spans="1:3" x14ac:dyDescent="0.25">
      <c r="A2594" s="1" t="s">
        <v>5189</v>
      </c>
      <c r="B2594" s="1" t="s">
        <v>5190</v>
      </c>
      <c r="C2594" s="1" t="s">
        <v>5</v>
      </c>
    </row>
    <row r="2595" spans="1:3" x14ac:dyDescent="0.25">
      <c r="A2595" s="1" t="s">
        <v>5191</v>
      </c>
      <c r="B2595" s="1" t="s">
        <v>5192</v>
      </c>
      <c r="C2595" s="1" t="s">
        <v>5</v>
      </c>
    </row>
    <row r="2596" spans="1:3" x14ac:dyDescent="0.25">
      <c r="A2596" s="1" t="s">
        <v>5193</v>
      </c>
      <c r="B2596" s="1" t="s">
        <v>5194</v>
      </c>
      <c r="C2596" s="1" t="s">
        <v>5</v>
      </c>
    </row>
    <row r="2597" spans="1:3" x14ac:dyDescent="0.25">
      <c r="A2597" s="1" t="s">
        <v>5195</v>
      </c>
      <c r="B2597" s="1" t="s">
        <v>5196</v>
      </c>
      <c r="C2597" s="1" t="s">
        <v>5</v>
      </c>
    </row>
    <row r="2598" spans="1:3" x14ac:dyDescent="0.25">
      <c r="A2598" s="1" t="s">
        <v>5197</v>
      </c>
      <c r="B2598" s="1" t="s">
        <v>5198</v>
      </c>
      <c r="C2598" s="1" t="s">
        <v>5</v>
      </c>
    </row>
    <row r="2599" spans="1:3" x14ac:dyDescent="0.25">
      <c r="A2599" s="1" t="s">
        <v>5199</v>
      </c>
      <c r="B2599" s="1" t="s">
        <v>5200</v>
      </c>
      <c r="C2599" s="1" t="s">
        <v>5</v>
      </c>
    </row>
    <row r="2600" spans="1:3" x14ac:dyDescent="0.25">
      <c r="A2600" s="1" t="s">
        <v>5201</v>
      </c>
      <c r="B2600" s="1" t="s">
        <v>5202</v>
      </c>
      <c r="C2600" s="1" t="s">
        <v>5</v>
      </c>
    </row>
    <row r="2601" spans="1:3" x14ac:dyDescent="0.25">
      <c r="A2601" s="1" t="s">
        <v>5203</v>
      </c>
      <c r="B2601" s="1" t="s">
        <v>5204</v>
      </c>
      <c r="C2601" s="1" t="s">
        <v>5</v>
      </c>
    </row>
    <row r="2602" spans="1:3" x14ac:dyDescent="0.25">
      <c r="A2602" s="1" t="s">
        <v>5205</v>
      </c>
      <c r="B2602" s="1" t="s">
        <v>5206</v>
      </c>
      <c r="C2602" s="1" t="s">
        <v>5</v>
      </c>
    </row>
    <row r="2603" spans="1:3" x14ac:dyDescent="0.25">
      <c r="A2603" s="1" t="s">
        <v>5207</v>
      </c>
      <c r="B2603" s="1" t="s">
        <v>5208</v>
      </c>
      <c r="C2603" s="1" t="s">
        <v>5</v>
      </c>
    </row>
    <row r="2604" spans="1:3" x14ac:dyDescent="0.25">
      <c r="A2604" s="1" t="s">
        <v>5209</v>
      </c>
      <c r="B2604" s="1" t="s">
        <v>5210</v>
      </c>
      <c r="C2604" s="1" t="s">
        <v>5</v>
      </c>
    </row>
    <row r="2605" spans="1:3" x14ac:dyDescent="0.25">
      <c r="A2605" s="1" t="s">
        <v>5211</v>
      </c>
      <c r="B2605" s="1" t="s">
        <v>5212</v>
      </c>
      <c r="C2605" s="1" t="s">
        <v>5</v>
      </c>
    </row>
    <row r="2606" spans="1:3" x14ac:dyDescent="0.25">
      <c r="A2606" s="1" t="s">
        <v>5213</v>
      </c>
      <c r="B2606" s="1" t="s">
        <v>5214</v>
      </c>
      <c r="C2606" s="1" t="s">
        <v>5</v>
      </c>
    </row>
    <row r="2607" spans="1:3" x14ac:dyDescent="0.25">
      <c r="A2607" s="1" t="s">
        <v>5215</v>
      </c>
      <c r="B2607" s="1" t="s">
        <v>5216</v>
      </c>
      <c r="C2607" s="1" t="s">
        <v>5</v>
      </c>
    </row>
    <row r="2608" spans="1:3" x14ac:dyDescent="0.25">
      <c r="A2608" s="1" t="s">
        <v>5217</v>
      </c>
      <c r="B2608" s="1" t="s">
        <v>5218</v>
      </c>
      <c r="C2608" s="1" t="s">
        <v>5</v>
      </c>
    </row>
    <row r="2609" spans="1:3" x14ac:dyDescent="0.25">
      <c r="A2609" s="1" t="s">
        <v>5219</v>
      </c>
      <c r="B2609" s="1" t="s">
        <v>5220</v>
      </c>
      <c r="C2609" s="1" t="s">
        <v>5</v>
      </c>
    </row>
    <row r="2610" spans="1:3" x14ac:dyDescent="0.25">
      <c r="A2610" s="1" t="s">
        <v>5221</v>
      </c>
      <c r="B2610" s="1" t="s">
        <v>5222</v>
      </c>
      <c r="C2610" s="1" t="s">
        <v>5</v>
      </c>
    </row>
    <row r="2611" spans="1:3" x14ac:dyDescent="0.25">
      <c r="A2611" s="1" t="s">
        <v>5223</v>
      </c>
      <c r="B2611" s="1" t="s">
        <v>5224</v>
      </c>
      <c r="C2611" s="1" t="s">
        <v>5</v>
      </c>
    </row>
    <row r="2612" spans="1:3" x14ac:dyDescent="0.25">
      <c r="A2612" s="1" t="s">
        <v>5225</v>
      </c>
      <c r="B2612" s="1" t="s">
        <v>5226</v>
      </c>
      <c r="C2612" s="1" t="s">
        <v>5</v>
      </c>
    </row>
    <row r="2613" spans="1:3" x14ac:dyDescent="0.25">
      <c r="A2613" s="1" t="s">
        <v>5227</v>
      </c>
      <c r="B2613" s="1" t="s">
        <v>5228</v>
      </c>
      <c r="C2613" s="1" t="s">
        <v>5</v>
      </c>
    </row>
    <row r="2614" spans="1:3" x14ac:dyDescent="0.25">
      <c r="A2614" s="1" t="s">
        <v>5229</v>
      </c>
      <c r="B2614" s="1" t="s">
        <v>5230</v>
      </c>
      <c r="C2614" s="1" t="s">
        <v>5</v>
      </c>
    </row>
    <row r="2615" spans="1:3" x14ac:dyDescent="0.25">
      <c r="A2615" s="1" t="s">
        <v>5231</v>
      </c>
      <c r="B2615" s="1" t="s">
        <v>5232</v>
      </c>
      <c r="C2615" s="1" t="s">
        <v>5</v>
      </c>
    </row>
    <row r="2616" spans="1:3" x14ac:dyDescent="0.25">
      <c r="A2616" s="1" t="s">
        <v>5233</v>
      </c>
      <c r="B2616" s="1" t="s">
        <v>5234</v>
      </c>
      <c r="C2616" s="1" t="s">
        <v>5</v>
      </c>
    </row>
    <row r="2617" spans="1:3" x14ac:dyDescent="0.25">
      <c r="A2617" s="1" t="s">
        <v>5235</v>
      </c>
      <c r="B2617" s="1" t="s">
        <v>5236</v>
      </c>
      <c r="C2617" s="1" t="s">
        <v>5</v>
      </c>
    </row>
    <row r="2618" spans="1:3" x14ac:dyDescent="0.25">
      <c r="A2618" s="1" t="s">
        <v>5237</v>
      </c>
      <c r="B2618" s="1" t="s">
        <v>5238</v>
      </c>
      <c r="C2618" s="1" t="s">
        <v>5</v>
      </c>
    </row>
    <row r="2619" spans="1:3" x14ac:dyDescent="0.25">
      <c r="A2619" s="1" t="s">
        <v>5239</v>
      </c>
      <c r="B2619" s="1" t="s">
        <v>5240</v>
      </c>
      <c r="C2619" s="1" t="s">
        <v>5</v>
      </c>
    </row>
    <row r="2620" spans="1:3" x14ac:dyDescent="0.25">
      <c r="A2620" s="1" t="s">
        <v>5241</v>
      </c>
      <c r="B2620" s="1" t="s">
        <v>5242</v>
      </c>
      <c r="C2620" s="1" t="s">
        <v>5</v>
      </c>
    </row>
    <row r="2621" spans="1:3" x14ac:dyDescent="0.25">
      <c r="A2621" s="1" t="s">
        <v>5243</v>
      </c>
      <c r="B2621" s="1" t="s">
        <v>5244</v>
      </c>
      <c r="C2621" s="1" t="s">
        <v>5</v>
      </c>
    </row>
    <row r="2622" spans="1:3" x14ac:dyDescent="0.25">
      <c r="A2622" s="1" t="s">
        <v>5245</v>
      </c>
      <c r="B2622" s="1" t="s">
        <v>5246</v>
      </c>
      <c r="C2622" s="1" t="s">
        <v>5</v>
      </c>
    </row>
    <row r="2623" spans="1:3" x14ac:dyDescent="0.25">
      <c r="A2623" s="1" t="s">
        <v>5247</v>
      </c>
      <c r="B2623" s="1" t="s">
        <v>5248</v>
      </c>
      <c r="C2623" s="1" t="s">
        <v>5</v>
      </c>
    </row>
    <row r="2624" spans="1:3" x14ac:dyDescent="0.25">
      <c r="A2624" s="1" t="s">
        <v>5249</v>
      </c>
      <c r="B2624" s="1" t="s">
        <v>5250</v>
      </c>
      <c r="C2624" s="1" t="s">
        <v>5</v>
      </c>
    </row>
    <row r="2625" spans="1:3" x14ac:dyDescent="0.25">
      <c r="A2625" s="1" t="s">
        <v>5251</v>
      </c>
      <c r="B2625" s="1" t="s">
        <v>5252</v>
      </c>
      <c r="C2625" s="1" t="s">
        <v>5</v>
      </c>
    </row>
    <row r="2626" spans="1:3" x14ac:dyDescent="0.25">
      <c r="A2626" s="1" t="s">
        <v>5253</v>
      </c>
      <c r="B2626" s="1" t="s">
        <v>5254</v>
      </c>
      <c r="C2626" s="1" t="s">
        <v>5</v>
      </c>
    </row>
    <row r="2627" spans="1:3" x14ac:dyDescent="0.25">
      <c r="A2627" s="1" t="s">
        <v>5255</v>
      </c>
      <c r="B2627" s="1" t="s">
        <v>5256</v>
      </c>
      <c r="C2627" s="1" t="s">
        <v>5</v>
      </c>
    </row>
    <row r="2628" spans="1:3" x14ac:dyDescent="0.25">
      <c r="A2628" s="1" t="s">
        <v>5257</v>
      </c>
      <c r="B2628" s="1" t="s">
        <v>5258</v>
      </c>
      <c r="C2628" s="1" t="s">
        <v>5</v>
      </c>
    </row>
    <row r="2629" spans="1:3" x14ac:dyDescent="0.25">
      <c r="A2629" s="1" t="s">
        <v>5259</v>
      </c>
      <c r="B2629" s="1" t="s">
        <v>5260</v>
      </c>
      <c r="C2629" s="1" t="s">
        <v>5</v>
      </c>
    </row>
    <row r="2630" spans="1:3" x14ac:dyDescent="0.25">
      <c r="A2630" s="1" t="s">
        <v>5261</v>
      </c>
      <c r="B2630" s="1" t="s">
        <v>5262</v>
      </c>
      <c r="C2630" s="1" t="s">
        <v>5</v>
      </c>
    </row>
    <row r="2631" spans="1:3" x14ac:dyDescent="0.25">
      <c r="A2631" s="1" t="s">
        <v>5263</v>
      </c>
      <c r="B2631" s="1" t="s">
        <v>5264</v>
      </c>
      <c r="C2631" s="1" t="s">
        <v>5</v>
      </c>
    </row>
    <row r="2632" spans="1:3" x14ac:dyDescent="0.25">
      <c r="A2632" s="1" t="s">
        <v>5265</v>
      </c>
      <c r="B2632" s="1" t="s">
        <v>5266</v>
      </c>
      <c r="C2632" s="1" t="s">
        <v>5</v>
      </c>
    </row>
    <row r="2633" spans="1:3" x14ac:dyDescent="0.25">
      <c r="A2633" s="1" t="s">
        <v>5267</v>
      </c>
      <c r="B2633" s="1" t="s">
        <v>5268</v>
      </c>
      <c r="C2633" s="1" t="s">
        <v>5</v>
      </c>
    </row>
    <row r="2634" spans="1:3" x14ac:dyDescent="0.25">
      <c r="A2634" s="1" t="s">
        <v>5269</v>
      </c>
      <c r="B2634" s="1" t="s">
        <v>5270</v>
      </c>
      <c r="C2634" s="1" t="s">
        <v>5</v>
      </c>
    </row>
    <row r="2635" spans="1:3" x14ac:dyDescent="0.25">
      <c r="A2635" s="1" t="s">
        <v>5271</v>
      </c>
      <c r="B2635" s="1" t="s">
        <v>5272</v>
      </c>
      <c r="C2635" s="1" t="s">
        <v>5</v>
      </c>
    </row>
    <row r="2636" spans="1:3" x14ac:dyDescent="0.25">
      <c r="A2636" s="1" t="s">
        <v>5273</v>
      </c>
      <c r="B2636" s="1" t="s">
        <v>5274</v>
      </c>
      <c r="C2636" s="1" t="s">
        <v>5</v>
      </c>
    </row>
    <row r="2637" spans="1:3" x14ac:dyDescent="0.25">
      <c r="A2637" s="1" t="s">
        <v>5275</v>
      </c>
      <c r="B2637" s="1" t="s">
        <v>5276</v>
      </c>
      <c r="C2637" s="1" t="s">
        <v>5</v>
      </c>
    </row>
    <row r="2638" spans="1:3" x14ac:dyDescent="0.25">
      <c r="A2638" s="1" t="s">
        <v>5277</v>
      </c>
      <c r="B2638" s="1" t="s">
        <v>5278</v>
      </c>
      <c r="C2638" s="1" t="s">
        <v>5</v>
      </c>
    </row>
    <row r="2639" spans="1:3" x14ac:dyDescent="0.25">
      <c r="A2639" s="1" t="s">
        <v>5279</v>
      </c>
      <c r="B2639" s="1" t="s">
        <v>5280</v>
      </c>
      <c r="C2639" s="1" t="s">
        <v>5</v>
      </c>
    </row>
    <row r="2640" spans="1:3" x14ac:dyDescent="0.25">
      <c r="A2640" s="1" t="s">
        <v>5281</v>
      </c>
      <c r="B2640" s="1" t="s">
        <v>5282</v>
      </c>
      <c r="C2640" s="1" t="s">
        <v>5</v>
      </c>
    </row>
    <row r="2641" spans="1:3" x14ac:dyDescent="0.25">
      <c r="A2641" s="1" t="s">
        <v>5283</v>
      </c>
      <c r="B2641" s="1" t="s">
        <v>5284</v>
      </c>
      <c r="C2641" s="1" t="s">
        <v>5</v>
      </c>
    </row>
    <row r="2642" spans="1:3" x14ac:dyDescent="0.25">
      <c r="A2642" s="1" t="s">
        <v>5285</v>
      </c>
      <c r="B2642" s="1" t="s">
        <v>5286</v>
      </c>
      <c r="C2642" s="1" t="s">
        <v>5</v>
      </c>
    </row>
    <row r="2643" spans="1:3" x14ac:dyDescent="0.25">
      <c r="A2643" s="1" t="s">
        <v>5287</v>
      </c>
      <c r="B2643" s="1" t="s">
        <v>5288</v>
      </c>
      <c r="C2643" s="1" t="s">
        <v>5</v>
      </c>
    </row>
    <row r="2644" spans="1:3" x14ac:dyDescent="0.25">
      <c r="A2644" s="1" t="s">
        <v>5289</v>
      </c>
      <c r="B2644" s="1" t="s">
        <v>5290</v>
      </c>
      <c r="C2644" s="1" t="s">
        <v>5</v>
      </c>
    </row>
    <row r="2645" spans="1:3" x14ac:dyDescent="0.25">
      <c r="A2645" s="1" t="s">
        <v>5291</v>
      </c>
      <c r="B2645" s="1" t="s">
        <v>5292</v>
      </c>
      <c r="C2645" s="1" t="s">
        <v>5</v>
      </c>
    </row>
    <row r="2646" spans="1:3" x14ac:dyDescent="0.25">
      <c r="A2646" s="1" t="s">
        <v>5293</v>
      </c>
      <c r="B2646" s="1" t="s">
        <v>5294</v>
      </c>
      <c r="C2646" s="1" t="s">
        <v>5</v>
      </c>
    </row>
    <row r="2647" spans="1:3" x14ac:dyDescent="0.25">
      <c r="A2647" s="1" t="s">
        <v>5295</v>
      </c>
      <c r="B2647" s="1" t="s">
        <v>5296</v>
      </c>
      <c r="C2647" s="1" t="s">
        <v>5</v>
      </c>
    </row>
    <row r="2648" spans="1:3" x14ac:dyDescent="0.25">
      <c r="A2648" s="1" t="s">
        <v>5297</v>
      </c>
      <c r="B2648" s="1" t="s">
        <v>5298</v>
      </c>
      <c r="C2648" s="1" t="s">
        <v>5</v>
      </c>
    </row>
    <row r="2649" spans="1:3" x14ac:dyDescent="0.25">
      <c r="A2649" s="1" t="s">
        <v>5299</v>
      </c>
      <c r="B2649" s="1" t="s">
        <v>5300</v>
      </c>
      <c r="C2649" s="1" t="s">
        <v>5</v>
      </c>
    </row>
    <row r="2650" spans="1:3" x14ac:dyDescent="0.25">
      <c r="A2650" s="1" t="s">
        <v>5301</v>
      </c>
      <c r="B2650" s="1" t="s">
        <v>5302</v>
      </c>
      <c r="C2650" s="1" t="s">
        <v>5</v>
      </c>
    </row>
    <row r="2651" spans="1:3" x14ac:dyDescent="0.25">
      <c r="A2651" s="1" t="s">
        <v>5303</v>
      </c>
      <c r="B2651" s="1" t="s">
        <v>5304</v>
      </c>
      <c r="C2651" s="1" t="s">
        <v>5</v>
      </c>
    </row>
    <row r="2652" spans="1:3" x14ac:dyDescent="0.25">
      <c r="A2652" s="1" t="s">
        <v>5305</v>
      </c>
      <c r="B2652" s="1" t="s">
        <v>5306</v>
      </c>
      <c r="C2652" s="1" t="s">
        <v>5</v>
      </c>
    </row>
    <row r="2653" spans="1:3" x14ac:dyDescent="0.25">
      <c r="A2653" s="1" t="s">
        <v>5307</v>
      </c>
      <c r="B2653" s="1" t="s">
        <v>5308</v>
      </c>
      <c r="C2653" s="1" t="s">
        <v>5</v>
      </c>
    </row>
    <row r="2654" spans="1:3" x14ac:dyDescent="0.25">
      <c r="A2654" s="1" t="s">
        <v>5309</v>
      </c>
      <c r="B2654" s="1" t="s">
        <v>5310</v>
      </c>
      <c r="C2654" s="1" t="s">
        <v>5</v>
      </c>
    </row>
    <row r="2655" spans="1:3" x14ac:dyDescent="0.25">
      <c r="A2655" s="1" t="s">
        <v>5311</v>
      </c>
      <c r="B2655" s="1" t="s">
        <v>5312</v>
      </c>
      <c r="C2655" s="1" t="s">
        <v>5</v>
      </c>
    </row>
    <row r="2656" spans="1:3" x14ac:dyDescent="0.25">
      <c r="A2656" s="1" t="s">
        <v>5313</v>
      </c>
      <c r="B2656" s="1" t="s">
        <v>5314</v>
      </c>
      <c r="C2656" s="1" t="s">
        <v>5</v>
      </c>
    </row>
    <row r="2657" spans="1:3" x14ac:dyDescent="0.25">
      <c r="A2657" s="1" t="s">
        <v>5315</v>
      </c>
      <c r="B2657" s="1" t="s">
        <v>5316</v>
      </c>
      <c r="C2657" s="1" t="s">
        <v>5</v>
      </c>
    </row>
    <row r="2658" spans="1:3" x14ac:dyDescent="0.25">
      <c r="A2658" s="1" t="s">
        <v>5317</v>
      </c>
      <c r="B2658" s="1" t="s">
        <v>5318</v>
      </c>
      <c r="C2658" s="1" t="s">
        <v>5</v>
      </c>
    </row>
    <row r="2659" spans="1:3" x14ac:dyDescent="0.25">
      <c r="A2659" s="1" t="s">
        <v>5319</v>
      </c>
      <c r="B2659" s="1" t="s">
        <v>5320</v>
      </c>
      <c r="C2659" s="1" t="s">
        <v>5</v>
      </c>
    </row>
    <row r="2660" spans="1:3" x14ac:dyDescent="0.25">
      <c r="A2660" s="1" t="s">
        <v>5321</v>
      </c>
      <c r="B2660" s="1" t="s">
        <v>5322</v>
      </c>
      <c r="C2660" s="1" t="s">
        <v>5</v>
      </c>
    </row>
    <row r="2661" spans="1:3" x14ac:dyDescent="0.25">
      <c r="A2661" s="1" t="s">
        <v>5323</v>
      </c>
      <c r="B2661" s="1" t="s">
        <v>5324</v>
      </c>
      <c r="C2661" s="1" t="s">
        <v>5</v>
      </c>
    </row>
    <row r="2662" spans="1:3" x14ac:dyDescent="0.25">
      <c r="A2662" s="1" t="s">
        <v>5325</v>
      </c>
      <c r="B2662" s="1" t="s">
        <v>5326</v>
      </c>
      <c r="C2662" s="1" t="s">
        <v>5</v>
      </c>
    </row>
    <row r="2663" spans="1:3" x14ac:dyDescent="0.25">
      <c r="A2663" s="1" t="s">
        <v>5327</v>
      </c>
      <c r="B2663" s="1" t="s">
        <v>5328</v>
      </c>
      <c r="C2663" s="1" t="s">
        <v>5</v>
      </c>
    </row>
    <row r="2664" spans="1:3" x14ac:dyDescent="0.25">
      <c r="A2664" s="1" t="s">
        <v>5329</v>
      </c>
      <c r="B2664" s="1" t="s">
        <v>5330</v>
      </c>
      <c r="C2664" s="1" t="s">
        <v>5</v>
      </c>
    </row>
    <row r="2665" spans="1:3" x14ac:dyDescent="0.25">
      <c r="A2665" s="1" t="s">
        <v>5331</v>
      </c>
      <c r="B2665" s="1" t="s">
        <v>5332</v>
      </c>
      <c r="C2665" s="1" t="s">
        <v>5</v>
      </c>
    </row>
    <row r="2666" spans="1:3" x14ac:dyDescent="0.25">
      <c r="A2666" s="1" t="s">
        <v>5333</v>
      </c>
      <c r="B2666" s="1" t="s">
        <v>5334</v>
      </c>
      <c r="C2666" s="1" t="s">
        <v>5</v>
      </c>
    </row>
    <row r="2667" spans="1:3" x14ac:dyDescent="0.25">
      <c r="A2667" s="1" t="s">
        <v>5335</v>
      </c>
      <c r="B2667" s="1" t="s">
        <v>5336</v>
      </c>
      <c r="C2667" s="1" t="s">
        <v>5</v>
      </c>
    </row>
    <row r="2668" spans="1:3" x14ac:dyDescent="0.25">
      <c r="A2668" s="1" t="s">
        <v>5337</v>
      </c>
      <c r="B2668" s="1" t="s">
        <v>5338</v>
      </c>
      <c r="C2668" s="1" t="s">
        <v>5</v>
      </c>
    </row>
    <row r="2669" spans="1:3" x14ac:dyDescent="0.25">
      <c r="A2669" s="1" t="s">
        <v>5339</v>
      </c>
      <c r="B2669" s="1" t="s">
        <v>5340</v>
      </c>
      <c r="C2669" s="1" t="s">
        <v>5</v>
      </c>
    </row>
    <row r="2670" spans="1:3" x14ac:dyDescent="0.25">
      <c r="A2670" s="1" t="s">
        <v>5341</v>
      </c>
      <c r="B2670" s="1" t="s">
        <v>5342</v>
      </c>
      <c r="C2670" s="1" t="s">
        <v>5</v>
      </c>
    </row>
    <row r="2671" spans="1:3" x14ac:dyDescent="0.25">
      <c r="A2671" s="1" t="s">
        <v>5343</v>
      </c>
      <c r="B2671" s="1" t="s">
        <v>5344</v>
      </c>
      <c r="C2671" s="1" t="s">
        <v>5</v>
      </c>
    </row>
    <row r="2672" spans="1:3" x14ac:dyDescent="0.25">
      <c r="A2672" s="1" t="s">
        <v>5345</v>
      </c>
      <c r="B2672" s="1" t="s">
        <v>5346</v>
      </c>
      <c r="C2672" s="1" t="s">
        <v>5</v>
      </c>
    </row>
    <row r="2673" spans="1:3" x14ac:dyDescent="0.25">
      <c r="A2673" s="1" t="s">
        <v>5347</v>
      </c>
      <c r="B2673" s="1" t="s">
        <v>5348</v>
      </c>
      <c r="C2673" s="1" t="s">
        <v>5</v>
      </c>
    </row>
    <row r="2674" spans="1:3" x14ac:dyDescent="0.25">
      <c r="A2674" s="1" t="s">
        <v>5349</v>
      </c>
      <c r="B2674" s="1" t="s">
        <v>5350</v>
      </c>
      <c r="C2674" s="1" t="s">
        <v>5</v>
      </c>
    </row>
    <row r="2675" spans="1:3" x14ac:dyDescent="0.25">
      <c r="A2675" s="1" t="s">
        <v>5351</v>
      </c>
      <c r="B2675" s="1" t="s">
        <v>5352</v>
      </c>
      <c r="C2675" s="1" t="s">
        <v>5</v>
      </c>
    </row>
    <row r="2676" spans="1:3" x14ac:dyDescent="0.25">
      <c r="A2676" s="1" t="s">
        <v>5353</v>
      </c>
      <c r="B2676" s="1" t="s">
        <v>5354</v>
      </c>
      <c r="C2676" s="1" t="s">
        <v>5</v>
      </c>
    </row>
    <row r="2677" spans="1:3" x14ac:dyDescent="0.25">
      <c r="A2677" s="1" t="s">
        <v>5355</v>
      </c>
      <c r="B2677" s="1" t="s">
        <v>5356</v>
      </c>
      <c r="C2677" s="1" t="s">
        <v>5</v>
      </c>
    </row>
    <row r="2678" spans="1:3" x14ac:dyDescent="0.25">
      <c r="A2678" s="1" t="s">
        <v>5357</v>
      </c>
      <c r="B2678" s="1" t="s">
        <v>5358</v>
      </c>
      <c r="C2678" s="1" t="s">
        <v>5</v>
      </c>
    </row>
    <row r="2679" spans="1:3" x14ac:dyDescent="0.25">
      <c r="A2679" s="1" t="s">
        <v>5359</v>
      </c>
      <c r="B2679" s="1" t="s">
        <v>5360</v>
      </c>
      <c r="C2679" s="1" t="s">
        <v>5</v>
      </c>
    </row>
    <row r="2680" spans="1:3" x14ac:dyDescent="0.25">
      <c r="A2680" s="1" t="s">
        <v>5361</v>
      </c>
      <c r="B2680" s="1" t="s">
        <v>5362</v>
      </c>
      <c r="C2680" s="1" t="s">
        <v>5</v>
      </c>
    </row>
    <row r="2681" spans="1:3" x14ac:dyDescent="0.25">
      <c r="A2681" s="1" t="s">
        <v>5363</v>
      </c>
      <c r="B2681" s="1" t="s">
        <v>5364</v>
      </c>
      <c r="C2681" s="1" t="s">
        <v>5</v>
      </c>
    </row>
    <row r="2682" spans="1:3" x14ac:dyDescent="0.25">
      <c r="A2682" s="1" t="s">
        <v>5365</v>
      </c>
      <c r="B2682" s="1" t="s">
        <v>5366</v>
      </c>
      <c r="C2682" s="1" t="s">
        <v>5</v>
      </c>
    </row>
    <row r="2683" spans="1:3" x14ac:dyDescent="0.25">
      <c r="A2683" s="1" t="s">
        <v>5367</v>
      </c>
      <c r="B2683" s="1" t="s">
        <v>5368</v>
      </c>
      <c r="C2683" s="1" t="s">
        <v>5</v>
      </c>
    </row>
    <row r="2684" spans="1:3" x14ac:dyDescent="0.25">
      <c r="A2684" s="1" t="s">
        <v>5369</v>
      </c>
      <c r="B2684" s="1" t="s">
        <v>5370</v>
      </c>
      <c r="C2684" s="1" t="s">
        <v>5</v>
      </c>
    </row>
    <row r="2685" spans="1:3" x14ac:dyDescent="0.25">
      <c r="A2685" s="1" t="s">
        <v>5371</v>
      </c>
      <c r="B2685" s="1" t="s">
        <v>5372</v>
      </c>
      <c r="C2685" s="1" t="s">
        <v>5</v>
      </c>
    </row>
    <row r="2686" spans="1:3" x14ac:dyDescent="0.25">
      <c r="A2686" s="1" t="s">
        <v>5373</v>
      </c>
      <c r="B2686" s="1" t="s">
        <v>5374</v>
      </c>
      <c r="C2686" s="1" t="s">
        <v>5</v>
      </c>
    </row>
    <row r="2687" spans="1:3" x14ac:dyDescent="0.25">
      <c r="A2687" s="1" t="s">
        <v>5375</v>
      </c>
      <c r="B2687" s="1" t="s">
        <v>5376</v>
      </c>
      <c r="C2687" s="1" t="s">
        <v>5</v>
      </c>
    </row>
    <row r="2688" spans="1:3" x14ac:dyDescent="0.25">
      <c r="A2688" s="1" t="s">
        <v>5377</v>
      </c>
      <c r="B2688" s="1" t="s">
        <v>5378</v>
      </c>
      <c r="C2688" s="1" t="s">
        <v>5</v>
      </c>
    </row>
    <row r="2689" spans="1:3" x14ac:dyDescent="0.25">
      <c r="A2689" s="1" t="s">
        <v>5379</v>
      </c>
      <c r="B2689" s="1" t="s">
        <v>5380</v>
      </c>
      <c r="C2689" s="1" t="s">
        <v>5</v>
      </c>
    </row>
    <row r="2690" spans="1:3" x14ac:dyDescent="0.25">
      <c r="A2690" s="1" t="s">
        <v>5381</v>
      </c>
      <c r="B2690" s="1" t="s">
        <v>5382</v>
      </c>
      <c r="C2690" s="1" t="s">
        <v>5</v>
      </c>
    </row>
    <row r="2691" spans="1:3" x14ac:dyDescent="0.25">
      <c r="A2691" s="1" t="s">
        <v>5383</v>
      </c>
      <c r="B2691" s="1" t="s">
        <v>5384</v>
      </c>
      <c r="C2691" s="1" t="s">
        <v>5</v>
      </c>
    </row>
    <row r="2692" spans="1:3" x14ac:dyDescent="0.25">
      <c r="A2692" s="1" t="s">
        <v>5385</v>
      </c>
      <c r="B2692" s="1" t="s">
        <v>5386</v>
      </c>
      <c r="C2692" s="1" t="s">
        <v>5</v>
      </c>
    </row>
    <row r="2693" spans="1:3" x14ac:dyDescent="0.25">
      <c r="A2693" s="1" t="s">
        <v>5387</v>
      </c>
      <c r="B2693" s="1" t="s">
        <v>5388</v>
      </c>
      <c r="C2693" s="1" t="s">
        <v>5</v>
      </c>
    </row>
    <row r="2694" spans="1:3" x14ac:dyDescent="0.25">
      <c r="A2694" s="1" t="s">
        <v>5389</v>
      </c>
      <c r="B2694" s="1" t="s">
        <v>5390</v>
      </c>
      <c r="C2694" s="1" t="s">
        <v>5</v>
      </c>
    </row>
    <row r="2695" spans="1:3" x14ac:dyDescent="0.25">
      <c r="A2695" s="1" t="s">
        <v>5391</v>
      </c>
      <c r="B2695" s="1" t="s">
        <v>5392</v>
      </c>
      <c r="C2695" s="1" t="s">
        <v>5</v>
      </c>
    </row>
    <row r="2696" spans="1:3" x14ac:dyDescent="0.25">
      <c r="A2696" s="1" t="s">
        <v>5393</v>
      </c>
      <c r="B2696" s="1" t="s">
        <v>5394</v>
      </c>
      <c r="C2696" s="1" t="s">
        <v>5</v>
      </c>
    </row>
    <row r="2697" spans="1:3" x14ac:dyDescent="0.25">
      <c r="A2697" s="1" t="s">
        <v>5395</v>
      </c>
      <c r="B2697" s="1" t="s">
        <v>5396</v>
      </c>
      <c r="C2697" s="1" t="s">
        <v>5</v>
      </c>
    </row>
    <row r="2698" spans="1:3" x14ac:dyDescent="0.25">
      <c r="A2698" s="1" t="s">
        <v>5397</v>
      </c>
      <c r="B2698" s="1" t="s">
        <v>5398</v>
      </c>
      <c r="C2698" s="1" t="s">
        <v>5</v>
      </c>
    </row>
    <row r="2699" spans="1:3" x14ac:dyDescent="0.25">
      <c r="A2699" s="1" t="s">
        <v>5399</v>
      </c>
      <c r="B2699" s="1" t="s">
        <v>5400</v>
      </c>
      <c r="C2699" s="1" t="s">
        <v>5</v>
      </c>
    </row>
    <row r="2700" spans="1:3" x14ac:dyDescent="0.25">
      <c r="A2700" s="1" t="s">
        <v>5401</v>
      </c>
      <c r="B2700" s="1" t="s">
        <v>5402</v>
      </c>
      <c r="C2700" s="1" t="s">
        <v>5</v>
      </c>
    </row>
    <row r="2701" spans="1:3" x14ac:dyDescent="0.25">
      <c r="A2701" s="1" t="s">
        <v>5403</v>
      </c>
      <c r="B2701" s="1" t="s">
        <v>5404</v>
      </c>
      <c r="C2701" s="1" t="s">
        <v>5</v>
      </c>
    </row>
    <row r="2702" spans="1:3" x14ac:dyDescent="0.25">
      <c r="A2702" s="1" t="s">
        <v>5405</v>
      </c>
      <c r="B2702" s="1" t="s">
        <v>5406</v>
      </c>
      <c r="C2702" s="1" t="s">
        <v>5</v>
      </c>
    </row>
    <row r="2703" spans="1:3" x14ac:dyDescent="0.25">
      <c r="A2703" s="1" t="s">
        <v>5407</v>
      </c>
      <c r="B2703" s="1" t="s">
        <v>5408</v>
      </c>
      <c r="C2703" s="1" t="s">
        <v>5</v>
      </c>
    </row>
    <row r="2704" spans="1:3" x14ac:dyDescent="0.25">
      <c r="A2704" s="1" t="s">
        <v>5409</v>
      </c>
      <c r="B2704" s="1" t="s">
        <v>5410</v>
      </c>
      <c r="C2704" s="1" t="s">
        <v>5</v>
      </c>
    </row>
    <row r="2705" spans="1:3" x14ac:dyDescent="0.25">
      <c r="A2705" s="1" t="s">
        <v>5411</v>
      </c>
      <c r="B2705" s="1" t="s">
        <v>5412</v>
      </c>
      <c r="C2705" s="1" t="s">
        <v>5</v>
      </c>
    </row>
    <row r="2706" spans="1:3" x14ac:dyDescent="0.25">
      <c r="A2706" s="1" t="s">
        <v>5413</v>
      </c>
      <c r="B2706" s="1" t="s">
        <v>5414</v>
      </c>
      <c r="C2706" s="1" t="s">
        <v>5</v>
      </c>
    </row>
    <row r="2707" spans="1:3" x14ac:dyDescent="0.25">
      <c r="A2707" s="1" t="s">
        <v>5415</v>
      </c>
      <c r="B2707" s="1" t="s">
        <v>5416</v>
      </c>
      <c r="C2707" s="1" t="s">
        <v>5</v>
      </c>
    </row>
    <row r="2708" spans="1:3" x14ac:dyDescent="0.25">
      <c r="A2708" s="1" t="s">
        <v>5417</v>
      </c>
      <c r="B2708" s="1" t="s">
        <v>5418</v>
      </c>
      <c r="C2708" s="1" t="s">
        <v>5</v>
      </c>
    </row>
    <row r="2709" spans="1:3" x14ac:dyDescent="0.25">
      <c r="A2709" s="1" t="s">
        <v>5419</v>
      </c>
      <c r="B2709" s="1" t="s">
        <v>5420</v>
      </c>
      <c r="C2709" s="1" t="s">
        <v>5</v>
      </c>
    </row>
    <row r="2710" spans="1:3" x14ac:dyDescent="0.25">
      <c r="A2710" s="1" t="s">
        <v>5421</v>
      </c>
      <c r="B2710" s="1" t="s">
        <v>5422</v>
      </c>
      <c r="C2710" s="1" t="s">
        <v>5</v>
      </c>
    </row>
    <row r="2711" spans="1:3" x14ac:dyDescent="0.25">
      <c r="A2711" s="1" t="s">
        <v>5423</v>
      </c>
      <c r="B2711" s="1" t="s">
        <v>5424</v>
      </c>
      <c r="C2711" s="1" t="s">
        <v>5</v>
      </c>
    </row>
    <row r="2712" spans="1:3" x14ac:dyDescent="0.25">
      <c r="A2712" s="1" t="s">
        <v>5425</v>
      </c>
      <c r="B2712" s="1" t="s">
        <v>5426</v>
      </c>
      <c r="C2712" s="1" t="s">
        <v>5</v>
      </c>
    </row>
    <row r="2713" spans="1:3" x14ac:dyDescent="0.25">
      <c r="A2713" s="1" t="s">
        <v>5427</v>
      </c>
      <c r="B2713" s="1" t="s">
        <v>5428</v>
      </c>
      <c r="C2713" s="1" t="s">
        <v>5</v>
      </c>
    </row>
    <row r="2714" spans="1:3" x14ac:dyDescent="0.25">
      <c r="A2714" s="1" t="s">
        <v>5429</v>
      </c>
      <c r="B2714" s="1" t="s">
        <v>5430</v>
      </c>
      <c r="C2714" s="1" t="s">
        <v>5</v>
      </c>
    </row>
    <row r="2715" spans="1:3" x14ac:dyDescent="0.25">
      <c r="A2715" s="1" t="s">
        <v>5431</v>
      </c>
      <c r="B2715" s="1" t="s">
        <v>5432</v>
      </c>
      <c r="C2715" s="1" t="s">
        <v>5</v>
      </c>
    </row>
    <row r="2716" spans="1:3" x14ac:dyDescent="0.25">
      <c r="A2716" s="1" t="s">
        <v>5433</v>
      </c>
      <c r="B2716" s="1" t="s">
        <v>5434</v>
      </c>
      <c r="C2716" s="1" t="s">
        <v>5</v>
      </c>
    </row>
    <row r="2717" spans="1:3" x14ac:dyDescent="0.25">
      <c r="A2717" s="1" t="s">
        <v>5435</v>
      </c>
      <c r="B2717" s="1" t="s">
        <v>5436</v>
      </c>
      <c r="C2717" s="1" t="s">
        <v>5</v>
      </c>
    </row>
    <row r="2718" spans="1:3" x14ac:dyDescent="0.25">
      <c r="A2718" s="1" t="s">
        <v>5437</v>
      </c>
      <c r="B2718" s="1" t="s">
        <v>5438</v>
      </c>
      <c r="C2718" s="1" t="s">
        <v>5</v>
      </c>
    </row>
    <row r="2719" spans="1:3" x14ac:dyDescent="0.25">
      <c r="A2719" s="1" t="s">
        <v>5439</v>
      </c>
      <c r="B2719" s="1" t="s">
        <v>5440</v>
      </c>
      <c r="C2719" s="1" t="s">
        <v>5</v>
      </c>
    </row>
    <row r="2720" spans="1:3" x14ac:dyDescent="0.25">
      <c r="A2720" s="1" t="s">
        <v>5441</v>
      </c>
      <c r="B2720" s="1" t="s">
        <v>5442</v>
      </c>
      <c r="C2720" s="1" t="s">
        <v>5</v>
      </c>
    </row>
    <row r="2721" spans="1:3" x14ac:dyDescent="0.25">
      <c r="A2721" s="1" t="s">
        <v>5443</v>
      </c>
      <c r="B2721" s="1" t="s">
        <v>5444</v>
      </c>
      <c r="C2721" s="1" t="s">
        <v>5</v>
      </c>
    </row>
    <row r="2722" spans="1:3" x14ac:dyDescent="0.25">
      <c r="A2722" s="1" t="s">
        <v>5445</v>
      </c>
      <c r="B2722" s="1" t="s">
        <v>5446</v>
      </c>
      <c r="C2722" s="1" t="s">
        <v>5</v>
      </c>
    </row>
    <row r="2723" spans="1:3" x14ac:dyDescent="0.25">
      <c r="A2723" s="1" t="s">
        <v>5447</v>
      </c>
      <c r="B2723" s="1" t="s">
        <v>5448</v>
      </c>
      <c r="C2723" s="1" t="s">
        <v>5</v>
      </c>
    </row>
    <row r="2724" spans="1:3" x14ac:dyDescent="0.25">
      <c r="A2724" s="1" t="s">
        <v>5449</v>
      </c>
      <c r="B2724" s="1" t="s">
        <v>5450</v>
      </c>
      <c r="C2724" s="1" t="s">
        <v>5</v>
      </c>
    </row>
    <row r="2725" spans="1:3" x14ac:dyDescent="0.25">
      <c r="A2725" s="1" t="s">
        <v>5451</v>
      </c>
      <c r="B2725" s="1" t="s">
        <v>5452</v>
      </c>
      <c r="C2725" s="1" t="s">
        <v>5</v>
      </c>
    </row>
    <row r="2726" spans="1:3" x14ac:dyDescent="0.25">
      <c r="A2726" s="1" t="s">
        <v>5453</v>
      </c>
      <c r="B2726" s="1" t="s">
        <v>5454</v>
      </c>
      <c r="C2726" s="1" t="s">
        <v>5</v>
      </c>
    </row>
    <row r="2727" spans="1:3" x14ac:dyDescent="0.25">
      <c r="A2727" s="1" t="s">
        <v>5455</v>
      </c>
      <c r="B2727" s="1" t="s">
        <v>5456</v>
      </c>
      <c r="C2727" s="1" t="s">
        <v>5</v>
      </c>
    </row>
    <row r="2728" spans="1:3" x14ac:dyDescent="0.25">
      <c r="A2728" s="1" t="s">
        <v>5457</v>
      </c>
      <c r="B2728" s="1" t="s">
        <v>5458</v>
      </c>
      <c r="C2728" s="1" t="s">
        <v>5</v>
      </c>
    </row>
    <row r="2729" spans="1:3" x14ac:dyDescent="0.25">
      <c r="A2729" s="1" t="s">
        <v>5459</v>
      </c>
      <c r="B2729" s="1" t="s">
        <v>5460</v>
      </c>
      <c r="C2729" s="1" t="s">
        <v>5</v>
      </c>
    </row>
    <row r="2730" spans="1:3" x14ac:dyDescent="0.25">
      <c r="A2730" s="1" t="s">
        <v>5461</v>
      </c>
      <c r="B2730" s="1" t="s">
        <v>5462</v>
      </c>
      <c r="C2730" s="1" t="s">
        <v>5</v>
      </c>
    </row>
    <row r="2731" spans="1:3" x14ac:dyDescent="0.25">
      <c r="A2731" s="1" t="s">
        <v>5463</v>
      </c>
      <c r="B2731" s="1" t="s">
        <v>5464</v>
      </c>
      <c r="C2731" s="1" t="s">
        <v>5</v>
      </c>
    </row>
    <row r="2732" spans="1:3" x14ac:dyDescent="0.25">
      <c r="A2732" s="1" t="s">
        <v>5465</v>
      </c>
      <c r="B2732" s="1" t="s">
        <v>5466</v>
      </c>
      <c r="C2732" s="1" t="s">
        <v>5</v>
      </c>
    </row>
    <row r="2733" spans="1:3" x14ac:dyDescent="0.25">
      <c r="A2733" s="1" t="s">
        <v>5467</v>
      </c>
      <c r="B2733" s="1" t="s">
        <v>5468</v>
      </c>
      <c r="C2733" s="1" t="s">
        <v>5</v>
      </c>
    </row>
    <row r="2734" spans="1:3" x14ac:dyDescent="0.25">
      <c r="A2734" s="1" t="s">
        <v>5469</v>
      </c>
      <c r="B2734" s="1" t="s">
        <v>5470</v>
      </c>
      <c r="C2734" s="1" t="s">
        <v>5</v>
      </c>
    </row>
    <row r="2735" spans="1:3" x14ac:dyDescent="0.25">
      <c r="A2735" s="1" t="s">
        <v>5471</v>
      </c>
      <c r="B2735" s="1" t="s">
        <v>5472</v>
      </c>
      <c r="C2735" s="1" t="s">
        <v>5</v>
      </c>
    </row>
    <row r="2736" spans="1:3" x14ac:dyDescent="0.25">
      <c r="A2736" s="1" t="s">
        <v>5473</v>
      </c>
      <c r="B2736" s="1" t="s">
        <v>5474</v>
      </c>
      <c r="C2736" s="1" t="s">
        <v>5</v>
      </c>
    </row>
    <row r="2737" spans="1:3" x14ac:dyDescent="0.25">
      <c r="A2737" s="1" t="s">
        <v>5475</v>
      </c>
      <c r="B2737" s="1" t="s">
        <v>5476</v>
      </c>
      <c r="C2737" s="1" t="s">
        <v>5</v>
      </c>
    </row>
    <row r="2738" spans="1:3" x14ac:dyDescent="0.25">
      <c r="A2738" s="1" t="s">
        <v>5477</v>
      </c>
      <c r="B2738" s="1" t="s">
        <v>5478</v>
      </c>
      <c r="C2738" s="1" t="s">
        <v>5</v>
      </c>
    </row>
    <row r="2739" spans="1:3" x14ac:dyDescent="0.25">
      <c r="A2739" s="1" t="s">
        <v>5479</v>
      </c>
      <c r="B2739" s="1" t="s">
        <v>5480</v>
      </c>
      <c r="C2739" s="1" t="s">
        <v>5</v>
      </c>
    </row>
    <row r="2740" spans="1:3" x14ac:dyDescent="0.25">
      <c r="A2740" s="1" t="s">
        <v>5481</v>
      </c>
      <c r="B2740" s="1" t="s">
        <v>5482</v>
      </c>
      <c r="C2740" s="1" t="s">
        <v>5</v>
      </c>
    </row>
    <row r="2741" spans="1:3" x14ac:dyDescent="0.25">
      <c r="A2741" s="1" t="s">
        <v>5483</v>
      </c>
      <c r="B2741" s="1" t="s">
        <v>5484</v>
      </c>
      <c r="C2741" s="1" t="s">
        <v>5</v>
      </c>
    </row>
    <row r="2742" spans="1:3" x14ac:dyDescent="0.25">
      <c r="A2742" s="1" t="s">
        <v>5485</v>
      </c>
      <c r="B2742" s="1" t="s">
        <v>5486</v>
      </c>
      <c r="C2742" s="1" t="s">
        <v>5</v>
      </c>
    </row>
    <row r="2743" spans="1:3" x14ac:dyDescent="0.25">
      <c r="A2743" s="1" t="s">
        <v>5487</v>
      </c>
      <c r="B2743" s="1" t="s">
        <v>5488</v>
      </c>
      <c r="C2743" s="1" t="s">
        <v>5</v>
      </c>
    </row>
    <row r="2744" spans="1:3" x14ac:dyDescent="0.25">
      <c r="A2744" s="1" t="s">
        <v>5489</v>
      </c>
      <c r="B2744" s="1" t="s">
        <v>5490</v>
      </c>
      <c r="C2744" s="1" t="s">
        <v>5</v>
      </c>
    </row>
    <row r="2745" spans="1:3" x14ac:dyDescent="0.25">
      <c r="A2745" s="1" t="s">
        <v>5491</v>
      </c>
      <c r="B2745" s="1" t="s">
        <v>5492</v>
      </c>
      <c r="C2745" s="1" t="s">
        <v>5</v>
      </c>
    </row>
    <row r="2746" spans="1:3" x14ac:dyDescent="0.25">
      <c r="A2746" s="1" t="s">
        <v>5493</v>
      </c>
      <c r="B2746" s="1" t="s">
        <v>5494</v>
      </c>
      <c r="C2746" s="1" t="s">
        <v>5</v>
      </c>
    </row>
    <row r="2747" spans="1:3" x14ac:dyDescent="0.25">
      <c r="A2747" s="1" t="s">
        <v>5495</v>
      </c>
      <c r="B2747" s="1" t="s">
        <v>5496</v>
      </c>
      <c r="C2747" s="1" t="s">
        <v>5</v>
      </c>
    </row>
    <row r="2748" spans="1:3" x14ac:dyDescent="0.25">
      <c r="A2748" s="1" t="s">
        <v>5497</v>
      </c>
      <c r="B2748" s="1" t="s">
        <v>5498</v>
      </c>
      <c r="C2748" s="1" t="s">
        <v>5</v>
      </c>
    </row>
    <row r="2749" spans="1:3" x14ac:dyDescent="0.25">
      <c r="A2749" s="1" t="s">
        <v>5499</v>
      </c>
      <c r="B2749" s="1" t="s">
        <v>5500</v>
      </c>
      <c r="C2749" s="1" t="s">
        <v>5</v>
      </c>
    </row>
    <row r="2750" spans="1:3" x14ac:dyDescent="0.25">
      <c r="A2750" s="1" t="s">
        <v>5501</v>
      </c>
      <c r="B2750" s="1" t="s">
        <v>5502</v>
      </c>
      <c r="C2750" s="1" t="s">
        <v>5</v>
      </c>
    </row>
    <row r="2751" spans="1:3" x14ac:dyDescent="0.25">
      <c r="A2751" s="1" t="s">
        <v>5503</v>
      </c>
      <c r="B2751" s="1" t="s">
        <v>5504</v>
      </c>
      <c r="C2751" s="1" t="s">
        <v>5</v>
      </c>
    </row>
    <row r="2752" spans="1:3" x14ac:dyDescent="0.25">
      <c r="A2752" s="1" t="s">
        <v>5505</v>
      </c>
      <c r="B2752" s="1" t="s">
        <v>5506</v>
      </c>
      <c r="C2752" s="1" t="s">
        <v>5</v>
      </c>
    </row>
    <row r="2753" spans="1:3" x14ac:dyDescent="0.25">
      <c r="A2753" s="1" t="s">
        <v>5507</v>
      </c>
      <c r="B2753" s="1" t="s">
        <v>5508</v>
      </c>
      <c r="C2753" s="1" t="s">
        <v>5</v>
      </c>
    </row>
    <row r="2754" spans="1:3" x14ac:dyDescent="0.25">
      <c r="A2754" s="1" t="s">
        <v>5509</v>
      </c>
      <c r="B2754" s="1" t="s">
        <v>5510</v>
      </c>
      <c r="C2754" s="1" t="s">
        <v>5</v>
      </c>
    </row>
    <row r="2755" spans="1:3" x14ac:dyDescent="0.25">
      <c r="A2755" s="1" t="s">
        <v>5511</v>
      </c>
      <c r="B2755" s="1" t="s">
        <v>5512</v>
      </c>
      <c r="C2755" s="1" t="s">
        <v>5</v>
      </c>
    </row>
    <row r="2756" spans="1:3" x14ac:dyDescent="0.25">
      <c r="A2756" s="1" t="s">
        <v>5513</v>
      </c>
      <c r="B2756" s="1" t="s">
        <v>5514</v>
      </c>
      <c r="C2756" s="1" t="s">
        <v>5</v>
      </c>
    </row>
    <row r="2757" spans="1:3" x14ac:dyDescent="0.25">
      <c r="A2757" s="1" t="s">
        <v>5515</v>
      </c>
      <c r="B2757" s="1" t="s">
        <v>5516</v>
      </c>
      <c r="C2757" s="1" t="s">
        <v>5</v>
      </c>
    </row>
    <row r="2758" spans="1:3" x14ac:dyDescent="0.25">
      <c r="A2758" s="1" t="s">
        <v>5517</v>
      </c>
      <c r="B2758" s="1" t="s">
        <v>5518</v>
      </c>
      <c r="C2758" s="1" t="s">
        <v>5</v>
      </c>
    </row>
    <row r="2759" spans="1:3" x14ac:dyDescent="0.25">
      <c r="A2759" s="1" t="s">
        <v>5519</v>
      </c>
      <c r="B2759" s="1" t="s">
        <v>5520</v>
      </c>
      <c r="C2759" s="1" t="s">
        <v>5</v>
      </c>
    </row>
    <row r="2760" spans="1:3" x14ac:dyDescent="0.25">
      <c r="A2760" s="1" t="s">
        <v>5521</v>
      </c>
      <c r="B2760" s="1" t="s">
        <v>5522</v>
      </c>
      <c r="C2760" s="1" t="s">
        <v>5</v>
      </c>
    </row>
    <row r="2761" spans="1:3" x14ac:dyDescent="0.25">
      <c r="A2761" s="1" t="s">
        <v>5523</v>
      </c>
      <c r="B2761" s="1" t="s">
        <v>5524</v>
      </c>
      <c r="C2761" s="1" t="s">
        <v>5</v>
      </c>
    </row>
    <row r="2762" spans="1:3" x14ac:dyDescent="0.25">
      <c r="A2762" s="1" t="s">
        <v>5525</v>
      </c>
      <c r="B2762" s="1" t="s">
        <v>5526</v>
      </c>
      <c r="C2762" s="1" t="s">
        <v>5</v>
      </c>
    </row>
    <row r="2763" spans="1:3" x14ac:dyDescent="0.25">
      <c r="A2763" s="1" t="s">
        <v>5527</v>
      </c>
      <c r="B2763" s="1" t="s">
        <v>5528</v>
      </c>
      <c r="C2763" s="1" t="s">
        <v>5</v>
      </c>
    </row>
    <row r="2764" spans="1:3" x14ac:dyDescent="0.25">
      <c r="A2764" s="1" t="s">
        <v>5529</v>
      </c>
      <c r="B2764" s="1" t="s">
        <v>5530</v>
      </c>
      <c r="C2764" s="1" t="s">
        <v>5</v>
      </c>
    </row>
    <row r="2765" spans="1:3" x14ac:dyDescent="0.25">
      <c r="A2765" s="1" t="s">
        <v>5531</v>
      </c>
      <c r="B2765" s="1" t="s">
        <v>5532</v>
      </c>
      <c r="C2765" s="1" t="s">
        <v>5</v>
      </c>
    </row>
    <row r="2766" spans="1:3" x14ac:dyDescent="0.25">
      <c r="A2766" s="1" t="s">
        <v>5533</v>
      </c>
      <c r="B2766" s="1" t="s">
        <v>5534</v>
      </c>
      <c r="C2766" s="1" t="s">
        <v>5</v>
      </c>
    </row>
    <row r="2767" spans="1:3" x14ac:dyDescent="0.25">
      <c r="A2767" s="1" t="s">
        <v>5535</v>
      </c>
      <c r="B2767" s="1" t="s">
        <v>5536</v>
      </c>
      <c r="C2767" s="1" t="s">
        <v>5</v>
      </c>
    </row>
    <row r="2768" spans="1:3" x14ac:dyDescent="0.25">
      <c r="A2768" s="1" t="s">
        <v>5537</v>
      </c>
      <c r="B2768" s="1" t="s">
        <v>5538</v>
      </c>
      <c r="C2768" s="1" t="s">
        <v>5</v>
      </c>
    </row>
    <row r="2769" spans="1:3" x14ac:dyDescent="0.25">
      <c r="A2769" s="1" t="s">
        <v>5539</v>
      </c>
      <c r="B2769" s="1" t="s">
        <v>5540</v>
      </c>
      <c r="C2769" s="1" t="s">
        <v>5</v>
      </c>
    </row>
    <row r="2770" spans="1:3" x14ac:dyDescent="0.25">
      <c r="A2770" s="1" t="s">
        <v>5541</v>
      </c>
      <c r="B2770" s="1" t="s">
        <v>5542</v>
      </c>
      <c r="C2770" s="1" t="s">
        <v>5</v>
      </c>
    </row>
    <row r="2771" spans="1:3" x14ac:dyDescent="0.25">
      <c r="A2771" s="1" t="s">
        <v>5543</v>
      </c>
      <c r="B2771" s="1" t="s">
        <v>5544</v>
      </c>
      <c r="C2771" s="1" t="s">
        <v>5</v>
      </c>
    </row>
    <row r="2772" spans="1:3" x14ac:dyDescent="0.25">
      <c r="A2772" s="1" t="s">
        <v>5545</v>
      </c>
      <c r="B2772" s="1" t="s">
        <v>5546</v>
      </c>
      <c r="C2772" s="1" t="s">
        <v>5</v>
      </c>
    </row>
    <row r="2773" spans="1:3" x14ac:dyDescent="0.25">
      <c r="A2773" s="1" t="s">
        <v>5547</v>
      </c>
      <c r="B2773" s="1" t="s">
        <v>5548</v>
      </c>
      <c r="C2773" s="1" t="s">
        <v>5</v>
      </c>
    </row>
    <row r="2774" spans="1:3" x14ac:dyDescent="0.25">
      <c r="A2774" s="1" t="s">
        <v>5549</v>
      </c>
      <c r="B2774" s="1" t="s">
        <v>5550</v>
      </c>
      <c r="C2774" s="1" t="s">
        <v>5</v>
      </c>
    </row>
    <row r="2775" spans="1:3" x14ac:dyDescent="0.25">
      <c r="A2775" s="1" t="s">
        <v>5551</v>
      </c>
      <c r="B2775" s="1" t="s">
        <v>5552</v>
      </c>
      <c r="C2775" s="1" t="s">
        <v>5</v>
      </c>
    </row>
    <row r="2776" spans="1:3" x14ac:dyDescent="0.25">
      <c r="A2776" s="1" t="s">
        <v>5553</v>
      </c>
      <c r="B2776" s="1" t="s">
        <v>5554</v>
      </c>
      <c r="C2776" s="1" t="s">
        <v>5</v>
      </c>
    </row>
    <row r="2777" spans="1:3" x14ac:dyDescent="0.25">
      <c r="A2777" s="1" t="s">
        <v>5555</v>
      </c>
      <c r="B2777" s="1" t="s">
        <v>5556</v>
      </c>
      <c r="C2777" s="1" t="s">
        <v>5</v>
      </c>
    </row>
    <row r="2778" spans="1:3" x14ac:dyDescent="0.25">
      <c r="A2778" s="1" t="s">
        <v>5557</v>
      </c>
      <c r="B2778" s="1" t="s">
        <v>5558</v>
      </c>
      <c r="C2778" s="1" t="s">
        <v>5</v>
      </c>
    </row>
    <row r="2779" spans="1:3" x14ac:dyDescent="0.25">
      <c r="A2779" s="1" t="s">
        <v>5559</v>
      </c>
      <c r="B2779" s="1" t="s">
        <v>5560</v>
      </c>
      <c r="C2779" s="1" t="s">
        <v>5</v>
      </c>
    </row>
    <row r="2780" spans="1:3" x14ac:dyDescent="0.25">
      <c r="A2780" s="1" t="s">
        <v>5561</v>
      </c>
      <c r="B2780" s="1" t="s">
        <v>5562</v>
      </c>
      <c r="C2780" s="1" t="s">
        <v>5</v>
      </c>
    </row>
    <row r="2781" spans="1:3" x14ac:dyDescent="0.25">
      <c r="A2781" s="1" t="s">
        <v>5563</v>
      </c>
      <c r="B2781" s="1" t="s">
        <v>5564</v>
      </c>
      <c r="C2781" s="1" t="s">
        <v>5</v>
      </c>
    </row>
    <row r="2782" spans="1:3" x14ac:dyDescent="0.25">
      <c r="A2782" s="1" t="s">
        <v>5565</v>
      </c>
      <c r="B2782" s="1" t="s">
        <v>5566</v>
      </c>
      <c r="C2782" s="1" t="s">
        <v>5</v>
      </c>
    </row>
    <row r="2783" spans="1:3" x14ac:dyDescent="0.25">
      <c r="A2783" s="1" t="s">
        <v>5567</v>
      </c>
      <c r="B2783" s="1" t="s">
        <v>5568</v>
      </c>
      <c r="C2783" s="1" t="s">
        <v>5</v>
      </c>
    </row>
    <row r="2784" spans="1:3" x14ac:dyDescent="0.25">
      <c r="A2784" s="1" t="s">
        <v>5569</v>
      </c>
      <c r="B2784" s="1" t="s">
        <v>5570</v>
      </c>
      <c r="C2784" s="1" t="s">
        <v>5</v>
      </c>
    </row>
    <row r="2785" spans="1:3" x14ac:dyDescent="0.25">
      <c r="A2785" s="1" t="s">
        <v>5571</v>
      </c>
      <c r="B2785" s="1" t="s">
        <v>5572</v>
      </c>
      <c r="C2785" s="1" t="s">
        <v>5</v>
      </c>
    </row>
    <row r="2786" spans="1:3" x14ac:dyDescent="0.25">
      <c r="A2786" s="1" t="s">
        <v>5573</v>
      </c>
      <c r="B2786" s="1" t="s">
        <v>5574</v>
      </c>
      <c r="C2786" s="1" t="s">
        <v>5</v>
      </c>
    </row>
    <row r="2787" spans="1:3" x14ac:dyDescent="0.25">
      <c r="A2787" s="1" t="s">
        <v>5575</v>
      </c>
      <c r="B2787" s="1" t="s">
        <v>5576</v>
      </c>
      <c r="C2787" s="1" t="s">
        <v>5</v>
      </c>
    </row>
    <row r="2788" spans="1:3" x14ac:dyDescent="0.25">
      <c r="A2788" s="1" t="s">
        <v>5577</v>
      </c>
      <c r="B2788" s="1" t="s">
        <v>5578</v>
      </c>
      <c r="C2788" s="1" t="s">
        <v>5</v>
      </c>
    </row>
    <row r="2789" spans="1:3" x14ac:dyDescent="0.25">
      <c r="A2789" s="1" t="s">
        <v>5579</v>
      </c>
      <c r="B2789" s="1" t="s">
        <v>5580</v>
      </c>
      <c r="C2789" s="1" t="s">
        <v>5</v>
      </c>
    </row>
    <row r="2790" spans="1:3" x14ac:dyDescent="0.25">
      <c r="A2790" s="1" t="s">
        <v>5581</v>
      </c>
      <c r="B2790" s="1" t="s">
        <v>5582</v>
      </c>
      <c r="C2790" s="1" t="s">
        <v>5</v>
      </c>
    </row>
    <row r="2791" spans="1:3" x14ac:dyDescent="0.25">
      <c r="A2791" s="1" t="s">
        <v>5583</v>
      </c>
      <c r="B2791" s="1" t="s">
        <v>5584</v>
      </c>
      <c r="C2791" s="1" t="s">
        <v>5</v>
      </c>
    </row>
    <row r="2792" spans="1:3" x14ac:dyDescent="0.25">
      <c r="A2792" s="1" t="s">
        <v>5585</v>
      </c>
      <c r="B2792" s="1" t="s">
        <v>5586</v>
      </c>
      <c r="C2792" s="1" t="s">
        <v>5</v>
      </c>
    </row>
    <row r="2793" spans="1:3" x14ac:dyDescent="0.25">
      <c r="A2793" s="1" t="s">
        <v>5587</v>
      </c>
      <c r="B2793" s="1" t="s">
        <v>5588</v>
      </c>
      <c r="C2793" s="1" t="s">
        <v>5</v>
      </c>
    </row>
    <row r="2794" spans="1:3" x14ac:dyDescent="0.25">
      <c r="A2794" s="1" t="s">
        <v>5589</v>
      </c>
      <c r="B2794" s="1" t="s">
        <v>5590</v>
      </c>
      <c r="C2794" s="1" t="s">
        <v>5</v>
      </c>
    </row>
    <row r="2795" spans="1:3" x14ac:dyDescent="0.25">
      <c r="A2795" s="1" t="s">
        <v>5591</v>
      </c>
      <c r="B2795" s="1" t="s">
        <v>5592</v>
      </c>
      <c r="C2795" s="1" t="s">
        <v>5</v>
      </c>
    </row>
    <row r="2796" spans="1:3" x14ac:dyDescent="0.25">
      <c r="A2796" s="1" t="s">
        <v>5593</v>
      </c>
      <c r="B2796" s="1" t="s">
        <v>5594</v>
      </c>
      <c r="C2796" s="1" t="s">
        <v>5</v>
      </c>
    </row>
    <row r="2797" spans="1:3" x14ac:dyDescent="0.25">
      <c r="A2797" s="1" t="s">
        <v>5595</v>
      </c>
      <c r="B2797" s="1" t="s">
        <v>5596</v>
      </c>
      <c r="C2797" s="1" t="s">
        <v>5</v>
      </c>
    </row>
    <row r="2798" spans="1:3" x14ac:dyDescent="0.25">
      <c r="A2798" s="1" t="s">
        <v>5597</v>
      </c>
      <c r="B2798" s="1" t="s">
        <v>5598</v>
      </c>
      <c r="C2798" s="1" t="s">
        <v>5</v>
      </c>
    </row>
    <row r="2799" spans="1:3" x14ac:dyDescent="0.25">
      <c r="A2799" s="1" t="s">
        <v>5599</v>
      </c>
      <c r="B2799" s="1" t="s">
        <v>5600</v>
      </c>
      <c r="C2799" s="1" t="s">
        <v>5</v>
      </c>
    </row>
    <row r="2800" spans="1:3" x14ac:dyDescent="0.25">
      <c r="A2800" s="1" t="s">
        <v>5601</v>
      </c>
      <c r="B2800" s="1" t="s">
        <v>5602</v>
      </c>
      <c r="C2800" s="1" t="s">
        <v>5</v>
      </c>
    </row>
    <row r="2801" spans="1:3" x14ac:dyDescent="0.25">
      <c r="A2801" s="1" t="s">
        <v>5603</v>
      </c>
      <c r="B2801" s="1" t="s">
        <v>5604</v>
      </c>
      <c r="C2801" s="1" t="s">
        <v>5</v>
      </c>
    </row>
    <row r="2802" spans="1:3" x14ac:dyDescent="0.25">
      <c r="A2802" s="1" t="s">
        <v>5605</v>
      </c>
      <c r="B2802" s="1" t="s">
        <v>5606</v>
      </c>
      <c r="C2802" s="1" t="s">
        <v>5</v>
      </c>
    </row>
    <row r="2803" spans="1:3" x14ac:dyDescent="0.25">
      <c r="A2803" s="1" t="s">
        <v>5607</v>
      </c>
      <c r="B2803" s="1" t="s">
        <v>5608</v>
      </c>
      <c r="C2803" s="1" t="s">
        <v>5</v>
      </c>
    </row>
    <row r="2804" spans="1:3" x14ac:dyDescent="0.25">
      <c r="A2804" s="1" t="s">
        <v>5609</v>
      </c>
      <c r="B2804" s="1" t="s">
        <v>5610</v>
      </c>
      <c r="C2804" s="1" t="s">
        <v>5</v>
      </c>
    </row>
    <row r="2805" spans="1:3" x14ac:dyDescent="0.25">
      <c r="A2805" s="1" t="s">
        <v>5611</v>
      </c>
      <c r="B2805" s="1" t="s">
        <v>5612</v>
      </c>
      <c r="C2805" s="1" t="s">
        <v>5</v>
      </c>
    </row>
    <row r="2806" spans="1:3" x14ac:dyDescent="0.25">
      <c r="A2806" s="1" t="s">
        <v>5613</v>
      </c>
      <c r="B2806" s="1" t="s">
        <v>5614</v>
      </c>
      <c r="C2806" s="1" t="s">
        <v>5</v>
      </c>
    </row>
    <row r="2807" spans="1:3" x14ac:dyDescent="0.25">
      <c r="A2807" s="1" t="s">
        <v>5615</v>
      </c>
      <c r="B2807" s="1" t="s">
        <v>5616</v>
      </c>
      <c r="C2807" s="1" t="s">
        <v>5</v>
      </c>
    </row>
    <row r="2808" spans="1:3" x14ac:dyDescent="0.25">
      <c r="A2808" s="1" t="s">
        <v>5617</v>
      </c>
      <c r="B2808" s="1" t="s">
        <v>5618</v>
      </c>
      <c r="C2808" s="1" t="s">
        <v>5</v>
      </c>
    </row>
    <row r="2809" spans="1:3" x14ac:dyDescent="0.25">
      <c r="A2809" s="1" t="s">
        <v>5619</v>
      </c>
      <c r="B2809" s="1" t="s">
        <v>5620</v>
      </c>
      <c r="C2809" s="1" t="s">
        <v>5</v>
      </c>
    </row>
    <row r="2810" spans="1:3" x14ac:dyDescent="0.25">
      <c r="A2810" s="1" t="s">
        <v>5621</v>
      </c>
      <c r="B2810" s="1" t="s">
        <v>5622</v>
      </c>
      <c r="C2810" s="1" t="s">
        <v>5</v>
      </c>
    </row>
    <row r="2811" spans="1:3" x14ac:dyDescent="0.25">
      <c r="A2811" s="1" t="s">
        <v>5623</v>
      </c>
      <c r="B2811" s="1" t="s">
        <v>5624</v>
      </c>
      <c r="C2811" s="1" t="s">
        <v>5</v>
      </c>
    </row>
    <row r="2812" spans="1:3" x14ac:dyDescent="0.25">
      <c r="A2812" s="1" t="s">
        <v>5625</v>
      </c>
      <c r="B2812" s="1" t="s">
        <v>5626</v>
      </c>
      <c r="C2812" s="1" t="s">
        <v>5</v>
      </c>
    </row>
    <row r="2813" spans="1:3" x14ac:dyDescent="0.25">
      <c r="A2813" s="1" t="s">
        <v>5627</v>
      </c>
      <c r="B2813" s="1" t="s">
        <v>5628</v>
      </c>
      <c r="C2813" s="1" t="s">
        <v>5</v>
      </c>
    </row>
    <row r="2814" spans="1:3" x14ac:dyDescent="0.25">
      <c r="A2814" s="1" t="s">
        <v>5629</v>
      </c>
      <c r="B2814" s="1" t="s">
        <v>5630</v>
      </c>
      <c r="C2814" s="1" t="s">
        <v>5</v>
      </c>
    </row>
    <row r="2815" spans="1:3" x14ac:dyDescent="0.25">
      <c r="A2815" s="1" t="s">
        <v>5631</v>
      </c>
      <c r="B2815" s="1" t="s">
        <v>5632</v>
      </c>
      <c r="C2815" s="1" t="s">
        <v>5</v>
      </c>
    </row>
    <row r="2816" spans="1:3" x14ac:dyDescent="0.25">
      <c r="A2816" s="1" t="s">
        <v>5633</v>
      </c>
      <c r="B2816" s="1" t="s">
        <v>5634</v>
      </c>
      <c r="C2816" s="1" t="s">
        <v>5</v>
      </c>
    </row>
    <row r="2817" spans="1:3" x14ac:dyDescent="0.25">
      <c r="A2817" s="1" t="s">
        <v>5635</v>
      </c>
      <c r="B2817" s="1" t="s">
        <v>5636</v>
      </c>
      <c r="C2817" s="1" t="s">
        <v>5</v>
      </c>
    </row>
    <row r="2818" spans="1:3" x14ac:dyDescent="0.25">
      <c r="A2818" s="1" t="s">
        <v>5637</v>
      </c>
      <c r="B2818" s="1" t="s">
        <v>5638</v>
      </c>
      <c r="C2818" s="1" t="s">
        <v>5</v>
      </c>
    </row>
    <row r="2819" spans="1:3" x14ac:dyDescent="0.25">
      <c r="A2819" s="1" t="s">
        <v>5639</v>
      </c>
      <c r="B2819" s="1" t="s">
        <v>5640</v>
      </c>
      <c r="C2819" s="1" t="s">
        <v>5</v>
      </c>
    </row>
    <row r="2820" spans="1:3" x14ac:dyDescent="0.25">
      <c r="A2820" s="1" t="s">
        <v>5641</v>
      </c>
      <c r="B2820" s="1" t="s">
        <v>5642</v>
      </c>
      <c r="C2820" s="1" t="s">
        <v>5</v>
      </c>
    </row>
    <row r="2821" spans="1:3" x14ac:dyDescent="0.25">
      <c r="A2821" s="1" t="s">
        <v>5643</v>
      </c>
      <c r="B2821" s="1" t="s">
        <v>5644</v>
      </c>
      <c r="C2821" s="1" t="s">
        <v>5</v>
      </c>
    </row>
    <row r="2822" spans="1:3" x14ac:dyDescent="0.25">
      <c r="A2822" s="1" t="s">
        <v>5645</v>
      </c>
      <c r="B2822" s="1" t="s">
        <v>5646</v>
      </c>
      <c r="C2822" s="1" t="s">
        <v>5</v>
      </c>
    </row>
    <row r="2823" spans="1:3" x14ac:dyDescent="0.25">
      <c r="A2823" s="1" t="s">
        <v>5647</v>
      </c>
      <c r="B2823" s="1" t="s">
        <v>5648</v>
      </c>
      <c r="C2823" s="1" t="s">
        <v>5</v>
      </c>
    </row>
    <row r="2824" spans="1:3" x14ac:dyDescent="0.25">
      <c r="A2824" s="1" t="s">
        <v>5649</v>
      </c>
      <c r="B2824" s="1" t="s">
        <v>5650</v>
      </c>
      <c r="C2824" s="1" t="s">
        <v>5</v>
      </c>
    </row>
    <row r="2825" spans="1:3" x14ac:dyDescent="0.25">
      <c r="A2825" s="1" t="s">
        <v>5651</v>
      </c>
      <c r="B2825" s="1" t="s">
        <v>5652</v>
      </c>
      <c r="C2825" s="1" t="s">
        <v>5</v>
      </c>
    </row>
    <row r="2826" spans="1:3" x14ac:dyDescent="0.25">
      <c r="A2826" s="1" t="s">
        <v>5653</v>
      </c>
      <c r="B2826" s="1" t="s">
        <v>5654</v>
      </c>
      <c r="C2826" s="1" t="s">
        <v>5</v>
      </c>
    </row>
    <row r="2827" spans="1:3" x14ac:dyDescent="0.25">
      <c r="A2827" s="1" t="s">
        <v>5655</v>
      </c>
      <c r="B2827" s="1" t="s">
        <v>5656</v>
      </c>
      <c r="C2827" s="1" t="s">
        <v>5</v>
      </c>
    </row>
    <row r="2828" spans="1:3" x14ac:dyDescent="0.25">
      <c r="A2828" s="1" t="s">
        <v>5657</v>
      </c>
      <c r="B2828" s="1" t="s">
        <v>5658</v>
      </c>
      <c r="C2828" s="1" t="s">
        <v>5</v>
      </c>
    </row>
    <row r="2829" spans="1:3" x14ac:dyDescent="0.25">
      <c r="A2829" s="1" t="s">
        <v>5659</v>
      </c>
      <c r="B2829" s="1" t="s">
        <v>5660</v>
      </c>
      <c r="C2829" s="1" t="s">
        <v>5</v>
      </c>
    </row>
    <row r="2830" spans="1:3" x14ac:dyDescent="0.25">
      <c r="A2830" s="1" t="s">
        <v>5661</v>
      </c>
      <c r="B2830" s="1" t="s">
        <v>5662</v>
      </c>
      <c r="C2830" s="1" t="s">
        <v>5</v>
      </c>
    </row>
    <row r="2831" spans="1:3" x14ac:dyDescent="0.25">
      <c r="A2831" s="1" t="s">
        <v>5663</v>
      </c>
      <c r="B2831" s="1" t="s">
        <v>5664</v>
      </c>
      <c r="C2831" s="1" t="s">
        <v>5</v>
      </c>
    </row>
    <row r="2832" spans="1:3" x14ac:dyDescent="0.25">
      <c r="A2832" s="1" t="s">
        <v>5665</v>
      </c>
      <c r="B2832" s="1" t="s">
        <v>5666</v>
      </c>
      <c r="C2832" s="1" t="s">
        <v>5</v>
      </c>
    </row>
    <row r="2833" spans="1:3" x14ac:dyDescent="0.25">
      <c r="A2833" s="1" t="s">
        <v>5667</v>
      </c>
      <c r="B2833" s="1" t="s">
        <v>5668</v>
      </c>
      <c r="C2833" s="1" t="s">
        <v>5</v>
      </c>
    </row>
    <row r="2834" spans="1:3" x14ac:dyDescent="0.25">
      <c r="A2834" s="1" t="s">
        <v>5669</v>
      </c>
      <c r="B2834" s="1" t="s">
        <v>5670</v>
      </c>
      <c r="C2834" s="1" t="s">
        <v>5</v>
      </c>
    </row>
    <row r="2835" spans="1:3" x14ac:dyDescent="0.25">
      <c r="A2835" s="1" t="s">
        <v>5671</v>
      </c>
      <c r="B2835" s="1" t="s">
        <v>5672</v>
      </c>
      <c r="C2835" s="1" t="s">
        <v>5</v>
      </c>
    </row>
    <row r="2836" spans="1:3" x14ac:dyDescent="0.25">
      <c r="A2836" s="1" t="s">
        <v>5673</v>
      </c>
      <c r="B2836" s="1" t="s">
        <v>5674</v>
      </c>
      <c r="C2836" s="1" t="s">
        <v>5</v>
      </c>
    </row>
    <row r="2837" spans="1:3" x14ac:dyDescent="0.25">
      <c r="A2837" s="1" t="s">
        <v>5675</v>
      </c>
      <c r="B2837" s="1" t="s">
        <v>5676</v>
      </c>
      <c r="C2837" s="1" t="s">
        <v>5</v>
      </c>
    </row>
    <row r="2838" spans="1:3" x14ac:dyDescent="0.25">
      <c r="A2838" s="1" t="s">
        <v>5677</v>
      </c>
      <c r="B2838" s="1" t="s">
        <v>5678</v>
      </c>
      <c r="C2838" s="1" t="s">
        <v>5</v>
      </c>
    </row>
    <row r="2839" spans="1:3" x14ac:dyDescent="0.25">
      <c r="A2839" s="1" t="s">
        <v>5679</v>
      </c>
      <c r="B2839" s="1" t="s">
        <v>5680</v>
      </c>
      <c r="C2839" s="1" t="s">
        <v>5</v>
      </c>
    </row>
    <row r="2840" spans="1:3" x14ac:dyDescent="0.25">
      <c r="A2840" s="1" t="s">
        <v>5681</v>
      </c>
      <c r="B2840" s="1" t="s">
        <v>5682</v>
      </c>
      <c r="C2840" s="1" t="s">
        <v>5</v>
      </c>
    </row>
    <row r="2841" spans="1:3" x14ac:dyDescent="0.25">
      <c r="A2841" s="1" t="s">
        <v>5683</v>
      </c>
      <c r="B2841" s="1" t="s">
        <v>5684</v>
      </c>
      <c r="C2841" s="1" t="s">
        <v>5</v>
      </c>
    </row>
    <row r="2842" spans="1:3" x14ac:dyDescent="0.25">
      <c r="A2842" s="1" t="s">
        <v>5685</v>
      </c>
      <c r="B2842" s="1" t="s">
        <v>5686</v>
      </c>
      <c r="C2842" s="1" t="s">
        <v>5</v>
      </c>
    </row>
    <row r="2843" spans="1:3" x14ac:dyDescent="0.25">
      <c r="A2843" s="1" t="s">
        <v>5687</v>
      </c>
      <c r="B2843" s="1" t="s">
        <v>5688</v>
      </c>
      <c r="C2843" s="1" t="s">
        <v>5</v>
      </c>
    </row>
    <row r="2844" spans="1:3" x14ac:dyDescent="0.25">
      <c r="A2844" s="1" t="s">
        <v>5689</v>
      </c>
      <c r="B2844" s="1" t="s">
        <v>5690</v>
      </c>
      <c r="C2844" s="1" t="s">
        <v>5</v>
      </c>
    </row>
    <row r="2845" spans="1:3" x14ac:dyDescent="0.25">
      <c r="A2845" s="1" t="s">
        <v>5691</v>
      </c>
      <c r="B2845" s="1" t="s">
        <v>5692</v>
      </c>
      <c r="C2845" s="1" t="s">
        <v>5</v>
      </c>
    </row>
    <row r="2846" spans="1:3" x14ac:dyDescent="0.25">
      <c r="A2846" s="1" t="s">
        <v>5693</v>
      </c>
      <c r="B2846" s="1" t="s">
        <v>5694</v>
      </c>
      <c r="C2846" s="1" t="s">
        <v>5</v>
      </c>
    </row>
    <row r="2847" spans="1:3" x14ac:dyDescent="0.25">
      <c r="A2847" s="1" t="s">
        <v>5695</v>
      </c>
      <c r="B2847" s="1" t="s">
        <v>5696</v>
      </c>
      <c r="C2847" s="1" t="s">
        <v>5</v>
      </c>
    </row>
    <row r="2848" spans="1:3" x14ac:dyDescent="0.25">
      <c r="A2848" s="1" t="s">
        <v>5697</v>
      </c>
      <c r="B2848" s="1" t="s">
        <v>5698</v>
      </c>
      <c r="C2848" s="1" t="s">
        <v>5</v>
      </c>
    </row>
    <row r="2849" spans="1:3" x14ac:dyDescent="0.25">
      <c r="A2849" s="1" t="s">
        <v>5699</v>
      </c>
      <c r="B2849" s="1" t="s">
        <v>5700</v>
      </c>
      <c r="C2849" s="1" t="s">
        <v>5</v>
      </c>
    </row>
    <row r="2850" spans="1:3" x14ac:dyDescent="0.25">
      <c r="A2850" s="1" t="s">
        <v>5701</v>
      </c>
      <c r="B2850" s="1" t="s">
        <v>5702</v>
      </c>
      <c r="C2850" s="1" t="s">
        <v>5</v>
      </c>
    </row>
    <row r="2851" spans="1:3" x14ac:dyDescent="0.25">
      <c r="A2851" s="1" t="s">
        <v>5703</v>
      </c>
      <c r="B2851" s="1" t="s">
        <v>5704</v>
      </c>
      <c r="C2851" s="1" t="s">
        <v>5</v>
      </c>
    </row>
    <row r="2852" spans="1:3" x14ac:dyDescent="0.25">
      <c r="A2852" s="1" t="s">
        <v>5705</v>
      </c>
      <c r="B2852" s="1" t="s">
        <v>5706</v>
      </c>
      <c r="C2852" s="1" t="s">
        <v>5</v>
      </c>
    </row>
    <row r="2853" spans="1:3" x14ac:dyDescent="0.25">
      <c r="A2853" s="1" t="s">
        <v>5707</v>
      </c>
      <c r="B2853" s="1" t="s">
        <v>5708</v>
      </c>
      <c r="C2853" s="1" t="s">
        <v>5</v>
      </c>
    </row>
    <row r="2854" spans="1:3" x14ac:dyDescent="0.25">
      <c r="A2854" s="1" t="s">
        <v>5709</v>
      </c>
      <c r="B2854" s="1" t="s">
        <v>5710</v>
      </c>
      <c r="C2854" s="1" t="s">
        <v>5</v>
      </c>
    </row>
    <row r="2855" spans="1:3" x14ac:dyDescent="0.25">
      <c r="A2855" s="1" t="s">
        <v>5711</v>
      </c>
      <c r="B2855" s="1" t="s">
        <v>5712</v>
      </c>
      <c r="C2855" s="1" t="s">
        <v>5</v>
      </c>
    </row>
    <row r="2856" spans="1:3" x14ac:dyDescent="0.25">
      <c r="A2856" s="1" t="s">
        <v>5713</v>
      </c>
      <c r="B2856" s="1" t="s">
        <v>5714</v>
      </c>
      <c r="C2856" s="1" t="s">
        <v>5</v>
      </c>
    </row>
    <row r="2857" spans="1:3" x14ac:dyDescent="0.25">
      <c r="A2857" s="1" t="s">
        <v>5715</v>
      </c>
      <c r="B2857" s="1" t="s">
        <v>5716</v>
      </c>
      <c r="C2857" s="1" t="s">
        <v>5</v>
      </c>
    </row>
    <row r="2858" spans="1:3" x14ac:dyDescent="0.25">
      <c r="A2858" s="1" t="s">
        <v>5717</v>
      </c>
      <c r="B2858" s="1" t="s">
        <v>5718</v>
      </c>
      <c r="C2858" s="1" t="s">
        <v>5</v>
      </c>
    </row>
    <row r="2859" spans="1:3" x14ac:dyDescent="0.25">
      <c r="A2859" s="1" t="s">
        <v>5719</v>
      </c>
      <c r="B2859" s="1" t="s">
        <v>5720</v>
      </c>
      <c r="C2859" s="1" t="s">
        <v>5</v>
      </c>
    </row>
    <row r="2860" spans="1:3" x14ac:dyDescent="0.25">
      <c r="A2860" s="1" t="s">
        <v>5721</v>
      </c>
      <c r="B2860" s="1" t="s">
        <v>5722</v>
      </c>
      <c r="C2860" s="1" t="s">
        <v>5</v>
      </c>
    </row>
    <row r="2861" spans="1:3" x14ac:dyDescent="0.25">
      <c r="A2861" s="1" t="s">
        <v>5723</v>
      </c>
      <c r="B2861" s="1" t="s">
        <v>5724</v>
      </c>
      <c r="C2861" s="1" t="s">
        <v>5</v>
      </c>
    </row>
    <row r="2862" spans="1:3" x14ac:dyDescent="0.25">
      <c r="A2862" s="1" t="s">
        <v>5725</v>
      </c>
      <c r="B2862" s="1" t="s">
        <v>5726</v>
      </c>
      <c r="C2862" s="1" t="s">
        <v>5</v>
      </c>
    </row>
    <row r="2863" spans="1:3" x14ac:dyDescent="0.25">
      <c r="A2863" s="1" t="s">
        <v>5727</v>
      </c>
      <c r="B2863" s="1" t="s">
        <v>5728</v>
      </c>
      <c r="C2863" s="1" t="s">
        <v>5</v>
      </c>
    </row>
    <row r="2864" spans="1:3" x14ac:dyDescent="0.25">
      <c r="A2864" s="1" t="s">
        <v>5729</v>
      </c>
      <c r="B2864" s="1" t="s">
        <v>5730</v>
      </c>
      <c r="C2864" s="1" t="s">
        <v>5</v>
      </c>
    </row>
    <row r="2865" spans="1:3" x14ac:dyDescent="0.25">
      <c r="A2865" s="1" t="s">
        <v>5731</v>
      </c>
      <c r="B2865" s="1" t="s">
        <v>5732</v>
      </c>
      <c r="C2865" s="1" t="s">
        <v>5</v>
      </c>
    </row>
    <row r="2866" spans="1:3" x14ac:dyDescent="0.25">
      <c r="A2866" s="1" t="s">
        <v>5733</v>
      </c>
      <c r="B2866" s="1" t="s">
        <v>5734</v>
      </c>
      <c r="C2866" s="1" t="s">
        <v>5</v>
      </c>
    </row>
    <row r="2867" spans="1:3" x14ac:dyDescent="0.25">
      <c r="A2867" s="1" t="s">
        <v>5735</v>
      </c>
      <c r="B2867" s="1" t="s">
        <v>5736</v>
      </c>
      <c r="C2867" s="1" t="s">
        <v>5</v>
      </c>
    </row>
    <row r="2868" spans="1:3" x14ac:dyDescent="0.25">
      <c r="A2868" s="1" t="s">
        <v>5737</v>
      </c>
      <c r="B2868" s="1" t="s">
        <v>5738</v>
      </c>
      <c r="C2868" s="1" t="s">
        <v>5</v>
      </c>
    </row>
    <row r="2869" spans="1:3" x14ac:dyDescent="0.25">
      <c r="A2869" s="1" t="s">
        <v>5739</v>
      </c>
      <c r="B2869" s="1" t="s">
        <v>5740</v>
      </c>
      <c r="C2869" s="1" t="s">
        <v>5</v>
      </c>
    </row>
    <row r="2870" spans="1:3" x14ac:dyDescent="0.25">
      <c r="A2870" s="1" t="s">
        <v>5741</v>
      </c>
      <c r="B2870" s="1" t="s">
        <v>5742</v>
      </c>
      <c r="C2870" s="1" t="s">
        <v>5</v>
      </c>
    </row>
    <row r="2871" spans="1:3" x14ac:dyDescent="0.25">
      <c r="A2871" s="1" t="s">
        <v>5743</v>
      </c>
      <c r="B2871" s="1" t="s">
        <v>5744</v>
      </c>
      <c r="C2871" s="1" t="s">
        <v>5</v>
      </c>
    </row>
    <row r="2872" spans="1:3" x14ac:dyDescent="0.25">
      <c r="A2872" s="1" t="s">
        <v>5745</v>
      </c>
      <c r="B2872" s="1" t="s">
        <v>5746</v>
      </c>
      <c r="C2872" s="1" t="s">
        <v>5</v>
      </c>
    </row>
    <row r="2873" spans="1:3" x14ac:dyDescent="0.25">
      <c r="A2873" s="1" t="s">
        <v>5747</v>
      </c>
      <c r="B2873" s="1" t="s">
        <v>5748</v>
      </c>
      <c r="C2873" s="1" t="s">
        <v>5</v>
      </c>
    </row>
    <row r="2874" spans="1:3" x14ac:dyDescent="0.25">
      <c r="A2874" s="1" t="s">
        <v>5749</v>
      </c>
      <c r="B2874" s="1" t="s">
        <v>5750</v>
      </c>
      <c r="C2874" s="1" t="s">
        <v>5</v>
      </c>
    </row>
    <row r="2875" spans="1:3" x14ac:dyDescent="0.25">
      <c r="A2875" s="1" t="s">
        <v>5751</v>
      </c>
      <c r="B2875" s="1" t="s">
        <v>5752</v>
      </c>
      <c r="C2875" s="1" t="s">
        <v>5</v>
      </c>
    </row>
    <row r="2876" spans="1:3" x14ac:dyDescent="0.25">
      <c r="A2876" s="1" t="s">
        <v>5753</v>
      </c>
      <c r="B2876" s="1" t="s">
        <v>5754</v>
      </c>
      <c r="C2876" s="1" t="s">
        <v>5</v>
      </c>
    </row>
    <row r="2877" spans="1:3" x14ac:dyDescent="0.25">
      <c r="A2877" s="1" t="s">
        <v>5755</v>
      </c>
      <c r="B2877" s="1" t="s">
        <v>5756</v>
      </c>
      <c r="C2877" s="1" t="s">
        <v>5</v>
      </c>
    </row>
    <row r="2878" spans="1:3" x14ac:dyDescent="0.25">
      <c r="A2878" s="1" t="s">
        <v>5757</v>
      </c>
      <c r="B2878" s="1" t="s">
        <v>5758</v>
      </c>
      <c r="C2878" s="1" t="s">
        <v>5</v>
      </c>
    </row>
    <row r="2879" spans="1:3" x14ac:dyDescent="0.25">
      <c r="A2879" s="1" t="s">
        <v>5759</v>
      </c>
      <c r="B2879" s="1" t="s">
        <v>5760</v>
      </c>
      <c r="C2879" s="1" t="s">
        <v>5</v>
      </c>
    </row>
    <row r="2880" spans="1:3" x14ac:dyDescent="0.25">
      <c r="A2880" s="1" t="s">
        <v>5761</v>
      </c>
      <c r="B2880" s="1" t="s">
        <v>5762</v>
      </c>
      <c r="C2880" s="1" t="s">
        <v>5</v>
      </c>
    </row>
    <row r="2881" spans="1:3" x14ac:dyDescent="0.25">
      <c r="A2881" s="1" t="s">
        <v>5763</v>
      </c>
      <c r="B2881" s="1" t="s">
        <v>5764</v>
      </c>
      <c r="C2881" s="1" t="s">
        <v>5</v>
      </c>
    </row>
    <row r="2882" spans="1:3" x14ac:dyDescent="0.25">
      <c r="A2882" s="1" t="s">
        <v>5765</v>
      </c>
      <c r="B2882" s="1" t="s">
        <v>5766</v>
      </c>
      <c r="C2882" s="1" t="s">
        <v>5</v>
      </c>
    </row>
    <row r="2883" spans="1:3" x14ac:dyDescent="0.25">
      <c r="A2883" s="1" t="s">
        <v>5767</v>
      </c>
      <c r="B2883" s="1" t="s">
        <v>5768</v>
      </c>
      <c r="C2883" s="1" t="s">
        <v>5</v>
      </c>
    </row>
    <row r="2884" spans="1:3" x14ac:dyDescent="0.25">
      <c r="A2884" s="1" t="s">
        <v>5769</v>
      </c>
      <c r="B2884" s="1" t="s">
        <v>5770</v>
      </c>
      <c r="C2884" s="1" t="s">
        <v>5</v>
      </c>
    </row>
    <row r="2885" spans="1:3" x14ac:dyDescent="0.25">
      <c r="A2885" s="1" t="s">
        <v>5771</v>
      </c>
      <c r="B2885" s="1" t="s">
        <v>5772</v>
      </c>
      <c r="C2885" s="1" t="s">
        <v>5</v>
      </c>
    </row>
    <row r="2886" spans="1:3" x14ac:dyDescent="0.25">
      <c r="A2886" s="1" t="s">
        <v>5773</v>
      </c>
      <c r="B2886" s="1" t="s">
        <v>5774</v>
      </c>
      <c r="C2886" s="1" t="s">
        <v>5</v>
      </c>
    </row>
    <row r="2887" spans="1:3" x14ac:dyDescent="0.25">
      <c r="A2887" s="1" t="s">
        <v>5775</v>
      </c>
      <c r="B2887" s="1" t="s">
        <v>5776</v>
      </c>
      <c r="C2887" s="1" t="s">
        <v>5</v>
      </c>
    </row>
    <row r="2888" spans="1:3" x14ac:dyDescent="0.25">
      <c r="A2888" s="1" t="s">
        <v>5777</v>
      </c>
      <c r="B2888" s="1" t="s">
        <v>5778</v>
      </c>
      <c r="C2888" s="1" t="s">
        <v>448</v>
      </c>
    </row>
    <row r="2889" spans="1:3" x14ac:dyDescent="0.25">
      <c r="A2889" s="1" t="s">
        <v>5779</v>
      </c>
      <c r="B2889" s="1" t="s">
        <v>5780</v>
      </c>
      <c r="C2889" s="1" t="s">
        <v>5</v>
      </c>
    </row>
    <row r="2890" spans="1:3" x14ac:dyDescent="0.25">
      <c r="A2890" s="1" t="s">
        <v>5781</v>
      </c>
      <c r="B2890" s="1" t="s">
        <v>5782</v>
      </c>
      <c r="C2890" s="1" t="s">
        <v>5</v>
      </c>
    </row>
    <row r="2891" spans="1:3" x14ac:dyDescent="0.25">
      <c r="A2891" s="1" t="s">
        <v>5783</v>
      </c>
      <c r="B2891" s="1" t="s">
        <v>5784</v>
      </c>
      <c r="C2891" s="1" t="s">
        <v>5</v>
      </c>
    </row>
    <row r="2892" spans="1:3" x14ac:dyDescent="0.25">
      <c r="A2892" s="1" t="s">
        <v>5785</v>
      </c>
      <c r="B2892" s="1" t="s">
        <v>5786</v>
      </c>
      <c r="C2892" s="1" t="s">
        <v>5</v>
      </c>
    </row>
    <row r="2893" spans="1:3" x14ac:dyDescent="0.25">
      <c r="A2893" s="1" t="s">
        <v>5787</v>
      </c>
      <c r="B2893" s="1" t="s">
        <v>5788</v>
      </c>
      <c r="C2893" s="1" t="s">
        <v>5</v>
      </c>
    </row>
    <row r="2894" spans="1:3" x14ac:dyDescent="0.25">
      <c r="A2894" s="1" t="s">
        <v>5789</v>
      </c>
      <c r="B2894" s="1" t="s">
        <v>5790</v>
      </c>
      <c r="C2894" s="1" t="s">
        <v>5</v>
      </c>
    </row>
    <row r="2895" spans="1:3" x14ac:dyDescent="0.25">
      <c r="A2895" s="1" t="s">
        <v>5791</v>
      </c>
      <c r="B2895" s="1" t="s">
        <v>5792</v>
      </c>
      <c r="C2895" s="1" t="s">
        <v>5</v>
      </c>
    </row>
    <row r="2896" spans="1:3" x14ac:dyDescent="0.25">
      <c r="A2896" s="1" t="s">
        <v>5793</v>
      </c>
      <c r="B2896" s="1" t="s">
        <v>5794</v>
      </c>
      <c r="C2896" s="1" t="s">
        <v>5</v>
      </c>
    </row>
    <row r="2897" spans="1:3" x14ac:dyDescent="0.25">
      <c r="A2897" s="1" t="s">
        <v>5795</v>
      </c>
      <c r="B2897" s="1" t="s">
        <v>5796</v>
      </c>
      <c r="C2897" s="1" t="s">
        <v>5</v>
      </c>
    </row>
    <row r="2898" spans="1:3" x14ac:dyDescent="0.25">
      <c r="A2898" s="1" t="s">
        <v>5797</v>
      </c>
      <c r="B2898" s="1" t="s">
        <v>5798</v>
      </c>
      <c r="C2898" s="1" t="s">
        <v>5</v>
      </c>
    </row>
    <row r="2899" spans="1:3" x14ac:dyDescent="0.25">
      <c r="A2899" s="1" t="s">
        <v>5799</v>
      </c>
      <c r="B2899" s="1" t="s">
        <v>5800</v>
      </c>
      <c r="C2899" s="1" t="s">
        <v>5</v>
      </c>
    </row>
    <row r="2900" spans="1:3" x14ac:dyDescent="0.25">
      <c r="A2900" s="1" t="s">
        <v>5801</v>
      </c>
      <c r="B2900" s="1" t="s">
        <v>5802</v>
      </c>
      <c r="C2900" s="1" t="s">
        <v>5</v>
      </c>
    </row>
    <row r="2901" spans="1:3" x14ac:dyDescent="0.25">
      <c r="A2901" s="1" t="s">
        <v>5803</v>
      </c>
      <c r="B2901" s="1" t="s">
        <v>5804</v>
      </c>
      <c r="C2901" s="1" t="s">
        <v>5</v>
      </c>
    </row>
    <row r="2902" spans="1:3" x14ac:dyDescent="0.25">
      <c r="A2902" s="1" t="s">
        <v>5805</v>
      </c>
      <c r="B2902" s="1" t="s">
        <v>5806</v>
      </c>
      <c r="C2902" s="1" t="s">
        <v>5</v>
      </c>
    </row>
    <row r="2903" spans="1:3" x14ac:dyDescent="0.25">
      <c r="A2903" s="1" t="s">
        <v>5807</v>
      </c>
      <c r="B2903" s="1" t="s">
        <v>5808</v>
      </c>
      <c r="C2903" s="1" t="s">
        <v>5</v>
      </c>
    </row>
    <row r="2904" spans="1:3" x14ac:dyDescent="0.25">
      <c r="A2904" s="1" t="s">
        <v>5809</v>
      </c>
      <c r="B2904" s="1" t="s">
        <v>5810</v>
      </c>
      <c r="C2904" s="1" t="s">
        <v>5</v>
      </c>
    </row>
    <row r="2905" spans="1:3" x14ac:dyDescent="0.25">
      <c r="A2905" s="1" t="s">
        <v>5811</v>
      </c>
      <c r="B2905" s="1" t="s">
        <v>5812</v>
      </c>
      <c r="C2905" s="1" t="s">
        <v>5</v>
      </c>
    </row>
    <row r="2906" spans="1:3" x14ac:dyDescent="0.25">
      <c r="A2906" s="1" t="s">
        <v>5813</v>
      </c>
      <c r="B2906" s="1" t="s">
        <v>5814</v>
      </c>
      <c r="C2906" s="1" t="s">
        <v>5</v>
      </c>
    </row>
    <row r="2907" spans="1:3" x14ac:dyDescent="0.25">
      <c r="A2907" s="1" t="s">
        <v>5815</v>
      </c>
      <c r="B2907" s="1" t="s">
        <v>5816</v>
      </c>
      <c r="C2907" s="1" t="s">
        <v>5</v>
      </c>
    </row>
    <row r="2908" spans="1:3" x14ac:dyDescent="0.25">
      <c r="A2908" s="1" t="s">
        <v>5817</v>
      </c>
      <c r="B2908" s="1" t="s">
        <v>5818</v>
      </c>
      <c r="C2908" s="1" t="s">
        <v>5</v>
      </c>
    </row>
    <row r="2909" spans="1:3" x14ac:dyDescent="0.25">
      <c r="A2909" s="1" t="s">
        <v>5819</v>
      </c>
      <c r="B2909" s="1" t="s">
        <v>5820</v>
      </c>
      <c r="C2909" s="1" t="s">
        <v>5</v>
      </c>
    </row>
    <row r="2910" spans="1:3" x14ac:dyDescent="0.25">
      <c r="A2910" s="1" t="s">
        <v>5821</v>
      </c>
      <c r="B2910" s="1" t="s">
        <v>5822</v>
      </c>
      <c r="C2910" s="1" t="s">
        <v>5</v>
      </c>
    </row>
    <row r="2911" spans="1:3" x14ac:dyDescent="0.25">
      <c r="A2911" s="1" t="s">
        <v>5823</v>
      </c>
      <c r="B2911" s="1" t="s">
        <v>5824</v>
      </c>
      <c r="C2911" s="1" t="s">
        <v>5</v>
      </c>
    </row>
    <row r="2912" spans="1:3" x14ac:dyDescent="0.25">
      <c r="A2912" s="1" t="s">
        <v>5825</v>
      </c>
      <c r="B2912" s="1" t="s">
        <v>5826</v>
      </c>
      <c r="C2912" s="1" t="s">
        <v>5</v>
      </c>
    </row>
    <row r="2913" spans="1:3" x14ac:dyDescent="0.25">
      <c r="A2913" s="1" t="s">
        <v>5827</v>
      </c>
      <c r="B2913" s="1" t="s">
        <v>5828</v>
      </c>
      <c r="C2913" s="1" t="s">
        <v>5</v>
      </c>
    </row>
    <row r="2914" spans="1:3" x14ac:dyDescent="0.25">
      <c r="A2914" s="1" t="s">
        <v>5829</v>
      </c>
      <c r="B2914" s="1" t="s">
        <v>5830</v>
      </c>
      <c r="C2914" s="1" t="s">
        <v>5</v>
      </c>
    </row>
    <row r="2915" spans="1:3" x14ac:dyDescent="0.25">
      <c r="A2915" s="1" t="s">
        <v>5831</v>
      </c>
      <c r="B2915" s="1" t="s">
        <v>5832</v>
      </c>
      <c r="C2915" s="1" t="s">
        <v>5</v>
      </c>
    </row>
    <row r="2916" spans="1:3" x14ac:dyDescent="0.25">
      <c r="A2916" s="1" t="s">
        <v>5833</v>
      </c>
      <c r="B2916" s="1" t="s">
        <v>5834</v>
      </c>
      <c r="C2916" s="1" t="s">
        <v>5</v>
      </c>
    </row>
    <row r="2917" spans="1:3" x14ac:dyDescent="0.25">
      <c r="A2917" s="1" t="s">
        <v>5835</v>
      </c>
      <c r="B2917" s="1" t="s">
        <v>5836</v>
      </c>
      <c r="C2917" s="1" t="s">
        <v>5</v>
      </c>
    </row>
    <row r="2918" spans="1:3" x14ac:dyDescent="0.25">
      <c r="A2918" s="1" t="s">
        <v>5837</v>
      </c>
      <c r="B2918" s="1" t="s">
        <v>5838</v>
      </c>
      <c r="C2918" s="1" t="s">
        <v>5</v>
      </c>
    </row>
    <row r="2919" spans="1:3" x14ac:dyDescent="0.25">
      <c r="A2919" s="1" t="s">
        <v>5839</v>
      </c>
      <c r="B2919" s="1" t="s">
        <v>5840</v>
      </c>
      <c r="C2919" s="1" t="s">
        <v>5</v>
      </c>
    </row>
    <row r="2920" spans="1:3" x14ac:dyDescent="0.25">
      <c r="A2920" s="1" t="s">
        <v>5841</v>
      </c>
      <c r="B2920" s="1" t="s">
        <v>5842</v>
      </c>
      <c r="C2920" s="1" t="s">
        <v>5</v>
      </c>
    </row>
    <row r="2921" spans="1:3" x14ac:dyDescent="0.25">
      <c r="A2921" s="1" t="s">
        <v>5843</v>
      </c>
      <c r="B2921" s="1" t="s">
        <v>5844</v>
      </c>
      <c r="C2921" s="1" t="s">
        <v>5</v>
      </c>
    </row>
    <row r="2922" spans="1:3" x14ac:dyDescent="0.25">
      <c r="A2922" s="1" t="s">
        <v>5845</v>
      </c>
      <c r="B2922" s="1" t="s">
        <v>5846</v>
      </c>
      <c r="C2922" s="1" t="s">
        <v>5</v>
      </c>
    </row>
    <row r="2923" spans="1:3" x14ac:dyDescent="0.25">
      <c r="A2923" s="1" t="s">
        <v>5847</v>
      </c>
      <c r="B2923" s="1" t="s">
        <v>5848</v>
      </c>
      <c r="C2923" s="1" t="s">
        <v>5</v>
      </c>
    </row>
    <row r="2924" spans="1:3" x14ac:dyDescent="0.25">
      <c r="A2924" s="1" t="s">
        <v>5849</v>
      </c>
      <c r="B2924" s="1" t="s">
        <v>5850</v>
      </c>
      <c r="C2924" s="1" t="s">
        <v>5</v>
      </c>
    </row>
    <row r="2925" spans="1:3" x14ac:dyDescent="0.25">
      <c r="A2925" s="1" t="s">
        <v>5851</v>
      </c>
      <c r="B2925" s="1" t="s">
        <v>5852</v>
      </c>
      <c r="C2925" s="1" t="s">
        <v>5</v>
      </c>
    </row>
    <row r="2926" spans="1:3" x14ac:dyDescent="0.25">
      <c r="A2926" s="1" t="s">
        <v>5853</v>
      </c>
      <c r="B2926" s="1" t="s">
        <v>5854</v>
      </c>
      <c r="C2926" s="1" t="s">
        <v>5</v>
      </c>
    </row>
    <row r="2927" spans="1:3" x14ac:dyDescent="0.25">
      <c r="A2927" s="1" t="s">
        <v>5855</v>
      </c>
      <c r="B2927" s="1" t="s">
        <v>5856</v>
      </c>
      <c r="C2927" s="1" t="s">
        <v>5</v>
      </c>
    </row>
    <row r="2928" spans="1:3" x14ac:dyDescent="0.25">
      <c r="A2928" s="1" t="s">
        <v>5857</v>
      </c>
      <c r="B2928" s="1" t="s">
        <v>5858</v>
      </c>
      <c r="C2928" s="1" t="s">
        <v>5</v>
      </c>
    </row>
    <row r="2929" spans="1:3" x14ac:dyDescent="0.25">
      <c r="A2929" s="1" t="s">
        <v>5859</v>
      </c>
      <c r="B2929" s="1" t="s">
        <v>5860</v>
      </c>
      <c r="C2929" s="1" t="s">
        <v>5</v>
      </c>
    </row>
    <row r="2930" spans="1:3" x14ac:dyDescent="0.25">
      <c r="A2930" s="1" t="s">
        <v>5861</v>
      </c>
      <c r="B2930" s="1" t="s">
        <v>5862</v>
      </c>
      <c r="C2930" s="1" t="s">
        <v>5</v>
      </c>
    </row>
    <row r="2931" spans="1:3" x14ac:dyDescent="0.25">
      <c r="A2931" s="1" t="s">
        <v>5863</v>
      </c>
      <c r="B2931" s="1" t="s">
        <v>5864</v>
      </c>
      <c r="C2931" s="1" t="s">
        <v>5</v>
      </c>
    </row>
    <row r="2932" spans="1:3" x14ac:dyDescent="0.25">
      <c r="A2932" s="1" t="s">
        <v>5865</v>
      </c>
      <c r="B2932" s="1" t="s">
        <v>5866</v>
      </c>
      <c r="C2932" s="1" t="s">
        <v>5</v>
      </c>
    </row>
    <row r="2933" spans="1:3" x14ac:dyDescent="0.25">
      <c r="A2933" s="1" t="s">
        <v>5867</v>
      </c>
      <c r="B2933" s="1" t="s">
        <v>5868</v>
      </c>
      <c r="C2933" s="1" t="s">
        <v>5</v>
      </c>
    </row>
    <row r="2934" spans="1:3" x14ac:dyDescent="0.25">
      <c r="A2934" s="1" t="s">
        <v>5869</v>
      </c>
      <c r="B2934" s="1" t="s">
        <v>5870</v>
      </c>
      <c r="C2934" s="1" t="s">
        <v>5</v>
      </c>
    </row>
    <row r="2935" spans="1:3" x14ac:dyDescent="0.25">
      <c r="A2935" s="1" t="s">
        <v>5871</v>
      </c>
      <c r="B2935" s="1" t="s">
        <v>5872</v>
      </c>
      <c r="C2935" s="1" t="s">
        <v>5</v>
      </c>
    </row>
    <row r="2936" spans="1:3" x14ac:dyDescent="0.25">
      <c r="A2936" s="1" t="s">
        <v>5873</v>
      </c>
      <c r="B2936" s="1" t="s">
        <v>5874</v>
      </c>
      <c r="C2936" s="1" t="s">
        <v>5</v>
      </c>
    </row>
    <row r="2937" spans="1:3" x14ac:dyDescent="0.25">
      <c r="A2937" s="1" t="s">
        <v>5875</v>
      </c>
      <c r="B2937" s="1" t="s">
        <v>5876</v>
      </c>
      <c r="C2937" s="1" t="s">
        <v>5</v>
      </c>
    </row>
    <row r="2938" spans="1:3" x14ac:dyDescent="0.25">
      <c r="A2938" s="1" t="s">
        <v>5877</v>
      </c>
      <c r="B2938" s="1" t="s">
        <v>5878</v>
      </c>
      <c r="C2938" s="1" t="s">
        <v>5</v>
      </c>
    </row>
    <row r="2939" spans="1:3" x14ac:dyDescent="0.25">
      <c r="A2939" s="1" t="s">
        <v>5879</v>
      </c>
      <c r="B2939" s="1" t="s">
        <v>5880</v>
      </c>
      <c r="C2939" s="1" t="s">
        <v>5</v>
      </c>
    </row>
    <row r="2940" spans="1:3" x14ac:dyDescent="0.25">
      <c r="A2940" s="1" t="s">
        <v>5881</v>
      </c>
      <c r="B2940" s="1" t="s">
        <v>5882</v>
      </c>
      <c r="C2940" s="1" t="s">
        <v>5</v>
      </c>
    </row>
    <row r="2941" spans="1:3" x14ac:dyDescent="0.25">
      <c r="A2941" s="1" t="s">
        <v>5883</v>
      </c>
      <c r="B2941" s="1" t="s">
        <v>5884</v>
      </c>
      <c r="C2941" s="1" t="s">
        <v>5</v>
      </c>
    </row>
    <row r="2942" spans="1:3" x14ac:dyDescent="0.25">
      <c r="A2942" s="1" t="s">
        <v>5885</v>
      </c>
      <c r="B2942" s="1" t="s">
        <v>5886</v>
      </c>
      <c r="C2942" s="1" t="s">
        <v>5</v>
      </c>
    </row>
    <row r="2943" spans="1:3" x14ac:dyDescent="0.25">
      <c r="A2943" s="1" t="s">
        <v>5887</v>
      </c>
      <c r="B2943" s="1" t="s">
        <v>5888</v>
      </c>
      <c r="C2943" s="1" t="s">
        <v>5</v>
      </c>
    </row>
    <row r="2944" spans="1:3" x14ac:dyDescent="0.25">
      <c r="A2944" s="1" t="s">
        <v>5889</v>
      </c>
      <c r="B2944" s="1" t="s">
        <v>5890</v>
      </c>
      <c r="C2944" s="1" t="s">
        <v>5</v>
      </c>
    </row>
    <row r="2945" spans="1:3" x14ac:dyDescent="0.25">
      <c r="A2945" s="1" t="s">
        <v>5891</v>
      </c>
      <c r="B2945" s="1" t="s">
        <v>5892</v>
      </c>
      <c r="C2945" s="1" t="s">
        <v>5</v>
      </c>
    </row>
    <row r="2946" spans="1:3" x14ac:dyDescent="0.25">
      <c r="A2946" s="1" t="s">
        <v>5893</v>
      </c>
      <c r="B2946" s="1" t="s">
        <v>5894</v>
      </c>
      <c r="C2946" s="1" t="s">
        <v>5</v>
      </c>
    </row>
    <row r="2947" spans="1:3" x14ac:dyDescent="0.25">
      <c r="A2947" s="1" t="s">
        <v>5895</v>
      </c>
      <c r="B2947" s="1" t="s">
        <v>5896</v>
      </c>
      <c r="C2947" s="1" t="s">
        <v>5</v>
      </c>
    </row>
    <row r="2948" spans="1:3" x14ac:dyDescent="0.25">
      <c r="A2948" s="1" t="s">
        <v>5897</v>
      </c>
      <c r="B2948" s="1" t="s">
        <v>5898</v>
      </c>
      <c r="C2948" s="1" t="s">
        <v>5</v>
      </c>
    </row>
    <row r="2949" spans="1:3" x14ac:dyDescent="0.25">
      <c r="A2949" s="1" t="s">
        <v>5899</v>
      </c>
      <c r="B2949" s="1" t="s">
        <v>5900</v>
      </c>
      <c r="C2949" s="1" t="s">
        <v>5</v>
      </c>
    </row>
    <row r="2950" spans="1:3" x14ac:dyDescent="0.25">
      <c r="A2950" s="1" t="s">
        <v>5901</v>
      </c>
      <c r="B2950" s="1" t="s">
        <v>5902</v>
      </c>
      <c r="C2950" s="1" t="s">
        <v>5</v>
      </c>
    </row>
    <row r="2951" spans="1:3" x14ac:dyDescent="0.25">
      <c r="A2951" s="1" t="s">
        <v>5903</v>
      </c>
      <c r="B2951" s="1" t="s">
        <v>5904</v>
      </c>
      <c r="C2951" s="1" t="s">
        <v>5</v>
      </c>
    </row>
    <row r="2952" spans="1:3" x14ac:dyDescent="0.25">
      <c r="A2952" s="1" t="s">
        <v>5905</v>
      </c>
      <c r="B2952" s="1" t="s">
        <v>5906</v>
      </c>
      <c r="C2952" s="1" t="s">
        <v>5</v>
      </c>
    </row>
    <row r="2953" spans="1:3" x14ac:dyDescent="0.25">
      <c r="A2953" s="1" t="s">
        <v>5907</v>
      </c>
      <c r="B2953" s="1" t="s">
        <v>5908</v>
      </c>
      <c r="C2953" s="1" t="s">
        <v>5</v>
      </c>
    </row>
    <row r="2954" spans="1:3" x14ac:dyDescent="0.25">
      <c r="A2954" s="1" t="s">
        <v>5909</v>
      </c>
      <c r="B2954" s="1" t="s">
        <v>5910</v>
      </c>
      <c r="C2954" s="1" t="s">
        <v>5</v>
      </c>
    </row>
    <row r="2955" spans="1:3" x14ac:dyDescent="0.25">
      <c r="A2955" s="1" t="s">
        <v>5911</v>
      </c>
      <c r="B2955" s="1" t="s">
        <v>5912</v>
      </c>
      <c r="C2955" s="1" t="s">
        <v>5</v>
      </c>
    </row>
    <row r="2956" spans="1:3" x14ac:dyDescent="0.25">
      <c r="A2956" s="1" t="s">
        <v>5913</v>
      </c>
      <c r="B2956" s="1" t="s">
        <v>5914</v>
      </c>
      <c r="C2956" s="1" t="s">
        <v>5</v>
      </c>
    </row>
    <row r="2957" spans="1:3" x14ac:dyDescent="0.25">
      <c r="A2957" s="1" t="s">
        <v>5915</v>
      </c>
      <c r="B2957" s="1" t="s">
        <v>5916</v>
      </c>
      <c r="C2957" s="1" t="s">
        <v>5</v>
      </c>
    </row>
    <row r="2958" spans="1:3" x14ac:dyDescent="0.25">
      <c r="A2958" s="1" t="s">
        <v>5917</v>
      </c>
      <c r="B2958" s="1" t="s">
        <v>5918</v>
      </c>
      <c r="C2958" s="1" t="s">
        <v>5</v>
      </c>
    </row>
    <row r="2959" spans="1:3" x14ac:dyDescent="0.25">
      <c r="A2959" s="1" t="s">
        <v>5919</v>
      </c>
      <c r="B2959" s="1" t="s">
        <v>5920</v>
      </c>
      <c r="C2959" s="1" t="s">
        <v>5</v>
      </c>
    </row>
    <row r="2960" spans="1:3" x14ac:dyDescent="0.25">
      <c r="A2960" s="1" t="s">
        <v>5921</v>
      </c>
      <c r="B2960" s="1" t="s">
        <v>5922</v>
      </c>
      <c r="C2960" s="1" t="s">
        <v>5</v>
      </c>
    </row>
    <row r="2961" spans="1:3" x14ac:dyDescent="0.25">
      <c r="A2961" s="1" t="s">
        <v>5923</v>
      </c>
      <c r="B2961" s="1" t="s">
        <v>5924</v>
      </c>
      <c r="C2961" s="1" t="s">
        <v>5</v>
      </c>
    </row>
    <row r="2962" spans="1:3" x14ac:dyDescent="0.25">
      <c r="A2962" s="1" t="s">
        <v>5925</v>
      </c>
      <c r="B2962" s="1" t="s">
        <v>5926</v>
      </c>
      <c r="C2962" s="1" t="s">
        <v>5</v>
      </c>
    </row>
    <row r="2963" spans="1:3" x14ac:dyDescent="0.25">
      <c r="A2963" s="1" t="s">
        <v>5927</v>
      </c>
      <c r="B2963" s="1" t="s">
        <v>5928</v>
      </c>
      <c r="C2963" s="1" t="s">
        <v>5</v>
      </c>
    </row>
    <row r="2964" spans="1:3" x14ac:dyDescent="0.25">
      <c r="A2964" s="1" t="s">
        <v>5929</v>
      </c>
      <c r="B2964" s="1" t="s">
        <v>5930</v>
      </c>
      <c r="C2964" s="1" t="s">
        <v>5</v>
      </c>
    </row>
    <row r="2965" spans="1:3" x14ac:dyDescent="0.25">
      <c r="A2965" s="1" t="s">
        <v>5931</v>
      </c>
      <c r="B2965" s="1" t="s">
        <v>5932</v>
      </c>
      <c r="C2965" s="1" t="s">
        <v>5</v>
      </c>
    </row>
    <row r="2966" spans="1:3" x14ac:dyDescent="0.25">
      <c r="A2966" s="1" t="s">
        <v>5933</v>
      </c>
      <c r="B2966" s="1" t="s">
        <v>5934</v>
      </c>
      <c r="C2966" s="1" t="s">
        <v>5</v>
      </c>
    </row>
    <row r="2967" spans="1:3" x14ac:dyDescent="0.25">
      <c r="A2967" s="1" t="s">
        <v>5935</v>
      </c>
      <c r="B2967" s="1" t="s">
        <v>5936</v>
      </c>
      <c r="C2967" s="1" t="s">
        <v>5</v>
      </c>
    </row>
    <row r="2968" spans="1:3" x14ac:dyDescent="0.25">
      <c r="A2968" s="1" t="s">
        <v>5937</v>
      </c>
      <c r="B2968" s="1" t="s">
        <v>5938</v>
      </c>
      <c r="C2968" s="1" t="s">
        <v>5</v>
      </c>
    </row>
    <row r="2969" spans="1:3" x14ac:dyDescent="0.25">
      <c r="A2969" s="1" t="s">
        <v>5939</v>
      </c>
      <c r="B2969" s="1" t="s">
        <v>5940</v>
      </c>
      <c r="C2969" s="1" t="s">
        <v>5</v>
      </c>
    </row>
    <row r="2970" spans="1:3" x14ac:dyDescent="0.25">
      <c r="A2970" s="1" t="s">
        <v>5941</v>
      </c>
      <c r="B2970" s="1" t="s">
        <v>5942</v>
      </c>
      <c r="C2970" s="1" t="s">
        <v>5</v>
      </c>
    </row>
    <row r="2971" spans="1:3" x14ac:dyDescent="0.25">
      <c r="A2971" s="1" t="s">
        <v>5943</v>
      </c>
      <c r="B2971" s="1" t="s">
        <v>5944</v>
      </c>
      <c r="C2971" s="1" t="s">
        <v>5</v>
      </c>
    </row>
    <row r="2972" spans="1:3" x14ac:dyDescent="0.25">
      <c r="A2972" s="1" t="s">
        <v>5945</v>
      </c>
      <c r="B2972" s="1" t="s">
        <v>5946</v>
      </c>
      <c r="C2972" s="1" t="s">
        <v>5</v>
      </c>
    </row>
    <row r="2973" spans="1:3" x14ac:dyDescent="0.25">
      <c r="A2973" s="1" t="s">
        <v>5947</v>
      </c>
      <c r="B2973" s="1" t="s">
        <v>5948</v>
      </c>
      <c r="C2973" s="1" t="s">
        <v>5</v>
      </c>
    </row>
    <row r="2974" spans="1:3" x14ac:dyDescent="0.25">
      <c r="A2974" s="1" t="s">
        <v>5949</v>
      </c>
      <c r="B2974" s="1" t="s">
        <v>5950</v>
      </c>
      <c r="C2974" s="1" t="s">
        <v>5</v>
      </c>
    </row>
    <row r="2975" spans="1:3" x14ac:dyDescent="0.25">
      <c r="A2975" s="1" t="s">
        <v>5951</v>
      </c>
      <c r="B2975" s="1" t="s">
        <v>5952</v>
      </c>
      <c r="C2975" s="1" t="s">
        <v>5</v>
      </c>
    </row>
    <row r="2976" spans="1:3" x14ac:dyDescent="0.25">
      <c r="A2976" s="1" t="s">
        <v>5953</v>
      </c>
      <c r="B2976" s="1" t="s">
        <v>5954</v>
      </c>
      <c r="C2976" s="1" t="s">
        <v>5</v>
      </c>
    </row>
    <row r="2977" spans="1:3" x14ac:dyDescent="0.25">
      <c r="A2977" s="1" t="s">
        <v>5955</v>
      </c>
      <c r="B2977" s="1" t="s">
        <v>5956</v>
      </c>
      <c r="C2977" s="1" t="s">
        <v>448</v>
      </c>
    </row>
    <row r="2978" spans="1:3" x14ac:dyDescent="0.25">
      <c r="A2978" s="1" t="s">
        <v>5957</v>
      </c>
      <c r="B2978" s="1" t="s">
        <v>5958</v>
      </c>
      <c r="C2978" s="1" t="s">
        <v>448</v>
      </c>
    </row>
    <row r="2979" spans="1:3" x14ac:dyDescent="0.25">
      <c r="A2979" s="1" t="s">
        <v>5959</v>
      </c>
      <c r="B2979" s="1" t="s">
        <v>5960</v>
      </c>
      <c r="C2979" s="1" t="s">
        <v>5</v>
      </c>
    </row>
    <row r="2980" spans="1:3" x14ac:dyDescent="0.25">
      <c r="A2980" s="1" t="s">
        <v>5961</v>
      </c>
      <c r="B2980" s="1" t="s">
        <v>5962</v>
      </c>
      <c r="C2980" s="1" t="s">
        <v>5</v>
      </c>
    </row>
    <row r="2981" spans="1:3" x14ac:dyDescent="0.25">
      <c r="A2981" s="1" t="s">
        <v>5963</v>
      </c>
      <c r="B2981" s="1" t="s">
        <v>5964</v>
      </c>
      <c r="C2981" s="1" t="s">
        <v>5</v>
      </c>
    </row>
    <row r="2982" spans="1:3" x14ac:dyDescent="0.25">
      <c r="A2982" s="1" t="s">
        <v>5965</v>
      </c>
      <c r="B2982" s="1" t="s">
        <v>5966</v>
      </c>
      <c r="C2982" s="1" t="s">
        <v>5</v>
      </c>
    </row>
    <row r="2983" spans="1:3" x14ac:dyDescent="0.25">
      <c r="A2983" s="1" t="s">
        <v>5967</v>
      </c>
      <c r="B2983" s="1" t="s">
        <v>5968</v>
      </c>
      <c r="C2983" s="1" t="s">
        <v>5</v>
      </c>
    </row>
    <row r="2984" spans="1:3" x14ac:dyDescent="0.25">
      <c r="A2984" s="1" t="s">
        <v>5969</v>
      </c>
      <c r="B2984" s="1" t="s">
        <v>5970</v>
      </c>
      <c r="C2984" s="1" t="s">
        <v>5</v>
      </c>
    </row>
    <row r="2985" spans="1:3" x14ac:dyDescent="0.25">
      <c r="A2985" s="1" t="s">
        <v>5971</v>
      </c>
      <c r="B2985" s="1" t="s">
        <v>5972</v>
      </c>
      <c r="C2985" s="1" t="s">
        <v>5</v>
      </c>
    </row>
    <row r="2986" spans="1:3" x14ac:dyDescent="0.25">
      <c r="A2986" s="1" t="s">
        <v>5973</v>
      </c>
      <c r="B2986" s="1" t="s">
        <v>5974</v>
      </c>
      <c r="C2986" s="1" t="s">
        <v>5</v>
      </c>
    </row>
    <row r="2987" spans="1:3" x14ac:dyDescent="0.25">
      <c r="A2987" s="1" t="s">
        <v>5975</v>
      </c>
      <c r="B2987" s="1" t="s">
        <v>5976</v>
      </c>
      <c r="C2987" s="1" t="s">
        <v>5</v>
      </c>
    </row>
    <row r="2988" spans="1:3" x14ac:dyDescent="0.25">
      <c r="A2988" s="1" t="s">
        <v>5977</v>
      </c>
      <c r="B2988" s="1" t="s">
        <v>5978</v>
      </c>
      <c r="C2988" s="1" t="s">
        <v>5</v>
      </c>
    </row>
    <row r="2989" spans="1:3" x14ac:dyDescent="0.25">
      <c r="A2989" s="1" t="s">
        <v>5979</v>
      </c>
      <c r="B2989" s="1" t="s">
        <v>5980</v>
      </c>
      <c r="C2989" s="1" t="s">
        <v>5</v>
      </c>
    </row>
    <row r="2990" spans="1:3" x14ac:dyDescent="0.25">
      <c r="A2990" s="1" t="s">
        <v>5981</v>
      </c>
      <c r="B2990" s="1" t="s">
        <v>5982</v>
      </c>
      <c r="C2990" s="1" t="s">
        <v>5</v>
      </c>
    </row>
    <row r="2991" spans="1:3" x14ac:dyDescent="0.25">
      <c r="A2991" s="1" t="s">
        <v>5983</v>
      </c>
      <c r="B2991" s="1" t="s">
        <v>5984</v>
      </c>
      <c r="C2991" s="1" t="s">
        <v>5</v>
      </c>
    </row>
    <row r="2992" spans="1:3" x14ac:dyDescent="0.25">
      <c r="A2992" s="1" t="s">
        <v>5985</v>
      </c>
      <c r="B2992" s="1" t="s">
        <v>5986</v>
      </c>
      <c r="C2992" s="1" t="s">
        <v>5</v>
      </c>
    </row>
    <row r="2993" spans="1:3" x14ac:dyDescent="0.25">
      <c r="A2993" s="1" t="s">
        <v>5987</v>
      </c>
      <c r="B2993" s="1" t="s">
        <v>5988</v>
      </c>
      <c r="C2993" s="1" t="s">
        <v>5</v>
      </c>
    </row>
    <row r="2994" spans="1:3" x14ac:dyDescent="0.25">
      <c r="A2994" s="1" t="s">
        <v>5989</v>
      </c>
      <c r="B2994" s="1" t="s">
        <v>5990</v>
      </c>
      <c r="C2994" s="1" t="s">
        <v>5</v>
      </c>
    </row>
    <row r="2995" spans="1:3" x14ac:dyDescent="0.25">
      <c r="A2995" s="1" t="s">
        <v>5991</v>
      </c>
      <c r="B2995" s="1" t="s">
        <v>5992</v>
      </c>
      <c r="C2995" s="1" t="s">
        <v>5</v>
      </c>
    </row>
    <row r="2996" spans="1:3" x14ac:dyDescent="0.25">
      <c r="A2996" s="1" t="s">
        <v>5993</v>
      </c>
      <c r="B2996" s="1" t="s">
        <v>5994</v>
      </c>
      <c r="C2996" s="1" t="s">
        <v>5</v>
      </c>
    </row>
    <row r="2997" spans="1:3" x14ac:dyDescent="0.25">
      <c r="A2997" s="1" t="s">
        <v>5995</v>
      </c>
      <c r="B2997" s="1" t="s">
        <v>5996</v>
      </c>
      <c r="C2997" s="1" t="s">
        <v>5</v>
      </c>
    </row>
    <row r="2998" spans="1:3" x14ac:dyDescent="0.25">
      <c r="A2998" s="1" t="s">
        <v>5997</v>
      </c>
      <c r="B2998" s="1" t="s">
        <v>5998</v>
      </c>
      <c r="C2998" s="1" t="s">
        <v>5</v>
      </c>
    </row>
    <row r="2999" spans="1:3" x14ac:dyDescent="0.25">
      <c r="A2999" s="1" t="s">
        <v>5999</v>
      </c>
      <c r="B2999" s="1" t="s">
        <v>6000</v>
      </c>
      <c r="C2999" s="1" t="s">
        <v>5</v>
      </c>
    </row>
    <row r="3000" spans="1:3" x14ac:dyDescent="0.25">
      <c r="A3000" s="1" t="s">
        <v>6001</v>
      </c>
      <c r="B3000" s="1" t="s">
        <v>6002</v>
      </c>
      <c r="C3000" s="1" t="s">
        <v>5</v>
      </c>
    </row>
    <row r="3001" spans="1:3" x14ac:dyDescent="0.25">
      <c r="A3001" s="1" t="s">
        <v>6003</v>
      </c>
      <c r="B3001" s="1" t="s">
        <v>6004</v>
      </c>
      <c r="C3001" s="1" t="s">
        <v>5</v>
      </c>
    </row>
    <row r="3002" spans="1:3" x14ac:dyDescent="0.25">
      <c r="A3002" s="1" t="s">
        <v>6005</v>
      </c>
      <c r="B3002" s="1" t="s">
        <v>6006</v>
      </c>
      <c r="C3002" s="1" t="s">
        <v>5</v>
      </c>
    </row>
    <row r="3003" spans="1:3" x14ac:dyDescent="0.25">
      <c r="A3003" s="1" t="s">
        <v>6007</v>
      </c>
      <c r="B3003" s="1" t="s">
        <v>6008</v>
      </c>
      <c r="C3003" s="1" t="s">
        <v>5</v>
      </c>
    </row>
    <row r="3004" spans="1:3" x14ac:dyDescent="0.25">
      <c r="A3004" s="1" t="s">
        <v>6009</v>
      </c>
      <c r="B3004" s="1" t="s">
        <v>6010</v>
      </c>
      <c r="C3004" s="1" t="s">
        <v>5</v>
      </c>
    </row>
    <row r="3005" spans="1:3" x14ac:dyDescent="0.25">
      <c r="A3005" s="1" t="s">
        <v>6011</v>
      </c>
      <c r="B3005" s="1" t="s">
        <v>6012</v>
      </c>
      <c r="C3005" s="1" t="s">
        <v>5</v>
      </c>
    </row>
    <row r="3006" spans="1:3" x14ac:dyDescent="0.25">
      <c r="A3006" s="1" t="s">
        <v>6013</v>
      </c>
      <c r="B3006" s="1" t="s">
        <v>6014</v>
      </c>
      <c r="C3006" s="1" t="s">
        <v>5</v>
      </c>
    </row>
    <row r="3007" spans="1:3" x14ac:dyDescent="0.25">
      <c r="A3007" s="1" t="s">
        <v>6015</v>
      </c>
      <c r="B3007" s="1" t="s">
        <v>6016</v>
      </c>
      <c r="C3007" s="1" t="s">
        <v>5</v>
      </c>
    </row>
    <row r="3008" spans="1:3" x14ac:dyDescent="0.25">
      <c r="A3008" s="1" t="s">
        <v>6017</v>
      </c>
      <c r="B3008" s="1" t="s">
        <v>6018</v>
      </c>
      <c r="C3008" s="1" t="s">
        <v>5</v>
      </c>
    </row>
    <row r="3009" spans="1:3" x14ac:dyDescent="0.25">
      <c r="A3009" s="1" t="s">
        <v>6019</v>
      </c>
      <c r="B3009" s="1" t="s">
        <v>6020</v>
      </c>
      <c r="C3009" s="1" t="s">
        <v>5</v>
      </c>
    </row>
    <row r="3010" spans="1:3" x14ac:dyDescent="0.25">
      <c r="A3010" s="1" t="s">
        <v>6021</v>
      </c>
      <c r="B3010" s="1" t="s">
        <v>6022</v>
      </c>
      <c r="C3010" s="1" t="s">
        <v>5</v>
      </c>
    </row>
    <row r="3011" spans="1:3" x14ac:dyDescent="0.25">
      <c r="A3011" s="1" t="s">
        <v>6023</v>
      </c>
      <c r="B3011" s="1" t="s">
        <v>6024</v>
      </c>
      <c r="C3011" s="1" t="s">
        <v>5</v>
      </c>
    </row>
    <row r="3012" spans="1:3" x14ac:dyDescent="0.25">
      <c r="A3012" s="1" t="s">
        <v>6025</v>
      </c>
      <c r="B3012" s="1" t="s">
        <v>6026</v>
      </c>
      <c r="C3012" s="1" t="s">
        <v>5</v>
      </c>
    </row>
    <row r="3013" spans="1:3" x14ac:dyDescent="0.25">
      <c r="A3013" s="1" t="s">
        <v>6027</v>
      </c>
      <c r="B3013" s="1" t="s">
        <v>6028</v>
      </c>
      <c r="C3013" s="1" t="s">
        <v>5</v>
      </c>
    </row>
    <row r="3014" spans="1:3" x14ac:dyDescent="0.25">
      <c r="A3014" s="1" t="s">
        <v>6029</v>
      </c>
      <c r="B3014" s="1" t="s">
        <v>6030</v>
      </c>
      <c r="C3014" s="1" t="s">
        <v>5</v>
      </c>
    </row>
    <row r="3015" spans="1:3" x14ac:dyDescent="0.25">
      <c r="A3015" s="1" t="s">
        <v>6031</v>
      </c>
      <c r="B3015" s="1" t="s">
        <v>6032</v>
      </c>
      <c r="C3015" s="1" t="s">
        <v>5</v>
      </c>
    </row>
    <row r="3016" spans="1:3" x14ac:dyDescent="0.25">
      <c r="A3016" s="1" t="s">
        <v>6033</v>
      </c>
      <c r="B3016" s="1" t="s">
        <v>6034</v>
      </c>
      <c r="C3016" s="1" t="s">
        <v>5</v>
      </c>
    </row>
    <row r="3017" spans="1:3" x14ac:dyDescent="0.25">
      <c r="A3017" s="1" t="s">
        <v>6035</v>
      </c>
      <c r="B3017" s="1" t="s">
        <v>6036</v>
      </c>
      <c r="C3017" s="1" t="s">
        <v>5</v>
      </c>
    </row>
    <row r="3018" spans="1:3" x14ac:dyDescent="0.25">
      <c r="A3018" s="1" t="s">
        <v>6037</v>
      </c>
      <c r="B3018" s="1" t="s">
        <v>6038</v>
      </c>
      <c r="C3018" s="1" t="s">
        <v>5</v>
      </c>
    </row>
    <row r="3019" spans="1:3" x14ac:dyDescent="0.25">
      <c r="A3019" s="1" t="s">
        <v>6039</v>
      </c>
      <c r="B3019" s="1" t="s">
        <v>6040</v>
      </c>
      <c r="C3019" s="1" t="s">
        <v>5</v>
      </c>
    </row>
    <row r="3020" spans="1:3" x14ac:dyDescent="0.25">
      <c r="A3020" s="1" t="s">
        <v>6041</v>
      </c>
      <c r="B3020" s="1" t="s">
        <v>6042</v>
      </c>
      <c r="C3020" s="1" t="s">
        <v>5</v>
      </c>
    </row>
    <row r="3021" spans="1:3" x14ac:dyDescent="0.25">
      <c r="A3021" s="1" t="s">
        <v>6043</v>
      </c>
      <c r="B3021" s="1" t="s">
        <v>6044</v>
      </c>
      <c r="C3021" s="1" t="s">
        <v>5</v>
      </c>
    </row>
    <row r="3022" spans="1:3" x14ac:dyDescent="0.25">
      <c r="A3022" s="1" t="s">
        <v>6045</v>
      </c>
      <c r="B3022" s="1" t="s">
        <v>6046</v>
      </c>
      <c r="C3022" s="1" t="s">
        <v>5</v>
      </c>
    </row>
    <row r="3023" spans="1:3" x14ac:dyDescent="0.25">
      <c r="A3023" s="1" t="s">
        <v>6047</v>
      </c>
      <c r="B3023" s="1" t="s">
        <v>6048</v>
      </c>
      <c r="C3023" s="1" t="s">
        <v>5</v>
      </c>
    </row>
    <row r="3024" spans="1:3" x14ac:dyDescent="0.25">
      <c r="A3024" s="1" t="s">
        <v>6049</v>
      </c>
      <c r="B3024" s="1" t="s">
        <v>6050</v>
      </c>
      <c r="C3024" s="1" t="s">
        <v>5</v>
      </c>
    </row>
    <row r="3025" spans="1:3" x14ac:dyDescent="0.25">
      <c r="A3025" s="1" t="s">
        <v>6051</v>
      </c>
      <c r="B3025" s="1" t="s">
        <v>6052</v>
      </c>
      <c r="C3025" s="1" t="s">
        <v>5</v>
      </c>
    </row>
    <row r="3026" spans="1:3" x14ac:dyDescent="0.25">
      <c r="A3026" s="1" t="s">
        <v>6053</v>
      </c>
      <c r="B3026" s="1" t="s">
        <v>6054</v>
      </c>
      <c r="C3026" s="1" t="s">
        <v>5</v>
      </c>
    </row>
    <row r="3027" spans="1:3" x14ac:dyDescent="0.25">
      <c r="A3027" s="1" t="s">
        <v>6055</v>
      </c>
      <c r="B3027" s="1" t="s">
        <v>6056</v>
      </c>
      <c r="C3027" s="1" t="s">
        <v>5</v>
      </c>
    </row>
    <row r="3028" spans="1:3" x14ac:dyDescent="0.25">
      <c r="A3028" s="1" t="s">
        <v>6057</v>
      </c>
      <c r="B3028" s="1" t="s">
        <v>6058</v>
      </c>
      <c r="C3028" s="1" t="s">
        <v>5</v>
      </c>
    </row>
    <row r="3029" spans="1:3" x14ac:dyDescent="0.25">
      <c r="A3029" s="1" t="s">
        <v>6059</v>
      </c>
      <c r="B3029" s="1" t="s">
        <v>6060</v>
      </c>
      <c r="C3029" s="1" t="s">
        <v>5</v>
      </c>
    </row>
    <row r="3030" spans="1:3" x14ac:dyDescent="0.25">
      <c r="A3030" s="1" t="s">
        <v>6061</v>
      </c>
      <c r="B3030" s="1" t="s">
        <v>6062</v>
      </c>
      <c r="C3030" s="1" t="s">
        <v>5</v>
      </c>
    </row>
    <row r="3031" spans="1:3" x14ac:dyDescent="0.25">
      <c r="A3031" s="1" t="s">
        <v>6063</v>
      </c>
      <c r="B3031" s="1" t="s">
        <v>6064</v>
      </c>
      <c r="C3031" s="1" t="s">
        <v>5</v>
      </c>
    </row>
    <row r="3032" spans="1:3" x14ac:dyDescent="0.25">
      <c r="A3032" s="1" t="s">
        <v>6065</v>
      </c>
      <c r="B3032" s="1" t="s">
        <v>6066</v>
      </c>
      <c r="C3032" s="1" t="s">
        <v>5</v>
      </c>
    </row>
    <row r="3033" spans="1:3" x14ac:dyDescent="0.25">
      <c r="A3033" s="1" t="s">
        <v>6067</v>
      </c>
      <c r="B3033" s="1" t="s">
        <v>6068</v>
      </c>
      <c r="C3033" s="1" t="s">
        <v>5</v>
      </c>
    </row>
    <row r="3034" spans="1:3" x14ac:dyDescent="0.25">
      <c r="A3034" s="1" t="s">
        <v>6069</v>
      </c>
      <c r="B3034" s="1" t="s">
        <v>6070</v>
      </c>
      <c r="C3034" s="1" t="s">
        <v>5</v>
      </c>
    </row>
    <row r="3035" spans="1:3" x14ac:dyDescent="0.25">
      <c r="A3035" s="1" t="s">
        <v>6071</v>
      </c>
      <c r="B3035" s="1" t="s">
        <v>6072</v>
      </c>
      <c r="C3035" s="1" t="s">
        <v>5</v>
      </c>
    </row>
    <row r="3036" spans="1:3" x14ac:dyDescent="0.25">
      <c r="A3036" s="1" t="s">
        <v>6073</v>
      </c>
      <c r="B3036" s="1" t="s">
        <v>6074</v>
      </c>
      <c r="C3036" s="1" t="s">
        <v>5</v>
      </c>
    </row>
    <row r="3037" spans="1:3" x14ac:dyDescent="0.25">
      <c r="A3037" s="1" t="s">
        <v>6075</v>
      </c>
      <c r="B3037" s="1" t="s">
        <v>6076</v>
      </c>
      <c r="C3037" s="1" t="s">
        <v>5</v>
      </c>
    </row>
    <row r="3038" spans="1:3" x14ac:dyDescent="0.25">
      <c r="A3038" s="1" t="s">
        <v>6077</v>
      </c>
      <c r="B3038" s="1" t="s">
        <v>6078</v>
      </c>
      <c r="C3038" s="1" t="s">
        <v>5</v>
      </c>
    </row>
    <row r="3039" spans="1:3" x14ac:dyDescent="0.25">
      <c r="A3039" s="1" t="s">
        <v>6079</v>
      </c>
      <c r="B3039" s="1" t="s">
        <v>6080</v>
      </c>
      <c r="C3039" s="1" t="s">
        <v>5</v>
      </c>
    </row>
    <row r="3040" spans="1:3" x14ac:dyDescent="0.25">
      <c r="A3040" s="1" t="s">
        <v>6081</v>
      </c>
      <c r="B3040" s="1" t="s">
        <v>6082</v>
      </c>
      <c r="C3040" s="1" t="s">
        <v>5</v>
      </c>
    </row>
    <row r="3041" spans="1:3" x14ac:dyDescent="0.25">
      <c r="A3041" s="1" t="s">
        <v>6083</v>
      </c>
      <c r="B3041" s="1" t="s">
        <v>6084</v>
      </c>
      <c r="C3041" s="1" t="s">
        <v>5</v>
      </c>
    </row>
    <row r="3042" spans="1:3" x14ac:dyDescent="0.25">
      <c r="A3042" s="1" t="s">
        <v>6085</v>
      </c>
      <c r="B3042" s="1" t="s">
        <v>6086</v>
      </c>
      <c r="C3042" s="1" t="s">
        <v>5</v>
      </c>
    </row>
    <row r="3043" spans="1:3" x14ac:dyDescent="0.25">
      <c r="A3043" s="1" t="s">
        <v>6087</v>
      </c>
      <c r="B3043" s="1" t="s">
        <v>6088</v>
      </c>
      <c r="C3043" s="1" t="s">
        <v>5</v>
      </c>
    </row>
    <row r="3044" spans="1:3" x14ac:dyDescent="0.25">
      <c r="A3044" s="1" t="s">
        <v>6089</v>
      </c>
      <c r="B3044" s="1" t="s">
        <v>6090</v>
      </c>
      <c r="C3044" s="1" t="s">
        <v>5</v>
      </c>
    </row>
    <row r="3045" spans="1:3" x14ac:dyDescent="0.25">
      <c r="A3045" s="1" t="s">
        <v>6091</v>
      </c>
      <c r="B3045" s="1" t="s">
        <v>6092</v>
      </c>
      <c r="C3045" s="1" t="s">
        <v>5</v>
      </c>
    </row>
    <row r="3046" spans="1:3" x14ac:dyDescent="0.25">
      <c r="A3046" s="1" t="s">
        <v>6093</v>
      </c>
      <c r="B3046" s="1" t="s">
        <v>6094</v>
      </c>
      <c r="C3046" s="1" t="s">
        <v>5</v>
      </c>
    </row>
    <row r="3047" spans="1:3" x14ac:dyDescent="0.25">
      <c r="A3047" s="1" t="s">
        <v>6095</v>
      </c>
      <c r="B3047" s="1" t="s">
        <v>6096</v>
      </c>
      <c r="C3047" s="1" t="s">
        <v>5</v>
      </c>
    </row>
    <row r="3048" spans="1:3" x14ac:dyDescent="0.25">
      <c r="A3048" s="1" t="s">
        <v>6097</v>
      </c>
      <c r="B3048" s="1" t="s">
        <v>6098</v>
      </c>
      <c r="C3048" s="1" t="s">
        <v>5</v>
      </c>
    </row>
    <row r="3049" spans="1:3" x14ac:dyDescent="0.25">
      <c r="A3049" s="1" t="s">
        <v>6099</v>
      </c>
      <c r="B3049" s="1" t="s">
        <v>6100</v>
      </c>
      <c r="C3049" s="1" t="s">
        <v>5</v>
      </c>
    </row>
    <row r="3050" spans="1:3" x14ac:dyDescent="0.25">
      <c r="A3050" s="1" t="s">
        <v>6101</v>
      </c>
      <c r="B3050" s="1" t="s">
        <v>6102</v>
      </c>
      <c r="C3050" s="1" t="s">
        <v>5</v>
      </c>
    </row>
    <row r="3051" spans="1:3" x14ac:dyDescent="0.25">
      <c r="A3051" s="1" t="s">
        <v>6103</v>
      </c>
      <c r="B3051" s="1" t="s">
        <v>6104</v>
      </c>
      <c r="C3051" s="1" t="s">
        <v>5</v>
      </c>
    </row>
    <row r="3052" spans="1:3" x14ac:dyDescent="0.25">
      <c r="A3052" s="1" t="s">
        <v>6105</v>
      </c>
      <c r="B3052" s="1" t="s">
        <v>6106</v>
      </c>
      <c r="C3052" s="1" t="s">
        <v>5</v>
      </c>
    </row>
    <row r="3053" spans="1:3" x14ac:dyDescent="0.25">
      <c r="A3053" s="1" t="s">
        <v>6107</v>
      </c>
      <c r="B3053" s="1" t="s">
        <v>6108</v>
      </c>
      <c r="C3053" s="1" t="s">
        <v>5</v>
      </c>
    </row>
    <row r="3054" spans="1:3" x14ac:dyDescent="0.25">
      <c r="A3054" s="1" t="s">
        <v>6109</v>
      </c>
      <c r="B3054" s="1" t="s">
        <v>6110</v>
      </c>
      <c r="C3054" s="1" t="s">
        <v>5</v>
      </c>
    </row>
    <row r="3055" spans="1:3" x14ac:dyDescent="0.25">
      <c r="A3055" s="1" t="s">
        <v>6111</v>
      </c>
      <c r="B3055" s="1" t="s">
        <v>6112</v>
      </c>
      <c r="C3055" s="1" t="s">
        <v>5</v>
      </c>
    </row>
    <row r="3056" spans="1:3" x14ac:dyDescent="0.25">
      <c r="A3056" s="1" t="s">
        <v>6113</v>
      </c>
      <c r="B3056" s="1" t="s">
        <v>6114</v>
      </c>
      <c r="C3056" s="1" t="s">
        <v>5</v>
      </c>
    </row>
    <row r="3057" spans="1:3" x14ac:dyDescent="0.25">
      <c r="A3057" s="1" t="s">
        <v>6115</v>
      </c>
      <c r="B3057" s="1" t="s">
        <v>6116</v>
      </c>
      <c r="C3057" s="1" t="s">
        <v>5</v>
      </c>
    </row>
    <row r="3058" spans="1:3" x14ac:dyDescent="0.25">
      <c r="A3058" s="1" t="s">
        <v>6117</v>
      </c>
      <c r="B3058" s="1" t="s">
        <v>6118</v>
      </c>
      <c r="C3058" s="1" t="s">
        <v>5</v>
      </c>
    </row>
    <row r="3059" spans="1:3" x14ac:dyDescent="0.25">
      <c r="A3059" s="1" t="s">
        <v>6119</v>
      </c>
      <c r="B3059" s="1" t="s">
        <v>6120</v>
      </c>
      <c r="C3059" s="1" t="s">
        <v>5</v>
      </c>
    </row>
    <row r="3060" spans="1:3" x14ac:dyDescent="0.25">
      <c r="A3060" s="1" t="s">
        <v>6121</v>
      </c>
      <c r="B3060" s="1" t="s">
        <v>6122</v>
      </c>
      <c r="C3060" s="1" t="s">
        <v>5</v>
      </c>
    </row>
    <row r="3061" spans="1:3" x14ac:dyDescent="0.25">
      <c r="A3061" s="1" t="s">
        <v>6123</v>
      </c>
      <c r="B3061" s="1" t="s">
        <v>6124</v>
      </c>
      <c r="C3061" s="1" t="s">
        <v>5</v>
      </c>
    </row>
    <row r="3062" spans="1:3" x14ac:dyDescent="0.25">
      <c r="A3062" s="1" t="s">
        <v>6125</v>
      </c>
      <c r="B3062" s="1" t="s">
        <v>6126</v>
      </c>
      <c r="C3062" s="1" t="s">
        <v>5</v>
      </c>
    </row>
    <row r="3063" spans="1:3" x14ac:dyDescent="0.25">
      <c r="A3063" s="1" t="s">
        <v>6127</v>
      </c>
      <c r="B3063" s="1" t="s">
        <v>6128</v>
      </c>
      <c r="C3063" s="1" t="s">
        <v>5</v>
      </c>
    </row>
    <row r="3064" spans="1:3" x14ac:dyDescent="0.25">
      <c r="A3064" s="1" t="s">
        <v>6129</v>
      </c>
      <c r="B3064" s="1" t="s">
        <v>6130</v>
      </c>
      <c r="C3064" s="1" t="s">
        <v>5</v>
      </c>
    </row>
    <row r="3065" spans="1:3" x14ac:dyDescent="0.25">
      <c r="A3065" s="1" t="s">
        <v>6131</v>
      </c>
      <c r="B3065" s="1" t="s">
        <v>6132</v>
      </c>
      <c r="C3065" s="1" t="s">
        <v>5</v>
      </c>
    </row>
    <row r="3066" spans="1:3" x14ac:dyDescent="0.25">
      <c r="A3066" s="1" t="s">
        <v>6133</v>
      </c>
      <c r="B3066" s="1" t="s">
        <v>6134</v>
      </c>
      <c r="C3066" s="1" t="s">
        <v>5</v>
      </c>
    </row>
    <row r="3067" spans="1:3" x14ac:dyDescent="0.25">
      <c r="A3067" s="1" t="s">
        <v>6135</v>
      </c>
      <c r="B3067" s="1" t="s">
        <v>6136</v>
      </c>
      <c r="C3067" s="1" t="s">
        <v>5</v>
      </c>
    </row>
    <row r="3068" spans="1:3" x14ac:dyDescent="0.25">
      <c r="A3068" s="1" t="s">
        <v>6137</v>
      </c>
      <c r="B3068" s="1" t="s">
        <v>6138</v>
      </c>
      <c r="C3068" s="1" t="s">
        <v>5</v>
      </c>
    </row>
    <row r="3069" spans="1:3" x14ac:dyDescent="0.25">
      <c r="A3069" s="1" t="s">
        <v>6139</v>
      </c>
      <c r="B3069" s="1" t="s">
        <v>6140</v>
      </c>
      <c r="C3069" s="1" t="s">
        <v>5</v>
      </c>
    </row>
    <row r="3070" spans="1:3" x14ac:dyDescent="0.25">
      <c r="A3070" s="1" t="s">
        <v>6141</v>
      </c>
      <c r="B3070" s="1" t="s">
        <v>6142</v>
      </c>
      <c r="C3070" s="1" t="s">
        <v>5</v>
      </c>
    </row>
    <row r="3071" spans="1:3" x14ac:dyDescent="0.25">
      <c r="A3071" s="1" t="s">
        <v>6143</v>
      </c>
      <c r="B3071" s="1" t="s">
        <v>6144</v>
      </c>
      <c r="C3071" s="1" t="s">
        <v>5</v>
      </c>
    </row>
    <row r="3072" spans="1:3" x14ac:dyDescent="0.25">
      <c r="A3072" s="1" t="s">
        <v>6145</v>
      </c>
      <c r="B3072" s="1" t="s">
        <v>6146</v>
      </c>
      <c r="C3072" s="1" t="s">
        <v>5</v>
      </c>
    </row>
    <row r="3073" spans="1:3" x14ac:dyDescent="0.25">
      <c r="A3073" s="1" t="s">
        <v>6147</v>
      </c>
      <c r="B3073" s="1" t="s">
        <v>6148</v>
      </c>
      <c r="C3073" s="1" t="s">
        <v>5</v>
      </c>
    </row>
    <row r="3074" spans="1:3" x14ac:dyDescent="0.25">
      <c r="A3074" s="1" t="s">
        <v>6149</v>
      </c>
      <c r="B3074" s="1" t="s">
        <v>6150</v>
      </c>
      <c r="C3074" s="1" t="s">
        <v>5</v>
      </c>
    </row>
    <row r="3075" spans="1:3" x14ac:dyDescent="0.25">
      <c r="A3075" s="1" t="s">
        <v>6151</v>
      </c>
      <c r="B3075" s="1" t="s">
        <v>6152</v>
      </c>
      <c r="C3075" s="1" t="s">
        <v>5</v>
      </c>
    </row>
    <row r="3076" spans="1:3" x14ac:dyDescent="0.25">
      <c r="A3076" s="1" t="s">
        <v>6153</v>
      </c>
      <c r="B3076" s="1" t="s">
        <v>6154</v>
      </c>
      <c r="C3076" s="1" t="s">
        <v>5</v>
      </c>
    </row>
    <row r="3077" spans="1:3" x14ac:dyDescent="0.25">
      <c r="A3077" s="1" t="s">
        <v>6155</v>
      </c>
      <c r="B3077" s="1" t="s">
        <v>6156</v>
      </c>
      <c r="C3077" s="1" t="s">
        <v>5</v>
      </c>
    </row>
    <row r="3078" spans="1:3" x14ac:dyDescent="0.25">
      <c r="A3078" s="1" t="s">
        <v>6157</v>
      </c>
      <c r="B3078" s="1" t="s">
        <v>6158</v>
      </c>
      <c r="C3078" s="1" t="s">
        <v>5</v>
      </c>
    </row>
    <row r="3079" spans="1:3" x14ac:dyDescent="0.25">
      <c r="A3079" s="1" t="s">
        <v>6159</v>
      </c>
      <c r="B3079" s="1" t="s">
        <v>6160</v>
      </c>
      <c r="C3079" s="1" t="s">
        <v>5</v>
      </c>
    </row>
    <row r="3080" spans="1:3" x14ac:dyDescent="0.25">
      <c r="A3080" s="1" t="s">
        <v>6161</v>
      </c>
      <c r="B3080" s="1" t="s">
        <v>6162</v>
      </c>
      <c r="C3080" s="1" t="s">
        <v>5</v>
      </c>
    </row>
    <row r="3081" spans="1:3" x14ac:dyDescent="0.25">
      <c r="A3081" s="1" t="s">
        <v>6163</v>
      </c>
      <c r="B3081" s="1" t="s">
        <v>6164</v>
      </c>
      <c r="C3081" s="1" t="s">
        <v>5</v>
      </c>
    </row>
    <row r="3082" spans="1:3" x14ac:dyDescent="0.25">
      <c r="A3082" s="1" t="s">
        <v>6165</v>
      </c>
      <c r="B3082" s="1" t="s">
        <v>6166</v>
      </c>
      <c r="C3082" s="1" t="s">
        <v>5</v>
      </c>
    </row>
    <row r="3083" spans="1:3" x14ac:dyDescent="0.25">
      <c r="A3083" s="1" t="s">
        <v>6167</v>
      </c>
      <c r="B3083" s="1" t="s">
        <v>6168</v>
      </c>
      <c r="C3083" s="1" t="s">
        <v>5</v>
      </c>
    </row>
    <row r="3084" spans="1:3" x14ac:dyDescent="0.25">
      <c r="A3084" s="1" t="s">
        <v>6169</v>
      </c>
      <c r="B3084" s="1" t="s">
        <v>6170</v>
      </c>
      <c r="C3084" s="1" t="s">
        <v>5</v>
      </c>
    </row>
    <row r="3085" spans="1:3" x14ac:dyDescent="0.25">
      <c r="A3085" s="1" t="s">
        <v>6171</v>
      </c>
      <c r="B3085" s="1" t="s">
        <v>6172</v>
      </c>
      <c r="C3085" s="1" t="s">
        <v>5</v>
      </c>
    </row>
    <row r="3086" spans="1:3" x14ac:dyDescent="0.25">
      <c r="A3086" s="1" t="s">
        <v>6173</v>
      </c>
      <c r="B3086" s="1" t="s">
        <v>6174</v>
      </c>
      <c r="C3086" s="1" t="s">
        <v>5</v>
      </c>
    </row>
    <row r="3087" spans="1:3" x14ac:dyDescent="0.25">
      <c r="A3087" s="1" t="s">
        <v>6175</v>
      </c>
      <c r="B3087" s="1" t="s">
        <v>6176</v>
      </c>
      <c r="C3087" s="1" t="s">
        <v>5</v>
      </c>
    </row>
    <row r="3088" spans="1:3" x14ac:dyDescent="0.25">
      <c r="A3088" s="1" t="s">
        <v>6177</v>
      </c>
      <c r="B3088" s="1" t="s">
        <v>6178</v>
      </c>
      <c r="C3088" s="1" t="s">
        <v>5</v>
      </c>
    </row>
    <row r="3089" spans="1:3" x14ac:dyDescent="0.25">
      <c r="A3089" s="1" t="s">
        <v>6179</v>
      </c>
      <c r="B3089" s="1" t="s">
        <v>6180</v>
      </c>
      <c r="C3089" s="1" t="s">
        <v>5</v>
      </c>
    </row>
    <row r="3090" spans="1:3" x14ac:dyDescent="0.25">
      <c r="A3090" s="1" t="s">
        <v>6181</v>
      </c>
      <c r="B3090" s="1" t="s">
        <v>6182</v>
      </c>
      <c r="C3090" s="1" t="s">
        <v>5</v>
      </c>
    </row>
    <row r="3091" spans="1:3" x14ac:dyDescent="0.25">
      <c r="A3091" s="1" t="s">
        <v>6183</v>
      </c>
      <c r="B3091" s="1" t="s">
        <v>6184</v>
      </c>
      <c r="C3091" s="1" t="s">
        <v>5</v>
      </c>
    </row>
    <row r="3092" spans="1:3" x14ac:dyDescent="0.25">
      <c r="A3092" s="1" t="s">
        <v>6185</v>
      </c>
      <c r="B3092" s="1" t="s">
        <v>6186</v>
      </c>
      <c r="C3092" s="1" t="s">
        <v>5</v>
      </c>
    </row>
    <row r="3093" spans="1:3" x14ac:dyDescent="0.25">
      <c r="A3093" s="1" t="s">
        <v>6187</v>
      </c>
      <c r="B3093" s="1" t="s">
        <v>6188</v>
      </c>
      <c r="C3093" s="1" t="s">
        <v>5</v>
      </c>
    </row>
    <row r="3094" spans="1:3" x14ac:dyDescent="0.25">
      <c r="A3094" s="1" t="s">
        <v>6189</v>
      </c>
      <c r="B3094" s="1" t="s">
        <v>6190</v>
      </c>
      <c r="C3094" s="1" t="s">
        <v>5</v>
      </c>
    </row>
    <row r="3095" spans="1:3" x14ac:dyDescent="0.25">
      <c r="A3095" s="1" t="s">
        <v>6191</v>
      </c>
      <c r="B3095" s="1" t="s">
        <v>6192</v>
      </c>
      <c r="C3095" s="1" t="s">
        <v>5</v>
      </c>
    </row>
    <row r="3096" spans="1:3" x14ac:dyDescent="0.25">
      <c r="A3096" s="1" t="s">
        <v>6193</v>
      </c>
      <c r="B3096" s="1" t="s">
        <v>6194</v>
      </c>
      <c r="C3096" s="1" t="s">
        <v>5</v>
      </c>
    </row>
    <row r="3097" spans="1:3" x14ac:dyDescent="0.25">
      <c r="A3097" s="1" t="s">
        <v>6195</v>
      </c>
      <c r="B3097" s="1" t="s">
        <v>6196</v>
      </c>
      <c r="C3097" s="1" t="s">
        <v>5</v>
      </c>
    </row>
    <row r="3098" spans="1:3" x14ac:dyDescent="0.25">
      <c r="A3098" s="1" t="s">
        <v>6197</v>
      </c>
      <c r="B3098" s="1" t="s">
        <v>6198</v>
      </c>
      <c r="C3098" s="1" t="s">
        <v>5</v>
      </c>
    </row>
    <row r="3099" spans="1:3" x14ac:dyDescent="0.25">
      <c r="A3099" s="1" t="s">
        <v>6199</v>
      </c>
      <c r="B3099" s="1" t="s">
        <v>6200</v>
      </c>
      <c r="C3099" s="1" t="s">
        <v>5</v>
      </c>
    </row>
    <row r="3100" spans="1:3" x14ac:dyDescent="0.25">
      <c r="A3100" s="1" t="s">
        <v>6201</v>
      </c>
      <c r="B3100" s="1" t="s">
        <v>6202</v>
      </c>
      <c r="C3100" s="1" t="s">
        <v>5</v>
      </c>
    </row>
    <row r="3101" spans="1:3" x14ac:dyDescent="0.25">
      <c r="A3101" s="1" t="s">
        <v>6203</v>
      </c>
      <c r="B3101" s="1" t="s">
        <v>6204</v>
      </c>
      <c r="C3101" s="1" t="s">
        <v>5</v>
      </c>
    </row>
    <row r="3102" spans="1:3" x14ac:dyDescent="0.25">
      <c r="A3102" s="1" t="s">
        <v>6205</v>
      </c>
      <c r="B3102" s="1" t="s">
        <v>6206</v>
      </c>
      <c r="C3102" s="1" t="s">
        <v>5</v>
      </c>
    </row>
    <row r="3103" spans="1:3" x14ac:dyDescent="0.25">
      <c r="A3103" s="1" t="s">
        <v>6207</v>
      </c>
      <c r="B3103" s="1" t="s">
        <v>6208</v>
      </c>
      <c r="C3103" s="1" t="s">
        <v>5</v>
      </c>
    </row>
    <row r="3104" spans="1:3" x14ac:dyDescent="0.25">
      <c r="A3104" s="1" t="s">
        <v>6209</v>
      </c>
      <c r="B3104" s="1" t="s">
        <v>6210</v>
      </c>
      <c r="C3104" s="1" t="s">
        <v>5</v>
      </c>
    </row>
    <row r="3105" spans="1:3" x14ac:dyDescent="0.25">
      <c r="A3105" s="1" t="s">
        <v>6211</v>
      </c>
      <c r="B3105" s="1" t="s">
        <v>6212</v>
      </c>
      <c r="C3105" s="1" t="s">
        <v>5</v>
      </c>
    </row>
    <row r="3106" spans="1:3" x14ac:dyDescent="0.25">
      <c r="A3106" s="1" t="s">
        <v>6213</v>
      </c>
      <c r="B3106" s="1" t="s">
        <v>6214</v>
      </c>
      <c r="C3106" s="1" t="s">
        <v>5</v>
      </c>
    </row>
    <row r="3107" spans="1:3" x14ac:dyDescent="0.25">
      <c r="A3107" s="1" t="s">
        <v>6215</v>
      </c>
      <c r="B3107" s="1" t="s">
        <v>6216</v>
      </c>
      <c r="C3107" s="1" t="s">
        <v>5</v>
      </c>
    </row>
    <row r="3108" spans="1:3" x14ac:dyDescent="0.25">
      <c r="A3108" s="1" t="s">
        <v>6217</v>
      </c>
      <c r="B3108" s="1" t="s">
        <v>6218</v>
      </c>
      <c r="C3108" s="1" t="s">
        <v>5</v>
      </c>
    </row>
    <row r="3109" spans="1:3" x14ac:dyDescent="0.25">
      <c r="A3109" s="1" t="s">
        <v>6219</v>
      </c>
      <c r="B3109" s="1" t="s">
        <v>6220</v>
      </c>
      <c r="C3109" s="1" t="s">
        <v>5</v>
      </c>
    </row>
    <row r="3110" spans="1:3" x14ac:dyDescent="0.25">
      <c r="A3110" s="1" t="s">
        <v>6221</v>
      </c>
      <c r="B3110" s="1" t="s">
        <v>6222</v>
      </c>
      <c r="C3110" s="1" t="s">
        <v>5</v>
      </c>
    </row>
    <row r="3111" spans="1:3" x14ac:dyDescent="0.25">
      <c r="A3111" s="1" t="s">
        <v>6223</v>
      </c>
      <c r="B3111" s="1" t="s">
        <v>6224</v>
      </c>
      <c r="C3111" s="1" t="s">
        <v>5</v>
      </c>
    </row>
    <row r="3112" spans="1:3" x14ac:dyDescent="0.25">
      <c r="A3112" s="1" t="s">
        <v>6225</v>
      </c>
      <c r="B3112" s="1" t="s">
        <v>6226</v>
      </c>
      <c r="C3112" s="1" t="s">
        <v>5</v>
      </c>
    </row>
    <row r="3113" spans="1:3" x14ac:dyDescent="0.25">
      <c r="A3113" s="1" t="s">
        <v>6227</v>
      </c>
      <c r="B3113" s="1" t="s">
        <v>6228</v>
      </c>
      <c r="C3113" s="1" t="s">
        <v>5</v>
      </c>
    </row>
    <row r="3114" spans="1:3" x14ac:dyDescent="0.25">
      <c r="A3114" s="1" t="s">
        <v>6229</v>
      </c>
      <c r="B3114" s="1" t="s">
        <v>6230</v>
      </c>
      <c r="C3114" s="1" t="s">
        <v>5</v>
      </c>
    </row>
    <row r="3115" spans="1:3" x14ac:dyDescent="0.25">
      <c r="A3115" s="1" t="s">
        <v>6231</v>
      </c>
      <c r="B3115" s="1" t="s">
        <v>6232</v>
      </c>
      <c r="C3115" s="1" t="s">
        <v>5</v>
      </c>
    </row>
    <row r="3116" spans="1:3" x14ac:dyDescent="0.25">
      <c r="A3116" s="1" t="s">
        <v>6233</v>
      </c>
      <c r="B3116" s="1" t="s">
        <v>6234</v>
      </c>
      <c r="C3116" s="1" t="s">
        <v>5</v>
      </c>
    </row>
    <row r="3117" spans="1:3" x14ac:dyDescent="0.25">
      <c r="A3117" s="1" t="s">
        <v>6235</v>
      </c>
      <c r="B3117" s="1" t="s">
        <v>6236</v>
      </c>
      <c r="C3117" s="1" t="s">
        <v>5</v>
      </c>
    </row>
    <row r="3118" spans="1:3" x14ac:dyDescent="0.25">
      <c r="A3118" s="1" t="s">
        <v>6237</v>
      </c>
      <c r="B3118" s="1" t="s">
        <v>6238</v>
      </c>
      <c r="C3118" s="1" t="s">
        <v>5</v>
      </c>
    </row>
    <row r="3119" spans="1:3" x14ac:dyDescent="0.25">
      <c r="A3119" s="1" t="s">
        <v>6239</v>
      </c>
      <c r="B3119" s="1" t="s">
        <v>6240</v>
      </c>
      <c r="C3119" s="1" t="s">
        <v>5</v>
      </c>
    </row>
    <row r="3120" spans="1:3" x14ac:dyDescent="0.25">
      <c r="A3120" s="1" t="s">
        <v>6241</v>
      </c>
      <c r="B3120" s="1" t="s">
        <v>6242</v>
      </c>
      <c r="C3120" s="1" t="s">
        <v>5</v>
      </c>
    </row>
    <row r="3121" spans="1:3" x14ac:dyDescent="0.25">
      <c r="A3121" s="1" t="s">
        <v>6243</v>
      </c>
      <c r="B3121" s="1" t="s">
        <v>6244</v>
      </c>
      <c r="C3121" s="1" t="s">
        <v>5</v>
      </c>
    </row>
    <row r="3122" spans="1:3" x14ac:dyDescent="0.25">
      <c r="A3122" s="1" t="s">
        <v>6245</v>
      </c>
      <c r="B3122" s="1" t="s">
        <v>6246</v>
      </c>
      <c r="C3122" s="1" t="s">
        <v>5</v>
      </c>
    </row>
    <row r="3123" spans="1:3" x14ac:dyDescent="0.25">
      <c r="A3123" s="1" t="s">
        <v>6247</v>
      </c>
      <c r="B3123" s="1" t="s">
        <v>6248</v>
      </c>
      <c r="C3123" s="1" t="s">
        <v>5</v>
      </c>
    </row>
    <row r="3124" spans="1:3" x14ac:dyDescent="0.25">
      <c r="A3124" s="1" t="s">
        <v>6249</v>
      </c>
      <c r="B3124" s="1" t="s">
        <v>6250</v>
      </c>
      <c r="C3124" s="1" t="s">
        <v>5</v>
      </c>
    </row>
    <row r="3125" spans="1:3" x14ac:dyDescent="0.25">
      <c r="A3125" s="1" t="s">
        <v>6251</v>
      </c>
      <c r="B3125" s="1" t="s">
        <v>6252</v>
      </c>
      <c r="C3125" s="1" t="s">
        <v>5</v>
      </c>
    </row>
    <row r="3126" spans="1:3" x14ac:dyDescent="0.25">
      <c r="A3126" s="1" t="s">
        <v>6253</v>
      </c>
      <c r="B3126" s="1" t="s">
        <v>6254</v>
      </c>
      <c r="C3126" s="1" t="s">
        <v>5</v>
      </c>
    </row>
    <row r="3127" spans="1:3" x14ac:dyDescent="0.25">
      <c r="A3127" s="1" t="s">
        <v>6255</v>
      </c>
      <c r="B3127" s="1" t="s">
        <v>6256</v>
      </c>
      <c r="C3127" s="1" t="s">
        <v>5</v>
      </c>
    </row>
    <row r="3128" spans="1:3" x14ac:dyDescent="0.25">
      <c r="A3128" s="1" t="s">
        <v>6257</v>
      </c>
      <c r="B3128" s="1" t="s">
        <v>6258</v>
      </c>
      <c r="C3128" s="1" t="s">
        <v>5</v>
      </c>
    </row>
    <row r="3129" spans="1:3" x14ac:dyDescent="0.25">
      <c r="A3129" s="1" t="s">
        <v>6259</v>
      </c>
      <c r="B3129" s="1" t="s">
        <v>6260</v>
      </c>
      <c r="C3129" s="1" t="s">
        <v>5</v>
      </c>
    </row>
    <row r="3130" spans="1:3" x14ac:dyDescent="0.25">
      <c r="A3130" s="1" t="s">
        <v>6261</v>
      </c>
      <c r="B3130" s="1" t="s">
        <v>6262</v>
      </c>
      <c r="C3130" s="1" t="s">
        <v>5</v>
      </c>
    </row>
    <row r="3131" spans="1:3" x14ac:dyDescent="0.25">
      <c r="A3131" s="1" t="s">
        <v>6263</v>
      </c>
      <c r="B3131" s="1" t="s">
        <v>6264</v>
      </c>
      <c r="C3131" s="1" t="s">
        <v>5</v>
      </c>
    </row>
    <row r="3132" spans="1:3" x14ac:dyDescent="0.25">
      <c r="A3132" s="1" t="s">
        <v>6265</v>
      </c>
      <c r="B3132" s="1" t="s">
        <v>6266</v>
      </c>
      <c r="C3132" s="1" t="s">
        <v>5</v>
      </c>
    </row>
    <row r="3133" spans="1:3" x14ac:dyDescent="0.25">
      <c r="A3133" s="1" t="s">
        <v>6267</v>
      </c>
      <c r="B3133" s="1" t="s">
        <v>6268</v>
      </c>
      <c r="C3133" s="1" t="s">
        <v>5</v>
      </c>
    </row>
    <row r="3134" spans="1:3" x14ac:dyDescent="0.25">
      <c r="A3134" s="1" t="s">
        <v>6269</v>
      </c>
      <c r="B3134" s="1" t="s">
        <v>6270</v>
      </c>
      <c r="C3134" s="1" t="s">
        <v>5</v>
      </c>
    </row>
    <row r="3135" spans="1:3" x14ac:dyDescent="0.25">
      <c r="A3135" s="1" t="s">
        <v>6271</v>
      </c>
      <c r="B3135" s="1" t="s">
        <v>6272</v>
      </c>
      <c r="C3135" s="1" t="s">
        <v>5</v>
      </c>
    </row>
    <row r="3136" spans="1:3" x14ac:dyDescent="0.25">
      <c r="A3136" s="1" t="s">
        <v>6273</v>
      </c>
      <c r="B3136" s="1" t="s">
        <v>6274</v>
      </c>
      <c r="C3136" s="1" t="s">
        <v>5</v>
      </c>
    </row>
    <row r="3137" spans="1:3" x14ac:dyDescent="0.25">
      <c r="A3137" s="1" t="s">
        <v>6275</v>
      </c>
      <c r="B3137" s="1" t="s">
        <v>6276</v>
      </c>
      <c r="C3137" s="1" t="s">
        <v>5</v>
      </c>
    </row>
    <row r="3138" spans="1:3" x14ac:dyDescent="0.25">
      <c r="A3138" s="1" t="s">
        <v>6277</v>
      </c>
      <c r="B3138" s="1" t="s">
        <v>6278</v>
      </c>
      <c r="C3138" s="1" t="s">
        <v>5</v>
      </c>
    </row>
    <row r="3139" spans="1:3" x14ac:dyDescent="0.25">
      <c r="A3139" s="1" t="s">
        <v>6279</v>
      </c>
      <c r="B3139" s="1" t="s">
        <v>6280</v>
      </c>
      <c r="C3139" s="1" t="s">
        <v>5</v>
      </c>
    </row>
    <row r="3140" spans="1:3" x14ac:dyDescent="0.25">
      <c r="A3140" s="1" t="s">
        <v>6281</v>
      </c>
      <c r="B3140" s="1" t="s">
        <v>6282</v>
      </c>
      <c r="C3140" s="1" t="s">
        <v>5</v>
      </c>
    </row>
    <row r="3141" spans="1:3" x14ac:dyDescent="0.25">
      <c r="A3141" s="1" t="s">
        <v>6283</v>
      </c>
      <c r="B3141" s="1" t="s">
        <v>6284</v>
      </c>
      <c r="C3141" s="1" t="s">
        <v>5</v>
      </c>
    </row>
    <row r="3142" spans="1:3" x14ac:dyDescent="0.25">
      <c r="A3142" s="1" t="s">
        <v>6285</v>
      </c>
      <c r="B3142" s="1" t="s">
        <v>6286</v>
      </c>
      <c r="C3142" s="1" t="s">
        <v>5</v>
      </c>
    </row>
    <row r="3143" spans="1:3" x14ac:dyDescent="0.25">
      <c r="A3143" s="1" t="s">
        <v>6287</v>
      </c>
      <c r="B3143" s="1" t="s">
        <v>6288</v>
      </c>
      <c r="C3143" s="1" t="s">
        <v>5</v>
      </c>
    </row>
    <row r="3144" spans="1:3" x14ac:dyDescent="0.25">
      <c r="A3144" s="1" t="s">
        <v>6289</v>
      </c>
      <c r="B3144" s="1" t="s">
        <v>6290</v>
      </c>
      <c r="C3144" s="1" t="s">
        <v>5</v>
      </c>
    </row>
    <row r="3145" spans="1:3" x14ac:dyDescent="0.25">
      <c r="A3145" s="1" t="s">
        <v>6291</v>
      </c>
      <c r="B3145" s="1" t="s">
        <v>6292</v>
      </c>
      <c r="C3145" s="1" t="s">
        <v>5</v>
      </c>
    </row>
    <row r="3146" spans="1:3" x14ac:dyDescent="0.25">
      <c r="A3146" s="1" t="s">
        <v>6293</v>
      </c>
      <c r="B3146" s="1" t="s">
        <v>6294</v>
      </c>
      <c r="C3146" s="1" t="s">
        <v>5</v>
      </c>
    </row>
    <row r="3147" spans="1:3" x14ac:dyDescent="0.25">
      <c r="A3147" s="1" t="s">
        <v>6295</v>
      </c>
      <c r="B3147" s="1" t="s">
        <v>6296</v>
      </c>
      <c r="C3147" s="1" t="s">
        <v>5</v>
      </c>
    </row>
    <row r="3148" spans="1:3" x14ac:dyDescent="0.25">
      <c r="A3148" s="1" t="s">
        <v>6297</v>
      </c>
      <c r="B3148" s="1" t="s">
        <v>6298</v>
      </c>
      <c r="C3148" s="1" t="s">
        <v>5</v>
      </c>
    </row>
    <row r="3149" spans="1:3" x14ac:dyDescent="0.25">
      <c r="A3149" s="1" t="s">
        <v>6299</v>
      </c>
      <c r="B3149" s="1" t="s">
        <v>6300</v>
      </c>
      <c r="C3149" s="1" t="s">
        <v>5</v>
      </c>
    </row>
    <row r="3150" spans="1:3" x14ac:dyDescent="0.25">
      <c r="A3150" s="1" t="s">
        <v>6301</v>
      </c>
      <c r="B3150" s="1" t="s">
        <v>6302</v>
      </c>
      <c r="C3150" s="1" t="s">
        <v>5</v>
      </c>
    </row>
    <row r="3151" spans="1:3" x14ac:dyDescent="0.25">
      <c r="A3151" s="1" t="s">
        <v>6303</v>
      </c>
      <c r="B3151" s="1" t="s">
        <v>6304</v>
      </c>
      <c r="C3151" s="1" t="s">
        <v>5</v>
      </c>
    </row>
    <row r="3152" spans="1:3" x14ac:dyDescent="0.25">
      <c r="A3152" s="1" t="s">
        <v>6305</v>
      </c>
      <c r="B3152" s="1" t="s">
        <v>6306</v>
      </c>
      <c r="C3152" s="1" t="s">
        <v>5</v>
      </c>
    </row>
    <row r="3153" spans="1:3" x14ac:dyDescent="0.25">
      <c r="A3153" s="1" t="s">
        <v>6307</v>
      </c>
      <c r="B3153" s="1" t="s">
        <v>6308</v>
      </c>
      <c r="C3153" s="1" t="s">
        <v>5</v>
      </c>
    </row>
    <row r="3154" spans="1:3" x14ac:dyDescent="0.25">
      <c r="A3154" s="1" t="s">
        <v>6309</v>
      </c>
      <c r="B3154" s="1" t="s">
        <v>6310</v>
      </c>
      <c r="C3154" s="1" t="s">
        <v>5</v>
      </c>
    </row>
    <row r="3155" spans="1:3" x14ac:dyDescent="0.25">
      <c r="A3155" s="1" t="s">
        <v>6311</v>
      </c>
      <c r="B3155" s="1" t="s">
        <v>6312</v>
      </c>
      <c r="C3155" s="1" t="s">
        <v>5</v>
      </c>
    </row>
    <row r="3156" spans="1:3" x14ac:dyDescent="0.25">
      <c r="A3156" s="1" t="s">
        <v>6313</v>
      </c>
      <c r="B3156" s="1" t="s">
        <v>6314</v>
      </c>
      <c r="C3156" s="1" t="s">
        <v>5</v>
      </c>
    </row>
    <row r="3157" spans="1:3" x14ac:dyDescent="0.25">
      <c r="A3157" s="1" t="s">
        <v>6315</v>
      </c>
      <c r="B3157" s="1" t="s">
        <v>6316</v>
      </c>
      <c r="C3157" s="1" t="s">
        <v>5</v>
      </c>
    </row>
    <row r="3158" spans="1:3" x14ac:dyDescent="0.25">
      <c r="A3158" s="1" t="s">
        <v>6317</v>
      </c>
      <c r="B3158" s="1" t="s">
        <v>6318</v>
      </c>
      <c r="C3158" s="1" t="s">
        <v>5</v>
      </c>
    </row>
    <row r="3159" spans="1:3" x14ac:dyDescent="0.25">
      <c r="A3159" s="1" t="s">
        <v>6319</v>
      </c>
      <c r="B3159" s="1" t="s">
        <v>6320</v>
      </c>
      <c r="C3159" s="1" t="s">
        <v>5</v>
      </c>
    </row>
    <row r="3160" spans="1:3" x14ac:dyDescent="0.25">
      <c r="A3160" s="1" t="s">
        <v>6321</v>
      </c>
      <c r="B3160" s="1" t="s">
        <v>6322</v>
      </c>
      <c r="C3160" s="1" t="s">
        <v>5</v>
      </c>
    </row>
    <row r="3161" spans="1:3" x14ac:dyDescent="0.25">
      <c r="A3161" s="1" t="s">
        <v>6323</v>
      </c>
      <c r="B3161" s="1" t="s">
        <v>6324</v>
      </c>
      <c r="C3161" s="1" t="s">
        <v>448</v>
      </c>
    </row>
    <row r="3162" spans="1:3" x14ac:dyDescent="0.25">
      <c r="A3162" s="1" t="s">
        <v>6325</v>
      </c>
      <c r="B3162" s="1" t="s">
        <v>6326</v>
      </c>
      <c r="C3162" s="1" t="s">
        <v>5</v>
      </c>
    </row>
    <row r="3163" spans="1:3" x14ac:dyDescent="0.25">
      <c r="A3163" s="1" t="s">
        <v>6327</v>
      </c>
      <c r="B3163" s="1" t="s">
        <v>6328</v>
      </c>
      <c r="C3163" s="1" t="s">
        <v>5</v>
      </c>
    </row>
    <row r="3164" spans="1:3" x14ac:dyDescent="0.25">
      <c r="A3164" s="1" t="s">
        <v>6329</v>
      </c>
      <c r="B3164" s="1" t="s">
        <v>6330</v>
      </c>
      <c r="C3164" s="1" t="s">
        <v>5</v>
      </c>
    </row>
    <row r="3165" spans="1:3" x14ac:dyDescent="0.25">
      <c r="A3165" s="1" t="s">
        <v>6331</v>
      </c>
      <c r="B3165" s="1" t="s">
        <v>6332</v>
      </c>
      <c r="C3165" s="1" t="s">
        <v>5</v>
      </c>
    </row>
    <row r="3166" spans="1:3" x14ac:dyDescent="0.25">
      <c r="A3166" s="1" t="s">
        <v>6333</v>
      </c>
      <c r="B3166" s="1" t="s">
        <v>6334</v>
      </c>
      <c r="C3166" s="1" t="s">
        <v>5</v>
      </c>
    </row>
    <row r="3167" spans="1:3" x14ac:dyDescent="0.25">
      <c r="A3167" s="1" t="s">
        <v>6335</v>
      </c>
      <c r="B3167" s="1" t="s">
        <v>6336</v>
      </c>
      <c r="C3167" s="1" t="s">
        <v>5</v>
      </c>
    </row>
    <row r="3168" spans="1:3" x14ac:dyDescent="0.25">
      <c r="A3168" s="1" t="s">
        <v>6337</v>
      </c>
      <c r="B3168" s="1" t="s">
        <v>6338</v>
      </c>
      <c r="C3168" s="1" t="s">
        <v>5</v>
      </c>
    </row>
    <row r="3169" spans="1:3" x14ac:dyDescent="0.25">
      <c r="A3169" s="1" t="s">
        <v>6339</v>
      </c>
      <c r="B3169" s="1" t="s">
        <v>6340</v>
      </c>
      <c r="C3169" s="1" t="s">
        <v>5</v>
      </c>
    </row>
    <row r="3170" spans="1:3" x14ac:dyDescent="0.25">
      <c r="A3170" s="1" t="s">
        <v>6341</v>
      </c>
      <c r="B3170" s="1" t="s">
        <v>6342</v>
      </c>
      <c r="C3170" s="1" t="s">
        <v>5</v>
      </c>
    </row>
    <row r="3171" spans="1:3" x14ac:dyDescent="0.25">
      <c r="A3171" s="1" t="s">
        <v>6343</v>
      </c>
      <c r="B3171" s="1" t="s">
        <v>6344</v>
      </c>
      <c r="C3171" s="1" t="s">
        <v>5</v>
      </c>
    </row>
    <row r="3172" spans="1:3" x14ac:dyDescent="0.25">
      <c r="A3172" s="1" t="s">
        <v>6345</v>
      </c>
      <c r="B3172" s="1" t="s">
        <v>6346</v>
      </c>
      <c r="C3172" s="1" t="s">
        <v>5</v>
      </c>
    </row>
    <row r="3173" spans="1:3" x14ac:dyDescent="0.25">
      <c r="A3173" s="1" t="s">
        <v>6347</v>
      </c>
      <c r="B3173" s="1" t="s">
        <v>6348</v>
      </c>
      <c r="C3173" s="1" t="s">
        <v>5</v>
      </c>
    </row>
    <row r="3174" spans="1:3" x14ac:dyDescent="0.25">
      <c r="A3174" s="1" t="s">
        <v>6349</v>
      </c>
      <c r="B3174" s="1" t="s">
        <v>6350</v>
      </c>
      <c r="C3174" s="1" t="s">
        <v>5</v>
      </c>
    </row>
    <row r="3175" spans="1:3" x14ac:dyDescent="0.25">
      <c r="A3175" s="1" t="s">
        <v>6351</v>
      </c>
      <c r="B3175" s="1" t="s">
        <v>6352</v>
      </c>
      <c r="C3175" s="1" t="s">
        <v>5</v>
      </c>
    </row>
    <row r="3176" spans="1:3" x14ac:dyDescent="0.25">
      <c r="A3176" s="1" t="s">
        <v>6353</v>
      </c>
      <c r="B3176" s="1" t="s">
        <v>6354</v>
      </c>
      <c r="C3176" s="1" t="s">
        <v>5</v>
      </c>
    </row>
    <row r="3177" spans="1:3" x14ac:dyDescent="0.25">
      <c r="A3177" s="1" t="s">
        <v>6355</v>
      </c>
      <c r="B3177" s="1" t="s">
        <v>6356</v>
      </c>
      <c r="C3177" s="1" t="s">
        <v>5</v>
      </c>
    </row>
    <row r="3178" spans="1:3" x14ac:dyDescent="0.25">
      <c r="A3178" s="1" t="s">
        <v>6357</v>
      </c>
      <c r="B3178" s="1" t="s">
        <v>6358</v>
      </c>
      <c r="C3178" s="1" t="s">
        <v>5</v>
      </c>
    </row>
    <row r="3179" spans="1:3" x14ac:dyDescent="0.25">
      <c r="A3179" s="1" t="s">
        <v>6359</v>
      </c>
      <c r="B3179" s="1" t="s">
        <v>6360</v>
      </c>
      <c r="C3179" s="1" t="s">
        <v>5</v>
      </c>
    </row>
    <row r="3180" spans="1:3" x14ac:dyDescent="0.25">
      <c r="A3180" s="1" t="s">
        <v>6361</v>
      </c>
      <c r="B3180" s="1" t="s">
        <v>6362</v>
      </c>
      <c r="C3180" s="1" t="s">
        <v>5</v>
      </c>
    </row>
    <row r="3181" spans="1:3" x14ac:dyDescent="0.25">
      <c r="A3181" s="1" t="s">
        <v>6363</v>
      </c>
      <c r="B3181" s="1" t="s">
        <v>6364</v>
      </c>
      <c r="C3181" s="1" t="s">
        <v>5</v>
      </c>
    </row>
    <row r="3182" spans="1:3" x14ac:dyDescent="0.25">
      <c r="A3182" s="1" t="s">
        <v>6365</v>
      </c>
      <c r="B3182" s="1" t="s">
        <v>6366</v>
      </c>
      <c r="C3182" s="1" t="s">
        <v>5</v>
      </c>
    </row>
    <row r="3183" spans="1:3" x14ac:dyDescent="0.25">
      <c r="A3183" s="1" t="s">
        <v>6367</v>
      </c>
      <c r="B3183" s="1" t="s">
        <v>6368</v>
      </c>
      <c r="C3183" s="1" t="s">
        <v>5</v>
      </c>
    </row>
    <row r="3184" spans="1:3" x14ac:dyDescent="0.25">
      <c r="A3184" s="1" t="s">
        <v>6369</v>
      </c>
      <c r="B3184" s="1" t="s">
        <v>6370</v>
      </c>
      <c r="C3184" s="1" t="s">
        <v>5</v>
      </c>
    </row>
    <row r="3185" spans="1:3" x14ac:dyDescent="0.25">
      <c r="A3185" s="1" t="s">
        <v>6371</v>
      </c>
      <c r="B3185" s="1" t="s">
        <v>6372</v>
      </c>
      <c r="C3185" s="1" t="s">
        <v>5</v>
      </c>
    </row>
    <row r="3186" spans="1:3" x14ac:dyDescent="0.25">
      <c r="A3186" s="1" t="s">
        <v>6373</v>
      </c>
      <c r="B3186" s="1" t="s">
        <v>6374</v>
      </c>
      <c r="C3186" s="1" t="s">
        <v>5</v>
      </c>
    </row>
    <row r="3187" spans="1:3" x14ac:dyDescent="0.25">
      <c r="A3187" s="1" t="s">
        <v>6375</v>
      </c>
      <c r="B3187" s="1" t="s">
        <v>6376</v>
      </c>
      <c r="C3187" s="1" t="s">
        <v>5</v>
      </c>
    </row>
    <row r="3188" spans="1:3" x14ac:dyDescent="0.25">
      <c r="A3188" s="1" t="s">
        <v>6377</v>
      </c>
      <c r="B3188" s="1" t="s">
        <v>6378</v>
      </c>
      <c r="C3188" s="1" t="s">
        <v>5</v>
      </c>
    </row>
    <row r="3189" spans="1:3" x14ac:dyDescent="0.25">
      <c r="A3189" s="1" t="s">
        <v>6379</v>
      </c>
      <c r="B3189" s="1" t="s">
        <v>6380</v>
      </c>
      <c r="C3189" s="1" t="s">
        <v>5</v>
      </c>
    </row>
    <row r="3190" spans="1:3" x14ac:dyDescent="0.25">
      <c r="A3190" s="1" t="s">
        <v>6381</v>
      </c>
      <c r="B3190" s="1" t="s">
        <v>6382</v>
      </c>
      <c r="C3190" s="1" t="s">
        <v>5</v>
      </c>
    </row>
    <row r="3191" spans="1:3" x14ac:dyDescent="0.25">
      <c r="A3191" s="1" t="s">
        <v>6383</v>
      </c>
      <c r="B3191" s="1" t="s">
        <v>6384</v>
      </c>
      <c r="C3191" s="1" t="s">
        <v>5</v>
      </c>
    </row>
    <row r="3192" spans="1:3" x14ac:dyDescent="0.25">
      <c r="A3192" s="1" t="s">
        <v>6385</v>
      </c>
      <c r="B3192" s="1" t="s">
        <v>6386</v>
      </c>
      <c r="C3192" s="1" t="s">
        <v>5</v>
      </c>
    </row>
    <row r="3193" spans="1:3" x14ac:dyDescent="0.25">
      <c r="A3193" s="1" t="s">
        <v>6387</v>
      </c>
      <c r="B3193" s="1" t="s">
        <v>6388</v>
      </c>
      <c r="C3193" s="1" t="s">
        <v>5</v>
      </c>
    </row>
    <row r="3194" spans="1:3" x14ac:dyDescent="0.25">
      <c r="A3194" s="1" t="s">
        <v>6389</v>
      </c>
      <c r="B3194" s="1" t="s">
        <v>6390</v>
      </c>
      <c r="C3194" s="1" t="s">
        <v>5</v>
      </c>
    </row>
    <row r="3195" spans="1:3" x14ac:dyDescent="0.25">
      <c r="A3195" s="1" t="s">
        <v>6391</v>
      </c>
      <c r="B3195" s="1" t="s">
        <v>6392</v>
      </c>
      <c r="C3195" s="1" t="s">
        <v>5</v>
      </c>
    </row>
    <row r="3196" spans="1:3" x14ac:dyDescent="0.25">
      <c r="A3196" s="1" t="s">
        <v>6393</v>
      </c>
      <c r="B3196" s="1" t="s">
        <v>6394</v>
      </c>
      <c r="C3196" s="1" t="s">
        <v>5</v>
      </c>
    </row>
    <row r="3197" spans="1:3" x14ac:dyDescent="0.25">
      <c r="A3197" s="1" t="s">
        <v>6395</v>
      </c>
      <c r="B3197" s="1" t="s">
        <v>6396</v>
      </c>
      <c r="C3197" s="1" t="s">
        <v>5</v>
      </c>
    </row>
    <row r="3198" spans="1:3" x14ac:dyDescent="0.25">
      <c r="A3198" s="1" t="s">
        <v>6397</v>
      </c>
      <c r="B3198" s="1" t="s">
        <v>6398</v>
      </c>
      <c r="C3198" s="1" t="s">
        <v>5</v>
      </c>
    </row>
    <row r="3199" spans="1:3" x14ac:dyDescent="0.25">
      <c r="A3199" s="1" t="s">
        <v>6399</v>
      </c>
      <c r="B3199" s="1" t="s">
        <v>6400</v>
      </c>
      <c r="C3199" s="1" t="s">
        <v>5</v>
      </c>
    </row>
    <row r="3200" spans="1:3" x14ac:dyDescent="0.25">
      <c r="A3200" s="1" t="s">
        <v>6401</v>
      </c>
      <c r="B3200" s="1" t="s">
        <v>6402</v>
      </c>
      <c r="C3200" s="1" t="s">
        <v>5</v>
      </c>
    </row>
    <row r="3201" spans="1:3" x14ac:dyDescent="0.25">
      <c r="A3201" s="1" t="s">
        <v>6403</v>
      </c>
      <c r="B3201" s="1" t="s">
        <v>6404</v>
      </c>
      <c r="C3201" s="1" t="s">
        <v>5</v>
      </c>
    </row>
    <row r="3202" spans="1:3" x14ac:dyDescent="0.25">
      <c r="A3202" s="1" t="s">
        <v>6405</v>
      </c>
      <c r="B3202" s="1" t="s">
        <v>6406</v>
      </c>
      <c r="C3202" s="1" t="s">
        <v>5</v>
      </c>
    </row>
    <row r="3203" spans="1:3" x14ac:dyDescent="0.25">
      <c r="A3203" s="1" t="s">
        <v>6407</v>
      </c>
      <c r="B3203" s="1" t="s">
        <v>6408</v>
      </c>
      <c r="C3203" s="1" t="s">
        <v>5</v>
      </c>
    </row>
    <row r="3204" spans="1:3" x14ac:dyDescent="0.25">
      <c r="A3204" s="1" t="s">
        <v>6409</v>
      </c>
      <c r="B3204" s="1" t="s">
        <v>6410</v>
      </c>
      <c r="C3204" s="1" t="s">
        <v>5</v>
      </c>
    </row>
    <row r="3205" spans="1:3" x14ac:dyDescent="0.25">
      <c r="A3205" s="1" t="s">
        <v>6411</v>
      </c>
      <c r="B3205" s="1" t="s">
        <v>6412</v>
      </c>
      <c r="C3205" s="1" t="s">
        <v>5</v>
      </c>
    </row>
    <row r="3206" spans="1:3" x14ac:dyDescent="0.25">
      <c r="A3206" s="1" t="s">
        <v>6413</v>
      </c>
      <c r="B3206" s="1" t="s">
        <v>6414</v>
      </c>
      <c r="C3206" s="1" t="s">
        <v>5</v>
      </c>
    </row>
    <row r="3207" spans="1:3" x14ac:dyDescent="0.25">
      <c r="A3207" s="1" t="s">
        <v>6415</v>
      </c>
      <c r="B3207" s="1" t="s">
        <v>6416</v>
      </c>
      <c r="C3207" s="1" t="s">
        <v>5</v>
      </c>
    </row>
    <row r="3208" spans="1:3" x14ac:dyDescent="0.25">
      <c r="A3208" s="1" t="s">
        <v>6417</v>
      </c>
      <c r="B3208" s="1" t="s">
        <v>6418</v>
      </c>
      <c r="C3208" s="1" t="s">
        <v>5</v>
      </c>
    </row>
    <row r="3209" spans="1:3" x14ac:dyDescent="0.25">
      <c r="A3209" s="1" t="s">
        <v>6419</v>
      </c>
      <c r="B3209" s="1" t="s">
        <v>6420</v>
      </c>
      <c r="C3209" s="1" t="s">
        <v>5</v>
      </c>
    </row>
    <row r="3210" spans="1:3" x14ac:dyDescent="0.25">
      <c r="A3210" s="1" t="s">
        <v>6421</v>
      </c>
      <c r="B3210" s="1" t="s">
        <v>6422</v>
      </c>
      <c r="C3210" s="1" t="s">
        <v>5</v>
      </c>
    </row>
    <row r="3211" spans="1:3" x14ac:dyDescent="0.25">
      <c r="A3211" s="1" t="s">
        <v>6423</v>
      </c>
      <c r="B3211" s="1" t="s">
        <v>6424</v>
      </c>
      <c r="C3211" s="1" t="s">
        <v>5</v>
      </c>
    </row>
    <row r="3212" spans="1:3" x14ac:dyDescent="0.25">
      <c r="A3212" s="1" t="s">
        <v>6425</v>
      </c>
      <c r="B3212" s="1" t="s">
        <v>6426</v>
      </c>
      <c r="C3212" s="1" t="s">
        <v>448</v>
      </c>
    </row>
    <row r="3213" spans="1:3" x14ac:dyDescent="0.25">
      <c r="A3213" s="1" t="s">
        <v>6427</v>
      </c>
      <c r="B3213" s="1" t="s">
        <v>6428</v>
      </c>
      <c r="C3213" s="1" t="s">
        <v>5</v>
      </c>
    </row>
    <row r="3214" spans="1:3" x14ac:dyDescent="0.25">
      <c r="A3214" s="1" t="s">
        <v>6429</v>
      </c>
      <c r="B3214" s="1" t="s">
        <v>6430</v>
      </c>
      <c r="C3214" s="1" t="s">
        <v>5</v>
      </c>
    </row>
    <row r="3215" spans="1:3" x14ac:dyDescent="0.25">
      <c r="A3215" s="1" t="s">
        <v>6431</v>
      </c>
      <c r="B3215" s="1" t="s">
        <v>6432</v>
      </c>
      <c r="C3215" s="1" t="s">
        <v>5</v>
      </c>
    </row>
    <row r="3216" spans="1:3" x14ac:dyDescent="0.25">
      <c r="A3216" s="1" t="s">
        <v>6433</v>
      </c>
      <c r="B3216" s="1" t="s">
        <v>6434</v>
      </c>
      <c r="C3216" s="1" t="s">
        <v>5</v>
      </c>
    </row>
    <row r="3217" spans="1:3" x14ac:dyDescent="0.25">
      <c r="A3217" s="1" t="s">
        <v>6435</v>
      </c>
      <c r="B3217" s="1" t="s">
        <v>6436</v>
      </c>
      <c r="C3217" s="1" t="s">
        <v>5</v>
      </c>
    </row>
    <row r="3218" spans="1:3" x14ac:dyDescent="0.25">
      <c r="A3218" s="1" t="s">
        <v>6437</v>
      </c>
      <c r="B3218" s="1" t="s">
        <v>6438</v>
      </c>
      <c r="C3218" s="1" t="s">
        <v>5</v>
      </c>
    </row>
    <row r="3219" spans="1:3" x14ac:dyDescent="0.25">
      <c r="A3219" s="1" t="s">
        <v>6439</v>
      </c>
      <c r="B3219" s="1" t="s">
        <v>6440</v>
      </c>
      <c r="C3219" s="1" t="s">
        <v>5</v>
      </c>
    </row>
    <row r="3220" spans="1:3" x14ac:dyDescent="0.25">
      <c r="A3220" s="1" t="s">
        <v>6441</v>
      </c>
      <c r="B3220" s="1" t="s">
        <v>6442</v>
      </c>
      <c r="C3220" s="1" t="s">
        <v>5</v>
      </c>
    </row>
    <row r="3221" spans="1:3" x14ac:dyDescent="0.25">
      <c r="A3221" s="1" t="s">
        <v>6443</v>
      </c>
      <c r="B3221" s="1" t="s">
        <v>6444</v>
      </c>
      <c r="C3221" s="1" t="s">
        <v>5</v>
      </c>
    </row>
    <row r="3222" spans="1:3" x14ac:dyDescent="0.25">
      <c r="A3222" s="1" t="s">
        <v>6445</v>
      </c>
      <c r="B3222" s="1" t="s">
        <v>6446</v>
      </c>
      <c r="C3222" s="1" t="s">
        <v>5</v>
      </c>
    </row>
    <row r="3223" spans="1:3" x14ac:dyDescent="0.25">
      <c r="A3223" s="1" t="s">
        <v>6447</v>
      </c>
      <c r="B3223" s="1" t="s">
        <v>6448</v>
      </c>
      <c r="C3223" s="1" t="s">
        <v>5</v>
      </c>
    </row>
    <row r="3224" spans="1:3" x14ac:dyDescent="0.25">
      <c r="A3224" s="1" t="s">
        <v>6449</v>
      </c>
      <c r="B3224" s="1" t="s">
        <v>6450</v>
      </c>
      <c r="C3224" s="1" t="s">
        <v>5</v>
      </c>
    </row>
    <row r="3225" spans="1:3" x14ac:dyDescent="0.25">
      <c r="A3225" s="1" t="s">
        <v>6451</v>
      </c>
      <c r="B3225" s="1" t="s">
        <v>6452</v>
      </c>
      <c r="C3225" s="1" t="s">
        <v>5</v>
      </c>
    </row>
    <row r="3226" spans="1:3" x14ac:dyDescent="0.25">
      <c r="A3226" s="1" t="s">
        <v>6453</v>
      </c>
      <c r="B3226" s="1" t="s">
        <v>6454</v>
      </c>
      <c r="C3226" s="1" t="s">
        <v>5</v>
      </c>
    </row>
    <row r="3227" spans="1:3" x14ac:dyDescent="0.25">
      <c r="A3227" s="1" t="s">
        <v>6455</v>
      </c>
      <c r="B3227" s="1" t="s">
        <v>6456</v>
      </c>
      <c r="C3227" s="1" t="s">
        <v>5</v>
      </c>
    </row>
    <row r="3228" spans="1:3" x14ac:dyDescent="0.25">
      <c r="A3228" s="1" t="s">
        <v>6457</v>
      </c>
      <c r="B3228" s="1" t="s">
        <v>6458</v>
      </c>
      <c r="C3228" s="1" t="s">
        <v>5</v>
      </c>
    </row>
    <row r="3229" spans="1:3" x14ac:dyDescent="0.25">
      <c r="A3229" s="1" t="s">
        <v>6459</v>
      </c>
      <c r="B3229" s="1" t="s">
        <v>6460</v>
      </c>
      <c r="C3229" s="1" t="s">
        <v>5</v>
      </c>
    </row>
    <row r="3230" spans="1:3" x14ac:dyDescent="0.25">
      <c r="A3230" s="1" t="s">
        <v>6461</v>
      </c>
      <c r="B3230" s="1" t="s">
        <v>6462</v>
      </c>
      <c r="C3230" s="1" t="s">
        <v>5</v>
      </c>
    </row>
    <row r="3231" spans="1:3" x14ac:dyDescent="0.25">
      <c r="A3231" s="1" t="s">
        <v>6463</v>
      </c>
      <c r="B3231" s="1" t="s">
        <v>6464</v>
      </c>
      <c r="C3231" s="1" t="s">
        <v>5</v>
      </c>
    </row>
    <row r="3232" spans="1:3" x14ac:dyDescent="0.25">
      <c r="A3232" s="1" t="s">
        <v>6465</v>
      </c>
      <c r="B3232" s="1" t="s">
        <v>6466</v>
      </c>
      <c r="C3232" s="1" t="s">
        <v>5</v>
      </c>
    </row>
    <row r="3233" spans="1:3" x14ac:dyDescent="0.25">
      <c r="A3233" s="1" t="s">
        <v>6467</v>
      </c>
      <c r="B3233" s="1" t="s">
        <v>6468</v>
      </c>
      <c r="C3233" s="1" t="s">
        <v>5</v>
      </c>
    </row>
    <row r="3234" spans="1:3" x14ac:dyDescent="0.25">
      <c r="A3234" s="1" t="s">
        <v>6469</v>
      </c>
      <c r="B3234" s="1" t="s">
        <v>6470</v>
      </c>
      <c r="C3234" s="1" t="s">
        <v>5</v>
      </c>
    </row>
    <row r="3235" spans="1:3" x14ac:dyDescent="0.25">
      <c r="A3235" s="1" t="s">
        <v>6471</v>
      </c>
      <c r="B3235" s="1" t="s">
        <v>6472</v>
      </c>
      <c r="C3235" s="1" t="s">
        <v>5</v>
      </c>
    </row>
    <row r="3236" spans="1:3" x14ac:dyDescent="0.25">
      <c r="A3236" s="1" t="s">
        <v>6473</v>
      </c>
      <c r="B3236" s="1" t="s">
        <v>6474</v>
      </c>
      <c r="C3236" s="1" t="s">
        <v>5</v>
      </c>
    </row>
    <row r="3237" spans="1:3" x14ac:dyDescent="0.25">
      <c r="A3237" s="1" t="s">
        <v>6475</v>
      </c>
      <c r="B3237" s="1" t="s">
        <v>6476</v>
      </c>
      <c r="C3237" s="1" t="s">
        <v>5</v>
      </c>
    </row>
    <row r="3238" spans="1:3" x14ac:dyDescent="0.25">
      <c r="A3238" s="1" t="s">
        <v>6477</v>
      </c>
      <c r="B3238" s="1" t="s">
        <v>6478</v>
      </c>
      <c r="C3238" s="1" t="s">
        <v>5</v>
      </c>
    </row>
    <row r="3239" spans="1:3" x14ac:dyDescent="0.25">
      <c r="A3239" s="1" t="s">
        <v>6479</v>
      </c>
      <c r="B3239" s="1" t="s">
        <v>6480</v>
      </c>
      <c r="C3239" s="1" t="s">
        <v>5</v>
      </c>
    </row>
    <row r="3240" spans="1:3" x14ac:dyDescent="0.25">
      <c r="A3240" s="1" t="s">
        <v>6481</v>
      </c>
      <c r="B3240" s="1" t="s">
        <v>6482</v>
      </c>
      <c r="C3240" s="1" t="s">
        <v>5</v>
      </c>
    </row>
    <row r="3241" spans="1:3" x14ac:dyDescent="0.25">
      <c r="A3241" s="1" t="s">
        <v>6483</v>
      </c>
      <c r="B3241" s="1" t="s">
        <v>6484</v>
      </c>
      <c r="C3241" s="1" t="s">
        <v>5</v>
      </c>
    </row>
    <row r="3242" spans="1:3" x14ac:dyDescent="0.25">
      <c r="A3242" s="1" t="s">
        <v>6485</v>
      </c>
      <c r="B3242" s="1" t="s">
        <v>6486</v>
      </c>
      <c r="C3242" s="1" t="s">
        <v>5</v>
      </c>
    </row>
    <row r="3243" spans="1:3" x14ac:dyDescent="0.25">
      <c r="A3243" s="1" t="s">
        <v>6487</v>
      </c>
      <c r="B3243" s="1" t="s">
        <v>6488</v>
      </c>
      <c r="C3243" s="1" t="s">
        <v>5</v>
      </c>
    </row>
    <row r="3244" spans="1:3" x14ac:dyDescent="0.25">
      <c r="A3244" s="1" t="s">
        <v>6489</v>
      </c>
      <c r="B3244" s="1" t="s">
        <v>6490</v>
      </c>
      <c r="C3244" s="1" t="s">
        <v>5</v>
      </c>
    </row>
    <row r="3245" spans="1:3" x14ac:dyDescent="0.25">
      <c r="A3245" s="1" t="s">
        <v>6491</v>
      </c>
      <c r="B3245" s="1" t="s">
        <v>6492</v>
      </c>
      <c r="C3245" s="1" t="s">
        <v>5</v>
      </c>
    </row>
    <row r="3246" spans="1:3" x14ac:dyDescent="0.25">
      <c r="A3246" s="1" t="s">
        <v>6493</v>
      </c>
      <c r="B3246" s="1" t="s">
        <v>6494</v>
      </c>
      <c r="C3246" s="1" t="s">
        <v>5</v>
      </c>
    </row>
    <row r="3247" spans="1:3" x14ac:dyDescent="0.25">
      <c r="A3247" s="1" t="s">
        <v>6495</v>
      </c>
      <c r="B3247" s="1" t="s">
        <v>6496</v>
      </c>
      <c r="C3247" s="1" t="s">
        <v>5</v>
      </c>
    </row>
    <row r="3248" spans="1:3" x14ac:dyDescent="0.25">
      <c r="A3248" s="1" t="s">
        <v>6497</v>
      </c>
      <c r="B3248" s="1" t="s">
        <v>6498</v>
      </c>
      <c r="C3248" s="1" t="s">
        <v>5</v>
      </c>
    </row>
    <row r="3249" spans="1:3" x14ac:dyDescent="0.25">
      <c r="A3249" s="1" t="s">
        <v>6499</v>
      </c>
      <c r="B3249" s="1" t="s">
        <v>6500</v>
      </c>
      <c r="C3249" s="1" t="s">
        <v>5</v>
      </c>
    </row>
    <row r="3250" spans="1:3" x14ac:dyDescent="0.25">
      <c r="A3250" s="1" t="s">
        <v>6501</v>
      </c>
      <c r="B3250" s="1" t="s">
        <v>6502</v>
      </c>
      <c r="C3250" s="1" t="s">
        <v>5</v>
      </c>
    </row>
    <row r="3251" spans="1:3" x14ac:dyDescent="0.25">
      <c r="A3251" s="1" t="s">
        <v>6503</v>
      </c>
      <c r="B3251" s="1" t="s">
        <v>6504</v>
      </c>
      <c r="C3251" s="1" t="s">
        <v>5</v>
      </c>
    </row>
    <row r="3252" spans="1:3" x14ac:dyDescent="0.25">
      <c r="A3252" s="1" t="s">
        <v>6505</v>
      </c>
      <c r="B3252" s="1" t="s">
        <v>6506</v>
      </c>
      <c r="C3252" s="1" t="s">
        <v>5</v>
      </c>
    </row>
    <row r="3253" spans="1:3" x14ac:dyDescent="0.25">
      <c r="A3253" s="1" t="s">
        <v>6507</v>
      </c>
      <c r="B3253" s="1" t="s">
        <v>6508</v>
      </c>
      <c r="C3253" s="1" t="s">
        <v>5</v>
      </c>
    </row>
    <row r="3254" spans="1:3" x14ac:dyDescent="0.25">
      <c r="A3254" s="1" t="s">
        <v>6509</v>
      </c>
      <c r="B3254" s="1" t="s">
        <v>6510</v>
      </c>
      <c r="C3254" s="1" t="s">
        <v>5</v>
      </c>
    </row>
    <row r="3255" spans="1:3" x14ac:dyDescent="0.25">
      <c r="A3255" s="1" t="s">
        <v>6511</v>
      </c>
      <c r="B3255" s="1" t="s">
        <v>6512</v>
      </c>
      <c r="C3255" s="1" t="s">
        <v>448</v>
      </c>
    </row>
    <row r="3256" spans="1:3" x14ac:dyDescent="0.25">
      <c r="A3256" s="1" t="s">
        <v>6513</v>
      </c>
      <c r="B3256" s="1" t="s">
        <v>6514</v>
      </c>
      <c r="C3256" s="1" t="s">
        <v>448</v>
      </c>
    </row>
    <row r="3257" spans="1:3" x14ac:dyDescent="0.25">
      <c r="A3257" s="1" t="s">
        <v>6515</v>
      </c>
      <c r="B3257" s="1" t="s">
        <v>6516</v>
      </c>
      <c r="C3257" s="1" t="s">
        <v>5</v>
      </c>
    </row>
    <row r="3258" spans="1:3" x14ac:dyDescent="0.25">
      <c r="A3258" s="1" t="s">
        <v>6517</v>
      </c>
      <c r="B3258" s="1" t="s">
        <v>6518</v>
      </c>
      <c r="C3258" s="1" t="s">
        <v>5</v>
      </c>
    </row>
    <row r="3259" spans="1:3" x14ac:dyDescent="0.25">
      <c r="A3259" s="1" t="s">
        <v>6519</v>
      </c>
      <c r="B3259" s="1" t="s">
        <v>6520</v>
      </c>
      <c r="C3259" s="1" t="s">
        <v>5</v>
      </c>
    </row>
    <row r="3260" spans="1:3" x14ac:dyDescent="0.25">
      <c r="A3260" s="1" t="s">
        <v>6521</v>
      </c>
      <c r="B3260" s="1" t="s">
        <v>6522</v>
      </c>
      <c r="C3260" s="1" t="s">
        <v>5</v>
      </c>
    </row>
    <row r="3261" spans="1:3" x14ac:dyDescent="0.25">
      <c r="A3261" s="1" t="s">
        <v>6523</v>
      </c>
      <c r="B3261" s="1" t="s">
        <v>6524</v>
      </c>
      <c r="C3261" s="1" t="s">
        <v>5</v>
      </c>
    </row>
    <row r="3262" spans="1:3" x14ac:dyDescent="0.25">
      <c r="A3262" s="1" t="s">
        <v>6525</v>
      </c>
      <c r="B3262" s="1" t="s">
        <v>6526</v>
      </c>
      <c r="C3262" s="1" t="s">
        <v>448</v>
      </c>
    </row>
    <row r="3263" spans="1:3" x14ac:dyDescent="0.25">
      <c r="A3263" s="1" t="s">
        <v>6527</v>
      </c>
      <c r="B3263" s="1" t="s">
        <v>6528</v>
      </c>
      <c r="C3263" s="1" t="s">
        <v>448</v>
      </c>
    </row>
    <row r="3264" spans="1:3" x14ac:dyDescent="0.25">
      <c r="A3264" s="1" t="s">
        <v>6529</v>
      </c>
      <c r="B3264" s="1" t="s">
        <v>6530</v>
      </c>
      <c r="C3264" s="1" t="s">
        <v>448</v>
      </c>
    </row>
    <row r="3265" spans="1:3" x14ac:dyDescent="0.25">
      <c r="A3265" s="1" t="s">
        <v>6531</v>
      </c>
      <c r="B3265" s="1" t="s">
        <v>6532</v>
      </c>
      <c r="C3265" s="1" t="s">
        <v>5</v>
      </c>
    </row>
    <row r="3266" spans="1:3" x14ac:dyDescent="0.25">
      <c r="A3266" s="1" t="s">
        <v>6533</v>
      </c>
      <c r="B3266" s="1" t="s">
        <v>6534</v>
      </c>
      <c r="C3266" s="1" t="s">
        <v>5</v>
      </c>
    </row>
    <row r="3267" spans="1:3" x14ac:dyDescent="0.25">
      <c r="A3267" s="1" t="s">
        <v>6535</v>
      </c>
      <c r="B3267" s="1" t="s">
        <v>6536</v>
      </c>
      <c r="C3267" s="1" t="s">
        <v>5</v>
      </c>
    </row>
    <row r="3268" spans="1:3" x14ac:dyDescent="0.25">
      <c r="A3268" s="1" t="s">
        <v>6537</v>
      </c>
      <c r="B3268" s="1" t="s">
        <v>6538</v>
      </c>
      <c r="C3268" s="1" t="s">
        <v>5</v>
      </c>
    </row>
    <row r="3269" spans="1:3" x14ac:dyDescent="0.25">
      <c r="A3269" s="1" t="s">
        <v>6539</v>
      </c>
      <c r="B3269" s="1" t="s">
        <v>6540</v>
      </c>
      <c r="C3269" s="1" t="s">
        <v>5</v>
      </c>
    </row>
    <row r="3270" spans="1:3" x14ac:dyDescent="0.25">
      <c r="A3270" s="1" t="s">
        <v>6541</v>
      </c>
      <c r="B3270" s="1" t="s">
        <v>6542</v>
      </c>
      <c r="C3270" s="1" t="s">
        <v>5</v>
      </c>
    </row>
    <row r="3271" spans="1:3" x14ac:dyDescent="0.25">
      <c r="A3271" s="1" t="s">
        <v>6543</v>
      </c>
      <c r="B3271" s="1" t="s">
        <v>6544</v>
      </c>
      <c r="C3271" s="1" t="s">
        <v>5</v>
      </c>
    </row>
    <row r="3272" spans="1:3" x14ac:dyDescent="0.25">
      <c r="A3272" s="1" t="s">
        <v>6545</v>
      </c>
      <c r="B3272" s="1" t="s">
        <v>6546</v>
      </c>
      <c r="C3272" s="1" t="s">
        <v>5</v>
      </c>
    </row>
    <row r="3273" spans="1:3" x14ac:dyDescent="0.25">
      <c r="A3273" s="1" t="s">
        <v>6547</v>
      </c>
      <c r="B3273" s="1" t="s">
        <v>6548</v>
      </c>
      <c r="C3273" s="1" t="s">
        <v>5</v>
      </c>
    </row>
    <row r="3274" spans="1:3" x14ac:dyDescent="0.25">
      <c r="A3274" s="1" t="s">
        <v>6549</v>
      </c>
      <c r="B3274" s="1" t="s">
        <v>6550</v>
      </c>
      <c r="C3274" s="1" t="s">
        <v>5</v>
      </c>
    </row>
    <row r="3275" spans="1:3" x14ac:dyDescent="0.25">
      <c r="A3275" s="1" t="s">
        <v>6551</v>
      </c>
      <c r="B3275" s="1" t="s">
        <v>6552</v>
      </c>
      <c r="C3275" s="1" t="s">
        <v>5</v>
      </c>
    </row>
    <row r="3276" spans="1:3" x14ac:dyDescent="0.25">
      <c r="A3276" s="1" t="s">
        <v>6553</v>
      </c>
      <c r="B3276" s="1" t="s">
        <v>6554</v>
      </c>
      <c r="C3276" s="1" t="s">
        <v>5</v>
      </c>
    </row>
    <row r="3277" spans="1:3" x14ac:dyDescent="0.25">
      <c r="A3277" s="1" t="s">
        <v>6555</v>
      </c>
      <c r="B3277" s="1" t="s">
        <v>6556</v>
      </c>
      <c r="C3277" s="1" t="s">
        <v>5</v>
      </c>
    </row>
    <row r="3278" spans="1:3" x14ac:dyDescent="0.25">
      <c r="A3278" s="1" t="s">
        <v>6557</v>
      </c>
      <c r="B3278" s="1" t="s">
        <v>6558</v>
      </c>
      <c r="C3278" s="1" t="s">
        <v>5</v>
      </c>
    </row>
    <row r="3279" spans="1:3" x14ac:dyDescent="0.25">
      <c r="A3279" s="1" t="s">
        <v>6559</v>
      </c>
      <c r="B3279" s="1" t="s">
        <v>6560</v>
      </c>
      <c r="C3279" s="1" t="s">
        <v>5</v>
      </c>
    </row>
    <row r="3280" spans="1:3" x14ac:dyDescent="0.25">
      <c r="A3280" s="1" t="s">
        <v>6561</v>
      </c>
      <c r="B3280" s="1" t="s">
        <v>6562</v>
      </c>
      <c r="C3280" s="1" t="s">
        <v>5</v>
      </c>
    </row>
    <row r="3281" spans="1:3" x14ac:dyDescent="0.25">
      <c r="A3281" s="1" t="s">
        <v>6563</v>
      </c>
      <c r="B3281" s="1" t="s">
        <v>6564</v>
      </c>
      <c r="C3281" s="1" t="s">
        <v>5</v>
      </c>
    </row>
    <row r="3282" spans="1:3" x14ac:dyDescent="0.25">
      <c r="A3282" s="1" t="s">
        <v>6565</v>
      </c>
      <c r="B3282" s="1" t="s">
        <v>6566</v>
      </c>
      <c r="C3282" s="1" t="s">
        <v>5</v>
      </c>
    </row>
    <row r="3283" spans="1:3" x14ac:dyDescent="0.25">
      <c r="A3283" s="1" t="s">
        <v>6567</v>
      </c>
      <c r="B3283" s="1" t="s">
        <v>6568</v>
      </c>
      <c r="C3283" s="1" t="s">
        <v>5</v>
      </c>
    </row>
    <row r="3284" spans="1:3" x14ac:dyDescent="0.25">
      <c r="A3284" s="1" t="s">
        <v>6569</v>
      </c>
      <c r="B3284" s="1" t="s">
        <v>6570</v>
      </c>
      <c r="C3284" s="1" t="s">
        <v>5</v>
      </c>
    </row>
    <row r="3285" spans="1:3" x14ac:dyDescent="0.25">
      <c r="A3285" s="1" t="s">
        <v>6571</v>
      </c>
      <c r="B3285" s="1" t="s">
        <v>6572</v>
      </c>
      <c r="C3285" s="1" t="s">
        <v>5</v>
      </c>
    </row>
    <row r="3286" spans="1:3" x14ac:dyDescent="0.25">
      <c r="A3286" s="1" t="s">
        <v>6573</v>
      </c>
      <c r="B3286" s="1" t="s">
        <v>6574</v>
      </c>
      <c r="C3286" s="1" t="s">
        <v>5</v>
      </c>
    </row>
    <row r="3287" spans="1:3" x14ac:dyDescent="0.25">
      <c r="A3287" s="1" t="s">
        <v>6575</v>
      </c>
      <c r="B3287" s="1" t="s">
        <v>6576</v>
      </c>
      <c r="C3287" s="1" t="s">
        <v>5</v>
      </c>
    </row>
    <row r="3288" spans="1:3" x14ac:dyDescent="0.25">
      <c r="A3288" s="1" t="s">
        <v>6577</v>
      </c>
      <c r="B3288" s="1" t="s">
        <v>6578</v>
      </c>
      <c r="C3288" s="1" t="s">
        <v>5</v>
      </c>
    </row>
    <row r="3289" spans="1:3" x14ac:dyDescent="0.25">
      <c r="A3289" s="1" t="s">
        <v>6579</v>
      </c>
      <c r="B3289" s="1" t="s">
        <v>6580</v>
      </c>
      <c r="C3289" s="1" t="s">
        <v>5</v>
      </c>
    </row>
    <row r="3290" spans="1:3" x14ac:dyDescent="0.25">
      <c r="A3290" s="1" t="s">
        <v>6581</v>
      </c>
      <c r="B3290" s="1" t="s">
        <v>6582</v>
      </c>
      <c r="C3290" s="1" t="s">
        <v>5</v>
      </c>
    </row>
    <row r="3291" spans="1:3" x14ac:dyDescent="0.25">
      <c r="A3291" s="1" t="s">
        <v>6583</v>
      </c>
      <c r="B3291" s="1" t="s">
        <v>6584</v>
      </c>
      <c r="C3291" s="1" t="s">
        <v>5</v>
      </c>
    </row>
    <row r="3292" spans="1:3" x14ac:dyDescent="0.25">
      <c r="A3292" s="1" t="s">
        <v>6585</v>
      </c>
      <c r="B3292" s="1" t="s">
        <v>6586</v>
      </c>
      <c r="C3292" s="1" t="s">
        <v>5</v>
      </c>
    </row>
    <row r="3293" spans="1:3" x14ac:dyDescent="0.25">
      <c r="A3293" s="1" t="s">
        <v>6587</v>
      </c>
      <c r="B3293" s="1" t="s">
        <v>6588</v>
      </c>
      <c r="C3293" s="1" t="s">
        <v>5</v>
      </c>
    </row>
    <row r="3294" spans="1:3" x14ac:dyDescent="0.25">
      <c r="A3294" s="1" t="s">
        <v>6589</v>
      </c>
      <c r="B3294" s="1" t="s">
        <v>6590</v>
      </c>
      <c r="C3294" s="1" t="s">
        <v>5</v>
      </c>
    </row>
    <row r="3295" spans="1:3" x14ac:dyDescent="0.25">
      <c r="A3295" s="1" t="s">
        <v>6591</v>
      </c>
      <c r="B3295" s="1" t="s">
        <v>6592</v>
      </c>
      <c r="C3295" s="1" t="s">
        <v>5</v>
      </c>
    </row>
    <row r="3296" spans="1:3" x14ac:dyDescent="0.25">
      <c r="A3296" s="1" t="s">
        <v>6593</v>
      </c>
      <c r="B3296" s="1" t="s">
        <v>6594</v>
      </c>
      <c r="C3296" s="1" t="s">
        <v>5</v>
      </c>
    </row>
    <row r="3297" spans="1:3" x14ac:dyDescent="0.25">
      <c r="A3297" s="1" t="s">
        <v>6595</v>
      </c>
      <c r="B3297" s="1" t="s">
        <v>6596</v>
      </c>
      <c r="C3297" s="1" t="s">
        <v>5</v>
      </c>
    </row>
    <row r="3298" spans="1:3" x14ac:dyDescent="0.25">
      <c r="A3298" s="1" t="s">
        <v>6597</v>
      </c>
      <c r="B3298" s="1" t="s">
        <v>6598</v>
      </c>
      <c r="C3298" s="1" t="s">
        <v>5</v>
      </c>
    </row>
    <row r="3299" spans="1:3" x14ac:dyDescent="0.25">
      <c r="A3299" s="1" t="s">
        <v>6599</v>
      </c>
      <c r="B3299" s="1" t="s">
        <v>6600</v>
      </c>
      <c r="C3299" s="1" t="s">
        <v>5</v>
      </c>
    </row>
    <row r="3300" spans="1:3" x14ac:dyDescent="0.25">
      <c r="A3300" s="1" t="s">
        <v>6601</v>
      </c>
      <c r="B3300" s="1" t="s">
        <v>6602</v>
      </c>
      <c r="C3300" s="1" t="s">
        <v>5</v>
      </c>
    </row>
    <row r="3301" spans="1:3" x14ac:dyDescent="0.25">
      <c r="A3301" s="1" t="s">
        <v>6603</v>
      </c>
      <c r="B3301" s="1" t="s">
        <v>6604</v>
      </c>
      <c r="C3301" s="1" t="s">
        <v>5</v>
      </c>
    </row>
    <row r="3302" spans="1:3" x14ac:dyDescent="0.25">
      <c r="A3302" s="1" t="s">
        <v>6605</v>
      </c>
      <c r="B3302" s="1" t="s">
        <v>6606</v>
      </c>
      <c r="C3302" s="1" t="s">
        <v>5</v>
      </c>
    </row>
    <row r="3303" spans="1:3" x14ac:dyDescent="0.25">
      <c r="A3303" s="1" t="s">
        <v>6607</v>
      </c>
      <c r="B3303" s="1" t="s">
        <v>6608</v>
      </c>
      <c r="C3303" s="1" t="s">
        <v>5</v>
      </c>
    </row>
    <row r="3304" spans="1:3" x14ac:dyDescent="0.25">
      <c r="A3304" s="1" t="s">
        <v>6609</v>
      </c>
      <c r="B3304" s="1" t="s">
        <v>6610</v>
      </c>
      <c r="C3304" s="1" t="s">
        <v>5</v>
      </c>
    </row>
    <row r="3305" spans="1:3" x14ac:dyDescent="0.25">
      <c r="A3305" s="1" t="s">
        <v>6611</v>
      </c>
      <c r="B3305" s="1" t="s">
        <v>6612</v>
      </c>
      <c r="C3305" s="1" t="s">
        <v>5</v>
      </c>
    </row>
    <row r="3306" spans="1:3" x14ac:dyDescent="0.25">
      <c r="A3306" s="1" t="s">
        <v>6613</v>
      </c>
      <c r="B3306" s="1" t="s">
        <v>6614</v>
      </c>
      <c r="C3306" s="1" t="s">
        <v>5</v>
      </c>
    </row>
    <row r="3307" spans="1:3" x14ac:dyDescent="0.25">
      <c r="A3307" s="1" t="s">
        <v>6615</v>
      </c>
      <c r="B3307" s="1" t="s">
        <v>6616</v>
      </c>
      <c r="C3307" s="1" t="s">
        <v>5</v>
      </c>
    </row>
    <row r="3308" spans="1:3" x14ac:dyDescent="0.25">
      <c r="A3308" s="1" t="s">
        <v>6617</v>
      </c>
      <c r="B3308" s="1" t="s">
        <v>6618</v>
      </c>
      <c r="C3308" s="1" t="s">
        <v>5</v>
      </c>
    </row>
    <row r="3309" spans="1:3" x14ac:dyDescent="0.25">
      <c r="A3309" s="1" t="s">
        <v>6619</v>
      </c>
      <c r="B3309" s="1" t="s">
        <v>6620</v>
      </c>
      <c r="C3309" s="1" t="s">
        <v>5</v>
      </c>
    </row>
    <row r="3310" spans="1:3" x14ac:dyDescent="0.25">
      <c r="A3310" s="1" t="s">
        <v>6621</v>
      </c>
      <c r="B3310" s="1" t="s">
        <v>6622</v>
      </c>
      <c r="C3310" s="1" t="s">
        <v>5</v>
      </c>
    </row>
    <row r="3311" spans="1:3" x14ac:dyDescent="0.25">
      <c r="A3311" s="1" t="s">
        <v>6623</v>
      </c>
      <c r="B3311" s="1" t="s">
        <v>6624</v>
      </c>
      <c r="C3311" s="1" t="s">
        <v>5</v>
      </c>
    </row>
    <row r="3312" spans="1:3" x14ac:dyDescent="0.25">
      <c r="A3312" s="1" t="s">
        <v>6625</v>
      </c>
      <c r="B3312" s="1" t="s">
        <v>6626</v>
      </c>
      <c r="C3312" s="1" t="s">
        <v>5</v>
      </c>
    </row>
    <row r="3313" spans="1:3" x14ac:dyDescent="0.25">
      <c r="A3313" s="1" t="s">
        <v>6627</v>
      </c>
      <c r="B3313" s="1" t="s">
        <v>6628</v>
      </c>
      <c r="C3313" s="1" t="s">
        <v>5</v>
      </c>
    </row>
    <row r="3314" spans="1:3" x14ac:dyDescent="0.25">
      <c r="A3314" s="1" t="s">
        <v>6629</v>
      </c>
      <c r="B3314" s="1" t="s">
        <v>6630</v>
      </c>
      <c r="C3314" s="1" t="s">
        <v>5</v>
      </c>
    </row>
    <row r="3315" spans="1:3" x14ac:dyDescent="0.25">
      <c r="A3315" s="1" t="s">
        <v>6631</v>
      </c>
      <c r="B3315" s="1" t="s">
        <v>6632</v>
      </c>
      <c r="C3315" s="1" t="s">
        <v>5</v>
      </c>
    </row>
    <row r="3316" spans="1:3" x14ac:dyDescent="0.25">
      <c r="A3316" s="1" t="s">
        <v>6633</v>
      </c>
      <c r="B3316" s="1" t="s">
        <v>6634</v>
      </c>
      <c r="C3316" s="1" t="s">
        <v>5</v>
      </c>
    </row>
    <row r="3317" spans="1:3" x14ac:dyDescent="0.25">
      <c r="A3317" s="1" t="s">
        <v>6635</v>
      </c>
      <c r="B3317" s="1" t="s">
        <v>6636</v>
      </c>
      <c r="C3317" s="1" t="s">
        <v>5</v>
      </c>
    </row>
    <row r="3318" spans="1:3" x14ac:dyDescent="0.25">
      <c r="A3318" s="1" t="s">
        <v>6637</v>
      </c>
      <c r="B3318" s="1" t="s">
        <v>6638</v>
      </c>
      <c r="C3318" s="1" t="s">
        <v>5</v>
      </c>
    </row>
    <row r="3319" spans="1:3" x14ac:dyDescent="0.25">
      <c r="A3319" s="1" t="s">
        <v>6639</v>
      </c>
      <c r="B3319" s="1" t="s">
        <v>6640</v>
      </c>
      <c r="C3319" s="1" t="s">
        <v>5</v>
      </c>
    </row>
    <row r="3320" spans="1:3" x14ac:dyDescent="0.25">
      <c r="A3320" s="1" t="s">
        <v>6641</v>
      </c>
      <c r="B3320" s="1" t="s">
        <v>6642</v>
      </c>
      <c r="C3320" s="1" t="s">
        <v>5</v>
      </c>
    </row>
    <row r="3321" spans="1:3" x14ac:dyDescent="0.25">
      <c r="A3321" s="1" t="s">
        <v>6643</v>
      </c>
      <c r="B3321" s="1" t="s">
        <v>6644</v>
      </c>
      <c r="C3321" s="1" t="s">
        <v>5</v>
      </c>
    </row>
    <row r="3322" spans="1:3" x14ac:dyDescent="0.25">
      <c r="A3322" s="1" t="s">
        <v>6645</v>
      </c>
      <c r="B3322" s="1" t="s">
        <v>6646</v>
      </c>
      <c r="C3322" s="1" t="s">
        <v>5</v>
      </c>
    </row>
    <row r="3323" spans="1:3" x14ac:dyDescent="0.25">
      <c r="A3323" s="1" t="s">
        <v>6647</v>
      </c>
      <c r="B3323" s="1" t="s">
        <v>6648</v>
      </c>
      <c r="C3323" s="1" t="s">
        <v>5</v>
      </c>
    </row>
    <row r="3324" spans="1:3" x14ac:dyDescent="0.25">
      <c r="A3324" s="1" t="s">
        <v>6649</v>
      </c>
      <c r="B3324" s="1" t="s">
        <v>6650</v>
      </c>
      <c r="C3324" s="1" t="s">
        <v>5</v>
      </c>
    </row>
    <row r="3325" spans="1:3" x14ac:dyDescent="0.25">
      <c r="A3325" s="1" t="s">
        <v>6651</v>
      </c>
      <c r="B3325" s="1" t="s">
        <v>6652</v>
      </c>
      <c r="C3325" s="1" t="s">
        <v>5</v>
      </c>
    </row>
    <row r="3326" spans="1:3" x14ac:dyDescent="0.25">
      <c r="A3326" s="1" t="s">
        <v>6653</v>
      </c>
      <c r="B3326" s="1" t="s">
        <v>6654</v>
      </c>
      <c r="C3326" s="1" t="s">
        <v>5</v>
      </c>
    </row>
    <row r="3327" spans="1:3" x14ac:dyDescent="0.25">
      <c r="A3327" s="1" t="s">
        <v>6655</v>
      </c>
      <c r="B3327" s="1" t="s">
        <v>6656</v>
      </c>
      <c r="C3327" s="1" t="s">
        <v>5</v>
      </c>
    </row>
    <row r="3328" spans="1:3" x14ac:dyDescent="0.25">
      <c r="A3328" s="1" t="s">
        <v>6657</v>
      </c>
      <c r="B3328" s="1" t="s">
        <v>6658</v>
      </c>
      <c r="C3328" s="1" t="s">
        <v>5</v>
      </c>
    </row>
    <row r="3329" spans="1:3" x14ac:dyDescent="0.25">
      <c r="A3329" s="1" t="s">
        <v>6659</v>
      </c>
      <c r="B3329" s="1" t="s">
        <v>6660</v>
      </c>
      <c r="C3329" s="1" t="s">
        <v>5</v>
      </c>
    </row>
    <row r="3330" spans="1:3" x14ac:dyDescent="0.25">
      <c r="A3330" s="1" t="s">
        <v>6661</v>
      </c>
      <c r="B3330" s="1" t="s">
        <v>6662</v>
      </c>
      <c r="C3330" s="1" t="s">
        <v>5</v>
      </c>
    </row>
    <row r="3331" spans="1:3" x14ac:dyDescent="0.25">
      <c r="A3331" s="1" t="s">
        <v>6663</v>
      </c>
      <c r="B3331" s="1" t="s">
        <v>6664</v>
      </c>
      <c r="C3331" s="1" t="s">
        <v>5</v>
      </c>
    </row>
    <row r="3332" spans="1:3" x14ac:dyDescent="0.25">
      <c r="A3332" s="1" t="s">
        <v>6665</v>
      </c>
      <c r="B3332" s="1" t="s">
        <v>6666</v>
      </c>
      <c r="C3332" s="1" t="s">
        <v>5</v>
      </c>
    </row>
    <row r="3333" spans="1:3" x14ac:dyDescent="0.25">
      <c r="A3333" s="1" t="s">
        <v>6667</v>
      </c>
      <c r="B3333" s="1" t="s">
        <v>6668</v>
      </c>
      <c r="C3333" s="1" t="s">
        <v>5</v>
      </c>
    </row>
    <row r="3334" spans="1:3" x14ac:dyDescent="0.25">
      <c r="A3334" s="1" t="s">
        <v>6669</v>
      </c>
      <c r="B3334" s="1" t="s">
        <v>6670</v>
      </c>
      <c r="C3334" s="1" t="s">
        <v>5</v>
      </c>
    </row>
    <row r="3335" spans="1:3" x14ac:dyDescent="0.25">
      <c r="A3335" s="1" t="s">
        <v>6671</v>
      </c>
      <c r="B3335" s="1" t="s">
        <v>6672</v>
      </c>
      <c r="C3335" s="1" t="s">
        <v>5</v>
      </c>
    </row>
    <row r="3336" spans="1:3" x14ac:dyDescent="0.25">
      <c r="A3336" s="1" t="s">
        <v>6673</v>
      </c>
      <c r="B3336" s="1" t="s">
        <v>6674</v>
      </c>
      <c r="C3336" s="1" t="s">
        <v>5</v>
      </c>
    </row>
    <row r="3337" spans="1:3" x14ac:dyDescent="0.25">
      <c r="A3337" s="1" t="s">
        <v>6675</v>
      </c>
      <c r="B3337" s="1" t="s">
        <v>6676</v>
      </c>
      <c r="C3337" s="1" t="s">
        <v>5</v>
      </c>
    </row>
    <row r="3338" spans="1:3" x14ac:dyDescent="0.25">
      <c r="A3338" s="1" t="s">
        <v>6677</v>
      </c>
      <c r="B3338" s="1" t="s">
        <v>6678</v>
      </c>
      <c r="C3338" s="1" t="s">
        <v>5</v>
      </c>
    </row>
    <row r="3339" spans="1:3" x14ac:dyDescent="0.25">
      <c r="A3339" s="1" t="s">
        <v>6679</v>
      </c>
      <c r="B3339" s="1" t="s">
        <v>6680</v>
      </c>
      <c r="C3339" s="1" t="s">
        <v>5</v>
      </c>
    </row>
    <row r="3340" spans="1:3" x14ac:dyDescent="0.25">
      <c r="A3340" s="1" t="s">
        <v>6681</v>
      </c>
      <c r="B3340" s="1" t="s">
        <v>6682</v>
      </c>
      <c r="C3340" s="1" t="s">
        <v>5</v>
      </c>
    </row>
    <row r="3341" spans="1:3" x14ac:dyDescent="0.25">
      <c r="A3341" s="1" t="s">
        <v>6683</v>
      </c>
      <c r="B3341" s="1" t="s">
        <v>6684</v>
      </c>
      <c r="C3341" s="1" t="s">
        <v>5</v>
      </c>
    </row>
    <row r="3342" spans="1:3" x14ac:dyDescent="0.25">
      <c r="A3342" s="1" t="s">
        <v>6685</v>
      </c>
      <c r="B3342" s="1" t="s">
        <v>6686</v>
      </c>
      <c r="C3342" s="1" t="s">
        <v>5</v>
      </c>
    </row>
    <row r="3343" spans="1:3" x14ac:dyDescent="0.25">
      <c r="A3343" s="1" t="s">
        <v>6687</v>
      </c>
      <c r="B3343" s="1" t="s">
        <v>6688</v>
      </c>
      <c r="C3343" s="1" t="s">
        <v>5</v>
      </c>
    </row>
    <row r="3344" spans="1:3" x14ac:dyDescent="0.25">
      <c r="A3344" s="1" t="s">
        <v>6689</v>
      </c>
      <c r="B3344" s="1" t="s">
        <v>6690</v>
      </c>
      <c r="C3344" s="1" t="s">
        <v>5</v>
      </c>
    </row>
    <row r="3345" spans="1:3" x14ac:dyDescent="0.25">
      <c r="A3345" s="1" t="s">
        <v>6691</v>
      </c>
      <c r="B3345" s="1" t="s">
        <v>6692</v>
      </c>
      <c r="C3345" s="1" t="s">
        <v>5</v>
      </c>
    </row>
    <row r="3346" spans="1:3" x14ac:dyDescent="0.25">
      <c r="A3346" s="1" t="s">
        <v>6693</v>
      </c>
      <c r="B3346" s="1" t="s">
        <v>6694</v>
      </c>
      <c r="C3346" s="1" t="s">
        <v>5</v>
      </c>
    </row>
    <row r="3347" spans="1:3" x14ac:dyDescent="0.25">
      <c r="A3347" s="1" t="s">
        <v>6695</v>
      </c>
      <c r="B3347" s="1" t="s">
        <v>6696</v>
      </c>
      <c r="C3347" s="1" t="s">
        <v>5</v>
      </c>
    </row>
    <row r="3348" spans="1:3" x14ac:dyDescent="0.25">
      <c r="A3348" s="1" t="s">
        <v>6697</v>
      </c>
      <c r="B3348" s="1" t="s">
        <v>6698</v>
      </c>
      <c r="C3348" s="1" t="s">
        <v>5</v>
      </c>
    </row>
    <row r="3349" spans="1:3" x14ac:dyDescent="0.25">
      <c r="A3349" s="1" t="s">
        <v>6699</v>
      </c>
      <c r="B3349" s="1" t="s">
        <v>6700</v>
      </c>
      <c r="C3349" s="1" t="s">
        <v>5</v>
      </c>
    </row>
    <row r="3350" spans="1:3" x14ac:dyDescent="0.25">
      <c r="A3350" s="1" t="s">
        <v>6701</v>
      </c>
      <c r="B3350" s="1" t="s">
        <v>6702</v>
      </c>
      <c r="C3350" s="1" t="s">
        <v>5</v>
      </c>
    </row>
    <row r="3351" spans="1:3" x14ac:dyDescent="0.25">
      <c r="A3351" s="1" t="s">
        <v>6703</v>
      </c>
      <c r="B3351" s="1" t="s">
        <v>6704</v>
      </c>
      <c r="C3351" s="1" t="s">
        <v>5</v>
      </c>
    </row>
    <row r="3352" spans="1:3" x14ac:dyDescent="0.25">
      <c r="A3352" s="1" t="s">
        <v>6705</v>
      </c>
      <c r="B3352" s="1" t="s">
        <v>6706</v>
      </c>
      <c r="C3352" s="1" t="s">
        <v>5</v>
      </c>
    </row>
    <row r="3353" spans="1:3" x14ac:dyDescent="0.25">
      <c r="A3353" s="1" t="s">
        <v>6707</v>
      </c>
      <c r="B3353" s="1" t="s">
        <v>6708</v>
      </c>
      <c r="C3353" s="1" t="s">
        <v>5</v>
      </c>
    </row>
    <row r="3354" spans="1:3" x14ac:dyDescent="0.25">
      <c r="A3354" s="1" t="s">
        <v>6709</v>
      </c>
      <c r="B3354" s="1" t="s">
        <v>6710</v>
      </c>
      <c r="C3354" s="1" t="s">
        <v>5</v>
      </c>
    </row>
    <row r="3355" spans="1:3" x14ac:dyDescent="0.25">
      <c r="A3355" s="1" t="s">
        <v>6711</v>
      </c>
      <c r="B3355" s="1" t="s">
        <v>6712</v>
      </c>
      <c r="C3355" s="1" t="s">
        <v>5</v>
      </c>
    </row>
    <row r="3356" spans="1:3" x14ac:dyDescent="0.25">
      <c r="A3356" s="1" t="s">
        <v>6713</v>
      </c>
      <c r="B3356" s="1" t="s">
        <v>6714</v>
      </c>
      <c r="C3356" s="1" t="s">
        <v>5</v>
      </c>
    </row>
    <row r="3357" spans="1:3" x14ac:dyDescent="0.25">
      <c r="A3357" s="1" t="s">
        <v>6715</v>
      </c>
      <c r="B3357" s="1" t="s">
        <v>6716</v>
      </c>
      <c r="C3357" s="1" t="s">
        <v>5</v>
      </c>
    </row>
    <row r="3358" spans="1:3" x14ac:dyDescent="0.25">
      <c r="A3358" s="1" t="s">
        <v>6717</v>
      </c>
      <c r="B3358" s="1" t="s">
        <v>6718</v>
      </c>
      <c r="C3358" s="1" t="s">
        <v>5</v>
      </c>
    </row>
    <row r="3359" spans="1:3" x14ac:dyDescent="0.25">
      <c r="A3359" s="1" t="s">
        <v>6719</v>
      </c>
      <c r="B3359" s="1" t="s">
        <v>6720</v>
      </c>
      <c r="C3359" s="1" t="s">
        <v>5</v>
      </c>
    </row>
    <row r="3360" spans="1:3" x14ac:dyDescent="0.25">
      <c r="A3360" s="1" t="s">
        <v>6721</v>
      </c>
      <c r="B3360" s="1" t="s">
        <v>6722</v>
      </c>
      <c r="C3360" s="1" t="s">
        <v>5</v>
      </c>
    </row>
    <row r="3361" spans="1:3" x14ac:dyDescent="0.25">
      <c r="A3361" s="1" t="s">
        <v>6723</v>
      </c>
      <c r="B3361" s="1" t="s">
        <v>6724</v>
      </c>
      <c r="C3361" s="1" t="s">
        <v>5</v>
      </c>
    </row>
    <row r="3362" spans="1:3" x14ac:dyDescent="0.25">
      <c r="A3362" s="1" t="s">
        <v>6725</v>
      </c>
      <c r="B3362" s="1" t="s">
        <v>6726</v>
      </c>
      <c r="C3362" s="1" t="s">
        <v>5</v>
      </c>
    </row>
    <row r="3363" spans="1:3" x14ac:dyDescent="0.25">
      <c r="A3363" s="1" t="s">
        <v>6727</v>
      </c>
      <c r="B3363" s="1" t="s">
        <v>6728</v>
      </c>
      <c r="C3363" s="1" t="s">
        <v>5</v>
      </c>
    </row>
    <row r="3364" spans="1:3" x14ac:dyDescent="0.25">
      <c r="A3364" s="1" t="s">
        <v>6729</v>
      </c>
      <c r="B3364" s="1" t="s">
        <v>6730</v>
      </c>
      <c r="C3364" s="1" t="s">
        <v>5</v>
      </c>
    </row>
    <row r="3365" spans="1:3" x14ac:dyDescent="0.25">
      <c r="A3365" s="1" t="s">
        <v>6731</v>
      </c>
      <c r="B3365" s="1" t="s">
        <v>6732</v>
      </c>
      <c r="C3365" s="1" t="s">
        <v>5</v>
      </c>
    </row>
    <row r="3366" spans="1:3" x14ac:dyDescent="0.25">
      <c r="A3366" s="1" t="s">
        <v>6733</v>
      </c>
      <c r="B3366" s="1" t="s">
        <v>6734</v>
      </c>
      <c r="C3366" s="1" t="s">
        <v>5</v>
      </c>
    </row>
    <row r="3367" spans="1:3" x14ac:dyDescent="0.25">
      <c r="A3367" s="1" t="s">
        <v>6735</v>
      </c>
      <c r="B3367" s="1" t="s">
        <v>6736</v>
      </c>
      <c r="C3367" s="1" t="s">
        <v>5</v>
      </c>
    </row>
    <row r="3368" spans="1:3" x14ac:dyDescent="0.25">
      <c r="A3368" s="1" t="s">
        <v>6737</v>
      </c>
      <c r="B3368" s="1" t="s">
        <v>6738</v>
      </c>
      <c r="C3368" s="1" t="s">
        <v>5</v>
      </c>
    </row>
    <row r="3369" spans="1:3" x14ac:dyDescent="0.25">
      <c r="A3369" s="1" t="s">
        <v>6739</v>
      </c>
      <c r="B3369" s="1" t="s">
        <v>6740</v>
      </c>
      <c r="C3369" s="1" t="s">
        <v>5</v>
      </c>
    </row>
    <row r="3370" spans="1:3" x14ac:dyDescent="0.25">
      <c r="A3370" s="1" t="s">
        <v>6741</v>
      </c>
      <c r="B3370" s="1" t="s">
        <v>6742</v>
      </c>
      <c r="C3370" s="1" t="s">
        <v>5</v>
      </c>
    </row>
    <row r="3371" spans="1:3" x14ac:dyDescent="0.25">
      <c r="A3371" s="1" t="s">
        <v>6743</v>
      </c>
      <c r="B3371" s="1" t="s">
        <v>6744</v>
      </c>
      <c r="C3371" s="1" t="s">
        <v>5</v>
      </c>
    </row>
    <row r="3372" spans="1:3" x14ac:dyDescent="0.25">
      <c r="A3372" s="1" t="s">
        <v>6745</v>
      </c>
      <c r="B3372" s="1" t="s">
        <v>6746</v>
      </c>
      <c r="C3372" s="1" t="s">
        <v>5</v>
      </c>
    </row>
    <row r="3373" spans="1:3" x14ac:dyDescent="0.25">
      <c r="A3373" s="1" t="s">
        <v>6747</v>
      </c>
      <c r="B3373" s="1" t="s">
        <v>6748</v>
      </c>
      <c r="C3373" s="1" t="s">
        <v>5</v>
      </c>
    </row>
    <row r="3374" spans="1:3" x14ac:dyDescent="0.25">
      <c r="A3374" s="1" t="s">
        <v>6749</v>
      </c>
      <c r="B3374" s="1" t="s">
        <v>6750</v>
      </c>
      <c r="C3374" s="1" t="s">
        <v>5</v>
      </c>
    </row>
    <row r="3375" spans="1:3" x14ac:dyDescent="0.25">
      <c r="A3375" s="1" t="s">
        <v>6751</v>
      </c>
      <c r="B3375" s="1" t="s">
        <v>6752</v>
      </c>
      <c r="C3375" s="1" t="s">
        <v>5</v>
      </c>
    </row>
    <row r="3376" spans="1:3" x14ac:dyDescent="0.25">
      <c r="A3376" s="1" t="s">
        <v>6753</v>
      </c>
      <c r="B3376" s="1" t="s">
        <v>6754</v>
      </c>
      <c r="C3376" s="1" t="s">
        <v>5</v>
      </c>
    </row>
    <row r="3377" spans="1:3" x14ac:dyDescent="0.25">
      <c r="A3377" s="1" t="s">
        <v>6755</v>
      </c>
      <c r="B3377" s="1" t="s">
        <v>6756</v>
      </c>
      <c r="C3377" s="1" t="s">
        <v>5</v>
      </c>
    </row>
    <row r="3378" spans="1:3" x14ac:dyDescent="0.25">
      <c r="A3378" s="1" t="s">
        <v>6757</v>
      </c>
      <c r="B3378" s="1" t="s">
        <v>6758</v>
      </c>
      <c r="C3378" s="1" t="s">
        <v>5</v>
      </c>
    </row>
    <row r="3379" spans="1:3" x14ac:dyDescent="0.25">
      <c r="A3379" s="1" t="s">
        <v>6759</v>
      </c>
      <c r="B3379" s="1" t="s">
        <v>6760</v>
      </c>
      <c r="C3379" s="1" t="s">
        <v>5</v>
      </c>
    </row>
    <row r="3380" spans="1:3" x14ac:dyDescent="0.25">
      <c r="A3380" s="1" t="s">
        <v>6761</v>
      </c>
      <c r="B3380" s="1" t="s">
        <v>6762</v>
      </c>
      <c r="C3380" s="1" t="s">
        <v>5</v>
      </c>
    </row>
    <row r="3381" spans="1:3" x14ac:dyDescent="0.25">
      <c r="A3381" s="1" t="s">
        <v>6763</v>
      </c>
      <c r="B3381" s="1" t="s">
        <v>6764</v>
      </c>
      <c r="C3381" s="1" t="s">
        <v>5</v>
      </c>
    </row>
    <row r="3382" spans="1:3" x14ac:dyDescent="0.25">
      <c r="A3382" s="1" t="s">
        <v>6765</v>
      </c>
      <c r="B3382" s="1" t="s">
        <v>6766</v>
      </c>
      <c r="C3382" s="1" t="s">
        <v>5</v>
      </c>
    </row>
    <row r="3383" spans="1:3" x14ac:dyDescent="0.25">
      <c r="A3383" s="1" t="s">
        <v>6767</v>
      </c>
      <c r="B3383" s="1" t="s">
        <v>6768</v>
      </c>
      <c r="C3383" s="1" t="s">
        <v>5</v>
      </c>
    </row>
    <row r="3384" spans="1:3" x14ac:dyDescent="0.25">
      <c r="A3384" s="1" t="s">
        <v>6769</v>
      </c>
      <c r="B3384" s="1" t="s">
        <v>6770</v>
      </c>
      <c r="C3384" s="1" t="s">
        <v>5</v>
      </c>
    </row>
    <row r="3385" spans="1:3" x14ac:dyDescent="0.25">
      <c r="A3385" s="1" t="s">
        <v>6771</v>
      </c>
      <c r="B3385" s="1" t="s">
        <v>6772</v>
      </c>
      <c r="C3385" s="1" t="s">
        <v>5</v>
      </c>
    </row>
    <row r="3386" spans="1:3" x14ac:dyDescent="0.25">
      <c r="A3386" s="1" t="s">
        <v>6773</v>
      </c>
      <c r="B3386" s="1" t="s">
        <v>6774</v>
      </c>
      <c r="C3386" s="1" t="s">
        <v>5</v>
      </c>
    </row>
    <row r="3387" spans="1:3" x14ac:dyDescent="0.25">
      <c r="A3387" s="1" t="s">
        <v>6775</v>
      </c>
      <c r="B3387" s="1" t="s">
        <v>6776</v>
      </c>
      <c r="C3387" s="1" t="s">
        <v>5</v>
      </c>
    </row>
    <row r="3388" spans="1:3" x14ac:dyDescent="0.25">
      <c r="A3388" s="1" t="s">
        <v>6777</v>
      </c>
      <c r="B3388" s="1" t="s">
        <v>6778</v>
      </c>
      <c r="C3388" s="1" t="s">
        <v>5</v>
      </c>
    </row>
    <row r="3389" spans="1:3" x14ac:dyDescent="0.25">
      <c r="A3389" s="1" t="s">
        <v>6779</v>
      </c>
      <c r="B3389" s="1" t="s">
        <v>6780</v>
      </c>
      <c r="C3389" s="1" t="s">
        <v>5</v>
      </c>
    </row>
    <row r="3390" spans="1:3" x14ac:dyDescent="0.25">
      <c r="A3390" s="1" t="s">
        <v>6781</v>
      </c>
      <c r="B3390" s="1" t="s">
        <v>6782</v>
      </c>
      <c r="C3390" s="1" t="s">
        <v>5</v>
      </c>
    </row>
    <row r="3391" spans="1:3" x14ac:dyDescent="0.25">
      <c r="A3391" s="1" t="s">
        <v>6783</v>
      </c>
      <c r="B3391" s="1" t="s">
        <v>6784</v>
      </c>
      <c r="C3391" s="1" t="s">
        <v>5</v>
      </c>
    </row>
    <row r="3392" spans="1:3" x14ac:dyDescent="0.25">
      <c r="A3392" s="1" t="s">
        <v>6785</v>
      </c>
      <c r="B3392" s="1" t="s">
        <v>6786</v>
      </c>
      <c r="C3392" s="1" t="s">
        <v>5</v>
      </c>
    </row>
    <row r="3393" spans="1:3" x14ac:dyDescent="0.25">
      <c r="A3393" s="1" t="s">
        <v>6787</v>
      </c>
      <c r="B3393" s="1" t="s">
        <v>6788</v>
      </c>
      <c r="C3393" s="1" t="s">
        <v>5</v>
      </c>
    </row>
    <row r="3394" spans="1:3" x14ac:dyDescent="0.25">
      <c r="A3394" s="1" t="s">
        <v>6789</v>
      </c>
      <c r="B3394" s="1" t="s">
        <v>6790</v>
      </c>
      <c r="C3394" s="1" t="s">
        <v>5</v>
      </c>
    </row>
    <row r="3395" spans="1:3" x14ac:dyDescent="0.25">
      <c r="A3395" s="1" t="s">
        <v>6791</v>
      </c>
      <c r="B3395" s="1" t="s">
        <v>6792</v>
      </c>
      <c r="C3395" s="1" t="s">
        <v>5</v>
      </c>
    </row>
    <row r="3396" spans="1:3" x14ac:dyDescent="0.25">
      <c r="A3396" s="1" t="s">
        <v>6793</v>
      </c>
      <c r="B3396" s="1" t="s">
        <v>6794</v>
      </c>
      <c r="C3396" s="1" t="s">
        <v>5</v>
      </c>
    </row>
    <row r="3397" spans="1:3" x14ac:dyDescent="0.25">
      <c r="A3397" s="1" t="s">
        <v>6795</v>
      </c>
      <c r="B3397" s="1" t="s">
        <v>6796</v>
      </c>
      <c r="C3397" s="1" t="s">
        <v>5</v>
      </c>
    </row>
    <row r="3398" spans="1:3" x14ac:dyDescent="0.25">
      <c r="A3398" s="1" t="s">
        <v>6797</v>
      </c>
      <c r="B3398" s="1" t="s">
        <v>6798</v>
      </c>
      <c r="C3398" s="1" t="s">
        <v>5</v>
      </c>
    </row>
    <row r="3399" spans="1:3" x14ac:dyDescent="0.25">
      <c r="A3399" s="1" t="s">
        <v>6799</v>
      </c>
      <c r="B3399" s="1" t="s">
        <v>6800</v>
      </c>
      <c r="C3399" s="1" t="s">
        <v>5</v>
      </c>
    </row>
    <row r="3400" spans="1:3" x14ac:dyDescent="0.25">
      <c r="A3400" s="1" t="s">
        <v>6801</v>
      </c>
      <c r="B3400" s="1" t="s">
        <v>6802</v>
      </c>
      <c r="C3400" s="1" t="s">
        <v>5</v>
      </c>
    </row>
    <row r="3401" spans="1:3" x14ac:dyDescent="0.25">
      <c r="A3401" s="1" t="s">
        <v>6803</v>
      </c>
      <c r="B3401" s="1" t="s">
        <v>6804</v>
      </c>
      <c r="C3401" s="1" t="s">
        <v>5</v>
      </c>
    </row>
    <row r="3402" spans="1:3" x14ac:dyDescent="0.25">
      <c r="A3402" s="1" t="s">
        <v>6805</v>
      </c>
      <c r="B3402" s="1" t="s">
        <v>6806</v>
      </c>
      <c r="C3402" s="1" t="s">
        <v>5</v>
      </c>
    </row>
    <row r="3403" spans="1:3" x14ac:dyDescent="0.25">
      <c r="A3403" s="1" t="s">
        <v>6807</v>
      </c>
      <c r="B3403" s="1" t="s">
        <v>6808</v>
      </c>
      <c r="C3403" s="1" t="s">
        <v>5</v>
      </c>
    </row>
    <row r="3404" spans="1:3" x14ac:dyDescent="0.25">
      <c r="A3404" s="1" t="s">
        <v>6809</v>
      </c>
      <c r="B3404" s="1" t="s">
        <v>6810</v>
      </c>
      <c r="C3404" s="1" t="s">
        <v>5</v>
      </c>
    </row>
    <row r="3405" spans="1:3" x14ac:dyDescent="0.25">
      <c r="A3405" s="1" t="s">
        <v>6811</v>
      </c>
      <c r="B3405" s="1" t="s">
        <v>6812</v>
      </c>
      <c r="C3405" s="1" t="s">
        <v>5</v>
      </c>
    </row>
    <row r="3406" spans="1:3" x14ac:dyDescent="0.25">
      <c r="A3406" s="1" t="s">
        <v>6813</v>
      </c>
      <c r="B3406" s="1" t="s">
        <v>6814</v>
      </c>
      <c r="C3406" s="1" t="s">
        <v>5</v>
      </c>
    </row>
    <row r="3407" spans="1:3" x14ac:dyDescent="0.25">
      <c r="A3407" s="1" t="s">
        <v>6815</v>
      </c>
      <c r="B3407" s="1" t="s">
        <v>6816</v>
      </c>
      <c r="C3407" s="1" t="s">
        <v>5</v>
      </c>
    </row>
    <row r="3408" spans="1:3" x14ac:dyDescent="0.25">
      <c r="A3408" s="1" t="s">
        <v>6817</v>
      </c>
      <c r="B3408" s="1" t="s">
        <v>6818</v>
      </c>
      <c r="C3408" s="1" t="s">
        <v>5</v>
      </c>
    </row>
    <row r="3409" spans="1:3" x14ac:dyDescent="0.25">
      <c r="A3409" s="1" t="s">
        <v>6819</v>
      </c>
      <c r="B3409" s="1" t="s">
        <v>6820</v>
      </c>
      <c r="C3409" s="1" t="s">
        <v>5</v>
      </c>
    </row>
    <row r="3410" spans="1:3" x14ac:dyDescent="0.25">
      <c r="A3410" s="1" t="s">
        <v>6821</v>
      </c>
      <c r="B3410" s="1" t="s">
        <v>6822</v>
      </c>
      <c r="C3410" s="1" t="s">
        <v>5</v>
      </c>
    </row>
    <row r="3411" spans="1:3" x14ac:dyDescent="0.25">
      <c r="A3411" s="1" t="s">
        <v>6823</v>
      </c>
      <c r="B3411" s="1" t="s">
        <v>6824</v>
      </c>
      <c r="C3411" s="1" t="s">
        <v>5</v>
      </c>
    </row>
    <row r="3412" spans="1:3" x14ac:dyDescent="0.25">
      <c r="A3412" s="1" t="s">
        <v>6825</v>
      </c>
      <c r="B3412" s="1" t="s">
        <v>6826</v>
      </c>
      <c r="C3412" s="1" t="s">
        <v>5</v>
      </c>
    </row>
    <row r="3413" spans="1:3" x14ac:dyDescent="0.25">
      <c r="A3413" s="1" t="s">
        <v>6827</v>
      </c>
      <c r="B3413" s="1" t="s">
        <v>6828</v>
      </c>
      <c r="C3413" s="1" t="s">
        <v>5</v>
      </c>
    </row>
    <row r="3414" spans="1:3" x14ac:dyDescent="0.25">
      <c r="A3414" s="1" t="s">
        <v>6829</v>
      </c>
      <c r="B3414" s="1" t="s">
        <v>6830</v>
      </c>
      <c r="C3414" s="1" t="s">
        <v>5</v>
      </c>
    </row>
    <row r="3415" spans="1:3" x14ac:dyDescent="0.25">
      <c r="A3415" s="1" t="s">
        <v>6831</v>
      </c>
      <c r="B3415" s="1" t="s">
        <v>6832</v>
      </c>
      <c r="C3415" s="1" t="s">
        <v>5</v>
      </c>
    </row>
    <row r="3416" spans="1:3" x14ac:dyDescent="0.25">
      <c r="A3416" s="1" t="s">
        <v>6833</v>
      </c>
      <c r="B3416" s="1" t="s">
        <v>6834</v>
      </c>
      <c r="C3416" s="1" t="s">
        <v>5</v>
      </c>
    </row>
    <row r="3417" spans="1:3" x14ac:dyDescent="0.25">
      <c r="A3417" s="1" t="s">
        <v>6835</v>
      </c>
      <c r="B3417" s="1" t="s">
        <v>6836</v>
      </c>
      <c r="C3417" s="1" t="s">
        <v>5</v>
      </c>
    </row>
    <row r="3418" spans="1:3" x14ac:dyDescent="0.25">
      <c r="A3418" s="1" t="s">
        <v>6837</v>
      </c>
      <c r="B3418" s="1" t="s">
        <v>6838</v>
      </c>
      <c r="C3418" s="1" t="s">
        <v>5</v>
      </c>
    </row>
    <row r="3419" spans="1:3" x14ac:dyDescent="0.25">
      <c r="A3419" s="1" t="s">
        <v>6839</v>
      </c>
      <c r="B3419" s="1" t="s">
        <v>6840</v>
      </c>
      <c r="C3419" s="1" t="s">
        <v>5</v>
      </c>
    </row>
    <row r="3420" spans="1:3" x14ac:dyDescent="0.25">
      <c r="A3420" s="1" t="s">
        <v>6841</v>
      </c>
      <c r="B3420" s="1" t="s">
        <v>6842</v>
      </c>
      <c r="C3420" s="1" t="s">
        <v>5</v>
      </c>
    </row>
    <row r="3421" spans="1:3" x14ac:dyDescent="0.25">
      <c r="A3421" s="1" t="s">
        <v>6843</v>
      </c>
      <c r="B3421" s="1" t="s">
        <v>6844</v>
      </c>
      <c r="C3421" s="1" t="s">
        <v>5</v>
      </c>
    </row>
    <row r="3422" spans="1:3" x14ac:dyDescent="0.25">
      <c r="A3422" s="1" t="s">
        <v>6845</v>
      </c>
      <c r="B3422" s="1" t="s">
        <v>6846</v>
      </c>
      <c r="C3422" s="1" t="s">
        <v>5</v>
      </c>
    </row>
    <row r="3423" spans="1:3" x14ac:dyDescent="0.25">
      <c r="A3423" s="1" t="s">
        <v>6847</v>
      </c>
      <c r="B3423" s="1" t="s">
        <v>6848</v>
      </c>
      <c r="C3423" s="1" t="s">
        <v>5</v>
      </c>
    </row>
    <row r="3424" spans="1:3" x14ac:dyDescent="0.25">
      <c r="A3424" s="1" t="s">
        <v>6849</v>
      </c>
      <c r="B3424" s="1" t="s">
        <v>6850</v>
      </c>
      <c r="C3424" s="1" t="s">
        <v>5</v>
      </c>
    </row>
    <row r="3425" spans="1:3" x14ac:dyDescent="0.25">
      <c r="A3425" s="1" t="s">
        <v>6851</v>
      </c>
      <c r="B3425" s="1" t="s">
        <v>6852</v>
      </c>
      <c r="C3425" s="1" t="s">
        <v>5</v>
      </c>
    </row>
    <row r="3426" spans="1:3" x14ac:dyDescent="0.25">
      <c r="A3426" s="1" t="s">
        <v>6853</v>
      </c>
      <c r="B3426" s="1" t="s">
        <v>6854</v>
      </c>
      <c r="C3426" s="1" t="s">
        <v>5</v>
      </c>
    </row>
    <row r="3427" spans="1:3" x14ac:dyDescent="0.25">
      <c r="A3427" s="1" t="s">
        <v>6855</v>
      </c>
      <c r="B3427" s="1" t="s">
        <v>6856</v>
      </c>
      <c r="C3427" s="1" t="s">
        <v>5</v>
      </c>
    </row>
    <row r="3428" spans="1:3" x14ac:dyDescent="0.25">
      <c r="A3428" s="1" t="s">
        <v>6857</v>
      </c>
      <c r="B3428" s="1" t="s">
        <v>6858</v>
      </c>
      <c r="C3428" s="1" t="s">
        <v>5</v>
      </c>
    </row>
    <row r="3429" spans="1:3" x14ac:dyDescent="0.25">
      <c r="A3429" s="1" t="s">
        <v>6859</v>
      </c>
      <c r="B3429" s="1" t="s">
        <v>6860</v>
      </c>
      <c r="C3429" s="1" t="s">
        <v>5</v>
      </c>
    </row>
    <row r="3430" spans="1:3" x14ac:dyDescent="0.25">
      <c r="A3430" s="1" t="s">
        <v>6861</v>
      </c>
      <c r="B3430" s="1" t="s">
        <v>6862</v>
      </c>
      <c r="C3430" s="1" t="s">
        <v>5</v>
      </c>
    </row>
    <row r="3431" spans="1:3" x14ac:dyDescent="0.25">
      <c r="A3431" s="1" t="s">
        <v>6863</v>
      </c>
      <c r="B3431" s="1" t="s">
        <v>6864</v>
      </c>
      <c r="C3431" s="1" t="s">
        <v>5</v>
      </c>
    </row>
    <row r="3432" spans="1:3" x14ac:dyDescent="0.25">
      <c r="A3432" s="1" t="s">
        <v>6865</v>
      </c>
      <c r="B3432" s="1" t="s">
        <v>6866</v>
      </c>
      <c r="C3432" s="1" t="s">
        <v>5</v>
      </c>
    </row>
    <row r="3433" spans="1:3" x14ac:dyDescent="0.25">
      <c r="A3433" s="1" t="s">
        <v>6867</v>
      </c>
      <c r="B3433" s="1" t="s">
        <v>6868</v>
      </c>
      <c r="C3433" s="1" t="s">
        <v>5</v>
      </c>
    </row>
    <row r="3434" spans="1:3" x14ac:dyDescent="0.25">
      <c r="A3434" s="1" t="s">
        <v>6869</v>
      </c>
      <c r="B3434" s="1" t="s">
        <v>6870</v>
      </c>
      <c r="C3434" s="1" t="s">
        <v>5</v>
      </c>
    </row>
    <row r="3435" spans="1:3" x14ac:dyDescent="0.25">
      <c r="A3435" s="1" t="s">
        <v>6871</v>
      </c>
      <c r="B3435" s="1" t="s">
        <v>6872</v>
      </c>
      <c r="C3435" s="1" t="s">
        <v>5</v>
      </c>
    </row>
    <row r="3436" spans="1:3" x14ac:dyDescent="0.25">
      <c r="A3436" s="1" t="s">
        <v>6873</v>
      </c>
      <c r="B3436" s="1" t="s">
        <v>6874</v>
      </c>
      <c r="C3436" s="1" t="s">
        <v>5</v>
      </c>
    </row>
    <row r="3437" spans="1:3" x14ac:dyDescent="0.25">
      <c r="A3437" s="1" t="s">
        <v>6875</v>
      </c>
      <c r="B3437" s="1" t="s">
        <v>6876</v>
      </c>
      <c r="C3437" s="1" t="s">
        <v>5</v>
      </c>
    </row>
    <row r="3438" spans="1:3" x14ac:dyDescent="0.25">
      <c r="A3438" s="1" t="s">
        <v>6877</v>
      </c>
      <c r="B3438" s="1" t="s">
        <v>6878</v>
      </c>
      <c r="C3438" s="1" t="s">
        <v>5</v>
      </c>
    </row>
    <row r="3439" spans="1:3" x14ac:dyDescent="0.25">
      <c r="A3439" s="1" t="s">
        <v>6879</v>
      </c>
      <c r="B3439" s="1" t="s">
        <v>6880</v>
      </c>
      <c r="C3439" s="1" t="s">
        <v>5</v>
      </c>
    </row>
    <row r="3440" spans="1:3" x14ac:dyDescent="0.25">
      <c r="A3440" s="1" t="s">
        <v>6881</v>
      </c>
      <c r="B3440" s="1" t="s">
        <v>6882</v>
      </c>
      <c r="C3440" s="1" t="s">
        <v>5</v>
      </c>
    </row>
    <row r="3441" spans="1:3" x14ac:dyDescent="0.25">
      <c r="A3441" s="1" t="s">
        <v>6883</v>
      </c>
      <c r="B3441" s="1" t="s">
        <v>6884</v>
      </c>
      <c r="C3441" s="1" t="s">
        <v>5</v>
      </c>
    </row>
    <row r="3442" spans="1:3" x14ac:dyDescent="0.25">
      <c r="A3442" s="1" t="s">
        <v>6885</v>
      </c>
      <c r="B3442" s="1" t="s">
        <v>6886</v>
      </c>
      <c r="C3442" s="1" t="s">
        <v>5</v>
      </c>
    </row>
    <row r="3443" spans="1:3" x14ac:dyDescent="0.25">
      <c r="A3443" s="1" t="s">
        <v>6887</v>
      </c>
      <c r="B3443" s="1" t="s">
        <v>6888</v>
      </c>
      <c r="C3443" s="1" t="s">
        <v>5</v>
      </c>
    </row>
    <row r="3444" spans="1:3" x14ac:dyDescent="0.25">
      <c r="A3444" s="1" t="s">
        <v>6889</v>
      </c>
      <c r="B3444" s="1" t="s">
        <v>6890</v>
      </c>
      <c r="C3444" s="1" t="s">
        <v>5</v>
      </c>
    </row>
    <row r="3445" spans="1:3" x14ac:dyDescent="0.25">
      <c r="A3445" s="1" t="s">
        <v>6891</v>
      </c>
      <c r="B3445" s="1" t="s">
        <v>6892</v>
      </c>
      <c r="C3445" s="1" t="s">
        <v>5</v>
      </c>
    </row>
    <row r="3446" spans="1:3" x14ac:dyDescent="0.25">
      <c r="A3446" s="1" t="s">
        <v>6893</v>
      </c>
      <c r="B3446" s="1" t="s">
        <v>6894</v>
      </c>
      <c r="C3446" s="1" t="s">
        <v>5</v>
      </c>
    </row>
    <row r="3447" spans="1:3" x14ac:dyDescent="0.25">
      <c r="A3447" s="1" t="s">
        <v>6895</v>
      </c>
      <c r="B3447" s="1" t="s">
        <v>6896</v>
      </c>
      <c r="C3447" s="1" t="s">
        <v>5</v>
      </c>
    </row>
    <row r="3448" spans="1:3" x14ac:dyDescent="0.25">
      <c r="A3448" s="1" t="s">
        <v>6897</v>
      </c>
      <c r="B3448" s="1" t="s">
        <v>6898</v>
      </c>
      <c r="C3448" s="1" t="s">
        <v>5</v>
      </c>
    </row>
    <row r="3449" spans="1:3" x14ac:dyDescent="0.25">
      <c r="A3449" s="1" t="s">
        <v>6899</v>
      </c>
      <c r="B3449" s="1" t="s">
        <v>6900</v>
      </c>
      <c r="C3449" s="1" t="s">
        <v>5</v>
      </c>
    </row>
    <row r="3450" spans="1:3" x14ac:dyDescent="0.25">
      <c r="A3450" s="1" t="s">
        <v>6901</v>
      </c>
      <c r="B3450" s="1" t="s">
        <v>6902</v>
      </c>
      <c r="C3450" s="1" t="s">
        <v>5</v>
      </c>
    </row>
    <row r="3451" spans="1:3" x14ac:dyDescent="0.25">
      <c r="A3451" s="1" t="s">
        <v>6903</v>
      </c>
      <c r="B3451" s="1" t="s">
        <v>6904</v>
      </c>
      <c r="C3451" s="1" t="s">
        <v>5</v>
      </c>
    </row>
    <row r="3452" spans="1:3" x14ac:dyDescent="0.25">
      <c r="A3452" s="1" t="s">
        <v>6905</v>
      </c>
      <c r="B3452" s="1" t="s">
        <v>6906</v>
      </c>
      <c r="C3452" s="1" t="s">
        <v>5</v>
      </c>
    </row>
    <row r="3453" spans="1:3" x14ac:dyDescent="0.25">
      <c r="A3453" s="1" t="s">
        <v>6907</v>
      </c>
      <c r="B3453" s="1" t="s">
        <v>6908</v>
      </c>
      <c r="C3453" s="1" t="s">
        <v>5</v>
      </c>
    </row>
    <row r="3454" spans="1:3" x14ac:dyDescent="0.25">
      <c r="A3454" s="1" t="s">
        <v>6909</v>
      </c>
      <c r="B3454" s="1" t="s">
        <v>6910</v>
      </c>
      <c r="C3454" s="1" t="s">
        <v>5</v>
      </c>
    </row>
    <row r="3455" spans="1:3" x14ac:dyDescent="0.25">
      <c r="A3455" s="1" t="s">
        <v>6911</v>
      </c>
      <c r="B3455" s="1" t="s">
        <v>6912</v>
      </c>
      <c r="C3455" s="1" t="s">
        <v>5</v>
      </c>
    </row>
    <row r="3456" spans="1:3" x14ac:dyDescent="0.25">
      <c r="A3456" s="1" t="s">
        <v>6913</v>
      </c>
      <c r="B3456" s="1" t="s">
        <v>6914</v>
      </c>
      <c r="C3456" s="1" t="s">
        <v>5</v>
      </c>
    </row>
    <row r="3457" spans="1:3" x14ac:dyDescent="0.25">
      <c r="A3457" s="1" t="s">
        <v>6915</v>
      </c>
      <c r="B3457" s="1" t="s">
        <v>6916</v>
      </c>
      <c r="C3457" s="1" t="s">
        <v>5</v>
      </c>
    </row>
    <row r="3458" spans="1:3" x14ac:dyDescent="0.25">
      <c r="A3458" s="1" t="s">
        <v>6917</v>
      </c>
      <c r="B3458" s="1" t="s">
        <v>6918</v>
      </c>
      <c r="C3458" s="1" t="s">
        <v>5</v>
      </c>
    </row>
    <row r="3459" spans="1:3" x14ac:dyDescent="0.25">
      <c r="A3459" s="1" t="s">
        <v>6919</v>
      </c>
      <c r="B3459" s="1" t="s">
        <v>6920</v>
      </c>
      <c r="C3459" s="1" t="s">
        <v>5</v>
      </c>
    </row>
    <row r="3460" spans="1:3" x14ac:dyDescent="0.25">
      <c r="A3460" s="1" t="s">
        <v>6921</v>
      </c>
      <c r="B3460" s="1" t="s">
        <v>6922</v>
      </c>
      <c r="C3460" s="1" t="s">
        <v>5</v>
      </c>
    </row>
    <row r="3461" spans="1:3" x14ac:dyDescent="0.25">
      <c r="A3461" s="1" t="s">
        <v>6923</v>
      </c>
      <c r="B3461" s="1" t="s">
        <v>6924</v>
      </c>
      <c r="C3461" s="1" t="s">
        <v>5</v>
      </c>
    </row>
    <row r="3462" spans="1:3" x14ac:dyDescent="0.25">
      <c r="A3462" s="1" t="s">
        <v>6925</v>
      </c>
      <c r="B3462" s="1" t="s">
        <v>6926</v>
      </c>
      <c r="C3462" s="1" t="s">
        <v>5</v>
      </c>
    </row>
    <row r="3463" spans="1:3" x14ac:dyDescent="0.25">
      <c r="A3463" s="1" t="s">
        <v>6927</v>
      </c>
      <c r="B3463" s="1" t="s">
        <v>6928</v>
      </c>
      <c r="C3463" s="1" t="s">
        <v>5</v>
      </c>
    </row>
    <row r="3464" spans="1:3" x14ac:dyDescent="0.25">
      <c r="A3464" s="1" t="s">
        <v>6929</v>
      </c>
      <c r="B3464" s="1" t="s">
        <v>6930</v>
      </c>
      <c r="C3464" s="1" t="s">
        <v>5</v>
      </c>
    </row>
    <row r="3465" spans="1:3" x14ac:dyDescent="0.25">
      <c r="A3465" s="1" t="s">
        <v>6931</v>
      </c>
      <c r="B3465" s="1" t="s">
        <v>6932</v>
      </c>
      <c r="C3465" s="1" t="s">
        <v>5</v>
      </c>
    </row>
    <row r="3466" spans="1:3" x14ac:dyDescent="0.25">
      <c r="A3466" s="1" t="s">
        <v>6933</v>
      </c>
      <c r="B3466" s="1" t="s">
        <v>6934</v>
      </c>
      <c r="C3466" s="1" t="s">
        <v>5</v>
      </c>
    </row>
    <row r="3467" spans="1:3" x14ac:dyDescent="0.25">
      <c r="A3467" s="1" t="s">
        <v>6935</v>
      </c>
      <c r="B3467" s="1" t="s">
        <v>6936</v>
      </c>
      <c r="C3467" s="1" t="s">
        <v>5</v>
      </c>
    </row>
    <row r="3468" spans="1:3" x14ac:dyDescent="0.25">
      <c r="A3468" s="1" t="s">
        <v>6937</v>
      </c>
      <c r="B3468" s="1" t="s">
        <v>6938</v>
      </c>
      <c r="C3468" s="1" t="s">
        <v>5</v>
      </c>
    </row>
    <row r="3469" spans="1:3" x14ac:dyDescent="0.25">
      <c r="A3469" s="1" t="s">
        <v>6939</v>
      </c>
      <c r="B3469" s="1" t="s">
        <v>6940</v>
      </c>
      <c r="C3469" s="1" t="s">
        <v>5</v>
      </c>
    </row>
    <row r="3470" spans="1:3" x14ac:dyDescent="0.25">
      <c r="A3470" s="1" t="s">
        <v>6941</v>
      </c>
      <c r="B3470" s="1" t="s">
        <v>6942</v>
      </c>
      <c r="C3470" s="1" t="s">
        <v>5</v>
      </c>
    </row>
    <row r="3471" spans="1:3" x14ac:dyDescent="0.25">
      <c r="A3471" s="1" t="s">
        <v>6943</v>
      </c>
      <c r="B3471" s="1" t="s">
        <v>6944</v>
      </c>
      <c r="C3471" s="1" t="s">
        <v>5</v>
      </c>
    </row>
    <row r="3472" spans="1:3" x14ac:dyDescent="0.25">
      <c r="A3472" s="1" t="s">
        <v>6945</v>
      </c>
      <c r="B3472" s="1" t="s">
        <v>6946</v>
      </c>
      <c r="C3472" s="1" t="s">
        <v>5</v>
      </c>
    </row>
    <row r="3473" spans="1:3" x14ac:dyDescent="0.25">
      <c r="A3473" s="1" t="s">
        <v>6947</v>
      </c>
      <c r="B3473" s="1" t="s">
        <v>6948</v>
      </c>
      <c r="C3473" s="1" t="s">
        <v>5</v>
      </c>
    </row>
    <row r="3474" spans="1:3" x14ac:dyDescent="0.25">
      <c r="A3474" s="1" t="s">
        <v>6949</v>
      </c>
      <c r="B3474" s="1" t="s">
        <v>6950</v>
      </c>
      <c r="C3474" s="1" t="s">
        <v>5</v>
      </c>
    </row>
    <row r="3475" spans="1:3" x14ac:dyDescent="0.25">
      <c r="A3475" s="1" t="s">
        <v>6951</v>
      </c>
      <c r="B3475" s="1" t="s">
        <v>6952</v>
      </c>
      <c r="C3475" s="1" t="s">
        <v>5</v>
      </c>
    </row>
    <row r="3476" spans="1:3" x14ac:dyDescent="0.25">
      <c r="A3476" s="1" t="s">
        <v>6953</v>
      </c>
      <c r="B3476" s="1" t="s">
        <v>6954</v>
      </c>
      <c r="C3476" s="1" t="s">
        <v>5</v>
      </c>
    </row>
    <row r="3477" spans="1:3" x14ac:dyDescent="0.25">
      <c r="A3477" s="1" t="s">
        <v>6955</v>
      </c>
      <c r="B3477" s="1" t="s">
        <v>6956</v>
      </c>
      <c r="C3477" s="1" t="s">
        <v>5</v>
      </c>
    </row>
    <row r="3478" spans="1:3" x14ac:dyDescent="0.25">
      <c r="A3478" s="1" t="s">
        <v>6957</v>
      </c>
      <c r="B3478" s="1" t="s">
        <v>6958</v>
      </c>
      <c r="C3478" s="1" t="s">
        <v>5</v>
      </c>
    </row>
    <row r="3479" spans="1:3" x14ac:dyDescent="0.25">
      <c r="A3479" s="1" t="s">
        <v>6959</v>
      </c>
      <c r="B3479" s="1" t="s">
        <v>6960</v>
      </c>
      <c r="C3479" s="1" t="s">
        <v>5</v>
      </c>
    </row>
    <row r="3480" spans="1:3" x14ac:dyDescent="0.25">
      <c r="A3480" s="1" t="s">
        <v>6961</v>
      </c>
      <c r="B3480" s="1" t="s">
        <v>6962</v>
      </c>
      <c r="C3480" s="1" t="s">
        <v>5</v>
      </c>
    </row>
    <row r="3481" spans="1:3" x14ac:dyDescent="0.25">
      <c r="A3481" s="1" t="s">
        <v>6963</v>
      </c>
      <c r="B3481" s="1" t="s">
        <v>6964</v>
      </c>
      <c r="C3481" s="1" t="s">
        <v>5</v>
      </c>
    </row>
    <row r="3482" spans="1:3" x14ac:dyDescent="0.25">
      <c r="A3482" s="1" t="s">
        <v>6965</v>
      </c>
      <c r="B3482" s="1" t="s">
        <v>6966</v>
      </c>
      <c r="C3482" s="1" t="s">
        <v>5</v>
      </c>
    </row>
    <row r="3483" spans="1:3" x14ac:dyDescent="0.25">
      <c r="A3483" s="1" t="s">
        <v>6967</v>
      </c>
      <c r="B3483" s="1" t="s">
        <v>6968</v>
      </c>
      <c r="C3483" s="1" t="s">
        <v>5</v>
      </c>
    </row>
    <row r="3484" spans="1:3" x14ac:dyDescent="0.25">
      <c r="A3484" s="1" t="s">
        <v>6969</v>
      </c>
      <c r="B3484" s="1" t="s">
        <v>6970</v>
      </c>
      <c r="C3484" s="1" t="s">
        <v>5</v>
      </c>
    </row>
    <row r="3485" spans="1:3" x14ac:dyDescent="0.25">
      <c r="A3485" s="1" t="s">
        <v>6971</v>
      </c>
      <c r="B3485" s="1" t="s">
        <v>6972</v>
      </c>
      <c r="C3485" s="1" t="s">
        <v>5</v>
      </c>
    </row>
    <row r="3486" spans="1:3" x14ac:dyDescent="0.25">
      <c r="A3486" s="1" t="s">
        <v>6973</v>
      </c>
      <c r="B3486" s="1" t="s">
        <v>6974</v>
      </c>
      <c r="C3486" s="1" t="s">
        <v>5</v>
      </c>
    </row>
    <row r="3487" spans="1:3" x14ac:dyDescent="0.25">
      <c r="A3487" s="1" t="s">
        <v>6975</v>
      </c>
      <c r="B3487" s="1" t="s">
        <v>6976</v>
      </c>
      <c r="C3487" s="1" t="s">
        <v>5</v>
      </c>
    </row>
    <row r="3488" spans="1:3" x14ac:dyDescent="0.25">
      <c r="A3488" s="1" t="s">
        <v>6977</v>
      </c>
      <c r="B3488" s="1" t="s">
        <v>6978</v>
      </c>
      <c r="C3488" s="1" t="s">
        <v>5</v>
      </c>
    </row>
    <row r="3489" spans="1:3" x14ac:dyDescent="0.25">
      <c r="A3489" s="1" t="s">
        <v>6979</v>
      </c>
      <c r="B3489" s="1" t="s">
        <v>6980</v>
      </c>
      <c r="C3489" s="1" t="s">
        <v>5</v>
      </c>
    </row>
    <row r="3490" spans="1:3" x14ac:dyDescent="0.25">
      <c r="A3490" s="1" t="s">
        <v>6981</v>
      </c>
      <c r="B3490" s="1" t="s">
        <v>6982</v>
      </c>
      <c r="C3490" s="1" t="s">
        <v>5</v>
      </c>
    </row>
    <row r="3491" spans="1:3" x14ac:dyDescent="0.25">
      <c r="A3491" s="1" t="s">
        <v>6983</v>
      </c>
      <c r="B3491" s="1" t="s">
        <v>6984</v>
      </c>
      <c r="C3491" s="1" t="s">
        <v>5</v>
      </c>
    </row>
    <row r="3492" spans="1:3" x14ac:dyDescent="0.25">
      <c r="A3492" s="1" t="s">
        <v>6985</v>
      </c>
      <c r="B3492" s="1" t="s">
        <v>6986</v>
      </c>
      <c r="C3492" s="1" t="s">
        <v>5</v>
      </c>
    </row>
    <row r="3493" spans="1:3" x14ac:dyDescent="0.25">
      <c r="A3493" s="1" t="s">
        <v>6987</v>
      </c>
      <c r="B3493" s="1" t="s">
        <v>6988</v>
      </c>
      <c r="C3493" s="1" t="s">
        <v>5</v>
      </c>
    </row>
    <row r="3494" spans="1:3" x14ac:dyDescent="0.25">
      <c r="A3494" s="1" t="s">
        <v>6989</v>
      </c>
      <c r="B3494" s="1" t="s">
        <v>6990</v>
      </c>
      <c r="C3494" s="1" t="s">
        <v>5</v>
      </c>
    </row>
    <row r="3495" spans="1:3" x14ac:dyDescent="0.25">
      <c r="A3495" s="1" t="s">
        <v>6991</v>
      </c>
      <c r="B3495" s="1" t="s">
        <v>6992</v>
      </c>
      <c r="C3495" s="1" t="s">
        <v>5</v>
      </c>
    </row>
    <row r="3496" spans="1:3" x14ac:dyDescent="0.25">
      <c r="A3496" s="1" t="s">
        <v>6993</v>
      </c>
      <c r="B3496" s="1" t="s">
        <v>6994</v>
      </c>
      <c r="C3496" s="1" t="s">
        <v>5</v>
      </c>
    </row>
    <row r="3497" spans="1:3" x14ac:dyDescent="0.25">
      <c r="A3497" s="1" t="s">
        <v>6995</v>
      </c>
      <c r="B3497" s="1" t="s">
        <v>6996</v>
      </c>
      <c r="C3497" s="1" t="s">
        <v>5</v>
      </c>
    </row>
    <row r="3498" spans="1:3" x14ac:dyDescent="0.25">
      <c r="A3498" s="1" t="s">
        <v>6997</v>
      </c>
      <c r="B3498" s="1" t="s">
        <v>6998</v>
      </c>
      <c r="C3498" s="1" t="s">
        <v>5</v>
      </c>
    </row>
    <row r="3499" spans="1:3" x14ac:dyDescent="0.25">
      <c r="A3499" s="1" t="s">
        <v>6999</v>
      </c>
      <c r="B3499" s="1" t="s">
        <v>7000</v>
      </c>
      <c r="C3499" s="1" t="s">
        <v>5</v>
      </c>
    </row>
    <row r="3500" spans="1:3" x14ac:dyDescent="0.25">
      <c r="A3500" s="1" t="s">
        <v>7001</v>
      </c>
      <c r="B3500" s="1" t="s">
        <v>7002</v>
      </c>
      <c r="C3500" s="1" t="s">
        <v>5</v>
      </c>
    </row>
    <row r="3501" spans="1:3" x14ac:dyDescent="0.25">
      <c r="A3501" s="1" t="s">
        <v>7003</v>
      </c>
      <c r="B3501" s="1" t="s">
        <v>7004</v>
      </c>
      <c r="C3501" s="1" t="s">
        <v>5</v>
      </c>
    </row>
    <row r="3502" spans="1:3" x14ac:dyDescent="0.25">
      <c r="A3502" s="1" t="s">
        <v>7005</v>
      </c>
      <c r="B3502" s="1" t="s">
        <v>7006</v>
      </c>
      <c r="C3502" s="1" t="s">
        <v>5</v>
      </c>
    </row>
    <row r="3503" spans="1:3" x14ac:dyDescent="0.25">
      <c r="A3503" s="1" t="s">
        <v>7007</v>
      </c>
      <c r="B3503" s="1" t="s">
        <v>7008</v>
      </c>
      <c r="C3503" s="1" t="s">
        <v>5</v>
      </c>
    </row>
    <row r="3504" spans="1:3" x14ac:dyDescent="0.25">
      <c r="A3504" s="1" t="s">
        <v>7009</v>
      </c>
      <c r="B3504" s="1" t="s">
        <v>7010</v>
      </c>
      <c r="C3504" s="1" t="s">
        <v>5</v>
      </c>
    </row>
    <row r="3505" spans="1:3" x14ac:dyDescent="0.25">
      <c r="A3505" s="1" t="s">
        <v>7011</v>
      </c>
      <c r="B3505" s="1" t="s">
        <v>7012</v>
      </c>
      <c r="C3505" s="1" t="s">
        <v>5</v>
      </c>
    </row>
    <row r="3506" spans="1:3" x14ac:dyDescent="0.25">
      <c r="A3506" s="1" t="s">
        <v>7013</v>
      </c>
      <c r="B3506" s="1" t="s">
        <v>7014</v>
      </c>
      <c r="C3506" s="1" t="s">
        <v>5</v>
      </c>
    </row>
    <row r="3507" spans="1:3" x14ac:dyDescent="0.25">
      <c r="A3507" s="1" t="s">
        <v>7015</v>
      </c>
      <c r="B3507" s="1" t="s">
        <v>7016</v>
      </c>
      <c r="C3507" s="1" t="s">
        <v>5</v>
      </c>
    </row>
    <row r="3508" spans="1:3" x14ac:dyDescent="0.25">
      <c r="A3508" s="1" t="s">
        <v>7017</v>
      </c>
      <c r="B3508" s="1" t="s">
        <v>7018</v>
      </c>
      <c r="C3508" s="1" t="s">
        <v>5</v>
      </c>
    </row>
    <row r="3509" spans="1:3" x14ac:dyDescent="0.25">
      <c r="A3509" s="1" t="s">
        <v>7019</v>
      </c>
      <c r="B3509" s="1" t="s">
        <v>7020</v>
      </c>
      <c r="C3509" s="1" t="s">
        <v>5</v>
      </c>
    </row>
    <row r="3510" spans="1:3" x14ac:dyDescent="0.25">
      <c r="A3510" s="1" t="s">
        <v>7021</v>
      </c>
      <c r="B3510" s="1" t="s">
        <v>7022</v>
      </c>
      <c r="C3510" s="1" t="s">
        <v>5</v>
      </c>
    </row>
    <row r="3511" spans="1:3" x14ac:dyDescent="0.25">
      <c r="A3511" s="1" t="s">
        <v>7023</v>
      </c>
      <c r="B3511" s="1" t="s">
        <v>7024</v>
      </c>
      <c r="C3511" s="1" t="s">
        <v>5</v>
      </c>
    </row>
    <row r="3512" spans="1:3" x14ac:dyDescent="0.25">
      <c r="A3512" s="1" t="s">
        <v>7025</v>
      </c>
      <c r="B3512" s="1" t="s">
        <v>7026</v>
      </c>
      <c r="C3512" s="1" t="s">
        <v>5</v>
      </c>
    </row>
    <row r="3513" spans="1:3" x14ac:dyDescent="0.25">
      <c r="A3513" s="1" t="s">
        <v>7027</v>
      </c>
      <c r="B3513" s="1" t="s">
        <v>7028</v>
      </c>
      <c r="C3513" s="1" t="s">
        <v>5</v>
      </c>
    </row>
    <row r="3514" spans="1:3" x14ac:dyDescent="0.25">
      <c r="A3514" s="1" t="s">
        <v>7029</v>
      </c>
      <c r="B3514" s="1" t="s">
        <v>7030</v>
      </c>
      <c r="C3514" s="1" t="s">
        <v>5</v>
      </c>
    </row>
    <row r="3515" spans="1:3" x14ac:dyDescent="0.25">
      <c r="A3515" s="1" t="s">
        <v>7031</v>
      </c>
      <c r="B3515" s="1" t="s">
        <v>7032</v>
      </c>
      <c r="C3515" s="1" t="s">
        <v>5</v>
      </c>
    </row>
    <row r="3516" spans="1:3" x14ac:dyDescent="0.25">
      <c r="A3516" s="1" t="s">
        <v>7033</v>
      </c>
      <c r="B3516" s="1" t="s">
        <v>7034</v>
      </c>
      <c r="C3516" s="1" t="s">
        <v>5</v>
      </c>
    </row>
    <row r="3517" spans="1:3" x14ac:dyDescent="0.25">
      <c r="A3517" s="1" t="s">
        <v>7035</v>
      </c>
      <c r="B3517" s="1" t="s">
        <v>7036</v>
      </c>
      <c r="C3517" s="1" t="s">
        <v>5</v>
      </c>
    </row>
    <row r="3518" spans="1:3" x14ac:dyDescent="0.25">
      <c r="A3518" s="1" t="s">
        <v>7037</v>
      </c>
      <c r="B3518" s="1" t="s">
        <v>7038</v>
      </c>
      <c r="C3518" s="1" t="s">
        <v>5</v>
      </c>
    </row>
    <row r="3519" spans="1:3" x14ac:dyDescent="0.25">
      <c r="A3519" s="1" t="s">
        <v>7039</v>
      </c>
      <c r="B3519" s="1" t="s">
        <v>7040</v>
      </c>
      <c r="C3519" s="1" t="s">
        <v>5</v>
      </c>
    </row>
    <row r="3520" spans="1:3" x14ac:dyDescent="0.25">
      <c r="A3520" s="1" t="s">
        <v>7041</v>
      </c>
      <c r="B3520" s="1" t="s">
        <v>7042</v>
      </c>
      <c r="C3520" s="1" t="s">
        <v>5</v>
      </c>
    </row>
    <row r="3521" spans="1:3" x14ac:dyDescent="0.25">
      <c r="A3521" s="1" t="s">
        <v>7043</v>
      </c>
      <c r="B3521" s="1" t="s">
        <v>7044</v>
      </c>
      <c r="C3521" s="1" t="s">
        <v>5</v>
      </c>
    </row>
    <row r="3522" spans="1:3" x14ac:dyDescent="0.25">
      <c r="A3522" s="1" t="s">
        <v>7045</v>
      </c>
      <c r="B3522" s="1" t="s">
        <v>7046</v>
      </c>
      <c r="C3522" s="1" t="s">
        <v>5</v>
      </c>
    </row>
    <row r="3523" spans="1:3" x14ac:dyDescent="0.25">
      <c r="A3523" s="1" t="s">
        <v>7047</v>
      </c>
      <c r="B3523" s="1" t="s">
        <v>7048</v>
      </c>
      <c r="C3523" s="1" t="s">
        <v>5</v>
      </c>
    </row>
    <row r="3524" spans="1:3" x14ac:dyDescent="0.25">
      <c r="A3524" s="1" t="s">
        <v>7049</v>
      </c>
      <c r="B3524" s="1" t="s">
        <v>7050</v>
      </c>
      <c r="C3524" s="1" t="s">
        <v>5</v>
      </c>
    </row>
    <row r="3525" spans="1:3" x14ac:dyDescent="0.25">
      <c r="A3525" s="1" t="s">
        <v>7051</v>
      </c>
      <c r="B3525" s="1" t="s">
        <v>7052</v>
      </c>
      <c r="C3525" s="1" t="s">
        <v>5</v>
      </c>
    </row>
    <row r="3526" spans="1:3" x14ac:dyDescent="0.25">
      <c r="A3526" s="1" t="s">
        <v>7053</v>
      </c>
      <c r="B3526" s="1" t="s">
        <v>7054</v>
      </c>
      <c r="C3526" s="1" t="s">
        <v>5</v>
      </c>
    </row>
    <row r="3527" spans="1:3" x14ac:dyDescent="0.25">
      <c r="A3527" s="1" t="s">
        <v>7055</v>
      </c>
      <c r="B3527" s="1" t="s">
        <v>7056</v>
      </c>
      <c r="C3527" s="1" t="s">
        <v>5</v>
      </c>
    </row>
    <row r="3528" spans="1:3" x14ac:dyDescent="0.25">
      <c r="A3528" s="1" t="s">
        <v>7057</v>
      </c>
      <c r="B3528" s="1" t="s">
        <v>7058</v>
      </c>
      <c r="C3528" s="1" t="s">
        <v>5</v>
      </c>
    </row>
    <row r="3529" spans="1:3" x14ac:dyDescent="0.25">
      <c r="A3529" s="1" t="s">
        <v>7059</v>
      </c>
      <c r="B3529" s="1" t="s">
        <v>7060</v>
      </c>
      <c r="C3529" s="1" t="s">
        <v>5</v>
      </c>
    </row>
    <row r="3530" spans="1:3" x14ac:dyDescent="0.25">
      <c r="A3530" s="1" t="s">
        <v>7061</v>
      </c>
      <c r="B3530" s="1" t="s">
        <v>7062</v>
      </c>
      <c r="C3530" s="1" t="s">
        <v>5</v>
      </c>
    </row>
    <row r="3531" spans="1:3" x14ac:dyDescent="0.25">
      <c r="A3531" s="1" t="s">
        <v>7063</v>
      </c>
      <c r="B3531" s="1" t="s">
        <v>7064</v>
      </c>
      <c r="C3531" s="1" t="s">
        <v>5</v>
      </c>
    </row>
    <row r="3532" spans="1:3" x14ac:dyDescent="0.25">
      <c r="A3532" s="1" t="s">
        <v>7065</v>
      </c>
      <c r="B3532" s="1" t="s">
        <v>7066</v>
      </c>
      <c r="C3532" s="1" t="s">
        <v>5</v>
      </c>
    </row>
    <row r="3533" spans="1:3" x14ac:dyDescent="0.25">
      <c r="A3533" s="1" t="s">
        <v>7067</v>
      </c>
      <c r="B3533" s="1" t="s">
        <v>7068</v>
      </c>
      <c r="C3533" s="1" t="s">
        <v>5</v>
      </c>
    </row>
    <row r="3534" spans="1:3" x14ac:dyDescent="0.25">
      <c r="A3534" s="1" t="s">
        <v>7069</v>
      </c>
      <c r="B3534" s="1" t="s">
        <v>7070</v>
      </c>
      <c r="C3534" s="1" t="s">
        <v>5</v>
      </c>
    </row>
    <row r="3535" spans="1:3" x14ac:dyDescent="0.25">
      <c r="A3535" s="1" t="s">
        <v>7071</v>
      </c>
      <c r="B3535" s="1" t="s">
        <v>7072</v>
      </c>
      <c r="C3535" s="1" t="s">
        <v>5</v>
      </c>
    </row>
    <row r="3536" spans="1:3" x14ac:dyDescent="0.25">
      <c r="A3536" s="1" t="s">
        <v>7073</v>
      </c>
      <c r="B3536" s="1" t="s">
        <v>7074</v>
      </c>
      <c r="C3536" s="1" t="s">
        <v>5</v>
      </c>
    </row>
    <row r="3537" spans="1:3" x14ac:dyDescent="0.25">
      <c r="A3537" s="1" t="s">
        <v>7075</v>
      </c>
      <c r="B3537" s="1" t="s">
        <v>7076</v>
      </c>
      <c r="C3537" s="1" t="s">
        <v>5</v>
      </c>
    </row>
    <row r="3538" spans="1:3" x14ac:dyDescent="0.25">
      <c r="A3538" s="1" t="s">
        <v>7077</v>
      </c>
      <c r="B3538" s="1" t="s">
        <v>7078</v>
      </c>
      <c r="C3538" s="1" t="s">
        <v>5</v>
      </c>
    </row>
    <row r="3539" spans="1:3" x14ac:dyDescent="0.25">
      <c r="A3539" s="1" t="s">
        <v>7079</v>
      </c>
      <c r="B3539" s="1" t="s">
        <v>7080</v>
      </c>
      <c r="C3539" s="1" t="s">
        <v>5</v>
      </c>
    </row>
    <row r="3540" spans="1:3" x14ac:dyDescent="0.25">
      <c r="A3540" s="1" t="s">
        <v>7081</v>
      </c>
      <c r="B3540" s="1" t="s">
        <v>7082</v>
      </c>
      <c r="C3540" s="1" t="s">
        <v>5</v>
      </c>
    </row>
    <row r="3541" spans="1:3" x14ac:dyDescent="0.25">
      <c r="A3541" s="1" t="s">
        <v>7083</v>
      </c>
      <c r="B3541" s="1" t="s">
        <v>7084</v>
      </c>
      <c r="C3541" s="1" t="s">
        <v>5</v>
      </c>
    </row>
    <row r="3542" spans="1:3" x14ac:dyDescent="0.25">
      <c r="A3542" s="1" t="s">
        <v>7085</v>
      </c>
      <c r="B3542" s="1" t="s">
        <v>7086</v>
      </c>
      <c r="C3542" s="1" t="s">
        <v>5</v>
      </c>
    </row>
    <row r="3543" spans="1:3" x14ac:dyDescent="0.25">
      <c r="A3543" s="1" t="s">
        <v>7087</v>
      </c>
      <c r="B3543" s="1" t="s">
        <v>7088</v>
      </c>
      <c r="C3543" s="1" t="s">
        <v>5</v>
      </c>
    </row>
    <row r="3544" spans="1:3" x14ac:dyDescent="0.25">
      <c r="A3544" s="1" t="s">
        <v>7089</v>
      </c>
      <c r="B3544" s="1" t="s">
        <v>7090</v>
      </c>
      <c r="C3544" s="1" t="s">
        <v>5</v>
      </c>
    </row>
    <row r="3545" spans="1:3" x14ac:dyDescent="0.25">
      <c r="A3545" s="1" t="s">
        <v>7091</v>
      </c>
      <c r="B3545" s="1" t="s">
        <v>7092</v>
      </c>
      <c r="C3545" s="1" t="s">
        <v>5</v>
      </c>
    </row>
    <row r="3546" spans="1:3" x14ac:dyDescent="0.25">
      <c r="A3546" s="1" t="s">
        <v>7093</v>
      </c>
      <c r="B3546" s="1" t="s">
        <v>7094</v>
      </c>
      <c r="C3546" s="1" t="s">
        <v>5</v>
      </c>
    </row>
    <row r="3547" spans="1:3" x14ac:dyDescent="0.25">
      <c r="A3547" s="1" t="s">
        <v>7095</v>
      </c>
      <c r="B3547" s="1" t="s">
        <v>7096</v>
      </c>
      <c r="C3547" s="1" t="s">
        <v>5</v>
      </c>
    </row>
    <row r="3548" spans="1:3" x14ac:dyDescent="0.25">
      <c r="A3548" s="1" t="s">
        <v>7097</v>
      </c>
      <c r="B3548" s="1" t="s">
        <v>7098</v>
      </c>
      <c r="C3548" s="1" t="s">
        <v>5</v>
      </c>
    </row>
    <row r="3549" spans="1:3" x14ac:dyDescent="0.25">
      <c r="A3549" s="1" t="s">
        <v>7099</v>
      </c>
      <c r="B3549" s="1" t="s">
        <v>7100</v>
      </c>
      <c r="C3549" s="1" t="s">
        <v>5</v>
      </c>
    </row>
    <row r="3550" spans="1:3" x14ac:dyDescent="0.25">
      <c r="A3550" s="1" t="s">
        <v>7101</v>
      </c>
      <c r="B3550" s="1" t="s">
        <v>7102</v>
      </c>
      <c r="C3550" s="1" t="s">
        <v>5</v>
      </c>
    </row>
    <row r="3551" spans="1:3" x14ac:dyDescent="0.25">
      <c r="A3551" s="1" t="s">
        <v>7103</v>
      </c>
      <c r="B3551" s="1" t="s">
        <v>7104</v>
      </c>
      <c r="C3551" s="1" t="s">
        <v>5</v>
      </c>
    </row>
    <row r="3552" spans="1:3" x14ac:dyDescent="0.25">
      <c r="A3552" s="1" t="s">
        <v>7105</v>
      </c>
      <c r="B3552" s="1" t="s">
        <v>7106</v>
      </c>
      <c r="C3552" s="1" t="s">
        <v>5</v>
      </c>
    </row>
    <row r="3553" spans="1:3" x14ac:dyDescent="0.25">
      <c r="A3553" s="1" t="s">
        <v>7107</v>
      </c>
      <c r="B3553" s="1" t="s">
        <v>7108</v>
      </c>
      <c r="C3553" s="1" t="s">
        <v>5</v>
      </c>
    </row>
    <row r="3554" spans="1:3" x14ac:dyDescent="0.25">
      <c r="A3554" s="1" t="s">
        <v>7109</v>
      </c>
      <c r="B3554" s="1" t="s">
        <v>7110</v>
      </c>
      <c r="C3554" s="1" t="s">
        <v>5</v>
      </c>
    </row>
    <row r="3555" spans="1:3" x14ac:dyDescent="0.25">
      <c r="A3555" s="1" t="s">
        <v>7111</v>
      </c>
      <c r="B3555" s="1" t="s">
        <v>7112</v>
      </c>
      <c r="C3555" s="1" t="s">
        <v>5</v>
      </c>
    </row>
    <row r="3556" spans="1:3" x14ac:dyDescent="0.25">
      <c r="A3556" s="1" t="s">
        <v>7113</v>
      </c>
      <c r="B3556" s="1" t="s">
        <v>7114</v>
      </c>
      <c r="C3556" s="1" t="s">
        <v>5</v>
      </c>
    </row>
    <row r="3557" spans="1:3" x14ac:dyDescent="0.25">
      <c r="A3557" s="1" t="s">
        <v>7115</v>
      </c>
      <c r="B3557" s="1" t="s">
        <v>7116</v>
      </c>
      <c r="C3557" s="1" t="s">
        <v>5</v>
      </c>
    </row>
    <row r="3558" spans="1:3" x14ac:dyDescent="0.25">
      <c r="A3558" s="1" t="s">
        <v>7117</v>
      </c>
      <c r="B3558" s="1" t="s">
        <v>7118</v>
      </c>
      <c r="C3558" s="1" t="s">
        <v>5</v>
      </c>
    </row>
    <row r="3559" spans="1:3" x14ac:dyDescent="0.25">
      <c r="A3559" s="1" t="s">
        <v>7119</v>
      </c>
      <c r="B3559" s="1" t="s">
        <v>7120</v>
      </c>
      <c r="C3559" s="1" t="s">
        <v>5</v>
      </c>
    </row>
    <row r="3560" spans="1:3" x14ac:dyDescent="0.25">
      <c r="A3560" s="1" t="s">
        <v>7121</v>
      </c>
      <c r="B3560" s="1" t="s">
        <v>7122</v>
      </c>
      <c r="C3560" s="1" t="s">
        <v>5</v>
      </c>
    </row>
    <row r="3561" spans="1:3" x14ac:dyDescent="0.25">
      <c r="A3561" s="1" t="s">
        <v>7123</v>
      </c>
      <c r="B3561" s="1" t="s">
        <v>7124</v>
      </c>
      <c r="C3561" s="1" t="s">
        <v>5</v>
      </c>
    </row>
    <row r="3562" spans="1:3" x14ac:dyDescent="0.25">
      <c r="A3562" s="1" t="s">
        <v>7125</v>
      </c>
      <c r="B3562" s="1" t="s">
        <v>7126</v>
      </c>
      <c r="C3562" s="1" t="s">
        <v>5</v>
      </c>
    </row>
    <row r="3563" spans="1:3" x14ac:dyDescent="0.25">
      <c r="A3563" s="1" t="s">
        <v>7127</v>
      </c>
      <c r="B3563" s="1" t="s">
        <v>7128</v>
      </c>
      <c r="C3563" s="1" t="s">
        <v>5</v>
      </c>
    </row>
    <row r="3564" spans="1:3" x14ac:dyDescent="0.25">
      <c r="A3564" s="1" t="s">
        <v>7129</v>
      </c>
      <c r="B3564" s="1" t="s">
        <v>7130</v>
      </c>
      <c r="C3564" s="1" t="s">
        <v>5</v>
      </c>
    </row>
    <row r="3565" spans="1:3" x14ac:dyDescent="0.25">
      <c r="A3565" s="1" t="s">
        <v>7131</v>
      </c>
      <c r="B3565" s="1" t="s">
        <v>7132</v>
      </c>
      <c r="C3565" s="1" t="s">
        <v>5</v>
      </c>
    </row>
    <row r="3566" spans="1:3" x14ac:dyDescent="0.25">
      <c r="A3566" s="1" t="s">
        <v>7133</v>
      </c>
      <c r="B3566" s="1" t="s">
        <v>7134</v>
      </c>
      <c r="C3566" s="1" t="s">
        <v>5</v>
      </c>
    </row>
    <row r="3567" spans="1:3" x14ac:dyDescent="0.25">
      <c r="A3567" s="1" t="s">
        <v>7135</v>
      </c>
      <c r="B3567" s="1" t="s">
        <v>7136</v>
      </c>
      <c r="C3567" s="1" t="s">
        <v>5</v>
      </c>
    </row>
    <row r="3568" spans="1:3" x14ac:dyDescent="0.25">
      <c r="A3568" s="1" t="s">
        <v>7137</v>
      </c>
      <c r="B3568" s="1" t="s">
        <v>7138</v>
      </c>
      <c r="C3568" s="1" t="s">
        <v>5</v>
      </c>
    </row>
    <row r="3569" spans="1:3" x14ac:dyDescent="0.25">
      <c r="A3569" s="1" t="s">
        <v>7139</v>
      </c>
      <c r="B3569" s="1" t="s">
        <v>7140</v>
      </c>
      <c r="C3569" s="1" t="s">
        <v>5</v>
      </c>
    </row>
    <row r="3570" spans="1:3" x14ac:dyDescent="0.25">
      <c r="A3570" s="1" t="s">
        <v>7141</v>
      </c>
      <c r="B3570" s="1" t="s">
        <v>7142</v>
      </c>
      <c r="C3570" s="1" t="s">
        <v>5</v>
      </c>
    </row>
    <row r="3571" spans="1:3" x14ac:dyDescent="0.25">
      <c r="A3571" s="1" t="s">
        <v>7143</v>
      </c>
      <c r="B3571" s="1" t="s">
        <v>7144</v>
      </c>
      <c r="C3571" s="1" t="s">
        <v>5</v>
      </c>
    </row>
    <row r="3572" spans="1:3" x14ac:dyDescent="0.25">
      <c r="A3572" s="1" t="s">
        <v>7145</v>
      </c>
      <c r="B3572" s="1" t="s">
        <v>7146</v>
      </c>
      <c r="C3572" s="1" t="s">
        <v>5</v>
      </c>
    </row>
    <row r="3573" spans="1:3" x14ac:dyDescent="0.25">
      <c r="A3573" s="1" t="s">
        <v>7147</v>
      </c>
      <c r="B3573" s="1" t="s">
        <v>7148</v>
      </c>
      <c r="C3573" s="1" t="s">
        <v>5</v>
      </c>
    </row>
    <row r="3574" spans="1:3" x14ac:dyDescent="0.25">
      <c r="A3574" s="1" t="s">
        <v>7149</v>
      </c>
      <c r="B3574" s="1" t="s">
        <v>7150</v>
      </c>
      <c r="C3574" s="1" t="s">
        <v>5</v>
      </c>
    </row>
    <row r="3575" spans="1:3" x14ac:dyDescent="0.25">
      <c r="A3575" s="1" t="s">
        <v>7151</v>
      </c>
      <c r="B3575" s="1" t="s">
        <v>7152</v>
      </c>
      <c r="C3575" s="1" t="s">
        <v>5</v>
      </c>
    </row>
    <row r="3576" spans="1:3" x14ac:dyDescent="0.25">
      <c r="A3576" s="1" t="s">
        <v>7153</v>
      </c>
      <c r="B3576" s="1" t="s">
        <v>7154</v>
      </c>
      <c r="C3576" s="1" t="s">
        <v>5</v>
      </c>
    </row>
    <row r="3577" spans="1:3" x14ac:dyDescent="0.25">
      <c r="A3577" s="1" t="s">
        <v>7155</v>
      </c>
      <c r="B3577" s="1" t="s">
        <v>7156</v>
      </c>
      <c r="C3577" s="1" t="s">
        <v>5</v>
      </c>
    </row>
    <row r="3578" spans="1:3" x14ac:dyDescent="0.25">
      <c r="A3578" s="1" t="s">
        <v>7157</v>
      </c>
      <c r="B3578" s="1" t="s">
        <v>7158</v>
      </c>
      <c r="C3578" s="1" t="s">
        <v>5</v>
      </c>
    </row>
    <row r="3579" spans="1:3" x14ac:dyDescent="0.25">
      <c r="A3579" s="1" t="s">
        <v>7159</v>
      </c>
      <c r="B3579" s="1" t="s">
        <v>7160</v>
      </c>
      <c r="C3579" s="1" t="s">
        <v>5</v>
      </c>
    </row>
    <row r="3580" spans="1:3" x14ac:dyDescent="0.25">
      <c r="A3580" s="1" t="s">
        <v>7161</v>
      </c>
      <c r="B3580" s="1" t="s">
        <v>7162</v>
      </c>
      <c r="C3580" s="1" t="s">
        <v>5</v>
      </c>
    </row>
    <row r="3581" spans="1:3" x14ac:dyDescent="0.25">
      <c r="A3581" s="1" t="s">
        <v>7163</v>
      </c>
      <c r="B3581" s="1" t="s">
        <v>7164</v>
      </c>
      <c r="C3581" s="1" t="s">
        <v>5</v>
      </c>
    </row>
    <row r="3582" spans="1:3" x14ac:dyDescent="0.25">
      <c r="A3582" s="1" t="s">
        <v>7165</v>
      </c>
      <c r="B3582" s="1" t="s">
        <v>7166</v>
      </c>
      <c r="C3582" s="1" t="s">
        <v>5</v>
      </c>
    </row>
    <row r="3583" spans="1:3" x14ac:dyDescent="0.25">
      <c r="A3583" s="1" t="s">
        <v>7167</v>
      </c>
      <c r="B3583" s="1" t="s">
        <v>7168</v>
      </c>
      <c r="C3583" s="1" t="s">
        <v>5</v>
      </c>
    </row>
    <row r="3584" spans="1:3" x14ac:dyDescent="0.25">
      <c r="A3584" s="1" t="s">
        <v>7169</v>
      </c>
      <c r="B3584" s="1" t="s">
        <v>7170</v>
      </c>
      <c r="C3584" s="1" t="s">
        <v>5</v>
      </c>
    </row>
    <row r="3585" spans="1:3" x14ac:dyDescent="0.25">
      <c r="A3585" s="1" t="s">
        <v>7171</v>
      </c>
      <c r="B3585" s="1" t="s">
        <v>7172</v>
      </c>
      <c r="C3585" s="1" t="s">
        <v>5</v>
      </c>
    </row>
    <row r="3586" spans="1:3" x14ac:dyDescent="0.25">
      <c r="A3586" s="1" t="s">
        <v>7173</v>
      </c>
      <c r="B3586" s="1" t="s">
        <v>7174</v>
      </c>
      <c r="C3586" s="1" t="s">
        <v>5</v>
      </c>
    </row>
    <row r="3587" spans="1:3" x14ac:dyDescent="0.25">
      <c r="A3587" s="1" t="s">
        <v>7175</v>
      </c>
      <c r="B3587" s="1" t="s">
        <v>7176</v>
      </c>
      <c r="C3587" s="1" t="s">
        <v>5</v>
      </c>
    </row>
    <row r="3588" spans="1:3" x14ac:dyDescent="0.25">
      <c r="A3588" s="1" t="s">
        <v>7177</v>
      </c>
      <c r="B3588" s="1" t="s">
        <v>7178</v>
      </c>
      <c r="C3588" s="1" t="s">
        <v>5</v>
      </c>
    </row>
    <row r="3589" spans="1:3" x14ac:dyDescent="0.25">
      <c r="A3589" s="1" t="s">
        <v>7179</v>
      </c>
      <c r="B3589" s="1" t="s">
        <v>7180</v>
      </c>
      <c r="C3589" s="1" t="s">
        <v>5</v>
      </c>
    </row>
    <row r="3590" spans="1:3" x14ac:dyDescent="0.25">
      <c r="A3590" s="1" t="s">
        <v>7181</v>
      </c>
      <c r="B3590" s="1" t="s">
        <v>7182</v>
      </c>
      <c r="C3590" s="1" t="s">
        <v>5</v>
      </c>
    </row>
    <row r="3591" spans="1:3" x14ac:dyDescent="0.25">
      <c r="A3591" s="1" t="s">
        <v>7183</v>
      </c>
      <c r="B3591" s="1" t="s">
        <v>7184</v>
      </c>
      <c r="C3591" s="1" t="s">
        <v>5</v>
      </c>
    </row>
    <row r="3592" spans="1:3" x14ac:dyDescent="0.25">
      <c r="A3592" s="1" t="s">
        <v>7185</v>
      </c>
      <c r="B3592" s="1" t="s">
        <v>7186</v>
      </c>
      <c r="C3592" s="1" t="s">
        <v>5</v>
      </c>
    </row>
    <row r="3593" spans="1:3" x14ac:dyDescent="0.25">
      <c r="A3593" s="1" t="s">
        <v>7187</v>
      </c>
      <c r="B3593" s="1" t="s">
        <v>7188</v>
      </c>
      <c r="C3593" s="1" t="s">
        <v>5</v>
      </c>
    </row>
    <row r="3594" spans="1:3" x14ac:dyDescent="0.25">
      <c r="A3594" s="1" t="s">
        <v>7189</v>
      </c>
      <c r="B3594" s="1" t="s">
        <v>7190</v>
      </c>
      <c r="C3594" s="1" t="s">
        <v>5</v>
      </c>
    </row>
    <row r="3595" spans="1:3" x14ac:dyDescent="0.25">
      <c r="A3595" s="1" t="s">
        <v>7191</v>
      </c>
      <c r="B3595" s="1" t="s">
        <v>7192</v>
      </c>
      <c r="C3595" s="1" t="s">
        <v>5</v>
      </c>
    </row>
    <row r="3596" spans="1:3" x14ac:dyDescent="0.25">
      <c r="A3596" s="1" t="s">
        <v>7193</v>
      </c>
      <c r="B3596" s="1" t="s">
        <v>7194</v>
      </c>
      <c r="C3596" s="1" t="s">
        <v>5</v>
      </c>
    </row>
    <row r="3597" spans="1:3" x14ac:dyDescent="0.25">
      <c r="A3597" s="1" t="s">
        <v>7195</v>
      </c>
      <c r="B3597" s="1" t="s">
        <v>7196</v>
      </c>
      <c r="C3597" s="1" t="s">
        <v>5</v>
      </c>
    </row>
    <row r="3598" spans="1:3" x14ac:dyDescent="0.25">
      <c r="A3598" s="1" t="s">
        <v>7197</v>
      </c>
      <c r="B3598" s="1" t="s">
        <v>7198</v>
      </c>
      <c r="C3598" s="1" t="s">
        <v>5</v>
      </c>
    </row>
    <row r="3599" spans="1:3" x14ac:dyDescent="0.25">
      <c r="A3599" s="1" t="s">
        <v>7199</v>
      </c>
      <c r="B3599" s="1" t="s">
        <v>7200</v>
      </c>
      <c r="C3599" s="1" t="s">
        <v>5</v>
      </c>
    </row>
    <row r="3600" spans="1:3" x14ac:dyDescent="0.25">
      <c r="A3600" s="1" t="s">
        <v>7201</v>
      </c>
      <c r="B3600" s="1" t="s">
        <v>7202</v>
      </c>
      <c r="C3600" s="1" t="s">
        <v>5</v>
      </c>
    </row>
    <row r="3601" spans="1:3" x14ac:dyDescent="0.25">
      <c r="A3601" s="1" t="s">
        <v>7203</v>
      </c>
      <c r="B3601" s="1" t="s">
        <v>7204</v>
      </c>
      <c r="C3601" s="1" t="s">
        <v>5</v>
      </c>
    </row>
    <row r="3602" spans="1:3" x14ac:dyDescent="0.25">
      <c r="A3602" s="1" t="s">
        <v>7205</v>
      </c>
      <c r="B3602" s="1" t="s">
        <v>7206</v>
      </c>
      <c r="C3602" s="1" t="s">
        <v>5</v>
      </c>
    </row>
    <row r="3603" spans="1:3" x14ac:dyDescent="0.25">
      <c r="A3603" s="1" t="s">
        <v>7207</v>
      </c>
      <c r="B3603" s="1" t="s">
        <v>7208</v>
      </c>
      <c r="C3603" s="1" t="s">
        <v>5</v>
      </c>
    </row>
    <row r="3604" spans="1:3" x14ac:dyDescent="0.25">
      <c r="A3604" s="1" t="s">
        <v>7209</v>
      </c>
      <c r="B3604" s="1" t="s">
        <v>7210</v>
      </c>
      <c r="C3604" s="1" t="s">
        <v>5</v>
      </c>
    </row>
    <row r="3605" spans="1:3" x14ac:dyDescent="0.25">
      <c r="A3605" s="1" t="s">
        <v>7211</v>
      </c>
      <c r="B3605" s="1" t="s">
        <v>7212</v>
      </c>
      <c r="C3605" s="1" t="s">
        <v>5</v>
      </c>
    </row>
    <row r="3606" spans="1:3" x14ac:dyDescent="0.25">
      <c r="A3606" s="1" t="s">
        <v>7213</v>
      </c>
      <c r="B3606" s="1" t="s">
        <v>7214</v>
      </c>
      <c r="C3606" s="1" t="s">
        <v>5</v>
      </c>
    </row>
    <row r="3607" spans="1:3" x14ac:dyDescent="0.25">
      <c r="A3607" s="1" t="s">
        <v>7215</v>
      </c>
      <c r="B3607" s="1" t="s">
        <v>7216</v>
      </c>
      <c r="C3607" s="1" t="s">
        <v>5</v>
      </c>
    </row>
    <row r="3608" spans="1:3" x14ac:dyDescent="0.25">
      <c r="A3608" s="1" t="s">
        <v>7217</v>
      </c>
      <c r="B3608" s="1" t="s">
        <v>7218</v>
      </c>
      <c r="C3608" s="1" t="s">
        <v>5</v>
      </c>
    </row>
    <row r="3609" spans="1:3" x14ac:dyDescent="0.25">
      <c r="A3609" s="1" t="s">
        <v>7219</v>
      </c>
      <c r="B3609" s="1" t="s">
        <v>7220</v>
      </c>
      <c r="C3609" s="1" t="s">
        <v>5</v>
      </c>
    </row>
    <row r="3610" spans="1:3" x14ac:dyDescent="0.25">
      <c r="A3610" s="1" t="s">
        <v>7221</v>
      </c>
      <c r="B3610" s="1" t="s">
        <v>7222</v>
      </c>
      <c r="C3610" s="1" t="s">
        <v>5</v>
      </c>
    </row>
    <row r="3611" spans="1:3" x14ac:dyDescent="0.25">
      <c r="A3611" s="1" t="s">
        <v>7223</v>
      </c>
      <c r="B3611" s="1" t="s">
        <v>7224</v>
      </c>
      <c r="C3611" s="1" t="s">
        <v>5</v>
      </c>
    </row>
    <row r="3612" spans="1:3" x14ac:dyDescent="0.25">
      <c r="A3612" s="1" t="s">
        <v>7225</v>
      </c>
      <c r="B3612" s="1" t="s">
        <v>7226</v>
      </c>
      <c r="C3612" s="1" t="s">
        <v>5</v>
      </c>
    </row>
    <row r="3613" spans="1:3" x14ac:dyDescent="0.25">
      <c r="A3613" s="1" t="s">
        <v>7227</v>
      </c>
      <c r="B3613" s="1" t="s">
        <v>7228</v>
      </c>
      <c r="C3613" s="1" t="s">
        <v>5</v>
      </c>
    </row>
    <row r="3614" spans="1:3" x14ac:dyDescent="0.25">
      <c r="A3614" s="1" t="s">
        <v>7229</v>
      </c>
      <c r="B3614" s="1" t="s">
        <v>7230</v>
      </c>
      <c r="C3614" s="1" t="s">
        <v>5</v>
      </c>
    </row>
    <row r="3615" spans="1:3" x14ac:dyDescent="0.25">
      <c r="A3615" s="1" t="s">
        <v>7231</v>
      </c>
      <c r="B3615" s="1" t="s">
        <v>7232</v>
      </c>
      <c r="C3615" s="1" t="s">
        <v>5</v>
      </c>
    </row>
    <row r="3616" spans="1:3" x14ac:dyDescent="0.25">
      <c r="A3616" s="1" t="s">
        <v>7233</v>
      </c>
      <c r="B3616" s="1" t="s">
        <v>7234</v>
      </c>
      <c r="C3616" s="1" t="s">
        <v>5</v>
      </c>
    </row>
    <row r="3617" spans="1:3" x14ac:dyDescent="0.25">
      <c r="A3617" s="1" t="s">
        <v>7235</v>
      </c>
      <c r="B3617" s="1" t="s">
        <v>7236</v>
      </c>
      <c r="C3617" s="1" t="s">
        <v>5</v>
      </c>
    </row>
    <row r="3618" spans="1:3" x14ac:dyDescent="0.25">
      <c r="A3618" s="1" t="s">
        <v>7237</v>
      </c>
      <c r="B3618" s="1" t="s">
        <v>7238</v>
      </c>
      <c r="C3618" s="1" t="s">
        <v>5</v>
      </c>
    </row>
    <row r="3619" spans="1:3" x14ac:dyDescent="0.25">
      <c r="A3619" s="1" t="s">
        <v>7239</v>
      </c>
      <c r="B3619" s="1" t="s">
        <v>7240</v>
      </c>
      <c r="C3619" s="1" t="s">
        <v>5</v>
      </c>
    </row>
    <row r="3620" spans="1:3" x14ac:dyDescent="0.25">
      <c r="A3620" s="1" t="s">
        <v>7241</v>
      </c>
      <c r="B3620" s="1" t="s">
        <v>7242</v>
      </c>
      <c r="C3620" s="1" t="s">
        <v>5</v>
      </c>
    </row>
    <row r="3621" spans="1:3" x14ac:dyDescent="0.25">
      <c r="A3621" s="1" t="s">
        <v>7243</v>
      </c>
      <c r="B3621" s="1" t="s">
        <v>7244</v>
      </c>
      <c r="C3621" s="1" t="s">
        <v>5</v>
      </c>
    </row>
    <row r="3622" spans="1:3" x14ac:dyDescent="0.25">
      <c r="A3622" s="1" t="s">
        <v>7245</v>
      </c>
      <c r="B3622" s="1" t="s">
        <v>7246</v>
      </c>
      <c r="C3622" s="1" t="s">
        <v>5</v>
      </c>
    </row>
    <row r="3623" spans="1:3" x14ac:dyDescent="0.25">
      <c r="A3623" s="1" t="s">
        <v>7247</v>
      </c>
      <c r="B3623" s="1" t="s">
        <v>7248</v>
      </c>
      <c r="C3623" s="1" t="s">
        <v>5</v>
      </c>
    </row>
    <row r="3624" spans="1:3" x14ac:dyDescent="0.25">
      <c r="A3624" s="1" t="s">
        <v>7249</v>
      </c>
      <c r="B3624" s="1" t="s">
        <v>7250</v>
      </c>
      <c r="C3624" s="1" t="s">
        <v>5</v>
      </c>
    </row>
    <row r="3625" spans="1:3" x14ac:dyDescent="0.25">
      <c r="A3625" s="1" t="s">
        <v>7251</v>
      </c>
      <c r="B3625" s="1" t="s">
        <v>7252</v>
      </c>
      <c r="C3625" s="1" t="s">
        <v>5</v>
      </c>
    </row>
    <row r="3626" spans="1:3" x14ac:dyDescent="0.25">
      <c r="A3626" s="1" t="s">
        <v>7253</v>
      </c>
      <c r="B3626" s="1" t="s">
        <v>7254</v>
      </c>
      <c r="C3626" s="1" t="s">
        <v>5</v>
      </c>
    </row>
    <row r="3627" spans="1:3" x14ac:dyDescent="0.25">
      <c r="A3627" s="1" t="s">
        <v>7255</v>
      </c>
      <c r="B3627" s="1" t="s">
        <v>7256</v>
      </c>
      <c r="C3627" s="1" t="s">
        <v>5</v>
      </c>
    </row>
    <row r="3628" spans="1:3" x14ac:dyDescent="0.25">
      <c r="A3628" s="1" t="s">
        <v>7257</v>
      </c>
      <c r="B3628" s="1" t="s">
        <v>7258</v>
      </c>
      <c r="C3628" s="1" t="s">
        <v>5</v>
      </c>
    </row>
    <row r="3629" spans="1:3" x14ac:dyDescent="0.25">
      <c r="A3629" s="1" t="s">
        <v>7259</v>
      </c>
      <c r="B3629" s="1" t="s">
        <v>7260</v>
      </c>
      <c r="C3629" s="1" t="s">
        <v>5</v>
      </c>
    </row>
    <row r="3630" spans="1:3" x14ac:dyDescent="0.25">
      <c r="A3630" s="1" t="s">
        <v>7261</v>
      </c>
      <c r="B3630" s="1" t="s">
        <v>7262</v>
      </c>
      <c r="C3630" s="1" t="s">
        <v>5</v>
      </c>
    </row>
    <row r="3631" spans="1:3" x14ac:dyDescent="0.25">
      <c r="A3631" s="1" t="s">
        <v>7263</v>
      </c>
      <c r="B3631" s="1" t="s">
        <v>7264</v>
      </c>
      <c r="C3631" s="1" t="s">
        <v>5</v>
      </c>
    </row>
    <row r="3632" spans="1:3" x14ac:dyDescent="0.25">
      <c r="A3632" s="1" t="s">
        <v>7265</v>
      </c>
      <c r="B3632" s="1" t="s">
        <v>7266</v>
      </c>
      <c r="C3632" s="1" t="s">
        <v>5</v>
      </c>
    </row>
    <row r="3633" spans="1:3" x14ac:dyDescent="0.25">
      <c r="A3633" s="1" t="s">
        <v>7267</v>
      </c>
      <c r="B3633" s="1" t="s">
        <v>7268</v>
      </c>
      <c r="C3633" s="1" t="s">
        <v>5</v>
      </c>
    </row>
    <row r="3634" spans="1:3" x14ac:dyDescent="0.25">
      <c r="A3634" s="1" t="s">
        <v>7269</v>
      </c>
      <c r="B3634" s="1" t="s">
        <v>7270</v>
      </c>
      <c r="C3634" s="1" t="s">
        <v>5</v>
      </c>
    </row>
    <row r="3635" spans="1:3" x14ac:dyDescent="0.25">
      <c r="A3635" s="1" t="s">
        <v>7271</v>
      </c>
      <c r="B3635" s="1" t="s">
        <v>7272</v>
      </c>
      <c r="C3635" s="1" t="s">
        <v>5</v>
      </c>
    </row>
    <row r="3636" spans="1:3" x14ac:dyDescent="0.25">
      <c r="A3636" s="1" t="s">
        <v>7273</v>
      </c>
      <c r="B3636" s="1" t="s">
        <v>7274</v>
      </c>
      <c r="C3636" s="1" t="s">
        <v>5</v>
      </c>
    </row>
    <row r="3637" spans="1:3" x14ac:dyDescent="0.25">
      <c r="A3637" s="1" t="s">
        <v>7275</v>
      </c>
      <c r="B3637" s="1" t="s">
        <v>7276</v>
      </c>
      <c r="C3637" s="1" t="s">
        <v>5</v>
      </c>
    </row>
    <row r="3638" spans="1:3" x14ac:dyDescent="0.25">
      <c r="A3638" s="1" t="s">
        <v>7277</v>
      </c>
      <c r="B3638" s="1" t="s">
        <v>7278</v>
      </c>
      <c r="C3638" s="1" t="s">
        <v>5</v>
      </c>
    </row>
    <row r="3639" spans="1:3" x14ac:dyDescent="0.25">
      <c r="A3639" s="1" t="s">
        <v>7279</v>
      </c>
      <c r="B3639" s="1" t="s">
        <v>7280</v>
      </c>
      <c r="C3639" s="1" t="s">
        <v>5</v>
      </c>
    </row>
    <row r="3640" spans="1:3" x14ac:dyDescent="0.25">
      <c r="A3640" s="1" t="s">
        <v>7281</v>
      </c>
      <c r="B3640" s="1" t="s">
        <v>7282</v>
      </c>
      <c r="C3640" s="1" t="s">
        <v>5</v>
      </c>
    </row>
    <row r="3641" spans="1:3" x14ac:dyDescent="0.25">
      <c r="A3641" s="1" t="s">
        <v>7283</v>
      </c>
      <c r="B3641" s="1" t="s">
        <v>7284</v>
      </c>
      <c r="C3641" s="1" t="s">
        <v>5</v>
      </c>
    </row>
    <row r="3642" spans="1:3" x14ac:dyDescent="0.25">
      <c r="A3642" s="1" t="s">
        <v>7285</v>
      </c>
      <c r="B3642" s="1" t="s">
        <v>7286</v>
      </c>
      <c r="C3642" s="1" t="s">
        <v>5</v>
      </c>
    </row>
    <row r="3643" spans="1:3" x14ac:dyDescent="0.25">
      <c r="A3643" s="1" t="s">
        <v>7287</v>
      </c>
      <c r="B3643" s="1" t="s">
        <v>7288</v>
      </c>
      <c r="C3643" s="1" t="s">
        <v>5</v>
      </c>
    </row>
    <row r="3644" spans="1:3" x14ac:dyDescent="0.25">
      <c r="A3644" s="1" t="s">
        <v>7289</v>
      </c>
      <c r="B3644" s="1" t="s">
        <v>7290</v>
      </c>
      <c r="C3644" s="1" t="s">
        <v>5</v>
      </c>
    </row>
    <row r="3645" spans="1:3" x14ac:dyDescent="0.25">
      <c r="A3645" s="1" t="s">
        <v>7291</v>
      </c>
      <c r="B3645" s="1" t="s">
        <v>7292</v>
      </c>
      <c r="C3645" s="1" t="s">
        <v>5</v>
      </c>
    </row>
    <row r="3646" spans="1:3" x14ac:dyDescent="0.25">
      <c r="A3646" s="1" t="s">
        <v>7293</v>
      </c>
      <c r="B3646" s="1" t="s">
        <v>7294</v>
      </c>
      <c r="C3646" s="1" t="s">
        <v>5</v>
      </c>
    </row>
    <row r="3647" spans="1:3" x14ac:dyDescent="0.25">
      <c r="A3647" s="1" t="s">
        <v>7295</v>
      </c>
      <c r="B3647" s="1" t="s">
        <v>7296</v>
      </c>
      <c r="C3647" s="1" t="s">
        <v>5</v>
      </c>
    </row>
    <row r="3648" spans="1:3" x14ac:dyDescent="0.25">
      <c r="A3648" s="1" t="s">
        <v>7297</v>
      </c>
      <c r="B3648" s="1" t="s">
        <v>7298</v>
      </c>
      <c r="C3648" s="1" t="s">
        <v>448</v>
      </c>
    </row>
    <row r="3649" spans="1:3" x14ac:dyDescent="0.25">
      <c r="A3649" s="1" t="s">
        <v>7299</v>
      </c>
      <c r="B3649" s="1" t="s">
        <v>7300</v>
      </c>
      <c r="C3649" s="1" t="s">
        <v>448</v>
      </c>
    </row>
    <row r="3650" spans="1:3" x14ac:dyDescent="0.25">
      <c r="A3650" s="1" t="s">
        <v>7301</v>
      </c>
      <c r="B3650" s="1" t="s">
        <v>7302</v>
      </c>
      <c r="C3650" s="1" t="s">
        <v>5</v>
      </c>
    </row>
    <row r="3651" spans="1:3" x14ac:dyDescent="0.25">
      <c r="A3651" s="1" t="s">
        <v>7303</v>
      </c>
      <c r="B3651" s="1" t="s">
        <v>7304</v>
      </c>
      <c r="C3651" s="1" t="s">
        <v>5</v>
      </c>
    </row>
    <row r="3652" spans="1:3" x14ac:dyDescent="0.25">
      <c r="A3652" s="1" t="s">
        <v>7305</v>
      </c>
      <c r="B3652" s="1" t="s">
        <v>7306</v>
      </c>
      <c r="C3652" s="1" t="s">
        <v>5</v>
      </c>
    </row>
    <row r="3653" spans="1:3" x14ac:dyDescent="0.25">
      <c r="A3653" s="1" t="s">
        <v>7307</v>
      </c>
      <c r="B3653" s="1" t="s">
        <v>7308</v>
      </c>
      <c r="C3653" s="1" t="s">
        <v>5</v>
      </c>
    </row>
    <row r="3654" spans="1:3" x14ac:dyDescent="0.25">
      <c r="A3654" s="1" t="s">
        <v>7309</v>
      </c>
      <c r="B3654" s="1" t="s">
        <v>7310</v>
      </c>
      <c r="C3654" s="1" t="s">
        <v>5</v>
      </c>
    </row>
    <row r="3655" spans="1:3" x14ac:dyDescent="0.25">
      <c r="A3655" s="1" t="s">
        <v>7311</v>
      </c>
      <c r="B3655" s="1" t="s">
        <v>7312</v>
      </c>
      <c r="C3655" s="1" t="s">
        <v>5</v>
      </c>
    </row>
    <row r="3656" spans="1:3" x14ac:dyDescent="0.25">
      <c r="A3656" s="1" t="s">
        <v>7313</v>
      </c>
      <c r="B3656" s="1" t="s">
        <v>7314</v>
      </c>
      <c r="C3656" s="1" t="s">
        <v>5</v>
      </c>
    </row>
    <row r="3657" spans="1:3" x14ac:dyDescent="0.25">
      <c r="A3657" s="1" t="s">
        <v>7315</v>
      </c>
      <c r="B3657" s="1" t="s">
        <v>7316</v>
      </c>
      <c r="C3657" s="1" t="s">
        <v>5</v>
      </c>
    </row>
    <row r="3658" spans="1:3" x14ac:dyDescent="0.25">
      <c r="A3658" s="1" t="s">
        <v>7317</v>
      </c>
      <c r="B3658" s="1" t="s">
        <v>7318</v>
      </c>
      <c r="C3658" s="1" t="s">
        <v>5</v>
      </c>
    </row>
    <row r="3659" spans="1:3" x14ac:dyDescent="0.25">
      <c r="A3659" s="1" t="s">
        <v>7319</v>
      </c>
      <c r="B3659" s="1" t="s">
        <v>7320</v>
      </c>
      <c r="C3659" s="1" t="s">
        <v>5</v>
      </c>
    </row>
    <row r="3660" spans="1:3" x14ac:dyDescent="0.25">
      <c r="A3660" s="1" t="s">
        <v>7321</v>
      </c>
      <c r="B3660" s="1" t="s">
        <v>7322</v>
      </c>
      <c r="C3660" s="1" t="s">
        <v>5</v>
      </c>
    </row>
    <row r="3661" spans="1:3" x14ac:dyDescent="0.25">
      <c r="A3661" s="1" t="s">
        <v>7323</v>
      </c>
      <c r="B3661" s="1" t="s">
        <v>7324</v>
      </c>
      <c r="C3661" s="1" t="s">
        <v>5</v>
      </c>
    </row>
    <row r="3662" spans="1:3" x14ac:dyDescent="0.25">
      <c r="A3662" s="1" t="s">
        <v>7325</v>
      </c>
      <c r="B3662" s="1" t="s">
        <v>7326</v>
      </c>
      <c r="C3662" s="1" t="s">
        <v>5</v>
      </c>
    </row>
    <row r="3663" spans="1:3" x14ac:dyDescent="0.25">
      <c r="A3663" s="1" t="s">
        <v>7327</v>
      </c>
      <c r="B3663" s="1" t="s">
        <v>7328</v>
      </c>
      <c r="C3663" s="1" t="s">
        <v>5</v>
      </c>
    </row>
    <row r="3664" spans="1:3" x14ac:dyDescent="0.25">
      <c r="A3664" s="1" t="s">
        <v>7329</v>
      </c>
      <c r="B3664" s="1" t="s">
        <v>7330</v>
      </c>
      <c r="C3664" s="1" t="s">
        <v>5</v>
      </c>
    </row>
    <row r="3665" spans="1:3" x14ac:dyDescent="0.25">
      <c r="A3665" s="1" t="s">
        <v>7331</v>
      </c>
      <c r="B3665" s="1" t="s">
        <v>7332</v>
      </c>
      <c r="C3665" s="1" t="s">
        <v>5</v>
      </c>
    </row>
    <row r="3666" spans="1:3" x14ac:dyDescent="0.25">
      <c r="A3666" s="1" t="s">
        <v>7333</v>
      </c>
      <c r="B3666" s="1" t="s">
        <v>7334</v>
      </c>
      <c r="C3666" s="1" t="s">
        <v>5</v>
      </c>
    </row>
    <row r="3667" spans="1:3" x14ac:dyDescent="0.25">
      <c r="A3667" s="1" t="s">
        <v>7335</v>
      </c>
      <c r="B3667" s="1" t="s">
        <v>7336</v>
      </c>
      <c r="C3667" s="1" t="s">
        <v>5</v>
      </c>
    </row>
    <row r="3668" spans="1:3" x14ac:dyDescent="0.25">
      <c r="A3668" s="1" t="s">
        <v>7337</v>
      </c>
      <c r="B3668" s="1" t="s">
        <v>7338</v>
      </c>
      <c r="C3668" s="1" t="s">
        <v>5</v>
      </c>
    </row>
    <row r="3669" spans="1:3" x14ac:dyDescent="0.25">
      <c r="A3669" s="1" t="s">
        <v>7339</v>
      </c>
      <c r="B3669" s="1" t="s">
        <v>7340</v>
      </c>
      <c r="C3669" s="1" t="s">
        <v>5</v>
      </c>
    </row>
    <row r="3670" spans="1:3" x14ac:dyDescent="0.25">
      <c r="A3670" s="1" t="s">
        <v>7341</v>
      </c>
      <c r="B3670" s="1" t="s">
        <v>7342</v>
      </c>
      <c r="C3670" s="1" t="s">
        <v>5</v>
      </c>
    </row>
    <row r="3671" spans="1:3" x14ac:dyDescent="0.25">
      <c r="A3671" s="1" t="s">
        <v>7343</v>
      </c>
      <c r="B3671" s="1" t="s">
        <v>7344</v>
      </c>
      <c r="C3671" s="1" t="s">
        <v>5</v>
      </c>
    </row>
    <row r="3672" spans="1:3" x14ac:dyDescent="0.25">
      <c r="A3672" s="1" t="s">
        <v>7345</v>
      </c>
      <c r="B3672" s="1" t="s">
        <v>7346</v>
      </c>
      <c r="C3672" s="1" t="s">
        <v>5</v>
      </c>
    </row>
    <row r="3673" spans="1:3" x14ac:dyDescent="0.25">
      <c r="A3673" s="1" t="s">
        <v>7347</v>
      </c>
      <c r="B3673" s="1" t="s">
        <v>7348</v>
      </c>
      <c r="C3673" s="1" t="s">
        <v>5</v>
      </c>
    </row>
    <row r="3674" spans="1:3" x14ac:dyDescent="0.25">
      <c r="A3674" s="1" t="s">
        <v>7349</v>
      </c>
      <c r="B3674" s="1" t="s">
        <v>7350</v>
      </c>
      <c r="C3674" s="1" t="s">
        <v>5</v>
      </c>
    </row>
    <row r="3675" spans="1:3" x14ac:dyDescent="0.25">
      <c r="A3675" s="1" t="s">
        <v>7351</v>
      </c>
      <c r="B3675" s="1" t="s">
        <v>7352</v>
      </c>
      <c r="C3675" s="1" t="s">
        <v>5</v>
      </c>
    </row>
    <row r="3676" spans="1:3" x14ac:dyDescent="0.25">
      <c r="A3676" s="1" t="s">
        <v>7353</v>
      </c>
      <c r="B3676" s="1" t="s">
        <v>7354</v>
      </c>
      <c r="C3676" s="1" t="s">
        <v>5</v>
      </c>
    </row>
    <row r="3677" spans="1:3" x14ac:dyDescent="0.25">
      <c r="A3677" s="1" t="s">
        <v>7355</v>
      </c>
      <c r="B3677" s="1" t="s">
        <v>7356</v>
      </c>
      <c r="C3677" s="1" t="s">
        <v>5</v>
      </c>
    </row>
    <row r="3678" spans="1:3" x14ac:dyDescent="0.25">
      <c r="A3678" s="1" t="s">
        <v>7357</v>
      </c>
      <c r="B3678" s="1" t="s">
        <v>7358</v>
      </c>
      <c r="C3678" s="1" t="s">
        <v>5</v>
      </c>
    </row>
    <row r="3679" spans="1:3" x14ac:dyDescent="0.25">
      <c r="A3679" s="1" t="s">
        <v>7359</v>
      </c>
      <c r="B3679" s="1" t="s">
        <v>7360</v>
      </c>
      <c r="C3679" s="1" t="s">
        <v>5</v>
      </c>
    </row>
    <row r="3680" spans="1:3" x14ac:dyDescent="0.25">
      <c r="A3680" s="1" t="s">
        <v>7361</v>
      </c>
      <c r="B3680" s="1" t="s">
        <v>7362</v>
      </c>
      <c r="C3680" s="1" t="s">
        <v>5</v>
      </c>
    </row>
    <row r="3681" spans="1:3" x14ac:dyDescent="0.25">
      <c r="A3681" s="1" t="s">
        <v>7363</v>
      </c>
      <c r="B3681" s="1" t="s">
        <v>7364</v>
      </c>
      <c r="C3681" s="1" t="s">
        <v>5</v>
      </c>
    </row>
    <row r="3682" spans="1:3" x14ac:dyDescent="0.25">
      <c r="A3682" s="1" t="s">
        <v>7365</v>
      </c>
      <c r="B3682" s="1" t="s">
        <v>7366</v>
      </c>
      <c r="C3682" s="1" t="s">
        <v>5</v>
      </c>
    </row>
    <row r="3683" spans="1:3" x14ac:dyDescent="0.25">
      <c r="A3683" s="1" t="s">
        <v>7367</v>
      </c>
      <c r="B3683" s="1" t="s">
        <v>7368</v>
      </c>
      <c r="C3683" s="1" t="s">
        <v>5</v>
      </c>
    </row>
    <row r="3684" spans="1:3" x14ac:dyDescent="0.25">
      <c r="A3684" s="1" t="s">
        <v>7369</v>
      </c>
      <c r="B3684" s="1" t="s">
        <v>7370</v>
      </c>
      <c r="C3684" s="1" t="s">
        <v>5</v>
      </c>
    </row>
    <row r="3685" spans="1:3" x14ac:dyDescent="0.25">
      <c r="A3685" s="1" t="s">
        <v>7371</v>
      </c>
      <c r="B3685" s="1" t="s">
        <v>7372</v>
      </c>
      <c r="C3685" s="1" t="s">
        <v>5</v>
      </c>
    </row>
    <row r="3686" spans="1:3" x14ac:dyDescent="0.25">
      <c r="A3686" s="1" t="s">
        <v>7373</v>
      </c>
      <c r="B3686" s="1" t="s">
        <v>7374</v>
      </c>
      <c r="C3686" s="1" t="s">
        <v>5</v>
      </c>
    </row>
    <row r="3687" spans="1:3" x14ac:dyDescent="0.25">
      <c r="A3687" s="1" t="s">
        <v>7375</v>
      </c>
      <c r="B3687" s="1" t="s">
        <v>7376</v>
      </c>
      <c r="C3687" s="1" t="s">
        <v>5</v>
      </c>
    </row>
    <row r="3688" spans="1:3" x14ac:dyDescent="0.25">
      <c r="A3688" s="1" t="s">
        <v>7377</v>
      </c>
      <c r="B3688" s="1" t="s">
        <v>7378</v>
      </c>
      <c r="C3688" s="1" t="s">
        <v>5</v>
      </c>
    </row>
    <row r="3689" spans="1:3" x14ac:dyDescent="0.25">
      <c r="A3689" s="1" t="s">
        <v>7379</v>
      </c>
      <c r="B3689" s="1" t="s">
        <v>7380</v>
      </c>
      <c r="C3689" s="1" t="s">
        <v>5</v>
      </c>
    </row>
    <row r="3690" spans="1:3" x14ac:dyDescent="0.25">
      <c r="A3690" s="1" t="s">
        <v>7381</v>
      </c>
      <c r="B3690" s="1" t="s">
        <v>7382</v>
      </c>
      <c r="C3690" s="1" t="s">
        <v>5</v>
      </c>
    </row>
    <row r="3691" spans="1:3" x14ac:dyDescent="0.25">
      <c r="A3691" s="1" t="s">
        <v>7383</v>
      </c>
      <c r="B3691" s="1" t="s">
        <v>7384</v>
      </c>
      <c r="C3691" s="1" t="s">
        <v>5</v>
      </c>
    </row>
    <row r="3692" spans="1:3" x14ac:dyDescent="0.25">
      <c r="A3692" s="1" t="s">
        <v>7385</v>
      </c>
      <c r="B3692" s="1" t="s">
        <v>7386</v>
      </c>
      <c r="C3692" s="1" t="s">
        <v>5</v>
      </c>
    </row>
    <row r="3693" spans="1:3" x14ac:dyDescent="0.25">
      <c r="A3693" s="1" t="s">
        <v>7387</v>
      </c>
      <c r="B3693" s="1" t="s">
        <v>7388</v>
      </c>
      <c r="C3693" s="1" t="s">
        <v>5</v>
      </c>
    </row>
    <row r="3694" spans="1:3" x14ac:dyDescent="0.25">
      <c r="A3694" s="1" t="s">
        <v>7389</v>
      </c>
      <c r="B3694" s="1" t="s">
        <v>7390</v>
      </c>
      <c r="C3694" s="1" t="s">
        <v>5</v>
      </c>
    </row>
    <row r="3695" spans="1:3" x14ac:dyDescent="0.25">
      <c r="A3695" s="1" t="s">
        <v>7391</v>
      </c>
      <c r="B3695" s="1" t="s">
        <v>7392</v>
      </c>
      <c r="C3695" s="1" t="s">
        <v>5</v>
      </c>
    </row>
    <row r="3696" spans="1:3" x14ac:dyDescent="0.25">
      <c r="A3696" s="1" t="s">
        <v>7393</v>
      </c>
      <c r="B3696" s="1" t="s">
        <v>7394</v>
      </c>
      <c r="C3696" s="1" t="s">
        <v>5</v>
      </c>
    </row>
    <row r="3697" spans="1:3" x14ac:dyDescent="0.25">
      <c r="A3697" s="1" t="s">
        <v>7395</v>
      </c>
      <c r="B3697" s="1" t="s">
        <v>7396</v>
      </c>
      <c r="C3697" s="1" t="s">
        <v>5</v>
      </c>
    </row>
    <row r="3698" spans="1:3" x14ac:dyDescent="0.25">
      <c r="A3698" s="1" t="s">
        <v>7397</v>
      </c>
      <c r="B3698" s="1" t="s">
        <v>7398</v>
      </c>
      <c r="C3698" s="1" t="s">
        <v>5</v>
      </c>
    </row>
    <row r="3699" spans="1:3" x14ac:dyDescent="0.25">
      <c r="A3699" s="1" t="s">
        <v>7399</v>
      </c>
      <c r="B3699" s="1" t="s">
        <v>7400</v>
      </c>
      <c r="C3699" s="1" t="s">
        <v>5</v>
      </c>
    </row>
    <row r="3700" spans="1:3" x14ac:dyDescent="0.25">
      <c r="A3700" s="1" t="s">
        <v>7401</v>
      </c>
      <c r="B3700" s="1" t="s">
        <v>7402</v>
      </c>
      <c r="C3700" s="1" t="s">
        <v>5</v>
      </c>
    </row>
    <row r="3701" spans="1:3" x14ac:dyDescent="0.25">
      <c r="A3701" s="1" t="s">
        <v>7403</v>
      </c>
      <c r="B3701" s="1" t="s">
        <v>7404</v>
      </c>
      <c r="C3701" s="1" t="s">
        <v>5</v>
      </c>
    </row>
    <row r="3702" spans="1:3" x14ac:dyDescent="0.25">
      <c r="A3702" s="1" t="s">
        <v>7405</v>
      </c>
      <c r="B3702" s="1" t="s">
        <v>7406</v>
      </c>
      <c r="C3702" s="1" t="s">
        <v>5</v>
      </c>
    </row>
    <row r="3703" spans="1:3" x14ac:dyDescent="0.25">
      <c r="A3703" s="1" t="s">
        <v>7407</v>
      </c>
      <c r="B3703" s="1" t="s">
        <v>7408</v>
      </c>
      <c r="C3703" s="1" t="s">
        <v>5</v>
      </c>
    </row>
    <row r="3704" spans="1:3" x14ac:dyDescent="0.25">
      <c r="A3704" s="1" t="s">
        <v>7409</v>
      </c>
      <c r="B3704" s="1" t="s">
        <v>7410</v>
      </c>
      <c r="C3704" s="1" t="s">
        <v>5</v>
      </c>
    </row>
    <row r="3705" spans="1:3" x14ac:dyDescent="0.25">
      <c r="A3705" s="1" t="s">
        <v>7411</v>
      </c>
      <c r="B3705" s="1" t="s">
        <v>7412</v>
      </c>
      <c r="C3705" s="1" t="s">
        <v>5</v>
      </c>
    </row>
    <row r="3706" spans="1:3" x14ac:dyDescent="0.25">
      <c r="A3706" s="1" t="s">
        <v>7413</v>
      </c>
      <c r="B3706" s="1" t="s">
        <v>7414</v>
      </c>
      <c r="C3706" s="1" t="s">
        <v>5</v>
      </c>
    </row>
    <row r="3707" spans="1:3" x14ac:dyDescent="0.25">
      <c r="A3707" s="1" t="s">
        <v>7415</v>
      </c>
      <c r="B3707" s="1" t="s">
        <v>7416</v>
      </c>
      <c r="C3707" s="1" t="s">
        <v>5</v>
      </c>
    </row>
    <row r="3708" spans="1:3" x14ac:dyDescent="0.25">
      <c r="A3708" s="1" t="s">
        <v>7417</v>
      </c>
      <c r="B3708" s="1" t="s">
        <v>7418</v>
      </c>
      <c r="C3708" s="1" t="s">
        <v>5</v>
      </c>
    </row>
    <row r="3709" spans="1:3" x14ac:dyDescent="0.25">
      <c r="A3709" s="1" t="s">
        <v>7419</v>
      </c>
      <c r="B3709" s="1" t="s">
        <v>7420</v>
      </c>
      <c r="C3709" s="1" t="s">
        <v>5</v>
      </c>
    </row>
    <row r="3710" spans="1:3" x14ac:dyDescent="0.25">
      <c r="A3710" s="1" t="s">
        <v>7421</v>
      </c>
      <c r="B3710" s="1" t="s">
        <v>7422</v>
      </c>
      <c r="C3710" s="1" t="s">
        <v>5</v>
      </c>
    </row>
    <row r="3711" spans="1:3" x14ac:dyDescent="0.25">
      <c r="A3711" s="1" t="s">
        <v>7423</v>
      </c>
      <c r="B3711" s="1" t="s">
        <v>7424</v>
      </c>
      <c r="C3711" s="1" t="s">
        <v>5</v>
      </c>
    </row>
    <row r="3712" spans="1:3" x14ac:dyDescent="0.25">
      <c r="A3712" s="1" t="s">
        <v>7425</v>
      </c>
      <c r="B3712" s="1" t="s">
        <v>7426</v>
      </c>
      <c r="C3712" s="1" t="s">
        <v>5</v>
      </c>
    </row>
    <row r="3713" spans="1:3" x14ac:dyDescent="0.25">
      <c r="A3713" s="1" t="s">
        <v>7427</v>
      </c>
      <c r="B3713" s="1" t="s">
        <v>7428</v>
      </c>
      <c r="C3713" s="1" t="s">
        <v>5</v>
      </c>
    </row>
    <row r="3714" spans="1:3" x14ac:dyDescent="0.25">
      <c r="A3714" s="1" t="s">
        <v>7429</v>
      </c>
      <c r="B3714" s="1" t="s">
        <v>7430</v>
      </c>
      <c r="C3714" s="1" t="s">
        <v>5</v>
      </c>
    </row>
    <row r="3715" spans="1:3" x14ac:dyDescent="0.25">
      <c r="A3715" s="1" t="s">
        <v>7431</v>
      </c>
      <c r="B3715" s="1" t="s">
        <v>7432</v>
      </c>
      <c r="C3715" s="1" t="s">
        <v>5</v>
      </c>
    </row>
    <row r="3716" spans="1:3" x14ac:dyDescent="0.25">
      <c r="A3716" s="1" t="s">
        <v>7433</v>
      </c>
      <c r="B3716" s="1" t="s">
        <v>7434</v>
      </c>
      <c r="C3716" s="1" t="s">
        <v>5</v>
      </c>
    </row>
    <row r="3717" spans="1:3" x14ac:dyDescent="0.25">
      <c r="A3717" s="1" t="s">
        <v>7435</v>
      </c>
      <c r="B3717" s="1" t="s">
        <v>7436</v>
      </c>
      <c r="C3717" s="1" t="s">
        <v>5</v>
      </c>
    </row>
    <row r="3718" spans="1:3" x14ac:dyDescent="0.25">
      <c r="A3718" s="1" t="s">
        <v>7437</v>
      </c>
      <c r="B3718" s="1" t="s">
        <v>7438</v>
      </c>
      <c r="C3718" s="1" t="s">
        <v>5</v>
      </c>
    </row>
    <row r="3719" spans="1:3" x14ac:dyDescent="0.25">
      <c r="A3719" s="1" t="s">
        <v>7439</v>
      </c>
      <c r="B3719" s="1" t="s">
        <v>7440</v>
      </c>
      <c r="C3719" s="1" t="s">
        <v>5</v>
      </c>
    </row>
    <row r="3720" spans="1:3" x14ac:dyDescent="0.25">
      <c r="A3720" s="1" t="s">
        <v>7441</v>
      </c>
      <c r="B3720" s="1" t="s">
        <v>7442</v>
      </c>
      <c r="C3720" s="1" t="s">
        <v>5</v>
      </c>
    </row>
    <row r="3721" spans="1:3" x14ac:dyDescent="0.25">
      <c r="A3721" s="1" t="s">
        <v>7443</v>
      </c>
      <c r="B3721" s="1" t="s">
        <v>7444</v>
      </c>
      <c r="C3721" s="1" t="s">
        <v>5</v>
      </c>
    </row>
    <row r="3722" spans="1:3" x14ac:dyDescent="0.25">
      <c r="A3722" s="1" t="s">
        <v>7445</v>
      </c>
      <c r="B3722" s="1" t="s">
        <v>7446</v>
      </c>
      <c r="C3722" s="1" t="s">
        <v>5</v>
      </c>
    </row>
    <row r="3723" spans="1:3" x14ac:dyDescent="0.25">
      <c r="A3723" s="1" t="s">
        <v>7447</v>
      </c>
      <c r="B3723" s="1" t="s">
        <v>7448</v>
      </c>
      <c r="C3723" s="1" t="s">
        <v>5</v>
      </c>
    </row>
    <row r="3724" spans="1:3" x14ac:dyDescent="0.25">
      <c r="A3724" s="1" t="s">
        <v>7449</v>
      </c>
      <c r="B3724" s="1" t="s">
        <v>7450</v>
      </c>
      <c r="C3724" s="1" t="s">
        <v>5</v>
      </c>
    </row>
    <row r="3725" spans="1:3" x14ac:dyDescent="0.25">
      <c r="A3725" s="1" t="s">
        <v>7451</v>
      </c>
      <c r="B3725" s="1" t="s">
        <v>7452</v>
      </c>
      <c r="C3725" s="1" t="s">
        <v>5</v>
      </c>
    </row>
    <row r="3726" spans="1:3" x14ac:dyDescent="0.25">
      <c r="A3726" s="1" t="s">
        <v>7453</v>
      </c>
      <c r="B3726" s="1" t="s">
        <v>7454</v>
      </c>
      <c r="C3726" s="1" t="s">
        <v>5</v>
      </c>
    </row>
    <row r="3727" spans="1:3" x14ac:dyDescent="0.25">
      <c r="A3727" s="1" t="s">
        <v>7455</v>
      </c>
      <c r="B3727" s="1" t="s">
        <v>7456</v>
      </c>
      <c r="C3727" s="1" t="s">
        <v>5</v>
      </c>
    </row>
    <row r="3728" spans="1:3" x14ac:dyDescent="0.25">
      <c r="A3728" s="1" t="s">
        <v>7457</v>
      </c>
      <c r="B3728" s="1" t="s">
        <v>7458</v>
      </c>
      <c r="C3728" s="1" t="s">
        <v>5</v>
      </c>
    </row>
    <row r="3729" spans="1:3" x14ac:dyDescent="0.25">
      <c r="A3729" s="1" t="s">
        <v>7459</v>
      </c>
      <c r="B3729" s="1" t="s">
        <v>7460</v>
      </c>
      <c r="C3729" s="1" t="s">
        <v>5</v>
      </c>
    </row>
    <row r="3730" spans="1:3" x14ac:dyDescent="0.25">
      <c r="A3730" s="1" t="s">
        <v>7461</v>
      </c>
      <c r="B3730" s="1" t="s">
        <v>7462</v>
      </c>
      <c r="C3730" s="1" t="s">
        <v>5</v>
      </c>
    </row>
    <row r="3731" spans="1:3" x14ac:dyDescent="0.25">
      <c r="A3731" s="1" t="s">
        <v>7463</v>
      </c>
      <c r="B3731" s="1" t="s">
        <v>7464</v>
      </c>
      <c r="C3731" s="1" t="s">
        <v>5</v>
      </c>
    </row>
    <row r="3732" spans="1:3" x14ac:dyDescent="0.25">
      <c r="A3732" s="1" t="s">
        <v>7465</v>
      </c>
      <c r="B3732" s="1" t="s">
        <v>7466</v>
      </c>
      <c r="C3732" s="1" t="s">
        <v>5</v>
      </c>
    </row>
    <row r="3733" spans="1:3" x14ac:dyDescent="0.25">
      <c r="A3733" s="1" t="s">
        <v>7467</v>
      </c>
      <c r="B3733" s="1" t="s">
        <v>7468</v>
      </c>
      <c r="C3733" s="1" t="s">
        <v>5</v>
      </c>
    </row>
    <row r="3734" spans="1:3" x14ac:dyDescent="0.25">
      <c r="A3734" s="1" t="s">
        <v>7469</v>
      </c>
      <c r="B3734" s="1" t="s">
        <v>7470</v>
      </c>
      <c r="C3734" s="1" t="s">
        <v>5</v>
      </c>
    </row>
    <row r="3735" spans="1:3" x14ac:dyDescent="0.25">
      <c r="A3735" s="1" t="s">
        <v>7471</v>
      </c>
      <c r="B3735" s="1" t="s">
        <v>7472</v>
      </c>
      <c r="C3735" s="1" t="s">
        <v>5</v>
      </c>
    </row>
    <row r="3736" spans="1:3" x14ac:dyDescent="0.25">
      <c r="A3736" s="1" t="s">
        <v>7473</v>
      </c>
      <c r="B3736" s="1" t="s">
        <v>7474</v>
      </c>
      <c r="C3736" s="1" t="s">
        <v>5</v>
      </c>
    </row>
    <row r="3737" spans="1:3" x14ac:dyDescent="0.25">
      <c r="A3737" s="1" t="s">
        <v>7475</v>
      </c>
      <c r="B3737" s="1" t="s">
        <v>7476</v>
      </c>
      <c r="C3737" s="1" t="s">
        <v>5</v>
      </c>
    </row>
    <row r="3738" spans="1:3" x14ac:dyDescent="0.25">
      <c r="A3738" s="1" t="s">
        <v>7477</v>
      </c>
      <c r="B3738" s="1" t="s">
        <v>7478</v>
      </c>
      <c r="C3738" s="1" t="s">
        <v>5</v>
      </c>
    </row>
    <row r="3739" spans="1:3" x14ac:dyDescent="0.25">
      <c r="A3739" s="1" t="s">
        <v>7479</v>
      </c>
      <c r="B3739" s="1" t="s">
        <v>7480</v>
      </c>
      <c r="C3739" s="1" t="s">
        <v>5</v>
      </c>
    </row>
    <row r="3740" spans="1:3" x14ac:dyDescent="0.25">
      <c r="A3740" s="1" t="s">
        <v>7481</v>
      </c>
      <c r="B3740" s="1" t="s">
        <v>7482</v>
      </c>
      <c r="C3740" s="1" t="s">
        <v>5</v>
      </c>
    </row>
    <row r="3741" spans="1:3" x14ac:dyDescent="0.25">
      <c r="A3741" s="1" t="s">
        <v>7483</v>
      </c>
      <c r="B3741" s="1" t="s">
        <v>7484</v>
      </c>
      <c r="C3741" s="1" t="s">
        <v>5</v>
      </c>
    </row>
    <row r="3742" spans="1:3" x14ac:dyDescent="0.25">
      <c r="A3742" s="1" t="s">
        <v>7485</v>
      </c>
      <c r="B3742" s="1" t="s">
        <v>7486</v>
      </c>
      <c r="C3742" s="1" t="s">
        <v>5</v>
      </c>
    </row>
    <row r="3743" spans="1:3" x14ac:dyDescent="0.25">
      <c r="A3743" s="1" t="s">
        <v>7487</v>
      </c>
      <c r="B3743" s="1" t="s">
        <v>7488</v>
      </c>
      <c r="C3743" s="1" t="s">
        <v>5</v>
      </c>
    </row>
    <row r="3744" spans="1:3" x14ac:dyDescent="0.25">
      <c r="A3744" s="1" t="s">
        <v>7489</v>
      </c>
      <c r="B3744" s="1" t="s">
        <v>7490</v>
      </c>
      <c r="C3744" s="1" t="s">
        <v>5</v>
      </c>
    </row>
    <row r="3745" spans="1:3" x14ac:dyDescent="0.25">
      <c r="A3745" s="1" t="s">
        <v>7491</v>
      </c>
      <c r="B3745" s="1" t="s">
        <v>7492</v>
      </c>
      <c r="C3745" s="1" t="s">
        <v>5</v>
      </c>
    </row>
    <row r="3746" spans="1:3" x14ac:dyDescent="0.25">
      <c r="A3746" s="1" t="s">
        <v>7493</v>
      </c>
      <c r="B3746" s="1" t="s">
        <v>7494</v>
      </c>
      <c r="C3746" s="1" t="s">
        <v>5</v>
      </c>
    </row>
    <row r="3747" spans="1:3" x14ac:dyDescent="0.25">
      <c r="A3747" s="1" t="s">
        <v>7495</v>
      </c>
      <c r="B3747" s="1" t="s">
        <v>7496</v>
      </c>
      <c r="C3747" s="1" t="s">
        <v>5</v>
      </c>
    </row>
    <row r="3748" spans="1:3" x14ac:dyDescent="0.25">
      <c r="A3748" s="1" t="s">
        <v>7497</v>
      </c>
      <c r="B3748" s="1" t="s">
        <v>7498</v>
      </c>
      <c r="C3748" s="1" t="s">
        <v>5</v>
      </c>
    </row>
    <row r="3749" spans="1:3" x14ac:dyDescent="0.25">
      <c r="A3749" s="1" t="s">
        <v>7499</v>
      </c>
      <c r="B3749" s="1" t="s">
        <v>7500</v>
      </c>
      <c r="C3749" s="1" t="s">
        <v>5</v>
      </c>
    </row>
    <row r="3750" spans="1:3" x14ac:dyDescent="0.25">
      <c r="A3750" s="1" t="s">
        <v>7501</v>
      </c>
      <c r="B3750" s="1" t="s">
        <v>7502</v>
      </c>
      <c r="C3750" s="1" t="s">
        <v>5</v>
      </c>
    </row>
    <row r="3751" spans="1:3" x14ac:dyDescent="0.25">
      <c r="A3751" s="1" t="s">
        <v>7503</v>
      </c>
      <c r="B3751" s="1" t="s">
        <v>7504</v>
      </c>
      <c r="C3751" s="1" t="s">
        <v>5</v>
      </c>
    </row>
    <row r="3752" spans="1:3" x14ac:dyDescent="0.25">
      <c r="A3752" s="1" t="s">
        <v>7505</v>
      </c>
      <c r="B3752" s="1" t="s">
        <v>7506</v>
      </c>
      <c r="C3752" s="1" t="s">
        <v>5</v>
      </c>
    </row>
    <row r="3753" spans="1:3" x14ac:dyDescent="0.25">
      <c r="A3753" s="1" t="s">
        <v>7507</v>
      </c>
      <c r="B3753" s="1" t="s">
        <v>7508</v>
      </c>
      <c r="C3753" s="1" t="s">
        <v>5</v>
      </c>
    </row>
    <row r="3754" spans="1:3" x14ac:dyDescent="0.25">
      <c r="A3754" s="1" t="s">
        <v>7509</v>
      </c>
      <c r="B3754" s="1" t="s">
        <v>7510</v>
      </c>
      <c r="C3754" s="1" t="s">
        <v>5</v>
      </c>
    </row>
    <row r="3755" spans="1:3" x14ac:dyDescent="0.25">
      <c r="A3755" s="1" t="s">
        <v>7511</v>
      </c>
      <c r="B3755" s="1" t="s">
        <v>7512</v>
      </c>
      <c r="C3755" s="1" t="s">
        <v>5</v>
      </c>
    </row>
    <row r="3756" spans="1:3" x14ac:dyDescent="0.25">
      <c r="A3756" s="1" t="s">
        <v>7513</v>
      </c>
      <c r="B3756" s="1" t="s">
        <v>7514</v>
      </c>
      <c r="C3756" s="1" t="s">
        <v>5</v>
      </c>
    </row>
    <row r="3757" spans="1:3" x14ac:dyDescent="0.25">
      <c r="A3757" s="1" t="s">
        <v>7515</v>
      </c>
      <c r="B3757" s="1" t="s">
        <v>7516</v>
      </c>
      <c r="C3757" s="1" t="s">
        <v>5</v>
      </c>
    </row>
    <row r="3758" spans="1:3" x14ac:dyDescent="0.25">
      <c r="A3758" s="1" t="s">
        <v>7517</v>
      </c>
      <c r="B3758" s="1" t="s">
        <v>7518</v>
      </c>
      <c r="C3758" s="1" t="s">
        <v>5</v>
      </c>
    </row>
    <row r="3759" spans="1:3" x14ac:dyDescent="0.25">
      <c r="A3759" s="1" t="s">
        <v>7519</v>
      </c>
      <c r="B3759" s="1" t="s">
        <v>7520</v>
      </c>
      <c r="C3759" s="1" t="s">
        <v>5</v>
      </c>
    </row>
    <row r="3760" spans="1:3" x14ac:dyDescent="0.25">
      <c r="A3760" s="1" t="s">
        <v>7521</v>
      </c>
      <c r="B3760" s="1" t="s">
        <v>7522</v>
      </c>
      <c r="C3760" s="1" t="s">
        <v>5</v>
      </c>
    </row>
    <row r="3761" spans="1:3" x14ac:dyDescent="0.25">
      <c r="A3761" s="1" t="s">
        <v>7523</v>
      </c>
      <c r="B3761" s="1" t="s">
        <v>7524</v>
      </c>
      <c r="C3761" s="1" t="s">
        <v>5</v>
      </c>
    </row>
    <row r="3762" spans="1:3" x14ac:dyDescent="0.25">
      <c r="A3762" s="1" t="s">
        <v>7525</v>
      </c>
      <c r="B3762" s="1" t="s">
        <v>7526</v>
      </c>
      <c r="C3762" s="1" t="s">
        <v>5</v>
      </c>
    </row>
    <row r="3763" spans="1:3" x14ac:dyDescent="0.25">
      <c r="A3763" s="1" t="s">
        <v>7527</v>
      </c>
      <c r="B3763" s="1" t="s">
        <v>7528</v>
      </c>
      <c r="C3763" s="1" t="s">
        <v>5</v>
      </c>
    </row>
    <row r="3764" spans="1:3" x14ac:dyDescent="0.25">
      <c r="A3764" s="1" t="s">
        <v>7529</v>
      </c>
      <c r="B3764" s="1" t="s">
        <v>7530</v>
      </c>
      <c r="C3764" s="1" t="s">
        <v>5</v>
      </c>
    </row>
    <row r="3765" spans="1:3" x14ac:dyDescent="0.25">
      <c r="A3765" s="1" t="s">
        <v>7531</v>
      </c>
      <c r="B3765" s="1" t="s">
        <v>7532</v>
      </c>
      <c r="C3765" s="1" t="s">
        <v>5</v>
      </c>
    </row>
    <row r="3766" spans="1:3" x14ac:dyDescent="0.25">
      <c r="A3766" s="1" t="s">
        <v>7533</v>
      </c>
      <c r="B3766" s="1" t="s">
        <v>7534</v>
      </c>
      <c r="C3766" s="1" t="s">
        <v>5</v>
      </c>
    </row>
    <row r="3767" spans="1:3" x14ac:dyDescent="0.25">
      <c r="A3767" s="1" t="s">
        <v>7535</v>
      </c>
      <c r="B3767" s="1" t="s">
        <v>7536</v>
      </c>
      <c r="C3767" s="1" t="s">
        <v>5</v>
      </c>
    </row>
    <row r="3768" spans="1:3" x14ac:dyDescent="0.25">
      <c r="A3768" s="1" t="s">
        <v>7537</v>
      </c>
      <c r="B3768" s="1" t="s">
        <v>7538</v>
      </c>
      <c r="C3768" s="1" t="s">
        <v>5</v>
      </c>
    </row>
    <row r="3769" spans="1:3" x14ac:dyDescent="0.25">
      <c r="A3769" s="1" t="s">
        <v>7539</v>
      </c>
      <c r="B3769" s="1" t="s">
        <v>7540</v>
      </c>
      <c r="C3769" s="1" t="s">
        <v>5</v>
      </c>
    </row>
    <row r="3770" spans="1:3" x14ac:dyDescent="0.25">
      <c r="A3770" s="1" t="s">
        <v>7541</v>
      </c>
      <c r="B3770" s="1" t="s">
        <v>7542</v>
      </c>
      <c r="C3770" s="1" t="s">
        <v>5</v>
      </c>
    </row>
    <row r="3771" spans="1:3" x14ac:dyDescent="0.25">
      <c r="A3771" s="1" t="s">
        <v>7543</v>
      </c>
      <c r="B3771" s="1" t="s">
        <v>7544</v>
      </c>
      <c r="C3771" s="1" t="s">
        <v>5</v>
      </c>
    </row>
    <row r="3772" spans="1:3" x14ac:dyDescent="0.25">
      <c r="A3772" s="1" t="s">
        <v>7545</v>
      </c>
      <c r="B3772" s="1" t="s">
        <v>7546</v>
      </c>
      <c r="C3772" s="1" t="s">
        <v>5</v>
      </c>
    </row>
    <row r="3773" spans="1:3" x14ac:dyDescent="0.25">
      <c r="A3773" s="1" t="s">
        <v>7547</v>
      </c>
      <c r="B3773" s="1" t="s">
        <v>7548</v>
      </c>
      <c r="C3773" s="1" t="s">
        <v>448</v>
      </c>
    </row>
    <row r="3774" spans="1:3" x14ac:dyDescent="0.25">
      <c r="A3774" s="1" t="s">
        <v>7549</v>
      </c>
      <c r="B3774" s="1" t="s">
        <v>7550</v>
      </c>
      <c r="C3774" s="1" t="s">
        <v>448</v>
      </c>
    </row>
    <row r="3775" spans="1:3" x14ac:dyDescent="0.25">
      <c r="A3775" s="1" t="s">
        <v>7551</v>
      </c>
      <c r="B3775" s="1" t="s">
        <v>7552</v>
      </c>
      <c r="C3775" s="1" t="s">
        <v>5</v>
      </c>
    </row>
    <row r="3776" spans="1:3" x14ac:dyDescent="0.25">
      <c r="A3776" s="1" t="s">
        <v>7553</v>
      </c>
      <c r="B3776" s="1" t="s">
        <v>7554</v>
      </c>
      <c r="C3776" s="1" t="s">
        <v>5</v>
      </c>
    </row>
    <row r="3777" spans="1:3" x14ac:dyDescent="0.25">
      <c r="A3777" s="1" t="s">
        <v>7555</v>
      </c>
      <c r="B3777" s="1" t="s">
        <v>7556</v>
      </c>
      <c r="C3777" s="1" t="s">
        <v>5</v>
      </c>
    </row>
    <row r="3778" spans="1:3" x14ac:dyDescent="0.25">
      <c r="A3778" s="1" t="s">
        <v>7557</v>
      </c>
      <c r="B3778" s="1" t="s">
        <v>7558</v>
      </c>
      <c r="C3778" s="1" t="s">
        <v>5</v>
      </c>
    </row>
    <row r="3779" spans="1:3" x14ac:dyDescent="0.25">
      <c r="A3779" s="1" t="s">
        <v>7559</v>
      </c>
      <c r="B3779" s="1" t="s">
        <v>7560</v>
      </c>
      <c r="C3779" s="1" t="s">
        <v>5</v>
      </c>
    </row>
    <row r="3780" spans="1:3" x14ac:dyDescent="0.25">
      <c r="A3780" s="1" t="s">
        <v>7561</v>
      </c>
      <c r="B3780" s="1" t="s">
        <v>7562</v>
      </c>
      <c r="C3780" s="1" t="s">
        <v>5</v>
      </c>
    </row>
    <row r="3781" spans="1:3" x14ac:dyDescent="0.25">
      <c r="A3781" s="1" t="s">
        <v>7563</v>
      </c>
      <c r="B3781" s="1" t="s">
        <v>7564</v>
      </c>
      <c r="C3781" s="1" t="s">
        <v>5</v>
      </c>
    </row>
    <row r="3782" spans="1:3" x14ac:dyDescent="0.25">
      <c r="A3782" s="1" t="s">
        <v>7565</v>
      </c>
      <c r="B3782" s="1" t="s">
        <v>7566</v>
      </c>
      <c r="C3782" s="1" t="s">
        <v>5</v>
      </c>
    </row>
    <row r="3783" spans="1:3" x14ac:dyDescent="0.25">
      <c r="A3783" s="1" t="s">
        <v>7567</v>
      </c>
      <c r="B3783" s="1" t="s">
        <v>7568</v>
      </c>
      <c r="C3783" s="1" t="s">
        <v>5</v>
      </c>
    </row>
    <row r="3784" spans="1:3" x14ac:dyDescent="0.25">
      <c r="A3784" s="1" t="s">
        <v>7569</v>
      </c>
      <c r="B3784" s="1" t="s">
        <v>7570</v>
      </c>
      <c r="C3784" s="1" t="s">
        <v>5</v>
      </c>
    </row>
    <row r="3785" spans="1:3" x14ac:dyDescent="0.25">
      <c r="A3785" s="1" t="s">
        <v>7571</v>
      </c>
      <c r="B3785" s="1" t="s">
        <v>7572</v>
      </c>
      <c r="C3785" s="1" t="s">
        <v>5</v>
      </c>
    </row>
    <row r="3786" spans="1:3" x14ac:dyDescent="0.25">
      <c r="A3786" s="1" t="s">
        <v>7573</v>
      </c>
      <c r="B3786" s="1" t="s">
        <v>7574</v>
      </c>
      <c r="C3786" s="1" t="s">
        <v>5</v>
      </c>
    </row>
    <row r="3787" spans="1:3" x14ac:dyDescent="0.25">
      <c r="A3787" s="1" t="s">
        <v>7575</v>
      </c>
      <c r="B3787" s="1" t="s">
        <v>7576</v>
      </c>
      <c r="C3787" s="1" t="s">
        <v>5</v>
      </c>
    </row>
    <row r="3788" spans="1:3" x14ac:dyDescent="0.25">
      <c r="A3788" s="1" t="s">
        <v>7577</v>
      </c>
      <c r="B3788" s="1" t="s">
        <v>7578</v>
      </c>
      <c r="C3788" s="1" t="s">
        <v>5</v>
      </c>
    </row>
    <row r="3789" spans="1:3" x14ac:dyDescent="0.25">
      <c r="A3789" s="1" t="s">
        <v>7579</v>
      </c>
      <c r="B3789" s="1" t="s">
        <v>7580</v>
      </c>
      <c r="C3789" s="1" t="s">
        <v>5</v>
      </c>
    </row>
    <row r="3790" spans="1:3" x14ac:dyDescent="0.25">
      <c r="A3790" s="1" t="s">
        <v>7581</v>
      </c>
      <c r="B3790" s="1" t="s">
        <v>7582</v>
      </c>
      <c r="C3790" s="1" t="s">
        <v>5</v>
      </c>
    </row>
    <row r="3791" spans="1:3" x14ac:dyDescent="0.25">
      <c r="A3791" s="1" t="s">
        <v>7583</v>
      </c>
      <c r="B3791" s="1" t="s">
        <v>7584</v>
      </c>
      <c r="C3791" s="1" t="s">
        <v>5</v>
      </c>
    </row>
    <row r="3792" spans="1:3" x14ac:dyDescent="0.25">
      <c r="A3792" s="1" t="s">
        <v>7585</v>
      </c>
      <c r="B3792" s="1" t="s">
        <v>7586</v>
      </c>
      <c r="C3792" s="1" t="s">
        <v>5</v>
      </c>
    </row>
    <row r="3793" spans="1:3" x14ac:dyDescent="0.25">
      <c r="A3793" s="1" t="s">
        <v>7587</v>
      </c>
      <c r="B3793" s="1" t="s">
        <v>7588</v>
      </c>
      <c r="C3793" s="1" t="s">
        <v>5</v>
      </c>
    </row>
    <row r="3794" spans="1:3" x14ac:dyDescent="0.25">
      <c r="A3794" s="1" t="s">
        <v>7589</v>
      </c>
      <c r="B3794" s="1" t="s">
        <v>7590</v>
      </c>
      <c r="C3794" s="1" t="s">
        <v>5</v>
      </c>
    </row>
    <row r="3795" spans="1:3" x14ac:dyDescent="0.25">
      <c r="A3795" s="1" t="s">
        <v>7591</v>
      </c>
      <c r="B3795" s="1" t="s">
        <v>7592</v>
      </c>
      <c r="C3795" s="1" t="s">
        <v>5</v>
      </c>
    </row>
    <row r="3796" spans="1:3" x14ac:dyDescent="0.25">
      <c r="A3796" s="1" t="s">
        <v>7593</v>
      </c>
      <c r="B3796" s="1" t="s">
        <v>7594</v>
      </c>
      <c r="C3796" s="1" t="s">
        <v>5</v>
      </c>
    </row>
    <row r="3797" spans="1:3" x14ac:dyDescent="0.25">
      <c r="A3797" s="1" t="s">
        <v>7595</v>
      </c>
      <c r="B3797" s="1" t="s">
        <v>7596</v>
      </c>
      <c r="C3797" s="1" t="s">
        <v>5</v>
      </c>
    </row>
    <row r="3798" spans="1:3" x14ac:dyDescent="0.25">
      <c r="A3798" s="1" t="s">
        <v>7597</v>
      </c>
      <c r="B3798" s="1" t="s">
        <v>7598</v>
      </c>
      <c r="C3798" s="1" t="s">
        <v>5</v>
      </c>
    </row>
    <row r="3799" spans="1:3" x14ac:dyDescent="0.25">
      <c r="A3799" s="1" t="s">
        <v>7599</v>
      </c>
      <c r="B3799" s="1" t="s">
        <v>7600</v>
      </c>
      <c r="C3799" s="1" t="s">
        <v>5</v>
      </c>
    </row>
    <row r="3800" spans="1:3" x14ac:dyDescent="0.25">
      <c r="A3800" s="1" t="s">
        <v>7601</v>
      </c>
      <c r="B3800" s="1" t="s">
        <v>7602</v>
      </c>
      <c r="C3800" s="1" t="s">
        <v>5</v>
      </c>
    </row>
    <row r="3801" spans="1:3" x14ac:dyDescent="0.25">
      <c r="A3801" s="1" t="s">
        <v>7603</v>
      </c>
      <c r="B3801" s="1" t="s">
        <v>7604</v>
      </c>
      <c r="C3801" s="1" t="s">
        <v>5</v>
      </c>
    </row>
    <row r="3802" spans="1:3" x14ac:dyDescent="0.25">
      <c r="A3802" s="1" t="s">
        <v>7605</v>
      </c>
      <c r="B3802" s="1" t="s">
        <v>7606</v>
      </c>
      <c r="C3802" s="1" t="s">
        <v>5</v>
      </c>
    </row>
    <row r="3803" spans="1:3" x14ac:dyDescent="0.25">
      <c r="A3803" s="1" t="s">
        <v>7607</v>
      </c>
      <c r="B3803" s="1" t="s">
        <v>7608</v>
      </c>
      <c r="C3803" s="1" t="s">
        <v>5</v>
      </c>
    </row>
    <row r="3804" spans="1:3" x14ac:dyDescent="0.25">
      <c r="A3804" s="1" t="s">
        <v>7609</v>
      </c>
      <c r="B3804" s="1" t="s">
        <v>7610</v>
      </c>
      <c r="C3804" s="1" t="s">
        <v>5</v>
      </c>
    </row>
    <row r="3805" spans="1:3" x14ac:dyDescent="0.25">
      <c r="A3805" s="1" t="s">
        <v>7611</v>
      </c>
      <c r="B3805" s="1" t="s">
        <v>7612</v>
      </c>
      <c r="C3805" s="1" t="s">
        <v>5</v>
      </c>
    </row>
    <row r="3806" spans="1:3" x14ac:dyDescent="0.25">
      <c r="A3806" s="1" t="s">
        <v>7613</v>
      </c>
      <c r="B3806" s="1" t="s">
        <v>7614</v>
      </c>
      <c r="C3806" s="1" t="s">
        <v>5</v>
      </c>
    </row>
    <row r="3807" spans="1:3" x14ac:dyDescent="0.25">
      <c r="A3807" s="1" t="s">
        <v>7615</v>
      </c>
      <c r="B3807" s="1" t="s">
        <v>7616</v>
      </c>
      <c r="C3807" s="1" t="s">
        <v>5</v>
      </c>
    </row>
    <row r="3808" spans="1:3" x14ac:dyDescent="0.25">
      <c r="A3808" s="1" t="s">
        <v>7617</v>
      </c>
      <c r="B3808" s="1" t="s">
        <v>7618</v>
      </c>
      <c r="C3808" s="1" t="s">
        <v>5</v>
      </c>
    </row>
    <row r="3809" spans="1:3" x14ac:dyDescent="0.25">
      <c r="A3809" s="1" t="s">
        <v>7619</v>
      </c>
      <c r="B3809" s="1" t="s">
        <v>7620</v>
      </c>
      <c r="C3809" s="1" t="s">
        <v>5</v>
      </c>
    </row>
    <row r="3810" spans="1:3" x14ac:dyDescent="0.25">
      <c r="A3810" s="1" t="s">
        <v>7621</v>
      </c>
      <c r="B3810" s="1" t="s">
        <v>7622</v>
      </c>
      <c r="C3810" s="1" t="s">
        <v>5</v>
      </c>
    </row>
    <row r="3811" spans="1:3" x14ac:dyDescent="0.25">
      <c r="A3811" s="1" t="s">
        <v>7623</v>
      </c>
      <c r="B3811" s="1" t="s">
        <v>7624</v>
      </c>
      <c r="C3811" s="1" t="s">
        <v>5</v>
      </c>
    </row>
    <row r="3812" spans="1:3" x14ac:dyDescent="0.25">
      <c r="A3812" s="1" t="s">
        <v>7625</v>
      </c>
      <c r="B3812" s="1" t="s">
        <v>7626</v>
      </c>
      <c r="C3812" s="1" t="s">
        <v>5</v>
      </c>
    </row>
    <row r="3813" spans="1:3" x14ac:dyDescent="0.25">
      <c r="A3813" s="1" t="s">
        <v>7627</v>
      </c>
      <c r="B3813" s="1" t="s">
        <v>7628</v>
      </c>
      <c r="C3813" s="1" t="s">
        <v>5</v>
      </c>
    </row>
    <row r="3814" spans="1:3" x14ac:dyDescent="0.25">
      <c r="A3814" s="1" t="s">
        <v>7629</v>
      </c>
      <c r="B3814" s="1" t="s">
        <v>7630</v>
      </c>
      <c r="C3814" s="1" t="s">
        <v>5</v>
      </c>
    </row>
    <row r="3815" spans="1:3" x14ac:dyDescent="0.25">
      <c r="A3815" s="1" t="s">
        <v>7631</v>
      </c>
      <c r="B3815" s="1" t="s">
        <v>7632</v>
      </c>
      <c r="C3815" s="1" t="s">
        <v>5</v>
      </c>
    </row>
    <row r="3816" spans="1:3" x14ac:dyDescent="0.25">
      <c r="A3816" s="1" t="s">
        <v>7633</v>
      </c>
      <c r="B3816" s="1" t="s">
        <v>7634</v>
      </c>
      <c r="C3816" s="1" t="s">
        <v>5</v>
      </c>
    </row>
    <row r="3817" spans="1:3" x14ac:dyDescent="0.25">
      <c r="A3817" s="1" t="s">
        <v>7635</v>
      </c>
      <c r="B3817" s="1" t="s">
        <v>7636</v>
      </c>
      <c r="C3817" s="1" t="s">
        <v>5</v>
      </c>
    </row>
    <row r="3818" spans="1:3" x14ac:dyDescent="0.25">
      <c r="A3818" s="1" t="s">
        <v>7637</v>
      </c>
      <c r="B3818" s="1" t="s">
        <v>7638</v>
      </c>
      <c r="C3818" s="1" t="s">
        <v>5</v>
      </c>
    </row>
    <row r="3819" spans="1:3" x14ac:dyDescent="0.25">
      <c r="A3819" s="1" t="s">
        <v>7639</v>
      </c>
      <c r="B3819" s="1" t="s">
        <v>7640</v>
      </c>
      <c r="C3819" s="1" t="s">
        <v>5</v>
      </c>
    </row>
    <row r="3820" spans="1:3" x14ac:dyDescent="0.25">
      <c r="A3820" s="1" t="s">
        <v>7641</v>
      </c>
      <c r="B3820" s="1" t="s">
        <v>7642</v>
      </c>
      <c r="C3820" s="1" t="s">
        <v>5</v>
      </c>
    </row>
    <row r="3821" spans="1:3" x14ac:dyDescent="0.25">
      <c r="A3821" s="1" t="s">
        <v>7643</v>
      </c>
      <c r="B3821" s="1" t="s">
        <v>7644</v>
      </c>
      <c r="C3821" s="1" t="s">
        <v>5</v>
      </c>
    </row>
    <row r="3822" spans="1:3" x14ac:dyDescent="0.25">
      <c r="A3822" s="1" t="s">
        <v>7645</v>
      </c>
      <c r="B3822" s="1" t="s">
        <v>7646</v>
      </c>
      <c r="C3822" s="1" t="s">
        <v>5</v>
      </c>
    </row>
    <row r="3823" spans="1:3" x14ac:dyDescent="0.25">
      <c r="A3823" s="1" t="s">
        <v>7647</v>
      </c>
      <c r="B3823" s="1" t="s">
        <v>7648</v>
      </c>
      <c r="C3823" s="1" t="s">
        <v>5</v>
      </c>
    </row>
    <row r="3824" spans="1:3" x14ac:dyDescent="0.25">
      <c r="A3824" s="1" t="s">
        <v>7649</v>
      </c>
      <c r="B3824" s="1" t="s">
        <v>7650</v>
      </c>
      <c r="C3824" s="1" t="s">
        <v>5</v>
      </c>
    </row>
    <row r="3825" spans="1:3" x14ac:dyDescent="0.25">
      <c r="A3825" s="1" t="s">
        <v>7651</v>
      </c>
      <c r="B3825" s="1" t="s">
        <v>7652</v>
      </c>
      <c r="C3825" s="1" t="s">
        <v>5</v>
      </c>
    </row>
    <row r="3826" spans="1:3" x14ac:dyDescent="0.25">
      <c r="A3826" s="1" t="s">
        <v>7653</v>
      </c>
      <c r="B3826" s="1" t="s">
        <v>7654</v>
      </c>
      <c r="C3826" s="1" t="s">
        <v>5</v>
      </c>
    </row>
    <row r="3827" spans="1:3" x14ac:dyDescent="0.25">
      <c r="A3827" s="1" t="s">
        <v>7655</v>
      </c>
      <c r="B3827" s="1" t="s">
        <v>7656</v>
      </c>
      <c r="C3827" s="1" t="s">
        <v>5</v>
      </c>
    </row>
    <row r="3828" spans="1:3" x14ac:dyDescent="0.25">
      <c r="A3828" s="1" t="s">
        <v>7657</v>
      </c>
      <c r="B3828" s="1" t="s">
        <v>7658</v>
      </c>
      <c r="C3828" s="1" t="s">
        <v>5</v>
      </c>
    </row>
    <row r="3829" spans="1:3" x14ac:dyDescent="0.25">
      <c r="A3829" s="1" t="s">
        <v>7659</v>
      </c>
      <c r="B3829" s="1" t="s">
        <v>7660</v>
      </c>
      <c r="C3829" s="1" t="s">
        <v>5</v>
      </c>
    </row>
    <row r="3830" spans="1:3" x14ac:dyDescent="0.25">
      <c r="A3830" s="1" t="s">
        <v>7661</v>
      </c>
      <c r="B3830" s="1" t="s">
        <v>7662</v>
      </c>
      <c r="C3830" s="1" t="s">
        <v>5</v>
      </c>
    </row>
    <row r="3831" spans="1:3" x14ac:dyDescent="0.25">
      <c r="A3831" s="1" t="s">
        <v>7663</v>
      </c>
      <c r="B3831" s="1" t="s">
        <v>7664</v>
      </c>
      <c r="C3831" s="1" t="s">
        <v>5</v>
      </c>
    </row>
    <row r="3832" spans="1:3" x14ac:dyDescent="0.25">
      <c r="A3832" s="1" t="s">
        <v>7665</v>
      </c>
      <c r="B3832" s="1" t="s">
        <v>7666</v>
      </c>
      <c r="C3832" s="1" t="s">
        <v>5</v>
      </c>
    </row>
    <row r="3833" spans="1:3" x14ac:dyDescent="0.25">
      <c r="A3833" s="1" t="s">
        <v>7667</v>
      </c>
      <c r="B3833" s="1" t="s">
        <v>7668</v>
      </c>
      <c r="C3833" s="1" t="s">
        <v>5</v>
      </c>
    </row>
    <row r="3834" spans="1:3" x14ac:dyDescent="0.25">
      <c r="A3834" s="1" t="s">
        <v>7669</v>
      </c>
      <c r="B3834" s="1" t="s">
        <v>7670</v>
      </c>
      <c r="C3834" s="1" t="s">
        <v>5</v>
      </c>
    </row>
    <row r="3835" spans="1:3" x14ac:dyDescent="0.25">
      <c r="A3835" s="1" t="s">
        <v>7671</v>
      </c>
      <c r="B3835" s="1" t="s">
        <v>7672</v>
      </c>
      <c r="C3835" s="1" t="s">
        <v>5</v>
      </c>
    </row>
    <row r="3836" spans="1:3" x14ac:dyDescent="0.25">
      <c r="A3836" s="1" t="s">
        <v>7673</v>
      </c>
      <c r="B3836" s="1" t="s">
        <v>7674</v>
      </c>
      <c r="C3836" s="1" t="s">
        <v>5</v>
      </c>
    </row>
    <row r="3837" spans="1:3" x14ac:dyDescent="0.25">
      <c r="A3837" s="1" t="s">
        <v>7675</v>
      </c>
      <c r="B3837" s="1" t="s">
        <v>7676</v>
      </c>
      <c r="C3837" s="1" t="s">
        <v>5</v>
      </c>
    </row>
    <row r="3838" spans="1:3" x14ac:dyDescent="0.25">
      <c r="A3838" s="1" t="s">
        <v>7677</v>
      </c>
      <c r="B3838" s="1" t="s">
        <v>7678</v>
      </c>
      <c r="C3838" s="1" t="s">
        <v>5</v>
      </c>
    </row>
    <row r="3839" spans="1:3" x14ac:dyDescent="0.25">
      <c r="A3839" s="1" t="s">
        <v>7679</v>
      </c>
      <c r="B3839" s="1" t="s">
        <v>7680</v>
      </c>
      <c r="C3839" s="1" t="s">
        <v>5</v>
      </c>
    </row>
    <row r="3840" spans="1:3" x14ac:dyDescent="0.25">
      <c r="A3840" s="1" t="s">
        <v>7681</v>
      </c>
      <c r="B3840" s="1" t="s">
        <v>7682</v>
      </c>
      <c r="C3840" s="1" t="s">
        <v>5</v>
      </c>
    </row>
    <row r="3841" spans="1:3" x14ac:dyDescent="0.25">
      <c r="A3841" s="1" t="s">
        <v>7683</v>
      </c>
      <c r="B3841" s="1" t="s">
        <v>7684</v>
      </c>
      <c r="C3841" s="1" t="s">
        <v>5</v>
      </c>
    </row>
    <row r="3842" spans="1:3" x14ac:dyDescent="0.25">
      <c r="A3842" s="1" t="s">
        <v>7685</v>
      </c>
      <c r="B3842" s="1" t="s">
        <v>7686</v>
      </c>
      <c r="C3842" s="1" t="s">
        <v>5</v>
      </c>
    </row>
    <row r="3843" spans="1:3" x14ac:dyDescent="0.25">
      <c r="A3843" s="1" t="s">
        <v>7687</v>
      </c>
      <c r="B3843" s="1" t="s">
        <v>7688</v>
      </c>
      <c r="C3843" s="1" t="s">
        <v>5</v>
      </c>
    </row>
    <row r="3844" spans="1:3" x14ac:dyDescent="0.25">
      <c r="A3844" s="1" t="s">
        <v>7689</v>
      </c>
      <c r="B3844" s="1" t="s">
        <v>7690</v>
      </c>
      <c r="C3844" s="1" t="s">
        <v>5</v>
      </c>
    </row>
    <row r="3845" spans="1:3" x14ac:dyDescent="0.25">
      <c r="A3845" s="1" t="s">
        <v>7691</v>
      </c>
      <c r="B3845" s="1" t="s">
        <v>7692</v>
      </c>
      <c r="C3845" s="1" t="s">
        <v>5</v>
      </c>
    </row>
    <row r="3846" spans="1:3" x14ac:dyDescent="0.25">
      <c r="A3846" s="1" t="s">
        <v>7693</v>
      </c>
      <c r="B3846" s="1" t="s">
        <v>7694</v>
      </c>
      <c r="C3846" s="1" t="s">
        <v>5</v>
      </c>
    </row>
    <row r="3847" spans="1:3" x14ac:dyDescent="0.25">
      <c r="A3847" s="1" t="s">
        <v>7695</v>
      </c>
      <c r="B3847" s="1" t="s">
        <v>7696</v>
      </c>
      <c r="C3847" s="1" t="s">
        <v>5</v>
      </c>
    </row>
    <row r="3848" spans="1:3" x14ac:dyDescent="0.25">
      <c r="A3848" s="1" t="s">
        <v>7697</v>
      </c>
      <c r="B3848" s="1" t="s">
        <v>7698</v>
      </c>
      <c r="C3848" s="1" t="s">
        <v>5</v>
      </c>
    </row>
    <row r="3849" spans="1:3" x14ac:dyDescent="0.25">
      <c r="A3849" s="1" t="s">
        <v>7699</v>
      </c>
      <c r="B3849" s="1" t="s">
        <v>7700</v>
      </c>
      <c r="C3849" s="1" t="s">
        <v>5</v>
      </c>
    </row>
    <row r="3850" spans="1:3" x14ac:dyDescent="0.25">
      <c r="A3850" s="1" t="s">
        <v>7701</v>
      </c>
      <c r="B3850" s="1" t="s">
        <v>7702</v>
      </c>
      <c r="C3850" s="1" t="s">
        <v>5</v>
      </c>
    </row>
    <row r="3851" spans="1:3" x14ac:dyDescent="0.25">
      <c r="A3851" s="1" t="s">
        <v>7703</v>
      </c>
      <c r="B3851" s="1" t="s">
        <v>7704</v>
      </c>
      <c r="C3851" s="1" t="s">
        <v>5</v>
      </c>
    </row>
    <row r="3852" spans="1:3" x14ac:dyDescent="0.25">
      <c r="A3852" s="1" t="s">
        <v>7705</v>
      </c>
      <c r="B3852" s="1" t="s">
        <v>7706</v>
      </c>
      <c r="C3852" s="1" t="s">
        <v>5</v>
      </c>
    </row>
    <row r="3853" spans="1:3" x14ac:dyDescent="0.25">
      <c r="A3853" s="1" t="s">
        <v>7707</v>
      </c>
      <c r="B3853" s="1" t="s">
        <v>7708</v>
      </c>
      <c r="C3853" s="1" t="s">
        <v>5</v>
      </c>
    </row>
    <row r="3854" spans="1:3" x14ac:dyDescent="0.25">
      <c r="A3854" s="1" t="s">
        <v>7709</v>
      </c>
      <c r="B3854" s="1" t="s">
        <v>7710</v>
      </c>
      <c r="C3854" s="1" t="s">
        <v>5</v>
      </c>
    </row>
    <row r="3855" spans="1:3" x14ac:dyDescent="0.25">
      <c r="A3855" s="1" t="s">
        <v>7711</v>
      </c>
      <c r="B3855" s="1" t="s">
        <v>7712</v>
      </c>
      <c r="C3855" s="1" t="s">
        <v>5</v>
      </c>
    </row>
    <row r="3856" spans="1:3" x14ac:dyDescent="0.25">
      <c r="A3856" s="1" t="s">
        <v>7713</v>
      </c>
      <c r="B3856" s="1" t="s">
        <v>7714</v>
      </c>
      <c r="C3856" s="1" t="s">
        <v>5</v>
      </c>
    </row>
    <row r="3857" spans="1:3" x14ac:dyDescent="0.25">
      <c r="A3857" s="1" t="s">
        <v>7715</v>
      </c>
      <c r="B3857" s="1" t="s">
        <v>7716</v>
      </c>
      <c r="C3857" s="1" t="s">
        <v>5</v>
      </c>
    </row>
    <row r="3858" spans="1:3" x14ac:dyDescent="0.25">
      <c r="A3858" s="1" t="s">
        <v>7717</v>
      </c>
      <c r="B3858" s="1" t="s">
        <v>7718</v>
      </c>
      <c r="C3858" s="1" t="s">
        <v>5</v>
      </c>
    </row>
    <row r="3859" spans="1:3" x14ac:dyDescent="0.25">
      <c r="A3859" s="1" t="s">
        <v>7719</v>
      </c>
      <c r="B3859" s="1" t="s">
        <v>7720</v>
      </c>
      <c r="C3859" s="1" t="s">
        <v>5</v>
      </c>
    </row>
    <row r="3860" spans="1:3" x14ac:dyDescent="0.25">
      <c r="A3860" s="1" t="s">
        <v>7721</v>
      </c>
      <c r="B3860" s="1" t="s">
        <v>7722</v>
      </c>
      <c r="C3860" s="1" t="s">
        <v>5</v>
      </c>
    </row>
    <row r="3861" spans="1:3" x14ac:dyDescent="0.25">
      <c r="A3861" s="1" t="s">
        <v>7723</v>
      </c>
      <c r="B3861" s="1" t="s">
        <v>7724</v>
      </c>
      <c r="C3861" s="1" t="s">
        <v>5</v>
      </c>
    </row>
    <row r="3862" spans="1:3" x14ac:dyDescent="0.25">
      <c r="A3862" s="1" t="s">
        <v>7725</v>
      </c>
      <c r="B3862" s="1" t="s">
        <v>7726</v>
      </c>
      <c r="C3862" s="1" t="s">
        <v>5</v>
      </c>
    </row>
    <row r="3863" spans="1:3" x14ac:dyDescent="0.25">
      <c r="A3863" s="1" t="s">
        <v>7727</v>
      </c>
      <c r="B3863" s="1" t="s">
        <v>7728</v>
      </c>
      <c r="C3863" s="1" t="s">
        <v>5</v>
      </c>
    </row>
    <row r="3864" spans="1:3" x14ac:dyDescent="0.25">
      <c r="A3864" s="1" t="s">
        <v>7729</v>
      </c>
      <c r="B3864" s="1" t="s">
        <v>7730</v>
      </c>
      <c r="C3864" s="1" t="s">
        <v>5</v>
      </c>
    </row>
    <row r="3865" spans="1:3" x14ac:dyDescent="0.25">
      <c r="A3865" s="1" t="s">
        <v>7731</v>
      </c>
      <c r="B3865" s="1" t="s">
        <v>7732</v>
      </c>
      <c r="C3865" s="1" t="s">
        <v>5</v>
      </c>
    </row>
    <row r="3866" spans="1:3" x14ac:dyDescent="0.25">
      <c r="A3866" s="1" t="s">
        <v>7733</v>
      </c>
      <c r="B3866" s="1" t="s">
        <v>7734</v>
      </c>
      <c r="C3866" s="1" t="s">
        <v>5</v>
      </c>
    </row>
    <row r="3867" spans="1:3" x14ac:dyDescent="0.25">
      <c r="A3867" s="1" t="s">
        <v>7735</v>
      </c>
      <c r="B3867" s="1" t="s">
        <v>7736</v>
      </c>
      <c r="C3867" s="1" t="s">
        <v>5</v>
      </c>
    </row>
    <row r="3868" spans="1:3" x14ac:dyDescent="0.25">
      <c r="A3868" s="1" t="s">
        <v>7737</v>
      </c>
      <c r="B3868" s="1" t="s">
        <v>7738</v>
      </c>
      <c r="C3868" s="1" t="s">
        <v>5</v>
      </c>
    </row>
    <row r="3869" spans="1:3" x14ac:dyDescent="0.25">
      <c r="A3869" s="1" t="s">
        <v>7739</v>
      </c>
      <c r="B3869" s="1" t="s">
        <v>7740</v>
      </c>
      <c r="C3869" s="1" t="s">
        <v>5</v>
      </c>
    </row>
    <row r="3870" spans="1:3" x14ac:dyDescent="0.25">
      <c r="A3870" s="1" t="s">
        <v>7741</v>
      </c>
      <c r="B3870" s="1" t="s">
        <v>7742</v>
      </c>
      <c r="C3870" s="1" t="s">
        <v>5</v>
      </c>
    </row>
    <row r="3871" spans="1:3" x14ac:dyDescent="0.25">
      <c r="A3871" s="1" t="s">
        <v>7743</v>
      </c>
      <c r="B3871" s="1" t="s">
        <v>7744</v>
      </c>
      <c r="C3871" s="1" t="s">
        <v>5</v>
      </c>
    </row>
    <row r="3872" spans="1:3" x14ac:dyDescent="0.25">
      <c r="A3872" s="1" t="s">
        <v>7745</v>
      </c>
      <c r="B3872" s="1" t="s">
        <v>7746</v>
      </c>
      <c r="C3872" s="1" t="s">
        <v>5</v>
      </c>
    </row>
    <row r="3873" spans="1:3" x14ac:dyDescent="0.25">
      <c r="A3873" s="1" t="s">
        <v>7747</v>
      </c>
      <c r="B3873" s="1" t="s">
        <v>7748</v>
      </c>
      <c r="C3873" s="1" t="s">
        <v>5</v>
      </c>
    </row>
    <row r="3874" spans="1:3" x14ac:dyDescent="0.25">
      <c r="A3874" s="1" t="s">
        <v>7749</v>
      </c>
      <c r="B3874" s="1" t="s">
        <v>7750</v>
      </c>
      <c r="C3874" s="1" t="s">
        <v>5</v>
      </c>
    </row>
    <row r="3875" spans="1:3" x14ac:dyDescent="0.25">
      <c r="A3875" s="1" t="s">
        <v>7751</v>
      </c>
      <c r="B3875" s="1" t="s">
        <v>7752</v>
      </c>
      <c r="C3875" s="1" t="s">
        <v>5</v>
      </c>
    </row>
    <row r="3876" spans="1:3" x14ac:dyDescent="0.25">
      <c r="A3876" s="1" t="s">
        <v>7753</v>
      </c>
      <c r="B3876" s="1" t="s">
        <v>7754</v>
      </c>
      <c r="C3876" s="1" t="s">
        <v>5</v>
      </c>
    </row>
    <row r="3877" spans="1:3" x14ac:dyDescent="0.25">
      <c r="A3877" s="1" t="s">
        <v>7755</v>
      </c>
      <c r="B3877" s="1" t="s">
        <v>7756</v>
      </c>
      <c r="C3877" s="1" t="s">
        <v>5</v>
      </c>
    </row>
    <row r="3878" spans="1:3" x14ac:dyDescent="0.25">
      <c r="A3878" s="1" t="s">
        <v>7757</v>
      </c>
      <c r="B3878" s="1" t="s">
        <v>7758</v>
      </c>
      <c r="C3878" s="1" t="s">
        <v>5</v>
      </c>
    </row>
    <row r="3879" spans="1:3" x14ac:dyDescent="0.25">
      <c r="A3879" s="1" t="s">
        <v>7759</v>
      </c>
      <c r="B3879" s="1" t="s">
        <v>7760</v>
      </c>
      <c r="C3879" s="1" t="s">
        <v>5</v>
      </c>
    </row>
    <row r="3880" spans="1:3" x14ac:dyDescent="0.25">
      <c r="A3880" s="1" t="s">
        <v>7761</v>
      </c>
      <c r="B3880" s="1" t="s">
        <v>7762</v>
      </c>
      <c r="C3880" s="1" t="s">
        <v>5</v>
      </c>
    </row>
    <row r="3881" spans="1:3" x14ac:dyDescent="0.25">
      <c r="A3881" s="1" t="s">
        <v>7763</v>
      </c>
      <c r="B3881" s="1" t="s">
        <v>7764</v>
      </c>
      <c r="C3881" s="1" t="s">
        <v>5</v>
      </c>
    </row>
    <row r="3882" spans="1:3" x14ac:dyDescent="0.25">
      <c r="A3882" s="1" t="s">
        <v>7765</v>
      </c>
      <c r="B3882" s="1" t="s">
        <v>7766</v>
      </c>
      <c r="C3882" s="1" t="s">
        <v>5</v>
      </c>
    </row>
    <row r="3883" spans="1:3" x14ac:dyDescent="0.25">
      <c r="A3883" s="1" t="s">
        <v>7767</v>
      </c>
      <c r="B3883" s="1" t="s">
        <v>7768</v>
      </c>
      <c r="C3883" s="1" t="s">
        <v>5</v>
      </c>
    </row>
    <row r="3884" spans="1:3" x14ac:dyDescent="0.25">
      <c r="A3884" s="1" t="s">
        <v>7769</v>
      </c>
      <c r="B3884" s="1" t="s">
        <v>7770</v>
      </c>
      <c r="C3884" s="1" t="s">
        <v>5</v>
      </c>
    </row>
    <row r="3885" spans="1:3" x14ac:dyDescent="0.25">
      <c r="A3885" s="1" t="s">
        <v>7771</v>
      </c>
      <c r="B3885" s="1" t="s">
        <v>7772</v>
      </c>
      <c r="C3885" s="1" t="s">
        <v>5</v>
      </c>
    </row>
    <row r="3886" spans="1:3" x14ac:dyDescent="0.25">
      <c r="A3886" s="1" t="s">
        <v>7773</v>
      </c>
      <c r="B3886" s="1" t="s">
        <v>7774</v>
      </c>
      <c r="C3886" s="1" t="s">
        <v>5</v>
      </c>
    </row>
    <row r="3887" spans="1:3" x14ac:dyDescent="0.25">
      <c r="A3887" s="1" t="s">
        <v>7775</v>
      </c>
      <c r="B3887" s="1" t="s">
        <v>7776</v>
      </c>
      <c r="C3887" s="1" t="s">
        <v>5</v>
      </c>
    </row>
    <row r="3888" spans="1:3" x14ac:dyDescent="0.25">
      <c r="A3888" s="1" t="s">
        <v>7777</v>
      </c>
      <c r="B3888" s="1" t="s">
        <v>7778</v>
      </c>
      <c r="C3888" s="1" t="s">
        <v>5</v>
      </c>
    </row>
    <row r="3889" spans="1:3" x14ac:dyDescent="0.25">
      <c r="A3889" s="1" t="s">
        <v>7779</v>
      </c>
      <c r="B3889" s="1" t="s">
        <v>7780</v>
      </c>
      <c r="C3889" s="1" t="s">
        <v>5</v>
      </c>
    </row>
    <row r="3890" spans="1:3" x14ac:dyDescent="0.25">
      <c r="A3890" s="1" t="s">
        <v>7781</v>
      </c>
      <c r="B3890" s="1" t="s">
        <v>7782</v>
      </c>
      <c r="C3890" s="1" t="s">
        <v>5</v>
      </c>
    </row>
    <row r="3891" spans="1:3" x14ac:dyDescent="0.25">
      <c r="A3891" s="1" t="s">
        <v>7783</v>
      </c>
      <c r="B3891" s="1" t="s">
        <v>7784</v>
      </c>
      <c r="C3891" s="1" t="s">
        <v>5</v>
      </c>
    </row>
    <row r="3892" spans="1:3" x14ac:dyDescent="0.25">
      <c r="A3892" s="1" t="s">
        <v>7785</v>
      </c>
      <c r="B3892" s="1" t="s">
        <v>7786</v>
      </c>
      <c r="C3892" s="1" t="s">
        <v>5</v>
      </c>
    </row>
    <row r="3893" spans="1:3" x14ac:dyDescent="0.25">
      <c r="A3893" s="1" t="s">
        <v>7787</v>
      </c>
      <c r="B3893" s="1" t="s">
        <v>7788</v>
      </c>
      <c r="C3893" s="1" t="s">
        <v>5</v>
      </c>
    </row>
    <row r="3894" spans="1:3" x14ac:dyDescent="0.25">
      <c r="A3894" s="1" t="s">
        <v>7789</v>
      </c>
      <c r="B3894" s="1" t="s">
        <v>7790</v>
      </c>
      <c r="C3894" s="1" t="s">
        <v>5</v>
      </c>
    </row>
    <row r="3895" spans="1:3" x14ac:dyDescent="0.25">
      <c r="A3895" s="1" t="s">
        <v>7791</v>
      </c>
      <c r="B3895" s="1" t="s">
        <v>7792</v>
      </c>
      <c r="C3895" s="1" t="s">
        <v>5</v>
      </c>
    </row>
    <row r="3896" spans="1:3" x14ac:dyDescent="0.25">
      <c r="A3896" s="1" t="s">
        <v>7793</v>
      </c>
      <c r="B3896" s="1" t="s">
        <v>7794</v>
      </c>
      <c r="C3896" s="1" t="s">
        <v>5</v>
      </c>
    </row>
    <row r="3897" spans="1:3" x14ac:dyDescent="0.25">
      <c r="A3897" s="1" t="s">
        <v>7795</v>
      </c>
      <c r="B3897" s="1" t="s">
        <v>7796</v>
      </c>
      <c r="C3897" s="1" t="s">
        <v>5</v>
      </c>
    </row>
    <row r="3898" spans="1:3" x14ac:dyDescent="0.25">
      <c r="A3898" s="1" t="s">
        <v>7797</v>
      </c>
      <c r="B3898" s="1" t="s">
        <v>7798</v>
      </c>
      <c r="C3898" s="1" t="s">
        <v>5</v>
      </c>
    </row>
    <row r="3899" spans="1:3" x14ac:dyDescent="0.25">
      <c r="A3899" s="1" t="s">
        <v>7799</v>
      </c>
      <c r="B3899" s="1" t="s">
        <v>7800</v>
      </c>
      <c r="C3899" s="1" t="s">
        <v>5</v>
      </c>
    </row>
    <row r="3900" spans="1:3" x14ac:dyDescent="0.25">
      <c r="A3900" s="1" t="s">
        <v>7801</v>
      </c>
      <c r="B3900" s="1" t="s">
        <v>7802</v>
      </c>
      <c r="C3900" s="1" t="s">
        <v>5</v>
      </c>
    </row>
    <row r="3901" spans="1:3" x14ac:dyDescent="0.25">
      <c r="A3901" s="1" t="s">
        <v>7803</v>
      </c>
      <c r="B3901" s="1" t="s">
        <v>7804</v>
      </c>
      <c r="C3901" s="1" t="s">
        <v>5</v>
      </c>
    </row>
    <row r="3902" spans="1:3" x14ac:dyDescent="0.25">
      <c r="A3902" s="1" t="s">
        <v>7805</v>
      </c>
      <c r="B3902" s="1" t="s">
        <v>7806</v>
      </c>
      <c r="C3902" s="1" t="s">
        <v>5</v>
      </c>
    </row>
    <row r="3903" spans="1:3" x14ac:dyDescent="0.25">
      <c r="A3903" s="1" t="s">
        <v>7807</v>
      </c>
      <c r="B3903" s="1" t="s">
        <v>7808</v>
      </c>
      <c r="C3903" s="1" t="s">
        <v>5</v>
      </c>
    </row>
    <row r="3904" spans="1:3" x14ac:dyDescent="0.25">
      <c r="A3904" s="1" t="s">
        <v>7809</v>
      </c>
      <c r="B3904" s="1" t="s">
        <v>7810</v>
      </c>
      <c r="C3904" s="1" t="s">
        <v>5</v>
      </c>
    </row>
    <row r="3905" spans="1:3" x14ac:dyDescent="0.25">
      <c r="A3905" s="1" t="s">
        <v>7811</v>
      </c>
      <c r="B3905" s="1" t="s">
        <v>7812</v>
      </c>
      <c r="C3905" s="1" t="s">
        <v>5</v>
      </c>
    </row>
    <row r="3906" spans="1:3" x14ac:dyDescent="0.25">
      <c r="A3906" s="1" t="s">
        <v>7813</v>
      </c>
      <c r="B3906" s="1" t="s">
        <v>7814</v>
      </c>
      <c r="C3906" s="1" t="s">
        <v>5</v>
      </c>
    </row>
    <row r="3907" spans="1:3" x14ac:dyDescent="0.25">
      <c r="A3907" s="1" t="s">
        <v>7815</v>
      </c>
      <c r="B3907" s="1" t="s">
        <v>7816</v>
      </c>
      <c r="C3907" s="1" t="s">
        <v>5</v>
      </c>
    </row>
    <row r="3908" spans="1:3" x14ac:dyDescent="0.25">
      <c r="A3908" s="1" t="s">
        <v>7817</v>
      </c>
      <c r="B3908" s="1" t="s">
        <v>7818</v>
      </c>
      <c r="C3908" s="1" t="s">
        <v>5</v>
      </c>
    </row>
    <row r="3909" spans="1:3" x14ac:dyDescent="0.25">
      <c r="A3909" s="1" t="s">
        <v>7819</v>
      </c>
      <c r="B3909" s="1" t="s">
        <v>7820</v>
      </c>
      <c r="C3909" s="1" t="s">
        <v>5</v>
      </c>
    </row>
    <row r="3910" spans="1:3" x14ac:dyDescent="0.25">
      <c r="A3910" s="1" t="s">
        <v>7821</v>
      </c>
      <c r="B3910" s="1" t="s">
        <v>7822</v>
      </c>
      <c r="C3910" s="1" t="s">
        <v>5</v>
      </c>
    </row>
    <row r="3911" spans="1:3" x14ac:dyDescent="0.25">
      <c r="A3911" s="1" t="s">
        <v>7823</v>
      </c>
      <c r="B3911" s="1" t="s">
        <v>7824</v>
      </c>
      <c r="C3911" s="1" t="s">
        <v>5</v>
      </c>
    </row>
    <row r="3912" spans="1:3" x14ac:dyDescent="0.25">
      <c r="A3912" s="1" t="s">
        <v>7825</v>
      </c>
      <c r="B3912" s="1" t="s">
        <v>7826</v>
      </c>
      <c r="C3912" s="1" t="s">
        <v>5</v>
      </c>
    </row>
    <row r="3913" spans="1:3" x14ac:dyDescent="0.25">
      <c r="A3913" s="1" t="s">
        <v>7827</v>
      </c>
      <c r="B3913" s="1" t="s">
        <v>7828</v>
      </c>
      <c r="C3913" s="1" t="s">
        <v>5</v>
      </c>
    </row>
    <row r="3914" spans="1:3" x14ac:dyDescent="0.25">
      <c r="A3914" s="1" t="s">
        <v>7829</v>
      </c>
      <c r="B3914" s="1" t="s">
        <v>7830</v>
      </c>
      <c r="C3914" s="1" t="s">
        <v>5</v>
      </c>
    </row>
    <row r="3915" spans="1:3" x14ac:dyDescent="0.25">
      <c r="A3915" s="1" t="s">
        <v>7831</v>
      </c>
      <c r="B3915" s="1" t="s">
        <v>7832</v>
      </c>
      <c r="C3915" s="1" t="s">
        <v>5</v>
      </c>
    </row>
    <row r="3916" spans="1:3" x14ac:dyDescent="0.25">
      <c r="A3916" s="1" t="s">
        <v>7833</v>
      </c>
      <c r="B3916" s="1" t="s">
        <v>7834</v>
      </c>
      <c r="C3916" s="1" t="s">
        <v>5</v>
      </c>
    </row>
    <row r="3917" spans="1:3" x14ac:dyDescent="0.25">
      <c r="A3917" s="1" t="s">
        <v>7835</v>
      </c>
      <c r="B3917" s="1" t="s">
        <v>7836</v>
      </c>
      <c r="C3917" s="1" t="s">
        <v>5</v>
      </c>
    </row>
    <row r="3918" spans="1:3" x14ac:dyDescent="0.25">
      <c r="A3918" s="1" t="s">
        <v>7837</v>
      </c>
      <c r="B3918" s="1" t="s">
        <v>7838</v>
      </c>
      <c r="C3918" s="1" t="s">
        <v>5</v>
      </c>
    </row>
    <row r="3919" spans="1:3" x14ac:dyDescent="0.25">
      <c r="A3919" s="1" t="s">
        <v>7839</v>
      </c>
      <c r="B3919" s="1" t="s">
        <v>7840</v>
      </c>
      <c r="C3919" s="1" t="s">
        <v>5</v>
      </c>
    </row>
    <row r="3920" spans="1:3" x14ac:dyDescent="0.25">
      <c r="A3920" s="1" t="s">
        <v>7841</v>
      </c>
      <c r="B3920" s="1" t="s">
        <v>7842</v>
      </c>
      <c r="C3920" s="1" t="s">
        <v>5</v>
      </c>
    </row>
    <row r="3921" spans="1:3" x14ac:dyDescent="0.25">
      <c r="A3921" s="1" t="s">
        <v>7843</v>
      </c>
      <c r="B3921" s="1" t="s">
        <v>7844</v>
      </c>
      <c r="C3921" s="1" t="s">
        <v>5</v>
      </c>
    </row>
    <row r="3922" spans="1:3" x14ac:dyDescent="0.25">
      <c r="A3922" s="1" t="s">
        <v>7845</v>
      </c>
      <c r="B3922" s="1" t="s">
        <v>7846</v>
      </c>
      <c r="C3922" s="1" t="s">
        <v>5</v>
      </c>
    </row>
    <row r="3923" spans="1:3" x14ac:dyDescent="0.25">
      <c r="A3923" s="1" t="s">
        <v>7847</v>
      </c>
      <c r="B3923" s="1" t="s">
        <v>7848</v>
      </c>
      <c r="C3923" s="1" t="s">
        <v>5</v>
      </c>
    </row>
    <row r="3924" spans="1:3" x14ac:dyDescent="0.25">
      <c r="A3924" s="1" t="s">
        <v>7849</v>
      </c>
      <c r="B3924" s="1" t="s">
        <v>7850</v>
      </c>
      <c r="C3924" s="1" t="s">
        <v>5</v>
      </c>
    </row>
    <row r="3925" spans="1:3" x14ac:dyDescent="0.25">
      <c r="A3925" s="1" t="s">
        <v>7851</v>
      </c>
      <c r="B3925" s="1" t="s">
        <v>7852</v>
      </c>
      <c r="C3925" s="1" t="s">
        <v>5</v>
      </c>
    </row>
    <row r="3926" spans="1:3" x14ac:dyDescent="0.25">
      <c r="A3926" s="1" t="s">
        <v>7853</v>
      </c>
      <c r="B3926" s="1" t="s">
        <v>7854</v>
      </c>
      <c r="C3926" s="1" t="s">
        <v>5</v>
      </c>
    </row>
    <row r="3927" spans="1:3" x14ac:dyDescent="0.25">
      <c r="A3927" s="1" t="s">
        <v>7855</v>
      </c>
      <c r="B3927" s="1" t="s">
        <v>7856</v>
      </c>
      <c r="C3927" s="1" t="s">
        <v>5</v>
      </c>
    </row>
    <row r="3928" spans="1:3" x14ac:dyDescent="0.25">
      <c r="A3928" s="1" t="s">
        <v>7857</v>
      </c>
      <c r="B3928" s="1" t="s">
        <v>7858</v>
      </c>
      <c r="C3928" s="1" t="s">
        <v>5</v>
      </c>
    </row>
    <row r="3929" spans="1:3" x14ac:dyDescent="0.25">
      <c r="A3929" s="1" t="s">
        <v>7859</v>
      </c>
      <c r="B3929" s="1" t="s">
        <v>7860</v>
      </c>
      <c r="C3929" s="1" t="s">
        <v>5</v>
      </c>
    </row>
    <row r="3930" spans="1:3" x14ac:dyDescent="0.25">
      <c r="A3930" s="1" t="s">
        <v>7861</v>
      </c>
      <c r="B3930" s="1" t="s">
        <v>7862</v>
      </c>
      <c r="C3930" s="1" t="s">
        <v>5</v>
      </c>
    </row>
    <row r="3931" spans="1:3" x14ac:dyDescent="0.25">
      <c r="A3931" s="1" t="s">
        <v>7863</v>
      </c>
      <c r="B3931" s="1" t="s">
        <v>7864</v>
      </c>
      <c r="C3931" s="1" t="s">
        <v>5</v>
      </c>
    </row>
    <row r="3932" spans="1:3" x14ac:dyDescent="0.25">
      <c r="A3932" s="1" t="s">
        <v>7865</v>
      </c>
      <c r="B3932" s="1" t="s">
        <v>7866</v>
      </c>
      <c r="C3932" s="1" t="s">
        <v>5</v>
      </c>
    </row>
    <row r="3933" spans="1:3" x14ac:dyDescent="0.25">
      <c r="A3933" s="1" t="s">
        <v>7867</v>
      </c>
      <c r="B3933" s="1" t="s">
        <v>7868</v>
      </c>
      <c r="C3933" s="1" t="s">
        <v>5</v>
      </c>
    </row>
    <row r="3934" spans="1:3" x14ac:dyDescent="0.25">
      <c r="A3934" s="1" t="s">
        <v>7869</v>
      </c>
      <c r="B3934" s="1" t="s">
        <v>7870</v>
      </c>
      <c r="C3934" s="1" t="s">
        <v>5</v>
      </c>
    </row>
    <row r="3935" spans="1:3" x14ac:dyDescent="0.25">
      <c r="A3935" s="1" t="s">
        <v>7871</v>
      </c>
      <c r="B3935" s="1" t="s">
        <v>7872</v>
      </c>
      <c r="C3935" s="1" t="s">
        <v>5</v>
      </c>
    </row>
    <row r="3936" spans="1:3" x14ac:dyDescent="0.25">
      <c r="A3936" s="1" t="s">
        <v>7873</v>
      </c>
      <c r="B3936" s="1" t="s">
        <v>7874</v>
      </c>
      <c r="C3936" s="1" t="s">
        <v>5</v>
      </c>
    </row>
    <row r="3937" spans="1:3" x14ac:dyDescent="0.25">
      <c r="A3937" s="1" t="s">
        <v>7875</v>
      </c>
      <c r="B3937" s="1" t="s">
        <v>7876</v>
      </c>
      <c r="C3937" s="1" t="s">
        <v>5</v>
      </c>
    </row>
    <row r="3938" spans="1:3" x14ac:dyDescent="0.25">
      <c r="A3938" s="1" t="s">
        <v>7877</v>
      </c>
      <c r="B3938" s="1" t="s">
        <v>7878</v>
      </c>
      <c r="C3938" s="1" t="s">
        <v>5</v>
      </c>
    </row>
    <row r="3939" spans="1:3" x14ac:dyDescent="0.25">
      <c r="A3939" s="1" t="s">
        <v>7879</v>
      </c>
      <c r="B3939" s="1" t="s">
        <v>7880</v>
      </c>
      <c r="C3939" s="1" t="s">
        <v>5</v>
      </c>
    </row>
    <row r="3940" spans="1:3" x14ac:dyDescent="0.25">
      <c r="A3940" s="1" t="s">
        <v>7881</v>
      </c>
      <c r="B3940" s="1" t="s">
        <v>7882</v>
      </c>
      <c r="C3940" s="1" t="s">
        <v>5</v>
      </c>
    </row>
    <row r="3941" spans="1:3" x14ac:dyDescent="0.25">
      <c r="A3941" s="1" t="s">
        <v>7883</v>
      </c>
      <c r="B3941" s="1" t="s">
        <v>7884</v>
      </c>
      <c r="C3941" s="1" t="s">
        <v>5</v>
      </c>
    </row>
    <row r="3942" spans="1:3" x14ac:dyDescent="0.25">
      <c r="A3942" s="1" t="s">
        <v>7885</v>
      </c>
      <c r="B3942" s="1" t="s">
        <v>7886</v>
      </c>
      <c r="C3942" s="1" t="s">
        <v>5</v>
      </c>
    </row>
    <row r="3943" spans="1:3" x14ac:dyDescent="0.25">
      <c r="A3943" s="1" t="s">
        <v>7887</v>
      </c>
      <c r="B3943" s="1" t="s">
        <v>7888</v>
      </c>
      <c r="C3943" s="1" t="s">
        <v>5</v>
      </c>
    </row>
    <row r="3944" spans="1:3" x14ac:dyDescent="0.25">
      <c r="A3944" s="1" t="s">
        <v>7889</v>
      </c>
      <c r="B3944" s="1" t="s">
        <v>7890</v>
      </c>
      <c r="C3944" s="1" t="s">
        <v>5</v>
      </c>
    </row>
    <row r="3945" spans="1:3" x14ac:dyDescent="0.25">
      <c r="A3945" s="1" t="s">
        <v>7891</v>
      </c>
      <c r="B3945" s="1" t="s">
        <v>7892</v>
      </c>
      <c r="C3945" s="1" t="s">
        <v>5</v>
      </c>
    </row>
    <row r="3946" spans="1:3" x14ac:dyDescent="0.25">
      <c r="A3946" s="1" t="s">
        <v>7893</v>
      </c>
      <c r="B3946" s="1" t="s">
        <v>7894</v>
      </c>
      <c r="C3946" s="1" t="s">
        <v>5</v>
      </c>
    </row>
    <row r="3947" spans="1:3" x14ac:dyDescent="0.25">
      <c r="A3947" s="1" t="s">
        <v>7895</v>
      </c>
      <c r="B3947" s="1" t="s">
        <v>7896</v>
      </c>
      <c r="C3947" s="1" t="s">
        <v>5</v>
      </c>
    </row>
    <row r="3948" spans="1:3" x14ac:dyDescent="0.25">
      <c r="A3948" s="1" t="s">
        <v>7897</v>
      </c>
      <c r="B3948" s="1" t="s">
        <v>7898</v>
      </c>
      <c r="C3948" s="1" t="s">
        <v>5</v>
      </c>
    </row>
    <row r="3949" spans="1:3" x14ac:dyDescent="0.25">
      <c r="A3949" s="1" t="s">
        <v>7899</v>
      </c>
      <c r="B3949" s="1" t="s">
        <v>7900</v>
      </c>
      <c r="C3949" s="1" t="s">
        <v>5</v>
      </c>
    </row>
    <row r="3950" spans="1:3" x14ac:dyDescent="0.25">
      <c r="A3950" s="1" t="s">
        <v>7901</v>
      </c>
      <c r="B3950" s="1" t="s">
        <v>7902</v>
      </c>
      <c r="C3950" s="1" t="s">
        <v>5</v>
      </c>
    </row>
    <row r="3951" spans="1:3" x14ac:dyDescent="0.25">
      <c r="A3951" s="1" t="s">
        <v>7903</v>
      </c>
      <c r="B3951" s="1" t="s">
        <v>7904</v>
      </c>
      <c r="C3951" s="1" t="s">
        <v>5</v>
      </c>
    </row>
    <row r="3952" spans="1:3" x14ac:dyDescent="0.25">
      <c r="A3952" s="1" t="s">
        <v>7905</v>
      </c>
      <c r="B3952" s="1" t="s">
        <v>7906</v>
      </c>
      <c r="C3952" s="1" t="s">
        <v>5</v>
      </c>
    </row>
    <row r="3953" spans="1:3" x14ac:dyDescent="0.25">
      <c r="A3953" s="1" t="s">
        <v>7907</v>
      </c>
      <c r="B3953" s="1" t="s">
        <v>7908</v>
      </c>
      <c r="C3953" s="1" t="s">
        <v>5</v>
      </c>
    </row>
    <row r="3954" spans="1:3" x14ac:dyDescent="0.25">
      <c r="A3954" s="1" t="s">
        <v>7909</v>
      </c>
      <c r="B3954" s="1" t="s">
        <v>7910</v>
      </c>
      <c r="C3954" s="1" t="s">
        <v>5</v>
      </c>
    </row>
    <row r="3955" spans="1:3" x14ac:dyDescent="0.25">
      <c r="A3955" s="1" t="s">
        <v>7911</v>
      </c>
      <c r="B3955" s="1" t="s">
        <v>7912</v>
      </c>
      <c r="C3955" s="1" t="s">
        <v>5</v>
      </c>
    </row>
    <row r="3956" spans="1:3" x14ac:dyDescent="0.25">
      <c r="A3956" s="1" t="s">
        <v>7913</v>
      </c>
      <c r="B3956" s="1" t="s">
        <v>7914</v>
      </c>
      <c r="C3956" s="1" t="s">
        <v>5</v>
      </c>
    </row>
    <row r="3957" spans="1:3" x14ac:dyDescent="0.25">
      <c r="A3957" s="1" t="s">
        <v>7915</v>
      </c>
      <c r="B3957" s="1" t="s">
        <v>7916</v>
      </c>
      <c r="C3957" s="1" t="s">
        <v>5</v>
      </c>
    </row>
    <row r="3958" spans="1:3" x14ac:dyDescent="0.25">
      <c r="A3958" s="1" t="s">
        <v>7917</v>
      </c>
      <c r="B3958" s="1" t="s">
        <v>7918</v>
      </c>
      <c r="C3958" s="1" t="s">
        <v>5</v>
      </c>
    </row>
    <row r="3959" spans="1:3" x14ac:dyDescent="0.25">
      <c r="A3959" s="1" t="s">
        <v>7919</v>
      </c>
      <c r="B3959" s="1" t="s">
        <v>7920</v>
      </c>
      <c r="C3959" s="1" t="s">
        <v>5</v>
      </c>
    </row>
    <row r="3960" spans="1:3" x14ac:dyDescent="0.25">
      <c r="A3960" s="1" t="s">
        <v>7921</v>
      </c>
      <c r="B3960" s="1" t="s">
        <v>7922</v>
      </c>
      <c r="C3960" s="1" t="s">
        <v>5</v>
      </c>
    </row>
    <row r="3961" spans="1:3" x14ac:dyDescent="0.25">
      <c r="A3961" s="1" t="s">
        <v>7923</v>
      </c>
      <c r="B3961" s="1" t="s">
        <v>7924</v>
      </c>
      <c r="C3961" s="1" t="s">
        <v>5</v>
      </c>
    </row>
    <row r="3962" spans="1:3" x14ac:dyDescent="0.25">
      <c r="A3962" s="1" t="s">
        <v>7925</v>
      </c>
      <c r="B3962" s="1" t="s">
        <v>7926</v>
      </c>
      <c r="C3962" s="1" t="s">
        <v>5</v>
      </c>
    </row>
    <row r="3963" spans="1:3" x14ac:dyDescent="0.25">
      <c r="A3963" s="1" t="s">
        <v>7927</v>
      </c>
      <c r="B3963" s="1" t="s">
        <v>7928</v>
      </c>
      <c r="C3963" s="1" t="s">
        <v>5</v>
      </c>
    </row>
    <row r="3964" spans="1:3" x14ac:dyDescent="0.25">
      <c r="A3964" s="1" t="s">
        <v>7929</v>
      </c>
      <c r="B3964" s="1" t="s">
        <v>7930</v>
      </c>
      <c r="C3964" s="1" t="s">
        <v>5</v>
      </c>
    </row>
    <row r="3965" spans="1:3" x14ac:dyDescent="0.25">
      <c r="A3965" s="1" t="s">
        <v>7931</v>
      </c>
      <c r="B3965" s="1" t="s">
        <v>7932</v>
      </c>
      <c r="C3965" s="1" t="s">
        <v>5</v>
      </c>
    </row>
    <row r="3966" spans="1:3" x14ac:dyDescent="0.25">
      <c r="A3966" s="1" t="s">
        <v>7933</v>
      </c>
      <c r="B3966" s="1" t="s">
        <v>7934</v>
      </c>
      <c r="C3966" s="1" t="s">
        <v>5</v>
      </c>
    </row>
    <row r="3967" spans="1:3" x14ac:dyDescent="0.25">
      <c r="A3967" s="1" t="s">
        <v>7935</v>
      </c>
      <c r="B3967" s="1" t="s">
        <v>7936</v>
      </c>
      <c r="C3967" s="1" t="s">
        <v>5</v>
      </c>
    </row>
    <row r="3968" spans="1:3" x14ac:dyDescent="0.25">
      <c r="A3968" s="1" t="s">
        <v>7937</v>
      </c>
      <c r="B3968" s="1" t="s">
        <v>7938</v>
      </c>
      <c r="C3968" s="1" t="s">
        <v>5</v>
      </c>
    </row>
    <row r="3969" spans="1:3" x14ac:dyDescent="0.25">
      <c r="A3969" s="1" t="s">
        <v>7939</v>
      </c>
      <c r="B3969" s="1" t="s">
        <v>7940</v>
      </c>
      <c r="C3969" s="1" t="s">
        <v>5</v>
      </c>
    </row>
    <row r="3970" spans="1:3" x14ac:dyDescent="0.25">
      <c r="A3970" s="1" t="s">
        <v>7941</v>
      </c>
      <c r="B3970" s="1" t="s">
        <v>7942</v>
      </c>
      <c r="C3970" s="1" t="s">
        <v>5</v>
      </c>
    </row>
    <row r="3971" spans="1:3" x14ac:dyDescent="0.25">
      <c r="A3971" s="1" t="s">
        <v>7943</v>
      </c>
      <c r="B3971" s="1" t="s">
        <v>7944</v>
      </c>
      <c r="C3971" s="1" t="s">
        <v>5</v>
      </c>
    </row>
    <row r="3972" spans="1:3" x14ac:dyDescent="0.25">
      <c r="A3972" s="1" t="s">
        <v>7945</v>
      </c>
      <c r="B3972" s="1" t="s">
        <v>7946</v>
      </c>
      <c r="C3972" s="1" t="s">
        <v>5</v>
      </c>
    </row>
    <row r="3973" spans="1:3" x14ac:dyDescent="0.25">
      <c r="A3973" s="1" t="s">
        <v>7947</v>
      </c>
      <c r="B3973" s="1" t="s">
        <v>7948</v>
      </c>
      <c r="C3973" s="1" t="s">
        <v>5</v>
      </c>
    </row>
    <row r="3974" spans="1:3" x14ac:dyDescent="0.25">
      <c r="A3974" s="1" t="s">
        <v>7949</v>
      </c>
      <c r="B3974" s="1" t="s">
        <v>7950</v>
      </c>
      <c r="C3974" s="1" t="s">
        <v>5</v>
      </c>
    </row>
    <row r="3975" spans="1:3" x14ac:dyDescent="0.25">
      <c r="A3975" s="1" t="s">
        <v>7951</v>
      </c>
      <c r="B3975" s="1" t="s">
        <v>7952</v>
      </c>
      <c r="C3975" s="1" t="s">
        <v>5</v>
      </c>
    </row>
    <row r="3976" spans="1:3" x14ac:dyDescent="0.25">
      <c r="A3976" s="1" t="s">
        <v>7953</v>
      </c>
      <c r="B3976" s="1" t="s">
        <v>7954</v>
      </c>
      <c r="C3976" s="1" t="s">
        <v>5</v>
      </c>
    </row>
    <row r="3977" spans="1:3" x14ac:dyDescent="0.25">
      <c r="A3977" s="1" t="s">
        <v>7955</v>
      </c>
      <c r="B3977" s="1" t="s">
        <v>7956</v>
      </c>
      <c r="C3977" s="1" t="s">
        <v>5</v>
      </c>
    </row>
    <row r="3978" spans="1:3" x14ac:dyDescent="0.25">
      <c r="A3978" s="1" t="s">
        <v>7957</v>
      </c>
      <c r="B3978" s="1" t="s">
        <v>7958</v>
      </c>
      <c r="C3978" s="1" t="s">
        <v>5</v>
      </c>
    </row>
    <row r="3979" spans="1:3" x14ac:dyDescent="0.25">
      <c r="A3979" s="1" t="s">
        <v>7959</v>
      </c>
      <c r="B3979" s="1" t="s">
        <v>7960</v>
      </c>
      <c r="C3979" s="1" t="s">
        <v>5</v>
      </c>
    </row>
    <row r="3980" spans="1:3" x14ac:dyDescent="0.25">
      <c r="A3980" s="1" t="s">
        <v>7961</v>
      </c>
      <c r="B3980" s="1" t="s">
        <v>7962</v>
      </c>
      <c r="C3980" s="1" t="s">
        <v>5</v>
      </c>
    </row>
    <row r="3981" spans="1:3" x14ac:dyDescent="0.25">
      <c r="A3981" s="1" t="s">
        <v>7963</v>
      </c>
      <c r="B3981" s="1" t="s">
        <v>7964</v>
      </c>
      <c r="C3981" s="1" t="s">
        <v>5</v>
      </c>
    </row>
    <row r="3982" spans="1:3" x14ac:dyDescent="0.25">
      <c r="A3982" s="1" t="s">
        <v>7965</v>
      </c>
      <c r="B3982" s="1" t="s">
        <v>7966</v>
      </c>
      <c r="C3982" s="1" t="s">
        <v>5</v>
      </c>
    </row>
    <row r="3983" spans="1:3" x14ac:dyDescent="0.25">
      <c r="A3983" s="1" t="s">
        <v>7967</v>
      </c>
      <c r="B3983" s="1" t="s">
        <v>7968</v>
      </c>
      <c r="C3983" s="1" t="s">
        <v>5</v>
      </c>
    </row>
    <row r="3984" spans="1:3" x14ac:dyDescent="0.25">
      <c r="A3984" s="1" t="s">
        <v>7969</v>
      </c>
      <c r="B3984" s="1" t="s">
        <v>7970</v>
      </c>
      <c r="C3984" s="1" t="s">
        <v>5</v>
      </c>
    </row>
    <row r="3985" spans="1:3" x14ac:dyDescent="0.25">
      <c r="A3985" s="1" t="s">
        <v>7971</v>
      </c>
      <c r="B3985" s="1" t="s">
        <v>7972</v>
      </c>
      <c r="C3985" s="1" t="s">
        <v>5</v>
      </c>
    </row>
    <row r="3986" spans="1:3" x14ac:dyDescent="0.25">
      <c r="A3986" s="1" t="s">
        <v>7973</v>
      </c>
      <c r="B3986" s="1" t="s">
        <v>7974</v>
      </c>
      <c r="C3986" s="1" t="s">
        <v>5</v>
      </c>
    </row>
    <row r="3987" spans="1:3" x14ac:dyDescent="0.25">
      <c r="A3987" s="1" t="s">
        <v>7975</v>
      </c>
      <c r="B3987" s="1" t="s">
        <v>7976</v>
      </c>
      <c r="C3987" s="1" t="s">
        <v>5</v>
      </c>
    </row>
    <row r="3988" spans="1:3" x14ac:dyDescent="0.25">
      <c r="A3988" s="1" t="s">
        <v>7977</v>
      </c>
      <c r="B3988" s="1" t="s">
        <v>7978</v>
      </c>
      <c r="C3988" s="1" t="s">
        <v>5</v>
      </c>
    </row>
    <row r="3989" spans="1:3" x14ac:dyDescent="0.25">
      <c r="A3989" s="1" t="s">
        <v>7979</v>
      </c>
      <c r="B3989" s="1" t="s">
        <v>7980</v>
      </c>
      <c r="C3989" s="1" t="s">
        <v>5</v>
      </c>
    </row>
    <row r="3990" spans="1:3" x14ac:dyDescent="0.25">
      <c r="A3990" s="1" t="s">
        <v>7981</v>
      </c>
      <c r="B3990" s="1" t="s">
        <v>7982</v>
      </c>
      <c r="C3990" s="1" t="s">
        <v>5</v>
      </c>
    </row>
    <row r="3991" spans="1:3" x14ac:dyDescent="0.25">
      <c r="A3991" s="1" t="s">
        <v>7983</v>
      </c>
      <c r="B3991" s="1" t="s">
        <v>7984</v>
      </c>
      <c r="C3991" s="1" t="s">
        <v>5</v>
      </c>
    </row>
    <row r="3992" spans="1:3" x14ac:dyDescent="0.25">
      <c r="A3992" s="1" t="s">
        <v>7985</v>
      </c>
      <c r="B3992" s="1" t="s">
        <v>7986</v>
      </c>
      <c r="C3992" s="1" t="s">
        <v>5</v>
      </c>
    </row>
    <row r="3993" spans="1:3" x14ac:dyDescent="0.25">
      <c r="A3993" s="1" t="s">
        <v>7987</v>
      </c>
      <c r="B3993" s="1" t="s">
        <v>7988</v>
      </c>
      <c r="C3993" s="1" t="s">
        <v>5</v>
      </c>
    </row>
    <row r="3994" spans="1:3" x14ac:dyDescent="0.25">
      <c r="A3994" s="1" t="s">
        <v>7989</v>
      </c>
      <c r="B3994" s="1" t="s">
        <v>7990</v>
      </c>
      <c r="C3994" s="1" t="s">
        <v>5</v>
      </c>
    </row>
    <row r="3995" spans="1:3" x14ac:dyDescent="0.25">
      <c r="A3995" s="1" t="s">
        <v>7991</v>
      </c>
      <c r="B3995" s="1" t="s">
        <v>7992</v>
      </c>
      <c r="C3995" s="1" t="s">
        <v>5</v>
      </c>
    </row>
    <row r="3996" spans="1:3" x14ac:dyDescent="0.25">
      <c r="A3996" s="1" t="s">
        <v>7993</v>
      </c>
      <c r="B3996" s="1" t="s">
        <v>7994</v>
      </c>
      <c r="C3996" s="1" t="s">
        <v>5</v>
      </c>
    </row>
    <row r="3997" spans="1:3" x14ac:dyDescent="0.25">
      <c r="A3997" s="1" t="s">
        <v>7995</v>
      </c>
      <c r="B3997" s="1" t="s">
        <v>7996</v>
      </c>
      <c r="C3997" s="1" t="s">
        <v>5</v>
      </c>
    </row>
    <row r="3998" spans="1:3" x14ac:dyDescent="0.25">
      <c r="A3998" s="1" t="s">
        <v>7997</v>
      </c>
      <c r="B3998" s="1" t="s">
        <v>7998</v>
      </c>
      <c r="C3998" s="1" t="s">
        <v>5</v>
      </c>
    </row>
    <row r="3999" spans="1:3" x14ac:dyDescent="0.25">
      <c r="A3999" s="1" t="s">
        <v>7999</v>
      </c>
      <c r="B3999" s="1" t="s">
        <v>8000</v>
      </c>
      <c r="C3999" s="1" t="s">
        <v>5</v>
      </c>
    </row>
    <row r="4000" spans="1:3" x14ac:dyDescent="0.25">
      <c r="A4000" s="1" t="s">
        <v>8001</v>
      </c>
      <c r="B4000" s="1" t="s">
        <v>8002</v>
      </c>
      <c r="C4000" s="1" t="s">
        <v>5</v>
      </c>
    </row>
    <row r="4001" spans="1:3" x14ac:dyDescent="0.25">
      <c r="A4001" s="1" t="s">
        <v>8003</v>
      </c>
      <c r="B4001" s="1" t="s">
        <v>8004</v>
      </c>
      <c r="C4001" s="1" t="s">
        <v>5</v>
      </c>
    </row>
    <row r="4002" spans="1:3" x14ac:dyDescent="0.25">
      <c r="A4002" s="1" t="s">
        <v>8005</v>
      </c>
      <c r="B4002" s="1" t="s">
        <v>8006</v>
      </c>
      <c r="C4002" s="1" t="s">
        <v>5</v>
      </c>
    </row>
    <row r="4003" spans="1:3" x14ac:dyDescent="0.25">
      <c r="A4003" s="1" t="s">
        <v>8007</v>
      </c>
      <c r="B4003" s="1" t="s">
        <v>8008</v>
      </c>
      <c r="C4003" s="1" t="s">
        <v>5</v>
      </c>
    </row>
    <row r="4004" spans="1:3" x14ac:dyDescent="0.25">
      <c r="A4004" s="1" t="s">
        <v>8009</v>
      </c>
      <c r="B4004" s="1" t="s">
        <v>8010</v>
      </c>
      <c r="C4004" s="1" t="s">
        <v>5</v>
      </c>
    </row>
    <row r="4005" spans="1:3" x14ac:dyDescent="0.25">
      <c r="A4005" s="1" t="s">
        <v>8011</v>
      </c>
      <c r="B4005" s="1" t="s">
        <v>8012</v>
      </c>
      <c r="C4005" s="1" t="s">
        <v>5</v>
      </c>
    </row>
    <row r="4006" spans="1:3" x14ac:dyDescent="0.25">
      <c r="A4006" s="1" t="s">
        <v>8013</v>
      </c>
      <c r="B4006" s="1" t="s">
        <v>8014</v>
      </c>
      <c r="C4006" s="1" t="s">
        <v>5</v>
      </c>
    </row>
    <row r="4007" spans="1:3" x14ac:dyDescent="0.25">
      <c r="A4007" s="1" t="s">
        <v>8015</v>
      </c>
      <c r="B4007" s="1" t="s">
        <v>8016</v>
      </c>
      <c r="C4007" s="1" t="s">
        <v>5</v>
      </c>
    </row>
    <row r="4008" spans="1:3" x14ac:dyDescent="0.25">
      <c r="A4008" s="1" t="s">
        <v>8017</v>
      </c>
      <c r="B4008" s="1" t="s">
        <v>8018</v>
      </c>
      <c r="C4008" s="1" t="s">
        <v>5</v>
      </c>
    </row>
    <row r="4009" spans="1:3" x14ac:dyDescent="0.25">
      <c r="A4009" s="1" t="s">
        <v>8019</v>
      </c>
      <c r="B4009" s="1" t="s">
        <v>8020</v>
      </c>
      <c r="C4009" s="1" t="s">
        <v>5</v>
      </c>
    </row>
    <row r="4010" spans="1:3" x14ac:dyDescent="0.25">
      <c r="A4010" s="1" t="s">
        <v>8021</v>
      </c>
      <c r="B4010" s="1" t="s">
        <v>8022</v>
      </c>
      <c r="C4010" s="1" t="s">
        <v>5</v>
      </c>
    </row>
    <row r="4011" spans="1:3" x14ac:dyDescent="0.25">
      <c r="A4011" s="1" t="s">
        <v>8023</v>
      </c>
      <c r="B4011" s="1" t="s">
        <v>8024</v>
      </c>
      <c r="C4011" s="1" t="s">
        <v>5</v>
      </c>
    </row>
    <row r="4012" spans="1:3" x14ac:dyDescent="0.25">
      <c r="A4012" s="1" t="s">
        <v>8025</v>
      </c>
      <c r="B4012" s="1" t="s">
        <v>8026</v>
      </c>
      <c r="C4012" s="1" t="s">
        <v>5</v>
      </c>
    </row>
    <row r="4013" spans="1:3" x14ac:dyDescent="0.25">
      <c r="A4013" s="1" t="s">
        <v>8027</v>
      </c>
      <c r="B4013" s="1" t="s">
        <v>8028</v>
      </c>
      <c r="C4013" s="1" t="s">
        <v>5</v>
      </c>
    </row>
    <row r="4014" spans="1:3" x14ac:dyDescent="0.25">
      <c r="A4014" s="1" t="s">
        <v>8029</v>
      </c>
      <c r="B4014" s="1" t="s">
        <v>8030</v>
      </c>
      <c r="C4014" s="1" t="s">
        <v>5</v>
      </c>
    </row>
    <row r="4015" spans="1:3" x14ac:dyDescent="0.25">
      <c r="A4015" s="1" t="s">
        <v>8031</v>
      </c>
      <c r="B4015" s="1" t="s">
        <v>8032</v>
      </c>
      <c r="C4015" s="1" t="s">
        <v>5</v>
      </c>
    </row>
    <row r="4016" spans="1:3" x14ac:dyDescent="0.25">
      <c r="A4016" s="1" t="s">
        <v>8033</v>
      </c>
      <c r="B4016" s="1" t="s">
        <v>8034</v>
      </c>
      <c r="C4016" s="1" t="s">
        <v>5</v>
      </c>
    </row>
    <row r="4017" spans="1:3" x14ac:dyDescent="0.25">
      <c r="A4017" s="1" t="s">
        <v>8035</v>
      </c>
      <c r="B4017" s="1" t="s">
        <v>8036</v>
      </c>
      <c r="C4017" s="1" t="s">
        <v>5</v>
      </c>
    </row>
    <row r="4018" spans="1:3" x14ac:dyDescent="0.25">
      <c r="A4018" s="1" t="s">
        <v>8037</v>
      </c>
      <c r="B4018" s="1" t="s">
        <v>8038</v>
      </c>
      <c r="C4018" s="1" t="s">
        <v>5</v>
      </c>
    </row>
    <row r="4019" spans="1:3" x14ac:dyDescent="0.25">
      <c r="A4019" s="1" t="s">
        <v>8039</v>
      </c>
      <c r="B4019" s="1" t="s">
        <v>8040</v>
      </c>
      <c r="C4019" s="1" t="s">
        <v>5</v>
      </c>
    </row>
    <row r="4020" spans="1:3" x14ac:dyDescent="0.25">
      <c r="A4020" s="1" t="s">
        <v>8041</v>
      </c>
      <c r="B4020" s="1" t="s">
        <v>8042</v>
      </c>
      <c r="C4020" s="1" t="s">
        <v>5</v>
      </c>
    </row>
    <row r="4021" spans="1:3" x14ac:dyDescent="0.25">
      <c r="A4021" s="1" t="s">
        <v>8043</v>
      </c>
      <c r="B4021" s="1" t="s">
        <v>8044</v>
      </c>
      <c r="C4021" s="1" t="s">
        <v>5</v>
      </c>
    </row>
    <row r="4022" spans="1:3" x14ac:dyDescent="0.25">
      <c r="A4022" s="1" t="s">
        <v>8045</v>
      </c>
      <c r="B4022" s="1" t="s">
        <v>8046</v>
      </c>
      <c r="C4022" s="1" t="s">
        <v>5</v>
      </c>
    </row>
    <row r="4023" spans="1:3" x14ac:dyDescent="0.25">
      <c r="A4023" s="1" t="s">
        <v>8047</v>
      </c>
      <c r="B4023" s="1" t="s">
        <v>8048</v>
      </c>
      <c r="C4023" s="1" t="s">
        <v>5</v>
      </c>
    </row>
    <row r="4024" spans="1:3" x14ac:dyDescent="0.25">
      <c r="A4024" s="1" t="s">
        <v>8049</v>
      </c>
      <c r="B4024" s="1" t="s">
        <v>8050</v>
      </c>
      <c r="C4024" s="1" t="s">
        <v>5</v>
      </c>
    </row>
    <row r="4025" spans="1:3" x14ac:dyDescent="0.25">
      <c r="A4025" s="1" t="s">
        <v>8051</v>
      </c>
      <c r="B4025" s="1" t="s">
        <v>8052</v>
      </c>
      <c r="C4025" s="1" t="s">
        <v>5</v>
      </c>
    </row>
    <row r="4026" spans="1:3" x14ac:dyDescent="0.25">
      <c r="A4026" s="1" t="s">
        <v>8053</v>
      </c>
      <c r="B4026" s="1" t="s">
        <v>8054</v>
      </c>
      <c r="C4026" s="1" t="s">
        <v>5</v>
      </c>
    </row>
    <row r="4027" spans="1:3" x14ac:dyDescent="0.25">
      <c r="A4027" s="1" t="s">
        <v>8055</v>
      </c>
      <c r="B4027" s="1" t="s">
        <v>8056</v>
      </c>
      <c r="C4027" s="1" t="s">
        <v>5</v>
      </c>
    </row>
    <row r="4028" spans="1:3" x14ac:dyDescent="0.25">
      <c r="A4028" s="1" t="s">
        <v>8057</v>
      </c>
      <c r="B4028" s="1" t="s">
        <v>8058</v>
      </c>
      <c r="C4028" s="1" t="s">
        <v>5</v>
      </c>
    </row>
    <row r="4029" spans="1:3" x14ac:dyDescent="0.25">
      <c r="A4029" s="1" t="s">
        <v>8059</v>
      </c>
      <c r="B4029" s="1" t="s">
        <v>8060</v>
      </c>
      <c r="C4029" s="1" t="s">
        <v>5</v>
      </c>
    </row>
    <row r="4030" spans="1:3" x14ac:dyDescent="0.25">
      <c r="A4030" s="1" t="s">
        <v>8061</v>
      </c>
      <c r="B4030" s="1" t="s">
        <v>8062</v>
      </c>
      <c r="C4030" s="1" t="s">
        <v>5</v>
      </c>
    </row>
    <row r="4031" spans="1:3" x14ac:dyDescent="0.25">
      <c r="A4031" s="1" t="s">
        <v>8063</v>
      </c>
      <c r="B4031" s="1" t="s">
        <v>8064</v>
      </c>
      <c r="C4031" s="1" t="s">
        <v>5</v>
      </c>
    </row>
    <row r="4032" spans="1:3" x14ac:dyDescent="0.25">
      <c r="A4032" s="1" t="s">
        <v>8065</v>
      </c>
      <c r="B4032" s="1" t="s">
        <v>8066</v>
      </c>
      <c r="C4032" s="1" t="s">
        <v>5</v>
      </c>
    </row>
    <row r="4033" spans="1:3" x14ac:dyDescent="0.25">
      <c r="A4033" s="1" t="s">
        <v>8067</v>
      </c>
      <c r="B4033" s="1" t="s">
        <v>8068</v>
      </c>
      <c r="C4033" s="1" t="s">
        <v>5</v>
      </c>
    </row>
    <row r="4034" spans="1:3" x14ac:dyDescent="0.25">
      <c r="A4034" s="1" t="s">
        <v>8069</v>
      </c>
      <c r="B4034" s="1" t="s">
        <v>8070</v>
      </c>
      <c r="C4034" s="1" t="s">
        <v>5</v>
      </c>
    </row>
    <row r="4035" spans="1:3" x14ac:dyDescent="0.25">
      <c r="A4035" s="1" t="s">
        <v>8071</v>
      </c>
      <c r="B4035" s="1" t="s">
        <v>8072</v>
      </c>
      <c r="C4035" s="1" t="s">
        <v>5</v>
      </c>
    </row>
    <row r="4036" spans="1:3" x14ac:dyDescent="0.25">
      <c r="A4036" s="1" t="s">
        <v>8073</v>
      </c>
      <c r="B4036" s="1" t="s">
        <v>8074</v>
      </c>
      <c r="C4036" s="1" t="s">
        <v>5</v>
      </c>
    </row>
    <row r="4037" spans="1:3" x14ac:dyDescent="0.25">
      <c r="A4037" s="1" t="s">
        <v>8075</v>
      </c>
      <c r="B4037" s="1" t="s">
        <v>8076</v>
      </c>
      <c r="C4037" s="1" t="s">
        <v>5</v>
      </c>
    </row>
    <row r="4038" spans="1:3" x14ac:dyDescent="0.25">
      <c r="A4038" s="1" t="s">
        <v>8077</v>
      </c>
      <c r="B4038" s="1" t="s">
        <v>8078</v>
      </c>
      <c r="C4038" s="1" t="s">
        <v>5</v>
      </c>
    </row>
    <row r="4039" spans="1:3" x14ac:dyDescent="0.25">
      <c r="A4039" s="1" t="s">
        <v>8079</v>
      </c>
      <c r="B4039" s="1" t="s">
        <v>8080</v>
      </c>
      <c r="C4039" s="1" t="s">
        <v>5</v>
      </c>
    </row>
    <row r="4040" spans="1:3" x14ac:dyDescent="0.25">
      <c r="A4040" s="1" t="s">
        <v>8081</v>
      </c>
      <c r="B4040" s="1" t="s">
        <v>8082</v>
      </c>
      <c r="C4040" s="1" t="s">
        <v>5</v>
      </c>
    </row>
    <row r="4041" spans="1:3" x14ac:dyDescent="0.25">
      <c r="A4041" s="1" t="s">
        <v>8083</v>
      </c>
      <c r="B4041" s="1" t="s">
        <v>8084</v>
      </c>
      <c r="C4041" s="1" t="s">
        <v>5</v>
      </c>
    </row>
    <row r="4042" spans="1:3" x14ac:dyDescent="0.25">
      <c r="A4042" s="1" t="s">
        <v>8085</v>
      </c>
      <c r="B4042" s="1" t="s">
        <v>8086</v>
      </c>
      <c r="C4042" s="1" t="s">
        <v>5</v>
      </c>
    </row>
    <row r="4043" spans="1:3" x14ac:dyDescent="0.25">
      <c r="A4043" s="1" t="s">
        <v>8087</v>
      </c>
      <c r="B4043" s="1" t="s">
        <v>8088</v>
      </c>
      <c r="C4043" s="1" t="s">
        <v>5</v>
      </c>
    </row>
    <row r="4044" spans="1:3" x14ac:dyDescent="0.25">
      <c r="A4044" s="1" t="s">
        <v>8089</v>
      </c>
      <c r="B4044" s="1" t="s">
        <v>8090</v>
      </c>
      <c r="C4044" s="1" t="s">
        <v>5</v>
      </c>
    </row>
    <row r="4045" spans="1:3" x14ac:dyDescent="0.25">
      <c r="A4045" s="1" t="s">
        <v>8091</v>
      </c>
      <c r="B4045" s="1" t="s">
        <v>8092</v>
      </c>
      <c r="C4045" s="1" t="s">
        <v>5</v>
      </c>
    </row>
    <row r="4046" spans="1:3" x14ac:dyDescent="0.25">
      <c r="A4046" s="1" t="s">
        <v>8093</v>
      </c>
      <c r="B4046" s="1" t="s">
        <v>8094</v>
      </c>
      <c r="C4046" s="1" t="s">
        <v>5</v>
      </c>
    </row>
    <row r="4047" spans="1:3" x14ac:dyDescent="0.25">
      <c r="A4047" s="1" t="s">
        <v>8095</v>
      </c>
      <c r="B4047" s="1" t="s">
        <v>8096</v>
      </c>
      <c r="C4047" s="1" t="s">
        <v>5</v>
      </c>
    </row>
    <row r="4048" spans="1:3" x14ac:dyDescent="0.25">
      <c r="A4048" s="1" t="s">
        <v>8097</v>
      </c>
      <c r="B4048" s="1" t="s">
        <v>8098</v>
      </c>
      <c r="C4048" s="1" t="s">
        <v>5</v>
      </c>
    </row>
    <row r="4049" spans="1:3" x14ac:dyDescent="0.25">
      <c r="A4049" s="1" t="s">
        <v>8099</v>
      </c>
      <c r="B4049" s="1" t="s">
        <v>8100</v>
      </c>
      <c r="C4049" s="1" t="s">
        <v>5</v>
      </c>
    </row>
    <row r="4050" spans="1:3" x14ac:dyDescent="0.25">
      <c r="A4050" s="1" t="s">
        <v>8101</v>
      </c>
      <c r="B4050" s="1" t="s">
        <v>8102</v>
      </c>
      <c r="C4050" s="1" t="s">
        <v>5</v>
      </c>
    </row>
    <row r="4051" spans="1:3" x14ac:dyDescent="0.25">
      <c r="A4051" s="1" t="s">
        <v>8103</v>
      </c>
      <c r="B4051" s="1" t="s">
        <v>8104</v>
      </c>
      <c r="C4051" s="1" t="s">
        <v>5</v>
      </c>
    </row>
    <row r="4052" spans="1:3" x14ac:dyDescent="0.25">
      <c r="A4052" s="1" t="s">
        <v>8105</v>
      </c>
      <c r="B4052" s="1" t="s">
        <v>8106</v>
      </c>
      <c r="C4052" s="1" t="s">
        <v>5</v>
      </c>
    </row>
    <row r="4053" spans="1:3" x14ac:dyDescent="0.25">
      <c r="A4053" s="1" t="s">
        <v>8107</v>
      </c>
      <c r="B4053" s="1" t="s">
        <v>8108</v>
      </c>
      <c r="C4053" s="1" t="s">
        <v>5</v>
      </c>
    </row>
    <row r="4054" spans="1:3" x14ac:dyDescent="0.25">
      <c r="A4054" s="1" t="s">
        <v>8109</v>
      </c>
      <c r="B4054" s="1" t="s">
        <v>8110</v>
      </c>
      <c r="C4054" s="1" t="s">
        <v>5</v>
      </c>
    </row>
    <row r="4055" spans="1:3" x14ac:dyDescent="0.25">
      <c r="A4055" s="1" t="s">
        <v>8111</v>
      </c>
      <c r="B4055" s="1" t="s">
        <v>8112</v>
      </c>
      <c r="C4055" s="1" t="s">
        <v>5</v>
      </c>
    </row>
    <row r="4056" spans="1:3" x14ac:dyDescent="0.25">
      <c r="A4056" s="1" t="s">
        <v>8113</v>
      </c>
      <c r="B4056" s="1" t="s">
        <v>8114</v>
      </c>
      <c r="C4056" s="1" t="s">
        <v>5</v>
      </c>
    </row>
    <row r="4057" spans="1:3" x14ac:dyDescent="0.25">
      <c r="A4057" s="1" t="s">
        <v>8115</v>
      </c>
      <c r="B4057" s="1" t="s">
        <v>8116</v>
      </c>
      <c r="C4057" s="1" t="s">
        <v>5</v>
      </c>
    </row>
    <row r="4058" spans="1:3" x14ac:dyDescent="0.25">
      <c r="A4058" s="1" t="s">
        <v>8117</v>
      </c>
      <c r="B4058" s="1" t="s">
        <v>8118</v>
      </c>
      <c r="C4058" s="1" t="s">
        <v>5</v>
      </c>
    </row>
    <row r="4059" spans="1:3" x14ac:dyDescent="0.25">
      <c r="A4059" s="1" t="s">
        <v>8119</v>
      </c>
      <c r="B4059" s="1" t="s">
        <v>8120</v>
      </c>
      <c r="C4059" s="1" t="s">
        <v>5</v>
      </c>
    </row>
    <row r="4060" spans="1:3" x14ac:dyDescent="0.25">
      <c r="A4060" s="1" t="s">
        <v>8121</v>
      </c>
      <c r="B4060" s="1" t="s">
        <v>8122</v>
      </c>
      <c r="C4060" s="1" t="s">
        <v>5</v>
      </c>
    </row>
    <row r="4061" spans="1:3" x14ac:dyDescent="0.25">
      <c r="A4061" s="1" t="s">
        <v>8123</v>
      </c>
      <c r="B4061" s="1" t="s">
        <v>8124</v>
      </c>
      <c r="C4061" s="1" t="s">
        <v>5</v>
      </c>
    </row>
    <row r="4062" spans="1:3" x14ac:dyDescent="0.25">
      <c r="A4062" s="1" t="s">
        <v>8125</v>
      </c>
      <c r="B4062" s="1" t="s">
        <v>8126</v>
      </c>
      <c r="C4062" s="1" t="s">
        <v>5</v>
      </c>
    </row>
    <row r="4063" spans="1:3" x14ac:dyDescent="0.25">
      <c r="A4063" s="1" t="s">
        <v>8127</v>
      </c>
      <c r="B4063" s="1" t="s">
        <v>8128</v>
      </c>
      <c r="C4063" s="1" t="s">
        <v>5</v>
      </c>
    </row>
    <row r="4064" spans="1:3" x14ac:dyDescent="0.25">
      <c r="A4064" s="1" t="s">
        <v>8129</v>
      </c>
      <c r="B4064" s="1" t="s">
        <v>8130</v>
      </c>
      <c r="C4064" s="1" t="s">
        <v>5</v>
      </c>
    </row>
    <row r="4065" spans="1:3" x14ac:dyDescent="0.25">
      <c r="A4065" s="1" t="s">
        <v>8131</v>
      </c>
      <c r="B4065" s="1" t="s">
        <v>8132</v>
      </c>
      <c r="C4065" s="1" t="s">
        <v>5</v>
      </c>
    </row>
    <row r="4066" spans="1:3" x14ac:dyDescent="0.25">
      <c r="A4066" s="1" t="s">
        <v>8133</v>
      </c>
      <c r="B4066" s="1" t="s">
        <v>8134</v>
      </c>
      <c r="C4066" s="1" t="s">
        <v>5</v>
      </c>
    </row>
    <row r="4067" spans="1:3" x14ac:dyDescent="0.25">
      <c r="A4067" s="1" t="s">
        <v>8135</v>
      </c>
      <c r="B4067" s="1" t="s">
        <v>8136</v>
      </c>
      <c r="C4067" s="1" t="s">
        <v>5</v>
      </c>
    </row>
    <row r="4068" spans="1:3" x14ac:dyDescent="0.25">
      <c r="A4068" s="1" t="s">
        <v>8137</v>
      </c>
      <c r="B4068" s="1" t="s">
        <v>8138</v>
      </c>
      <c r="C4068" s="1" t="s">
        <v>5</v>
      </c>
    </row>
    <row r="4069" spans="1:3" x14ac:dyDescent="0.25">
      <c r="A4069" s="1" t="s">
        <v>8139</v>
      </c>
      <c r="B4069" s="1" t="s">
        <v>8140</v>
      </c>
      <c r="C4069" s="1" t="s">
        <v>5</v>
      </c>
    </row>
    <row r="4070" spans="1:3" x14ac:dyDescent="0.25">
      <c r="A4070" s="1" t="s">
        <v>8141</v>
      </c>
      <c r="B4070" s="1" t="s">
        <v>8142</v>
      </c>
      <c r="C4070" s="1" t="s">
        <v>5</v>
      </c>
    </row>
    <row r="4071" spans="1:3" x14ac:dyDescent="0.25">
      <c r="A4071" s="1" t="s">
        <v>8143</v>
      </c>
      <c r="B4071" s="1" t="s">
        <v>8144</v>
      </c>
      <c r="C4071" s="1" t="s">
        <v>5</v>
      </c>
    </row>
    <row r="4072" spans="1:3" x14ac:dyDescent="0.25">
      <c r="A4072" s="1" t="s">
        <v>8145</v>
      </c>
      <c r="B4072" s="1" t="s">
        <v>8146</v>
      </c>
      <c r="C4072" s="1" t="s">
        <v>5</v>
      </c>
    </row>
    <row r="4073" spans="1:3" x14ac:dyDescent="0.25">
      <c r="A4073" s="1" t="s">
        <v>8147</v>
      </c>
      <c r="B4073" s="1" t="s">
        <v>8148</v>
      </c>
      <c r="C4073" s="1" t="s">
        <v>5</v>
      </c>
    </row>
    <row r="4074" spans="1:3" x14ac:dyDescent="0.25">
      <c r="A4074" s="1" t="s">
        <v>8149</v>
      </c>
      <c r="B4074" s="1" t="s">
        <v>8150</v>
      </c>
      <c r="C4074" s="1" t="s">
        <v>5</v>
      </c>
    </row>
    <row r="4075" spans="1:3" x14ac:dyDescent="0.25">
      <c r="A4075" s="1" t="s">
        <v>8151</v>
      </c>
      <c r="B4075" s="1" t="s">
        <v>8152</v>
      </c>
      <c r="C4075" s="1" t="s">
        <v>5</v>
      </c>
    </row>
    <row r="4076" spans="1:3" x14ac:dyDescent="0.25">
      <c r="A4076" s="1" t="s">
        <v>8153</v>
      </c>
      <c r="B4076" s="1" t="s">
        <v>8154</v>
      </c>
      <c r="C4076" s="1" t="s">
        <v>5</v>
      </c>
    </row>
    <row r="4077" spans="1:3" x14ac:dyDescent="0.25">
      <c r="A4077" s="1" t="s">
        <v>8155</v>
      </c>
      <c r="B4077" s="1" t="s">
        <v>8156</v>
      </c>
      <c r="C4077" s="1" t="s">
        <v>5</v>
      </c>
    </row>
    <row r="4078" spans="1:3" x14ac:dyDescent="0.25">
      <c r="A4078" s="1" t="s">
        <v>8157</v>
      </c>
      <c r="B4078" s="1" t="s">
        <v>8158</v>
      </c>
      <c r="C4078" s="1" t="s">
        <v>5</v>
      </c>
    </row>
    <row r="4079" spans="1:3" x14ac:dyDescent="0.25">
      <c r="A4079" s="1" t="s">
        <v>8159</v>
      </c>
      <c r="B4079" s="1" t="s">
        <v>8160</v>
      </c>
      <c r="C4079" s="1" t="s">
        <v>5</v>
      </c>
    </row>
    <row r="4080" spans="1:3" x14ac:dyDescent="0.25">
      <c r="A4080" s="1" t="s">
        <v>8161</v>
      </c>
      <c r="B4080" s="1" t="s">
        <v>8162</v>
      </c>
      <c r="C4080" s="1" t="s">
        <v>5</v>
      </c>
    </row>
    <row r="4081" spans="1:3" x14ac:dyDescent="0.25">
      <c r="A4081" s="1" t="s">
        <v>8163</v>
      </c>
      <c r="B4081" s="1" t="s">
        <v>8164</v>
      </c>
      <c r="C4081" s="1" t="s">
        <v>5</v>
      </c>
    </row>
    <row r="4082" spans="1:3" x14ac:dyDescent="0.25">
      <c r="A4082" s="1" t="s">
        <v>8165</v>
      </c>
      <c r="B4082" s="1" t="s">
        <v>8166</v>
      </c>
      <c r="C4082" s="1" t="s">
        <v>5</v>
      </c>
    </row>
    <row r="4083" spans="1:3" x14ac:dyDescent="0.25">
      <c r="A4083" s="1" t="s">
        <v>8167</v>
      </c>
      <c r="B4083" s="1" t="s">
        <v>8168</v>
      </c>
      <c r="C4083" s="1" t="s">
        <v>5</v>
      </c>
    </row>
    <row r="4084" spans="1:3" x14ac:dyDescent="0.25">
      <c r="A4084" s="1" t="s">
        <v>8169</v>
      </c>
      <c r="B4084" s="1" t="s">
        <v>8170</v>
      </c>
      <c r="C4084" s="1" t="s">
        <v>5</v>
      </c>
    </row>
    <row r="4085" spans="1:3" x14ac:dyDescent="0.25">
      <c r="A4085" s="1" t="s">
        <v>8171</v>
      </c>
      <c r="B4085" s="1" t="s">
        <v>8172</v>
      </c>
      <c r="C4085" s="1" t="s">
        <v>5</v>
      </c>
    </row>
    <row r="4086" spans="1:3" x14ac:dyDescent="0.25">
      <c r="A4086" s="1" t="s">
        <v>8173</v>
      </c>
      <c r="B4086" s="1" t="s">
        <v>8174</v>
      </c>
      <c r="C4086" s="1" t="s">
        <v>5</v>
      </c>
    </row>
    <row r="4087" spans="1:3" x14ac:dyDescent="0.25">
      <c r="A4087" s="1" t="s">
        <v>8175</v>
      </c>
      <c r="B4087" s="1" t="s">
        <v>8176</v>
      </c>
      <c r="C4087" s="1" t="s">
        <v>5</v>
      </c>
    </row>
    <row r="4088" spans="1:3" x14ac:dyDescent="0.25">
      <c r="A4088" s="1" t="s">
        <v>8177</v>
      </c>
      <c r="B4088" s="1" t="s">
        <v>8178</v>
      </c>
      <c r="C4088" s="1" t="s">
        <v>5</v>
      </c>
    </row>
    <row r="4089" spans="1:3" x14ac:dyDescent="0.25">
      <c r="A4089" s="1" t="s">
        <v>8179</v>
      </c>
      <c r="B4089" s="1" t="s">
        <v>8180</v>
      </c>
      <c r="C4089" s="1" t="s">
        <v>5</v>
      </c>
    </row>
    <row r="4090" spans="1:3" x14ac:dyDescent="0.25">
      <c r="A4090" s="1" t="s">
        <v>8181</v>
      </c>
      <c r="B4090" s="1" t="s">
        <v>8182</v>
      </c>
      <c r="C4090" s="1" t="s">
        <v>5</v>
      </c>
    </row>
    <row r="4091" spans="1:3" x14ac:dyDescent="0.25">
      <c r="A4091" s="1" t="s">
        <v>8183</v>
      </c>
      <c r="B4091" s="1" t="s">
        <v>8184</v>
      </c>
      <c r="C4091" s="1" t="s">
        <v>5</v>
      </c>
    </row>
    <row r="4092" spans="1:3" x14ac:dyDescent="0.25">
      <c r="A4092" s="1" t="s">
        <v>8185</v>
      </c>
      <c r="B4092" s="1" t="s">
        <v>8186</v>
      </c>
      <c r="C4092" s="1" t="s">
        <v>5</v>
      </c>
    </row>
    <row r="4093" spans="1:3" x14ac:dyDescent="0.25">
      <c r="A4093" s="1" t="s">
        <v>8187</v>
      </c>
      <c r="B4093" s="1" t="s">
        <v>8188</v>
      </c>
      <c r="C4093" s="1" t="s">
        <v>5</v>
      </c>
    </row>
    <row r="4094" spans="1:3" x14ac:dyDescent="0.25">
      <c r="A4094" s="1" t="s">
        <v>8189</v>
      </c>
      <c r="B4094" s="1" t="s">
        <v>8190</v>
      </c>
      <c r="C4094" s="1" t="s">
        <v>5</v>
      </c>
    </row>
    <row r="4095" spans="1:3" x14ac:dyDescent="0.25">
      <c r="A4095" s="1" t="s">
        <v>8191</v>
      </c>
      <c r="B4095" s="1" t="s">
        <v>8192</v>
      </c>
      <c r="C4095" s="1" t="s">
        <v>5</v>
      </c>
    </row>
    <row r="4096" spans="1:3" x14ac:dyDescent="0.25">
      <c r="A4096" s="1" t="s">
        <v>8193</v>
      </c>
      <c r="B4096" s="1" t="s">
        <v>8194</v>
      </c>
      <c r="C4096" s="1" t="s">
        <v>5</v>
      </c>
    </row>
    <row r="4097" spans="1:3" x14ac:dyDescent="0.25">
      <c r="A4097" s="1" t="s">
        <v>8195</v>
      </c>
      <c r="B4097" s="1" t="s">
        <v>8196</v>
      </c>
      <c r="C4097" s="1" t="s">
        <v>5</v>
      </c>
    </row>
    <row r="4098" spans="1:3" x14ac:dyDescent="0.25">
      <c r="A4098" s="1" t="s">
        <v>8197</v>
      </c>
      <c r="B4098" s="1" t="s">
        <v>8198</v>
      </c>
      <c r="C4098" s="1" t="s">
        <v>5</v>
      </c>
    </row>
    <row r="4099" spans="1:3" x14ac:dyDescent="0.25">
      <c r="A4099" s="1" t="s">
        <v>8199</v>
      </c>
      <c r="B4099" s="1" t="s">
        <v>8200</v>
      </c>
      <c r="C4099" s="1" t="s">
        <v>5</v>
      </c>
    </row>
    <row r="4100" spans="1:3" x14ac:dyDescent="0.25">
      <c r="A4100" s="1" t="s">
        <v>8201</v>
      </c>
      <c r="B4100" s="1" t="s">
        <v>8202</v>
      </c>
      <c r="C4100" s="1" t="s">
        <v>5</v>
      </c>
    </row>
    <row r="4101" spans="1:3" x14ac:dyDescent="0.25">
      <c r="A4101" s="1" t="s">
        <v>8203</v>
      </c>
      <c r="B4101" s="1" t="s">
        <v>8204</v>
      </c>
      <c r="C4101" s="1" t="s">
        <v>5</v>
      </c>
    </row>
    <row r="4102" spans="1:3" x14ac:dyDescent="0.25">
      <c r="A4102" s="1" t="s">
        <v>8205</v>
      </c>
      <c r="B4102" s="1" t="s">
        <v>8206</v>
      </c>
      <c r="C4102" s="1" t="s">
        <v>5</v>
      </c>
    </row>
    <row r="4103" spans="1:3" x14ac:dyDescent="0.25">
      <c r="A4103" s="1" t="s">
        <v>8207</v>
      </c>
      <c r="B4103" s="1" t="s">
        <v>8208</v>
      </c>
      <c r="C4103" s="1" t="s">
        <v>5</v>
      </c>
    </row>
    <row r="4104" spans="1:3" x14ac:dyDescent="0.25">
      <c r="A4104" s="1" t="s">
        <v>8209</v>
      </c>
      <c r="B4104" s="1" t="s">
        <v>8210</v>
      </c>
      <c r="C4104" s="1" t="s">
        <v>5</v>
      </c>
    </row>
    <row r="4105" spans="1:3" x14ac:dyDescent="0.25">
      <c r="A4105" s="1" t="s">
        <v>8211</v>
      </c>
      <c r="B4105" s="1" t="s">
        <v>8212</v>
      </c>
      <c r="C4105" s="1" t="s">
        <v>5</v>
      </c>
    </row>
    <row r="4106" spans="1:3" x14ac:dyDescent="0.25">
      <c r="A4106" s="1" t="s">
        <v>8213</v>
      </c>
      <c r="B4106" s="1" t="s">
        <v>8214</v>
      </c>
      <c r="C4106" s="1" t="s">
        <v>5</v>
      </c>
    </row>
    <row r="4107" spans="1:3" x14ac:dyDescent="0.25">
      <c r="A4107" s="1" t="s">
        <v>8215</v>
      </c>
      <c r="B4107" s="1" t="s">
        <v>8216</v>
      </c>
      <c r="C4107" s="1" t="s">
        <v>5</v>
      </c>
    </row>
    <row r="4108" spans="1:3" x14ac:dyDescent="0.25">
      <c r="A4108" s="1" t="s">
        <v>8217</v>
      </c>
      <c r="B4108" s="1" t="s">
        <v>8218</v>
      </c>
      <c r="C4108" s="1" t="s">
        <v>5</v>
      </c>
    </row>
    <row r="4109" spans="1:3" x14ac:dyDescent="0.25">
      <c r="A4109" s="1" t="s">
        <v>8219</v>
      </c>
      <c r="B4109" s="1" t="s">
        <v>8220</v>
      </c>
      <c r="C4109" s="1" t="s">
        <v>5</v>
      </c>
    </row>
    <row r="4110" spans="1:3" x14ac:dyDescent="0.25">
      <c r="A4110" s="1" t="s">
        <v>8221</v>
      </c>
      <c r="B4110" s="1" t="s">
        <v>8222</v>
      </c>
      <c r="C4110" s="1" t="s">
        <v>5</v>
      </c>
    </row>
    <row r="4111" spans="1:3" x14ac:dyDescent="0.25">
      <c r="A4111" s="1" t="s">
        <v>8223</v>
      </c>
      <c r="B4111" s="1" t="s">
        <v>8224</v>
      </c>
      <c r="C4111" s="1" t="s">
        <v>5</v>
      </c>
    </row>
    <row r="4112" spans="1:3" x14ac:dyDescent="0.25">
      <c r="A4112" s="1" t="s">
        <v>8225</v>
      </c>
      <c r="B4112" s="1" t="s">
        <v>8226</v>
      </c>
      <c r="C4112" s="1" t="s">
        <v>5</v>
      </c>
    </row>
    <row r="4113" spans="1:3" x14ac:dyDescent="0.25">
      <c r="A4113" s="1" t="s">
        <v>8227</v>
      </c>
      <c r="B4113" s="1" t="s">
        <v>8228</v>
      </c>
      <c r="C4113" s="1" t="s">
        <v>5</v>
      </c>
    </row>
    <row r="4114" spans="1:3" x14ac:dyDescent="0.25">
      <c r="A4114" s="1" t="s">
        <v>8229</v>
      </c>
      <c r="B4114" s="1" t="s">
        <v>8230</v>
      </c>
      <c r="C4114" s="1" t="s">
        <v>5</v>
      </c>
    </row>
    <row r="4115" spans="1:3" x14ac:dyDescent="0.25">
      <c r="A4115" s="1" t="s">
        <v>8231</v>
      </c>
      <c r="B4115" s="1" t="s">
        <v>8232</v>
      </c>
      <c r="C4115" s="1" t="s">
        <v>5</v>
      </c>
    </row>
    <row r="4116" spans="1:3" x14ac:dyDescent="0.25">
      <c r="A4116" s="1" t="s">
        <v>8233</v>
      </c>
      <c r="B4116" s="1" t="s">
        <v>8234</v>
      </c>
      <c r="C4116" s="1" t="s">
        <v>5</v>
      </c>
    </row>
    <row r="4117" spans="1:3" x14ac:dyDescent="0.25">
      <c r="A4117" s="1" t="s">
        <v>8235</v>
      </c>
      <c r="B4117" s="1" t="s">
        <v>8236</v>
      </c>
      <c r="C4117" s="1" t="s">
        <v>5</v>
      </c>
    </row>
    <row r="4118" spans="1:3" x14ac:dyDescent="0.25">
      <c r="A4118" s="1" t="s">
        <v>8237</v>
      </c>
      <c r="B4118" s="1" t="s">
        <v>8238</v>
      </c>
      <c r="C4118" s="1" t="s">
        <v>5</v>
      </c>
    </row>
    <row r="4119" spans="1:3" x14ac:dyDescent="0.25">
      <c r="A4119" s="1" t="s">
        <v>8239</v>
      </c>
      <c r="B4119" s="1" t="s">
        <v>8240</v>
      </c>
      <c r="C4119" s="1" t="s">
        <v>5</v>
      </c>
    </row>
    <row r="4120" spans="1:3" x14ac:dyDescent="0.25">
      <c r="A4120" s="1" t="s">
        <v>8241</v>
      </c>
      <c r="B4120" s="1" t="s">
        <v>8242</v>
      </c>
      <c r="C4120" s="1" t="s">
        <v>5</v>
      </c>
    </row>
    <row r="4121" spans="1:3" x14ac:dyDescent="0.25">
      <c r="A4121" s="1" t="s">
        <v>8243</v>
      </c>
      <c r="B4121" s="1" t="s">
        <v>8244</v>
      </c>
      <c r="C4121" s="1" t="s">
        <v>5</v>
      </c>
    </row>
    <row r="4122" spans="1:3" x14ac:dyDescent="0.25">
      <c r="A4122" s="1" t="s">
        <v>8245</v>
      </c>
      <c r="B4122" s="1" t="s">
        <v>8246</v>
      </c>
      <c r="C4122" s="1" t="s">
        <v>5</v>
      </c>
    </row>
    <row r="4123" spans="1:3" x14ac:dyDescent="0.25">
      <c r="A4123" s="1" t="s">
        <v>8247</v>
      </c>
      <c r="B4123" s="1" t="s">
        <v>8248</v>
      </c>
      <c r="C4123" s="1" t="s">
        <v>5</v>
      </c>
    </row>
    <row r="4124" spans="1:3" x14ac:dyDescent="0.25">
      <c r="A4124" s="1" t="s">
        <v>8249</v>
      </c>
      <c r="B4124" s="1" t="s">
        <v>8250</v>
      </c>
      <c r="C4124" s="1" t="s">
        <v>5</v>
      </c>
    </row>
    <row r="4125" spans="1:3" x14ac:dyDescent="0.25">
      <c r="A4125" s="1" t="s">
        <v>8251</v>
      </c>
      <c r="B4125" s="1" t="s">
        <v>8252</v>
      </c>
      <c r="C4125" s="1" t="s">
        <v>5</v>
      </c>
    </row>
    <row r="4126" spans="1:3" x14ac:dyDescent="0.25">
      <c r="A4126" s="1" t="s">
        <v>8253</v>
      </c>
      <c r="B4126" s="1" t="s">
        <v>8254</v>
      </c>
      <c r="C4126" s="1" t="s">
        <v>5</v>
      </c>
    </row>
    <row r="4127" spans="1:3" x14ac:dyDescent="0.25">
      <c r="A4127" s="1" t="s">
        <v>8255</v>
      </c>
      <c r="B4127" s="1" t="s">
        <v>8256</v>
      </c>
      <c r="C4127" s="1" t="s">
        <v>5</v>
      </c>
    </row>
    <row r="4128" spans="1:3" x14ac:dyDescent="0.25">
      <c r="A4128" s="1" t="s">
        <v>8257</v>
      </c>
      <c r="B4128" s="1" t="s">
        <v>8258</v>
      </c>
      <c r="C4128" s="1" t="s">
        <v>5</v>
      </c>
    </row>
    <row r="4129" spans="1:3" x14ac:dyDescent="0.25">
      <c r="A4129" s="1" t="s">
        <v>8259</v>
      </c>
      <c r="B4129" s="1" t="s">
        <v>8260</v>
      </c>
      <c r="C4129" s="1" t="s">
        <v>5</v>
      </c>
    </row>
    <row r="4130" spans="1:3" x14ac:dyDescent="0.25">
      <c r="A4130" s="1" t="s">
        <v>8261</v>
      </c>
      <c r="B4130" s="1" t="s">
        <v>8262</v>
      </c>
      <c r="C4130" s="1" t="s">
        <v>5</v>
      </c>
    </row>
    <row r="4131" spans="1:3" x14ac:dyDescent="0.25">
      <c r="A4131" s="1" t="s">
        <v>8263</v>
      </c>
      <c r="B4131" s="1" t="s">
        <v>8264</v>
      </c>
      <c r="C4131" s="1" t="s">
        <v>5</v>
      </c>
    </row>
    <row r="4132" spans="1:3" x14ac:dyDescent="0.25">
      <c r="A4132" s="1" t="s">
        <v>8265</v>
      </c>
      <c r="B4132" s="1" t="s">
        <v>8266</v>
      </c>
      <c r="C4132" s="1" t="s">
        <v>5</v>
      </c>
    </row>
    <row r="4133" spans="1:3" x14ac:dyDescent="0.25">
      <c r="A4133" s="1" t="s">
        <v>8267</v>
      </c>
      <c r="B4133" s="1" t="s">
        <v>8268</v>
      </c>
      <c r="C4133" s="1" t="s">
        <v>5</v>
      </c>
    </row>
    <row r="4134" spans="1:3" x14ac:dyDescent="0.25">
      <c r="A4134" s="1" t="s">
        <v>8269</v>
      </c>
      <c r="B4134" s="1" t="s">
        <v>8270</v>
      </c>
      <c r="C4134" s="1" t="s">
        <v>5</v>
      </c>
    </row>
    <row r="4135" spans="1:3" x14ac:dyDescent="0.25">
      <c r="A4135" s="1" t="s">
        <v>8271</v>
      </c>
      <c r="B4135" s="1" t="s">
        <v>8272</v>
      </c>
      <c r="C4135" s="1" t="s">
        <v>5</v>
      </c>
    </row>
    <row r="4136" spans="1:3" x14ac:dyDescent="0.25">
      <c r="A4136" s="1" t="s">
        <v>8273</v>
      </c>
      <c r="B4136" s="1" t="s">
        <v>8274</v>
      </c>
      <c r="C4136" s="1" t="s">
        <v>5</v>
      </c>
    </row>
    <row r="4137" spans="1:3" x14ac:dyDescent="0.25">
      <c r="A4137" s="1" t="s">
        <v>8275</v>
      </c>
      <c r="B4137" s="1" t="s">
        <v>8276</v>
      </c>
      <c r="C4137" s="1" t="s">
        <v>5</v>
      </c>
    </row>
    <row r="4138" spans="1:3" x14ac:dyDescent="0.25">
      <c r="A4138" s="1" t="s">
        <v>8277</v>
      </c>
      <c r="B4138" s="1" t="s">
        <v>8278</v>
      </c>
      <c r="C4138" s="1" t="s">
        <v>5</v>
      </c>
    </row>
    <row r="4139" spans="1:3" x14ac:dyDescent="0.25">
      <c r="A4139" s="1" t="s">
        <v>8279</v>
      </c>
      <c r="B4139" s="1" t="s">
        <v>8280</v>
      </c>
      <c r="C4139" s="1" t="s">
        <v>5</v>
      </c>
    </row>
    <row r="4140" spans="1:3" x14ac:dyDescent="0.25">
      <c r="A4140" s="1" t="s">
        <v>8281</v>
      </c>
      <c r="B4140" s="1" t="s">
        <v>8282</v>
      </c>
      <c r="C4140" s="1" t="s">
        <v>5</v>
      </c>
    </row>
    <row r="4141" spans="1:3" x14ac:dyDescent="0.25">
      <c r="A4141" s="1" t="s">
        <v>8283</v>
      </c>
      <c r="B4141" s="1" t="s">
        <v>8284</v>
      </c>
      <c r="C4141" s="1" t="s">
        <v>5</v>
      </c>
    </row>
    <row r="4142" spans="1:3" x14ac:dyDescent="0.25">
      <c r="A4142" s="1" t="s">
        <v>8285</v>
      </c>
      <c r="B4142" s="1" t="s">
        <v>8286</v>
      </c>
      <c r="C4142" s="1" t="s">
        <v>5</v>
      </c>
    </row>
    <row r="4143" spans="1:3" x14ac:dyDescent="0.25">
      <c r="A4143" s="1" t="s">
        <v>8287</v>
      </c>
      <c r="B4143" s="1" t="s">
        <v>8288</v>
      </c>
      <c r="C4143" s="1" t="s">
        <v>5</v>
      </c>
    </row>
    <row r="4144" spans="1:3" x14ac:dyDescent="0.25">
      <c r="A4144" s="1" t="s">
        <v>8289</v>
      </c>
      <c r="B4144" s="1" t="s">
        <v>8290</v>
      </c>
      <c r="C4144" s="1" t="s">
        <v>5</v>
      </c>
    </row>
    <row r="4145" spans="1:3" x14ac:dyDescent="0.25">
      <c r="A4145" s="1" t="s">
        <v>8291</v>
      </c>
      <c r="B4145" s="1" t="s">
        <v>8292</v>
      </c>
      <c r="C4145" s="1" t="s">
        <v>5</v>
      </c>
    </row>
    <row r="4146" spans="1:3" x14ac:dyDescent="0.25">
      <c r="A4146" s="1" t="s">
        <v>8293</v>
      </c>
      <c r="B4146" s="1" t="s">
        <v>8294</v>
      </c>
      <c r="C4146" s="1" t="s">
        <v>448</v>
      </c>
    </row>
    <row r="4147" spans="1:3" x14ac:dyDescent="0.25">
      <c r="A4147" s="1" t="s">
        <v>8295</v>
      </c>
      <c r="B4147" s="1" t="s">
        <v>8296</v>
      </c>
      <c r="C4147" s="1" t="s">
        <v>5</v>
      </c>
    </row>
    <row r="4148" spans="1:3" x14ac:dyDescent="0.25">
      <c r="A4148" s="1" t="s">
        <v>8297</v>
      </c>
      <c r="B4148" s="1" t="s">
        <v>8298</v>
      </c>
      <c r="C4148" s="1" t="s">
        <v>5</v>
      </c>
    </row>
    <row r="4149" spans="1:3" x14ac:dyDescent="0.25">
      <c r="A4149" s="1" t="s">
        <v>8299</v>
      </c>
      <c r="B4149" s="1" t="s">
        <v>8300</v>
      </c>
      <c r="C4149" s="1" t="s">
        <v>5</v>
      </c>
    </row>
    <row r="4150" spans="1:3" x14ac:dyDescent="0.25">
      <c r="A4150" s="1" t="s">
        <v>8301</v>
      </c>
      <c r="B4150" s="1" t="s">
        <v>8302</v>
      </c>
      <c r="C4150" s="1" t="s">
        <v>5</v>
      </c>
    </row>
    <row r="4151" spans="1:3" x14ac:dyDescent="0.25">
      <c r="A4151" s="1" t="s">
        <v>8303</v>
      </c>
      <c r="B4151" s="1" t="s">
        <v>8304</v>
      </c>
      <c r="C4151" s="1" t="s">
        <v>5</v>
      </c>
    </row>
    <row r="4152" spans="1:3" x14ac:dyDescent="0.25">
      <c r="A4152" s="1" t="s">
        <v>8305</v>
      </c>
      <c r="B4152" s="1" t="s">
        <v>8306</v>
      </c>
      <c r="C4152" s="1" t="s">
        <v>5</v>
      </c>
    </row>
    <row r="4153" spans="1:3" x14ac:dyDescent="0.25">
      <c r="A4153" s="1" t="s">
        <v>8307</v>
      </c>
      <c r="B4153" s="1" t="s">
        <v>8308</v>
      </c>
      <c r="C4153" s="1" t="s">
        <v>5</v>
      </c>
    </row>
    <row r="4154" spans="1:3" x14ac:dyDescent="0.25">
      <c r="A4154" s="1" t="s">
        <v>8309</v>
      </c>
      <c r="B4154" s="1" t="s">
        <v>8310</v>
      </c>
      <c r="C4154" s="1" t="s">
        <v>5</v>
      </c>
    </row>
    <row r="4155" spans="1:3" x14ac:dyDescent="0.25">
      <c r="A4155" s="1" t="s">
        <v>8311</v>
      </c>
      <c r="B4155" s="1" t="s">
        <v>8312</v>
      </c>
      <c r="C4155" s="1" t="s">
        <v>5</v>
      </c>
    </row>
    <row r="4156" spans="1:3" x14ac:dyDescent="0.25">
      <c r="A4156" s="1" t="s">
        <v>8313</v>
      </c>
      <c r="B4156" s="1" t="s">
        <v>8314</v>
      </c>
      <c r="C4156" s="1" t="s">
        <v>5</v>
      </c>
    </row>
    <row r="4157" spans="1:3" x14ac:dyDescent="0.25">
      <c r="A4157" s="1" t="s">
        <v>8315</v>
      </c>
      <c r="B4157" s="1" t="s">
        <v>8316</v>
      </c>
      <c r="C4157" s="1" t="s">
        <v>5</v>
      </c>
    </row>
    <row r="4158" spans="1:3" x14ac:dyDescent="0.25">
      <c r="A4158" s="1" t="s">
        <v>8317</v>
      </c>
      <c r="B4158" s="1" t="s">
        <v>8318</v>
      </c>
      <c r="C4158" s="1" t="s">
        <v>5</v>
      </c>
    </row>
    <row r="4159" spans="1:3" x14ac:dyDescent="0.25">
      <c r="A4159" s="1" t="s">
        <v>8319</v>
      </c>
      <c r="B4159" s="1" t="s">
        <v>8320</v>
      </c>
      <c r="C4159" s="1" t="s">
        <v>5</v>
      </c>
    </row>
    <row r="4160" spans="1:3" x14ac:dyDescent="0.25">
      <c r="A4160" s="1" t="s">
        <v>8321</v>
      </c>
      <c r="B4160" s="1" t="s">
        <v>8322</v>
      </c>
      <c r="C4160" s="1" t="s">
        <v>5</v>
      </c>
    </row>
    <row r="4161" spans="1:3" x14ac:dyDescent="0.25">
      <c r="A4161" s="1" t="s">
        <v>8323</v>
      </c>
      <c r="B4161" s="1" t="s">
        <v>8324</v>
      </c>
      <c r="C4161" s="1" t="s">
        <v>5</v>
      </c>
    </row>
    <row r="4162" spans="1:3" x14ac:dyDescent="0.25">
      <c r="A4162" s="1" t="s">
        <v>8325</v>
      </c>
      <c r="B4162" s="1" t="s">
        <v>8326</v>
      </c>
      <c r="C4162" s="1" t="s">
        <v>5</v>
      </c>
    </row>
    <row r="4163" spans="1:3" x14ac:dyDescent="0.25">
      <c r="A4163" s="1" t="s">
        <v>8327</v>
      </c>
      <c r="B4163" s="1" t="s">
        <v>8328</v>
      </c>
      <c r="C4163" s="1" t="s">
        <v>5</v>
      </c>
    </row>
    <row r="4164" spans="1:3" x14ac:dyDescent="0.25">
      <c r="A4164" s="1" t="s">
        <v>8329</v>
      </c>
      <c r="B4164" s="1" t="s">
        <v>8330</v>
      </c>
      <c r="C4164" s="1" t="s">
        <v>5</v>
      </c>
    </row>
    <row r="4165" spans="1:3" x14ac:dyDescent="0.25">
      <c r="A4165" s="1" t="s">
        <v>8331</v>
      </c>
      <c r="B4165" s="1" t="s">
        <v>8332</v>
      </c>
      <c r="C4165" s="1" t="s">
        <v>5</v>
      </c>
    </row>
    <row r="4166" spans="1:3" x14ac:dyDescent="0.25">
      <c r="A4166" s="1" t="s">
        <v>8333</v>
      </c>
      <c r="B4166" s="1" t="s">
        <v>8334</v>
      </c>
      <c r="C4166" s="1" t="s">
        <v>5</v>
      </c>
    </row>
    <row r="4167" spans="1:3" x14ac:dyDescent="0.25">
      <c r="A4167" s="1" t="s">
        <v>8335</v>
      </c>
      <c r="B4167" s="1" t="s">
        <v>8336</v>
      </c>
      <c r="C4167" s="1" t="s">
        <v>5</v>
      </c>
    </row>
    <row r="4168" spans="1:3" x14ac:dyDescent="0.25">
      <c r="A4168" s="1" t="s">
        <v>8337</v>
      </c>
      <c r="B4168" s="1" t="s">
        <v>8338</v>
      </c>
      <c r="C4168" s="1" t="s">
        <v>5</v>
      </c>
    </row>
    <row r="4169" spans="1:3" x14ac:dyDescent="0.25">
      <c r="A4169" s="1" t="s">
        <v>8339</v>
      </c>
      <c r="B4169" s="1" t="s">
        <v>8340</v>
      </c>
      <c r="C4169" s="1" t="s">
        <v>5</v>
      </c>
    </row>
    <row r="4170" spans="1:3" x14ac:dyDescent="0.25">
      <c r="A4170" s="1" t="s">
        <v>8341</v>
      </c>
      <c r="B4170" s="1" t="s">
        <v>8342</v>
      </c>
      <c r="C4170" s="1" t="s">
        <v>5</v>
      </c>
    </row>
    <row r="4171" spans="1:3" x14ac:dyDescent="0.25">
      <c r="A4171" s="1" t="s">
        <v>8343</v>
      </c>
      <c r="B4171" s="1" t="s">
        <v>8344</v>
      </c>
      <c r="C4171" s="1" t="s">
        <v>5</v>
      </c>
    </row>
    <row r="4172" spans="1:3" x14ac:dyDescent="0.25">
      <c r="A4172" s="1" t="s">
        <v>8345</v>
      </c>
      <c r="B4172" s="1" t="s">
        <v>8346</v>
      </c>
      <c r="C4172" s="1" t="s">
        <v>5</v>
      </c>
    </row>
    <row r="4173" spans="1:3" x14ac:dyDescent="0.25">
      <c r="A4173" s="1" t="s">
        <v>8347</v>
      </c>
      <c r="B4173" s="1" t="s">
        <v>8348</v>
      </c>
      <c r="C4173" s="1" t="s">
        <v>5</v>
      </c>
    </row>
    <row r="4174" spans="1:3" x14ac:dyDescent="0.25">
      <c r="A4174" s="1" t="s">
        <v>8349</v>
      </c>
      <c r="B4174" s="1" t="s">
        <v>8350</v>
      </c>
      <c r="C4174" s="1" t="s">
        <v>5</v>
      </c>
    </row>
    <row r="4175" spans="1:3" x14ac:dyDescent="0.25">
      <c r="A4175" s="1" t="s">
        <v>8351</v>
      </c>
      <c r="B4175" s="1" t="s">
        <v>8352</v>
      </c>
      <c r="C4175" s="1" t="s">
        <v>5</v>
      </c>
    </row>
    <row r="4176" spans="1:3" x14ac:dyDescent="0.25">
      <c r="A4176" s="1" t="s">
        <v>8353</v>
      </c>
      <c r="B4176" s="1" t="s">
        <v>8354</v>
      </c>
      <c r="C4176" s="1" t="s">
        <v>5</v>
      </c>
    </row>
    <row r="4177" spans="1:3" x14ac:dyDescent="0.25">
      <c r="A4177" s="1" t="s">
        <v>8355</v>
      </c>
      <c r="B4177" s="1" t="s">
        <v>8356</v>
      </c>
      <c r="C4177" s="1" t="s">
        <v>5</v>
      </c>
    </row>
    <row r="4178" spans="1:3" x14ac:dyDescent="0.25">
      <c r="A4178" s="1" t="s">
        <v>8357</v>
      </c>
      <c r="B4178" s="1" t="s">
        <v>8358</v>
      </c>
      <c r="C4178" s="1" t="s">
        <v>5</v>
      </c>
    </row>
    <row r="4179" spans="1:3" x14ac:dyDescent="0.25">
      <c r="A4179" s="1" t="s">
        <v>8359</v>
      </c>
      <c r="B4179" s="1" t="s">
        <v>8360</v>
      </c>
      <c r="C4179" s="1" t="s">
        <v>5</v>
      </c>
    </row>
    <row r="4180" spans="1:3" x14ac:dyDescent="0.25">
      <c r="A4180" s="1" t="s">
        <v>8361</v>
      </c>
      <c r="B4180" s="1" t="s">
        <v>8362</v>
      </c>
      <c r="C4180" s="1" t="s">
        <v>5</v>
      </c>
    </row>
    <row r="4181" spans="1:3" x14ac:dyDescent="0.25">
      <c r="A4181" s="1" t="s">
        <v>8363</v>
      </c>
      <c r="B4181" s="1" t="s">
        <v>8364</v>
      </c>
      <c r="C4181" s="1" t="s">
        <v>5</v>
      </c>
    </row>
    <row r="4182" spans="1:3" x14ac:dyDescent="0.25">
      <c r="A4182" s="1" t="s">
        <v>8365</v>
      </c>
      <c r="B4182" s="1" t="s">
        <v>8366</v>
      </c>
      <c r="C4182" s="1" t="s">
        <v>5</v>
      </c>
    </row>
    <row r="4183" spans="1:3" x14ac:dyDescent="0.25">
      <c r="A4183" s="1" t="s">
        <v>8367</v>
      </c>
      <c r="B4183" s="1" t="s">
        <v>8368</v>
      </c>
      <c r="C4183" s="1" t="s">
        <v>5</v>
      </c>
    </row>
    <row r="4184" spans="1:3" x14ac:dyDescent="0.25">
      <c r="A4184" s="1" t="s">
        <v>8369</v>
      </c>
      <c r="B4184" s="1" t="s">
        <v>8370</v>
      </c>
      <c r="C4184" s="1" t="s">
        <v>5</v>
      </c>
    </row>
    <row r="4185" spans="1:3" x14ac:dyDescent="0.25">
      <c r="A4185" s="1" t="s">
        <v>8371</v>
      </c>
      <c r="B4185" s="1" t="s">
        <v>8372</v>
      </c>
      <c r="C4185" s="1" t="s">
        <v>5</v>
      </c>
    </row>
    <row r="4186" spans="1:3" x14ac:dyDescent="0.25">
      <c r="A4186" s="1" t="s">
        <v>8373</v>
      </c>
      <c r="B4186" s="1" t="s">
        <v>8374</v>
      </c>
      <c r="C4186" s="1" t="s">
        <v>5</v>
      </c>
    </row>
    <row r="4187" spans="1:3" x14ac:dyDescent="0.25">
      <c r="A4187" s="1" t="s">
        <v>8375</v>
      </c>
      <c r="B4187" s="1" t="s">
        <v>8376</v>
      </c>
      <c r="C4187" s="1" t="s">
        <v>5</v>
      </c>
    </row>
    <row r="4188" spans="1:3" x14ac:dyDescent="0.25">
      <c r="A4188" s="1" t="s">
        <v>8377</v>
      </c>
      <c r="B4188" s="1" t="s">
        <v>8378</v>
      </c>
      <c r="C4188" s="1" t="s">
        <v>5</v>
      </c>
    </row>
    <row r="4189" spans="1:3" x14ac:dyDescent="0.25">
      <c r="A4189" s="1" t="s">
        <v>8379</v>
      </c>
      <c r="B4189" s="1" t="s">
        <v>8380</v>
      </c>
      <c r="C4189" s="1" t="s">
        <v>5</v>
      </c>
    </row>
    <row r="4190" spans="1:3" x14ac:dyDescent="0.25">
      <c r="A4190" s="1" t="s">
        <v>8381</v>
      </c>
      <c r="B4190" s="1" t="s">
        <v>8382</v>
      </c>
      <c r="C4190" s="1" t="s">
        <v>5</v>
      </c>
    </row>
    <row r="4191" spans="1:3" x14ac:dyDescent="0.25">
      <c r="A4191" s="1" t="s">
        <v>8383</v>
      </c>
      <c r="B4191" s="1" t="s">
        <v>8384</v>
      </c>
      <c r="C4191" s="1" t="s">
        <v>5</v>
      </c>
    </row>
    <row r="4192" spans="1:3" x14ac:dyDescent="0.25">
      <c r="A4192" s="1" t="s">
        <v>8385</v>
      </c>
      <c r="B4192" s="1" t="s">
        <v>8386</v>
      </c>
      <c r="C4192" s="1" t="s">
        <v>5</v>
      </c>
    </row>
    <row r="4193" spans="1:3" x14ac:dyDescent="0.25">
      <c r="A4193" s="1" t="s">
        <v>8387</v>
      </c>
      <c r="B4193" s="1" t="s">
        <v>8388</v>
      </c>
      <c r="C4193" s="1" t="s">
        <v>5</v>
      </c>
    </row>
    <row r="4194" spans="1:3" x14ac:dyDescent="0.25">
      <c r="A4194" s="1" t="s">
        <v>8389</v>
      </c>
      <c r="B4194" s="1" t="s">
        <v>8390</v>
      </c>
      <c r="C4194" s="1" t="s">
        <v>5</v>
      </c>
    </row>
    <row r="4195" spans="1:3" x14ac:dyDescent="0.25">
      <c r="A4195" s="1" t="s">
        <v>8391</v>
      </c>
      <c r="B4195" s="1" t="s">
        <v>8392</v>
      </c>
      <c r="C4195" s="1" t="s">
        <v>5</v>
      </c>
    </row>
    <row r="4196" spans="1:3" x14ac:dyDescent="0.25">
      <c r="A4196" s="1" t="s">
        <v>8393</v>
      </c>
      <c r="B4196" s="1" t="s">
        <v>8394</v>
      </c>
      <c r="C4196" s="1" t="s">
        <v>5</v>
      </c>
    </row>
    <row r="4197" spans="1:3" x14ac:dyDescent="0.25">
      <c r="A4197" s="1" t="s">
        <v>8395</v>
      </c>
      <c r="B4197" s="1" t="s">
        <v>8396</v>
      </c>
      <c r="C4197" s="1" t="s">
        <v>5</v>
      </c>
    </row>
    <row r="4198" spans="1:3" x14ac:dyDescent="0.25">
      <c r="A4198" s="1" t="s">
        <v>8397</v>
      </c>
      <c r="B4198" s="1" t="s">
        <v>8398</v>
      </c>
      <c r="C4198" s="1" t="s">
        <v>5</v>
      </c>
    </row>
    <row r="4199" spans="1:3" x14ac:dyDescent="0.25">
      <c r="A4199" s="1" t="s">
        <v>8399</v>
      </c>
      <c r="B4199" s="1" t="s">
        <v>8400</v>
      </c>
      <c r="C4199" s="1" t="s">
        <v>5</v>
      </c>
    </row>
    <row r="4200" spans="1:3" x14ac:dyDescent="0.25">
      <c r="A4200" s="1" t="s">
        <v>8401</v>
      </c>
      <c r="B4200" s="1" t="s">
        <v>8402</v>
      </c>
      <c r="C4200" s="1" t="s">
        <v>5</v>
      </c>
    </row>
    <row r="4201" spans="1:3" x14ac:dyDescent="0.25">
      <c r="A4201" s="1" t="s">
        <v>8403</v>
      </c>
      <c r="B4201" s="1" t="s">
        <v>8404</v>
      </c>
      <c r="C4201" s="1" t="s">
        <v>5</v>
      </c>
    </row>
    <row r="4202" spans="1:3" x14ac:dyDescent="0.25">
      <c r="A4202" s="1" t="s">
        <v>8405</v>
      </c>
      <c r="B4202" s="1" t="s">
        <v>8406</v>
      </c>
      <c r="C4202" s="1" t="s">
        <v>5</v>
      </c>
    </row>
    <row r="4203" spans="1:3" x14ac:dyDescent="0.25">
      <c r="A4203" s="1" t="s">
        <v>8407</v>
      </c>
      <c r="B4203" s="1" t="s">
        <v>8408</v>
      </c>
      <c r="C4203" s="1" t="s">
        <v>5</v>
      </c>
    </row>
    <row r="4204" spans="1:3" x14ac:dyDescent="0.25">
      <c r="A4204" s="1" t="s">
        <v>8409</v>
      </c>
      <c r="B4204" s="1" t="s">
        <v>8410</v>
      </c>
      <c r="C4204" s="1" t="s">
        <v>5</v>
      </c>
    </row>
    <row r="4205" spans="1:3" x14ac:dyDescent="0.25">
      <c r="A4205" s="1" t="s">
        <v>8411</v>
      </c>
      <c r="B4205" s="1" t="s">
        <v>8412</v>
      </c>
      <c r="C4205" s="1" t="s">
        <v>5</v>
      </c>
    </row>
    <row r="4206" spans="1:3" x14ac:dyDescent="0.25">
      <c r="A4206" s="1" t="s">
        <v>8413</v>
      </c>
      <c r="B4206" s="1" t="s">
        <v>8414</v>
      </c>
      <c r="C4206" s="1" t="s">
        <v>5</v>
      </c>
    </row>
    <row r="4207" spans="1:3" x14ac:dyDescent="0.25">
      <c r="A4207" s="1" t="s">
        <v>8415</v>
      </c>
      <c r="B4207" s="1" t="s">
        <v>8416</v>
      </c>
      <c r="C4207" s="1" t="s">
        <v>5</v>
      </c>
    </row>
    <row r="4208" spans="1:3" x14ac:dyDescent="0.25">
      <c r="A4208" s="1" t="s">
        <v>8417</v>
      </c>
      <c r="B4208" s="1" t="s">
        <v>8418</v>
      </c>
      <c r="C4208" s="1" t="s">
        <v>5</v>
      </c>
    </row>
    <row r="4209" spans="1:3" x14ac:dyDescent="0.25">
      <c r="A4209" s="1" t="s">
        <v>8419</v>
      </c>
      <c r="B4209" s="1" t="s">
        <v>8420</v>
      </c>
      <c r="C4209" s="1" t="s">
        <v>5</v>
      </c>
    </row>
    <row r="4210" spans="1:3" x14ac:dyDescent="0.25">
      <c r="A4210" s="1" t="s">
        <v>8421</v>
      </c>
      <c r="B4210" s="1" t="s">
        <v>8422</v>
      </c>
      <c r="C4210" s="1" t="s">
        <v>5</v>
      </c>
    </row>
    <row r="4211" spans="1:3" x14ac:dyDescent="0.25">
      <c r="A4211" s="1" t="s">
        <v>8423</v>
      </c>
      <c r="B4211" s="1" t="s">
        <v>8424</v>
      </c>
      <c r="C4211" s="1" t="s">
        <v>5</v>
      </c>
    </row>
    <row r="4212" spans="1:3" x14ac:dyDescent="0.25">
      <c r="A4212" s="1" t="s">
        <v>8425</v>
      </c>
      <c r="B4212" s="1" t="s">
        <v>8426</v>
      </c>
      <c r="C4212" s="1" t="s">
        <v>5</v>
      </c>
    </row>
    <row r="4213" spans="1:3" x14ac:dyDescent="0.25">
      <c r="A4213" s="1" t="s">
        <v>8427</v>
      </c>
      <c r="B4213" s="1" t="s">
        <v>8428</v>
      </c>
      <c r="C4213" s="1" t="s">
        <v>5</v>
      </c>
    </row>
    <row r="4214" spans="1:3" x14ac:dyDescent="0.25">
      <c r="A4214" s="1" t="s">
        <v>8429</v>
      </c>
      <c r="B4214" s="1" t="s">
        <v>8430</v>
      </c>
      <c r="C4214" s="1" t="s">
        <v>5</v>
      </c>
    </row>
    <row r="4215" spans="1:3" x14ac:dyDescent="0.25">
      <c r="A4215" s="1" t="s">
        <v>8431</v>
      </c>
      <c r="B4215" s="1" t="s">
        <v>8432</v>
      </c>
      <c r="C4215" s="1" t="s">
        <v>5</v>
      </c>
    </row>
    <row r="4216" spans="1:3" x14ac:dyDescent="0.25">
      <c r="A4216" s="1" t="s">
        <v>8433</v>
      </c>
      <c r="B4216" s="1" t="s">
        <v>8434</v>
      </c>
      <c r="C4216" s="1" t="s">
        <v>5</v>
      </c>
    </row>
    <row r="4217" spans="1:3" x14ac:dyDescent="0.25">
      <c r="A4217" s="1" t="s">
        <v>8435</v>
      </c>
      <c r="B4217" s="1" t="s">
        <v>8436</v>
      </c>
      <c r="C4217" s="1" t="s">
        <v>5</v>
      </c>
    </row>
    <row r="4218" spans="1:3" x14ac:dyDescent="0.25">
      <c r="A4218" s="1" t="s">
        <v>8437</v>
      </c>
      <c r="B4218" s="1" t="s">
        <v>8438</v>
      </c>
      <c r="C4218" s="1" t="s">
        <v>5</v>
      </c>
    </row>
    <row r="4219" spans="1:3" x14ac:dyDescent="0.25">
      <c r="A4219" s="1" t="s">
        <v>8439</v>
      </c>
      <c r="B4219" s="1" t="s">
        <v>8440</v>
      </c>
      <c r="C4219" s="1" t="s">
        <v>5</v>
      </c>
    </row>
    <row r="4220" spans="1:3" x14ac:dyDescent="0.25">
      <c r="A4220" s="1" t="s">
        <v>8441</v>
      </c>
      <c r="B4220" s="1" t="s">
        <v>8442</v>
      </c>
      <c r="C4220" s="1" t="s">
        <v>5</v>
      </c>
    </row>
    <row r="4221" spans="1:3" x14ac:dyDescent="0.25">
      <c r="A4221" s="1" t="s">
        <v>8443</v>
      </c>
      <c r="B4221" s="1" t="s">
        <v>8444</v>
      </c>
      <c r="C4221" s="1" t="s">
        <v>5</v>
      </c>
    </row>
    <row r="4222" spans="1:3" x14ac:dyDescent="0.25">
      <c r="A4222" s="1" t="s">
        <v>8445</v>
      </c>
      <c r="B4222" s="1" t="s">
        <v>8446</v>
      </c>
      <c r="C4222" s="1" t="s">
        <v>5</v>
      </c>
    </row>
    <row r="4223" spans="1:3" x14ac:dyDescent="0.25">
      <c r="A4223" s="1" t="s">
        <v>8447</v>
      </c>
      <c r="B4223" s="1" t="s">
        <v>8448</v>
      </c>
      <c r="C4223" s="1" t="s">
        <v>5</v>
      </c>
    </row>
    <row r="4224" spans="1:3" x14ac:dyDescent="0.25">
      <c r="A4224" s="1" t="s">
        <v>8449</v>
      </c>
      <c r="B4224" s="1" t="s">
        <v>8450</v>
      </c>
      <c r="C4224" s="1" t="s">
        <v>5</v>
      </c>
    </row>
    <row r="4225" spans="1:3" x14ac:dyDescent="0.25">
      <c r="A4225" s="1" t="s">
        <v>8451</v>
      </c>
      <c r="B4225" s="1" t="s">
        <v>8452</v>
      </c>
      <c r="C4225" s="1" t="s">
        <v>5</v>
      </c>
    </row>
    <row r="4226" spans="1:3" x14ac:dyDescent="0.25">
      <c r="A4226" s="1" t="s">
        <v>8453</v>
      </c>
      <c r="B4226" s="1" t="s">
        <v>8454</v>
      </c>
      <c r="C4226" s="1" t="s">
        <v>5</v>
      </c>
    </row>
    <row r="4227" spans="1:3" x14ac:dyDescent="0.25">
      <c r="A4227" s="1" t="s">
        <v>8455</v>
      </c>
      <c r="B4227" s="1" t="s">
        <v>8456</v>
      </c>
      <c r="C4227" s="1" t="s">
        <v>5</v>
      </c>
    </row>
    <row r="4228" spans="1:3" x14ac:dyDescent="0.25">
      <c r="A4228" s="1" t="s">
        <v>8457</v>
      </c>
      <c r="B4228" s="1" t="s">
        <v>8458</v>
      </c>
      <c r="C4228" s="1" t="s">
        <v>5</v>
      </c>
    </row>
    <row r="4229" spans="1:3" x14ac:dyDescent="0.25">
      <c r="A4229" s="1" t="s">
        <v>8459</v>
      </c>
      <c r="B4229" s="1" t="s">
        <v>8460</v>
      </c>
      <c r="C4229" s="1" t="s">
        <v>5</v>
      </c>
    </row>
    <row r="4230" spans="1:3" x14ac:dyDescent="0.25">
      <c r="A4230" s="1" t="s">
        <v>8461</v>
      </c>
      <c r="B4230" s="1" t="s">
        <v>8462</v>
      </c>
      <c r="C4230" s="1" t="s">
        <v>5</v>
      </c>
    </row>
    <row r="4231" spans="1:3" x14ac:dyDescent="0.25">
      <c r="A4231" s="1" t="s">
        <v>8463</v>
      </c>
      <c r="B4231" s="1" t="s">
        <v>8464</v>
      </c>
      <c r="C4231" s="1" t="s">
        <v>5</v>
      </c>
    </row>
    <row r="4232" spans="1:3" x14ac:dyDescent="0.25">
      <c r="A4232" s="1" t="s">
        <v>8465</v>
      </c>
      <c r="B4232" s="1" t="s">
        <v>8466</v>
      </c>
      <c r="C4232" s="1" t="s">
        <v>5</v>
      </c>
    </row>
    <row r="4233" spans="1:3" x14ac:dyDescent="0.25">
      <c r="A4233" s="1" t="s">
        <v>8467</v>
      </c>
      <c r="B4233" s="1" t="s">
        <v>8468</v>
      </c>
      <c r="C4233" s="1" t="s">
        <v>5</v>
      </c>
    </row>
    <row r="4234" spans="1:3" x14ac:dyDescent="0.25">
      <c r="A4234" s="1" t="s">
        <v>8469</v>
      </c>
      <c r="B4234" s="1" t="s">
        <v>8470</v>
      </c>
      <c r="C4234" s="1" t="s">
        <v>5</v>
      </c>
    </row>
    <row r="4235" spans="1:3" x14ac:dyDescent="0.25">
      <c r="A4235" s="1" t="s">
        <v>8471</v>
      </c>
      <c r="B4235" s="1" t="s">
        <v>8472</v>
      </c>
      <c r="C4235" s="1" t="s">
        <v>5</v>
      </c>
    </row>
    <row r="4236" spans="1:3" x14ac:dyDescent="0.25">
      <c r="A4236" s="1" t="s">
        <v>8473</v>
      </c>
      <c r="B4236" s="1" t="s">
        <v>8474</v>
      </c>
      <c r="C4236" s="1" t="s">
        <v>5</v>
      </c>
    </row>
    <row r="4237" spans="1:3" x14ac:dyDescent="0.25">
      <c r="A4237" s="1" t="s">
        <v>8475</v>
      </c>
      <c r="B4237" s="1" t="s">
        <v>8476</v>
      </c>
      <c r="C4237" s="1" t="s">
        <v>5</v>
      </c>
    </row>
    <row r="4238" spans="1:3" x14ac:dyDescent="0.25">
      <c r="A4238" s="1" t="s">
        <v>8477</v>
      </c>
      <c r="B4238" s="1" t="s">
        <v>8478</v>
      </c>
      <c r="C4238" s="1" t="s">
        <v>5</v>
      </c>
    </row>
    <row r="4239" spans="1:3" x14ac:dyDescent="0.25">
      <c r="A4239" s="1" t="s">
        <v>8479</v>
      </c>
      <c r="B4239" s="1" t="s">
        <v>8480</v>
      </c>
      <c r="C4239" s="1" t="s">
        <v>5</v>
      </c>
    </row>
    <row r="4240" spans="1:3" x14ac:dyDescent="0.25">
      <c r="A4240" s="1" t="s">
        <v>8481</v>
      </c>
      <c r="B4240" s="1" t="s">
        <v>8482</v>
      </c>
      <c r="C4240" s="1" t="s">
        <v>5</v>
      </c>
    </row>
    <row r="4241" spans="1:3" x14ac:dyDescent="0.25">
      <c r="A4241" s="1" t="s">
        <v>8483</v>
      </c>
      <c r="B4241" s="1" t="s">
        <v>8484</v>
      </c>
      <c r="C4241" s="1" t="s">
        <v>5</v>
      </c>
    </row>
    <row r="4242" spans="1:3" x14ac:dyDescent="0.25">
      <c r="A4242" s="1" t="s">
        <v>8485</v>
      </c>
      <c r="B4242" s="1" t="s">
        <v>8486</v>
      </c>
      <c r="C4242" s="1" t="s">
        <v>5</v>
      </c>
    </row>
    <row r="4243" spans="1:3" x14ac:dyDescent="0.25">
      <c r="A4243" s="1" t="s">
        <v>8487</v>
      </c>
      <c r="B4243" s="1" t="s">
        <v>8488</v>
      </c>
      <c r="C4243" s="1" t="s">
        <v>5</v>
      </c>
    </row>
    <row r="4244" spans="1:3" x14ac:dyDescent="0.25">
      <c r="A4244" s="1" t="s">
        <v>8489</v>
      </c>
      <c r="B4244" s="1" t="s">
        <v>8490</v>
      </c>
      <c r="C4244" s="1" t="s">
        <v>5</v>
      </c>
    </row>
    <row r="4245" spans="1:3" x14ac:dyDescent="0.25">
      <c r="A4245" s="1" t="s">
        <v>8491</v>
      </c>
      <c r="B4245" s="1" t="s">
        <v>8492</v>
      </c>
      <c r="C4245" s="1" t="s">
        <v>5</v>
      </c>
    </row>
    <row r="4246" spans="1:3" x14ac:dyDescent="0.25">
      <c r="A4246" s="1" t="s">
        <v>8493</v>
      </c>
      <c r="B4246" s="1" t="s">
        <v>8494</v>
      </c>
      <c r="C4246" s="1" t="s">
        <v>5</v>
      </c>
    </row>
    <row r="4247" spans="1:3" x14ac:dyDescent="0.25">
      <c r="A4247" s="1" t="s">
        <v>8495</v>
      </c>
      <c r="B4247" s="1" t="s">
        <v>8496</v>
      </c>
      <c r="C4247" s="1" t="s">
        <v>5</v>
      </c>
    </row>
    <row r="4248" spans="1:3" x14ac:dyDescent="0.25">
      <c r="A4248" s="1" t="s">
        <v>8497</v>
      </c>
      <c r="B4248" s="1" t="s">
        <v>8498</v>
      </c>
      <c r="C4248" s="1" t="s">
        <v>5</v>
      </c>
    </row>
    <row r="4249" spans="1:3" x14ac:dyDescent="0.25">
      <c r="A4249" s="1" t="s">
        <v>8499</v>
      </c>
      <c r="B4249" s="1" t="s">
        <v>8500</v>
      </c>
      <c r="C4249" s="1" t="s">
        <v>5</v>
      </c>
    </row>
    <row r="4250" spans="1:3" x14ac:dyDescent="0.25">
      <c r="A4250" s="1" t="s">
        <v>8501</v>
      </c>
      <c r="B4250" s="1" t="s">
        <v>8502</v>
      </c>
      <c r="C4250" s="1" t="s">
        <v>5</v>
      </c>
    </row>
    <row r="4251" spans="1:3" x14ac:dyDescent="0.25">
      <c r="A4251" s="1" t="s">
        <v>8503</v>
      </c>
      <c r="B4251" s="1" t="s">
        <v>8504</v>
      </c>
      <c r="C4251" s="1" t="s">
        <v>5</v>
      </c>
    </row>
    <row r="4252" spans="1:3" x14ac:dyDescent="0.25">
      <c r="A4252" s="1" t="s">
        <v>8505</v>
      </c>
      <c r="B4252" s="1" t="s">
        <v>8506</v>
      </c>
      <c r="C4252" s="1" t="s">
        <v>5</v>
      </c>
    </row>
    <row r="4253" spans="1:3" x14ac:dyDescent="0.25">
      <c r="A4253" s="1" t="s">
        <v>8507</v>
      </c>
      <c r="B4253" s="1" t="s">
        <v>8508</v>
      </c>
      <c r="C4253" s="1" t="s">
        <v>5</v>
      </c>
    </row>
    <row r="4254" spans="1:3" x14ac:dyDescent="0.25">
      <c r="A4254" s="1" t="s">
        <v>8509</v>
      </c>
      <c r="B4254" s="1" t="s">
        <v>8510</v>
      </c>
      <c r="C4254" s="1" t="s">
        <v>5</v>
      </c>
    </row>
    <row r="4255" spans="1:3" x14ac:dyDescent="0.25">
      <c r="A4255" s="1" t="s">
        <v>8511</v>
      </c>
      <c r="B4255" s="1" t="s">
        <v>8512</v>
      </c>
      <c r="C4255" s="1" t="s">
        <v>5</v>
      </c>
    </row>
    <row r="4256" spans="1:3" x14ac:dyDescent="0.25">
      <c r="A4256" s="1" t="s">
        <v>8513</v>
      </c>
      <c r="B4256" s="1" t="s">
        <v>8514</v>
      </c>
      <c r="C4256" s="1" t="s">
        <v>5</v>
      </c>
    </row>
    <row r="4257" spans="1:3" x14ac:dyDescent="0.25">
      <c r="A4257" s="1" t="s">
        <v>8515</v>
      </c>
      <c r="B4257" s="1" t="s">
        <v>8516</v>
      </c>
      <c r="C4257" s="1" t="s">
        <v>5</v>
      </c>
    </row>
    <row r="4258" spans="1:3" x14ac:dyDescent="0.25">
      <c r="A4258" s="1" t="s">
        <v>8517</v>
      </c>
      <c r="B4258" s="1" t="s">
        <v>8518</v>
      </c>
      <c r="C4258" s="1" t="s">
        <v>5</v>
      </c>
    </row>
    <row r="4259" spans="1:3" x14ac:dyDescent="0.25">
      <c r="A4259" s="1" t="s">
        <v>8519</v>
      </c>
      <c r="B4259" s="1" t="s">
        <v>8520</v>
      </c>
      <c r="C4259" s="1" t="s">
        <v>5</v>
      </c>
    </row>
    <row r="4260" spans="1:3" x14ac:dyDescent="0.25">
      <c r="A4260" s="1" t="s">
        <v>8521</v>
      </c>
      <c r="B4260" s="1" t="s">
        <v>8522</v>
      </c>
      <c r="C4260" s="1" t="s">
        <v>5</v>
      </c>
    </row>
    <row r="4261" spans="1:3" x14ac:dyDescent="0.25">
      <c r="A4261" s="1" t="s">
        <v>8523</v>
      </c>
      <c r="B4261" s="1" t="s">
        <v>8524</v>
      </c>
      <c r="C4261" s="1" t="s">
        <v>5</v>
      </c>
    </row>
    <row r="4262" spans="1:3" x14ac:dyDescent="0.25">
      <c r="A4262" s="1" t="s">
        <v>8525</v>
      </c>
      <c r="B4262" s="1" t="s">
        <v>8526</v>
      </c>
      <c r="C4262" s="1" t="s">
        <v>5</v>
      </c>
    </row>
    <row r="4263" spans="1:3" x14ac:dyDescent="0.25">
      <c r="A4263" s="1" t="s">
        <v>8527</v>
      </c>
      <c r="B4263" s="1" t="s">
        <v>8528</v>
      </c>
      <c r="C4263" s="1" t="s">
        <v>5</v>
      </c>
    </row>
    <row r="4264" spans="1:3" x14ac:dyDescent="0.25">
      <c r="A4264" s="1" t="s">
        <v>8529</v>
      </c>
      <c r="B4264" s="1" t="s">
        <v>8530</v>
      </c>
      <c r="C4264" s="1" t="s">
        <v>5</v>
      </c>
    </row>
    <row r="4265" spans="1:3" x14ac:dyDescent="0.25">
      <c r="A4265" s="1" t="s">
        <v>8531</v>
      </c>
      <c r="B4265" s="1" t="s">
        <v>8532</v>
      </c>
      <c r="C4265" s="1" t="s">
        <v>5</v>
      </c>
    </row>
    <row r="4266" spans="1:3" x14ac:dyDescent="0.25">
      <c r="A4266" s="1" t="s">
        <v>8533</v>
      </c>
      <c r="B4266" s="1" t="s">
        <v>8534</v>
      </c>
      <c r="C4266" s="1" t="s">
        <v>5</v>
      </c>
    </row>
    <row r="4267" spans="1:3" x14ac:dyDescent="0.25">
      <c r="A4267" s="1" t="s">
        <v>8535</v>
      </c>
      <c r="B4267" s="1" t="s">
        <v>8536</v>
      </c>
      <c r="C4267" s="1" t="s">
        <v>5</v>
      </c>
    </row>
    <row r="4268" spans="1:3" x14ac:dyDescent="0.25">
      <c r="A4268" s="1" t="s">
        <v>8537</v>
      </c>
      <c r="B4268" s="1" t="s">
        <v>8538</v>
      </c>
      <c r="C4268" s="1" t="s">
        <v>5</v>
      </c>
    </row>
    <row r="4269" spans="1:3" x14ac:dyDescent="0.25">
      <c r="A4269" s="1" t="s">
        <v>8539</v>
      </c>
      <c r="B4269" s="1" t="s">
        <v>8540</v>
      </c>
      <c r="C4269" s="1" t="s">
        <v>5</v>
      </c>
    </row>
    <row r="4270" spans="1:3" x14ac:dyDescent="0.25">
      <c r="A4270" s="1" t="s">
        <v>8541</v>
      </c>
      <c r="B4270" s="1" t="s">
        <v>8542</v>
      </c>
      <c r="C4270" s="1" t="s">
        <v>5</v>
      </c>
    </row>
    <row r="4271" spans="1:3" x14ac:dyDescent="0.25">
      <c r="A4271" s="1" t="s">
        <v>8543</v>
      </c>
      <c r="B4271" s="1" t="s">
        <v>8544</v>
      </c>
      <c r="C4271" s="1" t="s">
        <v>5</v>
      </c>
    </row>
    <row r="4272" spans="1:3" x14ac:dyDescent="0.25">
      <c r="A4272" s="1" t="s">
        <v>8545</v>
      </c>
      <c r="B4272" s="1" t="s">
        <v>8546</v>
      </c>
      <c r="C4272" s="1" t="s">
        <v>5</v>
      </c>
    </row>
    <row r="4273" spans="1:3" x14ac:dyDescent="0.25">
      <c r="A4273" s="1" t="s">
        <v>8547</v>
      </c>
      <c r="B4273" s="1" t="s">
        <v>8548</v>
      </c>
      <c r="C4273" s="1" t="s">
        <v>5</v>
      </c>
    </row>
    <row r="4274" spans="1:3" x14ac:dyDescent="0.25">
      <c r="A4274" s="1" t="s">
        <v>8549</v>
      </c>
      <c r="B4274" s="1" t="s">
        <v>8550</v>
      </c>
      <c r="C4274" s="1" t="s">
        <v>5</v>
      </c>
    </row>
    <row r="4275" spans="1:3" x14ac:dyDescent="0.25">
      <c r="A4275" s="1" t="s">
        <v>8551</v>
      </c>
      <c r="B4275" s="1" t="s">
        <v>8552</v>
      </c>
      <c r="C4275" s="1" t="s">
        <v>5</v>
      </c>
    </row>
    <row r="4276" spans="1:3" x14ac:dyDescent="0.25">
      <c r="A4276" s="1" t="s">
        <v>8553</v>
      </c>
      <c r="B4276" s="1" t="s">
        <v>8554</v>
      </c>
      <c r="C4276" s="1" t="s">
        <v>5</v>
      </c>
    </row>
    <row r="4277" spans="1:3" x14ac:dyDescent="0.25">
      <c r="A4277" s="1" t="s">
        <v>8555</v>
      </c>
      <c r="B4277" s="1" t="s">
        <v>8556</v>
      </c>
      <c r="C4277" s="1" t="s">
        <v>5</v>
      </c>
    </row>
    <row r="4278" spans="1:3" x14ac:dyDescent="0.25">
      <c r="A4278" s="1" t="s">
        <v>8557</v>
      </c>
      <c r="B4278" s="1" t="s">
        <v>8558</v>
      </c>
      <c r="C4278" s="1" t="s">
        <v>5</v>
      </c>
    </row>
    <row r="4279" spans="1:3" x14ac:dyDescent="0.25">
      <c r="A4279" s="1" t="s">
        <v>8559</v>
      </c>
      <c r="B4279" s="1" t="s">
        <v>8560</v>
      </c>
      <c r="C4279" s="1" t="s">
        <v>5</v>
      </c>
    </row>
    <row r="4280" spans="1:3" x14ac:dyDescent="0.25">
      <c r="A4280" s="1" t="s">
        <v>8561</v>
      </c>
      <c r="B4280" s="1" t="s">
        <v>8562</v>
      </c>
      <c r="C4280" s="1" t="s">
        <v>5</v>
      </c>
    </row>
    <row r="4281" spans="1:3" x14ac:dyDescent="0.25">
      <c r="A4281" s="1" t="s">
        <v>8563</v>
      </c>
      <c r="B4281" s="1" t="s">
        <v>8564</v>
      </c>
      <c r="C4281" s="1" t="s">
        <v>5</v>
      </c>
    </row>
    <row r="4282" spans="1:3" x14ac:dyDescent="0.25">
      <c r="A4282" s="1" t="s">
        <v>8565</v>
      </c>
      <c r="B4282" s="1" t="s">
        <v>8566</v>
      </c>
      <c r="C4282" s="1" t="s">
        <v>5</v>
      </c>
    </row>
    <row r="4283" spans="1:3" x14ac:dyDescent="0.25">
      <c r="A4283" s="1" t="s">
        <v>8567</v>
      </c>
      <c r="B4283" s="1" t="s">
        <v>8568</v>
      </c>
      <c r="C4283" s="1" t="s">
        <v>5</v>
      </c>
    </row>
    <row r="4284" spans="1:3" x14ac:dyDescent="0.25">
      <c r="A4284" s="1" t="s">
        <v>8569</v>
      </c>
      <c r="B4284" s="1" t="s">
        <v>8570</v>
      </c>
      <c r="C4284" s="1" t="s">
        <v>5</v>
      </c>
    </row>
    <row r="4285" spans="1:3" x14ac:dyDescent="0.25">
      <c r="A4285" s="1" t="s">
        <v>8571</v>
      </c>
      <c r="B4285" s="1" t="s">
        <v>8572</v>
      </c>
      <c r="C4285" s="1" t="s">
        <v>5</v>
      </c>
    </row>
    <row r="4286" spans="1:3" x14ac:dyDescent="0.25">
      <c r="A4286" s="1" t="s">
        <v>8573</v>
      </c>
      <c r="B4286" s="1" t="s">
        <v>8574</v>
      </c>
      <c r="C4286" s="1" t="s">
        <v>5</v>
      </c>
    </row>
    <row r="4287" spans="1:3" x14ac:dyDescent="0.25">
      <c r="A4287" s="1" t="s">
        <v>8575</v>
      </c>
      <c r="B4287" s="1" t="s">
        <v>8576</v>
      </c>
      <c r="C4287" s="1" t="s">
        <v>5</v>
      </c>
    </row>
    <row r="4288" spans="1:3" x14ac:dyDescent="0.25">
      <c r="A4288" s="1" t="s">
        <v>8577</v>
      </c>
      <c r="B4288" s="1" t="s">
        <v>8578</v>
      </c>
      <c r="C4288" s="1" t="s">
        <v>5</v>
      </c>
    </row>
    <row r="4289" spans="1:3" x14ac:dyDescent="0.25">
      <c r="A4289" s="1" t="s">
        <v>8579</v>
      </c>
      <c r="B4289" s="1" t="s">
        <v>8580</v>
      </c>
      <c r="C4289" s="1" t="s">
        <v>5</v>
      </c>
    </row>
    <row r="4290" spans="1:3" x14ac:dyDescent="0.25">
      <c r="A4290" s="1" t="s">
        <v>8581</v>
      </c>
      <c r="B4290" s="1" t="s">
        <v>8582</v>
      </c>
      <c r="C4290" s="1" t="s">
        <v>5</v>
      </c>
    </row>
    <row r="4291" spans="1:3" x14ac:dyDescent="0.25">
      <c r="A4291" s="1" t="s">
        <v>8583</v>
      </c>
      <c r="B4291" s="1" t="s">
        <v>8584</v>
      </c>
      <c r="C4291" s="1" t="s">
        <v>5</v>
      </c>
    </row>
    <row r="4292" spans="1:3" x14ac:dyDescent="0.25">
      <c r="A4292" s="1" t="s">
        <v>8585</v>
      </c>
      <c r="B4292" s="1" t="s">
        <v>8586</v>
      </c>
      <c r="C4292" s="1" t="s">
        <v>5</v>
      </c>
    </row>
    <row r="4293" spans="1:3" x14ac:dyDescent="0.25">
      <c r="A4293" s="1" t="s">
        <v>8587</v>
      </c>
      <c r="B4293" s="1" t="s">
        <v>8588</v>
      </c>
      <c r="C4293" s="1" t="s">
        <v>5</v>
      </c>
    </row>
    <row r="4294" spans="1:3" x14ac:dyDescent="0.25">
      <c r="A4294" s="1" t="s">
        <v>8589</v>
      </c>
      <c r="B4294" s="1" t="s">
        <v>8590</v>
      </c>
      <c r="C4294" s="1" t="s">
        <v>5</v>
      </c>
    </row>
    <row r="4295" spans="1:3" x14ac:dyDescent="0.25">
      <c r="A4295" s="1" t="s">
        <v>8591</v>
      </c>
      <c r="B4295" s="1" t="s">
        <v>8592</v>
      </c>
      <c r="C4295" s="1" t="s">
        <v>5</v>
      </c>
    </row>
    <row r="4296" spans="1:3" x14ac:dyDescent="0.25">
      <c r="A4296" s="1" t="s">
        <v>8593</v>
      </c>
      <c r="B4296" s="1" t="s">
        <v>8594</v>
      </c>
      <c r="C4296" s="1" t="s">
        <v>5</v>
      </c>
    </row>
    <row r="4297" spans="1:3" x14ac:dyDescent="0.25">
      <c r="A4297" s="1" t="s">
        <v>8595</v>
      </c>
      <c r="B4297" s="1" t="s">
        <v>8596</v>
      </c>
      <c r="C4297" s="1" t="s">
        <v>5</v>
      </c>
    </row>
    <row r="4298" spans="1:3" x14ac:dyDescent="0.25">
      <c r="A4298" s="1" t="s">
        <v>8597</v>
      </c>
      <c r="B4298" s="1" t="s">
        <v>8598</v>
      </c>
      <c r="C4298" s="1" t="s">
        <v>5</v>
      </c>
    </row>
    <row r="4299" spans="1:3" x14ac:dyDescent="0.25">
      <c r="A4299" s="1" t="s">
        <v>8599</v>
      </c>
      <c r="B4299" s="1" t="s">
        <v>8600</v>
      </c>
      <c r="C4299" s="1" t="s">
        <v>5</v>
      </c>
    </row>
    <row r="4300" spans="1:3" x14ac:dyDescent="0.25">
      <c r="A4300" s="1" t="s">
        <v>8601</v>
      </c>
      <c r="B4300" s="1" t="s">
        <v>8602</v>
      </c>
      <c r="C4300" s="1" t="s">
        <v>5</v>
      </c>
    </row>
    <row r="4301" spans="1:3" x14ac:dyDescent="0.25">
      <c r="A4301" s="1" t="s">
        <v>8603</v>
      </c>
      <c r="B4301" s="1" t="s">
        <v>8604</v>
      </c>
      <c r="C4301" s="1" t="s">
        <v>5</v>
      </c>
    </row>
    <row r="4302" spans="1:3" x14ac:dyDescent="0.25">
      <c r="A4302" s="1" t="s">
        <v>8605</v>
      </c>
      <c r="B4302" s="1" t="s">
        <v>8606</v>
      </c>
      <c r="C4302" s="1" t="s">
        <v>5</v>
      </c>
    </row>
    <row r="4303" spans="1:3" x14ac:dyDescent="0.25">
      <c r="A4303" s="1" t="s">
        <v>8607</v>
      </c>
      <c r="B4303" s="1" t="s">
        <v>8608</v>
      </c>
      <c r="C4303" s="1" t="s">
        <v>5</v>
      </c>
    </row>
    <row r="4304" spans="1:3" x14ac:dyDescent="0.25">
      <c r="A4304" s="1" t="s">
        <v>8609</v>
      </c>
      <c r="B4304" s="1" t="s">
        <v>8610</v>
      </c>
      <c r="C4304" s="1" t="s">
        <v>5</v>
      </c>
    </row>
    <row r="4305" spans="1:3" x14ac:dyDescent="0.25">
      <c r="A4305" s="1" t="s">
        <v>8611</v>
      </c>
      <c r="B4305" s="1" t="s">
        <v>8612</v>
      </c>
      <c r="C4305" s="1" t="s">
        <v>5</v>
      </c>
    </row>
    <row r="4306" spans="1:3" x14ac:dyDescent="0.25">
      <c r="A4306" s="1" t="s">
        <v>8613</v>
      </c>
      <c r="B4306" s="1" t="s">
        <v>8614</v>
      </c>
      <c r="C4306" s="1" t="s">
        <v>5</v>
      </c>
    </row>
    <row r="4307" spans="1:3" x14ac:dyDescent="0.25">
      <c r="A4307" s="1" t="s">
        <v>8615</v>
      </c>
      <c r="B4307" s="1" t="s">
        <v>8616</v>
      </c>
      <c r="C4307" s="1" t="s">
        <v>5</v>
      </c>
    </row>
    <row r="4308" spans="1:3" x14ac:dyDescent="0.25">
      <c r="A4308" s="1" t="s">
        <v>8617</v>
      </c>
      <c r="B4308" s="1" t="s">
        <v>8618</v>
      </c>
      <c r="C4308" s="1" t="s">
        <v>5</v>
      </c>
    </row>
    <row r="4309" spans="1:3" x14ac:dyDescent="0.25">
      <c r="A4309" s="1" t="s">
        <v>8619</v>
      </c>
      <c r="B4309" s="1" t="s">
        <v>8620</v>
      </c>
      <c r="C4309" s="1" t="s">
        <v>5</v>
      </c>
    </row>
    <row r="4310" spans="1:3" x14ac:dyDescent="0.25">
      <c r="A4310" s="1" t="s">
        <v>8621</v>
      </c>
      <c r="B4310" s="1" t="s">
        <v>8622</v>
      </c>
      <c r="C4310" s="1" t="s">
        <v>5</v>
      </c>
    </row>
    <row r="4311" spans="1:3" x14ac:dyDescent="0.25">
      <c r="A4311" s="1" t="s">
        <v>8623</v>
      </c>
      <c r="B4311" s="1" t="s">
        <v>8624</v>
      </c>
      <c r="C4311" s="1" t="s">
        <v>5</v>
      </c>
    </row>
    <row r="4312" spans="1:3" x14ac:dyDescent="0.25">
      <c r="A4312" s="1" t="s">
        <v>8625</v>
      </c>
      <c r="B4312" s="1" t="s">
        <v>8626</v>
      </c>
      <c r="C4312" s="1" t="s">
        <v>5</v>
      </c>
    </row>
    <row r="4313" spans="1:3" x14ac:dyDescent="0.25">
      <c r="A4313" s="1" t="s">
        <v>8627</v>
      </c>
      <c r="B4313" s="1" t="s">
        <v>8628</v>
      </c>
      <c r="C4313" s="1" t="s">
        <v>5</v>
      </c>
    </row>
    <row r="4314" spans="1:3" x14ac:dyDescent="0.25">
      <c r="A4314" s="1" t="s">
        <v>8629</v>
      </c>
      <c r="B4314" s="1" t="s">
        <v>8630</v>
      </c>
      <c r="C4314" s="1" t="s">
        <v>5</v>
      </c>
    </row>
    <row r="4315" spans="1:3" x14ac:dyDescent="0.25">
      <c r="A4315" s="1" t="s">
        <v>8631</v>
      </c>
      <c r="B4315" s="1" t="s">
        <v>8632</v>
      </c>
      <c r="C4315" s="1" t="s">
        <v>5</v>
      </c>
    </row>
    <row r="4316" spans="1:3" x14ac:dyDescent="0.25">
      <c r="A4316" s="1" t="s">
        <v>8633</v>
      </c>
      <c r="B4316" s="1" t="s">
        <v>8634</v>
      </c>
      <c r="C4316" s="1" t="s">
        <v>5</v>
      </c>
    </row>
    <row r="4317" spans="1:3" x14ac:dyDescent="0.25">
      <c r="A4317" s="1" t="s">
        <v>8635</v>
      </c>
      <c r="B4317" s="1" t="s">
        <v>8636</v>
      </c>
      <c r="C4317" s="1" t="s">
        <v>5</v>
      </c>
    </row>
    <row r="4318" spans="1:3" x14ac:dyDescent="0.25">
      <c r="A4318" s="1" t="s">
        <v>8637</v>
      </c>
      <c r="B4318" s="1" t="s">
        <v>8638</v>
      </c>
      <c r="C4318" s="1" t="s">
        <v>5</v>
      </c>
    </row>
    <row r="4319" spans="1:3" x14ac:dyDescent="0.25">
      <c r="A4319" s="1" t="s">
        <v>8639</v>
      </c>
      <c r="B4319" s="1" t="s">
        <v>8640</v>
      </c>
      <c r="C4319" s="1" t="s">
        <v>5</v>
      </c>
    </row>
    <row r="4320" spans="1:3" x14ac:dyDescent="0.25">
      <c r="A4320" s="1" t="s">
        <v>8641</v>
      </c>
      <c r="B4320" s="1" t="s">
        <v>8642</v>
      </c>
      <c r="C4320" s="1" t="s">
        <v>5</v>
      </c>
    </row>
    <row r="4321" spans="1:3" x14ac:dyDescent="0.25">
      <c r="A4321" s="1" t="s">
        <v>8643</v>
      </c>
      <c r="B4321" s="1" t="s">
        <v>8644</v>
      </c>
      <c r="C4321" s="1" t="s">
        <v>5</v>
      </c>
    </row>
    <row r="4322" spans="1:3" x14ac:dyDescent="0.25">
      <c r="A4322" s="1" t="s">
        <v>8645</v>
      </c>
      <c r="B4322" s="1" t="s">
        <v>8646</v>
      </c>
      <c r="C4322" s="1" t="s">
        <v>5</v>
      </c>
    </row>
    <row r="4323" spans="1:3" x14ac:dyDescent="0.25">
      <c r="A4323" s="1" t="s">
        <v>8647</v>
      </c>
      <c r="B4323" s="1" t="s">
        <v>8648</v>
      </c>
      <c r="C4323" s="1" t="s">
        <v>5</v>
      </c>
    </row>
    <row r="4324" spans="1:3" x14ac:dyDescent="0.25">
      <c r="A4324" s="1" t="s">
        <v>8649</v>
      </c>
      <c r="B4324" s="1" t="s">
        <v>8650</v>
      </c>
      <c r="C4324" s="1" t="s">
        <v>5</v>
      </c>
    </row>
    <row r="4325" spans="1:3" x14ac:dyDescent="0.25">
      <c r="A4325" s="1" t="s">
        <v>8651</v>
      </c>
      <c r="B4325" s="1" t="s">
        <v>8652</v>
      </c>
      <c r="C4325" s="1" t="s">
        <v>5</v>
      </c>
    </row>
    <row r="4326" spans="1:3" x14ac:dyDescent="0.25">
      <c r="A4326" s="1" t="s">
        <v>8653</v>
      </c>
      <c r="B4326" s="1" t="s">
        <v>8654</v>
      </c>
      <c r="C4326" s="1" t="s">
        <v>5</v>
      </c>
    </row>
    <row r="4327" spans="1:3" x14ac:dyDescent="0.25">
      <c r="A4327" s="1" t="s">
        <v>8655</v>
      </c>
      <c r="B4327" s="1" t="s">
        <v>8656</v>
      </c>
      <c r="C4327" s="1" t="s">
        <v>5</v>
      </c>
    </row>
    <row r="4328" spans="1:3" x14ac:dyDescent="0.25">
      <c r="A4328" s="1" t="s">
        <v>8657</v>
      </c>
      <c r="B4328" s="1" t="s">
        <v>8658</v>
      </c>
      <c r="C4328" s="1" t="s">
        <v>5</v>
      </c>
    </row>
    <row r="4329" spans="1:3" x14ac:dyDescent="0.25">
      <c r="A4329" s="1" t="s">
        <v>8659</v>
      </c>
      <c r="B4329" s="1" t="s">
        <v>8660</v>
      </c>
      <c r="C4329" s="1" t="s">
        <v>5</v>
      </c>
    </row>
    <row r="4330" spans="1:3" x14ac:dyDescent="0.25">
      <c r="A4330" s="1" t="s">
        <v>8661</v>
      </c>
      <c r="B4330" s="1" t="s">
        <v>8662</v>
      </c>
      <c r="C4330" s="1" t="s">
        <v>5</v>
      </c>
    </row>
    <row r="4331" spans="1:3" x14ac:dyDescent="0.25">
      <c r="A4331" s="1" t="s">
        <v>8663</v>
      </c>
      <c r="B4331" s="1" t="s">
        <v>8664</v>
      </c>
      <c r="C4331" s="1" t="s">
        <v>5</v>
      </c>
    </row>
    <row r="4332" spans="1:3" x14ac:dyDescent="0.25">
      <c r="A4332" s="1" t="s">
        <v>8665</v>
      </c>
      <c r="B4332" s="1" t="s">
        <v>8666</v>
      </c>
      <c r="C4332" s="1" t="s">
        <v>5</v>
      </c>
    </row>
    <row r="4333" spans="1:3" x14ac:dyDescent="0.25">
      <c r="A4333" s="1" t="s">
        <v>8667</v>
      </c>
      <c r="B4333" s="1" t="s">
        <v>8668</v>
      </c>
      <c r="C4333" s="1" t="s">
        <v>5</v>
      </c>
    </row>
    <row r="4334" spans="1:3" x14ac:dyDescent="0.25">
      <c r="A4334" s="1" t="s">
        <v>8669</v>
      </c>
      <c r="B4334" s="1" t="s">
        <v>8670</v>
      </c>
      <c r="C4334" s="1" t="s">
        <v>5</v>
      </c>
    </row>
    <row r="4335" spans="1:3" x14ac:dyDescent="0.25">
      <c r="A4335" s="1" t="s">
        <v>8671</v>
      </c>
      <c r="B4335" s="1" t="s">
        <v>8672</v>
      </c>
      <c r="C4335" s="1" t="s">
        <v>5</v>
      </c>
    </row>
    <row r="4336" spans="1:3" x14ac:dyDescent="0.25">
      <c r="A4336" s="1" t="s">
        <v>8673</v>
      </c>
      <c r="B4336" s="1" t="s">
        <v>8674</v>
      </c>
      <c r="C4336" s="1" t="s">
        <v>5</v>
      </c>
    </row>
    <row r="4337" spans="1:3" x14ac:dyDescent="0.25">
      <c r="A4337" s="1" t="s">
        <v>8675</v>
      </c>
      <c r="B4337" s="1" t="s">
        <v>8676</v>
      </c>
      <c r="C4337" s="1" t="s">
        <v>5</v>
      </c>
    </row>
    <row r="4338" spans="1:3" x14ac:dyDescent="0.25">
      <c r="A4338" s="1" t="s">
        <v>8677</v>
      </c>
      <c r="B4338" s="1" t="s">
        <v>8678</v>
      </c>
      <c r="C4338" s="1" t="s">
        <v>5</v>
      </c>
    </row>
    <row r="4339" spans="1:3" x14ac:dyDescent="0.25">
      <c r="A4339" s="1" t="s">
        <v>8679</v>
      </c>
      <c r="B4339" s="1" t="s">
        <v>8680</v>
      </c>
      <c r="C4339" s="1" t="s">
        <v>5</v>
      </c>
    </row>
    <row r="4340" spans="1:3" x14ac:dyDescent="0.25">
      <c r="A4340" s="1" t="s">
        <v>8681</v>
      </c>
      <c r="B4340" s="1" t="s">
        <v>8682</v>
      </c>
      <c r="C4340" s="1" t="s">
        <v>5</v>
      </c>
    </row>
    <row r="4341" spans="1:3" x14ac:dyDescent="0.25">
      <c r="A4341" s="1" t="s">
        <v>8683</v>
      </c>
      <c r="B4341" s="1" t="s">
        <v>8684</v>
      </c>
      <c r="C4341" s="1" t="s">
        <v>5</v>
      </c>
    </row>
    <row r="4342" spans="1:3" x14ac:dyDescent="0.25">
      <c r="A4342" s="1" t="s">
        <v>8685</v>
      </c>
      <c r="B4342" s="1" t="s">
        <v>8686</v>
      </c>
      <c r="C4342" s="1" t="s">
        <v>5</v>
      </c>
    </row>
    <row r="4343" spans="1:3" x14ac:dyDescent="0.25">
      <c r="A4343" s="1" t="s">
        <v>8687</v>
      </c>
      <c r="B4343" s="1" t="s">
        <v>8688</v>
      </c>
      <c r="C4343" s="1" t="s">
        <v>5</v>
      </c>
    </row>
    <row r="4344" spans="1:3" x14ac:dyDescent="0.25">
      <c r="A4344" s="1" t="s">
        <v>8689</v>
      </c>
      <c r="B4344" s="1" t="s">
        <v>8690</v>
      </c>
      <c r="C4344" s="1" t="s">
        <v>5</v>
      </c>
    </row>
    <row r="4345" spans="1:3" x14ac:dyDescent="0.25">
      <c r="A4345" s="1" t="s">
        <v>8691</v>
      </c>
      <c r="B4345" s="1" t="s">
        <v>8692</v>
      </c>
      <c r="C4345" s="1" t="s">
        <v>5</v>
      </c>
    </row>
    <row r="4346" spans="1:3" x14ac:dyDescent="0.25">
      <c r="A4346" s="1" t="s">
        <v>8693</v>
      </c>
      <c r="B4346" s="1" t="s">
        <v>8694</v>
      </c>
      <c r="C4346" s="1" t="s">
        <v>5</v>
      </c>
    </row>
    <row r="4347" spans="1:3" x14ac:dyDescent="0.25">
      <c r="A4347" s="1" t="s">
        <v>8695</v>
      </c>
      <c r="B4347" s="1" t="s">
        <v>8696</v>
      </c>
      <c r="C4347" s="1" t="s">
        <v>5</v>
      </c>
    </row>
    <row r="4348" spans="1:3" x14ac:dyDescent="0.25">
      <c r="A4348" s="1" t="s">
        <v>8697</v>
      </c>
      <c r="B4348" s="1" t="s">
        <v>8698</v>
      </c>
      <c r="C4348" s="1" t="s">
        <v>5</v>
      </c>
    </row>
    <row r="4349" spans="1:3" x14ac:dyDescent="0.25">
      <c r="A4349" s="1" t="s">
        <v>8699</v>
      </c>
      <c r="B4349" s="1" t="s">
        <v>8700</v>
      </c>
      <c r="C4349" s="1" t="s">
        <v>5</v>
      </c>
    </row>
    <row r="4350" spans="1:3" x14ac:dyDescent="0.25">
      <c r="A4350" s="1" t="s">
        <v>8701</v>
      </c>
      <c r="B4350" s="1" t="s">
        <v>8702</v>
      </c>
      <c r="C4350" s="1" t="s">
        <v>5</v>
      </c>
    </row>
    <row r="4351" spans="1:3" x14ac:dyDescent="0.25">
      <c r="A4351" s="1" t="s">
        <v>8703</v>
      </c>
      <c r="B4351" s="1" t="s">
        <v>8704</v>
      </c>
      <c r="C4351" s="1" t="s">
        <v>5</v>
      </c>
    </row>
    <row r="4352" spans="1:3" x14ac:dyDescent="0.25">
      <c r="A4352" s="1" t="s">
        <v>8705</v>
      </c>
      <c r="B4352" s="1" t="s">
        <v>8706</v>
      </c>
      <c r="C4352" s="1" t="s">
        <v>5</v>
      </c>
    </row>
    <row r="4353" spans="1:3" x14ac:dyDescent="0.25">
      <c r="A4353" s="1" t="s">
        <v>8707</v>
      </c>
      <c r="B4353" s="1" t="s">
        <v>8708</v>
      </c>
      <c r="C4353" s="1" t="s">
        <v>5</v>
      </c>
    </row>
    <row r="4354" spans="1:3" x14ac:dyDescent="0.25">
      <c r="A4354" s="1" t="s">
        <v>8709</v>
      </c>
      <c r="B4354" s="1" t="s">
        <v>8710</v>
      </c>
      <c r="C4354" s="1" t="s">
        <v>5</v>
      </c>
    </row>
    <row r="4355" spans="1:3" x14ac:dyDescent="0.25">
      <c r="A4355" s="1" t="s">
        <v>8711</v>
      </c>
      <c r="B4355" s="1" t="s">
        <v>8712</v>
      </c>
      <c r="C4355" s="1" t="s">
        <v>5</v>
      </c>
    </row>
    <row r="4356" spans="1:3" x14ac:dyDescent="0.25">
      <c r="A4356" s="1" t="s">
        <v>8713</v>
      </c>
      <c r="B4356" s="1" t="s">
        <v>8714</v>
      </c>
      <c r="C4356" s="1" t="s">
        <v>5</v>
      </c>
    </row>
    <row r="4357" spans="1:3" x14ac:dyDescent="0.25">
      <c r="A4357" s="1" t="s">
        <v>8715</v>
      </c>
      <c r="B4357" s="1" t="s">
        <v>8716</v>
      </c>
      <c r="C4357" s="1" t="s">
        <v>5</v>
      </c>
    </row>
    <row r="4358" spans="1:3" x14ac:dyDescent="0.25">
      <c r="A4358" s="1" t="s">
        <v>8717</v>
      </c>
      <c r="B4358" s="1" t="s">
        <v>8718</v>
      </c>
      <c r="C4358" s="1" t="s">
        <v>5</v>
      </c>
    </row>
    <row r="4359" spans="1:3" x14ac:dyDescent="0.25">
      <c r="A4359" s="1" t="s">
        <v>8719</v>
      </c>
      <c r="B4359" s="1" t="s">
        <v>8720</v>
      </c>
      <c r="C4359" s="1" t="s">
        <v>5</v>
      </c>
    </row>
    <row r="4360" spans="1:3" x14ac:dyDescent="0.25">
      <c r="A4360" s="1" t="s">
        <v>8721</v>
      </c>
      <c r="B4360" s="1" t="s">
        <v>8722</v>
      </c>
      <c r="C4360" s="1" t="s">
        <v>5</v>
      </c>
    </row>
    <row r="4361" spans="1:3" x14ac:dyDescent="0.25">
      <c r="A4361" s="1" t="s">
        <v>8723</v>
      </c>
      <c r="B4361" s="1" t="s">
        <v>8724</v>
      </c>
      <c r="C4361" s="1" t="s">
        <v>5</v>
      </c>
    </row>
    <row r="4362" spans="1:3" x14ac:dyDescent="0.25">
      <c r="A4362" s="1" t="s">
        <v>8725</v>
      </c>
      <c r="B4362" s="1" t="s">
        <v>8726</v>
      </c>
      <c r="C4362" s="1" t="s">
        <v>5</v>
      </c>
    </row>
    <row r="4363" spans="1:3" x14ac:dyDescent="0.25">
      <c r="A4363" s="1" t="s">
        <v>8727</v>
      </c>
      <c r="B4363" s="1" t="s">
        <v>8728</v>
      </c>
      <c r="C4363" s="1" t="s">
        <v>5</v>
      </c>
    </row>
    <row r="4364" spans="1:3" x14ac:dyDescent="0.25">
      <c r="A4364" s="1" t="s">
        <v>8729</v>
      </c>
      <c r="B4364" s="1" t="s">
        <v>8730</v>
      </c>
      <c r="C4364" s="1" t="s">
        <v>5</v>
      </c>
    </row>
    <row r="4365" spans="1:3" x14ac:dyDescent="0.25">
      <c r="A4365" s="1" t="s">
        <v>8731</v>
      </c>
      <c r="B4365" s="1" t="s">
        <v>8732</v>
      </c>
      <c r="C4365" s="1" t="s">
        <v>5</v>
      </c>
    </row>
    <row r="4366" spans="1:3" x14ac:dyDescent="0.25">
      <c r="A4366" s="1" t="s">
        <v>8733</v>
      </c>
      <c r="B4366" s="1" t="s">
        <v>8734</v>
      </c>
      <c r="C4366" s="1" t="s">
        <v>5</v>
      </c>
    </row>
    <row r="4367" spans="1:3" x14ac:dyDescent="0.25">
      <c r="A4367" s="1" t="s">
        <v>8735</v>
      </c>
      <c r="B4367" s="1" t="s">
        <v>8736</v>
      </c>
      <c r="C4367" s="1" t="s">
        <v>5</v>
      </c>
    </row>
    <row r="4368" spans="1:3" x14ac:dyDescent="0.25">
      <c r="A4368" s="1" t="s">
        <v>8737</v>
      </c>
      <c r="B4368" s="1" t="s">
        <v>8738</v>
      </c>
      <c r="C4368" s="1" t="s">
        <v>5</v>
      </c>
    </row>
    <row r="4369" spans="1:3" x14ac:dyDescent="0.25">
      <c r="A4369" s="1" t="s">
        <v>8739</v>
      </c>
      <c r="B4369" s="1" t="s">
        <v>8740</v>
      </c>
      <c r="C4369" s="1" t="s">
        <v>5</v>
      </c>
    </row>
    <row r="4370" spans="1:3" x14ac:dyDescent="0.25">
      <c r="A4370" s="1" t="s">
        <v>8741</v>
      </c>
      <c r="B4370" s="1" t="s">
        <v>8742</v>
      </c>
      <c r="C4370" s="1" t="s">
        <v>5</v>
      </c>
    </row>
    <row r="4371" spans="1:3" x14ac:dyDescent="0.25">
      <c r="A4371" s="1" t="s">
        <v>8743</v>
      </c>
      <c r="B4371" s="1" t="s">
        <v>8744</v>
      </c>
      <c r="C4371" s="1" t="s">
        <v>5</v>
      </c>
    </row>
    <row r="4372" spans="1:3" x14ac:dyDescent="0.25">
      <c r="A4372" s="1" t="s">
        <v>8745</v>
      </c>
      <c r="B4372" s="1" t="s">
        <v>8746</v>
      </c>
      <c r="C4372" s="1" t="s">
        <v>5</v>
      </c>
    </row>
    <row r="4373" spans="1:3" x14ac:dyDescent="0.25">
      <c r="A4373" s="1" t="s">
        <v>8747</v>
      </c>
      <c r="B4373" s="1" t="s">
        <v>8748</v>
      </c>
      <c r="C4373" s="1" t="s">
        <v>5</v>
      </c>
    </row>
    <row r="4374" spans="1:3" x14ac:dyDescent="0.25">
      <c r="A4374" s="1" t="s">
        <v>8749</v>
      </c>
      <c r="B4374" s="1" t="s">
        <v>8750</v>
      </c>
      <c r="C4374" s="1" t="s">
        <v>5</v>
      </c>
    </row>
    <row r="4375" spans="1:3" x14ac:dyDescent="0.25">
      <c r="A4375" s="1" t="s">
        <v>8751</v>
      </c>
      <c r="B4375" s="1" t="s">
        <v>8752</v>
      </c>
      <c r="C4375" s="1" t="s">
        <v>5</v>
      </c>
    </row>
    <row r="4376" spans="1:3" x14ac:dyDescent="0.25">
      <c r="A4376" s="1" t="s">
        <v>8753</v>
      </c>
      <c r="B4376" s="1" t="s">
        <v>8754</v>
      </c>
      <c r="C4376" s="1" t="s">
        <v>5</v>
      </c>
    </row>
    <row r="4377" spans="1:3" x14ac:dyDescent="0.25">
      <c r="A4377" s="1" t="s">
        <v>8755</v>
      </c>
      <c r="B4377" s="1" t="s">
        <v>8756</v>
      </c>
      <c r="C4377" s="1" t="s">
        <v>5</v>
      </c>
    </row>
    <row r="4378" spans="1:3" x14ac:dyDescent="0.25">
      <c r="A4378" s="1" t="s">
        <v>8757</v>
      </c>
      <c r="B4378" s="1" t="s">
        <v>8758</v>
      </c>
      <c r="C4378" s="1" t="s">
        <v>5</v>
      </c>
    </row>
    <row r="4379" spans="1:3" x14ac:dyDescent="0.25">
      <c r="A4379" s="1" t="s">
        <v>8759</v>
      </c>
      <c r="B4379" s="1" t="s">
        <v>8760</v>
      </c>
      <c r="C4379" s="1" t="s">
        <v>5</v>
      </c>
    </row>
    <row r="4380" spans="1:3" x14ac:dyDescent="0.25">
      <c r="A4380" s="1" t="s">
        <v>8761</v>
      </c>
      <c r="B4380" s="1" t="s">
        <v>8762</v>
      </c>
      <c r="C4380" s="1" t="s">
        <v>5</v>
      </c>
    </row>
    <row r="4381" spans="1:3" x14ac:dyDescent="0.25">
      <c r="A4381" s="1" t="s">
        <v>8763</v>
      </c>
      <c r="B4381" s="1" t="s">
        <v>8764</v>
      </c>
      <c r="C4381" s="1" t="s">
        <v>5</v>
      </c>
    </row>
    <row r="4382" spans="1:3" x14ac:dyDescent="0.25">
      <c r="A4382" s="1" t="s">
        <v>8765</v>
      </c>
      <c r="B4382" s="1" t="s">
        <v>8766</v>
      </c>
      <c r="C4382" s="1" t="s">
        <v>5</v>
      </c>
    </row>
    <row r="4383" spans="1:3" x14ac:dyDescent="0.25">
      <c r="A4383" s="1" t="s">
        <v>8767</v>
      </c>
      <c r="B4383" s="1" t="s">
        <v>8768</v>
      </c>
      <c r="C4383" s="1" t="s">
        <v>5</v>
      </c>
    </row>
    <row r="4384" spans="1:3" x14ac:dyDescent="0.25">
      <c r="A4384" s="1" t="s">
        <v>8769</v>
      </c>
      <c r="B4384" s="1" t="s">
        <v>8770</v>
      </c>
      <c r="C4384" s="1" t="s">
        <v>5</v>
      </c>
    </row>
    <row r="4385" spans="1:3" x14ac:dyDescent="0.25">
      <c r="A4385" s="1" t="s">
        <v>8771</v>
      </c>
      <c r="B4385" s="1" t="s">
        <v>8772</v>
      </c>
      <c r="C4385" s="1" t="s">
        <v>5</v>
      </c>
    </row>
    <row r="4386" spans="1:3" x14ac:dyDescent="0.25">
      <c r="A4386" s="1" t="s">
        <v>8773</v>
      </c>
      <c r="B4386" s="1" t="s">
        <v>8774</v>
      </c>
      <c r="C4386" s="1" t="s">
        <v>5</v>
      </c>
    </row>
    <row r="4387" spans="1:3" x14ac:dyDescent="0.25">
      <c r="A4387" s="1" t="s">
        <v>8775</v>
      </c>
      <c r="B4387" s="1" t="s">
        <v>8776</v>
      </c>
      <c r="C4387" s="1" t="s">
        <v>5</v>
      </c>
    </row>
    <row r="4388" spans="1:3" x14ac:dyDescent="0.25">
      <c r="A4388" s="1" t="s">
        <v>8777</v>
      </c>
      <c r="B4388" s="1" t="s">
        <v>8778</v>
      </c>
      <c r="C4388" s="1" t="s">
        <v>5</v>
      </c>
    </row>
    <row r="4389" spans="1:3" x14ac:dyDescent="0.25">
      <c r="A4389" s="1" t="s">
        <v>8779</v>
      </c>
      <c r="B4389" s="1" t="s">
        <v>8780</v>
      </c>
      <c r="C4389" s="1" t="s">
        <v>5</v>
      </c>
    </row>
    <row r="4390" spans="1:3" x14ac:dyDescent="0.25">
      <c r="A4390" s="1" t="s">
        <v>8781</v>
      </c>
      <c r="B4390" s="1" t="s">
        <v>8782</v>
      </c>
      <c r="C4390" s="1" t="s">
        <v>5</v>
      </c>
    </row>
    <row r="4391" spans="1:3" x14ac:dyDescent="0.25">
      <c r="A4391" s="1" t="s">
        <v>8783</v>
      </c>
      <c r="B4391" s="1" t="s">
        <v>8784</v>
      </c>
      <c r="C4391" s="1" t="s">
        <v>5</v>
      </c>
    </row>
    <row r="4392" spans="1:3" x14ac:dyDescent="0.25">
      <c r="A4392" s="1" t="s">
        <v>8785</v>
      </c>
      <c r="B4392" s="1" t="s">
        <v>8786</v>
      </c>
      <c r="C4392" s="1" t="s">
        <v>5</v>
      </c>
    </row>
    <row r="4393" spans="1:3" x14ac:dyDescent="0.25">
      <c r="A4393" s="1" t="s">
        <v>8787</v>
      </c>
      <c r="B4393" s="1" t="s">
        <v>8788</v>
      </c>
      <c r="C4393" s="1" t="s">
        <v>5</v>
      </c>
    </row>
    <row r="4394" spans="1:3" x14ac:dyDescent="0.25">
      <c r="A4394" s="1" t="s">
        <v>8789</v>
      </c>
      <c r="B4394" s="1" t="s">
        <v>8790</v>
      </c>
      <c r="C4394" s="1" t="s">
        <v>5</v>
      </c>
    </row>
    <row r="4395" spans="1:3" x14ac:dyDescent="0.25">
      <c r="A4395" s="1" t="s">
        <v>8791</v>
      </c>
      <c r="B4395" s="1" t="s">
        <v>8792</v>
      </c>
      <c r="C4395" s="1" t="s">
        <v>5</v>
      </c>
    </row>
    <row r="4396" spans="1:3" x14ac:dyDescent="0.25">
      <c r="A4396" s="1" t="s">
        <v>8793</v>
      </c>
      <c r="B4396" s="1" t="s">
        <v>8794</v>
      </c>
      <c r="C4396" s="1" t="s">
        <v>5</v>
      </c>
    </row>
    <row r="4397" spans="1:3" x14ac:dyDescent="0.25">
      <c r="A4397" s="1" t="s">
        <v>8795</v>
      </c>
      <c r="B4397" s="1" t="s">
        <v>8796</v>
      </c>
      <c r="C4397" s="1" t="s">
        <v>5</v>
      </c>
    </row>
    <row r="4398" spans="1:3" x14ac:dyDescent="0.25">
      <c r="A4398" s="1" t="s">
        <v>8797</v>
      </c>
      <c r="B4398" s="1" t="s">
        <v>8798</v>
      </c>
      <c r="C4398" s="1" t="s">
        <v>5</v>
      </c>
    </row>
    <row r="4399" spans="1:3" x14ac:dyDescent="0.25">
      <c r="A4399" s="1" t="s">
        <v>8799</v>
      </c>
      <c r="B4399" s="1" t="s">
        <v>8800</v>
      </c>
      <c r="C4399" s="1" t="s">
        <v>5</v>
      </c>
    </row>
    <row r="4400" spans="1:3" x14ac:dyDescent="0.25">
      <c r="A4400" s="1" t="s">
        <v>8801</v>
      </c>
      <c r="B4400" s="1" t="s">
        <v>8802</v>
      </c>
      <c r="C4400" s="1" t="s">
        <v>5</v>
      </c>
    </row>
    <row r="4401" spans="1:3" x14ac:dyDescent="0.25">
      <c r="A4401" s="1" t="s">
        <v>8803</v>
      </c>
      <c r="B4401" s="1" t="s">
        <v>8804</v>
      </c>
      <c r="C4401" s="1" t="s">
        <v>5</v>
      </c>
    </row>
    <row r="4402" spans="1:3" x14ac:dyDescent="0.25">
      <c r="A4402" s="1" t="s">
        <v>8805</v>
      </c>
      <c r="B4402" s="1" t="s">
        <v>8806</v>
      </c>
      <c r="C4402" s="1" t="s">
        <v>5</v>
      </c>
    </row>
    <row r="4403" spans="1:3" x14ac:dyDescent="0.25">
      <c r="A4403" s="1" t="s">
        <v>8807</v>
      </c>
      <c r="B4403" s="1" t="s">
        <v>8808</v>
      </c>
      <c r="C4403" s="1" t="s">
        <v>5</v>
      </c>
    </row>
    <row r="4404" spans="1:3" x14ac:dyDescent="0.25">
      <c r="A4404" s="1" t="s">
        <v>8809</v>
      </c>
      <c r="B4404" s="1" t="s">
        <v>8810</v>
      </c>
      <c r="C4404" s="1" t="s">
        <v>5</v>
      </c>
    </row>
    <row r="4405" spans="1:3" x14ac:dyDescent="0.25">
      <c r="A4405" s="1" t="s">
        <v>8811</v>
      </c>
      <c r="B4405" s="1" t="s">
        <v>8812</v>
      </c>
      <c r="C4405" s="1" t="s">
        <v>5</v>
      </c>
    </row>
    <row r="4406" spans="1:3" x14ac:dyDescent="0.25">
      <c r="A4406" s="1" t="s">
        <v>8813</v>
      </c>
      <c r="B4406" s="1" t="s">
        <v>8814</v>
      </c>
      <c r="C4406" s="1" t="s">
        <v>5</v>
      </c>
    </row>
    <row r="4407" spans="1:3" x14ac:dyDescent="0.25">
      <c r="A4407" s="1" t="s">
        <v>8815</v>
      </c>
      <c r="B4407" s="1" t="s">
        <v>8816</v>
      </c>
      <c r="C4407" s="1" t="s">
        <v>5</v>
      </c>
    </row>
    <row r="4408" spans="1:3" x14ac:dyDescent="0.25">
      <c r="A4408" s="1" t="s">
        <v>8817</v>
      </c>
      <c r="B4408" s="1" t="s">
        <v>8818</v>
      </c>
      <c r="C4408" s="1" t="s">
        <v>5</v>
      </c>
    </row>
    <row r="4409" spans="1:3" x14ac:dyDescent="0.25">
      <c r="A4409" s="1" t="s">
        <v>8819</v>
      </c>
      <c r="B4409" s="1" t="s">
        <v>8820</v>
      </c>
      <c r="C4409" s="1" t="s">
        <v>5</v>
      </c>
    </row>
    <row r="4410" spans="1:3" x14ac:dyDescent="0.25">
      <c r="A4410" s="1" t="s">
        <v>8821</v>
      </c>
      <c r="B4410" s="1" t="s">
        <v>8822</v>
      </c>
      <c r="C4410" s="1" t="s">
        <v>5</v>
      </c>
    </row>
    <row r="4411" spans="1:3" x14ac:dyDescent="0.25">
      <c r="A4411" s="1" t="s">
        <v>8823</v>
      </c>
      <c r="B4411" s="1" t="s">
        <v>8824</v>
      </c>
      <c r="C4411" s="1" t="s">
        <v>5</v>
      </c>
    </row>
    <row r="4412" spans="1:3" x14ac:dyDescent="0.25">
      <c r="A4412" s="1" t="s">
        <v>8825</v>
      </c>
      <c r="B4412" s="1" t="s">
        <v>8826</v>
      </c>
      <c r="C4412" s="1" t="s">
        <v>5</v>
      </c>
    </row>
    <row r="4413" spans="1:3" x14ac:dyDescent="0.25">
      <c r="A4413" s="1" t="s">
        <v>8827</v>
      </c>
      <c r="B4413" s="1" t="s">
        <v>8828</v>
      </c>
      <c r="C4413" s="1" t="s">
        <v>5</v>
      </c>
    </row>
    <row r="4414" spans="1:3" x14ac:dyDescent="0.25">
      <c r="A4414" s="1" t="s">
        <v>8829</v>
      </c>
      <c r="B4414" s="1" t="s">
        <v>8830</v>
      </c>
      <c r="C4414" s="1" t="s">
        <v>5</v>
      </c>
    </row>
    <row r="4415" spans="1:3" x14ac:dyDescent="0.25">
      <c r="A4415" s="1" t="s">
        <v>8831</v>
      </c>
      <c r="B4415" s="1" t="s">
        <v>8832</v>
      </c>
      <c r="C4415" s="1" t="s">
        <v>5</v>
      </c>
    </row>
    <row r="4416" spans="1:3" x14ac:dyDescent="0.25">
      <c r="A4416" s="1" t="s">
        <v>8833</v>
      </c>
      <c r="B4416" s="1" t="s">
        <v>8834</v>
      </c>
      <c r="C4416" s="1" t="s">
        <v>5</v>
      </c>
    </row>
    <row r="4417" spans="1:3" x14ac:dyDescent="0.25">
      <c r="A4417" s="1" t="s">
        <v>8835</v>
      </c>
      <c r="B4417" s="1" t="s">
        <v>8836</v>
      </c>
      <c r="C4417" s="1" t="s">
        <v>5</v>
      </c>
    </row>
    <row r="4418" spans="1:3" x14ac:dyDescent="0.25">
      <c r="A4418" s="1" t="s">
        <v>8837</v>
      </c>
      <c r="B4418" s="1" t="s">
        <v>8838</v>
      </c>
      <c r="C4418" s="1" t="s">
        <v>5</v>
      </c>
    </row>
    <row r="4419" spans="1:3" x14ac:dyDescent="0.25">
      <c r="A4419" s="1" t="s">
        <v>8839</v>
      </c>
      <c r="B4419" s="1" t="s">
        <v>8840</v>
      </c>
      <c r="C4419" s="1" t="s">
        <v>5</v>
      </c>
    </row>
    <row r="4420" spans="1:3" x14ac:dyDescent="0.25">
      <c r="A4420" s="1" t="s">
        <v>8841</v>
      </c>
      <c r="B4420" s="1" t="s">
        <v>8842</v>
      </c>
      <c r="C4420" s="1" t="s">
        <v>5</v>
      </c>
    </row>
    <row r="4421" spans="1:3" x14ac:dyDescent="0.25">
      <c r="A4421" s="1" t="s">
        <v>8843</v>
      </c>
      <c r="B4421" s="1" t="s">
        <v>8844</v>
      </c>
      <c r="C4421" s="1" t="s">
        <v>5</v>
      </c>
    </row>
    <row r="4422" spans="1:3" x14ac:dyDescent="0.25">
      <c r="A4422" s="1" t="s">
        <v>8845</v>
      </c>
      <c r="B4422" s="1" t="s">
        <v>8846</v>
      </c>
      <c r="C4422" s="1" t="s">
        <v>5</v>
      </c>
    </row>
    <row r="4423" spans="1:3" x14ac:dyDescent="0.25">
      <c r="A4423" s="1" t="s">
        <v>8847</v>
      </c>
      <c r="B4423" s="1" t="s">
        <v>8848</v>
      </c>
      <c r="C4423" s="1" t="s">
        <v>5</v>
      </c>
    </row>
    <row r="4424" spans="1:3" x14ac:dyDescent="0.25">
      <c r="A4424" s="1" t="s">
        <v>8849</v>
      </c>
      <c r="B4424" s="1" t="s">
        <v>8850</v>
      </c>
      <c r="C4424" s="1" t="s">
        <v>5</v>
      </c>
    </row>
    <row r="4425" spans="1:3" x14ac:dyDescent="0.25">
      <c r="A4425" s="1" t="s">
        <v>8851</v>
      </c>
      <c r="B4425" s="1" t="s">
        <v>8852</v>
      </c>
      <c r="C4425" s="1" t="s">
        <v>5</v>
      </c>
    </row>
    <row r="4426" spans="1:3" x14ac:dyDescent="0.25">
      <c r="A4426" s="1" t="s">
        <v>8853</v>
      </c>
      <c r="B4426" s="1" t="s">
        <v>8854</v>
      </c>
      <c r="C4426" s="1" t="s">
        <v>5</v>
      </c>
    </row>
    <row r="4427" spans="1:3" x14ac:dyDescent="0.25">
      <c r="A4427" s="1" t="s">
        <v>8855</v>
      </c>
      <c r="B4427" s="1" t="s">
        <v>8856</v>
      </c>
      <c r="C4427" s="1" t="s">
        <v>5</v>
      </c>
    </row>
    <row r="4428" spans="1:3" x14ac:dyDescent="0.25">
      <c r="A4428" s="1" t="s">
        <v>8857</v>
      </c>
      <c r="B4428" s="1" t="s">
        <v>8858</v>
      </c>
      <c r="C4428" s="1" t="s">
        <v>5</v>
      </c>
    </row>
    <row r="4429" spans="1:3" x14ac:dyDescent="0.25">
      <c r="A4429" s="1" t="s">
        <v>8859</v>
      </c>
      <c r="B4429" s="1" t="s">
        <v>8860</v>
      </c>
      <c r="C4429" s="1" t="s">
        <v>5</v>
      </c>
    </row>
    <row r="4430" spans="1:3" x14ac:dyDescent="0.25">
      <c r="A4430" s="1" t="s">
        <v>8861</v>
      </c>
      <c r="B4430" s="1" t="s">
        <v>8862</v>
      </c>
      <c r="C4430" s="1" t="s">
        <v>5</v>
      </c>
    </row>
    <row r="4431" spans="1:3" x14ac:dyDescent="0.25">
      <c r="A4431" s="1" t="s">
        <v>8863</v>
      </c>
      <c r="B4431" s="1" t="s">
        <v>8864</v>
      </c>
      <c r="C4431" s="1" t="s">
        <v>5</v>
      </c>
    </row>
    <row r="4432" spans="1:3" x14ac:dyDescent="0.25">
      <c r="A4432" s="1" t="s">
        <v>8865</v>
      </c>
      <c r="B4432" s="1" t="s">
        <v>8866</v>
      </c>
      <c r="C4432" s="1" t="s">
        <v>5</v>
      </c>
    </row>
    <row r="4433" spans="1:3" x14ac:dyDescent="0.25">
      <c r="A4433" s="1" t="s">
        <v>8867</v>
      </c>
      <c r="B4433" s="1" t="s">
        <v>8868</v>
      </c>
      <c r="C4433" s="1" t="s">
        <v>5</v>
      </c>
    </row>
    <row r="4434" spans="1:3" x14ac:dyDescent="0.25">
      <c r="A4434" s="1" t="s">
        <v>8869</v>
      </c>
      <c r="B4434" s="1" t="s">
        <v>8870</v>
      </c>
      <c r="C4434" s="1" t="s">
        <v>5</v>
      </c>
    </row>
    <row r="4435" spans="1:3" x14ac:dyDescent="0.25">
      <c r="A4435" s="1" t="s">
        <v>8871</v>
      </c>
      <c r="B4435" s="1" t="s">
        <v>8872</v>
      </c>
      <c r="C4435" s="1" t="s">
        <v>5</v>
      </c>
    </row>
    <row r="4436" spans="1:3" x14ac:dyDescent="0.25">
      <c r="A4436" s="1" t="s">
        <v>8873</v>
      </c>
      <c r="B4436" s="1" t="s">
        <v>8874</v>
      </c>
      <c r="C4436" s="1" t="s">
        <v>5</v>
      </c>
    </row>
    <row r="4437" spans="1:3" x14ac:dyDescent="0.25">
      <c r="A4437" s="1" t="s">
        <v>8875</v>
      </c>
      <c r="B4437" s="1" t="s">
        <v>8876</v>
      </c>
      <c r="C4437" s="1" t="s">
        <v>5</v>
      </c>
    </row>
    <row r="4438" spans="1:3" x14ac:dyDescent="0.25">
      <c r="A4438" s="1" t="s">
        <v>8877</v>
      </c>
      <c r="B4438" s="1" t="s">
        <v>8878</v>
      </c>
      <c r="C4438" s="1" t="s">
        <v>5</v>
      </c>
    </row>
    <row r="4439" spans="1:3" x14ac:dyDescent="0.25">
      <c r="A4439" s="1" t="s">
        <v>8879</v>
      </c>
      <c r="B4439" s="1" t="s">
        <v>8880</v>
      </c>
      <c r="C4439" s="1" t="s">
        <v>5</v>
      </c>
    </row>
    <row r="4440" spans="1:3" x14ac:dyDescent="0.25">
      <c r="A4440" s="1" t="s">
        <v>8881</v>
      </c>
      <c r="B4440" s="1" t="s">
        <v>8882</v>
      </c>
      <c r="C4440" s="1" t="s">
        <v>5</v>
      </c>
    </row>
    <row r="4441" spans="1:3" x14ac:dyDescent="0.25">
      <c r="A4441" s="1" t="s">
        <v>8883</v>
      </c>
      <c r="B4441" s="1" t="s">
        <v>8884</v>
      </c>
      <c r="C4441" s="1" t="s">
        <v>5</v>
      </c>
    </row>
    <row r="4442" spans="1:3" x14ac:dyDescent="0.25">
      <c r="A4442" s="1" t="s">
        <v>8885</v>
      </c>
      <c r="B4442" s="1" t="s">
        <v>8886</v>
      </c>
      <c r="C4442" s="1" t="s">
        <v>5</v>
      </c>
    </row>
    <row r="4443" spans="1:3" x14ac:dyDescent="0.25">
      <c r="A4443" s="1" t="s">
        <v>8887</v>
      </c>
      <c r="B4443" s="1" t="s">
        <v>8888</v>
      </c>
      <c r="C4443" s="1" t="s">
        <v>5</v>
      </c>
    </row>
    <row r="4444" spans="1:3" x14ac:dyDescent="0.25">
      <c r="A4444" s="1" t="s">
        <v>8889</v>
      </c>
      <c r="B4444" s="1" t="s">
        <v>8890</v>
      </c>
      <c r="C4444" s="1" t="s">
        <v>5</v>
      </c>
    </row>
    <row r="4445" spans="1:3" x14ac:dyDescent="0.25">
      <c r="A4445" s="1" t="s">
        <v>8891</v>
      </c>
      <c r="B4445" s="1" t="s">
        <v>8892</v>
      </c>
      <c r="C4445" s="1" t="s">
        <v>5</v>
      </c>
    </row>
    <row r="4446" spans="1:3" x14ac:dyDescent="0.25">
      <c r="A4446" s="1" t="s">
        <v>8893</v>
      </c>
      <c r="B4446" s="1" t="s">
        <v>8894</v>
      </c>
      <c r="C4446" s="1" t="s">
        <v>5</v>
      </c>
    </row>
    <row r="4447" spans="1:3" x14ac:dyDescent="0.25">
      <c r="A4447" s="1" t="s">
        <v>8895</v>
      </c>
      <c r="B4447" s="1" t="s">
        <v>8896</v>
      </c>
      <c r="C4447" s="1" t="s">
        <v>5</v>
      </c>
    </row>
    <row r="4448" spans="1:3" x14ac:dyDescent="0.25">
      <c r="A4448" s="1" t="s">
        <v>8897</v>
      </c>
      <c r="B4448" s="1" t="s">
        <v>8898</v>
      </c>
      <c r="C4448" s="1" t="s">
        <v>5</v>
      </c>
    </row>
    <row r="4449" spans="1:3" x14ac:dyDescent="0.25">
      <c r="A4449" s="1" t="s">
        <v>8899</v>
      </c>
      <c r="B4449" s="1" t="s">
        <v>8900</v>
      </c>
      <c r="C4449" s="1" t="s">
        <v>5</v>
      </c>
    </row>
    <row r="4450" spans="1:3" x14ac:dyDescent="0.25">
      <c r="A4450" s="1" t="s">
        <v>8901</v>
      </c>
      <c r="B4450" s="1" t="s">
        <v>8902</v>
      </c>
      <c r="C4450" s="1" t="s">
        <v>5</v>
      </c>
    </row>
    <row r="4451" spans="1:3" x14ac:dyDescent="0.25">
      <c r="A4451" s="1" t="s">
        <v>8903</v>
      </c>
      <c r="B4451" s="1" t="s">
        <v>8904</v>
      </c>
      <c r="C4451" s="1" t="s">
        <v>5</v>
      </c>
    </row>
    <row r="4452" spans="1:3" x14ac:dyDescent="0.25">
      <c r="A4452" s="1" t="s">
        <v>8905</v>
      </c>
      <c r="B4452" s="1" t="s">
        <v>8906</v>
      </c>
      <c r="C4452" s="1" t="s">
        <v>5</v>
      </c>
    </row>
    <row r="4453" spans="1:3" x14ac:dyDescent="0.25">
      <c r="A4453" s="1" t="s">
        <v>8907</v>
      </c>
      <c r="B4453" s="1" t="s">
        <v>8908</v>
      </c>
      <c r="C4453" s="1" t="s">
        <v>5</v>
      </c>
    </row>
    <row r="4454" spans="1:3" x14ac:dyDescent="0.25">
      <c r="A4454" s="1" t="s">
        <v>8909</v>
      </c>
      <c r="B4454" s="1" t="s">
        <v>8910</v>
      </c>
      <c r="C4454" s="1" t="s">
        <v>5</v>
      </c>
    </row>
    <row r="4455" spans="1:3" x14ac:dyDescent="0.25">
      <c r="A4455" s="1" t="s">
        <v>8911</v>
      </c>
      <c r="B4455" s="1" t="s">
        <v>8912</v>
      </c>
      <c r="C4455" s="1" t="s">
        <v>5</v>
      </c>
    </row>
    <row r="4456" spans="1:3" x14ac:dyDescent="0.25">
      <c r="A4456" s="1" t="s">
        <v>8913</v>
      </c>
      <c r="B4456" s="1" t="s">
        <v>8914</v>
      </c>
      <c r="C4456" s="1" t="s">
        <v>5</v>
      </c>
    </row>
    <row r="4457" spans="1:3" x14ac:dyDescent="0.25">
      <c r="A4457" s="1" t="s">
        <v>8915</v>
      </c>
      <c r="B4457" s="1" t="s">
        <v>8916</v>
      </c>
      <c r="C4457" s="1" t="s">
        <v>5</v>
      </c>
    </row>
    <row r="4458" spans="1:3" x14ac:dyDescent="0.25">
      <c r="A4458" s="1" t="s">
        <v>8917</v>
      </c>
      <c r="B4458" s="1" t="s">
        <v>8918</v>
      </c>
      <c r="C4458" s="1" t="s">
        <v>5</v>
      </c>
    </row>
    <row r="4459" spans="1:3" x14ac:dyDescent="0.25">
      <c r="A4459" s="1" t="s">
        <v>8919</v>
      </c>
      <c r="B4459" s="1" t="s">
        <v>8920</v>
      </c>
      <c r="C4459" s="1" t="s">
        <v>5</v>
      </c>
    </row>
    <row r="4460" spans="1:3" x14ac:dyDescent="0.25">
      <c r="A4460" s="1" t="s">
        <v>8921</v>
      </c>
      <c r="B4460" s="1" t="s">
        <v>8922</v>
      </c>
      <c r="C4460" s="1" t="s">
        <v>5</v>
      </c>
    </row>
    <row r="4461" spans="1:3" x14ac:dyDescent="0.25">
      <c r="A4461" s="1" t="s">
        <v>8923</v>
      </c>
      <c r="B4461" s="1" t="s">
        <v>8924</v>
      </c>
      <c r="C4461" s="1" t="s">
        <v>5</v>
      </c>
    </row>
    <row r="4462" spans="1:3" x14ac:dyDescent="0.25">
      <c r="A4462" s="1" t="s">
        <v>8925</v>
      </c>
      <c r="B4462" s="1" t="s">
        <v>8926</v>
      </c>
      <c r="C4462" s="1" t="s">
        <v>5</v>
      </c>
    </row>
    <row r="4463" spans="1:3" x14ac:dyDescent="0.25">
      <c r="A4463" s="1" t="s">
        <v>8927</v>
      </c>
      <c r="B4463" s="1" t="s">
        <v>8928</v>
      </c>
      <c r="C4463" s="1" t="s">
        <v>5</v>
      </c>
    </row>
    <row r="4464" spans="1:3" x14ac:dyDescent="0.25">
      <c r="A4464" s="1" t="s">
        <v>8929</v>
      </c>
      <c r="B4464" s="1" t="s">
        <v>8930</v>
      </c>
      <c r="C4464" s="1" t="s">
        <v>5</v>
      </c>
    </row>
    <row r="4465" spans="1:3" x14ac:dyDescent="0.25">
      <c r="A4465" s="1" t="s">
        <v>8931</v>
      </c>
      <c r="B4465" s="1" t="s">
        <v>8932</v>
      </c>
      <c r="C4465" s="1" t="s">
        <v>5</v>
      </c>
    </row>
    <row r="4466" spans="1:3" x14ac:dyDescent="0.25">
      <c r="A4466" s="1" t="s">
        <v>8933</v>
      </c>
      <c r="B4466" s="1" t="s">
        <v>8934</v>
      </c>
      <c r="C4466" s="1" t="s">
        <v>5</v>
      </c>
    </row>
    <row r="4467" spans="1:3" x14ac:dyDescent="0.25">
      <c r="A4467" s="1" t="s">
        <v>8935</v>
      </c>
      <c r="B4467" s="1" t="s">
        <v>8936</v>
      </c>
      <c r="C4467" s="1" t="s">
        <v>5</v>
      </c>
    </row>
    <row r="4468" spans="1:3" x14ac:dyDescent="0.25">
      <c r="A4468" s="1" t="s">
        <v>8937</v>
      </c>
      <c r="B4468" s="1" t="s">
        <v>8938</v>
      </c>
      <c r="C4468" s="1" t="s">
        <v>5</v>
      </c>
    </row>
    <row r="4469" spans="1:3" x14ac:dyDescent="0.25">
      <c r="A4469" s="1" t="s">
        <v>8939</v>
      </c>
      <c r="B4469" s="1" t="s">
        <v>8940</v>
      </c>
      <c r="C4469" s="1" t="s">
        <v>5</v>
      </c>
    </row>
    <row r="4470" spans="1:3" x14ac:dyDescent="0.25">
      <c r="A4470" s="1" t="s">
        <v>8941</v>
      </c>
      <c r="B4470" s="1" t="s">
        <v>8942</v>
      </c>
      <c r="C4470" s="1" t="s">
        <v>5</v>
      </c>
    </row>
    <row r="4471" spans="1:3" x14ac:dyDescent="0.25">
      <c r="A4471" s="1" t="s">
        <v>8943</v>
      </c>
      <c r="B4471" s="1" t="s">
        <v>8944</v>
      </c>
      <c r="C4471" s="1" t="s">
        <v>5</v>
      </c>
    </row>
    <row r="4472" spans="1:3" x14ac:dyDescent="0.25">
      <c r="A4472" s="1" t="s">
        <v>8945</v>
      </c>
      <c r="B4472" s="1" t="s">
        <v>8946</v>
      </c>
      <c r="C4472" s="1" t="s">
        <v>5</v>
      </c>
    </row>
    <row r="4473" spans="1:3" x14ac:dyDescent="0.25">
      <c r="A4473" s="1" t="s">
        <v>8947</v>
      </c>
      <c r="B4473" s="1" t="s">
        <v>8948</v>
      </c>
      <c r="C4473" s="1" t="s">
        <v>5</v>
      </c>
    </row>
    <row r="4474" spans="1:3" x14ac:dyDescent="0.25">
      <c r="A4474" s="1" t="s">
        <v>8949</v>
      </c>
      <c r="B4474" s="1" t="s">
        <v>8950</v>
      </c>
      <c r="C4474" s="1" t="s">
        <v>5</v>
      </c>
    </row>
    <row r="4475" spans="1:3" x14ac:dyDescent="0.25">
      <c r="A4475" s="1" t="s">
        <v>8951</v>
      </c>
      <c r="B4475" s="1" t="s">
        <v>8952</v>
      </c>
      <c r="C4475" s="1" t="s">
        <v>5</v>
      </c>
    </row>
    <row r="4476" spans="1:3" x14ac:dyDescent="0.25">
      <c r="A4476" s="1" t="s">
        <v>8953</v>
      </c>
      <c r="B4476" s="1" t="s">
        <v>8954</v>
      </c>
      <c r="C4476" s="1" t="s">
        <v>5</v>
      </c>
    </row>
    <row r="4477" spans="1:3" x14ac:dyDescent="0.25">
      <c r="A4477" s="1" t="s">
        <v>8955</v>
      </c>
      <c r="B4477" s="1" t="s">
        <v>8956</v>
      </c>
      <c r="C4477" s="1" t="s">
        <v>5</v>
      </c>
    </row>
    <row r="4478" spans="1:3" x14ac:dyDescent="0.25">
      <c r="A4478" s="1" t="s">
        <v>8957</v>
      </c>
      <c r="B4478" s="1" t="s">
        <v>8958</v>
      </c>
      <c r="C4478" s="1" t="s">
        <v>5</v>
      </c>
    </row>
    <row r="4479" spans="1:3" x14ac:dyDescent="0.25">
      <c r="A4479" s="1" t="s">
        <v>8959</v>
      </c>
      <c r="B4479" s="1" t="s">
        <v>8960</v>
      </c>
      <c r="C4479" s="1" t="s">
        <v>5</v>
      </c>
    </row>
    <row r="4480" spans="1:3" x14ac:dyDescent="0.25">
      <c r="A4480" s="1" t="s">
        <v>8961</v>
      </c>
      <c r="B4480" s="1" t="s">
        <v>8962</v>
      </c>
      <c r="C4480" s="1" t="s">
        <v>5</v>
      </c>
    </row>
    <row r="4481" spans="1:3" x14ac:dyDescent="0.25">
      <c r="A4481" s="1" t="s">
        <v>8963</v>
      </c>
      <c r="B4481" s="1" t="s">
        <v>8964</v>
      </c>
      <c r="C4481" s="1" t="s">
        <v>5</v>
      </c>
    </row>
    <row r="4482" spans="1:3" x14ac:dyDescent="0.25">
      <c r="A4482" s="1" t="s">
        <v>8965</v>
      </c>
      <c r="B4482" s="1" t="s">
        <v>8966</v>
      </c>
      <c r="C4482" s="1" t="s">
        <v>5</v>
      </c>
    </row>
    <row r="4483" spans="1:3" x14ac:dyDescent="0.25">
      <c r="A4483" s="1" t="s">
        <v>8967</v>
      </c>
      <c r="B4483" s="1" t="s">
        <v>8968</v>
      </c>
      <c r="C4483" s="1" t="s">
        <v>5</v>
      </c>
    </row>
    <row r="4484" spans="1:3" x14ac:dyDescent="0.25">
      <c r="A4484" s="1" t="s">
        <v>8969</v>
      </c>
      <c r="B4484" s="1" t="s">
        <v>8970</v>
      </c>
      <c r="C4484" s="1" t="s">
        <v>5</v>
      </c>
    </row>
    <row r="4485" spans="1:3" x14ac:dyDescent="0.25">
      <c r="A4485" s="1" t="s">
        <v>8971</v>
      </c>
      <c r="B4485" s="1" t="s">
        <v>8972</v>
      </c>
      <c r="C4485" s="1" t="s">
        <v>5</v>
      </c>
    </row>
    <row r="4486" spans="1:3" x14ac:dyDescent="0.25">
      <c r="A4486" s="1" t="s">
        <v>8973</v>
      </c>
      <c r="B4486" s="1" t="s">
        <v>8974</v>
      </c>
      <c r="C4486" s="1" t="s">
        <v>5</v>
      </c>
    </row>
    <row r="4487" spans="1:3" x14ac:dyDescent="0.25">
      <c r="A4487" s="1" t="s">
        <v>8975</v>
      </c>
      <c r="B4487" s="1" t="s">
        <v>8976</v>
      </c>
      <c r="C4487" s="1" t="s">
        <v>5</v>
      </c>
    </row>
    <row r="4488" spans="1:3" x14ac:dyDescent="0.25">
      <c r="A4488" s="1" t="s">
        <v>8977</v>
      </c>
      <c r="B4488" s="1" t="s">
        <v>8978</v>
      </c>
      <c r="C4488" s="1" t="s">
        <v>5</v>
      </c>
    </row>
    <row r="4489" spans="1:3" x14ac:dyDescent="0.25">
      <c r="A4489" s="1" t="s">
        <v>8979</v>
      </c>
      <c r="B4489" s="1" t="s">
        <v>8980</v>
      </c>
      <c r="C4489" s="1" t="s">
        <v>5</v>
      </c>
    </row>
    <row r="4490" spans="1:3" x14ac:dyDescent="0.25">
      <c r="A4490" s="1" t="s">
        <v>8981</v>
      </c>
      <c r="B4490" s="1" t="s">
        <v>8982</v>
      </c>
      <c r="C4490" s="1" t="s">
        <v>5</v>
      </c>
    </row>
    <row r="4491" spans="1:3" x14ac:dyDescent="0.25">
      <c r="A4491" s="1" t="s">
        <v>8983</v>
      </c>
      <c r="B4491" s="1" t="s">
        <v>8984</v>
      </c>
      <c r="C4491" s="1" t="s">
        <v>5</v>
      </c>
    </row>
    <row r="4492" spans="1:3" x14ac:dyDescent="0.25">
      <c r="A4492" s="1" t="s">
        <v>8985</v>
      </c>
      <c r="B4492" s="1" t="s">
        <v>8986</v>
      </c>
      <c r="C4492" s="1" t="s">
        <v>5</v>
      </c>
    </row>
    <row r="4493" spans="1:3" x14ac:dyDescent="0.25">
      <c r="A4493" s="1" t="s">
        <v>8987</v>
      </c>
      <c r="B4493" s="1" t="s">
        <v>8988</v>
      </c>
      <c r="C4493" s="1" t="s">
        <v>5</v>
      </c>
    </row>
    <row r="4494" spans="1:3" x14ac:dyDescent="0.25">
      <c r="A4494" s="1" t="s">
        <v>8989</v>
      </c>
      <c r="B4494" s="1" t="s">
        <v>8990</v>
      </c>
      <c r="C4494" s="1" t="s">
        <v>5</v>
      </c>
    </row>
    <row r="4495" spans="1:3" x14ac:dyDescent="0.25">
      <c r="A4495" s="1" t="s">
        <v>8991</v>
      </c>
      <c r="B4495" s="1" t="s">
        <v>8992</v>
      </c>
      <c r="C4495" s="1" t="s">
        <v>5</v>
      </c>
    </row>
    <row r="4496" spans="1:3" x14ac:dyDescent="0.25">
      <c r="A4496" s="1" t="s">
        <v>8993</v>
      </c>
      <c r="B4496" s="1" t="s">
        <v>8994</v>
      </c>
      <c r="C4496" s="1" t="s">
        <v>5</v>
      </c>
    </row>
    <row r="4497" spans="1:3" x14ac:dyDescent="0.25">
      <c r="A4497" s="1" t="s">
        <v>8995</v>
      </c>
      <c r="B4497" s="1" t="s">
        <v>8996</v>
      </c>
      <c r="C4497" s="1" t="s">
        <v>5</v>
      </c>
    </row>
    <row r="4498" spans="1:3" x14ac:dyDescent="0.25">
      <c r="A4498" s="1" t="s">
        <v>8997</v>
      </c>
      <c r="B4498" s="1" t="s">
        <v>8998</v>
      </c>
      <c r="C4498" s="1" t="s">
        <v>5</v>
      </c>
    </row>
    <row r="4499" spans="1:3" x14ac:dyDescent="0.25">
      <c r="A4499" s="1" t="s">
        <v>8999</v>
      </c>
      <c r="B4499" s="1" t="s">
        <v>9000</v>
      </c>
      <c r="C4499" s="1" t="s">
        <v>5</v>
      </c>
    </row>
    <row r="4500" spans="1:3" x14ac:dyDescent="0.25">
      <c r="A4500" s="1" t="s">
        <v>9001</v>
      </c>
      <c r="B4500" s="1" t="s">
        <v>9002</v>
      </c>
      <c r="C4500" s="1" t="s">
        <v>5</v>
      </c>
    </row>
    <row r="4501" spans="1:3" x14ac:dyDescent="0.25">
      <c r="A4501" s="1" t="s">
        <v>9003</v>
      </c>
      <c r="B4501" s="1" t="s">
        <v>9004</v>
      </c>
      <c r="C4501" s="1" t="s">
        <v>5</v>
      </c>
    </row>
    <row r="4502" spans="1:3" x14ac:dyDescent="0.25">
      <c r="A4502" s="1" t="s">
        <v>9005</v>
      </c>
      <c r="B4502" s="1" t="s">
        <v>9006</v>
      </c>
      <c r="C4502" s="1" t="s">
        <v>5</v>
      </c>
    </row>
    <row r="4503" spans="1:3" x14ac:dyDescent="0.25">
      <c r="A4503" s="1" t="s">
        <v>9007</v>
      </c>
      <c r="B4503" s="1" t="s">
        <v>9008</v>
      </c>
      <c r="C4503" s="1" t="s">
        <v>5</v>
      </c>
    </row>
    <row r="4504" spans="1:3" x14ac:dyDescent="0.25">
      <c r="A4504" s="1" t="s">
        <v>9009</v>
      </c>
      <c r="B4504" s="1" t="s">
        <v>9010</v>
      </c>
      <c r="C4504" s="1" t="s">
        <v>5</v>
      </c>
    </row>
    <row r="4505" spans="1:3" x14ac:dyDescent="0.25">
      <c r="A4505" s="1" t="s">
        <v>9011</v>
      </c>
      <c r="B4505" s="1" t="s">
        <v>9012</v>
      </c>
      <c r="C4505" s="1" t="s">
        <v>5</v>
      </c>
    </row>
    <row r="4506" spans="1:3" x14ac:dyDescent="0.25">
      <c r="A4506" s="1" t="s">
        <v>9013</v>
      </c>
      <c r="B4506" s="1" t="s">
        <v>9014</v>
      </c>
      <c r="C4506" s="1" t="s">
        <v>5</v>
      </c>
    </row>
    <row r="4507" spans="1:3" x14ac:dyDescent="0.25">
      <c r="A4507" s="1" t="s">
        <v>9015</v>
      </c>
      <c r="B4507" s="1" t="s">
        <v>9016</v>
      </c>
      <c r="C4507" s="1" t="s">
        <v>5</v>
      </c>
    </row>
    <row r="4508" spans="1:3" x14ac:dyDescent="0.25">
      <c r="A4508" s="1" t="s">
        <v>9017</v>
      </c>
      <c r="B4508" s="1" t="s">
        <v>9018</v>
      </c>
      <c r="C4508" s="1" t="s">
        <v>5</v>
      </c>
    </row>
    <row r="4509" spans="1:3" x14ac:dyDescent="0.25">
      <c r="A4509" s="1" t="s">
        <v>9019</v>
      </c>
      <c r="B4509" s="1" t="s">
        <v>9020</v>
      </c>
      <c r="C4509" s="1" t="s">
        <v>5</v>
      </c>
    </row>
    <row r="4510" spans="1:3" x14ac:dyDescent="0.25">
      <c r="A4510" s="1" t="s">
        <v>9021</v>
      </c>
      <c r="B4510" s="1" t="s">
        <v>9022</v>
      </c>
      <c r="C4510" s="1" t="s">
        <v>5</v>
      </c>
    </row>
    <row r="4511" spans="1:3" x14ac:dyDescent="0.25">
      <c r="A4511" s="1" t="s">
        <v>9023</v>
      </c>
      <c r="B4511" s="1" t="s">
        <v>9024</v>
      </c>
      <c r="C4511" s="1" t="s">
        <v>5</v>
      </c>
    </row>
    <row r="4512" spans="1:3" x14ac:dyDescent="0.25">
      <c r="A4512" s="1" t="s">
        <v>9025</v>
      </c>
      <c r="B4512" s="1" t="s">
        <v>9026</v>
      </c>
      <c r="C4512" s="1" t="s">
        <v>5</v>
      </c>
    </row>
    <row r="4513" spans="1:3" x14ac:dyDescent="0.25">
      <c r="A4513" s="1" t="s">
        <v>9027</v>
      </c>
      <c r="B4513" s="1" t="s">
        <v>9028</v>
      </c>
      <c r="C4513" s="1" t="s">
        <v>5</v>
      </c>
    </row>
    <row r="4514" spans="1:3" x14ac:dyDescent="0.25">
      <c r="A4514" s="1" t="s">
        <v>9029</v>
      </c>
      <c r="B4514" s="1" t="s">
        <v>9030</v>
      </c>
      <c r="C4514" s="1" t="s">
        <v>5</v>
      </c>
    </row>
    <row r="4515" spans="1:3" x14ac:dyDescent="0.25">
      <c r="A4515" s="1" t="s">
        <v>9031</v>
      </c>
      <c r="B4515" s="1" t="s">
        <v>9032</v>
      </c>
      <c r="C4515" s="1" t="s">
        <v>5</v>
      </c>
    </row>
    <row r="4516" spans="1:3" x14ac:dyDescent="0.25">
      <c r="A4516" s="1" t="s">
        <v>9033</v>
      </c>
      <c r="B4516" s="1" t="s">
        <v>9034</v>
      </c>
      <c r="C4516" s="1" t="s">
        <v>5</v>
      </c>
    </row>
    <row r="4517" spans="1:3" x14ac:dyDescent="0.25">
      <c r="A4517" s="1" t="s">
        <v>9035</v>
      </c>
      <c r="B4517" s="1" t="s">
        <v>9036</v>
      </c>
      <c r="C4517" s="1" t="s">
        <v>5</v>
      </c>
    </row>
    <row r="4518" spans="1:3" x14ac:dyDescent="0.25">
      <c r="A4518" s="1" t="s">
        <v>9037</v>
      </c>
      <c r="B4518" s="1" t="s">
        <v>9038</v>
      </c>
      <c r="C4518" s="1" t="s">
        <v>5</v>
      </c>
    </row>
    <row r="4519" spans="1:3" x14ac:dyDescent="0.25">
      <c r="A4519" s="1" t="s">
        <v>9039</v>
      </c>
      <c r="B4519" s="1" t="s">
        <v>9040</v>
      </c>
      <c r="C4519" s="1" t="s">
        <v>5</v>
      </c>
    </row>
    <row r="4520" spans="1:3" x14ac:dyDescent="0.25">
      <c r="A4520" s="1" t="s">
        <v>9041</v>
      </c>
      <c r="B4520" s="1" t="s">
        <v>9042</v>
      </c>
      <c r="C4520" s="1" t="s">
        <v>5</v>
      </c>
    </row>
    <row r="4521" spans="1:3" x14ac:dyDescent="0.25">
      <c r="A4521" s="1" t="s">
        <v>9043</v>
      </c>
      <c r="B4521" s="1" t="s">
        <v>9044</v>
      </c>
      <c r="C4521" s="1" t="s">
        <v>5</v>
      </c>
    </row>
    <row r="4522" spans="1:3" x14ac:dyDescent="0.25">
      <c r="A4522" s="1" t="s">
        <v>9045</v>
      </c>
      <c r="B4522" s="1" t="s">
        <v>9046</v>
      </c>
      <c r="C4522" s="1" t="s">
        <v>5</v>
      </c>
    </row>
    <row r="4523" spans="1:3" x14ac:dyDescent="0.25">
      <c r="A4523" s="1" t="s">
        <v>9047</v>
      </c>
      <c r="B4523" s="1" t="s">
        <v>9048</v>
      </c>
      <c r="C4523" s="1" t="s">
        <v>5</v>
      </c>
    </row>
    <row r="4524" spans="1:3" x14ac:dyDescent="0.25">
      <c r="A4524" s="1" t="s">
        <v>9049</v>
      </c>
      <c r="B4524" s="1" t="s">
        <v>9050</v>
      </c>
      <c r="C4524" s="1" t="s">
        <v>5</v>
      </c>
    </row>
    <row r="4525" spans="1:3" x14ac:dyDescent="0.25">
      <c r="A4525" s="1" t="s">
        <v>9051</v>
      </c>
      <c r="B4525" s="1" t="s">
        <v>9052</v>
      </c>
      <c r="C4525" s="1" t="s">
        <v>5</v>
      </c>
    </row>
    <row r="4526" spans="1:3" x14ac:dyDescent="0.25">
      <c r="A4526" s="1" t="s">
        <v>9053</v>
      </c>
      <c r="B4526" s="1" t="s">
        <v>9054</v>
      </c>
      <c r="C4526" s="1" t="s">
        <v>5</v>
      </c>
    </row>
    <row r="4527" spans="1:3" x14ac:dyDescent="0.25">
      <c r="A4527" s="1" t="s">
        <v>9055</v>
      </c>
      <c r="B4527" s="1" t="s">
        <v>9056</v>
      </c>
      <c r="C4527" s="1" t="s">
        <v>5</v>
      </c>
    </row>
    <row r="4528" spans="1:3" x14ac:dyDescent="0.25">
      <c r="A4528" s="1" t="s">
        <v>9057</v>
      </c>
      <c r="B4528" s="1" t="s">
        <v>9058</v>
      </c>
      <c r="C4528" s="1" t="s">
        <v>5</v>
      </c>
    </row>
    <row r="4529" spans="1:3" x14ac:dyDescent="0.25">
      <c r="A4529" s="1" t="s">
        <v>9059</v>
      </c>
      <c r="B4529" s="1" t="s">
        <v>9060</v>
      </c>
      <c r="C4529" s="1" t="s">
        <v>5</v>
      </c>
    </row>
    <row r="4530" spans="1:3" x14ac:dyDescent="0.25">
      <c r="A4530" s="1" t="s">
        <v>9061</v>
      </c>
      <c r="B4530" s="1" t="s">
        <v>9062</v>
      </c>
      <c r="C4530" s="1" t="s">
        <v>5</v>
      </c>
    </row>
    <row r="4531" spans="1:3" x14ac:dyDescent="0.25">
      <c r="A4531" s="1" t="s">
        <v>9063</v>
      </c>
      <c r="B4531" s="1" t="s">
        <v>9064</v>
      </c>
      <c r="C4531" s="1" t="s">
        <v>5</v>
      </c>
    </row>
    <row r="4532" spans="1:3" x14ac:dyDescent="0.25">
      <c r="A4532" s="1" t="s">
        <v>9065</v>
      </c>
      <c r="B4532" s="1" t="s">
        <v>9066</v>
      </c>
      <c r="C4532" s="1" t="s">
        <v>5</v>
      </c>
    </row>
    <row r="4533" spans="1:3" x14ac:dyDescent="0.25">
      <c r="A4533" s="1" t="s">
        <v>9067</v>
      </c>
      <c r="B4533" s="1" t="s">
        <v>9068</v>
      </c>
      <c r="C4533" s="1" t="s">
        <v>5</v>
      </c>
    </row>
    <row r="4534" spans="1:3" x14ac:dyDescent="0.25">
      <c r="A4534" s="1" t="s">
        <v>9069</v>
      </c>
      <c r="B4534" s="1" t="s">
        <v>9070</v>
      </c>
      <c r="C4534" s="1" t="s">
        <v>5</v>
      </c>
    </row>
    <row r="4535" spans="1:3" x14ac:dyDescent="0.25">
      <c r="A4535" s="1" t="s">
        <v>9071</v>
      </c>
      <c r="B4535" s="1" t="s">
        <v>9072</v>
      </c>
      <c r="C4535" s="1" t="s">
        <v>5</v>
      </c>
    </row>
    <row r="4536" spans="1:3" x14ac:dyDescent="0.25">
      <c r="A4536" s="1" t="s">
        <v>9073</v>
      </c>
      <c r="B4536" s="1" t="s">
        <v>9074</v>
      </c>
      <c r="C4536" s="1" t="s">
        <v>5</v>
      </c>
    </row>
    <row r="4537" spans="1:3" x14ac:dyDescent="0.25">
      <c r="A4537" s="1" t="s">
        <v>9075</v>
      </c>
      <c r="B4537" s="1" t="s">
        <v>9076</v>
      </c>
      <c r="C4537" s="1" t="s">
        <v>5</v>
      </c>
    </row>
    <row r="4538" spans="1:3" x14ac:dyDescent="0.25">
      <c r="A4538" s="1" t="s">
        <v>9077</v>
      </c>
      <c r="B4538" s="1" t="s">
        <v>9078</v>
      </c>
      <c r="C4538" s="1" t="s">
        <v>5</v>
      </c>
    </row>
    <row r="4539" spans="1:3" x14ac:dyDescent="0.25">
      <c r="A4539" s="1" t="s">
        <v>9079</v>
      </c>
      <c r="B4539" s="1" t="s">
        <v>9080</v>
      </c>
      <c r="C4539" s="1" t="s">
        <v>5</v>
      </c>
    </row>
    <row r="4540" spans="1:3" x14ac:dyDescent="0.25">
      <c r="A4540" s="1" t="s">
        <v>9081</v>
      </c>
      <c r="B4540" s="1" t="s">
        <v>9082</v>
      </c>
      <c r="C4540" s="1" t="s">
        <v>5</v>
      </c>
    </row>
    <row r="4541" spans="1:3" x14ac:dyDescent="0.25">
      <c r="A4541" s="1" t="s">
        <v>9083</v>
      </c>
      <c r="B4541" s="1" t="s">
        <v>9084</v>
      </c>
      <c r="C4541" s="1" t="s">
        <v>5</v>
      </c>
    </row>
    <row r="4542" spans="1:3" x14ac:dyDescent="0.25">
      <c r="A4542" s="1" t="s">
        <v>9085</v>
      </c>
      <c r="B4542" s="1" t="s">
        <v>9086</v>
      </c>
      <c r="C4542" s="1" t="s">
        <v>5</v>
      </c>
    </row>
    <row r="4543" spans="1:3" x14ac:dyDescent="0.25">
      <c r="A4543" s="1" t="s">
        <v>9087</v>
      </c>
      <c r="B4543" s="1" t="s">
        <v>9088</v>
      </c>
      <c r="C4543" s="1" t="s">
        <v>5</v>
      </c>
    </row>
    <row r="4544" spans="1:3" x14ac:dyDescent="0.25">
      <c r="A4544" s="1" t="s">
        <v>9089</v>
      </c>
      <c r="B4544" s="1" t="s">
        <v>9090</v>
      </c>
      <c r="C4544" s="1" t="s">
        <v>5</v>
      </c>
    </row>
    <row r="4545" spans="1:3" x14ac:dyDescent="0.25">
      <c r="A4545" s="1" t="s">
        <v>9091</v>
      </c>
      <c r="B4545" s="1" t="s">
        <v>9092</v>
      </c>
      <c r="C4545" s="1" t="s">
        <v>5</v>
      </c>
    </row>
    <row r="4546" spans="1:3" x14ac:dyDescent="0.25">
      <c r="A4546" s="1" t="s">
        <v>9093</v>
      </c>
      <c r="B4546" s="1" t="s">
        <v>9094</v>
      </c>
      <c r="C4546" s="1" t="s">
        <v>5</v>
      </c>
    </row>
    <row r="4547" spans="1:3" x14ac:dyDescent="0.25">
      <c r="A4547" s="1" t="s">
        <v>9095</v>
      </c>
      <c r="B4547" s="1" t="s">
        <v>9096</v>
      </c>
      <c r="C4547" s="1" t="s">
        <v>5</v>
      </c>
    </row>
    <row r="4548" spans="1:3" x14ac:dyDescent="0.25">
      <c r="A4548" s="1" t="s">
        <v>9097</v>
      </c>
      <c r="B4548" s="1" t="s">
        <v>9098</v>
      </c>
      <c r="C4548" s="1" t="s">
        <v>5</v>
      </c>
    </row>
    <row r="4549" spans="1:3" x14ac:dyDescent="0.25">
      <c r="A4549" s="1" t="s">
        <v>9099</v>
      </c>
      <c r="B4549" s="1" t="s">
        <v>9100</v>
      </c>
      <c r="C4549" s="1" t="s">
        <v>5</v>
      </c>
    </row>
    <row r="4550" spans="1:3" x14ac:dyDescent="0.25">
      <c r="A4550" s="1" t="s">
        <v>9101</v>
      </c>
      <c r="B4550" s="1" t="s">
        <v>9102</v>
      </c>
      <c r="C4550" s="1" t="s">
        <v>5</v>
      </c>
    </row>
    <row r="4551" spans="1:3" x14ac:dyDescent="0.25">
      <c r="A4551" s="1" t="s">
        <v>9103</v>
      </c>
      <c r="B4551" s="1" t="s">
        <v>9104</v>
      </c>
      <c r="C4551" s="1" t="s">
        <v>5</v>
      </c>
    </row>
    <row r="4552" spans="1:3" x14ac:dyDescent="0.25">
      <c r="A4552" s="1" t="s">
        <v>9105</v>
      </c>
      <c r="B4552" s="1" t="s">
        <v>9106</v>
      </c>
      <c r="C4552" s="1" t="s">
        <v>5</v>
      </c>
    </row>
    <row r="4553" spans="1:3" x14ac:dyDescent="0.25">
      <c r="A4553" s="1" t="s">
        <v>9107</v>
      </c>
      <c r="B4553" s="1" t="s">
        <v>9108</v>
      </c>
      <c r="C4553" s="1" t="s">
        <v>5</v>
      </c>
    </row>
    <row r="4554" spans="1:3" x14ac:dyDescent="0.25">
      <c r="A4554" s="1" t="s">
        <v>9109</v>
      </c>
      <c r="B4554" s="1" t="s">
        <v>9110</v>
      </c>
      <c r="C4554" s="1" t="s">
        <v>5</v>
      </c>
    </row>
    <row r="4555" spans="1:3" x14ac:dyDescent="0.25">
      <c r="A4555" s="1" t="s">
        <v>9111</v>
      </c>
      <c r="B4555" s="1" t="s">
        <v>9112</v>
      </c>
      <c r="C4555" s="1" t="s">
        <v>5</v>
      </c>
    </row>
    <row r="4556" spans="1:3" x14ac:dyDescent="0.25">
      <c r="A4556" s="1" t="s">
        <v>9113</v>
      </c>
      <c r="B4556" s="1" t="s">
        <v>9114</v>
      </c>
      <c r="C4556" s="1" t="s">
        <v>5</v>
      </c>
    </row>
    <row r="4557" spans="1:3" x14ac:dyDescent="0.25">
      <c r="A4557" s="1" t="s">
        <v>9115</v>
      </c>
      <c r="B4557" s="1" t="s">
        <v>9116</v>
      </c>
      <c r="C4557" s="1" t="s">
        <v>5</v>
      </c>
    </row>
    <row r="4558" spans="1:3" x14ac:dyDescent="0.25">
      <c r="A4558" s="1" t="s">
        <v>9117</v>
      </c>
      <c r="B4558" s="1" t="s">
        <v>9118</v>
      </c>
      <c r="C4558" s="1" t="s">
        <v>5</v>
      </c>
    </row>
    <row r="4559" spans="1:3" x14ac:dyDescent="0.25">
      <c r="A4559" s="1" t="s">
        <v>9119</v>
      </c>
      <c r="B4559" s="1" t="s">
        <v>9120</v>
      </c>
      <c r="C4559" s="1" t="s">
        <v>5</v>
      </c>
    </row>
    <row r="4560" spans="1:3" x14ac:dyDescent="0.25">
      <c r="A4560" s="1" t="s">
        <v>9121</v>
      </c>
      <c r="B4560" s="1" t="s">
        <v>9122</v>
      </c>
      <c r="C4560" s="1" t="s">
        <v>5</v>
      </c>
    </row>
    <row r="4561" spans="1:3" x14ac:dyDescent="0.25">
      <c r="A4561" s="1" t="s">
        <v>9123</v>
      </c>
      <c r="B4561" s="1" t="s">
        <v>9124</v>
      </c>
      <c r="C4561" s="1" t="s">
        <v>5</v>
      </c>
    </row>
    <row r="4562" spans="1:3" x14ac:dyDescent="0.25">
      <c r="A4562" s="1" t="s">
        <v>9125</v>
      </c>
      <c r="B4562" s="1" t="s">
        <v>9126</v>
      </c>
      <c r="C4562" s="1" t="s">
        <v>5</v>
      </c>
    </row>
    <row r="4563" spans="1:3" x14ac:dyDescent="0.25">
      <c r="A4563" s="1" t="s">
        <v>9127</v>
      </c>
      <c r="B4563" s="1" t="s">
        <v>9128</v>
      </c>
      <c r="C4563" s="1" t="s">
        <v>5</v>
      </c>
    </row>
    <row r="4564" spans="1:3" x14ac:dyDescent="0.25">
      <c r="A4564" s="1" t="s">
        <v>9129</v>
      </c>
      <c r="B4564" s="1" t="s">
        <v>9130</v>
      </c>
      <c r="C4564" s="1" t="s">
        <v>5</v>
      </c>
    </row>
    <row r="4565" spans="1:3" x14ac:dyDescent="0.25">
      <c r="A4565" s="1" t="s">
        <v>9131</v>
      </c>
      <c r="B4565" s="1" t="s">
        <v>9132</v>
      </c>
      <c r="C4565" s="1" t="s">
        <v>5</v>
      </c>
    </row>
    <row r="4566" spans="1:3" x14ac:dyDescent="0.25">
      <c r="A4566" s="1" t="s">
        <v>9133</v>
      </c>
      <c r="B4566" s="1" t="s">
        <v>9134</v>
      </c>
      <c r="C4566" s="1" t="s">
        <v>5</v>
      </c>
    </row>
    <row r="4567" spans="1:3" x14ac:dyDescent="0.25">
      <c r="A4567" s="1" t="s">
        <v>9135</v>
      </c>
      <c r="B4567" s="1" t="s">
        <v>9136</v>
      </c>
      <c r="C4567" s="1" t="s">
        <v>5</v>
      </c>
    </row>
    <row r="4568" spans="1:3" x14ac:dyDescent="0.25">
      <c r="A4568" s="1" t="s">
        <v>9137</v>
      </c>
      <c r="B4568" s="1" t="s">
        <v>9138</v>
      </c>
      <c r="C4568" s="1" t="s">
        <v>5</v>
      </c>
    </row>
    <row r="4569" spans="1:3" x14ac:dyDescent="0.25">
      <c r="A4569" s="1" t="s">
        <v>9139</v>
      </c>
      <c r="B4569" s="1" t="s">
        <v>9140</v>
      </c>
      <c r="C4569" s="1" t="s">
        <v>5</v>
      </c>
    </row>
    <row r="4570" spans="1:3" x14ac:dyDescent="0.25">
      <c r="A4570" s="1" t="s">
        <v>9141</v>
      </c>
      <c r="B4570" s="1" t="s">
        <v>9142</v>
      </c>
      <c r="C4570" s="1" t="s">
        <v>5</v>
      </c>
    </row>
    <row r="4571" spans="1:3" x14ac:dyDescent="0.25">
      <c r="A4571" s="1" t="s">
        <v>9143</v>
      </c>
      <c r="B4571" s="1" t="s">
        <v>9144</v>
      </c>
      <c r="C4571" s="1" t="s">
        <v>5</v>
      </c>
    </row>
    <row r="4572" spans="1:3" x14ac:dyDescent="0.25">
      <c r="A4572" s="1" t="s">
        <v>9145</v>
      </c>
      <c r="B4572" s="1" t="s">
        <v>9146</v>
      </c>
      <c r="C4572" s="1" t="s">
        <v>5</v>
      </c>
    </row>
    <row r="4573" spans="1:3" x14ac:dyDescent="0.25">
      <c r="A4573" s="1" t="s">
        <v>9147</v>
      </c>
      <c r="B4573" s="1" t="s">
        <v>9148</v>
      </c>
      <c r="C4573" s="1" t="s">
        <v>5</v>
      </c>
    </row>
    <row r="4574" spans="1:3" x14ac:dyDescent="0.25">
      <c r="A4574" s="1" t="s">
        <v>9149</v>
      </c>
      <c r="B4574" s="1" t="s">
        <v>9150</v>
      </c>
      <c r="C4574" s="1" t="s">
        <v>5</v>
      </c>
    </row>
    <row r="4575" spans="1:3" x14ac:dyDescent="0.25">
      <c r="A4575" s="1" t="s">
        <v>9151</v>
      </c>
      <c r="B4575" s="1" t="s">
        <v>9152</v>
      </c>
      <c r="C4575" s="1" t="s">
        <v>5</v>
      </c>
    </row>
    <row r="4576" spans="1:3" x14ac:dyDescent="0.25">
      <c r="A4576" s="1" t="s">
        <v>9153</v>
      </c>
      <c r="B4576" s="1" t="s">
        <v>9154</v>
      </c>
      <c r="C4576" s="1" t="s">
        <v>5</v>
      </c>
    </row>
    <row r="4577" spans="1:3" x14ac:dyDescent="0.25">
      <c r="A4577" s="1" t="s">
        <v>9155</v>
      </c>
      <c r="B4577" s="1" t="s">
        <v>9156</v>
      </c>
      <c r="C4577" s="1" t="s">
        <v>5</v>
      </c>
    </row>
    <row r="4578" spans="1:3" x14ac:dyDescent="0.25">
      <c r="A4578" s="1" t="s">
        <v>9157</v>
      </c>
      <c r="B4578" s="1" t="s">
        <v>9158</v>
      </c>
      <c r="C4578" s="1" t="s">
        <v>5</v>
      </c>
    </row>
    <row r="4579" spans="1:3" x14ac:dyDescent="0.25">
      <c r="A4579" s="1" t="s">
        <v>9159</v>
      </c>
      <c r="B4579" s="1" t="s">
        <v>9160</v>
      </c>
      <c r="C4579" s="1" t="s">
        <v>5</v>
      </c>
    </row>
    <row r="4580" spans="1:3" x14ac:dyDescent="0.25">
      <c r="A4580" s="1" t="s">
        <v>9161</v>
      </c>
      <c r="B4580" s="1" t="s">
        <v>9162</v>
      </c>
      <c r="C4580" s="1" t="s">
        <v>5</v>
      </c>
    </row>
    <row r="4581" spans="1:3" x14ac:dyDescent="0.25">
      <c r="A4581" s="1" t="s">
        <v>9163</v>
      </c>
      <c r="B4581" s="1" t="s">
        <v>9164</v>
      </c>
      <c r="C4581" s="1" t="s">
        <v>5</v>
      </c>
    </row>
    <row r="4582" spans="1:3" x14ac:dyDescent="0.25">
      <c r="A4582" s="1" t="s">
        <v>9165</v>
      </c>
      <c r="B4582" s="1" t="s">
        <v>9166</v>
      </c>
      <c r="C4582" s="1" t="s">
        <v>5</v>
      </c>
    </row>
    <row r="4583" spans="1:3" x14ac:dyDescent="0.25">
      <c r="A4583" s="1" t="s">
        <v>9167</v>
      </c>
      <c r="B4583" s="1" t="s">
        <v>9168</v>
      </c>
      <c r="C4583" s="1" t="s">
        <v>5</v>
      </c>
    </row>
    <row r="4584" spans="1:3" x14ac:dyDescent="0.25">
      <c r="A4584" s="1" t="s">
        <v>9169</v>
      </c>
      <c r="B4584" s="1" t="s">
        <v>9170</v>
      </c>
      <c r="C4584" s="1" t="s">
        <v>5</v>
      </c>
    </row>
    <row r="4585" spans="1:3" x14ac:dyDescent="0.25">
      <c r="A4585" s="1" t="s">
        <v>9171</v>
      </c>
      <c r="B4585" s="1" t="s">
        <v>9172</v>
      </c>
      <c r="C4585" s="1" t="s">
        <v>5</v>
      </c>
    </row>
    <row r="4586" spans="1:3" x14ac:dyDescent="0.25">
      <c r="A4586" s="1" t="s">
        <v>9173</v>
      </c>
      <c r="B4586" s="1" t="s">
        <v>9174</v>
      </c>
      <c r="C4586" s="1" t="s">
        <v>5</v>
      </c>
    </row>
    <row r="4587" spans="1:3" x14ac:dyDescent="0.25">
      <c r="A4587" s="1" t="s">
        <v>9175</v>
      </c>
      <c r="B4587" s="1" t="s">
        <v>9176</v>
      </c>
      <c r="C4587" s="1" t="s">
        <v>5</v>
      </c>
    </row>
    <row r="4588" spans="1:3" x14ac:dyDescent="0.25">
      <c r="A4588" s="1" t="s">
        <v>9177</v>
      </c>
      <c r="B4588" s="1" t="s">
        <v>9178</v>
      </c>
      <c r="C4588" s="1" t="s">
        <v>5</v>
      </c>
    </row>
    <row r="4589" spans="1:3" x14ac:dyDescent="0.25">
      <c r="A4589" s="1" t="s">
        <v>9179</v>
      </c>
      <c r="B4589" s="1" t="s">
        <v>9180</v>
      </c>
      <c r="C4589" s="1" t="s">
        <v>5</v>
      </c>
    </row>
    <row r="4590" spans="1:3" x14ac:dyDescent="0.25">
      <c r="A4590" s="1" t="s">
        <v>9181</v>
      </c>
      <c r="B4590" s="1" t="s">
        <v>9182</v>
      </c>
      <c r="C4590" s="1" t="s">
        <v>5</v>
      </c>
    </row>
    <row r="4591" spans="1:3" x14ac:dyDescent="0.25">
      <c r="A4591" s="1" t="s">
        <v>9183</v>
      </c>
      <c r="B4591" s="1" t="s">
        <v>9184</v>
      </c>
      <c r="C4591" s="1" t="s">
        <v>5</v>
      </c>
    </row>
    <row r="4592" spans="1:3" x14ac:dyDescent="0.25">
      <c r="A4592" s="1" t="s">
        <v>9185</v>
      </c>
      <c r="B4592" s="1" t="s">
        <v>9186</v>
      </c>
      <c r="C4592" s="1" t="s">
        <v>5</v>
      </c>
    </row>
    <row r="4593" spans="1:3" x14ac:dyDescent="0.25">
      <c r="A4593" s="1" t="s">
        <v>9187</v>
      </c>
      <c r="B4593" s="1" t="s">
        <v>9188</v>
      </c>
      <c r="C4593" s="1" t="s">
        <v>5</v>
      </c>
    </row>
    <row r="4594" spans="1:3" x14ac:dyDescent="0.25">
      <c r="A4594" s="1" t="s">
        <v>9189</v>
      </c>
      <c r="B4594" s="1" t="s">
        <v>9190</v>
      </c>
      <c r="C4594" s="1" t="s">
        <v>5</v>
      </c>
    </row>
    <row r="4595" spans="1:3" x14ac:dyDescent="0.25">
      <c r="A4595" s="1" t="s">
        <v>9191</v>
      </c>
      <c r="B4595" s="1" t="s">
        <v>9192</v>
      </c>
      <c r="C4595" s="1" t="s">
        <v>5</v>
      </c>
    </row>
    <row r="4596" spans="1:3" x14ac:dyDescent="0.25">
      <c r="A4596" s="1" t="s">
        <v>9193</v>
      </c>
      <c r="B4596" s="1" t="s">
        <v>9194</v>
      </c>
      <c r="C4596" s="1" t="s">
        <v>5</v>
      </c>
    </row>
    <row r="4597" spans="1:3" x14ac:dyDescent="0.25">
      <c r="A4597" s="1" t="s">
        <v>9195</v>
      </c>
      <c r="B4597" s="1" t="s">
        <v>9196</v>
      </c>
      <c r="C4597" s="1" t="s">
        <v>5</v>
      </c>
    </row>
    <row r="4598" spans="1:3" x14ac:dyDescent="0.25">
      <c r="A4598" s="1" t="s">
        <v>9197</v>
      </c>
      <c r="B4598" s="1" t="s">
        <v>9198</v>
      </c>
      <c r="C4598" s="1" t="s">
        <v>5</v>
      </c>
    </row>
    <row r="4599" spans="1:3" x14ac:dyDescent="0.25">
      <c r="A4599" s="1" t="s">
        <v>9199</v>
      </c>
      <c r="B4599" s="1" t="s">
        <v>9200</v>
      </c>
      <c r="C4599" s="1" t="s">
        <v>5</v>
      </c>
    </row>
    <row r="4600" spans="1:3" x14ac:dyDescent="0.25">
      <c r="A4600" s="1" t="s">
        <v>9201</v>
      </c>
      <c r="B4600" s="1" t="s">
        <v>9202</v>
      </c>
      <c r="C4600" s="1" t="s">
        <v>5</v>
      </c>
    </row>
    <row r="4601" spans="1:3" x14ac:dyDescent="0.25">
      <c r="A4601" s="1" t="s">
        <v>9203</v>
      </c>
      <c r="B4601" s="1" t="s">
        <v>9204</v>
      </c>
      <c r="C4601" s="1" t="s">
        <v>5</v>
      </c>
    </row>
    <row r="4602" spans="1:3" x14ac:dyDescent="0.25">
      <c r="A4602" s="1" t="s">
        <v>9205</v>
      </c>
      <c r="B4602" s="1" t="s">
        <v>9206</v>
      </c>
      <c r="C4602" s="1" t="s">
        <v>5</v>
      </c>
    </row>
    <row r="4603" spans="1:3" x14ac:dyDescent="0.25">
      <c r="A4603" s="1" t="s">
        <v>9207</v>
      </c>
      <c r="B4603" s="1" t="s">
        <v>9208</v>
      </c>
      <c r="C4603" s="1" t="s">
        <v>5</v>
      </c>
    </row>
    <row r="4604" spans="1:3" x14ac:dyDescent="0.25">
      <c r="A4604" s="1" t="s">
        <v>9209</v>
      </c>
      <c r="B4604" s="1" t="s">
        <v>9210</v>
      </c>
      <c r="C4604" s="1" t="s">
        <v>5</v>
      </c>
    </row>
    <row r="4605" spans="1:3" x14ac:dyDescent="0.25">
      <c r="A4605" s="1" t="s">
        <v>9211</v>
      </c>
      <c r="B4605" s="1" t="s">
        <v>9212</v>
      </c>
      <c r="C4605" s="1" t="s">
        <v>5</v>
      </c>
    </row>
    <row r="4606" spans="1:3" x14ac:dyDescent="0.25">
      <c r="A4606" s="1" t="s">
        <v>9213</v>
      </c>
      <c r="B4606" s="1" t="s">
        <v>9214</v>
      </c>
      <c r="C4606" s="1" t="s">
        <v>5</v>
      </c>
    </row>
    <row r="4607" spans="1:3" x14ac:dyDescent="0.25">
      <c r="A4607" s="1" t="s">
        <v>9215</v>
      </c>
      <c r="B4607" s="1" t="s">
        <v>9216</v>
      </c>
      <c r="C4607" s="1" t="s">
        <v>5</v>
      </c>
    </row>
    <row r="4608" spans="1:3" x14ac:dyDescent="0.25">
      <c r="A4608" s="1" t="s">
        <v>9217</v>
      </c>
      <c r="B4608" s="1" t="s">
        <v>9218</v>
      </c>
      <c r="C4608" s="1" t="s">
        <v>5</v>
      </c>
    </row>
    <row r="4609" spans="1:3" x14ac:dyDescent="0.25">
      <c r="A4609" s="1" t="s">
        <v>9219</v>
      </c>
      <c r="B4609" s="1" t="s">
        <v>9220</v>
      </c>
      <c r="C4609" s="1" t="s">
        <v>5</v>
      </c>
    </row>
    <row r="4610" spans="1:3" x14ac:dyDescent="0.25">
      <c r="A4610" s="1" t="s">
        <v>9221</v>
      </c>
      <c r="B4610" s="1" t="s">
        <v>9222</v>
      </c>
      <c r="C4610" s="1" t="s">
        <v>5</v>
      </c>
    </row>
    <row r="4611" spans="1:3" x14ac:dyDescent="0.25">
      <c r="A4611" s="1" t="s">
        <v>9223</v>
      </c>
      <c r="B4611" s="1" t="s">
        <v>9224</v>
      </c>
      <c r="C4611" s="1" t="s">
        <v>5</v>
      </c>
    </row>
    <row r="4612" spans="1:3" x14ac:dyDescent="0.25">
      <c r="A4612" s="1" t="s">
        <v>9225</v>
      </c>
      <c r="B4612" s="1" t="s">
        <v>9226</v>
      </c>
      <c r="C4612" s="1" t="s">
        <v>5</v>
      </c>
    </row>
    <row r="4613" spans="1:3" x14ac:dyDescent="0.25">
      <c r="A4613" s="1" t="s">
        <v>9227</v>
      </c>
      <c r="B4613" s="1" t="s">
        <v>9228</v>
      </c>
      <c r="C4613" s="1" t="s">
        <v>5</v>
      </c>
    </row>
    <row r="4614" spans="1:3" x14ac:dyDescent="0.25">
      <c r="A4614" s="1" t="s">
        <v>9229</v>
      </c>
      <c r="B4614" s="1" t="s">
        <v>9230</v>
      </c>
      <c r="C4614" s="1" t="s">
        <v>5</v>
      </c>
    </row>
    <row r="4615" spans="1:3" x14ac:dyDescent="0.25">
      <c r="A4615" s="1" t="s">
        <v>9231</v>
      </c>
      <c r="B4615" s="1" t="s">
        <v>9232</v>
      </c>
      <c r="C4615" s="1" t="s">
        <v>5</v>
      </c>
    </row>
    <row r="4616" spans="1:3" x14ac:dyDescent="0.25">
      <c r="A4616" s="1" t="s">
        <v>9233</v>
      </c>
      <c r="B4616" s="1" t="s">
        <v>9234</v>
      </c>
      <c r="C4616" s="1" t="s">
        <v>5</v>
      </c>
    </row>
    <row r="4617" spans="1:3" x14ac:dyDescent="0.25">
      <c r="A4617" s="1" t="s">
        <v>9235</v>
      </c>
      <c r="B4617" s="1" t="s">
        <v>9236</v>
      </c>
      <c r="C4617" s="1" t="s">
        <v>5</v>
      </c>
    </row>
    <row r="4618" spans="1:3" x14ac:dyDescent="0.25">
      <c r="A4618" s="1" t="s">
        <v>9237</v>
      </c>
      <c r="B4618" s="1" t="s">
        <v>9238</v>
      </c>
      <c r="C4618" s="1" t="s">
        <v>5</v>
      </c>
    </row>
    <row r="4619" spans="1:3" x14ac:dyDescent="0.25">
      <c r="A4619" s="1" t="s">
        <v>9239</v>
      </c>
      <c r="B4619" s="1" t="s">
        <v>9240</v>
      </c>
      <c r="C4619" s="1" t="s">
        <v>5</v>
      </c>
    </row>
    <row r="4620" spans="1:3" x14ac:dyDescent="0.25">
      <c r="A4620" s="1" t="s">
        <v>9241</v>
      </c>
      <c r="B4620" s="1" t="s">
        <v>9242</v>
      </c>
      <c r="C4620" s="1" t="s">
        <v>5</v>
      </c>
    </row>
    <row r="4621" spans="1:3" x14ac:dyDescent="0.25">
      <c r="A4621" s="1" t="s">
        <v>9243</v>
      </c>
      <c r="B4621" s="1" t="s">
        <v>9244</v>
      </c>
      <c r="C4621" s="1" t="s">
        <v>5</v>
      </c>
    </row>
    <row r="4622" spans="1:3" x14ac:dyDescent="0.25">
      <c r="A4622" s="1" t="s">
        <v>9245</v>
      </c>
      <c r="B4622" s="1" t="s">
        <v>9246</v>
      </c>
      <c r="C4622" s="1" t="s">
        <v>5</v>
      </c>
    </row>
    <row r="4623" spans="1:3" x14ac:dyDescent="0.25">
      <c r="A4623" s="1" t="s">
        <v>9247</v>
      </c>
      <c r="B4623" s="1" t="s">
        <v>9248</v>
      </c>
      <c r="C4623" s="1" t="s">
        <v>5</v>
      </c>
    </row>
    <row r="4624" spans="1:3" x14ac:dyDescent="0.25">
      <c r="A4624" s="1" t="s">
        <v>9249</v>
      </c>
      <c r="B4624" s="1" t="s">
        <v>9250</v>
      </c>
      <c r="C4624" s="1" t="s">
        <v>5</v>
      </c>
    </row>
    <row r="4625" spans="1:3" x14ac:dyDescent="0.25">
      <c r="A4625" s="1" t="s">
        <v>9251</v>
      </c>
      <c r="B4625" s="1" t="s">
        <v>9252</v>
      </c>
      <c r="C4625" s="1" t="s">
        <v>5</v>
      </c>
    </row>
    <row r="4626" spans="1:3" x14ac:dyDescent="0.25">
      <c r="A4626" s="1" t="s">
        <v>9253</v>
      </c>
      <c r="B4626" s="1" t="s">
        <v>9254</v>
      </c>
      <c r="C4626" s="1" t="s">
        <v>5</v>
      </c>
    </row>
    <row r="4627" spans="1:3" x14ac:dyDescent="0.25">
      <c r="A4627" s="1" t="s">
        <v>9255</v>
      </c>
      <c r="B4627" s="1" t="s">
        <v>9256</v>
      </c>
      <c r="C4627" s="1" t="s">
        <v>5</v>
      </c>
    </row>
    <row r="4628" spans="1:3" x14ac:dyDescent="0.25">
      <c r="A4628" s="1" t="s">
        <v>9257</v>
      </c>
      <c r="B4628" s="1" t="s">
        <v>9258</v>
      </c>
      <c r="C4628" s="1" t="s">
        <v>5</v>
      </c>
    </row>
    <row r="4629" spans="1:3" x14ac:dyDescent="0.25">
      <c r="A4629" s="1" t="s">
        <v>9259</v>
      </c>
      <c r="B4629" s="1" t="s">
        <v>9260</v>
      </c>
      <c r="C4629" s="1" t="s">
        <v>5</v>
      </c>
    </row>
    <row r="4630" spans="1:3" x14ac:dyDescent="0.25">
      <c r="A4630" s="1" t="s">
        <v>9261</v>
      </c>
      <c r="B4630" s="1" t="s">
        <v>9262</v>
      </c>
      <c r="C4630" s="1" t="s">
        <v>5</v>
      </c>
    </row>
    <row r="4631" spans="1:3" x14ac:dyDescent="0.25">
      <c r="A4631" s="1" t="s">
        <v>9263</v>
      </c>
      <c r="B4631" s="1" t="s">
        <v>9264</v>
      </c>
      <c r="C4631" s="1" t="s">
        <v>5</v>
      </c>
    </row>
    <row r="4632" spans="1:3" x14ac:dyDescent="0.25">
      <c r="A4632" s="1" t="s">
        <v>9265</v>
      </c>
      <c r="B4632" s="1" t="s">
        <v>9266</v>
      </c>
      <c r="C4632" s="1" t="s">
        <v>5</v>
      </c>
    </row>
    <row r="4633" spans="1:3" x14ac:dyDescent="0.25">
      <c r="A4633" s="1" t="s">
        <v>9267</v>
      </c>
      <c r="B4633" s="1" t="s">
        <v>9268</v>
      </c>
      <c r="C4633" s="1" t="s">
        <v>5</v>
      </c>
    </row>
    <row r="4634" spans="1:3" x14ac:dyDescent="0.25">
      <c r="A4634" s="1" t="s">
        <v>9269</v>
      </c>
      <c r="B4634" s="1" t="s">
        <v>9270</v>
      </c>
      <c r="C4634" s="1" t="s">
        <v>5</v>
      </c>
    </row>
    <row r="4635" spans="1:3" x14ac:dyDescent="0.25">
      <c r="A4635" s="1" t="s">
        <v>9271</v>
      </c>
      <c r="B4635" s="1" t="s">
        <v>9272</v>
      </c>
      <c r="C4635" s="1" t="s">
        <v>5</v>
      </c>
    </row>
    <row r="4636" spans="1:3" x14ac:dyDescent="0.25">
      <c r="A4636" s="1" t="s">
        <v>9273</v>
      </c>
      <c r="B4636" s="1" t="s">
        <v>9274</v>
      </c>
      <c r="C4636" s="1" t="s">
        <v>5</v>
      </c>
    </row>
    <row r="4637" spans="1:3" x14ac:dyDescent="0.25">
      <c r="A4637" s="1" t="s">
        <v>9275</v>
      </c>
      <c r="B4637" s="1" t="s">
        <v>9276</v>
      </c>
      <c r="C4637" s="1" t="s">
        <v>5</v>
      </c>
    </row>
    <row r="4638" spans="1:3" x14ac:dyDescent="0.25">
      <c r="A4638" s="1" t="s">
        <v>9277</v>
      </c>
      <c r="B4638" s="1" t="s">
        <v>9278</v>
      </c>
      <c r="C4638" s="1" t="s">
        <v>5</v>
      </c>
    </row>
    <row r="4639" spans="1:3" x14ac:dyDescent="0.25">
      <c r="A4639" s="1" t="s">
        <v>9279</v>
      </c>
      <c r="B4639" s="1" t="s">
        <v>9280</v>
      </c>
      <c r="C4639" s="1" t="s">
        <v>5</v>
      </c>
    </row>
    <row r="4640" spans="1:3" x14ac:dyDescent="0.25">
      <c r="A4640" s="1" t="s">
        <v>9281</v>
      </c>
      <c r="B4640" s="1" t="s">
        <v>9282</v>
      </c>
      <c r="C4640" s="1" t="s">
        <v>5</v>
      </c>
    </row>
    <row r="4641" spans="1:3" x14ac:dyDescent="0.25">
      <c r="A4641" s="1" t="s">
        <v>9283</v>
      </c>
      <c r="B4641" s="1" t="s">
        <v>9284</v>
      </c>
      <c r="C4641" s="1" t="s">
        <v>5</v>
      </c>
    </row>
    <row r="4642" spans="1:3" x14ac:dyDescent="0.25">
      <c r="A4642" s="1" t="s">
        <v>9285</v>
      </c>
      <c r="B4642" s="1" t="s">
        <v>9286</v>
      </c>
      <c r="C4642" s="1" t="s">
        <v>5</v>
      </c>
    </row>
    <row r="4643" spans="1:3" x14ac:dyDescent="0.25">
      <c r="A4643" s="1" t="s">
        <v>9287</v>
      </c>
      <c r="B4643" s="1" t="s">
        <v>9288</v>
      </c>
      <c r="C4643" s="1" t="s">
        <v>5</v>
      </c>
    </row>
    <row r="4644" spans="1:3" x14ac:dyDescent="0.25">
      <c r="A4644" s="1" t="s">
        <v>9289</v>
      </c>
      <c r="B4644" s="1" t="s">
        <v>9290</v>
      </c>
      <c r="C4644" s="1" t="s">
        <v>5</v>
      </c>
    </row>
    <row r="4645" spans="1:3" x14ac:dyDescent="0.25">
      <c r="A4645" s="1" t="s">
        <v>9291</v>
      </c>
      <c r="B4645" s="1" t="s">
        <v>9292</v>
      </c>
      <c r="C4645" s="1" t="s">
        <v>5</v>
      </c>
    </row>
    <row r="4646" spans="1:3" x14ac:dyDescent="0.25">
      <c r="A4646" s="1" t="s">
        <v>9293</v>
      </c>
      <c r="B4646" s="1" t="s">
        <v>9294</v>
      </c>
      <c r="C4646" s="1" t="s">
        <v>5</v>
      </c>
    </row>
    <row r="4647" spans="1:3" x14ac:dyDescent="0.25">
      <c r="A4647" s="1" t="s">
        <v>9295</v>
      </c>
      <c r="B4647" s="1" t="s">
        <v>9296</v>
      </c>
      <c r="C4647" s="1" t="s">
        <v>5</v>
      </c>
    </row>
    <row r="4648" spans="1:3" x14ac:dyDescent="0.25">
      <c r="A4648" s="1" t="s">
        <v>9297</v>
      </c>
      <c r="B4648" s="1" t="s">
        <v>9298</v>
      </c>
      <c r="C4648" s="1" t="s">
        <v>5</v>
      </c>
    </row>
    <row r="4649" spans="1:3" x14ac:dyDescent="0.25">
      <c r="A4649" s="1" t="s">
        <v>9299</v>
      </c>
      <c r="B4649" s="1" t="s">
        <v>9300</v>
      </c>
      <c r="C4649" s="1" t="s">
        <v>5</v>
      </c>
    </row>
    <row r="4650" spans="1:3" x14ac:dyDescent="0.25">
      <c r="A4650" s="1" t="s">
        <v>9301</v>
      </c>
      <c r="B4650" s="1" t="s">
        <v>9302</v>
      </c>
      <c r="C4650" s="1" t="s">
        <v>5</v>
      </c>
    </row>
    <row r="4651" spans="1:3" x14ac:dyDescent="0.25">
      <c r="A4651" s="1" t="s">
        <v>9303</v>
      </c>
      <c r="B4651" s="1" t="s">
        <v>9304</v>
      </c>
      <c r="C4651" s="1" t="s">
        <v>5</v>
      </c>
    </row>
    <row r="4652" spans="1:3" x14ac:dyDescent="0.25">
      <c r="A4652" s="1" t="s">
        <v>9305</v>
      </c>
      <c r="B4652" s="1" t="s">
        <v>9306</v>
      </c>
      <c r="C4652" s="1" t="s">
        <v>5</v>
      </c>
    </row>
    <row r="4653" spans="1:3" x14ac:dyDescent="0.25">
      <c r="A4653" s="1" t="s">
        <v>9307</v>
      </c>
      <c r="B4653" s="1" t="s">
        <v>9308</v>
      </c>
      <c r="C4653" s="1" t="s">
        <v>5</v>
      </c>
    </row>
    <row r="4654" spans="1:3" x14ac:dyDescent="0.25">
      <c r="A4654" s="1" t="s">
        <v>9309</v>
      </c>
      <c r="B4654" s="1" t="s">
        <v>9310</v>
      </c>
      <c r="C4654" s="1" t="s">
        <v>5</v>
      </c>
    </row>
    <row r="4655" spans="1:3" x14ac:dyDescent="0.25">
      <c r="A4655" s="1" t="s">
        <v>9311</v>
      </c>
      <c r="B4655" s="1" t="s">
        <v>9312</v>
      </c>
      <c r="C4655" s="1" t="s">
        <v>5</v>
      </c>
    </row>
    <row r="4656" spans="1:3" x14ac:dyDescent="0.25">
      <c r="A4656" s="1" t="s">
        <v>9313</v>
      </c>
      <c r="B4656" s="1" t="s">
        <v>9314</v>
      </c>
      <c r="C4656" s="1" t="s">
        <v>5</v>
      </c>
    </row>
    <row r="4657" spans="1:3" x14ac:dyDescent="0.25">
      <c r="A4657" s="1" t="s">
        <v>9315</v>
      </c>
      <c r="B4657" s="1" t="s">
        <v>9316</v>
      </c>
      <c r="C4657" s="1" t="s">
        <v>5</v>
      </c>
    </row>
    <row r="4658" spans="1:3" x14ac:dyDescent="0.25">
      <c r="A4658" s="1" t="s">
        <v>9317</v>
      </c>
      <c r="B4658" s="1" t="s">
        <v>9318</v>
      </c>
      <c r="C4658" s="1" t="s">
        <v>5</v>
      </c>
    </row>
    <row r="4659" spans="1:3" x14ac:dyDescent="0.25">
      <c r="A4659" s="1" t="s">
        <v>9319</v>
      </c>
      <c r="B4659" s="1" t="s">
        <v>9320</v>
      </c>
      <c r="C4659" s="1" t="s">
        <v>5</v>
      </c>
    </row>
    <row r="4660" spans="1:3" x14ac:dyDescent="0.25">
      <c r="A4660" s="1" t="s">
        <v>9321</v>
      </c>
      <c r="B4660" s="1" t="s">
        <v>9322</v>
      </c>
      <c r="C4660" s="1" t="s">
        <v>5</v>
      </c>
    </row>
    <row r="4661" spans="1:3" x14ac:dyDescent="0.25">
      <c r="A4661" s="1" t="s">
        <v>9323</v>
      </c>
      <c r="B4661" s="1" t="s">
        <v>9324</v>
      </c>
      <c r="C4661" s="1" t="s">
        <v>5</v>
      </c>
    </row>
    <row r="4662" spans="1:3" x14ac:dyDescent="0.25">
      <c r="A4662" s="1" t="s">
        <v>9325</v>
      </c>
      <c r="B4662" s="1" t="s">
        <v>9326</v>
      </c>
      <c r="C4662" s="1" t="s">
        <v>5</v>
      </c>
    </row>
    <row r="4663" spans="1:3" x14ac:dyDescent="0.25">
      <c r="A4663" s="1" t="s">
        <v>9327</v>
      </c>
      <c r="B4663" s="1" t="s">
        <v>9328</v>
      </c>
      <c r="C4663" s="1" t="s">
        <v>5</v>
      </c>
    </row>
    <row r="4664" spans="1:3" x14ac:dyDescent="0.25">
      <c r="A4664" s="1" t="s">
        <v>9329</v>
      </c>
      <c r="B4664" s="1" t="s">
        <v>9330</v>
      </c>
      <c r="C4664" s="1" t="s">
        <v>5</v>
      </c>
    </row>
    <row r="4665" spans="1:3" x14ac:dyDescent="0.25">
      <c r="A4665" s="1" t="s">
        <v>9331</v>
      </c>
      <c r="B4665" s="1" t="s">
        <v>9332</v>
      </c>
      <c r="C4665" s="1" t="s">
        <v>5</v>
      </c>
    </row>
    <row r="4666" spans="1:3" x14ac:dyDescent="0.25">
      <c r="A4666" s="1" t="s">
        <v>9333</v>
      </c>
      <c r="B4666" s="1" t="s">
        <v>9334</v>
      </c>
      <c r="C4666" s="1" t="s">
        <v>5</v>
      </c>
    </row>
    <row r="4667" spans="1:3" x14ac:dyDescent="0.25">
      <c r="A4667" s="1" t="s">
        <v>9335</v>
      </c>
      <c r="B4667" s="1" t="s">
        <v>9336</v>
      </c>
      <c r="C4667" s="1" t="s">
        <v>5</v>
      </c>
    </row>
    <row r="4668" spans="1:3" x14ac:dyDescent="0.25">
      <c r="A4668" s="1" t="s">
        <v>9337</v>
      </c>
      <c r="B4668" s="1" t="s">
        <v>9338</v>
      </c>
      <c r="C4668" s="1" t="s">
        <v>5</v>
      </c>
    </row>
    <row r="4669" spans="1:3" x14ac:dyDescent="0.25">
      <c r="A4669" s="1" t="s">
        <v>9339</v>
      </c>
      <c r="B4669" s="1" t="s">
        <v>9340</v>
      </c>
      <c r="C4669" s="1" t="s">
        <v>5</v>
      </c>
    </row>
    <row r="4670" spans="1:3" x14ac:dyDescent="0.25">
      <c r="A4670" s="1" t="s">
        <v>9341</v>
      </c>
      <c r="B4670" s="1" t="s">
        <v>9342</v>
      </c>
      <c r="C4670" s="1" t="s">
        <v>5</v>
      </c>
    </row>
    <row r="4671" spans="1:3" x14ac:dyDescent="0.25">
      <c r="A4671" s="1" t="s">
        <v>9343</v>
      </c>
      <c r="B4671" s="1" t="s">
        <v>9344</v>
      </c>
      <c r="C4671" s="1" t="s">
        <v>5</v>
      </c>
    </row>
    <row r="4672" spans="1:3" x14ac:dyDescent="0.25">
      <c r="A4672" s="1" t="s">
        <v>9345</v>
      </c>
      <c r="B4672" s="1" t="s">
        <v>9346</v>
      </c>
      <c r="C4672" s="1" t="s">
        <v>5</v>
      </c>
    </row>
    <row r="4673" spans="1:3" x14ac:dyDescent="0.25">
      <c r="A4673" s="1" t="s">
        <v>9347</v>
      </c>
      <c r="B4673" s="1" t="s">
        <v>9348</v>
      </c>
      <c r="C4673" s="1" t="s">
        <v>5</v>
      </c>
    </row>
    <row r="4674" spans="1:3" x14ac:dyDescent="0.25">
      <c r="A4674" s="1" t="s">
        <v>9349</v>
      </c>
      <c r="B4674" s="1" t="s">
        <v>9350</v>
      </c>
      <c r="C4674" s="1" t="s">
        <v>5</v>
      </c>
    </row>
    <row r="4675" spans="1:3" x14ac:dyDescent="0.25">
      <c r="A4675" s="1" t="s">
        <v>9351</v>
      </c>
      <c r="B4675" s="1" t="s">
        <v>9352</v>
      </c>
      <c r="C4675" s="1" t="s">
        <v>5</v>
      </c>
    </row>
    <row r="4676" spans="1:3" x14ac:dyDescent="0.25">
      <c r="A4676" s="1" t="s">
        <v>9353</v>
      </c>
      <c r="B4676" s="1" t="s">
        <v>9354</v>
      </c>
      <c r="C4676" s="1" t="s">
        <v>5</v>
      </c>
    </row>
    <row r="4677" spans="1:3" x14ac:dyDescent="0.25">
      <c r="A4677" s="1" t="s">
        <v>9355</v>
      </c>
      <c r="B4677" s="1" t="s">
        <v>9356</v>
      </c>
      <c r="C4677" s="1" t="s">
        <v>5</v>
      </c>
    </row>
    <row r="4678" spans="1:3" x14ac:dyDescent="0.25">
      <c r="A4678" s="1" t="s">
        <v>9357</v>
      </c>
      <c r="B4678" s="1" t="s">
        <v>9358</v>
      </c>
      <c r="C4678" s="1" t="s">
        <v>5</v>
      </c>
    </row>
    <row r="4679" spans="1:3" x14ac:dyDescent="0.25">
      <c r="A4679" s="1" t="s">
        <v>9359</v>
      </c>
      <c r="B4679" s="1" t="s">
        <v>9360</v>
      </c>
      <c r="C4679" s="1" t="s">
        <v>5</v>
      </c>
    </row>
    <row r="4680" spans="1:3" x14ac:dyDescent="0.25">
      <c r="A4680" s="1" t="s">
        <v>9361</v>
      </c>
      <c r="B4680" s="1" t="s">
        <v>9362</v>
      </c>
      <c r="C4680" s="1" t="s">
        <v>5</v>
      </c>
    </row>
    <row r="4681" spans="1:3" x14ac:dyDescent="0.25">
      <c r="A4681" s="1" t="s">
        <v>9363</v>
      </c>
      <c r="B4681" s="1" t="s">
        <v>9364</v>
      </c>
      <c r="C4681" s="1" t="s">
        <v>5</v>
      </c>
    </row>
    <row r="4682" spans="1:3" x14ac:dyDescent="0.25">
      <c r="A4682" s="1" t="s">
        <v>9365</v>
      </c>
      <c r="B4682" s="1" t="s">
        <v>9366</v>
      </c>
      <c r="C4682" s="1" t="s">
        <v>5</v>
      </c>
    </row>
    <row r="4683" spans="1:3" x14ac:dyDescent="0.25">
      <c r="A4683" s="1" t="s">
        <v>9367</v>
      </c>
      <c r="B4683" s="1" t="s">
        <v>9368</v>
      </c>
      <c r="C4683" s="1" t="s">
        <v>5</v>
      </c>
    </row>
    <row r="4684" spans="1:3" x14ac:dyDescent="0.25">
      <c r="A4684" s="1" t="s">
        <v>9369</v>
      </c>
      <c r="B4684" s="1" t="s">
        <v>9370</v>
      </c>
      <c r="C4684" s="1" t="s">
        <v>5</v>
      </c>
    </row>
    <row r="4685" spans="1:3" x14ac:dyDescent="0.25">
      <c r="A4685" s="1" t="s">
        <v>9371</v>
      </c>
      <c r="B4685" s="1" t="s">
        <v>9372</v>
      </c>
      <c r="C4685" s="1" t="s">
        <v>5</v>
      </c>
    </row>
    <row r="4686" spans="1:3" x14ac:dyDescent="0.25">
      <c r="A4686" s="1" t="s">
        <v>9373</v>
      </c>
      <c r="B4686" s="1" t="s">
        <v>9374</v>
      </c>
      <c r="C4686" s="1" t="s">
        <v>5</v>
      </c>
    </row>
    <row r="4687" spans="1:3" x14ac:dyDescent="0.25">
      <c r="A4687" s="1" t="s">
        <v>9375</v>
      </c>
      <c r="B4687" s="1" t="s">
        <v>9376</v>
      </c>
      <c r="C4687" s="1" t="s">
        <v>5</v>
      </c>
    </row>
    <row r="4688" spans="1:3" x14ac:dyDescent="0.25">
      <c r="A4688" s="1" t="s">
        <v>9377</v>
      </c>
      <c r="B4688" s="1" t="s">
        <v>9378</v>
      </c>
      <c r="C4688" s="1" t="s">
        <v>5</v>
      </c>
    </row>
    <row r="4689" spans="1:3" x14ac:dyDescent="0.25">
      <c r="A4689" s="1" t="s">
        <v>9379</v>
      </c>
      <c r="B4689" s="1" t="s">
        <v>9380</v>
      </c>
      <c r="C4689" s="1" t="s">
        <v>5</v>
      </c>
    </row>
    <row r="4690" spans="1:3" x14ac:dyDescent="0.25">
      <c r="A4690" s="1" t="s">
        <v>9381</v>
      </c>
      <c r="B4690" s="1" t="s">
        <v>9382</v>
      </c>
      <c r="C4690" s="1" t="s">
        <v>5</v>
      </c>
    </row>
    <row r="4691" spans="1:3" x14ac:dyDescent="0.25">
      <c r="A4691" s="1" t="s">
        <v>9383</v>
      </c>
      <c r="B4691" s="1" t="s">
        <v>9384</v>
      </c>
      <c r="C4691" s="1" t="s">
        <v>5</v>
      </c>
    </row>
    <row r="4692" spans="1:3" x14ac:dyDescent="0.25">
      <c r="A4692" s="1" t="s">
        <v>9385</v>
      </c>
      <c r="B4692" s="1" t="s">
        <v>9386</v>
      </c>
      <c r="C4692" s="1" t="s">
        <v>5</v>
      </c>
    </row>
    <row r="4693" spans="1:3" x14ac:dyDescent="0.25">
      <c r="A4693" s="1" t="s">
        <v>9387</v>
      </c>
      <c r="B4693" s="1" t="s">
        <v>9388</v>
      </c>
      <c r="C4693" s="1" t="s">
        <v>5</v>
      </c>
    </row>
    <row r="4694" spans="1:3" x14ac:dyDescent="0.25">
      <c r="A4694" s="1" t="s">
        <v>9389</v>
      </c>
      <c r="B4694" s="1" t="s">
        <v>9390</v>
      </c>
      <c r="C4694" s="1" t="s">
        <v>5</v>
      </c>
    </row>
    <row r="4695" spans="1:3" x14ac:dyDescent="0.25">
      <c r="A4695" s="1" t="s">
        <v>9391</v>
      </c>
      <c r="B4695" s="1" t="s">
        <v>9392</v>
      </c>
      <c r="C4695" s="1" t="s">
        <v>5</v>
      </c>
    </row>
    <row r="4696" spans="1:3" x14ac:dyDescent="0.25">
      <c r="A4696" s="1" t="s">
        <v>9393</v>
      </c>
      <c r="B4696" s="1" t="s">
        <v>9394</v>
      </c>
      <c r="C4696" s="1" t="s">
        <v>5</v>
      </c>
    </row>
    <row r="4697" spans="1:3" x14ac:dyDescent="0.25">
      <c r="A4697" s="1" t="s">
        <v>9395</v>
      </c>
      <c r="B4697" s="1" t="s">
        <v>9396</v>
      </c>
      <c r="C4697" s="1" t="s">
        <v>5</v>
      </c>
    </row>
    <row r="4698" spans="1:3" x14ac:dyDescent="0.25">
      <c r="A4698" s="1" t="s">
        <v>9397</v>
      </c>
      <c r="B4698" s="1" t="s">
        <v>9398</v>
      </c>
      <c r="C4698" s="1" t="s">
        <v>5</v>
      </c>
    </row>
    <row r="4699" spans="1:3" x14ac:dyDescent="0.25">
      <c r="A4699" s="1" t="s">
        <v>9399</v>
      </c>
      <c r="B4699" s="1" t="s">
        <v>9400</v>
      </c>
      <c r="C4699" s="1" t="s">
        <v>5</v>
      </c>
    </row>
    <row r="4700" spans="1:3" x14ac:dyDescent="0.25">
      <c r="A4700" s="1" t="s">
        <v>9401</v>
      </c>
      <c r="B4700" s="1" t="s">
        <v>9402</v>
      </c>
      <c r="C4700" s="1" t="s">
        <v>5</v>
      </c>
    </row>
    <row r="4701" spans="1:3" x14ac:dyDescent="0.25">
      <c r="A4701" s="1" t="s">
        <v>9403</v>
      </c>
      <c r="B4701" s="1" t="s">
        <v>9404</v>
      </c>
      <c r="C4701" s="1" t="s">
        <v>5</v>
      </c>
    </row>
    <row r="4702" spans="1:3" x14ac:dyDescent="0.25">
      <c r="A4702" s="1" t="s">
        <v>9405</v>
      </c>
      <c r="B4702" s="1" t="s">
        <v>9406</v>
      </c>
      <c r="C4702" s="1" t="s">
        <v>5</v>
      </c>
    </row>
    <row r="4703" spans="1:3" x14ac:dyDescent="0.25">
      <c r="A4703" s="1" t="s">
        <v>9407</v>
      </c>
      <c r="B4703" s="1" t="s">
        <v>9408</v>
      </c>
      <c r="C4703" s="1" t="s">
        <v>5</v>
      </c>
    </row>
    <row r="4704" spans="1:3" x14ac:dyDescent="0.25">
      <c r="A4704" s="1" t="s">
        <v>9409</v>
      </c>
      <c r="B4704" s="1" t="s">
        <v>9410</v>
      </c>
      <c r="C4704" s="1" t="s">
        <v>5</v>
      </c>
    </row>
    <row r="4705" spans="1:3" x14ac:dyDescent="0.25">
      <c r="A4705" s="1" t="s">
        <v>9411</v>
      </c>
      <c r="B4705" s="1" t="s">
        <v>9412</v>
      </c>
      <c r="C4705" s="1" t="s">
        <v>5</v>
      </c>
    </row>
    <row r="4706" spans="1:3" x14ac:dyDescent="0.25">
      <c r="A4706" s="1" t="s">
        <v>9413</v>
      </c>
      <c r="B4706" s="1" t="s">
        <v>9414</v>
      </c>
      <c r="C4706" s="1" t="s">
        <v>5</v>
      </c>
    </row>
    <row r="4707" spans="1:3" x14ac:dyDescent="0.25">
      <c r="A4707" s="1" t="s">
        <v>9415</v>
      </c>
      <c r="B4707" s="1" t="s">
        <v>9416</v>
      </c>
      <c r="C4707" s="1" t="s">
        <v>5</v>
      </c>
    </row>
    <row r="4708" spans="1:3" x14ac:dyDescent="0.25">
      <c r="A4708" s="1" t="s">
        <v>9417</v>
      </c>
      <c r="B4708" s="1" t="s">
        <v>9418</v>
      </c>
      <c r="C4708" s="1" t="s">
        <v>5</v>
      </c>
    </row>
    <row r="4709" spans="1:3" x14ac:dyDescent="0.25">
      <c r="A4709" s="1" t="s">
        <v>9419</v>
      </c>
      <c r="B4709" s="1" t="s">
        <v>9420</v>
      </c>
      <c r="C4709" s="1" t="s">
        <v>5</v>
      </c>
    </row>
    <row r="4710" spans="1:3" x14ac:dyDescent="0.25">
      <c r="A4710" s="1" t="s">
        <v>9421</v>
      </c>
      <c r="B4710" s="1" t="s">
        <v>9422</v>
      </c>
      <c r="C4710" s="1" t="s">
        <v>5</v>
      </c>
    </row>
    <row r="4711" spans="1:3" x14ac:dyDescent="0.25">
      <c r="A4711" s="1" t="s">
        <v>9423</v>
      </c>
      <c r="B4711" s="1" t="s">
        <v>9424</v>
      </c>
      <c r="C4711" s="1" t="s">
        <v>5</v>
      </c>
    </row>
    <row r="4712" spans="1:3" x14ac:dyDescent="0.25">
      <c r="A4712" s="1" t="s">
        <v>9425</v>
      </c>
      <c r="B4712" s="1" t="s">
        <v>9426</v>
      </c>
      <c r="C4712" s="1" t="s">
        <v>5</v>
      </c>
    </row>
    <row r="4713" spans="1:3" x14ac:dyDescent="0.25">
      <c r="A4713" s="1" t="s">
        <v>9427</v>
      </c>
      <c r="B4713" s="1" t="s">
        <v>9428</v>
      </c>
      <c r="C4713" s="1" t="s">
        <v>5</v>
      </c>
    </row>
    <row r="4714" spans="1:3" x14ac:dyDescent="0.25">
      <c r="A4714" s="1" t="s">
        <v>9429</v>
      </c>
      <c r="B4714" s="1" t="s">
        <v>9430</v>
      </c>
      <c r="C4714" s="1" t="s">
        <v>5</v>
      </c>
    </row>
    <row r="4715" spans="1:3" x14ac:dyDescent="0.25">
      <c r="A4715" s="1" t="s">
        <v>9431</v>
      </c>
      <c r="B4715" s="1" t="s">
        <v>9432</v>
      </c>
      <c r="C4715" s="1" t="s">
        <v>5</v>
      </c>
    </row>
    <row r="4716" spans="1:3" x14ac:dyDescent="0.25">
      <c r="A4716" s="1" t="s">
        <v>9433</v>
      </c>
      <c r="B4716" s="1" t="s">
        <v>9434</v>
      </c>
      <c r="C4716" s="1" t="s">
        <v>5</v>
      </c>
    </row>
    <row r="4717" spans="1:3" x14ac:dyDescent="0.25">
      <c r="A4717" s="1" t="s">
        <v>9435</v>
      </c>
      <c r="B4717" s="1" t="s">
        <v>9436</v>
      </c>
      <c r="C4717" s="1" t="s">
        <v>5</v>
      </c>
    </row>
    <row r="4718" spans="1:3" x14ac:dyDescent="0.25">
      <c r="A4718" s="1" t="s">
        <v>9437</v>
      </c>
      <c r="B4718" s="1" t="s">
        <v>9438</v>
      </c>
      <c r="C4718" s="1" t="s">
        <v>5</v>
      </c>
    </row>
    <row r="4719" spans="1:3" x14ac:dyDescent="0.25">
      <c r="A4719" s="1" t="s">
        <v>9439</v>
      </c>
      <c r="B4719" s="1" t="s">
        <v>9440</v>
      </c>
      <c r="C4719" s="1" t="s">
        <v>5</v>
      </c>
    </row>
    <row r="4720" spans="1:3" x14ac:dyDescent="0.25">
      <c r="A4720" s="1" t="s">
        <v>9441</v>
      </c>
      <c r="B4720" s="1" t="s">
        <v>9442</v>
      </c>
      <c r="C4720" s="1" t="s">
        <v>5</v>
      </c>
    </row>
    <row r="4721" spans="1:3" x14ac:dyDescent="0.25">
      <c r="A4721" s="1" t="s">
        <v>9443</v>
      </c>
      <c r="B4721" s="1" t="s">
        <v>9444</v>
      </c>
      <c r="C4721" s="1" t="s">
        <v>5</v>
      </c>
    </row>
    <row r="4722" spans="1:3" x14ac:dyDescent="0.25">
      <c r="A4722" s="1" t="s">
        <v>9445</v>
      </c>
      <c r="B4722" s="1" t="s">
        <v>9446</v>
      </c>
      <c r="C4722" s="1" t="s">
        <v>5</v>
      </c>
    </row>
    <row r="4723" spans="1:3" x14ac:dyDescent="0.25">
      <c r="A4723" s="1" t="s">
        <v>9447</v>
      </c>
      <c r="B4723" s="1" t="s">
        <v>9448</v>
      </c>
      <c r="C4723" s="1" t="s">
        <v>5</v>
      </c>
    </row>
    <row r="4724" spans="1:3" x14ac:dyDescent="0.25">
      <c r="A4724" s="1" t="s">
        <v>9449</v>
      </c>
      <c r="B4724" s="1" t="s">
        <v>9450</v>
      </c>
      <c r="C4724" s="1" t="s">
        <v>5</v>
      </c>
    </row>
    <row r="4725" spans="1:3" x14ac:dyDescent="0.25">
      <c r="A4725" s="1" t="s">
        <v>9451</v>
      </c>
      <c r="B4725" s="1" t="s">
        <v>9452</v>
      </c>
      <c r="C4725" s="1" t="s">
        <v>5</v>
      </c>
    </row>
    <row r="4726" spans="1:3" x14ac:dyDescent="0.25">
      <c r="A4726" s="1" t="s">
        <v>9453</v>
      </c>
      <c r="B4726" s="1" t="s">
        <v>9454</v>
      </c>
      <c r="C4726" s="1" t="s">
        <v>5</v>
      </c>
    </row>
    <row r="4727" spans="1:3" x14ac:dyDescent="0.25">
      <c r="A4727" s="1" t="s">
        <v>9455</v>
      </c>
      <c r="B4727" s="1" t="s">
        <v>9456</v>
      </c>
      <c r="C4727" s="1" t="s">
        <v>5</v>
      </c>
    </row>
    <row r="4728" spans="1:3" x14ac:dyDescent="0.25">
      <c r="A4728" s="1" t="s">
        <v>9457</v>
      </c>
      <c r="B4728" s="1" t="s">
        <v>9458</v>
      </c>
      <c r="C4728" s="1" t="s">
        <v>5</v>
      </c>
    </row>
    <row r="4729" spans="1:3" x14ac:dyDescent="0.25">
      <c r="A4729" s="1" t="s">
        <v>9459</v>
      </c>
      <c r="B4729" s="1" t="s">
        <v>9460</v>
      </c>
      <c r="C4729" s="1" t="s">
        <v>5</v>
      </c>
    </row>
    <row r="4730" spans="1:3" x14ac:dyDescent="0.25">
      <c r="A4730" s="1" t="s">
        <v>9461</v>
      </c>
      <c r="B4730" s="1" t="s">
        <v>9462</v>
      </c>
      <c r="C4730" s="1" t="s">
        <v>5</v>
      </c>
    </row>
    <row r="4731" spans="1:3" x14ac:dyDescent="0.25">
      <c r="A4731" s="1" t="s">
        <v>9463</v>
      </c>
      <c r="B4731" s="1" t="s">
        <v>9464</v>
      </c>
      <c r="C4731" s="1" t="s">
        <v>5</v>
      </c>
    </row>
    <row r="4732" spans="1:3" x14ac:dyDescent="0.25">
      <c r="A4732" s="1" t="s">
        <v>9465</v>
      </c>
      <c r="B4732" s="1" t="s">
        <v>9466</v>
      </c>
      <c r="C4732" s="1" t="s">
        <v>5</v>
      </c>
    </row>
    <row r="4733" spans="1:3" x14ac:dyDescent="0.25">
      <c r="A4733" s="1" t="s">
        <v>9467</v>
      </c>
      <c r="B4733" s="1" t="s">
        <v>9468</v>
      </c>
      <c r="C4733" s="1" t="s">
        <v>5</v>
      </c>
    </row>
    <row r="4734" spans="1:3" x14ac:dyDescent="0.25">
      <c r="A4734" s="1" t="s">
        <v>9469</v>
      </c>
      <c r="B4734" s="1" t="s">
        <v>9470</v>
      </c>
      <c r="C4734" s="1" t="s">
        <v>5</v>
      </c>
    </row>
    <row r="4735" spans="1:3" x14ac:dyDescent="0.25">
      <c r="A4735" s="1" t="s">
        <v>9471</v>
      </c>
      <c r="B4735" s="1" t="s">
        <v>9472</v>
      </c>
      <c r="C4735" s="1" t="s">
        <v>5</v>
      </c>
    </row>
    <row r="4736" spans="1:3" x14ac:dyDescent="0.25">
      <c r="A4736" s="1" t="s">
        <v>9473</v>
      </c>
      <c r="B4736" s="1" t="s">
        <v>9474</v>
      </c>
      <c r="C4736" s="1" t="s">
        <v>5</v>
      </c>
    </row>
    <row r="4737" spans="1:3" x14ac:dyDescent="0.25">
      <c r="A4737" s="1" t="s">
        <v>9475</v>
      </c>
      <c r="B4737" s="1" t="s">
        <v>9476</v>
      </c>
      <c r="C4737" s="1" t="s">
        <v>5</v>
      </c>
    </row>
    <row r="4738" spans="1:3" x14ac:dyDescent="0.25">
      <c r="A4738" s="1" t="s">
        <v>9477</v>
      </c>
      <c r="B4738" s="1" t="s">
        <v>9478</v>
      </c>
      <c r="C4738" s="1" t="s">
        <v>5</v>
      </c>
    </row>
    <row r="4739" spans="1:3" x14ac:dyDescent="0.25">
      <c r="A4739" s="1" t="s">
        <v>9479</v>
      </c>
      <c r="B4739" s="1" t="s">
        <v>9480</v>
      </c>
      <c r="C4739" s="1" t="s">
        <v>5</v>
      </c>
    </row>
    <row r="4740" spans="1:3" x14ac:dyDescent="0.25">
      <c r="A4740" s="1" t="s">
        <v>9481</v>
      </c>
      <c r="B4740" s="1" t="s">
        <v>9482</v>
      </c>
      <c r="C4740" s="1" t="s">
        <v>5</v>
      </c>
    </row>
    <row r="4741" spans="1:3" x14ac:dyDescent="0.25">
      <c r="A4741" s="1" t="s">
        <v>9483</v>
      </c>
      <c r="B4741" s="1" t="s">
        <v>9484</v>
      </c>
      <c r="C4741" s="1" t="s">
        <v>5</v>
      </c>
    </row>
    <row r="4742" spans="1:3" x14ac:dyDescent="0.25">
      <c r="A4742" s="1" t="s">
        <v>9485</v>
      </c>
      <c r="B4742" s="1" t="s">
        <v>9486</v>
      </c>
      <c r="C4742" s="1" t="s">
        <v>5</v>
      </c>
    </row>
    <row r="4743" spans="1:3" x14ac:dyDescent="0.25">
      <c r="A4743" s="1" t="s">
        <v>9487</v>
      </c>
      <c r="B4743" s="1" t="s">
        <v>9488</v>
      </c>
      <c r="C4743" s="1" t="s">
        <v>5</v>
      </c>
    </row>
    <row r="4744" spans="1:3" x14ac:dyDescent="0.25">
      <c r="A4744" s="1" t="s">
        <v>9489</v>
      </c>
      <c r="B4744" s="1" t="s">
        <v>9490</v>
      </c>
      <c r="C4744" s="1" t="s">
        <v>5</v>
      </c>
    </row>
    <row r="4745" spans="1:3" x14ac:dyDescent="0.25">
      <c r="A4745" s="1" t="s">
        <v>9491</v>
      </c>
      <c r="B4745" s="1" t="s">
        <v>9492</v>
      </c>
      <c r="C4745" s="1" t="s">
        <v>5</v>
      </c>
    </row>
    <row r="4746" spans="1:3" x14ac:dyDescent="0.25">
      <c r="A4746" s="1" t="s">
        <v>9493</v>
      </c>
      <c r="B4746" s="1" t="s">
        <v>9494</v>
      </c>
      <c r="C4746" s="1" t="s">
        <v>5</v>
      </c>
    </row>
    <row r="4747" spans="1:3" x14ac:dyDescent="0.25">
      <c r="A4747" s="1" t="s">
        <v>9495</v>
      </c>
      <c r="B4747" s="1" t="s">
        <v>9496</v>
      </c>
      <c r="C4747" s="1" t="s">
        <v>5</v>
      </c>
    </row>
    <row r="4748" spans="1:3" x14ac:dyDescent="0.25">
      <c r="A4748" s="1" t="s">
        <v>9497</v>
      </c>
      <c r="B4748" s="1" t="s">
        <v>9498</v>
      </c>
      <c r="C4748" s="1" t="s">
        <v>5</v>
      </c>
    </row>
    <row r="4749" spans="1:3" x14ac:dyDescent="0.25">
      <c r="A4749" s="1" t="s">
        <v>9499</v>
      </c>
      <c r="B4749" s="1" t="s">
        <v>9500</v>
      </c>
      <c r="C4749" s="1" t="s">
        <v>5</v>
      </c>
    </row>
    <row r="4750" spans="1:3" x14ac:dyDescent="0.25">
      <c r="A4750" s="1" t="s">
        <v>9501</v>
      </c>
      <c r="B4750" s="1" t="s">
        <v>9502</v>
      </c>
      <c r="C4750" s="1" t="s">
        <v>5</v>
      </c>
    </row>
    <row r="4751" spans="1:3" x14ac:dyDescent="0.25">
      <c r="A4751" s="1" t="s">
        <v>9503</v>
      </c>
      <c r="B4751" s="1" t="s">
        <v>9504</v>
      </c>
      <c r="C4751" s="1" t="s">
        <v>5</v>
      </c>
    </row>
    <row r="4752" spans="1:3" x14ac:dyDescent="0.25">
      <c r="A4752" s="1" t="s">
        <v>9505</v>
      </c>
      <c r="B4752" s="1" t="s">
        <v>9506</v>
      </c>
      <c r="C4752" s="1" t="s">
        <v>5</v>
      </c>
    </row>
    <row r="4753" spans="1:3" x14ac:dyDescent="0.25">
      <c r="A4753" s="1" t="s">
        <v>9507</v>
      </c>
      <c r="B4753" s="1" t="s">
        <v>9508</v>
      </c>
      <c r="C4753" s="1" t="s">
        <v>5</v>
      </c>
    </row>
    <row r="4754" spans="1:3" x14ac:dyDescent="0.25">
      <c r="A4754" s="1" t="s">
        <v>9509</v>
      </c>
      <c r="B4754" s="1" t="s">
        <v>9510</v>
      </c>
      <c r="C4754" s="1" t="s">
        <v>5</v>
      </c>
    </row>
    <row r="4755" spans="1:3" x14ac:dyDescent="0.25">
      <c r="A4755" s="1" t="s">
        <v>9511</v>
      </c>
      <c r="B4755" s="1" t="s">
        <v>9512</v>
      </c>
      <c r="C4755" s="1" t="s">
        <v>5</v>
      </c>
    </row>
    <row r="4756" spans="1:3" x14ac:dyDescent="0.25">
      <c r="A4756" s="1" t="s">
        <v>9513</v>
      </c>
      <c r="B4756" s="1" t="s">
        <v>9514</v>
      </c>
      <c r="C4756" s="1" t="s">
        <v>5</v>
      </c>
    </row>
    <row r="4757" spans="1:3" x14ac:dyDescent="0.25">
      <c r="A4757" s="1" t="s">
        <v>9515</v>
      </c>
      <c r="B4757" s="1" t="s">
        <v>9516</v>
      </c>
      <c r="C4757" s="1" t="s">
        <v>5</v>
      </c>
    </row>
    <row r="4758" spans="1:3" x14ac:dyDescent="0.25">
      <c r="A4758" s="1" t="s">
        <v>9517</v>
      </c>
      <c r="B4758" s="1" t="s">
        <v>9518</v>
      </c>
      <c r="C4758" s="1" t="s">
        <v>5</v>
      </c>
    </row>
    <row r="4759" spans="1:3" x14ac:dyDescent="0.25">
      <c r="A4759" s="1" t="s">
        <v>9519</v>
      </c>
      <c r="B4759" s="1" t="s">
        <v>9520</v>
      </c>
      <c r="C4759" s="1" t="s">
        <v>5</v>
      </c>
    </row>
    <row r="4760" spans="1:3" x14ac:dyDescent="0.25">
      <c r="A4760" s="1" t="s">
        <v>9521</v>
      </c>
      <c r="B4760" s="1" t="s">
        <v>9522</v>
      </c>
      <c r="C4760" s="1" t="s">
        <v>5</v>
      </c>
    </row>
    <row r="4761" spans="1:3" x14ac:dyDescent="0.25">
      <c r="A4761" s="1" t="s">
        <v>9523</v>
      </c>
      <c r="B4761" s="1" t="s">
        <v>9524</v>
      </c>
      <c r="C4761" s="1" t="s">
        <v>5</v>
      </c>
    </row>
    <row r="4762" spans="1:3" x14ac:dyDescent="0.25">
      <c r="A4762" s="1" t="s">
        <v>9525</v>
      </c>
      <c r="B4762" s="1" t="s">
        <v>9526</v>
      </c>
      <c r="C4762" s="1" t="s">
        <v>5</v>
      </c>
    </row>
    <row r="4763" spans="1:3" x14ac:dyDescent="0.25">
      <c r="A4763" s="1" t="s">
        <v>9527</v>
      </c>
      <c r="B4763" s="1" t="s">
        <v>9528</v>
      </c>
      <c r="C4763" s="1" t="s">
        <v>5</v>
      </c>
    </row>
    <row r="4764" spans="1:3" x14ac:dyDescent="0.25">
      <c r="A4764" s="1" t="s">
        <v>9529</v>
      </c>
      <c r="B4764" s="1" t="s">
        <v>9530</v>
      </c>
      <c r="C4764" s="1" t="s">
        <v>5</v>
      </c>
    </row>
    <row r="4765" spans="1:3" x14ac:dyDescent="0.25">
      <c r="A4765" s="1" t="s">
        <v>9531</v>
      </c>
      <c r="B4765" s="1" t="s">
        <v>9532</v>
      </c>
      <c r="C4765" s="1" t="s">
        <v>5</v>
      </c>
    </row>
    <row r="4766" spans="1:3" x14ac:dyDescent="0.25">
      <c r="A4766" s="1" t="s">
        <v>9533</v>
      </c>
      <c r="B4766" s="1" t="s">
        <v>9534</v>
      </c>
      <c r="C4766" s="1" t="s">
        <v>5</v>
      </c>
    </row>
    <row r="4767" spans="1:3" x14ac:dyDescent="0.25">
      <c r="A4767" s="1" t="s">
        <v>9535</v>
      </c>
      <c r="B4767" s="1" t="s">
        <v>9536</v>
      </c>
      <c r="C4767" s="1" t="s">
        <v>5</v>
      </c>
    </row>
    <row r="4768" spans="1:3" x14ac:dyDescent="0.25">
      <c r="A4768" s="1" t="s">
        <v>9537</v>
      </c>
      <c r="B4768" s="1" t="s">
        <v>9538</v>
      </c>
      <c r="C4768" s="1" t="s">
        <v>5</v>
      </c>
    </row>
    <row r="4769" spans="1:3" x14ac:dyDescent="0.25">
      <c r="A4769" s="1" t="s">
        <v>9539</v>
      </c>
      <c r="B4769" s="1" t="s">
        <v>9540</v>
      </c>
      <c r="C4769" s="1" t="s">
        <v>5</v>
      </c>
    </row>
    <row r="4770" spans="1:3" x14ac:dyDescent="0.25">
      <c r="A4770" s="1" t="s">
        <v>9541</v>
      </c>
      <c r="B4770" s="1" t="s">
        <v>9542</v>
      </c>
      <c r="C4770" s="1" t="s">
        <v>5</v>
      </c>
    </row>
    <row r="4771" spans="1:3" x14ac:dyDescent="0.25">
      <c r="A4771" s="1" t="s">
        <v>9543</v>
      </c>
      <c r="B4771" s="1" t="s">
        <v>9544</v>
      </c>
      <c r="C4771" s="1" t="s">
        <v>5</v>
      </c>
    </row>
    <row r="4772" spans="1:3" x14ac:dyDescent="0.25">
      <c r="A4772" s="1" t="s">
        <v>9545</v>
      </c>
      <c r="B4772" s="1" t="s">
        <v>9546</v>
      </c>
      <c r="C4772" s="1" t="s">
        <v>5</v>
      </c>
    </row>
    <row r="4773" spans="1:3" x14ac:dyDescent="0.25">
      <c r="A4773" s="1" t="s">
        <v>9547</v>
      </c>
      <c r="B4773" s="1" t="s">
        <v>9548</v>
      </c>
      <c r="C4773" s="1" t="s">
        <v>5</v>
      </c>
    </row>
    <row r="4774" spans="1:3" x14ac:dyDescent="0.25">
      <c r="A4774" s="1" t="s">
        <v>9549</v>
      </c>
      <c r="B4774" s="1" t="s">
        <v>9550</v>
      </c>
      <c r="C4774" s="1" t="s">
        <v>5</v>
      </c>
    </row>
    <row r="4775" spans="1:3" x14ac:dyDescent="0.25">
      <c r="A4775" s="1" t="s">
        <v>9551</v>
      </c>
      <c r="B4775" s="1" t="s">
        <v>9552</v>
      </c>
      <c r="C4775" s="1" t="s">
        <v>5</v>
      </c>
    </row>
    <row r="4776" spans="1:3" x14ac:dyDescent="0.25">
      <c r="A4776" s="1" t="s">
        <v>9553</v>
      </c>
      <c r="B4776" s="1" t="s">
        <v>9554</v>
      </c>
      <c r="C4776" s="1" t="s">
        <v>5</v>
      </c>
    </row>
    <row r="4777" spans="1:3" x14ac:dyDescent="0.25">
      <c r="A4777" s="1" t="s">
        <v>9555</v>
      </c>
      <c r="B4777" s="1" t="s">
        <v>9556</v>
      </c>
      <c r="C4777" s="1" t="s">
        <v>5</v>
      </c>
    </row>
    <row r="4778" spans="1:3" x14ac:dyDescent="0.25">
      <c r="A4778" s="1" t="s">
        <v>9557</v>
      </c>
      <c r="B4778" s="1" t="s">
        <v>9558</v>
      </c>
      <c r="C4778" s="1" t="s">
        <v>5</v>
      </c>
    </row>
    <row r="4779" spans="1:3" x14ac:dyDescent="0.25">
      <c r="A4779" s="1" t="s">
        <v>9559</v>
      </c>
      <c r="B4779" s="1" t="s">
        <v>9560</v>
      </c>
      <c r="C4779" s="1" t="s">
        <v>5</v>
      </c>
    </row>
    <row r="4780" spans="1:3" x14ac:dyDescent="0.25">
      <c r="A4780" s="1" t="s">
        <v>9561</v>
      </c>
      <c r="B4780" s="1" t="s">
        <v>9562</v>
      </c>
      <c r="C4780" s="1" t="s">
        <v>5</v>
      </c>
    </row>
    <row r="4781" spans="1:3" x14ac:dyDescent="0.25">
      <c r="A4781" s="1" t="s">
        <v>9563</v>
      </c>
      <c r="B4781" s="1" t="s">
        <v>9564</v>
      </c>
      <c r="C4781" s="1" t="s">
        <v>5</v>
      </c>
    </row>
    <row r="4782" spans="1:3" x14ac:dyDescent="0.25">
      <c r="A4782" s="1" t="s">
        <v>9565</v>
      </c>
      <c r="B4782" s="1" t="s">
        <v>9566</v>
      </c>
      <c r="C4782" s="1" t="s">
        <v>5</v>
      </c>
    </row>
    <row r="4783" spans="1:3" x14ac:dyDescent="0.25">
      <c r="A4783" s="1" t="s">
        <v>9567</v>
      </c>
      <c r="B4783" s="1" t="s">
        <v>9568</v>
      </c>
      <c r="C4783" s="1" t="s">
        <v>5</v>
      </c>
    </row>
    <row r="4784" spans="1:3" x14ac:dyDescent="0.25">
      <c r="A4784" s="1" t="s">
        <v>9569</v>
      </c>
      <c r="B4784" s="1" t="s">
        <v>9570</v>
      </c>
      <c r="C4784" s="1" t="s">
        <v>5</v>
      </c>
    </row>
    <row r="4785" spans="1:3" x14ac:dyDescent="0.25">
      <c r="A4785" s="1" t="s">
        <v>9571</v>
      </c>
      <c r="B4785" s="1" t="s">
        <v>9572</v>
      </c>
      <c r="C4785" s="1" t="s">
        <v>5</v>
      </c>
    </row>
    <row r="4786" spans="1:3" x14ac:dyDescent="0.25">
      <c r="A4786" s="1" t="s">
        <v>9573</v>
      </c>
      <c r="B4786" s="1" t="s">
        <v>9574</v>
      </c>
      <c r="C4786" s="1" t="s">
        <v>5</v>
      </c>
    </row>
    <row r="4787" spans="1:3" x14ac:dyDescent="0.25">
      <c r="A4787" s="1" t="s">
        <v>9575</v>
      </c>
      <c r="B4787" s="1" t="s">
        <v>9576</v>
      </c>
      <c r="C4787" s="1" t="s">
        <v>5</v>
      </c>
    </row>
    <row r="4788" spans="1:3" x14ac:dyDescent="0.25">
      <c r="A4788" s="1" t="s">
        <v>9577</v>
      </c>
      <c r="B4788" s="1" t="s">
        <v>9578</v>
      </c>
      <c r="C4788" s="1" t="s">
        <v>5</v>
      </c>
    </row>
    <row r="4789" spans="1:3" x14ac:dyDescent="0.25">
      <c r="A4789" s="1" t="s">
        <v>9579</v>
      </c>
      <c r="B4789" s="1" t="s">
        <v>9580</v>
      </c>
      <c r="C4789" s="1" t="s">
        <v>5</v>
      </c>
    </row>
    <row r="4790" spans="1:3" x14ac:dyDescent="0.25">
      <c r="A4790" s="1" t="s">
        <v>9581</v>
      </c>
      <c r="B4790" s="1" t="s">
        <v>9582</v>
      </c>
      <c r="C4790" s="1" t="s">
        <v>5</v>
      </c>
    </row>
    <row r="4791" spans="1:3" x14ac:dyDescent="0.25">
      <c r="A4791" s="1" t="s">
        <v>9583</v>
      </c>
      <c r="B4791" s="1" t="s">
        <v>9584</v>
      </c>
      <c r="C4791" s="1" t="s">
        <v>5</v>
      </c>
    </row>
    <row r="4792" spans="1:3" x14ac:dyDescent="0.25">
      <c r="A4792" s="1" t="s">
        <v>9585</v>
      </c>
      <c r="B4792" s="1" t="s">
        <v>9586</v>
      </c>
      <c r="C4792" s="1" t="s">
        <v>5</v>
      </c>
    </row>
    <row r="4793" spans="1:3" x14ac:dyDescent="0.25">
      <c r="A4793" s="1" t="s">
        <v>9587</v>
      </c>
      <c r="B4793" s="1" t="s">
        <v>9588</v>
      </c>
      <c r="C4793" s="1" t="s">
        <v>5</v>
      </c>
    </row>
    <row r="4794" spans="1:3" x14ac:dyDescent="0.25">
      <c r="A4794" s="1" t="s">
        <v>9589</v>
      </c>
      <c r="B4794" s="1" t="s">
        <v>9590</v>
      </c>
      <c r="C4794" s="1" t="s">
        <v>5</v>
      </c>
    </row>
    <row r="4795" spans="1:3" x14ac:dyDescent="0.25">
      <c r="A4795" s="1" t="s">
        <v>9591</v>
      </c>
      <c r="B4795" s="1" t="s">
        <v>9592</v>
      </c>
      <c r="C4795" s="1" t="s">
        <v>5</v>
      </c>
    </row>
    <row r="4796" spans="1:3" x14ac:dyDescent="0.25">
      <c r="A4796" s="1" t="s">
        <v>9593</v>
      </c>
      <c r="B4796" s="1" t="s">
        <v>9594</v>
      </c>
      <c r="C4796" s="1" t="s">
        <v>5</v>
      </c>
    </row>
    <row r="4797" spans="1:3" x14ac:dyDescent="0.25">
      <c r="A4797" s="1" t="s">
        <v>9595</v>
      </c>
      <c r="B4797" s="1" t="s">
        <v>9596</v>
      </c>
      <c r="C4797" s="1" t="s">
        <v>5</v>
      </c>
    </row>
    <row r="4798" spans="1:3" x14ac:dyDescent="0.25">
      <c r="A4798" s="1" t="s">
        <v>9597</v>
      </c>
      <c r="B4798" s="1" t="s">
        <v>9598</v>
      </c>
      <c r="C4798" s="1" t="s">
        <v>5</v>
      </c>
    </row>
    <row r="4799" spans="1:3" x14ac:dyDescent="0.25">
      <c r="A4799" s="1" t="s">
        <v>9599</v>
      </c>
      <c r="B4799" s="1" t="s">
        <v>9600</v>
      </c>
      <c r="C4799" s="1" t="s">
        <v>5</v>
      </c>
    </row>
    <row r="4800" spans="1:3" x14ac:dyDescent="0.25">
      <c r="A4800" s="1" t="s">
        <v>9601</v>
      </c>
      <c r="B4800" s="1" t="s">
        <v>9602</v>
      </c>
      <c r="C4800" s="1" t="s">
        <v>5</v>
      </c>
    </row>
    <row r="4801" spans="1:3" x14ac:dyDescent="0.25">
      <c r="A4801" s="1" t="s">
        <v>9603</v>
      </c>
      <c r="B4801" s="1" t="s">
        <v>9604</v>
      </c>
      <c r="C4801" s="1" t="s">
        <v>5</v>
      </c>
    </row>
    <row r="4802" spans="1:3" x14ac:dyDescent="0.25">
      <c r="A4802" s="1" t="s">
        <v>9605</v>
      </c>
      <c r="B4802" s="1" t="s">
        <v>9606</v>
      </c>
      <c r="C4802" s="1" t="s">
        <v>5</v>
      </c>
    </row>
    <row r="4803" spans="1:3" x14ac:dyDescent="0.25">
      <c r="A4803" s="1" t="s">
        <v>9607</v>
      </c>
      <c r="B4803" s="1" t="s">
        <v>9608</v>
      </c>
      <c r="C4803" s="1" t="s">
        <v>5</v>
      </c>
    </row>
    <row r="4804" spans="1:3" x14ac:dyDescent="0.25">
      <c r="A4804" s="1" t="s">
        <v>9609</v>
      </c>
      <c r="B4804" s="1" t="s">
        <v>9610</v>
      </c>
      <c r="C4804" s="1" t="s">
        <v>5</v>
      </c>
    </row>
    <row r="4805" spans="1:3" x14ac:dyDescent="0.25">
      <c r="A4805" s="1" t="s">
        <v>9611</v>
      </c>
      <c r="B4805" s="1" t="s">
        <v>9612</v>
      </c>
      <c r="C4805" s="1" t="s">
        <v>5</v>
      </c>
    </row>
    <row r="4806" spans="1:3" x14ac:dyDescent="0.25">
      <c r="A4806" s="1" t="s">
        <v>9613</v>
      </c>
      <c r="B4806" s="1" t="s">
        <v>9614</v>
      </c>
      <c r="C4806" s="1" t="s">
        <v>5</v>
      </c>
    </row>
    <row r="4807" spans="1:3" x14ac:dyDescent="0.25">
      <c r="A4807" s="1" t="s">
        <v>9615</v>
      </c>
      <c r="B4807" s="1" t="s">
        <v>9616</v>
      </c>
      <c r="C4807" s="1" t="s">
        <v>5</v>
      </c>
    </row>
    <row r="4808" spans="1:3" x14ac:dyDescent="0.25">
      <c r="A4808" s="1" t="s">
        <v>9617</v>
      </c>
      <c r="B4808" s="1" t="s">
        <v>9618</v>
      </c>
      <c r="C4808" s="1" t="s">
        <v>5</v>
      </c>
    </row>
    <row r="4809" spans="1:3" x14ac:dyDescent="0.25">
      <c r="A4809" s="1" t="s">
        <v>9619</v>
      </c>
      <c r="B4809" s="1" t="s">
        <v>9620</v>
      </c>
      <c r="C4809" s="1" t="s">
        <v>5</v>
      </c>
    </row>
    <row r="4810" spans="1:3" x14ac:dyDescent="0.25">
      <c r="A4810" s="1" t="s">
        <v>9621</v>
      </c>
      <c r="B4810" s="1" t="s">
        <v>9622</v>
      </c>
      <c r="C4810" s="1" t="s">
        <v>5</v>
      </c>
    </row>
    <row r="4811" spans="1:3" x14ac:dyDescent="0.25">
      <c r="A4811" s="1" t="s">
        <v>9623</v>
      </c>
      <c r="B4811" s="1" t="s">
        <v>9624</v>
      </c>
      <c r="C4811" s="1" t="s">
        <v>5</v>
      </c>
    </row>
    <row r="4812" spans="1:3" x14ac:dyDescent="0.25">
      <c r="A4812" s="1" t="s">
        <v>9625</v>
      </c>
      <c r="B4812" s="1" t="s">
        <v>9626</v>
      </c>
      <c r="C4812" s="1" t="s">
        <v>5</v>
      </c>
    </row>
    <row r="4813" spans="1:3" x14ac:dyDescent="0.25">
      <c r="A4813" s="1" t="s">
        <v>9627</v>
      </c>
      <c r="B4813" s="1" t="s">
        <v>9628</v>
      </c>
      <c r="C4813" s="1" t="s">
        <v>5</v>
      </c>
    </row>
    <row r="4814" spans="1:3" x14ac:dyDescent="0.25">
      <c r="A4814" s="1" t="s">
        <v>9629</v>
      </c>
      <c r="B4814" s="1" t="s">
        <v>9630</v>
      </c>
      <c r="C4814" s="1" t="s">
        <v>5</v>
      </c>
    </row>
    <row r="4815" spans="1:3" x14ac:dyDescent="0.25">
      <c r="A4815" s="1" t="s">
        <v>9631</v>
      </c>
      <c r="B4815" s="1" t="s">
        <v>9632</v>
      </c>
      <c r="C4815" s="1" t="s">
        <v>5</v>
      </c>
    </row>
    <row r="4816" spans="1:3" x14ac:dyDescent="0.25">
      <c r="A4816" s="1" t="s">
        <v>9633</v>
      </c>
      <c r="B4816" s="1" t="s">
        <v>9634</v>
      </c>
      <c r="C4816" s="1" t="s">
        <v>5</v>
      </c>
    </row>
    <row r="4817" spans="1:3" x14ac:dyDescent="0.25">
      <c r="A4817" s="1" t="s">
        <v>9635</v>
      </c>
      <c r="B4817" s="1" t="s">
        <v>9636</v>
      </c>
      <c r="C4817" s="1" t="s">
        <v>5</v>
      </c>
    </row>
    <row r="4818" spans="1:3" x14ac:dyDescent="0.25">
      <c r="A4818" s="1" t="s">
        <v>9637</v>
      </c>
      <c r="B4818" s="1" t="s">
        <v>9638</v>
      </c>
      <c r="C4818" s="1" t="s">
        <v>5</v>
      </c>
    </row>
    <row r="4819" spans="1:3" x14ac:dyDescent="0.25">
      <c r="A4819" s="1" t="s">
        <v>9639</v>
      </c>
      <c r="B4819" s="1" t="s">
        <v>9640</v>
      </c>
      <c r="C4819" s="1" t="s">
        <v>5</v>
      </c>
    </row>
    <row r="4820" spans="1:3" x14ac:dyDescent="0.25">
      <c r="A4820" s="1" t="s">
        <v>9641</v>
      </c>
      <c r="B4820" s="1" t="s">
        <v>9642</v>
      </c>
      <c r="C4820" s="1" t="s">
        <v>5</v>
      </c>
    </row>
    <row r="4821" spans="1:3" x14ac:dyDescent="0.25">
      <c r="A4821" s="1" t="s">
        <v>9643</v>
      </c>
      <c r="B4821" s="1" t="s">
        <v>9644</v>
      </c>
      <c r="C4821" s="1" t="s">
        <v>5</v>
      </c>
    </row>
    <row r="4822" spans="1:3" x14ac:dyDescent="0.25">
      <c r="A4822" s="1" t="s">
        <v>9645</v>
      </c>
      <c r="B4822" s="1" t="s">
        <v>9646</v>
      </c>
      <c r="C4822" s="1" t="s">
        <v>5</v>
      </c>
    </row>
    <row r="4823" spans="1:3" x14ac:dyDescent="0.25">
      <c r="A4823" s="1" t="s">
        <v>9647</v>
      </c>
      <c r="B4823" s="1" t="s">
        <v>9648</v>
      </c>
      <c r="C4823" s="1" t="s">
        <v>5</v>
      </c>
    </row>
    <row r="4824" spans="1:3" x14ac:dyDescent="0.25">
      <c r="A4824" s="1" t="s">
        <v>9649</v>
      </c>
      <c r="B4824" s="1" t="s">
        <v>9650</v>
      </c>
      <c r="C4824" s="1" t="s">
        <v>5</v>
      </c>
    </row>
    <row r="4825" spans="1:3" x14ac:dyDescent="0.25">
      <c r="A4825" s="1" t="s">
        <v>9651</v>
      </c>
      <c r="B4825" s="1" t="s">
        <v>9652</v>
      </c>
      <c r="C4825" s="1" t="s">
        <v>5</v>
      </c>
    </row>
    <row r="4826" spans="1:3" x14ac:dyDescent="0.25">
      <c r="A4826" s="1" t="s">
        <v>9653</v>
      </c>
      <c r="B4826" s="1" t="s">
        <v>9654</v>
      </c>
      <c r="C4826" s="1" t="s">
        <v>5</v>
      </c>
    </row>
    <row r="4827" spans="1:3" x14ac:dyDescent="0.25">
      <c r="A4827" s="1" t="s">
        <v>9655</v>
      </c>
      <c r="B4827" s="1" t="s">
        <v>9656</v>
      </c>
      <c r="C4827" s="1" t="s">
        <v>5</v>
      </c>
    </row>
    <row r="4828" spans="1:3" x14ac:dyDescent="0.25">
      <c r="A4828" s="1" t="s">
        <v>9657</v>
      </c>
      <c r="B4828" s="1" t="s">
        <v>9658</v>
      </c>
      <c r="C4828" s="1" t="s">
        <v>5</v>
      </c>
    </row>
    <row r="4829" spans="1:3" x14ac:dyDescent="0.25">
      <c r="A4829" s="1" t="s">
        <v>9659</v>
      </c>
      <c r="B4829" s="1" t="s">
        <v>9660</v>
      </c>
      <c r="C4829" s="1" t="s">
        <v>5</v>
      </c>
    </row>
    <row r="4830" spans="1:3" x14ac:dyDescent="0.25">
      <c r="A4830" s="1" t="s">
        <v>9661</v>
      </c>
      <c r="B4830" s="1" t="s">
        <v>9662</v>
      </c>
      <c r="C4830" s="1" t="s">
        <v>5</v>
      </c>
    </row>
    <row r="4831" spans="1:3" x14ac:dyDescent="0.25">
      <c r="A4831" s="1" t="s">
        <v>9663</v>
      </c>
      <c r="B4831" s="1" t="s">
        <v>9664</v>
      </c>
      <c r="C4831" s="1" t="s">
        <v>5</v>
      </c>
    </row>
    <row r="4832" spans="1:3" x14ac:dyDescent="0.25">
      <c r="A4832" s="1" t="s">
        <v>9665</v>
      </c>
      <c r="B4832" s="1" t="s">
        <v>9666</v>
      </c>
      <c r="C4832" s="1" t="s">
        <v>5</v>
      </c>
    </row>
    <row r="4833" spans="1:3" x14ac:dyDescent="0.25">
      <c r="A4833" s="1" t="s">
        <v>9667</v>
      </c>
      <c r="B4833" s="1" t="s">
        <v>9668</v>
      </c>
      <c r="C4833" s="1" t="s">
        <v>5</v>
      </c>
    </row>
    <row r="4834" spans="1:3" x14ac:dyDescent="0.25">
      <c r="A4834" s="1" t="s">
        <v>9669</v>
      </c>
      <c r="B4834" s="1" t="s">
        <v>9670</v>
      </c>
      <c r="C4834" s="1" t="s">
        <v>5</v>
      </c>
    </row>
    <row r="4835" spans="1:3" x14ac:dyDescent="0.25">
      <c r="A4835" s="1" t="s">
        <v>9671</v>
      </c>
      <c r="B4835" s="1" t="s">
        <v>9672</v>
      </c>
      <c r="C4835" s="1" t="s">
        <v>5</v>
      </c>
    </row>
    <row r="4836" spans="1:3" x14ac:dyDescent="0.25">
      <c r="A4836" s="1" t="s">
        <v>9673</v>
      </c>
      <c r="B4836" s="1" t="s">
        <v>9674</v>
      </c>
      <c r="C4836" s="1" t="s">
        <v>5</v>
      </c>
    </row>
    <row r="4837" spans="1:3" x14ac:dyDescent="0.25">
      <c r="A4837" s="1" t="s">
        <v>9675</v>
      </c>
      <c r="B4837" s="1" t="s">
        <v>9676</v>
      </c>
      <c r="C4837" s="1" t="s">
        <v>5</v>
      </c>
    </row>
    <row r="4838" spans="1:3" x14ac:dyDescent="0.25">
      <c r="A4838" s="1" t="s">
        <v>9677</v>
      </c>
      <c r="B4838" s="1" t="s">
        <v>9678</v>
      </c>
      <c r="C4838" s="1" t="s">
        <v>5</v>
      </c>
    </row>
    <row r="4839" spans="1:3" x14ac:dyDescent="0.25">
      <c r="A4839" s="1" t="s">
        <v>9679</v>
      </c>
      <c r="B4839" s="1" t="s">
        <v>9680</v>
      </c>
      <c r="C4839" s="1" t="s">
        <v>5</v>
      </c>
    </row>
    <row r="4840" spans="1:3" x14ac:dyDescent="0.25">
      <c r="A4840" s="1" t="s">
        <v>9681</v>
      </c>
      <c r="B4840" s="1" t="s">
        <v>9682</v>
      </c>
      <c r="C4840" s="1" t="s">
        <v>5</v>
      </c>
    </row>
    <row r="4841" spans="1:3" x14ac:dyDescent="0.25">
      <c r="A4841" s="1" t="s">
        <v>9683</v>
      </c>
      <c r="B4841" s="1" t="s">
        <v>9684</v>
      </c>
      <c r="C4841" s="1" t="s">
        <v>5</v>
      </c>
    </row>
    <row r="4842" spans="1:3" x14ac:dyDescent="0.25">
      <c r="A4842" s="1" t="s">
        <v>9685</v>
      </c>
      <c r="B4842" s="1" t="s">
        <v>9686</v>
      </c>
      <c r="C4842" s="1" t="s">
        <v>5</v>
      </c>
    </row>
    <row r="4843" spans="1:3" x14ac:dyDescent="0.25">
      <c r="A4843" s="1" t="s">
        <v>9687</v>
      </c>
      <c r="B4843" s="1" t="s">
        <v>9688</v>
      </c>
      <c r="C4843" s="1" t="s">
        <v>5</v>
      </c>
    </row>
    <row r="4844" spans="1:3" x14ac:dyDescent="0.25">
      <c r="A4844" s="1" t="s">
        <v>9689</v>
      </c>
      <c r="B4844" s="1" t="s">
        <v>9690</v>
      </c>
      <c r="C4844" s="1" t="s">
        <v>5</v>
      </c>
    </row>
    <row r="4845" spans="1:3" x14ac:dyDescent="0.25">
      <c r="A4845" s="1" t="s">
        <v>9691</v>
      </c>
      <c r="B4845" s="1" t="s">
        <v>9692</v>
      </c>
      <c r="C4845" s="1" t="s">
        <v>5</v>
      </c>
    </row>
    <row r="4846" spans="1:3" x14ac:dyDescent="0.25">
      <c r="A4846" s="1" t="s">
        <v>9693</v>
      </c>
      <c r="B4846" s="1" t="s">
        <v>9694</v>
      </c>
      <c r="C4846" s="1" t="s">
        <v>5</v>
      </c>
    </row>
    <row r="4847" spans="1:3" x14ac:dyDescent="0.25">
      <c r="A4847" s="1" t="s">
        <v>9695</v>
      </c>
      <c r="B4847" s="1" t="s">
        <v>9696</v>
      </c>
      <c r="C4847" s="1" t="s">
        <v>5</v>
      </c>
    </row>
    <row r="4848" spans="1:3" x14ac:dyDescent="0.25">
      <c r="A4848" s="1" t="s">
        <v>9697</v>
      </c>
      <c r="B4848" s="1" t="s">
        <v>9698</v>
      </c>
      <c r="C4848" s="1" t="s">
        <v>5</v>
      </c>
    </row>
    <row r="4849" spans="1:3" x14ac:dyDescent="0.25">
      <c r="A4849" s="1" t="s">
        <v>9699</v>
      </c>
      <c r="B4849" s="1" t="s">
        <v>9700</v>
      </c>
      <c r="C4849" s="1" t="s">
        <v>5</v>
      </c>
    </row>
    <row r="4850" spans="1:3" x14ac:dyDescent="0.25">
      <c r="A4850" s="1" t="s">
        <v>9701</v>
      </c>
      <c r="B4850" s="1" t="s">
        <v>9702</v>
      </c>
      <c r="C4850" s="1" t="s">
        <v>5</v>
      </c>
    </row>
    <row r="4851" spans="1:3" x14ac:dyDescent="0.25">
      <c r="A4851" s="1" t="s">
        <v>9703</v>
      </c>
      <c r="B4851" s="1" t="s">
        <v>9704</v>
      </c>
      <c r="C4851" s="1" t="s">
        <v>5</v>
      </c>
    </row>
    <row r="4852" spans="1:3" x14ac:dyDescent="0.25">
      <c r="A4852" s="1" t="s">
        <v>9705</v>
      </c>
      <c r="B4852" s="1" t="s">
        <v>9706</v>
      </c>
      <c r="C4852" s="1" t="s">
        <v>5</v>
      </c>
    </row>
    <row r="4853" spans="1:3" x14ac:dyDescent="0.25">
      <c r="A4853" s="1" t="s">
        <v>9707</v>
      </c>
      <c r="B4853" s="1" t="s">
        <v>9708</v>
      </c>
      <c r="C4853" s="1" t="s">
        <v>5</v>
      </c>
    </row>
    <row r="4854" spans="1:3" x14ac:dyDescent="0.25">
      <c r="A4854" s="1" t="s">
        <v>9709</v>
      </c>
      <c r="B4854" s="1" t="s">
        <v>9710</v>
      </c>
      <c r="C4854" s="1" t="s">
        <v>5</v>
      </c>
    </row>
    <row r="4855" spans="1:3" x14ac:dyDescent="0.25">
      <c r="A4855" s="1" t="s">
        <v>9711</v>
      </c>
      <c r="B4855" s="1" t="s">
        <v>9712</v>
      </c>
      <c r="C4855" s="1" t="s">
        <v>5</v>
      </c>
    </row>
    <row r="4856" spans="1:3" x14ac:dyDescent="0.25">
      <c r="A4856" s="1" t="s">
        <v>9713</v>
      </c>
      <c r="B4856" s="1" t="s">
        <v>9714</v>
      </c>
      <c r="C4856" s="1" t="s">
        <v>5</v>
      </c>
    </row>
    <row r="4857" spans="1:3" x14ac:dyDescent="0.25">
      <c r="A4857" s="1" t="s">
        <v>9715</v>
      </c>
      <c r="B4857" s="1" t="s">
        <v>9716</v>
      </c>
      <c r="C4857" s="1" t="s">
        <v>5</v>
      </c>
    </row>
    <row r="4858" spans="1:3" x14ac:dyDescent="0.25">
      <c r="A4858" s="1" t="s">
        <v>9717</v>
      </c>
      <c r="B4858" s="1" t="s">
        <v>9718</v>
      </c>
      <c r="C4858" s="1" t="s">
        <v>5</v>
      </c>
    </row>
    <row r="4859" spans="1:3" x14ac:dyDescent="0.25">
      <c r="A4859" s="1" t="s">
        <v>9719</v>
      </c>
      <c r="B4859" s="1" t="s">
        <v>9720</v>
      </c>
      <c r="C4859" s="1" t="s">
        <v>5</v>
      </c>
    </row>
    <row r="4860" spans="1:3" x14ac:dyDescent="0.25">
      <c r="A4860" s="1" t="s">
        <v>9721</v>
      </c>
      <c r="B4860" s="1" t="s">
        <v>9722</v>
      </c>
      <c r="C4860" s="1" t="s">
        <v>5</v>
      </c>
    </row>
    <row r="4861" spans="1:3" x14ac:dyDescent="0.25">
      <c r="A4861" s="1" t="s">
        <v>9723</v>
      </c>
      <c r="B4861" s="1" t="s">
        <v>9724</v>
      </c>
      <c r="C4861" s="1" t="s">
        <v>5</v>
      </c>
    </row>
    <row r="4862" spans="1:3" x14ac:dyDescent="0.25">
      <c r="A4862" s="1" t="s">
        <v>9725</v>
      </c>
      <c r="B4862" s="1" t="s">
        <v>9726</v>
      </c>
      <c r="C4862" s="1" t="s">
        <v>5</v>
      </c>
    </row>
    <row r="4863" spans="1:3" x14ac:dyDescent="0.25">
      <c r="A4863" s="1" t="s">
        <v>9727</v>
      </c>
      <c r="B4863" s="1" t="s">
        <v>9728</v>
      </c>
      <c r="C4863" s="1" t="s">
        <v>5</v>
      </c>
    </row>
    <row r="4864" spans="1:3" x14ac:dyDescent="0.25">
      <c r="A4864" s="1" t="s">
        <v>9729</v>
      </c>
      <c r="B4864" s="1" t="s">
        <v>9730</v>
      </c>
      <c r="C4864" s="1" t="s">
        <v>5</v>
      </c>
    </row>
    <row r="4865" spans="1:3" x14ac:dyDescent="0.25">
      <c r="A4865" s="1" t="s">
        <v>9731</v>
      </c>
      <c r="B4865" s="1" t="s">
        <v>9732</v>
      </c>
      <c r="C4865" s="1" t="s">
        <v>5</v>
      </c>
    </row>
    <row r="4866" spans="1:3" x14ac:dyDescent="0.25">
      <c r="A4866" s="1" t="s">
        <v>9733</v>
      </c>
      <c r="B4866" s="1" t="s">
        <v>9734</v>
      </c>
      <c r="C4866" s="1" t="s">
        <v>5</v>
      </c>
    </row>
    <row r="4867" spans="1:3" x14ac:dyDescent="0.25">
      <c r="A4867" s="1" t="s">
        <v>9735</v>
      </c>
      <c r="B4867" s="1" t="s">
        <v>9736</v>
      </c>
      <c r="C4867" s="1" t="s">
        <v>5</v>
      </c>
    </row>
    <row r="4868" spans="1:3" x14ac:dyDescent="0.25">
      <c r="A4868" s="1" t="s">
        <v>9737</v>
      </c>
      <c r="B4868" s="1" t="s">
        <v>9738</v>
      </c>
      <c r="C4868" s="1" t="s">
        <v>5</v>
      </c>
    </row>
    <row r="4869" spans="1:3" x14ac:dyDescent="0.25">
      <c r="A4869" s="1" t="s">
        <v>9739</v>
      </c>
      <c r="B4869" s="1" t="s">
        <v>9740</v>
      </c>
      <c r="C4869" s="1" t="s">
        <v>5</v>
      </c>
    </row>
    <row r="4870" spans="1:3" x14ac:dyDescent="0.25">
      <c r="A4870" s="1" t="s">
        <v>9741</v>
      </c>
      <c r="B4870" s="1" t="s">
        <v>9742</v>
      </c>
      <c r="C4870" s="1" t="s">
        <v>5</v>
      </c>
    </row>
    <row r="4871" spans="1:3" x14ac:dyDescent="0.25">
      <c r="A4871" s="1" t="s">
        <v>9743</v>
      </c>
      <c r="B4871" s="1" t="s">
        <v>9744</v>
      </c>
      <c r="C4871" s="1" t="s">
        <v>5</v>
      </c>
    </row>
    <row r="4872" spans="1:3" x14ac:dyDescent="0.25">
      <c r="A4872" s="1" t="s">
        <v>9745</v>
      </c>
      <c r="B4872" s="1" t="s">
        <v>9746</v>
      </c>
      <c r="C4872" s="1" t="s">
        <v>5</v>
      </c>
    </row>
    <row r="4873" spans="1:3" x14ac:dyDescent="0.25">
      <c r="A4873" s="1" t="s">
        <v>9747</v>
      </c>
      <c r="B4873" s="1" t="s">
        <v>9748</v>
      </c>
      <c r="C4873" s="1" t="s">
        <v>5</v>
      </c>
    </row>
    <row r="4874" spans="1:3" x14ac:dyDescent="0.25">
      <c r="A4874" s="1" t="s">
        <v>9749</v>
      </c>
      <c r="B4874" s="1" t="s">
        <v>9750</v>
      </c>
      <c r="C4874" s="1" t="s">
        <v>5</v>
      </c>
    </row>
    <row r="4875" spans="1:3" x14ac:dyDescent="0.25">
      <c r="A4875" s="1" t="s">
        <v>9751</v>
      </c>
      <c r="B4875" s="1" t="s">
        <v>9752</v>
      </c>
      <c r="C4875" s="1" t="s">
        <v>5</v>
      </c>
    </row>
    <row r="4876" spans="1:3" x14ac:dyDescent="0.25">
      <c r="A4876" s="1" t="s">
        <v>9753</v>
      </c>
      <c r="B4876" s="1" t="s">
        <v>9754</v>
      </c>
      <c r="C4876" s="1" t="s">
        <v>5</v>
      </c>
    </row>
    <row r="4877" spans="1:3" x14ac:dyDescent="0.25">
      <c r="A4877" s="1" t="s">
        <v>9755</v>
      </c>
      <c r="B4877" s="1" t="s">
        <v>9756</v>
      </c>
      <c r="C4877" s="1" t="s">
        <v>5</v>
      </c>
    </row>
    <row r="4878" spans="1:3" x14ac:dyDescent="0.25">
      <c r="A4878" s="1" t="s">
        <v>9757</v>
      </c>
      <c r="B4878" s="1" t="s">
        <v>9758</v>
      </c>
      <c r="C4878" s="1" t="s">
        <v>5</v>
      </c>
    </row>
    <row r="4879" spans="1:3" x14ac:dyDescent="0.25">
      <c r="A4879" s="1" t="s">
        <v>9759</v>
      </c>
      <c r="B4879" s="1" t="s">
        <v>9760</v>
      </c>
      <c r="C4879" s="1" t="s">
        <v>5</v>
      </c>
    </row>
    <row r="4880" spans="1:3" x14ac:dyDescent="0.25">
      <c r="A4880" s="1" t="s">
        <v>9761</v>
      </c>
      <c r="B4880" s="1" t="s">
        <v>9762</v>
      </c>
      <c r="C4880" s="1" t="s">
        <v>5</v>
      </c>
    </row>
    <row r="4881" spans="1:3" x14ac:dyDescent="0.25">
      <c r="A4881" s="1" t="s">
        <v>9763</v>
      </c>
      <c r="B4881" s="1" t="s">
        <v>9764</v>
      </c>
      <c r="C4881" s="1" t="s">
        <v>5</v>
      </c>
    </row>
    <row r="4882" spans="1:3" x14ac:dyDescent="0.25">
      <c r="A4882" s="1" t="s">
        <v>9765</v>
      </c>
      <c r="B4882" s="1" t="s">
        <v>9766</v>
      </c>
      <c r="C4882" s="1" t="s">
        <v>5</v>
      </c>
    </row>
    <row r="4883" spans="1:3" x14ac:dyDescent="0.25">
      <c r="A4883" s="1" t="s">
        <v>9767</v>
      </c>
      <c r="B4883" s="1" t="s">
        <v>9768</v>
      </c>
      <c r="C4883" s="1" t="s">
        <v>5</v>
      </c>
    </row>
    <row r="4884" spans="1:3" x14ac:dyDescent="0.25">
      <c r="A4884" s="1" t="s">
        <v>9769</v>
      </c>
      <c r="B4884" s="1" t="s">
        <v>9770</v>
      </c>
      <c r="C4884" s="1" t="s">
        <v>5</v>
      </c>
    </row>
    <row r="4885" spans="1:3" x14ac:dyDescent="0.25">
      <c r="A4885" s="1" t="s">
        <v>9771</v>
      </c>
      <c r="B4885" s="1" t="s">
        <v>9772</v>
      </c>
      <c r="C4885" s="1" t="s">
        <v>5</v>
      </c>
    </row>
    <row r="4886" spans="1:3" x14ac:dyDescent="0.25">
      <c r="A4886" s="1" t="s">
        <v>9773</v>
      </c>
      <c r="B4886" s="1" t="s">
        <v>9774</v>
      </c>
      <c r="C4886" s="1" t="s">
        <v>5</v>
      </c>
    </row>
    <row r="4887" spans="1:3" x14ac:dyDescent="0.25">
      <c r="A4887" s="1" t="s">
        <v>9775</v>
      </c>
      <c r="B4887" s="1" t="s">
        <v>9776</v>
      </c>
      <c r="C4887" s="1" t="s">
        <v>5</v>
      </c>
    </row>
    <row r="4888" spans="1:3" x14ac:dyDescent="0.25">
      <c r="A4888" s="1" t="s">
        <v>9777</v>
      </c>
      <c r="B4888" s="1" t="s">
        <v>9778</v>
      </c>
      <c r="C4888" s="1" t="s">
        <v>5</v>
      </c>
    </row>
    <row r="4889" spans="1:3" x14ac:dyDescent="0.25">
      <c r="A4889" s="1" t="s">
        <v>9779</v>
      </c>
      <c r="B4889" s="1" t="s">
        <v>9780</v>
      </c>
      <c r="C4889" s="1" t="s">
        <v>5</v>
      </c>
    </row>
    <row r="4890" spans="1:3" x14ac:dyDescent="0.25">
      <c r="A4890" s="1" t="s">
        <v>9781</v>
      </c>
      <c r="B4890" s="1" t="s">
        <v>9782</v>
      </c>
      <c r="C4890" s="1" t="s">
        <v>5</v>
      </c>
    </row>
    <row r="4891" spans="1:3" x14ac:dyDescent="0.25">
      <c r="A4891" s="1" t="s">
        <v>9783</v>
      </c>
      <c r="B4891" s="1" t="s">
        <v>9784</v>
      </c>
      <c r="C4891" s="1" t="s">
        <v>5</v>
      </c>
    </row>
    <row r="4892" spans="1:3" x14ac:dyDescent="0.25">
      <c r="A4892" s="1" t="s">
        <v>9785</v>
      </c>
      <c r="B4892" s="1" t="s">
        <v>9786</v>
      </c>
      <c r="C4892" s="1" t="s">
        <v>5</v>
      </c>
    </row>
    <row r="4893" spans="1:3" x14ac:dyDescent="0.25">
      <c r="A4893" s="1" t="s">
        <v>9787</v>
      </c>
      <c r="B4893" s="1" t="s">
        <v>9788</v>
      </c>
      <c r="C4893" s="1" t="s">
        <v>5</v>
      </c>
    </row>
    <row r="4894" spans="1:3" x14ac:dyDescent="0.25">
      <c r="A4894" s="1" t="s">
        <v>9789</v>
      </c>
      <c r="B4894" s="1" t="s">
        <v>9790</v>
      </c>
      <c r="C4894" s="1" t="s">
        <v>5</v>
      </c>
    </row>
    <row r="4895" spans="1:3" x14ac:dyDescent="0.25">
      <c r="A4895" s="1" t="s">
        <v>9791</v>
      </c>
      <c r="B4895" s="1" t="s">
        <v>9792</v>
      </c>
      <c r="C4895" s="1" t="s">
        <v>5</v>
      </c>
    </row>
    <row r="4896" spans="1:3" x14ac:dyDescent="0.25">
      <c r="A4896" s="1" t="s">
        <v>9793</v>
      </c>
      <c r="B4896" s="1" t="s">
        <v>9794</v>
      </c>
      <c r="C4896" s="1" t="s">
        <v>5</v>
      </c>
    </row>
    <row r="4897" spans="1:3" x14ac:dyDescent="0.25">
      <c r="A4897" s="1" t="s">
        <v>9795</v>
      </c>
      <c r="B4897" s="1" t="s">
        <v>9796</v>
      </c>
      <c r="C4897" s="1" t="s">
        <v>5</v>
      </c>
    </row>
    <row r="4898" spans="1:3" x14ac:dyDescent="0.25">
      <c r="A4898" s="1" t="s">
        <v>9797</v>
      </c>
      <c r="B4898" s="1" t="s">
        <v>9798</v>
      </c>
      <c r="C4898" s="1" t="s">
        <v>5</v>
      </c>
    </row>
    <row r="4899" spans="1:3" x14ac:dyDescent="0.25">
      <c r="A4899" s="1" t="s">
        <v>9799</v>
      </c>
      <c r="B4899" s="1" t="s">
        <v>9800</v>
      </c>
      <c r="C4899" s="1" t="s">
        <v>5</v>
      </c>
    </row>
    <row r="4900" spans="1:3" x14ac:dyDescent="0.25">
      <c r="A4900" s="1" t="s">
        <v>9801</v>
      </c>
      <c r="B4900" s="1" t="s">
        <v>9802</v>
      </c>
      <c r="C4900" s="1" t="s">
        <v>5</v>
      </c>
    </row>
    <row r="4901" spans="1:3" x14ac:dyDescent="0.25">
      <c r="A4901" s="1" t="s">
        <v>9803</v>
      </c>
      <c r="B4901" s="1" t="s">
        <v>9804</v>
      </c>
      <c r="C4901" s="1" t="s">
        <v>5</v>
      </c>
    </row>
    <row r="4902" spans="1:3" x14ac:dyDescent="0.25">
      <c r="A4902" s="1" t="s">
        <v>9805</v>
      </c>
      <c r="B4902" s="1" t="s">
        <v>9806</v>
      </c>
      <c r="C4902" s="1" t="s">
        <v>5</v>
      </c>
    </row>
    <row r="4903" spans="1:3" x14ac:dyDescent="0.25">
      <c r="A4903" s="1" t="s">
        <v>9807</v>
      </c>
      <c r="B4903" s="1" t="s">
        <v>9808</v>
      </c>
      <c r="C4903" s="1" t="s">
        <v>5</v>
      </c>
    </row>
    <row r="4904" spans="1:3" x14ac:dyDescent="0.25">
      <c r="A4904" s="1" t="s">
        <v>9809</v>
      </c>
      <c r="B4904" s="1" t="s">
        <v>9810</v>
      </c>
      <c r="C4904" s="1" t="s">
        <v>5</v>
      </c>
    </row>
    <row r="4905" spans="1:3" x14ac:dyDescent="0.25">
      <c r="A4905" s="1" t="s">
        <v>9811</v>
      </c>
      <c r="B4905" s="1" t="s">
        <v>9812</v>
      </c>
      <c r="C4905" s="1" t="s">
        <v>5</v>
      </c>
    </row>
    <row r="4906" spans="1:3" x14ac:dyDescent="0.25">
      <c r="A4906" s="1" t="s">
        <v>9813</v>
      </c>
      <c r="B4906" s="1" t="s">
        <v>9814</v>
      </c>
      <c r="C4906" s="1" t="s">
        <v>5</v>
      </c>
    </row>
    <row r="4907" spans="1:3" x14ac:dyDescent="0.25">
      <c r="A4907" s="1" t="s">
        <v>9815</v>
      </c>
      <c r="B4907" s="1" t="s">
        <v>9816</v>
      </c>
      <c r="C4907" s="1" t="s">
        <v>5</v>
      </c>
    </row>
    <row r="4908" spans="1:3" x14ac:dyDescent="0.25">
      <c r="A4908" s="1" t="s">
        <v>9817</v>
      </c>
      <c r="B4908" s="1" t="s">
        <v>9818</v>
      </c>
      <c r="C4908" s="1" t="s">
        <v>5</v>
      </c>
    </row>
    <row r="4909" spans="1:3" x14ac:dyDescent="0.25">
      <c r="A4909" s="1" t="s">
        <v>9819</v>
      </c>
      <c r="B4909" s="1" t="s">
        <v>9820</v>
      </c>
      <c r="C4909" s="1" t="s">
        <v>5</v>
      </c>
    </row>
    <row r="4910" spans="1:3" x14ac:dyDescent="0.25">
      <c r="A4910" s="1" t="s">
        <v>9821</v>
      </c>
      <c r="B4910" s="1" t="s">
        <v>9822</v>
      </c>
      <c r="C4910" s="1" t="s">
        <v>5</v>
      </c>
    </row>
    <row r="4911" spans="1:3" x14ac:dyDescent="0.25">
      <c r="A4911" s="1" t="s">
        <v>9823</v>
      </c>
      <c r="B4911" s="1" t="s">
        <v>9824</v>
      </c>
      <c r="C4911" s="1" t="s">
        <v>5</v>
      </c>
    </row>
    <row r="4912" spans="1:3" x14ac:dyDescent="0.25">
      <c r="A4912" s="1" t="s">
        <v>9825</v>
      </c>
      <c r="B4912" s="1" t="s">
        <v>9826</v>
      </c>
      <c r="C4912" s="1" t="s">
        <v>5</v>
      </c>
    </row>
    <row r="4913" spans="1:3" x14ac:dyDescent="0.25">
      <c r="A4913" s="1" t="s">
        <v>9827</v>
      </c>
      <c r="B4913" s="1" t="s">
        <v>9828</v>
      </c>
      <c r="C4913" s="1" t="s">
        <v>5</v>
      </c>
    </row>
    <row r="4914" spans="1:3" x14ac:dyDescent="0.25">
      <c r="A4914" s="1" t="s">
        <v>9829</v>
      </c>
      <c r="B4914" s="1" t="s">
        <v>9830</v>
      </c>
      <c r="C4914" s="1" t="s">
        <v>5</v>
      </c>
    </row>
    <row r="4915" spans="1:3" x14ac:dyDescent="0.25">
      <c r="A4915" s="1" t="s">
        <v>9831</v>
      </c>
      <c r="B4915" s="1" t="s">
        <v>9832</v>
      </c>
      <c r="C4915" s="1" t="s">
        <v>5</v>
      </c>
    </row>
    <row r="4916" spans="1:3" x14ac:dyDescent="0.25">
      <c r="A4916" s="1" t="s">
        <v>9833</v>
      </c>
      <c r="B4916" s="1" t="s">
        <v>9834</v>
      </c>
      <c r="C4916" s="1" t="s">
        <v>5</v>
      </c>
    </row>
    <row r="4917" spans="1:3" x14ac:dyDescent="0.25">
      <c r="A4917" s="1" t="s">
        <v>9835</v>
      </c>
      <c r="B4917" s="1" t="s">
        <v>9836</v>
      </c>
      <c r="C4917" s="1" t="s">
        <v>5</v>
      </c>
    </row>
    <row r="4918" spans="1:3" x14ac:dyDescent="0.25">
      <c r="A4918" s="1" t="s">
        <v>9837</v>
      </c>
      <c r="B4918" s="1" t="s">
        <v>9838</v>
      </c>
      <c r="C4918" s="1" t="s">
        <v>5</v>
      </c>
    </row>
    <row r="4919" spans="1:3" x14ac:dyDescent="0.25">
      <c r="A4919" s="1" t="s">
        <v>9839</v>
      </c>
      <c r="B4919" s="1" t="s">
        <v>9840</v>
      </c>
      <c r="C4919" s="1" t="s">
        <v>5</v>
      </c>
    </row>
    <row r="4920" spans="1:3" x14ac:dyDescent="0.25">
      <c r="A4920" s="1" t="s">
        <v>9841</v>
      </c>
      <c r="B4920" s="1" t="s">
        <v>9842</v>
      </c>
      <c r="C4920" s="1" t="s">
        <v>5</v>
      </c>
    </row>
    <row r="4921" spans="1:3" x14ac:dyDescent="0.25">
      <c r="A4921" s="1" t="s">
        <v>9843</v>
      </c>
      <c r="B4921" s="1" t="s">
        <v>9844</v>
      </c>
      <c r="C4921" s="1" t="s">
        <v>5</v>
      </c>
    </row>
    <row r="4922" spans="1:3" x14ac:dyDescent="0.25">
      <c r="A4922" s="1" t="s">
        <v>9845</v>
      </c>
      <c r="B4922" s="1" t="s">
        <v>9846</v>
      </c>
      <c r="C4922" s="1" t="s">
        <v>5</v>
      </c>
    </row>
    <row r="4923" spans="1:3" x14ac:dyDescent="0.25">
      <c r="A4923" s="1" t="s">
        <v>9847</v>
      </c>
      <c r="B4923" s="1" t="s">
        <v>9848</v>
      </c>
      <c r="C4923" s="1" t="s">
        <v>5</v>
      </c>
    </row>
    <row r="4924" spans="1:3" x14ac:dyDescent="0.25">
      <c r="A4924" s="1" t="s">
        <v>9849</v>
      </c>
      <c r="B4924" s="1" t="s">
        <v>9850</v>
      </c>
      <c r="C4924" s="1" t="s">
        <v>5</v>
      </c>
    </row>
    <row r="4925" spans="1:3" x14ac:dyDescent="0.25">
      <c r="A4925" s="1" t="s">
        <v>9851</v>
      </c>
      <c r="B4925" s="1" t="s">
        <v>9852</v>
      </c>
      <c r="C4925" s="1" t="s">
        <v>5</v>
      </c>
    </row>
    <row r="4926" spans="1:3" x14ac:dyDescent="0.25">
      <c r="A4926" s="1" t="s">
        <v>9853</v>
      </c>
      <c r="B4926" s="1" t="s">
        <v>9854</v>
      </c>
      <c r="C4926" s="1" t="s">
        <v>5</v>
      </c>
    </row>
    <row r="4927" spans="1:3" x14ac:dyDescent="0.25">
      <c r="A4927" s="1" t="s">
        <v>9855</v>
      </c>
      <c r="B4927" s="1" t="s">
        <v>9856</v>
      </c>
      <c r="C4927" s="1" t="s">
        <v>5</v>
      </c>
    </row>
    <row r="4928" spans="1:3" x14ac:dyDescent="0.25">
      <c r="A4928" s="1" t="s">
        <v>9857</v>
      </c>
      <c r="B4928" s="1" t="s">
        <v>9858</v>
      </c>
      <c r="C4928" s="1" t="s">
        <v>5</v>
      </c>
    </row>
    <row r="4929" spans="1:3" x14ac:dyDescent="0.25">
      <c r="A4929" s="1" t="s">
        <v>9859</v>
      </c>
      <c r="B4929" s="1" t="s">
        <v>9860</v>
      </c>
      <c r="C4929" s="1" t="s">
        <v>5</v>
      </c>
    </row>
    <row r="4930" spans="1:3" x14ac:dyDescent="0.25">
      <c r="A4930" s="1" t="s">
        <v>9861</v>
      </c>
      <c r="B4930" s="1" t="s">
        <v>9862</v>
      </c>
      <c r="C4930" s="1" t="s">
        <v>5</v>
      </c>
    </row>
    <row r="4931" spans="1:3" x14ac:dyDescent="0.25">
      <c r="A4931" s="1" t="s">
        <v>9863</v>
      </c>
      <c r="B4931" s="1" t="s">
        <v>9864</v>
      </c>
      <c r="C4931" s="1" t="s">
        <v>5</v>
      </c>
    </row>
    <row r="4932" spans="1:3" x14ac:dyDescent="0.25">
      <c r="A4932" s="1" t="s">
        <v>9865</v>
      </c>
      <c r="B4932" s="1" t="s">
        <v>9866</v>
      </c>
      <c r="C4932" s="1" t="s">
        <v>5</v>
      </c>
    </row>
    <row r="4933" spans="1:3" x14ac:dyDescent="0.25">
      <c r="A4933" s="1" t="s">
        <v>9867</v>
      </c>
      <c r="B4933" s="1" t="s">
        <v>9868</v>
      </c>
      <c r="C4933" s="1" t="s">
        <v>5</v>
      </c>
    </row>
    <row r="4934" spans="1:3" x14ac:dyDescent="0.25">
      <c r="A4934" s="1" t="s">
        <v>9869</v>
      </c>
      <c r="B4934" s="1" t="s">
        <v>9870</v>
      </c>
      <c r="C4934" s="1" t="s">
        <v>5</v>
      </c>
    </row>
    <row r="4935" spans="1:3" x14ac:dyDescent="0.25">
      <c r="A4935" s="1" t="s">
        <v>9871</v>
      </c>
      <c r="B4935" s="1" t="s">
        <v>9872</v>
      </c>
      <c r="C4935" s="1" t="s">
        <v>5</v>
      </c>
    </row>
    <row r="4936" spans="1:3" x14ac:dyDescent="0.25">
      <c r="A4936" s="1" t="s">
        <v>9873</v>
      </c>
      <c r="B4936" s="1" t="s">
        <v>9874</v>
      </c>
      <c r="C4936" s="1" t="s">
        <v>5</v>
      </c>
    </row>
    <row r="4937" spans="1:3" x14ac:dyDescent="0.25">
      <c r="A4937" s="1" t="s">
        <v>9875</v>
      </c>
      <c r="B4937" s="1" t="s">
        <v>9876</v>
      </c>
      <c r="C4937" s="1" t="s">
        <v>5</v>
      </c>
    </row>
    <row r="4938" spans="1:3" x14ac:dyDescent="0.25">
      <c r="A4938" s="1" t="s">
        <v>9877</v>
      </c>
      <c r="B4938" s="1" t="s">
        <v>9878</v>
      </c>
      <c r="C4938" s="1" t="s">
        <v>5</v>
      </c>
    </row>
    <row r="4939" spans="1:3" x14ac:dyDescent="0.25">
      <c r="A4939" s="1" t="s">
        <v>9879</v>
      </c>
      <c r="B4939" s="1" t="s">
        <v>9880</v>
      </c>
      <c r="C4939" s="1" t="s">
        <v>5</v>
      </c>
    </row>
    <row r="4940" spans="1:3" x14ac:dyDescent="0.25">
      <c r="A4940" s="1" t="s">
        <v>9881</v>
      </c>
      <c r="B4940" s="1" t="s">
        <v>9882</v>
      </c>
      <c r="C4940" s="1" t="s">
        <v>448</v>
      </c>
    </row>
    <row r="4941" spans="1:3" x14ac:dyDescent="0.25">
      <c r="A4941" s="1" t="s">
        <v>9883</v>
      </c>
      <c r="B4941" s="1" t="s">
        <v>9884</v>
      </c>
      <c r="C4941" s="1" t="s">
        <v>5</v>
      </c>
    </row>
    <row r="4942" spans="1:3" x14ac:dyDescent="0.25">
      <c r="A4942" s="1" t="s">
        <v>9885</v>
      </c>
      <c r="B4942" s="1" t="s">
        <v>9886</v>
      </c>
      <c r="C4942" s="1" t="s">
        <v>5</v>
      </c>
    </row>
    <row r="4943" spans="1:3" x14ac:dyDescent="0.25">
      <c r="A4943" s="1" t="s">
        <v>9887</v>
      </c>
      <c r="B4943" s="1" t="s">
        <v>9888</v>
      </c>
      <c r="C4943" s="1" t="s">
        <v>5</v>
      </c>
    </row>
    <row r="4944" spans="1:3" x14ac:dyDescent="0.25">
      <c r="A4944" s="1" t="s">
        <v>9889</v>
      </c>
      <c r="B4944" s="1" t="s">
        <v>9890</v>
      </c>
      <c r="C4944" s="1" t="s">
        <v>5</v>
      </c>
    </row>
    <row r="4945" spans="1:3" x14ac:dyDescent="0.25">
      <c r="A4945" s="1" t="s">
        <v>9891</v>
      </c>
      <c r="B4945" s="1" t="s">
        <v>9892</v>
      </c>
      <c r="C4945" s="1" t="s">
        <v>5</v>
      </c>
    </row>
    <row r="4946" spans="1:3" x14ac:dyDescent="0.25">
      <c r="A4946" s="1" t="s">
        <v>9893</v>
      </c>
      <c r="B4946" s="1" t="s">
        <v>9894</v>
      </c>
      <c r="C4946" s="1" t="s">
        <v>5</v>
      </c>
    </row>
    <row r="4947" spans="1:3" x14ac:dyDescent="0.25">
      <c r="A4947" s="1" t="s">
        <v>9895</v>
      </c>
      <c r="B4947" s="1" t="s">
        <v>9896</v>
      </c>
      <c r="C4947" s="1" t="s">
        <v>5</v>
      </c>
    </row>
    <row r="4948" spans="1:3" x14ac:dyDescent="0.25">
      <c r="A4948" s="1" t="s">
        <v>9897</v>
      </c>
      <c r="B4948" s="1" t="s">
        <v>9898</v>
      </c>
      <c r="C4948" s="1" t="s">
        <v>5</v>
      </c>
    </row>
    <row r="4949" spans="1:3" x14ac:dyDescent="0.25">
      <c r="A4949" s="1" t="s">
        <v>9899</v>
      </c>
      <c r="B4949" s="1" t="s">
        <v>9900</v>
      </c>
      <c r="C4949" s="1" t="s">
        <v>5</v>
      </c>
    </row>
    <row r="4950" spans="1:3" x14ac:dyDescent="0.25">
      <c r="A4950" s="1" t="s">
        <v>9901</v>
      </c>
      <c r="B4950" s="1" t="s">
        <v>9902</v>
      </c>
      <c r="C4950" s="1" t="s">
        <v>5</v>
      </c>
    </row>
    <row r="4951" spans="1:3" x14ac:dyDescent="0.25">
      <c r="A4951" s="1" t="s">
        <v>9903</v>
      </c>
      <c r="B4951" s="1" t="s">
        <v>9904</v>
      </c>
      <c r="C4951" s="1" t="s">
        <v>5</v>
      </c>
    </row>
    <row r="4952" spans="1:3" x14ac:dyDescent="0.25">
      <c r="A4952" s="1" t="s">
        <v>9905</v>
      </c>
      <c r="B4952" s="1" t="s">
        <v>9906</v>
      </c>
      <c r="C4952" s="1" t="s">
        <v>5</v>
      </c>
    </row>
    <row r="4953" spans="1:3" x14ac:dyDescent="0.25">
      <c r="A4953" s="1" t="s">
        <v>9907</v>
      </c>
      <c r="B4953" s="1" t="s">
        <v>9908</v>
      </c>
      <c r="C4953" s="1" t="s">
        <v>5</v>
      </c>
    </row>
    <row r="4954" spans="1:3" x14ac:dyDescent="0.25">
      <c r="A4954" s="1" t="s">
        <v>9909</v>
      </c>
      <c r="B4954" s="1" t="s">
        <v>9910</v>
      </c>
      <c r="C4954" s="1" t="s">
        <v>5</v>
      </c>
    </row>
    <row r="4955" spans="1:3" x14ac:dyDescent="0.25">
      <c r="A4955" s="1" t="s">
        <v>9911</v>
      </c>
      <c r="B4955" s="1" t="s">
        <v>9912</v>
      </c>
      <c r="C4955" s="1" t="s">
        <v>5</v>
      </c>
    </row>
    <row r="4956" spans="1:3" x14ac:dyDescent="0.25">
      <c r="A4956" s="1" t="s">
        <v>9913</v>
      </c>
      <c r="B4956" s="1" t="s">
        <v>9914</v>
      </c>
      <c r="C4956" s="1" t="s">
        <v>5</v>
      </c>
    </row>
    <row r="4957" spans="1:3" x14ac:dyDescent="0.25">
      <c r="A4957" s="1" t="s">
        <v>9915</v>
      </c>
      <c r="B4957" s="1" t="s">
        <v>9916</v>
      </c>
      <c r="C4957" s="1" t="s">
        <v>5</v>
      </c>
    </row>
    <row r="4958" spans="1:3" x14ac:dyDescent="0.25">
      <c r="A4958" s="1" t="s">
        <v>9917</v>
      </c>
      <c r="B4958" s="1" t="s">
        <v>9918</v>
      </c>
      <c r="C4958" s="1" t="s">
        <v>5</v>
      </c>
    </row>
    <row r="4959" spans="1:3" x14ac:dyDescent="0.25">
      <c r="A4959" s="1" t="s">
        <v>9919</v>
      </c>
      <c r="B4959" s="1" t="s">
        <v>9920</v>
      </c>
      <c r="C4959" s="1" t="s">
        <v>5</v>
      </c>
    </row>
    <row r="4960" spans="1:3" x14ac:dyDescent="0.25">
      <c r="A4960" s="1" t="s">
        <v>9921</v>
      </c>
      <c r="B4960" s="1" t="s">
        <v>9922</v>
      </c>
      <c r="C4960" s="1" t="s">
        <v>5</v>
      </c>
    </row>
    <row r="4961" spans="1:3" x14ac:dyDescent="0.25">
      <c r="A4961" s="1" t="s">
        <v>9923</v>
      </c>
      <c r="B4961" s="1" t="s">
        <v>9924</v>
      </c>
      <c r="C4961" s="1" t="s">
        <v>5</v>
      </c>
    </row>
    <row r="4962" spans="1:3" x14ac:dyDescent="0.25">
      <c r="A4962" s="1" t="s">
        <v>9925</v>
      </c>
      <c r="B4962" s="1" t="s">
        <v>9926</v>
      </c>
      <c r="C4962" s="1" t="s">
        <v>5</v>
      </c>
    </row>
    <row r="4963" spans="1:3" x14ac:dyDescent="0.25">
      <c r="A4963" s="1" t="s">
        <v>9927</v>
      </c>
      <c r="B4963" s="1" t="s">
        <v>9928</v>
      </c>
      <c r="C4963" s="1" t="s">
        <v>5</v>
      </c>
    </row>
    <row r="4964" spans="1:3" x14ac:dyDescent="0.25">
      <c r="A4964" s="1" t="s">
        <v>9929</v>
      </c>
      <c r="B4964" s="1" t="s">
        <v>9930</v>
      </c>
      <c r="C4964" s="1" t="s">
        <v>5</v>
      </c>
    </row>
    <row r="4965" spans="1:3" x14ac:dyDescent="0.25">
      <c r="A4965" s="1" t="s">
        <v>9931</v>
      </c>
      <c r="B4965" s="1" t="s">
        <v>9932</v>
      </c>
      <c r="C4965" s="1" t="s">
        <v>5</v>
      </c>
    </row>
    <row r="4966" spans="1:3" x14ac:dyDescent="0.25">
      <c r="A4966" s="1" t="s">
        <v>9933</v>
      </c>
      <c r="B4966" s="1" t="s">
        <v>9934</v>
      </c>
      <c r="C4966" s="1" t="s">
        <v>5</v>
      </c>
    </row>
    <row r="4967" spans="1:3" x14ac:dyDescent="0.25">
      <c r="A4967" s="1" t="s">
        <v>9935</v>
      </c>
      <c r="B4967" s="1" t="s">
        <v>9936</v>
      </c>
      <c r="C4967" s="1" t="s">
        <v>5</v>
      </c>
    </row>
    <row r="4968" spans="1:3" x14ac:dyDescent="0.25">
      <c r="A4968" s="1" t="s">
        <v>9937</v>
      </c>
      <c r="B4968" s="1" t="s">
        <v>9938</v>
      </c>
      <c r="C4968" s="1" t="s">
        <v>5</v>
      </c>
    </row>
    <row r="4969" spans="1:3" x14ac:dyDescent="0.25">
      <c r="A4969" s="1" t="s">
        <v>9939</v>
      </c>
      <c r="B4969" s="1" t="s">
        <v>9940</v>
      </c>
      <c r="C4969" s="1" t="s">
        <v>5</v>
      </c>
    </row>
    <row r="4970" spans="1:3" x14ac:dyDescent="0.25">
      <c r="A4970" s="1" t="s">
        <v>9941</v>
      </c>
      <c r="B4970" s="1" t="s">
        <v>9942</v>
      </c>
      <c r="C4970" s="1" t="s">
        <v>5</v>
      </c>
    </row>
    <row r="4971" spans="1:3" x14ac:dyDescent="0.25">
      <c r="A4971" s="1" t="s">
        <v>9943</v>
      </c>
      <c r="B4971" s="1" t="s">
        <v>9944</v>
      </c>
      <c r="C4971" s="1" t="s">
        <v>5</v>
      </c>
    </row>
    <row r="4972" spans="1:3" x14ac:dyDescent="0.25">
      <c r="A4972" s="1" t="s">
        <v>9945</v>
      </c>
      <c r="B4972" s="1" t="s">
        <v>9946</v>
      </c>
      <c r="C4972" s="1" t="s">
        <v>5</v>
      </c>
    </row>
    <row r="4973" spans="1:3" x14ac:dyDescent="0.25">
      <c r="A4973" s="1" t="s">
        <v>9947</v>
      </c>
      <c r="B4973" s="1" t="s">
        <v>9948</v>
      </c>
      <c r="C4973" s="1" t="s">
        <v>5</v>
      </c>
    </row>
    <row r="4974" spans="1:3" x14ac:dyDescent="0.25">
      <c r="A4974" s="1" t="s">
        <v>9949</v>
      </c>
      <c r="B4974" s="1" t="s">
        <v>9950</v>
      </c>
      <c r="C4974" s="1" t="s">
        <v>5</v>
      </c>
    </row>
    <row r="4975" spans="1:3" x14ac:dyDescent="0.25">
      <c r="A4975" s="1" t="s">
        <v>9951</v>
      </c>
      <c r="B4975" s="1" t="s">
        <v>9952</v>
      </c>
      <c r="C4975" s="1" t="s">
        <v>5</v>
      </c>
    </row>
    <row r="4976" spans="1:3" x14ac:dyDescent="0.25">
      <c r="A4976" s="1" t="s">
        <v>9953</v>
      </c>
      <c r="B4976" s="1" t="s">
        <v>9954</v>
      </c>
      <c r="C4976" s="1" t="s">
        <v>5</v>
      </c>
    </row>
    <row r="4977" spans="1:3" x14ac:dyDescent="0.25">
      <c r="A4977" s="1" t="s">
        <v>9955</v>
      </c>
      <c r="B4977" s="1" t="s">
        <v>9956</v>
      </c>
      <c r="C4977" s="1" t="s">
        <v>5</v>
      </c>
    </row>
    <row r="4978" spans="1:3" x14ac:dyDescent="0.25">
      <c r="A4978" s="1" t="s">
        <v>9957</v>
      </c>
      <c r="B4978" s="1" t="s">
        <v>9958</v>
      </c>
      <c r="C4978" s="1" t="s">
        <v>5</v>
      </c>
    </row>
    <row r="4979" spans="1:3" x14ac:dyDescent="0.25">
      <c r="A4979" s="1" t="s">
        <v>9959</v>
      </c>
      <c r="B4979" s="1" t="s">
        <v>9960</v>
      </c>
      <c r="C4979" s="1" t="s">
        <v>5</v>
      </c>
    </row>
    <row r="4980" spans="1:3" x14ac:dyDescent="0.25">
      <c r="A4980" s="1" t="s">
        <v>9961</v>
      </c>
      <c r="B4980" s="1" t="s">
        <v>9962</v>
      </c>
      <c r="C4980" s="1" t="s">
        <v>5</v>
      </c>
    </row>
    <row r="4981" spans="1:3" x14ac:dyDescent="0.25">
      <c r="A4981" s="1" t="s">
        <v>9963</v>
      </c>
      <c r="B4981" s="1" t="s">
        <v>9964</v>
      </c>
      <c r="C4981" s="1" t="s">
        <v>5</v>
      </c>
    </row>
    <row r="4982" spans="1:3" x14ac:dyDescent="0.25">
      <c r="A4982" s="1" t="s">
        <v>9965</v>
      </c>
      <c r="B4982" s="1" t="s">
        <v>9966</v>
      </c>
      <c r="C4982" s="1" t="s">
        <v>5</v>
      </c>
    </row>
    <row r="4983" spans="1:3" x14ac:dyDescent="0.25">
      <c r="A4983" s="1" t="s">
        <v>9967</v>
      </c>
      <c r="B4983" s="1" t="s">
        <v>9968</v>
      </c>
      <c r="C4983" s="1" t="s">
        <v>5</v>
      </c>
    </row>
    <row r="4984" spans="1:3" x14ac:dyDescent="0.25">
      <c r="A4984" s="1" t="s">
        <v>9969</v>
      </c>
      <c r="B4984" s="1" t="s">
        <v>9970</v>
      </c>
      <c r="C4984" s="1" t="s">
        <v>5</v>
      </c>
    </row>
    <row r="4985" spans="1:3" x14ac:dyDescent="0.25">
      <c r="A4985" s="1" t="s">
        <v>9971</v>
      </c>
      <c r="B4985" s="1" t="s">
        <v>9972</v>
      </c>
      <c r="C4985" s="1" t="s">
        <v>5</v>
      </c>
    </row>
    <row r="4986" spans="1:3" x14ac:dyDescent="0.25">
      <c r="A4986" s="1" t="s">
        <v>9973</v>
      </c>
      <c r="B4986" s="1" t="s">
        <v>9974</v>
      </c>
      <c r="C4986" s="1" t="s">
        <v>5</v>
      </c>
    </row>
    <row r="4987" spans="1:3" x14ac:dyDescent="0.25">
      <c r="A4987" s="1" t="s">
        <v>9975</v>
      </c>
      <c r="B4987" s="1" t="s">
        <v>9976</v>
      </c>
      <c r="C4987" s="1" t="s">
        <v>5</v>
      </c>
    </row>
    <row r="4988" spans="1:3" x14ac:dyDescent="0.25">
      <c r="A4988" s="1" t="s">
        <v>9977</v>
      </c>
      <c r="B4988" s="1" t="s">
        <v>9978</v>
      </c>
      <c r="C4988" s="1" t="s">
        <v>5</v>
      </c>
    </row>
    <row r="4989" spans="1:3" x14ac:dyDescent="0.25">
      <c r="A4989" s="1" t="s">
        <v>9979</v>
      </c>
      <c r="B4989" s="1" t="s">
        <v>9980</v>
      </c>
      <c r="C4989" s="1" t="s">
        <v>5</v>
      </c>
    </row>
    <row r="4990" spans="1:3" x14ac:dyDescent="0.25">
      <c r="A4990" s="1" t="s">
        <v>9981</v>
      </c>
      <c r="B4990" s="1" t="s">
        <v>9982</v>
      </c>
      <c r="C4990" s="1" t="s">
        <v>5</v>
      </c>
    </row>
    <row r="4991" spans="1:3" x14ac:dyDescent="0.25">
      <c r="A4991" s="1" t="s">
        <v>9983</v>
      </c>
      <c r="B4991" s="1" t="s">
        <v>9984</v>
      </c>
      <c r="C4991" s="1" t="s">
        <v>5</v>
      </c>
    </row>
    <row r="4992" spans="1:3" x14ac:dyDescent="0.25">
      <c r="A4992" s="1" t="s">
        <v>9985</v>
      </c>
      <c r="B4992" s="1" t="s">
        <v>9986</v>
      </c>
      <c r="C4992" s="1" t="s">
        <v>5</v>
      </c>
    </row>
    <row r="4993" spans="1:3" x14ac:dyDescent="0.25">
      <c r="A4993" s="1" t="s">
        <v>9987</v>
      </c>
      <c r="B4993" s="1" t="s">
        <v>9988</v>
      </c>
      <c r="C4993" s="1" t="s">
        <v>5</v>
      </c>
    </row>
    <row r="4994" spans="1:3" x14ac:dyDescent="0.25">
      <c r="A4994" s="1" t="s">
        <v>9989</v>
      </c>
      <c r="B4994" s="1" t="s">
        <v>9990</v>
      </c>
      <c r="C4994" s="1" t="s">
        <v>5</v>
      </c>
    </row>
    <row r="4995" spans="1:3" x14ac:dyDescent="0.25">
      <c r="A4995" s="1" t="s">
        <v>9991</v>
      </c>
      <c r="B4995" s="1" t="s">
        <v>9992</v>
      </c>
      <c r="C4995" s="1" t="s">
        <v>5</v>
      </c>
    </row>
    <row r="4996" spans="1:3" x14ac:dyDescent="0.25">
      <c r="A4996" s="1" t="s">
        <v>9993</v>
      </c>
      <c r="B4996" s="1" t="s">
        <v>9994</v>
      </c>
      <c r="C4996" s="1" t="s">
        <v>5</v>
      </c>
    </row>
    <row r="4997" spans="1:3" x14ac:dyDescent="0.25">
      <c r="A4997" s="1" t="s">
        <v>9995</v>
      </c>
      <c r="B4997" s="1" t="s">
        <v>9996</v>
      </c>
      <c r="C4997" s="1" t="s">
        <v>5</v>
      </c>
    </row>
    <row r="4998" spans="1:3" x14ac:dyDescent="0.25">
      <c r="A4998" s="1" t="s">
        <v>9997</v>
      </c>
      <c r="B4998" s="1" t="s">
        <v>9998</v>
      </c>
      <c r="C4998" s="1" t="s">
        <v>5</v>
      </c>
    </row>
    <row r="4999" spans="1:3" x14ac:dyDescent="0.25">
      <c r="A4999" s="1" t="s">
        <v>9999</v>
      </c>
      <c r="B4999" s="1" t="s">
        <v>10000</v>
      </c>
      <c r="C4999" s="1" t="s">
        <v>5</v>
      </c>
    </row>
    <row r="5000" spans="1:3" x14ac:dyDescent="0.25">
      <c r="A5000" s="1" t="s">
        <v>10001</v>
      </c>
      <c r="B5000" s="1" t="s">
        <v>10002</v>
      </c>
      <c r="C5000" s="1" t="s">
        <v>5</v>
      </c>
    </row>
    <row r="5001" spans="1:3" x14ac:dyDescent="0.25">
      <c r="A5001" s="1" t="s">
        <v>10003</v>
      </c>
      <c r="B5001" s="1" t="s">
        <v>10004</v>
      </c>
      <c r="C5001" s="1" t="s">
        <v>5</v>
      </c>
    </row>
    <row r="5002" spans="1:3" x14ac:dyDescent="0.25">
      <c r="A5002" s="1" t="s">
        <v>10005</v>
      </c>
      <c r="B5002" s="1" t="s">
        <v>10006</v>
      </c>
      <c r="C5002" s="1" t="s">
        <v>5</v>
      </c>
    </row>
    <row r="5003" spans="1:3" x14ac:dyDescent="0.25">
      <c r="A5003" s="1" t="s">
        <v>10007</v>
      </c>
      <c r="B5003" s="1" t="s">
        <v>10008</v>
      </c>
      <c r="C5003" s="1" t="s">
        <v>5</v>
      </c>
    </row>
    <row r="5004" spans="1:3" x14ac:dyDescent="0.25">
      <c r="A5004" s="1" t="s">
        <v>10009</v>
      </c>
      <c r="B5004" s="1" t="s">
        <v>10010</v>
      </c>
      <c r="C5004" s="1" t="s">
        <v>5</v>
      </c>
    </row>
    <row r="5005" spans="1:3" x14ac:dyDescent="0.25">
      <c r="A5005" s="1" t="s">
        <v>10011</v>
      </c>
      <c r="B5005" s="1" t="s">
        <v>10012</v>
      </c>
      <c r="C5005" s="1" t="s">
        <v>5</v>
      </c>
    </row>
    <row r="5006" spans="1:3" x14ac:dyDescent="0.25">
      <c r="A5006" s="1" t="s">
        <v>10013</v>
      </c>
      <c r="B5006" s="1" t="s">
        <v>10014</v>
      </c>
      <c r="C5006" s="1" t="s">
        <v>5</v>
      </c>
    </row>
    <row r="5007" spans="1:3" x14ac:dyDescent="0.25">
      <c r="A5007" s="1" t="s">
        <v>10015</v>
      </c>
      <c r="B5007" s="1" t="s">
        <v>10016</v>
      </c>
      <c r="C5007" s="1" t="s">
        <v>5</v>
      </c>
    </row>
    <row r="5008" spans="1:3" x14ac:dyDescent="0.25">
      <c r="A5008" s="1" t="s">
        <v>10017</v>
      </c>
      <c r="B5008" s="1" t="s">
        <v>10018</v>
      </c>
      <c r="C5008" s="1" t="s">
        <v>5</v>
      </c>
    </row>
    <row r="5009" spans="1:3" x14ac:dyDescent="0.25">
      <c r="A5009" s="1" t="s">
        <v>10019</v>
      </c>
      <c r="B5009" s="1" t="s">
        <v>10020</v>
      </c>
      <c r="C5009" s="1" t="s">
        <v>5</v>
      </c>
    </row>
    <row r="5010" spans="1:3" x14ac:dyDescent="0.25">
      <c r="A5010" s="1" t="s">
        <v>10021</v>
      </c>
      <c r="B5010" s="1" t="s">
        <v>10022</v>
      </c>
      <c r="C5010" s="1" t="s">
        <v>5</v>
      </c>
    </row>
    <row r="5011" spans="1:3" x14ac:dyDescent="0.25">
      <c r="A5011" s="1" t="s">
        <v>10023</v>
      </c>
      <c r="B5011" s="1" t="s">
        <v>10024</v>
      </c>
      <c r="C5011" s="1" t="s">
        <v>5</v>
      </c>
    </row>
    <row r="5012" spans="1:3" x14ac:dyDescent="0.25">
      <c r="A5012" s="1" t="s">
        <v>10025</v>
      </c>
      <c r="B5012" s="1" t="s">
        <v>10026</v>
      </c>
      <c r="C5012" s="1" t="s">
        <v>5</v>
      </c>
    </row>
    <row r="5013" spans="1:3" x14ac:dyDescent="0.25">
      <c r="A5013" s="1" t="s">
        <v>10027</v>
      </c>
      <c r="B5013" s="1" t="s">
        <v>10028</v>
      </c>
      <c r="C5013" s="1" t="s">
        <v>5</v>
      </c>
    </row>
    <row r="5014" spans="1:3" x14ac:dyDescent="0.25">
      <c r="A5014" s="1" t="s">
        <v>10029</v>
      </c>
      <c r="B5014" s="1" t="s">
        <v>10030</v>
      </c>
      <c r="C5014" s="1" t="s">
        <v>5</v>
      </c>
    </row>
    <row r="5015" spans="1:3" x14ac:dyDescent="0.25">
      <c r="A5015" s="1" t="s">
        <v>10031</v>
      </c>
      <c r="B5015" s="1" t="s">
        <v>10032</v>
      </c>
      <c r="C5015" s="1" t="s">
        <v>5</v>
      </c>
    </row>
    <row r="5016" spans="1:3" x14ac:dyDescent="0.25">
      <c r="A5016" s="1" t="s">
        <v>10033</v>
      </c>
      <c r="B5016" s="1" t="s">
        <v>10034</v>
      </c>
      <c r="C5016" s="1" t="s">
        <v>5</v>
      </c>
    </row>
    <row r="5017" spans="1:3" x14ac:dyDescent="0.25">
      <c r="A5017" s="1" t="s">
        <v>10035</v>
      </c>
      <c r="B5017" s="1" t="s">
        <v>10036</v>
      </c>
      <c r="C5017" s="1" t="s">
        <v>5</v>
      </c>
    </row>
    <row r="5018" spans="1:3" x14ac:dyDescent="0.25">
      <c r="A5018" s="1" t="s">
        <v>10037</v>
      </c>
      <c r="B5018" s="1" t="s">
        <v>10038</v>
      </c>
      <c r="C5018" s="1" t="s">
        <v>5</v>
      </c>
    </row>
    <row r="5019" spans="1:3" x14ac:dyDescent="0.25">
      <c r="A5019" s="1" t="s">
        <v>10039</v>
      </c>
      <c r="B5019" s="1" t="s">
        <v>10040</v>
      </c>
      <c r="C5019" s="1" t="s">
        <v>5</v>
      </c>
    </row>
    <row r="5020" spans="1:3" x14ac:dyDescent="0.25">
      <c r="A5020" s="1" t="s">
        <v>10041</v>
      </c>
      <c r="B5020" s="1" t="s">
        <v>10042</v>
      </c>
      <c r="C5020" s="1" t="s">
        <v>5</v>
      </c>
    </row>
    <row r="5021" spans="1:3" x14ac:dyDescent="0.25">
      <c r="A5021" s="1" t="s">
        <v>10043</v>
      </c>
      <c r="B5021" s="1" t="s">
        <v>10044</v>
      </c>
      <c r="C5021" s="1" t="s">
        <v>5</v>
      </c>
    </row>
    <row r="5022" spans="1:3" x14ac:dyDescent="0.25">
      <c r="A5022" s="1" t="s">
        <v>10045</v>
      </c>
      <c r="B5022" s="1" t="s">
        <v>10046</v>
      </c>
      <c r="C5022" s="1" t="s">
        <v>5</v>
      </c>
    </row>
    <row r="5023" spans="1:3" x14ac:dyDescent="0.25">
      <c r="A5023" s="1" t="s">
        <v>10047</v>
      </c>
      <c r="B5023" s="1" t="s">
        <v>10048</v>
      </c>
      <c r="C5023" s="1" t="s">
        <v>5</v>
      </c>
    </row>
    <row r="5024" spans="1:3" x14ac:dyDescent="0.25">
      <c r="A5024" s="1" t="s">
        <v>10049</v>
      </c>
      <c r="B5024" s="1" t="s">
        <v>10050</v>
      </c>
      <c r="C5024" s="1" t="s">
        <v>5</v>
      </c>
    </row>
    <row r="5025" spans="1:3" x14ac:dyDescent="0.25">
      <c r="A5025" s="1" t="s">
        <v>10051</v>
      </c>
      <c r="B5025" s="1" t="s">
        <v>10052</v>
      </c>
      <c r="C5025" s="1" t="s">
        <v>5</v>
      </c>
    </row>
    <row r="5026" spans="1:3" x14ac:dyDescent="0.25">
      <c r="A5026" s="1" t="s">
        <v>10053</v>
      </c>
      <c r="B5026" s="1" t="s">
        <v>10054</v>
      </c>
      <c r="C5026" s="1" t="s">
        <v>5</v>
      </c>
    </row>
    <row r="5027" spans="1:3" x14ac:dyDescent="0.25">
      <c r="A5027" s="1" t="s">
        <v>10055</v>
      </c>
      <c r="B5027" s="1" t="s">
        <v>10056</v>
      </c>
      <c r="C5027" s="1" t="s">
        <v>5</v>
      </c>
    </row>
    <row r="5028" spans="1:3" x14ac:dyDescent="0.25">
      <c r="A5028" s="1" t="s">
        <v>10057</v>
      </c>
      <c r="B5028" s="1" t="s">
        <v>10058</v>
      </c>
      <c r="C5028" s="1" t="s">
        <v>5</v>
      </c>
    </row>
    <row r="5029" spans="1:3" x14ac:dyDescent="0.25">
      <c r="A5029" s="1" t="s">
        <v>10059</v>
      </c>
      <c r="B5029" s="1" t="s">
        <v>10060</v>
      </c>
      <c r="C5029" s="1" t="s">
        <v>5</v>
      </c>
    </row>
    <row r="5030" spans="1:3" x14ac:dyDescent="0.25">
      <c r="A5030" s="1" t="s">
        <v>10061</v>
      </c>
      <c r="B5030" s="1" t="s">
        <v>10062</v>
      </c>
      <c r="C5030" s="1" t="s">
        <v>5</v>
      </c>
    </row>
    <row r="5031" spans="1:3" x14ac:dyDescent="0.25">
      <c r="A5031" s="1" t="s">
        <v>10063</v>
      </c>
      <c r="B5031" s="1" t="s">
        <v>10064</v>
      </c>
      <c r="C5031" s="1" t="s">
        <v>5</v>
      </c>
    </row>
    <row r="5032" spans="1:3" x14ac:dyDescent="0.25">
      <c r="A5032" s="1" t="s">
        <v>10065</v>
      </c>
      <c r="B5032" s="1" t="s">
        <v>10066</v>
      </c>
      <c r="C5032" s="1" t="s">
        <v>5</v>
      </c>
    </row>
    <row r="5033" spans="1:3" x14ac:dyDescent="0.25">
      <c r="A5033" s="1" t="s">
        <v>10067</v>
      </c>
      <c r="B5033" s="1" t="s">
        <v>10068</v>
      </c>
      <c r="C5033" s="1" t="s">
        <v>5</v>
      </c>
    </row>
    <row r="5034" spans="1:3" x14ac:dyDescent="0.25">
      <c r="A5034" s="1" t="s">
        <v>10069</v>
      </c>
      <c r="B5034" s="1" t="s">
        <v>10070</v>
      </c>
      <c r="C5034" s="1" t="s">
        <v>5</v>
      </c>
    </row>
    <row r="5035" spans="1:3" x14ac:dyDescent="0.25">
      <c r="A5035" s="1" t="s">
        <v>10071</v>
      </c>
      <c r="B5035" s="1" t="s">
        <v>10072</v>
      </c>
      <c r="C5035" s="1" t="s">
        <v>5</v>
      </c>
    </row>
    <row r="5036" spans="1:3" x14ac:dyDescent="0.25">
      <c r="A5036" s="1" t="s">
        <v>10073</v>
      </c>
      <c r="B5036" s="1" t="s">
        <v>10074</v>
      </c>
      <c r="C5036" s="1" t="s">
        <v>5</v>
      </c>
    </row>
    <row r="5037" spans="1:3" x14ac:dyDescent="0.25">
      <c r="A5037" s="1" t="s">
        <v>10075</v>
      </c>
      <c r="B5037" s="1" t="s">
        <v>10076</v>
      </c>
      <c r="C5037" s="1" t="s">
        <v>5</v>
      </c>
    </row>
    <row r="5038" spans="1:3" x14ac:dyDescent="0.25">
      <c r="A5038" s="1" t="s">
        <v>10077</v>
      </c>
      <c r="B5038" s="1" t="s">
        <v>10078</v>
      </c>
      <c r="C5038" s="1" t="s">
        <v>5</v>
      </c>
    </row>
    <row r="5039" spans="1:3" x14ac:dyDescent="0.25">
      <c r="A5039" s="1" t="s">
        <v>10079</v>
      </c>
      <c r="B5039" s="1" t="s">
        <v>10080</v>
      </c>
      <c r="C5039" s="1" t="s">
        <v>5</v>
      </c>
    </row>
    <row r="5040" spans="1:3" x14ac:dyDescent="0.25">
      <c r="A5040" s="1" t="s">
        <v>10081</v>
      </c>
      <c r="B5040" s="1" t="s">
        <v>10082</v>
      </c>
      <c r="C5040" s="1" t="s">
        <v>5</v>
      </c>
    </row>
    <row r="5041" spans="1:3" x14ac:dyDescent="0.25">
      <c r="A5041" s="1" t="s">
        <v>10083</v>
      </c>
      <c r="B5041" s="1" t="s">
        <v>10084</v>
      </c>
      <c r="C5041" s="1" t="s">
        <v>5</v>
      </c>
    </row>
    <row r="5042" spans="1:3" x14ac:dyDescent="0.25">
      <c r="A5042" s="1" t="s">
        <v>10085</v>
      </c>
      <c r="B5042" s="1" t="s">
        <v>10086</v>
      </c>
      <c r="C5042" s="1" t="s">
        <v>5</v>
      </c>
    </row>
    <row r="5043" spans="1:3" x14ac:dyDescent="0.25">
      <c r="A5043" s="1" t="s">
        <v>10087</v>
      </c>
      <c r="B5043" s="1" t="s">
        <v>10088</v>
      </c>
      <c r="C5043" s="1" t="s">
        <v>5</v>
      </c>
    </row>
    <row r="5044" spans="1:3" x14ac:dyDescent="0.25">
      <c r="A5044" s="1" t="s">
        <v>10089</v>
      </c>
      <c r="B5044" s="1" t="s">
        <v>10090</v>
      </c>
      <c r="C5044" s="1" t="s">
        <v>5</v>
      </c>
    </row>
    <row r="5045" spans="1:3" x14ac:dyDescent="0.25">
      <c r="A5045" s="1" t="s">
        <v>10091</v>
      </c>
      <c r="B5045" s="1" t="s">
        <v>10092</v>
      </c>
      <c r="C5045" s="1" t="s">
        <v>5</v>
      </c>
    </row>
    <row r="5046" spans="1:3" x14ac:dyDescent="0.25">
      <c r="A5046" s="1" t="s">
        <v>10093</v>
      </c>
      <c r="B5046" s="1" t="s">
        <v>10094</v>
      </c>
      <c r="C5046" s="1" t="s">
        <v>5</v>
      </c>
    </row>
    <row r="5047" spans="1:3" x14ac:dyDescent="0.25">
      <c r="A5047" s="1" t="s">
        <v>10095</v>
      </c>
      <c r="B5047" s="1" t="s">
        <v>10096</v>
      </c>
      <c r="C5047" s="1" t="s">
        <v>5</v>
      </c>
    </row>
    <row r="5048" spans="1:3" x14ac:dyDescent="0.25">
      <c r="A5048" s="1" t="s">
        <v>10097</v>
      </c>
      <c r="B5048" s="1" t="s">
        <v>10098</v>
      </c>
      <c r="C5048" s="1" t="s">
        <v>5</v>
      </c>
    </row>
    <row r="5049" spans="1:3" x14ac:dyDescent="0.25">
      <c r="A5049" s="1" t="s">
        <v>10099</v>
      </c>
      <c r="B5049" s="1" t="s">
        <v>10100</v>
      </c>
      <c r="C5049" s="1" t="s">
        <v>5</v>
      </c>
    </row>
    <row r="5050" spans="1:3" x14ac:dyDescent="0.25">
      <c r="A5050" s="1" t="s">
        <v>10101</v>
      </c>
      <c r="B5050" s="1" t="s">
        <v>10102</v>
      </c>
      <c r="C5050" s="1" t="s">
        <v>5</v>
      </c>
    </row>
    <row r="5051" spans="1:3" x14ac:dyDescent="0.25">
      <c r="A5051" s="1" t="s">
        <v>10103</v>
      </c>
      <c r="B5051" s="1" t="s">
        <v>10104</v>
      </c>
      <c r="C5051" s="1" t="s">
        <v>5</v>
      </c>
    </row>
    <row r="5052" spans="1:3" x14ac:dyDescent="0.25">
      <c r="A5052" s="1" t="s">
        <v>10105</v>
      </c>
      <c r="B5052" s="1" t="s">
        <v>10106</v>
      </c>
      <c r="C5052" s="1" t="s">
        <v>5</v>
      </c>
    </row>
    <row r="5053" spans="1:3" x14ac:dyDescent="0.25">
      <c r="A5053" s="1" t="s">
        <v>10107</v>
      </c>
      <c r="B5053" s="1" t="s">
        <v>10108</v>
      </c>
      <c r="C5053" s="1" t="s">
        <v>5</v>
      </c>
    </row>
    <row r="5054" spans="1:3" x14ac:dyDescent="0.25">
      <c r="A5054" s="1" t="s">
        <v>10109</v>
      </c>
      <c r="B5054" s="1" t="s">
        <v>10110</v>
      </c>
      <c r="C5054" s="1" t="s">
        <v>5</v>
      </c>
    </row>
    <row r="5055" spans="1:3" x14ac:dyDescent="0.25">
      <c r="A5055" s="1" t="s">
        <v>10111</v>
      </c>
      <c r="B5055" s="1" t="s">
        <v>10112</v>
      </c>
      <c r="C5055" s="1" t="s">
        <v>5</v>
      </c>
    </row>
    <row r="5056" spans="1:3" x14ac:dyDescent="0.25">
      <c r="A5056" s="1" t="s">
        <v>10113</v>
      </c>
      <c r="B5056" s="1" t="s">
        <v>10114</v>
      </c>
      <c r="C5056" s="1" t="s">
        <v>5</v>
      </c>
    </row>
    <row r="5057" spans="1:3" x14ac:dyDescent="0.25">
      <c r="A5057" s="1" t="s">
        <v>10115</v>
      </c>
      <c r="B5057" s="1" t="s">
        <v>10116</v>
      </c>
      <c r="C5057" s="1" t="s">
        <v>5</v>
      </c>
    </row>
    <row r="5058" spans="1:3" x14ac:dyDescent="0.25">
      <c r="A5058" s="1" t="s">
        <v>10117</v>
      </c>
      <c r="B5058" s="1" t="s">
        <v>10118</v>
      </c>
      <c r="C5058" s="1" t="s">
        <v>5</v>
      </c>
    </row>
    <row r="5059" spans="1:3" x14ac:dyDescent="0.25">
      <c r="A5059" s="1" t="s">
        <v>10119</v>
      </c>
      <c r="B5059" s="1" t="s">
        <v>10120</v>
      </c>
      <c r="C5059" s="1" t="s">
        <v>5</v>
      </c>
    </row>
    <row r="5060" spans="1:3" x14ac:dyDescent="0.25">
      <c r="A5060" s="1" t="s">
        <v>10121</v>
      </c>
      <c r="B5060" s="1" t="s">
        <v>10122</v>
      </c>
      <c r="C5060" s="1" t="s">
        <v>5</v>
      </c>
    </row>
    <row r="5061" spans="1:3" x14ac:dyDescent="0.25">
      <c r="A5061" s="1" t="s">
        <v>10123</v>
      </c>
      <c r="B5061" s="1" t="s">
        <v>10124</v>
      </c>
      <c r="C5061" s="1" t="s">
        <v>5</v>
      </c>
    </row>
    <row r="5062" spans="1:3" x14ac:dyDescent="0.25">
      <c r="A5062" s="1" t="s">
        <v>10125</v>
      </c>
      <c r="B5062" s="1" t="s">
        <v>10126</v>
      </c>
      <c r="C5062" s="1" t="s">
        <v>5</v>
      </c>
    </row>
    <row r="5063" spans="1:3" x14ac:dyDescent="0.25">
      <c r="A5063" s="1" t="s">
        <v>10127</v>
      </c>
      <c r="B5063" s="1" t="s">
        <v>10128</v>
      </c>
      <c r="C5063" s="1" t="s">
        <v>5</v>
      </c>
    </row>
    <row r="5064" spans="1:3" x14ac:dyDescent="0.25">
      <c r="A5064" s="1" t="s">
        <v>10129</v>
      </c>
      <c r="B5064" s="1" t="s">
        <v>10130</v>
      </c>
      <c r="C5064" s="1" t="s">
        <v>5</v>
      </c>
    </row>
    <row r="5065" spans="1:3" x14ac:dyDescent="0.25">
      <c r="A5065" s="1" t="s">
        <v>10131</v>
      </c>
      <c r="B5065" s="1" t="s">
        <v>10132</v>
      </c>
      <c r="C5065" s="1" t="s">
        <v>5</v>
      </c>
    </row>
    <row r="5066" spans="1:3" x14ac:dyDescent="0.25">
      <c r="A5066" s="1" t="s">
        <v>10133</v>
      </c>
      <c r="B5066" s="1" t="s">
        <v>10134</v>
      </c>
      <c r="C5066" s="1" t="s">
        <v>5</v>
      </c>
    </row>
    <row r="5067" spans="1:3" x14ac:dyDescent="0.25">
      <c r="A5067" s="1" t="s">
        <v>10135</v>
      </c>
      <c r="B5067" s="1" t="s">
        <v>10136</v>
      </c>
      <c r="C5067" s="1" t="s">
        <v>5</v>
      </c>
    </row>
    <row r="5068" spans="1:3" x14ac:dyDescent="0.25">
      <c r="A5068" s="1" t="s">
        <v>10137</v>
      </c>
      <c r="B5068" s="1" t="s">
        <v>10138</v>
      </c>
      <c r="C5068" s="1" t="s">
        <v>5</v>
      </c>
    </row>
    <row r="5069" spans="1:3" x14ac:dyDescent="0.25">
      <c r="A5069" s="1" t="s">
        <v>10139</v>
      </c>
      <c r="B5069" s="1" t="s">
        <v>10140</v>
      </c>
      <c r="C5069" s="1" t="s">
        <v>5</v>
      </c>
    </row>
    <row r="5070" spans="1:3" x14ac:dyDescent="0.25">
      <c r="A5070" s="1" t="s">
        <v>10141</v>
      </c>
      <c r="B5070" s="1" t="s">
        <v>10142</v>
      </c>
      <c r="C5070" s="1" t="s">
        <v>5</v>
      </c>
    </row>
    <row r="5071" spans="1:3" x14ac:dyDescent="0.25">
      <c r="A5071" s="1" t="s">
        <v>10143</v>
      </c>
      <c r="B5071" s="1" t="s">
        <v>10144</v>
      </c>
      <c r="C5071" s="1" t="s">
        <v>5</v>
      </c>
    </row>
    <row r="5072" spans="1:3" x14ac:dyDescent="0.25">
      <c r="A5072" s="1" t="s">
        <v>10145</v>
      </c>
      <c r="B5072" s="1" t="s">
        <v>10146</v>
      </c>
      <c r="C5072" s="1" t="s">
        <v>5</v>
      </c>
    </row>
    <row r="5073" spans="1:3" x14ac:dyDescent="0.25">
      <c r="A5073" s="1" t="s">
        <v>10147</v>
      </c>
      <c r="B5073" s="1" t="s">
        <v>10148</v>
      </c>
      <c r="C5073" s="1" t="s">
        <v>5</v>
      </c>
    </row>
    <row r="5074" spans="1:3" x14ac:dyDescent="0.25">
      <c r="A5074" s="1" t="s">
        <v>10149</v>
      </c>
      <c r="B5074" s="1" t="s">
        <v>10150</v>
      </c>
      <c r="C5074" s="1" t="s">
        <v>5</v>
      </c>
    </row>
    <row r="5075" spans="1:3" x14ac:dyDescent="0.25">
      <c r="A5075" s="1" t="s">
        <v>10151</v>
      </c>
      <c r="B5075" s="1" t="s">
        <v>10152</v>
      </c>
      <c r="C5075" s="1" t="s">
        <v>5</v>
      </c>
    </row>
    <row r="5076" spans="1:3" x14ac:dyDescent="0.25">
      <c r="A5076" s="1" t="s">
        <v>10153</v>
      </c>
      <c r="B5076" s="1" t="s">
        <v>10154</v>
      </c>
      <c r="C5076" s="1" t="s">
        <v>5</v>
      </c>
    </row>
    <row r="5077" spans="1:3" x14ac:dyDescent="0.25">
      <c r="A5077" s="1" t="s">
        <v>10155</v>
      </c>
      <c r="B5077" s="1" t="s">
        <v>10156</v>
      </c>
      <c r="C5077" s="1" t="s">
        <v>5</v>
      </c>
    </row>
    <row r="5078" spans="1:3" x14ac:dyDescent="0.25">
      <c r="A5078" s="1" t="s">
        <v>10157</v>
      </c>
      <c r="B5078" s="1" t="s">
        <v>10158</v>
      </c>
      <c r="C5078" s="1" t="s">
        <v>5</v>
      </c>
    </row>
    <row r="5079" spans="1:3" x14ac:dyDescent="0.25">
      <c r="A5079" s="1" t="s">
        <v>10159</v>
      </c>
      <c r="B5079" s="1" t="s">
        <v>10160</v>
      </c>
      <c r="C5079" s="1" t="s">
        <v>5</v>
      </c>
    </row>
    <row r="5080" spans="1:3" x14ac:dyDescent="0.25">
      <c r="A5080" s="1" t="s">
        <v>10161</v>
      </c>
      <c r="B5080" s="1" t="s">
        <v>10162</v>
      </c>
      <c r="C5080" s="1" t="s">
        <v>5</v>
      </c>
    </row>
    <row r="5081" spans="1:3" x14ac:dyDescent="0.25">
      <c r="A5081" s="1" t="s">
        <v>10163</v>
      </c>
      <c r="B5081" s="1" t="s">
        <v>10164</v>
      </c>
      <c r="C5081" s="1" t="s">
        <v>5</v>
      </c>
    </row>
    <row r="5082" spans="1:3" x14ac:dyDescent="0.25">
      <c r="A5082" s="1" t="s">
        <v>10165</v>
      </c>
      <c r="B5082" s="1" t="s">
        <v>10166</v>
      </c>
      <c r="C5082" s="1" t="s">
        <v>5</v>
      </c>
    </row>
    <row r="5083" spans="1:3" x14ac:dyDescent="0.25">
      <c r="A5083" s="1" t="s">
        <v>10167</v>
      </c>
      <c r="B5083" s="1" t="s">
        <v>10168</v>
      </c>
      <c r="C5083" s="1" t="s">
        <v>5</v>
      </c>
    </row>
    <row r="5084" spans="1:3" x14ac:dyDescent="0.25">
      <c r="A5084" s="1" t="s">
        <v>10169</v>
      </c>
      <c r="B5084" s="1" t="s">
        <v>10170</v>
      </c>
      <c r="C5084" s="1" t="s">
        <v>5</v>
      </c>
    </row>
    <row r="5085" spans="1:3" x14ac:dyDescent="0.25">
      <c r="A5085" s="1" t="s">
        <v>10171</v>
      </c>
      <c r="B5085" s="1" t="s">
        <v>10172</v>
      </c>
      <c r="C5085" s="1" t="s">
        <v>5</v>
      </c>
    </row>
    <row r="5086" spans="1:3" x14ac:dyDescent="0.25">
      <c r="A5086" s="1" t="s">
        <v>10173</v>
      </c>
      <c r="B5086" s="1" t="s">
        <v>10174</v>
      </c>
      <c r="C5086" s="1" t="s">
        <v>5</v>
      </c>
    </row>
    <row r="5087" spans="1:3" x14ac:dyDescent="0.25">
      <c r="A5087" s="1" t="s">
        <v>10175</v>
      </c>
      <c r="B5087" s="1" t="s">
        <v>10176</v>
      </c>
      <c r="C5087" s="1" t="s">
        <v>5</v>
      </c>
    </row>
    <row r="5088" spans="1:3" x14ac:dyDescent="0.25">
      <c r="A5088" s="1" t="s">
        <v>10177</v>
      </c>
      <c r="B5088" s="1" t="s">
        <v>10178</v>
      </c>
      <c r="C5088" s="1" t="s">
        <v>5</v>
      </c>
    </row>
    <row r="5089" spans="1:3" x14ac:dyDescent="0.25">
      <c r="A5089" s="1" t="s">
        <v>10179</v>
      </c>
      <c r="B5089" s="1" t="s">
        <v>10180</v>
      </c>
      <c r="C5089" s="1" t="s">
        <v>5</v>
      </c>
    </row>
    <row r="5090" spans="1:3" x14ac:dyDescent="0.25">
      <c r="A5090" s="1" t="s">
        <v>10181</v>
      </c>
      <c r="B5090" s="1" t="s">
        <v>10182</v>
      </c>
      <c r="C5090" s="1" t="s">
        <v>5</v>
      </c>
    </row>
    <row r="5091" spans="1:3" x14ac:dyDescent="0.25">
      <c r="A5091" s="1" t="s">
        <v>10183</v>
      </c>
      <c r="B5091" s="1" t="s">
        <v>10184</v>
      </c>
      <c r="C5091" s="1" t="s">
        <v>5</v>
      </c>
    </row>
    <row r="5092" spans="1:3" x14ac:dyDescent="0.25">
      <c r="A5092" s="1" t="s">
        <v>10185</v>
      </c>
      <c r="B5092" s="1" t="s">
        <v>10186</v>
      </c>
      <c r="C5092" s="1" t="s">
        <v>5</v>
      </c>
    </row>
    <row r="5093" spans="1:3" x14ac:dyDescent="0.25">
      <c r="A5093" s="1" t="s">
        <v>10187</v>
      </c>
      <c r="B5093" s="1" t="s">
        <v>10188</v>
      </c>
      <c r="C5093" s="1" t="s">
        <v>5</v>
      </c>
    </row>
    <row r="5094" spans="1:3" x14ac:dyDescent="0.25">
      <c r="A5094" s="1" t="s">
        <v>10189</v>
      </c>
      <c r="B5094" s="1" t="s">
        <v>10190</v>
      </c>
      <c r="C5094" s="1" t="s">
        <v>5</v>
      </c>
    </row>
    <row r="5095" spans="1:3" x14ac:dyDescent="0.25">
      <c r="A5095" s="1" t="s">
        <v>10191</v>
      </c>
      <c r="B5095" s="1" t="s">
        <v>10192</v>
      </c>
      <c r="C5095" s="1" t="s">
        <v>5</v>
      </c>
    </row>
    <row r="5096" spans="1:3" x14ac:dyDescent="0.25">
      <c r="A5096" s="1" t="s">
        <v>10193</v>
      </c>
      <c r="B5096" s="1" t="s">
        <v>10194</v>
      </c>
      <c r="C5096" s="1" t="s">
        <v>5</v>
      </c>
    </row>
    <row r="5097" spans="1:3" x14ac:dyDescent="0.25">
      <c r="A5097" s="1" t="s">
        <v>10195</v>
      </c>
      <c r="B5097" s="1" t="s">
        <v>10196</v>
      </c>
      <c r="C5097" s="1" t="s">
        <v>5</v>
      </c>
    </row>
    <row r="5098" spans="1:3" x14ac:dyDescent="0.25">
      <c r="A5098" s="1" t="s">
        <v>10197</v>
      </c>
      <c r="B5098" s="1" t="s">
        <v>10198</v>
      </c>
      <c r="C5098" s="1" t="s">
        <v>5</v>
      </c>
    </row>
    <row r="5099" spans="1:3" x14ac:dyDescent="0.25">
      <c r="A5099" s="1" t="s">
        <v>10199</v>
      </c>
      <c r="B5099" s="1" t="s">
        <v>10200</v>
      </c>
      <c r="C5099" s="1" t="s">
        <v>5</v>
      </c>
    </row>
    <row r="5100" spans="1:3" x14ac:dyDescent="0.25">
      <c r="A5100" s="1" t="s">
        <v>10201</v>
      </c>
      <c r="B5100" s="1" t="s">
        <v>10202</v>
      </c>
      <c r="C5100" s="1" t="s">
        <v>5</v>
      </c>
    </row>
    <row r="5101" spans="1:3" x14ac:dyDescent="0.25">
      <c r="A5101" s="1" t="s">
        <v>10203</v>
      </c>
      <c r="B5101" s="1" t="s">
        <v>10204</v>
      </c>
      <c r="C5101" s="1" t="s">
        <v>5</v>
      </c>
    </row>
    <row r="5102" spans="1:3" x14ac:dyDescent="0.25">
      <c r="A5102" s="1" t="s">
        <v>10205</v>
      </c>
      <c r="B5102" s="1" t="s">
        <v>10206</v>
      </c>
      <c r="C5102" s="1" t="s">
        <v>5</v>
      </c>
    </row>
    <row r="5103" spans="1:3" x14ac:dyDescent="0.25">
      <c r="A5103" s="1" t="s">
        <v>10207</v>
      </c>
      <c r="B5103" s="1" t="s">
        <v>10208</v>
      </c>
      <c r="C5103" s="1" t="s">
        <v>5</v>
      </c>
    </row>
    <row r="5104" spans="1:3" x14ac:dyDescent="0.25">
      <c r="A5104" s="1" t="s">
        <v>10209</v>
      </c>
      <c r="B5104" s="1" t="s">
        <v>10210</v>
      </c>
      <c r="C5104" s="1" t="s">
        <v>5</v>
      </c>
    </row>
    <row r="5105" spans="1:3" x14ac:dyDescent="0.25">
      <c r="A5105" s="1" t="s">
        <v>10211</v>
      </c>
      <c r="B5105" s="1" t="s">
        <v>10212</v>
      </c>
      <c r="C5105" s="1" t="s">
        <v>5</v>
      </c>
    </row>
    <row r="5106" spans="1:3" x14ac:dyDescent="0.25">
      <c r="A5106" s="1" t="s">
        <v>10213</v>
      </c>
      <c r="B5106" s="1" t="s">
        <v>10214</v>
      </c>
      <c r="C5106" s="1" t="s">
        <v>5</v>
      </c>
    </row>
    <row r="5107" spans="1:3" x14ac:dyDescent="0.25">
      <c r="A5107" s="1" t="s">
        <v>10215</v>
      </c>
      <c r="B5107" s="1" t="s">
        <v>10216</v>
      </c>
      <c r="C5107" s="1" t="s">
        <v>5</v>
      </c>
    </row>
    <row r="5108" spans="1:3" x14ac:dyDescent="0.25">
      <c r="A5108" s="1" t="s">
        <v>10217</v>
      </c>
      <c r="B5108" s="1" t="s">
        <v>10218</v>
      </c>
      <c r="C5108" s="1" t="s">
        <v>5</v>
      </c>
    </row>
    <row r="5109" spans="1:3" x14ac:dyDescent="0.25">
      <c r="A5109" s="1" t="s">
        <v>10219</v>
      </c>
      <c r="B5109" s="1" t="s">
        <v>10220</v>
      </c>
      <c r="C5109" s="1" t="s">
        <v>5</v>
      </c>
    </row>
    <row r="5110" spans="1:3" x14ac:dyDescent="0.25">
      <c r="A5110" s="1" t="s">
        <v>10221</v>
      </c>
      <c r="B5110" s="1" t="s">
        <v>10222</v>
      </c>
      <c r="C5110" s="1" t="s">
        <v>5</v>
      </c>
    </row>
    <row r="5111" spans="1:3" x14ac:dyDescent="0.25">
      <c r="A5111" s="1" t="s">
        <v>10223</v>
      </c>
      <c r="B5111" s="1" t="s">
        <v>10224</v>
      </c>
      <c r="C5111" s="1" t="s">
        <v>5</v>
      </c>
    </row>
    <row r="5112" spans="1:3" x14ac:dyDescent="0.25">
      <c r="A5112" s="1" t="s">
        <v>10225</v>
      </c>
      <c r="B5112" s="1" t="s">
        <v>10226</v>
      </c>
      <c r="C5112" s="1" t="s">
        <v>5</v>
      </c>
    </row>
    <row r="5113" spans="1:3" x14ac:dyDescent="0.25">
      <c r="A5113" s="1" t="s">
        <v>10227</v>
      </c>
      <c r="B5113" s="1" t="s">
        <v>10228</v>
      </c>
      <c r="C5113" s="1" t="s">
        <v>5</v>
      </c>
    </row>
    <row r="5114" spans="1:3" x14ac:dyDescent="0.25">
      <c r="A5114" s="1" t="s">
        <v>10229</v>
      </c>
      <c r="B5114" s="1" t="s">
        <v>10230</v>
      </c>
      <c r="C5114" s="1" t="s">
        <v>5</v>
      </c>
    </row>
    <row r="5115" spans="1:3" x14ac:dyDescent="0.25">
      <c r="A5115" s="1" t="s">
        <v>10231</v>
      </c>
      <c r="B5115" s="1" t="s">
        <v>10232</v>
      </c>
      <c r="C5115" s="1" t="s">
        <v>5</v>
      </c>
    </row>
    <row r="5116" spans="1:3" x14ac:dyDescent="0.25">
      <c r="A5116" s="1" t="s">
        <v>10233</v>
      </c>
      <c r="B5116" s="1" t="s">
        <v>10234</v>
      </c>
      <c r="C5116" s="1" t="s">
        <v>5</v>
      </c>
    </row>
    <row r="5117" spans="1:3" x14ac:dyDescent="0.25">
      <c r="A5117" s="1" t="s">
        <v>10235</v>
      </c>
      <c r="B5117" s="1" t="s">
        <v>10236</v>
      </c>
      <c r="C5117" s="1" t="s">
        <v>5</v>
      </c>
    </row>
    <row r="5118" spans="1:3" x14ac:dyDescent="0.25">
      <c r="A5118" s="1" t="s">
        <v>10237</v>
      </c>
      <c r="B5118" s="1" t="s">
        <v>10238</v>
      </c>
      <c r="C5118" s="1" t="s">
        <v>5</v>
      </c>
    </row>
    <row r="5119" spans="1:3" x14ac:dyDescent="0.25">
      <c r="A5119" s="1" t="s">
        <v>10239</v>
      </c>
      <c r="B5119" s="1" t="s">
        <v>10240</v>
      </c>
      <c r="C5119" s="1" t="s">
        <v>5</v>
      </c>
    </row>
    <row r="5120" spans="1:3" x14ac:dyDescent="0.25">
      <c r="A5120" s="1" t="s">
        <v>10241</v>
      </c>
      <c r="B5120" s="1" t="s">
        <v>10242</v>
      </c>
      <c r="C5120" s="1" t="s">
        <v>5</v>
      </c>
    </row>
    <row r="5121" spans="1:3" x14ac:dyDescent="0.25">
      <c r="A5121" s="1" t="s">
        <v>10243</v>
      </c>
      <c r="B5121" s="1" t="s">
        <v>10244</v>
      </c>
      <c r="C5121" s="1" t="s">
        <v>5</v>
      </c>
    </row>
    <row r="5122" spans="1:3" x14ac:dyDescent="0.25">
      <c r="A5122" s="1" t="s">
        <v>10245</v>
      </c>
      <c r="B5122" s="1" t="s">
        <v>10246</v>
      </c>
      <c r="C5122" s="1" t="s">
        <v>5</v>
      </c>
    </row>
    <row r="5123" spans="1:3" x14ac:dyDescent="0.25">
      <c r="A5123" s="1" t="s">
        <v>10247</v>
      </c>
      <c r="B5123" s="1" t="s">
        <v>10248</v>
      </c>
      <c r="C5123" s="1" t="s">
        <v>5</v>
      </c>
    </row>
    <row r="5124" spans="1:3" x14ac:dyDescent="0.25">
      <c r="A5124" s="1" t="s">
        <v>10249</v>
      </c>
      <c r="B5124" s="1" t="s">
        <v>10250</v>
      </c>
      <c r="C5124" s="1" t="s">
        <v>5</v>
      </c>
    </row>
    <row r="5125" spans="1:3" x14ac:dyDescent="0.25">
      <c r="A5125" s="1" t="s">
        <v>10251</v>
      </c>
      <c r="B5125" s="1" t="s">
        <v>10252</v>
      </c>
      <c r="C5125" s="1" t="s">
        <v>5</v>
      </c>
    </row>
    <row r="5126" spans="1:3" x14ac:dyDescent="0.25">
      <c r="A5126" s="1" t="s">
        <v>10253</v>
      </c>
      <c r="B5126" s="1" t="s">
        <v>10254</v>
      </c>
      <c r="C5126" s="1" t="s">
        <v>5</v>
      </c>
    </row>
    <row r="5127" spans="1:3" x14ac:dyDescent="0.25">
      <c r="A5127" s="1" t="s">
        <v>10255</v>
      </c>
      <c r="B5127" s="1" t="s">
        <v>10256</v>
      </c>
      <c r="C5127" s="1" t="s">
        <v>5</v>
      </c>
    </row>
    <row r="5128" spans="1:3" x14ac:dyDescent="0.25">
      <c r="A5128" s="1" t="s">
        <v>10257</v>
      </c>
      <c r="B5128" s="1" t="s">
        <v>10258</v>
      </c>
      <c r="C5128" s="1" t="s">
        <v>5</v>
      </c>
    </row>
    <row r="5129" spans="1:3" x14ac:dyDescent="0.25">
      <c r="A5129" s="1" t="s">
        <v>10259</v>
      </c>
      <c r="B5129" s="1" t="s">
        <v>10260</v>
      </c>
      <c r="C5129" s="1" t="s">
        <v>5</v>
      </c>
    </row>
    <row r="5130" spans="1:3" x14ac:dyDescent="0.25">
      <c r="A5130" s="1" t="s">
        <v>10261</v>
      </c>
      <c r="B5130" s="1" t="s">
        <v>10262</v>
      </c>
      <c r="C5130" s="1" t="s">
        <v>5</v>
      </c>
    </row>
    <row r="5131" spans="1:3" x14ac:dyDescent="0.25">
      <c r="A5131" s="1" t="s">
        <v>10263</v>
      </c>
      <c r="B5131" s="1" t="s">
        <v>10264</v>
      </c>
      <c r="C5131" s="1" t="s">
        <v>5</v>
      </c>
    </row>
    <row r="5132" spans="1:3" x14ac:dyDescent="0.25">
      <c r="A5132" s="1" t="s">
        <v>10265</v>
      </c>
      <c r="B5132" s="1" t="s">
        <v>10266</v>
      </c>
      <c r="C5132" s="1" t="s">
        <v>5</v>
      </c>
    </row>
    <row r="5133" spans="1:3" x14ac:dyDescent="0.25">
      <c r="A5133" s="1" t="s">
        <v>10267</v>
      </c>
      <c r="B5133" s="1" t="s">
        <v>10268</v>
      </c>
      <c r="C5133" s="1" t="s">
        <v>5</v>
      </c>
    </row>
    <row r="5134" spans="1:3" x14ac:dyDescent="0.25">
      <c r="A5134" s="1" t="s">
        <v>10269</v>
      </c>
      <c r="B5134" s="1" t="s">
        <v>10270</v>
      </c>
      <c r="C5134" s="1" t="s">
        <v>5</v>
      </c>
    </row>
    <row r="5135" spans="1:3" x14ac:dyDescent="0.25">
      <c r="A5135" s="1" t="s">
        <v>10271</v>
      </c>
      <c r="B5135" s="1" t="s">
        <v>10272</v>
      </c>
      <c r="C5135" s="1" t="s">
        <v>5</v>
      </c>
    </row>
    <row r="5136" spans="1:3" x14ac:dyDescent="0.25">
      <c r="A5136" s="1" t="s">
        <v>10273</v>
      </c>
      <c r="B5136" s="1" t="s">
        <v>10274</v>
      </c>
      <c r="C5136" s="1" t="s">
        <v>5</v>
      </c>
    </row>
    <row r="5137" spans="1:3" x14ac:dyDescent="0.25">
      <c r="A5137" s="1" t="s">
        <v>10275</v>
      </c>
      <c r="B5137" s="1" t="s">
        <v>10276</v>
      </c>
      <c r="C5137" s="1" t="s">
        <v>5</v>
      </c>
    </row>
    <row r="5138" spans="1:3" x14ac:dyDescent="0.25">
      <c r="A5138" s="1" t="s">
        <v>10277</v>
      </c>
      <c r="B5138" s="1" t="s">
        <v>10278</v>
      </c>
      <c r="C5138" s="1" t="s">
        <v>5</v>
      </c>
    </row>
    <row r="5139" spans="1:3" x14ac:dyDescent="0.25">
      <c r="A5139" s="1" t="s">
        <v>10279</v>
      </c>
      <c r="B5139" s="1" t="s">
        <v>10280</v>
      </c>
      <c r="C5139" s="1" t="s">
        <v>5</v>
      </c>
    </row>
    <row r="5140" spans="1:3" x14ac:dyDescent="0.25">
      <c r="A5140" s="1" t="s">
        <v>10281</v>
      </c>
      <c r="B5140" s="1" t="s">
        <v>10282</v>
      </c>
      <c r="C5140" s="1" t="s">
        <v>5</v>
      </c>
    </row>
    <row r="5141" spans="1:3" x14ac:dyDescent="0.25">
      <c r="A5141" s="1" t="s">
        <v>10283</v>
      </c>
      <c r="B5141" s="1" t="s">
        <v>10284</v>
      </c>
      <c r="C5141" s="1" t="s">
        <v>5</v>
      </c>
    </row>
    <row r="5142" spans="1:3" x14ac:dyDescent="0.25">
      <c r="A5142" s="1" t="s">
        <v>10285</v>
      </c>
      <c r="B5142" s="1" t="s">
        <v>10286</v>
      </c>
      <c r="C5142" s="1" t="s">
        <v>5</v>
      </c>
    </row>
    <row r="5143" spans="1:3" x14ac:dyDescent="0.25">
      <c r="A5143" s="1" t="s">
        <v>10287</v>
      </c>
      <c r="B5143" s="1" t="s">
        <v>10288</v>
      </c>
      <c r="C5143" s="1" t="s">
        <v>5</v>
      </c>
    </row>
    <row r="5144" spans="1:3" x14ac:dyDescent="0.25">
      <c r="A5144" s="1" t="s">
        <v>10289</v>
      </c>
      <c r="B5144" s="1" t="s">
        <v>10290</v>
      </c>
      <c r="C5144" s="1" t="s">
        <v>5</v>
      </c>
    </row>
    <row r="5145" spans="1:3" x14ac:dyDescent="0.25">
      <c r="A5145" s="1" t="s">
        <v>10291</v>
      </c>
      <c r="B5145" s="1" t="s">
        <v>10292</v>
      </c>
      <c r="C5145" s="1" t="s">
        <v>5</v>
      </c>
    </row>
    <row r="5146" spans="1:3" x14ac:dyDescent="0.25">
      <c r="A5146" s="1" t="s">
        <v>10293</v>
      </c>
      <c r="B5146" s="1" t="s">
        <v>10294</v>
      </c>
      <c r="C5146" s="1" t="s">
        <v>5</v>
      </c>
    </row>
    <row r="5147" spans="1:3" x14ac:dyDescent="0.25">
      <c r="A5147" s="1" t="s">
        <v>10295</v>
      </c>
      <c r="B5147" s="1" t="s">
        <v>10296</v>
      </c>
      <c r="C5147" s="1" t="s">
        <v>5</v>
      </c>
    </row>
    <row r="5148" spans="1:3" x14ac:dyDescent="0.25">
      <c r="A5148" s="1" t="s">
        <v>10297</v>
      </c>
      <c r="B5148" s="1" t="s">
        <v>10298</v>
      </c>
      <c r="C5148" s="1" t="s">
        <v>5</v>
      </c>
    </row>
    <row r="5149" spans="1:3" x14ac:dyDescent="0.25">
      <c r="A5149" s="1" t="s">
        <v>10299</v>
      </c>
      <c r="B5149" s="1" t="s">
        <v>10300</v>
      </c>
      <c r="C5149" s="1" t="s">
        <v>5</v>
      </c>
    </row>
    <row r="5150" spans="1:3" x14ac:dyDescent="0.25">
      <c r="A5150" s="1" t="s">
        <v>10301</v>
      </c>
      <c r="B5150" s="1" t="s">
        <v>10302</v>
      </c>
      <c r="C5150" s="1" t="s">
        <v>5</v>
      </c>
    </row>
    <row r="5151" spans="1:3" x14ac:dyDescent="0.25">
      <c r="A5151" s="1" t="s">
        <v>10303</v>
      </c>
      <c r="B5151" s="1" t="s">
        <v>10304</v>
      </c>
      <c r="C5151" s="1" t="s">
        <v>5</v>
      </c>
    </row>
    <row r="5152" spans="1:3" x14ac:dyDescent="0.25">
      <c r="A5152" s="1" t="s">
        <v>10305</v>
      </c>
      <c r="B5152" s="1" t="s">
        <v>10306</v>
      </c>
      <c r="C5152" s="1" t="s">
        <v>5</v>
      </c>
    </row>
    <row r="5153" spans="1:3" x14ac:dyDescent="0.25">
      <c r="A5153" s="1" t="s">
        <v>10307</v>
      </c>
      <c r="B5153" s="1" t="s">
        <v>10308</v>
      </c>
      <c r="C5153" s="1" t="s">
        <v>5</v>
      </c>
    </row>
    <row r="5154" spans="1:3" x14ac:dyDescent="0.25">
      <c r="A5154" s="1" t="s">
        <v>10309</v>
      </c>
      <c r="B5154" s="1" t="s">
        <v>10310</v>
      </c>
      <c r="C5154" s="1" t="s">
        <v>5</v>
      </c>
    </row>
    <row r="5155" spans="1:3" x14ac:dyDescent="0.25">
      <c r="A5155" s="1" t="s">
        <v>10311</v>
      </c>
      <c r="B5155" s="1" t="s">
        <v>10312</v>
      </c>
      <c r="C5155" s="1" t="s">
        <v>5</v>
      </c>
    </row>
    <row r="5156" spans="1:3" x14ac:dyDescent="0.25">
      <c r="A5156" s="1" t="s">
        <v>10313</v>
      </c>
      <c r="B5156" s="1" t="s">
        <v>10314</v>
      </c>
      <c r="C5156" s="1" t="s">
        <v>5</v>
      </c>
    </row>
    <row r="5157" spans="1:3" x14ac:dyDescent="0.25">
      <c r="A5157" s="1" t="s">
        <v>10315</v>
      </c>
      <c r="B5157" s="1" t="s">
        <v>10316</v>
      </c>
      <c r="C5157" s="1" t="s">
        <v>5</v>
      </c>
    </row>
    <row r="5158" spans="1:3" x14ac:dyDescent="0.25">
      <c r="A5158" s="1" t="s">
        <v>10317</v>
      </c>
      <c r="B5158" s="1" t="s">
        <v>10318</v>
      </c>
      <c r="C5158" s="1" t="s">
        <v>5</v>
      </c>
    </row>
    <row r="5159" spans="1:3" x14ac:dyDescent="0.25">
      <c r="A5159" s="1" t="s">
        <v>10319</v>
      </c>
      <c r="B5159" s="1" t="s">
        <v>10320</v>
      </c>
      <c r="C5159" s="1" t="s">
        <v>5</v>
      </c>
    </row>
    <row r="5160" spans="1:3" x14ac:dyDescent="0.25">
      <c r="A5160" s="1" t="s">
        <v>10321</v>
      </c>
      <c r="B5160" s="1" t="s">
        <v>10322</v>
      </c>
      <c r="C5160" s="1" t="s">
        <v>5</v>
      </c>
    </row>
    <row r="5161" spans="1:3" x14ac:dyDescent="0.25">
      <c r="A5161" s="1" t="s">
        <v>10323</v>
      </c>
      <c r="B5161" s="1" t="s">
        <v>10324</v>
      </c>
      <c r="C5161" s="1" t="s">
        <v>5</v>
      </c>
    </row>
    <row r="5162" spans="1:3" x14ac:dyDescent="0.25">
      <c r="A5162" s="1" t="s">
        <v>10325</v>
      </c>
      <c r="B5162" s="1" t="s">
        <v>10326</v>
      </c>
      <c r="C5162" s="1" t="s">
        <v>5</v>
      </c>
    </row>
    <row r="5163" spans="1:3" x14ac:dyDescent="0.25">
      <c r="A5163" s="1" t="s">
        <v>10327</v>
      </c>
      <c r="B5163" s="1" t="s">
        <v>10328</v>
      </c>
      <c r="C5163" s="1" t="s">
        <v>5</v>
      </c>
    </row>
    <row r="5164" spans="1:3" x14ac:dyDescent="0.25">
      <c r="A5164" s="1" t="s">
        <v>10329</v>
      </c>
      <c r="B5164" s="1" t="s">
        <v>10330</v>
      </c>
      <c r="C5164" s="1" t="s">
        <v>5</v>
      </c>
    </row>
    <row r="5165" spans="1:3" x14ac:dyDescent="0.25">
      <c r="A5165" s="1" t="s">
        <v>10331</v>
      </c>
      <c r="B5165" s="1" t="s">
        <v>10332</v>
      </c>
      <c r="C5165" s="1" t="s">
        <v>5</v>
      </c>
    </row>
    <row r="5166" spans="1:3" x14ac:dyDescent="0.25">
      <c r="A5166" s="1" t="s">
        <v>10333</v>
      </c>
      <c r="B5166" s="1" t="s">
        <v>10334</v>
      </c>
      <c r="C5166" s="1" t="s">
        <v>5</v>
      </c>
    </row>
    <row r="5167" spans="1:3" x14ac:dyDescent="0.25">
      <c r="A5167" s="1" t="s">
        <v>10335</v>
      </c>
      <c r="B5167" s="1" t="s">
        <v>10336</v>
      </c>
      <c r="C5167" s="1" t="s">
        <v>5</v>
      </c>
    </row>
    <row r="5168" spans="1:3" x14ac:dyDescent="0.25">
      <c r="A5168" s="1" t="s">
        <v>10337</v>
      </c>
      <c r="B5168" s="1" t="s">
        <v>10338</v>
      </c>
      <c r="C5168" s="1" t="s">
        <v>5</v>
      </c>
    </row>
    <row r="5169" spans="1:3" x14ac:dyDescent="0.25">
      <c r="A5169" s="1" t="s">
        <v>10339</v>
      </c>
      <c r="B5169" s="1" t="s">
        <v>10340</v>
      </c>
      <c r="C5169" s="1" t="s">
        <v>5</v>
      </c>
    </row>
    <row r="5170" spans="1:3" x14ac:dyDescent="0.25">
      <c r="A5170" s="1" t="s">
        <v>10341</v>
      </c>
      <c r="B5170" s="1" t="s">
        <v>10342</v>
      </c>
      <c r="C5170" s="1" t="s">
        <v>5</v>
      </c>
    </row>
    <row r="5171" spans="1:3" x14ac:dyDescent="0.25">
      <c r="A5171" s="1" t="s">
        <v>10343</v>
      </c>
      <c r="B5171" s="1" t="s">
        <v>10344</v>
      </c>
      <c r="C5171" s="1" t="s">
        <v>5</v>
      </c>
    </row>
    <row r="5172" spans="1:3" x14ac:dyDescent="0.25">
      <c r="A5172" s="1" t="s">
        <v>10345</v>
      </c>
      <c r="B5172" s="1" t="s">
        <v>10346</v>
      </c>
      <c r="C5172" s="1" t="s">
        <v>5</v>
      </c>
    </row>
    <row r="5173" spans="1:3" x14ac:dyDescent="0.25">
      <c r="A5173" s="1" t="s">
        <v>10347</v>
      </c>
      <c r="B5173" s="1" t="s">
        <v>10348</v>
      </c>
      <c r="C5173" s="1" t="s">
        <v>5</v>
      </c>
    </row>
    <row r="5174" spans="1:3" x14ac:dyDescent="0.25">
      <c r="A5174" s="1" t="s">
        <v>10349</v>
      </c>
      <c r="B5174" s="1" t="s">
        <v>10350</v>
      </c>
      <c r="C5174" s="1" t="s">
        <v>5</v>
      </c>
    </row>
    <row r="5175" spans="1:3" x14ac:dyDescent="0.25">
      <c r="A5175" s="1" t="s">
        <v>10351</v>
      </c>
      <c r="B5175" s="1" t="s">
        <v>10352</v>
      </c>
      <c r="C5175" s="1" t="s">
        <v>5</v>
      </c>
    </row>
    <row r="5176" spans="1:3" x14ac:dyDescent="0.25">
      <c r="A5176" s="1" t="s">
        <v>10353</v>
      </c>
      <c r="B5176" s="1" t="s">
        <v>10354</v>
      </c>
      <c r="C5176" s="1" t="s">
        <v>5</v>
      </c>
    </row>
    <row r="5177" spans="1:3" x14ac:dyDescent="0.25">
      <c r="A5177" s="1" t="s">
        <v>10355</v>
      </c>
      <c r="B5177" s="1" t="s">
        <v>10356</v>
      </c>
      <c r="C5177" s="1" t="s">
        <v>5</v>
      </c>
    </row>
    <row r="5178" spans="1:3" x14ac:dyDescent="0.25">
      <c r="A5178" s="1" t="s">
        <v>10357</v>
      </c>
      <c r="B5178" s="1" t="s">
        <v>10358</v>
      </c>
      <c r="C5178" s="1" t="s">
        <v>5</v>
      </c>
    </row>
    <row r="5179" spans="1:3" x14ac:dyDescent="0.25">
      <c r="A5179" s="1" t="s">
        <v>10359</v>
      </c>
      <c r="B5179" s="1" t="s">
        <v>10360</v>
      </c>
      <c r="C5179" s="1" t="s">
        <v>5</v>
      </c>
    </row>
    <row r="5180" spans="1:3" x14ac:dyDescent="0.25">
      <c r="A5180" s="1" t="s">
        <v>10361</v>
      </c>
      <c r="B5180" s="1" t="s">
        <v>10362</v>
      </c>
      <c r="C5180" s="1" t="s">
        <v>5</v>
      </c>
    </row>
    <row r="5181" spans="1:3" x14ac:dyDescent="0.25">
      <c r="A5181" s="1" t="s">
        <v>10363</v>
      </c>
      <c r="B5181" s="1" t="s">
        <v>10364</v>
      </c>
      <c r="C5181" s="1" t="s">
        <v>5</v>
      </c>
    </row>
    <row r="5182" spans="1:3" x14ac:dyDescent="0.25">
      <c r="A5182" s="1" t="s">
        <v>10365</v>
      </c>
      <c r="B5182" s="1" t="s">
        <v>10366</v>
      </c>
      <c r="C5182" s="1" t="s">
        <v>5</v>
      </c>
    </row>
    <row r="5183" spans="1:3" x14ac:dyDescent="0.25">
      <c r="A5183" s="1" t="s">
        <v>10367</v>
      </c>
      <c r="B5183" s="1" t="s">
        <v>10368</v>
      </c>
      <c r="C5183" s="1" t="s">
        <v>5</v>
      </c>
    </row>
    <row r="5184" spans="1:3" x14ac:dyDescent="0.25">
      <c r="A5184" s="1" t="s">
        <v>10369</v>
      </c>
      <c r="B5184" s="1" t="s">
        <v>10370</v>
      </c>
      <c r="C5184" s="1" t="s">
        <v>5</v>
      </c>
    </row>
    <row r="5185" spans="1:3" x14ac:dyDescent="0.25">
      <c r="A5185" s="1" t="s">
        <v>10371</v>
      </c>
      <c r="B5185" s="1" t="s">
        <v>10372</v>
      </c>
      <c r="C5185" s="1" t="s">
        <v>5</v>
      </c>
    </row>
    <row r="5186" spans="1:3" x14ac:dyDescent="0.25">
      <c r="A5186" s="1" t="s">
        <v>10373</v>
      </c>
      <c r="B5186" s="1" t="s">
        <v>10374</v>
      </c>
      <c r="C5186" s="1" t="s">
        <v>5</v>
      </c>
    </row>
    <row r="5187" spans="1:3" x14ac:dyDescent="0.25">
      <c r="A5187" s="1" t="s">
        <v>10375</v>
      </c>
      <c r="B5187" s="1" t="s">
        <v>10376</v>
      </c>
      <c r="C5187" s="1" t="s">
        <v>5</v>
      </c>
    </row>
    <row r="5188" spans="1:3" x14ac:dyDescent="0.25">
      <c r="A5188" s="1" t="s">
        <v>10377</v>
      </c>
      <c r="B5188" s="1" t="s">
        <v>10378</v>
      </c>
      <c r="C5188" s="1" t="s">
        <v>5</v>
      </c>
    </row>
    <row r="5189" spans="1:3" x14ac:dyDescent="0.25">
      <c r="A5189" s="1" t="s">
        <v>10379</v>
      </c>
      <c r="B5189" s="1" t="s">
        <v>10380</v>
      </c>
      <c r="C5189" s="1" t="s">
        <v>5</v>
      </c>
    </row>
    <row r="5190" spans="1:3" x14ac:dyDescent="0.25">
      <c r="A5190" s="1" t="s">
        <v>10381</v>
      </c>
      <c r="B5190" s="1" t="s">
        <v>10382</v>
      </c>
      <c r="C5190" s="1" t="s">
        <v>5</v>
      </c>
    </row>
    <row r="5191" spans="1:3" x14ac:dyDescent="0.25">
      <c r="A5191" s="1" t="s">
        <v>10383</v>
      </c>
      <c r="B5191" s="1" t="s">
        <v>10384</v>
      </c>
      <c r="C5191" s="1" t="s">
        <v>5</v>
      </c>
    </row>
    <row r="5192" spans="1:3" x14ac:dyDescent="0.25">
      <c r="A5192" s="1" t="s">
        <v>10385</v>
      </c>
      <c r="B5192" s="1" t="s">
        <v>10386</v>
      </c>
      <c r="C5192" s="1" t="s">
        <v>5</v>
      </c>
    </row>
    <row r="5193" spans="1:3" x14ac:dyDescent="0.25">
      <c r="A5193" s="1" t="s">
        <v>10387</v>
      </c>
      <c r="B5193" s="1" t="s">
        <v>10388</v>
      </c>
      <c r="C5193" s="1" t="s">
        <v>5</v>
      </c>
    </row>
    <row r="5194" spans="1:3" x14ac:dyDescent="0.25">
      <c r="A5194" s="1" t="s">
        <v>10389</v>
      </c>
      <c r="B5194" s="1" t="s">
        <v>10390</v>
      </c>
      <c r="C5194" s="1" t="s">
        <v>5</v>
      </c>
    </row>
    <row r="5195" spans="1:3" x14ac:dyDescent="0.25">
      <c r="A5195" s="1" t="s">
        <v>10391</v>
      </c>
      <c r="B5195" s="1" t="s">
        <v>10392</v>
      </c>
      <c r="C5195" s="1" t="s">
        <v>5</v>
      </c>
    </row>
    <row r="5196" spans="1:3" x14ac:dyDescent="0.25">
      <c r="A5196" s="1" t="s">
        <v>10393</v>
      </c>
      <c r="B5196" s="1" t="s">
        <v>10394</v>
      </c>
      <c r="C5196" s="1" t="s">
        <v>5</v>
      </c>
    </row>
    <row r="5197" spans="1:3" x14ac:dyDescent="0.25">
      <c r="A5197" s="1" t="s">
        <v>10395</v>
      </c>
      <c r="B5197" s="1" t="s">
        <v>10396</v>
      </c>
      <c r="C5197" s="1" t="s">
        <v>5</v>
      </c>
    </row>
    <row r="5198" spans="1:3" x14ac:dyDescent="0.25">
      <c r="A5198" s="1" t="s">
        <v>10397</v>
      </c>
      <c r="B5198" s="1" t="s">
        <v>10398</v>
      </c>
      <c r="C5198" s="1" t="s">
        <v>5</v>
      </c>
    </row>
    <row r="5199" spans="1:3" x14ac:dyDescent="0.25">
      <c r="A5199" s="1" t="s">
        <v>10399</v>
      </c>
      <c r="B5199" s="1" t="s">
        <v>10400</v>
      </c>
      <c r="C5199" s="1" t="s">
        <v>5</v>
      </c>
    </row>
    <row r="5200" spans="1:3" x14ac:dyDescent="0.25">
      <c r="A5200" s="1" t="s">
        <v>10401</v>
      </c>
      <c r="B5200" s="1" t="s">
        <v>10402</v>
      </c>
      <c r="C5200" s="1" t="s">
        <v>5</v>
      </c>
    </row>
    <row r="5201" spans="1:3" x14ac:dyDescent="0.25">
      <c r="A5201" s="1" t="s">
        <v>10403</v>
      </c>
      <c r="B5201" s="1" t="s">
        <v>10404</v>
      </c>
      <c r="C5201" s="1" t="s">
        <v>5</v>
      </c>
    </row>
    <row r="5202" spans="1:3" x14ac:dyDescent="0.25">
      <c r="A5202" s="1" t="s">
        <v>10405</v>
      </c>
      <c r="B5202" s="1" t="s">
        <v>10406</v>
      </c>
      <c r="C5202" s="1" t="s">
        <v>5</v>
      </c>
    </row>
    <row r="5203" spans="1:3" x14ac:dyDescent="0.25">
      <c r="A5203" s="1" t="s">
        <v>10407</v>
      </c>
      <c r="B5203" s="1" t="s">
        <v>10408</v>
      </c>
      <c r="C5203" s="1" t="s">
        <v>5</v>
      </c>
    </row>
    <row r="5204" spans="1:3" x14ac:dyDescent="0.25">
      <c r="A5204" s="1" t="s">
        <v>10409</v>
      </c>
      <c r="B5204" s="1" t="s">
        <v>10410</v>
      </c>
      <c r="C5204" s="1" t="s">
        <v>5</v>
      </c>
    </row>
    <row r="5205" spans="1:3" x14ac:dyDescent="0.25">
      <c r="A5205" s="1" t="s">
        <v>10411</v>
      </c>
      <c r="B5205" s="1" t="s">
        <v>10412</v>
      </c>
      <c r="C5205" s="1" t="s">
        <v>5</v>
      </c>
    </row>
    <row r="5206" spans="1:3" x14ac:dyDescent="0.25">
      <c r="A5206" s="1" t="s">
        <v>10413</v>
      </c>
      <c r="B5206" s="1" t="s">
        <v>10414</v>
      </c>
      <c r="C5206" s="1" t="s">
        <v>5</v>
      </c>
    </row>
    <row r="5207" spans="1:3" x14ac:dyDescent="0.25">
      <c r="A5207" s="1" t="s">
        <v>10415</v>
      </c>
      <c r="B5207" s="1" t="s">
        <v>10416</v>
      </c>
      <c r="C5207" s="1" t="s">
        <v>5</v>
      </c>
    </row>
    <row r="5208" spans="1:3" x14ac:dyDescent="0.25">
      <c r="A5208" s="1" t="s">
        <v>10417</v>
      </c>
      <c r="B5208" s="1" t="s">
        <v>10418</v>
      </c>
      <c r="C5208" s="1" t="s">
        <v>5</v>
      </c>
    </row>
    <row r="5209" spans="1:3" x14ac:dyDescent="0.25">
      <c r="A5209" s="1" t="s">
        <v>10419</v>
      </c>
      <c r="B5209" s="1" t="s">
        <v>10420</v>
      </c>
      <c r="C5209" s="1" t="s">
        <v>5</v>
      </c>
    </row>
    <row r="5210" spans="1:3" x14ac:dyDescent="0.25">
      <c r="A5210" s="1" t="s">
        <v>10421</v>
      </c>
      <c r="B5210" s="1" t="s">
        <v>10422</v>
      </c>
      <c r="C5210" s="1" t="s">
        <v>5</v>
      </c>
    </row>
    <row r="5211" spans="1:3" x14ac:dyDescent="0.25">
      <c r="A5211" s="1" t="s">
        <v>10423</v>
      </c>
      <c r="B5211" s="1" t="s">
        <v>10424</v>
      </c>
      <c r="C5211" s="1" t="s">
        <v>5</v>
      </c>
    </row>
    <row r="5212" spans="1:3" x14ac:dyDescent="0.25">
      <c r="A5212" s="1" t="s">
        <v>10425</v>
      </c>
      <c r="B5212" s="1" t="s">
        <v>10426</v>
      </c>
      <c r="C5212" s="1" t="s">
        <v>5</v>
      </c>
    </row>
    <row r="5213" spans="1:3" x14ac:dyDescent="0.25">
      <c r="A5213" s="1" t="s">
        <v>10427</v>
      </c>
      <c r="B5213" s="1" t="s">
        <v>10428</v>
      </c>
      <c r="C5213" s="1" t="s">
        <v>5</v>
      </c>
    </row>
    <row r="5214" spans="1:3" x14ac:dyDescent="0.25">
      <c r="A5214" s="1" t="s">
        <v>10429</v>
      </c>
      <c r="B5214" s="1" t="s">
        <v>10430</v>
      </c>
      <c r="C5214" s="1" t="s">
        <v>5</v>
      </c>
    </row>
    <row r="5215" spans="1:3" x14ac:dyDescent="0.25">
      <c r="A5215" s="1" t="s">
        <v>10431</v>
      </c>
      <c r="B5215" s="1" t="s">
        <v>10432</v>
      </c>
      <c r="C5215" s="1" t="s">
        <v>5</v>
      </c>
    </row>
    <row r="5216" spans="1:3" x14ac:dyDescent="0.25">
      <c r="A5216" s="1" t="s">
        <v>10433</v>
      </c>
      <c r="B5216" s="1" t="s">
        <v>10434</v>
      </c>
      <c r="C5216" s="1" t="s">
        <v>5</v>
      </c>
    </row>
    <row r="5217" spans="1:3" x14ac:dyDescent="0.25">
      <c r="A5217" s="1" t="s">
        <v>10435</v>
      </c>
      <c r="B5217" s="1" t="s">
        <v>10436</v>
      </c>
      <c r="C5217" s="1" t="s">
        <v>5</v>
      </c>
    </row>
    <row r="5218" spans="1:3" x14ac:dyDescent="0.25">
      <c r="A5218" s="1" t="s">
        <v>10437</v>
      </c>
      <c r="B5218" s="1" t="s">
        <v>10438</v>
      </c>
      <c r="C5218" s="1" t="s">
        <v>5</v>
      </c>
    </row>
    <row r="5219" spans="1:3" x14ac:dyDescent="0.25">
      <c r="A5219" s="1" t="s">
        <v>10439</v>
      </c>
      <c r="B5219" s="1" t="s">
        <v>10440</v>
      </c>
      <c r="C5219" s="1" t="s">
        <v>5</v>
      </c>
    </row>
    <row r="5220" spans="1:3" x14ac:dyDescent="0.25">
      <c r="A5220" s="1" t="s">
        <v>10441</v>
      </c>
      <c r="B5220" s="1" t="s">
        <v>10442</v>
      </c>
      <c r="C5220" s="1" t="s">
        <v>5</v>
      </c>
    </row>
    <row r="5221" spans="1:3" x14ac:dyDescent="0.25">
      <c r="A5221" s="1" t="s">
        <v>10443</v>
      </c>
      <c r="B5221" s="1" t="s">
        <v>10444</v>
      </c>
      <c r="C5221" s="1" t="s">
        <v>5</v>
      </c>
    </row>
    <row r="5222" spans="1:3" x14ac:dyDescent="0.25">
      <c r="A5222" s="1" t="s">
        <v>10445</v>
      </c>
      <c r="B5222" s="1" t="s">
        <v>10446</v>
      </c>
      <c r="C5222" s="1" t="s">
        <v>5</v>
      </c>
    </row>
    <row r="5223" spans="1:3" x14ac:dyDescent="0.25">
      <c r="A5223" s="1" t="s">
        <v>10447</v>
      </c>
      <c r="B5223" s="1" t="s">
        <v>10448</v>
      </c>
      <c r="C5223" s="1" t="s">
        <v>5</v>
      </c>
    </row>
    <row r="5224" spans="1:3" x14ac:dyDescent="0.25">
      <c r="A5224" s="1" t="s">
        <v>10449</v>
      </c>
      <c r="B5224" s="1" t="s">
        <v>10450</v>
      </c>
      <c r="C5224" s="1" t="s">
        <v>5</v>
      </c>
    </row>
    <row r="5225" spans="1:3" x14ac:dyDescent="0.25">
      <c r="A5225" s="1" t="s">
        <v>10451</v>
      </c>
      <c r="B5225" s="1" t="s">
        <v>10452</v>
      </c>
      <c r="C5225" s="1" t="s">
        <v>5</v>
      </c>
    </row>
    <row r="5226" spans="1:3" x14ac:dyDescent="0.25">
      <c r="A5226" s="1" t="s">
        <v>10453</v>
      </c>
      <c r="B5226" s="1" t="s">
        <v>10454</v>
      </c>
      <c r="C5226" s="1" t="s">
        <v>5</v>
      </c>
    </row>
    <row r="5227" spans="1:3" x14ac:dyDescent="0.25">
      <c r="A5227" s="1" t="s">
        <v>10455</v>
      </c>
      <c r="B5227" s="1" t="s">
        <v>10456</v>
      </c>
      <c r="C5227" s="1" t="s">
        <v>5</v>
      </c>
    </row>
    <row r="5228" spans="1:3" x14ac:dyDescent="0.25">
      <c r="A5228" s="1" t="s">
        <v>10457</v>
      </c>
      <c r="B5228" s="1" t="s">
        <v>10458</v>
      </c>
      <c r="C5228" s="1" t="s">
        <v>5</v>
      </c>
    </row>
    <row r="5229" spans="1:3" x14ac:dyDescent="0.25">
      <c r="A5229" s="1" t="s">
        <v>10459</v>
      </c>
      <c r="B5229" s="1" t="s">
        <v>10460</v>
      </c>
      <c r="C5229" s="1" t="s">
        <v>5</v>
      </c>
    </row>
    <row r="5230" spans="1:3" x14ac:dyDescent="0.25">
      <c r="A5230" s="1" t="s">
        <v>10461</v>
      </c>
      <c r="B5230" s="1" t="s">
        <v>10462</v>
      </c>
      <c r="C5230" s="1" t="s">
        <v>5</v>
      </c>
    </row>
    <row r="5231" spans="1:3" x14ac:dyDescent="0.25">
      <c r="A5231" s="1" t="s">
        <v>10463</v>
      </c>
      <c r="B5231" s="1" t="s">
        <v>10464</v>
      </c>
      <c r="C5231" s="1" t="s">
        <v>5</v>
      </c>
    </row>
    <row r="5232" spans="1:3" x14ac:dyDescent="0.25">
      <c r="A5232" s="1" t="s">
        <v>10465</v>
      </c>
      <c r="B5232" s="1" t="s">
        <v>10466</v>
      </c>
      <c r="C5232" s="1" t="s">
        <v>5</v>
      </c>
    </row>
    <row r="5233" spans="1:3" x14ac:dyDescent="0.25">
      <c r="A5233" s="1" t="s">
        <v>10467</v>
      </c>
      <c r="B5233" s="1" t="s">
        <v>10468</v>
      </c>
      <c r="C5233" s="1" t="s">
        <v>5</v>
      </c>
    </row>
    <row r="5234" spans="1:3" x14ac:dyDescent="0.25">
      <c r="A5234" s="1" t="s">
        <v>10469</v>
      </c>
      <c r="B5234" s="1" t="s">
        <v>10470</v>
      </c>
      <c r="C5234" s="1" t="s">
        <v>5</v>
      </c>
    </row>
    <row r="5235" spans="1:3" x14ac:dyDescent="0.25">
      <c r="A5235" s="1" t="s">
        <v>10471</v>
      </c>
      <c r="B5235" s="1" t="s">
        <v>10472</v>
      </c>
      <c r="C5235" s="1" t="s">
        <v>5</v>
      </c>
    </row>
    <row r="5236" spans="1:3" x14ac:dyDescent="0.25">
      <c r="A5236" s="1" t="s">
        <v>10473</v>
      </c>
      <c r="B5236" s="1" t="s">
        <v>10474</v>
      </c>
      <c r="C5236" s="1" t="s">
        <v>5</v>
      </c>
    </row>
    <row r="5237" spans="1:3" x14ac:dyDescent="0.25">
      <c r="A5237" s="1" t="s">
        <v>10475</v>
      </c>
      <c r="B5237" s="1" t="s">
        <v>10476</v>
      </c>
      <c r="C5237" s="1" t="s">
        <v>5</v>
      </c>
    </row>
    <row r="5238" spans="1:3" x14ac:dyDescent="0.25">
      <c r="A5238" s="1" t="s">
        <v>10477</v>
      </c>
      <c r="B5238" s="1" t="s">
        <v>10478</v>
      </c>
      <c r="C5238" s="1" t="s">
        <v>5</v>
      </c>
    </row>
    <row r="5239" spans="1:3" x14ac:dyDescent="0.25">
      <c r="A5239" s="1" t="s">
        <v>10479</v>
      </c>
      <c r="B5239" s="1" t="s">
        <v>10480</v>
      </c>
      <c r="C5239" s="1" t="s">
        <v>5</v>
      </c>
    </row>
    <row r="5240" spans="1:3" x14ac:dyDescent="0.25">
      <c r="A5240" s="1" t="s">
        <v>10481</v>
      </c>
      <c r="B5240" s="1" t="s">
        <v>10482</v>
      </c>
      <c r="C5240" s="1" t="s">
        <v>5</v>
      </c>
    </row>
    <row r="5241" spans="1:3" x14ac:dyDescent="0.25">
      <c r="A5241" s="1" t="s">
        <v>10483</v>
      </c>
      <c r="B5241" s="1" t="s">
        <v>10484</v>
      </c>
      <c r="C5241" s="1" t="s">
        <v>5</v>
      </c>
    </row>
    <row r="5242" spans="1:3" x14ac:dyDescent="0.25">
      <c r="A5242" s="1" t="s">
        <v>10485</v>
      </c>
      <c r="B5242" s="1" t="s">
        <v>10486</v>
      </c>
      <c r="C5242" s="1" t="s">
        <v>5</v>
      </c>
    </row>
    <row r="5243" spans="1:3" x14ac:dyDescent="0.25">
      <c r="A5243" s="1" t="s">
        <v>10487</v>
      </c>
      <c r="B5243" s="1" t="s">
        <v>10488</v>
      </c>
      <c r="C5243" s="1" t="s">
        <v>5</v>
      </c>
    </row>
    <row r="5244" spans="1:3" x14ac:dyDescent="0.25">
      <c r="A5244" s="1" t="s">
        <v>10489</v>
      </c>
      <c r="B5244" s="1" t="s">
        <v>10490</v>
      </c>
      <c r="C5244" s="1" t="s">
        <v>5</v>
      </c>
    </row>
    <row r="5245" spans="1:3" x14ac:dyDescent="0.25">
      <c r="A5245" s="1" t="s">
        <v>10491</v>
      </c>
      <c r="B5245" s="1" t="s">
        <v>10492</v>
      </c>
      <c r="C5245" s="1" t="s">
        <v>5</v>
      </c>
    </row>
    <row r="5246" spans="1:3" x14ac:dyDescent="0.25">
      <c r="A5246" s="1" t="s">
        <v>10493</v>
      </c>
      <c r="B5246" s="1" t="s">
        <v>10494</v>
      </c>
      <c r="C5246" s="1" t="s">
        <v>5</v>
      </c>
    </row>
    <row r="5247" spans="1:3" x14ac:dyDescent="0.25">
      <c r="A5247" s="1" t="s">
        <v>10495</v>
      </c>
      <c r="B5247" s="1" t="s">
        <v>10496</v>
      </c>
      <c r="C5247" s="1" t="s">
        <v>5</v>
      </c>
    </row>
    <row r="5248" spans="1:3" x14ac:dyDescent="0.25">
      <c r="A5248" s="1" t="s">
        <v>10497</v>
      </c>
      <c r="B5248" s="1" t="s">
        <v>10498</v>
      </c>
      <c r="C5248" s="1" t="s">
        <v>5</v>
      </c>
    </row>
    <row r="5249" spans="1:3" x14ac:dyDescent="0.25">
      <c r="A5249" s="1" t="s">
        <v>10499</v>
      </c>
      <c r="B5249" s="1" t="s">
        <v>10500</v>
      </c>
      <c r="C5249" s="1" t="s">
        <v>5</v>
      </c>
    </row>
    <row r="5250" spans="1:3" x14ac:dyDescent="0.25">
      <c r="A5250" s="1" t="s">
        <v>10501</v>
      </c>
      <c r="B5250" s="1" t="s">
        <v>10502</v>
      </c>
      <c r="C5250" s="1" t="s">
        <v>5</v>
      </c>
    </row>
    <row r="5251" spans="1:3" x14ac:dyDescent="0.25">
      <c r="A5251" s="1" t="s">
        <v>10503</v>
      </c>
      <c r="B5251" s="1" t="s">
        <v>10504</v>
      </c>
      <c r="C5251" s="1" t="s">
        <v>5</v>
      </c>
    </row>
    <row r="5252" spans="1:3" x14ac:dyDescent="0.25">
      <c r="A5252" s="1" t="s">
        <v>10505</v>
      </c>
      <c r="B5252" s="1" t="s">
        <v>10506</v>
      </c>
      <c r="C5252" s="1" t="s">
        <v>5</v>
      </c>
    </row>
    <row r="5253" spans="1:3" x14ac:dyDescent="0.25">
      <c r="A5253" s="1" t="s">
        <v>10507</v>
      </c>
      <c r="B5253" s="1" t="s">
        <v>10508</v>
      </c>
      <c r="C5253" s="1" t="s">
        <v>5</v>
      </c>
    </row>
    <row r="5254" spans="1:3" x14ac:dyDescent="0.25">
      <c r="A5254" s="1" t="s">
        <v>10509</v>
      </c>
      <c r="B5254" s="1" t="s">
        <v>10510</v>
      </c>
      <c r="C5254" s="1" t="s">
        <v>5</v>
      </c>
    </row>
    <row r="5255" spans="1:3" x14ac:dyDescent="0.25">
      <c r="A5255" s="1" t="s">
        <v>10511</v>
      </c>
      <c r="B5255" s="1" t="s">
        <v>10512</v>
      </c>
      <c r="C5255" s="1" t="s">
        <v>5</v>
      </c>
    </row>
    <row r="5256" spans="1:3" x14ac:dyDescent="0.25">
      <c r="A5256" s="1" t="s">
        <v>10513</v>
      </c>
      <c r="B5256" s="1" t="s">
        <v>10514</v>
      </c>
      <c r="C5256" s="1" t="s">
        <v>5</v>
      </c>
    </row>
    <row r="5257" spans="1:3" x14ac:dyDescent="0.25">
      <c r="A5257" s="1" t="s">
        <v>10515</v>
      </c>
      <c r="B5257" s="1" t="s">
        <v>10516</v>
      </c>
      <c r="C5257" s="1" t="s">
        <v>5</v>
      </c>
    </row>
    <row r="5258" spans="1:3" x14ac:dyDescent="0.25">
      <c r="A5258" s="1" t="s">
        <v>10517</v>
      </c>
      <c r="B5258" s="1" t="s">
        <v>10518</v>
      </c>
      <c r="C5258" s="1" t="s">
        <v>5</v>
      </c>
    </row>
    <row r="5259" spans="1:3" x14ac:dyDescent="0.25">
      <c r="A5259" s="1" t="s">
        <v>10519</v>
      </c>
      <c r="B5259" s="1" t="s">
        <v>10520</v>
      </c>
      <c r="C5259" s="1" t="s">
        <v>5</v>
      </c>
    </row>
    <row r="5260" spans="1:3" x14ac:dyDescent="0.25">
      <c r="A5260" s="1" t="s">
        <v>10521</v>
      </c>
      <c r="B5260" s="1" t="s">
        <v>10522</v>
      </c>
      <c r="C5260" s="1" t="s">
        <v>5</v>
      </c>
    </row>
    <row r="5261" spans="1:3" x14ac:dyDescent="0.25">
      <c r="A5261" s="1" t="s">
        <v>10523</v>
      </c>
      <c r="B5261" s="1" t="s">
        <v>10524</v>
      </c>
      <c r="C5261" s="1" t="s">
        <v>5</v>
      </c>
    </row>
    <row r="5262" spans="1:3" x14ac:dyDescent="0.25">
      <c r="A5262" s="1" t="s">
        <v>10525</v>
      </c>
      <c r="B5262" s="1" t="s">
        <v>10526</v>
      </c>
      <c r="C5262" s="1" t="s">
        <v>5</v>
      </c>
    </row>
    <row r="5263" spans="1:3" x14ac:dyDescent="0.25">
      <c r="A5263" s="1" t="s">
        <v>10527</v>
      </c>
      <c r="B5263" s="1" t="s">
        <v>10528</v>
      </c>
      <c r="C5263" s="1" t="s">
        <v>5</v>
      </c>
    </row>
    <row r="5264" spans="1:3" x14ac:dyDescent="0.25">
      <c r="A5264" s="1" t="s">
        <v>10529</v>
      </c>
      <c r="B5264" s="1" t="s">
        <v>10530</v>
      </c>
      <c r="C5264" s="1" t="s">
        <v>5</v>
      </c>
    </row>
    <row r="5265" spans="1:3" x14ac:dyDescent="0.25">
      <c r="A5265" s="1" t="s">
        <v>10531</v>
      </c>
      <c r="B5265" s="1" t="s">
        <v>10532</v>
      </c>
      <c r="C5265" s="1" t="s">
        <v>5</v>
      </c>
    </row>
    <row r="5266" spans="1:3" x14ac:dyDescent="0.25">
      <c r="A5266" s="1" t="s">
        <v>10533</v>
      </c>
      <c r="B5266" s="1" t="s">
        <v>10534</v>
      </c>
      <c r="C5266" s="1" t="s">
        <v>5</v>
      </c>
    </row>
    <row r="5267" spans="1:3" x14ac:dyDescent="0.25">
      <c r="A5267" s="1" t="s">
        <v>10535</v>
      </c>
      <c r="B5267" s="1" t="s">
        <v>10536</v>
      </c>
      <c r="C5267" s="1" t="s">
        <v>5</v>
      </c>
    </row>
    <row r="5268" spans="1:3" x14ac:dyDescent="0.25">
      <c r="A5268" s="1" t="s">
        <v>10537</v>
      </c>
      <c r="B5268" s="1" t="s">
        <v>10538</v>
      </c>
      <c r="C5268" s="1" t="s">
        <v>5</v>
      </c>
    </row>
    <row r="5269" spans="1:3" x14ac:dyDescent="0.25">
      <c r="A5269" s="1" t="s">
        <v>10539</v>
      </c>
      <c r="B5269" s="1" t="s">
        <v>10540</v>
      </c>
      <c r="C5269" s="1" t="s">
        <v>5</v>
      </c>
    </row>
    <row r="5270" spans="1:3" x14ac:dyDescent="0.25">
      <c r="A5270" s="1" t="s">
        <v>10541</v>
      </c>
      <c r="B5270" s="1" t="s">
        <v>10542</v>
      </c>
      <c r="C5270" s="1" t="s">
        <v>5</v>
      </c>
    </row>
    <row r="5271" spans="1:3" x14ac:dyDescent="0.25">
      <c r="A5271" s="1" t="s">
        <v>10543</v>
      </c>
      <c r="B5271" s="1" t="s">
        <v>10544</v>
      </c>
      <c r="C5271" s="1" t="s">
        <v>5</v>
      </c>
    </row>
    <row r="5272" spans="1:3" x14ac:dyDescent="0.25">
      <c r="A5272" s="1" t="s">
        <v>10545</v>
      </c>
      <c r="B5272" s="1" t="s">
        <v>10546</v>
      </c>
      <c r="C5272" s="1" t="s">
        <v>5</v>
      </c>
    </row>
    <row r="5273" spans="1:3" x14ac:dyDescent="0.25">
      <c r="A5273" s="1" t="s">
        <v>10547</v>
      </c>
      <c r="B5273" s="1" t="s">
        <v>10548</v>
      </c>
      <c r="C5273" s="1" t="s">
        <v>5</v>
      </c>
    </row>
    <row r="5274" spans="1:3" x14ac:dyDescent="0.25">
      <c r="A5274" s="1" t="s">
        <v>10549</v>
      </c>
      <c r="B5274" s="1" t="s">
        <v>10550</v>
      </c>
      <c r="C5274" s="1" t="s">
        <v>5</v>
      </c>
    </row>
    <row r="5275" spans="1:3" x14ac:dyDescent="0.25">
      <c r="A5275" s="1" t="s">
        <v>10551</v>
      </c>
      <c r="B5275" s="1" t="s">
        <v>10552</v>
      </c>
      <c r="C5275" s="1" t="s">
        <v>5</v>
      </c>
    </row>
    <row r="5276" spans="1:3" x14ac:dyDescent="0.25">
      <c r="A5276" s="1" t="s">
        <v>10553</v>
      </c>
      <c r="B5276" s="1" t="s">
        <v>10554</v>
      </c>
      <c r="C5276" s="1" t="s">
        <v>5</v>
      </c>
    </row>
    <row r="5277" spans="1:3" x14ac:dyDescent="0.25">
      <c r="A5277" s="1" t="s">
        <v>10555</v>
      </c>
      <c r="B5277" s="1" t="s">
        <v>10556</v>
      </c>
      <c r="C5277" s="1" t="s">
        <v>5</v>
      </c>
    </row>
    <row r="5278" spans="1:3" x14ac:dyDescent="0.25">
      <c r="A5278" s="1" t="s">
        <v>10557</v>
      </c>
      <c r="B5278" s="1" t="s">
        <v>10558</v>
      </c>
      <c r="C5278" s="1" t="s">
        <v>5</v>
      </c>
    </row>
    <row r="5279" spans="1:3" x14ac:dyDescent="0.25">
      <c r="A5279" s="1" t="s">
        <v>10559</v>
      </c>
      <c r="B5279" s="1" t="s">
        <v>10560</v>
      </c>
      <c r="C5279" s="1" t="s">
        <v>5</v>
      </c>
    </row>
    <row r="5280" spans="1:3" x14ac:dyDescent="0.25">
      <c r="A5280" s="1" t="s">
        <v>10561</v>
      </c>
      <c r="B5280" s="1" t="s">
        <v>10562</v>
      </c>
      <c r="C5280" s="1" t="s">
        <v>5</v>
      </c>
    </row>
    <row r="5281" spans="1:3" x14ac:dyDescent="0.25">
      <c r="A5281" s="1" t="s">
        <v>10563</v>
      </c>
      <c r="B5281" s="1" t="s">
        <v>10564</v>
      </c>
      <c r="C5281" s="1" t="s">
        <v>5</v>
      </c>
    </row>
    <row r="5282" spans="1:3" x14ac:dyDescent="0.25">
      <c r="A5282" s="1" t="s">
        <v>10565</v>
      </c>
      <c r="B5282" s="1" t="s">
        <v>10566</v>
      </c>
      <c r="C5282" s="1" t="s">
        <v>5</v>
      </c>
    </row>
    <row r="5283" spans="1:3" x14ac:dyDescent="0.25">
      <c r="A5283" s="1" t="s">
        <v>10567</v>
      </c>
      <c r="B5283" s="1" t="s">
        <v>10568</v>
      </c>
      <c r="C5283" s="1" t="s">
        <v>5</v>
      </c>
    </row>
    <row r="5284" spans="1:3" x14ac:dyDescent="0.25">
      <c r="A5284" s="1" t="s">
        <v>10569</v>
      </c>
      <c r="B5284" s="1" t="s">
        <v>10570</v>
      </c>
      <c r="C5284" s="1" t="s">
        <v>5</v>
      </c>
    </row>
    <row r="5285" spans="1:3" x14ac:dyDescent="0.25">
      <c r="A5285" s="1" t="s">
        <v>10571</v>
      </c>
      <c r="B5285" s="1" t="s">
        <v>10572</v>
      </c>
      <c r="C5285" s="1" t="s">
        <v>5</v>
      </c>
    </row>
    <row r="5286" spans="1:3" x14ac:dyDescent="0.25">
      <c r="A5286" s="1" t="s">
        <v>10573</v>
      </c>
      <c r="B5286" s="1" t="s">
        <v>10574</v>
      </c>
      <c r="C5286" s="1" t="s">
        <v>5</v>
      </c>
    </row>
    <row r="5287" spans="1:3" x14ac:dyDescent="0.25">
      <c r="A5287" s="1" t="s">
        <v>10575</v>
      </c>
      <c r="B5287" s="1" t="s">
        <v>10576</v>
      </c>
      <c r="C5287" s="1" t="s">
        <v>5</v>
      </c>
    </row>
    <row r="5288" spans="1:3" x14ac:dyDescent="0.25">
      <c r="A5288" s="1" t="s">
        <v>10577</v>
      </c>
      <c r="B5288" s="1" t="s">
        <v>10578</v>
      </c>
      <c r="C5288" s="1" t="s">
        <v>5</v>
      </c>
    </row>
    <row r="5289" spans="1:3" x14ac:dyDescent="0.25">
      <c r="A5289" s="1" t="s">
        <v>10579</v>
      </c>
      <c r="B5289" s="1" t="s">
        <v>10580</v>
      </c>
      <c r="C5289" s="1" t="s">
        <v>5</v>
      </c>
    </row>
    <row r="5290" spans="1:3" x14ac:dyDescent="0.25">
      <c r="A5290" s="1" t="s">
        <v>10581</v>
      </c>
      <c r="B5290" s="1" t="s">
        <v>10582</v>
      </c>
      <c r="C5290" s="1" t="s">
        <v>5</v>
      </c>
    </row>
    <row r="5291" spans="1:3" x14ac:dyDescent="0.25">
      <c r="A5291" s="1" t="s">
        <v>10583</v>
      </c>
      <c r="B5291" s="1" t="s">
        <v>10584</v>
      </c>
      <c r="C5291" s="1" t="s">
        <v>5</v>
      </c>
    </row>
    <row r="5292" spans="1:3" x14ac:dyDescent="0.25">
      <c r="A5292" s="1" t="s">
        <v>10585</v>
      </c>
      <c r="B5292" s="1" t="s">
        <v>10586</v>
      </c>
      <c r="C5292" s="1" t="s">
        <v>5</v>
      </c>
    </row>
    <row r="5293" spans="1:3" x14ac:dyDescent="0.25">
      <c r="A5293" s="1" t="s">
        <v>10587</v>
      </c>
      <c r="B5293" s="1" t="s">
        <v>10588</v>
      </c>
      <c r="C5293" s="1" t="s">
        <v>5</v>
      </c>
    </row>
    <row r="5294" spans="1:3" x14ac:dyDescent="0.25">
      <c r="A5294" s="1" t="s">
        <v>10589</v>
      </c>
      <c r="B5294" s="1" t="s">
        <v>10590</v>
      </c>
      <c r="C5294" s="1" t="s">
        <v>5</v>
      </c>
    </row>
    <row r="5295" spans="1:3" x14ac:dyDescent="0.25">
      <c r="A5295" s="1" t="s">
        <v>10591</v>
      </c>
      <c r="B5295" s="1" t="s">
        <v>10592</v>
      </c>
      <c r="C5295" s="1" t="s">
        <v>5</v>
      </c>
    </row>
    <row r="5296" spans="1:3" x14ac:dyDescent="0.25">
      <c r="A5296" s="1" t="s">
        <v>10593</v>
      </c>
      <c r="B5296" s="1" t="s">
        <v>10594</v>
      </c>
      <c r="C5296" s="1" t="s">
        <v>5</v>
      </c>
    </row>
    <row r="5297" spans="1:3" x14ac:dyDescent="0.25">
      <c r="A5297" s="1" t="s">
        <v>10595</v>
      </c>
      <c r="B5297" s="1" t="s">
        <v>10596</v>
      </c>
      <c r="C5297" s="1" t="s">
        <v>5</v>
      </c>
    </row>
    <row r="5298" spans="1:3" x14ac:dyDescent="0.25">
      <c r="A5298" s="1" t="s">
        <v>10597</v>
      </c>
      <c r="B5298" s="1" t="s">
        <v>10598</v>
      </c>
      <c r="C5298" s="1" t="s">
        <v>5</v>
      </c>
    </row>
    <row r="5299" spans="1:3" x14ac:dyDescent="0.25">
      <c r="A5299" s="1" t="s">
        <v>10599</v>
      </c>
      <c r="B5299" s="1" t="s">
        <v>10600</v>
      </c>
      <c r="C5299" s="1" t="s">
        <v>5</v>
      </c>
    </row>
    <row r="5300" spans="1:3" x14ac:dyDescent="0.25">
      <c r="A5300" s="1" t="s">
        <v>10601</v>
      </c>
      <c r="B5300" s="1" t="s">
        <v>10602</v>
      </c>
      <c r="C5300" s="1" t="s">
        <v>5</v>
      </c>
    </row>
    <row r="5301" spans="1:3" x14ac:dyDescent="0.25">
      <c r="A5301" s="1" t="s">
        <v>10603</v>
      </c>
      <c r="B5301" s="1" t="s">
        <v>10604</v>
      </c>
      <c r="C5301" s="1" t="s">
        <v>5</v>
      </c>
    </row>
    <row r="5302" spans="1:3" x14ac:dyDescent="0.25">
      <c r="A5302" s="1" t="s">
        <v>10605</v>
      </c>
      <c r="B5302" s="1" t="s">
        <v>10606</v>
      </c>
      <c r="C5302" s="1" t="s">
        <v>5</v>
      </c>
    </row>
    <row r="5303" spans="1:3" x14ac:dyDescent="0.25">
      <c r="A5303" s="1" t="s">
        <v>10607</v>
      </c>
      <c r="B5303" s="1" t="s">
        <v>10608</v>
      </c>
      <c r="C5303" s="1" t="s">
        <v>5</v>
      </c>
    </row>
    <row r="5304" spans="1:3" x14ac:dyDescent="0.25">
      <c r="A5304" s="1" t="s">
        <v>10609</v>
      </c>
      <c r="B5304" s="1" t="s">
        <v>10610</v>
      </c>
      <c r="C5304" s="1" t="s">
        <v>5</v>
      </c>
    </row>
    <row r="5305" spans="1:3" x14ac:dyDescent="0.25">
      <c r="A5305" s="1" t="s">
        <v>10611</v>
      </c>
      <c r="B5305" s="1" t="s">
        <v>10612</v>
      </c>
      <c r="C5305" s="1" t="s">
        <v>5</v>
      </c>
    </row>
    <row r="5306" spans="1:3" x14ac:dyDescent="0.25">
      <c r="A5306" s="1" t="s">
        <v>10613</v>
      </c>
      <c r="B5306" s="1" t="s">
        <v>10614</v>
      </c>
      <c r="C5306" s="1" t="s">
        <v>5</v>
      </c>
    </row>
    <row r="5307" spans="1:3" x14ac:dyDescent="0.25">
      <c r="A5307" s="1" t="s">
        <v>10615</v>
      </c>
      <c r="B5307" s="1" t="s">
        <v>10616</v>
      </c>
      <c r="C5307" s="1" t="s">
        <v>5</v>
      </c>
    </row>
    <row r="5308" spans="1:3" x14ac:dyDescent="0.25">
      <c r="A5308" s="1" t="s">
        <v>10617</v>
      </c>
      <c r="B5308" s="1" t="s">
        <v>10618</v>
      </c>
      <c r="C5308" s="1" t="s">
        <v>5</v>
      </c>
    </row>
    <row r="5309" spans="1:3" x14ac:dyDescent="0.25">
      <c r="A5309" s="1" t="s">
        <v>10619</v>
      </c>
      <c r="B5309" s="1" t="s">
        <v>10620</v>
      </c>
      <c r="C5309" s="1" t="s">
        <v>5</v>
      </c>
    </row>
    <row r="5310" spans="1:3" x14ac:dyDescent="0.25">
      <c r="A5310" s="1" t="s">
        <v>10621</v>
      </c>
      <c r="B5310" s="1" t="s">
        <v>10622</v>
      </c>
      <c r="C5310" s="1" t="s">
        <v>5</v>
      </c>
    </row>
    <row r="5311" spans="1:3" x14ac:dyDescent="0.25">
      <c r="A5311" s="1" t="s">
        <v>10623</v>
      </c>
      <c r="B5311" s="1" t="s">
        <v>10624</v>
      </c>
      <c r="C5311" s="1" t="s">
        <v>5</v>
      </c>
    </row>
    <row r="5312" spans="1:3" x14ac:dyDescent="0.25">
      <c r="A5312" s="1" t="s">
        <v>10625</v>
      </c>
      <c r="B5312" s="1" t="s">
        <v>10626</v>
      </c>
      <c r="C5312" s="1" t="s">
        <v>5</v>
      </c>
    </row>
    <row r="5313" spans="1:3" x14ac:dyDescent="0.25">
      <c r="A5313" s="1" t="s">
        <v>10627</v>
      </c>
      <c r="B5313" s="1" t="s">
        <v>10628</v>
      </c>
      <c r="C5313" s="1" t="s">
        <v>5</v>
      </c>
    </row>
    <row r="5314" spans="1:3" x14ac:dyDescent="0.25">
      <c r="A5314" s="1" t="s">
        <v>10629</v>
      </c>
      <c r="B5314" s="1" t="s">
        <v>10630</v>
      </c>
      <c r="C5314" s="1" t="s">
        <v>5</v>
      </c>
    </row>
    <row r="5315" spans="1:3" x14ac:dyDescent="0.25">
      <c r="A5315" s="1" t="s">
        <v>10631</v>
      </c>
      <c r="B5315" s="1" t="s">
        <v>10632</v>
      </c>
      <c r="C5315" s="1" t="s">
        <v>5</v>
      </c>
    </row>
    <row r="5316" spans="1:3" x14ac:dyDescent="0.25">
      <c r="A5316" s="1" t="s">
        <v>10633</v>
      </c>
      <c r="B5316" s="1" t="s">
        <v>10634</v>
      </c>
      <c r="C5316" s="1" t="s">
        <v>5</v>
      </c>
    </row>
    <row r="5317" spans="1:3" x14ac:dyDescent="0.25">
      <c r="A5317" s="1" t="s">
        <v>10635</v>
      </c>
      <c r="B5317" s="1" t="s">
        <v>10636</v>
      </c>
      <c r="C5317" s="1" t="s">
        <v>5</v>
      </c>
    </row>
    <row r="5318" spans="1:3" x14ac:dyDescent="0.25">
      <c r="A5318" s="1" t="s">
        <v>10637</v>
      </c>
      <c r="B5318" s="1" t="s">
        <v>10638</v>
      </c>
      <c r="C5318" s="1" t="s">
        <v>5</v>
      </c>
    </row>
    <row r="5319" spans="1:3" x14ac:dyDescent="0.25">
      <c r="A5319" s="1" t="s">
        <v>10639</v>
      </c>
      <c r="B5319" s="1" t="s">
        <v>10640</v>
      </c>
      <c r="C5319" s="1" t="s">
        <v>5</v>
      </c>
    </row>
    <row r="5320" spans="1:3" x14ac:dyDescent="0.25">
      <c r="A5320" s="1" t="s">
        <v>10641</v>
      </c>
      <c r="B5320" s="1" t="s">
        <v>10642</v>
      </c>
      <c r="C5320" s="1" t="s">
        <v>5</v>
      </c>
    </row>
    <row r="5321" spans="1:3" x14ac:dyDescent="0.25">
      <c r="A5321" s="1" t="s">
        <v>10643</v>
      </c>
      <c r="B5321" s="1" t="s">
        <v>10644</v>
      </c>
      <c r="C5321" s="1" t="s">
        <v>5</v>
      </c>
    </row>
    <row r="5322" spans="1:3" x14ac:dyDescent="0.25">
      <c r="A5322" s="1" t="s">
        <v>10645</v>
      </c>
      <c r="B5322" s="1" t="s">
        <v>10646</v>
      </c>
      <c r="C5322" s="1" t="s">
        <v>5</v>
      </c>
    </row>
    <row r="5323" spans="1:3" x14ac:dyDescent="0.25">
      <c r="A5323" s="1" t="s">
        <v>10647</v>
      </c>
      <c r="B5323" s="1" t="s">
        <v>10648</v>
      </c>
      <c r="C5323" s="1" t="s">
        <v>5</v>
      </c>
    </row>
    <row r="5324" spans="1:3" x14ac:dyDescent="0.25">
      <c r="A5324" s="1" t="s">
        <v>10649</v>
      </c>
      <c r="B5324" s="1" t="s">
        <v>10650</v>
      </c>
      <c r="C5324" s="1" t="s">
        <v>5</v>
      </c>
    </row>
    <row r="5325" spans="1:3" x14ac:dyDescent="0.25">
      <c r="A5325" s="1" t="s">
        <v>10651</v>
      </c>
      <c r="B5325" s="1" t="s">
        <v>10652</v>
      </c>
      <c r="C5325" s="1" t="s">
        <v>5</v>
      </c>
    </row>
    <row r="5326" spans="1:3" x14ac:dyDescent="0.25">
      <c r="A5326" s="1" t="s">
        <v>10653</v>
      </c>
      <c r="B5326" s="1" t="s">
        <v>10654</v>
      </c>
      <c r="C5326" s="1" t="s">
        <v>5</v>
      </c>
    </row>
    <row r="5327" spans="1:3" x14ac:dyDescent="0.25">
      <c r="A5327" s="1" t="s">
        <v>10655</v>
      </c>
      <c r="B5327" s="1" t="s">
        <v>10656</v>
      </c>
      <c r="C5327" s="1" t="s">
        <v>5</v>
      </c>
    </row>
    <row r="5328" spans="1:3" x14ac:dyDescent="0.25">
      <c r="A5328" s="1" t="s">
        <v>10657</v>
      </c>
      <c r="B5328" s="1" t="s">
        <v>10658</v>
      </c>
      <c r="C5328" s="1" t="s">
        <v>5</v>
      </c>
    </row>
    <row r="5329" spans="1:3" x14ac:dyDescent="0.25">
      <c r="A5329" s="1" t="s">
        <v>10659</v>
      </c>
      <c r="B5329" s="1" t="s">
        <v>10660</v>
      </c>
      <c r="C5329" s="1" t="s">
        <v>5</v>
      </c>
    </row>
    <row r="5330" spans="1:3" x14ac:dyDescent="0.25">
      <c r="A5330" s="1" t="s">
        <v>10661</v>
      </c>
      <c r="B5330" s="1" t="s">
        <v>10662</v>
      </c>
      <c r="C5330" s="1" t="s">
        <v>5</v>
      </c>
    </row>
    <row r="5331" spans="1:3" x14ac:dyDescent="0.25">
      <c r="A5331" s="1" t="s">
        <v>10663</v>
      </c>
      <c r="B5331" s="1" t="s">
        <v>10664</v>
      </c>
      <c r="C5331" s="1" t="s">
        <v>5</v>
      </c>
    </row>
    <row r="5332" spans="1:3" x14ac:dyDescent="0.25">
      <c r="A5332" s="1" t="s">
        <v>10665</v>
      </c>
      <c r="B5332" s="1" t="s">
        <v>10666</v>
      </c>
      <c r="C5332" s="1" t="s">
        <v>5</v>
      </c>
    </row>
    <row r="5333" spans="1:3" x14ac:dyDescent="0.25">
      <c r="A5333" s="1" t="s">
        <v>10667</v>
      </c>
      <c r="B5333" s="1" t="s">
        <v>10668</v>
      </c>
      <c r="C5333" s="1" t="s">
        <v>5</v>
      </c>
    </row>
    <row r="5334" spans="1:3" x14ac:dyDescent="0.25">
      <c r="A5334" s="1" t="s">
        <v>10669</v>
      </c>
      <c r="B5334" s="1" t="s">
        <v>10670</v>
      </c>
      <c r="C5334" s="1" t="s">
        <v>5</v>
      </c>
    </row>
    <row r="5335" spans="1:3" x14ac:dyDescent="0.25">
      <c r="A5335" s="1" t="s">
        <v>10671</v>
      </c>
      <c r="B5335" s="1" t="s">
        <v>10672</v>
      </c>
      <c r="C5335" s="1" t="s">
        <v>5</v>
      </c>
    </row>
    <row r="5336" spans="1:3" x14ac:dyDescent="0.25">
      <c r="A5336" s="1" t="s">
        <v>10673</v>
      </c>
      <c r="B5336" s="1" t="s">
        <v>10674</v>
      </c>
      <c r="C5336" s="1" t="s">
        <v>5</v>
      </c>
    </row>
    <row r="5337" spans="1:3" x14ac:dyDescent="0.25">
      <c r="A5337" s="1" t="s">
        <v>10675</v>
      </c>
      <c r="B5337" s="1" t="s">
        <v>10676</v>
      </c>
      <c r="C5337" s="1" t="s">
        <v>5</v>
      </c>
    </row>
    <row r="5338" spans="1:3" x14ac:dyDescent="0.25">
      <c r="A5338" s="1" t="s">
        <v>10677</v>
      </c>
      <c r="B5338" s="1" t="s">
        <v>10678</v>
      </c>
      <c r="C5338" s="1" t="s">
        <v>5</v>
      </c>
    </row>
    <row r="5339" spans="1:3" x14ac:dyDescent="0.25">
      <c r="A5339" s="1" t="s">
        <v>10679</v>
      </c>
      <c r="B5339" s="1" t="s">
        <v>10680</v>
      </c>
      <c r="C5339" s="1" t="s">
        <v>5</v>
      </c>
    </row>
    <row r="5340" spans="1:3" x14ac:dyDescent="0.25">
      <c r="A5340" s="1" t="s">
        <v>10681</v>
      </c>
      <c r="B5340" s="1" t="s">
        <v>10682</v>
      </c>
      <c r="C5340" s="1" t="s">
        <v>5</v>
      </c>
    </row>
    <row r="5341" spans="1:3" x14ac:dyDescent="0.25">
      <c r="A5341" s="1" t="s">
        <v>10683</v>
      </c>
      <c r="B5341" s="1" t="s">
        <v>10684</v>
      </c>
      <c r="C5341" s="1" t="s">
        <v>5</v>
      </c>
    </row>
    <row r="5342" spans="1:3" x14ac:dyDescent="0.25">
      <c r="A5342" s="1" t="s">
        <v>10685</v>
      </c>
      <c r="B5342" s="1" t="s">
        <v>10686</v>
      </c>
      <c r="C5342" s="1" t="s">
        <v>5</v>
      </c>
    </row>
    <row r="5343" spans="1:3" x14ac:dyDescent="0.25">
      <c r="A5343" s="1" t="s">
        <v>10687</v>
      </c>
      <c r="B5343" s="1" t="s">
        <v>10688</v>
      </c>
      <c r="C5343" s="1" t="s">
        <v>5</v>
      </c>
    </row>
    <row r="5344" spans="1:3" x14ac:dyDescent="0.25">
      <c r="A5344" s="1" t="s">
        <v>10689</v>
      </c>
      <c r="B5344" s="1" t="s">
        <v>10690</v>
      </c>
      <c r="C5344" s="1" t="s">
        <v>5</v>
      </c>
    </row>
    <row r="5345" spans="1:3" x14ac:dyDescent="0.25">
      <c r="A5345" s="1" t="s">
        <v>10691</v>
      </c>
      <c r="B5345" s="1" t="s">
        <v>10692</v>
      </c>
      <c r="C5345" s="1" t="s">
        <v>5</v>
      </c>
    </row>
    <row r="5346" spans="1:3" x14ac:dyDescent="0.25">
      <c r="A5346" s="1" t="s">
        <v>10693</v>
      </c>
      <c r="B5346" s="1" t="s">
        <v>10694</v>
      </c>
      <c r="C5346" s="1" t="s">
        <v>5</v>
      </c>
    </row>
    <row r="5347" spans="1:3" x14ac:dyDescent="0.25">
      <c r="A5347" s="1" t="s">
        <v>10695</v>
      </c>
      <c r="B5347" s="1" t="s">
        <v>10696</v>
      </c>
      <c r="C5347" s="1" t="s">
        <v>5</v>
      </c>
    </row>
    <row r="5348" spans="1:3" x14ac:dyDescent="0.25">
      <c r="A5348" s="1" t="s">
        <v>10697</v>
      </c>
      <c r="B5348" s="1" t="s">
        <v>10698</v>
      </c>
      <c r="C5348" s="1" t="s">
        <v>5</v>
      </c>
    </row>
    <row r="5349" spans="1:3" x14ac:dyDescent="0.25">
      <c r="A5349" s="1" t="s">
        <v>10699</v>
      </c>
      <c r="B5349" s="1" t="s">
        <v>10700</v>
      </c>
      <c r="C5349" s="1" t="s">
        <v>5</v>
      </c>
    </row>
    <row r="5350" spans="1:3" x14ac:dyDescent="0.25">
      <c r="A5350" s="1" t="s">
        <v>10701</v>
      </c>
      <c r="B5350" s="1" t="s">
        <v>10702</v>
      </c>
      <c r="C5350" s="1" t="s">
        <v>5</v>
      </c>
    </row>
    <row r="5351" spans="1:3" x14ac:dyDescent="0.25">
      <c r="A5351" s="1" t="s">
        <v>10703</v>
      </c>
      <c r="B5351" s="1" t="s">
        <v>10704</v>
      </c>
      <c r="C5351" s="1" t="s">
        <v>5</v>
      </c>
    </row>
    <row r="5352" spans="1:3" x14ac:dyDescent="0.25">
      <c r="A5352" s="1" t="s">
        <v>10705</v>
      </c>
      <c r="B5352" s="1" t="s">
        <v>10706</v>
      </c>
      <c r="C5352" s="1" t="s">
        <v>5</v>
      </c>
    </row>
    <row r="5353" spans="1:3" x14ac:dyDescent="0.25">
      <c r="A5353" s="1" t="s">
        <v>10707</v>
      </c>
      <c r="B5353" s="1" t="s">
        <v>10708</v>
      </c>
      <c r="C5353" s="1" t="s">
        <v>5</v>
      </c>
    </row>
    <row r="5354" spans="1:3" x14ac:dyDescent="0.25">
      <c r="A5354" s="1" t="s">
        <v>10709</v>
      </c>
      <c r="B5354" s="1" t="s">
        <v>10710</v>
      </c>
      <c r="C5354" s="1" t="s">
        <v>5</v>
      </c>
    </row>
    <row r="5355" spans="1:3" x14ac:dyDescent="0.25">
      <c r="A5355" s="1" t="s">
        <v>10711</v>
      </c>
      <c r="B5355" s="1" t="s">
        <v>10712</v>
      </c>
      <c r="C5355" s="1" t="s">
        <v>5</v>
      </c>
    </row>
    <row r="5356" spans="1:3" x14ac:dyDescent="0.25">
      <c r="A5356" s="1" t="s">
        <v>10713</v>
      </c>
      <c r="B5356" s="1" t="s">
        <v>10714</v>
      </c>
      <c r="C5356" s="1" t="s">
        <v>5</v>
      </c>
    </row>
    <row r="5357" spans="1:3" x14ac:dyDescent="0.25">
      <c r="A5357" s="1" t="s">
        <v>10715</v>
      </c>
      <c r="B5357" s="1" t="s">
        <v>10716</v>
      </c>
      <c r="C5357" s="1" t="s">
        <v>5</v>
      </c>
    </row>
    <row r="5358" spans="1:3" x14ac:dyDescent="0.25">
      <c r="A5358" s="1" t="s">
        <v>10717</v>
      </c>
      <c r="B5358" s="1" t="s">
        <v>10718</v>
      </c>
      <c r="C5358" s="1" t="s">
        <v>5</v>
      </c>
    </row>
    <row r="5359" spans="1:3" x14ac:dyDescent="0.25">
      <c r="A5359" s="1" t="s">
        <v>10719</v>
      </c>
      <c r="B5359" s="1" t="s">
        <v>10720</v>
      </c>
      <c r="C5359" s="1" t="s">
        <v>5</v>
      </c>
    </row>
    <row r="5360" spans="1:3" x14ac:dyDescent="0.25">
      <c r="A5360" s="1" t="s">
        <v>10721</v>
      </c>
      <c r="B5360" s="1" t="s">
        <v>10722</v>
      </c>
      <c r="C5360" s="1" t="s">
        <v>5</v>
      </c>
    </row>
    <row r="5361" spans="1:3" x14ac:dyDescent="0.25">
      <c r="A5361" s="1" t="s">
        <v>10723</v>
      </c>
      <c r="B5361" s="1" t="s">
        <v>10724</v>
      </c>
      <c r="C5361" s="1" t="s">
        <v>5</v>
      </c>
    </row>
    <row r="5362" spans="1:3" x14ac:dyDescent="0.25">
      <c r="A5362" s="1" t="s">
        <v>10725</v>
      </c>
      <c r="B5362" s="1" t="s">
        <v>10726</v>
      </c>
      <c r="C5362" s="1" t="s">
        <v>5</v>
      </c>
    </row>
    <row r="5363" spans="1:3" x14ac:dyDescent="0.25">
      <c r="A5363" s="1" t="s">
        <v>10727</v>
      </c>
      <c r="B5363" s="1" t="s">
        <v>10728</v>
      </c>
      <c r="C5363" s="1" t="s">
        <v>5</v>
      </c>
    </row>
    <row r="5364" spans="1:3" x14ac:dyDescent="0.25">
      <c r="A5364" s="1" t="s">
        <v>10729</v>
      </c>
      <c r="B5364" s="1" t="s">
        <v>10730</v>
      </c>
      <c r="C5364" s="1" t="s">
        <v>5</v>
      </c>
    </row>
    <row r="5365" spans="1:3" x14ac:dyDescent="0.25">
      <c r="A5365" s="1" t="s">
        <v>10731</v>
      </c>
      <c r="B5365" s="1" t="s">
        <v>10732</v>
      </c>
      <c r="C5365" s="1" t="s">
        <v>5</v>
      </c>
    </row>
    <row r="5366" spans="1:3" x14ac:dyDescent="0.25">
      <c r="A5366" s="1" t="s">
        <v>10733</v>
      </c>
      <c r="B5366" s="1" t="s">
        <v>10734</v>
      </c>
      <c r="C5366" s="1" t="s">
        <v>5</v>
      </c>
    </row>
    <row r="5367" spans="1:3" x14ac:dyDescent="0.25">
      <c r="A5367" s="1" t="s">
        <v>10735</v>
      </c>
      <c r="B5367" s="1" t="s">
        <v>10736</v>
      </c>
      <c r="C5367" s="1" t="s">
        <v>5</v>
      </c>
    </row>
    <row r="5368" spans="1:3" x14ac:dyDescent="0.25">
      <c r="A5368" s="1" t="s">
        <v>10737</v>
      </c>
      <c r="B5368" s="1" t="s">
        <v>10738</v>
      </c>
      <c r="C5368" s="1" t="s">
        <v>5</v>
      </c>
    </row>
    <row r="5369" spans="1:3" x14ac:dyDescent="0.25">
      <c r="A5369" s="1" t="s">
        <v>10739</v>
      </c>
      <c r="B5369" s="1" t="s">
        <v>10740</v>
      </c>
      <c r="C5369" s="1" t="s">
        <v>5</v>
      </c>
    </row>
    <row r="5370" spans="1:3" x14ac:dyDescent="0.25">
      <c r="A5370" s="1" t="s">
        <v>10741</v>
      </c>
      <c r="B5370" s="1" t="s">
        <v>10742</v>
      </c>
      <c r="C5370" s="1" t="s">
        <v>5</v>
      </c>
    </row>
    <row r="5371" spans="1:3" x14ac:dyDescent="0.25">
      <c r="A5371" s="1" t="s">
        <v>10743</v>
      </c>
      <c r="B5371" s="1" t="s">
        <v>10744</v>
      </c>
      <c r="C5371" s="1" t="s">
        <v>5</v>
      </c>
    </row>
    <row r="5372" spans="1:3" x14ac:dyDescent="0.25">
      <c r="A5372" s="1" t="s">
        <v>10745</v>
      </c>
      <c r="B5372" s="1" t="s">
        <v>10746</v>
      </c>
      <c r="C5372" s="1" t="s">
        <v>5</v>
      </c>
    </row>
    <row r="5373" spans="1:3" x14ac:dyDescent="0.25">
      <c r="A5373" s="1" t="s">
        <v>10747</v>
      </c>
      <c r="B5373" s="1" t="s">
        <v>10748</v>
      </c>
      <c r="C5373" s="1" t="s">
        <v>5</v>
      </c>
    </row>
    <row r="5374" spans="1:3" x14ac:dyDescent="0.25">
      <c r="A5374" s="1" t="s">
        <v>10749</v>
      </c>
      <c r="B5374" s="1" t="s">
        <v>10750</v>
      </c>
      <c r="C5374" s="1" t="s">
        <v>5</v>
      </c>
    </row>
    <row r="5375" spans="1:3" x14ac:dyDescent="0.25">
      <c r="A5375" s="1" t="s">
        <v>10751</v>
      </c>
      <c r="B5375" s="1" t="s">
        <v>10752</v>
      </c>
      <c r="C5375" s="1" t="s">
        <v>5</v>
      </c>
    </row>
    <row r="5376" spans="1:3" x14ac:dyDescent="0.25">
      <c r="A5376" s="1" t="s">
        <v>10753</v>
      </c>
      <c r="B5376" s="1" t="s">
        <v>10754</v>
      </c>
      <c r="C5376" s="1" t="s">
        <v>5</v>
      </c>
    </row>
    <row r="5377" spans="1:3" x14ac:dyDescent="0.25">
      <c r="A5377" s="1" t="s">
        <v>10755</v>
      </c>
      <c r="B5377" s="1" t="s">
        <v>10756</v>
      </c>
      <c r="C5377" s="1" t="s">
        <v>5</v>
      </c>
    </row>
    <row r="5378" spans="1:3" x14ac:dyDescent="0.25">
      <c r="A5378" s="1" t="s">
        <v>10757</v>
      </c>
      <c r="B5378" s="1" t="s">
        <v>10758</v>
      </c>
      <c r="C5378" s="1" t="s">
        <v>5</v>
      </c>
    </row>
    <row r="5379" spans="1:3" x14ac:dyDescent="0.25">
      <c r="A5379" s="1" t="s">
        <v>10759</v>
      </c>
      <c r="B5379" s="1" t="s">
        <v>10760</v>
      </c>
      <c r="C5379" s="1" t="s">
        <v>5</v>
      </c>
    </row>
    <row r="5380" spans="1:3" x14ac:dyDescent="0.25">
      <c r="A5380" s="1" t="s">
        <v>10761</v>
      </c>
      <c r="B5380" s="1" t="s">
        <v>10762</v>
      </c>
      <c r="C5380" s="1" t="s">
        <v>5</v>
      </c>
    </row>
    <row r="5381" spans="1:3" x14ac:dyDescent="0.25">
      <c r="A5381" s="1" t="s">
        <v>10763</v>
      </c>
      <c r="B5381" s="1" t="s">
        <v>10764</v>
      </c>
      <c r="C5381" s="1" t="s">
        <v>5</v>
      </c>
    </row>
    <row r="5382" spans="1:3" x14ac:dyDescent="0.25">
      <c r="A5382" s="1" t="s">
        <v>10765</v>
      </c>
      <c r="B5382" s="1" t="s">
        <v>10766</v>
      </c>
      <c r="C5382" s="1" t="s">
        <v>5</v>
      </c>
    </row>
    <row r="5383" spans="1:3" x14ac:dyDescent="0.25">
      <c r="A5383" s="1" t="s">
        <v>10767</v>
      </c>
      <c r="B5383" s="1" t="s">
        <v>10768</v>
      </c>
      <c r="C5383" s="1" t="s">
        <v>5</v>
      </c>
    </row>
    <row r="5384" spans="1:3" x14ac:dyDescent="0.25">
      <c r="A5384" s="1" t="s">
        <v>10769</v>
      </c>
      <c r="B5384" s="1" t="s">
        <v>10770</v>
      </c>
      <c r="C5384" s="1" t="s">
        <v>5</v>
      </c>
    </row>
    <row r="5385" spans="1:3" x14ac:dyDescent="0.25">
      <c r="A5385" s="1" t="s">
        <v>10771</v>
      </c>
      <c r="B5385" s="1" t="s">
        <v>10772</v>
      </c>
      <c r="C5385" s="1" t="s">
        <v>5</v>
      </c>
    </row>
    <row r="5386" spans="1:3" x14ac:dyDescent="0.25">
      <c r="A5386" s="1" t="s">
        <v>10773</v>
      </c>
      <c r="B5386" s="1" t="s">
        <v>10774</v>
      </c>
      <c r="C5386" s="1" t="s">
        <v>5</v>
      </c>
    </row>
    <row r="5387" spans="1:3" x14ac:dyDescent="0.25">
      <c r="A5387" s="1" t="s">
        <v>10775</v>
      </c>
      <c r="B5387" s="1" t="s">
        <v>10776</v>
      </c>
      <c r="C5387" s="1" t="s">
        <v>5</v>
      </c>
    </row>
    <row r="5388" spans="1:3" x14ac:dyDescent="0.25">
      <c r="A5388" s="1" t="s">
        <v>10777</v>
      </c>
      <c r="B5388" s="1" t="s">
        <v>10778</v>
      </c>
      <c r="C5388" s="1" t="s">
        <v>5</v>
      </c>
    </row>
    <row r="5389" spans="1:3" x14ac:dyDescent="0.25">
      <c r="A5389" s="1" t="s">
        <v>10779</v>
      </c>
      <c r="B5389" s="1" t="s">
        <v>10780</v>
      </c>
      <c r="C5389" s="1" t="s">
        <v>5</v>
      </c>
    </row>
    <row r="5390" spans="1:3" x14ac:dyDescent="0.25">
      <c r="A5390" s="1" t="s">
        <v>10781</v>
      </c>
      <c r="B5390" s="1" t="s">
        <v>10782</v>
      </c>
      <c r="C5390" s="1" t="s">
        <v>5</v>
      </c>
    </row>
    <row r="5391" spans="1:3" x14ac:dyDescent="0.25">
      <c r="A5391" s="1" t="s">
        <v>10783</v>
      </c>
      <c r="B5391" s="1" t="s">
        <v>10784</v>
      </c>
      <c r="C5391" s="1" t="s">
        <v>5</v>
      </c>
    </row>
    <row r="5392" spans="1:3" x14ac:dyDescent="0.25">
      <c r="A5392" s="1" t="s">
        <v>10785</v>
      </c>
      <c r="B5392" s="1" t="s">
        <v>10786</v>
      </c>
      <c r="C5392" s="1" t="s">
        <v>5</v>
      </c>
    </row>
    <row r="5393" spans="1:3" x14ac:dyDescent="0.25">
      <c r="A5393" s="1" t="s">
        <v>10787</v>
      </c>
      <c r="B5393" s="1" t="s">
        <v>10788</v>
      </c>
      <c r="C5393" s="1" t="s">
        <v>5</v>
      </c>
    </row>
    <row r="5394" spans="1:3" x14ac:dyDescent="0.25">
      <c r="A5394" s="1" t="s">
        <v>10789</v>
      </c>
      <c r="B5394" s="1" t="s">
        <v>10790</v>
      </c>
      <c r="C5394" s="1" t="s">
        <v>5</v>
      </c>
    </row>
    <row r="5395" spans="1:3" x14ac:dyDescent="0.25">
      <c r="A5395" s="1" t="s">
        <v>10791</v>
      </c>
      <c r="B5395" s="1" t="s">
        <v>10792</v>
      </c>
      <c r="C5395" s="1" t="s">
        <v>5</v>
      </c>
    </row>
    <row r="5396" spans="1:3" x14ac:dyDescent="0.25">
      <c r="A5396" s="1" t="s">
        <v>10793</v>
      </c>
      <c r="B5396" s="1" t="s">
        <v>10794</v>
      </c>
      <c r="C5396" s="1" t="s">
        <v>5</v>
      </c>
    </row>
    <row r="5397" spans="1:3" x14ac:dyDescent="0.25">
      <c r="A5397" s="1" t="s">
        <v>10795</v>
      </c>
      <c r="B5397" s="1" t="s">
        <v>10796</v>
      </c>
      <c r="C5397" s="1" t="s">
        <v>5</v>
      </c>
    </row>
    <row r="5398" spans="1:3" x14ac:dyDescent="0.25">
      <c r="A5398" s="1" t="s">
        <v>10797</v>
      </c>
      <c r="B5398" s="1" t="s">
        <v>10798</v>
      </c>
      <c r="C5398" s="1" t="s">
        <v>5</v>
      </c>
    </row>
    <row r="5399" spans="1:3" x14ac:dyDescent="0.25">
      <c r="A5399" s="1" t="s">
        <v>10799</v>
      </c>
      <c r="B5399" s="1" t="s">
        <v>10800</v>
      </c>
      <c r="C5399" s="1" t="s">
        <v>5</v>
      </c>
    </row>
    <row r="5400" spans="1:3" x14ac:dyDescent="0.25">
      <c r="A5400" s="1" t="s">
        <v>10801</v>
      </c>
      <c r="B5400" s="1" t="s">
        <v>10802</v>
      </c>
      <c r="C5400" s="1" t="s">
        <v>5</v>
      </c>
    </row>
    <row r="5401" spans="1:3" x14ac:dyDescent="0.25">
      <c r="A5401" s="1" t="s">
        <v>10803</v>
      </c>
      <c r="B5401" s="1" t="s">
        <v>10804</v>
      </c>
      <c r="C5401" s="1" t="s">
        <v>5</v>
      </c>
    </row>
    <row r="5402" spans="1:3" x14ac:dyDescent="0.25">
      <c r="A5402" s="1" t="s">
        <v>10805</v>
      </c>
      <c r="B5402" s="1" t="s">
        <v>10806</v>
      </c>
      <c r="C5402" s="1" t="s">
        <v>5</v>
      </c>
    </row>
    <row r="5403" spans="1:3" x14ac:dyDescent="0.25">
      <c r="A5403" s="1" t="s">
        <v>10807</v>
      </c>
      <c r="B5403" s="1" t="s">
        <v>10808</v>
      </c>
      <c r="C5403" s="1" t="s">
        <v>5</v>
      </c>
    </row>
    <row r="5404" spans="1:3" x14ac:dyDescent="0.25">
      <c r="A5404" s="1" t="s">
        <v>10809</v>
      </c>
      <c r="B5404" s="1" t="s">
        <v>10810</v>
      </c>
      <c r="C5404" s="1" t="s">
        <v>5</v>
      </c>
    </row>
    <row r="5405" spans="1:3" x14ac:dyDescent="0.25">
      <c r="A5405" s="1" t="s">
        <v>10811</v>
      </c>
      <c r="B5405" s="1" t="s">
        <v>10812</v>
      </c>
      <c r="C5405" s="1" t="s">
        <v>5</v>
      </c>
    </row>
    <row r="5406" spans="1:3" x14ac:dyDescent="0.25">
      <c r="A5406" s="1" t="s">
        <v>10813</v>
      </c>
      <c r="B5406" s="1" t="s">
        <v>10814</v>
      </c>
      <c r="C5406" s="1" t="s">
        <v>5</v>
      </c>
    </row>
    <row r="5407" spans="1:3" x14ac:dyDescent="0.25">
      <c r="A5407" s="1" t="s">
        <v>10815</v>
      </c>
      <c r="B5407" s="1" t="s">
        <v>10816</v>
      </c>
      <c r="C5407" s="1" t="s">
        <v>5</v>
      </c>
    </row>
    <row r="5408" spans="1:3" x14ac:dyDescent="0.25">
      <c r="A5408" s="1" t="s">
        <v>10817</v>
      </c>
      <c r="B5408" s="1" t="s">
        <v>10818</v>
      </c>
      <c r="C5408" s="1" t="s">
        <v>5</v>
      </c>
    </row>
    <row r="5409" spans="1:3" x14ac:dyDescent="0.25">
      <c r="A5409" s="1" t="s">
        <v>10819</v>
      </c>
      <c r="B5409" s="1" t="s">
        <v>10820</v>
      </c>
      <c r="C5409" s="1" t="s">
        <v>5</v>
      </c>
    </row>
    <row r="5410" spans="1:3" x14ac:dyDescent="0.25">
      <c r="A5410" s="1" t="s">
        <v>10821</v>
      </c>
      <c r="B5410" s="1" t="s">
        <v>10822</v>
      </c>
      <c r="C5410" s="1" t="s">
        <v>5</v>
      </c>
    </row>
    <row r="5411" spans="1:3" x14ac:dyDescent="0.25">
      <c r="A5411" s="1" t="s">
        <v>10823</v>
      </c>
      <c r="B5411" s="1" t="s">
        <v>10824</v>
      </c>
      <c r="C5411" s="1" t="s">
        <v>5</v>
      </c>
    </row>
    <row r="5412" spans="1:3" x14ac:dyDescent="0.25">
      <c r="A5412" s="1" t="s">
        <v>10825</v>
      </c>
      <c r="B5412" s="1" t="s">
        <v>10826</v>
      </c>
      <c r="C5412" s="1" t="s">
        <v>5</v>
      </c>
    </row>
    <row r="5413" spans="1:3" x14ac:dyDescent="0.25">
      <c r="A5413" s="1" t="s">
        <v>10827</v>
      </c>
      <c r="B5413" s="1" t="s">
        <v>10828</v>
      </c>
      <c r="C5413" s="1" t="s">
        <v>5</v>
      </c>
    </row>
    <row r="5414" spans="1:3" x14ac:dyDescent="0.25">
      <c r="A5414" s="1" t="s">
        <v>10829</v>
      </c>
      <c r="B5414" s="1" t="s">
        <v>10830</v>
      </c>
      <c r="C5414" s="1" t="s">
        <v>5</v>
      </c>
    </row>
    <row r="5415" spans="1:3" x14ac:dyDescent="0.25">
      <c r="A5415" s="1" t="s">
        <v>10831</v>
      </c>
      <c r="B5415" s="1" t="s">
        <v>10832</v>
      </c>
      <c r="C5415" s="1" t="s">
        <v>5</v>
      </c>
    </row>
    <row r="5416" spans="1:3" x14ac:dyDescent="0.25">
      <c r="A5416" s="1" t="s">
        <v>10833</v>
      </c>
      <c r="B5416" s="1" t="s">
        <v>10834</v>
      </c>
      <c r="C5416" s="1" t="s">
        <v>5</v>
      </c>
    </row>
    <row r="5417" spans="1:3" x14ac:dyDescent="0.25">
      <c r="A5417" s="1" t="s">
        <v>10835</v>
      </c>
      <c r="B5417" s="1" t="s">
        <v>10836</v>
      </c>
      <c r="C5417" s="1" t="s">
        <v>5</v>
      </c>
    </row>
    <row r="5418" spans="1:3" x14ac:dyDescent="0.25">
      <c r="A5418" s="1" t="s">
        <v>10837</v>
      </c>
      <c r="B5418" s="1" t="s">
        <v>10838</v>
      </c>
      <c r="C5418" s="1" t="s">
        <v>5</v>
      </c>
    </row>
    <row r="5419" spans="1:3" x14ac:dyDescent="0.25">
      <c r="A5419" s="1" t="s">
        <v>10839</v>
      </c>
      <c r="B5419" s="1" t="s">
        <v>10840</v>
      </c>
      <c r="C5419" s="1" t="s">
        <v>5</v>
      </c>
    </row>
    <row r="5420" spans="1:3" x14ac:dyDescent="0.25">
      <c r="A5420" s="1" t="s">
        <v>10841</v>
      </c>
      <c r="B5420" s="1" t="s">
        <v>10842</v>
      </c>
      <c r="C5420" s="1" t="s">
        <v>5</v>
      </c>
    </row>
    <row r="5421" spans="1:3" x14ac:dyDescent="0.25">
      <c r="A5421" s="1" t="s">
        <v>10843</v>
      </c>
      <c r="B5421" s="1" t="s">
        <v>10844</v>
      </c>
      <c r="C5421" s="1" t="s">
        <v>5</v>
      </c>
    </row>
    <row r="5422" spans="1:3" x14ac:dyDescent="0.25">
      <c r="A5422" s="1" t="s">
        <v>10845</v>
      </c>
      <c r="B5422" s="1" t="s">
        <v>10846</v>
      </c>
      <c r="C5422" s="1" t="s">
        <v>5</v>
      </c>
    </row>
    <row r="5423" spans="1:3" x14ac:dyDescent="0.25">
      <c r="A5423" s="1" t="s">
        <v>10847</v>
      </c>
      <c r="B5423" s="1" t="s">
        <v>10848</v>
      </c>
      <c r="C5423" s="1" t="s">
        <v>5</v>
      </c>
    </row>
    <row r="5424" spans="1:3" x14ac:dyDescent="0.25">
      <c r="A5424" s="1" t="s">
        <v>10849</v>
      </c>
      <c r="B5424" s="1" t="s">
        <v>10850</v>
      </c>
      <c r="C5424" s="1" t="s">
        <v>5</v>
      </c>
    </row>
    <row r="5425" spans="1:3" x14ac:dyDescent="0.25">
      <c r="A5425" s="1" t="s">
        <v>10851</v>
      </c>
      <c r="B5425" s="1" t="s">
        <v>10852</v>
      </c>
      <c r="C5425" s="1" t="s">
        <v>5</v>
      </c>
    </row>
    <row r="5426" spans="1:3" x14ac:dyDescent="0.25">
      <c r="A5426" s="1" t="s">
        <v>10853</v>
      </c>
      <c r="B5426" s="1" t="s">
        <v>10854</v>
      </c>
      <c r="C5426" s="1" t="s">
        <v>5</v>
      </c>
    </row>
    <row r="5427" spans="1:3" x14ac:dyDescent="0.25">
      <c r="A5427" s="1" t="s">
        <v>10855</v>
      </c>
      <c r="B5427" s="1" t="s">
        <v>10856</v>
      </c>
      <c r="C5427" s="1" t="s">
        <v>5</v>
      </c>
    </row>
    <row r="5428" spans="1:3" x14ac:dyDescent="0.25">
      <c r="A5428" s="1" t="s">
        <v>10857</v>
      </c>
      <c r="B5428" s="1" t="s">
        <v>10858</v>
      </c>
      <c r="C5428" s="1" t="s">
        <v>5</v>
      </c>
    </row>
    <row r="5429" spans="1:3" x14ac:dyDescent="0.25">
      <c r="A5429" s="1" t="s">
        <v>10859</v>
      </c>
      <c r="B5429" s="1" t="s">
        <v>10860</v>
      </c>
      <c r="C5429" s="1" t="s">
        <v>5</v>
      </c>
    </row>
    <row r="5430" spans="1:3" x14ac:dyDescent="0.25">
      <c r="A5430" s="1" t="s">
        <v>10861</v>
      </c>
      <c r="B5430" s="1" t="s">
        <v>10862</v>
      </c>
      <c r="C5430" s="1" t="s">
        <v>5</v>
      </c>
    </row>
    <row r="5431" spans="1:3" x14ac:dyDescent="0.25">
      <c r="A5431" s="1" t="s">
        <v>10863</v>
      </c>
      <c r="B5431" s="1" t="s">
        <v>10864</v>
      </c>
      <c r="C5431" s="1" t="s">
        <v>5</v>
      </c>
    </row>
    <row r="5432" spans="1:3" x14ac:dyDescent="0.25">
      <c r="A5432" s="1" t="s">
        <v>10865</v>
      </c>
      <c r="B5432" s="1" t="s">
        <v>10866</v>
      </c>
      <c r="C5432" s="1" t="s">
        <v>5</v>
      </c>
    </row>
    <row r="5433" spans="1:3" x14ac:dyDescent="0.25">
      <c r="A5433" s="1" t="s">
        <v>10867</v>
      </c>
      <c r="B5433" s="1" t="s">
        <v>10868</v>
      </c>
      <c r="C5433" s="1" t="s">
        <v>5</v>
      </c>
    </row>
    <row r="5434" spans="1:3" x14ac:dyDescent="0.25">
      <c r="A5434" s="1" t="s">
        <v>10869</v>
      </c>
      <c r="B5434" s="1" t="s">
        <v>10870</v>
      </c>
      <c r="C5434" s="1" t="s">
        <v>5</v>
      </c>
    </row>
    <row r="5435" spans="1:3" x14ac:dyDescent="0.25">
      <c r="A5435" s="1" t="s">
        <v>10871</v>
      </c>
      <c r="B5435" s="1" t="s">
        <v>10872</v>
      </c>
      <c r="C5435" s="1" t="s">
        <v>5</v>
      </c>
    </row>
    <row r="5436" spans="1:3" x14ac:dyDescent="0.25">
      <c r="A5436" s="1" t="s">
        <v>10873</v>
      </c>
      <c r="B5436" s="1" t="s">
        <v>10874</v>
      </c>
      <c r="C5436" s="1" t="s">
        <v>5</v>
      </c>
    </row>
    <row r="5437" spans="1:3" x14ac:dyDescent="0.25">
      <c r="A5437" s="1" t="s">
        <v>10875</v>
      </c>
      <c r="B5437" s="1" t="s">
        <v>10876</v>
      </c>
      <c r="C5437" s="1" t="s">
        <v>5</v>
      </c>
    </row>
    <row r="5438" spans="1:3" x14ac:dyDescent="0.25">
      <c r="A5438" s="1" t="s">
        <v>10877</v>
      </c>
      <c r="B5438" s="1" t="s">
        <v>10878</v>
      </c>
      <c r="C5438" s="1" t="s">
        <v>5</v>
      </c>
    </row>
    <row r="5439" spans="1:3" x14ac:dyDescent="0.25">
      <c r="A5439" s="1" t="s">
        <v>10879</v>
      </c>
      <c r="B5439" s="1" t="s">
        <v>10880</v>
      </c>
      <c r="C5439" s="1" t="s">
        <v>5</v>
      </c>
    </row>
    <row r="5440" spans="1:3" x14ac:dyDescent="0.25">
      <c r="A5440" s="1" t="s">
        <v>10881</v>
      </c>
      <c r="B5440" s="1" t="s">
        <v>10882</v>
      </c>
      <c r="C5440" s="1" t="s">
        <v>5</v>
      </c>
    </row>
    <row r="5441" spans="1:3" x14ac:dyDescent="0.25">
      <c r="A5441" s="1" t="s">
        <v>10883</v>
      </c>
      <c r="B5441" s="1" t="s">
        <v>10884</v>
      </c>
      <c r="C5441" s="1" t="s">
        <v>5</v>
      </c>
    </row>
    <row r="5442" spans="1:3" x14ac:dyDescent="0.25">
      <c r="A5442" s="1" t="s">
        <v>10885</v>
      </c>
      <c r="B5442" s="1" t="s">
        <v>10886</v>
      </c>
      <c r="C5442" s="1" t="s">
        <v>5</v>
      </c>
    </row>
    <row r="5443" spans="1:3" x14ac:dyDescent="0.25">
      <c r="A5443" s="1" t="s">
        <v>10887</v>
      </c>
      <c r="B5443" s="1" t="s">
        <v>10888</v>
      </c>
      <c r="C5443" s="1" t="s">
        <v>5</v>
      </c>
    </row>
    <row r="5444" spans="1:3" x14ac:dyDescent="0.25">
      <c r="A5444" s="1" t="s">
        <v>10889</v>
      </c>
      <c r="B5444" s="1" t="s">
        <v>10890</v>
      </c>
      <c r="C5444" s="1" t="s">
        <v>5</v>
      </c>
    </row>
    <row r="5445" spans="1:3" x14ac:dyDescent="0.25">
      <c r="A5445" s="1" t="s">
        <v>10891</v>
      </c>
      <c r="B5445" s="1" t="s">
        <v>10892</v>
      </c>
      <c r="C5445" s="1" t="s">
        <v>5</v>
      </c>
    </row>
    <row r="5446" spans="1:3" x14ac:dyDescent="0.25">
      <c r="A5446" s="1" t="s">
        <v>10893</v>
      </c>
      <c r="B5446" s="1" t="s">
        <v>10894</v>
      </c>
      <c r="C5446" s="1" t="s">
        <v>5</v>
      </c>
    </row>
    <row r="5447" spans="1:3" x14ac:dyDescent="0.25">
      <c r="A5447" s="1" t="s">
        <v>10895</v>
      </c>
      <c r="B5447" s="1" t="s">
        <v>10896</v>
      </c>
      <c r="C5447" s="1" t="s">
        <v>5</v>
      </c>
    </row>
    <row r="5448" spans="1:3" x14ac:dyDescent="0.25">
      <c r="A5448" s="1" t="s">
        <v>10897</v>
      </c>
      <c r="B5448" s="1" t="s">
        <v>10898</v>
      </c>
      <c r="C5448" s="1" t="s">
        <v>5</v>
      </c>
    </row>
    <row r="5449" spans="1:3" x14ac:dyDescent="0.25">
      <c r="A5449" s="1" t="s">
        <v>10899</v>
      </c>
      <c r="B5449" s="1" t="s">
        <v>10900</v>
      </c>
      <c r="C5449" s="1" t="s">
        <v>5</v>
      </c>
    </row>
    <row r="5450" spans="1:3" x14ac:dyDescent="0.25">
      <c r="A5450" s="1" t="s">
        <v>10901</v>
      </c>
      <c r="B5450" s="1" t="s">
        <v>10902</v>
      </c>
      <c r="C5450" s="1" t="s">
        <v>5</v>
      </c>
    </row>
    <row r="5451" spans="1:3" x14ac:dyDescent="0.25">
      <c r="A5451" s="1" t="s">
        <v>10903</v>
      </c>
      <c r="B5451" s="1" t="s">
        <v>10904</v>
      </c>
      <c r="C5451" s="1" t="s">
        <v>5</v>
      </c>
    </row>
    <row r="5452" spans="1:3" x14ac:dyDescent="0.25">
      <c r="A5452" s="1" t="s">
        <v>10905</v>
      </c>
      <c r="B5452" s="1" t="s">
        <v>10906</v>
      </c>
      <c r="C5452" s="1" t="s">
        <v>5</v>
      </c>
    </row>
    <row r="5453" spans="1:3" x14ac:dyDescent="0.25">
      <c r="A5453" s="1" t="s">
        <v>10907</v>
      </c>
      <c r="B5453" s="1" t="s">
        <v>10908</v>
      </c>
      <c r="C5453" s="1" t="s">
        <v>5</v>
      </c>
    </row>
    <row r="5454" spans="1:3" x14ac:dyDescent="0.25">
      <c r="A5454" s="1" t="s">
        <v>10909</v>
      </c>
      <c r="B5454" s="1" t="s">
        <v>10910</v>
      </c>
      <c r="C5454" s="1" t="s">
        <v>5</v>
      </c>
    </row>
    <row r="5455" spans="1:3" x14ac:dyDescent="0.25">
      <c r="A5455" s="1" t="s">
        <v>10911</v>
      </c>
      <c r="B5455" s="1" t="s">
        <v>10912</v>
      </c>
      <c r="C5455" s="1" t="s">
        <v>5</v>
      </c>
    </row>
    <row r="5456" spans="1:3" x14ac:dyDescent="0.25">
      <c r="A5456" s="1" t="s">
        <v>10913</v>
      </c>
      <c r="B5456" s="1" t="s">
        <v>10914</v>
      </c>
      <c r="C5456" s="1" t="s">
        <v>5</v>
      </c>
    </row>
    <row r="5457" spans="1:3" x14ac:dyDescent="0.25">
      <c r="A5457" s="1" t="s">
        <v>10915</v>
      </c>
      <c r="B5457" s="1" t="s">
        <v>10916</v>
      </c>
      <c r="C5457" s="1" t="s">
        <v>5</v>
      </c>
    </row>
    <row r="5458" spans="1:3" x14ac:dyDescent="0.25">
      <c r="A5458" s="1" t="s">
        <v>10917</v>
      </c>
      <c r="B5458" s="1" t="s">
        <v>10918</v>
      </c>
      <c r="C5458" s="1" t="s">
        <v>5</v>
      </c>
    </row>
    <row r="5459" spans="1:3" x14ac:dyDescent="0.25">
      <c r="A5459" s="1" t="s">
        <v>10919</v>
      </c>
      <c r="B5459" s="1" t="s">
        <v>10920</v>
      </c>
      <c r="C5459" s="1" t="s">
        <v>5</v>
      </c>
    </row>
    <row r="5460" spans="1:3" x14ac:dyDescent="0.25">
      <c r="A5460" s="1" t="s">
        <v>10921</v>
      </c>
      <c r="B5460" s="1" t="s">
        <v>10922</v>
      </c>
      <c r="C5460" s="1" t="s">
        <v>5</v>
      </c>
    </row>
    <row r="5461" spans="1:3" x14ac:dyDescent="0.25">
      <c r="A5461" s="1" t="s">
        <v>10923</v>
      </c>
      <c r="B5461" s="1" t="s">
        <v>10924</v>
      </c>
      <c r="C5461" s="1" t="s">
        <v>5</v>
      </c>
    </row>
    <row r="5462" spans="1:3" x14ac:dyDescent="0.25">
      <c r="A5462" s="1" t="s">
        <v>10925</v>
      </c>
      <c r="B5462" s="1" t="s">
        <v>10926</v>
      </c>
      <c r="C5462" s="1" t="s">
        <v>5</v>
      </c>
    </row>
    <row r="5463" spans="1:3" x14ac:dyDescent="0.25">
      <c r="A5463" s="1" t="s">
        <v>10927</v>
      </c>
      <c r="B5463" s="1" t="s">
        <v>10928</v>
      </c>
      <c r="C5463" s="1" t="s">
        <v>5</v>
      </c>
    </row>
    <row r="5464" spans="1:3" x14ac:dyDescent="0.25">
      <c r="A5464" s="1" t="s">
        <v>10929</v>
      </c>
      <c r="B5464" s="1" t="s">
        <v>10930</v>
      </c>
      <c r="C5464" s="1" t="s">
        <v>5</v>
      </c>
    </row>
    <row r="5465" spans="1:3" x14ac:dyDescent="0.25">
      <c r="A5465" s="1" t="s">
        <v>10931</v>
      </c>
      <c r="B5465" s="1" t="s">
        <v>10932</v>
      </c>
      <c r="C5465" s="1" t="s">
        <v>5</v>
      </c>
    </row>
    <row r="5466" spans="1:3" x14ac:dyDescent="0.25">
      <c r="A5466" s="1" t="s">
        <v>10933</v>
      </c>
      <c r="B5466" s="1" t="s">
        <v>10934</v>
      </c>
      <c r="C5466" s="1" t="s">
        <v>5</v>
      </c>
    </row>
    <row r="5467" spans="1:3" x14ac:dyDescent="0.25">
      <c r="A5467" s="1" t="s">
        <v>10935</v>
      </c>
      <c r="B5467" s="1" t="s">
        <v>10936</v>
      </c>
      <c r="C5467" s="1" t="s">
        <v>5</v>
      </c>
    </row>
    <row r="5468" spans="1:3" x14ac:dyDescent="0.25">
      <c r="A5468" s="1" t="s">
        <v>10937</v>
      </c>
      <c r="B5468" s="1" t="s">
        <v>10938</v>
      </c>
      <c r="C5468" s="1" t="s">
        <v>5</v>
      </c>
    </row>
    <row r="5469" spans="1:3" x14ac:dyDescent="0.25">
      <c r="A5469" s="1" t="s">
        <v>10939</v>
      </c>
      <c r="B5469" s="1" t="s">
        <v>10940</v>
      </c>
      <c r="C5469" s="1" t="s">
        <v>5</v>
      </c>
    </row>
    <row r="5470" spans="1:3" x14ac:dyDescent="0.25">
      <c r="A5470" s="1" t="s">
        <v>10941</v>
      </c>
      <c r="B5470" s="1" t="s">
        <v>10942</v>
      </c>
      <c r="C5470" s="1" t="s">
        <v>5</v>
      </c>
    </row>
    <row r="5471" spans="1:3" x14ac:dyDescent="0.25">
      <c r="A5471" s="1" t="s">
        <v>10943</v>
      </c>
      <c r="B5471" s="1" t="s">
        <v>10944</v>
      </c>
      <c r="C5471" s="1" t="s">
        <v>5</v>
      </c>
    </row>
    <row r="5472" spans="1:3" x14ac:dyDescent="0.25">
      <c r="A5472" s="1" t="s">
        <v>10945</v>
      </c>
      <c r="B5472" s="1" t="s">
        <v>10946</v>
      </c>
      <c r="C5472" s="1" t="s">
        <v>5</v>
      </c>
    </row>
    <row r="5473" spans="1:3" x14ac:dyDescent="0.25">
      <c r="A5473" s="1" t="s">
        <v>10947</v>
      </c>
      <c r="B5473" s="1" t="s">
        <v>10948</v>
      </c>
      <c r="C5473" s="1" t="s">
        <v>5</v>
      </c>
    </row>
    <row r="5474" spans="1:3" x14ac:dyDescent="0.25">
      <c r="A5474" s="1" t="s">
        <v>10949</v>
      </c>
      <c r="B5474" s="1" t="s">
        <v>10950</v>
      </c>
      <c r="C5474" s="1" t="s">
        <v>5</v>
      </c>
    </row>
    <row r="5475" spans="1:3" x14ac:dyDescent="0.25">
      <c r="A5475" s="1" t="s">
        <v>10951</v>
      </c>
      <c r="B5475" s="1" t="s">
        <v>10952</v>
      </c>
      <c r="C5475" s="1" t="s">
        <v>5</v>
      </c>
    </row>
    <row r="5476" spans="1:3" x14ac:dyDescent="0.25">
      <c r="A5476" s="1" t="s">
        <v>10953</v>
      </c>
      <c r="B5476" s="1" t="s">
        <v>10954</v>
      </c>
      <c r="C5476" s="1" t="s">
        <v>5</v>
      </c>
    </row>
    <row r="5477" spans="1:3" x14ac:dyDescent="0.25">
      <c r="A5477" s="1" t="s">
        <v>10955</v>
      </c>
      <c r="B5477" s="1" t="s">
        <v>10956</v>
      </c>
      <c r="C5477" s="1" t="s">
        <v>5</v>
      </c>
    </row>
    <row r="5478" spans="1:3" x14ac:dyDescent="0.25">
      <c r="A5478" s="1" t="s">
        <v>10957</v>
      </c>
      <c r="B5478" s="1" t="s">
        <v>10958</v>
      </c>
      <c r="C5478" s="1" t="s">
        <v>5</v>
      </c>
    </row>
    <row r="5479" spans="1:3" x14ac:dyDescent="0.25">
      <c r="A5479" s="1" t="s">
        <v>10959</v>
      </c>
      <c r="B5479" s="1" t="s">
        <v>10960</v>
      </c>
      <c r="C5479" s="1" t="s">
        <v>5</v>
      </c>
    </row>
    <row r="5480" spans="1:3" x14ac:dyDescent="0.25">
      <c r="A5480" s="1" t="s">
        <v>10961</v>
      </c>
      <c r="B5480" s="1" t="s">
        <v>10962</v>
      </c>
      <c r="C5480" s="1" t="s">
        <v>5</v>
      </c>
    </row>
    <row r="5481" spans="1:3" x14ac:dyDescent="0.25">
      <c r="A5481" s="1" t="s">
        <v>10963</v>
      </c>
      <c r="B5481" s="1" t="s">
        <v>10964</v>
      </c>
      <c r="C5481" s="1" t="s">
        <v>5</v>
      </c>
    </row>
    <row r="5482" spans="1:3" x14ac:dyDescent="0.25">
      <c r="A5482" s="1" t="s">
        <v>10965</v>
      </c>
      <c r="B5482" s="1" t="s">
        <v>10966</v>
      </c>
      <c r="C5482" s="1" t="s">
        <v>5</v>
      </c>
    </row>
    <row r="5483" spans="1:3" x14ac:dyDescent="0.25">
      <c r="A5483" s="1" t="s">
        <v>10967</v>
      </c>
      <c r="B5483" s="1" t="s">
        <v>10968</v>
      </c>
      <c r="C5483" s="1" t="s">
        <v>5</v>
      </c>
    </row>
    <row r="5484" spans="1:3" x14ac:dyDescent="0.25">
      <c r="A5484" s="1" t="s">
        <v>10969</v>
      </c>
      <c r="B5484" s="1" t="s">
        <v>10970</v>
      </c>
      <c r="C5484" s="1" t="s">
        <v>5</v>
      </c>
    </row>
    <row r="5485" spans="1:3" x14ac:dyDescent="0.25">
      <c r="A5485" s="1" t="s">
        <v>10971</v>
      </c>
      <c r="B5485" s="1" t="s">
        <v>10972</v>
      </c>
      <c r="C5485" s="1" t="s">
        <v>5</v>
      </c>
    </row>
    <row r="5486" spans="1:3" x14ac:dyDescent="0.25">
      <c r="A5486" s="1" t="s">
        <v>10973</v>
      </c>
      <c r="B5486" s="1" t="s">
        <v>10974</v>
      </c>
      <c r="C5486" s="1" t="s">
        <v>5</v>
      </c>
    </row>
    <row r="5487" spans="1:3" x14ac:dyDescent="0.25">
      <c r="A5487" s="1" t="s">
        <v>10975</v>
      </c>
      <c r="B5487" s="1" t="s">
        <v>10976</v>
      </c>
      <c r="C5487" s="1" t="s">
        <v>5</v>
      </c>
    </row>
    <row r="5488" spans="1:3" x14ac:dyDescent="0.25">
      <c r="A5488" s="1" t="s">
        <v>10977</v>
      </c>
      <c r="B5488" s="1" t="s">
        <v>10978</v>
      </c>
      <c r="C5488" s="1" t="s">
        <v>5</v>
      </c>
    </row>
    <row r="5489" spans="1:3" x14ac:dyDescent="0.25">
      <c r="A5489" s="1" t="s">
        <v>10979</v>
      </c>
      <c r="B5489" s="1" t="s">
        <v>10980</v>
      </c>
      <c r="C5489" s="1" t="s">
        <v>5</v>
      </c>
    </row>
    <row r="5490" spans="1:3" x14ac:dyDescent="0.25">
      <c r="A5490" s="1" t="s">
        <v>10981</v>
      </c>
      <c r="B5490" s="1" t="s">
        <v>10982</v>
      </c>
      <c r="C5490" s="1" t="s">
        <v>5</v>
      </c>
    </row>
    <row r="5491" spans="1:3" x14ac:dyDescent="0.25">
      <c r="A5491" s="1" t="s">
        <v>10983</v>
      </c>
      <c r="B5491" s="1" t="s">
        <v>10984</v>
      </c>
      <c r="C5491" s="1" t="s">
        <v>5</v>
      </c>
    </row>
    <row r="5492" spans="1:3" x14ac:dyDescent="0.25">
      <c r="A5492" s="1" t="s">
        <v>10985</v>
      </c>
      <c r="B5492" s="1" t="s">
        <v>10986</v>
      </c>
      <c r="C5492" s="1" t="s">
        <v>5</v>
      </c>
    </row>
    <row r="5493" spans="1:3" x14ac:dyDescent="0.25">
      <c r="A5493" s="1" t="s">
        <v>10987</v>
      </c>
      <c r="B5493" s="1" t="s">
        <v>10988</v>
      </c>
      <c r="C5493" s="1" t="s">
        <v>5</v>
      </c>
    </row>
    <row r="5494" spans="1:3" x14ac:dyDescent="0.25">
      <c r="A5494" s="1" t="s">
        <v>10989</v>
      </c>
      <c r="B5494" s="1" t="s">
        <v>10990</v>
      </c>
      <c r="C5494" s="1" t="s">
        <v>5</v>
      </c>
    </row>
    <row r="5495" spans="1:3" x14ac:dyDescent="0.25">
      <c r="A5495" s="1" t="s">
        <v>10991</v>
      </c>
      <c r="B5495" s="1" t="s">
        <v>10992</v>
      </c>
      <c r="C5495" s="1" t="s">
        <v>5</v>
      </c>
    </row>
    <row r="5496" spans="1:3" x14ac:dyDescent="0.25">
      <c r="A5496" s="1" t="s">
        <v>10993</v>
      </c>
      <c r="B5496" s="1" t="s">
        <v>10994</v>
      </c>
      <c r="C5496" s="1" t="s">
        <v>5</v>
      </c>
    </row>
    <row r="5497" spans="1:3" x14ac:dyDescent="0.25">
      <c r="A5497" s="1" t="s">
        <v>10995</v>
      </c>
      <c r="B5497" s="1" t="s">
        <v>10996</v>
      </c>
      <c r="C5497" s="1" t="s">
        <v>5</v>
      </c>
    </row>
    <row r="5498" spans="1:3" x14ac:dyDescent="0.25">
      <c r="A5498" s="1" t="s">
        <v>10997</v>
      </c>
      <c r="B5498" s="1" t="s">
        <v>10998</v>
      </c>
      <c r="C5498" s="1" t="s">
        <v>5</v>
      </c>
    </row>
    <row r="5499" spans="1:3" x14ac:dyDescent="0.25">
      <c r="A5499" s="1" t="s">
        <v>10999</v>
      </c>
      <c r="B5499" s="1" t="s">
        <v>11000</v>
      </c>
      <c r="C5499" s="1" t="s">
        <v>5</v>
      </c>
    </row>
    <row r="5500" spans="1:3" x14ac:dyDescent="0.25">
      <c r="A5500" s="1" t="s">
        <v>11001</v>
      </c>
      <c r="B5500" s="1" t="s">
        <v>11002</v>
      </c>
      <c r="C5500" s="1" t="s">
        <v>5</v>
      </c>
    </row>
    <row r="5501" spans="1:3" x14ac:dyDescent="0.25">
      <c r="A5501" s="1" t="s">
        <v>11003</v>
      </c>
      <c r="B5501" s="1" t="s">
        <v>11004</v>
      </c>
      <c r="C5501" s="1" t="s">
        <v>5</v>
      </c>
    </row>
    <row r="5502" spans="1:3" x14ac:dyDescent="0.25">
      <c r="A5502" s="1" t="s">
        <v>11005</v>
      </c>
      <c r="B5502" s="1" t="s">
        <v>11006</v>
      </c>
      <c r="C5502" s="1" t="s">
        <v>5</v>
      </c>
    </row>
    <row r="5503" spans="1:3" x14ac:dyDescent="0.25">
      <c r="A5503" s="1" t="s">
        <v>11007</v>
      </c>
      <c r="B5503" s="1" t="s">
        <v>11008</v>
      </c>
      <c r="C5503" s="1" t="s">
        <v>5</v>
      </c>
    </row>
    <row r="5504" spans="1:3" x14ac:dyDescent="0.25">
      <c r="A5504" s="1" t="s">
        <v>11009</v>
      </c>
      <c r="B5504" s="1" t="s">
        <v>11010</v>
      </c>
      <c r="C5504" s="1" t="s">
        <v>5</v>
      </c>
    </row>
    <row r="5505" spans="1:3" x14ac:dyDescent="0.25">
      <c r="A5505" s="1" t="s">
        <v>11011</v>
      </c>
      <c r="B5505" s="1" t="s">
        <v>11012</v>
      </c>
      <c r="C5505" s="1" t="s">
        <v>5</v>
      </c>
    </row>
    <row r="5506" spans="1:3" x14ac:dyDescent="0.25">
      <c r="A5506" s="1" t="s">
        <v>11013</v>
      </c>
      <c r="B5506" s="1" t="s">
        <v>11014</v>
      </c>
      <c r="C5506" s="1" t="s">
        <v>5</v>
      </c>
    </row>
    <row r="5507" spans="1:3" x14ac:dyDescent="0.25">
      <c r="A5507" s="1" t="s">
        <v>11015</v>
      </c>
      <c r="B5507" s="1" t="s">
        <v>11016</v>
      </c>
      <c r="C5507" s="1" t="s">
        <v>5</v>
      </c>
    </row>
    <row r="5508" spans="1:3" x14ac:dyDescent="0.25">
      <c r="A5508" s="1" t="s">
        <v>11017</v>
      </c>
      <c r="B5508" s="1" t="s">
        <v>11018</v>
      </c>
      <c r="C5508" s="1" t="s">
        <v>5</v>
      </c>
    </row>
    <row r="5509" spans="1:3" x14ac:dyDescent="0.25">
      <c r="A5509" s="1" t="s">
        <v>11019</v>
      </c>
      <c r="B5509" s="1" t="s">
        <v>11020</v>
      </c>
      <c r="C5509" s="1" t="s">
        <v>5</v>
      </c>
    </row>
    <row r="5510" spans="1:3" x14ac:dyDescent="0.25">
      <c r="A5510" s="1" t="s">
        <v>11021</v>
      </c>
      <c r="B5510" s="1" t="s">
        <v>11022</v>
      </c>
      <c r="C5510" s="1" t="s">
        <v>5</v>
      </c>
    </row>
    <row r="5511" spans="1:3" x14ac:dyDescent="0.25">
      <c r="A5511" s="1" t="s">
        <v>11023</v>
      </c>
      <c r="B5511" s="1" t="s">
        <v>11024</v>
      </c>
      <c r="C5511" s="1" t="s">
        <v>5</v>
      </c>
    </row>
    <row r="5512" spans="1:3" x14ac:dyDescent="0.25">
      <c r="A5512" s="1" t="s">
        <v>11025</v>
      </c>
      <c r="B5512" s="1" t="s">
        <v>11026</v>
      </c>
      <c r="C5512" s="1" t="s">
        <v>5</v>
      </c>
    </row>
    <row r="5513" spans="1:3" x14ac:dyDescent="0.25">
      <c r="A5513" s="1" t="s">
        <v>11027</v>
      </c>
      <c r="B5513" s="1" t="s">
        <v>11028</v>
      </c>
      <c r="C5513" s="1" t="s">
        <v>5</v>
      </c>
    </row>
    <row r="5514" spans="1:3" x14ac:dyDescent="0.25">
      <c r="A5514" s="1" t="s">
        <v>11029</v>
      </c>
      <c r="B5514" s="1" t="s">
        <v>11030</v>
      </c>
      <c r="C5514" s="1" t="s">
        <v>5</v>
      </c>
    </row>
    <row r="5515" spans="1:3" x14ac:dyDescent="0.25">
      <c r="A5515" s="1" t="s">
        <v>11031</v>
      </c>
      <c r="B5515" s="1" t="s">
        <v>11032</v>
      </c>
      <c r="C5515" s="1" t="s">
        <v>5</v>
      </c>
    </row>
    <row r="5516" spans="1:3" x14ac:dyDescent="0.25">
      <c r="A5516" s="1" t="s">
        <v>11033</v>
      </c>
      <c r="B5516" s="1" t="s">
        <v>11034</v>
      </c>
      <c r="C5516" s="1" t="s">
        <v>5</v>
      </c>
    </row>
    <row r="5517" spans="1:3" x14ac:dyDescent="0.25">
      <c r="A5517" s="1" t="s">
        <v>11035</v>
      </c>
      <c r="B5517" s="1" t="s">
        <v>11036</v>
      </c>
      <c r="C5517" s="1" t="s">
        <v>5</v>
      </c>
    </row>
    <row r="5518" spans="1:3" x14ac:dyDescent="0.25">
      <c r="A5518" s="1" t="s">
        <v>11037</v>
      </c>
      <c r="B5518" s="1" t="s">
        <v>11038</v>
      </c>
      <c r="C5518" s="1" t="s">
        <v>5</v>
      </c>
    </row>
    <row r="5519" spans="1:3" x14ac:dyDescent="0.25">
      <c r="A5519" s="1" t="s">
        <v>11039</v>
      </c>
      <c r="B5519" s="1" t="s">
        <v>11040</v>
      </c>
      <c r="C5519" s="1" t="s">
        <v>5</v>
      </c>
    </row>
    <row r="5520" spans="1:3" x14ac:dyDescent="0.25">
      <c r="A5520" s="1" t="s">
        <v>11041</v>
      </c>
      <c r="B5520" s="1" t="s">
        <v>11042</v>
      </c>
      <c r="C5520" s="1" t="s">
        <v>5</v>
      </c>
    </row>
    <row r="5521" spans="1:3" x14ac:dyDescent="0.25">
      <c r="A5521" s="1" t="s">
        <v>11043</v>
      </c>
      <c r="B5521" s="1" t="s">
        <v>11044</v>
      </c>
      <c r="C5521" s="1" t="s">
        <v>5</v>
      </c>
    </row>
    <row r="5522" spans="1:3" x14ac:dyDescent="0.25">
      <c r="A5522" s="1" t="s">
        <v>11045</v>
      </c>
      <c r="B5522" s="1" t="s">
        <v>11046</v>
      </c>
      <c r="C5522" s="1" t="s">
        <v>5</v>
      </c>
    </row>
    <row r="5523" spans="1:3" x14ac:dyDescent="0.25">
      <c r="A5523" s="1" t="s">
        <v>11047</v>
      </c>
      <c r="B5523" s="1" t="s">
        <v>11048</v>
      </c>
      <c r="C5523" s="1" t="s">
        <v>5</v>
      </c>
    </row>
    <row r="5524" spans="1:3" x14ac:dyDescent="0.25">
      <c r="A5524" s="1" t="s">
        <v>11049</v>
      </c>
      <c r="B5524" s="1" t="s">
        <v>11050</v>
      </c>
      <c r="C5524" s="1" t="s">
        <v>5</v>
      </c>
    </row>
    <row r="5525" spans="1:3" x14ac:dyDescent="0.25">
      <c r="A5525" s="1" t="s">
        <v>11051</v>
      </c>
      <c r="B5525" s="1" t="s">
        <v>11052</v>
      </c>
      <c r="C5525" s="1" t="s">
        <v>5</v>
      </c>
    </row>
    <row r="5526" spans="1:3" x14ac:dyDescent="0.25">
      <c r="A5526" s="1" t="s">
        <v>11053</v>
      </c>
      <c r="B5526" s="1" t="s">
        <v>11054</v>
      </c>
      <c r="C5526" s="1" t="s">
        <v>5</v>
      </c>
    </row>
    <row r="5527" spans="1:3" x14ac:dyDescent="0.25">
      <c r="A5527" s="1" t="s">
        <v>11055</v>
      </c>
      <c r="B5527" s="1" t="s">
        <v>11056</v>
      </c>
      <c r="C5527" s="1" t="s">
        <v>5</v>
      </c>
    </row>
    <row r="5528" spans="1:3" x14ac:dyDescent="0.25">
      <c r="A5528" s="1" t="s">
        <v>11057</v>
      </c>
      <c r="B5528" s="1" t="s">
        <v>11058</v>
      </c>
      <c r="C5528" s="1" t="s">
        <v>5</v>
      </c>
    </row>
    <row r="5529" spans="1:3" x14ac:dyDescent="0.25">
      <c r="A5529" s="1" t="s">
        <v>11059</v>
      </c>
      <c r="B5529" s="1" t="s">
        <v>11060</v>
      </c>
      <c r="C5529" s="1" t="s">
        <v>5</v>
      </c>
    </row>
    <row r="5530" spans="1:3" x14ac:dyDescent="0.25">
      <c r="A5530" s="1" t="s">
        <v>11061</v>
      </c>
      <c r="B5530" s="1" t="s">
        <v>11062</v>
      </c>
      <c r="C5530" s="1" t="s">
        <v>5</v>
      </c>
    </row>
    <row r="5531" spans="1:3" x14ac:dyDescent="0.25">
      <c r="A5531" s="1" t="s">
        <v>11063</v>
      </c>
      <c r="B5531" s="1" t="s">
        <v>11064</v>
      </c>
      <c r="C5531" s="1" t="s">
        <v>5</v>
      </c>
    </row>
    <row r="5532" spans="1:3" x14ac:dyDescent="0.25">
      <c r="A5532" s="1" t="s">
        <v>11065</v>
      </c>
      <c r="B5532" s="1" t="s">
        <v>11066</v>
      </c>
      <c r="C5532" s="1" t="s">
        <v>5</v>
      </c>
    </row>
    <row r="5533" spans="1:3" x14ac:dyDescent="0.25">
      <c r="A5533" s="1" t="s">
        <v>11067</v>
      </c>
      <c r="B5533" s="1" t="s">
        <v>11068</v>
      </c>
      <c r="C5533" s="1" t="s">
        <v>5</v>
      </c>
    </row>
    <row r="5534" spans="1:3" x14ac:dyDescent="0.25">
      <c r="A5534" s="1" t="s">
        <v>11069</v>
      </c>
      <c r="B5534" s="1" t="s">
        <v>11070</v>
      </c>
      <c r="C5534" s="1" t="s">
        <v>5</v>
      </c>
    </row>
    <row r="5535" spans="1:3" x14ac:dyDescent="0.25">
      <c r="A5535" s="1" t="s">
        <v>11071</v>
      </c>
      <c r="B5535" s="1" t="s">
        <v>11072</v>
      </c>
      <c r="C5535" s="1" t="s">
        <v>5</v>
      </c>
    </row>
    <row r="5536" spans="1:3" x14ac:dyDescent="0.25">
      <c r="A5536" s="1" t="s">
        <v>11073</v>
      </c>
      <c r="B5536" s="1" t="s">
        <v>11074</v>
      </c>
      <c r="C5536" s="1" t="s">
        <v>5</v>
      </c>
    </row>
    <row r="5537" spans="1:3" x14ac:dyDescent="0.25">
      <c r="A5537" s="1" t="s">
        <v>11075</v>
      </c>
      <c r="B5537" s="1" t="s">
        <v>11076</v>
      </c>
      <c r="C5537" s="1" t="s">
        <v>5</v>
      </c>
    </row>
    <row r="5538" spans="1:3" x14ac:dyDescent="0.25">
      <c r="A5538" s="1" t="s">
        <v>11077</v>
      </c>
      <c r="B5538" s="1" t="s">
        <v>11078</v>
      </c>
      <c r="C5538" s="1" t="s">
        <v>5</v>
      </c>
    </row>
    <row r="5539" spans="1:3" x14ac:dyDescent="0.25">
      <c r="A5539" s="1" t="s">
        <v>11079</v>
      </c>
      <c r="B5539" s="1" t="s">
        <v>11080</v>
      </c>
      <c r="C5539" s="1" t="s">
        <v>5</v>
      </c>
    </row>
    <row r="5540" spans="1:3" x14ac:dyDescent="0.25">
      <c r="A5540" s="1" t="s">
        <v>11081</v>
      </c>
      <c r="B5540" s="1" t="s">
        <v>11082</v>
      </c>
      <c r="C5540" s="1" t="s">
        <v>5</v>
      </c>
    </row>
    <row r="5541" spans="1:3" x14ac:dyDescent="0.25">
      <c r="A5541" s="1" t="s">
        <v>11083</v>
      </c>
      <c r="B5541" s="1" t="s">
        <v>11084</v>
      </c>
      <c r="C5541" s="1" t="s">
        <v>5</v>
      </c>
    </row>
    <row r="5542" spans="1:3" x14ac:dyDescent="0.25">
      <c r="A5542" s="1" t="s">
        <v>11085</v>
      </c>
      <c r="B5542" s="1" t="s">
        <v>11086</v>
      </c>
      <c r="C5542" s="1" t="s">
        <v>5</v>
      </c>
    </row>
    <row r="5543" spans="1:3" x14ac:dyDescent="0.25">
      <c r="A5543" s="1" t="s">
        <v>11087</v>
      </c>
      <c r="B5543" s="1" t="s">
        <v>11088</v>
      </c>
      <c r="C5543" s="1" t="s">
        <v>5</v>
      </c>
    </row>
    <row r="5544" spans="1:3" x14ac:dyDescent="0.25">
      <c r="A5544" s="1" t="s">
        <v>11089</v>
      </c>
      <c r="B5544" s="1" t="s">
        <v>11090</v>
      </c>
      <c r="C5544" s="1" t="s">
        <v>5</v>
      </c>
    </row>
    <row r="5545" spans="1:3" x14ac:dyDescent="0.25">
      <c r="A5545" s="1" t="s">
        <v>11091</v>
      </c>
      <c r="B5545" s="1" t="s">
        <v>11092</v>
      </c>
      <c r="C5545" s="1" t="s">
        <v>5</v>
      </c>
    </row>
    <row r="5546" spans="1:3" x14ac:dyDescent="0.25">
      <c r="A5546" s="1" t="s">
        <v>11093</v>
      </c>
      <c r="B5546" s="1" t="s">
        <v>11094</v>
      </c>
      <c r="C5546" s="1" t="s">
        <v>5</v>
      </c>
    </row>
    <row r="5547" spans="1:3" x14ac:dyDescent="0.25">
      <c r="A5547" s="1" t="s">
        <v>11095</v>
      </c>
      <c r="B5547" s="1" t="s">
        <v>11096</v>
      </c>
      <c r="C5547" s="1" t="s">
        <v>5</v>
      </c>
    </row>
    <row r="5548" spans="1:3" x14ac:dyDescent="0.25">
      <c r="A5548" s="1" t="s">
        <v>11097</v>
      </c>
      <c r="B5548" s="1" t="s">
        <v>11098</v>
      </c>
      <c r="C5548" s="1" t="s">
        <v>5</v>
      </c>
    </row>
    <row r="5549" spans="1:3" x14ac:dyDescent="0.25">
      <c r="A5549" s="1" t="s">
        <v>11099</v>
      </c>
      <c r="B5549" s="1" t="s">
        <v>11100</v>
      </c>
      <c r="C5549" s="1" t="s">
        <v>5</v>
      </c>
    </row>
    <row r="5550" spans="1:3" x14ac:dyDescent="0.25">
      <c r="A5550" s="1" t="s">
        <v>11101</v>
      </c>
      <c r="B5550" s="1" t="s">
        <v>11102</v>
      </c>
      <c r="C5550" s="1" t="s">
        <v>5</v>
      </c>
    </row>
    <row r="5551" spans="1:3" x14ac:dyDescent="0.25">
      <c r="A5551" s="1" t="s">
        <v>11103</v>
      </c>
      <c r="B5551" s="1" t="s">
        <v>11104</v>
      </c>
      <c r="C5551" s="1" t="s">
        <v>5</v>
      </c>
    </row>
    <row r="5552" spans="1:3" x14ac:dyDescent="0.25">
      <c r="A5552" s="1" t="s">
        <v>11105</v>
      </c>
      <c r="B5552" s="1" t="s">
        <v>11106</v>
      </c>
      <c r="C5552" s="1" t="s">
        <v>5</v>
      </c>
    </row>
    <row r="5553" spans="1:3" x14ac:dyDescent="0.25">
      <c r="A5553" s="1" t="s">
        <v>11107</v>
      </c>
      <c r="B5553" s="1" t="s">
        <v>11108</v>
      </c>
      <c r="C5553" s="1" t="s">
        <v>5</v>
      </c>
    </row>
    <row r="5554" spans="1:3" x14ac:dyDescent="0.25">
      <c r="A5554" s="1" t="s">
        <v>11109</v>
      </c>
      <c r="B5554" s="1" t="s">
        <v>11110</v>
      </c>
      <c r="C5554" s="1" t="s">
        <v>5</v>
      </c>
    </row>
    <row r="5555" spans="1:3" x14ac:dyDescent="0.25">
      <c r="A5555" s="1" t="s">
        <v>11111</v>
      </c>
      <c r="B5555" s="1" t="s">
        <v>11112</v>
      </c>
      <c r="C5555" s="1" t="s">
        <v>5</v>
      </c>
    </row>
    <row r="5556" spans="1:3" x14ac:dyDescent="0.25">
      <c r="A5556" s="1" t="s">
        <v>11113</v>
      </c>
      <c r="B5556" s="1" t="s">
        <v>11114</v>
      </c>
      <c r="C5556" s="1" t="s">
        <v>5</v>
      </c>
    </row>
    <row r="5557" spans="1:3" x14ac:dyDescent="0.25">
      <c r="A5557" s="1" t="s">
        <v>11115</v>
      </c>
      <c r="B5557" s="1" t="s">
        <v>11116</v>
      </c>
      <c r="C5557" s="1" t="s">
        <v>5</v>
      </c>
    </row>
    <row r="5558" spans="1:3" x14ac:dyDescent="0.25">
      <c r="A5558" s="1" t="s">
        <v>11117</v>
      </c>
      <c r="B5558" s="1" t="s">
        <v>11118</v>
      </c>
      <c r="C5558" s="1" t="s">
        <v>5</v>
      </c>
    </row>
    <row r="5559" spans="1:3" x14ac:dyDescent="0.25">
      <c r="A5559" s="1" t="s">
        <v>11119</v>
      </c>
      <c r="B5559" s="1" t="s">
        <v>11120</v>
      </c>
      <c r="C5559" s="1" t="s">
        <v>5</v>
      </c>
    </row>
    <row r="5560" spans="1:3" x14ac:dyDescent="0.25">
      <c r="A5560" s="1" t="s">
        <v>11121</v>
      </c>
      <c r="B5560" s="1" t="s">
        <v>11122</v>
      </c>
      <c r="C5560" s="1" t="s">
        <v>5</v>
      </c>
    </row>
    <row r="5561" spans="1:3" x14ac:dyDescent="0.25">
      <c r="A5561" s="1" t="s">
        <v>11123</v>
      </c>
      <c r="B5561" s="1" t="s">
        <v>11124</v>
      </c>
      <c r="C5561" s="1" t="s">
        <v>5</v>
      </c>
    </row>
    <row r="5562" spans="1:3" x14ac:dyDescent="0.25">
      <c r="A5562" s="1" t="s">
        <v>11125</v>
      </c>
      <c r="B5562" s="1" t="s">
        <v>11126</v>
      </c>
      <c r="C5562" s="1" t="s">
        <v>5</v>
      </c>
    </row>
    <row r="5563" spans="1:3" x14ac:dyDescent="0.25">
      <c r="A5563" s="1" t="s">
        <v>11127</v>
      </c>
      <c r="B5563" s="1" t="s">
        <v>11128</v>
      </c>
      <c r="C5563" s="1" t="s">
        <v>5</v>
      </c>
    </row>
    <row r="5564" spans="1:3" x14ac:dyDescent="0.25">
      <c r="A5564" s="1" t="s">
        <v>11129</v>
      </c>
      <c r="B5564" s="1" t="s">
        <v>11130</v>
      </c>
      <c r="C5564" s="1" t="s">
        <v>5</v>
      </c>
    </row>
    <row r="5565" spans="1:3" x14ac:dyDescent="0.25">
      <c r="A5565" s="1" t="s">
        <v>11131</v>
      </c>
      <c r="B5565" s="1" t="s">
        <v>11132</v>
      </c>
      <c r="C5565" s="1" t="s">
        <v>5</v>
      </c>
    </row>
    <row r="5566" spans="1:3" x14ac:dyDescent="0.25">
      <c r="A5566" s="1" t="s">
        <v>11133</v>
      </c>
      <c r="B5566" s="1" t="s">
        <v>11134</v>
      </c>
      <c r="C5566" s="1" t="s">
        <v>5</v>
      </c>
    </row>
    <row r="5567" spans="1:3" x14ac:dyDescent="0.25">
      <c r="A5567" s="1" t="s">
        <v>11135</v>
      </c>
      <c r="B5567" s="1" t="s">
        <v>11136</v>
      </c>
      <c r="C5567" s="1" t="s">
        <v>5</v>
      </c>
    </row>
    <row r="5568" spans="1:3" x14ac:dyDescent="0.25">
      <c r="A5568" s="1" t="s">
        <v>11137</v>
      </c>
      <c r="B5568" s="1" t="s">
        <v>11138</v>
      </c>
      <c r="C5568" s="1" t="s">
        <v>5</v>
      </c>
    </row>
    <row r="5569" spans="1:3" x14ac:dyDescent="0.25">
      <c r="A5569" s="1" t="s">
        <v>11139</v>
      </c>
      <c r="B5569" s="1" t="s">
        <v>11140</v>
      </c>
      <c r="C5569" s="1" t="s">
        <v>5</v>
      </c>
    </row>
    <row r="5570" spans="1:3" x14ac:dyDescent="0.25">
      <c r="A5570" s="1" t="s">
        <v>11141</v>
      </c>
      <c r="B5570" s="1" t="s">
        <v>11142</v>
      </c>
      <c r="C5570" s="1" t="s">
        <v>5</v>
      </c>
    </row>
    <row r="5571" spans="1:3" x14ac:dyDescent="0.25">
      <c r="A5571" s="1" t="s">
        <v>11143</v>
      </c>
      <c r="B5571" s="1" t="s">
        <v>11144</v>
      </c>
      <c r="C5571" s="1" t="s">
        <v>5</v>
      </c>
    </row>
    <row r="5572" spans="1:3" x14ac:dyDescent="0.25">
      <c r="A5572" s="1" t="s">
        <v>11145</v>
      </c>
      <c r="B5572" s="1" t="s">
        <v>11146</v>
      </c>
      <c r="C5572" s="1" t="s">
        <v>5</v>
      </c>
    </row>
    <row r="5573" spans="1:3" x14ac:dyDescent="0.25">
      <c r="A5573" s="1" t="s">
        <v>11147</v>
      </c>
      <c r="B5573" s="1" t="s">
        <v>11148</v>
      </c>
      <c r="C5573" s="1" t="s">
        <v>5</v>
      </c>
    </row>
    <row r="5574" spans="1:3" x14ac:dyDescent="0.25">
      <c r="A5574" s="1" t="s">
        <v>11149</v>
      </c>
      <c r="B5574" s="1" t="s">
        <v>11150</v>
      </c>
      <c r="C5574" s="1" t="s">
        <v>5</v>
      </c>
    </row>
    <row r="5575" spans="1:3" x14ac:dyDescent="0.25">
      <c r="A5575" s="1" t="s">
        <v>11151</v>
      </c>
      <c r="B5575" s="1" t="s">
        <v>11152</v>
      </c>
      <c r="C5575" s="1" t="s">
        <v>5</v>
      </c>
    </row>
    <row r="5576" spans="1:3" x14ac:dyDescent="0.25">
      <c r="A5576" s="1" t="s">
        <v>11153</v>
      </c>
      <c r="B5576" s="1" t="s">
        <v>11154</v>
      </c>
      <c r="C5576" s="1" t="s">
        <v>5</v>
      </c>
    </row>
    <row r="5577" spans="1:3" x14ac:dyDescent="0.25">
      <c r="A5577" s="1" t="s">
        <v>11155</v>
      </c>
      <c r="B5577" s="1" t="s">
        <v>11156</v>
      </c>
      <c r="C5577" s="1" t="s">
        <v>5</v>
      </c>
    </row>
    <row r="5578" spans="1:3" x14ac:dyDescent="0.25">
      <c r="A5578" s="1" t="s">
        <v>11157</v>
      </c>
      <c r="B5578" s="1" t="s">
        <v>11158</v>
      </c>
      <c r="C5578" s="1" t="s">
        <v>5</v>
      </c>
    </row>
    <row r="5579" spans="1:3" x14ac:dyDescent="0.25">
      <c r="A5579" s="1" t="s">
        <v>11159</v>
      </c>
      <c r="B5579" s="1" t="s">
        <v>11160</v>
      </c>
      <c r="C5579" s="1" t="s">
        <v>5</v>
      </c>
    </row>
    <row r="5580" spans="1:3" x14ac:dyDescent="0.25">
      <c r="A5580" s="1" t="s">
        <v>11161</v>
      </c>
      <c r="B5580" s="1" t="s">
        <v>11162</v>
      </c>
      <c r="C5580" s="1" t="s">
        <v>5</v>
      </c>
    </row>
    <row r="5581" spans="1:3" x14ac:dyDescent="0.25">
      <c r="A5581" s="1" t="s">
        <v>11163</v>
      </c>
      <c r="B5581" s="1" t="s">
        <v>11164</v>
      </c>
      <c r="C5581" s="1" t="s">
        <v>5</v>
      </c>
    </row>
    <row r="5582" spans="1:3" x14ac:dyDescent="0.25">
      <c r="A5582" s="1" t="s">
        <v>11165</v>
      </c>
      <c r="B5582" s="1" t="s">
        <v>11166</v>
      </c>
      <c r="C5582" s="1" t="s">
        <v>5</v>
      </c>
    </row>
    <row r="5583" spans="1:3" x14ac:dyDescent="0.25">
      <c r="A5583" s="1" t="s">
        <v>11167</v>
      </c>
      <c r="B5583" s="1" t="s">
        <v>11168</v>
      </c>
      <c r="C5583" s="1" t="s">
        <v>5</v>
      </c>
    </row>
    <row r="5584" spans="1:3" x14ac:dyDescent="0.25">
      <c r="A5584" s="1" t="s">
        <v>11169</v>
      </c>
      <c r="B5584" s="1" t="s">
        <v>11170</v>
      </c>
      <c r="C5584" s="1" t="s">
        <v>5</v>
      </c>
    </row>
    <row r="5585" spans="1:3" x14ac:dyDescent="0.25">
      <c r="A5585" s="1" t="s">
        <v>11171</v>
      </c>
      <c r="B5585" s="1" t="s">
        <v>11172</v>
      </c>
      <c r="C5585" s="1" t="s">
        <v>5</v>
      </c>
    </row>
    <row r="5586" spans="1:3" x14ac:dyDescent="0.25">
      <c r="A5586" s="1" t="s">
        <v>11173</v>
      </c>
      <c r="B5586" s="1" t="s">
        <v>11174</v>
      </c>
      <c r="C5586" s="1" t="s">
        <v>5</v>
      </c>
    </row>
    <row r="5587" spans="1:3" x14ac:dyDescent="0.25">
      <c r="A5587" s="1" t="s">
        <v>11175</v>
      </c>
      <c r="B5587" s="1" t="s">
        <v>11176</v>
      </c>
      <c r="C5587" s="1" t="s">
        <v>5</v>
      </c>
    </row>
    <row r="5588" spans="1:3" x14ac:dyDescent="0.25">
      <c r="A5588" s="1" t="s">
        <v>11177</v>
      </c>
      <c r="B5588" s="1" t="s">
        <v>11178</v>
      </c>
      <c r="C5588" s="1" t="s">
        <v>5</v>
      </c>
    </row>
    <row r="5589" spans="1:3" x14ac:dyDescent="0.25">
      <c r="A5589" s="1" t="s">
        <v>11179</v>
      </c>
      <c r="B5589" s="1" t="s">
        <v>11180</v>
      </c>
      <c r="C5589" s="1" t="s">
        <v>5</v>
      </c>
    </row>
    <row r="5590" spans="1:3" x14ac:dyDescent="0.25">
      <c r="A5590" s="1" t="s">
        <v>11181</v>
      </c>
      <c r="B5590" s="1" t="s">
        <v>11182</v>
      </c>
      <c r="C5590" s="1" t="s">
        <v>5</v>
      </c>
    </row>
    <row r="5591" spans="1:3" x14ac:dyDescent="0.25">
      <c r="A5591" s="1" t="s">
        <v>11183</v>
      </c>
      <c r="B5591" s="1" t="s">
        <v>11184</v>
      </c>
      <c r="C5591" s="1" t="s">
        <v>5</v>
      </c>
    </row>
    <row r="5592" spans="1:3" x14ac:dyDescent="0.25">
      <c r="A5592" s="1" t="s">
        <v>11185</v>
      </c>
      <c r="B5592" s="1" t="s">
        <v>11186</v>
      </c>
      <c r="C5592" s="1" t="s">
        <v>5</v>
      </c>
    </row>
    <row r="5593" spans="1:3" x14ac:dyDescent="0.25">
      <c r="A5593" s="1" t="s">
        <v>11187</v>
      </c>
      <c r="B5593" s="1" t="s">
        <v>11188</v>
      </c>
      <c r="C5593" s="1" t="s">
        <v>5</v>
      </c>
    </row>
    <row r="5594" spans="1:3" x14ac:dyDescent="0.25">
      <c r="A5594" s="1" t="s">
        <v>11189</v>
      </c>
      <c r="B5594" s="1" t="s">
        <v>11190</v>
      </c>
      <c r="C5594" s="1" t="s">
        <v>5</v>
      </c>
    </row>
    <row r="5595" spans="1:3" x14ac:dyDescent="0.25">
      <c r="A5595" s="1" t="s">
        <v>11191</v>
      </c>
      <c r="B5595" s="1" t="s">
        <v>11192</v>
      </c>
      <c r="C5595" s="1" t="s">
        <v>5</v>
      </c>
    </row>
    <row r="5596" spans="1:3" x14ac:dyDescent="0.25">
      <c r="A5596" s="1" t="s">
        <v>11193</v>
      </c>
      <c r="B5596" s="1" t="s">
        <v>11194</v>
      </c>
      <c r="C5596" s="1" t="s">
        <v>5</v>
      </c>
    </row>
    <row r="5597" spans="1:3" x14ac:dyDescent="0.25">
      <c r="A5597" s="1" t="s">
        <v>11195</v>
      </c>
      <c r="B5597" s="1" t="s">
        <v>11196</v>
      </c>
      <c r="C5597" s="1" t="s">
        <v>5</v>
      </c>
    </row>
    <row r="5598" spans="1:3" x14ac:dyDescent="0.25">
      <c r="A5598" s="1" t="s">
        <v>11197</v>
      </c>
      <c r="B5598" s="1" t="s">
        <v>11198</v>
      </c>
      <c r="C5598" s="1" t="s">
        <v>5</v>
      </c>
    </row>
    <row r="5599" spans="1:3" x14ac:dyDescent="0.25">
      <c r="A5599" s="1" t="s">
        <v>11199</v>
      </c>
      <c r="B5599" s="1" t="s">
        <v>11200</v>
      </c>
      <c r="C5599" s="1" t="s">
        <v>5</v>
      </c>
    </row>
    <row r="5600" spans="1:3" x14ac:dyDescent="0.25">
      <c r="A5600" s="1" t="s">
        <v>11201</v>
      </c>
      <c r="B5600" s="1" t="s">
        <v>11202</v>
      </c>
      <c r="C5600" s="1" t="s">
        <v>5</v>
      </c>
    </row>
    <row r="5601" spans="1:3" x14ac:dyDescent="0.25">
      <c r="A5601" s="1" t="s">
        <v>11203</v>
      </c>
      <c r="B5601" s="1" t="s">
        <v>11204</v>
      </c>
      <c r="C5601" s="1" t="s">
        <v>5</v>
      </c>
    </row>
    <row r="5602" spans="1:3" x14ac:dyDescent="0.25">
      <c r="A5602" s="1" t="s">
        <v>11205</v>
      </c>
      <c r="B5602" s="1" t="s">
        <v>11206</v>
      </c>
      <c r="C5602" s="1" t="s">
        <v>5</v>
      </c>
    </row>
    <row r="5603" spans="1:3" x14ac:dyDescent="0.25">
      <c r="A5603" s="1" t="s">
        <v>11207</v>
      </c>
      <c r="B5603" s="1" t="s">
        <v>11208</v>
      </c>
      <c r="C5603" s="1" t="s">
        <v>5</v>
      </c>
    </row>
    <row r="5604" spans="1:3" x14ac:dyDescent="0.25">
      <c r="A5604" s="1" t="s">
        <v>11209</v>
      </c>
      <c r="B5604" s="1" t="s">
        <v>11210</v>
      </c>
      <c r="C5604" s="1" t="s">
        <v>5</v>
      </c>
    </row>
    <row r="5605" spans="1:3" x14ac:dyDescent="0.25">
      <c r="A5605" s="1" t="s">
        <v>11211</v>
      </c>
      <c r="B5605" s="1" t="s">
        <v>11212</v>
      </c>
      <c r="C5605" s="1" t="s">
        <v>5</v>
      </c>
    </row>
    <row r="5606" spans="1:3" x14ac:dyDescent="0.25">
      <c r="A5606" s="1" t="s">
        <v>11213</v>
      </c>
      <c r="B5606" s="1" t="s">
        <v>11214</v>
      </c>
      <c r="C5606" s="1" t="s">
        <v>5</v>
      </c>
    </row>
    <row r="5607" spans="1:3" x14ac:dyDescent="0.25">
      <c r="A5607" s="1" t="s">
        <v>11215</v>
      </c>
      <c r="B5607" s="1" t="s">
        <v>11216</v>
      </c>
      <c r="C5607" s="1" t="s">
        <v>5</v>
      </c>
    </row>
    <row r="5608" spans="1:3" x14ac:dyDescent="0.25">
      <c r="A5608" s="1" t="s">
        <v>11217</v>
      </c>
      <c r="B5608" s="1" t="s">
        <v>11218</v>
      </c>
      <c r="C5608" s="1" t="s">
        <v>5</v>
      </c>
    </row>
    <row r="5609" spans="1:3" x14ac:dyDescent="0.25">
      <c r="A5609" s="1" t="s">
        <v>11219</v>
      </c>
      <c r="B5609" s="1" t="s">
        <v>11220</v>
      </c>
      <c r="C5609" s="1" t="s">
        <v>5</v>
      </c>
    </row>
    <row r="5610" spans="1:3" x14ac:dyDescent="0.25">
      <c r="A5610" s="1" t="s">
        <v>11221</v>
      </c>
      <c r="B5610" s="1" t="s">
        <v>11222</v>
      </c>
      <c r="C5610" s="1" t="s">
        <v>5</v>
      </c>
    </row>
    <row r="5611" spans="1:3" x14ac:dyDescent="0.25">
      <c r="A5611" s="1" t="s">
        <v>11223</v>
      </c>
      <c r="B5611" s="1" t="s">
        <v>11224</v>
      </c>
      <c r="C5611" s="1" t="s">
        <v>5</v>
      </c>
    </row>
    <row r="5612" spans="1:3" x14ac:dyDescent="0.25">
      <c r="A5612" s="1" t="s">
        <v>11225</v>
      </c>
      <c r="B5612" s="1" t="s">
        <v>11226</v>
      </c>
      <c r="C5612" s="1" t="s">
        <v>5</v>
      </c>
    </row>
    <row r="5613" spans="1:3" x14ac:dyDescent="0.25">
      <c r="A5613" s="1" t="s">
        <v>11227</v>
      </c>
      <c r="B5613" s="1" t="s">
        <v>11228</v>
      </c>
      <c r="C5613" s="1" t="s">
        <v>5</v>
      </c>
    </row>
    <row r="5614" spans="1:3" x14ac:dyDescent="0.25">
      <c r="A5614" s="1" t="s">
        <v>11229</v>
      </c>
      <c r="B5614" s="1" t="s">
        <v>11230</v>
      </c>
      <c r="C5614" s="1" t="s">
        <v>5</v>
      </c>
    </row>
    <row r="5615" spans="1:3" x14ac:dyDescent="0.25">
      <c r="A5615" s="1" t="s">
        <v>11231</v>
      </c>
      <c r="B5615" s="1" t="s">
        <v>11232</v>
      </c>
      <c r="C5615" s="1" t="s">
        <v>5</v>
      </c>
    </row>
    <row r="5616" spans="1:3" x14ac:dyDescent="0.25">
      <c r="A5616" s="1" t="s">
        <v>11233</v>
      </c>
      <c r="B5616" s="1" t="s">
        <v>11234</v>
      </c>
      <c r="C5616" s="1" t="s">
        <v>5</v>
      </c>
    </row>
    <row r="5617" spans="1:3" x14ac:dyDescent="0.25">
      <c r="A5617" s="1" t="s">
        <v>11235</v>
      </c>
      <c r="B5617" s="1" t="s">
        <v>11236</v>
      </c>
      <c r="C5617" s="1" t="s">
        <v>5</v>
      </c>
    </row>
    <row r="5618" spans="1:3" x14ac:dyDescent="0.25">
      <c r="A5618" s="1" t="s">
        <v>11237</v>
      </c>
      <c r="B5618" s="1" t="s">
        <v>11238</v>
      </c>
      <c r="C5618" s="1" t="s">
        <v>5</v>
      </c>
    </row>
    <row r="5619" spans="1:3" x14ac:dyDescent="0.25">
      <c r="A5619" s="1" t="s">
        <v>11239</v>
      </c>
      <c r="B5619" s="1" t="s">
        <v>11240</v>
      </c>
      <c r="C5619" s="1" t="s">
        <v>5</v>
      </c>
    </row>
    <row r="5620" spans="1:3" x14ac:dyDescent="0.25">
      <c r="A5620" s="1" t="s">
        <v>11241</v>
      </c>
      <c r="B5620" s="1" t="s">
        <v>11242</v>
      </c>
      <c r="C5620" s="1" t="s">
        <v>5</v>
      </c>
    </row>
    <row r="5621" spans="1:3" x14ac:dyDescent="0.25">
      <c r="A5621" s="1" t="s">
        <v>11243</v>
      </c>
      <c r="B5621" s="1" t="s">
        <v>11244</v>
      </c>
      <c r="C5621" s="1" t="s">
        <v>5</v>
      </c>
    </row>
    <row r="5622" spans="1:3" x14ac:dyDescent="0.25">
      <c r="A5622" s="1" t="s">
        <v>11245</v>
      </c>
      <c r="B5622" s="1" t="s">
        <v>11246</v>
      </c>
      <c r="C5622" s="1" t="s">
        <v>5</v>
      </c>
    </row>
    <row r="5623" spans="1:3" x14ac:dyDescent="0.25">
      <c r="A5623" s="1" t="s">
        <v>11247</v>
      </c>
      <c r="B5623" s="1" t="s">
        <v>11248</v>
      </c>
      <c r="C5623" s="1" t="s">
        <v>5</v>
      </c>
    </row>
    <row r="5624" spans="1:3" x14ac:dyDescent="0.25">
      <c r="A5624" s="1" t="s">
        <v>11249</v>
      </c>
      <c r="B5624" s="1" t="s">
        <v>11250</v>
      </c>
      <c r="C5624" s="1" t="s">
        <v>5</v>
      </c>
    </row>
    <row r="5625" spans="1:3" x14ac:dyDescent="0.25">
      <c r="A5625" s="1" t="s">
        <v>11251</v>
      </c>
      <c r="B5625" s="1" t="s">
        <v>11252</v>
      </c>
      <c r="C5625" s="1" t="s">
        <v>5</v>
      </c>
    </row>
    <row r="5626" spans="1:3" x14ac:dyDescent="0.25">
      <c r="A5626" s="1" t="s">
        <v>11253</v>
      </c>
      <c r="B5626" s="1" t="s">
        <v>11254</v>
      </c>
      <c r="C5626" s="1" t="s">
        <v>5</v>
      </c>
    </row>
    <row r="5627" spans="1:3" x14ac:dyDescent="0.25">
      <c r="A5627" s="1" t="s">
        <v>11255</v>
      </c>
      <c r="B5627" s="1" t="s">
        <v>11256</v>
      </c>
      <c r="C5627" s="1" t="s">
        <v>5</v>
      </c>
    </row>
    <row r="5628" spans="1:3" x14ac:dyDescent="0.25">
      <c r="A5628" s="1" t="s">
        <v>11257</v>
      </c>
      <c r="B5628" s="1" t="s">
        <v>11258</v>
      </c>
      <c r="C5628" s="1" t="s">
        <v>5</v>
      </c>
    </row>
    <row r="5629" spans="1:3" x14ac:dyDescent="0.25">
      <c r="A5629" s="1" t="s">
        <v>11259</v>
      </c>
      <c r="B5629" s="1" t="s">
        <v>11260</v>
      </c>
      <c r="C5629" s="1" t="s">
        <v>5</v>
      </c>
    </row>
    <row r="5630" spans="1:3" x14ac:dyDescent="0.25">
      <c r="A5630" s="1" t="s">
        <v>11261</v>
      </c>
      <c r="B5630" s="1" t="s">
        <v>11262</v>
      </c>
      <c r="C5630" s="1" t="s">
        <v>5</v>
      </c>
    </row>
    <row r="5631" spans="1:3" x14ac:dyDescent="0.25">
      <c r="A5631" s="1" t="s">
        <v>11263</v>
      </c>
      <c r="B5631" s="1" t="s">
        <v>11264</v>
      </c>
      <c r="C5631" s="1" t="s">
        <v>5</v>
      </c>
    </row>
    <row r="5632" spans="1:3" x14ac:dyDescent="0.25">
      <c r="A5632" s="1" t="s">
        <v>11265</v>
      </c>
      <c r="B5632" s="1" t="s">
        <v>11266</v>
      </c>
      <c r="C5632" s="1" t="s">
        <v>5</v>
      </c>
    </row>
    <row r="5633" spans="1:3" x14ac:dyDescent="0.25">
      <c r="A5633" s="1" t="s">
        <v>11267</v>
      </c>
      <c r="B5633" s="1" t="s">
        <v>11268</v>
      </c>
      <c r="C5633" s="1" t="s">
        <v>5</v>
      </c>
    </row>
    <row r="5634" spans="1:3" x14ac:dyDescent="0.25">
      <c r="A5634" s="1" t="s">
        <v>11269</v>
      </c>
      <c r="B5634" s="1" t="s">
        <v>11270</v>
      </c>
      <c r="C5634" s="1" t="s">
        <v>5</v>
      </c>
    </row>
    <row r="5635" spans="1:3" x14ac:dyDescent="0.25">
      <c r="A5635" s="1" t="s">
        <v>11271</v>
      </c>
      <c r="B5635" s="1" t="s">
        <v>11272</v>
      </c>
      <c r="C5635" s="1" t="s">
        <v>5</v>
      </c>
    </row>
    <row r="5636" spans="1:3" x14ac:dyDescent="0.25">
      <c r="A5636" s="1" t="s">
        <v>11273</v>
      </c>
      <c r="B5636" s="1" t="s">
        <v>11274</v>
      </c>
      <c r="C5636" s="1" t="s">
        <v>5</v>
      </c>
    </row>
    <row r="5637" spans="1:3" x14ac:dyDescent="0.25">
      <c r="A5637" s="1" t="s">
        <v>11275</v>
      </c>
      <c r="B5637" s="1" t="s">
        <v>11276</v>
      </c>
      <c r="C5637" s="1" t="s">
        <v>5</v>
      </c>
    </row>
    <row r="5638" spans="1:3" x14ac:dyDescent="0.25">
      <c r="A5638" s="1" t="s">
        <v>11277</v>
      </c>
      <c r="B5638" s="1" t="s">
        <v>11278</v>
      </c>
      <c r="C5638" s="1" t="s">
        <v>5</v>
      </c>
    </row>
    <row r="5639" spans="1:3" x14ac:dyDescent="0.25">
      <c r="A5639" s="1" t="s">
        <v>11279</v>
      </c>
      <c r="B5639" s="1" t="s">
        <v>11280</v>
      </c>
      <c r="C5639" s="1" t="s">
        <v>5</v>
      </c>
    </row>
    <row r="5640" spans="1:3" x14ac:dyDescent="0.25">
      <c r="A5640" s="1" t="s">
        <v>11281</v>
      </c>
      <c r="B5640" s="1" t="s">
        <v>11282</v>
      </c>
      <c r="C5640" s="1" t="s">
        <v>5</v>
      </c>
    </row>
    <row r="5641" spans="1:3" x14ac:dyDescent="0.25">
      <c r="A5641" s="1" t="s">
        <v>11283</v>
      </c>
      <c r="B5641" s="1" t="s">
        <v>11284</v>
      </c>
      <c r="C5641" s="1" t="s">
        <v>5</v>
      </c>
    </row>
    <row r="5642" spans="1:3" x14ac:dyDescent="0.25">
      <c r="A5642" s="1" t="s">
        <v>11285</v>
      </c>
      <c r="B5642" s="1" t="s">
        <v>11286</v>
      </c>
      <c r="C5642" s="1" t="s">
        <v>5</v>
      </c>
    </row>
    <row r="5643" spans="1:3" x14ac:dyDescent="0.25">
      <c r="A5643" s="1" t="s">
        <v>11287</v>
      </c>
      <c r="B5643" s="1" t="s">
        <v>11288</v>
      </c>
      <c r="C5643" s="1" t="s">
        <v>5</v>
      </c>
    </row>
    <row r="5644" spans="1:3" x14ac:dyDescent="0.25">
      <c r="A5644" s="1" t="s">
        <v>11289</v>
      </c>
      <c r="B5644" s="1" t="s">
        <v>11290</v>
      </c>
      <c r="C5644" s="1" t="s">
        <v>5</v>
      </c>
    </row>
    <row r="5645" spans="1:3" x14ac:dyDescent="0.25">
      <c r="A5645" s="1" t="s">
        <v>11291</v>
      </c>
      <c r="B5645" s="1" t="s">
        <v>11292</v>
      </c>
      <c r="C5645" s="1" t="s">
        <v>5</v>
      </c>
    </row>
    <row r="5646" spans="1:3" x14ac:dyDescent="0.25">
      <c r="A5646" s="1" t="s">
        <v>11293</v>
      </c>
      <c r="B5646" s="1" t="s">
        <v>11294</v>
      </c>
      <c r="C5646" s="1" t="s">
        <v>5</v>
      </c>
    </row>
    <row r="5647" spans="1:3" x14ac:dyDescent="0.25">
      <c r="A5647" s="1" t="s">
        <v>11295</v>
      </c>
      <c r="B5647" s="1" t="s">
        <v>11296</v>
      </c>
      <c r="C5647" s="1" t="s">
        <v>5</v>
      </c>
    </row>
    <row r="5648" spans="1:3" x14ac:dyDescent="0.25">
      <c r="A5648" s="1" t="s">
        <v>11297</v>
      </c>
      <c r="B5648" s="1" t="s">
        <v>11298</v>
      </c>
      <c r="C5648" s="1" t="s">
        <v>5</v>
      </c>
    </row>
    <row r="5649" spans="1:3" x14ac:dyDescent="0.25">
      <c r="A5649" s="1" t="s">
        <v>11299</v>
      </c>
      <c r="B5649" s="1" t="s">
        <v>11300</v>
      </c>
      <c r="C5649" s="1" t="s">
        <v>5</v>
      </c>
    </row>
    <row r="5650" spans="1:3" x14ac:dyDescent="0.25">
      <c r="A5650" s="1" t="s">
        <v>11301</v>
      </c>
      <c r="B5650" s="1" t="s">
        <v>11302</v>
      </c>
      <c r="C5650" s="1" t="s">
        <v>5</v>
      </c>
    </row>
    <row r="5651" spans="1:3" x14ac:dyDescent="0.25">
      <c r="A5651" s="1" t="s">
        <v>11303</v>
      </c>
      <c r="B5651" s="1" t="s">
        <v>11304</v>
      </c>
      <c r="C5651" s="1" t="s">
        <v>5</v>
      </c>
    </row>
    <row r="5652" spans="1:3" x14ac:dyDescent="0.25">
      <c r="A5652" s="1" t="s">
        <v>11305</v>
      </c>
      <c r="B5652" s="1" t="s">
        <v>11306</v>
      </c>
      <c r="C5652" s="1" t="s">
        <v>5</v>
      </c>
    </row>
    <row r="5653" spans="1:3" x14ac:dyDescent="0.25">
      <c r="A5653" s="1" t="s">
        <v>11307</v>
      </c>
      <c r="B5653" s="1" t="s">
        <v>11308</v>
      </c>
      <c r="C5653" s="1" t="s">
        <v>5</v>
      </c>
    </row>
    <row r="5654" spans="1:3" x14ac:dyDescent="0.25">
      <c r="A5654" s="1" t="s">
        <v>11309</v>
      </c>
      <c r="B5654" s="1" t="s">
        <v>11310</v>
      </c>
      <c r="C5654" s="1" t="s">
        <v>5</v>
      </c>
    </row>
    <row r="5655" spans="1:3" x14ac:dyDescent="0.25">
      <c r="A5655" s="1" t="s">
        <v>11311</v>
      </c>
      <c r="B5655" s="1" t="s">
        <v>11312</v>
      </c>
      <c r="C5655" s="1" t="s">
        <v>5</v>
      </c>
    </row>
    <row r="5656" spans="1:3" x14ac:dyDescent="0.25">
      <c r="A5656" s="1" t="s">
        <v>11313</v>
      </c>
      <c r="B5656" s="1" t="s">
        <v>11314</v>
      </c>
      <c r="C5656" s="1" t="s">
        <v>5</v>
      </c>
    </row>
    <row r="5657" spans="1:3" x14ac:dyDescent="0.25">
      <c r="A5657" s="1" t="s">
        <v>11315</v>
      </c>
      <c r="B5657" s="1" t="s">
        <v>11316</v>
      </c>
      <c r="C5657" s="1" t="s">
        <v>5</v>
      </c>
    </row>
    <row r="5658" spans="1:3" x14ac:dyDescent="0.25">
      <c r="A5658" s="1" t="s">
        <v>11317</v>
      </c>
      <c r="B5658" s="1" t="s">
        <v>11318</v>
      </c>
      <c r="C5658" s="1" t="s">
        <v>5</v>
      </c>
    </row>
    <row r="5659" spans="1:3" x14ac:dyDescent="0.25">
      <c r="A5659" s="1" t="s">
        <v>11319</v>
      </c>
      <c r="B5659" s="1" t="s">
        <v>11320</v>
      </c>
      <c r="C5659" s="1" t="s">
        <v>5</v>
      </c>
    </row>
    <row r="5660" spans="1:3" x14ac:dyDescent="0.25">
      <c r="A5660" s="1" t="s">
        <v>11321</v>
      </c>
      <c r="B5660" s="1" t="s">
        <v>11322</v>
      </c>
      <c r="C5660" s="1" t="s">
        <v>5</v>
      </c>
    </row>
    <row r="5661" spans="1:3" x14ac:dyDescent="0.25">
      <c r="A5661" s="1" t="s">
        <v>11323</v>
      </c>
      <c r="B5661" s="1" t="s">
        <v>11324</v>
      </c>
      <c r="C5661" s="1" t="s">
        <v>5</v>
      </c>
    </row>
    <row r="5662" spans="1:3" x14ac:dyDescent="0.25">
      <c r="A5662" s="1" t="s">
        <v>11325</v>
      </c>
      <c r="B5662" s="1" t="s">
        <v>11326</v>
      </c>
      <c r="C5662" s="1" t="s">
        <v>5</v>
      </c>
    </row>
    <row r="5663" spans="1:3" x14ac:dyDescent="0.25">
      <c r="A5663" s="1" t="s">
        <v>11327</v>
      </c>
      <c r="B5663" s="1" t="s">
        <v>11328</v>
      </c>
      <c r="C5663" s="1" t="s">
        <v>5</v>
      </c>
    </row>
    <row r="5664" spans="1:3" x14ac:dyDescent="0.25">
      <c r="A5664" s="1" t="s">
        <v>11329</v>
      </c>
      <c r="B5664" s="1" t="s">
        <v>11330</v>
      </c>
      <c r="C5664" s="1" t="s">
        <v>5</v>
      </c>
    </row>
    <row r="5665" spans="1:3" x14ac:dyDescent="0.25">
      <c r="A5665" s="1" t="s">
        <v>11331</v>
      </c>
      <c r="B5665" s="1" t="s">
        <v>11332</v>
      </c>
      <c r="C5665" s="1" t="s">
        <v>5</v>
      </c>
    </row>
    <row r="5666" spans="1:3" x14ac:dyDescent="0.25">
      <c r="A5666" s="1" t="s">
        <v>11333</v>
      </c>
      <c r="B5666" s="1" t="s">
        <v>11334</v>
      </c>
      <c r="C5666" s="1" t="s">
        <v>5</v>
      </c>
    </row>
    <row r="5667" spans="1:3" x14ac:dyDescent="0.25">
      <c r="A5667" s="1" t="s">
        <v>11335</v>
      </c>
      <c r="B5667" s="1" t="s">
        <v>11336</v>
      </c>
      <c r="C5667" s="1" t="s">
        <v>5</v>
      </c>
    </row>
    <row r="5668" spans="1:3" x14ac:dyDescent="0.25">
      <c r="A5668" s="1" t="s">
        <v>11337</v>
      </c>
      <c r="B5668" s="1" t="s">
        <v>11338</v>
      </c>
      <c r="C5668" s="1" t="s">
        <v>5</v>
      </c>
    </row>
    <row r="5669" spans="1:3" x14ac:dyDescent="0.25">
      <c r="A5669" s="1" t="s">
        <v>11339</v>
      </c>
      <c r="B5669" s="1" t="s">
        <v>11340</v>
      </c>
      <c r="C5669" s="1" t="s">
        <v>5</v>
      </c>
    </row>
    <row r="5670" spans="1:3" x14ac:dyDescent="0.25">
      <c r="A5670" s="1" t="s">
        <v>11341</v>
      </c>
      <c r="B5670" s="1" t="s">
        <v>11342</v>
      </c>
      <c r="C5670" s="1" t="s">
        <v>448</v>
      </c>
    </row>
    <row r="5671" spans="1:3" x14ac:dyDescent="0.25">
      <c r="A5671" s="1" t="s">
        <v>11343</v>
      </c>
      <c r="B5671" s="1" t="s">
        <v>11344</v>
      </c>
      <c r="C5671" s="1" t="s">
        <v>5</v>
      </c>
    </row>
    <row r="5672" spans="1:3" x14ac:dyDescent="0.25">
      <c r="A5672" s="1" t="s">
        <v>11345</v>
      </c>
      <c r="B5672" s="1" t="s">
        <v>11346</v>
      </c>
      <c r="C5672" s="1" t="s">
        <v>5</v>
      </c>
    </row>
    <row r="5673" spans="1:3" x14ac:dyDescent="0.25">
      <c r="A5673" s="1" t="s">
        <v>11347</v>
      </c>
      <c r="B5673" s="1" t="s">
        <v>11348</v>
      </c>
      <c r="C5673" s="1" t="s">
        <v>5</v>
      </c>
    </row>
    <row r="5674" spans="1:3" x14ac:dyDescent="0.25">
      <c r="A5674" s="1" t="s">
        <v>11349</v>
      </c>
      <c r="B5674" s="1" t="s">
        <v>11350</v>
      </c>
      <c r="C5674" s="1" t="s">
        <v>5</v>
      </c>
    </row>
    <row r="5675" spans="1:3" x14ac:dyDescent="0.25">
      <c r="A5675" s="1" t="s">
        <v>11351</v>
      </c>
      <c r="B5675" s="1" t="s">
        <v>11352</v>
      </c>
      <c r="C5675" s="1" t="s">
        <v>5</v>
      </c>
    </row>
    <row r="5676" spans="1:3" x14ac:dyDescent="0.25">
      <c r="A5676" s="1" t="s">
        <v>11353</v>
      </c>
      <c r="B5676" s="1" t="s">
        <v>11354</v>
      </c>
      <c r="C5676" s="1" t="s">
        <v>5</v>
      </c>
    </row>
    <row r="5677" spans="1:3" x14ac:dyDescent="0.25">
      <c r="A5677" s="1" t="s">
        <v>11355</v>
      </c>
      <c r="B5677" s="1" t="s">
        <v>11356</v>
      </c>
      <c r="C5677" s="1" t="s">
        <v>5</v>
      </c>
    </row>
    <row r="5678" spans="1:3" x14ac:dyDescent="0.25">
      <c r="A5678" s="1" t="s">
        <v>11357</v>
      </c>
      <c r="B5678" s="1" t="s">
        <v>11358</v>
      </c>
      <c r="C5678" s="1" t="s">
        <v>5</v>
      </c>
    </row>
    <row r="5679" spans="1:3" x14ac:dyDescent="0.25">
      <c r="A5679" s="1" t="s">
        <v>11359</v>
      </c>
      <c r="B5679" s="1" t="s">
        <v>11360</v>
      </c>
      <c r="C5679" s="1" t="s">
        <v>5</v>
      </c>
    </row>
    <row r="5680" spans="1:3" x14ac:dyDescent="0.25">
      <c r="A5680" s="1" t="s">
        <v>11361</v>
      </c>
      <c r="B5680" s="1" t="s">
        <v>11362</v>
      </c>
      <c r="C5680" s="1" t="s">
        <v>5</v>
      </c>
    </row>
    <row r="5681" spans="1:3" x14ac:dyDescent="0.25">
      <c r="A5681" s="1" t="s">
        <v>11363</v>
      </c>
      <c r="B5681" s="1" t="s">
        <v>11364</v>
      </c>
      <c r="C5681" s="1" t="s">
        <v>5</v>
      </c>
    </row>
    <row r="5682" spans="1:3" x14ac:dyDescent="0.25">
      <c r="A5682" s="1" t="s">
        <v>11365</v>
      </c>
      <c r="B5682" s="1" t="s">
        <v>11366</v>
      </c>
      <c r="C5682" s="1" t="s">
        <v>5</v>
      </c>
    </row>
    <row r="5683" spans="1:3" x14ac:dyDescent="0.25">
      <c r="A5683" s="1" t="s">
        <v>11367</v>
      </c>
      <c r="B5683" s="1" t="s">
        <v>11368</v>
      </c>
      <c r="C5683" s="1" t="s">
        <v>5</v>
      </c>
    </row>
    <row r="5684" spans="1:3" x14ac:dyDescent="0.25">
      <c r="A5684" s="1" t="s">
        <v>11369</v>
      </c>
      <c r="B5684" s="1" t="s">
        <v>11370</v>
      </c>
      <c r="C5684" s="1" t="s">
        <v>5</v>
      </c>
    </row>
    <row r="5685" spans="1:3" x14ac:dyDescent="0.25">
      <c r="A5685" s="1" t="s">
        <v>11371</v>
      </c>
      <c r="B5685" s="1" t="s">
        <v>11372</v>
      </c>
      <c r="C5685" s="1" t="s">
        <v>5</v>
      </c>
    </row>
    <row r="5686" spans="1:3" x14ac:dyDescent="0.25">
      <c r="A5686" s="1" t="s">
        <v>11373</v>
      </c>
      <c r="B5686" s="1" t="s">
        <v>11374</v>
      </c>
      <c r="C5686" s="1" t="s">
        <v>5</v>
      </c>
    </row>
    <row r="5687" spans="1:3" x14ac:dyDescent="0.25">
      <c r="A5687" s="1" t="s">
        <v>11375</v>
      </c>
      <c r="B5687" s="1" t="s">
        <v>11376</v>
      </c>
      <c r="C5687" s="1" t="s">
        <v>5</v>
      </c>
    </row>
    <row r="5688" spans="1:3" x14ac:dyDescent="0.25">
      <c r="A5688" s="1" t="s">
        <v>11377</v>
      </c>
      <c r="B5688" s="1" t="s">
        <v>11378</v>
      </c>
      <c r="C5688" s="1" t="s">
        <v>5</v>
      </c>
    </row>
    <row r="5689" spans="1:3" x14ac:dyDescent="0.25">
      <c r="A5689" s="1" t="s">
        <v>11379</v>
      </c>
      <c r="B5689" s="1" t="s">
        <v>11380</v>
      </c>
      <c r="C5689" s="1" t="s">
        <v>5</v>
      </c>
    </row>
    <row r="5690" spans="1:3" x14ac:dyDescent="0.25">
      <c r="A5690" s="1" t="s">
        <v>11381</v>
      </c>
      <c r="B5690" s="1" t="s">
        <v>11382</v>
      </c>
      <c r="C5690" s="1" t="s">
        <v>5</v>
      </c>
    </row>
    <row r="5691" spans="1:3" x14ac:dyDescent="0.25">
      <c r="A5691" s="1" t="s">
        <v>11383</v>
      </c>
      <c r="B5691" s="1" t="s">
        <v>11384</v>
      </c>
      <c r="C5691" s="1" t="s">
        <v>5</v>
      </c>
    </row>
    <row r="5692" spans="1:3" x14ac:dyDescent="0.25">
      <c r="A5692" s="1" t="s">
        <v>11385</v>
      </c>
      <c r="B5692" s="1" t="s">
        <v>11386</v>
      </c>
      <c r="C5692" s="1" t="s">
        <v>5</v>
      </c>
    </row>
    <row r="5693" spans="1:3" x14ac:dyDescent="0.25">
      <c r="A5693" s="1" t="s">
        <v>11387</v>
      </c>
      <c r="B5693" s="1" t="s">
        <v>11388</v>
      </c>
      <c r="C5693" s="1" t="s">
        <v>5</v>
      </c>
    </row>
    <row r="5694" spans="1:3" x14ac:dyDescent="0.25">
      <c r="A5694" s="1" t="s">
        <v>11389</v>
      </c>
      <c r="B5694" s="1" t="s">
        <v>11390</v>
      </c>
      <c r="C5694" s="1" t="s">
        <v>5</v>
      </c>
    </row>
    <row r="5695" spans="1:3" x14ac:dyDescent="0.25">
      <c r="A5695" s="1" t="s">
        <v>11391</v>
      </c>
      <c r="B5695" s="1" t="s">
        <v>11392</v>
      </c>
      <c r="C5695" s="1" t="s">
        <v>5</v>
      </c>
    </row>
    <row r="5696" spans="1:3" x14ac:dyDescent="0.25">
      <c r="A5696" s="1" t="s">
        <v>11393</v>
      </c>
      <c r="B5696" s="1" t="s">
        <v>11394</v>
      </c>
      <c r="C5696" s="1" t="s">
        <v>5</v>
      </c>
    </row>
    <row r="5697" spans="1:3" x14ac:dyDescent="0.25">
      <c r="A5697" s="1" t="s">
        <v>11395</v>
      </c>
      <c r="B5697" s="1" t="s">
        <v>11396</v>
      </c>
      <c r="C5697" s="1" t="s">
        <v>5</v>
      </c>
    </row>
    <row r="5698" spans="1:3" x14ac:dyDescent="0.25">
      <c r="A5698" s="1" t="s">
        <v>11397</v>
      </c>
      <c r="B5698" s="1" t="s">
        <v>11398</v>
      </c>
      <c r="C5698" s="1" t="s">
        <v>5</v>
      </c>
    </row>
    <row r="5699" spans="1:3" x14ac:dyDescent="0.25">
      <c r="A5699" s="1" t="s">
        <v>11399</v>
      </c>
      <c r="B5699" s="1" t="s">
        <v>11400</v>
      </c>
      <c r="C5699" s="1" t="s">
        <v>5</v>
      </c>
    </row>
    <row r="5700" spans="1:3" x14ac:dyDescent="0.25">
      <c r="A5700" s="1" t="s">
        <v>11401</v>
      </c>
      <c r="B5700" s="1" t="s">
        <v>11402</v>
      </c>
      <c r="C5700" s="1" t="s">
        <v>5</v>
      </c>
    </row>
    <row r="5701" spans="1:3" x14ac:dyDescent="0.25">
      <c r="A5701" s="1" t="s">
        <v>11403</v>
      </c>
      <c r="B5701" s="1" t="s">
        <v>11404</v>
      </c>
      <c r="C5701" s="1" t="s">
        <v>5</v>
      </c>
    </row>
    <row r="5702" spans="1:3" x14ac:dyDescent="0.25">
      <c r="A5702" s="1" t="s">
        <v>11405</v>
      </c>
      <c r="B5702" s="1" t="s">
        <v>11406</v>
      </c>
      <c r="C5702" s="1" t="s">
        <v>5</v>
      </c>
    </row>
    <row r="5703" spans="1:3" x14ac:dyDescent="0.25">
      <c r="A5703" s="1" t="s">
        <v>11407</v>
      </c>
      <c r="B5703" s="1" t="s">
        <v>11408</v>
      </c>
      <c r="C5703" s="1" t="s">
        <v>5</v>
      </c>
    </row>
    <row r="5704" spans="1:3" x14ac:dyDescent="0.25">
      <c r="A5704" s="1" t="s">
        <v>11409</v>
      </c>
      <c r="B5704" s="1" t="s">
        <v>11410</v>
      </c>
      <c r="C5704" s="1" t="s">
        <v>5</v>
      </c>
    </row>
    <row r="5705" spans="1:3" x14ac:dyDescent="0.25">
      <c r="A5705" s="1" t="s">
        <v>11411</v>
      </c>
      <c r="B5705" s="1" t="s">
        <v>11412</v>
      </c>
      <c r="C5705" s="1" t="s">
        <v>5</v>
      </c>
    </row>
    <row r="5706" spans="1:3" x14ac:dyDescent="0.25">
      <c r="A5706" s="1" t="s">
        <v>11413</v>
      </c>
      <c r="B5706" s="1" t="s">
        <v>11414</v>
      </c>
      <c r="C5706" s="1" t="s">
        <v>5</v>
      </c>
    </row>
    <row r="5707" spans="1:3" x14ac:dyDescent="0.25">
      <c r="A5707" s="1" t="s">
        <v>11415</v>
      </c>
      <c r="B5707" s="1" t="s">
        <v>11416</v>
      </c>
      <c r="C5707" s="1" t="s">
        <v>5</v>
      </c>
    </row>
    <row r="5708" spans="1:3" x14ac:dyDescent="0.25">
      <c r="A5708" s="1" t="s">
        <v>11417</v>
      </c>
      <c r="B5708" s="1" t="s">
        <v>11418</v>
      </c>
      <c r="C5708" s="1" t="s">
        <v>5</v>
      </c>
    </row>
    <row r="5709" spans="1:3" x14ac:dyDescent="0.25">
      <c r="A5709" s="1" t="s">
        <v>11419</v>
      </c>
      <c r="B5709" s="1" t="s">
        <v>11420</v>
      </c>
      <c r="C5709" s="1" t="s">
        <v>5</v>
      </c>
    </row>
    <row r="5710" spans="1:3" x14ac:dyDescent="0.25">
      <c r="A5710" s="1" t="s">
        <v>11421</v>
      </c>
      <c r="B5710" s="1" t="s">
        <v>11422</v>
      </c>
      <c r="C5710" s="1" t="s">
        <v>5</v>
      </c>
    </row>
    <row r="5711" spans="1:3" x14ac:dyDescent="0.25">
      <c r="A5711" s="1" t="s">
        <v>11423</v>
      </c>
      <c r="B5711" s="1" t="s">
        <v>11424</v>
      </c>
      <c r="C5711" s="1" t="s">
        <v>5</v>
      </c>
    </row>
    <row r="5712" spans="1:3" x14ac:dyDescent="0.25">
      <c r="A5712" s="1" t="s">
        <v>11425</v>
      </c>
      <c r="B5712" s="1" t="s">
        <v>11426</v>
      </c>
      <c r="C5712" s="1" t="s">
        <v>5</v>
      </c>
    </row>
    <row r="5713" spans="1:3" x14ac:dyDescent="0.25">
      <c r="A5713" s="1" t="s">
        <v>11427</v>
      </c>
      <c r="B5713" s="1" t="s">
        <v>11428</v>
      </c>
      <c r="C5713" s="1" t="s">
        <v>5</v>
      </c>
    </row>
    <row r="5714" spans="1:3" x14ac:dyDescent="0.25">
      <c r="A5714" s="1" t="s">
        <v>11429</v>
      </c>
      <c r="B5714" s="1" t="s">
        <v>11430</v>
      </c>
      <c r="C5714" s="1" t="s">
        <v>5</v>
      </c>
    </row>
    <row r="5715" spans="1:3" x14ac:dyDescent="0.25">
      <c r="A5715" s="1" t="s">
        <v>11431</v>
      </c>
      <c r="B5715" s="1" t="s">
        <v>11432</v>
      </c>
      <c r="C5715" s="1" t="s">
        <v>5</v>
      </c>
    </row>
    <row r="5716" spans="1:3" x14ac:dyDescent="0.25">
      <c r="A5716" s="1" t="s">
        <v>11433</v>
      </c>
      <c r="B5716" s="1" t="s">
        <v>11434</v>
      </c>
      <c r="C5716" s="1" t="s">
        <v>5</v>
      </c>
    </row>
    <row r="5717" spans="1:3" x14ac:dyDescent="0.25">
      <c r="A5717" s="1" t="s">
        <v>11435</v>
      </c>
      <c r="B5717" s="1" t="s">
        <v>11436</v>
      </c>
      <c r="C5717" s="1" t="s">
        <v>5</v>
      </c>
    </row>
    <row r="5718" spans="1:3" x14ac:dyDescent="0.25">
      <c r="A5718" s="1" t="s">
        <v>11437</v>
      </c>
      <c r="B5718" s="1" t="s">
        <v>11438</v>
      </c>
      <c r="C5718" s="1" t="s">
        <v>5</v>
      </c>
    </row>
    <row r="5719" spans="1:3" x14ac:dyDescent="0.25">
      <c r="A5719" s="1" t="s">
        <v>11439</v>
      </c>
      <c r="B5719" s="1" t="s">
        <v>11440</v>
      </c>
      <c r="C5719" s="1" t="s">
        <v>5</v>
      </c>
    </row>
    <row r="5720" spans="1:3" x14ac:dyDescent="0.25">
      <c r="A5720" s="1" t="s">
        <v>11441</v>
      </c>
      <c r="B5720" s="1" t="s">
        <v>11442</v>
      </c>
      <c r="C5720" s="1" t="s">
        <v>5</v>
      </c>
    </row>
    <row r="5721" spans="1:3" x14ac:dyDescent="0.25">
      <c r="A5721" s="1" t="s">
        <v>11443</v>
      </c>
      <c r="B5721" s="1" t="s">
        <v>11444</v>
      </c>
      <c r="C5721" s="1" t="s">
        <v>5</v>
      </c>
    </row>
    <row r="5722" spans="1:3" x14ac:dyDescent="0.25">
      <c r="A5722" s="1" t="s">
        <v>11445</v>
      </c>
      <c r="B5722" s="1" t="s">
        <v>11446</v>
      </c>
      <c r="C5722" s="1" t="s">
        <v>5</v>
      </c>
    </row>
    <row r="5723" spans="1:3" x14ac:dyDescent="0.25">
      <c r="A5723" s="1" t="s">
        <v>11447</v>
      </c>
      <c r="B5723" s="1" t="s">
        <v>11448</v>
      </c>
      <c r="C5723" s="1" t="s">
        <v>5</v>
      </c>
    </row>
    <row r="5724" spans="1:3" x14ac:dyDescent="0.25">
      <c r="A5724" s="1" t="s">
        <v>11449</v>
      </c>
      <c r="B5724" s="1" t="s">
        <v>11450</v>
      </c>
      <c r="C5724" s="1" t="s">
        <v>5</v>
      </c>
    </row>
    <row r="5725" spans="1:3" x14ac:dyDescent="0.25">
      <c r="A5725" s="1" t="s">
        <v>11451</v>
      </c>
      <c r="B5725" s="1" t="s">
        <v>11452</v>
      </c>
      <c r="C5725" s="1" t="s">
        <v>5</v>
      </c>
    </row>
    <row r="5726" spans="1:3" x14ac:dyDescent="0.25">
      <c r="A5726" s="1" t="s">
        <v>11453</v>
      </c>
      <c r="B5726" s="1" t="s">
        <v>11454</v>
      </c>
      <c r="C5726" s="1" t="s">
        <v>5</v>
      </c>
    </row>
    <row r="5727" spans="1:3" x14ac:dyDescent="0.25">
      <c r="A5727" s="1" t="s">
        <v>11455</v>
      </c>
      <c r="B5727" s="1" t="s">
        <v>11456</v>
      </c>
      <c r="C5727" s="1" t="s">
        <v>5</v>
      </c>
    </row>
    <row r="5728" spans="1:3" x14ac:dyDescent="0.25">
      <c r="A5728" s="1" t="s">
        <v>11457</v>
      </c>
      <c r="B5728" s="1" t="s">
        <v>11458</v>
      </c>
      <c r="C5728" s="1" t="s">
        <v>5</v>
      </c>
    </row>
    <row r="5729" spans="1:3" x14ac:dyDescent="0.25">
      <c r="A5729" s="1" t="s">
        <v>11459</v>
      </c>
      <c r="B5729" s="1" t="s">
        <v>11460</v>
      </c>
      <c r="C5729" s="1" t="s">
        <v>5</v>
      </c>
    </row>
    <row r="5730" spans="1:3" x14ac:dyDescent="0.25">
      <c r="A5730" s="1" t="s">
        <v>11461</v>
      </c>
      <c r="B5730" s="1" t="s">
        <v>11462</v>
      </c>
      <c r="C5730" s="1" t="s">
        <v>5</v>
      </c>
    </row>
    <row r="5731" spans="1:3" x14ac:dyDescent="0.25">
      <c r="A5731" s="1" t="s">
        <v>11463</v>
      </c>
      <c r="B5731" s="1" t="s">
        <v>11464</v>
      </c>
      <c r="C5731" s="1" t="s">
        <v>5</v>
      </c>
    </row>
    <row r="5732" spans="1:3" x14ac:dyDescent="0.25">
      <c r="A5732" s="1" t="s">
        <v>11465</v>
      </c>
      <c r="B5732" s="1" t="s">
        <v>11466</v>
      </c>
      <c r="C5732" s="1" t="s">
        <v>5</v>
      </c>
    </row>
    <row r="5733" spans="1:3" x14ac:dyDescent="0.25">
      <c r="A5733" s="1" t="s">
        <v>11467</v>
      </c>
      <c r="B5733" s="1" t="s">
        <v>11468</v>
      </c>
      <c r="C5733" s="1" t="s">
        <v>5</v>
      </c>
    </row>
    <row r="5734" spans="1:3" x14ac:dyDescent="0.25">
      <c r="A5734" s="1" t="s">
        <v>11469</v>
      </c>
      <c r="B5734" s="1" t="s">
        <v>11470</v>
      </c>
      <c r="C5734" s="1" t="s">
        <v>5</v>
      </c>
    </row>
    <row r="5735" spans="1:3" x14ac:dyDescent="0.25">
      <c r="A5735" s="1" t="s">
        <v>11471</v>
      </c>
      <c r="B5735" s="1" t="s">
        <v>11472</v>
      </c>
      <c r="C5735" s="1" t="s">
        <v>5</v>
      </c>
    </row>
    <row r="5736" spans="1:3" x14ac:dyDescent="0.25">
      <c r="A5736" s="1" t="s">
        <v>11473</v>
      </c>
      <c r="B5736" s="1" t="s">
        <v>11474</v>
      </c>
      <c r="C5736" s="1" t="s">
        <v>5</v>
      </c>
    </row>
    <row r="5737" spans="1:3" x14ac:dyDescent="0.25">
      <c r="A5737" s="1" t="s">
        <v>11475</v>
      </c>
      <c r="B5737" s="1" t="s">
        <v>11476</v>
      </c>
      <c r="C5737" s="1" t="s">
        <v>5</v>
      </c>
    </row>
    <row r="5738" spans="1:3" x14ac:dyDescent="0.25">
      <c r="A5738" s="1" t="s">
        <v>11477</v>
      </c>
      <c r="B5738" s="1" t="s">
        <v>11478</v>
      </c>
      <c r="C5738" s="1" t="s">
        <v>5</v>
      </c>
    </row>
    <row r="5739" spans="1:3" x14ac:dyDescent="0.25">
      <c r="A5739" s="1" t="s">
        <v>11479</v>
      </c>
      <c r="B5739" s="1" t="s">
        <v>11480</v>
      </c>
      <c r="C5739" s="1" t="s">
        <v>5</v>
      </c>
    </row>
    <row r="5740" spans="1:3" x14ac:dyDescent="0.25">
      <c r="A5740" s="1" t="s">
        <v>11481</v>
      </c>
      <c r="B5740" s="1" t="s">
        <v>11482</v>
      </c>
      <c r="C5740" s="1" t="s">
        <v>5</v>
      </c>
    </row>
    <row r="5741" spans="1:3" x14ac:dyDescent="0.25">
      <c r="A5741" s="1" t="s">
        <v>11483</v>
      </c>
      <c r="B5741" s="1" t="s">
        <v>11484</v>
      </c>
      <c r="C5741" s="1" t="s">
        <v>5</v>
      </c>
    </row>
    <row r="5742" spans="1:3" x14ac:dyDescent="0.25">
      <c r="A5742" s="1" t="s">
        <v>11485</v>
      </c>
      <c r="B5742" s="1" t="s">
        <v>11486</v>
      </c>
      <c r="C5742" s="1" t="s">
        <v>5</v>
      </c>
    </row>
    <row r="5743" spans="1:3" x14ac:dyDescent="0.25">
      <c r="A5743" s="1" t="s">
        <v>11487</v>
      </c>
      <c r="B5743" s="1" t="s">
        <v>11488</v>
      </c>
      <c r="C5743" s="1" t="s">
        <v>5</v>
      </c>
    </row>
    <row r="5744" spans="1:3" x14ac:dyDescent="0.25">
      <c r="A5744" s="1" t="s">
        <v>11489</v>
      </c>
      <c r="B5744" s="1" t="s">
        <v>11490</v>
      </c>
      <c r="C5744" s="1" t="s">
        <v>5</v>
      </c>
    </row>
    <row r="5745" spans="1:3" x14ac:dyDescent="0.25">
      <c r="A5745" s="1" t="s">
        <v>11491</v>
      </c>
      <c r="B5745" s="1" t="s">
        <v>11492</v>
      </c>
      <c r="C5745" s="1" t="s">
        <v>5</v>
      </c>
    </row>
    <row r="5746" spans="1:3" x14ac:dyDescent="0.25">
      <c r="A5746" s="1" t="s">
        <v>11493</v>
      </c>
      <c r="B5746" s="1" t="s">
        <v>11494</v>
      </c>
      <c r="C5746" s="1" t="s">
        <v>5</v>
      </c>
    </row>
    <row r="5747" spans="1:3" x14ac:dyDescent="0.25">
      <c r="A5747" s="1" t="s">
        <v>11495</v>
      </c>
      <c r="B5747" s="1" t="s">
        <v>11496</v>
      </c>
      <c r="C5747" s="1" t="s">
        <v>5</v>
      </c>
    </row>
    <row r="5748" spans="1:3" x14ac:dyDescent="0.25">
      <c r="A5748" s="1" t="s">
        <v>11497</v>
      </c>
      <c r="B5748" s="1" t="s">
        <v>11498</v>
      </c>
      <c r="C5748" s="1" t="s">
        <v>5</v>
      </c>
    </row>
    <row r="5749" spans="1:3" x14ac:dyDescent="0.25">
      <c r="A5749" s="1" t="s">
        <v>11499</v>
      </c>
      <c r="B5749" s="1" t="s">
        <v>11500</v>
      </c>
      <c r="C5749" s="1" t="s">
        <v>5</v>
      </c>
    </row>
    <row r="5750" spans="1:3" x14ac:dyDescent="0.25">
      <c r="A5750" s="1" t="s">
        <v>11501</v>
      </c>
      <c r="B5750" s="1" t="s">
        <v>11502</v>
      </c>
      <c r="C5750" s="1" t="s">
        <v>5</v>
      </c>
    </row>
    <row r="5751" spans="1:3" x14ac:dyDescent="0.25">
      <c r="A5751" s="1" t="s">
        <v>11503</v>
      </c>
      <c r="B5751" s="1" t="s">
        <v>11504</v>
      </c>
      <c r="C5751" s="1" t="s">
        <v>5</v>
      </c>
    </row>
    <row r="5752" spans="1:3" x14ac:dyDescent="0.25">
      <c r="A5752" s="1" t="s">
        <v>11505</v>
      </c>
      <c r="B5752" s="1" t="s">
        <v>11506</v>
      </c>
      <c r="C5752" s="1" t="s">
        <v>5</v>
      </c>
    </row>
    <row r="5753" spans="1:3" x14ac:dyDescent="0.25">
      <c r="A5753" s="1" t="s">
        <v>11507</v>
      </c>
      <c r="B5753" s="1" t="s">
        <v>11508</v>
      </c>
      <c r="C5753" s="1" t="s">
        <v>5</v>
      </c>
    </row>
    <row r="5754" spans="1:3" x14ac:dyDescent="0.25">
      <c r="A5754" s="1" t="s">
        <v>11509</v>
      </c>
      <c r="B5754" s="1" t="s">
        <v>11510</v>
      </c>
      <c r="C5754" s="1" t="s">
        <v>5</v>
      </c>
    </row>
    <row r="5755" spans="1:3" x14ac:dyDescent="0.25">
      <c r="A5755" s="1" t="s">
        <v>11511</v>
      </c>
      <c r="B5755" s="1" t="s">
        <v>11512</v>
      </c>
      <c r="C5755" s="1" t="s">
        <v>5</v>
      </c>
    </row>
    <row r="5756" spans="1:3" x14ac:dyDescent="0.25">
      <c r="A5756" s="1" t="s">
        <v>11513</v>
      </c>
      <c r="B5756" s="1" t="s">
        <v>11514</v>
      </c>
      <c r="C5756" s="1" t="s">
        <v>5</v>
      </c>
    </row>
    <row r="5757" spans="1:3" x14ac:dyDescent="0.25">
      <c r="A5757" s="1" t="s">
        <v>11515</v>
      </c>
      <c r="B5757" s="1" t="s">
        <v>11516</v>
      </c>
      <c r="C5757" s="1" t="s">
        <v>5</v>
      </c>
    </row>
    <row r="5758" spans="1:3" x14ac:dyDescent="0.25">
      <c r="A5758" s="1" t="s">
        <v>11517</v>
      </c>
      <c r="B5758" s="1" t="s">
        <v>11518</v>
      </c>
      <c r="C5758" s="1" t="s">
        <v>5</v>
      </c>
    </row>
    <row r="5759" spans="1:3" x14ac:dyDescent="0.25">
      <c r="A5759" s="1" t="s">
        <v>11519</v>
      </c>
      <c r="B5759" s="1" t="s">
        <v>11520</v>
      </c>
      <c r="C5759" s="1" t="s">
        <v>5</v>
      </c>
    </row>
    <row r="5760" spans="1:3" x14ac:dyDescent="0.25">
      <c r="A5760" s="1" t="s">
        <v>11521</v>
      </c>
      <c r="B5760" s="1" t="s">
        <v>11522</v>
      </c>
      <c r="C5760" s="1" t="s">
        <v>5</v>
      </c>
    </row>
    <row r="5761" spans="1:3" x14ac:dyDescent="0.25">
      <c r="A5761" s="1" t="s">
        <v>11523</v>
      </c>
      <c r="B5761" s="1" t="s">
        <v>11524</v>
      </c>
      <c r="C5761" s="1" t="s">
        <v>5</v>
      </c>
    </row>
    <row r="5762" spans="1:3" x14ac:dyDescent="0.25">
      <c r="A5762" s="1" t="s">
        <v>11525</v>
      </c>
      <c r="B5762" s="1" t="s">
        <v>11526</v>
      </c>
      <c r="C5762" s="1" t="s">
        <v>5</v>
      </c>
    </row>
    <row r="5763" spans="1:3" x14ac:dyDescent="0.25">
      <c r="A5763" s="1" t="s">
        <v>11527</v>
      </c>
      <c r="B5763" s="1" t="s">
        <v>11528</v>
      </c>
      <c r="C5763" s="1" t="s">
        <v>5</v>
      </c>
    </row>
    <row r="5764" spans="1:3" x14ac:dyDescent="0.25">
      <c r="A5764" s="1" t="s">
        <v>11529</v>
      </c>
      <c r="B5764" s="1" t="s">
        <v>11530</v>
      </c>
      <c r="C5764" s="1" t="s">
        <v>5</v>
      </c>
    </row>
    <row r="5765" spans="1:3" x14ac:dyDescent="0.25">
      <c r="A5765" s="1" t="s">
        <v>11531</v>
      </c>
      <c r="B5765" s="1" t="s">
        <v>11532</v>
      </c>
      <c r="C5765" s="1" t="s">
        <v>5</v>
      </c>
    </row>
    <row r="5766" spans="1:3" x14ac:dyDescent="0.25">
      <c r="A5766" s="1" t="s">
        <v>11533</v>
      </c>
      <c r="B5766" s="1" t="s">
        <v>11534</v>
      </c>
      <c r="C5766" s="1" t="s">
        <v>5</v>
      </c>
    </row>
    <row r="5767" spans="1:3" x14ac:dyDescent="0.25">
      <c r="A5767" s="1" t="s">
        <v>11535</v>
      </c>
      <c r="B5767" s="1" t="s">
        <v>11536</v>
      </c>
      <c r="C5767" s="1" t="s">
        <v>5</v>
      </c>
    </row>
    <row r="5768" spans="1:3" x14ac:dyDescent="0.25">
      <c r="A5768" s="1" t="s">
        <v>11537</v>
      </c>
      <c r="B5768" s="1" t="s">
        <v>11538</v>
      </c>
      <c r="C5768" s="1" t="s">
        <v>5</v>
      </c>
    </row>
    <row r="5769" spans="1:3" x14ac:dyDescent="0.25">
      <c r="A5769" s="1" t="s">
        <v>11539</v>
      </c>
      <c r="B5769" s="1" t="s">
        <v>11540</v>
      </c>
      <c r="C5769" s="1" t="s">
        <v>5</v>
      </c>
    </row>
    <row r="5770" spans="1:3" x14ac:dyDescent="0.25">
      <c r="A5770" s="1" t="s">
        <v>11541</v>
      </c>
      <c r="B5770" s="1" t="s">
        <v>11542</v>
      </c>
      <c r="C5770" s="1" t="s">
        <v>5</v>
      </c>
    </row>
    <row r="5771" spans="1:3" x14ac:dyDescent="0.25">
      <c r="A5771" s="1" t="s">
        <v>11543</v>
      </c>
      <c r="B5771" s="1" t="s">
        <v>11544</v>
      </c>
      <c r="C5771" s="1" t="s">
        <v>5</v>
      </c>
    </row>
    <row r="5772" spans="1:3" x14ac:dyDescent="0.25">
      <c r="A5772" s="1" t="s">
        <v>11545</v>
      </c>
      <c r="B5772" s="1" t="s">
        <v>11546</v>
      </c>
      <c r="C5772" s="1" t="s">
        <v>5</v>
      </c>
    </row>
    <row r="5773" spans="1:3" x14ac:dyDescent="0.25">
      <c r="A5773" s="1" t="s">
        <v>11547</v>
      </c>
      <c r="B5773" s="1" t="s">
        <v>11548</v>
      </c>
      <c r="C5773" s="1" t="s">
        <v>5</v>
      </c>
    </row>
    <row r="5774" spans="1:3" x14ac:dyDescent="0.25">
      <c r="A5774" s="1" t="s">
        <v>11549</v>
      </c>
      <c r="B5774" s="1" t="s">
        <v>11550</v>
      </c>
      <c r="C5774" s="1" t="s">
        <v>5</v>
      </c>
    </row>
    <row r="5775" spans="1:3" x14ac:dyDescent="0.25">
      <c r="A5775" s="1" t="s">
        <v>11551</v>
      </c>
      <c r="B5775" s="1" t="s">
        <v>11552</v>
      </c>
      <c r="C5775" s="1" t="s">
        <v>5</v>
      </c>
    </row>
    <row r="5776" spans="1:3" x14ac:dyDescent="0.25">
      <c r="A5776" s="1" t="s">
        <v>11553</v>
      </c>
      <c r="B5776" s="1" t="s">
        <v>11554</v>
      </c>
      <c r="C5776" s="1" t="s">
        <v>5</v>
      </c>
    </row>
    <row r="5777" spans="1:3" x14ac:dyDescent="0.25">
      <c r="A5777" s="1" t="s">
        <v>11555</v>
      </c>
      <c r="B5777" s="1" t="s">
        <v>11556</v>
      </c>
      <c r="C5777" s="1" t="s">
        <v>5</v>
      </c>
    </row>
    <row r="5778" spans="1:3" x14ac:dyDescent="0.25">
      <c r="A5778" s="1" t="s">
        <v>11557</v>
      </c>
      <c r="B5778" s="1" t="s">
        <v>11558</v>
      </c>
      <c r="C5778" s="1" t="s">
        <v>5</v>
      </c>
    </row>
    <row r="5779" spans="1:3" x14ac:dyDescent="0.25">
      <c r="A5779" s="1" t="s">
        <v>11559</v>
      </c>
      <c r="B5779" s="1" t="s">
        <v>11560</v>
      </c>
      <c r="C5779" s="1" t="s">
        <v>5</v>
      </c>
    </row>
    <row r="5780" spans="1:3" x14ac:dyDescent="0.25">
      <c r="A5780" s="1" t="s">
        <v>11561</v>
      </c>
      <c r="B5780" s="1" t="s">
        <v>11562</v>
      </c>
      <c r="C5780" s="1" t="s">
        <v>5</v>
      </c>
    </row>
    <row r="5781" spans="1:3" x14ac:dyDescent="0.25">
      <c r="A5781" s="1" t="s">
        <v>11563</v>
      </c>
      <c r="B5781" s="1" t="s">
        <v>11564</v>
      </c>
      <c r="C5781" s="1" t="s">
        <v>5</v>
      </c>
    </row>
    <row r="5782" spans="1:3" x14ac:dyDescent="0.25">
      <c r="A5782" s="1" t="s">
        <v>11565</v>
      </c>
      <c r="B5782" s="1" t="s">
        <v>11566</v>
      </c>
      <c r="C5782" s="1" t="s">
        <v>5</v>
      </c>
    </row>
    <row r="5783" spans="1:3" x14ac:dyDescent="0.25">
      <c r="A5783" s="1" t="s">
        <v>11567</v>
      </c>
      <c r="B5783" s="1" t="s">
        <v>11568</v>
      </c>
      <c r="C5783" s="1" t="s">
        <v>5</v>
      </c>
    </row>
    <row r="5784" spans="1:3" x14ac:dyDescent="0.25">
      <c r="A5784" s="1" t="s">
        <v>11569</v>
      </c>
      <c r="B5784" s="1" t="s">
        <v>11570</v>
      </c>
      <c r="C5784" s="1" t="s">
        <v>5</v>
      </c>
    </row>
    <row r="5785" spans="1:3" x14ac:dyDescent="0.25">
      <c r="A5785" s="1" t="s">
        <v>11571</v>
      </c>
      <c r="B5785" s="1" t="s">
        <v>11572</v>
      </c>
      <c r="C5785" s="1" t="s">
        <v>5</v>
      </c>
    </row>
    <row r="5786" spans="1:3" x14ac:dyDescent="0.25">
      <c r="A5786" s="1" t="s">
        <v>11573</v>
      </c>
      <c r="B5786" s="1" t="s">
        <v>11574</v>
      </c>
      <c r="C5786" s="1" t="s">
        <v>5</v>
      </c>
    </row>
    <row r="5787" spans="1:3" x14ac:dyDescent="0.25">
      <c r="A5787" s="1" t="s">
        <v>11575</v>
      </c>
      <c r="B5787" s="1" t="s">
        <v>11576</v>
      </c>
      <c r="C5787" s="1" t="s">
        <v>5</v>
      </c>
    </row>
    <row r="5788" spans="1:3" x14ac:dyDescent="0.25">
      <c r="A5788" s="1" t="s">
        <v>11577</v>
      </c>
      <c r="B5788" s="1" t="s">
        <v>11578</v>
      </c>
      <c r="C5788" s="1" t="s">
        <v>5</v>
      </c>
    </row>
    <row r="5789" spans="1:3" x14ac:dyDescent="0.25">
      <c r="A5789" s="1" t="s">
        <v>11579</v>
      </c>
      <c r="B5789" s="1" t="s">
        <v>11580</v>
      </c>
      <c r="C5789" s="1" t="s">
        <v>5</v>
      </c>
    </row>
    <row r="5790" spans="1:3" x14ac:dyDescent="0.25">
      <c r="A5790" s="1" t="s">
        <v>11581</v>
      </c>
      <c r="B5790" s="1" t="s">
        <v>11582</v>
      </c>
      <c r="C5790" s="1" t="s">
        <v>5</v>
      </c>
    </row>
    <row r="5791" spans="1:3" x14ac:dyDescent="0.25">
      <c r="A5791" s="1" t="s">
        <v>11583</v>
      </c>
      <c r="B5791" s="1" t="s">
        <v>11584</v>
      </c>
      <c r="C5791" s="1" t="s">
        <v>5</v>
      </c>
    </row>
    <row r="5792" spans="1:3" x14ac:dyDescent="0.25">
      <c r="A5792" s="1" t="s">
        <v>11585</v>
      </c>
      <c r="B5792" s="1" t="s">
        <v>11586</v>
      </c>
      <c r="C5792" s="1" t="s">
        <v>5</v>
      </c>
    </row>
    <row r="5793" spans="1:3" x14ac:dyDescent="0.25">
      <c r="A5793" s="1" t="s">
        <v>11587</v>
      </c>
      <c r="B5793" s="1" t="s">
        <v>11588</v>
      </c>
      <c r="C5793" s="1" t="s">
        <v>5</v>
      </c>
    </row>
    <row r="5794" spans="1:3" x14ac:dyDescent="0.25">
      <c r="A5794" s="1" t="s">
        <v>11589</v>
      </c>
      <c r="B5794" s="1" t="s">
        <v>11590</v>
      </c>
      <c r="C5794" s="1" t="s">
        <v>5</v>
      </c>
    </row>
    <row r="5795" spans="1:3" x14ac:dyDescent="0.25">
      <c r="A5795" s="1" t="s">
        <v>11591</v>
      </c>
      <c r="B5795" s="1" t="s">
        <v>11592</v>
      </c>
      <c r="C5795" s="1" t="s">
        <v>5</v>
      </c>
    </row>
    <row r="5796" spans="1:3" x14ac:dyDescent="0.25">
      <c r="A5796" s="1" t="s">
        <v>11593</v>
      </c>
      <c r="B5796" s="1" t="s">
        <v>11594</v>
      </c>
      <c r="C5796" s="1" t="s">
        <v>5</v>
      </c>
    </row>
    <row r="5797" spans="1:3" x14ac:dyDescent="0.25">
      <c r="A5797" s="1" t="s">
        <v>11595</v>
      </c>
      <c r="B5797" s="1" t="s">
        <v>11596</v>
      </c>
      <c r="C5797" s="1" t="s">
        <v>5</v>
      </c>
    </row>
    <row r="5798" spans="1:3" x14ac:dyDescent="0.25">
      <c r="A5798" s="1" t="s">
        <v>11597</v>
      </c>
      <c r="B5798" s="1" t="s">
        <v>11598</v>
      </c>
      <c r="C5798" s="1" t="s">
        <v>5</v>
      </c>
    </row>
    <row r="5799" spans="1:3" x14ac:dyDescent="0.25">
      <c r="A5799" s="1" t="s">
        <v>11599</v>
      </c>
      <c r="B5799" s="1" t="s">
        <v>11600</v>
      </c>
      <c r="C5799" s="1" t="s">
        <v>5</v>
      </c>
    </row>
    <row r="5800" spans="1:3" x14ac:dyDescent="0.25">
      <c r="A5800" s="1" t="s">
        <v>11601</v>
      </c>
      <c r="B5800" s="1" t="s">
        <v>11602</v>
      </c>
      <c r="C5800" s="1" t="s">
        <v>5</v>
      </c>
    </row>
    <row r="5801" spans="1:3" x14ac:dyDescent="0.25">
      <c r="A5801" s="1" t="s">
        <v>11603</v>
      </c>
      <c r="B5801" s="1" t="s">
        <v>11604</v>
      </c>
      <c r="C5801" s="1" t="s">
        <v>5</v>
      </c>
    </row>
    <row r="5802" spans="1:3" x14ac:dyDescent="0.25">
      <c r="A5802" s="1" t="s">
        <v>11605</v>
      </c>
      <c r="B5802" s="1" t="s">
        <v>11606</v>
      </c>
      <c r="C5802" s="1" t="s">
        <v>5</v>
      </c>
    </row>
    <row r="5803" spans="1:3" x14ac:dyDescent="0.25">
      <c r="A5803" s="1" t="s">
        <v>11607</v>
      </c>
      <c r="B5803" s="1" t="s">
        <v>11608</v>
      </c>
      <c r="C5803" s="1" t="s">
        <v>5</v>
      </c>
    </row>
    <row r="5804" spans="1:3" x14ac:dyDescent="0.25">
      <c r="A5804" s="1" t="s">
        <v>11609</v>
      </c>
      <c r="B5804" s="1" t="s">
        <v>11610</v>
      </c>
      <c r="C5804" s="1" t="s">
        <v>5</v>
      </c>
    </row>
    <row r="5805" spans="1:3" x14ac:dyDescent="0.25">
      <c r="A5805" s="1" t="s">
        <v>11611</v>
      </c>
      <c r="B5805" s="1" t="s">
        <v>11612</v>
      </c>
      <c r="C5805" s="1" t="s">
        <v>5</v>
      </c>
    </row>
    <row r="5806" spans="1:3" x14ac:dyDescent="0.25">
      <c r="A5806" s="1" t="s">
        <v>11613</v>
      </c>
      <c r="B5806" s="1" t="s">
        <v>11614</v>
      </c>
      <c r="C5806" s="1" t="s">
        <v>5</v>
      </c>
    </row>
    <row r="5807" spans="1:3" x14ac:dyDescent="0.25">
      <c r="A5807" s="1" t="s">
        <v>11615</v>
      </c>
      <c r="B5807" s="1" t="s">
        <v>11616</v>
      </c>
      <c r="C5807" s="1" t="s">
        <v>5</v>
      </c>
    </row>
    <row r="5808" spans="1:3" x14ac:dyDescent="0.25">
      <c r="A5808" s="1" t="s">
        <v>11617</v>
      </c>
      <c r="B5808" s="1" t="s">
        <v>11618</v>
      </c>
      <c r="C5808" s="1" t="s">
        <v>5</v>
      </c>
    </row>
    <row r="5809" spans="1:3" x14ac:dyDescent="0.25">
      <c r="A5809" s="1" t="s">
        <v>11619</v>
      </c>
      <c r="B5809" s="1" t="s">
        <v>11620</v>
      </c>
      <c r="C5809" s="1" t="s">
        <v>5</v>
      </c>
    </row>
    <row r="5810" spans="1:3" x14ac:dyDescent="0.25">
      <c r="A5810" s="1" t="s">
        <v>11621</v>
      </c>
      <c r="B5810" s="1" t="s">
        <v>11622</v>
      </c>
      <c r="C5810" s="1" t="s">
        <v>5</v>
      </c>
    </row>
    <row r="5811" spans="1:3" x14ac:dyDescent="0.25">
      <c r="A5811" s="1" t="s">
        <v>11623</v>
      </c>
      <c r="B5811" s="1" t="s">
        <v>11624</v>
      </c>
      <c r="C5811" s="1" t="s">
        <v>5</v>
      </c>
    </row>
    <row r="5812" spans="1:3" x14ac:dyDescent="0.25">
      <c r="A5812" s="1" t="s">
        <v>11625</v>
      </c>
      <c r="B5812" s="1" t="s">
        <v>11626</v>
      </c>
      <c r="C5812" s="1" t="s">
        <v>5</v>
      </c>
    </row>
    <row r="5813" spans="1:3" x14ac:dyDescent="0.25">
      <c r="A5813" s="1" t="s">
        <v>11627</v>
      </c>
      <c r="B5813" s="1" t="s">
        <v>11628</v>
      </c>
      <c r="C5813" s="1" t="s">
        <v>5</v>
      </c>
    </row>
    <row r="5814" spans="1:3" x14ac:dyDescent="0.25">
      <c r="A5814" s="1" t="s">
        <v>11629</v>
      </c>
      <c r="B5814" s="1" t="s">
        <v>11630</v>
      </c>
      <c r="C5814" s="1" t="s">
        <v>5</v>
      </c>
    </row>
    <row r="5815" spans="1:3" x14ac:dyDescent="0.25">
      <c r="A5815" s="1" t="s">
        <v>11631</v>
      </c>
      <c r="B5815" s="1" t="s">
        <v>11632</v>
      </c>
      <c r="C5815" s="1" t="s">
        <v>5</v>
      </c>
    </row>
    <row r="5816" spans="1:3" x14ac:dyDescent="0.25">
      <c r="A5816" s="1" t="s">
        <v>11633</v>
      </c>
      <c r="B5816" s="1" t="s">
        <v>11634</v>
      </c>
      <c r="C5816" s="1" t="s">
        <v>5</v>
      </c>
    </row>
    <row r="5817" spans="1:3" x14ac:dyDescent="0.25">
      <c r="A5817" s="1" t="s">
        <v>11635</v>
      </c>
      <c r="B5817" s="1" t="s">
        <v>11636</v>
      </c>
      <c r="C5817" s="1" t="s">
        <v>5</v>
      </c>
    </row>
    <row r="5818" spans="1:3" x14ac:dyDescent="0.25">
      <c r="A5818" s="1" t="s">
        <v>11637</v>
      </c>
      <c r="B5818" s="1" t="s">
        <v>11638</v>
      </c>
      <c r="C5818" s="1" t="s">
        <v>5</v>
      </c>
    </row>
    <row r="5819" spans="1:3" x14ac:dyDescent="0.25">
      <c r="A5819" s="1" t="s">
        <v>11639</v>
      </c>
      <c r="B5819" s="1" t="s">
        <v>11640</v>
      </c>
      <c r="C5819" s="1" t="s">
        <v>5</v>
      </c>
    </row>
    <row r="5820" spans="1:3" x14ac:dyDescent="0.25">
      <c r="A5820" s="1" t="s">
        <v>11641</v>
      </c>
      <c r="B5820" s="1" t="s">
        <v>11642</v>
      </c>
      <c r="C5820" s="1" t="s">
        <v>5</v>
      </c>
    </row>
    <row r="5821" spans="1:3" x14ac:dyDescent="0.25">
      <c r="A5821" s="1" t="s">
        <v>11643</v>
      </c>
      <c r="B5821" s="1" t="s">
        <v>11644</v>
      </c>
      <c r="C5821" s="1" t="s">
        <v>5</v>
      </c>
    </row>
    <row r="5822" spans="1:3" x14ac:dyDescent="0.25">
      <c r="A5822" s="1" t="s">
        <v>11645</v>
      </c>
      <c r="B5822" s="1" t="s">
        <v>11646</v>
      </c>
      <c r="C5822" s="1" t="s">
        <v>5</v>
      </c>
    </row>
    <row r="5823" spans="1:3" x14ac:dyDescent="0.25">
      <c r="A5823" s="1" t="s">
        <v>11647</v>
      </c>
      <c r="B5823" s="1" t="s">
        <v>11648</v>
      </c>
      <c r="C5823" s="1" t="s">
        <v>5</v>
      </c>
    </row>
    <row r="5824" spans="1:3" x14ac:dyDescent="0.25">
      <c r="A5824" s="1" t="s">
        <v>11649</v>
      </c>
      <c r="B5824" s="1" t="s">
        <v>11650</v>
      </c>
      <c r="C5824" s="1" t="s">
        <v>5</v>
      </c>
    </row>
    <row r="5825" spans="1:3" x14ac:dyDescent="0.25">
      <c r="A5825" s="1" t="s">
        <v>11651</v>
      </c>
      <c r="B5825" s="1" t="s">
        <v>11652</v>
      </c>
      <c r="C5825" s="1" t="s">
        <v>5</v>
      </c>
    </row>
    <row r="5826" spans="1:3" x14ac:dyDescent="0.25">
      <c r="A5826" s="1" t="s">
        <v>11653</v>
      </c>
      <c r="B5826" s="1" t="s">
        <v>11654</v>
      </c>
      <c r="C5826" s="1" t="s">
        <v>5</v>
      </c>
    </row>
    <row r="5827" spans="1:3" x14ac:dyDescent="0.25">
      <c r="A5827" s="1" t="s">
        <v>11655</v>
      </c>
      <c r="B5827" s="1" t="s">
        <v>11656</v>
      </c>
      <c r="C5827" s="1" t="s">
        <v>5</v>
      </c>
    </row>
    <row r="5828" spans="1:3" x14ac:dyDescent="0.25">
      <c r="A5828" s="1" t="s">
        <v>11657</v>
      </c>
      <c r="B5828" s="1" t="s">
        <v>11658</v>
      </c>
      <c r="C5828" s="1" t="s">
        <v>5</v>
      </c>
    </row>
    <row r="5829" spans="1:3" x14ac:dyDescent="0.25">
      <c r="A5829" s="1" t="s">
        <v>11659</v>
      </c>
      <c r="B5829" s="1" t="s">
        <v>11660</v>
      </c>
      <c r="C5829" s="1" t="s">
        <v>5</v>
      </c>
    </row>
    <row r="5830" spans="1:3" x14ac:dyDescent="0.25">
      <c r="A5830" s="1" t="s">
        <v>11661</v>
      </c>
      <c r="B5830" s="1" t="s">
        <v>11662</v>
      </c>
      <c r="C5830" s="1" t="s">
        <v>5</v>
      </c>
    </row>
    <row r="5831" spans="1:3" x14ac:dyDescent="0.25">
      <c r="A5831" s="1" t="s">
        <v>11663</v>
      </c>
      <c r="B5831" s="1" t="s">
        <v>11664</v>
      </c>
      <c r="C5831" s="1" t="s">
        <v>5</v>
      </c>
    </row>
    <row r="5832" spans="1:3" x14ac:dyDescent="0.25">
      <c r="A5832" s="1" t="s">
        <v>11665</v>
      </c>
      <c r="B5832" s="1" t="s">
        <v>11666</v>
      </c>
      <c r="C5832" s="1" t="s">
        <v>5</v>
      </c>
    </row>
    <row r="5833" spans="1:3" x14ac:dyDescent="0.25">
      <c r="A5833" s="1" t="s">
        <v>11667</v>
      </c>
      <c r="B5833" s="1" t="s">
        <v>11668</v>
      </c>
      <c r="C5833" s="1" t="s">
        <v>5</v>
      </c>
    </row>
    <row r="5834" spans="1:3" x14ac:dyDescent="0.25">
      <c r="A5834" s="1" t="s">
        <v>11669</v>
      </c>
      <c r="B5834" s="1" t="s">
        <v>11670</v>
      </c>
      <c r="C5834" s="1" t="s">
        <v>5</v>
      </c>
    </row>
    <row r="5835" spans="1:3" x14ac:dyDescent="0.25">
      <c r="A5835" s="1" t="s">
        <v>11671</v>
      </c>
      <c r="B5835" s="1" t="s">
        <v>11672</v>
      </c>
      <c r="C5835" s="1" t="s">
        <v>5</v>
      </c>
    </row>
    <row r="5836" spans="1:3" x14ac:dyDescent="0.25">
      <c r="A5836" s="1" t="s">
        <v>11673</v>
      </c>
      <c r="B5836" s="1" t="s">
        <v>11674</v>
      </c>
      <c r="C5836" s="1" t="s">
        <v>5</v>
      </c>
    </row>
    <row r="5837" spans="1:3" x14ac:dyDescent="0.25">
      <c r="A5837" s="1" t="s">
        <v>11675</v>
      </c>
      <c r="B5837" s="1" t="s">
        <v>11676</v>
      </c>
      <c r="C5837" s="1" t="s">
        <v>5</v>
      </c>
    </row>
    <row r="5838" spans="1:3" x14ac:dyDescent="0.25">
      <c r="A5838" s="1" t="s">
        <v>11677</v>
      </c>
      <c r="B5838" s="1" t="s">
        <v>11678</v>
      </c>
      <c r="C5838" s="1" t="s">
        <v>5</v>
      </c>
    </row>
    <row r="5839" spans="1:3" x14ac:dyDescent="0.25">
      <c r="A5839" s="1" t="s">
        <v>11679</v>
      </c>
      <c r="B5839" s="1" t="s">
        <v>11680</v>
      </c>
      <c r="C5839" s="1" t="s">
        <v>5</v>
      </c>
    </row>
    <row r="5840" spans="1:3" x14ac:dyDescent="0.25">
      <c r="A5840" s="1" t="s">
        <v>11681</v>
      </c>
      <c r="B5840" s="1" t="s">
        <v>11682</v>
      </c>
      <c r="C5840" s="1" t="s">
        <v>5</v>
      </c>
    </row>
    <row r="5841" spans="1:3" x14ac:dyDescent="0.25">
      <c r="A5841" s="1" t="s">
        <v>11683</v>
      </c>
      <c r="B5841" s="1" t="s">
        <v>11684</v>
      </c>
      <c r="C5841" s="1" t="s">
        <v>5</v>
      </c>
    </row>
    <row r="5842" spans="1:3" x14ac:dyDescent="0.25">
      <c r="A5842" s="1" t="s">
        <v>11685</v>
      </c>
      <c r="B5842" s="1" t="s">
        <v>11686</v>
      </c>
      <c r="C5842" s="1" t="s">
        <v>5</v>
      </c>
    </row>
    <row r="5843" spans="1:3" x14ac:dyDescent="0.25">
      <c r="A5843" s="1" t="s">
        <v>11687</v>
      </c>
      <c r="B5843" s="1" t="s">
        <v>11688</v>
      </c>
      <c r="C5843" s="1" t="s">
        <v>5</v>
      </c>
    </row>
    <row r="5844" spans="1:3" x14ac:dyDescent="0.25">
      <c r="A5844" s="1" t="s">
        <v>11689</v>
      </c>
      <c r="B5844" s="1" t="s">
        <v>11690</v>
      </c>
      <c r="C5844" s="1" t="s">
        <v>5</v>
      </c>
    </row>
    <row r="5845" spans="1:3" x14ac:dyDescent="0.25">
      <c r="A5845" s="1" t="s">
        <v>11691</v>
      </c>
      <c r="B5845" s="1" t="s">
        <v>11692</v>
      </c>
      <c r="C5845" s="1" t="s">
        <v>5</v>
      </c>
    </row>
    <row r="5846" spans="1:3" x14ac:dyDescent="0.25">
      <c r="A5846" s="1" t="s">
        <v>11693</v>
      </c>
      <c r="B5846" s="1" t="s">
        <v>11694</v>
      </c>
      <c r="C5846" s="1" t="s">
        <v>5</v>
      </c>
    </row>
    <row r="5847" spans="1:3" x14ac:dyDescent="0.25">
      <c r="A5847" s="1" t="s">
        <v>11695</v>
      </c>
      <c r="B5847" s="1" t="s">
        <v>11696</v>
      </c>
      <c r="C5847" s="1" t="s">
        <v>5</v>
      </c>
    </row>
    <row r="5848" spans="1:3" x14ac:dyDescent="0.25">
      <c r="A5848" s="1" t="s">
        <v>11697</v>
      </c>
      <c r="B5848" s="1" t="s">
        <v>11698</v>
      </c>
      <c r="C5848" s="1" t="s">
        <v>5</v>
      </c>
    </row>
    <row r="5849" spans="1:3" x14ac:dyDescent="0.25">
      <c r="A5849" s="1" t="s">
        <v>11699</v>
      </c>
      <c r="B5849" s="1" t="s">
        <v>11700</v>
      </c>
      <c r="C5849" s="1" t="s">
        <v>5</v>
      </c>
    </row>
    <row r="5850" spans="1:3" x14ac:dyDescent="0.25">
      <c r="A5850" s="1" t="s">
        <v>11701</v>
      </c>
      <c r="B5850" s="1" t="s">
        <v>11702</v>
      </c>
      <c r="C5850" s="1" t="s">
        <v>5</v>
      </c>
    </row>
    <row r="5851" spans="1:3" x14ac:dyDescent="0.25">
      <c r="A5851" s="1" t="s">
        <v>11703</v>
      </c>
      <c r="B5851" s="1" t="s">
        <v>11704</v>
      </c>
      <c r="C5851" s="1" t="s">
        <v>5</v>
      </c>
    </row>
    <row r="5852" spans="1:3" x14ac:dyDescent="0.25">
      <c r="A5852" s="1" t="s">
        <v>11705</v>
      </c>
      <c r="B5852" s="1" t="s">
        <v>11706</v>
      </c>
      <c r="C5852" s="1" t="s">
        <v>5</v>
      </c>
    </row>
    <row r="5853" spans="1:3" x14ac:dyDescent="0.25">
      <c r="A5853" s="1" t="s">
        <v>11707</v>
      </c>
      <c r="B5853" s="1" t="s">
        <v>11708</v>
      </c>
      <c r="C5853" s="1" t="s">
        <v>5</v>
      </c>
    </row>
    <row r="5854" spans="1:3" x14ac:dyDescent="0.25">
      <c r="A5854" s="1" t="s">
        <v>11709</v>
      </c>
      <c r="B5854" s="1" t="s">
        <v>11710</v>
      </c>
      <c r="C5854" s="1" t="s">
        <v>5</v>
      </c>
    </row>
    <row r="5855" spans="1:3" x14ac:dyDescent="0.25">
      <c r="A5855" s="1" t="s">
        <v>11711</v>
      </c>
      <c r="B5855" s="1" t="s">
        <v>11712</v>
      </c>
      <c r="C5855" s="1" t="s">
        <v>5</v>
      </c>
    </row>
    <row r="5856" spans="1:3" x14ac:dyDescent="0.25">
      <c r="A5856" s="1" t="s">
        <v>11713</v>
      </c>
      <c r="B5856" s="1" t="s">
        <v>11714</v>
      </c>
      <c r="C5856" s="1" t="s">
        <v>5</v>
      </c>
    </row>
    <row r="5857" spans="1:3" x14ac:dyDescent="0.25">
      <c r="A5857" s="1" t="s">
        <v>11715</v>
      </c>
      <c r="B5857" s="1" t="s">
        <v>11716</v>
      </c>
      <c r="C5857" s="1" t="s">
        <v>5</v>
      </c>
    </row>
    <row r="5858" spans="1:3" x14ac:dyDescent="0.25">
      <c r="A5858" s="1" t="s">
        <v>11717</v>
      </c>
      <c r="B5858" s="1" t="s">
        <v>11718</v>
      </c>
      <c r="C5858" s="1" t="s">
        <v>5</v>
      </c>
    </row>
    <row r="5859" spans="1:3" x14ac:dyDescent="0.25">
      <c r="A5859" s="1" t="s">
        <v>11719</v>
      </c>
      <c r="B5859" s="1" t="s">
        <v>11720</v>
      </c>
      <c r="C5859" s="1" t="s">
        <v>5</v>
      </c>
    </row>
    <row r="5860" spans="1:3" x14ac:dyDescent="0.25">
      <c r="A5860" s="1" t="s">
        <v>11721</v>
      </c>
      <c r="B5860" s="1" t="s">
        <v>11722</v>
      </c>
      <c r="C5860" s="1" t="s">
        <v>5</v>
      </c>
    </row>
    <row r="5861" spans="1:3" x14ac:dyDescent="0.25">
      <c r="A5861" s="1" t="s">
        <v>11723</v>
      </c>
      <c r="B5861" s="1" t="s">
        <v>11724</v>
      </c>
      <c r="C5861" s="1" t="s">
        <v>5</v>
      </c>
    </row>
    <row r="5862" spans="1:3" x14ac:dyDescent="0.25">
      <c r="A5862" s="1" t="s">
        <v>11725</v>
      </c>
      <c r="B5862" s="1" t="s">
        <v>11726</v>
      </c>
      <c r="C5862" s="1" t="s">
        <v>5</v>
      </c>
    </row>
    <row r="5863" spans="1:3" x14ac:dyDescent="0.25">
      <c r="A5863" s="1" t="s">
        <v>11727</v>
      </c>
      <c r="B5863" s="1" t="s">
        <v>11728</v>
      </c>
      <c r="C5863" s="1" t="s">
        <v>5</v>
      </c>
    </row>
    <row r="5864" spans="1:3" x14ac:dyDescent="0.25">
      <c r="A5864" s="1" t="s">
        <v>11729</v>
      </c>
      <c r="B5864" s="1" t="s">
        <v>11730</v>
      </c>
      <c r="C5864" s="1" t="s">
        <v>5</v>
      </c>
    </row>
    <row r="5865" spans="1:3" x14ac:dyDescent="0.25">
      <c r="A5865" s="1" t="s">
        <v>11731</v>
      </c>
      <c r="B5865" s="1" t="s">
        <v>11732</v>
      </c>
      <c r="C5865" s="1" t="s">
        <v>5</v>
      </c>
    </row>
    <row r="5866" spans="1:3" x14ac:dyDescent="0.25">
      <c r="A5866" s="1" t="s">
        <v>11733</v>
      </c>
      <c r="B5866" s="1" t="s">
        <v>11734</v>
      </c>
      <c r="C5866" s="1" t="s">
        <v>5</v>
      </c>
    </row>
    <row r="5867" spans="1:3" x14ac:dyDescent="0.25">
      <c r="A5867" s="1" t="s">
        <v>11735</v>
      </c>
      <c r="B5867" s="1" t="s">
        <v>11736</v>
      </c>
      <c r="C5867" s="1" t="s">
        <v>5</v>
      </c>
    </row>
    <row r="5868" spans="1:3" x14ac:dyDescent="0.25">
      <c r="A5868" s="1" t="s">
        <v>11737</v>
      </c>
      <c r="B5868" s="1" t="s">
        <v>11738</v>
      </c>
      <c r="C5868" s="1" t="s">
        <v>5</v>
      </c>
    </row>
    <row r="5869" spans="1:3" x14ac:dyDescent="0.25">
      <c r="A5869" s="1" t="s">
        <v>11739</v>
      </c>
      <c r="B5869" s="1" t="s">
        <v>11740</v>
      </c>
      <c r="C5869" s="1" t="s">
        <v>5</v>
      </c>
    </row>
    <row r="5870" spans="1:3" x14ac:dyDescent="0.25">
      <c r="A5870" s="1" t="s">
        <v>11741</v>
      </c>
      <c r="B5870" s="1" t="s">
        <v>11742</v>
      </c>
      <c r="C5870" s="1" t="s">
        <v>5</v>
      </c>
    </row>
    <row r="5871" spans="1:3" x14ac:dyDescent="0.25">
      <c r="A5871" s="1" t="s">
        <v>11743</v>
      </c>
      <c r="B5871" s="1" t="s">
        <v>11744</v>
      </c>
      <c r="C5871" s="1" t="s">
        <v>5</v>
      </c>
    </row>
    <row r="5872" spans="1:3" x14ac:dyDescent="0.25">
      <c r="A5872" s="1" t="s">
        <v>11745</v>
      </c>
      <c r="B5872" s="1" t="s">
        <v>11746</v>
      </c>
      <c r="C5872" s="1" t="s">
        <v>5</v>
      </c>
    </row>
    <row r="5873" spans="1:3" x14ac:dyDescent="0.25">
      <c r="A5873" s="1" t="s">
        <v>11747</v>
      </c>
      <c r="B5873" s="1" t="s">
        <v>11748</v>
      </c>
      <c r="C5873" s="1" t="s">
        <v>5</v>
      </c>
    </row>
    <row r="5874" spans="1:3" x14ac:dyDescent="0.25">
      <c r="A5874" s="1" t="s">
        <v>11749</v>
      </c>
      <c r="B5874" s="1" t="s">
        <v>11750</v>
      </c>
      <c r="C5874" s="1" t="s">
        <v>5</v>
      </c>
    </row>
    <row r="5875" spans="1:3" x14ac:dyDescent="0.25">
      <c r="A5875" s="1" t="s">
        <v>11751</v>
      </c>
      <c r="B5875" s="1" t="s">
        <v>11752</v>
      </c>
      <c r="C5875" s="1" t="s">
        <v>5</v>
      </c>
    </row>
    <row r="5876" spans="1:3" x14ac:dyDescent="0.25">
      <c r="A5876" s="1" t="s">
        <v>11753</v>
      </c>
      <c r="B5876" s="1" t="s">
        <v>11754</v>
      </c>
      <c r="C5876" s="1" t="s">
        <v>5</v>
      </c>
    </row>
    <row r="5877" spans="1:3" x14ac:dyDescent="0.25">
      <c r="A5877" s="1" t="s">
        <v>11755</v>
      </c>
      <c r="B5877" s="1" t="s">
        <v>11756</v>
      </c>
      <c r="C5877" s="1" t="s">
        <v>5</v>
      </c>
    </row>
    <row r="5878" spans="1:3" x14ac:dyDescent="0.25">
      <c r="A5878" s="1" t="s">
        <v>11757</v>
      </c>
      <c r="B5878" s="1" t="s">
        <v>11758</v>
      </c>
      <c r="C5878" s="1" t="s">
        <v>5</v>
      </c>
    </row>
    <row r="5879" spans="1:3" x14ac:dyDescent="0.25">
      <c r="A5879" s="1" t="s">
        <v>11759</v>
      </c>
      <c r="B5879" s="1" t="s">
        <v>11760</v>
      </c>
      <c r="C5879" s="1" t="s">
        <v>5</v>
      </c>
    </row>
    <row r="5880" spans="1:3" x14ac:dyDescent="0.25">
      <c r="A5880" s="1" t="s">
        <v>11761</v>
      </c>
      <c r="B5880" s="1" t="s">
        <v>11762</v>
      </c>
      <c r="C5880" s="1" t="s">
        <v>5</v>
      </c>
    </row>
    <row r="5881" spans="1:3" x14ac:dyDescent="0.25">
      <c r="A5881" s="1" t="s">
        <v>11763</v>
      </c>
      <c r="B5881" s="1" t="s">
        <v>11764</v>
      </c>
      <c r="C5881" s="1" t="s">
        <v>5</v>
      </c>
    </row>
    <row r="5882" spans="1:3" x14ac:dyDescent="0.25">
      <c r="A5882" s="1" t="s">
        <v>11765</v>
      </c>
      <c r="B5882" s="1" t="s">
        <v>11766</v>
      </c>
      <c r="C5882" s="1" t="s">
        <v>5</v>
      </c>
    </row>
    <row r="5883" spans="1:3" x14ac:dyDescent="0.25">
      <c r="A5883" s="1" t="s">
        <v>11767</v>
      </c>
      <c r="B5883" s="1" t="s">
        <v>11768</v>
      </c>
      <c r="C5883" s="1" t="s">
        <v>5</v>
      </c>
    </row>
    <row r="5884" spans="1:3" x14ac:dyDescent="0.25">
      <c r="A5884" s="1" t="s">
        <v>11769</v>
      </c>
      <c r="B5884" s="1" t="s">
        <v>11770</v>
      </c>
      <c r="C5884" s="1" t="s">
        <v>5</v>
      </c>
    </row>
    <row r="5885" spans="1:3" x14ac:dyDescent="0.25">
      <c r="A5885" s="1" t="s">
        <v>11771</v>
      </c>
      <c r="B5885" s="1" t="s">
        <v>11772</v>
      </c>
      <c r="C5885" s="1" t="s">
        <v>5</v>
      </c>
    </row>
    <row r="5886" spans="1:3" x14ac:dyDescent="0.25">
      <c r="A5886" s="1" t="s">
        <v>11773</v>
      </c>
      <c r="B5886" s="1" t="s">
        <v>11774</v>
      </c>
      <c r="C5886" s="1" t="s">
        <v>5</v>
      </c>
    </row>
    <row r="5887" spans="1:3" x14ac:dyDescent="0.25">
      <c r="A5887" s="1" t="s">
        <v>11775</v>
      </c>
      <c r="B5887" s="1" t="s">
        <v>11776</v>
      </c>
      <c r="C5887" s="1" t="s">
        <v>5</v>
      </c>
    </row>
    <row r="5888" spans="1:3" x14ac:dyDescent="0.25">
      <c r="A5888" s="1" t="s">
        <v>11777</v>
      </c>
      <c r="B5888" s="1" t="s">
        <v>11778</v>
      </c>
      <c r="C5888" s="1" t="s">
        <v>5</v>
      </c>
    </row>
    <row r="5889" spans="1:3" x14ac:dyDescent="0.25">
      <c r="A5889" s="1" t="s">
        <v>11779</v>
      </c>
      <c r="B5889" s="1" t="s">
        <v>11780</v>
      </c>
      <c r="C5889" s="1" t="s">
        <v>5</v>
      </c>
    </row>
    <row r="5890" spans="1:3" x14ac:dyDescent="0.25">
      <c r="A5890" s="1" t="s">
        <v>11781</v>
      </c>
      <c r="B5890" s="1" t="s">
        <v>11782</v>
      </c>
      <c r="C5890" s="1" t="s">
        <v>5</v>
      </c>
    </row>
    <row r="5891" spans="1:3" x14ac:dyDescent="0.25">
      <c r="A5891" s="1" t="s">
        <v>11783</v>
      </c>
      <c r="B5891" s="1" t="s">
        <v>11784</v>
      </c>
      <c r="C5891" s="1" t="s">
        <v>5</v>
      </c>
    </row>
    <row r="5892" spans="1:3" x14ac:dyDescent="0.25">
      <c r="A5892" s="1" t="s">
        <v>11785</v>
      </c>
      <c r="B5892" s="1" t="s">
        <v>11786</v>
      </c>
      <c r="C5892" s="1" t="s">
        <v>5</v>
      </c>
    </row>
    <row r="5893" spans="1:3" x14ac:dyDescent="0.25">
      <c r="A5893" s="1" t="s">
        <v>11787</v>
      </c>
      <c r="B5893" s="1" t="s">
        <v>11788</v>
      </c>
      <c r="C5893" s="1" t="s">
        <v>5</v>
      </c>
    </row>
    <row r="5894" spans="1:3" x14ac:dyDescent="0.25">
      <c r="A5894" s="1" t="s">
        <v>11789</v>
      </c>
      <c r="B5894" s="1" t="s">
        <v>11790</v>
      </c>
      <c r="C5894" s="1" t="s">
        <v>5</v>
      </c>
    </row>
    <row r="5895" spans="1:3" x14ac:dyDescent="0.25">
      <c r="A5895" s="1" t="s">
        <v>11791</v>
      </c>
      <c r="B5895" s="1" t="s">
        <v>11792</v>
      </c>
      <c r="C5895" s="1" t="s">
        <v>5</v>
      </c>
    </row>
    <row r="5896" spans="1:3" x14ac:dyDescent="0.25">
      <c r="A5896" s="1" t="s">
        <v>11793</v>
      </c>
      <c r="B5896" s="1" t="s">
        <v>11794</v>
      </c>
      <c r="C5896" s="1" t="s">
        <v>5</v>
      </c>
    </row>
    <row r="5897" spans="1:3" x14ac:dyDescent="0.25">
      <c r="A5897" s="1" t="s">
        <v>11795</v>
      </c>
      <c r="B5897" s="1" t="s">
        <v>11796</v>
      </c>
      <c r="C5897" s="1" t="s">
        <v>5</v>
      </c>
    </row>
    <row r="5898" spans="1:3" x14ac:dyDescent="0.25">
      <c r="A5898" s="1" t="s">
        <v>11797</v>
      </c>
      <c r="B5898" s="1" t="s">
        <v>11798</v>
      </c>
      <c r="C5898" s="1" t="s">
        <v>5</v>
      </c>
    </row>
    <row r="5899" spans="1:3" x14ac:dyDescent="0.25">
      <c r="A5899" s="1" t="s">
        <v>11799</v>
      </c>
      <c r="B5899" s="1" t="s">
        <v>7178</v>
      </c>
      <c r="C5899" s="1" t="s">
        <v>5</v>
      </c>
    </row>
    <row r="5900" spans="1:3" x14ac:dyDescent="0.25">
      <c r="A5900" s="1" t="s">
        <v>11800</v>
      </c>
      <c r="B5900" s="1" t="s">
        <v>11801</v>
      </c>
      <c r="C5900" s="1" t="s">
        <v>5</v>
      </c>
    </row>
    <row r="5901" spans="1:3" x14ac:dyDescent="0.25">
      <c r="A5901" s="1" t="s">
        <v>11802</v>
      </c>
      <c r="B5901" s="1" t="s">
        <v>7212</v>
      </c>
      <c r="C5901" s="1" t="s">
        <v>5</v>
      </c>
    </row>
    <row r="5902" spans="1:3" x14ac:dyDescent="0.25">
      <c r="A5902" s="1" t="s">
        <v>11803</v>
      </c>
      <c r="B5902" s="1" t="s">
        <v>11804</v>
      </c>
      <c r="C5902" s="1" t="s">
        <v>5</v>
      </c>
    </row>
    <row r="5903" spans="1:3" x14ac:dyDescent="0.25">
      <c r="A5903" s="1" t="s">
        <v>11805</v>
      </c>
      <c r="B5903" s="1" t="s">
        <v>11806</v>
      </c>
      <c r="C5903" s="1" t="s">
        <v>5</v>
      </c>
    </row>
    <row r="5904" spans="1:3" x14ac:dyDescent="0.25">
      <c r="A5904" s="1" t="s">
        <v>11807</v>
      </c>
      <c r="B5904" s="1" t="s">
        <v>11808</v>
      </c>
      <c r="C5904" s="1" t="s">
        <v>5</v>
      </c>
    </row>
    <row r="5905" spans="1:3" x14ac:dyDescent="0.25">
      <c r="A5905" s="1" t="s">
        <v>11809</v>
      </c>
      <c r="B5905" s="1" t="s">
        <v>11810</v>
      </c>
      <c r="C5905" s="1" t="s">
        <v>5</v>
      </c>
    </row>
    <row r="5906" spans="1:3" x14ac:dyDescent="0.25">
      <c r="A5906" s="1" t="s">
        <v>11811</v>
      </c>
      <c r="B5906" s="1" t="s">
        <v>11812</v>
      </c>
      <c r="C5906" s="1" t="s">
        <v>5</v>
      </c>
    </row>
    <row r="5907" spans="1:3" x14ac:dyDescent="0.25">
      <c r="A5907" s="1" t="s">
        <v>11813</v>
      </c>
      <c r="B5907" s="1" t="s">
        <v>11814</v>
      </c>
      <c r="C5907" s="1" t="s">
        <v>5</v>
      </c>
    </row>
    <row r="5908" spans="1:3" x14ac:dyDescent="0.25">
      <c r="A5908" s="1" t="s">
        <v>11815</v>
      </c>
      <c r="B5908" s="1" t="s">
        <v>11816</v>
      </c>
      <c r="C5908" s="1" t="s">
        <v>5</v>
      </c>
    </row>
    <row r="5909" spans="1:3" x14ac:dyDescent="0.25">
      <c r="A5909" s="1" t="s">
        <v>11817</v>
      </c>
      <c r="B5909" s="1" t="s">
        <v>11818</v>
      </c>
      <c r="C5909" s="1" t="s">
        <v>5</v>
      </c>
    </row>
    <row r="5910" spans="1:3" x14ac:dyDescent="0.25">
      <c r="A5910" s="1" t="s">
        <v>11819</v>
      </c>
      <c r="B5910" s="1" t="s">
        <v>11820</v>
      </c>
      <c r="C5910" s="1" t="s">
        <v>5</v>
      </c>
    </row>
    <row r="5911" spans="1:3" x14ac:dyDescent="0.25">
      <c r="A5911" s="1" t="s">
        <v>11821</v>
      </c>
      <c r="B5911" s="1" t="s">
        <v>11822</v>
      </c>
      <c r="C5911" s="1" t="s">
        <v>5</v>
      </c>
    </row>
    <row r="5912" spans="1:3" x14ac:dyDescent="0.25">
      <c r="A5912" s="1" t="s">
        <v>11823</v>
      </c>
      <c r="B5912" s="1" t="s">
        <v>11824</v>
      </c>
      <c r="C5912" s="1" t="s">
        <v>5</v>
      </c>
    </row>
    <row r="5913" spans="1:3" x14ac:dyDescent="0.25">
      <c r="A5913" s="1" t="s">
        <v>11825</v>
      </c>
      <c r="B5913" s="1" t="s">
        <v>11826</v>
      </c>
      <c r="C5913" s="1" t="s">
        <v>5</v>
      </c>
    </row>
    <row r="5914" spans="1:3" x14ac:dyDescent="0.25">
      <c r="A5914" s="1" t="s">
        <v>11827</v>
      </c>
      <c r="B5914" s="1" t="s">
        <v>11828</v>
      </c>
      <c r="C5914" s="1" t="s">
        <v>5</v>
      </c>
    </row>
    <row r="5915" spans="1:3" x14ac:dyDescent="0.25">
      <c r="A5915" s="1" t="s">
        <v>11829</v>
      </c>
      <c r="B5915" s="1" t="s">
        <v>11830</v>
      </c>
      <c r="C5915" s="1" t="s">
        <v>5</v>
      </c>
    </row>
    <row r="5916" spans="1:3" x14ac:dyDescent="0.25">
      <c r="A5916" s="1" t="s">
        <v>11831</v>
      </c>
      <c r="B5916" s="1" t="s">
        <v>11832</v>
      </c>
      <c r="C5916" s="1" t="s">
        <v>5</v>
      </c>
    </row>
    <row r="5917" spans="1:3" x14ac:dyDescent="0.25">
      <c r="A5917" s="1" t="s">
        <v>11833</v>
      </c>
      <c r="B5917" s="1" t="s">
        <v>11834</v>
      </c>
      <c r="C5917" s="1" t="s">
        <v>5</v>
      </c>
    </row>
    <row r="5918" spans="1:3" x14ac:dyDescent="0.25">
      <c r="A5918" s="1" t="s">
        <v>11835</v>
      </c>
      <c r="B5918" s="1" t="s">
        <v>11836</v>
      </c>
      <c r="C5918" s="1" t="s">
        <v>5</v>
      </c>
    </row>
    <row r="5919" spans="1:3" x14ac:dyDescent="0.25">
      <c r="A5919" s="1" t="s">
        <v>11837</v>
      </c>
      <c r="B5919" s="1" t="s">
        <v>11838</v>
      </c>
      <c r="C5919" s="1" t="s">
        <v>5</v>
      </c>
    </row>
    <row r="5920" spans="1:3" x14ac:dyDescent="0.25">
      <c r="A5920" s="1" t="s">
        <v>11839</v>
      </c>
      <c r="B5920" s="1" t="s">
        <v>11840</v>
      </c>
      <c r="C5920" s="1" t="s">
        <v>5</v>
      </c>
    </row>
    <row r="5921" spans="1:3" x14ac:dyDescent="0.25">
      <c r="A5921" s="1" t="s">
        <v>11841</v>
      </c>
      <c r="B5921" s="1" t="s">
        <v>11842</v>
      </c>
      <c r="C5921" s="1" t="s">
        <v>5</v>
      </c>
    </row>
    <row r="5922" spans="1:3" x14ac:dyDescent="0.25">
      <c r="A5922" s="1" t="s">
        <v>11843</v>
      </c>
      <c r="B5922" s="1" t="s">
        <v>11844</v>
      </c>
      <c r="C5922" s="1" t="s">
        <v>5</v>
      </c>
    </row>
    <row r="5923" spans="1:3" x14ac:dyDescent="0.25">
      <c r="A5923" s="1" t="s">
        <v>11845</v>
      </c>
      <c r="B5923" s="1" t="s">
        <v>11846</v>
      </c>
      <c r="C5923" s="1" t="s">
        <v>5</v>
      </c>
    </row>
    <row r="5924" spans="1:3" x14ac:dyDescent="0.25">
      <c r="A5924" s="1" t="s">
        <v>11847</v>
      </c>
      <c r="B5924" s="1" t="s">
        <v>11848</v>
      </c>
      <c r="C5924" s="1" t="s">
        <v>5</v>
      </c>
    </row>
    <row r="5925" spans="1:3" x14ac:dyDescent="0.25">
      <c r="A5925" s="1" t="s">
        <v>11849</v>
      </c>
      <c r="B5925" s="1" t="s">
        <v>11850</v>
      </c>
      <c r="C5925" s="1" t="s">
        <v>5</v>
      </c>
    </row>
    <row r="5926" spans="1:3" x14ac:dyDescent="0.25">
      <c r="A5926" s="1" t="s">
        <v>11851</v>
      </c>
      <c r="B5926" s="1" t="s">
        <v>11852</v>
      </c>
      <c r="C5926" s="1" t="s">
        <v>5</v>
      </c>
    </row>
    <row r="5927" spans="1:3" x14ac:dyDescent="0.25">
      <c r="A5927" s="1" t="s">
        <v>11853</v>
      </c>
      <c r="B5927" s="1" t="s">
        <v>11854</v>
      </c>
      <c r="C5927" s="1" t="s">
        <v>5</v>
      </c>
    </row>
    <row r="5928" spans="1:3" x14ac:dyDescent="0.25">
      <c r="A5928" s="1" t="s">
        <v>11855</v>
      </c>
      <c r="B5928" s="1" t="s">
        <v>11856</v>
      </c>
      <c r="C5928" s="1" t="s">
        <v>5</v>
      </c>
    </row>
    <row r="5929" spans="1:3" x14ac:dyDescent="0.25">
      <c r="A5929" s="1" t="s">
        <v>11857</v>
      </c>
      <c r="B5929" s="1" t="s">
        <v>11858</v>
      </c>
      <c r="C5929" s="1" t="s">
        <v>5</v>
      </c>
    </row>
    <row r="5930" spans="1:3" x14ac:dyDescent="0.25">
      <c r="A5930" s="1" t="s">
        <v>11859</v>
      </c>
      <c r="B5930" s="1" t="s">
        <v>11860</v>
      </c>
      <c r="C5930" s="1" t="s">
        <v>5</v>
      </c>
    </row>
    <row r="5931" spans="1:3" x14ac:dyDescent="0.25">
      <c r="A5931" s="1" t="s">
        <v>11861</v>
      </c>
      <c r="B5931" s="1" t="s">
        <v>11862</v>
      </c>
      <c r="C5931" s="1" t="s">
        <v>5</v>
      </c>
    </row>
    <row r="5932" spans="1:3" x14ac:dyDescent="0.25">
      <c r="A5932" s="1" t="s">
        <v>11863</v>
      </c>
      <c r="B5932" s="1" t="s">
        <v>11864</v>
      </c>
      <c r="C5932" s="1" t="s">
        <v>5</v>
      </c>
    </row>
    <row r="5933" spans="1:3" x14ac:dyDescent="0.25">
      <c r="A5933" s="1" t="s">
        <v>11865</v>
      </c>
      <c r="B5933" s="1" t="s">
        <v>11866</v>
      </c>
      <c r="C5933" s="1" t="s">
        <v>5</v>
      </c>
    </row>
    <row r="5934" spans="1:3" x14ac:dyDescent="0.25">
      <c r="A5934" s="1" t="s">
        <v>11867</v>
      </c>
      <c r="B5934" s="1" t="s">
        <v>11868</v>
      </c>
      <c r="C5934" s="1" t="s">
        <v>5</v>
      </c>
    </row>
    <row r="5935" spans="1:3" x14ac:dyDescent="0.25">
      <c r="A5935" s="1" t="s">
        <v>11869</v>
      </c>
      <c r="B5935" s="1" t="s">
        <v>11870</v>
      </c>
      <c r="C5935" s="1" t="s">
        <v>5</v>
      </c>
    </row>
    <row r="5936" spans="1:3" x14ac:dyDescent="0.25">
      <c r="A5936" s="1" t="s">
        <v>11871</v>
      </c>
      <c r="B5936" s="1" t="s">
        <v>11872</v>
      </c>
      <c r="C5936" s="1" t="s">
        <v>5</v>
      </c>
    </row>
    <row r="5937" spans="1:3" x14ac:dyDescent="0.25">
      <c r="A5937" s="1" t="s">
        <v>11873</v>
      </c>
      <c r="B5937" s="1" t="s">
        <v>11874</v>
      </c>
      <c r="C5937" s="1" t="s">
        <v>5</v>
      </c>
    </row>
    <row r="5938" spans="1:3" x14ac:dyDescent="0.25">
      <c r="A5938" s="1" t="s">
        <v>11875</v>
      </c>
      <c r="B5938" s="1" t="s">
        <v>11876</v>
      </c>
      <c r="C5938" s="1" t="s">
        <v>5</v>
      </c>
    </row>
    <row r="5939" spans="1:3" x14ac:dyDescent="0.25">
      <c r="A5939" s="1" t="s">
        <v>11877</v>
      </c>
      <c r="B5939" s="1" t="s">
        <v>11878</v>
      </c>
      <c r="C5939" s="1" t="s">
        <v>5</v>
      </c>
    </row>
    <row r="5940" spans="1:3" x14ac:dyDescent="0.25">
      <c r="A5940" s="1" t="s">
        <v>11879</v>
      </c>
      <c r="B5940" s="1" t="s">
        <v>11880</v>
      </c>
      <c r="C5940" s="1" t="s">
        <v>5</v>
      </c>
    </row>
    <row r="5941" spans="1:3" x14ac:dyDescent="0.25">
      <c r="A5941" s="1" t="s">
        <v>11881</v>
      </c>
      <c r="B5941" s="1" t="s">
        <v>11882</v>
      </c>
      <c r="C5941" s="1" t="s">
        <v>5</v>
      </c>
    </row>
    <row r="5942" spans="1:3" x14ac:dyDescent="0.25">
      <c r="A5942" s="1" t="s">
        <v>11883</v>
      </c>
      <c r="B5942" s="1" t="s">
        <v>11884</v>
      </c>
      <c r="C5942" s="1" t="s">
        <v>5</v>
      </c>
    </row>
    <row r="5943" spans="1:3" x14ac:dyDescent="0.25">
      <c r="A5943" s="1" t="s">
        <v>11885</v>
      </c>
      <c r="B5943" s="1" t="s">
        <v>11886</v>
      </c>
      <c r="C5943" s="1" t="s">
        <v>5</v>
      </c>
    </row>
    <row r="5944" spans="1:3" x14ac:dyDescent="0.25">
      <c r="A5944" s="1" t="s">
        <v>11887</v>
      </c>
      <c r="B5944" s="1" t="s">
        <v>11888</v>
      </c>
      <c r="C5944" s="1" t="s">
        <v>5</v>
      </c>
    </row>
    <row r="5945" spans="1:3" x14ac:dyDescent="0.25">
      <c r="A5945" s="1" t="s">
        <v>11889</v>
      </c>
      <c r="B5945" s="1" t="s">
        <v>11890</v>
      </c>
      <c r="C5945" s="1" t="s">
        <v>5</v>
      </c>
    </row>
    <row r="5946" spans="1:3" x14ac:dyDescent="0.25">
      <c r="A5946" s="1" t="s">
        <v>11891</v>
      </c>
      <c r="B5946" s="1" t="s">
        <v>11892</v>
      </c>
      <c r="C5946" s="1" t="s">
        <v>5</v>
      </c>
    </row>
    <row r="5947" spans="1:3" x14ac:dyDescent="0.25">
      <c r="A5947" s="1" t="s">
        <v>11893</v>
      </c>
      <c r="B5947" s="1" t="s">
        <v>11894</v>
      </c>
      <c r="C5947" s="1" t="s">
        <v>5</v>
      </c>
    </row>
    <row r="5948" spans="1:3" x14ac:dyDescent="0.25">
      <c r="A5948" s="1" t="s">
        <v>11895</v>
      </c>
      <c r="B5948" s="1" t="s">
        <v>11896</v>
      </c>
      <c r="C5948" s="1" t="s">
        <v>5</v>
      </c>
    </row>
    <row r="5949" spans="1:3" x14ac:dyDescent="0.25">
      <c r="A5949" s="1" t="s">
        <v>11897</v>
      </c>
      <c r="B5949" s="1" t="s">
        <v>11898</v>
      </c>
      <c r="C5949" s="1" t="s">
        <v>5</v>
      </c>
    </row>
    <row r="5950" spans="1:3" x14ac:dyDescent="0.25">
      <c r="A5950" s="1" t="s">
        <v>11899</v>
      </c>
      <c r="B5950" s="1" t="s">
        <v>11900</v>
      </c>
      <c r="C5950" s="1" t="s">
        <v>5</v>
      </c>
    </row>
    <row r="5951" spans="1:3" x14ac:dyDescent="0.25">
      <c r="A5951" s="1" t="s">
        <v>11901</v>
      </c>
      <c r="B5951" s="1" t="s">
        <v>11902</v>
      </c>
      <c r="C5951" s="1" t="s">
        <v>5</v>
      </c>
    </row>
    <row r="5952" spans="1:3" x14ac:dyDescent="0.25">
      <c r="A5952" s="1" t="s">
        <v>11903</v>
      </c>
      <c r="B5952" s="1" t="s">
        <v>11904</v>
      </c>
      <c r="C5952" s="1" t="s">
        <v>5</v>
      </c>
    </row>
    <row r="5953" spans="1:3" x14ac:dyDescent="0.25">
      <c r="A5953" s="1" t="s">
        <v>11905</v>
      </c>
      <c r="B5953" s="1" t="s">
        <v>11906</v>
      </c>
      <c r="C5953" s="1" t="s">
        <v>5</v>
      </c>
    </row>
    <row r="5954" spans="1:3" x14ac:dyDescent="0.25">
      <c r="A5954" s="1" t="s">
        <v>11907</v>
      </c>
      <c r="B5954" s="1" t="s">
        <v>11908</v>
      </c>
      <c r="C5954" s="1" t="s">
        <v>5</v>
      </c>
    </row>
    <row r="5955" spans="1:3" x14ac:dyDescent="0.25">
      <c r="A5955" s="1" t="s">
        <v>11909</v>
      </c>
      <c r="B5955" s="1" t="s">
        <v>11910</v>
      </c>
      <c r="C5955" s="1" t="s">
        <v>5</v>
      </c>
    </row>
    <row r="5956" spans="1:3" x14ac:dyDescent="0.25">
      <c r="A5956" s="1" t="s">
        <v>11911</v>
      </c>
      <c r="B5956" s="1" t="s">
        <v>11912</v>
      </c>
      <c r="C5956" s="1" t="s">
        <v>5</v>
      </c>
    </row>
    <row r="5957" spans="1:3" x14ac:dyDescent="0.25">
      <c r="A5957" s="1" t="s">
        <v>11913</v>
      </c>
      <c r="B5957" s="1" t="s">
        <v>11914</v>
      </c>
      <c r="C5957" s="1" t="s">
        <v>5</v>
      </c>
    </row>
    <row r="5958" spans="1:3" x14ac:dyDescent="0.25">
      <c r="A5958" s="1" t="s">
        <v>11915</v>
      </c>
      <c r="B5958" s="1" t="s">
        <v>11916</v>
      </c>
      <c r="C5958" s="1" t="s">
        <v>5</v>
      </c>
    </row>
    <row r="5959" spans="1:3" x14ac:dyDescent="0.25">
      <c r="A5959" s="1" t="s">
        <v>11917</v>
      </c>
      <c r="B5959" s="1" t="s">
        <v>11918</v>
      </c>
      <c r="C5959" s="1" t="s">
        <v>5</v>
      </c>
    </row>
    <row r="5960" spans="1:3" x14ac:dyDescent="0.25">
      <c r="A5960" s="1" t="s">
        <v>11919</v>
      </c>
      <c r="B5960" s="1" t="s">
        <v>11920</v>
      </c>
      <c r="C5960" s="1" t="s">
        <v>5</v>
      </c>
    </row>
    <row r="5961" spans="1:3" x14ac:dyDescent="0.25">
      <c r="A5961" s="1" t="s">
        <v>11921</v>
      </c>
      <c r="B5961" s="1" t="s">
        <v>11922</v>
      </c>
      <c r="C5961" s="1" t="s">
        <v>5</v>
      </c>
    </row>
    <row r="5962" spans="1:3" x14ac:dyDescent="0.25">
      <c r="A5962" s="1" t="s">
        <v>11923</v>
      </c>
      <c r="B5962" s="1" t="s">
        <v>11924</v>
      </c>
      <c r="C5962" s="1" t="s">
        <v>5</v>
      </c>
    </row>
    <row r="5963" spans="1:3" x14ac:dyDescent="0.25">
      <c r="A5963" s="1" t="s">
        <v>11925</v>
      </c>
      <c r="B5963" s="1" t="s">
        <v>11926</v>
      </c>
      <c r="C5963" s="1" t="s">
        <v>5</v>
      </c>
    </row>
    <row r="5964" spans="1:3" x14ac:dyDescent="0.25">
      <c r="A5964" s="1" t="s">
        <v>11927</v>
      </c>
      <c r="B5964" s="1" t="s">
        <v>11928</v>
      </c>
      <c r="C5964" s="1" t="s">
        <v>5</v>
      </c>
    </row>
    <row r="5965" spans="1:3" x14ac:dyDescent="0.25">
      <c r="A5965" s="1" t="s">
        <v>11929</v>
      </c>
      <c r="B5965" s="1" t="s">
        <v>11930</v>
      </c>
      <c r="C5965" s="1" t="s">
        <v>5</v>
      </c>
    </row>
    <row r="5966" spans="1:3" x14ac:dyDescent="0.25">
      <c r="A5966" s="1" t="s">
        <v>11931</v>
      </c>
      <c r="B5966" s="1" t="s">
        <v>11932</v>
      </c>
      <c r="C5966" s="1" t="s">
        <v>5</v>
      </c>
    </row>
    <row r="5967" spans="1:3" x14ac:dyDescent="0.25">
      <c r="A5967" s="1" t="s">
        <v>11933</v>
      </c>
      <c r="B5967" s="1" t="s">
        <v>11934</v>
      </c>
      <c r="C5967" s="1" t="s">
        <v>5</v>
      </c>
    </row>
    <row r="5968" spans="1:3" x14ac:dyDescent="0.25">
      <c r="A5968" s="1" t="s">
        <v>11935</v>
      </c>
      <c r="B5968" s="1" t="s">
        <v>11936</v>
      </c>
      <c r="C5968" s="1" t="s">
        <v>5</v>
      </c>
    </row>
    <row r="5969" spans="1:3" x14ac:dyDescent="0.25">
      <c r="A5969" s="1" t="s">
        <v>11937</v>
      </c>
      <c r="B5969" s="1" t="s">
        <v>11938</v>
      </c>
      <c r="C5969" s="1" t="s">
        <v>5</v>
      </c>
    </row>
    <row r="5970" spans="1:3" x14ac:dyDescent="0.25">
      <c r="A5970" s="1" t="s">
        <v>11939</v>
      </c>
      <c r="B5970" s="1" t="s">
        <v>11940</v>
      </c>
      <c r="C5970" s="1" t="s">
        <v>5</v>
      </c>
    </row>
    <row r="5971" spans="1:3" x14ac:dyDescent="0.25">
      <c r="A5971" s="1" t="s">
        <v>11941</v>
      </c>
      <c r="B5971" s="1" t="s">
        <v>11942</v>
      </c>
      <c r="C5971" s="1" t="s">
        <v>5</v>
      </c>
    </row>
    <row r="5972" spans="1:3" x14ac:dyDescent="0.25">
      <c r="A5972" s="1" t="s">
        <v>11943</v>
      </c>
      <c r="B5972" s="1" t="s">
        <v>11944</v>
      </c>
      <c r="C5972" s="1" t="s">
        <v>5</v>
      </c>
    </row>
    <row r="5973" spans="1:3" x14ac:dyDescent="0.25">
      <c r="A5973" s="1" t="s">
        <v>11945</v>
      </c>
      <c r="B5973" s="1" t="s">
        <v>11946</v>
      </c>
      <c r="C5973" s="1" t="s">
        <v>5</v>
      </c>
    </row>
    <row r="5974" spans="1:3" x14ac:dyDescent="0.25">
      <c r="A5974" s="1" t="s">
        <v>11947</v>
      </c>
      <c r="B5974" s="1" t="s">
        <v>11948</v>
      </c>
      <c r="C5974" s="1" t="s">
        <v>5</v>
      </c>
    </row>
    <row r="5975" spans="1:3" x14ac:dyDescent="0.25">
      <c r="A5975" s="1" t="s">
        <v>11949</v>
      </c>
      <c r="B5975" s="1" t="s">
        <v>11950</v>
      </c>
      <c r="C5975" s="1" t="s">
        <v>5</v>
      </c>
    </row>
    <row r="5976" spans="1:3" x14ac:dyDescent="0.25">
      <c r="A5976" s="1" t="s">
        <v>11951</v>
      </c>
      <c r="B5976" s="1" t="s">
        <v>11952</v>
      </c>
      <c r="C5976" s="1" t="s">
        <v>5</v>
      </c>
    </row>
    <row r="5977" spans="1:3" x14ac:dyDescent="0.25">
      <c r="A5977" s="1" t="s">
        <v>11953</v>
      </c>
      <c r="B5977" s="1" t="s">
        <v>11954</v>
      </c>
      <c r="C5977" s="1" t="s">
        <v>5</v>
      </c>
    </row>
    <row r="5978" spans="1:3" x14ac:dyDescent="0.25">
      <c r="A5978" s="1" t="s">
        <v>11955</v>
      </c>
      <c r="B5978" s="1" t="s">
        <v>11956</v>
      </c>
      <c r="C5978" s="1" t="s">
        <v>5</v>
      </c>
    </row>
    <row r="5979" spans="1:3" x14ac:dyDescent="0.25">
      <c r="A5979" s="1" t="s">
        <v>11957</v>
      </c>
      <c r="B5979" s="1" t="s">
        <v>11958</v>
      </c>
      <c r="C5979" s="1" t="s">
        <v>5</v>
      </c>
    </row>
    <row r="5980" spans="1:3" x14ac:dyDescent="0.25">
      <c r="A5980" s="1" t="s">
        <v>11959</v>
      </c>
      <c r="B5980" s="1" t="s">
        <v>11960</v>
      </c>
      <c r="C5980" s="1" t="s">
        <v>5</v>
      </c>
    </row>
    <row r="5981" spans="1:3" x14ac:dyDescent="0.25">
      <c r="A5981" s="1" t="s">
        <v>11961</v>
      </c>
      <c r="B5981" s="1" t="s">
        <v>11962</v>
      </c>
      <c r="C5981" s="1" t="s">
        <v>5</v>
      </c>
    </row>
    <row r="5982" spans="1:3" x14ac:dyDescent="0.25">
      <c r="A5982" s="1" t="s">
        <v>11963</v>
      </c>
      <c r="B5982" s="1" t="s">
        <v>11964</v>
      </c>
      <c r="C5982" s="1" t="s">
        <v>5</v>
      </c>
    </row>
    <row r="5983" spans="1:3" x14ac:dyDescent="0.25">
      <c r="A5983" s="1" t="s">
        <v>11965</v>
      </c>
      <c r="B5983" s="1" t="s">
        <v>11966</v>
      </c>
      <c r="C5983" s="1" t="s">
        <v>5</v>
      </c>
    </row>
    <row r="5984" spans="1:3" x14ac:dyDescent="0.25">
      <c r="A5984" s="1" t="s">
        <v>11967</v>
      </c>
      <c r="B5984" s="1" t="s">
        <v>11968</v>
      </c>
      <c r="C5984" s="1" t="s">
        <v>5</v>
      </c>
    </row>
    <row r="5985" spans="1:3" x14ac:dyDescent="0.25">
      <c r="A5985" s="1" t="s">
        <v>11969</v>
      </c>
      <c r="B5985" s="1" t="s">
        <v>11970</v>
      </c>
      <c r="C5985" s="1" t="s">
        <v>5</v>
      </c>
    </row>
    <row r="5986" spans="1:3" x14ac:dyDescent="0.25">
      <c r="A5986" s="1" t="s">
        <v>11971</v>
      </c>
      <c r="B5986" s="1" t="s">
        <v>11972</v>
      </c>
      <c r="C5986" s="1" t="s">
        <v>5</v>
      </c>
    </row>
    <row r="5987" spans="1:3" x14ac:dyDescent="0.25">
      <c r="A5987" s="1" t="s">
        <v>11973</v>
      </c>
      <c r="B5987" s="1" t="s">
        <v>11974</v>
      </c>
      <c r="C5987" s="1" t="s">
        <v>5</v>
      </c>
    </row>
    <row r="5988" spans="1:3" x14ac:dyDescent="0.25">
      <c r="A5988" s="1" t="s">
        <v>11975</v>
      </c>
      <c r="B5988" s="1" t="s">
        <v>11976</v>
      </c>
      <c r="C5988" s="1" t="s">
        <v>5</v>
      </c>
    </row>
    <row r="5989" spans="1:3" x14ac:dyDescent="0.25">
      <c r="A5989" s="1" t="s">
        <v>11977</v>
      </c>
      <c r="B5989" s="1" t="s">
        <v>11978</v>
      </c>
      <c r="C5989" s="1" t="s">
        <v>5</v>
      </c>
    </row>
    <row r="5990" spans="1:3" x14ac:dyDescent="0.25">
      <c r="A5990" s="1" t="s">
        <v>11979</v>
      </c>
      <c r="B5990" s="1" t="s">
        <v>11980</v>
      </c>
      <c r="C5990" s="1" t="s">
        <v>5</v>
      </c>
    </row>
    <row r="5991" spans="1:3" x14ac:dyDescent="0.25">
      <c r="A5991" s="1" t="s">
        <v>11981</v>
      </c>
      <c r="B5991" s="1" t="s">
        <v>11982</v>
      </c>
      <c r="C5991" s="1" t="s">
        <v>5</v>
      </c>
    </row>
    <row r="5992" spans="1:3" x14ac:dyDescent="0.25">
      <c r="A5992" s="1" t="s">
        <v>11983</v>
      </c>
      <c r="B5992" s="1" t="s">
        <v>11984</v>
      </c>
      <c r="C5992" s="1" t="s">
        <v>5</v>
      </c>
    </row>
    <row r="5993" spans="1:3" x14ac:dyDescent="0.25">
      <c r="A5993" s="1" t="s">
        <v>11985</v>
      </c>
      <c r="B5993" s="1" t="s">
        <v>11986</v>
      </c>
      <c r="C5993" s="1" t="s">
        <v>5</v>
      </c>
    </row>
    <row r="5994" spans="1:3" x14ac:dyDescent="0.25">
      <c r="A5994" s="1" t="s">
        <v>11987</v>
      </c>
      <c r="B5994" s="1" t="s">
        <v>11988</v>
      </c>
      <c r="C5994" s="1" t="s">
        <v>5</v>
      </c>
    </row>
    <row r="5995" spans="1:3" x14ac:dyDescent="0.25">
      <c r="A5995" s="1" t="s">
        <v>11989</v>
      </c>
      <c r="B5995" s="1" t="s">
        <v>11990</v>
      </c>
      <c r="C5995" s="1" t="s">
        <v>5</v>
      </c>
    </row>
    <row r="5996" spans="1:3" x14ac:dyDescent="0.25">
      <c r="A5996" s="1" t="s">
        <v>11991</v>
      </c>
      <c r="B5996" s="1" t="s">
        <v>11992</v>
      </c>
      <c r="C5996" s="1" t="s">
        <v>5</v>
      </c>
    </row>
    <row r="5997" spans="1:3" x14ac:dyDescent="0.25">
      <c r="A5997" s="1" t="s">
        <v>11993</v>
      </c>
      <c r="B5997" s="1" t="s">
        <v>11994</v>
      </c>
      <c r="C5997" s="1" t="s">
        <v>5</v>
      </c>
    </row>
    <row r="5998" spans="1:3" x14ac:dyDescent="0.25">
      <c r="A5998" s="1" t="s">
        <v>11995</v>
      </c>
      <c r="B5998" s="1" t="s">
        <v>11996</v>
      </c>
      <c r="C5998" s="1" t="s">
        <v>5</v>
      </c>
    </row>
    <row r="5999" spans="1:3" x14ac:dyDescent="0.25">
      <c r="A5999" s="1" t="s">
        <v>11997</v>
      </c>
      <c r="B5999" s="1" t="s">
        <v>11998</v>
      </c>
      <c r="C5999" s="1" t="s">
        <v>5</v>
      </c>
    </row>
    <row r="6000" spans="1:3" x14ac:dyDescent="0.25">
      <c r="A6000" s="1" t="s">
        <v>11999</v>
      </c>
      <c r="B6000" s="1" t="s">
        <v>12000</v>
      </c>
      <c r="C6000" s="1" t="s">
        <v>5</v>
      </c>
    </row>
    <row r="6001" spans="1:3" x14ac:dyDescent="0.25">
      <c r="A6001" s="1" t="s">
        <v>12001</v>
      </c>
      <c r="B6001" s="1" t="s">
        <v>12002</v>
      </c>
      <c r="C6001" s="1" t="s">
        <v>5</v>
      </c>
    </row>
    <row r="6002" spans="1:3" x14ac:dyDescent="0.25">
      <c r="A6002" s="1" t="s">
        <v>12003</v>
      </c>
      <c r="B6002" s="1" t="s">
        <v>12004</v>
      </c>
      <c r="C6002" s="1" t="s">
        <v>5</v>
      </c>
    </row>
    <row r="6003" spans="1:3" x14ac:dyDescent="0.25">
      <c r="A6003" s="1" t="s">
        <v>12005</v>
      </c>
      <c r="B6003" s="1" t="s">
        <v>12006</v>
      </c>
      <c r="C6003" s="1" t="s">
        <v>5</v>
      </c>
    </row>
    <row r="6004" spans="1:3" x14ac:dyDescent="0.25">
      <c r="A6004" s="1" t="s">
        <v>12007</v>
      </c>
      <c r="B6004" s="1" t="s">
        <v>12008</v>
      </c>
      <c r="C6004" s="1" t="s">
        <v>5</v>
      </c>
    </row>
    <row r="6005" spans="1:3" x14ac:dyDescent="0.25">
      <c r="A6005" s="1" t="s">
        <v>12009</v>
      </c>
      <c r="B6005" s="1" t="s">
        <v>12010</v>
      </c>
      <c r="C6005" s="1" t="s">
        <v>5</v>
      </c>
    </row>
    <row r="6006" spans="1:3" x14ac:dyDescent="0.25">
      <c r="A6006" s="1" t="s">
        <v>12011</v>
      </c>
      <c r="B6006" s="1" t="s">
        <v>12012</v>
      </c>
      <c r="C6006" s="1" t="s">
        <v>5</v>
      </c>
    </row>
    <row r="6007" spans="1:3" x14ac:dyDescent="0.25">
      <c r="A6007" s="1" t="s">
        <v>12013</v>
      </c>
      <c r="B6007" s="1" t="s">
        <v>12014</v>
      </c>
      <c r="C6007" s="1" t="s">
        <v>5</v>
      </c>
    </row>
    <row r="6008" spans="1:3" x14ac:dyDescent="0.25">
      <c r="A6008" s="1" t="s">
        <v>12015</v>
      </c>
      <c r="B6008" s="1" t="s">
        <v>12016</v>
      </c>
      <c r="C6008" s="1" t="s">
        <v>5</v>
      </c>
    </row>
    <row r="6009" spans="1:3" x14ac:dyDescent="0.25">
      <c r="A6009" s="1" t="s">
        <v>12017</v>
      </c>
      <c r="B6009" s="1" t="s">
        <v>12018</v>
      </c>
      <c r="C6009" s="1" t="s">
        <v>5</v>
      </c>
    </row>
    <row r="6010" spans="1:3" x14ac:dyDescent="0.25">
      <c r="A6010" s="1" t="s">
        <v>12019</v>
      </c>
      <c r="B6010" s="1" t="s">
        <v>12020</v>
      </c>
      <c r="C6010" s="1" t="s">
        <v>5</v>
      </c>
    </row>
    <row r="6011" spans="1:3" x14ac:dyDescent="0.25">
      <c r="A6011" s="1" t="s">
        <v>12021</v>
      </c>
      <c r="B6011" s="1" t="s">
        <v>12022</v>
      </c>
      <c r="C6011" s="1" t="s">
        <v>5</v>
      </c>
    </row>
    <row r="6012" spans="1:3" x14ac:dyDescent="0.25">
      <c r="A6012" s="1" t="s">
        <v>12023</v>
      </c>
      <c r="B6012" s="1" t="s">
        <v>12024</v>
      </c>
      <c r="C6012" s="1" t="s">
        <v>5</v>
      </c>
    </row>
    <row r="6013" spans="1:3" x14ac:dyDescent="0.25">
      <c r="A6013" s="1" t="s">
        <v>12025</v>
      </c>
      <c r="B6013" s="1" t="s">
        <v>12026</v>
      </c>
      <c r="C6013" s="1" t="s">
        <v>5</v>
      </c>
    </row>
    <row r="6014" spans="1:3" x14ac:dyDescent="0.25">
      <c r="A6014" s="1" t="s">
        <v>12027</v>
      </c>
      <c r="B6014" s="1" t="s">
        <v>12028</v>
      </c>
      <c r="C6014" s="1" t="s">
        <v>5</v>
      </c>
    </row>
    <row r="6015" spans="1:3" x14ac:dyDescent="0.25">
      <c r="A6015" s="1" t="s">
        <v>12029</v>
      </c>
      <c r="B6015" s="1" t="s">
        <v>12030</v>
      </c>
      <c r="C6015" s="1" t="s">
        <v>5</v>
      </c>
    </row>
    <row r="6016" spans="1:3" x14ac:dyDescent="0.25">
      <c r="A6016" s="1" t="s">
        <v>12031</v>
      </c>
      <c r="B6016" s="1" t="s">
        <v>12032</v>
      </c>
      <c r="C6016" s="1" t="s">
        <v>5</v>
      </c>
    </row>
    <row r="6017" spans="1:3" x14ac:dyDescent="0.25">
      <c r="A6017" s="1" t="s">
        <v>12033</v>
      </c>
      <c r="B6017" s="1" t="s">
        <v>12034</v>
      </c>
      <c r="C6017" s="1" t="s">
        <v>5</v>
      </c>
    </row>
    <row r="6018" spans="1:3" x14ac:dyDescent="0.25">
      <c r="A6018" s="1" t="s">
        <v>12035</v>
      </c>
      <c r="B6018" s="1" t="s">
        <v>12036</v>
      </c>
      <c r="C6018" s="1" t="s">
        <v>5</v>
      </c>
    </row>
    <row r="6019" spans="1:3" x14ac:dyDescent="0.25">
      <c r="A6019" s="1" t="s">
        <v>12037</v>
      </c>
      <c r="B6019" s="1" t="s">
        <v>12038</v>
      </c>
      <c r="C6019" s="1" t="s">
        <v>5</v>
      </c>
    </row>
    <row r="6020" spans="1:3" x14ac:dyDescent="0.25">
      <c r="A6020" s="1" t="s">
        <v>12039</v>
      </c>
      <c r="B6020" s="1" t="s">
        <v>12040</v>
      </c>
      <c r="C6020" s="1" t="s">
        <v>5</v>
      </c>
    </row>
    <row r="6021" spans="1:3" x14ac:dyDescent="0.25">
      <c r="A6021" s="1" t="s">
        <v>12041</v>
      </c>
      <c r="B6021" s="1" t="s">
        <v>12042</v>
      </c>
      <c r="C6021" s="1" t="s">
        <v>5</v>
      </c>
    </row>
    <row r="6022" spans="1:3" x14ac:dyDescent="0.25">
      <c r="A6022" s="1" t="s">
        <v>12043</v>
      </c>
      <c r="B6022" s="1" t="s">
        <v>12044</v>
      </c>
      <c r="C6022" s="1" t="s">
        <v>5</v>
      </c>
    </row>
    <row r="6023" spans="1:3" x14ac:dyDescent="0.25">
      <c r="A6023" s="1" t="s">
        <v>12045</v>
      </c>
      <c r="B6023" s="1" t="s">
        <v>12046</v>
      </c>
      <c r="C6023" s="1" t="s">
        <v>5</v>
      </c>
    </row>
    <row r="6024" spans="1:3" x14ac:dyDescent="0.25">
      <c r="A6024" s="1" t="s">
        <v>12047</v>
      </c>
      <c r="B6024" s="1" t="s">
        <v>12048</v>
      </c>
      <c r="C6024" s="1" t="s">
        <v>5</v>
      </c>
    </row>
    <row r="6025" spans="1:3" x14ac:dyDescent="0.25">
      <c r="A6025" s="1" t="s">
        <v>12049</v>
      </c>
      <c r="B6025" s="1" t="s">
        <v>12050</v>
      </c>
      <c r="C6025" s="1" t="s">
        <v>5</v>
      </c>
    </row>
    <row r="6026" spans="1:3" x14ac:dyDescent="0.25">
      <c r="A6026" s="1" t="s">
        <v>12051</v>
      </c>
      <c r="B6026" s="1" t="s">
        <v>12052</v>
      </c>
      <c r="C6026" s="1" t="s">
        <v>5</v>
      </c>
    </row>
    <row r="6027" spans="1:3" x14ac:dyDescent="0.25">
      <c r="A6027" s="1" t="s">
        <v>12053</v>
      </c>
      <c r="B6027" s="1" t="s">
        <v>12054</v>
      </c>
      <c r="C6027" s="1" t="s">
        <v>5</v>
      </c>
    </row>
    <row r="6028" spans="1:3" x14ac:dyDescent="0.25">
      <c r="A6028" s="1" t="s">
        <v>12055</v>
      </c>
      <c r="B6028" s="1" t="s">
        <v>12056</v>
      </c>
      <c r="C6028" s="1" t="s">
        <v>5</v>
      </c>
    </row>
    <row r="6029" spans="1:3" x14ac:dyDescent="0.25">
      <c r="A6029" s="1" t="s">
        <v>12057</v>
      </c>
      <c r="B6029" s="1" t="s">
        <v>12058</v>
      </c>
      <c r="C6029" s="1" t="s">
        <v>5</v>
      </c>
    </row>
    <row r="6030" spans="1:3" x14ac:dyDescent="0.25">
      <c r="A6030" s="1" t="s">
        <v>12059</v>
      </c>
      <c r="B6030" s="1" t="s">
        <v>12060</v>
      </c>
      <c r="C6030" s="1" t="s">
        <v>5</v>
      </c>
    </row>
    <row r="6031" spans="1:3" x14ac:dyDescent="0.25">
      <c r="A6031" s="1" t="s">
        <v>12061</v>
      </c>
      <c r="B6031" s="1" t="s">
        <v>12062</v>
      </c>
      <c r="C6031" s="1" t="s">
        <v>5</v>
      </c>
    </row>
    <row r="6032" spans="1:3" x14ac:dyDescent="0.25">
      <c r="A6032" s="1" t="s">
        <v>12063</v>
      </c>
      <c r="B6032" s="1" t="s">
        <v>12064</v>
      </c>
      <c r="C6032" s="1" t="s">
        <v>5</v>
      </c>
    </row>
    <row r="6033" spans="1:3" x14ac:dyDescent="0.25">
      <c r="A6033" s="1" t="s">
        <v>12065</v>
      </c>
      <c r="B6033" s="1" t="s">
        <v>12066</v>
      </c>
      <c r="C6033" s="1" t="s">
        <v>5</v>
      </c>
    </row>
    <row r="6034" spans="1:3" x14ac:dyDescent="0.25">
      <c r="A6034" s="1" t="s">
        <v>12067</v>
      </c>
      <c r="B6034" s="1" t="s">
        <v>12068</v>
      </c>
      <c r="C6034" s="1" t="s">
        <v>5</v>
      </c>
    </row>
    <row r="6035" spans="1:3" x14ac:dyDescent="0.25">
      <c r="A6035" s="1" t="s">
        <v>12069</v>
      </c>
      <c r="B6035" s="1" t="s">
        <v>12070</v>
      </c>
      <c r="C6035" s="1" t="s">
        <v>5</v>
      </c>
    </row>
    <row r="6036" spans="1:3" x14ac:dyDescent="0.25">
      <c r="A6036" s="1" t="s">
        <v>12071</v>
      </c>
      <c r="B6036" s="1" t="s">
        <v>12072</v>
      </c>
      <c r="C6036" s="1" t="s">
        <v>5</v>
      </c>
    </row>
    <row r="6037" spans="1:3" x14ac:dyDescent="0.25">
      <c r="A6037" s="1" t="s">
        <v>12073</v>
      </c>
      <c r="B6037" s="1" t="s">
        <v>12074</v>
      </c>
      <c r="C6037" s="1" t="s">
        <v>5</v>
      </c>
    </row>
    <row r="6038" spans="1:3" x14ac:dyDescent="0.25">
      <c r="A6038" s="1" t="s">
        <v>12075</v>
      </c>
      <c r="B6038" s="1" t="s">
        <v>12076</v>
      </c>
      <c r="C6038" s="1" t="s">
        <v>5</v>
      </c>
    </row>
    <row r="6039" spans="1:3" x14ac:dyDescent="0.25">
      <c r="A6039" s="1" t="s">
        <v>12077</v>
      </c>
      <c r="B6039" s="1" t="s">
        <v>12078</v>
      </c>
      <c r="C6039" s="1" t="s">
        <v>5</v>
      </c>
    </row>
    <row r="6040" spans="1:3" x14ac:dyDescent="0.25">
      <c r="A6040" s="1" t="s">
        <v>12079</v>
      </c>
      <c r="B6040" s="1" t="s">
        <v>12080</v>
      </c>
      <c r="C6040" s="1" t="s">
        <v>5</v>
      </c>
    </row>
    <row r="6041" spans="1:3" x14ac:dyDescent="0.25">
      <c r="A6041" s="1" t="s">
        <v>12081</v>
      </c>
      <c r="B6041" s="1" t="s">
        <v>12082</v>
      </c>
      <c r="C6041" s="1" t="s">
        <v>5</v>
      </c>
    </row>
    <row r="6042" spans="1:3" x14ac:dyDescent="0.25">
      <c r="A6042" s="1" t="s">
        <v>12083</v>
      </c>
      <c r="B6042" s="1" t="s">
        <v>12084</v>
      </c>
      <c r="C6042" s="1" t="s">
        <v>5</v>
      </c>
    </row>
    <row r="6043" spans="1:3" x14ac:dyDescent="0.25">
      <c r="A6043" s="1" t="s">
        <v>12085</v>
      </c>
      <c r="B6043" s="1" t="s">
        <v>12086</v>
      </c>
      <c r="C6043" s="1" t="s">
        <v>5</v>
      </c>
    </row>
    <row r="6044" spans="1:3" x14ac:dyDescent="0.25">
      <c r="A6044" s="1" t="s">
        <v>12087</v>
      </c>
      <c r="B6044" s="1" t="s">
        <v>12088</v>
      </c>
      <c r="C6044" s="1" t="s">
        <v>5</v>
      </c>
    </row>
    <row r="6045" spans="1:3" x14ac:dyDescent="0.25">
      <c r="A6045" s="1" t="s">
        <v>12089</v>
      </c>
      <c r="B6045" s="1" t="s">
        <v>12090</v>
      </c>
      <c r="C6045" s="1" t="s">
        <v>5</v>
      </c>
    </row>
    <row r="6046" spans="1:3" x14ac:dyDescent="0.25">
      <c r="A6046" s="1" t="s">
        <v>12091</v>
      </c>
      <c r="B6046" s="1" t="s">
        <v>12092</v>
      </c>
      <c r="C6046" s="1" t="s">
        <v>5</v>
      </c>
    </row>
    <row r="6047" spans="1:3" x14ac:dyDescent="0.25">
      <c r="A6047" s="1" t="s">
        <v>12093</v>
      </c>
      <c r="B6047" s="1" t="s">
        <v>12094</v>
      </c>
      <c r="C6047" s="1" t="s">
        <v>5</v>
      </c>
    </row>
    <row r="6048" spans="1:3" x14ac:dyDescent="0.25">
      <c r="A6048" s="1" t="s">
        <v>12095</v>
      </c>
      <c r="B6048" s="1" t="s">
        <v>12096</v>
      </c>
      <c r="C6048" s="1" t="s">
        <v>5</v>
      </c>
    </row>
    <row r="6049" spans="1:3" x14ac:dyDescent="0.25">
      <c r="A6049" s="1" t="s">
        <v>12097</v>
      </c>
      <c r="B6049" s="1" t="s">
        <v>12098</v>
      </c>
      <c r="C6049" s="1" t="s">
        <v>5</v>
      </c>
    </row>
    <row r="6050" spans="1:3" x14ac:dyDescent="0.25">
      <c r="A6050" s="1" t="s">
        <v>12099</v>
      </c>
      <c r="B6050" s="1" t="s">
        <v>12100</v>
      </c>
      <c r="C6050" s="1" t="s">
        <v>5</v>
      </c>
    </row>
    <row r="6051" spans="1:3" x14ac:dyDescent="0.25">
      <c r="A6051" s="1" t="s">
        <v>12101</v>
      </c>
      <c r="B6051" s="1" t="s">
        <v>12102</v>
      </c>
      <c r="C6051" s="1" t="s">
        <v>5</v>
      </c>
    </row>
    <row r="6052" spans="1:3" x14ac:dyDescent="0.25">
      <c r="A6052" s="1" t="s">
        <v>12103</v>
      </c>
      <c r="B6052" s="1" t="s">
        <v>12104</v>
      </c>
      <c r="C6052" s="1" t="s">
        <v>5</v>
      </c>
    </row>
    <row r="6053" spans="1:3" x14ac:dyDescent="0.25">
      <c r="A6053" s="1" t="s">
        <v>12105</v>
      </c>
      <c r="B6053" s="1" t="s">
        <v>12106</v>
      </c>
      <c r="C6053" s="1" t="s">
        <v>5</v>
      </c>
    </row>
    <row r="6054" spans="1:3" x14ac:dyDescent="0.25">
      <c r="A6054" s="1" t="s">
        <v>12107</v>
      </c>
      <c r="B6054" s="1" t="s">
        <v>12108</v>
      </c>
      <c r="C6054" s="1" t="s">
        <v>5</v>
      </c>
    </row>
    <row r="6055" spans="1:3" x14ac:dyDescent="0.25">
      <c r="A6055" s="1" t="s">
        <v>12109</v>
      </c>
      <c r="B6055" s="1" t="s">
        <v>12110</v>
      </c>
      <c r="C6055" s="1" t="s">
        <v>5</v>
      </c>
    </row>
    <row r="6056" spans="1:3" x14ac:dyDescent="0.25">
      <c r="A6056" s="1" t="s">
        <v>12111</v>
      </c>
      <c r="B6056" s="1" t="s">
        <v>12112</v>
      </c>
      <c r="C6056" s="1" t="s">
        <v>5</v>
      </c>
    </row>
    <row r="6057" spans="1:3" x14ac:dyDescent="0.25">
      <c r="A6057" s="1" t="s">
        <v>12113</v>
      </c>
      <c r="B6057" s="1" t="s">
        <v>12114</v>
      </c>
      <c r="C6057" s="1" t="s">
        <v>5</v>
      </c>
    </row>
    <row r="6058" spans="1:3" x14ac:dyDescent="0.25">
      <c r="A6058" s="1" t="s">
        <v>12115</v>
      </c>
      <c r="B6058" s="1" t="s">
        <v>12116</v>
      </c>
      <c r="C6058" s="1" t="s">
        <v>5</v>
      </c>
    </row>
    <row r="6059" spans="1:3" x14ac:dyDescent="0.25">
      <c r="A6059" s="1" t="s">
        <v>12117</v>
      </c>
      <c r="B6059" s="1" t="s">
        <v>12118</v>
      </c>
      <c r="C6059" s="1" t="s">
        <v>5</v>
      </c>
    </row>
    <row r="6060" spans="1:3" x14ac:dyDescent="0.25">
      <c r="A6060" s="1" t="s">
        <v>12119</v>
      </c>
      <c r="B6060" s="1" t="s">
        <v>12120</v>
      </c>
      <c r="C6060" s="1" t="s">
        <v>5</v>
      </c>
    </row>
    <row r="6061" spans="1:3" x14ac:dyDescent="0.25">
      <c r="A6061" s="1" t="s">
        <v>12121</v>
      </c>
      <c r="B6061" s="1" t="s">
        <v>12122</v>
      </c>
      <c r="C6061" s="1" t="s">
        <v>5</v>
      </c>
    </row>
    <row r="6062" spans="1:3" x14ac:dyDescent="0.25">
      <c r="A6062" s="1" t="s">
        <v>12123</v>
      </c>
      <c r="B6062" s="1" t="s">
        <v>12124</v>
      </c>
      <c r="C6062" s="1" t="s">
        <v>5</v>
      </c>
    </row>
    <row r="6063" spans="1:3" x14ac:dyDescent="0.25">
      <c r="A6063" s="1" t="s">
        <v>12125</v>
      </c>
      <c r="B6063" s="1" t="s">
        <v>12126</v>
      </c>
      <c r="C6063" s="1" t="s">
        <v>5</v>
      </c>
    </row>
    <row r="6064" spans="1:3" x14ac:dyDescent="0.25">
      <c r="A6064" s="1" t="s">
        <v>12127</v>
      </c>
      <c r="B6064" s="1" t="s">
        <v>12128</v>
      </c>
      <c r="C6064" s="1" t="s">
        <v>5</v>
      </c>
    </row>
    <row r="6065" spans="1:3" x14ac:dyDescent="0.25">
      <c r="A6065" s="1" t="s">
        <v>12129</v>
      </c>
      <c r="B6065" s="1" t="s">
        <v>12130</v>
      </c>
      <c r="C6065" s="1" t="s">
        <v>5</v>
      </c>
    </row>
    <row r="6066" spans="1:3" x14ac:dyDescent="0.25">
      <c r="A6066" s="1" t="s">
        <v>12131</v>
      </c>
      <c r="B6066" s="1" t="s">
        <v>12132</v>
      </c>
      <c r="C6066" s="1" t="s">
        <v>5</v>
      </c>
    </row>
    <row r="6067" spans="1:3" x14ac:dyDescent="0.25">
      <c r="A6067" s="1" t="s">
        <v>12133</v>
      </c>
      <c r="B6067" s="1" t="s">
        <v>12134</v>
      </c>
      <c r="C6067" s="1" t="s">
        <v>5</v>
      </c>
    </row>
    <row r="6068" spans="1:3" x14ac:dyDescent="0.25">
      <c r="A6068" s="1" t="s">
        <v>12135</v>
      </c>
      <c r="B6068" s="1" t="s">
        <v>12136</v>
      </c>
      <c r="C6068" s="1" t="s">
        <v>5</v>
      </c>
    </row>
    <row r="6069" spans="1:3" x14ac:dyDescent="0.25">
      <c r="A6069" s="1" t="s">
        <v>12137</v>
      </c>
      <c r="B6069" s="1" t="s">
        <v>12138</v>
      </c>
      <c r="C6069" s="1" t="s">
        <v>5</v>
      </c>
    </row>
    <row r="6070" spans="1:3" x14ac:dyDescent="0.25">
      <c r="A6070" s="1" t="s">
        <v>12139</v>
      </c>
      <c r="B6070" s="1" t="s">
        <v>12140</v>
      </c>
      <c r="C6070" s="1" t="s">
        <v>5</v>
      </c>
    </row>
    <row r="6071" spans="1:3" x14ac:dyDescent="0.25">
      <c r="A6071" s="1" t="s">
        <v>12141</v>
      </c>
      <c r="B6071" s="1" t="s">
        <v>12142</v>
      </c>
      <c r="C6071" s="1" t="s">
        <v>5</v>
      </c>
    </row>
    <row r="6072" spans="1:3" x14ac:dyDescent="0.25">
      <c r="A6072" s="1" t="s">
        <v>12143</v>
      </c>
      <c r="B6072" s="1" t="s">
        <v>12144</v>
      </c>
      <c r="C6072" s="1" t="s">
        <v>5</v>
      </c>
    </row>
    <row r="6073" spans="1:3" x14ac:dyDescent="0.25">
      <c r="A6073" s="1" t="s">
        <v>12145</v>
      </c>
      <c r="B6073" s="1" t="s">
        <v>12146</v>
      </c>
      <c r="C6073" s="1" t="s">
        <v>5</v>
      </c>
    </row>
    <row r="6074" spans="1:3" x14ac:dyDescent="0.25">
      <c r="A6074" s="1" t="s">
        <v>12147</v>
      </c>
      <c r="B6074" s="1" t="s">
        <v>12148</v>
      </c>
      <c r="C6074" s="1" t="s">
        <v>5</v>
      </c>
    </row>
    <row r="6075" spans="1:3" x14ac:dyDescent="0.25">
      <c r="A6075" s="1" t="s">
        <v>12149</v>
      </c>
      <c r="B6075" s="1" t="s">
        <v>12150</v>
      </c>
      <c r="C6075" s="1" t="s">
        <v>5</v>
      </c>
    </row>
    <row r="6076" spans="1:3" x14ac:dyDescent="0.25">
      <c r="A6076" s="1" t="s">
        <v>12151</v>
      </c>
      <c r="B6076" s="1" t="s">
        <v>12152</v>
      </c>
      <c r="C6076" s="1" t="s">
        <v>5</v>
      </c>
    </row>
    <row r="6077" spans="1:3" x14ac:dyDescent="0.25">
      <c r="A6077" s="1" t="s">
        <v>12153</v>
      </c>
      <c r="B6077" s="1" t="s">
        <v>12154</v>
      </c>
      <c r="C6077" s="1" t="s">
        <v>5</v>
      </c>
    </row>
    <row r="6078" spans="1:3" x14ac:dyDescent="0.25">
      <c r="A6078" s="1" t="s">
        <v>12155</v>
      </c>
      <c r="B6078" s="1" t="s">
        <v>12156</v>
      </c>
      <c r="C6078" s="1" t="s">
        <v>5</v>
      </c>
    </row>
    <row r="6079" spans="1:3" x14ac:dyDescent="0.25">
      <c r="A6079" s="1" t="s">
        <v>12157</v>
      </c>
      <c r="B6079" s="1" t="s">
        <v>12158</v>
      </c>
      <c r="C6079" s="1" t="s">
        <v>5</v>
      </c>
    </row>
    <row r="6080" spans="1:3" x14ac:dyDescent="0.25">
      <c r="A6080" s="1" t="s">
        <v>12159</v>
      </c>
      <c r="B6080" s="1" t="s">
        <v>12160</v>
      </c>
      <c r="C6080" s="1" t="s">
        <v>5</v>
      </c>
    </row>
    <row r="6081" spans="1:3" x14ac:dyDescent="0.25">
      <c r="A6081" s="1" t="s">
        <v>12161</v>
      </c>
      <c r="B6081" s="1" t="s">
        <v>12162</v>
      </c>
      <c r="C6081" s="1" t="s">
        <v>5</v>
      </c>
    </row>
    <row r="6082" spans="1:3" x14ac:dyDescent="0.25">
      <c r="A6082" s="1" t="s">
        <v>12163</v>
      </c>
      <c r="B6082" s="1" t="s">
        <v>12164</v>
      </c>
      <c r="C6082" s="1" t="s">
        <v>5</v>
      </c>
    </row>
    <row r="6083" spans="1:3" x14ac:dyDescent="0.25">
      <c r="A6083" s="1" t="s">
        <v>12165</v>
      </c>
      <c r="B6083" s="1" t="s">
        <v>12166</v>
      </c>
      <c r="C6083" s="1" t="s">
        <v>5</v>
      </c>
    </row>
    <row r="6084" spans="1:3" x14ac:dyDescent="0.25">
      <c r="A6084" s="1" t="s">
        <v>12167</v>
      </c>
      <c r="B6084" s="1" t="s">
        <v>12168</v>
      </c>
      <c r="C6084" s="1" t="s">
        <v>5</v>
      </c>
    </row>
    <row r="6085" spans="1:3" x14ac:dyDescent="0.25">
      <c r="A6085" s="1" t="s">
        <v>12169</v>
      </c>
      <c r="B6085" s="1" t="s">
        <v>12170</v>
      </c>
      <c r="C6085" s="1" t="s">
        <v>5</v>
      </c>
    </row>
    <row r="6086" spans="1:3" x14ac:dyDescent="0.25">
      <c r="A6086" s="1" t="s">
        <v>12171</v>
      </c>
      <c r="B6086" s="1" t="s">
        <v>12172</v>
      </c>
      <c r="C6086" s="1" t="s">
        <v>5</v>
      </c>
    </row>
    <row r="6087" spans="1:3" x14ac:dyDescent="0.25">
      <c r="A6087" s="1" t="s">
        <v>12173</v>
      </c>
      <c r="B6087" s="1" t="s">
        <v>12174</v>
      </c>
      <c r="C6087" s="1" t="s">
        <v>5</v>
      </c>
    </row>
    <row r="6088" spans="1:3" x14ac:dyDescent="0.25">
      <c r="A6088" s="1" t="s">
        <v>12175</v>
      </c>
      <c r="B6088" s="1" t="s">
        <v>12176</v>
      </c>
      <c r="C6088" s="1" t="s">
        <v>5</v>
      </c>
    </row>
    <row r="6089" spans="1:3" x14ac:dyDescent="0.25">
      <c r="A6089" s="1" t="s">
        <v>12177</v>
      </c>
      <c r="B6089" s="1" t="s">
        <v>12178</v>
      </c>
      <c r="C6089" s="1" t="s">
        <v>5</v>
      </c>
    </row>
    <row r="6090" spans="1:3" x14ac:dyDescent="0.25">
      <c r="A6090" s="1" t="s">
        <v>12179</v>
      </c>
      <c r="B6090" s="1" t="s">
        <v>12180</v>
      </c>
      <c r="C6090" s="1" t="s">
        <v>5</v>
      </c>
    </row>
    <row r="6091" spans="1:3" x14ac:dyDescent="0.25">
      <c r="A6091" s="1" t="s">
        <v>12181</v>
      </c>
      <c r="B6091" s="1" t="s">
        <v>12182</v>
      </c>
      <c r="C6091" s="1" t="s">
        <v>5</v>
      </c>
    </row>
    <row r="6092" spans="1:3" x14ac:dyDescent="0.25">
      <c r="A6092" s="1" t="s">
        <v>12183</v>
      </c>
      <c r="B6092" s="1" t="s">
        <v>12184</v>
      </c>
      <c r="C6092" s="1" t="s">
        <v>5</v>
      </c>
    </row>
    <row r="6093" spans="1:3" x14ac:dyDescent="0.25">
      <c r="A6093" s="1" t="s">
        <v>12185</v>
      </c>
      <c r="B6093" s="1" t="s">
        <v>12186</v>
      </c>
      <c r="C6093" s="1" t="s">
        <v>5</v>
      </c>
    </row>
    <row r="6094" spans="1:3" x14ac:dyDescent="0.25">
      <c r="A6094" s="1" t="s">
        <v>12187</v>
      </c>
      <c r="B6094" s="1" t="s">
        <v>12188</v>
      </c>
      <c r="C6094" s="1" t="s">
        <v>5</v>
      </c>
    </row>
    <row r="6095" spans="1:3" x14ac:dyDescent="0.25">
      <c r="A6095" s="1" t="s">
        <v>12189</v>
      </c>
      <c r="B6095" s="1" t="s">
        <v>12190</v>
      </c>
      <c r="C6095" s="1" t="s">
        <v>5</v>
      </c>
    </row>
    <row r="6096" spans="1:3" x14ac:dyDescent="0.25">
      <c r="A6096" s="1" t="s">
        <v>12191</v>
      </c>
      <c r="B6096" s="1" t="s">
        <v>12192</v>
      </c>
      <c r="C6096" s="1" t="s">
        <v>5</v>
      </c>
    </row>
    <row r="6097" spans="1:3" x14ac:dyDescent="0.25">
      <c r="A6097" s="1" t="s">
        <v>12193</v>
      </c>
      <c r="B6097" s="1" t="s">
        <v>12194</v>
      </c>
      <c r="C6097" s="1" t="s">
        <v>5</v>
      </c>
    </row>
    <row r="6098" spans="1:3" x14ac:dyDescent="0.25">
      <c r="A6098" s="1" t="s">
        <v>12195</v>
      </c>
      <c r="B6098" s="1" t="s">
        <v>12196</v>
      </c>
      <c r="C6098" s="1" t="s">
        <v>5</v>
      </c>
    </row>
    <row r="6099" spans="1:3" x14ac:dyDescent="0.25">
      <c r="A6099" s="1" t="s">
        <v>12197</v>
      </c>
      <c r="B6099" s="1" t="s">
        <v>12198</v>
      </c>
      <c r="C6099" s="1" t="s">
        <v>5</v>
      </c>
    </row>
    <row r="6100" spans="1:3" x14ac:dyDescent="0.25">
      <c r="A6100" s="1" t="s">
        <v>12199</v>
      </c>
      <c r="B6100" s="1" t="s">
        <v>12200</v>
      </c>
      <c r="C6100" s="1" t="s">
        <v>5</v>
      </c>
    </row>
    <row r="6101" spans="1:3" x14ac:dyDescent="0.25">
      <c r="A6101" s="1" t="s">
        <v>12201</v>
      </c>
      <c r="B6101" s="1" t="s">
        <v>12202</v>
      </c>
      <c r="C6101" s="1" t="s">
        <v>5</v>
      </c>
    </row>
    <row r="6102" spans="1:3" x14ac:dyDescent="0.25">
      <c r="A6102" s="1" t="s">
        <v>12203</v>
      </c>
      <c r="B6102" s="1" t="s">
        <v>12204</v>
      </c>
      <c r="C6102" s="1" t="s">
        <v>5</v>
      </c>
    </row>
    <row r="6103" spans="1:3" x14ac:dyDescent="0.25">
      <c r="A6103" s="1" t="s">
        <v>12205</v>
      </c>
      <c r="B6103" s="1" t="s">
        <v>12206</v>
      </c>
      <c r="C6103" s="1" t="s">
        <v>5</v>
      </c>
    </row>
    <row r="6104" spans="1:3" x14ac:dyDescent="0.25">
      <c r="A6104" s="1" t="s">
        <v>12207</v>
      </c>
      <c r="B6104" s="1" t="s">
        <v>12208</v>
      </c>
      <c r="C6104" s="1" t="s">
        <v>5</v>
      </c>
    </row>
    <row r="6105" spans="1:3" x14ac:dyDescent="0.25">
      <c r="A6105" s="1" t="s">
        <v>12209</v>
      </c>
      <c r="B6105" s="1" t="s">
        <v>12210</v>
      </c>
      <c r="C6105" s="1" t="s">
        <v>5</v>
      </c>
    </row>
    <row r="6106" spans="1:3" x14ac:dyDescent="0.25">
      <c r="A6106" s="1" t="s">
        <v>12211</v>
      </c>
      <c r="B6106" s="1" t="s">
        <v>12212</v>
      </c>
      <c r="C6106" s="1" t="s">
        <v>5</v>
      </c>
    </row>
    <row r="6107" spans="1:3" x14ac:dyDescent="0.25">
      <c r="A6107" s="1" t="s">
        <v>12213</v>
      </c>
      <c r="B6107" s="1" t="s">
        <v>12214</v>
      </c>
      <c r="C6107" s="1" t="s">
        <v>5</v>
      </c>
    </row>
    <row r="6108" spans="1:3" x14ac:dyDescent="0.25">
      <c r="A6108" s="1" t="s">
        <v>12215</v>
      </c>
      <c r="B6108" s="1" t="s">
        <v>12216</v>
      </c>
      <c r="C6108" s="1" t="s">
        <v>5</v>
      </c>
    </row>
    <row r="6109" spans="1:3" x14ac:dyDescent="0.25">
      <c r="A6109" s="1" t="s">
        <v>12217</v>
      </c>
      <c r="B6109" s="1" t="s">
        <v>12218</v>
      </c>
      <c r="C6109" s="1" t="s">
        <v>5</v>
      </c>
    </row>
    <row r="6110" spans="1:3" x14ac:dyDescent="0.25">
      <c r="A6110" s="1" t="s">
        <v>12219</v>
      </c>
      <c r="B6110" s="1" t="s">
        <v>12220</v>
      </c>
      <c r="C6110" s="1" t="s">
        <v>5</v>
      </c>
    </row>
    <row r="6111" spans="1:3" x14ac:dyDescent="0.25">
      <c r="A6111" s="1" t="s">
        <v>12221</v>
      </c>
      <c r="B6111" s="1" t="s">
        <v>12222</v>
      </c>
      <c r="C6111" s="1" t="s">
        <v>5</v>
      </c>
    </row>
    <row r="6112" spans="1:3" x14ac:dyDescent="0.25">
      <c r="A6112" s="1" t="s">
        <v>12223</v>
      </c>
      <c r="B6112" s="1" t="s">
        <v>12224</v>
      </c>
      <c r="C6112" s="1" t="s">
        <v>5</v>
      </c>
    </row>
    <row r="6113" spans="1:3" x14ac:dyDescent="0.25">
      <c r="A6113" s="1" t="s">
        <v>12225</v>
      </c>
      <c r="B6113" s="1" t="s">
        <v>12226</v>
      </c>
      <c r="C6113" s="1" t="s">
        <v>5</v>
      </c>
    </row>
    <row r="6114" spans="1:3" x14ac:dyDescent="0.25">
      <c r="A6114" s="1" t="s">
        <v>12227</v>
      </c>
      <c r="B6114" s="1" t="s">
        <v>12228</v>
      </c>
      <c r="C6114" s="1" t="s">
        <v>5</v>
      </c>
    </row>
    <row r="6115" spans="1:3" x14ac:dyDescent="0.25">
      <c r="A6115" s="1" t="s">
        <v>12229</v>
      </c>
      <c r="B6115" s="1" t="s">
        <v>12230</v>
      </c>
      <c r="C6115" s="1" t="s">
        <v>5</v>
      </c>
    </row>
    <row r="6116" spans="1:3" x14ac:dyDescent="0.25">
      <c r="A6116" s="1" t="s">
        <v>12231</v>
      </c>
      <c r="B6116" s="1" t="s">
        <v>12232</v>
      </c>
      <c r="C6116" s="1" t="s">
        <v>5</v>
      </c>
    </row>
    <row r="6117" spans="1:3" x14ac:dyDescent="0.25">
      <c r="A6117" s="1" t="s">
        <v>12233</v>
      </c>
      <c r="B6117" s="1" t="s">
        <v>12234</v>
      </c>
      <c r="C6117" s="1" t="s">
        <v>5</v>
      </c>
    </row>
    <row r="6118" spans="1:3" x14ac:dyDescent="0.25">
      <c r="A6118" s="1" t="s">
        <v>12235</v>
      </c>
      <c r="B6118" s="1" t="s">
        <v>12236</v>
      </c>
      <c r="C6118" s="1" t="s">
        <v>5</v>
      </c>
    </row>
    <row r="6119" spans="1:3" x14ac:dyDescent="0.25">
      <c r="A6119" s="1" t="s">
        <v>12237</v>
      </c>
      <c r="B6119" s="1" t="s">
        <v>12238</v>
      </c>
      <c r="C6119" s="1" t="s">
        <v>5</v>
      </c>
    </row>
    <row r="6120" spans="1:3" x14ac:dyDescent="0.25">
      <c r="A6120" s="1" t="s">
        <v>12239</v>
      </c>
      <c r="B6120" s="1" t="s">
        <v>12240</v>
      </c>
      <c r="C6120" s="1" t="s">
        <v>5</v>
      </c>
    </row>
    <row r="6121" spans="1:3" x14ac:dyDescent="0.25">
      <c r="A6121" s="1" t="s">
        <v>12241</v>
      </c>
      <c r="B6121" s="1" t="s">
        <v>12242</v>
      </c>
      <c r="C6121" s="1" t="s">
        <v>5</v>
      </c>
    </row>
    <row r="6122" spans="1:3" x14ac:dyDescent="0.25">
      <c r="A6122" s="1" t="s">
        <v>12243</v>
      </c>
      <c r="B6122" s="1" t="s">
        <v>12244</v>
      </c>
      <c r="C6122" s="1" t="s">
        <v>5</v>
      </c>
    </row>
    <row r="6123" spans="1:3" x14ac:dyDescent="0.25">
      <c r="A6123" s="1" t="s">
        <v>12245</v>
      </c>
      <c r="B6123" s="1" t="s">
        <v>12246</v>
      </c>
      <c r="C6123" s="1" t="s">
        <v>5</v>
      </c>
    </row>
    <row r="6124" spans="1:3" x14ac:dyDescent="0.25">
      <c r="A6124" s="1" t="s">
        <v>12247</v>
      </c>
      <c r="B6124" s="1" t="s">
        <v>12248</v>
      </c>
      <c r="C6124" s="1" t="s">
        <v>5</v>
      </c>
    </row>
    <row r="6125" spans="1:3" x14ac:dyDescent="0.25">
      <c r="A6125" s="1" t="s">
        <v>12249</v>
      </c>
      <c r="B6125" s="1" t="s">
        <v>12250</v>
      </c>
      <c r="C6125" s="1" t="s">
        <v>5</v>
      </c>
    </row>
    <row r="6126" spans="1:3" x14ac:dyDescent="0.25">
      <c r="A6126" s="1" t="s">
        <v>12251</v>
      </c>
      <c r="B6126" s="1" t="s">
        <v>12252</v>
      </c>
      <c r="C6126" s="1" t="s">
        <v>5</v>
      </c>
    </row>
    <row r="6127" spans="1:3" x14ac:dyDescent="0.25">
      <c r="A6127" s="1" t="s">
        <v>12253</v>
      </c>
      <c r="B6127" s="1" t="s">
        <v>12254</v>
      </c>
      <c r="C6127" s="1" t="s">
        <v>5</v>
      </c>
    </row>
    <row r="6128" spans="1:3" x14ac:dyDescent="0.25">
      <c r="A6128" s="1" t="s">
        <v>12255</v>
      </c>
      <c r="B6128" s="1" t="s">
        <v>12256</v>
      </c>
      <c r="C6128" s="1" t="s">
        <v>5</v>
      </c>
    </row>
    <row r="6129" spans="1:3" x14ac:dyDescent="0.25">
      <c r="A6129" s="1" t="s">
        <v>12257</v>
      </c>
      <c r="B6129" s="1" t="s">
        <v>12258</v>
      </c>
      <c r="C6129" s="1" t="s">
        <v>5</v>
      </c>
    </row>
    <row r="6130" spans="1:3" x14ac:dyDescent="0.25">
      <c r="A6130" s="1" t="s">
        <v>12259</v>
      </c>
      <c r="B6130" s="1" t="s">
        <v>12260</v>
      </c>
      <c r="C6130" s="1" t="s">
        <v>5</v>
      </c>
    </row>
    <row r="6131" spans="1:3" x14ac:dyDescent="0.25">
      <c r="A6131" s="1" t="s">
        <v>12261</v>
      </c>
      <c r="B6131" s="1" t="s">
        <v>12262</v>
      </c>
      <c r="C6131" s="1" t="s">
        <v>5</v>
      </c>
    </row>
    <row r="6132" spans="1:3" x14ac:dyDescent="0.25">
      <c r="A6132" s="1" t="s">
        <v>12263</v>
      </c>
      <c r="B6132" s="1" t="s">
        <v>12264</v>
      </c>
      <c r="C6132" s="1" t="s">
        <v>5</v>
      </c>
    </row>
    <row r="6133" spans="1:3" x14ac:dyDescent="0.25">
      <c r="A6133" s="1" t="s">
        <v>12265</v>
      </c>
      <c r="B6133" s="1" t="s">
        <v>12266</v>
      </c>
      <c r="C6133" s="1" t="s">
        <v>5</v>
      </c>
    </row>
    <row r="6134" spans="1:3" x14ac:dyDescent="0.25">
      <c r="A6134" s="1" t="s">
        <v>12267</v>
      </c>
      <c r="B6134" s="1" t="s">
        <v>12268</v>
      </c>
      <c r="C6134" s="1" t="s">
        <v>5</v>
      </c>
    </row>
    <row r="6135" spans="1:3" x14ac:dyDescent="0.25">
      <c r="A6135" s="1" t="s">
        <v>12269</v>
      </c>
      <c r="B6135" s="1" t="s">
        <v>12270</v>
      </c>
      <c r="C6135" s="1" t="s">
        <v>5</v>
      </c>
    </row>
    <row r="6136" spans="1:3" x14ac:dyDescent="0.25">
      <c r="A6136" s="1" t="s">
        <v>12271</v>
      </c>
      <c r="B6136" s="1" t="s">
        <v>12272</v>
      </c>
      <c r="C6136" s="1" t="s">
        <v>5</v>
      </c>
    </row>
    <row r="6137" spans="1:3" x14ac:dyDescent="0.25">
      <c r="A6137" s="1" t="s">
        <v>12273</v>
      </c>
      <c r="B6137" s="1" t="s">
        <v>12274</v>
      </c>
      <c r="C6137" s="1" t="s">
        <v>5</v>
      </c>
    </row>
    <row r="6138" spans="1:3" x14ac:dyDescent="0.25">
      <c r="A6138" s="1" t="s">
        <v>12275</v>
      </c>
      <c r="B6138" s="1" t="s">
        <v>12276</v>
      </c>
      <c r="C6138" s="1" t="s">
        <v>5</v>
      </c>
    </row>
    <row r="6139" spans="1:3" x14ac:dyDescent="0.25">
      <c r="A6139" s="1" t="s">
        <v>12277</v>
      </c>
      <c r="B6139" s="1" t="s">
        <v>12278</v>
      </c>
      <c r="C6139" s="1" t="s">
        <v>5</v>
      </c>
    </row>
    <row r="6140" spans="1:3" x14ac:dyDescent="0.25">
      <c r="A6140" s="1" t="s">
        <v>12279</v>
      </c>
      <c r="B6140" s="1" t="s">
        <v>12280</v>
      </c>
      <c r="C6140" s="1" t="s">
        <v>5</v>
      </c>
    </row>
    <row r="6141" spans="1:3" x14ac:dyDescent="0.25">
      <c r="A6141" s="1" t="s">
        <v>12281</v>
      </c>
      <c r="B6141" s="1" t="s">
        <v>12282</v>
      </c>
      <c r="C6141" s="1" t="s">
        <v>5</v>
      </c>
    </row>
    <row r="6142" spans="1:3" x14ac:dyDescent="0.25">
      <c r="A6142" s="1" t="s">
        <v>12283</v>
      </c>
      <c r="B6142" s="1" t="s">
        <v>12284</v>
      </c>
      <c r="C6142" s="1" t="s">
        <v>5</v>
      </c>
    </row>
    <row r="6143" spans="1:3" x14ac:dyDescent="0.25">
      <c r="A6143" s="1" t="s">
        <v>12285</v>
      </c>
      <c r="B6143" s="1" t="s">
        <v>12286</v>
      </c>
      <c r="C6143" s="1" t="s">
        <v>5</v>
      </c>
    </row>
    <row r="6144" spans="1:3" x14ac:dyDescent="0.25">
      <c r="A6144" s="1" t="s">
        <v>12287</v>
      </c>
      <c r="B6144" s="1" t="s">
        <v>12288</v>
      </c>
      <c r="C6144" s="1" t="s">
        <v>5</v>
      </c>
    </row>
    <row r="6145" spans="1:3" x14ac:dyDescent="0.25">
      <c r="A6145" s="1" t="s">
        <v>12289</v>
      </c>
      <c r="B6145" s="1" t="s">
        <v>12290</v>
      </c>
      <c r="C6145" s="1" t="s">
        <v>5</v>
      </c>
    </row>
    <row r="6146" spans="1:3" x14ac:dyDescent="0.25">
      <c r="A6146" s="1" t="s">
        <v>12291</v>
      </c>
      <c r="B6146" s="1" t="s">
        <v>12292</v>
      </c>
      <c r="C6146" s="1" t="s">
        <v>5</v>
      </c>
    </row>
    <row r="6147" spans="1:3" x14ac:dyDescent="0.25">
      <c r="A6147" s="1" t="s">
        <v>12293</v>
      </c>
      <c r="B6147" s="1" t="s">
        <v>12294</v>
      </c>
      <c r="C6147" s="1" t="s">
        <v>5</v>
      </c>
    </row>
    <row r="6148" spans="1:3" x14ac:dyDescent="0.25">
      <c r="A6148" s="1" t="s">
        <v>12295</v>
      </c>
      <c r="B6148" s="1" t="s">
        <v>12296</v>
      </c>
      <c r="C6148" s="1" t="s">
        <v>5</v>
      </c>
    </row>
    <row r="6149" spans="1:3" x14ac:dyDescent="0.25">
      <c r="A6149" s="1" t="s">
        <v>12297</v>
      </c>
      <c r="B6149" s="1" t="s">
        <v>12298</v>
      </c>
      <c r="C6149" s="1" t="s">
        <v>5</v>
      </c>
    </row>
    <row r="6150" spans="1:3" x14ac:dyDescent="0.25">
      <c r="A6150" s="1" t="s">
        <v>12299</v>
      </c>
      <c r="B6150" s="1" t="s">
        <v>12300</v>
      </c>
      <c r="C6150" s="1" t="s">
        <v>5</v>
      </c>
    </row>
    <row r="6151" spans="1:3" x14ac:dyDescent="0.25">
      <c r="A6151" s="1" t="s">
        <v>12301</v>
      </c>
      <c r="B6151" s="1" t="s">
        <v>12302</v>
      </c>
      <c r="C6151" s="1" t="s">
        <v>5</v>
      </c>
    </row>
    <row r="6152" spans="1:3" x14ac:dyDescent="0.25">
      <c r="A6152" s="1" t="s">
        <v>12303</v>
      </c>
      <c r="B6152" s="1" t="s">
        <v>12304</v>
      </c>
      <c r="C6152" s="1" t="s">
        <v>5</v>
      </c>
    </row>
    <row r="6153" spans="1:3" x14ac:dyDescent="0.25">
      <c r="A6153" s="1" t="s">
        <v>12305</v>
      </c>
      <c r="B6153" s="1" t="s">
        <v>12306</v>
      </c>
      <c r="C6153" s="1" t="s">
        <v>5</v>
      </c>
    </row>
    <row r="6154" spans="1:3" x14ac:dyDescent="0.25">
      <c r="A6154" s="1" t="s">
        <v>12307</v>
      </c>
      <c r="B6154" s="1" t="s">
        <v>12308</v>
      </c>
      <c r="C6154" s="1" t="s">
        <v>5</v>
      </c>
    </row>
    <row r="6155" spans="1:3" x14ac:dyDescent="0.25">
      <c r="A6155" s="1" t="s">
        <v>12309</v>
      </c>
      <c r="B6155" s="1" t="s">
        <v>12310</v>
      </c>
      <c r="C6155" s="1" t="s">
        <v>5</v>
      </c>
    </row>
    <row r="6156" spans="1:3" x14ac:dyDescent="0.25">
      <c r="A6156" s="1" t="s">
        <v>12311</v>
      </c>
      <c r="B6156" s="1" t="s">
        <v>12312</v>
      </c>
      <c r="C6156" s="1" t="s">
        <v>5</v>
      </c>
    </row>
    <row r="6157" spans="1:3" x14ac:dyDescent="0.25">
      <c r="A6157" s="1" t="s">
        <v>12313</v>
      </c>
      <c r="B6157" s="1" t="s">
        <v>12314</v>
      </c>
      <c r="C6157" s="1" t="s">
        <v>5</v>
      </c>
    </row>
    <row r="6158" spans="1:3" x14ac:dyDescent="0.25">
      <c r="A6158" s="1" t="s">
        <v>12315</v>
      </c>
      <c r="B6158" s="1" t="s">
        <v>12316</v>
      </c>
      <c r="C6158" s="1" t="s">
        <v>5</v>
      </c>
    </row>
    <row r="6159" spans="1:3" x14ac:dyDescent="0.25">
      <c r="A6159" s="1" t="s">
        <v>12317</v>
      </c>
      <c r="B6159" s="1" t="s">
        <v>12318</v>
      </c>
      <c r="C6159" s="1" t="s">
        <v>5</v>
      </c>
    </row>
    <row r="6160" spans="1:3" x14ac:dyDescent="0.25">
      <c r="A6160" s="1" t="s">
        <v>12319</v>
      </c>
      <c r="B6160" s="1" t="s">
        <v>12320</v>
      </c>
      <c r="C6160" s="1" t="s">
        <v>5</v>
      </c>
    </row>
    <row r="6161" spans="1:3" x14ac:dyDescent="0.25">
      <c r="A6161" s="1" t="s">
        <v>12321</v>
      </c>
      <c r="B6161" s="1" t="s">
        <v>12322</v>
      </c>
      <c r="C6161" s="1" t="s">
        <v>5</v>
      </c>
    </row>
    <row r="6162" spans="1:3" x14ac:dyDescent="0.25">
      <c r="A6162" s="1" t="s">
        <v>12323</v>
      </c>
      <c r="B6162" s="1" t="s">
        <v>12324</v>
      </c>
      <c r="C6162" s="1" t="s">
        <v>5</v>
      </c>
    </row>
    <row r="6163" spans="1:3" x14ac:dyDescent="0.25">
      <c r="A6163" s="1" t="s">
        <v>12325</v>
      </c>
      <c r="B6163" s="1" t="s">
        <v>12326</v>
      </c>
      <c r="C6163" s="1" t="s">
        <v>5</v>
      </c>
    </row>
    <row r="6164" spans="1:3" x14ac:dyDescent="0.25">
      <c r="A6164" s="1" t="s">
        <v>12327</v>
      </c>
      <c r="B6164" s="1" t="s">
        <v>12328</v>
      </c>
      <c r="C6164" s="1" t="s">
        <v>5</v>
      </c>
    </row>
    <row r="6165" spans="1:3" x14ac:dyDescent="0.25">
      <c r="A6165" s="1" t="s">
        <v>12329</v>
      </c>
      <c r="B6165" s="1" t="s">
        <v>12330</v>
      </c>
      <c r="C6165" s="1" t="s">
        <v>5</v>
      </c>
    </row>
    <row r="6166" spans="1:3" x14ac:dyDescent="0.25">
      <c r="A6166" s="1" t="s">
        <v>12331</v>
      </c>
      <c r="B6166" s="1" t="s">
        <v>12332</v>
      </c>
      <c r="C6166" s="1" t="s">
        <v>5</v>
      </c>
    </row>
    <row r="6167" spans="1:3" x14ac:dyDescent="0.25">
      <c r="A6167" s="1" t="s">
        <v>12333</v>
      </c>
      <c r="B6167" s="1" t="s">
        <v>12334</v>
      </c>
      <c r="C6167" s="1" t="s">
        <v>5</v>
      </c>
    </row>
    <row r="6168" spans="1:3" x14ac:dyDescent="0.25">
      <c r="A6168" s="1" t="s">
        <v>12335</v>
      </c>
      <c r="B6168" s="1" t="s">
        <v>12336</v>
      </c>
      <c r="C6168" s="1" t="s">
        <v>5</v>
      </c>
    </row>
    <row r="6169" spans="1:3" x14ac:dyDescent="0.25">
      <c r="A6169" s="1" t="s">
        <v>12337</v>
      </c>
      <c r="B6169" s="1" t="s">
        <v>12338</v>
      </c>
      <c r="C6169" s="1" t="s">
        <v>5</v>
      </c>
    </row>
    <row r="6170" spans="1:3" x14ac:dyDescent="0.25">
      <c r="A6170" s="1" t="s">
        <v>12339</v>
      </c>
      <c r="B6170" s="1" t="s">
        <v>12340</v>
      </c>
      <c r="C6170" s="1" t="s">
        <v>5</v>
      </c>
    </row>
    <row r="6171" spans="1:3" x14ac:dyDescent="0.25">
      <c r="A6171" s="1" t="s">
        <v>12341</v>
      </c>
      <c r="B6171" s="1" t="s">
        <v>12342</v>
      </c>
      <c r="C6171" s="1" t="s">
        <v>5</v>
      </c>
    </row>
    <row r="6172" spans="1:3" x14ac:dyDescent="0.25">
      <c r="A6172" s="1" t="s">
        <v>12343</v>
      </c>
      <c r="B6172" s="1" t="s">
        <v>12344</v>
      </c>
      <c r="C6172" s="1" t="s">
        <v>5</v>
      </c>
    </row>
    <row r="6173" spans="1:3" x14ac:dyDescent="0.25">
      <c r="A6173" s="1" t="s">
        <v>12345</v>
      </c>
      <c r="B6173" s="1" t="s">
        <v>12346</v>
      </c>
      <c r="C6173" s="1" t="s">
        <v>5</v>
      </c>
    </row>
    <row r="6174" spans="1:3" x14ac:dyDescent="0.25">
      <c r="A6174" s="1" t="s">
        <v>12347</v>
      </c>
      <c r="B6174" s="1" t="s">
        <v>12348</v>
      </c>
      <c r="C6174" s="1" t="s">
        <v>5</v>
      </c>
    </row>
    <row r="6175" spans="1:3" x14ac:dyDescent="0.25">
      <c r="A6175" s="1" t="s">
        <v>12349</v>
      </c>
      <c r="B6175" s="1" t="s">
        <v>12350</v>
      </c>
      <c r="C6175" s="1" t="s">
        <v>5</v>
      </c>
    </row>
    <row r="6176" spans="1:3" x14ac:dyDescent="0.25">
      <c r="A6176" s="1" t="s">
        <v>12351</v>
      </c>
      <c r="B6176" s="1" t="s">
        <v>12352</v>
      </c>
      <c r="C6176" s="1" t="s">
        <v>5</v>
      </c>
    </row>
    <row r="6177" spans="1:3" x14ac:dyDescent="0.25">
      <c r="A6177" s="1" t="s">
        <v>12353</v>
      </c>
      <c r="B6177" s="1" t="s">
        <v>12354</v>
      </c>
      <c r="C6177" s="1" t="s">
        <v>5</v>
      </c>
    </row>
    <row r="6178" spans="1:3" x14ac:dyDescent="0.25">
      <c r="A6178" s="1" t="s">
        <v>12355</v>
      </c>
      <c r="B6178" s="1" t="s">
        <v>12356</v>
      </c>
      <c r="C6178" s="1" t="s">
        <v>5</v>
      </c>
    </row>
    <row r="6179" spans="1:3" x14ac:dyDescent="0.25">
      <c r="A6179" s="1" t="s">
        <v>12357</v>
      </c>
      <c r="B6179" s="1" t="s">
        <v>12358</v>
      </c>
      <c r="C6179" s="1" t="s">
        <v>5</v>
      </c>
    </row>
    <row r="6180" spans="1:3" x14ac:dyDescent="0.25">
      <c r="A6180" s="1" t="s">
        <v>12359</v>
      </c>
      <c r="B6180" s="1" t="s">
        <v>12360</v>
      </c>
      <c r="C6180" s="1" t="s">
        <v>5</v>
      </c>
    </row>
    <row r="6181" spans="1:3" x14ac:dyDescent="0.25">
      <c r="A6181" s="1" t="s">
        <v>12361</v>
      </c>
      <c r="B6181" s="1" t="s">
        <v>12362</v>
      </c>
      <c r="C6181" s="1" t="s">
        <v>5</v>
      </c>
    </row>
    <row r="6182" spans="1:3" x14ac:dyDescent="0.25">
      <c r="A6182" s="1" t="s">
        <v>12363</v>
      </c>
      <c r="B6182" s="1" t="s">
        <v>12364</v>
      </c>
      <c r="C6182" s="1" t="s">
        <v>5</v>
      </c>
    </row>
    <row r="6183" spans="1:3" x14ac:dyDescent="0.25">
      <c r="A6183" s="1" t="s">
        <v>12365</v>
      </c>
      <c r="B6183" s="1" t="s">
        <v>12366</v>
      </c>
      <c r="C6183" s="1" t="s">
        <v>5</v>
      </c>
    </row>
    <row r="6184" spans="1:3" x14ac:dyDescent="0.25">
      <c r="A6184" s="1" t="s">
        <v>12367</v>
      </c>
      <c r="B6184" s="1" t="s">
        <v>12368</v>
      </c>
      <c r="C6184" s="1" t="s">
        <v>5</v>
      </c>
    </row>
    <row r="6185" spans="1:3" x14ac:dyDescent="0.25">
      <c r="A6185" s="1" t="s">
        <v>12369</v>
      </c>
      <c r="B6185" s="1" t="s">
        <v>12370</v>
      </c>
      <c r="C6185" s="1" t="s">
        <v>5</v>
      </c>
    </row>
    <row r="6186" spans="1:3" x14ac:dyDescent="0.25">
      <c r="A6186" s="1" t="s">
        <v>12371</v>
      </c>
      <c r="B6186" s="1" t="s">
        <v>12372</v>
      </c>
      <c r="C6186" s="1" t="s">
        <v>5</v>
      </c>
    </row>
    <row r="6187" spans="1:3" x14ac:dyDescent="0.25">
      <c r="A6187" s="1" t="s">
        <v>12373</v>
      </c>
      <c r="B6187" s="1" t="s">
        <v>12374</v>
      </c>
      <c r="C6187" s="1" t="s">
        <v>5</v>
      </c>
    </row>
    <row r="6188" spans="1:3" x14ac:dyDescent="0.25">
      <c r="A6188" s="1" t="s">
        <v>12375</v>
      </c>
      <c r="B6188" s="1" t="s">
        <v>12376</v>
      </c>
      <c r="C6188" s="1" t="s">
        <v>5</v>
      </c>
    </row>
    <row r="6189" spans="1:3" x14ac:dyDescent="0.25">
      <c r="A6189" s="1" t="s">
        <v>12377</v>
      </c>
      <c r="B6189" s="1" t="s">
        <v>12378</v>
      </c>
      <c r="C6189" s="1" t="s">
        <v>5</v>
      </c>
    </row>
    <row r="6190" spans="1:3" x14ac:dyDescent="0.25">
      <c r="A6190" s="1" t="s">
        <v>12379</v>
      </c>
      <c r="B6190" s="1" t="s">
        <v>12380</v>
      </c>
      <c r="C6190" s="1" t="s">
        <v>5</v>
      </c>
    </row>
    <row r="6191" spans="1:3" x14ac:dyDescent="0.25">
      <c r="A6191" s="1" t="s">
        <v>12381</v>
      </c>
      <c r="B6191" s="1" t="s">
        <v>12382</v>
      </c>
      <c r="C6191" s="1" t="s">
        <v>5</v>
      </c>
    </row>
    <row r="6192" spans="1:3" x14ac:dyDescent="0.25">
      <c r="A6192" s="1" t="s">
        <v>12383</v>
      </c>
      <c r="B6192" s="1" t="s">
        <v>12384</v>
      </c>
      <c r="C6192" s="1" t="s">
        <v>5</v>
      </c>
    </row>
    <row r="6193" spans="1:3" x14ac:dyDescent="0.25">
      <c r="A6193" s="1" t="s">
        <v>12385</v>
      </c>
      <c r="B6193" s="1" t="s">
        <v>12386</v>
      </c>
      <c r="C6193" s="1" t="s">
        <v>5</v>
      </c>
    </row>
    <row r="6194" spans="1:3" x14ac:dyDescent="0.25">
      <c r="A6194" s="1" t="s">
        <v>12387</v>
      </c>
      <c r="B6194" s="1" t="s">
        <v>12388</v>
      </c>
      <c r="C6194" s="1" t="s">
        <v>5</v>
      </c>
    </row>
    <row r="6195" spans="1:3" x14ac:dyDescent="0.25">
      <c r="A6195" s="1" t="s">
        <v>12389</v>
      </c>
      <c r="B6195" s="1" t="s">
        <v>12390</v>
      </c>
      <c r="C6195" s="1" t="s">
        <v>5</v>
      </c>
    </row>
    <row r="6196" spans="1:3" x14ac:dyDescent="0.25">
      <c r="A6196" s="1" t="s">
        <v>12391</v>
      </c>
      <c r="B6196" s="1" t="s">
        <v>12392</v>
      </c>
      <c r="C6196" s="1" t="s">
        <v>5</v>
      </c>
    </row>
    <row r="6197" spans="1:3" x14ac:dyDescent="0.25">
      <c r="A6197" s="1" t="s">
        <v>12393</v>
      </c>
      <c r="B6197" s="1" t="s">
        <v>12394</v>
      </c>
      <c r="C6197" s="1" t="s">
        <v>5</v>
      </c>
    </row>
    <row r="6198" spans="1:3" x14ac:dyDescent="0.25">
      <c r="A6198" s="1" t="s">
        <v>12395</v>
      </c>
      <c r="B6198" s="1" t="s">
        <v>12396</v>
      </c>
      <c r="C6198" s="1" t="s">
        <v>5</v>
      </c>
    </row>
    <row r="6199" spans="1:3" x14ac:dyDescent="0.25">
      <c r="A6199" s="1" t="s">
        <v>12397</v>
      </c>
      <c r="B6199" s="1" t="s">
        <v>12398</v>
      </c>
      <c r="C6199" s="1" t="s">
        <v>5</v>
      </c>
    </row>
    <row r="6200" spans="1:3" x14ac:dyDescent="0.25">
      <c r="A6200" s="1" t="s">
        <v>12399</v>
      </c>
      <c r="B6200" s="1" t="s">
        <v>12400</v>
      </c>
      <c r="C6200" s="1" t="s">
        <v>5</v>
      </c>
    </row>
    <row r="6201" spans="1:3" x14ac:dyDescent="0.25">
      <c r="A6201" s="1" t="s">
        <v>12401</v>
      </c>
      <c r="B6201" s="1" t="s">
        <v>12402</v>
      </c>
      <c r="C6201" s="1" t="s">
        <v>5</v>
      </c>
    </row>
    <row r="6202" spans="1:3" x14ac:dyDescent="0.25">
      <c r="A6202" s="1" t="s">
        <v>12403</v>
      </c>
      <c r="B6202" s="1" t="s">
        <v>12404</v>
      </c>
      <c r="C6202" s="1" t="s">
        <v>5</v>
      </c>
    </row>
    <row r="6203" spans="1:3" x14ac:dyDescent="0.25">
      <c r="A6203" s="1" t="s">
        <v>12405</v>
      </c>
      <c r="B6203" s="1" t="s">
        <v>12406</v>
      </c>
      <c r="C6203" s="1" t="s">
        <v>5</v>
      </c>
    </row>
    <row r="6204" spans="1:3" x14ac:dyDescent="0.25">
      <c r="A6204" s="1" t="s">
        <v>12407</v>
      </c>
      <c r="B6204" s="1" t="s">
        <v>12408</v>
      </c>
      <c r="C6204" s="1" t="s">
        <v>5</v>
      </c>
    </row>
    <row r="6205" spans="1:3" x14ac:dyDescent="0.25">
      <c r="A6205" s="1" t="s">
        <v>12409</v>
      </c>
      <c r="B6205" s="1" t="s">
        <v>12410</v>
      </c>
      <c r="C6205" s="1" t="s">
        <v>5</v>
      </c>
    </row>
    <row r="6206" spans="1:3" x14ac:dyDescent="0.25">
      <c r="A6206" s="1" t="s">
        <v>12411</v>
      </c>
      <c r="B6206" s="1" t="s">
        <v>12412</v>
      </c>
      <c r="C6206" s="1" t="s">
        <v>5</v>
      </c>
    </row>
    <row r="6207" spans="1:3" x14ac:dyDescent="0.25">
      <c r="A6207" s="1" t="s">
        <v>12413</v>
      </c>
      <c r="B6207" s="1" t="s">
        <v>12414</v>
      </c>
      <c r="C6207" s="1" t="s">
        <v>5</v>
      </c>
    </row>
    <row r="6208" spans="1:3" x14ac:dyDescent="0.25">
      <c r="A6208" s="1" t="s">
        <v>12415</v>
      </c>
      <c r="B6208" s="1" t="s">
        <v>12416</v>
      </c>
      <c r="C6208" s="1" t="s">
        <v>5</v>
      </c>
    </row>
    <row r="6209" spans="1:3" x14ac:dyDescent="0.25">
      <c r="A6209" s="1" t="s">
        <v>12417</v>
      </c>
      <c r="B6209" s="1" t="s">
        <v>12418</v>
      </c>
      <c r="C6209" s="1" t="s">
        <v>5</v>
      </c>
    </row>
    <row r="6210" spans="1:3" x14ac:dyDescent="0.25">
      <c r="A6210" s="1" t="s">
        <v>12419</v>
      </c>
      <c r="B6210" s="1" t="s">
        <v>12420</v>
      </c>
      <c r="C6210" s="1" t="s">
        <v>5</v>
      </c>
    </row>
    <row r="6211" spans="1:3" x14ac:dyDescent="0.25">
      <c r="A6211" s="1" t="s">
        <v>12421</v>
      </c>
      <c r="B6211" s="1" t="s">
        <v>12422</v>
      </c>
      <c r="C6211" s="1" t="s">
        <v>5</v>
      </c>
    </row>
    <row r="6212" spans="1:3" x14ac:dyDescent="0.25">
      <c r="A6212" s="1" t="s">
        <v>12423</v>
      </c>
      <c r="B6212" s="1" t="s">
        <v>12424</v>
      </c>
      <c r="C6212" s="1" t="s">
        <v>5</v>
      </c>
    </row>
    <row r="6213" spans="1:3" x14ac:dyDescent="0.25">
      <c r="A6213" s="1" t="s">
        <v>12425</v>
      </c>
      <c r="B6213" s="1" t="s">
        <v>12426</v>
      </c>
      <c r="C6213" s="1" t="s">
        <v>5</v>
      </c>
    </row>
    <row r="6214" spans="1:3" x14ac:dyDescent="0.25">
      <c r="A6214" s="1" t="s">
        <v>12427</v>
      </c>
      <c r="B6214" s="1" t="s">
        <v>12428</v>
      </c>
      <c r="C6214" s="1" t="s">
        <v>5</v>
      </c>
    </row>
    <row r="6215" spans="1:3" x14ac:dyDescent="0.25">
      <c r="A6215" s="1" t="s">
        <v>12429</v>
      </c>
      <c r="B6215" s="1" t="s">
        <v>12430</v>
      </c>
      <c r="C6215" s="1" t="s">
        <v>5</v>
      </c>
    </row>
    <row r="6216" spans="1:3" x14ac:dyDescent="0.25">
      <c r="A6216" s="1" t="s">
        <v>12431</v>
      </c>
      <c r="B6216" s="1" t="s">
        <v>12432</v>
      </c>
      <c r="C6216" s="1" t="s">
        <v>5</v>
      </c>
    </row>
    <row r="6217" spans="1:3" x14ac:dyDescent="0.25">
      <c r="A6217" s="1" t="s">
        <v>12433</v>
      </c>
      <c r="B6217" s="1" t="s">
        <v>12434</v>
      </c>
      <c r="C6217" s="1" t="s">
        <v>5</v>
      </c>
    </row>
    <row r="6218" spans="1:3" x14ac:dyDescent="0.25">
      <c r="A6218" s="1" t="s">
        <v>12435</v>
      </c>
      <c r="B6218" s="1" t="s">
        <v>12436</v>
      </c>
      <c r="C6218" s="1" t="s">
        <v>5</v>
      </c>
    </row>
    <row r="6219" spans="1:3" x14ac:dyDescent="0.25">
      <c r="A6219" s="1" t="s">
        <v>12437</v>
      </c>
      <c r="B6219" s="1" t="s">
        <v>12438</v>
      </c>
      <c r="C6219" s="1" t="s">
        <v>5</v>
      </c>
    </row>
    <row r="6220" spans="1:3" x14ac:dyDescent="0.25">
      <c r="A6220" s="1" t="s">
        <v>12439</v>
      </c>
      <c r="B6220" s="1" t="s">
        <v>12440</v>
      </c>
      <c r="C6220" s="1" t="s">
        <v>5</v>
      </c>
    </row>
    <row r="6221" spans="1:3" x14ac:dyDescent="0.25">
      <c r="A6221" s="1" t="s">
        <v>12441</v>
      </c>
      <c r="B6221" s="1" t="s">
        <v>12442</v>
      </c>
      <c r="C6221" s="1" t="s">
        <v>5</v>
      </c>
    </row>
    <row r="6222" spans="1:3" x14ac:dyDescent="0.25">
      <c r="A6222" s="1" t="s">
        <v>12443</v>
      </c>
      <c r="B6222" s="1" t="s">
        <v>12444</v>
      </c>
      <c r="C6222" s="1" t="s">
        <v>5</v>
      </c>
    </row>
    <row r="6223" spans="1:3" x14ac:dyDescent="0.25">
      <c r="A6223" s="1" t="s">
        <v>12445</v>
      </c>
      <c r="B6223" s="1" t="s">
        <v>12446</v>
      </c>
      <c r="C6223" s="1" t="s">
        <v>5</v>
      </c>
    </row>
    <row r="6224" spans="1:3" x14ac:dyDescent="0.25">
      <c r="A6224" s="1" t="s">
        <v>12447</v>
      </c>
      <c r="B6224" s="1" t="s">
        <v>12448</v>
      </c>
      <c r="C6224" s="1" t="s">
        <v>5</v>
      </c>
    </row>
    <row r="6225" spans="1:3" x14ac:dyDescent="0.25">
      <c r="A6225" s="1" t="s">
        <v>12449</v>
      </c>
      <c r="B6225" s="1" t="s">
        <v>12450</v>
      </c>
      <c r="C6225" s="1" t="s">
        <v>5</v>
      </c>
    </row>
    <row r="6226" spans="1:3" x14ac:dyDescent="0.25">
      <c r="A6226" s="1" t="s">
        <v>12451</v>
      </c>
      <c r="B6226" s="1" t="s">
        <v>12452</v>
      </c>
      <c r="C6226" s="1" t="s">
        <v>5</v>
      </c>
    </row>
    <row r="6227" spans="1:3" x14ac:dyDescent="0.25">
      <c r="A6227" s="1" t="s">
        <v>12453</v>
      </c>
      <c r="B6227" s="1" t="s">
        <v>12454</v>
      </c>
      <c r="C6227" s="1" t="s">
        <v>5</v>
      </c>
    </row>
    <row r="6228" spans="1:3" x14ac:dyDescent="0.25">
      <c r="A6228" s="1" t="s">
        <v>12455</v>
      </c>
      <c r="B6228" s="1" t="s">
        <v>12456</v>
      </c>
      <c r="C6228" s="1" t="s">
        <v>5</v>
      </c>
    </row>
    <row r="6229" spans="1:3" x14ac:dyDescent="0.25">
      <c r="A6229" s="1" t="s">
        <v>12457</v>
      </c>
      <c r="B6229" s="1" t="s">
        <v>12458</v>
      </c>
      <c r="C6229" s="1" t="s">
        <v>5</v>
      </c>
    </row>
    <row r="6230" spans="1:3" x14ac:dyDescent="0.25">
      <c r="A6230" s="1" t="s">
        <v>12459</v>
      </c>
      <c r="B6230" s="1" t="s">
        <v>12460</v>
      </c>
      <c r="C6230" s="1" t="s">
        <v>5</v>
      </c>
    </row>
    <row r="6231" spans="1:3" x14ac:dyDescent="0.25">
      <c r="A6231" s="1" t="s">
        <v>12461</v>
      </c>
      <c r="B6231" s="1" t="s">
        <v>12462</v>
      </c>
      <c r="C6231" s="1" t="s">
        <v>5</v>
      </c>
    </row>
    <row r="6232" spans="1:3" x14ac:dyDescent="0.25">
      <c r="A6232" s="1" t="s">
        <v>12463</v>
      </c>
      <c r="B6232" s="1" t="s">
        <v>12464</v>
      </c>
      <c r="C6232" s="1" t="s">
        <v>5</v>
      </c>
    </row>
    <row r="6233" spans="1:3" x14ac:dyDescent="0.25">
      <c r="A6233" s="1" t="s">
        <v>12465</v>
      </c>
      <c r="B6233" s="1" t="s">
        <v>12466</v>
      </c>
      <c r="C6233" s="1" t="s">
        <v>5</v>
      </c>
    </row>
    <row r="6234" spans="1:3" x14ac:dyDescent="0.25">
      <c r="A6234" s="1" t="s">
        <v>12467</v>
      </c>
      <c r="B6234" s="1" t="s">
        <v>12468</v>
      </c>
      <c r="C6234" s="1" t="s">
        <v>5</v>
      </c>
    </row>
    <row r="6235" spans="1:3" x14ac:dyDescent="0.25">
      <c r="A6235" s="1" t="s">
        <v>12469</v>
      </c>
      <c r="B6235" s="1" t="s">
        <v>12470</v>
      </c>
      <c r="C6235" s="1" t="s">
        <v>5</v>
      </c>
    </row>
    <row r="6236" spans="1:3" x14ac:dyDescent="0.25">
      <c r="A6236" s="1" t="s">
        <v>12471</v>
      </c>
      <c r="B6236" s="1" t="s">
        <v>12472</v>
      </c>
      <c r="C6236" s="1" t="s">
        <v>5</v>
      </c>
    </row>
    <row r="6237" spans="1:3" x14ac:dyDescent="0.25">
      <c r="A6237" s="1" t="s">
        <v>12473</v>
      </c>
      <c r="B6237" s="1" t="s">
        <v>12474</v>
      </c>
      <c r="C6237" s="1" t="s">
        <v>5</v>
      </c>
    </row>
    <row r="6238" spans="1:3" x14ac:dyDescent="0.25">
      <c r="A6238" s="1" t="s">
        <v>12475</v>
      </c>
      <c r="B6238" s="1" t="s">
        <v>12476</v>
      </c>
      <c r="C6238" s="1" t="s">
        <v>5</v>
      </c>
    </row>
    <row r="6239" spans="1:3" x14ac:dyDescent="0.25">
      <c r="A6239" s="1" t="s">
        <v>12477</v>
      </c>
      <c r="B6239" s="1" t="s">
        <v>12478</v>
      </c>
      <c r="C6239" s="1" t="s">
        <v>5</v>
      </c>
    </row>
    <row r="6240" spans="1:3" x14ac:dyDescent="0.25">
      <c r="A6240" s="1" t="s">
        <v>12479</v>
      </c>
      <c r="B6240" s="1" t="s">
        <v>12480</v>
      </c>
      <c r="C6240" s="1" t="s">
        <v>5</v>
      </c>
    </row>
    <row r="6241" spans="1:3" x14ac:dyDescent="0.25">
      <c r="A6241" s="1" t="s">
        <v>12481</v>
      </c>
      <c r="B6241" s="1" t="s">
        <v>12482</v>
      </c>
      <c r="C6241" s="1" t="s">
        <v>5</v>
      </c>
    </row>
    <row r="6242" spans="1:3" x14ac:dyDescent="0.25">
      <c r="A6242" s="1" t="s">
        <v>12483</v>
      </c>
      <c r="B6242" s="1" t="s">
        <v>12484</v>
      </c>
      <c r="C6242" s="1" t="s">
        <v>5</v>
      </c>
    </row>
    <row r="6243" spans="1:3" x14ac:dyDescent="0.25">
      <c r="A6243" s="1" t="s">
        <v>12485</v>
      </c>
      <c r="B6243" s="1" t="s">
        <v>12486</v>
      </c>
      <c r="C6243" s="1" t="s">
        <v>5</v>
      </c>
    </row>
    <row r="6244" spans="1:3" x14ac:dyDescent="0.25">
      <c r="A6244" s="1" t="s">
        <v>12487</v>
      </c>
      <c r="B6244" s="1" t="s">
        <v>12488</v>
      </c>
      <c r="C6244" s="1" t="s">
        <v>5</v>
      </c>
    </row>
    <row r="6245" spans="1:3" x14ac:dyDescent="0.25">
      <c r="A6245" s="1" t="s">
        <v>12489</v>
      </c>
      <c r="B6245" s="1" t="s">
        <v>12490</v>
      </c>
      <c r="C6245" s="1" t="s">
        <v>5</v>
      </c>
    </row>
    <row r="6246" spans="1:3" x14ac:dyDescent="0.25">
      <c r="A6246" s="1" t="s">
        <v>12491</v>
      </c>
      <c r="B6246" s="1" t="s">
        <v>12492</v>
      </c>
      <c r="C6246" s="1" t="s">
        <v>5</v>
      </c>
    </row>
    <row r="6247" spans="1:3" x14ac:dyDescent="0.25">
      <c r="A6247" s="1" t="s">
        <v>12493</v>
      </c>
      <c r="B6247" s="1" t="s">
        <v>12494</v>
      </c>
      <c r="C6247" s="1" t="s">
        <v>5</v>
      </c>
    </row>
    <row r="6248" spans="1:3" x14ac:dyDescent="0.25">
      <c r="A6248" s="1" t="s">
        <v>12495</v>
      </c>
      <c r="B6248" s="1" t="s">
        <v>12496</v>
      </c>
      <c r="C6248" s="1" t="s">
        <v>5</v>
      </c>
    </row>
    <row r="6249" spans="1:3" x14ac:dyDescent="0.25">
      <c r="A6249" s="1" t="s">
        <v>12497</v>
      </c>
      <c r="B6249" s="1" t="s">
        <v>12498</v>
      </c>
      <c r="C6249" s="1" t="s">
        <v>5</v>
      </c>
    </row>
    <row r="6250" spans="1:3" x14ac:dyDescent="0.25">
      <c r="A6250" s="1" t="s">
        <v>12499</v>
      </c>
      <c r="B6250" s="1" t="s">
        <v>12500</v>
      </c>
      <c r="C6250" s="1" t="s">
        <v>5</v>
      </c>
    </row>
    <row r="6251" spans="1:3" x14ac:dyDescent="0.25">
      <c r="A6251" s="1" t="s">
        <v>12501</v>
      </c>
      <c r="B6251" s="1" t="s">
        <v>12502</v>
      </c>
      <c r="C6251" s="1" t="s">
        <v>5</v>
      </c>
    </row>
    <row r="6252" spans="1:3" x14ac:dyDescent="0.25">
      <c r="A6252" s="1" t="s">
        <v>12503</v>
      </c>
      <c r="B6252" s="1" t="s">
        <v>12504</v>
      </c>
      <c r="C6252" s="1" t="s">
        <v>5</v>
      </c>
    </row>
    <row r="6253" spans="1:3" x14ac:dyDescent="0.25">
      <c r="A6253" s="1" t="s">
        <v>12505</v>
      </c>
      <c r="B6253" s="1" t="s">
        <v>12506</v>
      </c>
      <c r="C6253" s="1" t="s">
        <v>5</v>
      </c>
    </row>
    <row r="6254" spans="1:3" x14ac:dyDescent="0.25">
      <c r="A6254" s="1" t="s">
        <v>12507</v>
      </c>
      <c r="B6254" s="1" t="s">
        <v>12508</v>
      </c>
      <c r="C6254" s="1" t="s">
        <v>5</v>
      </c>
    </row>
    <row r="6255" spans="1:3" x14ac:dyDescent="0.25">
      <c r="A6255" s="1" t="s">
        <v>12509</v>
      </c>
      <c r="B6255" s="1" t="s">
        <v>12510</v>
      </c>
      <c r="C6255" s="1" t="s">
        <v>5</v>
      </c>
    </row>
    <row r="6256" spans="1:3" x14ac:dyDescent="0.25">
      <c r="A6256" s="1" t="s">
        <v>12511</v>
      </c>
      <c r="B6256" s="1" t="s">
        <v>12512</v>
      </c>
      <c r="C6256" s="1" t="s">
        <v>5</v>
      </c>
    </row>
    <row r="6257" spans="1:3" x14ac:dyDescent="0.25">
      <c r="A6257" s="1" t="s">
        <v>12513</v>
      </c>
      <c r="B6257" s="1" t="s">
        <v>12514</v>
      </c>
      <c r="C6257" s="1" t="s">
        <v>5</v>
      </c>
    </row>
    <row r="6258" spans="1:3" x14ac:dyDescent="0.25">
      <c r="A6258" s="1" t="s">
        <v>12515</v>
      </c>
      <c r="B6258" s="1" t="s">
        <v>12516</v>
      </c>
      <c r="C6258" s="1" t="s">
        <v>5</v>
      </c>
    </row>
    <row r="6259" spans="1:3" x14ac:dyDescent="0.25">
      <c r="A6259" s="1" t="s">
        <v>12517</v>
      </c>
      <c r="B6259" s="1" t="s">
        <v>12518</v>
      </c>
      <c r="C6259" s="1" t="s">
        <v>5</v>
      </c>
    </row>
    <row r="6260" spans="1:3" x14ac:dyDescent="0.25">
      <c r="A6260" s="1" t="s">
        <v>12519</v>
      </c>
      <c r="B6260" s="1" t="s">
        <v>12520</v>
      </c>
      <c r="C6260" s="1" t="s">
        <v>5</v>
      </c>
    </row>
    <row r="6261" spans="1:3" x14ac:dyDescent="0.25">
      <c r="A6261" s="1" t="s">
        <v>12521</v>
      </c>
      <c r="B6261" s="1" t="s">
        <v>12522</v>
      </c>
      <c r="C6261" s="1" t="s">
        <v>5</v>
      </c>
    </row>
    <row r="6262" spans="1:3" x14ac:dyDescent="0.25">
      <c r="A6262" s="1" t="s">
        <v>12523</v>
      </c>
      <c r="B6262" s="1" t="s">
        <v>12524</v>
      </c>
      <c r="C6262" s="1" t="s">
        <v>5</v>
      </c>
    </row>
    <row r="6263" spans="1:3" x14ac:dyDescent="0.25">
      <c r="A6263" s="1" t="s">
        <v>12525</v>
      </c>
      <c r="B6263" s="1" t="s">
        <v>12526</v>
      </c>
      <c r="C6263" s="1" t="s">
        <v>5</v>
      </c>
    </row>
    <row r="6264" spans="1:3" x14ac:dyDescent="0.25">
      <c r="A6264" s="1" t="s">
        <v>12527</v>
      </c>
      <c r="B6264" s="1" t="s">
        <v>12528</v>
      </c>
      <c r="C6264" s="1" t="s">
        <v>5</v>
      </c>
    </row>
    <row r="6265" spans="1:3" x14ac:dyDescent="0.25">
      <c r="A6265" s="1" t="s">
        <v>12529</v>
      </c>
      <c r="B6265" s="1" t="s">
        <v>12530</v>
      </c>
      <c r="C6265" s="1" t="s">
        <v>5</v>
      </c>
    </row>
    <row r="6266" spans="1:3" x14ac:dyDescent="0.25">
      <c r="A6266" s="1" t="s">
        <v>12531</v>
      </c>
      <c r="B6266" s="1" t="s">
        <v>12532</v>
      </c>
      <c r="C6266" s="1" t="s">
        <v>5</v>
      </c>
    </row>
    <row r="6267" spans="1:3" x14ac:dyDescent="0.25">
      <c r="A6267" s="1" t="s">
        <v>12533</v>
      </c>
      <c r="B6267" s="1" t="s">
        <v>12534</v>
      </c>
      <c r="C6267" s="1" t="s">
        <v>5</v>
      </c>
    </row>
    <row r="6268" spans="1:3" x14ac:dyDescent="0.25">
      <c r="A6268" s="1" t="s">
        <v>12535</v>
      </c>
      <c r="B6268" s="1" t="s">
        <v>12536</v>
      </c>
      <c r="C6268" s="1" t="s">
        <v>5</v>
      </c>
    </row>
    <row r="6269" spans="1:3" x14ac:dyDescent="0.25">
      <c r="A6269" s="1" t="s">
        <v>12537</v>
      </c>
      <c r="B6269" s="1" t="s">
        <v>12538</v>
      </c>
      <c r="C6269" s="1" t="s">
        <v>5</v>
      </c>
    </row>
    <row r="6270" spans="1:3" x14ac:dyDescent="0.25">
      <c r="A6270" s="1" t="s">
        <v>12539</v>
      </c>
      <c r="B6270" s="1" t="s">
        <v>12540</v>
      </c>
      <c r="C6270" s="1" t="s">
        <v>5</v>
      </c>
    </row>
    <row r="6271" spans="1:3" x14ac:dyDescent="0.25">
      <c r="A6271" s="1" t="s">
        <v>12541</v>
      </c>
      <c r="B6271" s="1" t="s">
        <v>12542</v>
      </c>
      <c r="C6271" s="1" t="s">
        <v>5</v>
      </c>
    </row>
    <row r="6272" spans="1:3" x14ac:dyDescent="0.25">
      <c r="A6272" s="1" t="s">
        <v>12543</v>
      </c>
      <c r="B6272" s="1" t="s">
        <v>12544</v>
      </c>
      <c r="C6272" s="1" t="s">
        <v>5</v>
      </c>
    </row>
    <row r="6273" spans="1:3" x14ac:dyDescent="0.25">
      <c r="A6273" s="1" t="s">
        <v>12545</v>
      </c>
      <c r="B6273" s="1" t="s">
        <v>12546</v>
      </c>
      <c r="C6273" s="1" t="s">
        <v>5</v>
      </c>
    </row>
    <row r="6274" spans="1:3" x14ac:dyDescent="0.25">
      <c r="A6274" s="1" t="s">
        <v>12547</v>
      </c>
      <c r="B6274" s="1" t="s">
        <v>12548</v>
      </c>
      <c r="C6274" s="1" t="s">
        <v>5</v>
      </c>
    </row>
    <row r="6275" spans="1:3" x14ac:dyDescent="0.25">
      <c r="A6275" s="1" t="s">
        <v>12549</v>
      </c>
      <c r="B6275" s="1" t="s">
        <v>12550</v>
      </c>
      <c r="C6275" s="1" t="s">
        <v>5</v>
      </c>
    </row>
    <row r="6276" spans="1:3" x14ac:dyDescent="0.25">
      <c r="A6276" s="1" t="s">
        <v>12551</v>
      </c>
      <c r="B6276" s="1" t="s">
        <v>12552</v>
      </c>
      <c r="C6276" s="1" t="s">
        <v>5</v>
      </c>
    </row>
    <row r="6277" spans="1:3" x14ac:dyDescent="0.25">
      <c r="A6277" s="1" t="s">
        <v>12553</v>
      </c>
      <c r="B6277" s="1" t="s">
        <v>12554</v>
      </c>
      <c r="C6277" s="1" t="s">
        <v>5</v>
      </c>
    </row>
    <row r="6278" spans="1:3" x14ac:dyDescent="0.25">
      <c r="A6278" s="1" t="s">
        <v>12555</v>
      </c>
      <c r="B6278" s="1" t="s">
        <v>12556</v>
      </c>
      <c r="C6278" s="1" t="s">
        <v>5</v>
      </c>
    </row>
    <row r="6279" spans="1:3" x14ac:dyDescent="0.25">
      <c r="A6279" s="1" t="s">
        <v>12557</v>
      </c>
      <c r="B6279" s="1" t="s">
        <v>12558</v>
      </c>
      <c r="C6279" s="1" t="s">
        <v>5</v>
      </c>
    </row>
    <row r="6280" spans="1:3" x14ac:dyDescent="0.25">
      <c r="A6280" s="1" t="s">
        <v>12559</v>
      </c>
      <c r="B6280" s="1" t="s">
        <v>12560</v>
      </c>
      <c r="C6280" s="1" t="s">
        <v>5</v>
      </c>
    </row>
    <row r="6281" spans="1:3" x14ac:dyDescent="0.25">
      <c r="A6281" s="1" t="s">
        <v>12561</v>
      </c>
      <c r="B6281" s="1" t="s">
        <v>12562</v>
      </c>
      <c r="C6281" s="1" t="s">
        <v>5</v>
      </c>
    </row>
    <row r="6282" spans="1:3" x14ac:dyDescent="0.25">
      <c r="A6282" s="1" t="s">
        <v>12563</v>
      </c>
      <c r="B6282" s="1" t="s">
        <v>12564</v>
      </c>
      <c r="C6282" s="1" t="s">
        <v>5</v>
      </c>
    </row>
    <row r="6283" spans="1:3" x14ac:dyDescent="0.25">
      <c r="A6283" s="1" t="s">
        <v>12565</v>
      </c>
      <c r="B6283" s="1" t="s">
        <v>12566</v>
      </c>
      <c r="C6283" s="1" t="s">
        <v>5</v>
      </c>
    </row>
    <row r="6284" spans="1:3" x14ac:dyDescent="0.25">
      <c r="A6284" s="1" t="s">
        <v>12567</v>
      </c>
      <c r="B6284" s="1" t="s">
        <v>12568</v>
      </c>
      <c r="C6284" s="1" t="s">
        <v>5</v>
      </c>
    </row>
    <row r="6285" spans="1:3" x14ac:dyDescent="0.25">
      <c r="A6285" s="1" t="s">
        <v>12569</v>
      </c>
      <c r="B6285" s="1" t="s">
        <v>12570</v>
      </c>
      <c r="C6285" s="1" t="s">
        <v>5</v>
      </c>
    </row>
    <row r="6286" spans="1:3" x14ac:dyDescent="0.25">
      <c r="A6286" s="1" t="s">
        <v>12571</v>
      </c>
      <c r="B6286" s="1" t="s">
        <v>12572</v>
      </c>
      <c r="C6286" s="1" t="s">
        <v>5</v>
      </c>
    </row>
    <row r="6287" spans="1:3" x14ac:dyDescent="0.25">
      <c r="A6287" s="1" t="s">
        <v>12573</v>
      </c>
      <c r="B6287" s="1" t="s">
        <v>12574</v>
      </c>
      <c r="C6287" s="1" t="s">
        <v>5</v>
      </c>
    </row>
    <row r="6288" spans="1:3" x14ac:dyDescent="0.25">
      <c r="A6288" s="1" t="s">
        <v>12575</v>
      </c>
      <c r="B6288" s="1" t="s">
        <v>12576</v>
      </c>
      <c r="C6288" s="1" t="s">
        <v>5</v>
      </c>
    </row>
    <row r="6289" spans="1:3" x14ac:dyDescent="0.25">
      <c r="A6289" s="1" t="s">
        <v>12577</v>
      </c>
      <c r="B6289" s="1" t="s">
        <v>12578</v>
      </c>
      <c r="C6289" s="1" t="s">
        <v>5</v>
      </c>
    </row>
    <row r="6290" spans="1:3" x14ac:dyDescent="0.25">
      <c r="A6290" s="1" t="s">
        <v>12579</v>
      </c>
      <c r="B6290" s="1" t="s">
        <v>12580</v>
      </c>
      <c r="C6290" s="1" t="s">
        <v>5</v>
      </c>
    </row>
    <row r="6291" spans="1:3" x14ac:dyDescent="0.25">
      <c r="A6291" s="1" t="s">
        <v>12581</v>
      </c>
      <c r="B6291" s="1" t="s">
        <v>12582</v>
      </c>
      <c r="C6291" s="1" t="s">
        <v>5</v>
      </c>
    </row>
    <row r="6292" spans="1:3" x14ac:dyDescent="0.25">
      <c r="A6292" s="1" t="s">
        <v>12583</v>
      </c>
      <c r="B6292" s="1" t="s">
        <v>12584</v>
      </c>
      <c r="C6292" s="1" t="s">
        <v>5</v>
      </c>
    </row>
    <row r="6293" spans="1:3" x14ac:dyDescent="0.25">
      <c r="A6293" s="1" t="s">
        <v>12585</v>
      </c>
      <c r="B6293" s="1" t="s">
        <v>12586</v>
      </c>
      <c r="C6293" s="1" t="s">
        <v>5</v>
      </c>
    </row>
    <row r="6294" spans="1:3" x14ac:dyDescent="0.25">
      <c r="A6294" s="1" t="s">
        <v>12587</v>
      </c>
      <c r="B6294" s="1" t="s">
        <v>12588</v>
      </c>
      <c r="C6294" s="1" t="s">
        <v>5</v>
      </c>
    </row>
    <row r="6295" spans="1:3" x14ac:dyDescent="0.25">
      <c r="A6295" s="1" t="s">
        <v>12589</v>
      </c>
      <c r="B6295" s="1" t="s">
        <v>12590</v>
      </c>
      <c r="C6295" s="1" t="s">
        <v>5</v>
      </c>
    </row>
    <row r="6296" spans="1:3" x14ac:dyDescent="0.25">
      <c r="A6296" s="1" t="s">
        <v>12591</v>
      </c>
      <c r="B6296" s="1" t="s">
        <v>12592</v>
      </c>
      <c r="C6296" s="1" t="s">
        <v>5</v>
      </c>
    </row>
    <row r="6297" spans="1:3" x14ac:dyDescent="0.25">
      <c r="A6297" s="1" t="s">
        <v>12593</v>
      </c>
      <c r="B6297" s="1" t="s">
        <v>12594</v>
      </c>
      <c r="C6297" s="1" t="s">
        <v>5</v>
      </c>
    </row>
    <row r="6298" spans="1:3" x14ac:dyDescent="0.25">
      <c r="A6298" s="1" t="s">
        <v>12595</v>
      </c>
      <c r="B6298" s="1" t="s">
        <v>12596</v>
      </c>
      <c r="C6298" s="1" t="s">
        <v>5</v>
      </c>
    </row>
    <row r="6299" spans="1:3" x14ac:dyDescent="0.25">
      <c r="A6299" s="1" t="s">
        <v>12597</v>
      </c>
      <c r="B6299" s="1" t="s">
        <v>12598</v>
      </c>
      <c r="C6299" s="1" t="s">
        <v>5</v>
      </c>
    </row>
    <row r="6300" spans="1:3" x14ac:dyDescent="0.25">
      <c r="A6300" s="1" t="s">
        <v>12599</v>
      </c>
      <c r="B6300" s="1" t="s">
        <v>12600</v>
      </c>
      <c r="C6300" s="1" t="s">
        <v>5</v>
      </c>
    </row>
    <row r="6301" spans="1:3" x14ac:dyDescent="0.25">
      <c r="A6301" s="1" t="s">
        <v>12601</v>
      </c>
      <c r="B6301" s="1" t="s">
        <v>12602</v>
      </c>
      <c r="C6301" s="1" t="s">
        <v>5</v>
      </c>
    </row>
    <row r="6302" spans="1:3" x14ac:dyDescent="0.25">
      <c r="A6302" s="1" t="s">
        <v>12603</v>
      </c>
      <c r="B6302" s="1" t="s">
        <v>12604</v>
      </c>
      <c r="C6302" s="1" t="s">
        <v>5</v>
      </c>
    </row>
    <row r="6303" spans="1:3" x14ac:dyDescent="0.25">
      <c r="A6303" s="1" t="s">
        <v>12605</v>
      </c>
      <c r="B6303" s="1" t="s">
        <v>12606</v>
      </c>
      <c r="C6303" s="1" t="s">
        <v>5</v>
      </c>
    </row>
    <row r="6304" spans="1:3" x14ac:dyDescent="0.25">
      <c r="A6304" s="1" t="s">
        <v>12607</v>
      </c>
      <c r="B6304" s="1" t="s">
        <v>12608</v>
      </c>
      <c r="C6304" s="1" t="s">
        <v>5</v>
      </c>
    </row>
    <row r="6305" spans="1:3" x14ac:dyDescent="0.25">
      <c r="A6305" s="1" t="s">
        <v>12609</v>
      </c>
      <c r="B6305" s="1" t="s">
        <v>12610</v>
      </c>
      <c r="C6305" s="1" t="s">
        <v>5</v>
      </c>
    </row>
    <row r="6306" spans="1:3" x14ac:dyDescent="0.25">
      <c r="A6306" s="1" t="s">
        <v>12611</v>
      </c>
      <c r="B6306" s="1" t="s">
        <v>12612</v>
      </c>
      <c r="C6306" s="1" t="s">
        <v>5</v>
      </c>
    </row>
    <row r="6307" spans="1:3" x14ac:dyDescent="0.25">
      <c r="A6307" s="1" t="s">
        <v>12613</v>
      </c>
      <c r="B6307" s="1" t="s">
        <v>12614</v>
      </c>
      <c r="C6307" s="1" t="s">
        <v>5</v>
      </c>
    </row>
    <row r="6308" spans="1:3" x14ac:dyDescent="0.25">
      <c r="A6308" s="1" t="s">
        <v>12615</v>
      </c>
      <c r="B6308" s="1" t="s">
        <v>12616</v>
      </c>
      <c r="C6308" s="1" t="s">
        <v>5</v>
      </c>
    </row>
    <row r="6309" spans="1:3" x14ac:dyDescent="0.25">
      <c r="A6309" s="1" t="s">
        <v>12617</v>
      </c>
      <c r="B6309" s="1" t="s">
        <v>12618</v>
      </c>
      <c r="C6309" s="1" t="s">
        <v>5</v>
      </c>
    </row>
    <row r="6310" spans="1:3" x14ac:dyDescent="0.25">
      <c r="A6310" s="1" t="s">
        <v>12619</v>
      </c>
      <c r="B6310" s="1" t="s">
        <v>12620</v>
      </c>
      <c r="C6310" s="1" t="s">
        <v>5</v>
      </c>
    </row>
    <row r="6311" spans="1:3" x14ac:dyDescent="0.25">
      <c r="A6311" s="1" t="s">
        <v>12621</v>
      </c>
      <c r="B6311" s="1" t="s">
        <v>12622</v>
      </c>
      <c r="C6311" s="1" t="s">
        <v>5</v>
      </c>
    </row>
    <row r="6312" spans="1:3" x14ac:dyDescent="0.25">
      <c r="A6312" s="1" t="s">
        <v>12623</v>
      </c>
      <c r="B6312" s="1" t="s">
        <v>12624</v>
      </c>
      <c r="C6312" s="1" t="s">
        <v>5</v>
      </c>
    </row>
    <row r="6313" spans="1:3" x14ac:dyDescent="0.25">
      <c r="A6313" s="1" t="s">
        <v>12625</v>
      </c>
      <c r="B6313" s="1" t="s">
        <v>12626</v>
      </c>
      <c r="C6313" s="1" t="s">
        <v>5</v>
      </c>
    </row>
    <row r="6314" spans="1:3" x14ac:dyDescent="0.25">
      <c r="A6314" s="1" t="s">
        <v>12627</v>
      </c>
      <c r="B6314" s="1" t="s">
        <v>12628</v>
      </c>
      <c r="C6314" s="1" t="s">
        <v>5</v>
      </c>
    </row>
    <row r="6315" spans="1:3" x14ac:dyDescent="0.25">
      <c r="A6315" s="1" t="s">
        <v>12629</v>
      </c>
      <c r="B6315" s="1" t="s">
        <v>12630</v>
      </c>
      <c r="C6315" s="1" t="s">
        <v>5</v>
      </c>
    </row>
    <row r="6316" spans="1:3" x14ac:dyDescent="0.25">
      <c r="A6316" s="1" t="s">
        <v>12631</v>
      </c>
      <c r="B6316" s="1" t="s">
        <v>12632</v>
      </c>
      <c r="C6316" s="1" t="s">
        <v>5</v>
      </c>
    </row>
    <row r="6317" spans="1:3" x14ac:dyDescent="0.25">
      <c r="A6317" s="1" t="s">
        <v>12633</v>
      </c>
      <c r="B6317" s="1" t="s">
        <v>12634</v>
      </c>
      <c r="C6317" s="1" t="s">
        <v>5</v>
      </c>
    </row>
    <row r="6318" spans="1:3" x14ac:dyDescent="0.25">
      <c r="A6318" s="1" t="s">
        <v>12635</v>
      </c>
      <c r="B6318" s="1" t="s">
        <v>12636</v>
      </c>
      <c r="C6318" s="1" t="s">
        <v>5</v>
      </c>
    </row>
    <row r="6319" spans="1:3" x14ac:dyDescent="0.25">
      <c r="A6319" s="1" t="s">
        <v>12637</v>
      </c>
      <c r="B6319" s="1" t="s">
        <v>12638</v>
      </c>
      <c r="C6319" s="1" t="s">
        <v>5</v>
      </c>
    </row>
    <row r="6320" spans="1:3" x14ac:dyDescent="0.25">
      <c r="A6320" s="1" t="s">
        <v>12639</v>
      </c>
      <c r="B6320" s="1" t="s">
        <v>12640</v>
      </c>
      <c r="C6320" s="1" t="s">
        <v>5</v>
      </c>
    </row>
    <row r="6321" spans="1:3" x14ac:dyDescent="0.25">
      <c r="A6321" s="1" t="s">
        <v>12641</v>
      </c>
      <c r="B6321" s="1" t="s">
        <v>12642</v>
      </c>
      <c r="C6321" s="1" t="s">
        <v>5</v>
      </c>
    </row>
    <row r="6322" spans="1:3" x14ac:dyDescent="0.25">
      <c r="A6322" s="1" t="s">
        <v>12643</v>
      </c>
      <c r="B6322" s="1" t="s">
        <v>12644</v>
      </c>
      <c r="C6322" s="1" t="s">
        <v>5</v>
      </c>
    </row>
    <row r="6323" spans="1:3" x14ac:dyDescent="0.25">
      <c r="A6323" s="1" t="s">
        <v>12645</v>
      </c>
      <c r="B6323" s="1" t="s">
        <v>12646</v>
      </c>
      <c r="C6323" s="1" t="s">
        <v>5</v>
      </c>
    </row>
    <row r="6324" spans="1:3" x14ac:dyDescent="0.25">
      <c r="A6324" s="1" t="s">
        <v>12647</v>
      </c>
      <c r="B6324" s="1" t="s">
        <v>12648</v>
      </c>
      <c r="C6324" s="1" t="s">
        <v>5</v>
      </c>
    </row>
    <row r="6325" spans="1:3" x14ac:dyDescent="0.25">
      <c r="A6325" s="1" t="s">
        <v>12649</v>
      </c>
      <c r="B6325" s="1" t="s">
        <v>12650</v>
      </c>
      <c r="C6325" s="1" t="s">
        <v>5</v>
      </c>
    </row>
    <row r="6326" spans="1:3" x14ac:dyDescent="0.25">
      <c r="A6326" s="1" t="s">
        <v>12651</v>
      </c>
      <c r="B6326" s="1" t="s">
        <v>12652</v>
      </c>
      <c r="C6326" s="1" t="s">
        <v>5</v>
      </c>
    </row>
    <row r="6327" spans="1:3" x14ac:dyDescent="0.25">
      <c r="A6327" s="1" t="s">
        <v>12653</v>
      </c>
      <c r="B6327" s="1" t="s">
        <v>12654</v>
      </c>
      <c r="C6327" s="1" t="s">
        <v>5</v>
      </c>
    </row>
    <row r="6328" spans="1:3" x14ac:dyDescent="0.25">
      <c r="A6328" s="1" t="s">
        <v>12655</v>
      </c>
      <c r="B6328" s="1" t="s">
        <v>12656</v>
      </c>
      <c r="C6328" s="1" t="s">
        <v>5</v>
      </c>
    </row>
    <row r="6329" spans="1:3" x14ac:dyDescent="0.25">
      <c r="A6329" s="1" t="s">
        <v>12657</v>
      </c>
      <c r="B6329" s="1" t="s">
        <v>12658</v>
      </c>
      <c r="C6329" s="1" t="s">
        <v>5</v>
      </c>
    </row>
    <row r="6330" spans="1:3" x14ac:dyDescent="0.25">
      <c r="A6330" s="1" t="s">
        <v>12659</v>
      </c>
      <c r="B6330" s="1" t="s">
        <v>12660</v>
      </c>
      <c r="C6330" s="1" t="s">
        <v>5</v>
      </c>
    </row>
    <row r="6331" spans="1:3" x14ac:dyDescent="0.25">
      <c r="A6331" s="1" t="s">
        <v>12661</v>
      </c>
      <c r="B6331" s="1" t="s">
        <v>12662</v>
      </c>
      <c r="C6331" s="1" t="s">
        <v>5</v>
      </c>
    </row>
    <row r="6332" spans="1:3" x14ac:dyDescent="0.25">
      <c r="A6332" s="1" t="s">
        <v>12663</v>
      </c>
      <c r="B6332" s="1" t="s">
        <v>12664</v>
      </c>
      <c r="C6332" s="1" t="s">
        <v>5</v>
      </c>
    </row>
    <row r="6333" spans="1:3" x14ac:dyDescent="0.25">
      <c r="A6333" s="1" t="s">
        <v>12665</v>
      </c>
      <c r="B6333" s="1" t="s">
        <v>12666</v>
      </c>
      <c r="C6333" s="1" t="s">
        <v>5</v>
      </c>
    </row>
    <row r="6334" spans="1:3" x14ac:dyDescent="0.25">
      <c r="A6334" s="1" t="s">
        <v>12667</v>
      </c>
      <c r="B6334" s="1" t="s">
        <v>12668</v>
      </c>
      <c r="C6334" s="1" t="s">
        <v>5</v>
      </c>
    </row>
    <row r="6335" spans="1:3" x14ac:dyDescent="0.25">
      <c r="A6335" s="1" t="s">
        <v>12669</v>
      </c>
      <c r="B6335" s="1" t="s">
        <v>12670</v>
      </c>
      <c r="C6335" s="1" t="s">
        <v>5</v>
      </c>
    </row>
    <row r="6336" spans="1:3" x14ac:dyDescent="0.25">
      <c r="A6336" s="1" t="s">
        <v>12671</v>
      </c>
      <c r="B6336" s="1" t="s">
        <v>12672</v>
      </c>
      <c r="C6336" s="1" t="s">
        <v>5</v>
      </c>
    </row>
    <row r="6337" spans="1:3" x14ac:dyDescent="0.25">
      <c r="A6337" s="1" t="s">
        <v>12673</v>
      </c>
      <c r="B6337" s="1" t="s">
        <v>12674</v>
      </c>
      <c r="C6337" s="1" t="s">
        <v>5</v>
      </c>
    </row>
    <row r="6338" spans="1:3" x14ac:dyDescent="0.25">
      <c r="A6338" s="1" t="s">
        <v>12675</v>
      </c>
      <c r="B6338" s="1" t="s">
        <v>12676</v>
      </c>
      <c r="C6338" s="1" t="s">
        <v>5</v>
      </c>
    </row>
    <row r="6339" spans="1:3" x14ac:dyDescent="0.25">
      <c r="A6339" s="1" t="s">
        <v>12677</v>
      </c>
      <c r="B6339" s="1" t="s">
        <v>12678</v>
      </c>
      <c r="C6339" s="1" t="s">
        <v>5</v>
      </c>
    </row>
    <row r="6340" spans="1:3" x14ac:dyDescent="0.25">
      <c r="A6340" s="1" t="s">
        <v>12679</v>
      </c>
      <c r="B6340" s="1" t="s">
        <v>12680</v>
      </c>
      <c r="C6340" s="1" t="s">
        <v>5</v>
      </c>
    </row>
    <row r="6341" spans="1:3" x14ac:dyDescent="0.25">
      <c r="A6341" s="1" t="s">
        <v>12681</v>
      </c>
      <c r="B6341" s="1" t="s">
        <v>12682</v>
      </c>
      <c r="C6341" s="1" t="s">
        <v>5</v>
      </c>
    </row>
    <row r="6342" spans="1:3" x14ac:dyDescent="0.25">
      <c r="A6342" s="1" t="s">
        <v>12683</v>
      </c>
      <c r="B6342" s="1" t="s">
        <v>12684</v>
      </c>
      <c r="C6342" s="1" t="s">
        <v>5</v>
      </c>
    </row>
    <row r="6343" spans="1:3" x14ac:dyDescent="0.25">
      <c r="A6343" s="1" t="s">
        <v>12685</v>
      </c>
      <c r="B6343" s="1" t="s">
        <v>12686</v>
      </c>
      <c r="C6343" s="1" t="s">
        <v>5</v>
      </c>
    </row>
    <row r="6344" spans="1:3" x14ac:dyDescent="0.25">
      <c r="A6344" s="1" t="s">
        <v>12687</v>
      </c>
      <c r="B6344" s="1" t="s">
        <v>12688</v>
      </c>
      <c r="C6344" s="1" t="s">
        <v>5</v>
      </c>
    </row>
    <row r="6345" spans="1:3" x14ac:dyDescent="0.25">
      <c r="A6345" s="1" t="s">
        <v>12689</v>
      </c>
      <c r="B6345" s="1" t="s">
        <v>12690</v>
      </c>
      <c r="C6345" s="1" t="s">
        <v>5</v>
      </c>
    </row>
    <row r="6346" spans="1:3" x14ac:dyDescent="0.25">
      <c r="A6346" s="1" t="s">
        <v>12691</v>
      </c>
      <c r="B6346" s="1" t="s">
        <v>12692</v>
      </c>
      <c r="C6346" s="1" t="s">
        <v>5</v>
      </c>
    </row>
    <row r="6347" spans="1:3" x14ac:dyDescent="0.25">
      <c r="A6347" s="1" t="s">
        <v>12693</v>
      </c>
      <c r="B6347" s="1" t="s">
        <v>12694</v>
      </c>
      <c r="C6347" s="1" t="s">
        <v>5</v>
      </c>
    </row>
    <row r="6348" spans="1:3" x14ac:dyDescent="0.25">
      <c r="A6348" s="1" t="s">
        <v>12695</v>
      </c>
      <c r="B6348" s="1" t="s">
        <v>12696</v>
      </c>
      <c r="C6348" s="1" t="s">
        <v>5</v>
      </c>
    </row>
    <row r="6349" spans="1:3" x14ac:dyDescent="0.25">
      <c r="A6349" s="1" t="s">
        <v>12697</v>
      </c>
      <c r="B6349" s="1" t="s">
        <v>12698</v>
      </c>
      <c r="C6349" s="1" t="s">
        <v>5</v>
      </c>
    </row>
    <row r="6350" spans="1:3" x14ac:dyDescent="0.25">
      <c r="A6350" s="1" t="s">
        <v>12699</v>
      </c>
      <c r="B6350" s="1" t="s">
        <v>12700</v>
      </c>
      <c r="C6350" s="1" t="s">
        <v>5</v>
      </c>
    </row>
    <row r="6351" spans="1:3" x14ac:dyDescent="0.25">
      <c r="A6351" s="1" t="s">
        <v>12701</v>
      </c>
      <c r="B6351" s="1" t="s">
        <v>12702</v>
      </c>
      <c r="C6351" s="1" t="s">
        <v>5</v>
      </c>
    </row>
    <row r="6352" spans="1:3" x14ac:dyDescent="0.25">
      <c r="A6352" s="1" t="s">
        <v>12703</v>
      </c>
      <c r="B6352" s="1" t="s">
        <v>12704</v>
      </c>
      <c r="C6352" s="1" t="s">
        <v>5</v>
      </c>
    </row>
    <row r="6353" spans="1:3" x14ac:dyDescent="0.25">
      <c r="A6353" s="1" t="s">
        <v>12705</v>
      </c>
      <c r="B6353" s="1" t="s">
        <v>12706</v>
      </c>
      <c r="C6353" s="1" t="s">
        <v>5</v>
      </c>
    </row>
    <row r="6354" spans="1:3" x14ac:dyDescent="0.25">
      <c r="A6354" s="1" t="s">
        <v>12707</v>
      </c>
      <c r="B6354" s="1" t="s">
        <v>12708</v>
      </c>
      <c r="C6354" s="1" t="s">
        <v>5</v>
      </c>
    </row>
    <row r="6355" spans="1:3" x14ac:dyDescent="0.25">
      <c r="A6355" s="1" t="s">
        <v>12709</v>
      </c>
      <c r="B6355" s="1" t="s">
        <v>12710</v>
      </c>
      <c r="C6355" s="1" t="s">
        <v>5</v>
      </c>
    </row>
    <row r="6356" spans="1:3" x14ac:dyDescent="0.25">
      <c r="A6356" s="1" t="s">
        <v>12711</v>
      </c>
      <c r="B6356" s="1" t="s">
        <v>12712</v>
      </c>
      <c r="C6356" s="1" t="s">
        <v>5</v>
      </c>
    </row>
    <row r="6357" spans="1:3" x14ac:dyDescent="0.25">
      <c r="A6357" s="1" t="s">
        <v>12713</v>
      </c>
      <c r="B6357" s="1" t="s">
        <v>12714</v>
      </c>
      <c r="C6357" s="1" t="s">
        <v>5</v>
      </c>
    </row>
    <row r="6358" spans="1:3" x14ac:dyDescent="0.25">
      <c r="A6358" s="1" t="s">
        <v>12715</v>
      </c>
      <c r="B6358" s="1" t="s">
        <v>12716</v>
      </c>
      <c r="C6358" s="1" t="s">
        <v>5</v>
      </c>
    </row>
    <row r="6359" spans="1:3" x14ac:dyDescent="0.25">
      <c r="A6359" s="1" t="s">
        <v>12717</v>
      </c>
      <c r="B6359" s="1" t="s">
        <v>12718</v>
      </c>
      <c r="C6359" s="1" t="s">
        <v>5</v>
      </c>
    </row>
    <row r="6360" spans="1:3" x14ac:dyDescent="0.25">
      <c r="A6360" s="1" t="s">
        <v>12719</v>
      </c>
      <c r="B6360" s="1" t="s">
        <v>12720</v>
      </c>
      <c r="C6360" s="1" t="s">
        <v>5</v>
      </c>
    </row>
    <row r="6361" spans="1:3" x14ac:dyDescent="0.25">
      <c r="A6361" s="1" t="s">
        <v>12721</v>
      </c>
      <c r="B6361" s="1" t="s">
        <v>12722</v>
      </c>
      <c r="C6361" s="1" t="s">
        <v>5</v>
      </c>
    </row>
    <row r="6362" spans="1:3" x14ac:dyDescent="0.25">
      <c r="A6362" s="1" t="s">
        <v>12723</v>
      </c>
      <c r="B6362" s="1" t="s">
        <v>12724</v>
      </c>
      <c r="C6362" s="1" t="s">
        <v>5</v>
      </c>
    </row>
    <row r="6363" spans="1:3" x14ac:dyDescent="0.25">
      <c r="A6363" s="1" t="s">
        <v>12725</v>
      </c>
      <c r="B6363" s="1" t="s">
        <v>12726</v>
      </c>
      <c r="C6363" s="1" t="s">
        <v>5</v>
      </c>
    </row>
    <row r="6364" spans="1:3" x14ac:dyDescent="0.25">
      <c r="A6364" s="1" t="s">
        <v>12727</v>
      </c>
      <c r="B6364" s="1" t="s">
        <v>12728</v>
      </c>
      <c r="C6364" s="1" t="s">
        <v>5</v>
      </c>
    </row>
    <row r="6365" spans="1:3" x14ac:dyDescent="0.25">
      <c r="A6365" s="1" t="s">
        <v>12729</v>
      </c>
      <c r="B6365" s="1" t="s">
        <v>12730</v>
      </c>
      <c r="C6365" s="1" t="s">
        <v>5</v>
      </c>
    </row>
    <row r="6366" spans="1:3" x14ac:dyDescent="0.25">
      <c r="A6366" s="1" t="s">
        <v>12731</v>
      </c>
      <c r="B6366" s="1" t="s">
        <v>12732</v>
      </c>
      <c r="C6366" s="1" t="s">
        <v>5</v>
      </c>
    </row>
    <row r="6367" spans="1:3" x14ac:dyDescent="0.25">
      <c r="A6367" s="1" t="s">
        <v>12733</v>
      </c>
      <c r="B6367" s="1" t="s">
        <v>12734</v>
      </c>
      <c r="C6367" s="1" t="s">
        <v>5</v>
      </c>
    </row>
    <row r="6368" spans="1:3" x14ac:dyDescent="0.25">
      <c r="A6368" s="1" t="s">
        <v>12735</v>
      </c>
      <c r="B6368" s="1" t="s">
        <v>12736</v>
      </c>
      <c r="C6368" s="1" t="s">
        <v>5</v>
      </c>
    </row>
    <row r="6369" spans="1:3" x14ac:dyDescent="0.25">
      <c r="A6369" s="1" t="s">
        <v>12737</v>
      </c>
      <c r="B6369" s="1" t="s">
        <v>12738</v>
      </c>
      <c r="C6369" s="1" t="s">
        <v>5</v>
      </c>
    </row>
    <row r="6370" spans="1:3" x14ac:dyDescent="0.25">
      <c r="A6370" s="1" t="s">
        <v>12739</v>
      </c>
      <c r="B6370" s="1" t="s">
        <v>12740</v>
      </c>
      <c r="C6370" s="1" t="s">
        <v>5</v>
      </c>
    </row>
    <row r="6371" spans="1:3" x14ac:dyDescent="0.25">
      <c r="A6371" s="1" t="s">
        <v>12741</v>
      </c>
      <c r="B6371" s="1" t="s">
        <v>12742</v>
      </c>
      <c r="C6371" s="1" t="s">
        <v>5</v>
      </c>
    </row>
    <row r="6372" spans="1:3" x14ac:dyDescent="0.25">
      <c r="A6372" s="1" t="s">
        <v>12743</v>
      </c>
      <c r="B6372" s="1" t="s">
        <v>12744</v>
      </c>
      <c r="C6372" s="1" t="s">
        <v>5</v>
      </c>
    </row>
    <row r="6373" spans="1:3" x14ac:dyDescent="0.25">
      <c r="A6373" s="1" t="s">
        <v>12745</v>
      </c>
      <c r="B6373" s="1" t="s">
        <v>12746</v>
      </c>
      <c r="C6373" s="1" t="s">
        <v>5</v>
      </c>
    </row>
    <row r="6374" spans="1:3" x14ac:dyDescent="0.25">
      <c r="A6374" s="1" t="s">
        <v>12747</v>
      </c>
      <c r="B6374" s="1" t="s">
        <v>12748</v>
      </c>
      <c r="C6374" s="1" t="s">
        <v>5</v>
      </c>
    </row>
    <row r="6375" spans="1:3" x14ac:dyDescent="0.25">
      <c r="A6375" s="1" t="s">
        <v>12749</v>
      </c>
      <c r="B6375" s="1" t="s">
        <v>12750</v>
      </c>
      <c r="C6375" s="1" t="s">
        <v>5</v>
      </c>
    </row>
    <row r="6376" spans="1:3" x14ac:dyDescent="0.25">
      <c r="A6376" s="1" t="s">
        <v>12751</v>
      </c>
      <c r="B6376" s="1" t="s">
        <v>12752</v>
      </c>
      <c r="C6376" s="1" t="s">
        <v>5</v>
      </c>
    </row>
    <row r="6377" spans="1:3" x14ac:dyDescent="0.25">
      <c r="A6377" s="1" t="s">
        <v>12753</v>
      </c>
      <c r="B6377" s="1" t="s">
        <v>12754</v>
      </c>
      <c r="C6377" s="1" t="s">
        <v>5</v>
      </c>
    </row>
    <row r="6378" spans="1:3" x14ac:dyDescent="0.25">
      <c r="A6378" s="1" t="s">
        <v>12755</v>
      </c>
      <c r="B6378" s="1" t="s">
        <v>12756</v>
      </c>
      <c r="C6378" s="1" t="s">
        <v>5</v>
      </c>
    </row>
    <row r="6379" spans="1:3" x14ac:dyDescent="0.25">
      <c r="A6379" s="1" t="s">
        <v>12757</v>
      </c>
      <c r="B6379" s="1" t="s">
        <v>12758</v>
      </c>
      <c r="C6379" s="1" t="s">
        <v>5</v>
      </c>
    </row>
    <row r="6380" spans="1:3" x14ac:dyDescent="0.25">
      <c r="A6380" s="1" t="s">
        <v>12759</v>
      </c>
      <c r="B6380" s="1" t="s">
        <v>12760</v>
      </c>
      <c r="C6380" s="1" t="s">
        <v>5</v>
      </c>
    </row>
    <row r="6381" spans="1:3" x14ac:dyDescent="0.25">
      <c r="A6381" s="1" t="s">
        <v>12761</v>
      </c>
      <c r="B6381" s="1" t="s">
        <v>12762</v>
      </c>
      <c r="C6381" s="1" t="s">
        <v>5</v>
      </c>
    </row>
    <row r="6382" spans="1:3" x14ac:dyDescent="0.25">
      <c r="A6382" s="1" t="s">
        <v>12763</v>
      </c>
      <c r="B6382" s="1" t="s">
        <v>12764</v>
      </c>
      <c r="C6382" s="1" t="s">
        <v>5</v>
      </c>
    </row>
    <row r="6383" spans="1:3" x14ac:dyDescent="0.25">
      <c r="A6383" s="1" t="s">
        <v>12765</v>
      </c>
      <c r="B6383" s="1" t="s">
        <v>12766</v>
      </c>
      <c r="C6383" s="1" t="s">
        <v>5</v>
      </c>
    </row>
    <row r="6384" spans="1:3" x14ac:dyDescent="0.25">
      <c r="A6384" s="1" t="s">
        <v>12767</v>
      </c>
      <c r="B6384" s="1" t="s">
        <v>12768</v>
      </c>
      <c r="C6384" s="1" t="s">
        <v>5</v>
      </c>
    </row>
    <row r="6385" spans="1:3" x14ac:dyDescent="0.25">
      <c r="A6385" s="1" t="s">
        <v>12769</v>
      </c>
      <c r="B6385" s="1" t="s">
        <v>12770</v>
      </c>
      <c r="C6385" s="1" t="s">
        <v>5</v>
      </c>
    </row>
    <row r="6386" spans="1:3" x14ac:dyDescent="0.25">
      <c r="A6386" s="1" t="s">
        <v>12771</v>
      </c>
      <c r="B6386" s="1" t="s">
        <v>12772</v>
      </c>
      <c r="C6386" s="1" t="s">
        <v>5</v>
      </c>
    </row>
    <row r="6387" spans="1:3" x14ac:dyDescent="0.25">
      <c r="A6387" s="1" t="s">
        <v>12773</v>
      </c>
      <c r="B6387" s="1" t="s">
        <v>12774</v>
      </c>
      <c r="C6387" s="1" t="s">
        <v>5</v>
      </c>
    </row>
    <row r="6388" spans="1:3" x14ac:dyDescent="0.25">
      <c r="A6388" s="1" t="s">
        <v>12775</v>
      </c>
      <c r="B6388" s="1" t="s">
        <v>12776</v>
      </c>
      <c r="C6388" s="1" t="s">
        <v>5</v>
      </c>
    </row>
    <row r="6389" spans="1:3" x14ac:dyDescent="0.25">
      <c r="A6389" s="1" t="s">
        <v>12777</v>
      </c>
      <c r="B6389" s="1" t="s">
        <v>12778</v>
      </c>
      <c r="C6389" s="1" t="s">
        <v>5</v>
      </c>
    </row>
    <row r="6390" spans="1:3" x14ac:dyDescent="0.25">
      <c r="A6390" s="1" t="s">
        <v>12779</v>
      </c>
      <c r="B6390" s="1" t="s">
        <v>12780</v>
      </c>
      <c r="C6390" s="1" t="s">
        <v>5</v>
      </c>
    </row>
    <row r="6391" spans="1:3" x14ac:dyDescent="0.25">
      <c r="A6391" s="1" t="s">
        <v>12781</v>
      </c>
      <c r="B6391" s="1" t="s">
        <v>12782</v>
      </c>
      <c r="C6391" s="1" t="s">
        <v>5</v>
      </c>
    </row>
    <row r="6392" spans="1:3" x14ac:dyDescent="0.25">
      <c r="A6392" s="1" t="s">
        <v>12783</v>
      </c>
      <c r="B6392" s="1" t="s">
        <v>12784</v>
      </c>
      <c r="C6392" s="1" t="s">
        <v>5</v>
      </c>
    </row>
    <row r="6393" spans="1:3" x14ac:dyDescent="0.25">
      <c r="A6393" s="1" t="s">
        <v>12785</v>
      </c>
      <c r="B6393" s="1" t="s">
        <v>12786</v>
      </c>
      <c r="C6393" s="1" t="s">
        <v>5</v>
      </c>
    </row>
    <row r="6394" spans="1:3" x14ac:dyDescent="0.25">
      <c r="A6394" s="1" t="s">
        <v>12787</v>
      </c>
      <c r="B6394" s="1" t="s">
        <v>12788</v>
      </c>
      <c r="C6394" s="1" t="s">
        <v>5</v>
      </c>
    </row>
    <row r="6395" spans="1:3" x14ac:dyDescent="0.25">
      <c r="A6395" s="1" t="s">
        <v>12789</v>
      </c>
      <c r="B6395" s="1" t="s">
        <v>12790</v>
      </c>
      <c r="C6395" s="1" t="s">
        <v>5</v>
      </c>
    </row>
    <row r="6396" spans="1:3" x14ac:dyDescent="0.25">
      <c r="A6396" s="1" t="s">
        <v>12791</v>
      </c>
      <c r="B6396" s="1" t="s">
        <v>12792</v>
      </c>
      <c r="C6396" s="1" t="s">
        <v>5</v>
      </c>
    </row>
    <row r="6397" spans="1:3" x14ac:dyDescent="0.25">
      <c r="A6397" s="1" t="s">
        <v>12793</v>
      </c>
      <c r="B6397" s="1" t="s">
        <v>12794</v>
      </c>
      <c r="C6397" s="1" t="s">
        <v>5</v>
      </c>
    </row>
    <row r="6398" spans="1:3" x14ac:dyDescent="0.25">
      <c r="A6398" s="1" t="s">
        <v>12795</v>
      </c>
      <c r="B6398" s="1" t="s">
        <v>12796</v>
      </c>
      <c r="C6398" s="1" t="s">
        <v>5</v>
      </c>
    </row>
    <row r="6399" spans="1:3" x14ac:dyDescent="0.25">
      <c r="A6399" s="1" t="s">
        <v>12797</v>
      </c>
      <c r="B6399" s="1" t="s">
        <v>12798</v>
      </c>
      <c r="C6399" s="1" t="s">
        <v>5</v>
      </c>
    </row>
    <row r="6400" spans="1:3" x14ac:dyDescent="0.25">
      <c r="A6400" s="1" t="s">
        <v>12799</v>
      </c>
      <c r="B6400" s="1" t="s">
        <v>12800</v>
      </c>
      <c r="C6400" s="1" t="s">
        <v>5</v>
      </c>
    </row>
    <row r="6401" spans="1:3" x14ac:dyDescent="0.25">
      <c r="A6401" s="1" t="s">
        <v>12801</v>
      </c>
      <c r="B6401" s="1" t="s">
        <v>12802</v>
      </c>
      <c r="C6401" s="1" t="s">
        <v>5</v>
      </c>
    </row>
    <row r="6402" spans="1:3" x14ac:dyDescent="0.25">
      <c r="A6402" s="1" t="s">
        <v>12803</v>
      </c>
      <c r="B6402" s="1" t="s">
        <v>12804</v>
      </c>
      <c r="C6402" s="1" t="s">
        <v>5</v>
      </c>
    </row>
    <row r="6403" spans="1:3" x14ac:dyDescent="0.25">
      <c r="A6403" s="1" t="s">
        <v>12805</v>
      </c>
      <c r="B6403" s="1" t="s">
        <v>12806</v>
      </c>
      <c r="C6403" s="1" t="s">
        <v>5</v>
      </c>
    </row>
    <row r="6404" spans="1:3" x14ac:dyDescent="0.25">
      <c r="A6404" s="1" t="s">
        <v>12807</v>
      </c>
      <c r="B6404" s="1" t="s">
        <v>12808</v>
      </c>
      <c r="C6404" s="1" t="s">
        <v>5</v>
      </c>
    </row>
    <row r="6405" spans="1:3" x14ac:dyDescent="0.25">
      <c r="A6405" s="1" t="s">
        <v>12809</v>
      </c>
      <c r="B6405" s="1" t="s">
        <v>12810</v>
      </c>
      <c r="C6405" s="1" t="s">
        <v>5</v>
      </c>
    </row>
    <row r="6406" spans="1:3" x14ac:dyDescent="0.25">
      <c r="A6406" s="1" t="s">
        <v>12811</v>
      </c>
      <c r="B6406" s="1" t="s">
        <v>12812</v>
      </c>
      <c r="C6406" s="1" t="s">
        <v>5</v>
      </c>
    </row>
    <row r="6407" spans="1:3" x14ac:dyDescent="0.25">
      <c r="A6407" s="1" t="s">
        <v>12813</v>
      </c>
      <c r="B6407" s="1" t="s">
        <v>12814</v>
      </c>
      <c r="C6407" s="1" t="s">
        <v>5</v>
      </c>
    </row>
    <row r="6408" spans="1:3" x14ac:dyDescent="0.25">
      <c r="A6408" s="1" t="s">
        <v>12815</v>
      </c>
      <c r="B6408" s="1" t="s">
        <v>12816</v>
      </c>
      <c r="C6408" s="1" t="s">
        <v>5</v>
      </c>
    </row>
    <row r="6409" spans="1:3" x14ac:dyDescent="0.25">
      <c r="A6409" s="1" t="s">
        <v>12817</v>
      </c>
      <c r="B6409" s="1" t="s">
        <v>12818</v>
      </c>
      <c r="C6409" s="1" t="s">
        <v>5</v>
      </c>
    </row>
    <row r="6410" spans="1:3" x14ac:dyDescent="0.25">
      <c r="A6410" s="1" t="s">
        <v>12819</v>
      </c>
      <c r="B6410" s="1" t="s">
        <v>12820</v>
      </c>
      <c r="C6410" s="1" t="s">
        <v>5</v>
      </c>
    </row>
    <row r="6411" spans="1:3" x14ac:dyDescent="0.25">
      <c r="A6411" s="1" t="s">
        <v>12821</v>
      </c>
      <c r="B6411" s="1" t="s">
        <v>12822</v>
      </c>
      <c r="C6411" s="1" t="s">
        <v>5</v>
      </c>
    </row>
    <row r="6412" spans="1:3" x14ac:dyDescent="0.25">
      <c r="A6412" s="1" t="s">
        <v>12823</v>
      </c>
      <c r="B6412" s="1" t="s">
        <v>12824</v>
      </c>
      <c r="C6412" s="1" t="s">
        <v>5</v>
      </c>
    </row>
    <row r="6413" spans="1:3" x14ac:dyDescent="0.25">
      <c r="A6413" s="1" t="s">
        <v>12825</v>
      </c>
      <c r="B6413" s="1" t="s">
        <v>12826</v>
      </c>
      <c r="C6413" s="1" t="s">
        <v>5</v>
      </c>
    </row>
    <row r="6414" spans="1:3" x14ac:dyDescent="0.25">
      <c r="A6414" s="1" t="s">
        <v>12827</v>
      </c>
      <c r="B6414" s="1" t="s">
        <v>12828</v>
      </c>
      <c r="C6414" s="1" t="s">
        <v>5</v>
      </c>
    </row>
    <row r="6415" spans="1:3" x14ac:dyDescent="0.25">
      <c r="A6415" s="1" t="s">
        <v>12829</v>
      </c>
      <c r="B6415" s="1" t="s">
        <v>12830</v>
      </c>
      <c r="C6415" s="1" t="s">
        <v>5</v>
      </c>
    </row>
    <row r="6416" spans="1:3" x14ac:dyDescent="0.25">
      <c r="A6416" s="1" t="s">
        <v>12831</v>
      </c>
      <c r="B6416" s="1" t="s">
        <v>12832</v>
      </c>
      <c r="C6416" s="1" t="s">
        <v>5</v>
      </c>
    </row>
    <row r="6417" spans="1:3" x14ac:dyDescent="0.25">
      <c r="A6417" s="1" t="s">
        <v>12833</v>
      </c>
      <c r="B6417" s="1" t="s">
        <v>12834</v>
      </c>
      <c r="C6417" s="1" t="s">
        <v>5</v>
      </c>
    </row>
    <row r="6418" spans="1:3" x14ac:dyDescent="0.25">
      <c r="A6418" s="1" t="s">
        <v>12835</v>
      </c>
      <c r="B6418" s="1" t="s">
        <v>12836</v>
      </c>
      <c r="C6418" s="1" t="s">
        <v>5</v>
      </c>
    </row>
    <row r="6419" spans="1:3" x14ac:dyDescent="0.25">
      <c r="A6419" s="1" t="s">
        <v>12837</v>
      </c>
      <c r="B6419" s="1" t="s">
        <v>12838</v>
      </c>
      <c r="C6419" s="1" t="s">
        <v>5</v>
      </c>
    </row>
    <row r="6420" spans="1:3" x14ac:dyDescent="0.25">
      <c r="A6420" s="1" t="s">
        <v>12839</v>
      </c>
      <c r="B6420" s="1" t="s">
        <v>12840</v>
      </c>
      <c r="C6420" s="1" t="s">
        <v>5</v>
      </c>
    </row>
    <row r="6421" spans="1:3" x14ac:dyDescent="0.25">
      <c r="A6421" s="1" t="s">
        <v>12841</v>
      </c>
      <c r="B6421" s="1" t="s">
        <v>12842</v>
      </c>
      <c r="C6421" s="1" t="s">
        <v>5</v>
      </c>
    </row>
    <row r="6422" spans="1:3" x14ac:dyDescent="0.25">
      <c r="A6422" s="1" t="s">
        <v>12843</v>
      </c>
      <c r="B6422" s="1" t="s">
        <v>12844</v>
      </c>
      <c r="C6422" s="1" t="s">
        <v>5</v>
      </c>
    </row>
    <row r="6423" spans="1:3" x14ac:dyDescent="0.25">
      <c r="A6423" s="1" t="s">
        <v>12845</v>
      </c>
      <c r="B6423" s="1" t="s">
        <v>12846</v>
      </c>
      <c r="C6423" s="1" t="s">
        <v>5</v>
      </c>
    </row>
    <row r="6424" spans="1:3" x14ac:dyDescent="0.25">
      <c r="A6424" s="1" t="s">
        <v>12847</v>
      </c>
      <c r="B6424" s="1" t="s">
        <v>12848</v>
      </c>
      <c r="C6424" s="1" t="s">
        <v>5</v>
      </c>
    </row>
    <row r="6425" spans="1:3" x14ac:dyDescent="0.25">
      <c r="A6425" s="1" t="s">
        <v>12849</v>
      </c>
      <c r="B6425" s="1" t="s">
        <v>12850</v>
      </c>
      <c r="C6425" s="1" t="s">
        <v>5</v>
      </c>
    </row>
    <row r="6426" spans="1:3" x14ac:dyDescent="0.25">
      <c r="A6426" s="1" t="s">
        <v>12851</v>
      </c>
      <c r="B6426" s="1" t="s">
        <v>12852</v>
      </c>
      <c r="C6426" s="1" t="s">
        <v>5</v>
      </c>
    </row>
    <row r="6427" spans="1:3" x14ac:dyDescent="0.25">
      <c r="A6427" s="1" t="s">
        <v>12853</v>
      </c>
      <c r="B6427" s="1" t="s">
        <v>12854</v>
      </c>
      <c r="C6427" s="1" t="s">
        <v>5</v>
      </c>
    </row>
    <row r="6428" spans="1:3" x14ac:dyDescent="0.25">
      <c r="A6428" s="1" t="s">
        <v>12855</v>
      </c>
      <c r="B6428" s="1" t="s">
        <v>12856</v>
      </c>
      <c r="C6428" s="1" t="s">
        <v>5</v>
      </c>
    </row>
    <row r="6429" spans="1:3" x14ac:dyDescent="0.25">
      <c r="A6429" s="1" t="s">
        <v>12857</v>
      </c>
      <c r="B6429" s="1" t="s">
        <v>12858</v>
      </c>
      <c r="C6429" s="1" t="s">
        <v>5</v>
      </c>
    </row>
    <row r="6430" spans="1:3" x14ac:dyDescent="0.25">
      <c r="A6430" s="1" t="s">
        <v>12859</v>
      </c>
      <c r="B6430" s="1" t="s">
        <v>12860</v>
      </c>
      <c r="C6430" s="1" t="s">
        <v>5</v>
      </c>
    </row>
    <row r="6431" spans="1:3" x14ac:dyDescent="0.25">
      <c r="A6431" s="1" t="s">
        <v>12861</v>
      </c>
      <c r="B6431" s="1" t="s">
        <v>12862</v>
      </c>
      <c r="C6431" s="1" t="s">
        <v>5</v>
      </c>
    </row>
    <row r="6432" spans="1:3" x14ac:dyDescent="0.25">
      <c r="A6432" s="1" t="s">
        <v>12863</v>
      </c>
      <c r="B6432" s="1" t="s">
        <v>12864</v>
      </c>
      <c r="C6432" s="1" t="s">
        <v>5</v>
      </c>
    </row>
    <row r="6433" spans="1:3" x14ac:dyDescent="0.25">
      <c r="A6433" s="1" t="s">
        <v>12865</v>
      </c>
      <c r="B6433" s="1" t="s">
        <v>12866</v>
      </c>
      <c r="C6433" s="1" t="s">
        <v>5</v>
      </c>
    </row>
    <row r="6434" spans="1:3" x14ac:dyDescent="0.25">
      <c r="A6434" s="1" t="s">
        <v>12867</v>
      </c>
      <c r="B6434" s="1" t="s">
        <v>12868</v>
      </c>
      <c r="C6434" s="1" t="s">
        <v>5</v>
      </c>
    </row>
    <row r="6435" spans="1:3" x14ac:dyDescent="0.25">
      <c r="A6435" s="1" t="s">
        <v>12869</v>
      </c>
      <c r="B6435" s="1" t="s">
        <v>12870</v>
      </c>
      <c r="C6435" s="1" t="s">
        <v>5</v>
      </c>
    </row>
    <row r="6436" spans="1:3" x14ac:dyDescent="0.25">
      <c r="A6436" s="1" t="s">
        <v>12871</v>
      </c>
      <c r="B6436" s="1" t="s">
        <v>12872</v>
      </c>
      <c r="C6436" s="1" t="s">
        <v>5</v>
      </c>
    </row>
    <row r="6437" spans="1:3" x14ac:dyDescent="0.25">
      <c r="A6437" s="1" t="s">
        <v>12873</v>
      </c>
      <c r="B6437" s="1" t="s">
        <v>12874</v>
      </c>
      <c r="C6437" s="1" t="s">
        <v>5</v>
      </c>
    </row>
    <row r="6438" spans="1:3" x14ac:dyDescent="0.25">
      <c r="A6438" s="1" t="s">
        <v>12875</v>
      </c>
      <c r="B6438" s="1" t="s">
        <v>12754</v>
      </c>
      <c r="C6438" s="1" t="s">
        <v>5</v>
      </c>
    </row>
    <row r="6439" spans="1:3" x14ac:dyDescent="0.25">
      <c r="A6439" s="1" t="s">
        <v>12876</v>
      </c>
      <c r="B6439" s="1" t="s">
        <v>12877</v>
      </c>
      <c r="C6439" s="1" t="s">
        <v>5</v>
      </c>
    </row>
    <row r="6440" spans="1:3" x14ac:dyDescent="0.25">
      <c r="A6440" s="1" t="s">
        <v>12878</v>
      </c>
      <c r="B6440" s="1" t="s">
        <v>12879</v>
      </c>
      <c r="C6440" s="1" t="s">
        <v>5</v>
      </c>
    </row>
    <row r="6441" spans="1:3" x14ac:dyDescent="0.25">
      <c r="A6441" s="1" t="s">
        <v>12880</v>
      </c>
      <c r="B6441" s="1" t="s">
        <v>12881</v>
      </c>
      <c r="C6441" s="1" t="s">
        <v>5</v>
      </c>
    </row>
    <row r="6442" spans="1:3" x14ac:dyDescent="0.25">
      <c r="A6442" s="1" t="s">
        <v>12882</v>
      </c>
      <c r="B6442" s="1" t="s">
        <v>12883</v>
      </c>
      <c r="C6442" s="1" t="s">
        <v>5</v>
      </c>
    </row>
    <row r="6443" spans="1:3" x14ac:dyDescent="0.25">
      <c r="A6443" s="1" t="s">
        <v>12884</v>
      </c>
      <c r="B6443" s="1" t="s">
        <v>12885</v>
      </c>
      <c r="C6443" s="1" t="s">
        <v>5</v>
      </c>
    </row>
    <row r="6444" spans="1:3" x14ac:dyDescent="0.25">
      <c r="A6444" s="1" t="s">
        <v>12886</v>
      </c>
      <c r="B6444" s="1" t="s">
        <v>12887</v>
      </c>
      <c r="C6444" s="1" t="s">
        <v>5</v>
      </c>
    </row>
    <row r="6445" spans="1:3" x14ac:dyDescent="0.25">
      <c r="A6445" s="1" t="s">
        <v>12888</v>
      </c>
      <c r="B6445" s="1" t="s">
        <v>12889</v>
      </c>
      <c r="C6445" s="1" t="s">
        <v>5</v>
      </c>
    </row>
    <row r="6446" spans="1:3" x14ac:dyDescent="0.25">
      <c r="A6446" s="1" t="s">
        <v>12890</v>
      </c>
      <c r="B6446" s="1" t="s">
        <v>12891</v>
      </c>
      <c r="C6446" s="1" t="s">
        <v>5</v>
      </c>
    </row>
    <row r="6447" spans="1:3" x14ac:dyDescent="0.25">
      <c r="A6447" s="1" t="s">
        <v>12892</v>
      </c>
      <c r="B6447" s="1" t="s">
        <v>12893</v>
      </c>
      <c r="C6447" s="1" t="s">
        <v>5</v>
      </c>
    </row>
    <row r="6448" spans="1:3" x14ac:dyDescent="0.25">
      <c r="A6448" s="1" t="s">
        <v>12894</v>
      </c>
      <c r="B6448" s="1" t="s">
        <v>12895</v>
      </c>
      <c r="C6448" s="1" t="s">
        <v>5</v>
      </c>
    </row>
    <row r="6449" spans="1:3" x14ac:dyDescent="0.25">
      <c r="A6449" s="1" t="s">
        <v>12896</v>
      </c>
      <c r="B6449" s="1" t="s">
        <v>12897</v>
      </c>
      <c r="C6449" s="1" t="s">
        <v>5</v>
      </c>
    </row>
    <row r="6450" spans="1:3" x14ac:dyDescent="0.25">
      <c r="A6450" s="1" t="s">
        <v>12898</v>
      </c>
      <c r="B6450" s="1" t="s">
        <v>12899</v>
      </c>
      <c r="C6450" s="1" t="s">
        <v>5</v>
      </c>
    </row>
    <row r="6451" spans="1:3" x14ac:dyDescent="0.25">
      <c r="A6451" s="1" t="s">
        <v>12900</v>
      </c>
      <c r="B6451" s="1" t="s">
        <v>12901</v>
      </c>
      <c r="C6451" s="1" t="s">
        <v>5</v>
      </c>
    </row>
    <row r="6452" spans="1:3" x14ac:dyDescent="0.25">
      <c r="A6452" s="1" t="s">
        <v>12902</v>
      </c>
      <c r="B6452" s="1" t="s">
        <v>12903</v>
      </c>
      <c r="C6452" s="1" t="s">
        <v>5</v>
      </c>
    </row>
    <row r="6453" spans="1:3" x14ac:dyDescent="0.25">
      <c r="A6453" s="1" t="s">
        <v>12904</v>
      </c>
      <c r="B6453" s="1" t="s">
        <v>12905</v>
      </c>
      <c r="C6453" s="1" t="s">
        <v>5</v>
      </c>
    </row>
    <row r="6454" spans="1:3" x14ac:dyDescent="0.25">
      <c r="A6454" s="1" t="s">
        <v>12906</v>
      </c>
      <c r="B6454" s="1" t="s">
        <v>12907</v>
      </c>
      <c r="C6454" s="1" t="s">
        <v>5</v>
      </c>
    </row>
    <row r="6455" spans="1:3" x14ac:dyDescent="0.25">
      <c r="A6455" s="1" t="s">
        <v>12908</v>
      </c>
      <c r="B6455" s="1" t="s">
        <v>12909</v>
      </c>
      <c r="C6455" s="1" t="s">
        <v>5</v>
      </c>
    </row>
    <row r="6456" spans="1:3" x14ac:dyDescent="0.25">
      <c r="A6456" s="1" t="s">
        <v>12910</v>
      </c>
      <c r="B6456" s="1" t="s">
        <v>12911</v>
      </c>
      <c r="C6456" s="1" t="s">
        <v>5</v>
      </c>
    </row>
    <row r="6457" spans="1:3" x14ac:dyDescent="0.25">
      <c r="A6457" s="1" t="s">
        <v>12912</v>
      </c>
      <c r="B6457" s="1" t="s">
        <v>12913</v>
      </c>
      <c r="C6457" s="1" t="s">
        <v>5</v>
      </c>
    </row>
    <row r="6458" spans="1:3" x14ac:dyDescent="0.25">
      <c r="A6458" s="1" t="s">
        <v>12914</v>
      </c>
      <c r="B6458" s="1" t="s">
        <v>12915</v>
      </c>
      <c r="C6458" s="1" t="s">
        <v>5</v>
      </c>
    </row>
    <row r="6459" spans="1:3" x14ac:dyDescent="0.25">
      <c r="A6459" s="1" t="s">
        <v>12916</v>
      </c>
      <c r="B6459" s="1" t="s">
        <v>12917</v>
      </c>
      <c r="C6459" s="1" t="s">
        <v>5</v>
      </c>
    </row>
    <row r="6460" spans="1:3" x14ac:dyDescent="0.25">
      <c r="A6460" s="1" t="s">
        <v>12918</v>
      </c>
      <c r="B6460" s="1" t="s">
        <v>12919</v>
      </c>
      <c r="C6460" s="1" t="s">
        <v>5</v>
      </c>
    </row>
    <row r="6461" spans="1:3" x14ac:dyDescent="0.25">
      <c r="A6461" s="1" t="s">
        <v>12920</v>
      </c>
      <c r="B6461" s="1" t="s">
        <v>12921</v>
      </c>
      <c r="C6461" s="1" t="s">
        <v>5</v>
      </c>
    </row>
    <row r="6462" spans="1:3" x14ac:dyDescent="0.25">
      <c r="A6462" s="1" t="s">
        <v>12922</v>
      </c>
      <c r="B6462" s="1" t="s">
        <v>12923</v>
      </c>
      <c r="C6462" s="1" t="s">
        <v>5</v>
      </c>
    </row>
    <row r="6463" spans="1:3" x14ac:dyDescent="0.25">
      <c r="A6463" s="1" t="s">
        <v>12924</v>
      </c>
      <c r="B6463" s="1" t="s">
        <v>12925</v>
      </c>
      <c r="C6463" s="1" t="s">
        <v>5</v>
      </c>
    </row>
    <row r="6464" spans="1:3" x14ac:dyDescent="0.25">
      <c r="A6464" s="1" t="s">
        <v>12926</v>
      </c>
      <c r="B6464" s="1" t="s">
        <v>12927</v>
      </c>
      <c r="C6464" s="1" t="s">
        <v>5</v>
      </c>
    </row>
    <row r="6465" spans="1:3" x14ac:dyDescent="0.25">
      <c r="A6465" s="1" t="s">
        <v>12928</v>
      </c>
      <c r="B6465" s="1" t="s">
        <v>12929</v>
      </c>
      <c r="C6465" s="1" t="s">
        <v>5</v>
      </c>
    </row>
    <row r="6466" spans="1:3" x14ac:dyDescent="0.25">
      <c r="A6466" s="1" t="s">
        <v>12930</v>
      </c>
      <c r="B6466" s="1" t="s">
        <v>12931</v>
      </c>
      <c r="C6466" s="1" t="s">
        <v>5</v>
      </c>
    </row>
    <row r="6467" spans="1:3" x14ac:dyDescent="0.25">
      <c r="A6467" s="1" t="s">
        <v>12932</v>
      </c>
      <c r="B6467" s="1" t="s">
        <v>12933</v>
      </c>
      <c r="C6467" s="1" t="s">
        <v>5</v>
      </c>
    </row>
    <row r="6468" spans="1:3" x14ac:dyDescent="0.25">
      <c r="A6468" s="1" t="s">
        <v>12934</v>
      </c>
      <c r="B6468" s="1" t="s">
        <v>12935</v>
      </c>
      <c r="C6468" s="1" t="s">
        <v>5</v>
      </c>
    </row>
    <row r="6469" spans="1:3" x14ac:dyDescent="0.25">
      <c r="A6469" s="1" t="s">
        <v>12936</v>
      </c>
      <c r="B6469" s="1" t="s">
        <v>12937</v>
      </c>
      <c r="C6469" s="1" t="s">
        <v>5</v>
      </c>
    </row>
    <row r="6470" spans="1:3" x14ac:dyDescent="0.25">
      <c r="A6470" s="1" t="s">
        <v>12938</v>
      </c>
      <c r="B6470" s="1" t="s">
        <v>12939</v>
      </c>
      <c r="C6470" s="1" t="s">
        <v>5</v>
      </c>
    </row>
    <row r="6471" spans="1:3" x14ac:dyDescent="0.25">
      <c r="A6471" s="1" t="s">
        <v>12940</v>
      </c>
      <c r="B6471" s="1" t="s">
        <v>12941</v>
      </c>
      <c r="C6471" s="1" t="s">
        <v>5</v>
      </c>
    </row>
    <row r="6472" spans="1:3" x14ac:dyDescent="0.25">
      <c r="A6472" s="1" t="s">
        <v>12942</v>
      </c>
      <c r="B6472" s="1" t="s">
        <v>12943</v>
      </c>
      <c r="C6472" s="1" t="s">
        <v>5</v>
      </c>
    </row>
    <row r="6473" spans="1:3" x14ac:dyDescent="0.25">
      <c r="A6473" s="1" t="s">
        <v>12944</v>
      </c>
      <c r="B6473" s="1" t="s">
        <v>12945</v>
      </c>
      <c r="C6473" s="1" t="s">
        <v>5</v>
      </c>
    </row>
    <row r="6474" spans="1:3" x14ac:dyDescent="0.25">
      <c r="A6474" s="1" t="s">
        <v>12946</v>
      </c>
      <c r="B6474" s="1" t="s">
        <v>12947</v>
      </c>
      <c r="C6474" s="1" t="s">
        <v>5</v>
      </c>
    </row>
    <row r="6475" spans="1:3" x14ac:dyDescent="0.25">
      <c r="A6475" s="1" t="s">
        <v>12948</v>
      </c>
      <c r="B6475" s="1" t="s">
        <v>12949</v>
      </c>
      <c r="C6475" s="1" t="s">
        <v>5</v>
      </c>
    </row>
    <row r="6476" spans="1:3" x14ac:dyDescent="0.25">
      <c r="A6476" s="1" t="s">
        <v>12950</v>
      </c>
      <c r="B6476" s="1" t="s">
        <v>12951</v>
      </c>
      <c r="C6476" s="1" t="s">
        <v>5</v>
      </c>
    </row>
    <row r="6477" spans="1:3" x14ac:dyDescent="0.25">
      <c r="A6477" s="1" t="s">
        <v>12952</v>
      </c>
      <c r="B6477" s="1" t="s">
        <v>12953</v>
      </c>
      <c r="C6477" s="1" t="s">
        <v>5</v>
      </c>
    </row>
    <row r="6478" spans="1:3" x14ac:dyDescent="0.25">
      <c r="A6478" s="1" t="s">
        <v>12954</v>
      </c>
      <c r="B6478" s="1" t="s">
        <v>12955</v>
      </c>
      <c r="C6478" s="1" t="s">
        <v>5</v>
      </c>
    </row>
    <row r="6479" spans="1:3" x14ac:dyDescent="0.25">
      <c r="A6479" s="1" t="s">
        <v>12956</v>
      </c>
      <c r="B6479" s="1" t="s">
        <v>12957</v>
      </c>
      <c r="C6479" s="1" t="s">
        <v>5</v>
      </c>
    </row>
    <row r="6480" spans="1:3" x14ac:dyDescent="0.25">
      <c r="A6480" s="1" t="s">
        <v>12958</v>
      </c>
      <c r="B6480" s="1" t="s">
        <v>12959</v>
      </c>
      <c r="C6480" s="1" t="s">
        <v>5</v>
      </c>
    </row>
    <row r="6481" spans="1:3" x14ac:dyDescent="0.25">
      <c r="A6481" s="1" t="s">
        <v>12960</v>
      </c>
      <c r="B6481" s="1" t="s">
        <v>12961</v>
      </c>
      <c r="C6481" s="1" t="s">
        <v>5</v>
      </c>
    </row>
    <row r="6482" spans="1:3" x14ac:dyDescent="0.25">
      <c r="A6482" s="1" t="s">
        <v>12962</v>
      </c>
      <c r="B6482" s="1" t="s">
        <v>12963</v>
      </c>
      <c r="C6482" s="1" t="s">
        <v>5</v>
      </c>
    </row>
    <row r="6483" spans="1:3" x14ac:dyDescent="0.25">
      <c r="A6483" s="1" t="s">
        <v>12964</v>
      </c>
      <c r="B6483" s="1" t="s">
        <v>12965</v>
      </c>
      <c r="C6483" s="1" t="s">
        <v>5</v>
      </c>
    </row>
    <row r="6484" spans="1:3" x14ac:dyDescent="0.25">
      <c r="A6484" s="1" t="s">
        <v>12966</v>
      </c>
      <c r="B6484" s="1" t="s">
        <v>12967</v>
      </c>
      <c r="C6484" s="1" t="s">
        <v>5</v>
      </c>
    </row>
    <row r="6485" spans="1:3" x14ac:dyDescent="0.25">
      <c r="A6485" s="1" t="s">
        <v>12968</v>
      </c>
      <c r="B6485" s="1" t="s">
        <v>12969</v>
      </c>
      <c r="C6485" s="1" t="s">
        <v>5</v>
      </c>
    </row>
    <row r="6486" spans="1:3" x14ac:dyDescent="0.25">
      <c r="A6486" s="1" t="s">
        <v>12970</v>
      </c>
      <c r="B6486" s="1" t="s">
        <v>12971</v>
      </c>
      <c r="C6486" s="1" t="s">
        <v>5</v>
      </c>
    </row>
    <row r="6487" spans="1:3" x14ac:dyDescent="0.25">
      <c r="A6487" s="1" t="s">
        <v>12972</v>
      </c>
      <c r="B6487" s="1" t="s">
        <v>12973</v>
      </c>
      <c r="C6487" s="1" t="s">
        <v>5</v>
      </c>
    </row>
    <row r="6488" spans="1:3" x14ac:dyDescent="0.25">
      <c r="A6488" s="1" t="s">
        <v>12974</v>
      </c>
      <c r="B6488" s="1" t="s">
        <v>12975</v>
      </c>
      <c r="C6488" s="1" t="s">
        <v>5</v>
      </c>
    </row>
    <row r="6489" spans="1:3" x14ac:dyDescent="0.25">
      <c r="A6489" s="1" t="s">
        <v>12976</v>
      </c>
      <c r="B6489" s="1" t="s">
        <v>12977</v>
      </c>
      <c r="C6489" s="1" t="s">
        <v>5</v>
      </c>
    </row>
    <row r="6490" spans="1:3" x14ac:dyDescent="0.25">
      <c r="A6490" s="1" t="s">
        <v>12978</v>
      </c>
      <c r="B6490" s="1" t="s">
        <v>12979</v>
      </c>
      <c r="C6490" s="1" t="s">
        <v>5</v>
      </c>
    </row>
    <row r="6491" spans="1:3" x14ac:dyDescent="0.25">
      <c r="A6491" s="1" t="s">
        <v>12980</v>
      </c>
      <c r="B6491" s="1" t="s">
        <v>12981</v>
      </c>
      <c r="C6491" s="1" t="s">
        <v>5</v>
      </c>
    </row>
    <row r="6492" spans="1:3" x14ac:dyDescent="0.25">
      <c r="A6492" s="1" t="s">
        <v>12982</v>
      </c>
      <c r="B6492" s="1" t="s">
        <v>12983</v>
      </c>
      <c r="C6492" s="1" t="s">
        <v>5</v>
      </c>
    </row>
    <row r="6493" spans="1:3" x14ac:dyDescent="0.25">
      <c r="A6493" s="1" t="s">
        <v>12984</v>
      </c>
      <c r="B6493" s="1" t="s">
        <v>12985</v>
      </c>
      <c r="C6493" s="1" t="s">
        <v>5</v>
      </c>
    </row>
    <row r="6494" spans="1:3" x14ac:dyDescent="0.25">
      <c r="A6494" s="1" t="s">
        <v>12986</v>
      </c>
      <c r="B6494" s="1" t="s">
        <v>3170</v>
      </c>
      <c r="C6494" s="1" t="s">
        <v>5</v>
      </c>
    </row>
    <row r="6495" spans="1:3" x14ac:dyDescent="0.25">
      <c r="A6495" s="1" t="s">
        <v>12987</v>
      </c>
      <c r="B6495" s="1" t="s">
        <v>12988</v>
      </c>
      <c r="C6495" s="1" t="s">
        <v>5</v>
      </c>
    </row>
    <row r="6496" spans="1:3" x14ac:dyDescent="0.25">
      <c r="A6496" s="1" t="s">
        <v>12989</v>
      </c>
      <c r="B6496" s="1" t="s">
        <v>12990</v>
      </c>
      <c r="C6496" s="1" t="s">
        <v>5</v>
      </c>
    </row>
    <row r="6497" spans="1:3" x14ac:dyDescent="0.25">
      <c r="A6497" s="1" t="s">
        <v>12991</v>
      </c>
      <c r="B6497" s="1" t="s">
        <v>12992</v>
      </c>
      <c r="C6497" s="1" t="s">
        <v>5</v>
      </c>
    </row>
    <row r="6498" spans="1:3" x14ac:dyDescent="0.25">
      <c r="A6498" s="1" t="s">
        <v>12993</v>
      </c>
      <c r="B6498" s="1" t="s">
        <v>12994</v>
      </c>
      <c r="C6498" s="1" t="s">
        <v>5</v>
      </c>
    </row>
    <row r="6499" spans="1:3" x14ac:dyDescent="0.25">
      <c r="A6499" s="1" t="s">
        <v>12995</v>
      </c>
      <c r="B6499" s="1" t="s">
        <v>12996</v>
      </c>
      <c r="C6499" s="1" t="s">
        <v>5</v>
      </c>
    </row>
    <row r="6500" spans="1:3" x14ac:dyDescent="0.25">
      <c r="A6500" s="1" t="s">
        <v>12997</v>
      </c>
      <c r="B6500" s="1" t="s">
        <v>12998</v>
      </c>
      <c r="C6500" s="1" t="s">
        <v>5</v>
      </c>
    </row>
    <row r="6501" spans="1:3" x14ac:dyDescent="0.25">
      <c r="A6501" s="1" t="s">
        <v>12999</v>
      </c>
      <c r="B6501" s="1" t="s">
        <v>13000</v>
      </c>
      <c r="C6501" s="1" t="s">
        <v>5</v>
      </c>
    </row>
    <row r="6502" spans="1:3" x14ac:dyDescent="0.25">
      <c r="A6502" s="1" t="s">
        <v>13001</v>
      </c>
      <c r="B6502" s="1" t="s">
        <v>13002</v>
      </c>
      <c r="C6502" s="1" t="s">
        <v>5</v>
      </c>
    </row>
    <row r="6503" spans="1:3" x14ac:dyDescent="0.25">
      <c r="A6503" s="1" t="s">
        <v>13003</v>
      </c>
      <c r="B6503" s="1" t="s">
        <v>13004</v>
      </c>
      <c r="C6503" s="1" t="s">
        <v>5</v>
      </c>
    </row>
    <row r="6504" spans="1:3" x14ac:dyDescent="0.25">
      <c r="A6504" s="1" t="s">
        <v>13005</v>
      </c>
      <c r="B6504" s="1" t="s">
        <v>13006</v>
      </c>
      <c r="C6504" s="1" t="s">
        <v>5</v>
      </c>
    </row>
    <row r="6505" spans="1:3" x14ac:dyDescent="0.25">
      <c r="A6505" s="1" t="s">
        <v>13007</v>
      </c>
      <c r="B6505" s="1" t="s">
        <v>13008</v>
      </c>
      <c r="C6505" s="1" t="s">
        <v>5</v>
      </c>
    </row>
    <row r="6506" spans="1:3" x14ac:dyDescent="0.25">
      <c r="A6506" s="1" t="s">
        <v>13009</v>
      </c>
      <c r="B6506" s="1" t="s">
        <v>13010</v>
      </c>
      <c r="C6506" s="1" t="s">
        <v>5</v>
      </c>
    </row>
    <row r="6507" spans="1:3" x14ac:dyDescent="0.25">
      <c r="A6507" s="1" t="s">
        <v>13011</v>
      </c>
      <c r="B6507" s="1" t="s">
        <v>13012</v>
      </c>
      <c r="C6507" s="1" t="s">
        <v>5</v>
      </c>
    </row>
    <row r="6508" spans="1:3" x14ac:dyDescent="0.25">
      <c r="A6508" s="1" t="s">
        <v>13013</v>
      </c>
      <c r="B6508" s="1" t="s">
        <v>13014</v>
      </c>
      <c r="C6508" s="1" t="s">
        <v>5</v>
      </c>
    </row>
    <row r="6509" spans="1:3" x14ac:dyDescent="0.25">
      <c r="A6509" s="1" t="s">
        <v>13015</v>
      </c>
      <c r="B6509" s="1" t="s">
        <v>13016</v>
      </c>
      <c r="C6509" s="1" t="s">
        <v>5</v>
      </c>
    </row>
    <row r="6510" spans="1:3" x14ac:dyDescent="0.25">
      <c r="A6510" s="1" t="s">
        <v>13017</v>
      </c>
      <c r="B6510" s="1" t="s">
        <v>13018</v>
      </c>
      <c r="C6510" s="1" t="s">
        <v>5</v>
      </c>
    </row>
    <row r="6511" spans="1:3" x14ac:dyDescent="0.25">
      <c r="A6511" s="1" t="s">
        <v>13019</v>
      </c>
      <c r="B6511" s="1" t="s">
        <v>13020</v>
      </c>
      <c r="C6511" s="1" t="s">
        <v>5</v>
      </c>
    </row>
    <row r="6512" spans="1:3" x14ac:dyDescent="0.25">
      <c r="A6512" s="1" t="s">
        <v>13021</v>
      </c>
      <c r="B6512" s="1" t="s">
        <v>13022</v>
      </c>
      <c r="C6512" s="1" t="s">
        <v>5</v>
      </c>
    </row>
    <row r="6513" spans="1:3" x14ac:dyDescent="0.25">
      <c r="A6513" s="1" t="s">
        <v>13023</v>
      </c>
      <c r="B6513" s="1" t="s">
        <v>13024</v>
      </c>
      <c r="C6513" s="1" t="s">
        <v>5</v>
      </c>
    </row>
    <row r="6514" spans="1:3" x14ac:dyDescent="0.25">
      <c r="A6514" s="1" t="s">
        <v>13025</v>
      </c>
      <c r="B6514" s="1" t="s">
        <v>13026</v>
      </c>
      <c r="C6514" s="1" t="s">
        <v>5</v>
      </c>
    </row>
    <row r="6515" spans="1:3" x14ac:dyDescent="0.25">
      <c r="A6515" s="1" t="s">
        <v>13027</v>
      </c>
      <c r="B6515" s="1" t="s">
        <v>13028</v>
      </c>
      <c r="C6515" s="1" t="s">
        <v>5</v>
      </c>
    </row>
    <row r="6516" spans="1:3" x14ac:dyDescent="0.25">
      <c r="A6516" s="1" t="s">
        <v>13029</v>
      </c>
      <c r="B6516" s="1" t="s">
        <v>13030</v>
      </c>
      <c r="C6516" s="1" t="s">
        <v>5</v>
      </c>
    </row>
    <row r="6517" spans="1:3" x14ac:dyDescent="0.25">
      <c r="A6517" s="1" t="s">
        <v>13031</v>
      </c>
      <c r="B6517" s="1" t="s">
        <v>13032</v>
      </c>
      <c r="C6517" s="1" t="s">
        <v>5</v>
      </c>
    </row>
    <row r="6518" spans="1:3" x14ac:dyDescent="0.25">
      <c r="A6518" s="1" t="s">
        <v>13033</v>
      </c>
      <c r="B6518" s="1" t="s">
        <v>13034</v>
      </c>
      <c r="C6518" s="1" t="s">
        <v>5</v>
      </c>
    </row>
    <row r="6519" spans="1:3" x14ac:dyDescent="0.25">
      <c r="A6519" s="1" t="s">
        <v>13035</v>
      </c>
      <c r="B6519" s="1" t="s">
        <v>13036</v>
      </c>
      <c r="C6519" s="1" t="s">
        <v>5</v>
      </c>
    </row>
    <row r="6520" spans="1:3" x14ac:dyDescent="0.25">
      <c r="A6520" s="1" t="s">
        <v>13037</v>
      </c>
      <c r="B6520" s="1" t="s">
        <v>13038</v>
      </c>
      <c r="C6520" s="1" t="s">
        <v>5</v>
      </c>
    </row>
    <row r="6521" spans="1:3" x14ac:dyDescent="0.25">
      <c r="A6521" s="1" t="s">
        <v>13039</v>
      </c>
      <c r="B6521" s="1" t="s">
        <v>13040</v>
      </c>
      <c r="C6521" s="1" t="s">
        <v>5</v>
      </c>
    </row>
    <row r="6522" spans="1:3" x14ac:dyDescent="0.25">
      <c r="A6522" s="1" t="s">
        <v>13041</v>
      </c>
      <c r="B6522" s="1" t="s">
        <v>13042</v>
      </c>
      <c r="C6522" s="1" t="s">
        <v>5</v>
      </c>
    </row>
    <row r="6523" spans="1:3" x14ac:dyDescent="0.25">
      <c r="A6523" s="1" t="s">
        <v>13043</v>
      </c>
      <c r="B6523" s="1" t="s">
        <v>13044</v>
      </c>
      <c r="C6523" s="1" t="s">
        <v>5</v>
      </c>
    </row>
    <row r="6524" spans="1:3" x14ac:dyDescent="0.25">
      <c r="A6524" s="1" t="s">
        <v>13045</v>
      </c>
      <c r="B6524" s="1" t="s">
        <v>13046</v>
      </c>
      <c r="C6524" s="1" t="s">
        <v>5</v>
      </c>
    </row>
    <row r="6525" spans="1:3" x14ac:dyDescent="0.25">
      <c r="A6525" s="1" t="s">
        <v>13047</v>
      </c>
      <c r="B6525" s="1" t="s">
        <v>13048</v>
      </c>
      <c r="C6525" s="1" t="s">
        <v>5</v>
      </c>
    </row>
    <row r="6526" spans="1:3" x14ac:dyDescent="0.25">
      <c r="A6526" s="1" t="s">
        <v>13049</v>
      </c>
      <c r="B6526" s="1" t="s">
        <v>13050</v>
      </c>
      <c r="C6526" s="1" t="s">
        <v>5</v>
      </c>
    </row>
    <row r="6527" spans="1:3" x14ac:dyDescent="0.25">
      <c r="A6527" s="1" t="s">
        <v>13051</v>
      </c>
      <c r="B6527" s="1" t="s">
        <v>13052</v>
      </c>
      <c r="C6527" s="1" t="s">
        <v>5</v>
      </c>
    </row>
    <row r="6528" spans="1:3" x14ac:dyDescent="0.25">
      <c r="A6528" s="1" t="s">
        <v>13053</v>
      </c>
      <c r="B6528" s="1" t="s">
        <v>13054</v>
      </c>
      <c r="C6528" s="1" t="s">
        <v>5</v>
      </c>
    </row>
    <row r="6529" spans="1:3" x14ac:dyDescent="0.25">
      <c r="A6529" s="1" t="s">
        <v>13055</v>
      </c>
      <c r="B6529" s="1" t="s">
        <v>13056</v>
      </c>
      <c r="C6529" s="1" t="s">
        <v>5</v>
      </c>
    </row>
    <row r="6530" spans="1:3" x14ac:dyDescent="0.25">
      <c r="A6530" s="1" t="s">
        <v>13057</v>
      </c>
      <c r="B6530" s="1" t="s">
        <v>13058</v>
      </c>
      <c r="C6530" s="1" t="s">
        <v>5</v>
      </c>
    </row>
    <row r="6531" spans="1:3" x14ac:dyDescent="0.25">
      <c r="A6531" s="1" t="s">
        <v>13059</v>
      </c>
      <c r="B6531" s="1" t="s">
        <v>13060</v>
      </c>
      <c r="C6531" s="1" t="s">
        <v>5</v>
      </c>
    </row>
    <row r="6532" spans="1:3" x14ac:dyDescent="0.25">
      <c r="A6532" s="1" t="s">
        <v>13061</v>
      </c>
      <c r="B6532" s="1" t="s">
        <v>13062</v>
      </c>
      <c r="C6532" s="1" t="s">
        <v>5</v>
      </c>
    </row>
    <row r="6533" spans="1:3" x14ac:dyDescent="0.25">
      <c r="A6533" s="1" t="s">
        <v>13063</v>
      </c>
      <c r="B6533" s="1" t="s">
        <v>13064</v>
      </c>
      <c r="C6533" s="1" t="s">
        <v>5</v>
      </c>
    </row>
    <row r="6534" spans="1:3" x14ac:dyDescent="0.25">
      <c r="A6534" s="1" t="s">
        <v>13065</v>
      </c>
      <c r="B6534" s="1" t="s">
        <v>13066</v>
      </c>
      <c r="C6534" s="1" t="s">
        <v>5</v>
      </c>
    </row>
    <row r="6535" spans="1:3" x14ac:dyDescent="0.25">
      <c r="A6535" s="1" t="s">
        <v>13067</v>
      </c>
      <c r="B6535" s="1" t="s">
        <v>13068</v>
      </c>
      <c r="C6535" s="1" t="s">
        <v>5</v>
      </c>
    </row>
    <row r="6536" spans="1:3" x14ac:dyDescent="0.25">
      <c r="A6536" s="1" t="s">
        <v>13069</v>
      </c>
      <c r="B6536" s="1" t="s">
        <v>13070</v>
      </c>
      <c r="C6536" s="1" t="s">
        <v>5</v>
      </c>
    </row>
    <row r="6537" spans="1:3" x14ac:dyDescent="0.25">
      <c r="A6537" s="1" t="s">
        <v>13071</v>
      </c>
      <c r="B6537" s="1" t="s">
        <v>13072</v>
      </c>
      <c r="C6537" s="1" t="s">
        <v>5</v>
      </c>
    </row>
    <row r="6538" spans="1:3" x14ac:dyDescent="0.25">
      <c r="A6538" s="1" t="s">
        <v>13073</v>
      </c>
      <c r="B6538" s="1" t="s">
        <v>13074</v>
      </c>
      <c r="C6538" s="1" t="s">
        <v>5</v>
      </c>
    </row>
    <row r="6539" spans="1:3" x14ac:dyDescent="0.25">
      <c r="A6539" s="1" t="s">
        <v>13075</v>
      </c>
      <c r="B6539" s="1" t="s">
        <v>13076</v>
      </c>
      <c r="C6539" s="1" t="s">
        <v>5</v>
      </c>
    </row>
    <row r="6540" spans="1:3" x14ac:dyDescent="0.25">
      <c r="A6540" s="1" t="s">
        <v>13077</v>
      </c>
      <c r="B6540" s="1" t="s">
        <v>13078</v>
      </c>
      <c r="C6540" s="1" t="s">
        <v>5</v>
      </c>
    </row>
    <row r="6541" spans="1:3" x14ac:dyDescent="0.25">
      <c r="A6541" s="1" t="s">
        <v>13079</v>
      </c>
      <c r="B6541" s="1" t="s">
        <v>13080</v>
      </c>
      <c r="C6541" s="1" t="s">
        <v>5</v>
      </c>
    </row>
    <row r="6542" spans="1:3" x14ac:dyDescent="0.25">
      <c r="A6542" s="1" t="s">
        <v>13081</v>
      </c>
      <c r="B6542" s="1" t="s">
        <v>13082</v>
      </c>
      <c r="C6542" s="1" t="s">
        <v>5</v>
      </c>
    </row>
    <row r="6543" spans="1:3" x14ac:dyDescent="0.25">
      <c r="A6543" s="1" t="s">
        <v>13083</v>
      </c>
      <c r="B6543" s="1" t="s">
        <v>13084</v>
      </c>
      <c r="C6543" s="1" t="s">
        <v>5</v>
      </c>
    </row>
    <row r="6544" spans="1:3" x14ac:dyDescent="0.25">
      <c r="A6544" s="1" t="s">
        <v>13085</v>
      </c>
      <c r="B6544" s="1" t="s">
        <v>13086</v>
      </c>
      <c r="C6544" s="1" t="s">
        <v>5</v>
      </c>
    </row>
    <row r="6545" spans="1:3" x14ac:dyDescent="0.25">
      <c r="A6545" s="1" t="s">
        <v>13087</v>
      </c>
      <c r="B6545" s="1" t="s">
        <v>13088</v>
      </c>
      <c r="C6545" s="1" t="s">
        <v>5</v>
      </c>
    </row>
    <row r="6546" spans="1:3" x14ac:dyDescent="0.25">
      <c r="A6546" s="1" t="s">
        <v>13089</v>
      </c>
      <c r="B6546" s="1" t="s">
        <v>13090</v>
      </c>
      <c r="C6546" s="1" t="s">
        <v>5</v>
      </c>
    </row>
    <row r="6547" spans="1:3" x14ac:dyDescent="0.25">
      <c r="A6547" s="1" t="s">
        <v>13091</v>
      </c>
      <c r="B6547" s="1" t="s">
        <v>13092</v>
      </c>
      <c r="C6547" s="1" t="s">
        <v>5</v>
      </c>
    </row>
    <row r="6548" spans="1:3" x14ac:dyDescent="0.25">
      <c r="A6548" s="1" t="s">
        <v>13093</v>
      </c>
      <c r="B6548" s="1" t="s">
        <v>13094</v>
      </c>
      <c r="C6548" s="1" t="s">
        <v>5</v>
      </c>
    </row>
    <row r="6549" spans="1:3" x14ac:dyDescent="0.25">
      <c r="A6549" s="1" t="s">
        <v>13095</v>
      </c>
      <c r="B6549" s="1" t="s">
        <v>13096</v>
      </c>
      <c r="C6549" s="1" t="s">
        <v>5</v>
      </c>
    </row>
    <row r="6550" spans="1:3" x14ac:dyDescent="0.25">
      <c r="A6550" s="1" t="s">
        <v>13097</v>
      </c>
      <c r="B6550" s="1" t="s">
        <v>13098</v>
      </c>
      <c r="C6550" s="1" t="s">
        <v>5</v>
      </c>
    </row>
    <row r="6551" spans="1:3" x14ac:dyDescent="0.25">
      <c r="A6551" s="1" t="s">
        <v>13099</v>
      </c>
      <c r="B6551" s="1" t="s">
        <v>13100</v>
      </c>
      <c r="C6551" s="1" t="s">
        <v>5</v>
      </c>
    </row>
    <row r="6552" spans="1:3" x14ac:dyDescent="0.25">
      <c r="A6552" s="1" t="s">
        <v>13101</v>
      </c>
      <c r="B6552" s="1" t="s">
        <v>13102</v>
      </c>
      <c r="C6552" s="1" t="s">
        <v>5</v>
      </c>
    </row>
    <row r="6553" spans="1:3" x14ac:dyDescent="0.25">
      <c r="A6553" s="1" t="s">
        <v>13103</v>
      </c>
      <c r="B6553" s="1" t="s">
        <v>13104</v>
      </c>
      <c r="C6553" s="1" t="s">
        <v>5</v>
      </c>
    </row>
    <row r="6554" spans="1:3" x14ac:dyDescent="0.25">
      <c r="A6554" s="1" t="s">
        <v>13105</v>
      </c>
      <c r="B6554" s="1" t="s">
        <v>13106</v>
      </c>
      <c r="C6554" s="1" t="s">
        <v>5</v>
      </c>
    </row>
    <row r="6555" spans="1:3" x14ac:dyDescent="0.25">
      <c r="A6555" s="1" t="s">
        <v>13107</v>
      </c>
      <c r="B6555" s="1" t="s">
        <v>13108</v>
      </c>
      <c r="C6555" s="1" t="s">
        <v>5</v>
      </c>
    </row>
    <row r="6556" spans="1:3" x14ac:dyDescent="0.25">
      <c r="A6556" s="1" t="s">
        <v>13109</v>
      </c>
      <c r="B6556" s="1" t="s">
        <v>13110</v>
      </c>
      <c r="C6556" s="1" t="s">
        <v>5</v>
      </c>
    </row>
    <row r="6557" spans="1:3" x14ac:dyDescent="0.25">
      <c r="A6557" s="1" t="s">
        <v>13111</v>
      </c>
      <c r="B6557" s="1" t="s">
        <v>13112</v>
      </c>
      <c r="C6557" s="1" t="s">
        <v>5</v>
      </c>
    </row>
    <row r="6558" spans="1:3" x14ac:dyDescent="0.25">
      <c r="A6558" s="1" t="s">
        <v>13113</v>
      </c>
      <c r="B6558" s="1" t="s">
        <v>13114</v>
      </c>
      <c r="C6558" s="1" t="s">
        <v>5</v>
      </c>
    </row>
    <row r="6559" spans="1:3" x14ac:dyDescent="0.25">
      <c r="A6559" s="1" t="s">
        <v>13115</v>
      </c>
      <c r="B6559" s="1" t="s">
        <v>13116</v>
      </c>
      <c r="C6559" s="1" t="s">
        <v>5</v>
      </c>
    </row>
    <row r="6560" spans="1:3" x14ac:dyDescent="0.25">
      <c r="A6560" s="1" t="s">
        <v>13117</v>
      </c>
      <c r="B6560" s="1" t="s">
        <v>13118</v>
      </c>
      <c r="C6560" s="1" t="s">
        <v>5</v>
      </c>
    </row>
    <row r="6561" spans="1:3" x14ac:dyDescent="0.25">
      <c r="A6561" s="1" t="s">
        <v>13119</v>
      </c>
      <c r="B6561" s="1" t="s">
        <v>13120</v>
      </c>
      <c r="C6561" s="1" t="s">
        <v>5</v>
      </c>
    </row>
    <row r="6562" spans="1:3" x14ac:dyDescent="0.25">
      <c r="A6562" s="1" t="s">
        <v>13121</v>
      </c>
      <c r="B6562" s="1" t="s">
        <v>13122</v>
      </c>
      <c r="C6562" s="1" t="s">
        <v>5</v>
      </c>
    </row>
    <row r="6563" spans="1:3" x14ac:dyDescent="0.25">
      <c r="A6563" s="1" t="s">
        <v>13123</v>
      </c>
      <c r="B6563" s="1" t="s">
        <v>13124</v>
      </c>
      <c r="C6563" s="1" t="s">
        <v>5</v>
      </c>
    </row>
    <row r="6564" spans="1:3" x14ac:dyDescent="0.25">
      <c r="A6564" s="1" t="s">
        <v>13125</v>
      </c>
      <c r="B6564" s="1" t="s">
        <v>13126</v>
      </c>
      <c r="C6564" s="1" t="s">
        <v>5</v>
      </c>
    </row>
    <row r="6565" spans="1:3" x14ac:dyDescent="0.25">
      <c r="A6565" s="1" t="s">
        <v>13127</v>
      </c>
      <c r="B6565" s="1" t="s">
        <v>13128</v>
      </c>
      <c r="C6565" s="1" t="s">
        <v>5</v>
      </c>
    </row>
    <row r="6566" spans="1:3" x14ac:dyDescent="0.25">
      <c r="A6566" s="1" t="s">
        <v>13129</v>
      </c>
      <c r="B6566" s="1" t="s">
        <v>13130</v>
      </c>
      <c r="C6566" s="1" t="s">
        <v>5</v>
      </c>
    </row>
    <row r="6567" spans="1:3" x14ac:dyDescent="0.25">
      <c r="A6567" s="1" t="s">
        <v>13131</v>
      </c>
      <c r="B6567" s="1" t="s">
        <v>13132</v>
      </c>
      <c r="C6567" s="1" t="s">
        <v>5</v>
      </c>
    </row>
    <row r="6568" spans="1:3" x14ac:dyDescent="0.25">
      <c r="A6568" s="1" t="s">
        <v>13133</v>
      </c>
      <c r="B6568" s="1" t="s">
        <v>13134</v>
      </c>
      <c r="C6568" s="1" t="s">
        <v>5</v>
      </c>
    </row>
    <row r="6569" spans="1:3" x14ac:dyDescent="0.25">
      <c r="A6569" s="1" t="s">
        <v>13135</v>
      </c>
      <c r="B6569" s="1" t="s">
        <v>13136</v>
      </c>
      <c r="C6569" s="1" t="s">
        <v>5</v>
      </c>
    </row>
    <row r="6570" spans="1:3" x14ac:dyDescent="0.25">
      <c r="A6570" s="1" t="s">
        <v>13137</v>
      </c>
      <c r="B6570" s="1" t="s">
        <v>13138</v>
      </c>
      <c r="C6570" s="1" t="s">
        <v>5</v>
      </c>
    </row>
    <row r="6571" spans="1:3" x14ac:dyDescent="0.25">
      <c r="A6571" s="1" t="s">
        <v>13139</v>
      </c>
      <c r="B6571" s="1" t="s">
        <v>13140</v>
      </c>
      <c r="C6571" s="1" t="s">
        <v>5</v>
      </c>
    </row>
    <row r="6572" spans="1:3" x14ac:dyDescent="0.25">
      <c r="A6572" s="1" t="s">
        <v>13141</v>
      </c>
      <c r="B6572" s="1" t="s">
        <v>13142</v>
      </c>
      <c r="C6572" s="1" t="s">
        <v>5</v>
      </c>
    </row>
    <row r="6573" spans="1:3" x14ac:dyDescent="0.25">
      <c r="A6573" s="1" t="s">
        <v>13143</v>
      </c>
      <c r="B6573" s="1" t="s">
        <v>13144</v>
      </c>
      <c r="C6573" s="1" t="s">
        <v>5</v>
      </c>
    </row>
    <row r="6574" spans="1:3" x14ac:dyDescent="0.25">
      <c r="A6574" s="1" t="s">
        <v>13145</v>
      </c>
      <c r="B6574" s="1" t="s">
        <v>13146</v>
      </c>
      <c r="C6574" s="1" t="s">
        <v>5</v>
      </c>
    </row>
    <row r="6575" spans="1:3" x14ac:dyDescent="0.25">
      <c r="A6575" s="1" t="s">
        <v>13147</v>
      </c>
      <c r="B6575" s="1" t="s">
        <v>13148</v>
      </c>
      <c r="C6575" s="1" t="s">
        <v>5</v>
      </c>
    </row>
    <row r="6576" spans="1:3" x14ac:dyDescent="0.25">
      <c r="A6576" s="1" t="s">
        <v>13149</v>
      </c>
      <c r="B6576" s="1" t="s">
        <v>13150</v>
      </c>
      <c r="C6576" s="1" t="s">
        <v>5</v>
      </c>
    </row>
    <row r="6577" spans="1:3" x14ac:dyDescent="0.25">
      <c r="A6577" s="1" t="s">
        <v>13151</v>
      </c>
      <c r="B6577" s="1" t="s">
        <v>13152</v>
      </c>
      <c r="C6577" s="1" t="s">
        <v>5</v>
      </c>
    </row>
    <row r="6578" spans="1:3" x14ac:dyDescent="0.25">
      <c r="A6578" s="1" t="s">
        <v>13153</v>
      </c>
      <c r="B6578" s="1" t="s">
        <v>13154</v>
      </c>
      <c r="C6578" s="1" t="s">
        <v>5</v>
      </c>
    </row>
    <row r="6579" spans="1:3" x14ac:dyDescent="0.25">
      <c r="A6579" s="1" t="s">
        <v>13155</v>
      </c>
      <c r="B6579" s="1" t="s">
        <v>13156</v>
      </c>
      <c r="C6579" s="1" t="s">
        <v>5</v>
      </c>
    </row>
    <row r="6580" spans="1:3" x14ac:dyDescent="0.25">
      <c r="A6580" s="1" t="s">
        <v>13157</v>
      </c>
      <c r="B6580" s="1" t="s">
        <v>13158</v>
      </c>
      <c r="C6580" s="1" t="s">
        <v>5</v>
      </c>
    </row>
    <row r="6581" spans="1:3" x14ac:dyDescent="0.25">
      <c r="A6581" s="1" t="s">
        <v>13159</v>
      </c>
      <c r="B6581" s="1" t="s">
        <v>13160</v>
      </c>
      <c r="C6581" s="1" t="s">
        <v>5</v>
      </c>
    </row>
    <row r="6582" spans="1:3" x14ac:dyDescent="0.25">
      <c r="A6582" s="1" t="s">
        <v>13161</v>
      </c>
      <c r="B6582" s="1" t="s">
        <v>13162</v>
      </c>
      <c r="C6582" s="1" t="s">
        <v>5</v>
      </c>
    </row>
    <row r="6583" spans="1:3" x14ac:dyDescent="0.25">
      <c r="A6583" s="1" t="s">
        <v>13163</v>
      </c>
      <c r="B6583" s="1" t="s">
        <v>13164</v>
      </c>
      <c r="C6583" s="1" t="s">
        <v>5</v>
      </c>
    </row>
    <row r="6584" spans="1:3" x14ac:dyDescent="0.25">
      <c r="A6584" s="1" t="s">
        <v>13165</v>
      </c>
      <c r="B6584" s="1" t="s">
        <v>13166</v>
      </c>
      <c r="C6584" s="1" t="s">
        <v>5</v>
      </c>
    </row>
    <row r="6585" spans="1:3" x14ac:dyDescent="0.25">
      <c r="A6585" s="1" t="s">
        <v>13167</v>
      </c>
      <c r="B6585" s="1" t="s">
        <v>13168</v>
      </c>
      <c r="C6585" s="1" t="s">
        <v>5</v>
      </c>
    </row>
    <row r="6586" spans="1:3" x14ac:dyDescent="0.25">
      <c r="A6586" s="1" t="s">
        <v>13169</v>
      </c>
      <c r="B6586" s="1" t="s">
        <v>13170</v>
      </c>
      <c r="C6586" s="1" t="s">
        <v>5</v>
      </c>
    </row>
    <row r="6587" spans="1:3" x14ac:dyDescent="0.25">
      <c r="A6587" s="1" t="s">
        <v>13171</v>
      </c>
      <c r="B6587" s="1" t="s">
        <v>13172</v>
      </c>
      <c r="C6587" s="1" t="s">
        <v>5</v>
      </c>
    </row>
    <row r="6588" spans="1:3" x14ac:dyDescent="0.25">
      <c r="A6588" s="1" t="s">
        <v>13173</v>
      </c>
      <c r="B6588" s="1" t="s">
        <v>13174</v>
      </c>
      <c r="C6588" s="1" t="s">
        <v>5</v>
      </c>
    </row>
    <row r="6589" spans="1:3" x14ac:dyDescent="0.25">
      <c r="A6589" s="1" t="s">
        <v>13175</v>
      </c>
      <c r="B6589" s="1" t="s">
        <v>13176</v>
      </c>
      <c r="C6589" s="1" t="s">
        <v>5</v>
      </c>
    </row>
    <row r="6590" spans="1:3" x14ac:dyDescent="0.25">
      <c r="A6590" s="1" t="s">
        <v>13177</v>
      </c>
      <c r="B6590" s="1" t="s">
        <v>13178</v>
      </c>
      <c r="C6590" s="1" t="s">
        <v>5</v>
      </c>
    </row>
    <row r="6591" spans="1:3" x14ac:dyDescent="0.25">
      <c r="A6591" s="1" t="s">
        <v>13179</v>
      </c>
      <c r="B6591" s="1" t="s">
        <v>13180</v>
      </c>
      <c r="C6591" s="1" t="s">
        <v>5</v>
      </c>
    </row>
    <row r="6592" spans="1:3" x14ac:dyDescent="0.25">
      <c r="A6592" s="1" t="s">
        <v>13181</v>
      </c>
      <c r="B6592" s="1" t="s">
        <v>13182</v>
      </c>
      <c r="C6592" s="1" t="s">
        <v>5</v>
      </c>
    </row>
    <row r="6593" spans="1:3" x14ac:dyDescent="0.25">
      <c r="A6593" s="1" t="s">
        <v>13183</v>
      </c>
      <c r="B6593" s="1" t="s">
        <v>13184</v>
      </c>
      <c r="C6593" s="1" t="s">
        <v>5</v>
      </c>
    </row>
    <row r="6594" spans="1:3" x14ac:dyDescent="0.25">
      <c r="A6594" s="1" t="s">
        <v>13185</v>
      </c>
      <c r="B6594" s="1" t="s">
        <v>13186</v>
      </c>
      <c r="C6594" s="1" t="s">
        <v>5</v>
      </c>
    </row>
    <row r="6595" spans="1:3" x14ac:dyDescent="0.25">
      <c r="A6595" s="1" t="s">
        <v>13187</v>
      </c>
      <c r="B6595" s="1" t="s">
        <v>13188</v>
      </c>
      <c r="C6595" s="1" t="s">
        <v>5</v>
      </c>
    </row>
    <row r="6596" spans="1:3" x14ac:dyDescent="0.25">
      <c r="A6596" s="1" t="s">
        <v>13189</v>
      </c>
      <c r="B6596" s="1" t="s">
        <v>13190</v>
      </c>
      <c r="C6596" s="1" t="s">
        <v>5</v>
      </c>
    </row>
    <row r="6597" spans="1:3" x14ac:dyDescent="0.25">
      <c r="A6597" s="1" t="s">
        <v>13191</v>
      </c>
      <c r="B6597" s="1" t="s">
        <v>13192</v>
      </c>
      <c r="C6597" s="1" t="s">
        <v>5</v>
      </c>
    </row>
    <row r="6598" spans="1:3" x14ac:dyDescent="0.25">
      <c r="A6598" s="1" t="s">
        <v>13193</v>
      </c>
      <c r="B6598" s="1" t="s">
        <v>13194</v>
      </c>
      <c r="C6598" s="1" t="s">
        <v>5</v>
      </c>
    </row>
    <row r="6599" spans="1:3" x14ac:dyDescent="0.25">
      <c r="A6599" s="1" t="s">
        <v>13195</v>
      </c>
      <c r="B6599" s="1" t="s">
        <v>13196</v>
      </c>
      <c r="C6599" s="1" t="s">
        <v>5</v>
      </c>
    </row>
    <row r="6600" spans="1:3" x14ac:dyDescent="0.25">
      <c r="A6600" s="1" t="s">
        <v>13197</v>
      </c>
      <c r="B6600" s="1" t="s">
        <v>13198</v>
      </c>
      <c r="C6600" s="1" t="s">
        <v>5</v>
      </c>
    </row>
    <row r="6601" spans="1:3" x14ac:dyDescent="0.25">
      <c r="A6601" s="1" t="s">
        <v>13199</v>
      </c>
      <c r="B6601" s="1" t="s">
        <v>13200</v>
      </c>
      <c r="C6601" s="1" t="s">
        <v>5</v>
      </c>
    </row>
    <row r="6602" spans="1:3" x14ac:dyDescent="0.25">
      <c r="A6602" s="1" t="s">
        <v>13201</v>
      </c>
      <c r="B6602" s="1" t="s">
        <v>13202</v>
      </c>
      <c r="C6602" s="1" t="s">
        <v>5</v>
      </c>
    </row>
    <row r="6603" spans="1:3" x14ac:dyDescent="0.25">
      <c r="A6603" s="1" t="s">
        <v>13203</v>
      </c>
      <c r="B6603" s="1" t="s">
        <v>13204</v>
      </c>
      <c r="C6603" s="1" t="s">
        <v>5</v>
      </c>
    </row>
    <row r="6604" spans="1:3" x14ac:dyDescent="0.25">
      <c r="A6604" s="1" t="s">
        <v>13205</v>
      </c>
      <c r="B6604" s="1" t="s">
        <v>13206</v>
      </c>
      <c r="C6604" s="1" t="s">
        <v>5</v>
      </c>
    </row>
    <row r="6605" spans="1:3" x14ac:dyDescent="0.25">
      <c r="A6605" s="1" t="s">
        <v>13207</v>
      </c>
      <c r="B6605" s="1" t="s">
        <v>13208</v>
      </c>
      <c r="C6605" s="1" t="s">
        <v>5</v>
      </c>
    </row>
    <row r="6606" spans="1:3" x14ac:dyDescent="0.25">
      <c r="A6606" s="1" t="s">
        <v>13209</v>
      </c>
      <c r="B6606" s="1" t="s">
        <v>13210</v>
      </c>
      <c r="C6606" s="1" t="s">
        <v>5</v>
      </c>
    </row>
    <row r="6607" spans="1:3" x14ac:dyDescent="0.25">
      <c r="A6607" s="1" t="s">
        <v>13211</v>
      </c>
      <c r="B6607" s="1" t="s">
        <v>13212</v>
      </c>
      <c r="C6607" s="1" t="s">
        <v>5</v>
      </c>
    </row>
    <row r="6608" spans="1:3" x14ac:dyDescent="0.25">
      <c r="A6608" s="1" t="s">
        <v>13213</v>
      </c>
      <c r="B6608" s="1" t="s">
        <v>13214</v>
      </c>
      <c r="C6608" s="1" t="s">
        <v>5</v>
      </c>
    </row>
    <row r="6609" spans="1:3" x14ac:dyDescent="0.25">
      <c r="A6609" s="1" t="s">
        <v>13215</v>
      </c>
      <c r="B6609" s="1" t="s">
        <v>13216</v>
      </c>
      <c r="C6609" s="1" t="s">
        <v>5</v>
      </c>
    </row>
    <row r="6610" spans="1:3" x14ac:dyDescent="0.25">
      <c r="A6610" s="1" t="s">
        <v>13217</v>
      </c>
      <c r="B6610" s="1" t="s">
        <v>13218</v>
      </c>
      <c r="C6610" s="1" t="s">
        <v>5</v>
      </c>
    </row>
    <row r="6611" spans="1:3" x14ac:dyDescent="0.25">
      <c r="A6611" s="1" t="s">
        <v>13219</v>
      </c>
      <c r="B6611" s="1" t="s">
        <v>13220</v>
      </c>
      <c r="C6611" s="1" t="s">
        <v>5</v>
      </c>
    </row>
    <row r="6612" spans="1:3" x14ac:dyDescent="0.25">
      <c r="A6612" s="1" t="s">
        <v>13221</v>
      </c>
      <c r="B6612" s="1" t="s">
        <v>13222</v>
      </c>
      <c r="C6612" s="1" t="s">
        <v>5</v>
      </c>
    </row>
    <row r="6613" spans="1:3" x14ac:dyDescent="0.25">
      <c r="A6613" s="1" t="s">
        <v>13223</v>
      </c>
      <c r="B6613" s="1" t="s">
        <v>13224</v>
      </c>
      <c r="C6613" s="1" t="s">
        <v>5</v>
      </c>
    </row>
    <row r="6614" spans="1:3" x14ac:dyDescent="0.25">
      <c r="A6614" s="1" t="s">
        <v>13225</v>
      </c>
      <c r="B6614" s="1" t="s">
        <v>13226</v>
      </c>
      <c r="C6614" s="1" t="s">
        <v>5</v>
      </c>
    </row>
    <row r="6615" spans="1:3" x14ac:dyDescent="0.25">
      <c r="A6615" s="1" t="s">
        <v>13227</v>
      </c>
      <c r="B6615" s="1" t="s">
        <v>13228</v>
      </c>
      <c r="C6615" s="1" t="s">
        <v>5</v>
      </c>
    </row>
    <row r="6616" spans="1:3" x14ac:dyDescent="0.25">
      <c r="A6616" s="1" t="s">
        <v>13229</v>
      </c>
      <c r="B6616" s="1" t="s">
        <v>13230</v>
      </c>
      <c r="C6616" s="1" t="s">
        <v>5</v>
      </c>
    </row>
    <row r="6617" spans="1:3" x14ac:dyDescent="0.25">
      <c r="A6617" s="1" t="s">
        <v>13231</v>
      </c>
      <c r="B6617" s="1" t="s">
        <v>13232</v>
      </c>
      <c r="C6617" s="1" t="s">
        <v>5</v>
      </c>
    </row>
    <row r="6618" spans="1:3" x14ac:dyDescent="0.25">
      <c r="A6618" s="1" t="s">
        <v>13233</v>
      </c>
      <c r="B6618" s="1" t="s">
        <v>13234</v>
      </c>
      <c r="C6618" s="1" t="s">
        <v>5</v>
      </c>
    </row>
    <row r="6619" spans="1:3" x14ac:dyDescent="0.25">
      <c r="A6619" s="1" t="s">
        <v>13235</v>
      </c>
      <c r="B6619" s="1" t="s">
        <v>13236</v>
      </c>
      <c r="C6619" s="1" t="s">
        <v>5</v>
      </c>
    </row>
    <row r="6620" spans="1:3" x14ac:dyDescent="0.25">
      <c r="A6620" s="1" t="s">
        <v>13237</v>
      </c>
      <c r="B6620" s="1" t="s">
        <v>13238</v>
      </c>
      <c r="C6620" s="1" t="s">
        <v>5</v>
      </c>
    </row>
    <row r="6621" spans="1:3" x14ac:dyDescent="0.25">
      <c r="A6621" s="1" t="s">
        <v>13239</v>
      </c>
      <c r="B6621" s="1" t="s">
        <v>13240</v>
      </c>
      <c r="C6621" s="1" t="s">
        <v>5</v>
      </c>
    </row>
    <row r="6622" spans="1:3" x14ac:dyDescent="0.25">
      <c r="A6622" s="1" t="s">
        <v>13241</v>
      </c>
      <c r="B6622" s="1" t="s">
        <v>13242</v>
      </c>
      <c r="C6622" s="1" t="s">
        <v>5</v>
      </c>
    </row>
    <row r="6623" spans="1:3" x14ac:dyDescent="0.25">
      <c r="A6623" s="1" t="s">
        <v>13243</v>
      </c>
      <c r="B6623" s="1" t="s">
        <v>13244</v>
      </c>
      <c r="C6623" s="1" t="s">
        <v>5</v>
      </c>
    </row>
    <row r="6624" spans="1:3" x14ac:dyDescent="0.25">
      <c r="A6624" s="1" t="s">
        <v>13245</v>
      </c>
      <c r="B6624" s="1" t="s">
        <v>13246</v>
      </c>
      <c r="C6624" s="1" t="s">
        <v>5</v>
      </c>
    </row>
    <row r="6625" spans="1:3" x14ac:dyDescent="0.25">
      <c r="A6625" s="1" t="s">
        <v>13247</v>
      </c>
      <c r="B6625" s="1" t="s">
        <v>13248</v>
      </c>
      <c r="C6625" s="1" t="s">
        <v>5</v>
      </c>
    </row>
    <row r="6626" spans="1:3" x14ac:dyDescent="0.25">
      <c r="A6626" s="1" t="s">
        <v>13249</v>
      </c>
      <c r="B6626" s="1" t="s">
        <v>13250</v>
      </c>
      <c r="C6626" s="1" t="s">
        <v>5</v>
      </c>
    </row>
    <row r="6627" spans="1:3" x14ac:dyDescent="0.25">
      <c r="A6627" s="1" t="s">
        <v>13251</v>
      </c>
      <c r="B6627" s="1" t="s">
        <v>13252</v>
      </c>
      <c r="C6627" s="1" t="s">
        <v>5</v>
      </c>
    </row>
    <row r="6628" spans="1:3" x14ac:dyDescent="0.25">
      <c r="A6628" s="1" t="s">
        <v>13253</v>
      </c>
      <c r="B6628" s="1" t="s">
        <v>13254</v>
      </c>
      <c r="C6628" s="1" t="s">
        <v>5</v>
      </c>
    </row>
    <row r="6629" spans="1:3" x14ac:dyDescent="0.25">
      <c r="A6629" s="1" t="s">
        <v>13255</v>
      </c>
      <c r="B6629" s="1" t="s">
        <v>13256</v>
      </c>
      <c r="C6629" s="1" t="s">
        <v>5</v>
      </c>
    </row>
    <row r="6630" spans="1:3" x14ac:dyDescent="0.25">
      <c r="A6630" s="1" t="s">
        <v>13257</v>
      </c>
      <c r="B6630" s="1" t="s">
        <v>13258</v>
      </c>
      <c r="C6630" s="1" t="s">
        <v>5</v>
      </c>
    </row>
    <row r="6631" spans="1:3" x14ac:dyDescent="0.25">
      <c r="A6631" s="1" t="s">
        <v>13259</v>
      </c>
      <c r="B6631" s="1" t="s">
        <v>13260</v>
      </c>
      <c r="C6631" s="1" t="s">
        <v>5</v>
      </c>
    </row>
    <row r="6632" spans="1:3" x14ac:dyDescent="0.25">
      <c r="A6632" s="1" t="s">
        <v>13261</v>
      </c>
      <c r="B6632" s="1" t="s">
        <v>13262</v>
      </c>
      <c r="C6632" s="1" t="s">
        <v>5</v>
      </c>
    </row>
    <row r="6633" spans="1:3" x14ac:dyDescent="0.25">
      <c r="A6633" s="1" t="s">
        <v>13263</v>
      </c>
      <c r="B6633" s="1" t="s">
        <v>13264</v>
      </c>
      <c r="C6633" s="1" t="s">
        <v>5</v>
      </c>
    </row>
    <row r="6634" spans="1:3" x14ac:dyDescent="0.25">
      <c r="A6634" s="1" t="s">
        <v>13265</v>
      </c>
      <c r="B6634" s="1" t="s">
        <v>13266</v>
      </c>
      <c r="C6634" s="1" t="s">
        <v>5</v>
      </c>
    </row>
    <row r="6635" spans="1:3" x14ac:dyDescent="0.25">
      <c r="A6635" s="1" t="s">
        <v>13267</v>
      </c>
      <c r="B6635" s="1" t="s">
        <v>13268</v>
      </c>
      <c r="C6635" s="1" t="s">
        <v>5</v>
      </c>
    </row>
    <row r="6636" spans="1:3" x14ac:dyDescent="0.25">
      <c r="A6636" s="1" t="s">
        <v>13269</v>
      </c>
      <c r="B6636" s="1" t="s">
        <v>13270</v>
      </c>
      <c r="C6636" s="1" t="s">
        <v>5</v>
      </c>
    </row>
    <row r="6637" spans="1:3" x14ac:dyDescent="0.25">
      <c r="A6637" s="1" t="s">
        <v>13271</v>
      </c>
      <c r="B6637" s="1" t="s">
        <v>13272</v>
      </c>
      <c r="C6637" s="1" t="s">
        <v>5</v>
      </c>
    </row>
    <row r="6638" spans="1:3" x14ac:dyDescent="0.25">
      <c r="A6638" s="1" t="s">
        <v>13273</v>
      </c>
      <c r="B6638" s="1" t="s">
        <v>13274</v>
      </c>
      <c r="C6638" s="1" t="s">
        <v>5</v>
      </c>
    </row>
    <row r="6639" spans="1:3" x14ac:dyDescent="0.25">
      <c r="A6639" s="1" t="s">
        <v>13275</v>
      </c>
      <c r="B6639" s="1" t="s">
        <v>13276</v>
      </c>
      <c r="C6639" s="1" t="s">
        <v>5</v>
      </c>
    </row>
    <row r="6640" spans="1:3" x14ac:dyDescent="0.25">
      <c r="A6640" s="1" t="s">
        <v>13277</v>
      </c>
      <c r="B6640" s="1" t="s">
        <v>13278</v>
      </c>
      <c r="C6640" s="1" t="s">
        <v>5</v>
      </c>
    </row>
    <row r="6641" spans="1:3" x14ac:dyDescent="0.25">
      <c r="A6641" s="1" t="s">
        <v>13279</v>
      </c>
      <c r="B6641" s="1" t="s">
        <v>13280</v>
      </c>
      <c r="C6641" s="1" t="s">
        <v>5</v>
      </c>
    </row>
    <row r="6642" spans="1:3" x14ac:dyDescent="0.25">
      <c r="A6642" s="1" t="s">
        <v>13281</v>
      </c>
      <c r="B6642" s="1" t="s">
        <v>13282</v>
      </c>
      <c r="C6642" s="1" t="s">
        <v>5</v>
      </c>
    </row>
    <row r="6643" spans="1:3" x14ac:dyDescent="0.25">
      <c r="A6643" s="1" t="s">
        <v>13283</v>
      </c>
      <c r="B6643" s="1" t="s">
        <v>13284</v>
      </c>
      <c r="C6643" s="1" t="s">
        <v>5</v>
      </c>
    </row>
    <row r="6644" spans="1:3" x14ac:dyDescent="0.25">
      <c r="A6644" s="1" t="s">
        <v>13285</v>
      </c>
      <c r="B6644" s="1" t="s">
        <v>13286</v>
      </c>
      <c r="C6644" s="1" t="s">
        <v>5</v>
      </c>
    </row>
    <row r="6645" spans="1:3" x14ac:dyDescent="0.25">
      <c r="A6645" s="1" t="s">
        <v>13287</v>
      </c>
      <c r="B6645" s="1" t="s">
        <v>13288</v>
      </c>
      <c r="C6645" s="1" t="s">
        <v>5</v>
      </c>
    </row>
    <row r="6646" spans="1:3" x14ac:dyDescent="0.25">
      <c r="A6646" s="1" t="s">
        <v>13289</v>
      </c>
      <c r="B6646" s="1" t="s">
        <v>13290</v>
      </c>
      <c r="C6646" s="1" t="s">
        <v>5</v>
      </c>
    </row>
    <row r="6647" spans="1:3" x14ac:dyDescent="0.25">
      <c r="A6647" s="1" t="s">
        <v>13291</v>
      </c>
      <c r="B6647" s="1" t="s">
        <v>13292</v>
      </c>
      <c r="C6647" s="1" t="s">
        <v>5</v>
      </c>
    </row>
    <row r="6648" spans="1:3" x14ac:dyDescent="0.25">
      <c r="A6648" s="1" t="s">
        <v>13293</v>
      </c>
      <c r="B6648" s="1" t="s">
        <v>13294</v>
      </c>
      <c r="C6648" s="1" t="s">
        <v>5</v>
      </c>
    </row>
    <row r="6649" spans="1:3" x14ac:dyDescent="0.25">
      <c r="A6649" s="1" t="s">
        <v>13295</v>
      </c>
      <c r="B6649" s="1" t="s">
        <v>13296</v>
      </c>
      <c r="C6649" s="1" t="s">
        <v>5</v>
      </c>
    </row>
    <row r="6650" spans="1:3" x14ac:dyDescent="0.25">
      <c r="A6650" s="1" t="s">
        <v>13297</v>
      </c>
      <c r="B6650" s="1" t="s">
        <v>13298</v>
      </c>
      <c r="C6650" s="1" t="s">
        <v>5</v>
      </c>
    </row>
    <row r="6651" spans="1:3" x14ac:dyDescent="0.25">
      <c r="A6651" s="1" t="s">
        <v>13299</v>
      </c>
      <c r="B6651" s="1" t="s">
        <v>13300</v>
      </c>
      <c r="C6651" s="1" t="s">
        <v>5</v>
      </c>
    </row>
    <row r="6652" spans="1:3" x14ac:dyDescent="0.25">
      <c r="A6652" s="1" t="s">
        <v>13301</v>
      </c>
      <c r="B6652" s="1" t="s">
        <v>13302</v>
      </c>
      <c r="C6652" s="1" t="s">
        <v>5</v>
      </c>
    </row>
    <row r="6653" spans="1:3" x14ac:dyDescent="0.25">
      <c r="A6653" s="1" t="s">
        <v>13303</v>
      </c>
      <c r="B6653" s="1" t="s">
        <v>13304</v>
      </c>
      <c r="C6653" s="1" t="s">
        <v>5</v>
      </c>
    </row>
    <row r="6654" spans="1:3" x14ac:dyDescent="0.25">
      <c r="A6654" s="1" t="s">
        <v>13305</v>
      </c>
      <c r="B6654" s="1" t="s">
        <v>13306</v>
      </c>
      <c r="C6654" s="1" t="s">
        <v>5</v>
      </c>
    </row>
    <row r="6655" spans="1:3" x14ac:dyDescent="0.25">
      <c r="A6655" s="1" t="s">
        <v>13307</v>
      </c>
      <c r="B6655" s="1" t="s">
        <v>13308</v>
      </c>
      <c r="C6655" s="1" t="s">
        <v>5</v>
      </c>
    </row>
    <row r="6656" spans="1:3" x14ac:dyDescent="0.25">
      <c r="A6656" s="1" t="s">
        <v>13309</v>
      </c>
      <c r="B6656" s="1" t="s">
        <v>13310</v>
      </c>
      <c r="C6656" s="1" t="s">
        <v>5</v>
      </c>
    </row>
    <row r="6657" spans="1:3" x14ac:dyDescent="0.25">
      <c r="A6657" s="1" t="s">
        <v>13311</v>
      </c>
      <c r="B6657" s="1" t="s">
        <v>13312</v>
      </c>
      <c r="C6657" s="1" t="s">
        <v>5</v>
      </c>
    </row>
    <row r="6658" spans="1:3" x14ac:dyDescent="0.25">
      <c r="A6658" s="1" t="s">
        <v>13313</v>
      </c>
      <c r="B6658" s="1" t="s">
        <v>13314</v>
      </c>
      <c r="C6658" s="1" t="s">
        <v>5</v>
      </c>
    </row>
    <row r="6659" spans="1:3" x14ac:dyDescent="0.25">
      <c r="A6659" s="1" t="s">
        <v>13315</v>
      </c>
      <c r="B6659" s="1" t="s">
        <v>13316</v>
      </c>
      <c r="C6659" s="1" t="s">
        <v>5</v>
      </c>
    </row>
    <row r="6660" spans="1:3" x14ac:dyDescent="0.25">
      <c r="A6660" s="1" t="s">
        <v>13317</v>
      </c>
      <c r="B6660" s="1" t="s">
        <v>13318</v>
      </c>
      <c r="C6660" s="1" t="s">
        <v>5</v>
      </c>
    </row>
    <row r="6661" spans="1:3" x14ac:dyDescent="0.25">
      <c r="A6661" s="1" t="s">
        <v>13319</v>
      </c>
      <c r="B6661" s="1" t="s">
        <v>13320</v>
      </c>
      <c r="C6661" s="1" t="s">
        <v>5</v>
      </c>
    </row>
    <row r="6662" spans="1:3" x14ac:dyDescent="0.25">
      <c r="A6662" s="1" t="s">
        <v>13321</v>
      </c>
      <c r="B6662" s="1" t="s">
        <v>13322</v>
      </c>
      <c r="C6662" s="1" t="s">
        <v>5</v>
      </c>
    </row>
    <row r="6663" spans="1:3" x14ac:dyDescent="0.25">
      <c r="A6663" s="1" t="s">
        <v>13323</v>
      </c>
      <c r="B6663" s="1" t="s">
        <v>13324</v>
      </c>
      <c r="C6663" s="1" t="s">
        <v>5</v>
      </c>
    </row>
    <row r="6664" spans="1:3" x14ac:dyDescent="0.25">
      <c r="A6664" s="1" t="s">
        <v>13325</v>
      </c>
      <c r="B6664" s="1" t="s">
        <v>13326</v>
      </c>
      <c r="C6664" s="1" t="s">
        <v>5</v>
      </c>
    </row>
    <row r="6665" spans="1:3" x14ac:dyDescent="0.25">
      <c r="A6665" s="1" t="s">
        <v>13327</v>
      </c>
      <c r="B6665" s="1" t="s">
        <v>13328</v>
      </c>
      <c r="C6665" s="1" t="s">
        <v>5</v>
      </c>
    </row>
    <row r="6666" spans="1:3" x14ac:dyDescent="0.25">
      <c r="A6666" s="1" t="s">
        <v>13329</v>
      </c>
      <c r="B6666" s="1" t="s">
        <v>13330</v>
      </c>
      <c r="C6666" s="1" t="s">
        <v>5</v>
      </c>
    </row>
    <row r="6667" spans="1:3" x14ac:dyDescent="0.25">
      <c r="A6667" s="1" t="s">
        <v>13331</v>
      </c>
      <c r="B6667" s="1" t="s">
        <v>13332</v>
      </c>
      <c r="C6667" s="1" t="s">
        <v>5</v>
      </c>
    </row>
    <row r="6668" spans="1:3" x14ac:dyDescent="0.25">
      <c r="A6668" s="1" t="s">
        <v>13333</v>
      </c>
      <c r="B6668" s="1" t="s">
        <v>13334</v>
      </c>
      <c r="C6668" s="1" t="s">
        <v>5</v>
      </c>
    </row>
    <row r="6669" spans="1:3" x14ac:dyDescent="0.25">
      <c r="A6669" s="1" t="s">
        <v>13335</v>
      </c>
      <c r="B6669" s="1" t="s">
        <v>13336</v>
      </c>
      <c r="C6669" s="1" t="s">
        <v>5</v>
      </c>
    </row>
    <row r="6670" spans="1:3" x14ac:dyDescent="0.25">
      <c r="A6670" s="1" t="s">
        <v>13337</v>
      </c>
      <c r="B6670" s="1" t="s">
        <v>13338</v>
      </c>
      <c r="C6670" s="1" t="s">
        <v>5</v>
      </c>
    </row>
    <row r="6671" spans="1:3" x14ac:dyDescent="0.25">
      <c r="A6671" s="1" t="s">
        <v>13339</v>
      </c>
      <c r="B6671" s="1" t="s">
        <v>13340</v>
      </c>
      <c r="C6671" s="1" t="s">
        <v>5</v>
      </c>
    </row>
    <row r="6672" spans="1:3" x14ac:dyDescent="0.25">
      <c r="A6672" s="1" t="s">
        <v>13341</v>
      </c>
      <c r="B6672" s="1" t="s">
        <v>13342</v>
      </c>
      <c r="C6672" s="1" t="s">
        <v>5</v>
      </c>
    </row>
    <row r="6673" spans="1:3" x14ac:dyDescent="0.25">
      <c r="A6673" s="1" t="s">
        <v>13343</v>
      </c>
      <c r="B6673" s="1" t="s">
        <v>13344</v>
      </c>
      <c r="C6673" s="1" t="s">
        <v>5</v>
      </c>
    </row>
    <row r="6674" spans="1:3" x14ac:dyDescent="0.25">
      <c r="A6674" s="1" t="s">
        <v>13345</v>
      </c>
      <c r="B6674" s="1" t="s">
        <v>13346</v>
      </c>
      <c r="C6674" s="1" t="s">
        <v>5</v>
      </c>
    </row>
    <row r="6675" spans="1:3" x14ac:dyDescent="0.25">
      <c r="A6675" s="1" t="s">
        <v>13347</v>
      </c>
      <c r="B6675" s="1" t="s">
        <v>13348</v>
      </c>
      <c r="C6675" s="1" t="s">
        <v>5</v>
      </c>
    </row>
    <row r="6676" spans="1:3" x14ac:dyDescent="0.25">
      <c r="A6676" s="1" t="s">
        <v>13349</v>
      </c>
      <c r="B6676" s="1" t="s">
        <v>13350</v>
      </c>
      <c r="C6676" s="1" t="s">
        <v>5</v>
      </c>
    </row>
    <row r="6677" spans="1:3" x14ac:dyDescent="0.25">
      <c r="A6677" s="1" t="s">
        <v>13351</v>
      </c>
      <c r="B6677" s="1" t="s">
        <v>13352</v>
      </c>
      <c r="C6677" s="1" t="s">
        <v>5</v>
      </c>
    </row>
    <row r="6678" spans="1:3" x14ac:dyDescent="0.25">
      <c r="A6678" s="1" t="s">
        <v>13353</v>
      </c>
      <c r="B6678" s="1" t="s">
        <v>13354</v>
      </c>
      <c r="C6678" s="1" t="s">
        <v>5</v>
      </c>
    </row>
    <row r="6679" spans="1:3" x14ac:dyDescent="0.25">
      <c r="A6679" s="1" t="s">
        <v>13355</v>
      </c>
      <c r="B6679" s="1" t="s">
        <v>13356</v>
      </c>
      <c r="C6679" s="1" t="s">
        <v>5</v>
      </c>
    </row>
    <row r="6680" spans="1:3" x14ac:dyDescent="0.25">
      <c r="A6680" s="1" t="s">
        <v>13357</v>
      </c>
      <c r="B6680" s="1" t="s">
        <v>13358</v>
      </c>
      <c r="C6680" s="1" t="s">
        <v>5</v>
      </c>
    </row>
    <row r="6681" spans="1:3" x14ac:dyDescent="0.25">
      <c r="A6681" s="1" t="s">
        <v>13359</v>
      </c>
      <c r="B6681" s="1" t="s">
        <v>13360</v>
      </c>
      <c r="C6681" s="1" t="s">
        <v>5</v>
      </c>
    </row>
    <row r="6682" spans="1:3" x14ac:dyDescent="0.25">
      <c r="A6682" s="1" t="s">
        <v>13361</v>
      </c>
      <c r="B6682" s="1" t="s">
        <v>13362</v>
      </c>
      <c r="C6682" s="1" t="s">
        <v>5</v>
      </c>
    </row>
    <row r="6683" spans="1:3" x14ac:dyDescent="0.25">
      <c r="A6683" s="1" t="s">
        <v>13363</v>
      </c>
      <c r="B6683" s="1" t="s">
        <v>13364</v>
      </c>
      <c r="C6683" s="1" t="s">
        <v>5</v>
      </c>
    </row>
    <row r="6684" spans="1:3" x14ac:dyDescent="0.25">
      <c r="A6684" s="1" t="s">
        <v>13365</v>
      </c>
      <c r="B6684" s="1" t="s">
        <v>13366</v>
      </c>
      <c r="C6684" s="1" t="s">
        <v>5</v>
      </c>
    </row>
    <row r="6685" spans="1:3" x14ac:dyDescent="0.25">
      <c r="A6685" s="1" t="s">
        <v>13367</v>
      </c>
      <c r="B6685" s="1" t="s">
        <v>13368</v>
      </c>
      <c r="C6685" s="1" t="s">
        <v>5</v>
      </c>
    </row>
    <row r="6686" spans="1:3" x14ac:dyDescent="0.25">
      <c r="A6686" s="1" t="s">
        <v>13369</v>
      </c>
      <c r="B6686" s="1" t="s">
        <v>13370</v>
      </c>
      <c r="C6686" s="1" t="s">
        <v>5</v>
      </c>
    </row>
    <row r="6687" spans="1:3" x14ac:dyDescent="0.25">
      <c r="A6687" s="1" t="s">
        <v>13371</v>
      </c>
      <c r="B6687" s="1" t="s">
        <v>13372</v>
      </c>
      <c r="C6687" s="1" t="s">
        <v>5</v>
      </c>
    </row>
    <row r="6688" spans="1:3" x14ac:dyDescent="0.25">
      <c r="A6688" s="1" t="s">
        <v>13373</v>
      </c>
      <c r="B6688" s="1" t="s">
        <v>13374</v>
      </c>
      <c r="C6688" s="1" t="s">
        <v>5</v>
      </c>
    </row>
    <row r="6689" spans="1:3" x14ac:dyDescent="0.25">
      <c r="A6689" s="1" t="s">
        <v>13375</v>
      </c>
      <c r="B6689" s="1" t="s">
        <v>13376</v>
      </c>
      <c r="C6689" s="1" t="s">
        <v>5</v>
      </c>
    </row>
    <row r="6690" spans="1:3" x14ac:dyDescent="0.25">
      <c r="A6690" s="1" t="s">
        <v>13377</v>
      </c>
      <c r="B6690" s="1" t="s">
        <v>13378</v>
      </c>
      <c r="C6690" s="1" t="s">
        <v>5</v>
      </c>
    </row>
    <row r="6691" spans="1:3" x14ac:dyDescent="0.25">
      <c r="A6691" s="1" t="s">
        <v>13379</v>
      </c>
      <c r="B6691" s="1" t="s">
        <v>13380</v>
      </c>
      <c r="C6691" s="1" t="s">
        <v>5</v>
      </c>
    </row>
    <row r="6692" spans="1:3" x14ac:dyDescent="0.25">
      <c r="A6692" s="1" t="s">
        <v>13381</v>
      </c>
      <c r="B6692" s="1" t="s">
        <v>13382</v>
      </c>
      <c r="C6692" s="1" t="s">
        <v>5</v>
      </c>
    </row>
    <row r="6693" spans="1:3" x14ac:dyDescent="0.25">
      <c r="A6693" s="1" t="s">
        <v>13383</v>
      </c>
      <c r="B6693" s="1" t="s">
        <v>13384</v>
      </c>
      <c r="C6693" s="1" t="s">
        <v>5</v>
      </c>
    </row>
    <row r="6694" spans="1:3" x14ac:dyDescent="0.25">
      <c r="A6694" s="1" t="s">
        <v>13385</v>
      </c>
      <c r="B6694" s="1" t="s">
        <v>13386</v>
      </c>
      <c r="C6694" s="1" t="s">
        <v>5</v>
      </c>
    </row>
    <row r="6695" spans="1:3" x14ac:dyDescent="0.25">
      <c r="A6695" s="1" t="s">
        <v>13387</v>
      </c>
      <c r="B6695" s="1" t="s">
        <v>13388</v>
      </c>
      <c r="C6695" s="1" t="s">
        <v>5</v>
      </c>
    </row>
    <row r="6696" spans="1:3" x14ac:dyDescent="0.25">
      <c r="A6696" s="1" t="s">
        <v>13389</v>
      </c>
      <c r="B6696" s="1" t="s">
        <v>13390</v>
      </c>
      <c r="C6696" s="1" t="s">
        <v>5</v>
      </c>
    </row>
    <row r="6697" spans="1:3" x14ac:dyDescent="0.25">
      <c r="A6697" s="1" t="s">
        <v>13391</v>
      </c>
      <c r="B6697" s="1" t="s">
        <v>13392</v>
      </c>
      <c r="C6697" s="1" t="s">
        <v>5</v>
      </c>
    </row>
    <row r="6698" spans="1:3" x14ac:dyDescent="0.25">
      <c r="A6698" s="1" t="s">
        <v>13393</v>
      </c>
      <c r="B6698" s="1" t="s">
        <v>13394</v>
      </c>
      <c r="C6698" s="1" t="s">
        <v>5</v>
      </c>
    </row>
    <row r="6699" spans="1:3" x14ac:dyDescent="0.25">
      <c r="A6699" s="1" t="s">
        <v>13395</v>
      </c>
      <c r="B6699" s="1" t="s">
        <v>13396</v>
      </c>
      <c r="C6699" s="1" t="s">
        <v>5</v>
      </c>
    </row>
    <row r="6700" spans="1:3" x14ac:dyDescent="0.25">
      <c r="A6700" s="1" t="s">
        <v>13397</v>
      </c>
      <c r="B6700" s="1" t="s">
        <v>13398</v>
      </c>
      <c r="C6700" s="1" t="s">
        <v>5</v>
      </c>
    </row>
    <row r="6701" spans="1:3" x14ac:dyDescent="0.25">
      <c r="A6701" s="1" t="s">
        <v>13399</v>
      </c>
      <c r="B6701" s="1" t="s">
        <v>13400</v>
      </c>
      <c r="C6701" s="1" t="s">
        <v>5</v>
      </c>
    </row>
    <row r="6702" spans="1:3" x14ac:dyDescent="0.25">
      <c r="A6702" s="1" t="s">
        <v>13401</v>
      </c>
      <c r="B6702" s="1" t="s">
        <v>13402</v>
      </c>
      <c r="C6702" s="1" t="s">
        <v>5</v>
      </c>
    </row>
    <row r="6703" spans="1:3" x14ac:dyDescent="0.25">
      <c r="A6703" s="1" t="s">
        <v>13403</v>
      </c>
      <c r="B6703" s="1" t="s">
        <v>13404</v>
      </c>
      <c r="C6703" s="1" t="s">
        <v>5</v>
      </c>
    </row>
    <row r="6704" spans="1:3" x14ac:dyDescent="0.25">
      <c r="A6704" s="1" t="s">
        <v>13405</v>
      </c>
      <c r="B6704" s="1" t="s">
        <v>13406</v>
      </c>
      <c r="C6704" s="1" t="s">
        <v>5</v>
      </c>
    </row>
    <row r="6705" spans="1:3" x14ac:dyDescent="0.25">
      <c r="A6705" s="1" t="s">
        <v>13407</v>
      </c>
      <c r="B6705" s="1" t="s">
        <v>13408</v>
      </c>
      <c r="C6705" s="1" t="s">
        <v>5</v>
      </c>
    </row>
    <row r="6706" spans="1:3" x14ac:dyDescent="0.25">
      <c r="A6706" s="1" t="s">
        <v>13409</v>
      </c>
      <c r="B6706" s="1" t="s">
        <v>13410</v>
      </c>
      <c r="C6706" s="1" t="s">
        <v>5</v>
      </c>
    </row>
    <row r="6707" spans="1:3" x14ac:dyDescent="0.25">
      <c r="A6707" s="1" t="s">
        <v>13411</v>
      </c>
      <c r="B6707" s="1" t="s">
        <v>13412</v>
      </c>
      <c r="C6707" s="1" t="s">
        <v>5</v>
      </c>
    </row>
    <row r="6708" spans="1:3" x14ac:dyDescent="0.25">
      <c r="A6708" s="1" t="s">
        <v>13413</v>
      </c>
      <c r="B6708" s="1" t="s">
        <v>13414</v>
      </c>
      <c r="C6708" s="1" t="s">
        <v>5</v>
      </c>
    </row>
    <row r="6709" spans="1:3" x14ac:dyDescent="0.25">
      <c r="A6709" s="1" t="s">
        <v>13415</v>
      </c>
      <c r="B6709" s="1" t="s">
        <v>13416</v>
      </c>
      <c r="C6709" s="1" t="s">
        <v>5</v>
      </c>
    </row>
    <row r="6710" spans="1:3" x14ac:dyDescent="0.25">
      <c r="A6710" s="1" t="s">
        <v>13417</v>
      </c>
      <c r="B6710" s="1" t="s">
        <v>13418</v>
      </c>
      <c r="C6710" s="1" t="s">
        <v>5</v>
      </c>
    </row>
    <row r="6711" spans="1:3" x14ac:dyDescent="0.25">
      <c r="A6711" s="1" t="s">
        <v>13419</v>
      </c>
      <c r="B6711" s="1" t="s">
        <v>13420</v>
      </c>
      <c r="C6711" s="1" t="s">
        <v>5</v>
      </c>
    </row>
    <row r="6712" spans="1:3" x14ac:dyDescent="0.25">
      <c r="A6712" s="1" t="s">
        <v>13421</v>
      </c>
      <c r="B6712" s="1" t="s">
        <v>13422</v>
      </c>
      <c r="C6712" s="1" t="s">
        <v>5</v>
      </c>
    </row>
    <row r="6713" spans="1:3" x14ac:dyDescent="0.25">
      <c r="A6713" s="1" t="s">
        <v>13423</v>
      </c>
      <c r="B6713" s="1" t="s">
        <v>13424</v>
      </c>
      <c r="C6713" s="1" t="s">
        <v>5</v>
      </c>
    </row>
    <row r="6714" spans="1:3" x14ac:dyDescent="0.25">
      <c r="A6714" s="1" t="s">
        <v>13425</v>
      </c>
      <c r="B6714" s="1" t="s">
        <v>13426</v>
      </c>
      <c r="C6714" s="1" t="s">
        <v>5</v>
      </c>
    </row>
    <row r="6715" spans="1:3" x14ac:dyDescent="0.25">
      <c r="A6715" s="1" t="s">
        <v>13427</v>
      </c>
      <c r="B6715" s="1" t="s">
        <v>13428</v>
      </c>
      <c r="C6715" s="1" t="s">
        <v>5</v>
      </c>
    </row>
    <row r="6716" spans="1:3" x14ac:dyDescent="0.25">
      <c r="A6716" s="1" t="s">
        <v>13429</v>
      </c>
      <c r="B6716" s="1" t="s">
        <v>13430</v>
      </c>
      <c r="C6716" s="1" t="s">
        <v>5</v>
      </c>
    </row>
    <row r="6717" spans="1:3" x14ac:dyDescent="0.25">
      <c r="A6717" s="1" t="s">
        <v>13431</v>
      </c>
      <c r="B6717" s="1" t="s">
        <v>13432</v>
      </c>
      <c r="C6717" s="1" t="s">
        <v>5</v>
      </c>
    </row>
    <row r="6718" spans="1:3" x14ac:dyDescent="0.25">
      <c r="A6718" s="1" t="s">
        <v>13433</v>
      </c>
      <c r="B6718" s="1" t="s">
        <v>13434</v>
      </c>
      <c r="C6718" s="1" t="s">
        <v>5</v>
      </c>
    </row>
    <row r="6719" spans="1:3" x14ac:dyDescent="0.25">
      <c r="A6719" s="1" t="s">
        <v>13435</v>
      </c>
      <c r="B6719" s="1" t="s">
        <v>13436</v>
      </c>
      <c r="C6719" s="1" t="s">
        <v>5</v>
      </c>
    </row>
    <row r="6720" spans="1:3" x14ac:dyDescent="0.25">
      <c r="A6720" s="1" t="s">
        <v>13437</v>
      </c>
      <c r="B6720" s="1" t="s">
        <v>13438</v>
      </c>
      <c r="C6720" s="1" t="s">
        <v>5</v>
      </c>
    </row>
    <row r="6721" spans="1:3" x14ac:dyDescent="0.25">
      <c r="A6721" s="1" t="s">
        <v>13439</v>
      </c>
      <c r="B6721" s="1" t="s">
        <v>13440</v>
      </c>
      <c r="C6721" s="1" t="s">
        <v>5</v>
      </c>
    </row>
    <row r="6722" spans="1:3" x14ac:dyDescent="0.25">
      <c r="A6722" s="1" t="s">
        <v>13441</v>
      </c>
      <c r="B6722" s="1" t="s">
        <v>13442</v>
      </c>
      <c r="C6722" s="1" t="s">
        <v>5</v>
      </c>
    </row>
    <row r="6723" spans="1:3" x14ac:dyDescent="0.25">
      <c r="A6723" s="1" t="s">
        <v>13443</v>
      </c>
      <c r="B6723" s="1" t="s">
        <v>13444</v>
      </c>
      <c r="C6723" s="1" t="s">
        <v>5</v>
      </c>
    </row>
    <row r="6724" spans="1:3" x14ac:dyDescent="0.25">
      <c r="A6724" s="1" t="s">
        <v>13445</v>
      </c>
      <c r="B6724" s="1" t="s">
        <v>13446</v>
      </c>
      <c r="C6724" s="1" t="s">
        <v>5</v>
      </c>
    </row>
    <row r="6725" spans="1:3" x14ac:dyDescent="0.25">
      <c r="A6725" s="1" t="s">
        <v>13447</v>
      </c>
      <c r="B6725" s="1" t="s">
        <v>13448</v>
      </c>
      <c r="C6725" s="1" t="s">
        <v>5</v>
      </c>
    </row>
    <row r="6726" spans="1:3" x14ac:dyDescent="0.25">
      <c r="A6726" s="1" t="s">
        <v>13449</v>
      </c>
      <c r="B6726" s="1" t="s">
        <v>13450</v>
      </c>
      <c r="C6726" s="1" t="s">
        <v>5</v>
      </c>
    </row>
    <row r="6727" spans="1:3" x14ac:dyDescent="0.25">
      <c r="A6727" s="1" t="s">
        <v>13451</v>
      </c>
      <c r="B6727" s="1" t="s">
        <v>13452</v>
      </c>
      <c r="C6727" s="1" t="s">
        <v>5</v>
      </c>
    </row>
    <row r="6728" spans="1:3" x14ac:dyDescent="0.25">
      <c r="A6728" s="1" t="s">
        <v>13453</v>
      </c>
      <c r="B6728" s="1" t="s">
        <v>13454</v>
      </c>
      <c r="C6728" s="1" t="s">
        <v>5</v>
      </c>
    </row>
    <row r="6729" spans="1:3" x14ac:dyDescent="0.25">
      <c r="A6729" s="1" t="s">
        <v>13455</v>
      </c>
      <c r="B6729" s="1" t="s">
        <v>13456</v>
      </c>
      <c r="C6729" s="1" t="s">
        <v>5</v>
      </c>
    </row>
    <row r="6730" spans="1:3" x14ac:dyDescent="0.25">
      <c r="A6730" s="1" t="s">
        <v>13457</v>
      </c>
      <c r="B6730" s="1" t="s">
        <v>13458</v>
      </c>
      <c r="C6730" s="1" t="s">
        <v>5</v>
      </c>
    </row>
    <row r="6731" spans="1:3" x14ac:dyDescent="0.25">
      <c r="A6731" s="1" t="s">
        <v>13459</v>
      </c>
      <c r="B6731" s="1" t="s">
        <v>13460</v>
      </c>
      <c r="C6731" s="1" t="s">
        <v>5</v>
      </c>
    </row>
    <row r="6732" spans="1:3" x14ac:dyDescent="0.25">
      <c r="A6732" s="1" t="s">
        <v>13461</v>
      </c>
      <c r="B6732" s="1" t="s">
        <v>13462</v>
      </c>
      <c r="C6732" s="1" t="s">
        <v>5</v>
      </c>
    </row>
    <row r="6733" spans="1:3" x14ac:dyDescent="0.25">
      <c r="A6733" s="1" t="s">
        <v>13463</v>
      </c>
      <c r="B6733" s="1" t="s">
        <v>13464</v>
      </c>
      <c r="C6733" s="1" t="s">
        <v>5</v>
      </c>
    </row>
    <row r="6734" spans="1:3" x14ac:dyDescent="0.25">
      <c r="A6734" s="1" t="s">
        <v>13465</v>
      </c>
      <c r="B6734" s="1" t="s">
        <v>13466</v>
      </c>
      <c r="C6734" s="1" t="s">
        <v>5</v>
      </c>
    </row>
    <row r="6735" spans="1:3" x14ac:dyDescent="0.25">
      <c r="A6735" s="1" t="s">
        <v>13467</v>
      </c>
      <c r="B6735" s="1" t="s">
        <v>13468</v>
      </c>
      <c r="C6735" s="1" t="s">
        <v>5</v>
      </c>
    </row>
    <row r="6736" spans="1:3" x14ac:dyDescent="0.25">
      <c r="A6736" s="1" t="s">
        <v>13469</v>
      </c>
      <c r="B6736" s="1" t="s">
        <v>13470</v>
      </c>
      <c r="C6736" s="1" t="s">
        <v>5</v>
      </c>
    </row>
    <row r="6737" spans="1:3" x14ac:dyDescent="0.25">
      <c r="A6737" s="1" t="s">
        <v>13471</v>
      </c>
      <c r="B6737" s="1" t="s">
        <v>13472</v>
      </c>
      <c r="C6737" s="1" t="s">
        <v>5</v>
      </c>
    </row>
    <row r="6738" spans="1:3" x14ac:dyDescent="0.25">
      <c r="A6738" s="1" t="s">
        <v>13473</v>
      </c>
      <c r="B6738" s="1" t="s">
        <v>13474</v>
      </c>
      <c r="C6738" s="1" t="s">
        <v>5</v>
      </c>
    </row>
    <row r="6739" spans="1:3" x14ac:dyDescent="0.25">
      <c r="A6739" s="1" t="s">
        <v>13475</v>
      </c>
      <c r="B6739" s="1" t="s">
        <v>13476</v>
      </c>
      <c r="C6739" s="1" t="s">
        <v>5</v>
      </c>
    </row>
    <row r="6740" spans="1:3" x14ac:dyDescent="0.25">
      <c r="A6740" s="1" t="s">
        <v>13477</v>
      </c>
      <c r="B6740" s="1" t="s">
        <v>13478</v>
      </c>
      <c r="C6740" s="1" t="s">
        <v>5</v>
      </c>
    </row>
    <row r="6741" spans="1:3" x14ac:dyDescent="0.25">
      <c r="A6741" s="1" t="s">
        <v>13479</v>
      </c>
      <c r="B6741" s="1" t="s">
        <v>13480</v>
      </c>
      <c r="C6741" s="1" t="s">
        <v>5</v>
      </c>
    </row>
    <row r="6742" spans="1:3" x14ac:dyDescent="0.25">
      <c r="A6742" s="1" t="s">
        <v>13481</v>
      </c>
      <c r="B6742" s="1" t="s">
        <v>13482</v>
      </c>
      <c r="C6742" s="1" t="s">
        <v>5</v>
      </c>
    </row>
    <row r="6743" spans="1:3" x14ac:dyDescent="0.25">
      <c r="A6743" s="1" t="s">
        <v>13483</v>
      </c>
      <c r="B6743" s="1" t="s">
        <v>13484</v>
      </c>
      <c r="C6743" s="1" t="s">
        <v>5</v>
      </c>
    </row>
    <row r="6744" spans="1:3" x14ac:dyDescent="0.25">
      <c r="A6744" s="1" t="s">
        <v>13485</v>
      </c>
      <c r="B6744" s="1" t="s">
        <v>13486</v>
      </c>
      <c r="C6744" s="1" t="s">
        <v>5</v>
      </c>
    </row>
    <row r="6745" spans="1:3" x14ac:dyDescent="0.25">
      <c r="A6745" s="1" t="s">
        <v>13487</v>
      </c>
      <c r="B6745" s="1" t="s">
        <v>13488</v>
      </c>
      <c r="C6745" s="1" t="s">
        <v>5</v>
      </c>
    </row>
    <row r="6746" spans="1:3" x14ac:dyDescent="0.25">
      <c r="A6746" s="1" t="s">
        <v>13489</v>
      </c>
      <c r="B6746" s="1" t="s">
        <v>13490</v>
      </c>
      <c r="C6746" s="1" t="s">
        <v>5</v>
      </c>
    </row>
    <row r="6747" spans="1:3" x14ac:dyDescent="0.25">
      <c r="A6747" s="1" t="s">
        <v>13491</v>
      </c>
      <c r="B6747" s="1" t="s">
        <v>13492</v>
      </c>
      <c r="C6747" s="1" t="s">
        <v>5</v>
      </c>
    </row>
    <row r="6748" spans="1:3" x14ac:dyDescent="0.25">
      <c r="A6748" s="1" t="s">
        <v>13493</v>
      </c>
      <c r="B6748" s="1" t="s">
        <v>13494</v>
      </c>
      <c r="C6748" s="1" t="s">
        <v>5</v>
      </c>
    </row>
    <row r="6749" spans="1:3" x14ac:dyDescent="0.25">
      <c r="A6749" s="1" t="s">
        <v>13495</v>
      </c>
      <c r="B6749" s="1" t="s">
        <v>13496</v>
      </c>
      <c r="C6749" s="1" t="s">
        <v>5</v>
      </c>
    </row>
    <row r="6750" spans="1:3" x14ac:dyDescent="0.25">
      <c r="A6750" s="1" t="s">
        <v>13497</v>
      </c>
      <c r="B6750" s="1" t="s">
        <v>13498</v>
      </c>
      <c r="C6750" s="1" t="s">
        <v>5</v>
      </c>
    </row>
    <row r="6751" spans="1:3" x14ac:dyDescent="0.25">
      <c r="A6751" s="1" t="s">
        <v>13499</v>
      </c>
      <c r="B6751" s="1" t="s">
        <v>13500</v>
      </c>
      <c r="C6751" s="1" t="s">
        <v>5</v>
      </c>
    </row>
    <row r="6752" spans="1:3" x14ac:dyDescent="0.25">
      <c r="A6752" s="1" t="s">
        <v>13501</v>
      </c>
      <c r="B6752" s="1" t="s">
        <v>13502</v>
      </c>
      <c r="C6752" s="1" t="s">
        <v>5</v>
      </c>
    </row>
    <row r="6753" spans="1:3" x14ac:dyDescent="0.25">
      <c r="A6753" s="1" t="s">
        <v>13503</v>
      </c>
      <c r="B6753" s="1" t="s">
        <v>13504</v>
      </c>
      <c r="C6753" s="1" t="s">
        <v>5</v>
      </c>
    </row>
    <row r="6754" spans="1:3" x14ac:dyDescent="0.25">
      <c r="A6754" s="1" t="s">
        <v>13505</v>
      </c>
      <c r="B6754" s="1" t="s">
        <v>13506</v>
      </c>
      <c r="C6754" s="1" t="s">
        <v>5</v>
      </c>
    </row>
    <row r="6755" spans="1:3" x14ac:dyDescent="0.25">
      <c r="A6755" s="1" t="s">
        <v>13507</v>
      </c>
      <c r="B6755" s="1" t="s">
        <v>13508</v>
      </c>
      <c r="C6755" s="1" t="s">
        <v>5</v>
      </c>
    </row>
    <row r="6756" spans="1:3" x14ac:dyDescent="0.25">
      <c r="A6756" s="1" t="s">
        <v>13509</v>
      </c>
      <c r="B6756" s="1" t="s">
        <v>13510</v>
      </c>
      <c r="C6756" s="1" t="s">
        <v>5</v>
      </c>
    </row>
    <row r="6757" spans="1:3" x14ac:dyDescent="0.25">
      <c r="A6757" s="1" t="s">
        <v>13511</v>
      </c>
      <c r="B6757" s="1" t="s">
        <v>13512</v>
      </c>
      <c r="C6757" s="1" t="s">
        <v>5</v>
      </c>
    </row>
    <row r="6758" spans="1:3" x14ac:dyDescent="0.25">
      <c r="A6758" s="1" t="s">
        <v>13513</v>
      </c>
      <c r="B6758" s="1" t="s">
        <v>13514</v>
      </c>
      <c r="C6758" s="1" t="s">
        <v>5</v>
      </c>
    </row>
    <row r="6759" spans="1:3" x14ac:dyDescent="0.25">
      <c r="A6759" s="1" t="s">
        <v>13515</v>
      </c>
      <c r="B6759" s="1" t="s">
        <v>13516</v>
      </c>
      <c r="C6759" s="1" t="s">
        <v>5</v>
      </c>
    </row>
    <row r="6760" spans="1:3" x14ac:dyDescent="0.25">
      <c r="A6760" s="1" t="s">
        <v>13517</v>
      </c>
      <c r="B6760" s="1" t="s">
        <v>13518</v>
      </c>
      <c r="C6760" s="1" t="s">
        <v>5</v>
      </c>
    </row>
    <row r="6761" spans="1:3" x14ac:dyDescent="0.25">
      <c r="A6761" s="1" t="s">
        <v>13519</v>
      </c>
      <c r="B6761" s="1" t="s">
        <v>13520</v>
      </c>
      <c r="C6761" s="1" t="s">
        <v>5</v>
      </c>
    </row>
    <row r="6762" spans="1:3" x14ac:dyDescent="0.25">
      <c r="A6762" s="1" t="s">
        <v>13521</v>
      </c>
      <c r="B6762" s="1" t="s">
        <v>13522</v>
      </c>
      <c r="C6762" s="1" t="s">
        <v>5</v>
      </c>
    </row>
    <row r="6763" spans="1:3" x14ac:dyDescent="0.25">
      <c r="A6763" s="1" t="s">
        <v>13523</v>
      </c>
      <c r="B6763" s="1" t="s">
        <v>13524</v>
      </c>
      <c r="C6763" s="1" t="s">
        <v>5</v>
      </c>
    </row>
    <row r="6764" spans="1:3" x14ac:dyDescent="0.25">
      <c r="A6764" s="1" t="s">
        <v>13525</v>
      </c>
      <c r="B6764" s="1" t="s">
        <v>13526</v>
      </c>
      <c r="C6764" s="1" t="s">
        <v>5</v>
      </c>
    </row>
    <row r="6765" spans="1:3" x14ac:dyDescent="0.25">
      <c r="A6765" s="1" t="s">
        <v>13527</v>
      </c>
      <c r="B6765" s="1" t="s">
        <v>13528</v>
      </c>
      <c r="C6765" s="1" t="s">
        <v>5</v>
      </c>
    </row>
    <row r="6766" spans="1:3" x14ac:dyDescent="0.25">
      <c r="A6766" s="1" t="s">
        <v>13529</v>
      </c>
      <c r="B6766" s="1" t="s">
        <v>13530</v>
      </c>
      <c r="C6766" s="1" t="s">
        <v>5</v>
      </c>
    </row>
    <row r="6767" spans="1:3" x14ac:dyDescent="0.25">
      <c r="A6767" s="1" t="s">
        <v>13531</v>
      </c>
      <c r="B6767" s="1" t="s">
        <v>13532</v>
      </c>
      <c r="C6767" s="1" t="s">
        <v>5</v>
      </c>
    </row>
    <row r="6768" spans="1:3" x14ac:dyDescent="0.25">
      <c r="A6768" s="1" t="s">
        <v>13533</v>
      </c>
      <c r="B6768" s="1" t="s">
        <v>13534</v>
      </c>
      <c r="C6768" s="1" t="s">
        <v>5</v>
      </c>
    </row>
    <row r="6769" spans="1:3" x14ac:dyDescent="0.25">
      <c r="A6769" s="1" t="s">
        <v>13535</v>
      </c>
      <c r="B6769" s="1" t="s">
        <v>13536</v>
      </c>
      <c r="C6769" s="1" t="s">
        <v>5</v>
      </c>
    </row>
    <row r="6770" spans="1:3" x14ac:dyDescent="0.25">
      <c r="A6770" s="1" t="s">
        <v>13537</v>
      </c>
      <c r="B6770" s="1" t="s">
        <v>13538</v>
      </c>
      <c r="C6770" s="1" t="s">
        <v>5</v>
      </c>
    </row>
    <row r="6771" spans="1:3" x14ac:dyDescent="0.25">
      <c r="A6771" s="1" t="s">
        <v>13539</v>
      </c>
      <c r="B6771" s="1" t="s">
        <v>13540</v>
      </c>
      <c r="C6771" s="1" t="s">
        <v>5</v>
      </c>
    </row>
    <row r="6772" spans="1:3" x14ac:dyDescent="0.25">
      <c r="A6772" s="1" t="s">
        <v>13541</v>
      </c>
      <c r="B6772" s="1" t="s">
        <v>13542</v>
      </c>
      <c r="C6772" s="1" t="s">
        <v>5</v>
      </c>
    </row>
    <row r="6773" spans="1:3" x14ac:dyDescent="0.25">
      <c r="A6773" s="1" t="s">
        <v>13543</v>
      </c>
      <c r="B6773" s="1" t="s">
        <v>13544</v>
      </c>
      <c r="C6773" s="1" t="s">
        <v>5</v>
      </c>
    </row>
    <row r="6774" spans="1:3" x14ac:dyDescent="0.25">
      <c r="A6774" s="1" t="s">
        <v>13545</v>
      </c>
      <c r="B6774" s="1" t="s">
        <v>13546</v>
      </c>
      <c r="C6774" s="1" t="s">
        <v>5</v>
      </c>
    </row>
    <row r="6775" spans="1:3" x14ac:dyDescent="0.25">
      <c r="A6775" s="1" t="s">
        <v>13547</v>
      </c>
      <c r="B6775" s="1" t="s">
        <v>13548</v>
      </c>
      <c r="C6775" s="1" t="s">
        <v>5</v>
      </c>
    </row>
    <row r="6776" spans="1:3" x14ac:dyDescent="0.25">
      <c r="A6776" s="1" t="s">
        <v>13549</v>
      </c>
      <c r="B6776" s="1" t="s">
        <v>13550</v>
      </c>
      <c r="C6776" s="1" t="s">
        <v>5</v>
      </c>
    </row>
    <row r="6777" spans="1:3" x14ac:dyDescent="0.25">
      <c r="A6777" s="1" t="s">
        <v>13551</v>
      </c>
      <c r="B6777" s="1" t="s">
        <v>13552</v>
      </c>
      <c r="C6777" s="1" t="s">
        <v>5</v>
      </c>
    </row>
    <row r="6778" spans="1:3" x14ac:dyDescent="0.25">
      <c r="A6778" s="1" t="s">
        <v>13553</v>
      </c>
      <c r="B6778" s="1" t="s">
        <v>13554</v>
      </c>
      <c r="C6778" s="1" t="s">
        <v>5</v>
      </c>
    </row>
    <row r="6779" spans="1:3" x14ac:dyDescent="0.25">
      <c r="A6779" s="1" t="s">
        <v>13555</v>
      </c>
      <c r="B6779" s="1" t="s">
        <v>13556</v>
      </c>
      <c r="C6779" s="1" t="s">
        <v>5</v>
      </c>
    </row>
    <row r="6780" spans="1:3" x14ac:dyDescent="0.25">
      <c r="A6780" s="1" t="s">
        <v>13557</v>
      </c>
      <c r="B6780" s="1" t="s">
        <v>13558</v>
      </c>
      <c r="C6780" s="1" t="s">
        <v>5</v>
      </c>
    </row>
    <row r="6781" spans="1:3" x14ac:dyDescent="0.25">
      <c r="A6781" s="1" t="s">
        <v>13559</v>
      </c>
      <c r="B6781" s="1" t="s">
        <v>13560</v>
      </c>
      <c r="C6781" s="1" t="s">
        <v>5</v>
      </c>
    </row>
    <row r="6782" spans="1:3" x14ac:dyDescent="0.25">
      <c r="A6782" s="1" t="s">
        <v>13561</v>
      </c>
      <c r="B6782" s="1" t="s">
        <v>13562</v>
      </c>
      <c r="C6782" s="1" t="s">
        <v>5</v>
      </c>
    </row>
    <row r="6783" spans="1:3" x14ac:dyDescent="0.25">
      <c r="A6783" s="1" t="s">
        <v>13563</v>
      </c>
      <c r="B6783" s="1" t="s">
        <v>13564</v>
      </c>
      <c r="C6783" s="1" t="s">
        <v>5</v>
      </c>
    </row>
    <row r="6784" spans="1:3" x14ac:dyDescent="0.25">
      <c r="A6784" s="1" t="s">
        <v>13565</v>
      </c>
      <c r="B6784" s="1" t="s">
        <v>13566</v>
      </c>
      <c r="C6784" s="1" t="s">
        <v>5</v>
      </c>
    </row>
    <row r="6785" spans="1:3" x14ac:dyDescent="0.25">
      <c r="A6785" s="1" t="s">
        <v>13567</v>
      </c>
      <c r="B6785" s="1" t="s">
        <v>13568</v>
      </c>
      <c r="C6785" s="1" t="s">
        <v>5</v>
      </c>
    </row>
    <row r="6786" spans="1:3" x14ac:dyDescent="0.25">
      <c r="A6786" s="1" t="s">
        <v>13569</v>
      </c>
      <c r="B6786" s="1" t="s">
        <v>13570</v>
      </c>
      <c r="C6786" s="1" t="s">
        <v>5</v>
      </c>
    </row>
    <row r="6787" spans="1:3" x14ac:dyDescent="0.25">
      <c r="A6787" s="1" t="s">
        <v>13571</v>
      </c>
      <c r="B6787" s="1" t="s">
        <v>13572</v>
      </c>
      <c r="C6787" s="1" t="s">
        <v>5</v>
      </c>
    </row>
    <row r="6788" spans="1:3" x14ac:dyDescent="0.25">
      <c r="A6788" s="1" t="s">
        <v>13573</v>
      </c>
      <c r="B6788" s="1" t="s">
        <v>13574</v>
      </c>
      <c r="C6788" s="1" t="s">
        <v>5</v>
      </c>
    </row>
    <row r="6789" spans="1:3" x14ac:dyDescent="0.25">
      <c r="A6789" s="1" t="s">
        <v>13575</v>
      </c>
      <c r="B6789" s="1" t="s">
        <v>13576</v>
      </c>
      <c r="C6789" s="1" t="s">
        <v>5</v>
      </c>
    </row>
    <row r="6790" spans="1:3" x14ac:dyDescent="0.25">
      <c r="A6790" s="1" t="s">
        <v>13577</v>
      </c>
      <c r="B6790" s="1" t="s">
        <v>13578</v>
      </c>
      <c r="C6790" s="1" t="s">
        <v>5</v>
      </c>
    </row>
    <row r="6791" spans="1:3" x14ac:dyDescent="0.25">
      <c r="A6791" s="1" t="s">
        <v>13579</v>
      </c>
      <c r="B6791" s="1" t="s">
        <v>13580</v>
      </c>
      <c r="C6791" s="1" t="s">
        <v>5</v>
      </c>
    </row>
    <row r="6792" spans="1:3" x14ac:dyDescent="0.25">
      <c r="A6792" s="1" t="s">
        <v>13581</v>
      </c>
      <c r="B6792" s="1" t="s">
        <v>13582</v>
      </c>
      <c r="C6792" s="1" t="s">
        <v>5</v>
      </c>
    </row>
    <row r="6793" spans="1:3" x14ac:dyDescent="0.25">
      <c r="A6793" s="1" t="s">
        <v>13583</v>
      </c>
      <c r="B6793" s="1" t="s">
        <v>13584</v>
      </c>
      <c r="C6793" s="1" t="s">
        <v>5</v>
      </c>
    </row>
    <row r="6794" spans="1:3" x14ac:dyDescent="0.25">
      <c r="A6794" s="1" t="s">
        <v>13585</v>
      </c>
      <c r="B6794" s="1" t="s">
        <v>13586</v>
      </c>
      <c r="C6794" s="1" t="s">
        <v>5</v>
      </c>
    </row>
    <row r="6795" spans="1:3" x14ac:dyDescent="0.25">
      <c r="A6795" s="1" t="s">
        <v>13587</v>
      </c>
      <c r="B6795" s="1" t="s">
        <v>13588</v>
      </c>
      <c r="C6795" s="1" t="s">
        <v>5</v>
      </c>
    </row>
    <row r="6796" spans="1:3" x14ac:dyDescent="0.25">
      <c r="A6796" s="1" t="s">
        <v>13589</v>
      </c>
      <c r="B6796" s="1" t="s">
        <v>13590</v>
      </c>
      <c r="C6796" s="1" t="s">
        <v>5</v>
      </c>
    </row>
    <row r="6797" spans="1:3" x14ac:dyDescent="0.25">
      <c r="A6797" s="1" t="s">
        <v>13591</v>
      </c>
      <c r="B6797" s="1" t="s">
        <v>13592</v>
      </c>
      <c r="C6797" s="1" t="s">
        <v>5</v>
      </c>
    </row>
    <row r="6798" spans="1:3" x14ac:dyDescent="0.25">
      <c r="A6798" s="1" t="s">
        <v>13593</v>
      </c>
      <c r="B6798" s="1" t="s">
        <v>13594</v>
      </c>
      <c r="C6798" s="1" t="s">
        <v>5</v>
      </c>
    </row>
    <row r="6799" spans="1:3" x14ac:dyDescent="0.25">
      <c r="A6799" s="1" t="s">
        <v>13595</v>
      </c>
      <c r="B6799" s="1" t="s">
        <v>13596</v>
      </c>
      <c r="C6799" s="1" t="s">
        <v>5</v>
      </c>
    </row>
    <row r="6800" spans="1:3" x14ac:dyDescent="0.25">
      <c r="A6800" s="1" t="s">
        <v>13597</v>
      </c>
      <c r="B6800" s="1" t="s">
        <v>13598</v>
      </c>
      <c r="C6800" s="1" t="s">
        <v>5</v>
      </c>
    </row>
    <row r="6801" spans="1:3" x14ac:dyDescent="0.25">
      <c r="A6801" s="1" t="s">
        <v>13599</v>
      </c>
      <c r="B6801" s="1" t="s">
        <v>13600</v>
      </c>
      <c r="C6801" s="1" t="s">
        <v>5</v>
      </c>
    </row>
    <row r="6802" spans="1:3" x14ac:dyDescent="0.25">
      <c r="A6802" s="1" t="s">
        <v>13601</v>
      </c>
      <c r="B6802" s="1" t="s">
        <v>13602</v>
      </c>
      <c r="C6802" s="1" t="s">
        <v>5</v>
      </c>
    </row>
    <row r="6803" spans="1:3" x14ac:dyDescent="0.25">
      <c r="A6803" s="1" t="s">
        <v>13603</v>
      </c>
      <c r="B6803" s="1" t="s">
        <v>13604</v>
      </c>
      <c r="C6803" s="1" t="s">
        <v>5</v>
      </c>
    </row>
    <row r="6804" spans="1:3" x14ac:dyDescent="0.25">
      <c r="A6804" s="1" t="s">
        <v>13605</v>
      </c>
      <c r="B6804" s="1" t="s">
        <v>13606</v>
      </c>
      <c r="C6804" s="1" t="s">
        <v>5</v>
      </c>
    </row>
    <row r="6805" spans="1:3" x14ac:dyDescent="0.25">
      <c r="A6805" s="1" t="s">
        <v>13607</v>
      </c>
      <c r="B6805" s="1" t="s">
        <v>13608</v>
      </c>
      <c r="C6805" s="1" t="s">
        <v>5</v>
      </c>
    </row>
    <row r="6806" spans="1:3" x14ac:dyDescent="0.25">
      <c r="A6806" s="1" t="s">
        <v>13609</v>
      </c>
      <c r="B6806" s="1" t="s">
        <v>13610</v>
      </c>
      <c r="C6806" s="1" t="s">
        <v>5</v>
      </c>
    </row>
    <row r="6807" spans="1:3" x14ac:dyDescent="0.25">
      <c r="A6807" s="1" t="s">
        <v>13611</v>
      </c>
      <c r="B6807" s="1" t="s">
        <v>13612</v>
      </c>
      <c r="C6807" s="1" t="s">
        <v>5</v>
      </c>
    </row>
    <row r="6808" spans="1:3" x14ac:dyDescent="0.25">
      <c r="A6808" s="1" t="s">
        <v>13613</v>
      </c>
      <c r="B6808" s="1" t="s">
        <v>13614</v>
      </c>
      <c r="C6808" s="1" t="s">
        <v>5</v>
      </c>
    </row>
    <row r="6809" spans="1:3" x14ac:dyDescent="0.25">
      <c r="A6809" s="1" t="s">
        <v>13615</v>
      </c>
      <c r="B6809" s="1" t="s">
        <v>13616</v>
      </c>
      <c r="C6809" s="1" t="s">
        <v>5</v>
      </c>
    </row>
    <row r="6810" spans="1:3" x14ac:dyDescent="0.25">
      <c r="A6810" s="1" t="s">
        <v>13617</v>
      </c>
      <c r="B6810" s="1" t="s">
        <v>13618</v>
      </c>
      <c r="C6810" s="1" t="s">
        <v>5</v>
      </c>
    </row>
    <row r="6811" spans="1:3" x14ac:dyDescent="0.25">
      <c r="A6811" s="1" t="s">
        <v>13619</v>
      </c>
      <c r="B6811" s="1" t="s">
        <v>13620</v>
      </c>
      <c r="C6811" s="1" t="s">
        <v>5</v>
      </c>
    </row>
    <row r="6812" spans="1:3" x14ac:dyDescent="0.25">
      <c r="A6812" s="1" t="s">
        <v>13621</v>
      </c>
      <c r="B6812" s="1" t="s">
        <v>13622</v>
      </c>
      <c r="C6812" s="1" t="s">
        <v>5</v>
      </c>
    </row>
    <row r="6813" spans="1:3" x14ac:dyDescent="0.25">
      <c r="A6813" s="1" t="s">
        <v>13623</v>
      </c>
      <c r="B6813" s="1" t="s">
        <v>13624</v>
      </c>
      <c r="C6813" s="1" t="s">
        <v>5</v>
      </c>
    </row>
    <row r="6814" spans="1:3" x14ac:dyDescent="0.25">
      <c r="A6814" s="1" t="s">
        <v>13625</v>
      </c>
      <c r="B6814" s="1" t="s">
        <v>13626</v>
      </c>
      <c r="C6814" s="1" t="s">
        <v>5</v>
      </c>
    </row>
    <row r="6815" spans="1:3" x14ac:dyDescent="0.25">
      <c r="A6815" s="1" t="s">
        <v>13627</v>
      </c>
      <c r="B6815" s="1" t="s">
        <v>13628</v>
      </c>
      <c r="C6815" s="1" t="s">
        <v>5</v>
      </c>
    </row>
    <row r="6816" spans="1:3" x14ac:dyDescent="0.25">
      <c r="A6816" s="1" t="s">
        <v>13629</v>
      </c>
      <c r="B6816" s="1" t="s">
        <v>13630</v>
      </c>
      <c r="C6816" s="1" t="s">
        <v>5</v>
      </c>
    </row>
    <row r="6817" spans="1:3" x14ac:dyDescent="0.25">
      <c r="A6817" s="1" t="s">
        <v>13631</v>
      </c>
      <c r="B6817" s="1" t="s">
        <v>13632</v>
      </c>
      <c r="C6817" s="1" t="s">
        <v>5</v>
      </c>
    </row>
    <row r="6818" spans="1:3" x14ac:dyDescent="0.25">
      <c r="A6818" s="1" t="s">
        <v>13633</v>
      </c>
      <c r="B6818" s="1" t="s">
        <v>13634</v>
      </c>
      <c r="C6818" s="1" t="s">
        <v>5</v>
      </c>
    </row>
    <row r="6819" spans="1:3" x14ac:dyDescent="0.25">
      <c r="A6819" s="1" t="s">
        <v>13635</v>
      </c>
      <c r="B6819" s="1" t="s">
        <v>13636</v>
      </c>
      <c r="C6819" s="1" t="s">
        <v>5</v>
      </c>
    </row>
    <row r="6820" spans="1:3" x14ac:dyDescent="0.25">
      <c r="A6820" s="1" t="s">
        <v>13637</v>
      </c>
      <c r="B6820" s="1" t="s">
        <v>13638</v>
      </c>
      <c r="C6820" s="1" t="s">
        <v>5</v>
      </c>
    </row>
    <row r="6821" spans="1:3" x14ac:dyDescent="0.25">
      <c r="A6821" s="1" t="s">
        <v>13639</v>
      </c>
      <c r="B6821" s="1" t="s">
        <v>13640</v>
      </c>
      <c r="C6821" s="1" t="s">
        <v>5</v>
      </c>
    </row>
    <row r="6822" spans="1:3" x14ac:dyDescent="0.25">
      <c r="A6822" s="1" t="s">
        <v>13641</v>
      </c>
      <c r="B6822" s="1" t="s">
        <v>13642</v>
      </c>
      <c r="C6822" s="1" t="s">
        <v>5</v>
      </c>
    </row>
    <row r="6823" spans="1:3" x14ac:dyDescent="0.25">
      <c r="A6823" s="1" t="s">
        <v>13643</v>
      </c>
      <c r="B6823" s="1" t="s">
        <v>13644</v>
      </c>
      <c r="C6823" s="1" t="s">
        <v>5</v>
      </c>
    </row>
    <row r="6824" spans="1:3" x14ac:dyDescent="0.25">
      <c r="A6824" s="1" t="s">
        <v>13645</v>
      </c>
      <c r="B6824" s="1" t="s">
        <v>13646</v>
      </c>
      <c r="C6824" s="1" t="s">
        <v>5</v>
      </c>
    </row>
    <row r="6825" spans="1:3" x14ac:dyDescent="0.25">
      <c r="A6825" s="1" t="s">
        <v>13647</v>
      </c>
      <c r="B6825" s="1" t="s">
        <v>13648</v>
      </c>
      <c r="C6825" s="1" t="s">
        <v>5</v>
      </c>
    </row>
    <row r="6826" spans="1:3" x14ac:dyDescent="0.25">
      <c r="A6826" s="1" t="s">
        <v>13649</v>
      </c>
      <c r="B6826" s="1" t="s">
        <v>13650</v>
      </c>
      <c r="C6826" s="1" t="s">
        <v>5</v>
      </c>
    </row>
    <row r="6827" spans="1:3" x14ac:dyDescent="0.25">
      <c r="A6827" s="1" t="s">
        <v>13651</v>
      </c>
      <c r="B6827" s="1" t="s">
        <v>13652</v>
      </c>
      <c r="C6827" s="1" t="s">
        <v>5</v>
      </c>
    </row>
    <row r="6828" spans="1:3" x14ac:dyDescent="0.25">
      <c r="A6828" s="1" t="s">
        <v>13653</v>
      </c>
      <c r="B6828" s="1" t="s">
        <v>13654</v>
      </c>
      <c r="C6828" s="1" t="s">
        <v>5</v>
      </c>
    </row>
    <row r="6829" spans="1:3" x14ac:dyDescent="0.25">
      <c r="A6829" s="1" t="s">
        <v>13655</v>
      </c>
      <c r="B6829" s="1" t="s">
        <v>13656</v>
      </c>
      <c r="C6829" s="1" t="s">
        <v>5</v>
      </c>
    </row>
    <row r="6830" spans="1:3" x14ac:dyDescent="0.25">
      <c r="A6830" s="1" t="s">
        <v>13657</v>
      </c>
      <c r="B6830" s="1" t="s">
        <v>13658</v>
      </c>
      <c r="C6830" s="1" t="s">
        <v>5</v>
      </c>
    </row>
    <row r="6831" spans="1:3" x14ac:dyDescent="0.25">
      <c r="A6831" s="1" t="s">
        <v>13659</v>
      </c>
      <c r="B6831" s="1" t="s">
        <v>13660</v>
      </c>
      <c r="C6831" s="1" t="s">
        <v>5</v>
      </c>
    </row>
    <row r="6832" spans="1:3" x14ac:dyDescent="0.25">
      <c r="A6832" s="1" t="s">
        <v>13661</v>
      </c>
      <c r="B6832" s="1" t="s">
        <v>13662</v>
      </c>
      <c r="C6832" s="1" t="s">
        <v>5</v>
      </c>
    </row>
    <row r="6833" spans="1:3" x14ac:dyDescent="0.25">
      <c r="A6833" s="1" t="s">
        <v>13663</v>
      </c>
      <c r="B6833" s="1" t="s">
        <v>13664</v>
      </c>
      <c r="C6833" s="1" t="s">
        <v>5</v>
      </c>
    </row>
    <row r="6834" spans="1:3" x14ac:dyDescent="0.25">
      <c r="A6834" s="1" t="s">
        <v>13665</v>
      </c>
      <c r="B6834" s="1" t="s">
        <v>13666</v>
      </c>
      <c r="C6834" s="1" t="s">
        <v>5</v>
      </c>
    </row>
    <row r="6835" spans="1:3" x14ac:dyDescent="0.25">
      <c r="A6835" s="1" t="s">
        <v>13667</v>
      </c>
      <c r="B6835" s="1" t="s">
        <v>13668</v>
      </c>
      <c r="C6835" s="1" t="s">
        <v>5</v>
      </c>
    </row>
    <row r="6836" spans="1:3" x14ac:dyDescent="0.25">
      <c r="A6836" s="1" t="s">
        <v>13669</v>
      </c>
      <c r="B6836" s="1" t="s">
        <v>13670</v>
      </c>
      <c r="C6836" s="1" t="s">
        <v>5</v>
      </c>
    </row>
    <row r="6837" spans="1:3" x14ac:dyDescent="0.25">
      <c r="A6837" s="1" t="s">
        <v>13671</v>
      </c>
      <c r="B6837" s="1" t="s">
        <v>13672</v>
      </c>
      <c r="C6837" s="1" t="s">
        <v>5</v>
      </c>
    </row>
    <row r="6838" spans="1:3" x14ac:dyDescent="0.25">
      <c r="A6838" s="1" t="s">
        <v>13673</v>
      </c>
      <c r="B6838" s="1" t="s">
        <v>13674</v>
      </c>
      <c r="C6838" s="1" t="s">
        <v>5</v>
      </c>
    </row>
    <row r="6839" spans="1:3" x14ac:dyDescent="0.25">
      <c r="A6839" s="1" t="s">
        <v>13675</v>
      </c>
      <c r="B6839" s="1" t="s">
        <v>13676</v>
      </c>
      <c r="C6839" s="1" t="s">
        <v>5</v>
      </c>
    </row>
    <row r="6840" spans="1:3" x14ac:dyDescent="0.25">
      <c r="A6840" s="1" t="s">
        <v>13677</v>
      </c>
      <c r="B6840" s="1" t="s">
        <v>13678</v>
      </c>
      <c r="C6840" s="1" t="s">
        <v>5</v>
      </c>
    </row>
    <row r="6841" spans="1:3" x14ac:dyDescent="0.25">
      <c r="A6841" s="1" t="s">
        <v>13679</v>
      </c>
      <c r="B6841" s="1" t="s">
        <v>13680</v>
      </c>
      <c r="C6841" s="1" t="s">
        <v>5</v>
      </c>
    </row>
    <row r="6842" spans="1:3" x14ac:dyDescent="0.25">
      <c r="A6842" s="1" t="s">
        <v>13681</v>
      </c>
      <c r="B6842" s="1" t="s">
        <v>13682</v>
      </c>
      <c r="C6842" s="1" t="s">
        <v>5</v>
      </c>
    </row>
    <row r="6843" spans="1:3" x14ac:dyDescent="0.25">
      <c r="A6843" s="1" t="s">
        <v>13683</v>
      </c>
      <c r="B6843" s="1" t="s">
        <v>13684</v>
      </c>
      <c r="C6843" s="1" t="s">
        <v>5</v>
      </c>
    </row>
    <row r="6844" spans="1:3" x14ac:dyDescent="0.25">
      <c r="A6844" s="1" t="s">
        <v>13685</v>
      </c>
      <c r="B6844" s="1" t="s">
        <v>13686</v>
      </c>
      <c r="C6844" s="1" t="s">
        <v>5</v>
      </c>
    </row>
    <row r="6845" spans="1:3" x14ac:dyDescent="0.25">
      <c r="A6845" s="1" t="s">
        <v>13687</v>
      </c>
      <c r="B6845" s="1" t="s">
        <v>13688</v>
      </c>
      <c r="C6845" s="1" t="s">
        <v>5</v>
      </c>
    </row>
    <row r="6846" spans="1:3" x14ac:dyDescent="0.25">
      <c r="A6846" s="1" t="s">
        <v>13689</v>
      </c>
      <c r="B6846" s="1" t="s">
        <v>13690</v>
      </c>
      <c r="C6846" s="1" t="s">
        <v>5</v>
      </c>
    </row>
    <row r="6847" spans="1:3" x14ac:dyDescent="0.25">
      <c r="A6847" s="1" t="s">
        <v>13691</v>
      </c>
      <c r="B6847" s="1" t="s">
        <v>13692</v>
      </c>
      <c r="C6847" s="1" t="s">
        <v>5</v>
      </c>
    </row>
    <row r="6848" spans="1:3" x14ac:dyDescent="0.25">
      <c r="A6848" s="1" t="s">
        <v>13693</v>
      </c>
      <c r="B6848" s="1" t="s">
        <v>13694</v>
      </c>
      <c r="C6848" s="1" t="s">
        <v>5</v>
      </c>
    </row>
    <row r="6849" spans="1:3" x14ac:dyDescent="0.25">
      <c r="A6849" s="1" t="s">
        <v>13695</v>
      </c>
      <c r="B6849" s="1" t="s">
        <v>13696</v>
      </c>
      <c r="C6849" s="1" t="s">
        <v>5</v>
      </c>
    </row>
    <row r="6850" spans="1:3" x14ac:dyDescent="0.25">
      <c r="A6850" s="1" t="s">
        <v>13697</v>
      </c>
      <c r="B6850" s="1" t="s">
        <v>13698</v>
      </c>
      <c r="C6850" s="1" t="s">
        <v>5</v>
      </c>
    </row>
    <row r="6851" spans="1:3" x14ac:dyDescent="0.25">
      <c r="A6851" s="1" t="s">
        <v>13699</v>
      </c>
      <c r="B6851" s="1" t="s">
        <v>13700</v>
      </c>
      <c r="C6851" s="1" t="s">
        <v>5</v>
      </c>
    </row>
    <row r="6852" spans="1:3" x14ac:dyDescent="0.25">
      <c r="A6852" s="1" t="s">
        <v>13701</v>
      </c>
      <c r="B6852" s="1" t="s">
        <v>13702</v>
      </c>
      <c r="C6852" s="1" t="s">
        <v>5</v>
      </c>
    </row>
    <row r="6853" spans="1:3" x14ac:dyDescent="0.25">
      <c r="A6853" s="1" t="s">
        <v>13703</v>
      </c>
      <c r="B6853" s="1" t="s">
        <v>13704</v>
      </c>
      <c r="C6853" s="1" t="s">
        <v>5</v>
      </c>
    </row>
    <row r="6854" spans="1:3" x14ac:dyDescent="0.25">
      <c r="A6854" s="1" t="s">
        <v>13705</v>
      </c>
      <c r="B6854" s="1" t="s">
        <v>13706</v>
      </c>
      <c r="C6854" s="1" t="s">
        <v>5</v>
      </c>
    </row>
    <row r="6855" spans="1:3" x14ac:dyDescent="0.25">
      <c r="A6855" s="1" t="s">
        <v>13707</v>
      </c>
      <c r="B6855" s="1" t="s">
        <v>13708</v>
      </c>
      <c r="C6855" s="1" t="s">
        <v>5</v>
      </c>
    </row>
    <row r="6856" spans="1:3" x14ac:dyDescent="0.25">
      <c r="A6856" s="1" t="s">
        <v>13709</v>
      </c>
      <c r="B6856" s="1" t="s">
        <v>13710</v>
      </c>
      <c r="C6856" s="1" t="s">
        <v>5</v>
      </c>
    </row>
    <row r="6857" spans="1:3" x14ac:dyDescent="0.25">
      <c r="A6857" s="1" t="s">
        <v>13711</v>
      </c>
      <c r="B6857" s="1" t="s">
        <v>13712</v>
      </c>
      <c r="C6857" s="1" t="s">
        <v>5</v>
      </c>
    </row>
    <row r="6858" spans="1:3" x14ac:dyDescent="0.25">
      <c r="A6858" s="1" t="s">
        <v>13713</v>
      </c>
      <c r="B6858" s="1" t="s">
        <v>13714</v>
      </c>
      <c r="C6858" s="1" t="s">
        <v>5</v>
      </c>
    </row>
    <row r="6859" spans="1:3" x14ac:dyDescent="0.25">
      <c r="A6859" s="1" t="s">
        <v>13715</v>
      </c>
      <c r="B6859" s="1" t="s">
        <v>13716</v>
      </c>
      <c r="C6859" s="1" t="s">
        <v>5</v>
      </c>
    </row>
    <row r="6860" spans="1:3" x14ac:dyDescent="0.25">
      <c r="A6860" s="1" t="s">
        <v>13717</v>
      </c>
      <c r="B6860" s="1" t="s">
        <v>13718</v>
      </c>
      <c r="C6860" s="1" t="s">
        <v>5</v>
      </c>
    </row>
    <row r="6861" spans="1:3" x14ac:dyDescent="0.25">
      <c r="A6861" s="1" t="s">
        <v>13719</v>
      </c>
      <c r="B6861" s="1" t="s">
        <v>13720</v>
      </c>
      <c r="C6861" s="1" t="s">
        <v>5</v>
      </c>
    </row>
    <row r="6862" spans="1:3" x14ac:dyDescent="0.25">
      <c r="A6862" s="1" t="s">
        <v>13721</v>
      </c>
      <c r="B6862" s="1" t="s">
        <v>13722</v>
      </c>
      <c r="C6862" s="1" t="s">
        <v>5</v>
      </c>
    </row>
    <row r="6863" spans="1:3" x14ac:dyDescent="0.25">
      <c r="A6863" s="1" t="s">
        <v>13723</v>
      </c>
      <c r="B6863" s="1" t="s">
        <v>13724</v>
      </c>
      <c r="C6863" s="1" t="s">
        <v>5</v>
      </c>
    </row>
    <row r="6864" spans="1:3" x14ac:dyDescent="0.25">
      <c r="A6864" s="1" t="s">
        <v>13725</v>
      </c>
      <c r="B6864" s="1" t="s">
        <v>13726</v>
      </c>
      <c r="C6864" s="1" t="s">
        <v>5</v>
      </c>
    </row>
    <row r="6865" spans="1:3" x14ac:dyDescent="0.25">
      <c r="A6865" s="1" t="s">
        <v>13727</v>
      </c>
      <c r="B6865" s="1" t="s">
        <v>13728</v>
      </c>
      <c r="C6865" s="1" t="s">
        <v>5</v>
      </c>
    </row>
    <row r="6866" spans="1:3" x14ac:dyDescent="0.25">
      <c r="A6866" s="1" t="s">
        <v>13729</v>
      </c>
      <c r="B6866" s="1" t="s">
        <v>13730</v>
      </c>
      <c r="C6866" s="1" t="s">
        <v>5</v>
      </c>
    </row>
    <row r="6867" spans="1:3" x14ac:dyDescent="0.25">
      <c r="A6867" s="1" t="s">
        <v>13731</v>
      </c>
      <c r="B6867" s="1" t="s">
        <v>13732</v>
      </c>
      <c r="C6867" s="1" t="s">
        <v>5</v>
      </c>
    </row>
    <row r="6868" spans="1:3" x14ac:dyDescent="0.25">
      <c r="A6868" s="1" t="s">
        <v>13733</v>
      </c>
      <c r="B6868" s="1" t="s">
        <v>13734</v>
      </c>
      <c r="C6868" s="1" t="s">
        <v>5</v>
      </c>
    </row>
    <row r="6869" spans="1:3" x14ac:dyDescent="0.25">
      <c r="A6869" s="1" t="s">
        <v>13735</v>
      </c>
      <c r="B6869" s="1" t="s">
        <v>13736</v>
      </c>
      <c r="C6869" s="1" t="s">
        <v>5</v>
      </c>
    </row>
    <row r="6870" spans="1:3" x14ac:dyDescent="0.25">
      <c r="A6870" s="1" t="s">
        <v>13737</v>
      </c>
      <c r="B6870" s="1" t="s">
        <v>13738</v>
      </c>
      <c r="C6870" s="1" t="s">
        <v>5</v>
      </c>
    </row>
    <row r="6871" spans="1:3" x14ac:dyDescent="0.25">
      <c r="A6871" s="1" t="s">
        <v>13739</v>
      </c>
      <c r="B6871" s="1" t="s">
        <v>13740</v>
      </c>
      <c r="C6871" s="1" t="s">
        <v>5</v>
      </c>
    </row>
    <row r="6872" spans="1:3" x14ac:dyDescent="0.25">
      <c r="A6872" s="1" t="s">
        <v>13741</v>
      </c>
      <c r="B6872" s="1" t="s">
        <v>13742</v>
      </c>
      <c r="C6872" s="1" t="s">
        <v>5</v>
      </c>
    </row>
    <row r="6873" spans="1:3" x14ac:dyDescent="0.25">
      <c r="A6873" s="1" t="s">
        <v>13743</v>
      </c>
      <c r="B6873" s="1" t="s">
        <v>13744</v>
      </c>
      <c r="C6873" s="1" t="s">
        <v>5</v>
      </c>
    </row>
    <row r="6874" spans="1:3" x14ac:dyDescent="0.25">
      <c r="A6874" s="1" t="s">
        <v>13745</v>
      </c>
      <c r="B6874" s="1" t="s">
        <v>13746</v>
      </c>
      <c r="C6874" s="1" t="s">
        <v>5</v>
      </c>
    </row>
    <row r="6875" spans="1:3" x14ac:dyDescent="0.25">
      <c r="A6875" s="1" t="s">
        <v>13747</v>
      </c>
      <c r="B6875" s="1" t="s">
        <v>13748</v>
      </c>
      <c r="C6875" s="1" t="s">
        <v>5</v>
      </c>
    </row>
    <row r="6876" spans="1:3" x14ac:dyDescent="0.25">
      <c r="A6876" s="1" t="s">
        <v>13749</v>
      </c>
      <c r="B6876" s="1" t="s">
        <v>13750</v>
      </c>
      <c r="C6876" s="1" t="s">
        <v>5</v>
      </c>
    </row>
    <row r="6877" spans="1:3" x14ac:dyDescent="0.25">
      <c r="A6877" s="1" t="s">
        <v>13751</v>
      </c>
      <c r="B6877" s="1" t="s">
        <v>13752</v>
      </c>
      <c r="C6877" s="1" t="s">
        <v>5</v>
      </c>
    </row>
    <row r="6878" spans="1:3" x14ac:dyDescent="0.25">
      <c r="A6878" s="1" t="s">
        <v>13753</v>
      </c>
      <c r="B6878" s="1" t="s">
        <v>13754</v>
      </c>
      <c r="C6878" s="1" t="s">
        <v>5</v>
      </c>
    </row>
    <row r="6879" spans="1:3" x14ac:dyDescent="0.25">
      <c r="A6879" s="1" t="s">
        <v>13755</v>
      </c>
      <c r="B6879" s="1" t="s">
        <v>13756</v>
      </c>
      <c r="C6879" s="1" t="s">
        <v>5</v>
      </c>
    </row>
    <row r="6880" spans="1:3" x14ac:dyDescent="0.25">
      <c r="A6880" s="1" t="s">
        <v>13757</v>
      </c>
      <c r="B6880" s="1" t="s">
        <v>13758</v>
      </c>
      <c r="C6880" s="1" t="s">
        <v>5</v>
      </c>
    </row>
    <row r="6881" spans="1:3" x14ac:dyDescent="0.25">
      <c r="A6881" s="1" t="s">
        <v>13759</v>
      </c>
      <c r="B6881" s="1" t="s">
        <v>13760</v>
      </c>
      <c r="C6881" s="1" t="s">
        <v>5</v>
      </c>
    </row>
    <row r="6882" spans="1:3" x14ac:dyDescent="0.25">
      <c r="A6882" s="1" t="s">
        <v>13761</v>
      </c>
      <c r="B6882" s="1" t="s">
        <v>13762</v>
      </c>
      <c r="C6882" s="1" t="s">
        <v>5</v>
      </c>
    </row>
    <row r="6883" spans="1:3" x14ac:dyDescent="0.25">
      <c r="A6883" s="1" t="s">
        <v>13763</v>
      </c>
      <c r="B6883" s="1" t="s">
        <v>13764</v>
      </c>
      <c r="C6883" s="1" t="s">
        <v>5</v>
      </c>
    </row>
    <row r="6884" spans="1:3" x14ac:dyDescent="0.25">
      <c r="A6884" s="1" t="s">
        <v>13765</v>
      </c>
      <c r="B6884" s="1" t="s">
        <v>13766</v>
      </c>
      <c r="C6884" s="1" t="s">
        <v>5</v>
      </c>
    </row>
    <row r="6885" spans="1:3" x14ac:dyDescent="0.25">
      <c r="A6885" s="1" t="s">
        <v>13767</v>
      </c>
      <c r="B6885" s="1" t="s">
        <v>13768</v>
      </c>
      <c r="C6885" s="1" t="s">
        <v>5</v>
      </c>
    </row>
    <row r="6886" spans="1:3" x14ac:dyDescent="0.25">
      <c r="A6886" s="1" t="s">
        <v>13769</v>
      </c>
      <c r="B6886" s="1" t="s">
        <v>13770</v>
      </c>
      <c r="C6886" s="1" t="s">
        <v>5</v>
      </c>
    </row>
    <row r="6887" spans="1:3" x14ac:dyDescent="0.25">
      <c r="A6887" s="1" t="s">
        <v>13771</v>
      </c>
      <c r="B6887" s="1" t="s">
        <v>13772</v>
      </c>
      <c r="C6887" s="1" t="s">
        <v>5</v>
      </c>
    </row>
    <row r="6888" spans="1:3" x14ac:dyDescent="0.25">
      <c r="A6888" s="1" t="s">
        <v>13773</v>
      </c>
      <c r="B6888" s="1" t="s">
        <v>13774</v>
      </c>
      <c r="C6888" s="1" t="s">
        <v>5</v>
      </c>
    </row>
    <row r="6889" spans="1:3" x14ac:dyDescent="0.25">
      <c r="A6889" s="1" t="s">
        <v>13775</v>
      </c>
      <c r="B6889" s="1" t="s">
        <v>13776</v>
      </c>
      <c r="C6889" s="1" t="s">
        <v>5</v>
      </c>
    </row>
    <row r="6890" spans="1:3" x14ac:dyDescent="0.25">
      <c r="A6890" s="1" t="s">
        <v>13777</v>
      </c>
      <c r="B6890" s="1" t="s">
        <v>13778</v>
      </c>
      <c r="C6890" s="1" t="s">
        <v>5</v>
      </c>
    </row>
    <row r="6891" spans="1:3" x14ac:dyDescent="0.25">
      <c r="A6891" s="1" t="s">
        <v>13779</v>
      </c>
      <c r="B6891" s="1" t="s">
        <v>13780</v>
      </c>
      <c r="C6891" s="1" t="s">
        <v>5</v>
      </c>
    </row>
    <row r="6892" spans="1:3" x14ac:dyDescent="0.25">
      <c r="A6892" s="1" t="s">
        <v>13781</v>
      </c>
      <c r="B6892" s="1" t="s">
        <v>13782</v>
      </c>
      <c r="C6892" s="1" t="s">
        <v>5</v>
      </c>
    </row>
    <row r="6893" spans="1:3" x14ac:dyDescent="0.25">
      <c r="A6893" s="1" t="s">
        <v>13783</v>
      </c>
      <c r="B6893" s="1" t="s">
        <v>13784</v>
      </c>
      <c r="C6893" s="1" t="s">
        <v>5</v>
      </c>
    </row>
    <row r="6894" spans="1:3" x14ac:dyDescent="0.25">
      <c r="A6894" s="1" t="s">
        <v>13785</v>
      </c>
      <c r="B6894" s="1" t="s">
        <v>13786</v>
      </c>
      <c r="C6894" s="1" t="s">
        <v>5</v>
      </c>
    </row>
    <row r="6895" spans="1:3" x14ac:dyDescent="0.25">
      <c r="A6895" s="1" t="s">
        <v>13787</v>
      </c>
      <c r="B6895" s="1" t="s">
        <v>13788</v>
      </c>
      <c r="C6895" s="1" t="s">
        <v>5</v>
      </c>
    </row>
    <row r="6896" spans="1:3" x14ac:dyDescent="0.25">
      <c r="A6896" s="1" t="s">
        <v>13789</v>
      </c>
      <c r="B6896" s="1" t="s">
        <v>13790</v>
      </c>
      <c r="C6896" s="1" t="s">
        <v>5</v>
      </c>
    </row>
    <row r="6897" spans="1:3" x14ac:dyDescent="0.25">
      <c r="A6897" s="1" t="s">
        <v>13791</v>
      </c>
      <c r="B6897" s="1" t="s">
        <v>13792</v>
      </c>
      <c r="C6897" s="1" t="s">
        <v>5</v>
      </c>
    </row>
    <row r="6898" spans="1:3" x14ac:dyDescent="0.25">
      <c r="A6898" s="1" t="s">
        <v>13793</v>
      </c>
      <c r="B6898" s="1" t="s">
        <v>13794</v>
      </c>
      <c r="C6898" s="1" t="s">
        <v>5</v>
      </c>
    </row>
    <row r="6899" spans="1:3" x14ac:dyDescent="0.25">
      <c r="A6899" s="1" t="s">
        <v>13795</v>
      </c>
      <c r="B6899" s="1" t="s">
        <v>13796</v>
      </c>
      <c r="C6899" s="1" t="s">
        <v>5</v>
      </c>
    </row>
    <row r="6900" spans="1:3" x14ac:dyDescent="0.25">
      <c r="A6900" s="1" t="s">
        <v>13797</v>
      </c>
      <c r="B6900" s="1" t="s">
        <v>13798</v>
      </c>
      <c r="C6900" s="1" t="s">
        <v>5</v>
      </c>
    </row>
    <row r="6901" spans="1:3" x14ac:dyDescent="0.25">
      <c r="A6901" s="1" t="s">
        <v>13799</v>
      </c>
      <c r="B6901" s="1" t="s">
        <v>13800</v>
      </c>
      <c r="C6901" s="1" t="s">
        <v>5</v>
      </c>
    </row>
    <row r="6902" spans="1:3" x14ac:dyDescent="0.25">
      <c r="A6902" s="1" t="s">
        <v>13801</v>
      </c>
      <c r="B6902" s="1" t="s">
        <v>13802</v>
      </c>
      <c r="C6902" s="1" t="s">
        <v>5</v>
      </c>
    </row>
    <row r="6903" spans="1:3" x14ac:dyDescent="0.25">
      <c r="A6903" s="1" t="s">
        <v>13803</v>
      </c>
      <c r="B6903" s="1" t="s">
        <v>13804</v>
      </c>
      <c r="C6903" s="1" t="s">
        <v>5</v>
      </c>
    </row>
    <row r="6904" spans="1:3" x14ac:dyDescent="0.25">
      <c r="A6904" s="1" t="s">
        <v>13805</v>
      </c>
      <c r="B6904" s="1" t="s">
        <v>13806</v>
      </c>
      <c r="C6904" s="1" t="s">
        <v>5</v>
      </c>
    </row>
    <row r="6905" spans="1:3" x14ac:dyDescent="0.25">
      <c r="A6905" s="1" t="s">
        <v>13807</v>
      </c>
      <c r="B6905" s="1" t="s">
        <v>13808</v>
      </c>
      <c r="C6905" s="1" t="s">
        <v>5</v>
      </c>
    </row>
    <row r="6906" spans="1:3" x14ac:dyDescent="0.25">
      <c r="A6906" s="1" t="s">
        <v>13809</v>
      </c>
      <c r="B6906" s="1" t="s">
        <v>13810</v>
      </c>
      <c r="C6906" s="1" t="s">
        <v>5</v>
      </c>
    </row>
    <row r="6907" spans="1:3" x14ac:dyDescent="0.25">
      <c r="A6907" s="1" t="s">
        <v>13811</v>
      </c>
      <c r="B6907" s="1" t="s">
        <v>13812</v>
      </c>
      <c r="C6907" s="1" t="s">
        <v>5</v>
      </c>
    </row>
    <row r="6908" spans="1:3" x14ac:dyDescent="0.25">
      <c r="A6908" s="1" t="s">
        <v>13813</v>
      </c>
      <c r="B6908" s="1" t="s">
        <v>13814</v>
      </c>
      <c r="C6908" s="1" t="s">
        <v>5</v>
      </c>
    </row>
    <row r="6909" spans="1:3" x14ac:dyDescent="0.25">
      <c r="A6909" s="1" t="s">
        <v>13815</v>
      </c>
      <c r="B6909" s="1" t="s">
        <v>13816</v>
      </c>
      <c r="C6909" s="1" t="s">
        <v>5</v>
      </c>
    </row>
    <row r="6910" spans="1:3" x14ac:dyDescent="0.25">
      <c r="A6910" s="1" t="s">
        <v>13817</v>
      </c>
      <c r="B6910" s="1" t="s">
        <v>13818</v>
      </c>
      <c r="C6910" s="1" t="s">
        <v>5</v>
      </c>
    </row>
    <row r="6911" spans="1:3" x14ac:dyDescent="0.25">
      <c r="A6911" s="1" t="s">
        <v>13819</v>
      </c>
      <c r="B6911" s="1" t="s">
        <v>13820</v>
      </c>
      <c r="C6911" s="1" t="s">
        <v>5</v>
      </c>
    </row>
    <row r="6912" spans="1:3" x14ac:dyDescent="0.25">
      <c r="A6912" s="1" t="s">
        <v>13821</v>
      </c>
      <c r="B6912" s="1" t="s">
        <v>13822</v>
      </c>
      <c r="C6912" s="1" t="s">
        <v>5</v>
      </c>
    </row>
    <row r="6913" spans="1:3" x14ac:dyDescent="0.25">
      <c r="A6913" s="1" t="s">
        <v>13823</v>
      </c>
      <c r="B6913" s="1" t="s">
        <v>13824</v>
      </c>
      <c r="C6913" s="1" t="s">
        <v>5</v>
      </c>
    </row>
    <row r="6914" spans="1:3" x14ac:dyDescent="0.25">
      <c r="A6914" s="1" t="s">
        <v>13825</v>
      </c>
      <c r="B6914" s="1" t="s">
        <v>13826</v>
      </c>
      <c r="C6914" s="1" t="s">
        <v>5</v>
      </c>
    </row>
    <row r="6915" spans="1:3" x14ac:dyDescent="0.25">
      <c r="A6915" s="1" t="s">
        <v>13827</v>
      </c>
      <c r="B6915" s="1" t="s">
        <v>13828</v>
      </c>
      <c r="C6915" s="1" t="s">
        <v>5</v>
      </c>
    </row>
    <row r="6916" spans="1:3" x14ac:dyDescent="0.25">
      <c r="A6916" s="1" t="s">
        <v>13829</v>
      </c>
      <c r="B6916" s="1" t="s">
        <v>13830</v>
      </c>
      <c r="C6916" s="1" t="s">
        <v>5</v>
      </c>
    </row>
    <row r="6917" spans="1:3" x14ac:dyDescent="0.25">
      <c r="A6917" s="1" t="s">
        <v>13831</v>
      </c>
      <c r="B6917" s="1" t="s">
        <v>13832</v>
      </c>
      <c r="C6917" s="1" t="s">
        <v>5</v>
      </c>
    </row>
    <row r="6918" spans="1:3" x14ac:dyDescent="0.25">
      <c r="A6918" s="1" t="s">
        <v>13833</v>
      </c>
      <c r="B6918" s="1" t="s">
        <v>13834</v>
      </c>
      <c r="C6918" s="1" t="s">
        <v>5</v>
      </c>
    </row>
    <row r="6919" spans="1:3" x14ac:dyDescent="0.25">
      <c r="A6919" s="1" t="s">
        <v>13835</v>
      </c>
      <c r="B6919" s="1" t="s">
        <v>13836</v>
      </c>
      <c r="C6919" s="1" t="s">
        <v>5</v>
      </c>
    </row>
    <row r="6920" spans="1:3" x14ac:dyDescent="0.25">
      <c r="A6920" s="1" t="s">
        <v>13837</v>
      </c>
      <c r="B6920" s="1" t="s">
        <v>13838</v>
      </c>
      <c r="C6920" s="1" t="s">
        <v>5</v>
      </c>
    </row>
    <row r="6921" spans="1:3" x14ac:dyDescent="0.25">
      <c r="A6921" s="1" t="s">
        <v>13839</v>
      </c>
      <c r="B6921" s="1" t="s">
        <v>13840</v>
      </c>
      <c r="C6921" s="1" t="s">
        <v>5</v>
      </c>
    </row>
    <row r="6922" spans="1:3" x14ac:dyDescent="0.25">
      <c r="A6922" s="1" t="s">
        <v>13841</v>
      </c>
      <c r="B6922" s="1" t="s">
        <v>13842</v>
      </c>
      <c r="C6922" s="1" t="s">
        <v>5</v>
      </c>
    </row>
    <row r="6923" spans="1:3" x14ac:dyDescent="0.25">
      <c r="A6923" s="1" t="s">
        <v>13843</v>
      </c>
      <c r="B6923" s="1" t="s">
        <v>13844</v>
      </c>
      <c r="C6923" s="1" t="s">
        <v>5</v>
      </c>
    </row>
    <row r="6924" spans="1:3" x14ac:dyDescent="0.25">
      <c r="A6924" s="1" t="s">
        <v>13845</v>
      </c>
      <c r="B6924" s="1" t="s">
        <v>13846</v>
      </c>
      <c r="C6924" s="1" t="s">
        <v>5</v>
      </c>
    </row>
    <row r="6925" spans="1:3" x14ac:dyDescent="0.25">
      <c r="A6925" s="1" t="s">
        <v>13847</v>
      </c>
      <c r="B6925" s="1" t="s">
        <v>13848</v>
      </c>
      <c r="C6925" s="1" t="s">
        <v>5</v>
      </c>
    </row>
    <row r="6926" spans="1:3" x14ac:dyDescent="0.25">
      <c r="A6926" s="1" t="s">
        <v>13849</v>
      </c>
      <c r="B6926" s="1" t="s">
        <v>13850</v>
      </c>
      <c r="C6926" s="1" t="s">
        <v>5</v>
      </c>
    </row>
    <row r="6927" spans="1:3" x14ac:dyDescent="0.25">
      <c r="A6927" s="1" t="s">
        <v>13851</v>
      </c>
      <c r="B6927" s="1" t="s">
        <v>13852</v>
      </c>
      <c r="C6927" s="1" t="s">
        <v>5</v>
      </c>
    </row>
    <row r="6928" spans="1:3" x14ac:dyDescent="0.25">
      <c r="A6928" s="1" t="s">
        <v>13853</v>
      </c>
      <c r="B6928" s="1" t="s">
        <v>13854</v>
      </c>
      <c r="C6928" s="1" t="s">
        <v>5</v>
      </c>
    </row>
    <row r="6929" spans="1:3" x14ac:dyDescent="0.25">
      <c r="A6929" s="1" t="s">
        <v>13855</v>
      </c>
      <c r="B6929" s="1" t="s">
        <v>13856</v>
      </c>
      <c r="C6929" s="1" t="s">
        <v>448</v>
      </c>
    </row>
    <row r="6930" spans="1:3" x14ac:dyDescent="0.25">
      <c r="A6930" s="1" t="s">
        <v>13857</v>
      </c>
      <c r="B6930" s="1" t="s">
        <v>13858</v>
      </c>
      <c r="C6930" s="1" t="s">
        <v>448</v>
      </c>
    </row>
    <row r="6931" spans="1:3" x14ac:dyDescent="0.25">
      <c r="A6931" s="1" t="s">
        <v>13859</v>
      </c>
      <c r="B6931" s="1" t="s">
        <v>13860</v>
      </c>
      <c r="C6931" s="1" t="s">
        <v>448</v>
      </c>
    </row>
    <row r="6932" spans="1:3" x14ac:dyDescent="0.25">
      <c r="A6932" s="1" t="s">
        <v>13861</v>
      </c>
      <c r="B6932" s="1" t="s">
        <v>13862</v>
      </c>
      <c r="C6932" s="1" t="s">
        <v>448</v>
      </c>
    </row>
    <row r="6933" spans="1:3" x14ac:dyDescent="0.25">
      <c r="A6933" s="1" t="s">
        <v>13863</v>
      </c>
      <c r="B6933" s="1" t="s">
        <v>13864</v>
      </c>
      <c r="C6933" s="1" t="s">
        <v>448</v>
      </c>
    </row>
    <row r="6934" spans="1:3" x14ac:dyDescent="0.25">
      <c r="A6934" s="1" t="s">
        <v>13865</v>
      </c>
      <c r="B6934" s="1" t="s">
        <v>13866</v>
      </c>
      <c r="C6934" s="1" t="s">
        <v>5</v>
      </c>
    </row>
    <row r="6935" spans="1:3" x14ac:dyDescent="0.25">
      <c r="A6935" s="1" t="s">
        <v>13867</v>
      </c>
      <c r="B6935" s="1" t="s">
        <v>13868</v>
      </c>
      <c r="C6935" s="1" t="s">
        <v>5</v>
      </c>
    </row>
    <row r="6936" spans="1:3" x14ac:dyDescent="0.25">
      <c r="A6936" s="1" t="s">
        <v>13869</v>
      </c>
      <c r="B6936" s="1" t="s">
        <v>13870</v>
      </c>
      <c r="C6936" s="1" t="s">
        <v>448</v>
      </c>
    </row>
    <row r="6937" spans="1:3" x14ac:dyDescent="0.25">
      <c r="A6937" s="1" t="s">
        <v>13871</v>
      </c>
      <c r="B6937" s="1" t="s">
        <v>13872</v>
      </c>
      <c r="C6937" s="1" t="s">
        <v>448</v>
      </c>
    </row>
    <row r="6938" spans="1:3" x14ac:dyDescent="0.25">
      <c r="A6938" s="1" t="s">
        <v>13873</v>
      </c>
      <c r="B6938" s="1" t="s">
        <v>13874</v>
      </c>
      <c r="C6938" s="1" t="s">
        <v>448</v>
      </c>
    </row>
    <row r="6939" spans="1:3" x14ac:dyDescent="0.25">
      <c r="A6939" s="1" t="s">
        <v>13875</v>
      </c>
      <c r="B6939" s="1" t="s">
        <v>13876</v>
      </c>
      <c r="C6939" s="1" t="s">
        <v>448</v>
      </c>
    </row>
    <row r="6940" spans="1:3" x14ac:dyDescent="0.25">
      <c r="A6940" s="1" t="s">
        <v>13877</v>
      </c>
      <c r="B6940" s="1" t="s">
        <v>13878</v>
      </c>
      <c r="C6940" s="1" t="s">
        <v>448</v>
      </c>
    </row>
    <row r="6941" spans="1:3" x14ac:dyDescent="0.25">
      <c r="A6941" s="1" t="s">
        <v>13879</v>
      </c>
      <c r="B6941" s="1" t="s">
        <v>13880</v>
      </c>
      <c r="C6941" s="1" t="s">
        <v>448</v>
      </c>
    </row>
    <row r="6942" spans="1:3" x14ac:dyDescent="0.25">
      <c r="A6942" s="1" t="s">
        <v>13881</v>
      </c>
      <c r="B6942" s="1" t="s">
        <v>13882</v>
      </c>
      <c r="C6942" s="1" t="s">
        <v>448</v>
      </c>
    </row>
    <row r="6943" spans="1:3" x14ac:dyDescent="0.25">
      <c r="A6943" s="1" t="s">
        <v>13883</v>
      </c>
      <c r="B6943" s="1" t="s">
        <v>13884</v>
      </c>
      <c r="C6943" s="1" t="s">
        <v>448</v>
      </c>
    </row>
    <row r="6944" spans="1:3" x14ac:dyDescent="0.25">
      <c r="A6944" s="1" t="s">
        <v>13885</v>
      </c>
      <c r="B6944" s="1" t="s">
        <v>13886</v>
      </c>
      <c r="C6944" s="1" t="s">
        <v>448</v>
      </c>
    </row>
    <row r="6945" spans="1:3" x14ac:dyDescent="0.25">
      <c r="A6945" s="1" t="s">
        <v>13887</v>
      </c>
      <c r="B6945" s="1" t="s">
        <v>13888</v>
      </c>
      <c r="C6945" s="1" t="s">
        <v>5</v>
      </c>
    </row>
    <row r="6946" spans="1:3" x14ac:dyDescent="0.25">
      <c r="A6946" s="1" t="s">
        <v>13889</v>
      </c>
      <c r="B6946" s="1" t="s">
        <v>13890</v>
      </c>
      <c r="C6946" s="1" t="s">
        <v>5</v>
      </c>
    </row>
    <row r="6947" spans="1:3" x14ac:dyDescent="0.25">
      <c r="A6947" s="1" t="s">
        <v>13891</v>
      </c>
      <c r="B6947" s="1" t="s">
        <v>13892</v>
      </c>
      <c r="C6947" s="1" t="s">
        <v>5</v>
      </c>
    </row>
    <row r="6948" spans="1:3" x14ac:dyDescent="0.25">
      <c r="A6948" s="1" t="s">
        <v>13893</v>
      </c>
      <c r="B6948" s="1" t="s">
        <v>13894</v>
      </c>
      <c r="C6948" s="1" t="s">
        <v>5</v>
      </c>
    </row>
    <row r="6949" spans="1:3" x14ac:dyDescent="0.25">
      <c r="A6949" s="1" t="s">
        <v>13895</v>
      </c>
      <c r="B6949" s="1" t="s">
        <v>13896</v>
      </c>
      <c r="C6949" s="1" t="s">
        <v>5</v>
      </c>
    </row>
    <row r="6950" spans="1:3" x14ac:dyDescent="0.25">
      <c r="A6950" s="1" t="s">
        <v>13897</v>
      </c>
      <c r="B6950" s="1" t="s">
        <v>13898</v>
      </c>
      <c r="C6950" s="1" t="s">
        <v>5</v>
      </c>
    </row>
    <row r="6951" spans="1:3" x14ac:dyDescent="0.25">
      <c r="A6951" s="1" t="s">
        <v>13899</v>
      </c>
      <c r="B6951" s="1" t="s">
        <v>13900</v>
      </c>
      <c r="C6951" s="1" t="s">
        <v>5</v>
      </c>
    </row>
    <row r="6952" spans="1:3" x14ac:dyDescent="0.25">
      <c r="A6952" s="1" t="s">
        <v>13901</v>
      </c>
      <c r="B6952" s="1" t="s">
        <v>13902</v>
      </c>
      <c r="C6952" s="1" t="s">
        <v>5</v>
      </c>
    </row>
    <row r="6953" spans="1:3" x14ac:dyDescent="0.25">
      <c r="A6953" s="1" t="s">
        <v>13903</v>
      </c>
      <c r="B6953" s="1" t="s">
        <v>13904</v>
      </c>
      <c r="C6953" s="1" t="s">
        <v>5</v>
      </c>
    </row>
    <row r="6954" spans="1:3" x14ac:dyDescent="0.25">
      <c r="A6954" s="1" t="s">
        <v>13905</v>
      </c>
      <c r="B6954" s="1" t="s">
        <v>13906</v>
      </c>
      <c r="C6954" s="1" t="s">
        <v>5</v>
      </c>
    </row>
    <row r="6955" spans="1:3" x14ac:dyDescent="0.25">
      <c r="A6955" s="1" t="s">
        <v>13907</v>
      </c>
      <c r="B6955" s="1" t="s">
        <v>13908</v>
      </c>
      <c r="C6955" s="1" t="s">
        <v>5</v>
      </c>
    </row>
    <row r="6956" spans="1:3" x14ac:dyDescent="0.25">
      <c r="A6956" s="1" t="s">
        <v>13909</v>
      </c>
      <c r="B6956" s="1" t="s">
        <v>13910</v>
      </c>
      <c r="C6956" s="1" t="s">
        <v>5</v>
      </c>
    </row>
    <row r="6957" spans="1:3" x14ac:dyDescent="0.25">
      <c r="A6957" s="1" t="s">
        <v>13911</v>
      </c>
      <c r="B6957" s="1" t="s">
        <v>13912</v>
      </c>
      <c r="C6957" s="1" t="s">
        <v>5</v>
      </c>
    </row>
    <row r="6958" spans="1:3" x14ac:dyDescent="0.25">
      <c r="A6958" s="1" t="s">
        <v>13913</v>
      </c>
      <c r="B6958" s="1" t="s">
        <v>13914</v>
      </c>
      <c r="C6958" s="1" t="s">
        <v>5</v>
      </c>
    </row>
    <row r="6959" spans="1:3" x14ac:dyDescent="0.25">
      <c r="A6959" s="1" t="s">
        <v>13915</v>
      </c>
      <c r="B6959" s="1" t="s">
        <v>13916</v>
      </c>
      <c r="C6959" s="1" t="s">
        <v>5</v>
      </c>
    </row>
    <row r="6960" spans="1:3" x14ac:dyDescent="0.25">
      <c r="A6960" s="1" t="s">
        <v>13917</v>
      </c>
      <c r="B6960" s="1" t="s">
        <v>13918</v>
      </c>
      <c r="C6960" s="1" t="s">
        <v>5</v>
      </c>
    </row>
    <row r="6961" spans="1:3" x14ac:dyDescent="0.25">
      <c r="A6961" s="1" t="s">
        <v>13919</v>
      </c>
      <c r="B6961" s="1" t="s">
        <v>13920</v>
      </c>
      <c r="C6961" s="1" t="s">
        <v>5</v>
      </c>
    </row>
    <row r="6962" spans="1:3" x14ac:dyDescent="0.25">
      <c r="A6962" s="1" t="s">
        <v>13921</v>
      </c>
      <c r="B6962" s="1" t="s">
        <v>13922</v>
      </c>
      <c r="C6962" s="1" t="s">
        <v>5</v>
      </c>
    </row>
    <row r="6963" spans="1:3" x14ac:dyDescent="0.25">
      <c r="A6963" s="1" t="s">
        <v>13923</v>
      </c>
      <c r="B6963" s="1" t="s">
        <v>13924</v>
      </c>
      <c r="C6963" s="1" t="s">
        <v>5</v>
      </c>
    </row>
    <row r="6964" spans="1:3" x14ac:dyDescent="0.25">
      <c r="A6964" s="1" t="s">
        <v>13925</v>
      </c>
      <c r="B6964" s="1" t="s">
        <v>13926</v>
      </c>
      <c r="C6964" s="1" t="s">
        <v>5</v>
      </c>
    </row>
    <row r="6965" spans="1:3" x14ac:dyDescent="0.25">
      <c r="A6965" s="1" t="s">
        <v>13927</v>
      </c>
      <c r="B6965" s="1" t="s">
        <v>13928</v>
      </c>
      <c r="C6965" s="1" t="s">
        <v>5</v>
      </c>
    </row>
    <row r="6966" spans="1:3" x14ac:dyDescent="0.25">
      <c r="A6966" s="1" t="s">
        <v>13929</v>
      </c>
      <c r="B6966" s="1" t="s">
        <v>13930</v>
      </c>
      <c r="C6966" s="1" t="s">
        <v>5</v>
      </c>
    </row>
    <row r="6967" spans="1:3" x14ac:dyDescent="0.25">
      <c r="A6967" s="1" t="s">
        <v>13931</v>
      </c>
      <c r="B6967" s="1" t="s">
        <v>13932</v>
      </c>
      <c r="C6967" s="1" t="s">
        <v>5</v>
      </c>
    </row>
    <row r="6968" spans="1:3" x14ac:dyDescent="0.25">
      <c r="A6968" s="1" t="s">
        <v>13933</v>
      </c>
      <c r="B6968" s="1" t="s">
        <v>13934</v>
      </c>
      <c r="C6968" s="1" t="s">
        <v>5</v>
      </c>
    </row>
    <row r="6969" spans="1:3" x14ac:dyDescent="0.25">
      <c r="A6969" s="1" t="s">
        <v>13935</v>
      </c>
      <c r="B6969" s="1" t="s">
        <v>13936</v>
      </c>
      <c r="C6969" s="1" t="s">
        <v>5</v>
      </c>
    </row>
    <row r="6970" spans="1:3" x14ac:dyDescent="0.25">
      <c r="A6970" s="1" t="s">
        <v>13937</v>
      </c>
      <c r="B6970" s="1" t="s">
        <v>13938</v>
      </c>
      <c r="C6970" s="1" t="s">
        <v>5</v>
      </c>
    </row>
    <row r="6971" spans="1:3" x14ac:dyDescent="0.25">
      <c r="A6971" s="1" t="s">
        <v>13939</v>
      </c>
      <c r="B6971" s="1" t="s">
        <v>13940</v>
      </c>
      <c r="C6971" s="1" t="s">
        <v>5</v>
      </c>
    </row>
    <row r="6972" spans="1:3" x14ac:dyDescent="0.25">
      <c r="A6972" s="1" t="s">
        <v>13941</v>
      </c>
      <c r="B6972" s="1" t="s">
        <v>13942</v>
      </c>
      <c r="C6972" s="1" t="s">
        <v>5</v>
      </c>
    </row>
    <row r="6973" spans="1:3" x14ac:dyDescent="0.25">
      <c r="A6973" s="1" t="s">
        <v>13943</v>
      </c>
      <c r="B6973" s="1" t="s">
        <v>13944</v>
      </c>
      <c r="C6973" s="1" t="s">
        <v>5</v>
      </c>
    </row>
    <row r="6974" spans="1:3" x14ac:dyDescent="0.25">
      <c r="A6974" s="1" t="s">
        <v>13945</v>
      </c>
      <c r="B6974" s="1" t="s">
        <v>13946</v>
      </c>
      <c r="C6974" s="1" t="s">
        <v>5</v>
      </c>
    </row>
    <row r="6975" spans="1:3" x14ac:dyDescent="0.25">
      <c r="A6975" s="1" t="s">
        <v>13947</v>
      </c>
      <c r="B6975" s="1" t="s">
        <v>13948</v>
      </c>
      <c r="C6975" s="1" t="s">
        <v>5</v>
      </c>
    </row>
    <row r="6976" spans="1:3" x14ac:dyDescent="0.25">
      <c r="A6976" s="1" t="s">
        <v>13949</v>
      </c>
      <c r="B6976" s="1" t="s">
        <v>13950</v>
      </c>
      <c r="C6976" s="1" t="s">
        <v>5</v>
      </c>
    </row>
    <row r="6977" spans="1:3" x14ac:dyDescent="0.25">
      <c r="A6977" s="1" t="s">
        <v>13951</v>
      </c>
      <c r="B6977" s="1" t="s">
        <v>13952</v>
      </c>
      <c r="C6977" s="1" t="s">
        <v>5</v>
      </c>
    </row>
    <row r="6978" spans="1:3" x14ac:dyDescent="0.25">
      <c r="A6978" s="1" t="s">
        <v>13953</v>
      </c>
      <c r="B6978" s="1" t="s">
        <v>13954</v>
      </c>
      <c r="C6978" s="1" t="s">
        <v>5</v>
      </c>
    </row>
    <row r="6979" spans="1:3" x14ac:dyDescent="0.25">
      <c r="A6979" s="1" t="s">
        <v>13955</v>
      </c>
      <c r="B6979" s="1" t="s">
        <v>13956</v>
      </c>
      <c r="C6979" s="1" t="s">
        <v>5</v>
      </c>
    </row>
    <row r="6980" spans="1:3" x14ac:dyDescent="0.25">
      <c r="A6980" s="1" t="s">
        <v>13957</v>
      </c>
      <c r="B6980" s="1" t="s">
        <v>13958</v>
      </c>
      <c r="C6980" s="1" t="s">
        <v>5</v>
      </c>
    </row>
    <row r="6981" spans="1:3" x14ac:dyDescent="0.25">
      <c r="A6981" s="1" t="s">
        <v>13959</v>
      </c>
      <c r="B6981" s="1" t="s">
        <v>13960</v>
      </c>
      <c r="C6981" s="1" t="s">
        <v>5</v>
      </c>
    </row>
    <row r="6982" spans="1:3" x14ac:dyDescent="0.25">
      <c r="A6982" s="1" t="s">
        <v>13961</v>
      </c>
      <c r="B6982" s="1" t="s">
        <v>13962</v>
      </c>
      <c r="C6982" s="1" t="s">
        <v>5</v>
      </c>
    </row>
    <row r="6983" spans="1:3" x14ac:dyDescent="0.25">
      <c r="A6983" s="1" t="s">
        <v>13963</v>
      </c>
      <c r="B6983" s="1" t="s">
        <v>13964</v>
      </c>
      <c r="C6983" s="1" t="s">
        <v>5</v>
      </c>
    </row>
    <row r="6984" spans="1:3" x14ac:dyDescent="0.25">
      <c r="A6984" s="1" t="s">
        <v>13965</v>
      </c>
      <c r="B6984" s="1" t="s">
        <v>13966</v>
      </c>
      <c r="C6984" s="1" t="s">
        <v>5</v>
      </c>
    </row>
    <row r="6985" spans="1:3" x14ac:dyDescent="0.25">
      <c r="A6985" s="1" t="s">
        <v>13967</v>
      </c>
      <c r="B6985" s="1" t="s">
        <v>13968</v>
      </c>
      <c r="C6985" s="1" t="s">
        <v>5</v>
      </c>
    </row>
    <row r="6986" spans="1:3" x14ac:dyDescent="0.25">
      <c r="A6986" s="1" t="s">
        <v>13969</v>
      </c>
      <c r="B6986" s="1" t="s">
        <v>13970</v>
      </c>
      <c r="C6986" s="1" t="s">
        <v>5</v>
      </c>
    </row>
    <row r="6987" spans="1:3" x14ac:dyDescent="0.25">
      <c r="A6987" s="1" t="s">
        <v>13971</v>
      </c>
      <c r="B6987" s="1" t="s">
        <v>13972</v>
      </c>
      <c r="C6987" s="1" t="s">
        <v>5</v>
      </c>
    </row>
    <row r="6988" spans="1:3" x14ac:dyDescent="0.25">
      <c r="A6988" s="1" t="s">
        <v>13973</v>
      </c>
      <c r="B6988" s="1" t="s">
        <v>13974</v>
      </c>
      <c r="C6988" s="1" t="s">
        <v>5</v>
      </c>
    </row>
    <row r="6989" spans="1:3" x14ac:dyDescent="0.25">
      <c r="A6989" s="1" t="s">
        <v>13975</v>
      </c>
      <c r="B6989" s="1" t="s">
        <v>13976</v>
      </c>
      <c r="C6989" s="1" t="s">
        <v>5</v>
      </c>
    </row>
    <row r="6990" spans="1:3" x14ac:dyDescent="0.25">
      <c r="A6990" s="1" t="s">
        <v>13977</v>
      </c>
      <c r="B6990" s="1" t="s">
        <v>13978</v>
      </c>
      <c r="C6990" s="1" t="s">
        <v>5</v>
      </c>
    </row>
    <row r="6991" spans="1:3" x14ac:dyDescent="0.25">
      <c r="A6991" s="1" t="s">
        <v>13979</v>
      </c>
      <c r="B6991" s="1" t="s">
        <v>13980</v>
      </c>
      <c r="C6991" s="1" t="s">
        <v>5</v>
      </c>
    </row>
    <row r="6992" spans="1:3" x14ac:dyDescent="0.25">
      <c r="A6992" s="1" t="s">
        <v>13981</v>
      </c>
      <c r="B6992" s="1" t="s">
        <v>13982</v>
      </c>
      <c r="C6992" s="1" t="s">
        <v>5</v>
      </c>
    </row>
    <row r="6993" spans="1:3" x14ac:dyDescent="0.25">
      <c r="A6993" s="1" t="s">
        <v>13983</v>
      </c>
      <c r="B6993" s="1" t="s">
        <v>13984</v>
      </c>
      <c r="C6993" s="1" t="s">
        <v>5</v>
      </c>
    </row>
    <row r="6994" spans="1:3" x14ac:dyDescent="0.25">
      <c r="A6994" s="1" t="s">
        <v>13985</v>
      </c>
      <c r="B6994" s="1" t="s">
        <v>13986</v>
      </c>
      <c r="C6994" s="1" t="s">
        <v>5</v>
      </c>
    </row>
    <row r="6995" spans="1:3" x14ac:dyDescent="0.25">
      <c r="A6995" s="1" t="s">
        <v>13987</v>
      </c>
      <c r="B6995" s="1" t="s">
        <v>13988</v>
      </c>
      <c r="C6995" s="1" t="s">
        <v>5</v>
      </c>
    </row>
    <row r="6996" spans="1:3" x14ac:dyDescent="0.25">
      <c r="A6996" s="1" t="s">
        <v>13989</v>
      </c>
      <c r="B6996" s="1" t="s">
        <v>13990</v>
      </c>
      <c r="C6996" s="1" t="s">
        <v>5</v>
      </c>
    </row>
    <row r="6997" spans="1:3" x14ac:dyDescent="0.25">
      <c r="A6997" s="1" t="s">
        <v>13991</v>
      </c>
      <c r="B6997" s="1" t="s">
        <v>13992</v>
      </c>
      <c r="C6997" s="1" t="s">
        <v>5</v>
      </c>
    </row>
    <row r="6998" spans="1:3" x14ac:dyDescent="0.25">
      <c r="A6998" s="1" t="s">
        <v>13993</v>
      </c>
      <c r="B6998" s="1" t="s">
        <v>13994</v>
      </c>
      <c r="C6998" s="1" t="s">
        <v>5</v>
      </c>
    </row>
    <row r="6999" spans="1:3" x14ac:dyDescent="0.25">
      <c r="A6999" s="1" t="s">
        <v>13995</v>
      </c>
      <c r="B6999" s="1" t="s">
        <v>13996</v>
      </c>
      <c r="C6999" s="1" t="s">
        <v>5</v>
      </c>
    </row>
    <row r="7000" spans="1:3" x14ac:dyDescent="0.25">
      <c r="A7000" s="1" t="s">
        <v>13997</v>
      </c>
      <c r="B7000" s="1" t="s">
        <v>13998</v>
      </c>
      <c r="C7000" s="1" t="s">
        <v>5</v>
      </c>
    </row>
    <row r="7001" spans="1:3" x14ac:dyDescent="0.25">
      <c r="A7001" s="1" t="s">
        <v>13999</v>
      </c>
      <c r="B7001" s="1" t="s">
        <v>14000</v>
      </c>
      <c r="C7001" s="1" t="s">
        <v>5</v>
      </c>
    </row>
    <row r="7002" spans="1:3" x14ac:dyDescent="0.25">
      <c r="A7002" s="1" t="s">
        <v>14001</v>
      </c>
      <c r="B7002" s="1" t="s">
        <v>14002</v>
      </c>
      <c r="C7002" s="1" t="s">
        <v>5</v>
      </c>
    </row>
    <row r="7003" spans="1:3" x14ac:dyDescent="0.25">
      <c r="A7003" s="1" t="s">
        <v>14003</v>
      </c>
      <c r="B7003" s="1" t="s">
        <v>14004</v>
      </c>
      <c r="C7003" s="1" t="s">
        <v>5</v>
      </c>
    </row>
    <row r="7004" spans="1:3" x14ac:dyDescent="0.25">
      <c r="A7004" s="1" t="s">
        <v>14005</v>
      </c>
      <c r="B7004" s="1" t="s">
        <v>14006</v>
      </c>
      <c r="C7004" s="1" t="s">
        <v>5</v>
      </c>
    </row>
    <row r="7005" spans="1:3" x14ac:dyDescent="0.25">
      <c r="A7005" s="1" t="s">
        <v>14007</v>
      </c>
      <c r="B7005" s="1" t="s">
        <v>14008</v>
      </c>
      <c r="C7005" s="1" t="s">
        <v>5</v>
      </c>
    </row>
    <row r="7006" spans="1:3" x14ac:dyDescent="0.25">
      <c r="A7006" s="1" t="s">
        <v>14009</v>
      </c>
      <c r="B7006" s="1" t="s">
        <v>14010</v>
      </c>
      <c r="C7006" s="1" t="s">
        <v>5</v>
      </c>
    </row>
    <row r="7007" spans="1:3" x14ac:dyDescent="0.25">
      <c r="A7007" s="1" t="s">
        <v>14011</v>
      </c>
      <c r="B7007" s="1" t="s">
        <v>14012</v>
      </c>
      <c r="C7007" s="1" t="s">
        <v>5</v>
      </c>
    </row>
    <row r="7008" spans="1:3" x14ac:dyDescent="0.25">
      <c r="A7008" s="1" t="s">
        <v>14013</v>
      </c>
      <c r="B7008" s="1" t="s">
        <v>14014</v>
      </c>
      <c r="C7008" s="1" t="s">
        <v>5</v>
      </c>
    </row>
    <row r="7009" spans="1:3" x14ac:dyDescent="0.25">
      <c r="A7009" s="1" t="s">
        <v>14015</v>
      </c>
      <c r="B7009" s="1" t="s">
        <v>14016</v>
      </c>
      <c r="C7009" s="1" t="s">
        <v>5</v>
      </c>
    </row>
    <row r="7010" spans="1:3" x14ac:dyDescent="0.25">
      <c r="A7010" s="1" t="s">
        <v>14017</v>
      </c>
      <c r="B7010" s="1" t="s">
        <v>14018</v>
      </c>
      <c r="C7010" s="1" t="s">
        <v>5</v>
      </c>
    </row>
    <row r="7011" spans="1:3" x14ac:dyDescent="0.25">
      <c r="A7011" s="1" t="s">
        <v>14019</v>
      </c>
      <c r="B7011" s="1" t="s">
        <v>14020</v>
      </c>
      <c r="C7011" s="1" t="s">
        <v>5</v>
      </c>
    </row>
    <row r="7012" spans="1:3" x14ac:dyDescent="0.25">
      <c r="A7012" s="1" t="s">
        <v>14021</v>
      </c>
      <c r="B7012" s="1" t="s">
        <v>14022</v>
      </c>
      <c r="C7012" s="1" t="s">
        <v>5</v>
      </c>
    </row>
    <row r="7013" spans="1:3" x14ac:dyDescent="0.25">
      <c r="A7013" s="1" t="s">
        <v>14023</v>
      </c>
      <c r="B7013" s="1" t="s">
        <v>14024</v>
      </c>
      <c r="C7013" s="1" t="s">
        <v>5</v>
      </c>
    </row>
    <row r="7014" spans="1:3" x14ac:dyDescent="0.25">
      <c r="A7014" s="1" t="s">
        <v>14025</v>
      </c>
      <c r="B7014" s="1" t="s">
        <v>14026</v>
      </c>
      <c r="C7014" s="1" t="s">
        <v>5</v>
      </c>
    </row>
    <row r="7015" spans="1:3" x14ac:dyDescent="0.25">
      <c r="A7015" s="1" t="s">
        <v>14027</v>
      </c>
      <c r="B7015" s="1" t="s">
        <v>14028</v>
      </c>
      <c r="C7015" s="1" t="s">
        <v>5</v>
      </c>
    </row>
    <row r="7016" spans="1:3" x14ac:dyDescent="0.25">
      <c r="A7016" s="1" t="s">
        <v>14029</v>
      </c>
      <c r="B7016" s="1" t="s">
        <v>14030</v>
      </c>
      <c r="C7016" s="1" t="s">
        <v>5</v>
      </c>
    </row>
    <row r="7017" spans="1:3" x14ac:dyDescent="0.25">
      <c r="A7017" s="1" t="s">
        <v>14031</v>
      </c>
      <c r="B7017" s="1" t="s">
        <v>14032</v>
      </c>
      <c r="C7017" s="1" t="s">
        <v>5</v>
      </c>
    </row>
    <row r="7018" spans="1:3" x14ac:dyDescent="0.25">
      <c r="A7018" s="1" t="s">
        <v>14033</v>
      </c>
      <c r="B7018" s="1" t="s">
        <v>14034</v>
      </c>
      <c r="C7018" s="1" t="s">
        <v>5</v>
      </c>
    </row>
    <row r="7019" spans="1:3" x14ac:dyDescent="0.25">
      <c r="A7019" s="1" t="s">
        <v>14035</v>
      </c>
      <c r="B7019" s="1" t="s">
        <v>14036</v>
      </c>
      <c r="C7019" s="1" t="s">
        <v>5</v>
      </c>
    </row>
    <row r="7020" spans="1:3" x14ac:dyDescent="0.25">
      <c r="A7020" s="1" t="s">
        <v>14037</v>
      </c>
      <c r="B7020" s="1" t="s">
        <v>14038</v>
      </c>
      <c r="C7020" s="1" t="s">
        <v>5</v>
      </c>
    </row>
    <row r="7021" spans="1:3" x14ac:dyDescent="0.25">
      <c r="A7021" s="1" t="s">
        <v>14039</v>
      </c>
      <c r="B7021" s="1" t="s">
        <v>14040</v>
      </c>
      <c r="C7021" s="1" t="s">
        <v>5</v>
      </c>
    </row>
    <row r="7022" spans="1:3" x14ac:dyDescent="0.25">
      <c r="A7022" s="1" t="s">
        <v>14041</v>
      </c>
      <c r="B7022" s="1" t="s">
        <v>14042</v>
      </c>
      <c r="C7022" s="1" t="s">
        <v>5</v>
      </c>
    </row>
    <row r="7023" spans="1:3" x14ac:dyDescent="0.25">
      <c r="A7023" s="1" t="s">
        <v>14043</v>
      </c>
      <c r="B7023" s="1" t="s">
        <v>14044</v>
      </c>
      <c r="C7023" s="1" t="s">
        <v>5</v>
      </c>
    </row>
    <row r="7024" spans="1:3" x14ac:dyDescent="0.25">
      <c r="A7024" s="1" t="s">
        <v>14045</v>
      </c>
      <c r="B7024" s="1" t="s">
        <v>14046</v>
      </c>
      <c r="C7024" s="1" t="s">
        <v>5</v>
      </c>
    </row>
    <row r="7025" spans="1:3" x14ac:dyDescent="0.25">
      <c r="A7025" s="1" t="s">
        <v>14047</v>
      </c>
      <c r="B7025" s="1" t="s">
        <v>14048</v>
      </c>
      <c r="C7025" s="1" t="s">
        <v>5</v>
      </c>
    </row>
    <row r="7026" spans="1:3" x14ac:dyDescent="0.25">
      <c r="A7026" s="1" t="s">
        <v>14049</v>
      </c>
      <c r="B7026" s="1" t="s">
        <v>14050</v>
      </c>
      <c r="C7026" s="1" t="s">
        <v>5</v>
      </c>
    </row>
    <row r="7027" spans="1:3" x14ac:dyDescent="0.25">
      <c r="A7027" s="1" t="s">
        <v>14051</v>
      </c>
      <c r="B7027" s="1" t="s">
        <v>14052</v>
      </c>
      <c r="C7027" s="1" t="s">
        <v>5</v>
      </c>
    </row>
    <row r="7028" spans="1:3" x14ac:dyDescent="0.25">
      <c r="A7028" s="1" t="s">
        <v>14053</v>
      </c>
      <c r="B7028" s="1" t="s">
        <v>14054</v>
      </c>
      <c r="C7028" s="1" t="s">
        <v>5</v>
      </c>
    </row>
    <row r="7029" spans="1:3" x14ac:dyDescent="0.25">
      <c r="A7029" s="1" t="s">
        <v>14055</v>
      </c>
      <c r="B7029" s="1" t="s">
        <v>14056</v>
      </c>
      <c r="C7029" s="1" t="s">
        <v>5</v>
      </c>
    </row>
    <row r="7030" spans="1:3" x14ac:dyDescent="0.25">
      <c r="A7030" s="1" t="s">
        <v>14057</v>
      </c>
      <c r="B7030" s="1" t="s">
        <v>14058</v>
      </c>
      <c r="C7030" s="1" t="s">
        <v>5</v>
      </c>
    </row>
    <row r="7031" spans="1:3" x14ac:dyDescent="0.25">
      <c r="A7031" s="1" t="s">
        <v>14059</v>
      </c>
      <c r="B7031" s="1" t="s">
        <v>14060</v>
      </c>
      <c r="C7031" s="1" t="s">
        <v>5</v>
      </c>
    </row>
    <row r="7032" spans="1:3" x14ac:dyDescent="0.25">
      <c r="A7032" s="1" t="s">
        <v>14061</v>
      </c>
      <c r="B7032" s="1" t="s">
        <v>14062</v>
      </c>
      <c r="C7032" s="1" t="s">
        <v>5</v>
      </c>
    </row>
    <row r="7033" spans="1:3" x14ac:dyDescent="0.25">
      <c r="A7033" s="1" t="s">
        <v>14063</v>
      </c>
      <c r="B7033" s="1" t="s">
        <v>14064</v>
      </c>
      <c r="C7033" s="1" t="s">
        <v>5</v>
      </c>
    </row>
    <row r="7034" spans="1:3" x14ac:dyDescent="0.25">
      <c r="A7034" s="1" t="s">
        <v>14065</v>
      </c>
      <c r="B7034" s="1" t="s">
        <v>14066</v>
      </c>
      <c r="C7034" s="1" t="s">
        <v>5</v>
      </c>
    </row>
    <row r="7035" spans="1:3" x14ac:dyDescent="0.25">
      <c r="A7035" s="1" t="s">
        <v>14067</v>
      </c>
      <c r="B7035" s="1" t="s">
        <v>14068</v>
      </c>
      <c r="C7035" s="1" t="s">
        <v>5</v>
      </c>
    </row>
    <row r="7036" spans="1:3" x14ac:dyDescent="0.25">
      <c r="A7036" s="1" t="s">
        <v>14069</v>
      </c>
      <c r="B7036" s="1" t="s">
        <v>14070</v>
      </c>
      <c r="C7036" s="1" t="s">
        <v>5</v>
      </c>
    </row>
    <row r="7037" spans="1:3" x14ac:dyDescent="0.25">
      <c r="A7037" s="1" t="s">
        <v>14071</v>
      </c>
      <c r="B7037" s="1" t="s">
        <v>14072</v>
      </c>
      <c r="C7037" s="1" t="s">
        <v>5</v>
      </c>
    </row>
    <row r="7038" spans="1:3" x14ac:dyDescent="0.25">
      <c r="A7038" s="1" t="s">
        <v>14073</v>
      </c>
      <c r="B7038" s="1" t="s">
        <v>14074</v>
      </c>
      <c r="C7038" s="1" t="s">
        <v>5</v>
      </c>
    </row>
    <row r="7039" spans="1:3" x14ac:dyDescent="0.25">
      <c r="A7039" s="1" t="s">
        <v>14075</v>
      </c>
      <c r="B7039" s="1" t="s">
        <v>14076</v>
      </c>
      <c r="C7039" s="1" t="s">
        <v>5</v>
      </c>
    </row>
    <row r="7040" spans="1:3" x14ac:dyDescent="0.25">
      <c r="A7040" s="1" t="s">
        <v>14077</v>
      </c>
      <c r="B7040" s="1" t="s">
        <v>14078</v>
      </c>
      <c r="C7040" s="1" t="s">
        <v>5</v>
      </c>
    </row>
    <row r="7041" spans="1:3" x14ac:dyDescent="0.25">
      <c r="A7041" s="1" t="s">
        <v>14079</v>
      </c>
      <c r="B7041" s="1" t="s">
        <v>14080</v>
      </c>
      <c r="C7041" s="1" t="s">
        <v>5</v>
      </c>
    </row>
    <row r="7042" spans="1:3" x14ac:dyDescent="0.25">
      <c r="A7042" s="1" t="s">
        <v>14081</v>
      </c>
      <c r="B7042" s="1" t="s">
        <v>14082</v>
      </c>
      <c r="C7042" s="1" t="s">
        <v>5</v>
      </c>
    </row>
    <row r="7043" spans="1:3" x14ac:dyDescent="0.25">
      <c r="A7043" s="1" t="s">
        <v>14083</v>
      </c>
      <c r="B7043" s="1" t="s">
        <v>14084</v>
      </c>
      <c r="C7043" s="1" t="s">
        <v>5</v>
      </c>
    </row>
    <row r="7044" spans="1:3" x14ac:dyDescent="0.25">
      <c r="A7044" s="1" t="s">
        <v>14085</v>
      </c>
      <c r="B7044" s="1" t="s">
        <v>14086</v>
      </c>
      <c r="C7044" s="1" t="s">
        <v>5</v>
      </c>
    </row>
    <row r="7045" spans="1:3" x14ac:dyDescent="0.25">
      <c r="A7045" s="1" t="s">
        <v>14087</v>
      </c>
      <c r="B7045" s="1" t="s">
        <v>14088</v>
      </c>
      <c r="C7045" s="1" t="s">
        <v>5</v>
      </c>
    </row>
    <row r="7046" spans="1:3" x14ac:dyDescent="0.25">
      <c r="A7046" s="1" t="s">
        <v>14089</v>
      </c>
      <c r="B7046" s="1" t="s">
        <v>14090</v>
      </c>
      <c r="C7046" s="1" t="s">
        <v>5</v>
      </c>
    </row>
    <row r="7047" spans="1:3" x14ac:dyDescent="0.25">
      <c r="A7047" s="1" t="s">
        <v>14091</v>
      </c>
      <c r="B7047" s="1" t="s">
        <v>14092</v>
      </c>
      <c r="C7047" s="1" t="s">
        <v>5</v>
      </c>
    </row>
    <row r="7048" spans="1:3" x14ac:dyDescent="0.25">
      <c r="A7048" s="1" t="s">
        <v>14093</v>
      </c>
      <c r="B7048" s="1" t="s">
        <v>14094</v>
      </c>
      <c r="C7048" s="1" t="s">
        <v>448</v>
      </c>
    </row>
    <row r="7049" spans="1:3" x14ac:dyDescent="0.25">
      <c r="A7049" s="1" t="s">
        <v>14095</v>
      </c>
      <c r="B7049" s="1" t="s">
        <v>14096</v>
      </c>
      <c r="C7049" s="1" t="s">
        <v>448</v>
      </c>
    </row>
    <row r="7050" spans="1:3" x14ac:dyDescent="0.25">
      <c r="A7050" s="1" t="s">
        <v>14097</v>
      </c>
      <c r="B7050" s="1" t="s">
        <v>14098</v>
      </c>
      <c r="C7050" s="1" t="s">
        <v>5</v>
      </c>
    </row>
    <row r="7051" spans="1:3" x14ac:dyDescent="0.25">
      <c r="A7051" s="1" t="s">
        <v>14099</v>
      </c>
      <c r="B7051" s="1" t="s">
        <v>14100</v>
      </c>
      <c r="C7051" s="1" t="s">
        <v>5</v>
      </c>
    </row>
    <row r="7052" spans="1:3" x14ac:dyDescent="0.25">
      <c r="A7052" s="1" t="s">
        <v>14101</v>
      </c>
      <c r="B7052" s="1" t="s">
        <v>14102</v>
      </c>
      <c r="C7052" s="1" t="s">
        <v>5</v>
      </c>
    </row>
    <row r="7053" spans="1:3" x14ac:dyDescent="0.25">
      <c r="A7053" s="1" t="s">
        <v>14103</v>
      </c>
      <c r="B7053" s="1" t="s">
        <v>14104</v>
      </c>
      <c r="C7053" s="1" t="s">
        <v>5</v>
      </c>
    </row>
    <row r="7054" spans="1:3" x14ac:dyDescent="0.25">
      <c r="A7054" s="1" t="s">
        <v>14105</v>
      </c>
      <c r="B7054" s="1" t="s">
        <v>14106</v>
      </c>
      <c r="C7054" s="1" t="s">
        <v>5</v>
      </c>
    </row>
    <row r="7055" spans="1:3" x14ac:dyDescent="0.25">
      <c r="A7055" s="1" t="s">
        <v>14107</v>
      </c>
      <c r="B7055" s="1" t="s">
        <v>14108</v>
      </c>
      <c r="C7055" s="1" t="s">
        <v>5</v>
      </c>
    </row>
    <row r="7056" spans="1:3" x14ac:dyDescent="0.25">
      <c r="A7056" s="1" t="s">
        <v>14109</v>
      </c>
      <c r="B7056" s="1" t="s">
        <v>14110</v>
      </c>
      <c r="C7056" s="1" t="s">
        <v>5</v>
      </c>
    </row>
    <row r="7057" spans="1:3" x14ac:dyDescent="0.25">
      <c r="A7057" s="1" t="s">
        <v>14111</v>
      </c>
      <c r="B7057" s="1" t="s">
        <v>14112</v>
      </c>
      <c r="C7057" s="1" t="s">
        <v>5</v>
      </c>
    </row>
    <row r="7058" spans="1:3" x14ac:dyDescent="0.25">
      <c r="A7058" s="1" t="s">
        <v>14113</v>
      </c>
      <c r="B7058" s="1" t="s">
        <v>14114</v>
      </c>
      <c r="C7058" s="1" t="s">
        <v>5</v>
      </c>
    </row>
    <row r="7059" spans="1:3" x14ac:dyDescent="0.25">
      <c r="A7059" s="1" t="s">
        <v>14115</v>
      </c>
      <c r="B7059" s="1" t="s">
        <v>14116</v>
      </c>
      <c r="C7059" s="1" t="s">
        <v>5</v>
      </c>
    </row>
    <row r="7060" spans="1:3" x14ac:dyDescent="0.25">
      <c r="A7060" s="1" t="s">
        <v>14117</v>
      </c>
      <c r="B7060" s="1" t="s">
        <v>14118</v>
      </c>
      <c r="C7060" s="1" t="s">
        <v>5</v>
      </c>
    </row>
    <row r="7061" spans="1:3" x14ac:dyDescent="0.25">
      <c r="A7061" s="1" t="s">
        <v>14119</v>
      </c>
      <c r="B7061" s="1" t="s">
        <v>14120</v>
      </c>
      <c r="C7061" s="1" t="s">
        <v>5</v>
      </c>
    </row>
    <row r="7062" spans="1:3" x14ac:dyDescent="0.25">
      <c r="A7062" s="1" t="s">
        <v>14121</v>
      </c>
      <c r="B7062" s="1" t="s">
        <v>14122</v>
      </c>
      <c r="C7062" s="1" t="s">
        <v>5</v>
      </c>
    </row>
    <row r="7063" spans="1:3" x14ac:dyDescent="0.25">
      <c r="A7063" s="1" t="s">
        <v>14123</v>
      </c>
      <c r="B7063" s="1" t="s">
        <v>14124</v>
      </c>
      <c r="C7063" s="1" t="s">
        <v>5</v>
      </c>
    </row>
    <row r="7064" spans="1:3" x14ac:dyDescent="0.25">
      <c r="A7064" s="1" t="s">
        <v>14125</v>
      </c>
      <c r="B7064" s="1" t="s">
        <v>14126</v>
      </c>
      <c r="C7064" s="1" t="s">
        <v>5</v>
      </c>
    </row>
    <row r="7065" spans="1:3" x14ac:dyDescent="0.25">
      <c r="A7065" s="1" t="s">
        <v>14127</v>
      </c>
      <c r="B7065" s="1" t="s">
        <v>14128</v>
      </c>
      <c r="C7065" s="1" t="s">
        <v>5</v>
      </c>
    </row>
    <row r="7066" spans="1:3" x14ac:dyDescent="0.25">
      <c r="A7066" s="1" t="s">
        <v>14129</v>
      </c>
      <c r="B7066" s="1" t="s">
        <v>14130</v>
      </c>
      <c r="C7066" s="1" t="s">
        <v>5</v>
      </c>
    </row>
    <row r="7067" spans="1:3" x14ac:dyDescent="0.25">
      <c r="A7067" s="1" t="s">
        <v>14131</v>
      </c>
      <c r="B7067" s="1" t="s">
        <v>14132</v>
      </c>
      <c r="C7067" s="1" t="s">
        <v>5</v>
      </c>
    </row>
    <row r="7068" spans="1:3" x14ac:dyDescent="0.25">
      <c r="A7068" s="1" t="s">
        <v>14133</v>
      </c>
      <c r="B7068" s="1" t="s">
        <v>14134</v>
      </c>
      <c r="C7068" s="1" t="s">
        <v>5</v>
      </c>
    </row>
    <row r="7069" spans="1:3" x14ac:dyDescent="0.25">
      <c r="A7069" s="1" t="s">
        <v>14135</v>
      </c>
      <c r="B7069" s="1" t="s">
        <v>14136</v>
      </c>
      <c r="C7069" s="1" t="s">
        <v>5</v>
      </c>
    </row>
    <row r="7070" spans="1:3" x14ac:dyDescent="0.25">
      <c r="A7070" s="1" t="s">
        <v>14137</v>
      </c>
      <c r="B7070" s="1" t="s">
        <v>14138</v>
      </c>
      <c r="C7070" s="1" t="s">
        <v>5</v>
      </c>
    </row>
    <row r="7071" spans="1:3" x14ac:dyDescent="0.25">
      <c r="A7071" s="1" t="s">
        <v>14139</v>
      </c>
      <c r="B7071" s="1" t="s">
        <v>14140</v>
      </c>
      <c r="C7071" s="1" t="s">
        <v>5</v>
      </c>
    </row>
    <row r="7072" spans="1:3" x14ac:dyDescent="0.25">
      <c r="A7072" s="1" t="s">
        <v>14141</v>
      </c>
      <c r="B7072" s="1" t="s">
        <v>14142</v>
      </c>
      <c r="C7072" s="1" t="s">
        <v>5</v>
      </c>
    </row>
    <row r="7073" spans="1:3" x14ac:dyDescent="0.25">
      <c r="A7073" s="1" t="s">
        <v>14143</v>
      </c>
      <c r="B7073" s="1" t="s">
        <v>14144</v>
      </c>
      <c r="C7073" s="1" t="s">
        <v>5</v>
      </c>
    </row>
    <row r="7074" spans="1:3" x14ac:dyDescent="0.25">
      <c r="A7074" s="1" t="s">
        <v>14145</v>
      </c>
      <c r="B7074" s="1" t="s">
        <v>14146</v>
      </c>
      <c r="C7074" s="1" t="s">
        <v>5</v>
      </c>
    </row>
    <row r="7075" spans="1:3" x14ac:dyDescent="0.25">
      <c r="A7075" s="1" t="s">
        <v>14147</v>
      </c>
      <c r="B7075" s="1" t="s">
        <v>14148</v>
      </c>
      <c r="C7075" s="1" t="s">
        <v>5</v>
      </c>
    </row>
    <row r="7076" spans="1:3" x14ac:dyDescent="0.25">
      <c r="A7076" s="1" t="s">
        <v>14149</v>
      </c>
      <c r="B7076" s="1" t="s">
        <v>14150</v>
      </c>
      <c r="C7076" s="1" t="s">
        <v>5</v>
      </c>
    </row>
    <row r="7077" spans="1:3" x14ac:dyDescent="0.25">
      <c r="A7077" s="1" t="s">
        <v>14151</v>
      </c>
      <c r="B7077" s="1" t="s">
        <v>14152</v>
      </c>
      <c r="C7077" s="1" t="s">
        <v>5</v>
      </c>
    </row>
    <row r="7078" spans="1:3" x14ac:dyDescent="0.25">
      <c r="A7078" s="1" t="s">
        <v>14153</v>
      </c>
      <c r="B7078" s="1" t="s">
        <v>14154</v>
      </c>
      <c r="C7078" s="1" t="s">
        <v>5</v>
      </c>
    </row>
    <row r="7079" spans="1:3" x14ac:dyDescent="0.25">
      <c r="A7079" s="1" t="s">
        <v>14155</v>
      </c>
      <c r="B7079" s="1" t="s">
        <v>14156</v>
      </c>
      <c r="C7079" s="1" t="s">
        <v>448</v>
      </c>
    </row>
    <row r="7080" spans="1:3" x14ac:dyDescent="0.25">
      <c r="A7080" s="1" t="s">
        <v>14157</v>
      </c>
      <c r="B7080" s="1" t="s">
        <v>14158</v>
      </c>
      <c r="C7080" s="1" t="s">
        <v>5</v>
      </c>
    </row>
    <row r="7081" spans="1:3" x14ac:dyDescent="0.25">
      <c r="A7081" s="1" t="s">
        <v>14159</v>
      </c>
      <c r="B7081" s="1" t="s">
        <v>14160</v>
      </c>
      <c r="C7081" s="1" t="s">
        <v>5</v>
      </c>
    </row>
    <row r="7082" spans="1:3" x14ac:dyDescent="0.25">
      <c r="A7082" s="1" t="s">
        <v>14161</v>
      </c>
      <c r="B7082" s="1" t="s">
        <v>14062</v>
      </c>
      <c r="C7082" s="1" t="s">
        <v>5</v>
      </c>
    </row>
    <row r="7083" spans="1:3" x14ac:dyDescent="0.25">
      <c r="A7083" s="1" t="s">
        <v>14162</v>
      </c>
      <c r="B7083" s="1" t="s">
        <v>14163</v>
      </c>
      <c r="C7083" s="1" t="s">
        <v>5</v>
      </c>
    </row>
    <row r="7084" spans="1:3" x14ac:dyDescent="0.25">
      <c r="A7084" s="1" t="s">
        <v>14164</v>
      </c>
      <c r="B7084" s="1" t="s">
        <v>14165</v>
      </c>
      <c r="C7084" s="1" t="s">
        <v>5</v>
      </c>
    </row>
    <row r="7085" spans="1:3" x14ac:dyDescent="0.25">
      <c r="A7085" s="1" t="s">
        <v>14166</v>
      </c>
      <c r="B7085" s="1" t="s">
        <v>14167</v>
      </c>
      <c r="C7085" s="1" t="s">
        <v>5</v>
      </c>
    </row>
    <row r="7086" spans="1:3" x14ac:dyDescent="0.25">
      <c r="A7086" s="1" t="s">
        <v>14168</v>
      </c>
      <c r="B7086" s="1" t="s">
        <v>14169</v>
      </c>
      <c r="C7086" s="1" t="s">
        <v>5</v>
      </c>
    </row>
    <row r="7087" spans="1:3" x14ac:dyDescent="0.25">
      <c r="A7087" s="1" t="s">
        <v>14170</v>
      </c>
      <c r="B7087" s="1" t="s">
        <v>14171</v>
      </c>
      <c r="C7087" s="1" t="s">
        <v>5</v>
      </c>
    </row>
    <row r="7088" spans="1:3" x14ac:dyDescent="0.25">
      <c r="A7088" s="1" t="s">
        <v>14172</v>
      </c>
      <c r="B7088" s="1" t="s">
        <v>14173</v>
      </c>
      <c r="C7088" s="1" t="s">
        <v>5</v>
      </c>
    </row>
    <row r="7089" spans="1:3" x14ac:dyDescent="0.25">
      <c r="A7089" s="1" t="s">
        <v>14174</v>
      </c>
      <c r="B7089" s="1" t="s">
        <v>14175</v>
      </c>
      <c r="C7089" s="1" t="s">
        <v>5</v>
      </c>
    </row>
    <row r="7090" spans="1:3" x14ac:dyDescent="0.25">
      <c r="A7090" s="1" t="s">
        <v>14176</v>
      </c>
      <c r="B7090" s="1" t="s">
        <v>14177</v>
      </c>
      <c r="C7090" s="1" t="s">
        <v>5</v>
      </c>
    </row>
    <row r="7091" spans="1:3" x14ac:dyDescent="0.25">
      <c r="A7091" s="1" t="s">
        <v>14178</v>
      </c>
      <c r="B7091" s="1" t="s">
        <v>14179</v>
      </c>
      <c r="C7091" s="1" t="s">
        <v>5</v>
      </c>
    </row>
    <row r="7092" spans="1:3" x14ac:dyDescent="0.25">
      <c r="A7092" s="1" t="s">
        <v>14180</v>
      </c>
      <c r="B7092" s="1" t="s">
        <v>14181</v>
      </c>
      <c r="C7092" s="1" t="s">
        <v>5</v>
      </c>
    </row>
    <row r="7093" spans="1:3" x14ac:dyDescent="0.25">
      <c r="A7093" s="1" t="s">
        <v>14182</v>
      </c>
      <c r="B7093" s="1" t="s">
        <v>14183</v>
      </c>
      <c r="C7093" s="1" t="s">
        <v>5</v>
      </c>
    </row>
    <row r="7094" spans="1:3" x14ac:dyDescent="0.25">
      <c r="A7094" s="1" t="s">
        <v>14184</v>
      </c>
      <c r="B7094" s="1" t="s">
        <v>14185</v>
      </c>
      <c r="C7094" s="1" t="s">
        <v>5</v>
      </c>
    </row>
    <row r="7095" spans="1:3" x14ac:dyDescent="0.25">
      <c r="A7095" s="1" t="s">
        <v>14186</v>
      </c>
      <c r="B7095" s="1" t="s">
        <v>14187</v>
      </c>
      <c r="C7095" s="1" t="s">
        <v>5</v>
      </c>
    </row>
    <row r="7096" spans="1:3" x14ac:dyDescent="0.25">
      <c r="A7096" s="1" t="s">
        <v>14188</v>
      </c>
      <c r="B7096" s="1" t="s">
        <v>14189</v>
      </c>
      <c r="C7096" s="1" t="s">
        <v>5</v>
      </c>
    </row>
    <row r="7097" spans="1:3" x14ac:dyDescent="0.25">
      <c r="A7097" s="1" t="s">
        <v>14190</v>
      </c>
      <c r="B7097" s="1" t="s">
        <v>14191</v>
      </c>
      <c r="C7097" s="1" t="s">
        <v>5</v>
      </c>
    </row>
    <row r="7098" spans="1:3" x14ac:dyDescent="0.25">
      <c r="A7098" s="1" t="s">
        <v>14192</v>
      </c>
      <c r="B7098" s="1" t="s">
        <v>14193</v>
      </c>
      <c r="C7098" s="1" t="s">
        <v>5</v>
      </c>
    </row>
    <row r="7099" spans="1:3" x14ac:dyDescent="0.25">
      <c r="A7099" s="1" t="s">
        <v>14194</v>
      </c>
      <c r="B7099" s="1" t="s">
        <v>14195</v>
      </c>
      <c r="C7099" s="1" t="s">
        <v>5</v>
      </c>
    </row>
    <row r="7100" spans="1:3" x14ac:dyDescent="0.25">
      <c r="A7100" s="1" t="s">
        <v>14196</v>
      </c>
      <c r="B7100" s="1" t="s">
        <v>14197</v>
      </c>
      <c r="C7100" s="1" t="s">
        <v>5</v>
      </c>
    </row>
    <row r="7101" spans="1:3" x14ac:dyDescent="0.25">
      <c r="A7101" s="1" t="s">
        <v>14198</v>
      </c>
      <c r="B7101" s="1" t="s">
        <v>14199</v>
      </c>
      <c r="C7101" s="1" t="s">
        <v>5</v>
      </c>
    </row>
    <row r="7102" spans="1:3" x14ac:dyDescent="0.25">
      <c r="A7102" s="1" t="s">
        <v>14200</v>
      </c>
      <c r="B7102" s="1" t="s">
        <v>14201</v>
      </c>
      <c r="C7102" s="1" t="s">
        <v>5</v>
      </c>
    </row>
    <row r="7103" spans="1:3" x14ac:dyDescent="0.25">
      <c r="A7103" s="1" t="s">
        <v>14202</v>
      </c>
      <c r="B7103" s="1" t="s">
        <v>14203</v>
      </c>
      <c r="C7103" s="1" t="s">
        <v>5</v>
      </c>
    </row>
    <row r="7104" spans="1:3" x14ac:dyDescent="0.25">
      <c r="A7104" s="1" t="s">
        <v>14204</v>
      </c>
      <c r="B7104" s="1" t="s">
        <v>14205</v>
      </c>
      <c r="C7104" s="1" t="s">
        <v>14206</v>
      </c>
    </row>
    <row r="7105" spans="1:3" x14ac:dyDescent="0.25">
      <c r="A7105" s="1" t="s">
        <v>14207</v>
      </c>
      <c r="B7105" s="1" t="s">
        <v>14208</v>
      </c>
      <c r="C7105" s="1" t="s">
        <v>14206</v>
      </c>
    </row>
    <row r="7106" spans="1:3" x14ac:dyDescent="0.25">
      <c r="A7106" s="1" t="s">
        <v>14209</v>
      </c>
      <c r="B7106" s="1" t="s">
        <v>14210</v>
      </c>
      <c r="C7106" s="1" t="s">
        <v>14206</v>
      </c>
    </row>
    <row r="7107" spans="1:3" x14ac:dyDescent="0.25">
      <c r="A7107" s="1" t="s">
        <v>14211</v>
      </c>
      <c r="B7107" s="1" t="s">
        <v>14212</v>
      </c>
      <c r="C7107" s="1" t="s">
        <v>14206</v>
      </c>
    </row>
    <row r="7108" spans="1:3" x14ac:dyDescent="0.25">
      <c r="A7108" s="1" t="s">
        <v>14213</v>
      </c>
      <c r="B7108" s="1" t="s">
        <v>14214</v>
      </c>
      <c r="C7108" s="1" t="s">
        <v>14206</v>
      </c>
    </row>
    <row r="7109" spans="1:3" x14ac:dyDescent="0.25">
      <c r="A7109" s="1" t="s">
        <v>14215</v>
      </c>
      <c r="B7109" s="1" t="s">
        <v>14216</v>
      </c>
      <c r="C7109" s="1" t="s">
        <v>14206</v>
      </c>
    </row>
    <row r="7110" spans="1:3" x14ac:dyDescent="0.25">
      <c r="A7110" s="1" t="s">
        <v>14217</v>
      </c>
      <c r="B7110" s="1" t="s">
        <v>14218</v>
      </c>
      <c r="C7110" s="1" t="s">
        <v>14206</v>
      </c>
    </row>
    <row r="7111" spans="1:3" x14ac:dyDescent="0.25">
      <c r="A7111" s="1" t="s">
        <v>14219</v>
      </c>
      <c r="B7111" s="1" t="s">
        <v>14220</v>
      </c>
      <c r="C7111" s="1" t="s">
        <v>14206</v>
      </c>
    </row>
    <row r="7112" spans="1:3" x14ac:dyDescent="0.25">
      <c r="A7112" s="1" t="s">
        <v>14221</v>
      </c>
      <c r="B7112" s="1" t="s">
        <v>14222</v>
      </c>
      <c r="C7112" s="1" t="s">
        <v>14206</v>
      </c>
    </row>
    <row r="7113" spans="1:3" x14ac:dyDescent="0.25">
      <c r="A7113" s="1" t="s">
        <v>14223</v>
      </c>
      <c r="B7113" s="1" t="s">
        <v>14224</v>
      </c>
      <c r="C7113" s="1" t="s">
        <v>14206</v>
      </c>
    </row>
    <row r="7114" spans="1:3" x14ac:dyDescent="0.25">
      <c r="A7114" s="1" t="s">
        <v>14225</v>
      </c>
      <c r="B7114" s="1" t="s">
        <v>14226</v>
      </c>
      <c r="C7114" s="1" t="s">
        <v>14206</v>
      </c>
    </row>
    <row r="7115" spans="1:3" x14ac:dyDescent="0.25">
      <c r="A7115" s="1" t="s">
        <v>14227</v>
      </c>
      <c r="B7115" s="1" t="s">
        <v>14228</v>
      </c>
      <c r="C7115" s="1" t="s">
        <v>14206</v>
      </c>
    </row>
    <row r="7116" spans="1:3" x14ac:dyDescent="0.25">
      <c r="A7116" s="1" t="s">
        <v>14229</v>
      </c>
      <c r="B7116" s="1" t="s">
        <v>14230</v>
      </c>
      <c r="C7116" s="1" t="s">
        <v>14206</v>
      </c>
    </row>
    <row r="7117" spans="1:3" x14ac:dyDescent="0.25">
      <c r="A7117" s="1" t="s">
        <v>14231</v>
      </c>
      <c r="B7117" s="1" t="s">
        <v>14232</v>
      </c>
      <c r="C7117" s="1" t="s">
        <v>14206</v>
      </c>
    </row>
    <row r="7118" spans="1:3" x14ac:dyDescent="0.25">
      <c r="A7118" s="1" t="s">
        <v>14233</v>
      </c>
      <c r="B7118" s="1" t="s">
        <v>14234</v>
      </c>
      <c r="C7118" s="1" t="s">
        <v>14206</v>
      </c>
    </row>
    <row r="7119" spans="1:3" x14ac:dyDescent="0.25">
      <c r="A7119" s="1" t="s">
        <v>14235</v>
      </c>
      <c r="B7119" s="1" t="s">
        <v>14236</v>
      </c>
      <c r="C7119" s="1" t="s">
        <v>14206</v>
      </c>
    </row>
    <row r="7120" spans="1:3" x14ac:dyDescent="0.25">
      <c r="A7120" s="1" t="s">
        <v>14237</v>
      </c>
      <c r="B7120" s="1" t="s">
        <v>14238</v>
      </c>
      <c r="C7120" s="1" t="s">
        <v>14206</v>
      </c>
    </row>
    <row r="7121" spans="1:3" x14ac:dyDescent="0.25">
      <c r="A7121" s="1" t="s">
        <v>14239</v>
      </c>
      <c r="B7121" s="1" t="s">
        <v>14240</v>
      </c>
      <c r="C7121" s="1" t="s">
        <v>14206</v>
      </c>
    </row>
    <row r="7122" spans="1:3" x14ac:dyDescent="0.25">
      <c r="A7122" s="1" t="s">
        <v>14241</v>
      </c>
      <c r="B7122" s="1" t="s">
        <v>14242</v>
      </c>
      <c r="C7122" s="1" t="s">
        <v>14206</v>
      </c>
    </row>
    <row r="7123" spans="1:3" x14ac:dyDescent="0.25">
      <c r="A7123" s="1" t="s">
        <v>14243</v>
      </c>
      <c r="B7123" s="1" t="s">
        <v>14244</v>
      </c>
      <c r="C7123" s="1" t="s">
        <v>14206</v>
      </c>
    </row>
    <row r="7124" spans="1:3" x14ac:dyDescent="0.25">
      <c r="A7124" s="1" t="s">
        <v>14245</v>
      </c>
      <c r="B7124" s="1" t="s">
        <v>14246</v>
      </c>
      <c r="C7124" s="1" t="s">
        <v>14206</v>
      </c>
    </row>
    <row r="7125" spans="1:3" x14ac:dyDescent="0.25">
      <c r="A7125" s="1" t="s">
        <v>14247</v>
      </c>
      <c r="B7125" s="1" t="s">
        <v>14248</v>
      </c>
      <c r="C7125" s="1" t="s">
        <v>14206</v>
      </c>
    </row>
    <row r="7126" spans="1:3" x14ac:dyDescent="0.25">
      <c r="A7126" s="1" t="s">
        <v>14249</v>
      </c>
      <c r="B7126" s="1" t="s">
        <v>14250</v>
      </c>
      <c r="C7126" s="1" t="s">
        <v>14206</v>
      </c>
    </row>
    <row r="7127" spans="1:3" x14ac:dyDescent="0.25">
      <c r="A7127" s="1" t="s">
        <v>14251</v>
      </c>
      <c r="B7127" s="1" t="s">
        <v>14252</v>
      </c>
      <c r="C7127" s="1" t="s">
        <v>14206</v>
      </c>
    </row>
    <row r="7128" spans="1:3" x14ac:dyDescent="0.25">
      <c r="A7128" s="1" t="s">
        <v>14253</v>
      </c>
      <c r="B7128" s="1" t="s">
        <v>14254</v>
      </c>
      <c r="C7128" s="1" t="s">
        <v>14206</v>
      </c>
    </row>
    <row r="7129" spans="1:3" x14ac:dyDescent="0.25">
      <c r="A7129" s="1" t="s">
        <v>14255</v>
      </c>
      <c r="B7129" s="1" t="s">
        <v>14256</v>
      </c>
      <c r="C7129" s="1" t="s">
        <v>14257</v>
      </c>
    </row>
    <row r="7130" spans="1:3" x14ac:dyDescent="0.25">
      <c r="A7130" s="1" t="s">
        <v>14258</v>
      </c>
      <c r="B7130" s="1" t="s">
        <v>14259</v>
      </c>
      <c r="C7130" s="1" t="s">
        <v>14257</v>
      </c>
    </row>
    <row r="7131" spans="1:3" x14ac:dyDescent="0.25">
      <c r="A7131" s="1" t="s">
        <v>14260</v>
      </c>
      <c r="B7131" s="1" t="s">
        <v>14261</v>
      </c>
      <c r="C7131" s="1" t="s">
        <v>14257</v>
      </c>
    </row>
    <row r="7132" spans="1:3" x14ac:dyDescent="0.25">
      <c r="A7132" s="1" t="s">
        <v>14262</v>
      </c>
      <c r="B7132" s="1" t="s">
        <v>14263</v>
      </c>
      <c r="C7132" s="1" t="s">
        <v>14257</v>
      </c>
    </row>
    <row r="7133" spans="1:3" x14ac:dyDescent="0.25">
      <c r="A7133" s="1" t="s">
        <v>14264</v>
      </c>
      <c r="B7133" s="1" t="s">
        <v>14265</v>
      </c>
      <c r="C7133" s="1" t="s">
        <v>14266</v>
      </c>
    </row>
    <row r="7134" spans="1:3" x14ac:dyDescent="0.25">
      <c r="A7134" s="1" t="s">
        <v>14267</v>
      </c>
      <c r="B7134" s="1" t="s">
        <v>14268</v>
      </c>
      <c r="C7134" s="1" t="s">
        <v>14206</v>
      </c>
    </row>
    <row r="7135" spans="1:3" x14ac:dyDescent="0.25">
      <c r="A7135" s="1" t="s">
        <v>14269</v>
      </c>
      <c r="B7135" s="1" t="s">
        <v>14270</v>
      </c>
      <c r="C7135" s="1" t="s">
        <v>14206</v>
      </c>
    </row>
    <row r="7136" spans="1:3" x14ac:dyDescent="0.25">
      <c r="A7136" s="1" t="s">
        <v>14271</v>
      </c>
      <c r="B7136" s="1" t="s">
        <v>14272</v>
      </c>
      <c r="C7136" s="1" t="s">
        <v>14273</v>
      </c>
    </row>
    <row r="7137" spans="1:3" x14ac:dyDescent="0.25">
      <c r="A7137" s="1" t="s">
        <v>14274</v>
      </c>
      <c r="B7137" s="1" t="s">
        <v>14275</v>
      </c>
      <c r="C7137" s="1" t="s">
        <v>14206</v>
      </c>
    </row>
    <row r="7138" spans="1:3" x14ac:dyDescent="0.25">
      <c r="A7138" s="1" t="s">
        <v>14276</v>
      </c>
      <c r="B7138" s="1" t="s">
        <v>14277</v>
      </c>
      <c r="C7138" s="1" t="s">
        <v>14206</v>
      </c>
    </row>
    <row r="7139" spans="1:3" x14ac:dyDescent="0.25">
      <c r="A7139" s="1" t="s">
        <v>14278</v>
      </c>
      <c r="B7139" s="1" t="s">
        <v>14279</v>
      </c>
      <c r="C7139" s="1" t="s">
        <v>14206</v>
      </c>
    </row>
    <row r="7140" spans="1:3" x14ac:dyDescent="0.25">
      <c r="A7140" s="1" t="s">
        <v>14280</v>
      </c>
      <c r="B7140" s="1" t="s">
        <v>14281</v>
      </c>
      <c r="C7140" s="1" t="s">
        <v>14206</v>
      </c>
    </row>
    <row r="7141" spans="1:3" x14ac:dyDescent="0.25">
      <c r="A7141" s="1" t="s">
        <v>14282</v>
      </c>
      <c r="B7141" s="1" t="s">
        <v>14283</v>
      </c>
      <c r="C7141" s="1" t="s">
        <v>14206</v>
      </c>
    </row>
    <row r="7142" spans="1:3" x14ac:dyDescent="0.25">
      <c r="A7142" s="1" t="s">
        <v>14284</v>
      </c>
      <c r="B7142" s="1" t="s">
        <v>14285</v>
      </c>
      <c r="C7142" s="1" t="s">
        <v>14286</v>
      </c>
    </row>
    <row r="7143" spans="1:3" x14ac:dyDescent="0.25">
      <c r="A7143" s="1" t="s">
        <v>14287</v>
      </c>
      <c r="B7143" s="1" t="s">
        <v>14288</v>
      </c>
      <c r="C7143" s="1" t="s">
        <v>14206</v>
      </c>
    </row>
    <row r="7144" spans="1:3" x14ac:dyDescent="0.25">
      <c r="A7144" s="1" t="s">
        <v>14289</v>
      </c>
      <c r="B7144" s="1" t="s">
        <v>14290</v>
      </c>
      <c r="C7144" s="1" t="s">
        <v>14206</v>
      </c>
    </row>
    <row r="7145" spans="1:3" x14ac:dyDescent="0.25">
      <c r="A7145" s="1" t="s">
        <v>14291</v>
      </c>
      <c r="B7145" s="1" t="s">
        <v>14292</v>
      </c>
      <c r="C7145" s="1" t="s">
        <v>14206</v>
      </c>
    </row>
    <row r="7146" spans="1:3" x14ac:dyDescent="0.25">
      <c r="A7146" s="1" t="s">
        <v>14293</v>
      </c>
      <c r="B7146" s="1" t="s">
        <v>14294</v>
      </c>
      <c r="C7146" s="1" t="s">
        <v>14206</v>
      </c>
    </row>
    <row r="7147" spans="1:3" x14ac:dyDescent="0.25">
      <c r="A7147" s="1" t="s">
        <v>14295</v>
      </c>
      <c r="B7147" s="1" t="s">
        <v>14296</v>
      </c>
      <c r="C7147" s="1" t="s">
        <v>14286</v>
      </c>
    </row>
    <row r="7148" spans="1:3" x14ac:dyDescent="0.25">
      <c r="A7148" s="1" t="s">
        <v>14297</v>
      </c>
      <c r="B7148" s="1" t="s">
        <v>14298</v>
      </c>
      <c r="C7148" s="1" t="s">
        <v>14299</v>
      </c>
    </row>
    <row r="7149" spans="1:3" x14ac:dyDescent="0.25">
      <c r="A7149" s="1" t="s">
        <v>14300</v>
      </c>
      <c r="B7149" s="1" t="s">
        <v>14301</v>
      </c>
      <c r="C7149" s="1" t="s">
        <v>14257</v>
      </c>
    </row>
    <row r="7150" spans="1:3" x14ac:dyDescent="0.25">
      <c r="A7150" s="1" t="s">
        <v>14302</v>
      </c>
      <c r="B7150" s="1" t="s">
        <v>14303</v>
      </c>
      <c r="C7150" s="1" t="s">
        <v>14304</v>
      </c>
    </row>
    <row r="7151" spans="1:3" x14ac:dyDescent="0.25">
      <c r="A7151" s="1" t="s">
        <v>14305</v>
      </c>
      <c r="B7151" s="1" t="s">
        <v>14306</v>
      </c>
      <c r="C7151" s="1" t="s">
        <v>14206</v>
      </c>
    </row>
    <row r="7152" spans="1:3" x14ac:dyDescent="0.25">
      <c r="A7152" s="1" t="s">
        <v>14307</v>
      </c>
      <c r="B7152" s="1" t="s">
        <v>14308</v>
      </c>
      <c r="C7152" s="1" t="s">
        <v>14206</v>
      </c>
    </row>
    <row r="7153" spans="1:3" x14ac:dyDescent="0.25">
      <c r="A7153" s="1" t="s">
        <v>14309</v>
      </c>
      <c r="B7153" s="1" t="s">
        <v>14310</v>
      </c>
      <c r="C7153" s="1" t="s">
        <v>14257</v>
      </c>
    </row>
    <row r="7154" spans="1:3" x14ac:dyDescent="0.25">
      <c r="A7154" s="1" t="s">
        <v>14311</v>
      </c>
      <c r="B7154" s="1" t="s">
        <v>14312</v>
      </c>
      <c r="C7154" s="1" t="s">
        <v>14206</v>
      </c>
    </row>
    <row r="7155" spans="1:3" x14ac:dyDescent="0.25">
      <c r="A7155" s="1" t="s">
        <v>14313</v>
      </c>
      <c r="B7155" s="1" t="s">
        <v>14314</v>
      </c>
      <c r="C7155" s="1" t="s">
        <v>14257</v>
      </c>
    </row>
    <row r="7156" spans="1:3" x14ac:dyDescent="0.25">
      <c r="A7156" s="1" t="s">
        <v>14315</v>
      </c>
      <c r="B7156" s="1" t="s">
        <v>14316</v>
      </c>
      <c r="C7156" s="1" t="s">
        <v>14206</v>
      </c>
    </row>
    <row r="7157" spans="1:3" x14ac:dyDescent="0.25">
      <c r="A7157" s="1" t="s">
        <v>14317</v>
      </c>
      <c r="B7157" s="1" t="s">
        <v>14318</v>
      </c>
      <c r="C7157" s="1" t="s">
        <v>14206</v>
      </c>
    </row>
    <row r="7158" spans="1:3" x14ac:dyDescent="0.25">
      <c r="A7158" s="1" t="s">
        <v>14319</v>
      </c>
      <c r="B7158" s="1" t="s">
        <v>14320</v>
      </c>
      <c r="C7158" s="1" t="s">
        <v>14206</v>
      </c>
    </row>
    <row r="7159" spans="1:3" x14ac:dyDescent="0.25">
      <c r="A7159" s="1" t="s">
        <v>14321</v>
      </c>
      <c r="B7159" s="1" t="s">
        <v>14322</v>
      </c>
      <c r="C7159" s="1" t="s">
        <v>14206</v>
      </c>
    </row>
    <row r="7160" spans="1:3" x14ac:dyDescent="0.25">
      <c r="A7160" s="1" t="s">
        <v>14323</v>
      </c>
      <c r="B7160" s="1" t="s">
        <v>14324</v>
      </c>
      <c r="C7160" s="1" t="s">
        <v>14206</v>
      </c>
    </row>
    <row r="7161" spans="1:3" x14ac:dyDescent="0.25">
      <c r="A7161" s="1" t="s">
        <v>14325</v>
      </c>
      <c r="B7161" s="1" t="s">
        <v>14326</v>
      </c>
      <c r="C7161" s="1" t="s">
        <v>14206</v>
      </c>
    </row>
    <row r="7162" spans="1:3" x14ac:dyDescent="0.25">
      <c r="A7162" s="1" t="s">
        <v>14327</v>
      </c>
      <c r="B7162" s="1" t="s">
        <v>14328</v>
      </c>
      <c r="C7162" s="1" t="s">
        <v>14206</v>
      </c>
    </row>
    <row r="7163" spans="1:3" x14ac:dyDescent="0.25">
      <c r="A7163" s="1" t="s">
        <v>14329</v>
      </c>
      <c r="B7163" s="1" t="s">
        <v>14330</v>
      </c>
      <c r="C7163" s="1" t="s">
        <v>14206</v>
      </c>
    </row>
    <row r="7164" spans="1:3" x14ac:dyDescent="0.25">
      <c r="A7164" s="1" t="s">
        <v>14331</v>
      </c>
      <c r="B7164" s="1" t="s">
        <v>14332</v>
      </c>
      <c r="C7164" s="1" t="s">
        <v>14206</v>
      </c>
    </row>
    <row r="7165" spans="1:3" x14ac:dyDescent="0.25">
      <c r="A7165" s="1" t="s">
        <v>14333</v>
      </c>
      <c r="B7165" s="1" t="s">
        <v>14334</v>
      </c>
      <c r="C7165" s="1" t="s">
        <v>14304</v>
      </c>
    </row>
    <row r="7166" spans="1:3" x14ac:dyDescent="0.25">
      <c r="A7166" s="1" t="s">
        <v>14335</v>
      </c>
      <c r="B7166" s="1" t="s">
        <v>14336</v>
      </c>
      <c r="C7166" s="1" t="s">
        <v>14206</v>
      </c>
    </row>
    <row r="7167" spans="1:3" x14ac:dyDescent="0.25">
      <c r="A7167" s="1" t="s">
        <v>14337</v>
      </c>
      <c r="B7167" s="1" t="s">
        <v>14338</v>
      </c>
      <c r="C7167" s="1" t="s">
        <v>14206</v>
      </c>
    </row>
    <row r="7168" spans="1:3" x14ac:dyDescent="0.25">
      <c r="A7168" s="1" t="s">
        <v>14339</v>
      </c>
      <c r="B7168" s="1" t="s">
        <v>14340</v>
      </c>
      <c r="C7168" s="1" t="s">
        <v>14206</v>
      </c>
    </row>
    <row r="7169" spans="1:3" x14ac:dyDescent="0.25">
      <c r="A7169" s="1" t="s">
        <v>14341</v>
      </c>
      <c r="B7169" s="1" t="s">
        <v>14342</v>
      </c>
      <c r="C7169" s="1" t="s">
        <v>14257</v>
      </c>
    </row>
    <row r="7170" spans="1:3" x14ac:dyDescent="0.25">
      <c r="A7170" s="1" t="s">
        <v>14343</v>
      </c>
      <c r="B7170" s="1" t="s">
        <v>14344</v>
      </c>
      <c r="C7170" s="1" t="s">
        <v>14257</v>
      </c>
    </row>
    <row r="7171" spans="1:3" x14ac:dyDescent="0.25">
      <c r="A7171" s="1" t="s">
        <v>14345</v>
      </c>
      <c r="B7171" s="1" t="s">
        <v>14346</v>
      </c>
      <c r="C7171" s="1" t="s">
        <v>14257</v>
      </c>
    </row>
    <row r="7172" spans="1:3" x14ac:dyDescent="0.25">
      <c r="A7172" s="1" t="s">
        <v>14347</v>
      </c>
      <c r="B7172" s="1" t="s">
        <v>14348</v>
      </c>
      <c r="C7172" s="1" t="s">
        <v>14257</v>
      </c>
    </row>
    <row r="7173" spans="1:3" x14ac:dyDescent="0.25">
      <c r="A7173" s="1" t="s">
        <v>14349</v>
      </c>
      <c r="B7173" s="1" t="s">
        <v>14350</v>
      </c>
      <c r="C7173" s="1" t="s">
        <v>14257</v>
      </c>
    </row>
    <row r="7174" spans="1:3" x14ac:dyDescent="0.25">
      <c r="A7174" s="1" t="s">
        <v>14351</v>
      </c>
      <c r="B7174" s="1" t="s">
        <v>14352</v>
      </c>
      <c r="C7174" s="1" t="s">
        <v>14257</v>
      </c>
    </row>
    <row r="7175" spans="1:3" x14ac:dyDescent="0.25">
      <c r="A7175" s="1" t="s">
        <v>14353</v>
      </c>
      <c r="B7175" s="1" t="s">
        <v>14354</v>
      </c>
      <c r="C7175" s="1" t="s">
        <v>14257</v>
      </c>
    </row>
    <row r="7176" spans="1:3" x14ac:dyDescent="0.25">
      <c r="A7176" s="1" t="s">
        <v>14355</v>
      </c>
      <c r="B7176" s="1" t="s">
        <v>14356</v>
      </c>
      <c r="C7176" s="1" t="s">
        <v>14257</v>
      </c>
    </row>
    <row r="7177" spans="1:3" x14ac:dyDescent="0.25">
      <c r="A7177" s="1" t="s">
        <v>14357</v>
      </c>
      <c r="B7177" s="1" t="s">
        <v>14358</v>
      </c>
      <c r="C7177" s="1" t="s">
        <v>14257</v>
      </c>
    </row>
    <row r="7178" spans="1:3" x14ac:dyDescent="0.25">
      <c r="A7178" s="1" t="s">
        <v>14359</v>
      </c>
      <c r="B7178" s="1" t="s">
        <v>14360</v>
      </c>
      <c r="C7178" s="1" t="s">
        <v>14206</v>
      </c>
    </row>
    <row r="7179" spans="1:3" x14ac:dyDescent="0.25">
      <c r="A7179" s="1" t="s">
        <v>14361</v>
      </c>
      <c r="B7179" s="1" t="s">
        <v>14362</v>
      </c>
      <c r="C7179" s="1" t="s">
        <v>14206</v>
      </c>
    </row>
    <row r="7180" spans="1:3" x14ac:dyDescent="0.25">
      <c r="A7180" s="1" t="s">
        <v>14363</v>
      </c>
      <c r="B7180" s="1" t="s">
        <v>14364</v>
      </c>
      <c r="C7180" s="1" t="s">
        <v>14206</v>
      </c>
    </row>
    <row r="7181" spans="1:3" x14ac:dyDescent="0.25">
      <c r="A7181" s="1" t="s">
        <v>14365</v>
      </c>
      <c r="B7181" s="1" t="s">
        <v>14366</v>
      </c>
      <c r="C7181" s="1" t="s">
        <v>14206</v>
      </c>
    </row>
    <row r="7182" spans="1:3" x14ac:dyDescent="0.25">
      <c r="A7182" s="1" t="s">
        <v>14367</v>
      </c>
      <c r="B7182" s="1" t="s">
        <v>14368</v>
      </c>
      <c r="C7182" s="1" t="s">
        <v>14206</v>
      </c>
    </row>
    <row r="7183" spans="1:3" x14ac:dyDescent="0.25">
      <c r="A7183" s="1" t="s">
        <v>14369</v>
      </c>
      <c r="B7183" s="1" t="s">
        <v>14370</v>
      </c>
      <c r="C7183" s="1" t="s">
        <v>14206</v>
      </c>
    </row>
    <row r="7184" spans="1:3" x14ac:dyDescent="0.25">
      <c r="A7184" s="1" t="s">
        <v>14371</v>
      </c>
      <c r="B7184" s="1" t="s">
        <v>14372</v>
      </c>
      <c r="C7184" s="1" t="s">
        <v>14206</v>
      </c>
    </row>
    <row r="7185" spans="1:3" x14ac:dyDescent="0.25">
      <c r="A7185" s="1" t="s">
        <v>14373</v>
      </c>
      <c r="B7185" s="1" t="s">
        <v>14374</v>
      </c>
      <c r="C7185" s="1" t="s">
        <v>14206</v>
      </c>
    </row>
    <row r="7186" spans="1:3" x14ac:dyDescent="0.25">
      <c r="A7186" s="1" t="s">
        <v>14375</v>
      </c>
      <c r="B7186" s="1" t="s">
        <v>14376</v>
      </c>
      <c r="C7186" s="1" t="s">
        <v>14206</v>
      </c>
    </row>
    <row r="7187" spans="1:3" x14ac:dyDescent="0.25">
      <c r="A7187" s="1" t="s">
        <v>14377</v>
      </c>
      <c r="B7187" s="1" t="s">
        <v>14378</v>
      </c>
      <c r="C7187" s="1" t="s">
        <v>14206</v>
      </c>
    </row>
    <row r="7188" spans="1:3" x14ac:dyDescent="0.25">
      <c r="A7188" s="1" t="s">
        <v>14379</v>
      </c>
      <c r="B7188" s="1" t="s">
        <v>14380</v>
      </c>
      <c r="C7188" s="1" t="s">
        <v>14206</v>
      </c>
    </row>
    <row r="7189" spans="1:3" x14ac:dyDescent="0.25">
      <c r="A7189" s="1" t="s">
        <v>14381</v>
      </c>
      <c r="B7189" s="1" t="s">
        <v>14382</v>
      </c>
      <c r="C7189" s="1" t="s">
        <v>14206</v>
      </c>
    </row>
    <row r="7190" spans="1:3" x14ac:dyDescent="0.25">
      <c r="A7190" s="1" t="s">
        <v>14383</v>
      </c>
      <c r="B7190" s="1" t="s">
        <v>14384</v>
      </c>
      <c r="C7190" s="1" t="s">
        <v>14206</v>
      </c>
    </row>
    <row r="7191" spans="1:3" x14ac:dyDescent="0.25">
      <c r="A7191" s="1" t="s">
        <v>14385</v>
      </c>
      <c r="B7191" s="1" t="s">
        <v>14386</v>
      </c>
      <c r="C7191" s="1" t="s">
        <v>14206</v>
      </c>
    </row>
    <row r="7192" spans="1:3" x14ac:dyDescent="0.25">
      <c r="A7192" s="1" t="s">
        <v>14387</v>
      </c>
      <c r="B7192" s="1" t="s">
        <v>14388</v>
      </c>
      <c r="C7192" s="1" t="s">
        <v>5</v>
      </c>
    </row>
    <row r="7193" spans="1:3" x14ac:dyDescent="0.25">
      <c r="A7193" s="1" t="s">
        <v>14389</v>
      </c>
      <c r="B7193" s="1" t="s">
        <v>14390</v>
      </c>
      <c r="C7193" s="1" t="s">
        <v>14257</v>
      </c>
    </row>
    <row r="7194" spans="1:3" x14ac:dyDescent="0.25">
      <c r="A7194" s="1" t="s">
        <v>14391</v>
      </c>
      <c r="B7194" s="1" t="s">
        <v>14256</v>
      </c>
      <c r="C7194" s="1" t="s">
        <v>14257</v>
      </c>
    </row>
    <row r="7195" spans="1:3" x14ac:dyDescent="0.25">
      <c r="A7195" s="1" t="s">
        <v>14392</v>
      </c>
      <c r="B7195" s="1" t="s">
        <v>14303</v>
      </c>
      <c r="C7195" s="1" t="s">
        <v>14304</v>
      </c>
    </row>
    <row r="7196" spans="1:3" x14ac:dyDescent="0.25">
      <c r="A7196" s="1" t="s">
        <v>14393</v>
      </c>
      <c r="B7196" s="1" t="s">
        <v>14394</v>
      </c>
      <c r="C7196" s="1" t="s">
        <v>5</v>
      </c>
    </row>
    <row r="7197" spans="1:3" x14ac:dyDescent="0.25">
      <c r="A7197" s="1" t="s">
        <v>14395</v>
      </c>
      <c r="B7197" s="1" t="s">
        <v>14396</v>
      </c>
      <c r="C7197" s="1" t="s">
        <v>14304</v>
      </c>
    </row>
    <row r="7198" spans="1:3" x14ac:dyDescent="0.25">
      <c r="A7198" s="1" t="s">
        <v>14397</v>
      </c>
      <c r="B7198" s="1" t="s">
        <v>14398</v>
      </c>
      <c r="C7198" s="1" t="s">
        <v>14304</v>
      </c>
    </row>
    <row r="7199" spans="1:3" x14ac:dyDescent="0.25">
      <c r="A7199" s="1" t="s">
        <v>14399</v>
      </c>
      <c r="B7199" s="1" t="s">
        <v>14400</v>
      </c>
      <c r="C7199" s="1" t="s">
        <v>14304</v>
      </c>
    </row>
    <row r="7200" spans="1:3" x14ac:dyDescent="0.25">
      <c r="A7200" s="1" t="s">
        <v>14401</v>
      </c>
      <c r="B7200" s="1" t="s">
        <v>14312</v>
      </c>
      <c r="C7200" s="1" t="s">
        <v>14206</v>
      </c>
    </row>
    <row r="7201" spans="1:3" x14ac:dyDescent="0.25">
      <c r="A7201" s="1" t="s">
        <v>14402</v>
      </c>
      <c r="B7201" s="1" t="s">
        <v>14403</v>
      </c>
      <c r="C7201" s="1" t="s">
        <v>14206</v>
      </c>
    </row>
    <row r="7202" spans="1:3" x14ac:dyDescent="0.25">
      <c r="A7202" s="1" t="s">
        <v>14404</v>
      </c>
      <c r="B7202" s="1" t="s">
        <v>14405</v>
      </c>
      <c r="C7202" s="1" t="s">
        <v>14206</v>
      </c>
    </row>
    <row r="7203" spans="1:3" x14ac:dyDescent="0.25">
      <c r="A7203" s="1" t="s">
        <v>14406</v>
      </c>
      <c r="B7203" s="1" t="s">
        <v>14407</v>
      </c>
      <c r="C7203" s="1" t="s">
        <v>14206</v>
      </c>
    </row>
    <row r="7204" spans="1:3" x14ac:dyDescent="0.25">
      <c r="A7204" s="1" t="s">
        <v>14408</v>
      </c>
      <c r="B7204" s="1" t="s">
        <v>14409</v>
      </c>
      <c r="C7204" s="1" t="s">
        <v>14206</v>
      </c>
    </row>
    <row r="7205" spans="1:3" x14ac:dyDescent="0.25">
      <c r="A7205" s="1" t="s">
        <v>14410</v>
      </c>
      <c r="B7205" s="1" t="s">
        <v>14411</v>
      </c>
      <c r="C7205" s="1" t="s">
        <v>14206</v>
      </c>
    </row>
    <row r="7206" spans="1:3" x14ac:dyDescent="0.25">
      <c r="A7206" s="1" t="s">
        <v>14412</v>
      </c>
      <c r="B7206" s="1" t="s">
        <v>14413</v>
      </c>
      <c r="C7206" s="1" t="s">
        <v>14206</v>
      </c>
    </row>
    <row r="7207" spans="1:3" x14ac:dyDescent="0.25">
      <c r="A7207" s="1" t="s">
        <v>14414</v>
      </c>
      <c r="B7207" s="1" t="s">
        <v>14415</v>
      </c>
      <c r="C7207" s="1" t="s">
        <v>14206</v>
      </c>
    </row>
    <row r="7208" spans="1:3" x14ac:dyDescent="0.25">
      <c r="A7208" s="1" t="s">
        <v>14416</v>
      </c>
      <c r="B7208" s="1" t="s">
        <v>14417</v>
      </c>
      <c r="C7208" s="1" t="s">
        <v>14206</v>
      </c>
    </row>
    <row r="7209" spans="1:3" x14ac:dyDescent="0.25">
      <c r="A7209" s="1" t="s">
        <v>14418</v>
      </c>
      <c r="B7209" s="1" t="s">
        <v>14419</v>
      </c>
      <c r="C7209" s="1" t="s">
        <v>14206</v>
      </c>
    </row>
    <row r="7210" spans="1:3" x14ac:dyDescent="0.25">
      <c r="A7210" s="1" t="s">
        <v>14420</v>
      </c>
      <c r="B7210" s="1" t="s">
        <v>14421</v>
      </c>
      <c r="C7210" s="1" t="s">
        <v>14206</v>
      </c>
    </row>
    <row r="7211" spans="1:3" x14ac:dyDescent="0.25">
      <c r="A7211" s="1" t="s">
        <v>14422</v>
      </c>
      <c r="B7211" s="1" t="s">
        <v>14423</v>
      </c>
      <c r="C7211" s="1" t="s">
        <v>14206</v>
      </c>
    </row>
    <row r="7212" spans="1:3" x14ac:dyDescent="0.25">
      <c r="A7212" s="1" t="s">
        <v>14424</v>
      </c>
      <c r="B7212" s="1" t="s">
        <v>14425</v>
      </c>
      <c r="C7212" s="1" t="s">
        <v>14206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28"/>
  <sheetViews>
    <sheetView workbookViewId="0" zoomScale="100" zoomScaleNormal="100">
      <selection activeCell="E17" sqref="E17"/>
    </sheetView>
  </sheetViews>
  <sheetFormatPr defaultRowHeight="12" outlineLevelRow="0" outlineLevelCol="0" x14ac:dyDescent="0.25" defaultColWidth="11.5703125" customHeight="1"/>
  <cols>
    <col min="1" max="1" width="8.7109375" style="1" customWidth="1"/>
    <col min="2" max="2" width="10.140625" style="1" customWidth="1"/>
    <col min="3" max="3" width="74.28515625" style="1" customWidth="1"/>
    <col min="4" max="4" width="7.28515625" style="1" customWidth="1"/>
    <col min="5" max="5" width="13.140625" style="3" customWidth="1"/>
    <col min="6" max="6" width="3.28515625" style="1" customWidth="1"/>
    <col min="7" max="8" width="13.140625" style="1" customWidth="1"/>
    <col min="9" max="16384" width="11.5703125" style="1" customWidth="1"/>
  </cols>
  <sheetData>
    <row r="1" spans="1:9" s="2" customFormat="1" x14ac:dyDescent="0.25">
      <c r="A1" s="2" t="s">
        <v>14426</v>
      </c>
      <c r="B1" s="2" t="s">
        <v>14427</v>
      </c>
      <c r="C1" s="2" t="s">
        <v>14428</v>
      </c>
      <c r="D1" s="2" t="s">
        <v>14429</v>
      </c>
      <c r="E1" s="4" t="s">
        <v>14430</v>
      </c>
      <c r="F1" s="2" t="s">
        <v>14431</v>
      </c>
      <c r="G1" s="5" t="s">
        <v>14432</v>
      </c>
      <c r="H1" s="2" t="s">
        <v>14433</v>
      </c>
      <c r="I1" s="2" t="s">
        <v>14434</v>
      </c>
    </row>
    <row r="2" spans="1:9" x14ac:dyDescent="0.25">
      <c r="A2" s="1" t="s">
        <v>14435</v>
      </c>
      <c r="B2" s="1" t="s">
        <v>6</v>
      </c>
      <c r="C2" s="1" t="str">
        <f>IFERROR(VLOOKUP(B2,'SB1'!$A$2:$B$999999,2,FALSE),"")</f>
        <v>CINTA PELIGRO X 100 MTS DOBLE FAZ(CP100)</v>
      </c>
      <c r="D2" s="1" t="s">
        <v>14436</v>
      </c>
      <c r="E2" s="3">
        <f>IFERROR(VLOOKUP(B2,'DA1'!$B$2:$D$999999,3,FALSE),"")</f>
      </c>
      <c r="F2" s="1" t="str">
        <f>IFERROR(VLOOKUP(B2,'SB1'!$A$2:$C$999999,3,FALSE),"")</f>
        <v>503</v>
      </c>
      <c r="G2" s="3" t="e">
        <f>E2*1.04</f>
        <v>#VALUE!</v>
      </c>
      <c r="H2" s="3" t="e">
        <f>G2*1.21</f>
        <v>#VALUE!</v>
      </c>
      <c r="I2" s="1">
        <v>1</v>
      </c>
    </row>
    <row r="3" spans="1:9" x14ac:dyDescent="0.25">
      <c r="A3" s="1" t="s">
        <v>14435</v>
      </c>
      <c r="B3" s="1" t="s">
        <v>8</v>
      </c>
      <c r="C3" s="1" t="str">
        <f>IFERROR(VLOOKUP(B3,'SB1'!$A$2:$B$999999,2,FALSE),"")</f>
        <v>CINTA PELIGRO X 200 MTS DOBLE FAZ(CP200)</v>
      </c>
      <c r="D3" s="1" t="s">
        <v>14436</v>
      </c>
      <c r="E3" s="3">
        <f>IFERROR(VLOOKUP(B3,'DA1'!$B$2:$D$999999,3,FALSE),"")</f>
      </c>
      <c r="F3" s="1" t="str">
        <f>IFERROR(VLOOKUP(B3,'SB1'!$A$2:$C$999999,3,FALSE),"")</f>
        <v>503</v>
      </c>
      <c r="G3" s="3" t="e">
        <f t="shared" ref="G3:G66" si="0">E3*1.04</f>
        <v>#VALUE!</v>
      </c>
      <c r="H3" s="3" t="e">
        <f t="shared" ref="H3:H66" si="1">G3*1.21</f>
        <v>#VALUE!</v>
      </c>
      <c r="I3" s="1">
        <v>1</v>
      </c>
    </row>
    <row r="4" spans="1:9" x14ac:dyDescent="0.25">
      <c r="A4" s="1" t="s">
        <v>14435</v>
      </c>
      <c r="B4" s="1" t="s">
        <v>10</v>
      </c>
      <c r="C4" s="1" t="str">
        <f>IFERROR(VLOOKUP(B4,'SB1'!$A$2:$B$999999,2,FALSE),"")</f>
        <v>PISTOLA APLICADORA SKELETOR REFORZADA</v>
      </c>
      <c r="D4" s="1" t="s">
        <v>14436</v>
      </c>
      <c r="E4" s="3">
        <f>IFERROR(VLOOKUP(B4,'DA1'!$B$2:$D$999999,3,FALSE),"")</f>
      </c>
      <c r="F4" s="1" t="str">
        <f>IFERROR(VLOOKUP(B4,'SB1'!$A$2:$C$999999,3,FALSE),"")</f>
        <v>503</v>
      </c>
      <c r="G4" s="3" t="e">
        <f t="shared" si="0"/>
        <v>#VALUE!</v>
      </c>
      <c r="H4" s="3" t="e">
        <f t="shared" si="1"/>
        <v>#VALUE!</v>
      </c>
      <c r="I4" s="1">
        <v>1</v>
      </c>
    </row>
    <row r="5" spans="1:9" x14ac:dyDescent="0.25">
      <c r="A5" s="1" t="s">
        <v>14435</v>
      </c>
      <c r="B5" s="1" t="s">
        <v>12</v>
      </c>
      <c r="C5" s="1" t="str">
        <f>IFERROR(VLOOKUP(B5,'SB1'!$A$2:$B$999999,2,FALSE),"")</f>
        <v>PORTA PINCEL MAGNETICO</v>
      </c>
      <c r="D5" s="1" t="s">
        <v>14436</v>
      </c>
      <c r="E5" s="3">
        <f>IFERROR(VLOOKUP(B5,'DA1'!$B$2:$D$999999,3,FALSE),"")</f>
      </c>
      <c r="F5" s="1" t="str">
        <f>IFERROR(VLOOKUP(B5,'SB1'!$A$2:$C$999999,3,FALSE),"")</f>
        <v>503</v>
      </c>
      <c r="G5" s="3" t="e">
        <f t="shared" si="0"/>
        <v>#VALUE!</v>
      </c>
      <c r="H5" s="3" t="e">
        <f t="shared" si="1"/>
        <v>#VALUE!</v>
      </c>
      <c r="I5" s="1">
        <v>1</v>
      </c>
    </row>
    <row r="6" spans="1:9" x14ac:dyDescent="0.25">
      <c r="A6" s="1" t="s">
        <v>14435</v>
      </c>
      <c r="B6" s="1" t="s">
        <v>14</v>
      </c>
      <c r="C6" s="1" t="str">
        <f>IFERROR(VLOOKUP(B6,'SB1'!$A$2:$B$999999,2,FALSE),"")</f>
        <v>COBERTURA PLASTICA MULTIUSO 3X3MTS.(AC315)</v>
      </c>
      <c r="D6" s="1" t="s">
        <v>14436</v>
      </c>
      <c r="E6" s="3">
        <f>IFERROR(VLOOKUP(B6,'DA1'!$B$2:$D$999999,3,FALSE),"")</f>
      </c>
      <c r="F6" s="1" t="str">
        <f>IFERROR(VLOOKUP(B6,'SB1'!$A$2:$C$999999,3,FALSE),"")</f>
        <v>503</v>
      </c>
      <c r="G6" s="3" t="e">
        <f t="shared" si="0"/>
        <v>#VALUE!</v>
      </c>
      <c r="H6" s="3" t="e">
        <f t="shared" si="1"/>
        <v>#VALUE!</v>
      </c>
      <c r="I6" s="1">
        <v>1</v>
      </c>
    </row>
    <row r="7" spans="1:9" x14ac:dyDescent="0.25">
      <c r="A7" s="1" t="s">
        <v>14435</v>
      </c>
      <c r="B7" s="1" t="s">
        <v>16</v>
      </c>
      <c r="C7" s="1" t="str">
        <f>IFERROR(VLOOKUP(B7,'SB1'!$A$2:$B$999999,2,FALSE),"")</f>
        <v>COBERTURA PLASTICA MULTIUSO 3X4MTS.(AC316)</v>
      </c>
      <c r="D7" s="1" t="s">
        <v>14436</v>
      </c>
      <c r="E7" s="3">
        <f>IFERROR(VLOOKUP(B7,'DA1'!$B$2:$D$999999,3,FALSE),"")</f>
      </c>
      <c r="F7" s="1" t="str">
        <f>IFERROR(VLOOKUP(B7,'SB1'!$A$2:$C$999999,3,FALSE),"")</f>
        <v>503</v>
      </c>
      <c r="G7" s="3" t="e">
        <f t="shared" si="0"/>
        <v>#VALUE!</v>
      </c>
      <c r="H7" s="3" t="e">
        <f t="shared" si="1"/>
        <v>#VALUE!</v>
      </c>
      <c r="I7" s="1">
        <v>1</v>
      </c>
    </row>
    <row r="8" spans="1:9" x14ac:dyDescent="0.25">
      <c r="A8" s="1" t="s">
        <v>14435</v>
      </c>
      <c r="B8" s="1" t="s">
        <v>18</v>
      </c>
      <c r="C8" s="1" t="str">
        <f>IFERROR(VLOOKUP(B8,'SB1'!$A$2:$B$999999,2,FALSE),"")</f>
        <v>COBERTURA PLASTICA MULTIUSO 3X5MTS.(AC317)</v>
      </c>
      <c r="D8" s="1" t="s">
        <v>14436</v>
      </c>
      <c r="E8" s="3">
        <f>IFERROR(VLOOKUP(B8,'DA1'!$B$2:$D$999999,3,FALSE),"")</f>
      </c>
      <c r="F8" s="1" t="str">
        <f>IFERROR(VLOOKUP(B8,'SB1'!$A$2:$C$999999,3,FALSE),"")</f>
        <v>503</v>
      </c>
      <c r="G8" s="3" t="e">
        <f t="shared" si="0"/>
        <v>#VALUE!</v>
      </c>
      <c r="H8" s="3" t="e">
        <f t="shared" si="1"/>
        <v>#VALUE!</v>
      </c>
      <c r="I8" s="1">
        <v>1</v>
      </c>
    </row>
    <row r="9" spans="1:9" x14ac:dyDescent="0.25">
      <c r="A9" s="1" t="s">
        <v>14435</v>
      </c>
      <c r="B9" s="1" t="s">
        <v>22</v>
      </c>
      <c r="C9" s="1" t="str">
        <f>IFERROR(VLOOKUP(B9,'SB1'!$A$2:$B$999999,2,FALSE),"")</f>
        <v>ESMALTE SINTETICO TERSUAVE 2EN1 MATE NEGRO X  0,500</v>
      </c>
      <c r="D9" s="1" t="s">
        <v>14437</v>
      </c>
      <c r="E9" s="3">
        <f>IFERROR(VLOOKUP(B9,'DA1'!$B$2:$D$999999,3,FALSE),"")</f>
      </c>
      <c r="F9" s="1" t="str">
        <f>IFERROR(VLOOKUP(B9,'SB1'!$A$2:$C$999999,3,FALSE),"")</f>
        <v>503</v>
      </c>
      <c r="G9" s="3" t="e">
        <f t="shared" si="0"/>
        <v>#VALUE!</v>
      </c>
      <c r="H9" s="3" t="e">
        <f t="shared" si="1"/>
        <v>#VALUE!</v>
      </c>
      <c r="I9" s="1">
        <v>1</v>
      </c>
    </row>
    <row r="10" spans="1:9" x14ac:dyDescent="0.25">
      <c r="A10" s="1" t="s">
        <v>14435</v>
      </c>
      <c r="B10" s="1" t="s">
        <v>24</v>
      </c>
      <c r="C10" s="1" t="str">
        <f>IFERROR(VLOOKUP(B10,'SB1'!$A$2:$B$999999,2,FALSE),"")</f>
        <v>ESMALTE SINTETICO TERSUAVE 2EN1 MATE NEGRO X  1</v>
      </c>
      <c r="D10" s="1" t="s">
        <v>14437</v>
      </c>
      <c r="E10" s="3">
        <f>IFERROR(VLOOKUP(B10,'DA1'!$B$2:$D$999999,3,FALSE),"")</f>
      </c>
      <c r="F10" s="1" t="str">
        <f>IFERROR(VLOOKUP(B10,'SB1'!$A$2:$C$999999,3,FALSE),"")</f>
        <v>503</v>
      </c>
      <c r="G10" s="3" t="e">
        <f t="shared" si="0"/>
        <v>#VALUE!</v>
      </c>
      <c r="H10" s="3" t="e">
        <f t="shared" si="1"/>
        <v>#VALUE!</v>
      </c>
      <c r="I10" s="1">
        <v>1</v>
      </c>
    </row>
    <row r="11" spans="1:9" x14ac:dyDescent="0.25">
      <c r="A11" s="1" t="s">
        <v>14435</v>
      </c>
      <c r="B11" s="1" t="s">
        <v>26</v>
      </c>
      <c r="C11" s="1" t="str">
        <f>IFERROR(VLOOKUP(B11,'SB1'!$A$2:$B$999999,2,FALSE),"")</f>
        <v>ESMALTE SINTETICO TERSUAVE 2EN1 MATE NEGRO X  4</v>
      </c>
      <c r="D11" s="1" t="s">
        <v>14437</v>
      </c>
      <c r="E11" s="3">
        <f>IFERROR(VLOOKUP(B11,'DA1'!$B$2:$D$999999,3,FALSE),"")</f>
      </c>
      <c r="F11" s="1" t="str">
        <f>IFERROR(VLOOKUP(B11,'SB1'!$A$2:$C$999999,3,FALSE),"")</f>
        <v>503</v>
      </c>
      <c r="G11" s="3" t="e">
        <f t="shared" si="0"/>
        <v>#VALUE!</v>
      </c>
      <c r="H11" s="3" t="e">
        <f t="shared" si="1"/>
        <v>#VALUE!</v>
      </c>
      <c r="I11" s="1">
        <v>1</v>
      </c>
    </row>
    <row r="12" spans="1:9" x14ac:dyDescent="0.25">
      <c r="A12" s="1" t="s">
        <v>14435</v>
      </c>
      <c r="B12" s="1" t="s">
        <v>28</v>
      </c>
      <c r="C12" s="1" t="str">
        <f>IFERROR(VLOOKUP(B12,'SB1'!$A$2:$B$999999,2,FALSE),"")</f>
        <v>ESMALTE SINTETICO TERSUAVE 2EN1 MATE BLANCO X  0,500</v>
      </c>
      <c r="D12" s="1" t="s">
        <v>14437</v>
      </c>
      <c r="E12" s="3">
        <f>IFERROR(VLOOKUP(B12,'DA1'!$B$2:$D$999999,3,FALSE),"")</f>
      </c>
      <c r="F12" s="1" t="str">
        <f>IFERROR(VLOOKUP(B12,'SB1'!$A$2:$C$999999,3,FALSE),"")</f>
        <v>503</v>
      </c>
      <c r="G12" s="3" t="e">
        <f t="shared" si="0"/>
        <v>#VALUE!</v>
      </c>
      <c r="H12" s="3" t="e">
        <f t="shared" si="1"/>
        <v>#VALUE!</v>
      </c>
      <c r="I12" s="1">
        <v>1</v>
      </c>
    </row>
    <row r="13" spans="1:9" x14ac:dyDescent="0.25">
      <c r="A13" s="1" t="s">
        <v>14435</v>
      </c>
      <c r="B13" s="1" t="s">
        <v>30</v>
      </c>
      <c r="C13" s="1" t="str">
        <f>IFERROR(VLOOKUP(B13,'SB1'!$A$2:$B$999999,2,FALSE),"")</f>
        <v>ESMALTE SINTETICO TERSUAVE 2EN1 MATE BLANCO X  1</v>
      </c>
      <c r="D13" s="1" t="s">
        <v>14437</v>
      </c>
      <c r="E13" s="3">
        <f>IFERROR(VLOOKUP(B13,'DA1'!$B$2:$D$999999,3,FALSE),"")</f>
      </c>
      <c r="F13" s="1" t="str">
        <f>IFERROR(VLOOKUP(B13,'SB1'!$A$2:$C$999999,3,FALSE),"")</f>
        <v>503</v>
      </c>
      <c r="G13" s="3" t="e">
        <f t="shared" si="0"/>
        <v>#VALUE!</v>
      </c>
      <c r="H13" s="3" t="e">
        <f t="shared" si="1"/>
        <v>#VALUE!</v>
      </c>
      <c r="I13" s="1">
        <v>1</v>
      </c>
    </row>
    <row r="14" spans="1:9" x14ac:dyDescent="0.25">
      <c r="A14" s="1" t="s">
        <v>14435</v>
      </c>
      <c r="B14" s="1" t="s">
        <v>32</v>
      </c>
      <c r="C14" s="1" t="str">
        <f>IFERROR(VLOOKUP(B14,'SB1'!$A$2:$B$999999,2,FALSE),"")</f>
        <v>ESMALTE SINTETICO TERSUAVE 2EN1 MATE BLANCO X  4</v>
      </c>
      <c r="D14" s="1" t="s">
        <v>14437</v>
      </c>
      <c r="E14" s="3">
        <f>IFERROR(VLOOKUP(B14,'DA1'!$B$2:$D$999999,3,FALSE),"")</f>
      </c>
      <c r="F14" s="1" t="str">
        <f>IFERROR(VLOOKUP(B14,'SB1'!$A$2:$C$999999,3,FALSE),"")</f>
        <v>503</v>
      </c>
      <c r="G14" s="3" t="e">
        <f t="shared" si="0"/>
        <v>#VALUE!</v>
      </c>
      <c r="H14" s="3" t="e">
        <f t="shared" si="1"/>
        <v>#VALUE!</v>
      </c>
      <c r="I14" s="1">
        <v>1</v>
      </c>
    </row>
    <row r="15" spans="1:9" x14ac:dyDescent="0.25">
      <c r="A15" s="1" t="s">
        <v>14435</v>
      </c>
      <c r="B15" s="1" t="s">
        <v>50</v>
      </c>
      <c r="C15" s="1" t="str">
        <f>IFERROR(VLOOKUP(B15,'SB1'!$A$2:$B$999999,2,FALSE),"")</f>
        <v>AUTOPOLISH COLORIN AUTOCERA X 0,450</v>
      </c>
      <c r="D15" s="1" t="s">
        <v>14438</v>
      </c>
      <c r="E15" s="3">
        <f>IFERROR(VLOOKUP(B15,'DA1'!$B$2:$D$999999,3,FALSE),"")</f>
      </c>
      <c r="F15" s="1" t="str">
        <f>IFERROR(VLOOKUP(B15,'SB1'!$A$2:$C$999999,3,FALSE),"")</f>
        <v>503</v>
      </c>
      <c r="G15" s="3" t="e">
        <f t="shared" si="0"/>
        <v>#VALUE!</v>
      </c>
      <c r="H15" s="3" t="e">
        <f t="shared" si="1"/>
        <v>#VALUE!</v>
      </c>
      <c r="I15" s="1">
        <v>1</v>
      </c>
    </row>
    <row r="16" spans="1:9" x14ac:dyDescent="0.25">
      <c r="A16" s="1" t="s">
        <v>14435</v>
      </c>
      <c r="B16" s="1" t="s">
        <v>52</v>
      </c>
      <c r="C16" s="1" t="str">
        <f>IFERROR(VLOOKUP(B16,'SB1'!$A$2:$B$999999,2,FALSE),"")</f>
        <v>AUTOPOLISH COLORIN BICAPA X 0,450</v>
      </c>
      <c r="D16" s="1" t="s">
        <v>14438</v>
      </c>
      <c r="E16" s="3">
        <f>IFERROR(VLOOKUP(B16,'DA1'!$B$2:$D$999999,3,FALSE),"")</f>
      </c>
      <c r="F16" s="1" t="str">
        <f>IFERROR(VLOOKUP(B16,'SB1'!$A$2:$C$999999,3,FALSE),"")</f>
        <v>503</v>
      </c>
      <c r="G16" s="3" t="e">
        <f t="shared" si="0"/>
        <v>#VALUE!</v>
      </c>
      <c r="H16" s="3" t="e">
        <f t="shared" si="1"/>
        <v>#VALUE!</v>
      </c>
      <c r="I16" s="1">
        <v>1</v>
      </c>
    </row>
    <row r="17" spans="1:8" x14ac:dyDescent="0.25">
      <c r="A17" s="1" t="s">
        <v>14435</v>
      </c>
      <c r="B17" s="1" t="s">
        <v>54</v>
      </c>
      <c r="C17" s="1" t="str">
        <f>IFERROR(VLOOKUP(B17,'SB1'!$A$2:$B$999999,2,FALSE),"")</f>
        <v>BARNIZ PARA MADERA EXTERIOR ALBATROS AL AGUA BRILLANTE INCOLORO X 1</v>
      </c>
      <c r="D17" s="1" t="s">
        <v>14439</v>
      </c>
      <c r="E17" s="3">
        <f>IFERROR(VLOOKUP(B17,'DA1'!$B$2:$D$999999,3,FALSE),"")</f>
      </c>
      <c r="F17" s="1" t="str">
        <f>IFERROR(VLOOKUP(B17,'SB1'!$A$2:$C$999999,3,FALSE),"")</f>
        <v>503</v>
      </c>
      <c r="G17" s="3" t="e">
        <f t="shared" si="0"/>
        <v>#VALUE!</v>
      </c>
      <c r="H17" s="3" t="e">
        <f t="shared" si="1"/>
        <v>#VALUE!</v>
      </c>
    </row>
    <row r="18" spans="1:9" x14ac:dyDescent="0.25">
      <c r="A18" s="1" t="s">
        <v>14435</v>
      </c>
      <c r="B18" s="1" t="s">
        <v>56</v>
      </c>
      <c r="C18" s="1" t="str">
        <f>IFERROR(VLOOKUP(B18,'SB1'!$A$2:$B$999999,2,FALSE),"")</f>
        <v>BARNIZ PARA MADERA EXTERIOR ALBATROS AL AGUA BRILLANTE INCOLORO X 4</v>
      </c>
      <c r="D18" s="1" t="s">
        <v>14439</v>
      </c>
      <c r="E18" s="3">
        <f>IFERROR(VLOOKUP(B18,'DA1'!$B$2:$D$999999,3,FALSE),"")</f>
      </c>
      <c r="F18" s="1" t="str">
        <f>IFERROR(VLOOKUP(B18,'SB1'!$A$2:$C$999999,3,FALSE),"")</f>
        <v>503</v>
      </c>
      <c r="G18" s="3" t="e">
        <f t="shared" si="0"/>
        <v>#VALUE!</v>
      </c>
      <c r="H18" s="3" t="e">
        <f t="shared" si="1"/>
        <v>#VALUE!</v>
      </c>
      <c r="I18" s="1">
        <v>1</v>
      </c>
    </row>
    <row r="19" spans="1:8" x14ac:dyDescent="0.25">
      <c r="A19" s="1" t="s">
        <v>14435</v>
      </c>
      <c r="B19" s="1" t="s">
        <v>58</v>
      </c>
      <c r="C19" s="1" t="str">
        <f>IFERROR(VLOOKUP(B19,'SB1'!$A$2:$B$999999,2,FALSE),"")</f>
        <v>REMOVEDOR GEL PETRILAC X 4</v>
      </c>
      <c r="D19" s="1" t="s">
        <v>14439</v>
      </c>
      <c r="E19" s="3">
        <f>IFERROR(VLOOKUP(B19,'DA1'!$B$2:$D$999999,3,FALSE),"")</f>
      </c>
      <c r="F19" s="1" t="str">
        <f>IFERROR(VLOOKUP(B19,'SB1'!$A$2:$C$999999,3,FALSE),"")</f>
        <v>503</v>
      </c>
      <c r="G19" s="3" t="e">
        <f t="shared" si="0"/>
        <v>#VALUE!</v>
      </c>
      <c r="H19" s="3" t="e">
        <f t="shared" si="1"/>
        <v>#VALUE!</v>
      </c>
    </row>
    <row r="20" spans="1:9" x14ac:dyDescent="0.25">
      <c r="A20" s="1" t="s">
        <v>14435</v>
      </c>
      <c r="B20" s="1" t="s">
        <v>70</v>
      </c>
      <c r="C20" s="1" t="str">
        <f>IFERROR(VLOOKUP(B20,'SB1'!$A$2:$B$999999,2,FALSE),"")</f>
        <v>LATEX PARA CIELORRASOS COLORIN MATE BLANCO X 20</v>
      </c>
      <c r="D20" s="1" t="s">
        <v>14440</v>
      </c>
      <c r="E20" s="3">
        <f>IFERROR(VLOOKUP(B20,'DA1'!$B$2:$D$999999,3,FALSE),"")</f>
      </c>
      <c r="F20" s="1" t="str">
        <f>IFERROR(VLOOKUP(B20,'SB1'!$A$2:$C$999999,3,FALSE),"")</f>
        <v>503</v>
      </c>
      <c r="G20" s="3" t="e">
        <f t="shared" si="0"/>
        <v>#VALUE!</v>
      </c>
      <c r="H20" s="3" t="e">
        <f t="shared" si="1"/>
        <v>#VALUE!</v>
      </c>
      <c r="I20" s="1">
        <v>1</v>
      </c>
    </row>
    <row r="21" spans="1:9" x14ac:dyDescent="0.25">
      <c r="A21" s="1" t="s">
        <v>14435</v>
      </c>
      <c r="B21" s="1" t="s">
        <v>84</v>
      </c>
      <c r="C21" s="1" t="str">
        <f>IFERROR(VLOOKUP(B21,'SB1'!$A$2:$B$999999,2,FALSE),"")</f>
        <v>BARNIZ PARA MADERA INTERIOR CRISTALBA PU MATE NATURAL X 1</v>
      </c>
      <c r="D21" s="1" t="s">
        <v>14441</v>
      </c>
      <c r="E21" s="3">
        <f>IFERROR(VLOOKUP(B21,'DA1'!$B$2:$D$999999,3,FALSE),"")</f>
      </c>
      <c r="F21" s="1" t="str">
        <f>IFERROR(VLOOKUP(B21,'SB1'!$A$2:$C$999999,3,FALSE),"")</f>
        <v>503</v>
      </c>
      <c r="G21" s="3" t="e">
        <f t="shared" si="0"/>
        <v>#VALUE!</v>
      </c>
      <c r="H21" s="3" t="e">
        <f t="shared" si="1"/>
        <v>#VALUE!</v>
      </c>
      <c r="I21" s="1">
        <v>1</v>
      </c>
    </row>
    <row r="22" spans="1:9" x14ac:dyDescent="0.25">
      <c r="A22" s="1" t="s">
        <v>14435</v>
      </c>
      <c r="B22" s="1" t="s">
        <v>86</v>
      </c>
      <c r="C22" s="1" t="str">
        <f>IFERROR(VLOOKUP(B22,'SB1'!$A$2:$B$999999,2,FALSE),"")</f>
        <v>BARNIZ PARA MADERA INTERIOR CRISTALBA PU MATE NATURAL X 4</v>
      </c>
      <c r="D22" s="1" t="s">
        <v>14441</v>
      </c>
      <c r="E22" s="3">
        <f>IFERROR(VLOOKUP(B22,'DA1'!$B$2:$D$999999,3,FALSE),"")</f>
      </c>
      <c r="F22" s="1" t="str">
        <f>IFERROR(VLOOKUP(B22,'SB1'!$A$2:$C$999999,3,FALSE),"")</f>
        <v>503</v>
      </c>
      <c r="G22" s="3" t="e">
        <f t="shared" si="0"/>
        <v>#VALUE!</v>
      </c>
      <c r="H22" s="3" t="e">
        <f t="shared" si="1"/>
        <v>#VALUE!</v>
      </c>
      <c r="I22" s="1">
        <v>1</v>
      </c>
    </row>
    <row r="23" spans="1:9" x14ac:dyDescent="0.25">
      <c r="A23" s="1" t="s">
        <v>14435</v>
      </c>
      <c r="B23" s="1" t="s">
        <v>88</v>
      </c>
      <c r="C23" s="1" t="str">
        <f>IFERROR(VLOOKUP(B23,'SB1'!$A$2:$B$999999,2,FALSE),"")</f>
        <v>MEZCLADOR PROFESIONAL(MIXER) Ø8CMX40CM</v>
      </c>
      <c r="D23" s="1" t="s">
        <v>14436</v>
      </c>
      <c r="E23" s="3">
        <f>IFERROR(VLOOKUP(B23,'DA1'!$B$2:$D$999999,3,FALSE),"")</f>
      </c>
      <c r="F23" s="1" t="str">
        <f>IFERROR(VLOOKUP(B23,'SB1'!$A$2:$C$999999,3,FALSE),"")</f>
        <v>503</v>
      </c>
      <c r="G23" s="3" t="e">
        <f t="shared" si="0"/>
        <v>#VALUE!</v>
      </c>
      <c r="H23" s="3" t="e">
        <f t="shared" si="1"/>
        <v>#VALUE!</v>
      </c>
      <c r="I23" s="1">
        <v>1</v>
      </c>
    </row>
    <row r="24" spans="1:9" x14ac:dyDescent="0.25">
      <c r="A24" s="1" t="s">
        <v>14435</v>
      </c>
      <c r="B24" s="1" t="s">
        <v>90</v>
      </c>
      <c r="C24" s="1" t="str">
        <f>IFERROR(VLOOKUP(B24,'SB1'!$A$2:$B$999999,2,FALSE),"")</f>
        <v>PALETA ABRELATA 30CM</v>
      </c>
      <c r="D24" s="1" t="s">
        <v>14436</v>
      </c>
      <c r="E24" s="3">
        <f>IFERROR(VLOOKUP(B24,'DA1'!$B$2:$D$999999,3,FALSE),"")</f>
      </c>
      <c r="F24" s="1" t="str">
        <f>IFERROR(VLOOKUP(B24,'SB1'!$A$2:$C$999999,3,FALSE),"")</f>
        <v>503</v>
      </c>
      <c r="G24" s="3" t="e">
        <f t="shared" si="0"/>
        <v>#VALUE!</v>
      </c>
      <c r="H24" s="3" t="e">
        <f t="shared" si="1"/>
        <v>#VALUE!</v>
      </c>
      <c r="I24" s="1">
        <v>1</v>
      </c>
    </row>
    <row r="25" spans="1:9" x14ac:dyDescent="0.25">
      <c r="A25" s="1" t="s">
        <v>14435</v>
      </c>
      <c r="B25" s="1" t="s">
        <v>94</v>
      </c>
      <c r="C25" s="1" t="str">
        <f>IFERROR(VLOOKUP(B25,'SB1'!$A$2:$B$999999,2,FALSE),"")</f>
        <v>JUEGO DE LAMINAS DE MASILLAR (5-8-10-12)</v>
      </c>
      <c r="D25" s="1" t="s">
        <v>14436</v>
      </c>
      <c r="E25" s="3">
        <f>IFERROR(VLOOKUP(B25,'DA1'!$B$2:$D$999999,3,FALSE),"")</f>
      </c>
      <c r="F25" s="1" t="str">
        <f>IFERROR(VLOOKUP(B25,'SB1'!$A$2:$C$999999,3,FALSE),"")</f>
        <v>503</v>
      </c>
      <c r="G25" s="3" t="e">
        <f t="shared" si="0"/>
        <v>#VALUE!</v>
      </c>
      <c r="H25" s="3" t="e">
        <f t="shared" si="1"/>
        <v>#VALUE!</v>
      </c>
      <c r="I25" s="1">
        <v>1</v>
      </c>
    </row>
    <row r="26" spans="1:9" x14ac:dyDescent="0.25">
      <c r="A26" s="1" t="s">
        <v>14435</v>
      </c>
      <c r="B26" s="1" t="s">
        <v>102</v>
      </c>
      <c r="C26" s="1" t="str">
        <f>IFERROR(VLOOKUP(B26,'SB1'!$A$2:$B$999999,2,FALSE),"")</f>
        <v>TRINCHETA-CUTTER PRO GUIA METAL USO PESADO</v>
      </c>
      <c r="D26" s="1" t="s">
        <v>14436</v>
      </c>
      <c r="E26" s="3">
        <f>IFERROR(VLOOKUP(B26,'DA1'!$B$2:$D$999999,3,FALSE),"")</f>
      </c>
      <c r="F26" s="1" t="str">
        <f>IFERROR(VLOOKUP(B26,'SB1'!$A$2:$C$999999,3,FALSE),"")</f>
        <v>503</v>
      </c>
      <c r="G26" s="3" t="e">
        <f t="shared" si="0"/>
        <v>#VALUE!</v>
      </c>
      <c r="H26" s="3" t="e">
        <f t="shared" si="1"/>
        <v>#VALUE!</v>
      </c>
      <c r="I26" s="1">
        <v>1</v>
      </c>
    </row>
    <row r="27" spans="1:9" x14ac:dyDescent="0.25">
      <c r="A27" s="1" t="s">
        <v>14435</v>
      </c>
      <c r="B27" s="1" t="s">
        <v>104</v>
      </c>
      <c r="C27" s="1" t="str">
        <f>IFERROR(VLOOKUP(B27,'SB1'!$A$2:$B$999999,2,FALSE),"")</f>
        <v>GUANTE NITRILO SOFT NEGRO S/P #XL MEDIGLOVE X 100</v>
      </c>
      <c r="D27" s="1" t="s">
        <v>14442</v>
      </c>
      <c r="E27" s="3">
        <f>IFERROR(VLOOKUP(B27,'DA1'!$B$2:$D$999999,3,FALSE),"")</f>
      </c>
      <c r="F27" s="1" t="str">
        <f>IFERROR(VLOOKUP(B27,'SB1'!$A$2:$C$999999,3,FALSE),"")</f>
        <v>503</v>
      </c>
      <c r="G27" s="3" t="e">
        <f t="shared" si="0"/>
        <v>#VALUE!</v>
      </c>
      <c r="H27" s="3" t="e">
        <f t="shared" si="1"/>
        <v>#VALUE!</v>
      </c>
      <c r="I27" s="1">
        <v>1</v>
      </c>
    </row>
    <row r="28" spans="1:9" x14ac:dyDescent="0.25">
      <c r="A28" s="1" t="s">
        <v>14435</v>
      </c>
      <c r="B28" s="1" t="s">
        <v>106</v>
      </c>
      <c r="C28" s="1" t="str">
        <f>IFERROR(VLOOKUP(B28,'SB1'!$A$2:$B$999999,2,FALSE),"")</f>
        <v>BALDE PLASTICO REFORZADO 8LTS. (BC01)</v>
      </c>
      <c r="D28" s="1" t="s">
        <v>14443</v>
      </c>
      <c r="E28" s="3">
        <f>IFERROR(VLOOKUP(B28,'DA1'!$B$2:$D$999999,3,FALSE),"")</f>
      </c>
      <c r="F28" s="1" t="str">
        <f>IFERROR(VLOOKUP(B28,'SB1'!$A$2:$C$999999,3,FALSE),"")</f>
        <v>503</v>
      </c>
      <c r="G28" s="3" t="e">
        <f t="shared" si="0"/>
        <v>#VALUE!</v>
      </c>
      <c r="H28" s="3" t="e">
        <f t="shared" si="1"/>
        <v>#VALUE!</v>
      </c>
      <c r="I28" s="1">
        <v>1</v>
      </c>
    </row>
    <row r="29" spans="1:9" x14ac:dyDescent="0.25">
      <c r="A29" s="1" t="s">
        <v>14435</v>
      </c>
      <c r="B29" s="1" t="s">
        <v>110</v>
      </c>
      <c r="C29" s="1" t="str">
        <f>IFERROR(VLOOKUP(B29,'SB1'!$A$2:$B$999999,2,FALSE),"")</f>
        <v>BASE ACRILICA-UNIVERSAL MMB X 0,875</v>
      </c>
      <c r="D29" s="1" t="s">
        <v>14444</v>
      </c>
      <c r="E29" s="3">
        <f>IFERROR(VLOOKUP(B29,'DA1'!$B$2:$D$999999,3,FALSE),"")</f>
      </c>
      <c r="F29" s="1" t="str">
        <f>IFERROR(VLOOKUP(B29,'SB1'!$A$2:$C$999999,3,FALSE),"")</f>
        <v>503</v>
      </c>
      <c r="G29" s="3" t="e">
        <f t="shared" si="0"/>
        <v>#VALUE!</v>
      </c>
      <c r="H29" s="3" t="e">
        <f t="shared" si="1"/>
        <v>#VALUE!</v>
      </c>
      <c r="I29" s="1">
        <v>1</v>
      </c>
    </row>
    <row r="30" spans="1:9" x14ac:dyDescent="0.25">
      <c r="A30" s="1" t="s">
        <v>14435</v>
      </c>
      <c r="B30" s="1" t="s">
        <v>112</v>
      </c>
      <c r="C30" s="1" t="str">
        <f>IFERROR(VLOOKUP(B30,'SB1'!$A$2:$B$999999,2,FALSE),"")</f>
        <v>BASE ACRILICA-UNIVERSAL MMB X 3,500</v>
      </c>
      <c r="D30" s="1" t="s">
        <v>14444</v>
      </c>
      <c r="E30" s="3">
        <f>IFERROR(VLOOKUP(B30,'DA1'!$B$2:$D$999999,3,FALSE),"")</f>
      </c>
      <c r="F30" s="1" t="str">
        <f>IFERROR(VLOOKUP(B30,'SB1'!$A$2:$C$999999,3,FALSE),"")</f>
        <v>503</v>
      </c>
      <c r="G30" s="3" t="e">
        <f t="shared" si="0"/>
        <v>#VALUE!</v>
      </c>
      <c r="H30" s="3" t="e">
        <f t="shared" si="1"/>
        <v>#VALUE!</v>
      </c>
      <c r="I30" s="1">
        <v>1</v>
      </c>
    </row>
    <row r="31" spans="1:9" x14ac:dyDescent="0.25">
      <c r="A31" s="1" t="s">
        <v>14435</v>
      </c>
      <c r="B31" s="1" t="s">
        <v>116</v>
      </c>
      <c r="C31" s="1" t="str">
        <f>IFERROR(VLOOKUP(B31,'SB1'!$A$2:$B$999999,2,FALSE),"")</f>
        <v>FONDO ANTIOXIDO UNIVERSAL MMB X 1</v>
      </c>
      <c r="D31" s="1" t="s">
        <v>14444</v>
      </c>
      <c r="E31" s="3">
        <f>IFERROR(VLOOKUP(B31,'DA1'!$B$2:$D$999999,3,FALSE),"")</f>
      </c>
      <c r="F31" s="1" t="str">
        <f>IFERROR(VLOOKUP(B31,'SB1'!$A$2:$C$999999,3,FALSE),"")</f>
        <v>503</v>
      </c>
      <c r="G31" s="3" t="e">
        <f t="shared" si="0"/>
        <v>#VALUE!</v>
      </c>
      <c r="H31" s="3" t="e">
        <f t="shared" si="1"/>
        <v>#VALUE!</v>
      </c>
      <c r="I31" s="1">
        <v>1</v>
      </c>
    </row>
    <row r="32" spans="1:9" x14ac:dyDescent="0.25">
      <c r="A32" s="1" t="s">
        <v>14435</v>
      </c>
      <c r="B32" s="1" t="s">
        <v>118</v>
      </c>
      <c r="C32" s="1" t="str">
        <f>IFERROR(VLOOKUP(B32,'SB1'!$A$2:$B$999999,2,FALSE),"")</f>
        <v>FONDO ANTIOXIDO UNIVERSAL MMB X 4</v>
      </c>
      <c r="D32" s="1" t="s">
        <v>14444</v>
      </c>
      <c r="E32" s="3">
        <f>IFERROR(VLOOKUP(B32,'DA1'!$B$2:$D$999999,3,FALSE),"")</f>
      </c>
      <c r="F32" s="1" t="str">
        <f>IFERROR(VLOOKUP(B32,'SB1'!$A$2:$C$999999,3,FALSE),"")</f>
        <v>503</v>
      </c>
      <c r="G32" s="3" t="e">
        <f t="shared" si="0"/>
        <v>#VALUE!</v>
      </c>
      <c r="H32" s="3" t="e">
        <f t="shared" si="1"/>
        <v>#VALUE!</v>
      </c>
      <c r="I32" s="1">
        <v>1</v>
      </c>
    </row>
    <row r="33" spans="1:9" x14ac:dyDescent="0.25">
      <c r="A33" s="1" t="s">
        <v>14435</v>
      </c>
      <c r="B33" s="1" t="s">
        <v>120</v>
      </c>
      <c r="C33" s="1" t="str">
        <f>IFERROR(VLOOKUP(B33,'SB1'!$A$2:$B$999999,2,FALSE),"")</f>
        <v>MASILLA UNIVERSAL MMB X 1</v>
      </c>
      <c r="D33" s="1" t="s">
        <v>14444</v>
      </c>
      <c r="E33" s="3">
        <f>IFERROR(VLOOKUP(B33,'DA1'!$B$2:$D$999999,3,FALSE),"")</f>
      </c>
      <c r="F33" s="1" t="str">
        <f>IFERROR(VLOOKUP(B33,'SB1'!$A$2:$C$999999,3,FALSE),"")</f>
        <v>503</v>
      </c>
      <c r="G33" s="3" t="e">
        <f t="shared" si="0"/>
        <v>#VALUE!</v>
      </c>
      <c r="H33" s="3" t="e">
        <f t="shared" si="1"/>
        <v>#VALUE!</v>
      </c>
      <c r="I33" s="1">
        <v>1</v>
      </c>
    </row>
    <row r="34" spans="1:8" x14ac:dyDescent="0.25">
      <c r="A34" s="1" t="s">
        <v>14435</v>
      </c>
      <c r="B34" s="1" t="s">
        <v>122</v>
      </c>
      <c r="C34" s="1" t="str">
        <f>IFERROR(VLOOKUP(B34,'SB1'!$A$2:$B$999999,2,FALSE),"")</f>
        <v>MASILLA UNIVERSAL MMB X 4</v>
      </c>
      <c r="D34" s="1" t="s">
        <v>14439</v>
      </c>
      <c r="E34" s="3">
        <f>IFERROR(VLOOKUP(B34,'DA1'!$B$2:$D$999999,3,FALSE),"")</f>
      </c>
      <c r="F34" s="1" t="str">
        <f>IFERROR(VLOOKUP(B34,'SB1'!$A$2:$C$999999,3,FALSE),"")</f>
        <v>503</v>
      </c>
      <c r="G34" s="3" t="e">
        <f t="shared" si="0"/>
        <v>#VALUE!</v>
      </c>
      <c r="H34" s="3" t="e">
        <f t="shared" si="1"/>
        <v>#VALUE!</v>
      </c>
    </row>
    <row r="35" spans="1:9" x14ac:dyDescent="0.25">
      <c r="A35" s="1" t="s">
        <v>14435</v>
      </c>
      <c r="B35" s="1" t="s">
        <v>132</v>
      </c>
      <c r="C35" s="1" t="str">
        <f>IFERROR(VLOOKUP(B35,'SB1'!$A$2:$B$999999,2,FALSE),"")</f>
        <v>LATEX EXTERIOR COLORIN TITANIO PRO BLANCO X 10</v>
      </c>
      <c r="D35" s="1" t="s">
        <v>14440</v>
      </c>
      <c r="E35" s="3">
        <f>IFERROR(VLOOKUP(B35,'DA1'!$B$2:$D$999999,3,FALSE),"")</f>
      </c>
      <c r="F35" s="1" t="str">
        <f>IFERROR(VLOOKUP(B35,'SB1'!$A$2:$C$999999,3,FALSE),"")</f>
        <v>503</v>
      </c>
      <c r="G35" s="3" t="e">
        <f t="shared" si="0"/>
        <v>#VALUE!</v>
      </c>
      <c r="H35" s="3" t="e">
        <f t="shared" si="1"/>
        <v>#VALUE!</v>
      </c>
      <c r="I35" s="1">
        <v>1</v>
      </c>
    </row>
    <row r="36" spans="1:9" x14ac:dyDescent="0.25">
      <c r="A36" s="1" t="s">
        <v>14435</v>
      </c>
      <c r="B36" s="1" t="s">
        <v>136</v>
      </c>
      <c r="C36" s="1" t="str">
        <f>IFERROR(VLOOKUP(B36,'SB1'!$A$2:$B$999999,2,FALSE),"")</f>
        <v>PROTECTOR PARA MADERA CETOL BELLEZA NATURAL MATE INCOLORO X 1</v>
      </c>
      <c r="D36" s="1" t="s">
        <v>14445</v>
      </c>
      <c r="E36" s="3">
        <f>IFERROR(VLOOKUP(B36,'DA1'!$B$2:$D$999999,3,FALSE),"")</f>
      </c>
      <c r="F36" s="1" t="str">
        <f>IFERROR(VLOOKUP(B36,'SB1'!$A$2:$C$999999,3,FALSE),"")</f>
        <v>503</v>
      </c>
      <c r="G36" s="3" t="e">
        <f t="shared" si="0"/>
        <v>#VALUE!</v>
      </c>
      <c r="H36" s="3" t="e">
        <f t="shared" si="1"/>
        <v>#VALUE!</v>
      </c>
      <c r="I36" s="1">
        <v>1</v>
      </c>
    </row>
    <row r="37" spans="1:9" x14ac:dyDescent="0.25">
      <c r="A37" s="1" t="s">
        <v>14435</v>
      </c>
      <c r="B37" s="1" t="s">
        <v>138</v>
      </c>
      <c r="C37" s="1" t="str">
        <f>IFERROR(VLOOKUP(B37,'SB1'!$A$2:$B$999999,2,FALSE),"")</f>
        <v>PROTECTOR PARA MADERA CETOL BELLEZA NATURAL MATE INCOLORO X 4</v>
      </c>
      <c r="D37" s="1" t="s">
        <v>14445</v>
      </c>
      <c r="E37" s="3">
        <f>IFERROR(VLOOKUP(B37,'DA1'!$B$2:$D$999999,3,FALSE),"")</f>
      </c>
      <c r="F37" s="1" t="str">
        <f>IFERROR(VLOOKUP(B37,'SB1'!$A$2:$C$999999,3,FALSE),"")</f>
        <v>503</v>
      </c>
      <c r="G37" s="3" t="e">
        <f t="shared" si="0"/>
        <v>#VALUE!</v>
      </c>
      <c r="H37" s="3" t="e">
        <f t="shared" si="1"/>
        <v>#VALUE!</v>
      </c>
      <c r="I37" s="1">
        <v>1</v>
      </c>
    </row>
    <row r="38" spans="1:9" x14ac:dyDescent="0.25">
      <c r="A38" s="1" t="s">
        <v>14435</v>
      </c>
      <c r="B38" s="1" t="s">
        <v>144</v>
      </c>
      <c r="C38" s="1" t="str">
        <f>IFERROR(VLOOKUP(B38,'SB1'!$A$2:$B$999999,2,FALSE),"")</f>
        <v>CUCHARA WELBY N 7 (CU02)</v>
      </c>
      <c r="D38" s="1" t="s">
        <v>14443</v>
      </c>
      <c r="E38" s="3">
        <f>IFERROR(VLOOKUP(B38,'DA1'!$B$2:$D$999999,3,FALSE),"")</f>
      </c>
      <c r="F38" s="1" t="str">
        <f>IFERROR(VLOOKUP(B38,'SB1'!$A$2:$C$999999,3,FALSE),"")</f>
        <v>503</v>
      </c>
      <c r="G38" s="3" t="e">
        <f t="shared" si="0"/>
        <v>#VALUE!</v>
      </c>
      <c r="H38" s="3" t="e">
        <f t="shared" si="1"/>
        <v>#VALUE!</v>
      </c>
      <c r="I38" s="1">
        <v>1</v>
      </c>
    </row>
    <row r="39" spans="1:9" x14ac:dyDescent="0.25">
      <c r="A39" s="1" t="s">
        <v>14435</v>
      </c>
      <c r="B39" s="1" t="s">
        <v>146</v>
      </c>
      <c r="C39" s="1" t="str">
        <f>IFERROR(VLOOKUP(B39,'SB1'!$A$2:$B$999999,2,FALSE),"")</f>
        <v>ESMALTE SINTETICO TERSUAVE 2EN1 MATE NEGRO X 20</v>
      </c>
      <c r="D39" s="1" t="s">
        <v>14437</v>
      </c>
      <c r="E39" s="3">
        <f>IFERROR(VLOOKUP(B39,'DA1'!$B$2:$D$999999,3,FALSE),"")</f>
      </c>
      <c r="F39" s="1" t="str">
        <f>IFERROR(VLOOKUP(B39,'SB1'!$A$2:$C$999999,3,FALSE),"")</f>
        <v>503</v>
      </c>
      <c r="G39" s="3" t="e">
        <f t="shared" si="0"/>
        <v>#VALUE!</v>
      </c>
      <c r="H39" s="3" t="e">
        <f t="shared" si="1"/>
        <v>#VALUE!</v>
      </c>
      <c r="I39" s="1">
        <v>1</v>
      </c>
    </row>
    <row r="40" spans="1:9" x14ac:dyDescent="0.25">
      <c r="A40" s="1" t="s">
        <v>14435</v>
      </c>
      <c r="B40" s="1" t="s">
        <v>148</v>
      </c>
      <c r="C40" s="1" t="str">
        <f>IFERROR(VLOOKUP(B40,'SB1'!$A$2:$B$999999,2,FALSE),"")</f>
        <v>D8501 PRIMER 2K DP4000 BLANCO AUTONIVELANTE (G1) X 1</v>
      </c>
      <c r="D40" s="1" t="s">
        <v>14446</v>
      </c>
      <c r="E40" s="3">
        <f>IFERROR(VLOOKUP(B40,'DA1'!$B$2:$D$999999,3,FALSE),"")</f>
      </c>
      <c r="F40" s="1" t="str">
        <f>IFERROR(VLOOKUP(B40,'SB1'!$A$2:$C$999999,3,FALSE),"")</f>
        <v>503</v>
      </c>
      <c r="G40" s="3" t="e">
        <f t="shared" si="0"/>
        <v>#VALUE!</v>
      </c>
      <c r="H40" s="3" t="e">
        <f t="shared" si="1"/>
        <v>#VALUE!</v>
      </c>
      <c r="I40" s="1">
        <v>3</v>
      </c>
    </row>
    <row r="41" spans="1:9" x14ac:dyDescent="0.25">
      <c r="A41" s="1" t="s">
        <v>14435</v>
      </c>
      <c r="B41" s="1" t="s">
        <v>150</v>
      </c>
      <c r="C41" s="1" t="str">
        <f>IFERROR(VLOOKUP(B41,'SB1'!$A$2:$B$999999,2,FALSE),"")</f>
        <v>D8507 PRIMER 2K DP4000 GRIS  AUTONIVELANTE (G7) X 1</v>
      </c>
      <c r="D41" s="1" t="s">
        <v>14446</v>
      </c>
      <c r="E41" s="3">
        <f>IFERROR(VLOOKUP(B41,'DA1'!$B$2:$D$999999,3,FALSE),"")</f>
      </c>
      <c r="F41" s="1" t="str">
        <f>IFERROR(VLOOKUP(B41,'SB1'!$A$2:$C$999999,3,FALSE),"")</f>
        <v>503</v>
      </c>
      <c r="G41" s="3" t="e">
        <f t="shared" si="0"/>
        <v>#VALUE!</v>
      </c>
      <c r="H41" s="3" t="e">
        <f t="shared" si="1"/>
        <v>#VALUE!</v>
      </c>
      <c r="I41" s="1">
        <v>3</v>
      </c>
    </row>
    <row r="42" spans="1:8" x14ac:dyDescent="0.25">
      <c r="A42" s="1" t="s">
        <v>14435</v>
      </c>
      <c r="B42" s="1" t="s">
        <v>152</v>
      </c>
      <c r="C42" s="1" t="str">
        <f>IFERROR(VLOOKUP(B42,'SB1'!$A$2:$B$999999,2,FALSE),"")</f>
        <v>D8238 CATALIZADOR P/ D8115 / D8117 / D8501/D8507 (DP4000) X 0,500 "DISCONTINUADO"</v>
      </c>
      <c r="D42" s="1" t="s">
        <v>14439</v>
      </c>
      <c r="E42" s="3">
        <f>IFERROR(VLOOKUP(B42,'DA1'!$B$2:$D$999999,3,FALSE),"")</f>
      </c>
      <c r="F42" s="1" t="str">
        <f>IFERROR(VLOOKUP(B42,'SB1'!$A$2:$C$999999,3,FALSE),"")</f>
        <v>503</v>
      </c>
      <c r="G42" s="3" t="e">
        <f t="shared" si="0"/>
        <v>#VALUE!</v>
      </c>
      <c r="H42" s="3" t="e">
        <f t="shared" si="1"/>
        <v>#VALUE!</v>
      </c>
    </row>
    <row r="43" spans="1:9" x14ac:dyDescent="0.25">
      <c r="A43" s="1" t="s">
        <v>14435</v>
      </c>
      <c r="B43" s="1" t="s">
        <v>158</v>
      </c>
      <c r="C43" s="1" t="str">
        <f>IFERROR(VLOOKUP(B43,'SB1'!$A$2:$B$999999,2,FALSE),"")</f>
        <v>LATEX PARA CIELORRASOS COLORIN MATE BLANCO X 10</v>
      </c>
      <c r="D43" s="1" t="s">
        <v>14440</v>
      </c>
      <c r="E43" s="3">
        <f>IFERROR(VLOOKUP(B43,'DA1'!$B$2:$D$999999,3,FALSE),"")</f>
      </c>
      <c r="F43" s="1" t="str">
        <f>IFERROR(VLOOKUP(B43,'SB1'!$A$2:$C$999999,3,FALSE),"")</f>
        <v>503</v>
      </c>
      <c r="G43" s="3" t="e">
        <f t="shared" si="0"/>
        <v>#VALUE!</v>
      </c>
      <c r="H43" s="3" t="e">
        <f t="shared" si="1"/>
        <v>#VALUE!</v>
      </c>
      <c r="I43" s="1">
        <v>1</v>
      </c>
    </row>
    <row r="44" spans="1:9" x14ac:dyDescent="0.25">
      <c r="A44" s="1" t="s">
        <v>14435</v>
      </c>
      <c r="B44" s="1" t="s">
        <v>166</v>
      </c>
      <c r="C44" s="1" t="str">
        <f>IFERROR(VLOOKUP(B44,'SB1'!$A$2:$B$999999,2,FALSE),"")</f>
        <v>ENDUIDO INTERIOR COLORIN SUPER LIVIANO X 20</v>
      </c>
      <c r="D44" s="1" t="s">
        <v>14440</v>
      </c>
      <c r="E44" s="3">
        <f>IFERROR(VLOOKUP(B44,'DA1'!$B$2:$D$999999,3,FALSE),"")</f>
      </c>
      <c r="F44" s="1" t="str">
        <f>IFERROR(VLOOKUP(B44,'SB1'!$A$2:$C$999999,3,FALSE),"")</f>
        <v>503</v>
      </c>
      <c r="G44" s="3" t="e">
        <f t="shared" si="0"/>
        <v>#VALUE!</v>
      </c>
      <c r="H44" s="3" t="e">
        <f t="shared" si="1"/>
        <v>#VALUE!</v>
      </c>
      <c r="I44" s="1">
        <v>1</v>
      </c>
    </row>
    <row r="45" spans="1:9" x14ac:dyDescent="0.25">
      <c r="A45" s="1" t="s">
        <v>14435</v>
      </c>
      <c r="B45" s="1" t="s">
        <v>168</v>
      </c>
      <c r="C45" s="1" t="str">
        <f>IFERROR(VLOOKUP(B45,'SB1'!$A$2:$B$999999,2,FALSE),"")</f>
        <v>PROTECTOR SUBCARROCERIA MMB ACUOSA NEGRO X 1</v>
      </c>
      <c r="D45" s="1" t="s">
        <v>14444</v>
      </c>
      <c r="E45" s="3">
        <f>IFERROR(VLOOKUP(B45,'DA1'!$B$2:$D$999999,3,FALSE),"")</f>
      </c>
      <c r="F45" s="1" t="str">
        <f>IFERROR(VLOOKUP(B45,'SB1'!$A$2:$C$999999,3,FALSE),"")</f>
        <v>503</v>
      </c>
      <c r="G45" s="3" t="e">
        <f t="shared" si="0"/>
        <v>#VALUE!</v>
      </c>
      <c r="H45" s="3" t="e">
        <f t="shared" si="1"/>
        <v>#VALUE!</v>
      </c>
      <c r="I45" s="1">
        <v>1</v>
      </c>
    </row>
    <row r="46" spans="1:9" x14ac:dyDescent="0.25">
      <c r="A46" s="1" t="s">
        <v>14435</v>
      </c>
      <c r="B46" s="1" t="s">
        <v>170</v>
      </c>
      <c r="C46" s="1" t="str">
        <f>IFERROR(VLOOKUP(B46,'SB1'!$A$2:$B$999999,2,FALSE),"")</f>
        <v>PROTECTOR SUBCARROCERIA MMB ACUOSA BLANCO X 1</v>
      </c>
      <c r="D46" s="1" t="s">
        <v>14444</v>
      </c>
      <c r="E46" s="3">
        <f>IFERROR(VLOOKUP(B46,'DA1'!$B$2:$D$999999,3,FALSE),"")</f>
      </c>
      <c r="F46" s="1" t="str">
        <f>IFERROR(VLOOKUP(B46,'SB1'!$A$2:$C$999999,3,FALSE),"")</f>
        <v>503</v>
      </c>
      <c r="G46" s="3" t="e">
        <f t="shared" si="0"/>
        <v>#VALUE!</v>
      </c>
      <c r="H46" s="3" t="e">
        <f t="shared" si="1"/>
        <v>#VALUE!</v>
      </c>
      <c r="I46" s="1">
        <v>1</v>
      </c>
    </row>
    <row r="47" spans="1:9" x14ac:dyDescent="0.25">
      <c r="A47" s="1" t="s">
        <v>14435</v>
      </c>
      <c r="B47" s="1" t="s">
        <v>172</v>
      </c>
      <c r="C47" s="1" t="str">
        <f>IFERROR(VLOOKUP(B47,'SB1'!$A$2:$B$999999,2,FALSE),"")</f>
        <v>MAGIPLAST ANTI-HONGO X 0,200</v>
      </c>
      <c r="D47" s="1" t="s">
        <v>14447</v>
      </c>
      <c r="E47" s="3">
        <f>IFERROR(VLOOKUP(B47,'DA1'!$B$2:$D$999999,3,FALSE),"")</f>
      </c>
      <c r="F47" s="1" t="str">
        <f>IFERROR(VLOOKUP(B47,'SB1'!$A$2:$C$999999,3,FALSE),"")</f>
        <v>503</v>
      </c>
      <c r="G47" s="3" t="e">
        <f t="shared" si="0"/>
        <v>#VALUE!</v>
      </c>
      <c r="H47" s="3" t="e">
        <f t="shared" si="1"/>
        <v>#VALUE!</v>
      </c>
      <c r="I47" s="1">
        <v>1</v>
      </c>
    </row>
    <row r="48" spans="1:9" x14ac:dyDescent="0.25">
      <c r="A48" s="1" t="s">
        <v>14435</v>
      </c>
      <c r="B48" s="1" t="s">
        <v>174</v>
      </c>
      <c r="C48" s="1" t="str">
        <f>IFERROR(VLOOKUP(B48,'SB1'!$A$2:$B$999999,2,FALSE),"")</f>
        <v>PASTA PULIR MMB FINA X 0,500</v>
      </c>
      <c r="D48" s="1" t="s">
        <v>14444</v>
      </c>
      <c r="E48" s="3">
        <f>IFERROR(VLOOKUP(B48,'DA1'!$B$2:$D$999999,3,FALSE),"")</f>
      </c>
      <c r="F48" s="1" t="str">
        <f>IFERROR(VLOOKUP(B48,'SB1'!$A$2:$C$999999,3,FALSE),"")</f>
        <v>503</v>
      </c>
      <c r="G48" s="3" t="e">
        <f t="shared" si="0"/>
        <v>#VALUE!</v>
      </c>
      <c r="H48" s="3" t="e">
        <f t="shared" si="1"/>
        <v>#VALUE!</v>
      </c>
      <c r="I48" s="1">
        <v>1</v>
      </c>
    </row>
    <row r="49" spans="1:9" x14ac:dyDescent="0.25">
      <c r="A49" s="1" t="s">
        <v>14435</v>
      </c>
      <c r="B49" s="1" t="s">
        <v>176</v>
      </c>
      <c r="C49" s="1" t="str">
        <f>IFERROR(VLOOKUP(B49,'SB1'!$A$2:$B$999999,2,FALSE),"")</f>
        <v>AUTOPOLISH COLORIN CLASICO X 0,450</v>
      </c>
      <c r="D49" s="1" t="s">
        <v>14438</v>
      </c>
      <c r="E49" s="3">
        <f>IFERROR(VLOOKUP(B49,'DA1'!$B$2:$D$999999,3,FALSE),"")</f>
      </c>
      <c r="F49" s="1" t="str">
        <f>IFERROR(VLOOKUP(B49,'SB1'!$A$2:$C$999999,3,FALSE),"")</f>
        <v>503</v>
      </c>
      <c r="G49" s="3" t="e">
        <f t="shared" si="0"/>
        <v>#VALUE!</v>
      </c>
      <c r="H49" s="3" t="e">
        <f t="shared" si="1"/>
        <v>#VALUE!</v>
      </c>
      <c r="I49" s="1">
        <v>1</v>
      </c>
    </row>
    <row r="50" spans="1:8" x14ac:dyDescent="0.25">
      <c r="A50" s="1" t="s">
        <v>14435</v>
      </c>
      <c r="B50" s="1" t="s">
        <v>178</v>
      </c>
      <c r="C50" s="1" t="str">
        <f>IFERROR(VLOOKUP(B50,'SB1'!$A$2:$B$999999,2,FALSE),"")</f>
        <v>REMOVEDOR GEL PETRILAC X 1</v>
      </c>
      <c r="D50" s="1" t="s">
        <v>14439</v>
      </c>
      <c r="E50" s="3">
        <f>IFERROR(VLOOKUP(B50,'DA1'!$B$2:$D$999999,3,FALSE),"")</f>
      </c>
      <c r="F50" s="1" t="str">
        <f>IFERROR(VLOOKUP(B50,'SB1'!$A$2:$C$999999,3,FALSE),"")</f>
        <v>503</v>
      </c>
      <c r="G50" s="3" t="e">
        <f t="shared" si="0"/>
        <v>#VALUE!</v>
      </c>
      <c r="H50" s="3" t="e">
        <f t="shared" si="1"/>
        <v>#VALUE!</v>
      </c>
    </row>
    <row r="51" spans="1:9" x14ac:dyDescent="0.25">
      <c r="A51" s="1" t="s">
        <v>14435</v>
      </c>
      <c r="B51" s="1" t="s">
        <v>180</v>
      </c>
      <c r="C51" s="1" t="str">
        <f>IFERROR(VLOOKUP(B51,'SB1'!$A$2:$B$999999,2,FALSE),"")</f>
        <v>ESMALTE SINTETICO TERSUAVE 2EN1 MATE NEGRO X  0,250</v>
      </c>
      <c r="D51" s="1" t="s">
        <v>14437</v>
      </c>
      <c r="E51" s="3">
        <f>IFERROR(VLOOKUP(B51,'DA1'!$B$2:$D$999999,3,FALSE),"")</f>
      </c>
      <c r="F51" s="1" t="str">
        <f>IFERROR(VLOOKUP(B51,'SB1'!$A$2:$C$999999,3,FALSE),"")</f>
        <v>503</v>
      </c>
      <c r="G51" s="3" t="e">
        <f t="shared" si="0"/>
        <v>#VALUE!</v>
      </c>
      <c r="H51" s="3" t="e">
        <f t="shared" si="1"/>
        <v>#VALUE!</v>
      </c>
      <c r="I51" s="1">
        <v>1</v>
      </c>
    </row>
    <row r="52" spans="1:9" x14ac:dyDescent="0.25">
      <c r="A52" s="1" t="s">
        <v>14435</v>
      </c>
      <c r="B52" s="1" t="s">
        <v>196</v>
      </c>
      <c r="C52" s="1" t="str">
        <f>IFERROR(VLOOKUP(B52,'SB1'!$A$2:$B$999999,2,FALSE),"")</f>
        <v>FIJADOR PARA PARED ALBA AL AGUARRAS X 20</v>
      </c>
      <c r="D52" s="1" t="s">
        <v>14441</v>
      </c>
      <c r="E52" s="3">
        <f>IFERROR(VLOOKUP(B52,'DA1'!$B$2:$D$999999,3,FALSE),"")</f>
      </c>
      <c r="F52" s="1" t="str">
        <f>IFERROR(VLOOKUP(B52,'SB1'!$A$2:$C$999999,3,FALSE),"")</f>
        <v>503</v>
      </c>
      <c r="G52" s="3" t="e">
        <f t="shared" si="0"/>
        <v>#VALUE!</v>
      </c>
      <c r="H52" s="3" t="e">
        <f t="shared" si="1"/>
        <v>#VALUE!</v>
      </c>
      <c r="I52" s="1">
        <v>1</v>
      </c>
    </row>
    <row r="53" spans="1:8" x14ac:dyDescent="0.25">
      <c r="A53" s="1" t="s">
        <v>14435</v>
      </c>
      <c r="B53" s="1" t="s">
        <v>198</v>
      </c>
      <c r="C53" s="1" t="str">
        <f>IFERROR(VLOOKUP(B53,'SB1'!$A$2:$B$999999,2,FALSE),"")</f>
        <v>PROTECTOR SUBCARROCERIAS ACUOSA TERSUAVE NEGRO X 1</v>
      </c>
      <c r="D53" s="1" t="s">
        <v>14439</v>
      </c>
      <c r="E53" s="3">
        <f>IFERROR(VLOOKUP(B53,'DA1'!$B$2:$D$999999,3,FALSE),"")</f>
      </c>
      <c r="F53" s="1" t="str">
        <f>IFERROR(VLOOKUP(B53,'SB1'!$A$2:$C$999999,3,FALSE),"")</f>
        <v>503</v>
      </c>
      <c r="G53" s="3" t="e">
        <f t="shared" si="0"/>
        <v>#VALUE!</v>
      </c>
      <c r="H53" s="3" t="e">
        <f t="shared" si="1"/>
        <v>#VALUE!</v>
      </c>
    </row>
    <row r="54" spans="1:9" x14ac:dyDescent="0.25">
      <c r="A54" s="1" t="s">
        <v>14435</v>
      </c>
      <c r="B54" s="1" t="s">
        <v>200</v>
      </c>
      <c r="C54" s="1" t="str">
        <f>IFERROR(VLOOKUP(B54,'SB1'!$A$2:$B$999999,2,FALSE),"")</f>
        <v>IMPERMEABILIZANTE PARA FRENTES Y MUROS ALBAFRENT MATE BLANCO X 10</v>
      </c>
      <c r="D54" s="1" t="s">
        <v>14441</v>
      </c>
      <c r="E54" s="3">
        <f>IFERROR(VLOOKUP(B54,'DA1'!$B$2:$D$999999,3,FALSE),"")</f>
      </c>
      <c r="F54" s="1" t="str">
        <f>IFERROR(VLOOKUP(B54,'SB1'!$A$2:$C$999999,3,FALSE),"")</f>
        <v>503</v>
      </c>
      <c r="G54" s="3" t="e">
        <f t="shared" si="0"/>
        <v>#VALUE!</v>
      </c>
      <c r="H54" s="3" t="e">
        <f t="shared" si="1"/>
        <v>#VALUE!</v>
      </c>
      <c r="I54" s="1">
        <v>1</v>
      </c>
    </row>
    <row r="55" spans="1:9" x14ac:dyDescent="0.25">
      <c r="A55" s="1" t="s">
        <v>14435</v>
      </c>
      <c r="B55" s="1" t="s">
        <v>204</v>
      </c>
      <c r="C55" s="1" t="str">
        <f>IFERROR(VLOOKUP(B55,'SB1'!$A$2:$B$999999,2,FALSE),"")</f>
        <v>PROMOTOR ADHESION PARA PLASTICO MMB X 1</v>
      </c>
      <c r="D55" s="1" t="s">
        <v>14444</v>
      </c>
      <c r="E55" s="3">
        <f>IFERROR(VLOOKUP(B55,'DA1'!$B$2:$D$999999,3,FALSE),"")</f>
      </c>
      <c r="F55" s="1" t="str">
        <f>IFERROR(VLOOKUP(B55,'SB1'!$A$2:$C$999999,3,FALSE),"")</f>
        <v>503</v>
      </c>
      <c r="G55" s="3" t="e">
        <f t="shared" si="0"/>
        <v>#VALUE!</v>
      </c>
      <c r="H55" s="3" t="e">
        <f t="shared" si="1"/>
        <v>#VALUE!</v>
      </c>
      <c r="I55" s="1">
        <v>1</v>
      </c>
    </row>
    <row r="56" spans="1:9" x14ac:dyDescent="0.25">
      <c r="A56" s="1" t="s">
        <v>14435</v>
      </c>
      <c r="B56" s="1" t="s">
        <v>206</v>
      </c>
      <c r="C56" s="1" t="str">
        <f>IFERROR(VLOOKUP(B56,'SB1'!$A$2:$B$999999,2,FALSE),"")</f>
        <v>LLANA DENTADA SANTA JUANA 30 4X4</v>
      </c>
      <c r="D56" s="1" t="s">
        <v>14448</v>
      </c>
      <c r="E56" s="3">
        <f>IFERROR(VLOOKUP(B56,'DA1'!$B$2:$D$999999,3,FALSE),"")</f>
      </c>
      <c r="F56" s="1" t="str">
        <f>IFERROR(VLOOKUP(B56,'SB1'!$A$2:$C$999999,3,FALSE),"")</f>
        <v>503</v>
      </c>
      <c r="G56" s="3" t="e">
        <f t="shared" si="0"/>
        <v>#VALUE!</v>
      </c>
      <c r="H56" s="3" t="e">
        <f t="shared" si="1"/>
        <v>#VALUE!</v>
      </c>
      <c r="I56" s="1">
        <v>1</v>
      </c>
    </row>
    <row r="57" spans="1:9" x14ac:dyDescent="0.25">
      <c r="A57" s="1" t="s">
        <v>14435</v>
      </c>
      <c r="B57" s="1" t="s">
        <v>210</v>
      </c>
      <c r="C57" s="1" t="str">
        <f>IFERROR(VLOOKUP(B57,'SB1'!$A$2:$B$999999,2,FALSE),"")</f>
        <v>ESMALTE PARA AZULEJOS ALBA AL AGUA BRILLANTE X 0,900</v>
      </c>
      <c r="D57" s="1" t="s">
        <v>14441</v>
      </c>
      <c r="E57" s="3">
        <f>IFERROR(VLOOKUP(B57,'DA1'!$B$2:$D$999999,3,FALSE),"")</f>
      </c>
      <c r="F57" s="1" t="str">
        <f>IFERROR(VLOOKUP(B57,'SB1'!$A$2:$C$999999,3,FALSE),"")</f>
        <v>503</v>
      </c>
      <c r="G57" s="3" t="e">
        <f t="shared" si="0"/>
        <v>#VALUE!</v>
      </c>
      <c r="H57" s="3" t="e">
        <f t="shared" si="1"/>
        <v>#VALUE!</v>
      </c>
      <c r="I57" s="1">
        <v>1</v>
      </c>
    </row>
    <row r="58" spans="1:9" x14ac:dyDescent="0.25">
      <c r="A58" s="1" t="s">
        <v>14435</v>
      </c>
      <c r="B58" s="1" t="s">
        <v>212</v>
      </c>
      <c r="C58" s="1" t="str">
        <f>IFERROR(VLOOKUP(B58,'SB1'!$A$2:$B$999999,2,FALSE),"")</f>
        <v>ESMALTE PARA AZULEJOS ALBA AL AGUA BRILLANTE X 3,600</v>
      </c>
      <c r="D58" s="1" t="s">
        <v>14441</v>
      </c>
      <c r="E58" s="3">
        <f>IFERROR(VLOOKUP(B58,'DA1'!$B$2:$D$999999,3,FALSE),"")</f>
      </c>
      <c r="F58" s="1" t="str">
        <f>IFERROR(VLOOKUP(B58,'SB1'!$A$2:$C$999999,3,FALSE),"")</f>
        <v>503</v>
      </c>
      <c r="G58" s="3" t="e">
        <f t="shared" si="0"/>
        <v>#VALUE!</v>
      </c>
      <c r="H58" s="3" t="e">
        <f t="shared" si="1"/>
        <v>#VALUE!</v>
      </c>
      <c r="I58" s="1">
        <v>1</v>
      </c>
    </row>
    <row r="59" spans="1:9" x14ac:dyDescent="0.25">
      <c r="A59" s="1" t="s">
        <v>14435</v>
      </c>
      <c r="B59" s="1" t="s">
        <v>216</v>
      </c>
      <c r="C59" s="1" t="str">
        <f>IFERROR(VLOOKUP(B59,'SB1'!$A$2:$B$999999,2,FALSE),"")</f>
        <v>CUCHARA WELBY CUCHARIN N 5 1/2 (CU08)</v>
      </c>
      <c r="D59" s="1" t="s">
        <v>14443</v>
      </c>
      <c r="E59" s="3">
        <f>IFERROR(VLOOKUP(B59,'DA1'!$B$2:$D$999999,3,FALSE),"")</f>
      </c>
      <c r="F59" s="1" t="str">
        <f>IFERROR(VLOOKUP(B59,'SB1'!$A$2:$C$999999,3,FALSE),"")</f>
        <v>503</v>
      </c>
      <c r="G59" s="3" t="e">
        <f t="shared" si="0"/>
        <v>#VALUE!</v>
      </c>
      <c r="H59" s="3" t="e">
        <f t="shared" si="1"/>
        <v>#VALUE!</v>
      </c>
      <c r="I59" s="1">
        <v>1</v>
      </c>
    </row>
    <row r="60" spans="1:9" x14ac:dyDescent="0.25">
      <c r="A60" s="1" t="s">
        <v>14435</v>
      </c>
      <c r="B60" s="1" t="s">
        <v>220</v>
      </c>
      <c r="C60" s="1" t="str">
        <f>IFERROR(VLOOKUP(B60,'SB1'!$A$2:$B$999999,2,FALSE),"")</f>
        <v>LATEX INTERIOR ALBALATEX MATE BLANCO X  1</v>
      </c>
      <c r="D60" s="1" t="s">
        <v>14441</v>
      </c>
      <c r="E60" s="3">
        <f>IFERROR(VLOOKUP(B60,'DA1'!$B$2:$D$999999,3,FALSE),"")</f>
      </c>
      <c r="F60" s="1" t="str">
        <f>IFERROR(VLOOKUP(B60,'SB1'!$A$2:$C$999999,3,FALSE),"")</f>
        <v>503</v>
      </c>
      <c r="G60" s="3" t="e">
        <f t="shared" si="0"/>
        <v>#VALUE!</v>
      </c>
      <c r="H60" s="3" t="e">
        <f t="shared" si="1"/>
        <v>#VALUE!</v>
      </c>
      <c r="I60" s="1">
        <v>1</v>
      </c>
    </row>
    <row r="61" spans="1:9" x14ac:dyDescent="0.25">
      <c r="A61" s="1" t="s">
        <v>14435</v>
      </c>
      <c r="B61" s="1" t="s">
        <v>222</v>
      </c>
      <c r="C61" s="1" t="str">
        <f>IFERROR(VLOOKUP(B61,'SB1'!$A$2:$B$999999,2,FALSE),"")</f>
        <v>LATEX INTERIOR ALBALATEX MATE BLANCO X  4</v>
      </c>
      <c r="D61" s="1" t="s">
        <v>14441</v>
      </c>
      <c r="E61" s="3">
        <f>IFERROR(VLOOKUP(B61,'DA1'!$B$2:$D$999999,3,FALSE),"")</f>
      </c>
      <c r="F61" s="1" t="str">
        <f>IFERROR(VLOOKUP(B61,'SB1'!$A$2:$C$999999,3,FALSE),"")</f>
        <v>503</v>
      </c>
      <c r="G61" s="3" t="e">
        <f t="shared" si="0"/>
        <v>#VALUE!</v>
      </c>
      <c r="H61" s="3" t="e">
        <f t="shared" si="1"/>
        <v>#VALUE!</v>
      </c>
      <c r="I61" s="1">
        <v>1</v>
      </c>
    </row>
    <row r="62" spans="1:9" x14ac:dyDescent="0.25">
      <c r="A62" s="1" t="s">
        <v>14435</v>
      </c>
      <c r="B62" s="1" t="s">
        <v>224</v>
      </c>
      <c r="C62" s="1" t="str">
        <f>IFERROR(VLOOKUP(B62,'SB1'!$A$2:$B$999999,2,FALSE),"")</f>
        <v>FRATACHO PLASTICO 30CM CON GOMA ESPUMA (FR08)</v>
      </c>
      <c r="D62" s="1" t="s">
        <v>14443</v>
      </c>
      <c r="E62" s="3">
        <f>IFERROR(VLOOKUP(B62,'DA1'!$B$2:$D$999999,3,FALSE),"")</f>
      </c>
      <c r="F62" s="1" t="str">
        <f>IFERROR(VLOOKUP(B62,'SB1'!$A$2:$C$999999,3,FALSE),"")</f>
        <v>503</v>
      </c>
      <c r="G62" s="3" t="e">
        <f t="shared" si="0"/>
        <v>#VALUE!</v>
      </c>
      <c r="H62" s="3" t="e">
        <f t="shared" si="1"/>
        <v>#VALUE!</v>
      </c>
      <c r="I62" s="1">
        <v>1</v>
      </c>
    </row>
    <row r="63" spans="1:9" x14ac:dyDescent="0.25">
      <c r="A63" s="1" t="s">
        <v>14435</v>
      </c>
      <c r="B63" s="1" t="s">
        <v>226</v>
      </c>
      <c r="C63" s="1" t="str">
        <f>IFERROR(VLOOKUP(B63,'SB1'!$A$2:$B$999999,2,FALSE),"")</f>
        <v>LATEX INTERIOR ALBALATEX MATE BLANCO X 20</v>
      </c>
      <c r="D63" s="1" t="s">
        <v>14441</v>
      </c>
      <c r="E63" s="3">
        <f>IFERROR(VLOOKUP(B63,'DA1'!$B$2:$D$999999,3,FALSE),"")</f>
      </c>
      <c r="F63" s="1" t="str">
        <f>IFERROR(VLOOKUP(B63,'SB1'!$A$2:$C$999999,3,FALSE),"")</f>
        <v>503</v>
      </c>
      <c r="G63" s="3" t="e">
        <f t="shared" si="0"/>
        <v>#VALUE!</v>
      </c>
      <c r="H63" s="3" t="e">
        <f t="shared" si="1"/>
        <v>#VALUE!</v>
      </c>
      <c r="I63" s="1">
        <v>1</v>
      </c>
    </row>
    <row r="64" spans="1:9" x14ac:dyDescent="0.25">
      <c r="A64" s="1" t="s">
        <v>14435</v>
      </c>
      <c r="B64" s="1" t="s">
        <v>228</v>
      </c>
      <c r="C64" s="1" t="str">
        <f>IFERROR(VLOOKUP(B64,'SB1'!$A$2:$B$999999,2,FALSE),"")</f>
        <v>LATEX INTERIOR ALBALATEX DESIGN SATINADO BLANCO X  1</v>
      </c>
      <c r="D64" s="1" t="s">
        <v>14441</v>
      </c>
      <c r="E64" s="3">
        <f>IFERROR(VLOOKUP(B64,'DA1'!$B$2:$D$999999,3,FALSE),"")</f>
      </c>
      <c r="F64" s="1" t="str">
        <f>IFERROR(VLOOKUP(B64,'SB1'!$A$2:$C$999999,3,FALSE),"")</f>
        <v>503</v>
      </c>
      <c r="G64" s="3" t="e">
        <f t="shared" si="0"/>
        <v>#VALUE!</v>
      </c>
      <c r="H64" s="3" t="e">
        <f t="shared" si="1"/>
        <v>#VALUE!</v>
      </c>
      <c r="I64" s="1">
        <v>1</v>
      </c>
    </row>
    <row r="65" spans="1:9" x14ac:dyDescent="0.25">
      <c r="A65" s="1" t="s">
        <v>14435</v>
      </c>
      <c r="B65" s="1" t="s">
        <v>230</v>
      </c>
      <c r="C65" s="1" t="str">
        <f>IFERROR(VLOOKUP(B65,'SB1'!$A$2:$B$999999,2,FALSE),"")</f>
        <v>LATEX INTERIOR ALBALATEX DESIGN SATINADO BLANCO X  4</v>
      </c>
      <c r="D65" s="1" t="s">
        <v>14441</v>
      </c>
      <c r="E65" s="3">
        <f>IFERROR(VLOOKUP(B65,'DA1'!$B$2:$D$999999,3,FALSE),"")</f>
      </c>
      <c r="F65" s="1" t="str">
        <f>IFERROR(VLOOKUP(B65,'SB1'!$A$2:$C$999999,3,FALSE),"")</f>
        <v>503</v>
      </c>
      <c r="G65" s="3" t="e">
        <f t="shared" si="0"/>
        <v>#VALUE!</v>
      </c>
      <c r="H65" s="3" t="e">
        <f t="shared" si="1"/>
        <v>#VALUE!</v>
      </c>
      <c r="I65" s="1">
        <v>1</v>
      </c>
    </row>
    <row r="66" spans="1:9" x14ac:dyDescent="0.25">
      <c r="A66" s="1" t="s">
        <v>14435</v>
      </c>
      <c r="B66" s="1" t="s">
        <v>232</v>
      </c>
      <c r="C66" s="1" t="str">
        <f>IFERROR(VLOOKUP(B66,'SB1'!$A$2:$B$999999,2,FALSE),"")</f>
        <v>LATEX INTERIOR ALBALATEX DESIGN SATINADO BLANCO X 10</v>
      </c>
      <c r="D66" s="1" t="s">
        <v>14441</v>
      </c>
      <c r="E66" s="3">
        <f>IFERROR(VLOOKUP(B66,'DA1'!$B$2:$D$999999,3,FALSE),"")</f>
      </c>
      <c r="F66" s="1" t="str">
        <f>IFERROR(VLOOKUP(B66,'SB1'!$A$2:$C$999999,3,FALSE),"")</f>
        <v>503</v>
      </c>
      <c r="G66" s="3" t="e">
        <f t="shared" si="0"/>
        <v>#VALUE!</v>
      </c>
      <c r="H66" s="3" t="e">
        <f t="shared" si="1"/>
        <v>#VALUE!</v>
      </c>
      <c r="I66" s="1">
        <v>1</v>
      </c>
    </row>
    <row r="67" spans="1:9" x14ac:dyDescent="0.25">
      <c r="A67" s="1" t="s">
        <v>14435</v>
      </c>
      <c r="B67" s="1" t="s">
        <v>234</v>
      </c>
      <c r="C67" s="1" t="str">
        <f>IFERROR(VLOOKUP(B67,'SB1'!$A$2:$B$999999,2,FALSE),"")</f>
        <v>LATEX INTERIOR ALBALATEX DESIGN SATINADO BLANCO X 20</v>
      </c>
      <c r="D67" s="1" t="s">
        <v>14441</v>
      </c>
      <c r="E67" s="3">
        <f>IFERROR(VLOOKUP(B67,'DA1'!$B$2:$D$999999,3,FALSE),"")</f>
      </c>
      <c r="F67" s="1" t="str">
        <f>IFERROR(VLOOKUP(B67,'SB1'!$A$2:$C$999999,3,FALSE),"")</f>
        <v>503</v>
      </c>
      <c r="G67" s="3" t="e">
        <f t="shared" ref="G67:G130" si="2">E67*1.04</f>
        <v>#VALUE!</v>
      </c>
      <c r="H67" s="3" t="e">
        <f t="shared" ref="H67:H130" si="3">G67*1.21</f>
        <v>#VALUE!</v>
      </c>
      <c r="I67" s="1">
        <v>1</v>
      </c>
    </row>
    <row r="68" spans="1:9" x14ac:dyDescent="0.25">
      <c r="A68" s="1" t="s">
        <v>14435</v>
      </c>
      <c r="B68" s="1" t="s">
        <v>236</v>
      </c>
      <c r="C68" s="1" t="str">
        <f>IFERROR(VLOOKUP(B68,'SB1'!$A$2:$B$999999,2,FALSE),"")</f>
        <v>LATEX PARA CIELORRASOS ALBA MATE BLANCO X  1</v>
      </c>
      <c r="D68" s="1" t="s">
        <v>14441</v>
      </c>
      <c r="E68" s="3">
        <f>IFERROR(VLOOKUP(B68,'DA1'!$B$2:$D$999999,3,FALSE),"")</f>
      </c>
      <c r="F68" s="1" t="str">
        <f>IFERROR(VLOOKUP(B68,'SB1'!$A$2:$C$999999,3,FALSE),"")</f>
        <v>503</v>
      </c>
      <c r="G68" s="3" t="e">
        <f t="shared" si="2"/>
        <v>#VALUE!</v>
      </c>
      <c r="H68" s="3" t="e">
        <f t="shared" si="3"/>
        <v>#VALUE!</v>
      </c>
      <c r="I68" s="1">
        <v>1</v>
      </c>
    </row>
    <row r="69" spans="1:9" x14ac:dyDescent="0.25">
      <c r="A69" s="1" t="s">
        <v>14435</v>
      </c>
      <c r="B69" s="1" t="s">
        <v>238</v>
      </c>
      <c r="C69" s="1" t="str">
        <f>IFERROR(VLOOKUP(B69,'SB1'!$A$2:$B$999999,2,FALSE),"")</f>
        <v>LATEX PARA CIELORRASOS ALBA MATE BLANCO X  4</v>
      </c>
      <c r="D69" s="1" t="s">
        <v>14441</v>
      </c>
      <c r="E69" s="3">
        <f>IFERROR(VLOOKUP(B69,'DA1'!$B$2:$D$999999,3,FALSE),"")</f>
      </c>
      <c r="F69" s="1" t="str">
        <f>IFERROR(VLOOKUP(B69,'SB1'!$A$2:$C$999999,3,FALSE),"")</f>
        <v>503</v>
      </c>
      <c r="G69" s="3" t="e">
        <f t="shared" si="2"/>
        <v>#VALUE!</v>
      </c>
      <c r="H69" s="3" t="e">
        <f t="shared" si="3"/>
        <v>#VALUE!</v>
      </c>
      <c r="I69" s="1">
        <v>1</v>
      </c>
    </row>
    <row r="70" spans="1:9" x14ac:dyDescent="0.25">
      <c r="A70" s="1" t="s">
        <v>14435</v>
      </c>
      <c r="B70" s="1" t="s">
        <v>240</v>
      </c>
      <c r="C70" s="1" t="str">
        <f>IFERROR(VLOOKUP(B70,'SB1'!$A$2:$B$999999,2,FALSE),"")</f>
        <v>FRATACHO DE PINO 30CM (FR11)</v>
      </c>
      <c r="D70" s="1" t="s">
        <v>14443</v>
      </c>
      <c r="E70" s="3">
        <f>IFERROR(VLOOKUP(B70,'DA1'!$B$2:$D$999999,3,FALSE),"")</f>
      </c>
      <c r="F70" s="1" t="str">
        <f>IFERROR(VLOOKUP(B70,'SB1'!$A$2:$C$999999,3,FALSE),"")</f>
        <v>503</v>
      </c>
      <c r="G70" s="3" t="e">
        <f t="shared" si="2"/>
        <v>#VALUE!</v>
      </c>
      <c r="H70" s="3" t="e">
        <f t="shared" si="3"/>
        <v>#VALUE!</v>
      </c>
      <c r="I70" s="1">
        <v>1</v>
      </c>
    </row>
    <row r="71" spans="1:9" x14ac:dyDescent="0.25">
      <c r="A71" s="1" t="s">
        <v>14435</v>
      </c>
      <c r="B71" s="1" t="s">
        <v>242</v>
      </c>
      <c r="C71" s="1" t="str">
        <f>IFERROR(VLOOKUP(B71,'SB1'!$A$2:$B$999999,2,FALSE),"")</f>
        <v>LATEX PARA CIELORRASOS ALBA MATE BLANCO X 20</v>
      </c>
      <c r="D71" s="1" t="s">
        <v>14441</v>
      </c>
      <c r="E71" s="3">
        <f>IFERROR(VLOOKUP(B71,'DA1'!$B$2:$D$999999,3,FALSE),"")</f>
      </c>
      <c r="F71" s="1" t="str">
        <f>IFERROR(VLOOKUP(B71,'SB1'!$A$2:$C$999999,3,FALSE),"")</f>
        <v>503</v>
      </c>
      <c r="G71" s="3" t="e">
        <f t="shared" si="2"/>
        <v>#VALUE!</v>
      </c>
      <c r="H71" s="3" t="e">
        <f t="shared" si="3"/>
        <v>#VALUE!</v>
      </c>
      <c r="I71" s="1">
        <v>1</v>
      </c>
    </row>
    <row r="72" spans="1:8" x14ac:dyDescent="0.25">
      <c r="A72" s="1" t="s">
        <v>14435</v>
      </c>
      <c r="B72" s="1" t="s">
        <v>248</v>
      </c>
      <c r="C72" s="1" t="str">
        <f>IFERROR(VLOOKUP(B72,'SB1'!$A$2:$B$999999,2,FALSE),"")</f>
        <v>AEROSOL RUST-OLEUM IMPRIMANTE PLASTICO PRIMER GRIS X 0,340 (252472/371258)</v>
      </c>
      <c r="D72" s="1" t="s">
        <v>14439</v>
      </c>
      <c r="E72" s="3">
        <f>IFERROR(VLOOKUP(B72,'DA1'!$B$2:$D$999999,3,FALSE),"")</f>
      </c>
      <c r="F72" s="1" t="str">
        <f>IFERROR(VLOOKUP(B72,'SB1'!$A$2:$C$999999,3,FALSE),"")</f>
        <v>503</v>
      </c>
      <c r="G72" s="3" t="e">
        <f t="shared" si="2"/>
        <v>#VALUE!</v>
      </c>
      <c r="H72" s="3" t="e">
        <f t="shared" si="3"/>
        <v>#VALUE!</v>
      </c>
    </row>
    <row r="73" spans="1:9" x14ac:dyDescent="0.25">
      <c r="A73" s="1" t="s">
        <v>14435</v>
      </c>
      <c r="B73" s="1" t="s">
        <v>256</v>
      </c>
      <c r="C73" s="1" t="str">
        <f>IFERROR(VLOOKUP(B73,'SB1'!$A$2:$B$999999,2,FALSE),"")</f>
        <v>LACA PARA PISO PETRILAC PLASTILAC X 1</v>
      </c>
      <c r="D73" s="1" t="s">
        <v>14449</v>
      </c>
      <c r="E73" s="3">
        <f>IFERROR(VLOOKUP(B73,'DA1'!$B$2:$D$999999,3,FALSE),"")</f>
      </c>
      <c r="F73" s="1" t="str">
        <f>IFERROR(VLOOKUP(B73,'SB1'!$A$2:$C$999999,3,FALSE),"")</f>
        <v>503</v>
      </c>
      <c r="G73" s="3" t="e">
        <f t="shared" si="2"/>
        <v>#VALUE!</v>
      </c>
      <c r="H73" s="3" t="e">
        <f t="shared" si="3"/>
        <v>#VALUE!</v>
      </c>
      <c r="I73" s="1">
        <v>1</v>
      </c>
    </row>
    <row r="74" spans="1:9" x14ac:dyDescent="0.25">
      <c r="A74" s="1" t="s">
        <v>14435</v>
      </c>
      <c r="B74" s="1" t="s">
        <v>258</v>
      </c>
      <c r="C74" s="1" t="str">
        <f>IFERROR(VLOOKUP(B74,'SB1'!$A$2:$B$999999,2,FALSE),"")</f>
        <v>LACA PARA PISO PETRILAC PLASTILAC X 4</v>
      </c>
      <c r="D74" s="1" t="s">
        <v>14449</v>
      </c>
      <c r="E74" s="3">
        <f>IFERROR(VLOOKUP(B74,'DA1'!$B$2:$D$999999,3,FALSE),"")</f>
      </c>
      <c r="F74" s="1" t="str">
        <f>IFERROR(VLOOKUP(B74,'SB1'!$A$2:$C$999999,3,FALSE),"")</f>
        <v>503</v>
      </c>
      <c r="G74" s="3" t="e">
        <f t="shared" si="2"/>
        <v>#VALUE!</v>
      </c>
      <c r="H74" s="3" t="e">
        <f t="shared" si="3"/>
        <v>#VALUE!</v>
      </c>
      <c r="I74" s="1">
        <v>1</v>
      </c>
    </row>
    <row r="75" spans="1:9" x14ac:dyDescent="0.25">
      <c r="A75" s="1" t="s">
        <v>14435</v>
      </c>
      <c r="B75" s="1" t="s">
        <v>260</v>
      </c>
      <c r="C75" s="1" t="str">
        <f>IFERROR(VLOOKUP(B75,'SB1'!$A$2:$B$999999,2,FALSE),"")</f>
        <v>ESMALTE SINTETICO TERSUAVE 2EN1 MATE BLANCO X  0,250</v>
      </c>
      <c r="D75" s="1" t="s">
        <v>14437</v>
      </c>
      <c r="E75" s="3">
        <f>IFERROR(VLOOKUP(B75,'DA1'!$B$2:$D$999999,3,FALSE),"")</f>
      </c>
      <c r="F75" s="1" t="str">
        <f>IFERROR(VLOOKUP(B75,'SB1'!$A$2:$C$999999,3,FALSE),"")</f>
        <v>503</v>
      </c>
      <c r="G75" s="3" t="e">
        <f t="shared" si="2"/>
        <v>#VALUE!</v>
      </c>
      <c r="H75" s="3" t="e">
        <f t="shared" si="3"/>
        <v>#VALUE!</v>
      </c>
      <c r="I75" s="1">
        <v>1</v>
      </c>
    </row>
    <row r="76" spans="1:9" x14ac:dyDescent="0.25">
      <c r="A76" s="1" t="s">
        <v>14435</v>
      </c>
      <c r="B76" s="1" t="s">
        <v>262</v>
      </c>
      <c r="C76" s="1" t="str">
        <f>IFERROR(VLOOKUP(B76,'SB1'!$A$2:$B$999999,2,FALSE),"")</f>
        <v>ESMALTE SINTETICO TERSUAVE 2EN1 MATE BLANCO X 20</v>
      </c>
      <c r="D76" s="1" t="s">
        <v>14437</v>
      </c>
      <c r="E76" s="3">
        <f>IFERROR(VLOOKUP(B76,'DA1'!$B$2:$D$999999,3,FALSE),"")</f>
      </c>
      <c r="F76" s="1" t="str">
        <f>IFERROR(VLOOKUP(B76,'SB1'!$A$2:$C$999999,3,FALSE),"")</f>
        <v>503</v>
      </c>
      <c r="G76" s="3" t="e">
        <f t="shared" si="2"/>
        <v>#VALUE!</v>
      </c>
      <c r="H76" s="3" t="e">
        <f t="shared" si="3"/>
        <v>#VALUE!</v>
      </c>
      <c r="I76" s="1">
        <v>1</v>
      </c>
    </row>
    <row r="77" spans="1:9" x14ac:dyDescent="0.25">
      <c r="A77" s="1" t="s">
        <v>14435</v>
      </c>
      <c r="B77" s="1" t="s">
        <v>264</v>
      </c>
      <c r="C77" s="1" t="str">
        <f>IFERROR(VLOOKUP(B77,'SB1'!$A$2:$B$999999,2,FALSE),"")</f>
        <v>LATEX PARA CIELORRASOS ALBA MATE BLANCO X 10</v>
      </c>
      <c r="D77" s="1" t="s">
        <v>14441</v>
      </c>
      <c r="E77" s="3">
        <f>IFERROR(VLOOKUP(B77,'DA1'!$B$2:$D$999999,3,FALSE),"")</f>
      </c>
      <c r="F77" s="1" t="str">
        <f>IFERROR(VLOOKUP(B77,'SB1'!$A$2:$C$999999,3,FALSE),"")</f>
        <v>503</v>
      </c>
      <c r="G77" s="3" t="e">
        <f t="shared" si="2"/>
        <v>#VALUE!</v>
      </c>
      <c r="H77" s="3" t="e">
        <f t="shared" si="3"/>
        <v>#VALUE!</v>
      </c>
      <c r="I77" s="1">
        <v>1</v>
      </c>
    </row>
    <row r="78" spans="1:9" x14ac:dyDescent="0.25">
      <c r="A78" s="1" t="s">
        <v>14435</v>
      </c>
      <c r="B78" s="1" t="s">
        <v>266</v>
      </c>
      <c r="C78" s="1" t="str">
        <f>IFERROR(VLOOKUP(B78,'SB1'!$A$2:$B$999999,2,FALSE),"")</f>
        <v>ENTONADOR UNIVERSAL TONALBA 001 AMARILLO X 0,030</v>
      </c>
      <c r="D78" s="1" t="s">
        <v>14441</v>
      </c>
      <c r="E78" s="3">
        <f>IFERROR(VLOOKUP(B78,'DA1'!$B$2:$D$999999,3,FALSE),"")</f>
      </c>
      <c r="F78" s="1" t="str">
        <f>IFERROR(VLOOKUP(B78,'SB1'!$A$2:$C$999999,3,FALSE),"")</f>
        <v>503</v>
      </c>
      <c r="G78" s="3" t="e">
        <f t="shared" si="2"/>
        <v>#VALUE!</v>
      </c>
      <c r="H78" s="3" t="e">
        <f t="shared" si="3"/>
        <v>#VALUE!</v>
      </c>
      <c r="I78" s="1">
        <v>1</v>
      </c>
    </row>
    <row r="79" spans="1:9" x14ac:dyDescent="0.25">
      <c r="A79" s="1" t="s">
        <v>14435</v>
      </c>
      <c r="B79" s="1" t="s">
        <v>268</v>
      </c>
      <c r="C79" s="1" t="str">
        <f>IFERROR(VLOOKUP(B79,'SB1'!$A$2:$B$999999,2,FALSE),"")</f>
        <v>ENTONADOR UNIVERSAL TONALBA 002 BERMELLON X 0,030</v>
      </c>
      <c r="D79" s="1" t="s">
        <v>14441</v>
      </c>
      <c r="E79" s="3">
        <f>IFERROR(VLOOKUP(B79,'DA1'!$B$2:$D$999999,3,FALSE),"")</f>
      </c>
      <c r="F79" s="1" t="str">
        <f>IFERROR(VLOOKUP(B79,'SB1'!$A$2:$C$999999,3,FALSE),"")</f>
        <v>503</v>
      </c>
      <c r="G79" s="3" t="e">
        <f t="shared" si="2"/>
        <v>#VALUE!</v>
      </c>
      <c r="H79" s="3" t="e">
        <f t="shared" si="3"/>
        <v>#VALUE!</v>
      </c>
      <c r="I79" s="1">
        <v>1</v>
      </c>
    </row>
    <row r="80" spans="1:9" x14ac:dyDescent="0.25">
      <c r="A80" s="1" t="s">
        <v>14435</v>
      </c>
      <c r="B80" s="1" t="s">
        <v>270</v>
      </c>
      <c r="C80" s="1" t="str">
        <f>IFERROR(VLOOKUP(B80,'SB1'!$A$2:$B$999999,2,FALSE),"")</f>
        <v>ENTONADOR UNIVERSAL TONALBA 003 OCRE X 0,030</v>
      </c>
      <c r="D80" s="1" t="s">
        <v>14441</v>
      </c>
      <c r="E80" s="3">
        <f>IFERROR(VLOOKUP(B80,'DA1'!$B$2:$D$999999,3,FALSE),"")</f>
      </c>
      <c r="F80" s="1" t="str">
        <f>IFERROR(VLOOKUP(B80,'SB1'!$A$2:$C$999999,3,FALSE),"")</f>
        <v>503</v>
      </c>
      <c r="G80" s="3" t="e">
        <f t="shared" si="2"/>
        <v>#VALUE!</v>
      </c>
      <c r="H80" s="3" t="e">
        <f t="shared" si="3"/>
        <v>#VALUE!</v>
      </c>
      <c r="I80" s="1">
        <v>1</v>
      </c>
    </row>
    <row r="81" spans="1:9" x14ac:dyDescent="0.25">
      <c r="A81" s="1" t="s">
        <v>14435</v>
      </c>
      <c r="B81" s="1" t="s">
        <v>272</v>
      </c>
      <c r="C81" s="1" t="str">
        <f>IFERROR(VLOOKUP(B81,'SB1'!$A$2:$B$999999,2,FALSE),"")</f>
        <v>ENTONADOR UNIVERSAL TONALBA 004 VERDE CLARO X 0,030</v>
      </c>
      <c r="D81" s="1" t="s">
        <v>14441</v>
      </c>
      <c r="E81" s="3">
        <f>IFERROR(VLOOKUP(B81,'DA1'!$B$2:$D$999999,3,FALSE),"")</f>
      </c>
      <c r="F81" s="1" t="str">
        <f>IFERROR(VLOOKUP(B81,'SB1'!$A$2:$C$999999,3,FALSE),"")</f>
        <v>503</v>
      </c>
      <c r="G81" s="3" t="e">
        <f t="shared" si="2"/>
        <v>#VALUE!</v>
      </c>
      <c r="H81" s="3" t="e">
        <f t="shared" si="3"/>
        <v>#VALUE!</v>
      </c>
      <c r="I81" s="1">
        <v>1</v>
      </c>
    </row>
    <row r="82" spans="1:9" x14ac:dyDescent="0.25">
      <c r="A82" s="1" t="s">
        <v>14435</v>
      </c>
      <c r="B82" s="1" t="s">
        <v>274</v>
      </c>
      <c r="C82" s="1" t="str">
        <f>IFERROR(VLOOKUP(B82,'SB1'!$A$2:$B$999999,2,FALSE),"")</f>
        <v>ENTONADOR UNIVERSAL TONALBA 005 VERDE OSCURO X 0,030</v>
      </c>
      <c r="D82" s="1" t="s">
        <v>14441</v>
      </c>
      <c r="E82" s="3">
        <f>IFERROR(VLOOKUP(B82,'DA1'!$B$2:$D$999999,3,FALSE),"")</f>
      </c>
      <c r="F82" s="1" t="str">
        <f>IFERROR(VLOOKUP(B82,'SB1'!$A$2:$C$999999,3,FALSE),"")</f>
        <v>503</v>
      </c>
      <c r="G82" s="3" t="e">
        <f t="shared" si="2"/>
        <v>#VALUE!</v>
      </c>
      <c r="H82" s="3" t="e">
        <f t="shared" si="3"/>
        <v>#VALUE!</v>
      </c>
      <c r="I82" s="1">
        <v>1</v>
      </c>
    </row>
    <row r="83" spans="1:9" x14ac:dyDescent="0.25">
      <c r="A83" s="1" t="s">
        <v>14435</v>
      </c>
      <c r="B83" s="1" t="s">
        <v>276</v>
      </c>
      <c r="C83" s="1" t="str">
        <f>IFERROR(VLOOKUP(B83,'SB1'!$A$2:$B$999999,2,FALSE),"")</f>
        <v>ENTONADOR UNIVERSAL TONALBA 006 AZUL X 0,030</v>
      </c>
      <c r="D83" s="1" t="s">
        <v>14441</v>
      </c>
      <c r="E83" s="3">
        <f>IFERROR(VLOOKUP(B83,'DA1'!$B$2:$D$999999,3,FALSE),"")</f>
      </c>
      <c r="F83" s="1" t="str">
        <f>IFERROR(VLOOKUP(B83,'SB1'!$A$2:$C$999999,3,FALSE),"")</f>
        <v>503</v>
      </c>
      <c r="G83" s="3" t="e">
        <f t="shared" si="2"/>
        <v>#VALUE!</v>
      </c>
      <c r="H83" s="3" t="e">
        <f t="shared" si="3"/>
        <v>#VALUE!</v>
      </c>
      <c r="I83" s="1">
        <v>1</v>
      </c>
    </row>
    <row r="84" spans="1:9" x14ac:dyDescent="0.25">
      <c r="A84" s="1" t="s">
        <v>14435</v>
      </c>
      <c r="B84" s="1" t="s">
        <v>278</v>
      </c>
      <c r="C84" s="1" t="str">
        <f>IFERROR(VLOOKUP(B84,'SB1'!$A$2:$B$999999,2,FALSE),"")</f>
        <v>ENTONADOR UNIVERSAL TONALBA 007 CEDRO X 0,030</v>
      </c>
      <c r="D84" s="1" t="s">
        <v>14441</v>
      </c>
      <c r="E84" s="3">
        <f>IFERROR(VLOOKUP(B84,'DA1'!$B$2:$D$999999,3,FALSE),"")</f>
      </c>
      <c r="F84" s="1" t="str">
        <f>IFERROR(VLOOKUP(B84,'SB1'!$A$2:$C$999999,3,FALSE),"")</f>
        <v>503</v>
      </c>
      <c r="G84" s="3" t="e">
        <f t="shared" si="2"/>
        <v>#VALUE!</v>
      </c>
      <c r="H84" s="3" t="e">
        <f t="shared" si="3"/>
        <v>#VALUE!</v>
      </c>
      <c r="I84" s="1">
        <v>1</v>
      </c>
    </row>
    <row r="85" spans="1:9" x14ac:dyDescent="0.25">
      <c r="A85" s="1" t="s">
        <v>14435</v>
      </c>
      <c r="B85" s="1" t="s">
        <v>280</v>
      </c>
      <c r="C85" s="1" t="str">
        <f>IFERROR(VLOOKUP(B85,'SB1'!$A$2:$B$999999,2,FALSE),"")</f>
        <v>ENTONADOR UNIVERSAL TONALBA 008 SIENA X 0,030</v>
      </c>
      <c r="D85" s="1" t="s">
        <v>14441</v>
      </c>
      <c r="E85" s="3">
        <f>IFERROR(VLOOKUP(B85,'DA1'!$B$2:$D$999999,3,FALSE),"")</f>
      </c>
      <c r="F85" s="1" t="str">
        <f>IFERROR(VLOOKUP(B85,'SB1'!$A$2:$C$999999,3,FALSE),"")</f>
        <v>503</v>
      </c>
      <c r="G85" s="3" t="e">
        <f t="shared" si="2"/>
        <v>#VALUE!</v>
      </c>
      <c r="H85" s="3" t="e">
        <f t="shared" si="3"/>
        <v>#VALUE!</v>
      </c>
      <c r="I85" s="1">
        <v>1</v>
      </c>
    </row>
    <row r="86" spans="1:9" x14ac:dyDescent="0.25">
      <c r="A86" s="1" t="s">
        <v>14435</v>
      </c>
      <c r="B86" s="1" t="s">
        <v>282</v>
      </c>
      <c r="C86" s="1" t="str">
        <f>IFERROR(VLOOKUP(B86,'SB1'!$A$2:$B$999999,2,FALSE),"")</f>
        <v>ENTONADOR UNIVERSAL TONALBA 009 NEGRO X 0,030</v>
      </c>
      <c r="D86" s="1" t="s">
        <v>14441</v>
      </c>
      <c r="E86" s="3">
        <f>IFERROR(VLOOKUP(B86,'DA1'!$B$2:$D$999999,3,FALSE),"")</f>
      </c>
      <c r="F86" s="1" t="str">
        <f>IFERROR(VLOOKUP(B86,'SB1'!$A$2:$C$999999,3,FALSE),"")</f>
        <v>503</v>
      </c>
      <c r="G86" s="3" t="e">
        <f t="shared" si="2"/>
        <v>#VALUE!</v>
      </c>
      <c r="H86" s="3" t="e">
        <f t="shared" si="3"/>
        <v>#VALUE!</v>
      </c>
      <c r="I86" s="1">
        <v>1</v>
      </c>
    </row>
    <row r="87" spans="1:9" x14ac:dyDescent="0.25">
      <c r="A87" s="1" t="s">
        <v>14435</v>
      </c>
      <c r="B87" s="1" t="s">
        <v>284</v>
      </c>
      <c r="C87" s="1" t="str">
        <f>IFERROR(VLOOKUP(B87,'SB1'!$A$2:$B$999999,2,FALSE),"")</f>
        <v>ENTONADOR UNIVERSAL TONALBA 010 NARANJA X 0,030</v>
      </c>
      <c r="D87" s="1" t="s">
        <v>14441</v>
      </c>
      <c r="E87" s="3">
        <f>IFERROR(VLOOKUP(B87,'DA1'!$B$2:$D$999999,3,FALSE),"")</f>
      </c>
      <c r="F87" s="1" t="str">
        <f>IFERROR(VLOOKUP(B87,'SB1'!$A$2:$C$999999,3,FALSE),"")</f>
        <v>503</v>
      </c>
      <c r="G87" s="3" t="e">
        <f t="shared" si="2"/>
        <v>#VALUE!</v>
      </c>
      <c r="H87" s="3" t="e">
        <f t="shared" si="3"/>
        <v>#VALUE!</v>
      </c>
      <c r="I87" s="1">
        <v>1</v>
      </c>
    </row>
    <row r="88" spans="1:9" x14ac:dyDescent="0.25">
      <c r="A88" s="1" t="s">
        <v>14435</v>
      </c>
      <c r="B88" s="1" t="s">
        <v>286</v>
      </c>
      <c r="C88" s="1" t="str">
        <f>IFERROR(VLOOKUP(B88,'SB1'!$A$2:$B$999999,2,FALSE),"")</f>
        <v>ENTONADOR UNIVERSAL TONALBA 011 VIOLETA X 0,030</v>
      </c>
      <c r="D88" s="1" t="s">
        <v>14441</v>
      </c>
      <c r="E88" s="3">
        <f>IFERROR(VLOOKUP(B88,'DA1'!$B$2:$D$999999,3,FALSE),"")</f>
      </c>
      <c r="F88" s="1" t="str">
        <f>IFERROR(VLOOKUP(B88,'SB1'!$A$2:$C$999999,3,FALSE),"")</f>
        <v>503</v>
      </c>
      <c r="G88" s="3" t="e">
        <f t="shared" si="2"/>
        <v>#VALUE!</v>
      </c>
      <c r="H88" s="3" t="e">
        <f t="shared" si="3"/>
        <v>#VALUE!</v>
      </c>
      <c r="I88" s="1">
        <v>1</v>
      </c>
    </row>
    <row r="89" spans="1:9" x14ac:dyDescent="0.25">
      <c r="A89" s="1" t="s">
        <v>14435</v>
      </c>
      <c r="B89" s="1" t="s">
        <v>288</v>
      </c>
      <c r="C89" s="1" t="str">
        <f>IFERROR(VLOOKUP(B89,'SB1'!$A$2:$B$999999,2,FALSE),"")</f>
        <v>ENTONADOR UNIVERSAL TONALBA 001 AMARILLO X 0,120</v>
      </c>
      <c r="D89" s="1" t="s">
        <v>14441</v>
      </c>
      <c r="E89" s="3">
        <f>IFERROR(VLOOKUP(B89,'DA1'!$B$2:$D$999999,3,FALSE),"")</f>
      </c>
      <c r="F89" s="1" t="str">
        <f>IFERROR(VLOOKUP(B89,'SB1'!$A$2:$C$999999,3,FALSE),"")</f>
        <v>503</v>
      </c>
      <c r="G89" s="3" t="e">
        <f t="shared" si="2"/>
        <v>#VALUE!</v>
      </c>
      <c r="H89" s="3" t="e">
        <f t="shared" si="3"/>
        <v>#VALUE!</v>
      </c>
      <c r="I89" s="1">
        <v>1</v>
      </c>
    </row>
    <row r="90" spans="1:9" x14ac:dyDescent="0.25">
      <c r="A90" s="1" t="s">
        <v>14435</v>
      </c>
      <c r="B90" s="1" t="s">
        <v>290</v>
      </c>
      <c r="C90" s="1" t="str">
        <f>IFERROR(VLOOKUP(B90,'SB1'!$A$2:$B$999999,2,FALSE),"")</f>
        <v>ENTONADOR UNIVERSAL TONALBA 002 BERMELLON X 0,120</v>
      </c>
      <c r="D90" s="1" t="s">
        <v>14441</v>
      </c>
      <c r="E90" s="3">
        <f>IFERROR(VLOOKUP(B90,'DA1'!$B$2:$D$999999,3,FALSE),"")</f>
      </c>
      <c r="F90" s="1" t="str">
        <f>IFERROR(VLOOKUP(B90,'SB1'!$A$2:$C$999999,3,FALSE),"")</f>
        <v>503</v>
      </c>
      <c r="G90" s="3" t="e">
        <f t="shared" si="2"/>
        <v>#VALUE!</v>
      </c>
      <c r="H90" s="3" t="e">
        <f t="shared" si="3"/>
        <v>#VALUE!</v>
      </c>
      <c r="I90" s="1">
        <v>1</v>
      </c>
    </row>
    <row r="91" spans="1:9" x14ac:dyDescent="0.25">
      <c r="A91" s="1" t="s">
        <v>14435</v>
      </c>
      <c r="B91" s="1" t="s">
        <v>292</v>
      </c>
      <c r="C91" s="1" t="str">
        <f>IFERROR(VLOOKUP(B91,'SB1'!$A$2:$B$999999,2,FALSE),"")</f>
        <v>ENTONADOR UNIVERSAL TONALBA 003 OCRE X 0,120</v>
      </c>
      <c r="D91" s="1" t="s">
        <v>14441</v>
      </c>
      <c r="E91" s="3">
        <f>IFERROR(VLOOKUP(B91,'DA1'!$B$2:$D$999999,3,FALSE),"")</f>
      </c>
      <c r="F91" s="1" t="str">
        <f>IFERROR(VLOOKUP(B91,'SB1'!$A$2:$C$999999,3,FALSE),"")</f>
        <v>503</v>
      </c>
      <c r="G91" s="3" t="e">
        <f t="shared" si="2"/>
        <v>#VALUE!</v>
      </c>
      <c r="H91" s="3" t="e">
        <f t="shared" si="3"/>
        <v>#VALUE!</v>
      </c>
      <c r="I91" s="1">
        <v>1</v>
      </c>
    </row>
    <row r="92" spans="1:9" x14ac:dyDescent="0.25">
      <c r="A92" s="1" t="s">
        <v>14435</v>
      </c>
      <c r="B92" s="1" t="s">
        <v>294</v>
      </c>
      <c r="C92" s="1" t="str">
        <f>IFERROR(VLOOKUP(B92,'SB1'!$A$2:$B$999999,2,FALSE),"")</f>
        <v>ENTONADOR UNIVERSAL TONALBA 004 VERDE CLARO X 0,120</v>
      </c>
      <c r="D92" s="1" t="s">
        <v>14441</v>
      </c>
      <c r="E92" s="3">
        <f>IFERROR(VLOOKUP(B92,'DA1'!$B$2:$D$999999,3,FALSE),"")</f>
      </c>
      <c r="F92" s="1" t="str">
        <f>IFERROR(VLOOKUP(B92,'SB1'!$A$2:$C$999999,3,FALSE),"")</f>
        <v>503</v>
      </c>
      <c r="G92" s="3" t="e">
        <f t="shared" si="2"/>
        <v>#VALUE!</v>
      </c>
      <c r="H92" s="3" t="e">
        <f t="shared" si="3"/>
        <v>#VALUE!</v>
      </c>
      <c r="I92" s="1">
        <v>1</v>
      </c>
    </row>
    <row r="93" spans="1:9" x14ac:dyDescent="0.25">
      <c r="A93" s="1" t="s">
        <v>14435</v>
      </c>
      <c r="B93" s="1" t="s">
        <v>296</v>
      </c>
      <c r="C93" s="1" t="str">
        <f>IFERROR(VLOOKUP(B93,'SB1'!$A$2:$B$999999,2,FALSE),"")</f>
        <v>ENTONADOR UNIVERSAL TONALBA 005 VERDE OSCURO X 0,120</v>
      </c>
      <c r="D93" s="1" t="s">
        <v>14441</v>
      </c>
      <c r="E93" s="3">
        <f>IFERROR(VLOOKUP(B93,'DA1'!$B$2:$D$999999,3,FALSE),"")</f>
      </c>
      <c r="F93" s="1" t="str">
        <f>IFERROR(VLOOKUP(B93,'SB1'!$A$2:$C$999999,3,FALSE),"")</f>
        <v>503</v>
      </c>
      <c r="G93" s="3" t="e">
        <f t="shared" si="2"/>
        <v>#VALUE!</v>
      </c>
      <c r="H93" s="3" t="e">
        <f t="shared" si="3"/>
        <v>#VALUE!</v>
      </c>
      <c r="I93" s="1">
        <v>1</v>
      </c>
    </row>
    <row r="94" spans="1:9" x14ac:dyDescent="0.25">
      <c r="A94" s="1" t="s">
        <v>14435</v>
      </c>
      <c r="B94" s="1" t="s">
        <v>298</v>
      </c>
      <c r="C94" s="1" t="str">
        <f>IFERROR(VLOOKUP(B94,'SB1'!$A$2:$B$999999,2,FALSE),"")</f>
        <v>ENTONADOR UNIVERSAL TONALBA 006 AZUL X 0,120</v>
      </c>
      <c r="D94" s="1" t="s">
        <v>14441</v>
      </c>
      <c r="E94" s="3">
        <f>IFERROR(VLOOKUP(B94,'DA1'!$B$2:$D$999999,3,FALSE),"")</f>
      </c>
      <c r="F94" s="1" t="str">
        <f>IFERROR(VLOOKUP(B94,'SB1'!$A$2:$C$999999,3,FALSE),"")</f>
        <v>503</v>
      </c>
      <c r="G94" s="3" t="e">
        <f t="shared" si="2"/>
        <v>#VALUE!</v>
      </c>
      <c r="H94" s="3" t="e">
        <f t="shared" si="3"/>
        <v>#VALUE!</v>
      </c>
      <c r="I94" s="1">
        <v>1</v>
      </c>
    </row>
    <row r="95" spans="1:9" x14ac:dyDescent="0.25">
      <c r="A95" s="1" t="s">
        <v>14435</v>
      </c>
      <c r="B95" s="1" t="s">
        <v>300</v>
      </c>
      <c r="C95" s="1" t="str">
        <f>IFERROR(VLOOKUP(B95,'SB1'!$A$2:$B$999999,2,FALSE),"")</f>
        <v>ENTONADOR UNIVERSAL TONALBA 007 CEDRO X 0,120</v>
      </c>
      <c r="D95" s="1" t="s">
        <v>14441</v>
      </c>
      <c r="E95" s="3">
        <f>IFERROR(VLOOKUP(B95,'DA1'!$B$2:$D$999999,3,FALSE),"")</f>
      </c>
      <c r="F95" s="1" t="str">
        <f>IFERROR(VLOOKUP(B95,'SB1'!$A$2:$C$999999,3,FALSE),"")</f>
        <v>503</v>
      </c>
      <c r="G95" s="3" t="e">
        <f t="shared" si="2"/>
        <v>#VALUE!</v>
      </c>
      <c r="H95" s="3" t="e">
        <f t="shared" si="3"/>
        <v>#VALUE!</v>
      </c>
      <c r="I95" s="1">
        <v>1</v>
      </c>
    </row>
    <row r="96" spans="1:9" x14ac:dyDescent="0.25">
      <c r="A96" s="1" t="s">
        <v>14435</v>
      </c>
      <c r="B96" s="1" t="s">
        <v>302</v>
      </c>
      <c r="C96" s="1" t="str">
        <f>IFERROR(VLOOKUP(B96,'SB1'!$A$2:$B$999999,2,FALSE),"")</f>
        <v>ENTONADOR UNIVERSAL TONALBA 008 SIENA X 0,120</v>
      </c>
      <c r="D96" s="1" t="s">
        <v>14441</v>
      </c>
      <c r="E96" s="3">
        <f>IFERROR(VLOOKUP(B96,'DA1'!$B$2:$D$999999,3,FALSE),"")</f>
      </c>
      <c r="F96" s="1" t="str">
        <f>IFERROR(VLOOKUP(B96,'SB1'!$A$2:$C$999999,3,FALSE),"")</f>
        <v>503</v>
      </c>
      <c r="G96" s="3" t="e">
        <f t="shared" si="2"/>
        <v>#VALUE!</v>
      </c>
      <c r="H96" s="3" t="e">
        <f t="shared" si="3"/>
        <v>#VALUE!</v>
      </c>
      <c r="I96" s="1">
        <v>1</v>
      </c>
    </row>
    <row r="97" spans="1:9" x14ac:dyDescent="0.25">
      <c r="A97" s="1" t="s">
        <v>14435</v>
      </c>
      <c r="B97" s="1" t="s">
        <v>304</v>
      </c>
      <c r="C97" s="1" t="str">
        <f>IFERROR(VLOOKUP(B97,'SB1'!$A$2:$B$999999,2,FALSE),"")</f>
        <v>ENTONADOR UNIVERSAL TONALBA 009 NEGRO X 0,120</v>
      </c>
      <c r="D97" s="1" t="s">
        <v>14441</v>
      </c>
      <c r="E97" s="3">
        <f>IFERROR(VLOOKUP(B97,'DA1'!$B$2:$D$999999,3,FALSE),"")</f>
      </c>
      <c r="F97" s="1" t="str">
        <f>IFERROR(VLOOKUP(B97,'SB1'!$A$2:$C$999999,3,FALSE),"")</f>
        <v>503</v>
      </c>
      <c r="G97" s="3" t="e">
        <f t="shared" si="2"/>
        <v>#VALUE!</v>
      </c>
      <c r="H97" s="3" t="e">
        <f t="shared" si="3"/>
        <v>#VALUE!</v>
      </c>
      <c r="I97" s="1">
        <v>1</v>
      </c>
    </row>
    <row r="98" spans="1:9" x14ac:dyDescent="0.25">
      <c r="A98" s="1" t="s">
        <v>14435</v>
      </c>
      <c r="B98" s="1" t="s">
        <v>306</v>
      </c>
      <c r="C98" s="1" t="str">
        <f>IFERROR(VLOOKUP(B98,'SB1'!$A$2:$B$999999,2,FALSE),"")</f>
        <v>ENTONADOR UNIVERSAL TONALBA 010 NARANJA X 0,120</v>
      </c>
      <c r="D98" s="1" t="s">
        <v>14441</v>
      </c>
      <c r="E98" s="3">
        <f>IFERROR(VLOOKUP(B98,'DA1'!$B$2:$D$999999,3,FALSE),"")</f>
      </c>
      <c r="F98" s="1" t="str">
        <f>IFERROR(VLOOKUP(B98,'SB1'!$A$2:$C$999999,3,FALSE),"")</f>
        <v>503</v>
      </c>
      <c r="G98" s="3" t="e">
        <f t="shared" si="2"/>
        <v>#VALUE!</v>
      </c>
      <c r="H98" s="3" t="e">
        <f t="shared" si="3"/>
        <v>#VALUE!</v>
      </c>
      <c r="I98" s="1">
        <v>1</v>
      </c>
    </row>
    <row r="99" spans="1:9" x14ac:dyDescent="0.25">
      <c r="A99" s="1" t="s">
        <v>14435</v>
      </c>
      <c r="B99" s="1" t="s">
        <v>308</v>
      </c>
      <c r="C99" s="1" t="str">
        <f>IFERROR(VLOOKUP(B99,'SB1'!$A$2:$B$999999,2,FALSE),"")</f>
        <v>ENTONADOR UNIVERSAL TONALBA 011 VIOLETA X 0,120</v>
      </c>
      <c r="D99" s="1" t="s">
        <v>14441</v>
      </c>
      <c r="E99" s="3">
        <f>IFERROR(VLOOKUP(B99,'DA1'!$B$2:$D$999999,3,FALSE),"")</f>
      </c>
      <c r="F99" s="1" t="str">
        <f>IFERROR(VLOOKUP(B99,'SB1'!$A$2:$C$999999,3,FALSE),"")</f>
        <v>503</v>
      </c>
      <c r="G99" s="3" t="e">
        <f t="shared" si="2"/>
        <v>#VALUE!</v>
      </c>
      <c r="H99" s="3" t="e">
        <f t="shared" si="3"/>
        <v>#VALUE!</v>
      </c>
      <c r="I99" s="1">
        <v>1</v>
      </c>
    </row>
    <row r="100" spans="1:9" x14ac:dyDescent="0.25">
      <c r="A100" s="1" t="s">
        <v>14435</v>
      </c>
      <c r="B100" s="1" t="s">
        <v>316</v>
      </c>
      <c r="C100" s="1" t="str">
        <f>IFERROR(VLOOKUP(B100,'SB1'!$A$2:$B$999999,2,FALSE),"")</f>
        <v>ESMALTE SINTETICO SATINOL SATINADO BLANCO X  1</v>
      </c>
      <c r="D100" s="1" t="s">
        <v>14441</v>
      </c>
      <c r="E100" s="3">
        <f>IFERROR(VLOOKUP(B100,'DA1'!$B$2:$D$999999,3,FALSE),"")</f>
      </c>
      <c r="F100" s="1" t="str">
        <f>IFERROR(VLOOKUP(B100,'SB1'!$A$2:$C$999999,3,FALSE),"")</f>
        <v>503</v>
      </c>
      <c r="G100" s="3" t="e">
        <f t="shared" si="2"/>
        <v>#VALUE!</v>
      </c>
      <c r="H100" s="3" t="e">
        <f t="shared" si="3"/>
        <v>#VALUE!</v>
      </c>
      <c r="I100" s="1">
        <v>1</v>
      </c>
    </row>
    <row r="101" spans="1:9" x14ac:dyDescent="0.25">
      <c r="A101" s="1" t="s">
        <v>14435</v>
      </c>
      <c r="B101" s="1" t="s">
        <v>318</v>
      </c>
      <c r="C101" s="1" t="str">
        <f>IFERROR(VLOOKUP(B101,'SB1'!$A$2:$B$999999,2,FALSE),"")</f>
        <v>ESMALTE SINTETICO SATINOL SATINADO BLANCO X  4</v>
      </c>
      <c r="D101" s="1" t="s">
        <v>14441</v>
      </c>
      <c r="E101" s="3">
        <f>IFERROR(VLOOKUP(B101,'DA1'!$B$2:$D$999999,3,FALSE),"")</f>
      </c>
      <c r="F101" s="1" t="str">
        <f>IFERROR(VLOOKUP(B101,'SB1'!$A$2:$C$999999,3,FALSE),"")</f>
        <v>503</v>
      </c>
      <c r="G101" s="3" t="e">
        <f t="shared" si="2"/>
        <v>#VALUE!</v>
      </c>
      <c r="H101" s="3" t="e">
        <f t="shared" si="3"/>
        <v>#VALUE!</v>
      </c>
      <c r="I101" s="1">
        <v>1</v>
      </c>
    </row>
    <row r="102" spans="1:9" x14ac:dyDescent="0.25">
      <c r="A102" s="1" t="s">
        <v>14435</v>
      </c>
      <c r="B102" s="1" t="s">
        <v>320</v>
      </c>
      <c r="C102" s="1" t="str">
        <f>IFERROR(VLOOKUP(B102,'SB1'!$A$2:$B$999999,2,FALSE),"")</f>
        <v>ESMALTE SINTETICO SATINOL SATINADO NEGRO X  0,500</v>
      </c>
      <c r="D102" s="1" t="s">
        <v>14441</v>
      </c>
      <c r="E102" s="3">
        <f>IFERROR(VLOOKUP(B102,'DA1'!$B$2:$D$999999,3,FALSE),"")</f>
      </c>
      <c r="F102" s="1" t="str">
        <f>IFERROR(VLOOKUP(B102,'SB1'!$A$2:$C$999999,3,FALSE),"")</f>
        <v>503</v>
      </c>
      <c r="G102" s="3" t="e">
        <f t="shared" si="2"/>
        <v>#VALUE!</v>
      </c>
      <c r="H102" s="3" t="e">
        <f t="shared" si="3"/>
        <v>#VALUE!</v>
      </c>
      <c r="I102" s="1">
        <v>1</v>
      </c>
    </row>
    <row r="103" spans="1:9" x14ac:dyDescent="0.25">
      <c r="A103" s="1" t="s">
        <v>14435</v>
      </c>
      <c r="B103" s="1" t="s">
        <v>322</v>
      </c>
      <c r="C103" s="1" t="str">
        <f>IFERROR(VLOOKUP(B103,'SB1'!$A$2:$B$999999,2,FALSE),"")</f>
        <v>ESMALTE SINTETICO SATINOL SATINADO NEGRO X  1</v>
      </c>
      <c r="D103" s="1" t="s">
        <v>14441</v>
      </c>
      <c r="E103" s="3">
        <f>IFERROR(VLOOKUP(B103,'DA1'!$B$2:$D$999999,3,FALSE),"")</f>
      </c>
      <c r="F103" s="1" t="str">
        <f>IFERROR(VLOOKUP(B103,'SB1'!$A$2:$C$999999,3,FALSE),"")</f>
        <v>503</v>
      </c>
      <c r="G103" s="3" t="e">
        <f t="shared" si="2"/>
        <v>#VALUE!</v>
      </c>
      <c r="H103" s="3" t="e">
        <f t="shared" si="3"/>
        <v>#VALUE!</v>
      </c>
      <c r="I103" s="1">
        <v>1</v>
      </c>
    </row>
    <row r="104" spans="1:9" x14ac:dyDescent="0.25">
      <c r="A104" s="1" t="s">
        <v>14435</v>
      </c>
      <c r="B104" s="1" t="s">
        <v>324</v>
      </c>
      <c r="C104" s="1" t="str">
        <f>IFERROR(VLOOKUP(B104,'SB1'!$A$2:$B$999999,2,FALSE),"")</f>
        <v>ESMALTE SINTETICO SATINOL SATINADO NEGRO X  4</v>
      </c>
      <c r="D104" s="1" t="s">
        <v>14441</v>
      </c>
      <c r="E104" s="3">
        <f>IFERROR(VLOOKUP(B104,'DA1'!$B$2:$D$999999,3,FALSE),"")</f>
      </c>
      <c r="F104" s="1" t="str">
        <f>IFERROR(VLOOKUP(B104,'SB1'!$A$2:$C$999999,3,FALSE),"")</f>
        <v>503</v>
      </c>
      <c r="G104" s="3" t="e">
        <f t="shared" si="2"/>
        <v>#VALUE!</v>
      </c>
      <c r="H104" s="3" t="e">
        <f t="shared" si="3"/>
        <v>#VALUE!</v>
      </c>
      <c r="I104" s="1">
        <v>1</v>
      </c>
    </row>
    <row r="105" spans="1:9" x14ac:dyDescent="0.25">
      <c r="A105" s="1" t="s">
        <v>14435</v>
      </c>
      <c r="B105" s="1" t="s">
        <v>326</v>
      </c>
      <c r="C105" s="1" t="str">
        <f>IFERROR(VLOOKUP(B105,'SB1'!$A$2:$B$999999,2,FALSE),"")</f>
        <v>AEROSOL RUST-OLEUM PARA PARACHOQUES NEGRO MATE X 0,340 (251574/313551)</v>
      </c>
      <c r="D105" s="1" t="s">
        <v>14450</v>
      </c>
      <c r="E105" s="3">
        <f>IFERROR(VLOOKUP(B105,'DA1'!$B$2:$D$999999,3,FALSE),"")</f>
      </c>
      <c r="F105" s="1" t="str">
        <f>IFERROR(VLOOKUP(B105,'SB1'!$A$2:$C$999999,3,FALSE),"")</f>
        <v>503</v>
      </c>
      <c r="G105" s="3" t="e">
        <f t="shared" si="2"/>
        <v>#VALUE!</v>
      </c>
      <c r="H105" s="3" t="e">
        <f t="shared" si="3"/>
        <v>#VALUE!</v>
      </c>
      <c r="I105" s="1">
        <v>1</v>
      </c>
    </row>
    <row r="106" spans="1:9" x14ac:dyDescent="0.25">
      <c r="A106" s="1" t="s">
        <v>14435</v>
      </c>
      <c r="B106" s="1" t="s">
        <v>328</v>
      </c>
      <c r="C106" s="1" t="str">
        <f>IFERROR(VLOOKUP(B106,'SB1'!$A$2:$B$999999,2,FALSE),"")</f>
        <v>PINTURA PARA PILETA ALBA AL AGUA MATE CELESTE X 10</v>
      </c>
      <c r="D106" s="1" t="s">
        <v>14441</v>
      </c>
      <c r="E106" s="3">
        <f>IFERROR(VLOOKUP(B106,'DA1'!$B$2:$D$999999,3,FALSE),"")</f>
      </c>
      <c r="F106" s="1" t="str">
        <f>IFERROR(VLOOKUP(B106,'SB1'!$A$2:$C$999999,3,FALSE),"")</f>
        <v>503</v>
      </c>
      <c r="G106" s="3" t="e">
        <f t="shared" si="2"/>
        <v>#VALUE!</v>
      </c>
      <c r="H106" s="3" t="e">
        <f t="shared" si="3"/>
        <v>#VALUE!</v>
      </c>
      <c r="I106" s="1">
        <v>1</v>
      </c>
    </row>
    <row r="107" spans="1:9" x14ac:dyDescent="0.25">
      <c r="A107" s="1" t="s">
        <v>14435</v>
      </c>
      <c r="B107" s="1" t="s">
        <v>330</v>
      </c>
      <c r="C107" s="1" t="str">
        <f>IFERROR(VLOOKUP(B107,'SB1'!$A$2:$B$999999,2,FALSE),"")</f>
        <v>LATEX INTERIOR ALBALATEX MATE BLANCO X 10</v>
      </c>
      <c r="D107" s="1" t="s">
        <v>14441</v>
      </c>
      <c r="E107" s="3">
        <f>IFERROR(VLOOKUP(B107,'DA1'!$B$2:$D$999999,3,FALSE),"")</f>
      </c>
      <c r="F107" s="1" t="str">
        <f>IFERROR(VLOOKUP(B107,'SB1'!$A$2:$C$999999,3,FALSE),"")</f>
        <v>503</v>
      </c>
      <c r="G107" s="3" t="e">
        <f t="shared" si="2"/>
        <v>#VALUE!</v>
      </c>
      <c r="H107" s="3" t="e">
        <f t="shared" si="3"/>
        <v>#VALUE!</v>
      </c>
      <c r="I107" s="1">
        <v>1</v>
      </c>
    </row>
    <row r="108" spans="1:9" x14ac:dyDescent="0.25">
      <c r="A108" s="1" t="s">
        <v>14435</v>
      </c>
      <c r="B108" s="1" t="s">
        <v>334</v>
      </c>
      <c r="C108" s="1" t="str">
        <f>IFERROR(VLOOKUP(B108,'SB1'!$A$2:$B$999999,2,FALSE),"")</f>
        <v>BARNIZ PARA MADERA INTERIOR CRISTALBA PU SATINADO NATURAL X 1</v>
      </c>
      <c r="D108" s="1" t="s">
        <v>14441</v>
      </c>
      <c r="E108" s="3">
        <f>IFERROR(VLOOKUP(B108,'DA1'!$B$2:$D$999999,3,FALSE),"")</f>
      </c>
      <c r="F108" s="1" t="str">
        <f>IFERROR(VLOOKUP(B108,'SB1'!$A$2:$C$999999,3,FALSE),"")</f>
        <v>503</v>
      </c>
      <c r="G108" s="3" t="e">
        <f t="shared" si="2"/>
        <v>#VALUE!</v>
      </c>
      <c r="H108" s="3" t="e">
        <f t="shared" si="3"/>
        <v>#VALUE!</v>
      </c>
      <c r="I108" s="1">
        <v>1</v>
      </c>
    </row>
    <row r="109" spans="1:9" x14ac:dyDescent="0.25">
      <c r="A109" s="1" t="s">
        <v>14435</v>
      </c>
      <c r="B109" s="1" t="s">
        <v>336</v>
      </c>
      <c r="C109" s="1" t="str">
        <f>IFERROR(VLOOKUP(B109,'SB1'!$A$2:$B$999999,2,FALSE),"")</f>
        <v>BARNIZ PARA MADERA INTERIOR CRISTALBA PU SATINADO NATURAL X 4</v>
      </c>
      <c r="D109" s="1" t="s">
        <v>14441</v>
      </c>
      <c r="E109" s="3">
        <f>IFERROR(VLOOKUP(B109,'DA1'!$B$2:$D$999999,3,FALSE),"")</f>
      </c>
      <c r="F109" s="1" t="str">
        <f>IFERROR(VLOOKUP(B109,'SB1'!$A$2:$C$999999,3,FALSE),"")</f>
        <v>503</v>
      </c>
      <c r="G109" s="3" t="e">
        <f t="shared" si="2"/>
        <v>#VALUE!</v>
      </c>
      <c r="H109" s="3" t="e">
        <f t="shared" si="3"/>
        <v>#VALUE!</v>
      </c>
      <c r="I109" s="1">
        <v>1</v>
      </c>
    </row>
    <row r="110" spans="1:9" x14ac:dyDescent="0.25">
      <c r="A110" s="1" t="s">
        <v>14435</v>
      </c>
      <c r="B110" s="1" t="s">
        <v>338</v>
      </c>
      <c r="C110" s="1" t="str">
        <f>IFERROR(VLOOKUP(B110,'SB1'!$A$2:$B$999999,2,FALSE),"")</f>
        <v>ESMALTE SINTETICO ALBALUX BRILLANTE BLANCO X  0,250</v>
      </c>
      <c r="D110" s="1" t="s">
        <v>14441</v>
      </c>
      <c r="E110" s="3">
        <f>IFERROR(VLOOKUP(B110,'DA1'!$B$2:$D$999999,3,FALSE),"")</f>
      </c>
      <c r="F110" s="1" t="str">
        <f>IFERROR(VLOOKUP(B110,'SB1'!$A$2:$C$999999,3,FALSE),"")</f>
        <v>503</v>
      </c>
      <c r="G110" s="3" t="e">
        <f t="shared" si="2"/>
        <v>#VALUE!</v>
      </c>
      <c r="H110" s="3" t="e">
        <f t="shared" si="3"/>
        <v>#VALUE!</v>
      </c>
      <c r="I110" s="1">
        <v>1</v>
      </c>
    </row>
    <row r="111" spans="1:9" x14ac:dyDescent="0.25">
      <c r="A111" s="1" t="s">
        <v>14435</v>
      </c>
      <c r="B111" s="1" t="s">
        <v>340</v>
      </c>
      <c r="C111" s="1" t="str">
        <f>IFERROR(VLOOKUP(B111,'SB1'!$A$2:$B$999999,2,FALSE),"")</f>
        <v>ESMALTE SINTETICO ALBALUX BRILLANTE BLANCO X  0,500</v>
      </c>
      <c r="D111" s="1" t="s">
        <v>14441</v>
      </c>
      <c r="E111" s="3">
        <f>IFERROR(VLOOKUP(B111,'DA1'!$B$2:$D$999999,3,FALSE),"")</f>
      </c>
      <c r="F111" s="1" t="str">
        <f>IFERROR(VLOOKUP(B111,'SB1'!$A$2:$C$999999,3,FALSE),"")</f>
        <v>503</v>
      </c>
      <c r="G111" s="3" t="e">
        <f t="shared" si="2"/>
        <v>#VALUE!</v>
      </c>
      <c r="H111" s="3" t="e">
        <f t="shared" si="3"/>
        <v>#VALUE!</v>
      </c>
      <c r="I111" s="1">
        <v>1</v>
      </c>
    </row>
    <row r="112" spans="1:9" x14ac:dyDescent="0.25">
      <c r="A112" s="1" t="s">
        <v>14435</v>
      </c>
      <c r="B112" s="1" t="s">
        <v>342</v>
      </c>
      <c r="C112" s="1" t="str">
        <f>IFERROR(VLOOKUP(B112,'SB1'!$A$2:$B$999999,2,FALSE),"")</f>
        <v>ESMALTE SINTETICO ALBALUX BRILLANTE BLANCO X  1</v>
      </c>
      <c r="D112" s="1" t="s">
        <v>14441</v>
      </c>
      <c r="E112" s="3">
        <f>IFERROR(VLOOKUP(B112,'DA1'!$B$2:$D$999999,3,FALSE),"")</f>
      </c>
      <c r="F112" s="1" t="str">
        <f>IFERROR(VLOOKUP(B112,'SB1'!$A$2:$C$999999,3,FALSE),"")</f>
        <v>503</v>
      </c>
      <c r="G112" s="3" t="e">
        <f t="shared" si="2"/>
        <v>#VALUE!</v>
      </c>
      <c r="H112" s="3" t="e">
        <f t="shared" si="3"/>
        <v>#VALUE!</v>
      </c>
      <c r="I112" s="1">
        <v>1</v>
      </c>
    </row>
    <row r="113" spans="1:9" x14ac:dyDescent="0.25">
      <c r="A113" s="1" t="s">
        <v>14435</v>
      </c>
      <c r="B113" s="1" t="s">
        <v>344</v>
      </c>
      <c r="C113" s="1" t="str">
        <f>IFERROR(VLOOKUP(B113,'SB1'!$A$2:$B$999999,2,FALSE),"")</f>
        <v>ESMALTE SINTETICO ALBALUX BRILLANTE BLANCO X  4</v>
      </c>
      <c r="D113" s="1" t="s">
        <v>14441</v>
      </c>
      <c r="E113" s="3">
        <f>IFERROR(VLOOKUP(B113,'DA1'!$B$2:$D$999999,3,FALSE),"")</f>
      </c>
      <c r="F113" s="1" t="str">
        <f>IFERROR(VLOOKUP(B113,'SB1'!$A$2:$C$999999,3,FALSE),"")</f>
        <v>503</v>
      </c>
      <c r="G113" s="3" t="e">
        <f t="shared" si="2"/>
        <v>#VALUE!</v>
      </c>
      <c r="H113" s="3" t="e">
        <f t="shared" si="3"/>
        <v>#VALUE!</v>
      </c>
      <c r="I113" s="1">
        <v>1</v>
      </c>
    </row>
    <row r="114" spans="1:9" x14ac:dyDescent="0.25">
      <c r="A114" s="1" t="s">
        <v>14435</v>
      </c>
      <c r="B114" s="1" t="s">
        <v>346</v>
      </c>
      <c r="C114" s="1" t="str">
        <f>IFERROR(VLOOKUP(B114,'SB1'!$A$2:$B$999999,2,FALSE),"")</f>
        <v>ESMALTE SINTETICO ALBALUX BRILLANTE BLANCO X 20</v>
      </c>
      <c r="D114" s="1" t="s">
        <v>14441</v>
      </c>
      <c r="E114" s="3">
        <f>IFERROR(VLOOKUP(B114,'DA1'!$B$2:$D$999999,3,FALSE),"")</f>
      </c>
      <c r="F114" s="1" t="str">
        <f>IFERROR(VLOOKUP(B114,'SB1'!$A$2:$C$999999,3,FALSE),"")</f>
        <v>503</v>
      </c>
      <c r="G114" s="3" t="e">
        <f t="shared" si="2"/>
        <v>#VALUE!</v>
      </c>
      <c r="H114" s="3" t="e">
        <f t="shared" si="3"/>
        <v>#VALUE!</v>
      </c>
      <c r="I114" s="1">
        <v>1</v>
      </c>
    </row>
    <row r="115" spans="1:9" x14ac:dyDescent="0.25">
      <c r="A115" s="1" t="s">
        <v>14435</v>
      </c>
      <c r="B115" s="1" t="s">
        <v>348</v>
      </c>
      <c r="C115" s="1" t="str">
        <f>IFERROR(VLOOKUP(B115,'SB1'!$A$2:$B$999999,2,FALSE),"")</f>
        <v>AEROSOL RUST-OLEUM TERMINACION MATE NEGRO X 0,340 (263422)</v>
      </c>
      <c r="D115" s="1" t="s">
        <v>14450</v>
      </c>
      <c r="E115" s="3">
        <f>IFERROR(VLOOKUP(B115,'DA1'!$B$2:$D$999999,3,FALSE),"")</f>
      </c>
      <c r="F115" s="1" t="str">
        <f>IFERROR(VLOOKUP(B115,'SB1'!$A$2:$C$999999,3,FALSE),"")</f>
        <v>503</v>
      </c>
      <c r="G115" s="3" t="e">
        <f t="shared" si="2"/>
        <v>#VALUE!</v>
      </c>
      <c r="H115" s="3" t="e">
        <f t="shared" si="3"/>
        <v>#VALUE!</v>
      </c>
      <c r="I115" s="1">
        <v>1</v>
      </c>
    </row>
    <row r="116" spans="1:9" x14ac:dyDescent="0.25">
      <c r="A116" s="1" t="s">
        <v>14435</v>
      </c>
      <c r="B116" s="1" t="s">
        <v>352</v>
      </c>
      <c r="C116" s="1" t="str">
        <f>IFERROR(VLOOKUP(B116,'SB1'!$A$2:$B$999999,2,FALSE),"")</f>
        <v>LATEX INTERIOR ALBA ANTIHONGO BANO/COCINA BLANCO X 1</v>
      </c>
      <c r="D116" s="1" t="s">
        <v>14441</v>
      </c>
      <c r="E116" s="3">
        <f>IFERROR(VLOOKUP(B116,'DA1'!$B$2:$D$999999,3,FALSE),"")</f>
      </c>
      <c r="F116" s="1" t="str">
        <f>IFERROR(VLOOKUP(B116,'SB1'!$A$2:$C$999999,3,FALSE),"")</f>
        <v>503</v>
      </c>
      <c r="G116" s="3" t="e">
        <f t="shared" si="2"/>
        <v>#VALUE!</v>
      </c>
      <c r="H116" s="3" t="e">
        <f t="shared" si="3"/>
        <v>#VALUE!</v>
      </c>
      <c r="I116" s="1">
        <v>1</v>
      </c>
    </row>
    <row r="117" spans="1:9" x14ac:dyDescent="0.25">
      <c r="A117" s="1" t="s">
        <v>14435</v>
      </c>
      <c r="B117" s="1" t="s">
        <v>354</v>
      </c>
      <c r="C117" s="1" t="str">
        <f>IFERROR(VLOOKUP(B117,'SB1'!$A$2:$B$999999,2,FALSE),"")</f>
        <v>LATEX INTERIOR ALBA ANTIHONGO BANO/COCINA BLANCO X 4</v>
      </c>
      <c r="D117" s="1" t="s">
        <v>14441</v>
      </c>
      <c r="E117" s="3">
        <f>IFERROR(VLOOKUP(B117,'DA1'!$B$2:$D$999999,3,FALSE),"")</f>
      </c>
      <c r="F117" s="1" t="str">
        <f>IFERROR(VLOOKUP(B117,'SB1'!$A$2:$C$999999,3,FALSE),"")</f>
        <v>503</v>
      </c>
      <c r="G117" s="3" t="e">
        <f t="shared" si="2"/>
        <v>#VALUE!</v>
      </c>
      <c r="H117" s="3" t="e">
        <f t="shared" si="3"/>
        <v>#VALUE!</v>
      </c>
      <c r="I117" s="1">
        <v>1</v>
      </c>
    </row>
    <row r="118" spans="1:9" x14ac:dyDescent="0.25">
      <c r="A118" s="1" t="s">
        <v>14435</v>
      </c>
      <c r="B118" s="1" t="s">
        <v>356</v>
      </c>
      <c r="C118" s="1" t="str">
        <f>IFERROR(VLOOKUP(B118,'SB1'!$A$2:$B$999999,2,FALSE),"")</f>
        <v>FIJADOR PARA PARED ALBA AL AGUARRAS X  1</v>
      </c>
      <c r="D118" s="1" t="s">
        <v>14441</v>
      </c>
      <c r="E118" s="3">
        <f>IFERROR(VLOOKUP(B118,'DA1'!$B$2:$D$999999,3,FALSE),"")</f>
      </c>
      <c r="F118" s="1" t="str">
        <f>IFERROR(VLOOKUP(B118,'SB1'!$A$2:$C$999999,3,FALSE),"")</f>
        <v>503</v>
      </c>
      <c r="G118" s="3" t="e">
        <f t="shared" si="2"/>
        <v>#VALUE!</v>
      </c>
      <c r="H118" s="3" t="e">
        <f t="shared" si="3"/>
        <v>#VALUE!</v>
      </c>
      <c r="I118" s="1">
        <v>1</v>
      </c>
    </row>
    <row r="119" spans="1:9" x14ac:dyDescent="0.25">
      <c r="A119" s="1" t="s">
        <v>14435</v>
      </c>
      <c r="B119" s="1" t="s">
        <v>358</v>
      </c>
      <c r="C119" s="1" t="str">
        <f>IFERROR(VLOOKUP(B119,'SB1'!$A$2:$B$999999,2,FALSE),"")</f>
        <v>FIJADOR PARA PARED ALBA AL AGUARRAS X  4</v>
      </c>
      <c r="D119" s="1" t="s">
        <v>14441</v>
      </c>
      <c r="E119" s="3">
        <f>IFERROR(VLOOKUP(B119,'DA1'!$B$2:$D$999999,3,FALSE),"")</f>
      </c>
      <c r="F119" s="1" t="str">
        <f>IFERROR(VLOOKUP(B119,'SB1'!$A$2:$C$999999,3,FALSE),"")</f>
        <v>503</v>
      </c>
      <c r="G119" s="3" t="e">
        <f t="shared" si="2"/>
        <v>#VALUE!</v>
      </c>
      <c r="H119" s="3" t="e">
        <f t="shared" si="3"/>
        <v>#VALUE!</v>
      </c>
      <c r="I119" s="1">
        <v>1</v>
      </c>
    </row>
    <row r="120" spans="1:9" x14ac:dyDescent="0.25">
      <c r="A120" s="1" t="s">
        <v>14435</v>
      </c>
      <c r="B120" s="1" t="s">
        <v>360</v>
      </c>
      <c r="C120" s="1" t="str">
        <f>IFERROR(VLOOKUP(B120,'SB1'!$A$2:$B$999999,2,FALSE),"")</f>
        <v>ENDUIDO INTERIOR ALBAPLAST X  1</v>
      </c>
      <c r="D120" s="1" t="s">
        <v>14441</v>
      </c>
      <c r="E120" s="3">
        <f>IFERROR(VLOOKUP(B120,'DA1'!$B$2:$D$999999,3,FALSE),"")</f>
      </c>
      <c r="F120" s="1" t="str">
        <f>IFERROR(VLOOKUP(B120,'SB1'!$A$2:$C$999999,3,FALSE),"")</f>
        <v>503</v>
      </c>
      <c r="G120" s="3" t="e">
        <f t="shared" si="2"/>
        <v>#VALUE!</v>
      </c>
      <c r="H120" s="3" t="e">
        <f t="shared" si="3"/>
        <v>#VALUE!</v>
      </c>
      <c r="I120" s="1">
        <v>1</v>
      </c>
    </row>
    <row r="121" spans="1:9" x14ac:dyDescent="0.25">
      <c r="A121" s="1" t="s">
        <v>14435</v>
      </c>
      <c r="B121" s="1" t="s">
        <v>362</v>
      </c>
      <c r="C121" s="1" t="str">
        <f>IFERROR(VLOOKUP(B121,'SB1'!$A$2:$B$999999,2,FALSE),"")</f>
        <v>ENDUIDO INTERIOR ALBAPLAST X  4</v>
      </c>
      <c r="D121" s="1" t="s">
        <v>14441</v>
      </c>
      <c r="E121" s="3">
        <f>IFERROR(VLOOKUP(B121,'DA1'!$B$2:$D$999999,3,FALSE),"")</f>
      </c>
      <c r="F121" s="1" t="str">
        <f>IFERROR(VLOOKUP(B121,'SB1'!$A$2:$C$999999,3,FALSE),"")</f>
        <v>503</v>
      </c>
      <c r="G121" s="3" t="e">
        <f t="shared" si="2"/>
        <v>#VALUE!</v>
      </c>
      <c r="H121" s="3" t="e">
        <f t="shared" si="3"/>
        <v>#VALUE!</v>
      </c>
      <c r="I121" s="1">
        <v>1</v>
      </c>
    </row>
    <row r="122" spans="1:9" x14ac:dyDescent="0.25">
      <c r="A122" s="1" t="s">
        <v>14435</v>
      </c>
      <c r="B122" s="1" t="s">
        <v>364</v>
      </c>
      <c r="C122" s="1" t="str">
        <f>IFERROR(VLOOKUP(B122,'SB1'!$A$2:$B$999999,2,FALSE),"")</f>
        <v>ENDUIDO EXTERIOR ALBA X  1</v>
      </c>
      <c r="D122" s="1" t="s">
        <v>14441</v>
      </c>
      <c r="E122" s="3">
        <f>IFERROR(VLOOKUP(B122,'DA1'!$B$2:$D$999999,3,FALSE),"")</f>
      </c>
      <c r="F122" s="1" t="str">
        <f>IFERROR(VLOOKUP(B122,'SB1'!$A$2:$C$999999,3,FALSE),"")</f>
        <v>503</v>
      </c>
      <c r="G122" s="3" t="e">
        <f t="shared" si="2"/>
        <v>#VALUE!</v>
      </c>
      <c r="H122" s="3" t="e">
        <f t="shared" si="3"/>
        <v>#VALUE!</v>
      </c>
      <c r="I122" s="1">
        <v>1</v>
      </c>
    </row>
    <row r="123" spans="1:9" x14ac:dyDescent="0.25">
      <c r="A123" s="1" t="s">
        <v>14435</v>
      </c>
      <c r="B123" s="1" t="s">
        <v>366</v>
      </c>
      <c r="C123" s="1" t="str">
        <f>IFERROR(VLOOKUP(B123,'SB1'!$A$2:$B$999999,2,FALSE),"")</f>
        <v>ENDUIDO EXTERIOR ALBA X  4</v>
      </c>
      <c r="D123" s="1" t="s">
        <v>14441</v>
      </c>
      <c r="E123" s="3">
        <f>IFERROR(VLOOKUP(B123,'DA1'!$B$2:$D$999999,3,FALSE),"")</f>
      </c>
      <c r="F123" s="1" t="str">
        <f>IFERROR(VLOOKUP(B123,'SB1'!$A$2:$C$999999,3,FALSE),"")</f>
        <v>503</v>
      </c>
      <c r="G123" s="3" t="e">
        <f t="shared" si="2"/>
        <v>#VALUE!</v>
      </c>
      <c r="H123" s="3" t="e">
        <f t="shared" si="3"/>
        <v>#VALUE!</v>
      </c>
      <c r="I123" s="1">
        <v>1</v>
      </c>
    </row>
    <row r="124" spans="1:9" x14ac:dyDescent="0.25">
      <c r="A124" s="1" t="s">
        <v>14435</v>
      </c>
      <c r="B124" s="1" t="s">
        <v>370</v>
      </c>
      <c r="C124" s="1" t="str">
        <f>IFERROR(VLOOKUP(B124,'SB1'!$A$2:$B$999999,2,FALSE),"")</f>
        <v>AEROSOL RUST-OLEUM PARA PLASTICO BRILLANTE NEGRO X 0,340 (248649)</v>
      </c>
      <c r="D124" s="1" t="s">
        <v>14450</v>
      </c>
      <c r="E124" s="3">
        <f>IFERROR(VLOOKUP(B124,'DA1'!$B$2:$D$999999,3,FALSE),"")</f>
      </c>
      <c r="F124" s="1" t="str">
        <f>IFERROR(VLOOKUP(B124,'SB1'!$A$2:$C$999999,3,FALSE),"")</f>
        <v>503</v>
      </c>
      <c r="G124" s="3" t="e">
        <f t="shared" si="2"/>
        <v>#VALUE!</v>
      </c>
      <c r="H124" s="3" t="e">
        <f t="shared" si="3"/>
        <v>#VALUE!</v>
      </c>
      <c r="I124" s="1">
        <v>1</v>
      </c>
    </row>
    <row r="125" spans="1:8" x14ac:dyDescent="0.25">
      <c r="A125" s="1" t="s">
        <v>14435</v>
      </c>
      <c r="B125" s="1" t="s">
        <v>378</v>
      </c>
      <c r="C125" s="1" t="str">
        <f>IFERROR(VLOOKUP(B125,'SB1'!$A$2:$B$999999,2,FALSE),"")</f>
        <v>AEROSOL RUST-OLEUM PARA PLASTICO BRILLANTE ROJO X 0,340 (248651)</v>
      </c>
      <c r="D125" s="1" t="s">
        <v>14439</v>
      </c>
      <c r="E125" s="3">
        <f>IFERROR(VLOOKUP(B125,'DA1'!$B$2:$D$999999,3,FALSE),"")</f>
      </c>
      <c r="F125" s="1" t="str">
        <f>IFERROR(VLOOKUP(B125,'SB1'!$A$2:$C$999999,3,FALSE),"")</f>
        <v>503</v>
      </c>
      <c r="G125" s="3" t="e">
        <f t="shared" si="2"/>
        <v>#VALUE!</v>
      </c>
      <c r="H125" s="3" t="e">
        <f t="shared" si="3"/>
        <v>#VALUE!</v>
      </c>
    </row>
    <row r="126" spans="1:9" x14ac:dyDescent="0.25">
      <c r="A126" s="1" t="s">
        <v>14435</v>
      </c>
      <c r="B126" s="1" t="s">
        <v>386</v>
      </c>
      <c r="C126" s="1" t="str">
        <f>IFERROR(VLOOKUP(B126,'SB1'!$A$2:$B$999999,2,FALSE),"")</f>
        <v>FONDO PARA MADERA ALBA BLANCO X 20</v>
      </c>
      <c r="D126" s="1" t="s">
        <v>14441</v>
      </c>
      <c r="E126" s="3">
        <f>IFERROR(VLOOKUP(B126,'DA1'!$B$2:$D$999999,3,FALSE),"")</f>
      </c>
      <c r="F126" s="1" t="str">
        <f>IFERROR(VLOOKUP(B126,'SB1'!$A$2:$C$999999,3,FALSE),"")</f>
        <v>503</v>
      </c>
      <c r="G126" s="3" t="e">
        <f t="shared" si="2"/>
        <v>#VALUE!</v>
      </c>
      <c r="H126" s="3" t="e">
        <f t="shared" si="3"/>
        <v>#VALUE!</v>
      </c>
      <c r="I126" s="1">
        <v>1</v>
      </c>
    </row>
    <row r="127" spans="1:9" x14ac:dyDescent="0.25">
      <c r="A127" s="1" t="s">
        <v>14435</v>
      </c>
      <c r="B127" s="1" t="s">
        <v>388</v>
      </c>
      <c r="C127" s="1" t="str">
        <f>IFERROR(VLOOKUP(B127,'SB1'!$A$2:$B$999999,2,FALSE),"")</f>
        <v>FRATACHO DE PINO 30CM CON FIELTRO (FR16)</v>
      </c>
      <c r="D127" s="1" t="s">
        <v>14443</v>
      </c>
      <c r="E127" s="3">
        <f>IFERROR(VLOOKUP(B127,'DA1'!$B$2:$D$999999,3,FALSE),"")</f>
      </c>
      <c r="F127" s="1" t="str">
        <f>IFERROR(VLOOKUP(B127,'SB1'!$A$2:$C$999999,3,FALSE),"")</f>
        <v>503</v>
      </c>
      <c r="G127" s="3" t="e">
        <f t="shared" si="2"/>
        <v>#VALUE!</v>
      </c>
      <c r="H127" s="3" t="e">
        <f t="shared" si="3"/>
        <v>#VALUE!</v>
      </c>
      <c r="I127" s="1">
        <v>1</v>
      </c>
    </row>
    <row r="128" spans="1:9" x14ac:dyDescent="0.25">
      <c r="A128" s="1" t="s">
        <v>14435</v>
      </c>
      <c r="B128" s="1" t="s">
        <v>390</v>
      </c>
      <c r="C128" s="1" t="str">
        <f>IFERROR(VLOOKUP(B128,'SB1'!$A$2:$B$999999,2,FALSE),"")</f>
        <v>FONDO ANTIOXIDO ALBA ROJO X  0,500</v>
      </c>
      <c r="D128" s="1" t="s">
        <v>14441</v>
      </c>
      <c r="E128" s="3">
        <f>IFERROR(VLOOKUP(B128,'DA1'!$B$2:$D$999999,3,FALSE),"")</f>
      </c>
      <c r="F128" s="1" t="str">
        <f>IFERROR(VLOOKUP(B128,'SB1'!$A$2:$C$999999,3,FALSE),"")</f>
        <v>503</v>
      </c>
      <c r="G128" s="3" t="e">
        <f t="shared" si="2"/>
        <v>#VALUE!</v>
      </c>
      <c r="H128" s="3" t="e">
        <f t="shared" si="3"/>
        <v>#VALUE!</v>
      </c>
      <c r="I128" s="1">
        <v>1</v>
      </c>
    </row>
    <row r="129" spans="1:9" x14ac:dyDescent="0.25">
      <c r="A129" s="1" t="s">
        <v>14435</v>
      </c>
      <c r="B129" s="1" t="s">
        <v>392</v>
      </c>
      <c r="C129" s="1" t="str">
        <f>IFERROR(VLOOKUP(B129,'SB1'!$A$2:$B$999999,2,FALSE),"")</f>
        <v>FONDO ANTIOXIDO ALBA ROJO X  1</v>
      </c>
      <c r="D129" s="1" t="s">
        <v>14439</v>
      </c>
      <c r="E129" s="3">
        <f>IFERROR(VLOOKUP(B129,'DA1'!$B$2:$D$999999,3,FALSE),"")</f>
      </c>
      <c r="F129" s="1" t="str">
        <f>IFERROR(VLOOKUP(B129,'SB1'!$A$2:$C$999999,3,FALSE),"")</f>
        <v>503</v>
      </c>
      <c r="G129" s="3" t="e">
        <f t="shared" si="2"/>
        <v>#VALUE!</v>
      </c>
      <c r="H129" s="3" t="e">
        <f t="shared" si="3"/>
        <v>#VALUE!</v>
      </c>
      <c r="I129" s="1">
        <v>1</v>
      </c>
    </row>
    <row r="130" spans="1:9" x14ac:dyDescent="0.25">
      <c r="A130" s="1" t="s">
        <v>14435</v>
      </c>
      <c r="B130" s="1" t="s">
        <v>394</v>
      </c>
      <c r="C130" s="1" t="str">
        <f>IFERROR(VLOOKUP(B130,'SB1'!$A$2:$B$999999,2,FALSE),"")</f>
        <v>FONDO ANTIOXIDO ALBA ROJO X  4</v>
      </c>
      <c r="D130" s="1" t="s">
        <v>14439</v>
      </c>
      <c r="E130" s="3">
        <f>IFERROR(VLOOKUP(B130,'DA1'!$B$2:$D$999999,3,FALSE),"")</f>
      </c>
      <c r="F130" s="1" t="str">
        <f>IFERROR(VLOOKUP(B130,'SB1'!$A$2:$C$999999,3,FALSE),"")</f>
        <v>503</v>
      </c>
      <c r="G130" s="3" t="e">
        <f t="shared" si="2"/>
        <v>#VALUE!</v>
      </c>
      <c r="H130" s="3" t="e">
        <f t="shared" si="3"/>
        <v>#VALUE!</v>
      </c>
      <c r="I130" s="1">
        <v>1</v>
      </c>
    </row>
    <row r="131" spans="1:9" x14ac:dyDescent="0.25">
      <c r="A131" s="1" t="s">
        <v>14435</v>
      </c>
      <c r="B131" s="1" t="s">
        <v>396</v>
      </c>
      <c r="C131" s="1" t="str">
        <f>IFERROR(VLOOKUP(B131,'SB1'!$A$2:$B$999999,2,FALSE),"")</f>
        <v>FONDO ANTIOXIDO ALBA ROJO X 20</v>
      </c>
      <c r="D131" s="1" t="s">
        <v>14441</v>
      </c>
      <c r="E131" s="3">
        <f>IFERROR(VLOOKUP(B131,'DA1'!$B$2:$D$999999,3,FALSE),"")</f>
      </c>
      <c r="F131" s="1" t="str">
        <f>IFERROR(VLOOKUP(B131,'SB1'!$A$2:$C$999999,3,FALSE),"")</f>
        <v>503</v>
      </c>
      <c r="G131" s="3" t="e">
        <f t="shared" ref="G131:G194" si="4">E131*1.04</f>
        <v>#VALUE!</v>
      </c>
      <c r="H131" s="3" t="e">
        <f t="shared" ref="H131:H147" si="5">G131*1.21</f>
        <v>#VALUE!</v>
      </c>
      <c r="I131" s="1">
        <v>1</v>
      </c>
    </row>
    <row r="132" spans="1:9" x14ac:dyDescent="0.25">
      <c r="A132" s="1" t="s">
        <v>14435</v>
      </c>
      <c r="B132" s="1" t="s">
        <v>398</v>
      </c>
      <c r="C132" s="1" t="str">
        <f>IFERROR(VLOOKUP(B132,'SB1'!$A$2:$B$999999,2,FALSE),"")</f>
        <v>FONDO PARA MADERA ALBA BLANCO X  0,500</v>
      </c>
      <c r="D132" s="1" t="s">
        <v>14441</v>
      </c>
      <c r="E132" s="3">
        <f>IFERROR(VLOOKUP(B132,'DA1'!$B$2:$D$999999,3,FALSE),"")</f>
      </c>
      <c r="F132" s="1" t="str">
        <f>IFERROR(VLOOKUP(B132,'SB1'!$A$2:$C$999999,3,FALSE),"")</f>
        <v>503</v>
      </c>
      <c r="G132" s="3" t="e">
        <f t="shared" si="4"/>
        <v>#VALUE!</v>
      </c>
      <c r="H132" s="3" t="e">
        <f t="shared" si="5"/>
        <v>#VALUE!</v>
      </c>
      <c r="I132" s="1">
        <v>1</v>
      </c>
    </row>
    <row r="133" spans="1:9" x14ac:dyDescent="0.25">
      <c r="A133" s="1" t="s">
        <v>14435</v>
      </c>
      <c r="B133" s="1" t="s">
        <v>400</v>
      </c>
      <c r="C133" s="1" t="str">
        <f>IFERROR(VLOOKUP(B133,'SB1'!$A$2:$B$999999,2,FALSE),"")</f>
        <v>FONDO PARA MADERA ALBA BLANCO X  1</v>
      </c>
      <c r="D133" s="1" t="s">
        <v>14441</v>
      </c>
      <c r="E133" s="3">
        <f>IFERROR(VLOOKUP(B133,'DA1'!$B$2:$D$999999,3,FALSE),"")</f>
      </c>
      <c r="F133" s="1" t="str">
        <f>IFERROR(VLOOKUP(B133,'SB1'!$A$2:$C$999999,3,FALSE),"")</f>
        <v>503</v>
      </c>
      <c r="G133" s="3" t="e">
        <f t="shared" si="4"/>
        <v>#VALUE!</v>
      </c>
      <c r="H133" s="3" t="e">
        <f t="shared" si="5"/>
        <v>#VALUE!</v>
      </c>
      <c r="I133" s="1">
        <v>1</v>
      </c>
    </row>
    <row r="134" spans="1:9" x14ac:dyDescent="0.25">
      <c r="A134" s="1" t="s">
        <v>14435</v>
      </c>
      <c r="B134" s="1" t="s">
        <v>402</v>
      </c>
      <c r="C134" s="1" t="str">
        <f>IFERROR(VLOOKUP(B134,'SB1'!$A$2:$B$999999,2,FALSE),"")</f>
        <v>FONDO PARA MADERA ALBA BLANCO X  4</v>
      </c>
      <c r="D134" s="1" t="s">
        <v>14441</v>
      </c>
      <c r="E134" s="3">
        <f>IFERROR(VLOOKUP(B134,'DA1'!$B$2:$D$999999,3,FALSE),"")</f>
      </c>
      <c r="F134" s="1" t="str">
        <f>IFERROR(VLOOKUP(B134,'SB1'!$A$2:$C$999999,3,FALSE),"")</f>
        <v>503</v>
      </c>
      <c r="G134" s="3" t="e">
        <f t="shared" si="4"/>
        <v>#VALUE!</v>
      </c>
      <c r="H134" s="3" t="e">
        <f t="shared" si="5"/>
        <v>#VALUE!</v>
      </c>
      <c r="I134" s="1">
        <v>1</v>
      </c>
    </row>
    <row r="135" spans="1:8" x14ac:dyDescent="0.25">
      <c r="A135" s="1" t="s">
        <v>14435</v>
      </c>
      <c r="B135" s="1" t="s">
        <v>406</v>
      </c>
      <c r="C135" s="1" t="str">
        <f>IFERROR(VLOOKUP(B135,'SB1'!$A$2:$B$999999,2,FALSE),"")</f>
        <v>BARNIZ PARA MADERA EXTERIOR ALBATROS BRILLANTE DOBLE VIDA INCOLORO X 0,500</v>
      </c>
      <c r="D135" s="1" t="s">
        <v>14439</v>
      </c>
      <c r="E135" s="3">
        <f>IFERROR(VLOOKUP(B135,'DA1'!$B$2:$D$999999,3,FALSE),"")</f>
      </c>
      <c r="F135" s="1" t="str">
        <f>IFERROR(VLOOKUP(B135,'SB1'!$A$2:$C$999999,3,FALSE),"")</f>
        <v>503</v>
      </c>
      <c r="G135" s="3" t="e">
        <f t="shared" si="4"/>
        <v>#VALUE!</v>
      </c>
      <c r="H135" s="3" t="e">
        <f t="shared" si="5"/>
        <v>#VALUE!</v>
      </c>
    </row>
    <row r="136" spans="1:9" x14ac:dyDescent="0.25">
      <c r="A136" s="1" t="s">
        <v>14435</v>
      </c>
      <c r="B136" s="1" t="s">
        <v>408</v>
      </c>
      <c r="C136" s="1" t="str">
        <f>IFERROR(VLOOKUP(B136,'SB1'!$A$2:$B$999999,2,FALSE),"")</f>
        <v>BARNIZ PARA MADERA EXTERIOR ALBATROS BRILLANTE NATURAL X  1</v>
      </c>
      <c r="D136" s="1" t="s">
        <v>14441</v>
      </c>
      <c r="E136" s="3">
        <f>IFERROR(VLOOKUP(B136,'DA1'!$B$2:$D$999999,3,FALSE),"")</f>
      </c>
      <c r="F136" s="1" t="str">
        <f>IFERROR(VLOOKUP(B136,'SB1'!$A$2:$C$999999,3,FALSE),"")</f>
        <v>503</v>
      </c>
      <c r="G136" s="3" t="e">
        <f t="shared" si="4"/>
        <v>#VALUE!</v>
      </c>
      <c r="H136" s="3" t="e">
        <f t="shared" si="5"/>
        <v>#VALUE!</v>
      </c>
      <c r="I136" s="1">
        <v>1</v>
      </c>
    </row>
    <row r="137" spans="1:9" x14ac:dyDescent="0.25">
      <c r="A137" s="1" t="s">
        <v>14435</v>
      </c>
      <c r="B137" s="1" t="s">
        <v>410</v>
      </c>
      <c r="C137" s="1" t="str">
        <f>IFERROR(VLOOKUP(B137,'SB1'!$A$2:$B$999999,2,FALSE),"")</f>
        <v>BARNIZ PARA MADERA EXTERIOR ALBATROS BRILLANTE NATURAL X  4</v>
      </c>
      <c r="D137" s="1" t="s">
        <v>14441</v>
      </c>
      <c r="E137" s="3">
        <f>IFERROR(VLOOKUP(B137,'DA1'!$B$2:$D$999999,3,FALSE),"")</f>
      </c>
      <c r="F137" s="1" t="str">
        <f>IFERROR(VLOOKUP(B137,'SB1'!$A$2:$C$999999,3,FALSE),"")</f>
        <v>503</v>
      </c>
      <c r="G137" s="3" t="e">
        <f t="shared" si="4"/>
        <v>#VALUE!</v>
      </c>
      <c r="H137" s="3" t="e">
        <f t="shared" si="5"/>
        <v>#VALUE!</v>
      </c>
      <c r="I137" s="1">
        <v>1</v>
      </c>
    </row>
    <row r="138" spans="1:9" x14ac:dyDescent="0.25">
      <c r="A138" s="1" t="s">
        <v>14435</v>
      </c>
      <c r="B138" s="1" t="s">
        <v>416</v>
      </c>
      <c r="C138" s="1" t="str">
        <f>IFERROR(VLOOKUP(B138,'SB1'!$A$2:$B$999999,2,FALSE),"")</f>
        <v>BARNIZ PARA MADERA INTERIOR CRISTALBA PU BRILLANTE NATURAL X  1</v>
      </c>
      <c r="D138" s="1" t="s">
        <v>14441</v>
      </c>
      <c r="E138" s="3">
        <f>IFERROR(VLOOKUP(B138,'DA1'!$B$2:$D$999999,3,FALSE),"")</f>
      </c>
      <c r="F138" s="1" t="str">
        <f>IFERROR(VLOOKUP(B138,'SB1'!$A$2:$C$999999,3,FALSE),"")</f>
        <v>503</v>
      </c>
      <c r="G138" s="3" t="e">
        <f t="shared" si="4"/>
        <v>#VALUE!</v>
      </c>
      <c r="H138" s="3" t="e">
        <f t="shared" si="5"/>
        <v>#VALUE!</v>
      </c>
      <c r="I138" s="1">
        <v>1</v>
      </c>
    </row>
    <row r="139" spans="1:9" x14ac:dyDescent="0.25">
      <c r="A139" s="1" t="s">
        <v>14435</v>
      </c>
      <c r="B139" s="1" t="s">
        <v>418</v>
      </c>
      <c r="C139" s="1" t="str">
        <f>IFERROR(VLOOKUP(B139,'SB1'!$A$2:$B$999999,2,FALSE),"")</f>
        <v>BARNIZ PARA MADERA INTERIOR CRISTALBA PU BRILLANTE NATURAL X  4</v>
      </c>
      <c r="D139" s="1" t="s">
        <v>14441</v>
      </c>
      <c r="E139" s="3">
        <f>IFERROR(VLOOKUP(B139,'DA1'!$B$2:$D$999999,3,FALSE),"")</f>
      </c>
      <c r="F139" s="1" t="str">
        <f>IFERROR(VLOOKUP(B139,'SB1'!$A$2:$C$999999,3,FALSE),"")</f>
        <v>503</v>
      </c>
      <c r="G139" s="3" t="e">
        <f t="shared" si="4"/>
        <v>#VALUE!</v>
      </c>
      <c r="H139" s="3" t="e">
        <f t="shared" si="5"/>
        <v>#VALUE!</v>
      </c>
      <c r="I139" s="1">
        <v>1</v>
      </c>
    </row>
    <row r="140" spans="1:9" x14ac:dyDescent="0.25">
      <c r="A140" s="1" t="s">
        <v>14435</v>
      </c>
      <c r="B140" s="1" t="s">
        <v>422</v>
      </c>
      <c r="C140" s="1" t="str">
        <f>IFERROR(VLOOKUP(B140,'SB1'!$A$2:$B$999999,2,FALSE),"")</f>
        <v>DISCO REMOVEDOR DE ADHESIVO 89X</v>
      </c>
      <c r="D140" s="1" t="s">
        <v>14451</v>
      </c>
      <c r="E140" s="3">
        <f>IFERROR(VLOOKUP(B140,'DA1'!$B$2:$D$999999,3,FALSE),"")</f>
      </c>
      <c r="F140" s="1" t="str">
        <f>IFERROR(VLOOKUP(B140,'SB1'!$A$2:$C$999999,3,FALSE),"")</f>
        <v>503</v>
      </c>
      <c r="G140" s="3" t="e">
        <f t="shared" si="4"/>
        <v>#VALUE!</v>
      </c>
      <c r="H140" s="3" t="e">
        <f t="shared" si="5"/>
        <v>#VALUE!</v>
      </c>
      <c r="I140" s="1">
        <v>1</v>
      </c>
    </row>
    <row r="141" spans="1:9" x14ac:dyDescent="0.25">
      <c r="A141" s="1" t="s">
        <v>14435</v>
      </c>
      <c r="B141" s="1" t="s">
        <v>432</v>
      </c>
      <c r="C141" s="1" t="str">
        <f>IFERROR(VLOOKUP(B141,'SB1'!$A$2:$B$999999,2,FALSE),"")</f>
        <v>AGITADOR MANUAL PARA PINTURAS</v>
      </c>
      <c r="D141" s="1" t="s">
        <v>14452</v>
      </c>
      <c r="E141" s="3">
        <f>IFERROR(VLOOKUP(B141,'DA1'!$B$2:$D$999999,3,FALSE),"")</f>
      </c>
      <c r="F141" s="1" t="str">
        <f>IFERROR(VLOOKUP(B141,'SB1'!$A$2:$C$999999,3,FALSE),"")</f>
        <v>503</v>
      </c>
      <c r="G141" s="3" t="e">
        <f t="shared" si="4"/>
        <v>#VALUE!</v>
      </c>
      <c r="H141" s="3" t="e">
        <f t="shared" si="5"/>
        <v>#VALUE!</v>
      </c>
      <c r="I141" s="1">
        <v>1</v>
      </c>
    </row>
    <row r="142" spans="1:9" x14ac:dyDescent="0.25">
      <c r="A142" s="1" t="s">
        <v>14435</v>
      </c>
      <c r="B142" s="1" t="s">
        <v>434</v>
      </c>
      <c r="C142" s="1" t="str">
        <f>IFERROR(VLOOKUP(B142,'SB1'!$A$2:$B$999999,2,FALSE),"")</f>
        <v>COLA PAPEL COLVINIL X 0,250</v>
      </c>
      <c r="D142" s="1" t="s">
        <v>14453</v>
      </c>
      <c r="E142" s="3">
        <f>IFERROR(VLOOKUP(B142,'DA1'!$B$2:$D$999999,3,FALSE),"")</f>
      </c>
      <c r="F142" s="1" t="str">
        <f>IFERROR(VLOOKUP(B142,'SB1'!$A$2:$C$999999,3,FALSE),"")</f>
        <v>503</v>
      </c>
      <c r="G142" s="3" t="e">
        <f t="shared" si="4"/>
        <v>#VALUE!</v>
      </c>
      <c r="H142" s="3" t="e">
        <f t="shared" si="5"/>
        <v>#VALUE!</v>
      </c>
      <c r="I142" s="1">
        <v>1</v>
      </c>
    </row>
    <row r="143" spans="1:9" x14ac:dyDescent="0.25">
      <c r="A143" s="1" t="s">
        <v>14435</v>
      </c>
      <c r="B143" s="1" t="s">
        <v>436</v>
      </c>
      <c r="C143" s="1" t="str">
        <f>IFERROR(VLOOKUP(B143,'SB1'!$A$2:$B$999999,2,FALSE),"")</f>
        <v>PM01.04 PRIMER MULTIFILLER 1K ACS X 0.900</v>
      </c>
      <c r="D143" s="1" t="s">
        <v>14454</v>
      </c>
      <c r="E143" s="3">
        <f>IFERROR(VLOOKUP(B143,'DA1'!$B$2:$D$999999,3,FALSE),"")</f>
      </c>
      <c r="F143" s="1" t="str">
        <f>IFERROR(VLOOKUP(B143,'SB1'!$A$2:$C$999999,3,FALSE),"")</f>
        <v>503</v>
      </c>
      <c r="G143" s="3" t="e">
        <f t="shared" si="4"/>
        <v>#VALUE!</v>
      </c>
      <c r="H143" s="3" t="e">
        <f t="shared" si="5"/>
        <v>#VALUE!</v>
      </c>
      <c r="I143" s="1">
        <v>3</v>
      </c>
    </row>
    <row r="144" spans="1:9" x14ac:dyDescent="0.25">
      <c r="A144" s="1" t="s">
        <v>14435</v>
      </c>
      <c r="B144" s="1" t="s">
        <v>438</v>
      </c>
      <c r="C144" s="1" t="str">
        <f>IFERROR(VLOOKUP(B144,'SB1'!$A$2:$B$999999,2,FALSE),"")</f>
        <v>COLA PAPEL COLVINIL X 0,500</v>
      </c>
      <c r="D144" s="1" t="s">
        <v>14453</v>
      </c>
      <c r="E144" s="3">
        <f>IFERROR(VLOOKUP(B144,'DA1'!$B$2:$D$999999,3,FALSE),"")</f>
      </c>
      <c r="F144" s="1" t="str">
        <f>IFERROR(VLOOKUP(B144,'SB1'!$A$2:$C$999999,3,FALSE),"")</f>
        <v>503</v>
      </c>
      <c r="G144" s="3" t="e">
        <f t="shared" si="4"/>
        <v>#VALUE!</v>
      </c>
      <c r="H144" s="3" t="e">
        <f t="shared" si="5"/>
        <v>#VALUE!</v>
      </c>
      <c r="I144" s="1">
        <v>1</v>
      </c>
    </row>
    <row r="145" spans="1:9" x14ac:dyDescent="0.25">
      <c r="A145" s="1" t="s">
        <v>14435</v>
      </c>
      <c r="B145" s="1" t="s">
        <v>440</v>
      </c>
      <c r="C145" s="1" t="str">
        <f>IFERROR(VLOOKUP(B145,'SB1'!$A$2:$B$999999,2,FALSE),"")</f>
        <v>FBR551 CLEAR EPOXI MAXIPISO X 20</v>
      </c>
      <c r="D145" s="1" t="s">
        <v>14455</v>
      </c>
      <c r="E145" s="3">
        <f>IFERROR(VLOOKUP(B145,'DA1'!$B$2:$D$999999,3,FALSE),"")</f>
      </c>
      <c r="F145" s="1" t="str">
        <f>IFERROR(VLOOKUP(B145,'SB1'!$A$2:$C$999999,3,FALSE),"")</f>
        <v>503</v>
      </c>
      <c r="G145" s="3" t="e">
        <f t="shared" si="4"/>
        <v>#VALUE!</v>
      </c>
      <c r="H145" s="3" t="e">
        <f t="shared" si="5"/>
        <v>#VALUE!</v>
      </c>
      <c r="I145" s="1">
        <v>3</v>
      </c>
    </row>
    <row r="146" spans="1:9" x14ac:dyDescent="0.25">
      <c r="A146" s="1" t="s">
        <v>14435</v>
      </c>
      <c r="B146" s="1" t="s">
        <v>442</v>
      </c>
      <c r="C146" s="1" t="str">
        <f>IFERROR(VLOOKUP(B146,'SB1'!$A$2:$B$999999,2,FALSE),"")</f>
        <v>FBR560 ENDURECEDOR EPOXI MAXIPISO X 0,600</v>
      </c>
      <c r="D146" s="1" t="s">
        <v>14455</v>
      </c>
      <c r="E146" s="3">
        <f>IFERROR(VLOOKUP(B146,'DA1'!$B$2:$D$999999,3,FALSE),"")</f>
      </c>
      <c r="F146" s="1" t="str">
        <f>IFERROR(VLOOKUP(B146,'SB1'!$A$2:$C$999999,3,FALSE),"")</f>
        <v>503</v>
      </c>
      <c r="G146" s="3" t="e">
        <f t="shared" si="4"/>
        <v>#VALUE!</v>
      </c>
      <c r="H146" s="3" t="e">
        <f t="shared" si="5"/>
        <v>#VALUE!</v>
      </c>
      <c r="I146" s="1">
        <v>3</v>
      </c>
    </row>
    <row r="147" spans="1:9" x14ac:dyDescent="0.25">
      <c r="A147" s="1" t="s">
        <v>14435</v>
      </c>
      <c r="B147" s="1" t="s">
        <v>444</v>
      </c>
      <c r="C147" s="1" t="str">
        <f>IFERROR(VLOOKUP(B147,'SB1'!$A$2:$B$999999,2,FALSE),"")</f>
        <v>FBR100 PRIMER PU DIRECTO METAL X 20</v>
      </c>
      <c r="D147" s="1" t="s">
        <v>14455</v>
      </c>
      <c r="E147" s="3">
        <f>IFERROR(VLOOKUP(B147,'DA1'!$B$2:$D$999999,3,FALSE),"")</f>
      </c>
      <c r="F147" s="1" t="str">
        <f>IFERROR(VLOOKUP(B147,'SB1'!$A$2:$C$999999,3,FALSE),"")</f>
        <v>503</v>
      </c>
      <c r="G147" s="3" t="e">
        <f t="shared" si="4"/>
        <v>#VALUE!</v>
      </c>
      <c r="H147" s="3" t="e">
        <f t="shared" si="5"/>
        <v>#VALUE!</v>
      </c>
      <c r="I147" s="1">
        <v>3</v>
      </c>
    </row>
    <row r="148" spans="1:9" x14ac:dyDescent="0.25">
      <c r="A148" s="1" t="s">
        <v>14435</v>
      </c>
      <c r="B148" s="1" t="s">
        <v>446</v>
      </c>
      <c r="C148" s="1" t="str">
        <f>IFERROR(VLOOKUP(B148,'SB1'!$A$2:$B$999999,2,FALSE),"")</f>
        <v>PISTOLA PARA PINTAR EXPERTO SISTEMA HVLP 600 PICO 1.4 (383058)</v>
      </c>
      <c r="D148" s="1" t="s">
        <v>14456</v>
      </c>
      <c r="E148" s="3">
        <f>IFERROR(VLOOKUP(B148,'DA1'!$B$2:$D$999999,3,FALSE),"")</f>
      </c>
      <c r="F148" s="1" t="str">
        <f>IFERROR(VLOOKUP(B148,'SB1'!$A$2:$C$999999,3,FALSE),"")</f>
        <v>501</v>
      </c>
      <c r="G148" s="3" t="e">
        <f t="shared" si="4"/>
        <v>#VALUE!</v>
      </c>
      <c r="H148" s="3" t="e">
        <f>G148*1.105</f>
        <v>#VALUE!</v>
      </c>
      <c r="I148" s="1">
        <v>1</v>
      </c>
    </row>
    <row r="149" spans="1:9" x14ac:dyDescent="0.25">
      <c r="A149" s="1" t="s">
        <v>14435</v>
      </c>
      <c r="B149" s="1" t="s">
        <v>449</v>
      </c>
      <c r="C149" s="1" t="str">
        <f>IFERROR(VLOOKUP(B149,'SB1'!$A$2:$B$999999,2,FALSE),"")</f>
        <v>PISTOLA PARA PINTAR EXPERTO SISTEMA HVLP 2EN1 PREMIUM 600 PICO 1.3 (383147)</v>
      </c>
      <c r="D149" s="1" t="s">
        <v>14456</v>
      </c>
      <c r="E149" s="3">
        <f>IFERROR(VLOOKUP(B149,'DA1'!$B$2:$D$999999,3,FALSE),"")</f>
      </c>
      <c r="F149" s="1" t="str">
        <f>IFERROR(VLOOKUP(B149,'SB1'!$A$2:$C$999999,3,FALSE),"")</f>
        <v>501</v>
      </c>
      <c r="G149" s="3" t="e">
        <f t="shared" si="4"/>
        <v>#VALUE!</v>
      </c>
      <c r="H149" s="3" t="e">
        <f>G149*1.105</f>
        <v>#VALUE!</v>
      </c>
      <c r="I149" s="1">
        <v>1</v>
      </c>
    </row>
    <row r="150" spans="1:9" x14ac:dyDescent="0.25">
      <c r="A150" s="1" t="s">
        <v>14435</v>
      </c>
      <c r="B150" s="1" t="s">
        <v>451</v>
      </c>
      <c r="C150" s="1" t="str">
        <f>IFERROR(VLOOKUP(B150,'SB1'!$A$2:$B$999999,2,FALSE),"")</f>
        <v>PM01.01 PRIMER MULTIFILLER 1K ACS X 3.500</v>
      </c>
      <c r="D150" s="1" t="s">
        <v>14454</v>
      </c>
      <c r="E150" s="3">
        <f>IFERROR(VLOOKUP(B150,'DA1'!$B$2:$D$999999,3,FALSE),"")</f>
      </c>
      <c r="F150" s="1" t="str">
        <f>IFERROR(VLOOKUP(B150,'SB1'!$A$2:$C$999999,3,FALSE),"")</f>
        <v>503</v>
      </c>
      <c r="G150" s="3" t="e">
        <f t="shared" si="4"/>
        <v>#VALUE!</v>
      </c>
      <c r="H150" s="3" t="e">
        <f>G150*1.21</f>
        <v>#VALUE!</v>
      </c>
      <c r="I150" s="1">
        <v>3</v>
      </c>
    </row>
    <row r="151" spans="1:9" x14ac:dyDescent="0.25">
      <c r="A151" s="1" t="s">
        <v>14435</v>
      </c>
      <c r="B151" s="1" t="s">
        <v>453</v>
      </c>
      <c r="C151" s="1" t="str">
        <f>IFERROR(VLOOKUP(B151,'SB1'!$A$2:$B$999999,2,FALSE),"")</f>
        <v>PISTOLA PARA SUBCARROCERIA EXPERTO 50MM (387711)</v>
      </c>
      <c r="D151" s="1" t="s">
        <v>14456</v>
      </c>
      <c r="E151" s="3">
        <f>IFERROR(VLOOKUP(B151,'DA1'!$B$2:$D$999999,3,FALSE),"")</f>
      </c>
      <c r="F151" s="1" t="str">
        <f>IFERROR(VLOOKUP(B151,'SB1'!$A$2:$C$999999,3,FALSE),"")</f>
        <v>501</v>
      </c>
      <c r="G151" s="3" t="e">
        <f t="shared" si="4"/>
        <v>#VALUE!</v>
      </c>
      <c r="H151" s="3" t="e">
        <f>G151*1.105</f>
        <v>#VALUE!</v>
      </c>
      <c r="I151" s="1">
        <v>1</v>
      </c>
    </row>
    <row r="152" spans="1:9" x14ac:dyDescent="0.25">
      <c r="A152" s="1" t="s">
        <v>14435</v>
      </c>
      <c r="B152" s="1" t="s">
        <v>455</v>
      </c>
      <c r="C152" s="1" t="str">
        <f>IFERROR(VLOOKUP(B152,'SB1'!$A$2:$B$999999,2,FALSE),"")</f>
        <v>V21.08 BARNIZ HS ACS EVOLUTION X 4</v>
      </c>
      <c r="D152" s="1" t="s">
        <v>14454</v>
      </c>
      <c r="E152" s="3">
        <f>IFERROR(VLOOKUP(B152,'DA1'!$B$2:$D$999999,3,FALSE),"")</f>
      </c>
      <c r="F152" s="1" t="str">
        <f>IFERROR(VLOOKUP(B152,'SB1'!$A$2:$C$999999,3,FALSE),"")</f>
        <v>503</v>
      </c>
      <c r="G152" s="3" t="e">
        <f t="shared" si="4"/>
        <v>#VALUE!</v>
      </c>
      <c r="H152" s="3" t="e">
        <f t="shared" ref="H152:H215" si="6">G152*1.21</f>
        <v>#VALUE!</v>
      </c>
      <c r="I152" s="1">
        <v>3</v>
      </c>
    </row>
    <row r="153" spans="1:9" x14ac:dyDescent="0.25">
      <c r="A153" s="1" t="s">
        <v>14435</v>
      </c>
      <c r="B153" s="1" t="s">
        <v>457</v>
      </c>
      <c r="C153" s="1" t="str">
        <f>IFERROR(VLOOKUP(B153,'SB1'!$A$2:$B$999999,2,FALSE),"")</f>
        <v>EC800.01 BARNIZ DE SECADO ULTRA RAPIDO EHP X 3.785</v>
      </c>
      <c r="D153" s="1" t="s">
        <v>14457</v>
      </c>
      <c r="E153" s="3">
        <f>IFERROR(VLOOKUP(B153,'DA1'!$B$2:$D$999999,3,FALSE),"")</f>
      </c>
      <c r="F153" s="1" t="str">
        <f>IFERROR(VLOOKUP(B153,'SB1'!$A$2:$C$999999,3,FALSE),"")</f>
        <v>503</v>
      </c>
      <c r="G153" s="3" t="e">
        <f t="shared" si="4"/>
        <v>#VALUE!</v>
      </c>
      <c r="H153" s="3" t="e">
        <f t="shared" si="6"/>
        <v>#VALUE!</v>
      </c>
      <c r="I153" s="1">
        <v>3</v>
      </c>
    </row>
    <row r="154" spans="1:9" x14ac:dyDescent="0.25">
      <c r="A154" s="1" t="s">
        <v>14435</v>
      </c>
      <c r="B154" s="1" t="s">
        <v>459</v>
      </c>
      <c r="C154" s="1" t="str">
        <f>IFERROR(VLOOKUP(B154,'SB1'!$A$2:$B$999999,2,FALSE),"")</f>
        <v>ECH8075.900 CATALIZADOR PARA BARNIZ EC800 EHP X 0.946</v>
      </c>
      <c r="D154" s="1" t="s">
        <v>14457</v>
      </c>
      <c r="E154" s="3">
        <f>IFERROR(VLOOKUP(B154,'DA1'!$B$2:$D$999999,3,FALSE),"")</f>
      </c>
      <c r="F154" s="1" t="str">
        <f>IFERROR(VLOOKUP(B154,'SB1'!$A$2:$C$999999,3,FALSE),"")</f>
        <v>503</v>
      </c>
      <c r="G154" s="3" t="e">
        <f t="shared" si="4"/>
        <v>#VALUE!</v>
      </c>
      <c r="H154" s="3" t="e">
        <f t="shared" si="6"/>
        <v>#VALUE!</v>
      </c>
      <c r="I154" s="1">
        <v>3</v>
      </c>
    </row>
    <row r="155" spans="1:9" x14ac:dyDescent="0.25">
      <c r="A155" s="1" t="s">
        <v>14435</v>
      </c>
      <c r="B155" s="1" t="s">
        <v>461</v>
      </c>
      <c r="C155" s="1" t="str">
        <f>IFERROR(VLOOKUP(B155,'SB1'!$A$2:$B$999999,2,FALSE),"")</f>
        <v>REGULADOR DE AIRE EXPERTO CON MANOMETRO (383074)</v>
      </c>
      <c r="D155" s="1" t="s">
        <v>14456</v>
      </c>
      <c r="E155" s="3">
        <f>IFERROR(VLOOKUP(B155,'DA1'!$B$2:$D$999999,3,FALSE),"")</f>
      </c>
      <c r="F155" s="1" t="str">
        <f>IFERROR(VLOOKUP(B155,'SB1'!$A$2:$C$999999,3,FALSE),"")</f>
        <v>503</v>
      </c>
      <c r="G155" s="3" t="e">
        <f t="shared" si="4"/>
        <v>#VALUE!</v>
      </c>
      <c r="H155" s="3" t="e">
        <f t="shared" si="6"/>
        <v>#VALUE!</v>
      </c>
      <c r="I155" s="1">
        <v>1</v>
      </c>
    </row>
    <row r="156" spans="1:9" x14ac:dyDescent="0.25">
      <c r="A156" s="1" t="s">
        <v>14435</v>
      </c>
      <c r="B156" s="1" t="s">
        <v>469</v>
      </c>
      <c r="C156" s="1" t="str">
        <f>IFERROR(VLOOKUP(B156,'SB1'!$A$2:$B$999999,2,FALSE),"")</f>
        <v>AUTOPOLISH COLORIN AUTOCERA EXPRESS X 0,450</v>
      </c>
      <c r="D156" s="1" t="s">
        <v>14438</v>
      </c>
      <c r="E156" s="3">
        <f>IFERROR(VLOOKUP(B156,'DA1'!$B$2:$D$999999,3,FALSE),"")</f>
      </c>
      <c r="F156" s="1" t="str">
        <f>IFERROR(VLOOKUP(B156,'SB1'!$A$2:$C$999999,3,FALSE),"")</f>
        <v>503</v>
      </c>
      <c r="G156" s="3" t="e">
        <f t="shared" si="4"/>
        <v>#VALUE!</v>
      </c>
      <c r="H156" s="3" t="e">
        <f t="shared" si="6"/>
        <v>#VALUE!</v>
      </c>
      <c r="I156" s="1">
        <v>1</v>
      </c>
    </row>
    <row r="157" spans="1:9" x14ac:dyDescent="0.25">
      <c r="A157" s="1" t="s">
        <v>14435</v>
      </c>
      <c r="B157" s="1" t="s">
        <v>471</v>
      </c>
      <c r="C157" s="1" t="str">
        <f>IFERROR(VLOOKUP(B157,'SB1'!$A$2:$B$999999,2,FALSE),"")</f>
        <v>PAPEL DAMERO - DOXG1G7</v>
      </c>
      <c r="D157" s="1" t="s">
        <v>14446</v>
      </c>
      <c r="E157" s="3">
        <f>IFERROR(VLOOKUP(B157,'DA1'!$B$2:$D$999999,3,FALSE),"")</f>
      </c>
      <c r="F157" s="1" t="str">
        <f>IFERROR(VLOOKUP(B157,'SB1'!$A$2:$C$999999,3,FALSE),"")</f>
        <v>503</v>
      </c>
      <c r="G157" s="3" t="e">
        <f t="shared" si="4"/>
        <v>#VALUE!</v>
      </c>
      <c r="H157" s="3" t="e">
        <f t="shared" si="6"/>
        <v>#VALUE!</v>
      </c>
      <c r="I157" s="1">
        <v>3</v>
      </c>
    </row>
    <row r="158" spans="1:9" x14ac:dyDescent="0.25">
      <c r="A158" s="1" t="s">
        <v>14435</v>
      </c>
      <c r="B158" s="1" t="s">
        <v>475</v>
      </c>
      <c r="C158" s="1" t="str">
        <f>IFERROR(VLOOKUP(B158,'SB1'!$A$2:$B$999999,2,FALSE),"")</f>
        <v>IMPERMEABILIZANTE PARA TECHOS PLAVICON TAPATODO MEMBRANA BLANCO X  5</v>
      </c>
      <c r="D158" s="1" t="s">
        <v>14458</v>
      </c>
      <c r="E158" s="3">
        <f>IFERROR(VLOOKUP(B158,'DA1'!$B$2:$D$999999,3,FALSE),"")</f>
      </c>
      <c r="F158" s="1" t="str">
        <f>IFERROR(VLOOKUP(B158,'SB1'!$A$2:$C$999999,3,FALSE),"")</f>
        <v>503</v>
      </c>
      <c r="G158" s="3" t="e">
        <f t="shared" si="4"/>
        <v>#VALUE!</v>
      </c>
      <c r="H158" s="3" t="e">
        <f t="shared" si="6"/>
        <v>#VALUE!</v>
      </c>
      <c r="I158" s="1">
        <v>1</v>
      </c>
    </row>
    <row r="159" spans="1:9" x14ac:dyDescent="0.25">
      <c r="A159" s="1" t="s">
        <v>14435</v>
      </c>
      <c r="B159" s="1" t="s">
        <v>479</v>
      </c>
      <c r="C159" s="1" t="str">
        <f>IFERROR(VLOOKUP(B159,'SB1'!$A$2:$B$999999,2,FALSE),"")</f>
        <v>IMPERMEABILIZANTE PARA TECHOS PLAVICON TAPATODO MEMBRANA BLANCO X 20</v>
      </c>
      <c r="D159" s="1" t="s">
        <v>14458</v>
      </c>
      <c r="E159" s="3">
        <f>IFERROR(VLOOKUP(B159,'DA1'!$B$2:$D$999999,3,FALSE),"")</f>
      </c>
      <c r="F159" s="1" t="str">
        <f>IFERROR(VLOOKUP(B159,'SB1'!$A$2:$C$999999,3,FALSE),"")</f>
        <v>503</v>
      </c>
      <c r="G159" s="3" t="e">
        <f t="shared" si="4"/>
        <v>#VALUE!</v>
      </c>
      <c r="H159" s="3" t="e">
        <f t="shared" si="6"/>
        <v>#VALUE!</v>
      </c>
      <c r="I159" s="1">
        <v>1</v>
      </c>
    </row>
    <row r="160" spans="1:9" x14ac:dyDescent="0.25">
      <c r="A160" s="1" t="s">
        <v>14435</v>
      </c>
      <c r="B160" s="1" t="s">
        <v>481</v>
      </c>
      <c r="C160" s="1" t="str">
        <f>IFERROR(VLOOKUP(B160,'SB1'!$A$2:$B$999999,2,FALSE),"")</f>
        <v>MADERALBA SATINADA X 4</v>
      </c>
      <c r="D160" s="1" t="s">
        <v>14439</v>
      </c>
      <c r="E160" s="3">
        <f>IFERROR(VLOOKUP(B160,'DA1'!$B$2:$D$999999,3,FALSE),"")</f>
      </c>
      <c r="F160" s="1" t="str">
        <f>IFERROR(VLOOKUP(B160,'SB1'!$A$2:$C$999999,3,FALSE),"")</f>
        <v>503</v>
      </c>
      <c r="G160" s="3" t="e">
        <f t="shared" si="4"/>
        <v>#VALUE!</v>
      </c>
      <c r="H160" s="3" t="e">
        <f t="shared" si="6"/>
        <v>#VALUE!</v>
      </c>
      <c r="I160" s="1">
        <v>1</v>
      </c>
    </row>
    <row r="161" spans="1:9" x14ac:dyDescent="0.25">
      <c r="A161" s="1" t="s">
        <v>14435</v>
      </c>
      <c r="B161" s="1" t="s">
        <v>483</v>
      </c>
      <c r="C161" s="1" t="str">
        <f>IFERROR(VLOOKUP(B161,'SB1'!$A$2:$B$999999,2,FALSE),"")</f>
        <v>SILICONA FASTIX NEGRO X 280</v>
      </c>
      <c r="D161" s="1" t="s">
        <v>14459</v>
      </c>
      <c r="E161" s="3">
        <f>IFERROR(VLOOKUP(B161,'DA1'!$B$2:$D$999999,3,FALSE),"")</f>
      </c>
      <c r="F161" s="1" t="str">
        <f>IFERROR(VLOOKUP(B161,'SB1'!$A$2:$C$999999,3,FALSE),"")</f>
        <v>503</v>
      </c>
      <c r="G161" s="3" t="e">
        <f t="shared" si="4"/>
        <v>#VALUE!</v>
      </c>
      <c r="H161" s="3" t="e">
        <f t="shared" si="6"/>
        <v>#VALUE!</v>
      </c>
      <c r="I161" s="1">
        <v>1</v>
      </c>
    </row>
    <row r="162" spans="1:9" x14ac:dyDescent="0.25">
      <c r="A162" s="1" t="s">
        <v>14435</v>
      </c>
      <c r="B162" s="1" t="s">
        <v>485</v>
      </c>
      <c r="C162" s="1" t="str">
        <f>IFERROR(VLOOKUP(B162,'SB1'!$A$2:$B$999999,2,FALSE),"")</f>
        <v>BARNIZ PARA MADERA EXTERIOR ALBATROS BRILLANTE DOBLE VIDA INCOLORO X 1</v>
      </c>
      <c r="D162" s="1" t="s">
        <v>14441</v>
      </c>
      <c r="E162" s="3">
        <f>IFERROR(VLOOKUP(B162,'DA1'!$B$2:$D$999999,3,FALSE),"")</f>
      </c>
      <c r="F162" s="1" t="str">
        <f>IFERROR(VLOOKUP(B162,'SB1'!$A$2:$C$999999,3,FALSE),"")</f>
        <v>503</v>
      </c>
      <c r="G162" s="3" t="e">
        <f t="shared" si="4"/>
        <v>#VALUE!</v>
      </c>
      <c r="H162" s="3" t="e">
        <f t="shared" si="6"/>
        <v>#VALUE!</v>
      </c>
      <c r="I162" s="1">
        <v>1</v>
      </c>
    </row>
    <row r="163" spans="1:9" x14ac:dyDescent="0.25">
      <c r="A163" s="1" t="s">
        <v>14435</v>
      </c>
      <c r="B163" s="1" t="s">
        <v>487</v>
      </c>
      <c r="C163" s="1" t="str">
        <f>IFERROR(VLOOKUP(B163,'SB1'!$A$2:$B$999999,2,FALSE),"")</f>
        <v>BARNIZ PARA MADERA EXTERIOR ALBATROS BRILLANTE DOBLE VIDA INCOLORO X 4</v>
      </c>
      <c r="D163" s="1" t="s">
        <v>14441</v>
      </c>
      <c r="E163" s="3">
        <f>IFERROR(VLOOKUP(B163,'DA1'!$B$2:$D$999999,3,FALSE),"")</f>
      </c>
      <c r="F163" s="1" t="str">
        <f>IFERROR(VLOOKUP(B163,'SB1'!$A$2:$C$999999,3,FALSE),"")</f>
        <v>503</v>
      </c>
      <c r="G163" s="3" t="e">
        <f t="shared" si="4"/>
        <v>#VALUE!</v>
      </c>
      <c r="H163" s="3" t="e">
        <f t="shared" si="6"/>
        <v>#VALUE!</v>
      </c>
      <c r="I163" s="1">
        <v>1</v>
      </c>
    </row>
    <row r="164" spans="1:9" x14ac:dyDescent="0.25">
      <c r="A164" s="1" t="s">
        <v>14435</v>
      </c>
      <c r="B164" s="1" t="s">
        <v>489</v>
      </c>
      <c r="C164" s="1" t="str">
        <f>IFERROR(VLOOKUP(B164,'SB1'!$A$2:$B$999999,2,FALSE),"")</f>
        <v>PINTURA PARA PILETA ALBA AL AGUA MATE CELESTE X  4</v>
      </c>
      <c r="D164" s="1" t="s">
        <v>14441</v>
      </c>
      <c r="E164" s="3">
        <f>IFERROR(VLOOKUP(B164,'DA1'!$B$2:$D$999999,3,FALSE),"")</f>
      </c>
      <c r="F164" s="1" t="str">
        <f>IFERROR(VLOOKUP(B164,'SB1'!$A$2:$C$999999,3,FALSE),"")</f>
        <v>503</v>
      </c>
      <c r="G164" s="3" t="e">
        <f t="shared" si="4"/>
        <v>#VALUE!</v>
      </c>
      <c r="H164" s="3" t="e">
        <f t="shared" si="6"/>
        <v>#VALUE!</v>
      </c>
      <c r="I164" s="1">
        <v>1</v>
      </c>
    </row>
    <row r="165" spans="1:9" x14ac:dyDescent="0.25">
      <c r="A165" s="1" t="s">
        <v>14435</v>
      </c>
      <c r="B165" s="1" t="s">
        <v>491</v>
      </c>
      <c r="C165" s="1" t="str">
        <f>IFERROR(VLOOKUP(B165,'SB1'!$A$2:$B$999999,2,FALSE),"")</f>
        <v>PINCEL ROSARPIN 190 V2 CCH.10</v>
      </c>
      <c r="D165" s="1" t="s">
        <v>14460</v>
      </c>
      <c r="E165" s="3">
        <f>IFERROR(VLOOKUP(B165,'DA1'!$B$2:$D$999999,3,FALSE),"")</f>
      </c>
      <c r="F165" s="1" t="str">
        <f>IFERROR(VLOOKUP(B165,'SB1'!$A$2:$C$999999,3,FALSE),"")</f>
        <v>503</v>
      </c>
      <c r="G165" s="3" t="e">
        <f t="shared" si="4"/>
        <v>#VALUE!</v>
      </c>
      <c r="H165" s="3" t="e">
        <f t="shared" si="6"/>
        <v>#VALUE!</v>
      </c>
      <c r="I165" s="1">
        <v>1</v>
      </c>
    </row>
    <row r="166" spans="1:9" x14ac:dyDescent="0.25">
      <c r="A166" s="1" t="s">
        <v>14435</v>
      </c>
      <c r="B166" s="1" t="s">
        <v>493</v>
      </c>
      <c r="C166" s="1" t="str">
        <f>IFERROR(VLOOKUP(B166,'SB1'!$A$2:$B$999999,2,FALSE),"")</f>
        <v>PINCEL ROSARPIN 190 V2 CCH.15</v>
      </c>
      <c r="D166" s="1" t="s">
        <v>14460</v>
      </c>
      <c r="E166" s="3">
        <f>IFERROR(VLOOKUP(B166,'DA1'!$B$2:$D$999999,3,FALSE),"")</f>
      </c>
      <c r="F166" s="1" t="str">
        <f>IFERROR(VLOOKUP(B166,'SB1'!$A$2:$C$999999,3,FALSE),"")</f>
        <v>503</v>
      </c>
      <c r="G166" s="3" t="e">
        <f t="shared" si="4"/>
        <v>#VALUE!</v>
      </c>
      <c r="H166" s="3" t="e">
        <f t="shared" si="6"/>
        <v>#VALUE!</v>
      </c>
      <c r="I166" s="1">
        <v>1</v>
      </c>
    </row>
    <row r="167" spans="1:9" x14ac:dyDescent="0.25">
      <c r="A167" s="1" t="s">
        <v>14435</v>
      </c>
      <c r="B167" s="1" t="s">
        <v>495</v>
      </c>
      <c r="C167" s="1" t="str">
        <f>IFERROR(VLOOKUP(B167,'SB1'!$A$2:$B$999999,2,FALSE),"")</f>
        <v>PINTURA PARA PILETA ALBA AL AGUA MATE BLANCO X 4</v>
      </c>
      <c r="D167" s="1" t="s">
        <v>14441</v>
      </c>
      <c r="E167" s="3">
        <f>IFERROR(VLOOKUP(B167,'DA1'!$B$2:$D$999999,3,FALSE),"")</f>
      </c>
      <c r="F167" s="1" t="str">
        <f>IFERROR(VLOOKUP(B167,'SB1'!$A$2:$C$999999,3,FALSE),"")</f>
        <v>503</v>
      </c>
      <c r="G167" s="3" t="e">
        <f t="shared" si="4"/>
        <v>#VALUE!</v>
      </c>
      <c r="H167" s="3" t="e">
        <f t="shared" si="6"/>
        <v>#VALUE!</v>
      </c>
      <c r="I167" s="1">
        <v>1</v>
      </c>
    </row>
    <row r="168" spans="1:9" x14ac:dyDescent="0.25">
      <c r="A168" s="1" t="s">
        <v>14435</v>
      </c>
      <c r="B168" s="1" t="s">
        <v>497</v>
      </c>
      <c r="C168" s="1" t="str">
        <f>IFERROR(VLOOKUP(B168,'SB1'!$A$2:$B$999999,2,FALSE),"")</f>
        <v>PINCEL ROSARPIN 190 V2 CCH.20</v>
      </c>
      <c r="D168" s="1" t="s">
        <v>14460</v>
      </c>
      <c r="E168" s="3">
        <f>IFERROR(VLOOKUP(B168,'DA1'!$B$2:$D$999999,3,FALSE),"")</f>
      </c>
      <c r="F168" s="1" t="str">
        <f>IFERROR(VLOOKUP(B168,'SB1'!$A$2:$C$999999,3,FALSE),"")</f>
        <v>503</v>
      </c>
      <c r="G168" s="3" t="e">
        <f t="shared" si="4"/>
        <v>#VALUE!</v>
      </c>
      <c r="H168" s="3" t="e">
        <f t="shared" si="6"/>
        <v>#VALUE!</v>
      </c>
      <c r="I168" s="1">
        <v>1</v>
      </c>
    </row>
    <row r="169" spans="1:9" x14ac:dyDescent="0.25">
      <c r="A169" s="1" t="s">
        <v>14435</v>
      </c>
      <c r="B169" s="1" t="s">
        <v>499</v>
      </c>
      <c r="C169" s="1" t="str">
        <f>IFERROR(VLOOKUP(B169,'SB1'!$A$2:$B$999999,2,FALSE),"")</f>
        <v>PINCEL ROSARPIN 190 V2 CCH.25</v>
      </c>
      <c r="D169" s="1" t="s">
        <v>14460</v>
      </c>
      <c r="E169" s="3">
        <f>IFERROR(VLOOKUP(B169,'DA1'!$B$2:$D$999999,3,FALSE),"")</f>
      </c>
      <c r="F169" s="1" t="str">
        <f>IFERROR(VLOOKUP(B169,'SB1'!$A$2:$C$999999,3,FALSE),"")</f>
        <v>503</v>
      </c>
      <c r="G169" s="3" t="e">
        <f t="shared" si="4"/>
        <v>#VALUE!</v>
      </c>
      <c r="H169" s="3" t="e">
        <f t="shared" si="6"/>
        <v>#VALUE!</v>
      </c>
      <c r="I169" s="1">
        <v>1</v>
      </c>
    </row>
    <row r="170" spans="1:9" x14ac:dyDescent="0.25">
      <c r="A170" s="1" t="s">
        <v>14435</v>
      </c>
      <c r="B170" s="1" t="s">
        <v>501</v>
      </c>
      <c r="C170" s="1" t="str">
        <f>IFERROR(VLOOKUP(B170,'SB1'!$A$2:$B$999999,2,FALSE),"")</f>
        <v>PINCEL ROSARPIN 190 V2 CCH.30</v>
      </c>
      <c r="D170" s="1" t="s">
        <v>14460</v>
      </c>
      <c r="E170" s="3">
        <f>IFERROR(VLOOKUP(B170,'DA1'!$B$2:$D$999999,3,FALSE),"")</f>
      </c>
      <c r="F170" s="1" t="str">
        <f>IFERROR(VLOOKUP(B170,'SB1'!$A$2:$C$999999,3,FALSE),"")</f>
        <v>503</v>
      </c>
      <c r="G170" s="3" t="e">
        <f t="shared" si="4"/>
        <v>#VALUE!</v>
      </c>
      <c r="H170" s="3" t="e">
        <f t="shared" si="6"/>
        <v>#VALUE!</v>
      </c>
      <c r="I170" s="1">
        <v>1</v>
      </c>
    </row>
    <row r="171" spans="1:9" x14ac:dyDescent="0.25">
      <c r="A171" s="1" t="s">
        <v>14435</v>
      </c>
      <c r="B171" s="1" t="s">
        <v>507</v>
      </c>
      <c r="C171" s="1" t="str">
        <f>IFERROR(VLOOKUP(B171,'SB1'!$A$2:$B$999999,2,FALSE),"")</f>
        <v>ESMALTE SINTETICO SATINOL SATINADO BLANCO X 20</v>
      </c>
      <c r="D171" s="1" t="s">
        <v>14441</v>
      </c>
      <c r="E171" s="3">
        <f>IFERROR(VLOOKUP(B171,'DA1'!$B$2:$D$999999,3,FALSE),"")</f>
      </c>
      <c r="F171" s="1" t="str">
        <f>IFERROR(VLOOKUP(B171,'SB1'!$A$2:$C$999999,3,FALSE),"")</f>
        <v>503</v>
      </c>
      <c r="G171" s="3" t="e">
        <f t="shared" si="4"/>
        <v>#VALUE!</v>
      </c>
      <c r="H171" s="3" t="e">
        <f t="shared" si="6"/>
        <v>#VALUE!</v>
      </c>
      <c r="I171" s="1">
        <v>1</v>
      </c>
    </row>
    <row r="172" spans="1:9" x14ac:dyDescent="0.25">
      <c r="A172" s="1" t="s">
        <v>14435</v>
      </c>
      <c r="B172" s="1" t="s">
        <v>509</v>
      </c>
      <c r="C172" s="1" t="str">
        <f>IFERROR(VLOOKUP(B172,'SB1'!$A$2:$B$999999,2,FALSE),"")</f>
        <v>ENTONADOR UNIVERSAL TONALBA 012 MARRON X 0,030</v>
      </c>
      <c r="D172" s="1" t="s">
        <v>14441</v>
      </c>
      <c r="E172" s="3">
        <f>IFERROR(VLOOKUP(B172,'DA1'!$B$2:$D$999999,3,FALSE),"")</f>
      </c>
      <c r="F172" s="1" t="str">
        <f>IFERROR(VLOOKUP(B172,'SB1'!$A$2:$C$999999,3,FALSE),"")</f>
        <v>503</v>
      </c>
      <c r="G172" s="3" t="e">
        <f t="shared" si="4"/>
        <v>#VALUE!</v>
      </c>
      <c r="H172" s="3" t="e">
        <f t="shared" si="6"/>
        <v>#VALUE!</v>
      </c>
      <c r="I172" s="1">
        <v>1</v>
      </c>
    </row>
    <row r="173" spans="1:9" x14ac:dyDescent="0.25">
      <c r="A173" s="1" t="s">
        <v>14435</v>
      </c>
      <c r="B173" s="1" t="s">
        <v>511</v>
      </c>
      <c r="C173" s="1" t="str">
        <f>IFERROR(VLOOKUP(B173,'SB1'!$A$2:$B$999999,2,FALSE),"")</f>
        <v>ENTONADOR UNIVERSAL TONALBA 012 MARRON X 0,120</v>
      </c>
      <c r="D173" s="1" t="s">
        <v>14441</v>
      </c>
      <c r="E173" s="3">
        <f>IFERROR(VLOOKUP(B173,'DA1'!$B$2:$D$999999,3,FALSE),"")</f>
      </c>
      <c r="F173" s="1" t="str">
        <f>IFERROR(VLOOKUP(B173,'SB1'!$A$2:$C$999999,3,FALSE),"")</f>
        <v>503</v>
      </c>
      <c r="G173" s="3" t="e">
        <f t="shared" si="4"/>
        <v>#VALUE!</v>
      </c>
      <c r="H173" s="3" t="e">
        <f t="shared" si="6"/>
        <v>#VALUE!</v>
      </c>
      <c r="I173" s="1">
        <v>1</v>
      </c>
    </row>
    <row r="174" spans="1:9" x14ac:dyDescent="0.25">
      <c r="A174" s="1" t="s">
        <v>14435</v>
      </c>
      <c r="B174" s="1" t="s">
        <v>513</v>
      </c>
      <c r="C174" s="1" t="str">
        <f>IFERROR(VLOOKUP(B174,'SB1'!$A$2:$B$999999,2,FALSE),"")</f>
        <v>SILICONA FASTIX TRANSPARENTE X 280</v>
      </c>
      <c r="D174" s="1" t="s">
        <v>14459</v>
      </c>
      <c r="E174" s="3">
        <f>IFERROR(VLOOKUP(B174,'DA1'!$B$2:$D$999999,3,FALSE),"")</f>
      </c>
      <c r="F174" s="1" t="str">
        <f>IFERROR(VLOOKUP(B174,'SB1'!$A$2:$C$999999,3,FALSE),"")</f>
        <v>503</v>
      </c>
      <c r="G174" s="3" t="e">
        <f t="shared" si="4"/>
        <v>#VALUE!</v>
      </c>
      <c r="H174" s="3" t="e">
        <f t="shared" si="6"/>
        <v>#VALUE!</v>
      </c>
      <c r="I174" s="1">
        <v>1</v>
      </c>
    </row>
    <row r="175" spans="1:9" x14ac:dyDescent="0.25">
      <c r="A175" s="1" t="s">
        <v>14435</v>
      </c>
      <c r="B175" s="1" t="s">
        <v>515</v>
      </c>
      <c r="C175" s="1" t="str">
        <f>IFERROR(VLOOKUP(B175,'SB1'!$A$2:$B$999999,2,FALSE),"")</f>
        <v>SILICONA FASTIX BLANCO X 290</v>
      </c>
      <c r="D175" s="1" t="s">
        <v>14459</v>
      </c>
      <c r="E175" s="3">
        <f>IFERROR(VLOOKUP(B175,'DA1'!$B$2:$D$999999,3,FALSE),"")</f>
      </c>
      <c r="F175" s="1" t="str">
        <f>IFERROR(VLOOKUP(B175,'SB1'!$A$2:$C$999999,3,FALSE),"")</f>
        <v>503</v>
      </c>
      <c r="G175" s="3" t="e">
        <f t="shared" si="4"/>
        <v>#VALUE!</v>
      </c>
      <c r="H175" s="3" t="e">
        <f t="shared" si="6"/>
        <v>#VALUE!</v>
      </c>
      <c r="I175" s="1">
        <v>1</v>
      </c>
    </row>
    <row r="176" spans="1:9" x14ac:dyDescent="0.25">
      <c r="A176" s="1" t="s">
        <v>14435</v>
      </c>
      <c r="B176" s="1" t="s">
        <v>517</v>
      </c>
      <c r="C176" s="1" t="str">
        <f>IFERROR(VLOOKUP(B176,'SB1'!$A$2:$B$999999,2,FALSE),"")</f>
        <v>ESMALTE SINTETICO PARA PIZARRON ALBA MATE NEGRO X 0,500</v>
      </c>
      <c r="D176" s="1" t="s">
        <v>14441</v>
      </c>
      <c r="E176" s="3">
        <f>IFERROR(VLOOKUP(B176,'DA1'!$B$2:$D$999999,3,FALSE),"")</f>
      </c>
      <c r="F176" s="1" t="str">
        <f>IFERROR(VLOOKUP(B176,'SB1'!$A$2:$C$999999,3,FALSE),"")</f>
        <v>503</v>
      </c>
      <c r="G176" s="3" t="e">
        <f t="shared" si="4"/>
        <v>#VALUE!</v>
      </c>
      <c r="H176" s="3" t="e">
        <f t="shared" si="6"/>
        <v>#VALUE!</v>
      </c>
      <c r="I176" s="1">
        <v>1</v>
      </c>
    </row>
    <row r="177" spans="1:9" x14ac:dyDescent="0.25">
      <c r="A177" s="1" t="s">
        <v>14435</v>
      </c>
      <c r="B177" s="1" t="s">
        <v>519</v>
      </c>
      <c r="C177" s="1" t="str">
        <f>IFERROR(VLOOKUP(B177,'SB1'!$A$2:$B$999999,2,FALSE),"")</f>
        <v>ESMALTE SINTETICO PARA PIZARRON ALBA MATE NEGRO X 1</v>
      </c>
      <c r="D177" s="1" t="s">
        <v>14441</v>
      </c>
      <c r="E177" s="3">
        <f>IFERROR(VLOOKUP(B177,'DA1'!$B$2:$D$999999,3,FALSE),"")</f>
      </c>
      <c r="F177" s="1" t="str">
        <f>IFERROR(VLOOKUP(B177,'SB1'!$A$2:$C$999999,3,FALSE),"")</f>
        <v>503</v>
      </c>
      <c r="G177" s="3" t="e">
        <f t="shared" si="4"/>
        <v>#VALUE!</v>
      </c>
      <c r="H177" s="3" t="e">
        <f t="shared" si="6"/>
        <v>#VALUE!</v>
      </c>
      <c r="I177" s="1">
        <v>1</v>
      </c>
    </row>
    <row r="178" spans="1:9" x14ac:dyDescent="0.25">
      <c r="A178" s="1" t="s">
        <v>14435</v>
      </c>
      <c r="B178" s="1" t="s">
        <v>523</v>
      </c>
      <c r="C178" s="1" t="str">
        <f>IFERROR(VLOOKUP(B178,'SB1'!$A$2:$B$999999,2,FALSE),"")</f>
        <v>ESMALTE SINTETICO PARA PIZARRON ALBA MATE VERDE X 1</v>
      </c>
      <c r="D178" s="1" t="s">
        <v>14441</v>
      </c>
      <c r="E178" s="3">
        <f>IFERROR(VLOOKUP(B178,'DA1'!$B$2:$D$999999,3,FALSE),"")</f>
      </c>
      <c r="F178" s="1" t="str">
        <f>IFERROR(VLOOKUP(B178,'SB1'!$A$2:$C$999999,3,FALSE),"")</f>
        <v>503</v>
      </c>
      <c r="G178" s="3" t="e">
        <f t="shared" si="4"/>
        <v>#VALUE!</v>
      </c>
      <c r="H178" s="3" t="e">
        <f t="shared" si="6"/>
        <v>#VALUE!</v>
      </c>
      <c r="I178" s="1">
        <v>1</v>
      </c>
    </row>
    <row r="179" spans="1:9" x14ac:dyDescent="0.25">
      <c r="A179" s="1" t="s">
        <v>14435</v>
      </c>
      <c r="B179" s="1" t="s">
        <v>529</v>
      </c>
      <c r="C179" s="1" t="str">
        <f>IFERROR(VLOOKUP(B179,'SB1'!$A$2:$B$999999,2,FALSE),"")</f>
        <v>COLA PAPEL COLVINIL X 1</v>
      </c>
      <c r="D179" s="1" t="s">
        <v>14453</v>
      </c>
      <c r="E179" s="3">
        <f>IFERROR(VLOOKUP(B179,'DA1'!$B$2:$D$999999,3,FALSE),"")</f>
      </c>
      <c r="F179" s="1" t="str">
        <f>IFERROR(VLOOKUP(B179,'SB1'!$A$2:$C$999999,3,FALSE),"")</f>
        <v>503</v>
      </c>
      <c r="G179" s="3" t="e">
        <f t="shared" si="4"/>
        <v>#VALUE!</v>
      </c>
      <c r="H179" s="3" t="e">
        <f t="shared" si="6"/>
        <v>#VALUE!</v>
      </c>
      <c r="I179" s="1">
        <v>1</v>
      </c>
    </row>
    <row r="180" spans="1:9" x14ac:dyDescent="0.25">
      <c r="A180" s="1" t="s">
        <v>14435</v>
      </c>
      <c r="B180" s="1" t="s">
        <v>531</v>
      </c>
      <c r="C180" s="1" t="str">
        <f>IFERROR(VLOOKUP(B180,'SB1'!$A$2:$B$999999,2,FALSE),"")</f>
        <v>COLA PAPEL COLVINIL X 4</v>
      </c>
      <c r="D180" s="1" t="s">
        <v>14453</v>
      </c>
      <c r="E180" s="3">
        <f>IFERROR(VLOOKUP(B180,'DA1'!$B$2:$D$999999,3,FALSE),"")</f>
      </c>
      <c r="F180" s="1" t="str">
        <f>IFERROR(VLOOKUP(B180,'SB1'!$A$2:$C$999999,3,FALSE),"")</f>
        <v>503</v>
      </c>
      <c r="G180" s="3" t="e">
        <f t="shared" si="4"/>
        <v>#VALUE!</v>
      </c>
      <c r="H180" s="3" t="e">
        <f t="shared" si="6"/>
        <v>#VALUE!</v>
      </c>
      <c r="I180" s="1">
        <v>1</v>
      </c>
    </row>
    <row r="181" spans="1:9" x14ac:dyDescent="0.25">
      <c r="A181" s="1" t="s">
        <v>14435</v>
      </c>
      <c r="B181" s="1" t="s">
        <v>533</v>
      </c>
      <c r="C181" s="1" t="str">
        <f>IFERROR(VLOOKUP(B181,'SB1'!$A$2:$B$999999,2,FALSE),"")</f>
        <v>COLA VINILICA COLVINIL 04 X 10</v>
      </c>
      <c r="D181" s="1" t="s">
        <v>14453</v>
      </c>
      <c r="E181" s="3">
        <f>IFERROR(VLOOKUP(B181,'DA1'!$B$2:$D$999999,3,FALSE),"")</f>
      </c>
      <c r="F181" s="1" t="str">
        <f>IFERROR(VLOOKUP(B181,'SB1'!$A$2:$C$999999,3,FALSE),"")</f>
        <v>503</v>
      </c>
      <c r="G181" s="3" t="e">
        <f t="shared" si="4"/>
        <v>#VALUE!</v>
      </c>
      <c r="H181" s="3" t="e">
        <f t="shared" si="6"/>
        <v>#VALUE!</v>
      </c>
      <c r="I181" s="1">
        <v>1</v>
      </c>
    </row>
    <row r="182" spans="1:9" x14ac:dyDescent="0.25">
      <c r="A182" s="1" t="s">
        <v>14435</v>
      </c>
      <c r="B182" s="1" t="s">
        <v>535</v>
      </c>
      <c r="C182" s="1" t="str">
        <f>IFERROR(VLOOKUP(B182,'SB1'!$A$2:$B$999999,2,FALSE),"")</f>
        <v>COLA VINILICA COLVINIL 04 X 22</v>
      </c>
      <c r="D182" s="1" t="s">
        <v>14453</v>
      </c>
      <c r="E182" s="3">
        <f>IFERROR(VLOOKUP(B182,'DA1'!$B$2:$D$999999,3,FALSE),"")</f>
      </c>
      <c r="F182" s="1" t="str">
        <f>IFERROR(VLOOKUP(B182,'SB1'!$A$2:$C$999999,3,FALSE),"")</f>
        <v>503</v>
      </c>
      <c r="G182" s="3" t="e">
        <f t="shared" si="4"/>
        <v>#VALUE!</v>
      </c>
      <c r="H182" s="3" t="e">
        <f t="shared" si="6"/>
        <v>#VALUE!</v>
      </c>
      <c r="I182" s="1">
        <v>1</v>
      </c>
    </row>
    <row r="183" spans="1:9" x14ac:dyDescent="0.25">
      <c r="A183" s="1" t="s">
        <v>14435</v>
      </c>
      <c r="B183" s="1" t="s">
        <v>537</v>
      </c>
      <c r="C183" s="1" t="str">
        <f>IFERROR(VLOOKUP(B183,'SB1'!$A$2:$B$999999,2,FALSE),"")</f>
        <v>AUTOPOLISH COLORIN ECOLOGIO X 0,450</v>
      </c>
      <c r="D183" s="1" t="s">
        <v>14438</v>
      </c>
      <c r="E183" s="3">
        <f>IFERROR(VLOOKUP(B183,'DA1'!$B$2:$D$999999,3,FALSE),"")</f>
      </c>
      <c r="F183" s="1" t="str">
        <f>IFERROR(VLOOKUP(B183,'SB1'!$A$2:$C$999999,3,FALSE),"")</f>
        <v>503</v>
      </c>
      <c r="G183" s="3" t="e">
        <f t="shared" si="4"/>
        <v>#VALUE!</v>
      </c>
      <c r="H183" s="3" t="e">
        <f t="shared" si="6"/>
        <v>#VALUE!</v>
      </c>
      <c r="I183" s="1">
        <v>1</v>
      </c>
    </row>
    <row r="184" spans="1:9" x14ac:dyDescent="0.25">
      <c r="A184" s="1" t="s">
        <v>14435</v>
      </c>
      <c r="B184" s="1" t="s">
        <v>539</v>
      </c>
      <c r="C184" s="1" t="str">
        <f>IFERROR(VLOOKUP(B184,'SB1'!$A$2:$B$999999,2,FALSE),"")</f>
        <v>AUTOPOLISH COLORIN LIMPIADOR DESENGRASANTE X 0,500</v>
      </c>
      <c r="D184" s="1" t="s">
        <v>14438</v>
      </c>
      <c r="E184" s="3">
        <f>IFERROR(VLOOKUP(B184,'DA1'!$B$2:$D$999999,3,FALSE),"")</f>
      </c>
      <c r="F184" s="1" t="str">
        <f>IFERROR(VLOOKUP(B184,'SB1'!$A$2:$C$999999,3,FALSE),"")</f>
        <v>503</v>
      </c>
      <c r="G184" s="3" t="e">
        <f t="shared" si="4"/>
        <v>#VALUE!</v>
      </c>
      <c r="H184" s="3" t="e">
        <f t="shared" si="6"/>
        <v>#VALUE!</v>
      </c>
      <c r="I184" s="1">
        <v>1</v>
      </c>
    </row>
    <row r="185" spans="1:9" x14ac:dyDescent="0.25">
      <c r="A185" s="1" t="s">
        <v>14435</v>
      </c>
      <c r="B185" s="1" t="s">
        <v>545</v>
      </c>
      <c r="C185" s="1" t="str">
        <f>IFERROR(VLOOKUP(B185,'SB1'!$A$2:$B$999999,2,FALSE),"")</f>
        <v>ESMALTE SINTETICO PLAVICON 3EN1 BRILLANTE NEGRO X  0,250</v>
      </c>
      <c r="D185" s="1" t="s">
        <v>14439</v>
      </c>
      <c r="E185" s="3">
        <f>IFERROR(VLOOKUP(B185,'DA1'!$B$2:$D$999999,3,FALSE),"")</f>
      </c>
      <c r="F185" s="1" t="str">
        <f>IFERROR(VLOOKUP(B185,'SB1'!$A$2:$C$999999,3,FALSE),"")</f>
        <v>503</v>
      </c>
      <c r="G185" s="3" t="e">
        <f t="shared" si="4"/>
        <v>#VALUE!</v>
      </c>
      <c r="H185" s="3" t="e">
        <f t="shared" si="6"/>
        <v>#VALUE!</v>
      </c>
      <c r="I185" s="1">
        <v>1</v>
      </c>
    </row>
    <row r="186" spans="1:9" x14ac:dyDescent="0.25">
      <c r="A186" s="1" t="s">
        <v>14435</v>
      </c>
      <c r="B186" s="1" t="s">
        <v>549</v>
      </c>
      <c r="C186" s="1" t="str">
        <f>IFERROR(VLOOKUP(B186,'SB1'!$A$2:$B$999999,2,FALSE),"")</f>
        <v>ESMALTE SINTETICO PLAVICON 3EN1 BRILLANTE NEGRO X  0,500</v>
      </c>
      <c r="D186" s="1" t="s">
        <v>14458</v>
      </c>
      <c r="E186" s="3">
        <f>IFERROR(VLOOKUP(B186,'DA1'!$B$2:$D$999999,3,FALSE),"")</f>
      </c>
      <c r="F186" s="1" t="str">
        <f>IFERROR(VLOOKUP(B186,'SB1'!$A$2:$C$999999,3,FALSE),"")</f>
        <v>503</v>
      </c>
      <c r="G186" s="3" t="e">
        <f t="shared" si="4"/>
        <v>#VALUE!</v>
      </c>
      <c r="H186" s="3" t="e">
        <f t="shared" si="6"/>
        <v>#VALUE!</v>
      </c>
      <c r="I186" s="1">
        <v>1</v>
      </c>
    </row>
    <row r="187" spans="1:9" x14ac:dyDescent="0.25">
      <c r="A187" s="1" t="s">
        <v>14435</v>
      </c>
      <c r="B187" s="1" t="s">
        <v>551</v>
      </c>
      <c r="C187" s="1" t="str">
        <f>IFERROR(VLOOKUP(B187,'SB1'!$A$2:$B$999999,2,FALSE),"")</f>
        <v>V21.11 BARNIZ HS ACS EVOLUTION X 0.900</v>
      </c>
      <c r="D187" s="1" t="s">
        <v>14454</v>
      </c>
      <c r="E187" s="3">
        <f>IFERROR(VLOOKUP(B187,'DA1'!$B$2:$D$999999,3,FALSE),"")</f>
      </c>
      <c r="F187" s="1" t="str">
        <f>IFERROR(VLOOKUP(B187,'SB1'!$A$2:$C$999999,3,FALSE),"")</f>
        <v>503</v>
      </c>
      <c r="G187" s="3" t="e">
        <f t="shared" si="4"/>
        <v>#VALUE!</v>
      </c>
      <c r="H187" s="3" t="e">
        <f t="shared" si="6"/>
        <v>#VALUE!</v>
      </c>
      <c r="I187" s="1">
        <v>3</v>
      </c>
    </row>
    <row r="188" spans="1:9" x14ac:dyDescent="0.25">
      <c r="A188" s="1" t="s">
        <v>14435</v>
      </c>
      <c r="B188" s="1" t="s">
        <v>553</v>
      </c>
      <c r="C188" s="1" t="str">
        <f>IFERROR(VLOOKUP(B188,'SB1'!$A$2:$B$999999,2,FALSE),"")</f>
        <v>REPUESTO MINI FOAM  8CM(RO1108)</v>
      </c>
      <c r="D188" s="1" t="s">
        <v>14436</v>
      </c>
      <c r="E188" s="3">
        <f>IFERROR(VLOOKUP(B188,'DA1'!$B$2:$D$999999,3,FALSE),"")</f>
      </c>
      <c r="F188" s="1" t="str">
        <f>IFERROR(VLOOKUP(B188,'SB1'!$A$2:$C$999999,3,FALSE),"")</f>
        <v>503</v>
      </c>
      <c r="G188" s="3" t="e">
        <f t="shared" si="4"/>
        <v>#VALUE!</v>
      </c>
      <c r="H188" s="3" t="e">
        <f t="shared" si="6"/>
        <v>#VALUE!</v>
      </c>
      <c r="I188" s="1">
        <v>1</v>
      </c>
    </row>
    <row r="189" spans="1:9" x14ac:dyDescent="0.25">
      <c r="A189" s="1" t="s">
        <v>14435</v>
      </c>
      <c r="B189" s="1" t="s">
        <v>555</v>
      </c>
      <c r="C189" s="1" t="str">
        <f>IFERROR(VLOOKUP(B189,'SB1'!$A$2:$B$999999,2,FALSE),"")</f>
        <v>REPUESTO MINI FOAM 10CM(RO110)</v>
      </c>
      <c r="D189" s="1" t="s">
        <v>14436</v>
      </c>
      <c r="E189" s="3">
        <f>IFERROR(VLOOKUP(B189,'DA1'!$B$2:$D$999999,3,FALSE),"")</f>
      </c>
      <c r="F189" s="1" t="str">
        <f>IFERROR(VLOOKUP(B189,'SB1'!$A$2:$C$999999,3,FALSE),"")</f>
        <v>503</v>
      </c>
      <c r="G189" s="3" t="e">
        <f t="shared" si="4"/>
        <v>#VALUE!</v>
      </c>
      <c r="H189" s="3" t="e">
        <f t="shared" si="6"/>
        <v>#VALUE!</v>
      </c>
      <c r="I189" s="1">
        <v>1</v>
      </c>
    </row>
    <row r="190" spans="1:9" x14ac:dyDescent="0.25">
      <c r="A190" s="1" t="s">
        <v>14435</v>
      </c>
      <c r="B190" s="1" t="s">
        <v>557</v>
      </c>
      <c r="C190" s="1" t="str">
        <f>IFERROR(VLOOKUP(B190,'SB1'!$A$2:$B$999999,2,FALSE),"")</f>
        <v>ESMALTE SINTETICO PLAVICON 3EN1 BRILLANTE NEGRO X  1</v>
      </c>
      <c r="D190" s="1" t="s">
        <v>14458</v>
      </c>
      <c r="E190" s="3">
        <f>IFERROR(VLOOKUP(B190,'DA1'!$B$2:$D$999999,3,FALSE),"")</f>
      </c>
      <c r="F190" s="1" t="str">
        <f>IFERROR(VLOOKUP(B190,'SB1'!$A$2:$C$999999,3,FALSE),"")</f>
        <v>503</v>
      </c>
      <c r="G190" s="3" t="e">
        <f t="shared" si="4"/>
        <v>#VALUE!</v>
      </c>
      <c r="H190" s="3" t="e">
        <f t="shared" si="6"/>
        <v>#VALUE!</v>
      </c>
      <c r="I190" s="1">
        <v>1</v>
      </c>
    </row>
    <row r="191" spans="1:9" x14ac:dyDescent="0.25">
      <c r="A191" s="1" t="s">
        <v>14435</v>
      </c>
      <c r="B191" s="1" t="s">
        <v>559</v>
      </c>
      <c r="C191" s="1" t="str">
        <f>IFERROR(VLOOKUP(B191,'SB1'!$A$2:$B$999999,2,FALSE),"")</f>
        <v>IMPRIMACION FIJADORA ALBA AL AGUA X  1</v>
      </c>
      <c r="D191" s="1" t="s">
        <v>14441</v>
      </c>
      <c r="E191" s="3">
        <f>IFERROR(VLOOKUP(B191,'DA1'!$B$2:$D$999999,3,FALSE),"")</f>
      </c>
      <c r="F191" s="1" t="str">
        <f>IFERROR(VLOOKUP(B191,'SB1'!$A$2:$C$999999,3,FALSE),"")</f>
        <v>503</v>
      </c>
      <c r="G191" s="3" t="e">
        <f t="shared" si="4"/>
        <v>#VALUE!</v>
      </c>
      <c r="H191" s="3" t="e">
        <f t="shared" si="6"/>
        <v>#VALUE!</v>
      </c>
      <c r="I191" s="1">
        <v>1</v>
      </c>
    </row>
    <row r="192" spans="1:9" x14ac:dyDescent="0.25">
      <c r="A192" s="1" t="s">
        <v>14435</v>
      </c>
      <c r="B192" s="1" t="s">
        <v>561</v>
      </c>
      <c r="C192" s="1" t="str">
        <f>IFERROR(VLOOKUP(B192,'SB1'!$A$2:$B$999999,2,FALSE),"")</f>
        <v>IMPRIMACION FIJADORA ALBA AL AGUA X  4</v>
      </c>
      <c r="D192" s="1" t="s">
        <v>14441</v>
      </c>
      <c r="E192" s="3">
        <f>IFERROR(VLOOKUP(B192,'DA1'!$B$2:$D$999999,3,FALSE),"")</f>
      </c>
      <c r="F192" s="1" t="str">
        <f>IFERROR(VLOOKUP(B192,'SB1'!$A$2:$C$999999,3,FALSE),"")</f>
        <v>503</v>
      </c>
      <c r="G192" s="3" t="e">
        <f t="shared" si="4"/>
        <v>#VALUE!</v>
      </c>
      <c r="H192" s="3" t="e">
        <f t="shared" si="6"/>
        <v>#VALUE!</v>
      </c>
      <c r="I192" s="1">
        <v>1</v>
      </c>
    </row>
    <row r="193" spans="1:9" x14ac:dyDescent="0.25">
      <c r="A193" s="1" t="s">
        <v>14435</v>
      </c>
      <c r="B193" s="1" t="s">
        <v>563</v>
      </c>
      <c r="C193" s="1" t="str">
        <f>IFERROR(VLOOKUP(B193,'SB1'!$A$2:$B$999999,2,FALSE),"")</f>
        <v>IMPRIMACION FIJADORA ALBA AL AGUA X 10</v>
      </c>
      <c r="D193" s="1" t="s">
        <v>14441</v>
      </c>
      <c r="E193" s="3">
        <f>IFERROR(VLOOKUP(B193,'DA1'!$B$2:$D$999999,3,FALSE),"")</f>
      </c>
      <c r="F193" s="1" t="str">
        <f>IFERROR(VLOOKUP(B193,'SB1'!$A$2:$C$999999,3,FALSE),"")</f>
        <v>503</v>
      </c>
      <c r="G193" s="3" t="e">
        <f t="shared" si="4"/>
        <v>#VALUE!</v>
      </c>
      <c r="H193" s="3" t="e">
        <f t="shared" si="6"/>
        <v>#VALUE!</v>
      </c>
      <c r="I193" s="1">
        <v>1</v>
      </c>
    </row>
    <row r="194" spans="1:9" x14ac:dyDescent="0.25">
      <c r="A194" s="1" t="s">
        <v>14435</v>
      </c>
      <c r="B194" s="1" t="s">
        <v>565</v>
      </c>
      <c r="C194" s="1" t="str">
        <f>IFERROR(VLOOKUP(B194,'SB1'!$A$2:$B$999999,2,FALSE),"")</f>
        <v>IMPRIMACION FIJADORA ALBA AL AGUA X 20</v>
      </c>
      <c r="D194" s="1" t="s">
        <v>14441</v>
      </c>
      <c r="E194" s="3">
        <f>IFERROR(VLOOKUP(B194,'DA1'!$B$2:$D$999999,3,FALSE),"")</f>
      </c>
      <c r="F194" s="1" t="str">
        <f>IFERROR(VLOOKUP(B194,'SB1'!$A$2:$C$999999,3,FALSE),"")</f>
        <v>503</v>
      </c>
      <c r="G194" s="3" t="e">
        <f t="shared" si="4"/>
        <v>#VALUE!</v>
      </c>
      <c r="H194" s="3" t="e">
        <f t="shared" si="6"/>
        <v>#VALUE!</v>
      </c>
      <c r="I194" s="1">
        <v>1</v>
      </c>
    </row>
    <row r="195" spans="1:9" x14ac:dyDescent="0.25">
      <c r="A195" s="1" t="s">
        <v>14435</v>
      </c>
      <c r="B195" s="1" t="s">
        <v>567</v>
      </c>
      <c r="C195" s="1" t="str">
        <f>IFERROR(VLOOKUP(B195,'SB1'!$A$2:$B$999999,2,FALSE),"")</f>
        <v>ESMALTE SINTETICO PLAVICON 3EN1 BRILLANTE NEGRO X  4</v>
      </c>
      <c r="D195" s="1" t="s">
        <v>14458</v>
      </c>
      <c r="E195" s="3">
        <f>IFERROR(VLOOKUP(B195,'DA1'!$B$2:$D$999999,3,FALSE),"")</f>
      </c>
      <c r="F195" s="1" t="str">
        <f>IFERROR(VLOOKUP(B195,'SB1'!$A$2:$C$999999,3,FALSE),"")</f>
        <v>503</v>
      </c>
      <c r="G195" s="3" t="e">
        <f t="shared" ref="G195:G258" si="7">E195*1.04</f>
        <v>#VALUE!</v>
      </c>
      <c r="H195" s="3" t="e">
        <f t="shared" si="6"/>
        <v>#VALUE!</v>
      </c>
      <c r="I195" s="1">
        <v>1</v>
      </c>
    </row>
    <row r="196" spans="1:9" x14ac:dyDescent="0.25">
      <c r="A196" s="1" t="s">
        <v>14435</v>
      </c>
      <c r="B196" s="1" t="s">
        <v>571</v>
      </c>
      <c r="C196" s="1" t="str">
        <f>IFERROR(VLOOKUP(B196,'SB1'!$A$2:$B$999999,2,FALSE),"")</f>
        <v>ESMALTE SINTETICO PLAVICON 3EN1 BRILLANTE NEGRO X 20</v>
      </c>
      <c r="D196" s="1" t="s">
        <v>14458</v>
      </c>
      <c r="E196" s="3">
        <f>IFERROR(VLOOKUP(B196,'DA1'!$B$2:$D$999999,3,FALSE),"")</f>
      </c>
      <c r="F196" s="1" t="str">
        <f>IFERROR(VLOOKUP(B196,'SB1'!$A$2:$C$999999,3,FALSE),"")</f>
        <v>503</v>
      </c>
      <c r="G196" s="3" t="e">
        <f t="shared" si="7"/>
        <v>#VALUE!</v>
      </c>
      <c r="H196" s="3" t="e">
        <f t="shared" si="6"/>
        <v>#VALUE!</v>
      </c>
      <c r="I196" s="1">
        <v>1</v>
      </c>
    </row>
    <row r="197" spans="1:9" x14ac:dyDescent="0.25">
      <c r="A197" s="1" t="s">
        <v>14435</v>
      </c>
      <c r="B197" s="1" t="s">
        <v>573</v>
      </c>
      <c r="C197" s="1" t="str">
        <f>IFERROR(VLOOKUP(B197,'SB1'!$A$2:$B$999999,2,FALSE),"")</f>
        <v>PRIMER RELLENADOR ONE SHOT MMB BEIGE X 1</v>
      </c>
      <c r="D197" s="1" t="s">
        <v>14444</v>
      </c>
      <c r="E197" s="3">
        <f>IFERROR(VLOOKUP(B197,'DA1'!$B$2:$D$999999,3,FALSE),"")</f>
      </c>
      <c r="F197" s="1" t="str">
        <f>IFERROR(VLOOKUP(B197,'SB1'!$A$2:$C$999999,3,FALSE),"")</f>
        <v>503</v>
      </c>
      <c r="G197" s="3" t="e">
        <f t="shared" si="7"/>
        <v>#VALUE!</v>
      </c>
      <c r="H197" s="3" t="e">
        <f t="shared" si="6"/>
        <v>#VALUE!</v>
      </c>
      <c r="I197" s="1">
        <v>1</v>
      </c>
    </row>
    <row r="198" spans="1:9" x14ac:dyDescent="0.25">
      <c r="A198" s="1" t="s">
        <v>14435</v>
      </c>
      <c r="B198" s="1" t="s">
        <v>575</v>
      </c>
      <c r="C198" s="1" t="str">
        <f>IFERROR(VLOOKUP(B198,'SB1'!$A$2:$B$999999,2,FALSE),"")</f>
        <v>PRIMER RELLENADOR ONE SHOT MMB BEIGE X 4</v>
      </c>
      <c r="D198" s="1" t="s">
        <v>14444</v>
      </c>
      <c r="E198" s="3">
        <f>IFERROR(VLOOKUP(B198,'DA1'!$B$2:$D$999999,3,FALSE),"")</f>
      </c>
      <c r="F198" s="1" t="str">
        <f>IFERROR(VLOOKUP(B198,'SB1'!$A$2:$C$999999,3,FALSE),"")</f>
        <v>503</v>
      </c>
      <c r="G198" s="3" t="e">
        <f t="shared" si="7"/>
        <v>#VALUE!</v>
      </c>
      <c r="H198" s="3" t="e">
        <f t="shared" si="6"/>
        <v>#VALUE!</v>
      </c>
      <c r="I198" s="1">
        <v>1</v>
      </c>
    </row>
    <row r="199" spans="1:9" x14ac:dyDescent="0.25">
      <c r="A199" s="1" t="s">
        <v>14435</v>
      </c>
      <c r="B199" s="1" t="s">
        <v>577</v>
      </c>
      <c r="C199" s="1" t="str">
        <f>IFERROR(VLOOKUP(B199,'SB1'!$A$2:$B$999999,2,FALSE),"")</f>
        <v>FONDO PARA MADERA ALBA AL AGUA BLANCO X 0,500</v>
      </c>
      <c r="D199" s="1" t="s">
        <v>14441</v>
      </c>
      <c r="E199" s="3">
        <f>IFERROR(VLOOKUP(B199,'DA1'!$B$2:$D$999999,3,FALSE),"")</f>
      </c>
      <c r="F199" s="1" t="str">
        <f>IFERROR(VLOOKUP(B199,'SB1'!$A$2:$C$999999,3,FALSE),"")</f>
        <v>503</v>
      </c>
      <c r="G199" s="3" t="e">
        <f t="shared" si="7"/>
        <v>#VALUE!</v>
      </c>
      <c r="H199" s="3" t="e">
        <f t="shared" si="6"/>
        <v>#VALUE!</v>
      </c>
      <c r="I199" s="1">
        <v>1</v>
      </c>
    </row>
    <row r="200" spans="1:9" x14ac:dyDescent="0.25">
      <c r="A200" s="1" t="s">
        <v>14435</v>
      </c>
      <c r="B200" s="1" t="s">
        <v>579</v>
      </c>
      <c r="C200" s="1" t="str">
        <f>IFERROR(VLOOKUP(B200,'SB1'!$A$2:$B$999999,2,FALSE),"")</f>
        <v>FONDO PARA MADERA ALBA AL AGUA BLANCO X 1</v>
      </c>
      <c r="D200" s="1" t="s">
        <v>14441</v>
      </c>
      <c r="E200" s="3">
        <f>IFERROR(VLOOKUP(B200,'DA1'!$B$2:$D$999999,3,FALSE),"")</f>
      </c>
      <c r="F200" s="1" t="str">
        <f>IFERROR(VLOOKUP(B200,'SB1'!$A$2:$C$999999,3,FALSE),"")</f>
        <v>503</v>
      </c>
      <c r="G200" s="3" t="e">
        <f t="shared" si="7"/>
        <v>#VALUE!</v>
      </c>
      <c r="H200" s="3" t="e">
        <f t="shared" si="6"/>
        <v>#VALUE!</v>
      </c>
      <c r="I200" s="1">
        <v>1</v>
      </c>
    </row>
    <row r="201" spans="1:9" x14ac:dyDescent="0.25">
      <c r="A201" s="1" t="s">
        <v>14435</v>
      </c>
      <c r="B201" s="1" t="s">
        <v>595</v>
      </c>
      <c r="C201" s="1" t="str">
        <f>IFERROR(VLOOKUP(B201,'SB1'!$A$2:$B$999999,2,FALSE),"")</f>
        <v>ESMALTE SINTETICO PLAVICON 3EN1 BRILLANTE AMARILLO X  0,250</v>
      </c>
      <c r="D201" s="1" t="s">
        <v>14439</v>
      </c>
      <c r="E201" s="3">
        <f>IFERROR(VLOOKUP(B201,'DA1'!$B$2:$D$999999,3,FALSE),"")</f>
      </c>
      <c r="F201" s="1" t="str">
        <f>IFERROR(VLOOKUP(B201,'SB1'!$A$2:$C$999999,3,FALSE),"")</f>
        <v>503</v>
      </c>
      <c r="G201" s="3" t="e">
        <f t="shared" si="7"/>
        <v>#VALUE!</v>
      </c>
      <c r="H201" s="3" t="e">
        <f t="shared" si="6"/>
        <v>#VALUE!</v>
      </c>
      <c r="I201" s="1">
        <v>1</v>
      </c>
    </row>
    <row r="202" spans="1:9" x14ac:dyDescent="0.25">
      <c r="A202" s="1" t="s">
        <v>14435</v>
      </c>
      <c r="B202" s="1" t="s">
        <v>599</v>
      </c>
      <c r="C202" s="1" t="str">
        <f>IFERROR(VLOOKUP(B202,'SB1'!$A$2:$B$999999,2,FALSE),"")</f>
        <v>ESMALTE SINTETICO PLAVICON 3EN1 BRILLANTE AMARILLO X  0,500</v>
      </c>
      <c r="D202" s="1" t="s">
        <v>14458</v>
      </c>
      <c r="E202" s="3">
        <f>IFERROR(VLOOKUP(B202,'DA1'!$B$2:$D$999999,3,FALSE),"")</f>
      </c>
      <c r="F202" s="1" t="str">
        <f>IFERROR(VLOOKUP(B202,'SB1'!$A$2:$C$999999,3,FALSE),"")</f>
        <v>503</v>
      </c>
      <c r="G202" s="3" t="e">
        <f t="shared" si="7"/>
        <v>#VALUE!</v>
      </c>
      <c r="H202" s="3" t="e">
        <f t="shared" si="6"/>
        <v>#VALUE!</v>
      </c>
      <c r="I202" s="1">
        <v>1</v>
      </c>
    </row>
    <row r="203" spans="1:9" x14ac:dyDescent="0.25">
      <c r="A203" s="1" t="s">
        <v>14435</v>
      </c>
      <c r="B203" s="1" t="s">
        <v>601</v>
      </c>
      <c r="C203" s="1" t="str">
        <f>IFERROR(VLOOKUP(B203,'SB1'!$A$2:$B$999999,2,FALSE),"")</f>
        <v>ESMALTE SINTETICO PLAVICON 3EN1 BRILLANTE AMARILLO X  1</v>
      </c>
      <c r="D203" s="1" t="s">
        <v>14458</v>
      </c>
      <c r="E203" s="3">
        <f>IFERROR(VLOOKUP(B203,'DA1'!$B$2:$D$999999,3,FALSE),"")</f>
      </c>
      <c r="F203" s="1" t="str">
        <f>IFERROR(VLOOKUP(B203,'SB1'!$A$2:$C$999999,3,FALSE),"")</f>
        <v>503</v>
      </c>
      <c r="G203" s="3" t="e">
        <f t="shared" si="7"/>
        <v>#VALUE!</v>
      </c>
      <c r="H203" s="3" t="e">
        <f t="shared" si="6"/>
        <v>#VALUE!</v>
      </c>
      <c r="I203" s="1">
        <v>1</v>
      </c>
    </row>
    <row r="204" spans="1:9" x14ac:dyDescent="0.25">
      <c r="A204" s="1" t="s">
        <v>14435</v>
      </c>
      <c r="B204" s="1" t="s">
        <v>603</v>
      </c>
      <c r="C204" s="1" t="str">
        <f>IFERROR(VLOOKUP(B204,'SB1'!$A$2:$B$999999,2,FALSE),"")</f>
        <v>SILICONA FASTIX BLANCO X  25</v>
      </c>
      <c r="D204" s="1" t="s">
        <v>14459</v>
      </c>
      <c r="E204" s="3">
        <f>IFERROR(VLOOKUP(B204,'DA1'!$B$2:$D$999999,3,FALSE),"")</f>
      </c>
      <c r="F204" s="1" t="str">
        <f>IFERROR(VLOOKUP(B204,'SB1'!$A$2:$C$999999,3,FALSE),"")</f>
        <v>503</v>
      </c>
      <c r="G204" s="3" t="e">
        <f t="shared" si="7"/>
        <v>#VALUE!</v>
      </c>
      <c r="H204" s="3" t="e">
        <f t="shared" si="6"/>
        <v>#VALUE!</v>
      </c>
      <c r="I204" s="1">
        <v>1</v>
      </c>
    </row>
    <row r="205" spans="1:9" x14ac:dyDescent="0.25">
      <c r="A205" s="1" t="s">
        <v>14435</v>
      </c>
      <c r="B205" s="1" t="s">
        <v>605</v>
      </c>
      <c r="C205" s="1" t="str">
        <f>IFERROR(VLOOKUP(B205,'SB1'!$A$2:$B$999999,2,FALSE),"")</f>
        <v>SILICONA FASTIX NEGRO X  25</v>
      </c>
      <c r="D205" s="1" t="s">
        <v>14459</v>
      </c>
      <c r="E205" s="3">
        <f>IFERROR(VLOOKUP(B205,'DA1'!$B$2:$D$999999,3,FALSE),"")</f>
      </c>
      <c r="F205" s="1" t="str">
        <f>IFERROR(VLOOKUP(B205,'SB1'!$A$2:$C$999999,3,FALSE),"")</f>
        <v>503</v>
      </c>
      <c r="G205" s="3" t="e">
        <f t="shared" si="7"/>
        <v>#VALUE!</v>
      </c>
      <c r="H205" s="3" t="e">
        <f t="shared" si="6"/>
        <v>#VALUE!</v>
      </c>
      <c r="I205" s="1">
        <v>1</v>
      </c>
    </row>
    <row r="206" spans="1:9" x14ac:dyDescent="0.25">
      <c r="A206" s="1" t="s">
        <v>14435</v>
      </c>
      <c r="B206" s="1" t="s">
        <v>607</v>
      </c>
      <c r="C206" s="1" t="str">
        <f>IFERROR(VLOOKUP(B206,'SB1'!$A$2:$B$999999,2,FALSE),"")</f>
        <v>ESMALTE SINTETICO PLAVICON 3EN1 BRILLANTE AMARILLO X  4</v>
      </c>
      <c r="D206" s="1" t="s">
        <v>14458</v>
      </c>
      <c r="E206" s="3">
        <f>IFERROR(VLOOKUP(B206,'DA1'!$B$2:$D$999999,3,FALSE),"")</f>
      </c>
      <c r="F206" s="1" t="str">
        <f>IFERROR(VLOOKUP(B206,'SB1'!$A$2:$C$999999,3,FALSE),"")</f>
        <v>503</v>
      </c>
      <c r="G206" s="3" t="e">
        <f t="shared" si="7"/>
        <v>#VALUE!</v>
      </c>
      <c r="H206" s="3" t="e">
        <f t="shared" si="6"/>
        <v>#VALUE!</v>
      </c>
      <c r="I206" s="1">
        <v>1</v>
      </c>
    </row>
    <row r="207" spans="1:9" x14ac:dyDescent="0.25">
      <c r="A207" s="1" t="s">
        <v>14435</v>
      </c>
      <c r="B207" s="1" t="s">
        <v>609</v>
      </c>
      <c r="C207" s="1" t="str">
        <f>IFERROR(VLOOKUP(B207,'SB1'!$A$2:$B$999999,2,FALSE),"")</f>
        <v>IMPRESION UNIVERSAL MMB GRIS X 1</v>
      </c>
      <c r="D207" s="1" t="s">
        <v>14444</v>
      </c>
      <c r="E207" s="3">
        <f>IFERROR(VLOOKUP(B207,'DA1'!$B$2:$D$999999,3,FALSE),"")</f>
      </c>
      <c r="F207" s="1" t="str">
        <f>IFERROR(VLOOKUP(B207,'SB1'!$A$2:$C$999999,3,FALSE),"")</f>
        <v>503</v>
      </c>
      <c r="G207" s="3" t="e">
        <f t="shared" si="7"/>
        <v>#VALUE!</v>
      </c>
      <c r="H207" s="3" t="e">
        <f t="shared" si="6"/>
        <v>#VALUE!</v>
      </c>
      <c r="I207" s="1">
        <v>1</v>
      </c>
    </row>
    <row r="208" spans="1:9" x14ac:dyDescent="0.25">
      <c r="A208" s="1" t="s">
        <v>14435</v>
      </c>
      <c r="B208" s="1" t="s">
        <v>611</v>
      </c>
      <c r="C208" s="1" t="str">
        <f>IFERROR(VLOOKUP(B208,'SB1'!$A$2:$B$999999,2,FALSE),"")</f>
        <v>IMPRESION UNIVERSAL MMB GRIS X 4</v>
      </c>
      <c r="D208" s="1" t="s">
        <v>14444</v>
      </c>
      <c r="E208" s="3">
        <f>IFERROR(VLOOKUP(B208,'DA1'!$B$2:$D$999999,3,FALSE),"")</f>
      </c>
      <c r="F208" s="1" t="str">
        <f>IFERROR(VLOOKUP(B208,'SB1'!$A$2:$C$999999,3,FALSE),"")</f>
        <v>503</v>
      </c>
      <c r="G208" s="3" t="e">
        <f t="shared" si="7"/>
        <v>#VALUE!</v>
      </c>
      <c r="H208" s="3" t="e">
        <f t="shared" si="6"/>
        <v>#VALUE!</v>
      </c>
      <c r="I208" s="1">
        <v>1</v>
      </c>
    </row>
    <row r="209" spans="1:9" x14ac:dyDescent="0.25">
      <c r="A209" s="1" t="s">
        <v>14435</v>
      </c>
      <c r="B209" s="1" t="s">
        <v>613</v>
      </c>
      <c r="C209" s="1" t="str">
        <f>IFERROR(VLOOKUP(B209,'SB1'!$A$2:$B$999999,2,FALSE),"")</f>
        <v>ESMALTE SINTETICO PLAVICON 3EN1 BRILLANTE AMARILLO X 20</v>
      </c>
      <c r="D209" s="1" t="s">
        <v>14458</v>
      </c>
      <c r="E209" s="3">
        <f>IFERROR(VLOOKUP(B209,'DA1'!$B$2:$D$999999,3,FALSE),"")</f>
      </c>
      <c r="F209" s="1" t="str">
        <f>IFERROR(VLOOKUP(B209,'SB1'!$A$2:$C$999999,3,FALSE),"")</f>
        <v>503</v>
      </c>
      <c r="G209" s="3" t="e">
        <f t="shared" si="7"/>
        <v>#VALUE!</v>
      </c>
      <c r="H209" s="3" t="e">
        <f t="shared" si="6"/>
        <v>#VALUE!</v>
      </c>
      <c r="I209" s="1">
        <v>1</v>
      </c>
    </row>
    <row r="210" spans="1:9" x14ac:dyDescent="0.25">
      <c r="A210" s="1" t="s">
        <v>14435</v>
      </c>
      <c r="B210" s="1" t="s">
        <v>617</v>
      </c>
      <c r="C210" s="1" t="str">
        <f>IFERROR(VLOOKUP(B210,'SB1'!$A$2:$B$999999,2,FALSE),"")</f>
        <v>AUTOPOLISH COLORIN SILICONA C/ESP.450</v>
      </c>
      <c r="D210" s="1" t="s">
        <v>14438</v>
      </c>
      <c r="E210" s="3">
        <f>IFERROR(VLOOKUP(B210,'DA1'!$B$2:$D$999999,3,FALSE),"")</f>
      </c>
      <c r="F210" s="1" t="str">
        <f>IFERROR(VLOOKUP(B210,'SB1'!$A$2:$C$999999,3,FALSE),"")</f>
        <v>503</v>
      </c>
      <c r="G210" s="3" t="e">
        <f t="shared" si="7"/>
        <v>#VALUE!</v>
      </c>
      <c r="H210" s="3" t="e">
        <f t="shared" si="6"/>
        <v>#VALUE!</v>
      </c>
      <c r="I210" s="1">
        <v>1</v>
      </c>
    </row>
    <row r="211" spans="1:9" x14ac:dyDescent="0.25">
      <c r="A211" s="1" t="s">
        <v>14435</v>
      </c>
      <c r="B211" s="1" t="s">
        <v>619</v>
      </c>
      <c r="C211" s="1" t="str">
        <f>IFERROR(VLOOKUP(B211,'SB1'!$A$2:$B$999999,2,FALSE),"")</f>
        <v>PASTA PULIR MMB GRUESA X 0,500</v>
      </c>
      <c r="D211" s="1" t="s">
        <v>14444</v>
      </c>
      <c r="E211" s="3">
        <f>IFERROR(VLOOKUP(B211,'DA1'!$B$2:$D$999999,3,FALSE),"")</f>
      </c>
      <c r="F211" s="1" t="str">
        <f>IFERROR(VLOOKUP(B211,'SB1'!$A$2:$C$999999,3,FALSE),"")</f>
        <v>503</v>
      </c>
      <c r="G211" s="3" t="e">
        <f t="shared" si="7"/>
        <v>#VALUE!</v>
      </c>
      <c r="H211" s="3" t="e">
        <f t="shared" si="6"/>
        <v>#VALUE!</v>
      </c>
      <c r="I211" s="1">
        <v>1</v>
      </c>
    </row>
    <row r="212" spans="1:9" x14ac:dyDescent="0.25">
      <c r="A212" s="1" t="s">
        <v>14435</v>
      </c>
      <c r="B212" s="1" t="s">
        <v>621</v>
      </c>
      <c r="C212" s="1" t="str">
        <f>IFERROR(VLOOKUP(B212,'SB1'!$A$2:$B$999999,2,FALSE),"")</f>
        <v>ESMALTE SINTETICO PLAVICON 3EN1 BRILLANTE AMARILLO MEDIANO X  0,500</v>
      </c>
      <c r="D212" s="1" t="s">
        <v>14458</v>
      </c>
      <c r="E212" s="3">
        <f>IFERROR(VLOOKUP(B212,'DA1'!$B$2:$D$999999,3,FALSE),"")</f>
      </c>
      <c r="F212" s="1" t="str">
        <f>IFERROR(VLOOKUP(B212,'SB1'!$A$2:$C$999999,3,FALSE),"")</f>
        <v>503</v>
      </c>
      <c r="G212" s="3" t="e">
        <f t="shared" si="7"/>
        <v>#VALUE!</v>
      </c>
      <c r="H212" s="3" t="e">
        <f t="shared" si="6"/>
        <v>#VALUE!</v>
      </c>
      <c r="I212" s="1">
        <v>1</v>
      </c>
    </row>
    <row r="213" spans="1:9" x14ac:dyDescent="0.25">
      <c r="A213" s="1" t="s">
        <v>14435</v>
      </c>
      <c r="B213" s="1" t="s">
        <v>623</v>
      </c>
      <c r="C213" s="1" t="str">
        <f>IFERROR(VLOOKUP(B213,'SB1'!$A$2:$B$999999,2,FALSE),"")</f>
        <v>ESMALTE SINTETICO PLAVICON 3EN1 BRILLANTE AMARILLO MEDIANO X  1</v>
      </c>
      <c r="D213" s="1" t="s">
        <v>14458</v>
      </c>
      <c r="E213" s="3">
        <f>IFERROR(VLOOKUP(B213,'DA1'!$B$2:$D$999999,3,FALSE),"")</f>
      </c>
      <c r="F213" s="1" t="str">
        <f>IFERROR(VLOOKUP(B213,'SB1'!$A$2:$C$999999,3,FALSE),"")</f>
        <v>503</v>
      </c>
      <c r="G213" s="3" t="e">
        <f t="shared" si="7"/>
        <v>#VALUE!</v>
      </c>
      <c r="H213" s="3" t="e">
        <f t="shared" si="6"/>
        <v>#VALUE!</v>
      </c>
      <c r="I213" s="1">
        <v>1</v>
      </c>
    </row>
    <row r="214" spans="1:9" x14ac:dyDescent="0.25">
      <c r="A214" s="1" t="s">
        <v>14435</v>
      </c>
      <c r="B214" s="1" t="s">
        <v>625</v>
      </c>
      <c r="C214" s="1" t="str">
        <f>IFERROR(VLOOKUP(B214,'SB1'!$A$2:$B$999999,2,FALSE),"")</f>
        <v>REPUESTO MINI FOAM 15CM(RO111)</v>
      </c>
      <c r="D214" s="1" t="s">
        <v>14436</v>
      </c>
      <c r="E214" s="3">
        <f>IFERROR(VLOOKUP(B214,'DA1'!$B$2:$D$999999,3,FALSE),"")</f>
      </c>
      <c r="F214" s="1" t="str">
        <f>IFERROR(VLOOKUP(B214,'SB1'!$A$2:$C$999999,3,FALSE),"")</f>
        <v>503</v>
      </c>
      <c r="G214" s="3" t="e">
        <f t="shared" si="7"/>
        <v>#VALUE!</v>
      </c>
      <c r="H214" s="3" t="e">
        <f t="shared" si="6"/>
        <v>#VALUE!</v>
      </c>
      <c r="I214" s="1">
        <v>1</v>
      </c>
    </row>
    <row r="215" spans="1:9" x14ac:dyDescent="0.25">
      <c r="A215" s="1" t="s">
        <v>14435</v>
      </c>
      <c r="B215" s="1" t="s">
        <v>627</v>
      </c>
      <c r="C215" s="1" t="str">
        <f>IFERROR(VLOOKUP(B215,'SB1'!$A$2:$B$999999,2,FALSE),"")</f>
        <v>ESMALTE SINTETICO PLAVICON 3EN1 BRILLANTE AMARILLO MEDIANO X  4</v>
      </c>
      <c r="D215" s="1" t="s">
        <v>14458</v>
      </c>
      <c r="E215" s="3">
        <f>IFERROR(VLOOKUP(B215,'DA1'!$B$2:$D$999999,3,FALSE),"")</f>
      </c>
      <c r="F215" s="1" t="str">
        <f>IFERROR(VLOOKUP(B215,'SB1'!$A$2:$C$999999,3,FALSE),"")</f>
        <v>503</v>
      </c>
      <c r="G215" s="3" t="e">
        <f t="shared" si="7"/>
        <v>#VALUE!</v>
      </c>
      <c r="H215" s="3" t="e">
        <f t="shared" si="6"/>
        <v>#VALUE!</v>
      </c>
      <c r="I215" s="1">
        <v>1</v>
      </c>
    </row>
    <row r="216" spans="1:9" x14ac:dyDescent="0.25">
      <c r="A216" s="1" t="s">
        <v>14435</v>
      </c>
      <c r="B216" s="1" t="s">
        <v>629</v>
      </c>
      <c r="C216" s="1" t="str">
        <f>IFERROR(VLOOKUP(B216,'SB1'!$A$2:$B$999999,2,FALSE),"")</f>
        <v>ESMALTE SINTETICO PLAVICON 3EN1 BRILLANTE AMARILLO MEDIANO X 20</v>
      </c>
      <c r="D216" s="1" t="s">
        <v>14458</v>
      </c>
      <c r="E216" s="3">
        <f>IFERROR(VLOOKUP(B216,'DA1'!$B$2:$D$999999,3,FALSE),"")</f>
      </c>
      <c r="F216" s="1" t="str">
        <f>IFERROR(VLOOKUP(B216,'SB1'!$A$2:$C$999999,3,FALSE),"")</f>
        <v>503</v>
      </c>
      <c r="G216" s="3" t="e">
        <f t="shared" si="7"/>
        <v>#VALUE!</v>
      </c>
      <c r="H216" s="3" t="e">
        <f t="shared" ref="H216:H279" si="8">G216*1.21</f>
        <v>#VALUE!</v>
      </c>
      <c r="I216" s="1">
        <v>1</v>
      </c>
    </row>
    <row r="217" spans="1:9" x14ac:dyDescent="0.25">
      <c r="A217" s="1" t="s">
        <v>14435</v>
      </c>
      <c r="B217" s="1" t="s">
        <v>631</v>
      </c>
      <c r="C217" s="1" t="str">
        <f>IFERROR(VLOOKUP(B217,'SB1'!$A$2:$B$999999,2,FALSE),"")</f>
        <v>LLANA LISA LH 12X25</v>
      </c>
      <c r="D217" s="1" t="s">
        <v>14461</v>
      </c>
      <c r="E217" s="3">
        <f>IFERROR(VLOOKUP(B217,'DA1'!$B$2:$D$999999,3,FALSE),"")</f>
      </c>
      <c r="F217" s="1" t="str">
        <f>IFERROR(VLOOKUP(B217,'SB1'!$A$2:$C$999999,3,FALSE),"")</f>
        <v>503</v>
      </c>
      <c r="G217" s="3" t="e">
        <f t="shared" si="7"/>
        <v>#VALUE!</v>
      </c>
      <c r="H217" s="3" t="e">
        <f t="shared" si="8"/>
        <v>#VALUE!</v>
      </c>
      <c r="I217" s="1">
        <v>1</v>
      </c>
    </row>
    <row r="218" spans="1:9" x14ac:dyDescent="0.25">
      <c r="A218" s="1" t="s">
        <v>14435</v>
      </c>
      <c r="B218" s="1" t="s">
        <v>633</v>
      </c>
      <c r="C218" s="1" t="str">
        <f>IFERROR(VLOOKUP(B218,'SB1'!$A$2:$B$999999,2,FALSE),"")</f>
        <v>ESPUMA POLIURETANO NODUPOL X 0,250</v>
      </c>
      <c r="D218" s="1" t="s">
        <v>14462</v>
      </c>
      <c r="E218" s="3">
        <f>IFERROR(VLOOKUP(B218,'DA1'!$B$2:$D$999999,3,FALSE),"")</f>
      </c>
      <c r="F218" s="1" t="str">
        <f>IFERROR(VLOOKUP(B218,'SB1'!$A$2:$C$999999,3,FALSE),"")</f>
        <v>503</v>
      </c>
      <c r="G218" s="3" t="e">
        <f t="shared" si="7"/>
        <v>#VALUE!</v>
      </c>
      <c r="H218" s="3" t="e">
        <f t="shared" si="8"/>
        <v>#VALUE!</v>
      </c>
      <c r="I218" s="1">
        <v>2</v>
      </c>
    </row>
    <row r="219" spans="1:9" x14ac:dyDescent="0.25">
      <c r="A219" s="1" t="s">
        <v>14435</v>
      </c>
      <c r="B219" s="1" t="s">
        <v>635</v>
      </c>
      <c r="C219" s="1" t="str">
        <f>IFERROR(VLOOKUP(B219,'SB1'!$A$2:$B$999999,2,FALSE),"")</f>
        <v>ESPUMA POLIURETANO NODUPOL X 0,500</v>
      </c>
      <c r="D219" s="1" t="s">
        <v>14462</v>
      </c>
      <c r="E219" s="3">
        <f>IFERROR(VLOOKUP(B219,'DA1'!$B$2:$D$999999,3,FALSE),"")</f>
      </c>
      <c r="F219" s="1" t="str">
        <f>IFERROR(VLOOKUP(B219,'SB1'!$A$2:$C$999999,3,FALSE),"")</f>
        <v>503</v>
      </c>
      <c r="G219" s="3" t="e">
        <f t="shared" si="7"/>
        <v>#VALUE!</v>
      </c>
      <c r="H219" s="3" t="e">
        <f t="shared" si="8"/>
        <v>#VALUE!</v>
      </c>
      <c r="I219" s="1">
        <v>2</v>
      </c>
    </row>
    <row r="220" spans="1:9" x14ac:dyDescent="0.25">
      <c r="A220" s="1" t="s">
        <v>14435</v>
      </c>
      <c r="B220" s="1" t="s">
        <v>637</v>
      </c>
      <c r="C220" s="1" t="str">
        <f>IFERROR(VLOOKUP(B220,'SB1'!$A$2:$B$999999,2,FALSE),"")</f>
        <v>ESPUMA POLIURETANO NODUPOL X 0,750</v>
      </c>
      <c r="D220" s="1" t="s">
        <v>14462</v>
      </c>
      <c r="E220" s="3">
        <f>IFERROR(VLOOKUP(B220,'DA1'!$B$2:$D$999999,3,FALSE),"")</f>
      </c>
      <c r="F220" s="1" t="str">
        <f>IFERROR(VLOOKUP(B220,'SB1'!$A$2:$C$999999,3,FALSE),"")</f>
        <v>503</v>
      </c>
      <c r="G220" s="3" t="e">
        <f t="shared" si="7"/>
        <v>#VALUE!</v>
      </c>
      <c r="H220" s="3" t="e">
        <f t="shared" si="8"/>
        <v>#VALUE!</v>
      </c>
      <c r="I220" s="1">
        <v>2</v>
      </c>
    </row>
    <row r="221" spans="1:9" x14ac:dyDescent="0.25">
      <c r="A221" s="1" t="s">
        <v>14435</v>
      </c>
      <c r="B221" s="1" t="s">
        <v>643</v>
      </c>
      <c r="C221" s="1" t="str">
        <f>IFERROR(VLOOKUP(B221,'SB1'!$A$2:$B$999999,2,FALSE),"")</f>
        <v>ENDUIDO EXTERIOR TERSUAVE X 10</v>
      </c>
      <c r="D221" s="1" t="s">
        <v>14437</v>
      </c>
      <c r="E221" s="3">
        <f>IFERROR(VLOOKUP(B221,'DA1'!$B$2:$D$999999,3,FALSE),"")</f>
      </c>
      <c r="F221" s="1" t="str">
        <f>IFERROR(VLOOKUP(B221,'SB1'!$A$2:$C$999999,3,FALSE),"")</f>
        <v>503</v>
      </c>
      <c r="G221" s="3" t="e">
        <f t="shared" si="7"/>
        <v>#VALUE!</v>
      </c>
      <c r="H221" s="3" t="e">
        <f t="shared" si="8"/>
        <v>#VALUE!</v>
      </c>
      <c r="I221" s="1">
        <v>1</v>
      </c>
    </row>
    <row r="222" spans="1:9" x14ac:dyDescent="0.25">
      <c r="A222" s="1" t="s">
        <v>14435</v>
      </c>
      <c r="B222" s="1" t="s">
        <v>645</v>
      </c>
      <c r="C222" s="1" t="str">
        <f>IFERROR(VLOOKUP(B222,'SB1'!$A$2:$B$999999,2,FALSE),"")</f>
        <v>ESMALTE SINTETICO PLAVICON 3EN1 BRILLANTE NARANJA X  0,500</v>
      </c>
      <c r="D222" s="1" t="s">
        <v>14458</v>
      </c>
      <c r="E222" s="3">
        <f>IFERROR(VLOOKUP(B222,'DA1'!$B$2:$D$999999,3,FALSE),"")</f>
      </c>
      <c r="F222" s="1" t="str">
        <f>IFERROR(VLOOKUP(B222,'SB1'!$A$2:$C$999999,3,FALSE),"")</f>
        <v>503</v>
      </c>
      <c r="G222" s="3" t="e">
        <f t="shared" si="7"/>
        <v>#VALUE!</v>
      </c>
      <c r="H222" s="3" t="e">
        <f t="shared" si="8"/>
        <v>#VALUE!</v>
      </c>
      <c r="I222" s="1">
        <v>1</v>
      </c>
    </row>
    <row r="223" spans="1:9" x14ac:dyDescent="0.25">
      <c r="A223" s="1" t="s">
        <v>14435</v>
      </c>
      <c r="B223" s="1" t="s">
        <v>647</v>
      </c>
      <c r="C223" s="1" t="str">
        <f>IFERROR(VLOOKUP(B223,'SB1'!$A$2:$B$999999,2,FALSE),"")</f>
        <v>ENDUIDO EXTERIOR TERSUAVE X 20</v>
      </c>
      <c r="D223" s="1" t="s">
        <v>14437</v>
      </c>
      <c r="E223" s="3">
        <f>IFERROR(VLOOKUP(B223,'DA1'!$B$2:$D$999999,3,FALSE),"")</f>
      </c>
      <c r="F223" s="1" t="str">
        <f>IFERROR(VLOOKUP(B223,'SB1'!$A$2:$C$999999,3,FALSE),"")</f>
        <v>503</v>
      </c>
      <c r="G223" s="3" t="e">
        <f t="shared" si="7"/>
        <v>#VALUE!</v>
      </c>
      <c r="H223" s="3" t="e">
        <f t="shared" si="8"/>
        <v>#VALUE!</v>
      </c>
      <c r="I223" s="1">
        <v>1</v>
      </c>
    </row>
    <row r="224" spans="1:9" x14ac:dyDescent="0.25">
      <c r="A224" s="1" t="s">
        <v>14435</v>
      </c>
      <c r="B224" s="1" t="s">
        <v>649</v>
      </c>
      <c r="C224" s="1" t="str">
        <f>IFERROR(VLOOKUP(B224,'SB1'!$A$2:$B$999999,2,FALSE),"")</f>
        <v>ESMALTE SINTETICO PLAVICON 3EN1 BRILLANTE NARANJA X  1</v>
      </c>
      <c r="D224" s="1" t="s">
        <v>14458</v>
      </c>
      <c r="E224" s="3">
        <f>IFERROR(VLOOKUP(B224,'DA1'!$B$2:$D$999999,3,FALSE),"")</f>
      </c>
      <c r="F224" s="1" t="str">
        <f>IFERROR(VLOOKUP(B224,'SB1'!$A$2:$C$999999,3,FALSE),"")</f>
        <v>503</v>
      </c>
      <c r="G224" s="3" t="e">
        <f t="shared" si="7"/>
        <v>#VALUE!</v>
      </c>
      <c r="H224" s="3" t="e">
        <f t="shared" si="8"/>
        <v>#VALUE!</v>
      </c>
      <c r="I224" s="1">
        <v>1</v>
      </c>
    </row>
    <row r="225" spans="1:9" x14ac:dyDescent="0.25">
      <c r="A225" s="1" t="s">
        <v>14435</v>
      </c>
      <c r="B225" s="1" t="s">
        <v>651</v>
      </c>
      <c r="C225" s="1" t="str">
        <f>IFERROR(VLOOKUP(B225,'SB1'!$A$2:$B$999999,2,FALSE),"")</f>
        <v>FILTRO DE PAPEL PARA BASE AGUA DOX125V</v>
      </c>
      <c r="D225" s="1" t="s">
        <v>14446</v>
      </c>
      <c r="E225" s="3">
        <f>IFERROR(VLOOKUP(B225,'DA1'!$B$2:$D$999999,3,FALSE),"")</f>
      </c>
      <c r="F225" s="1" t="str">
        <f>IFERROR(VLOOKUP(B225,'SB1'!$A$2:$C$999999,3,FALSE),"")</f>
        <v>503</v>
      </c>
      <c r="G225" s="3" t="e">
        <f t="shared" si="7"/>
        <v>#VALUE!</v>
      </c>
      <c r="H225" s="3" t="e">
        <f t="shared" si="8"/>
        <v>#VALUE!</v>
      </c>
      <c r="I225" s="1">
        <v>3</v>
      </c>
    </row>
    <row r="226" spans="1:9" x14ac:dyDescent="0.25">
      <c r="A226" s="1" t="s">
        <v>14435</v>
      </c>
      <c r="B226" s="1" t="s">
        <v>653</v>
      </c>
      <c r="C226" s="1" t="str">
        <f>IFERROR(VLOOKUP(B226,'SB1'!$A$2:$B$999999,2,FALSE),"")</f>
        <v>ESMALTE SINTETICO PLAVICON 3EN1 BRILLANTE NARANJA X  4</v>
      </c>
      <c r="D226" s="1" t="s">
        <v>14458</v>
      </c>
      <c r="E226" s="3">
        <f>IFERROR(VLOOKUP(B226,'DA1'!$B$2:$D$999999,3,FALSE),"")</f>
      </c>
      <c r="F226" s="1" t="str">
        <f>IFERROR(VLOOKUP(B226,'SB1'!$A$2:$C$999999,3,FALSE),"")</f>
        <v>503</v>
      </c>
      <c r="G226" s="3" t="e">
        <f t="shared" si="7"/>
        <v>#VALUE!</v>
      </c>
      <c r="H226" s="3" t="e">
        <f t="shared" si="8"/>
        <v>#VALUE!</v>
      </c>
      <c r="I226" s="1">
        <v>1</v>
      </c>
    </row>
    <row r="227" spans="1:9" x14ac:dyDescent="0.25">
      <c r="A227" s="1" t="s">
        <v>14435</v>
      </c>
      <c r="B227" s="1" t="s">
        <v>655</v>
      </c>
      <c r="C227" s="1" t="str">
        <f>IFERROR(VLOOKUP(B227,'SB1'!$A$2:$B$999999,2,FALSE),"")</f>
        <v>ESMALTE SINTETICO PLAVICON 3EN1 BRILLANTE NARANJA X 20</v>
      </c>
      <c r="D227" s="1" t="s">
        <v>14458</v>
      </c>
      <c r="E227" s="3">
        <f>IFERROR(VLOOKUP(B227,'DA1'!$B$2:$D$999999,3,FALSE),"")</f>
      </c>
      <c r="F227" s="1" t="str">
        <f>IFERROR(VLOOKUP(B227,'SB1'!$A$2:$C$999999,3,FALSE),"")</f>
        <v>503</v>
      </c>
      <c r="G227" s="3" t="e">
        <f t="shared" si="7"/>
        <v>#VALUE!</v>
      </c>
      <c r="H227" s="3" t="e">
        <f t="shared" si="8"/>
        <v>#VALUE!</v>
      </c>
      <c r="I227" s="1">
        <v>1</v>
      </c>
    </row>
    <row r="228" spans="1:9" x14ac:dyDescent="0.25">
      <c r="A228" s="1" t="s">
        <v>14435</v>
      </c>
      <c r="B228" s="1" t="s">
        <v>657</v>
      </c>
      <c r="C228" s="1" t="str">
        <f>IFERROR(VLOOKUP(B228,'SB1'!$A$2:$B$999999,2,FALSE),"")</f>
        <v>FONDO PARA MADERA ALBA AL AGUA BLANCO X 4</v>
      </c>
      <c r="D228" s="1" t="s">
        <v>14441</v>
      </c>
      <c r="E228" s="3">
        <f>IFERROR(VLOOKUP(B228,'DA1'!$B$2:$D$999999,3,FALSE),"")</f>
      </c>
      <c r="F228" s="1" t="str">
        <f>IFERROR(VLOOKUP(B228,'SB1'!$A$2:$C$999999,3,FALSE),"")</f>
        <v>503</v>
      </c>
      <c r="G228" s="3" t="e">
        <f t="shared" si="7"/>
        <v>#VALUE!</v>
      </c>
      <c r="H228" s="3" t="e">
        <f t="shared" si="8"/>
        <v>#VALUE!</v>
      </c>
      <c r="I228" s="1">
        <v>1</v>
      </c>
    </row>
    <row r="229" spans="1:9" x14ac:dyDescent="0.25">
      <c r="A229" s="1" t="s">
        <v>14435</v>
      </c>
      <c r="B229" s="1" t="s">
        <v>661</v>
      </c>
      <c r="C229" s="1" t="str">
        <f>IFERROR(VLOOKUP(B229,'SB1'!$A$2:$B$999999,2,FALSE),"")</f>
        <v>FILTRO DE PAPEL PARA BASE SOLVENTE DOX113V</v>
      </c>
      <c r="D229" s="1" t="s">
        <v>14446</v>
      </c>
      <c r="E229" s="3">
        <f>IFERROR(VLOOKUP(B229,'DA1'!$B$2:$D$999999,3,FALSE),"")</f>
      </c>
      <c r="F229" s="1" t="str">
        <f>IFERROR(VLOOKUP(B229,'SB1'!$A$2:$C$999999,3,FALSE),"")</f>
        <v>503</v>
      </c>
      <c r="G229" s="3" t="e">
        <f t="shared" si="7"/>
        <v>#VALUE!</v>
      </c>
      <c r="H229" s="3" t="e">
        <f t="shared" si="8"/>
        <v>#VALUE!</v>
      </c>
      <c r="I229" s="1">
        <v>3</v>
      </c>
    </row>
    <row r="230" spans="1:9" x14ac:dyDescent="0.25">
      <c r="A230" s="1" t="s">
        <v>14435</v>
      </c>
      <c r="B230" s="1" t="s">
        <v>669</v>
      </c>
      <c r="C230" s="1" t="str">
        <f>IFERROR(VLOOKUP(B230,'SB1'!$A$2:$B$999999,2,FALSE),"")</f>
        <v>LATEX PARA CIELORRASOS SINTEPLAST MATE BLANCO X 20</v>
      </c>
      <c r="D230" s="1" t="s">
        <v>14463</v>
      </c>
      <c r="E230" s="3">
        <f>IFERROR(VLOOKUP(B230,'DA1'!$B$2:$D$999999,3,FALSE),"")</f>
      </c>
      <c r="F230" s="1" t="str">
        <f>IFERROR(VLOOKUP(B230,'SB1'!$A$2:$C$999999,3,FALSE),"")</f>
        <v>503</v>
      </c>
      <c r="G230" s="3" t="e">
        <f t="shared" si="7"/>
        <v>#VALUE!</v>
      </c>
      <c r="H230" s="3" t="e">
        <f t="shared" si="8"/>
        <v>#VALUE!</v>
      </c>
      <c r="I230" s="1">
        <v>1</v>
      </c>
    </row>
    <row r="231" spans="1:9" x14ac:dyDescent="0.25">
      <c r="A231" s="1" t="s">
        <v>14435</v>
      </c>
      <c r="B231" s="1" t="s">
        <v>671</v>
      </c>
      <c r="C231" s="1" t="str">
        <f>IFERROR(VLOOKUP(B231,'SB1'!$A$2:$B$999999,2,FALSE),"")</f>
        <v>LATEX INTERIOR ALBACRYL MATE BLANCO X 10</v>
      </c>
      <c r="D231" s="1" t="s">
        <v>14441</v>
      </c>
      <c r="E231" s="3">
        <f>IFERROR(VLOOKUP(B231,'DA1'!$B$2:$D$999999,3,FALSE),"")</f>
      </c>
      <c r="F231" s="1" t="str">
        <f>IFERROR(VLOOKUP(B231,'SB1'!$A$2:$C$999999,3,FALSE),"")</f>
        <v>503</v>
      </c>
      <c r="G231" s="3" t="e">
        <f t="shared" si="7"/>
        <v>#VALUE!</v>
      </c>
      <c r="H231" s="3" t="e">
        <f t="shared" si="8"/>
        <v>#VALUE!</v>
      </c>
      <c r="I231" s="1">
        <v>1</v>
      </c>
    </row>
    <row r="232" spans="1:9" x14ac:dyDescent="0.25">
      <c r="A232" s="1" t="s">
        <v>14435</v>
      </c>
      <c r="B232" s="1" t="s">
        <v>673</v>
      </c>
      <c r="C232" s="1" t="str">
        <f>IFERROR(VLOOKUP(B232,'SB1'!$A$2:$B$999999,2,FALSE),"")</f>
        <v>LATEX INTERIOR ALBACRYL MATE BLANCO X  4</v>
      </c>
      <c r="D232" s="1" t="s">
        <v>14441</v>
      </c>
      <c r="E232" s="3">
        <f>IFERROR(VLOOKUP(B232,'DA1'!$B$2:$D$999999,3,FALSE),"")</f>
      </c>
      <c r="F232" s="1" t="str">
        <f>IFERROR(VLOOKUP(B232,'SB1'!$A$2:$C$999999,3,FALSE),"")</f>
        <v>503</v>
      </c>
      <c r="G232" s="3" t="e">
        <f t="shared" si="7"/>
        <v>#VALUE!</v>
      </c>
      <c r="H232" s="3" t="e">
        <f t="shared" si="8"/>
        <v>#VALUE!</v>
      </c>
      <c r="I232" s="1">
        <v>1</v>
      </c>
    </row>
    <row r="233" spans="1:9" x14ac:dyDescent="0.25">
      <c r="A233" s="1" t="s">
        <v>14435</v>
      </c>
      <c r="B233" s="1" t="s">
        <v>675</v>
      </c>
      <c r="C233" s="1" t="str">
        <f>IFERROR(VLOOKUP(B233,'SB1'!$A$2:$B$999999,2,FALSE),"")</f>
        <v>ESMALTE SINTETICO PLAVICON 3EN1 BRILLANTE BERMELLON X  0,250</v>
      </c>
      <c r="D233" s="1" t="s">
        <v>14439</v>
      </c>
      <c r="E233" s="3">
        <f>IFERROR(VLOOKUP(B233,'DA1'!$B$2:$D$999999,3,FALSE),"")</f>
      </c>
      <c r="F233" s="1" t="str">
        <f>IFERROR(VLOOKUP(B233,'SB1'!$A$2:$C$999999,3,FALSE),"")</f>
        <v>503</v>
      </c>
      <c r="G233" s="3" t="e">
        <f t="shared" si="7"/>
        <v>#VALUE!</v>
      </c>
      <c r="H233" s="3" t="e">
        <f t="shared" si="8"/>
        <v>#VALUE!</v>
      </c>
      <c r="I233" s="1">
        <v>1</v>
      </c>
    </row>
    <row r="234" spans="1:9" x14ac:dyDescent="0.25">
      <c r="A234" s="1" t="s">
        <v>14435</v>
      </c>
      <c r="B234" s="1" t="s">
        <v>677</v>
      </c>
      <c r="C234" s="1" t="str">
        <f>IFERROR(VLOOKUP(B234,'SB1'!$A$2:$B$999999,2,FALSE),"")</f>
        <v>LATEX INTERIOR ALBACRYL MATE BLANCO X 20</v>
      </c>
      <c r="D234" s="1" t="s">
        <v>14441</v>
      </c>
      <c r="E234" s="3">
        <f>IFERROR(VLOOKUP(B234,'DA1'!$B$2:$D$999999,3,FALSE),"")</f>
      </c>
      <c r="F234" s="1" t="str">
        <f>IFERROR(VLOOKUP(B234,'SB1'!$A$2:$C$999999,3,FALSE),"")</f>
        <v>503</v>
      </c>
      <c r="G234" s="3" t="e">
        <f t="shared" si="7"/>
        <v>#VALUE!</v>
      </c>
      <c r="H234" s="3" t="e">
        <f t="shared" si="8"/>
        <v>#VALUE!</v>
      </c>
      <c r="I234" s="1">
        <v>1</v>
      </c>
    </row>
    <row r="235" spans="1:9" x14ac:dyDescent="0.25">
      <c r="A235" s="1" t="s">
        <v>14435</v>
      </c>
      <c r="B235" s="1" t="s">
        <v>679</v>
      </c>
      <c r="C235" s="1" t="str">
        <f>IFERROR(VLOOKUP(B235,'SB1'!$A$2:$B$999999,2,FALSE),"")</f>
        <v>ESMALTE SINTETICO PLAVICON 3EN1 BRILLANTE BERMELLON X  0,500</v>
      </c>
      <c r="D235" s="1" t="s">
        <v>14458</v>
      </c>
      <c r="E235" s="3">
        <f>IFERROR(VLOOKUP(B235,'DA1'!$B$2:$D$999999,3,FALSE),"")</f>
      </c>
      <c r="F235" s="1" t="str">
        <f>IFERROR(VLOOKUP(B235,'SB1'!$A$2:$C$999999,3,FALSE),"")</f>
        <v>503</v>
      </c>
      <c r="G235" s="3" t="e">
        <f t="shared" si="7"/>
        <v>#VALUE!</v>
      </c>
      <c r="H235" s="3" t="e">
        <f t="shared" si="8"/>
        <v>#VALUE!</v>
      </c>
      <c r="I235" s="1">
        <v>1</v>
      </c>
    </row>
    <row r="236" spans="1:9" x14ac:dyDescent="0.25">
      <c r="A236" s="1" t="s">
        <v>14435</v>
      </c>
      <c r="B236" s="1" t="s">
        <v>681</v>
      </c>
      <c r="C236" s="1" t="str">
        <f>IFERROR(VLOOKUP(B236,'SB1'!$A$2:$B$999999,2,FALSE),"")</f>
        <v>LACA UREICA COLVINIL BRILLANTE TRANSPARENTE C/CAT. X  0,900</v>
      </c>
      <c r="D236" s="1" t="s">
        <v>14453</v>
      </c>
      <c r="E236" s="3">
        <f>IFERROR(VLOOKUP(B236,'DA1'!$B$2:$D$999999,3,FALSE),"")</f>
      </c>
      <c r="F236" s="1" t="str">
        <f>IFERROR(VLOOKUP(B236,'SB1'!$A$2:$C$999999,3,FALSE),"")</f>
        <v>503</v>
      </c>
      <c r="G236" s="3" t="e">
        <f t="shared" si="7"/>
        <v>#VALUE!</v>
      </c>
      <c r="H236" s="3" t="e">
        <f t="shared" si="8"/>
        <v>#VALUE!</v>
      </c>
      <c r="I236" s="1">
        <v>1</v>
      </c>
    </row>
    <row r="237" spans="1:9" x14ac:dyDescent="0.25">
      <c r="A237" s="1" t="s">
        <v>14435</v>
      </c>
      <c r="B237" s="1" t="s">
        <v>683</v>
      </c>
      <c r="C237" s="1" t="str">
        <f>IFERROR(VLOOKUP(B237,'SB1'!$A$2:$B$999999,2,FALSE),"")</f>
        <v>LACA UREICA COLVINIL BRILLANTE TRANSPARENTE C/CAT. X  3,600</v>
      </c>
      <c r="D237" s="1" t="s">
        <v>14453</v>
      </c>
      <c r="E237" s="3">
        <f>IFERROR(VLOOKUP(B237,'DA1'!$B$2:$D$999999,3,FALSE),"")</f>
      </c>
      <c r="F237" s="1" t="str">
        <f>IFERROR(VLOOKUP(B237,'SB1'!$A$2:$C$999999,3,FALSE),"")</f>
        <v>503</v>
      </c>
      <c r="G237" s="3" t="e">
        <f t="shared" si="7"/>
        <v>#VALUE!</v>
      </c>
      <c r="H237" s="3" t="e">
        <f t="shared" si="8"/>
        <v>#VALUE!</v>
      </c>
      <c r="I237" s="1">
        <v>1</v>
      </c>
    </row>
    <row r="238" spans="1:9" x14ac:dyDescent="0.25">
      <c r="A238" s="1" t="s">
        <v>14435</v>
      </c>
      <c r="B238" s="1" t="s">
        <v>685</v>
      </c>
      <c r="C238" s="1" t="str">
        <f>IFERROR(VLOOKUP(B238,'SB1'!$A$2:$B$999999,2,FALSE),"")</f>
        <v>LACA UREICA COLVINIL BRILLANTE TRANSPARENTE C/CAT. X 18</v>
      </c>
      <c r="D238" s="1" t="s">
        <v>14453</v>
      </c>
      <c r="E238" s="3">
        <f>IFERROR(VLOOKUP(B238,'DA1'!$B$2:$D$999999,3,FALSE),"")</f>
      </c>
      <c r="F238" s="1" t="str">
        <f>IFERROR(VLOOKUP(B238,'SB1'!$A$2:$C$999999,3,FALSE),"")</f>
        <v>503</v>
      </c>
      <c r="G238" s="3" t="e">
        <f t="shared" si="7"/>
        <v>#VALUE!</v>
      </c>
      <c r="H238" s="3" t="e">
        <f t="shared" si="8"/>
        <v>#VALUE!</v>
      </c>
      <c r="I238" s="1">
        <v>1</v>
      </c>
    </row>
    <row r="239" spans="1:9" x14ac:dyDescent="0.25">
      <c r="A239" s="1" t="s">
        <v>14435</v>
      </c>
      <c r="B239" s="1" t="s">
        <v>687</v>
      </c>
      <c r="C239" s="1" t="str">
        <f>IFERROR(VLOOKUP(B239,'SB1'!$A$2:$B$999999,2,FALSE),"")</f>
        <v>LACA UREICA COLVINIL SATINADA TRANSPARENTE C/CAT. X  0,900</v>
      </c>
      <c r="D239" s="1" t="s">
        <v>14453</v>
      </c>
      <c r="E239" s="3">
        <f>IFERROR(VLOOKUP(B239,'DA1'!$B$2:$D$999999,3,FALSE),"")</f>
      </c>
      <c r="F239" s="1" t="str">
        <f>IFERROR(VLOOKUP(B239,'SB1'!$A$2:$C$999999,3,FALSE),"")</f>
        <v>503</v>
      </c>
      <c r="G239" s="3" t="e">
        <f t="shared" si="7"/>
        <v>#VALUE!</v>
      </c>
      <c r="H239" s="3" t="e">
        <f t="shared" si="8"/>
        <v>#VALUE!</v>
      </c>
      <c r="I239" s="1">
        <v>1</v>
      </c>
    </row>
    <row r="240" spans="1:9" x14ac:dyDescent="0.25">
      <c r="A240" s="1" t="s">
        <v>14435</v>
      </c>
      <c r="B240" s="1" t="s">
        <v>689</v>
      </c>
      <c r="C240" s="1" t="str">
        <f>IFERROR(VLOOKUP(B240,'SB1'!$A$2:$B$999999,2,FALSE),"")</f>
        <v>LACA UREICA COLVINIL SATINADA TRANSPARENTE C/CAT. X  3,600</v>
      </c>
      <c r="D240" s="1" t="s">
        <v>14453</v>
      </c>
      <c r="E240" s="3">
        <f>IFERROR(VLOOKUP(B240,'DA1'!$B$2:$D$999999,3,FALSE),"")</f>
      </c>
      <c r="F240" s="1" t="str">
        <f>IFERROR(VLOOKUP(B240,'SB1'!$A$2:$C$999999,3,FALSE),"")</f>
        <v>503</v>
      </c>
      <c r="G240" s="3" t="e">
        <f t="shared" si="7"/>
        <v>#VALUE!</v>
      </c>
      <c r="H240" s="3" t="e">
        <f t="shared" si="8"/>
        <v>#VALUE!</v>
      </c>
      <c r="I240" s="1">
        <v>1</v>
      </c>
    </row>
    <row r="241" spans="1:9" x14ac:dyDescent="0.25">
      <c r="A241" s="1" t="s">
        <v>14435</v>
      </c>
      <c r="B241" s="1" t="s">
        <v>691</v>
      </c>
      <c r="C241" s="1" t="str">
        <f>IFERROR(VLOOKUP(B241,'SB1'!$A$2:$B$999999,2,FALSE),"")</f>
        <v>LACA UREICA COLVINIL SATINADA TRANSPARENTE C/CAT. X 18</v>
      </c>
      <c r="D241" s="1" t="s">
        <v>14453</v>
      </c>
      <c r="E241" s="3">
        <f>IFERROR(VLOOKUP(B241,'DA1'!$B$2:$D$999999,3,FALSE),"")</f>
      </c>
      <c r="F241" s="1" t="str">
        <f>IFERROR(VLOOKUP(B241,'SB1'!$A$2:$C$999999,3,FALSE),"")</f>
        <v>503</v>
      </c>
      <c r="G241" s="3" t="e">
        <f t="shared" si="7"/>
        <v>#VALUE!</v>
      </c>
      <c r="H241" s="3" t="e">
        <f t="shared" si="8"/>
        <v>#VALUE!</v>
      </c>
      <c r="I241" s="1">
        <v>1</v>
      </c>
    </row>
    <row r="242" spans="1:9" x14ac:dyDescent="0.25">
      <c r="A242" s="1" t="s">
        <v>14435</v>
      </c>
      <c r="B242" s="1" t="s">
        <v>693</v>
      </c>
      <c r="C242" s="1" t="str">
        <f>IFERROR(VLOOKUP(B242,'SB1'!$A$2:$B$999999,2,FALSE),"")</f>
        <v>ESMALTE SINTETICO PLAVICON 3EN1 BRILLANTE BERMELLON X  1</v>
      </c>
      <c r="D242" s="1" t="s">
        <v>14458</v>
      </c>
      <c r="E242" s="3">
        <f>IFERROR(VLOOKUP(B242,'DA1'!$B$2:$D$999999,3,FALSE),"")</f>
      </c>
      <c r="F242" s="1" t="str">
        <f>IFERROR(VLOOKUP(B242,'SB1'!$A$2:$C$999999,3,FALSE),"")</f>
        <v>503</v>
      </c>
      <c r="G242" s="3" t="e">
        <f t="shared" si="7"/>
        <v>#VALUE!</v>
      </c>
      <c r="H242" s="3" t="e">
        <f t="shared" si="8"/>
        <v>#VALUE!</v>
      </c>
      <c r="I242" s="1">
        <v>1</v>
      </c>
    </row>
    <row r="243" spans="1:9" x14ac:dyDescent="0.25">
      <c r="A243" s="1" t="s">
        <v>14435</v>
      </c>
      <c r="B243" s="1" t="s">
        <v>695</v>
      </c>
      <c r="C243" s="1" t="str">
        <f>IFERROR(VLOOKUP(B243,'SB1'!$A$2:$B$999999,2,FALSE),"")</f>
        <v>ESMALTE SINTETICO PLAVICON 3EN1 BRILLANTE BERMELLON X  4</v>
      </c>
      <c r="D243" s="1" t="s">
        <v>14458</v>
      </c>
      <c r="E243" s="3">
        <f>IFERROR(VLOOKUP(B243,'DA1'!$B$2:$D$999999,3,FALSE),"")</f>
      </c>
      <c r="F243" s="1" t="str">
        <f>IFERROR(VLOOKUP(B243,'SB1'!$A$2:$C$999999,3,FALSE),"")</f>
        <v>503</v>
      </c>
      <c r="G243" s="3" t="e">
        <f t="shared" si="7"/>
        <v>#VALUE!</v>
      </c>
      <c r="H243" s="3" t="e">
        <f t="shared" si="8"/>
        <v>#VALUE!</v>
      </c>
      <c r="I243" s="1">
        <v>1</v>
      </c>
    </row>
    <row r="244" spans="1:9" x14ac:dyDescent="0.25">
      <c r="A244" s="1" t="s">
        <v>14435</v>
      </c>
      <c r="B244" s="1" t="s">
        <v>697</v>
      </c>
      <c r="C244" s="1" t="str">
        <f>IFERROR(VLOOKUP(B244,'SB1'!$A$2:$B$999999,2,FALSE),"")</f>
        <v>ESMALTE SINTETICO PLAVICON 3EN1 BRILLANTE BERMELLON X 20</v>
      </c>
      <c r="D244" s="1" t="s">
        <v>14458</v>
      </c>
      <c r="E244" s="3">
        <f>IFERROR(VLOOKUP(B244,'DA1'!$B$2:$D$999999,3,FALSE),"")</f>
      </c>
      <c r="F244" s="1" t="str">
        <f>IFERROR(VLOOKUP(B244,'SB1'!$A$2:$C$999999,3,FALSE),"")</f>
        <v>503</v>
      </c>
      <c r="G244" s="3" t="e">
        <f t="shared" si="7"/>
        <v>#VALUE!</v>
      </c>
      <c r="H244" s="3" t="e">
        <f t="shared" si="8"/>
        <v>#VALUE!</v>
      </c>
      <c r="I244" s="1">
        <v>1</v>
      </c>
    </row>
    <row r="245" spans="1:9" x14ac:dyDescent="0.25">
      <c r="A245" s="1" t="s">
        <v>14435</v>
      </c>
      <c r="B245" s="1" t="s">
        <v>701</v>
      </c>
      <c r="C245" s="1" t="str">
        <f>IFERROR(VLOOKUP(B245,'SB1'!$A$2:$B$999999,2,FALSE),"")</f>
        <v>ESMALTE SINTETICO PLAVICON 3EN1 BRILLANTE ALUMINIO X  0,500</v>
      </c>
      <c r="D245" s="1" t="s">
        <v>14458</v>
      </c>
      <c r="E245" s="3">
        <f>IFERROR(VLOOKUP(B245,'DA1'!$B$2:$D$999999,3,FALSE),"")</f>
      </c>
      <c r="F245" s="1" t="str">
        <f>IFERROR(VLOOKUP(B245,'SB1'!$A$2:$C$999999,3,FALSE),"")</f>
        <v>503</v>
      </c>
      <c r="G245" s="3" t="e">
        <f t="shared" si="7"/>
        <v>#VALUE!</v>
      </c>
      <c r="H245" s="3" t="e">
        <f t="shared" si="8"/>
        <v>#VALUE!</v>
      </c>
      <c r="I245" s="1">
        <v>1</v>
      </c>
    </row>
    <row r="246" spans="1:9" x14ac:dyDescent="0.25">
      <c r="A246" s="1" t="s">
        <v>14435</v>
      </c>
      <c r="B246" s="1" t="s">
        <v>703</v>
      </c>
      <c r="C246" s="1" t="str">
        <f>IFERROR(VLOOKUP(B246,'SB1'!$A$2:$B$999999,2,FALSE),"")</f>
        <v>ESMALTE SINTETICO PLAVICON 3EN1 BRILLANTE ALUMINIO X  1</v>
      </c>
      <c r="D246" s="1" t="s">
        <v>14458</v>
      </c>
      <c r="E246" s="3">
        <f>IFERROR(VLOOKUP(B246,'DA1'!$B$2:$D$999999,3,FALSE),"")</f>
      </c>
      <c r="F246" s="1" t="str">
        <f>IFERROR(VLOOKUP(B246,'SB1'!$A$2:$C$999999,3,FALSE),"")</f>
        <v>503</v>
      </c>
      <c r="G246" s="3" t="e">
        <f t="shared" si="7"/>
        <v>#VALUE!</v>
      </c>
      <c r="H246" s="3" t="e">
        <f t="shared" si="8"/>
        <v>#VALUE!</v>
      </c>
      <c r="I246" s="1">
        <v>1</v>
      </c>
    </row>
    <row r="247" spans="1:9" x14ac:dyDescent="0.25">
      <c r="A247" s="1" t="s">
        <v>14435</v>
      </c>
      <c r="B247" s="1" t="s">
        <v>705</v>
      </c>
      <c r="C247" s="1" t="str">
        <f>IFERROR(VLOOKUP(B247,'SB1'!$A$2:$B$999999,2,FALSE),"")</f>
        <v>ESMALTE SINTETICO PLAVICON 3EN1 BRILLANTE ALUMINIO X  4</v>
      </c>
      <c r="D247" s="1" t="s">
        <v>14458</v>
      </c>
      <c r="E247" s="3">
        <f>IFERROR(VLOOKUP(B247,'DA1'!$B$2:$D$999999,3,FALSE),"")</f>
      </c>
      <c r="F247" s="1" t="str">
        <f>IFERROR(VLOOKUP(B247,'SB1'!$A$2:$C$999999,3,FALSE),"")</f>
        <v>503</v>
      </c>
      <c r="G247" s="3" t="e">
        <f t="shared" si="7"/>
        <v>#VALUE!</v>
      </c>
      <c r="H247" s="3" t="e">
        <f t="shared" si="8"/>
        <v>#VALUE!</v>
      </c>
      <c r="I247" s="1">
        <v>1</v>
      </c>
    </row>
    <row r="248" spans="1:9" x14ac:dyDescent="0.25">
      <c r="A248" s="1" t="s">
        <v>14435</v>
      </c>
      <c r="B248" s="1" t="s">
        <v>707</v>
      </c>
      <c r="C248" s="1" t="str">
        <f>IFERROR(VLOOKUP(B248,'SB1'!$A$2:$B$999999,2,FALSE),"")</f>
        <v>ESMALTE SINTETICO PLAVICON 3EN1 BRILLANTE ALUMINIO X 20</v>
      </c>
      <c r="D248" s="1" t="s">
        <v>14458</v>
      </c>
      <c r="E248" s="3">
        <f>IFERROR(VLOOKUP(B248,'DA1'!$B$2:$D$999999,3,FALSE),"")</f>
      </c>
      <c r="F248" s="1" t="str">
        <f>IFERROR(VLOOKUP(B248,'SB1'!$A$2:$C$999999,3,FALSE),"")</f>
        <v>503</v>
      </c>
      <c r="G248" s="3" t="e">
        <f t="shared" si="7"/>
        <v>#VALUE!</v>
      </c>
      <c r="H248" s="3" t="e">
        <f t="shared" si="8"/>
        <v>#VALUE!</v>
      </c>
      <c r="I248" s="1">
        <v>1</v>
      </c>
    </row>
    <row r="249" spans="1:9" x14ac:dyDescent="0.25">
      <c r="A249" s="1" t="s">
        <v>14435</v>
      </c>
      <c r="B249" s="1" t="s">
        <v>711</v>
      </c>
      <c r="C249" s="1" t="str">
        <f>IFERROR(VLOOKUP(B249,'SB1'!$A$2:$B$999999,2,FALSE),"")</f>
        <v>ESMALTE SINTETICO PLAVICON 3EN1 BRILLANTE MARFIL X  0,500</v>
      </c>
      <c r="D249" s="1" t="s">
        <v>14439</v>
      </c>
      <c r="E249" s="3">
        <f>IFERROR(VLOOKUP(B249,'DA1'!$B$2:$D$999999,3,FALSE),"")</f>
      </c>
      <c r="F249" s="1" t="str">
        <f>IFERROR(VLOOKUP(B249,'SB1'!$A$2:$C$999999,3,FALSE),"")</f>
        <v>503</v>
      </c>
      <c r="G249" s="3" t="e">
        <f t="shared" si="7"/>
        <v>#VALUE!</v>
      </c>
      <c r="H249" s="3" t="e">
        <f t="shared" si="8"/>
        <v>#VALUE!</v>
      </c>
      <c r="I249" s="1">
        <v>1</v>
      </c>
    </row>
    <row r="250" spans="1:9" x14ac:dyDescent="0.25">
      <c r="A250" s="1" t="s">
        <v>14435</v>
      </c>
      <c r="B250" s="1" t="s">
        <v>713</v>
      </c>
      <c r="C250" s="1" t="str">
        <f>IFERROR(VLOOKUP(B250,'SB1'!$A$2:$B$999999,2,FALSE),"")</f>
        <v>LIJA RUBI FLEX DOBLE A N  80/100 M.</v>
      </c>
      <c r="D250" s="1" t="s">
        <v>14451</v>
      </c>
      <c r="E250" s="3">
        <f>IFERROR(VLOOKUP(B250,'DA1'!$B$2:$D$999999,3,FALSE),"")</f>
      </c>
      <c r="F250" s="1" t="str">
        <f>IFERROR(VLOOKUP(B250,'SB1'!$A$2:$C$999999,3,FALSE),"")</f>
        <v>503</v>
      </c>
      <c r="G250" s="3" t="e">
        <f t="shared" si="7"/>
        <v>#VALUE!</v>
      </c>
      <c r="H250" s="3" t="e">
        <f t="shared" si="8"/>
        <v>#VALUE!</v>
      </c>
      <c r="I250" s="1">
        <v>1</v>
      </c>
    </row>
    <row r="251" spans="1:9" x14ac:dyDescent="0.25">
      <c r="A251" s="1" t="s">
        <v>14435</v>
      </c>
      <c r="B251" s="1" t="s">
        <v>715</v>
      </c>
      <c r="C251" s="1" t="str">
        <f>IFERROR(VLOOKUP(B251,'SB1'!$A$2:$B$999999,2,FALSE),"")</f>
        <v>ESMALTE SINTETICO PLAVICON 3EN1 BRILLANTE MARFIL X  1</v>
      </c>
      <c r="D251" s="1" t="s">
        <v>14439</v>
      </c>
      <c r="E251" s="3">
        <f>IFERROR(VLOOKUP(B251,'DA1'!$B$2:$D$999999,3,FALSE),"")</f>
      </c>
      <c r="F251" s="1" t="str">
        <f>IFERROR(VLOOKUP(B251,'SB1'!$A$2:$C$999999,3,FALSE),"")</f>
        <v>503</v>
      </c>
      <c r="G251" s="3" t="e">
        <f t="shared" si="7"/>
        <v>#VALUE!</v>
      </c>
      <c r="H251" s="3" t="e">
        <f t="shared" si="8"/>
        <v>#VALUE!</v>
      </c>
      <c r="I251" s="1">
        <v>1</v>
      </c>
    </row>
    <row r="252" spans="1:9" x14ac:dyDescent="0.25">
      <c r="A252" s="1" t="s">
        <v>14435</v>
      </c>
      <c r="B252" s="1" t="s">
        <v>717</v>
      </c>
      <c r="C252" s="1" t="str">
        <f>IFERROR(VLOOKUP(B252,'SB1'!$A$2:$B$999999,2,FALSE),"")</f>
        <v>ESPATULA PLASTICA NORTON</v>
      </c>
      <c r="D252" s="1" t="s">
        <v>14464</v>
      </c>
      <c r="E252" s="3">
        <f>IFERROR(VLOOKUP(B252,'DA1'!$B$2:$D$999999,3,FALSE),"")</f>
      </c>
      <c r="F252" s="1" t="str">
        <f>IFERROR(VLOOKUP(B252,'SB1'!$A$2:$C$999999,3,FALSE),"")</f>
        <v>503</v>
      </c>
      <c r="G252" s="3" t="e">
        <f t="shared" si="7"/>
        <v>#VALUE!</v>
      </c>
      <c r="H252" s="3" t="e">
        <f t="shared" si="8"/>
        <v>#VALUE!</v>
      </c>
      <c r="I252" s="1">
        <v>1</v>
      </c>
    </row>
    <row r="253" spans="1:9" x14ac:dyDescent="0.25">
      <c r="A253" s="1" t="s">
        <v>14435</v>
      </c>
      <c r="B253" s="1" t="s">
        <v>719</v>
      </c>
      <c r="C253" s="1" t="str">
        <f>IFERROR(VLOOKUP(B253,'SB1'!$A$2:$B$999999,2,FALSE),"")</f>
        <v>ESMALTE SINTETICO PLAVICON 3EN1 BRILLANTE MARFIL X  4</v>
      </c>
      <c r="D253" s="1" t="s">
        <v>14439</v>
      </c>
      <c r="E253" s="3">
        <f>IFERROR(VLOOKUP(B253,'DA1'!$B$2:$D$999999,3,FALSE),"")</f>
      </c>
      <c r="F253" s="1" t="str">
        <f>IFERROR(VLOOKUP(B253,'SB1'!$A$2:$C$999999,3,FALSE),"")</f>
        <v>503</v>
      </c>
      <c r="G253" s="3" t="e">
        <f t="shared" si="7"/>
        <v>#VALUE!</v>
      </c>
      <c r="H253" s="3" t="e">
        <f t="shared" si="8"/>
        <v>#VALUE!</v>
      </c>
      <c r="I253" s="1">
        <v>1</v>
      </c>
    </row>
    <row r="254" spans="1:9" x14ac:dyDescent="0.25">
      <c r="A254" s="1" t="s">
        <v>14435</v>
      </c>
      <c r="B254" s="1" t="s">
        <v>723</v>
      </c>
      <c r="C254" s="1" t="str">
        <f>IFERROR(VLOOKUP(B254,'SB1'!$A$2:$B$999999,2,FALSE),"")</f>
        <v>TAMBOR X 200</v>
      </c>
      <c r="D254" s="1" t="s">
        <v>14465</v>
      </c>
      <c r="E254" s="3">
        <f>IFERROR(VLOOKUP(B254,'DA1'!$B$2:$D$999999,3,FALSE),"")</f>
      </c>
      <c r="F254" s="1" t="str">
        <f>IFERROR(VLOOKUP(B254,'SB1'!$A$2:$C$999999,3,FALSE),"")</f>
        <v>503</v>
      </c>
      <c r="G254" s="3" t="e">
        <f t="shared" si="7"/>
        <v>#VALUE!</v>
      </c>
      <c r="H254" s="3" t="e">
        <f t="shared" si="8"/>
        <v>#VALUE!</v>
      </c>
      <c r="I254" s="1">
        <v>1</v>
      </c>
    </row>
    <row r="255" spans="1:9" x14ac:dyDescent="0.25">
      <c r="A255" s="1" t="s">
        <v>14435</v>
      </c>
      <c r="B255" s="1" t="s">
        <v>741</v>
      </c>
      <c r="C255" s="1" t="str">
        <f>IFERROR(VLOOKUP(B255,'SB1'!$A$2:$B$999999,2,FALSE),"")</f>
        <v>MATEANTE PETRILAC X 100</v>
      </c>
      <c r="D255" s="1" t="s">
        <v>14449</v>
      </c>
      <c r="E255" s="3">
        <f>IFERROR(VLOOKUP(B255,'DA1'!$B$2:$D$999999,3,FALSE),"")</f>
      </c>
      <c r="F255" s="1" t="str">
        <f>IFERROR(VLOOKUP(B255,'SB1'!$A$2:$C$999999,3,FALSE),"")</f>
        <v>503</v>
      </c>
      <c r="G255" s="3" t="e">
        <f t="shared" si="7"/>
        <v>#VALUE!</v>
      </c>
      <c r="H255" s="3" t="e">
        <f t="shared" si="8"/>
        <v>#VALUE!</v>
      </c>
      <c r="I255" s="1">
        <v>1</v>
      </c>
    </row>
    <row r="256" spans="1:9" x14ac:dyDescent="0.25">
      <c r="A256" s="1" t="s">
        <v>14435</v>
      </c>
      <c r="B256" s="1" t="s">
        <v>743</v>
      </c>
      <c r="C256" s="1" t="str">
        <f>IFERROR(VLOOKUP(B256,'SB1'!$A$2:$B$999999,2,FALSE),"")</f>
        <v>ESTOPA DE LUSTRE APELES BLANCA X 0,350</v>
      </c>
      <c r="D256" s="1" t="s">
        <v>14452</v>
      </c>
      <c r="E256" s="3">
        <f>IFERROR(VLOOKUP(B256,'DA1'!$B$2:$D$999999,3,FALSE),"")</f>
      </c>
      <c r="F256" s="1" t="str">
        <f>IFERROR(VLOOKUP(B256,'SB1'!$A$2:$C$999999,3,FALSE),"")</f>
        <v>503</v>
      </c>
      <c r="G256" s="3" t="e">
        <f t="shared" si="7"/>
        <v>#VALUE!</v>
      </c>
      <c r="H256" s="3" t="e">
        <f t="shared" si="8"/>
        <v>#VALUE!</v>
      </c>
      <c r="I256" s="1">
        <v>1</v>
      </c>
    </row>
    <row r="257" spans="1:9" x14ac:dyDescent="0.25">
      <c r="A257" s="1" t="s">
        <v>14435</v>
      </c>
      <c r="B257" s="1" t="s">
        <v>747</v>
      </c>
      <c r="C257" s="1" t="str">
        <f>IFERROR(VLOOKUP(B257,'SB1'!$A$2:$B$999999,2,FALSE),"")</f>
        <v>ESMALTE SINTETICO PLAVICON 3EN1 BRILLANTE MARFIL SEDA X  0,500</v>
      </c>
      <c r="D257" s="1" t="s">
        <v>14458</v>
      </c>
      <c r="E257" s="3">
        <f>IFERROR(VLOOKUP(B257,'DA1'!$B$2:$D$999999,3,FALSE),"")</f>
      </c>
      <c r="F257" s="1" t="str">
        <f>IFERROR(VLOOKUP(B257,'SB1'!$A$2:$C$999999,3,FALSE),"")</f>
        <v>503</v>
      </c>
      <c r="G257" s="3" t="e">
        <f t="shared" si="7"/>
        <v>#VALUE!</v>
      </c>
      <c r="H257" s="3" t="e">
        <f t="shared" si="8"/>
        <v>#VALUE!</v>
      </c>
      <c r="I257" s="1">
        <v>1</v>
      </c>
    </row>
    <row r="258" spans="1:9" x14ac:dyDescent="0.25">
      <c r="A258" s="1" t="s">
        <v>14435</v>
      </c>
      <c r="B258" s="1" t="s">
        <v>749</v>
      </c>
      <c r="C258" s="1" t="str">
        <f>IFERROR(VLOOKUP(B258,'SB1'!$A$2:$B$999999,2,FALSE),"")</f>
        <v>MEMBRANA  AUTOADHESIVA NC MEGAFACIL ALUMINIO 25CM X25MT</v>
      </c>
      <c r="D258" s="1" t="s">
        <v>14466</v>
      </c>
      <c r="E258" s="3">
        <f>IFERROR(VLOOKUP(B258,'DA1'!$B$2:$D$999999,3,FALSE),"")</f>
      </c>
      <c r="F258" s="1" t="str">
        <f>IFERROR(VLOOKUP(B258,'SB1'!$A$2:$C$999999,3,FALSE),"")</f>
        <v>503</v>
      </c>
      <c r="G258" s="3" t="e">
        <f t="shared" si="7"/>
        <v>#VALUE!</v>
      </c>
      <c r="H258" s="3" t="e">
        <f t="shared" si="8"/>
        <v>#VALUE!</v>
      </c>
      <c r="I258" s="1">
        <v>1</v>
      </c>
    </row>
    <row r="259" spans="1:9" x14ac:dyDescent="0.25">
      <c r="A259" s="1" t="s">
        <v>14435</v>
      </c>
      <c r="B259" s="1" t="s">
        <v>751</v>
      </c>
      <c r="C259" s="1" t="str">
        <f>IFERROR(VLOOKUP(B259,'SB1'!$A$2:$B$999999,2,FALSE),"")</f>
        <v>PROTECTOR PARA LADRILLO DURALBA SATINADO CON PELICULA TRANSPARENTE X  1</v>
      </c>
      <c r="D259" s="1" t="s">
        <v>14441</v>
      </c>
      <c r="E259" s="3">
        <f>IFERROR(VLOOKUP(B259,'DA1'!$B$2:$D$999999,3,FALSE),"")</f>
      </c>
      <c r="F259" s="1" t="str">
        <f>IFERROR(VLOOKUP(B259,'SB1'!$A$2:$C$999999,3,FALSE),"")</f>
        <v>503</v>
      </c>
      <c r="G259" s="3" t="e">
        <f t="shared" ref="G259:G322" si="9">E259*1.04</f>
        <v>#VALUE!</v>
      </c>
      <c r="H259" s="3" t="e">
        <f t="shared" si="8"/>
        <v>#VALUE!</v>
      </c>
      <c r="I259" s="1">
        <v>1</v>
      </c>
    </row>
    <row r="260" spans="1:9" x14ac:dyDescent="0.25">
      <c r="A260" s="1" t="s">
        <v>14435</v>
      </c>
      <c r="B260" s="1" t="s">
        <v>753</v>
      </c>
      <c r="C260" s="1" t="str">
        <f>IFERROR(VLOOKUP(B260,'SB1'!$A$2:$B$999999,2,FALSE),"")</f>
        <v>PROTECTOR PARA LADRILLO DURALBA SATINADO CON PELICULA TRANSPARENTE X  4</v>
      </c>
      <c r="D260" s="1" t="s">
        <v>14441</v>
      </c>
      <c r="E260" s="3">
        <f>IFERROR(VLOOKUP(B260,'DA1'!$B$2:$D$999999,3,FALSE),"")</f>
      </c>
      <c r="F260" s="1" t="str">
        <f>IFERROR(VLOOKUP(B260,'SB1'!$A$2:$C$999999,3,FALSE),"")</f>
        <v>503</v>
      </c>
      <c r="G260" s="3" t="e">
        <f t="shared" si="9"/>
        <v>#VALUE!</v>
      </c>
      <c r="H260" s="3" t="e">
        <f t="shared" si="8"/>
        <v>#VALUE!</v>
      </c>
      <c r="I260" s="1">
        <v>1</v>
      </c>
    </row>
    <row r="261" spans="1:9" x14ac:dyDescent="0.25">
      <c r="A261" s="1" t="s">
        <v>14435</v>
      </c>
      <c r="B261" s="1" t="s">
        <v>755</v>
      </c>
      <c r="C261" s="1" t="str">
        <f>IFERROR(VLOOKUP(B261,'SB1'!$A$2:$B$999999,2,FALSE),"")</f>
        <v>PROTECTOR PARA LADRILLO DURALBA SATINADO CON PELICULA TRANSPARENTE X 10</v>
      </c>
      <c r="D261" s="1" t="s">
        <v>14441</v>
      </c>
      <c r="E261" s="3">
        <f>IFERROR(VLOOKUP(B261,'DA1'!$B$2:$D$999999,3,FALSE),"")</f>
      </c>
      <c r="F261" s="1" t="str">
        <f>IFERROR(VLOOKUP(B261,'SB1'!$A$2:$C$999999,3,FALSE),"")</f>
        <v>503</v>
      </c>
      <c r="G261" s="3" t="e">
        <f t="shared" si="9"/>
        <v>#VALUE!</v>
      </c>
      <c r="H261" s="3" t="e">
        <f t="shared" si="8"/>
        <v>#VALUE!</v>
      </c>
      <c r="I261" s="1">
        <v>1</v>
      </c>
    </row>
    <row r="262" spans="1:9" x14ac:dyDescent="0.25">
      <c r="A262" s="1" t="s">
        <v>14435</v>
      </c>
      <c r="B262" s="1" t="s">
        <v>757</v>
      </c>
      <c r="C262" s="1" t="str">
        <f>IFERROR(VLOOKUP(B262,'SB1'!$A$2:$B$999999,2,FALSE),"")</f>
        <v>PROTECTOR PARA LADRILLO DURALBA SATINADO CON PELICULA TRANSPARENTE X 20</v>
      </c>
      <c r="D262" s="1" t="s">
        <v>14441</v>
      </c>
      <c r="E262" s="3">
        <f>IFERROR(VLOOKUP(B262,'DA1'!$B$2:$D$999999,3,FALSE),"")</f>
      </c>
      <c r="F262" s="1" t="str">
        <f>IFERROR(VLOOKUP(B262,'SB1'!$A$2:$C$999999,3,FALSE),"")</f>
        <v>503</v>
      </c>
      <c r="G262" s="3" t="e">
        <f t="shared" si="9"/>
        <v>#VALUE!</v>
      </c>
      <c r="H262" s="3" t="e">
        <f t="shared" si="8"/>
        <v>#VALUE!</v>
      </c>
      <c r="I262" s="1">
        <v>1</v>
      </c>
    </row>
    <row r="263" spans="1:9" x14ac:dyDescent="0.25">
      <c r="A263" s="1" t="s">
        <v>14435</v>
      </c>
      <c r="B263" s="1" t="s">
        <v>759</v>
      </c>
      <c r="C263" s="1" t="str">
        <f>IFERROR(VLOOKUP(B263,'SB1'!$A$2:$B$999999,2,FALSE),"")</f>
        <v>ESMALTE SINTETICO PLAVICON 3EN1 BRILLANTE MARFIL SEDA X  1</v>
      </c>
      <c r="D263" s="1" t="s">
        <v>14458</v>
      </c>
      <c r="E263" s="3">
        <f>IFERROR(VLOOKUP(B263,'DA1'!$B$2:$D$999999,3,FALSE),"")</f>
      </c>
      <c r="F263" s="1" t="str">
        <f>IFERROR(VLOOKUP(B263,'SB1'!$A$2:$C$999999,3,FALSE),"")</f>
        <v>503</v>
      </c>
      <c r="G263" s="3" t="e">
        <f t="shared" si="9"/>
        <v>#VALUE!</v>
      </c>
      <c r="H263" s="3" t="e">
        <f t="shared" si="8"/>
        <v>#VALUE!</v>
      </c>
      <c r="I263" s="1">
        <v>1</v>
      </c>
    </row>
    <row r="264" spans="1:9" x14ac:dyDescent="0.25">
      <c r="A264" s="1" t="s">
        <v>14435</v>
      </c>
      <c r="B264" s="1" t="s">
        <v>761</v>
      </c>
      <c r="C264" s="1" t="str">
        <f>IFERROR(VLOOKUP(B264,'SB1'!$A$2:$B$999999,2,FALSE),"")</f>
        <v>DISCO PIEL CHICO PARA KIT (57)</v>
      </c>
      <c r="D264" s="1" t="s">
        <v>14467</v>
      </c>
      <c r="E264" s="3">
        <f>IFERROR(VLOOKUP(B264,'DA1'!$B$2:$D$999999,3,FALSE),"")</f>
      </c>
      <c r="F264" s="1" t="str">
        <f>IFERROR(VLOOKUP(B264,'SB1'!$A$2:$C$999999,3,FALSE),"")</f>
        <v>503</v>
      </c>
      <c r="G264" s="3" t="e">
        <f t="shared" si="9"/>
        <v>#VALUE!</v>
      </c>
      <c r="H264" s="3" t="e">
        <f t="shared" si="8"/>
        <v>#VALUE!</v>
      </c>
      <c r="I264" s="1">
        <v>1</v>
      </c>
    </row>
    <row r="265" spans="1:9" x14ac:dyDescent="0.25">
      <c r="A265" s="1" t="s">
        <v>14435</v>
      </c>
      <c r="B265" s="1" t="s">
        <v>763</v>
      </c>
      <c r="C265" s="1" t="str">
        <f>IFERROR(VLOOKUP(B265,'SB1'!$A$2:$B$999999,2,FALSE),"")</f>
        <v>AEROSOL RUST-OLEUM IMPRIMANTE PARA MOTOR GRIS X 0,340 (249410)</v>
      </c>
      <c r="D265" s="1" t="s">
        <v>14439</v>
      </c>
      <c r="E265" s="3">
        <f>IFERROR(VLOOKUP(B265,'DA1'!$B$2:$D$999999,3,FALSE),"")</f>
      </c>
      <c r="F265" s="1" t="str">
        <f>IFERROR(VLOOKUP(B265,'SB1'!$A$2:$C$999999,3,FALSE),"")</f>
        <v>503</v>
      </c>
      <c r="G265" s="3" t="e">
        <f t="shared" si="9"/>
        <v>#VALUE!</v>
      </c>
      <c r="H265" s="3" t="e">
        <f t="shared" si="8"/>
        <v>#VALUE!</v>
      </c>
      <c r="I265" s="1">
        <v>1</v>
      </c>
    </row>
    <row r="266" spans="1:9" x14ac:dyDescent="0.25">
      <c r="A266" s="1" t="s">
        <v>14435</v>
      </c>
      <c r="B266" s="1" t="s">
        <v>765</v>
      </c>
      <c r="C266" s="1" t="str">
        <f>IFERROR(VLOOKUP(B266,'SB1'!$A$2:$B$999999,2,FALSE),"")</f>
        <v>AEROSOL RUST-OLEUM PARA MOTOR NEGRO X 0,340 (313545/358864)</v>
      </c>
      <c r="D266" s="1" t="s">
        <v>14450</v>
      </c>
      <c r="E266" s="3">
        <f>IFERROR(VLOOKUP(B266,'DA1'!$B$2:$D$999999,3,FALSE),"")</f>
      </c>
      <c r="F266" s="1" t="str">
        <f>IFERROR(VLOOKUP(B266,'SB1'!$A$2:$C$999999,3,FALSE),"")</f>
        <v>503</v>
      </c>
      <c r="G266" s="3" t="e">
        <f t="shared" si="9"/>
        <v>#VALUE!</v>
      </c>
      <c r="H266" s="3" t="e">
        <f t="shared" si="8"/>
        <v>#VALUE!</v>
      </c>
      <c r="I266" s="1">
        <v>1</v>
      </c>
    </row>
    <row r="267" spans="1:9" x14ac:dyDescent="0.25">
      <c r="A267" s="1" t="s">
        <v>14435</v>
      </c>
      <c r="B267" s="1" t="s">
        <v>769</v>
      </c>
      <c r="C267" s="1" t="str">
        <f>IFERROR(VLOOKUP(B267,'SB1'!$A$2:$B$999999,2,FALSE),"")</f>
        <v>LATEX INTERIOR ALBACRYL MATE BLANCO X  1</v>
      </c>
      <c r="D267" s="1" t="s">
        <v>14441</v>
      </c>
      <c r="E267" s="3">
        <f>IFERROR(VLOOKUP(B267,'DA1'!$B$2:$D$999999,3,FALSE),"")</f>
      </c>
      <c r="F267" s="1" t="str">
        <f>IFERROR(VLOOKUP(B267,'SB1'!$A$2:$C$999999,3,FALSE),"")</f>
        <v>503</v>
      </c>
      <c r="G267" s="3" t="e">
        <f t="shared" si="9"/>
        <v>#VALUE!</v>
      </c>
      <c r="H267" s="3" t="e">
        <f t="shared" si="8"/>
        <v>#VALUE!</v>
      </c>
      <c r="I267" s="1">
        <v>1</v>
      </c>
    </row>
    <row r="268" spans="1:9" x14ac:dyDescent="0.25">
      <c r="A268" s="1" t="s">
        <v>14435</v>
      </c>
      <c r="B268" s="1" t="s">
        <v>771</v>
      </c>
      <c r="C268" s="1" t="str">
        <f>IFERROR(VLOOKUP(B268,'SB1'!$A$2:$B$999999,2,FALSE),"")</f>
        <v>LATEX INTERIOR ALBACRYL RINDE MAS MATE BLANCO X  1</v>
      </c>
      <c r="D268" s="1" t="s">
        <v>14441</v>
      </c>
      <c r="E268" s="3">
        <f>IFERROR(VLOOKUP(B268,'DA1'!$B$2:$D$999999,3,FALSE),"")</f>
      </c>
      <c r="F268" s="1" t="str">
        <f>IFERROR(VLOOKUP(B268,'SB1'!$A$2:$C$999999,3,FALSE),"")</f>
        <v>503</v>
      </c>
      <c r="G268" s="3" t="e">
        <f t="shared" si="9"/>
        <v>#VALUE!</v>
      </c>
      <c r="H268" s="3" t="e">
        <f t="shared" si="8"/>
        <v>#VALUE!</v>
      </c>
      <c r="I268" s="1">
        <v>1</v>
      </c>
    </row>
    <row r="269" spans="1:9" x14ac:dyDescent="0.25">
      <c r="A269" s="1" t="s">
        <v>14435</v>
      </c>
      <c r="B269" s="1" t="s">
        <v>773</v>
      </c>
      <c r="C269" s="1" t="str">
        <f>IFERROR(VLOOKUP(B269,'SB1'!$A$2:$B$999999,2,FALSE),"")</f>
        <v>LATEX INTERIOR ALBACRYL RINDE MAS MATE BLANCO X  4</v>
      </c>
      <c r="D269" s="1" t="s">
        <v>14441</v>
      </c>
      <c r="E269" s="3">
        <f>IFERROR(VLOOKUP(B269,'DA1'!$B$2:$D$999999,3,FALSE),"")</f>
      </c>
      <c r="F269" s="1" t="str">
        <f>IFERROR(VLOOKUP(B269,'SB1'!$A$2:$C$999999,3,FALSE),"")</f>
        <v>503</v>
      </c>
      <c r="G269" s="3" t="e">
        <f t="shared" si="9"/>
        <v>#VALUE!</v>
      </c>
      <c r="H269" s="3" t="e">
        <f t="shared" si="8"/>
        <v>#VALUE!</v>
      </c>
      <c r="I269" s="1">
        <v>1</v>
      </c>
    </row>
    <row r="270" spans="1:9" x14ac:dyDescent="0.25">
      <c r="A270" s="1" t="s">
        <v>14435</v>
      </c>
      <c r="B270" s="1" t="s">
        <v>775</v>
      </c>
      <c r="C270" s="1" t="str">
        <f>IFERROR(VLOOKUP(B270,'SB1'!$A$2:$B$999999,2,FALSE),"")</f>
        <v>MASCARILLA DESCARTABLE(B502)</v>
      </c>
      <c r="D270" s="1" t="s">
        <v>14436</v>
      </c>
      <c r="E270" s="3">
        <f>IFERROR(VLOOKUP(B270,'DA1'!$B$2:$D$999999,3,FALSE),"")</f>
      </c>
      <c r="F270" s="1" t="str">
        <f>IFERROR(VLOOKUP(B270,'SB1'!$A$2:$C$999999,3,FALSE),"")</f>
        <v>503</v>
      </c>
      <c r="G270" s="3" t="e">
        <f t="shared" si="9"/>
        <v>#VALUE!</v>
      </c>
      <c r="H270" s="3" t="e">
        <f t="shared" si="8"/>
        <v>#VALUE!</v>
      </c>
      <c r="I270" s="1">
        <v>1</v>
      </c>
    </row>
    <row r="271" spans="1:9" x14ac:dyDescent="0.25">
      <c r="A271" s="1" t="s">
        <v>14435</v>
      </c>
      <c r="B271" s="1" t="s">
        <v>783</v>
      </c>
      <c r="C271" s="1" t="str">
        <f>IFERROR(VLOOKUP(B271,'SB1'!$A$2:$B$999999,2,FALSE),"")</f>
        <v>IMPERMEABILIZANTE PARA FRENTES Y MUROS DURALBA MATE BLANCO X  4</v>
      </c>
      <c r="D271" s="1" t="s">
        <v>14441</v>
      </c>
      <c r="E271" s="3">
        <f>IFERROR(VLOOKUP(B271,'DA1'!$B$2:$D$999999,3,FALSE),"")</f>
      </c>
      <c r="F271" s="1" t="str">
        <f>IFERROR(VLOOKUP(B271,'SB1'!$A$2:$C$999999,3,FALSE),"")</f>
        <v>503</v>
      </c>
      <c r="G271" s="3" t="e">
        <f t="shared" si="9"/>
        <v>#VALUE!</v>
      </c>
      <c r="H271" s="3" t="e">
        <f t="shared" si="8"/>
        <v>#VALUE!</v>
      </c>
      <c r="I271" s="1">
        <v>1</v>
      </c>
    </row>
    <row r="272" spans="1:9" x14ac:dyDescent="0.25">
      <c r="A272" s="1" t="s">
        <v>14435</v>
      </c>
      <c r="B272" s="1" t="s">
        <v>785</v>
      </c>
      <c r="C272" s="1" t="str">
        <f>IFERROR(VLOOKUP(B272,'SB1'!$A$2:$B$999999,2,FALSE),"")</f>
        <v>IMPERMEABILIZANTE PARA FRENTES Y MUROS DURALBA MATE BLANCO X 10</v>
      </c>
      <c r="D272" s="1" t="s">
        <v>14441</v>
      </c>
      <c r="E272" s="3">
        <f>IFERROR(VLOOKUP(B272,'DA1'!$B$2:$D$999999,3,FALSE),"")</f>
      </c>
      <c r="F272" s="1" t="str">
        <f>IFERROR(VLOOKUP(B272,'SB1'!$A$2:$C$999999,3,FALSE),"")</f>
        <v>503</v>
      </c>
      <c r="G272" s="3" t="e">
        <f t="shared" si="9"/>
        <v>#VALUE!</v>
      </c>
      <c r="H272" s="3" t="e">
        <f t="shared" si="8"/>
        <v>#VALUE!</v>
      </c>
      <c r="I272" s="1">
        <v>1</v>
      </c>
    </row>
    <row r="273" spans="1:9" x14ac:dyDescent="0.25">
      <c r="A273" s="1" t="s">
        <v>14435</v>
      </c>
      <c r="B273" s="1" t="s">
        <v>787</v>
      </c>
      <c r="C273" s="1" t="str">
        <f>IFERROR(VLOOKUP(B273,'SB1'!$A$2:$B$999999,2,FALSE),"")</f>
        <v>IMPERMEABILIZANTE PARA FRENTES Y MUROS DURALBA MATE BLANCO X  1</v>
      </c>
      <c r="D273" s="1" t="s">
        <v>14441</v>
      </c>
      <c r="E273" s="3">
        <f>IFERROR(VLOOKUP(B273,'DA1'!$B$2:$D$999999,3,FALSE),"")</f>
      </c>
      <c r="F273" s="1" t="str">
        <f>IFERROR(VLOOKUP(B273,'SB1'!$A$2:$C$999999,3,FALSE),"")</f>
        <v>503</v>
      </c>
      <c r="G273" s="3" t="e">
        <f t="shared" si="9"/>
        <v>#VALUE!</v>
      </c>
      <c r="H273" s="3" t="e">
        <f t="shared" si="8"/>
        <v>#VALUE!</v>
      </c>
      <c r="I273" s="1">
        <v>1</v>
      </c>
    </row>
    <row r="274" spans="1:9" x14ac:dyDescent="0.25">
      <c r="A274" s="1" t="s">
        <v>14435</v>
      </c>
      <c r="B274" s="1" t="s">
        <v>789</v>
      </c>
      <c r="C274" s="1" t="str">
        <f>IFERROR(VLOOKUP(B274,'SB1'!$A$2:$B$999999,2,FALSE),"")</f>
        <v>IMPERMEABILIZANTE PARA FRENTES Y MUROS DURALBA MATE BLANCO X 20</v>
      </c>
      <c r="D274" s="1" t="s">
        <v>14441</v>
      </c>
      <c r="E274" s="3">
        <f>IFERROR(VLOOKUP(B274,'DA1'!$B$2:$D$999999,3,FALSE),"")</f>
      </c>
      <c r="F274" s="1" t="str">
        <f>IFERROR(VLOOKUP(B274,'SB1'!$A$2:$C$999999,3,FALSE),"")</f>
        <v>503</v>
      </c>
      <c r="G274" s="3" t="e">
        <f t="shared" si="9"/>
        <v>#VALUE!</v>
      </c>
      <c r="H274" s="3" t="e">
        <f t="shared" si="8"/>
        <v>#VALUE!</v>
      </c>
      <c r="I274" s="1">
        <v>1</v>
      </c>
    </row>
    <row r="275" spans="1:9" x14ac:dyDescent="0.25">
      <c r="A275" s="1" t="s">
        <v>14435</v>
      </c>
      <c r="B275" s="1" t="s">
        <v>791</v>
      </c>
      <c r="C275" s="1" t="str">
        <f>IFERROR(VLOOKUP(B275,'SB1'!$A$2:$B$999999,2,FALSE),"")</f>
        <v>LATEX INTERIOR ALBACRYL RINDE MAS MATE BLANCO X 10</v>
      </c>
      <c r="D275" s="1" t="s">
        <v>14441</v>
      </c>
      <c r="E275" s="3">
        <f>IFERROR(VLOOKUP(B275,'DA1'!$B$2:$D$999999,3,FALSE),"")</f>
      </c>
      <c r="F275" s="1" t="str">
        <f>IFERROR(VLOOKUP(B275,'SB1'!$A$2:$C$999999,3,FALSE),"")</f>
        <v>503</v>
      </c>
      <c r="G275" s="3" t="e">
        <f t="shared" si="9"/>
        <v>#VALUE!</v>
      </c>
      <c r="H275" s="3" t="e">
        <f t="shared" si="8"/>
        <v>#VALUE!</v>
      </c>
      <c r="I275" s="1">
        <v>1</v>
      </c>
    </row>
    <row r="276" spans="1:9" x14ac:dyDescent="0.25">
      <c r="A276" s="1" t="s">
        <v>14435</v>
      </c>
      <c r="B276" s="1" t="s">
        <v>793</v>
      </c>
      <c r="C276" s="1" t="str">
        <f>IFERROR(VLOOKUP(B276,'SB1'!$A$2:$B$999999,2,FALSE),"")</f>
        <v>LATEX INTERIOR ALBACRYL RINDE MAS MATE BLANCO X 20</v>
      </c>
      <c r="D276" s="1" t="s">
        <v>14441</v>
      </c>
      <c r="E276" s="3">
        <f>IFERROR(VLOOKUP(B276,'DA1'!$B$2:$D$999999,3,FALSE),"")</f>
      </c>
      <c r="F276" s="1" t="str">
        <f>IFERROR(VLOOKUP(B276,'SB1'!$A$2:$C$999999,3,FALSE),"")</f>
        <v>503</v>
      </c>
      <c r="G276" s="3" t="e">
        <f t="shared" si="9"/>
        <v>#VALUE!</v>
      </c>
      <c r="H276" s="3" t="e">
        <f t="shared" si="8"/>
        <v>#VALUE!</v>
      </c>
      <c r="I276" s="1">
        <v>1</v>
      </c>
    </row>
    <row r="277" spans="1:9" x14ac:dyDescent="0.25">
      <c r="A277" s="1" t="s">
        <v>14435</v>
      </c>
      <c r="B277" s="1" t="s">
        <v>795</v>
      </c>
      <c r="C277" s="1" t="str">
        <f>IFERROR(VLOOKUP(B277,'SB1'!$A$2:$B$999999,2,FALSE),"")</f>
        <v>ESMALTE SINTETICO PLAVICON 3EN1 BRILLANTE MARFIL SEDA X  4</v>
      </c>
      <c r="D277" s="1" t="s">
        <v>14458</v>
      </c>
      <c r="E277" s="3">
        <f>IFERROR(VLOOKUP(B277,'DA1'!$B$2:$D$999999,3,FALSE),"")</f>
      </c>
      <c r="F277" s="1" t="str">
        <f>IFERROR(VLOOKUP(B277,'SB1'!$A$2:$C$999999,3,FALSE),"")</f>
        <v>503</v>
      </c>
      <c r="G277" s="3" t="e">
        <f t="shared" si="9"/>
        <v>#VALUE!</v>
      </c>
      <c r="H277" s="3" t="e">
        <f t="shared" si="8"/>
        <v>#VALUE!</v>
      </c>
      <c r="I277" s="1">
        <v>1</v>
      </c>
    </row>
    <row r="278" spans="1:9" x14ac:dyDescent="0.25">
      <c r="A278" s="1" t="s">
        <v>14435</v>
      </c>
      <c r="B278" s="1" t="s">
        <v>797</v>
      </c>
      <c r="C278" s="1" t="str">
        <f>IFERROR(VLOOKUP(B278,'SB1'!$A$2:$B$999999,2,FALSE),"")</f>
        <v>ESMALTE SINTETICO PLAVICON 3EN1 BRILLANTE MARFIL SEDA X 20</v>
      </c>
      <c r="D278" s="1" t="s">
        <v>14458</v>
      </c>
      <c r="E278" s="3">
        <f>IFERROR(VLOOKUP(B278,'DA1'!$B$2:$D$999999,3,FALSE),"")</f>
      </c>
      <c r="F278" s="1" t="str">
        <f>IFERROR(VLOOKUP(B278,'SB1'!$A$2:$C$999999,3,FALSE),"")</f>
        <v>503</v>
      </c>
      <c r="G278" s="3" t="e">
        <f t="shared" si="9"/>
        <v>#VALUE!</v>
      </c>
      <c r="H278" s="3" t="e">
        <f t="shared" si="8"/>
        <v>#VALUE!</v>
      </c>
      <c r="I278" s="1">
        <v>1</v>
      </c>
    </row>
    <row r="279" spans="1:9" x14ac:dyDescent="0.25">
      <c r="A279" s="1" t="s">
        <v>14435</v>
      </c>
      <c r="B279" s="1" t="s">
        <v>809</v>
      </c>
      <c r="C279" s="1" t="str">
        <f>IFERROR(VLOOKUP(B279,'SB1'!$A$2:$B$999999,2,FALSE),"")</f>
        <v>LATEX EXTERIOR DURALBA MATE BLANCO X  1</v>
      </c>
      <c r="D279" s="1" t="s">
        <v>14441</v>
      </c>
      <c r="E279" s="3">
        <f>IFERROR(VLOOKUP(B279,'DA1'!$B$2:$D$999999,3,FALSE),"")</f>
      </c>
      <c r="F279" s="1" t="str">
        <f>IFERROR(VLOOKUP(B279,'SB1'!$A$2:$C$999999,3,FALSE),"")</f>
        <v>503</v>
      </c>
      <c r="G279" s="3" t="e">
        <f t="shared" si="9"/>
        <v>#VALUE!</v>
      </c>
      <c r="H279" s="3" t="e">
        <f t="shared" si="8"/>
        <v>#VALUE!</v>
      </c>
      <c r="I279" s="1">
        <v>1</v>
      </c>
    </row>
    <row r="280" spans="1:9" x14ac:dyDescent="0.25">
      <c r="A280" s="1" t="s">
        <v>14435</v>
      </c>
      <c r="B280" s="1" t="s">
        <v>813</v>
      </c>
      <c r="C280" s="1" t="str">
        <f>IFERROR(VLOOKUP(B280,'SB1'!$A$2:$B$999999,2,FALSE),"")</f>
        <v>LATEX EXTERIOR DURALBA MATE BLANCO X  4</v>
      </c>
      <c r="D280" s="1" t="s">
        <v>14441</v>
      </c>
      <c r="E280" s="3">
        <f>IFERROR(VLOOKUP(B280,'DA1'!$B$2:$D$999999,3,FALSE),"")</f>
      </c>
      <c r="F280" s="1" t="str">
        <f>IFERROR(VLOOKUP(B280,'SB1'!$A$2:$C$999999,3,FALSE),"")</f>
        <v>503</v>
      </c>
      <c r="G280" s="3" t="e">
        <f t="shared" si="9"/>
        <v>#VALUE!</v>
      </c>
      <c r="H280" s="3" t="e">
        <f t="shared" ref="H280:H343" si="10">G280*1.21</f>
        <v>#VALUE!</v>
      </c>
      <c r="I280" s="1">
        <v>1</v>
      </c>
    </row>
    <row r="281" spans="1:9" x14ac:dyDescent="0.25">
      <c r="A281" s="1" t="s">
        <v>14435</v>
      </c>
      <c r="B281" s="1" t="s">
        <v>815</v>
      </c>
      <c r="C281" s="1" t="str">
        <f>IFERROR(VLOOKUP(B281,'SB1'!$A$2:$B$999999,2,FALSE),"")</f>
        <v>GASA BARNIZADA PPG (SX1070X)</v>
      </c>
      <c r="D281" s="1" t="s">
        <v>14446</v>
      </c>
      <c r="E281" s="3">
        <f>IFERROR(VLOOKUP(B281,'DA1'!$B$2:$D$999999,3,FALSE),"")</f>
      </c>
      <c r="F281" s="1" t="str">
        <f>IFERROR(VLOOKUP(B281,'SB1'!$A$2:$C$999999,3,FALSE),"")</f>
        <v>503</v>
      </c>
      <c r="G281" s="3" t="e">
        <f t="shared" si="9"/>
        <v>#VALUE!</v>
      </c>
      <c r="H281" s="3" t="e">
        <f t="shared" si="10"/>
        <v>#VALUE!</v>
      </c>
      <c r="I281" s="1">
        <v>3</v>
      </c>
    </row>
    <row r="282" spans="1:9" x14ac:dyDescent="0.25">
      <c r="A282" s="1" t="s">
        <v>14435</v>
      </c>
      <c r="B282" s="1" t="s">
        <v>817</v>
      </c>
      <c r="C282" s="1" t="str">
        <f>IFERROR(VLOOKUP(B282,'SB1'!$A$2:$B$999999,2,FALSE),"")</f>
        <v>LATEX EXTERIOR DURALBA MATE BLANCO X 20</v>
      </c>
      <c r="D282" s="1" t="s">
        <v>14441</v>
      </c>
      <c r="E282" s="3">
        <f>IFERROR(VLOOKUP(B282,'DA1'!$B$2:$D$999999,3,FALSE),"")</f>
      </c>
      <c r="F282" s="1" t="str">
        <f>IFERROR(VLOOKUP(B282,'SB1'!$A$2:$C$999999,3,FALSE),"")</f>
        <v>503</v>
      </c>
      <c r="G282" s="3" t="e">
        <f t="shared" si="9"/>
        <v>#VALUE!</v>
      </c>
      <c r="H282" s="3" t="e">
        <f t="shared" si="10"/>
        <v>#VALUE!</v>
      </c>
      <c r="I282" s="1">
        <v>1</v>
      </c>
    </row>
    <row r="283" spans="1:9" x14ac:dyDescent="0.25">
      <c r="A283" s="1" t="s">
        <v>14435</v>
      </c>
      <c r="B283" s="1" t="s">
        <v>823</v>
      </c>
      <c r="C283" s="1" t="str">
        <f>IFERROR(VLOOKUP(B283,'SB1'!$A$2:$B$999999,2,FALSE),"")</f>
        <v>ACEITE DE LINO MAGIPLAST X  1</v>
      </c>
      <c r="D283" s="1" t="s">
        <v>14447</v>
      </c>
      <c r="E283" s="3">
        <f>IFERROR(VLOOKUP(B283,'DA1'!$B$2:$D$999999,3,FALSE),"")</f>
      </c>
      <c r="F283" s="1" t="str">
        <f>IFERROR(VLOOKUP(B283,'SB1'!$A$2:$C$999999,3,FALSE),"")</f>
        <v>503</v>
      </c>
      <c r="G283" s="3" t="e">
        <f t="shared" si="9"/>
        <v>#VALUE!</v>
      </c>
      <c r="H283" s="3" t="e">
        <f t="shared" si="10"/>
        <v>#VALUE!</v>
      </c>
      <c r="I283" s="1">
        <v>1</v>
      </c>
    </row>
    <row r="284" spans="1:9" x14ac:dyDescent="0.25">
      <c r="A284" s="1" t="s">
        <v>14435</v>
      </c>
      <c r="B284" s="1" t="s">
        <v>825</v>
      </c>
      <c r="C284" s="1" t="str">
        <f>IFERROR(VLOOKUP(B284,'SB1'!$A$2:$B$999999,2,FALSE),"")</f>
        <v>ACEITE DE LINO MAGIPLAST X  4</v>
      </c>
      <c r="D284" s="1" t="s">
        <v>14447</v>
      </c>
      <c r="E284" s="3">
        <f>IFERROR(VLOOKUP(B284,'DA1'!$B$2:$D$999999,3,FALSE),"")</f>
      </c>
      <c r="F284" s="1" t="str">
        <f>IFERROR(VLOOKUP(B284,'SB1'!$A$2:$C$999999,3,FALSE),"")</f>
        <v>503</v>
      </c>
      <c r="G284" s="3" t="e">
        <f t="shared" si="9"/>
        <v>#VALUE!</v>
      </c>
      <c r="H284" s="3" t="e">
        <f t="shared" si="10"/>
        <v>#VALUE!</v>
      </c>
      <c r="I284" s="1">
        <v>1</v>
      </c>
    </row>
    <row r="285" spans="1:9" x14ac:dyDescent="0.25">
      <c r="A285" s="1" t="s">
        <v>14435</v>
      </c>
      <c r="B285" s="1" t="s">
        <v>829</v>
      </c>
      <c r="C285" s="1" t="str">
        <f>IFERROR(VLOOKUP(B285,'SB1'!$A$2:$B$999999,2,FALSE),"")</f>
        <v>LATEX EXTERIOR DURALBA MATE BLANCO X 10</v>
      </c>
      <c r="D285" s="1" t="s">
        <v>14441</v>
      </c>
      <c r="E285" s="3">
        <f>IFERROR(VLOOKUP(B285,'DA1'!$B$2:$D$999999,3,FALSE),"")</f>
      </c>
      <c r="F285" s="1" t="str">
        <f>IFERROR(VLOOKUP(B285,'SB1'!$A$2:$C$999999,3,FALSE),"")</f>
        <v>503</v>
      </c>
      <c r="G285" s="3" t="e">
        <f t="shared" si="9"/>
        <v>#VALUE!</v>
      </c>
      <c r="H285" s="3" t="e">
        <f t="shared" si="10"/>
        <v>#VALUE!</v>
      </c>
      <c r="I285" s="1">
        <v>1</v>
      </c>
    </row>
    <row r="286" spans="1:9" x14ac:dyDescent="0.25">
      <c r="A286" s="1" t="s">
        <v>14435</v>
      </c>
      <c r="B286" s="1" t="s">
        <v>845</v>
      </c>
      <c r="C286" s="1" t="str">
        <f>IFERROR(VLOOKUP(B286,'SB1'!$A$2:$B$999999,2,FALSE),"")</f>
        <v>LATEX EXTERIOR ALBAFRENT MATE BLANCO X  1</v>
      </c>
      <c r="D286" s="1" t="s">
        <v>14439</v>
      </c>
      <c r="E286" s="3">
        <f>IFERROR(VLOOKUP(B286,'DA1'!$B$2:$D$999999,3,FALSE),"")</f>
      </c>
      <c r="F286" s="1" t="str">
        <f>IFERROR(VLOOKUP(B286,'SB1'!$A$2:$C$999999,3,FALSE),"")</f>
        <v>503</v>
      </c>
      <c r="G286" s="3" t="e">
        <f t="shared" si="9"/>
        <v>#VALUE!</v>
      </c>
      <c r="H286" s="3" t="e">
        <f t="shared" si="10"/>
        <v>#VALUE!</v>
      </c>
      <c r="I286" s="1">
        <v>1</v>
      </c>
    </row>
    <row r="287" spans="1:9" x14ac:dyDescent="0.25">
      <c r="A287" s="1" t="s">
        <v>14435</v>
      </c>
      <c r="B287" s="1" t="s">
        <v>847</v>
      </c>
      <c r="C287" s="1" t="str">
        <f>IFERROR(VLOOKUP(B287,'SB1'!$A$2:$B$999999,2,FALSE),"")</f>
        <v>LATEX EXTERIOR ALBAFRENT MATE BLANCO X  4</v>
      </c>
      <c r="D287" s="1" t="s">
        <v>14441</v>
      </c>
      <c r="E287" s="3">
        <f>IFERROR(VLOOKUP(B287,'DA1'!$B$2:$D$999999,3,FALSE),"")</f>
      </c>
      <c r="F287" s="1" t="str">
        <f>IFERROR(VLOOKUP(B287,'SB1'!$A$2:$C$999999,3,FALSE),"")</f>
        <v>503</v>
      </c>
      <c r="G287" s="3" t="e">
        <f t="shared" si="9"/>
        <v>#VALUE!</v>
      </c>
      <c r="H287" s="3" t="e">
        <f t="shared" si="10"/>
        <v>#VALUE!</v>
      </c>
      <c r="I287" s="1">
        <v>1</v>
      </c>
    </row>
    <row r="288" spans="1:9" x14ac:dyDescent="0.25">
      <c r="A288" s="1" t="s">
        <v>14435</v>
      </c>
      <c r="B288" s="1" t="s">
        <v>849</v>
      </c>
      <c r="C288" s="1" t="str">
        <f>IFERROR(VLOOKUP(B288,'SB1'!$A$2:$B$999999,2,FALSE),"")</f>
        <v>LATEX EXTERIOR ALBAFRENT MATE BLANCO X 10</v>
      </c>
      <c r="D288" s="1" t="s">
        <v>14441</v>
      </c>
      <c r="E288" s="3">
        <f>IFERROR(VLOOKUP(B288,'DA1'!$B$2:$D$999999,3,FALSE),"")</f>
      </c>
      <c r="F288" s="1" t="str">
        <f>IFERROR(VLOOKUP(B288,'SB1'!$A$2:$C$999999,3,FALSE),"")</f>
        <v>503</v>
      </c>
      <c r="G288" s="3" t="e">
        <f t="shared" si="9"/>
        <v>#VALUE!</v>
      </c>
      <c r="H288" s="3" t="e">
        <f t="shared" si="10"/>
        <v>#VALUE!</v>
      </c>
      <c r="I288" s="1">
        <v>1</v>
      </c>
    </row>
    <row r="289" spans="1:9" x14ac:dyDescent="0.25">
      <c r="A289" s="1" t="s">
        <v>14435</v>
      </c>
      <c r="B289" s="1" t="s">
        <v>851</v>
      </c>
      <c r="C289" s="1" t="str">
        <f>IFERROR(VLOOKUP(B289,'SB1'!$A$2:$B$999999,2,FALSE),"")</f>
        <v>LATEX EXTERIOR ALBAFRENT MATE BLANCO X 20</v>
      </c>
      <c r="D289" s="1" t="s">
        <v>14441</v>
      </c>
      <c r="E289" s="3">
        <f>IFERROR(VLOOKUP(B289,'DA1'!$B$2:$D$999999,3,FALSE),"")</f>
      </c>
      <c r="F289" s="1" t="str">
        <f>IFERROR(VLOOKUP(B289,'SB1'!$A$2:$C$999999,3,FALSE),"")</f>
        <v>503</v>
      </c>
      <c r="G289" s="3" t="e">
        <f t="shared" si="9"/>
        <v>#VALUE!</v>
      </c>
      <c r="H289" s="3" t="e">
        <f t="shared" si="10"/>
        <v>#VALUE!</v>
      </c>
      <c r="I289" s="1">
        <v>1</v>
      </c>
    </row>
    <row r="290" spans="1:9" x14ac:dyDescent="0.25">
      <c r="A290" s="1" t="s">
        <v>14435</v>
      </c>
      <c r="B290" s="1" t="s">
        <v>853</v>
      </c>
      <c r="C290" s="1" t="str">
        <f>IFERROR(VLOOKUP(B290,'SB1'!$A$2:$B$999999,2,FALSE),"")</f>
        <v>ESMALTE SINTETICO PLAVICON 3EN1 BRILLANTE MARFIL CHAMPAGNE X  0,500</v>
      </c>
      <c r="D290" s="1" t="s">
        <v>14439</v>
      </c>
      <c r="E290" s="3">
        <f>IFERROR(VLOOKUP(B290,'DA1'!$B$2:$D$999999,3,FALSE),"")</f>
      </c>
      <c r="F290" s="1" t="str">
        <f>IFERROR(VLOOKUP(B290,'SB1'!$A$2:$C$999999,3,FALSE),"")</f>
        <v>503</v>
      </c>
      <c r="G290" s="3" t="e">
        <f t="shared" si="9"/>
        <v>#VALUE!</v>
      </c>
      <c r="H290" s="3" t="e">
        <f t="shared" si="10"/>
        <v>#VALUE!</v>
      </c>
      <c r="I290" s="1">
        <v>1</v>
      </c>
    </row>
    <row r="291" spans="1:9" x14ac:dyDescent="0.25">
      <c r="A291" s="1" t="s">
        <v>14435</v>
      </c>
      <c r="B291" s="1" t="s">
        <v>855</v>
      </c>
      <c r="C291" s="1" t="str">
        <f>IFERROR(VLOOKUP(B291,'SB1'!$A$2:$B$999999,2,FALSE),"")</f>
        <v>PLAQUETA PARA PULIR VERDE</v>
      </c>
      <c r="D291" s="1" t="s">
        <v>14468</v>
      </c>
      <c r="E291" s="3">
        <f>IFERROR(VLOOKUP(B291,'DA1'!$B$2:$D$999999,3,FALSE),"")</f>
      </c>
      <c r="F291" s="1" t="str">
        <f>IFERROR(VLOOKUP(B291,'SB1'!$A$2:$C$999999,3,FALSE),"")</f>
        <v>503</v>
      </c>
      <c r="G291" s="3" t="e">
        <f t="shared" si="9"/>
        <v>#VALUE!</v>
      </c>
      <c r="H291" s="3" t="e">
        <f t="shared" si="10"/>
        <v>#VALUE!</v>
      </c>
      <c r="I291" s="1">
        <v>1</v>
      </c>
    </row>
    <row r="292" spans="1:9" x14ac:dyDescent="0.25">
      <c r="A292" s="1" t="s">
        <v>14435</v>
      </c>
      <c r="B292" s="1" t="s">
        <v>861</v>
      </c>
      <c r="C292" s="1" t="str">
        <f>IFERROR(VLOOKUP(B292,'SB1'!$A$2:$B$999999,2,FALSE),"")</f>
        <v>DISCO DE FIBRA DOBLE A 178X22HY-71 G.A.#120</v>
      </c>
      <c r="D292" s="1" t="s">
        <v>14451</v>
      </c>
      <c r="E292" s="3">
        <f>IFERROR(VLOOKUP(B292,'DA1'!$B$2:$D$999999,3,FALSE),"")</f>
      </c>
      <c r="F292" s="1" t="str">
        <f>IFERROR(VLOOKUP(B292,'SB1'!$A$2:$C$999999,3,FALSE),"")</f>
        <v>503</v>
      </c>
      <c r="G292" s="3" t="e">
        <f t="shared" si="9"/>
        <v>#VALUE!</v>
      </c>
      <c r="H292" s="3" t="e">
        <f t="shared" si="10"/>
        <v>#VALUE!</v>
      </c>
      <c r="I292" s="1">
        <v>1</v>
      </c>
    </row>
    <row r="293" spans="1:9" x14ac:dyDescent="0.25">
      <c r="A293" s="1" t="s">
        <v>14435</v>
      </c>
      <c r="B293" s="1" t="s">
        <v>863</v>
      </c>
      <c r="C293" s="1" t="str">
        <f>IFERROR(VLOOKUP(B293,'SB1'!$A$2:$B$999999,2,FALSE),"")</f>
        <v>BASE POLIURETANO 2K 2703 X 0,625</v>
      </c>
      <c r="D293" s="1" t="s">
        <v>14444</v>
      </c>
      <c r="E293" s="3">
        <f>IFERROR(VLOOKUP(B293,'DA1'!$B$2:$D$999999,3,FALSE),"")</f>
      </c>
      <c r="F293" s="1" t="str">
        <f>IFERROR(VLOOKUP(B293,'SB1'!$A$2:$C$999999,3,FALSE),"")</f>
        <v>503</v>
      </c>
      <c r="G293" s="3" t="e">
        <f t="shared" si="9"/>
        <v>#VALUE!</v>
      </c>
      <c r="H293" s="3" t="e">
        <f t="shared" si="10"/>
        <v>#VALUE!</v>
      </c>
      <c r="I293" s="1">
        <v>1</v>
      </c>
    </row>
    <row r="294" spans="1:9" x14ac:dyDescent="0.25">
      <c r="A294" s="1" t="s">
        <v>14435</v>
      </c>
      <c r="B294" s="1" t="s">
        <v>865</v>
      </c>
      <c r="C294" s="1" t="str">
        <f>IFERROR(VLOOKUP(B294,'SB1'!$A$2:$B$999999,2,FALSE),"")</f>
        <v>LIJA RUBI FLEX DOBLE A N 180/220 E.F.</v>
      </c>
      <c r="D294" s="1" t="s">
        <v>14451</v>
      </c>
      <c r="E294" s="3">
        <f>IFERROR(VLOOKUP(B294,'DA1'!$B$2:$D$999999,3,FALSE),"")</f>
      </c>
      <c r="F294" s="1" t="str">
        <f>IFERROR(VLOOKUP(B294,'SB1'!$A$2:$C$999999,3,FALSE),"")</f>
        <v>503</v>
      </c>
      <c r="G294" s="3" t="e">
        <f t="shared" si="9"/>
        <v>#VALUE!</v>
      </c>
      <c r="H294" s="3" t="e">
        <f t="shared" si="10"/>
        <v>#VALUE!</v>
      </c>
      <c r="I294" s="1">
        <v>1</v>
      </c>
    </row>
    <row r="295" spans="1:9" x14ac:dyDescent="0.25">
      <c r="A295" s="1" t="s">
        <v>14435</v>
      </c>
      <c r="B295" s="1" t="s">
        <v>867</v>
      </c>
      <c r="C295" s="1" t="str">
        <f>IFERROR(VLOOKUP(B295,'SB1'!$A$2:$B$999999,2,FALSE),"")</f>
        <v>ESMALTE SINTETICO PLAVICON 3EN1 BRILLANTE MARFIL CHAMPAGNE X  1</v>
      </c>
      <c r="D295" s="1" t="s">
        <v>14439</v>
      </c>
      <c r="E295" s="3">
        <f>IFERROR(VLOOKUP(B295,'DA1'!$B$2:$D$999999,3,FALSE),"")</f>
      </c>
      <c r="F295" s="1" t="str">
        <f>IFERROR(VLOOKUP(B295,'SB1'!$A$2:$C$999999,3,FALSE),"")</f>
        <v>503</v>
      </c>
      <c r="G295" s="3" t="e">
        <f t="shared" si="9"/>
        <v>#VALUE!</v>
      </c>
      <c r="H295" s="3" t="e">
        <f t="shared" si="10"/>
        <v>#VALUE!</v>
      </c>
      <c r="I295" s="1">
        <v>1</v>
      </c>
    </row>
    <row r="296" spans="1:9" x14ac:dyDescent="0.25">
      <c r="A296" s="1" t="s">
        <v>14435</v>
      </c>
      <c r="B296" s="1" t="s">
        <v>871</v>
      </c>
      <c r="C296" s="1" t="str">
        <f>IFERROR(VLOOKUP(B296,'SB1'!$A$2:$B$999999,2,FALSE),"")</f>
        <v>SELLADOR JUNTAFLEX X 300</v>
      </c>
      <c r="D296" s="1" t="s">
        <v>14459</v>
      </c>
      <c r="E296" s="3">
        <f>IFERROR(VLOOKUP(B296,'DA1'!$B$2:$D$999999,3,FALSE),"")</f>
      </c>
      <c r="F296" s="1" t="str">
        <f>IFERROR(VLOOKUP(B296,'SB1'!$A$2:$C$999999,3,FALSE),"")</f>
        <v>503</v>
      </c>
      <c r="G296" s="3" t="e">
        <f t="shared" si="9"/>
        <v>#VALUE!</v>
      </c>
      <c r="H296" s="3" t="e">
        <f t="shared" si="10"/>
        <v>#VALUE!</v>
      </c>
      <c r="I296" s="1">
        <v>1</v>
      </c>
    </row>
    <row r="297" spans="1:9" x14ac:dyDescent="0.25">
      <c r="A297" s="1" t="s">
        <v>14435</v>
      </c>
      <c r="B297" s="1" t="s">
        <v>873</v>
      </c>
      <c r="C297" s="1" t="str">
        <f>IFERROR(VLOOKUP(B297,'SB1'!$A$2:$B$999999,2,FALSE),"")</f>
        <v>CINTA DE PAPEL DOBLE A (988AA)  6MM</v>
      </c>
      <c r="D297" s="1" t="s">
        <v>14451</v>
      </c>
      <c r="E297" s="3">
        <f>IFERROR(VLOOKUP(B297,'DA1'!$B$2:$D$999999,3,FALSE),"")</f>
      </c>
      <c r="F297" s="1" t="str">
        <f>IFERROR(VLOOKUP(B297,'SB1'!$A$2:$C$999999,3,FALSE),"")</f>
        <v>503</v>
      </c>
      <c r="G297" s="3" t="e">
        <f t="shared" si="9"/>
        <v>#VALUE!</v>
      </c>
      <c r="H297" s="3" t="e">
        <f t="shared" si="10"/>
        <v>#VALUE!</v>
      </c>
      <c r="I297" s="1">
        <v>1</v>
      </c>
    </row>
    <row r="298" spans="1:9" x14ac:dyDescent="0.25">
      <c r="A298" s="1" t="s">
        <v>14435</v>
      </c>
      <c r="B298" s="1" t="s">
        <v>875</v>
      </c>
      <c r="C298" s="1" t="str">
        <f>IFERROR(VLOOKUP(B298,'SB1'!$A$2:$B$999999,2,FALSE),"")</f>
        <v>CLEAR BICAPA 2K 2733 X 0,750</v>
      </c>
      <c r="D298" s="1" t="s">
        <v>14444</v>
      </c>
      <c r="E298" s="3">
        <f>IFERROR(VLOOKUP(B298,'DA1'!$B$2:$D$999999,3,FALSE),"")</f>
      </c>
      <c r="F298" s="1" t="str">
        <f>IFERROR(VLOOKUP(B298,'SB1'!$A$2:$C$999999,3,FALSE),"")</f>
        <v>503</v>
      </c>
      <c r="G298" s="3" t="e">
        <f t="shared" si="9"/>
        <v>#VALUE!</v>
      </c>
      <c r="H298" s="3" t="e">
        <f t="shared" si="10"/>
        <v>#VALUE!</v>
      </c>
      <c r="I298" s="1">
        <v>1</v>
      </c>
    </row>
    <row r="299" spans="1:9" x14ac:dyDescent="0.25">
      <c r="A299" s="1" t="s">
        <v>14435</v>
      </c>
      <c r="B299" s="1" t="s">
        <v>877</v>
      </c>
      <c r="C299" s="1" t="str">
        <f>IFERROR(VLOOKUP(B299,'SB1'!$A$2:$B$999999,2,FALSE),"")</f>
        <v>CINTA DE PAPEL DOBLE A (988AA) 10MM</v>
      </c>
      <c r="D299" s="1" t="s">
        <v>14451</v>
      </c>
      <c r="E299" s="3">
        <f>IFERROR(VLOOKUP(B299,'DA1'!$B$2:$D$999999,3,FALSE),"")</f>
      </c>
      <c r="F299" s="1" t="str">
        <f>IFERROR(VLOOKUP(B299,'SB1'!$A$2:$C$999999,3,FALSE),"")</f>
        <v>503</v>
      </c>
      <c r="G299" s="3" t="e">
        <f t="shared" si="9"/>
        <v>#VALUE!</v>
      </c>
      <c r="H299" s="3" t="e">
        <f t="shared" si="10"/>
        <v>#VALUE!</v>
      </c>
      <c r="I299" s="1">
        <v>1</v>
      </c>
    </row>
    <row r="300" spans="1:9" x14ac:dyDescent="0.25">
      <c r="A300" s="1" t="s">
        <v>14435</v>
      </c>
      <c r="B300" s="1" t="s">
        <v>879</v>
      </c>
      <c r="C300" s="1" t="str">
        <f>IFERROR(VLOOKUP(B300,'SB1'!$A$2:$B$999999,2,FALSE),"")</f>
        <v>CINTA DE PAPEL DOBLE A (988AA) 12MM</v>
      </c>
      <c r="D300" s="1" t="s">
        <v>14451</v>
      </c>
      <c r="E300" s="3">
        <f>IFERROR(VLOOKUP(B300,'DA1'!$B$2:$D$999999,3,FALSE),"")</f>
      </c>
      <c r="F300" s="1" t="str">
        <f>IFERROR(VLOOKUP(B300,'SB1'!$A$2:$C$999999,3,FALSE),"")</f>
        <v>503</v>
      </c>
      <c r="G300" s="3" t="e">
        <f t="shared" si="9"/>
        <v>#VALUE!</v>
      </c>
      <c r="H300" s="3" t="e">
        <f t="shared" si="10"/>
        <v>#VALUE!</v>
      </c>
      <c r="I300" s="1">
        <v>1</v>
      </c>
    </row>
    <row r="301" spans="1:9" x14ac:dyDescent="0.25">
      <c r="A301" s="1" t="s">
        <v>14435</v>
      </c>
      <c r="B301" s="1" t="s">
        <v>881</v>
      </c>
      <c r="C301" s="1" t="str">
        <f>IFERROR(VLOOKUP(B301,'SB1'!$A$2:$B$999999,2,FALSE),"")</f>
        <v>CINTA DE PAPEL DOBLE A (988AA) 15MM</v>
      </c>
      <c r="D301" s="1" t="s">
        <v>14451</v>
      </c>
      <c r="E301" s="3">
        <f>IFERROR(VLOOKUP(B301,'DA1'!$B$2:$D$999999,3,FALSE),"")</f>
      </c>
      <c r="F301" s="1" t="str">
        <f>IFERROR(VLOOKUP(B301,'SB1'!$A$2:$C$999999,3,FALSE),"")</f>
        <v>503</v>
      </c>
      <c r="G301" s="3" t="e">
        <f t="shared" si="9"/>
        <v>#VALUE!</v>
      </c>
      <c r="H301" s="3" t="e">
        <f t="shared" si="10"/>
        <v>#VALUE!</v>
      </c>
      <c r="I301" s="1">
        <v>1</v>
      </c>
    </row>
    <row r="302" spans="1:9" x14ac:dyDescent="0.25">
      <c r="A302" s="1" t="s">
        <v>14435</v>
      </c>
      <c r="B302" s="1" t="s">
        <v>883</v>
      </c>
      <c r="C302" s="1" t="str">
        <f>IFERROR(VLOOKUP(B302,'SB1'!$A$2:$B$999999,2,FALSE),"")</f>
        <v>CINTA DE PAPEL DOBLE A (988AA) 18MM</v>
      </c>
      <c r="D302" s="1" t="s">
        <v>14451</v>
      </c>
      <c r="E302" s="3">
        <f>IFERROR(VLOOKUP(B302,'DA1'!$B$2:$D$999999,3,FALSE),"")</f>
      </c>
      <c r="F302" s="1" t="str">
        <f>IFERROR(VLOOKUP(B302,'SB1'!$A$2:$C$999999,3,FALSE),"")</f>
        <v>503</v>
      </c>
      <c r="G302" s="3" t="e">
        <f t="shared" si="9"/>
        <v>#VALUE!</v>
      </c>
      <c r="H302" s="3" t="e">
        <f t="shared" si="10"/>
        <v>#VALUE!</v>
      </c>
      <c r="I302" s="1">
        <v>1</v>
      </c>
    </row>
    <row r="303" spans="1:9" x14ac:dyDescent="0.25">
      <c r="A303" s="1" t="s">
        <v>14435</v>
      </c>
      <c r="B303" s="1" t="s">
        <v>885</v>
      </c>
      <c r="C303" s="1" t="str">
        <f>IFERROR(VLOOKUP(B303,'SB1'!$A$2:$B$999999,2,FALSE),"")</f>
        <v>CINTA DE PAPEL DOBLE A (988AA) 24MM</v>
      </c>
      <c r="D303" s="1" t="s">
        <v>14451</v>
      </c>
      <c r="E303" s="3">
        <f>IFERROR(VLOOKUP(B303,'DA1'!$B$2:$D$999999,3,FALSE),"")</f>
      </c>
      <c r="F303" s="1" t="str">
        <f>IFERROR(VLOOKUP(B303,'SB1'!$A$2:$C$999999,3,FALSE),"")</f>
        <v>503</v>
      </c>
      <c r="G303" s="3" t="e">
        <f t="shared" si="9"/>
        <v>#VALUE!</v>
      </c>
      <c r="H303" s="3" t="e">
        <f t="shared" si="10"/>
        <v>#VALUE!</v>
      </c>
      <c r="I303" s="1">
        <v>1</v>
      </c>
    </row>
    <row r="304" spans="1:9" x14ac:dyDescent="0.25">
      <c r="A304" s="1" t="s">
        <v>14435</v>
      </c>
      <c r="B304" s="1" t="s">
        <v>887</v>
      </c>
      <c r="C304" s="1" t="str">
        <f>IFERROR(VLOOKUP(B304,'SB1'!$A$2:$B$999999,2,FALSE),"")</f>
        <v>DISCO DE FIBRA DOBLE A 178X22HX-73 G.A.#14</v>
      </c>
      <c r="D304" s="1" t="s">
        <v>14451</v>
      </c>
      <c r="E304" s="3">
        <f>IFERROR(VLOOKUP(B304,'DA1'!$B$2:$D$999999,3,FALSE),"")</f>
      </c>
      <c r="F304" s="1" t="str">
        <f>IFERROR(VLOOKUP(B304,'SB1'!$A$2:$C$999999,3,FALSE),"")</f>
        <v>503</v>
      </c>
      <c r="G304" s="3" t="e">
        <f t="shared" si="9"/>
        <v>#VALUE!</v>
      </c>
      <c r="H304" s="3" t="e">
        <f t="shared" si="10"/>
        <v>#VALUE!</v>
      </c>
      <c r="I304" s="1">
        <v>1</v>
      </c>
    </row>
    <row r="305" spans="1:9" x14ac:dyDescent="0.25">
      <c r="A305" s="1" t="s">
        <v>14435</v>
      </c>
      <c r="B305" s="1" t="s">
        <v>889</v>
      </c>
      <c r="C305" s="1" t="str">
        <f>IFERROR(VLOOKUP(B305,'SB1'!$A$2:$B$999999,2,FALSE),"")</f>
        <v>DISCO DE FIBRA DOBLE A 178X22HX-73 G.A.#16</v>
      </c>
      <c r="D305" s="1" t="s">
        <v>14439</v>
      </c>
      <c r="E305" s="3">
        <f>IFERROR(VLOOKUP(B305,'DA1'!$B$2:$D$999999,3,FALSE),"")</f>
      </c>
      <c r="F305" s="1" t="str">
        <f>IFERROR(VLOOKUP(B305,'SB1'!$A$2:$C$999999,3,FALSE),"")</f>
        <v>503</v>
      </c>
      <c r="G305" s="3" t="e">
        <f t="shared" si="9"/>
        <v>#VALUE!</v>
      </c>
      <c r="H305" s="3" t="e">
        <f t="shared" si="10"/>
        <v>#VALUE!</v>
      </c>
      <c r="I305" s="1">
        <v>1</v>
      </c>
    </row>
    <row r="306" spans="1:9" x14ac:dyDescent="0.25">
      <c r="A306" s="1" t="s">
        <v>14435</v>
      </c>
      <c r="B306" s="1" t="s">
        <v>891</v>
      </c>
      <c r="C306" s="1" t="str">
        <f>IFERROR(VLOOKUP(B306,'SB1'!$A$2:$B$999999,2,FALSE),"")</f>
        <v>DISCO DE FIBRA DOBLE A 178X22HX-73 G.A.#24</v>
      </c>
      <c r="D306" s="1" t="s">
        <v>14451</v>
      </c>
      <c r="E306" s="3">
        <f>IFERROR(VLOOKUP(B306,'DA1'!$B$2:$D$999999,3,FALSE),"")</f>
      </c>
      <c r="F306" s="1" t="str">
        <f>IFERROR(VLOOKUP(B306,'SB1'!$A$2:$C$999999,3,FALSE),"")</f>
        <v>503</v>
      </c>
      <c r="G306" s="3" t="e">
        <f t="shared" si="9"/>
        <v>#VALUE!</v>
      </c>
      <c r="H306" s="3" t="e">
        <f t="shared" si="10"/>
        <v>#VALUE!</v>
      </c>
      <c r="I306" s="1">
        <v>1</v>
      </c>
    </row>
    <row r="307" spans="1:9" x14ac:dyDescent="0.25">
      <c r="A307" s="1" t="s">
        <v>14435</v>
      </c>
      <c r="B307" s="1" t="s">
        <v>893</v>
      </c>
      <c r="C307" s="1" t="str">
        <f>IFERROR(VLOOKUP(B307,'SB1'!$A$2:$B$999999,2,FALSE),"")</f>
        <v>DISCO DE FIBRA DOBLE A 178X22HX-73 G.A.#36</v>
      </c>
      <c r="D307" s="1" t="s">
        <v>14451</v>
      </c>
      <c r="E307" s="3">
        <f>IFERROR(VLOOKUP(B307,'DA1'!$B$2:$D$999999,3,FALSE),"")</f>
      </c>
      <c r="F307" s="1" t="str">
        <f>IFERROR(VLOOKUP(B307,'SB1'!$A$2:$C$999999,3,FALSE),"")</f>
        <v>503</v>
      </c>
      <c r="G307" s="3" t="e">
        <f t="shared" si="9"/>
        <v>#VALUE!</v>
      </c>
      <c r="H307" s="3" t="e">
        <f t="shared" si="10"/>
        <v>#VALUE!</v>
      </c>
      <c r="I307" s="1">
        <v>1</v>
      </c>
    </row>
    <row r="308" spans="1:9" x14ac:dyDescent="0.25">
      <c r="A308" s="1" t="s">
        <v>14435</v>
      </c>
      <c r="B308" s="1" t="s">
        <v>895</v>
      </c>
      <c r="C308" s="1" t="str">
        <f>IFERROR(VLOOKUP(B308,'SB1'!$A$2:$B$999999,2,FALSE),"")</f>
        <v>DISCO DE FIBRA DOBLE A 178X22HY-71 G.A. #50</v>
      </c>
      <c r="D308" s="1" t="s">
        <v>14451</v>
      </c>
      <c r="E308" s="3">
        <f>IFERROR(VLOOKUP(B308,'DA1'!$B$2:$D$999999,3,FALSE),"")</f>
      </c>
      <c r="F308" s="1" t="str">
        <f>IFERROR(VLOOKUP(B308,'SB1'!$A$2:$C$999999,3,FALSE),"")</f>
        <v>503</v>
      </c>
      <c r="G308" s="3" t="e">
        <f t="shared" si="9"/>
        <v>#VALUE!</v>
      </c>
      <c r="H308" s="3" t="e">
        <f t="shared" si="10"/>
        <v>#VALUE!</v>
      </c>
      <c r="I308" s="1">
        <v>1</v>
      </c>
    </row>
    <row r="309" spans="1:9" x14ac:dyDescent="0.25">
      <c r="A309" s="1" t="s">
        <v>14435</v>
      </c>
      <c r="B309" s="1" t="s">
        <v>897</v>
      </c>
      <c r="C309" s="1" t="str">
        <f>IFERROR(VLOOKUP(B309,'SB1'!$A$2:$B$999999,2,FALSE),"")</f>
        <v>DISCO PIEL LUDAMAR/WOOLLY (51)</v>
      </c>
      <c r="D309" s="1" t="s">
        <v>14467</v>
      </c>
      <c r="E309" s="3">
        <f>IFERROR(VLOOKUP(B309,'DA1'!$B$2:$D$999999,3,FALSE),"")</f>
      </c>
      <c r="F309" s="1" t="str">
        <f>IFERROR(VLOOKUP(B309,'SB1'!$A$2:$C$999999,3,FALSE),"")</f>
        <v>503</v>
      </c>
      <c r="G309" s="3" t="e">
        <f t="shared" si="9"/>
        <v>#VALUE!</v>
      </c>
      <c r="H309" s="3" t="e">
        <f t="shared" si="10"/>
        <v>#VALUE!</v>
      </c>
      <c r="I309" s="1">
        <v>1</v>
      </c>
    </row>
    <row r="310" spans="1:9" x14ac:dyDescent="0.25">
      <c r="A310" s="1" t="s">
        <v>14435</v>
      </c>
      <c r="B310" s="1" t="s">
        <v>899</v>
      </c>
      <c r="C310" s="1" t="str">
        <f>IFERROR(VLOOKUP(B310,'SB1'!$A$2:$B$999999,2,FALSE),"")</f>
        <v>CINTA DE PAPEL DOBLE A (988AA) 36MM</v>
      </c>
      <c r="D310" s="1" t="s">
        <v>14451</v>
      </c>
      <c r="E310" s="3">
        <f>IFERROR(VLOOKUP(B310,'DA1'!$B$2:$D$999999,3,FALSE),"")</f>
      </c>
      <c r="F310" s="1" t="str">
        <f>IFERROR(VLOOKUP(B310,'SB1'!$A$2:$C$999999,3,FALSE),"")</f>
        <v>503</v>
      </c>
      <c r="G310" s="3" t="e">
        <f t="shared" si="9"/>
        <v>#VALUE!</v>
      </c>
      <c r="H310" s="3" t="e">
        <f t="shared" si="10"/>
        <v>#VALUE!</v>
      </c>
      <c r="I310" s="1">
        <v>1</v>
      </c>
    </row>
    <row r="311" spans="1:9" x14ac:dyDescent="0.25">
      <c r="A311" s="1" t="s">
        <v>14435</v>
      </c>
      <c r="B311" s="1" t="s">
        <v>901</v>
      </c>
      <c r="C311" s="1" t="str">
        <f>IFERROR(VLOOKUP(B311,'SB1'!$A$2:$B$999999,2,FALSE),"")</f>
        <v>LIJA RUBI FLEX DOBLE A N  36/40 E.G.</v>
      </c>
      <c r="D311" s="1" t="s">
        <v>14451</v>
      </c>
      <c r="E311" s="3">
        <f>IFERROR(VLOOKUP(B311,'DA1'!$B$2:$D$999999,3,FALSE),"")</f>
      </c>
      <c r="F311" s="1" t="str">
        <f>IFERROR(VLOOKUP(B311,'SB1'!$A$2:$C$999999,3,FALSE),"")</f>
        <v>503</v>
      </c>
      <c r="G311" s="3" t="e">
        <f t="shared" si="9"/>
        <v>#VALUE!</v>
      </c>
      <c r="H311" s="3" t="e">
        <f t="shared" si="10"/>
        <v>#VALUE!</v>
      </c>
      <c r="I311" s="1">
        <v>1</v>
      </c>
    </row>
    <row r="312" spans="1:9" x14ac:dyDescent="0.25">
      <c r="A312" s="1" t="s">
        <v>14435</v>
      </c>
      <c r="B312" s="1" t="s">
        <v>903</v>
      </c>
      <c r="C312" s="1" t="str">
        <f>IFERROR(VLOOKUP(B312,'SB1'!$A$2:$B$999999,2,FALSE),"")</f>
        <v>LLANA LISA LH 12X30</v>
      </c>
      <c r="D312" s="1" t="s">
        <v>14461</v>
      </c>
      <c r="E312" s="3">
        <f>IFERROR(VLOOKUP(B312,'DA1'!$B$2:$D$999999,3,FALSE),"")</f>
      </c>
      <c r="F312" s="1" t="str">
        <f>IFERROR(VLOOKUP(B312,'SB1'!$A$2:$C$999999,3,FALSE),"")</f>
        <v>503</v>
      </c>
      <c r="G312" s="3" t="e">
        <f t="shared" si="9"/>
        <v>#VALUE!</v>
      </c>
      <c r="H312" s="3" t="e">
        <f t="shared" si="10"/>
        <v>#VALUE!</v>
      </c>
      <c r="I312" s="1">
        <v>1</v>
      </c>
    </row>
    <row r="313" spans="1:9" x14ac:dyDescent="0.25">
      <c r="A313" s="1" t="s">
        <v>14435</v>
      </c>
      <c r="B313" s="1" t="s">
        <v>905</v>
      </c>
      <c r="C313" s="1" t="str">
        <f>IFERROR(VLOOKUP(B313,'SB1'!$A$2:$B$999999,2,FALSE),"")</f>
        <v>ESTOPA PARA LUSTRE LUMAR BLANCA X 0,300 (31/A)</v>
      </c>
      <c r="D313" s="1" t="s">
        <v>14467</v>
      </c>
      <c r="E313" s="3">
        <f>IFERROR(VLOOKUP(B313,'DA1'!$B$2:$D$999999,3,FALSE),"")</f>
      </c>
      <c r="F313" s="1" t="str">
        <f>IFERROR(VLOOKUP(B313,'SB1'!$A$2:$C$999999,3,FALSE),"")</f>
        <v>503</v>
      </c>
      <c r="G313" s="3" t="e">
        <f t="shared" si="9"/>
        <v>#VALUE!</v>
      </c>
      <c r="H313" s="3" t="e">
        <f t="shared" si="10"/>
        <v>#VALUE!</v>
      </c>
      <c r="I313" s="1">
        <v>1</v>
      </c>
    </row>
    <row r="314" spans="1:9" x14ac:dyDescent="0.25">
      <c r="A314" s="1" t="s">
        <v>14435</v>
      </c>
      <c r="B314" s="1" t="s">
        <v>907</v>
      </c>
      <c r="C314" s="1" t="str">
        <f>IFERROR(VLOOKUP(B314,'SB1'!$A$2:$B$999999,2,FALSE),"")</f>
        <v>CINTA DE PAPEL DOBLE A (988AA) 48MM</v>
      </c>
      <c r="D314" s="1" t="s">
        <v>14451</v>
      </c>
      <c r="E314" s="3">
        <f>IFERROR(VLOOKUP(B314,'DA1'!$B$2:$D$999999,3,FALSE),"")</f>
      </c>
      <c r="F314" s="1" t="str">
        <f>IFERROR(VLOOKUP(B314,'SB1'!$A$2:$C$999999,3,FALSE),"")</f>
        <v>503</v>
      </c>
      <c r="G314" s="3" t="e">
        <f t="shared" si="9"/>
        <v>#VALUE!</v>
      </c>
      <c r="H314" s="3" t="e">
        <f t="shared" si="10"/>
        <v>#VALUE!</v>
      </c>
      <c r="I314" s="1">
        <v>1</v>
      </c>
    </row>
    <row r="315" spans="1:9" x14ac:dyDescent="0.25">
      <c r="A315" s="1" t="s">
        <v>14435</v>
      </c>
      <c r="B315" s="1" t="s">
        <v>909</v>
      </c>
      <c r="C315" s="1" t="str">
        <f>IFERROR(VLOOKUP(B315,'SB1'!$A$2:$B$999999,2,FALSE),"")</f>
        <v>DISCO DE FIBRA DOBLE A 178X22HY-71 G.A. #60</v>
      </c>
      <c r="D315" s="1" t="s">
        <v>14451</v>
      </c>
      <c r="E315" s="3">
        <f>IFERROR(VLOOKUP(B315,'DA1'!$B$2:$D$999999,3,FALSE),"")</f>
      </c>
      <c r="F315" s="1" t="str">
        <f>IFERROR(VLOOKUP(B315,'SB1'!$A$2:$C$999999,3,FALSE),"")</f>
        <v>503</v>
      </c>
      <c r="G315" s="3" t="e">
        <f t="shared" si="9"/>
        <v>#VALUE!</v>
      </c>
      <c r="H315" s="3" t="e">
        <f t="shared" si="10"/>
        <v>#VALUE!</v>
      </c>
      <c r="I315" s="1">
        <v>1</v>
      </c>
    </row>
    <row r="316" spans="1:9" x14ac:dyDescent="0.25">
      <c r="A316" s="1" t="s">
        <v>14435</v>
      </c>
      <c r="B316" s="1" t="s">
        <v>911</v>
      </c>
      <c r="C316" s="1" t="str">
        <f>IFERROR(VLOOKUP(B316,'SB1'!$A$2:$B$999999,2,FALSE),"")</f>
        <v>ESPATULA PINTOR SANTA JUANA RECTIFICADA BI MATERIAL 30</v>
      </c>
      <c r="D316" s="1" t="s">
        <v>14448</v>
      </c>
      <c r="E316" s="3">
        <f>IFERROR(VLOOKUP(B316,'DA1'!$B$2:$D$999999,3,FALSE),"")</f>
      </c>
      <c r="F316" s="1" t="str">
        <f>IFERROR(VLOOKUP(B316,'SB1'!$A$2:$C$999999,3,FALSE),"")</f>
        <v>503</v>
      </c>
      <c r="G316" s="3" t="e">
        <f t="shared" si="9"/>
        <v>#VALUE!</v>
      </c>
      <c r="H316" s="3" t="e">
        <f t="shared" si="10"/>
        <v>#VALUE!</v>
      </c>
      <c r="I316" s="1">
        <v>1</v>
      </c>
    </row>
    <row r="317" spans="1:9" x14ac:dyDescent="0.25">
      <c r="A317" s="1" t="s">
        <v>14435</v>
      </c>
      <c r="B317" s="1" t="s">
        <v>913</v>
      </c>
      <c r="C317" s="1" t="str">
        <f>IFERROR(VLOOKUP(B317,'SB1'!$A$2:$B$999999,2,FALSE),"")</f>
        <v>ESPATULA PINTOR SANTA JUANA RECTIFICADA BI MATERIAL 40</v>
      </c>
      <c r="D317" s="1" t="s">
        <v>14448</v>
      </c>
      <c r="E317" s="3">
        <f>IFERROR(VLOOKUP(B317,'DA1'!$B$2:$D$999999,3,FALSE),"")</f>
      </c>
      <c r="F317" s="1" t="str">
        <f>IFERROR(VLOOKUP(B317,'SB1'!$A$2:$C$999999,3,FALSE),"")</f>
        <v>503</v>
      </c>
      <c r="G317" s="3" t="e">
        <f t="shared" si="9"/>
        <v>#VALUE!</v>
      </c>
      <c r="H317" s="3" t="e">
        <f t="shared" si="10"/>
        <v>#VALUE!</v>
      </c>
      <c r="I317" s="1">
        <v>1</v>
      </c>
    </row>
    <row r="318" spans="1:9" x14ac:dyDescent="0.25">
      <c r="A318" s="1" t="s">
        <v>14435</v>
      </c>
      <c r="B318" s="1" t="s">
        <v>915</v>
      </c>
      <c r="C318" s="1" t="str">
        <f>IFERROR(VLOOKUP(B318,'SB1'!$A$2:$B$999999,2,FALSE),"")</f>
        <v>ESPATULA PINTOR SANTA JUANA RECTIFICADA BI MATERIAL 50</v>
      </c>
      <c r="D318" s="1" t="s">
        <v>14448</v>
      </c>
      <c r="E318" s="3">
        <f>IFERROR(VLOOKUP(B318,'DA1'!$B$2:$D$999999,3,FALSE),"")</f>
      </c>
      <c r="F318" s="1" t="str">
        <f>IFERROR(VLOOKUP(B318,'SB1'!$A$2:$C$999999,3,FALSE),"")</f>
        <v>503</v>
      </c>
      <c r="G318" s="3" t="e">
        <f t="shared" si="9"/>
        <v>#VALUE!</v>
      </c>
      <c r="H318" s="3" t="e">
        <f t="shared" si="10"/>
        <v>#VALUE!</v>
      </c>
      <c r="I318" s="1">
        <v>1</v>
      </c>
    </row>
    <row r="319" spans="1:9" x14ac:dyDescent="0.25">
      <c r="A319" s="1" t="s">
        <v>14435</v>
      </c>
      <c r="B319" s="1" t="s">
        <v>917</v>
      </c>
      <c r="C319" s="1" t="str">
        <f>IFERROR(VLOOKUP(B319,'SB1'!$A$2:$B$999999,2,FALSE),"")</f>
        <v>ESPATULA PINTOR SANTA JUANA RECTIFICADA BI MATERIAL 60</v>
      </c>
      <c r="D319" s="1" t="s">
        <v>14448</v>
      </c>
      <c r="E319" s="3">
        <f>IFERROR(VLOOKUP(B319,'DA1'!$B$2:$D$999999,3,FALSE),"")</f>
      </c>
      <c r="F319" s="1" t="str">
        <f>IFERROR(VLOOKUP(B319,'SB1'!$A$2:$C$999999,3,FALSE),"")</f>
        <v>503</v>
      </c>
      <c r="G319" s="3" t="e">
        <f t="shared" si="9"/>
        <v>#VALUE!</v>
      </c>
      <c r="H319" s="3" t="e">
        <f t="shared" si="10"/>
        <v>#VALUE!</v>
      </c>
      <c r="I319" s="1">
        <v>1</v>
      </c>
    </row>
    <row r="320" spans="1:9" x14ac:dyDescent="0.25">
      <c r="A320" s="1" t="s">
        <v>14435</v>
      </c>
      <c r="B320" s="1" t="s">
        <v>919</v>
      </c>
      <c r="C320" s="1" t="str">
        <f>IFERROR(VLOOKUP(B320,'SB1'!$A$2:$B$999999,2,FALSE),"")</f>
        <v>ESPATULA PINTOR SANTA JUANA RECTIFICADA BI MATERIAL 70</v>
      </c>
      <c r="D320" s="1" t="s">
        <v>14448</v>
      </c>
      <c r="E320" s="3">
        <f>IFERROR(VLOOKUP(B320,'DA1'!$B$2:$D$999999,3,FALSE),"")</f>
      </c>
      <c r="F320" s="1" t="str">
        <f>IFERROR(VLOOKUP(B320,'SB1'!$A$2:$C$999999,3,FALSE),"")</f>
        <v>503</v>
      </c>
      <c r="G320" s="3" t="e">
        <f t="shared" si="9"/>
        <v>#VALUE!</v>
      </c>
      <c r="H320" s="3" t="e">
        <f t="shared" si="10"/>
        <v>#VALUE!</v>
      </c>
      <c r="I320" s="1">
        <v>1</v>
      </c>
    </row>
    <row r="321" spans="1:9" x14ac:dyDescent="0.25">
      <c r="A321" s="1" t="s">
        <v>14435</v>
      </c>
      <c r="B321" s="1" t="s">
        <v>921</v>
      </c>
      <c r="C321" s="1" t="str">
        <f>IFERROR(VLOOKUP(B321,'SB1'!$A$2:$B$999999,2,FALSE),"")</f>
        <v>ESPATULA PINTOR SANTA JUANA RECTIFICADA BI MATERIAL 80</v>
      </c>
      <c r="D321" s="1" t="s">
        <v>14448</v>
      </c>
      <c r="E321" s="3">
        <f>IFERROR(VLOOKUP(B321,'DA1'!$B$2:$D$999999,3,FALSE),"")</f>
      </c>
      <c r="F321" s="1" t="str">
        <f>IFERROR(VLOOKUP(B321,'SB1'!$A$2:$C$999999,3,FALSE),"")</f>
        <v>503</v>
      </c>
      <c r="G321" s="3" t="e">
        <f t="shared" si="9"/>
        <v>#VALUE!</v>
      </c>
      <c r="H321" s="3" t="e">
        <f t="shared" si="10"/>
        <v>#VALUE!</v>
      </c>
      <c r="I321" s="1">
        <v>1</v>
      </c>
    </row>
    <row r="322" spans="1:9" x14ac:dyDescent="0.25">
      <c r="A322" s="1" t="s">
        <v>14435</v>
      </c>
      <c r="B322" s="1" t="s">
        <v>923</v>
      </c>
      <c r="C322" s="1" t="str">
        <f>IFERROR(VLOOKUP(B322,'SB1'!$A$2:$B$999999,2,FALSE),"")</f>
        <v>DISCO DE FIBRA DOBLE A 178X22HY-71 G.A. #80</v>
      </c>
      <c r="D322" s="1" t="s">
        <v>14451</v>
      </c>
      <c r="E322" s="3">
        <f>IFERROR(VLOOKUP(B322,'DA1'!$B$2:$D$999999,3,FALSE),"")</f>
      </c>
      <c r="F322" s="1" t="str">
        <f>IFERROR(VLOOKUP(B322,'SB1'!$A$2:$C$999999,3,FALSE),"")</f>
        <v>503</v>
      </c>
      <c r="G322" s="3" t="e">
        <f t="shared" si="9"/>
        <v>#VALUE!</v>
      </c>
      <c r="H322" s="3" t="e">
        <f t="shared" si="10"/>
        <v>#VALUE!</v>
      </c>
      <c r="I322" s="1">
        <v>1</v>
      </c>
    </row>
    <row r="323" spans="1:9" x14ac:dyDescent="0.25">
      <c r="A323" s="1" t="s">
        <v>14435</v>
      </c>
      <c r="B323" s="1" t="s">
        <v>925</v>
      </c>
      <c r="C323" s="1" t="str">
        <f>IFERROR(VLOOKUP(B323,'SB1'!$A$2:$B$999999,2,FALSE),"")</f>
        <v>SILICONA FASTIX BLANCO X 100</v>
      </c>
      <c r="D323" s="1" t="s">
        <v>14459</v>
      </c>
      <c r="E323" s="3">
        <f>IFERROR(VLOOKUP(B323,'DA1'!$B$2:$D$999999,3,FALSE),"")</f>
      </c>
      <c r="F323" s="1" t="str">
        <f>IFERROR(VLOOKUP(B323,'SB1'!$A$2:$C$999999,3,FALSE),"")</f>
        <v>503</v>
      </c>
      <c r="G323" s="3" t="e">
        <f t="shared" ref="G323:G386" si="11">E323*1.04</f>
        <v>#VALUE!</v>
      </c>
      <c r="H323" s="3" t="e">
        <f t="shared" si="10"/>
        <v>#VALUE!</v>
      </c>
      <c r="I323" s="1">
        <v>1</v>
      </c>
    </row>
    <row r="324" spans="1:9" x14ac:dyDescent="0.25">
      <c r="A324" s="1" t="s">
        <v>14435</v>
      </c>
      <c r="B324" s="1" t="s">
        <v>927</v>
      </c>
      <c r="C324" s="1" t="str">
        <f>IFERROR(VLOOKUP(B324,'SB1'!$A$2:$B$999999,2,FALSE),"")</f>
        <v>SILICONA FASTIX NEGRO X 100</v>
      </c>
      <c r="D324" s="1" t="s">
        <v>14459</v>
      </c>
      <c r="E324" s="3">
        <f>IFERROR(VLOOKUP(B324,'DA1'!$B$2:$D$999999,3,FALSE),"")</f>
      </c>
      <c r="F324" s="1" t="str">
        <f>IFERROR(VLOOKUP(B324,'SB1'!$A$2:$C$999999,3,FALSE),"")</f>
        <v>503</v>
      </c>
      <c r="G324" s="3" t="e">
        <f t="shared" si="11"/>
        <v>#VALUE!</v>
      </c>
      <c r="H324" s="3" t="e">
        <f t="shared" si="10"/>
        <v>#VALUE!</v>
      </c>
      <c r="I324" s="1">
        <v>1</v>
      </c>
    </row>
    <row r="325" spans="1:9" x14ac:dyDescent="0.25">
      <c r="A325" s="1" t="s">
        <v>14435</v>
      </c>
      <c r="B325" s="1" t="s">
        <v>929</v>
      </c>
      <c r="C325" s="1" t="str">
        <f>IFERROR(VLOOKUP(B325,'SB1'!$A$2:$B$999999,2,FALSE),"")</f>
        <v>IMPERMEABILIZANTE PARA FRENTES Y MUROS ALBAFRENT MATE BLANCO X  4</v>
      </c>
      <c r="D325" s="1" t="s">
        <v>14441</v>
      </c>
      <c r="E325" s="3">
        <f>IFERROR(VLOOKUP(B325,'DA1'!$B$2:$D$999999,3,FALSE),"")</f>
      </c>
      <c r="F325" s="1" t="str">
        <f>IFERROR(VLOOKUP(B325,'SB1'!$A$2:$C$999999,3,FALSE),"")</f>
        <v>503</v>
      </c>
      <c r="G325" s="3" t="e">
        <f t="shared" si="11"/>
        <v>#VALUE!</v>
      </c>
      <c r="H325" s="3" t="e">
        <f t="shared" si="10"/>
        <v>#VALUE!</v>
      </c>
      <c r="I325" s="1">
        <v>1</v>
      </c>
    </row>
    <row r="326" spans="1:9" x14ac:dyDescent="0.25">
      <c r="A326" s="1" t="s">
        <v>14435</v>
      </c>
      <c r="B326" s="1" t="s">
        <v>931</v>
      </c>
      <c r="C326" s="1" t="str">
        <f>IFERROR(VLOOKUP(B326,'SB1'!$A$2:$B$999999,2,FALSE),"")</f>
        <v>IMPERMEABILIZANTE PARA FRENTES Y MUROS ALBAFRENT MATE BLANCO X 20</v>
      </c>
      <c r="D326" s="1" t="s">
        <v>14441</v>
      </c>
      <c r="E326" s="3">
        <f>IFERROR(VLOOKUP(B326,'DA1'!$B$2:$D$999999,3,FALSE),"")</f>
      </c>
      <c r="F326" s="1" t="str">
        <f>IFERROR(VLOOKUP(B326,'SB1'!$A$2:$C$999999,3,FALSE),"")</f>
        <v>503</v>
      </c>
      <c r="G326" s="3" t="e">
        <f t="shared" si="11"/>
        <v>#VALUE!</v>
      </c>
      <c r="H326" s="3" t="e">
        <f t="shared" si="10"/>
        <v>#VALUE!</v>
      </c>
      <c r="I326" s="1">
        <v>1</v>
      </c>
    </row>
    <row r="327" spans="1:9" x14ac:dyDescent="0.25">
      <c r="A327" s="1" t="s">
        <v>14435</v>
      </c>
      <c r="B327" s="1" t="s">
        <v>933</v>
      </c>
      <c r="C327" s="1" t="str">
        <f>IFERROR(VLOOKUP(B327,'SB1'!$A$2:$B$999999,2,FALSE),"")</f>
        <v>DISCO DE FIBRA DOBLE A 178X22HY-71 G.A.#100</v>
      </c>
      <c r="D327" s="1" t="s">
        <v>14451</v>
      </c>
      <c r="E327" s="3">
        <f>IFERROR(VLOOKUP(B327,'DA1'!$B$2:$D$999999,3,FALSE),"")</f>
      </c>
      <c r="F327" s="1" t="str">
        <f>IFERROR(VLOOKUP(B327,'SB1'!$A$2:$C$999999,3,FALSE),"")</f>
        <v>503</v>
      </c>
      <c r="G327" s="3" t="e">
        <f t="shared" si="11"/>
        <v>#VALUE!</v>
      </c>
      <c r="H327" s="3" t="e">
        <f t="shared" si="10"/>
        <v>#VALUE!</v>
      </c>
      <c r="I327" s="1">
        <v>1</v>
      </c>
    </row>
    <row r="328" spans="1:9" x14ac:dyDescent="0.25">
      <c r="A328" s="1" t="s">
        <v>14435</v>
      </c>
      <c r="B328" s="1" t="s">
        <v>935</v>
      </c>
      <c r="C328" s="1" t="str">
        <f>IFERROR(VLOOKUP(B328,'SB1'!$A$2:$B$999999,2,FALSE),"")</f>
        <v>MASILLA UNIVERSAL MMB X 0,340</v>
      </c>
      <c r="D328" s="1" t="s">
        <v>14444</v>
      </c>
      <c r="E328" s="3">
        <f>IFERROR(VLOOKUP(B328,'DA1'!$B$2:$D$999999,3,FALSE),"")</f>
      </c>
      <c r="F328" s="1" t="str">
        <f>IFERROR(VLOOKUP(B328,'SB1'!$A$2:$C$999999,3,FALSE),"")</f>
        <v>503</v>
      </c>
      <c r="G328" s="3" t="e">
        <f t="shared" si="11"/>
        <v>#VALUE!</v>
      </c>
      <c r="H328" s="3" t="e">
        <f t="shared" si="10"/>
        <v>#VALUE!</v>
      </c>
      <c r="I328" s="1">
        <v>1</v>
      </c>
    </row>
    <row r="329" spans="1:9" x14ac:dyDescent="0.25">
      <c r="A329" s="1" t="s">
        <v>14435</v>
      </c>
      <c r="B329" s="1" t="s">
        <v>937</v>
      </c>
      <c r="C329" s="1" t="str">
        <f>IFERROR(VLOOKUP(B329,'SB1'!$A$2:$B$999999,2,FALSE),"")</f>
        <v>ESPATULA PINTOR SANTA JUANA RECTIFICADA BI MATERIAL INOXIDABLE 150</v>
      </c>
      <c r="D329" s="1" t="s">
        <v>14448</v>
      </c>
      <c r="E329" s="3">
        <f>IFERROR(VLOOKUP(B329,'DA1'!$B$2:$D$999999,3,FALSE),"")</f>
      </c>
      <c r="F329" s="1" t="str">
        <f>IFERROR(VLOOKUP(B329,'SB1'!$A$2:$C$999999,3,FALSE),"")</f>
        <v>503</v>
      </c>
      <c r="G329" s="3" t="e">
        <f t="shared" si="11"/>
        <v>#VALUE!</v>
      </c>
      <c r="H329" s="3" t="e">
        <f t="shared" si="10"/>
        <v>#VALUE!</v>
      </c>
      <c r="I329" s="1">
        <v>1</v>
      </c>
    </row>
    <row r="330" spans="1:9" x14ac:dyDescent="0.25">
      <c r="A330" s="1" t="s">
        <v>14435</v>
      </c>
      <c r="B330" s="1" t="s">
        <v>939</v>
      </c>
      <c r="C330" s="1" t="str">
        <f>IFERROR(VLOOKUP(B330,'SB1'!$A$2:$B$999999,2,FALSE),"")</f>
        <v>LAMINA PARA MASILLAR  6 X 10</v>
      </c>
      <c r="D330" s="1" t="s">
        <v>14469</v>
      </c>
      <c r="E330" s="3">
        <f>IFERROR(VLOOKUP(B330,'DA1'!$B$2:$D$999999,3,FALSE),"")</f>
      </c>
      <c r="F330" s="1" t="str">
        <f>IFERROR(VLOOKUP(B330,'SB1'!$A$2:$C$999999,3,FALSE),"")</f>
        <v>503</v>
      </c>
      <c r="G330" s="3" t="e">
        <f t="shared" si="11"/>
        <v>#VALUE!</v>
      </c>
      <c r="H330" s="3" t="e">
        <f t="shared" si="10"/>
        <v>#VALUE!</v>
      </c>
      <c r="I330" s="1">
        <v>1</v>
      </c>
    </row>
    <row r="331" spans="1:9" x14ac:dyDescent="0.25">
      <c r="A331" s="1" t="s">
        <v>14435</v>
      </c>
      <c r="B331" s="1" t="s">
        <v>943</v>
      </c>
      <c r="C331" s="1" t="str">
        <f>IFERROR(VLOOKUP(B331,'SB1'!$A$2:$B$999999,2,FALSE),"")</f>
        <v>LAMINA PARA MASILLAR 10 X 12</v>
      </c>
      <c r="D331" s="1" t="s">
        <v>14469</v>
      </c>
      <c r="E331" s="3">
        <f>IFERROR(VLOOKUP(B331,'DA1'!$B$2:$D$999999,3,FALSE),"")</f>
      </c>
      <c r="F331" s="1" t="str">
        <f>IFERROR(VLOOKUP(B331,'SB1'!$A$2:$C$999999,3,FALSE),"")</f>
        <v>503</v>
      </c>
      <c r="G331" s="3" t="e">
        <f t="shared" si="11"/>
        <v>#VALUE!</v>
      </c>
      <c r="H331" s="3" t="e">
        <f t="shared" si="10"/>
        <v>#VALUE!</v>
      </c>
      <c r="I331" s="1">
        <v>1</v>
      </c>
    </row>
    <row r="332" spans="1:9" x14ac:dyDescent="0.25">
      <c r="A332" s="1" t="s">
        <v>14435</v>
      </c>
      <c r="B332" s="1" t="s">
        <v>945</v>
      </c>
      <c r="C332" s="1" t="str">
        <f>IFERROR(VLOOKUP(B332,'SB1'!$A$2:$B$999999,2,FALSE),"")</f>
        <v>ESMALTE SINTETICO PLAVICON 3EN1 BRILLANTE MARFIL CHAMPAGNE X  4</v>
      </c>
      <c r="D332" s="1" t="s">
        <v>14439</v>
      </c>
      <c r="E332" s="3">
        <f>IFERROR(VLOOKUP(B332,'DA1'!$B$2:$D$999999,3,FALSE),"")</f>
      </c>
      <c r="F332" s="1" t="str">
        <f>IFERROR(VLOOKUP(B332,'SB1'!$A$2:$C$999999,3,FALSE),"")</f>
        <v>503</v>
      </c>
      <c r="G332" s="3" t="e">
        <f t="shared" si="11"/>
        <v>#VALUE!</v>
      </c>
      <c r="H332" s="3" t="e">
        <f t="shared" si="10"/>
        <v>#VALUE!</v>
      </c>
      <c r="I332" s="1">
        <v>1</v>
      </c>
    </row>
    <row r="333" spans="1:9" x14ac:dyDescent="0.25">
      <c r="A333" s="1" t="s">
        <v>14435</v>
      </c>
      <c r="B333" s="1" t="s">
        <v>947</v>
      </c>
      <c r="C333" s="1" t="str">
        <f>IFERROR(VLOOKUP(B333,'SB1'!$A$2:$B$999999,2,FALSE),"")</f>
        <v>IMPREGNANTE PARA PISO CETOL DECK NATURAL X 1</v>
      </c>
      <c r="D333" s="1" t="s">
        <v>14445</v>
      </c>
      <c r="E333" s="3">
        <f>IFERROR(VLOOKUP(B333,'DA1'!$B$2:$D$999999,3,FALSE),"")</f>
      </c>
      <c r="F333" s="1" t="str">
        <f>IFERROR(VLOOKUP(B333,'SB1'!$A$2:$C$999999,3,FALSE),"")</f>
        <v>503</v>
      </c>
      <c r="G333" s="3" t="e">
        <f t="shared" si="11"/>
        <v>#VALUE!</v>
      </c>
      <c r="H333" s="3" t="e">
        <f t="shared" si="10"/>
        <v>#VALUE!</v>
      </c>
      <c r="I333" s="1">
        <v>1</v>
      </c>
    </row>
    <row r="334" spans="1:9" x14ac:dyDescent="0.25">
      <c r="A334" s="1" t="s">
        <v>14435</v>
      </c>
      <c r="B334" s="1" t="s">
        <v>949</v>
      </c>
      <c r="C334" s="1" t="str">
        <f>IFERROR(VLOOKUP(B334,'SB1'!$A$2:$B$999999,2,FALSE),"")</f>
        <v>IMPREGNANTE PARA PISO CETOL DECK NATURAL X 4</v>
      </c>
      <c r="D334" s="1" t="s">
        <v>14445</v>
      </c>
      <c r="E334" s="3">
        <f>IFERROR(VLOOKUP(B334,'DA1'!$B$2:$D$999999,3,FALSE),"")</f>
      </c>
      <c r="F334" s="1" t="str">
        <f>IFERROR(VLOOKUP(B334,'SB1'!$A$2:$C$999999,3,FALSE),"")</f>
        <v>503</v>
      </c>
      <c r="G334" s="3" t="e">
        <f t="shared" si="11"/>
        <v>#VALUE!</v>
      </c>
      <c r="H334" s="3" t="e">
        <f t="shared" si="10"/>
        <v>#VALUE!</v>
      </c>
      <c r="I334" s="1">
        <v>1</v>
      </c>
    </row>
    <row r="335" spans="1:9" x14ac:dyDescent="0.25">
      <c r="A335" s="1" t="s">
        <v>14435</v>
      </c>
      <c r="B335" s="1" t="s">
        <v>951</v>
      </c>
      <c r="C335" s="1" t="str">
        <f>IFERROR(VLOOKUP(B335,'SB1'!$A$2:$B$999999,2,FALSE),"")</f>
        <v>ESPATULA PINTOR SANTA JUANA RECTIFICADA BI MATERIAL 90</v>
      </c>
      <c r="D335" s="1" t="s">
        <v>14448</v>
      </c>
      <c r="E335" s="3">
        <f>IFERROR(VLOOKUP(B335,'DA1'!$B$2:$D$999999,3,FALSE),"")</f>
      </c>
      <c r="F335" s="1" t="str">
        <f>IFERROR(VLOOKUP(B335,'SB1'!$A$2:$C$999999,3,FALSE),"")</f>
        <v>503</v>
      </c>
      <c r="G335" s="3" t="e">
        <f t="shared" si="11"/>
        <v>#VALUE!</v>
      </c>
      <c r="H335" s="3" t="e">
        <f t="shared" si="10"/>
        <v>#VALUE!</v>
      </c>
      <c r="I335" s="1">
        <v>1</v>
      </c>
    </row>
    <row r="336" spans="1:9" x14ac:dyDescent="0.25">
      <c r="A336" s="1" t="s">
        <v>14435</v>
      </c>
      <c r="B336" s="1" t="s">
        <v>957</v>
      </c>
      <c r="C336" s="1" t="str">
        <f>IFERROR(VLOOKUP(B336,'SB1'!$A$2:$B$999999,2,FALSE),"")</f>
        <v>ESMALTE SINTETICO PLAVICON 3EN1 BRILLANTE CREMA X  0,500</v>
      </c>
      <c r="D336" s="1" t="s">
        <v>14439</v>
      </c>
      <c r="E336" s="3">
        <f>IFERROR(VLOOKUP(B336,'DA1'!$B$2:$D$999999,3,FALSE),"")</f>
      </c>
      <c r="F336" s="1" t="str">
        <f>IFERROR(VLOOKUP(B336,'SB1'!$A$2:$C$999999,3,FALSE),"")</f>
        <v>503</v>
      </c>
      <c r="G336" s="3" t="e">
        <f t="shared" si="11"/>
        <v>#VALUE!</v>
      </c>
      <c r="H336" s="3" t="e">
        <f t="shared" si="10"/>
        <v>#VALUE!</v>
      </c>
      <c r="I336" s="1">
        <v>1</v>
      </c>
    </row>
    <row r="337" spans="1:9" x14ac:dyDescent="0.25">
      <c r="A337" s="1" t="s">
        <v>14435</v>
      </c>
      <c r="B337" s="1" t="s">
        <v>959</v>
      </c>
      <c r="C337" s="1" t="str">
        <f>IFERROR(VLOOKUP(B337,'SB1'!$A$2:$B$999999,2,FALSE),"")</f>
        <v>ESMALTE SINTETICO PLAVICON 3EN1 BRILLANTE CREMA X  1</v>
      </c>
      <c r="D337" s="1" t="s">
        <v>14439</v>
      </c>
      <c r="E337" s="3">
        <f>IFERROR(VLOOKUP(B337,'DA1'!$B$2:$D$999999,3,FALSE),"")</f>
      </c>
      <c r="F337" s="1" t="str">
        <f>IFERROR(VLOOKUP(B337,'SB1'!$A$2:$C$999999,3,FALSE),"")</f>
        <v>503</v>
      </c>
      <c r="G337" s="3" t="e">
        <f t="shared" si="11"/>
        <v>#VALUE!</v>
      </c>
      <c r="H337" s="3" t="e">
        <f t="shared" si="10"/>
        <v>#VALUE!</v>
      </c>
      <c r="I337" s="1">
        <v>1</v>
      </c>
    </row>
    <row r="338" spans="1:9" x14ac:dyDescent="0.25">
      <c r="A338" s="1" t="s">
        <v>14435</v>
      </c>
      <c r="B338" s="1" t="s">
        <v>961</v>
      </c>
      <c r="C338" s="1" t="str">
        <f>IFERROR(VLOOKUP(B338,'SB1'!$A$2:$B$999999,2,FALSE),"")</f>
        <v>ESMALTE SINTETICO PLAVICON 3EN1 BRILLANTE CREMA X  4</v>
      </c>
      <c r="D338" s="1" t="s">
        <v>14439</v>
      </c>
      <c r="E338" s="3">
        <f>IFERROR(VLOOKUP(B338,'DA1'!$B$2:$D$999999,3,FALSE),"")</f>
      </c>
      <c r="F338" s="1" t="str">
        <f>IFERROR(VLOOKUP(B338,'SB1'!$A$2:$C$999999,3,FALSE),"")</f>
        <v>503</v>
      </c>
      <c r="G338" s="3" t="e">
        <f t="shared" si="11"/>
        <v>#VALUE!</v>
      </c>
      <c r="H338" s="3" t="e">
        <f t="shared" si="10"/>
        <v>#VALUE!</v>
      </c>
      <c r="I338" s="1">
        <v>1</v>
      </c>
    </row>
    <row r="339" spans="1:9" x14ac:dyDescent="0.25">
      <c r="A339" s="1" t="s">
        <v>14435</v>
      </c>
      <c r="B339" s="1" t="s">
        <v>967</v>
      </c>
      <c r="C339" s="1" t="str">
        <f>IFERROR(VLOOKUP(B339,'SB1'!$A$2:$B$999999,2,FALSE),"")</f>
        <v>PINTURA PARA PILETA RESOL CRISTAFLEX CELESTE X 20</v>
      </c>
      <c r="D339" s="1" t="s">
        <v>14470</v>
      </c>
      <c r="E339" s="3">
        <f>IFERROR(VLOOKUP(B339,'DA1'!$B$2:$D$999999,3,FALSE),"")</f>
      </c>
      <c r="F339" s="1" t="str">
        <f>IFERROR(VLOOKUP(B339,'SB1'!$A$2:$C$999999,3,FALSE),"")</f>
        <v>503</v>
      </c>
      <c r="G339" s="3" t="e">
        <f t="shared" si="11"/>
        <v>#VALUE!</v>
      </c>
      <c r="H339" s="3" t="e">
        <f t="shared" si="10"/>
        <v>#VALUE!</v>
      </c>
      <c r="I339" s="1">
        <v>1</v>
      </c>
    </row>
    <row r="340" spans="1:9" x14ac:dyDescent="0.25">
      <c r="A340" s="1" t="s">
        <v>14435</v>
      </c>
      <c r="B340" s="1" t="s">
        <v>973</v>
      </c>
      <c r="C340" s="1" t="str">
        <f>IFERROR(VLOOKUP(B340,'SB1'!$A$2:$B$999999,2,FALSE),"")</f>
        <v>RODILLO LUMAR LATEX SATINADO PELO MEDIO 17(920B)</v>
      </c>
      <c r="D340" s="1" t="s">
        <v>14467</v>
      </c>
      <c r="E340" s="3">
        <f>IFERROR(VLOOKUP(B340,'DA1'!$B$2:$D$999999,3,FALSE),"")</f>
      </c>
      <c r="F340" s="1" t="str">
        <f>IFERROR(VLOOKUP(B340,'SB1'!$A$2:$C$999999,3,FALSE),"")</f>
        <v>503</v>
      </c>
      <c r="G340" s="3" t="e">
        <f t="shared" si="11"/>
        <v>#VALUE!</v>
      </c>
      <c r="H340" s="3" t="e">
        <f t="shared" si="10"/>
        <v>#VALUE!</v>
      </c>
      <c r="I340" s="1">
        <v>1</v>
      </c>
    </row>
    <row r="341" spans="1:9" x14ac:dyDescent="0.25">
      <c r="A341" s="1" t="s">
        <v>14435</v>
      </c>
      <c r="B341" s="1" t="s">
        <v>975</v>
      </c>
      <c r="C341" s="1" t="str">
        <f>IFERROR(VLOOKUP(B341,'SB1'!$A$2:$B$999999,2,FALSE),"")</f>
        <v>RODILLO LUMAR LATEX SATINADO PELO MEDIO 22(920C)</v>
      </c>
      <c r="D341" s="1" t="s">
        <v>14467</v>
      </c>
      <c r="E341" s="3">
        <f>IFERROR(VLOOKUP(B341,'DA1'!$B$2:$D$999999,3,FALSE),"")</f>
      </c>
      <c r="F341" s="1" t="str">
        <f>IFERROR(VLOOKUP(B341,'SB1'!$A$2:$C$999999,3,FALSE),"")</f>
        <v>503</v>
      </c>
      <c r="G341" s="3" t="e">
        <f t="shared" si="11"/>
        <v>#VALUE!</v>
      </c>
      <c r="H341" s="3" t="e">
        <f t="shared" si="10"/>
        <v>#VALUE!</v>
      </c>
      <c r="I341" s="1">
        <v>1</v>
      </c>
    </row>
    <row r="342" spans="1:9" x14ac:dyDescent="0.25">
      <c r="A342" s="1" t="s">
        <v>14435</v>
      </c>
      <c r="B342" s="1" t="s">
        <v>977</v>
      </c>
      <c r="C342" s="1" t="str">
        <f>IFERROR(VLOOKUP(B342,'SB1'!$A$2:$B$999999,2,FALSE),"")</f>
        <v>ESMALTE SINTETICO PLAVICON 3EN1 BRILLANTE GRIS PERLA  X  0,250</v>
      </c>
      <c r="D342" s="1" t="s">
        <v>14439</v>
      </c>
      <c r="E342" s="3">
        <f>IFERROR(VLOOKUP(B342,'DA1'!$B$2:$D$999999,3,FALSE),"")</f>
      </c>
      <c r="F342" s="1" t="str">
        <f>IFERROR(VLOOKUP(B342,'SB1'!$A$2:$C$999999,3,FALSE),"")</f>
        <v>503</v>
      </c>
      <c r="G342" s="3" t="e">
        <f t="shared" si="11"/>
        <v>#VALUE!</v>
      </c>
      <c r="H342" s="3" t="e">
        <f t="shared" si="10"/>
        <v>#VALUE!</v>
      </c>
      <c r="I342" s="1">
        <v>1</v>
      </c>
    </row>
    <row r="343" spans="1:9" x14ac:dyDescent="0.25">
      <c r="A343" s="1" t="s">
        <v>14435</v>
      </c>
      <c r="B343" s="1" t="s">
        <v>979</v>
      </c>
      <c r="C343" s="1" t="str">
        <f>IFERROR(VLOOKUP(B343,'SB1'!$A$2:$B$999999,2,FALSE),"")</f>
        <v>ESMALTE SINTETICO PLAVICON 3EN1 BRILLANTE GRIS PERLA X  0,500</v>
      </c>
      <c r="D343" s="1" t="s">
        <v>14458</v>
      </c>
      <c r="E343" s="3">
        <f>IFERROR(VLOOKUP(B343,'DA1'!$B$2:$D$999999,3,FALSE),"")</f>
      </c>
      <c r="F343" s="1" t="str">
        <f>IFERROR(VLOOKUP(B343,'SB1'!$A$2:$C$999999,3,FALSE),"")</f>
        <v>503</v>
      </c>
      <c r="G343" s="3" t="e">
        <f t="shared" si="11"/>
        <v>#VALUE!</v>
      </c>
      <c r="H343" s="3" t="e">
        <f t="shared" si="10"/>
        <v>#VALUE!</v>
      </c>
      <c r="I343" s="1">
        <v>1</v>
      </c>
    </row>
    <row r="344" spans="1:9" x14ac:dyDescent="0.25">
      <c r="A344" s="1" t="s">
        <v>14435</v>
      </c>
      <c r="B344" s="1" t="s">
        <v>981</v>
      </c>
      <c r="C344" s="1" t="str">
        <f>IFERROR(VLOOKUP(B344,'SB1'!$A$2:$B$999999,2,FALSE),"")</f>
        <v>HOJA DE APOYO SIN FIN 7</v>
      </c>
      <c r="D344" s="1" t="s">
        <v>14471</v>
      </c>
      <c r="E344" s="3">
        <f>IFERROR(VLOOKUP(B344,'DA1'!$B$2:$D$999999,3,FALSE),"")</f>
      </c>
      <c r="F344" s="1" t="str">
        <f>IFERROR(VLOOKUP(B344,'SB1'!$A$2:$C$999999,3,FALSE),"")</f>
        <v>503</v>
      </c>
      <c r="G344" s="3" t="e">
        <f t="shared" si="11"/>
        <v>#VALUE!</v>
      </c>
      <c r="H344" s="3" t="e">
        <f t="shared" ref="H344:H407" si="12">G344*1.21</f>
        <v>#VALUE!</v>
      </c>
      <c r="I344" s="1">
        <v>1</v>
      </c>
    </row>
    <row r="345" spans="1:9" x14ac:dyDescent="0.25">
      <c r="A345" s="1" t="s">
        <v>14435</v>
      </c>
      <c r="B345" s="1" t="s">
        <v>983</v>
      </c>
      <c r="C345" s="1" t="str">
        <f>IFERROR(VLOOKUP(B345,'SB1'!$A$2:$B$999999,2,FALSE),"")</f>
        <v>HOJA DE APOYO SIN FIN 8</v>
      </c>
      <c r="D345" s="1" t="s">
        <v>14471</v>
      </c>
      <c r="E345" s="3">
        <f>IFERROR(VLOOKUP(B345,'DA1'!$B$2:$D$999999,3,FALSE),"")</f>
      </c>
      <c r="F345" s="1" t="str">
        <f>IFERROR(VLOOKUP(B345,'SB1'!$A$2:$C$999999,3,FALSE),"")</f>
        <v>503</v>
      </c>
      <c r="G345" s="3" t="e">
        <f t="shared" si="11"/>
        <v>#VALUE!</v>
      </c>
      <c r="H345" s="3" t="e">
        <f t="shared" si="12"/>
        <v>#VALUE!</v>
      </c>
      <c r="I345" s="1">
        <v>1</v>
      </c>
    </row>
    <row r="346" spans="1:9" x14ac:dyDescent="0.25">
      <c r="A346" s="1" t="s">
        <v>14435</v>
      </c>
      <c r="B346" s="1" t="s">
        <v>985</v>
      </c>
      <c r="C346" s="1" t="str">
        <f>IFERROR(VLOOKUP(B346,'SB1'!$A$2:$B$999999,2,FALSE),"")</f>
        <v>HOJA DE APOYO SIN FIN 9</v>
      </c>
      <c r="D346" s="1" t="s">
        <v>14471</v>
      </c>
      <c r="E346" s="3">
        <f>IFERROR(VLOOKUP(B346,'DA1'!$B$2:$D$999999,3,FALSE),"")</f>
      </c>
      <c r="F346" s="1" t="str">
        <f>IFERROR(VLOOKUP(B346,'SB1'!$A$2:$C$999999,3,FALSE),"")</f>
        <v>503</v>
      </c>
      <c r="G346" s="3" t="e">
        <f t="shared" si="11"/>
        <v>#VALUE!</v>
      </c>
      <c r="H346" s="3" t="e">
        <f t="shared" si="12"/>
        <v>#VALUE!</v>
      </c>
      <c r="I346" s="1">
        <v>1</v>
      </c>
    </row>
    <row r="347" spans="1:9" x14ac:dyDescent="0.25">
      <c r="A347" s="1" t="s">
        <v>14435</v>
      </c>
      <c r="B347" s="1" t="s">
        <v>987</v>
      </c>
      <c r="C347" s="1" t="str">
        <f>IFERROR(VLOOKUP(B347,'SB1'!$A$2:$B$999999,2,FALSE),"")</f>
        <v>HOJA DE APOYO SIN FIN 10</v>
      </c>
      <c r="D347" s="1" t="s">
        <v>14471</v>
      </c>
      <c r="E347" s="3">
        <f>IFERROR(VLOOKUP(B347,'DA1'!$B$2:$D$999999,3,FALSE),"")</f>
      </c>
      <c r="F347" s="1" t="str">
        <f>IFERROR(VLOOKUP(B347,'SB1'!$A$2:$C$999999,3,FALSE),"")</f>
        <v>503</v>
      </c>
      <c r="G347" s="3" t="e">
        <f t="shared" si="11"/>
        <v>#VALUE!</v>
      </c>
      <c r="H347" s="3" t="e">
        <f t="shared" si="12"/>
        <v>#VALUE!</v>
      </c>
      <c r="I347" s="1">
        <v>1</v>
      </c>
    </row>
    <row r="348" spans="1:9" x14ac:dyDescent="0.25">
      <c r="A348" s="1" t="s">
        <v>14435</v>
      </c>
      <c r="B348" s="1" t="s">
        <v>989</v>
      </c>
      <c r="C348" s="1" t="str">
        <f>IFERROR(VLOOKUP(B348,'SB1'!$A$2:$B$999999,2,FALSE),"")</f>
        <v>HOJA DE APOYO SIN FIN 11</v>
      </c>
      <c r="D348" s="1" t="s">
        <v>14471</v>
      </c>
      <c r="E348" s="3">
        <f>IFERROR(VLOOKUP(B348,'DA1'!$B$2:$D$999999,3,FALSE),"")</f>
      </c>
      <c r="F348" s="1" t="str">
        <f>IFERROR(VLOOKUP(B348,'SB1'!$A$2:$C$999999,3,FALSE),"")</f>
        <v>503</v>
      </c>
      <c r="G348" s="3" t="e">
        <f t="shared" si="11"/>
        <v>#VALUE!</v>
      </c>
      <c r="H348" s="3" t="e">
        <f t="shared" si="12"/>
        <v>#VALUE!</v>
      </c>
      <c r="I348" s="1">
        <v>1</v>
      </c>
    </row>
    <row r="349" spans="1:9" x14ac:dyDescent="0.25">
      <c r="A349" s="1" t="s">
        <v>14435</v>
      </c>
      <c r="B349" s="1" t="s">
        <v>991</v>
      </c>
      <c r="C349" s="1" t="str">
        <f>IFERROR(VLOOKUP(B349,'SB1'!$A$2:$B$999999,2,FALSE),"")</f>
        <v>HOJA DE APOYO SIN FIN 12</v>
      </c>
      <c r="D349" s="1" t="s">
        <v>14471</v>
      </c>
      <c r="E349" s="3">
        <f>IFERROR(VLOOKUP(B349,'DA1'!$B$2:$D$999999,3,FALSE),"")</f>
      </c>
      <c r="F349" s="1" t="str">
        <f>IFERROR(VLOOKUP(B349,'SB1'!$A$2:$C$999999,3,FALSE),"")</f>
        <v>503</v>
      </c>
      <c r="G349" s="3" t="e">
        <f t="shared" si="11"/>
        <v>#VALUE!</v>
      </c>
      <c r="H349" s="3" t="e">
        <f t="shared" si="12"/>
        <v>#VALUE!</v>
      </c>
      <c r="I349" s="1">
        <v>1</v>
      </c>
    </row>
    <row r="350" spans="1:9" x14ac:dyDescent="0.25">
      <c r="A350" s="1" t="s">
        <v>14435</v>
      </c>
      <c r="B350" s="1" t="s">
        <v>993</v>
      </c>
      <c r="C350" s="1" t="str">
        <f>IFERROR(VLOOKUP(B350,'SB1'!$A$2:$B$999999,2,FALSE),"")</f>
        <v>ESMALTE SINTETICO PLAVICON 3EN1 BRILLANTE GRIS PERLA X  1</v>
      </c>
      <c r="D350" s="1" t="s">
        <v>14458</v>
      </c>
      <c r="E350" s="3">
        <f>IFERROR(VLOOKUP(B350,'DA1'!$B$2:$D$999999,3,FALSE),"")</f>
      </c>
      <c r="F350" s="1" t="str">
        <f>IFERROR(VLOOKUP(B350,'SB1'!$A$2:$C$999999,3,FALSE),"")</f>
        <v>503</v>
      </c>
      <c r="G350" s="3" t="e">
        <f t="shared" si="11"/>
        <v>#VALUE!</v>
      </c>
      <c r="H350" s="3" t="e">
        <f t="shared" si="12"/>
        <v>#VALUE!</v>
      </c>
      <c r="I350" s="1">
        <v>1</v>
      </c>
    </row>
    <row r="351" spans="1:9" x14ac:dyDescent="0.25">
      <c r="A351" s="1" t="s">
        <v>14435</v>
      </c>
      <c r="B351" s="1" t="s">
        <v>995</v>
      </c>
      <c r="C351" s="1" t="str">
        <f>IFERROR(VLOOKUP(B351,'SB1'!$A$2:$B$999999,2,FALSE),"")</f>
        <v>ESMALTE SINTETICO PLAVICON 3EN1 BRILLANTE GRIS PERLA X  4</v>
      </c>
      <c r="D351" s="1" t="s">
        <v>14458</v>
      </c>
      <c r="E351" s="3">
        <f>IFERROR(VLOOKUP(B351,'DA1'!$B$2:$D$999999,3,FALSE),"")</f>
      </c>
      <c r="F351" s="1" t="str">
        <f>IFERROR(VLOOKUP(B351,'SB1'!$A$2:$C$999999,3,FALSE),"")</f>
        <v>503</v>
      </c>
      <c r="G351" s="3" t="e">
        <f t="shared" si="11"/>
        <v>#VALUE!</v>
      </c>
      <c r="H351" s="3" t="e">
        <f t="shared" si="12"/>
        <v>#VALUE!</v>
      </c>
      <c r="I351" s="1">
        <v>1</v>
      </c>
    </row>
    <row r="352" spans="1:9" x14ac:dyDescent="0.25">
      <c r="A352" s="1" t="s">
        <v>14435</v>
      </c>
      <c r="B352" s="1" t="s">
        <v>997</v>
      </c>
      <c r="C352" s="1" t="str">
        <f>IFERROR(VLOOKUP(B352,'SB1'!$A$2:$B$999999,2,FALSE),"")</f>
        <v>MEZCLA ADHESIVA PLASTICA POXIMIX INTERIOR X 5,000 (129)</v>
      </c>
      <c r="D352" s="1" t="s">
        <v>14459</v>
      </c>
      <c r="E352" s="3">
        <f>IFERROR(VLOOKUP(B352,'DA1'!$B$2:$D$999999,3,FALSE),"")</f>
      </c>
      <c r="F352" s="1" t="str">
        <f>IFERROR(VLOOKUP(B352,'SB1'!$A$2:$C$999999,3,FALSE),"")</f>
        <v>503</v>
      </c>
      <c r="G352" s="3" t="e">
        <f t="shared" si="11"/>
        <v>#VALUE!</v>
      </c>
      <c r="H352" s="3" t="e">
        <f t="shared" si="12"/>
        <v>#VALUE!</v>
      </c>
      <c r="I352" s="1">
        <v>1</v>
      </c>
    </row>
    <row r="353" spans="1:9" x14ac:dyDescent="0.25">
      <c r="A353" s="1" t="s">
        <v>14435</v>
      </c>
      <c r="B353" s="1" t="s">
        <v>999</v>
      </c>
      <c r="C353" s="1" t="str">
        <f>IFERROR(VLOOKUP(B353,'SB1'!$A$2:$B$999999,2,FALSE),"")</f>
        <v>MEZCLA ADHESIVA PLASTICA POXIMIX EXTERIOR X 5,000 (521)</v>
      </c>
      <c r="D353" s="1" t="s">
        <v>14459</v>
      </c>
      <c r="E353" s="3">
        <f>IFERROR(VLOOKUP(B353,'DA1'!$B$2:$D$999999,3,FALSE),"")</f>
      </c>
      <c r="F353" s="1" t="str">
        <f>IFERROR(VLOOKUP(B353,'SB1'!$A$2:$C$999999,3,FALSE),"")</f>
        <v>503</v>
      </c>
      <c r="G353" s="3" t="e">
        <f t="shared" si="11"/>
        <v>#VALUE!</v>
      </c>
      <c r="H353" s="3" t="e">
        <f t="shared" si="12"/>
        <v>#VALUE!</v>
      </c>
      <c r="I353" s="1">
        <v>1</v>
      </c>
    </row>
    <row r="354" spans="1:9" x14ac:dyDescent="0.25">
      <c r="A354" s="1" t="s">
        <v>14435</v>
      </c>
      <c r="B354" s="1" t="s">
        <v>1001</v>
      </c>
      <c r="C354" s="1" t="str">
        <f>IFERROR(VLOOKUP(B354,'SB1'!$A$2:$B$999999,2,FALSE),"")</f>
        <v>AUTOPOLISH COLORIN SILICONA AUTONUEVO 450</v>
      </c>
      <c r="D354" s="1" t="s">
        <v>14438</v>
      </c>
      <c r="E354" s="3">
        <f>IFERROR(VLOOKUP(B354,'DA1'!$B$2:$D$999999,3,FALSE),"")</f>
      </c>
      <c r="F354" s="1" t="str">
        <f>IFERROR(VLOOKUP(B354,'SB1'!$A$2:$C$999999,3,FALSE),"")</f>
        <v>503</v>
      </c>
      <c r="G354" s="3" t="e">
        <f t="shared" si="11"/>
        <v>#VALUE!</v>
      </c>
      <c r="H354" s="3" t="e">
        <f t="shared" si="12"/>
        <v>#VALUE!</v>
      </c>
      <c r="I354" s="1">
        <v>1</v>
      </c>
    </row>
    <row r="355" spans="1:9" x14ac:dyDescent="0.25">
      <c r="A355" s="1" t="s">
        <v>14435</v>
      </c>
      <c r="B355" s="1" t="s">
        <v>1009</v>
      </c>
      <c r="C355" s="1" t="str">
        <f>IFERROR(VLOOKUP(B355,'SB1'!$A$2:$B$999999,2,FALSE),"")</f>
        <v>MEZCLA ADHESIVA PLASTICA POXIMIX EXTERIOR X 3,000 (...)</v>
      </c>
      <c r="D355" s="1" t="s">
        <v>14459</v>
      </c>
      <c r="E355" s="3">
        <f>IFERROR(VLOOKUP(B355,'DA1'!$B$2:$D$999999,3,FALSE),"")</f>
      </c>
      <c r="F355" s="1" t="str">
        <f>IFERROR(VLOOKUP(B355,'SB1'!$A$2:$C$999999,3,FALSE),"")</f>
        <v>503</v>
      </c>
      <c r="G355" s="3" t="e">
        <f t="shared" si="11"/>
        <v>#VALUE!</v>
      </c>
      <c r="H355" s="3" t="e">
        <f t="shared" si="12"/>
        <v>#VALUE!</v>
      </c>
      <c r="I355" s="1">
        <v>1</v>
      </c>
    </row>
    <row r="356" spans="1:9" x14ac:dyDescent="0.25">
      <c r="A356" s="1" t="s">
        <v>14435</v>
      </c>
      <c r="B356" s="1" t="s">
        <v>1011</v>
      </c>
      <c r="C356" s="1" t="str">
        <f>IFERROR(VLOOKUP(B356,'SB1'!$A$2:$B$999999,2,FALSE),"")</f>
        <v>BANDEJA PARA PINTAR PLASTICA PLANA (013)</v>
      </c>
      <c r="D356" s="1" t="s">
        <v>14460</v>
      </c>
      <c r="E356" s="3">
        <f>IFERROR(VLOOKUP(B356,'DA1'!$B$2:$D$999999,3,FALSE),"")</f>
      </c>
      <c r="F356" s="1" t="str">
        <f>IFERROR(VLOOKUP(B356,'SB1'!$A$2:$C$999999,3,FALSE),"")</f>
        <v>503</v>
      </c>
      <c r="G356" s="3" t="e">
        <f t="shared" si="11"/>
        <v>#VALUE!</v>
      </c>
      <c r="H356" s="3" t="e">
        <f t="shared" si="12"/>
        <v>#VALUE!</v>
      </c>
      <c r="I356" s="1">
        <v>1</v>
      </c>
    </row>
    <row r="357" spans="1:9" x14ac:dyDescent="0.25">
      <c r="A357" s="1" t="s">
        <v>14435</v>
      </c>
      <c r="B357" s="1" t="s">
        <v>1013</v>
      </c>
      <c r="C357" s="1" t="str">
        <f>IFERROR(VLOOKUP(B357,'SB1'!$A$2:$B$999999,2,FALSE),"")</f>
        <v>MEZCLA ADHESIVA PLASTICA POXIMIX INTERIOR X 3,000 (...)</v>
      </c>
      <c r="D357" s="1" t="s">
        <v>14459</v>
      </c>
      <c r="E357" s="3">
        <f>IFERROR(VLOOKUP(B357,'DA1'!$B$2:$D$999999,3,FALSE),"")</f>
      </c>
      <c r="F357" s="1" t="str">
        <f>IFERROR(VLOOKUP(B357,'SB1'!$A$2:$C$999999,3,FALSE),"")</f>
        <v>503</v>
      </c>
      <c r="G357" s="3" t="e">
        <f t="shared" si="11"/>
        <v>#VALUE!</v>
      </c>
      <c r="H357" s="3" t="e">
        <f t="shared" si="12"/>
        <v>#VALUE!</v>
      </c>
      <c r="I357" s="1">
        <v>1</v>
      </c>
    </row>
    <row r="358" spans="1:9" x14ac:dyDescent="0.25">
      <c r="A358" s="1" t="s">
        <v>14435</v>
      </c>
      <c r="B358" s="1" t="s">
        <v>1015</v>
      </c>
      <c r="C358" s="1" t="str">
        <f>IFERROR(VLOOKUP(B358,'SB1'!$A$2:$B$999999,2,FALSE),"")</f>
        <v>PEGAMENTO LA GOTITA X 2</v>
      </c>
      <c r="D358" s="1" t="s">
        <v>14459</v>
      </c>
      <c r="E358" s="3">
        <f>IFERROR(VLOOKUP(B358,'DA1'!$B$2:$D$999999,3,FALSE),"")</f>
      </c>
      <c r="F358" s="1" t="str">
        <f>IFERROR(VLOOKUP(B358,'SB1'!$A$2:$C$999999,3,FALSE),"")</f>
        <v>503</v>
      </c>
      <c r="G358" s="3" t="e">
        <f t="shared" si="11"/>
        <v>#VALUE!</v>
      </c>
      <c r="H358" s="3" t="e">
        <f t="shared" si="12"/>
        <v>#VALUE!</v>
      </c>
      <c r="I358" s="1">
        <v>1</v>
      </c>
    </row>
    <row r="359" spans="1:9" x14ac:dyDescent="0.25">
      <c r="A359" s="1" t="s">
        <v>14435</v>
      </c>
      <c r="B359" s="1" t="s">
        <v>1017</v>
      </c>
      <c r="C359" s="1" t="str">
        <f>IFERROR(VLOOKUP(B359,'SB1'!$A$2:$B$999999,2,FALSE),"")</f>
        <v>SILICONA FASTIX TRANSPARENTE X  25</v>
      </c>
      <c r="D359" s="1" t="s">
        <v>14459</v>
      </c>
      <c r="E359" s="3">
        <f>IFERROR(VLOOKUP(B359,'DA1'!$B$2:$D$999999,3,FALSE),"")</f>
      </c>
      <c r="F359" s="1" t="str">
        <f>IFERROR(VLOOKUP(B359,'SB1'!$A$2:$C$999999,3,FALSE),"")</f>
        <v>503</v>
      </c>
      <c r="G359" s="3" t="e">
        <f t="shared" si="11"/>
        <v>#VALUE!</v>
      </c>
      <c r="H359" s="3" t="e">
        <f t="shared" si="12"/>
        <v>#VALUE!</v>
      </c>
      <c r="I359" s="1">
        <v>1</v>
      </c>
    </row>
    <row r="360" spans="1:9" x14ac:dyDescent="0.25">
      <c r="A360" s="1" t="s">
        <v>14435</v>
      </c>
      <c r="B360" s="1" t="s">
        <v>1019</v>
      </c>
      <c r="C360" s="1" t="str">
        <f>IFERROR(VLOOKUP(B360,'SB1'!$A$2:$B$999999,2,FALSE),"")</f>
        <v>ESMALTE SINTETICO PLAVICON 3EN1 BRILLANTE GRIS PERLA X 20</v>
      </c>
      <c r="D360" s="1" t="s">
        <v>14458</v>
      </c>
      <c r="E360" s="3">
        <f>IFERROR(VLOOKUP(B360,'DA1'!$B$2:$D$999999,3,FALSE),"")</f>
      </c>
      <c r="F360" s="1" t="str">
        <f>IFERROR(VLOOKUP(B360,'SB1'!$A$2:$C$999999,3,FALSE),"")</f>
        <v>503</v>
      </c>
      <c r="G360" s="3" t="e">
        <f t="shared" si="11"/>
        <v>#VALUE!</v>
      </c>
      <c r="H360" s="3" t="e">
        <f t="shared" si="12"/>
        <v>#VALUE!</v>
      </c>
      <c r="I360" s="1">
        <v>1</v>
      </c>
    </row>
    <row r="361" spans="1:9" x14ac:dyDescent="0.25">
      <c r="A361" s="1" t="s">
        <v>14435</v>
      </c>
      <c r="B361" s="1" t="s">
        <v>1021</v>
      </c>
      <c r="C361" s="1" t="str">
        <f>IFERROR(VLOOKUP(B361,'SB1'!$A$2:$B$999999,2,FALSE),"")</f>
        <v>REMOVEDOR GEL X 1</v>
      </c>
      <c r="D361" s="1" t="s">
        <v>14472</v>
      </c>
      <c r="E361" s="3">
        <f>IFERROR(VLOOKUP(B361,'DA1'!$B$2:$D$999999,3,FALSE),"")</f>
      </c>
      <c r="F361" s="1" t="str">
        <f>IFERROR(VLOOKUP(B361,'SB1'!$A$2:$C$999999,3,FALSE),"")</f>
        <v>503</v>
      </c>
      <c r="G361" s="3" t="e">
        <f t="shared" si="11"/>
        <v>#VALUE!</v>
      </c>
      <c r="H361" s="3" t="e">
        <f t="shared" si="12"/>
        <v>#VALUE!</v>
      </c>
      <c r="I361" s="1">
        <v>1</v>
      </c>
    </row>
    <row r="362" spans="1:9" x14ac:dyDescent="0.25">
      <c r="A362" s="1" t="s">
        <v>14435</v>
      </c>
      <c r="B362" s="1" t="s">
        <v>1023</v>
      </c>
      <c r="C362" s="1" t="str">
        <f>IFERROR(VLOOKUP(B362,'SB1'!$A$2:$B$999999,2,FALSE),"")</f>
        <v>LIJA AL AGUA DOBLE A #   80</v>
      </c>
      <c r="D362" s="1" t="s">
        <v>14451</v>
      </c>
      <c r="E362" s="3">
        <f>IFERROR(VLOOKUP(B362,'DA1'!$B$2:$D$999999,3,FALSE),"")</f>
      </c>
      <c r="F362" s="1" t="str">
        <f>IFERROR(VLOOKUP(B362,'SB1'!$A$2:$C$999999,3,FALSE),"")</f>
        <v>503</v>
      </c>
      <c r="G362" s="3" t="e">
        <f t="shared" si="11"/>
        <v>#VALUE!</v>
      </c>
      <c r="H362" s="3" t="e">
        <f t="shared" si="12"/>
        <v>#VALUE!</v>
      </c>
      <c r="I362" s="1">
        <v>1</v>
      </c>
    </row>
    <row r="363" spans="1:9" x14ac:dyDescent="0.25">
      <c r="A363" s="1" t="s">
        <v>14435</v>
      </c>
      <c r="B363" s="1" t="s">
        <v>1025</v>
      </c>
      <c r="C363" s="1" t="str">
        <f>IFERROR(VLOOKUP(B363,'SB1'!$A$2:$B$999999,2,FALSE),"")</f>
        <v>LIJA AL AGUA DOBLE A #  100</v>
      </c>
      <c r="D363" s="1" t="s">
        <v>14451</v>
      </c>
      <c r="E363" s="3">
        <f>IFERROR(VLOOKUP(B363,'DA1'!$B$2:$D$999999,3,FALSE),"")</f>
      </c>
      <c r="F363" s="1" t="str">
        <f>IFERROR(VLOOKUP(B363,'SB1'!$A$2:$C$999999,3,FALSE),"")</f>
        <v>503</v>
      </c>
      <c r="G363" s="3" t="e">
        <f t="shared" si="11"/>
        <v>#VALUE!</v>
      </c>
      <c r="H363" s="3" t="e">
        <f t="shared" si="12"/>
        <v>#VALUE!</v>
      </c>
      <c r="I363" s="1">
        <v>1</v>
      </c>
    </row>
    <row r="364" spans="1:9" x14ac:dyDescent="0.25">
      <c r="A364" s="1" t="s">
        <v>14435</v>
      </c>
      <c r="B364" s="1" t="s">
        <v>1027</v>
      </c>
      <c r="C364" s="1" t="str">
        <f>IFERROR(VLOOKUP(B364,'SB1'!$A$2:$B$999999,2,FALSE),"")</f>
        <v>LIJA AL AGUA DOBLE A #  120</v>
      </c>
      <c r="D364" s="1" t="s">
        <v>14451</v>
      </c>
      <c r="E364" s="3">
        <f>IFERROR(VLOOKUP(B364,'DA1'!$B$2:$D$999999,3,FALSE),"")</f>
      </c>
      <c r="F364" s="1" t="str">
        <f>IFERROR(VLOOKUP(B364,'SB1'!$A$2:$C$999999,3,FALSE),"")</f>
        <v>503</v>
      </c>
      <c r="G364" s="3" t="e">
        <f t="shared" si="11"/>
        <v>#VALUE!</v>
      </c>
      <c r="H364" s="3" t="e">
        <f t="shared" si="12"/>
        <v>#VALUE!</v>
      </c>
      <c r="I364" s="1">
        <v>1</v>
      </c>
    </row>
    <row r="365" spans="1:9" x14ac:dyDescent="0.25">
      <c r="A365" s="1" t="s">
        <v>14435</v>
      </c>
      <c r="B365" s="1" t="s">
        <v>1029</v>
      </c>
      <c r="C365" s="1" t="str">
        <f>IFERROR(VLOOKUP(B365,'SB1'!$A$2:$B$999999,2,FALSE),"")</f>
        <v>LIJA AL AGUA DOBLE A #  150</v>
      </c>
      <c r="D365" s="1" t="s">
        <v>14451</v>
      </c>
      <c r="E365" s="3">
        <f>IFERROR(VLOOKUP(B365,'DA1'!$B$2:$D$999999,3,FALSE),"")</f>
      </c>
      <c r="F365" s="1" t="str">
        <f>IFERROR(VLOOKUP(B365,'SB1'!$A$2:$C$999999,3,FALSE),"")</f>
        <v>503</v>
      </c>
      <c r="G365" s="3" t="e">
        <f t="shared" si="11"/>
        <v>#VALUE!</v>
      </c>
      <c r="H365" s="3" t="e">
        <f t="shared" si="12"/>
        <v>#VALUE!</v>
      </c>
      <c r="I365" s="1">
        <v>1</v>
      </c>
    </row>
    <row r="366" spans="1:9" x14ac:dyDescent="0.25">
      <c r="A366" s="1" t="s">
        <v>14435</v>
      </c>
      <c r="B366" s="1" t="s">
        <v>1031</v>
      </c>
      <c r="C366" s="1" t="str">
        <f>IFERROR(VLOOKUP(B366,'SB1'!$A$2:$B$999999,2,FALSE),"")</f>
        <v>LIJA AL AGUA DOBLE A #  180</v>
      </c>
      <c r="D366" s="1" t="s">
        <v>14451</v>
      </c>
      <c r="E366" s="3">
        <f>IFERROR(VLOOKUP(B366,'DA1'!$B$2:$D$999999,3,FALSE),"")</f>
      </c>
      <c r="F366" s="1" t="str">
        <f>IFERROR(VLOOKUP(B366,'SB1'!$A$2:$C$999999,3,FALSE),"")</f>
        <v>503</v>
      </c>
      <c r="G366" s="3" t="e">
        <f t="shared" si="11"/>
        <v>#VALUE!</v>
      </c>
      <c r="H366" s="3" t="e">
        <f t="shared" si="12"/>
        <v>#VALUE!</v>
      </c>
      <c r="I366" s="1">
        <v>1</v>
      </c>
    </row>
    <row r="367" spans="1:9" x14ac:dyDescent="0.25">
      <c r="A367" s="1" t="s">
        <v>14435</v>
      </c>
      <c r="B367" s="1" t="s">
        <v>1033</v>
      </c>
      <c r="C367" s="1" t="str">
        <f>IFERROR(VLOOKUP(B367,'SB1'!$A$2:$B$999999,2,FALSE),"")</f>
        <v>LIJA AL AGUA DOBLE A #  220</v>
      </c>
      <c r="D367" s="1" t="s">
        <v>14451</v>
      </c>
      <c r="E367" s="3">
        <f>IFERROR(VLOOKUP(B367,'DA1'!$B$2:$D$999999,3,FALSE),"")</f>
      </c>
      <c r="F367" s="1" t="str">
        <f>IFERROR(VLOOKUP(B367,'SB1'!$A$2:$C$999999,3,FALSE),"")</f>
        <v>503</v>
      </c>
      <c r="G367" s="3" t="e">
        <f t="shared" si="11"/>
        <v>#VALUE!</v>
      </c>
      <c r="H367" s="3" t="e">
        <f t="shared" si="12"/>
        <v>#VALUE!</v>
      </c>
      <c r="I367" s="1">
        <v>1</v>
      </c>
    </row>
    <row r="368" spans="1:9" x14ac:dyDescent="0.25">
      <c r="A368" s="1" t="s">
        <v>14435</v>
      </c>
      <c r="B368" s="1" t="s">
        <v>1035</v>
      </c>
      <c r="C368" s="1" t="str">
        <f>IFERROR(VLOOKUP(B368,'SB1'!$A$2:$B$999999,2,FALSE),"")</f>
        <v>LIJA AL AGUA DOBLE A #  240</v>
      </c>
      <c r="D368" s="1" t="s">
        <v>14451</v>
      </c>
      <c r="E368" s="3">
        <f>IFERROR(VLOOKUP(B368,'DA1'!$B$2:$D$999999,3,FALSE),"")</f>
      </c>
      <c r="F368" s="1" t="str">
        <f>IFERROR(VLOOKUP(B368,'SB1'!$A$2:$C$999999,3,FALSE),"")</f>
        <v>503</v>
      </c>
      <c r="G368" s="3" t="e">
        <f t="shared" si="11"/>
        <v>#VALUE!</v>
      </c>
      <c r="H368" s="3" t="e">
        <f t="shared" si="12"/>
        <v>#VALUE!</v>
      </c>
      <c r="I368" s="1">
        <v>1</v>
      </c>
    </row>
    <row r="369" spans="1:9" x14ac:dyDescent="0.25">
      <c r="A369" s="1" t="s">
        <v>14435</v>
      </c>
      <c r="B369" s="1" t="s">
        <v>1037</v>
      </c>
      <c r="C369" s="1" t="str">
        <f>IFERROR(VLOOKUP(B369,'SB1'!$A$2:$B$999999,2,FALSE),"")</f>
        <v>LIJA AL AGUA DOBLE A #  280</v>
      </c>
      <c r="D369" s="1" t="s">
        <v>14451</v>
      </c>
      <c r="E369" s="3">
        <f>IFERROR(VLOOKUP(B369,'DA1'!$B$2:$D$999999,3,FALSE),"")</f>
      </c>
      <c r="F369" s="1" t="str">
        <f>IFERROR(VLOOKUP(B369,'SB1'!$A$2:$C$999999,3,FALSE),"")</f>
        <v>503</v>
      </c>
      <c r="G369" s="3" t="e">
        <f t="shared" si="11"/>
        <v>#VALUE!</v>
      </c>
      <c r="H369" s="3" t="e">
        <f t="shared" si="12"/>
        <v>#VALUE!</v>
      </c>
      <c r="I369" s="1">
        <v>1</v>
      </c>
    </row>
    <row r="370" spans="1:9" x14ac:dyDescent="0.25">
      <c r="A370" s="1" t="s">
        <v>14435</v>
      </c>
      <c r="B370" s="1" t="s">
        <v>1039</v>
      </c>
      <c r="C370" s="1" t="str">
        <f>IFERROR(VLOOKUP(B370,'SB1'!$A$2:$B$999999,2,FALSE),"")</f>
        <v>LIJA AL AGUA DOBLE A #  320</v>
      </c>
      <c r="D370" s="1" t="s">
        <v>14451</v>
      </c>
      <c r="E370" s="3">
        <f>IFERROR(VLOOKUP(B370,'DA1'!$B$2:$D$999999,3,FALSE),"")</f>
      </c>
      <c r="F370" s="1" t="str">
        <f>IFERROR(VLOOKUP(B370,'SB1'!$A$2:$C$999999,3,FALSE),"")</f>
        <v>503</v>
      </c>
      <c r="G370" s="3" t="e">
        <f t="shared" si="11"/>
        <v>#VALUE!</v>
      </c>
      <c r="H370" s="3" t="e">
        <f t="shared" si="12"/>
        <v>#VALUE!</v>
      </c>
      <c r="I370" s="1">
        <v>1</v>
      </c>
    </row>
    <row r="371" spans="1:9" x14ac:dyDescent="0.25">
      <c r="A371" s="1" t="s">
        <v>14435</v>
      </c>
      <c r="B371" s="1" t="s">
        <v>1041</v>
      </c>
      <c r="C371" s="1" t="str">
        <f>IFERROR(VLOOKUP(B371,'SB1'!$A$2:$B$999999,2,FALSE),"")</f>
        <v>LIJA AL AGUA DOBLE A #  360</v>
      </c>
      <c r="D371" s="1" t="s">
        <v>14451</v>
      </c>
      <c r="E371" s="3">
        <f>IFERROR(VLOOKUP(B371,'DA1'!$B$2:$D$999999,3,FALSE),"")</f>
      </c>
      <c r="F371" s="1" t="str">
        <f>IFERROR(VLOOKUP(B371,'SB1'!$A$2:$C$999999,3,FALSE),"")</f>
        <v>503</v>
      </c>
      <c r="G371" s="3" t="e">
        <f t="shared" si="11"/>
        <v>#VALUE!</v>
      </c>
      <c r="H371" s="3" t="e">
        <f t="shared" si="12"/>
        <v>#VALUE!</v>
      </c>
      <c r="I371" s="1">
        <v>1</v>
      </c>
    </row>
    <row r="372" spans="1:9" x14ac:dyDescent="0.25">
      <c r="A372" s="1" t="s">
        <v>14435</v>
      </c>
      <c r="B372" s="1" t="s">
        <v>1043</v>
      </c>
      <c r="C372" s="1" t="str">
        <f>IFERROR(VLOOKUP(B372,'SB1'!$A$2:$B$999999,2,FALSE),"")</f>
        <v>LIJA AL AGUA DOBLE A #  400</v>
      </c>
      <c r="D372" s="1" t="s">
        <v>14451</v>
      </c>
      <c r="E372" s="3">
        <f>IFERROR(VLOOKUP(B372,'DA1'!$B$2:$D$999999,3,FALSE),"")</f>
      </c>
      <c r="F372" s="1" t="str">
        <f>IFERROR(VLOOKUP(B372,'SB1'!$A$2:$C$999999,3,FALSE),"")</f>
        <v>503</v>
      </c>
      <c r="G372" s="3" t="e">
        <f t="shared" si="11"/>
        <v>#VALUE!</v>
      </c>
      <c r="H372" s="3" t="e">
        <f t="shared" si="12"/>
        <v>#VALUE!</v>
      </c>
      <c r="I372" s="1">
        <v>1</v>
      </c>
    </row>
    <row r="373" spans="1:9" x14ac:dyDescent="0.25">
      <c r="A373" s="1" t="s">
        <v>14435</v>
      </c>
      <c r="B373" s="1" t="s">
        <v>1045</v>
      </c>
      <c r="C373" s="1" t="str">
        <f>IFERROR(VLOOKUP(B373,'SB1'!$A$2:$B$999999,2,FALSE),"")</f>
        <v>LIJA AL AGUA DOBLE A #  500</v>
      </c>
      <c r="D373" s="1" t="s">
        <v>14451</v>
      </c>
      <c r="E373" s="3">
        <f>IFERROR(VLOOKUP(B373,'DA1'!$B$2:$D$999999,3,FALSE),"")</f>
      </c>
      <c r="F373" s="1" t="str">
        <f>IFERROR(VLOOKUP(B373,'SB1'!$A$2:$C$999999,3,FALSE),"")</f>
        <v>503</v>
      </c>
      <c r="G373" s="3" t="e">
        <f t="shared" si="11"/>
        <v>#VALUE!</v>
      </c>
      <c r="H373" s="3" t="e">
        <f t="shared" si="12"/>
        <v>#VALUE!</v>
      </c>
      <c r="I373" s="1">
        <v>1</v>
      </c>
    </row>
    <row r="374" spans="1:9" x14ac:dyDescent="0.25">
      <c r="A374" s="1" t="s">
        <v>14435</v>
      </c>
      <c r="B374" s="1" t="s">
        <v>1047</v>
      </c>
      <c r="C374" s="1" t="str">
        <f>IFERROR(VLOOKUP(B374,'SB1'!$A$2:$B$999999,2,FALSE),"")</f>
        <v>LIJA AL AGUA DOBLE A #  600</v>
      </c>
      <c r="D374" s="1" t="s">
        <v>14451</v>
      </c>
      <c r="E374" s="3">
        <f>IFERROR(VLOOKUP(B374,'DA1'!$B$2:$D$999999,3,FALSE),"")</f>
      </c>
      <c r="F374" s="1" t="str">
        <f>IFERROR(VLOOKUP(B374,'SB1'!$A$2:$C$999999,3,FALSE),"")</f>
        <v>503</v>
      </c>
      <c r="G374" s="3" t="e">
        <f t="shared" si="11"/>
        <v>#VALUE!</v>
      </c>
      <c r="H374" s="3" t="e">
        <f t="shared" si="12"/>
        <v>#VALUE!</v>
      </c>
      <c r="I374" s="1">
        <v>1</v>
      </c>
    </row>
    <row r="375" spans="1:9" x14ac:dyDescent="0.25">
      <c r="A375" s="1" t="s">
        <v>14435</v>
      </c>
      <c r="B375" s="1" t="s">
        <v>1049</v>
      </c>
      <c r="C375" s="1" t="str">
        <f>IFERROR(VLOOKUP(B375,'SB1'!$A$2:$B$999999,2,FALSE),"")</f>
        <v>LIJA PARA MASILLA PLATICA DOBLE A 36</v>
      </c>
      <c r="D375" s="1" t="s">
        <v>14451</v>
      </c>
      <c r="E375" s="3">
        <f>IFERROR(VLOOKUP(B375,'DA1'!$B$2:$D$999999,3,FALSE),"")</f>
      </c>
      <c r="F375" s="1" t="str">
        <f>IFERROR(VLOOKUP(B375,'SB1'!$A$2:$C$999999,3,FALSE),"")</f>
        <v>503</v>
      </c>
      <c r="G375" s="3" t="e">
        <f t="shared" si="11"/>
        <v>#VALUE!</v>
      </c>
      <c r="H375" s="3" t="e">
        <f t="shared" si="12"/>
        <v>#VALUE!</v>
      </c>
      <c r="I375" s="1">
        <v>1</v>
      </c>
    </row>
    <row r="376" spans="1:9" x14ac:dyDescent="0.25">
      <c r="A376" s="1" t="s">
        <v>14435</v>
      </c>
      <c r="B376" s="1" t="s">
        <v>1057</v>
      </c>
      <c r="C376" s="1" t="str">
        <f>IFERROR(VLOOKUP(B376,'SB1'!$A$2:$B$999999,2,FALSE),"")</f>
        <v>ESMALTE SINTETICO PLAVICON 3EN1 BRILLANTE GRIS HIELO X  0,500</v>
      </c>
      <c r="D376" s="1" t="s">
        <v>14458</v>
      </c>
      <c r="E376" s="3">
        <f>IFERROR(VLOOKUP(B376,'DA1'!$B$2:$D$999999,3,FALSE),"")</f>
      </c>
      <c r="F376" s="1" t="str">
        <f>IFERROR(VLOOKUP(B376,'SB1'!$A$2:$C$999999,3,FALSE),"")</f>
        <v>503</v>
      </c>
      <c r="G376" s="3" t="e">
        <f t="shared" si="11"/>
        <v>#VALUE!</v>
      </c>
      <c r="H376" s="3" t="e">
        <f t="shared" si="12"/>
        <v>#VALUE!</v>
      </c>
      <c r="I376" s="1">
        <v>1</v>
      </c>
    </row>
    <row r="377" spans="1:9" x14ac:dyDescent="0.25">
      <c r="A377" s="1" t="s">
        <v>14435</v>
      </c>
      <c r="B377" s="1" t="s">
        <v>1059</v>
      </c>
      <c r="C377" s="1" t="str">
        <f>IFERROR(VLOOKUP(B377,'SB1'!$A$2:$B$999999,2,FALSE),"")</f>
        <v>MASILLA PLASTICA ZEOCAR FINISH X 1 (47)</v>
      </c>
      <c r="D377" s="1" t="s">
        <v>14473</v>
      </c>
      <c r="E377" s="3">
        <f>IFERROR(VLOOKUP(B377,'DA1'!$B$2:$D$999999,3,FALSE),"")</f>
      </c>
      <c r="F377" s="1" t="str">
        <f>IFERROR(VLOOKUP(B377,'SB1'!$A$2:$C$999999,3,FALSE),"")</f>
        <v>503</v>
      </c>
      <c r="G377" s="3" t="e">
        <f t="shared" si="11"/>
        <v>#VALUE!</v>
      </c>
      <c r="H377" s="3" t="e">
        <f t="shared" si="12"/>
        <v>#VALUE!</v>
      </c>
      <c r="I377" s="1">
        <v>1</v>
      </c>
    </row>
    <row r="378" spans="1:9" x14ac:dyDescent="0.25">
      <c r="A378" s="1" t="s">
        <v>14435</v>
      </c>
      <c r="B378" s="1" t="s">
        <v>1061</v>
      </c>
      <c r="C378" s="1" t="str">
        <f>IFERROR(VLOOKUP(B378,'SB1'!$A$2:$B$999999,2,FALSE),"")</f>
        <v>ESMALTE SINTETICO PLAVICON 3EN1 BRILLANTE GRIS HIELO X  1</v>
      </c>
      <c r="D378" s="1" t="s">
        <v>14458</v>
      </c>
      <c r="E378" s="3">
        <f>IFERROR(VLOOKUP(B378,'DA1'!$B$2:$D$999999,3,FALSE),"")</f>
      </c>
      <c r="F378" s="1" t="str">
        <f>IFERROR(VLOOKUP(B378,'SB1'!$A$2:$C$999999,3,FALSE),"")</f>
        <v>503</v>
      </c>
      <c r="G378" s="3" t="e">
        <f t="shared" si="11"/>
        <v>#VALUE!</v>
      </c>
      <c r="H378" s="3" t="e">
        <f t="shared" si="12"/>
        <v>#VALUE!</v>
      </c>
      <c r="I378" s="1">
        <v>1</v>
      </c>
    </row>
    <row r="379" spans="1:9" x14ac:dyDescent="0.25">
      <c r="A379" s="1" t="s">
        <v>14435</v>
      </c>
      <c r="B379" s="1" t="s">
        <v>1065</v>
      </c>
      <c r="C379" s="1" t="str">
        <f>IFERROR(VLOOKUP(B379,'SB1'!$A$2:$B$999999,2,FALSE),"")</f>
        <v>ENDUIDO INTERIOR ALBAPLAST X 10</v>
      </c>
      <c r="D379" s="1" t="s">
        <v>14441</v>
      </c>
      <c r="E379" s="3">
        <f>IFERROR(VLOOKUP(B379,'DA1'!$B$2:$D$999999,3,FALSE),"")</f>
      </c>
      <c r="F379" s="1" t="str">
        <f>IFERROR(VLOOKUP(B379,'SB1'!$A$2:$C$999999,3,FALSE),"")</f>
        <v>503</v>
      </c>
      <c r="G379" s="3" t="e">
        <f t="shared" si="11"/>
        <v>#VALUE!</v>
      </c>
      <c r="H379" s="3" t="e">
        <f t="shared" si="12"/>
        <v>#VALUE!</v>
      </c>
      <c r="I379" s="1">
        <v>1</v>
      </c>
    </row>
    <row r="380" spans="1:9" x14ac:dyDescent="0.25">
      <c r="A380" s="1" t="s">
        <v>14435</v>
      </c>
      <c r="B380" s="1" t="s">
        <v>1067</v>
      </c>
      <c r="C380" s="1" t="str">
        <f>IFERROR(VLOOKUP(B380,'SB1'!$A$2:$B$999999,2,FALSE),"")</f>
        <v>MASILLA PLASTICA ZEOCAR FINISH X 4 (48)</v>
      </c>
      <c r="D380" s="1" t="s">
        <v>14473</v>
      </c>
      <c r="E380" s="3">
        <f>IFERROR(VLOOKUP(B380,'DA1'!$B$2:$D$999999,3,FALSE),"")</f>
      </c>
      <c r="F380" s="1" t="str">
        <f>IFERROR(VLOOKUP(B380,'SB1'!$A$2:$C$999999,3,FALSE),"")</f>
        <v>503</v>
      </c>
      <c r="G380" s="3" t="e">
        <f t="shared" si="11"/>
        <v>#VALUE!</v>
      </c>
      <c r="H380" s="3" t="e">
        <f t="shared" si="12"/>
        <v>#VALUE!</v>
      </c>
      <c r="I380" s="1">
        <v>1</v>
      </c>
    </row>
    <row r="381" spans="1:9" x14ac:dyDescent="0.25">
      <c r="A381" s="1" t="s">
        <v>14435</v>
      </c>
      <c r="B381" s="1" t="s">
        <v>1069</v>
      </c>
      <c r="C381" s="1" t="str">
        <f>IFERROR(VLOOKUP(B381,'SB1'!$A$2:$B$999999,2,FALSE),"")</f>
        <v>MASILLA PLASTICA MMB X 0,500</v>
      </c>
      <c r="D381" s="1" t="s">
        <v>14444</v>
      </c>
      <c r="E381" s="3">
        <f>IFERROR(VLOOKUP(B381,'DA1'!$B$2:$D$999999,3,FALSE),"")</f>
      </c>
      <c r="F381" s="1" t="str">
        <f>IFERROR(VLOOKUP(B381,'SB1'!$A$2:$C$999999,3,FALSE),"")</f>
        <v>503</v>
      </c>
      <c r="G381" s="3" t="e">
        <f t="shared" si="11"/>
        <v>#VALUE!</v>
      </c>
      <c r="H381" s="3" t="e">
        <f t="shared" si="12"/>
        <v>#VALUE!</v>
      </c>
      <c r="I381" s="1">
        <v>1</v>
      </c>
    </row>
    <row r="382" spans="1:9" x14ac:dyDescent="0.25">
      <c r="A382" s="1" t="s">
        <v>14435</v>
      </c>
      <c r="B382" s="1" t="s">
        <v>1071</v>
      </c>
      <c r="C382" s="1" t="str">
        <f>IFERROR(VLOOKUP(B382,'SB1'!$A$2:$B$999999,2,FALSE),"")</f>
        <v>MASILLA PLASTICA MMB X 1</v>
      </c>
      <c r="D382" s="1" t="s">
        <v>14444</v>
      </c>
      <c r="E382" s="3">
        <f>IFERROR(VLOOKUP(B382,'DA1'!$B$2:$D$999999,3,FALSE),"")</f>
      </c>
      <c r="F382" s="1" t="str">
        <f>IFERROR(VLOOKUP(B382,'SB1'!$A$2:$C$999999,3,FALSE),"")</f>
        <v>503</v>
      </c>
      <c r="G382" s="3" t="e">
        <f t="shared" si="11"/>
        <v>#VALUE!</v>
      </c>
      <c r="H382" s="3" t="e">
        <f t="shared" si="12"/>
        <v>#VALUE!</v>
      </c>
      <c r="I382" s="1">
        <v>1</v>
      </c>
    </row>
    <row r="383" spans="1:9" x14ac:dyDescent="0.25">
      <c r="A383" s="1" t="s">
        <v>14435</v>
      </c>
      <c r="B383" s="1" t="s">
        <v>1073</v>
      </c>
      <c r="C383" s="1" t="str">
        <f>IFERROR(VLOOKUP(B383,'SB1'!$A$2:$B$999999,2,FALSE),"")</f>
        <v>MASILLA PLASTICA MMB X 4</v>
      </c>
      <c r="D383" s="1" t="s">
        <v>14444</v>
      </c>
      <c r="E383" s="3">
        <f>IFERROR(VLOOKUP(B383,'DA1'!$B$2:$D$999999,3,FALSE),"")</f>
      </c>
      <c r="F383" s="1" t="str">
        <f>IFERROR(VLOOKUP(B383,'SB1'!$A$2:$C$999999,3,FALSE),"")</f>
        <v>503</v>
      </c>
      <c r="G383" s="3" t="e">
        <f t="shared" si="11"/>
        <v>#VALUE!</v>
      </c>
      <c r="H383" s="3" t="e">
        <f t="shared" si="12"/>
        <v>#VALUE!</v>
      </c>
      <c r="I383" s="1">
        <v>1</v>
      </c>
    </row>
    <row r="384" spans="1:9" x14ac:dyDescent="0.25">
      <c r="A384" s="1" t="s">
        <v>14435</v>
      </c>
      <c r="B384" s="1" t="s">
        <v>1075</v>
      </c>
      <c r="C384" s="1" t="str">
        <f>IFERROR(VLOOKUP(B384,'SB1'!$A$2:$B$999999,2,FALSE),"")</f>
        <v>PINCEL ROSARPIN 1700 V1 C.CH 7</v>
      </c>
      <c r="D384" s="1" t="s">
        <v>14460</v>
      </c>
      <c r="E384" s="3">
        <f>IFERROR(VLOOKUP(B384,'DA1'!$B$2:$D$999999,3,FALSE),"")</f>
      </c>
      <c r="F384" s="1" t="str">
        <f>IFERROR(VLOOKUP(B384,'SB1'!$A$2:$C$999999,3,FALSE),"")</f>
        <v>503</v>
      </c>
      <c r="G384" s="3" t="e">
        <f t="shared" si="11"/>
        <v>#VALUE!</v>
      </c>
      <c r="H384" s="3" t="e">
        <f t="shared" si="12"/>
        <v>#VALUE!</v>
      </c>
      <c r="I384" s="1">
        <v>1</v>
      </c>
    </row>
    <row r="385" spans="1:9" x14ac:dyDescent="0.25">
      <c r="A385" s="1" t="s">
        <v>14435</v>
      </c>
      <c r="B385" s="1" t="s">
        <v>1077</v>
      </c>
      <c r="C385" s="1" t="str">
        <f>IFERROR(VLOOKUP(B385,'SB1'!$A$2:$B$999999,2,FALSE),"")</f>
        <v>ESMALTE SINTETICO PLAVICON 3EN1 BRILLANTE GRIS HIELO X  4</v>
      </c>
      <c r="D385" s="1" t="s">
        <v>14458</v>
      </c>
      <c r="E385" s="3">
        <f>IFERROR(VLOOKUP(B385,'DA1'!$B$2:$D$999999,3,FALSE),"")</f>
      </c>
      <c r="F385" s="1" t="str">
        <f>IFERROR(VLOOKUP(B385,'SB1'!$A$2:$C$999999,3,FALSE),"")</f>
        <v>503</v>
      </c>
      <c r="G385" s="3" t="e">
        <f t="shared" si="11"/>
        <v>#VALUE!</v>
      </c>
      <c r="H385" s="3" t="e">
        <f t="shared" si="12"/>
        <v>#VALUE!</v>
      </c>
      <c r="I385" s="1">
        <v>1</v>
      </c>
    </row>
    <row r="386" spans="1:9" x14ac:dyDescent="0.25">
      <c r="A386" s="1" t="s">
        <v>14435</v>
      </c>
      <c r="B386" s="1" t="s">
        <v>1081</v>
      </c>
      <c r="C386" s="1" t="str">
        <f>IFERROR(VLOOKUP(B386,'SB1'!$A$2:$B$999999,2,FALSE),"")</f>
        <v>ESMALTE SINTETICO PLAVICON 3EN1 BRILLANTE GRIS HIELO X 20</v>
      </c>
      <c r="D386" s="1" t="s">
        <v>14458</v>
      </c>
      <c r="E386" s="3">
        <f>IFERROR(VLOOKUP(B386,'DA1'!$B$2:$D$999999,3,FALSE),"")</f>
      </c>
      <c r="F386" s="1" t="str">
        <f>IFERROR(VLOOKUP(B386,'SB1'!$A$2:$C$999999,3,FALSE),"")</f>
        <v>503</v>
      </c>
      <c r="G386" s="3" t="e">
        <f t="shared" si="11"/>
        <v>#VALUE!</v>
      </c>
      <c r="H386" s="3" t="e">
        <f t="shared" si="12"/>
        <v>#VALUE!</v>
      </c>
      <c r="I386" s="1">
        <v>1</v>
      </c>
    </row>
    <row r="387" spans="1:9" x14ac:dyDescent="0.25">
      <c r="A387" s="1" t="s">
        <v>14435</v>
      </c>
      <c r="B387" s="1" t="s">
        <v>1083</v>
      </c>
      <c r="C387" s="1" t="str">
        <f>IFERROR(VLOOKUP(B387,'SB1'!$A$2:$B$999999,2,FALSE),"")</f>
        <v>ESMALTE SINTETICO PLAVICON 3EN1 BRILLANTE GRIS ESPACIAL X  0,250</v>
      </c>
      <c r="D387" s="1" t="s">
        <v>14439</v>
      </c>
      <c r="E387" s="3">
        <f>IFERROR(VLOOKUP(B387,'DA1'!$B$2:$D$999999,3,FALSE),"")</f>
      </c>
      <c r="F387" s="1" t="str">
        <f>IFERROR(VLOOKUP(B387,'SB1'!$A$2:$C$999999,3,FALSE),"")</f>
        <v>503</v>
      </c>
      <c r="G387" s="3" t="e">
        <f t="shared" ref="G387:G450" si="13">E387*1.04</f>
        <v>#VALUE!</v>
      </c>
      <c r="H387" s="3" t="e">
        <f t="shared" si="12"/>
        <v>#VALUE!</v>
      </c>
      <c r="I387" s="1">
        <v>1</v>
      </c>
    </row>
    <row r="388" spans="1:9" x14ac:dyDescent="0.25">
      <c r="A388" s="1" t="s">
        <v>14435</v>
      </c>
      <c r="B388" s="1" t="s">
        <v>1085</v>
      </c>
      <c r="C388" s="1" t="str">
        <f>IFERROR(VLOOKUP(B388,'SB1'!$A$2:$B$999999,2,FALSE),"")</f>
        <v>ESMALTE SINTETICO PLAVICON 3EN1 BRILLANTE GRIS ESPACIAL X  0,500</v>
      </c>
      <c r="D388" s="1" t="s">
        <v>14458</v>
      </c>
      <c r="E388" s="3">
        <f>IFERROR(VLOOKUP(B388,'DA1'!$B$2:$D$999999,3,FALSE),"")</f>
      </c>
      <c r="F388" s="1" t="str">
        <f>IFERROR(VLOOKUP(B388,'SB1'!$A$2:$C$999999,3,FALSE),"")</f>
        <v>503</v>
      </c>
      <c r="G388" s="3" t="e">
        <f t="shared" si="13"/>
        <v>#VALUE!</v>
      </c>
      <c r="H388" s="3" t="e">
        <f t="shared" si="12"/>
        <v>#VALUE!</v>
      </c>
      <c r="I388" s="1">
        <v>1</v>
      </c>
    </row>
    <row r="389" spans="1:9" x14ac:dyDescent="0.25">
      <c r="A389" s="1" t="s">
        <v>14435</v>
      </c>
      <c r="B389" s="1" t="s">
        <v>1087</v>
      </c>
      <c r="C389" s="1" t="str">
        <f>IFERROR(VLOOKUP(B389,'SB1'!$A$2:$B$999999,2,FALSE),"")</f>
        <v>SOLDURA PLASTICA POXIPOL TRANSPARENTE X 14</v>
      </c>
      <c r="D389" s="1" t="s">
        <v>14459</v>
      </c>
      <c r="E389" s="3">
        <f>IFERROR(VLOOKUP(B389,'DA1'!$B$2:$D$999999,3,FALSE),"")</f>
      </c>
      <c r="F389" s="1" t="str">
        <f>IFERROR(VLOOKUP(B389,'SB1'!$A$2:$C$999999,3,FALSE),"")</f>
        <v>503</v>
      </c>
      <c r="G389" s="3" t="e">
        <f t="shared" si="13"/>
        <v>#VALUE!</v>
      </c>
      <c r="H389" s="3" t="e">
        <f t="shared" si="12"/>
        <v>#VALUE!</v>
      </c>
      <c r="I389" s="1">
        <v>1</v>
      </c>
    </row>
    <row r="390" spans="1:9" x14ac:dyDescent="0.25">
      <c r="A390" s="1" t="s">
        <v>14435</v>
      </c>
      <c r="B390" s="1" t="s">
        <v>1089</v>
      </c>
      <c r="C390" s="1" t="str">
        <f>IFERROR(VLOOKUP(B390,'SB1'!$A$2:$B$999999,2,FALSE),"")</f>
        <v>PINCEL ROSARPIN 170 V1 NO. 7</v>
      </c>
      <c r="D390" s="1" t="s">
        <v>14460</v>
      </c>
      <c r="E390" s="3">
        <f>IFERROR(VLOOKUP(B390,'DA1'!$B$2:$D$999999,3,FALSE),"")</f>
      </c>
      <c r="F390" s="1" t="str">
        <f>IFERROR(VLOOKUP(B390,'SB1'!$A$2:$C$999999,3,FALSE),"")</f>
        <v>503</v>
      </c>
      <c r="G390" s="3" t="e">
        <f t="shared" si="13"/>
        <v>#VALUE!</v>
      </c>
      <c r="H390" s="3" t="e">
        <f t="shared" si="12"/>
        <v>#VALUE!</v>
      </c>
      <c r="I390" s="1">
        <v>1</v>
      </c>
    </row>
    <row r="391" spans="1:9" x14ac:dyDescent="0.25">
      <c r="A391" s="1" t="s">
        <v>14435</v>
      </c>
      <c r="B391" s="1" t="s">
        <v>1091</v>
      </c>
      <c r="C391" s="1" t="str">
        <f>IFERROR(VLOOKUP(B391,'SB1'!$A$2:$B$999999,2,FALSE),"")</f>
        <v>MEZCLA ADHESIVA PLASTICA POXIMIX INTERIOR X 0,500 (126)</v>
      </c>
      <c r="D391" s="1" t="s">
        <v>14459</v>
      </c>
      <c r="E391" s="3">
        <f>IFERROR(VLOOKUP(B391,'DA1'!$B$2:$D$999999,3,FALSE),"")</f>
      </c>
      <c r="F391" s="1" t="str">
        <f>IFERROR(VLOOKUP(B391,'SB1'!$A$2:$C$999999,3,FALSE),"")</f>
        <v>503</v>
      </c>
      <c r="G391" s="3" t="e">
        <f t="shared" si="13"/>
        <v>#VALUE!</v>
      </c>
      <c r="H391" s="3" t="e">
        <f t="shared" si="12"/>
        <v>#VALUE!</v>
      </c>
      <c r="I391" s="1">
        <v>1</v>
      </c>
    </row>
    <row r="392" spans="1:9" x14ac:dyDescent="0.25">
      <c r="A392" s="1" t="s">
        <v>14435</v>
      </c>
      <c r="B392" s="1" t="s">
        <v>1093</v>
      </c>
      <c r="C392" s="1" t="str">
        <f>IFERROR(VLOOKUP(B392,'SB1'!$A$2:$B$999999,2,FALSE),"")</f>
        <v>MEZCLA ADHESIVA PLASTICA POXIMIX INTERIOR X 1,250 (518)</v>
      </c>
      <c r="D392" s="1" t="s">
        <v>14459</v>
      </c>
      <c r="E392" s="3">
        <f>IFERROR(VLOOKUP(B392,'DA1'!$B$2:$D$999999,3,FALSE),"")</f>
      </c>
      <c r="F392" s="1" t="str">
        <f>IFERROR(VLOOKUP(B392,'SB1'!$A$2:$C$999999,3,FALSE),"")</f>
        <v>503</v>
      </c>
      <c r="G392" s="3" t="e">
        <f t="shared" si="13"/>
        <v>#VALUE!</v>
      </c>
      <c r="H392" s="3" t="e">
        <f t="shared" si="12"/>
        <v>#VALUE!</v>
      </c>
      <c r="I392" s="1">
        <v>1</v>
      </c>
    </row>
    <row r="393" spans="1:9" x14ac:dyDescent="0.25">
      <c r="A393" s="1" t="s">
        <v>14435</v>
      </c>
      <c r="B393" s="1" t="s">
        <v>1095</v>
      </c>
      <c r="C393" s="1" t="str">
        <f>IFERROR(VLOOKUP(B393,'SB1'!$A$2:$B$999999,2,FALSE),"")</f>
        <v>MEZCLA ADHESIVA PLASTICA POXIMIX EXTERIOR X 0,500 (519)</v>
      </c>
      <c r="D393" s="1" t="s">
        <v>14459</v>
      </c>
      <c r="E393" s="3">
        <f>IFERROR(VLOOKUP(B393,'DA1'!$B$2:$D$999999,3,FALSE),"")</f>
      </c>
      <c r="F393" s="1" t="str">
        <f>IFERROR(VLOOKUP(B393,'SB1'!$A$2:$C$999999,3,FALSE),"")</f>
        <v>503</v>
      </c>
      <c r="G393" s="3" t="e">
        <f t="shared" si="13"/>
        <v>#VALUE!</v>
      </c>
      <c r="H393" s="3" t="e">
        <f t="shared" si="12"/>
        <v>#VALUE!</v>
      </c>
      <c r="I393" s="1">
        <v>1</v>
      </c>
    </row>
    <row r="394" spans="1:9" x14ac:dyDescent="0.25">
      <c r="A394" s="1" t="s">
        <v>14435</v>
      </c>
      <c r="B394" s="1" t="s">
        <v>1097</v>
      </c>
      <c r="C394" s="1" t="str">
        <f>IFERROR(VLOOKUP(B394,'SB1'!$A$2:$B$999999,2,FALSE),"")</f>
        <v>ADHESIVO DE CONTACTO POXIRRAN X 0,050</v>
      </c>
      <c r="D394" s="1" t="s">
        <v>14459</v>
      </c>
      <c r="E394" s="3">
        <f>IFERROR(VLOOKUP(B394,'DA1'!$B$2:$D$999999,3,FALSE),"")</f>
      </c>
      <c r="F394" s="1" t="str">
        <f>IFERROR(VLOOKUP(B394,'SB1'!$A$2:$C$999999,3,FALSE),"")</f>
        <v>503</v>
      </c>
      <c r="G394" s="3" t="e">
        <f t="shared" si="13"/>
        <v>#VALUE!</v>
      </c>
      <c r="H394" s="3" t="e">
        <f t="shared" si="12"/>
        <v>#VALUE!</v>
      </c>
      <c r="I394" s="1">
        <v>1</v>
      </c>
    </row>
    <row r="395" spans="1:9" x14ac:dyDescent="0.25">
      <c r="A395" s="1" t="s">
        <v>14435</v>
      </c>
      <c r="B395" s="1" t="s">
        <v>1099</v>
      </c>
      <c r="C395" s="1" t="str">
        <f>IFERROR(VLOOKUP(B395,'SB1'!$A$2:$B$999999,2,FALSE),"")</f>
        <v>ESMALTE SINTETICO PLAVICON 3EN1 BRILLANTE GRIS ESPACIAL X  1</v>
      </c>
      <c r="D395" s="1" t="s">
        <v>14458</v>
      </c>
      <c r="E395" s="3">
        <f>IFERROR(VLOOKUP(B395,'DA1'!$B$2:$D$999999,3,FALSE),"")</f>
      </c>
      <c r="F395" s="1" t="str">
        <f>IFERROR(VLOOKUP(B395,'SB1'!$A$2:$C$999999,3,FALSE),"")</f>
        <v>503</v>
      </c>
      <c r="G395" s="3" t="e">
        <f t="shared" si="13"/>
        <v>#VALUE!</v>
      </c>
      <c r="H395" s="3" t="e">
        <f t="shared" si="12"/>
        <v>#VALUE!</v>
      </c>
      <c r="I395" s="1">
        <v>1</v>
      </c>
    </row>
    <row r="396" spans="1:9" x14ac:dyDescent="0.25">
      <c r="A396" s="1" t="s">
        <v>14435</v>
      </c>
      <c r="B396" s="1" t="s">
        <v>1101</v>
      </c>
      <c r="C396" s="1" t="str">
        <f>IFERROR(VLOOKUP(B396,'SB1'!$A$2:$B$999999,2,FALSE),"")</f>
        <v>ESTOPA PARA LIMPIEZA LUMAR X 0,300 (33/A)</v>
      </c>
      <c r="D396" s="1" t="s">
        <v>14467</v>
      </c>
      <c r="E396" s="3">
        <f>IFERROR(VLOOKUP(B396,'DA1'!$B$2:$D$999999,3,FALSE),"")</f>
      </c>
      <c r="F396" s="1" t="str">
        <f>IFERROR(VLOOKUP(B396,'SB1'!$A$2:$C$999999,3,FALSE),"")</f>
        <v>503</v>
      </c>
      <c r="G396" s="3" t="e">
        <f t="shared" si="13"/>
        <v>#VALUE!</v>
      </c>
      <c r="H396" s="3" t="e">
        <f t="shared" si="12"/>
        <v>#VALUE!</v>
      </c>
      <c r="I396" s="1">
        <v>1</v>
      </c>
    </row>
    <row r="397" spans="1:9" x14ac:dyDescent="0.25">
      <c r="A397" s="1" t="s">
        <v>14435</v>
      </c>
      <c r="B397" s="1" t="s">
        <v>1103</v>
      </c>
      <c r="C397" s="1" t="str">
        <f>IFERROR(VLOOKUP(B397,'SB1'!$A$2:$B$999999,2,FALSE),"")</f>
        <v>LIJA TELA ESMERIL DOBLE A N  36</v>
      </c>
      <c r="D397" s="1" t="s">
        <v>14451</v>
      </c>
      <c r="E397" s="3">
        <f>IFERROR(VLOOKUP(B397,'DA1'!$B$2:$D$999999,3,FALSE),"")</f>
      </c>
      <c r="F397" s="1" t="str">
        <f>IFERROR(VLOOKUP(B397,'SB1'!$A$2:$C$999999,3,FALSE),"")</f>
        <v>503</v>
      </c>
      <c r="G397" s="3" t="e">
        <f t="shared" si="13"/>
        <v>#VALUE!</v>
      </c>
      <c r="H397" s="3" t="e">
        <f t="shared" si="12"/>
        <v>#VALUE!</v>
      </c>
      <c r="I397" s="1">
        <v>1</v>
      </c>
    </row>
    <row r="398" spans="1:9" x14ac:dyDescent="0.25">
      <c r="A398" s="1" t="s">
        <v>14435</v>
      </c>
      <c r="B398" s="1" t="s">
        <v>1105</v>
      </c>
      <c r="C398" s="1" t="str">
        <f>IFERROR(VLOOKUP(B398,'SB1'!$A$2:$B$999999,2,FALSE),"")</f>
        <v>SILICONA FASTIX TRANSPARENTE X 100</v>
      </c>
      <c r="D398" s="1" t="s">
        <v>14459</v>
      </c>
      <c r="E398" s="3">
        <f>IFERROR(VLOOKUP(B398,'DA1'!$B$2:$D$999999,3,FALSE),"")</f>
      </c>
      <c r="F398" s="1" t="str">
        <f>IFERROR(VLOOKUP(B398,'SB1'!$A$2:$C$999999,3,FALSE),"")</f>
        <v>503</v>
      </c>
      <c r="G398" s="3" t="e">
        <f t="shared" si="13"/>
        <v>#VALUE!</v>
      </c>
      <c r="H398" s="3" t="e">
        <f t="shared" si="12"/>
        <v>#VALUE!</v>
      </c>
      <c r="I398" s="1">
        <v>1</v>
      </c>
    </row>
    <row r="399" spans="1:9" x14ac:dyDescent="0.25">
      <c r="A399" s="1" t="s">
        <v>14435</v>
      </c>
      <c r="B399" s="1" t="s">
        <v>1107</v>
      </c>
      <c r="C399" s="1" t="str">
        <f>IFERROR(VLOOKUP(B399,'SB1'!$A$2:$B$999999,2,FALSE),"")</f>
        <v>PINCELETA ROSARPIN 9000 C.CH.40</v>
      </c>
      <c r="D399" s="1" t="s">
        <v>14460</v>
      </c>
      <c r="E399" s="3">
        <f>IFERROR(VLOOKUP(B399,'DA1'!$B$2:$D$999999,3,FALSE),"")</f>
      </c>
      <c r="F399" s="1" t="str">
        <f>IFERROR(VLOOKUP(B399,'SB1'!$A$2:$C$999999,3,FALSE),"")</f>
        <v>503</v>
      </c>
      <c r="G399" s="3" t="e">
        <f t="shared" si="13"/>
        <v>#VALUE!</v>
      </c>
      <c r="H399" s="3" t="e">
        <f t="shared" si="12"/>
        <v>#VALUE!</v>
      </c>
      <c r="I399" s="1">
        <v>1</v>
      </c>
    </row>
    <row r="400" spans="1:9" x14ac:dyDescent="0.25">
      <c r="A400" s="1" t="s">
        <v>14435</v>
      </c>
      <c r="B400" s="1" t="s">
        <v>1109</v>
      </c>
      <c r="C400" s="1" t="str">
        <f>IFERROR(VLOOKUP(B400,'SB1'!$A$2:$B$999999,2,FALSE),"")</f>
        <v>MEZCLA ADHESIVA PLASTICA POXIMIX EXTERIOR X 1,250 (520)</v>
      </c>
      <c r="D400" s="1" t="s">
        <v>14459</v>
      </c>
      <c r="E400" s="3">
        <f>IFERROR(VLOOKUP(B400,'DA1'!$B$2:$D$999999,3,FALSE),"")</f>
      </c>
      <c r="F400" s="1" t="str">
        <f>IFERROR(VLOOKUP(B400,'SB1'!$A$2:$C$999999,3,FALSE),"")</f>
        <v>503</v>
      </c>
      <c r="G400" s="3" t="e">
        <f t="shared" si="13"/>
        <v>#VALUE!</v>
      </c>
      <c r="H400" s="3" t="e">
        <f t="shared" si="12"/>
        <v>#VALUE!</v>
      </c>
      <c r="I400" s="1">
        <v>1</v>
      </c>
    </row>
    <row r="401" spans="1:9" x14ac:dyDescent="0.25">
      <c r="A401" s="1" t="s">
        <v>14435</v>
      </c>
      <c r="B401" s="1" t="s">
        <v>1111</v>
      </c>
      <c r="C401" s="1" t="str">
        <f>IFERROR(VLOOKUP(B401,'SB1'!$A$2:$B$999999,2,FALSE),"")</f>
        <v>PINCELETA ROSARPIN 50 STAN.40</v>
      </c>
      <c r="D401" s="1" t="s">
        <v>14460</v>
      </c>
      <c r="E401" s="3">
        <f>IFERROR(VLOOKUP(B401,'DA1'!$B$2:$D$999999,3,FALSE),"")</f>
      </c>
      <c r="F401" s="1" t="str">
        <f>IFERROR(VLOOKUP(B401,'SB1'!$A$2:$C$999999,3,FALSE),"")</f>
        <v>503</v>
      </c>
      <c r="G401" s="3" t="e">
        <f t="shared" si="13"/>
        <v>#VALUE!</v>
      </c>
      <c r="H401" s="3" t="e">
        <f t="shared" si="12"/>
        <v>#VALUE!</v>
      </c>
      <c r="I401" s="1">
        <v>1</v>
      </c>
    </row>
    <row r="402" spans="1:9" x14ac:dyDescent="0.25">
      <c r="A402" s="1" t="s">
        <v>14435</v>
      </c>
      <c r="B402" s="1" t="s">
        <v>1113</v>
      </c>
      <c r="C402" s="1" t="str">
        <f>IFERROR(VLOOKUP(B402,'SB1'!$A$2:$B$999999,2,FALSE),"")</f>
        <v>PANO DE CORDERO ZEOCAR CON ABROJO 8 (120)</v>
      </c>
      <c r="D402" s="1" t="s">
        <v>14473</v>
      </c>
      <c r="E402" s="3">
        <f>IFERROR(VLOOKUP(B402,'DA1'!$B$2:$D$999999,3,FALSE),"")</f>
      </c>
      <c r="F402" s="1" t="str">
        <f>IFERROR(VLOOKUP(B402,'SB1'!$A$2:$C$999999,3,FALSE),"")</f>
        <v>503</v>
      </c>
      <c r="G402" s="3" t="e">
        <f t="shared" si="13"/>
        <v>#VALUE!</v>
      </c>
      <c r="H402" s="3" t="e">
        <f t="shared" si="12"/>
        <v>#VALUE!</v>
      </c>
      <c r="I402" s="1">
        <v>1</v>
      </c>
    </row>
    <row r="403" spans="1:9" x14ac:dyDescent="0.25">
      <c r="A403" s="1" t="s">
        <v>14435</v>
      </c>
      <c r="B403" s="1" t="s">
        <v>1115</v>
      </c>
      <c r="C403" s="1" t="str">
        <f>IFERROR(VLOOKUP(B403,'SB1'!$A$2:$B$999999,2,FALSE),"")</f>
        <v>PANO DE CORDERO DOBLE ZEOCAR CON ABROJO 8 (121)</v>
      </c>
      <c r="D403" s="1" t="s">
        <v>14473</v>
      </c>
      <c r="E403" s="3">
        <f>IFERROR(VLOOKUP(B403,'DA1'!$B$2:$D$999999,3,FALSE),"")</f>
      </c>
      <c r="F403" s="1" t="str">
        <f>IFERROR(VLOOKUP(B403,'SB1'!$A$2:$C$999999,3,FALSE),"")</f>
        <v>503</v>
      </c>
      <c r="G403" s="3" t="e">
        <f t="shared" si="13"/>
        <v>#VALUE!</v>
      </c>
      <c r="H403" s="3" t="e">
        <f t="shared" si="12"/>
        <v>#VALUE!</v>
      </c>
      <c r="I403" s="1">
        <v>1</v>
      </c>
    </row>
    <row r="404" spans="1:9" x14ac:dyDescent="0.25">
      <c r="A404" s="1" t="s">
        <v>14435</v>
      </c>
      <c r="B404" s="1" t="s">
        <v>1117</v>
      </c>
      <c r="C404" s="1" t="str">
        <f>IFERROR(VLOOKUP(B404,'SB1'!$A$2:$B$999999,2,FALSE),"")</f>
        <v>PANO DE GOMA ESPUMA ZEOCAR CON ABROJO 8 NEGRO (130)</v>
      </c>
      <c r="D404" s="1" t="s">
        <v>14473</v>
      </c>
      <c r="E404" s="3">
        <f>IFERROR(VLOOKUP(B404,'DA1'!$B$2:$D$999999,3,FALSE),"")</f>
      </c>
      <c r="F404" s="1" t="str">
        <f>IFERROR(VLOOKUP(B404,'SB1'!$A$2:$C$999999,3,FALSE),"")</f>
        <v>503</v>
      </c>
      <c r="G404" s="3" t="e">
        <f t="shared" si="13"/>
        <v>#VALUE!</v>
      </c>
      <c r="H404" s="3" t="e">
        <f t="shared" si="12"/>
        <v>#VALUE!</v>
      </c>
      <c r="I404" s="1">
        <v>1</v>
      </c>
    </row>
    <row r="405" spans="1:9" x14ac:dyDescent="0.25">
      <c r="A405" s="1" t="s">
        <v>14435</v>
      </c>
      <c r="B405" s="1" t="s">
        <v>1119</v>
      </c>
      <c r="C405" s="1" t="str">
        <f>IFERROR(VLOOKUP(B405,'SB1'!$A$2:$B$999999,2,FALSE),"")</f>
        <v>PANO DE GOMA ESPUMA ZEOCAR DOBLE 8 (131)</v>
      </c>
      <c r="D405" s="1" t="s">
        <v>14473</v>
      </c>
      <c r="E405" s="3">
        <f>IFERROR(VLOOKUP(B405,'DA1'!$B$2:$D$999999,3,FALSE),"")</f>
      </c>
      <c r="F405" s="1" t="str">
        <f>IFERROR(VLOOKUP(B405,'SB1'!$A$2:$C$999999,3,FALSE),"")</f>
        <v>503</v>
      </c>
      <c r="G405" s="3" t="e">
        <f t="shared" si="13"/>
        <v>#VALUE!</v>
      </c>
      <c r="H405" s="3" t="e">
        <f t="shared" si="12"/>
        <v>#VALUE!</v>
      </c>
      <c r="I405" s="1">
        <v>1</v>
      </c>
    </row>
    <row r="406" spans="1:9" x14ac:dyDescent="0.25">
      <c r="A406" s="1" t="s">
        <v>14435</v>
      </c>
      <c r="B406" s="1" t="s">
        <v>1121</v>
      </c>
      <c r="C406" s="1" t="str">
        <f>IFERROR(VLOOKUP(B406,'SB1'!$A$2:$B$999999,2,FALSE),"")</f>
        <v>ADAPTADOR ZEOCAR DE M14 A 5/8 (100)</v>
      </c>
      <c r="D406" s="1" t="s">
        <v>14473</v>
      </c>
      <c r="E406" s="3">
        <f>IFERROR(VLOOKUP(B406,'DA1'!$B$2:$D$999999,3,FALSE),"")</f>
      </c>
      <c r="F406" s="1" t="str">
        <f>IFERROR(VLOOKUP(B406,'SB1'!$A$2:$C$999999,3,FALSE),"")</f>
        <v>503</v>
      </c>
      <c r="G406" s="3" t="e">
        <f t="shared" si="13"/>
        <v>#VALUE!</v>
      </c>
      <c r="H406" s="3" t="e">
        <f t="shared" si="12"/>
        <v>#VALUE!</v>
      </c>
      <c r="I406" s="1">
        <v>1</v>
      </c>
    </row>
    <row r="407" spans="1:9" x14ac:dyDescent="0.25">
      <c r="A407" s="1" t="s">
        <v>14435</v>
      </c>
      <c r="B407" s="1" t="s">
        <v>1123</v>
      </c>
      <c r="C407" s="1" t="str">
        <f>IFERROR(VLOOKUP(B407,'SB1'!$A$2:$B$999999,2,FALSE),"")</f>
        <v>LIJA TELA ESMERIL DOBLE A N 120</v>
      </c>
      <c r="D407" s="1" t="s">
        <v>14451</v>
      </c>
      <c r="E407" s="3">
        <f>IFERROR(VLOOKUP(B407,'DA1'!$B$2:$D$999999,3,FALSE),"")</f>
      </c>
      <c r="F407" s="1" t="str">
        <f>IFERROR(VLOOKUP(B407,'SB1'!$A$2:$C$999999,3,FALSE),"")</f>
        <v>503</v>
      </c>
      <c r="G407" s="3" t="e">
        <f t="shared" si="13"/>
        <v>#VALUE!</v>
      </c>
      <c r="H407" s="3" t="e">
        <f t="shared" si="12"/>
        <v>#VALUE!</v>
      </c>
      <c r="I407" s="1">
        <v>1</v>
      </c>
    </row>
    <row r="408" spans="1:9" x14ac:dyDescent="0.25">
      <c r="A408" s="1" t="s">
        <v>14435</v>
      </c>
      <c r="B408" s="1" t="s">
        <v>1125</v>
      </c>
      <c r="C408" s="1" t="str">
        <f>IFERROR(VLOOKUP(B408,'SB1'!$A$2:$B$999999,2,FALSE),"")</f>
        <v>LIJA TELA ESMERIL DOBLE A N  80</v>
      </c>
      <c r="D408" s="1" t="s">
        <v>14451</v>
      </c>
      <c r="E408" s="3">
        <f>IFERROR(VLOOKUP(B408,'DA1'!$B$2:$D$999999,3,FALSE),"")</f>
      </c>
      <c r="F408" s="1" t="str">
        <f>IFERROR(VLOOKUP(B408,'SB1'!$A$2:$C$999999,3,FALSE),"")</f>
        <v>503</v>
      </c>
      <c r="G408" s="3" t="e">
        <f t="shared" si="13"/>
        <v>#VALUE!</v>
      </c>
      <c r="H408" s="3" t="e">
        <f t="shared" ref="H408:H471" si="14">G408*1.21</f>
        <v>#VALUE!</v>
      </c>
      <c r="I408" s="1">
        <v>1</v>
      </c>
    </row>
    <row r="409" spans="1:9" x14ac:dyDescent="0.25">
      <c r="A409" s="1" t="s">
        <v>14435</v>
      </c>
      <c r="B409" s="1" t="s">
        <v>1127</v>
      </c>
      <c r="C409" s="1" t="str">
        <f>IFERROR(VLOOKUP(B409,'SB1'!$A$2:$B$999999,2,FALSE),"")</f>
        <v>LIJA TELA ESMERIL DOBLE A N  50</v>
      </c>
      <c r="D409" s="1" t="s">
        <v>14451</v>
      </c>
      <c r="E409" s="3">
        <f>IFERROR(VLOOKUP(B409,'DA1'!$B$2:$D$999999,3,FALSE),"")</f>
      </c>
      <c r="F409" s="1" t="str">
        <f>IFERROR(VLOOKUP(B409,'SB1'!$A$2:$C$999999,3,FALSE),"")</f>
        <v>503</v>
      </c>
      <c r="G409" s="3" t="e">
        <f t="shared" si="13"/>
        <v>#VALUE!</v>
      </c>
      <c r="H409" s="3" t="e">
        <f t="shared" si="14"/>
        <v>#VALUE!</v>
      </c>
      <c r="I409" s="1">
        <v>1</v>
      </c>
    </row>
    <row r="410" spans="1:9" x14ac:dyDescent="0.25">
      <c r="A410" s="1" t="s">
        <v>14435</v>
      </c>
      <c r="B410" s="1" t="s">
        <v>1129</v>
      </c>
      <c r="C410" s="1" t="str">
        <f>IFERROR(VLOOKUP(B410,'SB1'!$A$2:$B$999999,2,FALSE),"")</f>
        <v>PINCELETA ROSARPIN 150 P.S 40</v>
      </c>
      <c r="D410" s="1" t="s">
        <v>14460</v>
      </c>
      <c r="E410" s="3">
        <f>IFERROR(VLOOKUP(B410,'DA1'!$B$2:$D$999999,3,FALSE),"")</f>
      </c>
      <c r="F410" s="1" t="str">
        <f>IFERROR(VLOOKUP(B410,'SB1'!$A$2:$C$999999,3,FALSE),"")</f>
        <v>503</v>
      </c>
      <c r="G410" s="3" t="e">
        <f t="shared" si="13"/>
        <v>#VALUE!</v>
      </c>
      <c r="H410" s="3" t="e">
        <f t="shared" si="14"/>
        <v>#VALUE!</v>
      </c>
      <c r="I410" s="1">
        <v>1</v>
      </c>
    </row>
    <row r="411" spans="1:9" x14ac:dyDescent="0.25">
      <c r="A411" s="1" t="s">
        <v>14435</v>
      </c>
      <c r="B411" s="1" t="s">
        <v>1131</v>
      </c>
      <c r="C411" s="1" t="str">
        <f>IFERROR(VLOOKUP(B411,'SB1'!$A$2:$B$999999,2,FALSE),"")</f>
        <v>LIJA TELA ESMERIL DOBLE A N 180</v>
      </c>
      <c r="D411" s="1" t="s">
        <v>14451</v>
      </c>
      <c r="E411" s="3">
        <f>IFERROR(VLOOKUP(B411,'DA1'!$B$2:$D$999999,3,FALSE),"")</f>
      </c>
      <c r="F411" s="1" t="str">
        <f>IFERROR(VLOOKUP(B411,'SB1'!$A$2:$C$999999,3,FALSE),"")</f>
        <v>503</v>
      </c>
      <c r="G411" s="3" t="e">
        <f t="shared" si="13"/>
        <v>#VALUE!</v>
      </c>
      <c r="H411" s="3" t="e">
        <f t="shared" si="14"/>
        <v>#VALUE!</v>
      </c>
      <c r="I411" s="1">
        <v>1</v>
      </c>
    </row>
    <row r="412" spans="1:9" x14ac:dyDescent="0.25">
      <c r="A412" s="1" t="s">
        <v>14435</v>
      </c>
      <c r="B412" s="1" t="s">
        <v>1133</v>
      </c>
      <c r="C412" s="1" t="str">
        <f>IFERROR(VLOOKUP(B412,'SB1'!$A$2:$B$999999,2,FALSE),"")</f>
        <v>PINCEL ROSARPIN 170 V1 NO.10</v>
      </c>
      <c r="D412" s="1" t="s">
        <v>14460</v>
      </c>
      <c r="E412" s="3">
        <f>IFERROR(VLOOKUP(B412,'DA1'!$B$2:$D$999999,3,FALSE),"")</f>
      </c>
      <c r="F412" s="1" t="str">
        <f>IFERROR(VLOOKUP(B412,'SB1'!$A$2:$C$999999,3,FALSE),"")</f>
        <v>503</v>
      </c>
      <c r="G412" s="3" t="e">
        <f t="shared" si="13"/>
        <v>#VALUE!</v>
      </c>
      <c r="H412" s="3" t="e">
        <f t="shared" si="14"/>
        <v>#VALUE!</v>
      </c>
      <c r="I412" s="1">
        <v>1</v>
      </c>
    </row>
    <row r="413" spans="1:9" x14ac:dyDescent="0.25">
      <c r="A413" s="1" t="s">
        <v>14435</v>
      </c>
      <c r="B413" s="1" t="s">
        <v>1135</v>
      </c>
      <c r="C413" s="1" t="str">
        <f>IFERROR(VLOOKUP(B413,'SB1'!$A$2:$B$999999,2,FALSE),"")</f>
        <v>PINCEL ROSARPIN 170 V1 NO.15</v>
      </c>
      <c r="D413" s="1" t="s">
        <v>14460</v>
      </c>
      <c r="E413" s="3">
        <f>IFERROR(VLOOKUP(B413,'DA1'!$B$2:$D$999999,3,FALSE),"")</f>
      </c>
      <c r="F413" s="1" t="str">
        <f>IFERROR(VLOOKUP(B413,'SB1'!$A$2:$C$999999,3,FALSE),"")</f>
        <v>503</v>
      </c>
      <c r="G413" s="3" t="e">
        <f t="shared" si="13"/>
        <v>#VALUE!</v>
      </c>
      <c r="H413" s="3" t="e">
        <f t="shared" si="14"/>
        <v>#VALUE!</v>
      </c>
      <c r="I413" s="1">
        <v>1</v>
      </c>
    </row>
    <row r="414" spans="1:9" x14ac:dyDescent="0.25">
      <c r="A414" s="1" t="s">
        <v>14435</v>
      </c>
      <c r="B414" s="1" t="s">
        <v>1137</v>
      </c>
      <c r="C414" s="1" t="str">
        <f>IFERROR(VLOOKUP(B414,'SB1'!$A$2:$B$999999,2,FALSE),"")</f>
        <v>PINCEL ROSARPIN 170 V1 NO.20</v>
      </c>
      <c r="D414" s="1" t="s">
        <v>14460</v>
      </c>
      <c r="E414" s="3">
        <f>IFERROR(VLOOKUP(B414,'DA1'!$B$2:$D$999999,3,FALSE),"")</f>
      </c>
      <c r="F414" s="1" t="str">
        <f>IFERROR(VLOOKUP(B414,'SB1'!$A$2:$C$999999,3,FALSE),"")</f>
        <v>503</v>
      </c>
      <c r="G414" s="3" t="e">
        <f t="shared" si="13"/>
        <v>#VALUE!</v>
      </c>
      <c r="H414" s="3" t="e">
        <f t="shared" si="14"/>
        <v>#VALUE!</v>
      </c>
      <c r="I414" s="1">
        <v>1</v>
      </c>
    </row>
    <row r="415" spans="1:9" x14ac:dyDescent="0.25">
      <c r="A415" s="1" t="s">
        <v>14435</v>
      </c>
      <c r="B415" s="1" t="s">
        <v>1139</v>
      </c>
      <c r="C415" s="1" t="str">
        <f>IFERROR(VLOOKUP(B415,'SB1'!$A$2:$B$999999,2,FALSE),"")</f>
        <v>PINCEL ROSARPIN 170 V1 NO.25</v>
      </c>
      <c r="D415" s="1" t="s">
        <v>14460</v>
      </c>
      <c r="E415" s="3">
        <f>IFERROR(VLOOKUP(B415,'DA1'!$B$2:$D$999999,3,FALSE),"")</f>
      </c>
      <c r="F415" s="1" t="str">
        <f>IFERROR(VLOOKUP(B415,'SB1'!$A$2:$C$999999,3,FALSE),"")</f>
        <v>503</v>
      </c>
      <c r="G415" s="3" t="e">
        <f t="shared" si="13"/>
        <v>#VALUE!</v>
      </c>
      <c r="H415" s="3" t="e">
        <f t="shared" si="14"/>
        <v>#VALUE!</v>
      </c>
      <c r="I415" s="1">
        <v>1</v>
      </c>
    </row>
    <row r="416" spans="1:9" x14ac:dyDescent="0.25">
      <c r="A416" s="1" t="s">
        <v>14435</v>
      </c>
      <c r="B416" s="1" t="s">
        <v>1141</v>
      </c>
      <c r="C416" s="1" t="str">
        <f>IFERROR(VLOOKUP(B416,'SB1'!$A$2:$B$999999,2,FALSE),"")</f>
        <v>PINCEL ROSARPIN 170 V1 NO.30</v>
      </c>
      <c r="D416" s="1" t="s">
        <v>14460</v>
      </c>
      <c r="E416" s="3">
        <f>IFERROR(VLOOKUP(B416,'DA1'!$B$2:$D$999999,3,FALSE),"")</f>
      </c>
      <c r="F416" s="1" t="str">
        <f>IFERROR(VLOOKUP(B416,'SB1'!$A$2:$C$999999,3,FALSE),"")</f>
        <v>503</v>
      </c>
      <c r="G416" s="3" t="e">
        <f t="shared" si="13"/>
        <v>#VALUE!</v>
      </c>
      <c r="H416" s="3" t="e">
        <f t="shared" si="14"/>
        <v>#VALUE!</v>
      </c>
      <c r="I416" s="1">
        <v>1</v>
      </c>
    </row>
    <row r="417" spans="1:9" x14ac:dyDescent="0.25">
      <c r="A417" s="1" t="s">
        <v>14435</v>
      </c>
      <c r="B417" s="1" t="s">
        <v>1143</v>
      </c>
      <c r="C417" s="1" t="str">
        <f>IFERROR(VLOOKUP(B417,'SB1'!$A$2:$B$999999,2,FALSE),"")</f>
        <v>ESMALTE SINTETICO PLAVICON 3EN1 BRILLANTE GRIS ESPACIAL X  4</v>
      </c>
      <c r="D417" s="1" t="s">
        <v>14458</v>
      </c>
      <c r="E417" s="3">
        <f>IFERROR(VLOOKUP(B417,'DA1'!$B$2:$D$999999,3,FALSE),"")</f>
      </c>
      <c r="F417" s="1" t="str">
        <f>IFERROR(VLOOKUP(B417,'SB1'!$A$2:$C$999999,3,FALSE),"")</f>
        <v>503</v>
      </c>
      <c r="G417" s="3" t="e">
        <f t="shared" si="13"/>
        <v>#VALUE!</v>
      </c>
      <c r="H417" s="3" t="e">
        <f t="shared" si="14"/>
        <v>#VALUE!</v>
      </c>
      <c r="I417" s="1">
        <v>1</v>
      </c>
    </row>
    <row r="418" spans="1:9" x14ac:dyDescent="0.25">
      <c r="A418" s="1" t="s">
        <v>14435</v>
      </c>
      <c r="B418" s="1" t="s">
        <v>1145</v>
      </c>
      <c r="C418" s="1" t="str">
        <f>IFERROR(VLOOKUP(B418,'SB1'!$A$2:$B$999999,2,FALSE),"")</f>
        <v>ESMALTE SINTETICO PLAVICON 3EN1 BRILLANTE GRIS ESPACIAL X 20</v>
      </c>
      <c r="D418" s="1" t="s">
        <v>14458</v>
      </c>
      <c r="E418" s="3">
        <f>IFERROR(VLOOKUP(B418,'DA1'!$B$2:$D$999999,3,FALSE),"")</f>
      </c>
      <c r="F418" s="1" t="str">
        <f>IFERROR(VLOOKUP(B418,'SB1'!$A$2:$C$999999,3,FALSE),"")</f>
        <v>503</v>
      </c>
      <c r="G418" s="3" t="e">
        <f t="shared" si="13"/>
        <v>#VALUE!</v>
      </c>
      <c r="H418" s="3" t="e">
        <f t="shared" si="14"/>
        <v>#VALUE!</v>
      </c>
      <c r="I418" s="1">
        <v>1</v>
      </c>
    </row>
    <row r="419" spans="1:9" x14ac:dyDescent="0.25">
      <c r="A419" s="1" t="s">
        <v>14435</v>
      </c>
      <c r="B419" s="1" t="s">
        <v>1147</v>
      </c>
      <c r="C419" s="1" t="str">
        <f>IFERROR(VLOOKUP(B419,'SB1'!$A$2:$B$999999,2,FALSE),"")</f>
        <v>ESMALTE SINTETICO PLAVICON 3EN1 BRILLANTE VERDE NOCHE X  0,250</v>
      </c>
      <c r="D419" s="1" t="s">
        <v>14439</v>
      </c>
      <c r="E419" s="3">
        <f>IFERROR(VLOOKUP(B419,'DA1'!$B$2:$D$999999,3,FALSE),"")</f>
      </c>
      <c r="F419" s="1" t="str">
        <f>IFERROR(VLOOKUP(B419,'SB1'!$A$2:$C$999999,3,FALSE),"")</f>
        <v>503</v>
      </c>
      <c r="G419" s="3" t="e">
        <f t="shared" si="13"/>
        <v>#VALUE!</v>
      </c>
      <c r="H419" s="3" t="e">
        <f t="shared" si="14"/>
        <v>#VALUE!</v>
      </c>
      <c r="I419" s="1">
        <v>1</v>
      </c>
    </row>
    <row r="420" spans="1:9" x14ac:dyDescent="0.25">
      <c r="A420" s="1" t="s">
        <v>14435</v>
      </c>
      <c r="B420" s="1" t="s">
        <v>1149</v>
      </c>
      <c r="C420" s="1" t="str">
        <f>IFERROR(VLOOKUP(B420,'SB1'!$A$2:$B$999999,2,FALSE),"")</f>
        <v>ESMALTE SINTETICO PLAVICON 3EN1 BRILLANTE VERDE NOCHE X  0,500</v>
      </c>
      <c r="D420" s="1" t="s">
        <v>14458</v>
      </c>
      <c r="E420" s="3">
        <f>IFERROR(VLOOKUP(B420,'DA1'!$B$2:$D$999999,3,FALSE),"")</f>
      </c>
      <c r="F420" s="1" t="str">
        <f>IFERROR(VLOOKUP(B420,'SB1'!$A$2:$C$999999,3,FALSE),"")</f>
        <v>503</v>
      </c>
      <c r="G420" s="3" t="e">
        <f t="shared" si="13"/>
        <v>#VALUE!</v>
      </c>
      <c r="H420" s="3" t="e">
        <f t="shared" si="14"/>
        <v>#VALUE!</v>
      </c>
      <c r="I420" s="1">
        <v>1</v>
      </c>
    </row>
    <row r="421" spans="1:9" x14ac:dyDescent="0.25">
      <c r="A421" s="1" t="s">
        <v>14435</v>
      </c>
      <c r="B421" s="1" t="s">
        <v>1151</v>
      </c>
      <c r="C421" s="1" t="str">
        <f>IFERROR(VLOOKUP(B421,'SB1'!$A$2:$B$999999,2,FALSE),"")</f>
        <v>ESMALTE SINTETICO PLAVICON 3EN1 BRILLANTE VERDE NOCHE X  1</v>
      </c>
      <c r="D421" s="1" t="s">
        <v>14458</v>
      </c>
      <c r="E421" s="3">
        <f>IFERROR(VLOOKUP(B421,'DA1'!$B$2:$D$999999,3,FALSE),"")</f>
      </c>
      <c r="F421" s="1" t="str">
        <f>IFERROR(VLOOKUP(B421,'SB1'!$A$2:$C$999999,3,FALSE),"")</f>
        <v>503</v>
      </c>
      <c r="G421" s="3" t="e">
        <f t="shared" si="13"/>
        <v>#VALUE!</v>
      </c>
      <c r="H421" s="3" t="e">
        <f t="shared" si="14"/>
        <v>#VALUE!</v>
      </c>
      <c r="I421" s="1">
        <v>1</v>
      </c>
    </row>
    <row r="422" spans="1:9" x14ac:dyDescent="0.25">
      <c r="A422" s="1" t="s">
        <v>14435</v>
      </c>
      <c r="B422" s="1" t="s">
        <v>1153</v>
      </c>
      <c r="C422" s="1" t="str">
        <f>IFERROR(VLOOKUP(B422,'SB1'!$A$2:$B$999999,2,FALSE),"")</f>
        <v>LIJA AL AGUA DOBLE A #   60</v>
      </c>
      <c r="D422" s="1" t="s">
        <v>14451</v>
      </c>
      <c r="E422" s="3">
        <f>IFERROR(VLOOKUP(B422,'DA1'!$B$2:$D$999999,3,FALSE),"")</f>
      </c>
      <c r="F422" s="1" t="str">
        <f>IFERROR(VLOOKUP(B422,'SB1'!$A$2:$C$999999,3,FALSE),"")</f>
        <v>503</v>
      </c>
      <c r="G422" s="3" t="e">
        <f t="shared" si="13"/>
        <v>#VALUE!</v>
      </c>
      <c r="H422" s="3" t="e">
        <f t="shared" si="14"/>
        <v>#VALUE!</v>
      </c>
      <c r="I422" s="1">
        <v>1</v>
      </c>
    </row>
    <row r="423" spans="1:9" x14ac:dyDescent="0.25">
      <c r="A423" s="1" t="s">
        <v>14435</v>
      </c>
      <c r="B423" s="1" t="s">
        <v>1155</v>
      </c>
      <c r="C423" s="1" t="str">
        <f>IFERROR(VLOOKUP(B423,'SB1'!$A$2:$B$999999,2,FALSE),"")</f>
        <v>LIJA AL AGUA DOBLE A # 1000 (MG)</v>
      </c>
      <c r="D423" s="1" t="s">
        <v>14451</v>
      </c>
      <c r="E423" s="3">
        <f>IFERROR(VLOOKUP(B423,'DA1'!$B$2:$D$999999,3,FALSE),"")</f>
      </c>
      <c r="F423" s="1" t="str">
        <f>IFERROR(VLOOKUP(B423,'SB1'!$A$2:$C$999999,3,FALSE),"")</f>
        <v>503</v>
      </c>
      <c r="G423" s="3" t="e">
        <f t="shared" si="13"/>
        <v>#VALUE!</v>
      </c>
      <c r="H423" s="3" t="e">
        <f t="shared" si="14"/>
        <v>#VALUE!</v>
      </c>
      <c r="I423" s="1">
        <v>1</v>
      </c>
    </row>
    <row r="424" spans="1:9" x14ac:dyDescent="0.25">
      <c r="A424" s="1" t="s">
        <v>14435</v>
      </c>
      <c r="B424" s="1" t="s">
        <v>1157</v>
      </c>
      <c r="C424" s="1" t="str">
        <f>IFERROR(VLOOKUP(B424,'SB1'!$A$2:$B$999999,2,FALSE),"")</f>
        <v>LIJA AL AGUA DOBLE A # 1200 (MG)</v>
      </c>
      <c r="D424" s="1" t="s">
        <v>14451</v>
      </c>
      <c r="E424" s="3">
        <f>IFERROR(VLOOKUP(B424,'DA1'!$B$2:$D$999999,3,FALSE),"")</f>
      </c>
      <c r="F424" s="1" t="str">
        <f>IFERROR(VLOOKUP(B424,'SB1'!$A$2:$C$999999,3,FALSE),"")</f>
        <v>503</v>
      </c>
      <c r="G424" s="3" t="e">
        <f t="shared" si="13"/>
        <v>#VALUE!</v>
      </c>
      <c r="H424" s="3" t="e">
        <f t="shared" si="14"/>
        <v>#VALUE!</v>
      </c>
      <c r="I424" s="1">
        <v>1</v>
      </c>
    </row>
    <row r="425" spans="1:9" x14ac:dyDescent="0.25">
      <c r="A425" s="1" t="s">
        <v>14435</v>
      </c>
      <c r="B425" s="1" t="s">
        <v>1159</v>
      </c>
      <c r="C425" s="1" t="str">
        <f>IFERROR(VLOOKUP(B425,'SB1'!$A$2:$B$999999,2,FALSE),"")</f>
        <v>ESMALTE SINTETICO PLAVICON 3EN1 BRILLANTE VERDE NOCHE X  4</v>
      </c>
      <c r="D425" s="1" t="s">
        <v>14458</v>
      </c>
      <c r="E425" s="3">
        <f>IFERROR(VLOOKUP(B425,'DA1'!$B$2:$D$999999,3,FALSE),"")</f>
      </c>
      <c r="F425" s="1" t="str">
        <f>IFERROR(VLOOKUP(B425,'SB1'!$A$2:$C$999999,3,FALSE),"")</f>
        <v>503</v>
      </c>
      <c r="G425" s="3" t="e">
        <f t="shared" si="13"/>
        <v>#VALUE!</v>
      </c>
      <c r="H425" s="3" t="e">
        <f t="shared" si="14"/>
        <v>#VALUE!</v>
      </c>
      <c r="I425" s="1">
        <v>1</v>
      </c>
    </row>
    <row r="426" spans="1:9" x14ac:dyDescent="0.25">
      <c r="A426" s="1" t="s">
        <v>14435</v>
      </c>
      <c r="B426" s="1" t="s">
        <v>1161</v>
      </c>
      <c r="C426" s="1" t="str">
        <f>IFERROR(VLOOKUP(B426,'SB1'!$A$2:$B$999999,2,FALSE),"")</f>
        <v>ESMALTE SINTETICO PLAVICON 3EN1 BRILLANTE VERDE NOCHE X 20</v>
      </c>
      <c r="D426" s="1" t="s">
        <v>14458</v>
      </c>
      <c r="E426" s="3">
        <f>IFERROR(VLOOKUP(B426,'DA1'!$B$2:$D$999999,3,FALSE),"")</f>
      </c>
      <c r="F426" s="1" t="str">
        <f>IFERROR(VLOOKUP(B426,'SB1'!$A$2:$C$999999,3,FALSE),"")</f>
        <v>503</v>
      </c>
      <c r="G426" s="3" t="e">
        <f t="shared" si="13"/>
        <v>#VALUE!</v>
      </c>
      <c r="H426" s="3" t="e">
        <f t="shared" si="14"/>
        <v>#VALUE!</v>
      </c>
      <c r="I426" s="1">
        <v>1</v>
      </c>
    </row>
    <row r="427" spans="1:9" x14ac:dyDescent="0.25">
      <c r="A427" s="1" t="s">
        <v>14435</v>
      </c>
      <c r="B427" s="1" t="s">
        <v>1163</v>
      </c>
      <c r="C427" s="1" t="str">
        <f>IFERROR(VLOOKUP(B427,'SB1'!$A$2:$B$999999,2,FALSE),"")</f>
        <v>PINCEL ROSARPIN 1700 V1 C.CH.10</v>
      </c>
      <c r="D427" s="1" t="s">
        <v>14460</v>
      </c>
      <c r="E427" s="3">
        <f>IFERROR(VLOOKUP(B427,'DA1'!$B$2:$D$999999,3,FALSE),"")</f>
      </c>
      <c r="F427" s="1" t="str">
        <f>IFERROR(VLOOKUP(B427,'SB1'!$A$2:$C$999999,3,FALSE),"")</f>
        <v>503</v>
      </c>
      <c r="G427" s="3" t="e">
        <f t="shared" si="13"/>
        <v>#VALUE!</v>
      </c>
      <c r="H427" s="3" t="e">
        <f t="shared" si="14"/>
        <v>#VALUE!</v>
      </c>
      <c r="I427" s="1">
        <v>1</v>
      </c>
    </row>
    <row r="428" spans="1:9" x14ac:dyDescent="0.25">
      <c r="A428" s="1" t="s">
        <v>14435</v>
      </c>
      <c r="B428" s="1" t="s">
        <v>1165</v>
      </c>
      <c r="C428" s="1" t="str">
        <f>IFERROR(VLOOKUP(B428,'SB1'!$A$2:$B$999999,2,FALSE),"")</f>
        <v>PINCEL ROSARPIN 1700 V1 C.CH.15</v>
      </c>
      <c r="D428" s="1" t="s">
        <v>14460</v>
      </c>
      <c r="E428" s="3">
        <f>IFERROR(VLOOKUP(B428,'DA1'!$B$2:$D$999999,3,FALSE),"")</f>
      </c>
      <c r="F428" s="1" t="str">
        <f>IFERROR(VLOOKUP(B428,'SB1'!$A$2:$C$999999,3,FALSE),"")</f>
        <v>503</v>
      </c>
      <c r="G428" s="3" t="e">
        <f t="shared" si="13"/>
        <v>#VALUE!</v>
      </c>
      <c r="H428" s="3" t="e">
        <f t="shared" si="14"/>
        <v>#VALUE!</v>
      </c>
      <c r="I428" s="1">
        <v>1</v>
      </c>
    </row>
    <row r="429" spans="1:9" x14ac:dyDescent="0.25">
      <c r="A429" s="1" t="s">
        <v>14435</v>
      </c>
      <c r="B429" s="1" t="s">
        <v>1167</v>
      </c>
      <c r="C429" s="1" t="str">
        <f>IFERROR(VLOOKUP(B429,'SB1'!$A$2:$B$999999,2,FALSE),"")</f>
        <v>PINCEL ROSARPIN 1700 V1 C.CH.20</v>
      </c>
      <c r="D429" s="1" t="s">
        <v>14460</v>
      </c>
      <c r="E429" s="3">
        <f>IFERROR(VLOOKUP(B429,'DA1'!$B$2:$D$999999,3,FALSE),"")</f>
      </c>
      <c r="F429" s="1" t="str">
        <f>IFERROR(VLOOKUP(B429,'SB1'!$A$2:$C$999999,3,FALSE),"")</f>
        <v>503</v>
      </c>
      <c r="G429" s="3" t="e">
        <f t="shared" si="13"/>
        <v>#VALUE!</v>
      </c>
      <c r="H429" s="3" t="e">
        <f t="shared" si="14"/>
        <v>#VALUE!</v>
      </c>
      <c r="I429" s="1">
        <v>1</v>
      </c>
    </row>
    <row r="430" spans="1:9" x14ac:dyDescent="0.25">
      <c r="A430" s="1" t="s">
        <v>14435</v>
      </c>
      <c r="B430" s="1" t="s">
        <v>1169</v>
      </c>
      <c r="C430" s="1" t="str">
        <f>IFERROR(VLOOKUP(B430,'SB1'!$A$2:$B$999999,2,FALSE),"")</f>
        <v>PINCEL ROSARPIN 1700 V1 C.CH.30</v>
      </c>
      <c r="D430" s="1" t="s">
        <v>14460</v>
      </c>
      <c r="E430" s="3">
        <f>IFERROR(VLOOKUP(B430,'DA1'!$B$2:$D$999999,3,FALSE),"")</f>
      </c>
      <c r="F430" s="1" t="str">
        <f>IFERROR(VLOOKUP(B430,'SB1'!$A$2:$C$999999,3,FALSE),"")</f>
        <v>503</v>
      </c>
      <c r="G430" s="3" t="e">
        <f t="shared" si="13"/>
        <v>#VALUE!</v>
      </c>
      <c r="H430" s="3" t="e">
        <f t="shared" si="14"/>
        <v>#VALUE!</v>
      </c>
      <c r="I430" s="1">
        <v>1</v>
      </c>
    </row>
    <row r="431" spans="1:9" x14ac:dyDescent="0.25">
      <c r="A431" s="1" t="s">
        <v>14435</v>
      </c>
      <c r="B431" s="1" t="s">
        <v>1171</v>
      </c>
      <c r="C431" s="1" t="str">
        <f>IFERROR(VLOOKUP(B431,'SB1'!$A$2:$B$999999,2,FALSE),"")</f>
        <v>REMOVEDOR GEL X 4</v>
      </c>
      <c r="D431" s="1" t="s">
        <v>14472</v>
      </c>
      <c r="E431" s="3">
        <f>IFERROR(VLOOKUP(B431,'DA1'!$B$2:$D$999999,3,FALSE),"")</f>
      </c>
      <c r="F431" s="1" t="str">
        <f>IFERROR(VLOOKUP(B431,'SB1'!$A$2:$C$999999,3,FALSE),"")</f>
        <v>503</v>
      </c>
      <c r="G431" s="3" t="e">
        <f t="shared" si="13"/>
        <v>#VALUE!</v>
      </c>
      <c r="H431" s="3" t="e">
        <f t="shared" si="14"/>
        <v>#VALUE!</v>
      </c>
      <c r="I431" s="1">
        <v>1</v>
      </c>
    </row>
    <row r="432" spans="1:9" x14ac:dyDescent="0.25">
      <c r="A432" s="1" t="s">
        <v>14435</v>
      </c>
      <c r="B432" s="1" t="s">
        <v>1173</v>
      </c>
      <c r="C432" s="1" t="str">
        <f>IFERROR(VLOOKUP(B432,'SB1'!$A$2:$B$999999,2,FALSE),"")</f>
        <v>PINCEL ROSARPIN 1462 V2 C.CH.10</v>
      </c>
      <c r="D432" s="1" t="s">
        <v>14460</v>
      </c>
      <c r="E432" s="3">
        <f>IFERROR(VLOOKUP(B432,'DA1'!$B$2:$D$999999,3,FALSE),"")</f>
      </c>
      <c r="F432" s="1" t="str">
        <f>IFERROR(VLOOKUP(B432,'SB1'!$A$2:$C$999999,3,FALSE),"")</f>
        <v>503</v>
      </c>
      <c r="G432" s="3" t="e">
        <f t="shared" si="13"/>
        <v>#VALUE!</v>
      </c>
      <c r="H432" s="3" t="e">
        <f t="shared" si="14"/>
        <v>#VALUE!</v>
      </c>
      <c r="I432" s="1">
        <v>1</v>
      </c>
    </row>
    <row r="433" spans="1:9" x14ac:dyDescent="0.25">
      <c r="A433" s="1" t="s">
        <v>14435</v>
      </c>
      <c r="B433" s="1" t="s">
        <v>1175</v>
      </c>
      <c r="C433" s="1" t="str">
        <f>IFERROR(VLOOKUP(B433,'SB1'!$A$2:$B$999999,2,FALSE),"")</f>
        <v>PINCEL ROSARPIN 1462 V2 C.CH.15</v>
      </c>
      <c r="D433" s="1" t="s">
        <v>14460</v>
      </c>
      <c r="E433" s="3">
        <f>IFERROR(VLOOKUP(B433,'DA1'!$B$2:$D$999999,3,FALSE),"")</f>
      </c>
      <c r="F433" s="1" t="str">
        <f>IFERROR(VLOOKUP(B433,'SB1'!$A$2:$C$999999,3,FALSE),"")</f>
        <v>503</v>
      </c>
      <c r="G433" s="3" t="e">
        <f t="shared" si="13"/>
        <v>#VALUE!</v>
      </c>
      <c r="H433" s="3" t="e">
        <f t="shared" si="14"/>
        <v>#VALUE!</v>
      </c>
      <c r="I433" s="1">
        <v>1</v>
      </c>
    </row>
    <row r="434" spans="1:9" x14ac:dyDescent="0.25">
      <c r="A434" s="1" t="s">
        <v>14435</v>
      </c>
      <c r="B434" s="1" t="s">
        <v>1177</v>
      </c>
      <c r="C434" s="1" t="str">
        <f>IFERROR(VLOOKUP(B434,'SB1'!$A$2:$B$999999,2,FALSE),"")</f>
        <v>PINCEL ROSARPIN 1462 V2 C.CH.20</v>
      </c>
      <c r="D434" s="1" t="s">
        <v>14460</v>
      </c>
      <c r="E434" s="3">
        <f>IFERROR(VLOOKUP(B434,'DA1'!$B$2:$D$999999,3,FALSE),"")</f>
      </c>
      <c r="F434" s="1" t="str">
        <f>IFERROR(VLOOKUP(B434,'SB1'!$A$2:$C$999999,3,FALSE),"")</f>
        <v>503</v>
      </c>
      <c r="G434" s="3" t="e">
        <f t="shared" si="13"/>
        <v>#VALUE!</v>
      </c>
      <c r="H434" s="3" t="e">
        <f t="shared" si="14"/>
        <v>#VALUE!</v>
      </c>
      <c r="I434" s="1">
        <v>1</v>
      </c>
    </row>
    <row r="435" spans="1:9" x14ac:dyDescent="0.25">
      <c r="A435" s="1" t="s">
        <v>14435</v>
      </c>
      <c r="B435" s="1" t="s">
        <v>1179</v>
      </c>
      <c r="C435" s="1" t="str">
        <f>IFERROR(VLOOKUP(B435,'SB1'!$A$2:$B$999999,2,FALSE),"")</f>
        <v>PINCEL ROSARPIN 1462 V2 C.CH.25</v>
      </c>
      <c r="D435" s="1" t="s">
        <v>14460</v>
      </c>
      <c r="E435" s="3">
        <f>IFERROR(VLOOKUP(B435,'DA1'!$B$2:$D$999999,3,FALSE),"")</f>
      </c>
      <c r="F435" s="1" t="str">
        <f>IFERROR(VLOOKUP(B435,'SB1'!$A$2:$C$999999,3,FALSE),"")</f>
        <v>503</v>
      </c>
      <c r="G435" s="3" t="e">
        <f t="shared" si="13"/>
        <v>#VALUE!</v>
      </c>
      <c r="H435" s="3" t="e">
        <f t="shared" si="14"/>
        <v>#VALUE!</v>
      </c>
      <c r="I435" s="1">
        <v>1</v>
      </c>
    </row>
    <row r="436" spans="1:9" x14ac:dyDescent="0.25">
      <c r="A436" s="1" t="s">
        <v>14435</v>
      </c>
      <c r="B436" s="1" t="s">
        <v>1181</v>
      </c>
      <c r="C436" s="1" t="str">
        <f>IFERROR(VLOOKUP(B436,'SB1'!$A$2:$B$999999,2,FALSE),"")</f>
        <v>PINCEL ROSARPIN 1462 V2 C.CH.30</v>
      </c>
      <c r="D436" s="1" t="s">
        <v>14460</v>
      </c>
      <c r="E436" s="3">
        <f>IFERROR(VLOOKUP(B436,'DA1'!$B$2:$D$999999,3,FALSE),"")</f>
      </c>
      <c r="F436" s="1" t="str">
        <f>IFERROR(VLOOKUP(B436,'SB1'!$A$2:$C$999999,3,FALSE),"")</f>
        <v>503</v>
      </c>
      <c r="G436" s="3" t="e">
        <f t="shared" si="13"/>
        <v>#VALUE!</v>
      </c>
      <c r="H436" s="3" t="e">
        <f t="shared" si="14"/>
        <v>#VALUE!</v>
      </c>
      <c r="I436" s="1">
        <v>1</v>
      </c>
    </row>
    <row r="437" spans="1:9" x14ac:dyDescent="0.25">
      <c r="A437" s="1" t="s">
        <v>14435</v>
      </c>
      <c r="B437" s="1" t="s">
        <v>1183</v>
      </c>
      <c r="C437" s="1" t="str">
        <f>IFERROR(VLOOKUP(B437,'SB1'!$A$2:$B$999999,2,FALSE),"")</f>
        <v>ESMALTE SINTETICO PLAVICON 3EN1 BRILLANTE VERDE INGLES X  0,250</v>
      </c>
      <c r="D437" s="1" t="s">
        <v>14439</v>
      </c>
      <c r="E437" s="3">
        <f>IFERROR(VLOOKUP(B437,'DA1'!$B$2:$D$999999,3,FALSE),"")</f>
      </c>
      <c r="F437" s="1" t="str">
        <f>IFERROR(VLOOKUP(B437,'SB1'!$A$2:$C$999999,3,FALSE),"")</f>
        <v>503</v>
      </c>
      <c r="G437" s="3" t="e">
        <f t="shared" si="13"/>
        <v>#VALUE!</v>
      </c>
      <c r="H437" s="3" t="e">
        <f t="shared" si="14"/>
        <v>#VALUE!</v>
      </c>
      <c r="I437" s="1">
        <v>1</v>
      </c>
    </row>
    <row r="438" spans="1:9" x14ac:dyDescent="0.25">
      <c r="A438" s="1" t="s">
        <v>14435</v>
      </c>
      <c r="B438" s="1" t="s">
        <v>1185</v>
      </c>
      <c r="C438" s="1" t="str">
        <f>IFERROR(VLOOKUP(B438,'SB1'!$A$2:$B$999999,2,FALSE),"")</f>
        <v>ESMALTE SINTETICO PLAVICON 3EN1 BRILLANTE VERDE INGLES X  0,500</v>
      </c>
      <c r="D438" s="1" t="s">
        <v>14458</v>
      </c>
      <c r="E438" s="3">
        <f>IFERROR(VLOOKUP(B438,'DA1'!$B$2:$D$999999,3,FALSE),"")</f>
      </c>
      <c r="F438" s="1" t="str">
        <f>IFERROR(VLOOKUP(B438,'SB1'!$A$2:$C$999999,3,FALSE),"")</f>
        <v>503</v>
      </c>
      <c r="G438" s="3" t="e">
        <f t="shared" si="13"/>
        <v>#VALUE!</v>
      </c>
      <c r="H438" s="3" t="e">
        <f t="shared" si="14"/>
        <v>#VALUE!</v>
      </c>
      <c r="I438" s="1">
        <v>1</v>
      </c>
    </row>
    <row r="439" spans="1:9" x14ac:dyDescent="0.25">
      <c r="A439" s="1" t="s">
        <v>14435</v>
      </c>
      <c r="B439" s="1" t="s">
        <v>1187</v>
      </c>
      <c r="C439" s="1" t="str">
        <f>IFERROR(VLOOKUP(B439,'SB1'!$A$2:$B$999999,2,FALSE),"")</f>
        <v>RODILLO LUMAR EPOXI PELO CORTO FINO  5(44/A)</v>
      </c>
      <c r="D439" s="1" t="s">
        <v>14467</v>
      </c>
      <c r="E439" s="3">
        <f>IFERROR(VLOOKUP(B439,'DA1'!$B$2:$D$999999,3,FALSE),"")</f>
      </c>
      <c r="F439" s="1" t="str">
        <f>IFERROR(VLOOKUP(B439,'SB1'!$A$2:$C$999999,3,FALSE),"")</f>
        <v>503</v>
      </c>
      <c r="G439" s="3" t="e">
        <f t="shared" si="13"/>
        <v>#VALUE!</v>
      </c>
      <c r="H439" s="3" t="e">
        <f t="shared" si="14"/>
        <v>#VALUE!</v>
      </c>
      <c r="I439" s="1">
        <v>1</v>
      </c>
    </row>
    <row r="440" spans="1:9" x14ac:dyDescent="0.25">
      <c r="A440" s="1" t="s">
        <v>14435</v>
      </c>
      <c r="B440" s="1" t="s">
        <v>1189</v>
      </c>
      <c r="C440" s="1" t="str">
        <f>IFERROR(VLOOKUP(B440,'SB1'!$A$2:$B$999999,2,FALSE),"")</f>
        <v>RODILLO LUMAR EPOXI PELO CORTO FINO  8(44/B)</v>
      </c>
      <c r="D440" s="1" t="s">
        <v>14467</v>
      </c>
      <c r="E440" s="3">
        <f>IFERROR(VLOOKUP(B440,'DA1'!$B$2:$D$999999,3,FALSE),"")</f>
      </c>
      <c r="F440" s="1" t="str">
        <f>IFERROR(VLOOKUP(B440,'SB1'!$A$2:$C$999999,3,FALSE),"")</f>
        <v>503</v>
      </c>
      <c r="G440" s="3" t="e">
        <f t="shared" si="13"/>
        <v>#VALUE!</v>
      </c>
      <c r="H440" s="3" t="e">
        <f t="shared" si="14"/>
        <v>#VALUE!</v>
      </c>
      <c r="I440" s="1">
        <v>1</v>
      </c>
    </row>
    <row r="441" spans="1:9" x14ac:dyDescent="0.25">
      <c r="A441" s="1" t="s">
        <v>14435</v>
      </c>
      <c r="B441" s="1" t="s">
        <v>1191</v>
      </c>
      <c r="C441" s="1" t="str">
        <f>IFERROR(VLOOKUP(B441,'SB1'!$A$2:$B$999999,2,FALSE),"")</f>
        <v>RODILLO LUMAR EPOXI PELO CORTO FINO 10(44/C)</v>
      </c>
      <c r="D441" s="1" t="s">
        <v>14467</v>
      </c>
      <c r="E441" s="3">
        <f>IFERROR(VLOOKUP(B441,'DA1'!$B$2:$D$999999,3,FALSE),"")</f>
      </c>
      <c r="F441" s="1" t="str">
        <f>IFERROR(VLOOKUP(B441,'SB1'!$A$2:$C$999999,3,FALSE),"")</f>
        <v>503</v>
      </c>
      <c r="G441" s="3" t="e">
        <f t="shared" si="13"/>
        <v>#VALUE!</v>
      </c>
      <c r="H441" s="3" t="e">
        <f t="shared" si="14"/>
        <v>#VALUE!</v>
      </c>
      <c r="I441" s="1">
        <v>1</v>
      </c>
    </row>
    <row r="442" spans="1:9" x14ac:dyDescent="0.25">
      <c r="A442" s="1" t="s">
        <v>14435</v>
      </c>
      <c r="B442" s="1" t="s">
        <v>1193</v>
      </c>
      <c r="C442" s="1" t="str">
        <f>IFERROR(VLOOKUP(B442,'SB1'!$A$2:$B$999999,2,FALSE),"")</f>
        <v>PINCEL ROSARPIN 1700 V1 C.CH.25</v>
      </c>
      <c r="D442" s="1" t="s">
        <v>14460</v>
      </c>
      <c r="E442" s="3">
        <f>IFERROR(VLOOKUP(B442,'DA1'!$B$2:$D$999999,3,FALSE),"")</f>
      </c>
      <c r="F442" s="1" t="str">
        <f>IFERROR(VLOOKUP(B442,'SB1'!$A$2:$C$999999,3,FALSE),"")</f>
        <v>503</v>
      </c>
      <c r="G442" s="3" t="e">
        <f t="shared" si="13"/>
        <v>#VALUE!</v>
      </c>
      <c r="H442" s="3" t="e">
        <f t="shared" si="14"/>
        <v>#VALUE!</v>
      </c>
      <c r="I442" s="1">
        <v>1</v>
      </c>
    </row>
    <row r="443" spans="1:9" x14ac:dyDescent="0.25">
      <c r="A443" s="1" t="s">
        <v>14435</v>
      </c>
      <c r="B443" s="1" t="s">
        <v>1195</v>
      </c>
      <c r="C443" s="1" t="str">
        <f>IFERROR(VLOOKUP(B443,'SB1'!$A$2:$B$999999,2,FALSE),"")</f>
        <v>BARNIZ PARA MADERA INTERIOR CRISTALBA AL AGUA BRILLANTE NATURAL X 4</v>
      </c>
      <c r="D443" s="1" t="s">
        <v>14441</v>
      </c>
      <c r="E443" s="3">
        <f>IFERROR(VLOOKUP(B443,'DA1'!$B$2:$D$999999,3,FALSE),"")</f>
      </c>
      <c r="F443" s="1" t="str">
        <f>IFERROR(VLOOKUP(B443,'SB1'!$A$2:$C$999999,3,FALSE),"")</f>
        <v>503</v>
      </c>
      <c r="G443" s="3" t="e">
        <f t="shared" si="13"/>
        <v>#VALUE!</v>
      </c>
      <c r="H443" s="3" t="e">
        <f t="shared" si="14"/>
        <v>#VALUE!</v>
      </c>
      <c r="I443" s="1">
        <v>1</v>
      </c>
    </row>
    <row r="444" spans="1:9" x14ac:dyDescent="0.25">
      <c r="A444" s="1" t="s">
        <v>14435</v>
      </c>
      <c r="B444" s="1" t="s">
        <v>1199</v>
      </c>
      <c r="C444" s="1" t="str">
        <f>IFERROR(VLOOKUP(B444,'SB1'!$A$2:$B$999999,2,FALSE),"")</f>
        <v>ESMALTE SINTETICO PLAVICON 3EN1 BRILLANTE VERDE INGLES X  1</v>
      </c>
      <c r="D444" s="1" t="s">
        <v>14458</v>
      </c>
      <c r="E444" s="3">
        <f>IFERROR(VLOOKUP(B444,'DA1'!$B$2:$D$999999,3,FALSE),"")</f>
      </c>
      <c r="F444" s="1" t="str">
        <f>IFERROR(VLOOKUP(B444,'SB1'!$A$2:$C$999999,3,FALSE),"")</f>
        <v>503</v>
      </c>
      <c r="G444" s="3" t="e">
        <f t="shared" si="13"/>
        <v>#VALUE!</v>
      </c>
      <c r="H444" s="3" t="e">
        <f t="shared" si="14"/>
        <v>#VALUE!</v>
      </c>
      <c r="I444" s="1">
        <v>1</v>
      </c>
    </row>
    <row r="445" spans="1:9" x14ac:dyDescent="0.25">
      <c r="A445" s="1" t="s">
        <v>14435</v>
      </c>
      <c r="B445" s="1" t="s">
        <v>1201</v>
      </c>
      <c r="C445" s="1" t="str">
        <f>IFERROR(VLOOKUP(B445,'SB1'!$A$2:$B$999999,2,FALSE),"")</f>
        <v>ESMALTE SINTETICO PLAVICON 3EN1 BRILLANTE VERDE INGLES X  4</v>
      </c>
      <c r="D445" s="1" t="s">
        <v>14458</v>
      </c>
      <c r="E445" s="3">
        <f>IFERROR(VLOOKUP(B445,'DA1'!$B$2:$D$999999,3,FALSE),"")</f>
      </c>
      <c r="F445" s="1" t="str">
        <f>IFERROR(VLOOKUP(B445,'SB1'!$A$2:$C$999999,3,FALSE),"")</f>
        <v>503</v>
      </c>
      <c r="G445" s="3" t="e">
        <f t="shared" si="13"/>
        <v>#VALUE!</v>
      </c>
      <c r="H445" s="3" t="e">
        <f t="shared" si="14"/>
        <v>#VALUE!</v>
      </c>
      <c r="I445" s="1">
        <v>1</v>
      </c>
    </row>
    <row r="446" spans="1:9" x14ac:dyDescent="0.25">
      <c r="A446" s="1" t="s">
        <v>14435</v>
      </c>
      <c r="B446" s="1" t="s">
        <v>1203</v>
      </c>
      <c r="C446" s="1" t="str">
        <f>IFERROR(VLOOKUP(B446,'SB1'!$A$2:$B$999999,2,FALSE),"")</f>
        <v>ESMALTE SINTETICO PLAVICON 3EN1 BRILLANTE VERDE INGLES X 20</v>
      </c>
      <c r="D446" s="1" t="s">
        <v>14458</v>
      </c>
      <c r="E446" s="3">
        <f>IFERROR(VLOOKUP(B446,'DA1'!$B$2:$D$999999,3,FALSE),"")</f>
      </c>
      <c r="F446" s="1" t="str">
        <f>IFERROR(VLOOKUP(B446,'SB1'!$A$2:$C$999999,3,FALSE),"")</f>
        <v>503</v>
      </c>
      <c r="G446" s="3" t="e">
        <f t="shared" si="13"/>
        <v>#VALUE!</v>
      </c>
      <c r="H446" s="3" t="e">
        <f t="shared" si="14"/>
        <v>#VALUE!</v>
      </c>
      <c r="I446" s="1">
        <v>1</v>
      </c>
    </row>
    <row r="447" spans="1:9" x14ac:dyDescent="0.25">
      <c r="A447" s="1" t="s">
        <v>14435</v>
      </c>
      <c r="B447" s="1" t="s">
        <v>1207</v>
      </c>
      <c r="C447" s="1" t="str">
        <f>IFERROR(VLOOKUP(B447,'SB1'!$A$2:$B$999999,2,FALSE),"")</f>
        <v>ESMALTE SINTETICO PLAVICON 3EN1 BRILLANTE VERDE CLARO X  0,500</v>
      </c>
      <c r="D447" s="1" t="s">
        <v>14458</v>
      </c>
      <c r="E447" s="3">
        <f>IFERROR(VLOOKUP(B447,'DA1'!$B$2:$D$999999,3,FALSE),"")</f>
      </c>
      <c r="F447" s="1" t="str">
        <f>IFERROR(VLOOKUP(B447,'SB1'!$A$2:$C$999999,3,FALSE),"")</f>
        <v>503</v>
      </c>
      <c r="G447" s="3" t="e">
        <f t="shared" si="13"/>
        <v>#VALUE!</v>
      </c>
      <c r="H447" s="3" t="e">
        <f t="shared" si="14"/>
        <v>#VALUE!</v>
      </c>
      <c r="I447" s="1">
        <v>1</v>
      </c>
    </row>
    <row r="448" spans="1:9" x14ac:dyDescent="0.25">
      <c r="A448" s="1" t="s">
        <v>14435</v>
      </c>
      <c r="B448" s="1" t="s">
        <v>1209</v>
      </c>
      <c r="C448" s="1" t="str">
        <f>IFERROR(VLOOKUP(B448,'SB1'!$A$2:$B$999999,2,FALSE),"")</f>
        <v>ESMALTE SINTETICO PLAVICON 3EN1 BRILLANTE VERDE CLARO X  1</v>
      </c>
      <c r="D448" s="1" t="s">
        <v>14458</v>
      </c>
      <c r="E448" s="3">
        <f>IFERROR(VLOOKUP(B448,'DA1'!$B$2:$D$999999,3,FALSE),"")</f>
      </c>
      <c r="F448" s="1" t="str">
        <f>IFERROR(VLOOKUP(B448,'SB1'!$A$2:$C$999999,3,FALSE),"")</f>
        <v>503</v>
      </c>
      <c r="G448" s="3" t="e">
        <f t="shared" si="13"/>
        <v>#VALUE!</v>
      </c>
      <c r="H448" s="3" t="e">
        <f t="shared" si="14"/>
        <v>#VALUE!</v>
      </c>
      <c r="I448" s="1">
        <v>1</v>
      </c>
    </row>
    <row r="449" spans="1:9" x14ac:dyDescent="0.25">
      <c r="A449" s="1" t="s">
        <v>14435</v>
      </c>
      <c r="B449" s="1" t="s">
        <v>1211</v>
      </c>
      <c r="C449" s="1" t="str">
        <f>IFERROR(VLOOKUP(B449,'SB1'!$A$2:$B$999999,2,FALSE),"")</f>
        <v>DETAILING KAC ZEOCAR (140)</v>
      </c>
      <c r="D449" s="1" t="s">
        <v>14473</v>
      </c>
      <c r="E449" s="3">
        <f>IFERROR(VLOOKUP(B449,'DA1'!$B$2:$D$999999,3,FALSE),"")</f>
      </c>
      <c r="F449" s="1" t="str">
        <f>IFERROR(VLOOKUP(B449,'SB1'!$A$2:$C$999999,3,FALSE),"")</f>
        <v>503</v>
      </c>
      <c r="G449" s="3" t="e">
        <f t="shared" si="13"/>
        <v>#VALUE!</v>
      </c>
      <c r="H449" s="3" t="e">
        <f t="shared" si="14"/>
        <v>#VALUE!</v>
      </c>
      <c r="I449" s="1">
        <v>1</v>
      </c>
    </row>
    <row r="450" spans="1:9" x14ac:dyDescent="0.25">
      <c r="A450" s="1" t="s">
        <v>14435</v>
      </c>
      <c r="B450" s="1" t="s">
        <v>1213</v>
      </c>
      <c r="C450" s="1" t="str">
        <f>IFERROR(VLOOKUP(B450,'SB1'!$A$2:$B$999999,2,FALSE),"")</f>
        <v>PLATO SOPORTE M14 ZEOCAR (110)</v>
      </c>
      <c r="D450" s="1" t="s">
        <v>14473</v>
      </c>
      <c r="E450" s="3">
        <f>IFERROR(VLOOKUP(B450,'DA1'!$B$2:$D$999999,3,FALSE),"")</f>
      </c>
      <c r="F450" s="1" t="str">
        <f>IFERROR(VLOOKUP(B450,'SB1'!$A$2:$C$999999,3,FALSE),"")</f>
        <v>503</v>
      </c>
      <c r="G450" s="3" t="e">
        <f t="shared" si="13"/>
        <v>#VALUE!</v>
      </c>
      <c r="H450" s="3" t="e">
        <f t="shared" si="14"/>
        <v>#VALUE!</v>
      </c>
      <c r="I450" s="1">
        <v>1</v>
      </c>
    </row>
    <row r="451" spans="1:9" x14ac:dyDescent="0.25">
      <c r="A451" s="1" t="s">
        <v>14435</v>
      </c>
      <c r="B451" s="1" t="s">
        <v>1215</v>
      </c>
      <c r="C451" s="1" t="str">
        <f>IFERROR(VLOOKUP(B451,'SB1'!$A$2:$B$999999,2,FALSE),"")</f>
        <v>LIJA PARA MASILLA PLATICA DOBLE A 50</v>
      </c>
      <c r="D451" s="1" t="s">
        <v>14451</v>
      </c>
      <c r="E451" s="3">
        <f>IFERROR(VLOOKUP(B451,'DA1'!$B$2:$D$999999,3,FALSE),"")</f>
      </c>
      <c r="F451" s="1" t="str">
        <f>IFERROR(VLOOKUP(B451,'SB1'!$A$2:$C$999999,3,FALSE),"")</f>
        <v>503</v>
      </c>
      <c r="G451" s="3" t="e">
        <f t="shared" ref="G451:G514" si="15">E451*1.04</f>
        <v>#VALUE!</v>
      </c>
      <c r="H451" s="3" t="e">
        <f t="shared" si="14"/>
        <v>#VALUE!</v>
      </c>
      <c r="I451" s="1">
        <v>1</v>
      </c>
    </row>
    <row r="452" spans="1:9" x14ac:dyDescent="0.25">
      <c r="A452" s="1" t="s">
        <v>14435</v>
      </c>
      <c r="B452" s="1" t="s">
        <v>1217</v>
      </c>
      <c r="C452" s="1" t="str">
        <f>IFERROR(VLOOKUP(B452,'SB1'!$A$2:$B$999999,2,FALSE),"")</f>
        <v>BARNIZ PARA MADERA INTERIOR CRISTALBA AL AGUA BRILLANTE NATURAL X 1</v>
      </c>
      <c r="D452" s="1" t="s">
        <v>14441</v>
      </c>
      <c r="E452" s="3">
        <f>IFERROR(VLOOKUP(B452,'DA1'!$B$2:$D$999999,3,FALSE),"")</f>
      </c>
      <c r="F452" s="1" t="str">
        <f>IFERROR(VLOOKUP(B452,'SB1'!$A$2:$C$999999,3,FALSE),"")</f>
        <v>503</v>
      </c>
      <c r="G452" s="3" t="e">
        <f t="shared" si="15"/>
        <v>#VALUE!</v>
      </c>
      <c r="H452" s="3" t="e">
        <f t="shared" si="14"/>
        <v>#VALUE!</v>
      </c>
      <c r="I452" s="1">
        <v>1</v>
      </c>
    </row>
    <row r="453" spans="1:9" x14ac:dyDescent="0.25">
      <c r="A453" s="1" t="s">
        <v>14435</v>
      </c>
      <c r="B453" s="1" t="s">
        <v>1219</v>
      </c>
      <c r="C453" s="1" t="str">
        <f>IFERROR(VLOOKUP(B453,'SB1'!$A$2:$B$999999,2,FALSE),"")</f>
        <v>PANO DE MICROFIBRA ZEOCAR 40X50MM (90)</v>
      </c>
      <c r="D453" s="1" t="s">
        <v>14473</v>
      </c>
      <c r="E453" s="3">
        <f>IFERROR(VLOOKUP(B453,'DA1'!$B$2:$D$999999,3,FALSE),"")</f>
      </c>
      <c r="F453" s="1" t="str">
        <f>IFERROR(VLOOKUP(B453,'SB1'!$A$2:$C$999999,3,FALSE),"")</f>
        <v>503</v>
      </c>
      <c r="G453" s="3" t="e">
        <f t="shared" si="15"/>
        <v>#VALUE!</v>
      </c>
      <c r="H453" s="3" t="e">
        <f t="shared" si="14"/>
        <v>#VALUE!</v>
      </c>
      <c r="I453" s="1">
        <v>1</v>
      </c>
    </row>
    <row r="454" spans="1:9" x14ac:dyDescent="0.25">
      <c r="A454" s="1" t="s">
        <v>14435</v>
      </c>
      <c r="B454" s="1" t="s">
        <v>1235</v>
      </c>
      <c r="C454" s="1" t="str">
        <f>IFERROR(VLOOKUP(B454,'SB1'!$A$2:$B$999999,2,FALSE),"")</f>
        <v>ENDUIDO INTERIOR ALBAPLAST X 20</v>
      </c>
      <c r="D454" s="1" t="s">
        <v>14441</v>
      </c>
      <c r="E454" s="3">
        <f>IFERROR(VLOOKUP(B454,'DA1'!$B$2:$D$999999,3,FALSE),"")</f>
      </c>
      <c r="F454" s="1" t="str">
        <f>IFERROR(VLOOKUP(B454,'SB1'!$A$2:$C$999999,3,FALSE),"")</f>
        <v>503</v>
      </c>
      <c r="G454" s="3" t="e">
        <f t="shared" si="15"/>
        <v>#VALUE!</v>
      </c>
      <c r="H454" s="3" t="e">
        <f t="shared" si="14"/>
        <v>#VALUE!</v>
      </c>
      <c r="I454" s="1">
        <v>1</v>
      </c>
    </row>
    <row r="455" spans="1:9" x14ac:dyDescent="0.25">
      <c r="A455" s="1" t="s">
        <v>14435</v>
      </c>
      <c r="B455" s="1" t="s">
        <v>1249</v>
      </c>
      <c r="C455" s="1" t="str">
        <f>IFERROR(VLOOKUP(B455,'SB1'!$A$2:$B$999999,2,FALSE),"")</f>
        <v>FIJADOR PARA PARED ALBA AL AGUA X  1</v>
      </c>
      <c r="D455" s="1" t="s">
        <v>14441</v>
      </c>
      <c r="E455" s="3">
        <f>IFERROR(VLOOKUP(B455,'DA1'!$B$2:$D$999999,3,FALSE),"")</f>
      </c>
      <c r="F455" s="1" t="str">
        <f>IFERROR(VLOOKUP(B455,'SB1'!$A$2:$C$999999,3,FALSE),"")</f>
        <v>503</v>
      </c>
      <c r="G455" s="3" t="e">
        <f t="shared" si="15"/>
        <v>#VALUE!</v>
      </c>
      <c r="H455" s="3" t="e">
        <f t="shared" si="14"/>
        <v>#VALUE!</v>
      </c>
      <c r="I455" s="1">
        <v>1</v>
      </c>
    </row>
    <row r="456" spans="1:9" x14ac:dyDescent="0.25">
      <c r="A456" s="1" t="s">
        <v>14435</v>
      </c>
      <c r="B456" s="1" t="s">
        <v>1251</v>
      </c>
      <c r="C456" s="1" t="str">
        <f>IFERROR(VLOOKUP(B456,'SB1'!$A$2:$B$999999,2,FALSE),"")</f>
        <v>FIJADOR PARA PARED ALBA AL AGUA X  4</v>
      </c>
      <c r="D456" s="1" t="s">
        <v>14441</v>
      </c>
      <c r="E456" s="3">
        <f>IFERROR(VLOOKUP(B456,'DA1'!$B$2:$D$999999,3,FALSE),"")</f>
      </c>
      <c r="F456" s="1" t="str">
        <f>IFERROR(VLOOKUP(B456,'SB1'!$A$2:$C$999999,3,FALSE),"")</f>
        <v>503</v>
      </c>
      <c r="G456" s="3" t="e">
        <f t="shared" si="15"/>
        <v>#VALUE!</v>
      </c>
      <c r="H456" s="3" t="e">
        <f t="shared" si="14"/>
        <v>#VALUE!</v>
      </c>
      <c r="I456" s="1">
        <v>1</v>
      </c>
    </row>
    <row r="457" spans="1:9" x14ac:dyDescent="0.25">
      <c r="A457" s="1" t="s">
        <v>14435</v>
      </c>
      <c r="B457" s="1" t="s">
        <v>1253</v>
      </c>
      <c r="C457" s="1" t="str">
        <f>IFERROR(VLOOKUP(B457,'SB1'!$A$2:$B$999999,2,FALSE),"")</f>
        <v>FIJADOR PARA PARED ALBA AL AGUA X 10</v>
      </c>
      <c r="D457" s="1" t="s">
        <v>14441</v>
      </c>
      <c r="E457" s="3">
        <f>IFERROR(VLOOKUP(B457,'DA1'!$B$2:$D$999999,3,FALSE),"")</f>
      </c>
      <c r="F457" s="1" t="str">
        <f>IFERROR(VLOOKUP(B457,'SB1'!$A$2:$C$999999,3,FALSE),"")</f>
        <v>503</v>
      </c>
      <c r="G457" s="3" t="e">
        <f t="shared" si="15"/>
        <v>#VALUE!</v>
      </c>
      <c r="H457" s="3" t="e">
        <f t="shared" si="14"/>
        <v>#VALUE!</v>
      </c>
      <c r="I457" s="1">
        <v>1</v>
      </c>
    </row>
    <row r="458" spans="1:9" x14ac:dyDescent="0.25">
      <c r="A458" s="1" t="s">
        <v>14435</v>
      </c>
      <c r="B458" s="1" t="s">
        <v>1255</v>
      </c>
      <c r="C458" s="1" t="str">
        <f>IFERROR(VLOOKUP(B458,'SB1'!$A$2:$B$999999,2,FALSE),"")</f>
        <v>FIJADOR PARA PARED ALBA AL AGUA X 20</v>
      </c>
      <c r="D458" s="1" t="s">
        <v>14441</v>
      </c>
      <c r="E458" s="3">
        <f>IFERROR(VLOOKUP(B458,'DA1'!$B$2:$D$999999,3,FALSE),"")</f>
      </c>
      <c r="F458" s="1" t="str">
        <f>IFERROR(VLOOKUP(B458,'SB1'!$A$2:$C$999999,3,FALSE),"")</f>
        <v>503</v>
      </c>
      <c r="G458" s="3" t="e">
        <f t="shared" si="15"/>
        <v>#VALUE!</v>
      </c>
      <c r="H458" s="3" t="e">
        <f t="shared" si="14"/>
        <v>#VALUE!</v>
      </c>
      <c r="I458" s="1">
        <v>1</v>
      </c>
    </row>
    <row r="459" spans="1:9" x14ac:dyDescent="0.25">
      <c r="A459" s="1" t="s">
        <v>14435</v>
      </c>
      <c r="B459" s="1" t="s">
        <v>1257</v>
      </c>
      <c r="C459" s="1" t="str">
        <f>IFERROR(VLOOKUP(B459,'SB1'!$A$2:$B$999999,2,FALSE),"")</f>
        <v>PINCEL ROSARPIN FILETEAR CH/R.14</v>
      </c>
      <c r="D459" s="1" t="s">
        <v>14460</v>
      </c>
      <c r="E459" s="3">
        <f>IFERROR(VLOOKUP(B459,'DA1'!$B$2:$D$999999,3,FALSE),"")</f>
      </c>
      <c r="F459" s="1" t="str">
        <f>IFERROR(VLOOKUP(B459,'SB1'!$A$2:$C$999999,3,FALSE),"")</f>
        <v>503</v>
      </c>
      <c r="G459" s="3" t="e">
        <f t="shared" si="15"/>
        <v>#VALUE!</v>
      </c>
      <c r="H459" s="3" t="e">
        <f t="shared" si="14"/>
        <v>#VALUE!</v>
      </c>
      <c r="I459" s="1">
        <v>1</v>
      </c>
    </row>
    <row r="460" spans="1:9" x14ac:dyDescent="0.25">
      <c r="A460" s="1" t="s">
        <v>14435</v>
      </c>
      <c r="B460" s="1" t="s">
        <v>1259</v>
      </c>
      <c r="C460" s="1" t="str">
        <f>IFERROR(VLOOKUP(B460,'SB1'!$A$2:$B$999999,2,FALSE),"")</f>
        <v>PINCEL ROSARPIN FILETEAR CH/R.16</v>
      </c>
      <c r="D460" s="1" t="s">
        <v>14460</v>
      </c>
      <c r="E460" s="3">
        <f>IFERROR(VLOOKUP(B460,'DA1'!$B$2:$D$999999,3,FALSE),"")</f>
      </c>
      <c r="F460" s="1" t="str">
        <f>IFERROR(VLOOKUP(B460,'SB1'!$A$2:$C$999999,3,FALSE),"")</f>
        <v>503</v>
      </c>
      <c r="G460" s="3" t="e">
        <f t="shared" si="15"/>
        <v>#VALUE!</v>
      </c>
      <c r="H460" s="3" t="e">
        <f t="shared" si="14"/>
        <v>#VALUE!</v>
      </c>
      <c r="I460" s="1">
        <v>1</v>
      </c>
    </row>
    <row r="461" spans="1:9" x14ac:dyDescent="0.25">
      <c r="A461" s="1" t="s">
        <v>14435</v>
      </c>
      <c r="B461" s="1" t="s">
        <v>1261</v>
      </c>
      <c r="C461" s="1" t="str">
        <f>IFERROR(VLOOKUP(B461,'SB1'!$A$2:$B$999999,2,FALSE),"")</f>
        <v>PASTA PARA PULIR FINA ZEOCAR X 0,480 (01)</v>
      </c>
      <c r="D461" s="1" t="s">
        <v>14473</v>
      </c>
      <c r="E461" s="3">
        <f>IFERROR(VLOOKUP(B461,'DA1'!$B$2:$D$999999,3,FALSE),"")</f>
      </c>
      <c r="F461" s="1" t="str">
        <f>IFERROR(VLOOKUP(B461,'SB1'!$A$2:$C$999999,3,FALSE),"")</f>
        <v>503</v>
      </c>
      <c r="G461" s="3" t="e">
        <f t="shared" si="15"/>
        <v>#VALUE!</v>
      </c>
      <c r="H461" s="3" t="e">
        <f t="shared" si="14"/>
        <v>#VALUE!</v>
      </c>
      <c r="I461" s="1">
        <v>1</v>
      </c>
    </row>
    <row r="462" spans="1:9" x14ac:dyDescent="0.25">
      <c r="A462" s="1" t="s">
        <v>14435</v>
      </c>
      <c r="B462" s="1" t="s">
        <v>1263</v>
      </c>
      <c r="C462" s="1" t="str">
        <f>IFERROR(VLOOKUP(B462,'SB1'!$A$2:$B$999999,2,FALSE),"")</f>
        <v>PASTA PARA PULIR FINA ZEOCAR X 1 (02)</v>
      </c>
      <c r="D462" s="1" t="s">
        <v>14473</v>
      </c>
      <c r="E462" s="3">
        <f>IFERROR(VLOOKUP(B462,'DA1'!$B$2:$D$999999,3,FALSE),"")</f>
      </c>
      <c r="F462" s="1" t="str">
        <f>IFERROR(VLOOKUP(B462,'SB1'!$A$2:$C$999999,3,FALSE),"")</f>
        <v>503</v>
      </c>
      <c r="G462" s="3" t="e">
        <f t="shared" si="15"/>
        <v>#VALUE!</v>
      </c>
      <c r="H462" s="3" t="e">
        <f t="shared" si="14"/>
        <v>#VALUE!</v>
      </c>
      <c r="I462" s="1">
        <v>1</v>
      </c>
    </row>
    <row r="463" spans="1:9" x14ac:dyDescent="0.25">
      <c r="A463" s="1" t="s">
        <v>14435</v>
      </c>
      <c r="B463" s="1" t="s">
        <v>1265</v>
      </c>
      <c r="C463" s="1" t="str">
        <f>IFERROR(VLOOKUP(B463,'SB1'!$A$2:$B$999999,2,FALSE),"")</f>
        <v>PASTA PARA PULIR GRUESA ZEOCAR X 0,480 (04)</v>
      </c>
      <c r="D463" s="1" t="s">
        <v>14473</v>
      </c>
      <c r="E463" s="3">
        <f>IFERROR(VLOOKUP(B463,'DA1'!$B$2:$D$999999,3,FALSE),"")</f>
      </c>
      <c r="F463" s="1" t="str">
        <f>IFERROR(VLOOKUP(B463,'SB1'!$A$2:$C$999999,3,FALSE),"")</f>
        <v>503</v>
      </c>
      <c r="G463" s="3" t="e">
        <f t="shared" si="15"/>
        <v>#VALUE!</v>
      </c>
      <c r="H463" s="3" t="e">
        <f t="shared" si="14"/>
        <v>#VALUE!</v>
      </c>
      <c r="I463" s="1">
        <v>1</v>
      </c>
    </row>
    <row r="464" spans="1:9" x14ac:dyDescent="0.25">
      <c r="A464" s="1" t="s">
        <v>14435</v>
      </c>
      <c r="B464" s="1" t="s">
        <v>1269</v>
      </c>
      <c r="C464" s="1" t="str">
        <f>IFERROR(VLOOKUP(B464,'SB1'!$A$2:$B$999999,2,FALSE),"")</f>
        <v>MASILLA PLASTICA ZEOCAR FINISH X 2,5 (46)</v>
      </c>
      <c r="D464" s="1" t="s">
        <v>14473</v>
      </c>
      <c r="E464" s="3">
        <f>IFERROR(VLOOKUP(B464,'DA1'!$B$2:$D$999999,3,FALSE),"")</f>
      </c>
      <c r="F464" s="1" t="str">
        <f>IFERROR(VLOOKUP(B464,'SB1'!$A$2:$C$999999,3,FALSE),"")</f>
        <v>503</v>
      </c>
      <c r="G464" s="3" t="e">
        <f t="shared" si="15"/>
        <v>#VALUE!</v>
      </c>
      <c r="H464" s="3" t="e">
        <f t="shared" si="14"/>
        <v>#VALUE!</v>
      </c>
      <c r="I464" s="1">
        <v>1</v>
      </c>
    </row>
    <row r="465" spans="1:9" x14ac:dyDescent="0.25">
      <c r="A465" s="1" t="s">
        <v>14435</v>
      </c>
      <c r="B465" s="1" t="s">
        <v>1279</v>
      </c>
      <c r="C465" s="1" t="str">
        <f>IFERROR(VLOOKUP(B465,'SB1'!$A$2:$B$999999,2,FALSE),"")</f>
        <v>ESMALTE SINTETICO PLAVICON 3EN1 BRILLANTE VERDE CLARO X  4</v>
      </c>
      <c r="D465" s="1" t="s">
        <v>14458</v>
      </c>
      <c r="E465" s="3">
        <f>IFERROR(VLOOKUP(B465,'DA1'!$B$2:$D$999999,3,FALSE),"")</f>
      </c>
      <c r="F465" s="1" t="str">
        <f>IFERROR(VLOOKUP(B465,'SB1'!$A$2:$C$999999,3,FALSE),"")</f>
        <v>503</v>
      </c>
      <c r="G465" s="3" t="e">
        <f t="shared" si="15"/>
        <v>#VALUE!</v>
      </c>
      <c r="H465" s="3" t="e">
        <f t="shared" si="14"/>
        <v>#VALUE!</v>
      </c>
      <c r="I465" s="1">
        <v>1</v>
      </c>
    </row>
    <row r="466" spans="1:9" x14ac:dyDescent="0.25">
      <c r="A466" s="1" t="s">
        <v>14435</v>
      </c>
      <c r="B466" s="1" t="s">
        <v>1281</v>
      </c>
      <c r="C466" s="1" t="str">
        <f>IFERROR(VLOOKUP(B466,'SB1'!$A$2:$B$999999,2,FALSE),"")</f>
        <v>PASTA AL AGUA ZEOCAR FINE PASTE X 0,500 (76)</v>
      </c>
      <c r="D466" s="1" t="s">
        <v>14473</v>
      </c>
      <c r="E466" s="3">
        <f>IFERROR(VLOOKUP(B466,'DA1'!$B$2:$D$999999,3,FALSE),"")</f>
      </c>
      <c r="F466" s="1" t="str">
        <f>IFERROR(VLOOKUP(B466,'SB1'!$A$2:$C$999999,3,FALSE),"")</f>
        <v>503</v>
      </c>
      <c r="G466" s="3" t="e">
        <f t="shared" si="15"/>
        <v>#VALUE!</v>
      </c>
      <c r="H466" s="3" t="e">
        <f t="shared" si="14"/>
        <v>#VALUE!</v>
      </c>
      <c r="I466" s="1">
        <v>1</v>
      </c>
    </row>
    <row r="467" spans="1:9" x14ac:dyDescent="0.25">
      <c r="A467" s="1" t="s">
        <v>14435</v>
      </c>
      <c r="B467" s="1" t="s">
        <v>1283</v>
      </c>
      <c r="C467" s="1" t="str">
        <f>IFERROR(VLOOKUP(B467,'SB1'!$A$2:$B$999999,2,FALSE),"")</f>
        <v>MORTERO ANTIHUMEDAD RECUBLOCK CIMIENTOS SINTEPLAST X  5</v>
      </c>
      <c r="D467" s="1" t="s">
        <v>14463</v>
      </c>
      <c r="E467" s="3">
        <f>IFERROR(VLOOKUP(B467,'DA1'!$B$2:$D$999999,3,FALSE),"")</f>
      </c>
      <c r="F467" s="1" t="str">
        <f>IFERROR(VLOOKUP(B467,'SB1'!$A$2:$C$999999,3,FALSE),"")</f>
        <v>503</v>
      </c>
      <c r="G467" s="3" t="e">
        <f t="shared" si="15"/>
        <v>#VALUE!</v>
      </c>
      <c r="H467" s="3" t="e">
        <f t="shared" si="14"/>
        <v>#VALUE!</v>
      </c>
      <c r="I467" s="1">
        <v>1</v>
      </c>
    </row>
    <row r="468" spans="1:9" x14ac:dyDescent="0.25">
      <c r="A468" s="1" t="s">
        <v>14435</v>
      </c>
      <c r="B468" s="1" t="s">
        <v>1285</v>
      </c>
      <c r="C468" s="1" t="str">
        <f>IFERROR(VLOOKUP(B468,'SB1'!$A$2:$B$999999,2,FALSE),"")</f>
        <v>MORTERO ANTIHUMEDAD RECUBLOCK CIMIENTOS SINTEPLAST X 12</v>
      </c>
      <c r="D468" s="1" t="s">
        <v>14463</v>
      </c>
      <c r="E468" s="3">
        <f>IFERROR(VLOOKUP(B468,'DA1'!$B$2:$D$999999,3,FALSE),"")</f>
      </c>
      <c r="F468" s="1" t="str">
        <f>IFERROR(VLOOKUP(B468,'SB1'!$A$2:$C$999999,3,FALSE),"")</f>
        <v>503</v>
      </c>
      <c r="G468" s="3" t="e">
        <f t="shared" si="15"/>
        <v>#VALUE!</v>
      </c>
      <c r="H468" s="3" t="e">
        <f t="shared" si="14"/>
        <v>#VALUE!</v>
      </c>
      <c r="I468" s="1">
        <v>1</v>
      </c>
    </row>
    <row r="469" spans="1:9" x14ac:dyDescent="0.25">
      <c r="A469" s="1" t="s">
        <v>14435</v>
      </c>
      <c r="B469" s="1" t="s">
        <v>1291</v>
      </c>
      <c r="C469" s="1" t="str">
        <f>IFERROR(VLOOKUP(B469,'SB1'!$A$2:$B$999999,2,FALSE),"")</f>
        <v>PASTA AL AGUA ZEOCAR FINE PASTE X 0,200 (74)</v>
      </c>
      <c r="D469" s="1" t="s">
        <v>14473</v>
      </c>
      <c r="E469" s="3">
        <f>IFERROR(VLOOKUP(B469,'DA1'!$B$2:$D$999999,3,FALSE),"")</f>
      </c>
      <c r="F469" s="1" t="str">
        <f>IFERROR(VLOOKUP(B469,'SB1'!$A$2:$C$999999,3,FALSE),"")</f>
        <v>503</v>
      </c>
      <c r="G469" s="3" t="e">
        <f t="shared" si="15"/>
        <v>#VALUE!</v>
      </c>
      <c r="H469" s="3" t="e">
        <f t="shared" si="14"/>
        <v>#VALUE!</v>
      </c>
      <c r="I469" s="1">
        <v>1</v>
      </c>
    </row>
    <row r="470" spans="1:9" x14ac:dyDescent="0.25">
      <c r="A470" s="1" t="s">
        <v>14435</v>
      </c>
      <c r="B470" s="1" t="s">
        <v>1293</v>
      </c>
      <c r="C470" s="1" t="str">
        <f>IFERROR(VLOOKUP(B470,'SB1'!$A$2:$B$999999,2,FALSE),"")</f>
        <v>PASTA AL AGUA ZEOCAR FINE PASTE X 1 (75)</v>
      </c>
      <c r="D470" s="1" t="s">
        <v>14473</v>
      </c>
      <c r="E470" s="3">
        <f>IFERROR(VLOOKUP(B470,'DA1'!$B$2:$D$999999,3,FALSE),"")</f>
      </c>
      <c r="F470" s="1" t="str">
        <f>IFERROR(VLOOKUP(B470,'SB1'!$A$2:$C$999999,3,FALSE),"")</f>
        <v>503</v>
      </c>
      <c r="G470" s="3" t="e">
        <f t="shared" si="15"/>
        <v>#VALUE!</v>
      </c>
      <c r="H470" s="3" t="e">
        <f t="shared" si="14"/>
        <v>#VALUE!</v>
      </c>
      <c r="I470" s="1">
        <v>1</v>
      </c>
    </row>
    <row r="471" spans="1:9" x14ac:dyDescent="0.25">
      <c r="A471" s="1" t="s">
        <v>14435</v>
      </c>
      <c r="B471" s="1" t="s">
        <v>1295</v>
      </c>
      <c r="C471" s="1" t="str">
        <f>IFERROR(VLOOKUP(B471,'SB1'!$A$2:$B$999999,2,FALSE),"")</f>
        <v>PASTA PARA PULIR A MAQUINA ZEOCAR MACHINE GLAZE X 0,200 (77)</v>
      </c>
      <c r="D471" s="1" t="s">
        <v>14473</v>
      </c>
      <c r="E471" s="3">
        <f>IFERROR(VLOOKUP(B471,'DA1'!$B$2:$D$999999,3,FALSE),"")</f>
      </c>
      <c r="F471" s="1" t="str">
        <f>IFERROR(VLOOKUP(B471,'SB1'!$A$2:$C$999999,3,FALSE),"")</f>
        <v>503</v>
      </c>
      <c r="G471" s="3" t="e">
        <f t="shared" si="15"/>
        <v>#VALUE!</v>
      </c>
      <c r="H471" s="3" t="e">
        <f t="shared" si="14"/>
        <v>#VALUE!</v>
      </c>
      <c r="I471" s="1">
        <v>1</v>
      </c>
    </row>
    <row r="472" spans="1:9" x14ac:dyDescent="0.25">
      <c r="A472" s="1" t="s">
        <v>14435</v>
      </c>
      <c r="B472" s="1" t="s">
        <v>1297</v>
      </c>
      <c r="C472" s="1" t="str">
        <f>IFERROR(VLOOKUP(B472,'SB1'!$A$2:$B$999999,2,FALSE),"")</f>
        <v>PASTA PARA PULIR A MAQUINA ZEOCAR MACHINE GLAZE X 1 (78)</v>
      </c>
      <c r="D472" s="1" t="s">
        <v>14473</v>
      </c>
      <c r="E472" s="3">
        <f>IFERROR(VLOOKUP(B472,'DA1'!$B$2:$D$999999,3,FALSE),"")</f>
      </c>
      <c r="F472" s="1" t="str">
        <f>IFERROR(VLOOKUP(B472,'SB1'!$A$2:$C$999999,3,FALSE),"")</f>
        <v>503</v>
      </c>
      <c r="G472" s="3" t="e">
        <f t="shared" si="15"/>
        <v>#VALUE!</v>
      </c>
      <c r="H472" s="3" t="e">
        <f t="shared" ref="H472:H481" si="16">G472*1.21</f>
        <v>#VALUE!</v>
      </c>
      <c r="I472" s="1">
        <v>1</v>
      </c>
    </row>
    <row r="473" spans="1:9" x14ac:dyDescent="0.25">
      <c r="A473" s="1" t="s">
        <v>14435</v>
      </c>
      <c r="B473" s="1" t="s">
        <v>1299</v>
      </c>
      <c r="C473" s="1" t="str">
        <f>IFERROR(VLOOKUP(B473,'SB1'!$A$2:$B$999999,2,FALSE),"")</f>
        <v>PINTURA ASFALTICA SECADO RAPIDO MEGAFLEX X  1</v>
      </c>
      <c r="D473" s="1" t="s">
        <v>14466</v>
      </c>
      <c r="E473" s="3">
        <f>IFERROR(VLOOKUP(B473,'DA1'!$B$2:$D$999999,3,FALSE),"")</f>
      </c>
      <c r="F473" s="1" t="str">
        <f>IFERROR(VLOOKUP(B473,'SB1'!$A$2:$C$999999,3,FALSE),"")</f>
        <v>503</v>
      </c>
      <c r="G473" s="3" t="e">
        <f t="shared" si="15"/>
        <v>#VALUE!</v>
      </c>
      <c r="H473" s="3" t="e">
        <f t="shared" si="16"/>
        <v>#VALUE!</v>
      </c>
      <c r="I473" s="1">
        <v>1</v>
      </c>
    </row>
    <row r="474" spans="1:9" x14ac:dyDescent="0.25">
      <c r="A474" s="1" t="s">
        <v>14435</v>
      </c>
      <c r="B474" s="1" t="s">
        <v>1301</v>
      </c>
      <c r="C474" s="1" t="str">
        <f>IFERROR(VLOOKUP(B474,'SB1'!$A$2:$B$999999,2,FALSE),"")</f>
        <v>PINTURA ASFALTICA SECADO RAPIDO MEGAFLEX X  4</v>
      </c>
      <c r="D474" s="1" t="s">
        <v>14466</v>
      </c>
      <c r="E474" s="3">
        <f>IFERROR(VLOOKUP(B474,'DA1'!$B$2:$D$999999,3,FALSE),"")</f>
      </c>
      <c r="F474" s="1" t="str">
        <f>IFERROR(VLOOKUP(B474,'SB1'!$A$2:$C$999999,3,FALSE),"")</f>
        <v>503</v>
      </c>
      <c r="G474" s="3" t="e">
        <f t="shared" si="15"/>
        <v>#VALUE!</v>
      </c>
      <c r="H474" s="3" t="e">
        <f t="shared" si="16"/>
        <v>#VALUE!</v>
      </c>
      <c r="I474" s="1">
        <v>1</v>
      </c>
    </row>
    <row r="475" spans="1:9" x14ac:dyDescent="0.25">
      <c r="A475" s="1" t="s">
        <v>14435</v>
      </c>
      <c r="B475" s="1" t="s">
        <v>1303</v>
      </c>
      <c r="C475" s="1" t="str">
        <f>IFERROR(VLOOKUP(B475,'SB1'!$A$2:$B$999999,2,FALSE),"")</f>
        <v>PINTURA ASFALTICA SECADO RAPIDO MEGAFLEX X 18</v>
      </c>
      <c r="D475" s="1" t="s">
        <v>14466</v>
      </c>
      <c r="E475" s="3">
        <f>IFERROR(VLOOKUP(B475,'DA1'!$B$2:$D$999999,3,FALSE),"")</f>
      </c>
      <c r="F475" s="1" t="str">
        <f>IFERROR(VLOOKUP(B475,'SB1'!$A$2:$C$999999,3,FALSE),"")</f>
        <v>503</v>
      </c>
      <c r="G475" s="3" t="e">
        <f t="shared" si="15"/>
        <v>#VALUE!</v>
      </c>
      <c r="H475" s="3" t="e">
        <f t="shared" si="16"/>
        <v>#VALUE!</v>
      </c>
      <c r="I475" s="1">
        <v>1</v>
      </c>
    </row>
    <row r="476" spans="1:9" x14ac:dyDescent="0.25">
      <c r="A476" s="1" t="s">
        <v>14435</v>
      </c>
      <c r="B476" s="1" t="s">
        <v>1305</v>
      </c>
      <c r="C476" s="1" t="str">
        <f>IFERROR(VLOOKUP(B476,'SB1'!$A$2:$B$999999,2,FALSE),"")</f>
        <v>MASILLA POLIESTER ZEOCAR X 0,300 (66)</v>
      </c>
      <c r="D476" s="1" t="s">
        <v>14473</v>
      </c>
      <c r="E476" s="3">
        <f>IFERROR(VLOOKUP(B476,'DA1'!$B$2:$D$999999,3,FALSE),"")</f>
      </c>
      <c r="F476" s="1" t="str">
        <f>IFERROR(VLOOKUP(B476,'SB1'!$A$2:$C$999999,3,FALSE),"")</f>
        <v>503</v>
      </c>
      <c r="G476" s="3" t="e">
        <f t="shared" si="15"/>
        <v>#VALUE!</v>
      </c>
      <c r="H476" s="3" t="e">
        <f t="shared" si="16"/>
        <v>#VALUE!</v>
      </c>
      <c r="I476" s="1">
        <v>1</v>
      </c>
    </row>
    <row r="477" spans="1:9" x14ac:dyDescent="0.25">
      <c r="A477" s="1" t="s">
        <v>14435</v>
      </c>
      <c r="B477" s="1" t="s">
        <v>1307</v>
      </c>
      <c r="C477" s="1" t="str">
        <f>IFERROR(VLOOKUP(B477,'SB1'!$A$2:$B$999999,2,FALSE),"")</f>
        <v>MASILLA POLIESTER ZEOCAR X 0,500 (34)</v>
      </c>
      <c r="D477" s="1" t="s">
        <v>14473</v>
      </c>
      <c r="E477" s="3">
        <f>IFERROR(VLOOKUP(B477,'DA1'!$B$2:$D$999999,3,FALSE),"")</f>
      </c>
      <c r="F477" s="1" t="str">
        <f>IFERROR(VLOOKUP(B477,'SB1'!$A$2:$C$999999,3,FALSE),"")</f>
        <v>503</v>
      </c>
      <c r="G477" s="3" t="e">
        <f t="shared" si="15"/>
        <v>#VALUE!</v>
      </c>
      <c r="H477" s="3" t="e">
        <f t="shared" si="16"/>
        <v>#VALUE!</v>
      </c>
      <c r="I477" s="1">
        <v>1</v>
      </c>
    </row>
    <row r="478" spans="1:9" x14ac:dyDescent="0.25">
      <c r="A478" s="1" t="s">
        <v>14435</v>
      </c>
      <c r="B478" s="1" t="s">
        <v>1309</v>
      </c>
      <c r="C478" s="1" t="str">
        <f>IFERROR(VLOOKUP(B478,'SB1'!$A$2:$B$999999,2,FALSE),"")</f>
        <v>CERA CARNAUBA ZEOCAR ZEOWAX X 0,290 (83)</v>
      </c>
      <c r="D478" s="1" t="s">
        <v>14473</v>
      </c>
      <c r="E478" s="3">
        <f>IFERROR(VLOOKUP(B478,'DA1'!$B$2:$D$999999,3,FALSE),"")</f>
      </c>
      <c r="F478" s="1" t="str">
        <f>IFERROR(VLOOKUP(B478,'SB1'!$A$2:$C$999999,3,FALSE),"")</f>
        <v>503</v>
      </c>
      <c r="G478" s="3" t="e">
        <f t="shared" si="15"/>
        <v>#VALUE!</v>
      </c>
      <c r="H478" s="3" t="e">
        <f t="shared" si="16"/>
        <v>#VALUE!</v>
      </c>
      <c r="I478" s="1">
        <v>1</v>
      </c>
    </row>
    <row r="479" spans="1:9" x14ac:dyDescent="0.25">
      <c r="A479" s="1" t="s">
        <v>14435</v>
      </c>
      <c r="B479" s="1" t="s">
        <v>1311</v>
      </c>
      <c r="C479" s="1" t="str">
        <f>IFERROR(VLOOKUP(B479,'SB1'!$A$2:$B$999999,2,FALSE),"")</f>
        <v>MASILLA POLIESTER ZEOCAR X 1 (35)</v>
      </c>
      <c r="D479" s="1" t="s">
        <v>14473</v>
      </c>
      <c r="E479" s="3">
        <f>IFERROR(VLOOKUP(B479,'DA1'!$B$2:$D$999999,3,FALSE),"")</f>
      </c>
      <c r="F479" s="1" t="str">
        <f>IFERROR(VLOOKUP(B479,'SB1'!$A$2:$C$999999,3,FALSE),"")</f>
        <v>503</v>
      </c>
      <c r="G479" s="3" t="e">
        <f t="shared" si="15"/>
        <v>#VALUE!</v>
      </c>
      <c r="H479" s="3" t="e">
        <f t="shared" si="16"/>
        <v>#VALUE!</v>
      </c>
      <c r="I479" s="1">
        <v>1</v>
      </c>
    </row>
    <row r="480" spans="1:8" x14ac:dyDescent="0.25">
      <c r="A480" s="1" t="s">
        <v>14435</v>
      </c>
      <c r="B480" s="1" t="s">
        <v>1313</v>
      </c>
      <c r="C480" s="1" t="str">
        <f>IFERROR(VLOOKUP(B480,'SB1'!$A$2:$B$999999,2,FALSE),"")</f>
        <v>MASILLA POLIESTER ZEOCAR X 2,50 (38)</v>
      </c>
      <c r="D480" s="1" t="s">
        <v>14439</v>
      </c>
      <c r="E480" s="3">
        <f>IFERROR(VLOOKUP(B480,'DA1'!$B$2:$D$999999,3,FALSE),"")</f>
      </c>
      <c r="F480" s="1" t="str">
        <f>IFERROR(VLOOKUP(B480,'SB1'!$A$2:$C$999999,3,FALSE),"")</f>
        <v>503</v>
      </c>
      <c r="G480" s="3" t="e">
        <f t="shared" si="15"/>
        <v>#VALUE!</v>
      </c>
      <c r="H480" s="3" t="e">
        <f t="shared" si="16"/>
        <v>#VALUE!</v>
      </c>
    </row>
    <row r="481" spans="1:9" x14ac:dyDescent="0.25">
      <c r="A481" s="1" t="s">
        <v>14435</v>
      </c>
      <c r="B481" s="1" t="s">
        <v>1315</v>
      </c>
      <c r="C481" s="1" t="str">
        <f>IFERROR(VLOOKUP(B481,'SB1'!$A$2:$B$999999,2,FALSE),"")</f>
        <v>MASILLA POLIESTER ZEOCAR X 3,25 (33)</v>
      </c>
      <c r="D481" s="1" t="s">
        <v>14473</v>
      </c>
      <c r="E481" s="3">
        <f>IFERROR(VLOOKUP(B481,'DA1'!$B$2:$D$999999,3,FALSE),"")</f>
      </c>
      <c r="F481" s="1" t="str">
        <f>IFERROR(VLOOKUP(B481,'SB1'!$A$2:$C$999999,3,FALSE),"")</f>
        <v>503</v>
      </c>
      <c r="G481" s="3" t="e">
        <f t="shared" si="15"/>
        <v>#VALUE!</v>
      </c>
      <c r="H481" s="3" t="e">
        <f t="shared" si="16"/>
        <v>#VALUE!</v>
      </c>
      <c r="I481" s="1">
        <v>1</v>
      </c>
    </row>
    <row r="482" spans="1:9" x14ac:dyDescent="0.25">
      <c r="A482" s="1" t="s">
        <v>14435</v>
      </c>
      <c r="B482" s="1" t="s">
        <v>1319</v>
      </c>
      <c r="C482" s="1" t="str">
        <f>IFERROR(VLOOKUP(B482,'SB1'!$A$2:$B$999999,2,FALSE),"")</f>
        <v>PISTOLA PARA PINTAR CANE A.L 150</v>
      </c>
      <c r="D482" s="1" t="s">
        <v>14474</v>
      </c>
      <c r="E482" s="3">
        <f>IFERROR(VLOOKUP(B482,'DA1'!$B$2:$D$999999,3,FALSE),"")</f>
      </c>
      <c r="F482" s="1" t="str">
        <f>IFERROR(VLOOKUP(B482,'SB1'!$A$2:$C$999999,3,FALSE),"")</f>
        <v>501</v>
      </c>
      <c r="G482" s="3" t="e">
        <f t="shared" si="15"/>
        <v>#VALUE!</v>
      </c>
      <c r="H482" s="3" t="e">
        <f t="shared" ref="H482:H483" si="17">G482*1.105</f>
        <v>#VALUE!</v>
      </c>
      <c r="I482" s="1">
        <v>1</v>
      </c>
    </row>
    <row r="483" spans="1:9" x14ac:dyDescent="0.25">
      <c r="A483" s="1" t="s">
        <v>14435</v>
      </c>
      <c r="B483" s="1" t="s">
        <v>1321</v>
      </c>
      <c r="C483" s="1" t="str">
        <f>IFERROR(VLOOKUP(B483,'SB1'!$A$2:$B$999999,2,FALSE),"")</f>
        <v>PISTOLA PARA PINTAR CANE  A.L 700</v>
      </c>
      <c r="D483" s="1" t="s">
        <v>14474</v>
      </c>
      <c r="E483" s="3">
        <f>IFERROR(VLOOKUP(B483,'DA1'!$B$2:$D$999999,3,FALSE),"")</f>
      </c>
      <c r="F483" s="1" t="str">
        <f>IFERROR(VLOOKUP(B483,'SB1'!$A$2:$C$999999,3,FALSE),"")</f>
        <v>501</v>
      </c>
      <c r="G483" s="3" t="e">
        <f t="shared" si="15"/>
        <v>#VALUE!</v>
      </c>
      <c r="H483" s="3" t="e">
        <f t="shared" si="17"/>
        <v>#VALUE!</v>
      </c>
      <c r="I483" s="1">
        <v>1</v>
      </c>
    </row>
    <row r="484" spans="1:9" x14ac:dyDescent="0.25">
      <c r="A484" s="1" t="s">
        <v>14435</v>
      </c>
      <c r="B484" s="1" t="s">
        <v>1323</v>
      </c>
      <c r="C484" s="1" t="str">
        <f>IFERROR(VLOOKUP(B484,'SB1'!$A$2:$B$999999,2,FALSE),"")</f>
        <v>AEROSOL RUST-OLEUM SP BANERAS Y AZULEJOS X 0,340(280882 / 358949)</v>
      </c>
      <c r="D484" s="1" t="s">
        <v>14475</v>
      </c>
      <c r="E484" s="3">
        <f>IFERROR(VLOOKUP(B484,'DA1'!$B$2:$D$999999,3,FALSE),"")</f>
      </c>
      <c r="F484" s="1" t="str">
        <f>IFERROR(VLOOKUP(B484,'SB1'!$A$2:$C$999999,3,FALSE),"")</f>
        <v>503</v>
      </c>
      <c r="G484" s="3" t="e">
        <f t="shared" si="15"/>
        <v>#VALUE!</v>
      </c>
      <c r="H484" s="3" t="e">
        <f>G484*1.21</f>
        <v>#VALUE!</v>
      </c>
      <c r="I484" s="1">
        <v>1</v>
      </c>
    </row>
    <row r="485" spans="1:9" x14ac:dyDescent="0.25">
      <c r="A485" s="1" t="s">
        <v>14435</v>
      </c>
      <c r="B485" s="1" t="s">
        <v>1327</v>
      </c>
      <c r="C485" s="1" t="str">
        <f>IFERROR(VLOOKUP(B485,'SB1'!$A$2:$B$999999,2,FALSE),"")</f>
        <v>PISTOLA PARA PINTAR CANE S.K.P.</v>
      </c>
      <c r="D485" s="1" t="s">
        <v>14474</v>
      </c>
      <c r="E485" s="3">
        <f>IFERROR(VLOOKUP(B485,'DA1'!$B$2:$D$999999,3,FALSE),"")</f>
      </c>
      <c r="F485" s="1" t="str">
        <f>IFERROR(VLOOKUP(B485,'SB1'!$A$2:$C$999999,3,FALSE),"")</f>
        <v>501</v>
      </c>
      <c r="G485" s="3" t="e">
        <f t="shared" si="15"/>
        <v>#VALUE!</v>
      </c>
      <c r="H485" s="3" t="e">
        <f>G485*1.105</f>
        <v>#VALUE!</v>
      </c>
      <c r="I485" s="1">
        <v>1</v>
      </c>
    </row>
    <row r="486" spans="1:9" x14ac:dyDescent="0.25">
      <c r="A486" s="1" t="s">
        <v>14435</v>
      </c>
      <c r="B486" s="1" t="s">
        <v>1329</v>
      </c>
      <c r="C486" s="1" t="str">
        <f>IFERROR(VLOOKUP(B486,'SB1'!$A$2:$B$999999,2,FALSE),"")</f>
        <v>RODILLO LUMAR LANA MARRON ESPECIAL 17 (510B)</v>
      </c>
      <c r="D486" s="1" t="s">
        <v>14467</v>
      </c>
      <c r="E486" s="3">
        <f>IFERROR(VLOOKUP(B486,'DA1'!$B$2:$D$999999,3,FALSE),"")</f>
      </c>
      <c r="F486" s="1" t="str">
        <f>IFERROR(VLOOKUP(B486,'SB1'!$A$2:$C$999999,3,FALSE),"")</f>
        <v>503</v>
      </c>
      <c r="G486" s="3" t="e">
        <f t="shared" si="15"/>
        <v>#VALUE!</v>
      </c>
      <c r="H486" s="3" t="e">
        <f t="shared" ref="H486:H487" si="18">G486*1.21</f>
        <v>#VALUE!</v>
      </c>
      <c r="I486" s="1">
        <v>1</v>
      </c>
    </row>
    <row r="487" spans="1:9" x14ac:dyDescent="0.25">
      <c r="A487" s="1" t="s">
        <v>14435</v>
      </c>
      <c r="B487" s="1" t="s">
        <v>1331</v>
      </c>
      <c r="C487" s="1" t="str">
        <f>IFERROR(VLOOKUP(B487,'SB1'!$A$2:$B$999999,2,FALSE),"")</f>
        <v>RODILLO LUMAR LANA MARRON ESPECIAL 22 (510C)</v>
      </c>
      <c r="D487" s="1" t="s">
        <v>14467</v>
      </c>
      <c r="E487" s="3">
        <f>IFERROR(VLOOKUP(B487,'DA1'!$B$2:$D$999999,3,FALSE),"")</f>
      </c>
      <c r="F487" s="1" t="str">
        <f>IFERROR(VLOOKUP(B487,'SB1'!$A$2:$C$999999,3,FALSE),"")</f>
        <v>503</v>
      </c>
      <c r="G487" s="3" t="e">
        <f t="shared" si="15"/>
        <v>#VALUE!</v>
      </c>
      <c r="H487" s="3" t="e">
        <f t="shared" si="18"/>
        <v>#VALUE!</v>
      </c>
      <c r="I487" s="1">
        <v>1</v>
      </c>
    </row>
    <row r="488" spans="1:9" x14ac:dyDescent="0.25">
      <c r="A488" s="1" t="s">
        <v>14435</v>
      </c>
      <c r="B488" s="1" t="s">
        <v>1333</v>
      </c>
      <c r="C488" s="1" t="str">
        <f>IFERROR(VLOOKUP(B488,'SB1'!$A$2:$B$999999,2,FALSE),"")</f>
        <v>PISTOLA PARA PINTAR CANE H.V.G.</v>
      </c>
      <c r="D488" s="1" t="s">
        <v>14474</v>
      </c>
      <c r="E488" s="3">
        <f>IFERROR(VLOOKUP(B488,'DA1'!$B$2:$D$999999,3,FALSE),"")</f>
      </c>
      <c r="F488" s="1" t="str">
        <f>IFERROR(VLOOKUP(B488,'SB1'!$A$2:$C$999999,3,FALSE),"")</f>
        <v>501</v>
      </c>
      <c r="G488" s="3" t="e">
        <f t="shared" si="15"/>
        <v>#VALUE!</v>
      </c>
      <c r="H488" s="3" t="e">
        <f>G488*1.105</f>
        <v>#VALUE!</v>
      </c>
      <c r="I488" s="1">
        <v>1</v>
      </c>
    </row>
    <row r="489" spans="1:9" x14ac:dyDescent="0.25">
      <c r="A489" s="1" t="s">
        <v>14435</v>
      </c>
      <c r="B489" s="1" t="s">
        <v>1335</v>
      </c>
      <c r="C489" s="1" t="str">
        <f>IFERROR(VLOOKUP(B489,'SB1'!$A$2:$B$999999,2,FALSE),"")</f>
        <v>PASTA PARA PULIR A MAQUINA ZEOCAR MACHINE GLAZE X 0,500 (79)</v>
      </c>
      <c r="D489" s="1" t="s">
        <v>14473</v>
      </c>
      <c r="E489" s="3">
        <f>IFERROR(VLOOKUP(B489,'DA1'!$B$2:$D$999999,3,FALSE),"")</f>
      </c>
      <c r="F489" s="1" t="str">
        <f>IFERROR(VLOOKUP(B489,'SB1'!$A$2:$C$999999,3,FALSE),"")</f>
        <v>503</v>
      </c>
      <c r="G489" s="3" t="e">
        <f t="shared" si="15"/>
        <v>#VALUE!</v>
      </c>
      <c r="H489" s="3" t="e">
        <f t="shared" ref="H489:H552" si="19">G489*1.21</f>
        <v>#VALUE!</v>
      </c>
      <c r="I489" s="1">
        <v>1</v>
      </c>
    </row>
    <row r="490" spans="1:9" x14ac:dyDescent="0.25">
      <c r="A490" s="1" t="s">
        <v>14435</v>
      </c>
      <c r="B490" s="1" t="s">
        <v>1337</v>
      </c>
      <c r="C490" s="1" t="str">
        <f>IFERROR(VLOOKUP(B490,'SB1'!$A$2:$B$999999,2,FALSE),"")</f>
        <v>MASILLA POLIESTER PARA PLASTICOS ZEOFLEX X 0,700 (65)</v>
      </c>
      <c r="D490" s="1" t="s">
        <v>14473</v>
      </c>
      <c r="E490" s="3">
        <f>IFERROR(VLOOKUP(B490,'DA1'!$B$2:$D$999999,3,FALSE),"")</f>
      </c>
      <c r="F490" s="1" t="str">
        <f>IFERROR(VLOOKUP(B490,'SB1'!$A$2:$C$999999,3,FALSE),"")</f>
        <v>503</v>
      </c>
      <c r="G490" s="3" t="e">
        <f t="shared" si="15"/>
        <v>#VALUE!</v>
      </c>
      <c r="H490" s="3" t="e">
        <f t="shared" si="19"/>
        <v>#VALUE!</v>
      </c>
      <c r="I490" s="1">
        <v>1</v>
      </c>
    </row>
    <row r="491" spans="1:9" x14ac:dyDescent="0.25">
      <c r="A491" s="1" t="s">
        <v>14435</v>
      </c>
      <c r="B491" s="1" t="s">
        <v>1339</v>
      </c>
      <c r="C491" s="1" t="str">
        <f>IFERROR(VLOOKUP(B491,'SB1'!$A$2:$B$999999,2,FALSE),"")</f>
        <v>PARCHE PLASTICO ZEOCAR FIBRADA X 0,535 (20)</v>
      </c>
      <c r="D491" s="1" t="s">
        <v>14473</v>
      </c>
      <c r="E491" s="3">
        <f>IFERROR(VLOOKUP(B491,'DA1'!$B$2:$D$999999,3,FALSE),"")</f>
      </c>
      <c r="F491" s="1" t="str">
        <f>IFERROR(VLOOKUP(B491,'SB1'!$A$2:$C$999999,3,FALSE),"")</f>
        <v>503</v>
      </c>
      <c r="G491" s="3" t="e">
        <f t="shared" si="15"/>
        <v>#VALUE!</v>
      </c>
      <c r="H491" s="3" t="e">
        <f t="shared" si="19"/>
        <v>#VALUE!</v>
      </c>
      <c r="I491" s="1">
        <v>1</v>
      </c>
    </row>
    <row r="492" spans="1:9" x14ac:dyDescent="0.25">
      <c r="A492" s="1" t="s">
        <v>14435</v>
      </c>
      <c r="B492" s="1" t="s">
        <v>1341</v>
      </c>
      <c r="C492" s="1" t="str">
        <f>IFERROR(VLOOKUP(B492,'SB1'!$A$2:$B$999999,2,FALSE),"")</f>
        <v>PARCHE PLASTICO ZEOCAR FIBRADA X 1,5 (21)</v>
      </c>
      <c r="D492" s="1" t="s">
        <v>14473</v>
      </c>
      <c r="E492" s="3">
        <f>IFERROR(VLOOKUP(B492,'DA1'!$B$2:$D$999999,3,FALSE),"")</f>
      </c>
      <c r="F492" s="1" t="str">
        <f>IFERROR(VLOOKUP(B492,'SB1'!$A$2:$C$999999,3,FALSE),"")</f>
        <v>503</v>
      </c>
      <c r="G492" s="3" t="e">
        <f t="shared" si="15"/>
        <v>#VALUE!</v>
      </c>
      <c r="H492" s="3" t="e">
        <f t="shared" si="19"/>
        <v>#VALUE!</v>
      </c>
      <c r="I492" s="1">
        <v>1</v>
      </c>
    </row>
    <row r="493" spans="1:9" x14ac:dyDescent="0.25">
      <c r="A493" s="1" t="s">
        <v>14435</v>
      </c>
      <c r="B493" s="1" t="s">
        <v>1343</v>
      </c>
      <c r="C493" s="1" t="str">
        <f>IFERROR(VLOOKUP(B493,'SB1'!$A$2:$B$999999,2,FALSE),"")</f>
        <v>ESMALTE SINTETICO PLAVICON 3EN1 BRILLANTE VERDE CLARO X 20</v>
      </c>
      <c r="D493" s="1" t="s">
        <v>14458</v>
      </c>
      <c r="E493" s="3">
        <f>IFERROR(VLOOKUP(B493,'DA1'!$B$2:$D$999999,3,FALSE),"")</f>
      </c>
      <c r="F493" s="1" t="str">
        <f>IFERROR(VLOOKUP(B493,'SB1'!$A$2:$C$999999,3,FALSE),"")</f>
        <v>503</v>
      </c>
      <c r="G493" s="3" t="e">
        <f t="shared" si="15"/>
        <v>#VALUE!</v>
      </c>
      <c r="H493" s="3" t="e">
        <f t="shared" si="19"/>
        <v>#VALUE!</v>
      </c>
      <c r="I493" s="1">
        <v>1</v>
      </c>
    </row>
    <row r="494" spans="1:9" x14ac:dyDescent="0.25">
      <c r="A494" s="1" t="s">
        <v>14435</v>
      </c>
      <c r="B494" s="1" t="s">
        <v>1345</v>
      </c>
      <c r="C494" s="1" t="str">
        <f>IFERROR(VLOOKUP(B494,'SB1'!$A$2:$B$999999,2,FALSE),"")</f>
        <v>DILUYENTE DESENGRASANTE X  1</v>
      </c>
      <c r="D494" s="1" t="s">
        <v>14472</v>
      </c>
      <c r="E494" s="3">
        <f>IFERROR(VLOOKUP(B494,'DA1'!$B$2:$D$999999,3,FALSE),"")</f>
      </c>
      <c r="F494" s="1" t="str">
        <f>IFERROR(VLOOKUP(B494,'SB1'!$A$2:$C$999999,3,FALSE),"")</f>
        <v>503</v>
      </c>
      <c r="G494" s="3" t="e">
        <f t="shared" si="15"/>
        <v>#VALUE!</v>
      </c>
      <c r="H494" s="3" t="e">
        <f t="shared" si="19"/>
        <v>#VALUE!</v>
      </c>
      <c r="I494" s="1">
        <v>1</v>
      </c>
    </row>
    <row r="495" spans="1:9" x14ac:dyDescent="0.25">
      <c r="A495" s="1" t="s">
        <v>14435</v>
      </c>
      <c r="B495" s="1" t="s">
        <v>1347</v>
      </c>
      <c r="C495" s="1" t="str">
        <f>IFERROR(VLOOKUP(B495,'SB1'!$A$2:$B$999999,2,FALSE),"")</f>
        <v>DILUYENTE DESENGRASANTE X  4</v>
      </c>
      <c r="D495" s="1" t="s">
        <v>14472</v>
      </c>
      <c r="E495" s="3">
        <f>IFERROR(VLOOKUP(B495,'DA1'!$B$2:$D$999999,3,FALSE),"")</f>
      </c>
      <c r="F495" s="1" t="str">
        <f>IFERROR(VLOOKUP(B495,'SB1'!$A$2:$C$999999,3,FALSE),"")</f>
        <v>503</v>
      </c>
      <c r="G495" s="3" t="e">
        <f t="shared" si="15"/>
        <v>#VALUE!</v>
      </c>
      <c r="H495" s="3" t="e">
        <f t="shared" si="19"/>
        <v>#VALUE!</v>
      </c>
      <c r="I495" s="1">
        <v>1</v>
      </c>
    </row>
    <row r="496" spans="1:9" x14ac:dyDescent="0.25">
      <c r="A496" s="1" t="s">
        <v>14435</v>
      </c>
      <c r="B496" s="1" t="s">
        <v>1353</v>
      </c>
      <c r="C496" s="1" t="str">
        <f>IFERROR(VLOOKUP(B496,'SB1'!$A$2:$B$999999,2,FALSE),"")</f>
        <v>ADHESIVO MOLDURA COLVINIL CARTUCHO X 0,500</v>
      </c>
      <c r="D496" s="1" t="s">
        <v>14453</v>
      </c>
      <c r="E496" s="3">
        <f>IFERROR(VLOOKUP(B496,'DA1'!$B$2:$D$999999,3,FALSE),"")</f>
      </c>
      <c r="F496" s="1" t="str">
        <f>IFERROR(VLOOKUP(B496,'SB1'!$A$2:$C$999999,3,FALSE),"")</f>
        <v>503</v>
      </c>
      <c r="G496" s="3" t="e">
        <f t="shared" si="15"/>
        <v>#VALUE!</v>
      </c>
      <c r="H496" s="3" t="e">
        <f t="shared" si="19"/>
        <v>#VALUE!</v>
      </c>
      <c r="I496" s="1">
        <v>1</v>
      </c>
    </row>
    <row r="497" spans="1:9" x14ac:dyDescent="0.25">
      <c r="A497" s="1" t="s">
        <v>14435</v>
      </c>
      <c r="B497" s="1" t="s">
        <v>1355</v>
      </c>
      <c r="C497" s="1" t="str">
        <f>IFERROR(VLOOKUP(B497,'SB1'!$A$2:$B$999999,2,FALSE),"")</f>
        <v>ADHESIVO MOLDURA COLVINIL X 1,200</v>
      </c>
      <c r="D497" s="1" t="s">
        <v>14453</v>
      </c>
      <c r="E497" s="3">
        <f>IFERROR(VLOOKUP(B497,'DA1'!$B$2:$D$999999,3,FALSE),"")</f>
      </c>
      <c r="F497" s="1" t="str">
        <f>IFERROR(VLOOKUP(B497,'SB1'!$A$2:$C$999999,3,FALSE),"")</f>
        <v>503</v>
      </c>
      <c r="G497" s="3" t="e">
        <f t="shared" si="15"/>
        <v>#VALUE!</v>
      </c>
      <c r="H497" s="3" t="e">
        <f t="shared" si="19"/>
        <v>#VALUE!</v>
      </c>
      <c r="I497" s="1">
        <v>1</v>
      </c>
    </row>
    <row r="498" spans="1:9" x14ac:dyDescent="0.25">
      <c r="A498" s="1" t="s">
        <v>14435</v>
      </c>
      <c r="B498" s="1" t="s">
        <v>1357</v>
      </c>
      <c r="C498" s="1" t="str">
        <f>IFERROR(VLOOKUP(B498,'SB1'!$A$2:$B$999999,2,FALSE),"")</f>
        <v>RODILLO LUMAR MINI COMUN  5 CM (40A)</v>
      </c>
      <c r="D498" s="1" t="s">
        <v>14467</v>
      </c>
      <c r="E498" s="3">
        <f>IFERROR(VLOOKUP(B498,'DA1'!$B$2:$D$999999,3,FALSE),"")</f>
      </c>
      <c r="F498" s="1" t="str">
        <f>IFERROR(VLOOKUP(B498,'SB1'!$A$2:$C$999999,3,FALSE),"")</f>
        <v>503</v>
      </c>
      <c r="G498" s="3" t="e">
        <f t="shared" si="15"/>
        <v>#VALUE!</v>
      </c>
      <c r="H498" s="3" t="e">
        <f t="shared" si="19"/>
        <v>#VALUE!</v>
      </c>
      <c r="I498" s="1">
        <v>1</v>
      </c>
    </row>
    <row r="499" spans="1:9" x14ac:dyDescent="0.25">
      <c r="A499" s="1" t="s">
        <v>14435</v>
      </c>
      <c r="B499" s="1" t="s">
        <v>1359</v>
      </c>
      <c r="C499" s="1" t="str">
        <f>IFERROR(VLOOKUP(B499,'SB1'!$A$2:$B$999999,2,FALSE),"")</f>
        <v>RODILLO LUMAR MINI COMUN  8 CM (40B)</v>
      </c>
      <c r="D499" s="1" t="s">
        <v>14467</v>
      </c>
      <c r="E499" s="3">
        <f>IFERROR(VLOOKUP(B499,'DA1'!$B$2:$D$999999,3,FALSE),"")</f>
      </c>
      <c r="F499" s="1" t="str">
        <f>IFERROR(VLOOKUP(B499,'SB1'!$A$2:$C$999999,3,FALSE),"")</f>
        <v>503</v>
      </c>
      <c r="G499" s="3" t="e">
        <f t="shared" si="15"/>
        <v>#VALUE!</v>
      </c>
      <c r="H499" s="3" t="e">
        <f t="shared" si="19"/>
        <v>#VALUE!</v>
      </c>
      <c r="I499" s="1">
        <v>1</v>
      </c>
    </row>
    <row r="500" spans="1:9" x14ac:dyDescent="0.25">
      <c r="A500" s="1" t="s">
        <v>14435</v>
      </c>
      <c r="B500" s="1" t="s">
        <v>1361</v>
      </c>
      <c r="C500" s="1" t="str">
        <f>IFERROR(VLOOKUP(B500,'SB1'!$A$2:$B$999999,2,FALSE),"")</f>
        <v>RODILLO LUMAR MINI COMUN 10 CM (40C)</v>
      </c>
      <c r="D500" s="1" t="s">
        <v>14467</v>
      </c>
      <c r="E500" s="3">
        <f>IFERROR(VLOOKUP(B500,'DA1'!$B$2:$D$999999,3,FALSE),"")</f>
      </c>
      <c r="F500" s="1" t="str">
        <f>IFERROR(VLOOKUP(B500,'SB1'!$A$2:$C$999999,3,FALSE),"")</f>
        <v>503</v>
      </c>
      <c r="G500" s="3" t="e">
        <f t="shared" si="15"/>
        <v>#VALUE!</v>
      </c>
      <c r="H500" s="3" t="e">
        <f t="shared" si="19"/>
        <v>#VALUE!</v>
      </c>
      <c r="I500" s="1">
        <v>1</v>
      </c>
    </row>
    <row r="501" spans="1:9" x14ac:dyDescent="0.25">
      <c r="A501" s="1" t="s">
        <v>14435</v>
      </c>
      <c r="B501" s="1" t="s">
        <v>1367</v>
      </c>
      <c r="C501" s="1" t="str">
        <f>IFERROR(VLOOKUP(B501,'SB1'!$A$2:$B$999999,2,FALSE),"")</f>
        <v>PROTECTOR PARA LADRILLO DURALBA SATINADO CON PELICULA CERAMICO  X  1</v>
      </c>
      <c r="D501" s="1" t="s">
        <v>14441</v>
      </c>
      <c r="E501" s="3">
        <f>IFERROR(VLOOKUP(B501,'DA1'!$B$2:$D$999999,3,FALSE),"")</f>
      </c>
      <c r="F501" s="1" t="str">
        <f>IFERROR(VLOOKUP(B501,'SB1'!$A$2:$C$999999,3,FALSE),"")</f>
        <v>503</v>
      </c>
      <c r="G501" s="3" t="e">
        <f t="shared" si="15"/>
        <v>#VALUE!</v>
      </c>
      <c r="H501" s="3" t="e">
        <f t="shared" si="19"/>
        <v>#VALUE!</v>
      </c>
      <c r="I501" s="1">
        <v>1</v>
      </c>
    </row>
    <row r="502" spans="1:9" x14ac:dyDescent="0.25">
      <c r="A502" s="1" t="s">
        <v>14435</v>
      </c>
      <c r="B502" s="1" t="s">
        <v>1369</v>
      </c>
      <c r="C502" s="1" t="str">
        <f>IFERROR(VLOOKUP(B502,'SB1'!$A$2:$B$999999,2,FALSE),"")</f>
        <v>PROTECTOR PARA LADRILLO DURALBA SATINADO CON PELICULA CERAMICO  X  4</v>
      </c>
      <c r="D502" s="1" t="s">
        <v>14441</v>
      </c>
      <c r="E502" s="3">
        <f>IFERROR(VLOOKUP(B502,'DA1'!$B$2:$D$999999,3,FALSE),"")</f>
      </c>
      <c r="F502" s="1" t="str">
        <f>IFERROR(VLOOKUP(B502,'SB1'!$A$2:$C$999999,3,FALSE),"")</f>
        <v>503</v>
      </c>
      <c r="G502" s="3" t="e">
        <f t="shared" si="15"/>
        <v>#VALUE!</v>
      </c>
      <c r="H502" s="3" t="e">
        <f t="shared" si="19"/>
        <v>#VALUE!</v>
      </c>
      <c r="I502" s="1">
        <v>1</v>
      </c>
    </row>
    <row r="503" spans="1:9" x14ac:dyDescent="0.25">
      <c r="A503" s="1" t="s">
        <v>14435</v>
      </c>
      <c r="B503" s="1" t="s">
        <v>1371</v>
      </c>
      <c r="C503" s="1" t="str">
        <f>IFERROR(VLOOKUP(B503,'SB1'!$A$2:$B$999999,2,FALSE),"")</f>
        <v>THINNER STANDARD X 18</v>
      </c>
      <c r="D503" s="1" t="s">
        <v>14472</v>
      </c>
      <c r="E503" s="3">
        <f>IFERROR(VLOOKUP(B503,'DA1'!$B$2:$D$999999,3,FALSE),"")</f>
      </c>
      <c r="F503" s="1" t="str">
        <f>IFERROR(VLOOKUP(B503,'SB1'!$A$2:$C$999999,3,FALSE),"")</f>
        <v>503</v>
      </c>
      <c r="G503" s="3" t="e">
        <f t="shared" si="15"/>
        <v>#VALUE!</v>
      </c>
      <c r="H503" s="3" t="e">
        <f t="shared" si="19"/>
        <v>#VALUE!</v>
      </c>
      <c r="I503" s="1">
        <v>1</v>
      </c>
    </row>
    <row r="504" spans="1:9" x14ac:dyDescent="0.25">
      <c r="A504" s="1" t="s">
        <v>14435</v>
      </c>
      <c r="B504" s="1" t="s">
        <v>1373</v>
      </c>
      <c r="C504" s="1" t="str">
        <f>IFERROR(VLOOKUP(B504,'SB1'!$A$2:$B$999999,2,FALSE),"")</f>
        <v>PROTECTOR PARA LADRILLO DURALBA SATINADO CON PELICULA CERAMICO  X 20</v>
      </c>
      <c r="D504" s="1" t="s">
        <v>14441</v>
      </c>
      <c r="E504" s="3">
        <f>IFERROR(VLOOKUP(B504,'DA1'!$B$2:$D$999999,3,FALSE),"")</f>
      </c>
      <c r="F504" s="1" t="str">
        <f>IFERROR(VLOOKUP(B504,'SB1'!$A$2:$C$999999,3,FALSE),"")</f>
        <v>503</v>
      </c>
      <c r="G504" s="3" t="e">
        <f t="shared" si="15"/>
        <v>#VALUE!</v>
      </c>
      <c r="H504" s="3" t="e">
        <f t="shared" si="19"/>
        <v>#VALUE!</v>
      </c>
      <c r="I504" s="1">
        <v>1</v>
      </c>
    </row>
    <row r="505" spans="1:9" x14ac:dyDescent="0.25">
      <c r="A505" s="1" t="s">
        <v>14435</v>
      </c>
      <c r="B505" s="1" t="s">
        <v>1379</v>
      </c>
      <c r="C505" s="1" t="str">
        <f>IFERROR(VLOOKUP(B505,'SB1'!$A$2:$B$999999,2,FALSE),"")</f>
        <v>THINNER STANDARD X 200</v>
      </c>
      <c r="D505" s="1" t="s">
        <v>14472</v>
      </c>
      <c r="E505" s="3">
        <f>IFERROR(VLOOKUP(B505,'DA1'!$B$2:$D$999999,3,FALSE),"")</f>
      </c>
      <c r="F505" s="1" t="str">
        <f>IFERROR(VLOOKUP(B505,'SB1'!$A$2:$C$999999,3,FALSE),"")</f>
        <v>503</v>
      </c>
      <c r="G505" s="3" t="e">
        <f t="shared" si="15"/>
        <v>#VALUE!</v>
      </c>
      <c r="H505" s="3" t="e">
        <f t="shared" si="19"/>
        <v>#VALUE!</v>
      </c>
      <c r="I505" s="1">
        <v>1</v>
      </c>
    </row>
    <row r="506" spans="1:9" x14ac:dyDescent="0.25">
      <c r="A506" s="1" t="s">
        <v>14435</v>
      </c>
      <c r="B506" s="1" t="s">
        <v>1383</v>
      </c>
      <c r="C506" s="1" t="str">
        <f>IFERROR(VLOOKUP(B506,'SB1'!$A$2:$B$999999,2,FALSE),"")</f>
        <v>TRAPO REJILLA (40X50)</v>
      </c>
      <c r="D506" s="1" t="s">
        <v>14476</v>
      </c>
      <c r="E506" s="3">
        <f>IFERROR(VLOOKUP(B506,'DA1'!$B$2:$D$999999,3,FALSE),"")</f>
      </c>
      <c r="F506" s="1" t="str">
        <f>IFERROR(VLOOKUP(B506,'SB1'!$A$2:$C$999999,3,FALSE),"")</f>
        <v>503</v>
      </c>
      <c r="G506" s="3" t="e">
        <f t="shared" si="15"/>
        <v>#VALUE!</v>
      </c>
      <c r="H506" s="3" t="e">
        <f t="shared" si="19"/>
        <v>#VALUE!</v>
      </c>
      <c r="I506" s="1">
        <v>1</v>
      </c>
    </row>
    <row r="507" spans="1:9" x14ac:dyDescent="0.25">
      <c r="A507" s="1" t="s">
        <v>14435</v>
      </c>
      <c r="B507" s="1" t="s">
        <v>1387</v>
      </c>
      <c r="C507" s="1" t="str">
        <f>IFERROR(VLOOKUP(B507,'SB1'!$A$2:$B$999999,2,FALSE),"")</f>
        <v>TRAPO FRANELA (50X50)</v>
      </c>
      <c r="D507" s="1" t="s">
        <v>14476</v>
      </c>
      <c r="E507" s="3">
        <f>IFERROR(VLOOKUP(B507,'DA1'!$B$2:$D$999999,3,FALSE),"")</f>
      </c>
      <c r="F507" s="1" t="str">
        <f>IFERROR(VLOOKUP(B507,'SB1'!$A$2:$C$999999,3,FALSE),"")</f>
        <v>503</v>
      </c>
      <c r="G507" s="3" t="e">
        <f t="shared" si="15"/>
        <v>#VALUE!</v>
      </c>
      <c r="H507" s="3" t="e">
        <f t="shared" si="19"/>
        <v>#VALUE!</v>
      </c>
      <c r="I507" s="1">
        <v>1</v>
      </c>
    </row>
    <row r="508" spans="1:9" x14ac:dyDescent="0.25">
      <c r="A508" s="1" t="s">
        <v>14435</v>
      </c>
      <c r="B508" s="1" t="s">
        <v>1389</v>
      </c>
      <c r="C508" s="1" t="str">
        <f>IFERROR(VLOOKUP(B508,'SB1'!$A$2:$B$999999,2,FALSE),"")</f>
        <v>AUTOPOLISH COLORIN CLASICO PROFES.X 0,900</v>
      </c>
      <c r="D508" s="1" t="s">
        <v>14438</v>
      </c>
      <c r="E508" s="3">
        <f>IFERROR(VLOOKUP(B508,'DA1'!$B$2:$D$999999,3,FALSE),"")</f>
      </c>
      <c r="F508" s="1" t="str">
        <f>IFERROR(VLOOKUP(B508,'SB1'!$A$2:$C$999999,3,FALSE),"")</f>
        <v>503</v>
      </c>
      <c r="G508" s="3" t="e">
        <f t="shared" si="15"/>
        <v>#VALUE!</v>
      </c>
      <c r="H508" s="3" t="e">
        <f t="shared" si="19"/>
        <v>#VALUE!</v>
      </c>
      <c r="I508" s="1">
        <v>1</v>
      </c>
    </row>
    <row r="509" spans="1:9" x14ac:dyDescent="0.25">
      <c r="A509" s="1" t="s">
        <v>14435</v>
      </c>
      <c r="B509" s="1" t="s">
        <v>1397</v>
      </c>
      <c r="C509" s="1" t="str">
        <f>IFERROR(VLOOKUP(B509,'SB1'!$A$2:$B$999999,2,FALSE),"")</f>
        <v>DILUYENTE DESENGRASANTE X 18</v>
      </c>
      <c r="D509" s="1" t="s">
        <v>14472</v>
      </c>
      <c r="E509" s="3">
        <f>IFERROR(VLOOKUP(B509,'DA1'!$B$2:$D$999999,3,FALSE),"")</f>
      </c>
      <c r="F509" s="1" t="str">
        <f>IFERROR(VLOOKUP(B509,'SB1'!$A$2:$C$999999,3,FALSE),"")</f>
        <v>503</v>
      </c>
      <c r="G509" s="3" t="e">
        <f t="shared" si="15"/>
        <v>#VALUE!</v>
      </c>
      <c r="H509" s="3" t="e">
        <f t="shared" si="19"/>
        <v>#VALUE!</v>
      </c>
      <c r="I509" s="1">
        <v>1</v>
      </c>
    </row>
    <row r="510" spans="1:9" x14ac:dyDescent="0.25">
      <c r="A510" s="1" t="s">
        <v>14435</v>
      </c>
      <c r="B510" s="1" t="s">
        <v>1401</v>
      </c>
      <c r="C510" s="1" t="str">
        <f>IFERROR(VLOOKUP(B510,'SB1'!$A$2:$B$999999,2,FALSE),"")</f>
        <v>THINNER DIXILINA S/ORO X  0,900</v>
      </c>
      <c r="D510" s="1" t="s">
        <v>14477</v>
      </c>
      <c r="E510" s="3">
        <f>IFERROR(VLOOKUP(B510,'DA1'!$B$2:$D$999999,3,FALSE),"")</f>
      </c>
      <c r="F510" s="1" t="str">
        <f>IFERROR(VLOOKUP(B510,'SB1'!$A$2:$C$999999,3,FALSE),"")</f>
        <v>503</v>
      </c>
      <c r="G510" s="3" t="e">
        <f t="shared" si="15"/>
        <v>#VALUE!</v>
      </c>
      <c r="H510" s="3" t="e">
        <f t="shared" si="19"/>
        <v>#VALUE!</v>
      </c>
      <c r="I510" s="1">
        <v>1</v>
      </c>
    </row>
    <row r="511" spans="1:9" x14ac:dyDescent="0.25">
      <c r="A511" s="1" t="s">
        <v>14435</v>
      </c>
      <c r="B511" s="1" t="s">
        <v>1403</v>
      </c>
      <c r="C511" s="1" t="str">
        <f>IFERROR(VLOOKUP(B511,'SB1'!$A$2:$B$999999,2,FALSE),"")</f>
        <v>THINNER DIXILINA S/ORO X  3,600</v>
      </c>
      <c r="D511" s="1" t="s">
        <v>14477</v>
      </c>
      <c r="E511" s="3">
        <f>IFERROR(VLOOKUP(B511,'DA1'!$B$2:$D$999999,3,FALSE),"")</f>
      </c>
      <c r="F511" s="1" t="str">
        <f>IFERROR(VLOOKUP(B511,'SB1'!$A$2:$C$999999,3,FALSE),"")</f>
        <v>503</v>
      </c>
      <c r="G511" s="3" t="e">
        <f t="shared" si="15"/>
        <v>#VALUE!</v>
      </c>
      <c r="H511" s="3" t="e">
        <f t="shared" si="19"/>
        <v>#VALUE!</v>
      </c>
      <c r="I511" s="1">
        <v>1</v>
      </c>
    </row>
    <row r="512" spans="1:9" x14ac:dyDescent="0.25">
      <c r="A512" s="1" t="s">
        <v>14435</v>
      </c>
      <c r="B512" s="1" t="s">
        <v>1405</v>
      </c>
      <c r="C512" s="1" t="str">
        <f>IFERROR(VLOOKUP(B512,'SB1'!$A$2:$B$999999,2,FALSE),"")</f>
        <v>DILUYENTE DESENGRASANTE DIXILINA ANTISILICONA X 200</v>
      </c>
      <c r="D512" s="1" t="s">
        <v>14477</v>
      </c>
      <c r="E512" s="3">
        <f>IFERROR(VLOOKUP(B512,'DA1'!$B$2:$D$999999,3,FALSE),"")</f>
      </c>
      <c r="F512" s="1" t="str">
        <f>IFERROR(VLOOKUP(B512,'SB1'!$A$2:$C$999999,3,FALSE),"")</f>
        <v>503</v>
      </c>
      <c r="G512" s="3" t="e">
        <f t="shared" si="15"/>
        <v>#VALUE!</v>
      </c>
      <c r="H512" s="3" t="e">
        <f t="shared" si="19"/>
        <v>#VALUE!</v>
      </c>
      <c r="I512" s="1">
        <v>1</v>
      </c>
    </row>
    <row r="513" spans="1:9" x14ac:dyDescent="0.25">
      <c r="A513" s="1" t="s">
        <v>14435</v>
      </c>
      <c r="B513" s="1" t="s">
        <v>1411</v>
      </c>
      <c r="C513" s="1" t="str">
        <f>IFERROR(VLOOKUP(B513,'SB1'!$A$2:$B$999999,2,FALSE),"")</f>
        <v>PASTA PARA PULIR MANUAL ZEOCAR HAND GLAZE X 0,200 (80)</v>
      </c>
      <c r="D513" s="1" t="s">
        <v>14473</v>
      </c>
      <c r="E513" s="3">
        <f>IFERROR(VLOOKUP(B513,'DA1'!$B$2:$D$999999,3,FALSE),"")</f>
      </c>
      <c r="F513" s="1" t="str">
        <f>IFERROR(VLOOKUP(B513,'SB1'!$A$2:$C$999999,3,FALSE),"")</f>
        <v>503</v>
      </c>
      <c r="G513" s="3" t="e">
        <f t="shared" si="15"/>
        <v>#VALUE!</v>
      </c>
      <c r="H513" s="3" t="e">
        <f t="shared" si="19"/>
        <v>#VALUE!</v>
      </c>
      <c r="I513" s="1">
        <v>1</v>
      </c>
    </row>
    <row r="514" spans="1:9" x14ac:dyDescent="0.25">
      <c r="A514" s="1" t="s">
        <v>14435</v>
      </c>
      <c r="B514" s="1" t="s">
        <v>1413</v>
      </c>
      <c r="C514" s="1" t="str">
        <f>IFERROR(VLOOKUP(B514,'SB1'!$A$2:$B$999999,2,FALSE),"")</f>
        <v>THINNER DIXILINA S/ORO X 18</v>
      </c>
      <c r="D514" s="1" t="s">
        <v>14477</v>
      </c>
      <c r="E514" s="3">
        <f>IFERROR(VLOOKUP(B514,'DA1'!$B$2:$D$999999,3,FALSE),"")</f>
      </c>
      <c r="F514" s="1" t="str">
        <f>IFERROR(VLOOKUP(B514,'SB1'!$A$2:$C$999999,3,FALSE),"")</f>
        <v>503</v>
      </c>
      <c r="G514" s="3" t="e">
        <f t="shared" si="15"/>
        <v>#VALUE!</v>
      </c>
      <c r="H514" s="3" t="e">
        <f t="shared" si="19"/>
        <v>#VALUE!</v>
      </c>
      <c r="I514" s="1">
        <v>1</v>
      </c>
    </row>
    <row r="515" spans="1:9" x14ac:dyDescent="0.25">
      <c r="A515" s="1" t="s">
        <v>14435</v>
      </c>
      <c r="B515" s="1" t="s">
        <v>1417</v>
      </c>
      <c r="C515" s="1" t="str">
        <f>IFERROR(VLOOKUP(B515,'SB1'!$A$2:$B$999999,2,FALSE),"")</f>
        <v>PASTA PARA PULIR MANUAL ZEOCAR HAND GLAZE X 0,500 (82)</v>
      </c>
      <c r="D515" s="1" t="s">
        <v>14473</v>
      </c>
      <c r="E515" s="3">
        <f>IFERROR(VLOOKUP(B515,'DA1'!$B$2:$D$999999,3,FALSE),"")</f>
      </c>
      <c r="F515" s="1" t="str">
        <f>IFERROR(VLOOKUP(B515,'SB1'!$A$2:$C$999999,3,FALSE),"")</f>
        <v>503</v>
      </c>
      <c r="G515" s="3" t="e">
        <f t="shared" ref="G515:G578" si="20">E515*1.04</f>
        <v>#VALUE!</v>
      </c>
      <c r="H515" s="3" t="e">
        <f t="shared" si="19"/>
        <v>#VALUE!</v>
      </c>
      <c r="I515" s="1">
        <v>1</v>
      </c>
    </row>
    <row r="516" spans="1:9" x14ac:dyDescent="0.25">
      <c r="A516" s="1" t="s">
        <v>14435</v>
      </c>
      <c r="B516" s="1" t="s">
        <v>1419</v>
      </c>
      <c r="C516" s="1" t="str">
        <f>IFERROR(VLOOKUP(B516,'SB1'!$A$2:$B$999999,2,FALSE),"")</f>
        <v>PASTA PARA PULIR MANUAL ZEOCAR HAND GLAZE X 1 (81)</v>
      </c>
      <c r="D516" s="1" t="s">
        <v>14473</v>
      </c>
      <c r="E516" s="3">
        <f>IFERROR(VLOOKUP(B516,'DA1'!$B$2:$D$999999,3,FALSE),"")</f>
      </c>
      <c r="F516" s="1" t="str">
        <f>IFERROR(VLOOKUP(B516,'SB1'!$A$2:$C$999999,3,FALSE),"")</f>
        <v>503</v>
      </c>
      <c r="G516" s="3" t="e">
        <f t="shared" si="20"/>
        <v>#VALUE!</v>
      </c>
      <c r="H516" s="3" t="e">
        <f t="shared" si="19"/>
        <v>#VALUE!</v>
      </c>
      <c r="I516" s="1">
        <v>1</v>
      </c>
    </row>
    <row r="517" spans="1:9" x14ac:dyDescent="0.25">
      <c r="A517" s="1" t="s">
        <v>14435</v>
      </c>
      <c r="B517" s="1" t="s">
        <v>1421</v>
      </c>
      <c r="C517" s="1" t="str">
        <f>IFERROR(VLOOKUP(B517,'SB1'!$A$2:$B$999999,2,FALSE),"")</f>
        <v>PLAQUETA PARA PULIR ROJA</v>
      </c>
      <c r="D517" s="1" t="s">
        <v>14468</v>
      </c>
      <c r="E517" s="3">
        <f>IFERROR(VLOOKUP(B517,'DA1'!$B$2:$D$999999,3,FALSE),"")</f>
      </c>
      <c r="F517" s="1" t="str">
        <f>IFERROR(VLOOKUP(B517,'SB1'!$A$2:$C$999999,3,FALSE),"")</f>
        <v>503</v>
      </c>
      <c r="G517" s="3" t="e">
        <f t="shared" si="20"/>
        <v>#VALUE!</v>
      </c>
      <c r="H517" s="3" t="e">
        <f t="shared" si="19"/>
        <v>#VALUE!</v>
      </c>
      <c r="I517" s="1">
        <v>1</v>
      </c>
    </row>
    <row r="518" spans="1:9" x14ac:dyDescent="0.25">
      <c r="A518" s="1" t="s">
        <v>14435</v>
      </c>
      <c r="B518" s="1" t="s">
        <v>1423</v>
      </c>
      <c r="C518" s="1" t="str">
        <f>IFERROR(VLOOKUP(B518,'SB1'!$A$2:$B$999999,2,FALSE),"")</f>
        <v>ENDUIDO EXTERIOR ALBA X 10</v>
      </c>
      <c r="D518" s="1" t="s">
        <v>14441</v>
      </c>
      <c r="E518" s="3">
        <f>IFERROR(VLOOKUP(B518,'DA1'!$B$2:$D$999999,3,FALSE),"")</f>
      </c>
      <c r="F518" s="1" t="str">
        <f>IFERROR(VLOOKUP(B518,'SB1'!$A$2:$C$999999,3,FALSE),"")</f>
        <v>503</v>
      </c>
      <c r="G518" s="3" t="e">
        <f t="shared" si="20"/>
        <v>#VALUE!</v>
      </c>
      <c r="H518" s="3" t="e">
        <f t="shared" si="19"/>
        <v>#VALUE!</v>
      </c>
      <c r="I518" s="1">
        <v>1</v>
      </c>
    </row>
    <row r="519" spans="1:9" x14ac:dyDescent="0.25">
      <c r="A519" s="1" t="s">
        <v>14435</v>
      </c>
      <c r="B519" s="1" t="s">
        <v>1427</v>
      </c>
      <c r="C519" s="1" t="str">
        <f>IFERROR(VLOOKUP(B519,'SB1'!$A$2:$B$999999,2,FALSE),"")</f>
        <v>THINNER SELLO DE ORO X 18</v>
      </c>
      <c r="D519" s="1" t="s">
        <v>14472</v>
      </c>
      <c r="E519" s="3">
        <f>IFERROR(VLOOKUP(B519,'DA1'!$B$2:$D$999999,3,FALSE),"")</f>
      </c>
      <c r="F519" s="1" t="str">
        <f>IFERROR(VLOOKUP(B519,'SB1'!$A$2:$C$999999,3,FALSE),"")</f>
        <v>503</v>
      </c>
      <c r="G519" s="3" t="e">
        <f t="shared" si="20"/>
        <v>#VALUE!</v>
      </c>
      <c r="H519" s="3" t="e">
        <f t="shared" si="19"/>
        <v>#VALUE!</v>
      </c>
      <c r="I519" s="1">
        <v>1</v>
      </c>
    </row>
    <row r="520" spans="1:9" x14ac:dyDescent="0.25">
      <c r="A520" s="1" t="s">
        <v>14435</v>
      </c>
      <c r="B520" s="1" t="s">
        <v>1429</v>
      </c>
      <c r="C520" s="1" t="str">
        <f>IFERROR(VLOOKUP(B520,'SB1'!$A$2:$B$999999,2,FALSE),"")</f>
        <v>THINNER SELLO DE ORO X 200</v>
      </c>
      <c r="D520" s="1" t="s">
        <v>14472</v>
      </c>
      <c r="E520" s="3">
        <f>IFERROR(VLOOKUP(B520,'DA1'!$B$2:$D$999999,3,FALSE),"")</f>
      </c>
      <c r="F520" s="1" t="str">
        <f>IFERROR(VLOOKUP(B520,'SB1'!$A$2:$C$999999,3,FALSE),"")</f>
        <v>503</v>
      </c>
      <c r="G520" s="3" t="e">
        <f t="shared" si="20"/>
        <v>#VALUE!</v>
      </c>
      <c r="H520" s="3" t="e">
        <f t="shared" si="19"/>
        <v>#VALUE!</v>
      </c>
      <c r="I520" s="1">
        <v>1</v>
      </c>
    </row>
    <row r="521" spans="1:9" x14ac:dyDescent="0.25">
      <c r="A521" s="1" t="s">
        <v>14435</v>
      </c>
      <c r="B521" s="1" t="s">
        <v>1431</v>
      </c>
      <c r="C521" s="1" t="str">
        <f>IFERROR(VLOOKUP(B521,'SB1'!$A$2:$B$999999,2,FALSE),"")</f>
        <v>VIRUTA DE ACERO LA HACENDOSA GRUESA X 330</v>
      </c>
      <c r="D521" s="1" t="s">
        <v>14461</v>
      </c>
      <c r="E521" s="3">
        <f>IFERROR(VLOOKUP(B521,'DA1'!$B$2:$D$999999,3,FALSE),"")</f>
      </c>
      <c r="F521" s="1" t="str">
        <f>IFERROR(VLOOKUP(B521,'SB1'!$A$2:$C$999999,3,FALSE),"")</f>
        <v>503</v>
      </c>
      <c r="G521" s="3" t="e">
        <f t="shared" si="20"/>
        <v>#VALUE!</v>
      </c>
      <c r="H521" s="3" t="e">
        <f t="shared" si="19"/>
        <v>#VALUE!</v>
      </c>
      <c r="I521" s="1">
        <v>1</v>
      </c>
    </row>
    <row r="522" spans="1:9" x14ac:dyDescent="0.25">
      <c r="A522" s="1" t="s">
        <v>14435</v>
      </c>
      <c r="B522" s="1" t="s">
        <v>1433</v>
      </c>
      <c r="C522" s="1" t="str">
        <f>IFERROR(VLOOKUP(B522,'SB1'!$A$2:$B$999999,2,FALSE),"")</f>
        <v>VIRUTA DE ACERO LA HACENDOSA MEDIANA X 330</v>
      </c>
      <c r="D522" s="1" t="s">
        <v>14461</v>
      </c>
      <c r="E522" s="3">
        <f>IFERROR(VLOOKUP(B522,'DA1'!$B$2:$D$999999,3,FALSE),"")</f>
      </c>
      <c r="F522" s="1" t="str">
        <f>IFERROR(VLOOKUP(B522,'SB1'!$A$2:$C$999999,3,FALSE),"")</f>
        <v>503</v>
      </c>
      <c r="G522" s="3" t="e">
        <f t="shared" si="20"/>
        <v>#VALUE!</v>
      </c>
      <c r="H522" s="3" t="e">
        <f t="shared" si="19"/>
        <v>#VALUE!</v>
      </c>
      <c r="I522" s="1">
        <v>1</v>
      </c>
    </row>
    <row r="523" spans="1:9" x14ac:dyDescent="0.25">
      <c r="A523" s="1" t="s">
        <v>14435</v>
      </c>
      <c r="B523" s="1" t="s">
        <v>1435</v>
      </c>
      <c r="C523" s="1" t="str">
        <f>IFERROR(VLOOKUP(B523,'SB1'!$A$2:$B$999999,2,FALSE),"")</f>
        <v>VIRUTA DE ACERO LA HACENDOSA FINA X 330</v>
      </c>
      <c r="D523" s="1" t="s">
        <v>14461</v>
      </c>
      <c r="E523" s="3">
        <f>IFERROR(VLOOKUP(B523,'DA1'!$B$2:$D$999999,3,FALSE),"")</f>
      </c>
      <c r="F523" s="1" t="str">
        <f>IFERROR(VLOOKUP(B523,'SB1'!$A$2:$C$999999,3,FALSE),"")</f>
        <v>503</v>
      </c>
      <c r="G523" s="3" t="e">
        <f t="shared" si="20"/>
        <v>#VALUE!</v>
      </c>
      <c r="H523" s="3" t="e">
        <f t="shared" si="19"/>
        <v>#VALUE!</v>
      </c>
      <c r="I523" s="1">
        <v>1</v>
      </c>
    </row>
    <row r="524" spans="1:9" x14ac:dyDescent="0.25">
      <c r="A524" s="1" t="s">
        <v>14435</v>
      </c>
      <c r="B524" s="1" t="s">
        <v>1437</v>
      </c>
      <c r="C524" s="1" t="str">
        <f>IFERROR(VLOOKUP(B524,'SB1'!$A$2:$B$999999,2,FALSE),"")</f>
        <v>YESO TRADICIONAL TUYANGO BLANCO X 1</v>
      </c>
      <c r="D524" s="1" t="s">
        <v>14478</v>
      </c>
      <c r="E524" s="3">
        <f>IFERROR(VLOOKUP(B524,'DA1'!$B$2:$D$999999,3,FALSE),"")</f>
      </c>
      <c r="F524" s="1" t="str">
        <f>IFERROR(VLOOKUP(B524,'SB1'!$A$2:$C$999999,3,FALSE),"")</f>
        <v>503</v>
      </c>
      <c r="G524" s="3" t="e">
        <f t="shared" si="20"/>
        <v>#VALUE!</v>
      </c>
      <c r="H524" s="3" t="e">
        <f t="shared" si="19"/>
        <v>#VALUE!</v>
      </c>
      <c r="I524" s="1">
        <v>1</v>
      </c>
    </row>
    <row r="525" spans="1:9" x14ac:dyDescent="0.25">
      <c r="A525" s="1" t="s">
        <v>14435</v>
      </c>
      <c r="B525" s="1" t="s">
        <v>1443</v>
      </c>
      <c r="C525" s="1" t="str">
        <f>IFERROR(VLOOKUP(B525,'SB1'!$A$2:$B$999999,2,FALSE),"")</f>
        <v>YESO TRADICIONAL TUYANGO BLANCO X 3,500</v>
      </c>
      <c r="D525" s="1" t="s">
        <v>14478</v>
      </c>
      <c r="E525" s="3">
        <f>IFERROR(VLOOKUP(B525,'DA1'!$B$2:$D$999999,3,FALSE),"")</f>
      </c>
      <c r="F525" s="1" t="str">
        <f>IFERROR(VLOOKUP(B525,'SB1'!$A$2:$C$999999,3,FALSE),"")</f>
        <v>503</v>
      </c>
      <c r="G525" s="3" t="e">
        <f t="shared" si="20"/>
        <v>#VALUE!</v>
      </c>
      <c r="H525" s="3" t="e">
        <f t="shared" si="19"/>
        <v>#VALUE!</v>
      </c>
      <c r="I525" s="1">
        <v>1</v>
      </c>
    </row>
    <row r="526" spans="1:9" x14ac:dyDescent="0.25">
      <c r="A526" s="1" t="s">
        <v>14435</v>
      </c>
      <c r="B526" s="1" t="s">
        <v>1445</v>
      </c>
      <c r="C526" s="1" t="str">
        <f>IFERROR(VLOOKUP(B526,'SB1'!$A$2:$B$999999,2,FALSE),"")</f>
        <v>LUBRICANTE ANTIOXIDANTE WD-40 X  155</v>
      </c>
      <c r="D526" s="1" t="s">
        <v>14459</v>
      </c>
      <c r="E526" s="3">
        <f>IFERROR(VLOOKUP(B526,'DA1'!$B$2:$D$999999,3,FALSE),"")</f>
      </c>
      <c r="F526" s="1" t="str">
        <f>IFERROR(VLOOKUP(B526,'SB1'!$A$2:$C$999999,3,FALSE),"")</f>
        <v>503</v>
      </c>
      <c r="G526" s="3" t="e">
        <f t="shared" si="20"/>
        <v>#VALUE!</v>
      </c>
      <c r="H526" s="3" t="e">
        <f t="shared" si="19"/>
        <v>#VALUE!</v>
      </c>
      <c r="I526" s="1">
        <v>1</v>
      </c>
    </row>
    <row r="527" spans="1:9" x14ac:dyDescent="0.25">
      <c r="A527" s="1" t="s">
        <v>14435</v>
      </c>
      <c r="B527" s="1" t="s">
        <v>1447</v>
      </c>
      <c r="C527" s="1" t="str">
        <f>IFERROR(VLOOKUP(B527,'SB1'!$A$2:$B$999999,2,FALSE),"")</f>
        <v>PROMOTOR ADHESION PARA PLASTICO MMB X 0,500</v>
      </c>
      <c r="D527" s="1" t="s">
        <v>14444</v>
      </c>
      <c r="E527" s="3">
        <f>IFERROR(VLOOKUP(B527,'DA1'!$B$2:$D$999999,3,FALSE),"")</f>
      </c>
      <c r="F527" s="1" t="str">
        <f>IFERROR(VLOOKUP(B527,'SB1'!$A$2:$C$999999,3,FALSE),"")</f>
        <v>503</v>
      </c>
      <c r="G527" s="3" t="e">
        <f t="shared" si="20"/>
        <v>#VALUE!</v>
      </c>
      <c r="H527" s="3" t="e">
        <f t="shared" si="19"/>
        <v>#VALUE!</v>
      </c>
      <c r="I527" s="1">
        <v>1</v>
      </c>
    </row>
    <row r="528" spans="1:9" x14ac:dyDescent="0.25">
      <c r="A528" s="1" t="s">
        <v>14435</v>
      </c>
      <c r="B528" s="1" t="s">
        <v>1449</v>
      </c>
      <c r="C528" s="1" t="str">
        <f>IFERROR(VLOOKUP(B528,'SB1'!$A$2:$B$999999,2,FALSE),"")</f>
        <v>LIJA DOBLE A MASTER N 400</v>
      </c>
      <c r="D528" s="1" t="s">
        <v>14451</v>
      </c>
      <c r="E528" s="3">
        <f>IFERROR(VLOOKUP(B528,'DA1'!$B$2:$D$999999,3,FALSE),"")</f>
      </c>
      <c r="F528" s="1" t="str">
        <f>IFERROR(VLOOKUP(B528,'SB1'!$A$2:$C$999999,3,FALSE),"")</f>
        <v>503</v>
      </c>
      <c r="G528" s="3" t="e">
        <f t="shared" si="20"/>
        <v>#VALUE!</v>
      </c>
      <c r="H528" s="3" t="e">
        <f t="shared" si="19"/>
        <v>#VALUE!</v>
      </c>
      <c r="I528" s="1">
        <v>1</v>
      </c>
    </row>
    <row r="529" spans="1:9" x14ac:dyDescent="0.25">
      <c r="A529" s="1" t="s">
        <v>14435</v>
      </c>
      <c r="B529" s="1" t="s">
        <v>1451</v>
      </c>
      <c r="C529" s="1" t="str">
        <f>IFERROR(VLOOKUP(B529,'SB1'!$A$2:$B$999999,2,FALSE),"")</f>
        <v>IMPREGNANTE PARA MADERA CETOL BALANCE VINTAGE X 1</v>
      </c>
      <c r="D529" s="1" t="s">
        <v>14445</v>
      </c>
      <c r="E529" s="3">
        <f>IFERROR(VLOOKUP(B529,'DA1'!$B$2:$D$999999,3,FALSE),"")</f>
      </c>
      <c r="F529" s="1" t="str">
        <f>IFERROR(VLOOKUP(B529,'SB1'!$A$2:$C$999999,3,FALSE),"")</f>
        <v>503</v>
      </c>
      <c r="G529" s="3" t="e">
        <f t="shared" si="20"/>
        <v>#VALUE!</v>
      </c>
      <c r="H529" s="3" t="e">
        <f t="shared" si="19"/>
        <v>#VALUE!</v>
      </c>
      <c r="I529" s="1">
        <v>1</v>
      </c>
    </row>
    <row r="530" spans="1:9" x14ac:dyDescent="0.25">
      <c r="A530" s="1" t="s">
        <v>14435</v>
      </c>
      <c r="B530" s="1" t="s">
        <v>1453</v>
      </c>
      <c r="C530" s="1" t="str">
        <f>IFERROR(VLOOKUP(B530,'SB1'!$A$2:$B$999999,2,FALSE),"")</f>
        <v>IMPREGNANTE PARA MADERA CETOL BALANCE VINTAGE X 4</v>
      </c>
      <c r="D530" s="1" t="s">
        <v>14445</v>
      </c>
      <c r="E530" s="3">
        <f>IFERROR(VLOOKUP(B530,'DA1'!$B$2:$D$999999,3,FALSE),"")</f>
      </c>
      <c r="F530" s="1" t="str">
        <f>IFERROR(VLOOKUP(B530,'SB1'!$A$2:$C$999999,3,FALSE),"")</f>
        <v>503</v>
      </c>
      <c r="G530" s="3" t="e">
        <f t="shared" si="20"/>
        <v>#VALUE!</v>
      </c>
      <c r="H530" s="3" t="e">
        <f t="shared" si="19"/>
        <v>#VALUE!</v>
      </c>
      <c r="I530" s="1">
        <v>1</v>
      </c>
    </row>
    <row r="531" spans="1:9" x14ac:dyDescent="0.25">
      <c r="A531" s="1" t="s">
        <v>14435</v>
      </c>
      <c r="B531" s="1" t="s">
        <v>1455</v>
      </c>
      <c r="C531" s="1" t="str">
        <f>IFERROR(VLOOKUP(B531,'SB1'!$A$2:$B$999999,2,FALSE),"")</f>
        <v>SILICONA FASTIX ALTA TEMPERATURA X 25</v>
      </c>
      <c r="D531" s="1" t="s">
        <v>14459</v>
      </c>
      <c r="E531" s="3">
        <f>IFERROR(VLOOKUP(B531,'DA1'!$B$2:$D$999999,3,FALSE),"")</f>
      </c>
      <c r="F531" s="1" t="str">
        <f>IFERROR(VLOOKUP(B531,'SB1'!$A$2:$C$999999,3,FALSE),"")</f>
        <v>503</v>
      </c>
      <c r="G531" s="3" t="e">
        <f t="shared" si="20"/>
        <v>#VALUE!</v>
      </c>
      <c r="H531" s="3" t="e">
        <f t="shared" si="19"/>
        <v>#VALUE!</v>
      </c>
      <c r="I531" s="1">
        <v>1</v>
      </c>
    </row>
    <row r="532" spans="1:9" x14ac:dyDescent="0.25">
      <c r="A532" s="1" t="s">
        <v>14435</v>
      </c>
      <c r="B532" s="1" t="s">
        <v>1457</v>
      </c>
      <c r="C532" s="1" t="str">
        <f>IFERROR(VLOOKUP(B532,'SB1'!$A$2:$B$999999,2,FALSE),"")</f>
        <v>ESCALERA DE MADERA SIN FIN PINTOR  4</v>
      </c>
      <c r="D532" s="1" t="s">
        <v>14471</v>
      </c>
      <c r="E532" s="3">
        <f>IFERROR(VLOOKUP(B532,'DA1'!$B$2:$D$999999,3,FALSE),"")</f>
      </c>
      <c r="F532" s="1" t="str">
        <f>IFERROR(VLOOKUP(B532,'SB1'!$A$2:$C$999999,3,FALSE),"")</f>
        <v>503</v>
      </c>
      <c r="G532" s="3" t="e">
        <f t="shared" si="20"/>
        <v>#VALUE!</v>
      </c>
      <c r="H532" s="3" t="e">
        <f t="shared" si="19"/>
        <v>#VALUE!</v>
      </c>
      <c r="I532" s="1">
        <v>1</v>
      </c>
    </row>
    <row r="533" spans="1:9" x14ac:dyDescent="0.25">
      <c r="A533" s="1" t="s">
        <v>14435</v>
      </c>
      <c r="B533" s="1" t="s">
        <v>1459</v>
      </c>
      <c r="C533" s="1" t="str">
        <f>IFERROR(VLOOKUP(B533,'SB1'!$A$2:$B$999999,2,FALSE),"")</f>
        <v>LIJA DOBLE A MASTER N 600</v>
      </c>
      <c r="D533" s="1" t="s">
        <v>14451</v>
      </c>
      <c r="E533" s="3">
        <f>IFERROR(VLOOKUP(B533,'DA1'!$B$2:$D$999999,3,FALSE),"")</f>
      </c>
      <c r="F533" s="1" t="str">
        <f>IFERROR(VLOOKUP(B533,'SB1'!$A$2:$C$999999,3,FALSE),"")</f>
        <v>503</v>
      </c>
      <c r="G533" s="3" t="e">
        <f t="shared" si="20"/>
        <v>#VALUE!</v>
      </c>
      <c r="H533" s="3" t="e">
        <f t="shared" si="19"/>
        <v>#VALUE!</v>
      </c>
      <c r="I533" s="1">
        <v>1</v>
      </c>
    </row>
    <row r="534" spans="1:9" x14ac:dyDescent="0.25">
      <c r="A534" s="1" t="s">
        <v>14435</v>
      </c>
      <c r="B534" s="1" t="s">
        <v>1461</v>
      </c>
      <c r="C534" s="1" t="str">
        <f>IFERROR(VLOOKUP(B534,'SB1'!$A$2:$B$999999,2,FALSE),"")</f>
        <v>EXTENSOR DE ALUMINIO ROSARPIN 1,50-4,50 M</v>
      </c>
      <c r="D534" s="1" t="s">
        <v>14460</v>
      </c>
      <c r="E534" s="3">
        <f>IFERROR(VLOOKUP(B534,'DA1'!$B$2:$D$999999,3,FALSE),"")</f>
      </c>
      <c r="F534" s="1" t="str">
        <f>IFERROR(VLOOKUP(B534,'SB1'!$A$2:$C$999999,3,FALSE),"")</f>
        <v>503</v>
      </c>
      <c r="G534" s="3" t="e">
        <f t="shared" si="20"/>
        <v>#VALUE!</v>
      </c>
      <c r="H534" s="3" t="e">
        <f t="shared" si="19"/>
        <v>#VALUE!</v>
      </c>
      <c r="I534" s="1">
        <v>1</v>
      </c>
    </row>
    <row r="535" spans="1:9" x14ac:dyDescent="0.25">
      <c r="A535" s="1" t="s">
        <v>14435</v>
      </c>
      <c r="B535" s="1" t="s">
        <v>1463</v>
      </c>
      <c r="C535" s="1" t="str">
        <f>IFERROR(VLOOKUP(B535,'SB1'!$A$2:$B$999999,2,FALSE),"")</f>
        <v>LIJA DOBLE A MASTER N 800</v>
      </c>
      <c r="D535" s="1" t="s">
        <v>14451</v>
      </c>
      <c r="E535" s="3">
        <f>IFERROR(VLOOKUP(B535,'DA1'!$B$2:$D$999999,3,FALSE),"")</f>
      </c>
      <c r="F535" s="1" t="str">
        <f>IFERROR(VLOOKUP(B535,'SB1'!$A$2:$C$999999,3,FALSE),"")</f>
        <v>503</v>
      </c>
      <c r="G535" s="3" t="e">
        <f t="shared" si="20"/>
        <v>#VALUE!</v>
      </c>
      <c r="H535" s="3" t="e">
        <f t="shared" si="19"/>
        <v>#VALUE!</v>
      </c>
      <c r="I535" s="1">
        <v>1</v>
      </c>
    </row>
    <row r="536" spans="1:9" x14ac:dyDescent="0.25">
      <c r="A536" s="1" t="s">
        <v>14435</v>
      </c>
      <c r="B536" s="1" t="s">
        <v>1467</v>
      </c>
      <c r="C536" s="1" t="str">
        <f>IFERROR(VLOOKUP(B536,'SB1'!$A$2:$B$999999,2,FALSE),"")</f>
        <v>EXTENSOR DE ALUMINIO ROSARPIN 1,00-2,00 M</v>
      </c>
      <c r="D536" s="1" t="s">
        <v>14460</v>
      </c>
      <c r="E536" s="3">
        <f>IFERROR(VLOOKUP(B536,'DA1'!$B$2:$D$999999,3,FALSE),"")</f>
      </c>
      <c r="F536" s="1" t="str">
        <f>IFERROR(VLOOKUP(B536,'SB1'!$A$2:$C$999999,3,FALSE),"")</f>
        <v>503</v>
      </c>
      <c r="G536" s="3" t="e">
        <f t="shared" si="20"/>
        <v>#VALUE!</v>
      </c>
      <c r="H536" s="3" t="e">
        <f t="shared" si="19"/>
        <v>#VALUE!</v>
      </c>
      <c r="I536" s="1">
        <v>1</v>
      </c>
    </row>
    <row r="537" spans="1:9" x14ac:dyDescent="0.25">
      <c r="A537" s="1" t="s">
        <v>14435</v>
      </c>
      <c r="B537" s="1" t="s">
        <v>1469</v>
      </c>
      <c r="C537" s="1" t="str">
        <f>IFERROR(VLOOKUP(B537,'SB1'!$A$2:$B$999999,2,FALSE),"")</f>
        <v>EXTENSOR DE ALUMINIO ROSARPIN 1,50-3,00 M</v>
      </c>
      <c r="D537" s="1" t="s">
        <v>14460</v>
      </c>
      <c r="E537" s="3">
        <f>IFERROR(VLOOKUP(B537,'DA1'!$B$2:$D$999999,3,FALSE),"")</f>
      </c>
      <c r="F537" s="1" t="str">
        <f>IFERROR(VLOOKUP(B537,'SB1'!$A$2:$C$999999,3,FALSE),"")</f>
        <v>503</v>
      </c>
      <c r="G537" s="3" t="e">
        <f t="shared" si="20"/>
        <v>#VALUE!</v>
      </c>
      <c r="H537" s="3" t="e">
        <f t="shared" si="19"/>
        <v>#VALUE!</v>
      </c>
      <c r="I537" s="1">
        <v>1</v>
      </c>
    </row>
    <row r="538" spans="1:9" x14ac:dyDescent="0.25">
      <c r="A538" s="1" t="s">
        <v>14435</v>
      </c>
      <c r="B538" s="1" t="s">
        <v>1471</v>
      </c>
      <c r="C538" s="1" t="str">
        <f>IFERROR(VLOOKUP(B538,'SB1'!$A$2:$B$999999,2,FALSE),"")</f>
        <v>EXTENSOR DE ALUMINIO ROSARPIN 1,60-6,00 M</v>
      </c>
      <c r="D538" s="1" t="s">
        <v>14460</v>
      </c>
      <c r="E538" s="3">
        <f>IFERROR(VLOOKUP(B538,'DA1'!$B$2:$D$999999,3,FALSE),"")</f>
      </c>
      <c r="F538" s="1" t="str">
        <f>IFERROR(VLOOKUP(B538,'SB1'!$A$2:$C$999999,3,FALSE),"")</f>
        <v>503</v>
      </c>
      <c r="G538" s="3" t="e">
        <f t="shared" si="20"/>
        <v>#VALUE!</v>
      </c>
      <c r="H538" s="3" t="e">
        <f t="shared" si="19"/>
        <v>#VALUE!</v>
      </c>
      <c r="I538" s="1">
        <v>1</v>
      </c>
    </row>
    <row r="539" spans="1:9" x14ac:dyDescent="0.25">
      <c r="A539" s="1" t="s">
        <v>14435</v>
      </c>
      <c r="B539" s="1" t="s">
        <v>1473</v>
      </c>
      <c r="C539" s="1" t="str">
        <f>IFERROR(VLOOKUP(B539,'SB1'!$A$2:$B$999999,2,FALSE),"")</f>
        <v>FONDO ANTIOXIDO ALBA INDUSTRIAL GRIS X  4</v>
      </c>
      <c r="D539" s="1" t="s">
        <v>14479</v>
      </c>
      <c r="E539" s="3">
        <f>IFERROR(VLOOKUP(B539,'DA1'!$B$2:$D$999999,3,FALSE),"")</f>
      </c>
      <c r="F539" s="1" t="str">
        <f>IFERROR(VLOOKUP(B539,'SB1'!$A$2:$C$999999,3,FALSE),"")</f>
        <v>503</v>
      </c>
      <c r="G539" s="3" t="e">
        <f t="shared" si="20"/>
        <v>#VALUE!</v>
      </c>
      <c r="H539" s="3" t="e">
        <f t="shared" si="19"/>
        <v>#VALUE!</v>
      </c>
      <c r="I539" s="1">
        <v>1</v>
      </c>
    </row>
    <row r="540" spans="1:9" x14ac:dyDescent="0.25">
      <c r="A540" s="1" t="s">
        <v>14435</v>
      </c>
      <c r="B540" s="1" t="s">
        <v>1475</v>
      </c>
      <c r="C540" s="1" t="str">
        <f>IFERROR(VLOOKUP(B540,'SB1'!$A$2:$B$999999,2,FALSE),"")</f>
        <v>CABALLETE MADERA SIN FIN</v>
      </c>
      <c r="D540" s="1" t="s">
        <v>14471</v>
      </c>
      <c r="E540" s="3">
        <f>IFERROR(VLOOKUP(B540,'DA1'!$B$2:$D$999999,3,FALSE),"")</f>
      </c>
      <c r="F540" s="1" t="str">
        <f>IFERROR(VLOOKUP(B540,'SB1'!$A$2:$C$999999,3,FALSE),"")</f>
        <v>503</v>
      </c>
      <c r="G540" s="3" t="e">
        <f t="shared" si="20"/>
        <v>#VALUE!</v>
      </c>
      <c r="H540" s="3" t="e">
        <f t="shared" si="19"/>
        <v>#VALUE!</v>
      </c>
      <c r="I540" s="1">
        <v>1</v>
      </c>
    </row>
    <row r="541" spans="1:9" x14ac:dyDescent="0.25">
      <c r="A541" s="1" t="s">
        <v>14435</v>
      </c>
      <c r="B541" s="1" t="s">
        <v>1477</v>
      </c>
      <c r="C541" s="1" t="str">
        <f>IFERROR(VLOOKUP(B541,'SB1'!$A$2:$B$999999,2,FALSE),"")</f>
        <v>SOLDURA PLASTICA POXIPOL GRIS X 14</v>
      </c>
      <c r="D541" s="1" t="s">
        <v>14459</v>
      </c>
      <c r="E541" s="3">
        <f>IFERROR(VLOOKUP(B541,'DA1'!$B$2:$D$999999,3,FALSE),"")</f>
      </c>
      <c r="F541" s="1" t="str">
        <f>IFERROR(VLOOKUP(B541,'SB1'!$A$2:$C$999999,3,FALSE),"")</f>
        <v>503</v>
      </c>
      <c r="G541" s="3" t="e">
        <f t="shared" si="20"/>
        <v>#VALUE!</v>
      </c>
      <c r="H541" s="3" t="e">
        <f t="shared" si="19"/>
        <v>#VALUE!</v>
      </c>
      <c r="I541" s="1">
        <v>1</v>
      </c>
    </row>
    <row r="542" spans="1:9" x14ac:dyDescent="0.25">
      <c r="A542" s="1" t="s">
        <v>14435</v>
      </c>
      <c r="B542" s="1" t="s">
        <v>1481</v>
      </c>
      <c r="C542" s="1" t="str">
        <f>IFERROR(VLOOKUP(B542,'SB1'!$A$2:$B$999999,2,FALSE),"")</f>
        <v>LUBRICANTE ANTIOXIDANTE WD-40 X  311</v>
      </c>
      <c r="D542" s="1" t="s">
        <v>14459</v>
      </c>
      <c r="E542" s="3">
        <f>IFERROR(VLOOKUP(B542,'DA1'!$B$2:$D$999999,3,FALSE),"")</f>
      </c>
      <c r="F542" s="1" t="str">
        <f>IFERROR(VLOOKUP(B542,'SB1'!$A$2:$C$999999,3,FALSE),"")</f>
        <v>503</v>
      </c>
      <c r="G542" s="3" t="e">
        <f t="shared" si="20"/>
        <v>#VALUE!</v>
      </c>
      <c r="H542" s="3" t="e">
        <f t="shared" si="19"/>
        <v>#VALUE!</v>
      </c>
      <c r="I542" s="1">
        <v>1</v>
      </c>
    </row>
    <row r="543" spans="1:9" x14ac:dyDescent="0.25">
      <c r="A543" s="1" t="s">
        <v>14435</v>
      </c>
      <c r="B543" s="1" t="s">
        <v>1483</v>
      </c>
      <c r="C543" s="1" t="str">
        <f>IFERROR(VLOOKUP(B543,'SB1'!$A$2:$B$999999,2,FALSE),"")</f>
        <v>LIJA DOBLE A MASTER N 240</v>
      </c>
      <c r="D543" s="1" t="s">
        <v>14451</v>
      </c>
      <c r="E543" s="3">
        <f>IFERROR(VLOOKUP(B543,'DA1'!$B$2:$D$999999,3,FALSE),"")</f>
      </c>
      <c r="F543" s="1" t="str">
        <f>IFERROR(VLOOKUP(B543,'SB1'!$A$2:$C$999999,3,FALSE),"")</f>
        <v>503</v>
      </c>
      <c r="G543" s="3" t="e">
        <f t="shared" si="20"/>
        <v>#VALUE!</v>
      </c>
      <c r="H543" s="3" t="e">
        <f t="shared" si="19"/>
        <v>#VALUE!</v>
      </c>
      <c r="I543" s="1">
        <v>1</v>
      </c>
    </row>
    <row r="544" spans="1:9" x14ac:dyDescent="0.25">
      <c r="A544" s="1" t="s">
        <v>14435</v>
      </c>
      <c r="B544" s="1" t="s">
        <v>1485</v>
      </c>
      <c r="C544" s="1" t="str">
        <f>IFERROR(VLOOKUP(B544,'SB1'!$A$2:$B$999999,2,FALSE),"")</f>
        <v>LIJA DOBLE A MASTER N 360</v>
      </c>
      <c r="D544" s="1" t="s">
        <v>14451</v>
      </c>
      <c r="E544" s="3">
        <f>IFERROR(VLOOKUP(B544,'DA1'!$B$2:$D$999999,3,FALSE),"")</f>
      </c>
      <c r="F544" s="1" t="str">
        <f>IFERROR(VLOOKUP(B544,'SB1'!$A$2:$C$999999,3,FALSE),"")</f>
        <v>503</v>
      </c>
      <c r="G544" s="3" t="e">
        <f t="shared" si="20"/>
        <v>#VALUE!</v>
      </c>
      <c r="H544" s="3" t="e">
        <f t="shared" si="19"/>
        <v>#VALUE!</v>
      </c>
      <c r="I544" s="1">
        <v>1</v>
      </c>
    </row>
    <row r="545" spans="1:9" x14ac:dyDescent="0.25">
      <c r="A545" s="1" t="s">
        <v>14435</v>
      </c>
      <c r="B545" s="1" t="s">
        <v>1487</v>
      </c>
      <c r="C545" s="1" t="str">
        <f>IFERROR(VLOOKUP(B545,'SB1'!$A$2:$B$999999,2,FALSE),"")</f>
        <v>PINCELETA ROSARPIN 180 CCH.40</v>
      </c>
      <c r="D545" s="1" t="s">
        <v>14460</v>
      </c>
      <c r="E545" s="3">
        <f>IFERROR(VLOOKUP(B545,'DA1'!$B$2:$D$999999,3,FALSE),"")</f>
      </c>
      <c r="F545" s="1" t="str">
        <f>IFERROR(VLOOKUP(B545,'SB1'!$A$2:$C$999999,3,FALSE),"")</f>
        <v>503</v>
      </c>
      <c r="G545" s="3" t="e">
        <f t="shared" si="20"/>
        <v>#VALUE!</v>
      </c>
      <c r="H545" s="3" t="e">
        <f t="shared" si="19"/>
        <v>#VALUE!</v>
      </c>
      <c r="I545" s="1">
        <v>1</v>
      </c>
    </row>
    <row r="546" spans="1:9" x14ac:dyDescent="0.25">
      <c r="A546" s="1" t="s">
        <v>14435</v>
      </c>
      <c r="B546" s="1" t="s">
        <v>1489</v>
      </c>
      <c r="C546" s="1" t="str">
        <f>IFERROR(VLOOKUP(B546,'SB1'!$A$2:$B$999999,2,FALSE),"")</f>
        <v>ESCALERA DE MADERA SIN FIN FAMILIAR SIMPLE 5</v>
      </c>
      <c r="D546" s="1" t="s">
        <v>14471</v>
      </c>
      <c r="E546" s="3">
        <f>IFERROR(VLOOKUP(B546,'DA1'!$B$2:$D$999999,3,FALSE),"")</f>
      </c>
      <c r="F546" s="1" t="str">
        <f>IFERROR(VLOOKUP(B546,'SB1'!$A$2:$C$999999,3,FALSE),"")</f>
        <v>503</v>
      </c>
      <c r="G546" s="3" t="e">
        <f t="shared" si="20"/>
        <v>#VALUE!</v>
      </c>
      <c r="H546" s="3" t="e">
        <f t="shared" si="19"/>
        <v>#VALUE!</v>
      </c>
      <c r="I546" s="1">
        <v>1</v>
      </c>
    </row>
    <row r="547" spans="1:9" x14ac:dyDescent="0.25">
      <c r="A547" s="1" t="s">
        <v>14435</v>
      </c>
      <c r="B547" s="1" t="s">
        <v>1491</v>
      </c>
      <c r="C547" s="1" t="str">
        <f>IFERROR(VLOOKUP(B547,'SB1'!$A$2:$B$999999,2,FALSE),"")</f>
        <v>ESCALERA DE MADERA SIN FIN FAMILIAR SIMPLE 6</v>
      </c>
      <c r="D547" s="1" t="s">
        <v>14471</v>
      </c>
      <c r="E547" s="3">
        <f>IFERROR(VLOOKUP(B547,'DA1'!$B$2:$D$999999,3,FALSE),"")</f>
      </c>
      <c r="F547" s="1" t="str">
        <f>IFERROR(VLOOKUP(B547,'SB1'!$A$2:$C$999999,3,FALSE),"")</f>
        <v>503</v>
      </c>
      <c r="G547" s="3" t="e">
        <f t="shared" si="20"/>
        <v>#VALUE!</v>
      </c>
      <c r="H547" s="3" t="e">
        <f t="shared" si="19"/>
        <v>#VALUE!</v>
      </c>
      <c r="I547" s="1">
        <v>1</v>
      </c>
    </row>
    <row r="548" spans="1:9" x14ac:dyDescent="0.25">
      <c r="A548" s="1" t="s">
        <v>14435</v>
      </c>
      <c r="B548" s="1" t="s">
        <v>1493</v>
      </c>
      <c r="C548" s="1" t="str">
        <f>IFERROR(VLOOKUP(B548,'SB1'!$A$2:$B$999999,2,FALSE),"")</f>
        <v>ESCALERA DE MADERA SIN FIN FAMILIAR SIMPLE 7</v>
      </c>
      <c r="D548" s="1" t="s">
        <v>14471</v>
      </c>
      <c r="E548" s="3">
        <f>IFERROR(VLOOKUP(B548,'DA1'!$B$2:$D$999999,3,FALSE),"")</f>
      </c>
      <c r="F548" s="1" t="str">
        <f>IFERROR(VLOOKUP(B548,'SB1'!$A$2:$C$999999,3,FALSE),"")</f>
        <v>503</v>
      </c>
      <c r="G548" s="3" t="e">
        <f t="shared" si="20"/>
        <v>#VALUE!</v>
      </c>
      <c r="H548" s="3" t="e">
        <f t="shared" si="19"/>
        <v>#VALUE!</v>
      </c>
      <c r="I548" s="1">
        <v>1</v>
      </c>
    </row>
    <row r="549" spans="1:9" x14ac:dyDescent="0.25">
      <c r="A549" s="1" t="s">
        <v>14435</v>
      </c>
      <c r="B549" s="1" t="s">
        <v>1495</v>
      </c>
      <c r="C549" s="1" t="str">
        <f>IFERROR(VLOOKUP(B549,'SB1'!$A$2:$B$999999,2,FALSE),"")</f>
        <v>ESCALERA DE MADERA SIN FIN FAMILIAR SIMPLE 8</v>
      </c>
      <c r="D549" s="1" t="s">
        <v>14471</v>
      </c>
      <c r="E549" s="3">
        <f>IFERROR(VLOOKUP(B549,'DA1'!$B$2:$D$999999,3,FALSE),"")</f>
      </c>
      <c r="F549" s="1" t="str">
        <f>IFERROR(VLOOKUP(B549,'SB1'!$A$2:$C$999999,3,FALSE),"")</f>
        <v>503</v>
      </c>
      <c r="G549" s="3" t="e">
        <f t="shared" si="20"/>
        <v>#VALUE!</v>
      </c>
      <c r="H549" s="3" t="e">
        <f t="shared" si="19"/>
        <v>#VALUE!</v>
      </c>
      <c r="I549" s="1">
        <v>1</v>
      </c>
    </row>
    <row r="550" spans="1:9" x14ac:dyDescent="0.25">
      <c r="A550" s="1" t="s">
        <v>14435</v>
      </c>
      <c r="B550" s="1" t="s">
        <v>1497</v>
      </c>
      <c r="C550" s="1" t="str">
        <f>IFERROR(VLOOKUP(B550,'SB1'!$A$2:$B$999999,2,FALSE),"")</f>
        <v>ESCALERA DE MADERA SIN FIN FAMILIAR SIMPLE 9</v>
      </c>
      <c r="D550" s="1" t="s">
        <v>14471</v>
      </c>
      <c r="E550" s="3">
        <f>IFERROR(VLOOKUP(B550,'DA1'!$B$2:$D$999999,3,FALSE),"")</f>
      </c>
      <c r="F550" s="1" t="str">
        <f>IFERROR(VLOOKUP(B550,'SB1'!$A$2:$C$999999,3,FALSE),"")</f>
        <v>503</v>
      </c>
      <c r="G550" s="3" t="e">
        <f t="shared" si="20"/>
        <v>#VALUE!</v>
      </c>
      <c r="H550" s="3" t="e">
        <f t="shared" si="19"/>
        <v>#VALUE!</v>
      </c>
      <c r="I550" s="1">
        <v>1</v>
      </c>
    </row>
    <row r="551" spans="1:9" x14ac:dyDescent="0.25">
      <c r="A551" s="1" t="s">
        <v>14435</v>
      </c>
      <c r="B551" s="1" t="s">
        <v>1499</v>
      </c>
      <c r="C551" s="1" t="str">
        <f>IFERROR(VLOOKUP(B551,'SB1'!$A$2:$B$999999,2,FALSE),"")</f>
        <v>ESCALERA DE MADERA SIN FIN FAMILIAR SIMPLE10</v>
      </c>
      <c r="D551" s="1" t="s">
        <v>14471</v>
      </c>
      <c r="E551" s="3">
        <f>IFERROR(VLOOKUP(B551,'DA1'!$B$2:$D$999999,3,FALSE),"")</f>
      </c>
      <c r="F551" s="1" t="str">
        <f>IFERROR(VLOOKUP(B551,'SB1'!$A$2:$C$999999,3,FALSE),"")</f>
        <v>503</v>
      </c>
      <c r="G551" s="3" t="e">
        <f t="shared" si="20"/>
        <v>#VALUE!</v>
      </c>
      <c r="H551" s="3" t="e">
        <f t="shared" si="19"/>
        <v>#VALUE!</v>
      </c>
      <c r="I551" s="1">
        <v>1</v>
      </c>
    </row>
    <row r="552" spans="1:9" x14ac:dyDescent="0.25">
      <c r="A552" s="1" t="s">
        <v>14435</v>
      </c>
      <c r="B552" s="1" t="s">
        <v>1501</v>
      </c>
      <c r="C552" s="1" t="str">
        <f>IFERROR(VLOOKUP(B552,'SB1'!$A$2:$B$999999,2,FALSE),"")</f>
        <v>ESCALERA DE MADERA SIN FIN PINTOR  5</v>
      </c>
      <c r="D552" s="1" t="s">
        <v>14471</v>
      </c>
      <c r="E552" s="3">
        <f>IFERROR(VLOOKUP(B552,'DA1'!$B$2:$D$999999,3,FALSE),"")</f>
      </c>
      <c r="F552" s="1" t="str">
        <f>IFERROR(VLOOKUP(B552,'SB1'!$A$2:$C$999999,3,FALSE),"")</f>
        <v>503</v>
      </c>
      <c r="G552" s="3" t="e">
        <f t="shared" si="20"/>
        <v>#VALUE!</v>
      </c>
      <c r="H552" s="3" t="e">
        <f t="shared" si="19"/>
        <v>#VALUE!</v>
      </c>
      <c r="I552" s="1">
        <v>1</v>
      </c>
    </row>
    <row r="553" spans="1:9" x14ac:dyDescent="0.25">
      <c r="A553" s="1" t="s">
        <v>14435</v>
      </c>
      <c r="B553" s="1" t="s">
        <v>1503</v>
      </c>
      <c r="C553" s="1" t="str">
        <f>IFERROR(VLOOKUP(B553,'SB1'!$A$2:$B$999999,2,FALSE),"")</f>
        <v>ESCALERA DE MADERA SIN FIN PINTOR  6</v>
      </c>
      <c r="D553" s="1" t="s">
        <v>14471</v>
      </c>
      <c r="E553" s="3">
        <f>IFERROR(VLOOKUP(B553,'DA1'!$B$2:$D$999999,3,FALSE),"")</f>
      </c>
      <c r="F553" s="1" t="str">
        <f>IFERROR(VLOOKUP(B553,'SB1'!$A$2:$C$999999,3,FALSE),"")</f>
        <v>503</v>
      </c>
      <c r="G553" s="3" t="e">
        <f t="shared" si="20"/>
        <v>#VALUE!</v>
      </c>
      <c r="H553" s="3" t="e">
        <f t="shared" ref="H553:H616" si="21">G553*1.21</f>
        <v>#VALUE!</v>
      </c>
      <c r="I553" s="1">
        <v>1</v>
      </c>
    </row>
    <row r="554" spans="1:9" x14ac:dyDescent="0.25">
      <c r="A554" s="1" t="s">
        <v>14435</v>
      </c>
      <c r="B554" s="1" t="s">
        <v>1505</v>
      </c>
      <c r="C554" s="1" t="str">
        <f>IFERROR(VLOOKUP(B554,'SB1'!$A$2:$B$999999,2,FALSE),"")</f>
        <v>ESCALERA DE MADERA SIN FIN PINTOR  7</v>
      </c>
      <c r="D554" s="1" t="s">
        <v>14471</v>
      </c>
      <c r="E554" s="3">
        <f>IFERROR(VLOOKUP(B554,'DA1'!$B$2:$D$999999,3,FALSE),"")</f>
      </c>
      <c r="F554" s="1" t="str">
        <f>IFERROR(VLOOKUP(B554,'SB1'!$A$2:$C$999999,3,FALSE),"")</f>
        <v>503</v>
      </c>
      <c r="G554" s="3" t="e">
        <f t="shared" si="20"/>
        <v>#VALUE!</v>
      </c>
      <c r="H554" s="3" t="e">
        <f t="shared" si="21"/>
        <v>#VALUE!</v>
      </c>
      <c r="I554" s="1">
        <v>1</v>
      </c>
    </row>
    <row r="555" spans="1:9" x14ac:dyDescent="0.25">
      <c r="A555" s="1" t="s">
        <v>14435</v>
      </c>
      <c r="B555" s="1" t="s">
        <v>1507</v>
      </c>
      <c r="C555" s="1" t="str">
        <f>IFERROR(VLOOKUP(B555,'SB1'!$A$2:$B$999999,2,FALSE),"")</f>
        <v>ESCALERA DE MADERA SIN FIN PINTOR  8</v>
      </c>
      <c r="D555" s="1" t="s">
        <v>14471</v>
      </c>
      <c r="E555" s="3">
        <f>IFERROR(VLOOKUP(B555,'DA1'!$B$2:$D$999999,3,FALSE),"")</f>
      </c>
      <c r="F555" s="1" t="str">
        <f>IFERROR(VLOOKUP(B555,'SB1'!$A$2:$C$999999,3,FALSE),"")</f>
        <v>503</v>
      </c>
      <c r="G555" s="3" t="e">
        <f t="shared" si="20"/>
        <v>#VALUE!</v>
      </c>
      <c r="H555" s="3" t="e">
        <f t="shared" si="21"/>
        <v>#VALUE!</v>
      </c>
      <c r="I555" s="1">
        <v>1</v>
      </c>
    </row>
    <row r="556" spans="1:9" x14ac:dyDescent="0.25">
      <c r="A556" s="1" t="s">
        <v>14435</v>
      </c>
      <c r="B556" s="1" t="s">
        <v>1509</v>
      </c>
      <c r="C556" s="1" t="str">
        <f>IFERROR(VLOOKUP(B556,'SB1'!$A$2:$B$999999,2,FALSE),"")</f>
        <v>ESCALERA DE MADERA SIN FIN PINTOR  9</v>
      </c>
      <c r="D556" s="1" t="s">
        <v>14471</v>
      </c>
      <c r="E556" s="3">
        <f>IFERROR(VLOOKUP(B556,'DA1'!$B$2:$D$999999,3,FALSE),"")</f>
      </c>
      <c r="F556" s="1" t="str">
        <f>IFERROR(VLOOKUP(B556,'SB1'!$A$2:$C$999999,3,FALSE),"")</f>
        <v>503</v>
      </c>
      <c r="G556" s="3" t="e">
        <f t="shared" si="20"/>
        <v>#VALUE!</v>
      </c>
      <c r="H556" s="3" t="e">
        <f t="shared" si="21"/>
        <v>#VALUE!</v>
      </c>
      <c r="I556" s="1">
        <v>1</v>
      </c>
    </row>
    <row r="557" spans="1:9" x14ac:dyDescent="0.25">
      <c r="A557" s="1" t="s">
        <v>14435</v>
      </c>
      <c r="B557" s="1" t="s">
        <v>1511</v>
      </c>
      <c r="C557" s="1" t="str">
        <f>IFERROR(VLOOKUP(B557,'SB1'!$A$2:$B$999999,2,FALSE),"")</f>
        <v>ESCALERA DE MADERA SIN FIN PINTOR 10</v>
      </c>
      <c r="D557" s="1" t="s">
        <v>14471</v>
      </c>
      <c r="E557" s="3">
        <f>IFERROR(VLOOKUP(B557,'DA1'!$B$2:$D$999999,3,FALSE),"")</f>
      </c>
      <c r="F557" s="1" t="str">
        <f>IFERROR(VLOOKUP(B557,'SB1'!$A$2:$C$999999,3,FALSE),"")</f>
        <v>503</v>
      </c>
      <c r="G557" s="3" t="e">
        <f t="shared" si="20"/>
        <v>#VALUE!</v>
      </c>
      <c r="H557" s="3" t="e">
        <f t="shared" si="21"/>
        <v>#VALUE!</v>
      </c>
      <c r="I557" s="1">
        <v>1</v>
      </c>
    </row>
    <row r="558" spans="1:9" x14ac:dyDescent="0.25">
      <c r="A558" s="1" t="s">
        <v>14435</v>
      </c>
      <c r="B558" s="1" t="s">
        <v>1513</v>
      </c>
      <c r="C558" s="1" t="str">
        <f>IFERROR(VLOOKUP(B558,'SB1'!$A$2:$B$999999,2,FALSE),"")</f>
        <v>ESCALERA DE MADERA SIN FIN PINTOR 11</v>
      </c>
      <c r="D558" s="1" t="s">
        <v>14471</v>
      </c>
      <c r="E558" s="3">
        <f>IFERROR(VLOOKUP(B558,'DA1'!$B$2:$D$999999,3,FALSE),"")</f>
      </c>
      <c r="F558" s="1" t="str">
        <f>IFERROR(VLOOKUP(B558,'SB1'!$A$2:$C$999999,3,FALSE),"")</f>
        <v>503</v>
      </c>
      <c r="G558" s="3" t="e">
        <f t="shared" si="20"/>
        <v>#VALUE!</v>
      </c>
      <c r="H558" s="3" t="e">
        <f t="shared" si="21"/>
        <v>#VALUE!</v>
      </c>
      <c r="I558" s="1">
        <v>1</v>
      </c>
    </row>
    <row r="559" spans="1:9" x14ac:dyDescent="0.25">
      <c r="A559" s="1" t="s">
        <v>14435</v>
      </c>
      <c r="B559" s="1" t="s">
        <v>1515</v>
      </c>
      <c r="C559" s="1" t="str">
        <f>IFERROR(VLOOKUP(B559,'SB1'!$A$2:$B$999999,2,FALSE),"")</f>
        <v>ESCALERA DE MADERA SIN FIN PINTOR 12</v>
      </c>
      <c r="D559" s="1" t="s">
        <v>14471</v>
      </c>
      <c r="E559" s="3">
        <f>IFERROR(VLOOKUP(B559,'DA1'!$B$2:$D$999999,3,FALSE),"")</f>
      </c>
      <c r="F559" s="1" t="str">
        <f>IFERROR(VLOOKUP(B559,'SB1'!$A$2:$C$999999,3,FALSE),"")</f>
        <v>503</v>
      </c>
      <c r="G559" s="3" t="e">
        <f t="shared" si="20"/>
        <v>#VALUE!</v>
      </c>
      <c r="H559" s="3" t="e">
        <f t="shared" si="21"/>
        <v>#VALUE!</v>
      </c>
      <c r="I559" s="1">
        <v>1</v>
      </c>
    </row>
    <row r="560" spans="1:9" x14ac:dyDescent="0.25">
      <c r="A560" s="1" t="s">
        <v>14435</v>
      </c>
      <c r="B560" s="1" t="s">
        <v>1517</v>
      </c>
      <c r="C560" s="1" t="str">
        <f>IFERROR(VLOOKUP(B560,'SB1'!$A$2:$B$999999,2,FALSE),"")</f>
        <v>ADHESIVO MOLDURA COLVINIL X 0,300</v>
      </c>
      <c r="D560" s="1" t="s">
        <v>14453</v>
      </c>
      <c r="E560" s="3">
        <f>IFERROR(VLOOKUP(B560,'DA1'!$B$2:$D$999999,3,FALSE),"")</f>
      </c>
      <c r="F560" s="1" t="str">
        <f>IFERROR(VLOOKUP(B560,'SB1'!$A$2:$C$999999,3,FALSE),"")</f>
        <v>503</v>
      </c>
      <c r="G560" s="3" t="e">
        <f t="shared" si="20"/>
        <v>#VALUE!</v>
      </c>
      <c r="H560" s="3" t="e">
        <f t="shared" si="21"/>
        <v>#VALUE!</v>
      </c>
      <c r="I560" s="1">
        <v>1</v>
      </c>
    </row>
    <row r="561" spans="1:9" x14ac:dyDescent="0.25">
      <c r="A561" s="1" t="s">
        <v>14435</v>
      </c>
      <c r="B561" s="1" t="s">
        <v>1519</v>
      </c>
      <c r="C561" s="1" t="str">
        <f>IFERROR(VLOOKUP(B561,'SB1'!$A$2:$B$999999,2,FALSE),"")</f>
        <v>ADHESIVO MOLDURA COLVINIL X 0,600</v>
      </c>
      <c r="D561" s="1" t="s">
        <v>14453</v>
      </c>
      <c r="E561" s="3">
        <f>IFERROR(VLOOKUP(B561,'DA1'!$B$2:$D$999999,3,FALSE),"")</f>
      </c>
      <c r="F561" s="1" t="str">
        <f>IFERROR(VLOOKUP(B561,'SB1'!$A$2:$C$999999,3,FALSE),"")</f>
        <v>503</v>
      </c>
      <c r="G561" s="3" t="e">
        <f t="shared" si="20"/>
        <v>#VALUE!</v>
      </c>
      <c r="H561" s="3" t="e">
        <f t="shared" si="21"/>
        <v>#VALUE!</v>
      </c>
      <c r="I561" s="1">
        <v>1</v>
      </c>
    </row>
    <row r="562" spans="1:9" x14ac:dyDescent="0.25">
      <c r="A562" s="1" t="s">
        <v>14435</v>
      </c>
      <c r="B562" s="1" t="s">
        <v>1527</v>
      </c>
      <c r="C562" s="1" t="str">
        <f>IFERROR(VLOOKUP(B562,'SB1'!$A$2:$B$999999,2,FALSE),"")</f>
        <v>RODILLO ROSARPIN DE PUAS T.40 - 10 CM</v>
      </c>
      <c r="D562" s="1" t="s">
        <v>14460</v>
      </c>
      <c r="E562" s="3">
        <f>IFERROR(VLOOKUP(B562,'DA1'!$B$2:$D$999999,3,FALSE),"")</f>
      </c>
      <c r="F562" s="1" t="str">
        <f>IFERROR(VLOOKUP(B562,'SB1'!$A$2:$C$999999,3,FALSE),"")</f>
        <v>503</v>
      </c>
      <c r="G562" s="3" t="e">
        <f t="shared" si="20"/>
        <v>#VALUE!</v>
      </c>
      <c r="H562" s="3" t="e">
        <f t="shared" si="21"/>
        <v>#VALUE!</v>
      </c>
      <c r="I562" s="1">
        <v>1</v>
      </c>
    </row>
    <row r="563" spans="1:9" x14ac:dyDescent="0.25">
      <c r="A563" s="1" t="s">
        <v>14435</v>
      </c>
      <c r="B563" s="1" t="s">
        <v>1529</v>
      </c>
      <c r="C563" s="1" t="str">
        <f>IFERROR(VLOOKUP(B563,'SB1'!$A$2:$B$999999,2,FALSE),"")</f>
        <v>RODILLO ROSARPIN DE PUAS T.40 - 22 CM</v>
      </c>
      <c r="D563" s="1" t="s">
        <v>14460</v>
      </c>
      <c r="E563" s="3">
        <f>IFERROR(VLOOKUP(B563,'DA1'!$B$2:$D$999999,3,FALSE),"")</f>
      </c>
      <c r="F563" s="1" t="str">
        <f>IFERROR(VLOOKUP(B563,'SB1'!$A$2:$C$999999,3,FALSE),"")</f>
        <v>503</v>
      </c>
      <c r="G563" s="3" t="e">
        <f t="shared" si="20"/>
        <v>#VALUE!</v>
      </c>
      <c r="H563" s="3" t="e">
        <f t="shared" si="21"/>
        <v>#VALUE!</v>
      </c>
      <c r="I563" s="1">
        <v>1</v>
      </c>
    </row>
    <row r="564" spans="1:9" x14ac:dyDescent="0.25">
      <c r="A564" s="1" t="s">
        <v>14435</v>
      </c>
      <c r="B564" s="1" t="s">
        <v>1537</v>
      </c>
      <c r="C564" s="1" t="str">
        <f>IFERROR(VLOOKUP(B564,'SB1'!$A$2:$B$999999,2,FALSE),"")</f>
        <v>FIJADOR PARA PARED SELLAPLAST SINTEPLAST AL AGUA X 20</v>
      </c>
      <c r="D564" s="1" t="s">
        <v>14463</v>
      </c>
      <c r="E564" s="3">
        <f>IFERROR(VLOOKUP(B564,'DA1'!$B$2:$D$999999,3,FALSE),"")</f>
      </c>
      <c r="F564" s="1" t="str">
        <f>IFERROR(VLOOKUP(B564,'SB1'!$A$2:$C$999999,3,FALSE),"")</f>
        <v>503</v>
      </c>
      <c r="G564" s="3" t="e">
        <f t="shared" si="20"/>
        <v>#VALUE!</v>
      </c>
      <c r="H564" s="3" t="e">
        <f t="shared" si="21"/>
        <v>#VALUE!</v>
      </c>
      <c r="I564" s="1">
        <v>1</v>
      </c>
    </row>
    <row r="565" spans="1:9" x14ac:dyDescent="0.25">
      <c r="A565" s="1" t="s">
        <v>14435</v>
      </c>
      <c r="B565" s="1" t="s">
        <v>1539</v>
      </c>
      <c r="C565" s="1" t="str">
        <f>IFERROR(VLOOKUP(B565,'SB1'!$A$2:$B$999999,2,FALSE),"")</f>
        <v>RASQUETA LIMPIA VIDRIOS-SCRAPPER</v>
      </c>
      <c r="D565" s="1" t="s">
        <v>14439</v>
      </c>
      <c r="E565" s="3">
        <f>IFERROR(VLOOKUP(B565,'DA1'!$B$2:$D$999999,3,FALSE),"")</f>
      </c>
      <c r="F565" s="1" t="str">
        <f>IFERROR(VLOOKUP(B565,'SB1'!$A$2:$C$999999,3,FALSE),"")</f>
        <v>503</v>
      </c>
      <c r="G565" s="3" t="e">
        <f t="shared" si="20"/>
        <v>#VALUE!</v>
      </c>
      <c r="H565" s="3" t="e">
        <f t="shared" si="21"/>
        <v>#VALUE!</v>
      </c>
      <c r="I565" s="1">
        <v>1</v>
      </c>
    </row>
    <row r="566" spans="1:9" x14ac:dyDescent="0.25">
      <c r="A566" s="1" t="s">
        <v>14435</v>
      </c>
      <c r="B566" s="1" t="s">
        <v>1541</v>
      </c>
      <c r="C566" s="1" t="str">
        <f>IFERROR(VLOOKUP(B566,'SB1'!$A$2:$B$999999,2,FALSE),"")</f>
        <v>ESMALTE SINTETICO PLAVICON 3EN1 BRILLANTE AZUL MARINO X  0,250</v>
      </c>
      <c r="D566" s="1" t="s">
        <v>14439</v>
      </c>
      <c r="E566" s="3">
        <f>IFERROR(VLOOKUP(B566,'DA1'!$B$2:$D$999999,3,FALSE),"")</f>
      </c>
      <c r="F566" s="1" t="str">
        <f>IFERROR(VLOOKUP(B566,'SB1'!$A$2:$C$999999,3,FALSE),"")</f>
        <v>503</v>
      </c>
      <c r="G566" s="3" t="e">
        <f t="shared" si="20"/>
        <v>#VALUE!</v>
      </c>
      <c r="H566" s="3" t="e">
        <f t="shared" si="21"/>
        <v>#VALUE!</v>
      </c>
      <c r="I566" s="1">
        <v>1</v>
      </c>
    </row>
    <row r="567" spans="1:9" x14ac:dyDescent="0.25">
      <c r="A567" s="1" t="s">
        <v>14435</v>
      </c>
      <c r="B567" s="1" t="s">
        <v>1543</v>
      </c>
      <c r="C567" s="1" t="str">
        <f>IFERROR(VLOOKUP(B567,'SB1'!$A$2:$B$999999,2,FALSE),"")</f>
        <v>ESMALTE SINTETICO PLAVICON 3EN1 BRILLANTE AZUL MARINO X  0,500</v>
      </c>
      <c r="D567" s="1" t="s">
        <v>14458</v>
      </c>
      <c r="E567" s="3">
        <f>IFERROR(VLOOKUP(B567,'DA1'!$B$2:$D$999999,3,FALSE),"")</f>
      </c>
      <c r="F567" s="1" t="str">
        <f>IFERROR(VLOOKUP(B567,'SB1'!$A$2:$C$999999,3,FALSE),"")</f>
        <v>503</v>
      </c>
      <c r="G567" s="3" t="e">
        <f t="shared" si="20"/>
        <v>#VALUE!</v>
      </c>
      <c r="H567" s="3" t="e">
        <f t="shared" si="21"/>
        <v>#VALUE!</v>
      </c>
      <c r="I567" s="1">
        <v>1</v>
      </c>
    </row>
    <row r="568" spans="1:9" x14ac:dyDescent="0.25">
      <c r="A568" s="1" t="s">
        <v>14435</v>
      </c>
      <c r="B568" s="1" t="s">
        <v>1545</v>
      </c>
      <c r="C568" s="1" t="str">
        <f>IFERROR(VLOOKUP(B568,'SB1'!$A$2:$B$999999,2,FALSE),"")</f>
        <v>ESMALTE SINTETICO PLAVICON 3EN1 BRILLANTE AZUL MARINO X  1</v>
      </c>
      <c r="D568" s="1" t="s">
        <v>14458</v>
      </c>
      <c r="E568" s="3">
        <f>IFERROR(VLOOKUP(B568,'DA1'!$B$2:$D$999999,3,FALSE),"")</f>
      </c>
      <c r="F568" s="1" t="str">
        <f>IFERROR(VLOOKUP(B568,'SB1'!$A$2:$C$999999,3,FALSE),"")</f>
        <v>503</v>
      </c>
      <c r="G568" s="3" t="e">
        <f t="shared" si="20"/>
        <v>#VALUE!</v>
      </c>
      <c r="H568" s="3" t="e">
        <f t="shared" si="21"/>
        <v>#VALUE!</v>
      </c>
      <c r="I568" s="1">
        <v>1</v>
      </c>
    </row>
    <row r="569" spans="1:9" x14ac:dyDescent="0.25">
      <c r="A569" s="1" t="s">
        <v>14435</v>
      </c>
      <c r="B569" s="1" t="s">
        <v>1547</v>
      </c>
      <c r="C569" s="1" t="str">
        <f>IFERROR(VLOOKUP(B569,'SB1'!$A$2:$B$999999,2,FALSE),"")</f>
        <v>CABALLETE METALICO SIN FIN</v>
      </c>
      <c r="D569" s="1" t="s">
        <v>14471</v>
      </c>
      <c r="E569" s="3">
        <f>IFERROR(VLOOKUP(B569,'DA1'!$B$2:$D$999999,3,FALSE),"")</f>
      </c>
      <c r="F569" s="1" t="str">
        <f>IFERROR(VLOOKUP(B569,'SB1'!$A$2:$C$999999,3,FALSE),"")</f>
        <v>503</v>
      </c>
      <c r="G569" s="3" t="e">
        <f t="shared" si="20"/>
        <v>#VALUE!</v>
      </c>
      <c r="H569" s="3" t="e">
        <f t="shared" si="21"/>
        <v>#VALUE!</v>
      </c>
      <c r="I569" s="1">
        <v>1</v>
      </c>
    </row>
    <row r="570" spans="1:9" x14ac:dyDescent="0.25">
      <c r="A570" s="1" t="s">
        <v>14435</v>
      </c>
      <c r="B570" s="1" t="s">
        <v>1551</v>
      </c>
      <c r="C570" s="1" t="str">
        <f>IFERROR(VLOOKUP(B570,'SB1'!$A$2:$B$999999,2,FALSE),"")</f>
        <v>ESMALTE SINTETICO SATINOL 2EN1 SATINADO BLANCO X  1</v>
      </c>
      <c r="D570" s="1" t="s">
        <v>14441</v>
      </c>
      <c r="E570" s="3">
        <f>IFERROR(VLOOKUP(B570,'DA1'!$B$2:$D$999999,3,FALSE),"")</f>
      </c>
      <c r="F570" s="1" t="str">
        <f>IFERROR(VLOOKUP(B570,'SB1'!$A$2:$C$999999,3,FALSE),"")</f>
        <v>503</v>
      </c>
      <c r="G570" s="3" t="e">
        <f t="shared" si="20"/>
        <v>#VALUE!</v>
      </c>
      <c r="H570" s="3" t="e">
        <f t="shared" si="21"/>
        <v>#VALUE!</v>
      </c>
      <c r="I570" s="1">
        <v>1</v>
      </c>
    </row>
    <row r="571" spans="1:9" x14ac:dyDescent="0.25">
      <c r="A571" s="1" t="s">
        <v>14435</v>
      </c>
      <c r="B571" s="1" t="s">
        <v>1553</v>
      </c>
      <c r="C571" s="1" t="str">
        <f>IFERROR(VLOOKUP(B571,'SB1'!$A$2:$B$999999,2,FALSE),"")</f>
        <v>ESMALTE SINTETICO SATINOL 2EN1 SATINADO BLANCO X  4</v>
      </c>
      <c r="D571" s="1" t="s">
        <v>14441</v>
      </c>
      <c r="E571" s="3">
        <f>IFERROR(VLOOKUP(B571,'DA1'!$B$2:$D$999999,3,FALSE),"")</f>
      </c>
      <c r="F571" s="1" t="str">
        <f>IFERROR(VLOOKUP(B571,'SB1'!$A$2:$C$999999,3,FALSE),"")</f>
        <v>503</v>
      </c>
      <c r="G571" s="3" t="e">
        <f t="shared" si="20"/>
        <v>#VALUE!</v>
      </c>
      <c r="H571" s="3" t="e">
        <f t="shared" si="21"/>
        <v>#VALUE!</v>
      </c>
      <c r="I571" s="1">
        <v>1</v>
      </c>
    </row>
    <row r="572" spans="1:9" x14ac:dyDescent="0.25">
      <c r="A572" s="1" t="s">
        <v>14435</v>
      </c>
      <c r="B572" s="1" t="s">
        <v>1555</v>
      </c>
      <c r="C572" s="1" t="str">
        <f>IFERROR(VLOOKUP(B572,'SB1'!$A$2:$B$999999,2,FALSE),"")</f>
        <v>LACA MELACRILICA PETRILAC BRILLANTE X 0,500</v>
      </c>
      <c r="D572" s="1" t="s">
        <v>14449</v>
      </c>
      <c r="E572" s="3">
        <f>IFERROR(VLOOKUP(B572,'DA1'!$B$2:$D$999999,3,FALSE),"")</f>
      </c>
      <c r="F572" s="1" t="str">
        <f>IFERROR(VLOOKUP(B572,'SB1'!$A$2:$C$999999,3,FALSE),"")</f>
        <v>503</v>
      </c>
      <c r="G572" s="3" t="e">
        <f t="shared" si="20"/>
        <v>#VALUE!</v>
      </c>
      <c r="H572" s="3" t="e">
        <f t="shared" si="21"/>
        <v>#VALUE!</v>
      </c>
      <c r="I572" s="1">
        <v>1</v>
      </c>
    </row>
    <row r="573" spans="1:9" x14ac:dyDescent="0.25">
      <c r="A573" s="1" t="s">
        <v>14435</v>
      </c>
      <c r="B573" s="1" t="s">
        <v>1557</v>
      </c>
      <c r="C573" s="1" t="str">
        <f>IFERROR(VLOOKUP(B573,'SB1'!$A$2:$B$999999,2,FALSE),"")</f>
        <v>LACA MELACRILICA PETRILAC SEMIMATE X 0,500</v>
      </c>
      <c r="D573" s="1" t="s">
        <v>14449</v>
      </c>
      <c r="E573" s="3">
        <f>IFERROR(VLOOKUP(B573,'DA1'!$B$2:$D$999999,3,FALSE),"")</f>
      </c>
      <c r="F573" s="1" t="str">
        <f>IFERROR(VLOOKUP(B573,'SB1'!$A$2:$C$999999,3,FALSE),"")</f>
        <v>503</v>
      </c>
      <c r="G573" s="3" t="e">
        <f t="shared" si="20"/>
        <v>#VALUE!</v>
      </c>
      <c r="H573" s="3" t="e">
        <f t="shared" si="21"/>
        <v>#VALUE!</v>
      </c>
      <c r="I573" s="1">
        <v>1</v>
      </c>
    </row>
    <row r="574" spans="1:9" x14ac:dyDescent="0.25">
      <c r="A574" s="1" t="s">
        <v>14435</v>
      </c>
      <c r="B574" s="1" t="s">
        <v>1559</v>
      </c>
      <c r="C574" s="1" t="str">
        <f>IFERROR(VLOOKUP(B574,'SB1'!$A$2:$B$999999,2,FALSE),"")</f>
        <v>MATEANTE PETRILAC X 500</v>
      </c>
      <c r="D574" s="1" t="s">
        <v>14449</v>
      </c>
      <c r="E574" s="3">
        <f>IFERROR(VLOOKUP(B574,'DA1'!$B$2:$D$999999,3,FALSE),"")</f>
      </c>
      <c r="F574" s="1" t="str">
        <f>IFERROR(VLOOKUP(B574,'SB1'!$A$2:$C$999999,3,FALSE),"")</f>
        <v>503</v>
      </c>
      <c r="G574" s="3" t="e">
        <f t="shared" si="20"/>
        <v>#VALUE!</v>
      </c>
      <c r="H574" s="3" t="e">
        <f t="shared" si="21"/>
        <v>#VALUE!</v>
      </c>
      <c r="I574" s="1">
        <v>1</v>
      </c>
    </row>
    <row r="575" spans="1:9" x14ac:dyDescent="0.25">
      <c r="A575" s="1" t="s">
        <v>14435</v>
      </c>
      <c r="B575" s="1" t="s">
        <v>1561</v>
      </c>
      <c r="C575" s="1" t="str">
        <f>IFERROR(VLOOKUP(B575,'SB1'!$A$2:$B$999999,2,FALSE),"")</f>
        <v>LIJA RUBI FLEX DOBLE A N 120/150 F.</v>
      </c>
      <c r="D575" s="1" t="s">
        <v>14451</v>
      </c>
      <c r="E575" s="3">
        <f>IFERROR(VLOOKUP(B575,'DA1'!$B$2:$D$999999,3,FALSE),"")</f>
      </c>
      <c r="F575" s="1" t="str">
        <f>IFERROR(VLOOKUP(B575,'SB1'!$A$2:$C$999999,3,FALSE),"")</f>
        <v>503</v>
      </c>
      <c r="G575" s="3" t="e">
        <f t="shared" si="20"/>
        <v>#VALUE!</v>
      </c>
      <c r="H575" s="3" t="e">
        <f t="shared" si="21"/>
        <v>#VALUE!</v>
      </c>
      <c r="I575" s="1">
        <v>1</v>
      </c>
    </row>
    <row r="576" spans="1:9" x14ac:dyDescent="0.25">
      <c r="A576" s="1" t="s">
        <v>14435</v>
      </c>
      <c r="B576" s="1" t="s">
        <v>1563</v>
      </c>
      <c r="C576" s="1" t="str">
        <f>IFERROR(VLOOKUP(B576,'SB1'!$A$2:$B$999999,2,FALSE),"")</f>
        <v>ESMALTE SINTETICO PLAVICON 3EN1 BRILLANTE AZUL MARINO X  4</v>
      </c>
      <c r="D576" s="1" t="s">
        <v>14458</v>
      </c>
      <c r="E576" s="3">
        <f>IFERROR(VLOOKUP(B576,'DA1'!$B$2:$D$999999,3,FALSE),"")</f>
      </c>
      <c r="F576" s="1" t="str">
        <f>IFERROR(VLOOKUP(B576,'SB1'!$A$2:$C$999999,3,FALSE),"")</f>
        <v>503</v>
      </c>
      <c r="G576" s="3" t="e">
        <f t="shared" si="20"/>
        <v>#VALUE!</v>
      </c>
      <c r="H576" s="3" t="e">
        <f t="shared" si="21"/>
        <v>#VALUE!</v>
      </c>
      <c r="I576" s="1">
        <v>1</v>
      </c>
    </row>
    <row r="577" spans="1:9" x14ac:dyDescent="0.25">
      <c r="A577" s="1" t="s">
        <v>14435</v>
      </c>
      <c r="B577" s="1" t="s">
        <v>1565</v>
      </c>
      <c r="C577" s="1" t="str">
        <f>IFERROR(VLOOKUP(B577,'SB1'!$A$2:$B$999999,2,FALSE),"")</f>
        <v>LIJA RUBI FLEX DOBLE A N  50/60 G.</v>
      </c>
      <c r="D577" s="1" t="s">
        <v>14451</v>
      </c>
      <c r="E577" s="3">
        <f>IFERROR(VLOOKUP(B577,'DA1'!$B$2:$D$999999,3,FALSE),"")</f>
      </c>
      <c r="F577" s="1" t="str">
        <f>IFERROR(VLOOKUP(B577,'SB1'!$A$2:$C$999999,3,FALSE),"")</f>
        <v>503</v>
      </c>
      <c r="G577" s="3" t="e">
        <f t="shared" si="20"/>
        <v>#VALUE!</v>
      </c>
      <c r="H577" s="3" t="e">
        <f t="shared" si="21"/>
        <v>#VALUE!</v>
      </c>
      <c r="I577" s="1">
        <v>1</v>
      </c>
    </row>
    <row r="578" spans="1:9" x14ac:dyDescent="0.25">
      <c r="A578" s="1" t="s">
        <v>14435</v>
      </c>
      <c r="B578" s="1" t="s">
        <v>1567</v>
      </c>
      <c r="C578" s="1" t="str">
        <f>IFERROR(VLOOKUP(B578,'SB1'!$A$2:$B$999999,2,FALSE),"")</f>
        <v>LIJA DOBLE A MASTER N 150</v>
      </c>
      <c r="D578" s="1" t="s">
        <v>14451</v>
      </c>
      <c r="E578" s="3">
        <f>IFERROR(VLOOKUP(B578,'DA1'!$B$2:$D$999999,3,FALSE),"")</f>
      </c>
      <c r="F578" s="1" t="str">
        <f>IFERROR(VLOOKUP(B578,'SB1'!$A$2:$C$999999,3,FALSE),"")</f>
        <v>503</v>
      </c>
      <c r="G578" s="3" t="e">
        <f t="shared" si="20"/>
        <v>#VALUE!</v>
      </c>
      <c r="H578" s="3" t="e">
        <f t="shared" si="21"/>
        <v>#VALUE!</v>
      </c>
      <c r="I578" s="1">
        <v>1</v>
      </c>
    </row>
    <row r="579" spans="1:9" x14ac:dyDescent="0.25">
      <c r="A579" s="1" t="s">
        <v>14435</v>
      </c>
      <c r="B579" s="1" t="s">
        <v>1569</v>
      </c>
      <c r="C579" s="1" t="str">
        <f>IFERROR(VLOOKUP(B579,'SB1'!$A$2:$B$999999,2,FALSE),"")</f>
        <v>LIJA DOBLE A MASTER N 180</v>
      </c>
      <c r="D579" s="1" t="s">
        <v>14451</v>
      </c>
      <c r="E579" s="3">
        <f>IFERROR(VLOOKUP(B579,'DA1'!$B$2:$D$999999,3,FALSE),"")</f>
      </c>
      <c r="F579" s="1" t="str">
        <f>IFERROR(VLOOKUP(B579,'SB1'!$A$2:$C$999999,3,FALSE),"")</f>
        <v>503</v>
      </c>
      <c r="G579" s="3" t="e">
        <f t="shared" ref="G579:G642" si="22">E579*1.04</f>
        <v>#VALUE!</v>
      </c>
      <c r="H579" s="3" t="e">
        <f t="shared" si="21"/>
        <v>#VALUE!</v>
      </c>
      <c r="I579" s="1">
        <v>1</v>
      </c>
    </row>
    <row r="580" spans="1:9" x14ac:dyDescent="0.25">
      <c r="A580" s="1" t="s">
        <v>14435</v>
      </c>
      <c r="B580" s="1" t="s">
        <v>1571</v>
      </c>
      <c r="C580" s="1" t="str">
        <f>IFERROR(VLOOKUP(B580,'SB1'!$A$2:$B$999999,2,FALSE),"")</f>
        <v>LIJA DOBLE A MASTER N 220</v>
      </c>
      <c r="D580" s="1" t="s">
        <v>14451</v>
      </c>
      <c r="E580" s="3">
        <f>IFERROR(VLOOKUP(B580,'DA1'!$B$2:$D$999999,3,FALSE),"")</f>
      </c>
      <c r="F580" s="1" t="str">
        <f>IFERROR(VLOOKUP(B580,'SB1'!$A$2:$C$999999,3,FALSE),"")</f>
        <v>503</v>
      </c>
      <c r="G580" s="3" t="e">
        <f t="shared" si="22"/>
        <v>#VALUE!</v>
      </c>
      <c r="H580" s="3" t="e">
        <f t="shared" si="21"/>
        <v>#VALUE!</v>
      </c>
      <c r="I580" s="1">
        <v>1</v>
      </c>
    </row>
    <row r="581" spans="1:9" x14ac:dyDescent="0.25">
      <c r="A581" s="1" t="s">
        <v>14435</v>
      </c>
      <c r="B581" s="1" t="s">
        <v>1573</v>
      </c>
      <c r="C581" s="1" t="str">
        <f>IFERROR(VLOOKUP(B581,'SB1'!$A$2:$B$999999,2,FALSE),"")</f>
        <v>LACA MELACRILICA PETRILAC SEMIMATE X 1</v>
      </c>
      <c r="D581" s="1" t="s">
        <v>14449</v>
      </c>
      <c r="E581" s="3">
        <f>IFERROR(VLOOKUP(B581,'DA1'!$B$2:$D$999999,3,FALSE),"")</f>
      </c>
      <c r="F581" s="1" t="str">
        <f>IFERROR(VLOOKUP(B581,'SB1'!$A$2:$C$999999,3,FALSE),"")</f>
        <v>503</v>
      </c>
      <c r="G581" s="3" t="e">
        <f t="shared" si="22"/>
        <v>#VALUE!</v>
      </c>
      <c r="H581" s="3" t="e">
        <f t="shared" si="21"/>
        <v>#VALUE!</v>
      </c>
      <c r="I581" s="1">
        <v>1</v>
      </c>
    </row>
    <row r="582" spans="1:9" x14ac:dyDescent="0.25">
      <c r="A582" s="1" t="s">
        <v>14435</v>
      </c>
      <c r="B582" s="1" t="s">
        <v>1575</v>
      </c>
      <c r="C582" s="1" t="str">
        <f>IFERROR(VLOOKUP(B582,'SB1'!$A$2:$B$999999,2,FALSE),"")</f>
        <v>LACA MELACRILICA PETRILAC SEMIMATE X 4</v>
      </c>
      <c r="D582" s="1" t="s">
        <v>14449</v>
      </c>
      <c r="E582" s="3">
        <f>IFERROR(VLOOKUP(B582,'DA1'!$B$2:$D$999999,3,FALSE),"")</f>
      </c>
      <c r="F582" s="1" t="str">
        <f>IFERROR(VLOOKUP(B582,'SB1'!$A$2:$C$999999,3,FALSE),"")</f>
        <v>503</v>
      </c>
      <c r="G582" s="3" t="e">
        <f t="shared" si="22"/>
        <v>#VALUE!</v>
      </c>
      <c r="H582" s="3" t="e">
        <f t="shared" si="21"/>
        <v>#VALUE!</v>
      </c>
      <c r="I582" s="1">
        <v>1</v>
      </c>
    </row>
    <row r="583" spans="1:9" x14ac:dyDescent="0.25">
      <c r="A583" s="1" t="s">
        <v>14435</v>
      </c>
      <c r="B583" s="1" t="s">
        <v>1577</v>
      </c>
      <c r="C583" s="1" t="str">
        <f>IFERROR(VLOOKUP(B583,'SB1'!$A$2:$B$999999,2,FALSE),"")</f>
        <v>ESCALERA MULTIPROPOSITO ALUMINIO 12 ESC</v>
      </c>
      <c r="D583" s="1" t="s">
        <v>14471</v>
      </c>
      <c r="E583" s="3">
        <f>IFERROR(VLOOKUP(B583,'DA1'!$B$2:$D$999999,3,FALSE),"")</f>
      </c>
      <c r="F583" s="1" t="str">
        <f>IFERROR(VLOOKUP(B583,'SB1'!$A$2:$C$999999,3,FALSE),"")</f>
        <v>503</v>
      </c>
      <c r="G583" s="3" t="e">
        <f t="shared" si="22"/>
        <v>#VALUE!</v>
      </c>
      <c r="H583" s="3" t="e">
        <f t="shared" si="21"/>
        <v>#VALUE!</v>
      </c>
      <c r="I583" s="1">
        <v>2</v>
      </c>
    </row>
    <row r="584" spans="1:9" x14ac:dyDescent="0.25">
      <c r="A584" s="1" t="s">
        <v>14435</v>
      </c>
      <c r="B584" s="1" t="s">
        <v>1579</v>
      </c>
      <c r="C584" s="1" t="str">
        <f>IFERROR(VLOOKUP(B584,'SB1'!$A$2:$B$999999,2,FALSE),"")</f>
        <v>ESCALERA MULTIPROPOSITO ALUMINIO 16 ESC.</v>
      </c>
      <c r="D584" s="1" t="s">
        <v>14471</v>
      </c>
      <c r="E584" s="3">
        <f>IFERROR(VLOOKUP(B584,'DA1'!$B$2:$D$999999,3,FALSE),"")</f>
      </c>
      <c r="F584" s="1" t="str">
        <f>IFERROR(VLOOKUP(B584,'SB1'!$A$2:$C$999999,3,FALSE),"")</f>
        <v>503</v>
      </c>
      <c r="G584" s="3" t="e">
        <f t="shared" si="22"/>
        <v>#VALUE!</v>
      </c>
      <c r="H584" s="3" t="e">
        <f t="shared" si="21"/>
        <v>#VALUE!</v>
      </c>
      <c r="I584" s="1">
        <v>2</v>
      </c>
    </row>
    <row r="585" spans="1:9" x14ac:dyDescent="0.25">
      <c r="A585" s="1" t="s">
        <v>14435</v>
      </c>
      <c r="B585" s="1" t="s">
        <v>1581</v>
      </c>
      <c r="C585" s="1" t="str">
        <f>IFERROR(VLOOKUP(B585,'SB1'!$A$2:$B$999999,2,FALSE),"")</f>
        <v>LIJA DOBLE A MASTER N 120</v>
      </c>
      <c r="D585" s="1" t="s">
        <v>14451</v>
      </c>
      <c r="E585" s="3">
        <f>IFERROR(VLOOKUP(B585,'DA1'!$B$2:$D$999999,3,FALSE),"")</f>
      </c>
      <c r="F585" s="1" t="str">
        <f>IFERROR(VLOOKUP(B585,'SB1'!$A$2:$C$999999,3,FALSE),"")</f>
        <v>503</v>
      </c>
      <c r="G585" s="3" t="e">
        <f t="shared" si="22"/>
        <v>#VALUE!</v>
      </c>
      <c r="H585" s="3" t="e">
        <f t="shared" si="21"/>
        <v>#VALUE!</v>
      </c>
      <c r="I585" s="1">
        <v>1</v>
      </c>
    </row>
    <row r="586" spans="1:9" x14ac:dyDescent="0.25">
      <c r="A586" s="1" t="s">
        <v>14435</v>
      </c>
      <c r="B586" s="1" t="s">
        <v>1583</v>
      </c>
      <c r="C586" s="1" t="str">
        <f>IFERROR(VLOOKUP(B586,'SB1'!$A$2:$B$999999,2,FALSE),"")</f>
        <v>LIJA DOBLE A MASTER N 280</v>
      </c>
      <c r="D586" s="1" t="s">
        <v>14451</v>
      </c>
      <c r="E586" s="3">
        <f>IFERROR(VLOOKUP(B586,'DA1'!$B$2:$D$999999,3,FALSE),"")</f>
      </c>
      <c r="F586" s="1" t="str">
        <f>IFERROR(VLOOKUP(B586,'SB1'!$A$2:$C$999999,3,FALSE),"")</f>
        <v>503</v>
      </c>
      <c r="G586" s="3" t="e">
        <f t="shared" si="22"/>
        <v>#VALUE!</v>
      </c>
      <c r="H586" s="3" t="e">
        <f t="shared" si="21"/>
        <v>#VALUE!</v>
      </c>
      <c r="I586" s="1">
        <v>1</v>
      </c>
    </row>
    <row r="587" spans="1:9" x14ac:dyDescent="0.25">
      <c r="A587" s="1" t="s">
        <v>14435</v>
      </c>
      <c r="B587" s="1" t="s">
        <v>1585</v>
      </c>
      <c r="C587" s="1" t="str">
        <f>IFERROR(VLOOKUP(B587,'SB1'!$A$2:$B$999999,2,FALSE),"")</f>
        <v>ESMALTE SINTETICO PLAVICON 3EN1 BRILLANTE AZUL MARINO X 20</v>
      </c>
      <c r="D587" s="1" t="s">
        <v>14458</v>
      </c>
      <c r="E587" s="3">
        <f>IFERROR(VLOOKUP(B587,'DA1'!$B$2:$D$999999,3,FALSE),"")</f>
      </c>
      <c r="F587" s="1" t="str">
        <f>IFERROR(VLOOKUP(B587,'SB1'!$A$2:$C$999999,3,FALSE),"")</f>
        <v>503</v>
      </c>
      <c r="G587" s="3" t="e">
        <f t="shared" si="22"/>
        <v>#VALUE!</v>
      </c>
      <c r="H587" s="3" t="e">
        <f t="shared" si="21"/>
        <v>#VALUE!</v>
      </c>
      <c r="I587" s="1">
        <v>1</v>
      </c>
    </row>
    <row r="588" spans="1:9" x14ac:dyDescent="0.25">
      <c r="A588" s="1" t="s">
        <v>14435</v>
      </c>
      <c r="B588" s="1" t="s">
        <v>1589</v>
      </c>
      <c r="C588" s="1" t="str">
        <f>IFERROR(VLOOKUP(B588,'SB1'!$A$2:$B$999999,2,FALSE),"")</f>
        <v>LACA MELACRILICA PETRILAC BRILLANTE X 1</v>
      </c>
      <c r="D588" s="1" t="s">
        <v>14449</v>
      </c>
      <c r="E588" s="3">
        <f>IFERROR(VLOOKUP(B588,'DA1'!$B$2:$D$999999,3,FALSE),"")</f>
      </c>
      <c r="F588" s="1" t="str">
        <f>IFERROR(VLOOKUP(B588,'SB1'!$A$2:$C$999999,3,FALSE),"")</f>
        <v>503</v>
      </c>
      <c r="G588" s="3" t="e">
        <f t="shared" si="22"/>
        <v>#VALUE!</v>
      </c>
      <c r="H588" s="3" t="e">
        <f t="shared" si="21"/>
        <v>#VALUE!</v>
      </c>
      <c r="I588" s="1">
        <v>1</v>
      </c>
    </row>
    <row r="589" spans="1:9" x14ac:dyDescent="0.25">
      <c r="A589" s="1" t="s">
        <v>14435</v>
      </c>
      <c r="B589" s="1" t="s">
        <v>1591</v>
      </c>
      <c r="C589" s="1" t="str">
        <f>IFERROR(VLOOKUP(B589,'SB1'!$A$2:$B$999999,2,FALSE),"")</f>
        <v>LACA MELACRILICA PETRILAC BRILLANTE X 4</v>
      </c>
      <c r="D589" s="1" t="s">
        <v>14449</v>
      </c>
      <c r="E589" s="3">
        <f>IFERROR(VLOOKUP(B589,'DA1'!$B$2:$D$999999,3,FALSE),"")</f>
      </c>
      <c r="F589" s="1" t="str">
        <f>IFERROR(VLOOKUP(B589,'SB1'!$A$2:$C$999999,3,FALSE),"")</f>
        <v>503</v>
      </c>
      <c r="G589" s="3" t="e">
        <f t="shared" si="22"/>
        <v>#VALUE!</v>
      </c>
      <c r="H589" s="3" t="e">
        <f t="shared" si="21"/>
        <v>#VALUE!</v>
      </c>
      <c r="I589" s="1">
        <v>1</v>
      </c>
    </row>
    <row r="590" spans="1:9" x14ac:dyDescent="0.25">
      <c r="A590" s="1" t="s">
        <v>14435</v>
      </c>
      <c r="B590" s="1" t="s">
        <v>1593</v>
      </c>
      <c r="C590" s="1" t="str">
        <f>IFERROR(VLOOKUP(B590,'SB1'!$A$2:$B$999999,2,FALSE),"")</f>
        <v>DILUYENTE PARA LACAS Y BARNICES PETRILAC X 0,500</v>
      </c>
      <c r="D590" s="1" t="s">
        <v>14449</v>
      </c>
      <c r="E590" s="3">
        <f>IFERROR(VLOOKUP(B590,'DA1'!$B$2:$D$999999,3,FALSE),"")</f>
      </c>
      <c r="F590" s="1" t="str">
        <f>IFERROR(VLOOKUP(B590,'SB1'!$A$2:$C$999999,3,FALSE),"")</f>
        <v>503</v>
      </c>
      <c r="G590" s="3" t="e">
        <f t="shared" si="22"/>
        <v>#VALUE!</v>
      </c>
      <c r="H590" s="3" t="e">
        <f t="shared" si="21"/>
        <v>#VALUE!</v>
      </c>
      <c r="I590" s="1">
        <v>1</v>
      </c>
    </row>
    <row r="591" spans="1:9" x14ac:dyDescent="0.25">
      <c r="A591" s="1" t="s">
        <v>14435</v>
      </c>
      <c r="B591" s="1" t="s">
        <v>1595</v>
      </c>
      <c r="C591" s="1" t="str">
        <f>IFERROR(VLOOKUP(B591,'SB1'!$A$2:$B$999999,2,FALSE),"")</f>
        <v>DILUYENTE PARA LACAS Y BARNICES PETRILAC X 1</v>
      </c>
      <c r="D591" s="1" t="s">
        <v>14449</v>
      </c>
      <c r="E591" s="3">
        <f>IFERROR(VLOOKUP(B591,'DA1'!$B$2:$D$999999,3,FALSE),"")</f>
      </c>
      <c r="F591" s="1" t="str">
        <f>IFERROR(VLOOKUP(B591,'SB1'!$A$2:$C$999999,3,FALSE),"")</f>
        <v>503</v>
      </c>
      <c r="G591" s="3" t="e">
        <f t="shared" si="22"/>
        <v>#VALUE!</v>
      </c>
      <c r="H591" s="3" t="e">
        <f t="shared" si="21"/>
        <v>#VALUE!</v>
      </c>
      <c r="I591" s="1">
        <v>1</v>
      </c>
    </row>
    <row r="592" spans="1:9" x14ac:dyDescent="0.25">
      <c r="A592" s="1" t="s">
        <v>14435</v>
      </c>
      <c r="B592" s="1" t="s">
        <v>1597</v>
      </c>
      <c r="C592" s="1" t="str">
        <f>IFERROR(VLOOKUP(B592,'SB1'!$A$2:$B$999999,2,FALSE),"")</f>
        <v>DILUYENTE PARA LACAS Y BARNICES PETRILAC X 4</v>
      </c>
      <c r="D592" s="1" t="s">
        <v>14449</v>
      </c>
      <c r="E592" s="3">
        <f>IFERROR(VLOOKUP(B592,'DA1'!$B$2:$D$999999,3,FALSE),"")</f>
      </c>
      <c r="F592" s="1" t="str">
        <f>IFERROR(VLOOKUP(B592,'SB1'!$A$2:$C$999999,3,FALSE),"")</f>
        <v>503</v>
      </c>
      <c r="G592" s="3" t="e">
        <f t="shared" si="22"/>
        <v>#VALUE!</v>
      </c>
      <c r="H592" s="3" t="e">
        <f t="shared" si="21"/>
        <v>#VALUE!</v>
      </c>
      <c r="I592" s="1">
        <v>1</v>
      </c>
    </row>
    <row r="593" spans="1:9" x14ac:dyDescent="0.25">
      <c r="A593" s="1" t="s">
        <v>14435</v>
      </c>
      <c r="B593" s="1" t="s">
        <v>1599</v>
      </c>
      <c r="C593" s="1" t="str">
        <f>IFERROR(VLOOKUP(B593,'SB1'!$A$2:$B$999999,2,FALSE),"")</f>
        <v>COLA VINILICA COLVINIL 04 X  0,250</v>
      </c>
      <c r="D593" s="1" t="s">
        <v>14453</v>
      </c>
      <c r="E593" s="3">
        <f>IFERROR(VLOOKUP(B593,'DA1'!$B$2:$D$999999,3,FALSE),"")</f>
      </c>
      <c r="F593" s="1" t="str">
        <f>IFERROR(VLOOKUP(B593,'SB1'!$A$2:$C$999999,3,FALSE),"")</f>
        <v>503</v>
      </c>
      <c r="G593" s="3" t="e">
        <f t="shared" si="22"/>
        <v>#VALUE!</v>
      </c>
      <c r="H593" s="3" t="e">
        <f t="shared" si="21"/>
        <v>#VALUE!</v>
      </c>
      <c r="I593" s="1">
        <v>1</v>
      </c>
    </row>
    <row r="594" spans="1:9" x14ac:dyDescent="0.25">
      <c r="A594" s="1" t="s">
        <v>14435</v>
      </c>
      <c r="B594" s="1" t="s">
        <v>1609</v>
      </c>
      <c r="C594" s="1" t="str">
        <f>IFERROR(VLOOKUP(B594,'SB1'!$A$2:$B$999999,2,FALSE),"")</f>
        <v>DEMARCACION VIAL ALBAVIAL BLANCO X 4</v>
      </c>
      <c r="D594" s="1" t="s">
        <v>14479</v>
      </c>
      <c r="E594" s="3">
        <f>IFERROR(VLOOKUP(B594,'DA1'!$B$2:$D$999999,3,FALSE),"")</f>
      </c>
      <c r="F594" s="1" t="str">
        <f>IFERROR(VLOOKUP(B594,'SB1'!$A$2:$C$999999,3,FALSE),"")</f>
        <v>503</v>
      </c>
      <c r="G594" s="3" t="e">
        <f t="shared" si="22"/>
        <v>#VALUE!</v>
      </c>
      <c r="H594" s="3" t="e">
        <f t="shared" si="21"/>
        <v>#VALUE!</v>
      </c>
      <c r="I594" s="1">
        <v>1</v>
      </c>
    </row>
    <row r="595" spans="1:9" x14ac:dyDescent="0.25">
      <c r="A595" s="1" t="s">
        <v>14435</v>
      </c>
      <c r="B595" s="1" t="s">
        <v>1611</v>
      </c>
      <c r="C595" s="1" t="str">
        <f>IFERROR(VLOOKUP(B595,'SB1'!$A$2:$B$999999,2,FALSE),"")</f>
        <v>DEMARCACION VIAL ALBAVIAL AMARILLO X 4</v>
      </c>
      <c r="D595" s="1" t="s">
        <v>14479</v>
      </c>
      <c r="E595" s="3">
        <f>IFERROR(VLOOKUP(B595,'DA1'!$B$2:$D$999999,3,FALSE),"")</f>
      </c>
      <c r="F595" s="1" t="str">
        <f>IFERROR(VLOOKUP(B595,'SB1'!$A$2:$C$999999,3,FALSE),"")</f>
        <v>503</v>
      </c>
      <c r="G595" s="3" t="e">
        <f t="shared" si="22"/>
        <v>#VALUE!</v>
      </c>
      <c r="H595" s="3" t="e">
        <f t="shared" si="21"/>
        <v>#VALUE!</v>
      </c>
      <c r="I595" s="1">
        <v>1</v>
      </c>
    </row>
    <row r="596" spans="1:9" x14ac:dyDescent="0.25">
      <c r="A596" s="1" t="s">
        <v>14435</v>
      </c>
      <c r="B596" s="1" t="s">
        <v>1613</v>
      </c>
      <c r="C596" s="1" t="str">
        <f>IFERROR(VLOOKUP(B596,'SB1'!$A$2:$B$999999,2,FALSE),"")</f>
        <v>PINCEL ROSARPIN FILETEAR CH/R.20</v>
      </c>
      <c r="D596" s="1" t="s">
        <v>14460</v>
      </c>
      <c r="E596" s="3">
        <f>IFERROR(VLOOKUP(B596,'DA1'!$B$2:$D$999999,3,FALSE),"")</f>
      </c>
      <c r="F596" s="1" t="str">
        <f>IFERROR(VLOOKUP(B596,'SB1'!$A$2:$C$999999,3,FALSE),"")</f>
        <v>503</v>
      </c>
      <c r="G596" s="3" t="e">
        <f t="shared" si="22"/>
        <v>#VALUE!</v>
      </c>
      <c r="H596" s="3" t="e">
        <f t="shared" si="21"/>
        <v>#VALUE!</v>
      </c>
      <c r="I596" s="1">
        <v>1</v>
      </c>
    </row>
    <row r="597" spans="1:9" x14ac:dyDescent="0.25">
      <c r="A597" s="1" t="s">
        <v>14435</v>
      </c>
      <c r="B597" s="1" t="s">
        <v>1617</v>
      </c>
      <c r="C597" s="1" t="str">
        <f>IFERROR(VLOOKUP(B597,'SB1'!$A$2:$B$999999,2,FALSE),"")</f>
        <v>CEMENTO DE CONTACTO COLVINIL 50 X  0,250</v>
      </c>
      <c r="D597" s="1" t="s">
        <v>14453</v>
      </c>
      <c r="E597" s="3">
        <f>IFERROR(VLOOKUP(B597,'DA1'!$B$2:$D$999999,3,FALSE),"")</f>
      </c>
      <c r="F597" s="1" t="str">
        <f>IFERROR(VLOOKUP(B597,'SB1'!$A$2:$C$999999,3,FALSE),"")</f>
        <v>503</v>
      </c>
      <c r="G597" s="3" t="e">
        <f t="shared" si="22"/>
        <v>#VALUE!</v>
      </c>
      <c r="H597" s="3" t="e">
        <f t="shared" si="21"/>
        <v>#VALUE!</v>
      </c>
      <c r="I597" s="1">
        <v>1</v>
      </c>
    </row>
    <row r="598" spans="1:9" x14ac:dyDescent="0.25">
      <c r="A598" s="1" t="s">
        <v>14435</v>
      </c>
      <c r="B598" s="1" t="s">
        <v>1619</v>
      </c>
      <c r="C598" s="1" t="str">
        <f>IFERROR(VLOOKUP(B598,'SB1'!$A$2:$B$999999,2,FALSE),"")</f>
        <v>CEMENTO DE CONTACTO COLVINIL 50 X  0,500</v>
      </c>
      <c r="D598" s="1" t="s">
        <v>14453</v>
      </c>
      <c r="E598" s="3">
        <f>IFERROR(VLOOKUP(B598,'DA1'!$B$2:$D$999999,3,FALSE),"")</f>
      </c>
      <c r="F598" s="1" t="str">
        <f>IFERROR(VLOOKUP(B598,'SB1'!$A$2:$C$999999,3,FALSE),"")</f>
        <v>503</v>
      </c>
      <c r="G598" s="3" t="e">
        <f t="shared" si="22"/>
        <v>#VALUE!</v>
      </c>
      <c r="H598" s="3" t="e">
        <f t="shared" si="21"/>
        <v>#VALUE!</v>
      </c>
      <c r="I598" s="1">
        <v>1</v>
      </c>
    </row>
    <row r="599" spans="1:9" x14ac:dyDescent="0.25">
      <c r="A599" s="1" t="s">
        <v>14435</v>
      </c>
      <c r="B599" s="1" t="s">
        <v>1621</v>
      </c>
      <c r="C599" s="1" t="str">
        <f>IFERROR(VLOOKUP(B599,'SB1'!$A$2:$B$999999,2,FALSE),"")</f>
        <v>CEMENTO DE CONTACTO COLVINIL 50 X  0,750 (1 LT)</v>
      </c>
      <c r="D599" s="1" t="s">
        <v>14453</v>
      </c>
      <c r="E599" s="3">
        <f>IFERROR(VLOOKUP(B599,'DA1'!$B$2:$D$999999,3,FALSE),"")</f>
      </c>
      <c r="F599" s="1" t="str">
        <f>IFERROR(VLOOKUP(B599,'SB1'!$A$2:$C$999999,3,FALSE),"")</f>
        <v>503</v>
      </c>
      <c r="G599" s="3" t="e">
        <f t="shared" si="22"/>
        <v>#VALUE!</v>
      </c>
      <c r="H599" s="3" t="e">
        <f t="shared" si="21"/>
        <v>#VALUE!</v>
      </c>
      <c r="I599" s="1">
        <v>1</v>
      </c>
    </row>
    <row r="600" spans="1:9" x14ac:dyDescent="0.25">
      <c r="A600" s="1" t="s">
        <v>14435</v>
      </c>
      <c r="B600" s="1" t="s">
        <v>1623</v>
      </c>
      <c r="C600" s="1" t="str">
        <f>IFERROR(VLOOKUP(B600,'SB1'!$A$2:$B$999999,2,FALSE),"")</f>
        <v>CEMENTO DE CONTACTO COLVINIL 50 X  2,800 (4 LTS)</v>
      </c>
      <c r="D600" s="1" t="s">
        <v>14453</v>
      </c>
      <c r="E600" s="3">
        <f>IFERROR(VLOOKUP(B600,'DA1'!$B$2:$D$999999,3,FALSE),"")</f>
      </c>
      <c r="F600" s="1" t="str">
        <f>IFERROR(VLOOKUP(B600,'SB1'!$A$2:$C$999999,3,FALSE),"")</f>
        <v>503</v>
      </c>
      <c r="G600" s="3" t="e">
        <f t="shared" si="22"/>
        <v>#VALUE!</v>
      </c>
      <c r="H600" s="3" t="e">
        <f t="shared" si="21"/>
        <v>#VALUE!</v>
      </c>
      <c r="I600" s="1">
        <v>1</v>
      </c>
    </row>
    <row r="601" spans="1:9" x14ac:dyDescent="0.25">
      <c r="A601" s="1" t="s">
        <v>14435</v>
      </c>
      <c r="B601" s="1" t="s">
        <v>1625</v>
      </c>
      <c r="C601" s="1" t="str">
        <f>IFERROR(VLOOKUP(B601,'SB1'!$A$2:$B$999999,2,FALSE),"")</f>
        <v>COLA VINILICA COLVINIL 04 X  1</v>
      </c>
      <c r="D601" s="1" t="s">
        <v>14453</v>
      </c>
      <c r="E601" s="3">
        <f>IFERROR(VLOOKUP(B601,'DA1'!$B$2:$D$999999,3,FALSE),"")</f>
      </c>
      <c r="F601" s="1" t="str">
        <f>IFERROR(VLOOKUP(B601,'SB1'!$A$2:$C$999999,3,FALSE),"")</f>
        <v>503</v>
      </c>
      <c r="G601" s="3" t="e">
        <f t="shared" si="22"/>
        <v>#VALUE!</v>
      </c>
      <c r="H601" s="3" t="e">
        <f t="shared" si="21"/>
        <v>#VALUE!</v>
      </c>
      <c r="I601" s="1">
        <v>1</v>
      </c>
    </row>
    <row r="602" spans="1:9" x14ac:dyDescent="0.25">
      <c r="A602" s="1" t="s">
        <v>14435</v>
      </c>
      <c r="B602" s="1" t="s">
        <v>1627</v>
      </c>
      <c r="C602" s="1" t="str">
        <f>IFERROR(VLOOKUP(B602,'SB1'!$A$2:$B$999999,2,FALSE),"")</f>
        <v>COLA VINILICA COLVINIL 04 X  5</v>
      </c>
      <c r="D602" s="1" t="s">
        <v>14453</v>
      </c>
      <c r="E602" s="3">
        <f>IFERROR(VLOOKUP(B602,'DA1'!$B$2:$D$999999,3,FALSE),"")</f>
      </c>
      <c r="F602" s="1" t="str">
        <f>IFERROR(VLOOKUP(B602,'SB1'!$A$2:$C$999999,3,FALSE),"")</f>
        <v>503</v>
      </c>
      <c r="G602" s="3" t="e">
        <f t="shared" si="22"/>
        <v>#VALUE!</v>
      </c>
      <c r="H602" s="3" t="e">
        <f t="shared" si="21"/>
        <v>#VALUE!</v>
      </c>
      <c r="I602" s="1">
        <v>1</v>
      </c>
    </row>
    <row r="603" spans="1:9" x14ac:dyDescent="0.25">
      <c r="A603" s="1" t="s">
        <v>14435</v>
      </c>
      <c r="B603" s="1" t="s">
        <v>1629</v>
      </c>
      <c r="C603" s="1" t="str">
        <f>IFERROR(VLOOKUP(B603,'SB1'!$A$2:$B$999999,2,FALSE),"")</f>
        <v>ESPATULA DE GOMA CHICA</v>
      </c>
      <c r="D603" s="1" t="s">
        <v>14468</v>
      </c>
      <c r="E603" s="3">
        <f>IFERROR(VLOOKUP(B603,'DA1'!$B$2:$D$999999,3,FALSE),"")</f>
      </c>
      <c r="F603" s="1" t="str">
        <f>IFERROR(VLOOKUP(B603,'SB1'!$A$2:$C$999999,3,FALSE),"")</f>
        <v>503</v>
      </c>
      <c r="G603" s="3" t="e">
        <f t="shared" si="22"/>
        <v>#VALUE!</v>
      </c>
      <c r="H603" s="3" t="e">
        <f t="shared" si="21"/>
        <v>#VALUE!</v>
      </c>
      <c r="I603" s="1">
        <v>1</v>
      </c>
    </row>
    <row r="604" spans="1:9" x14ac:dyDescent="0.25">
      <c r="A604" s="1" t="s">
        <v>14435</v>
      </c>
      <c r="B604" s="1" t="s">
        <v>1635</v>
      </c>
      <c r="C604" s="1" t="str">
        <f>IFERROR(VLOOKUP(B604,'SB1'!$A$2:$B$999999,2,FALSE),"")</f>
        <v>GUANTES DE JERSEY MOTEADOS X2</v>
      </c>
      <c r="D604" s="1" t="s">
        <v>14476</v>
      </c>
      <c r="E604" s="3">
        <f>IFERROR(VLOOKUP(B604,'DA1'!$B$2:$D$999999,3,FALSE),"")</f>
      </c>
      <c r="F604" s="1" t="str">
        <f>IFERROR(VLOOKUP(B604,'SB1'!$A$2:$C$999999,3,FALSE),"")</f>
        <v>503</v>
      </c>
      <c r="G604" s="3" t="e">
        <f t="shared" si="22"/>
        <v>#VALUE!</v>
      </c>
      <c r="H604" s="3" t="e">
        <f t="shared" si="21"/>
        <v>#VALUE!</v>
      </c>
      <c r="I604" s="1">
        <v>2</v>
      </c>
    </row>
    <row r="605" spans="1:9" x14ac:dyDescent="0.25">
      <c r="A605" s="1" t="s">
        <v>14435</v>
      </c>
      <c r="B605" s="1" t="s">
        <v>1641</v>
      </c>
      <c r="C605" s="1" t="str">
        <f>IFERROR(VLOOKUP(B605,'SB1'!$A$2:$B$999999,2,FALSE),"")</f>
        <v>ABRE BALDES X10 / X20</v>
      </c>
      <c r="D605" s="1" t="s">
        <v>14452</v>
      </c>
      <c r="E605" s="3">
        <f>IFERROR(VLOOKUP(B605,'DA1'!$B$2:$D$999999,3,FALSE),"")</f>
      </c>
      <c r="F605" s="1" t="str">
        <f>IFERROR(VLOOKUP(B605,'SB1'!$A$2:$C$999999,3,FALSE),"")</f>
        <v>503</v>
      </c>
      <c r="G605" s="3" t="e">
        <f t="shared" si="22"/>
        <v>#VALUE!</v>
      </c>
      <c r="H605" s="3" t="e">
        <f t="shared" si="21"/>
        <v>#VALUE!</v>
      </c>
      <c r="I605" s="1">
        <v>1</v>
      </c>
    </row>
    <row r="606" spans="1:9" x14ac:dyDescent="0.25">
      <c r="A606" s="1" t="s">
        <v>14435</v>
      </c>
      <c r="B606" s="1" t="s">
        <v>1643</v>
      </c>
      <c r="C606" s="1" t="str">
        <f>IFERROR(VLOOKUP(B606,'SB1'!$A$2:$B$999999,2,FALSE),"")</f>
        <v>LIJA DOBLE A MASTER N  80</v>
      </c>
      <c r="D606" s="1" t="s">
        <v>14451</v>
      </c>
      <c r="E606" s="3">
        <f>IFERROR(VLOOKUP(B606,'DA1'!$B$2:$D$999999,3,FALSE),"")</f>
      </c>
      <c r="F606" s="1" t="str">
        <f>IFERROR(VLOOKUP(B606,'SB1'!$A$2:$C$999999,3,FALSE),"")</f>
        <v>503</v>
      </c>
      <c r="G606" s="3" t="e">
        <f t="shared" si="22"/>
        <v>#VALUE!</v>
      </c>
      <c r="H606" s="3" t="e">
        <f t="shared" si="21"/>
        <v>#VALUE!</v>
      </c>
      <c r="I606" s="1">
        <v>1</v>
      </c>
    </row>
    <row r="607" spans="1:9" x14ac:dyDescent="0.25">
      <c r="A607" s="1" t="s">
        <v>14435</v>
      </c>
      <c r="B607" s="1" t="s">
        <v>1645</v>
      </c>
      <c r="C607" s="1" t="str">
        <f>IFERROR(VLOOKUP(B607,'SB1'!$A$2:$B$999999,2,FALSE),"")</f>
        <v>ESMALTE SINTETICO PLAVICON 3EN1 BRILLANTE AZUL TRAFUL X  0,500</v>
      </c>
      <c r="D607" s="1" t="s">
        <v>14458</v>
      </c>
      <c r="E607" s="3">
        <f>IFERROR(VLOOKUP(B607,'DA1'!$B$2:$D$999999,3,FALSE),"")</f>
      </c>
      <c r="F607" s="1" t="str">
        <f>IFERROR(VLOOKUP(B607,'SB1'!$A$2:$C$999999,3,FALSE),"")</f>
        <v>503</v>
      </c>
      <c r="G607" s="3" t="e">
        <f t="shared" si="22"/>
        <v>#VALUE!</v>
      </c>
      <c r="H607" s="3" t="e">
        <f t="shared" si="21"/>
        <v>#VALUE!</v>
      </c>
      <c r="I607" s="1">
        <v>1</v>
      </c>
    </row>
    <row r="608" spans="1:9" x14ac:dyDescent="0.25">
      <c r="A608" s="1" t="s">
        <v>14435</v>
      </c>
      <c r="B608" s="1" t="s">
        <v>1647</v>
      </c>
      <c r="C608" s="1" t="str">
        <f>IFERROR(VLOOKUP(B608,'SB1'!$A$2:$B$999999,2,FALSE),"")</f>
        <v>ESMALTE SINTETICO PLAVICON 3EN1 BRILLANTE AZUL TRAFUL X  1</v>
      </c>
      <c r="D608" s="1" t="s">
        <v>14458</v>
      </c>
      <c r="E608" s="3">
        <f>IFERROR(VLOOKUP(B608,'DA1'!$B$2:$D$999999,3,FALSE),"")</f>
      </c>
      <c r="F608" s="1" t="str">
        <f>IFERROR(VLOOKUP(B608,'SB1'!$A$2:$C$999999,3,FALSE),"")</f>
        <v>503</v>
      </c>
      <c r="G608" s="3" t="e">
        <f t="shared" si="22"/>
        <v>#VALUE!</v>
      </c>
      <c r="H608" s="3" t="e">
        <f t="shared" si="21"/>
        <v>#VALUE!</v>
      </c>
      <c r="I608" s="1">
        <v>1</v>
      </c>
    </row>
    <row r="609" spans="1:9" x14ac:dyDescent="0.25">
      <c r="A609" s="1" t="s">
        <v>14435</v>
      </c>
      <c r="B609" s="1" t="s">
        <v>1649</v>
      </c>
      <c r="C609" s="1" t="str">
        <f>IFERROR(VLOOKUP(B609,'SB1'!$A$2:$B$999999,2,FALSE),"")</f>
        <v>ENDUIDO INTERIOR ENDUPLAST SINTEPLAST X 25</v>
      </c>
      <c r="D609" s="1" t="s">
        <v>14463</v>
      </c>
      <c r="E609" s="3">
        <f>IFERROR(VLOOKUP(B609,'DA1'!$B$2:$D$999999,3,FALSE),"")</f>
      </c>
      <c r="F609" s="1" t="str">
        <f>IFERROR(VLOOKUP(B609,'SB1'!$A$2:$C$999999,3,FALSE),"")</f>
        <v>503</v>
      </c>
      <c r="G609" s="3" t="e">
        <f t="shared" si="22"/>
        <v>#VALUE!</v>
      </c>
      <c r="H609" s="3" t="e">
        <f t="shared" si="21"/>
        <v>#VALUE!</v>
      </c>
      <c r="I609" s="1">
        <v>1</v>
      </c>
    </row>
    <row r="610" spans="1:9" x14ac:dyDescent="0.25">
      <c r="A610" s="1" t="s">
        <v>14435</v>
      </c>
      <c r="B610" s="1" t="s">
        <v>1651</v>
      </c>
      <c r="C610" s="1" t="str">
        <f>IFERROR(VLOOKUP(B610,'SB1'!$A$2:$B$999999,2,FALSE),"")</f>
        <v>LATIZADOR MAGIPLAST 095 X 0,250</v>
      </c>
      <c r="D610" s="1" t="s">
        <v>14447</v>
      </c>
      <c r="E610" s="3">
        <f>IFERROR(VLOOKUP(B610,'DA1'!$B$2:$D$999999,3,FALSE),"")</f>
      </c>
      <c r="F610" s="1" t="str">
        <f>IFERROR(VLOOKUP(B610,'SB1'!$A$2:$C$999999,3,FALSE),"")</f>
        <v>503</v>
      </c>
      <c r="G610" s="3" t="e">
        <f t="shared" si="22"/>
        <v>#VALUE!</v>
      </c>
      <c r="H610" s="3" t="e">
        <f t="shared" si="21"/>
        <v>#VALUE!</v>
      </c>
      <c r="I610" s="1">
        <v>1</v>
      </c>
    </row>
    <row r="611" spans="1:9" x14ac:dyDescent="0.25">
      <c r="A611" s="1" t="s">
        <v>14435</v>
      </c>
      <c r="B611" s="1" t="s">
        <v>1655</v>
      </c>
      <c r="C611" s="1" t="str">
        <f>IFERROR(VLOOKUP(B611,'SB1'!$A$2:$B$999999,2,FALSE),"")</f>
        <v>PINTURA EN POLVO TERSUAVE BLANCO X 4</v>
      </c>
      <c r="D611" s="1" t="s">
        <v>14437</v>
      </c>
      <c r="E611" s="3">
        <f>IFERROR(VLOOKUP(B611,'DA1'!$B$2:$D$999999,3,FALSE),"")</f>
      </c>
      <c r="F611" s="1" t="str">
        <f>IFERROR(VLOOKUP(B611,'SB1'!$A$2:$C$999999,3,FALSE),"")</f>
        <v>503</v>
      </c>
      <c r="G611" s="3" t="e">
        <f t="shared" si="22"/>
        <v>#VALUE!</v>
      </c>
      <c r="H611" s="3" t="e">
        <f t="shared" si="21"/>
        <v>#VALUE!</v>
      </c>
      <c r="I611" s="1">
        <v>1</v>
      </c>
    </row>
    <row r="612" spans="1:9" x14ac:dyDescent="0.25">
      <c r="A612" s="1" t="s">
        <v>14435</v>
      </c>
      <c r="B612" s="1" t="s">
        <v>1657</v>
      </c>
      <c r="C612" s="1" t="str">
        <f>IFERROR(VLOOKUP(B612,'SB1'!$A$2:$B$999999,2,FALSE),"")</f>
        <v>C210-3087 END.P/COL.POLIUR.X0,450 (DISCONTINUADO)</v>
      </c>
      <c r="D612" s="1" t="s">
        <v>14454</v>
      </c>
      <c r="E612" s="3">
        <f>IFERROR(VLOOKUP(B612,'DA1'!$B$2:$D$999999,3,FALSE),"")</f>
      </c>
      <c r="F612" s="1" t="str">
        <f>IFERROR(VLOOKUP(B612,'SB1'!$A$2:$C$999999,3,FALSE),"")</f>
        <v>503</v>
      </c>
      <c r="G612" s="3" t="e">
        <f t="shared" si="22"/>
        <v>#VALUE!</v>
      </c>
      <c r="H612" s="3" t="e">
        <f t="shared" si="21"/>
        <v>#VALUE!</v>
      </c>
      <c r="I612" s="1">
        <v>1</v>
      </c>
    </row>
    <row r="613" spans="1:9" x14ac:dyDescent="0.25">
      <c r="A613" s="1" t="s">
        <v>14435</v>
      </c>
      <c r="B613" s="1" t="s">
        <v>1661</v>
      </c>
      <c r="C613" s="1" t="str">
        <f>IFERROR(VLOOKUP(B613,'SB1'!$A$2:$B$999999,2,FALSE),"")</f>
        <v>ESMALTE SINTETICO PLAVICON 3EN1 BRILLANTE BLANCO X  0,250</v>
      </c>
      <c r="D613" s="1" t="s">
        <v>14439</v>
      </c>
      <c r="E613" s="3">
        <f>IFERROR(VLOOKUP(B613,'DA1'!$B$2:$D$999999,3,FALSE),"")</f>
      </c>
      <c r="F613" s="1" t="str">
        <f>IFERROR(VLOOKUP(B613,'SB1'!$A$2:$C$999999,3,FALSE),"")</f>
        <v>503</v>
      </c>
      <c r="G613" s="3" t="e">
        <f t="shared" si="22"/>
        <v>#VALUE!</v>
      </c>
      <c r="H613" s="3" t="e">
        <f t="shared" si="21"/>
        <v>#VALUE!</v>
      </c>
      <c r="I613" s="1">
        <v>1</v>
      </c>
    </row>
    <row r="614" spans="1:9" x14ac:dyDescent="0.25">
      <c r="A614" s="1" t="s">
        <v>14435</v>
      </c>
      <c r="B614" s="1" t="s">
        <v>1663</v>
      </c>
      <c r="C614" s="1" t="str">
        <f>IFERROR(VLOOKUP(B614,'SB1'!$A$2:$B$999999,2,FALSE),"")</f>
        <v>ESMALTE SINTETICO PLAVICON 3EN1 BRILLANTE BLANCO X  0,500</v>
      </c>
      <c r="D614" s="1" t="s">
        <v>14458</v>
      </c>
      <c r="E614" s="3">
        <f>IFERROR(VLOOKUP(B614,'DA1'!$B$2:$D$999999,3,FALSE),"")</f>
      </c>
      <c r="F614" s="1" t="str">
        <f>IFERROR(VLOOKUP(B614,'SB1'!$A$2:$C$999999,3,FALSE),"")</f>
        <v>503</v>
      </c>
      <c r="G614" s="3" t="e">
        <f t="shared" si="22"/>
        <v>#VALUE!</v>
      </c>
      <c r="H614" s="3" t="e">
        <f t="shared" si="21"/>
        <v>#VALUE!</v>
      </c>
      <c r="I614" s="1">
        <v>1</v>
      </c>
    </row>
    <row r="615" spans="1:9" x14ac:dyDescent="0.25">
      <c r="A615" s="1" t="s">
        <v>14435</v>
      </c>
      <c r="B615" s="1" t="s">
        <v>1665</v>
      </c>
      <c r="C615" s="1" t="str">
        <f>IFERROR(VLOOKUP(B615,'SB1'!$A$2:$B$999999,2,FALSE),"")</f>
        <v>ESMALTE SINTETICO PLAVICON 3EN1 BRILLANTE BLANCO X  1</v>
      </c>
      <c r="D615" s="1" t="s">
        <v>14458</v>
      </c>
      <c r="E615" s="3">
        <f>IFERROR(VLOOKUP(B615,'DA1'!$B$2:$D$999999,3,FALSE),"")</f>
      </c>
      <c r="F615" s="1" t="str">
        <f>IFERROR(VLOOKUP(B615,'SB1'!$A$2:$C$999999,3,FALSE),"")</f>
        <v>503</v>
      </c>
      <c r="G615" s="3" t="e">
        <f t="shared" si="22"/>
        <v>#VALUE!</v>
      </c>
      <c r="H615" s="3" t="e">
        <f t="shared" si="21"/>
        <v>#VALUE!</v>
      </c>
      <c r="I615" s="1">
        <v>1</v>
      </c>
    </row>
    <row r="616" spans="1:9" x14ac:dyDescent="0.25">
      <c r="A616" s="1" t="s">
        <v>14435</v>
      </c>
      <c r="B616" s="1" t="s">
        <v>1667</v>
      </c>
      <c r="C616" s="1" t="str">
        <f>IFERROR(VLOOKUP(B616,'SB1'!$A$2:$B$999999,2,FALSE),"")</f>
        <v>ESMALTE SINTETICO PLAVICON 3EN1 BRILLANTE BLANCO X  4</v>
      </c>
      <c r="D616" s="1" t="s">
        <v>14458</v>
      </c>
      <c r="E616" s="3">
        <f>IFERROR(VLOOKUP(B616,'DA1'!$B$2:$D$999999,3,FALSE),"")</f>
      </c>
      <c r="F616" s="1" t="str">
        <f>IFERROR(VLOOKUP(B616,'SB1'!$A$2:$C$999999,3,FALSE),"")</f>
        <v>503</v>
      </c>
      <c r="G616" s="3" t="e">
        <f t="shared" si="22"/>
        <v>#VALUE!</v>
      </c>
      <c r="H616" s="3" t="e">
        <f t="shared" si="21"/>
        <v>#VALUE!</v>
      </c>
      <c r="I616" s="1">
        <v>1</v>
      </c>
    </row>
    <row r="617" spans="1:9" x14ac:dyDescent="0.25">
      <c r="A617" s="1" t="s">
        <v>14435</v>
      </c>
      <c r="B617" s="1" t="s">
        <v>1669</v>
      </c>
      <c r="C617" s="1" t="str">
        <f>IFERROR(VLOOKUP(B617,'SB1'!$A$2:$B$999999,2,FALSE),"")</f>
        <v>ESMALTE SINTETICO PLAVICON 3EN1 BRILLANTE BLANCO X 20</v>
      </c>
      <c r="D617" s="1" t="s">
        <v>14458</v>
      </c>
      <c r="E617" s="3">
        <f>IFERROR(VLOOKUP(B617,'DA1'!$B$2:$D$999999,3,FALSE),"")</f>
      </c>
      <c r="F617" s="1" t="str">
        <f>IFERROR(VLOOKUP(B617,'SB1'!$A$2:$C$999999,3,FALSE),"")</f>
        <v>503</v>
      </c>
      <c r="G617" s="3" t="e">
        <f t="shared" si="22"/>
        <v>#VALUE!</v>
      </c>
      <c r="H617" s="3" t="e">
        <f t="shared" ref="H617:H656" si="23">G617*1.21</f>
        <v>#VALUE!</v>
      </c>
      <c r="I617" s="1">
        <v>1</v>
      </c>
    </row>
    <row r="618" spans="1:9" x14ac:dyDescent="0.25">
      <c r="A618" s="1" t="s">
        <v>14435</v>
      </c>
      <c r="B618" s="1" t="s">
        <v>1671</v>
      </c>
      <c r="C618" s="1" t="str">
        <f>IFERROR(VLOOKUP(B618,'SB1'!$A$2:$B$999999,2,FALSE),"")</f>
        <v>PROTECTOR SUBCARROCERIA MMB ACUOSA NEGRO X 3,600</v>
      </c>
      <c r="D618" s="1" t="s">
        <v>14444</v>
      </c>
      <c r="E618" s="3">
        <f>IFERROR(VLOOKUP(B618,'DA1'!$B$2:$D$999999,3,FALSE),"")</f>
      </c>
      <c r="F618" s="1" t="str">
        <f>IFERROR(VLOOKUP(B618,'SB1'!$A$2:$C$999999,3,FALSE),"")</f>
        <v>503</v>
      </c>
      <c r="G618" s="3" t="e">
        <f t="shared" si="22"/>
        <v>#VALUE!</v>
      </c>
      <c r="H618" s="3" t="e">
        <f t="shared" si="23"/>
        <v>#VALUE!</v>
      </c>
      <c r="I618" s="1">
        <v>1</v>
      </c>
    </row>
    <row r="619" spans="1:9" x14ac:dyDescent="0.25">
      <c r="A619" s="1" t="s">
        <v>14435</v>
      </c>
      <c r="B619" s="1" t="s">
        <v>1673</v>
      </c>
      <c r="C619" s="1" t="str">
        <f>IFERROR(VLOOKUP(B619,'SB1'!$A$2:$B$999999,2,FALSE),"")</f>
        <v>PROTECTOR PARA LADRILLO DURALBA NATURAL SIN PELICULA X  4</v>
      </c>
      <c r="D619" s="1" t="s">
        <v>14441</v>
      </c>
      <c r="E619" s="3">
        <f>IFERROR(VLOOKUP(B619,'DA1'!$B$2:$D$999999,3,FALSE),"")</f>
      </c>
      <c r="F619" s="1" t="str">
        <f>IFERROR(VLOOKUP(B619,'SB1'!$A$2:$C$999999,3,FALSE),"")</f>
        <v>503</v>
      </c>
      <c r="G619" s="3" t="e">
        <f t="shared" si="22"/>
        <v>#VALUE!</v>
      </c>
      <c r="H619" s="3" t="e">
        <f t="shared" si="23"/>
        <v>#VALUE!</v>
      </c>
      <c r="I619" s="1">
        <v>1</v>
      </c>
    </row>
    <row r="620" spans="1:9" x14ac:dyDescent="0.25">
      <c r="A620" s="1" t="s">
        <v>14435</v>
      </c>
      <c r="B620" s="1" t="s">
        <v>1675</v>
      </c>
      <c r="C620" s="1" t="str">
        <f>IFERROR(VLOOKUP(B620,'SB1'!$A$2:$B$999999,2,FALSE),"")</f>
        <v>PROTECTOR PARA LADRILLO DURALBA NATURAL SIN PELICULA X 20</v>
      </c>
      <c r="D620" s="1" t="s">
        <v>14441</v>
      </c>
      <c r="E620" s="3">
        <f>IFERROR(VLOOKUP(B620,'DA1'!$B$2:$D$999999,3,FALSE),"")</f>
      </c>
      <c r="F620" s="1" t="str">
        <f>IFERROR(VLOOKUP(B620,'SB1'!$A$2:$C$999999,3,FALSE),"")</f>
        <v>503</v>
      </c>
      <c r="G620" s="3" t="e">
        <f t="shared" si="22"/>
        <v>#VALUE!</v>
      </c>
      <c r="H620" s="3" t="e">
        <f t="shared" si="23"/>
        <v>#VALUE!</v>
      </c>
      <c r="I620" s="1">
        <v>1</v>
      </c>
    </row>
    <row r="621" spans="1:9" x14ac:dyDescent="0.25">
      <c r="A621" s="1" t="s">
        <v>14435</v>
      </c>
      <c r="B621" s="1" t="s">
        <v>1677</v>
      </c>
      <c r="C621" s="1" t="str">
        <f>IFERROR(VLOOKUP(B621,'SB1'!$A$2:$B$999999,2,FALSE),"")</f>
        <v>BASE BICAPA MMB X 0,875</v>
      </c>
      <c r="D621" s="1" t="s">
        <v>14444</v>
      </c>
      <c r="E621" s="3">
        <f>IFERROR(VLOOKUP(B621,'DA1'!$B$2:$D$999999,3,FALSE),"")</f>
      </c>
      <c r="F621" s="1" t="str">
        <f>IFERROR(VLOOKUP(B621,'SB1'!$A$2:$C$999999,3,FALSE),"")</f>
        <v>503</v>
      </c>
      <c r="G621" s="3" t="e">
        <f t="shared" si="22"/>
        <v>#VALUE!</v>
      </c>
      <c r="H621" s="3" t="e">
        <f t="shared" si="23"/>
        <v>#VALUE!</v>
      </c>
      <c r="I621" s="1">
        <v>1</v>
      </c>
    </row>
    <row r="622" spans="1:9" x14ac:dyDescent="0.25">
      <c r="A622" s="1" t="s">
        <v>14435</v>
      </c>
      <c r="B622" s="1" t="s">
        <v>1681</v>
      </c>
      <c r="C622" s="1" t="str">
        <f>IFERROR(VLOOKUP(B622,'SB1'!$A$2:$B$999999,2,FALSE),"")</f>
        <v>ESMALTE SINTETICO SATINOL 2EN1 SATINADO NEGRO X  1</v>
      </c>
      <c r="D622" s="1" t="s">
        <v>14441</v>
      </c>
      <c r="E622" s="3">
        <f>IFERROR(VLOOKUP(B622,'DA1'!$B$2:$D$999999,3,FALSE),"")</f>
      </c>
      <c r="F622" s="1" t="str">
        <f>IFERROR(VLOOKUP(B622,'SB1'!$A$2:$C$999999,3,FALSE),"")</f>
        <v>503</v>
      </c>
      <c r="G622" s="3" t="e">
        <f t="shared" si="22"/>
        <v>#VALUE!</v>
      </c>
      <c r="H622" s="3" t="e">
        <f t="shared" si="23"/>
        <v>#VALUE!</v>
      </c>
      <c r="I622" s="1">
        <v>1</v>
      </c>
    </row>
    <row r="623" spans="1:9" x14ac:dyDescent="0.25">
      <c r="A623" s="1" t="s">
        <v>14435</v>
      </c>
      <c r="B623" s="1" t="s">
        <v>1683</v>
      </c>
      <c r="C623" s="1" t="str">
        <f>IFERROR(VLOOKUP(B623,'SB1'!$A$2:$B$999999,2,FALSE),"")</f>
        <v>ESMALTE SINTETICO SATINOL 2EN1 SATINADO NEGRO X  4</v>
      </c>
      <c r="D623" s="1" t="s">
        <v>14441</v>
      </c>
      <c r="E623" s="3">
        <f>IFERROR(VLOOKUP(B623,'DA1'!$B$2:$D$999999,3,FALSE),"")</f>
      </c>
      <c r="F623" s="1" t="str">
        <f>IFERROR(VLOOKUP(B623,'SB1'!$A$2:$C$999999,3,FALSE),"")</f>
        <v>503</v>
      </c>
      <c r="G623" s="3" t="e">
        <f t="shared" si="22"/>
        <v>#VALUE!</v>
      </c>
      <c r="H623" s="3" t="e">
        <f t="shared" si="23"/>
        <v>#VALUE!</v>
      </c>
      <c r="I623" s="1">
        <v>1</v>
      </c>
    </row>
    <row r="624" spans="1:9" x14ac:dyDescent="0.25">
      <c r="A624" s="1" t="s">
        <v>14435</v>
      </c>
      <c r="B624" s="1" t="s">
        <v>1689</v>
      </c>
      <c r="C624" s="1" t="str">
        <f>IFERROR(VLOOKUP(B624,'SB1'!$A$2:$B$999999,2,FALSE),"")</f>
        <v>ESMALTE SINTETICO PLAVICON 3EN1 BRILLANTE AZUL TRAFUL X  4</v>
      </c>
      <c r="D624" s="1" t="s">
        <v>14458</v>
      </c>
      <c r="E624" s="3">
        <f>IFERROR(VLOOKUP(B624,'DA1'!$B$2:$D$999999,3,FALSE),"")</f>
      </c>
      <c r="F624" s="1" t="str">
        <f>IFERROR(VLOOKUP(B624,'SB1'!$A$2:$C$999999,3,FALSE),"")</f>
        <v>503</v>
      </c>
      <c r="G624" s="3" t="e">
        <f t="shared" si="22"/>
        <v>#VALUE!</v>
      </c>
      <c r="H624" s="3" t="e">
        <f t="shared" si="23"/>
        <v>#VALUE!</v>
      </c>
      <c r="I624" s="1">
        <v>1</v>
      </c>
    </row>
    <row r="625" spans="1:9" x14ac:dyDescent="0.25">
      <c r="A625" s="1" t="s">
        <v>14435</v>
      </c>
      <c r="B625" s="1" t="s">
        <v>1693</v>
      </c>
      <c r="C625" s="1" t="str">
        <f>IFERROR(VLOOKUP(B625,'SB1'!$A$2:$B$999999,2,FALSE),"")</f>
        <v>ESPATULA DE GOMA GRANDE</v>
      </c>
      <c r="D625" s="1" t="s">
        <v>14468</v>
      </c>
      <c r="E625" s="3">
        <f>IFERROR(VLOOKUP(B625,'DA1'!$B$2:$D$999999,3,FALSE),"")</f>
      </c>
      <c r="F625" s="1" t="str">
        <f>IFERROR(VLOOKUP(B625,'SB1'!$A$2:$C$999999,3,FALSE),"")</f>
        <v>503</v>
      </c>
      <c r="G625" s="3" t="e">
        <f t="shared" si="22"/>
        <v>#VALUE!</v>
      </c>
      <c r="H625" s="3" t="e">
        <f t="shared" si="23"/>
        <v>#VALUE!</v>
      </c>
      <c r="I625" s="1">
        <v>1</v>
      </c>
    </row>
    <row r="626" spans="1:9" x14ac:dyDescent="0.25">
      <c r="A626" s="1" t="s">
        <v>14435</v>
      </c>
      <c r="B626" s="1" t="s">
        <v>1699</v>
      </c>
      <c r="C626" s="1" t="str">
        <f>IFERROR(VLOOKUP(B626,'SB1'!$A$2:$B$999999,2,FALSE),"")</f>
        <v>PINCEL ROSARPIN FILETEAR CH/R 2</v>
      </c>
      <c r="D626" s="1" t="s">
        <v>14460</v>
      </c>
      <c r="E626" s="3">
        <f>IFERROR(VLOOKUP(B626,'DA1'!$B$2:$D$999999,3,FALSE),"")</f>
      </c>
      <c r="F626" s="1" t="str">
        <f>IFERROR(VLOOKUP(B626,'SB1'!$A$2:$C$999999,3,FALSE),"")</f>
        <v>503</v>
      </c>
      <c r="G626" s="3" t="e">
        <f t="shared" si="22"/>
        <v>#VALUE!</v>
      </c>
      <c r="H626" s="3" t="e">
        <f t="shared" si="23"/>
        <v>#VALUE!</v>
      </c>
      <c r="I626" s="1">
        <v>1</v>
      </c>
    </row>
    <row r="627" spans="1:9" x14ac:dyDescent="0.25">
      <c r="A627" s="1" t="s">
        <v>14435</v>
      </c>
      <c r="B627" s="1" t="s">
        <v>1701</v>
      </c>
      <c r="C627" s="1" t="str">
        <f>IFERROR(VLOOKUP(B627,'SB1'!$A$2:$B$999999,2,FALSE),"")</f>
        <v>PINCEL ROSARPIN FILETEAR CH/R 4</v>
      </c>
      <c r="D627" s="1" t="s">
        <v>14460</v>
      </c>
      <c r="E627" s="3">
        <f>IFERROR(VLOOKUP(B627,'DA1'!$B$2:$D$999999,3,FALSE),"")</f>
      </c>
      <c r="F627" s="1" t="str">
        <f>IFERROR(VLOOKUP(B627,'SB1'!$A$2:$C$999999,3,FALSE),"")</f>
        <v>503</v>
      </c>
      <c r="G627" s="3" t="e">
        <f t="shared" si="22"/>
        <v>#VALUE!</v>
      </c>
      <c r="H627" s="3" t="e">
        <f t="shared" si="23"/>
        <v>#VALUE!</v>
      </c>
      <c r="I627" s="1">
        <v>1</v>
      </c>
    </row>
    <row r="628" spans="1:9" x14ac:dyDescent="0.25">
      <c r="A628" s="1" t="s">
        <v>14435</v>
      </c>
      <c r="B628" s="1" t="s">
        <v>1703</v>
      </c>
      <c r="C628" s="1" t="str">
        <f>IFERROR(VLOOKUP(B628,'SB1'!$A$2:$B$999999,2,FALSE),"")</f>
        <v>PINCEL ROSARPIN FILETEAR CH/R 6</v>
      </c>
      <c r="D628" s="1" t="s">
        <v>14460</v>
      </c>
      <c r="E628" s="3">
        <f>IFERROR(VLOOKUP(B628,'DA1'!$B$2:$D$999999,3,FALSE),"")</f>
      </c>
      <c r="F628" s="1" t="str">
        <f>IFERROR(VLOOKUP(B628,'SB1'!$A$2:$C$999999,3,FALSE),"")</f>
        <v>503</v>
      </c>
      <c r="G628" s="3" t="e">
        <f t="shared" si="22"/>
        <v>#VALUE!</v>
      </c>
      <c r="H628" s="3" t="e">
        <f t="shared" si="23"/>
        <v>#VALUE!</v>
      </c>
      <c r="I628" s="1">
        <v>1</v>
      </c>
    </row>
    <row r="629" spans="1:9" x14ac:dyDescent="0.25">
      <c r="A629" s="1" t="s">
        <v>14435</v>
      </c>
      <c r="B629" s="1" t="s">
        <v>1705</v>
      </c>
      <c r="C629" s="1" t="str">
        <f>IFERROR(VLOOKUP(B629,'SB1'!$A$2:$B$999999,2,FALSE),"")</f>
        <v>PINCEL ROSARPIN FILETEAR CH/R 8</v>
      </c>
      <c r="D629" s="1" t="s">
        <v>14460</v>
      </c>
      <c r="E629" s="3">
        <f>IFERROR(VLOOKUP(B629,'DA1'!$B$2:$D$999999,3,FALSE),"")</f>
      </c>
      <c r="F629" s="1" t="str">
        <f>IFERROR(VLOOKUP(B629,'SB1'!$A$2:$C$999999,3,FALSE),"")</f>
        <v>503</v>
      </c>
      <c r="G629" s="3" t="e">
        <f t="shared" si="22"/>
        <v>#VALUE!</v>
      </c>
      <c r="H629" s="3" t="e">
        <f t="shared" si="23"/>
        <v>#VALUE!</v>
      </c>
      <c r="I629" s="1">
        <v>1</v>
      </c>
    </row>
    <row r="630" spans="1:9" x14ac:dyDescent="0.25">
      <c r="A630" s="1" t="s">
        <v>14435</v>
      </c>
      <c r="B630" s="1" t="s">
        <v>1707</v>
      </c>
      <c r="C630" s="1" t="str">
        <f>IFERROR(VLOOKUP(B630,'SB1'!$A$2:$B$999999,2,FALSE),"")</f>
        <v>PINCEL ROSARPIN FILETEAR CH/R.10</v>
      </c>
      <c r="D630" s="1" t="s">
        <v>14460</v>
      </c>
      <c r="E630" s="3">
        <f>IFERROR(VLOOKUP(B630,'DA1'!$B$2:$D$999999,3,FALSE),"")</f>
      </c>
      <c r="F630" s="1" t="str">
        <f>IFERROR(VLOOKUP(B630,'SB1'!$A$2:$C$999999,3,FALSE),"")</f>
        <v>503</v>
      </c>
      <c r="G630" s="3" t="e">
        <f t="shared" si="22"/>
        <v>#VALUE!</v>
      </c>
      <c r="H630" s="3" t="e">
        <f t="shared" si="23"/>
        <v>#VALUE!</v>
      </c>
      <c r="I630" s="1">
        <v>1</v>
      </c>
    </row>
    <row r="631" spans="1:9" x14ac:dyDescent="0.25">
      <c r="A631" s="1" t="s">
        <v>14435</v>
      </c>
      <c r="B631" s="1" t="s">
        <v>1709</v>
      </c>
      <c r="C631" s="1" t="str">
        <f>IFERROR(VLOOKUP(B631,'SB1'!$A$2:$B$999999,2,FALSE),"")</f>
        <v>PINCEL ROSARPIN FILETEAR CH/R.12</v>
      </c>
      <c r="D631" s="1" t="s">
        <v>14460</v>
      </c>
      <c r="E631" s="3">
        <f>IFERROR(VLOOKUP(B631,'DA1'!$B$2:$D$999999,3,FALSE),"")</f>
      </c>
      <c r="F631" s="1" t="str">
        <f>IFERROR(VLOOKUP(B631,'SB1'!$A$2:$C$999999,3,FALSE),"")</f>
        <v>503</v>
      </c>
      <c r="G631" s="3" t="e">
        <f t="shared" si="22"/>
        <v>#VALUE!</v>
      </c>
      <c r="H631" s="3" t="e">
        <f t="shared" si="23"/>
        <v>#VALUE!</v>
      </c>
      <c r="I631" s="1">
        <v>1</v>
      </c>
    </row>
    <row r="632" spans="1:9" x14ac:dyDescent="0.25">
      <c r="A632" s="1" t="s">
        <v>14435</v>
      </c>
      <c r="B632" s="1" t="s">
        <v>1717</v>
      </c>
      <c r="C632" s="1" t="str">
        <f>IFERROR(VLOOKUP(B632,'SB1'!$A$2:$B$999999,2,FALSE),"")</f>
        <v>PAD APLICADOR PLANO PARA PINTURA (A13M)</v>
      </c>
      <c r="D632" s="1" t="s">
        <v>14436</v>
      </c>
      <c r="E632" s="3">
        <f>IFERROR(VLOOKUP(B632,'DA1'!$B$2:$D$999999,3,FALSE),"")</f>
      </c>
      <c r="F632" s="1" t="str">
        <f>IFERROR(VLOOKUP(B632,'SB1'!$A$2:$C$999999,3,FALSE),"")</f>
        <v>503</v>
      </c>
      <c r="G632" s="3" t="e">
        <f t="shared" si="22"/>
        <v>#VALUE!</v>
      </c>
      <c r="H632" s="3" t="e">
        <f t="shared" si="23"/>
        <v>#VALUE!</v>
      </c>
      <c r="I632" s="1">
        <v>1</v>
      </c>
    </row>
    <row r="633" spans="1:9" x14ac:dyDescent="0.25">
      <c r="A633" s="1" t="s">
        <v>14435</v>
      </c>
      <c r="B633" s="1" t="s">
        <v>1719</v>
      </c>
      <c r="C633" s="1" t="str">
        <f>IFERROR(VLOOKUP(B633,'SB1'!$A$2:$B$999999,2,FALSE),"")</f>
        <v>BASE POLIURETANO 2K 2702 X 0,875</v>
      </c>
      <c r="D633" s="1" t="s">
        <v>14444</v>
      </c>
      <c r="E633" s="3">
        <f>IFERROR(VLOOKUP(B633,'DA1'!$B$2:$D$999999,3,FALSE),"")</f>
      </c>
      <c r="F633" s="1" t="str">
        <f>IFERROR(VLOOKUP(B633,'SB1'!$A$2:$C$999999,3,FALSE),"")</f>
        <v>503</v>
      </c>
      <c r="G633" s="3" t="e">
        <f t="shared" si="22"/>
        <v>#VALUE!</v>
      </c>
      <c r="H633" s="3" t="e">
        <f t="shared" si="23"/>
        <v>#VALUE!</v>
      </c>
      <c r="I633" s="1">
        <v>1</v>
      </c>
    </row>
    <row r="634" spans="1:9" x14ac:dyDescent="0.25">
      <c r="A634" s="1" t="s">
        <v>14435</v>
      </c>
      <c r="B634" s="1" t="s">
        <v>1721</v>
      </c>
      <c r="C634" s="1" t="str">
        <f>IFERROR(VLOOKUP(B634,'SB1'!$A$2:$B$999999,2,FALSE),"")</f>
        <v>CATALIZADOR 2K C-2721 X 0,500</v>
      </c>
      <c r="D634" s="1" t="s">
        <v>14444</v>
      </c>
      <c r="E634" s="3">
        <f>IFERROR(VLOOKUP(B634,'DA1'!$B$2:$D$999999,3,FALSE),"")</f>
      </c>
      <c r="F634" s="1" t="str">
        <f>IFERROR(VLOOKUP(B634,'SB1'!$A$2:$C$999999,3,FALSE),"")</f>
        <v>503</v>
      </c>
      <c r="G634" s="3" t="e">
        <f t="shared" si="22"/>
        <v>#VALUE!</v>
      </c>
      <c r="H634" s="3" t="e">
        <f t="shared" si="23"/>
        <v>#VALUE!</v>
      </c>
      <c r="I634" s="1">
        <v>1</v>
      </c>
    </row>
    <row r="635" spans="1:9" x14ac:dyDescent="0.25">
      <c r="A635" s="1" t="s">
        <v>14435</v>
      </c>
      <c r="B635" s="1" t="s">
        <v>1723</v>
      </c>
      <c r="C635" s="1" t="str">
        <f>IFERROR(VLOOKUP(B635,'SB1'!$A$2:$B$999999,2,FALSE),"")</f>
        <v>CINTA DE PINTOR DOBLE A AZUL (C900) 18MM X 40M</v>
      </c>
      <c r="D635" s="1" t="s">
        <v>14451</v>
      </c>
      <c r="E635" s="3">
        <f>IFERROR(VLOOKUP(B635,'DA1'!$B$2:$D$999999,3,FALSE),"")</f>
      </c>
      <c r="F635" s="1" t="str">
        <f>IFERROR(VLOOKUP(B635,'SB1'!$A$2:$C$999999,3,FALSE),"")</f>
        <v>503</v>
      </c>
      <c r="G635" s="3" t="e">
        <f t="shared" si="22"/>
        <v>#VALUE!</v>
      </c>
      <c r="H635" s="3" t="e">
        <f t="shared" si="23"/>
        <v>#VALUE!</v>
      </c>
      <c r="I635" s="1">
        <v>1</v>
      </c>
    </row>
    <row r="636" spans="1:9" x14ac:dyDescent="0.25">
      <c r="A636" s="1" t="s">
        <v>14435</v>
      </c>
      <c r="B636" s="1" t="s">
        <v>1725</v>
      </c>
      <c r="C636" s="1" t="str">
        <f>IFERROR(VLOOKUP(B636,'SB1'!$A$2:$B$999999,2,FALSE),"")</f>
        <v>LIJA DOBLE A MASTER N 100</v>
      </c>
      <c r="D636" s="1" t="s">
        <v>14451</v>
      </c>
      <c r="E636" s="3">
        <f>IFERROR(VLOOKUP(B636,'DA1'!$B$2:$D$999999,3,FALSE),"")</f>
      </c>
      <c r="F636" s="1" t="str">
        <f>IFERROR(VLOOKUP(B636,'SB1'!$A$2:$C$999999,3,FALSE),"")</f>
        <v>503</v>
      </c>
      <c r="G636" s="3" t="e">
        <f t="shared" si="22"/>
        <v>#VALUE!</v>
      </c>
      <c r="H636" s="3" t="e">
        <f t="shared" si="23"/>
        <v>#VALUE!</v>
      </c>
      <c r="I636" s="1">
        <v>1</v>
      </c>
    </row>
    <row r="637" spans="1:9" x14ac:dyDescent="0.25">
      <c r="A637" s="1" t="s">
        <v>14435</v>
      </c>
      <c r="B637" s="1" t="s">
        <v>1727</v>
      </c>
      <c r="C637" s="1" t="str">
        <f>IFERROR(VLOOKUP(B637,'SB1'!$A$2:$B$999999,2,FALSE),"")</f>
        <v>ESMALTE SINTETICO PLAVICON 3EN1 BRILLANTE AZUL TRAFUL X 20</v>
      </c>
      <c r="D637" s="1" t="s">
        <v>14458</v>
      </c>
      <c r="E637" s="3">
        <f>IFERROR(VLOOKUP(B637,'DA1'!$B$2:$D$999999,3,FALSE),"")</f>
      </c>
      <c r="F637" s="1" t="str">
        <f>IFERROR(VLOOKUP(B637,'SB1'!$A$2:$C$999999,3,FALSE),"")</f>
        <v>503</v>
      </c>
      <c r="G637" s="3" t="e">
        <f t="shared" si="22"/>
        <v>#VALUE!</v>
      </c>
      <c r="H637" s="3" t="e">
        <f t="shared" si="23"/>
        <v>#VALUE!</v>
      </c>
      <c r="I637" s="1">
        <v>1</v>
      </c>
    </row>
    <row r="638" spans="1:9" x14ac:dyDescent="0.25">
      <c r="A638" s="1" t="s">
        <v>14435</v>
      </c>
      <c r="B638" s="1" t="s">
        <v>1731</v>
      </c>
      <c r="C638" s="1" t="str">
        <f>IFERROR(VLOOKUP(B638,'SB1'!$A$2:$B$999999,2,FALSE),"")</f>
        <v>PINCEL ROSARPIN FILETEAR CH/R.18</v>
      </c>
      <c r="D638" s="1" t="s">
        <v>14460</v>
      </c>
      <c r="E638" s="3">
        <f>IFERROR(VLOOKUP(B638,'DA1'!$B$2:$D$999999,3,FALSE),"")</f>
      </c>
      <c r="F638" s="1" t="str">
        <f>IFERROR(VLOOKUP(B638,'SB1'!$A$2:$C$999999,3,FALSE),"")</f>
        <v>503</v>
      </c>
      <c r="G638" s="3" t="e">
        <f t="shared" si="22"/>
        <v>#VALUE!</v>
      </c>
      <c r="H638" s="3" t="e">
        <f t="shared" si="23"/>
        <v>#VALUE!</v>
      </c>
      <c r="I638" s="1">
        <v>1</v>
      </c>
    </row>
    <row r="639" spans="1:9" x14ac:dyDescent="0.25">
      <c r="A639" s="1" t="s">
        <v>14435</v>
      </c>
      <c r="B639" s="1" t="s">
        <v>1733</v>
      </c>
      <c r="C639" s="1" t="str">
        <f>IFERROR(VLOOKUP(B639,'SB1'!$A$2:$B$999999,2,FALSE),"")</f>
        <v>PINTURA PARA PILETA ALBA AL AGUA MATE CELESTE PROFUNDO X 4</v>
      </c>
      <c r="D639" s="1" t="s">
        <v>14441</v>
      </c>
      <c r="E639" s="3">
        <f>IFERROR(VLOOKUP(B639,'DA1'!$B$2:$D$999999,3,FALSE),"")</f>
      </c>
      <c r="F639" s="1" t="str">
        <f>IFERROR(VLOOKUP(B639,'SB1'!$A$2:$C$999999,3,FALSE),"")</f>
        <v>503</v>
      </c>
      <c r="G639" s="3" t="e">
        <f t="shared" si="22"/>
        <v>#VALUE!</v>
      </c>
      <c r="H639" s="3" t="e">
        <f t="shared" si="23"/>
        <v>#VALUE!</v>
      </c>
      <c r="I639" s="1">
        <v>1</v>
      </c>
    </row>
    <row r="640" spans="1:9" x14ac:dyDescent="0.25">
      <c r="A640" s="1" t="s">
        <v>14435</v>
      </c>
      <c r="B640" s="1" t="s">
        <v>1735</v>
      </c>
      <c r="C640" s="1" t="str">
        <f>IFERROR(VLOOKUP(B640,'SB1'!$A$2:$B$999999,2,FALSE),"")</f>
        <v>ESMALTE SINTETICO PLAVICON 3EN1 BRILLANTE AZULEJO X  0,500</v>
      </c>
      <c r="D640" s="1" t="s">
        <v>14439</v>
      </c>
      <c r="E640" s="3">
        <f>IFERROR(VLOOKUP(B640,'DA1'!$B$2:$D$999999,3,FALSE),"")</f>
      </c>
      <c r="F640" s="1" t="str">
        <f>IFERROR(VLOOKUP(B640,'SB1'!$A$2:$C$999999,3,FALSE),"")</f>
        <v>503</v>
      </c>
      <c r="G640" s="3" t="e">
        <f t="shared" si="22"/>
        <v>#VALUE!</v>
      </c>
      <c r="H640" s="3" t="e">
        <f t="shared" si="23"/>
        <v>#VALUE!</v>
      </c>
      <c r="I640" s="1">
        <v>1</v>
      </c>
    </row>
    <row r="641" spans="1:9" x14ac:dyDescent="0.25">
      <c r="A641" s="1" t="s">
        <v>14435</v>
      </c>
      <c r="B641" s="1" t="s">
        <v>1737</v>
      </c>
      <c r="C641" s="1" t="str">
        <f>IFERROR(VLOOKUP(B641,'SB1'!$A$2:$B$999999,2,FALSE),"")</f>
        <v>AUTOPOLISH COLORIN AUTOKLIN LPU X 0,900</v>
      </c>
      <c r="D641" s="1" t="s">
        <v>14438</v>
      </c>
      <c r="E641" s="3">
        <f>IFERROR(VLOOKUP(B641,'DA1'!$B$2:$D$999999,3,FALSE),"")</f>
      </c>
      <c r="F641" s="1" t="str">
        <f>IFERROR(VLOOKUP(B641,'SB1'!$A$2:$C$999999,3,FALSE),"")</f>
        <v>503</v>
      </c>
      <c r="G641" s="3" t="e">
        <f t="shared" si="22"/>
        <v>#VALUE!</v>
      </c>
      <c r="H641" s="3" t="e">
        <f t="shared" si="23"/>
        <v>#VALUE!</v>
      </c>
      <c r="I641" s="1">
        <v>1</v>
      </c>
    </row>
    <row r="642" spans="1:9" x14ac:dyDescent="0.25">
      <c r="A642" s="1" t="s">
        <v>14435</v>
      </c>
      <c r="B642" s="1" t="s">
        <v>1739</v>
      </c>
      <c r="C642" s="1" t="str">
        <f>IFERROR(VLOOKUP(B642,'SB1'!$A$2:$B$999999,2,FALSE),"")</f>
        <v>CINTA DE PINTOR DOBLE A AZUL (C900) 24MM X 40M</v>
      </c>
      <c r="D642" s="1" t="s">
        <v>14451</v>
      </c>
      <c r="E642" s="3">
        <f>IFERROR(VLOOKUP(B642,'DA1'!$B$2:$D$999999,3,FALSE),"")</f>
      </c>
      <c r="F642" s="1" t="str">
        <f>IFERROR(VLOOKUP(B642,'SB1'!$A$2:$C$999999,3,FALSE),"")</f>
        <v>503</v>
      </c>
      <c r="G642" s="3" t="e">
        <f t="shared" si="22"/>
        <v>#VALUE!</v>
      </c>
      <c r="H642" s="3" t="e">
        <f t="shared" si="23"/>
        <v>#VALUE!</v>
      </c>
      <c r="I642" s="1">
        <v>1</v>
      </c>
    </row>
    <row r="643" spans="1:9" x14ac:dyDescent="0.25">
      <c r="A643" s="1" t="s">
        <v>14435</v>
      </c>
      <c r="B643" s="1" t="s">
        <v>1741</v>
      </c>
      <c r="C643" s="1" t="str">
        <f>IFERROR(VLOOKUP(B643,'SB1'!$A$2:$B$999999,2,FALSE),"")</f>
        <v>CINTA DE PINTOR DOBLE A AZUL (C900) 36MM X 40M</v>
      </c>
      <c r="D643" s="1" t="s">
        <v>14451</v>
      </c>
      <c r="E643" s="3">
        <f>IFERROR(VLOOKUP(B643,'DA1'!$B$2:$D$999999,3,FALSE),"")</f>
      </c>
      <c r="F643" s="1" t="str">
        <f>IFERROR(VLOOKUP(B643,'SB1'!$A$2:$C$999999,3,FALSE),"")</f>
        <v>503</v>
      </c>
      <c r="G643" s="3" t="e">
        <f t="shared" ref="G643:G706" si="24">E643*1.04</f>
        <v>#VALUE!</v>
      </c>
      <c r="H643" s="3" t="e">
        <f t="shared" si="23"/>
        <v>#VALUE!</v>
      </c>
      <c r="I643" s="1">
        <v>1</v>
      </c>
    </row>
    <row r="644" spans="1:9" x14ac:dyDescent="0.25">
      <c r="A644" s="1" t="s">
        <v>14435</v>
      </c>
      <c r="B644" s="1" t="s">
        <v>1743</v>
      </c>
      <c r="C644" s="1" t="str">
        <f>IFERROR(VLOOKUP(B644,'SB1'!$A$2:$B$999999,2,FALSE),"")</f>
        <v>ESMALTE SINTETICO PLAVICON 3EN1 BRILLANTE AZULEJO X  1</v>
      </c>
      <c r="D644" s="1" t="s">
        <v>14439</v>
      </c>
      <c r="E644" s="3">
        <f>IFERROR(VLOOKUP(B644,'DA1'!$B$2:$D$999999,3,FALSE),"")</f>
      </c>
      <c r="F644" s="1" t="str">
        <f>IFERROR(VLOOKUP(B644,'SB1'!$A$2:$C$999999,3,FALSE),"")</f>
        <v>503</v>
      </c>
      <c r="G644" s="3" t="e">
        <f t="shared" si="24"/>
        <v>#VALUE!</v>
      </c>
      <c r="H644" s="3" t="e">
        <f t="shared" si="23"/>
        <v>#VALUE!</v>
      </c>
      <c r="I644" s="1">
        <v>1</v>
      </c>
    </row>
    <row r="645" spans="1:9" x14ac:dyDescent="0.25">
      <c r="A645" s="1" t="s">
        <v>14435</v>
      </c>
      <c r="B645" s="1" t="s">
        <v>1745</v>
      </c>
      <c r="C645" s="1" t="str">
        <f>IFERROR(VLOOKUP(B645,'SB1'!$A$2:$B$999999,2,FALSE),"")</f>
        <v>ESMALTE SINTETICO PLAVICON 3EN1 BRILLANTE AZULEJO X  4</v>
      </c>
      <c r="D645" s="1" t="s">
        <v>14439</v>
      </c>
      <c r="E645" s="3">
        <f>IFERROR(VLOOKUP(B645,'DA1'!$B$2:$D$999999,3,FALSE),"")</f>
      </c>
      <c r="F645" s="1" t="str">
        <f>IFERROR(VLOOKUP(B645,'SB1'!$A$2:$C$999999,3,FALSE),"")</f>
        <v>503</v>
      </c>
      <c r="G645" s="3" t="e">
        <f t="shared" si="24"/>
        <v>#VALUE!</v>
      </c>
      <c r="H645" s="3" t="e">
        <f t="shared" si="23"/>
        <v>#VALUE!</v>
      </c>
      <c r="I645" s="1">
        <v>1</v>
      </c>
    </row>
    <row r="646" spans="1:9" x14ac:dyDescent="0.25">
      <c r="A646" s="1" t="s">
        <v>14435</v>
      </c>
      <c r="B646" s="1" t="s">
        <v>1749</v>
      </c>
      <c r="C646" s="1" t="str">
        <f>IFERROR(VLOOKUP(B646,'SB1'!$A$2:$B$999999,2,FALSE),"")</f>
        <v>LUBRICANTE ANTIOXIDANTE WD-40 X  220</v>
      </c>
      <c r="D646" s="1" t="s">
        <v>14459</v>
      </c>
      <c r="E646" s="3">
        <f>IFERROR(VLOOKUP(B646,'DA1'!$B$2:$D$999999,3,FALSE),"")</f>
      </c>
      <c r="F646" s="1" t="str">
        <f>IFERROR(VLOOKUP(B646,'SB1'!$A$2:$C$999999,3,FALSE),"")</f>
        <v>503</v>
      </c>
      <c r="G646" s="3" t="e">
        <f t="shared" si="24"/>
        <v>#VALUE!</v>
      </c>
      <c r="H646" s="3" t="e">
        <f t="shared" si="23"/>
        <v>#VALUE!</v>
      </c>
      <c r="I646" s="1">
        <v>1</v>
      </c>
    </row>
    <row r="647" spans="1:9" x14ac:dyDescent="0.25">
      <c r="A647" s="1" t="s">
        <v>14435</v>
      </c>
      <c r="B647" s="1" t="s">
        <v>1751</v>
      </c>
      <c r="C647" s="1" t="str">
        <f>IFERROR(VLOOKUP(B647,'SB1'!$A$2:$B$999999,2,FALSE),"")</f>
        <v>CINTA DE PINTOR DOBLE A AZUL (C900) 48MM X 40M</v>
      </c>
      <c r="D647" s="1" t="s">
        <v>14451</v>
      </c>
      <c r="E647" s="3">
        <f>IFERROR(VLOOKUP(B647,'DA1'!$B$2:$D$999999,3,FALSE),"")</f>
      </c>
      <c r="F647" s="1" t="str">
        <f>IFERROR(VLOOKUP(B647,'SB1'!$A$2:$C$999999,3,FALSE),"")</f>
        <v>503</v>
      </c>
      <c r="G647" s="3" t="e">
        <f t="shared" si="24"/>
        <v>#VALUE!</v>
      </c>
      <c r="H647" s="3" t="e">
        <f t="shared" si="23"/>
        <v>#VALUE!</v>
      </c>
      <c r="I647" s="1">
        <v>1</v>
      </c>
    </row>
    <row r="648" spans="1:9" x14ac:dyDescent="0.25">
      <c r="A648" s="1" t="s">
        <v>14435</v>
      </c>
      <c r="B648" s="1" t="s">
        <v>1755</v>
      </c>
      <c r="C648" s="1" t="str">
        <f>IFERROR(VLOOKUP(B648,'SB1'!$A$2:$B$999999,2,FALSE),"")</f>
        <v>AUTOPOLISH COLORIN AUTOKLIN CRISTALES C/BOMBA X 0,500</v>
      </c>
      <c r="D648" s="1" t="s">
        <v>14438</v>
      </c>
      <c r="E648" s="3">
        <f>IFERROR(VLOOKUP(B648,'DA1'!$B$2:$D$999999,3,FALSE),"")</f>
      </c>
      <c r="F648" s="1" t="str">
        <f>IFERROR(VLOOKUP(B648,'SB1'!$A$2:$C$999999,3,FALSE),"")</f>
        <v>503</v>
      </c>
      <c r="G648" s="3" t="e">
        <f t="shared" si="24"/>
        <v>#VALUE!</v>
      </c>
      <c r="H648" s="3" t="e">
        <f t="shared" si="23"/>
        <v>#VALUE!</v>
      </c>
      <c r="I648" s="1">
        <v>1</v>
      </c>
    </row>
    <row r="649" spans="1:9" x14ac:dyDescent="0.25">
      <c r="A649" s="1" t="s">
        <v>14435</v>
      </c>
      <c r="B649" s="1" t="s">
        <v>1757</v>
      </c>
      <c r="C649" s="1" t="str">
        <f>IFERROR(VLOOKUP(B649,'SB1'!$A$2:$B$999999,2,FALSE),"")</f>
        <v>AUTOPOLISH COLORIN SHAMPOO X 0,500</v>
      </c>
      <c r="D649" s="1" t="s">
        <v>14438</v>
      </c>
      <c r="E649" s="3">
        <f>IFERROR(VLOOKUP(B649,'DA1'!$B$2:$D$999999,3,FALSE),"")</f>
      </c>
      <c r="F649" s="1" t="str">
        <f>IFERROR(VLOOKUP(B649,'SB1'!$A$2:$C$999999,3,FALSE),"")</f>
        <v>503</v>
      </c>
      <c r="G649" s="3" t="e">
        <f t="shared" si="24"/>
        <v>#VALUE!</v>
      </c>
      <c r="H649" s="3" t="e">
        <f t="shared" si="23"/>
        <v>#VALUE!</v>
      </c>
      <c r="I649" s="1">
        <v>1</v>
      </c>
    </row>
    <row r="650" spans="1:9" x14ac:dyDescent="0.25">
      <c r="A650" s="1" t="s">
        <v>14435</v>
      </c>
      <c r="B650" s="1" t="s">
        <v>1759</v>
      </c>
      <c r="C650" s="1" t="str">
        <f>IFERROR(VLOOKUP(B650,'SB1'!$A$2:$B$999999,2,FALSE),"")</f>
        <v>ESMALTE SINTETICO PLAVICON 3EN1 BRILLANTE CEDRO X  0,500</v>
      </c>
      <c r="D650" s="1" t="s">
        <v>14458</v>
      </c>
      <c r="E650" s="3">
        <f>IFERROR(VLOOKUP(B650,'DA1'!$B$2:$D$999999,3,FALSE),"")</f>
      </c>
      <c r="F650" s="1" t="str">
        <f>IFERROR(VLOOKUP(B650,'SB1'!$A$2:$C$999999,3,FALSE),"")</f>
        <v>503</v>
      </c>
      <c r="G650" s="3" t="e">
        <f t="shared" si="24"/>
        <v>#VALUE!</v>
      </c>
      <c r="H650" s="3" t="e">
        <f t="shared" si="23"/>
        <v>#VALUE!</v>
      </c>
      <c r="I650" s="1">
        <v>1</v>
      </c>
    </row>
    <row r="651" spans="1:9" x14ac:dyDescent="0.25">
      <c r="A651" s="1" t="s">
        <v>14435</v>
      </c>
      <c r="B651" s="1" t="s">
        <v>1761</v>
      </c>
      <c r="C651" s="1" t="str">
        <f>IFERROR(VLOOKUP(B651,'SB1'!$A$2:$B$999999,2,FALSE),"")</f>
        <v>ESMALTE SINTETICO PLAVICON 3EN1 BRILLANTE CEDRO X  1</v>
      </c>
      <c r="D651" s="1" t="s">
        <v>14458</v>
      </c>
      <c r="E651" s="3">
        <f>IFERROR(VLOOKUP(B651,'DA1'!$B$2:$D$999999,3,FALSE),"")</f>
      </c>
      <c r="F651" s="1" t="str">
        <f>IFERROR(VLOOKUP(B651,'SB1'!$A$2:$C$999999,3,FALSE),"")</f>
        <v>503</v>
      </c>
      <c r="G651" s="3" t="e">
        <f t="shared" si="24"/>
        <v>#VALUE!</v>
      </c>
      <c r="H651" s="3" t="e">
        <f t="shared" si="23"/>
        <v>#VALUE!</v>
      </c>
      <c r="I651" s="1">
        <v>1</v>
      </c>
    </row>
    <row r="652" spans="1:9" x14ac:dyDescent="0.25">
      <c r="A652" s="1" t="s">
        <v>14435</v>
      </c>
      <c r="B652" s="1" t="s">
        <v>1763</v>
      </c>
      <c r="C652" s="1" t="str">
        <f>IFERROR(VLOOKUP(B652,'SB1'!$A$2:$B$999999,2,FALSE),"")</f>
        <v>THINNER DIXILINA ORO E X  1</v>
      </c>
      <c r="D652" s="1" t="s">
        <v>14477</v>
      </c>
      <c r="E652" s="3">
        <f>IFERROR(VLOOKUP(B652,'DA1'!$B$2:$D$999999,3,FALSE),"")</f>
      </c>
      <c r="F652" s="1" t="str">
        <f>IFERROR(VLOOKUP(B652,'SB1'!$A$2:$C$999999,3,FALSE),"")</f>
        <v>503</v>
      </c>
      <c r="G652" s="3" t="e">
        <f t="shared" si="24"/>
        <v>#VALUE!</v>
      </c>
      <c r="H652" s="3" t="e">
        <f t="shared" si="23"/>
        <v>#VALUE!</v>
      </c>
      <c r="I652" s="1">
        <v>1</v>
      </c>
    </row>
    <row r="653" spans="1:9" x14ac:dyDescent="0.25">
      <c r="A653" s="1" t="s">
        <v>14435</v>
      </c>
      <c r="B653" s="1" t="s">
        <v>1765</v>
      </c>
      <c r="C653" s="1" t="str">
        <f>IFERROR(VLOOKUP(B653,'SB1'!$A$2:$B$999999,2,FALSE),"")</f>
        <v>ESMALTE SINTETICO PLAVICON 3EN1 BRILLANTE CEDRO X  4</v>
      </c>
      <c r="D653" s="1" t="s">
        <v>14458</v>
      </c>
      <c r="E653" s="3">
        <f>IFERROR(VLOOKUP(B653,'DA1'!$B$2:$D$999999,3,FALSE),"")</f>
      </c>
      <c r="F653" s="1" t="str">
        <f>IFERROR(VLOOKUP(B653,'SB1'!$A$2:$C$999999,3,FALSE),"")</f>
        <v>503</v>
      </c>
      <c r="G653" s="3" t="e">
        <f t="shared" si="24"/>
        <v>#VALUE!</v>
      </c>
      <c r="H653" s="3" t="e">
        <f t="shared" si="23"/>
        <v>#VALUE!</v>
      </c>
      <c r="I653" s="1">
        <v>1</v>
      </c>
    </row>
    <row r="654" spans="1:9" x14ac:dyDescent="0.25">
      <c r="A654" s="1" t="s">
        <v>14435</v>
      </c>
      <c r="B654" s="1" t="s">
        <v>1767</v>
      </c>
      <c r="C654" s="1" t="str">
        <f>IFERROR(VLOOKUP(B654,'SB1'!$A$2:$B$999999,2,FALSE),"")</f>
        <v>AUTOPOLISH COLORIN EXPRESS X 0,450</v>
      </c>
      <c r="D654" s="1" t="s">
        <v>14438</v>
      </c>
      <c r="E654" s="3">
        <f>IFERROR(VLOOKUP(B654,'DA1'!$B$2:$D$999999,3,FALSE),"")</f>
      </c>
      <c r="F654" s="1" t="str">
        <f>IFERROR(VLOOKUP(B654,'SB1'!$A$2:$C$999999,3,FALSE),"")</f>
        <v>503</v>
      </c>
      <c r="G654" s="3" t="e">
        <f t="shared" si="24"/>
        <v>#VALUE!</v>
      </c>
      <c r="H654" s="3" t="e">
        <f t="shared" si="23"/>
        <v>#VALUE!</v>
      </c>
      <c r="I654" s="1">
        <v>1</v>
      </c>
    </row>
    <row r="655" spans="1:9" x14ac:dyDescent="0.25">
      <c r="A655" s="1" t="s">
        <v>14435</v>
      </c>
      <c r="B655" s="1" t="s">
        <v>1769</v>
      </c>
      <c r="C655" s="1" t="str">
        <f>IFERROR(VLOOKUP(B655,'SB1'!$A$2:$B$999999,2,FALSE),"")</f>
        <v>AUTOPOLISH COLORIN SILICONA C/GAT.450</v>
      </c>
      <c r="D655" s="1" t="s">
        <v>14438</v>
      </c>
      <c r="E655" s="3">
        <f>IFERROR(VLOOKUP(B655,'DA1'!$B$2:$D$999999,3,FALSE),"")</f>
      </c>
      <c r="F655" s="1" t="str">
        <f>IFERROR(VLOOKUP(B655,'SB1'!$A$2:$C$999999,3,FALSE),"")</f>
        <v>503</v>
      </c>
      <c r="G655" s="3" t="e">
        <f t="shared" si="24"/>
        <v>#VALUE!</v>
      </c>
      <c r="H655" s="3" t="e">
        <f t="shared" si="23"/>
        <v>#VALUE!</v>
      </c>
      <c r="I655" s="1">
        <v>1</v>
      </c>
    </row>
    <row r="656" spans="1:9" x14ac:dyDescent="0.25">
      <c r="A656" s="1" t="s">
        <v>14435</v>
      </c>
      <c r="B656" s="1" t="s">
        <v>1775</v>
      </c>
      <c r="C656" s="1" t="str">
        <f>IFERROR(VLOOKUP(B656,'SB1'!$A$2:$B$999999,2,FALSE),"")</f>
        <v>DILUYENTE PARA CEMENTO DE CONTACTO X 200</v>
      </c>
      <c r="D656" s="1" t="s">
        <v>14472</v>
      </c>
      <c r="E656" s="3">
        <f>IFERROR(VLOOKUP(B656,'DA1'!$B$2:$D$999999,3,FALSE),"")</f>
      </c>
      <c r="F656" s="1" t="str">
        <f>IFERROR(VLOOKUP(B656,'SB1'!$A$2:$C$999999,3,FALSE),"")</f>
        <v>503</v>
      </c>
      <c r="G656" s="3" t="e">
        <f t="shared" si="24"/>
        <v>#VALUE!</v>
      </c>
      <c r="H656" s="3" t="e">
        <f t="shared" si="23"/>
        <v>#VALUE!</v>
      </c>
      <c r="I656" s="1">
        <v>1</v>
      </c>
    </row>
    <row r="657" spans="1:9" x14ac:dyDescent="0.25">
      <c r="A657" s="1" t="s">
        <v>14435</v>
      </c>
      <c r="B657" s="1" t="s">
        <v>1777</v>
      </c>
      <c r="C657" s="1" t="str">
        <f>IFERROR(VLOOKUP(B657,'SB1'!$A$2:$B$999999,2,FALSE),"")</f>
        <v>FILTRO CANE C.10</v>
      </c>
      <c r="D657" s="1" t="s">
        <v>14474</v>
      </c>
      <c r="E657" s="3">
        <f>IFERROR(VLOOKUP(B657,'DA1'!$B$2:$D$999999,3,FALSE),"")</f>
      </c>
      <c r="F657" s="1" t="str">
        <f>IFERROR(VLOOKUP(B657,'SB1'!$A$2:$C$999999,3,FALSE),"")</f>
        <v>501</v>
      </c>
      <c r="G657" s="3" t="e">
        <f t="shared" si="24"/>
        <v>#VALUE!</v>
      </c>
      <c r="H657" s="3" t="e">
        <f>G657*1.105</f>
        <v>#VALUE!</v>
      </c>
      <c r="I657" s="1">
        <v>1</v>
      </c>
    </row>
    <row r="658" spans="1:9" x14ac:dyDescent="0.25">
      <c r="A658" s="1" t="s">
        <v>14435</v>
      </c>
      <c r="B658" s="1" t="s">
        <v>1781</v>
      </c>
      <c r="C658" s="1" t="str">
        <f>IFERROR(VLOOKUP(B658,'SB1'!$A$2:$B$999999,2,FALSE),"")</f>
        <v>ESMALTE SINTETICO PLAVICON 3EN1 BRILLANTE CEDRO X 20</v>
      </c>
      <c r="D658" s="1" t="s">
        <v>14458</v>
      </c>
      <c r="E658" s="3">
        <f>IFERROR(VLOOKUP(B658,'DA1'!$B$2:$D$999999,3,FALSE),"")</f>
      </c>
      <c r="F658" s="1" t="str">
        <f>IFERROR(VLOOKUP(B658,'SB1'!$A$2:$C$999999,3,FALSE),"")</f>
        <v>503</v>
      </c>
      <c r="G658" s="3" t="e">
        <f t="shared" si="24"/>
        <v>#VALUE!</v>
      </c>
      <c r="H658" s="3" t="e">
        <f t="shared" ref="H658:H673" si="25">G658*1.21</f>
        <v>#VALUE!</v>
      </c>
      <c r="I658" s="1">
        <v>1</v>
      </c>
    </row>
    <row r="659" spans="1:9" x14ac:dyDescent="0.25">
      <c r="A659" s="1" t="s">
        <v>14435</v>
      </c>
      <c r="B659" s="1" t="s">
        <v>1785</v>
      </c>
      <c r="C659" s="1" t="str">
        <f>IFERROR(VLOOKUP(B659,'SB1'!$A$2:$B$999999,2,FALSE),"")</f>
        <v>CINTA AUTOMOTOR DOBLE A PREMIUM (C995) 18MM X 40M</v>
      </c>
      <c r="D659" s="1" t="s">
        <v>14451</v>
      </c>
      <c r="E659" s="3">
        <f>IFERROR(VLOOKUP(B659,'DA1'!$B$2:$D$999999,3,FALSE),"")</f>
      </c>
      <c r="F659" s="1" t="str">
        <f>IFERROR(VLOOKUP(B659,'SB1'!$A$2:$C$999999,3,FALSE),"")</f>
        <v>503</v>
      </c>
      <c r="G659" s="3" t="e">
        <f t="shared" si="24"/>
        <v>#VALUE!</v>
      </c>
      <c r="H659" s="3" t="e">
        <f t="shared" si="25"/>
        <v>#VALUE!</v>
      </c>
      <c r="I659" s="1">
        <v>1</v>
      </c>
    </row>
    <row r="660" spans="1:9" x14ac:dyDescent="0.25">
      <c r="A660" s="1" t="s">
        <v>14435</v>
      </c>
      <c r="B660" s="1" t="s">
        <v>1787</v>
      </c>
      <c r="C660" s="1" t="str">
        <f>IFERROR(VLOOKUP(B660,'SB1'!$A$2:$B$999999,2,FALSE),"")</f>
        <v>CINTA AUTOMOTOR DOBLE A PREMIUM (C995) 48MM X 40M</v>
      </c>
      <c r="D660" s="1" t="s">
        <v>14451</v>
      </c>
      <c r="E660" s="3">
        <f>IFERROR(VLOOKUP(B660,'DA1'!$B$2:$D$999999,3,FALSE),"")</f>
      </c>
      <c r="F660" s="1" t="str">
        <f>IFERROR(VLOOKUP(B660,'SB1'!$A$2:$C$999999,3,FALSE),"")</f>
        <v>503</v>
      </c>
      <c r="G660" s="3" t="e">
        <f t="shared" si="24"/>
        <v>#VALUE!</v>
      </c>
      <c r="H660" s="3" t="e">
        <f t="shared" si="25"/>
        <v>#VALUE!</v>
      </c>
      <c r="I660" s="1">
        <v>1</v>
      </c>
    </row>
    <row r="661" spans="1:9" x14ac:dyDescent="0.25">
      <c r="A661" s="1" t="s">
        <v>14435</v>
      </c>
      <c r="B661" s="1" t="s">
        <v>1791</v>
      </c>
      <c r="C661" s="1" t="str">
        <f>IFERROR(VLOOKUP(B661,'SB1'!$A$2:$B$999999,2,FALSE),"")</f>
        <v>GUANTE NITRILO SOFT NEGRO S/P #L MEDIGLOVE X 100</v>
      </c>
      <c r="D661" s="1" t="s">
        <v>14442</v>
      </c>
      <c r="E661" s="3">
        <f>IFERROR(VLOOKUP(B661,'DA1'!$B$2:$D$999999,3,FALSE),"")</f>
      </c>
      <c r="F661" s="1" t="str">
        <f>IFERROR(VLOOKUP(B661,'SB1'!$A$2:$C$999999,3,FALSE),"")</f>
        <v>503</v>
      </c>
      <c r="G661" s="3" t="e">
        <f t="shared" si="24"/>
        <v>#VALUE!</v>
      </c>
      <c r="H661" s="3" t="e">
        <f t="shared" si="25"/>
        <v>#VALUE!</v>
      </c>
      <c r="I661" s="1">
        <v>1</v>
      </c>
    </row>
    <row r="662" spans="1:9" x14ac:dyDescent="0.25">
      <c r="A662" s="1" t="s">
        <v>14435</v>
      </c>
      <c r="B662" s="1" t="s">
        <v>1793</v>
      </c>
      <c r="C662" s="1" t="str">
        <f>IFERROR(VLOOKUP(B662,'SB1'!$A$2:$B$999999,2,FALSE),"")</f>
        <v>ESMALTE SINTETICO PLAVICON 3EN1 BRILLANTE TABACO X  0,500</v>
      </c>
      <c r="D662" s="1" t="s">
        <v>14458</v>
      </c>
      <c r="E662" s="3">
        <f>IFERROR(VLOOKUP(B662,'DA1'!$B$2:$D$999999,3,FALSE),"")</f>
      </c>
      <c r="F662" s="1" t="str">
        <f>IFERROR(VLOOKUP(B662,'SB1'!$A$2:$C$999999,3,FALSE),"")</f>
        <v>503</v>
      </c>
      <c r="G662" s="3" t="e">
        <f t="shared" si="24"/>
        <v>#VALUE!</v>
      </c>
      <c r="H662" s="3" t="e">
        <f t="shared" si="25"/>
        <v>#VALUE!</v>
      </c>
      <c r="I662" s="1">
        <v>1</v>
      </c>
    </row>
    <row r="663" spans="1:9" x14ac:dyDescent="0.25">
      <c r="A663" s="1" t="s">
        <v>14435</v>
      </c>
      <c r="B663" s="1" t="s">
        <v>1795</v>
      </c>
      <c r="C663" s="1" t="str">
        <f>IFERROR(VLOOKUP(B663,'SB1'!$A$2:$B$999999,2,FALSE),"")</f>
        <v>ESPONJA ABRASIVA DOBLE A SIMPLE 115X140X5 #180</v>
      </c>
      <c r="D663" s="1" t="s">
        <v>14451</v>
      </c>
      <c r="E663" s="3">
        <f>IFERROR(VLOOKUP(B663,'DA1'!$B$2:$D$999999,3,FALSE),"")</f>
      </c>
      <c r="F663" s="1" t="str">
        <f>IFERROR(VLOOKUP(B663,'SB1'!$A$2:$C$999999,3,FALSE),"")</f>
        <v>503</v>
      </c>
      <c r="G663" s="3" t="e">
        <f t="shared" si="24"/>
        <v>#VALUE!</v>
      </c>
      <c r="H663" s="3" t="e">
        <f t="shared" si="25"/>
        <v>#VALUE!</v>
      </c>
      <c r="I663" s="1">
        <v>1</v>
      </c>
    </row>
    <row r="664" spans="1:9" x14ac:dyDescent="0.25">
      <c r="A664" s="1" t="s">
        <v>14435</v>
      </c>
      <c r="B664" s="1" t="s">
        <v>1797</v>
      </c>
      <c r="C664" s="1" t="str">
        <f>IFERROR(VLOOKUP(B664,'SB1'!$A$2:$B$999999,2,FALSE),"")</f>
        <v>ESPONJA ABRASIVA DOBLE A SIMPLE 115X140X5 #100</v>
      </c>
      <c r="D664" s="1" t="s">
        <v>14451</v>
      </c>
      <c r="E664" s="3">
        <f>IFERROR(VLOOKUP(B664,'DA1'!$B$2:$D$999999,3,FALSE),"")</f>
      </c>
      <c r="F664" s="1" t="str">
        <f>IFERROR(VLOOKUP(B664,'SB1'!$A$2:$C$999999,3,FALSE),"")</f>
        <v>503</v>
      </c>
      <c r="G664" s="3" t="e">
        <f t="shared" si="24"/>
        <v>#VALUE!</v>
      </c>
      <c r="H664" s="3" t="e">
        <f t="shared" si="25"/>
        <v>#VALUE!</v>
      </c>
      <c r="I664" s="1">
        <v>1</v>
      </c>
    </row>
    <row r="665" spans="1:9" x14ac:dyDescent="0.25">
      <c r="A665" s="1" t="s">
        <v>14435</v>
      </c>
      <c r="B665" s="1" t="s">
        <v>1799</v>
      </c>
      <c r="C665" s="1" t="str">
        <f>IFERROR(VLOOKUP(B665,'SB1'!$A$2:$B$999999,2,FALSE),"")</f>
        <v>ESPONJA ABRASIVA DOBLE A SIMPLE 115X140X5 # 60</v>
      </c>
      <c r="D665" s="1" t="s">
        <v>14451</v>
      </c>
      <c r="E665" s="3">
        <f>IFERROR(VLOOKUP(B665,'DA1'!$B$2:$D$999999,3,FALSE),"")</f>
      </c>
      <c r="F665" s="1" t="str">
        <f>IFERROR(VLOOKUP(B665,'SB1'!$A$2:$C$999999,3,FALSE),"")</f>
        <v>503</v>
      </c>
      <c r="G665" s="3" t="e">
        <f t="shared" si="24"/>
        <v>#VALUE!</v>
      </c>
      <c r="H665" s="3" t="e">
        <f t="shared" si="25"/>
        <v>#VALUE!</v>
      </c>
      <c r="I665" s="1">
        <v>1</v>
      </c>
    </row>
    <row r="666" spans="1:9" x14ac:dyDescent="0.25">
      <c r="A666" s="1" t="s">
        <v>14435</v>
      </c>
      <c r="B666" s="1" t="s">
        <v>1801</v>
      </c>
      <c r="C666" s="1" t="str">
        <f>IFERROR(VLOOKUP(B666,'SB1'!$A$2:$B$999999,2,FALSE),"")</f>
        <v>ESPONJA ABRASIVA DOBLE A SIMPLE 115X140X5 #280</v>
      </c>
      <c r="D666" s="1" t="s">
        <v>14451</v>
      </c>
      <c r="E666" s="3">
        <f>IFERROR(VLOOKUP(B666,'DA1'!$B$2:$D$999999,3,FALSE),"")</f>
      </c>
      <c r="F666" s="1" t="str">
        <f>IFERROR(VLOOKUP(B666,'SB1'!$A$2:$C$999999,3,FALSE),"")</f>
        <v>503</v>
      </c>
      <c r="G666" s="3" t="e">
        <f t="shared" si="24"/>
        <v>#VALUE!</v>
      </c>
      <c r="H666" s="3" t="e">
        <f t="shared" si="25"/>
        <v>#VALUE!</v>
      </c>
      <c r="I666" s="1">
        <v>1</v>
      </c>
    </row>
    <row r="667" spans="1:9" x14ac:dyDescent="0.25">
      <c r="A667" s="1" t="s">
        <v>14435</v>
      </c>
      <c r="B667" s="1" t="s">
        <v>1807</v>
      </c>
      <c r="C667" s="1" t="str">
        <f>IFERROR(VLOOKUP(B667,'SB1'!$A$2:$B$999999,2,FALSE),"")</f>
        <v>V51.04 BARNIZ BI COMPONENTE ACS X 0.750</v>
      </c>
      <c r="D667" s="1" t="s">
        <v>14454</v>
      </c>
      <c r="E667" s="3">
        <f>IFERROR(VLOOKUP(B667,'DA1'!$B$2:$D$999999,3,FALSE),"")</f>
      </c>
      <c r="F667" s="1" t="str">
        <f>IFERROR(VLOOKUP(B667,'SB1'!$A$2:$C$999999,3,FALSE),"")</f>
        <v>503</v>
      </c>
      <c r="G667" s="3" t="e">
        <f t="shared" si="24"/>
        <v>#VALUE!</v>
      </c>
      <c r="H667" s="3" t="e">
        <f t="shared" si="25"/>
        <v>#VALUE!</v>
      </c>
      <c r="I667" s="1">
        <v>3</v>
      </c>
    </row>
    <row r="668" spans="1:9" x14ac:dyDescent="0.25">
      <c r="A668" s="1" t="s">
        <v>14435</v>
      </c>
      <c r="B668" s="1" t="s">
        <v>1809</v>
      </c>
      <c r="C668" s="1" t="str">
        <f>IFERROR(VLOOKUP(B668,'SB1'!$A$2:$B$999999,2,FALSE),"")</f>
        <v>SOLDURA PLASTICA POXIPOL GRIS X 700</v>
      </c>
      <c r="D668" s="1" t="s">
        <v>14459</v>
      </c>
      <c r="E668" s="3">
        <f>IFERROR(VLOOKUP(B668,'DA1'!$B$2:$D$999999,3,FALSE),"")</f>
      </c>
      <c r="F668" s="1" t="str">
        <f>IFERROR(VLOOKUP(B668,'SB1'!$A$2:$C$999999,3,FALSE),"")</f>
        <v>503</v>
      </c>
      <c r="G668" s="3" t="e">
        <f t="shared" si="24"/>
        <v>#VALUE!</v>
      </c>
      <c r="H668" s="3" t="e">
        <f t="shared" si="25"/>
        <v>#VALUE!</v>
      </c>
      <c r="I668" s="1">
        <v>1</v>
      </c>
    </row>
    <row r="669" spans="1:9" x14ac:dyDescent="0.25">
      <c r="A669" s="1" t="s">
        <v>14435</v>
      </c>
      <c r="B669" s="1" t="s">
        <v>1811</v>
      </c>
      <c r="C669" s="1" t="str">
        <f>IFERROR(VLOOKUP(B669,'SB1'!$A$2:$B$999999,2,FALSE),"")</f>
        <v>P51.04 PRIMER PU 5:1 ACS X 0.750</v>
      </c>
      <c r="D669" s="1" t="s">
        <v>14454</v>
      </c>
      <c r="E669" s="3">
        <f>IFERROR(VLOOKUP(B669,'DA1'!$B$2:$D$999999,3,FALSE),"")</f>
      </c>
      <c r="F669" s="1" t="str">
        <f>IFERROR(VLOOKUP(B669,'SB1'!$A$2:$C$999999,3,FALSE),"")</f>
        <v>503</v>
      </c>
      <c r="G669" s="3" t="e">
        <f t="shared" si="24"/>
        <v>#VALUE!</v>
      </c>
      <c r="H669" s="3" t="e">
        <f t="shared" si="25"/>
        <v>#VALUE!</v>
      </c>
      <c r="I669" s="1">
        <v>3</v>
      </c>
    </row>
    <row r="670" spans="1:9" x14ac:dyDescent="0.25">
      <c r="A670" s="1" t="s">
        <v>14435</v>
      </c>
      <c r="B670" s="1" t="s">
        <v>1813</v>
      </c>
      <c r="C670" s="1" t="str">
        <f>IFERROR(VLOOKUP(B670,'SB1'!$A$2:$B$999999,2,FALSE),"")</f>
        <v>ENDUIDO EXTERIOR ALBA X 20</v>
      </c>
      <c r="D670" s="1" t="s">
        <v>14441</v>
      </c>
      <c r="E670" s="3">
        <f>IFERROR(VLOOKUP(B670,'DA1'!$B$2:$D$999999,3,FALSE),"")</f>
      </c>
      <c r="F670" s="1" t="str">
        <f>IFERROR(VLOOKUP(B670,'SB1'!$A$2:$C$999999,3,FALSE),"")</f>
        <v>503</v>
      </c>
      <c r="G670" s="3" t="e">
        <f t="shared" si="24"/>
        <v>#VALUE!</v>
      </c>
      <c r="H670" s="3" t="e">
        <f t="shared" si="25"/>
        <v>#VALUE!</v>
      </c>
      <c r="I670" s="1">
        <v>1</v>
      </c>
    </row>
    <row r="671" spans="1:9" x14ac:dyDescent="0.25">
      <c r="A671" s="1" t="s">
        <v>14435</v>
      </c>
      <c r="B671" s="1" t="s">
        <v>1815</v>
      </c>
      <c r="C671" s="1" t="str">
        <f>IFERROR(VLOOKUP(B671,'SB1'!$A$2:$B$999999,2,FALSE),"")</f>
        <v>ESMALTE SINTETICO PLAVICON 3EN1 BRILLANTE TABACO X  1</v>
      </c>
      <c r="D671" s="1" t="s">
        <v>14458</v>
      </c>
      <c r="E671" s="3">
        <f>IFERROR(VLOOKUP(B671,'DA1'!$B$2:$D$999999,3,FALSE),"")</f>
      </c>
      <c r="F671" s="1" t="str">
        <f>IFERROR(VLOOKUP(B671,'SB1'!$A$2:$C$999999,3,FALSE),"")</f>
        <v>503</v>
      </c>
      <c r="G671" s="3" t="e">
        <f t="shared" si="24"/>
        <v>#VALUE!</v>
      </c>
      <c r="H671" s="3" t="e">
        <f t="shared" si="25"/>
        <v>#VALUE!</v>
      </c>
      <c r="I671" s="1">
        <v>1</v>
      </c>
    </row>
    <row r="672" spans="1:9" x14ac:dyDescent="0.25">
      <c r="A672" s="1" t="s">
        <v>14435</v>
      </c>
      <c r="B672" s="1" t="s">
        <v>1817</v>
      </c>
      <c r="C672" s="1" t="str">
        <f>IFERROR(VLOOKUP(B672,'SB1'!$A$2:$B$999999,2,FALSE),"")</f>
        <v>ESMALTE SINTETICO PLAVICON 3EN1 BRILLANTE TABACO X  4</v>
      </c>
      <c r="D672" s="1" t="s">
        <v>14458</v>
      </c>
      <c r="E672" s="3">
        <f>IFERROR(VLOOKUP(B672,'DA1'!$B$2:$D$999999,3,FALSE),"")</f>
      </c>
      <c r="F672" s="1" t="str">
        <f>IFERROR(VLOOKUP(B672,'SB1'!$A$2:$C$999999,3,FALSE),"")</f>
        <v>503</v>
      </c>
      <c r="G672" s="3" t="e">
        <f t="shared" si="24"/>
        <v>#VALUE!</v>
      </c>
      <c r="H672" s="3" t="e">
        <f t="shared" si="25"/>
        <v>#VALUE!</v>
      </c>
      <c r="I672" s="1">
        <v>1</v>
      </c>
    </row>
    <row r="673" spans="1:9" x14ac:dyDescent="0.25">
      <c r="A673" s="1" t="s">
        <v>14435</v>
      </c>
      <c r="B673" s="1" t="s">
        <v>1819</v>
      </c>
      <c r="C673" s="1" t="str">
        <f>IFERROR(VLOOKUP(B673,'SB1'!$A$2:$B$999999,2,FALSE),"")</f>
        <v>PU01.04 PRIMER UNIVERSAL 1K ACS X 0.900</v>
      </c>
      <c r="D673" s="1" t="s">
        <v>14454</v>
      </c>
      <c r="E673" s="3">
        <f>IFERROR(VLOOKUP(B673,'DA1'!$B$2:$D$999999,3,FALSE),"")</f>
      </c>
      <c r="F673" s="1" t="str">
        <f>IFERROR(VLOOKUP(B673,'SB1'!$A$2:$C$999999,3,FALSE),"")</f>
        <v>503</v>
      </c>
      <c r="G673" s="3" t="e">
        <f t="shared" si="24"/>
        <v>#VALUE!</v>
      </c>
      <c r="H673" s="3" t="e">
        <f t="shared" si="25"/>
        <v>#VALUE!</v>
      </c>
      <c r="I673" s="1">
        <v>3</v>
      </c>
    </row>
    <row r="674" spans="1:9" x14ac:dyDescent="0.25">
      <c r="A674" s="1" t="s">
        <v>14435</v>
      </c>
      <c r="B674" s="1" t="s">
        <v>1821</v>
      </c>
      <c r="C674" s="1" t="str">
        <f>IFERROR(VLOOKUP(B674,'SB1'!$A$2:$B$999999,2,FALSE),"")</f>
        <v>PISTOLA PARA PINTAR CANE C.S 150</v>
      </c>
      <c r="D674" s="1" t="s">
        <v>14474</v>
      </c>
      <c r="E674" s="3">
        <f>IFERROR(VLOOKUP(B674,'DA1'!$B$2:$D$999999,3,FALSE),"")</f>
      </c>
      <c r="F674" s="1" t="str">
        <f>IFERROR(VLOOKUP(B674,'SB1'!$A$2:$C$999999,3,FALSE),"")</f>
        <v>501</v>
      </c>
      <c r="G674" s="3" t="e">
        <f t="shared" si="24"/>
        <v>#VALUE!</v>
      </c>
      <c r="H674" s="3" t="e">
        <f>G674*1.105</f>
        <v>#VALUE!</v>
      </c>
      <c r="I674" s="1">
        <v>1</v>
      </c>
    </row>
    <row r="675" spans="1:9" x14ac:dyDescent="0.25">
      <c r="A675" s="1" t="s">
        <v>14435</v>
      </c>
      <c r="B675" s="1" t="s">
        <v>1823</v>
      </c>
      <c r="C675" s="1" t="str">
        <f>IFERROR(VLOOKUP(B675,'SB1'!$A$2:$B$999999,2,FALSE),"")</f>
        <v>CEMENTO DE CONTACTO COLVINIL 50 X 14,000 (18 LTS)</v>
      </c>
      <c r="D675" s="1" t="s">
        <v>14453</v>
      </c>
      <c r="E675" s="3">
        <f>IFERROR(VLOOKUP(B675,'DA1'!$B$2:$D$999999,3,FALSE),"")</f>
      </c>
      <c r="F675" s="1" t="str">
        <f>IFERROR(VLOOKUP(B675,'SB1'!$A$2:$C$999999,3,FALSE),"")</f>
        <v>503</v>
      </c>
      <c r="G675" s="3" t="e">
        <f t="shared" si="24"/>
        <v>#VALUE!</v>
      </c>
      <c r="H675" s="3" t="e">
        <f t="shared" ref="H675:H738" si="26">G675*1.21</f>
        <v>#VALUE!</v>
      </c>
      <c r="I675" s="1">
        <v>1</v>
      </c>
    </row>
    <row r="676" spans="1:9" x14ac:dyDescent="0.25">
      <c r="A676" s="1" t="s">
        <v>14435</v>
      </c>
      <c r="B676" s="1" t="s">
        <v>1825</v>
      </c>
      <c r="C676" s="1" t="str">
        <f>IFERROR(VLOOKUP(B676,'SB1'!$A$2:$B$999999,2,FALSE),"")</f>
        <v>RODILLO LUMAR MINI FORRADO  5 CM (41A)</v>
      </c>
      <c r="D676" s="1" t="s">
        <v>14467</v>
      </c>
      <c r="E676" s="3">
        <f>IFERROR(VLOOKUP(B676,'DA1'!$B$2:$D$999999,3,FALSE),"")</f>
      </c>
      <c r="F676" s="1" t="str">
        <f>IFERROR(VLOOKUP(B676,'SB1'!$A$2:$C$999999,3,FALSE),"")</f>
        <v>503</v>
      </c>
      <c r="G676" s="3" t="e">
        <f t="shared" si="24"/>
        <v>#VALUE!</v>
      </c>
      <c r="H676" s="3" t="e">
        <f t="shared" si="26"/>
        <v>#VALUE!</v>
      </c>
      <c r="I676" s="1">
        <v>1</v>
      </c>
    </row>
    <row r="677" spans="1:9" x14ac:dyDescent="0.25">
      <c r="A677" s="1" t="s">
        <v>14435</v>
      </c>
      <c r="B677" s="1" t="s">
        <v>1827</v>
      </c>
      <c r="C677" s="1" t="str">
        <f>IFERROR(VLOOKUP(B677,'SB1'!$A$2:$B$999999,2,FALSE),"")</f>
        <v>RODILLO LUMAR MINI FORRADO  8 CM (41B)</v>
      </c>
      <c r="D677" s="1" t="s">
        <v>14467</v>
      </c>
      <c r="E677" s="3">
        <f>IFERROR(VLOOKUP(B677,'DA1'!$B$2:$D$999999,3,FALSE),"")</f>
      </c>
      <c r="F677" s="1" t="str">
        <f>IFERROR(VLOOKUP(B677,'SB1'!$A$2:$C$999999,3,FALSE),"")</f>
        <v>503</v>
      </c>
      <c r="G677" s="3" t="e">
        <f t="shared" si="24"/>
        <v>#VALUE!</v>
      </c>
      <c r="H677" s="3" t="e">
        <f t="shared" si="26"/>
        <v>#VALUE!</v>
      </c>
      <c r="I677" s="1">
        <v>1</v>
      </c>
    </row>
    <row r="678" spans="1:9" x14ac:dyDescent="0.25">
      <c r="A678" s="1" t="s">
        <v>14435</v>
      </c>
      <c r="B678" s="1" t="s">
        <v>1829</v>
      </c>
      <c r="C678" s="1" t="str">
        <f>IFERROR(VLOOKUP(B678,'SB1'!$A$2:$B$999999,2,FALSE),"")</f>
        <v>RODILLO LUMAR MINI FORRADO 10 CM (41C)</v>
      </c>
      <c r="D678" s="1" t="s">
        <v>14467</v>
      </c>
      <c r="E678" s="3">
        <f>IFERROR(VLOOKUP(B678,'DA1'!$B$2:$D$999999,3,FALSE),"")</f>
      </c>
      <c r="F678" s="1" t="str">
        <f>IFERROR(VLOOKUP(B678,'SB1'!$A$2:$C$999999,3,FALSE),"")</f>
        <v>503</v>
      </c>
      <c r="G678" s="3" t="e">
        <f t="shared" si="24"/>
        <v>#VALUE!</v>
      </c>
      <c r="H678" s="3" t="e">
        <f t="shared" si="26"/>
        <v>#VALUE!</v>
      </c>
      <c r="I678" s="1">
        <v>1</v>
      </c>
    </row>
    <row r="679" spans="1:9" x14ac:dyDescent="0.25">
      <c r="A679" s="1" t="s">
        <v>14435</v>
      </c>
      <c r="B679" s="1" t="s">
        <v>1831</v>
      </c>
      <c r="C679" s="1" t="str">
        <f>IFERROR(VLOOKUP(B679,'SB1'!$A$2:$B$999999,2,FALSE),"")</f>
        <v>MEMBRANA  AUTOADHESIVA NC MEGAFACIL ALUMINIO 10CM X25MT</v>
      </c>
      <c r="D679" s="1" t="s">
        <v>14466</v>
      </c>
      <c r="E679" s="3">
        <f>IFERROR(VLOOKUP(B679,'DA1'!$B$2:$D$999999,3,FALSE),"")</f>
      </c>
      <c r="F679" s="1" t="str">
        <f>IFERROR(VLOOKUP(B679,'SB1'!$A$2:$C$999999,3,FALSE),"")</f>
        <v>503</v>
      </c>
      <c r="G679" s="3" t="e">
        <f t="shared" si="24"/>
        <v>#VALUE!</v>
      </c>
      <c r="H679" s="3" t="e">
        <f t="shared" si="26"/>
        <v>#VALUE!</v>
      </c>
      <c r="I679" s="1">
        <v>1</v>
      </c>
    </row>
    <row r="680" spans="1:9" x14ac:dyDescent="0.25">
      <c r="A680" s="1" t="s">
        <v>14435</v>
      </c>
      <c r="B680" s="1" t="s">
        <v>1833</v>
      </c>
      <c r="C680" s="1" t="str">
        <f>IFERROR(VLOOKUP(B680,'SB1'!$A$2:$B$999999,2,FALSE),"")</f>
        <v>MEMBRANA  AUTOADHESIVA NC MEGAFACIL ALUMINIO 15CM X25MT</v>
      </c>
      <c r="D680" s="1" t="s">
        <v>14466</v>
      </c>
      <c r="E680" s="3">
        <f>IFERROR(VLOOKUP(B680,'DA1'!$B$2:$D$999999,3,FALSE),"")</f>
      </c>
      <c r="F680" s="1" t="str">
        <f>IFERROR(VLOOKUP(B680,'SB1'!$A$2:$C$999999,3,FALSE),"")</f>
        <v>503</v>
      </c>
      <c r="G680" s="3" t="e">
        <f t="shared" si="24"/>
        <v>#VALUE!</v>
      </c>
      <c r="H680" s="3" t="e">
        <f t="shared" si="26"/>
        <v>#VALUE!</v>
      </c>
      <c r="I680" s="1">
        <v>1</v>
      </c>
    </row>
    <row r="681" spans="1:9" x14ac:dyDescent="0.25">
      <c r="A681" s="1" t="s">
        <v>14435</v>
      </c>
      <c r="B681" s="1" t="s">
        <v>1841</v>
      </c>
      <c r="C681" s="1" t="str">
        <f>IFERROR(VLOOKUP(B681,'SB1'!$A$2:$B$999999,2,FALSE),"")</f>
        <v>PINTURA ASFALTICA MEGAFLEX ALUMINIZADA X  1</v>
      </c>
      <c r="D681" s="1" t="s">
        <v>14466</v>
      </c>
      <c r="E681" s="3">
        <f>IFERROR(VLOOKUP(B681,'DA1'!$B$2:$D$999999,3,FALSE),"")</f>
      </c>
      <c r="F681" s="1" t="str">
        <f>IFERROR(VLOOKUP(B681,'SB1'!$A$2:$C$999999,3,FALSE),"")</f>
        <v>503</v>
      </c>
      <c r="G681" s="3" t="e">
        <f t="shared" si="24"/>
        <v>#VALUE!</v>
      </c>
      <c r="H681" s="3" t="e">
        <f t="shared" si="26"/>
        <v>#VALUE!</v>
      </c>
      <c r="I681" s="1">
        <v>1</v>
      </c>
    </row>
    <row r="682" spans="1:9" x14ac:dyDescent="0.25">
      <c r="A682" s="1" t="s">
        <v>14435</v>
      </c>
      <c r="B682" s="1" t="s">
        <v>1843</v>
      </c>
      <c r="C682" s="1" t="str">
        <f>IFERROR(VLOOKUP(B682,'SB1'!$A$2:$B$999999,2,FALSE),"")</f>
        <v>PINTURA ASFALTICA MEGAFLEX ALUMINIZADA X  4</v>
      </c>
      <c r="D682" s="1" t="s">
        <v>14466</v>
      </c>
      <c r="E682" s="3">
        <f>IFERROR(VLOOKUP(B682,'DA1'!$B$2:$D$999999,3,FALSE),"")</f>
      </c>
      <c r="F682" s="1" t="str">
        <f>IFERROR(VLOOKUP(B682,'SB1'!$A$2:$C$999999,3,FALSE),"")</f>
        <v>503</v>
      </c>
      <c r="G682" s="3" t="e">
        <f t="shared" si="24"/>
        <v>#VALUE!</v>
      </c>
      <c r="H682" s="3" t="e">
        <f t="shared" si="26"/>
        <v>#VALUE!</v>
      </c>
      <c r="I682" s="1">
        <v>1</v>
      </c>
    </row>
    <row r="683" spans="1:9" x14ac:dyDescent="0.25">
      <c r="A683" s="1" t="s">
        <v>14435</v>
      </c>
      <c r="B683" s="1" t="s">
        <v>1845</v>
      </c>
      <c r="C683" s="1" t="str">
        <f>IFERROR(VLOOKUP(B683,'SB1'!$A$2:$B$999999,2,FALSE),"")</f>
        <v>PINTURA ASFALTICA MEGAFLEX ALUMINIZADA X 18</v>
      </c>
      <c r="D683" s="1" t="s">
        <v>14466</v>
      </c>
      <c r="E683" s="3">
        <f>IFERROR(VLOOKUP(B683,'DA1'!$B$2:$D$999999,3,FALSE),"")</f>
      </c>
      <c r="F683" s="1" t="str">
        <f>IFERROR(VLOOKUP(B683,'SB1'!$A$2:$C$999999,3,FALSE),"")</f>
        <v>503</v>
      </c>
      <c r="G683" s="3" t="e">
        <f t="shared" si="24"/>
        <v>#VALUE!</v>
      </c>
      <c r="H683" s="3" t="e">
        <f t="shared" si="26"/>
        <v>#VALUE!</v>
      </c>
      <c r="I683" s="1">
        <v>1</v>
      </c>
    </row>
    <row r="684" spans="1:9" x14ac:dyDescent="0.25">
      <c r="A684" s="1" t="s">
        <v>14435</v>
      </c>
      <c r="B684" s="1" t="s">
        <v>1849</v>
      </c>
      <c r="C684" s="1" t="str">
        <f>IFERROR(VLOOKUP(B684,'SB1'!$A$2:$B$999999,2,FALSE),"")</f>
        <v>FONDO ANTIOXIDO PLAVICON CONVEROX ROJO X  0,500</v>
      </c>
      <c r="D684" s="1" t="s">
        <v>14458</v>
      </c>
      <c r="E684" s="3">
        <f>IFERROR(VLOOKUP(B684,'DA1'!$B$2:$D$999999,3,FALSE),"")</f>
      </c>
      <c r="F684" s="1" t="str">
        <f>IFERROR(VLOOKUP(B684,'SB1'!$A$2:$C$999999,3,FALSE),"")</f>
        <v>503</v>
      </c>
      <c r="G684" s="3" t="e">
        <f t="shared" si="24"/>
        <v>#VALUE!</v>
      </c>
      <c r="H684" s="3" t="e">
        <f t="shared" si="26"/>
        <v>#VALUE!</v>
      </c>
      <c r="I684" s="1">
        <v>1</v>
      </c>
    </row>
    <row r="685" spans="1:9" x14ac:dyDescent="0.25">
      <c r="A685" s="1" t="s">
        <v>14435</v>
      </c>
      <c r="B685" s="1" t="s">
        <v>1851</v>
      </c>
      <c r="C685" s="1" t="str">
        <f>IFERROR(VLOOKUP(B685,'SB1'!$A$2:$B$999999,2,FALSE),"")</f>
        <v>IMPERMEABILIZANTE PARA FRENTES Y MUROS RECUPLAST PERDURA BLANCO X  4</v>
      </c>
      <c r="D685" s="1" t="s">
        <v>14463</v>
      </c>
      <c r="E685" s="3">
        <f>IFERROR(VLOOKUP(B685,'DA1'!$B$2:$D$999999,3,FALSE),"")</f>
      </c>
      <c r="F685" s="1" t="str">
        <f>IFERROR(VLOOKUP(B685,'SB1'!$A$2:$C$999999,3,FALSE),"")</f>
        <v>503</v>
      </c>
      <c r="G685" s="3" t="e">
        <f t="shared" si="24"/>
        <v>#VALUE!</v>
      </c>
      <c r="H685" s="3" t="e">
        <f t="shared" si="26"/>
        <v>#VALUE!</v>
      </c>
      <c r="I685" s="1">
        <v>1</v>
      </c>
    </row>
    <row r="686" spans="1:9" x14ac:dyDescent="0.25">
      <c r="A686" s="1" t="s">
        <v>14435</v>
      </c>
      <c r="B686" s="1" t="s">
        <v>1853</v>
      </c>
      <c r="C686" s="1" t="str">
        <f>IFERROR(VLOOKUP(B686,'SB1'!$A$2:$B$999999,2,FALSE),"")</f>
        <v>IMPERMEABILIZANTE PARA FRENTES Y MUROS RECUPLAST PERDURA BLANCO X 20</v>
      </c>
      <c r="D686" s="1" t="s">
        <v>14463</v>
      </c>
      <c r="E686" s="3">
        <f>IFERROR(VLOOKUP(B686,'DA1'!$B$2:$D$999999,3,FALSE),"")</f>
      </c>
      <c r="F686" s="1" t="str">
        <f>IFERROR(VLOOKUP(B686,'SB1'!$A$2:$C$999999,3,FALSE),"")</f>
        <v>503</v>
      </c>
      <c r="G686" s="3" t="e">
        <f t="shared" si="24"/>
        <v>#VALUE!</v>
      </c>
      <c r="H686" s="3" t="e">
        <f t="shared" si="26"/>
        <v>#VALUE!</v>
      </c>
      <c r="I686" s="1">
        <v>1</v>
      </c>
    </row>
    <row r="687" spans="1:9" x14ac:dyDescent="0.25">
      <c r="A687" s="1" t="s">
        <v>14435</v>
      </c>
      <c r="B687" s="1" t="s">
        <v>1855</v>
      </c>
      <c r="C687" s="1" t="str">
        <f>IFERROR(VLOOKUP(B687,'SB1'!$A$2:$B$999999,2,FALSE),"")</f>
        <v>MASILLA EPOXI POXILINA X 38.000</v>
      </c>
      <c r="D687" s="1" t="s">
        <v>14459</v>
      </c>
      <c r="E687" s="3">
        <f>IFERROR(VLOOKUP(B687,'DA1'!$B$2:$D$999999,3,FALSE),"")</f>
      </c>
      <c r="F687" s="1" t="str">
        <f>IFERROR(VLOOKUP(B687,'SB1'!$A$2:$C$999999,3,FALSE),"")</f>
        <v>503</v>
      </c>
      <c r="G687" s="3" t="e">
        <f t="shared" si="24"/>
        <v>#VALUE!</v>
      </c>
      <c r="H687" s="3" t="e">
        <f t="shared" si="26"/>
        <v>#VALUE!</v>
      </c>
      <c r="I687" s="1">
        <v>1</v>
      </c>
    </row>
    <row r="688" spans="1:9" x14ac:dyDescent="0.25">
      <c r="A688" s="1" t="s">
        <v>14435</v>
      </c>
      <c r="B688" s="1" t="s">
        <v>1857</v>
      </c>
      <c r="C688" s="1" t="str">
        <f>IFERROR(VLOOKUP(B688,'SB1'!$A$2:$B$999999,2,FALSE),"")</f>
        <v>RODILLO LUMAR POLIESTER ESPECIAL 17 (410B)</v>
      </c>
      <c r="D688" s="1" t="s">
        <v>14467</v>
      </c>
      <c r="E688" s="3">
        <f>IFERROR(VLOOKUP(B688,'DA1'!$B$2:$D$999999,3,FALSE),"")</f>
      </c>
      <c r="F688" s="1" t="str">
        <f>IFERROR(VLOOKUP(B688,'SB1'!$A$2:$C$999999,3,FALSE),"")</f>
        <v>503</v>
      </c>
      <c r="G688" s="3" t="e">
        <f t="shared" si="24"/>
        <v>#VALUE!</v>
      </c>
      <c r="H688" s="3" t="e">
        <f t="shared" si="26"/>
        <v>#VALUE!</v>
      </c>
      <c r="I688" s="1">
        <v>1</v>
      </c>
    </row>
    <row r="689" spans="1:9" x14ac:dyDescent="0.25">
      <c r="A689" s="1" t="s">
        <v>14435</v>
      </c>
      <c r="B689" s="1" t="s">
        <v>1859</v>
      </c>
      <c r="C689" s="1" t="str">
        <f>IFERROR(VLOOKUP(B689,'SB1'!$A$2:$B$999999,2,FALSE),"")</f>
        <v>RODILLO LUMAR POLIESTER ESPECIAL 22 (410C)</v>
      </c>
      <c r="D689" s="1" t="s">
        <v>14467</v>
      </c>
      <c r="E689" s="3">
        <f>IFERROR(VLOOKUP(B689,'DA1'!$B$2:$D$999999,3,FALSE),"")</f>
      </c>
      <c r="F689" s="1" t="str">
        <f>IFERROR(VLOOKUP(B689,'SB1'!$A$2:$C$999999,3,FALSE),"")</f>
        <v>503</v>
      </c>
      <c r="G689" s="3" t="e">
        <f t="shared" si="24"/>
        <v>#VALUE!</v>
      </c>
      <c r="H689" s="3" t="e">
        <f t="shared" si="26"/>
        <v>#VALUE!</v>
      </c>
      <c r="I689" s="1">
        <v>1</v>
      </c>
    </row>
    <row r="690" spans="1:9" x14ac:dyDescent="0.25">
      <c r="A690" s="1" t="s">
        <v>14435</v>
      </c>
      <c r="B690" s="1" t="s">
        <v>1861</v>
      </c>
      <c r="C690" s="1" t="str">
        <f>IFERROR(VLOOKUP(B690,'SB1'!$A$2:$B$999999,2,FALSE),"")</f>
        <v>FONDO ANTIOXIDO PLAVICON CONVEROX ROJO X  1</v>
      </c>
      <c r="D690" s="1" t="s">
        <v>14458</v>
      </c>
      <c r="E690" s="3">
        <f>IFERROR(VLOOKUP(B690,'DA1'!$B$2:$D$999999,3,FALSE),"")</f>
      </c>
      <c r="F690" s="1" t="str">
        <f>IFERROR(VLOOKUP(B690,'SB1'!$A$2:$C$999999,3,FALSE),"")</f>
        <v>503</v>
      </c>
      <c r="G690" s="3" t="e">
        <f t="shared" si="24"/>
        <v>#VALUE!</v>
      </c>
      <c r="H690" s="3" t="e">
        <f t="shared" si="26"/>
        <v>#VALUE!</v>
      </c>
      <c r="I690" s="1">
        <v>1</v>
      </c>
    </row>
    <row r="691" spans="1:9" x14ac:dyDescent="0.25">
      <c r="A691" s="1" t="s">
        <v>14435</v>
      </c>
      <c r="B691" s="1" t="s">
        <v>1863</v>
      </c>
      <c r="C691" s="1" t="str">
        <f>IFERROR(VLOOKUP(B691,'SB1'!$A$2:$B$999999,2,FALSE),"")</f>
        <v>FONDO ANTIOXIDO PLAVICON CONVEROX ROJO X  4</v>
      </c>
      <c r="D691" s="1" t="s">
        <v>14458</v>
      </c>
      <c r="E691" s="3">
        <f>IFERROR(VLOOKUP(B691,'DA1'!$B$2:$D$999999,3,FALSE),"")</f>
      </c>
      <c r="F691" s="1" t="str">
        <f>IFERROR(VLOOKUP(B691,'SB1'!$A$2:$C$999999,3,FALSE),"")</f>
        <v>503</v>
      </c>
      <c r="G691" s="3" t="e">
        <f t="shared" si="24"/>
        <v>#VALUE!</v>
      </c>
      <c r="H691" s="3" t="e">
        <f t="shared" si="26"/>
        <v>#VALUE!</v>
      </c>
      <c r="I691" s="1">
        <v>1</v>
      </c>
    </row>
    <row r="692" spans="1:9" x14ac:dyDescent="0.25">
      <c r="A692" s="1" t="s">
        <v>14435</v>
      </c>
      <c r="B692" s="1" t="s">
        <v>1867</v>
      </c>
      <c r="C692" s="1" t="str">
        <f>IFERROR(VLOOKUP(B692,'SB1'!$A$2:$B$999999,2,FALSE),"")</f>
        <v>LACA UREICA COLVINIL BRILLANTE BLANCA C/CAT. X  0,900</v>
      </c>
      <c r="D692" s="1" t="s">
        <v>14453</v>
      </c>
      <c r="E692" s="3">
        <f>IFERROR(VLOOKUP(B692,'DA1'!$B$2:$D$999999,3,FALSE),"")</f>
      </c>
      <c r="F692" s="1" t="str">
        <f>IFERROR(VLOOKUP(B692,'SB1'!$A$2:$C$999999,3,FALSE),"")</f>
        <v>503</v>
      </c>
      <c r="G692" s="3" t="e">
        <f t="shared" si="24"/>
        <v>#VALUE!</v>
      </c>
      <c r="H692" s="3" t="e">
        <f t="shared" si="26"/>
        <v>#VALUE!</v>
      </c>
      <c r="I692" s="1">
        <v>1</v>
      </c>
    </row>
    <row r="693" spans="1:9" x14ac:dyDescent="0.25">
      <c r="A693" s="1" t="s">
        <v>14435</v>
      </c>
      <c r="B693" s="1" t="s">
        <v>1869</v>
      </c>
      <c r="C693" s="1" t="str">
        <f>IFERROR(VLOOKUP(B693,'SB1'!$A$2:$B$999999,2,FALSE),"")</f>
        <v>LACA UREICA COLVINIL BRILLANTE BLANCA C/CAT. X  3,600</v>
      </c>
      <c r="D693" s="1" t="s">
        <v>14453</v>
      </c>
      <c r="E693" s="3">
        <f>IFERROR(VLOOKUP(B693,'DA1'!$B$2:$D$999999,3,FALSE),"")</f>
      </c>
      <c r="F693" s="1" t="str">
        <f>IFERROR(VLOOKUP(B693,'SB1'!$A$2:$C$999999,3,FALSE),"")</f>
        <v>503</v>
      </c>
      <c r="G693" s="3" t="e">
        <f t="shared" si="24"/>
        <v>#VALUE!</v>
      </c>
      <c r="H693" s="3" t="e">
        <f t="shared" si="26"/>
        <v>#VALUE!</v>
      </c>
      <c r="I693" s="1">
        <v>1</v>
      </c>
    </row>
    <row r="694" spans="1:9" x14ac:dyDescent="0.25">
      <c r="A694" s="1" t="s">
        <v>14435</v>
      </c>
      <c r="B694" s="1" t="s">
        <v>1871</v>
      </c>
      <c r="C694" s="1" t="str">
        <f>IFERROR(VLOOKUP(B694,'SB1'!$A$2:$B$999999,2,FALSE),"")</f>
        <v>LACA UREICA COLVINIL SATINADA BLANCA C/CAT. X  0,900</v>
      </c>
      <c r="D694" s="1" t="s">
        <v>14453</v>
      </c>
      <c r="E694" s="3">
        <f>IFERROR(VLOOKUP(B694,'DA1'!$B$2:$D$999999,3,FALSE),"")</f>
      </c>
      <c r="F694" s="1" t="str">
        <f>IFERROR(VLOOKUP(B694,'SB1'!$A$2:$C$999999,3,FALSE),"")</f>
        <v>503</v>
      </c>
      <c r="G694" s="3" t="e">
        <f t="shared" si="24"/>
        <v>#VALUE!</v>
      </c>
      <c r="H694" s="3" t="e">
        <f t="shared" si="26"/>
        <v>#VALUE!</v>
      </c>
      <c r="I694" s="1">
        <v>1</v>
      </c>
    </row>
    <row r="695" spans="1:9" x14ac:dyDescent="0.25">
      <c r="A695" s="1" t="s">
        <v>14435</v>
      </c>
      <c r="B695" s="1" t="s">
        <v>1873</v>
      </c>
      <c r="C695" s="1" t="str">
        <f>IFERROR(VLOOKUP(B695,'SB1'!$A$2:$B$999999,2,FALSE),"")</f>
        <v>LACA UREICA COLVINIL SATINADA BLANCA C/CAT. X  3,600</v>
      </c>
      <c r="D695" s="1" t="s">
        <v>14453</v>
      </c>
      <c r="E695" s="3">
        <f>IFERROR(VLOOKUP(B695,'DA1'!$B$2:$D$999999,3,FALSE),"")</f>
      </c>
      <c r="F695" s="1" t="str">
        <f>IFERROR(VLOOKUP(B695,'SB1'!$A$2:$C$999999,3,FALSE),"")</f>
        <v>503</v>
      </c>
      <c r="G695" s="3" t="e">
        <f t="shared" si="24"/>
        <v>#VALUE!</v>
      </c>
      <c r="H695" s="3" t="e">
        <f t="shared" si="26"/>
        <v>#VALUE!</v>
      </c>
      <c r="I695" s="1">
        <v>1</v>
      </c>
    </row>
    <row r="696" spans="1:9" x14ac:dyDescent="0.25">
      <c r="A696" s="1" t="s">
        <v>14435</v>
      </c>
      <c r="B696" s="1" t="s">
        <v>1875</v>
      </c>
      <c r="C696" s="1" t="str">
        <f>IFERROR(VLOOKUP(B696,'SB1'!$A$2:$B$999999,2,FALSE),"")</f>
        <v>IMPERMEABLIZANTE PARA TECHOS RECUPLAST TECHOS BLANCO X  1,200</v>
      </c>
      <c r="D696" s="1" t="s">
        <v>14463</v>
      </c>
      <c r="E696" s="3">
        <f>IFERROR(VLOOKUP(B696,'DA1'!$B$2:$D$999999,3,FALSE),"")</f>
      </c>
      <c r="F696" s="1" t="str">
        <f>IFERROR(VLOOKUP(B696,'SB1'!$A$2:$C$999999,3,FALSE),"")</f>
        <v>503</v>
      </c>
      <c r="G696" s="3" t="e">
        <f t="shared" si="24"/>
        <v>#VALUE!</v>
      </c>
      <c r="H696" s="3" t="e">
        <f t="shared" si="26"/>
        <v>#VALUE!</v>
      </c>
      <c r="I696" s="1">
        <v>1</v>
      </c>
    </row>
    <row r="697" spans="1:9" x14ac:dyDescent="0.25">
      <c r="A697" s="1" t="s">
        <v>14435</v>
      </c>
      <c r="B697" s="1" t="s">
        <v>1877</v>
      </c>
      <c r="C697" s="1" t="str">
        <f>IFERROR(VLOOKUP(B697,'SB1'!$A$2:$B$999999,2,FALSE),"")</f>
        <v>IMPERMEABLIZANTE PARA TECHOS RECUPLAST TECHOS BLANCO X  5</v>
      </c>
      <c r="D697" s="1" t="s">
        <v>14463</v>
      </c>
      <c r="E697" s="3">
        <f>IFERROR(VLOOKUP(B697,'DA1'!$B$2:$D$999999,3,FALSE),"")</f>
      </c>
      <c r="F697" s="1" t="str">
        <f>IFERROR(VLOOKUP(B697,'SB1'!$A$2:$C$999999,3,FALSE),"")</f>
        <v>503</v>
      </c>
      <c r="G697" s="3" t="e">
        <f t="shared" si="24"/>
        <v>#VALUE!</v>
      </c>
      <c r="H697" s="3" t="e">
        <f t="shared" si="26"/>
        <v>#VALUE!</v>
      </c>
      <c r="I697" s="1">
        <v>1</v>
      </c>
    </row>
    <row r="698" spans="1:9" x14ac:dyDescent="0.25">
      <c r="A698" s="1" t="s">
        <v>14435</v>
      </c>
      <c r="B698" s="1" t="s">
        <v>1879</v>
      </c>
      <c r="C698" s="1" t="str">
        <f>IFERROR(VLOOKUP(B698,'SB1'!$A$2:$B$999999,2,FALSE),"")</f>
        <v>IMPERMEABLIZANTE PARA TECHOS RECUPLAST TECHOS BLANCO X 12</v>
      </c>
      <c r="D698" s="1" t="s">
        <v>14463</v>
      </c>
      <c r="E698" s="3">
        <f>IFERROR(VLOOKUP(B698,'DA1'!$B$2:$D$999999,3,FALSE),"")</f>
      </c>
      <c r="F698" s="1" t="str">
        <f>IFERROR(VLOOKUP(B698,'SB1'!$A$2:$C$999999,3,FALSE),"")</f>
        <v>503</v>
      </c>
      <c r="G698" s="3" t="e">
        <f t="shared" si="24"/>
        <v>#VALUE!</v>
      </c>
      <c r="H698" s="3" t="e">
        <f t="shared" si="26"/>
        <v>#VALUE!</v>
      </c>
      <c r="I698" s="1">
        <v>1</v>
      </c>
    </row>
    <row r="699" spans="1:9" x14ac:dyDescent="0.25">
      <c r="A699" s="1" t="s">
        <v>14435</v>
      </c>
      <c r="B699" s="1" t="s">
        <v>1881</v>
      </c>
      <c r="C699" s="1" t="str">
        <f>IFERROR(VLOOKUP(B699,'SB1'!$A$2:$B$999999,2,FALSE),"")</f>
        <v>IMPERMEABLIZANTE PARA TECHOS RECUPLAST TECHOS BLANCO X 20</v>
      </c>
      <c r="D699" s="1" t="s">
        <v>14463</v>
      </c>
      <c r="E699" s="3">
        <f>IFERROR(VLOOKUP(B699,'DA1'!$B$2:$D$999999,3,FALSE),"")</f>
      </c>
      <c r="F699" s="1" t="str">
        <f>IFERROR(VLOOKUP(B699,'SB1'!$A$2:$C$999999,3,FALSE),"")</f>
        <v>503</v>
      </c>
      <c r="G699" s="3" t="e">
        <f t="shared" si="24"/>
        <v>#VALUE!</v>
      </c>
      <c r="H699" s="3" t="e">
        <f t="shared" si="26"/>
        <v>#VALUE!</v>
      </c>
      <c r="I699" s="1">
        <v>1</v>
      </c>
    </row>
    <row r="700" spans="1:9" x14ac:dyDescent="0.25">
      <c r="A700" s="1" t="s">
        <v>14435</v>
      </c>
      <c r="B700" s="1" t="s">
        <v>1885</v>
      </c>
      <c r="C700" s="1" t="str">
        <f>IFERROR(VLOOKUP(B700,'SB1'!$A$2:$B$999999,2,FALSE),"")</f>
        <v>IMPERMEABILIZANTE PARA TECHOS ALBAFRENT FIBRADO SATINADO BLANCO X  4</v>
      </c>
      <c r="D700" s="1" t="s">
        <v>14441</v>
      </c>
      <c r="E700" s="3">
        <f>IFERROR(VLOOKUP(B700,'DA1'!$B$2:$D$999999,3,FALSE),"")</f>
      </c>
      <c r="F700" s="1" t="str">
        <f>IFERROR(VLOOKUP(B700,'SB1'!$A$2:$C$999999,3,FALSE),"")</f>
        <v>503</v>
      </c>
      <c r="G700" s="3" t="e">
        <f t="shared" si="24"/>
        <v>#VALUE!</v>
      </c>
      <c r="H700" s="3" t="e">
        <f t="shared" si="26"/>
        <v>#VALUE!</v>
      </c>
      <c r="I700" s="1">
        <v>1</v>
      </c>
    </row>
    <row r="701" spans="1:9" x14ac:dyDescent="0.25">
      <c r="A701" s="1" t="s">
        <v>14435</v>
      </c>
      <c r="B701" s="1" t="s">
        <v>1887</v>
      </c>
      <c r="C701" s="1" t="str">
        <f>IFERROR(VLOOKUP(B701,'SB1'!$A$2:$B$999999,2,FALSE),"")</f>
        <v>IMPERMEABILIZANTE PARA TECHOS ALBAFRENT FIBRADO SATINADO BLANCO X 10</v>
      </c>
      <c r="D701" s="1" t="s">
        <v>14441</v>
      </c>
      <c r="E701" s="3">
        <f>IFERROR(VLOOKUP(B701,'DA1'!$B$2:$D$999999,3,FALSE),"")</f>
      </c>
      <c r="F701" s="1" t="str">
        <f>IFERROR(VLOOKUP(B701,'SB1'!$A$2:$C$999999,3,FALSE),"")</f>
        <v>503</v>
      </c>
      <c r="G701" s="3" t="e">
        <f t="shared" si="24"/>
        <v>#VALUE!</v>
      </c>
      <c r="H701" s="3" t="e">
        <f t="shared" si="26"/>
        <v>#VALUE!</v>
      </c>
      <c r="I701" s="1">
        <v>1</v>
      </c>
    </row>
    <row r="702" spans="1:9" x14ac:dyDescent="0.25">
      <c r="A702" s="1" t="s">
        <v>14435</v>
      </c>
      <c r="B702" s="1" t="s">
        <v>1889</v>
      </c>
      <c r="C702" s="1" t="str">
        <f>IFERROR(VLOOKUP(B702,'SB1'!$A$2:$B$999999,2,FALSE),"")</f>
        <v>IMPERMEABILIZANTE PARA TECHOS ALBAFRENT FIBRADO SATINADO BLANCO X 20</v>
      </c>
      <c r="D702" s="1" t="s">
        <v>14441</v>
      </c>
      <c r="E702" s="3">
        <f>IFERROR(VLOOKUP(B702,'DA1'!$B$2:$D$999999,3,FALSE),"")</f>
      </c>
      <c r="F702" s="1" t="str">
        <f>IFERROR(VLOOKUP(B702,'SB1'!$A$2:$C$999999,3,FALSE),"")</f>
        <v>503</v>
      </c>
      <c r="G702" s="3" t="e">
        <f t="shared" si="24"/>
        <v>#VALUE!</v>
      </c>
      <c r="H702" s="3" t="e">
        <f t="shared" si="26"/>
        <v>#VALUE!</v>
      </c>
      <c r="I702" s="1">
        <v>1</v>
      </c>
    </row>
    <row r="703" spans="1:9" x14ac:dyDescent="0.25">
      <c r="A703" s="1" t="s">
        <v>14435</v>
      </c>
      <c r="B703" s="1" t="s">
        <v>1891</v>
      </c>
      <c r="C703" s="1" t="str">
        <f>IFERROR(VLOOKUP(B703,'SB1'!$A$2:$B$999999,2,FALSE),"")</f>
        <v>ESCALERA DE MADERA SIN FIN FAMILIAR DOBLE 3</v>
      </c>
      <c r="D703" s="1" t="s">
        <v>14471</v>
      </c>
      <c r="E703" s="3">
        <f>IFERROR(VLOOKUP(B703,'DA1'!$B$2:$D$999999,3,FALSE),"")</f>
      </c>
      <c r="F703" s="1" t="str">
        <f>IFERROR(VLOOKUP(B703,'SB1'!$A$2:$C$999999,3,FALSE),"")</f>
        <v>503</v>
      </c>
      <c r="G703" s="3" t="e">
        <f t="shared" si="24"/>
        <v>#VALUE!</v>
      </c>
      <c r="H703" s="3" t="e">
        <f t="shared" si="26"/>
        <v>#VALUE!</v>
      </c>
      <c r="I703" s="1">
        <v>1</v>
      </c>
    </row>
    <row r="704" spans="1:9" x14ac:dyDescent="0.25">
      <c r="A704" s="1" t="s">
        <v>14435</v>
      </c>
      <c r="B704" s="1" t="s">
        <v>1893</v>
      </c>
      <c r="C704" s="1" t="str">
        <f>IFERROR(VLOOKUP(B704,'SB1'!$A$2:$B$999999,2,FALSE),"")</f>
        <v>ESCALERA DE MADERA SIN FIN FAMILIAR DOBLE 4</v>
      </c>
      <c r="D704" s="1" t="s">
        <v>14471</v>
      </c>
      <c r="E704" s="3">
        <f>IFERROR(VLOOKUP(B704,'DA1'!$B$2:$D$999999,3,FALSE),"")</f>
      </c>
      <c r="F704" s="1" t="str">
        <f>IFERROR(VLOOKUP(B704,'SB1'!$A$2:$C$999999,3,FALSE),"")</f>
        <v>503</v>
      </c>
      <c r="G704" s="3" t="e">
        <f t="shared" si="24"/>
        <v>#VALUE!</v>
      </c>
      <c r="H704" s="3" t="e">
        <f t="shared" si="26"/>
        <v>#VALUE!</v>
      </c>
      <c r="I704" s="1">
        <v>1</v>
      </c>
    </row>
    <row r="705" spans="1:9" x14ac:dyDescent="0.25">
      <c r="A705" s="1" t="s">
        <v>14435</v>
      </c>
      <c r="B705" s="1" t="s">
        <v>1895</v>
      </c>
      <c r="C705" s="1" t="str">
        <f>IFERROR(VLOOKUP(B705,'SB1'!$A$2:$B$999999,2,FALSE),"")</f>
        <v>ESCALERA DE MADERA SIN FIN FAMILIAR DOBLE 5</v>
      </c>
      <c r="D705" s="1" t="s">
        <v>14471</v>
      </c>
      <c r="E705" s="3">
        <f>IFERROR(VLOOKUP(B705,'DA1'!$B$2:$D$999999,3,FALSE),"")</f>
      </c>
      <c r="F705" s="1" t="str">
        <f>IFERROR(VLOOKUP(B705,'SB1'!$A$2:$C$999999,3,FALSE),"")</f>
        <v>503</v>
      </c>
      <c r="G705" s="3" t="e">
        <f t="shared" si="24"/>
        <v>#VALUE!</v>
      </c>
      <c r="H705" s="3" t="e">
        <f t="shared" si="26"/>
        <v>#VALUE!</v>
      </c>
      <c r="I705" s="1">
        <v>1</v>
      </c>
    </row>
    <row r="706" spans="1:9" x14ac:dyDescent="0.25">
      <c r="A706" s="1" t="s">
        <v>14435</v>
      </c>
      <c r="B706" s="1" t="s">
        <v>1897</v>
      </c>
      <c r="C706" s="1" t="str">
        <f>IFERROR(VLOOKUP(B706,'SB1'!$A$2:$B$999999,2,FALSE),"")</f>
        <v>FIJADOR PARA PARED ALBA 2EN1 AL AGUARRAS BLANCO X  1</v>
      </c>
      <c r="D706" s="1" t="s">
        <v>14441</v>
      </c>
      <c r="E706" s="3">
        <f>IFERROR(VLOOKUP(B706,'DA1'!$B$2:$D$999999,3,FALSE),"")</f>
      </c>
      <c r="F706" s="1" t="str">
        <f>IFERROR(VLOOKUP(B706,'SB1'!$A$2:$C$999999,3,FALSE),"")</f>
        <v>503</v>
      </c>
      <c r="G706" s="3" t="e">
        <f t="shared" si="24"/>
        <v>#VALUE!</v>
      </c>
      <c r="H706" s="3" t="e">
        <f t="shared" si="26"/>
        <v>#VALUE!</v>
      </c>
      <c r="I706" s="1">
        <v>1</v>
      </c>
    </row>
    <row r="707" spans="1:9" x14ac:dyDescent="0.25">
      <c r="A707" s="1" t="s">
        <v>14435</v>
      </c>
      <c r="B707" s="1" t="s">
        <v>1899</v>
      </c>
      <c r="C707" s="1" t="str">
        <f>IFERROR(VLOOKUP(B707,'SB1'!$A$2:$B$999999,2,FALSE),"")</f>
        <v>FIJADOR PARA PARED ALBA 2EN1 AL AGUARRAS BLANCO X  4</v>
      </c>
      <c r="D707" s="1" t="s">
        <v>14441</v>
      </c>
      <c r="E707" s="3">
        <f>IFERROR(VLOOKUP(B707,'DA1'!$B$2:$D$999999,3,FALSE),"")</f>
      </c>
      <c r="F707" s="1" t="str">
        <f>IFERROR(VLOOKUP(B707,'SB1'!$A$2:$C$999999,3,FALSE),"")</f>
        <v>503</v>
      </c>
      <c r="G707" s="3" t="e">
        <f t="shared" ref="G707:G770" si="27">E707*1.04</f>
        <v>#VALUE!</v>
      </c>
      <c r="H707" s="3" t="e">
        <f t="shared" si="26"/>
        <v>#VALUE!</v>
      </c>
      <c r="I707" s="1">
        <v>1</v>
      </c>
    </row>
    <row r="708" spans="1:9" x14ac:dyDescent="0.25">
      <c r="A708" s="1" t="s">
        <v>14435</v>
      </c>
      <c r="B708" s="1" t="s">
        <v>1901</v>
      </c>
      <c r="C708" s="1" t="str">
        <f>IFERROR(VLOOKUP(B708,'SB1'!$A$2:$B$999999,2,FALSE),"")</f>
        <v>FIJADOR PARA PARED ALBA 2EN1 AL AGUARRAS BLANCO X 20</v>
      </c>
      <c r="D708" s="1" t="s">
        <v>14441</v>
      </c>
      <c r="E708" s="3">
        <f>IFERROR(VLOOKUP(B708,'DA1'!$B$2:$D$999999,3,FALSE),"")</f>
      </c>
      <c r="F708" s="1" t="str">
        <f>IFERROR(VLOOKUP(B708,'SB1'!$A$2:$C$999999,3,FALSE),"")</f>
        <v>503</v>
      </c>
      <c r="G708" s="3" t="e">
        <f t="shared" si="27"/>
        <v>#VALUE!</v>
      </c>
      <c r="H708" s="3" t="e">
        <f t="shared" si="26"/>
        <v>#VALUE!</v>
      </c>
      <c r="I708" s="1">
        <v>1</v>
      </c>
    </row>
    <row r="709" spans="1:9" x14ac:dyDescent="0.25">
      <c r="A709" s="1" t="s">
        <v>14435</v>
      </c>
      <c r="B709" s="1" t="s">
        <v>1903</v>
      </c>
      <c r="C709" s="1" t="str">
        <f>IFERROR(VLOOKUP(B709,'SB1'!$A$2:$B$999999,2,FALSE),"")</f>
        <v>ESCALERA DE ALUMINIO SIN FIN BOMBERO 8 ESC.</v>
      </c>
      <c r="D709" s="1" t="s">
        <v>14471</v>
      </c>
      <c r="E709" s="3">
        <f>IFERROR(VLOOKUP(B709,'DA1'!$B$2:$D$999999,3,FALSE),"")</f>
      </c>
      <c r="F709" s="1" t="str">
        <f>IFERROR(VLOOKUP(B709,'SB1'!$A$2:$C$999999,3,FALSE),"")</f>
        <v>503</v>
      </c>
      <c r="G709" s="3" t="e">
        <f t="shared" si="27"/>
        <v>#VALUE!</v>
      </c>
      <c r="H709" s="3" t="e">
        <f t="shared" si="26"/>
        <v>#VALUE!</v>
      </c>
      <c r="I709" s="1">
        <v>2</v>
      </c>
    </row>
    <row r="710" spans="1:9" x14ac:dyDescent="0.25">
      <c r="A710" s="1" t="s">
        <v>14435</v>
      </c>
      <c r="B710" s="1" t="s">
        <v>1907</v>
      </c>
      <c r="C710" s="1" t="str">
        <f>IFERROR(VLOOKUP(B710,'SB1'!$A$2:$B$999999,2,FALSE),"")</f>
        <v>ESCALERA DE ALUMINIO SIN FIN BOMBERO 10 ESC.</v>
      </c>
      <c r="D710" s="1" t="s">
        <v>14471</v>
      </c>
      <c r="E710" s="3">
        <f>IFERROR(VLOOKUP(B710,'DA1'!$B$2:$D$999999,3,FALSE),"")</f>
      </c>
      <c r="F710" s="1" t="str">
        <f>IFERROR(VLOOKUP(B710,'SB1'!$A$2:$C$999999,3,FALSE),"")</f>
        <v>503</v>
      </c>
      <c r="G710" s="3" t="e">
        <f t="shared" si="27"/>
        <v>#VALUE!</v>
      </c>
      <c r="H710" s="3" t="e">
        <f t="shared" si="26"/>
        <v>#VALUE!</v>
      </c>
      <c r="I710" s="1">
        <v>2</v>
      </c>
    </row>
    <row r="711" spans="1:9" x14ac:dyDescent="0.25">
      <c r="A711" s="1" t="s">
        <v>14435</v>
      </c>
      <c r="B711" s="1" t="s">
        <v>1909</v>
      </c>
      <c r="C711" s="1" t="str">
        <f>IFERROR(VLOOKUP(B711,'SB1'!$A$2:$B$999999,2,FALSE),"")</f>
        <v>ESCALERA DE ALUMINIO SIN FIN BOMBERO 12 ESC.</v>
      </c>
      <c r="D711" s="1" t="s">
        <v>14471</v>
      </c>
      <c r="E711" s="3">
        <f>IFERROR(VLOOKUP(B711,'DA1'!$B$2:$D$999999,3,FALSE),"")</f>
      </c>
      <c r="F711" s="1" t="str">
        <f>IFERROR(VLOOKUP(B711,'SB1'!$A$2:$C$999999,3,FALSE),"")</f>
        <v>503</v>
      </c>
      <c r="G711" s="3" t="e">
        <f t="shared" si="27"/>
        <v>#VALUE!</v>
      </c>
      <c r="H711" s="3" t="e">
        <f t="shared" si="26"/>
        <v>#VALUE!</v>
      </c>
      <c r="I711" s="1">
        <v>2</v>
      </c>
    </row>
    <row r="712" spans="1:9" x14ac:dyDescent="0.25">
      <c r="A712" s="1" t="s">
        <v>14435</v>
      </c>
      <c r="B712" s="1" t="s">
        <v>1911</v>
      </c>
      <c r="C712" s="1" t="str">
        <f>IFERROR(VLOOKUP(B712,'SB1'!$A$2:$B$999999,2,FALSE),"")</f>
        <v>ESCALERA DE ALUMINIO SIN FIN BOMBERO 14 ESC.</v>
      </c>
      <c r="D712" s="1" t="s">
        <v>14471</v>
      </c>
      <c r="E712" s="3">
        <f>IFERROR(VLOOKUP(B712,'DA1'!$B$2:$D$999999,3,FALSE),"")</f>
      </c>
      <c r="F712" s="1" t="str">
        <f>IFERROR(VLOOKUP(B712,'SB1'!$A$2:$C$999999,3,FALSE),"")</f>
        <v>503</v>
      </c>
      <c r="G712" s="3" t="e">
        <f t="shared" si="27"/>
        <v>#VALUE!</v>
      </c>
      <c r="H712" s="3" t="e">
        <f t="shared" si="26"/>
        <v>#VALUE!</v>
      </c>
      <c r="I712" s="1">
        <v>2</v>
      </c>
    </row>
    <row r="713" spans="1:9" x14ac:dyDescent="0.25">
      <c r="A713" s="1" t="s">
        <v>14435</v>
      </c>
      <c r="B713" s="1" t="s">
        <v>1913</v>
      </c>
      <c r="C713" s="1" t="str">
        <f>IFERROR(VLOOKUP(B713,'SB1'!$A$2:$B$999999,2,FALSE),"")</f>
        <v>ESCALERA DE ALUMINIO SIN FIN BOMBERO 16 ESC.</v>
      </c>
      <c r="D713" s="1" t="s">
        <v>14471</v>
      </c>
      <c r="E713" s="3">
        <f>IFERROR(VLOOKUP(B713,'DA1'!$B$2:$D$999999,3,FALSE),"")</f>
      </c>
      <c r="F713" s="1" t="str">
        <f>IFERROR(VLOOKUP(B713,'SB1'!$A$2:$C$999999,3,FALSE),"")</f>
        <v>503</v>
      </c>
      <c r="G713" s="3" t="e">
        <f t="shared" si="27"/>
        <v>#VALUE!</v>
      </c>
      <c r="H713" s="3" t="e">
        <f t="shared" si="26"/>
        <v>#VALUE!</v>
      </c>
      <c r="I713" s="1">
        <v>2</v>
      </c>
    </row>
    <row r="714" spans="1:9" x14ac:dyDescent="0.25">
      <c r="A714" s="1" t="s">
        <v>14435</v>
      </c>
      <c r="B714" s="1" t="s">
        <v>1915</v>
      </c>
      <c r="C714" s="1" t="str">
        <f>IFERROR(VLOOKUP(B714,'SB1'!$A$2:$B$999999,2,FALSE),"")</f>
        <v>ESCALERA DE ALUMINIO SIN FIN BOMBERO 18 ESC.</v>
      </c>
      <c r="D714" s="1" t="s">
        <v>14471</v>
      </c>
      <c r="E714" s="3">
        <f>IFERROR(VLOOKUP(B714,'DA1'!$B$2:$D$999999,3,FALSE),"")</f>
      </c>
      <c r="F714" s="1" t="str">
        <f>IFERROR(VLOOKUP(B714,'SB1'!$A$2:$C$999999,3,FALSE),"")</f>
        <v>503</v>
      </c>
      <c r="G714" s="3" t="e">
        <f t="shared" si="27"/>
        <v>#VALUE!</v>
      </c>
      <c r="H714" s="3" t="e">
        <f t="shared" si="26"/>
        <v>#VALUE!</v>
      </c>
      <c r="I714" s="1">
        <v>2</v>
      </c>
    </row>
    <row r="715" spans="1:9" x14ac:dyDescent="0.25">
      <c r="A715" s="1" t="s">
        <v>14435</v>
      </c>
      <c r="B715" s="1" t="s">
        <v>1917</v>
      </c>
      <c r="C715" s="1" t="str">
        <f>IFERROR(VLOOKUP(B715,'SB1'!$A$2:$B$999999,2,FALSE),"")</f>
        <v>ESCALERA DE ALUMINIO SIN FIN BOMBERO 20 ESC.</v>
      </c>
      <c r="D715" s="1" t="s">
        <v>14471</v>
      </c>
      <c r="E715" s="3">
        <f>IFERROR(VLOOKUP(B715,'DA1'!$B$2:$D$999999,3,FALSE),"")</f>
      </c>
      <c r="F715" s="1" t="str">
        <f>IFERROR(VLOOKUP(B715,'SB1'!$A$2:$C$999999,3,FALSE),"")</f>
        <v>503</v>
      </c>
      <c r="G715" s="3" t="e">
        <f t="shared" si="27"/>
        <v>#VALUE!</v>
      </c>
      <c r="H715" s="3" t="e">
        <f t="shared" si="26"/>
        <v>#VALUE!</v>
      </c>
      <c r="I715" s="1">
        <v>2</v>
      </c>
    </row>
    <row r="716" spans="1:9" x14ac:dyDescent="0.25">
      <c r="A716" s="1" t="s">
        <v>14435</v>
      </c>
      <c r="B716" s="1" t="s">
        <v>1919</v>
      </c>
      <c r="C716" s="1" t="str">
        <f>IFERROR(VLOOKUP(B716,'SB1'!$A$2:$B$999999,2,FALSE),"")</f>
        <v>LACA UREICA COLVINIL BRILLANTE BLANCA C/CAT. X 18</v>
      </c>
      <c r="D716" s="1" t="s">
        <v>14453</v>
      </c>
      <c r="E716" s="3">
        <f>IFERROR(VLOOKUP(B716,'DA1'!$B$2:$D$999999,3,FALSE),"")</f>
      </c>
      <c r="F716" s="1" t="str">
        <f>IFERROR(VLOOKUP(B716,'SB1'!$A$2:$C$999999,3,FALSE),"")</f>
        <v>503</v>
      </c>
      <c r="G716" s="3" t="e">
        <f t="shared" si="27"/>
        <v>#VALUE!</v>
      </c>
      <c r="H716" s="3" t="e">
        <f t="shared" si="26"/>
        <v>#VALUE!</v>
      </c>
      <c r="I716" s="1">
        <v>1</v>
      </c>
    </row>
    <row r="717" spans="1:9" x14ac:dyDescent="0.25">
      <c r="A717" s="1" t="s">
        <v>14435</v>
      </c>
      <c r="B717" s="1" t="s">
        <v>1921</v>
      </c>
      <c r="C717" s="1" t="str">
        <f>IFERROR(VLOOKUP(B717,'SB1'!$A$2:$B$999999,2,FALSE),"")</f>
        <v>ESCALERA DE MADERA SIN FIN FAMILIAR DOBLE 6</v>
      </c>
      <c r="D717" s="1" t="s">
        <v>14471</v>
      </c>
      <c r="E717" s="3">
        <f>IFERROR(VLOOKUP(B717,'DA1'!$B$2:$D$999999,3,FALSE),"")</f>
      </c>
      <c r="F717" s="1" t="str">
        <f>IFERROR(VLOOKUP(B717,'SB1'!$A$2:$C$999999,3,FALSE),"")</f>
        <v>503</v>
      </c>
      <c r="G717" s="3" t="e">
        <f t="shared" si="27"/>
        <v>#VALUE!</v>
      </c>
      <c r="H717" s="3" t="e">
        <f t="shared" si="26"/>
        <v>#VALUE!</v>
      </c>
      <c r="I717" s="1">
        <v>1</v>
      </c>
    </row>
    <row r="718" spans="1:9" x14ac:dyDescent="0.25">
      <c r="A718" s="1" t="s">
        <v>14435</v>
      </c>
      <c r="B718" s="1" t="s">
        <v>1923</v>
      </c>
      <c r="C718" s="1" t="str">
        <f>IFERROR(VLOOKUP(B718,'SB1'!$A$2:$B$999999,2,FALSE),"")</f>
        <v>ESCALERA DE MADERA SIN FIN FAMILIAR DOBLE 7</v>
      </c>
      <c r="D718" s="1" t="s">
        <v>14471</v>
      </c>
      <c r="E718" s="3">
        <f>IFERROR(VLOOKUP(B718,'DA1'!$B$2:$D$999999,3,FALSE),"")</f>
      </c>
      <c r="F718" s="1" t="str">
        <f>IFERROR(VLOOKUP(B718,'SB1'!$A$2:$C$999999,3,FALSE),"")</f>
        <v>503</v>
      </c>
      <c r="G718" s="3" t="e">
        <f t="shared" si="27"/>
        <v>#VALUE!</v>
      </c>
      <c r="H718" s="3" t="e">
        <f t="shared" si="26"/>
        <v>#VALUE!</v>
      </c>
      <c r="I718" s="1">
        <v>1</v>
      </c>
    </row>
    <row r="719" spans="1:9" x14ac:dyDescent="0.25">
      <c r="A719" s="1" t="s">
        <v>14435</v>
      </c>
      <c r="B719" s="1" t="s">
        <v>1925</v>
      </c>
      <c r="C719" s="1" t="str">
        <f>IFERROR(VLOOKUP(B719,'SB1'!$A$2:$B$999999,2,FALSE),"")</f>
        <v>ESCALERA DE MADERA SIN FIN FAMILIAR DOBLE 8</v>
      </c>
      <c r="D719" s="1" t="s">
        <v>14471</v>
      </c>
      <c r="E719" s="3">
        <f>IFERROR(VLOOKUP(B719,'DA1'!$B$2:$D$999999,3,FALSE),"")</f>
      </c>
      <c r="F719" s="1" t="str">
        <f>IFERROR(VLOOKUP(B719,'SB1'!$A$2:$C$999999,3,FALSE),"")</f>
        <v>503</v>
      </c>
      <c r="G719" s="3" t="e">
        <f t="shared" si="27"/>
        <v>#VALUE!</v>
      </c>
      <c r="H719" s="3" t="e">
        <f t="shared" si="26"/>
        <v>#VALUE!</v>
      </c>
      <c r="I719" s="1">
        <v>1</v>
      </c>
    </row>
    <row r="720" spans="1:9" x14ac:dyDescent="0.25">
      <c r="A720" s="1" t="s">
        <v>14435</v>
      </c>
      <c r="B720" s="1" t="s">
        <v>1927</v>
      </c>
      <c r="C720" s="1" t="str">
        <f>IFERROR(VLOOKUP(B720,'SB1'!$A$2:$B$999999,2,FALSE),"")</f>
        <v>LACA UREICA COLVINIL SATINADA BLANCA C/CAT. X 18</v>
      </c>
      <c r="D720" s="1" t="s">
        <v>14453</v>
      </c>
      <c r="E720" s="3">
        <f>IFERROR(VLOOKUP(B720,'DA1'!$B$2:$D$999999,3,FALSE),"")</f>
      </c>
      <c r="F720" s="1" t="str">
        <f>IFERROR(VLOOKUP(B720,'SB1'!$A$2:$C$999999,3,FALSE),"")</f>
        <v>503</v>
      </c>
      <c r="G720" s="3" t="e">
        <f t="shared" si="27"/>
        <v>#VALUE!</v>
      </c>
      <c r="H720" s="3" t="e">
        <f t="shared" si="26"/>
        <v>#VALUE!</v>
      </c>
      <c r="I720" s="1">
        <v>1</v>
      </c>
    </row>
    <row r="721" spans="1:9" x14ac:dyDescent="0.25">
      <c r="A721" s="1" t="s">
        <v>14435</v>
      </c>
      <c r="B721" s="1" t="s">
        <v>1937</v>
      </c>
      <c r="C721" s="1" t="str">
        <f>IFERROR(VLOOKUP(B721,'SB1'!$A$2:$B$999999,2,FALSE),"")</f>
        <v>LLANA PLASTICA LH 12X25</v>
      </c>
      <c r="D721" s="1" t="s">
        <v>14461</v>
      </c>
      <c r="E721" s="3">
        <f>IFERROR(VLOOKUP(B721,'DA1'!$B$2:$D$999999,3,FALSE),"")</f>
      </c>
      <c r="F721" s="1" t="str">
        <f>IFERROR(VLOOKUP(B721,'SB1'!$A$2:$C$999999,3,FALSE),"")</f>
        <v>503</v>
      </c>
      <c r="G721" s="3" t="e">
        <f t="shared" si="27"/>
        <v>#VALUE!</v>
      </c>
      <c r="H721" s="3" t="e">
        <f t="shared" si="26"/>
        <v>#VALUE!</v>
      </c>
      <c r="I721" s="1">
        <v>1</v>
      </c>
    </row>
    <row r="722" spans="1:9" x14ac:dyDescent="0.25">
      <c r="A722" s="1" t="s">
        <v>14435</v>
      </c>
      <c r="B722" s="1" t="s">
        <v>1939</v>
      </c>
      <c r="C722" s="1" t="str">
        <f>IFERROR(VLOOKUP(B722,'SB1'!$A$2:$B$999999,2,FALSE),"")</f>
        <v>LLANA PLASTICA LH 14X30</v>
      </c>
      <c r="D722" s="1" t="s">
        <v>14461</v>
      </c>
      <c r="E722" s="3">
        <f>IFERROR(VLOOKUP(B722,'DA1'!$B$2:$D$999999,3,FALSE),"")</f>
      </c>
      <c r="F722" s="1" t="str">
        <f>IFERROR(VLOOKUP(B722,'SB1'!$A$2:$C$999999,3,FALSE),"")</f>
        <v>503</v>
      </c>
      <c r="G722" s="3" t="e">
        <f t="shared" si="27"/>
        <v>#VALUE!</v>
      </c>
      <c r="H722" s="3" t="e">
        <f t="shared" si="26"/>
        <v>#VALUE!</v>
      </c>
      <c r="I722" s="1">
        <v>1</v>
      </c>
    </row>
    <row r="723" spans="1:9" x14ac:dyDescent="0.25">
      <c r="A723" s="1" t="s">
        <v>14435</v>
      </c>
      <c r="B723" s="1" t="s">
        <v>1949</v>
      </c>
      <c r="C723" s="1" t="str">
        <f>IFERROR(VLOOKUP(B723,'SB1'!$A$2:$B$999999,2,FALSE),"")</f>
        <v>LATEX INTERIOR ALBALATEX DESIGN TOQUE DE LUZ MATE BLANCO X  1</v>
      </c>
      <c r="D723" s="1" t="s">
        <v>14441</v>
      </c>
      <c r="E723" s="3">
        <f>IFERROR(VLOOKUP(B723,'DA1'!$B$2:$D$999999,3,FALSE),"")</f>
      </c>
      <c r="F723" s="1" t="str">
        <f>IFERROR(VLOOKUP(B723,'SB1'!$A$2:$C$999999,3,FALSE),"")</f>
        <v>503</v>
      </c>
      <c r="G723" s="3" t="e">
        <f t="shared" si="27"/>
        <v>#VALUE!</v>
      </c>
      <c r="H723" s="3" t="e">
        <f t="shared" si="26"/>
        <v>#VALUE!</v>
      </c>
      <c r="I723" s="1">
        <v>1</v>
      </c>
    </row>
    <row r="724" spans="1:9" x14ac:dyDescent="0.25">
      <c r="A724" s="1" t="s">
        <v>14435</v>
      </c>
      <c r="B724" s="1" t="s">
        <v>1951</v>
      </c>
      <c r="C724" s="1" t="str">
        <f>IFERROR(VLOOKUP(B724,'SB1'!$A$2:$B$999999,2,FALSE),"")</f>
        <v>LATEX INTERIOR ALBALATEX DESIGN TOQUE DE LUZ MATE BLANCO X  4</v>
      </c>
      <c r="D724" s="1" t="s">
        <v>14441</v>
      </c>
      <c r="E724" s="3">
        <f>IFERROR(VLOOKUP(B724,'DA1'!$B$2:$D$999999,3,FALSE),"")</f>
      </c>
      <c r="F724" s="1" t="str">
        <f>IFERROR(VLOOKUP(B724,'SB1'!$A$2:$C$999999,3,FALSE),"")</f>
        <v>503</v>
      </c>
      <c r="G724" s="3" t="e">
        <f t="shared" si="27"/>
        <v>#VALUE!</v>
      </c>
      <c r="H724" s="3" t="e">
        <f t="shared" si="26"/>
        <v>#VALUE!</v>
      </c>
      <c r="I724" s="1">
        <v>1</v>
      </c>
    </row>
    <row r="725" spans="1:9" x14ac:dyDescent="0.25">
      <c r="A725" s="1" t="s">
        <v>14435</v>
      </c>
      <c r="B725" s="1" t="s">
        <v>1953</v>
      </c>
      <c r="C725" s="1" t="str">
        <f>IFERROR(VLOOKUP(B725,'SB1'!$A$2:$B$999999,2,FALSE),"")</f>
        <v>LATEX INTERIOR ALBALATEX DESIGN TOQUE DE LUZ MATE BLANCO X 10</v>
      </c>
      <c r="D725" s="1" t="s">
        <v>14441</v>
      </c>
      <c r="E725" s="3">
        <f>IFERROR(VLOOKUP(B725,'DA1'!$B$2:$D$999999,3,FALSE),"")</f>
      </c>
      <c r="F725" s="1" t="str">
        <f>IFERROR(VLOOKUP(B725,'SB1'!$A$2:$C$999999,3,FALSE),"")</f>
        <v>503</v>
      </c>
      <c r="G725" s="3" t="e">
        <f t="shared" si="27"/>
        <v>#VALUE!</v>
      </c>
      <c r="H725" s="3" t="e">
        <f t="shared" si="26"/>
        <v>#VALUE!</v>
      </c>
      <c r="I725" s="1">
        <v>1</v>
      </c>
    </row>
    <row r="726" spans="1:9" x14ac:dyDescent="0.25">
      <c r="A726" s="1" t="s">
        <v>14435</v>
      </c>
      <c r="B726" s="1" t="s">
        <v>1955</v>
      </c>
      <c r="C726" s="1" t="str">
        <f>IFERROR(VLOOKUP(B726,'SB1'!$A$2:$B$999999,2,FALSE),"")</f>
        <v>LATEX INTERIOR ALBALATEX DESIGN TOQUE DE LUZ MATE BLANCO X 20</v>
      </c>
      <c r="D726" s="1" t="s">
        <v>14441</v>
      </c>
      <c r="E726" s="3">
        <f>IFERROR(VLOOKUP(B726,'DA1'!$B$2:$D$999999,3,FALSE),"")</f>
      </c>
      <c r="F726" s="1" t="str">
        <f>IFERROR(VLOOKUP(B726,'SB1'!$A$2:$C$999999,3,FALSE),"")</f>
        <v>503</v>
      </c>
      <c r="G726" s="3" t="e">
        <f t="shared" si="27"/>
        <v>#VALUE!</v>
      </c>
      <c r="H726" s="3" t="e">
        <f t="shared" si="26"/>
        <v>#VALUE!</v>
      </c>
      <c r="I726" s="1">
        <v>1</v>
      </c>
    </row>
    <row r="727" spans="1:9" x14ac:dyDescent="0.25">
      <c r="A727" s="1" t="s">
        <v>14435</v>
      </c>
      <c r="B727" s="1" t="s">
        <v>1957</v>
      </c>
      <c r="C727" s="1" t="str">
        <f>IFERROR(VLOOKUP(B727,'SB1'!$A$2:$B$999999,2,FALSE),"")</f>
        <v>RODILLO LUMAR EPOXI PELO CORTO ANCHO  5(70/A)</v>
      </c>
      <c r="D727" s="1" t="s">
        <v>14467</v>
      </c>
      <c r="E727" s="3">
        <f>IFERROR(VLOOKUP(B727,'DA1'!$B$2:$D$999999,3,FALSE),"")</f>
      </c>
      <c r="F727" s="1" t="str">
        <f>IFERROR(VLOOKUP(B727,'SB1'!$A$2:$C$999999,3,FALSE),"")</f>
        <v>503</v>
      </c>
      <c r="G727" s="3" t="e">
        <f t="shared" si="27"/>
        <v>#VALUE!</v>
      </c>
      <c r="H727" s="3" t="e">
        <f t="shared" si="26"/>
        <v>#VALUE!</v>
      </c>
      <c r="I727" s="1">
        <v>1</v>
      </c>
    </row>
    <row r="728" spans="1:9" x14ac:dyDescent="0.25">
      <c r="A728" s="1" t="s">
        <v>14435</v>
      </c>
      <c r="B728" s="1" t="s">
        <v>1959</v>
      </c>
      <c r="C728" s="1" t="str">
        <f>IFERROR(VLOOKUP(B728,'SB1'!$A$2:$B$999999,2,FALSE),"")</f>
        <v>RODILLO LUMAR EPOXI PELO CORTO ANCHO  8(70/B)</v>
      </c>
      <c r="D728" s="1" t="s">
        <v>14467</v>
      </c>
      <c r="E728" s="3">
        <f>IFERROR(VLOOKUP(B728,'DA1'!$B$2:$D$999999,3,FALSE),"")</f>
      </c>
      <c r="F728" s="1" t="str">
        <f>IFERROR(VLOOKUP(B728,'SB1'!$A$2:$C$999999,3,FALSE),"")</f>
        <v>503</v>
      </c>
      <c r="G728" s="3" t="e">
        <f t="shared" si="27"/>
        <v>#VALUE!</v>
      </c>
      <c r="H728" s="3" t="e">
        <f t="shared" si="26"/>
        <v>#VALUE!</v>
      </c>
      <c r="I728" s="1">
        <v>1</v>
      </c>
    </row>
    <row r="729" spans="1:9" x14ac:dyDescent="0.25">
      <c r="A729" s="1" t="s">
        <v>14435</v>
      </c>
      <c r="B729" s="1" t="s">
        <v>1961</v>
      </c>
      <c r="C729" s="1" t="str">
        <f>IFERROR(VLOOKUP(B729,'SB1'!$A$2:$B$999999,2,FALSE),"")</f>
        <v>RODILLO LUMAR EPOXI PELO CORTO ANCHO 10(70/C)</v>
      </c>
      <c r="D729" s="1" t="s">
        <v>14467</v>
      </c>
      <c r="E729" s="3">
        <f>IFERROR(VLOOKUP(B729,'DA1'!$B$2:$D$999999,3,FALSE),"")</f>
      </c>
      <c r="F729" s="1" t="str">
        <f>IFERROR(VLOOKUP(B729,'SB1'!$A$2:$C$999999,3,FALSE),"")</f>
        <v>503</v>
      </c>
      <c r="G729" s="3" t="e">
        <f t="shared" si="27"/>
        <v>#VALUE!</v>
      </c>
      <c r="H729" s="3" t="e">
        <f t="shared" si="26"/>
        <v>#VALUE!</v>
      </c>
      <c r="I729" s="1">
        <v>1</v>
      </c>
    </row>
    <row r="730" spans="1:9" x14ac:dyDescent="0.25">
      <c r="A730" s="1" t="s">
        <v>14435</v>
      </c>
      <c r="B730" s="1" t="s">
        <v>1963</v>
      </c>
      <c r="C730" s="1" t="str">
        <f>IFERROR(VLOOKUP(B730,'SB1'!$A$2:$B$999999,2,FALSE),"")</f>
        <v>LATEX PARA CIELORRASOS PLAVICON MATE BLANCO X  1</v>
      </c>
      <c r="D730" s="1" t="s">
        <v>14458</v>
      </c>
      <c r="E730" s="3">
        <f>IFERROR(VLOOKUP(B730,'DA1'!$B$2:$D$999999,3,FALSE),"")</f>
      </c>
      <c r="F730" s="1" t="str">
        <f>IFERROR(VLOOKUP(B730,'SB1'!$A$2:$C$999999,3,FALSE),"")</f>
        <v>503</v>
      </c>
      <c r="G730" s="3" t="e">
        <f t="shared" si="27"/>
        <v>#VALUE!</v>
      </c>
      <c r="H730" s="3" t="e">
        <f t="shared" si="26"/>
        <v>#VALUE!</v>
      </c>
      <c r="I730" s="1">
        <v>1</v>
      </c>
    </row>
    <row r="731" spans="1:9" x14ac:dyDescent="0.25">
      <c r="A731" s="1" t="s">
        <v>14435</v>
      </c>
      <c r="B731" s="1" t="s">
        <v>1965</v>
      </c>
      <c r="C731" s="1" t="str">
        <f>IFERROR(VLOOKUP(B731,'SB1'!$A$2:$B$999999,2,FALSE),"")</f>
        <v>LATEX PARA CIELORRASOS PLAVICON MATE BLANCO X  4</v>
      </c>
      <c r="D731" s="1" t="s">
        <v>14458</v>
      </c>
      <c r="E731" s="3">
        <f>IFERROR(VLOOKUP(B731,'DA1'!$B$2:$D$999999,3,FALSE),"")</f>
      </c>
      <c r="F731" s="1" t="str">
        <f>IFERROR(VLOOKUP(B731,'SB1'!$A$2:$C$999999,3,FALSE),"")</f>
        <v>503</v>
      </c>
      <c r="G731" s="3" t="e">
        <f t="shared" si="27"/>
        <v>#VALUE!</v>
      </c>
      <c r="H731" s="3" t="e">
        <f t="shared" si="26"/>
        <v>#VALUE!</v>
      </c>
      <c r="I731" s="1">
        <v>1</v>
      </c>
    </row>
    <row r="732" spans="1:9" x14ac:dyDescent="0.25">
      <c r="A732" s="1" t="s">
        <v>14435</v>
      </c>
      <c r="B732" s="1" t="s">
        <v>1967</v>
      </c>
      <c r="C732" s="1" t="str">
        <f>IFERROR(VLOOKUP(B732,'SB1'!$A$2:$B$999999,2,FALSE),"")</f>
        <v>PINCELETA ROSARPIN 8000 C.CH.40</v>
      </c>
      <c r="D732" s="1" t="s">
        <v>14460</v>
      </c>
      <c r="E732" s="3">
        <f>IFERROR(VLOOKUP(B732,'DA1'!$B$2:$D$999999,3,FALSE),"")</f>
      </c>
      <c r="F732" s="1" t="str">
        <f>IFERROR(VLOOKUP(B732,'SB1'!$A$2:$C$999999,3,FALSE),"")</f>
        <v>503</v>
      </c>
      <c r="G732" s="3" t="e">
        <f t="shared" si="27"/>
        <v>#VALUE!</v>
      </c>
      <c r="H732" s="3" t="e">
        <f t="shared" si="26"/>
        <v>#VALUE!</v>
      </c>
      <c r="I732" s="1">
        <v>1</v>
      </c>
    </row>
    <row r="733" spans="1:9" x14ac:dyDescent="0.25">
      <c r="A733" s="1" t="s">
        <v>14435</v>
      </c>
      <c r="B733" s="1" t="s">
        <v>1969</v>
      </c>
      <c r="C733" s="1" t="str">
        <f>IFERROR(VLOOKUP(B733,'SB1'!$A$2:$B$999999,2,FALSE),"")</f>
        <v>PEGAMENTO LA GOTITA GEL X 3</v>
      </c>
      <c r="D733" s="1" t="s">
        <v>14459</v>
      </c>
      <c r="E733" s="3">
        <f>IFERROR(VLOOKUP(B733,'DA1'!$B$2:$D$999999,3,FALSE),"")</f>
      </c>
      <c r="F733" s="1" t="str">
        <f>IFERROR(VLOOKUP(B733,'SB1'!$A$2:$C$999999,3,FALSE),"")</f>
        <v>503</v>
      </c>
      <c r="G733" s="3" t="e">
        <f t="shared" si="27"/>
        <v>#VALUE!</v>
      </c>
      <c r="H733" s="3" t="e">
        <f t="shared" si="26"/>
        <v>#VALUE!</v>
      </c>
      <c r="I733" s="1">
        <v>1</v>
      </c>
    </row>
    <row r="734" spans="1:9" x14ac:dyDescent="0.25">
      <c r="A734" s="1" t="s">
        <v>14435</v>
      </c>
      <c r="B734" s="1" t="s">
        <v>1971</v>
      </c>
      <c r="C734" s="1" t="str">
        <f>IFERROR(VLOOKUP(B734,'SB1'!$A$2:$B$999999,2,FALSE),"")</f>
        <v>RODILLO LUMAR EPOXI PELO CORTO 18(910B)</v>
      </c>
      <c r="D734" s="1" t="s">
        <v>14467</v>
      </c>
      <c r="E734" s="3">
        <f>IFERROR(VLOOKUP(B734,'DA1'!$B$2:$D$999999,3,FALSE),"")</f>
      </c>
      <c r="F734" s="1" t="str">
        <f>IFERROR(VLOOKUP(B734,'SB1'!$A$2:$C$999999,3,FALSE),"")</f>
        <v>503</v>
      </c>
      <c r="G734" s="3" t="e">
        <f t="shared" si="27"/>
        <v>#VALUE!</v>
      </c>
      <c r="H734" s="3" t="e">
        <f t="shared" si="26"/>
        <v>#VALUE!</v>
      </c>
      <c r="I734" s="1">
        <v>1</v>
      </c>
    </row>
    <row r="735" spans="1:9" x14ac:dyDescent="0.25">
      <c r="A735" s="1" t="s">
        <v>14435</v>
      </c>
      <c r="B735" s="1" t="s">
        <v>1973</v>
      </c>
      <c r="C735" s="1" t="str">
        <f>IFERROR(VLOOKUP(B735,'SB1'!$A$2:$B$999999,2,FALSE),"")</f>
        <v>RODILLO LUMAR EPOXI PELO CORTO 22(910C)</v>
      </c>
      <c r="D735" s="1" t="s">
        <v>14467</v>
      </c>
      <c r="E735" s="3">
        <f>IFERROR(VLOOKUP(B735,'DA1'!$B$2:$D$999999,3,FALSE),"")</f>
      </c>
      <c r="F735" s="1" t="str">
        <f>IFERROR(VLOOKUP(B735,'SB1'!$A$2:$C$999999,3,FALSE),"")</f>
        <v>503</v>
      </c>
      <c r="G735" s="3" t="e">
        <f t="shared" si="27"/>
        <v>#VALUE!</v>
      </c>
      <c r="H735" s="3" t="e">
        <f t="shared" si="26"/>
        <v>#VALUE!</v>
      </c>
      <c r="I735" s="1">
        <v>1</v>
      </c>
    </row>
    <row r="736" spans="1:9" x14ac:dyDescent="0.25">
      <c r="A736" s="1" t="s">
        <v>14435</v>
      </c>
      <c r="B736" s="1" t="s">
        <v>1975</v>
      </c>
      <c r="C736" s="1" t="str">
        <f>IFERROR(VLOOKUP(B736,'SB1'!$A$2:$B$999999,2,FALSE),"")</f>
        <v>RODILLO LUMAR LUDAMAR LANA MARRON 17 (110B)</v>
      </c>
      <c r="D736" s="1" t="s">
        <v>14467</v>
      </c>
      <c r="E736" s="3">
        <f>IFERROR(VLOOKUP(B736,'DA1'!$B$2:$D$999999,3,FALSE),"")</f>
      </c>
      <c r="F736" s="1" t="str">
        <f>IFERROR(VLOOKUP(B736,'SB1'!$A$2:$C$999999,3,FALSE),"")</f>
        <v>503</v>
      </c>
      <c r="G736" s="3" t="e">
        <f t="shared" si="27"/>
        <v>#VALUE!</v>
      </c>
      <c r="H736" s="3" t="e">
        <f t="shared" si="26"/>
        <v>#VALUE!</v>
      </c>
      <c r="I736" s="1">
        <v>1</v>
      </c>
    </row>
    <row r="737" spans="1:9" x14ac:dyDescent="0.25">
      <c r="A737" s="1" t="s">
        <v>14435</v>
      </c>
      <c r="B737" s="1" t="s">
        <v>1977</v>
      </c>
      <c r="C737" s="1" t="str">
        <f>IFERROR(VLOOKUP(B737,'SB1'!$A$2:$B$999999,2,FALSE),"")</f>
        <v>RODILLO LUMAR LUDAMAR LANA MARRON 22 (110C)</v>
      </c>
      <c r="D737" s="1" t="s">
        <v>14467</v>
      </c>
      <c r="E737" s="3">
        <f>IFERROR(VLOOKUP(B737,'DA1'!$B$2:$D$999999,3,FALSE),"")</f>
      </c>
      <c r="F737" s="1" t="str">
        <f>IFERROR(VLOOKUP(B737,'SB1'!$A$2:$C$999999,3,FALSE),"")</f>
        <v>503</v>
      </c>
      <c r="G737" s="3" t="e">
        <f t="shared" si="27"/>
        <v>#VALUE!</v>
      </c>
      <c r="H737" s="3" t="e">
        <f t="shared" si="26"/>
        <v>#VALUE!</v>
      </c>
      <c r="I737" s="1">
        <v>1</v>
      </c>
    </row>
    <row r="738" spans="1:9" x14ac:dyDescent="0.25">
      <c r="A738" s="1" t="s">
        <v>14435</v>
      </c>
      <c r="B738" s="1" t="s">
        <v>1979</v>
      </c>
      <c r="C738" s="1" t="str">
        <f>IFERROR(VLOOKUP(B738,'SB1'!$A$2:$B$999999,2,FALSE),"")</f>
        <v>DISCO PIEL LUMAR ESPECIAL (50)</v>
      </c>
      <c r="D738" s="1" t="s">
        <v>14467</v>
      </c>
      <c r="E738" s="3">
        <f>IFERROR(VLOOKUP(B738,'DA1'!$B$2:$D$999999,3,FALSE),"")</f>
      </c>
      <c r="F738" s="1" t="str">
        <f>IFERROR(VLOOKUP(B738,'SB1'!$A$2:$C$999999,3,FALSE),"")</f>
        <v>503</v>
      </c>
      <c r="G738" s="3" t="e">
        <f t="shared" si="27"/>
        <v>#VALUE!</v>
      </c>
      <c r="H738" s="3" t="e">
        <f t="shared" si="26"/>
        <v>#VALUE!</v>
      </c>
      <c r="I738" s="1">
        <v>1</v>
      </c>
    </row>
    <row r="739" spans="1:9" x14ac:dyDescent="0.25">
      <c r="A739" s="1" t="s">
        <v>14435</v>
      </c>
      <c r="B739" s="1" t="s">
        <v>1981</v>
      </c>
      <c r="C739" s="1" t="str">
        <f>IFERROR(VLOOKUP(B739,'SB1'!$A$2:$B$999999,2,FALSE),"")</f>
        <v>DISCO PIEL COMUN X 2 (55)</v>
      </c>
      <c r="D739" s="1" t="s">
        <v>14467</v>
      </c>
      <c r="E739" s="3">
        <f>IFERROR(VLOOKUP(B739,'DA1'!$B$2:$D$999999,3,FALSE),"")</f>
      </c>
      <c r="F739" s="1" t="str">
        <f>IFERROR(VLOOKUP(B739,'SB1'!$A$2:$C$999999,3,FALSE),"")</f>
        <v>503</v>
      </c>
      <c r="G739" s="3" t="e">
        <f t="shared" si="27"/>
        <v>#VALUE!</v>
      </c>
      <c r="H739" s="3" t="e">
        <f t="shared" ref="H739:H802" si="28">G739*1.21</f>
        <v>#VALUE!</v>
      </c>
      <c r="I739" s="1">
        <v>1</v>
      </c>
    </row>
    <row r="740" spans="1:9" x14ac:dyDescent="0.25">
      <c r="A740" s="1" t="s">
        <v>14435</v>
      </c>
      <c r="B740" s="1" t="s">
        <v>1983</v>
      </c>
      <c r="C740" s="1" t="str">
        <f>IFERROR(VLOOKUP(B740,'SB1'!$A$2:$B$999999,2,FALSE),"")</f>
        <v>RODILLO LUMAR POLIESTER ESPECIAL 10 (410A)</v>
      </c>
      <c r="D740" s="1" t="s">
        <v>14467</v>
      </c>
      <c r="E740" s="3">
        <f>IFERROR(VLOOKUP(B740,'DA1'!$B$2:$D$999999,3,FALSE),"")</f>
      </c>
      <c r="F740" s="1" t="str">
        <f>IFERROR(VLOOKUP(B740,'SB1'!$A$2:$C$999999,3,FALSE),"")</f>
        <v>503</v>
      </c>
      <c r="G740" s="3" t="e">
        <f t="shared" si="27"/>
        <v>#VALUE!</v>
      </c>
      <c r="H740" s="3" t="e">
        <f t="shared" si="28"/>
        <v>#VALUE!</v>
      </c>
      <c r="I740" s="1">
        <v>1</v>
      </c>
    </row>
    <row r="741" spans="1:9" x14ac:dyDescent="0.25">
      <c r="A741" s="1" t="s">
        <v>14435</v>
      </c>
      <c r="B741" s="1" t="s">
        <v>1985</v>
      </c>
      <c r="C741" s="1" t="str">
        <f>IFERROR(VLOOKUP(B741,'SB1'!$A$2:$B$999999,2,FALSE),"")</f>
        <v>LIJA DOBLE A MASTER N 320</v>
      </c>
      <c r="D741" s="1" t="s">
        <v>14451</v>
      </c>
      <c r="E741" s="3">
        <f>IFERROR(VLOOKUP(B741,'DA1'!$B$2:$D$999999,3,FALSE),"")</f>
      </c>
      <c r="F741" s="1" t="str">
        <f>IFERROR(VLOOKUP(B741,'SB1'!$A$2:$C$999999,3,FALSE),"")</f>
        <v>503</v>
      </c>
      <c r="G741" s="3" t="e">
        <f t="shared" si="27"/>
        <v>#VALUE!</v>
      </c>
      <c r="H741" s="3" t="e">
        <f t="shared" si="28"/>
        <v>#VALUE!</v>
      </c>
      <c r="I741" s="1">
        <v>1</v>
      </c>
    </row>
    <row r="742" spans="1:9" x14ac:dyDescent="0.25">
      <c r="A742" s="1" t="s">
        <v>14435</v>
      </c>
      <c r="B742" s="1" t="s">
        <v>1987</v>
      </c>
      <c r="C742" s="1" t="str">
        <f>IFERROR(VLOOKUP(B742,'SB1'!$A$2:$B$999999,2,FALSE),"")</f>
        <v>PINCELETA ROSARPIN 9000 C.CH.35</v>
      </c>
      <c r="D742" s="1" t="s">
        <v>14460</v>
      </c>
      <c r="E742" s="3">
        <f>IFERROR(VLOOKUP(B742,'DA1'!$B$2:$D$999999,3,FALSE),"")</f>
      </c>
      <c r="F742" s="1" t="str">
        <f>IFERROR(VLOOKUP(B742,'SB1'!$A$2:$C$999999,3,FALSE),"")</f>
        <v>503</v>
      </c>
      <c r="G742" s="3" t="e">
        <f t="shared" si="27"/>
        <v>#VALUE!</v>
      </c>
      <c r="H742" s="3" t="e">
        <f t="shared" si="28"/>
        <v>#VALUE!</v>
      </c>
      <c r="I742" s="1">
        <v>1</v>
      </c>
    </row>
    <row r="743" spans="1:9" x14ac:dyDescent="0.25">
      <c r="A743" s="1" t="s">
        <v>14435</v>
      </c>
      <c r="B743" s="1" t="s">
        <v>1989</v>
      </c>
      <c r="C743" s="1" t="str">
        <f>IFERROR(VLOOKUP(B743,'SB1'!$A$2:$B$999999,2,FALSE),"")</f>
        <v>DISCO DE GOMA CON ROSCA</v>
      </c>
      <c r="D743" s="1" t="s">
        <v>14468</v>
      </c>
      <c r="E743" s="3">
        <f>IFERROR(VLOOKUP(B743,'DA1'!$B$2:$D$999999,3,FALSE),"")</f>
      </c>
      <c r="F743" s="1" t="str">
        <f>IFERROR(VLOOKUP(B743,'SB1'!$A$2:$C$999999,3,FALSE),"")</f>
        <v>503</v>
      </c>
      <c r="G743" s="3" t="e">
        <f t="shared" si="27"/>
        <v>#VALUE!</v>
      </c>
      <c r="H743" s="3" t="e">
        <f t="shared" si="28"/>
        <v>#VALUE!</v>
      </c>
      <c r="I743" s="1">
        <v>1</v>
      </c>
    </row>
    <row r="744" spans="1:9" x14ac:dyDescent="0.25">
      <c r="A744" s="1" t="s">
        <v>14435</v>
      </c>
      <c r="B744" s="1" t="s">
        <v>1991</v>
      </c>
      <c r="C744" s="1" t="str">
        <f>IFERROR(VLOOKUP(B744,'SB1'!$A$2:$B$999999,2,FALSE),"")</f>
        <v>LATEX PARA CIELORRASOS PLAVICON MATE BLANCO X 10</v>
      </c>
      <c r="D744" s="1" t="s">
        <v>14458</v>
      </c>
      <c r="E744" s="3">
        <f>IFERROR(VLOOKUP(B744,'DA1'!$B$2:$D$999999,3,FALSE),"")</f>
      </c>
      <c r="F744" s="1" t="str">
        <f>IFERROR(VLOOKUP(B744,'SB1'!$A$2:$C$999999,3,FALSE),"")</f>
        <v>503</v>
      </c>
      <c r="G744" s="3" t="e">
        <f t="shared" si="27"/>
        <v>#VALUE!</v>
      </c>
      <c r="H744" s="3" t="e">
        <f t="shared" si="28"/>
        <v>#VALUE!</v>
      </c>
      <c r="I744" s="1">
        <v>1</v>
      </c>
    </row>
    <row r="745" spans="1:9" x14ac:dyDescent="0.25">
      <c r="A745" s="1" t="s">
        <v>14435</v>
      </c>
      <c r="B745" s="1" t="s">
        <v>1993</v>
      </c>
      <c r="C745" s="1" t="str">
        <f>IFERROR(VLOOKUP(B745,'SB1'!$A$2:$B$999999,2,FALSE),"")</f>
        <v>LATEX PARA CIELORRASOS PLAVICON MATE BLANCO X 20</v>
      </c>
      <c r="D745" s="1" t="s">
        <v>14458</v>
      </c>
      <c r="E745" s="3">
        <f>IFERROR(VLOOKUP(B745,'DA1'!$B$2:$D$999999,3,FALSE),"")</f>
      </c>
      <c r="F745" s="1" t="str">
        <f>IFERROR(VLOOKUP(B745,'SB1'!$A$2:$C$999999,3,FALSE),"")</f>
        <v>503</v>
      </c>
      <c r="G745" s="3" t="e">
        <f t="shared" si="27"/>
        <v>#VALUE!</v>
      </c>
      <c r="H745" s="3" t="e">
        <f t="shared" si="28"/>
        <v>#VALUE!</v>
      </c>
      <c r="I745" s="1">
        <v>1</v>
      </c>
    </row>
    <row r="746" spans="1:9" x14ac:dyDescent="0.25">
      <c r="A746" s="1" t="s">
        <v>14435</v>
      </c>
      <c r="B746" s="1" t="s">
        <v>1997</v>
      </c>
      <c r="C746" s="1" t="str">
        <f>IFERROR(VLOOKUP(B746,'SB1'!$A$2:$B$999999,2,FALSE),"")</f>
        <v>LIJA AL AGUA DOBLE A # 1500 (MG)</v>
      </c>
      <c r="D746" s="1" t="s">
        <v>14451</v>
      </c>
      <c r="E746" s="3">
        <f>IFERROR(VLOOKUP(B746,'DA1'!$B$2:$D$999999,3,FALSE),"")</f>
      </c>
      <c r="F746" s="1" t="str">
        <f>IFERROR(VLOOKUP(B746,'SB1'!$A$2:$C$999999,3,FALSE),"")</f>
        <v>503</v>
      </c>
      <c r="G746" s="3" t="e">
        <f t="shared" si="27"/>
        <v>#VALUE!</v>
      </c>
      <c r="H746" s="3" t="e">
        <f t="shared" si="28"/>
        <v>#VALUE!</v>
      </c>
      <c r="I746" s="1">
        <v>1</v>
      </c>
    </row>
    <row r="747" spans="1:9" x14ac:dyDescent="0.25">
      <c r="A747" s="1" t="s">
        <v>14435</v>
      </c>
      <c r="B747" s="1" t="s">
        <v>1999</v>
      </c>
      <c r="C747" s="1" t="str">
        <f>IFERROR(VLOOKUP(B747,'SB1'!$A$2:$B$999999,2,FALSE),"")</f>
        <v>CLEAR BICAPA MMB X 1</v>
      </c>
      <c r="D747" s="1" t="s">
        <v>14444</v>
      </c>
      <c r="E747" s="3">
        <f>IFERROR(VLOOKUP(B747,'DA1'!$B$2:$D$999999,3,FALSE),"")</f>
      </c>
      <c r="F747" s="1" t="str">
        <f>IFERROR(VLOOKUP(B747,'SB1'!$A$2:$C$999999,3,FALSE),"")</f>
        <v>503</v>
      </c>
      <c r="G747" s="3" t="e">
        <f t="shared" si="27"/>
        <v>#VALUE!</v>
      </c>
      <c r="H747" s="3" t="e">
        <f t="shared" si="28"/>
        <v>#VALUE!</v>
      </c>
      <c r="I747" s="1">
        <v>1</v>
      </c>
    </row>
    <row r="748" spans="1:9" x14ac:dyDescent="0.25">
      <c r="A748" s="1" t="s">
        <v>14435</v>
      </c>
      <c r="B748" s="1" t="s">
        <v>2001</v>
      </c>
      <c r="C748" s="1" t="str">
        <f>IFERROR(VLOOKUP(B748,'SB1'!$A$2:$B$999999,2,FALSE),"")</f>
        <v>COLORANTE CONCENTRADO ACOTONE MA1 MAGENTA X 0,720</v>
      </c>
      <c r="D748" s="1" t="s">
        <v>14480</v>
      </c>
      <c r="E748" s="3">
        <f>IFERROR(VLOOKUP(B748,'DA1'!$B$2:$D$999999,3,FALSE),"")</f>
      </c>
      <c r="F748" s="1" t="str">
        <f>IFERROR(VLOOKUP(B748,'SB1'!$A$2:$C$999999,3,FALSE),"")</f>
        <v>503</v>
      </c>
      <c r="G748" s="3" t="e">
        <f t="shared" si="27"/>
        <v>#VALUE!</v>
      </c>
      <c r="H748" s="3" t="e">
        <f t="shared" si="28"/>
        <v>#VALUE!</v>
      </c>
      <c r="I748" s="1">
        <v>1</v>
      </c>
    </row>
    <row r="749" spans="1:9" x14ac:dyDescent="0.25">
      <c r="A749" s="1" t="s">
        <v>14435</v>
      </c>
      <c r="B749" s="1" t="s">
        <v>2003</v>
      </c>
      <c r="C749" s="1" t="str">
        <f>IFERROR(VLOOKUP(B749,'SB1'!$A$2:$B$999999,2,FALSE),"")</f>
        <v>COLORANTE CONCENTRADO ACOTONE UM1 TIERRA SOMBRA X 0,720</v>
      </c>
      <c r="D749" s="1" t="s">
        <v>14480</v>
      </c>
      <c r="E749" s="3">
        <f>IFERROR(VLOOKUP(B749,'DA1'!$B$2:$D$999999,3,FALSE),"")</f>
      </c>
      <c r="F749" s="1" t="str">
        <f>IFERROR(VLOOKUP(B749,'SB1'!$A$2:$C$999999,3,FALSE),"")</f>
        <v>503</v>
      </c>
      <c r="G749" s="3" t="e">
        <f t="shared" si="27"/>
        <v>#VALUE!</v>
      </c>
      <c r="H749" s="3" t="e">
        <f t="shared" si="28"/>
        <v>#VALUE!</v>
      </c>
      <c r="I749" s="1">
        <v>1</v>
      </c>
    </row>
    <row r="750" spans="1:9" x14ac:dyDescent="0.25">
      <c r="A750" s="1" t="s">
        <v>14435</v>
      </c>
      <c r="B750" s="1" t="s">
        <v>2005</v>
      </c>
      <c r="C750" s="1" t="str">
        <f>IFERROR(VLOOKUP(B750,'SB1'!$A$2:$B$999999,2,FALSE),"")</f>
        <v>COLORANTE CONCENTRADO ACOTONE XR1 ROJO OXIDO X 0,720</v>
      </c>
      <c r="D750" s="1" t="s">
        <v>14480</v>
      </c>
      <c r="E750" s="3">
        <f>IFERROR(VLOOKUP(B750,'DA1'!$B$2:$D$999999,3,FALSE),"")</f>
      </c>
      <c r="F750" s="1" t="str">
        <f>IFERROR(VLOOKUP(B750,'SB1'!$A$2:$C$999999,3,FALSE),"")</f>
        <v>503</v>
      </c>
      <c r="G750" s="3" t="e">
        <f t="shared" si="27"/>
        <v>#VALUE!</v>
      </c>
      <c r="H750" s="3" t="e">
        <f t="shared" si="28"/>
        <v>#VALUE!</v>
      </c>
      <c r="I750" s="1">
        <v>1</v>
      </c>
    </row>
    <row r="751" spans="1:9" x14ac:dyDescent="0.25">
      <c r="A751" s="1" t="s">
        <v>14435</v>
      </c>
      <c r="B751" s="1" t="s">
        <v>2007</v>
      </c>
      <c r="C751" s="1" t="str">
        <f>IFERROR(VLOOKUP(B751,'SB1'!$A$2:$B$999999,2,FALSE),"")</f>
        <v>ACEITE DE LINO MAGIPLAST X 20</v>
      </c>
      <c r="D751" s="1" t="s">
        <v>14447</v>
      </c>
      <c r="E751" s="3">
        <f>IFERROR(VLOOKUP(B751,'DA1'!$B$2:$D$999999,3,FALSE),"")</f>
      </c>
      <c r="F751" s="1" t="str">
        <f>IFERROR(VLOOKUP(B751,'SB1'!$A$2:$C$999999,3,FALSE),"")</f>
        <v>503</v>
      </c>
      <c r="G751" s="3" t="e">
        <f t="shared" si="27"/>
        <v>#VALUE!</v>
      </c>
      <c r="H751" s="3" t="e">
        <f t="shared" si="28"/>
        <v>#VALUE!</v>
      </c>
      <c r="I751" s="1">
        <v>1</v>
      </c>
    </row>
    <row r="752" spans="1:9" x14ac:dyDescent="0.25">
      <c r="A752" s="1" t="s">
        <v>14435</v>
      </c>
      <c r="B752" s="1" t="s">
        <v>2009</v>
      </c>
      <c r="C752" s="1" t="str">
        <f>IFERROR(VLOOKUP(B752,'SB1'!$A$2:$B$999999,2,FALSE),"")</f>
        <v>LATIZADOR TERSUAVE X 0,250</v>
      </c>
      <c r="D752" s="1" t="s">
        <v>14437</v>
      </c>
      <c r="E752" s="3">
        <f>IFERROR(VLOOKUP(B752,'DA1'!$B$2:$D$999999,3,FALSE),"")</f>
      </c>
      <c r="F752" s="1" t="str">
        <f>IFERROR(VLOOKUP(B752,'SB1'!$A$2:$C$999999,3,FALSE),"")</f>
        <v>503</v>
      </c>
      <c r="G752" s="3" t="e">
        <f t="shared" si="27"/>
        <v>#VALUE!</v>
      </c>
      <c r="H752" s="3" t="e">
        <f t="shared" si="28"/>
        <v>#VALUE!</v>
      </c>
      <c r="I752" s="1">
        <v>1</v>
      </c>
    </row>
    <row r="753" spans="1:9" x14ac:dyDescent="0.25">
      <c r="A753" s="1" t="s">
        <v>14435</v>
      </c>
      <c r="B753" s="1" t="s">
        <v>2011</v>
      </c>
      <c r="C753" s="1" t="str">
        <f>IFERROR(VLOOKUP(B753,'SB1'!$A$2:$B$999999,2,FALSE),"")</f>
        <v>ACIDO MURIATICO INDUQUIMICA X 1</v>
      </c>
      <c r="D753" s="1" t="s">
        <v>14476</v>
      </c>
      <c r="E753" s="3">
        <f>IFERROR(VLOOKUP(B753,'DA1'!$B$2:$D$999999,3,FALSE),"")</f>
      </c>
      <c r="F753" s="1" t="str">
        <f>IFERROR(VLOOKUP(B753,'SB1'!$A$2:$C$999999,3,FALSE),"")</f>
        <v>503</v>
      </c>
      <c r="G753" s="3" t="e">
        <f t="shared" si="27"/>
        <v>#VALUE!</v>
      </c>
      <c r="H753" s="3" t="e">
        <f t="shared" si="28"/>
        <v>#VALUE!</v>
      </c>
      <c r="I753" s="1">
        <v>1</v>
      </c>
    </row>
    <row r="754" spans="1:9" x14ac:dyDescent="0.25">
      <c r="A754" s="1" t="s">
        <v>14435</v>
      </c>
      <c r="B754" s="1" t="s">
        <v>2013</v>
      </c>
      <c r="C754" s="1" t="str">
        <f>IFERROR(VLOOKUP(B754,'SB1'!$A$2:$B$999999,2,FALSE),"")</f>
        <v>ACIDO MURIATICO INDUQUIMICA X 5</v>
      </c>
      <c r="D754" s="1" t="s">
        <v>14476</v>
      </c>
      <c r="E754" s="3">
        <f>IFERROR(VLOOKUP(B754,'DA1'!$B$2:$D$999999,3,FALSE),"")</f>
      </c>
      <c r="F754" s="1" t="str">
        <f>IFERROR(VLOOKUP(B754,'SB1'!$A$2:$C$999999,3,FALSE),"")</f>
        <v>503</v>
      </c>
      <c r="G754" s="3" t="e">
        <f t="shared" si="27"/>
        <v>#VALUE!</v>
      </c>
      <c r="H754" s="3" t="e">
        <f t="shared" si="28"/>
        <v>#VALUE!</v>
      </c>
      <c r="I754" s="1">
        <v>1</v>
      </c>
    </row>
    <row r="755" spans="1:9" x14ac:dyDescent="0.25">
      <c r="A755" s="1" t="s">
        <v>14435</v>
      </c>
      <c r="B755" s="1" t="s">
        <v>2015</v>
      </c>
      <c r="C755" s="1" t="str">
        <f>IFERROR(VLOOKUP(B755,'SB1'!$A$2:$B$999999,2,FALSE),"")</f>
        <v>CEPILLO DE CERDA EMPAPELAR 25CM</v>
      </c>
      <c r="D755" s="1" t="s">
        <v>14436</v>
      </c>
      <c r="E755" s="3">
        <f>IFERROR(VLOOKUP(B755,'DA1'!$B$2:$D$999999,3,FALSE),"")</f>
      </c>
      <c r="F755" s="1" t="str">
        <f>IFERROR(VLOOKUP(B755,'SB1'!$A$2:$C$999999,3,FALSE),"")</f>
        <v>503</v>
      </c>
      <c r="G755" s="3" t="e">
        <f t="shared" si="27"/>
        <v>#VALUE!</v>
      </c>
      <c r="H755" s="3" t="e">
        <f t="shared" si="28"/>
        <v>#VALUE!</v>
      </c>
      <c r="I755" s="1">
        <v>1</v>
      </c>
    </row>
    <row r="756" spans="1:9" x14ac:dyDescent="0.25">
      <c r="A756" s="1" t="s">
        <v>14435</v>
      </c>
      <c r="B756" s="1" t="s">
        <v>2017</v>
      </c>
      <c r="C756" s="1" t="str">
        <f>IFERROR(VLOOKUP(B756,'SB1'!$A$2:$B$999999,2,FALSE),"")</f>
        <v>CINTA DE ALUMINIO DOBLE A 48MM X 3MTS.</v>
      </c>
      <c r="D756" s="1" t="s">
        <v>14451</v>
      </c>
      <c r="E756" s="3">
        <f>IFERROR(VLOOKUP(B756,'DA1'!$B$2:$D$999999,3,FALSE),"")</f>
      </c>
      <c r="F756" s="1" t="str">
        <f>IFERROR(VLOOKUP(B756,'SB1'!$A$2:$C$999999,3,FALSE),"")</f>
        <v>503</v>
      </c>
      <c r="G756" s="3" t="e">
        <f t="shared" si="27"/>
        <v>#VALUE!</v>
      </c>
      <c r="H756" s="3" t="e">
        <f t="shared" si="28"/>
        <v>#VALUE!</v>
      </c>
      <c r="I756" s="1">
        <v>1</v>
      </c>
    </row>
    <row r="757" spans="1:9" x14ac:dyDescent="0.25">
      <c r="A757" s="1" t="s">
        <v>14435</v>
      </c>
      <c r="B757" s="1" t="s">
        <v>2019</v>
      </c>
      <c r="C757" s="1" t="str">
        <f>IFERROR(VLOOKUP(B757,'SB1'!$A$2:$B$999999,2,FALSE),"")</f>
        <v>COLA VINILICA COLVINIL 04 X  0,500</v>
      </c>
      <c r="D757" s="1" t="s">
        <v>14453</v>
      </c>
      <c r="E757" s="3">
        <f>IFERROR(VLOOKUP(B757,'DA1'!$B$2:$D$999999,3,FALSE),"")</f>
      </c>
      <c r="F757" s="1" t="str">
        <f>IFERROR(VLOOKUP(B757,'SB1'!$A$2:$C$999999,3,FALSE),"")</f>
        <v>503</v>
      </c>
      <c r="G757" s="3" t="e">
        <f t="shared" si="27"/>
        <v>#VALUE!</v>
      </c>
      <c r="H757" s="3" t="e">
        <f t="shared" si="28"/>
        <v>#VALUE!</v>
      </c>
      <c r="I757" s="1">
        <v>1</v>
      </c>
    </row>
    <row r="758" spans="1:9" x14ac:dyDescent="0.25">
      <c r="A758" s="1" t="s">
        <v>14435</v>
      </c>
      <c r="B758" s="1" t="s">
        <v>2021</v>
      </c>
      <c r="C758" s="1" t="str">
        <f>IFERROR(VLOOKUP(B758,'SB1'!$A$2:$B$999999,2,FALSE),"")</f>
        <v>CINTA POLI DOBLE A TRANSPARENTE (293) 48MM X 50MTS.</v>
      </c>
      <c r="D758" s="1" t="s">
        <v>14451</v>
      </c>
      <c r="E758" s="3">
        <f>IFERROR(VLOOKUP(B758,'DA1'!$B$2:$D$999999,3,FALSE),"")</f>
      </c>
      <c r="F758" s="1" t="str">
        <f>IFERROR(VLOOKUP(B758,'SB1'!$A$2:$C$999999,3,FALSE),"")</f>
        <v>503</v>
      </c>
      <c r="G758" s="3" t="e">
        <f t="shared" si="27"/>
        <v>#VALUE!</v>
      </c>
      <c r="H758" s="3" t="e">
        <f t="shared" si="28"/>
        <v>#VALUE!</v>
      </c>
      <c r="I758" s="1">
        <v>1</v>
      </c>
    </row>
    <row r="759" spans="1:9" x14ac:dyDescent="0.25">
      <c r="A759" s="1" t="s">
        <v>14435</v>
      </c>
      <c r="B759" s="1" t="s">
        <v>2023</v>
      </c>
      <c r="C759" s="1" t="str">
        <f>IFERROR(VLOOKUP(B759,'SB1'!$A$2:$B$999999,2,FALSE),"")</f>
        <v>COLORANTE CONCENTRADO ACOTONE WH1 BLANCO X 0,720</v>
      </c>
      <c r="D759" s="1" t="s">
        <v>14480</v>
      </c>
      <c r="E759" s="3">
        <f>IFERROR(VLOOKUP(B759,'DA1'!$B$2:$D$999999,3,FALSE),"")</f>
      </c>
      <c r="F759" s="1" t="str">
        <f>IFERROR(VLOOKUP(B759,'SB1'!$A$2:$C$999999,3,FALSE),"")</f>
        <v>503</v>
      </c>
      <c r="G759" s="3" t="e">
        <f t="shared" si="27"/>
        <v>#VALUE!</v>
      </c>
      <c r="H759" s="3" t="e">
        <f t="shared" si="28"/>
        <v>#VALUE!</v>
      </c>
      <c r="I759" s="1">
        <v>1</v>
      </c>
    </row>
    <row r="760" spans="1:9" x14ac:dyDescent="0.25">
      <c r="A760" s="1" t="s">
        <v>14435</v>
      </c>
      <c r="B760" s="1" t="s">
        <v>2025</v>
      </c>
      <c r="C760" s="1" t="str">
        <f>IFERROR(VLOOKUP(B760,'SB1'!$A$2:$B$999999,2,FALSE),"")</f>
        <v>COLORANTE CONCENTRADO ACOTONE XY1 AMARILLO OXIDO X 0,720</v>
      </c>
      <c r="D760" s="1" t="s">
        <v>14480</v>
      </c>
      <c r="E760" s="3">
        <f>IFERROR(VLOOKUP(B760,'DA1'!$B$2:$D$999999,3,FALSE),"")</f>
      </c>
      <c r="F760" s="1" t="str">
        <f>IFERROR(VLOOKUP(B760,'SB1'!$A$2:$C$999999,3,FALSE),"")</f>
        <v>503</v>
      </c>
      <c r="G760" s="3" t="e">
        <f t="shared" si="27"/>
        <v>#VALUE!</v>
      </c>
      <c r="H760" s="3" t="e">
        <f t="shared" si="28"/>
        <v>#VALUE!</v>
      </c>
      <c r="I760" s="1">
        <v>1</v>
      </c>
    </row>
    <row r="761" spans="1:9" x14ac:dyDescent="0.25">
      <c r="A761" s="1" t="s">
        <v>14435</v>
      </c>
      <c r="B761" s="1" t="s">
        <v>2027</v>
      </c>
      <c r="C761" s="1" t="str">
        <f>IFERROR(VLOOKUP(B761,'SB1'!$A$2:$B$999999,2,FALSE),"")</f>
        <v>COLORANTE CONCENTRADO ACOTONE YE1 AMARILLO X 0,720</v>
      </c>
      <c r="D761" s="1" t="s">
        <v>14480</v>
      </c>
      <c r="E761" s="3">
        <f>IFERROR(VLOOKUP(B761,'DA1'!$B$2:$D$999999,3,FALSE),"")</f>
      </c>
      <c r="F761" s="1" t="str">
        <f>IFERROR(VLOOKUP(B761,'SB1'!$A$2:$C$999999,3,FALSE),"")</f>
        <v>503</v>
      </c>
      <c r="G761" s="3" t="e">
        <f t="shared" si="27"/>
        <v>#VALUE!</v>
      </c>
      <c r="H761" s="3" t="e">
        <f t="shared" si="28"/>
        <v>#VALUE!</v>
      </c>
      <c r="I761" s="1">
        <v>1</v>
      </c>
    </row>
    <row r="762" spans="1:9" x14ac:dyDescent="0.25">
      <c r="A762" s="1" t="s">
        <v>14435</v>
      </c>
      <c r="B762" s="1" t="s">
        <v>2031</v>
      </c>
      <c r="C762" s="1" t="str">
        <f>IFERROR(VLOOKUP(B762,'SB1'!$A$2:$B$999999,2,FALSE),"")</f>
        <v>ESPATULA DE GOMA MEDIANA</v>
      </c>
      <c r="D762" s="1" t="s">
        <v>14468</v>
      </c>
      <c r="E762" s="3">
        <f>IFERROR(VLOOKUP(B762,'DA1'!$B$2:$D$999999,3,FALSE),"")</f>
      </c>
      <c r="F762" s="1" t="str">
        <f>IFERROR(VLOOKUP(B762,'SB1'!$A$2:$C$999999,3,FALSE),"")</f>
        <v>503</v>
      </c>
      <c r="G762" s="3" t="e">
        <f t="shared" si="27"/>
        <v>#VALUE!</v>
      </c>
      <c r="H762" s="3" t="e">
        <f t="shared" si="28"/>
        <v>#VALUE!</v>
      </c>
      <c r="I762" s="1">
        <v>1</v>
      </c>
    </row>
    <row r="763" spans="1:9" x14ac:dyDescent="0.25">
      <c r="A763" s="1" t="s">
        <v>14435</v>
      </c>
      <c r="B763" s="1" t="s">
        <v>2033</v>
      </c>
      <c r="C763" s="1" t="str">
        <f>IFERROR(VLOOKUP(B763,'SB1'!$A$2:$B$999999,2,FALSE),"")</f>
        <v>LIJA AL AGUA DOBLE A # 2000 (MG)</v>
      </c>
      <c r="D763" s="1" t="s">
        <v>14451</v>
      </c>
      <c r="E763" s="3">
        <f>IFERROR(VLOOKUP(B763,'DA1'!$B$2:$D$999999,3,FALSE),"")</f>
      </c>
      <c r="F763" s="1" t="str">
        <f>IFERROR(VLOOKUP(B763,'SB1'!$A$2:$C$999999,3,FALSE),"")</f>
        <v>503</v>
      </c>
      <c r="G763" s="3" t="e">
        <f t="shared" si="27"/>
        <v>#VALUE!</v>
      </c>
      <c r="H763" s="3" t="e">
        <f t="shared" si="28"/>
        <v>#VALUE!</v>
      </c>
      <c r="I763" s="1">
        <v>1</v>
      </c>
    </row>
    <row r="764" spans="1:9" x14ac:dyDescent="0.25">
      <c r="A764" s="1" t="s">
        <v>14435</v>
      </c>
      <c r="B764" s="1" t="s">
        <v>2035</v>
      </c>
      <c r="C764" s="1" t="str">
        <f>IFERROR(VLOOKUP(B764,'SB1'!$A$2:$B$999999,2,FALSE),"")</f>
        <v>COLORANTE CONCENTRADO ACOTONE BU1 AZUL INTENSO X 0,720</v>
      </c>
      <c r="D764" s="1" t="s">
        <v>14480</v>
      </c>
      <c r="E764" s="3">
        <f>IFERROR(VLOOKUP(B764,'DA1'!$B$2:$D$999999,3,FALSE),"")</f>
      </c>
      <c r="F764" s="1" t="str">
        <f>IFERROR(VLOOKUP(B764,'SB1'!$A$2:$C$999999,3,FALSE),"")</f>
        <v>503</v>
      </c>
      <c r="G764" s="3" t="e">
        <f t="shared" si="27"/>
        <v>#VALUE!</v>
      </c>
      <c r="H764" s="3" t="e">
        <f t="shared" si="28"/>
        <v>#VALUE!</v>
      </c>
      <c r="I764" s="1">
        <v>1</v>
      </c>
    </row>
    <row r="765" spans="1:9" x14ac:dyDescent="0.25">
      <c r="A765" s="1" t="s">
        <v>14435</v>
      </c>
      <c r="B765" s="1" t="s">
        <v>2037</v>
      </c>
      <c r="C765" s="1" t="str">
        <f>IFERROR(VLOOKUP(B765,'SB1'!$A$2:$B$999999,2,FALSE),"")</f>
        <v>COLORANTE CONCENTRADO ACOTONE GR1 VERDE X 0,720</v>
      </c>
      <c r="D765" s="1" t="s">
        <v>14480</v>
      </c>
      <c r="E765" s="3">
        <f>IFERROR(VLOOKUP(B765,'DA1'!$B$2:$D$999999,3,FALSE),"")</f>
      </c>
      <c r="F765" s="1" t="str">
        <f>IFERROR(VLOOKUP(B765,'SB1'!$A$2:$C$999999,3,FALSE),"")</f>
        <v>503</v>
      </c>
      <c r="G765" s="3" t="e">
        <f t="shared" si="27"/>
        <v>#VALUE!</v>
      </c>
      <c r="H765" s="3" t="e">
        <f t="shared" si="28"/>
        <v>#VALUE!</v>
      </c>
      <c r="I765" s="1">
        <v>1</v>
      </c>
    </row>
    <row r="766" spans="1:9" x14ac:dyDescent="0.25">
      <c r="A766" s="1" t="s">
        <v>14435</v>
      </c>
      <c r="B766" s="1" t="s">
        <v>2039</v>
      </c>
      <c r="C766" s="1" t="str">
        <f>IFERROR(VLOOKUP(B766,'SB1'!$A$2:$B$999999,2,FALSE),"")</f>
        <v>COLORANTE CONCENTRADO ACOTONE YE2 AMARILLO VERDOSO X 0,720</v>
      </c>
      <c r="D766" s="1" t="s">
        <v>14480</v>
      </c>
      <c r="E766" s="3">
        <f>IFERROR(VLOOKUP(B766,'DA1'!$B$2:$D$999999,3,FALSE),"")</f>
      </c>
      <c r="F766" s="1" t="str">
        <f>IFERROR(VLOOKUP(B766,'SB1'!$A$2:$C$999999,3,FALSE),"")</f>
        <v>503</v>
      </c>
      <c r="G766" s="3" t="e">
        <f t="shared" si="27"/>
        <v>#VALUE!</v>
      </c>
      <c r="H766" s="3" t="e">
        <f t="shared" si="28"/>
        <v>#VALUE!</v>
      </c>
      <c r="I766" s="1">
        <v>1</v>
      </c>
    </row>
    <row r="767" spans="1:9" x14ac:dyDescent="0.25">
      <c r="A767" s="1" t="s">
        <v>14435</v>
      </c>
      <c r="B767" s="1" t="s">
        <v>2041</v>
      </c>
      <c r="C767" s="1" t="str">
        <f>IFERROR(VLOOKUP(B767,'SB1'!$A$2:$B$999999,2,FALSE),"")</f>
        <v>PINCEL 40 ANOS MERCURIO</v>
      </c>
      <c r="D767" s="1" t="s">
        <v>14460</v>
      </c>
      <c r="E767" s="3">
        <f>IFERROR(VLOOKUP(B767,'DA1'!$B$2:$D$999999,3,FALSE),"")</f>
      </c>
      <c r="F767" s="1" t="str">
        <f>IFERROR(VLOOKUP(B767,'SB1'!$A$2:$C$999999,3,FALSE),"")</f>
        <v>503</v>
      </c>
      <c r="G767" s="3" t="e">
        <f t="shared" si="27"/>
        <v>#VALUE!</v>
      </c>
      <c r="H767" s="3" t="e">
        <f t="shared" si="28"/>
        <v>#VALUE!</v>
      </c>
      <c r="I767" s="1">
        <v>1</v>
      </c>
    </row>
    <row r="768" spans="1:9" x14ac:dyDescent="0.25">
      <c r="A768" s="1" t="s">
        <v>14435</v>
      </c>
      <c r="B768" s="1" t="s">
        <v>2043</v>
      </c>
      <c r="C768" s="1" t="str">
        <f>IFERROR(VLOOKUP(B768,'SB1'!$A$2:$B$999999,2,FALSE),"")</f>
        <v>COLORANTE CONCENTRADO ACOTONE OR1 NARANJA X 0,720</v>
      </c>
      <c r="D768" s="1" t="s">
        <v>14480</v>
      </c>
      <c r="E768" s="3">
        <f>IFERROR(VLOOKUP(B768,'DA1'!$B$2:$D$999999,3,FALSE),"")</f>
      </c>
      <c r="F768" s="1" t="str">
        <f>IFERROR(VLOOKUP(B768,'SB1'!$A$2:$C$999999,3,FALSE),"")</f>
        <v>503</v>
      </c>
      <c r="G768" s="3" t="e">
        <f t="shared" si="27"/>
        <v>#VALUE!</v>
      </c>
      <c r="H768" s="3" t="e">
        <f t="shared" si="28"/>
        <v>#VALUE!</v>
      </c>
      <c r="I768" s="1">
        <v>1</v>
      </c>
    </row>
    <row r="769" spans="1:9" x14ac:dyDescent="0.25">
      <c r="A769" s="1" t="s">
        <v>14435</v>
      </c>
      <c r="B769" s="1" t="s">
        <v>2045</v>
      </c>
      <c r="C769" s="1" t="str">
        <f>IFERROR(VLOOKUP(B769,'SB1'!$A$2:$B$999999,2,FALSE),"")</f>
        <v>COLORANTE CONCENTRADO ACOTONE RE1 ROJO INTENSO X 0,720</v>
      </c>
      <c r="D769" s="1" t="s">
        <v>14480</v>
      </c>
      <c r="E769" s="3">
        <f>IFERROR(VLOOKUP(B769,'DA1'!$B$2:$D$999999,3,FALSE),"")</f>
      </c>
      <c r="F769" s="1" t="str">
        <f>IFERROR(VLOOKUP(B769,'SB1'!$A$2:$C$999999,3,FALSE),"")</f>
        <v>503</v>
      </c>
      <c r="G769" s="3" t="e">
        <f t="shared" si="27"/>
        <v>#VALUE!</v>
      </c>
      <c r="H769" s="3" t="e">
        <f t="shared" si="28"/>
        <v>#VALUE!</v>
      </c>
      <c r="I769" s="1">
        <v>1</v>
      </c>
    </row>
    <row r="770" spans="1:9" x14ac:dyDescent="0.25">
      <c r="A770" s="1" t="s">
        <v>14435</v>
      </c>
      <c r="B770" s="1" t="s">
        <v>2047</v>
      </c>
      <c r="C770" s="1" t="str">
        <f>IFERROR(VLOOKUP(B770,'SB1'!$A$2:$B$999999,2,FALSE),"")</f>
        <v>COLORANTE CONCENTRADO ACOTONE BU2 AZUL CLARO X 0,720</v>
      </c>
      <c r="D770" s="1" t="s">
        <v>14480</v>
      </c>
      <c r="E770" s="3">
        <f>IFERROR(VLOOKUP(B770,'DA1'!$B$2:$D$999999,3,FALSE),"")</f>
      </c>
      <c r="F770" s="1" t="str">
        <f>IFERROR(VLOOKUP(B770,'SB1'!$A$2:$C$999999,3,FALSE),"")</f>
        <v>503</v>
      </c>
      <c r="G770" s="3" t="e">
        <f t="shared" si="27"/>
        <v>#VALUE!</v>
      </c>
      <c r="H770" s="3" t="e">
        <f t="shared" si="28"/>
        <v>#VALUE!</v>
      </c>
      <c r="I770" s="1">
        <v>1</v>
      </c>
    </row>
    <row r="771" spans="1:9" x14ac:dyDescent="0.25">
      <c r="A771" s="1" t="s">
        <v>14435</v>
      </c>
      <c r="B771" s="1" t="s">
        <v>2049</v>
      </c>
      <c r="C771" s="1" t="str">
        <f>IFERROR(VLOOKUP(B771,'SB1'!$A$2:$B$999999,2,FALSE),"")</f>
        <v>COLORANTE CONCENTRADO ACOTONE NO1 NEGRO  X 0,720</v>
      </c>
      <c r="D771" s="1" t="s">
        <v>14480</v>
      </c>
      <c r="E771" s="3">
        <f>IFERROR(VLOOKUP(B771,'DA1'!$B$2:$D$999999,3,FALSE),"")</f>
      </c>
      <c r="F771" s="1" t="str">
        <f>IFERROR(VLOOKUP(B771,'SB1'!$A$2:$C$999999,3,FALSE),"")</f>
        <v>503</v>
      </c>
      <c r="G771" s="3" t="e">
        <f t="shared" ref="G771:G834" si="29">E771*1.04</f>
        <v>#VALUE!</v>
      </c>
      <c r="H771" s="3" t="e">
        <f t="shared" si="28"/>
        <v>#VALUE!</v>
      </c>
      <c r="I771" s="1">
        <v>1</v>
      </c>
    </row>
    <row r="772" spans="1:9" x14ac:dyDescent="0.25">
      <c r="A772" s="1" t="s">
        <v>14435</v>
      </c>
      <c r="B772" s="1" t="s">
        <v>2051</v>
      </c>
      <c r="C772" s="1" t="str">
        <f>IFERROR(VLOOKUP(B772,'SB1'!$A$2:$B$999999,2,FALSE),"")</f>
        <v>IMPERMEABILIZANTE MAGIPLAST 295 TRANSPARENTE X 0,500</v>
      </c>
      <c r="D772" s="1" t="s">
        <v>14447</v>
      </c>
      <c r="E772" s="3">
        <f>IFERROR(VLOOKUP(B772,'DA1'!$B$2:$D$999999,3,FALSE),"")</f>
      </c>
      <c r="F772" s="1" t="str">
        <f>IFERROR(VLOOKUP(B772,'SB1'!$A$2:$C$999999,3,FALSE),"")</f>
        <v>503</v>
      </c>
      <c r="G772" s="3" t="e">
        <f t="shared" si="29"/>
        <v>#VALUE!</v>
      </c>
      <c r="H772" s="3" t="e">
        <f t="shared" si="28"/>
        <v>#VALUE!</v>
      </c>
      <c r="I772" s="1">
        <v>1</v>
      </c>
    </row>
    <row r="773" spans="1:9" x14ac:dyDescent="0.25">
      <c r="A773" s="1" t="s">
        <v>14435</v>
      </c>
      <c r="B773" s="1" t="s">
        <v>2053</v>
      </c>
      <c r="C773" s="1" t="str">
        <f>IFERROR(VLOOKUP(B773,'SB1'!$A$2:$B$999999,2,FALSE),"")</f>
        <v>IMPERMEABILIZANTE MAGIPLAST 295 TRANSPARENTE X 1</v>
      </c>
      <c r="D773" s="1" t="s">
        <v>14447</v>
      </c>
      <c r="E773" s="3">
        <f>IFERROR(VLOOKUP(B773,'DA1'!$B$2:$D$999999,3,FALSE),"")</f>
      </c>
      <c r="F773" s="1" t="str">
        <f>IFERROR(VLOOKUP(B773,'SB1'!$A$2:$C$999999,3,FALSE),"")</f>
        <v>503</v>
      </c>
      <c r="G773" s="3" t="e">
        <f t="shared" si="29"/>
        <v>#VALUE!</v>
      </c>
      <c r="H773" s="3" t="e">
        <f t="shared" si="28"/>
        <v>#VALUE!</v>
      </c>
      <c r="I773" s="1">
        <v>1</v>
      </c>
    </row>
    <row r="774" spans="1:9" x14ac:dyDescent="0.25">
      <c r="A774" s="1" t="s">
        <v>14435</v>
      </c>
      <c r="B774" s="1" t="s">
        <v>2055</v>
      </c>
      <c r="C774" s="1" t="str">
        <f>IFERROR(VLOOKUP(B774,'SB1'!$A$2:$B$999999,2,FALSE),"")</f>
        <v>IMPERMEABILIZANTE MAGIPLAST 295 TRANSPARENTE X 5</v>
      </c>
      <c r="D774" s="1" t="s">
        <v>14447</v>
      </c>
      <c r="E774" s="3">
        <f>IFERROR(VLOOKUP(B774,'DA1'!$B$2:$D$999999,3,FALSE),"")</f>
      </c>
      <c r="F774" s="1" t="str">
        <f>IFERROR(VLOOKUP(B774,'SB1'!$A$2:$C$999999,3,FALSE),"")</f>
        <v>503</v>
      </c>
      <c r="G774" s="3" t="e">
        <f t="shared" si="29"/>
        <v>#VALUE!</v>
      </c>
      <c r="H774" s="3" t="e">
        <f t="shared" si="28"/>
        <v>#VALUE!</v>
      </c>
      <c r="I774" s="1">
        <v>1</v>
      </c>
    </row>
    <row r="775" spans="1:9" x14ac:dyDescent="0.25">
      <c r="A775" s="1" t="s">
        <v>14435</v>
      </c>
      <c r="B775" s="1" t="s">
        <v>2057</v>
      </c>
      <c r="C775" s="1" t="str">
        <f>IFERROR(VLOOKUP(B775,'SB1'!$A$2:$B$999999,2,FALSE),"")</f>
        <v>TACO DE GOMA MEDIANA</v>
      </c>
      <c r="D775" s="1" t="s">
        <v>14468</v>
      </c>
      <c r="E775" s="3">
        <f>IFERROR(VLOOKUP(B775,'DA1'!$B$2:$D$999999,3,FALSE),"")</f>
      </c>
      <c r="F775" s="1" t="str">
        <f>IFERROR(VLOOKUP(B775,'SB1'!$A$2:$C$999999,3,FALSE),"")</f>
        <v>503</v>
      </c>
      <c r="G775" s="3" t="e">
        <f t="shared" si="29"/>
        <v>#VALUE!</v>
      </c>
      <c r="H775" s="3" t="e">
        <f t="shared" si="28"/>
        <v>#VALUE!</v>
      </c>
      <c r="I775" s="1">
        <v>1</v>
      </c>
    </row>
    <row r="776" spans="1:9" x14ac:dyDescent="0.25">
      <c r="A776" s="1" t="s">
        <v>14435</v>
      </c>
      <c r="B776" s="1" t="s">
        <v>2059</v>
      </c>
      <c r="C776" s="1" t="str">
        <f>IFERROR(VLOOKUP(B776,'SB1'!$A$2:$B$999999,2,FALSE),"")</f>
        <v>CINTA PARA MOLDURA DOBLE A 12 MM X 10M</v>
      </c>
      <c r="D776" s="1" t="s">
        <v>14451</v>
      </c>
      <c r="E776" s="3">
        <f>IFERROR(VLOOKUP(B776,'DA1'!$B$2:$D$999999,3,FALSE),"")</f>
      </c>
      <c r="F776" s="1" t="str">
        <f>IFERROR(VLOOKUP(B776,'SB1'!$A$2:$C$999999,3,FALSE),"")</f>
        <v>503</v>
      </c>
      <c r="G776" s="3" t="e">
        <f t="shared" si="29"/>
        <v>#VALUE!</v>
      </c>
      <c r="H776" s="3" t="e">
        <f t="shared" si="28"/>
        <v>#VALUE!</v>
      </c>
      <c r="I776" s="1">
        <v>1</v>
      </c>
    </row>
    <row r="777" spans="1:9" x14ac:dyDescent="0.25">
      <c r="A777" s="1" t="s">
        <v>14435</v>
      </c>
      <c r="B777" s="1" t="s">
        <v>2061</v>
      </c>
      <c r="C777" s="1" t="str">
        <f>IFERROR(VLOOKUP(B777,'SB1'!$A$2:$B$999999,2,FALSE),"")</f>
        <v>BANDEJA PARA PINTAR PLASTICA MINI (003)</v>
      </c>
      <c r="D777" s="1" t="s">
        <v>14460</v>
      </c>
      <c r="E777" s="3">
        <f>IFERROR(VLOOKUP(B777,'DA1'!$B$2:$D$999999,3,FALSE),"")</f>
      </c>
      <c r="F777" s="1" t="str">
        <f>IFERROR(VLOOKUP(B777,'SB1'!$A$2:$C$999999,3,FALSE),"")</f>
        <v>503</v>
      </c>
      <c r="G777" s="3" t="e">
        <f t="shared" si="29"/>
        <v>#VALUE!</v>
      </c>
      <c r="H777" s="3" t="e">
        <f t="shared" si="28"/>
        <v>#VALUE!</v>
      </c>
      <c r="I777" s="1">
        <v>1</v>
      </c>
    </row>
    <row r="778" spans="1:9" x14ac:dyDescent="0.25">
      <c r="A778" s="1" t="s">
        <v>14435</v>
      </c>
      <c r="B778" s="1" t="s">
        <v>2065</v>
      </c>
      <c r="C778" s="1" t="str">
        <f>IFERROR(VLOOKUP(B778,'SB1'!$A$2:$B$999999,2,FALSE),"")</f>
        <v>BARNIZ SINTETICO PARA MADERA INTERIOR PLAVICON BRILLANTE INCOLORO X  0,250</v>
      </c>
      <c r="D778" s="1" t="s">
        <v>14458</v>
      </c>
      <c r="E778" s="3">
        <f>IFERROR(VLOOKUP(B778,'DA1'!$B$2:$D$999999,3,FALSE),"")</f>
      </c>
      <c r="F778" s="1" t="str">
        <f>IFERROR(VLOOKUP(B778,'SB1'!$A$2:$C$999999,3,FALSE),"")</f>
        <v>503</v>
      </c>
      <c r="G778" s="3" t="e">
        <f t="shared" si="29"/>
        <v>#VALUE!</v>
      </c>
      <c r="H778" s="3" t="e">
        <f t="shared" si="28"/>
        <v>#VALUE!</v>
      </c>
      <c r="I778" s="1">
        <v>1</v>
      </c>
    </row>
    <row r="779" spans="1:9" x14ac:dyDescent="0.25">
      <c r="A779" s="1" t="s">
        <v>14435</v>
      </c>
      <c r="B779" s="1" t="s">
        <v>2067</v>
      </c>
      <c r="C779" s="1" t="str">
        <f>IFERROR(VLOOKUP(B779,'SB1'!$A$2:$B$999999,2,FALSE),"")</f>
        <v>BARNIZ SINTETICO PARA MADERA INTERIOR PLAVICON BRILLANTE INCOLORO X  0,500</v>
      </c>
      <c r="D779" s="1" t="s">
        <v>14458</v>
      </c>
      <c r="E779" s="3">
        <f>IFERROR(VLOOKUP(B779,'DA1'!$B$2:$D$999999,3,FALSE),"")</f>
      </c>
      <c r="F779" s="1" t="str">
        <f>IFERROR(VLOOKUP(B779,'SB1'!$A$2:$C$999999,3,FALSE),"")</f>
        <v>503</v>
      </c>
      <c r="G779" s="3" t="e">
        <f t="shared" si="29"/>
        <v>#VALUE!</v>
      </c>
      <c r="H779" s="3" t="e">
        <f t="shared" si="28"/>
        <v>#VALUE!</v>
      </c>
      <c r="I779" s="1">
        <v>1</v>
      </c>
    </row>
    <row r="780" spans="1:9" x14ac:dyDescent="0.25">
      <c r="A780" s="1" t="s">
        <v>14435</v>
      </c>
      <c r="B780" s="1" t="s">
        <v>2069</v>
      </c>
      <c r="C780" s="1" t="str">
        <f>IFERROR(VLOOKUP(B780,'SB1'!$A$2:$B$999999,2,FALSE),"")</f>
        <v>BARNIZ SINTETICO PARA MADERA INTERIOR PLAVICON BRILLANTE INCOLORO X  1</v>
      </c>
      <c r="D780" s="1" t="s">
        <v>14458</v>
      </c>
      <c r="E780" s="3">
        <f>IFERROR(VLOOKUP(B780,'DA1'!$B$2:$D$999999,3,FALSE),"")</f>
      </c>
      <c r="F780" s="1" t="str">
        <f>IFERROR(VLOOKUP(B780,'SB1'!$A$2:$C$999999,3,FALSE),"")</f>
        <v>503</v>
      </c>
      <c r="G780" s="3" t="e">
        <f t="shared" si="29"/>
        <v>#VALUE!</v>
      </c>
      <c r="H780" s="3" t="e">
        <f t="shared" si="28"/>
        <v>#VALUE!</v>
      </c>
      <c r="I780" s="1">
        <v>1</v>
      </c>
    </row>
    <row r="781" spans="1:9" x14ac:dyDescent="0.25">
      <c r="A781" s="1" t="s">
        <v>14435</v>
      </c>
      <c r="B781" s="1" t="s">
        <v>2071</v>
      </c>
      <c r="C781" s="1" t="str">
        <f>IFERROR(VLOOKUP(B781,'SB1'!$A$2:$B$999999,2,FALSE),"")</f>
        <v>BARNIZ SINTETICO PARA MADERA INTERIOR PLAVICON BRILLANTE INCOLORO X  4</v>
      </c>
      <c r="D781" s="1" t="s">
        <v>14458</v>
      </c>
      <c r="E781" s="3">
        <f>IFERROR(VLOOKUP(B781,'DA1'!$B$2:$D$999999,3,FALSE),"")</f>
      </c>
      <c r="F781" s="1" t="str">
        <f>IFERROR(VLOOKUP(B781,'SB1'!$A$2:$C$999999,3,FALSE),"")</f>
        <v>503</v>
      </c>
      <c r="G781" s="3" t="e">
        <f t="shared" si="29"/>
        <v>#VALUE!</v>
      </c>
      <c r="H781" s="3" t="e">
        <f t="shared" si="28"/>
        <v>#VALUE!</v>
      </c>
      <c r="I781" s="1">
        <v>1</v>
      </c>
    </row>
    <row r="782" spans="1:9" x14ac:dyDescent="0.25">
      <c r="A782" s="1" t="s">
        <v>14435</v>
      </c>
      <c r="B782" s="1" t="s">
        <v>2073</v>
      </c>
      <c r="C782" s="1" t="str">
        <f>IFERROR(VLOOKUP(B782,'SB1'!$A$2:$B$999999,2,FALSE),"")</f>
        <v>BARNIZ SINTETICO PARA MADERA INTERIOR PLAVICON BRILLANTE INCOLORO X 20</v>
      </c>
      <c r="D782" s="1" t="s">
        <v>14458</v>
      </c>
      <c r="E782" s="3">
        <f>IFERROR(VLOOKUP(B782,'DA1'!$B$2:$D$999999,3,FALSE),"")</f>
      </c>
      <c r="F782" s="1" t="str">
        <f>IFERROR(VLOOKUP(B782,'SB1'!$A$2:$C$999999,3,FALSE),"")</f>
        <v>503</v>
      </c>
      <c r="G782" s="3" t="e">
        <f t="shared" si="29"/>
        <v>#VALUE!</v>
      </c>
      <c r="H782" s="3" t="e">
        <f t="shared" si="28"/>
        <v>#VALUE!</v>
      </c>
      <c r="I782" s="1">
        <v>1</v>
      </c>
    </row>
    <row r="783" spans="1:9" x14ac:dyDescent="0.25">
      <c r="A783" s="1" t="s">
        <v>14435</v>
      </c>
      <c r="B783" s="1" t="s">
        <v>2075</v>
      </c>
      <c r="C783" s="1" t="str">
        <f>IFERROR(VLOOKUP(B783,'SB1'!$A$2:$B$999999,2,FALSE),"")</f>
        <v>PINCELETA ROSARPIN 2008 C.CH.40</v>
      </c>
      <c r="D783" s="1" t="s">
        <v>14460</v>
      </c>
      <c r="E783" s="3">
        <f>IFERROR(VLOOKUP(B783,'DA1'!$B$2:$D$999999,3,FALSE),"")</f>
      </c>
      <c r="F783" s="1" t="str">
        <f>IFERROR(VLOOKUP(B783,'SB1'!$A$2:$C$999999,3,FALSE),"")</f>
        <v>503</v>
      </c>
      <c r="G783" s="3" t="e">
        <f t="shared" si="29"/>
        <v>#VALUE!</v>
      </c>
      <c r="H783" s="3" t="e">
        <f t="shared" si="28"/>
        <v>#VALUE!</v>
      </c>
      <c r="I783" s="1">
        <v>1</v>
      </c>
    </row>
    <row r="784" spans="1:9" x14ac:dyDescent="0.25">
      <c r="A784" s="1" t="s">
        <v>14435</v>
      </c>
      <c r="B784" s="1" t="s">
        <v>2077</v>
      </c>
      <c r="C784" s="1" t="str">
        <f>IFERROR(VLOOKUP(B784,'SB1'!$A$2:$B$999999,2,FALSE),"")</f>
        <v>CINTA PARA MOLDURA DOBLE A 18 MM X 10M</v>
      </c>
      <c r="D784" s="1" t="s">
        <v>14451</v>
      </c>
      <c r="E784" s="3">
        <f>IFERROR(VLOOKUP(B784,'DA1'!$B$2:$D$999999,3,FALSE),"")</f>
      </c>
      <c r="F784" s="1" t="str">
        <f>IFERROR(VLOOKUP(B784,'SB1'!$A$2:$C$999999,3,FALSE),"")</f>
        <v>503</v>
      </c>
      <c r="G784" s="3" t="e">
        <f t="shared" si="29"/>
        <v>#VALUE!</v>
      </c>
      <c r="H784" s="3" t="e">
        <f t="shared" si="28"/>
        <v>#VALUE!</v>
      </c>
      <c r="I784" s="1">
        <v>1</v>
      </c>
    </row>
    <row r="785" spans="1:9" x14ac:dyDescent="0.25">
      <c r="A785" s="1" t="s">
        <v>14435</v>
      </c>
      <c r="B785" s="1" t="s">
        <v>2079</v>
      </c>
      <c r="C785" s="1" t="str">
        <f>IFERROR(VLOOKUP(B785,'SB1'!$A$2:$B$999999,2,FALSE),"")</f>
        <v>CINTA PARA MOLDURA DOBLE A 24MM X 10M</v>
      </c>
      <c r="D785" s="1" t="s">
        <v>14451</v>
      </c>
      <c r="E785" s="3">
        <f>IFERROR(VLOOKUP(B785,'DA1'!$B$2:$D$999999,3,FALSE),"")</f>
      </c>
      <c r="F785" s="1" t="str">
        <f>IFERROR(VLOOKUP(B785,'SB1'!$A$2:$C$999999,3,FALSE),"")</f>
        <v>503</v>
      </c>
      <c r="G785" s="3" t="e">
        <f t="shared" si="29"/>
        <v>#VALUE!</v>
      </c>
      <c r="H785" s="3" t="e">
        <f t="shared" si="28"/>
        <v>#VALUE!</v>
      </c>
      <c r="I785" s="1">
        <v>1</v>
      </c>
    </row>
    <row r="786" spans="1:9" x14ac:dyDescent="0.25">
      <c r="A786" s="1" t="s">
        <v>14435</v>
      </c>
      <c r="B786" s="1" t="s">
        <v>2083</v>
      </c>
      <c r="C786" s="1" t="str">
        <f>IFERROR(VLOOKUP(B786,'SB1'!$A$2:$B$999999,2,FALSE),"")</f>
        <v>RODILLO LUMAR LANA BLANCO 10 (210A)</v>
      </c>
      <c r="D786" s="1" t="s">
        <v>14467</v>
      </c>
      <c r="E786" s="3">
        <f>IFERROR(VLOOKUP(B786,'DA1'!$B$2:$D$999999,3,FALSE),"")</f>
      </c>
      <c r="F786" s="1" t="str">
        <f>IFERROR(VLOOKUP(B786,'SB1'!$A$2:$C$999999,3,FALSE),"")</f>
        <v>503</v>
      </c>
      <c r="G786" s="3" t="e">
        <f t="shared" si="29"/>
        <v>#VALUE!</v>
      </c>
      <c r="H786" s="3" t="e">
        <f t="shared" si="28"/>
        <v>#VALUE!</v>
      </c>
      <c r="I786" s="1">
        <v>1</v>
      </c>
    </row>
    <row r="787" spans="1:9" x14ac:dyDescent="0.25">
      <c r="A787" s="1" t="s">
        <v>14435</v>
      </c>
      <c r="B787" s="1" t="s">
        <v>2087</v>
      </c>
      <c r="C787" s="1" t="str">
        <f>IFERROR(VLOOKUP(B787,'SB1'!$A$2:$B$999999,2,FALSE),"")</f>
        <v>BARNIZ ULTRAMARINO PARA MADERA EXTERIOR PLAVICON BRILLANTE INCOLORO X  0,500</v>
      </c>
      <c r="D787" s="1" t="s">
        <v>14458</v>
      </c>
      <c r="E787" s="3">
        <f>IFERROR(VLOOKUP(B787,'DA1'!$B$2:$D$999999,3,FALSE),"")</f>
      </c>
      <c r="F787" s="1" t="str">
        <f>IFERROR(VLOOKUP(B787,'SB1'!$A$2:$C$999999,3,FALSE),"")</f>
        <v>503</v>
      </c>
      <c r="G787" s="3" t="e">
        <f t="shared" si="29"/>
        <v>#VALUE!</v>
      </c>
      <c r="H787" s="3" t="e">
        <f t="shared" si="28"/>
        <v>#VALUE!</v>
      </c>
      <c r="I787" s="1">
        <v>1</v>
      </c>
    </row>
    <row r="788" spans="1:9" x14ac:dyDescent="0.25">
      <c r="A788" s="1" t="s">
        <v>14435</v>
      </c>
      <c r="B788" s="1" t="s">
        <v>2089</v>
      </c>
      <c r="C788" s="1" t="str">
        <f>IFERROR(VLOOKUP(B788,'SB1'!$A$2:$B$999999,2,FALSE),"")</f>
        <v>BARNIZ ULTRAMARINO PARA MADERA EXTERIOR PLAVICON BRILLANTE INCOLORO X  1</v>
      </c>
      <c r="D788" s="1" t="s">
        <v>14458</v>
      </c>
      <c r="E788" s="3">
        <f>IFERROR(VLOOKUP(B788,'DA1'!$B$2:$D$999999,3,FALSE),"")</f>
      </c>
      <c r="F788" s="1" t="str">
        <f>IFERROR(VLOOKUP(B788,'SB1'!$A$2:$C$999999,3,FALSE),"")</f>
        <v>503</v>
      </c>
      <c r="G788" s="3" t="e">
        <f t="shared" si="29"/>
        <v>#VALUE!</v>
      </c>
      <c r="H788" s="3" t="e">
        <f t="shared" si="28"/>
        <v>#VALUE!</v>
      </c>
      <c r="I788" s="1">
        <v>1</v>
      </c>
    </row>
    <row r="789" spans="1:9" x14ac:dyDescent="0.25">
      <c r="A789" s="1" t="s">
        <v>14435</v>
      </c>
      <c r="B789" s="1" t="s">
        <v>2093</v>
      </c>
      <c r="C789" s="1" t="str">
        <f>IFERROR(VLOOKUP(B789,'SB1'!$A$2:$B$999999,2,FALSE),"")</f>
        <v>BURLETE T PERFECT FOAM ESP X MT</v>
      </c>
      <c r="D789" s="1" t="s">
        <v>14481</v>
      </c>
      <c r="E789" s="3">
        <f>IFERROR(VLOOKUP(B789,'DA1'!$B$2:$D$999999,3,FALSE),"")</f>
      </c>
      <c r="F789" s="1" t="str">
        <f>IFERROR(VLOOKUP(B789,'SB1'!$A$2:$C$999999,3,FALSE),"")</f>
        <v>503</v>
      </c>
      <c r="G789" s="3" t="e">
        <f t="shared" si="29"/>
        <v>#VALUE!</v>
      </c>
      <c r="H789" s="3" t="e">
        <f t="shared" si="28"/>
        <v>#VALUE!</v>
      </c>
      <c r="I789" s="1">
        <v>1</v>
      </c>
    </row>
    <row r="790" spans="1:9" x14ac:dyDescent="0.25">
      <c r="A790" s="1" t="s">
        <v>14435</v>
      </c>
      <c r="B790" s="1" t="s">
        <v>2103</v>
      </c>
      <c r="C790" s="1" t="str">
        <f>IFERROR(VLOOKUP(B790,'SB1'!$A$2:$B$999999,2,FALSE),"")</f>
        <v>CINTA POLI DOBLE A MARRON (293) 48MM X 50MTS.</v>
      </c>
      <c r="D790" s="1" t="s">
        <v>14451</v>
      </c>
      <c r="E790" s="3">
        <f>IFERROR(VLOOKUP(B790,'DA1'!$B$2:$D$999999,3,FALSE),"")</f>
      </c>
      <c r="F790" s="1" t="str">
        <f>IFERROR(VLOOKUP(B790,'SB1'!$A$2:$C$999999,3,FALSE),"")</f>
        <v>503</v>
      </c>
      <c r="G790" s="3" t="e">
        <f t="shared" si="29"/>
        <v>#VALUE!</v>
      </c>
      <c r="H790" s="3" t="e">
        <f t="shared" si="28"/>
        <v>#VALUE!</v>
      </c>
      <c r="I790" s="1">
        <v>1</v>
      </c>
    </row>
    <row r="791" spans="1:9" x14ac:dyDescent="0.25">
      <c r="A791" s="1" t="s">
        <v>14435</v>
      </c>
      <c r="B791" s="1" t="s">
        <v>2105</v>
      </c>
      <c r="C791" s="1" t="str">
        <f>IFERROR(VLOOKUP(B791,'SB1'!$A$2:$B$999999,2,FALSE),"")</f>
        <v>TACO DE GOMA GRANDE</v>
      </c>
      <c r="D791" s="1" t="s">
        <v>14468</v>
      </c>
      <c r="E791" s="3">
        <f>IFERROR(VLOOKUP(B791,'DA1'!$B$2:$D$999999,3,FALSE),"")</f>
      </c>
      <c r="F791" s="1" t="str">
        <f>IFERROR(VLOOKUP(B791,'SB1'!$A$2:$C$999999,3,FALSE),"")</f>
        <v>503</v>
      </c>
      <c r="G791" s="3" t="e">
        <f t="shared" si="29"/>
        <v>#VALUE!</v>
      </c>
      <c r="H791" s="3" t="e">
        <f t="shared" si="28"/>
        <v>#VALUE!</v>
      </c>
      <c r="I791" s="1">
        <v>1</v>
      </c>
    </row>
    <row r="792" spans="1:9" x14ac:dyDescent="0.25">
      <c r="A792" s="1" t="s">
        <v>14435</v>
      </c>
      <c r="B792" s="1" t="s">
        <v>2107</v>
      </c>
      <c r="C792" s="1" t="str">
        <f>IFERROR(VLOOKUP(B792,'SB1'!$A$2:$B$999999,2,FALSE),"")</f>
        <v>AUTOPOLISH COLORIN AUTOCERA PROFESIONAL X 0,900</v>
      </c>
      <c r="D792" s="1" t="s">
        <v>14438</v>
      </c>
      <c r="E792" s="3">
        <f>IFERROR(VLOOKUP(B792,'DA1'!$B$2:$D$999999,3,FALSE),"")</f>
      </c>
      <c r="F792" s="1" t="str">
        <f>IFERROR(VLOOKUP(B792,'SB1'!$A$2:$C$999999,3,FALSE),"")</f>
        <v>503</v>
      </c>
      <c r="G792" s="3" t="e">
        <f t="shared" si="29"/>
        <v>#VALUE!</v>
      </c>
      <c r="H792" s="3" t="e">
        <f t="shared" si="28"/>
        <v>#VALUE!</v>
      </c>
      <c r="I792" s="1">
        <v>1</v>
      </c>
    </row>
    <row r="793" spans="1:9" x14ac:dyDescent="0.25">
      <c r="A793" s="1" t="s">
        <v>14435</v>
      </c>
      <c r="B793" s="1" t="s">
        <v>2109</v>
      </c>
      <c r="C793" s="1" t="str">
        <f>IFERROR(VLOOKUP(B793,'SB1'!$A$2:$B$999999,2,FALSE),"")</f>
        <v>AEROSOL TERSUAVE ESMALTE SINTETICO ALTA TEMPERATURA BLANCO X 0,250</v>
      </c>
      <c r="D793" s="1" t="s">
        <v>14437</v>
      </c>
      <c r="E793" s="3">
        <f>IFERROR(VLOOKUP(B793,'DA1'!$B$2:$D$999999,3,FALSE),"")</f>
      </c>
      <c r="F793" s="1" t="str">
        <f>IFERROR(VLOOKUP(B793,'SB1'!$A$2:$C$999999,3,FALSE),"")</f>
        <v>503</v>
      </c>
      <c r="G793" s="3" t="e">
        <f t="shared" si="29"/>
        <v>#VALUE!</v>
      </c>
      <c r="H793" s="3" t="e">
        <f t="shared" si="28"/>
        <v>#VALUE!</v>
      </c>
      <c r="I793" s="1">
        <v>1</v>
      </c>
    </row>
    <row r="794" spans="1:9" x14ac:dyDescent="0.25">
      <c r="A794" s="1" t="s">
        <v>14435</v>
      </c>
      <c r="B794" s="1" t="s">
        <v>2111</v>
      </c>
      <c r="C794" s="1" t="str">
        <f>IFERROR(VLOOKUP(B794,'SB1'!$A$2:$B$999999,2,FALSE),"")</f>
        <v>BARNIZ ULTRAMARINO PARA MADERA EXTERIOR PLAVICON BRILLANTE INCOLORO X  4</v>
      </c>
      <c r="D794" s="1" t="s">
        <v>14458</v>
      </c>
      <c r="E794" s="3">
        <f>IFERROR(VLOOKUP(B794,'DA1'!$B$2:$D$999999,3,FALSE),"")</f>
      </c>
      <c r="F794" s="1" t="str">
        <f>IFERROR(VLOOKUP(B794,'SB1'!$A$2:$C$999999,3,FALSE),"")</f>
        <v>503</v>
      </c>
      <c r="G794" s="3" t="e">
        <f t="shared" si="29"/>
        <v>#VALUE!</v>
      </c>
      <c r="H794" s="3" t="e">
        <f t="shared" si="28"/>
        <v>#VALUE!</v>
      </c>
      <c r="I794" s="1">
        <v>1</v>
      </c>
    </row>
    <row r="795" spans="1:9" x14ac:dyDescent="0.25">
      <c r="A795" s="1" t="s">
        <v>14435</v>
      </c>
      <c r="B795" s="1" t="s">
        <v>2113</v>
      </c>
      <c r="C795" s="1" t="str">
        <f>IFERROR(VLOOKUP(B795,'SB1'!$A$2:$B$999999,2,FALSE),"")</f>
        <v>BARNIZ ULTRAMARINO PARA MADERA EXTERIOR PLAVICON BRILLANTE INCOLORO X 20</v>
      </c>
      <c r="D795" s="1" t="s">
        <v>14458</v>
      </c>
      <c r="E795" s="3">
        <f>IFERROR(VLOOKUP(B795,'DA1'!$B$2:$D$999999,3,FALSE),"")</f>
      </c>
      <c r="F795" s="1" t="str">
        <f>IFERROR(VLOOKUP(B795,'SB1'!$A$2:$C$999999,3,FALSE),"")</f>
        <v>503</v>
      </c>
      <c r="G795" s="3" t="e">
        <f t="shared" si="29"/>
        <v>#VALUE!</v>
      </c>
      <c r="H795" s="3" t="e">
        <f t="shared" si="28"/>
        <v>#VALUE!</v>
      </c>
      <c r="I795" s="1">
        <v>1</v>
      </c>
    </row>
    <row r="796" spans="1:9" x14ac:dyDescent="0.25">
      <c r="A796" s="1" t="s">
        <v>14435</v>
      </c>
      <c r="B796" s="1" t="s">
        <v>2117</v>
      </c>
      <c r="C796" s="1" t="str">
        <f>IFERROR(VLOOKUP(B796,'SB1'!$A$2:$B$999999,2,FALSE),"")</f>
        <v>BARNIZ MARINO PARA MADERA EXTERIOR PLAVICON BRILLANTE INCOLORO X  0,500</v>
      </c>
      <c r="D796" s="1" t="s">
        <v>14458</v>
      </c>
      <c r="E796" s="3">
        <f>IFERROR(VLOOKUP(B796,'DA1'!$B$2:$D$999999,3,FALSE),"")</f>
      </c>
      <c r="F796" s="1" t="str">
        <f>IFERROR(VLOOKUP(B796,'SB1'!$A$2:$C$999999,3,FALSE),"")</f>
        <v>503</v>
      </c>
      <c r="G796" s="3" t="e">
        <f t="shared" si="29"/>
        <v>#VALUE!</v>
      </c>
      <c r="H796" s="3" t="e">
        <f t="shared" si="28"/>
        <v>#VALUE!</v>
      </c>
      <c r="I796" s="1">
        <v>1</v>
      </c>
    </row>
    <row r="797" spans="1:9" x14ac:dyDescent="0.25">
      <c r="A797" s="1" t="s">
        <v>14435</v>
      </c>
      <c r="B797" s="1" t="s">
        <v>2119</v>
      </c>
      <c r="C797" s="1" t="str">
        <f>IFERROR(VLOOKUP(B797,'SB1'!$A$2:$B$999999,2,FALSE),"")</f>
        <v>LAMINA PARA MASILLAR  8 X 10</v>
      </c>
      <c r="D797" s="1" t="s">
        <v>14469</v>
      </c>
      <c r="E797" s="3">
        <f>IFERROR(VLOOKUP(B797,'DA1'!$B$2:$D$999999,3,FALSE),"")</f>
      </c>
      <c r="F797" s="1" t="str">
        <f>IFERROR(VLOOKUP(B797,'SB1'!$A$2:$C$999999,3,FALSE),"")</f>
        <v>503</v>
      </c>
      <c r="G797" s="3" t="e">
        <f t="shared" si="29"/>
        <v>#VALUE!</v>
      </c>
      <c r="H797" s="3" t="e">
        <f t="shared" si="28"/>
        <v>#VALUE!</v>
      </c>
      <c r="I797" s="1">
        <v>1</v>
      </c>
    </row>
    <row r="798" spans="1:9" x14ac:dyDescent="0.25">
      <c r="A798" s="1" t="s">
        <v>14435</v>
      </c>
      <c r="B798" s="1" t="s">
        <v>2121</v>
      </c>
      <c r="C798" s="1" t="str">
        <f>IFERROR(VLOOKUP(B798,'SB1'!$A$2:$B$999999,2,FALSE),"")</f>
        <v>LAMINA PARA MASILLAR 10 X 14</v>
      </c>
      <c r="D798" s="1" t="s">
        <v>14469</v>
      </c>
      <c r="E798" s="3">
        <f>IFERROR(VLOOKUP(B798,'DA1'!$B$2:$D$999999,3,FALSE),"")</f>
      </c>
      <c r="F798" s="1" t="str">
        <f>IFERROR(VLOOKUP(B798,'SB1'!$A$2:$C$999999,3,FALSE),"")</f>
        <v>503</v>
      </c>
      <c r="G798" s="3" t="e">
        <f t="shared" si="29"/>
        <v>#VALUE!</v>
      </c>
      <c r="H798" s="3" t="e">
        <f t="shared" si="28"/>
        <v>#VALUE!</v>
      </c>
      <c r="I798" s="1">
        <v>1</v>
      </c>
    </row>
    <row r="799" spans="1:9" x14ac:dyDescent="0.25">
      <c r="A799" s="1" t="s">
        <v>14435</v>
      </c>
      <c r="B799" s="1" t="s">
        <v>2129</v>
      </c>
      <c r="C799" s="1" t="str">
        <f>IFERROR(VLOOKUP(B799,'SB1'!$A$2:$B$999999,2,FALSE),"")</f>
        <v>BARNIZ MARINO PARA MADERA EXTERIOR PLAVICON BRILLANTE INCOLORO X  1</v>
      </c>
      <c r="D799" s="1" t="s">
        <v>14458</v>
      </c>
      <c r="E799" s="3">
        <f>IFERROR(VLOOKUP(B799,'DA1'!$B$2:$D$999999,3,FALSE),"")</f>
      </c>
      <c r="F799" s="1" t="str">
        <f>IFERROR(VLOOKUP(B799,'SB1'!$A$2:$C$999999,3,FALSE),"")</f>
        <v>503</v>
      </c>
      <c r="G799" s="3" t="e">
        <f t="shared" si="29"/>
        <v>#VALUE!</v>
      </c>
      <c r="H799" s="3" t="e">
        <f t="shared" si="28"/>
        <v>#VALUE!</v>
      </c>
      <c r="I799" s="1">
        <v>1</v>
      </c>
    </row>
    <row r="800" spans="1:9" x14ac:dyDescent="0.25">
      <c r="A800" s="1" t="s">
        <v>14435</v>
      </c>
      <c r="B800" s="1" t="s">
        <v>2131</v>
      </c>
      <c r="C800" s="1" t="str">
        <f>IFERROR(VLOOKUP(B800,'SB1'!$A$2:$B$999999,2,FALSE),"")</f>
        <v>BARNIZ MARINO PARA MADERA EXTERIOR PLAVICON BRILLANTE INCOLORO X  4</v>
      </c>
      <c r="D800" s="1" t="s">
        <v>14458</v>
      </c>
      <c r="E800" s="3">
        <f>IFERROR(VLOOKUP(B800,'DA1'!$B$2:$D$999999,3,FALSE),"")</f>
      </c>
      <c r="F800" s="1" t="str">
        <f>IFERROR(VLOOKUP(B800,'SB1'!$A$2:$C$999999,3,FALSE),"")</f>
        <v>503</v>
      </c>
      <c r="G800" s="3" t="e">
        <f t="shared" si="29"/>
        <v>#VALUE!</v>
      </c>
      <c r="H800" s="3" t="e">
        <f t="shared" si="28"/>
        <v>#VALUE!</v>
      </c>
      <c r="I800" s="1">
        <v>1</v>
      </c>
    </row>
    <row r="801" spans="1:9" x14ac:dyDescent="0.25">
      <c r="A801" s="1" t="s">
        <v>14435</v>
      </c>
      <c r="B801" s="1" t="s">
        <v>2133</v>
      </c>
      <c r="C801" s="1" t="str">
        <f>IFERROR(VLOOKUP(B801,'SB1'!$A$2:$B$999999,2,FALSE),"")</f>
        <v>BARNIZ MARINO PARA MADERA EXTERIOR PLAVICON BRILLANTE INCOLORO X 20</v>
      </c>
      <c r="D801" s="1" t="s">
        <v>14458</v>
      </c>
      <c r="E801" s="3">
        <f>IFERROR(VLOOKUP(B801,'DA1'!$B$2:$D$999999,3,FALSE),"")</f>
      </c>
      <c r="F801" s="1" t="str">
        <f>IFERROR(VLOOKUP(B801,'SB1'!$A$2:$C$999999,3,FALSE),"")</f>
        <v>503</v>
      </c>
      <c r="G801" s="3" t="e">
        <f t="shared" si="29"/>
        <v>#VALUE!</v>
      </c>
      <c r="H801" s="3" t="e">
        <f t="shared" si="28"/>
        <v>#VALUE!</v>
      </c>
      <c r="I801" s="1">
        <v>1</v>
      </c>
    </row>
    <row r="802" spans="1:9" x14ac:dyDescent="0.25">
      <c r="A802" s="1" t="s">
        <v>14435</v>
      </c>
      <c r="B802" s="1" t="s">
        <v>2147</v>
      </c>
      <c r="C802" s="1" t="str">
        <f>IFERROR(VLOOKUP(B802,'SB1'!$A$2:$B$999999,2,FALSE),"")</f>
        <v>IMPREGNANTE PARA MADERA PLAVICON LASUR BRILLANTE ROBLE X  1</v>
      </c>
      <c r="D802" s="1" t="s">
        <v>14458</v>
      </c>
      <c r="E802" s="3">
        <f>IFERROR(VLOOKUP(B802,'DA1'!$B$2:$D$999999,3,FALSE),"")</f>
      </c>
      <c r="F802" s="1" t="str">
        <f>IFERROR(VLOOKUP(B802,'SB1'!$A$2:$C$999999,3,FALSE),"")</f>
        <v>503</v>
      </c>
      <c r="G802" s="3" t="e">
        <f t="shared" si="29"/>
        <v>#VALUE!</v>
      </c>
      <c r="H802" s="3" t="e">
        <f t="shared" si="28"/>
        <v>#VALUE!</v>
      </c>
      <c r="I802" s="1">
        <v>1</v>
      </c>
    </row>
    <row r="803" spans="1:9" x14ac:dyDescent="0.25">
      <c r="A803" s="1" t="s">
        <v>14435</v>
      </c>
      <c r="B803" s="1" t="s">
        <v>2149</v>
      </c>
      <c r="C803" s="1" t="str">
        <f>IFERROR(VLOOKUP(B803,'SB1'!$A$2:$B$999999,2,FALSE),"")</f>
        <v>IMPREGNANTE PARA MADERA PLAVICON LASUR BRILLANTE ROBLE X  4</v>
      </c>
      <c r="D803" s="1" t="s">
        <v>14458</v>
      </c>
      <c r="E803" s="3">
        <f>IFERROR(VLOOKUP(B803,'DA1'!$B$2:$D$999999,3,FALSE),"")</f>
      </c>
      <c r="F803" s="1" t="str">
        <f>IFERROR(VLOOKUP(B803,'SB1'!$A$2:$C$999999,3,FALSE),"")</f>
        <v>503</v>
      </c>
      <c r="G803" s="3" t="e">
        <f t="shared" si="29"/>
        <v>#VALUE!</v>
      </c>
      <c r="H803" s="3" t="e">
        <f t="shared" ref="H803:H866" si="30">G803*1.21</f>
        <v>#VALUE!</v>
      </c>
      <c r="I803" s="1">
        <v>1</v>
      </c>
    </row>
    <row r="804" spans="1:9" x14ac:dyDescent="0.25">
      <c r="A804" s="1" t="s">
        <v>14435</v>
      </c>
      <c r="B804" s="1" t="s">
        <v>2151</v>
      </c>
      <c r="C804" s="1" t="str">
        <f>IFERROR(VLOOKUP(B804,'SB1'!$A$2:$B$999999,2,FALSE),"")</f>
        <v>AEROSOL TERSUAVE ESMALTE SINTETICO ALTA TEMPERATURA ALUMINIO X 0,250</v>
      </c>
      <c r="D804" s="1" t="s">
        <v>14437</v>
      </c>
      <c r="E804" s="3">
        <f>IFERROR(VLOOKUP(B804,'DA1'!$B$2:$D$999999,3,FALSE),"")</f>
      </c>
      <c r="F804" s="1" t="str">
        <f>IFERROR(VLOOKUP(B804,'SB1'!$A$2:$C$999999,3,FALSE),"")</f>
        <v>503</v>
      </c>
      <c r="G804" s="3" t="e">
        <f t="shared" si="29"/>
        <v>#VALUE!</v>
      </c>
      <c r="H804" s="3" t="e">
        <f t="shared" si="30"/>
        <v>#VALUE!</v>
      </c>
      <c r="I804" s="1">
        <v>1</v>
      </c>
    </row>
    <row r="805" spans="1:9" x14ac:dyDescent="0.25">
      <c r="A805" s="1" t="s">
        <v>14435</v>
      </c>
      <c r="B805" s="1" t="s">
        <v>2153</v>
      </c>
      <c r="C805" s="1" t="str">
        <f>IFERROR(VLOOKUP(B805,'SB1'!$A$2:$B$999999,2,FALSE),"")</f>
        <v>AEROSOL RUST-OLEUM SP METALICO ORO X 0,312(272071)</v>
      </c>
      <c r="D805" s="1" t="s">
        <v>14475</v>
      </c>
      <c r="E805" s="3">
        <f>IFERROR(VLOOKUP(B805,'DA1'!$B$2:$D$999999,3,FALSE),"")</f>
      </c>
      <c r="F805" s="1" t="str">
        <f>IFERROR(VLOOKUP(B805,'SB1'!$A$2:$C$999999,3,FALSE),"")</f>
        <v>503</v>
      </c>
      <c r="G805" s="3" t="e">
        <f t="shared" si="29"/>
        <v>#VALUE!</v>
      </c>
      <c r="H805" s="3" t="e">
        <f t="shared" si="30"/>
        <v>#VALUE!</v>
      </c>
      <c r="I805" s="1">
        <v>1</v>
      </c>
    </row>
    <row r="806" spans="1:9" x14ac:dyDescent="0.25">
      <c r="A806" s="1" t="s">
        <v>14435</v>
      </c>
      <c r="B806" s="1" t="s">
        <v>2155</v>
      </c>
      <c r="C806" s="1" t="str">
        <f>IFERROR(VLOOKUP(B806,'SB1'!$A$2:$B$999999,2,FALSE),"")</f>
        <v>AEROSOL RUST-OLEUM SP METALICO PLATA X 0,312 (272073)</v>
      </c>
      <c r="D806" s="1" t="s">
        <v>14475</v>
      </c>
      <c r="E806" s="3">
        <f>IFERROR(VLOOKUP(B806,'DA1'!$B$2:$D$999999,3,FALSE),"")</f>
      </c>
      <c r="F806" s="1" t="str">
        <f>IFERROR(VLOOKUP(B806,'SB1'!$A$2:$C$999999,3,FALSE),"")</f>
        <v>503</v>
      </c>
      <c r="G806" s="3" t="e">
        <f t="shared" si="29"/>
        <v>#VALUE!</v>
      </c>
      <c r="H806" s="3" t="e">
        <f t="shared" si="30"/>
        <v>#VALUE!</v>
      </c>
      <c r="I806" s="1">
        <v>1</v>
      </c>
    </row>
    <row r="807" spans="1:9" x14ac:dyDescent="0.25">
      <c r="A807" s="1" t="s">
        <v>14435</v>
      </c>
      <c r="B807" s="1" t="s">
        <v>2157</v>
      </c>
      <c r="C807" s="1" t="str">
        <f>IFERROR(VLOOKUP(B807,'SB1'!$A$2:$B$999999,2,FALSE),"")</f>
        <v>AEROSOL TERSUAVE ESMALTE SINTETICO ALTA TEMPERATURA NEGRO X 0,250</v>
      </c>
      <c r="D807" s="1" t="s">
        <v>14437</v>
      </c>
      <c r="E807" s="3">
        <f>IFERROR(VLOOKUP(B807,'DA1'!$B$2:$D$999999,3,FALSE),"")</f>
      </c>
      <c r="F807" s="1" t="str">
        <f>IFERROR(VLOOKUP(B807,'SB1'!$A$2:$C$999999,3,FALSE),"")</f>
        <v>503</v>
      </c>
      <c r="G807" s="3" t="e">
        <f t="shared" si="29"/>
        <v>#VALUE!</v>
      </c>
      <c r="H807" s="3" t="e">
        <f t="shared" si="30"/>
        <v>#VALUE!</v>
      </c>
      <c r="I807" s="1">
        <v>1</v>
      </c>
    </row>
    <row r="808" spans="1:9" x14ac:dyDescent="0.25">
      <c r="A808" s="1" t="s">
        <v>14435</v>
      </c>
      <c r="B808" s="1" t="s">
        <v>2159</v>
      </c>
      <c r="C808" s="1" t="str">
        <f>IFERROR(VLOOKUP(B808,'SB1'!$A$2:$B$999999,2,FALSE),"")</f>
        <v>AEROSOL RUST-OLEUM SP METALICO COBRE X 0,312(272075)</v>
      </c>
      <c r="D808" s="1" t="s">
        <v>14475</v>
      </c>
      <c r="E808" s="3">
        <f>IFERROR(VLOOKUP(B808,'DA1'!$B$2:$D$999999,3,FALSE),"")</f>
      </c>
      <c r="F808" s="1" t="str">
        <f>IFERROR(VLOOKUP(B808,'SB1'!$A$2:$C$999999,3,FALSE),"")</f>
        <v>503</v>
      </c>
      <c r="G808" s="3" t="e">
        <f t="shared" si="29"/>
        <v>#VALUE!</v>
      </c>
      <c r="H808" s="3" t="e">
        <f t="shared" si="30"/>
        <v>#VALUE!</v>
      </c>
      <c r="I808" s="1">
        <v>1</v>
      </c>
    </row>
    <row r="809" spans="1:9" x14ac:dyDescent="0.25">
      <c r="A809" s="1" t="s">
        <v>14435</v>
      </c>
      <c r="B809" s="1" t="s">
        <v>2161</v>
      </c>
      <c r="C809" s="1" t="str">
        <f>IFERROR(VLOOKUP(B809,'SB1'!$A$2:$B$999999,2,FALSE),"")</f>
        <v>AEROSOL RUST-OLEUM SP METALICO BRONCE X 0,312 (272074)</v>
      </c>
      <c r="D809" s="1" t="s">
        <v>14475</v>
      </c>
      <c r="E809" s="3">
        <f>IFERROR(VLOOKUP(B809,'DA1'!$B$2:$D$999999,3,FALSE),"")</f>
      </c>
      <c r="F809" s="1" t="str">
        <f>IFERROR(VLOOKUP(B809,'SB1'!$A$2:$C$999999,3,FALSE),"")</f>
        <v>503</v>
      </c>
      <c r="G809" s="3" t="e">
        <f t="shared" si="29"/>
        <v>#VALUE!</v>
      </c>
      <c r="H809" s="3" t="e">
        <f t="shared" si="30"/>
        <v>#VALUE!</v>
      </c>
      <c r="I809" s="1">
        <v>1</v>
      </c>
    </row>
    <row r="810" spans="1:9" x14ac:dyDescent="0.25">
      <c r="A810" s="1" t="s">
        <v>14435</v>
      </c>
      <c r="B810" s="1" t="s">
        <v>2163</v>
      </c>
      <c r="C810" s="1" t="str">
        <f>IFERROR(VLOOKUP(B810,'SB1'!$A$2:$B$999999,2,FALSE),"")</f>
        <v>AEROSOL RUST-OLEUM UC BRILLANTE OCEANO X 0,340(201017)</v>
      </c>
      <c r="D810" s="1" t="s">
        <v>14475</v>
      </c>
      <c r="E810" s="3">
        <f>IFERROR(VLOOKUP(B810,'DA1'!$B$2:$D$999999,3,FALSE),"")</f>
      </c>
      <c r="F810" s="1" t="str">
        <f>IFERROR(VLOOKUP(B810,'SB1'!$A$2:$C$999999,3,FALSE),"")</f>
        <v>503</v>
      </c>
      <c r="G810" s="3" t="e">
        <f t="shared" si="29"/>
        <v>#VALUE!</v>
      </c>
      <c r="H810" s="3" t="e">
        <f t="shared" si="30"/>
        <v>#VALUE!</v>
      </c>
      <c r="I810" s="1">
        <v>1</v>
      </c>
    </row>
    <row r="811" spans="1:9" x14ac:dyDescent="0.25">
      <c r="A811" s="1" t="s">
        <v>14435</v>
      </c>
      <c r="B811" s="1" t="s">
        <v>2165</v>
      </c>
      <c r="C811" s="1" t="str">
        <f>IFERROR(VLOOKUP(B811,'SB1'!$A$2:$B$999999,2,FALSE),"")</f>
        <v>AEROSOL RUST-OLEUM UC BRILLANTE CORAL X 0,340(292323)</v>
      </c>
      <c r="D811" s="1" t="s">
        <v>14475</v>
      </c>
      <c r="E811" s="3">
        <f>IFERROR(VLOOKUP(B811,'DA1'!$B$2:$D$999999,3,FALSE),"")</f>
      </c>
      <c r="F811" s="1" t="str">
        <f>IFERROR(VLOOKUP(B811,'SB1'!$A$2:$C$999999,3,FALSE),"")</f>
        <v>503</v>
      </c>
      <c r="G811" s="3" t="e">
        <f t="shared" si="29"/>
        <v>#VALUE!</v>
      </c>
      <c r="H811" s="3" t="e">
        <f t="shared" si="30"/>
        <v>#VALUE!</v>
      </c>
      <c r="I811" s="1">
        <v>1</v>
      </c>
    </row>
    <row r="812" spans="1:9" x14ac:dyDescent="0.25">
      <c r="A812" s="1" t="s">
        <v>14435</v>
      </c>
      <c r="B812" s="1" t="s">
        <v>2185</v>
      </c>
      <c r="C812" s="1" t="str">
        <f>IFERROR(VLOOKUP(B812,'SB1'!$A$2:$B$999999,2,FALSE),"")</f>
        <v>AEROSOL RUST-OLEUM UC BRILLANTE TURQUESA X 0,340(279247)</v>
      </c>
      <c r="D812" s="1" t="s">
        <v>14475</v>
      </c>
      <c r="E812" s="3">
        <f>IFERROR(VLOOKUP(B812,'DA1'!$B$2:$D$999999,3,FALSE),"")</f>
      </c>
      <c r="F812" s="1" t="str">
        <f>IFERROR(VLOOKUP(B812,'SB1'!$A$2:$C$999999,3,FALSE),"")</f>
        <v>503</v>
      </c>
      <c r="G812" s="3" t="e">
        <f t="shared" si="29"/>
        <v>#VALUE!</v>
      </c>
      <c r="H812" s="3" t="e">
        <f t="shared" si="30"/>
        <v>#VALUE!</v>
      </c>
      <c r="I812" s="1">
        <v>1</v>
      </c>
    </row>
    <row r="813" spans="1:9" x14ac:dyDescent="0.25">
      <c r="A813" s="1" t="s">
        <v>14435</v>
      </c>
      <c r="B813" s="1" t="s">
        <v>2187</v>
      </c>
      <c r="C813" s="1" t="str">
        <f>IFERROR(VLOOKUP(B813,'SB1'!$A$2:$B$999999,2,FALSE),"")</f>
        <v>CEPILLO ACERO CON MANGO 4X19</v>
      </c>
      <c r="D813" s="1" t="s">
        <v>14460</v>
      </c>
      <c r="E813" s="3">
        <f>IFERROR(VLOOKUP(B813,'DA1'!$B$2:$D$999999,3,FALSE),"")</f>
      </c>
      <c r="F813" s="1" t="str">
        <f>IFERROR(VLOOKUP(B813,'SB1'!$A$2:$C$999999,3,FALSE),"")</f>
        <v>503</v>
      </c>
      <c r="G813" s="3" t="e">
        <f t="shared" si="29"/>
        <v>#VALUE!</v>
      </c>
      <c r="H813" s="3" t="e">
        <f t="shared" si="30"/>
        <v>#VALUE!</v>
      </c>
      <c r="I813" s="1">
        <v>1</v>
      </c>
    </row>
    <row r="814" spans="1:9" x14ac:dyDescent="0.25">
      <c r="A814" s="1" t="s">
        <v>14435</v>
      </c>
      <c r="B814" s="1" t="s">
        <v>2189</v>
      </c>
      <c r="C814" s="1" t="str">
        <f>IFERROR(VLOOKUP(B814,'SB1'!$A$2:$B$999999,2,FALSE),"")</f>
        <v>CEPILLO ACERO SIN MANGO 6X19</v>
      </c>
      <c r="D814" s="1" t="s">
        <v>14460</v>
      </c>
      <c r="E814" s="3">
        <f>IFERROR(VLOOKUP(B814,'DA1'!$B$2:$D$999999,3,FALSE),"")</f>
      </c>
      <c r="F814" s="1" t="str">
        <f>IFERROR(VLOOKUP(B814,'SB1'!$A$2:$C$999999,3,FALSE),"")</f>
        <v>503</v>
      </c>
      <c r="G814" s="3" t="e">
        <f t="shared" si="29"/>
        <v>#VALUE!</v>
      </c>
      <c r="H814" s="3" t="e">
        <f t="shared" si="30"/>
        <v>#VALUE!</v>
      </c>
      <c r="I814" s="1">
        <v>1</v>
      </c>
    </row>
    <row r="815" spans="1:9" x14ac:dyDescent="0.25">
      <c r="A815" s="1" t="s">
        <v>14435</v>
      </c>
      <c r="B815" s="1" t="s">
        <v>2191</v>
      </c>
      <c r="C815" s="1" t="str">
        <f>IFERROR(VLOOKUP(B815,'SB1'!$A$2:$B$999999,2,FALSE),"")</f>
        <v>AEROSOL RUST-OLEUM UC BRILLANTE PURPURA X 0,340(313391)</v>
      </c>
      <c r="D815" s="1" t="s">
        <v>14475</v>
      </c>
      <c r="E815" s="3">
        <f>IFERROR(VLOOKUP(B815,'DA1'!$B$2:$D$999999,3,FALSE),"")</f>
      </c>
      <c r="F815" s="1" t="str">
        <f>IFERROR(VLOOKUP(B815,'SB1'!$A$2:$C$999999,3,FALSE),"")</f>
        <v>503</v>
      </c>
      <c r="G815" s="3" t="e">
        <f t="shared" si="29"/>
        <v>#VALUE!</v>
      </c>
      <c r="H815" s="3" t="e">
        <f t="shared" si="30"/>
        <v>#VALUE!</v>
      </c>
      <c r="I815" s="1">
        <v>1</v>
      </c>
    </row>
    <row r="816" spans="1:9" x14ac:dyDescent="0.25">
      <c r="A816" s="1" t="s">
        <v>14435</v>
      </c>
      <c r="B816" s="1" t="s">
        <v>2193</v>
      </c>
      <c r="C816" s="1" t="str">
        <f>IFERROR(VLOOKUP(B816,'SB1'!$A$2:$B$999999,2,FALSE),"")</f>
        <v>CINTA DE ALUMINIO DOBLE A 48MM X 25MTS.</v>
      </c>
      <c r="D816" s="1" t="s">
        <v>14451</v>
      </c>
      <c r="E816" s="3">
        <f>IFERROR(VLOOKUP(B816,'DA1'!$B$2:$D$999999,3,FALSE),"")</f>
      </c>
      <c r="F816" s="1" t="str">
        <f>IFERROR(VLOOKUP(B816,'SB1'!$A$2:$C$999999,3,FALSE),"")</f>
        <v>503</v>
      </c>
      <c r="G816" s="3" t="e">
        <f t="shared" si="29"/>
        <v>#VALUE!</v>
      </c>
      <c r="H816" s="3" t="e">
        <f t="shared" si="30"/>
        <v>#VALUE!</v>
      </c>
      <c r="I816" s="1">
        <v>1</v>
      </c>
    </row>
    <row r="817" spans="1:8" x14ac:dyDescent="0.25">
      <c r="A817" s="1" t="s">
        <v>14435</v>
      </c>
      <c r="B817" s="1" t="s">
        <v>2197</v>
      </c>
      <c r="C817" s="1" t="str">
        <f>IFERROR(VLOOKUP(B817,'SB1'!$A$2:$B$999999,2,FALSE),"")</f>
        <v>AEROSOL RUST-OLEUM UC BRILLANTE BLANCO NARANJO X 0,340(262200)</v>
      </c>
      <c r="D817" s="1" t="s">
        <v>14439</v>
      </c>
      <c r="E817" s="3">
        <f>IFERROR(VLOOKUP(B817,'DA1'!$B$2:$D$999999,3,FALSE),"")</f>
      </c>
      <c r="F817" s="1" t="str">
        <f>IFERROR(VLOOKUP(B817,'SB1'!$A$2:$C$999999,3,FALSE),"")</f>
        <v>503</v>
      </c>
      <c r="G817" s="3" t="e">
        <f t="shared" si="29"/>
        <v>#VALUE!</v>
      </c>
      <c r="H817" s="3" t="e">
        <f t="shared" si="30"/>
        <v>#VALUE!</v>
      </c>
    </row>
    <row r="818" spans="1:9" x14ac:dyDescent="0.25">
      <c r="A818" s="1" t="s">
        <v>14435</v>
      </c>
      <c r="B818" s="1" t="s">
        <v>2199</v>
      </c>
      <c r="C818" s="1" t="str">
        <f>IFERROR(VLOOKUP(B818,'SB1'!$A$2:$B$999999,2,FALSE),"")</f>
        <v>MEMBRANA ASFALTICA MEGAFLEX NO CRACK PLUS ALUMINIO 40KG X 10MTS</v>
      </c>
      <c r="D818" s="1" t="s">
        <v>14466</v>
      </c>
      <c r="E818" s="3">
        <f>IFERROR(VLOOKUP(B818,'DA1'!$B$2:$D$999999,3,FALSE),"")</f>
      </c>
      <c r="F818" s="1" t="str">
        <f>IFERROR(VLOOKUP(B818,'SB1'!$A$2:$C$999999,3,FALSE),"")</f>
        <v>503</v>
      </c>
      <c r="G818" s="3" t="e">
        <f t="shared" si="29"/>
        <v>#VALUE!</v>
      </c>
      <c r="H818" s="3" t="e">
        <f t="shared" si="30"/>
        <v>#VALUE!</v>
      </c>
      <c r="I818" s="1">
        <v>1</v>
      </c>
    </row>
    <row r="819" spans="1:8" x14ac:dyDescent="0.25">
      <c r="A819" s="1" t="s">
        <v>14435</v>
      </c>
      <c r="B819" s="1" t="s">
        <v>2205</v>
      </c>
      <c r="C819" s="1" t="str">
        <f>IFERROR(VLOOKUP(B819,'SB1'!$A$2:$B$999999,2,FALSE),"")</f>
        <v>PASTA PULIR MMB MEDIANA X 1</v>
      </c>
      <c r="D819" s="1" t="s">
        <v>14439</v>
      </c>
      <c r="E819" s="3">
        <f>IFERROR(VLOOKUP(B819,'DA1'!$B$2:$D$999999,3,FALSE),"")</f>
      </c>
      <c r="F819" s="1" t="str">
        <f>IFERROR(VLOOKUP(B819,'SB1'!$A$2:$C$999999,3,FALSE),"")</f>
        <v>503</v>
      </c>
      <c r="G819" s="3" t="e">
        <f t="shared" si="29"/>
        <v>#VALUE!</v>
      </c>
      <c r="H819" s="3" t="e">
        <f t="shared" si="30"/>
        <v>#VALUE!</v>
      </c>
    </row>
    <row r="820" spans="1:9" x14ac:dyDescent="0.25">
      <c r="A820" s="1" t="s">
        <v>14435</v>
      </c>
      <c r="B820" s="1" t="s">
        <v>2217</v>
      </c>
      <c r="C820" s="1" t="str">
        <f>IFERROR(VLOOKUP(B820,'SB1'!$A$2:$B$999999,2,FALSE),"")</f>
        <v>CEPILLO BRONCE CURVO</v>
      </c>
      <c r="D820" s="1" t="s">
        <v>14460</v>
      </c>
      <c r="E820" s="3">
        <f>IFERROR(VLOOKUP(B820,'DA1'!$B$2:$D$999999,3,FALSE),"")</f>
      </c>
      <c r="F820" s="1" t="str">
        <f>IFERROR(VLOOKUP(B820,'SB1'!$A$2:$C$999999,3,FALSE),"")</f>
        <v>503</v>
      </c>
      <c r="G820" s="3" t="e">
        <f t="shared" si="29"/>
        <v>#VALUE!</v>
      </c>
      <c r="H820" s="3" t="e">
        <f t="shared" si="30"/>
        <v>#VALUE!</v>
      </c>
      <c r="I820" s="1">
        <v>1</v>
      </c>
    </row>
    <row r="821" spans="1:9" x14ac:dyDescent="0.25">
      <c r="A821" s="1" t="s">
        <v>14435</v>
      </c>
      <c r="B821" s="1" t="s">
        <v>2219</v>
      </c>
      <c r="C821" s="1" t="str">
        <f>IFERROR(VLOOKUP(B821,'SB1'!$A$2:$B$999999,2,FALSE),"")</f>
        <v>LIJA AL AGUA DOBLE A # 2500 (MG)</v>
      </c>
      <c r="D821" s="1" t="s">
        <v>14451</v>
      </c>
      <c r="E821" s="3">
        <f>IFERROR(VLOOKUP(B821,'DA1'!$B$2:$D$999999,3,FALSE),"")</f>
      </c>
      <c r="F821" s="1" t="str">
        <f>IFERROR(VLOOKUP(B821,'SB1'!$A$2:$C$999999,3,FALSE),"")</f>
        <v>503</v>
      </c>
      <c r="G821" s="3" t="e">
        <f t="shared" si="29"/>
        <v>#VALUE!</v>
      </c>
      <c r="H821" s="3" t="e">
        <f t="shared" si="30"/>
        <v>#VALUE!</v>
      </c>
      <c r="I821" s="1">
        <v>1</v>
      </c>
    </row>
    <row r="822" spans="1:9" x14ac:dyDescent="0.25">
      <c r="A822" s="1" t="s">
        <v>14435</v>
      </c>
      <c r="B822" s="1" t="s">
        <v>2221</v>
      </c>
      <c r="C822" s="1" t="str">
        <f>IFERROR(VLOOKUP(B822,'SB1'!$A$2:$B$999999,2,FALSE),"")</f>
        <v>BANDEJA PARA PINTAR PLASTICA PARA COLGAR (012)</v>
      </c>
      <c r="D822" s="1" t="s">
        <v>14460</v>
      </c>
      <c r="E822" s="3">
        <f>IFERROR(VLOOKUP(B822,'DA1'!$B$2:$D$999999,3,FALSE),"")</f>
      </c>
      <c r="F822" s="1" t="str">
        <f>IFERROR(VLOOKUP(B822,'SB1'!$A$2:$C$999999,3,FALSE),"")</f>
        <v>503</v>
      </c>
      <c r="G822" s="3" t="e">
        <f t="shared" si="29"/>
        <v>#VALUE!</v>
      </c>
      <c r="H822" s="3" t="e">
        <f t="shared" si="30"/>
        <v>#VALUE!</v>
      </c>
      <c r="I822" s="1">
        <v>1</v>
      </c>
    </row>
    <row r="823" spans="1:9" x14ac:dyDescent="0.25">
      <c r="A823" s="1" t="s">
        <v>14435</v>
      </c>
      <c r="B823" s="1" t="s">
        <v>2223</v>
      </c>
      <c r="C823" s="1" t="str">
        <f>IFERROR(VLOOKUP(B823,'SB1'!$A$2:$B$999999,2,FALSE),"")</f>
        <v>LATEX INTERIOR PLAVIPINT MATE BLANCO X  1</v>
      </c>
      <c r="D823" s="1" t="s">
        <v>14458</v>
      </c>
      <c r="E823" s="3">
        <f>IFERROR(VLOOKUP(B823,'DA1'!$B$2:$D$999999,3,FALSE),"")</f>
      </c>
      <c r="F823" s="1" t="str">
        <f>IFERROR(VLOOKUP(B823,'SB1'!$A$2:$C$999999,3,FALSE),"")</f>
        <v>503</v>
      </c>
      <c r="G823" s="3" t="e">
        <f t="shared" si="29"/>
        <v>#VALUE!</v>
      </c>
      <c r="H823" s="3" t="e">
        <f t="shared" si="30"/>
        <v>#VALUE!</v>
      </c>
      <c r="I823" s="1">
        <v>1</v>
      </c>
    </row>
    <row r="824" spans="1:9" x14ac:dyDescent="0.25">
      <c r="A824" s="1" t="s">
        <v>14435</v>
      </c>
      <c r="B824" s="1" t="s">
        <v>2225</v>
      </c>
      <c r="C824" s="1" t="str">
        <f>IFERROR(VLOOKUP(B824,'SB1'!$A$2:$B$999999,2,FALSE),"")</f>
        <v>LATEX INTERIOR PLAVIPINT MATE BLANCO X  4</v>
      </c>
      <c r="D824" s="1" t="s">
        <v>14458</v>
      </c>
      <c r="E824" s="3">
        <f>IFERROR(VLOOKUP(B824,'DA1'!$B$2:$D$999999,3,FALSE),"")</f>
      </c>
      <c r="F824" s="1" t="str">
        <f>IFERROR(VLOOKUP(B824,'SB1'!$A$2:$C$999999,3,FALSE),"")</f>
        <v>503</v>
      </c>
      <c r="G824" s="3" t="e">
        <f t="shared" si="29"/>
        <v>#VALUE!</v>
      </c>
      <c r="H824" s="3" t="e">
        <f t="shared" si="30"/>
        <v>#VALUE!</v>
      </c>
      <c r="I824" s="1">
        <v>1</v>
      </c>
    </row>
    <row r="825" spans="1:9" x14ac:dyDescent="0.25">
      <c r="A825" s="1" t="s">
        <v>14435</v>
      </c>
      <c r="B825" s="1" t="s">
        <v>2255</v>
      </c>
      <c r="C825" s="1" t="str">
        <f>IFERROR(VLOOKUP(B825,'SB1'!$A$2:$B$999999,2,FALSE),"")</f>
        <v>IMPERMEABILIZANTE PARA TECHOS PU PLAVICON BLANCO X  5</v>
      </c>
      <c r="D825" s="1" t="s">
        <v>14458</v>
      </c>
      <c r="E825" s="3">
        <f>IFERROR(VLOOKUP(B825,'DA1'!$B$2:$D$999999,3,FALSE),"")</f>
      </c>
      <c r="F825" s="1" t="str">
        <f>IFERROR(VLOOKUP(B825,'SB1'!$A$2:$C$999999,3,FALSE),"")</f>
        <v>503</v>
      </c>
      <c r="G825" s="3" t="e">
        <f t="shared" si="29"/>
        <v>#VALUE!</v>
      </c>
      <c r="H825" s="3" t="e">
        <f t="shared" si="30"/>
        <v>#VALUE!</v>
      </c>
      <c r="I825" s="1">
        <v>1</v>
      </c>
    </row>
    <row r="826" spans="1:9" x14ac:dyDescent="0.25">
      <c r="A826" s="1" t="s">
        <v>14435</v>
      </c>
      <c r="B826" s="1" t="s">
        <v>2257</v>
      </c>
      <c r="C826" s="1" t="str">
        <f>IFERROR(VLOOKUP(B826,'SB1'!$A$2:$B$999999,2,FALSE),"")</f>
        <v>IMPERMEABILIZANTE PARA TECHOS PU PLAVICON BLANCO X 12</v>
      </c>
      <c r="D826" s="1" t="s">
        <v>14458</v>
      </c>
      <c r="E826" s="3">
        <f>IFERROR(VLOOKUP(B826,'DA1'!$B$2:$D$999999,3,FALSE),"")</f>
      </c>
      <c r="F826" s="1" t="str">
        <f>IFERROR(VLOOKUP(B826,'SB1'!$A$2:$C$999999,3,FALSE),"")</f>
        <v>503</v>
      </c>
      <c r="G826" s="3" t="e">
        <f t="shared" si="29"/>
        <v>#VALUE!</v>
      </c>
      <c r="H826" s="3" t="e">
        <f t="shared" si="30"/>
        <v>#VALUE!</v>
      </c>
      <c r="I826" s="1">
        <v>1</v>
      </c>
    </row>
    <row r="827" spans="1:9" x14ac:dyDescent="0.25">
      <c r="A827" s="1" t="s">
        <v>14435</v>
      </c>
      <c r="B827" s="1" t="s">
        <v>2259</v>
      </c>
      <c r="C827" s="1" t="str">
        <f>IFERROR(VLOOKUP(B827,'SB1'!$A$2:$B$999999,2,FALSE),"")</f>
        <v>IMPERMEABILIZANTE PARA TECHOS PU PLAVICON BLANCO X 25</v>
      </c>
      <c r="D827" s="1" t="s">
        <v>14458</v>
      </c>
      <c r="E827" s="3">
        <f>IFERROR(VLOOKUP(B827,'DA1'!$B$2:$D$999999,3,FALSE),"")</f>
      </c>
      <c r="F827" s="1" t="str">
        <f>IFERROR(VLOOKUP(B827,'SB1'!$A$2:$C$999999,3,FALSE),"")</f>
        <v>503</v>
      </c>
      <c r="G827" s="3" t="e">
        <f t="shared" si="29"/>
        <v>#VALUE!</v>
      </c>
      <c r="H827" s="3" t="e">
        <f t="shared" si="30"/>
        <v>#VALUE!</v>
      </c>
      <c r="I827" s="1">
        <v>1</v>
      </c>
    </row>
    <row r="828" spans="1:9" x14ac:dyDescent="0.25">
      <c r="A828" s="1" t="s">
        <v>14435</v>
      </c>
      <c r="B828" s="1" t="s">
        <v>2287</v>
      </c>
      <c r="C828" s="1" t="str">
        <f>IFERROR(VLOOKUP(B828,'SB1'!$A$2:$B$999999,2,FALSE),"")</f>
        <v>ESCALERA DE MADERA SIN FIN FAMILIAR SIMPLE 3</v>
      </c>
      <c r="D828" s="1" t="s">
        <v>14471</v>
      </c>
      <c r="E828" s="3">
        <f>IFERROR(VLOOKUP(B828,'DA1'!$B$2:$D$999999,3,FALSE),"")</f>
      </c>
      <c r="F828" s="1" t="str">
        <f>IFERROR(VLOOKUP(B828,'SB1'!$A$2:$C$999999,3,FALSE),"")</f>
        <v>503</v>
      </c>
      <c r="G828" s="3" t="e">
        <f t="shared" si="29"/>
        <v>#VALUE!</v>
      </c>
      <c r="H828" s="3" t="e">
        <f t="shared" si="30"/>
        <v>#VALUE!</v>
      </c>
      <c r="I828" s="1">
        <v>1</v>
      </c>
    </row>
    <row r="829" spans="1:9" x14ac:dyDescent="0.25">
      <c r="A829" s="1" t="s">
        <v>14435</v>
      </c>
      <c r="B829" s="1" t="s">
        <v>2289</v>
      </c>
      <c r="C829" s="1" t="str">
        <f>IFERROR(VLOOKUP(B829,'SB1'!$A$2:$B$999999,2,FALSE),"")</f>
        <v>ESCALERA DE MADERA SIN FIN FAMILIAR SIMPLE 4</v>
      </c>
      <c r="D829" s="1" t="s">
        <v>14471</v>
      </c>
      <c r="E829" s="3">
        <f>IFERROR(VLOOKUP(B829,'DA1'!$B$2:$D$999999,3,FALSE),"")</f>
      </c>
      <c r="F829" s="1" t="str">
        <f>IFERROR(VLOOKUP(B829,'SB1'!$A$2:$C$999999,3,FALSE),"")</f>
        <v>503</v>
      </c>
      <c r="G829" s="3" t="e">
        <f t="shared" si="29"/>
        <v>#VALUE!</v>
      </c>
      <c r="H829" s="3" t="e">
        <f t="shared" si="30"/>
        <v>#VALUE!</v>
      </c>
      <c r="I829" s="1">
        <v>1</v>
      </c>
    </row>
    <row r="830" spans="1:9" x14ac:dyDescent="0.25">
      <c r="A830" s="1" t="s">
        <v>14435</v>
      </c>
      <c r="B830" s="1" t="s">
        <v>2291</v>
      </c>
      <c r="C830" s="1" t="str">
        <f>IFERROR(VLOOKUP(B830,'SB1'!$A$2:$B$999999,2,FALSE),"")</f>
        <v>LATEX INTERIOR PLAVIPINT MATE BLANCO X 10</v>
      </c>
      <c r="D830" s="1" t="s">
        <v>14458</v>
      </c>
      <c r="E830" s="3">
        <f>IFERROR(VLOOKUP(B830,'DA1'!$B$2:$D$999999,3,FALSE),"")</f>
      </c>
      <c r="F830" s="1" t="str">
        <f>IFERROR(VLOOKUP(B830,'SB1'!$A$2:$C$999999,3,FALSE),"")</f>
        <v>503</v>
      </c>
      <c r="G830" s="3" t="e">
        <f t="shared" si="29"/>
        <v>#VALUE!</v>
      </c>
      <c r="H830" s="3" t="e">
        <f t="shared" si="30"/>
        <v>#VALUE!</v>
      </c>
      <c r="I830" s="1">
        <v>1</v>
      </c>
    </row>
    <row r="831" spans="1:9" x14ac:dyDescent="0.25">
      <c r="A831" s="1" t="s">
        <v>14435</v>
      </c>
      <c r="B831" s="1" t="s">
        <v>2293</v>
      </c>
      <c r="C831" s="1" t="str">
        <f>IFERROR(VLOOKUP(B831,'SB1'!$A$2:$B$999999,2,FALSE),"")</f>
        <v>LATEX INTERIOR PLAVIPINT MATE BLANCO X 20</v>
      </c>
      <c r="D831" s="1" t="s">
        <v>14458</v>
      </c>
      <c r="E831" s="3">
        <f>IFERROR(VLOOKUP(B831,'DA1'!$B$2:$D$999999,3,FALSE),"")</f>
      </c>
      <c r="F831" s="1" t="str">
        <f>IFERROR(VLOOKUP(B831,'SB1'!$A$2:$C$999999,3,FALSE),"")</f>
        <v>503</v>
      </c>
      <c r="G831" s="3" t="e">
        <f t="shared" si="29"/>
        <v>#VALUE!</v>
      </c>
      <c r="H831" s="3" t="e">
        <f t="shared" si="30"/>
        <v>#VALUE!</v>
      </c>
      <c r="I831" s="1">
        <v>1</v>
      </c>
    </row>
    <row r="832" spans="1:9" x14ac:dyDescent="0.25">
      <c r="A832" s="1" t="s">
        <v>14435</v>
      </c>
      <c r="B832" s="1" t="s">
        <v>2297</v>
      </c>
      <c r="C832" s="1" t="str">
        <f>IFERROR(VLOOKUP(B832,'SB1'!$A$2:$B$999999,2,FALSE),"")</f>
        <v>LATEX INTERIOR/EXTERIOR PLAVIPINT MATE BLANCO X  1</v>
      </c>
      <c r="D832" s="1" t="s">
        <v>14458</v>
      </c>
      <c r="E832" s="3">
        <f>IFERROR(VLOOKUP(B832,'DA1'!$B$2:$D$999999,3,FALSE),"")</f>
      </c>
      <c r="F832" s="1" t="str">
        <f>IFERROR(VLOOKUP(B832,'SB1'!$A$2:$C$999999,3,FALSE),"")</f>
        <v>503</v>
      </c>
      <c r="G832" s="3" t="e">
        <f t="shared" si="29"/>
        <v>#VALUE!</v>
      </c>
      <c r="H832" s="3" t="e">
        <f t="shared" si="30"/>
        <v>#VALUE!</v>
      </c>
      <c r="I832" s="1">
        <v>1</v>
      </c>
    </row>
    <row r="833" spans="1:9" x14ac:dyDescent="0.25">
      <c r="A833" s="1" t="s">
        <v>14435</v>
      </c>
      <c r="B833" s="1" t="s">
        <v>2301</v>
      </c>
      <c r="C833" s="1" t="str">
        <f>IFERROR(VLOOKUP(B833,'SB1'!$A$2:$B$999999,2,FALSE),"")</f>
        <v>LATEX INTERIOR/EXTERIOR PLAVIPINT MATE BLANCO X  4</v>
      </c>
      <c r="D833" s="1" t="s">
        <v>14458</v>
      </c>
      <c r="E833" s="3">
        <f>IFERROR(VLOOKUP(B833,'DA1'!$B$2:$D$999999,3,FALSE),"")</f>
      </c>
      <c r="F833" s="1" t="str">
        <f>IFERROR(VLOOKUP(B833,'SB1'!$A$2:$C$999999,3,FALSE),"")</f>
        <v>503</v>
      </c>
      <c r="G833" s="3" t="e">
        <f t="shared" si="29"/>
        <v>#VALUE!</v>
      </c>
      <c r="H833" s="3" t="e">
        <f t="shared" si="30"/>
        <v>#VALUE!</v>
      </c>
      <c r="I833" s="1">
        <v>1</v>
      </c>
    </row>
    <row r="834" spans="1:9" x14ac:dyDescent="0.25">
      <c r="A834" s="1" t="s">
        <v>14435</v>
      </c>
      <c r="B834" s="1" t="s">
        <v>2303</v>
      </c>
      <c r="C834" s="1" t="str">
        <f>IFERROR(VLOOKUP(B834,'SB1'!$A$2:$B$999999,2,FALSE),"")</f>
        <v>LATEX INTERIOR/EXTERIOR PLAVIPINT MATE BLANCO X 10</v>
      </c>
      <c r="D834" s="1" t="s">
        <v>14458</v>
      </c>
      <c r="E834" s="3">
        <f>IFERROR(VLOOKUP(B834,'DA1'!$B$2:$D$999999,3,FALSE),"")</f>
      </c>
      <c r="F834" s="1" t="str">
        <f>IFERROR(VLOOKUP(B834,'SB1'!$A$2:$C$999999,3,FALSE),"")</f>
        <v>503</v>
      </c>
      <c r="G834" s="3" t="e">
        <f t="shared" si="29"/>
        <v>#VALUE!</v>
      </c>
      <c r="H834" s="3" t="e">
        <f t="shared" si="30"/>
        <v>#VALUE!</v>
      </c>
      <c r="I834" s="1">
        <v>1</v>
      </c>
    </row>
    <row r="835" spans="1:9" x14ac:dyDescent="0.25">
      <c r="A835" s="1" t="s">
        <v>14435</v>
      </c>
      <c r="B835" s="1" t="s">
        <v>2305</v>
      </c>
      <c r="C835" s="1" t="str">
        <f>IFERROR(VLOOKUP(B835,'SB1'!$A$2:$B$999999,2,FALSE),"")</f>
        <v>LATEX INTERIOR/EXTERIOR PLAVIPINT MATE BLANCO X 20</v>
      </c>
      <c r="D835" s="1" t="s">
        <v>14458</v>
      </c>
      <c r="E835" s="3">
        <f>IFERROR(VLOOKUP(B835,'DA1'!$B$2:$D$999999,3,FALSE),"")</f>
      </c>
      <c r="F835" s="1" t="str">
        <f>IFERROR(VLOOKUP(B835,'SB1'!$A$2:$C$999999,3,FALSE),"")</f>
        <v>503</v>
      </c>
      <c r="G835" s="3" t="e">
        <f t="shared" ref="G835:G898" si="31">E835*1.04</f>
        <v>#VALUE!</v>
      </c>
      <c r="H835" s="3" t="e">
        <f t="shared" si="30"/>
        <v>#VALUE!</v>
      </c>
      <c r="I835" s="1">
        <v>1</v>
      </c>
    </row>
    <row r="836" spans="1:9" x14ac:dyDescent="0.25">
      <c r="A836" s="1" t="s">
        <v>14435</v>
      </c>
      <c r="B836" s="1" t="s">
        <v>2307</v>
      </c>
      <c r="C836" s="1" t="str">
        <f>IFERROR(VLOOKUP(B836,'SB1'!$A$2:$B$999999,2,FALSE),"")</f>
        <v>MASILLA POLIESTER ZEOCAR UNICA X 1,45 (60)</v>
      </c>
      <c r="D836" s="1" t="s">
        <v>14473</v>
      </c>
      <c r="E836" s="3">
        <f>IFERROR(VLOOKUP(B836,'DA1'!$B$2:$D$999999,3,FALSE),"")</f>
      </c>
      <c r="F836" s="1" t="str">
        <f>IFERROR(VLOOKUP(B836,'SB1'!$A$2:$C$999999,3,FALSE),"")</f>
        <v>503</v>
      </c>
      <c r="G836" s="3" t="e">
        <f t="shared" si="31"/>
        <v>#VALUE!</v>
      </c>
      <c r="H836" s="3" t="e">
        <f t="shared" si="30"/>
        <v>#VALUE!</v>
      </c>
      <c r="I836" s="1">
        <v>1</v>
      </c>
    </row>
    <row r="837" spans="1:9" x14ac:dyDescent="0.25">
      <c r="A837" s="1" t="s">
        <v>14435</v>
      </c>
      <c r="B837" s="1" t="s">
        <v>2313</v>
      </c>
      <c r="C837" s="1" t="str">
        <f>IFERROR(VLOOKUP(B837,'SB1'!$A$2:$B$999999,2,FALSE),"")</f>
        <v>AEROSOL RUST-OLEUM SP LACA BRILLANTE TRANSPARENTE X 0,312(272121)</v>
      </c>
      <c r="D837" s="1" t="s">
        <v>14475</v>
      </c>
      <c r="E837" s="3">
        <f>IFERROR(VLOOKUP(B837,'DA1'!$B$2:$D$999999,3,FALSE),"")</f>
      </c>
      <c r="F837" s="1" t="str">
        <f>IFERROR(VLOOKUP(B837,'SB1'!$A$2:$C$999999,3,FALSE),"")</f>
        <v>503</v>
      </c>
      <c r="G837" s="3" t="e">
        <f t="shared" si="31"/>
        <v>#VALUE!</v>
      </c>
      <c r="H837" s="3" t="e">
        <f t="shared" si="30"/>
        <v>#VALUE!</v>
      </c>
      <c r="I837" s="1">
        <v>1</v>
      </c>
    </row>
    <row r="838" spans="1:9" x14ac:dyDescent="0.25">
      <c r="A838" s="1" t="s">
        <v>14435</v>
      </c>
      <c r="B838" s="1" t="s">
        <v>2315</v>
      </c>
      <c r="C838" s="1" t="str">
        <f>IFERROR(VLOOKUP(B838,'SB1'!$A$2:$B$999999,2,FALSE),"")</f>
        <v>EXTENSOR DE ACERO ROSARPIN1,50-3,00 M.</v>
      </c>
      <c r="D838" s="1" t="s">
        <v>14460</v>
      </c>
      <c r="E838" s="3">
        <f>IFERROR(VLOOKUP(B838,'DA1'!$B$2:$D$999999,3,FALSE),"")</f>
      </c>
      <c r="F838" s="1" t="str">
        <f>IFERROR(VLOOKUP(B838,'SB1'!$A$2:$C$999999,3,FALSE),"")</f>
        <v>503</v>
      </c>
      <c r="G838" s="3" t="e">
        <f t="shared" si="31"/>
        <v>#VALUE!</v>
      </c>
      <c r="H838" s="3" t="e">
        <f t="shared" si="30"/>
        <v>#VALUE!</v>
      </c>
      <c r="I838" s="1">
        <v>1</v>
      </c>
    </row>
    <row r="839" spans="1:9" x14ac:dyDescent="0.25">
      <c r="A839" s="1" t="s">
        <v>14435</v>
      </c>
      <c r="B839" s="1" t="s">
        <v>2317</v>
      </c>
      <c r="C839" s="1" t="str">
        <f>IFERROR(VLOOKUP(B839,'SB1'!$A$2:$B$999999,2,FALSE),"")</f>
        <v>AUTOPOLISH COLORIN PASTA AL AGUA X 1,000</v>
      </c>
      <c r="D839" s="1" t="s">
        <v>14438</v>
      </c>
      <c r="E839" s="3">
        <f>IFERROR(VLOOKUP(B839,'DA1'!$B$2:$D$999999,3,FALSE),"")</f>
      </c>
      <c r="F839" s="1" t="str">
        <f>IFERROR(VLOOKUP(B839,'SB1'!$A$2:$C$999999,3,FALSE),"")</f>
        <v>503</v>
      </c>
      <c r="G839" s="3" t="e">
        <f t="shared" si="31"/>
        <v>#VALUE!</v>
      </c>
      <c r="H839" s="3" t="e">
        <f t="shared" si="30"/>
        <v>#VALUE!</v>
      </c>
      <c r="I839" s="1">
        <v>1</v>
      </c>
    </row>
    <row r="840" spans="1:9" x14ac:dyDescent="0.25">
      <c r="A840" s="1" t="s">
        <v>14435</v>
      </c>
      <c r="B840" s="1" t="s">
        <v>2319</v>
      </c>
      <c r="C840" s="1" t="str">
        <f>IFERROR(VLOOKUP(B840,'SB1'!$A$2:$B$999999,2,FALSE),"")</f>
        <v>IMPREGNANTE PARA MADERA PLAVICON LASUR BRILLANTE ROBLE X 20</v>
      </c>
      <c r="D840" s="1" t="s">
        <v>14458</v>
      </c>
      <c r="E840" s="3">
        <f>IFERROR(VLOOKUP(B840,'DA1'!$B$2:$D$999999,3,FALSE),"")</f>
      </c>
      <c r="F840" s="1" t="str">
        <f>IFERROR(VLOOKUP(B840,'SB1'!$A$2:$C$999999,3,FALSE),"")</f>
        <v>503</v>
      </c>
      <c r="G840" s="3" t="e">
        <f t="shared" si="31"/>
        <v>#VALUE!</v>
      </c>
      <c r="H840" s="3" t="e">
        <f t="shared" si="30"/>
        <v>#VALUE!</v>
      </c>
      <c r="I840" s="1">
        <v>1</v>
      </c>
    </row>
    <row r="841" spans="1:9" x14ac:dyDescent="0.25">
      <c r="A841" s="1" t="s">
        <v>14435</v>
      </c>
      <c r="B841" s="1" t="s">
        <v>2323</v>
      </c>
      <c r="C841" s="1" t="str">
        <f>IFERROR(VLOOKUP(B841,'SB1'!$A$2:$B$999999,2,FALSE),"")</f>
        <v>PROTECTOR SUBCARROCERIA NODULO UNDERLASTIC ANTIRRUIDO/SUBCARROC X  1</v>
      </c>
      <c r="D841" s="1" t="s">
        <v>14462</v>
      </c>
      <c r="E841" s="3">
        <f>IFERROR(VLOOKUP(B841,'DA1'!$B$2:$D$999999,3,FALSE),"")</f>
      </c>
      <c r="F841" s="1" t="str">
        <f>IFERROR(VLOOKUP(B841,'SB1'!$A$2:$C$999999,3,FALSE),"")</f>
        <v>503</v>
      </c>
      <c r="G841" s="3" t="e">
        <f t="shared" si="31"/>
        <v>#VALUE!</v>
      </c>
      <c r="H841" s="3" t="e">
        <f t="shared" si="30"/>
        <v>#VALUE!</v>
      </c>
      <c r="I841" s="1">
        <v>1</v>
      </c>
    </row>
    <row r="842" spans="1:9" x14ac:dyDescent="0.25">
      <c r="A842" s="1" t="s">
        <v>14435</v>
      </c>
      <c r="B842" s="1" t="s">
        <v>2325</v>
      </c>
      <c r="C842" s="1" t="str">
        <f>IFERROR(VLOOKUP(B842,'SB1'!$A$2:$B$999999,2,FALSE),"")</f>
        <v>PROTECTOR SUBCARROCERIA NODULO UNDERLASTIC ANTIRRUIDO/SUBCARROC X  4</v>
      </c>
      <c r="D842" s="1" t="s">
        <v>14462</v>
      </c>
      <c r="E842" s="3">
        <f>IFERROR(VLOOKUP(B842,'DA1'!$B$2:$D$999999,3,FALSE),"")</f>
      </c>
      <c r="F842" s="1" t="str">
        <f>IFERROR(VLOOKUP(B842,'SB1'!$A$2:$C$999999,3,FALSE),"")</f>
        <v>503</v>
      </c>
      <c r="G842" s="3" t="e">
        <f t="shared" si="31"/>
        <v>#VALUE!</v>
      </c>
      <c r="H842" s="3" t="e">
        <f t="shared" si="30"/>
        <v>#VALUE!</v>
      </c>
      <c r="I842" s="1">
        <v>1</v>
      </c>
    </row>
    <row r="843" spans="1:9" x14ac:dyDescent="0.25">
      <c r="A843" s="1" t="s">
        <v>14435</v>
      </c>
      <c r="B843" s="1" t="s">
        <v>2327</v>
      </c>
      <c r="C843" s="1" t="str">
        <f>IFERROR(VLOOKUP(B843,'SB1'!$A$2:$B$999999,2,FALSE),"")</f>
        <v>PROTECTOR SUBCARROCERIA NODULO UNDERLASTIC ANTIRRUIDO/SUBCARROC X 25</v>
      </c>
      <c r="D843" s="1" t="s">
        <v>14462</v>
      </c>
      <c r="E843" s="3">
        <f>IFERROR(VLOOKUP(B843,'DA1'!$B$2:$D$999999,3,FALSE),"")</f>
      </c>
      <c r="F843" s="1" t="str">
        <f>IFERROR(VLOOKUP(B843,'SB1'!$A$2:$C$999999,3,FALSE),"")</f>
        <v>503</v>
      </c>
      <c r="G843" s="3" t="e">
        <f t="shared" si="31"/>
        <v>#VALUE!</v>
      </c>
      <c r="H843" s="3" t="e">
        <f t="shared" si="30"/>
        <v>#VALUE!</v>
      </c>
      <c r="I843" s="1">
        <v>1</v>
      </c>
    </row>
    <row r="844" spans="1:9" x14ac:dyDescent="0.25">
      <c r="A844" s="1" t="s">
        <v>14435</v>
      </c>
      <c r="B844" s="1" t="s">
        <v>2331</v>
      </c>
      <c r="C844" s="1" t="str">
        <f>IFERROR(VLOOKUP(B844,'SB1'!$A$2:$B$999999,2,FALSE),"")</f>
        <v>LIJA EN ROLLO DOBLE A #  36 X 1 MT</v>
      </c>
      <c r="D844" s="1" t="s">
        <v>14451</v>
      </c>
      <c r="E844" s="3">
        <f>IFERROR(VLOOKUP(B844,'DA1'!$B$2:$D$999999,3,FALSE),"")</f>
      </c>
      <c r="F844" s="1" t="str">
        <f>IFERROR(VLOOKUP(B844,'SB1'!$A$2:$C$999999,3,FALSE),"")</f>
        <v>503</v>
      </c>
      <c r="G844" s="3" t="e">
        <f t="shared" si="31"/>
        <v>#VALUE!</v>
      </c>
      <c r="H844" s="3" t="e">
        <f t="shared" si="30"/>
        <v>#VALUE!</v>
      </c>
      <c r="I844" s="1">
        <v>1</v>
      </c>
    </row>
    <row r="845" spans="1:9" x14ac:dyDescent="0.25">
      <c r="A845" s="1" t="s">
        <v>14435</v>
      </c>
      <c r="B845" s="1" t="s">
        <v>2335</v>
      </c>
      <c r="C845" s="1" t="str">
        <f>IFERROR(VLOOKUP(B845,'SB1'!$A$2:$B$999999,2,FALSE),"")</f>
        <v>COLORANTE CONCENTRADO TERSUAVE AXX AMARILLO X 946</v>
      </c>
      <c r="D845" s="1" t="s">
        <v>14482</v>
      </c>
      <c r="E845" s="3">
        <f>IFERROR(VLOOKUP(B845,'DA1'!$B$2:$D$999999,3,FALSE),"")</f>
      </c>
      <c r="F845" s="1" t="str">
        <f>IFERROR(VLOOKUP(B845,'SB1'!$A$2:$C$999999,3,FALSE),"")</f>
        <v>503</v>
      </c>
      <c r="G845" s="3" t="e">
        <f t="shared" si="31"/>
        <v>#VALUE!</v>
      </c>
      <c r="H845" s="3" t="e">
        <f t="shared" si="30"/>
        <v>#VALUE!</v>
      </c>
      <c r="I845" s="1">
        <v>1</v>
      </c>
    </row>
    <row r="846" spans="1:9" x14ac:dyDescent="0.25">
      <c r="A846" s="1" t="s">
        <v>14435</v>
      </c>
      <c r="B846" s="1" t="s">
        <v>2337</v>
      </c>
      <c r="C846" s="1" t="str">
        <f>IFERROR(VLOOKUP(B846,'SB1'!$A$2:$B$999999,2,FALSE),"")</f>
        <v>COLORANTE CONCENTRADO TERSUAVE B NEGRO X 0,946</v>
      </c>
      <c r="D846" s="1" t="s">
        <v>14482</v>
      </c>
      <c r="E846" s="3">
        <f>IFERROR(VLOOKUP(B846,'DA1'!$B$2:$D$999999,3,FALSE),"")</f>
      </c>
      <c r="F846" s="1" t="str">
        <f>IFERROR(VLOOKUP(B846,'SB1'!$A$2:$C$999999,3,FALSE),"")</f>
        <v>503</v>
      </c>
      <c r="G846" s="3" t="e">
        <f t="shared" si="31"/>
        <v>#VALUE!</v>
      </c>
      <c r="H846" s="3" t="e">
        <f t="shared" si="30"/>
        <v>#VALUE!</v>
      </c>
      <c r="I846" s="1">
        <v>1</v>
      </c>
    </row>
    <row r="847" spans="1:9" x14ac:dyDescent="0.25">
      <c r="A847" s="1" t="s">
        <v>14435</v>
      </c>
      <c r="B847" s="1" t="s">
        <v>2339</v>
      </c>
      <c r="C847" s="1" t="str">
        <f>IFERROR(VLOOKUP(B847,'SB1'!$A$2:$B$999999,2,FALSE),"")</f>
        <v>COLORANTE CONCENTRADO TERSUAVE C AMARILLO OXIDO X 0,946</v>
      </c>
      <c r="D847" s="1" t="s">
        <v>14482</v>
      </c>
      <c r="E847" s="3">
        <f>IFERROR(VLOOKUP(B847,'DA1'!$B$2:$D$999999,3,FALSE),"")</f>
      </c>
      <c r="F847" s="1" t="str">
        <f>IFERROR(VLOOKUP(B847,'SB1'!$A$2:$C$999999,3,FALSE),"")</f>
        <v>503</v>
      </c>
      <c r="G847" s="3" t="e">
        <f t="shared" si="31"/>
        <v>#VALUE!</v>
      </c>
      <c r="H847" s="3" t="e">
        <f t="shared" si="30"/>
        <v>#VALUE!</v>
      </c>
      <c r="I847" s="1">
        <v>1</v>
      </c>
    </row>
    <row r="848" spans="1:9" x14ac:dyDescent="0.25">
      <c r="A848" s="1" t="s">
        <v>14435</v>
      </c>
      <c r="B848" s="1" t="s">
        <v>2341</v>
      </c>
      <c r="C848" s="1" t="str">
        <f>IFERROR(VLOOKUP(B848,'SB1'!$A$2:$B$999999,2,FALSE),"")</f>
        <v>COLORANTE CONCENTRADO TERSUAVE D VERDE THALO X 0,946</v>
      </c>
      <c r="D848" s="1" t="s">
        <v>14482</v>
      </c>
      <c r="E848" s="3">
        <f>IFERROR(VLOOKUP(B848,'DA1'!$B$2:$D$999999,3,FALSE),"")</f>
      </c>
      <c r="F848" s="1" t="str">
        <f>IFERROR(VLOOKUP(B848,'SB1'!$A$2:$C$999999,3,FALSE),"")</f>
        <v>503</v>
      </c>
      <c r="G848" s="3" t="e">
        <f t="shared" si="31"/>
        <v>#VALUE!</v>
      </c>
      <c r="H848" s="3" t="e">
        <f t="shared" si="30"/>
        <v>#VALUE!</v>
      </c>
      <c r="I848" s="1">
        <v>1</v>
      </c>
    </row>
    <row r="849" spans="1:9" x14ac:dyDescent="0.25">
      <c r="A849" s="1" t="s">
        <v>14435</v>
      </c>
      <c r="B849" s="1" t="s">
        <v>2343</v>
      </c>
      <c r="C849" s="1" t="str">
        <f>IFERROR(VLOOKUP(B849,'SB1'!$A$2:$B$999999,2,FALSE),"")</f>
        <v>COLORANTE CONCENTRADO TERSUAVE E AZUL THALO X 0,946</v>
      </c>
      <c r="D849" s="1" t="s">
        <v>14482</v>
      </c>
      <c r="E849" s="3">
        <f>IFERROR(VLOOKUP(B849,'DA1'!$B$2:$D$999999,3,FALSE),"")</f>
      </c>
      <c r="F849" s="1" t="str">
        <f>IFERROR(VLOOKUP(B849,'SB1'!$A$2:$C$999999,3,FALSE),"")</f>
        <v>503</v>
      </c>
      <c r="G849" s="3" t="e">
        <f t="shared" si="31"/>
        <v>#VALUE!</v>
      </c>
      <c r="H849" s="3" t="e">
        <f t="shared" si="30"/>
        <v>#VALUE!</v>
      </c>
      <c r="I849" s="1">
        <v>1</v>
      </c>
    </row>
    <row r="850" spans="1:9" x14ac:dyDescent="0.25">
      <c r="A850" s="1" t="s">
        <v>14435</v>
      </c>
      <c r="B850" s="1" t="s">
        <v>2345</v>
      </c>
      <c r="C850" s="1" t="str">
        <f>IFERROR(VLOOKUP(B850,'SB1'!$A$2:$B$999999,2,FALSE),"")</f>
        <v>COLORANTE CONCENTRADO TERSUAVE F ROJO OXIDO X 0,946</v>
      </c>
      <c r="D850" s="1" t="s">
        <v>14482</v>
      </c>
      <c r="E850" s="3">
        <f>IFERROR(VLOOKUP(B850,'DA1'!$B$2:$D$999999,3,FALSE),"")</f>
      </c>
      <c r="F850" s="1" t="str">
        <f>IFERROR(VLOOKUP(B850,'SB1'!$A$2:$C$999999,3,FALSE),"")</f>
        <v>503</v>
      </c>
      <c r="G850" s="3" t="e">
        <f t="shared" si="31"/>
        <v>#VALUE!</v>
      </c>
      <c r="H850" s="3" t="e">
        <f t="shared" si="30"/>
        <v>#VALUE!</v>
      </c>
      <c r="I850" s="1">
        <v>1</v>
      </c>
    </row>
    <row r="851" spans="1:9" x14ac:dyDescent="0.25">
      <c r="A851" s="1" t="s">
        <v>14435</v>
      </c>
      <c r="B851" s="1" t="s">
        <v>2347</v>
      </c>
      <c r="C851" s="1" t="str">
        <f>IFERROR(VLOOKUP(B851,'SB1'!$A$2:$B$999999,2,FALSE),"")</f>
        <v>COLORANTE CONCENTRADO TERSUAVE I MARRON OXIDO X 0,946</v>
      </c>
      <c r="D851" s="1" t="s">
        <v>14482</v>
      </c>
      <c r="E851" s="3">
        <f>IFERROR(VLOOKUP(B851,'DA1'!$B$2:$D$999999,3,FALSE),"")</f>
      </c>
      <c r="F851" s="1" t="str">
        <f>IFERROR(VLOOKUP(B851,'SB1'!$A$2:$C$999999,3,FALSE),"")</f>
        <v>503</v>
      </c>
      <c r="G851" s="3" t="e">
        <f t="shared" si="31"/>
        <v>#VALUE!</v>
      </c>
      <c r="H851" s="3" t="e">
        <f t="shared" si="30"/>
        <v>#VALUE!</v>
      </c>
      <c r="I851" s="1">
        <v>1</v>
      </c>
    </row>
    <row r="852" spans="1:9" x14ac:dyDescent="0.25">
      <c r="A852" s="1" t="s">
        <v>14435</v>
      </c>
      <c r="B852" s="1" t="s">
        <v>2349</v>
      </c>
      <c r="C852" s="1" t="str">
        <f>IFERROR(VLOOKUP(B852,'SB1'!$A$2:$B$999999,2,FALSE),"")</f>
        <v>COLORANTE CONCENTRADO TERSUAVE KX BLANCO X 0,946</v>
      </c>
      <c r="D852" s="1" t="s">
        <v>14482</v>
      </c>
      <c r="E852" s="3">
        <f>IFERROR(VLOOKUP(B852,'DA1'!$B$2:$D$999999,3,FALSE),"")</f>
      </c>
      <c r="F852" s="1" t="str">
        <f>IFERROR(VLOOKUP(B852,'SB1'!$A$2:$C$999999,3,FALSE),"")</f>
        <v>503</v>
      </c>
      <c r="G852" s="3" t="e">
        <f t="shared" si="31"/>
        <v>#VALUE!</v>
      </c>
      <c r="H852" s="3" t="e">
        <f t="shared" si="30"/>
        <v>#VALUE!</v>
      </c>
      <c r="I852" s="1">
        <v>1</v>
      </c>
    </row>
    <row r="853" spans="1:9" x14ac:dyDescent="0.25">
      <c r="A853" s="1" t="s">
        <v>14435</v>
      </c>
      <c r="B853" s="1" t="s">
        <v>2351</v>
      </c>
      <c r="C853" s="1" t="str">
        <f>IFERROR(VLOOKUP(B853,'SB1'!$A$2:$B$999999,2,FALSE),"")</f>
        <v>COLORANTE CONCENTRADO TERSUAVE L TIERRA SOMBRA X 0,946</v>
      </c>
      <c r="D853" s="1" t="s">
        <v>14482</v>
      </c>
      <c r="E853" s="3">
        <f>IFERROR(VLOOKUP(B853,'DA1'!$B$2:$D$999999,3,FALSE),"")</f>
      </c>
      <c r="F853" s="1" t="str">
        <f>IFERROR(VLOOKUP(B853,'SB1'!$A$2:$C$999999,3,FALSE),"")</f>
        <v>503</v>
      </c>
      <c r="G853" s="3" t="e">
        <f t="shared" si="31"/>
        <v>#VALUE!</v>
      </c>
      <c r="H853" s="3" t="e">
        <f t="shared" si="30"/>
        <v>#VALUE!</v>
      </c>
      <c r="I853" s="1">
        <v>1</v>
      </c>
    </row>
    <row r="854" spans="1:9" x14ac:dyDescent="0.25">
      <c r="A854" s="1" t="s">
        <v>14435</v>
      </c>
      <c r="B854" s="1" t="s">
        <v>2353</v>
      </c>
      <c r="C854" s="1" t="str">
        <f>IFERROR(VLOOKUP(B854,'SB1'!$A$2:$B$999999,2,FALSE),"")</f>
        <v>COLORANTE CONCENTRADO TERSUAVE R ROJO X 0,946</v>
      </c>
      <c r="D854" s="1" t="s">
        <v>14482</v>
      </c>
      <c r="E854" s="3">
        <f>IFERROR(VLOOKUP(B854,'DA1'!$B$2:$D$999999,3,FALSE),"")</f>
      </c>
      <c r="F854" s="1" t="str">
        <f>IFERROR(VLOOKUP(B854,'SB1'!$A$2:$C$999999,3,FALSE),"")</f>
        <v>503</v>
      </c>
      <c r="G854" s="3" t="e">
        <f t="shared" si="31"/>
        <v>#VALUE!</v>
      </c>
      <c r="H854" s="3" t="e">
        <f t="shared" si="30"/>
        <v>#VALUE!</v>
      </c>
      <c r="I854" s="1">
        <v>1</v>
      </c>
    </row>
    <row r="855" spans="1:9" x14ac:dyDescent="0.25">
      <c r="A855" s="1" t="s">
        <v>14435</v>
      </c>
      <c r="B855" s="1" t="s">
        <v>2355</v>
      </c>
      <c r="C855" s="1" t="str">
        <f>IFERROR(VLOOKUP(B855,'SB1'!$A$2:$B$999999,2,FALSE),"")</f>
        <v>COLORANTE CONCENTRADO TERSUAVE T AMAR.MEDIO X 0,946</v>
      </c>
      <c r="D855" s="1" t="s">
        <v>14482</v>
      </c>
      <c r="E855" s="3">
        <f>IFERROR(VLOOKUP(B855,'DA1'!$B$2:$D$999999,3,FALSE),"")</f>
      </c>
      <c r="F855" s="1" t="str">
        <f>IFERROR(VLOOKUP(B855,'SB1'!$A$2:$C$999999,3,FALSE),"")</f>
        <v>503</v>
      </c>
      <c r="G855" s="3" t="e">
        <f t="shared" si="31"/>
        <v>#VALUE!</v>
      </c>
      <c r="H855" s="3" t="e">
        <f t="shared" si="30"/>
        <v>#VALUE!</v>
      </c>
      <c r="I855" s="1">
        <v>1</v>
      </c>
    </row>
    <row r="856" spans="1:9" x14ac:dyDescent="0.25">
      <c r="A856" s="1" t="s">
        <v>14435</v>
      </c>
      <c r="B856" s="1" t="s">
        <v>2357</v>
      </c>
      <c r="C856" s="1" t="str">
        <f>IFERROR(VLOOKUP(B856,'SB1'!$A$2:$B$999999,2,FALSE),"")</f>
        <v>COLORANTE CONCENTRADO TERSUAVE V MAGENTA X 0,946</v>
      </c>
      <c r="D856" s="1" t="s">
        <v>14482</v>
      </c>
      <c r="E856" s="3">
        <f>IFERROR(VLOOKUP(B856,'DA1'!$B$2:$D$999999,3,FALSE),"")</f>
      </c>
      <c r="F856" s="1" t="str">
        <f>IFERROR(VLOOKUP(B856,'SB1'!$A$2:$C$999999,3,FALSE),"")</f>
        <v>503</v>
      </c>
      <c r="G856" s="3" t="e">
        <f t="shared" si="31"/>
        <v>#VALUE!</v>
      </c>
      <c r="H856" s="3" t="e">
        <f t="shared" si="30"/>
        <v>#VALUE!</v>
      </c>
      <c r="I856" s="1">
        <v>1</v>
      </c>
    </row>
    <row r="857" spans="1:9" x14ac:dyDescent="0.25">
      <c r="A857" s="1" t="s">
        <v>14435</v>
      </c>
      <c r="B857" s="1" t="s">
        <v>2359</v>
      </c>
      <c r="C857" s="1" t="str">
        <f>IFERROR(VLOOKUP(B857,'SB1'!$A$2:$B$999999,2,FALSE),"")</f>
        <v>IMPERMEABILIZANTE PARA FRENTES PLAVICON TAPATODO BLANCO X   5</v>
      </c>
      <c r="D857" s="1" t="s">
        <v>14458</v>
      </c>
      <c r="E857" s="3">
        <f>IFERROR(VLOOKUP(B857,'DA1'!$B$2:$D$999999,3,FALSE),"")</f>
      </c>
      <c r="F857" s="1" t="str">
        <f>IFERROR(VLOOKUP(B857,'SB1'!$A$2:$C$999999,3,FALSE),"")</f>
        <v>503</v>
      </c>
      <c r="G857" s="3" t="e">
        <f t="shared" si="31"/>
        <v>#VALUE!</v>
      </c>
      <c r="H857" s="3" t="e">
        <f t="shared" si="30"/>
        <v>#VALUE!</v>
      </c>
      <c r="I857" s="1">
        <v>1</v>
      </c>
    </row>
    <row r="858" spans="1:9" x14ac:dyDescent="0.25">
      <c r="A858" s="1" t="s">
        <v>14435</v>
      </c>
      <c r="B858" s="1" t="s">
        <v>2361</v>
      </c>
      <c r="C858" s="1" t="str">
        <f>IFERROR(VLOOKUP(B858,'SB1'!$A$2:$B$999999,2,FALSE),"")</f>
        <v>IMPERMEABILIZANTE PARA FRENTES PLAVICON TAPATODO BLANCO X 25</v>
      </c>
      <c r="D858" s="1" t="s">
        <v>14458</v>
      </c>
      <c r="E858" s="3">
        <f>IFERROR(VLOOKUP(B858,'DA1'!$B$2:$D$999999,3,FALSE),"")</f>
      </c>
      <c r="F858" s="1" t="str">
        <f>IFERROR(VLOOKUP(B858,'SB1'!$A$2:$C$999999,3,FALSE),"")</f>
        <v>503</v>
      </c>
      <c r="G858" s="3" t="e">
        <f t="shared" si="31"/>
        <v>#VALUE!</v>
      </c>
      <c r="H858" s="3" t="e">
        <f t="shared" si="30"/>
        <v>#VALUE!</v>
      </c>
      <c r="I858" s="1">
        <v>1</v>
      </c>
    </row>
    <row r="859" spans="1:9" x14ac:dyDescent="0.25">
      <c r="A859" s="1" t="s">
        <v>14435</v>
      </c>
      <c r="B859" s="1" t="s">
        <v>2363</v>
      </c>
      <c r="C859" s="1" t="str">
        <f>IFERROR(VLOOKUP(B859,'SB1'!$A$2:$B$999999,2,FALSE),"")</f>
        <v>CARTUCHO FILTRO G01AA X 2</v>
      </c>
      <c r="D859" s="1" t="s">
        <v>14451</v>
      </c>
      <c r="E859" s="3">
        <f>IFERROR(VLOOKUP(B859,'DA1'!$B$2:$D$999999,3,FALSE),"")</f>
      </c>
      <c r="F859" s="1" t="str">
        <f>IFERROR(VLOOKUP(B859,'SB1'!$A$2:$C$999999,3,FALSE),"")</f>
        <v>503</v>
      </c>
      <c r="G859" s="3" t="e">
        <f t="shared" si="31"/>
        <v>#VALUE!</v>
      </c>
      <c r="H859" s="3" t="e">
        <f t="shared" si="30"/>
        <v>#VALUE!</v>
      </c>
      <c r="I859" s="1">
        <v>1</v>
      </c>
    </row>
    <row r="860" spans="1:9" x14ac:dyDescent="0.25">
      <c r="A860" s="1" t="s">
        <v>14435</v>
      </c>
      <c r="B860" s="1" t="s">
        <v>2365</v>
      </c>
      <c r="C860" s="1" t="str">
        <f>IFERROR(VLOOKUP(B860,'SB1'!$A$2:$B$999999,2,FALSE),"")</f>
        <v>IMPREGNANTE PARA MADERA PLAVICON LASUR BRILLANTE NATURAL X  1</v>
      </c>
      <c r="D860" s="1" t="s">
        <v>14458</v>
      </c>
      <c r="E860" s="3">
        <f>IFERROR(VLOOKUP(B860,'DA1'!$B$2:$D$999999,3,FALSE),"")</f>
      </c>
      <c r="F860" s="1" t="str">
        <f>IFERROR(VLOOKUP(B860,'SB1'!$A$2:$C$999999,3,FALSE),"")</f>
        <v>503</v>
      </c>
      <c r="G860" s="3" t="e">
        <f t="shared" si="31"/>
        <v>#VALUE!</v>
      </c>
      <c r="H860" s="3" t="e">
        <f t="shared" si="30"/>
        <v>#VALUE!</v>
      </c>
      <c r="I860" s="1">
        <v>1</v>
      </c>
    </row>
    <row r="861" spans="1:9" x14ac:dyDescent="0.25">
      <c r="A861" s="1" t="s">
        <v>14435</v>
      </c>
      <c r="B861" s="1" t="s">
        <v>2367</v>
      </c>
      <c r="C861" s="1" t="str">
        <f>IFERROR(VLOOKUP(B861,'SB1'!$A$2:$B$999999,2,FALSE),"")</f>
        <v>FILTRO PARA PINTURA 10A20L X 5U</v>
      </c>
      <c r="D861" s="1" t="s">
        <v>14452</v>
      </c>
      <c r="E861" s="3">
        <f>IFERROR(VLOOKUP(B861,'DA1'!$B$2:$D$999999,3,FALSE),"")</f>
      </c>
      <c r="F861" s="1" t="str">
        <f>IFERROR(VLOOKUP(B861,'SB1'!$A$2:$C$999999,3,FALSE),"")</f>
        <v>503</v>
      </c>
      <c r="G861" s="3" t="e">
        <f t="shared" si="31"/>
        <v>#VALUE!</v>
      </c>
      <c r="H861" s="3" t="e">
        <f t="shared" si="30"/>
        <v>#VALUE!</v>
      </c>
      <c r="I861" s="1">
        <v>1</v>
      </c>
    </row>
    <row r="862" spans="1:9" x14ac:dyDescent="0.25">
      <c r="A862" s="1" t="s">
        <v>14435</v>
      </c>
      <c r="B862" s="1" t="s">
        <v>2369</v>
      </c>
      <c r="C862" s="1" t="str">
        <f>IFERROR(VLOOKUP(B862,'SB1'!$A$2:$B$999999,2,FALSE),"")</f>
        <v>EXTENSOR DE ACERO ROSARPIN 1,00-2,00 M.</v>
      </c>
      <c r="D862" s="1" t="s">
        <v>14460</v>
      </c>
      <c r="E862" s="3">
        <f>IFERROR(VLOOKUP(B862,'DA1'!$B$2:$D$999999,3,FALSE),"")</f>
      </c>
      <c r="F862" s="1" t="str">
        <f>IFERROR(VLOOKUP(B862,'SB1'!$A$2:$C$999999,3,FALSE),"")</f>
        <v>503</v>
      </c>
      <c r="G862" s="3" t="e">
        <f t="shared" si="31"/>
        <v>#VALUE!</v>
      </c>
      <c r="H862" s="3" t="e">
        <f t="shared" si="30"/>
        <v>#VALUE!</v>
      </c>
      <c r="I862" s="1">
        <v>1</v>
      </c>
    </row>
    <row r="863" spans="1:9" x14ac:dyDescent="0.25">
      <c r="A863" s="1" t="s">
        <v>14435</v>
      </c>
      <c r="B863" s="1" t="s">
        <v>2389</v>
      </c>
      <c r="C863" s="1" t="str">
        <f>IFERROR(VLOOKUP(B863,'SB1'!$A$2:$B$999999,2,FALSE),"")</f>
        <v>SOLDURA PLASTICA POXIPOL TRANSPARENTE X 700</v>
      </c>
      <c r="D863" s="1" t="s">
        <v>14459</v>
      </c>
      <c r="E863" s="3">
        <f>IFERROR(VLOOKUP(B863,'DA1'!$B$2:$D$999999,3,FALSE),"")</f>
      </c>
      <c r="F863" s="1" t="str">
        <f>IFERROR(VLOOKUP(B863,'SB1'!$A$2:$C$999999,3,FALSE),"")</f>
        <v>503</v>
      </c>
      <c r="G863" s="3" t="e">
        <f t="shared" si="31"/>
        <v>#VALUE!</v>
      </c>
      <c r="H863" s="3" t="e">
        <f t="shared" si="30"/>
        <v>#VALUE!</v>
      </c>
      <c r="I863" s="1">
        <v>1</v>
      </c>
    </row>
    <row r="864" spans="1:9" x14ac:dyDescent="0.25">
      <c r="A864" s="1" t="s">
        <v>14435</v>
      </c>
      <c r="B864" s="1" t="s">
        <v>2391</v>
      </c>
      <c r="C864" s="1" t="str">
        <f>IFERROR(VLOOKUP(B864,'SB1'!$A$2:$B$999999,2,FALSE),"")</f>
        <v>SELLADOR NITROCELULOSICO PARA MADERA COLVINIL X 200</v>
      </c>
      <c r="D864" s="1" t="s">
        <v>14453</v>
      </c>
      <c r="E864" s="3">
        <f>IFERROR(VLOOKUP(B864,'DA1'!$B$2:$D$999999,3,FALSE),"")</f>
      </c>
      <c r="F864" s="1" t="str">
        <f>IFERROR(VLOOKUP(B864,'SB1'!$A$2:$C$999999,3,FALSE),"")</f>
        <v>503</v>
      </c>
      <c r="G864" s="3" t="e">
        <f t="shared" si="31"/>
        <v>#VALUE!</v>
      </c>
      <c r="H864" s="3" t="e">
        <f t="shared" si="30"/>
        <v>#VALUE!</v>
      </c>
      <c r="I864" s="1">
        <v>1</v>
      </c>
    </row>
    <row r="865" spans="1:9" x14ac:dyDescent="0.25">
      <c r="A865" s="1" t="s">
        <v>14435</v>
      </c>
      <c r="B865" s="1" t="s">
        <v>2399</v>
      </c>
      <c r="C865" s="1" t="str">
        <f>IFERROR(VLOOKUP(B865,'SB1'!$A$2:$B$999999,2,FALSE),"")</f>
        <v>SELLADOR NITROCELULOSICO PARA MADERA COLVINIL X  0,500</v>
      </c>
      <c r="D865" s="1" t="s">
        <v>14453</v>
      </c>
      <c r="E865" s="3">
        <f>IFERROR(VLOOKUP(B865,'DA1'!$B$2:$D$999999,3,FALSE),"")</f>
      </c>
      <c r="F865" s="1" t="str">
        <f>IFERROR(VLOOKUP(B865,'SB1'!$A$2:$C$999999,3,FALSE),"")</f>
        <v>503</v>
      </c>
      <c r="G865" s="3" t="e">
        <f t="shared" si="31"/>
        <v>#VALUE!</v>
      </c>
      <c r="H865" s="3" t="e">
        <f t="shared" si="30"/>
        <v>#VALUE!</v>
      </c>
      <c r="I865" s="1">
        <v>1</v>
      </c>
    </row>
    <row r="866" spans="1:9" x14ac:dyDescent="0.25">
      <c r="A866" s="1" t="s">
        <v>14435</v>
      </c>
      <c r="B866" s="1" t="s">
        <v>2401</v>
      </c>
      <c r="C866" s="1" t="str">
        <f>IFERROR(VLOOKUP(B866,'SB1'!$A$2:$B$999999,2,FALSE),"")</f>
        <v>SELLADOR NITROCELULOSICO PARA MADERA COLVINIL X  0,900</v>
      </c>
      <c r="D866" s="1" t="s">
        <v>14453</v>
      </c>
      <c r="E866" s="3">
        <f>IFERROR(VLOOKUP(B866,'DA1'!$B$2:$D$999999,3,FALSE),"")</f>
      </c>
      <c r="F866" s="1" t="str">
        <f>IFERROR(VLOOKUP(B866,'SB1'!$A$2:$C$999999,3,FALSE),"")</f>
        <v>503</v>
      </c>
      <c r="G866" s="3" t="e">
        <f t="shared" si="31"/>
        <v>#VALUE!</v>
      </c>
      <c r="H866" s="3" t="e">
        <f t="shared" si="30"/>
        <v>#VALUE!</v>
      </c>
      <c r="I866" s="1">
        <v>1</v>
      </c>
    </row>
    <row r="867" spans="1:9" x14ac:dyDescent="0.25">
      <c r="A867" s="1" t="s">
        <v>14435</v>
      </c>
      <c r="B867" s="1" t="s">
        <v>2403</v>
      </c>
      <c r="C867" s="1" t="str">
        <f>IFERROR(VLOOKUP(B867,'SB1'!$A$2:$B$999999,2,FALSE),"")</f>
        <v>SELLADOR NITROCELULOSICO PARA MADERA COLVINIL X  3.600</v>
      </c>
      <c r="D867" s="1" t="s">
        <v>14453</v>
      </c>
      <c r="E867" s="3">
        <f>IFERROR(VLOOKUP(B867,'DA1'!$B$2:$D$999999,3,FALSE),"")</f>
      </c>
      <c r="F867" s="1" t="str">
        <f>IFERROR(VLOOKUP(B867,'SB1'!$A$2:$C$999999,3,FALSE),"")</f>
        <v>503</v>
      </c>
      <c r="G867" s="3" t="e">
        <f t="shared" si="31"/>
        <v>#VALUE!</v>
      </c>
      <c r="H867" s="3" t="e">
        <f t="shared" ref="H867:H930" si="32">G867*1.21</f>
        <v>#VALUE!</v>
      </c>
      <c r="I867" s="1">
        <v>1</v>
      </c>
    </row>
    <row r="868" spans="1:9" x14ac:dyDescent="0.25">
      <c r="A868" s="1" t="s">
        <v>14435</v>
      </c>
      <c r="B868" s="1" t="s">
        <v>2405</v>
      </c>
      <c r="C868" s="1" t="str">
        <f>IFERROR(VLOOKUP(B868,'SB1'!$A$2:$B$999999,2,FALSE),"")</f>
        <v>SELLADOR NITROCELULOSICO PARA MADERA COLVINIL X 18</v>
      </c>
      <c r="D868" s="1" t="s">
        <v>14453</v>
      </c>
      <c r="E868" s="3">
        <f>IFERROR(VLOOKUP(B868,'DA1'!$B$2:$D$999999,3,FALSE),"")</f>
      </c>
      <c r="F868" s="1" t="str">
        <f>IFERROR(VLOOKUP(B868,'SB1'!$A$2:$C$999999,3,FALSE),"")</f>
        <v>503</v>
      </c>
      <c r="G868" s="3" t="e">
        <f t="shared" si="31"/>
        <v>#VALUE!</v>
      </c>
      <c r="H868" s="3" t="e">
        <f t="shared" si="32"/>
        <v>#VALUE!</v>
      </c>
      <c r="I868" s="1">
        <v>1</v>
      </c>
    </row>
    <row r="869" spans="1:9" x14ac:dyDescent="0.25">
      <c r="A869" s="1" t="s">
        <v>14435</v>
      </c>
      <c r="B869" s="1" t="s">
        <v>2407</v>
      </c>
      <c r="C869" s="1" t="str">
        <f>IFERROR(VLOOKUP(B869,'SB1'!$A$2:$B$999999,2,FALSE),"")</f>
        <v>AEROSOL RUST-OLEUM SP EPOXI BLANCO X 0,340(2720571)</v>
      </c>
      <c r="D869" s="1" t="s">
        <v>14475</v>
      </c>
      <c r="E869" s="3">
        <f>IFERROR(VLOOKUP(B869,'DA1'!$B$2:$D$999999,3,FALSE),"")</f>
      </c>
      <c r="F869" s="1" t="str">
        <f>IFERROR(VLOOKUP(B869,'SB1'!$A$2:$C$999999,3,FALSE),"")</f>
        <v>503</v>
      </c>
      <c r="G869" s="3" t="e">
        <f t="shared" si="31"/>
        <v>#VALUE!</v>
      </c>
      <c r="H869" s="3" t="e">
        <f t="shared" si="32"/>
        <v>#VALUE!</v>
      </c>
      <c r="I869" s="1">
        <v>1</v>
      </c>
    </row>
    <row r="870" spans="1:9" x14ac:dyDescent="0.25">
      <c r="A870" s="1" t="s">
        <v>14435</v>
      </c>
      <c r="B870" s="1" t="s">
        <v>2409</v>
      </c>
      <c r="C870" s="1" t="str">
        <f>IFERROR(VLOOKUP(B870,'SB1'!$A$2:$B$999999,2,FALSE),"")</f>
        <v>AEROSOL RUST-OLEUM SP EPOXI NEGRO X 0,340(2720581)</v>
      </c>
      <c r="D870" s="1" t="s">
        <v>14475</v>
      </c>
      <c r="E870" s="3">
        <f>IFERROR(VLOOKUP(B870,'DA1'!$B$2:$D$999999,3,FALSE),"")</f>
      </c>
      <c r="F870" s="1" t="str">
        <f>IFERROR(VLOOKUP(B870,'SB1'!$A$2:$C$999999,3,FALSE),"")</f>
        <v>503</v>
      </c>
      <c r="G870" s="3" t="e">
        <f t="shared" si="31"/>
        <v>#VALUE!</v>
      </c>
      <c r="H870" s="3" t="e">
        <f t="shared" si="32"/>
        <v>#VALUE!</v>
      </c>
      <c r="I870" s="1">
        <v>1</v>
      </c>
    </row>
    <row r="871" spans="1:9" x14ac:dyDescent="0.25">
      <c r="A871" s="1" t="s">
        <v>14435</v>
      </c>
      <c r="B871" s="1" t="s">
        <v>2411</v>
      </c>
      <c r="C871" s="1" t="str">
        <f>IFERROR(VLOOKUP(B871,'SB1'!$A$2:$B$999999,2,FALSE),"")</f>
        <v>AEROSOL RUST-OLEUM SP EPOXI ACERO INOXIDABLE GRIS X 0,340(2720631)</v>
      </c>
      <c r="D871" s="1" t="s">
        <v>14475</v>
      </c>
      <c r="E871" s="3">
        <f>IFERROR(VLOOKUP(B871,'DA1'!$B$2:$D$999999,3,FALSE),"")</f>
      </c>
      <c r="F871" s="1" t="str">
        <f>IFERROR(VLOOKUP(B871,'SB1'!$A$2:$C$999999,3,FALSE),"")</f>
        <v>503</v>
      </c>
      <c r="G871" s="3" t="e">
        <f t="shared" si="31"/>
        <v>#VALUE!</v>
      </c>
      <c r="H871" s="3" t="e">
        <f t="shared" si="32"/>
        <v>#VALUE!</v>
      </c>
      <c r="I871" s="1">
        <v>1</v>
      </c>
    </row>
    <row r="872" spans="1:9" x14ac:dyDescent="0.25">
      <c r="A872" s="1" t="s">
        <v>14435</v>
      </c>
      <c r="B872" s="1" t="s">
        <v>2413</v>
      </c>
      <c r="C872" s="1" t="str">
        <f>IFERROR(VLOOKUP(B872,'SB1'!$A$2:$B$999999,2,FALSE),"")</f>
        <v>AEROSOL RUST-OLEUM SP EPOXI ALMENDRA X 0,340(272062)</v>
      </c>
      <c r="D872" s="1" t="s">
        <v>14475</v>
      </c>
      <c r="E872" s="3">
        <f>IFERROR(VLOOKUP(B872,'DA1'!$B$2:$D$999999,3,FALSE),"")</f>
      </c>
      <c r="F872" s="1" t="str">
        <f>IFERROR(VLOOKUP(B872,'SB1'!$A$2:$C$999999,3,FALSE),"")</f>
        <v>503</v>
      </c>
      <c r="G872" s="3" t="e">
        <f t="shared" si="31"/>
        <v>#VALUE!</v>
      </c>
      <c r="H872" s="3" t="e">
        <f t="shared" si="32"/>
        <v>#VALUE!</v>
      </c>
      <c r="I872" s="1">
        <v>1</v>
      </c>
    </row>
    <row r="873" spans="1:9" x14ac:dyDescent="0.25">
      <c r="A873" s="1" t="s">
        <v>14435</v>
      </c>
      <c r="B873" s="1" t="s">
        <v>2415</v>
      </c>
      <c r="C873" s="1" t="str">
        <f>IFERROR(VLOOKUP(B873,'SB1'!$A$2:$B$999999,2,FALSE),"")</f>
        <v>LATEX EXTERIOR DURALBA MATE BASE T X  0,900</v>
      </c>
      <c r="D873" s="1" t="s">
        <v>14480</v>
      </c>
      <c r="E873" s="3">
        <f>IFERROR(VLOOKUP(B873,'DA1'!$B$2:$D$999999,3,FALSE),"")</f>
      </c>
      <c r="F873" s="1" t="str">
        <f>IFERROR(VLOOKUP(B873,'SB1'!$A$2:$C$999999,3,FALSE),"")</f>
        <v>503</v>
      </c>
      <c r="G873" s="3" t="e">
        <f t="shared" si="31"/>
        <v>#VALUE!</v>
      </c>
      <c r="H873" s="3" t="e">
        <f t="shared" si="32"/>
        <v>#VALUE!</v>
      </c>
      <c r="I873" s="1">
        <v>1</v>
      </c>
    </row>
    <row r="874" spans="1:9" x14ac:dyDescent="0.25">
      <c r="A874" s="1" t="s">
        <v>14435</v>
      </c>
      <c r="B874" s="1" t="s">
        <v>2417</v>
      </c>
      <c r="C874" s="1" t="str">
        <f>IFERROR(VLOOKUP(B874,'SB1'!$A$2:$B$999999,2,FALSE),"")</f>
        <v>LATEX EXTERIOR DURALBA MATE BASE T X  3,600</v>
      </c>
      <c r="D874" s="1" t="s">
        <v>14480</v>
      </c>
      <c r="E874" s="3">
        <f>IFERROR(VLOOKUP(B874,'DA1'!$B$2:$D$999999,3,FALSE),"")</f>
      </c>
      <c r="F874" s="1" t="str">
        <f>IFERROR(VLOOKUP(B874,'SB1'!$A$2:$C$999999,3,FALSE),"")</f>
        <v>503</v>
      </c>
      <c r="G874" s="3" t="e">
        <f t="shared" si="31"/>
        <v>#VALUE!</v>
      </c>
      <c r="H874" s="3" t="e">
        <f t="shared" si="32"/>
        <v>#VALUE!</v>
      </c>
      <c r="I874" s="1">
        <v>1</v>
      </c>
    </row>
    <row r="875" spans="1:9" x14ac:dyDescent="0.25">
      <c r="A875" s="1" t="s">
        <v>14435</v>
      </c>
      <c r="B875" s="1" t="s">
        <v>2419</v>
      </c>
      <c r="C875" s="1" t="str">
        <f>IFERROR(VLOOKUP(B875,'SB1'!$A$2:$B$999999,2,FALSE),"")</f>
        <v>LATEX INTERIOR PLAVICON HABITAT LISTO PARA USAR MATE APPLE X  1</v>
      </c>
      <c r="D875" s="1" t="s">
        <v>14458</v>
      </c>
      <c r="E875" s="3">
        <f>IFERROR(VLOOKUP(B875,'DA1'!$B$2:$D$999999,3,FALSE),"")</f>
      </c>
      <c r="F875" s="1" t="str">
        <f>IFERROR(VLOOKUP(B875,'SB1'!$A$2:$C$999999,3,FALSE),"")</f>
        <v>503</v>
      </c>
      <c r="G875" s="3" t="e">
        <f t="shared" si="31"/>
        <v>#VALUE!</v>
      </c>
      <c r="H875" s="3" t="e">
        <f t="shared" si="32"/>
        <v>#VALUE!</v>
      </c>
      <c r="I875" s="1">
        <v>1</v>
      </c>
    </row>
    <row r="876" spans="1:9" x14ac:dyDescent="0.25">
      <c r="A876" s="1" t="s">
        <v>14435</v>
      </c>
      <c r="B876" s="1" t="s">
        <v>2421</v>
      </c>
      <c r="C876" s="1" t="str">
        <f>IFERROR(VLOOKUP(B876,'SB1'!$A$2:$B$999999,2,FALSE),"")</f>
        <v>LATEX INTERIOR PLAVICON HABITAT LISTO PARA USAR MATE APPLE X 4</v>
      </c>
      <c r="D876" s="1" t="s">
        <v>14458</v>
      </c>
      <c r="E876" s="3">
        <f>IFERROR(VLOOKUP(B876,'DA1'!$B$2:$D$999999,3,FALSE),"")</f>
      </c>
      <c r="F876" s="1" t="str">
        <f>IFERROR(VLOOKUP(B876,'SB1'!$A$2:$C$999999,3,FALSE),"")</f>
        <v>503</v>
      </c>
      <c r="G876" s="3" t="e">
        <f t="shared" si="31"/>
        <v>#VALUE!</v>
      </c>
      <c r="H876" s="3" t="e">
        <f t="shared" si="32"/>
        <v>#VALUE!</v>
      </c>
      <c r="I876" s="1">
        <v>1</v>
      </c>
    </row>
    <row r="877" spans="1:9" x14ac:dyDescent="0.25">
      <c r="A877" s="1" t="s">
        <v>14435</v>
      </c>
      <c r="B877" s="1" t="s">
        <v>2423</v>
      </c>
      <c r="C877" s="1" t="str">
        <f>IFERROR(VLOOKUP(B877,'SB1'!$A$2:$B$999999,2,FALSE),"")</f>
        <v>LATEX EXTERIOR DURALBA MATE BASE F X  0,900</v>
      </c>
      <c r="D877" s="1" t="s">
        <v>14480</v>
      </c>
      <c r="E877" s="3">
        <f>IFERROR(VLOOKUP(B877,'DA1'!$B$2:$D$999999,3,FALSE),"")</f>
      </c>
      <c r="F877" s="1" t="str">
        <f>IFERROR(VLOOKUP(B877,'SB1'!$A$2:$C$999999,3,FALSE),"")</f>
        <v>503</v>
      </c>
      <c r="G877" s="3" t="e">
        <f t="shared" si="31"/>
        <v>#VALUE!</v>
      </c>
      <c r="H877" s="3" t="e">
        <f t="shared" si="32"/>
        <v>#VALUE!</v>
      </c>
      <c r="I877" s="1">
        <v>1</v>
      </c>
    </row>
    <row r="878" spans="1:9" x14ac:dyDescent="0.25">
      <c r="A878" s="1" t="s">
        <v>14435</v>
      </c>
      <c r="B878" s="1" t="s">
        <v>2425</v>
      </c>
      <c r="C878" s="1" t="str">
        <f>IFERROR(VLOOKUP(B878,'SB1'!$A$2:$B$999999,2,FALSE),"")</f>
        <v>LATEX EXTERIOR DURALBA MATE BASE F X  3,600</v>
      </c>
      <c r="D878" s="1" t="s">
        <v>14480</v>
      </c>
      <c r="E878" s="3">
        <f>IFERROR(VLOOKUP(B878,'DA1'!$B$2:$D$999999,3,FALSE),"")</f>
      </c>
      <c r="F878" s="1" t="str">
        <f>IFERROR(VLOOKUP(B878,'SB1'!$A$2:$C$999999,3,FALSE),"")</f>
        <v>503</v>
      </c>
      <c r="G878" s="3" t="e">
        <f t="shared" si="31"/>
        <v>#VALUE!</v>
      </c>
      <c r="H878" s="3" t="e">
        <f t="shared" si="32"/>
        <v>#VALUE!</v>
      </c>
      <c r="I878" s="1">
        <v>1</v>
      </c>
    </row>
    <row r="879" spans="1:9" x14ac:dyDescent="0.25">
      <c r="A879" s="1" t="s">
        <v>14435</v>
      </c>
      <c r="B879" s="1" t="s">
        <v>2427</v>
      </c>
      <c r="C879" s="1" t="str">
        <f>IFERROR(VLOOKUP(B879,'SB1'!$A$2:$B$999999,2,FALSE),"")</f>
        <v>LATEX EXTERIOR DURALBA MATE BASE F X  8,700</v>
      </c>
      <c r="D879" s="1" t="s">
        <v>14480</v>
      </c>
      <c r="E879" s="3">
        <f>IFERROR(VLOOKUP(B879,'DA1'!$B$2:$D$999999,3,FALSE),"")</f>
      </c>
      <c r="F879" s="1" t="str">
        <f>IFERROR(VLOOKUP(B879,'SB1'!$A$2:$C$999999,3,FALSE),"")</f>
        <v>503</v>
      </c>
      <c r="G879" s="3" t="e">
        <f t="shared" si="31"/>
        <v>#VALUE!</v>
      </c>
      <c r="H879" s="3" t="e">
        <f t="shared" si="32"/>
        <v>#VALUE!</v>
      </c>
      <c r="I879" s="1">
        <v>1</v>
      </c>
    </row>
    <row r="880" spans="1:9" x14ac:dyDescent="0.25">
      <c r="A880" s="1" t="s">
        <v>14435</v>
      </c>
      <c r="B880" s="1" t="s">
        <v>2429</v>
      </c>
      <c r="C880" s="1" t="str">
        <f>IFERROR(VLOOKUP(B880,'SB1'!$A$2:$B$999999,2,FALSE),"")</f>
        <v>LATEX EXTERIOR DURALBA MATE BASE F X 17,400</v>
      </c>
      <c r="D880" s="1" t="s">
        <v>14480</v>
      </c>
      <c r="E880" s="3">
        <f>IFERROR(VLOOKUP(B880,'DA1'!$B$2:$D$999999,3,FALSE),"")</f>
      </c>
      <c r="F880" s="1" t="str">
        <f>IFERROR(VLOOKUP(B880,'SB1'!$A$2:$C$999999,3,FALSE),"")</f>
        <v>503</v>
      </c>
      <c r="G880" s="3" t="e">
        <f t="shared" si="31"/>
        <v>#VALUE!</v>
      </c>
      <c r="H880" s="3" t="e">
        <f t="shared" si="32"/>
        <v>#VALUE!</v>
      </c>
      <c r="I880" s="1">
        <v>1</v>
      </c>
    </row>
    <row r="881" spans="1:9" x14ac:dyDescent="0.25">
      <c r="A881" s="1" t="s">
        <v>14435</v>
      </c>
      <c r="B881" s="1" t="s">
        <v>2439</v>
      </c>
      <c r="C881" s="1" t="str">
        <f>IFERROR(VLOOKUP(B881,'SB1'!$A$2:$B$999999,2,FALSE),"")</f>
        <v>LATEX EXTERIOR DURALBA MATE BASE P X  0,900</v>
      </c>
      <c r="D881" s="1" t="s">
        <v>14480</v>
      </c>
      <c r="E881" s="3">
        <f>IFERROR(VLOOKUP(B881,'DA1'!$B$2:$D$999999,3,FALSE),"")</f>
      </c>
      <c r="F881" s="1" t="str">
        <f>IFERROR(VLOOKUP(B881,'SB1'!$A$2:$C$999999,3,FALSE),"")</f>
        <v>503</v>
      </c>
      <c r="G881" s="3" t="e">
        <f t="shared" si="31"/>
        <v>#VALUE!</v>
      </c>
      <c r="H881" s="3" t="e">
        <f t="shared" si="32"/>
        <v>#VALUE!</v>
      </c>
      <c r="I881" s="1">
        <v>1</v>
      </c>
    </row>
    <row r="882" spans="1:9" x14ac:dyDescent="0.25">
      <c r="A882" s="1" t="s">
        <v>14435</v>
      </c>
      <c r="B882" s="1" t="s">
        <v>2441</v>
      </c>
      <c r="C882" s="1" t="str">
        <f>IFERROR(VLOOKUP(B882,'SB1'!$A$2:$B$999999,2,FALSE),"")</f>
        <v>LATEX EXTERIOR DURALBA MATE BASE P X  3,600</v>
      </c>
      <c r="D882" s="1" t="s">
        <v>14480</v>
      </c>
      <c r="E882" s="3">
        <f>IFERROR(VLOOKUP(B882,'DA1'!$B$2:$D$999999,3,FALSE),"")</f>
      </c>
      <c r="F882" s="1" t="str">
        <f>IFERROR(VLOOKUP(B882,'SB1'!$A$2:$C$999999,3,FALSE),"")</f>
        <v>503</v>
      </c>
      <c r="G882" s="3" t="e">
        <f t="shared" si="31"/>
        <v>#VALUE!</v>
      </c>
      <c r="H882" s="3" t="e">
        <f t="shared" si="32"/>
        <v>#VALUE!</v>
      </c>
      <c r="I882" s="1">
        <v>1</v>
      </c>
    </row>
    <row r="883" spans="1:9" x14ac:dyDescent="0.25">
      <c r="A883" s="1" t="s">
        <v>14435</v>
      </c>
      <c r="B883" s="1" t="s">
        <v>2443</v>
      </c>
      <c r="C883" s="1" t="str">
        <f>IFERROR(VLOOKUP(B883,'SB1'!$A$2:$B$999999,2,FALSE),"")</f>
        <v>LATEX EXTERIOR DURALBA MATE BASE P X  8,700</v>
      </c>
      <c r="D883" s="1" t="s">
        <v>14480</v>
      </c>
      <c r="E883" s="3">
        <f>IFERROR(VLOOKUP(B883,'DA1'!$B$2:$D$999999,3,FALSE),"")</f>
      </c>
      <c r="F883" s="1" t="str">
        <f>IFERROR(VLOOKUP(B883,'SB1'!$A$2:$C$999999,3,FALSE),"")</f>
        <v>503</v>
      </c>
      <c r="G883" s="3" t="e">
        <f t="shared" si="31"/>
        <v>#VALUE!</v>
      </c>
      <c r="H883" s="3" t="e">
        <f t="shared" si="32"/>
        <v>#VALUE!</v>
      </c>
      <c r="I883" s="1">
        <v>1</v>
      </c>
    </row>
    <row r="884" spans="1:9" x14ac:dyDescent="0.25">
      <c r="A884" s="1" t="s">
        <v>14435</v>
      </c>
      <c r="B884" s="1" t="s">
        <v>2445</v>
      </c>
      <c r="C884" s="1" t="str">
        <f>IFERROR(VLOOKUP(B884,'SB1'!$A$2:$B$999999,2,FALSE),"")</f>
        <v>LATEX EXTERIOR DURALBA MATE BASE P X 17,400</v>
      </c>
      <c r="D884" s="1" t="s">
        <v>14480</v>
      </c>
      <c r="E884" s="3">
        <f>IFERROR(VLOOKUP(B884,'DA1'!$B$2:$D$999999,3,FALSE),"")</f>
      </c>
      <c r="F884" s="1" t="str">
        <f>IFERROR(VLOOKUP(B884,'SB1'!$A$2:$C$999999,3,FALSE),"")</f>
        <v>503</v>
      </c>
      <c r="G884" s="3" t="e">
        <f t="shared" si="31"/>
        <v>#VALUE!</v>
      </c>
      <c r="H884" s="3" t="e">
        <f t="shared" si="32"/>
        <v>#VALUE!</v>
      </c>
      <c r="I884" s="1">
        <v>1</v>
      </c>
    </row>
    <row r="885" spans="1:9" x14ac:dyDescent="0.25">
      <c r="A885" s="1" t="s">
        <v>14435</v>
      </c>
      <c r="B885" s="1" t="s">
        <v>2447</v>
      </c>
      <c r="C885" s="1" t="str">
        <f>IFERROR(VLOOKUP(B885,'SB1'!$A$2:$B$999999,2,FALSE),"")</f>
        <v>LATEX EXTERIOR PLAVIPINT MATE BLANCO X  1</v>
      </c>
      <c r="D885" s="1" t="s">
        <v>14458</v>
      </c>
      <c r="E885" s="3">
        <f>IFERROR(VLOOKUP(B885,'DA1'!$B$2:$D$999999,3,FALSE),"")</f>
      </c>
      <c r="F885" s="1" t="str">
        <f>IFERROR(VLOOKUP(B885,'SB1'!$A$2:$C$999999,3,FALSE),"")</f>
        <v>503</v>
      </c>
      <c r="G885" s="3" t="e">
        <f t="shared" si="31"/>
        <v>#VALUE!</v>
      </c>
      <c r="H885" s="3" t="e">
        <f t="shared" si="32"/>
        <v>#VALUE!</v>
      </c>
      <c r="I885" s="1">
        <v>1</v>
      </c>
    </row>
    <row r="886" spans="1:9" x14ac:dyDescent="0.25">
      <c r="A886" s="1" t="s">
        <v>14435</v>
      </c>
      <c r="B886" s="1" t="s">
        <v>2449</v>
      </c>
      <c r="C886" s="1" t="str">
        <f>IFERROR(VLOOKUP(B886,'SB1'!$A$2:$B$999999,2,FALSE),"")</f>
        <v>MR.04 MASILLA RAPIDA UNIVERSAL (GRIS) X 0.900</v>
      </c>
      <c r="D886" s="1" t="s">
        <v>14454</v>
      </c>
      <c r="E886" s="3">
        <f>IFERROR(VLOOKUP(B886,'DA1'!$B$2:$D$999999,3,FALSE),"")</f>
      </c>
      <c r="F886" s="1" t="str">
        <f>IFERROR(VLOOKUP(B886,'SB1'!$A$2:$C$999999,3,FALSE),"")</f>
        <v>503</v>
      </c>
      <c r="G886" s="3" t="e">
        <f t="shared" si="31"/>
        <v>#VALUE!</v>
      </c>
      <c r="H886" s="3" t="e">
        <f t="shared" si="32"/>
        <v>#VALUE!</v>
      </c>
      <c r="I886" s="1">
        <v>3</v>
      </c>
    </row>
    <row r="887" spans="1:9" x14ac:dyDescent="0.25">
      <c r="A887" s="1" t="s">
        <v>14435</v>
      </c>
      <c r="B887" s="1" t="s">
        <v>2451</v>
      </c>
      <c r="C887" s="1" t="str">
        <f>IFERROR(VLOOKUP(B887,'SB1'!$A$2:$B$999999,2,FALSE),"")</f>
        <v>END020.32 CATALIZADOR RAPIDO ACS X 0.180</v>
      </c>
      <c r="D887" s="1" t="s">
        <v>14454</v>
      </c>
      <c r="E887" s="3">
        <f>IFERROR(VLOOKUP(B887,'DA1'!$B$2:$D$999999,3,FALSE),"")</f>
      </c>
      <c r="F887" s="1" t="str">
        <f>IFERROR(VLOOKUP(B887,'SB1'!$A$2:$C$999999,3,FALSE),"")</f>
        <v>503</v>
      </c>
      <c r="G887" s="3" t="e">
        <f t="shared" si="31"/>
        <v>#VALUE!</v>
      </c>
      <c r="H887" s="3" t="e">
        <f t="shared" si="32"/>
        <v>#VALUE!</v>
      </c>
      <c r="I887" s="1">
        <v>3</v>
      </c>
    </row>
    <row r="888" spans="1:9" x14ac:dyDescent="0.25">
      <c r="A888" s="1" t="s">
        <v>14435</v>
      </c>
      <c r="B888" s="1" t="s">
        <v>2453</v>
      </c>
      <c r="C888" s="1" t="str">
        <f>IFERROR(VLOOKUP(B888,'SB1'!$A$2:$B$999999,2,FALSE),"")</f>
        <v>LATEX EXTERIOR PLAVIPINT MATE BLANCO X  4</v>
      </c>
      <c r="D888" s="1" t="s">
        <v>14458</v>
      </c>
      <c r="E888" s="3">
        <f>IFERROR(VLOOKUP(B888,'DA1'!$B$2:$D$999999,3,FALSE),"")</f>
      </c>
      <c r="F888" s="1" t="str">
        <f>IFERROR(VLOOKUP(B888,'SB1'!$A$2:$C$999999,3,FALSE),"")</f>
        <v>503</v>
      </c>
      <c r="G888" s="3" t="e">
        <f t="shared" si="31"/>
        <v>#VALUE!</v>
      </c>
      <c r="H888" s="3" t="e">
        <f t="shared" si="32"/>
        <v>#VALUE!</v>
      </c>
      <c r="I888" s="1">
        <v>1</v>
      </c>
    </row>
    <row r="889" spans="1:9" x14ac:dyDescent="0.25">
      <c r="A889" s="1" t="s">
        <v>14435</v>
      </c>
      <c r="B889" s="1" t="s">
        <v>2455</v>
      </c>
      <c r="C889" s="1" t="str">
        <f>IFERROR(VLOOKUP(B889,'SB1'!$A$2:$B$999999,2,FALSE),"")</f>
        <v>LATEX EXTERIOR PLAVIPINT MATE BLANCO X 10</v>
      </c>
      <c r="D889" s="1" t="s">
        <v>14458</v>
      </c>
      <c r="E889" s="3">
        <f>IFERROR(VLOOKUP(B889,'DA1'!$B$2:$D$999999,3,FALSE),"")</f>
      </c>
      <c r="F889" s="1" t="str">
        <f>IFERROR(VLOOKUP(B889,'SB1'!$A$2:$C$999999,3,FALSE),"")</f>
        <v>503</v>
      </c>
      <c r="G889" s="3" t="e">
        <f t="shared" si="31"/>
        <v>#VALUE!</v>
      </c>
      <c r="H889" s="3" t="e">
        <f t="shared" si="32"/>
        <v>#VALUE!</v>
      </c>
      <c r="I889" s="1">
        <v>1</v>
      </c>
    </row>
    <row r="890" spans="1:9" x14ac:dyDescent="0.25">
      <c r="A890" s="1" t="s">
        <v>14435</v>
      </c>
      <c r="B890" s="1" t="s">
        <v>2457</v>
      </c>
      <c r="C890" s="1" t="str">
        <f>IFERROR(VLOOKUP(B890,'SB1'!$A$2:$B$999999,2,FALSE),"")</f>
        <v>LATEX EXTERIOR PLAVIPINT MATE BLANCO X 20</v>
      </c>
      <c r="D890" s="1" t="s">
        <v>14458</v>
      </c>
      <c r="E890" s="3">
        <f>IFERROR(VLOOKUP(B890,'DA1'!$B$2:$D$999999,3,FALSE),"")</f>
      </c>
      <c r="F890" s="1" t="str">
        <f>IFERROR(VLOOKUP(B890,'SB1'!$A$2:$C$999999,3,FALSE),"")</f>
        <v>503</v>
      </c>
      <c r="G890" s="3" t="e">
        <f t="shared" si="31"/>
        <v>#VALUE!</v>
      </c>
      <c r="H890" s="3" t="e">
        <f t="shared" si="32"/>
        <v>#VALUE!</v>
      </c>
      <c r="I890" s="1">
        <v>1</v>
      </c>
    </row>
    <row r="891" spans="1:9" x14ac:dyDescent="0.25">
      <c r="A891" s="1" t="s">
        <v>14435</v>
      </c>
      <c r="B891" s="1" t="s">
        <v>2459</v>
      </c>
      <c r="C891" s="1" t="str">
        <f>IFERROR(VLOOKUP(B891,'SB1'!$A$2:$B$999999,2,FALSE),"")</f>
        <v>C100-3402 FLEXIB.P/PLAST.X 0,250 (DISCONTINUADO)</v>
      </c>
      <c r="D891" s="1" t="s">
        <v>14454</v>
      </c>
      <c r="E891" s="3">
        <f>IFERROR(VLOOKUP(B891,'DA1'!$B$2:$D$999999,3,FALSE),"")</f>
      </c>
      <c r="F891" s="1" t="str">
        <f>IFERROR(VLOOKUP(B891,'SB1'!$A$2:$C$999999,3,FALSE),"")</f>
        <v>503</v>
      </c>
      <c r="G891" s="3" t="e">
        <f t="shared" si="31"/>
        <v>#VALUE!</v>
      </c>
      <c r="H891" s="3" t="e">
        <f t="shared" si="32"/>
        <v>#VALUE!</v>
      </c>
      <c r="I891" s="1">
        <v>3</v>
      </c>
    </row>
    <row r="892" spans="1:9" x14ac:dyDescent="0.25">
      <c r="A892" s="1" t="s">
        <v>14435</v>
      </c>
      <c r="B892" s="1" t="s">
        <v>2463</v>
      </c>
      <c r="C892" s="1" t="str">
        <f>IFERROR(VLOOKUP(B892,'SB1'!$A$2:$B$999999,2,FALSE),"")</f>
        <v>LATEX INTERIOR ALBALATEX MATE BASE T X  0,900</v>
      </c>
      <c r="D892" s="1" t="s">
        <v>14480</v>
      </c>
      <c r="E892" s="3">
        <f>IFERROR(VLOOKUP(B892,'DA1'!$B$2:$D$999999,3,FALSE),"")</f>
      </c>
      <c r="F892" s="1" t="str">
        <f>IFERROR(VLOOKUP(B892,'SB1'!$A$2:$C$999999,3,FALSE),"")</f>
        <v>503</v>
      </c>
      <c r="G892" s="3" t="e">
        <f t="shared" si="31"/>
        <v>#VALUE!</v>
      </c>
      <c r="H892" s="3" t="e">
        <f t="shared" si="32"/>
        <v>#VALUE!</v>
      </c>
      <c r="I892" s="1">
        <v>1</v>
      </c>
    </row>
    <row r="893" spans="1:9" x14ac:dyDescent="0.25">
      <c r="A893" s="1" t="s">
        <v>14435</v>
      </c>
      <c r="B893" s="1" t="s">
        <v>2465</v>
      </c>
      <c r="C893" s="1" t="str">
        <f>IFERROR(VLOOKUP(B893,'SB1'!$A$2:$B$999999,2,FALSE),"")</f>
        <v>LATEX INTERIOR ALBALATEX MATE BASE T X  3,600</v>
      </c>
      <c r="D893" s="1" t="s">
        <v>14480</v>
      </c>
      <c r="E893" s="3">
        <f>IFERROR(VLOOKUP(B893,'DA1'!$B$2:$D$999999,3,FALSE),"")</f>
      </c>
      <c r="F893" s="1" t="str">
        <f>IFERROR(VLOOKUP(B893,'SB1'!$A$2:$C$999999,3,FALSE),"")</f>
        <v>503</v>
      </c>
      <c r="G893" s="3" t="e">
        <f t="shared" si="31"/>
        <v>#VALUE!</v>
      </c>
      <c r="H893" s="3" t="e">
        <f t="shared" si="32"/>
        <v>#VALUE!</v>
      </c>
      <c r="I893" s="1">
        <v>1</v>
      </c>
    </row>
    <row r="894" spans="1:9" x14ac:dyDescent="0.25">
      <c r="A894" s="1" t="s">
        <v>14435</v>
      </c>
      <c r="B894" s="1" t="s">
        <v>2467</v>
      </c>
      <c r="C894" s="1" t="str">
        <f>IFERROR(VLOOKUP(B894,'SB1'!$A$2:$B$999999,2,FALSE),"")</f>
        <v>LATEX INTERIOR ALBALATEX DESIGN SATINADO BASE T X  0,900</v>
      </c>
      <c r="D894" s="1" t="s">
        <v>14480</v>
      </c>
      <c r="E894" s="3">
        <f>IFERROR(VLOOKUP(B894,'DA1'!$B$2:$D$999999,3,FALSE),"")</f>
      </c>
      <c r="F894" s="1" t="str">
        <f>IFERROR(VLOOKUP(B894,'SB1'!$A$2:$C$999999,3,FALSE),"")</f>
        <v>503</v>
      </c>
      <c r="G894" s="3" t="e">
        <f t="shared" si="31"/>
        <v>#VALUE!</v>
      </c>
      <c r="H894" s="3" t="e">
        <f t="shared" si="32"/>
        <v>#VALUE!</v>
      </c>
      <c r="I894" s="1">
        <v>1</v>
      </c>
    </row>
    <row r="895" spans="1:9" x14ac:dyDescent="0.25">
      <c r="A895" s="1" t="s">
        <v>14435</v>
      </c>
      <c r="B895" s="1" t="s">
        <v>2469</v>
      </c>
      <c r="C895" s="1" t="str">
        <f>IFERROR(VLOOKUP(B895,'SB1'!$A$2:$B$999999,2,FALSE),"")</f>
        <v>LATEX INTERIOR ALBALATEX DESIGN SATINADO BASE T X  3,600</v>
      </c>
      <c r="D895" s="1" t="s">
        <v>14480</v>
      </c>
      <c r="E895" s="3">
        <f>IFERROR(VLOOKUP(B895,'DA1'!$B$2:$D$999999,3,FALSE),"")</f>
      </c>
      <c r="F895" s="1" t="str">
        <f>IFERROR(VLOOKUP(B895,'SB1'!$A$2:$C$999999,3,FALSE),"")</f>
        <v>503</v>
      </c>
      <c r="G895" s="3" t="e">
        <f t="shared" si="31"/>
        <v>#VALUE!</v>
      </c>
      <c r="H895" s="3" t="e">
        <f t="shared" si="32"/>
        <v>#VALUE!</v>
      </c>
      <c r="I895" s="1">
        <v>1</v>
      </c>
    </row>
    <row r="896" spans="1:9" x14ac:dyDescent="0.25">
      <c r="A896" s="1" t="s">
        <v>14435</v>
      </c>
      <c r="B896" s="1" t="s">
        <v>2471</v>
      </c>
      <c r="C896" s="1" t="str">
        <f>IFERROR(VLOOKUP(B896,'SB1'!$A$2:$B$999999,2,FALSE),"")</f>
        <v>LATEX INTERIOR ALBALATEX MATE BASE F X  0,900</v>
      </c>
      <c r="D896" s="1" t="s">
        <v>14480</v>
      </c>
      <c r="E896" s="3">
        <f>IFERROR(VLOOKUP(B896,'DA1'!$B$2:$D$999999,3,FALSE),"")</f>
      </c>
      <c r="F896" s="1" t="str">
        <f>IFERROR(VLOOKUP(B896,'SB1'!$A$2:$C$999999,3,FALSE),"")</f>
        <v>503</v>
      </c>
      <c r="G896" s="3" t="e">
        <f t="shared" si="31"/>
        <v>#VALUE!</v>
      </c>
      <c r="H896" s="3" t="e">
        <f t="shared" si="32"/>
        <v>#VALUE!</v>
      </c>
      <c r="I896" s="1">
        <v>1</v>
      </c>
    </row>
    <row r="897" spans="1:9" x14ac:dyDescent="0.25">
      <c r="A897" s="1" t="s">
        <v>14435</v>
      </c>
      <c r="B897" s="1" t="s">
        <v>2473</v>
      </c>
      <c r="C897" s="1" t="str">
        <f>IFERROR(VLOOKUP(B897,'SB1'!$A$2:$B$999999,2,FALSE),"")</f>
        <v>LATEX INTERIOR ALBALATEX MATE BASE F X  3,600</v>
      </c>
      <c r="D897" s="1" t="s">
        <v>14480</v>
      </c>
      <c r="E897" s="3">
        <f>IFERROR(VLOOKUP(B897,'DA1'!$B$2:$D$999999,3,FALSE),"")</f>
      </c>
      <c r="F897" s="1" t="str">
        <f>IFERROR(VLOOKUP(B897,'SB1'!$A$2:$C$999999,3,FALSE),"")</f>
        <v>503</v>
      </c>
      <c r="G897" s="3" t="e">
        <f t="shared" si="31"/>
        <v>#VALUE!</v>
      </c>
      <c r="H897" s="3" t="e">
        <f t="shared" si="32"/>
        <v>#VALUE!</v>
      </c>
      <c r="I897" s="1">
        <v>1</v>
      </c>
    </row>
    <row r="898" spans="1:9" x14ac:dyDescent="0.25">
      <c r="A898" s="1" t="s">
        <v>14435</v>
      </c>
      <c r="B898" s="1" t="s">
        <v>2475</v>
      </c>
      <c r="C898" s="1" t="str">
        <f>IFERROR(VLOOKUP(B898,'SB1'!$A$2:$B$999999,2,FALSE),"")</f>
        <v>LATEX INTERIOR ALBALATEX MATE BASE F X  8,700</v>
      </c>
      <c r="D898" s="1" t="s">
        <v>14480</v>
      </c>
      <c r="E898" s="3">
        <f>IFERROR(VLOOKUP(B898,'DA1'!$B$2:$D$999999,3,FALSE),"")</f>
      </c>
      <c r="F898" s="1" t="str">
        <f>IFERROR(VLOOKUP(B898,'SB1'!$A$2:$C$999999,3,FALSE),"")</f>
        <v>503</v>
      </c>
      <c r="G898" s="3" t="e">
        <f t="shared" si="31"/>
        <v>#VALUE!</v>
      </c>
      <c r="H898" s="3" t="e">
        <f t="shared" si="32"/>
        <v>#VALUE!</v>
      </c>
      <c r="I898" s="1">
        <v>1</v>
      </c>
    </row>
    <row r="899" spans="1:9" x14ac:dyDescent="0.25">
      <c r="A899" s="1" t="s">
        <v>14435</v>
      </c>
      <c r="B899" s="1" t="s">
        <v>2477</v>
      </c>
      <c r="C899" s="1" t="str">
        <f>IFERROR(VLOOKUP(B899,'SB1'!$A$2:$B$999999,2,FALSE),"")</f>
        <v>LATEX INTERIOR ALBALATEX MATE BASE F X 17,400</v>
      </c>
      <c r="D899" s="1" t="s">
        <v>14480</v>
      </c>
      <c r="E899" s="3">
        <f>IFERROR(VLOOKUP(B899,'DA1'!$B$2:$D$999999,3,FALSE),"")</f>
      </c>
      <c r="F899" s="1" t="str">
        <f>IFERROR(VLOOKUP(B899,'SB1'!$A$2:$C$999999,3,FALSE),"")</f>
        <v>503</v>
      </c>
      <c r="G899" s="3" t="e">
        <f t="shared" ref="G899:G962" si="33">E899*1.04</f>
        <v>#VALUE!</v>
      </c>
      <c r="H899" s="3" t="e">
        <f t="shared" si="32"/>
        <v>#VALUE!</v>
      </c>
      <c r="I899" s="1">
        <v>1</v>
      </c>
    </row>
    <row r="900" spans="1:9" x14ac:dyDescent="0.25">
      <c r="A900" s="1" t="s">
        <v>14435</v>
      </c>
      <c r="B900" s="1" t="s">
        <v>2487</v>
      </c>
      <c r="C900" s="1" t="str">
        <f>IFERROR(VLOOKUP(B900,'SB1'!$A$2:$B$999999,2,FALSE),"")</f>
        <v>LATEX INTERIOR ALBALATEX MATE BASE P X  0,900</v>
      </c>
      <c r="D900" s="1" t="s">
        <v>14480</v>
      </c>
      <c r="E900" s="3">
        <f>IFERROR(VLOOKUP(B900,'DA1'!$B$2:$D$999999,3,FALSE),"")</f>
      </c>
      <c r="F900" s="1" t="str">
        <f>IFERROR(VLOOKUP(B900,'SB1'!$A$2:$C$999999,3,FALSE),"")</f>
        <v>503</v>
      </c>
      <c r="G900" s="3" t="e">
        <f t="shared" si="33"/>
        <v>#VALUE!</v>
      </c>
      <c r="H900" s="3" t="e">
        <f t="shared" si="32"/>
        <v>#VALUE!</v>
      </c>
      <c r="I900" s="1">
        <v>1</v>
      </c>
    </row>
    <row r="901" spans="1:9" x14ac:dyDescent="0.25">
      <c r="A901" s="1" t="s">
        <v>14435</v>
      </c>
      <c r="B901" s="1" t="s">
        <v>2489</v>
      </c>
      <c r="C901" s="1" t="str">
        <f>IFERROR(VLOOKUP(B901,'SB1'!$A$2:$B$999999,2,FALSE),"")</f>
        <v>LATEX INTERIOR ALBALATEX MATE BASE P X  3,600</v>
      </c>
      <c r="D901" s="1" t="s">
        <v>14480</v>
      </c>
      <c r="E901" s="3">
        <f>IFERROR(VLOOKUP(B901,'DA1'!$B$2:$D$999999,3,FALSE),"")</f>
      </c>
      <c r="F901" s="1" t="str">
        <f>IFERROR(VLOOKUP(B901,'SB1'!$A$2:$C$999999,3,FALSE),"")</f>
        <v>503</v>
      </c>
      <c r="G901" s="3" t="e">
        <f t="shared" si="33"/>
        <v>#VALUE!</v>
      </c>
      <c r="H901" s="3" t="e">
        <f t="shared" si="32"/>
        <v>#VALUE!</v>
      </c>
      <c r="I901" s="1">
        <v>1</v>
      </c>
    </row>
    <row r="902" spans="1:9" x14ac:dyDescent="0.25">
      <c r="A902" s="1" t="s">
        <v>14435</v>
      </c>
      <c r="B902" s="1" t="s">
        <v>2491</v>
      </c>
      <c r="C902" s="1" t="str">
        <f>IFERROR(VLOOKUP(B902,'SB1'!$A$2:$B$999999,2,FALSE),"")</f>
        <v>LATEX INTERIOR ALBALATEX MATE BASE P X  8,700</v>
      </c>
      <c r="D902" s="1" t="s">
        <v>14480</v>
      </c>
      <c r="E902" s="3">
        <f>IFERROR(VLOOKUP(B902,'DA1'!$B$2:$D$999999,3,FALSE),"")</f>
      </c>
      <c r="F902" s="1" t="str">
        <f>IFERROR(VLOOKUP(B902,'SB1'!$A$2:$C$999999,3,FALSE),"")</f>
        <v>503</v>
      </c>
      <c r="G902" s="3" t="e">
        <f t="shared" si="33"/>
        <v>#VALUE!</v>
      </c>
      <c r="H902" s="3" t="e">
        <f t="shared" si="32"/>
        <v>#VALUE!</v>
      </c>
      <c r="I902" s="1">
        <v>1</v>
      </c>
    </row>
    <row r="903" spans="1:9" x14ac:dyDescent="0.25">
      <c r="A903" s="1" t="s">
        <v>14435</v>
      </c>
      <c r="B903" s="1" t="s">
        <v>2493</v>
      </c>
      <c r="C903" s="1" t="str">
        <f>IFERROR(VLOOKUP(B903,'SB1'!$A$2:$B$999999,2,FALSE),"")</f>
        <v>LATEX INTERIOR ALBALATEX MATE BASE P X 17,400</v>
      </c>
      <c r="D903" s="1" t="s">
        <v>14480</v>
      </c>
      <c r="E903" s="3">
        <f>IFERROR(VLOOKUP(B903,'DA1'!$B$2:$D$999999,3,FALSE),"")</f>
      </c>
      <c r="F903" s="1" t="str">
        <f>IFERROR(VLOOKUP(B903,'SB1'!$A$2:$C$999999,3,FALSE),"")</f>
        <v>503</v>
      </c>
      <c r="G903" s="3" t="e">
        <f t="shared" si="33"/>
        <v>#VALUE!</v>
      </c>
      <c r="H903" s="3" t="e">
        <f t="shared" si="32"/>
        <v>#VALUE!</v>
      </c>
      <c r="I903" s="1">
        <v>1</v>
      </c>
    </row>
    <row r="904" spans="1:9" x14ac:dyDescent="0.25">
      <c r="A904" s="1" t="s">
        <v>14435</v>
      </c>
      <c r="B904" s="1" t="s">
        <v>2495</v>
      </c>
      <c r="C904" s="1" t="str">
        <f>IFERROR(VLOOKUP(B904,'SB1'!$A$2:$B$999999,2,FALSE),"")</f>
        <v>LATEX INTERIOR ALBALATEX DESIGN SATINADO BASE P X  0,900</v>
      </c>
      <c r="D904" s="1" t="s">
        <v>14480</v>
      </c>
      <c r="E904" s="3">
        <f>IFERROR(VLOOKUP(B904,'DA1'!$B$2:$D$999999,3,FALSE),"")</f>
      </c>
      <c r="F904" s="1" t="str">
        <f>IFERROR(VLOOKUP(B904,'SB1'!$A$2:$C$999999,3,FALSE),"")</f>
        <v>503</v>
      </c>
      <c r="G904" s="3" t="e">
        <f t="shared" si="33"/>
        <v>#VALUE!</v>
      </c>
      <c r="H904" s="3" t="e">
        <f t="shared" si="32"/>
        <v>#VALUE!</v>
      </c>
      <c r="I904" s="1">
        <v>1</v>
      </c>
    </row>
    <row r="905" spans="1:9" x14ac:dyDescent="0.25">
      <c r="A905" s="1" t="s">
        <v>14435</v>
      </c>
      <c r="B905" s="1" t="s">
        <v>2497</v>
      </c>
      <c r="C905" s="1" t="str">
        <f>IFERROR(VLOOKUP(B905,'SB1'!$A$2:$B$999999,2,FALSE),"")</f>
        <v>LATEX INTERIOR ALBALATEX DESIGN SATINADO BASE P X  3,600</v>
      </c>
      <c r="D905" s="1" t="s">
        <v>14480</v>
      </c>
      <c r="E905" s="3">
        <f>IFERROR(VLOOKUP(B905,'DA1'!$B$2:$D$999999,3,FALSE),"")</f>
      </c>
      <c r="F905" s="1" t="str">
        <f>IFERROR(VLOOKUP(B905,'SB1'!$A$2:$C$999999,3,FALSE),"")</f>
        <v>503</v>
      </c>
      <c r="G905" s="3" t="e">
        <f t="shared" si="33"/>
        <v>#VALUE!</v>
      </c>
      <c r="H905" s="3" t="e">
        <f t="shared" si="32"/>
        <v>#VALUE!</v>
      </c>
      <c r="I905" s="1">
        <v>1</v>
      </c>
    </row>
    <row r="906" spans="1:9" x14ac:dyDescent="0.25">
      <c r="A906" s="1" t="s">
        <v>14435</v>
      </c>
      <c r="B906" s="1" t="s">
        <v>2499</v>
      </c>
      <c r="C906" s="1" t="str">
        <f>IFERROR(VLOOKUP(B906,'SB1'!$A$2:$B$999999,2,FALSE),"")</f>
        <v>LATEX INTERIOR ALBALATEX DESIGN SATINADO BASE P X  8,700</v>
      </c>
      <c r="D906" s="1" t="s">
        <v>14480</v>
      </c>
      <c r="E906" s="3">
        <f>IFERROR(VLOOKUP(B906,'DA1'!$B$2:$D$999999,3,FALSE),"")</f>
      </c>
      <c r="F906" s="1" t="str">
        <f>IFERROR(VLOOKUP(B906,'SB1'!$A$2:$C$999999,3,FALSE),"")</f>
        <v>503</v>
      </c>
      <c r="G906" s="3" t="e">
        <f t="shared" si="33"/>
        <v>#VALUE!</v>
      </c>
      <c r="H906" s="3" t="e">
        <f t="shared" si="32"/>
        <v>#VALUE!</v>
      </c>
      <c r="I906" s="1">
        <v>1</v>
      </c>
    </row>
    <row r="907" spans="1:9" x14ac:dyDescent="0.25">
      <c r="A907" s="1" t="s">
        <v>14435</v>
      </c>
      <c r="B907" s="1" t="s">
        <v>2501</v>
      </c>
      <c r="C907" s="1" t="str">
        <f>IFERROR(VLOOKUP(B907,'SB1'!$A$2:$B$999999,2,FALSE),"")</f>
        <v>LATEX INTERIOR ALBALATEX DESIGN SATINADO BASE P X 17,400</v>
      </c>
      <c r="D907" s="1" t="s">
        <v>14480</v>
      </c>
      <c r="E907" s="3">
        <f>IFERROR(VLOOKUP(B907,'DA1'!$B$2:$D$999999,3,FALSE),"")</f>
      </c>
      <c r="F907" s="1" t="str">
        <f>IFERROR(VLOOKUP(B907,'SB1'!$A$2:$C$999999,3,FALSE),"")</f>
        <v>503</v>
      </c>
      <c r="G907" s="3" t="e">
        <f t="shared" si="33"/>
        <v>#VALUE!</v>
      </c>
      <c r="H907" s="3" t="e">
        <f t="shared" si="32"/>
        <v>#VALUE!</v>
      </c>
      <c r="I907" s="1">
        <v>1</v>
      </c>
    </row>
    <row r="908" spans="1:9" x14ac:dyDescent="0.25">
      <c r="A908" s="1" t="s">
        <v>14435</v>
      </c>
      <c r="B908" s="1" t="s">
        <v>2505</v>
      </c>
      <c r="C908" s="1" t="str">
        <f>IFERROR(VLOOKUP(B908,'SB1'!$A$2:$B$999999,2,FALSE),"")</f>
        <v>IMPREGNANTE PARA MADERA PLAVICON LASUR BRILLANTE CEDRO X  1</v>
      </c>
      <c r="D908" s="1" t="s">
        <v>14458</v>
      </c>
      <c r="E908" s="3">
        <f>IFERROR(VLOOKUP(B908,'DA1'!$B$2:$D$999999,3,FALSE),"")</f>
      </c>
      <c r="F908" s="1" t="str">
        <f>IFERROR(VLOOKUP(B908,'SB1'!$A$2:$C$999999,3,FALSE),"")</f>
        <v>503</v>
      </c>
      <c r="G908" s="3" t="e">
        <f t="shared" si="33"/>
        <v>#VALUE!</v>
      </c>
      <c r="H908" s="3" t="e">
        <f t="shared" si="32"/>
        <v>#VALUE!</v>
      </c>
      <c r="I908" s="1">
        <v>1</v>
      </c>
    </row>
    <row r="909" spans="1:9" x14ac:dyDescent="0.25">
      <c r="A909" s="1" t="s">
        <v>14435</v>
      </c>
      <c r="B909" s="1" t="s">
        <v>2507</v>
      </c>
      <c r="C909" s="1" t="str">
        <f>IFERROR(VLOOKUP(B909,'SB1'!$A$2:$B$999999,2,FALSE),"")</f>
        <v>IMPREGNANTE PARA MADERA PLAVICON LASUR BRILLANTE CEDRO X  4</v>
      </c>
      <c r="D909" s="1" t="s">
        <v>14458</v>
      </c>
      <c r="E909" s="3">
        <f>IFERROR(VLOOKUP(B909,'DA1'!$B$2:$D$999999,3,FALSE),"")</f>
      </c>
      <c r="F909" s="1" t="str">
        <f>IFERROR(VLOOKUP(B909,'SB1'!$A$2:$C$999999,3,FALSE),"")</f>
        <v>503</v>
      </c>
      <c r="G909" s="3" t="e">
        <f t="shared" si="33"/>
        <v>#VALUE!</v>
      </c>
      <c r="H909" s="3" t="e">
        <f t="shared" si="32"/>
        <v>#VALUE!</v>
      </c>
      <c r="I909" s="1">
        <v>1</v>
      </c>
    </row>
    <row r="910" spans="1:9" x14ac:dyDescent="0.25">
      <c r="A910" s="1" t="s">
        <v>14435</v>
      </c>
      <c r="B910" s="1" t="s">
        <v>2509</v>
      </c>
      <c r="C910" s="1" t="str">
        <f>IFERROR(VLOOKUP(B910,'SB1'!$A$2:$B$999999,2,FALSE),"")</f>
        <v>IMPREGNANTE PARA MADERA PLAVICON LASUR BRILLANTE CEDRO X 20</v>
      </c>
      <c r="D910" s="1" t="s">
        <v>14458</v>
      </c>
      <c r="E910" s="3">
        <f>IFERROR(VLOOKUP(B910,'DA1'!$B$2:$D$999999,3,FALSE),"")</f>
      </c>
      <c r="F910" s="1" t="str">
        <f>IFERROR(VLOOKUP(B910,'SB1'!$A$2:$C$999999,3,FALSE),"")</f>
        <v>503</v>
      </c>
      <c r="G910" s="3" t="e">
        <f t="shared" si="33"/>
        <v>#VALUE!</v>
      </c>
      <c r="H910" s="3" t="e">
        <f t="shared" si="32"/>
        <v>#VALUE!</v>
      </c>
      <c r="I910" s="1">
        <v>1</v>
      </c>
    </row>
    <row r="911" spans="1:9" x14ac:dyDescent="0.25">
      <c r="A911" s="1" t="s">
        <v>14435</v>
      </c>
      <c r="B911" s="1" t="s">
        <v>2511</v>
      </c>
      <c r="C911" s="1" t="str">
        <f>IFERROR(VLOOKUP(B911,'SB1'!$A$2:$B$999999,2,FALSE),"")</f>
        <v>LATEX INTERIOR ALBALATEX DESIGN SATINADO BASE F X  0,900</v>
      </c>
      <c r="D911" s="1" t="s">
        <v>14480</v>
      </c>
      <c r="E911" s="3">
        <f>IFERROR(VLOOKUP(B911,'DA1'!$B$2:$D$999999,3,FALSE),"")</f>
      </c>
      <c r="F911" s="1" t="str">
        <f>IFERROR(VLOOKUP(B911,'SB1'!$A$2:$C$999999,3,FALSE),"")</f>
        <v>503</v>
      </c>
      <c r="G911" s="3" t="e">
        <f t="shared" si="33"/>
        <v>#VALUE!</v>
      </c>
      <c r="H911" s="3" t="e">
        <f t="shared" si="32"/>
        <v>#VALUE!</v>
      </c>
      <c r="I911" s="1">
        <v>1</v>
      </c>
    </row>
    <row r="912" spans="1:9" x14ac:dyDescent="0.25">
      <c r="A912" s="1" t="s">
        <v>14435</v>
      </c>
      <c r="B912" s="1" t="s">
        <v>2513</v>
      </c>
      <c r="C912" s="1" t="str">
        <f>IFERROR(VLOOKUP(B912,'SB1'!$A$2:$B$999999,2,FALSE),"")</f>
        <v>LATEX INTERIOR ALBALATEX DESIGN SATINADO BASE F X  3,600</v>
      </c>
      <c r="D912" s="1" t="s">
        <v>14480</v>
      </c>
      <c r="E912" s="3">
        <f>IFERROR(VLOOKUP(B912,'DA1'!$B$2:$D$999999,3,FALSE),"")</f>
      </c>
      <c r="F912" s="1" t="str">
        <f>IFERROR(VLOOKUP(B912,'SB1'!$A$2:$C$999999,3,FALSE),"")</f>
        <v>503</v>
      </c>
      <c r="G912" s="3" t="e">
        <f t="shared" si="33"/>
        <v>#VALUE!</v>
      </c>
      <c r="H912" s="3" t="e">
        <f t="shared" si="32"/>
        <v>#VALUE!</v>
      </c>
      <c r="I912" s="1">
        <v>1</v>
      </c>
    </row>
    <row r="913" spans="1:9" x14ac:dyDescent="0.25">
      <c r="A913" s="1" t="s">
        <v>14435</v>
      </c>
      <c r="B913" s="1" t="s">
        <v>2515</v>
      </c>
      <c r="C913" s="1" t="str">
        <f>IFERROR(VLOOKUP(B913,'SB1'!$A$2:$B$999999,2,FALSE),"")</f>
        <v>LATEX INTERIOR ALBALATEX DESIGN SATINADO BASE F X  8,700</v>
      </c>
      <c r="D913" s="1" t="s">
        <v>14480</v>
      </c>
      <c r="E913" s="3">
        <f>IFERROR(VLOOKUP(B913,'DA1'!$B$2:$D$999999,3,FALSE),"")</f>
      </c>
      <c r="F913" s="1" t="str">
        <f>IFERROR(VLOOKUP(B913,'SB1'!$A$2:$C$999999,3,FALSE),"")</f>
        <v>503</v>
      </c>
      <c r="G913" s="3" t="e">
        <f t="shared" si="33"/>
        <v>#VALUE!</v>
      </c>
      <c r="H913" s="3" t="e">
        <f t="shared" si="32"/>
        <v>#VALUE!</v>
      </c>
      <c r="I913" s="1">
        <v>1</v>
      </c>
    </row>
    <row r="914" spans="1:9" x14ac:dyDescent="0.25">
      <c r="A914" s="1" t="s">
        <v>14435</v>
      </c>
      <c r="B914" s="1" t="s">
        <v>2517</v>
      </c>
      <c r="C914" s="1" t="str">
        <f>IFERROR(VLOOKUP(B914,'SB1'!$A$2:$B$999999,2,FALSE),"")</f>
        <v>LATEX INTERIOR ALBALATEX DESIGN SATINADO BASE F X 17,400</v>
      </c>
      <c r="D914" s="1" t="s">
        <v>14480</v>
      </c>
      <c r="E914" s="3">
        <f>IFERROR(VLOOKUP(B914,'DA1'!$B$2:$D$999999,3,FALSE),"")</f>
      </c>
      <c r="F914" s="1" t="str">
        <f>IFERROR(VLOOKUP(B914,'SB1'!$A$2:$C$999999,3,FALSE),"")</f>
        <v>503</v>
      </c>
      <c r="G914" s="3" t="e">
        <f t="shared" si="33"/>
        <v>#VALUE!</v>
      </c>
      <c r="H914" s="3" t="e">
        <f t="shared" si="32"/>
        <v>#VALUE!</v>
      </c>
      <c r="I914" s="1">
        <v>1</v>
      </c>
    </row>
    <row r="915" spans="1:9" x14ac:dyDescent="0.25">
      <c r="A915" s="1" t="s">
        <v>14435</v>
      </c>
      <c r="B915" s="1" t="s">
        <v>2519</v>
      </c>
      <c r="C915" s="1" t="str">
        <f>IFERROR(VLOOKUP(B915,'SB1'!$A$2:$B$999999,2,FALSE),"")</f>
        <v>ESM.ALTA TEMP.300C ALUMINIO X 20</v>
      </c>
      <c r="D915" s="1" t="s">
        <v>14479</v>
      </c>
      <c r="E915" s="3">
        <f>IFERROR(VLOOKUP(B915,'DA1'!$B$2:$D$999999,3,FALSE),"")</f>
      </c>
      <c r="F915" s="1" t="str">
        <f>IFERROR(VLOOKUP(B915,'SB1'!$A$2:$C$999999,3,FALSE),"")</f>
        <v>503</v>
      </c>
      <c r="G915" s="3" t="e">
        <f t="shared" si="33"/>
        <v>#VALUE!</v>
      </c>
      <c r="H915" s="3" t="e">
        <f t="shared" si="32"/>
        <v>#VALUE!</v>
      </c>
      <c r="I915" s="1">
        <v>1</v>
      </c>
    </row>
    <row r="916" spans="1:9" x14ac:dyDescent="0.25">
      <c r="A916" s="1" t="s">
        <v>14435</v>
      </c>
      <c r="B916" s="1" t="s">
        <v>2521</v>
      </c>
      <c r="C916" s="1" t="str">
        <f>IFERROR(VLOOKUP(B916,'SB1'!$A$2:$B$999999,2,FALSE),"")</f>
        <v>LATEX INTERIOR ALBACRYL MATE BASE F X  3,600</v>
      </c>
      <c r="D916" s="1" t="s">
        <v>14480</v>
      </c>
      <c r="E916" s="3">
        <f>IFERROR(VLOOKUP(B916,'DA1'!$B$2:$D$999999,3,FALSE),"")</f>
      </c>
      <c r="F916" s="1" t="str">
        <f>IFERROR(VLOOKUP(B916,'SB1'!$A$2:$C$999999,3,FALSE),"")</f>
        <v>503</v>
      </c>
      <c r="G916" s="3" t="e">
        <f t="shared" si="33"/>
        <v>#VALUE!</v>
      </c>
      <c r="H916" s="3" t="e">
        <f t="shared" si="32"/>
        <v>#VALUE!</v>
      </c>
      <c r="I916" s="1">
        <v>1</v>
      </c>
    </row>
    <row r="917" spans="1:8" x14ac:dyDescent="0.25">
      <c r="A917" s="1" t="s">
        <v>14435</v>
      </c>
      <c r="B917" s="1" t="s">
        <v>2523</v>
      </c>
      <c r="C917" s="1" t="str">
        <f>IFERROR(VLOOKUP(B917,'SB1'!$A$2:$B$999999,2,FALSE),"")</f>
        <v>LATEX INTERIOR ALBACRYL MATE BASE F X  8,700</v>
      </c>
      <c r="D917" s="1" t="s">
        <v>14439</v>
      </c>
      <c r="E917" s="3">
        <f>IFERROR(VLOOKUP(B917,'DA1'!$B$2:$D$999999,3,FALSE),"")</f>
      </c>
      <c r="F917" s="1" t="str">
        <f>IFERROR(VLOOKUP(B917,'SB1'!$A$2:$C$999999,3,FALSE),"")</f>
        <v>503</v>
      </c>
      <c r="G917" s="3" t="e">
        <f t="shared" si="33"/>
        <v>#VALUE!</v>
      </c>
      <c r="H917" s="3" t="e">
        <f t="shared" si="32"/>
        <v>#VALUE!</v>
      </c>
    </row>
    <row r="918" spans="1:9" x14ac:dyDescent="0.25">
      <c r="A918" s="1" t="s">
        <v>14435</v>
      </c>
      <c r="B918" s="1" t="s">
        <v>2525</v>
      </c>
      <c r="C918" s="1" t="str">
        <f>IFERROR(VLOOKUP(B918,'SB1'!$A$2:$B$999999,2,FALSE),"")</f>
        <v>LATEX INTERIOR ALBACRYL MATE BASE F X 17,400</v>
      </c>
      <c r="D918" s="1" t="s">
        <v>14480</v>
      </c>
      <c r="E918" s="3">
        <f>IFERROR(VLOOKUP(B918,'DA1'!$B$2:$D$999999,3,FALSE),"")</f>
      </c>
      <c r="F918" s="1" t="str">
        <f>IFERROR(VLOOKUP(B918,'SB1'!$A$2:$C$999999,3,FALSE),"")</f>
        <v>503</v>
      </c>
      <c r="G918" s="3" t="e">
        <f t="shared" si="33"/>
        <v>#VALUE!</v>
      </c>
      <c r="H918" s="3" t="e">
        <f t="shared" si="32"/>
        <v>#VALUE!</v>
      </c>
      <c r="I918" s="1">
        <v>1</v>
      </c>
    </row>
    <row r="919" spans="1:9" x14ac:dyDescent="0.25">
      <c r="A919" s="1" t="s">
        <v>14435</v>
      </c>
      <c r="B919" s="1" t="s">
        <v>2527</v>
      </c>
      <c r="C919" s="1" t="str">
        <f>IFERROR(VLOOKUP(B919,'SB1'!$A$2:$B$999999,2,FALSE),"")</f>
        <v>IMPREGNANTE PARA MADERA PLAVICON LASUR BRILLANTE CAOBA X  1</v>
      </c>
      <c r="D919" s="1" t="s">
        <v>14458</v>
      </c>
      <c r="E919" s="3">
        <f>IFERROR(VLOOKUP(B919,'DA1'!$B$2:$D$999999,3,FALSE),"")</f>
      </c>
      <c r="F919" s="1" t="str">
        <f>IFERROR(VLOOKUP(B919,'SB1'!$A$2:$C$999999,3,FALSE),"")</f>
        <v>503</v>
      </c>
      <c r="G919" s="3" t="e">
        <f t="shared" si="33"/>
        <v>#VALUE!</v>
      </c>
      <c r="H919" s="3" t="e">
        <f t="shared" si="32"/>
        <v>#VALUE!</v>
      </c>
      <c r="I919" s="1">
        <v>1</v>
      </c>
    </row>
    <row r="920" spans="1:9" x14ac:dyDescent="0.25">
      <c r="A920" s="1" t="s">
        <v>14435</v>
      </c>
      <c r="B920" s="1" t="s">
        <v>2529</v>
      </c>
      <c r="C920" s="1" t="str">
        <f>IFERROR(VLOOKUP(B920,'SB1'!$A$2:$B$999999,2,FALSE),"")</f>
        <v>IMPREGNANTE PARA MADERA PLAVICON LASUR BRILLANTE CAOBA X  4</v>
      </c>
      <c r="D920" s="1" t="s">
        <v>14458</v>
      </c>
      <c r="E920" s="3">
        <f>IFERROR(VLOOKUP(B920,'DA1'!$B$2:$D$999999,3,FALSE),"")</f>
      </c>
      <c r="F920" s="1" t="str">
        <f>IFERROR(VLOOKUP(B920,'SB1'!$A$2:$C$999999,3,FALSE),"")</f>
        <v>503</v>
      </c>
      <c r="G920" s="3" t="e">
        <f t="shared" si="33"/>
        <v>#VALUE!</v>
      </c>
      <c r="H920" s="3" t="e">
        <f t="shared" si="32"/>
        <v>#VALUE!</v>
      </c>
      <c r="I920" s="1">
        <v>1</v>
      </c>
    </row>
    <row r="921" spans="1:9" x14ac:dyDescent="0.25">
      <c r="A921" s="1" t="s">
        <v>14435</v>
      </c>
      <c r="B921" s="1" t="s">
        <v>2531</v>
      </c>
      <c r="C921" s="1" t="str">
        <f>IFERROR(VLOOKUP(B921,'SB1'!$A$2:$B$999999,2,FALSE),"")</f>
        <v>IMPREGNANTE PARA MADERA PLAVICON LASUR BRILLANTE CAOBA X 20</v>
      </c>
      <c r="D921" s="1" t="s">
        <v>14458</v>
      </c>
      <c r="E921" s="3">
        <f>IFERROR(VLOOKUP(B921,'DA1'!$B$2:$D$999999,3,FALSE),"")</f>
      </c>
      <c r="F921" s="1" t="str">
        <f>IFERROR(VLOOKUP(B921,'SB1'!$A$2:$C$999999,3,FALSE),"")</f>
        <v>503</v>
      </c>
      <c r="G921" s="3" t="e">
        <f t="shared" si="33"/>
        <v>#VALUE!</v>
      </c>
      <c r="H921" s="3" t="e">
        <f t="shared" si="32"/>
        <v>#VALUE!</v>
      </c>
      <c r="I921" s="1">
        <v>1</v>
      </c>
    </row>
    <row r="922" spans="1:9" x14ac:dyDescent="0.25">
      <c r="A922" s="1" t="s">
        <v>14435</v>
      </c>
      <c r="B922" s="1" t="s">
        <v>2533</v>
      </c>
      <c r="C922" s="1" t="str">
        <f>IFERROR(VLOOKUP(B922,'SB1'!$A$2:$B$999999,2,FALSE),"")</f>
        <v>LATEX INTERIOR ALBACRYL MATE BASE P X  3,600</v>
      </c>
      <c r="D922" s="1" t="s">
        <v>14480</v>
      </c>
      <c r="E922" s="3">
        <f>IFERROR(VLOOKUP(B922,'DA1'!$B$2:$D$999999,3,FALSE),"")</f>
      </c>
      <c r="F922" s="1" t="str">
        <f>IFERROR(VLOOKUP(B922,'SB1'!$A$2:$C$999999,3,FALSE),"")</f>
        <v>503</v>
      </c>
      <c r="G922" s="3" t="e">
        <f t="shared" si="33"/>
        <v>#VALUE!</v>
      </c>
      <c r="H922" s="3" t="e">
        <f t="shared" si="32"/>
        <v>#VALUE!</v>
      </c>
      <c r="I922" s="1">
        <v>1</v>
      </c>
    </row>
    <row r="923" spans="1:9" x14ac:dyDescent="0.25">
      <c r="A923" s="1" t="s">
        <v>14435</v>
      </c>
      <c r="B923" s="1" t="s">
        <v>2535</v>
      </c>
      <c r="C923" s="1" t="str">
        <f>IFERROR(VLOOKUP(B923,'SB1'!$A$2:$B$999999,2,FALSE),"")</f>
        <v>LATEX INTERIOR ALBACRYL MATE BASE P X  8,700</v>
      </c>
      <c r="D923" s="1" t="s">
        <v>14480</v>
      </c>
      <c r="E923" s="3">
        <f>IFERROR(VLOOKUP(B923,'DA1'!$B$2:$D$999999,3,FALSE),"")</f>
      </c>
      <c r="F923" s="1" t="str">
        <f>IFERROR(VLOOKUP(B923,'SB1'!$A$2:$C$999999,3,FALSE),"")</f>
        <v>503</v>
      </c>
      <c r="G923" s="3" t="e">
        <f t="shared" si="33"/>
        <v>#VALUE!</v>
      </c>
      <c r="H923" s="3" t="e">
        <f t="shared" si="32"/>
        <v>#VALUE!</v>
      </c>
      <c r="I923" s="1">
        <v>1</v>
      </c>
    </row>
    <row r="924" spans="1:9" x14ac:dyDescent="0.25">
      <c r="A924" s="1" t="s">
        <v>14435</v>
      </c>
      <c r="B924" s="1" t="s">
        <v>2537</v>
      </c>
      <c r="C924" s="1" t="str">
        <f>IFERROR(VLOOKUP(B924,'SB1'!$A$2:$B$999999,2,FALSE),"")</f>
        <v>LATEX INTERIOR ALBACRYL MATE BASE P X 17,400</v>
      </c>
      <c r="D924" s="1" t="s">
        <v>14480</v>
      </c>
      <c r="E924" s="3">
        <f>IFERROR(VLOOKUP(B924,'DA1'!$B$2:$D$999999,3,FALSE),"")</f>
      </c>
      <c r="F924" s="1" t="str">
        <f>IFERROR(VLOOKUP(B924,'SB1'!$A$2:$C$999999,3,FALSE),"")</f>
        <v>503</v>
      </c>
      <c r="G924" s="3" t="e">
        <f t="shared" si="33"/>
        <v>#VALUE!</v>
      </c>
      <c r="H924" s="3" t="e">
        <f t="shared" si="32"/>
        <v>#VALUE!</v>
      </c>
      <c r="I924" s="1">
        <v>1</v>
      </c>
    </row>
    <row r="925" spans="1:9" x14ac:dyDescent="0.25">
      <c r="A925" s="1" t="s">
        <v>14435</v>
      </c>
      <c r="B925" s="1" t="s">
        <v>2539</v>
      </c>
      <c r="C925" s="1" t="str">
        <f>IFERROR(VLOOKUP(B925,'SB1'!$A$2:$B$999999,2,FALSE),"")</f>
        <v>ESMALTE SINTETICO ALBALUX BRILLANTE BASE P X  0,900</v>
      </c>
      <c r="D925" s="1" t="s">
        <v>14480</v>
      </c>
      <c r="E925" s="3">
        <f>IFERROR(VLOOKUP(B925,'DA1'!$B$2:$D$999999,3,FALSE),"")</f>
      </c>
      <c r="F925" s="1" t="str">
        <f>IFERROR(VLOOKUP(B925,'SB1'!$A$2:$C$999999,3,FALSE),"")</f>
        <v>503</v>
      </c>
      <c r="G925" s="3" t="e">
        <f t="shared" si="33"/>
        <v>#VALUE!</v>
      </c>
      <c r="H925" s="3" t="e">
        <f t="shared" si="32"/>
        <v>#VALUE!</v>
      </c>
      <c r="I925" s="1">
        <v>1</v>
      </c>
    </row>
    <row r="926" spans="1:9" x14ac:dyDescent="0.25">
      <c r="A926" s="1" t="s">
        <v>14435</v>
      </c>
      <c r="B926" s="1" t="s">
        <v>2541</v>
      </c>
      <c r="C926" s="1" t="str">
        <f>IFERROR(VLOOKUP(B926,'SB1'!$A$2:$B$999999,2,FALSE),"")</f>
        <v>ESMALTE SINTETICO ALBALUX BRILLANTE BASE P X  3,600</v>
      </c>
      <c r="D926" s="1" t="s">
        <v>14480</v>
      </c>
      <c r="E926" s="3">
        <f>IFERROR(VLOOKUP(B926,'DA1'!$B$2:$D$999999,3,FALSE),"")</f>
      </c>
      <c r="F926" s="1" t="str">
        <f>IFERROR(VLOOKUP(B926,'SB1'!$A$2:$C$999999,3,FALSE),"")</f>
        <v>503</v>
      </c>
      <c r="G926" s="3" t="e">
        <f t="shared" si="33"/>
        <v>#VALUE!</v>
      </c>
      <c r="H926" s="3" t="e">
        <f t="shared" si="32"/>
        <v>#VALUE!</v>
      </c>
      <c r="I926" s="1">
        <v>1</v>
      </c>
    </row>
    <row r="927" spans="1:9" x14ac:dyDescent="0.25">
      <c r="A927" s="1" t="s">
        <v>14435</v>
      </c>
      <c r="B927" s="1" t="s">
        <v>2543</v>
      </c>
      <c r="C927" s="1" t="str">
        <f>IFERROR(VLOOKUP(B927,'SB1'!$A$2:$B$999999,2,FALSE),"")</f>
        <v>ESMALTE SINTETICO ALBALUX BRILLANTE BASE P X 17,400</v>
      </c>
      <c r="D927" s="1" t="s">
        <v>14480</v>
      </c>
      <c r="E927" s="3">
        <f>IFERROR(VLOOKUP(B927,'DA1'!$B$2:$D$999999,3,FALSE),"")</f>
      </c>
      <c r="F927" s="1" t="str">
        <f>IFERROR(VLOOKUP(B927,'SB1'!$A$2:$C$999999,3,FALSE),"")</f>
        <v>503</v>
      </c>
      <c r="G927" s="3" t="e">
        <f t="shared" si="33"/>
        <v>#VALUE!</v>
      </c>
      <c r="H927" s="3" t="e">
        <f t="shared" si="32"/>
        <v>#VALUE!</v>
      </c>
      <c r="I927" s="1">
        <v>1</v>
      </c>
    </row>
    <row r="928" spans="1:9" x14ac:dyDescent="0.25">
      <c r="A928" s="1" t="s">
        <v>14435</v>
      </c>
      <c r="B928" s="1" t="s">
        <v>2549</v>
      </c>
      <c r="C928" s="1" t="str">
        <f>IFERROR(VLOOKUP(B928,'SB1'!$A$2:$B$999999,2,FALSE),"")</f>
        <v>IMPREGNANTE PARA MADERA PLAVICON LASUR BRILLANTE NATURAL X  4</v>
      </c>
      <c r="D928" s="1" t="s">
        <v>14458</v>
      </c>
      <c r="E928" s="3">
        <f>IFERROR(VLOOKUP(B928,'DA1'!$B$2:$D$999999,3,FALSE),"")</f>
      </c>
      <c r="F928" s="1" t="str">
        <f>IFERROR(VLOOKUP(B928,'SB1'!$A$2:$C$999999,3,FALSE),"")</f>
        <v>503</v>
      </c>
      <c r="G928" s="3" t="e">
        <f t="shared" si="33"/>
        <v>#VALUE!</v>
      </c>
      <c r="H928" s="3" t="e">
        <f t="shared" si="32"/>
        <v>#VALUE!</v>
      </c>
      <c r="I928" s="1">
        <v>1</v>
      </c>
    </row>
    <row r="929" spans="1:9" x14ac:dyDescent="0.25">
      <c r="A929" s="1" t="s">
        <v>14435</v>
      </c>
      <c r="B929" s="1" t="s">
        <v>2557</v>
      </c>
      <c r="C929" s="1" t="str">
        <f>IFERROR(VLOOKUP(B929,'SB1'!$A$2:$B$999999,2,FALSE),"")</f>
        <v>ESMALTE SINTETICO ALBALUX BRILLANTE BASE T X 0,900</v>
      </c>
      <c r="D929" s="1" t="s">
        <v>14480</v>
      </c>
      <c r="E929" s="3">
        <f>IFERROR(VLOOKUP(B929,'DA1'!$B$2:$D$999999,3,FALSE),"")</f>
      </c>
      <c r="F929" s="1" t="str">
        <f>IFERROR(VLOOKUP(B929,'SB1'!$A$2:$C$999999,3,FALSE),"")</f>
        <v>503</v>
      </c>
      <c r="G929" s="3" t="e">
        <f t="shared" si="33"/>
        <v>#VALUE!</v>
      </c>
      <c r="H929" s="3" t="e">
        <f t="shared" si="32"/>
        <v>#VALUE!</v>
      </c>
      <c r="I929" s="1">
        <v>1</v>
      </c>
    </row>
    <row r="930" spans="1:9" x14ac:dyDescent="0.25">
      <c r="A930" s="1" t="s">
        <v>14435</v>
      </c>
      <c r="B930" s="1" t="s">
        <v>2559</v>
      </c>
      <c r="C930" s="1" t="str">
        <f>IFERROR(VLOOKUP(B930,'SB1'!$A$2:$B$999999,2,FALSE),"")</f>
        <v>ESMALTE SINTETICO ALBALUX BRILLANTE BASE T X 3,600</v>
      </c>
      <c r="D930" s="1" t="s">
        <v>14480</v>
      </c>
      <c r="E930" s="3">
        <f>IFERROR(VLOOKUP(B930,'DA1'!$B$2:$D$999999,3,FALSE),"")</f>
      </c>
      <c r="F930" s="1" t="str">
        <f>IFERROR(VLOOKUP(B930,'SB1'!$A$2:$C$999999,3,FALSE),"")</f>
        <v>503</v>
      </c>
      <c r="G930" s="3" t="e">
        <f t="shared" si="33"/>
        <v>#VALUE!</v>
      </c>
      <c r="H930" s="3" t="e">
        <f t="shared" si="32"/>
        <v>#VALUE!</v>
      </c>
      <c r="I930" s="1">
        <v>1</v>
      </c>
    </row>
    <row r="931" spans="1:9" x14ac:dyDescent="0.25">
      <c r="A931" s="1" t="s">
        <v>14435</v>
      </c>
      <c r="B931" s="1" t="s">
        <v>2561</v>
      </c>
      <c r="C931" s="1" t="str">
        <f>IFERROR(VLOOKUP(B931,'SB1'!$A$2:$B$999999,2,FALSE),"")</f>
        <v>LIJA EN ROLLO DOBLE A # 120 X 1 MT</v>
      </c>
      <c r="D931" s="1" t="s">
        <v>14451</v>
      </c>
      <c r="E931" s="3">
        <f>IFERROR(VLOOKUP(B931,'DA1'!$B$2:$D$999999,3,FALSE),"")</f>
      </c>
      <c r="F931" s="1" t="str">
        <f>IFERROR(VLOOKUP(B931,'SB1'!$A$2:$C$999999,3,FALSE),"")</f>
        <v>503</v>
      </c>
      <c r="G931" s="3" t="e">
        <f t="shared" si="33"/>
        <v>#VALUE!</v>
      </c>
      <c r="H931" s="3" t="e">
        <f t="shared" ref="H931:H994" si="34">G931*1.21</f>
        <v>#VALUE!</v>
      </c>
      <c r="I931" s="1">
        <v>1</v>
      </c>
    </row>
    <row r="932" spans="1:9" x14ac:dyDescent="0.25">
      <c r="A932" s="1" t="s">
        <v>14435</v>
      </c>
      <c r="B932" s="1" t="s">
        <v>2563</v>
      </c>
      <c r="C932" s="1" t="str">
        <f>IFERROR(VLOOKUP(B932,'SB1'!$A$2:$B$999999,2,FALSE),"")</f>
        <v>ESMALTE SINTETICO ALBALUX BRILLANTE BASE F X  0,900</v>
      </c>
      <c r="D932" s="1" t="s">
        <v>14480</v>
      </c>
      <c r="E932" s="3">
        <f>IFERROR(VLOOKUP(B932,'DA1'!$B$2:$D$999999,3,FALSE),"")</f>
      </c>
      <c r="F932" s="1" t="str">
        <f>IFERROR(VLOOKUP(B932,'SB1'!$A$2:$C$999999,3,FALSE),"")</f>
        <v>503</v>
      </c>
      <c r="G932" s="3" t="e">
        <f t="shared" si="33"/>
        <v>#VALUE!</v>
      </c>
      <c r="H932" s="3" t="e">
        <f t="shared" si="34"/>
        <v>#VALUE!</v>
      </c>
      <c r="I932" s="1">
        <v>1</v>
      </c>
    </row>
    <row r="933" spans="1:9" x14ac:dyDescent="0.25">
      <c r="A933" s="1" t="s">
        <v>14435</v>
      </c>
      <c r="B933" s="1" t="s">
        <v>2565</v>
      </c>
      <c r="C933" s="1" t="str">
        <f>IFERROR(VLOOKUP(B933,'SB1'!$A$2:$B$999999,2,FALSE),"")</f>
        <v>ESMALTE SINTETICO ALBALUX BRILLANTE BASE F X  3,600</v>
      </c>
      <c r="D933" s="1" t="s">
        <v>14480</v>
      </c>
      <c r="E933" s="3">
        <f>IFERROR(VLOOKUP(B933,'DA1'!$B$2:$D$999999,3,FALSE),"")</f>
      </c>
      <c r="F933" s="1" t="str">
        <f>IFERROR(VLOOKUP(B933,'SB1'!$A$2:$C$999999,3,FALSE),"")</f>
        <v>503</v>
      </c>
      <c r="G933" s="3" t="e">
        <f t="shared" si="33"/>
        <v>#VALUE!</v>
      </c>
      <c r="H933" s="3" t="e">
        <f t="shared" si="34"/>
        <v>#VALUE!</v>
      </c>
      <c r="I933" s="1">
        <v>1</v>
      </c>
    </row>
    <row r="934" spans="1:9" x14ac:dyDescent="0.25">
      <c r="A934" s="1" t="s">
        <v>14435</v>
      </c>
      <c r="B934" s="1" t="s">
        <v>2567</v>
      </c>
      <c r="C934" s="1" t="str">
        <f>IFERROR(VLOOKUP(B934,'SB1'!$A$2:$B$999999,2,FALSE),"")</f>
        <v>ESMALTE SINTETICO ALBALUX BRILLANTE BASE F X 17,400</v>
      </c>
      <c r="D934" s="1" t="s">
        <v>14480</v>
      </c>
      <c r="E934" s="3">
        <f>IFERROR(VLOOKUP(B934,'DA1'!$B$2:$D$999999,3,FALSE),"")</f>
      </c>
      <c r="F934" s="1" t="str">
        <f>IFERROR(VLOOKUP(B934,'SB1'!$A$2:$C$999999,3,FALSE),"")</f>
        <v>503</v>
      </c>
      <c r="G934" s="3" t="e">
        <f t="shared" si="33"/>
        <v>#VALUE!</v>
      </c>
      <c r="H934" s="3" t="e">
        <f t="shared" si="34"/>
        <v>#VALUE!</v>
      </c>
      <c r="I934" s="1">
        <v>1</v>
      </c>
    </row>
    <row r="935" spans="1:9" x14ac:dyDescent="0.25">
      <c r="A935" s="1" t="s">
        <v>14435</v>
      </c>
      <c r="B935" s="1" t="s">
        <v>2569</v>
      </c>
      <c r="C935" s="1" t="str">
        <f>IFERROR(VLOOKUP(B935,'SB1'!$A$2:$B$999999,2,FALSE),"")</f>
        <v>ESMALTE SINTETICO SATINOL SATINADO BASE P X  0,900</v>
      </c>
      <c r="D935" s="1" t="s">
        <v>14480</v>
      </c>
      <c r="E935" s="3">
        <f>IFERROR(VLOOKUP(B935,'DA1'!$B$2:$D$999999,3,FALSE),"")</f>
      </c>
      <c r="F935" s="1" t="str">
        <f>IFERROR(VLOOKUP(B935,'SB1'!$A$2:$C$999999,3,FALSE),"")</f>
        <v>503</v>
      </c>
      <c r="G935" s="3" t="e">
        <f t="shared" si="33"/>
        <v>#VALUE!</v>
      </c>
      <c r="H935" s="3" t="e">
        <f t="shared" si="34"/>
        <v>#VALUE!</v>
      </c>
      <c r="I935" s="1">
        <v>1</v>
      </c>
    </row>
    <row r="936" spans="1:9" x14ac:dyDescent="0.25">
      <c r="A936" s="1" t="s">
        <v>14435</v>
      </c>
      <c r="B936" s="1" t="s">
        <v>2571</v>
      </c>
      <c r="C936" s="1" t="str">
        <f>IFERROR(VLOOKUP(B936,'SB1'!$A$2:$B$999999,2,FALSE),"")</f>
        <v>ESMALTE SINTETICO SATINOL SATINADO BASE P X  3,600</v>
      </c>
      <c r="D936" s="1" t="s">
        <v>14480</v>
      </c>
      <c r="E936" s="3">
        <f>IFERROR(VLOOKUP(B936,'DA1'!$B$2:$D$999999,3,FALSE),"")</f>
      </c>
      <c r="F936" s="1" t="str">
        <f>IFERROR(VLOOKUP(B936,'SB1'!$A$2:$C$999999,3,FALSE),"")</f>
        <v>503</v>
      </c>
      <c r="G936" s="3" t="e">
        <f t="shared" si="33"/>
        <v>#VALUE!</v>
      </c>
      <c r="H936" s="3" t="e">
        <f t="shared" si="34"/>
        <v>#VALUE!</v>
      </c>
      <c r="I936" s="1">
        <v>1</v>
      </c>
    </row>
    <row r="937" spans="1:9" x14ac:dyDescent="0.25">
      <c r="A937" s="1" t="s">
        <v>14435</v>
      </c>
      <c r="B937" s="1" t="s">
        <v>2573</v>
      </c>
      <c r="C937" s="1" t="str">
        <f>IFERROR(VLOOKUP(B937,'SB1'!$A$2:$B$999999,2,FALSE),"")</f>
        <v>ESMALTE SINTETICO SATINOL SATINADO BASE P X 17,400</v>
      </c>
      <c r="D937" s="1" t="s">
        <v>14480</v>
      </c>
      <c r="E937" s="3">
        <f>IFERROR(VLOOKUP(B937,'DA1'!$B$2:$D$999999,3,FALSE),"")</f>
      </c>
      <c r="F937" s="1" t="str">
        <f>IFERROR(VLOOKUP(B937,'SB1'!$A$2:$C$999999,3,FALSE),"")</f>
        <v>503</v>
      </c>
      <c r="G937" s="3" t="e">
        <f t="shared" si="33"/>
        <v>#VALUE!</v>
      </c>
      <c r="H937" s="3" t="e">
        <f t="shared" si="34"/>
        <v>#VALUE!</v>
      </c>
      <c r="I937" s="1">
        <v>1</v>
      </c>
    </row>
    <row r="938" spans="1:9" x14ac:dyDescent="0.25">
      <c r="A938" s="1" t="s">
        <v>14435</v>
      </c>
      <c r="B938" s="1" t="s">
        <v>2579</v>
      </c>
      <c r="C938" s="1" t="str">
        <f>IFERROR(VLOOKUP(B938,'SB1'!$A$2:$B$999999,2,FALSE),"")</f>
        <v>IMPREGNANTE PARA MADERA PLAVICON LASUR BRILLANTE NATURAL X 20</v>
      </c>
      <c r="D938" s="1" t="s">
        <v>14458</v>
      </c>
      <c r="E938" s="3">
        <f>IFERROR(VLOOKUP(B938,'DA1'!$B$2:$D$999999,3,FALSE),"")</f>
      </c>
      <c r="F938" s="1" t="str">
        <f>IFERROR(VLOOKUP(B938,'SB1'!$A$2:$C$999999,3,FALSE),"")</f>
        <v>503</v>
      </c>
      <c r="G938" s="3" t="e">
        <f t="shared" si="33"/>
        <v>#VALUE!</v>
      </c>
      <c r="H938" s="3" t="e">
        <f t="shared" si="34"/>
        <v>#VALUE!</v>
      </c>
      <c r="I938" s="1">
        <v>1</v>
      </c>
    </row>
    <row r="939" spans="1:9" x14ac:dyDescent="0.25">
      <c r="A939" s="1" t="s">
        <v>14435</v>
      </c>
      <c r="B939" s="1" t="s">
        <v>2581</v>
      </c>
      <c r="C939" s="1" t="str">
        <f>IFERROR(VLOOKUP(B939,'SB1'!$A$2:$B$999999,2,FALSE),"")</f>
        <v>ESMALTE SINTETICO SATINOL SATINADO BASE T X 0,900</v>
      </c>
      <c r="D939" s="1" t="s">
        <v>14480</v>
      </c>
      <c r="E939" s="3">
        <f>IFERROR(VLOOKUP(B939,'DA1'!$B$2:$D$999999,3,FALSE),"")</f>
      </c>
      <c r="F939" s="1" t="str">
        <f>IFERROR(VLOOKUP(B939,'SB1'!$A$2:$C$999999,3,FALSE),"")</f>
        <v>503</v>
      </c>
      <c r="G939" s="3" t="e">
        <f t="shared" si="33"/>
        <v>#VALUE!</v>
      </c>
      <c r="H939" s="3" t="e">
        <f t="shared" si="34"/>
        <v>#VALUE!</v>
      </c>
      <c r="I939" s="1">
        <v>1</v>
      </c>
    </row>
    <row r="940" spans="1:9" x14ac:dyDescent="0.25">
      <c r="A940" s="1" t="s">
        <v>14435</v>
      </c>
      <c r="B940" s="1" t="s">
        <v>2583</v>
      </c>
      <c r="C940" s="1" t="str">
        <f>IFERROR(VLOOKUP(B940,'SB1'!$A$2:$B$999999,2,FALSE),"")</f>
        <v>ESMALTE SINTETICO SATINOL SATINADO BASE T X 3,600</v>
      </c>
      <c r="D940" s="1" t="s">
        <v>14480</v>
      </c>
      <c r="E940" s="3">
        <f>IFERROR(VLOOKUP(B940,'DA1'!$B$2:$D$999999,3,FALSE),"")</f>
      </c>
      <c r="F940" s="1" t="str">
        <f>IFERROR(VLOOKUP(B940,'SB1'!$A$2:$C$999999,3,FALSE),"")</f>
        <v>503</v>
      </c>
      <c r="G940" s="3" t="e">
        <f t="shared" si="33"/>
        <v>#VALUE!</v>
      </c>
      <c r="H940" s="3" t="e">
        <f t="shared" si="34"/>
        <v>#VALUE!</v>
      </c>
      <c r="I940" s="1">
        <v>1</v>
      </c>
    </row>
    <row r="941" spans="1:9" x14ac:dyDescent="0.25">
      <c r="A941" s="1" t="s">
        <v>14435</v>
      </c>
      <c r="B941" s="1" t="s">
        <v>2585</v>
      </c>
      <c r="C941" s="1" t="str">
        <f>IFERROR(VLOOKUP(B941,'SB1'!$A$2:$B$999999,2,FALSE),"")</f>
        <v>ESMALTE SINTETICO SATINOL SATINADO BASE F X  0,900</v>
      </c>
      <c r="D941" s="1" t="s">
        <v>14480</v>
      </c>
      <c r="E941" s="3">
        <f>IFERROR(VLOOKUP(B941,'DA1'!$B$2:$D$999999,3,FALSE),"")</f>
      </c>
      <c r="F941" s="1" t="str">
        <f>IFERROR(VLOOKUP(B941,'SB1'!$A$2:$C$999999,3,FALSE),"")</f>
        <v>503</v>
      </c>
      <c r="G941" s="3" t="e">
        <f t="shared" si="33"/>
        <v>#VALUE!</v>
      </c>
      <c r="H941" s="3" t="e">
        <f t="shared" si="34"/>
        <v>#VALUE!</v>
      </c>
      <c r="I941" s="1">
        <v>1</v>
      </c>
    </row>
    <row r="942" spans="1:9" x14ac:dyDescent="0.25">
      <c r="A942" s="1" t="s">
        <v>14435</v>
      </c>
      <c r="B942" s="1" t="s">
        <v>2587</v>
      </c>
      <c r="C942" s="1" t="str">
        <f>IFERROR(VLOOKUP(B942,'SB1'!$A$2:$B$999999,2,FALSE),"")</f>
        <v>ESMALTE SINTETICO SATINOL SATINADO BASE F X  3,600</v>
      </c>
      <c r="D942" s="1" t="s">
        <v>14480</v>
      </c>
      <c r="E942" s="3">
        <f>IFERROR(VLOOKUP(B942,'DA1'!$B$2:$D$999999,3,FALSE),"")</f>
      </c>
      <c r="F942" s="1" t="str">
        <f>IFERROR(VLOOKUP(B942,'SB1'!$A$2:$C$999999,3,FALSE),"")</f>
        <v>503</v>
      </c>
      <c r="G942" s="3" t="e">
        <f t="shared" si="33"/>
        <v>#VALUE!</v>
      </c>
      <c r="H942" s="3" t="e">
        <f t="shared" si="34"/>
        <v>#VALUE!</v>
      </c>
      <c r="I942" s="1">
        <v>1</v>
      </c>
    </row>
    <row r="943" spans="1:9" x14ac:dyDescent="0.25">
      <c r="A943" s="1" t="s">
        <v>14435</v>
      </c>
      <c r="B943" s="1" t="s">
        <v>2589</v>
      </c>
      <c r="C943" s="1" t="str">
        <f>IFERROR(VLOOKUP(B943,'SB1'!$A$2:$B$999999,2,FALSE),"")</f>
        <v>ESMALTE SINTETICO SATINOL SATINADO BASE F X 17,400</v>
      </c>
      <c r="D943" s="1" t="s">
        <v>14480</v>
      </c>
      <c r="E943" s="3">
        <f>IFERROR(VLOOKUP(B943,'DA1'!$B$2:$D$999999,3,FALSE),"")</f>
      </c>
      <c r="F943" s="1" t="str">
        <f>IFERROR(VLOOKUP(B943,'SB1'!$A$2:$C$999999,3,FALSE),"")</f>
        <v>503</v>
      </c>
      <c r="G943" s="3" t="e">
        <f t="shared" si="33"/>
        <v>#VALUE!</v>
      </c>
      <c r="H943" s="3" t="e">
        <f t="shared" si="34"/>
        <v>#VALUE!</v>
      </c>
      <c r="I943" s="1">
        <v>1</v>
      </c>
    </row>
    <row r="944" spans="1:9" x14ac:dyDescent="0.25">
      <c r="A944" s="1" t="s">
        <v>14435</v>
      </c>
      <c r="B944" s="1" t="s">
        <v>2591</v>
      </c>
      <c r="C944" s="1" t="str">
        <f>IFERROR(VLOOKUP(B944,'SB1'!$A$2:$B$999999,2,FALSE),"")</f>
        <v>LIJA EN ROLLO DOBLE A #  80 X 1 MT</v>
      </c>
      <c r="D944" s="1" t="s">
        <v>14451</v>
      </c>
      <c r="E944" s="3">
        <f>IFERROR(VLOOKUP(B944,'DA1'!$B$2:$D$999999,3,FALSE),"")</f>
      </c>
      <c r="F944" s="1" t="str">
        <f>IFERROR(VLOOKUP(B944,'SB1'!$A$2:$C$999999,3,FALSE),"")</f>
        <v>503</v>
      </c>
      <c r="G944" s="3" t="e">
        <f t="shared" si="33"/>
        <v>#VALUE!</v>
      </c>
      <c r="H944" s="3" t="e">
        <f t="shared" si="34"/>
        <v>#VALUE!</v>
      </c>
      <c r="I944" s="1">
        <v>1</v>
      </c>
    </row>
    <row r="945" spans="1:9" x14ac:dyDescent="0.25">
      <c r="A945" s="1" t="s">
        <v>14435</v>
      </c>
      <c r="B945" s="1" t="s">
        <v>2593</v>
      </c>
      <c r="C945" s="1" t="str">
        <f>IFERROR(VLOOKUP(B945,'SB1'!$A$2:$B$999999,2,FALSE),"")</f>
        <v>IMPREGNANTE PARA MADERA PLAVICON LASUR BRILLANTE NOGAL X  1</v>
      </c>
      <c r="D945" s="1" t="s">
        <v>14458</v>
      </c>
      <c r="E945" s="3">
        <f>IFERROR(VLOOKUP(B945,'DA1'!$B$2:$D$999999,3,FALSE),"")</f>
      </c>
      <c r="F945" s="1" t="str">
        <f>IFERROR(VLOOKUP(B945,'SB1'!$A$2:$C$999999,3,FALSE),"")</f>
        <v>503</v>
      </c>
      <c r="G945" s="3" t="e">
        <f t="shared" si="33"/>
        <v>#VALUE!</v>
      </c>
      <c r="H945" s="3" t="e">
        <f t="shared" si="34"/>
        <v>#VALUE!</v>
      </c>
      <c r="I945" s="1">
        <v>1</v>
      </c>
    </row>
    <row r="946" spans="1:9" x14ac:dyDescent="0.25">
      <c r="A946" s="1" t="s">
        <v>14435</v>
      </c>
      <c r="B946" s="1" t="s">
        <v>2595</v>
      </c>
      <c r="C946" s="1" t="str">
        <f>IFERROR(VLOOKUP(B946,'SB1'!$A$2:$B$999999,2,FALSE),"")</f>
        <v>IMPREGNANTE PARA MADERA PLAVICON LASUR BRILLANTE NOGAL X  4</v>
      </c>
      <c r="D946" s="1" t="s">
        <v>14458</v>
      </c>
      <c r="E946" s="3">
        <f>IFERROR(VLOOKUP(B946,'DA1'!$B$2:$D$999999,3,FALSE),"")</f>
      </c>
      <c r="F946" s="1" t="str">
        <f>IFERROR(VLOOKUP(B946,'SB1'!$A$2:$C$999999,3,FALSE),"")</f>
        <v>503</v>
      </c>
      <c r="G946" s="3" t="e">
        <f t="shared" si="33"/>
        <v>#VALUE!</v>
      </c>
      <c r="H946" s="3" t="e">
        <f t="shared" si="34"/>
        <v>#VALUE!</v>
      </c>
      <c r="I946" s="1">
        <v>1</v>
      </c>
    </row>
    <row r="947" spans="1:9" x14ac:dyDescent="0.25">
      <c r="A947" s="1" t="s">
        <v>14435</v>
      </c>
      <c r="B947" s="1" t="s">
        <v>2597</v>
      </c>
      <c r="C947" s="1" t="str">
        <f>IFERROR(VLOOKUP(B947,'SB1'!$A$2:$B$999999,2,FALSE),"")</f>
        <v>IMPREGNANTE PARA MADERA PLAVICON LASUR BRILLANTE NOGAL X 20</v>
      </c>
      <c r="D947" s="1" t="s">
        <v>14458</v>
      </c>
      <c r="E947" s="3">
        <f>IFERROR(VLOOKUP(B947,'DA1'!$B$2:$D$999999,3,FALSE),"")</f>
      </c>
      <c r="F947" s="1" t="str">
        <f>IFERROR(VLOOKUP(B947,'SB1'!$A$2:$C$999999,3,FALSE),"")</f>
        <v>503</v>
      </c>
      <c r="G947" s="3" t="e">
        <f t="shared" si="33"/>
        <v>#VALUE!</v>
      </c>
      <c r="H947" s="3" t="e">
        <f t="shared" si="34"/>
        <v>#VALUE!</v>
      </c>
      <c r="I947" s="1">
        <v>1</v>
      </c>
    </row>
    <row r="948" spans="1:9" x14ac:dyDescent="0.25">
      <c r="A948" s="1" t="s">
        <v>14435</v>
      </c>
      <c r="B948" s="1" t="s">
        <v>2599</v>
      </c>
      <c r="C948" s="1" t="str">
        <f>IFERROR(VLOOKUP(B948,'SB1'!$A$2:$B$999999,2,FALSE),"")</f>
        <v>IMPREGNANTE PARA MADERA PLAVICON LASUR BRILLANTE CRISTAL X  1</v>
      </c>
      <c r="D948" s="1" t="s">
        <v>14458</v>
      </c>
      <c r="E948" s="3">
        <f>IFERROR(VLOOKUP(B948,'DA1'!$B$2:$D$999999,3,FALSE),"")</f>
      </c>
      <c r="F948" s="1" t="str">
        <f>IFERROR(VLOOKUP(B948,'SB1'!$A$2:$C$999999,3,FALSE),"")</f>
        <v>503</v>
      </c>
      <c r="G948" s="3" t="e">
        <f t="shared" si="33"/>
        <v>#VALUE!</v>
      </c>
      <c r="H948" s="3" t="e">
        <f t="shared" si="34"/>
        <v>#VALUE!</v>
      </c>
      <c r="I948" s="1">
        <v>1</v>
      </c>
    </row>
    <row r="949" spans="1:9" x14ac:dyDescent="0.25">
      <c r="A949" s="1" t="s">
        <v>14435</v>
      </c>
      <c r="B949" s="1" t="s">
        <v>2601</v>
      </c>
      <c r="C949" s="1" t="str">
        <f>IFERROR(VLOOKUP(B949,'SB1'!$A$2:$B$999999,2,FALSE),"")</f>
        <v>IMPREGNANTE PARA MADERA PLAVICON LASUR BRILLANTE CRISTAL X  4</v>
      </c>
      <c r="D949" s="1" t="s">
        <v>14458</v>
      </c>
      <c r="E949" s="3">
        <f>IFERROR(VLOOKUP(B949,'DA1'!$B$2:$D$999999,3,FALSE),"")</f>
      </c>
      <c r="F949" s="1" t="str">
        <f>IFERROR(VLOOKUP(B949,'SB1'!$A$2:$C$999999,3,FALSE),"")</f>
        <v>503</v>
      </c>
      <c r="G949" s="3" t="e">
        <f t="shared" si="33"/>
        <v>#VALUE!</v>
      </c>
      <c r="H949" s="3" t="e">
        <f t="shared" si="34"/>
        <v>#VALUE!</v>
      </c>
      <c r="I949" s="1">
        <v>1</v>
      </c>
    </row>
    <row r="950" spans="1:9" x14ac:dyDescent="0.25">
      <c r="A950" s="1" t="s">
        <v>14435</v>
      </c>
      <c r="B950" s="1" t="s">
        <v>2603</v>
      </c>
      <c r="C950" s="1" t="str">
        <f>IFERROR(VLOOKUP(B950,'SB1'!$A$2:$B$999999,2,FALSE),"")</f>
        <v>IMPREGNANTE PARA MADERA PLAVICON LASUR BRILLANTE CRISTAL X 20</v>
      </c>
      <c r="D950" s="1" t="s">
        <v>14458</v>
      </c>
      <c r="E950" s="3">
        <f>IFERROR(VLOOKUP(B950,'DA1'!$B$2:$D$999999,3,FALSE),"")</f>
      </c>
      <c r="F950" s="1" t="str">
        <f>IFERROR(VLOOKUP(B950,'SB1'!$A$2:$C$999999,3,FALSE),"")</f>
        <v>503</v>
      </c>
      <c r="G950" s="3" t="e">
        <f t="shared" si="33"/>
        <v>#VALUE!</v>
      </c>
      <c r="H950" s="3" t="e">
        <f t="shared" si="34"/>
        <v>#VALUE!</v>
      </c>
      <c r="I950" s="1">
        <v>1</v>
      </c>
    </row>
    <row r="951" spans="1:9" x14ac:dyDescent="0.25">
      <c r="A951" s="1" t="s">
        <v>14435</v>
      </c>
      <c r="B951" s="1" t="s">
        <v>2607</v>
      </c>
      <c r="C951" s="1" t="str">
        <f>IFERROR(VLOOKUP(B951,'SB1'!$A$2:$B$999999,2,FALSE),"")</f>
        <v>IMPREGNANTE PARA MADERA PLAVICON LASUR SATINADO ROBLE X  1</v>
      </c>
      <c r="D951" s="1" t="s">
        <v>14458</v>
      </c>
      <c r="E951" s="3">
        <f>IFERROR(VLOOKUP(B951,'DA1'!$B$2:$D$999999,3,FALSE),"")</f>
      </c>
      <c r="F951" s="1" t="str">
        <f>IFERROR(VLOOKUP(B951,'SB1'!$A$2:$C$999999,3,FALSE),"")</f>
        <v>503</v>
      </c>
      <c r="G951" s="3" t="e">
        <f t="shared" si="33"/>
        <v>#VALUE!</v>
      </c>
      <c r="H951" s="3" t="e">
        <f t="shared" si="34"/>
        <v>#VALUE!</v>
      </c>
      <c r="I951" s="1">
        <v>1</v>
      </c>
    </row>
    <row r="952" spans="1:9" x14ac:dyDescent="0.25">
      <c r="A952" s="1" t="s">
        <v>14435</v>
      </c>
      <c r="B952" s="1" t="s">
        <v>2613</v>
      </c>
      <c r="C952" s="1" t="str">
        <f>IFERROR(VLOOKUP(B952,'SB1'!$A$2:$B$999999,2,FALSE),"")</f>
        <v>IMPREGNANTE PARA MADERA PLAVICON LASUR SATINADO ROBLE X  4</v>
      </c>
      <c r="D952" s="1" t="s">
        <v>14458</v>
      </c>
      <c r="E952" s="3">
        <f>IFERROR(VLOOKUP(B952,'DA1'!$B$2:$D$999999,3,FALSE),"")</f>
      </c>
      <c r="F952" s="1" t="str">
        <f>IFERROR(VLOOKUP(B952,'SB1'!$A$2:$C$999999,3,FALSE),"")</f>
        <v>503</v>
      </c>
      <c r="G952" s="3" t="e">
        <f t="shared" si="33"/>
        <v>#VALUE!</v>
      </c>
      <c r="H952" s="3" t="e">
        <f t="shared" si="34"/>
        <v>#VALUE!</v>
      </c>
      <c r="I952" s="1">
        <v>1</v>
      </c>
    </row>
    <row r="953" spans="1:9" x14ac:dyDescent="0.25">
      <c r="A953" s="1" t="s">
        <v>14435</v>
      </c>
      <c r="B953" s="1" t="s">
        <v>2633</v>
      </c>
      <c r="C953" s="1" t="str">
        <f>IFERROR(VLOOKUP(B953,'SB1'!$A$2:$B$999999,2,FALSE),"")</f>
        <v>LATEX INTERIOR ALBALATEX MATE BASE T X 17,400</v>
      </c>
      <c r="D953" s="1" t="s">
        <v>14480</v>
      </c>
      <c r="E953" s="3">
        <f>IFERROR(VLOOKUP(B953,'DA1'!$B$2:$D$999999,3,FALSE),"")</f>
      </c>
      <c r="F953" s="1" t="str">
        <f>IFERROR(VLOOKUP(B953,'SB1'!$A$2:$C$999999,3,FALSE),"")</f>
        <v>503</v>
      </c>
      <c r="G953" s="3" t="e">
        <f t="shared" si="33"/>
        <v>#VALUE!</v>
      </c>
      <c r="H953" s="3" t="e">
        <f t="shared" si="34"/>
        <v>#VALUE!</v>
      </c>
      <c r="I953" s="1">
        <v>1</v>
      </c>
    </row>
    <row r="954" spans="1:9" x14ac:dyDescent="0.25">
      <c r="A954" s="1" t="s">
        <v>14435</v>
      </c>
      <c r="B954" s="1" t="s">
        <v>2635</v>
      </c>
      <c r="C954" s="1" t="str">
        <f>IFERROR(VLOOKUP(B954,'SB1'!$A$2:$B$999999,2,FALSE),"")</f>
        <v>LATEX EXTERIOR DURALBA MATE BASE T X 17,400</v>
      </c>
      <c r="D954" s="1" t="s">
        <v>14480</v>
      </c>
      <c r="E954" s="3">
        <f>IFERROR(VLOOKUP(B954,'DA1'!$B$2:$D$999999,3,FALSE),"")</f>
      </c>
      <c r="F954" s="1" t="str">
        <f>IFERROR(VLOOKUP(B954,'SB1'!$A$2:$C$999999,3,FALSE),"")</f>
        <v>503</v>
      </c>
      <c r="G954" s="3" t="e">
        <f t="shared" si="33"/>
        <v>#VALUE!</v>
      </c>
      <c r="H954" s="3" t="e">
        <f t="shared" si="34"/>
        <v>#VALUE!</v>
      </c>
      <c r="I954" s="1">
        <v>1</v>
      </c>
    </row>
    <row r="955" spans="1:9" x14ac:dyDescent="0.25">
      <c r="A955" s="1" t="s">
        <v>14435</v>
      </c>
      <c r="B955" s="1" t="s">
        <v>2637</v>
      </c>
      <c r="C955" s="1" t="str">
        <f>IFERROR(VLOOKUP(B955,'SB1'!$A$2:$B$999999,2,FALSE),"")</f>
        <v>PEGAMENTO PARA ZAPATILLAS ECCOLE X 0,09</v>
      </c>
      <c r="D955" s="1" t="s">
        <v>14459</v>
      </c>
      <c r="E955" s="3">
        <f>IFERROR(VLOOKUP(B955,'DA1'!$B$2:$D$999999,3,FALSE),"")</f>
      </c>
      <c r="F955" s="1" t="str">
        <f>IFERROR(VLOOKUP(B955,'SB1'!$A$2:$C$999999,3,FALSE),"")</f>
        <v>503</v>
      </c>
      <c r="G955" s="3" t="e">
        <f t="shared" si="33"/>
        <v>#VALUE!</v>
      </c>
      <c r="H955" s="3" t="e">
        <f t="shared" si="34"/>
        <v>#VALUE!</v>
      </c>
      <c r="I955" s="1">
        <v>1</v>
      </c>
    </row>
    <row r="956" spans="1:9" x14ac:dyDescent="0.25">
      <c r="A956" s="1" t="s">
        <v>14435</v>
      </c>
      <c r="B956" s="1" t="s">
        <v>2639</v>
      </c>
      <c r="C956" s="1" t="str">
        <f>IFERROR(VLOOKUP(B956,'SB1'!$A$2:$B$999999,2,FALSE),"")</f>
        <v>RODILLO FUCO SATINADO BLANCO 17/50</v>
      </c>
      <c r="D956" s="1" t="s">
        <v>14483</v>
      </c>
      <c r="E956" s="3">
        <f>IFERROR(VLOOKUP(B956,'DA1'!$B$2:$D$999999,3,FALSE),"")</f>
      </c>
      <c r="F956" s="1" t="str">
        <f>IFERROR(VLOOKUP(B956,'SB1'!$A$2:$C$999999,3,FALSE),"")</f>
        <v>503</v>
      </c>
      <c r="G956" s="3" t="e">
        <f t="shared" si="33"/>
        <v>#VALUE!</v>
      </c>
      <c r="H956" s="3" t="e">
        <f t="shared" si="34"/>
        <v>#VALUE!</v>
      </c>
      <c r="I956" s="1">
        <v>1</v>
      </c>
    </row>
    <row r="957" spans="1:9" x14ac:dyDescent="0.25">
      <c r="A957" s="1" t="s">
        <v>14435</v>
      </c>
      <c r="B957" s="1" t="s">
        <v>2641</v>
      </c>
      <c r="C957" s="1" t="str">
        <f>IFERROR(VLOOKUP(B957,'SB1'!$A$2:$B$999999,2,FALSE),"")</f>
        <v>RODILLO FUCO SATINADO BLANCO 22/50</v>
      </c>
      <c r="D957" s="1" t="s">
        <v>14483</v>
      </c>
      <c r="E957" s="3">
        <f>IFERROR(VLOOKUP(B957,'DA1'!$B$2:$D$999999,3,FALSE),"")</f>
      </c>
      <c r="F957" s="1" t="str">
        <f>IFERROR(VLOOKUP(B957,'SB1'!$A$2:$C$999999,3,FALSE),"")</f>
        <v>503</v>
      </c>
      <c r="G957" s="3" t="e">
        <f t="shared" si="33"/>
        <v>#VALUE!</v>
      </c>
      <c r="H957" s="3" t="e">
        <f t="shared" si="34"/>
        <v>#VALUE!</v>
      </c>
      <c r="I957" s="1">
        <v>1</v>
      </c>
    </row>
    <row r="958" spans="1:9" x14ac:dyDescent="0.25">
      <c r="A958" s="1" t="s">
        <v>14435</v>
      </c>
      <c r="B958" s="1" t="s">
        <v>2643</v>
      </c>
      <c r="C958" s="1" t="str">
        <f>IFERROR(VLOOKUP(B958,'SB1'!$A$2:$B$999999,2,FALSE),"")</f>
        <v>RODILLO FUCO BLANCO 10/50</v>
      </c>
      <c r="D958" s="1" t="s">
        <v>14483</v>
      </c>
      <c r="E958" s="3">
        <f>IFERROR(VLOOKUP(B958,'DA1'!$B$2:$D$999999,3,FALSE),"")</f>
      </c>
      <c r="F958" s="1" t="str">
        <f>IFERROR(VLOOKUP(B958,'SB1'!$A$2:$C$999999,3,FALSE),"")</f>
        <v>503</v>
      </c>
      <c r="G958" s="3" t="e">
        <f t="shared" si="33"/>
        <v>#VALUE!</v>
      </c>
      <c r="H958" s="3" t="e">
        <f t="shared" si="34"/>
        <v>#VALUE!</v>
      </c>
      <c r="I958" s="1">
        <v>1</v>
      </c>
    </row>
    <row r="959" spans="1:9" x14ac:dyDescent="0.25">
      <c r="A959" s="1" t="s">
        <v>14435</v>
      </c>
      <c r="B959" s="1" t="s">
        <v>2645</v>
      </c>
      <c r="C959" s="1" t="str">
        <f>IFERROR(VLOOKUP(B959,'SB1'!$A$2:$B$999999,2,FALSE),"")</f>
        <v>RODILLO FUCO BLANCO 17/50</v>
      </c>
      <c r="D959" s="1" t="s">
        <v>14483</v>
      </c>
      <c r="E959" s="3">
        <f>IFERROR(VLOOKUP(B959,'DA1'!$B$2:$D$999999,3,FALSE),"")</f>
      </c>
      <c r="F959" s="1" t="str">
        <f>IFERROR(VLOOKUP(B959,'SB1'!$A$2:$C$999999,3,FALSE),"")</f>
        <v>503</v>
      </c>
      <c r="G959" s="3" t="e">
        <f t="shared" si="33"/>
        <v>#VALUE!</v>
      </c>
      <c r="H959" s="3" t="e">
        <f t="shared" si="34"/>
        <v>#VALUE!</v>
      </c>
      <c r="I959" s="1">
        <v>1</v>
      </c>
    </row>
    <row r="960" spans="1:9" x14ac:dyDescent="0.25">
      <c r="A960" s="1" t="s">
        <v>14435</v>
      </c>
      <c r="B960" s="1" t="s">
        <v>2647</v>
      </c>
      <c r="C960" s="1" t="str">
        <f>IFERROR(VLOOKUP(B960,'SB1'!$A$2:$B$999999,2,FALSE),"")</f>
        <v>RODILLO FUCO BLANCO 22/50</v>
      </c>
      <c r="D960" s="1" t="s">
        <v>14483</v>
      </c>
      <c r="E960" s="3">
        <f>IFERROR(VLOOKUP(B960,'DA1'!$B$2:$D$999999,3,FALSE),"")</f>
      </c>
      <c r="F960" s="1" t="str">
        <f>IFERROR(VLOOKUP(B960,'SB1'!$A$2:$C$999999,3,FALSE),"")</f>
        <v>503</v>
      </c>
      <c r="G960" s="3" t="e">
        <f t="shared" si="33"/>
        <v>#VALUE!</v>
      </c>
      <c r="H960" s="3" t="e">
        <f t="shared" si="34"/>
        <v>#VALUE!</v>
      </c>
      <c r="I960" s="1">
        <v>1</v>
      </c>
    </row>
    <row r="961" spans="1:9" x14ac:dyDescent="0.25">
      <c r="A961" s="1" t="s">
        <v>14435</v>
      </c>
      <c r="B961" s="1" t="s">
        <v>2649</v>
      </c>
      <c r="C961" s="1" t="str">
        <f>IFERROR(VLOOKUP(B961,'SB1'!$A$2:$B$999999,2,FALSE),"")</f>
        <v>RODILLO FUCO ORO 10/50</v>
      </c>
      <c r="D961" s="1" t="s">
        <v>14483</v>
      </c>
      <c r="E961" s="3">
        <f>IFERROR(VLOOKUP(B961,'DA1'!$B$2:$D$999999,3,FALSE),"")</f>
      </c>
      <c r="F961" s="1" t="str">
        <f>IFERROR(VLOOKUP(B961,'SB1'!$A$2:$C$999999,3,FALSE),"")</f>
        <v>503</v>
      </c>
      <c r="G961" s="3" t="e">
        <f t="shared" si="33"/>
        <v>#VALUE!</v>
      </c>
      <c r="H961" s="3" t="e">
        <f t="shared" si="34"/>
        <v>#VALUE!</v>
      </c>
      <c r="I961" s="1">
        <v>1</v>
      </c>
    </row>
    <row r="962" spans="1:9" x14ac:dyDescent="0.25">
      <c r="A962" s="1" t="s">
        <v>14435</v>
      </c>
      <c r="B962" s="1" t="s">
        <v>2651</v>
      </c>
      <c r="C962" s="1" t="str">
        <f>IFERROR(VLOOKUP(B962,'SB1'!$A$2:$B$999999,2,FALSE),"")</f>
        <v>RODILLO FUCO ORO 17/50</v>
      </c>
      <c r="D962" s="1" t="s">
        <v>14483</v>
      </c>
      <c r="E962" s="3">
        <f>IFERROR(VLOOKUP(B962,'DA1'!$B$2:$D$999999,3,FALSE),"")</f>
      </c>
      <c r="F962" s="1" t="str">
        <f>IFERROR(VLOOKUP(B962,'SB1'!$A$2:$C$999999,3,FALSE),"")</f>
        <v>503</v>
      </c>
      <c r="G962" s="3" t="e">
        <f t="shared" si="33"/>
        <v>#VALUE!</v>
      </c>
      <c r="H962" s="3" t="e">
        <f t="shared" si="34"/>
        <v>#VALUE!</v>
      </c>
      <c r="I962" s="1">
        <v>1</v>
      </c>
    </row>
    <row r="963" spans="1:9" x14ac:dyDescent="0.25">
      <c r="A963" s="1" t="s">
        <v>14435</v>
      </c>
      <c r="B963" s="1" t="s">
        <v>2653</v>
      </c>
      <c r="C963" s="1" t="str">
        <f>IFERROR(VLOOKUP(B963,'SB1'!$A$2:$B$999999,2,FALSE),"")</f>
        <v>RODILLO FUCO ORO 22/50</v>
      </c>
      <c r="D963" s="1" t="s">
        <v>14483</v>
      </c>
      <c r="E963" s="3">
        <f>IFERROR(VLOOKUP(B963,'DA1'!$B$2:$D$999999,3,FALSE),"")</f>
      </c>
      <c r="F963" s="1" t="str">
        <f>IFERROR(VLOOKUP(B963,'SB1'!$A$2:$C$999999,3,FALSE),"")</f>
        <v>503</v>
      </c>
      <c r="G963" s="3" t="e">
        <f t="shared" ref="G963:G1026" si="35">E963*1.04</f>
        <v>#VALUE!</v>
      </c>
      <c r="H963" s="3" t="e">
        <f t="shared" si="34"/>
        <v>#VALUE!</v>
      </c>
      <c r="I963" s="1">
        <v>1</v>
      </c>
    </row>
    <row r="964" spans="1:9" x14ac:dyDescent="0.25">
      <c r="A964" s="1" t="s">
        <v>14435</v>
      </c>
      <c r="B964" s="1" t="s">
        <v>2663</v>
      </c>
      <c r="C964" s="1" t="str">
        <f>IFERROR(VLOOKUP(B964,'SB1'!$A$2:$B$999999,2,FALSE),"")</f>
        <v>IMPREGNANTE PARA MADERA PLAVICON LASUR SATINADO NATURAL X  1</v>
      </c>
      <c r="D964" s="1" t="s">
        <v>14458</v>
      </c>
      <c r="E964" s="3">
        <f>IFERROR(VLOOKUP(B964,'DA1'!$B$2:$D$999999,3,FALSE),"")</f>
      </c>
      <c r="F964" s="1" t="str">
        <f>IFERROR(VLOOKUP(B964,'SB1'!$A$2:$C$999999,3,FALSE),"")</f>
        <v>503</v>
      </c>
      <c r="G964" s="3" t="e">
        <f t="shared" si="35"/>
        <v>#VALUE!</v>
      </c>
      <c r="H964" s="3" t="e">
        <f t="shared" si="34"/>
        <v>#VALUE!</v>
      </c>
      <c r="I964" s="1">
        <v>1</v>
      </c>
    </row>
    <row r="965" spans="1:9" x14ac:dyDescent="0.25">
      <c r="A965" s="1" t="s">
        <v>14435</v>
      </c>
      <c r="B965" s="1" t="s">
        <v>2665</v>
      </c>
      <c r="C965" s="1" t="str">
        <f>IFERROR(VLOOKUP(B965,'SB1'!$A$2:$B$999999,2,FALSE),"")</f>
        <v>IMPREGNANTE PARA MADERA PLAVICON LASUR SATINADO NATURAL X  4</v>
      </c>
      <c r="D965" s="1" t="s">
        <v>14458</v>
      </c>
      <c r="E965" s="3">
        <f>IFERROR(VLOOKUP(B965,'DA1'!$B$2:$D$999999,3,FALSE),"")</f>
      </c>
      <c r="F965" s="1" t="str">
        <f>IFERROR(VLOOKUP(B965,'SB1'!$A$2:$C$999999,3,FALSE),"")</f>
        <v>503</v>
      </c>
      <c r="G965" s="3" t="e">
        <f t="shared" si="35"/>
        <v>#VALUE!</v>
      </c>
      <c r="H965" s="3" t="e">
        <f t="shared" si="34"/>
        <v>#VALUE!</v>
      </c>
      <c r="I965" s="1">
        <v>1</v>
      </c>
    </row>
    <row r="966" spans="1:9" x14ac:dyDescent="0.25">
      <c r="A966" s="1" t="s">
        <v>14435</v>
      </c>
      <c r="B966" s="1" t="s">
        <v>2667</v>
      </c>
      <c r="C966" s="1" t="str">
        <f>IFERROR(VLOOKUP(B966,'SB1'!$A$2:$B$999999,2,FALSE),"")</f>
        <v>IMPREGNANTE PARA MADERA PLAVICON LASUR SATINADO NATURAL X 20</v>
      </c>
      <c r="D966" s="1" t="s">
        <v>14458</v>
      </c>
      <c r="E966" s="3">
        <f>IFERROR(VLOOKUP(B966,'DA1'!$B$2:$D$999999,3,FALSE),"")</f>
      </c>
      <c r="F966" s="1" t="str">
        <f>IFERROR(VLOOKUP(B966,'SB1'!$A$2:$C$999999,3,FALSE),"")</f>
        <v>503</v>
      </c>
      <c r="G966" s="3" t="e">
        <f t="shared" si="35"/>
        <v>#VALUE!</v>
      </c>
      <c r="H966" s="3" t="e">
        <f t="shared" si="34"/>
        <v>#VALUE!</v>
      </c>
      <c r="I966" s="1">
        <v>1</v>
      </c>
    </row>
    <row r="967" spans="1:9" x14ac:dyDescent="0.25">
      <c r="A967" s="1" t="s">
        <v>14435</v>
      </c>
      <c r="B967" s="1" t="s">
        <v>2669</v>
      </c>
      <c r="C967" s="1" t="str">
        <f>IFERROR(VLOOKUP(B967,'SB1'!$A$2:$B$999999,2,FALSE),"")</f>
        <v>IMPREGNANTE PARA MADERA PLAVICON LASUR SATINADO CEDRO X  1</v>
      </c>
      <c r="D967" s="1" t="s">
        <v>14458</v>
      </c>
      <c r="E967" s="3">
        <f>IFERROR(VLOOKUP(B967,'DA1'!$B$2:$D$999999,3,FALSE),"")</f>
      </c>
      <c r="F967" s="1" t="str">
        <f>IFERROR(VLOOKUP(B967,'SB1'!$A$2:$C$999999,3,FALSE),"")</f>
        <v>503</v>
      </c>
      <c r="G967" s="3" t="e">
        <f t="shared" si="35"/>
        <v>#VALUE!</v>
      </c>
      <c r="H967" s="3" t="e">
        <f t="shared" si="34"/>
        <v>#VALUE!</v>
      </c>
      <c r="I967" s="1">
        <v>1</v>
      </c>
    </row>
    <row r="968" spans="1:9" x14ac:dyDescent="0.25">
      <c r="A968" s="1" t="s">
        <v>14435</v>
      </c>
      <c r="B968" s="1" t="s">
        <v>2671</v>
      </c>
      <c r="C968" s="1" t="str">
        <f>IFERROR(VLOOKUP(B968,'SB1'!$A$2:$B$999999,2,FALSE),"")</f>
        <v>IMPREGNANTE PARA MADERA PLAVICON LASUR SATINADO CEDRO X  4</v>
      </c>
      <c r="D968" s="1" t="s">
        <v>14458</v>
      </c>
      <c r="E968" s="3">
        <f>IFERROR(VLOOKUP(B968,'DA1'!$B$2:$D$999999,3,FALSE),"")</f>
      </c>
      <c r="F968" s="1" t="str">
        <f>IFERROR(VLOOKUP(B968,'SB1'!$A$2:$C$999999,3,FALSE),"")</f>
        <v>503</v>
      </c>
      <c r="G968" s="3" t="e">
        <f t="shared" si="35"/>
        <v>#VALUE!</v>
      </c>
      <c r="H968" s="3" t="e">
        <f t="shared" si="34"/>
        <v>#VALUE!</v>
      </c>
      <c r="I968" s="1">
        <v>1</v>
      </c>
    </row>
    <row r="969" spans="1:9" x14ac:dyDescent="0.25">
      <c r="A969" s="1" t="s">
        <v>14435</v>
      </c>
      <c r="B969" s="1" t="s">
        <v>2673</v>
      </c>
      <c r="C969" s="1" t="str">
        <f>IFERROR(VLOOKUP(B969,'SB1'!$A$2:$B$999999,2,FALSE),"")</f>
        <v>IMPREGNANTE PARA MADERA PLAVICON LASUR SATINADO CEDRO X 20</v>
      </c>
      <c r="D969" s="1" t="s">
        <v>14458</v>
      </c>
      <c r="E969" s="3">
        <f>IFERROR(VLOOKUP(B969,'DA1'!$B$2:$D$999999,3,FALSE),"")</f>
      </c>
      <c r="F969" s="1" t="str">
        <f>IFERROR(VLOOKUP(B969,'SB1'!$A$2:$C$999999,3,FALSE),"")</f>
        <v>503</v>
      </c>
      <c r="G969" s="3" t="e">
        <f t="shared" si="35"/>
        <v>#VALUE!</v>
      </c>
      <c r="H969" s="3" t="e">
        <f t="shared" si="34"/>
        <v>#VALUE!</v>
      </c>
      <c r="I969" s="1">
        <v>1</v>
      </c>
    </row>
    <row r="970" spans="1:9" x14ac:dyDescent="0.25">
      <c r="A970" s="1" t="s">
        <v>14435</v>
      </c>
      <c r="B970" s="1" t="s">
        <v>2675</v>
      </c>
      <c r="C970" s="1" t="str">
        <f>IFERROR(VLOOKUP(B970,'SB1'!$A$2:$B$999999,2,FALSE),"")</f>
        <v>LATEX INTERIOR TERSUAVE LAVABLE MATE BLANCO X  1</v>
      </c>
      <c r="D970" s="1" t="s">
        <v>14437</v>
      </c>
      <c r="E970" s="3">
        <f>IFERROR(VLOOKUP(B970,'DA1'!$B$2:$D$999999,3,FALSE),"")</f>
      </c>
      <c r="F970" s="1" t="str">
        <f>IFERROR(VLOOKUP(B970,'SB1'!$A$2:$C$999999,3,FALSE),"")</f>
        <v>503</v>
      </c>
      <c r="G970" s="3" t="e">
        <f t="shared" si="35"/>
        <v>#VALUE!</v>
      </c>
      <c r="H970" s="3" t="e">
        <f t="shared" si="34"/>
        <v>#VALUE!</v>
      </c>
      <c r="I970" s="1">
        <v>1</v>
      </c>
    </row>
    <row r="971" spans="1:9" x14ac:dyDescent="0.25">
      <c r="A971" s="1" t="s">
        <v>14435</v>
      </c>
      <c r="B971" s="1" t="s">
        <v>2677</v>
      </c>
      <c r="C971" s="1" t="str">
        <f>IFERROR(VLOOKUP(B971,'SB1'!$A$2:$B$999999,2,FALSE),"")</f>
        <v>LATEX INTERIOR TERSUAVE LAVABLE MATE BLANCO X  4</v>
      </c>
      <c r="D971" s="1" t="s">
        <v>14437</v>
      </c>
      <c r="E971" s="3">
        <f>IFERROR(VLOOKUP(B971,'DA1'!$B$2:$D$999999,3,FALSE),"")</f>
      </c>
      <c r="F971" s="1" t="str">
        <f>IFERROR(VLOOKUP(B971,'SB1'!$A$2:$C$999999,3,FALSE),"")</f>
        <v>503</v>
      </c>
      <c r="G971" s="3" t="e">
        <f t="shared" si="35"/>
        <v>#VALUE!</v>
      </c>
      <c r="H971" s="3" t="e">
        <f t="shared" si="34"/>
        <v>#VALUE!</v>
      </c>
      <c r="I971" s="1">
        <v>1</v>
      </c>
    </row>
    <row r="972" spans="1:9" x14ac:dyDescent="0.25">
      <c r="A972" s="1" t="s">
        <v>14435</v>
      </c>
      <c r="B972" s="1" t="s">
        <v>2679</v>
      </c>
      <c r="C972" s="1" t="str">
        <f>IFERROR(VLOOKUP(B972,'SB1'!$A$2:$B$999999,2,FALSE),"")</f>
        <v>LATEX INTERIOR TERSUAVE LAVABLE MATE BLANCO X 10</v>
      </c>
      <c r="D972" s="1" t="s">
        <v>14437</v>
      </c>
      <c r="E972" s="3">
        <f>IFERROR(VLOOKUP(B972,'DA1'!$B$2:$D$999999,3,FALSE),"")</f>
      </c>
      <c r="F972" s="1" t="str">
        <f>IFERROR(VLOOKUP(B972,'SB1'!$A$2:$C$999999,3,FALSE),"")</f>
        <v>503</v>
      </c>
      <c r="G972" s="3" t="e">
        <f t="shared" si="35"/>
        <v>#VALUE!</v>
      </c>
      <c r="H972" s="3" t="e">
        <f t="shared" si="34"/>
        <v>#VALUE!</v>
      </c>
      <c r="I972" s="1">
        <v>1</v>
      </c>
    </row>
    <row r="973" spans="1:9" x14ac:dyDescent="0.25">
      <c r="A973" s="1" t="s">
        <v>14435</v>
      </c>
      <c r="B973" s="1" t="s">
        <v>2681</v>
      </c>
      <c r="C973" s="1" t="str">
        <f>IFERROR(VLOOKUP(B973,'SB1'!$A$2:$B$999999,2,FALSE),"")</f>
        <v>LATEX INTERIOR TERSUAVE LAVABLE MATE BLANCO X 20</v>
      </c>
      <c r="D973" s="1" t="s">
        <v>14437</v>
      </c>
      <c r="E973" s="3">
        <f>IFERROR(VLOOKUP(B973,'DA1'!$B$2:$D$999999,3,FALSE),"")</f>
      </c>
      <c r="F973" s="1" t="str">
        <f>IFERROR(VLOOKUP(B973,'SB1'!$A$2:$C$999999,3,FALSE),"")</f>
        <v>503</v>
      </c>
      <c r="G973" s="3" t="e">
        <f t="shared" si="35"/>
        <v>#VALUE!</v>
      </c>
      <c r="H973" s="3" t="e">
        <f t="shared" si="34"/>
        <v>#VALUE!</v>
      </c>
      <c r="I973" s="1">
        <v>1</v>
      </c>
    </row>
    <row r="974" spans="1:9" x14ac:dyDescent="0.25">
      <c r="A974" s="1" t="s">
        <v>14435</v>
      </c>
      <c r="B974" s="1" t="s">
        <v>2683</v>
      </c>
      <c r="C974" s="1" t="str">
        <f>IFERROR(VLOOKUP(B974,'SB1'!$A$2:$B$999999,2,FALSE),"")</f>
        <v>LATEX INTERIOR TERSINOL BLANCO X  4</v>
      </c>
      <c r="D974" s="1" t="s">
        <v>14437</v>
      </c>
      <c r="E974" s="3">
        <f>IFERROR(VLOOKUP(B974,'DA1'!$B$2:$D$999999,3,FALSE),"")</f>
      </c>
      <c r="F974" s="1" t="str">
        <f>IFERROR(VLOOKUP(B974,'SB1'!$A$2:$C$999999,3,FALSE),"")</f>
        <v>503</v>
      </c>
      <c r="G974" s="3" t="e">
        <f t="shared" si="35"/>
        <v>#VALUE!</v>
      </c>
      <c r="H974" s="3" t="e">
        <f t="shared" si="34"/>
        <v>#VALUE!</v>
      </c>
      <c r="I974" s="1">
        <v>1</v>
      </c>
    </row>
    <row r="975" spans="1:9" x14ac:dyDescent="0.25">
      <c r="A975" s="1" t="s">
        <v>14435</v>
      </c>
      <c r="B975" s="1" t="s">
        <v>2685</v>
      </c>
      <c r="C975" s="1" t="str">
        <f>IFERROR(VLOOKUP(B975,'SB1'!$A$2:$B$999999,2,FALSE),"")</f>
        <v>LATEX INTERIOR TERSINOL BLANCO X 10</v>
      </c>
      <c r="D975" s="1" t="s">
        <v>14437</v>
      </c>
      <c r="E975" s="3">
        <f>IFERROR(VLOOKUP(B975,'DA1'!$B$2:$D$999999,3,FALSE),"")</f>
      </c>
      <c r="F975" s="1" t="str">
        <f>IFERROR(VLOOKUP(B975,'SB1'!$A$2:$C$999999,3,FALSE),"")</f>
        <v>503</v>
      </c>
      <c r="G975" s="3" t="e">
        <f t="shared" si="35"/>
        <v>#VALUE!</v>
      </c>
      <c r="H975" s="3" t="e">
        <f t="shared" si="34"/>
        <v>#VALUE!</v>
      </c>
      <c r="I975" s="1">
        <v>1</v>
      </c>
    </row>
    <row r="976" spans="1:9" x14ac:dyDescent="0.25">
      <c r="A976" s="1" t="s">
        <v>14435</v>
      </c>
      <c r="B976" s="1" t="s">
        <v>2687</v>
      </c>
      <c r="C976" s="1" t="str">
        <f>IFERROR(VLOOKUP(B976,'SB1'!$A$2:$B$999999,2,FALSE),"")</f>
        <v>LATEX INTERIOR TERSINOL BLANCO X 20</v>
      </c>
      <c r="D976" s="1" t="s">
        <v>14437</v>
      </c>
      <c r="E976" s="3">
        <f>IFERROR(VLOOKUP(B976,'DA1'!$B$2:$D$999999,3,FALSE),"")</f>
      </c>
      <c r="F976" s="1" t="str">
        <f>IFERROR(VLOOKUP(B976,'SB1'!$A$2:$C$999999,3,FALSE),"")</f>
        <v>503</v>
      </c>
      <c r="G976" s="3" t="e">
        <f t="shared" si="35"/>
        <v>#VALUE!</v>
      </c>
      <c r="H976" s="3" t="e">
        <f t="shared" si="34"/>
        <v>#VALUE!</v>
      </c>
      <c r="I976" s="1">
        <v>1</v>
      </c>
    </row>
    <row r="977" spans="1:9" x14ac:dyDescent="0.25">
      <c r="A977" s="1" t="s">
        <v>14435</v>
      </c>
      <c r="B977" s="1" t="s">
        <v>2689</v>
      </c>
      <c r="C977" s="1" t="str">
        <f>IFERROR(VLOOKUP(B977,'SB1'!$A$2:$B$999999,2,FALSE),"")</f>
        <v>LATEX PARA CIELORRASOS TERSEN MATE BLANCO X  1</v>
      </c>
      <c r="D977" s="1" t="s">
        <v>14437</v>
      </c>
      <c r="E977" s="3">
        <f>IFERROR(VLOOKUP(B977,'DA1'!$B$2:$D$999999,3,FALSE),"")</f>
      </c>
      <c r="F977" s="1" t="str">
        <f>IFERROR(VLOOKUP(B977,'SB1'!$A$2:$C$999999,3,FALSE),"")</f>
        <v>503</v>
      </c>
      <c r="G977" s="3" t="e">
        <f t="shared" si="35"/>
        <v>#VALUE!</v>
      </c>
      <c r="H977" s="3" t="e">
        <f t="shared" si="34"/>
        <v>#VALUE!</v>
      </c>
      <c r="I977" s="1">
        <v>1</v>
      </c>
    </row>
    <row r="978" spans="1:9" x14ac:dyDescent="0.25">
      <c r="A978" s="1" t="s">
        <v>14435</v>
      </c>
      <c r="B978" s="1" t="s">
        <v>2691</v>
      </c>
      <c r="C978" s="1" t="str">
        <f>IFERROR(VLOOKUP(B978,'SB1'!$A$2:$B$999999,2,FALSE),"")</f>
        <v>LATEX PARA CIELORRASOS TERSEN MATE BLANCO X  4</v>
      </c>
      <c r="D978" s="1" t="s">
        <v>14437</v>
      </c>
      <c r="E978" s="3">
        <f>IFERROR(VLOOKUP(B978,'DA1'!$B$2:$D$999999,3,FALSE),"")</f>
      </c>
      <c r="F978" s="1" t="str">
        <f>IFERROR(VLOOKUP(B978,'SB1'!$A$2:$C$999999,3,FALSE),"")</f>
        <v>503</v>
      </c>
      <c r="G978" s="3" t="e">
        <f t="shared" si="35"/>
        <v>#VALUE!</v>
      </c>
      <c r="H978" s="3" t="e">
        <f t="shared" si="34"/>
        <v>#VALUE!</v>
      </c>
      <c r="I978" s="1">
        <v>1</v>
      </c>
    </row>
    <row r="979" spans="1:9" x14ac:dyDescent="0.25">
      <c r="A979" s="1" t="s">
        <v>14435</v>
      </c>
      <c r="B979" s="1" t="s">
        <v>2693</v>
      </c>
      <c r="C979" s="1" t="str">
        <f>IFERROR(VLOOKUP(B979,'SB1'!$A$2:$B$999999,2,FALSE),"")</f>
        <v>LATEX PARA CIELORRASOS TERSEN MATE BLANCO X 10</v>
      </c>
      <c r="D979" s="1" t="s">
        <v>14437</v>
      </c>
      <c r="E979" s="3">
        <f>IFERROR(VLOOKUP(B979,'DA1'!$B$2:$D$999999,3,FALSE),"")</f>
      </c>
      <c r="F979" s="1" t="str">
        <f>IFERROR(VLOOKUP(B979,'SB1'!$A$2:$C$999999,3,FALSE),"")</f>
        <v>503</v>
      </c>
      <c r="G979" s="3" t="e">
        <f t="shared" si="35"/>
        <v>#VALUE!</v>
      </c>
      <c r="H979" s="3" t="e">
        <f t="shared" si="34"/>
        <v>#VALUE!</v>
      </c>
      <c r="I979" s="1">
        <v>1</v>
      </c>
    </row>
    <row r="980" spans="1:9" x14ac:dyDescent="0.25">
      <c r="A980" s="1" t="s">
        <v>14435</v>
      </c>
      <c r="B980" s="1" t="s">
        <v>2695</v>
      </c>
      <c r="C980" s="1" t="str">
        <f>IFERROR(VLOOKUP(B980,'SB1'!$A$2:$B$999999,2,FALSE),"")</f>
        <v>LATEX PARA CIELORRASOS TERSEN MATE BLANCO X 20</v>
      </c>
      <c r="D980" s="1" t="s">
        <v>14437</v>
      </c>
      <c r="E980" s="3">
        <f>IFERROR(VLOOKUP(B980,'DA1'!$B$2:$D$999999,3,FALSE),"")</f>
      </c>
      <c r="F980" s="1" t="str">
        <f>IFERROR(VLOOKUP(B980,'SB1'!$A$2:$C$999999,3,FALSE),"")</f>
        <v>503</v>
      </c>
      <c r="G980" s="3" t="e">
        <f t="shared" si="35"/>
        <v>#VALUE!</v>
      </c>
      <c r="H980" s="3" t="e">
        <f t="shared" si="34"/>
        <v>#VALUE!</v>
      </c>
      <c r="I980" s="1">
        <v>1</v>
      </c>
    </row>
    <row r="981" spans="1:9" x14ac:dyDescent="0.25">
      <c r="A981" s="1" t="s">
        <v>14435</v>
      </c>
      <c r="B981" s="1" t="s">
        <v>2705</v>
      </c>
      <c r="C981" s="1" t="str">
        <f>IFERROR(VLOOKUP(B981,'SB1'!$A$2:$B$999999,2,FALSE),"")</f>
        <v>ENDUIDO INTERIOR TERSUAVE X  1</v>
      </c>
      <c r="D981" s="1" t="s">
        <v>14437</v>
      </c>
      <c r="E981" s="3">
        <f>IFERROR(VLOOKUP(B981,'DA1'!$B$2:$D$999999,3,FALSE),"")</f>
      </c>
      <c r="F981" s="1" t="str">
        <f>IFERROR(VLOOKUP(B981,'SB1'!$A$2:$C$999999,3,FALSE),"")</f>
        <v>503</v>
      </c>
      <c r="G981" s="3" t="e">
        <f t="shared" si="35"/>
        <v>#VALUE!</v>
      </c>
      <c r="H981" s="3" t="e">
        <f t="shared" si="34"/>
        <v>#VALUE!</v>
      </c>
      <c r="I981" s="1">
        <v>1</v>
      </c>
    </row>
    <row r="982" spans="1:9" x14ac:dyDescent="0.25">
      <c r="A982" s="1" t="s">
        <v>14435</v>
      </c>
      <c r="B982" s="1" t="s">
        <v>2707</v>
      </c>
      <c r="C982" s="1" t="str">
        <f>IFERROR(VLOOKUP(B982,'SB1'!$A$2:$B$999999,2,FALSE),"")</f>
        <v>ENDUIDO INTERIOR TERSUAVE X  4</v>
      </c>
      <c r="D982" s="1" t="s">
        <v>14437</v>
      </c>
      <c r="E982" s="3">
        <f>IFERROR(VLOOKUP(B982,'DA1'!$B$2:$D$999999,3,FALSE),"")</f>
      </c>
      <c r="F982" s="1" t="str">
        <f>IFERROR(VLOOKUP(B982,'SB1'!$A$2:$C$999999,3,FALSE),"")</f>
        <v>503</v>
      </c>
      <c r="G982" s="3" t="e">
        <f t="shared" si="35"/>
        <v>#VALUE!</v>
      </c>
      <c r="H982" s="3" t="e">
        <f t="shared" si="34"/>
        <v>#VALUE!</v>
      </c>
      <c r="I982" s="1">
        <v>1</v>
      </c>
    </row>
    <row r="983" spans="1:9" x14ac:dyDescent="0.25">
      <c r="A983" s="1" t="s">
        <v>14435</v>
      </c>
      <c r="B983" s="1" t="s">
        <v>2709</v>
      </c>
      <c r="C983" s="1" t="str">
        <f>IFERROR(VLOOKUP(B983,'SB1'!$A$2:$B$999999,2,FALSE),"")</f>
        <v>ENDUIDO INTERIOR TERSUAVE X 10</v>
      </c>
      <c r="D983" s="1" t="s">
        <v>14437</v>
      </c>
      <c r="E983" s="3">
        <f>IFERROR(VLOOKUP(B983,'DA1'!$B$2:$D$999999,3,FALSE),"")</f>
      </c>
      <c r="F983" s="1" t="str">
        <f>IFERROR(VLOOKUP(B983,'SB1'!$A$2:$C$999999,3,FALSE),"")</f>
        <v>503</v>
      </c>
      <c r="G983" s="3" t="e">
        <f t="shared" si="35"/>
        <v>#VALUE!</v>
      </c>
      <c r="H983" s="3" t="e">
        <f t="shared" si="34"/>
        <v>#VALUE!</v>
      </c>
      <c r="I983" s="1">
        <v>1</v>
      </c>
    </row>
    <row r="984" spans="1:9" x14ac:dyDescent="0.25">
      <c r="A984" s="1" t="s">
        <v>14435</v>
      </c>
      <c r="B984" s="1" t="s">
        <v>2711</v>
      </c>
      <c r="C984" s="1" t="str">
        <f>IFERROR(VLOOKUP(B984,'SB1'!$A$2:$B$999999,2,FALSE),"")</f>
        <v>ENDUIDO INTERIOR TERSUAVE X 20</v>
      </c>
      <c r="D984" s="1" t="s">
        <v>14437</v>
      </c>
      <c r="E984" s="3">
        <f>IFERROR(VLOOKUP(B984,'DA1'!$B$2:$D$999999,3,FALSE),"")</f>
      </c>
      <c r="F984" s="1" t="str">
        <f>IFERROR(VLOOKUP(B984,'SB1'!$A$2:$C$999999,3,FALSE),"")</f>
        <v>503</v>
      </c>
      <c r="G984" s="3" t="e">
        <f t="shared" si="35"/>
        <v>#VALUE!</v>
      </c>
      <c r="H984" s="3" t="e">
        <f t="shared" si="34"/>
        <v>#VALUE!</v>
      </c>
      <c r="I984" s="1">
        <v>1</v>
      </c>
    </row>
    <row r="985" spans="1:9" x14ac:dyDescent="0.25">
      <c r="A985" s="1" t="s">
        <v>14435</v>
      </c>
      <c r="B985" s="1" t="s">
        <v>2717</v>
      </c>
      <c r="C985" s="1" t="str">
        <f>IFERROR(VLOOKUP(B985,'SB1'!$A$2:$B$999999,2,FALSE),"")</f>
        <v>IMPREGNANTE PARA MADERA PLAVICON LASUR SATINADO ROBLE X 20</v>
      </c>
      <c r="D985" s="1" t="s">
        <v>14458</v>
      </c>
      <c r="E985" s="3">
        <f>IFERROR(VLOOKUP(B985,'DA1'!$B$2:$D$999999,3,FALSE),"")</f>
      </c>
      <c r="F985" s="1" t="str">
        <f>IFERROR(VLOOKUP(B985,'SB1'!$A$2:$C$999999,3,FALSE),"")</f>
        <v>503</v>
      </c>
      <c r="G985" s="3" t="e">
        <f t="shared" si="35"/>
        <v>#VALUE!</v>
      </c>
      <c r="H985" s="3" t="e">
        <f t="shared" si="34"/>
        <v>#VALUE!</v>
      </c>
      <c r="I985" s="1">
        <v>1</v>
      </c>
    </row>
    <row r="986" spans="1:9" x14ac:dyDescent="0.25">
      <c r="A986" s="1" t="s">
        <v>14435</v>
      </c>
      <c r="B986" s="1" t="s">
        <v>2719</v>
      </c>
      <c r="C986" s="1" t="str">
        <f>IFERROR(VLOOKUP(B986,'SB1'!$A$2:$B$999999,2,FALSE),"")</f>
        <v>END010.11 CATALIZADOR NORMAL ACS X 1</v>
      </c>
      <c r="D986" s="1" t="s">
        <v>14454</v>
      </c>
      <c r="E986" s="3">
        <f>IFERROR(VLOOKUP(B986,'DA1'!$B$2:$D$999999,3,FALSE),"")</f>
      </c>
      <c r="F986" s="1" t="str">
        <f>IFERROR(VLOOKUP(B986,'SB1'!$A$2:$C$999999,3,FALSE),"")</f>
        <v>503</v>
      </c>
      <c r="G986" s="3" t="e">
        <f t="shared" si="35"/>
        <v>#VALUE!</v>
      </c>
      <c r="H986" s="3" t="e">
        <f t="shared" si="34"/>
        <v>#VALUE!</v>
      </c>
      <c r="I986" s="1">
        <v>3</v>
      </c>
    </row>
    <row r="987" spans="1:9" x14ac:dyDescent="0.25">
      <c r="A987" s="1" t="s">
        <v>14435</v>
      </c>
      <c r="B987" s="1" t="s">
        <v>2721</v>
      </c>
      <c r="C987" s="1" t="str">
        <f>IFERROR(VLOOKUP(B987,'SB1'!$A$2:$B$999999,2,FALSE),"")</f>
        <v>IMPREGNANTE PARA MADERA PLAVICON LASUR SATINADO CAOBA  X  1</v>
      </c>
      <c r="D987" s="1" t="s">
        <v>14458</v>
      </c>
      <c r="E987" s="3">
        <f>IFERROR(VLOOKUP(B987,'DA1'!$B$2:$D$999999,3,FALSE),"")</f>
      </c>
      <c r="F987" s="1" t="str">
        <f>IFERROR(VLOOKUP(B987,'SB1'!$A$2:$C$999999,3,FALSE),"")</f>
        <v>503</v>
      </c>
      <c r="G987" s="3" t="e">
        <f t="shared" si="35"/>
        <v>#VALUE!</v>
      </c>
      <c r="H987" s="3" t="e">
        <f t="shared" si="34"/>
        <v>#VALUE!</v>
      </c>
      <c r="I987" s="1">
        <v>1</v>
      </c>
    </row>
    <row r="988" spans="1:9" x14ac:dyDescent="0.25">
      <c r="A988" s="1" t="s">
        <v>14435</v>
      </c>
      <c r="B988" s="1" t="s">
        <v>2723</v>
      </c>
      <c r="C988" s="1" t="str">
        <f>IFERROR(VLOOKUP(B988,'SB1'!$A$2:$B$999999,2,FALSE),"")</f>
        <v>IMPREGNANTE PARA MADERA PLAVICON LASUR SATINADO CAOBA X  4</v>
      </c>
      <c r="D988" s="1" t="s">
        <v>14458</v>
      </c>
      <c r="E988" s="3">
        <f>IFERROR(VLOOKUP(B988,'DA1'!$B$2:$D$999999,3,FALSE),"")</f>
      </c>
      <c r="F988" s="1" t="str">
        <f>IFERROR(VLOOKUP(B988,'SB1'!$A$2:$C$999999,3,FALSE),"")</f>
        <v>503</v>
      </c>
      <c r="G988" s="3" t="e">
        <f t="shared" si="35"/>
        <v>#VALUE!</v>
      </c>
      <c r="H988" s="3" t="e">
        <f t="shared" si="34"/>
        <v>#VALUE!</v>
      </c>
      <c r="I988" s="1">
        <v>1</v>
      </c>
    </row>
    <row r="989" spans="1:9" x14ac:dyDescent="0.25">
      <c r="A989" s="1" t="s">
        <v>14435</v>
      </c>
      <c r="B989" s="1" t="s">
        <v>2725</v>
      </c>
      <c r="C989" s="1" t="str">
        <f>IFERROR(VLOOKUP(B989,'SB1'!$A$2:$B$999999,2,FALSE),"")</f>
        <v>IMPREGNANTE PARA MADERA PLAVICON LASUR SATINADO CAOBA X 20</v>
      </c>
      <c r="D989" s="1" t="s">
        <v>14458</v>
      </c>
      <c r="E989" s="3">
        <f>IFERROR(VLOOKUP(B989,'DA1'!$B$2:$D$999999,3,FALSE),"")</f>
      </c>
      <c r="F989" s="1" t="str">
        <f>IFERROR(VLOOKUP(B989,'SB1'!$A$2:$C$999999,3,FALSE),"")</f>
        <v>503</v>
      </c>
      <c r="G989" s="3" t="e">
        <f t="shared" si="35"/>
        <v>#VALUE!</v>
      </c>
      <c r="H989" s="3" t="e">
        <f t="shared" si="34"/>
        <v>#VALUE!</v>
      </c>
      <c r="I989" s="1">
        <v>1</v>
      </c>
    </row>
    <row r="990" spans="1:9" x14ac:dyDescent="0.25">
      <c r="A990" s="1" t="s">
        <v>14435</v>
      </c>
      <c r="B990" s="1" t="s">
        <v>2727</v>
      </c>
      <c r="C990" s="1" t="str">
        <f>IFERROR(VLOOKUP(B990,'SB1'!$A$2:$B$999999,2,FALSE),"")</f>
        <v>IMPREGNANTE PARA MADERA PLAVICON LASUR SATINADO NOGAL X  1</v>
      </c>
      <c r="D990" s="1" t="s">
        <v>14458</v>
      </c>
      <c r="E990" s="3">
        <f>IFERROR(VLOOKUP(B990,'DA1'!$B$2:$D$999999,3,FALSE),"")</f>
      </c>
      <c r="F990" s="1" t="str">
        <f>IFERROR(VLOOKUP(B990,'SB1'!$A$2:$C$999999,3,FALSE),"")</f>
        <v>503</v>
      </c>
      <c r="G990" s="3" t="e">
        <f t="shared" si="35"/>
        <v>#VALUE!</v>
      </c>
      <c r="H990" s="3" t="e">
        <f t="shared" si="34"/>
        <v>#VALUE!</v>
      </c>
      <c r="I990" s="1">
        <v>1</v>
      </c>
    </row>
    <row r="991" spans="1:9" x14ac:dyDescent="0.25">
      <c r="A991" s="1" t="s">
        <v>14435</v>
      </c>
      <c r="B991" s="1" t="s">
        <v>2729</v>
      </c>
      <c r="C991" s="1" t="str">
        <f>IFERROR(VLOOKUP(B991,'SB1'!$A$2:$B$999999,2,FALSE),"")</f>
        <v>IMPREGNANTE PARA MADERA PLAVICON LASUR SATINADO NOGAL X  4</v>
      </c>
      <c r="D991" s="1" t="s">
        <v>14458</v>
      </c>
      <c r="E991" s="3">
        <f>IFERROR(VLOOKUP(B991,'DA1'!$B$2:$D$999999,3,FALSE),"")</f>
      </c>
      <c r="F991" s="1" t="str">
        <f>IFERROR(VLOOKUP(B991,'SB1'!$A$2:$C$999999,3,FALSE),"")</f>
        <v>503</v>
      </c>
      <c r="G991" s="3" t="e">
        <f t="shared" si="35"/>
        <v>#VALUE!</v>
      </c>
      <c r="H991" s="3" t="e">
        <f t="shared" si="34"/>
        <v>#VALUE!</v>
      </c>
      <c r="I991" s="1">
        <v>1</v>
      </c>
    </row>
    <row r="992" spans="1:9" x14ac:dyDescent="0.25">
      <c r="A992" s="1" t="s">
        <v>14435</v>
      </c>
      <c r="B992" s="1" t="s">
        <v>2731</v>
      </c>
      <c r="C992" s="1" t="str">
        <f>IFERROR(VLOOKUP(B992,'SB1'!$A$2:$B$999999,2,FALSE),"")</f>
        <v>IMPREGNANTE PARA MADERA PLAVICON LASUR SATINADO NOGAL X 20</v>
      </c>
      <c r="D992" s="1" t="s">
        <v>14458</v>
      </c>
      <c r="E992" s="3">
        <f>IFERROR(VLOOKUP(B992,'DA1'!$B$2:$D$999999,3,FALSE),"")</f>
      </c>
      <c r="F992" s="1" t="str">
        <f>IFERROR(VLOOKUP(B992,'SB1'!$A$2:$C$999999,3,FALSE),"")</f>
        <v>503</v>
      </c>
      <c r="G992" s="3" t="e">
        <f t="shared" si="35"/>
        <v>#VALUE!</v>
      </c>
      <c r="H992" s="3" t="e">
        <f t="shared" si="34"/>
        <v>#VALUE!</v>
      </c>
      <c r="I992" s="1">
        <v>1</v>
      </c>
    </row>
    <row r="993" spans="1:9" x14ac:dyDescent="0.25">
      <c r="A993" s="1" t="s">
        <v>14435</v>
      </c>
      <c r="B993" s="1" t="s">
        <v>2733</v>
      </c>
      <c r="C993" s="1" t="str">
        <f>IFERROR(VLOOKUP(B993,'SB1'!$A$2:$B$999999,2,FALSE),"")</f>
        <v>IMPREGNANTE PARA MADERA PLAVICON LASUR SATINADO CRISTAL X  1</v>
      </c>
      <c r="D993" s="1" t="s">
        <v>14458</v>
      </c>
      <c r="E993" s="3">
        <f>IFERROR(VLOOKUP(B993,'DA1'!$B$2:$D$999999,3,FALSE),"")</f>
      </c>
      <c r="F993" s="1" t="str">
        <f>IFERROR(VLOOKUP(B993,'SB1'!$A$2:$C$999999,3,FALSE),"")</f>
        <v>503</v>
      </c>
      <c r="G993" s="3" t="e">
        <f t="shared" si="35"/>
        <v>#VALUE!</v>
      </c>
      <c r="H993" s="3" t="e">
        <f t="shared" si="34"/>
        <v>#VALUE!</v>
      </c>
      <c r="I993" s="1">
        <v>1</v>
      </c>
    </row>
    <row r="994" spans="1:9" x14ac:dyDescent="0.25">
      <c r="A994" s="1" t="s">
        <v>14435</v>
      </c>
      <c r="B994" s="1" t="s">
        <v>2745</v>
      </c>
      <c r="C994" s="1" t="str">
        <f>IFERROR(VLOOKUP(B994,'SB1'!$A$2:$B$999999,2,FALSE),"")</f>
        <v>MASILLA PARA MADERA COLVINIL NATURAL X 0,250</v>
      </c>
      <c r="D994" s="1" t="s">
        <v>14453</v>
      </c>
      <c r="E994" s="3">
        <f>IFERROR(VLOOKUP(B994,'DA1'!$B$2:$D$999999,3,FALSE),"")</f>
      </c>
      <c r="F994" s="1" t="str">
        <f>IFERROR(VLOOKUP(B994,'SB1'!$A$2:$C$999999,3,FALSE),"")</f>
        <v>503</v>
      </c>
      <c r="G994" s="3" t="e">
        <f t="shared" si="35"/>
        <v>#VALUE!</v>
      </c>
      <c r="H994" s="3" t="e">
        <f t="shared" si="34"/>
        <v>#VALUE!</v>
      </c>
      <c r="I994" s="1">
        <v>1</v>
      </c>
    </row>
    <row r="995" spans="1:9" x14ac:dyDescent="0.25">
      <c r="A995" s="1" t="s">
        <v>14435</v>
      </c>
      <c r="B995" s="1" t="s">
        <v>2747</v>
      </c>
      <c r="C995" s="1" t="str">
        <f>IFERROR(VLOOKUP(B995,'SB1'!$A$2:$B$999999,2,FALSE),"")</f>
        <v>MASILLA PARA MADERA COLVINIL CAOBA X 0,250</v>
      </c>
      <c r="D995" s="1" t="s">
        <v>14453</v>
      </c>
      <c r="E995" s="3">
        <f>IFERROR(VLOOKUP(B995,'DA1'!$B$2:$D$999999,3,FALSE),"")</f>
      </c>
      <c r="F995" s="1" t="str">
        <f>IFERROR(VLOOKUP(B995,'SB1'!$A$2:$C$999999,3,FALSE),"")</f>
        <v>503</v>
      </c>
      <c r="G995" s="3" t="e">
        <f t="shared" si="35"/>
        <v>#VALUE!</v>
      </c>
      <c r="H995" s="3" t="e">
        <f t="shared" ref="H995:H1058" si="36">G995*1.21</f>
        <v>#VALUE!</v>
      </c>
      <c r="I995" s="1">
        <v>1</v>
      </c>
    </row>
    <row r="996" spans="1:9" x14ac:dyDescent="0.25">
      <c r="A996" s="1" t="s">
        <v>14435</v>
      </c>
      <c r="B996" s="1" t="s">
        <v>2749</v>
      </c>
      <c r="C996" s="1" t="str">
        <f>IFERROR(VLOOKUP(B996,'SB1'!$A$2:$B$999999,2,FALSE),"")</f>
        <v>MASILLA PARA MADERA COLVINIL ROBLE X 0,250</v>
      </c>
      <c r="D996" s="1" t="s">
        <v>14453</v>
      </c>
      <c r="E996" s="3">
        <f>IFERROR(VLOOKUP(B996,'DA1'!$B$2:$D$999999,3,FALSE),"")</f>
      </c>
      <c r="F996" s="1" t="str">
        <f>IFERROR(VLOOKUP(B996,'SB1'!$A$2:$C$999999,3,FALSE),"")</f>
        <v>503</v>
      </c>
      <c r="G996" s="3" t="e">
        <f t="shared" si="35"/>
        <v>#VALUE!</v>
      </c>
      <c r="H996" s="3" t="e">
        <f t="shared" si="36"/>
        <v>#VALUE!</v>
      </c>
      <c r="I996" s="1">
        <v>1</v>
      </c>
    </row>
    <row r="997" spans="1:9" x14ac:dyDescent="0.25">
      <c r="A997" s="1" t="s">
        <v>14435</v>
      </c>
      <c r="B997" s="1" t="s">
        <v>2751</v>
      </c>
      <c r="C997" s="1" t="str">
        <f>IFERROR(VLOOKUP(B997,'SB1'!$A$2:$B$999999,2,FALSE),"")</f>
        <v>MASILLA PARA MADERA COLVINIL CEDRO X 0,250</v>
      </c>
      <c r="D997" s="1" t="s">
        <v>14453</v>
      </c>
      <c r="E997" s="3">
        <f>IFERROR(VLOOKUP(B997,'DA1'!$B$2:$D$999999,3,FALSE),"")</f>
      </c>
      <c r="F997" s="1" t="str">
        <f>IFERROR(VLOOKUP(B997,'SB1'!$A$2:$C$999999,3,FALSE),"")</f>
        <v>503</v>
      </c>
      <c r="G997" s="3" t="e">
        <f t="shared" si="35"/>
        <v>#VALUE!</v>
      </c>
      <c r="H997" s="3" t="e">
        <f t="shared" si="36"/>
        <v>#VALUE!</v>
      </c>
      <c r="I997" s="1">
        <v>1</v>
      </c>
    </row>
    <row r="998" spans="1:9" x14ac:dyDescent="0.25">
      <c r="A998" s="1" t="s">
        <v>14435</v>
      </c>
      <c r="B998" s="1" t="s">
        <v>2753</v>
      </c>
      <c r="C998" s="1" t="str">
        <f>IFERROR(VLOOKUP(B998,'SB1'!$A$2:$B$999999,2,FALSE),"")</f>
        <v>MASILLA PARA MADERA COLVINIL ALGARROBO X 0,250</v>
      </c>
      <c r="D998" s="1" t="s">
        <v>14453</v>
      </c>
      <c r="E998" s="3">
        <f>IFERROR(VLOOKUP(B998,'DA1'!$B$2:$D$999999,3,FALSE),"")</f>
      </c>
      <c r="F998" s="1" t="str">
        <f>IFERROR(VLOOKUP(B998,'SB1'!$A$2:$C$999999,3,FALSE),"")</f>
        <v>503</v>
      </c>
      <c r="G998" s="3" t="e">
        <f t="shared" si="35"/>
        <v>#VALUE!</v>
      </c>
      <c r="H998" s="3" t="e">
        <f t="shared" si="36"/>
        <v>#VALUE!</v>
      </c>
      <c r="I998" s="1">
        <v>1</v>
      </c>
    </row>
    <row r="999" spans="1:9" x14ac:dyDescent="0.25">
      <c r="A999" s="1" t="s">
        <v>14435</v>
      </c>
      <c r="B999" s="1" t="s">
        <v>2757</v>
      </c>
      <c r="C999" s="1" t="str">
        <f>IFERROR(VLOOKUP(B999,'SB1'!$A$2:$B$999999,2,FALSE),"")</f>
        <v>IMPREGNANTE PARA MADERA PLAVICON LASUR SATINADO CRISTAL X  4</v>
      </c>
      <c r="D999" s="1" t="s">
        <v>14458</v>
      </c>
      <c r="E999" s="3">
        <f>IFERROR(VLOOKUP(B999,'DA1'!$B$2:$D$999999,3,FALSE),"")</f>
      </c>
      <c r="F999" s="1" t="str">
        <f>IFERROR(VLOOKUP(B999,'SB1'!$A$2:$C$999999,3,FALSE),"")</f>
        <v>503</v>
      </c>
      <c r="G999" s="3" t="e">
        <f t="shared" si="35"/>
        <v>#VALUE!</v>
      </c>
      <c r="H999" s="3" t="e">
        <f t="shared" si="36"/>
        <v>#VALUE!</v>
      </c>
      <c r="I999" s="1">
        <v>1</v>
      </c>
    </row>
    <row r="1000" spans="1:9" x14ac:dyDescent="0.25">
      <c r="A1000" s="1" t="s">
        <v>14435</v>
      </c>
      <c r="B1000" s="1" t="s">
        <v>2759</v>
      </c>
      <c r="C1000" s="1" t="str">
        <f>IFERROR(VLOOKUP(B1000,'SB1'!$A$2:$B$999999,2,FALSE),"")</f>
        <v>BURLETE ADHESIVO 13MM X 50MTS</v>
      </c>
      <c r="D1000" s="1" t="s">
        <v>14464</v>
      </c>
      <c r="E1000" s="3">
        <f>IFERROR(VLOOKUP(B1000,'DA1'!$B$2:$D$999999,3,FALSE),"")</f>
      </c>
      <c r="F1000" s="1" t="str">
        <f>IFERROR(VLOOKUP(B1000,'SB1'!$A$2:$C$999999,3,FALSE),"")</f>
        <v>503</v>
      </c>
      <c r="G1000" s="3" t="e">
        <f t="shared" si="35"/>
        <v>#VALUE!</v>
      </c>
      <c r="H1000" s="3" t="e">
        <f t="shared" si="36"/>
        <v>#VALUE!</v>
      </c>
      <c r="I1000" s="1">
        <v>1</v>
      </c>
    </row>
    <row r="1001" spans="1:9" x14ac:dyDescent="0.25">
      <c r="A1001" s="1" t="s">
        <v>14435</v>
      </c>
      <c r="B1001" s="1" t="s">
        <v>2763</v>
      </c>
      <c r="C1001" s="1" t="str">
        <f>IFERROR(VLOOKUP(B1001,'SB1'!$A$2:$B$999999,2,FALSE),"")</f>
        <v>ESMALTE SINTETICO TERSUAVE 2EN1 SATINADO BLANCO X  0,500</v>
      </c>
      <c r="D1001" s="1" t="s">
        <v>14437</v>
      </c>
      <c r="E1001" s="3">
        <f>IFERROR(VLOOKUP(B1001,'DA1'!$B$2:$D$999999,3,FALSE),"")</f>
      </c>
      <c r="F1001" s="1" t="str">
        <f>IFERROR(VLOOKUP(B1001,'SB1'!$A$2:$C$999999,3,FALSE),"")</f>
        <v>503</v>
      </c>
      <c r="G1001" s="3" t="e">
        <f t="shared" si="35"/>
        <v>#VALUE!</v>
      </c>
      <c r="H1001" s="3" t="e">
        <f t="shared" si="36"/>
        <v>#VALUE!</v>
      </c>
      <c r="I1001" s="1">
        <v>1</v>
      </c>
    </row>
    <row r="1002" spans="1:9" x14ac:dyDescent="0.25">
      <c r="A1002" s="1" t="s">
        <v>14435</v>
      </c>
      <c r="B1002" s="1" t="s">
        <v>2765</v>
      </c>
      <c r="C1002" s="1" t="str">
        <f>IFERROR(VLOOKUP(B1002,'SB1'!$A$2:$B$999999,2,FALSE),"")</f>
        <v>ESMALTE SINTETICO TERSUAVE 2EN1 SATINADO BLANCO X  1</v>
      </c>
      <c r="D1002" s="1" t="s">
        <v>14437</v>
      </c>
      <c r="E1002" s="3">
        <f>IFERROR(VLOOKUP(B1002,'DA1'!$B$2:$D$999999,3,FALSE),"")</f>
      </c>
      <c r="F1002" s="1" t="str">
        <f>IFERROR(VLOOKUP(B1002,'SB1'!$A$2:$C$999999,3,FALSE),"")</f>
        <v>503</v>
      </c>
      <c r="G1002" s="3" t="e">
        <f t="shared" si="35"/>
        <v>#VALUE!</v>
      </c>
      <c r="H1002" s="3" t="e">
        <f t="shared" si="36"/>
        <v>#VALUE!</v>
      </c>
      <c r="I1002" s="1">
        <v>1</v>
      </c>
    </row>
    <row r="1003" spans="1:9" x14ac:dyDescent="0.25">
      <c r="A1003" s="1" t="s">
        <v>14435</v>
      </c>
      <c r="B1003" s="1" t="s">
        <v>2767</v>
      </c>
      <c r="C1003" s="1" t="str">
        <f>IFERROR(VLOOKUP(B1003,'SB1'!$A$2:$B$999999,2,FALSE),"")</f>
        <v>ESMALTE SINTETICO TERSUAVE 2EN1 SATINADO BLANCO X  4</v>
      </c>
      <c r="D1003" s="1" t="s">
        <v>14437</v>
      </c>
      <c r="E1003" s="3">
        <f>IFERROR(VLOOKUP(B1003,'DA1'!$B$2:$D$999999,3,FALSE),"")</f>
      </c>
      <c r="F1003" s="1" t="str">
        <f>IFERROR(VLOOKUP(B1003,'SB1'!$A$2:$C$999999,3,FALSE),"")</f>
        <v>503</v>
      </c>
      <c r="G1003" s="3" t="e">
        <f t="shared" si="35"/>
        <v>#VALUE!</v>
      </c>
      <c r="H1003" s="3" t="e">
        <f t="shared" si="36"/>
        <v>#VALUE!</v>
      </c>
      <c r="I1003" s="1">
        <v>1</v>
      </c>
    </row>
    <row r="1004" spans="1:9" x14ac:dyDescent="0.25">
      <c r="A1004" s="1" t="s">
        <v>14435</v>
      </c>
      <c r="B1004" s="1" t="s">
        <v>2769</v>
      </c>
      <c r="C1004" s="1" t="str">
        <f>IFERROR(VLOOKUP(B1004,'SB1'!$A$2:$B$999999,2,FALSE),"")</f>
        <v>ESMALTE SINTETICO TERSUAVE 2EN1 SATINADO NEGRO X  0,500</v>
      </c>
      <c r="D1004" s="1" t="s">
        <v>14437</v>
      </c>
      <c r="E1004" s="3">
        <f>IFERROR(VLOOKUP(B1004,'DA1'!$B$2:$D$999999,3,FALSE),"")</f>
      </c>
      <c r="F1004" s="1" t="str">
        <f>IFERROR(VLOOKUP(B1004,'SB1'!$A$2:$C$999999,3,FALSE),"")</f>
        <v>503</v>
      </c>
      <c r="G1004" s="3" t="e">
        <f t="shared" si="35"/>
        <v>#VALUE!</v>
      </c>
      <c r="H1004" s="3" t="e">
        <f t="shared" si="36"/>
        <v>#VALUE!</v>
      </c>
      <c r="I1004" s="1">
        <v>1</v>
      </c>
    </row>
    <row r="1005" spans="1:9" x14ac:dyDescent="0.25">
      <c r="A1005" s="1" t="s">
        <v>14435</v>
      </c>
      <c r="B1005" s="1" t="s">
        <v>2771</v>
      </c>
      <c r="C1005" s="1" t="str">
        <f>IFERROR(VLOOKUP(B1005,'SB1'!$A$2:$B$999999,2,FALSE),"")</f>
        <v>ESMALTE SINTETICO TERSUAVE 2EN1 SATINADO BLANCO X 20</v>
      </c>
      <c r="D1005" s="1" t="s">
        <v>14437</v>
      </c>
      <c r="E1005" s="3">
        <f>IFERROR(VLOOKUP(B1005,'DA1'!$B$2:$D$999999,3,FALSE),"")</f>
      </c>
      <c r="F1005" s="1" t="str">
        <f>IFERROR(VLOOKUP(B1005,'SB1'!$A$2:$C$999999,3,FALSE),"")</f>
        <v>503</v>
      </c>
      <c r="G1005" s="3" t="e">
        <f t="shared" si="35"/>
        <v>#VALUE!</v>
      </c>
      <c r="H1005" s="3" t="e">
        <f t="shared" si="36"/>
        <v>#VALUE!</v>
      </c>
      <c r="I1005" s="1">
        <v>1</v>
      </c>
    </row>
    <row r="1006" spans="1:9" x14ac:dyDescent="0.25">
      <c r="A1006" s="1" t="s">
        <v>14435</v>
      </c>
      <c r="B1006" s="1" t="s">
        <v>2773</v>
      </c>
      <c r="C1006" s="1" t="str">
        <f>IFERROR(VLOOKUP(B1006,'SB1'!$A$2:$B$999999,2,FALSE),"")</f>
        <v>M01.17 MASILLA POLIESTER ACS EVOLUTION X 1.000</v>
      </c>
      <c r="D1006" s="1" t="s">
        <v>14454</v>
      </c>
      <c r="E1006" s="3">
        <f>IFERROR(VLOOKUP(B1006,'DA1'!$B$2:$D$999999,3,FALSE),"")</f>
      </c>
      <c r="F1006" s="1" t="str">
        <f>IFERROR(VLOOKUP(B1006,'SB1'!$A$2:$C$999999,3,FALSE),"")</f>
        <v>503</v>
      </c>
      <c r="G1006" s="3" t="e">
        <f t="shared" si="35"/>
        <v>#VALUE!</v>
      </c>
      <c r="H1006" s="3" t="e">
        <f t="shared" si="36"/>
        <v>#VALUE!</v>
      </c>
      <c r="I1006" s="1">
        <v>3</v>
      </c>
    </row>
    <row r="1007" spans="1:9" x14ac:dyDescent="0.25">
      <c r="A1007" s="1" t="s">
        <v>14435</v>
      </c>
      <c r="B1007" s="1" t="s">
        <v>2777</v>
      </c>
      <c r="C1007" s="1" t="str">
        <f>IFERROR(VLOOKUP(B1007,'SB1'!$A$2:$B$999999,2,FALSE),"")</f>
        <v>ESMALTE SINTETICO TERSUAVE 2EN1 SATINADO NEGRO X  1</v>
      </c>
      <c r="D1007" s="1" t="s">
        <v>14437</v>
      </c>
      <c r="E1007" s="3">
        <f>IFERROR(VLOOKUP(B1007,'DA1'!$B$2:$D$999999,3,FALSE),"")</f>
      </c>
      <c r="F1007" s="1" t="str">
        <f>IFERROR(VLOOKUP(B1007,'SB1'!$A$2:$C$999999,3,FALSE),"")</f>
        <v>503</v>
      </c>
      <c r="G1007" s="3" t="e">
        <f t="shared" si="35"/>
        <v>#VALUE!</v>
      </c>
      <c r="H1007" s="3" t="e">
        <f t="shared" si="36"/>
        <v>#VALUE!</v>
      </c>
      <c r="I1007" s="1">
        <v>1</v>
      </c>
    </row>
    <row r="1008" spans="1:9" x14ac:dyDescent="0.25">
      <c r="A1008" s="1" t="s">
        <v>14435</v>
      </c>
      <c r="B1008" s="1" t="s">
        <v>2781</v>
      </c>
      <c r="C1008" s="1" t="str">
        <f>IFERROR(VLOOKUP(B1008,'SB1'!$A$2:$B$999999,2,FALSE),"")</f>
        <v>IMPREGNANTE PARA MADERA PLAVICON LASUR SATINADO CRISTAL X 20</v>
      </c>
      <c r="D1008" s="1" t="s">
        <v>14458</v>
      </c>
      <c r="E1008" s="3">
        <f>IFERROR(VLOOKUP(B1008,'DA1'!$B$2:$D$999999,3,FALSE),"")</f>
      </c>
      <c r="F1008" s="1" t="str">
        <f>IFERROR(VLOOKUP(B1008,'SB1'!$A$2:$C$999999,3,FALSE),"")</f>
        <v>503</v>
      </c>
      <c r="G1008" s="3" t="e">
        <f t="shared" si="35"/>
        <v>#VALUE!</v>
      </c>
      <c r="H1008" s="3" t="e">
        <f t="shared" si="36"/>
        <v>#VALUE!</v>
      </c>
      <c r="I1008" s="1">
        <v>1</v>
      </c>
    </row>
    <row r="1009" spans="1:9" x14ac:dyDescent="0.25">
      <c r="A1009" s="1" t="s">
        <v>14435</v>
      </c>
      <c r="B1009" s="1" t="s">
        <v>2783</v>
      </c>
      <c r="C1009" s="1" t="str">
        <f>IFERROR(VLOOKUP(B1009,'SB1'!$A$2:$B$999999,2,FALSE),"")</f>
        <v>ESMALTE SINTETICO TERSUAVE 2EN1 SATINADO NEGRO X 20</v>
      </c>
      <c r="D1009" s="1" t="s">
        <v>14437</v>
      </c>
      <c r="E1009" s="3">
        <f>IFERROR(VLOOKUP(B1009,'DA1'!$B$2:$D$999999,3,FALSE),"")</f>
      </c>
      <c r="F1009" s="1" t="str">
        <f>IFERROR(VLOOKUP(B1009,'SB1'!$A$2:$C$999999,3,FALSE),"")</f>
        <v>503</v>
      </c>
      <c r="G1009" s="3" t="e">
        <f t="shared" si="35"/>
        <v>#VALUE!</v>
      </c>
      <c r="H1009" s="3" t="e">
        <f t="shared" si="36"/>
        <v>#VALUE!</v>
      </c>
      <c r="I1009" s="1">
        <v>1</v>
      </c>
    </row>
    <row r="1010" spans="1:9" x14ac:dyDescent="0.25">
      <c r="A1010" s="1" t="s">
        <v>14435</v>
      </c>
      <c r="B1010" s="1" t="s">
        <v>2791</v>
      </c>
      <c r="C1010" s="1" t="str">
        <f>IFERROR(VLOOKUP(B1010,'SB1'!$A$2:$B$999999,2,FALSE),"")</f>
        <v>ESMALTE SINTETICO TERSUAVE 2EN1 SATINADO NEGRO X  4</v>
      </c>
      <c r="D1010" s="1" t="s">
        <v>14437</v>
      </c>
      <c r="E1010" s="3">
        <f>IFERROR(VLOOKUP(B1010,'DA1'!$B$2:$D$999999,3,FALSE),"")</f>
      </c>
      <c r="F1010" s="1" t="str">
        <f>IFERROR(VLOOKUP(B1010,'SB1'!$A$2:$C$999999,3,FALSE),"")</f>
        <v>503</v>
      </c>
      <c r="G1010" s="3" t="e">
        <f t="shared" si="35"/>
        <v>#VALUE!</v>
      </c>
      <c r="H1010" s="3" t="e">
        <f t="shared" si="36"/>
        <v>#VALUE!</v>
      </c>
      <c r="I1010" s="1">
        <v>1</v>
      </c>
    </row>
    <row r="1011" spans="1:9" x14ac:dyDescent="0.25">
      <c r="A1011" s="1" t="s">
        <v>14435</v>
      </c>
      <c r="B1011" s="1" t="s">
        <v>2793</v>
      </c>
      <c r="C1011" s="1" t="str">
        <f>IFERROR(VLOOKUP(B1011,'SB1'!$A$2:$B$999999,2,FALSE),"")</f>
        <v>ESMALTE SINTETICO PLAVICON 3EN1 BRILLANTE TABACO X 20</v>
      </c>
      <c r="D1011" s="1" t="s">
        <v>14458</v>
      </c>
      <c r="E1011" s="3">
        <f>IFERROR(VLOOKUP(B1011,'DA1'!$B$2:$D$999999,3,FALSE),"")</f>
      </c>
      <c r="F1011" s="1" t="str">
        <f>IFERROR(VLOOKUP(B1011,'SB1'!$A$2:$C$999999,3,FALSE),"")</f>
        <v>503</v>
      </c>
      <c r="G1011" s="3" t="e">
        <f t="shared" si="35"/>
        <v>#VALUE!</v>
      </c>
      <c r="H1011" s="3" t="e">
        <f t="shared" si="36"/>
        <v>#VALUE!</v>
      </c>
      <c r="I1011" s="1">
        <v>1</v>
      </c>
    </row>
    <row r="1012" spans="1:8" x14ac:dyDescent="0.25">
      <c r="A1012" s="1" t="s">
        <v>14435</v>
      </c>
      <c r="B1012" s="1" t="s">
        <v>2795</v>
      </c>
      <c r="C1012" s="1" t="str">
        <f>IFERROR(VLOOKUP(B1012,'SB1'!$A$2:$B$999999,2,FALSE),"")</f>
        <v>AEROSOL RUST-OLEUM ESMALTE SINTETICO PARA MOTOR AZUL FORD X 0,340 (248945)</v>
      </c>
      <c r="D1012" s="1" t="s">
        <v>14439</v>
      </c>
      <c r="E1012" s="3">
        <f>IFERROR(VLOOKUP(B1012,'DA1'!$B$2:$D$999999,3,FALSE),"")</f>
      </c>
      <c r="F1012" s="1" t="str">
        <f>IFERROR(VLOOKUP(B1012,'SB1'!$A$2:$C$999999,3,FALSE),"")</f>
        <v>503</v>
      </c>
      <c r="G1012" s="3" t="e">
        <f t="shared" si="35"/>
        <v>#VALUE!</v>
      </c>
      <c r="H1012" s="3" t="e">
        <f t="shared" si="36"/>
        <v>#VALUE!</v>
      </c>
    </row>
    <row r="1013" spans="1:9" x14ac:dyDescent="0.25">
      <c r="A1013" s="1" t="s">
        <v>14435</v>
      </c>
      <c r="B1013" s="1" t="s">
        <v>2797</v>
      </c>
      <c r="C1013" s="1" t="str">
        <f>IFERROR(VLOOKUP(B1013,'SB1'!$A$2:$B$999999,2,FALSE),"")</f>
        <v>AEROSOL RUST-OLEUM ESMALTE SINTETICO PARA MOTOR ALUMINIO X 0,340 (248949/371260)</v>
      </c>
      <c r="D1013" s="1" t="s">
        <v>14450</v>
      </c>
      <c r="E1013" s="3">
        <f>IFERROR(VLOOKUP(B1013,'DA1'!$B$2:$D$999999,3,FALSE),"")</f>
      </c>
      <c r="F1013" s="1" t="str">
        <f>IFERROR(VLOOKUP(B1013,'SB1'!$A$2:$C$999999,3,FALSE),"")</f>
        <v>503</v>
      </c>
      <c r="G1013" s="3" t="e">
        <f t="shared" si="35"/>
        <v>#VALUE!</v>
      </c>
      <c r="H1013" s="3" t="e">
        <f t="shared" si="36"/>
        <v>#VALUE!</v>
      </c>
      <c r="I1013" s="1">
        <v>1</v>
      </c>
    </row>
    <row r="1014" spans="1:9" x14ac:dyDescent="0.25">
      <c r="A1014" s="1" t="s">
        <v>14435</v>
      </c>
      <c r="B1014" s="1" t="s">
        <v>2799</v>
      </c>
      <c r="C1014" s="1" t="str">
        <f>IFERROR(VLOOKUP(B1014,'SB1'!$A$2:$B$999999,2,FALSE),"")</f>
        <v>LACA PARA MADERA 7 VIDAS EXTERIOR NATURAL X 0,500</v>
      </c>
      <c r="D1014" s="1" t="s">
        <v>14449</v>
      </c>
      <c r="E1014" s="3">
        <f>IFERROR(VLOOKUP(B1014,'DA1'!$B$2:$D$999999,3,FALSE),"")</f>
      </c>
      <c r="F1014" s="1" t="str">
        <f>IFERROR(VLOOKUP(B1014,'SB1'!$A$2:$C$999999,3,FALSE),"")</f>
        <v>503</v>
      </c>
      <c r="G1014" s="3" t="e">
        <f t="shared" si="35"/>
        <v>#VALUE!</v>
      </c>
      <c r="H1014" s="3" t="e">
        <f t="shared" si="36"/>
        <v>#VALUE!</v>
      </c>
      <c r="I1014" s="1">
        <v>1</v>
      </c>
    </row>
    <row r="1015" spans="1:9" x14ac:dyDescent="0.25">
      <c r="A1015" s="1" t="s">
        <v>14435</v>
      </c>
      <c r="B1015" s="1" t="s">
        <v>2801</v>
      </c>
      <c r="C1015" s="1" t="str">
        <f>IFERROR(VLOOKUP(B1015,'SB1'!$A$2:$B$999999,2,FALSE),"")</f>
        <v>LACA PARA MADERA 7 VIDAS EXTERIOR NATURAL X 1</v>
      </c>
      <c r="D1015" s="1" t="s">
        <v>14449</v>
      </c>
      <c r="E1015" s="3">
        <f>IFERROR(VLOOKUP(B1015,'DA1'!$B$2:$D$999999,3,FALSE),"")</f>
      </c>
      <c r="F1015" s="1" t="str">
        <f>IFERROR(VLOOKUP(B1015,'SB1'!$A$2:$C$999999,3,FALSE),"")</f>
        <v>503</v>
      </c>
      <c r="G1015" s="3" t="e">
        <f t="shared" si="35"/>
        <v>#VALUE!</v>
      </c>
      <c r="H1015" s="3" t="e">
        <f t="shared" si="36"/>
        <v>#VALUE!</v>
      </c>
      <c r="I1015" s="1">
        <v>1</v>
      </c>
    </row>
    <row r="1016" spans="1:9" x14ac:dyDescent="0.25">
      <c r="A1016" s="1" t="s">
        <v>14435</v>
      </c>
      <c r="B1016" s="1" t="s">
        <v>2803</v>
      </c>
      <c r="C1016" s="1" t="str">
        <f>IFERROR(VLOOKUP(B1016,'SB1'!$A$2:$B$999999,2,FALSE),"")</f>
        <v>LACA PARA MADERA 7 VIDAS EXTERIOR NATURAL X 4</v>
      </c>
      <c r="D1016" s="1" t="s">
        <v>14449</v>
      </c>
      <c r="E1016" s="3">
        <f>IFERROR(VLOOKUP(B1016,'DA1'!$B$2:$D$999999,3,FALSE),"")</f>
      </c>
      <c r="F1016" s="1" t="str">
        <f>IFERROR(VLOOKUP(B1016,'SB1'!$A$2:$C$999999,3,FALSE),"")</f>
        <v>503</v>
      </c>
      <c r="G1016" s="3" t="e">
        <f t="shared" si="35"/>
        <v>#VALUE!</v>
      </c>
      <c r="H1016" s="3" t="e">
        <f t="shared" si="36"/>
        <v>#VALUE!</v>
      </c>
      <c r="I1016" s="1">
        <v>1</v>
      </c>
    </row>
    <row r="1017" spans="1:9" x14ac:dyDescent="0.25">
      <c r="A1017" s="1" t="s">
        <v>14435</v>
      </c>
      <c r="B1017" s="1" t="s">
        <v>2817</v>
      </c>
      <c r="C1017" s="1" t="str">
        <f>IFERROR(VLOOKUP(B1017,'SB1'!$A$2:$B$999999,2,FALSE),"")</f>
        <v>LACA PARA MADERA 7 VIDAS EXTERIOR CEDRO X 0,500</v>
      </c>
      <c r="D1017" s="1" t="s">
        <v>14449</v>
      </c>
      <c r="E1017" s="3">
        <f>IFERROR(VLOOKUP(B1017,'DA1'!$B$2:$D$999999,3,FALSE),"")</f>
      </c>
      <c r="F1017" s="1" t="str">
        <f>IFERROR(VLOOKUP(B1017,'SB1'!$A$2:$C$999999,3,FALSE),"")</f>
        <v>503</v>
      </c>
      <c r="G1017" s="3" t="e">
        <f t="shared" si="35"/>
        <v>#VALUE!</v>
      </c>
      <c r="H1017" s="3" t="e">
        <f t="shared" si="36"/>
        <v>#VALUE!</v>
      </c>
      <c r="I1017" s="1">
        <v>1</v>
      </c>
    </row>
    <row r="1018" spans="1:9" x14ac:dyDescent="0.25">
      <c r="A1018" s="1" t="s">
        <v>14435</v>
      </c>
      <c r="B1018" s="1" t="s">
        <v>2819</v>
      </c>
      <c r="C1018" s="1" t="str">
        <f>IFERROR(VLOOKUP(B1018,'SB1'!$A$2:$B$999999,2,FALSE),"")</f>
        <v>LACA PARA MADERA 7 VIDAS EXTERIOR CEDRO X 1</v>
      </c>
      <c r="D1018" s="1" t="s">
        <v>14449</v>
      </c>
      <c r="E1018" s="3">
        <f>IFERROR(VLOOKUP(B1018,'DA1'!$B$2:$D$999999,3,FALSE),"")</f>
      </c>
      <c r="F1018" s="1" t="str">
        <f>IFERROR(VLOOKUP(B1018,'SB1'!$A$2:$C$999999,3,FALSE),"")</f>
        <v>503</v>
      </c>
      <c r="G1018" s="3" t="e">
        <f t="shared" si="35"/>
        <v>#VALUE!</v>
      </c>
      <c r="H1018" s="3" t="e">
        <f t="shared" si="36"/>
        <v>#VALUE!</v>
      </c>
      <c r="I1018" s="1">
        <v>1</v>
      </c>
    </row>
    <row r="1019" spans="1:9" x14ac:dyDescent="0.25">
      <c r="A1019" s="1" t="s">
        <v>14435</v>
      </c>
      <c r="B1019" s="1" t="s">
        <v>2821</v>
      </c>
      <c r="C1019" s="1" t="str">
        <f>IFERROR(VLOOKUP(B1019,'SB1'!$A$2:$B$999999,2,FALSE),"")</f>
        <v>LACA PARA MADERA 7 VIDAS EXTERIOR CEDRO X 4</v>
      </c>
      <c r="D1019" s="1" t="s">
        <v>14449</v>
      </c>
      <c r="E1019" s="3">
        <f>IFERROR(VLOOKUP(B1019,'DA1'!$B$2:$D$999999,3,FALSE),"")</f>
      </c>
      <c r="F1019" s="1" t="str">
        <f>IFERROR(VLOOKUP(B1019,'SB1'!$A$2:$C$999999,3,FALSE),"")</f>
        <v>503</v>
      </c>
      <c r="G1019" s="3" t="e">
        <f t="shared" si="35"/>
        <v>#VALUE!</v>
      </c>
      <c r="H1019" s="3" t="e">
        <f t="shared" si="36"/>
        <v>#VALUE!</v>
      </c>
      <c r="I1019" s="1">
        <v>1</v>
      </c>
    </row>
    <row r="1020" spans="1:9" x14ac:dyDescent="0.25">
      <c r="A1020" s="1" t="s">
        <v>14435</v>
      </c>
      <c r="B1020" s="1" t="s">
        <v>2823</v>
      </c>
      <c r="C1020" s="1" t="str">
        <f>IFERROR(VLOOKUP(B1020,'SB1'!$A$2:$B$999999,2,FALSE),"")</f>
        <v>LACA PARA MADERA 7 VIDAS EXTERIOR ROBLE X 0,500</v>
      </c>
      <c r="D1020" s="1" t="s">
        <v>14449</v>
      </c>
      <c r="E1020" s="3">
        <f>IFERROR(VLOOKUP(B1020,'DA1'!$B$2:$D$999999,3,FALSE),"")</f>
      </c>
      <c r="F1020" s="1" t="str">
        <f>IFERROR(VLOOKUP(B1020,'SB1'!$A$2:$C$999999,3,FALSE),"")</f>
        <v>503</v>
      </c>
      <c r="G1020" s="3" t="e">
        <f t="shared" si="35"/>
        <v>#VALUE!</v>
      </c>
      <c r="H1020" s="3" t="e">
        <f t="shared" si="36"/>
        <v>#VALUE!</v>
      </c>
      <c r="I1020" s="1">
        <v>1</v>
      </c>
    </row>
    <row r="1021" spans="1:9" x14ac:dyDescent="0.25">
      <c r="A1021" s="1" t="s">
        <v>14435</v>
      </c>
      <c r="B1021" s="1" t="s">
        <v>2825</v>
      </c>
      <c r="C1021" s="1" t="str">
        <f>IFERROR(VLOOKUP(B1021,'SB1'!$A$2:$B$999999,2,FALSE),"")</f>
        <v>LACA PARA MADERA 7 VIDAS EXTERIOR ROBLE X 1</v>
      </c>
      <c r="D1021" s="1" t="s">
        <v>14449</v>
      </c>
      <c r="E1021" s="3">
        <f>IFERROR(VLOOKUP(B1021,'DA1'!$B$2:$D$999999,3,FALSE),"")</f>
      </c>
      <c r="F1021" s="1" t="str">
        <f>IFERROR(VLOOKUP(B1021,'SB1'!$A$2:$C$999999,3,FALSE),"")</f>
        <v>503</v>
      </c>
      <c r="G1021" s="3" t="e">
        <f t="shared" si="35"/>
        <v>#VALUE!</v>
      </c>
      <c r="H1021" s="3" t="e">
        <f t="shared" si="36"/>
        <v>#VALUE!</v>
      </c>
      <c r="I1021" s="1">
        <v>1</v>
      </c>
    </row>
    <row r="1022" spans="1:9" x14ac:dyDescent="0.25">
      <c r="A1022" s="1" t="s">
        <v>14435</v>
      </c>
      <c r="B1022" s="1" t="s">
        <v>2827</v>
      </c>
      <c r="C1022" s="1" t="str">
        <f>IFERROR(VLOOKUP(B1022,'SB1'!$A$2:$B$999999,2,FALSE),"")</f>
        <v>LACA PARA MADERA 7 VIDAS EXTERIOR ROBLE X 4</v>
      </c>
      <c r="D1022" s="1" t="s">
        <v>14449</v>
      </c>
      <c r="E1022" s="3">
        <f>IFERROR(VLOOKUP(B1022,'DA1'!$B$2:$D$999999,3,FALSE),"")</f>
      </c>
      <c r="F1022" s="1" t="str">
        <f>IFERROR(VLOOKUP(B1022,'SB1'!$A$2:$C$999999,3,FALSE),"")</f>
        <v>503</v>
      </c>
      <c r="G1022" s="3" t="e">
        <f t="shared" si="35"/>
        <v>#VALUE!</v>
      </c>
      <c r="H1022" s="3" t="e">
        <f t="shared" si="36"/>
        <v>#VALUE!</v>
      </c>
      <c r="I1022" s="1">
        <v>1</v>
      </c>
    </row>
    <row r="1023" spans="1:9" x14ac:dyDescent="0.25">
      <c r="A1023" s="1" t="s">
        <v>14435</v>
      </c>
      <c r="B1023" s="1" t="s">
        <v>2841</v>
      </c>
      <c r="C1023" s="1" t="str">
        <f>IFERROR(VLOOKUP(B1023,'SB1'!$A$2:$B$999999,2,FALSE),"")</f>
        <v>END010.31 CATALIZADOR NORMAL ACS X 0.150</v>
      </c>
      <c r="D1023" s="1" t="s">
        <v>14454</v>
      </c>
      <c r="E1023" s="3">
        <f>IFERROR(VLOOKUP(B1023,'DA1'!$B$2:$D$999999,3,FALSE),"")</f>
      </c>
      <c r="F1023" s="1" t="str">
        <f>IFERROR(VLOOKUP(B1023,'SB1'!$A$2:$C$999999,3,FALSE),"")</f>
        <v>503</v>
      </c>
      <c r="G1023" s="3" t="e">
        <f t="shared" si="35"/>
        <v>#VALUE!</v>
      </c>
      <c r="H1023" s="3" t="e">
        <f t="shared" si="36"/>
        <v>#VALUE!</v>
      </c>
      <c r="I1023" s="1">
        <v>3</v>
      </c>
    </row>
    <row r="1024" spans="1:9" x14ac:dyDescent="0.25">
      <c r="A1024" s="1" t="s">
        <v>14435</v>
      </c>
      <c r="B1024" s="1" t="s">
        <v>2843</v>
      </c>
      <c r="C1024" s="1" t="str">
        <f>IFERROR(VLOOKUP(B1024,'SB1'!$A$2:$B$999999,2,FALSE),"")</f>
        <v>END020.02 CATALIZADOR RAPIDO ACS X 0.450</v>
      </c>
      <c r="D1024" s="1" t="s">
        <v>14454</v>
      </c>
      <c r="E1024" s="3">
        <f>IFERROR(VLOOKUP(B1024,'DA1'!$B$2:$D$999999,3,FALSE),"")</f>
      </c>
      <c r="F1024" s="1" t="str">
        <f>IFERROR(VLOOKUP(B1024,'SB1'!$A$2:$C$999999,3,FALSE),"")</f>
        <v>503</v>
      </c>
      <c r="G1024" s="3" t="e">
        <f t="shared" si="35"/>
        <v>#VALUE!</v>
      </c>
      <c r="H1024" s="3" t="e">
        <f t="shared" si="36"/>
        <v>#VALUE!</v>
      </c>
      <c r="I1024" s="1">
        <v>3</v>
      </c>
    </row>
    <row r="1025" spans="1:9" x14ac:dyDescent="0.25">
      <c r="A1025" s="1" t="s">
        <v>14435</v>
      </c>
      <c r="B1025" s="1" t="s">
        <v>2845</v>
      </c>
      <c r="C1025" s="1" t="str">
        <f>IFERROR(VLOOKUP(B1025,'SB1'!$A$2:$B$999999,2,FALSE),"")</f>
        <v>END020.11 CATALIZADOR RAPIDO ACS X 1</v>
      </c>
      <c r="D1025" s="1" t="s">
        <v>14454</v>
      </c>
      <c r="E1025" s="3">
        <f>IFERROR(VLOOKUP(B1025,'DA1'!$B$2:$D$999999,3,FALSE),"")</f>
      </c>
      <c r="F1025" s="1" t="str">
        <f>IFERROR(VLOOKUP(B1025,'SB1'!$A$2:$C$999999,3,FALSE),"")</f>
        <v>503</v>
      </c>
      <c r="G1025" s="3" t="e">
        <f t="shared" si="35"/>
        <v>#VALUE!</v>
      </c>
      <c r="H1025" s="3" t="e">
        <f t="shared" si="36"/>
        <v>#VALUE!</v>
      </c>
      <c r="I1025" s="1">
        <v>3</v>
      </c>
    </row>
    <row r="1026" spans="1:9" x14ac:dyDescent="0.25">
      <c r="A1026" s="1" t="s">
        <v>14435</v>
      </c>
      <c r="B1026" s="1" t="s">
        <v>2847</v>
      </c>
      <c r="C1026" s="1" t="str">
        <f>IFERROR(VLOOKUP(B1026,'SB1'!$A$2:$B$999999,2,FALSE),"")</f>
        <v>END010.02 CATALIZADOR NORMAL ACS X 0.450</v>
      </c>
      <c r="D1026" s="1" t="s">
        <v>14454</v>
      </c>
      <c r="E1026" s="3">
        <f>IFERROR(VLOOKUP(B1026,'DA1'!$B$2:$D$999999,3,FALSE),"")</f>
      </c>
      <c r="F1026" s="1" t="str">
        <f>IFERROR(VLOOKUP(B1026,'SB1'!$A$2:$C$999999,3,FALSE),"")</f>
        <v>503</v>
      </c>
      <c r="G1026" s="3" t="e">
        <f t="shared" si="35"/>
        <v>#VALUE!</v>
      </c>
      <c r="H1026" s="3" t="e">
        <f t="shared" si="36"/>
        <v>#VALUE!</v>
      </c>
      <c r="I1026" s="1">
        <v>3</v>
      </c>
    </row>
    <row r="1027" spans="1:9" x14ac:dyDescent="0.25">
      <c r="A1027" s="1" t="s">
        <v>14435</v>
      </c>
      <c r="B1027" s="1" t="s">
        <v>2853</v>
      </c>
      <c r="C1027" s="1" t="str">
        <f>IFERROR(VLOOKUP(B1027,'SB1'!$A$2:$B$999999,2,FALSE),"")</f>
        <v>ESMALTE SINTETICO PLAVICON 3EN1 BRILLANTE MARRON X  0,250</v>
      </c>
      <c r="D1027" s="1" t="s">
        <v>14439</v>
      </c>
      <c r="E1027" s="3">
        <f>IFERROR(VLOOKUP(B1027,'DA1'!$B$2:$D$999999,3,FALSE),"")</f>
      </c>
      <c r="F1027" s="1" t="str">
        <f>IFERROR(VLOOKUP(B1027,'SB1'!$A$2:$C$999999,3,FALSE),"")</f>
        <v>503</v>
      </c>
      <c r="G1027" s="3" t="e">
        <f t="shared" ref="G1027:G1090" si="37">E1027*1.04</f>
        <v>#VALUE!</v>
      </c>
      <c r="H1027" s="3" t="e">
        <f t="shared" si="36"/>
        <v>#VALUE!</v>
      </c>
      <c r="I1027" s="1">
        <v>1</v>
      </c>
    </row>
    <row r="1028" spans="1:9" x14ac:dyDescent="0.25">
      <c r="A1028" s="1" t="s">
        <v>14435</v>
      </c>
      <c r="B1028" s="1" t="s">
        <v>2857</v>
      </c>
      <c r="C1028" s="1" t="str">
        <f>IFERROR(VLOOKUP(B1028,'SB1'!$A$2:$B$999999,2,FALSE),"")</f>
        <v>ESMALTE SINTETICO PLAVICON 3EN1 BRILLANTE MARRON X  0,500</v>
      </c>
      <c r="D1028" s="1" t="s">
        <v>14458</v>
      </c>
      <c r="E1028" s="3">
        <f>IFERROR(VLOOKUP(B1028,'DA1'!$B$2:$D$999999,3,FALSE),"")</f>
      </c>
      <c r="F1028" s="1" t="str">
        <f>IFERROR(VLOOKUP(B1028,'SB1'!$A$2:$C$999999,3,FALSE),"")</f>
        <v>503</v>
      </c>
      <c r="G1028" s="3" t="e">
        <f t="shared" si="37"/>
        <v>#VALUE!</v>
      </c>
      <c r="H1028" s="3" t="e">
        <f t="shared" si="36"/>
        <v>#VALUE!</v>
      </c>
      <c r="I1028" s="1">
        <v>1</v>
      </c>
    </row>
    <row r="1029" spans="1:9" x14ac:dyDescent="0.25">
      <c r="A1029" s="1" t="s">
        <v>14435</v>
      </c>
      <c r="B1029" s="1" t="s">
        <v>2863</v>
      </c>
      <c r="C1029" s="1" t="str">
        <f>IFERROR(VLOOKUP(B1029,'SB1'!$A$2:$B$999999,2,FALSE),"")</f>
        <v>SIGMATHERM 540 X 20</v>
      </c>
      <c r="D1029" s="1" t="s">
        <v>14484</v>
      </c>
      <c r="E1029" s="3">
        <f>IFERROR(VLOOKUP(B1029,'DA1'!$B$2:$D$999999,3,FALSE),"")</f>
      </c>
      <c r="F1029" s="1" t="str">
        <f>IFERROR(VLOOKUP(B1029,'SB1'!$A$2:$C$999999,3,FALSE),"")</f>
        <v>503</v>
      </c>
      <c r="G1029" s="3" t="e">
        <f t="shared" si="37"/>
        <v>#VALUE!</v>
      </c>
      <c r="H1029" s="3" t="e">
        <f t="shared" si="36"/>
        <v>#VALUE!</v>
      </c>
      <c r="I1029" s="1">
        <v>3</v>
      </c>
    </row>
    <row r="1030" spans="1:9" x14ac:dyDescent="0.25">
      <c r="A1030" s="1" t="s">
        <v>14435</v>
      </c>
      <c r="B1030" s="1" t="s">
        <v>2865</v>
      </c>
      <c r="C1030" s="1" t="str">
        <f>IFERROR(VLOOKUP(B1030,'SB1'!$A$2:$B$999999,2,FALSE),"")</f>
        <v>D807P.04 DILUYENTE MEDIO PU/POLIESTER PPG X  1</v>
      </c>
      <c r="D1030" s="1" t="s">
        <v>14446</v>
      </c>
      <c r="E1030" s="3">
        <f>IFERROR(VLOOKUP(B1030,'DA1'!$B$2:$D$999999,3,FALSE),"")</f>
      </c>
      <c r="F1030" s="1" t="str">
        <f>IFERROR(VLOOKUP(B1030,'SB1'!$A$2:$C$999999,3,FALSE),"")</f>
        <v>503</v>
      </c>
      <c r="G1030" s="3" t="e">
        <f t="shared" si="37"/>
        <v>#VALUE!</v>
      </c>
      <c r="H1030" s="3" t="e">
        <f t="shared" si="36"/>
        <v>#VALUE!</v>
      </c>
      <c r="I1030" s="1">
        <v>3</v>
      </c>
    </row>
    <row r="1031" spans="1:9" x14ac:dyDescent="0.25">
      <c r="A1031" s="1" t="s">
        <v>14435</v>
      </c>
      <c r="B1031" s="1" t="s">
        <v>2867</v>
      </c>
      <c r="C1031" s="1" t="str">
        <f>IFERROR(VLOOKUP(B1031,'SB1'!$A$2:$B$999999,2,FALSE),"")</f>
        <v>D807P-10 DILUYENTE MEDIO PU/POLIESTER PPG X  5</v>
      </c>
      <c r="D1031" s="1" t="s">
        <v>14446</v>
      </c>
      <c r="E1031" s="3">
        <f>IFERROR(VLOOKUP(B1031,'DA1'!$B$2:$D$999999,3,FALSE),"")</f>
      </c>
      <c r="F1031" s="1" t="str">
        <f>IFERROR(VLOOKUP(B1031,'SB1'!$A$2:$C$999999,3,FALSE),"")</f>
        <v>503</v>
      </c>
      <c r="G1031" s="3" t="e">
        <f t="shared" si="37"/>
        <v>#VALUE!</v>
      </c>
      <c r="H1031" s="3" t="e">
        <f t="shared" si="36"/>
        <v>#VALUE!</v>
      </c>
      <c r="I1031" s="1">
        <v>3</v>
      </c>
    </row>
    <row r="1032" spans="1:9" x14ac:dyDescent="0.25">
      <c r="A1032" s="1" t="s">
        <v>14435</v>
      </c>
      <c r="B1032" s="1" t="s">
        <v>2869</v>
      </c>
      <c r="C1032" s="1" t="str">
        <f>IFERROR(VLOOKUP(B1032,'SB1'!$A$2:$B$999999,2,FALSE),"")</f>
        <v>D807P.20 DILUYENTE MEDIO PU/POLIESTER PPG X 20</v>
      </c>
      <c r="D1032" s="1" t="s">
        <v>14446</v>
      </c>
      <c r="E1032" s="3">
        <f>IFERROR(VLOOKUP(B1032,'DA1'!$B$2:$D$999999,3,FALSE),"")</f>
      </c>
      <c r="F1032" s="1" t="str">
        <f>IFERROR(VLOOKUP(B1032,'SB1'!$A$2:$C$999999,3,FALSE),"")</f>
        <v>503</v>
      </c>
      <c r="G1032" s="3" t="e">
        <f t="shared" si="37"/>
        <v>#VALUE!</v>
      </c>
      <c r="H1032" s="3" t="e">
        <f t="shared" si="36"/>
        <v>#VALUE!</v>
      </c>
      <c r="I1032" s="1">
        <v>3</v>
      </c>
    </row>
    <row r="1033" spans="1:9" x14ac:dyDescent="0.25">
      <c r="A1033" s="1" t="s">
        <v>14435</v>
      </c>
      <c r="B1033" s="1" t="s">
        <v>2871</v>
      </c>
      <c r="C1033" s="1" t="str">
        <f>IFERROR(VLOOKUP(B1033,'SB1'!$A$2:$B$999999,2,FALSE),"")</f>
        <v>ESMALTE SINTETICO PLAVICON 3EN1 BRILLANTE MARRON X  1</v>
      </c>
      <c r="D1033" s="1" t="s">
        <v>14458</v>
      </c>
      <c r="E1033" s="3">
        <f>IFERROR(VLOOKUP(B1033,'DA1'!$B$2:$D$999999,3,FALSE),"")</f>
      </c>
      <c r="F1033" s="1" t="str">
        <f>IFERROR(VLOOKUP(B1033,'SB1'!$A$2:$C$999999,3,FALSE),"")</f>
        <v>503</v>
      </c>
      <c r="G1033" s="3" t="e">
        <f t="shared" si="37"/>
        <v>#VALUE!</v>
      </c>
      <c r="H1033" s="3" t="e">
        <f t="shared" si="36"/>
        <v>#VALUE!</v>
      </c>
      <c r="I1033" s="1">
        <v>1</v>
      </c>
    </row>
    <row r="1034" spans="1:9" x14ac:dyDescent="0.25">
      <c r="A1034" s="1" t="s">
        <v>14435</v>
      </c>
      <c r="B1034" s="1" t="s">
        <v>2877</v>
      </c>
      <c r="C1034" s="1" t="str">
        <f>IFERROR(VLOOKUP(B1034,'SB1'!$A$2:$B$999999,2,FALSE),"")</f>
        <v>AEROSOL RUST-OLEUM SP LACA BRILLANTE BLANCO X 0,312(272076)</v>
      </c>
      <c r="D1034" s="1" t="s">
        <v>14475</v>
      </c>
      <c r="E1034" s="3">
        <f>IFERROR(VLOOKUP(B1034,'DA1'!$B$2:$D$999999,3,FALSE),"")</f>
      </c>
      <c r="F1034" s="1" t="str">
        <f>IFERROR(VLOOKUP(B1034,'SB1'!$A$2:$C$999999,3,FALSE),"")</f>
        <v>503</v>
      </c>
      <c r="G1034" s="3" t="e">
        <f t="shared" si="37"/>
        <v>#VALUE!</v>
      </c>
      <c r="H1034" s="3" t="e">
        <f t="shared" si="36"/>
        <v>#VALUE!</v>
      </c>
      <c r="I1034" s="1">
        <v>1</v>
      </c>
    </row>
    <row r="1035" spans="1:9" x14ac:dyDescent="0.25">
      <c r="A1035" s="1" t="s">
        <v>14435</v>
      </c>
      <c r="B1035" s="1" t="s">
        <v>2879</v>
      </c>
      <c r="C1035" s="1" t="str">
        <f>IFERROR(VLOOKUP(B1035,'SB1'!$A$2:$B$999999,2,FALSE),"")</f>
        <v>ESMALTE SINTETICO PLAVICON 3EN1 BRILLANTE MARRON X  4</v>
      </c>
      <c r="D1035" s="1" t="s">
        <v>14458</v>
      </c>
      <c r="E1035" s="3">
        <f>IFERROR(VLOOKUP(B1035,'DA1'!$B$2:$D$999999,3,FALSE),"")</f>
      </c>
      <c r="F1035" s="1" t="str">
        <f>IFERROR(VLOOKUP(B1035,'SB1'!$A$2:$C$999999,3,FALSE),"")</f>
        <v>503</v>
      </c>
      <c r="G1035" s="3" t="e">
        <f t="shared" si="37"/>
        <v>#VALUE!</v>
      </c>
      <c r="H1035" s="3" t="e">
        <f t="shared" si="36"/>
        <v>#VALUE!</v>
      </c>
      <c r="I1035" s="1">
        <v>1</v>
      </c>
    </row>
    <row r="1036" spans="1:9" x14ac:dyDescent="0.25">
      <c r="A1036" s="1" t="s">
        <v>14435</v>
      </c>
      <c r="B1036" s="1" t="s">
        <v>2881</v>
      </c>
      <c r="C1036" s="1" t="str">
        <f>IFERROR(VLOOKUP(B1036,'SB1'!$A$2:$B$999999,2,FALSE),"")</f>
        <v>ESMALTE SINTETICO PLAVICON 3EN1 BRILLANTE MARRON X 20</v>
      </c>
      <c r="D1036" s="1" t="s">
        <v>14458</v>
      </c>
      <c r="E1036" s="3">
        <f>IFERROR(VLOOKUP(B1036,'DA1'!$B$2:$D$999999,3,FALSE),"")</f>
      </c>
      <c r="F1036" s="1" t="str">
        <f>IFERROR(VLOOKUP(B1036,'SB1'!$A$2:$C$999999,3,FALSE),"")</f>
        <v>503</v>
      </c>
      <c r="G1036" s="3" t="e">
        <f t="shared" si="37"/>
        <v>#VALUE!</v>
      </c>
      <c r="H1036" s="3" t="e">
        <f t="shared" si="36"/>
        <v>#VALUE!</v>
      </c>
      <c r="I1036" s="1">
        <v>1</v>
      </c>
    </row>
    <row r="1037" spans="1:9" x14ac:dyDescent="0.25">
      <c r="A1037" s="1" t="s">
        <v>14435</v>
      </c>
      <c r="B1037" s="1" t="s">
        <v>2885</v>
      </c>
      <c r="C1037" s="1" t="str">
        <f>IFERROR(VLOOKUP(B1037,'SB1'!$A$2:$B$999999,2,FALSE),"")</f>
        <v>ESMALTE SINTETICO PLAVICON 3EN1 BRILLANTE GRIS X  0,250</v>
      </c>
      <c r="D1037" s="1" t="s">
        <v>14439</v>
      </c>
      <c r="E1037" s="3">
        <f>IFERROR(VLOOKUP(B1037,'DA1'!$B$2:$D$999999,3,FALSE),"")</f>
      </c>
      <c r="F1037" s="1" t="str">
        <f>IFERROR(VLOOKUP(B1037,'SB1'!$A$2:$C$999999,3,FALSE),"")</f>
        <v>503</v>
      </c>
      <c r="G1037" s="3" t="e">
        <f t="shared" si="37"/>
        <v>#VALUE!</v>
      </c>
      <c r="H1037" s="3" t="e">
        <f t="shared" si="36"/>
        <v>#VALUE!</v>
      </c>
      <c r="I1037" s="1">
        <v>1</v>
      </c>
    </row>
    <row r="1038" spans="1:9" x14ac:dyDescent="0.25">
      <c r="A1038" s="1" t="s">
        <v>14435</v>
      </c>
      <c r="B1038" s="1" t="s">
        <v>2889</v>
      </c>
      <c r="C1038" s="1" t="str">
        <f>IFERROR(VLOOKUP(B1038,'SB1'!$A$2:$B$999999,2,FALSE),"")</f>
        <v>ESMALTE SINTETICO PLAVICON 3EN1 BRILLANTE GRIS X  0,500</v>
      </c>
      <c r="D1038" s="1" t="s">
        <v>14458</v>
      </c>
      <c r="E1038" s="3">
        <f>IFERROR(VLOOKUP(B1038,'DA1'!$B$2:$D$999999,3,FALSE),"")</f>
      </c>
      <c r="F1038" s="1" t="str">
        <f>IFERROR(VLOOKUP(B1038,'SB1'!$A$2:$C$999999,3,FALSE),"")</f>
        <v>503</v>
      </c>
      <c r="G1038" s="3" t="e">
        <f t="shared" si="37"/>
        <v>#VALUE!</v>
      </c>
      <c r="H1038" s="3" t="e">
        <f t="shared" si="36"/>
        <v>#VALUE!</v>
      </c>
      <c r="I1038" s="1">
        <v>1</v>
      </c>
    </row>
    <row r="1039" spans="1:9" x14ac:dyDescent="0.25">
      <c r="A1039" s="1" t="s">
        <v>14435</v>
      </c>
      <c r="B1039" s="1" t="s">
        <v>2891</v>
      </c>
      <c r="C1039" s="1" t="str">
        <f>IFERROR(VLOOKUP(B1039,'SB1'!$A$2:$B$999999,2,FALSE),"")</f>
        <v>ESMALTE SINTETICO PLAVICON 3EN1 BRILLANTE GRIS X  1</v>
      </c>
      <c r="D1039" s="1" t="s">
        <v>14458</v>
      </c>
      <c r="E1039" s="3">
        <f>IFERROR(VLOOKUP(B1039,'DA1'!$B$2:$D$999999,3,FALSE),"")</f>
      </c>
      <c r="F1039" s="1" t="str">
        <f>IFERROR(VLOOKUP(B1039,'SB1'!$A$2:$C$999999,3,FALSE),"")</f>
        <v>503</v>
      </c>
      <c r="G1039" s="3" t="e">
        <f t="shared" si="37"/>
        <v>#VALUE!</v>
      </c>
      <c r="H1039" s="3" t="e">
        <f t="shared" si="36"/>
        <v>#VALUE!</v>
      </c>
      <c r="I1039" s="1">
        <v>1</v>
      </c>
    </row>
    <row r="1040" spans="1:9" x14ac:dyDescent="0.25">
      <c r="A1040" s="1" t="s">
        <v>14435</v>
      </c>
      <c r="B1040" s="1" t="s">
        <v>2903</v>
      </c>
      <c r="C1040" s="1" t="str">
        <f>IFERROR(VLOOKUP(B1040,'SB1'!$A$2:$B$999999,2,FALSE),"")</f>
        <v>P426-HE03 GRAPHITE FLAKE X 1</v>
      </c>
      <c r="D1040" s="1" t="s">
        <v>14439</v>
      </c>
      <c r="E1040" s="3">
        <f>IFERROR(VLOOKUP(B1040,'DA1'!$B$2:$D$999999,3,FALSE),"")</f>
      </c>
      <c r="F1040" s="1" t="str">
        <f>IFERROR(VLOOKUP(B1040,'SB1'!$A$2:$C$999999,3,FALSE),"")</f>
        <v>503</v>
      </c>
      <c r="G1040" s="3" t="e">
        <f t="shared" si="37"/>
        <v>#VALUE!</v>
      </c>
      <c r="H1040" s="3" t="e">
        <f t="shared" si="36"/>
        <v>#VALUE!</v>
      </c>
      <c r="I1040" s="1">
        <v>3</v>
      </c>
    </row>
    <row r="1041" spans="1:9" x14ac:dyDescent="0.25">
      <c r="A1041" s="1" t="s">
        <v>14435</v>
      </c>
      <c r="B1041" s="1" t="s">
        <v>2905</v>
      </c>
      <c r="C1041" s="1" t="str">
        <f>IFERROR(VLOOKUP(B1041,'SB1'!$A$2:$B$999999,2,FALSE),"")</f>
        <v>P426-HE04 GOLD FLASH X 1</v>
      </c>
      <c r="D1041" s="1" t="s">
        <v>14485</v>
      </c>
      <c r="E1041" s="3">
        <f>IFERROR(VLOOKUP(B1041,'DA1'!$B$2:$D$999999,3,FALSE),"")</f>
      </c>
      <c r="F1041" s="1" t="str">
        <f>IFERROR(VLOOKUP(B1041,'SB1'!$A$2:$C$999999,3,FALSE),"")</f>
        <v>503</v>
      </c>
      <c r="G1041" s="3" t="e">
        <f t="shared" si="37"/>
        <v>#VALUE!</v>
      </c>
      <c r="H1041" s="3" t="e">
        <f t="shared" si="36"/>
        <v>#VALUE!</v>
      </c>
      <c r="I1041" s="1">
        <v>3</v>
      </c>
    </row>
    <row r="1042" spans="1:9" x14ac:dyDescent="0.25">
      <c r="A1042" s="1" t="s">
        <v>14435</v>
      </c>
      <c r="B1042" s="1" t="s">
        <v>2907</v>
      </c>
      <c r="C1042" s="1" t="str">
        <f>IFERROR(VLOOKUP(B1042,'SB1'!$A$2:$B$999999,2,FALSE),"")</f>
        <v>P426-PP05 PEARL WHITE X 1</v>
      </c>
      <c r="D1042" s="1" t="s">
        <v>14485</v>
      </c>
      <c r="E1042" s="3">
        <f>IFERROR(VLOOKUP(B1042,'DA1'!$B$2:$D$999999,3,FALSE),"")</f>
      </c>
      <c r="F1042" s="1" t="str">
        <f>IFERROR(VLOOKUP(B1042,'SB1'!$A$2:$C$999999,3,FALSE),"")</f>
        <v>503</v>
      </c>
      <c r="G1042" s="3" t="e">
        <f t="shared" si="37"/>
        <v>#VALUE!</v>
      </c>
      <c r="H1042" s="3" t="e">
        <f t="shared" si="36"/>
        <v>#VALUE!</v>
      </c>
      <c r="I1042" s="1">
        <v>3</v>
      </c>
    </row>
    <row r="1043" spans="1:9" x14ac:dyDescent="0.25">
      <c r="A1043" s="1" t="s">
        <v>14435</v>
      </c>
      <c r="B1043" s="1" t="s">
        <v>2909</v>
      </c>
      <c r="C1043" s="1" t="str">
        <f>IFERROR(VLOOKUP(B1043,'SB1'!$A$2:$B$999999,2,FALSE),"")</f>
        <v>P426-PP06 FINE PEARL WHITE X 1</v>
      </c>
      <c r="D1043" s="1" t="s">
        <v>14485</v>
      </c>
      <c r="E1043" s="3">
        <f>IFERROR(VLOOKUP(B1043,'DA1'!$B$2:$D$999999,3,FALSE),"")</f>
      </c>
      <c r="F1043" s="1" t="str">
        <f>IFERROR(VLOOKUP(B1043,'SB1'!$A$2:$C$999999,3,FALSE),"")</f>
        <v>503</v>
      </c>
      <c r="G1043" s="3" t="e">
        <f t="shared" si="37"/>
        <v>#VALUE!</v>
      </c>
      <c r="H1043" s="3" t="e">
        <f t="shared" si="36"/>
        <v>#VALUE!</v>
      </c>
      <c r="I1043" s="1">
        <v>3</v>
      </c>
    </row>
    <row r="1044" spans="1:9" x14ac:dyDescent="0.25">
      <c r="A1044" s="1" t="s">
        <v>14435</v>
      </c>
      <c r="B1044" s="1" t="s">
        <v>2911</v>
      </c>
      <c r="C1044" s="1" t="str">
        <f>IFERROR(VLOOKUP(B1044,'SB1'!$A$2:$B$999999,2,FALSE),"")</f>
        <v>P426-PP07-E1C PEARL BLUE X 1</v>
      </c>
      <c r="D1044" s="1" t="s">
        <v>14485</v>
      </c>
      <c r="E1044" s="3">
        <f>IFERROR(VLOOKUP(B1044,'DA1'!$B$2:$D$999999,3,FALSE),"")</f>
      </c>
      <c r="F1044" s="1" t="str">
        <f>IFERROR(VLOOKUP(B1044,'SB1'!$A$2:$C$999999,3,FALSE),"")</f>
        <v>503</v>
      </c>
      <c r="G1044" s="3" t="e">
        <f t="shared" si="37"/>
        <v>#VALUE!</v>
      </c>
      <c r="H1044" s="3" t="e">
        <f t="shared" si="36"/>
        <v>#VALUE!</v>
      </c>
      <c r="I1044" s="1">
        <v>3</v>
      </c>
    </row>
    <row r="1045" spans="1:9" x14ac:dyDescent="0.25">
      <c r="A1045" s="1" t="s">
        <v>14435</v>
      </c>
      <c r="B1045" s="1" t="s">
        <v>2913</v>
      </c>
      <c r="C1045" s="1" t="str">
        <f>IFERROR(VLOOKUP(B1045,'SB1'!$A$2:$B$999999,2,FALSE),"")</f>
        <v>P426-PP08-E1C RED PEARL X 1</v>
      </c>
      <c r="D1045" s="1" t="s">
        <v>14485</v>
      </c>
      <c r="E1045" s="3">
        <f>IFERROR(VLOOKUP(B1045,'DA1'!$B$2:$D$999999,3,FALSE),"")</f>
      </c>
      <c r="F1045" s="1" t="str">
        <f>IFERROR(VLOOKUP(B1045,'SB1'!$A$2:$C$999999,3,FALSE),"")</f>
        <v>503</v>
      </c>
      <c r="G1045" s="3" t="e">
        <f t="shared" si="37"/>
        <v>#VALUE!</v>
      </c>
      <c r="H1045" s="3" t="e">
        <f t="shared" si="36"/>
        <v>#VALUE!</v>
      </c>
      <c r="I1045" s="1">
        <v>3</v>
      </c>
    </row>
    <row r="1046" spans="1:9" x14ac:dyDescent="0.25">
      <c r="A1046" s="1" t="s">
        <v>14435</v>
      </c>
      <c r="B1046" s="1" t="s">
        <v>2915</v>
      </c>
      <c r="C1046" s="1" t="str">
        <f>IFERROR(VLOOKUP(B1046,'SB1'!$A$2:$B$999999,2,FALSE),"")</f>
        <v>P426-PP09 PEARL GOLD X 1</v>
      </c>
      <c r="D1046" s="1" t="s">
        <v>14485</v>
      </c>
      <c r="E1046" s="3">
        <f>IFERROR(VLOOKUP(B1046,'DA1'!$B$2:$D$999999,3,FALSE),"")</f>
      </c>
      <c r="F1046" s="1" t="str">
        <f>IFERROR(VLOOKUP(B1046,'SB1'!$A$2:$C$999999,3,FALSE),"")</f>
        <v>503</v>
      </c>
      <c r="G1046" s="3" t="e">
        <f t="shared" si="37"/>
        <v>#VALUE!</v>
      </c>
      <c r="H1046" s="3" t="e">
        <f t="shared" si="36"/>
        <v>#VALUE!</v>
      </c>
      <c r="I1046" s="1">
        <v>3</v>
      </c>
    </row>
    <row r="1047" spans="1:9" x14ac:dyDescent="0.25">
      <c r="A1047" s="1" t="s">
        <v>14435</v>
      </c>
      <c r="B1047" s="1" t="s">
        <v>2917</v>
      </c>
      <c r="C1047" s="1" t="str">
        <f>IFERROR(VLOOKUP(B1047,'SB1'!$A$2:$B$999999,2,FALSE),"")</f>
        <v>P426-PP10 COPPER PEARL X 1</v>
      </c>
      <c r="D1047" s="1" t="s">
        <v>14485</v>
      </c>
      <c r="E1047" s="3">
        <f>IFERROR(VLOOKUP(B1047,'DA1'!$B$2:$D$999999,3,FALSE),"")</f>
      </c>
      <c r="F1047" s="1" t="str">
        <f>IFERROR(VLOOKUP(B1047,'SB1'!$A$2:$C$999999,3,FALSE),"")</f>
        <v>503</v>
      </c>
      <c r="G1047" s="3" t="e">
        <f t="shared" si="37"/>
        <v>#VALUE!</v>
      </c>
      <c r="H1047" s="3" t="e">
        <f t="shared" si="36"/>
        <v>#VALUE!</v>
      </c>
      <c r="I1047" s="1">
        <v>3</v>
      </c>
    </row>
    <row r="1048" spans="1:9" x14ac:dyDescent="0.25">
      <c r="A1048" s="1" t="s">
        <v>14435</v>
      </c>
      <c r="B1048" s="1" t="s">
        <v>2919</v>
      </c>
      <c r="C1048" s="1" t="str">
        <f>IFERROR(VLOOKUP(B1048,'SB1'!$A$2:$B$999999,2,FALSE),"")</f>
        <v>P426-PP60 PEARL WHITE ULTRAFINE X 1</v>
      </c>
      <c r="D1048" s="1" t="s">
        <v>14485</v>
      </c>
      <c r="E1048" s="3">
        <f>IFERROR(VLOOKUP(B1048,'DA1'!$B$2:$D$999999,3,FALSE),"")</f>
      </c>
      <c r="F1048" s="1" t="str">
        <f>IFERROR(VLOOKUP(B1048,'SB1'!$A$2:$C$999999,3,FALSE),"")</f>
        <v>503</v>
      </c>
      <c r="G1048" s="3" t="e">
        <f t="shared" si="37"/>
        <v>#VALUE!</v>
      </c>
      <c r="H1048" s="3" t="e">
        <f t="shared" si="36"/>
        <v>#VALUE!</v>
      </c>
      <c r="I1048" s="1">
        <v>3</v>
      </c>
    </row>
    <row r="1049" spans="1:9" x14ac:dyDescent="0.25">
      <c r="A1049" s="1" t="s">
        <v>14435</v>
      </c>
      <c r="B1049" s="1" t="s">
        <v>2921</v>
      </c>
      <c r="C1049" s="1" t="str">
        <f>IFERROR(VLOOKUP(B1049,'SB1'!$A$2:$B$999999,2,FALSE),"")</f>
        <v>P426-PP61 PEARL RED FINE X 1</v>
      </c>
      <c r="D1049" s="1" t="s">
        <v>14485</v>
      </c>
      <c r="E1049" s="3">
        <f>IFERROR(VLOOKUP(B1049,'DA1'!$B$2:$D$999999,3,FALSE),"")</f>
      </c>
      <c r="F1049" s="1" t="str">
        <f>IFERROR(VLOOKUP(B1049,'SB1'!$A$2:$C$999999,3,FALSE),"")</f>
        <v>503</v>
      </c>
      <c r="G1049" s="3" t="e">
        <f t="shared" si="37"/>
        <v>#VALUE!</v>
      </c>
      <c r="H1049" s="3" t="e">
        <f t="shared" si="36"/>
        <v>#VALUE!</v>
      </c>
      <c r="I1049" s="1">
        <v>3</v>
      </c>
    </row>
    <row r="1050" spans="1:9" x14ac:dyDescent="0.25">
      <c r="A1050" s="1" t="s">
        <v>14435</v>
      </c>
      <c r="B1050" s="1" t="s">
        <v>2923</v>
      </c>
      <c r="C1050" s="1" t="str">
        <f>IFERROR(VLOOKUP(B1050,'SB1'!$A$2:$B$999999,2,FALSE),"")</f>
        <v>P426-PP62 RUSSET PEARL FINE X 1</v>
      </c>
      <c r="D1050" s="1" t="s">
        <v>14485</v>
      </c>
      <c r="E1050" s="3">
        <f>IFERROR(VLOOKUP(B1050,'DA1'!$B$2:$D$999999,3,FALSE),"")</f>
      </c>
      <c r="F1050" s="1" t="str">
        <f>IFERROR(VLOOKUP(B1050,'SB1'!$A$2:$C$999999,3,FALSE),"")</f>
        <v>503</v>
      </c>
      <c r="G1050" s="3" t="e">
        <f t="shared" si="37"/>
        <v>#VALUE!</v>
      </c>
      <c r="H1050" s="3" t="e">
        <f t="shared" si="36"/>
        <v>#VALUE!</v>
      </c>
      <c r="I1050" s="1">
        <v>3</v>
      </c>
    </row>
    <row r="1051" spans="1:9" x14ac:dyDescent="0.25">
      <c r="A1051" s="1" t="s">
        <v>14435</v>
      </c>
      <c r="B1051" s="1" t="s">
        <v>2925</v>
      </c>
      <c r="C1051" s="1" t="str">
        <f>IFERROR(VLOOKUP(B1051,'SB1'!$A$2:$B$999999,2,FALSE),"")</f>
        <v>P426-PP63 PEARL BLUE FINE X 1</v>
      </c>
      <c r="D1051" s="1" t="s">
        <v>14485</v>
      </c>
      <c r="E1051" s="3">
        <f>IFERROR(VLOOKUP(B1051,'DA1'!$B$2:$D$999999,3,FALSE),"")</f>
      </c>
      <c r="F1051" s="1" t="str">
        <f>IFERROR(VLOOKUP(B1051,'SB1'!$A$2:$C$999999,3,FALSE),"")</f>
        <v>503</v>
      </c>
      <c r="G1051" s="3" t="e">
        <f t="shared" si="37"/>
        <v>#VALUE!</v>
      </c>
      <c r="H1051" s="3" t="e">
        <f t="shared" si="36"/>
        <v>#VALUE!</v>
      </c>
      <c r="I1051" s="1">
        <v>3</v>
      </c>
    </row>
    <row r="1052" spans="1:9" x14ac:dyDescent="0.25">
      <c r="A1052" s="1" t="s">
        <v>14435</v>
      </c>
      <c r="B1052" s="1" t="s">
        <v>2927</v>
      </c>
      <c r="C1052" s="1" t="str">
        <f>IFERROR(VLOOKUP(B1052,'SB1'!$A$2:$B$999999,2,FALSE),"")</f>
        <v>P426-PP64 PEARL VIOLET MEDIUM X 1</v>
      </c>
      <c r="D1052" s="1" t="s">
        <v>14485</v>
      </c>
      <c r="E1052" s="3">
        <f>IFERROR(VLOOKUP(B1052,'DA1'!$B$2:$D$999999,3,FALSE),"")</f>
      </c>
      <c r="F1052" s="1" t="str">
        <f>IFERROR(VLOOKUP(B1052,'SB1'!$A$2:$C$999999,3,FALSE),"")</f>
        <v>503</v>
      </c>
      <c r="G1052" s="3" t="e">
        <f t="shared" si="37"/>
        <v>#VALUE!</v>
      </c>
      <c r="H1052" s="3" t="e">
        <f t="shared" si="36"/>
        <v>#VALUE!</v>
      </c>
      <c r="I1052" s="1">
        <v>3</v>
      </c>
    </row>
    <row r="1053" spans="1:9" x14ac:dyDescent="0.25">
      <c r="A1053" s="1" t="s">
        <v>14435</v>
      </c>
      <c r="B1053" s="1" t="s">
        <v>2929</v>
      </c>
      <c r="C1053" s="1" t="str">
        <f>IFERROR(VLOOKUP(B1053,'SB1'!$A$2:$B$999999,2,FALSE),"")</f>
        <v>P426-PP65 PEARL GREEN MEDIUM X 1</v>
      </c>
      <c r="D1053" s="1" t="s">
        <v>14485</v>
      </c>
      <c r="E1053" s="3">
        <f>IFERROR(VLOOKUP(B1053,'DA1'!$B$2:$D$999999,3,FALSE),"")</f>
      </c>
      <c r="F1053" s="1" t="str">
        <f>IFERROR(VLOOKUP(B1053,'SB1'!$A$2:$C$999999,3,FALSE),"")</f>
        <v>503</v>
      </c>
      <c r="G1053" s="3" t="e">
        <f t="shared" si="37"/>
        <v>#VALUE!</v>
      </c>
      <c r="H1053" s="3" t="e">
        <f t="shared" si="36"/>
        <v>#VALUE!</v>
      </c>
      <c r="I1053" s="1">
        <v>3</v>
      </c>
    </row>
    <row r="1054" spans="1:9" x14ac:dyDescent="0.25">
      <c r="A1054" s="1" t="s">
        <v>14435</v>
      </c>
      <c r="B1054" s="1" t="s">
        <v>2931</v>
      </c>
      <c r="C1054" s="1" t="str">
        <f>IFERROR(VLOOKUP(B1054,'SB1'!$A$2:$B$999999,2,FALSE),"")</f>
        <v>AEROSOL RUST-OLEUM UC BRILLANTE ALUMINIO METALIZADO X 0,312(2621711-358909-249128)</v>
      </c>
      <c r="D1054" s="1" t="s">
        <v>14475</v>
      </c>
      <c r="E1054" s="3">
        <f>IFERROR(VLOOKUP(B1054,'DA1'!$B$2:$D$999999,3,FALSE),"")</f>
      </c>
      <c r="F1054" s="1" t="str">
        <f>IFERROR(VLOOKUP(B1054,'SB1'!$A$2:$C$999999,3,FALSE),"")</f>
        <v>503</v>
      </c>
      <c r="G1054" s="3" t="e">
        <f t="shared" si="37"/>
        <v>#VALUE!</v>
      </c>
      <c r="H1054" s="3" t="e">
        <f t="shared" si="36"/>
        <v>#VALUE!</v>
      </c>
      <c r="I1054" s="1">
        <v>1</v>
      </c>
    </row>
    <row r="1055" spans="1:9" x14ac:dyDescent="0.25">
      <c r="A1055" s="1" t="s">
        <v>14435</v>
      </c>
      <c r="B1055" s="1" t="s">
        <v>2933</v>
      </c>
      <c r="C1055" s="1" t="str">
        <f>IFERROR(VLOOKUP(B1055,'SB1'!$A$2:$B$999999,2,FALSE),"")</f>
        <v>AEROSOL RUST-OLEUM UC BRILLANTE ROJO MANZANA X 0,340(262151/358898)</v>
      </c>
      <c r="D1055" s="1" t="s">
        <v>14475</v>
      </c>
      <c r="E1055" s="3">
        <f>IFERROR(VLOOKUP(B1055,'DA1'!$B$2:$D$999999,3,FALSE),"")</f>
      </c>
      <c r="F1055" s="1" t="str">
        <f>IFERROR(VLOOKUP(B1055,'SB1'!$A$2:$C$999999,3,FALSE),"")</f>
        <v>503</v>
      </c>
      <c r="G1055" s="3" t="e">
        <f t="shared" si="37"/>
        <v>#VALUE!</v>
      </c>
      <c r="H1055" s="3" t="e">
        <f t="shared" si="36"/>
        <v>#VALUE!</v>
      </c>
      <c r="I1055" s="1">
        <v>1</v>
      </c>
    </row>
    <row r="1056" spans="1:9" x14ac:dyDescent="0.25">
      <c r="A1056" s="1" t="s">
        <v>14435</v>
      </c>
      <c r="B1056" s="1" t="s">
        <v>2935</v>
      </c>
      <c r="C1056" s="1" t="str">
        <f>IFERROR(VLOOKUP(B1056,'SB1'!$A$2:$B$999999,2,FALSE),"")</f>
        <v>AEROSOL RUST-OLEUM UC BRILLANTE MARRON X 0,340(262153)</v>
      </c>
      <c r="D1056" s="1" t="s">
        <v>14475</v>
      </c>
      <c r="E1056" s="3">
        <f>IFERROR(VLOOKUP(B1056,'DA1'!$B$2:$D$999999,3,FALSE),"")</f>
      </c>
      <c r="F1056" s="1" t="str">
        <f>IFERROR(VLOOKUP(B1056,'SB1'!$A$2:$C$999999,3,FALSE),"")</f>
        <v>503</v>
      </c>
      <c r="G1056" s="3" t="e">
        <f t="shared" si="37"/>
        <v>#VALUE!</v>
      </c>
      <c r="H1056" s="3" t="e">
        <f t="shared" si="36"/>
        <v>#VALUE!</v>
      </c>
      <c r="I1056" s="1">
        <v>1</v>
      </c>
    </row>
    <row r="1057" spans="1:9" x14ac:dyDescent="0.25">
      <c r="A1057" s="1" t="s">
        <v>14435</v>
      </c>
      <c r="B1057" s="1" t="s">
        <v>2937</v>
      </c>
      <c r="C1057" s="1" t="str">
        <f>IFERROR(VLOOKUP(B1057,'SB1'!$A$2:$B$999999,2,FALSE),"")</f>
        <v>AEROSOL RUST-OLEUM UC BRILLANTE ROJO COLONIAL X 0,340(262205)</v>
      </c>
      <c r="D1057" s="1" t="s">
        <v>14475</v>
      </c>
      <c r="E1057" s="3">
        <f>IFERROR(VLOOKUP(B1057,'DA1'!$B$2:$D$999999,3,FALSE),"")</f>
      </c>
      <c r="F1057" s="1" t="str">
        <f>IFERROR(VLOOKUP(B1057,'SB1'!$A$2:$C$999999,3,FALSE),"")</f>
        <v>503</v>
      </c>
      <c r="G1057" s="3" t="e">
        <f t="shared" si="37"/>
        <v>#VALUE!</v>
      </c>
      <c r="H1057" s="3" t="e">
        <f t="shared" si="36"/>
        <v>#VALUE!</v>
      </c>
      <c r="I1057" s="1">
        <v>1</v>
      </c>
    </row>
    <row r="1058" spans="1:9" x14ac:dyDescent="0.25">
      <c r="A1058" s="1" t="s">
        <v>14435</v>
      </c>
      <c r="B1058" s="1" t="s">
        <v>2939</v>
      </c>
      <c r="C1058" s="1" t="str">
        <f>IFERROR(VLOOKUP(B1058,'SB1'!$A$2:$B$999999,2,FALSE),"")</f>
        <v>AEROSOL RUST-OLEUM UC BRILLANTE NARANJA X 0,340(262161)</v>
      </c>
      <c r="D1058" s="1" t="s">
        <v>14475</v>
      </c>
      <c r="E1058" s="3">
        <f>IFERROR(VLOOKUP(B1058,'DA1'!$B$2:$D$999999,3,FALSE),"")</f>
      </c>
      <c r="F1058" s="1" t="str">
        <f>IFERROR(VLOOKUP(B1058,'SB1'!$A$2:$C$999999,3,FALSE),"")</f>
        <v>503</v>
      </c>
      <c r="G1058" s="3" t="e">
        <f t="shared" si="37"/>
        <v>#VALUE!</v>
      </c>
      <c r="H1058" s="3" t="e">
        <f t="shared" si="36"/>
        <v>#VALUE!</v>
      </c>
      <c r="I1058" s="1">
        <v>1</v>
      </c>
    </row>
    <row r="1059" spans="1:9" x14ac:dyDescent="0.25">
      <c r="A1059" s="1" t="s">
        <v>14435</v>
      </c>
      <c r="B1059" s="1" t="s">
        <v>2941</v>
      </c>
      <c r="C1059" s="1" t="str">
        <f>IFERROR(VLOOKUP(B1059,'SB1'!$A$2:$B$999999,2,FALSE),"")</f>
        <v>AEROSOL RUST-OLEUM UC BRILLANTE ROSA INTENSO X 0,340(2621601)</v>
      </c>
      <c r="D1059" s="1" t="s">
        <v>14475</v>
      </c>
      <c r="E1059" s="3">
        <f>IFERROR(VLOOKUP(B1059,'DA1'!$B$2:$D$999999,3,FALSE),"")</f>
      </c>
      <c r="F1059" s="1" t="str">
        <f>IFERROR(VLOOKUP(B1059,'SB1'!$A$2:$C$999999,3,FALSE),"")</f>
        <v>503</v>
      </c>
      <c r="G1059" s="3" t="e">
        <f t="shared" si="37"/>
        <v>#VALUE!</v>
      </c>
      <c r="H1059" s="3" t="e">
        <f t="shared" ref="H1059:H1122" si="38">G1059*1.21</f>
        <v>#VALUE!</v>
      </c>
      <c r="I1059" s="1">
        <v>1</v>
      </c>
    </row>
    <row r="1060" spans="1:9" x14ac:dyDescent="0.25">
      <c r="A1060" s="1" t="s">
        <v>14435</v>
      </c>
      <c r="B1060" s="1" t="s">
        <v>2943</v>
      </c>
      <c r="C1060" s="1" t="str">
        <f>IFERROR(VLOOKUP(B1060,'SB1'!$A$2:$B$999999,2,FALSE),"")</f>
        <v>AEROSOL RUST-OLEUM UC BRILLANTE AMARILLO SOL X 0,340(2621581)</v>
      </c>
      <c r="D1060" s="1" t="s">
        <v>14475</v>
      </c>
      <c r="E1060" s="3">
        <f>IFERROR(VLOOKUP(B1060,'DA1'!$B$2:$D$999999,3,FALSE),"")</f>
      </c>
      <c r="F1060" s="1" t="str">
        <f>IFERROR(VLOOKUP(B1060,'SB1'!$A$2:$C$999999,3,FALSE),"")</f>
        <v>503</v>
      </c>
      <c r="G1060" s="3" t="e">
        <f t="shared" si="37"/>
        <v>#VALUE!</v>
      </c>
      <c r="H1060" s="3" t="e">
        <f t="shared" si="38"/>
        <v>#VALUE!</v>
      </c>
      <c r="I1060" s="1">
        <v>1</v>
      </c>
    </row>
    <row r="1061" spans="1:9" x14ac:dyDescent="0.25">
      <c r="A1061" s="1" t="s">
        <v>14435</v>
      </c>
      <c r="B1061" s="1" t="s">
        <v>2945</v>
      </c>
      <c r="C1061" s="1" t="str">
        <f>IFERROR(VLOOKUP(B1061,'SB1'!$A$2:$B$999999,2,FALSE),"")</f>
        <v>AEROSOL RUST-OLEUM UC BRILLANTE AZUL MARINO X 0,340(262168)</v>
      </c>
      <c r="D1061" s="1" t="s">
        <v>14475</v>
      </c>
      <c r="E1061" s="3">
        <f>IFERROR(VLOOKUP(B1061,'DA1'!$B$2:$D$999999,3,FALSE),"")</f>
      </c>
      <c r="F1061" s="1" t="str">
        <f>IFERROR(VLOOKUP(B1061,'SB1'!$A$2:$C$999999,3,FALSE),"")</f>
        <v>503</v>
      </c>
      <c r="G1061" s="3" t="e">
        <f t="shared" si="37"/>
        <v>#VALUE!</v>
      </c>
      <c r="H1061" s="3" t="e">
        <f t="shared" si="38"/>
        <v>#VALUE!</v>
      </c>
      <c r="I1061" s="1">
        <v>1</v>
      </c>
    </row>
    <row r="1062" spans="1:9" x14ac:dyDescent="0.25">
      <c r="A1062" s="1" t="s">
        <v>14435</v>
      </c>
      <c r="B1062" s="1" t="s">
        <v>2947</v>
      </c>
      <c r="C1062" s="1" t="str">
        <f>IFERROR(VLOOKUP(B1062,'SB1'!$A$2:$B$999999,2,FALSE),"")</f>
        <v>AEROSOL RUST-OLEUM UC BRILLANTE AZUL X 0,340(262156)</v>
      </c>
      <c r="D1062" s="1" t="s">
        <v>14475</v>
      </c>
      <c r="E1062" s="3">
        <f>IFERROR(VLOOKUP(B1062,'DA1'!$B$2:$D$999999,3,FALSE),"")</f>
      </c>
      <c r="F1062" s="1" t="str">
        <f>IFERROR(VLOOKUP(B1062,'SB1'!$A$2:$C$999999,3,FALSE),"")</f>
        <v>503</v>
      </c>
      <c r="G1062" s="3" t="e">
        <f t="shared" si="37"/>
        <v>#VALUE!</v>
      </c>
      <c r="H1062" s="3" t="e">
        <f t="shared" si="38"/>
        <v>#VALUE!</v>
      </c>
      <c r="I1062" s="1">
        <v>1</v>
      </c>
    </row>
    <row r="1063" spans="1:9" x14ac:dyDescent="0.25">
      <c r="A1063" s="1" t="s">
        <v>14435</v>
      </c>
      <c r="B1063" s="1" t="s">
        <v>2949</v>
      </c>
      <c r="C1063" s="1" t="str">
        <f>IFERROR(VLOOKUP(B1063,'SB1'!$A$2:$B$999999,2,FALSE),"")</f>
        <v>AEROSOL RUST-OLEUM UC BRILLANTE TRANSPARENTE X 0,340(2621541)</v>
      </c>
      <c r="D1063" s="1" t="s">
        <v>14475</v>
      </c>
      <c r="E1063" s="3">
        <f>IFERROR(VLOOKUP(B1063,'DA1'!$B$2:$D$999999,3,FALSE),"")</f>
      </c>
      <c r="F1063" s="1" t="str">
        <f>IFERROR(VLOOKUP(B1063,'SB1'!$A$2:$C$999999,3,FALSE),"")</f>
        <v>503</v>
      </c>
      <c r="G1063" s="3" t="e">
        <f t="shared" si="37"/>
        <v>#VALUE!</v>
      </c>
      <c r="H1063" s="3" t="e">
        <f t="shared" si="38"/>
        <v>#VALUE!</v>
      </c>
      <c r="I1063" s="1">
        <v>1</v>
      </c>
    </row>
    <row r="1064" spans="1:9" x14ac:dyDescent="0.25">
      <c r="A1064" s="1" t="s">
        <v>14435</v>
      </c>
      <c r="B1064" s="1" t="s">
        <v>2951</v>
      </c>
      <c r="C1064" s="1" t="str">
        <f>IFERROR(VLOOKUP(B1064,'SB1'!$A$2:$B$999999,2,FALSE),"")</f>
        <v>AEROSOL RUST-OLEUM UC BRILLANTE VERDE OSCURO X 0,340(262174)</v>
      </c>
      <c r="D1064" s="1" t="s">
        <v>14475</v>
      </c>
      <c r="E1064" s="3">
        <f>IFERROR(VLOOKUP(B1064,'DA1'!$B$2:$D$999999,3,FALSE),"")</f>
      </c>
      <c r="F1064" s="1" t="str">
        <f>IFERROR(VLOOKUP(B1064,'SB1'!$A$2:$C$999999,3,FALSE),"")</f>
        <v>503</v>
      </c>
      <c r="G1064" s="3" t="e">
        <f t="shared" si="37"/>
        <v>#VALUE!</v>
      </c>
      <c r="H1064" s="3" t="e">
        <f t="shared" si="38"/>
        <v>#VALUE!</v>
      </c>
      <c r="I1064" s="1">
        <v>1</v>
      </c>
    </row>
    <row r="1065" spans="1:9" x14ac:dyDescent="0.25">
      <c r="A1065" s="1" t="s">
        <v>14435</v>
      </c>
      <c r="B1065" s="1" t="s">
        <v>2953</v>
      </c>
      <c r="C1065" s="1" t="str">
        <f>IFERROR(VLOOKUP(B1065,'SB1'!$A$2:$B$999999,2,FALSE),"")</f>
        <v>AEROSOL RUST-OLEUM UC BRILLANTE AMARILLO ORO X 0,340(262190)</v>
      </c>
      <c r="D1065" s="1" t="s">
        <v>14475</v>
      </c>
      <c r="E1065" s="3">
        <f>IFERROR(VLOOKUP(B1065,'DA1'!$B$2:$D$999999,3,FALSE),"")</f>
      </c>
      <c r="F1065" s="1" t="str">
        <f>IFERROR(VLOOKUP(B1065,'SB1'!$A$2:$C$999999,3,FALSE),"")</f>
        <v>503</v>
      </c>
      <c r="G1065" s="3" t="e">
        <f t="shared" si="37"/>
        <v>#VALUE!</v>
      </c>
      <c r="H1065" s="3" t="e">
        <f t="shared" si="38"/>
        <v>#VALUE!</v>
      </c>
      <c r="I1065" s="1">
        <v>1</v>
      </c>
    </row>
    <row r="1066" spans="1:9" x14ac:dyDescent="0.25">
      <c r="A1066" s="1" t="s">
        <v>14435</v>
      </c>
      <c r="B1066" s="1" t="s">
        <v>2955</v>
      </c>
      <c r="C1066" s="1" t="str">
        <f>IFERROR(VLOOKUP(B1066,'SB1'!$A$2:$B$999999,2,FALSE),"")</f>
        <v>AEROSOL RUST-OLEUM UC BRILLANTE GRIS OSCURO X 0,340(2621731)</v>
      </c>
      <c r="D1066" s="1" t="s">
        <v>14475</v>
      </c>
      <c r="E1066" s="3">
        <f>IFERROR(VLOOKUP(B1066,'DA1'!$B$2:$D$999999,3,FALSE),"")</f>
      </c>
      <c r="F1066" s="1" t="str">
        <f>IFERROR(VLOOKUP(B1066,'SB1'!$A$2:$C$999999,3,FALSE),"")</f>
        <v>503</v>
      </c>
      <c r="G1066" s="3" t="e">
        <f t="shared" si="37"/>
        <v>#VALUE!</v>
      </c>
      <c r="H1066" s="3" t="e">
        <f t="shared" si="38"/>
        <v>#VALUE!</v>
      </c>
      <c r="I1066" s="1">
        <v>1</v>
      </c>
    </row>
    <row r="1067" spans="1:9" x14ac:dyDescent="0.25">
      <c r="A1067" s="1" t="s">
        <v>14435</v>
      </c>
      <c r="B1067" s="1" t="s">
        <v>2957</v>
      </c>
      <c r="C1067" s="1" t="str">
        <f>IFERROR(VLOOKUP(B1067,'SB1'!$A$2:$B$999999,2,FALSE),"")</f>
        <v>AEROSOL RUST-OLEUM UC BRILLANTE ALMENDRA X 0,340(262195)</v>
      </c>
      <c r="D1067" s="1" t="s">
        <v>14475</v>
      </c>
      <c r="E1067" s="3">
        <f>IFERROR(VLOOKUP(B1067,'DA1'!$B$2:$D$999999,3,FALSE),"")</f>
      </c>
      <c r="F1067" s="1" t="str">
        <f>IFERROR(VLOOKUP(B1067,'SB1'!$A$2:$C$999999,3,FALSE),"")</f>
        <v>503</v>
      </c>
      <c r="G1067" s="3" t="e">
        <f t="shared" si="37"/>
        <v>#VALUE!</v>
      </c>
      <c r="H1067" s="3" t="e">
        <f t="shared" si="38"/>
        <v>#VALUE!</v>
      </c>
      <c r="I1067" s="1">
        <v>1</v>
      </c>
    </row>
    <row r="1068" spans="1:9" x14ac:dyDescent="0.25">
      <c r="A1068" s="1" t="s">
        <v>14435</v>
      </c>
      <c r="B1068" s="1" t="s">
        <v>2959</v>
      </c>
      <c r="C1068" s="1" t="str">
        <f>IFERROR(VLOOKUP(B1068,'SB1'!$A$2:$B$999999,2,FALSE),"")</f>
        <v>AEROSOL RUST-OLEUM UC BRILLANTE BLANCO X 0,340(2620981/313957/351550)</v>
      </c>
      <c r="D1068" s="1" t="s">
        <v>14475</v>
      </c>
      <c r="E1068" s="3">
        <f>IFERROR(VLOOKUP(B1068,'DA1'!$B$2:$D$999999,3,FALSE),"")</f>
      </c>
      <c r="F1068" s="1" t="str">
        <f>IFERROR(VLOOKUP(B1068,'SB1'!$A$2:$C$999999,3,FALSE),"")</f>
        <v>503</v>
      </c>
      <c r="G1068" s="3" t="e">
        <f t="shared" si="37"/>
        <v>#VALUE!</v>
      </c>
      <c r="H1068" s="3" t="e">
        <f t="shared" si="38"/>
        <v>#VALUE!</v>
      </c>
      <c r="I1068" s="1">
        <v>1</v>
      </c>
    </row>
    <row r="1069" spans="1:9" x14ac:dyDescent="0.25">
      <c r="A1069" s="1" t="s">
        <v>14435</v>
      </c>
      <c r="B1069" s="1" t="s">
        <v>2961</v>
      </c>
      <c r="C1069" s="1" t="str">
        <f>IFERROR(VLOOKUP(B1069,'SB1'!$A$2:$B$999999,2,FALSE),"")</f>
        <v>AEROSOL RUST-OLEUM UC SATINADO BLANCO X 0,340(2621551)</v>
      </c>
      <c r="D1069" s="1" t="s">
        <v>14475</v>
      </c>
      <c r="E1069" s="3">
        <f>IFERROR(VLOOKUP(B1069,'DA1'!$B$2:$D$999999,3,FALSE),"")</f>
      </c>
      <c r="F1069" s="1" t="str">
        <f>IFERROR(VLOOKUP(B1069,'SB1'!$A$2:$C$999999,3,FALSE),"")</f>
        <v>503</v>
      </c>
      <c r="G1069" s="3" t="e">
        <f t="shared" si="37"/>
        <v>#VALUE!</v>
      </c>
      <c r="H1069" s="3" t="e">
        <f t="shared" si="38"/>
        <v>#VALUE!</v>
      </c>
      <c r="I1069" s="1">
        <v>1</v>
      </c>
    </row>
    <row r="1070" spans="1:9" x14ac:dyDescent="0.25">
      <c r="A1070" s="1" t="s">
        <v>14435</v>
      </c>
      <c r="B1070" s="1" t="s">
        <v>2963</v>
      </c>
      <c r="C1070" s="1" t="str">
        <f>IFERROR(VLOOKUP(B1070,'SB1'!$A$2:$B$999999,2,FALSE),"")</f>
        <v>AEROSOL RUST-OLEUM UC MATE BLANCO X 0,340(2621521)</v>
      </c>
      <c r="D1070" s="1" t="s">
        <v>14475</v>
      </c>
      <c r="E1070" s="3">
        <f>IFERROR(VLOOKUP(B1070,'DA1'!$B$2:$D$999999,3,FALSE),"")</f>
      </c>
      <c r="F1070" s="1" t="str">
        <f>IFERROR(VLOOKUP(B1070,'SB1'!$A$2:$C$999999,3,FALSE),"")</f>
        <v>503</v>
      </c>
      <c r="G1070" s="3" t="e">
        <f t="shared" si="37"/>
        <v>#VALUE!</v>
      </c>
      <c r="H1070" s="3" t="e">
        <f t="shared" si="38"/>
        <v>#VALUE!</v>
      </c>
      <c r="I1070" s="1">
        <v>1</v>
      </c>
    </row>
    <row r="1071" spans="1:9" x14ac:dyDescent="0.25">
      <c r="A1071" s="1" t="s">
        <v>14435</v>
      </c>
      <c r="B1071" s="1" t="s">
        <v>2965</v>
      </c>
      <c r="C1071" s="1" t="str">
        <f>IFERROR(VLOOKUP(B1071,'SB1'!$A$2:$B$999999,2,FALSE),"")</f>
        <v>AEROSOL RUST-OLEUM UC BRILLANTE NEGRO X 0,340(262097/313956)</v>
      </c>
      <c r="D1071" s="1" t="s">
        <v>14475</v>
      </c>
      <c r="E1071" s="3">
        <f>IFERROR(VLOOKUP(B1071,'DA1'!$B$2:$D$999999,3,FALSE),"")</f>
      </c>
      <c r="F1071" s="1" t="str">
        <f>IFERROR(VLOOKUP(B1071,'SB1'!$A$2:$C$999999,3,FALSE),"")</f>
        <v>503</v>
      </c>
      <c r="G1071" s="3" t="e">
        <f t="shared" si="37"/>
        <v>#VALUE!</v>
      </c>
      <c r="H1071" s="3" t="e">
        <f t="shared" si="38"/>
        <v>#VALUE!</v>
      </c>
      <c r="I1071" s="1">
        <v>1</v>
      </c>
    </row>
    <row r="1072" spans="1:9" x14ac:dyDescent="0.25">
      <c r="A1072" s="1" t="s">
        <v>14435</v>
      </c>
      <c r="B1072" s="1" t="s">
        <v>2967</v>
      </c>
      <c r="C1072" s="1" t="str">
        <f>IFERROR(VLOOKUP(B1072,'SB1'!$A$2:$B$999999,2,FALSE),"")</f>
        <v>AEROSOL RUST-OLEUM UC MATE TRASNPARENTE X 0,340(262167/358910)</v>
      </c>
      <c r="D1072" s="1" t="s">
        <v>14475</v>
      </c>
      <c r="E1072" s="3">
        <f>IFERROR(VLOOKUP(B1072,'DA1'!$B$2:$D$999999,3,FALSE),"")</f>
      </c>
      <c r="F1072" s="1" t="str">
        <f>IFERROR(VLOOKUP(B1072,'SB1'!$A$2:$C$999999,3,FALSE),"")</f>
        <v>503</v>
      </c>
      <c r="G1072" s="3" t="e">
        <f t="shared" si="37"/>
        <v>#VALUE!</v>
      </c>
      <c r="H1072" s="3" t="e">
        <f t="shared" si="38"/>
        <v>#VALUE!</v>
      </c>
      <c r="I1072" s="1">
        <v>1</v>
      </c>
    </row>
    <row r="1073" spans="1:9" x14ac:dyDescent="0.25">
      <c r="A1073" s="1" t="s">
        <v>14435</v>
      </c>
      <c r="B1073" s="1" t="s">
        <v>2969</v>
      </c>
      <c r="C1073" s="1" t="str">
        <f>IFERROR(VLOOKUP(B1073,'SB1'!$A$2:$B$999999,2,FALSE),"")</f>
        <v>PINCELETA ROSARPIN 6000 V2 CH.40</v>
      </c>
      <c r="D1073" s="1" t="s">
        <v>14460</v>
      </c>
      <c r="E1073" s="3">
        <f>IFERROR(VLOOKUP(B1073,'DA1'!$B$2:$D$999999,3,FALSE),"")</f>
      </c>
      <c r="F1073" s="1" t="str">
        <f>IFERROR(VLOOKUP(B1073,'SB1'!$A$2:$C$999999,3,FALSE),"")</f>
        <v>503</v>
      </c>
      <c r="G1073" s="3" t="e">
        <f t="shared" si="37"/>
        <v>#VALUE!</v>
      </c>
      <c r="H1073" s="3" t="e">
        <f t="shared" si="38"/>
        <v>#VALUE!</v>
      </c>
      <c r="I1073" s="1">
        <v>1</v>
      </c>
    </row>
    <row r="1074" spans="1:9" x14ac:dyDescent="0.25">
      <c r="A1074" s="1" t="s">
        <v>14435</v>
      </c>
      <c r="B1074" s="1" t="s">
        <v>2971</v>
      </c>
      <c r="C1074" s="1" t="str">
        <f>IFERROR(VLOOKUP(B1074,'SB1'!$A$2:$B$999999,2,FALSE),"")</f>
        <v>TABLON DE MADERA SIN FIN 2,30 X 0,68</v>
      </c>
      <c r="D1074" s="1" t="s">
        <v>14471</v>
      </c>
      <c r="E1074" s="3">
        <f>IFERROR(VLOOKUP(B1074,'DA1'!$B$2:$D$999999,3,FALSE),"")</f>
      </c>
      <c r="F1074" s="1" t="str">
        <f>IFERROR(VLOOKUP(B1074,'SB1'!$A$2:$C$999999,3,FALSE),"")</f>
        <v>503</v>
      </c>
      <c r="G1074" s="3" t="e">
        <f t="shared" si="37"/>
        <v>#VALUE!</v>
      </c>
      <c r="H1074" s="3" t="e">
        <f t="shared" si="38"/>
        <v>#VALUE!</v>
      </c>
      <c r="I1074" s="1">
        <v>1</v>
      </c>
    </row>
    <row r="1075" spans="1:9" x14ac:dyDescent="0.25">
      <c r="A1075" s="1" t="s">
        <v>14435</v>
      </c>
      <c r="B1075" s="1" t="s">
        <v>2973</v>
      </c>
      <c r="C1075" s="1" t="str">
        <f>IFERROR(VLOOKUP(B1075,'SB1'!$A$2:$B$999999,2,FALSE),"")</f>
        <v>BUTACA ESCALERA SIN FIN CON ASIENTO</v>
      </c>
      <c r="D1075" s="1" t="s">
        <v>14471</v>
      </c>
      <c r="E1075" s="3">
        <f>IFERROR(VLOOKUP(B1075,'DA1'!$B$2:$D$999999,3,FALSE),"")</f>
      </c>
      <c r="F1075" s="1" t="str">
        <f>IFERROR(VLOOKUP(B1075,'SB1'!$A$2:$C$999999,3,FALSE),"")</f>
        <v>503</v>
      </c>
      <c r="G1075" s="3" t="e">
        <f t="shared" si="37"/>
        <v>#VALUE!</v>
      </c>
      <c r="H1075" s="3" t="e">
        <f t="shared" si="38"/>
        <v>#VALUE!</v>
      </c>
      <c r="I1075" s="1">
        <v>1</v>
      </c>
    </row>
    <row r="1076" spans="1:9" x14ac:dyDescent="0.25">
      <c r="A1076" s="1" t="s">
        <v>14435</v>
      </c>
      <c r="B1076" s="1" t="s">
        <v>2985</v>
      </c>
      <c r="C1076" s="1" t="str">
        <f>IFERROR(VLOOKUP(B1076,'SB1'!$A$2:$B$999999,2,FALSE),"")</f>
        <v>EXTENSIBLE 3 HOJAS 1,5X3 13</v>
      </c>
      <c r="D1076" s="1" t="s">
        <v>14471</v>
      </c>
      <c r="E1076" s="3">
        <f>IFERROR(VLOOKUP(B1076,'DA1'!$B$2:$D$999999,3,FALSE),"")</f>
      </c>
      <c r="F1076" s="1" t="str">
        <f>IFERROR(VLOOKUP(B1076,'SB1'!$A$2:$C$999999,3,FALSE),"")</f>
        <v>503</v>
      </c>
      <c r="G1076" s="3" t="e">
        <f t="shared" si="37"/>
        <v>#VALUE!</v>
      </c>
      <c r="H1076" s="3" t="e">
        <f t="shared" si="38"/>
        <v>#VALUE!</v>
      </c>
      <c r="I1076" s="1">
        <v>1</v>
      </c>
    </row>
    <row r="1077" spans="1:9" x14ac:dyDescent="0.25">
      <c r="A1077" s="1" t="s">
        <v>14435</v>
      </c>
      <c r="B1077" s="1" t="s">
        <v>2987</v>
      </c>
      <c r="C1077" s="1" t="str">
        <f>IFERROR(VLOOKUP(B1077,'SB1'!$A$2:$B$999999,2,FALSE),"")</f>
        <v>EXTENSIBLE 3 HOJAS 1,5X3 14</v>
      </c>
      <c r="D1077" s="1" t="s">
        <v>14471</v>
      </c>
      <c r="E1077" s="3">
        <f>IFERROR(VLOOKUP(B1077,'DA1'!$B$2:$D$999999,3,FALSE),"")</f>
      </c>
      <c r="F1077" s="1" t="str">
        <f>IFERROR(VLOOKUP(B1077,'SB1'!$A$2:$C$999999,3,FALSE),"")</f>
        <v>503</v>
      </c>
      <c r="G1077" s="3" t="e">
        <f t="shared" si="37"/>
        <v>#VALUE!</v>
      </c>
      <c r="H1077" s="3" t="e">
        <f t="shared" si="38"/>
        <v>#VALUE!</v>
      </c>
      <c r="I1077" s="1">
        <v>1</v>
      </c>
    </row>
    <row r="1078" spans="1:9" x14ac:dyDescent="0.25">
      <c r="A1078" s="1" t="s">
        <v>14435</v>
      </c>
      <c r="B1078" s="1" t="s">
        <v>2989</v>
      </c>
      <c r="C1078" s="1" t="str">
        <f>IFERROR(VLOOKUP(B1078,'SB1'!$A$2:$B$999999,2,FALSE),"")</f>
        <v>EXTENSIBLE 3 HOJAS 1,5X3 15</v>
      </c>
      <c r="D1078" s="1" t="s">
        <v>14471</v>
      </c>
      <c r="E1078" s="3">
        <f>IFERROR(VLOOKUP(B1078,'DA1'!$B$2:$D$999999,3,FALSE),"")</f>
      </c>
      <c r="F1078" s="1" t="str">
        <f>IFERROR(VLOOKUP(B1078,'SB1'!$A$2:$C$999999,3,FALSE),"")</f>
        <v>503</v>
      </c>
      <c r="G1078" s="3" t="e">
        <f t="shared" si="37"/>
        <v>#VALUE!</v>
      </c>
      <c r="H1078" s="3" t="e">
        <f t="shared" si="38"/>
        <v>#VALUE!</v>
      </c>
      <c r="I1078" s="1">
        <v>1</v>
      </c>
    </row>
    <row r="1079" spans="1:9" x14ac:dyDescent="0.25">
      <c r="A1079" s="1" t="s">
        <v>14435</v>
      </c>
      <c r="B1079" s="1" t="s">
        <v>2991</v>
      </c>
      <c r="C1079" s="1" t="str">
        <f>IFERROR(VLOOKUP(B1079,'SB1'!$A$2:$B$999999,2,FALSE),"")</f>
        <v>EXTENSIBLE 3 HOJAS 1,5X3 16</v>
      </c>
      <c r="D1079" s="1" t="s">
        <v>14471</v>
      </c>
      <c r="E1079" s="3">
        <f>IFERROR(VLOOKUP(B1079,'DA1'!$B$2:$D$999999,3,FALSE),"")</f>
      </c>
      <c r="F1079" s="1" t="str">
        <f>IFERROR(VLOOKUP(B1079,'SB1'!$A$2:$C$999999,3,FALSE),"")</f>
        <v>503</v>
      </c>
      <c r="G1079" s="3" t="e">
        <f t="shared" si="37"/>
        <v>#VALUE!</v>
      </c>
      <c r="H1079" s="3" t="e">
        <f t="shared" si="38"/>
        <v>#VALUE!</v>
      </c>
      <c r="I1079" s="1">
        <v>1</v>
      </c>
    </row>
    <row r="1080" spans="1:9" x14ac:dyDescent="0.25">
      <c r="A1080" s="1" t="s">
        <v>14435</v>
      </c>
      <c r="B1080" s="1" t="s">
        <v>2993</v>
      </c>
      <c r="C1080" s="1" t="str">
        <f>IFERROR(VLOOKUP(B1080,'SB1'!$A$2:$B$999999,2,FALSE),"")</f>
        <v>EXTENSIBLE 3 HOJAS 1,5X3 17</v>
      </c>
      <c r="D1080" s="1" t="s">
        <v>14471</v>
      </c>
      <c r="E1080" s="3">
        <f>IFERROR(VLOOKUP(B1080,'DA1'!$B$2:$D$999999,3,FALSE),"")</f>
      </c>
      <c r="F1080" s="1" t="str">
        <f>IFERROR(VLOOKUP(B1080,'SB1'!$A$2:$C$999999,3,FALSE),"")</f>
        <v>503</v>
      </c>
      <c r="G1080" s="3" t="e">
        <f t="shared" si="37"/>
        <v>#VALUE!</v>
      </c>
      <c r="H1080" s="3" t="e">
        <f t="shared" si="38"/>
        <v>#VALUE!</v>
      </c>
      <c r="I1080" s="1">
        <v>1</v>
      </c>
    </row>
    <row r="1081" spans="1:9" x14ac:dyDescent="0.25">
      <c r="A1081" s="1" t="s">
        <v>14435</v>
      </c>
      <c r="B1081" s="1" t="s">
        <v>2995</v>
      </c>
      <c r="C1081" s="1" t="str">
        <f>IFERROR(VLOOKUP(B1081,'SB1'!$A$2:$B$999999,2,FALSE),"")</f>
        <v>LIJA EN ROLLO DOBLE A #  50 X 1 MT</v>
      </c>
      <c r="D1081" s="1" t="s">
        <v>14451</v>
      </c>
      <c r="E1081" s="3">
        <f>IFERROR(VLOOKUP(B1081,'DA1'!$B$2:$D$999999,3,FALSE),"")</f>
      </c>
      <c r="F1081" s="1" t="str">
        <f>IFERROR(VLOOKUP(B1081,'SB1'!$A$2:$C$999999,3,FALSE),"")</f>
        <v>503</v>
      </c>
      <c r="G1081" s="3" t="e">
        <f t="shared" si="37"/>
        <v>#VALUE!</v>
      </c>
      <c r="H1081" s="3" t="e">
        <f t="shared" si="38"/>
        <v>#VALUE!</v>
      </c>
      <c r="I1081" s="1">
        <v>1</v>
      </c>
    </row>
    <row r="1082" spans="1:9" x14ac:dyDescent="0.25">
      <c r="A1082" s="1" t="s">
        <v>14435</v>
      </c>
      <c r="B1082" s="1" t="s">
        <v>2997</v>
      </c>
      <c r="C1082" s="1" t="str">
        <f>IFERROR(VLOOKUP(B1082,'SB1'!$A$2:$B$999999,2,FALSE),"")</f>
        <v>AEROSOL RUST-OLEUM UC SATINADO TRASNPARENTE X 0,340(262170)</v>
      </c>
      <c r="D1082" s="1" t="s">
        <v>14475</v>
      </c>
      <c r="E1082" s="3">
        <f>IFERROR(VLOOKUP(B1082,'DA1'!$B$2:$D$999999,3,FALSE),"")</f>
      </c>
      <c r="F1082" s="1" t="str">
        <f>IFERROR(VLOOKUP(B1082,'SB1'!$A$2:$C$999999,3,FALSE),"")</f>
        <v>503</v>
      </c>
      <c r="G1082" s="3" t="e">
        <f t="shared" si="37"/>
        <v>#VALUE!</v>
      </c>
      <c r="H1082" s="3" t="e">
        <f t="shared" si="38"/>
        <v>#VALUE!</v>
      </c>
      <c r="I1082" s="1">
        <v>1</v>
      </c>
    </row>
    <row r="1083" spans="1:9" x14ac:dyDescent="0.25">
      <c r="A1083" s="1" t="s">
        <v>14435</v>
      </c>
      <c r="B1083" s="1" t="s">
        <v>2999</v>
      </c>
      <c r="C1083" s="1" t="str">
        <f>IFERROR(VLOOKUP(B1083,'SB1'!$A$2:$B$999999,2,FALSE),"")</f>
        <v>ESMALTE SINTETICO TERSUAVE BRILLANTE BASE W X  0,900</v>
      </c>
      <c r="D1083" s="1" t="s">
        <v>14482</v>
      </c>
      <c r="E1083" s="3">
        <f>IFERROR(VLOOKUP(B1083,'DA1'!$B$2:$D$999999,3,FALSE),"")</f>
      </c>
      <c r="F1083" s="1" t="str">
        <f>IFERROR(VLOOKUP(B1083,'SB1'!$A$2:$C$999999,3,FALSE),"")</f>
        <v>503</v>
      </c>
      <c r="G1083" s="3" t="e">
        <f t="shared" si="37"/>
        <v>#VALUE!</v>
      </c>
      <c r="H1083" s="3" t="e">
        <f t="shared" si="38"/>
        <v>#VALUE!</v>
      </c>
      <c r="I1083" s="1">
        <v>1</v>
      </c>
    </row>
    <row r="1084" spans="1:9" x14ac:dyDescent="0.25">
      <c r="A1084" s="1" t="s">
        <v>14435</v>
      </c>
      <c r="B1084" s="1" t="s">
        <v>3001</v>
      </c>
      <c r="C1084" s="1" t="str">
        <f>IFERROR(VLOOKUP(B1084,'SB1'!$A$2:$B$999999,2,FALSE),"")</f>
        <v>ESMALTE SINTETICO TERSUAVE BRILLANTE BASE W X  3,840</v>
      </c>
      <c r="D1084" s="1" t="s">
        <v>14482</v>
      </c>
      <c r="E1084" s="3">
        <f>IFERROR(VLOOKUP(B1084,'DA1'!$B$2:$D$999999,3,FALSE),"")</f>
      </c>
      <c r="F1084" s="1" t="str">
        <f>IFERROR(VLOOKUP(B1084,'SB1'!$A$2:$C$999999,3,FALSE),"")</f>
        <v>503</v>
      </c>
      <c r="G1084" s="3" t="e">
        <f t="shared" si="37"/>
        <v>#VALUE!</v>
      </c>
      <c r="H1084" s="3" t="e">
        <f t="shared" si="38"/>
        <v>#VALUE!</v>
      </c>
      <c r="I1084" s="1">
        <v>1</v>
      </c>
    </row>
    <row r="1085" spans="1:9" x14ac:dyDescent="0.25">
      <c r="A1085" s="1" t="s">
        <v>14435</v>
      </c>
      <c r="B1085" s="1" t="s">
        <v>3003</v>
      </c>
      <c r="C1085" s="1" t="str">
        <f>IFERROR(VLOOKUP(B1085,'SB1'!$A$2:$B$999999,2,FALSE),"")</f>
        <v>ESMALTE SINTETICO PLAVICON 3EN1 BRILLANTE GRIS X  4</v>
      </c>
      <c r="D1085" s="1" t="s">
        <v>14458</v>
      </c>
      <c r="E1085" s="3">
        <f>IFERROR(VLOOKUP(B1085,'DA1'!$B$2:$D$999999,3,FALSE),"")</f>
      </c>
      <c r="F1085" s="1" t="str">
        <f>IFERROR(VLOOKUP(B1085,'SB1'!$A$2:$C$999999,3,FALSE),"")</f>
        <v>503</v>
      </c>
      <c r="G1085" s="3" t="e">
        <f t="shared" si="37"/>
        <v>#VALUE!</v>
      </c>
      <c r="H1085" s="3" t="e">
        <f t="shared" si="38"/>
        <v>#VALUE!</v>
      </c>
      <c r="I1085" s="1">
        <v>1</v>
      </c>
    </row>
    <row r="1086" spans="1:9" x14ac:dyDescent="0.25">
      <c r="A1086" s="1" t="s">
        <v>14435</v>
      </c>
      <c r="B1086" s="1" t="s">
        <v>3005</v>
      </c>
      <c r="C1086" s="1" t="str">
        <f>IFERROR(VLOOKUP(B1086,'SB1'!$A$2:$B$999999,2,FALSE),"")</f>
        <v>ESMALTE SINTETICO TERSUAVE BRILLANTE BASE W X 19,200</v>
      </c>
      <c r="D1086" s="1" t="s">
        <v>14482</v>
      </c>
      <c r="E1086" s="3">
        <f>IFERROR(VLOOKUP(B1086,'DA1'!$B$2:$D$999999,3,FALSE),"")</f>
      </c>
      <c r="F1086" s="1" t="str">
        <f>IFERROR(VLOOKUP(B1086,'SB1'!$A$2:$C$999999,3,FALSE),"")</f>
        <v>503</v>
      </c>
      <c r="G1086" s="3" t="e">
        <f t="shared" si="37"/>
        <v>#VALUE!</v>
      </c>
      <c r="H1086" s="3" t="e">
        <f t="shared" si="38"/>
        <v>#VALUE!</v>
      </c>
      <c r="I1086" s="1">
        <v>1</v>
      </c>
    </row>
    <row r="1087" spans="1:9" x14ac:dyDescent="0.25">
      <c r="A1087" s="1" t="s">
        <v>14435</v>
      </c>
      <c r="B1087" s="1" t="s">
        <v>3007</v>
      </c>
      <c r="C1087" s="1" t="str">
        <f>IFERROR(VLOOKUP(B1087,'SB1'!$A$2:$B$999999,2,FALSE),"")</f>
        <v>ESMALTE SINTETICO TERSUAVE BRILLANTE BASE M X  0,940</v>
      </c>
      <c r="D1087" s="1" t="s">
        <v>14482</v>
      </c>
      <c r="E1087" s="3">
        <f>IFERROR(VLOOKUP(B1087,'DA1'!$B$2:$D$999999,3,FALSE),"")</f>
      </c>
      <c r="F1087" s="1" t="str">
        <f>IFERROR(VLOOKUP(B1087,'SB1'!$A$2:$C$999999,3,FALSE),"")</f>
        <v>503</v>
      </c>
      <c r="G1087" s="3" t="e">
        <f t="shared" si="37"/>
        <v>#VALUE!</v>
      </c>
      <c r="H1087" s="3" t="e">
        <f t="shared" si="38"/>
        <v>#VALUE!</v>
      </c>
      <c r="I1087" s="1">
        <v>1</v>
      </c>
    </row>
    <row r="1088" spans="1:9" x14ac:dyDescent="0.25">
      <c r="A1088" s="1" t="s">
        <v>14435</v>
      </c>
      <c r="B1088" s="1" t="s">
        <v>3009</v>
      </c>
      <c r="C1088" s="1" t="str">
        <f>IFERROR(VLOOKUP(B1088,'SB1'!$A$2:$B$999999,2,FALSE),"")</f>
        <v>ESMALTE SINTETICO TERSUAVE BRILLANTE BASE M X  3,760</v>
      </c>
      <c r="D1088" s="1" t="s">
        <v>14482</v>
      </c>
      <c r="E1088" s="3">
        <f>IFERROR(VLOOKUP(B1088,'DA1'!$B$2:$D$999999,3,FALSE),"")</f>
      </c>
      <c r="F1088" s="1" t="str">
        <f>IFERROR(VLOOKUP(B1088,'SB1'!$A$2:$C$999999,3,FALSE),"")</f>
        <v>503</v>
      </c>
      <c r="G1088" s="3" t="e">
        <f t="shared" si="37"/>
        <v>#VALUE!</v>
      </c>
      <c r="H1088" s="3" t="e">
        <f t="shared" si="38"/>
        <v>#VALUE!</v>
      </c>
      <c r="I1088" s="1">
        <v>1</v>
      </c>
    </row>
    <row r="1089" spans="1:9" x14ac:dyDescent="0.25">
      <c r="A1089" s="1" t="s">
        <v>14435</v>
      </c>
      <c r="B1089" s="1" t="s">
        <v>3011</v>
      </c>
      <c r="C1089" s="1" t="str">
        <f>IFERROR(VLOOKUP(B1089,'SB1'!$A$2:$B$999999,2,FALSE),"")</f>
        <v>ESMALTE SINTETICO PLAVICON 3EN1 BRILLANTE GRIS X 20</v>
      </c>
      <c r="D1089" s="1" t="s">
        <v>14458</v>
      </c>
      <c r="E1089" s="3">
        <f>IFERROR(VLOOKUP(B1089,'DA1'!$B$2:$D$999999,3,FALSE),"")</f>
      </c>
      <c r="F1089" s="1" t="str">
        <f>IFERROR(VLOOKUP(B1089,'SB1'!$A$2:$C$999999,3,FALSE),"")</f>
        <v>503</v>
      </c>
      <c r="G1089" s="3" t="e">
        <f t="shared" si="37"/>
        <v>#VALUE!</v>
      </c>
      <c r="H1089" s="3" t="e">
        <f t="shared" si="38"/>
        <v>#VALUE!</v>
      </c>
      <c r="I1089" s="1">
        <v>1</v>
      </c>
    </row>
    <row r="1090" spans="1:9" x14ac:dyDescent="0.25">
      <c r="A1090" s="1" t="s">
        <v>14435</v>
      </c>
      <c r="B1090" s="1" t="s">
        <v>3013</v>
      </c>
      <c r="C1090" s="1" t="str">
        <f>IFERROR(VLOOKUP(B1090,'SB1'!$A$2:$B$999999,2,FALSE),"")</f>
        <v>ESMALTE SINTETICO TERSUAVE BRILLANTE BASE M X 18,800</v>
      </c>
      <c r="D1090" s="1" t="s">
        <v>14482</v>
      </c>
      <c r="E1090" s="3">
        <f>IFERROR(VLOOKUP(B1090,'DA1'!$B$2:$D$999999,3,FALSE),"")</f>
      </c>
      <c r="F1090" s="1" t="str">
        <f>IFERROR(VLOOKUP(B1090,'SB1'!$A$2:$C$999999,3,FALSE),"")</f>
        <v>503</v>
      </c>
      <c r="G1090" s="3" t="e">
        <f t="shared" si="37"/>
        <v>#VALUE!</v>
      </c>
      <c r="H1090" s="3" t="e">
        <f t="shared" si="38"/>
        <v>#VALUE!</v>
      </c>
      <c r="I1090" s="1">
        <v>1</v>
      </c>
    </row>
    <row r="1091" spans="1:9" x14ac:dyDescent="0.25">
      <c r="A1091" s="1" t="s">
        <v>14435</v>
      </c>
      <c r="B1091" s="1" t="s">
        <v>3015</v>
      </c>
      <c r="C1091" s="1" t="str">
        <f>IFERROR(VLOOKUP(B1091,'SB1'!$A$2:$B$999999,2,FALSE),"")</f>
        <v>ESMALTE SINTETICO TERSUAVE BRILLANTE BASE D X  0,930</v>
      </c>
      <c r="D1091" s="1" t="s">
        <v>14482</v>
      </c>
      <c r="E1091" s="3">
        <f>IFERROR(VLOOKUP(B1091,'DA1'!$B$2:$D$999999,3,FALSE),"")</f>
      </c>
      <c r="F1091" s="1" t="str">
        <f>IFERROR(VLOOKUP(B1091,'SB1'!$A$2:$C$999999,3,FALSE),"")</f>
        <v>503</v>
      </c>
      <c r="G1091" s="3" t="e">
        <f t="shared" ref="G1091:G1154" si="39">E1091*1.04</f>
        <v>#VALUE!</v>
      </c>
      <c r="H1091" s="3" t="e">
        <f t="shared" si="38"/>
        <v>#VALUE!</v>
      </c>
      <c r="I1091" s="1">
        <v>1</v>
      </c>
    </row>
    <row r="1092" spans="1:9" x14ac:dyDescent="0.25">
      <c r="A1092" s="1" t="s">
        <v>14435</v>
      </c>
      <c r="B1092" s="1" t="s">
        <v>3017</v>
      </c>
      <c r="C1092" s="1" t="str">
        <f>IFERROR(VLOOKUP(B1092,'SB1'!$A$2:$B$999999,2,FALSE),"")</f>
        <v>ESMALTE SINTETICO TERSUAVE BRILLANTE BASE D X  3,720</v>
      </c>
      <c r="D1092" s="1" t="s">
        <v>14482</v>
      </c>
      <c r="E1092" s="3">
        <f>IFERROR(VLOOKUP(B1092,'DA1'!$B$2:$D$999999,3,FALSE),"")</f>
      </c>
      <c r="F1092" s="1" t="str">
        <f>IFERROR(VLOOKUP(B1092,'SB1'!$A$2:$C$999999,3,FALSE),"")</f>
        <v>503</v>
      </c>
      <c r="G1092" s="3" t="e">
        <f t="shared" si="39"/>
        <v>#VALUE!</v>
      </c>
      <c r="H1092" s="3" t="e">
        <f t="shared" si="38"/>
        <v>#VALUE!</v>
      </c>
      <c r="I1092" s="1">
        <v>1</v>
      </c>
    </row>
    <row r="1093" spans="1:9" x14ac:dyDescent="0.25">
      <c r="A1093" s="1" t="s">
        <v>14435</v>
      </c>
      <c r="B1093" s="1" t="s">
        <v>3021</v>
      </c>
      <c r="C1093" s="1" t="str">
        <f>IFERROR(VLOOKUP(B1093,'SB1'!$A$2:$B$999999,2,FALSE),"")</f>
        <v>ESMALTE SINTETICO TERSUAVE BRILLANTE BASE D X 18,600</v>
      </c>
      <c r="D1093" s="1" t="s">
        <v>14482</v>
      </c>
      <c r="E1093" s="3">
        <f>IFERROR(VLOOKUP(B1093,'DA1'!$B$2:$D$999999,3,FALSE),"")</f>
      </c>
      <c r="F1093" s="1" t="str">
        <f>IFERROR(VLOOKUP(B1093,'SB1'!$A$2:$C$999999,3,FALSE),"")</f>
        <v>503</v>
      </c>
      <c r="G1093" s="3" t="e">
        <f t="shared" si="39"/>
        <v>#VALUE!</v>
      </c>
      <c r="H1093" s="3" t="e">
        <f t="shared" si="38"/>
        <v>#VALUE!</v>
      </c>
      <c r="I1093" s="1">
        <v>1</v>
      </c>
    </row>
    <row r="1094" spans="1:9" x14ac:dyDescent="0.25">
      <c r="A1094" s="1" t="s">
        <v>14435</v>
      </c>
      <c r="B1094" s="1" t="s">
        <v>3023</v>
      </c>
      <c r="C1094" s="1" t="str">
        <f>IFERROR(VLOOKUP(B1094,'SB1'!$A$2:$B$999999,2,FALSE),"")</f>
        <v>ESMALTE SINTETICO TERSUAVE BRILLANTE BASE C X  0,900</v>
      </c>
      <c r="D1094" s="1" t="s">
        <v>14482</v>
      </c>
      <c r="E1094" s="3">
        <f>IFERROR(VLOOKUP(B1094,'DA1'!$B$2:$D$999999,3,FALSE),"")</f>
      </c>
      <c r="F1094" s="1" t="str">
        <f>IFERROR(VLOOKUP(B1094,'SB1'!$A$2:$C$999999,3,FALSE),"")</f>
        <v>503</v>
      </c>
      <c r="G1094" s="3" t="e">
        <f t="shared" si="39"/>
        <v>#VALUE!</v>
      </c>
      <c r="H1094" s="3" t="e">
        <f t="shared" si="38"/>
        <v>#VALUE!</v>
      </c>
      <c r="I1094" s="1">
        <v>1</v>
      </c>
    </row>
    <row r="1095" spans="1:9" x14ac:dyDescent="0.25">
      <c r="A1095" s="1" t="s">
        <v>14435</v>
      </c>
      <c r="B1095" s="1" t="s">
        <v>3025</v>
      </c>
      <c r="C1095" s="1" t="str">
        <f>IFERROR(VLOOKUP(B1095,'SB1'!$A$2:$B$999999,2,FALSE),"")</f>
        <v>ESMALTE SINTETICO TERSUAVE BRILLANTE BASE C X  3,600</v>
      </c>
      <c r="D1095" s="1" t="s">
        <v>14482</v>
      </c>
      <c r="E1095" s="3">
        <f>IFERROR(VLOOKUP(B1095,'DA1'!$B$2:$D$999999,3,FALSE),"")</f>
      </c>
      <c r="F1095" s="1" t="str">
        <f>IFERROR(VLOOKUP(B1095,'SB1'!$A$2:$C$999999,3,FALSE),"")</f>
        <v>503</v>
      </c>
      <c r="G1095" s="3" t="e">
        <f t="shared" si="39"/>
        <v>#VALUE!</v>
      </c>
      <c r="H1095" s="3" t="e">
        <f t="shared" si="38"/>
        <v>#VALUE!</v>
      </c>
      <c r="I1095" s="1">
        <v>1</v>
      </c>
    </row>
    <row r="1096" spans="1:9" x14ac:dyDescent="0.25">
      <c r="A1096" s="1" t="s">
        <v>14435</v>
      </c>
      <c r="B1096" s="1" t="s">
        <v>3027</v>
      </c>
      <c r="C1096" s="1" t="str">
        <f>IFERROR(VLOOKUP(B1096,'SB1'!$A$2:$B$999999,2,FALSE),"")</f>
        <v>ESMALTE SINTETICO PLAVICON 3EN1 BRILLANTE VIOLETA X  0,500</v>
      </c>
      <c r="D1096" s="1" t="s">
        <v>14458</v>
      </c>
      <c r="E1096" s="3">
        <f>IFERROR(VLOOKUP(B1096,'DA1'!$B$2:$D$999999,3,FALSE),"")</f>
      </c>
      <c r="F1096" s="1" t="str">
        <f>IFERROR(VLOOKUP(B1096,'SB1'!$A$2:$C$999999,3,FALSE),"")</f>
        <v>503</v>
      </c>
      <c r="G1096" s="3" t="e">
        <f t="shared" si="39"/>
        <v>#VALUE!</v>
      </c>
      <c r="H1096" s="3" t="e">
        <f t="shared" si="38"/>
        <v>#VALUE!</v>
      </c>
      <c r="I1096" s="1">
        <v>1</v>
      </c>
    </row>
    <row r="1097" spans="1:9" x14ac:dyDescent="0.25">
      <c r="A1097" s="1" t="s">
        <v>14435</v>
      </c>
      <c r="B1097" s="1" t="s">
        <v>3029</v>
      </c>
      <c r="C1097" s="1" t="str">
        <f>IFERROR(VLOOKUP(B1097,'SB1'!$A$2:$B$999999,2,FALSE),"")</f>
        <v>ESMALTE SINTETICO TERSUAVE BRILLANTE BASE C X 18,000</v>
      </c>
      <c r="D1097" s="1" t="s">
        <v>14482</v>
      </c>
      <c r="E1097" s="3">
        <f>IFERROR(VLOOKUP(B1097,'DA1'!$B$2:$D$999999,3,FALSE),"")</f>
      </c>
      <c r="F1097" s="1" t="str">
        <f>IFERROR(VLOOKUP(B1097,'SB1'!$A$2:$C$999999,3,FALSE),"")</f>
        <v>503</v>
      </c>
      <c r="G1097" s="3" t="e">
        <f t="shared" si="39"/>
        <v>#VALUE!</v>
      </c>
      <c r="H1097" s="3" t="e">
        <f t="shared" si="38"/>
        <v>#VALUE!</v>
      </c>
      <c r="I1097" s="1">
        <v>1</v>
      </c>
    </row>
    <row r="1098" spans="1:9" x14ac:dyDescent="0.25">
      <c r="A1098" s="1" t="s">
        <v>14435</v>
      </c>
      <c r="B1098" s="1" t="s">
        <v>3031</v>
      </c>
      <c r="C1098" s="1" t="str">
        <f>IFERROR(VLOOKUP(B1098,'SB1'!$A$2:$B$999999,2,FALSE),"")</f>
        <v>ESMALTE SINTETICO PLAVICON 3EN1 BRILLANTE VIOLETA X  1</v>
      </c>
      <c r="D1098" s="1" t="s">
        <v>14458</v>
      </c>
      <c r="E1098" s="3">
        <f>IFERROR(VLOOKUP(B1098,'DA1'!$B$2:$D$999999,3,FALSE),"")</f>
      </c>
      <c r="F1098" s="1" t="str">
        <f>IFERROR(VLOOKUP(B1098,'SB1'!$A$2:$C$999999,3,FALSE),"")</f>
        <v>503</v>
      </c>
      <c r="G1098" s="3" t="e">
        <f t="shared" si="39"/>
        <v>#VALUE!</v>
      </c>
      <c r="H1098" s="3" t="e">
        <f t="shared" si="38"/>
        <v>#VALUE!</v>
      </c>
      <c r="I1098" s="1">
        <v>1</v>
      </c>
    </row>
    <row r="1099" spans="1:9" x14ac:dyDescent="0.25">
      <c r="A1099" s="1" t="s">
        <v>14435</v>
      </c>
      <c r="B1099" s="1" t="s">
        <v>3033</v>
      </c>
      <c r="C1099" s="1" t="str">
        <f>IFERROR(VLOOKUP(B1099,'SB1'!$A$2:$B$999999,2,FALSE),"")</f>
        <v>ESMALTE SINTETICO PLAVICON 3EN1 BRILLANTE VIOLETA X  4</v>
      </c>
      <c r="D1099" s="1" t="s">
        <v>14458</v>
      </c>
      <c r="E1099" s="3">
        <f>IFERROR(VLOOKUP(B1099,'DA1'!$B$2:$D$999999,3,FALSE),"")</f>
      </c>
      <c r="F1099" s="1" t="str">
        <f>IFERROR(VLOOKUP(B1099,'SB1'!$A$2:$C$999999,3,FALSE),"")</f>
        <v>503</v>
      </c>
      <c r="G1099" s="3" t="e">
        <f t="shared" si="39"/>
        <v>#VALUE!</v>
      </c>
      <c r="H1099" s="3" t="e">
        <f t="shared" si="38"/>
        <v>#VALUE!</v>
      </c>
      <c r="I1099" s="1">
        <v>1</v>
      </c>
    </row>
    <row r="1100" spans="1:9" x14ac:dyDescent="0.25">
      <c r="A1100" s="1" t="s">
        <v>14435</v>
      </c>
      <c r="B1100" s="1" t="s">
        <v>3035</v>
      </c>
      <c r="C1100" s="1" t="str">
        <f>IFERROR(VLOOKUP(B1100,'SB1'!$A$2:$B$999999,2,FALSE),"")</f>
        <v>ESMALTE SINTETICO TERSUAVE SATINADO BASE M X 0,940</v>
      </c>
      <c r="D1100" s="1" t="s">
        <v>14482</v>
      </c>
      <c r="E1100" s="3">
        <f>IFERROR(VLOOKUP(B1100,'DA1'!$B$2:$D$999999,3,FALSE),"")</f>
      </c>
      <c r="F1100" s="1" t="str">
        <f>IFERROR(VLOOKUP(B1100,'SB1'!$A$2:$C$999999,3,FALSE),"")</f>
        <v>503</v>
      </c>
      <c r="G1100" s="3" t="e">
        <f t="shared" si="39"/>
        <v>#VALUE!</v>
      </c>
      <c r="H1100" s="3" t="e">
        <f t="shared" si="38"/>
        <v>#VALUE!</v>
      </c>
      <c r="I1100" s="1">
        <v>1</v>
      </c>
    </row>
    <row r="1101" spans="1:9" x14ac:dyDescent="0.25">
      <c r="A1101" s="1" t="s">
        <v>14435</v>
      </c>
      <c r="B1101" s="1" t="s">
        <v>3037</v>
      </c>
      <c r="C1101" s="1" t="str">
        <f>IFERROR(VLOOKUP(B1101,'SB1'!$A$2:$B$999999,2,FALSE),"")</f>
        <v>ESMALTE SINTETICO TERSUAVE SATINADO BASE M X 3,600</v>
      </c>
      <c r="D1101" s="1" t="s">
        <v>14482</v>
      </c>
      <c r="E1101" s="3">
        <f>IFERROR(VLOOKUP(B1101,'DA1'!$B$2:$D$999999,3,FALSE),"")</f>
      </c>
      <c r="F1101" s="1" t="str">
        <f>IFERROR(VLOOKUP(B1101,'SB1'!$A$2:$C$999999,3,FALSE),"")</f>
        <v>503</v>
      </c>
      <c r="G1101" s="3" t="e">
        <f t="shared" si="39"/>
        <v>#VALUE!</v>
      </c>
      <c r="H1101" s="3" t="e">
        <f t="shared" si="38"/>
        <v>#VALUE!</v>
      </c>
      <c r="I1101" s="1">
        <v>1</v>
      </c>
    </row>
    <row r="1102" spans="1:9" x14ac:dyDescent="0.25">
      <c r="A1102" s="1" t="s">
        <v>14435</v>
      </c>
      <c r="B1102" s="1" t="s">
        <v>3039</v>
      </c>
      <c r="C1102" s="1" t="str">
        <f>IFERROR(VLOOKUP(B1102,'SB1'!$A$2:$B$999999,2,FALSE),"")</f>
        <v>ESMALTE SINTETICO TERSUAVE SATINADO BASE D X 0,900</v>
      </c>
      <c r="D1102" s="1" t="s">
        <v>14482</v>
      </c>
      <c r="E1102" s="3">
        <f>IFERROR(VLOOKUP(B1102,'DA1'!$B$2:$D$999999,3,FALSE),"")</f>
      </c>
      <c r="F1102" s="1" t="str">
        <f>IFERROR(VLOOKUP(B1102,'SB1'!$A$2:$C$999999,3,FALSE),"")</f>
        <v>503</v>
      </c>
      <c r="G1102" s="3" t="e">
        <f t="shared" si="39"/>
        <v>#VALUE!</v>
      </c>
      <c r="H1102" s="3" t="e">
        <f t="shared" si="38"/>
        <v>#VALUE!</v>
      </c>
      <c r="I1102" s="1">
        <v>1</v>
      </c>
    </row>
    <row r="1103" spans="1:9" x14ac:dyDescent="0.25">
      <c r="A1103" s="1" t="s">
        <v>14435</v>
      </c>
      <c r="B1103" s="1" t="s">
        <v>3041</v>
      </c>
      <c r="C1103" s="1" t="str">
        <f>IFERROR(VLOOKUP(B1103,'SB1'!$A$2:$B$999999,2,FALSE),"")</f>
        <v>ESMALTE SINTETICO TERSUAVE SATINADO BASE D X 3,600</v>
      </c>
      <c r="D1103" s="1" t="s">
        <v>14482</v>
      </c>
      <c r="E1103" s="3">
        <f>IFERROR(VLOOKUP(B1103,'DA1'!$B$2:$D$999999,3,FALSE),"")</f>
      </c>
      <c r="F1103" s="1" t="str">
        <f>IFERROR(VLOOKUP(B1103,'SB1'!$A$2:$C$999999,3,FALSE),"")</f>
        <v>503</v>
      </c>
      <c r="G1103" s="3" t="e">
        <f t="shared" si="39"/>
        <v>#VALUE!</v>
      </c>
      <c r="H1103" s="3" t="e">
        <f t="shared" si="38"/>
        <v>#VALUE!</v>
      </c>
      <c r="I1103" s="1">
        <v>1</v>
      </c>
    </row>
    <row r="1104" spans="1:9" x14ac:dyDescent="0.25">
      <c r="A1104" s="1" t="s">
        <v>14435</v>
      </c>
      <c r="B1104" s="1" t="s">
        <v>3043</v>
      </c>
      <c r="C1104" s="1" t="str">
        <f>IFERROR(VLOOKUP(B1104,'SB1'!$A$2:$B$999999,2,FALSE),"")</f>
        <v>ESMALTE SINTETICO TERSUAVE SATINADO BASE C X  0,900</v>
      </c>
      <c r="D1104" s="1" t="s">
        <v>14482</v>
      </c>
      <c r="E1104" s="3">
        <f>IFERROR(VLOOKUP(B1104,'DA1'!$B$2:$D$999999,3,FALSE),"")</f>
      </c>
      <c r="F1104" s="1" t="str">
        <f>IFERROR(VLOOKUP(B1104,'SB1'!$A$2:$C$999999,3,FALSE),"")</f>
        <v>503</v>
      </c>
      <c r="G1104" s="3" t="e">
        <f t="shared" si="39"/>
        <v>#VALUE!</v>
      </c>
      <c r="H1104" s="3" t="e">
        <f t="shared" si="38"/>
        <v>#VALUE!</v>
      </c>
      <c r="I1104" s="1">
        <v>1</v>
      </c>
    </row>
    <row r="1105" spans="1:9" x14ac:dyDescent="0.25">
      <c r="A1105" s="1" t="s">
        <v>14435</v>
      </c>
      <c r="B1105" s="1" t="s">
        <v>3045</v>
      </c>
      <c r="C1105" s="1" t="str">
        <f>IFERROR(VLOOKUP(B1105,'SB1'!$A$2:$B$999999,2,FALSE),"")</f>
        <v>ESMALTE SINTETICO TERSUAVE SATINADO BASE C X 3,600</v>
      </c>
      <c r="D1105" s="1" t="s">
        <v>14482</v>
      </c>
      <c r="E1105" s="3">
        <f>IFERROR(VLOOKUP(B1105,'DA1'!$B$2:$D$999999,3,FALSE),"")</f>
      </c>
      <c r="F1105" s="1" t="str">
        <f>IFERROR(VLOOKUP(B1105,'SB1'!$A$2:$C$999999,3,FALSE),"")</f>
        <v>503</v>
      </c>
      <c r="G1105" s="3" t="e">
        <f t="shared" si="39"/>
        <v>#VALUE!</v>
      </c>
      <c r="H1105" s="3" t="e">
        <f t="shared" si="38"/>
        <v>#VALUE!</v>
      </c>
      <c r="I1105" s="1">
        <v>1</v>
      </c>
    </row>
    <row r="1106" spans="1:9" x14ac:dyDescent="0.25">
      <c r="A1106" s="1" t="s">
        <v>14435</v>
      </c>
      <c r="B1106" s="1" t="s">
        <v>3047</v>
      </c>
      <c r="C1106" s="1" t="str">
        <f>IFERROR(VLOOKUP(B1106,'SB1'!$A$2:$B$999999,2,FALSE),"")</f>
        <v>LATEX INTERIOR TERSUAVE LAVABLE BASE W X  0,900</v>
      </c>
      <c r="D1106" s="1" t="s">
        <v>14482</v>
      </c>
      <c r="E1106" s="3">
        <f>IFERROR(VLOOKUP(B1106,'DA1'!$B$2:$D$999999,3,FALSE),"")</f>
      </c>
      <c r="F1106" s="1" t="str">
        <f>IFERROR(VLOOKUP(B1106,'SB1'!$A$2:$C$999999,3,FALSE),"")</f>
        <v>503</v>
      </c>
      <c r="G1106" s="3" t="e">
        <f t="shared" si="39"/>
        <v>#VALUE!</v>
      </c>
      <c r="H1106" s="3" t="e">
        <f t="shared" si="38"/>
        <v>#VALUE!</v>
      </c>
      <c r="I1106" s="1">
        <v>1</v>
      </c>
    </row>
    <row r="1107" spans="1:9" x14ac:dyDescent="0.25">
      <c r="A1107" s="1" t="s">
        <v>14435</v>
      </c>
      <c r="B1107" s="1" t="s">
        <v>3049</v>
      </c>
      <c r="C1107" s="1" t="str">
        <f>IFERROR(VLOOKUP(B1107,'SB1'!$A$2:$B$999999,2,FALSE),"")</f>
        <v>LATEX INTERIOR TERSUAVE LAVABLE BASE W X  3,600</v>
      </c>
      <c r="D1107" s="1" t="s">
        <v>14482</v>
      </c>
      <c r="E1107" s="3">
        <f>IFERROR(VLOOKUP(B1107,'DA1'!$B$2:$D$999999,3,FALSE),"")</f>
      </c>
      <c r="F1107" s="1" t="str">
        <f>IFERROR(VLOOKUP(B1107,'SB1'!$A$2:$C$999999,3,FALSE),"")</f>
        <v>503</v>
      </c>
      <c r="G1107" s="3" t="e">
        <f t="shared" si="39"/>
        <v>#VALUE!</v>
      </c>
      <c r="H1107" s="3" t="e">
        <f t="shared" si="38"/>
        <v>#VALUE!</v>
      </c>
      <c r="I1107" s="1">
        <v>1</v>
      </c>
    </row>
    <row r="1108" spans="1:9" x14ac:dyDescent="0.25">
      <c r="A1108" s="1" t="s">
        <v>14435</v>
      </c>
      <c r="B1108" s="1" t="s">
        <v>3051</v>
      </c>
      <c r="C1108" s="1" t="str">
        <f>IFERROR(VLOOKUP(B1108,'SB1'!$A$2:$B$999999,2,FALSE),"")</f>
        <v>LATEX INTERIOR TERSUAVE LAVABLE BASE W X  9,000</v>
      </c>
      <c r="D1108" s="1" t="s">
        <v>14482</v>
      </c>
      <c r="E1108" s="3">
        <f>IFERROR(VLOOKUP(B1108,'DA1'!$B$2:$D$999999,3,FALSE),"")</f>
      </c>
      <c r="F1108" s="1" t="str">
        <f>IFERROR(VLOOKUP(B1108,'SB1'!$A$2:$C$999999,3,FALSE),"")</f>
        <v>503</v>
      </c>
      <c r="G1108" s="3" t="e">
        <f t="shared" si="39"/>
        <v>#VALUE!</v>
      </c>
      <c r="H1108" s="3" t="e">
        <f t="shared" si="38"/>
        <v>#VALUE!</v>
      </c>
      <c r="I1108" s="1">
        <v>1</v>
      </c>
    </row>
    <row r="1109" spans="1:9" x14ac:dyDescent="0.25">
      <c r="A1109" s="1" t="s">
        <v>14435</v>
      </c>
      <c r="B1109" s="1" t="s">
        <v>3053</v>
      </c>
      <c r="C1109" s="1" t="str">
        <f>IFERROR(VLOOKUP(B1109,'SB1'!$A$2:$B$999999,2,FALSE),"")</f>
        <v>LATEX INTERIOR TERSUAVE LAVABLE BASE W X 18,000</v>
      </c>
      <c r="D1109" s="1" t="s">
        <v>14482</v>
      </c>
      <c r="E1109" s="3">
        <f>IFERROR(VLOOKUP(B1109,'DA1'!$B$2:$D$999999,3,FALSE),"")</f>
      </c>
      <c r="F1109" s="1" t="str">
        <f>IFERROR(VLOOKUP(B1109,'SB1'!$A$2:$C$999999,3,FALSE),"")</f>
        <v>503</v>
      </c>
      <c r="G1109" s="3" t="e">
        <f t="shared" si="39"/>
        <v>#VALUE!</v>
      </c>
      <c r="H1109" s="3" t="e">
        <f t="shared" si="38"/>
        <v>#VALUE!</v>
      </c>
      <c r="I1109" s="1">
        <v>1</v>
      </c>
    </row>
    <row r="1110" spans="1:9" x14ac:dyDescent="0.25">
      <c r="A1110" s="1" t="s">
        <v>14435</v>
      </c>
      <c r="B1110" s="1" t="s">
        <v>3055</v>
      </c>
      <c r="C1110" s="1" t="str">
        <f>IFERROR(VLOOKUP(B1110,'SB1'!$A$2:$B$999999,2,FALSE),"")</f>
        <v>LATEX INTERIOR TERSUAVE LAVABLE BASE M X  0,900</v>
      </c>
      <c r="D1110" s="1" t="s">
        <v>14482</v>
      </c>
      <c r="E1110" s="3">
        <f>IFERROR(VLOOKUP(B1110,'DA1'!$B$2:$D$999999,3,FALSE),"")</f>
      </c>
      <c r="F1110" s="1" t="str">
        <f>IFERROR(VLOOKUP(B1110,'SB1'!$A$2:$C$999999,3,FALSE),"")</f>
        <v>503</v>
      </c>
      <c r="G1110" s="3" t="e">
        <f t="shared" si="39"/>
        <v>#VALUE!</v>
      </c>
      <c r="H1110" s="3" t="e">
        <f t="shared" si="38"/>
        <v>#VALUE!</v>
      </c>
      <c r="I1110" s="1">
        <v>1</v>
      </c>
    </row>
    <row r="1111" spans="1:9" x14ac:dyDescent="0.25">
      <c r="A1111" s="1" t="s">
        <v>14435</v>
      </c>
      <c r="B1111" s="1" t="s">
        <v>3057</v>
      </c>
      <c r="C1111" s="1" t="str">
        <f>IFERROR(VLOOKUP(B1111,'SB1'!$A$2:$B$999999,2,FALSE),"")</f>
        <v>LATEX INTERIOR TERSUAVE LAVABLE BASE M X  3,600</v>
      </c>
      <c r="D1111" s="1" t="s">
        <v>14482</v>
      </c>
      <c r="E1111" s="3">
        <f>IFERROR(VLOOKUP(B1111,'DA1'!$B$2:$D$999999,3,FALSE),"")</f>
      </c>
      <c r="F1111" s="1" t="str">
        <f>IFERROR(VLOOKUP(B1111,'SB1'!$A$2:$C$999999,3,FALSE),"")</f>
        <v>503</v>
      </c>
      <c r="G1111" s="3" t="e">
        <f t="shared" si="39"/>
        <v>#VALUE!</v>
      </c>
      <c r="H1111" s="3" t="e">
        <f t="shared" si="38"/>
        <v>#VALUE!</v>
      </c>
      <c r="I1111" s="1">
        <v>1</v>
      </c>
    </row>
    <row r="1112" spans="1:9" x14ac:dyDescent="0.25">
      <c r="A1112" s="1" t="s">
        <v>14435</v>
      </c>
      <c r="B1112" s="1" t="s">
        <v>3059</v>
      </c>
      <c r="C1112" s="1" t="str">
        <f>IFERROR(VLOOKUP(B1112,'SB1'!$A$2:$B$999999,2,FALSE),"")</f>
        <v>LATEX INTERIOR TERSUAVE LAVABLE BASE M X  9,000</v>
      </c>
      <c r="D1112" s="1" t="s">
        <v>14482</v>
      </c>
      <c r="E1112" s="3">
        <f>IFERROR(VLOOKUP(B1112,'DA1'!$B$2:$D$999999,3,FALSE),"")</f>
      </c>
      <c r="F1112" s="1" t="str">
        <f>IFERROR(VLOOKUP(B1112,'SB1'!$A$2:$C$999999,3,FALSE),"")</f>
        <v>503</v>
      </c>
      <c r="G1112" s="3" t="e">
        <f t="shared" si="39"/>
        <v>#VALUE!</v>
      </c>
      <c r="H1112" s="3" t="e">
        <f t="shared" si="38"/>
        <v>#VALUE!</v>
      </c>
      <c r="I1112" s="1">
        <v>1</v>
      </c>
    </row>
    <row r="1113" spans="1:9" x14ac:dyDescent="0.25">
      <c r="A1113" s="1" t="s">
        <v>14435</v>
      </c>
      <c r="B1113" s="1" t="s">
        <v>3061</v>
      </c>
      <c r="C1113" s="1" t="str">
        <f>IFERROR(VLOOKUP(B1113,'SB1'!$A$2:$B$999999,2,FALSE),"")</f>
        <v>LATEX INTERIOR TERSUAVE LAVABLE BASE M X 18</v>
      </c>
      <c r="D1113" s="1" t="s">
        <v>14482</v>
      </c>
      <c r="E1113" s="3">
        <f>IFERROR(VLOOKUP(B1113,'DA1'!$B$2:$D$999999,3,FALSE),"")</f>
      </c>
      <c r="F1113" s="1" t="str">
        <f>IFERROR(VLOOKUP(B1113,'SB1'!$A$2:$C$999999,3,FALSE),"")</f>
        <v>503</v>
      </c>
      <c r="G1113" s="3" t="e">
        <f t="shared" si="39"/>
        <v>#VALUE!</v>
      </c>
      <c r="H1113" s="3" t="e">
        <f t="shared" si="38"/>
        <v>#VALUE!</v>
      </c>
      <c r="I1113" s="1">
        <v>1</v>
      </c>
    </row>
    <row r="1114" spans="1:9" x14ac:dyDescent="0.25">
      <c r="A1114" s="1" t="s">
        <v>14435</v>
      </c>
      <c r="B1114" s="1" t="s">
        <v>3063</v>
      </c>
      <c r="C1114" s="1" t="str">
        <f>IFERROR(VLOOKUP(B1114,'SB1'!$A$2:$B$999999,2,FALSE),"")</f>
        <v>LATEX INTERIOR TERSUAVE LAVABLE BASE D X  0,900</v>
      </c>
      <c r="D1114" s="1" t="s">
        <v>14482</v>
      </c>
      <c r="E1114" s="3">
        <f>IFERROR(VLOOKUP(B1114,'DA1'!$B$2:$D$999999,3,FALSE),"")</f>
      </c>
      <c r="F1114" s="1" t="str">
        <f>IFERROR(VLOOKUP(B1114,'SB1'!$A$2:$C$999999,3,FALSE),"")</f>
        <v>503</v>
      </c>
      <c r="G1114" s="3" t="e">
        <f t="shared" si="39"/>
        <v>#VALUE!</v>
      </c>
      <c r="H1114" s="3" t="e">
        <f t="shared" si="38"/>
        <v>#VALUE!</v>
      </c>
      <c r="I1114" s="1">
        <v>1</v>
      </c>
    </row>
    <row r="1115" spans="1:9" x14ac:dyDescent="0.25">
      <c r="A1115" s="1" t="s">
        <v>14435</v>
      </c>
      <c r="B1115" s="1" t="s">
        <v>3065</v>
      </c>
      <c r="C1115" s="1" t="str">
        <f>IFERROR(VLOOKUP(B1115,'SB1'!$A$2:$B$999999,2,FALSE),"")</f>
        <v>LATEX INTERIOR TERSUAVE LAVABLE BASE D X  3,600</v>
      </c>
      <c r="D1115" s="1" t="s">
        <v>14482</v>
      </c>
      <c r="E1115" s="3">
        <f>IFERROR(VLOOKUP(B1115,'DA1'!$B$2:$D$999999,3,FALSE),"")</f>
      </c>
      <c r="F1115" s="1" t="str">
        <f>IFERROR(VLOOKUP(B1115,'SB1'!$A$2:$C$999999,3,FALSE),"")</f>
        <v>503</v>
      </c>
      <c r="G1115" s="3" t="e">
        <f t="shared" si="39"/>
        <v>#VALUE!</v>
      </c>
      <c r="H1115" s="3" t="e">
        <f t="shared" si="38"/>
        <v>#VALUE!</v>
      </c>
      <c r="I1115" s="1">
        <v>1</v>
      </c>
    </row>
    <row r="1116" spans="1:9" x14ac:dyDescent="0.25">
      <c r="A1116" s="1" t="s">
        <v>14435</v>
      </c>
      <c r="B1116" s="1" t="s">
        <v>3067</v>
      </c>
      <c r="C1116" s="1" t="str">
        <f>IFERROR(VLOOKUP(B1116,'SB1'!$A$2:$B$999999,2,FALSE),"")</f>
        <v>LATEX INTERIOR TERSUAVE LAVABLE BASE D X  9,000</v>
      </c>
      <c r="D1116" s="1" t="s">
        <v>14482</v>
      </c>
      <c r="E1116" s="3">
        <f>IFERROR(VLOOKUP(B1116,'DA1'!$B$2:$D$999999,3,FALSE),"")</f>
      </c>
      <c r="F1116" s="1" t="str">
        <f>IFERROR(VLOOKUP(B1116,'SB1'!$A$2:$C$999999,3,FALSE),"")</f>
        <v>503</v>
      </c>
      <c r="G1116" s="3" t="e">
        <f t="shared" si="39"/>
        <v>#VALUE!</v>
      </c>
      <c r="H1116" s="3" t="e">
        <f t="shared" si="38"/>
        <v>#VALUE!</v>
      </c>
      <c r="I1116" s="1">
        <v>1</v>
      </c>
    </row>
    <row r="1117" spans="1:9" x14ac:dyDescent="0.25">
      <c r="A1117" s="1" t="s">
        <v>14435</v>
      </c>
      <c r="B1117" s="1" t="s">
        <v>3069</v>
      </c>
      <c r="C1117" s="1" t="str">
        <f>IFERROR(VLOOKUP(B1117,'SB1'!$A$2:$B$999999,2,FALSE),"")</f>
        <v>LATEX INTERIOR TERSUAVE LAVABLE BASE D X 18</v>
      </c>
      <c r="D1117" s="1" t="s">
        <v>14482</v>
      </c>
      <c r="E1117" s="3">
        <f>IFERROR(VLOOKUP(B1117,'DA1'!$B$2:$D$999999,3,FALSE),"")</f>
      </c>
      <c r="F1117" s="1" t="str">
        <f>IFERROR(VLOOKUP(B1117,'SB1'!$A$2:$C$999999,3,FALSE),"")</f>
        <v>503</v>
      </c>
      <c r="G1117" s="3" t="e">
        <f t="shared" si="39"/>
        <v>#VALUE!</v>
      </c>
      <c r="H1117" s="3" t="e">
        <f t="shared" si="38"/>
        <v>#VALUE!</v>
      </c>
      <c r="I1117" s="1">
        <v>1</v>
      </c>
    </row>
    <row r="1118" spans="1:9" x14ac:dyDescent="0.25">
      <c r="A1118" s="1" t="s">
        <v>14435</v>
      </c>
      <c r="B1118" s="1" t="s">
        <v>3071</v>
      </c>
      <c r="C1118" s="1" t="str">
        <f>IFERROR(VLOOKUP(B1118,'SB1'!$A$2:$B$999999,2,FALSE),"")</f>
        <v>LATEX INTERIOR TERSUAVE LAVABLE BASE C X  0,900</v>
      </c>
      <c r="D1118" s="1" t="s">
        <v>14482</v>
      </c>
      <c r="E1118" s="3">
        <f>IFERROR(VLOOKUP(B1118,'DA1'!$B$2:$D$999999,3,FALSE),"")</f>
      </c>
      <c r="F1118" s="1" t="str">
        <f>IFERROR(VLOOKUP(B1118,'SB1'!$A$2:$C$999999,3,FALSE),"")</f>
        <v>503</v>
      </c>
      <c r="G1118" s="3" t="e">
        <f t="shared" si="39"/>
        <v>#VALUE!</v>
      </c>
      <c r="H1118" s="3" t="e">
        <f t="shared" si="38"/>
        <v>#VALUE!</v>
      </c>
      <c r="I1118" s="1">
        <v>1</v>
      </c>
    </row>
    <row r="1119" spans="1:9" x14ac:dyDescent="0.25">
      <c r="A1119" s="1" t="s">
        <v>14435</v>
      </c>
      <c r="B1119" s="1" t="s">
        <v>3073</v>
      </c>
      <c r="C1119" s="1" t="str">
        <f>IFERROR(VLOOKUP(B1119,'SB1'!$A$2:$B$999999,2,FALSE),"")</f>
        <v>LATEX INTERIOR TERSUAVE LAVABLE BASE C X  3,600</v>
      </c>
      <c r="D1119" s="1" t="s">
        <v>14482</v>
      </c>
      <c r="E1119" s="3">
        <f>IFERROR(VLOOKUP(B1119,'DA1'!$B$2:$D$999999,3,FALSE),"")</f>
      </c>
      <c r="F1119" s="1" t="str">
        <f>IFERROR(VLOOKUP(B1119,'SB1'!$A$2:$C$999999,3,FALSE),"")</f>
        <v>503</v>
      </c>
      <c r="G1119" s="3" t="e">
        <f t="shared" si="39"/>
        <v>#VALUE!</v>
      </c>
      <c r="H1119" s="3" t="e">
        <f t="shared" si="38"/>
        <v>#VALUE!</v>
      </c>
      <c r="I1119" s="1">
        <v>1</v>
      </c>
    </row>
    <row r="1120" spans="1:9" x14ac:dyDescent="0.25">
      <c r="A1120" s="1" t="s">
        <v>14435</v>
      </c>
      <c r="B1120" s="1" t="s">
        <v>3075</v>
      </c>
      <c r="C1120" s="1" t="str">
        <f>IFERROR(VLOOKUP(B1120,'SB1'!$A$2:$B$999999,2,FALSE),"")</f>
        <v>LATEX INTERIOR TERSUAVE LAVABLE BASE C X  9,000</v>
      </c>
      <c r="D1120" s="1" t="s">
        <v>14482</v>
      </c>
      <c r="E1120" s="3">
        <f>IFERROR(VLOOKUP(B1120,'DA1'!$B$2:$D$999999,3,FALSE),"")</f>
      </c>
      <c r="F1120" s="1" t="str">
        <f>IFERROR(VLOOKUP(B1120,'SB1'!$A$2:$C$999999,3,FALSE),"")</f>
        <v>503</v>
      </c>
      <c r="G1120" s="3" t="e">
        <f t="shared" si="39"/>
        <v>#VALUE!</v>
      </c>
      <c r="H1120" s="3" t="e">
        <f t="shared" si="38"/>
        <v>#VALUE!</v>
      </c>
      <c r="I1120" s="1">
        <v>1</v>
      </c>
    </row>
    <row r="1121" spans="1:9" x14ac:dyDescent="0.25">
      <c r="A1121" s="1" t="s">
        <v>14435</v>
      </c>
      <c r="B1121" s="1" t="s">
        <v>3077</v>
      </c>
      <c r="C1121" s="1" t="str">
        <f>IFERROR(VLOOKUP(B1121,'SB1'!$A$2:$B$999999,2,FALSE),"")</f>
        <v>LATEX INTERIOR TERSUAVE LAVABLE BASE C X 18,000</v>
      </c>
      <c r="D1121" s="1" t="s">
        <v>14482</v>
      </c>
      <c r="E1121" s="3">
        <f>IFERROR(VLOOKUP(B1121,'DA1'!$B$2:$D$999999,3,FALSE),"")</f>
      </c>
      <c r="F1121" s="1" t="str">
        <f>IFERROR(VLOOKUP(B1121,'SB1'!$A$2:$C$999999,3,FALSE),"")</f>
        <v>503</v>
      </c>
      <c r="G1121" s="3" t="e">
        <f t="shared" si="39"/>
        <v>#VALUE!</v>
      </c>
      <c r="H1121" s="3" t="e">
        <f t="shared" si="38"/>
        <v>#VALUE!</v>
      </c>
      <c r="I1121" s="1">
        <v>1</v>
      </c>
    </row>
    <row r="1122" spans="1:9" x14ac:dyDescent="0.25">
      <c r="A1122" s="1" t="s">
        <v>14435</v>
      </c>
      <c r="B1122" s="1" t="s">
        <v>3083</v>
      </c>
      <c r="C1122" s="1" t="str">
        <f>IFERROR(VLOOKUP(B1122,'SB1'!$A$2:$B$999999,2,FALSE),"")</f>
        <v>ESMALTE SINTETICO PLAVICON 3EN1 BRILLANTE VIOLETA X 20</v>
      </c>
      <c r="D1122" s="1" t="s">
        <v>14458</v>
      </c>
      <c r="E1122" s="3">
        <f>IFERROR(VLOOKUP(B1122,'DA1'!$B$2:$D$999999,3,FALSE),"")</f>
      </c>
      <c r="F1122" s="1" t="str">
        <f>IFERROR(VLOOKUP(B1122,'SB1'!$A$2:$C$999999,3,FALSE),"")</f>
        <v>503</v>
      </c>
      <c r="G1122" s="3" t="e">
        <f t="shared" si="39"/>
        <v>#VALUE!</v>
      </c>
      <c r="H1122" s="3" t="e">
        <f t="shared" si="38"/>
        <v>#VALUE!</v>
      </c>
      <c r="I1122" s="1">
        <v>1</v>
      </c>
    </row>
    <row r="1123" spans="1:9" x14ac:dyDescent="0.25">
      <c r="A1123" s="1" t="s">
        <v>14435</v>
      </c>
      <c r="B1123" s="1" t="s">
        <v>3087</v>
      </c>
      <c r="C1123" s="1" t="str">
        <f>IFERROR(VLOOKUP(B1123,'SB1'!$A$2:$B$999999,2,FALSE),"")</f>
        <v>IMPERMEABILIZANTE PARA FRENTES Y MUROS TERSUAVE BASE M X  0,900</v>
      </c>
      <c r="D1123" s="1" t="s">
        <v>14482</v>
      </c>
      <c r="E1123" s="3">
        <f>IFERROR(VLOOKUP(B1123,'DA1'!$B$2:$D$999999,3,FALSE),"")</f>
      </c>
      <c r="F1123" s="1" t="str">
        <f>IFERROR(VLOOKUP(B1123,'SB1'!$A$2:$C$999999,3,FALSE),"")</f>
        <v>503</v>
      </c>
      <c r="G1123" s="3" t="e">
        <f t="shared" si="39"/>
        <v>#VALUE!</v>
      </c>
      <c r="H1123" s="3" t="e">
        <f t="shared" ref="H1123:H1186" si="40">G1123*1.21</f>
        <v>#VALUE!</v>
      </c>
      <c r="I1123" s="1">
        <v>1</v>
      </c>
    </row>
    <row r="1124" spans="1:9" x14ac:dyDescent="0.25">
      <c r="A1124" s="1" t="s">
        <v>14435</v>
      </c>
      <c r="B1124" s="1" t="s">
        <v>3089</v>
      </c>
      <c r="C1124" s="1" t="str">
        <f>IFERROR(VLOOKUP(B1124,'SB1'!$A$2:$B$999999,2,FALSE),"")</f>
        <v>IMPERMEABILIZANTE PARA FRENTES Y MUROS TERSUAVE BASE M X  3,600</v>
      </c>
      <c r="D1124" s="1" t="s">
        <v>14482</v>
      </c>
      <c r="E1124" s="3">
        <f>IFERROR(VLOOKUP(B1124,'DA1'!$B$2:$D$999999,3,FALSE),"")</f>
      </c>
      <c r="F1124" s="1" t="str">
        <f>IFERROR(VLOOKUP(B1124,'SB1'!$A$2:$C$999999,3,FALSE),"")</f>
        <v>503</v>
      </c>
      <c r="G1124" s="3" t="e">
        <f t="shared" si="39"/>
        <v>#VALUE!</v>
      </c>
      <c r="H1124" s="3" t="e">
        <f t="shared" si="40"/>
        <v>#VALUE!</v>
      </c>
      <c r="I1124" s="1">
        <v>1</v>
      </c>
    </row>
    <row r="1125" spans="1:9" x14ac:dyDescent="0.25">
      <c r="A1125" s="1" t="s">
        <v>14435</v>
      </c>
      <c r="B1125" s="1" t="s">
        <v>3091</v>
      </c>
      <c r="C1125" s="1" t="str">
        <f>IFERROR(VLOOKUP(B1125,'SB1'!$A$2:$B$999999,2,FALSE),"")</f>
        <v>IMPERMEABILIZANTE PARA FRENTES Y MUROS TERSUAVE BASE M X  9</v>
      </c>
      <c r="D1125" s="1" t="s">
        <v>14482</v>
      </c>
      <c r="E1125" s="3">
        <f>IFERROR(VLOOKUP(B1125,'DA1'!$B$2:$D$999999,3,FALSE),"")</f>
      </c>
      <c r="F1125" s="1" t="str">
        <f>IFERROR(VLOOKUP(B1125,'SB1'!$A$2:$C$999999,3,FALSE),"")</f>
        <v>503</v>
      </c>
      <c r="G1125" s="3" t="e">
        <f t="shared" si="39"/>
        <v>#VALUE!</v>
      </c>
      <c r="H1125" s="3" t="e">
        <f t="shared" si="40"/>
        <v>#VALUE!</v>
      </c>
      <c r="I1125" s="1">
        <v>1</v>
      </c>
    </row>
    <row r="1126" spans="1:9" x14ac:dyDescent="0.25">
      <c r="A1126" s="1" t="s">
        <v>14435</v>
      </c>
      <c r="B1126" s="1" t="s">
        <v>3093</v>
      </c>
      <c r="C1126" s="1" t="str">
        <f>IFERROR(VLOOKUP(B1126,'SB1'!$A$2:$B$999999,2,FALSE),"")</f>
        <v>IMPERMEABILIZANTE PARA FRENTES Y MUROS TERSUAVE BASE M X 18</v>
      </c>
      <c r="D1126" s="1" t="s">
        <v>14482</v>
      </c>
      <c r="E1126" s="3">
        <f>IFERROR(VLOOKUP(B1126,'DA1'!$B$2:$D$999999,3,FALSE),"")</f>
      </c>
      <c r="F1126" s="1" t="str">
        <f>IFERROR(VLOOKUP(B1126,'SB1'!$A$2:$C$999999,3,FALSE),"")</f>
        <v>503</v>
      </c>
      <c r="G1126" s="3" t="e">
        <f t="shared" si="39"/>
        <v>#VALUE!</v>
      </c>
      <c r="H1126" s="3" t="e">
        <f t="shared" si="40"/>
        <v>#VALUE!</v>
      </c>
      <c r="I1126" s="1">
        <v>1</v>
      </c>
    </row>
    <row r="1127" spans="1:9" x14ac:dyDescent="0.25">
      <c r="A1127" s="1" t="s">
        <v>14435</v>
      </c>
      <c r="B1127" s="1" t="s">
        <v>3095</v>
      </c>
      <c r="C1127" s="1" t="str">
        <f>IFERROR(VLOOKUP(B1127,'SB1'!$A$2:$B$999999,2,FALSE),"")</f>
        <v>IMPERMEABILIZANTE PARA FRENTES Y MUROS TERSUAVE BASE D X  0,900</v>
      </c>
      <c r="D1127" s="1" t="s">
        <v>14482</v>
      </c>
      <c r="E1127" s="3">
        <f>IFERROR(VLOOKUP(B1127,'DA1'!$B$2:$D$999999,3,FALSE),"")</f>
      </c>
      <c r="F1127" s="1" t="str">
        <f>IFERROR(VLOOKUP(B1127,'SB1'!$A$2:$C$999999,3,FALSE),"")</f>
        <v>503</v>
      </c>
      <c r="G1127" s="3" t="e">
        <f t="shared" si="39"/>
        <v>#VALUE!</v>
      </c>
      <c r="H1127" s="3" t="e">
        <f t="shared" si="40"/>
        <v>#VALUE!</v>
      </c>
      <c r="I1127" s="1">
        <v>1</v>
      </c>
    </row>
    <row r="1128" spans="1:9" x14ac:dyDescent="0.25">
      <c r="A1128" s="1" t="s">
        <v>14435</v>
      </c>
      <c r="B1128" s="1" t="s">
        <v>3097</v>
      </c>
      <c r="C1128" s="1" t="str">
        <f>IFERROR(VLOOKUP(B1128,'SB1'!$A$2:$B$999999,2,FALSE),"")</f>
        <v>IMPERMEABILIZANTE PARA FRENTES Y MUROS TERSUAVE BASE D X  3,600</v>
      </c>
      <c r="D1128" s="1" t="s">
        <v>14482</v>
      </c>
      <c r="E1128" s="3">
        <f>IFERROR(VLOOKUP(B1128,'DA1'!$B$2:$D$999999,3,FALSE),"")</f>
      </c>
      <c r="F1128" s="1" t="str">
        <f>IFERROR(VLOOKUP(B1128,'SB1'!$A$2:$C$999999,3,FALSE),"")</f>
        <v>503</v>
      </c>
      <c r="G1128" s="3" t="e">
        <f t="shared" si="39"/>
        <v>#VALUE!</v>
      </c>
      <c r="H1128" s="3" t="e">
        <f t="shared" si="40"/>
        <v>#VALUE!</v>
      </c>
      <c r="I1128" s="1">
        <v>1</v>
      </c>
    </row>
    <row r="1129" spans="1:9" x14ac:dyDescent="0.25">
      <c r="A1129" s="1" t="s">
        <v>14435</v>
      </c>
      <c r="B1129" s="1" t="s">
        <v>3099</v>
      </c>
      <c r="C1129" s="1" t="str">
        <f>IFERROR(VLOOKUP(B1129,'SB1'!$A$2:$B$999999,2,FALSE),"")</f>
        <v>IMPERMEABILIZANTE PARA FRENTES Y MUROS TERSUAVE BASE D X  9</v>
      </c>
      <c r="D1129" s="1" t="s">
        <v>14482</v>
      </c>
      <c r="E1129" s="3">
        <f>IFERROR(VLOOKUP(B1129,'DA1'!$B$2:$D$999999,3,FALSE),"")</f>
      </c>
      <c r="F1129" s="1" t="str">
        <f>IFERROR(VLOOKUP(B1129,'SB1'!$A$2:$C$999999,3,FALSE),"")</f>
        <v>503</v>
      </c>
      <c r="G1129" s="3" t="e">
        <f t="shared" si="39"/>
        <v>#VALUE!</v>
      </c>
      <c r="H1129" s="3" t="e">
        <f t="shared" si="40"/>
        <v>#VALUE!</v>
      </c>
      <c r="I1129" s="1">
        <v>1</v>
      </c>
    </row>
    <row r="1130" spans="1:9" x14ac:dyDescent="0.25">
      <c r="A1130" s="1" t="s">
        <v>14435</v>
      </c>
      <c r="B1130" s="1" t="s">
        <v>3101</v>
      </c>
      <c r="C1130" s="1" t="str">
        <f>IFERROR(VLOOKUP(B1130,'SB1'!$A$2:$B$999999,2,FALSE),"")</f>
        <v>IMPERMEABILIZANTE PARA FRENTES Y MUROS TERSUAVE BASE D X 18</v>
      </c>
      <c r="D1130" s="1" t="s">
        <v>14482</v>
      </c>
      <c r="E1130" s="3">
        <f>IFERROR(VLOOKUP(B1130,'DA1'!$B$2:$D$999999,3,FALSE),"")</f>
      </c>
      <c r="F1130" s="1" t="str">
        <f>IFERROR(VLOOKUP(B1130,'SB1'!$A$2:$C$999999,3,FALSE),"")</f>
        <v>503</v>
      </c>
      <c r="G1130" s="3" t="e">
        <f t="shared" si="39"/>
        <v>#VALUE!</v>
      </c>
      <c r="H1130" s="3" t="e">
        <f t="shared" si="40"/>
        <v>#VALUE!</v>
      </c>
      <c r="I1130" s="1">
        <v>1</v>
      </c>
    </row>
    <row r="1131" spans="1:9" x14ac:dyDescent="0.25">
      <c r="A1131" s="1" t="s">
        <v>14435</v>
      </c>
      <c r="B1131" s="1" t="s">
        <v>3103</v>
      </c>
      <c r="C1131" s="1" t="str">
        <f>IFERROR(VLOOKUP(B1131,'SB1'!$A$2:$B$999999,2,FALSE),"")</f>
        <v>IMPERMEABILIZANTE PARA FRENTES Y MUROS TERSUAVE BASE C X  0,900</v>
      </c>
      <c r="D1131" s="1" t="s">
        <v>14482</v>
      </c>
      <c r="E1131" s="3">
        <f>IFERROR(VLOOKUP(B1131,'DA1'!$B$2:$D$999999,3,FALSE),"")</f>
      </c>
      <c r="F1131" s="1" t="str">
        <f>IFERROR(VLOOKUP(B1131,'SB1'!$A$2:$C$999999,3,FALSE),"")</f>
        <v>503</v>
      </c>
      <c r="G1131" s="3" t="e">
        <f t="shared" si="39"/>
        <v>#VALUE!</v>
      </c>
      <c r="H1131" s="3" t="e">
        <f t="shared" si="40"/>
        <v>#VALUE!</v>
      </c>
      <c r="I1131" s="1">
        <v>1</v>
      </c>
    </row>
    <row r="1132" spans="1:9" x14ac:dyDescent="0.25">
      <c r="A1132" s="1" t="s">
        <v>14435</v>
      </c>
      <c r="B1132" s="1" t="s">
        <v>3105</v>
      </c>
      <c r="C1132" s="1" t="str">
        <f>IFERROR(VLOOKUP(B1132,'SB1'!$A$2:$B$999999,2,FALSE),"")</f>
        <v>IMPERMEABILIZANTE PARA FRENTES Y MUROS TERSUAVE BASE C X  3,600</v>
      </c>
      <c r="D1132" s="1" t="s">
        <v>14482</v>
      </c>
      <c r="E1132" s="3">
        <f>IFERROR(VLOOKUP(B1132,'DA1'!$B$2:$D$999999,3,FALSE),"")</f>
      </c>
      <c r="F1132" s="1" t="str">
        <f>IFERROR(VLOOKUP(B1132,'SB1'!$A$2:$C$999999,3,FALSE),"")</f>
        <v>503</v>
      </c>
      <c r="G1132" s="3" t="e">
        <f t="shared" si="39"/>
        <v>#VALUE!</v>
      </c>
      <c r="H1132" s="3" t="e">
        <f t="shared" si="40"/>
        <v>#VALUE!</v>
      </c>
      <c r="I1132" s="1">
        <v>1</v>
      </c>
    </row>
    <row r="1133" spans="1:9" x14ac:dyDescent="0.25">
      <c r="A1133" s="1" t="s">
        <v>14435</v>
      </c>
      <c r="B1133" s="1" t="s">
        <v>3107</v>
      </c>
      <c r="C1133" s="1" t="str">
        <f>IFERROR(VLOOKUP(B1133,'SB1'!$A$2:$B$999999,2,FALSE),"")</f>
        <v>IMPERMEABILIZANTE PARA FRENTES Y MUROS TERSUAVE BASE C X  9,000</v>
      </c>
      <c r="D1133" s="1" t="s">
        <v>14482</v>
      </c>
      <c r="E1133" s="3">
        <f>IFERROR(VLOOKUP(B1133,'DA1'!$B$2:$D$999999,3,FALSE),"")</f>
      </c>
      <c r="F1133" s="1" t="str">
        <f>IFERROR(VLOOKUP(B1133,'SB1'!$A$2:$C$999999,3,FALSE),"")</f>
        <v>503</v>
      </c>
      <c r="G1133" s="3" t="e">
        <f t="shared" si="39"/>
        <v>#VALUE!</v>
      </c>
      <c r="H1133" s="3" t="e">
        <f t="shared" si="40"/>
        <v>#VALUE!</v>
      </c>
      <c r="I1133" s="1">
        <v>1</v>
      </c>
    </row>
    <row r="1134" spans="1:9" x14ac:dyDescent="0.25">
      <c r="A1134" s="1" t="s">
        <v>14435</v>
      </c>
      <c r="B1134" s="1" t="s">
        <v>3109</v>
      </c>
      <c r="C1134" s="1" t="str">
        <f>IFERROR(VLOOKUP(B1134,'SB1'!$A$2:$B$999999,2,FALSE),"")</f>
        <v>IMPERMEABILIZANTE PARA FRENTES Y MUROS TERSUAVE BASE C X 18,000</v>
      </c>
      <c r="D1134" s="1" t="s">
        <v>14482</v>
      </c>
      <c r="E1134" s="3">
        <f>IFERROR(VLOOKUP(B1134,'DA1'!$B$2:$D$999999,3,FALSE),"")</f>
      </c>
      <c r="F1134" s="1" t="str">
        <f>IFERROR(VLOOKUP(B1134,'SB1'!$A$2:$C$999999,3,FALSE),"")</f>
        <v>503</v>
      </c>
      <c r="G1134" s="3" t="e">
        <f t="shared" si="39"/>
        <v>#VALUE!</v>
      </c>
      <c r="H1134" s="3" t="e">
        <f t="shared" si="40"/>
        <v>#VALUE!</v>
      </c>
      <c r="I1134" s="1">
        <v>1</v>
      </c>
    </row>
    <row r="1135" spans="1:9" x14ac:dyDescent="0.25">
      <c r="A1135" s="1" t="s">
        <v>14435</v>
      </c>
      <c r="B1135" s="1" t="s">
        <v>3117</v>
      </c>
      <c r="C1135" s="1" t="str">
        <f>IFERROR(VLOOKUP(B1135,'SB1'!$A$2:$B$999999,2,FALSE),"")</f>
        <v>ESMALTE SINTETICO PLAVICON 3EN1 BRILLANTE CASTANO X  0,500</v>
      </c>
      <c r="D1135" s="1" t="s">
        <v>14439</v>
      </c>
      <c r="E1135" s="3">
        <f>IFERROR(VLOOKUP(B1135,'DA1'!$B$2:$D$999999,3,FALSE),"")</f>
      </c>
      <c r="F1135" s="1" t="str">
        <f>IFERROR(VLOOKUP(B1135,'SB1'!$A$2:$C$999999,3,FALSE),"")</f>
        <v>503</v>
      </c>
      <c r="G1135" s="3" t="e">
        <f t="shared" si="39"/>
        <v>#VALUE!</v>
      </c>
      <c r="H1135" s="3" t="e">
        <f t="shared" si="40"/>
        <v>#VALUE!</v>
      </c>
      <c r="I1135" s="1">
        <v>1</v>
      </c>
    </row>
    <row r="1136" spans="1:9" x14ac:dyDescent="0.25">
      <c r="A1136" s="1" t="s">
        <v>14435</v>
      </c>
      <c r="B1136" s="1" t="s">
        <v>3119</v>
      </c>
      <c r="C1136" s="1" t="str">
        <f>IFERROR(VLOOKUP(B1136,'SB1'!$A$2:$B$999999,2,FALSE),"")</f>
        <v>ESCALERA DE MADERA SIN FIN PINTOR 13</v>
      </c>
      <c r="D1136" s="1" t="s">
        <v>14471</v>
      </c>
      <c r="E1136" s="3">
        <f>IFERROR(VLOOKUP(B1136,'DA1'!$B$2:$D$999999,3,FALSE),"")</f>
      </c>
      <c r="F1136" s="1" t="str">
        <f>IFERROR(VLOOKUP(B1136,'SB1'!$A$2:$C$999999,3,FALSE),"")</f>
        <v>503</v>
      </c>
      <c r="G1136" s="3" t="e">
        <f t="shared" si="39"/>
        <v>#VALUE!</v>
      </c>
      <c r="H1136" s="3" t="e">
        <f t="shared" si="40"/>
        <v>#VALUE!</v>
      </c>
      <c r="I1136" s="1">
        <v>1</v>
      </c>
    </row>
    <row r="1137" spans="1:9" x14ac:dyDescent="0.25">
      <c r="A1137" s="1" t="s">
        <v>14435</v>
      </c>
      <c r="B1137" s="1" t="s">
        <v>3121</v>
      </c>
      <c r="C1137" s="1" t="str">
        <f>IFERROR(VLOOKUP(B1137,'SB1'!$A$2:$B$999999,2,FALSE),"")</f>
        <v>ESCALERA DE MADERA SIN FIN PINTOR 14</v>
      </c>
      <c r="D1137" s="1" t="s">
        <v>14471</v>
      </c>
      <c r="E1137" s="3">
        <f>IFERROR(VLOOKUP(B1137,'DA1'!$B$2:$D$999999,3,FALSE),"")</f>
      </c>
      <c r="F1137" s="1" t="str">
        <f>IFERROR(VLOOKUP(B1137,'SB1'!$A$2:$C$999999,3,FALSE),"")</f>
        <v>503</v>
      </c>
      <c r="G1137" s="3" t="e">
        <f t="shared" si="39"/>
        <v>#VALUE!</v>
      </c>
      <c r="H1137" s="3" t="e">
        <f t="shared" si="40"/>
        <v>#VALUE!</v>
      </c>
      <c r="I1137" s="1">
        <v>1</v>
      </c>
    </row>
    <row r="1138" spans="1:9" x14ac:dyDescent="0.25">
      <c r="A1138" s="1" t="s">
        <v>14435</v>
      </c>
      <c r="B1138" s="1" t="s">
        <v>3123</v>
      </c>
      <c r="C1138" s="1" t="str">
        <f>IFERROR(VLOOKUP(B1138,'SB1'!$A$2:$B$999999,2,FALSE),"")</f>
        <v>ESCALERA DE MADERA SIN FIN PINTOR 15</v>
      </c>
      <c r="D1138" s="1" t="s">
        <v>14471</v>
      </c>
      <c r="E1138" s="3">
        <f>IFERROR(VLOOKUP(B1138,'DA1'!$B$2:$D$999999,3,FALSE),"")</f>
      </c>
      <c r="F1138" s="1" t="str">
        <f>IFERROR(VLOOKUP(B1138,'SB1'!$A$2:$C$999999,3,FALSE),"")</f>
        <v>503</v>
      </c>
      <c r="G1138" s="3" t="e">
        <f t="shared" si="39"/>
        <v>#VALUE!</v>
      </c>
      <c r="H1138" s="3" t="e">
        <f t="shared" si="40"/>
        <v>#VALUE!</v>
      </c>
      <c r="I1138" s="1">
        <v>1</v>
      </c>
    </row>
    <row r="1139" spans="1:9" x14ac:dyDescent="0.25">
      <c r="A1139" s="1" t="s">
        <v>14435</v>
      </c>
      <c r="B1139" s="1" t="s">
        <v>3125</v>
      </c>
      <c r="C1139" s="1" t="str">
        <f>IFERROR(VLOOKUP(B1139,'SB1'!$A$2:$B$999999,2,FALSE),"")</f>
        <v>ESCALERA DE MADERA SIN FIN PINTOR 16</v>
      </c>
      <c r="D1139" s="1" t="s">
        <v>14471</v>
      </c>
      <c r="E1139" s="3">
        <f>IFERROR(VLOOKUP(B1139,'DA1'!$B$2:$D$999999,3,FALSE),"")</f>
      </c>
      <c r="F1139" s="1" t="str">
        <f>IFERROR(VLOOKUP(B1139,'SB1'!$A$2:$C$999999,3,FALSE),"")</f>
        <v>503</v>
      </c>
      <c r="G1139" s="3" t="e">
        <f t="shared" si="39"/>
        <v>#VALUE!</v>
      </c>
      <c r="H1139" s="3" t="e">
        <f t="shared" si="40"/>
        <v>#VALUE!</v>
      </c>
      <c r="I1139" s="1">
        <v>1</v>
      </c>
    </row>
    <row r="1140" spans="1:9" x14ac:dyDescent="0.25">
      <c r="A1140" s="1" t="s">
        <v>14435</v>
      </c>
      <c r="B1140" s="1" t="s">
        <v>3127</v>
      </c>
      <c r="C1140" s="1" t="str">
        <f>IFERROR(VLOOKUP(B1140,'SB1'!$A$2:$B$999999,2,FALSE),"")</f>
        <v>ESCALERA DE MADERA SIN FIN PINTOR 17</v>
      </c>
      <c r="D1140" s="1" t="s">
        <v>14471</v>
      </c>
      <c r="E1140" s="3">
        <f>IFERROR(VLOOKUP(B1140,'DA1'!$B$2:$D$999999,3,FALSE),"")</f>
      </c>
      <c r="F1140" s="1" t="str">
        <f>IFERROR(VLOOKUP(B1140,'SB1'!$A$2:$C$999999,3,FALSE),"")</f>
        <v>503</v>
      </c>
      <c r="G1140" s="3" t="e">
        <f t="shared" si="39"/>
        <v>#VALUE!</v>
      </c>
      <c r="H1140" s="3" t="e">
        <f t="shared" si="40"/>
        <v>#VALUE!</v>
      </c>
      <c r="I1140" s="1">
        <v>1</v>
      </c>
    </row>
    <row r="1141" spans="1:9" x14ac:dyDescent="0.25">
      <c r="A1141" s="1" t="s">
        <v>14435</v>
      </c>
      <c r="B1141" s="1" t="s">
        <v>3129</v>
      </c>
      <c r="C1141" s="1" t="str">
        <f>IFERROR(VLOOKUP(B1141,'SB1'!$A$2:$B$999999,2,FALSE),"")</f>
        <v>ESMALTE SINTETICO PLAVICON 3EN1 BRILLANTE CASTANO X  1</v>
      </c>
      <c r="D1141" s="1" t="s">
        <v>14439</v>
      </c>
      <c r="E1141" s="3">
        <f>IFERROR(VLOOKUP(B1141,'DA1'!$B$2:$D$999999,3,FALSE),"")</f>
      </c>
      <c r="F1141" s="1" t="str">
        <f>IFERROR(VLOOKUP(B1141,'SB1'!$A$2:$C$999999,3,FALSE),"")</f>
        <v>503</v>
      </c>
      <c r="G1141" s="3" t="e">
        <f t="shared" si="39"/>
        <v>#VALUE!</v>
      </c>
      <c r="H1141" s="3" t="e">
        <f t="shared" si="40"/>
        <v>#VALUE!</v>
      </c>
      <c r="I1141" s="1">
        <v>1</v>
      </c>
    </row>
    <row r="1142" spans="1:9" x14ac:dyDescent="0.25">
      <c r="A1142" s="1" t="s">
        <v>14435</v>
      </c>
      <c r="B1142" s="1" t="s">
        <v>3131</v>
      </c>
      <c r="C1142" s="1" t="str">
        <f>IFERROR(VLOOKUP(B1142,'SB1'!$A$2:$B$999999,2,FALSE),"")</f>
        <v>ESMALTE SINTETICO PLAVICON 3EN1 BRILLANTE CASTANO X  4</v>
      </c>
      <c r="D1142" s="1" t="s">
        <v>14439</v>
      </c>
      <c r="E1142" s="3">
        <f>IFERROR(VLOOKUP(B1142,'DA1'!$B$2:$D$999999,3,FALSE),"")</f>
      </c>
      <c r="F1142" s="1" t="str">
        <f>IFERROR(VLOOKUP(B1142,'SB1'!$A$2:$C$999999,3,FALSE),"")</f>
        <v>503</v>
      </c>
      <c r="G1142" s="3" t="e">
        <f t="shared" si="39"/>
        <v>#VALUE!</v>
      </c>
      <c r="H1142" s="3" t="e">
        <f t="shared" si="40"/>
        <v>#VALUE!</v>
      </c>
      <c r="I1142" s="1">
        <v>1</v>
      </c>
    </row>
    <row r="1143" spans="1:9" x14ac:dyDescent="0.25">
      <c r="A1143" s="1" t="s">
        <v>14435</v>
      </c>
      <c r="B1143" s="1" t="s">
        <v>3137</v>
      </c>
      <c r="C1143" s="1" t="str">
        <f>IFERROR(VLOOKUP(B1143,'SB1'!$A$2:$B$999999,2,FALSE),"")</f>
        <v>ESMALTE SINTETICO PLAVICON 3EN1 BRILLANTE OCRE X  0,500</v>
      </c>
      <c r="D1143" s="1" t="s">
        <v>14458</v>
      </c>
      <c r="E1143" s="3">
        <f>IFERROR(VLOOKUP(B1143,'DA1'!$B$2:$D$999999,3,FALSE),"")</f>
      </c>
      <c r="F1143" s="1" t="str">
        <f>IFERROR(VLOOKUP(B1143,'SB1'!$A$2:$C$999999,3,FALSE),"")</f>
        <v>503</v>
      </c>
      <c r="G1143" s="3" t="e">
        <f t="shared" si="39"/>
        <v>#VALUE!</v>
      </c>
      <c r="H1143" s="3" t="e">
        <f t="shared" si="40"/>
        <v>#VALUE!</v>
      </c>
      <c r="I1143" s="1">
        <v>1</v>
      </c>
    </row>
    <row r="1144" spans="1:9" x14ac:dyDescent="0.25">
      <c r="A1144" s="1" t="s">
        <v>14435</v>
      </c>
      <c r="B1144" s="1" t="s">
        <v>3139</v>
      </c>
      <c r="C1144" s="1" t="str">
        <f>IFERROR(VLOOKUP(B1144,'SB1'!$A$2:$B$999999,2,FALSE),"")</f>
        <v>ESMALTE SINTETICO PLAVICON 3EN1 BRILLANTE OCRE X  1</v>
      </c>
      <c r="D1144" s="1" t="s">
        <v>14458</v>
      </c>
      <c r="E1144" s="3">
        <f>IFERROR(VLOOKUP(B1144,'DA1'!$B$2:$D$999999,3,FALSE),"")</f>
      </c>
      <c r="F1144" s="1" t="str">
        <f>IFERROR(VLOOKUP(B1144,'SB1'!$A$2:$C$999999,3,FALSE),"")</f>
        <v>503</v>
      </c>
      <c r="G1144" s="3" t="e">
        <f t="shared" si="39"/>
        <v>#VALUE!</v>
      </c>
      <c r="H1144" s="3" t="e">
        <f t="shared" si="40"/>
        <v>#VALUE!</v>
      </c>
      <c r="I1144" s="1">
        <v>1</v>
      </c>
    </row>
    <row r="1145" spans="1:9" x14ac:dyDescent="0.25">
      <c r="A1145" s="1" t="s">
        <v>14435</v>
      </c>
      <c r="B1145" s="1" t="s">
        <v>3141</v>
      </c>
      <c r="C1145" s="1" t="str">
        <f>IFERROR(VLOOKUP(B1145,'SB1'!$A$2:$B$999999,2,FALSE),"")</f>
        <v>ESMALTE SINTETICO PLAVICON 3EN1 BRILLANTE OCRE X  4</v>
      </c>
      <c r="D1145" s="1" t="s">
        <v>14458</v>
      </c>
      <c r="E1145" s="3">
        <f>IFERROR(VLOOKUP(B1145,'DA1'!$B$2:$D$999999,3,FALSE),"")</f>
      </c>
      <c r="F1145" s="1" t="str">
        <f>IFERROR(VLOOKUP(B1145,'SB1'!$A$2:$C$999999,3,FALSE),"")</f>
        <v>503</v>
      </c>
      <c r="G1145" s="3" t="e">
        <f t="shared" si="39"/>
        <v>#VALUE!</v>
      </c>
      <c r="H1145" s="3" t="e">
        <f t="shared" si="40"/>
        <v>#VALUE!</v>
      </c>
      <c r="I1145" s="1">
        <v>1</v>
      </c>
    </row>
    <row r="1146" spans="1:9" x14ac:dyDescent="0.25">
      <c r="A1146" s="1" t="s">
        <v>14435</v>
      </c>
      <c r="B1146" s="1" t="s">
        <v>3143</v>
      </c>
      <c r="C1146" s="1" t="str">
        <f>IFERROR(VLOOKUP(B1146,'SB1'!$A$2:$B$999999,2,FALSE),"")</f>
        <v>ESMALTE SINTETICO PLAVICON 3EN1 BRILLANTE OCRE X 20</v>
      </c>
      <c r="D1146" s="1" t="s">
        <v>14458</v>
      </c>
      <c r="E1146" s="3">
        <f>IFERROR(VLOOKUP(B1146,'DA1'!$B$2:$D$999999,3,FALSE),"")</f>
      </c>
      <c r="F1146" s="1" t="str">
        <f>IFERROR(VLOOKUP(B1146,'SB1'!$A$2:$C$999999,3,FALSE),"")</f>
        <v>503</v>
      </c>
      <c r="G1146" s="3" t="e">
        <f t="shared" si="39"/>
        <v>#VALUE!</v>
      </c>
      <c r="H1146" s="3" t="e">
        <f t="shared" si="40"/>
        <v>#VALUE!</v>
      </c>
      <c r="I1146" s="1">
        <v>1</v>
      </c>
    </row>
    <row r="1147" spans="1:9" x14ac:dyDescent="0.25">
      <c r="A1147" s="1" t="s">
        <v>14435</v>
      </c>
      <c r="B1147" s="1" t="s">
        <v>3145</v>
      </c>
      <c r="C1147" s="1" t="str">
        <f>IFERROR(VLOOKUP(B1147,'SB1'!$A$2:$B$999999,2,FALSE),"")</f>
        <v>ESMALTE SINTETICO PLAVICON 3EN1 BRILLANTE BEIGE X  0,250</v>
      </c>
      <c r="D1147" s="1" t="s">
        <v>14439</v>
      </c>
      <c r="E1147" s="3">
        <f>IFERROR(VLOOKUP(B1147,'DA1'!$B$2:$D$999999,3,FALSE),"")</f>
      </c>
      <c r="F1147" s="1" t="str">
        <f>IFERROR(VLOOKUP(B1147,'SB1'!$A$2:$C$999999,3,FALSE),"")</f>
        <v>503</v>
      </c>
      <c r="G1147" s="3" t="e">
        <f t="shared" si="39"/>
        <v>#VALUE!</v>
      </c>
      <c r="H1147" s="3" t="e">
        <f t="shared" si="40"/>
        <v>#VALUE!</v>
      </c>
      <c r="I1147" s="1">
        <v>1</v>
      </c>
    </row>
    <row r="1148" spans="1:9" x14ac:dyDescent="0.25">
      <c r="A1148" s="1" t="s">
        <v>14435</v>
      </c>
      <c r="B1148" s="1" t="s">
        <v>3147</v>
      </c>
      <c r="C1148" s="1" t="str">
        <f>IFERROR(VLOOKUP(B1148,'SB1'!$A$2:$B$999999,2,FALSE),"")</f>
        <v>ESMALTE SINTETICO PLAVICON 3EN1 BRILLANTE BEIGE X  0,500</v>
      </c>
      <c r="D1148" s="1" t="s">
        <v>14439</v>
      </c>
      <c r="E1148" s="3">
        <f>IFERROR(VLOOKUP(B1148,'DA1'!$B$2:$D$999999,3,FALSE),"")</f>
      </c>
      <c r="F1148" s="1" t="str">
        <f>IFERROR(VLOOKUP(B1148,'SB1'!$A$2:$C$999999,3,FALSE),"")</f>
        <v>503</v>
      </c>
      <c r="G1148" s="3" t="e">
        <f t="shared" si="39"/>
        <v>#VALUE!</v>
      </c>
      <c r="H1148" s="3" t="e">
        <f t="shared" si="40"/>
        <v>#VALUE!</v>
      </c>
      <c r="I1148" s="1">
        <v>1</v>
      </c>
    </row>
    <row r="1149" spans="1:9" x14ac:dyDescent="0.25">
      <c r="A1149" s="1" t="s">
        <v>14435</v>
      </c>
      <c r="B1149" s="1" t="s">
        <v>3153</v>
      </c>
      <c r="C1149" s="1" t="str">
        <f>IFERROR(VLOOKUP(B1149,'SB1'!$A$2:$B$999999,2,FALSE),"")</f>
        <v>ESMALTE SINTETICO PLAVICON 3EN1 BRILLANTE BEIGE X  1</v>
      </c>
      <c r="D1149" s="1" t="s">
        <v>14439</v>
      </c>
      <c r="E1149" s="3">
        <f>IFERROR(VLOOKUP(B1149,'DA1'!$B$2:$D$999999,3,FALSE),"")</f>
      </c>
      <c r="F1149" s="1" t="str">
        <f>IFERROR(VLOOKUP(B1149,'SB1'!$A$2:$C$999999,3,FALSE),"")</f>
        <v>503</v>
      </c>
      <c r="G1149" s="3" t="e">
        <f t="shared" si="39"/>
        <v>#VALUE!</v>
      </c>
      <c r="H1149" s="3" t="e">
        <f t="shared" si="40"/>
        <v>#VALUE!</v>
      </c>
      <c r="I1149" s="1">
        <v>1</v>
      </c>
    </row>
    <row r="1150" spans="1:9" x14ac:dyDescent="0.25">
      <c r="A1150" s="1" t="s">
        <v>14435</v>
      </c>
      <c r="B1150" s="1" t="s">
        <v>3155</v>
      </c>
      <c r="C1150" s="1" t="str">
        <f>IFERROR(VLOOKUP(B1150,'SB1'!$A$2:$B$999999,2,FALSE),"")</f>
        <v>ESMALTE SINTETICO PLAVICON 3EN1 BRILLANTE BEIGE X  4</v>
      </c>
      <c r="D1150" s="1" t="s">
        <v>14439</v>
      </c>
      <c r="E1150" s="3">
        <f>IFERROR(VLOOKUP(B1150,'DA1'!$B$2:$D$999999,3,FALSE),"")</f>
      </c>
      <c r="F1150" s="1" t="str">
        <f>IFERROR(VLOOKUP(B1150,'SB1'!$A$2:$C$999999,3,FALSE),"")</f>
        <v>503</v>
      </c>
      <c r="G1150" s="3" t="e">
        <f t="shared" si="39"/>
        <v>#VALUE!</v>
      </c>
      <c r="H1150" s="3" t="e">
        <f t="shared" si="40"/>
        <v>#VALUE!</v>
      </c>
      <c r="I1150" s="1">
        <v>1</v>
      </c>
    </row>
    <row r="1151" spans="1:9" x14ac:dyDescent="0.25">
      <c r="A1151" s="1" t="s">
        <v>14435</v>
      </c>
      <c r="B1151" s="1" t="s">
        <v>3161</v>
      </c>
      <c r="C1151" s="1" t="str">
        <f>IFERROR(VLOOKUP(B1151,'SB1'!$A$2:$B$999999,2,FALSE),"")</f>
        <v>ESMALTE SINTETICO PLAVICON 3EN1 BRILLANTE CELESTE X  0,500</v>
      </c>
      <c r="D1151" s="1" t="s">
        <v>14439</v>
      </c>
      <c r="E1151" s="3">
        <f>IFERROR(VLOOKUP(B1151,'DA1'!$B$2:$D$999999,3,FALSE),"")</f>
      </c>
      <c r="F1151" s="1" t="str">
        <f>IFERROR(VLOOKUP(B1151,'SB1'!$A$2:$C$999999,3,FALSE),"")</f>
        <v>503</v>
      </c>
      <c r="G1151" s="3" t="e">
        <f t="shared" si="39"/>
        <v>#VALUE!</v>
      </c>
      <c r="H1151" s="3" t="e">
        <f t="shared" si="40"/>
        <v>#VALUE!</v>
      </c>
      <c r="I1151" s="1">
        <v>1</v>
      </c>
    </row>
    <row r="1152" spans="1:9" x14ac:dyDescent="0.25">
      <c r="A1152" s="1" t="s">
        <v>14435</v>
      </c>
      <c r="B1152" s="1" t="s">
        <v>3163</v>
      </c>
      <c r="C1152" s="1" t="str">
        <f>IFERROR(VLOOKUP(B1152,'SB1'!$A$2:$B$999999,2,FALSE),"")</f>
        <v>ESMALTE SINTETICO PLAVICON 3EN1 BRILLANTE CELESTE X  1</v>
      </c>
      <c r="D1152" s="1" t="s">
        <v>14439</v>
      </c>
      <c r="E1152" s="3">
        <f>IFERROR(VLOOKUP(B1152,'DA1'!$B$2:$D$999999,3,FALSE),"")</f>
      </c>
      <c r="F1152" s="1" t="str">
        <f>IFERROR(VLOOKUP(B1152,'SB1'!$A$2:$C$999999,3,FALSE),"")</f>
        <v>503</v>
      </c>
      <c r="G1152" s="3" t="e">
        <f t="shared" si="39"/>
        <v>#VALUE!</v>
      </c>
      <c r="H1152" s="3" t="e">
        <f t="shared" si="40"/>
        <v>#VALUE!</v>
      </c>
      <c r="I1152" s="1">
        <v>1</v>
      </c>
    </row>
    <row r="1153" spans="1:9" x14ac:dyDescent="0.25">
      <c r="A1153" s="1" t="s">
        <v>14435</v>
      </c>
      <c r="B1153" s="1" t="s">
        <v>3165</v>
      </c>
      <c r="C1153" s="1" t="str">
        <f>IFERROR(VLOOKUP(B1153,'SB1'!$A$2:$B$999999,2,FALSE),"")</f>
        <v>ESMALTE SINTETICO PLAVICON 3EN1 BRILLANTE CELESTE X  4</v>
      </c>
      <c r="D1153" s="1" t="s">
        <v>14439</v>
      </c>
      <c r="E1153" s="3">
        <f>IFERROR(VLOOKUP(B1153,'DA1'!$B$2:$D$999999,3,FALSE),"")</f>
      </c>
      <c r="F1153" s="1" t="str">
        <f>IFERROR(VLOOKUP(B1153,'SB1'!$A$2:$C$999999,3,FALSE),"")</f>
        <v>503</v>
      </c>
      <c r="G1153" s="3" t="e">
        <f t="shared" si="39"/>
        <v>#VALUE!</v>
      </c>
      <c r="H1153" s="3" t="e">
        <f t="shared" si="40"/>
        <v>#VALUE!</v>
      </c>
      <c r="I1153" s="1">
        <v>1</v>
      </c>
    </row>
    <row r="1154" spans="1:9" x14ac:dyDescent="0.25">
      <c r="A1154" s="1" t="s">
        <v>14435</v>
      </c>
      <c r="B1154" s="1" t="s">
        <v>3181</v>
      </c>
      <c r="C1154" s="1" t="str">
        <f>IFERROR(VLOOKUP(B1154,'SB1'!$A$2:$B$999999,2,FALSE),"")</f>
        <v>CINTA DE PAPEL RAPIFIX USO GENERAL NEGRO (520) 36MM</v>
      </c>
      <c r="D1154" s="1" t="s">
        <v>14486</v>
      </c>
      <c r="E1154" s="3">
        <f>IFERROR(VLOOKUP(B1154,'DA1'!$B$2:$D$999999,3,FALSE),"")</f>
      </c>
      <c r="F1154" s="1" t="str">
        <f>IFERROR(VLOOKUP(B1154,'SB1'!$A$2:$C$999999,3,FALSE),"")</f>
        <v>503</v>
      </c>
      <c r="G1154" s="3" t="e">
        <f t="shared" si="39"/>
        <v>#VALUE!</v>
      </c>
      <c r="H1154" s="3" t="e">
        <f t="shared" si="40"/>
        <v>#VALUE!</v>
      </c>
      <c r="I1154" s="1">
        <v>2</v>
      </c>
    </row>
    <row r="1155" spans="1:9" x14ac:dyDescent="0.25">
      <c r="A1155" s="1" t="s">
        <v>14435</v>
      </c>
      <c r="B1155" s="1" t="s">
        <v>3189</v>
      </c>
      <c r="C1155" s="1" t="str">
        <f>IFERROR(VLOOKUP(B1155,'SB1'!$A$2:$B$999999,2,FALSE),"")</f>
        <v>CINTA DE PAPEL RAPIFIX OBRA PREMIUM AZUL (550) 36MM</v>
      </c>
      <c r="D1155" s="1" t="s">
        <v>14486</v>
      </c>
      <c r="E1155" s="3">
        <f>IFERROR(VLOOKUP(B1155,'DA1'!$B$2:$D$999999,3,FALSE),"")</f>
      </c>
      <c r="F1155" s="1" t="str">
        <f>IFERROR(VLOOKUP(B1155,'SB1'!$A$2:$C$999999,3,FALSE),"")</f>
        <v>503</v>
      </c>
      <c r="G1155" s="3" t="e">
        <f t="shared" ref="G1155:G1218" si="41">E1155*1.04</f>
        <v>#VALUE!</v>
      </c>
      <c r="H1155" s="3" t="e">
        <f t="shared" si="40"/>
        <v>#VALUE!</v>
      </c>
      <c r="I1155" s="1">
        <v>2</v>
      </c>
    </row>
    <row r="1156" spans="1:9" x14ac:dyDescent="0.25">
      <c r="A1156" s="1" t="s">
        <v>14435</v>
      </c>
      <c r="B1156" s="1" t="s">
        <v>3191</v>
      </c>
      <c r="C1156" s="1" t="str">
        <f>IFERROR(VLOOKUP(B1156,'SB1'!$A$2:$B$999999,2,FALSE),"")</f>
        <v>CINTA DE PAPEL RAPIFIX OBRA PREMIUM AZUL (550) 48MM</v>
      </c>
      <c r="D1156" s="1" t="s">
        <v>14486</v>
      </c>
      <c r="E1156" s="3">
        <f>IFERROR(VLOOKUP(B1156,'DA1'!$B$2:$D$999999,3,FALSE),"")</f>
      </c>
      <c r="F1156" s="1" t="str">
        <f>IFERROR(VLOOKUP(B1156,'SB1'!$A$2:$C$999999,3,FALSE),"")</f>
        <v>503</v>
      </c>
      <c r="G1156" s="3" t="e">
        <f t="shared" si="41"/>
        <v>#VALUE!</v>
      </c>
      <c r="H1156" s="3" t="e">
        <f t="shared" si="40"/>
        <v>#VALUE!</v>
      </c>
      <c r="I1156" s="1">
        <v>2</v>
      </c>
    </row>
    <row r="1157" spans="1:9" x14ac:dyDescent="0.25">
      <c r="A1157" s="1" t="s">
        <v>14435</v>
      </c>
      <c r="B1157" s="1" t="s">
        <v>3195</v>
      </c>
      <c r="C1157" s="1" t="str">
        <f>IFERROR(VLOOKUP(B1157,'SB1'!$A$2:$B$999999,2,FALSE),"")</f>
        <v>PANO DE FIBRA ABRASIVA DOBLE A  ABRATEX 150X230 #100 ESTUCHE X 1 (MARRON)</v>
      </c>
      <c r="D1157" s="1" t="s">
        <v>14451</v>
      </c>
      <c r="E1157" s="3">
        <f>IFERROR(VLOOKUP(B1157,'DA1'!$B$2:$D$999999,3,FALSE),"")</f>
      </c>
      <c r="F1157" s="1" t="str">
        <f>IFERROR(VLOOKUP(B1157,'SB1'!$A$2:$C$999999,3,FALSE),"")</f>
        <v>503</v>
      </c>
      <c r="G1157" s="3" t="e">
        <f t="shared" si="41"/>
        <v>#VALUE!</v>
      </c>
      <c r="H1157" s="3" t="e">
        <f t="shared" si="40"/>
        <v>#VALUE!</v>
      </c>
      <c r="I1157" s="1">
        <v>1</v>
      </c>
    </row>
    <row r="1158" spans="1:9" x14ac:dyDescent="0.25">
      <c r="A1158" s="1" t="s">
        <v>14435</v>
      </c>
      <c r="B1158" s="1" t="s">
        <v>3197</v>
      </c>
      <c r="C1158" s="1" t="str">
        <f>IFERROR(VLOOKUP(B1158,'SB1'!$A$2:$B$999999,2,FALSE),"")</f>
        <v>PANO DE FIBRA ABRASIVA DOBLE A  ABRATEX 150X230 #220 ESTUCHE X 2 (MARRON)</v>
      </c>
      <c r="D1158" s="1" t="s">
        <v>14451</v>
      </c>
      <c r="E1158" s="3">
        <f>IFERROR(VLOOKUP(B1158,'DA1'!$B$2:$D$999999,3,FALSE),"")</f>
      </c>
      <c r="F1158" s="1" t="str">
        <f>IFERROR(VLOOKUP(B1158,'SB1'!$A$2:$C$999999,3,FALSE),"")</f>
        <v>503</v>
      </c>
      <c r="G1158" s="3" t="e">
        <f t="shared" si="41"/>
        <v>#VALUE!</v>
      </c>
      <c r="H1158" s="3" t="e">
        <f t="shared" si="40"/>
        <v>#VALUE!</v>
      </c>
      <c r="I1158" s="1">
        <v>1</v>
      </c>
    </row>
    <row r="1159" spans="1:9" x14ac:dyDescent="0.25">
      <c r="A1159" s="1" t="s">
        <v>14435</v>
      </c>
      <c r="B1159" s="1" t="s">
        <v>3199</v>
      </c>
      <c r="C1159" s="1" t="str">
        <f>IFERROR(VLOOKUP(B1159,'SB1'!$A$2:$B$999999,2,FALSE),"")</f>
        <v>PANO DE FIBRA ABRASIVA DOBLE A  ABRATEX 150X230 #320 ESTUCHE X 2 (VERDE)</v>
      </c>
      <c r="D1159" s="1" t="s">
        <v>14451</v>
      </c>
      <c r="E1159" s="3">
        <f>IFERROR(VLOOKUP(B1159,'DA1'!$B$2:$D$999999,3,FALSE),"")</f>
      </c>
      <c r="F1159" s="1" t="str">
        <f>IFERROR(VLOOKUP(B1159,'SB1'!$A$2:$C$999999,3,FALSE),"")</f>
        <v>503</v>
      </c>
      <c r="G1159" s="3" t="e">
        <f t="shared" si="41"/>
        <v>#VALUE!</v>
      </c>
      <c r="H1159" s="3" t="e">
        <f t="shared" si="40"/>
        <v>#VALUE!</v>
      </c>
      <c r="I1159" s="1">
        <v>1</v>
      </c>
    </row>
    <row r="1160" spans="1:9" x14ac:dyDescent="0.25">
      <c r="A1160" s="1" t="s">
        <v>14435</v>
      </c>
      <c r="B1160" s="1" t="s">
        <v>3201</v>
      </c>
      <c r="C1160" s="1" t="str">
        <f>IFERROR(VLOOKUP(B1160,'SB1'!$A$2:$B$999999,2,FALSE),"")</f>
        <v>PANO DE FIBRA ABRASIVA DOBLE A  ABRATEX 150X230 #400 ESTUCHE X 2 (BORDO)</v>
      </c>
      <c r="D1160" s="1" t="s">
        <v>14451</v>
      </c>
      <c r="E1160" s="3">
        <f>IFERROR(VLOOKUP(B1160,'DA1'!$B$2:$D$999999,3,FALSE),"")</f>
      </c>
      <c r="F1160" s="1" t="str">
        <f>IFERROR(VLOOKUP(B1160,'SB1'!$A$2:$C$999999,3,FALSE),"")</f>
        <v>503</v>
      </c>
      <c r="G1160" s="3" t="e">
        <f t="shared" si="41"/>
        <v>#VALUE!</v>
      </c>
      <c r="H1160" s="3" t="e">
        <f t="shared" si="40"/>
        <v>#VALUE!</v>
      </c>
      <c r="I1160" s="1">
        <v>1</v>
      </c>
    </row>
    <row r="1161" spans="1:9" x14ac:dyDescent="0.25">
      <c r="A1161" s="1" t="s">
        <v>14435</v>
      </c>
      <c r="B1161" s="1" t="s">
        <v>3203</v>
      </c>
      <c r="C1161" s="1" t="str">
        <f>IFERROR(VLOOKUP(B1161,'SB1'!$A$2:$B$999999,2,FALSE),"")</f>
        <v>PANO DE FIBRA ABRASIVA DOBLE A  ABRATEX 150X230 #600 ESTUCHE X 2 (GRIS)</v>
      </c>
      <c r="D1161" s="1" t="s">
        <v>14451</v>
      </c>
      <c r="E1161" s="3">
        <f>IFERROR(VLOOKUP(B1161,'DA1'!$B$2:$D$999999,3,FALSE),"")</f>
      </c>
      <c r="F1161" s="1" t="str">
        <f>IFERROR(VLOOKUP(B1161,'SB1'!$A$2:$C$999999,3,FALSE),"")</f>
        <v>503</v>
      </c>
      <c r="G1161" s="3" t="e">
        <f t="shared" si="41"/>
        <v>#VALUE!</v>
      </c>
      <c r="H1161" s="3" t="e">
        <f t="shared" si="40"/>
        <v>#VALUE!</v>
      </c>
      <c r="I1161" s="1">
        <v>1</v>
      </c>
    </row>
    <row r="1162" spans="1:9" x14ac:dyDescent="0.25">
      <c r="A1162" s="1" t="s">
        <v>14435</v>
      </c>
      <c r="B1162" s="1" t="s">
        <v>3205</v>
      </c>
      <c r="C1162" s="1" t="str">
        <f>IFERROR(VLOOKUP(B1162,'SB1'!$A$2:$B$999999,2,FALSE),"")</f>
        <v>TAPAGOTERAS MAGIPLAST X 1</v>
      </c>
      <c r="D1162" s="1" t="s">
        <v>14447</v>
      </c>
      <c r="E1162" s="3">
        <f>IFERROR(VLOOKUP(B1162,'DA1'!$B$2:$D$999999,3,FALSE),"")</f>
      </c>
      <c r="F1162" s="1" t="str">
        <f>IFERROR(VLOOKUP(B1162,'SB1'!$A$2:$C$999999,3,FALSE),"")</f>
        <v>503</v>
      </c>
      <c r="G1162" s="3" t="e">
        <f t="shared" si="41"/>
        <v>#VALUE!</v>
      </c>
      <c r="H1162" s="3" t="e">
        <f t="shared" si="40"/>
        <v>#VALUE!</v>
      </c>
      <c r="I1162" s="1">
        <v>1</v>
      </c>
    </row>
    <row r="1163" spans="1:9" x14ac:dyDescent="0.25">
      <c r="A1163" s="1" t="s">
        <v>14435</v>
      </c>
      <c r="B1163" s="1" t="s">
        <v>3207</v>
      </c>
      <c r="C1163" s="1" t="str">
        <f>IFERROR(VLOOKUP(B1163,'SB1'!$A$2:$B$999999,2,FALSE),"")</f>
        <v>TAPAGOTERAS MAGIPLAST X 5</v>
      </c>
      <c r="D1163" s="1" t="s">
        <v>14447</v>
      </c>
      <c r="E1163" s="3">
        <f>IFERROR(VLOOKUP(B1163,'DA1'!$B$2:$D$999999,3,FALSE),"")</f>
      </c>
      <c r="F1163" s="1" t="str">
        <f>IFERROR(VLOOKUP(B1163,'SB1'!$A$2:$C$999999,3,FALSE),"")</f>
        <v>503</v>
      </c>
      <c r="G1163" s="3" t="e">
        <f t="shared" si="41"/>
        <v>#VALUE!</v>
      </c>
      <c r="H1163" s="3" t="e">
        <f t="shared" si="40"/>
        <v>#VALUE!</v>
      </c>
      <c r="I1163" s="1">
        <v>1</v>
      </c>
    </row>
    <row r="1164" spans="1:9" x14ac:dyDescent="0.25">
      <c r="A1164" s="1" t="s">
        <v>14435</v>
      </c>
      <c r="B1164" s="1" t="s">
        <v>3209</v>
      </c>
      <c r="C1164" s="1" t="str">
        <f>IFERROR(VLOOKUP(B1164,'SB1'!$A$2:$B$999999,2,FALSE),"")</f>
        <v>AEROSOL RUST-OLEUM UC SATINADO GRANITO X 0,340(358903)</v>
      </c>
      <c r="D1164" s="1" t="s">
        <v>14475</v>
      </c>
      <c r="E1164" s="3">
        <f>IFERROR(VLOOKUP(B1164,'DA1'!$B$2:$D$999999,3,FALSE),"")</f>
      </c>
      <c r="F1164" s="1" t="str">
        <f>IFERROR(VLOOKUP(B1164,'SB1'!$A$2:$C$999999,3,FALSE),"")</f>
        <v>503</v>
      </c>
      <c r="G1164" s="3" t="e">
        <f t="shared" si="41"/>
        <v>#VALUE!</v>
      </c>
      <c r="H1164" s="3" t="e">
        <f t="shared" si="40"/>
        <v>#VALUE!</v>
      </c>
      <c r="I1164" s="1">
        <v>1</v>
      </c>
    </row>
    <row r="1165" spans="1:9" x14ac:dyDescent="0.25">
      <c r="A1165" s="1" t="s">
        <v>14435</v>
      </c>
      <c r="B1165" s="1" t="s">
        <v>3213</v>
      </c>
      <c r="C1165" s="1" t="str">
        <f>IFERROR(VLOOKUP(B1165,'SB1'!$A$2:$B$999999,2,FALSE),"")</f>
        <v>MASILLA POLIESTER ZEOCAR UNICA X 2,25 (61)</v>
      </c>
      <c r="D1165" s="1" t="s">
        <v>14473</v>
      </c>
      <c r="E1165" s="3">
        <f>IFERROR(VLOOKUP(B1165,'DA1'!$B$2:$D$999999,3,FALSE),"")</f>
      </c>
      <c r="F1165" s="1" t="str">
        <f>IFERROR(VLOOKUP(B1165,'SB1'!$A$2:$C$999999,3,FALSE),"")</f>
        <v>503</v>
      </c>
      <c r="G1165" s="3" t="e">
        <f t="shared" si="41"/>
        <v>#VALUE!</v>
      </c>
      <c r="H1165" s="3" t="e">
        <f t="shared" si="40"/>
        <v>#VALUE!</v>
      </c>
      <c r="I1165" s="1">
        <v>1</v>
      </c>
    </row>
    <row r="1166" spans="1:9" x14ac:dyDescent="0.25">
      <c r="A1166" s="1" t="s">
        <v>14435</v>
      </c>
      <c r="B1166" s="1" t="s">
        <v>3215</v>
      </c>
      <c r="C1166" s="1" t="str">
        <f>IFERROR(VLOOKUP(B1166,'SB1'!$A$2:$B$999999,2,FALSE),"")</f>
        <v>AEROSOL RUST-OLEUM UC IMPRIMANTE MATE GRIS X 0,340(262159)</v>
      </c>
      <c r="D1166" s="1" t="s">
        <v>14475</v>
      </c>
      <c r="E1166" s="3">
        <f>IFERROR(VLOOKUP(B1166,'DA1'!$B$2:$D$999999,3,FALSE),"")</f>
      </c>
      <c r="F1166" s="1" t="str">
        <f>IFERROR(VLOOKUP(B1166,'SB1'!$A$2:$C$999999,3,FALSE),"")</f>
        <v>503</v>
      </c>
      <c r="G1166" s="3" t="e">
        <f t="shared" si="41"/>
        <v>#VALUE!</v>
      </c>
      <c r="H1166" s="3" t="e">
        <f t="shared" si="40"/>
        <v>#VALUE!</v>
      </c>
      <c r="I1166" s="1">
        <v>1</v>
      </c>
    </row>
    <row r="1167" spans="1:9" x14ac:dyDescent="0.25">
      <c r="A1167" s="1" t="s">
        <v>14435</v>
      </c>
      <c r="B1167" s="1" t="s">
        <v>3217</v>
      </c>
      <c r="C1167" s="1" t="str">
        <f>IFERROR(VLOOKUP(B1167,'SB1'!$A$2:$B$999999,2,FALSE),"")</f>
        <v>AEROSOL RUST-OLEUM UC IMPRIMANTE MATE BLANCO X 0,340(262193)</v>
      </c>
      <c r="D1167" s="1" t="s">
        <v>14439</v>
      </c>
      <c r="E1167" s="3">
        <f>IFERROR(VLOOKUP(B1167,'DA1'!$B$2:$D$999999,3,FALSE),"")</f>
      </c>
      <c r="F1167" s="1" t="str">
        <f>IFERROR(VLOOKUP(B1167,'SB1'!$A$2:$C$999999,3,FALSE),"")</f>
        <v>503</v>
      </c>
      <c r="G1167" s="3" t="e">
        <f t="shared" si="41"/>
        <v>#VALUE!</v>
      </c>
      <c r="H1167" s="3" t="e">
        <f t="shared" si="40"/>
        <v>#VALUE!</v>
      </c>
      <c r="I1167" s="1">
        <v>1</v>
      </c>
    </row>
    <row r="1168" spans="1:9" x14ac:dyDescent="0.25">
      <c r="A1168" s="1" t="s">
        <v>14435</v>
      </c>
      <c r="B1168" s="1" t="s">
        <v>3219</v>
      </c>
      <c r="C1168" s="1" t="str">
        <f>IFERROR(VLOOKUP(B1168,'SB1'!$A$2:$B$999999,2,FALSE),"")</f>
        <v>D839.04 PRIMER 2K PRIMA X 0,750</v>
      </c>
      <c r="D1168" s="1" t="s">
        <v>14446</v>
      </c>
      <c r="E1168" s="3">
        <f>IFERROR(VLOOKUP(B1168,'DA1'!$B$2:$D$999999,3,FALSE),"")</f>
      </c>
      <c r="F1168" s="1" t="str">
        <f>IFERROR(VLOOKUP(B1168,'SB1'!$A$2:$C$999999,3,FALSE),"")</f>
        <v>503</v>
      </c>
      <c r="G1168" s="3" t="e">
        <f t="shared" si="41"/>
        <v>#VALUE!</v>
      </c>
      <c r="H1168" s="3" t="e">
        <f t="shared" si="40"/>
        <v>#VALUE!</v>
      </c>
      <c r="I1168" s="1">
        <v>3</v>
      </c>
    </row>
    <row r="1169" spans="1:9" x14ac:dyDescent="0.25">
      <c r="A1169" s="1" t="s">
        <v>14435</v>
      </c>
      <c r="B1169" s="1" t="s">
        <v>3221</v>
      </c>
      <c r="C1169" s="1" t="str">
        <f>IFERROR(VLOOKUP(B1169,'SB1'!$A$2:$B$999999,2,FALSE),"")</f>
        <v>D839.01 PRIMER 2K PRIMA X 3</v>
      </c>
      <c r="D1169" s="1" t="s">
        <v>14446</v>
      </c>
      <c r="E1169" s="3">
        <f>IFERROR(VLOOKUP(B1169,'DA1'!$B$2:$D$999999,3,FALSE),"")</f>
      </c>
      <c r="F1169" s="1" t="str">
        <f>IFERROR(VLOOKUP(B1169,'SB1'!$A$2:$C$999999,3,FALSE),"")</f>
        <v>503</v>
      </c>
      <c r="G1169" s="3" t="e">
        <f t="shared" si="41"/>
        <v>#VALUE!</v>
      </c>
      <c r="H1169" s="3" t="e">
        <f t="shared" si="40"/>
        <v>#VALUE!</v>
      </c>
      <c r="I1169" s="1">
        <v>3</v>
      </c>
    </row>
    <row r="1170" spans="1:9" x14ac:dyDescent="0.25">
      <c r="A1170" s="1" t="s">
        <v>14435</v>
      </c>
      <c r="B1170" s="1" t="s">
        <v>3223</v>
      </c>
      <c r="C1170" s="1" t="str">
        <f>IFERROR(VLOOKUP(B1170,'SB1'!$A$2:$B$999999,2,FALSE),"")</f>
        <v>IMPERMEABILIZANTE PARA FRENTES Y MUROS TERSITECH SEMIMATE BLANCO X  1</v>
      </c>
      <c r="D1170" s="1" t="s">
        <v>14437</v>
      </c>
      <c r="E1170" s="3">
        <f>IFERROR(VLOOKUP(B1170,'DA1'!$B$2:$D$999999,3,FALSE),"")</f>
      </c>
      <c r="F1170" s="1" t="str">
        <f>IFERROR(VLOOKUP(B1170,'SB1'!$A$2:$C$999999,3,FALSE),"")</f>
        <v>503</v>
      </c>
      <c r="G1170" s="3" t="e">
        <f t="shared" si="41"/>
        <v>#VALUE!</v>
      </c>
      <c r="H1170" s="3" t="e">
        <f t="shared" si="40"/>
        <v>#VALUE!</v>
      </c>
      <c r="I1170" s="1">
        <v>1</v>
      </c>
    </row>
    <row r="1171" spans="1:9" x14ac:dyDescent="0.25">
      <c r="A1171" s="1" t="s">
        <v>14435</v>
      </c>
      <c r="B1171" s="1" t="s">
        <v>3225</v>
      </c>
      <c r="C1171" s="1" t="str">
        <f>IFERROR(VLOOKUP(B1171,'SB1'!$A$2:$B$999999,2,FALSE),"")</f>
        <v>IMPERMEABILIZANTE PARA FRENTES Y MUROS TERSITECH SEMIMATE BLANCO X  4</v>
      </c>
      <c r="D1171" s="1" t="s">
        <v>14437</v>
      </c>
      <c r="E1171" s="3">
        <f>IFERROR(VLOOKUP(B1171,'DA1'!$B$2:$D$999999,3,FALSE),"")</f>
      </c>
      <c r="F1171" s="1" t="str">
        <f>IFERROR(VLOOKUP(B1171,'SB1'!$A$2:$C$999999,3,FALSE),"")</f>
        <v>503</v>
      </c>
      <c r="G1171" s="3" t="e">
        <f t="shared" si="41"/>
        <v>#VALUE!</v>
      </c>
      <c r="H1171" s="3" t="e">
        <f t="shared" si="40"/>
        <v>#VALUE!</v>
      </c>
      <c r="I1171" s="1">
        <v>1</v>
      </c>
    </row>
    <row r="1172" spans="1:9" x14ac:dyDescent="0.25">
      <c r="A1172" s="1" t="s">
        <v>14435</v>
      </c>
      <c r="B1172" s="1" t="s">
        <v>3227</v>
      </c>
      <c r="C1172" s="1" t="str">
        <f>IFERROR(VLOOKUP(B1172,'SB1'!$A$2:$B$999999,2,FALSE),"")</f>
        <v>IMPERMEABILIZANTE PARA FRENTES Y MUROS TERSITECH SEMIMATE BLANCO X 10</v>
      </c>
      <c r="D1172" s="1" t="s">
        <v>14437</v>
      </c>
      <c r="E1172" s="3">
        <f>IFERROR(VLOOKUP(B1172,'DA1'!$B$2:$D$999999,3,FALSE),"")</f>
      </c>
      <c r="F1172" s="1" t="str">
        <f>IFERROR(VLOOKUP(B1172,'SB1'!$A$2:$C$999999,3,FALSE),"")</f>
        <v>503</v>
      </c>
      <c r="G1172" s="3" t="e">
        <f t="shared" si="41"/>
        <v>#VALUE!</v>
      </c>
      <c r="H1172" s="3" t="e">
        <f t="shared" si="40"/>
        <v>#VALUE!</v>
      </c>
      <c r="I1172" s="1">
        <v>1</v>
      </c>
    </row>
    <row r="1173" spans="1:9" x14ac:dyDescent="0.25">
      <c r="A1173" s="1" t="s">
        <v>14435</v>
      </c>
      <c r="B1173" s="1" t="s">
        <v>3229</v>
      </c>
      <c r="C1173" s="1" t="str">
        <f>IFERROR(VLOOKUP(B1173,'SB1'!$A$2:$B$999999,2,FALSE),"")</f>
        <v>IMPERMEABILIZANTE PARA FRENTES Y MUROS TERSITECH SEMIMATE BLANCO X 20</v>
      </c>
      <c r="D1173" s="1" t="s">
        <v>14437</v>
      </c>
      <c r="E1173" s="3">
        <f>IFERROR(VLOOKUP(B1173,'DA1'!$B$2:$D$999999,3,FALSE),"")</f>
      </c>
      <c r="F1173" s="1" t="str">
        <f>IFERROR(VLOOKUP(B1173,'SB1'!$A$2:$C$999999,3,FALSE),"")</f>
        <v>503</v>
      </c>
      <c r="G1173" s="3" t="e">
        <f t="shared" si="41"/>
        <v>#VALUE!</v>
      </c>
      <c r="H1173" s="3" t="e">
        <f t="shared" si="40"/>
        <v>#VALUE!</v>
      </c>
      <c r="I1173" s="1">
        <v>1</v>
      </c>
    </row>
    <row r="1174" spans="1:9" x14ac:dyDescent="0.25">
      <c r="A1174" s="1" t="s">
        <v>14435</v>
      </c>
      <c r="B1174" s="1" t="s">
        <v>3231</v>
      </c>
      <c r="C1174" s="1" t="str">
        <f>IFERROR(VLOOKUP(B1174,'SB1'!$A$2:$B$999999,2,FALSE),"")</f>
        <v>AEROSOL TERSUAVE ESMALTE SINTETICO METALIZADO BRILLANTE BRONCE X 0,440</v>
      </c>
      <c r="D1174" s="1" t="s">
        <v>14437</v>
      </c>
      <c r="E1174" s="3">
        <f>IFERROR(VLOOKUP(B1174,'DA1'!$B$2:$D$999999,3,FALSE),"")</f>
      </c>
      <c r="F1174" s="1" t="str">
        <f>IFERROR(VLOOKUP(B1174,'SB1'!$A$2:$C$999999,3,FALSE),"")</f>
        <v>503</v>
      </c>
      <c r="G1174" s="3" t="e">
        <f t="shared" si="41"/>
        <v>#VALUE!</v>
      </c>
      <c r="H1174" s="3" t="e">
        <f t="shared" si="40"/>
        <v>#VALUE!</v>
      </c>
      <c r="I1174" s="1">
        <v>1</v>
      </c>
    </row>
    <row r="1175" spans="1:9" x14ac:dyDescent="0.25">
      <c r="A1175" s="1" t="s">
        <v>14435</v>
      </c>
      <c r="B1175" s="1" t="s">
        <v>3233</v>
      </c>
      <c r="C1175" s="1" t="str">
        <f>IFERROR(VLOOKUP(B1175,'SB1'!$A$2:$B$999999,2,FALSE),"")</f>
        <v>AEROSOL TERSUAVE ESMALTE SINTETICO METALIZADO BRILLANTE PLATA X 0,440</v>
      </c>
      <c r="D1175" s="1" t="s">
        <v>14437</v>
      </c>
      <c r="E1175" s="3">
        <f>IFERROR(VLOOKUP(B1175,'DA1'!$B$2:$D$999999,3,FALSE),"")</f>
      </c>
      <c r="F1175" s="1" t="str">
        <f>IFERROR(VLOOKUP(B1175,'SB1'!$A$2:$C$999999,3,FALSE),"")</f>
        <v>503</v>
      </c>
      <c r="G1175" s="3" t="e">
        <f t="shared" si="41"/>
        <v>#VALUE!</v>
      </c>
      <c r="H1175" s="3" t="e">
        <f t="shared" si="40"/>
        <v>#VALUE!</v>
      </c>
      <c r="I1175" s="1">
        <v>1</v>
      </c>
    </row>
    <row r="1176" spans="1:9" x14ac:dyDescent="0.25">
      <c r="A1176" s="1" t="s">
        <v>14435</v>
      </c>
      <c r="B1176" s="1" t="s">
        <v>3235</v>
      </c>
      <c r="C1176" s="1" t="str">
        <f>IFERROR(VLOOKUP(B1176,'SB1'!$A$2:$B$999999,2,FALSE),"")</f>
        <v>AEROSOL TERSUAVE ESMALTE SINTETICO METALIZADO BRILLANTE COBRE X 0,440</v>
      </c>
      <c r="D1176" s="1" t="s">
        <v>14437</v>
      </c>
      <c r="E1176" s="3">
        <f>IFERROR(VLOOKUP(B1176,'DA1'!$B$2:$D$999999,3,FALSE),"")</f>
      </c>
      <c r="F1176" s="1" t="str">
        <f>IFERROR(VLOOKUP(B1176,'SB1'!$A$2:$C$999999,3,FALSE),"")</f>
        <v>503</v>
      </c>
      <c r="G1176" s="3" t="e">
        <f t="shared" si="41"/>
        <v>#VALUE!</v>
      </c>
      <c r="H1176" s="3" t="e">
        <f t="shared" si="40"/>
        <v>#VALUE!</v>
      </c>
      <c r="I1176" s="1">
        <v>1</v>
      </c>
    </row>
    <row r="1177" spans="1:9" x14ac:dyDescent="0.25">
      <c r="A1177" s="1" t="s">
        <v>14435</v>
      </c>
      <c r="B1177" s="1" t="s">
        <v>3237</v>
      </c>
      <c r="C1177" s="1" t="str">
        <f>IFERROR(VLOOKUP(B1177,'SB1'!$A$2:$B$999999,2,FALSE),"")</f>
        <v>AEROSOL TERSUAVE ESMALTE SINTETICO METALIZADO BRILLANTE ORO X 0,440</v>
      </c>
      <c r="D1177" s="1" t="s">
        <v>14437</v>
      </c>
      <c r="E1177" s="3">
        <f>IFERROR(VLOOKUP(B1177,'DA1'!$B$2:$D$999999,3,FALSE),"")</f>
      </c>
      <c r="F1177" s="1" t="str">
        <f>IFERROR(VLOOKUP(B1177,'SB1'!$A$2:$C$999999,3,FALSE),"")</f>
        <v>503</v>
      </c>
      <c r="G1177" s="3" t="e">
        <f t="shared" si="41"/>
        <v>#VALUE!</v>
      </c>
      <c r="H1177" s="3" t="e">
        <f t="shared" si="40"/>
        <v>#VALUE!</v>
      </c>
      <c r="I1177" s="1">
        <v>1</v>
      </c>
    </row>
    <row r="1178" spans="1:9" x14ac:dyDescent="0.25">
      <c r="A1178" s="1" t="s">
        <v>14435</v>
      </c>
      <c r="B1178" s="1" t="s">
        <v>3239</v>
      </c>
      <c r="C1178" s="1" t="str">
        <f>IFERROR(VLOOKUP(B1178,'SB1'!$A$2:$B$999999,2,FALSE),"")</f>
        <v>AEROSOL RUST-OLEUM UC BRILLANTE ROSA CLARO X 0,340(262191)</v>
      </c>
      <c r="D1178" s="1" t="s">
        <v>14475</v>
      </c>
      <c r="E1178" s="3">
        <f>IFERROR(VLOOKUP(B1178,'DA1'!$B$2:$D$999999,3,FALSE),"")</f>
      </c>
      <c r="F1178" s="1" t="str">
        <f>IFERROR(VLOOKUP(B1178,'SB1'!$A$2:$C$999999,3,FALSE),"")</f>
        <v>503</v>
      </c>
      <c r="G1178" s="3" t="e">
        <f t="shared" si="41"/>
        <v>#VALUE!</v>
      </c>
      <c r="H1178" s="3" t="e">
        <f t="shared" si="40"/>
        <v>#VALUE!</v>
      </c>
      <c r="I1178" s="1">
        <v>1</v>
      </c>
    </row>
    <row r="1179" spans="1:9" x14ac:dyDescent="0.25">
      <c r="A1179" s="1" t="s">
        <v>14435</v>
      </c>
      <c r="B1179" s="1" t="s">
        <v>3241</v>
      </c>
      <c r="C1179" s="1" t="str">
        <f>IFERROR(VLOOKUP(B1179,'SB1'!$A$2:$B$999999,2,FALSE),"")</f>
        <v>AEROSOL RUST-OLEUM UC BRILLANTE GRIS INVIERNO X 0,340(262175)</v>
      </c>
      <c r="D1179" s="1" t="s">
        <v>14475</v>
      </c>
      <c r="E1179" s="3">
        <f>IFERROR(VLOOKUP(B1179,'DA1'!$B$2:$D$999999,3,FALSE),"")</f>
      </c>
      <c r="F1179" s="1" t="str">
        <f>IFERROR(VLOOKUP(B1179,'SB1'!$A$2:$C$999999,3,FALSE),"")</f>
        <v>503</v>
      </c>
      <c r="G1179" s="3" t="e">
        <f t="shared" si="41"/>
        <v>#VALUE!</v>
      </c>
      <c r="H1179" s="3" t="e">
        <f t="shared" si="40"/>
        <v>#VALUE!</v>
      </c>
      <c r="I1179" s="1">
        <v>1</v>
      </c>
    </row>
    <row r="1180" spans="1:9" x14ac:dyDescent="0.25">
      <c r="A1180" s="1" t="s">
        <v>14435</v>
      </c>
      <c r="B1180" s="1" t="s">
        <v>3243</v>
      </c>
      <c r="C1180" s="1" t="str">
        <f>IFERROR(VLOOKUP(B1180,'SB1'!$A$2:$B$999999,2,FALSE),"")</f>
        <v>AEROSOL RUST-OLEUM UC BRILLANTE UVA X 0,340(262172)</v>
      </c>
      <c r="D1180" s="1" t="s">
        <v>14475</v>
      </c>
      <c r="E1180" s="3">
        <f>IFERROR(VLOOKUP(B1180,'DA1'!$B$2:$D$999999,3,FALSE),"")</f>
      </c>
      <c r="F1180" s="1" t="str">
        <f>IFERROR(VLOOKUP(B1180,'SB1'!$A$2:$C$999999,3,FALSE),"")</f>
        <v>503</v>
      </c>
      <c r="G1180" s="3" t="e">
        <f t="shared" si="41"/>
        <v>#VALUE!</v>
      </c>
      <c r="H1180" s="3" t="e">
        <f t="shared" si="40"/>
        <v>#VALUE!</v>
      </c>
      <c r="I1180" s="1">
        <v>1</v>
      </c>
    </row>
    <row r="1181" spans="1:9" x14ac:dyDescent="0.25">
      <c r="A1181" s="1" t="s">
        <v>14435</v>
      </c>
      <c r="B1181" s="1" t="s">
        <v>3255</v>
      </c>
      <c r="C1181" s="1" t="str">
        <f>IFERROR(VLOOKUP(B1181,'SB1'!$A$2:$B$999999,2,FALSE),"")</f>
        <v>RESTAURADOR LUSTRELAC MEDIO X 0,250</v>
      </c>
      <c r="D1181" s="1" t="s">
        <v>14449</v>
      </c>
      <c r="E1181" s="3">
        <f>IFERROR(VLOOKUP(B1181,'DA1'!$B$2:$D$999999,3,FALSE),"")</f>
      </c>
      <c r="F1181" s="1" t="str">
        <f>IFERROR(VLOOKUP(B1181,'SB1'!$A$2:$C$999999,3,FALSE),"")</f>
        <v>503</v>
      </c>
      <c r="G1181" s="3" t="e">
        <f t="shared" si="41"/>
        <v>#VALUE!</v>
      </c>
      <c r="H1181" s="3" t="e">
        <f t="shared" si="40"/>
        <v>#VALUE!</v>
      </c>
      <c r="I1181" s="1">
        <v>1</v>
      </c>
    </row>
    <row r="1182" spans="1:9" x14ac:dyDescent="0.25">
      <c r="A1182" s="1" t="s">
        <v>14435</v>
      </c>
      <c r="B1182" s="1" t="s">
        <v>3257</v>
      </c>
      <c r="C1182" s="1" t="str">
        <f>IFERROR(VLOOKUP(B1182,'SB1'!$A$2:$B$999999,2,FALSE),"")</f>
        <v>RESTAURADOR LUSTRELAC OSCURO X 0,250</v>
      </c>
      <c r="D1182" s="1" t="s">
        <v>14449</v>
      </c>
      <c r="E1182" s="3">
        <f>IFERROR(VLOOKUP(B1182,'DA1'!$B$2:$D$999999,3,FALSE),"")</f>
      </c>
      <c r="F1182" s="1" t="str">
        <f>IFERROR(VLOOKUP(B1182,'SB1'!$A$2:$C$999999,3,FALSE),"")</f>
        <v>503</v>
      </c>
      <c r="G1182" s="3" t="e">
        <f t="shared" si="41"/>
        <v>#VALUE!</v>
      </c>
      <c r="H1182" s="3" t="e">
        <f t="shared" si="40"/>
        <v>#VALUE!</v>
      </c>
      <c r="I1182" s="1">
        <v>1</v>
      </c>
    </row>
    <row r="1183" spans="1:9" x14ac:dyDescent="0.25">
      <c r="A1183" s="1" t="s">
        <v>14435</v>
      </c>
      <c r="B1183" s="1" t="s">
        <v>3259</v>
      </c>
      <c r="C1183" s="1" t="str">
        <f>IFERROR(VLOOKUP(B1183,'SB1'!$A$2:$B$999999,2,FALSE),"")</f>
        <v>ADHESIVO DE MONTAJE EL PULPITO X 0,050</v>
      </c>
      <c r="D1183" s="1" t="s">
        <v>14459</v>
      </c>
      <c r="E1183" s="3">
        <f>IFERROR(VLOOKUP(B1183,'DA1'!$B$2:$D$999999,3,FALSE),"")</f>
      </c>
      <c r="F1183" s="1" t="str">
        <f>IFERROR(VLOOKUP(B1183,'SB1'!$A$2:$C$999999,3,FALSE),"")</f>
        <v>503</v>
      </c>
      <c r="G1183" s="3" t="e">
        <f t="shared" si="41"/>
        <v>#VALUE!</v>
      </c>
      <c r="H1183" s="3" t="e">
        <f t="shared" si="40"/>
        <v>#VALUE!</v>
      </c>
      <c r="I1183" s="1">
        <v>1</v>
      </c>
    </row>
    <row r="1184" spans="1:9" x14ac:dyDescent="0.25">
      <c r="A1184" s="1" t="s">
        <v>14435</v>
      </c>
      <c r="B1184" s="1" t="s">
        <v>3261</v>
      </c>
      <c r="C1184" s="1" t="str">
        <f>IFERROR(VLOOKUP(B1184,'SB1'!$A$2:$B$999999,2,FALSE),"")</f>
        <v>FONDO PARA MADERA PLAVICON BLANCO X  0,500</v>
      </c>
      <c r="D1184" s="1" t="s">
        <v>14458</v>
      </c>
      <c r="E1184" s="3">
        <f>IFERROR(VLOOKUP(B1184,'DA1'!$B$2:$D$999999,3,FALSE),"")</f>
      </c>
      <c r="F1184" s="1" t="str">
        <f>IFERROR(VLOOKUP(B1184,'SB1'!$A$2:$C$999999,3,FALSE),"")</f>
        <v>503</v>
      </c>
      <c r="G1184" s="3" t="e">
        <f t="shared" si="41"/>
        <v>#VALUE!</v>
      </c>
      <c r="H1184" s="3" t="e">
        <f t="shared" si="40"/>
        <v>#VALUE!</v>
      </c>
      <c r="I1184" s="1">
        <v>1</v>
      </c>
    </row>
    <row r="1185" spans="1:9" x14ac:dyDescent="0.25">
      <c r="A1185" s="1" t="s">
        <v>14435</v>
      </c>
      <c r="B1185" s="1" t="s">
        <v>3263</v>
      </c>
      <c r="C1185" s="1" t="str">
        <f>IFERROR(VLOOKUP(B1185,'SB1'!$A$2:$B$999999,2,FALSE),"")</f>
        <v>FONDO PARA MADERA PLAVICON BLANCO X  1</v>
      </c>
      <c r="D1185" s="1" t="s">
        <v>14458</v>
      </c>
      <c r="E1185" s="3">
        <f>IFERROR(VLOOKUP(B1185,'DA1'!$B$2:$D$999999,3,FALSE),"")</f>
      </c>
      <c r="F1185" s="1" t="str">
        <f>IFERROR(VLOOKUP(B1185,'SB1'!$A$2:$C$999999,3,FALSE),"")</f>
        <v>503</v>
      </c>
      <c r="G1185" s="3" t="e">
        <f t="shared" si="41"/>
        <v>#VALUE!</v>
      </c>
      <c r="H1185" s="3" t="e">
        <f t="shared" si="40"/>
        <v>#VALUE!</v>
      </c>
      <c r="I1185" s="1">
        <v>1</v>
      </c>
    </row>
    <row r="1186" spans="1:9" x14ac:dyDescent="0.25">
      <c r="A1186" s="1" t="s">
        <v>14435</v>
      </c>
      <c r="B1186" s="1" t="s">
        <v>3265</v>
      </c>
      <c r="C1186" s="1" t="str">
        <f>IFERROR(VLOOKUP(B1186,'SB1'!$A$2:$B$999999,2,FALSE),"")</f>
        <v>ADHESIVO DE MONTAJE EL PULPITO X 0,120</v>
      </c>
      <c r="D1186" s="1" t="s">
        <v>14459</v>
      </c>
      <c r="E1186" s="3">
        <f>IFERROR(VLOOKUP(B1186,'DA1'!$B$2:$D$999999,3,FALSE),"")</f>
      </c>
      <c r="F1186" s="1" t="str">
        <f>IFERROR(VLOOKUP(B1186,'SB1'!$A$2:$C$999999,3,FALSE),"")</f>
        <v>503</v>
      </c>
      <c r="G1186" s="3" t="e">
        <f t="shared" si="41"/>
        <v>#VALUE!</v>
      </c>
      <c r="H1186" s="3" t="e">
        <f t="shared" si="40"/>
        <v>#VALUE!</v>
      </c>
      <c r="I1186" s="1">
        <v>1</v>
      </c>
    </row>
    <row r="1187" spans="1:9" x14ac:dyDescent="0.25">
      <c r="A1187" s="1" t="s">
        <v>14435</v>
      </c>
      <c r="B1187" s="1" t="s">
        <v>3267</v>
      </c>
      <c r="C1187" s="1" t="str">
        <f>IFERROR(VLOOKUP(B1187,'SB1'!$A$2:$B$999999,2,FALSE),"")</f>
        <v>P425-992/E1 SHINING COARSE ALUMINIUM X 1</v>
      </c>
      <c r="D1187" s="1" t="s">
        <v>14485</v>
      </c>
      <c r="E1187" s="3">
        <f>IFERROR(VLOOKUP(B1187,'DA1'!$B$2:$D$999999,3,FALSE),"")</f>
      </c>
      <c r="F1187" s="1" t="str">
        <f>IFERROR(VLOOKUP(B1187,'SB1'!$A$2:$C$999999,3,FALSE),"")</f>
        <v>503</v>
      </c>
      <c r="G1187" s="3" t="e">
        <f t="shared" si="41"/>
        <v>#VALUE!</v>
      </c>
      <c r="H1187" s="3" t="e">
        <f t="shared" ref="H1187:H1250" si="42">G1187*1.21</f>
        <v>#VALUE!</v>
      </c>
      <c r="I1187" s="1">
        <v>3</v>
      </c>
    </row>
    <row r="1188" spans="1:9" x14ac:dyDescent="0.25">
      <c r="A1188" s="1" t="s">
        <v>14435</v>
      </c>
      <c r="B1188" s="1" t="s">
        <v>3269</v>
      </c>
      <c r="C1188" s="1" t="str">
        <f>IFERROR(VLOOKUP(B1188,'SB1'!$A$2:$B$999999,2,FALSE),"")</f>
        <v>AEROSOL RUST-OLEUM SP FLUORESCENTE ROJO/NARANJA X 0,312(2721281)</v>
      </c>
      <c r="D1188" s="1" t="s">
        <v>14475</v>
      </c>
      <c r="E1188" s="3">
        <f>IFERROR(VLOOKUP(B1188,'DA1'!$B$2:$D$999999,3,FALSE),"")</f>
      </c>
      <c r="F1188" s="1" t="str">
        <f>IFERROR(VLOOKUP(B1188,'SB1'!$A$2:$C$999999,3,FALSE),"")</f>
        <v>503</v>
      </c>
      <c r="G1188" s="3" t="e">
        <f t="shared" si="41"/>
        <v>#VALUE!</v>
      </c>
      <c r="H1188" s="3" t="e">
        <f t="shared" si="42"/>
        <v>#VALUE!</v>
      </c>
      <c r="I1188" s="1">
        <v>1</v>
      </c>
    </row>
    <row r="1189" spans="1:9" x14ac:dyDescent="0.25">
      <c r="A1189" s="1" t="s">
        <v>14435</v>
      </c>
      <c r="B1189" s="1" t="s">
        <v>3271</v>
      </c>
      <c r="C1189" s="1" t="str">
        <f>IFERROR(VLOOKUP(B1189,'SB1'!$A$2:$B$999999,2,FALSE),"")</f>
        <v>FONDO PARA MADERA PLAVICON BLANCO X  4</v>
      </c>
      <c r="D1189" s="1" t="s">
        <v>14458</v>
      </c>
      <c r="E1189" s="3">
        <f>IFERROR(VLOOKUP(B1189,'DA1'!$B$2:$D$999999,3,FALSE),"")</f>
      </c>
      <c r="F1189" s="1" t="str">
        <f>IFERROR(VLOOKUP(B1189,'SB1'!$A$2:$C$999999,3,FALSE),"")</f>
        <v>503</v>
      </c>
      <c r="G1189" s="3" t="e">
        <f t="shared" si="41"/>
        <v>#VALUE!</v>
      </c>
      <c r="H1189" s="3" t="e">
        <f t="shared" si="42"/>
        <v>#VALUE!</v>
      </c>
      <c r="I1189" s="1">
        <v>1</v>
      </c>
    </row>
    <row r="1190" spans="1:9" x14ac:dyDescent="0.25">
      <c r="A1190" s="1" t="s">
        <v>14435</v>
      </c>
      <c r="B1190" s="1" t="s">
        <v>3275</v>
      </c>
      <c r="C1190" s="1" t="str">
        <f>IFERROR(VLOOKUP(B1190,'SB1'!$A$2:$B$999999,2,FALSE),"")</f>
        <v>MP03.04 PASTA DE PULIR BASE AGUA X 1.000</v>
      </c>
      <c r="D1190" s="1" t="s">
        <v>14454</v>
      </c>
      <c r="E1190" s="3">
        <f>IFERROR(VLOOKUP(B1190,'DA1'!$B$2:$D$999999,3,FALSE),"")</f>
      </c>
      <c r="F1190" s="1" t="str">
        <f>IFERROR(VLOOKUP(B1190,'SB1'!$A$2:$C$999999,3,FALSE),"")</f>
        <v>503</v>
      </c>
      <c r="G1190" s="3" t="e">
        <f t="shared" si="41"/>
        <v>#VALUE!</v>
      </c>
      <c r="H1190" s="3" t="e">
        <f t="shared" si="42"/>
        <v>#VALUE!</v>
      </c>
      <c r="I1190" s="1">
        <v>3</v>
      </c>
    </row>
    <row r="1191" spans="1:9" x14ac:dyDescent="0.25">
      <c r="A1191" s="1" t="s">
        <v>14435</v>
      </c>
      <c r="B1191" s="1" t="s">
        <v>3279</v>
      </c>
      <c r="C1191" s="1" t="str">
        <f>IFERROR(VLOOKUP(B1191,'SB1'!$A$2:$B$999999,2,FALSE),"")</f>
        <v>P425-956 HS SUPER BLUE X 1</v>
      </c>
      <c r="D1191" s="1" t="s">
        <v>14485</v>
      </c>
      <c r="E1191" s="3">
        <f>IFERROR(VLOOKUP(B1191,'DA1'!$B$2:$D$999999,3,FALSE),"")</f>
      </c>
      <c r="F1191" s="1" t="str">
        <f>IFERROR(VLOOKUP(B1191,'SB1'!$A$2:$C$999999,3,FALSE),"")</f>
        <v>503</v>
      </c>
      <c r="G1191" s="3" t="e">
        <f t="shared" si="41"/>
        <v>#VALUE!</v>
      </c>
      <c r="H1191" s="3" t="e">
        <f t="shared" si="42"/>
        <v>#VALUE!</v>
      </c>
      <c r="I1191" s="1">
        <v>3</v>
      </c>
    </row>
    <row r="1192" spans="1:9" x14ac:dyDescent="0.25">
      <c r="A1192" s="1" t="s">
        <v>14435</v>
      </c>
      <c r="B1192" s="1" t="s">
        <v>3281</v>
      </c>
      <c r="C1192" s="1" t="str">
        <f>IFERROR(VLOOKUP(B1192,'SB1'!$A$2:$B$999999,2,FALSE),"")</f>
        <v>P426-HE02/E1 ULTRA FINE WHITE X 1</v>
      </c>
      <c r="D1192" s="1" t="s">
        <v>14485</v>
      </c>
      <c r="E1192" s="3">
        <f>IFERROR(VLOOKUP(B1192,'DA1'!$B$2:$D$999999,3,FALSE),"")</f>
      </c>
      <c r="F1192" s="1" t="str">
        <f>IFERROR(VLOOKUP(B1192,'SB1'!$A$2:$C$999999,3,FALSE),"")</f>
        <v>503</v>
      </c>
      <c r="G1192" s="3" t="e">
        <f t="shared" si="41"/>
        <v>#VALUE!</v>
      </c>
      <c r="H1192" s="3" t="e">
        <f t="shared" si="42"/>
        <v>#VALUE!</v>
      </c>
      <c r="I1192" s="1">
        <v>3</v>
      </c>
    </row>
    <row r="1193" spans="1:9" x14ac:dyDescent="0.25">
      <c r="A1193" s="1" t="s">
        <v>14435</v>
      </c>
      <c r="B1193" s="1" t="s">
        <v>3283</v>
      </c>
      <c r="C1193" s="1" t="str">
        <f>IFERROR(VLOOKUP(B1193,'SB1'!$A$2:$B$999999,2,FALSE),"")</f>
        <v>P425-941 H S STRONG RED X 1</v>
      </c>
      <c r="D1193" s="1" t="s">
        <v>14485</v>
      </c>
      <c r="E1193" s="3">
        <f>IFERROR(VLOOKUP(B1193,'DA1'!$B$2:$D$999999,3,FALSE),"")</f>
      </c>
      <c r="F1193" s="1" t="str">
        <f>IFERROR(VLOOKUP(B1193,'SB1'!$A$2:$C$999999,3,FALSE),"")</f>
        <v>503</v>
      </c>
      <c r="G1193" s="3" t="e">
        <f t="shared" si="41"/>
        <v>#VALUE!</v>
      </c>
      <c r="H1193" s="3" t="e">
        <f t="shared" si="42"/>
        <v>#VALUE!</v>
      </c>
      <c r="I1193" s="1">
        <v>3</v>
      </c>
    </row>
    <row r="1194" spans="1:9" x14ac:dyDescent="0.25">
      <c r="A1194" s="1" t="s">
        <v>14435</v>
      </c>
      <c r="B1194" s="1" t="s">
        <v>3285</v>
      </c>
      <c r="C1194" s="1" t="str">
        <f>IFERROR(VLOOKUP(B1194,'SB1'!$A$2:$B$999999,2,FALSE),"")</f>
        <v>AEROSOL RUST-OLEUM SP FLUORESCENTE VERDE X 0,312(2721301)</v>
      </c>
      <c r="D1194" s="1" t="s">
        <v>14475</v>
      </c>
      <c r="E1194" s="3">
        <f>IFERROR(VLOOKUP(B1194,'DA1'!$B$2:$D$999999,3,FALSE),"")</f>
      </c>
      <c r="F1194" s="1" t="str">
        <f>IFERROR(VLOOKUP(B1194,'SB1'!$A$2:$C$999999,3,FALSE),"")</f>
        <v>503</v>
      </c>
      <c r="G1194" s="3" t="e">
        <f t="shared" si="41"/>
        <v>#VALUE!</v>
      </c>
      <c r="H1194" s="3" t="e">
        <f t="shared" si="42"/>
        <v>#VALUE!</v>
      </c>
      <c r="I1194" s="1">
        <v>1</v>
      </c>
    </row>
    <row r="1195" spans="1:9" x14ac:dyDescent="0.25">
      <c r="A1195" s="1" t="s">
        <v>14435</v>
      </c>
      <c r="B1195" s="1" t="s">
        <v>3287</v>
      </c>
      <c r="C1195" s="1" t="str">
        <f>IFERROR(VLOOKUP(B1195,'SB1'!$A$2:$B$999999,2,FALSE),"")</f>
        <v>ENVASE DE HOJALATA VACIO X 0,500</v>
      </c>
      <c r="D1195" s="1" t="s">
        <v>14465</v>
      </c>
      <c r="E1195" s="3">
        <f>IFERROR(VLOOKUP(B1195,'DA1'!$B$2:$D$999999,3,FALSE),"")</f>
      </c>
      <c r="F1195" s="1" t="str">
        <f>IFERROR(VLOOKUP(B1195,'SB1'!$A$2:$C$999999,3,FALSE),"")</f>
        <v>503</v>
      </c>
      <c r="G1195" s="3" t="e">
        <f t="shared" si="41"/>
        <v>#VALUE!</v>
      </c>
      <c r="H1195" s="3" t="e">
        <f t="shared" si="42"/>
        <v>#VALUE!</v>
      </c>
      <c r="I1195" s="1">
        <v>2</v>
      </c>
    </row>
    <row r="1196" spans="1:9" x14ac:dyDescent="0.25">
      <c r="A1196" s="1" t="s">
        <v>14435</v>
      </c>
      <c r="B1196" s="1" t="s">
        <v>3289</v>
      </c>
      <c r="C1196" s="1" t="str">
        <f>IFERROR(VLOOKUP(B1196,'SB1'!$A$2:$B$999999,2,FALSE),"")</f>
        <v>ENVASE DE HOJALATA VACIO X 1</v>
      </c>
      <c r="D1196" s="1" t="s">
        <v>14465</v>
      </c>
      <c r="E1196" s="3">
        <f>IFERROR(VLOOKUP(B1196,'DA1'!$B$2:$D$999999,3,FALSE),"")</f>
      </c>
      <c r="F1196" s="1" t="str">
        <f>IFERROR(VLOOKUP(B1196,'SB1'!$A$2:$C$999999,3,FALSE),"")</f>
        <v>503</v>
      </c>
      <c r="G1196" s="3" t="e">
        <f t="shared" si="41"/>
        <v>#VALUE!</v>
      </c>
      <c r="H1196" s="3" t="e">
        <f t="shared" si="42"/>
        <v>#VALUE!</v>
      </c>
      <c r="I1196" s="1">
        <v>2</v>
      </c>
    </row>
    <row r="1197" spans="1:9" x14ac:dyDescent="0.25">
      <c r="A1197" s="1" t="s">
        <v>14435</v>
      </c>
      <c r="B1197" s="1" t="s">
        <v>3291</v>
      </c>
      <c r="C1197" s="1" t="str">
        <f>IFERROR(VLOOKUP(B1197,'SB1'!$A$2:$B$999999,2,FALSE),"")</f>
        <v>ENVASE DE HOJALATA VACIO X 4</v>
      </c>
      <c r="D1197" s="1" t="s">
        <v>14465</v>
      </c>
      <c r="E1197" s="3">
        <f>IFERROR(VLOOKUP(B1197,'DA1'!$B$2:$D$999999,3,FALSE),"")</f>
      </c>
      <c r="F1197" s="1" t="str">
        <f>IFERROR(VLOOKUP(B1197,'SB1'!$A$2:$C$999999,3,FALSE),"")</f>
        <v>503</v>
      </c>
      <c r="G1197" s="3" t="e">
        <f t="shared" si="41"/>
        <v>#VALUE!</v>
      </c>
      <c r="H1197" s="3" t="e">
        <f t="shared" si="42"/>
        <v>#VALUE!</v>
      </c>
      <c r="I1197" s="1">
        <v>2</v>
      </c>
    </row>
    <row r="1198" spans="1:9" x14ac:dyDescent="0.25">
      <c r="A1198" s="1" t="s">
        <v>14435</v>
      </c>
      <c r="B1198" s="1" t="s">
        <v>3293</v>
      </c>
      <c r="C1198" s="1" t="str">
        <f>IFERROR(VLOOKUP(B1198,'SB1'!$A$2:$B$999999,2,FALSE),"")</f>
        <v>P192-475/E1 CLEARS BICAPA COLORES SOLIDOS X 1</v>
      </c>
      <c r="D1198" s="1" t="s">
        <v>14485</v>
      </c>
      <c r="E1198" s="3">
        <f>IFERROR(VLOOKUP(B1198,'DA1'!$B$2:$D$999999,3,FALSE),"")</f>
      </c>
      <c r="F1198" s="1" t="str">
        <f>IFERROR(VLOOKUP(B1198,'SB1'!$A$2:$C$999999,3,FALSE),"")</f>
        <v>503</v>
      </c>
      <c r="G1198" s="3" t="e">
        <f t="shared" si="41"/>
        <v>#VALUE!</v>
      </c>
      <c r="H1198" s="3" t="e">
        <f t="shared" si="42"/>
        <v>#VALUE!</v>
      </c>
      <c r="I1198" s="1">
        <v>3</v>
      </c>
    </row>
    <row r="1199" spans="1:9" x14ac:dyDescent="0.25">
      <c r="A1199" s="1" t="s">
        <v>14435</v>
      </c>
      <c r="B1199" s="1" t="s">
        <v>3295</v>
      </c>
      <c r="C1199" s="1" t="str">
        <f>IFERROR(VLOOKUP(B1199,'SB1'!$A$2:$B$999999,2,FALSE),"")</f>
        <v>P192-5600/E2.5 CLEARS BICAPA PERLADOS/METALIZADOS X 2.500</v>
      </c>
      <c r="D1199" s="1" t="s">
        <v>14485</v>
      </c>
      <c r="E1199" s="3">
        <f>IFERROR(VLOOKUP(B1199,'DA1'!$B$2:$D$999999,3,FALSE),"")</f>
      </c>
      <c r="F1199" s="1" t="str">
        <f>IFERROR(VLOOKUP(B1199,'SB1'!$A$2:$C$999999,3,FALSE),"")</f>
        <v>503</v>
      </c>
      <c r="G1199" s="3" t="e">
        <f t="shared" si="41"/>
        <v>#VALUE!</v>
      </c>
      <c r="H1199" s="3" t="e">
        <f t="shared" si="42"/>
        <v>#VALUE!</v>
      </c>
      <c r="I1199" s="1">
        <v>3</v>
      </c>
    </row>
    <row r="1200" spans="1:9" x14ac:dyDescent="0.25">
      <c r="A1200" s="1" t="s">
        <v>14435</v>
      </c>
      <c r="B1200" s="1" t="s">
        <v>3297</v>
      </c>
      <c r="C1200" s="1" t="str">
        <f>IFERROR(VLOOKUP(B1200,'SB1'!$A$2:$B$999999,2,FALSE),"")</f>
        <v>P192-528 CLEARS BICAPA ALUMINIOS X 2,500</v>
      </c>
      <c r="D1200" s="1" t="s">
        <v>14485</v>
      </c>
      <c r="E1200" s="3">
        <f>IFERROR(VLOOKUP(B1200,'DA1'!$B$2:$D$999999,3,FALSE),"")</f>
      </c>
      <c r="F1200" s="1" t="str">
        <f>IFERROR(VLOOKUP(B1200,'SB1'!$A$2:$C$999999,3,FALSE),"")</f>
        <v>503</v>
      </c>
      <c r="G1200" s="3" t="e">
        <f t="shared" si="41"/>
        <v>#VALUE!</v>
      </c>
      <c r="H1200" s="3" t="e">
        <f t="shared" si="42"/>
        <v>#VALUE!</v>
      </c>
      <c r="I1200" s="1">
        <v>3</v>
      </c>
    </row>
    <row r="1201" spans="1:9" x14ac:dyDescent="0.25">
      <c r="A1201" s="1" t="s">
        <v>14435</v>
      </c>
      <c r="B1201" s="1" t="s">
        <v>3299</v>
      </c>
      <c r="C1201" s="1" t="str">
        <f>IFERROR(VLOOKUP(B1201,'SB1'!$A$2:$B$999999,2,FALSE),"")</f>
        <v>P565-554 MATIZANTE X 1</v>
      </c>
      <c r="D1201" s="1" t="s">
        <v>14485</v>
      </c>
      <c r="E1201" s="3">
        <f>IFERROR(VLOOKUP(B1201,'DA1'!$B$2:$D$999999,3,FALSE),"")</f>
      </c>
      <c r="F1201" s="1" t="str">
        <f>IFERROR(VLOOKUP(B1201,'SB1'!$A$2:$C$999999,3,FALSE),"")</f>
        <v>503</v>
      </c>
      <c r="G1201" s="3" t="e">
        <f t="shared" si="41"/>
        <v>#VALUE!</v>
      </c>
      <c r="H1201" s="3" t="e">
        <f t="shared" si="42"/>
        <v>#VALUE!</v>
      </c>
      <c r="I1201" s="1">
        <v>3</v>
      </c>
    </row>
    <row r="1202" spans="1:9" x14ac:dyDescent="0.25">
      <c r="A1202" s="1" t="s">
        <v>14435</v>
      </c>
      <c r="B1202" s="1" t="s">
        <v>3301</v>
      </c>
      <c r="C1202" s="1" t="str">
        <f>IFERROR(VLOOKUP(B1202,'SB1'!$A$2:$B$999999,2,FALSE),"")</f>
        <v>P420-902 R/T PALE WHITE X 1</v>
      </c>
      <c r="D1202" s="1" t="s">
        <v>14485</v>
      </c>
      <c r="E1202" s="3">
        <f>IFERROR(VLOOKUP(B1202,'DA1'!$B$2:$D$999999,3,FALSE),"")</f>
      </c>
      <c r="F1202" s="1" t="str">
        <f>IFERROR(VLOOKUP(B1202,'SB1'!$A$2:$C$999999,3,FALSE),"")</f>
        <v>503</v>
      </c>
      <c r="G1202" s="3" t="e">
        <f t="shared" si="41"/>
        <v>#VALUE!</v>
      </c>
      <c r="H1202" s="3" t="e">
        <f t="shared" si="42"/>
        <v>#VALUE!</v>
      </c>
      <c r="I1202" s="1">
        <v>3</v>
      </c>
    </row>
    <row r="1203" spans="1:9" x14ac:dyDescent="0.25">
      <c r="A1203" s="1" t="s">
        <v>14435</v>
      </c>
      <c r="B1203" s="1" t="s">
        <v>3303</v>
      </c>
      <c r="C1203" s="1" t="str">
        <f>IFERROR(VLOOKUP(B1203,'SB1'!$A$2:$B$999999,2,FALSE),"")</f>
        <v>P420-904 TRANSPARENT BLACK X 1</v>
      </c>
      <c r="D1203" s="1" t="s">
        <v>14485</v>
      </c>
      <c r="E1203" s="3">
        <f>IFERROR(VLOOKUP(B1203,'DA1'!$B$2:$D$999999,3,FALSE),"")</f>
      </c>
      <c r="F1203" s="1" t="str">
        <f>IFERROR(VLOOKUP(B1203,'SB1'!$A$2:$C$999999,3,FALSE),"")</f>
        <v>503</v>
      </c>
      <c r="G1203" s="3" t="e">
        <f t="shared" si="41"/>
        <v>#VALUE!</v>
      </c>
      <c r="H1203" s="3" t="e">
        <f t="shared" si="42"/>
        <v>#VALUE!</v>
      </c>
      <c r="I1203" s="1">
        <v>3</v>
      </c>
    </row>
    <row r="1204" spans="1:9" x14ac:dyDescent="0.25">
      <c r="A1204" s="1" t="s">
        <v>14435</v>
      </c>
      <c r="B1204" s="1" t="s">
        <v>3305</v>
      </c>
      <c r="C1204" s="1" t="str">
        <f>IFERROR(VLOOKUP(B1204,'SB1'!$A$2:$B$999999,2,FALSE),"")</f>
        <v>P420-905 YELLOW OXIDE X 2,5</v>
      </c>
      <c r="D1204" s="1" t="s">
        <v>14485</v>
      </c>
      <c r="E1204" s="3">
        <f>IFERROR(VLOOKUP(B1204,'DA1'!$B$2:$D$999999,3,FALSE),"")</f>
      </c>
      <c r="F1204" s="1" t="str">
        <f>IFERROR(VLOOKUP(B1204,'SB1'!$A$2:$C$999999,3,FALSE),"")</f>
        <v>503</v>
      </c>
      <c r="G1204" s="3" t="e">
        <f t="shared" si="41"/>
        <v>#VALUE!</v>
      </c>
      <c r="H1204" s="3" t="e">
        <f t="shared" si="42"/>
        <v>#VALUE!</v>
      </c>
      <c r="I1204" s="1">
        <v>3</v>
      </c>
    </row>
    <row r="1205" spans="1:9" x14ac:dyDescent="0.25">
      <c r="A1205" s="1" t="s">
        <v>14435</v>
      </c>
      <c r="B1205" s="1" t="s">
        <v>3307</v>
      </c>
      <c r="C1205" s="1" t="str">
        <f>IFERROR(VLOOKUP(B1205,'SB1'!$A$2:$B$999999,2,FALSE),"")</f>
        <v>P420-907 RED OXIDE X 1</v>
      </c>
      <c r="D1205" s="1" t="s">
        <v>14485</v>
      </c>
      <c r="E1205" s="3">
        <f>IFERROR(VLOOKUP(B1205,'DA1'!$B$2:$D$999999,3,FALSE),"")</f>
      </c>
      <c r="F1205" s="1" t="str">
        <f>IFERROR(VLOOKUP(B1205,'SB1'!$A$2:$C$999999,3,FALSE),"")</f>
        <v>503</v>
      </c>
      <c r="G1205" s="3" t="e">
        <f t="shared" si="41"/>
        <v>#VALUE!</v>
      </c>
      <c r="H1205" s="3" t="e">
        <f t="shared" si="42"/>
        <v>#VALUE!</v>
      </c>
      <c r="I1205" s="1">
        <v>3</v>
      </c>
    </row>
    <row r="1206" spans="1:9" x14ac:dyDescent="0.25">
      <c r="A1206" s="1" t="s">
        <v>14435</v>
      </c>
      <c r="B1206" s="1" t="s">
        <v>3309</v>
      </c>
      <c r="C1206" s="1" t="str">
        <f>IFERROR(VLOOKUP(B1206,'SB1'!$A$2:$B$999999,2,FALSE),"")</f>
        <v>P420-908 R/T RUSSET X 1</v>
      </c>
      <c r="D1206" s="1" t="s">
        <v>14485</v>
      </c>
      <c r="E1206" s="3">
        <f>IFERROR(VLOOKUP(B1206,'DA1'!$B$2:$D$999999,3,FALSE),"")</f>
      </c>
      <c r="F1206" s="1" t="str">
        <f>IFERROR(VLOOKUP(B1206,'SB1'!$A$2:$C$999999,3,FALSE),"")</f>
        <v>503</v>
      </c>
      <c r="G1206" s="3" t="e">
        <f t="shared" si="41"/>
        <v>#VALUE!</v>
      </c>
      <c r="H1206" s="3" t="e">
        <f t="shared" si="42"/>
        <v>#VALUE!</v>
      </c>
      <c r="I1206" s="1">
        <v>3</v>
      </c>
    </row>
    <row r="1207" spans="1:9" x14ac:dyDescent="0.25">
      <c r="A1207" s="1" t="s">
        <v>14435</v>
      </c>
      <c r="B1207" s="1" t="s">
        <v>3311</v>
      </c>
      <c r="C1207" s="1" t="str">
        <f>IFERROR(VLOOKUP(B1207,'SB1'!$A$2:$B$999999,2,FALSE),"")</f>
        <v>P420-910 R/T DEEP BLUE X 1</v>
      </c>
      <c r="D1207" s="1" t="s">
        <v>14485</v>
      </c>
      <c r="E1207" s="3">
        <f>IFERROR(VLOOKUP(B1207,'DA1'!$B$2:$D$999999,3,FALSE),"")</f>
      </c>
      <c r="F1207" s="1" t="str">
        <f>IFERROR(VLOOKUP(B1207,'SB1'!$A$2:$C$999999,3,FALSE),"")</f>
        <v>503</v>
      </c>
      <c r="G1207" s="3" t="e">
        <f t="shared" si="41"/>
        <v>#VALUE!</v>
      </c>
      <c r="H1207" s="3" t="e">
        <f t="shared" si="42"/>
        <v>#VALUE!</v>
      </c>
      <c r="I1207" s="1">
        <v>3</v>
      </c>
    </row>
    <row r="1208" spans="1:9" x14ac:dyDescent="0.25">
      <c r="A1208" s="1" t="s">
        <v>14435</v>
      </c>
      <c r="B1208" s="1" t="s">
        <v>3313</v>
      </c>
      <c r="C1208" s="1" t="str">
        <f>IFERROR(VLOOKUP(B1208,'SB1'!$A$2:$B$999999,2,FALSE),"")</f>
        <v>P420-918 R/T MEDIUM YELLOW X 1</v>
      </c>
      <c r="D1208" s="1" t="s">
        <v>14485</v>
      </c>
      <c r="E1208" s="3">
        <f>IFERROR(VLOOKUP(B1208,'DA1'!$B$2:$D$999999,3,FALSE),"")</f>
      </c>
      <c r="F1208" s="1" t="str">
        <f>IFERROR(VLOOKUP(B1208,'SB1'!$A$2:$C$999999,3,FALSE),"")</f>
        <v>503</v>
      </c>
      <c r="G1208" s="3" t="e">
        <f t="shared" si="41"/>
        <v>#VALUE!</v>
      </c>
      <c r="H1208" s="3" t="e">
        <f t="shared" si="42"/>
        <v>#VALUE!</v>
      </c>
      <c r="I1208" s="1">
        <v>1</v>
      </c>
    </row>
    <row r="1209" spans="1:9" x14ac:dyDescent="0.25">
      <c r="A1209" s="1" t="s">
        <v>14435</v>
      </c>
      <c r="B1209" s="1" t="s">
        <v>3315</v>
      </c>
      <c r="C1209" s="1" t="str">
        <f>IFERROR(VLOOKUP(B1209,'SB1'!$A$2:$B$999999,2,FALSE),"")</f>
        <v>P420-920 VIOLET X 1</v>
      </c>
      <c r="D1209" s="1" t="s">
        <v>14485</v>
      </c>
      <c r="E1209" s="3">
        <f>IFERROR(VLOOKUP(B1209,'DA1'!$B$2:$D$999999,3,FALSE),"")</f>
      </c>
      <c r="F1209" s="1" t="str">
        <f>IFERROR(VLOOKUP(B1209,'SB1'!$A$2:$C$999999,3,FALSE),"")</f>
        <v>503</v>
      </c>
      <c r="G1209" s="3" t="e">
        <f t="shared" si="41"/>
        <v>#VALUE!</v>
      </c>
      <c r="H1209" s="3" t="e">
        <f t="shared" si="42"/>
        <v>#VALUE!</v>
      </c>
      <c r="I1209" s="1">
        <v>3</v>
      </c>
    </row>
    <row r="1210" spans="1:9" x14ac:dyDescent="0.25">
      <c r="A1210" s="1" t="s">
        <v>14435</v>
      </c>
      <c r="B1210" s="1" t="s">
        <v>3317</v>
      </c>
      <c r="C1210" s="1" t="str">
        <f>IFERROR(VLOOKUP(B1210,'SB1'!$A$2:$B$999999,2,FALSE),"")</f>
        <v>P420-926 SUPER RED X 3,5 (DISCONTINUADO)</v>
      </c>
      <c r="D1210" s="1" t="s">
        <v>14485</v>
      </c>
      <c r="E1210" s="3">
        <f>IFERROR(VLOOKUP(B1210,'DA1'!$B$2:$D$999999,3,FALSE),"")</f>
      </c>
      <c r="F1210" s="1" t="str">
        <f>IFERROR(VLOOKUP(B1210,'SB1'!$A$2:$C$999999,3,FALSE),"")</f>
        <v>503</v>
      </c>
      <c r="G1210" s="3" t="e">
        <f t="shared" si="41"/>
        <v>#VALUE!</v>
      </c>
      <c r="H1210" s="3" t="e">
        <f t="shared" si="42"/>
        <v>#VALUE!</v>
      </c>
      <c r="I1210" s="1">
        <v>1</v>
      </c>
    </row>
    <row r="1211" spans="1:9" x14ac:dyDescent="0.25">
      <c r="A1211" s="1" t="s">
        <v>14435</v>
      </c>
      <c r="B1211" s="1" t="s">
        <v>3319</v>
      </c>
      <c r="C1211" s="1" t="str">
        <f>IFERROR(VLOOKUP(B1211,'SB1'!$A$2:$B$999999,2,FALSE),"")</f>
        <v>P420-930 BLUE LAKE X 1</v>
      </c>
      <c r="D1211" s="1" t="s">
        <v>14485</v>
      </c>
      <c r="E1211" s="3">
        <f>IFERROR(VLOOKUP(B1211,'DA1'!$B$2:$D$999999,3,FALSE),"")</f>
      </c>
      <c r="F1211" s="1" t="str">
        <f>IFERROR(VLOOKUP(B1211,'SB1'!$A$2:$C$999999,3,FALSE),"")</f>
        <v>503</v>
      </c>
      <c r="G1211" s="3" t="e">
        <f t="shared" si="41"/>
        <v>#VALUE!</v>
      </c>
      <c r="H1211" s="3" t="e">
        <f t="shared" si="42"/>
        <v>#VALUE!</v>
      </c>
      <c r="I1211" s="1">
        <v>3</v>
      </c>
    </row>
    <row r="1212" spans="1:9" x14ac:dyDescent="0.25">
      <c r="A1212" s="1" t="s">
        <v>14435</v>
      </c>
      <c r="B1212" s="1" t="s">
        <v>3321</v>
      </c>
      <c r="C1212" s="1" t="str">
        <f>IFERROR(VLOOKUP(B1212,'SB1'!$A$2:$B$999999,2,FALSE),"")</f>
        <v>P420-933 BLUE BLACK X 3,5</v>
      </c>
      <c r="D1212" s="1" t="s">
        <v>14485</v>
      </c>
      <c r="E1212" s="3">
        <f>IFERROR(VLOOKUP(B1212,'DA1'!$B$2:$D$999999,3,FALSE),"")</f>
      </c>
      <c r="F1212" s="1" t="str">
        <f>IFERROR(VLOOKUP(B1212,'SB1'!$A$2:$C$999999,3,FALSE),"")</f>
        <v>503</v>
      </c>
      <c r="G1212" s="3" t="e">
        <f t="shared" si="41"/>
        <v>#VALUE!</v>
      </c>
      <c r="H1212" s="3" t="e">
        <f t="shared" si="42"/>
        <v>#VALUE!</v>
      </c>
      <c r="I1212" s="1">
        <v>3</v>
      </c>
    </row>
    <row r="1213" spans="1:9" x14ac:dyDescent="0.25">
      <c r="A1213" s="1" t="s">
        <v>14435</v>
      </c>
      <c r="B1213" s="1" t="s">
        <v>3323</v>
      </c>
      <c r="C1213" s="1" t="str">
        <f>IFERROR(VLOOKUP(B1213,'SB1'!$A$2:$B$999999,2,FALSE),"")</f>
        <v>P420-938 TONE CONTROLLER X 1</v>
      </c>
      <c r="D1213" s="1" t="s">
        <v>14485</v>
      </c>
      <c r="E1213" s="3">
        <f>IFERROR(VLOOKUP(B1213,'DA1'!$B$2:$D$999999,3,FALSE),"")</f>
      </c>
      <c r="F1213" s="1" t="str">
        <f>IFERROR(VLOOKUP(B1213,'SB1'!$A$2:$C$999999,3,FALSE),"")</f>
        <v>503</v>
      </c>
      <c r="G1213" s="3" t="e">
        <f t="shared" si="41"/>
        <v>#VALUE!</v>
      </c>
      <c r="H1213" s="3" t="e">
        <f t="shared" si="42"/>
        <v>#VALUE!</v>
      </c>
      <c r="I1213" s="1">
        <v>3</v>
      </c>
    </row>
    <row r="1214" spans="1:9" x14ac:dyDescent="0.25">
      <c r="A1214" s="1" t="s">
        <v>14435</v>
      </c>
      <c r="B1214" s="1" t="s">
        <v>3325</v>
      </c>
      <c r="C1214" s="1" t="str">
        <f>IFERROR(VLOOKUP(B1214,'SB1'!$A$2:$B$999999,2,FALSE),"")</f>
        <v>P420-942 TRANSOXIDE RED X 1</v>
      </c>
      <c r="D1214" s="1" t="s">
        <v>14485</v>
      </c>
      <c r="E1214" s="3">
        <f>IFERROR(VLOOKUP(B1214,'DA1'!$B$2:$D$999999,3,FALSE),"")</f>
      </c>
      <c r="F1214" s="1" t="str">
        <f>IFERROR(VLOOKUP(B1214,'SB1'!$A$2:$C$999999,3,FALSE),"")</f>
        <v>503</v>
      </c>
      <c r="G1214" s="3" t="e">
        <f t="shared" si="41"/>
        <v>#VALUE!</v>
      </c>
      <c r="H1214" s="3" t="e">
        <f t="shared" si="42"/>
        <v>#VALUE!</v>
      </c>
      <c r="I1214" s="1">
        <v>3</v>
      </c>
    </row>
    <row r="1215" spans="1:9" x14ac:dyDescent="0.25">
      <c r="A1215" s="1" t="s">
        <v>14435</v>
      </c>
      <c r="B1215" s="1" t="s">
        <v>3327</v>
      </c>
      <c r="C1215" s="1" t="str">
        <f>IFERROR(VLOOKUP(B1215,'SB1'!$A$2:$B$999999,2,FALSE),"")</f>
        <v>P420-952 FAST BLUE X 1</v>
      </c>
      <c r="D1215" s="1" t="s">
        <v>14485</v>
      </c>
      <c r="E1215" s="3">
        <f>IFERROR(VLOOKUP(B1215,'DA1'!$B$2:$D$999999,3,FALSE),"")</f>
      </c>
      <c r="F1215" s="1" t="str">
        <f>IFERROR(VLOOKUP(B1215,'SB1'!$A$2:$C$999999,3,FALSE),"")</f>
        <v>503</v>
      </c>
      <c r="G1215" s="3" t="e">
        <f t="shared" si="41"/>
        <v>#VALUE!</v>
      </c>
      <c r="H1215" s="3" t="e">
        <f t="shared" si="42"/>
        <v>#VALUE!</v>
      </c>
      <c r="I1215" s="1">
        <v>3</v>
      </c>
    </row>
    <row r="1216" spans="1:9" x14ac:dyDescent="0.25">
      <c r="A1216" s="1" t="s">
        <v>14435</v>
      </c>
      <c r="B1216" s="1" t="s">
        <v>3329</v>
      </c>
      <c r="C1216" s="1" t="str">
        <f>IFERROR(VLOOKUP(B1216,'SB1'!$A$2:$B$999999,2,FALSE),"")</f>
        <v>P420-960 R/T BURGUNDY X 1</v>
      </c>
      <c r="D1216" s="1" t="s">
        <v>14485</v>
      </c>
      <c r="E1216" s="3">
        <f>IFERROR(VLOOKUP(B1216,'DA1'!$B$2:$D$999999,3,FALSE),"")</f>
      </c>
      <c r="F1216" s="1" t="str">
        <f>IFERROR(VLOOKUP(B1216,'SB1'!$A$2:$C$999999,3,FALSE),"")</f>
        <v>503</v>
      </c>
      <c r="G1216" s="3" t="e">
        <f t="shared" si="41"/>
        <v>#VALUE!</v>
      </c>
      <c r="H1216" s="3" t="e">
        <f t="shared" si="42"/>
        <v>#VALUE!</v>
      </c>
      <c r="I1216" s="1">
        <v>3</v>
      </c>
    </row>
    <row r="1217" spans="1:9" x14ac:dyDescent="0.25">
      <c r="A1217" s="1" t="s">
        <v>14435</v>
      </c>
      <c r="B1217" s="1" t="s">
        <v>3331</v>
      </c>
      <c r="C1217" s="1" t="str">
        <f>IFERROR(VLOOKUP(B1217,'SB1'!$A$2:$B$999999,2,FALSE),"")</f>
        <v>P420-966 WINE RED X 1 (DISCONTINUADO)</v>
      </c>
      <c r="D1217" s="1" t="s">
        <v>14485</v>
      </c>
      <c r="E1217" s="3">
        <f>IFERROR(VLOOKUP(B1217,'DA1'!$B$2:$D$999999,3,FALSE),"")</f>
      </c>
      <c r="F1217" s="1" t="str">
        <f>IFERROR(VLOOKUP(B1217,'SB1'!$A$2:$C$999999,3,FALSE),"")</f>
        <v>503</v>
      </c>
      <c r="G1217" s="3" t="e">
        <f t="shared" si="41"/>
        <v>#VALUE!</v>
      </c>
      <c r="H1217" s="3" t="e">
        <f t="shared" si="42"/>
        <v>#VALUE!</v>
      </c>
      <c r="I1217" s="1">
        <v>1</v>
      </c>
    </row>
    <row r="1218" spans="1:9" x14ac:dyDescent="0.25">
      <c r="A1218" s="1" t="s">
        <v>14435</v>
      </c>
      <c r="B1218" s="1" t="s">
        <v>3333</v>
      </c>
      <c r="C1218" s="1" t="str">
        <f>IFERROR(VLOOKUP(B1218,'SB1'!$A$2:$B$999999,2,FALSE),"")</f>
        <v>P420-974 CYAN BLUE X 1 (DISCONTINUADO)</v>
      </c>
      <c r="D1218" s="1" t="s">
        <v>14485</v>
      </c>
      <c r="E1218" s="3">
        <f>IFERROR(VLOOKUP(B1218,'DA1'!$B$2:$D$999999,3,FALSE),"")</f>
      </c>
      <c r="F1218" s="1" t="str">
        <f>IFERROR(VLOOKUP(B1218,'SB1'!$A$2:$C$999999,3,FALSE),"")</f>
        <v>503</v>
      </c>
      <c r="G1218" s="3" t="e">
        <f t="shared" si="41"/>
        <v>#VALUE!</v>
      </c>
      <c r="H1218" s="3" t="e">
        <f t="shared" si="42"/>
        <v>#VALUE!</v>
      </c>
      <c r="I1218" s="1">
        <v>1</v>
      </c>
    </row>
    <row r="1219" spans="1:9" x14ac:dyDescent="0.25">
      <c r="A1219" s="1" t="s">
        <v>14435</v>
      </c>
      <c r="B1219" s="1" t="s">
        <v>3335</v>
      </c>
      <c r="C1219" s="1" t="str">
        <f>IFERROR(VLOOKUP(B1219,'SB1'!$A$2:$B$999999,2,FALSE),"")</f>
        <v>P420-975 BRONZE GREEN X 1</v>
      </c>
      <c r="D1219" s="1" t="s">
        <v>14485</v>
      </c>
      <c r="E1219" s="3">
        <f>IFERROR(VLOOKUP(B1219,'DA1'!$B$2:$D$999999,3,FALSE),"")</f>
      </c>
      <c r="F1219" s="1" t="str">
        <f>IFERROR(VLOOKUP(B1219,'SB1'!$A$2:$C$999999,3,FALSE),"")</f>
        <v>503</v>
      </c>
      <c r="G1219" s="3" t="e">
        <f t="shared" ref="G1219:G1282" si="43">E1219*1.04</f>
        <v>#VALUE!</v>
      </c>
      <c r="H1219" s="3" t="e">
        <f t="shared" si="42"/>
        <v>#VALUE!</v>
      </c>
      <c r="I1219" s="1">
        <v>3</v>
      </c>
    </row>
    <row r="1220" spans="1:9" x14ac:dyDescent="0.25">
      <c r="A1220" s="1" t="s">
        <v>14435</v>
      </c>
      <c r="B1220" s="1" t="s">
        <v>3337</v>
      </c>
      <c r="C1220" s="1" t="str">
        <f>IFERROR(VLOOKUP(B1220,'SB1'!$A$2:$B$999999,2,FALSE),"")</f>
        <v>P420-977 STRONG MAROON X 1 (DISCONTINUADO)</v>
      </c>
      <c r="D1220" s="1" t="s">
        <v>14485</v>
      </c>
      <c r="E1220" s="3">
        <f>IFERROR(VLOOKUP(B1220,'DA1'!$B$2:$D$999999,3,FALSE),"")</f>
      </c>
      <c r="F1220" s="1" t="str">
        <f>IFERROR(VLOOKUP(B1220,'SB1'!$A$2:$C$999999,3,FALSE),"")</f>
        <v>503</v>
      </c>
      <c r="G1220" s="3" t="e">
        <f t="shared" si="43"/>
        <v>#VALUE!</v>
      </c>
      <c r="H1220" s="3" t="e">
        <f t="shared" si="42"/>
        <v>#VALUE!</v>
      </c>
      <c r="I1220" s="1">
        <v>1</v>
      </c>
    </row>
    <row r="1221" spans="1:9" x14ac:dyDescent="0.25">
      <c r="A1221" s="1" t="s">
        <v>14435</v>
      </c>
      <c r="B1221" s="1" t="s">
        <v>3339</v>
      </c>
      <c r="C1221" s="1" t="str">
        <f>IFERROR(VLOOKUP(B1221,'SB1'!$A$2:$B$999999,2,FALSE),"")</f>
        <v>P420-978 BROWN X 1</v>
      </c>
      <c r="D1221" s="1" t="s">
        <v>14485</v>
      </c>
      <c r="E1221" s="3">
        <f>IFERROR(VLOOKUP(B1221,'DA1'!$B$2:$D$999999,3,FALSE),"")</f>
      </c>
      <c r="F1221" s="1" t="str">
        <f>IFERROR(VLOOKUP(B1221,'SB1'!$A$2:$C$999999,3,FALSE),"")</f>
        <v>503</v>
      </c>
      <c r="G1221" s="3" t="e">
        <f t="shared" si="43"/>
        <v>#VALUE!</v>
      </c>
      <c r="H1221" s="3" t="e">
        <f t="shared" si="42"/>
        <v>#VALUE!</v>
      </c>
      <c r="I1221" s="1">
        <v>3</v>
      </c>
    </row>
    <row r="1222" spans="1:9" x14ac:dyDescent="0.25">
      <c r="A1222" s="1" t="s">
        <v>14435</v>
      </c>
      <c r="B1222" s="1" t="s">
        <v>3341</v>
      </c>
      <c r="C1222" s="1" t="str">
        <f>IFERROR(VLOOKUP(B1222,'SB1'!$A$2:$B$999999,2,FALSE),"")</f>
        <v>P420-903 MEDIUM PALE YELLOW X 1</v>
      </c>
      <c r="D1222" s="1" t="s">
        <v>14485</v>
      </c>
      <c r="E1222" s="3">
        <f>IFERROR(VLOOKUP(B1222,'DA1'!$B$2:$D$999999,3,FALSE),"")</f>
      </c>
      <c r="F1222" s="1" t="str">
        <f>IFERROR(VLOOKUP(B1222,'SB1'!$A$2:$C$999999,3,FALSE),"")</f>
        <v>503</v>
      </c>
      <c r="G1222" s="3" t="e">
        <f t="shared" si="43"/>
        <v>#VALUE!</v>
      </c>
      <c r="H1222" s="3" t="e">
        <f t="shared" si="42"/>
        <v>#VALUE!</v>
      </c>
      <c r="I1222" s="1">
        <v>3</v>
      </c>
    </row>
    <row r="1223" spans="1:9" x14ac:dyDescent="0.25">
      <c r="A1223" s="1" t="s">
        <v>14435</v>
      </c>
      <c r="B1223" s="1" t="s">
        <v>3343</v>
      </c>
      <c r="C1223" s="1" t="str">
        <f>IFERROR(VLOOKUP(B1223,'SB1'!$A$2:$B$999999,2,FALSE),"")</f>
        <v>P420-982-E1C TRANSOXIDE YELLOW X 1(DISCONTINUADO)</v>
      </c>
      <c r="D1223" s="1" t="s">
        <v>14439</v>
      </c>
      <c r="E1223" s="3">
        <f>IFERROR(VLOOKUP(B1223,'DA1'!$B$2:$D$999999,3,FALSE),"")</f>
      </c>
      <c r="F1223" s="1" t="str">
        <f>IFERROR(VLOOKUP(B1223,'SB1'!$A$2:$C$999999,3,FALSE),"")</f>
        <v>503</v>
      </c>
      <c r="G1223" s="3" t="e">
        <f t="shared" si="43"/>
        <v>#VALUE!</v>
      </c>
      <c r="H1223" s="3" t="e">
        <f t="shared" si="42"/>
        <v>#VALUE!</v>
      </c>
      <c r="I1223" s="1">
        <v>3</v>
      </c>
    </row>
    <row r="1224" spans="1:9" x14ac:dyDescent="0.25">
      <c r="A1224" s="1" t="s">
        <v>14435</v>
      </c>
      <c r="B1224" s="1" t="s">
        <v>3345</v>
      </c>
      <c r="C1224" s="1" t="str">
        <f>IFERROR(VLOOKUP(B1224,'SB1'!$A$2:$B$999999,2,FALSE),"")</f>
        <v>P420-983 STRONG YELLOW X 1</v>
      </c>
      <c r="D1224" s="1" t="s">
        <v>14485</v>
      </c>
      <c r="E1224" s="3">
        <f>IFERROR(VLOOKUP(B1224,'DA1'!$B$2:$D$999999,3,FALSE),"")</f>
      </c>
      <c r="F1224" s="1" t="str">
        <f>IFERROR(VLOOKUP(B1224,'SB1'!$A$2:$C$999999,3,FALSE),"")</f>
        <v>503</v>
      </c>
      <c r="G1224" s="3" t="e">
        <f t="shared" si="43"/>
        <v>#VALUE!</v>
      </c>
      <c r="H1224" s="3" t="e">
        <f t="shared" si="42"/>
        <v>#VALUE!</v>
      </c>
      <c r="I1224" s="1">
        <v>3</v>
      </c>
    </row>
    <row r="1225" spans="1:9" x14ac:dyDescent="0.25">
      <c r="A1225" s="1" t="s">
        <v>14435</v>
      </c>
      <c r="B1225" s="1" t="s">
        <v>3347</v>
      </c>
      <c r="C1225" s="1" t="str">
        <f>IFERROR(VLOOKUP(B1225,'SB1'!$A$2:$B$999999,2,FALSE),"")</f>
        <v>P425-900-E3 SUPER WHITE X 3,5</v>
      </c>
      <c r="D1225" s="1" t="s">
        <v>14485</v>
      </c>
      <c r="E1225" s="3">
        <f>IFERROR(VLOOKUP(B1225,'DA1'!$B$2:$D$999999,3,FALSE),"")</f>
      </c>
      <c r="F1225" s="1" t="str">
        <f>IFERROR(VLOOKUP(B1225,'SB1'!$A$2:$C$999999,3,FALSE),"")</f>
        <v>503</v>
      </c>
      <c r="G1225" s="3" t="e">
        <f t="shared" si="43"/>
        <v>#VALUE!</v>
      </c>
      <c r="H1225" s="3" t="e">
        <f t="shared" si="42"/>
        <v>#VALUE!</v>
      </c>
      <c r="I1225" s="1">
        <v>3</v>
      </c>
    </row>
    <row r="1226" spans="1:9" x14ac:dyDescent="0.25">
      <c r="A1226" s="1" t="s">
        <v>14435</v>
      </c>
      <c r="B1226" s="1" t="s">
        <v>3349</v>
      </c>
      <c r="C1226" s="1" t="str">
        <f>IFERROR(VLOOKUP(B1226,'SB1'!$A$2:$B$999999,2,FALSE),"")</f>
        <v>P425-921 H S CLARET X 1</v>
      </c>
      <c r="D1226" s="1" t="s">
        <v>14485</v>
      </c>
      <c r="E1226" s="3">
        <f>IFERROR(VLOOKUP(B1226,'DA1'!$B$2:$D$999999,3,FALSE),"")</f>
      </c>
      <c r="F1226" s="1" t="str">
        <f>IFERROR(VLOOKUP(B1226,'SB1'!$A$2:$C$999999,3,FALSE),"")</f>
        <v>503</v>
      </c>
      <c r="G1226" s="3" t="e">
        <f t="shared" si="43"/>
        <v>#VALUE!</v>
      </c>
      <c r="H1226" s="3" t="e">
        <f t="shared" si="42"/>
        <v>#VALUE!</v>
      </c>
      <c r="I1226" s="1">
        <v>3</v>
      </c>
    </row>
    <row r="1227" spans="1:9" x14ac:dyDescent="0.25">
      <c r="A1227" s="1" t="s">
        <v>14435</v>
      </c>
      <c r="B1227" s="1" t="s">
        <v>3351</v>
      </c>
      <c r="C1227" s="1" t="str">
        <f>IFERROR(VLOOKUP(B1227,'SB1'!$A$2:$B$999999,2,FALSE),"")</f>
        <v>P425-922 H S LAGOON BLUE X 1</v>
      </c>
      <c r="D1227" s="1" t="s">
        <v>14485</v>
      </c>
      <c r="E1227" s="3">
        <f>IFERROR(VLOOKUP(B1227,'DA1'!$B$2:$D$999999,3,FALSE),"")</f>
      </c>
      <c r="F1227" s="1" t="str">
        <f>IFERROR(VLOOKUP(B1227,'SB1'!$A$2:$C$999999,3,FALSE),"")</f>
        <v>503</v>
      </c>
      <c r="G1227" s="3" t="e">
        <f t="shared" si="43"/>
        <v>#VALUE!</v>
      </c>
      <c r="H1227" s="3" t="e">
        <f t="shared" si="42"/>
        <v>#VALUE!</v>
      </c>
      <c r="I1227" s="1">
        <v>3</v>
      </c>
    </row>
    <row r="1228" spans="1:9" x14ac:dyDescent="0.25">
      <c r="A1228" s="1" t="s">
        <v>14435</v>
      </c>
      <c r="B1228" s="1" t="s">
        <v>3353</v>
      </c>
      <c r="C1228" s="1" t="str">
        <f>IFERROR(VLOOKUP(B1228,'SB1'!$A$2:$B$999999,2,FALSE),"")</f>
        <v>P426-HE05 ORANGE FLASH X 1</v>
      </c>
      <c r="D1228" s="1" t="s">
        <v>14485</v>
      </c>
      <c r="E1228" s="3">
        <f>IFERROR(VLOOKUP(B1228,'DA1'!$B$2:$D$999999,3,FALSE),"")</f>
      </c>
      <c r="F1228" s="1" t="str">
        <f>IFERROR(VLOOKUP(B1228,'SB1'!$A$2:$C$999999,3,FALSE),"")</f>
        <v>503</v>
      </c>
      <c r="G1228" s="3" t="e">
        <f t="shared" si="43"/>
        <v>#VALUE!</v>
      </c>
      <c r="H1228" s="3" t="e">
        <f t="shared" si="42"/>
        <v>#VALUE!</v>
      </c>
      <c r="I1228" s="1">
        <v>3</v>
      </c>
    </row>
    <row r="1229" spans="1:9" x14ac:dyDescent="0.25">
      <c r="A1229" s="1" t="s">
        <v>14435</v>
      </c>
      <c r="B1229" s="1" t="s">
        <v>3357</v>
      </c>
      <c r="C1229" s="1" t="str">
        <f>IFERROR(VLOOKUP(B1229,'SB1'!$A$2:$B$999999,2,FALSE),"")</f>
        <v>P425-928 H S SUN YELLOW X 1 (DISCONTIINUADO)</v>
      </c>
      <c r="D1229" s="1" t="s">
        <v>14485</v>
      </c>
      <c r="E1229" s="3">
        <f>IFERROR(VLOOKUP(B1229,'DA1'!$B$2:$D$999999,3,FALSE),"")</f>
      </c>
      <c r="F1229" s="1" t="str">
        <f>IFERROR(VLOOKUP(B1229,'SB1'!$A$2:$C$999999,3,FALSE),"")</f>
        <v>503</v>
      </c>
      <c r="G1229" s="3" t="e">
        <f t="shared" si="43"/>
        <v>#VALUE!</v>
      </c>
      <c r="H1229" s="3" t="e">
        <f t="shared" si="42"/>
        <v>#VALUE!</v>
      </c>
      <c r="I1229" s="1">
        <v>1</v>
      </c>
    </row>
    <row r="1230" spans="1:9" x14ac:dyDescent="0.25">
      <c r="A1230" s="1" t="s">
        <v>14435</v>
      </c>
      <c r="B1230" s="1" t="s">
        <v>3359</v>
      </c>
      <c r="C1230" s="1" t="str">
        <f>IFERROR(VLOOKUP(B1230,'SB1'!$A$2:$B$999999,2,FALSE),"")</f>
        <v>P425-941 H S STRONG RED X 2,5 (DISCONTINUADO)</v>
      </c>
      <c r="D1230" s="1" t="s">
        <v>14485</v>
      </c>
      <c r="E1230" s="3">
        <f>IFERROR(VLOOKUP(B1230,'DA1'!$B$2:$D$999999,3,FALSE),"")</f>
      </c>
      <c r="F1230" s="1" t="str">
        <f>IFERROR(VLOOKUP(B1230,'SB1'!$A$2:$C$999999,3,FALSE),"")</f>
        <v>503</v>
      </c>
      <c r="G1230" s="3" t="e">
        <f t="shared" si="43"/>
        <v>#VALUE!</v>
      </c>
      <c r="H1230" s="3" t="e">
        <f t="shared" si="42"/>
        <v>#VALUE!</v>
      </c>
      <c r="I1230" s="1">
        <v>3</v>
      </c>
    </row>
    <row r="1231" spans="1:9" x14ac:dyDescent="0.25">
      <c r="A1231" s="1" t="s">
        <v>14435</v>
      </c>
      <c r="B1231" s="1" t="s">
        <v>3361</v>
      </c>
      <c r="C1231" s="1" t="str">
        <f>IFERROR(VLOOKUP(B1231,'SB1'!$A$2:$B$999999,2,FALSE),"")</f>
        <v>P425-948/E1 H S BLACK X 1</v>
      </c>
      <c r="D1231" s="1" t="s">
        <v>14485</v>
      </c>
      <c r="E1231" s="3">
        <f>IFERROR(VLOOKUP(B1231,'DA1'!$B$2:$D$999999,3,FALSE),"")</f>
      </c>
      <c r="F1231" s="1" t="str">
        <f>IFERROR(VLOOKUP(B1231,'SB1'!$A$2:$C$999999,3,FALSE),"")</f>
        <v>503</v>
      </c>
      <c r="G1231" s="3" t="e">
        <f t="shared" si="43"/>
        <v>#VALUE!</v>
      </c>
      <c r="H1231" s="3" t="e">
        <f t="shared" si="42"/>
        <v>#VALUE!</v>
      </c>
      <c r="I1231" s="1">
        <v>3</v>
      </c>
    </row>
    <row r="1232" spans="1:9" x14ac:dyDescent="0.25">
      <c r="A1232" s="1" t="s">
        <v>14435</v>
      </c>
      <c r="B1232" s="1" t="s">
        <v>3363</v>
      </c>
      <c r="C1232" s="1" t="str">
        <f>IFERROR(VLOOKUP(B1232,'SB1'!$A$2:$B$999999,2,FALSE),"")</f>
        <v>P425-950 H S JET BLACK X 1</v>
      </c>
      <c r="D1232" s="1" t="s">
        <v>14485</v>
      </c>
      <c r="E1232" s="3">
        <f>IFERROR(VLOOKUP(B1232,'DA1'!$B$2:$D$999999,3,FALSE),"")</f>
      </c>
      <c r="F1232" s="1" t="str">
        <f>IFERROR(VLOOKUP(B1232,'SB1'!$A$2:$C$999999,3,FALSE),"")</f>
        <v>503</v>
      </c>
      <c r="G1232" s="3" t="e">
        <f t="shared" si="43"/>
        <v>#VALUE!</v>
      </c>
      <c r="H1232" s="3" t="e">
        <f t="shared" si="42"/>
        <v>#VALUE!</v>
      </c>
      <c r="I1232" s="1">
        <v>3</v>
      </c>
    </row>
    <row r="1233" spans="1:9" x14ac:dyDescent="0.25">
      <c r="A1233" s="1" t="s">
        <v>14435</v>
      </c>
      <c r="B1233" s="1" t="s">
        <v>3365</v>
      </c>
      <c r="C1233" s="1" t="str">
        <f>IFERROR(VLOOKUP(B1233,'SB1'!$A$2:$B$999999,2,FALSE),"")</f>
        <v>P425-954 H S BLUE GREEN X 1</v>
      </c>
      <c r="D1233" s="1" t="s">
        <v>14485</v>
      </c>
      <c r="E1233" s="3">
        <f>IFERROR(VLOOKUP(B1233,'DA1'!$B$2:$D$999999,3,FALSE),"")</f>
      </c>
      <c r="F1233" s="1" t="str">
        <f>IFERROR(VLOOKUP(B1233,'SB1'!$A$2:$C$999999,3,FALSE),"")</f>
        <v>503</v>
      </c>
      <c r="G1233" s="3" t="e">
        <f t="shared" si="43"/>
        <v>#VALUE!</v>
      </c>
      <c r="H1233" s="3" t="e">
        <f t="shared" si="42"/>
        <v>#VALUE!</v>
      </c>
      <c r="I1233" s="1">
        <v>3</v>
      </c>
    </row>
    <row r="1234" spans="1:9" x14ac:dyDescent="0.25">
      <c r="A1234" s="1" t="s">
        <v>14435</v>
      </c>
      <c r="B1234" s="1" t="s">
        <v>3367</v>
      </c>
      <c r="C1234" s="1" t="str">
        <f>IFERROR(VLOOKUP(B1234,'SB1'!$A$2:$B$999999,2,FALSE),"")</f>
        <v>P425-957 H S FAST BLUE X 1</v>
      </c>
      <c r="D1234" s="1" t="s">
        <v>14485</v>
      </c>
      <c r="E1234" s="3">
        <f>IFERROR(VLOOKUP(B1234,'DA1'!$B$2:$D$999999,3,FALSE),"")</f>
      </c>
      <c r="F1234" s="1" t="str">
        <f>IFERROR(VLOOKUP(B1234,'SB1'!$A$2:$C$999999,3,FALSE),"")</f>
        <v>503</v>
      </c>
      <c r="G1234" s="3" t="e">
        <f t="shared" si="43"/>
        <v>#VALUE!</v>
      </c>
      <c r="H1234" s="3" t="e">
        <f t="shared" si="42"/>
        <v>#VALUE!</v>
      </c>
      <c r="I1234" s="1">
        <v>3</v>
      </c>
    </row>
    <row r="1235" spans="1:9" x14ac:dyDescent="0.25">
      <c r="A1235" s="1" t="s">
        <v>14435</v>
      </c>
      <c r="B1235" s="1" t="s">
        <v>3369</v>
      </c>
      <c r="C1235" s="1" t="str">
        <f>IFERROR(VLOOKUP(B1235,'SB1'!$A$2:$B$999999,2,FALSE),"")</f>
        <v>P425-971 H S BRILLANT RED X 1</v>
      </c>
      <c r="D1235" s="1" t="s">
        <v>14485</v>
      </c>
      <c r="E1235" s="3">
        <f>IFERROR(VLOOKUP(B1235,'DA1'!$B$2:$D$999999,3,FALSE),"")</f>
      </c>
      <c r="F1235" s="1" t="str">
        <f>IFERROR(VLOOKUP(B1235,'SB1'!$A$2:$C$999999,3,FALSE),"")</f>
        <v>503</v>
      </c>
      <c r="G1235" s="3" t="e">
        <f t="shared" si="43"/>
        <v>#VALUE!</v>
      </c>
      <c r="H1235" s="3" t="e">
        <f t="shared" si="42"/>
        <v>#VALUE!</v>
      </c>
      <c r="I1235" s="1">
        <v>3</v>
      </c>
    </row>
    <row r="1236" spans="1:9" x14ac:dyDescent="0.25">
      <c r="A1236" s="1" t="s">
        <v>14435</v>
      </c>
      <c r="B1236" s="1" t="s">
        <v>3371</v>
      </c>
      <c r="C1236" s="1" t="str">
        <f>IFERROR(VLOOKUP(B1236,'SB1'!$A$2:$B$999999,2,FALSE),"")</f>
        <v>P425-984/E1 H S BRIGHT ALUMINIUM X 1</v>
      </c>
      <c r="D1236" s="1" t="s">
        <v>14485</v>
      </c>
      <c r="E1236" s="3">
        <f>IFERROR(VLOOKUP(B1236,'DA1'!$B$2:$D$999999,3,FALSE),"")</f>
      </c>
      <c r="F1236" s="1" t="str">
        <f>IFERROR(VLOOKUP(B1236,'SB1'!$A$2:$C$999999,3,FALSE),"")</f>
        <v>503</v>
      </c>
      <c r="G1236" s="3" t="e">
        <f t="shared" si="43"/>
        <v>#VALUE!</v>
      </c>
      <c r="H1236" s="3" t="e">
        <f t="shared" si="42"/>
        <v>#VALUE!</v>
      </c>
      <c r="I1236" s="1">
        <v>3</v>
      </c>
    </row>
    <row r="1237" spans="1:9" x14ac:dyDescent="0.25">
      <c r="A1237" s="1" t="s">
        <v>14435</v>
      </c>
      <c r="B1237" s="1" t="s">
        <v>3373</v>
      </c>
      <c r="C1237" s="1" t="str">
        <f>IFERROR(VLOOKUP(B1237,'SB1'!$A$2:$B$999999,2,FALSE),"")</f>
        <v>P425-985 ALUMINIUM FINE X 1</v>
      </c>
      <c r="D1237" s="1" t="s">
        <v>14485</v>
      </c>
      <c r="E1237" s="3">
        <f>IFERROR(VLOOKUP(B1237,'DA1'!$B$2:$D$999999,3,FALSE),"")</f>
      </c>
      <c r="F1237" s="1" t="str">
        <f>IFERROR(VLOOKUP(B1237,'SB1'!$A$2:$C$999999,3,FALSE),"")</f>
        <v>503</v>
      </c>
      <c r="G1237" s="3" t="e">
        <f t="shared" si="43"/>
        <v>#VALUE!</v>
      </c>
      <c r="H1237" s="3" t="e">
        <f t="shared" si="42"/>
        <v>#VALUE!</v>
      </c>
      <c r="I1237" s="1">
        <v>3</v>
      </c>
    </row>
    <row r="1238" spans="1:9" x14ac:dyDescent="0.25">
      <c r="A1238" s="1" t="s">
        <v>14435</v>
      </c>
      <c r="B1238" s="1" t="s">
        <v>3375</v>
      </c>
      <c r="C1238" s="1" t="str">
        <f>IFERROR(VLOOKUP(B1238,'SB1'!$A$2:$B$999999,2,FALSE),"")</f>
        <v>P425-986 ALUMINIUM MEDIUM X 3,5</v>
      </c>
      <c r="D1238" s="1" t="s">
        <v>14485</v>
      </c>
      <c r="E1238" s="3">
        <f>IFERROR(VLOOKUP(B1238,'DA1'!$B$2:$D$999999,3,FALSE),"")</f>
      </c>
      <c r="F1238" s="1" t="str">
        <f>IFERROR(VLOOKUP(B1238,'SB1'!$A$2:$C$999999,3,FALSE),"")</f>
        <v>503</v>
      </c>
      <c r="G1238" s="3" t="e">
        <f t="shared" si="43"/>
        <v>#VALUE!</v>
      </c>
      <c r="H1238" s="3" t="e">
        <f t="shared" si="42"/>
        <v>#VALUE!</v>
      </c>
      <c r="I1238" s="1">
        <v>3</v>
      </c>
    </row>
    <row r="1239" spans="1:9" x14ac:dyDescent="0.25">
      <c r="A1239" s="1" t="s">
        <v>14435</v>
      </c>
      <c r="B1239" s="1" t="s">
        <v>3377</v>
      </c>
      <c r="C1239" s="1" t="str">
        <f>IFERROR(VLOOKUP(B1239,'SB1'!$A$2:$B$999999,2,FALSE),"")</f>
        <v>P425-987 MEDIUM COARSE X 2,5</v>
      </c>
      <c r="D1239" s="1" t="s">
        <v>14485</v>
      </c>
      <c r="E1239" s="3">
        <f>IFERROR(VLOOKUP(B1239,'DA1'!$B$2:$D$999999,3,FALSE),"")</f>
      </c>
      <c r="F1239" s="1" t="str">
        <f>IFERROR(VLOOKUP(B1239,'SB1'!$A$2:$C$999999,3,FALSE),"")</f>
        <v>503</v>
      </c>
      <c r="G1239" s="3" t="e">
        <f t="shared" si="43"/>
        <v>#VALUE!</v>
      </c>
      <c r="H1239" s="3" t="e">
        <f t="shared" si="42"/>
        <v>#VALUE!</v>
      </c>
      <c r="I1239" s="1">
        <v>3</v>
      </c>
    </row>
    <row r="1240" spans="1:9" x14ac:dyDescent="0.25">
      <c r="A1240" s="1" t="s">
        <v>14435</v>
      </c>
      <c r="B1240" s="1" t="s">
        <v>3379</v>
      </c>
      <c r="C1240" s="1" t="str">
        <f>IFERROR(VLOOKUP(B1240,'SB1'!$A$2:$B$999999,2,FALSE),"")</f>
        <v>P425-988 ALUMINIUM CAORSE X 1</v>
      </c>
      <c r="D1240" s="1" t="s">
        <v>14485</v>
      </c>
      <c r="E1240" s="3">
        <f>IFERROR(VLOOKUP(B1240,'DA1'!$B$2:$D$999999,3,FALSE),"")</f>
      </c>
      <c r="F1240" s="1" t="str">
        <f>IFERROR(VLOOKUP(B1240,'SB1'!$A$2:$C$999999,3,FALSE),"")</f>
        <v>503</v>
      </c>
      <c r="G1240" s="3" t="e">
        <f t="shared" si="43"/>
        <v>#VALUE!</v>
      </c>
      <c r="H1240" s="3" t="e">
        <f t="shared" si="42"/>
        <v>#VALUE!</v>
      </c>
      <c r="I1240" s="1">
        <v>3</v>
      </c>
    </row>
    <row r="1241" spans="1:9" x14ac:dyDescent="0.25">
      <c r="A1241" s="1" t="s">
        <v>14435</v>
      </c>
      <c r="B1241" s="1" t="s">
        <v>3381</v>
      </c>
      <c r="C1241" s="1" t="str">
        <f>IFERROR(VLOOKUP(B1241,'SB1'!$A$2:$B$999999,2,FALSE),"")</f>
        <v>P425-989 ALUMINIUM VERY COARSE X 1</v>
      </c>
      <c r="D1241" s="1" t="s">
        <v>14485</v>
      </c>
      <c r="E1241" s="3">
        <f>IFERROR(VLOOKUP(B1241,'DA1'!$B$2:$D$999999,3,FALSE),"")</f>
      </c>
      <c r="F1241" s="1" t="str">
        <f>IFERROR(VLOOKUP(B1241,'SB1'!$A$2:$C$999999,3,FALSE),"")</f>
        <v>503</v>
      </c>
      <c r="G1241" s="3" t="e">
        <f t="shared" si="43"/>
        <v>#VALUE!</v>
      </c>
      <c r="H1241" s="3" t="e">
        <f t="shared" si="42"/>
        <v>#VALUE!</v>
      </c>
      <c r="I1241" s="1">
        <v>3</v>
      </c>
    </row>
    <row r="1242" spans="1:9" x14ac:dyDescent="0.25">
      <c r="A1242" s="1" t="s">
        <v>14435</v>
      </c>
      <c r="B1242" s="1" t="s">
        <v>3383</v>
      </c>
      <c r="C1242" s="1" t="str">
        <f>IFERROR(VLOOKUP(B1242,'SB1'!$A$2:$B$999999,2,FALSE),"")</f>
        <v>P425-998 H S COARSE SILVER DOLLAR ALUMINIUM X 1</v>
      </c>
      <c r="D1242" s="1" t="s">
        <v>14485</v>
      </c>
      <c r="E1242" s="3">
        <f>IFERROR(VLOOKUP(B1242,'DA1'!$B$2:$D$999999,3,FALSE),"")</f>
      </c>
      <c r="F1242" s="1" t="str">
        <f>IFERROR(VLOOKUP(B1242,'SB1'!$A$2:$C$999999,3,FALSE),"")</f>
        <v>503</v>
      </c>
      <c r="G1242" s="3" t="e">
        <f t="shared" si="43"/>
        <v>#VALUE!</v>
      </c>
      <c r="H1242" s="3" t="e">
        <f t="shared" si="42"/>
        <v>#VALUE!</v>
      </c>
      <c r="I1242" s="1">
        <v>3</v>
      </c>
    </row>
    <row r="1243" spans="1:9" x14ac:dyDescent="0.25">
      <c r="A1243" s="1" t="s">
        <v>14435</v>
      </c>
      <c r="B1243" s="1" t="s">
        <v>3385</v>
      </c>
      <c r="C1243" s="1" t="str">
        <f>IFERROR(VLOOKUP(B1243,'SB1'!$A$2:$B$999999,2,FALSE),"")</f>
        <v>P429-923 BRIGHT MAROON X 1</v>
      </c>
      <c r="D1243" s="1" t="s">
        <v>14485</v>
      </c>
      <c r="E1243" s="3">
        <f>IFERROR(VLOOKUP(B1243,'DA1'!$B$2:$D$999999,3,FALSE),"")</f>
      </c>
      <c r="F1243" s="1" t="str">
        <f>IFERROR(VLOOKUP(B1243,'SB1'!$A$2:$C$999999,3,FALSE),"")</f>
        <v>503</v>
      </c>
      <c r="G1243" s="3" t="e">
        <f t="shared" si="43"/>
        <v>#VALUE!</v>
      </c>
      <c r="H1243" s="3" t="e">
        <f t="shared" si="42"/>
        <v>#VALUE!</v>
      </c>
      <c r="I1243" s="1">
        <v>3</v>
      </c>
    </row>
    <row r="1244" spans="1:9" x14ac:dyDescent="0.25">
      <c r="A1244" s="1" t="s">
        <v>14435</v>
      </c>
      <c r="B1244" s="1" t="s">
        <v>3387</v>
      </c>
      <c r="C1244" s="1" t="str">
        <f>IFERROR(VLOOKUP(B1244,'SB1'!$A$2:$B$999999,2,FALSE),"")</f>
        <v>P429-937 PALE YELOW X 1</v>
      </c>
      <c r="D1244" s="1" t="s">
        <v>14485</v>
      </c>
      <c r="E1244" s="3">
        <f>IFERROR(VLOOKUP(B1244,'DA1'!$B$2:$D$999999,3,FALSE),"")</f>
      </c>
      <c r="F1244" s="1" t="str">
        <f>IFERROR(VLOOKUP(B1244,'SB1'!$A$2:$C$999999,3,FALSE),"")</f>
        <v>503</v>
      </c>
      <c r="G1244" s="3" t="e">
        <f t="shared" si="43"/>
        <v>#VALUE!</v>
      </c>
      <c r="H1244" s="3" t="e">
        <f t="shared" si="42"/>
        <v>#VALUE!</v>
      </c>
      <c r="I1244" s="1">
        <v>3</v>
      </c>
    </row>
    <row r="1245" spans="1:9" x14ac:dyDescent="0.25">
      <c r="A1245" s="1" t="s">
        <v>14435</v>
      </c>
      <c r="B1245" s="1" t="s">
        <v>3389</v>
      </c>
      <c r="C1245" s="1" t="str">
        <f>IFERROR(VLOOKUP(B1245,'SB1'!$A$2:$B$999999,2,FALSE),"")</f>
        <v>P429-976 H S RED VIOLET X 1</v>
      </c>
      <c r="D1245" s="1" t="s">
        <v>14485</v>
      </c>
      <c r="E1245" s="3">
        <f>IFERROR(VLOOKUP(B1245,'DA1'!$B$2:$D$999999,3,FALSE),"")</f>
      </c>
      <c r="F1245" s="1" t="str">
        <f>IFERROR(VLOOKUP(B1245,'SB1'!$A$2:$C$999999,3,FALSE),"")</f>
        <v>503</v>
      </c>
      <c r="G1245" s="3" t="e">
        <f t="shared" si="43"/>
        <v>#VALUE!</v>
      </c>
      <c r="H1245" s="3" t="e">
        <f t="shared" si="42"/>
        <v>#VALUE!</v>
      </c>
      <c r="I1245" s="1">
        <v>3</v>
      </c>
    </row>
    <row r="1246" spans="1:9" x14ac:dyDescent="0.25">
      <c r="A1246" s="1" t="s">
        <v>14435</v>
      </c>
      <c r="B1246" s="1" t="s">
        <v>3391</v>
      </c>
      <c r="C1246" s="1" t="str">
        <f>IFERROR(VLOOKUP(B1246,'SB1'!$A$2:$B$999999,2,FALSE),"")</f>
        <v>P190-376-E2 B INCOLORA DE MEZCLA X 2,5</v>
      </c>
      <c r="D1246" s="1" t="s">
        <v>14485</v>
      </c>
      <c r="E1246" s="3">
        <f>IFERROR(VLOOKUP(B1246,'DA1'!$B$2:$D$999999,3,FALSE),"")</f>
      </c>
      <c r="F1246" s="1" t="str">
        <f>IFERROR(VLOOKUP(B1246,'SB1'!$A$2:$C$999999,3,FALSE),"")</f>
        <v>503</v>
      </c>
      <c r="G1246" s="3" t="e">
        <f t="shared" si="43"/>
        <v>#VALUE!</v>
      </c>
      <c r="H1246" s="3" t="e">
        <f t="shared" si="42"/>
        <v>#VALUE!</v>
      </c>
      <c r="I1246" s="1">
        <v>3</v>
      </c>
    </row>
    <row r="1247" spans="1:9" x14ac:dyDescent="0.25">
      <c r="A1247" s="1" t="s">
        <v>14435</v>
      </c>
      <c r="B1247" s="1" t="s">
        <v>3393</v>
      </c>
      <c r="C1247" s="1" t="str">
        <f>IFERROR(VLOOKUP(B1247,'SB1'!$A$2:$B$999999,2,FALSE),"")</f>
        <v>AEROSOL RUST-OLEUM UC BRILLANTE MARFIL X 0,340(262169)</v>
      </c>
      <c r="D1247" s="1" t="s">
        <v>14475</v>
      </c>
      <c r="E1247" s="3">
        <f>IFERROR(VLOOKUP(B1247,'DA1'!$B$2:$D$999999,3,FALSE),"")</f>
      </c>
      <c r="F1247" s="1" t="str">
        <f>IFERROR(VLOOKUP(B1247,'SB1'!$A$2:$C$999999,3,FALSE),"")</f>
        <v>503</v>
      </c>
      <c r="G1247" s="3" t="e">
        <f t="shared" si="43"/>
        <v>#VALUE!</v>
      </c>
      <c r="H1247" s="3" t="e">
        <f t="shared" si="42"/>
        <v>#VALUE!</v>
      </c>
      <c r="I1247" s="1">
        <v>1</v>
      </c>
    </row>
    <row r="1248" spans="1:9" x14ac:dyDescent="0.25">
      <c r="A1248" s="1" t="s">
        <v>14435</v>
      </c>
      <c r="B1248" s="1" t="s">
        <v>3395</v>
      </c>
      <c r="C1248" s="1" t="str">
        <f>IFERROR(VLOOKUP(B1248,'SB1'!$A$2:$B$999999,2,FALSE),"")</f>
        <v>AEROSOL RUST-OLEUM UC BRILLANTE VERDE CLARO X 0,340(262166)</v>
      </c>
      <c r="D1248" s="1" t="s">
        <v>14475</v>
      </c>
      <c r="E1248" s="3">
        <f>IFERROR(VLOOKUP(B1248,'DA1'!$B$2:$D$999999,3,FALSE),"")</f>
      </c>
      <c r="F1248" s="1" t="str">
        <f>IFERROR(VLOOKUP(B1248,'SB1'!$A$2:$C$999999,3,FALSE),"")</f>
        <v>503</v>
      </c>
      <c r="G1248" s="3" t="e">
        <f t="shared" si="43"/>
        <v>#VALUE!</v>
      </c>
      <c r="H1248" s="3" t="e">
        <f t="shared" si="42"/>
        <v>#VALUE!</v>
      </c>
      <c r="I1248" s="1">
        <v>1</v>
      </c>
    </row>
    <row r="1249" spans="1:9" x14ac:dyDescent="0.25">
      <c r="A1249" s="1" t="s">
        <v>14435</v>
      </c>
      <c r="B1249" s="1" t="s">
        <v>3397</v>
      </c>
      <c r="C1249" s="1" t="str">
        <f>IFERROR(VLOOKUP(B1249,'SB1'!$A$2:$B$999999,2,FALSE),"")</f>
        <v>AEROSOL RUST-OLEUM UC BRILLANTE AZUL PROFUNDO X 0,340(262165)</v>
      </c>
      <c r="D1249" s="1" t="s">
        <v>14475</v>
      </c>
      <c r="E1249" s="3">
        <f>IFERROR(VLOOKUP(B1249,'DA1'!$B$2:$D$999999,3,FALSE),"")</f>
      </c>
      <c r="F1249" s="1" t="str">
        <f>IFERROR(VLOOKUP(B1249,'SB1'!$A$2:$C$999999,3,FALSE),"")</f>
        <v>503</v>
      </c>
      <c r="G1249" s="3" t="e">
        <f t="shared" si="43"/>
        <v>#VALUE!</v>
      </c>
      <c r="H1249" s="3" t="e">
        <f t="shared" si="42"/>
        <v>#VALUE!</v>
      </c>
      <c r="I1249" s="1">
        <v>1</v>
      </c>
    </row>
    <row r="1250" spans="1:9" x14ac:dyDescent="0.25">
      <c r="A1250" s="1" t="s">
        <v>14435</v>
      </c>
      <c r="B1250" s="1" t="s">
        <v>3401</v>
      </c>
      <c r="C1250" s="1" t="str">
        <f>IFERROR(VLOOKUP(B1250,'SB1'!$A$2:$B$999999,2,FALSE),"")</f>
        <v>ENVASE DE HOJALATA VACIO X20</v>
      </c>
      <c r="D1250" s="1" t="s">
        <v>14465</v>
      </c>
      <c r="E1250" s="3">
        <f>IFERROR(VLOOKUP(B1250,'DA1'!$B$2:$D$999999,3,FALSE),"")</f>
      </c>
      <c r="F1250" s="1" t="str">
        <f>IFERROR(VLOOKUP(B1250,'SB1'!$A$2:$C$999999,3,FALSE),"")</f>
        <v>503</v>
      </c>
      <c r="G1250" s="3" t="e">
        <f t="shared" si="43"/>
        <v>#VALUE!</v>
      </c>
      <c r="H1250" s="3" t="e">
        <f t="shared" si="42"/>
        <v>#VALUE!</v>
      </c>
      <c r="I1250" s="1">
        <v>2</v>
      </c>
    </row>
    <row r="1251" spans="1:9" x14ac:dyDescent="0.25">
      <c r="A1251" s="1" t="s">
        <v>14435</v>
      </c>
      <c r="B1251" s="1" t="s">
        <v>3405</v>
      </c>
      <c r="C1251" s="1" t="str">
        <f>IFERROR(VLOOKUP(B1251,'SB1'!$A$2:$B$999999,2,FALSE),"")</f>
        <v>P429-961 HS CLEAN MAGENTA X 1</v>
      </c>
      <c r="D1251" s="1" t="s">
        <v>14485</v>
      </c>
      <c r="E1251" s="3">
        <f>IFERROR(VLOOKUP(B1251,'DA1'!$B$2:$D$999999,3,FALSE),"")</f>
      </c>
      <c r="F1251" s="1" t="str">
        <f>IFERROR(VLOOKUP(B1251,'SB1'!$A$2:$C$999999,3,FALSE),"")</f>
        <v>503</v>
      </c>
      <c r="G1251" s="3" t="e">
        <f t="shared" si="43"/>
        <v>#VALUE!</v>
      </c>
      <c r="H1251" s="3" t="e">
        <f t="shared" ref="H1251:H1314" si="44">G1251*1.21</f>
        <v>#VALUE!</v>
      </c>
      <c r="I1251" s="1">
        <v>3</v>
      </c>
    </row>
    <row r="1252" spans="1:9" x14ac:dyDescent="0.25">
      <c r="A1252" s="1" t="s">
        <v>14435</v>
      </c>
      <c r="B1252" s="1" t="s">
        <v>3409</v>
      </c>
      <c r="C1252" s="1" t="str">
        <f>IFERROR(VLOOKUP(B1252,'SB1'!$A$2:$B$999999,2,FALSE),"")</f>
        <v>IMPERMEABILIZANTE PARA TECHOS PLAVICON SOBREMEMBRANA BLANCO X 20</v>
      </c>
      <c r="D1252" s="1" t="s">
        <v>14458</v>
      </c>
      <c r="E1252" s="3">
        <f>IFERROR(VLOOKUP(B1252,'DA1'!$B$2:$D$999999,3,FALSE),"")</f>
      </c>
      <c r="F1252" s="1" t="str">
        <f>IFERROR(VLOOKUP(B1252,'SB1'!$A$2:$C$999999,3,FALSE),"")</f>
        <v>503</v>
      </c>
      <c r="G1252" s="3" t="e">
        <f t="shared" si="43"/>
        <v>#VALUE!</v>
      </c>
      <c r="H1252" s="3" t="e">
        <f t="shared" si="44"/>
        <v>#VALUE!</v>
      </c>
      <c r="I1252" s="1">
        <v>1</v>
      </c>
    </row>
    <row r="1253" spans="1:9" x14ac:dyDescent="0.25">
      <c r="A1253" s="1" t="s">
        <v>14435</v>
      </c>
      <c r="B1253" s="1" t="s">
        <v>3413</v>
      </c>
      <c r="C1253" s="1" t="str">
        <f>IFERROR(VLOOKUP(B1253,'SB1'!$A$2:$B$999999,2,FALSE),"")</f>
        <v>AEROSOL RUST-OLEUM UC BRILLANTE VERDE LIMA X 0,340(262162)</v>
      </c>
      <c r="D1253" s="1" t="s">
        <v>14475</v>
      </c>
      <c r="E1253" s="3">
        <f>IFERROR(VLOOKUP(B1253,'DA1'!$B$2:$D$999999,3,FALSE),"")</f>
      </c>
      <c r="F1253" s="1" t="str">
        <f>IFERROR(VLOOKUP(B1253,'SB1'!$A$2:$C$999999,3,FALSE),"")</f>
        <v>503</v>
      </c>
      <c r="G1253" s="3" t="e">
        <f t="shared" si="43"/>
        <v>#VALUE!</v>
      </c>
      <c r="H1253" s="3" t="e">
        <f t="shared" si="44"/>
        <v>#VALUE!</v>
      </c>
      <c r="I1253" s="1">
        <v>1</v>
      </c>
    </row>
    <row r="1254" spans="1:9" x14ac:dyDescent="0.25">
      <c r="A1254" s="1" t="s">
        <v>14435</v>
      </c>
      <c r="B1254" s="1" t="s">
        <v>3415</v>
      </c>
      <c r="C1254" s="1" t="str">
        <f>IFERROR(VLOOKUP(B1254,'SB1'!$A$2:$B$999999,2,FALSE),"")</f>
        <v>AEROSOL RUST-OLEUM SP FLUORESCENTE NARANJA X 0,312(2721311)</v>
      </c>
      <c r="D1254" s="1" t="s">
        <v>14439</v>
      </c>
      <c r="E1254" s="3">
        <f>IFERROR(VLOOKUP(B1254,'DA1'!$B$2:$D$999999,3,FALSE),"")</f>
      </c>
      <c r="F1254" s="1" t="str">
        <f>IFERROR(VLOOKUP(B1254,'SB1'!$A$2:$C$999999,3,FALSE),"")</f>
        <v>503</v>
      </c>
      <c r="G1254" s="3" t="e">
        <f t="shared" si="43"/>
        <v>#VALUE!</v>
      </c>
      <c r="H1254" s="3" t="e">
        <f t="shared" si="44"/>
        <v>#VALUE!</v>
      </c>
      <c r="I1254" s="1">
        <v>1</v>
      </c>
    </row>
    <row r="1255" spans="1:9" x14ac:dyDescent="0.25">
      <c r="A1255" s="1" t="s">
        <v>14435</v>
      </c>
      <c r="B1255" s="1" t="s">
        <v>3417</v>
      </c>
      <c r="C1255" s="1" t="str">
        <f>IFERROR(VLOOKUP(B1255,'SB1'!$A$2:$B$999999,2,FALSE),"")</f>
        <v>AEROSOL RUST-OLEUM SP FLUORESCENTE ROSA X 0,312(272132)</v>
      </c>
      <c r="D1255" s="1" t="s">
        <v>14475</v>
      </c>
      <c r="E1255" s="3">
        <f>IFERROR(VLOOKUP(B1255,'DA1'!$B$2:$D$999999,3,FALSE),"")</f>
      </c>
      <c r="F1255" s="1" t="str">
        <f>IFERROR(VLOOKUP(B1255,'SB1'!$A$2:$C$999999,3,FALSE),"")</f>
        <v>503</v>
      </c>
      <c r="G1255" s="3" t="e">
        <f t="shared" si="43"/>
        <v>#VALUE!</v>
      </c>
      <c r="H1255" s="3" t="e">
        <f t="shared" si="44"/>
        <v>#VALUE!</v>
      </c>
      <c r="I1255" s="1">
        <v>1</v>
      </c>
    </row>
    <row r="1256" spans="1:9" x14ac:dyDescent="0.25">
      <c r="A1256" s="1" t="s">
        <v>14435</v>
      </c>
      <c r="B1256" s="1" t="s">
        <v>3419</v>
      </c>
      <c r="C1256" s="1" t="str">
        <f>IFERROR(VLOOKUP(B1256,'SB1'!$A$2:$B$999999,2,FALSE),"")</f>
        <v>AEROSOL RUST-OLEUM SP FLUORESCENTE AMARILLO X 0,312(2721331)</v>
      </c>
      <c r="D1256" s="1" t="s">
        <v>14475</v>
      </c>
      <c r="E1256" s="3">
        <f>IFERROR(VLOOKUP(B1256,'DA1'!$B$2:$D$999999,3,FALSE),"")</f>
      </c>
      <c r="F1256" s="1" t="str">
        <f>IFERROR(VLOOKUP(B1256,'SB1'!$A$2:$C$999999,3,FALSE),"")</f>
        <v>503</v>
      </c>
      <c r="G1256" s="3" t="e">
        <f t="shared" si="43"/>
        <v>#VALUE!</v>
      </c>
      <c r="H1256" s="3" t="e">
        <f t="shared" si="44"/>
        <v>#VALUE!</v>
      </c>
      <c r="I1256" s="1">
        <v>1</v>
      </c>
    </row>
    <row r="1257" spans="1:9" x14ac:dyDescent="0.25">
      <c r="A1257" s="1" t="s">
        <v>14435</v>
      </c>
      <c r="B1257" s="1" t="s">
        <v>3431</v>
      </c>
      <c r="C1257" s="1" t="str">
        <f>IFERROR(VLOOKUP(B1257,'SB1'!$A$2:$B$999999,2,FALSE),"")</f>
        <v>CINTA  AUTOMOTOR RAPIFIX (570) 12MM</v>
      </c>
      <c r="D1257" s="1" t="s">
        <v>14486</v>
      </c>
      <c r="E1257" s="3">
        <f>IFERROR(VLOOKUP(B1257,'DA1'!$B$2:$D$999999,3,FALSE),"")</f>
      </c>
      <c r="F1257" s="1" t="str">
        <f>IFERROR(VLOOKUP(B1257,'SB1'!$A$2:$C$999999,3,FALSE),"")</f>
        <v>503</v>
      </c>
      <c r="G1257" s="3" t="e">
        <f t="shared" si="43"/>
        <v>#VALUE!</v>
      </c>
      <c r="H1257" s="3" t="e">
        <f t="shared" si="44"/>
        <v>#VALUE!</v>
      </c>
      <c r="I1257" s="1">
        <v>2</v>
      </c>
    </row>
    <row r="1258" spans="1:9" x14ac:dyDescent="0.25">
      <c r="A1258" s="1" t="s">
        <v>14435</v>
      </c>
      <c r="B1258" s="1" t="s">
        <v>3433</v>
      </c>
      <c r="C1258" s="1" t="str">
        <f>IFERROR(VLOOKUP(B1258,'SB1'!$A$2:$B$999999,2,FALSE),"")</f>
        <v>CINTA  AUTOMOTOR RAPIFIX (570) 15MM</v>
      </c>
      <c r="D1258" s="1" t="s">
        <v>14486</v>
      </c>
      <c r="E1258" s="3">
        <f>IFERROR(VLOOKUP(B1258,'DA1'!$B$2:$D$999999,3,FALSE),"")</f>
      </c>
      <c r="F1258" s="1" t="str">
        <f>IFERROR(VLOOKUP(B1258,'SB1'!$A$2:$C$999999,3,FALSE),"")</f>
        <v>503</v>
      </c>
      <c r="G1258" s="3" t="e">
        <f t="shared" si="43"/>
        <v>#VALUE!</v>
      </c>
      <c r="H1258" s="3" t="e">
        <f t="shared" si="44"/>
        <v>#VALUE!</v>
      </c>
      <c r="I1258" s="1">
        <v>2</v>
      </c>
    </row>
    <row r="1259" spans="1:9" x14ac:dyDescent="0.25">
      <c r="A1259" s="1" t="s">
        <v>14435</v>
      </c>
      <c r="B1259" s="1" t="s">
        <v>3435</v>
      </c>
      <c r="C1259" s="1" t="str">
        <f>IFERROR(VLOOKUP(B1259,'SB1'!$A$2:$B$999999,2,FALSE),"")</f>
        <v>CINTA  AUTOMOTOR RAPIFIX (570) 18MM</v>
      </c>
      <c r="D1259" s="1" t="s">
        <v>14486</v>
      </c>
      <c r="E1259" s="3">
        <f>IFERROR(VLOOKUP(B1259,'DA1'!$B$2:$D$999999,3,FALSE),"")</f>
      </c>
      <c r="F1259" s="1" t="str">
        <f>IFERROR(VLOOKUP(B1259,'SB1'!$A$2:$C$999999,3,FALSE),"")</f>
        <v>503</v>
      </c>
      <c r="G1259" s="3" t="e">
        <f t="shared" si="43"/>
        <v>#VALUE!</v>
      </c>
      <c r="H1259" s="3" t="e">
        <f t="shared" si="44"/>
        <v>#VALUE!</v>
      </c>
      <c r="I1259" s="1">
        <v>2</v>
      </c>
    </row>
    <row r="1260" spans="1:9" x14ac:dyDescent="0.25">
      <c r="A1260" s="1" t="s">
        <v>14435</v>
      </c>
      <c r="B1260" s="1" t="s">
        <v>3437</v>
      </c>
      <c r="C1260" s="1" t="str">
        <f>IFERROR(VLOOKUP(B1260,'SB1'!$A$2:$B$999999,2,FALSE),"")</f>
        <v>CINTA  AUTOMOTOR RAPIFIX (570) 24MM</v>
      </c>
      <c r="D1260" s="1" t="s">
        <v>14486</v>
      </c>
      <c r="E1260" s="3">
        <f>IFERROR(VLOOKUP(B1260,'DA1'!$B$2:$D$999999,3,FALSE),"")</f>
      </c>
      <c r="F1260" s="1" t="str">
        <f>IFERROR(VLOOKUP(B1260,'SB1'!$A$2:$C$999999,3,FALSE),"")</f>
        <v>503</v>
      </c>
      <c r="G1260" s="3" t="e">
        <f t="shared" si="43"/>
        <v>#VALUE!</v>
      </c>
      <c r="H1260" s="3" t="e">
        <f t="shared" si="44"/>
        <v>#VALUE!</v>
      </c>
      <c r="I1260" s="1">
        <v>2</v>
      </c>
    </row>
    <row r="1261" spans="1:9" x14ac:dyDescent="0.25">
      <c r="A1261" s="1" t="s">
        <v>14435</v>
      </c>
      <c r="B1261" s="1" t="s">
        <v>3439</v>
      </c>
      <c r="C1261" s="1" t="str">
        <f>IFERROR(VLOOKUP(B1261,'SB1'!$A$2:$B$999999,2,FALSE),"")</f>
        <v>CINTA  AUTOMOTOR RAPIFIX (570) 36MM</v>
      </c>
      <c r="D1261" s="1" t="s">
        <v>14486</v>
      </c>
      <c r="E1261" s="3">
        <f>IFERROR(VLOOKUP(B1261,'DA1'!$B$2:$D$999999,3,FALSE),"")</f>
      </c>
      <c r="F1261" s="1" t="str">
        <f>IFERROR(VLOOKUP(B1261,'SB1'!$A$2:$C$999999,3,FALSE),"")</f>
        <v>503</v>
      </c>
      <c r="G1261" s="3" t="e">
        <f t="shared" si="43"/>
        <v>#VALUE!</v>
      </c>
      <c r="H1261" s="3" t="e">
        <f t="shared" si="44"/>
        <v>#VALUE!</v>
      </c>
      <c r="I1261" s="1">
        <v>2</v>
      </c>
    </row>
    <row r="1262" spans="1:9" x14ac:dyDescent="0.25">
      <c r="A1262" s="1" t="s">
        <v>14435</v>
      </c>
      <c r="B1262" s="1" t="s">
        <v>3441</v>
      </c>
      <c r="C1262" s="1" t="str">
        <f>IFERROR(VLOOKUP(B1262,'SB1'!$A$2:$B$999999,2,FALSE),"")</f>
        <v>CINTA  AUTOMOTOR RAPIFIX (570) 48MM</v>
      </c>
      <c r="D1262" s="1" t="s">
        <v>14486</v>
      </c>
      <c r="E1262" s="3">
        <f>IFERROR(VLOOKUP(B1262,'DA1'!$B$2:$D$999999,3,FALSE),"")</f>
      </c>
      <c r="F1262" s="1" t="str">
        <f>IFERROR(VLOOKUP(B1262,'SB1'!$A$2:$C$999999,3,FALSE),"")</f>
        <v>503</v>
      </c>
      <c r="G1262" s="3" t="e">
        <f t="shared" si="43"/>
        <v>#VALUE!</v>
      </c>
      <c r="H1262" s="3" t="e">
        <f t="shared" si="44"/>
        <v>#VALUE!</v>
      </c>
      <c r="I1262" s="1">
        <v>2</v>
      </c>
    </row>
    <row r="1263" spans="1:9" x14ac:dyDescent="0.25">
      <c r="A1263" s="1" t="s">
        <v>14435</v>
      </c>
      <c r="B1263" s="1" t="s">
        <v>3443</v>
      </c>
      <c r="C1263" s="1" t="str">
        <f>IFERROR(VLOOKUP(B1263,'SB1'!$A$2:$B$999999,2,FALSE),"")</f>
        <v>CINTA  AUTOMOTOR RAPIFIX PREMIUM VERDE (560) 18MM</v>
      </c>
      <c r="D1263" s="1" t="s">
        <v>14486</v>
      </c>
      <c r="E1263" s="3">
        <f>IFERROR(VLOOKUP(B1263,'DA1'!$B$2:$D$999999,3,FALSE),"")</f>
      </c>
      <c r="F1263" s="1" t="str">
        <f>IFERROR(VLOOKUP(B1263,'SB1'!$A$2:$C$999999,3,FALSE),"")</f>
        <v>503</v>
      </c>
      <c r="G1263" s="3" t="e">
        <f t="shared" si="43"/>
        <v>#VALUE!</v>
      </c>
      <c r="H1263" s="3" t="e">
        <f t="shared" si="44"/>
        <v>#VALUE!</v>
      </c>
      <c r="I1263" s="1">
        <v>2</v>
      </c>
    </row>
    <row r="1264" spans="1:9" x14ac:dyDescent="0.25">
      <c r="A1264" s="1" t="s">
        <v>14435</v>
      </c>
      <c r="B1264" s="1" t="s">
        <v>3445</v>
      </c>
      <c r="C1264" s="1" t="str">
        <f>IFERROR(VLOOKUP(B1264,'SB1'!$A$2:$B$999999,2,FALSE),"")</f>
        <v>CINTA  AUTOMOTOR RAPIFIX PREMIUM VERDE (560) 48MM</v>
      </c>
      <c r="D1264" s="1" t="s">
        <v>14486</v>
      </c>
      <c r="E1264" s="3">
        <f>IFERROR(VLOOKUP(B1264,'DA1'!$B$2:$D$999999,3,FALSE),"")</f>
      </c>
      <c r="F1264" s="1" t="str">
        <f>IFERROR(VLOOKUP(B1264,'SB1'!$A$2:$C$999999,3,FALSE),"")</f>
        <v>503</v>
      </c>
      <c r="G1264" s="3" t="e">
        <f t="shared" si="43"/>
        <v>#VALUE!</v>
      </c>
      <c r="H1264" s="3" t="e">
        <f t="shared" si="44"/>
        <v>#VALUE!</v>
      </c>
      <c r="I1264" s="1">
        <v>2</v>
      </c>
    </row>
    <row r="1265" spans="1:9" x14ac:dyDescent="0.25">
      <c r="A1265" s="1" t="s">
        <v>14435</v>
      </c>
      <c r="B1265" s="1" t="s">
        <v>3447</v>
      </c>
      <c r="C1265" s="1" t="str">
        <f>IFERROR(VLOOKUP(B1265,'SB1'!$A$2:$B$999999,2,FALSE),"")</f>
        <v>IMPERMEABILIZANTE PARA FRENTES Y MUROS DURALBA MATE BASE P X  8,700</v>
      </c>
      <c r="D1265" s="1" t="s">
        <v>14480</v>
      </c>
      <c r="E1265" s="3">
        <f>IFERROR(VLOOKUP(B1265,'DA1'!$B$2:$D$999999,3,FALSE),"")</f>
      </c>
      <c r="F1265" s="1" t="str">
        <f>IFERROR(VLOOKUP(B1265,'SB1'!$A$2:$C$999999,3,FALSE),"")</f>
        <v>503</v>
      </c>
      <c r="G1265" s="3" t="e">
        <f t="shared" si="43"/>
        <v>#VALUE!</v>
      </c>
      <c r="H1265" s="3" t="e">
        <f t="shared" si="44"/>
        <v>#VALUE!</v>
      </c>
      <c r="I1265" s="1">
        <v>1</v>
      </c>
    </row>
    <row r="1266" spans="1:9" x14ac:dyDescent="0.25">
      <c r="A1266" s="1" t="s">
        <v>14435</v>
      </c>
      <c r="B1266" s="1" t="s">
        <v>3449</v>
      </c>
      <c r="C1266" s="1" t="str">
        <f>IFERROR(VLOOKUP(B1266,'SB1'!$A$2:$B$999999,2,FALSE),"")</f>
        <v>IMPERMEABILIZANTE PARA FRENTES Y MUROS DURALBA MATE BASE F X  8,700</v>
      </c>
      <c r="D1266" s="1" t="s">
        <v>14480</v>
      </c>
      <c r="E1266" s="3">
        <f>IFERROR(VLOOKUP(B1266,'DA1'!$B$2:$D$999999,3,FALSE),"")</f>
      </c>
      <c r="F1266" s="1" t="str">
        <f>IFERROR(VLOOKUP(B1266,'SB1'!$A$2:$C$999999,3,FALSE),"")</f>
        <v>503</v>
      </c>
      <c r="G1266" s="3" t="e">
        <f t="shared" si="43"/>
        <v>#VALUE!</v>
      </c>
      <c r="H1266" s="3" t="e">
        <f t="shared" si="44"/>
        <v>#VALUE!</v>
      </c>
      <c r="I1266" s="1">
        <v>1</v>
      </c>
    </row>
    <row r="1267" spans="1:9" x14ac:dyDescent="0.25">
      <c r="A1267" s="1" t="s">
        <v>14435</v>
      </c>
      <c r="B1267" s="1" t="s">
        <v>3459</v>
      </c>
      <c r="C1267" s="1" t="str">
        <f>IFERROR(VLOOKUP(B1267,'SB1'!$A$2:$B$999999,2,FALSE),"")</f>
        <v>IMPERMEABILIZANTE PARA FRENTES Y MUROS DURALBA MATE BASE P X  3,600</v>
      </c>
      <c r="D1267" s="1" t="s">
        <v>14480</v>
      </c>
      <c r="E1267" s="3">
        <f>IFERROR(VLOOKUP(B1267,'DA1'!$B$2:$D$999999,3,FALSE),"")</f>
      </c>
      <c r="F1267" s="1" t="str">
        <f>IFERROR(VLOOKUP(B1267,'SB1'!$A$2:$C$999999,3,FALSE),"")</f>
        <v>503</v>
      </c>
      <c r="G1267" s="3" t="e">
        <f t="shared" si="43"/>
        <v>#VALUE!</v>
      </c>
      <c r="H1267" s="3" t="e">
        <f t="shared" si="44"/>
        <v>#VALUE!</v>
      </c>
      <c r="I1267" s="1">
        <v>1</v>
      </c>
    </row>
    <row r="1268" spans="1:9" x14ac:dyDescent="0.25">
      <c r="A1268" s="1" t="s">
        <v>14435</v>
      </c>
      <c r="B1268" s="1" t="s">
        <v>3461</v>
      </c>
      <c r="C1268" s="1" t="str">
        <f>IFERROR(VLOOKUP(B1268,'SB1'!$A$2:$B$999999,2,FALSE),"")</f>
        <v>IMPERMEABILIZANTE PARA FRENTES Y MUROS DURALBA MATE BASE P X 17,400</v>
      </c>
      <c r="D1268" s="1" t="s">
        <v>14480</v>
      </c>
      <c r="E1268" s="3">
        <f>IFERROR(VLOOKUP(B1268,'DA1'!$B$2:$D$999999,3,FALSE),"")</f>
      </c>
      <c r="F1268" s="1" t="str">
        <f>IFERROR(VLOOKUP(B1268,'SB1'!$A$2:$C$999999,3,FALSE),"")</f>
        <v>503</v>
      </c>
      <c r="G1268" s="3" t="e">
        <f t="shared" si="43"/>
        <v>#VALUE!</v>
      </c>
      <c r="H1268" s="3" t="e">
        <f t="shared" si="44"/>
        <v>#VALUE!</v>
      </c>
      <c r="I1268" s="1">
        <v>1</v>
      </c>
    </row>
    <row r="1269" spans="1:9" x14ac:dyDescent="0.25">
      <c r="A1269" s="1" t="s">
        <v>14435</v>
      </c>
      <c r="B1269" s="1" t="s">
        <v>3467</v>
      </c>
      <c r="C1269" s="1" t="str">
        <f>IFERROR(VLOOKUP(B1269,'SB1'!$A$2:$B$999999,2,FALSE),"")</f>
        <v>IMPERMEABILIZANTE PARA FRENTES Y MUROS DURALBA MATE BASE F X  3,600</v>
      </c>
      <c r="D1269" s="1" t="s">
        <v>14480</v>
      </c>
      <c r="E1269" s="3">
        <f>IFERROR(VLOOKUP(B1269,'DA1'!$B$2:$D$999999,3,FALSE),"")</f>
      </c>
      <c r="F1269" s="1" t="str">
        <f>IFERROR(VLOOKUP(B1269,'SB1'!$A$2:$C$999999,3,FALSE),"")</f>
        <v>503</v>
      </c>
      <c r="G1269" s="3" t="e">
        <f t="shared" si="43"/>
        <v>#VALUE!</v>
      </c>
      <c r="H1269" s="3" t="e">
        <f t="shared" si="44"/>
        <v>#VALUE!</v>
      </c>
      <c r="I1269" s="1">
        <v>1</v>
      </c>
    </row>
    <row r="1270" spans="1:9" x14ac:dyDescent="0.25">
      <c r="A1270" s="1" t="s">
        <v>14435</v>
      </c>
      <c r="B1270" s="1" t="s">
        <v>3469</v>
      </c>
      <c r="C1270" s="1" t="str">
        <f>IFERROR(VLOOKUP(B1270,'SB1'!$A$2:$B$999999,2,FALSE),"")</f>
        <v>IMPERMEABILIZANTE PARA FRENTES Y MUROS DURALBA MATE BASE F X 17,400</v>
      </c>
      <c r="D1270" s="1" t="s">
        <v>14480</v>
      </c>
      <c r="E1270" s="3">
        <f>IFERROR(VLOOKUP(B1270,'DA1'!$B$2:$D$999999,3,FALSE),"")</f>
      </c>
      <c r="F1270" s="1" t="str">
        <f>IFERROR(VLOOKUP(B1270,'SB1'!$A$2:$C$999999,3,FALSE),"")</f>
        <v>503</v>
      </c>
      <c r="G1270" s="3" t="e">
        <f t="shared" si="43"/>
        <v>#VALUE!</v>
      </c>
      <c r="H1270" s="3" t="e">
        <f t="shared" si="44"/>
        <v>#VALUE!</v>
      </c>
      <c r="I1270" s="1">
        <v>1</v>
      </c>
    </row>
    <row r="1271" spans="1:9" x14ac:dyDescent="0.25">
      <c r="A1271" s="1" t="s">
        <v>14435</v>
      </c>
      <c r="B1271" s="1" t="s">
        <v>3471</v>
      </c>
      <c r="C1271" s="1" t="str">
        <f>IFERROR(VLOOKUP(B1271,'SB1'!$A$2:$B$999999,2,FALSE),"")</f>
        <v>IMPERMEABILIZANTE PARA FRENTES Y MUROS DURALBA MATE BASE T X  3,600</v>
      </c>
      <c r="D1271" s="1" t="s">
        <v>14480</v>
      </c>
      <c r="E1271" s="3">
        <f>IFERROR(VLOOKUP(B1271,'DA1'!$B$2:$D$999999,3,FALSE),"")</f>
      </c>
      <c r="F1271" s="1" t="str">
        <f>IFERROR(VLOOKUP(B1271,'SB1'!$A$2:$C$999999,3,FALSE),"")</f>
        <v>503</v>
      </c>
      <c r="G1271" s="3" t="e">
        <f t="shared" si="43"/>
        <v>#VALUE!</v>
      </c>
      <c r="H1271" s="3" t="e">
        <f t="shared" si="44"/>
        <v>#VALUE!</v>
      </c>
      <c r="I1271" s="1">
        <v>1</v>
      </c>
    </row>
    <row r="1272" spans="1:9" x14ac:dyDescent="0.25">
      <c r="A1272" s="1" t="s">
        <v>14435</v>
      </c>
      <c r="B1272" s="1" t="s">
        <v>3473</v>
      </c>
      <c r="C1272" s="1" t="str">
        <f>IFERROR(VLOOKUP(B1272,'SB1'!$A$2:$B$999999,2,FALSE),"")</f>
        <v>IMPERMEABILIZANTE PARA FRENTES Y MUROS DURALBA MATE BASE T X 17,400</v>
      </c>
      <c r="D1272" s="1" t="s">
        <v>14480</v>
      </c>
      <c r="E1272" s="3">
        <f>IFERROR(VLOOKUP(B1272,'DA1'!$B$2:$D$999999,3,FALSE),"")</f>
      </c>
      <c r="F1272" s="1" t="str">
        <f>IFERROR(VLOOKUP(B1272,'SB1'!$A$2:$C$999999,3,FALSE),"")</f>
        <v>503</v>
      </c>
      <c r="G1272" s="3" t="e">
        <f t="shared" si="43"/>
        <v>#VALUE!</v>
      </c>
      <c r="H1272" s="3" t="e">
        <f t="shared" si="44"/>
        <v>#VALUE!</v>
      </c>
      <c r="I1272" s="1">
        <v>1</v>
      </c>
    </row>
    <row r="1273" spans="1:9" x14ac:dyDescent="0.25">
      <c r="A1273" s="1" t="s">
        <v>14435</v>
      </c>
      <c r="B1273" s="1" t="s">
        <v>3475</v>
      </c>
      <c r="C1273" s="1" t="str">
        <f>IFERROR(VLOOKUP(B1273,'SB1'!$A$2:$B$999999,2,FALSE),"")</f>
        <v>ADHESIVO DE MONTAJE EL PULPITO X 0,240</v>
      </c>
      <c r="D1273" s="1" t="s">
        <v>14459</v>
      </c>
      <c r="E1273" s="3">
        <f>IFERROR(VLOOKUP(B1273,'DA1'!$B$2:$D$999999,3,FALSE),"")</f>
      </c>
      <c r="F1273" s="1" t="str">
        <f>IFERROR(VLOOKUP(B1273,'SB1'!$A$2:$C$999999,3,FALSE),"")</f>
        <v>503</v>
      </c>
      <c r="G1273" s="3" t="e">
        <f t="shared" si="43"/>
        <v>#VALUE!</v>
      </c>
      <c r="H1273" s="3" t="e">
        <f t="shared" si="44"/>
        <v>#VALUE!</v>
      </c>
      <c r="I1273" s="1">
        <v>1</v>
      </c>
    </row>
    <row r="1274" spans="1:9" x14ac:dyDescent="0.25">
      <c r="A1274" s="1" t="s">
        <v>14435</v>
      </c>
      <c r="B1274" s="1" t="s">
        <v>3477</v>
      </c>
      <c r="C1274" s="1" t="str">
        <f>IFERROR(VLOOKUP(B1274,'SB1'!$A$2:$B$999999,2,FALSE),"")</f>
        <v>ADHESIVO DE MONTAJE EL PULPITO X 0,400</v>
      </c>
      <c r="D1274" s="1" t="s">
        <v>14459</v>
      </c>
      <c r="E1274" s="3">
        <f>IFERROR(VLOOKUP(B1274,'DA1'!$B$2:$D$999999,3,FALSE),"")</f>
      </c>
      <c r="F1274" s="1" t="str">
        <f>IFERROR(VLOOKUP(B1274,'SB1'!$A$2:$C$999999,3,FALSE),"")</f>
        <v>503</v>
      </c>
      <c r="G1274" s="3" t="e">
        <f t="shared" si="43"/>
        <v>#VALUE!</v>
      </c>
      <c r="H1274" s="3" t="e">
        <f t="shared" si="44"/>
        <v>#VALUE!</v>
      </c>
      <c r="I1274" s="1">
        <v>1</v>
      </c>
    </row>
    <row r="1275" spans="1:9" x14ac:dyDescent="0.25">
      <c r="A1275" s="1" t="s">
        <v>14435</v>
      </c>
      <c r="B1275" s="1" t="s">
        <v>3481</v>
      </c>
      <c r="C1275" s="1" t="str">
        <f>IFERROR(VLOOKUP(B1275,'SB1'!$A$2:$B$999999,2,FALSE),"")</f>
        <v>FONDO ANTIOXIDO ALBA INDUSTRIAL GRIS X 20</v>
      </c>
      <c r="D1275" s="1" t="s">
        <v>14479</v>
      </c>
      <c r="E1275" s="3">
        <f>IFERROR(VLOOKUP(B1275,'DA1'!$B$2:$D$999999,3,FALSE),"")</f>
      </c>
      <c r="F1275" s="1" t="str">
        <f>IFERROR(VLOOKUP(B1275,'SB1'!$A$2:$C$999999,3,FALSE),"")</f>
        <v>503</v>
      </c>
      <c r="G1275" s="3" t="e">
        <f t="shared" si="43"/>
        <v>#VALUE!</v>
      </c>
      <c r="H1275" s="3" t="e">
        <f t="shared" si="44"/>
        <v>#VALUE!</v>
      </c>
      <c r="I1275" s="1">
        <v>1</v>
      </c>
    </row>
    <row r="1276" spans="1:9" x14ac:dyDescent="0.25">
      <c r="A1276" s="1" t="s">
        <v>14435</v>
      </c>
      <c r="B1276" s="1" t="s">
        <v>3487</v>
      </c>
      <c r="C1276" s="1" t="str">
        <f>IFERROR(VLOOKUP(B1276,'SB1'!$A$2:$B$999999,2,FALSE),"")</f>
        <v>IMPERMEABILIZANTE PARA TECHOS DURALBA FIBRADO SATINADO TEJA X  4</v>
      </c>
      <c r="D1276" s="1" t="s">
        <v>14439</v>
      </c>
      <c r="E1276" s="3">
        <f>IFERROR(VLOOKUP(B1276,'DA1'!$B$2:$D$999999,3,FALSE),"")</f>
      </c>
      <c r="F1276" s="1" t="str">
        <f>IFERROR(VLOOKUP(B1276,'SB1'!$A$2:$C$999999,3,FALSE),"")</f>
        <v>503</v>
      </c>
      <c r="G1276" s="3" t="e">
        <f t="shared" si="43"/>
        <v>#VALUE!</v>
      </c>
      <c r="H1276" s="3" t="e">
        <f t="shared" si="44"/>
        <v>#VALUE!</v>
      </c>
      <c r="I1276" s="1">
        <v>1</v>
      </c>
    </row>
    <row r="1277" spans="1:9" x14ac:dyDescent="0.25">
      <c r="A1277" s="1" t="s">
        <v>14435</v>
      </c>
      <c r="B1277" s="1" t="s">
        <v>3489</v>
      </c>
      <c r="C1277" s="1" t="str">
        <f>IFERROR(VLOOKUP(B1277,'SB1'!$A$2:$B$999999,2,FALSE),"")</f>
        <v>IMPERMEABILIZANTE PARA TECHOS DURALBA FIBRADO SATINADO TEJA X 10</v>
      </c>
      <c r="D1277" s="1" t="s">
        <v>14439</v>
      </c>
      <c r="E1277" s="3">
        <f>IFERROR(VLOOKUP(B1277,'DA1'!$B$2:$D$999999,3,FALSE),"")</f>
      </c>
      <c r="F1277" s="1" t="str">
        <f>IFERROR(VLOOKUP(B1277,'SB1'!$A$2:$C$999999,3,FALSE),"")</f>
        <v>503</v>
      </c>
      <c r="G1277" s="3" t="e">
        <f t="shared" si="43"/>
        <v>#VALUE!</v>
      </c>
      <c r="H1277" s="3" t="e">
        <f t="shared" si="44"/>
        <v>#VALUE!</v>
      </c>
      <c r="I1277" s="1">
        <v>1</v>
      </c>
    </row>
    <row r="1278" spans="1:9" x14ac:dyDescent="0.25">
      <c r="A1278" s="1" t="s">
        <v>14435</v>
      </c>
      <c r="B1278" s="1" t="s">
        <v>3491</v>
      </c>
      <c r="C1278" s="1" t="str">
        <f>IFERROR(VLOOKUP(B1278,'SB1'!$A$2:$B$999999,2,FALSE),"")</f>
        <v>IMPERMEABILIZANTE PARA TECHOS DURALBA FIBRADO SATINADO TEJA X 20</v>
      </c>
      <c r="D1278" s="1" t="s">
        <v>14439</v>
      </c>
      <c r="E1278" s="3">
        <f>IFERROR(VLOOKUP(B1278,'DA1'!$B$2:$D$999999,3,FALSE),"")</f>
      </c>
      <c r="F1278" s="1" t="str">
        <f>IFERROR(VLOOKUP(B1278,'SB1'!$A$2:$C$999999,3,FALSE),"")</f>
        <v>503</v>
      </c>
      <c r="G1278" s="3" t="e">
        <f t="shared" si="43"/>
        <v>#VALUE!</v>
      </c>
      <c r="H1278" s="3" t="e">
        <f t="shared" si="44"/>
        <v>#VALUE!</v>
      </c>
      <c r="I1278" s="1">
        <v>1</v>
      </c>
    </row>
    <row r="1279" spans="1:9" x14ac:dyDescent="0.25">
      <c r="A1279" s="1" t="s">
        <v>14435</v>
      </c>
      <c r="B1279" s="1" t="s">
        <v>3493</v>
      </c>
      <c r="C1279" s="1" t="str">
        <f>IFERROR(VLOOKUP(B1279,'SB1'!$A$2:$B$999999,2,FALSE),"")</f>
        <v>PROTECTOR PARA PISO PETRILAC CLINSY TRANSPARENTE X 1</v>
      </c>
      <c r="D1279" s="1" t="s">
        <v>14449</v>
      </c>
      <c r="E1279" s="3">
        <f>IFERROR(VLOOKUP(B1279,'DA1'!$B$2:$D$999999,3,FALSE),"")</f>
      </c>
      <c r="F1279" s="1" t="str">
        <f>IFERROR(VLOOKUP(B1279,'SB1'!$A$2:$C$999999,3,FALSE),"")</f>
        <v>503</v>
      </c>
      <c r="G1279" s="3" t="e">
        <f t="shared" si="43"/>
        <v>#VALUE!</v>
      </c>
      <c r="H1279" s="3" t="e">
        <f t="shared" si="44"/>
        <v>#VALUE!</v>
      </c>
      <c r="I1279" s="1">
        <v>1</v>
      </c>
    </row>
    <row r="1280" spans="1:9" x14ac:dyDescent="0.25">
      <c r="A1280" s="1" t="s">
        <v>14435</v>
      </c>
      <c r="B1280" s="1" t="s">
        <v>3495</v>
      </c>
      <c r="C1280" s="1" t="str">
        <f>IFERROR(VLOOKUP(B1280,'SB1'!$A$2:$B$999999,2,FALSE),"")</f>
        <v>PROTECTOR PARA PISO PETRILAC CLINSY NEGRO X 1</v>
      </c>
      <c r="D1280" s="1" t="s">
        <v>14449</v>
      </c>
      <c r="E1280" s="3">
        <f>IFERROR(VLOOKUP(B1280,'DA1'!$B$2:$D$999999,3,FALSE),"")</f>
      </c>
      <c r="F1280" s="1" t="str">
        <f>IFERROR(VLOOKUP(B1280,'SB1'!$A$2:$C$999999,3,FALSE),"")</f>
        <v>503</v>
      </c>
      <c r="G1280" s="3" t="e">
        <f t="shared" si="43"/>
        <v>#VALUE!</v>
      </c>
      <c r="H1280" s="3" t="e">
        <f t="shared" si="44"/>
        <v>#VALUE!</v>
      </c>
      <c r="I1280" s="1">
        <v>1</v>
      </c>
    </row>
    <row r="1281" spans="1:9" x14ac:dyDescent="0.25">
      <c r="A1281" s="1" t="s">
        <v>14435</v>
      </c>
      <c r="B1281" s="1" t="s">
        <v>3497</v>
      </c>
      <c r="C1281" s="1" t="str">
        <f>IFERROR(VLOOKUP(B1281,'SB1'!$A$2:$B$999999,2,FALSE),"")</f>
        <v>PROTECTOR PARA PISO PETRILAC CLINSY ROJO X 1</v>
      </c>
      <c r="D1281" s="1" t="s">
        <v>14449</v>
      </c>
      <c r="E1281" s="3">
        <f>IFERROR(VLOOKUP(B1281,'DA1'!$B$2:$D$999999,3,FALSE),"")</f>
      </c>
      <c r="F1281" s="1" t="str">
        <f>IFERROR(VLOOKUP(B1281,'SB1'!$A$2:$C$999999,3,FALSE),"")</f>
        <v>503</v>
      </c>
      <c r="G1281" s="3" t="e">
        <f t="shared" si="43"/>
        <v>#VALUE!</v>
      </c>
      <c r="H1281" s="3" t="e">
        <f t="shared" si="44"/>
        <v>#VALUE!</v>
      </c>
      <c r="I1281" s="1">
        <v>1</v>
      </c>
    </row>
    <row r="1282" spans="1:9" x14ac:dyDescent="0.25">
      <c r="A1282" s="1" t="s">
        <v>14435</v>
      </c>
      <c r="B1282" s="1" t="s">
        <v>3499</v>
      </c>
      <c r="C1282" s="1" t="str">
        <f>IFERROR(VLOOKUP(B1282,'SB1'!$A$2:$B$999999,2,FALSE),"")</f>
        <v>REMOVEDOR PETRILAC AUTOBRILLO X 1</v>
      </c>
      <c r="D1282" s="1" t="s">
        <v>14449</v>
      </c>
      <c r="E1282" s="3">
        <f>IFERROR(VLOOKUP(B1282,'DA1'!$B$2:$D$999999,3,FALSE),"")</f>
      </c>
      <c r="F1282" s="1" t="str">
        <f>IFERROR(VLOOKUP(B1282,'SB1'!$A$2:$C$999999,3,FALSE),"")</f>
        <v>503</v>
      </c>
      <c r="G1282" s="3" t="e">
        <f t="shared" si="43"/>
        <v>#VALUE!</v>
      </c>
      <c r="H1282" s="3" t="e">
        <f t="shared" si="44"/>
        <v>#VALUE!</v>
      </c>
      <c r="I1282" s="1">
        <v>1</v>
      </c>
    </row>
    <row r="1283" spans="1:9" x14ac:dyDescent="0.25">
      <c r="A1283" s="1" t="s">
        <v>14435</v>
      </c>
      <c r="B1283" s="1" t="s">
        <v>3501</v>
      </c>
      <c r="C1283" s="1" t="str">
        <f>IFERROR(VLOOKUP(B1283,'SB1'!$A$2:$B$999999,2,FALSE),"")</f>
        <v>FIJADOR PARA PARED TERSUAVE AL AGUA X  1</v>
      </c>
      <c r="D1283" s="1" t="s">
        <v>14437</v>
      </c>
      <c r="E1283" s="3">
        <f>IFERROR(VLOOKUP(B1283,'DA1'!$B$2:$D$999999,3,FALSE),"")</f>
      </c>
      <c r="F1283" s="1" t="str">
        <f>IFERROR(VLOOKUP(B1283,'SB1'!$A$2:$C$999999,3,FALSE),"")</f>
        <v>503</v>
      </c>
      <c r="G1283" s="3" t="e">
        <f t="shared" ref="G1283:G1346" si="45">E1283*1.04</f>
        <v>#VALUE!</v>
      </c>
      <c r="H1283" s="3" t="e">
        <f t="shared" si="44"/>
        <v>#VALUE!</v>
      </c>
      <c r="I1283" s="1">
        <v>1</v>
      </c>
    </row>
    <row r="1284" spans="1:9" x14ac:dyDescent="0.25">
      <c r="A1284" s="1" t="s">
        <v>14435</v>
      </c>
      <c r="B1284" s="1" t="s">
        <v>3503</v>
      </c>
      <c r="C1284" s="1" t="str">
        <f>IFERROR(VLOOKUP(B1284,'SB1'!$A$2:$B$999999,2,FALSE),"")</f>
        <v>FIJADOR PARA PARED TERSUAVE AL AGUA X  4</v>
      </c>
      <c r="D1284" s="1" t="s">
        <v>14437</v>
      </c>
      <c r="E1284" s="3">
        <f>IFERROR(VLOOKUP(B1284,'DA1'!$B$2:$D$999999,3,FALSE),"")</f>
      </c>
      <c r="F1284" s="1" t="str">
        <f>IFERROR(VLOOKUP(B1284,'SB1'!$A$2:$C$999999,3,FALSE),"")</f>
        <v>503</v>
      </c>
      <c r="G1284" s="3" t="e">
        <f t="shared" si="45"/>
        <v>#VALUE!</v>
      </c>
      <c r="H1284" s="3" t="e">
        <f t="shared" si="44"/>
        <v>#VALUE!</v>
      </c>
      <c r="I1284" s="1">
        <v>1</v>
      </c>
    </row>
    <row r="1285" spans="1:9" x14ac:dyDescent="0.25">
      <c r="A1285" s="1" t="s">
        <v>14435</v>
      </c>
      <c r="B1285" s="1" t="s">
        <v>3505</v>
      </c>
      <c r="C1285" s="1" t="str">
        <f>IFERROR(VLOOKUP(B1285,'SB1'!$A$2:$B$999999,2,FALSE),"")</f>
        <v>FIJADOR PARA PARED TERSUAVE AL AGUA X 10</v>
      </c>
      <c r="D1285" s="1" t="s">
        <v>14437</v>
      </c>
      <c r="E1285" s="3">
        <f>IFERROR(VLOOKUP(B1285,'DA1'!$B$2:$D$999999,3,FALSE),"")</f>
      </c>
      <c r="F1285" s="1" t="str">
        <f>IFERROR(VLOOKUP(B1285,'SB1'!$A$2:$C$999999,3,FALSE),"")</f>
        <v>503</v>
      </c>
      <c r="G1285" s="3" t="e">
        <f t="shared" si="45"/>
        <v>#VALUE!</v>
      </c>
      <c r="H1285" s="3" t="e">
        <f t="shared" si="44"/>
        <v>#VALUE!</v>
      </c>
      <c r="I1285" s="1">
        <v>1</v>
      </c>
    </row>
    <row r="1286" spans="1:9" x14ac:dyDescent="0.25">
      <c r="A1286" s="1" t="s">
        <v>14435</v>
      </c>
      <c r="B1286" s="1" t="s">
        <v>3507</v>
      </c>
      <c r="C1286" s="1" t="str">
        <f>IFERROR(VLOOKUP(B1286,'SB1'!$A$2:$B$999999,2,FALSE),"")</f>
        <v>FIJADOR PARA PARED TERSUAVE AL AGUA X 20</v>
      </c>
      <c r="D1286" s="1" t="s">
        <v>14437</v>
      </c>
      <c r="E1286" s="3">
        <f>IFERROR(VLOOKUP(B1286,'DA1'!$B$2:$D$999999,3,FALSE),"")</f>
      </c>
      <c r="F1286" s="1" t="str">
        <f>IFERROR(VLOOKUP(B1286,'SB1'!$A$2:$C$999999,3,FALSE),"")</f>
        <v>503</v>
      </c>
      <c r="G1286" s="3" t="e">
        <f t="shared" si="45"/>
        <v>#VALUE!</v>
      </c>
      <c r="H1286" s="3" t="e">
        <f t="shared" si="44"/>
        <v>#VALUE!</v>
      </c>
      <c r="I1286" s="1">
        <v>1</v>
      </c>
    </row>
    <row r="1287" spans="1:9" x14ac:dyDescent="0.25">
      <c r="A1287" s="1" t="s">
        <v>14435</v>
      </c>
      <c r="B1287" s="1" t="s">
        <v>3515</v>
      </c>
      <c r="C1287" s="1" t="str">
        <f>IFERROR(VLOOKUP(B1287,'SB1'!$A$2:$B$999999,2,FALSE),"")</f>
        <v>LIJA ULTRA DOBLE A N 100</v>
      </c>
      <c r="D1287" s="1" t="s">
        <v>14451</v>
      </c>
      <c r="E1287" s="3">
        <f>IFERROR(VLOOKUP(B1287,'DA1'!$B$2:$D$999999,3,FALSE),"")</f>
      </c>
      <c r="F1287" s="1" t="str">
        <f>IFERROR(VLOOKUP(B1287,'SB1'!$A$2:$C$999999,3,FALSE),"")</f>
        <v>503</v>
      </c>
      <c r="G1287" s="3" t="e">
        <f t="shared" si="45"/>
        <v>#VALUE!</v>
      </c>
      <c r="H1287" s="3" t="e">
        <f t="shared" si="44"/>
        <v>#VALUE!</v>
      </c>
      <c r="I1287" s="1">
        <v>1</v>
      </c>
    </row>
    <row r="1288" spans="1:9" x14ac:dyDescent="0.25">
      <c r="A1288" s="1" t="s">
        <v>14435</v>
      </c>
      <c r="B1288" s="1" t="s">
        <v>3519</v>
      </c>
      <c r="C1288" s="1" t="str">
        <f>IFERROR(VLOOKUP(B1288,'SB1'!$A$2:$B$999999,2,FALSE),"")</f>
        <v>LIJA ULTRA DOBLE A N 150</v>
      </c>
      <c r="D1288" s="1" t="s">
        <v>14451</v>
      </c>
      <c r="E1288" s="3">
        <f>IFERROR(VLOOKUP(B1288,'DA1'!$B$2:$D$999999,3,FALSE),"")</f>
      </c>
      <c r="F1288" s="1" t="str">
        <f>IFERROR(VLOOKUP(B1288,'SB1'!$A$2:$C$999999,3,FALSE),"")</f>
        <v>503</v>
      </c>
      <c r="G1288" s="3" t="e">
        <f t="shared" si="45"/>
        <v>#VALUE!</v>
      </c>
      <c r="H1288" s="3" t="e">
        <f t="shared" si="44"/>
        <v>#VALUE!</v>
      </c>
      <c r="I1288" s="1">
        <v>1</v>
      </c>
    </row>
    <row r="1289" spans="1:9" x14ac:dyDescent="0.25">
      <c r="A1289" s="1" t="s">
        <v>14435</v>
      </c>
      <c r="B1289" s="1" t="s">
        <v>3521</v>
      </c>
      <c r="C1289" s="1" t="str">
        <f>IFERROR(VLOOKUP(B1289,'SB1'!$A$2:$B$999999,2,FALSE),"")</f>
        <v>LIJA ULTRA DOBLE A N 180</v>
      </c>
      <c r="D1289" s="1" t="s">
        <v>14451</v>
      </c>
      <c r="E1289" s="3">
        <f>IFERROR(VLOOKUP(B1289,'DA1'!$B$2:$D$999999,3,FALSE),"")</f>
      </c>
      <c r="F1289" s="1" t="str">
        <f>IFERROR(VLOOKUP(B1289,'SB1'!$A$2:$C$999999,3,FALSE),"")</f>
        <v>503</v>
      </c>
      <c r="G1289" s="3" t="e">
        <f t="shared" si="45"/>
        <v>#VALUE!</v>
      </c>
      <c r="H1289" s="3" t="e">
        <f t="shared" si="44"/>
        <v>#VALUE!</v>
      </c>
      <c r="I1289" s="1">
        <v>1</v>
      </c>
    </row>
    <row r="1290" spans="1:9" x14ac:dyDescent="0.25">
      <c r="A1290" s="1" t="s">
        <v>14435</v>
      </c>
      <c r="B1290" s="1" t="s">
        <v>3523</v>
      </c>
      <c r="C1290" s="1" t="str">
        <f>IFERROR(VLOOKUP(B1290,'SB1'!$A$2:$B$999999,2,FALSE),"")</f>
        <v>LIJA ULTRA DOBLE A N 220</v>
      </c>
      <c r="D1290" s="1" t="s">
        <v>14451</v>
      </c>
      <c r="E1290" s="3">
        <f>IFERROR(VLOOKUP(B1290,'DA1'!$B$2:$D$999999,3,FALSE),"")</f>
      </c>
      <c r="F1290" s="1" t="str">
        <f>IFERROR(VLOOKUP(B1290,'SB1'!$A$2:$C$999999,3,FALSE),"")</f>
        <v>503</v>
      </c>
      <c r="G1290" s="3" t="e">
        <f t="shared" si="45"/>
        <v>#VALUE!</v>
      </c>
      <c r="H1290" s="3" t="e">
        <f t="shared" si="44"/>
        <v>#VALUE!</v>
      </c>
      <c r="I1290" s="1">
        <v>1</v>
      </c>
    </row>
    <row r="1291" spans="1:9" x14ac:dyDescent="0.25">
      <c r="A1291" s="1" t="s">
        <v>14435</v>
      </c>
      <c r="B1291" s="1" t="s">
        <v>3525</v>
      </c>
      <c r="C1291" s="1" t="str">
        <f>IFERROR(VLOOKUP(B1291,'SB1'!$A$2:$B$999999,2,FALSE),"")</f>
        <v>LIJA ULTRA DOBLE A N 240</v>
      </c>
      <c r="D1291" s="1" t="s">
        <v>14451</v>
      </c>
      <c r="E1291" s="3">
        <f>IFERROR(VLOOKUP(B1291,'DA1'!$B$2:$D$999999,3,FALSE),"")</f>
      </c>
      <c r="F1291" s="1" t="str">
        <f>IFERROR(VLOOKUP(B1291,'SB1'!$A$2:$C$999999,3,FALSE),"")</f>
        <v>503</v>
      </c>
      <c r="G1291" s="3" t="e">
        <f t="shared" si="45"/>
        <v>#VALUE!</v>
      </c>
      <c r="H1291" s="3" t="e">
        <f t="shared" si="44"/>
        <v>#VALUE!</v>
      </c>
      <c r="I1291" s="1">
        <v>1</v>
      </c>
    </row>
    <row r="1292" spans="1:9" x14ac:dyDescent="0.25">
      <c r="A1292" s="1" t="s">
        <v>14435</v>
      </c>
      <c r="B1292" s="1" t="s">
        <v>3527</v>
      </c>
      <c r="C1292" s="1" t="str">
        <f>IFERROR(VLOOKUP(B1292,'SB1'!$A$2:$B$999999,2,FALSE),"")</f>
        <v>LIJA ULTRA DOBLE A N 280</v>
      </c>
      <c r="D1292" s="1" t="s">
        <v>14451</v>
      </c>
      <c r="E1292" s="3">
        <f>IFERROR(VLOOKUP(B1292,'DA1'!$B$2:$D$999999,3,FALSE),"")</f>
      </c>
      <c r="F1292" s="1" t="str">
        <f>IFERROR(VLOOKUP(B1292,'SB1'!$A$2:$C$999999,3,FALSE),"")</f>
        <v>503</v>
      </c>
      <c r="G1292" s="3" t="e">
        <f t="shared" si="45"/>
        <v>#VALUE!</v>
      </c>
      <c r="H1292" s="3" t="e">
        <f t="shared" si="44"/>
        <v>#VALUE!</v>
      </c>
      <c r="I1292" s="1">
        <v>1</v>
      </c>
    </row>
    <row r="1293" spans="1:9" x14ac:dyDescent="0.25">
      <c r="A1293" s="1" t="s">
        <v>14435</v>
      </c>
      <c r="B1293" s="1" t="s">
        <v>3529</v>
      </c>
      <c r="C1293" s="1" t="str">
        <f>IFERROR(VLOOKUP(B1293,'SB1'!$A$2:$B$999999,2,FALSE),"")</f>
        <v>LIJA ULTRA DOBLE A N 320</v>
      </c>
      <c r="D1293" s="1" t="s">
        <v>14451</v>
      </c>
      <c r="E1293" s="3">
        <f>IFERROR(VLOOKUP(B1293,'DA1'!$B$2:$D$999999,3,FALSE),"")</f>
      </c>
      <c r="F1293" s="1" t="str">
        <f>IFERROR(VLOOKUP(B1293,'SB1'!$A$2:$C$999999,3,FALSE),"")</f>
        <v>503</v>
      </c>
      <c r="G1293" s="3" t="e">
        <f t="shared" si="45"/>
        <v>#VALUE!</v>
      </c>
      <c r="H1293" s="3" t="e">
        <f t="shared" si="44"/>
        <v>#VALUE!</v>
      </c>
      <c r="I1293" s="1">
        <v>1</v>
      </c>
    </row>
    <row r="1294" spans="1:9" x14ac:dyDescent="0.25">
      <c r="A1294" s="1" t="s">
        <v>14435</v>
      </c>
      <c r="B1294" s="1" t="s">
        <v>3531</v>
      </c>
      <c r="C1294" s="1" t="str">
        <f>IFERROR(VLOOKUP(B1294,'SB1'!$A$2:$B$999999,2,FALSE),"")</f>
        <v>LIJA ULTRA DOBLE A N 360</v>
      </c>
      <c r="D1294" s="1" t="s">
        <v>14451</v>
      </c>
      <c r="E1294" s="3">
        <f>IFERROR(VLOOKUP(B1294,'DA1'!$B$2:$D$999999,3,FALSE),"")</f>
      </c>
      <c r="F1294" s="1" t="str">
        <f>IFERROR(VLOOKUP(B1294,'SB1'!$A$2:$C$999999,3,FALSE),"")</f>
        <v>503</v>
      </c>
      <c r="G1294" s="3" t="e">
        <f t="shared" si="45"/>
        <v>#VALUE!</v>
      </c>
      <c r="H1294" s="3" t="e">
        <f t="shared" si="44"/>
        <v>#VALUE!</v>
      </c>
      <c r="I1294" s="1">
        <v>1</v>
      </c>
    </row>
    <row r="1295" spans="1:9" x14ac:dyDescent="0.25">
      <c r="A1295" s="1" t="s">
        <v>14435</v>
      </c>
      <c r="B1295" s="1" t="s">
        <v>3533</v>
      </c>
      <c r="C1295" s="1" t="str">
        <f>IFERROR(VLOOKUP(B1295,'SB1'!$A$2:$B$999999,2,FALSE),"")</f>
        <v>LIJA ULTRA DOBLE A N 400</v>
      </c>
      <c r="D1295" s="1" t="s">
        <v>14451</v>
      </c>
      <c r="E1295" s="3">
        <f>IFERROR(VLOOKUP(B1295,'DA1'!$B$2:$D$999999,3,FALSE),"")</f>
      </c>
      <c r="F1295" s="1" t="str">
        <f>IFERROR(VLOOKUP(B1295,'SB1'!$A$2:$C$999999,3,FALSE),"")</f>
        <v>503</v>
      </c>
      <c r="G1295" s="3" t="e">
        <f t="shared" si="45"/>
        <v>#VALUE!</v>
      </c>
      <c r="H1295" s="3" t="e">
        <f t="shared" si="44"/>
        <v>#VALUE!</v>
      </c>
      <c r="I1295" s="1">
        <v>1</v>
      </c>
    </row>
    <row r="1296" spans="1:9" x14ac:dyDescent="0.25">
      <c r="A1296" s="1" t="s">
        <v>14435</v>
      </c>
      <c r="B1296" s="1" t="s">
        <v>3535</v>
      </c>
      <c r="C1296" s="1" t="str">
        <f>IFERROR(VLOOKUP(B1296,'SB1'!$A$2:$B$999999,2,FALSE),"")</f>
        <v>LIJA ULTRA DOBLE A N 500</v>
      </c>
      <c r="D1296" s="1" t="s">
        <v>14451</v>
      </c>
      <c r="E1296" s="3">
        <f>IFERROR(VLOOKUP(B1296,'DA1'!$B$2:$D$999999,3,FALSE),"")</f>
      </c>
      <c r="F1296" s="1" t="str">
        <f>IFERROR(VLOOKUP(B1296,'SB1'!$A$2:$C$999999,3,FALSE),"")</f>
        <v>503</v>
      </c>
      <c r="G1296" s="3" t="e">
        <f t="shared" si="45"/>
        <v>#VALUE!</v>
      </c>
      <c r="H1296" s="3" t="e">
        <f t="shared" si="44"/>
        <v>#VALUE!</v>
      </c>
      <c r="I1296" s="1">
        <v>1</v>
      </c>
    </row>
    <row r="1297" spans="1:9" x14ac:dyDescent="0.25">
      <c r="A1297" s="1" t="s">
        <v>14435</v>
      </c>
      <c r="B1297" s="1" t="s">
        <v>3537</v>
      </c>
      <c r="C1297" s="1" t="str">
        <f>IFERROR(VLOOKUP(B1297,'SB1'!$A$2:$B$999999,2,FALSE),"")</f>
        <v>LIJA ULTRA DOBLE A N 600</v>
      </c>
      <c r="D1297" s="1" t="s">
        <v>14451</v>
      </c>
      <c r="E1297" s="3">
        <f>IFERROR(VLOOKUP(B1297,'DA1'!$B$2:$D$999999,3,FALSE),"")</f>
      </c>
      <c r="F1297" s="1" t="str">
        <f>IFERROR(VLOOKUP(B1297,'SB1'!$A$2:$C$999999,3,FALSE),"")</f>
        <v>503</v>
      </c>
      <c r="G1297" s="3" t="e">
        <f t="shared" si="45"/>
        <v>#VALUE!</v>
      </c>
      <c r="H1297" s="3" t="e">
        <f t="shared" si="44"/>
        <v>#VALUE!</v>
      </c>
      <c r="I1297" s="1">
        <v>1</v>
      </c>
    </row>
    <row r="1298" spans="1:9" x14ac:dyDescent="0.25">
      <c r="A1298" s="1" t="s">
        <v>14435</v>
      </c>
      <c r="B1298" s="1" t="s">
        <v>3539</v>
      </c>
      <c r="C1298" s="1" t="str">
        <f>IFERROR(VLOOKUP(B1298,'SB1'!$A$2:$B$999999,2,FALSE),"")</f>
        <v>LIJA ULTRA DOBLE A N 800</v>
      </c>
      <c r="D1298" s="1" t="s">
        <v>14451</v>
      </c>
      <c r="E1298" s="3">
        <f>IFERROR(VLOOKUP(B1298,'DA1'!$B$2:$D$999999,3,FALSE),"")</f>
      </c>
      <c r="F1298" s="1" t="str">
        <f>IFERROR(VLOOKUP(B1298,'SB1'!$A$2:$C$999999,3,FALSE),"")</f>
        <v>503</v>
      </c>
      <c r="G1298" s="3" t="e">
        <f t="shared" si="45"/>
        <v>#VALUE!</v>
      </c>
      <c r="H1298" s="3" t="e">
        <f t="shared" si="44"/>
        <v>#VALUE!</v>
      </c>
      <c r="I1298" s="1">
        <v>1</v>
      </c>
    </row>
    <row r="1299" spans="1:9" x14ac:dyDescent="0.25">
      <c r="A1299" s="1" t="s">
        <v>14435</v>
      </c>
      <c r="B1299" s="1" t="s">
        <v>3557</v>
      </c>
      <c r="C1299" s="1" t="str">
        <f>IFERROR(VLOOKUP(B1299,'SB1'!$A$2:$B$999999,2,FALSE),"")</f>
        <v>LATEX INTERIOR RECUPLAST MATE BLANCO X  1</v>
      </c>
      <c r="D1299" s="1" t="s">
        <v>14463</v>
      </c>
      <c r="E1299" s="3">
        <f>IFERROR(VLOOKUP(B1299,'DA1'!$B$2:$D$999999,3,FALSE),"")</f>
      </c>
      <c r="F1299" s="1" t="str">
        <f>IFERROR(VLOOKUP(B1299,'SB1'!$A$2:$C$999999,3,FALSE),"")</f>
        <v>503</v>
      </c>
      <c r="G1299" s="3" t="e">
        <f t="shared" si="45"/>
        <v>#VALUE!</v>
      </c>
      <c r="H1299" s="3" t="e">
        <f t="shared" si="44"/>
        <v>#VALUE!</v>
      </c>
      <c r="I1299" s="1">
        <v>1</v>
      </c>
    </row>
    <row r="1300" spans="1:9" x14ac:dyDescent="0.25">
      <c r="A1300" s="1" t="s">
        <v>14435</v>
      </c>
      <c r="B1300" s="1" t="s">
        <v>3559</v>
      </c>
      <c r="C1300" s="1" t="str">
        <f>IFERROR(VLOOKUP(B1300,'SB1'!$A$2:$B$999999,2,FALSE),"")</f>
        <v>LATEX INTERIOR RECUPLAST MATE BLANCO X  4</v>
      </c>
      <c r="D1300" s="1" t="s">
        <v>14463</v>
      </c>
      <c r="E1300" s="3">
        <f>IFERROR(VLOOKUP(B1300,'DA1'!$B$2:$D$999999,3,FALSE),"")</f>
      </c>
      <c r="F1300" s="1" t="str">
        <f>IFERROR(VLOOKUP(B1300,'SB1'!$A$2:$C$999999,3,FALSE),"")</f>
        <v>503</v>
      </c>
      <c r="G1300" s="3" t="e">
        <f t="shared" si="45"/>
        <v>#VALUE!</v>
      </c>
      <c r="H1300" s="3" t="e">
        <f t="shared" si="44"/>
        <v>#VALUE!</v>
      </c>
      <c r="I1300" s="1">
        <v>1</v>
      </c>
    </row>
    <row r="1301" spans="1:9" x14ac:dyDescent="0.25">
      <c r="A1301" s="1" t="s">
        <v>14435</v>
      </c>
      <c r="B1301" s="1" t="s">
        <v>3561</v>
      </c>
      <c r="C1301" s="1" t="str">
        <f>IFERROR(VLOOKUP(B1301,'SB1'!$A$2:$B$999999,2,FALSE),"")</f>
        <v>LATEX INTERIOR RECUPLAST MATE BLANCO X 10</v>
      </c>
      <c r="D1301" s="1" t="s">
        <v>14463</v>
      </c>
      <c r="E1301" s="3">
        <f>IFERROR(VLOOKUP(B1301,'DA1'!$B$2:$D$999999,3,FALSE),"")</f>
      </c>
      <c r="F1301" s="1" t="str">
        <f>IFERROR(VLOOKUP(B1301,'SB1'!$A$2:$C$999999,3,FALSE),"")</f>
        <v>503</v>
      </c>
      <c r="G1301" s="3" t="e">
        <f t="shared" si="45"/>
        <v>#VALUE!</v>
      </c>
      <c r="H1301" s="3" t="e">
        <f t="shared" si="44"/>
        <v>#VALUE!</v>
      </c>
      <c r="I1301" s="1">
        <v>1</v>
      </c>
    </row>
    <row r="1302" spans="1:9" x14ac:dyDescent="0.25">
      <c r="A1302" s="1" t="s">
        <v>14435</v>
      </c>
      <c r="B1302" s="1" t="s">
        <v>3563</v>
      </c>
      <c r="C1302" s="1" t="str">
        <f>IFERROR(VLOOKUP(B1302,'SB1'!$A$2:$B$999999,2,FALSE),"")</f>
        <v>LATEX INTERIOR RECUPLAST MATE BLANCO X 20</v>
      </c>
      <c r="D1302" s="1" t="s">
        <v>14463</v>
      </c>
      <c r="E1302" s="3">
        <f>IFERROR(VLOOKUP(B1302,'DA1'!$B$2:$D$999999,3,FALSE),"")</f>
      </c>
      <c r="F1302" s="1" t="str">
        <f>IFERROR(VLOOKUP(B1302,'SB1'!$A$2:$C$999999,3,FALSE),"")</f>
        <v>503</v>
      </c>
      <c r="G1302" s="3" t="e">
        <f t="shared" si="45"/>
        <v>#VALUE!</v>
      </c>
      <c r="H1302" s="3" t="e">
        <f t="shared" si="44"/>
        <v>#VALUE!</v>
      </c>
      <c r="I1302" s="1">
        <v>1</v>
      </c>
    </row>
    <row r="1303" spans="1:9" x14ac:dyDescent="0.25">
      <c r="A1303" s="1" t="s">
        <v>14435</v>
      </c>
      <c r="B1303" s="1" t="s">
        <v>3565</v>
      </c>
      <c r="C1303" s="1" t="str">
        <f>IFERROR(VLOOKUP(B1303,'SB1'!$A$2:$B$999999,2,FALSE),"")</f>
        <v>IMPERMEABILIZANTE PARA FRENTES Y MUROS RECUPLAST BLANCO X  1</v>
      </c>
      <c r="D1303" s="1" t="s">
        <v>14463</v>
      </c>
      <c r="E1303" s="3">
        <f>IFERROR(VLOOKUP(B1303,'DA1'!$B$2:$D$999999,3,FALSE),"")</f>
      </c>
      <c r="F1303" s="1" t="str">
        <f>IFERROR(VLOOKUP(B1303,'SB1'!$A$2:$C$999999,3,FALSE),"")</f>
        <v>503</v>
      </c>
      <c r="G1303" s="3" t="e">
        <f t="shared" si="45"/>
        <v>#VALUE!</v>
      </c>
      <c r="H1303" s="3" t="e">
        <f t="shared" si="44"/>
        <v>#VALUE!</v>
      </c>
      <c r="I1303" s="1">
        <v>1</v>
      </c>
    </row>
    <row r="1304" spans="1:9" x14ac:dyDescent="0.25">
      <c r="A1304" s="1" t="s">
        <v>14435</v>
      </c>
      <c r="B1304" s="1" t="s">
        <v>3567</v>
      </c>
      <c r="C1304" s="1" t="str">
        <f>IFERROR(VLOOKUP(B1304,'SB1'!$A$2:$B$999999,2,FALSE),"")</f>
        <v>IMPERMEABILIZANTE PARA FRENTES Y MUROS RECUPLAST BLANCO X  4</v>
      </c>
      <c r="D1304" s="1" t="s">
        <v>14463</v>
      </c>
      <c r="E1304" s="3">
        <f>IFERROR(VLOOKUP(B1304,'DA1'!$B$2:$D$999999,3,FALSE),"")</f>
      </c>
      <c r="F1304" s="1" t="str">
        <f>IFERROR(VLOOKUP(B1304,'SB1'!$A$2:$C$999999,3,FALSE),"")</f>
        <v>503</v>
      </c>
      <c r="G1304" s="3" t="e">
        <f t="shared" si="45"/>
        <v>#VALUE!</v>
      </c>
      <c r="H1304" s="3" t="e">
        <f t="shared" si="44"/>
        <v>#VALUE!</v>
      </c>
      <c r="I1304" s="1">
        <v>1</v>
      </c>
    </row>
    <row r="1305" spans="1:9" x14ac:dyDescent="0.25">
      <c r="A1305" s="1" t="s">
        <v>14435</v>
      </c>
      <c r="B1305" s="1" t="s">
        <v>3569</v>
      </c>
      <c r="C1305" s="1" t="str">
        <f>IFERROR(VLOOKUP(B1305,'SB1'!$A$2:$B$999999,2,FALSE),"")</f>
        <v>IMPERMEABILIZANTE PARA FRENTES Y MUROS RECUPLAST BLANCO X 10</v>
      </c>
      <c r="D1305" s="1" t="s">
        <v>14463</v>
      </c>
      <c r="E1305" s="3">
        <f>IFERROR(VLOOKUP(B1305,'DA1'!$B$2:$D$999999,3,FALSE),"")</f>
      </c>
      <c r="F1305" s="1" t="str">
        <f>IFERROR(VLOOKUP(B1305,'SB1'!$A$2:$C$999999,3,FALSE),"")</f>
        <v>503</v>
      </c>
      <c r="G1305" s="3" t="e">
        <f t="shared" si="45"/>
        <v>#VALUE!</v>
      </c>
      <c r="H1305" s="3" t="e">
        <f t="shared" si="44"/>
        <v>#VALUE!</v>
      </c>
      <c r="I1305" s="1">
        <v>1</v>
      </c>
    </row>
    <row r="1306" spans="1:9" x14ac:dyDescent="0.25">
      <c r="A1306" s="1" t="s">
        <v>14435</v>
      </c>
      <c r="B1306" s="1" t="s">
        <v>3571</v>
      </c>
      <c r="C1306" s="1" t="str">
        <f>IFERROR(VLOOKUP(B1306,'SB1'!$A$2:$B$999999,2,FALSE),"")</f>
        <v>IMPERMEABILIZANTE PARA FRENTES Y MUROS RECUPLAST BLANCO X 20</v>
      </c>
      <c r="D1306" s="1" t="s">
        <v>14463</v>
      </c>
      <c r="E1306" s="3">
        <f>IFERROR(VLOOKUP(B1306,'DA1'!$B$2:$D$999999,3,FALSE),"")</f>
      </c>
      <c r="F1306" s="1" t="str">
        <f>IFERROR(VLOOKUP(B1306,'SB1'!$A$2:$C$999999,3,FALSE),"")</f>
        <v>503</v>
      </c>
      <c r="G1306" s="3" t="e">
        <f t="shared" si="45"/>
        <v>#VALUE!</v>
      </c>
      <c r="H1306" s="3" t="e">
        <f t="shared" si="44"/>
        <v>#VALUE!</v>
      </c>
      <c r="I1306" s="1">
        <v>1</v>
      </c>
    </row>
    <row r="1307" spans="1:9" x14ac:dyDescent="0.25">
      <c r="A1307" s="1" t="s">
        <v>14435</v>
      </c>
      <c r="B1307" s="1" t="s">
        <v>3587</v>
      </c>
      <c r="C1307" s="1" t="str">
        <f>IFERROR(VLOOKUP(B1307,'SB1'!$A$2:$B$999999,2,FALSE),"")</f>
        <v>LATEX INTERIOR SINTEPLAST PROFESIONAL BLANCO X 20</v>
      </c>
      <c r="D1307" s="1" t="s">
        <v>14463</v>
      </c>
      <c r="E1307" s="3">
        <f>IFERROR(VLOOKUP(B1307,'DA1'!$B$2:$D$999999,3,FALSE),"")</f>
      </c>
      <c r="F1307" s="1" t="str">
        <f>IFERROR(VLOOKUP(B1307,'SB1'!$A$2:$C$999999,3,FALSE),"")</f>
        <v>503</v>
      </c>
      <c r="G1307" s="3" t="e">
        <f t="shared" si="45"/>
        <v>#VALUE!</v>
      </c>
      <c r="H1307" s="3" t="e">
        <f t="shared" si="44"/>
        <v>#VALUE!</v>
      </c>
      <c r="I1307" s="1">
        <v>1</v>
      </c>
    </row>
    <row r="1308" spans="1:9" x14ac:dyDescent="0.25">
      <c r="A1308" s="1" t="s">
        <v>14435</v>
      </c>
      <c r="B1308" s="1" t="s">
        <v>3611</v>
      </c>
      <c r="C1308" s="1" t="str">
        <f>IFERROR(VLOOKUP(B1308,'SB1'!$A$2:$B$999999,2,FALSE),"")</f>
        <v>LATEX INTERIOR/EXTERIOR TERSINOL BLANCO X  4</v>
      </c>
      <c r="D1308" s="1" t="s">
        <v>14437</v>
      </c>
      <c r="E1308" s="3">
        <f>IFERROR(VLOOKUP(B1308,'DA1'!$B$2:$D$999999,3,FALSE),"")</f>
      </c>
      <c r="F1308" s="1" t="str">
        <f>IFERROR(VLOOKUP(B1308,'SB1'!$A$2:$C$999999,3,FALSE),"")</f>
        <v>503</v>
      </c>
      <c r="G1308" s="3" t="e">
        <f t="shared" si="45"/>
        <v>#VALUE!</v>
      </c>
      <c r="H1308" s="3" t="e">
        <f t="shared" si="44"/>
        <v>#VALUE!</v>
      </c>
      <c r="I1308" s="1">
        <v>1</v>
      </c>
    </row>
    <row r="1309" spans="1:9" x14ac:dyDescent="0.25">
      <c r="A1309" s="1" t="s">
        <v>14435</v>
      </c>
      <c r="B1309" s="1" t="s">
        <v>3613</v>
      </c>
      <c r="C1309" s="1" t="str">
        <f>IFERROR(VLOOKUP(B1309,'SB1'!$A$2:$B$999999,2,FALSE),"")</f>
        <v>LATEX INTERIOR/EXTERIOR TERSINOL BLANCO X 10</v>
      </c>
      <c r="D1309" s="1" t="s">
        <v>14437</v>
      </c>
      <c r="E1309" s="3">
        <f>IFERROR(VLOOKUP(B1309,'DA1'!$B$2:$D$999999,3,FALSE),"")</f>
      </c>
      <c r="F1309" s="1" t="str">
        <f>IFERROR(VLOOKUP(B1309,'SB1'!$A$2:$C$999999,3,FALSE),"")</f>
        <v>503</v>
      </c>
      <c r="G1309" s="3" t="e">
        <f t="shared" si="45"/>
        <v>#VALUE!</v>
      </c>
      <c r="H1309" s="3" t="e">
        <f t="shared" si="44"/>
        <v>#VALUE!</v>
      </c>
      <c r="I1309" s="1">
        <v>1</v>
      </c>
    </row>
    <row r="1310" spans="1:9" x14ac:dyDescent="0.25">
      <c r="A1310" s="1" t="s">
        <v>14435</v>
      </c>
      <c r="B1310" s="1" t="s">
        <v>3615</v>
      </c>
      <c r="C1310" s="1" t="str">
        <f>IFERROR(VLOOKUP(B1310,'SB1'!$A$2:$B$999999,2,FALSE),"")</f>
        <v>LATEX INTERIOR/EXTERIOR TERSINOL BLANCO X 20</v>
      </c>
      <c r="D1310" s="1" t="s">
        <v>14437</v>
      </c>
      <c r="E1310" s="3">
        <f>IFERROR(VLOOKUP(B1310,'DA1'!$B$2:$D$999999,3,FALSE),"")</f>
      </c>
      <c r="F1310" s="1" t="str">
        <f>IFERROR(VLOOKUP(B1310,'SB1'!$A$2:$C$999999,3,FALSE),"")</f>
        <v>503</v>
      </c>
      <c r="G1310" s="3" t="e">
        <f t="shared" si="45"/>
        <v>#VALUE!</v>
      </c>
      <c r="H1310" s="3" t="e">
        <f t="shared" si="44"/>
        <v>#VALUE!</v>
      </c>
      <c r="I1310" s="1">
        <v>1</v>
      </c>
    </row>
    <row r="1311" spans="1:9" x14ac:dyDescent="0.25">
      <c r="A1311" s="1" t="s">
        <v>14435</v>
      </c>
      <c r="B1311" s="1" t="s">
        <v>3659</v>
      </c>
      <c r="C1311" s="1" t="str">
        <f>IFERROR(VLOOKUP(B1311,'SB1'!$A$2:$B$999999,2,FALSE),"")</f>
        <v>PROTECTOR PARA LADRILLO TERSIDRYL AL AGUA SEMI MATE CON PELICULA X  1</v>
      </c>
      <c r="D1311" s="1" t="s">
        <v>14437</v>
      </c>
      <c r="E1311" s="3">
        <f>IFERROR(VLOOKUP(B1311,'DA1'!$B$2:$D$999999,3,FALSE),"")</f>
      </c>
      <c r="F1311" s="1" t="str">
        <f>IFERROR(VLOOKUP(B1311,'SB1'!$A$2:$C$999999,3,FALSE),"")</f>
        <v>503</v>
      </c>
      <c r="G1311" s="3" t="e">
        <f t="shared" si="45"/>
        <v>#VALUE!</v>
      </c>
      <c r="H1311" s="3" t="e">
        <f t="shared" si="44"/>
        <v>#VALUE!</v>
      </c>
      <c r="I1311" s="1">
        <v>1</v>
      </c>
    </row>
    <row r="1312" spans="1:9" x14ac:dyDescent="0.25">
      <c r="A1312" s="1" t="s">
        <v>14435</v>
      </c>
      <c r="B1312" s="1" t="s">
        <v>3661</v>
      </c>
      <c r="C1312" s="1" t="str">
        <f>IFERROR(VLOOKUP(B1312,'SB1'!$A$2:$B$999999,2,FALSE),"")</f>
        <v>PROTECTOR PARA LADRILLO TERSIDRYL AL AGUA SEMI MATE CON PELICULA X  4</v>
      </c>
      <c r="D1312" s="1" t="s">
        <v>14437</v>
      </c>
      <c r="E1312" s="3">
        <f>IFERROR(VLOOKUP(B1312,'DA1'!$B$2:$D$999999,3,FALSE),"")</f>
      </c>
      <c r="F1312" s="1" t="str">
        <f>IFERROR(VLOOKUP(B1312,'SB1'!$A$2:$C$999999,3,FALSE),"")</f>
        <v>503</v>
      </c>
      <c r="G1312" s="3" t="e">
        <f t="shared" si="45"/>
        <v>#VALUE!</v>
      </c>
      <c r="H1312" s="3" t="e">
        <f t="shared" si="44"/>
        <v>#VALUE!</v>
      </c>
      <c r="I1312" s="1">
        <v>1</v>
      </c>
    </row>
    <row r="1313" spans="1:9" x14ac:dyDescent="0.25">
      <c r="A1313" s="1" t="s">
        <v>14435</v>
      </c>
      <c r="B1313" s="1" t="s">
        <v>3663</v>
      </c>
      <c r="C1313" s="1" t="str">
        <f>IFERROR(VLOOKUP(B1313,'SB1'!$A$2:$B$999999,2,FALSE),"")</f>
        <v>PROTECTOR PARA LADRILLO TERSIDRYL AL AGUA SEMI MATE CON PELICULA X 10</v>
      </c>
      <c r="D1313" s="1" t="s">
        <v>14437</v>
      </c>
      <c r="E1313" s="3">
        <f>IFERROR(VLOOKUP(B1313,'DA1'!$B$2:$D$999999,3,FALSE),"")</f>
      </c>
      <c r="F1313" s="1" t="str">
        <f>IFERROR(VLOOKUP(B1313,'SB1'!$A$2:$C$999999,3,FALSE),"")</f>
        <v>503</v>
      </c>
      <c r="G1313" s="3" t="e">
        <f t="shared" si="45"/>
        <v>#VALUE!</v>
      </c>
      <c r="H1313" s="3" t="e">
        <f t="shared" si="44"/>
        <v>#VALUE!</v>
      </c>
      <c r="I1313" s="1">
        <v>1</v>
      </c>
    </row>
    <row r="1314" spans="1:9" x14ac:dyDescent="0.25">
      <c r="A1314" s="1" t="s">
        <v>14435</v>
      </c>
      <c r="B1314" s="1" t="s">
        <v>3665</v>
      </c>
      <c r="C1314" s="1" t="str">
        <f>IFERROR(VLOOKUP(B1314,'SB1'!$A$2:$B$999999,2,FALSE),"")</f>
        <v>PROTECTOR PARA LADRILLO TERSIDRYL AL AGUA SEMI MATE CON PELICULA X 20</v>
      </c>
      <c r="D1314" s="1" t="s">
        <v>14437</v>
      </c>
      <c r="E1314" s="3">
        <f>IFERROR(VLOOKUP(B1314,'DA1'!$B$2:$D$999999,3,FALSE),"")</f>
      </c>
      <c r="F1314" s="1" t="str">
        <f>IFERROR(VLOOKUP(B1314,'SB1'!$A$2:$C$999999,3,FALSE),"")</f>
        <v>503</v>
      </c>
      <c r="G1314" s="3" t="e">
        <f t="shared" si="45"/>
        <v>#VALUE!</v>
      </c>
      <c r="H1314" s="3" t="e">
        <f t="shared" si="44"/>
        <v>#VALUE!</v>
      </c>
      <c r="I1314" s="1">
        <v>1</v>
      </c>
    </row>
    <row r="1315" spans="1:9" x14ac:dyDescent="0.25">
      <c r="A1315" s="1" t="s">
        <v>14435</v>
      </c>
      <c r="B1315" s="1" t="s">
        <v>3673</v>
      </c>
      <c r="C1315" s="1" t="str">
        <f>IFERROR(VLOOKUP(B1315,'SB1'!$A$2:$B$999999,2,FALSE),"")</f>
        <v>LATEX INTERIOR TERSUAVE LAVABLE SATINADO BLANCO X 20</v>
      </c>
      <c r="D1315" s="1" t="s">
        <v>14437</v>
      </c>
      <c r="E1315" s="3">
        <f>IFERROR(VLOOKUP(B1315,'DA1'!$B$2:$D$999999,3,FALSE),"")</f>
      </c>
      <c r="F1315" s="1" t="str">
        <f>IFERROR(VLOOKUP(B1315,'SB1'!$A$2:$C$999999,3,FALSE),"")</f>
        <v>503</v>
      </c>
      <c r="G1315" s="3" t="e">
        <f t="shared" si="45"/>
        <v>#VALUE!</v>
      </c>
      <c r="H1315" s="3" t="e">
        <f t="shared" ref="H1315:H1378" si="46">G1315*1.21</f>
        <v>#VALUE!</v>
      </c>
      <c r="I1315" s="1">
        <v>1</v>
      </c>
    </row>
    <row r="1316" spans="1:9" x14ac:dyDescent="0.25">
      <c r="A1316" s="1" t="s">
        <v>14435</v>
      </c>
      <c r="B1316" s="1" t="s">
        <v>3679</v>
      </c>
      <c r="C1316" s="1" t="str">
        <f>IFERROR(VLOOKUP(B1316,'SB1'!$A$2:$B$999999,2,FALSE),"")</f>
        <v>FIJADOR PARA PARED TERSUAVE AL AGUARRAS X 20</v>
      </c>
      <c r="D1316" s="1" t="s">
        <v>14437</v>
      </c>
      <c r="E1316" s="3">
        <f>IFERROR(VLOOKUP(B1316,'DA1'!$B$2:$D$999999,3,FALSE),"")</f>
      </c>
      <c r="F1316" s="1" t="str">
        <f>IFERROR(VLOOKUP(B1316,'SB1'!$A$2:$C$999999,3,FALSE),"")</f>
        <v>503</v>
      </c>
      <c r="G1316" s="3" t="e">
        <f t="shared" si="45"/>
        <v>#VALUE!</v>
      </c>
      <c r="H1316" s="3" t="e">
        <f t="shared" si="46"/>
        <v>#VALUE!</v>
      </c>
      <c r="I1316" s="1">
        <v>1</v>
      </c>
    </row>
    <row r="1317" spans="1:9" x14ac:dyDescent="0.25">
      <c r="A1317" s="1" t="s">
        <v>14435</v>
      </c>
      <c r="B1317" s="1" t="s">
        <v>3681</v>
      </c>
      <c r="C1317" s="1" t="str">
        <f>IFERROR(VLOOKUP(B1317,'SB1'!$A$2:$B$999999,2,FALSE),"")</f>
        <v>LATEX INTERIOR TERSUAVE PROFESIONAL BLANCO X  1</v>
      </c>
      <c r="D1317" s="1" t="s">
        <v>14437</v>
      </c>
      <c r="E1317" s="3">
        <f>IFERROR(VLOOKUP(B1317,'DA1'!$B$2:$D$999999,3,FALSE),"")</f>
      </c>
      <c r="F1317" s="1" t="str">
        <f>IFERROR(VLOOKUP(B1317,'SB1'!$A$2:$C$999999,3,FALSE),"")</f>
        <v>503</v>
      </c>
      <c r="G1317" s="3" t="e">
        <f t="shared" si="45"/>
        <v>#VALUE!</v>
      </c>
      <c r="H1317" s="3" t="e">
        <f t="shared" si="46"/>
        <v>#VALUE!</v>
      </c>
      <c r="I1317" s="1">
        <v>1</v>
      </c>
    </row>
    <row r="1318" spans="1:9" x14ac:dyDescent="0.25">
      <c r="A1318" s="1" t="s">
        <v>14435</v>
      </c>
      <c r="B1318" s="1" t="s">
        <v>3683</v>
      </c>
      <c r="C1318" s="1" t="str">
        <f>IFERROR(VLOOKUP(B1318,'SB1'!$A$2:$B$999999,2,FALSE),"")</f>
        <v>LATEX INTERIOR TERSUAVE PROFESIONAL BLANCO X  4</v>
      </c>
      <c r="D1318" s="1" t="s">
        <v>14437</v>
      </c>
      <c r="E1318" s="3">
        <f>IFERROR(VLOOKUP(B1318,'DA1'!$B$2:$D$999999,3,FALSE),"")</f>
      </c>
      <c r="F1318" s="1" t="str">
        <f>IFERROR(VLOOKUP(B1318,'SB1'!$A$2:$C$999999,3,FALSE),"")</f>
        <v>503</v>
      </c>
      <c r="G1318" s="3" t="e">
        <f t="shared" si="45"/>
        <v>#VALUE!</v>
      </c>
      <c r="H1318" s="3" t="e">
        <f t="shared" si="46"/>
        <v>#VALUE!</v>
      </c>
      <c r="I1318" s="1">
        <v>1</v>
      </c>
    </row>
    <row r="1319" spans="1:9" x14ac:dyDescent="0.25">
      <c r="A1319" s="1" t="s">
        <v>14435</v>
      </c>
      <c r="B1319" s="1" t="s">
        <v>3685</v>
      </c>
      <c r="C1319" s="1" t="str">
        <f>IFERROR(VLOOKUP(B1319,'SB1'!$A$2:$B$999999,2,FALSE),"")</f>
        <v>LATEX INTERIOR TERSUAVE PROFESIONAL BLANCO X 10</v>
      </c>
      <c r="D1319" s="1" t="s">
        <v>14437</v>
      </c>
      <c r="E1319" s="3">
        <f>IFERROR(VLOOKUP(B1319,'DA1'!$B$2:$D$999999,3,FALSE),"")</f>
      </c>
      <c r="F1319" s="1" t="str">
        <f>IFERROR(VLOOKUP(B1319,'SB1'!$A$2:$C$999999,3,FALSE),"")</f>
        <v>503</v>
      </c>
      <c r="G1319" s="3" t="e">
        <f t="shared" si="45"/>
        <v>#VALUE!</v>
      </c>
      <c r="H1319" s="3" t="e">
        <f t="shared" si="46"/>
        <v>#VALUE!</v>
      </c>
      <c r="I1319" s="1">
        <v>1</v>
      </c>
    </row>
    <row r="1320" spans="1:9" x14ac:dyDescent="0.25">
      <c r="A1320" s="1" t="s">
        <v>14435</v>
      </c>
      <c r="B1320" s="1" t="s">
        <v>3687</v>
      </c>
      <c r="C1320" s="1" t="str">
        <f>IFERROR(VLOOKUP(B1320,'SB1'!$A$2:$B$999999,2,FALSE),"")</f>
        <v>LATEX INTERIOR TERSUAVE PROFESIONAL BLANCO X 20</v>
      </c>
      <c r="D1320" s="1" t="s">
        <v>14437</v>
      </c>
      <c r="E1320" s="3">
        <f>IFERROR(VLOOKUP(B1320,'DA1'!$B$2:$D$999999,3,FALSE),"")</f>
      </c>
      <c r="F1320" s="1" t="str">
        <f>IFERROR(VLOOKUP(B1320,'SB1'!$A$2:$C$999999,3,FALSE),"")</f>
        <v>503</v>
      </c>
      <c r="G1320" s="3" t="e">
        <f t="shared" si="45"/>
        <v>#VALUE!</v>
      </c>
      <c r="H1320" s="3" t="e">
        <f t="shared" si="46"/>
        <v>#VALUE!</v>
      </c>
      <c r="I1320" s="1">
        <v>1</v>
      </c>
    </row>
    <row r="1321" spans="1:9" x14ac:dyDescent="0.25">
      <c r="A1321" s="1" t="s">
        <v>14435</v>
      </c>
      <c r="B1321" s="1" t="s">
        <v>3689</v>
      </c>
      <c r="C1321" s="1" t="str">
        <f>IFERROR(VLOOKUP(B1321,'SB1'!$A$2:$B$999999,2,FALSE),"")</f>
        <v>FONDO PARA GALVANIZADO TERSUAVE GALVANIC GRIS X 1</v>
      </c>
      <c r="D1321" s="1" t="s">
        <v>14487</v>
      </c>
      <c r="E1321" s="3">
        <f>IFERROR(VLOOKUP(B1321,'DA1'!$B$2:$D$999999,3,FALSE),"")</f>
      </c>
      <c r="F1321" s="1" t="str">
        <f>IFERROR(VLOOKUP(B1321,'SB1'!$A$2:$C$999999,3,FALSE),"")</f>
        <v>503</v>
      </c>
      <c r="G1321" s="3" t="e">
        <f t="shared" si="45"/>
        <v>#VALUE!</v>
      </c>
      <c r="H1321" s="3" t="e">
        <f t="shared" si="46"/>
        <v>#VALUE!</v>
      </c>
      <c r="I1321" s="1">
        <v>1</v>
      </c>
    </row>
    <row r="1322" spans="1:9" x14ac:dyDescent="0.25">
      <c r="A1322" s="1" t="s">
        <v>14435</v>
      </c>
      <c r="B1322" s="1" t="s">
        <v>3691</v>
      </c>
      <c r="C1322" s="1" t="str">
        <f>IFERROR(VLOOKUP(B1322,'SB1'!$A$2:$B$999999,2,FALSE),"")</f>
        <v>FONDO PARA GALVANIZADO TERSUAVE GALVANIC GRIS X 4</v>
      </c>
      <c r="D1322" s="1" t="s">
        <v>14487</v>
      </c>
      <c r="E1322" s="3">
        <f>IFERROR(VLOOKUP(B1322,'DA1'!$B$2:$D$999999,3,FALSE),"")</f>
      </c>
      <c r="F1322" s="1" t="str">
        <f>IFERROR(VLOOKUP(B1322,'SB1'!$A$2:$C$999999,3,FALSE),"")</f>
        <v>503</v>
      </c>
      <c r="G1322" s="3" t="e">
        <f t="shared" si="45"/>
        <v>#VALUE!</v>
      </c>
      <c r="H1322" s="3" t="e">
        <f t="shared" si="46"/>
        <v>#VALUE!</v>
      </c>
      <c r="I1322" s="1">
        <v>1</v>
      </c>
    </row>
    <row r="1323" spans="1:9" x14ac:dyDescent="0.25">
      <c r="A1323" s="1" t="s">
        <v>14435</v>
      </c>
      <c r="B1323" s="1" t="s">
        <v>3693</v>
      </c>
      <c r="C1323" s="1" t="str">
        <f>IFERROR(VLOOKUP(B1323,'SB1'!$A$2:$B$999999,2,FALSE),"")</f>
        <v>ESMALTE EPOXI TERSUAVE INDULAC BITUMINOSO X  1</v>
      </c>
      <c r="D1323" s="1" t="s">
        <v>14487</v>
      </c>
      <c r="E1323" s="3">
        <f>IFERROR(VLOOKUP(B1323,'DA1'!$B$2:$D$999999,3,FALSE),"")</f>
      </c>
      <c r="F1323" s="1" t="str">
        <f>IFERROR(VLOOKUP(B1323,'SB1'!$A$2:$C$999999,3,FALSE),"")</f>
        <v>503</v>
      </c>
      <c r="G1323" s="3" t="e">
        <f t="shared" si="45"/>
        <v>#VALUE!</v>
      </c>
      <c r="H1323" s="3" t="e">
        <f t="shared" si="46"/>
        <v>#VALUE!</v>
      </c>
      <c r="I1323" s="1">
        <v>1</v>
      </c>
    </row>
    <row r="1324" spans="1:9" x14ac:dyDescent="0.25">
      <c r="A1324" s="1" t="s">
        <v>14435</v>
      </c>
      <c r="B1324" s="1" t="s">
        <v>3695</v>
      </c>
      <c r="C1324" s="1" t="str">
        <f>IFERROR(VLOOKUP(B1324,'SB1'!$A$2:$B$999999,2,FALSE),"")</f>
        <v>ESMALTE EPOXI TERSUAVE INDULAC BITUMINOSO X  4</v>
      </c>
      <c r="D1324" s="1" t="s">
        <v>14487</v>
      </c>
      <c r="E1324" s="3">
        <f>IFERROR(VLOOKUP(B1324,'DA1'!$B$2:$D$999999,3,FALSE),"")</f>
      </c>
      <c r="F1324" s="1" t="str">
        <f>IFERROR(VLOOKUP(B1324,'SB1'!$A$2:$C$999999,3,FALSE),"")</f>
        <v>503</v>
      </c>
      <c r="G1324" s="3" t="e">
        <f t="shared" si="45"/>
        <v>#VALUE!</v>
      </c>
      <c r="H1324" s="3" t="e">
        <f t="shared" si="46"/>
        <v>#VALUE!</v>
      </c>
      <c r="I1324" s="1">
        <v>1</v>
      </c>
    </row>
    <row r="1325" spans="1:9" x14ac:dyDescent="0.25">
      <c r="A1325" s="1" t="s">
        <v>14435</v>
      </c>
      <c r="B1325" s="1" t="s">
        <v>3697</v>
      </c>
      <c r="C1325" s="1" t="str">
        <f>IFERROR(VLOOKUP(B1325,'SB1'!$A$2:$B$999999,2,FALSE),"")</f>
        <v>ESMALTE EPOXI TERSUAVE INDULAC BITUMINOSO X 20</v>
      </c>
      <c r="D1325" s="1" t="s">
        <v>14487</v>
      </c>
      <c r="E1325" s="3">
        <f>IFERROR(VLOOKUP(B1325,'DA1'!$B$2:$D$999999,3,FALSE),"")</f>
      </c>
      <c r="F1325" s="1" t="str">
        <f>IFERROR(VLOOKUP(B1325,'SB1'!$A$2:$C$999999,3,FALSE),"")</f>
        <v>503</v>
      </c>
      <c r="G1325" s="3" t="e">
        <f t="shared" si="45"/>
        <v>#VALUE!</v>
      </c>
      <c r="H1325" s="3" t="e">
        <f t="shared" si="46"/>
        <v>#VALUE!</v>
      </c>
      <c r="I1325" s="1">
        <v>1</v>
      </c>
    </row>
    <row r="1326" spans="1:9" x14ac:dyDescent="0.25">
      <c r="A1326" s="1" t="s">
        <v>14435</v>
      </c>
      <c r="B1326" s="1" t="s">
        <v>3705</v>
      </c>
      <c r="C1326" s="1" t="str">
        <f>IFERROR(VLOOKUP(B1326,'SB1'!$A$2:$B$999999,2,FALSE),"")</f>
        <v>IMPERMEABILIZANTE PARA FRENTES TERSINOL BLANCO X 25</v>
      </c>
      <c r="D1326" s="1" t="s">
        <v>14437</v>
      </c>
      <c r="E1326" s="3">
        <f>IFERROR(VLOOKUP(B1326,'DA1'!$B$2:$D$999999,3,FALSE),"")</f>
      </c>
      <c r="F1326" s="1" t="str">
        <f>IFERROR(VLOOKUP(B1326,'SB1'!$A$2:$C$999999,3,FALSE),"")</f>
        <v>503</v>
      </c>
      <c r="G1326" s="3" t="e">
        <f t="shared" si="45"/>
        <v>#VALUE!</v>
      </c>
      <c r="H1326" s="3" t="e">
        <f t="shared" si="46"/>
        <v>#VALUE!</v>
      </c>
      <c r="I1326" s="1">
        <v>1</v>
      </c>
    </row>
    <row r="1327" spans="1:9" x14ac:dyDescent="0.25">
      <c r="A1327" s="1" t="s">
        <v>14435</v>
      </c>
      <c r="B1327" s="1" t="s">
        <v>3707</v>
      </c>
      <c r="C1327" s="1" t="str">
        <f>IFERROR(VLOOKUP(B1327,'SB1'!$A$2:$B$999999,2,FALSE),"")</f>
        <v>PRESERVADOR MADERAS TERSUAVE LISTO PARA USAR X  1</v>
      </c>
      <c r="D1327" s="1" t="s">
        <v>14437</v>
      </c>
      <c r="E1327" s="3">
        <f>IFERROR(VLOOKUP(B1327,'DA1'!$B$2:$D$999999,3,FALSE),"")</f>
      </c>
      <c r="F1327" s="1" t="str">
        <f>IFERROR(VLOOKUP(B1327,'SB1'!$A$2:$C$999999,3,FALSE),"")</f>
        <v>503</v>
      </c>
      <c r="G1327" s="3" t="e">
        <f t="shared" si="45"/>
        <v>#VALUE!</v>
      </c>
      <c r="H1327" s="3" t="e">
        <f t="shared" si="46"/>
        <v>#VALUE!</v>
      </c>
      <c r="I1327" s="1">
        <v>1</v>
      </c>
    </row>
    <row r="1328" spans="1:9" x14ac:dyDescent="0.25">
      <c r="A1328" s="1" t="s">
        <v>14435</v>
      </c>
      <c r="B1328" s="1" t="s">
        <v>3709</v>
      </c>
      <c r="C1328" s="1" t="str">
        <f>IFERROR(VLOOKUP(B1328,'SB1'!$A$2:$B$999999,2,FALSE),"")</f>
        <v>PRESERVADOR MADERAS TERSUAVE LISTO PARA USAR X  4</v>
      </c>
      <c r="D1328" s="1" t="s">
        <v>14437</v>
      </c>
      <c r="E1328" s="3">
        <f>IFERROR(VLOOKUP(B1328,'DA1'!$B$2:$D$999999,3,FALSE),"")</f>
      </c>
      <c r="F1328" s="1" t="str">
        <f>IFERROR(VLOOKUP(B1328,'SB1'!$A$2:$C$999999,3,FALSE),"")</f>
        <v>503</v>
      </c>
      <c r="G1328" s="3" t="e">
        <f t="shared" si="45"/>
        <v>#VALUE!</v>
      </c>
      <c r="H1328" s="3" t="e">
        <f t="shared" si="46"/>
        <v>#VALUE!</v>
      </c>
      <c r="I1328" s="1">
        <v>1</v>
      </c>
    </row>
    <row r="1329" spans="1:9" x14ac:dyDescent="0.25">
      <c r="A1329" s="1" t="s">
        <v>14435</v>
      </c>
      <c r="B1329" s="1" t="s">
        <v>3711</v>
      </c>
      <c r="C1329" s="1" t="str">
        <f>IFERROR(VLOOKUP(B1329,'SB1'!$A$2:$B$999999,2,FALSE),"")</f>
        <v>PRESERVADOR MADERAS TERSUAVE LISTO PARA USAR X 20</v>
      </c>
      <c r="D1329" s="1" t="s">
        <v>14437</v>
      </c>
      <c r="E1329" s="3">
        <f>IFERROR(VLOOKUP(B1329,'DA1'!$B$2:$D$999999,3,FALSE),"")</f>
      </c>
      <c r="F1329" s="1" t="str">
        <f>IFERROR(VLOOKUP(B1329,'SB1'!$A$2:$C$999999,3,FALSE),"")</f>
        <v>503</v>
      </c>
      <c r="G1329" s="3" t="e">
        <f t="shared" si="45"/>
        <v>#VALUE!</v>
      </c>
      <c r="H1329" s="3" t="e">
        <f t="shared" si="46"/>
        <v>#VALUE!</v>
      </c>
      <c r="I1329" s="1">
        <v>1</v>
      </c>
    </row>
    <row r="1330" spans="1:9" x14ac:dyDescent="0.25">
      <c r="A1330" s="1" t="s">
        <v>14435</v>
      </c>
      <c r="B1330" s="1" t="s">
        <v>3737</v>
      </c>
      <c r="C1330" s="1" t="str">
        <f>IFERROR(VLOOKUP(B1330,'SB1'!$A$2:$B$999999,2,FALSE),"")</f>
        <v>LATEX INTERIOR ALBA CONSTRUCTOR MATE BLANCO X  1</v>
      </c>
      <c r="D1330" s="1" t="s">
        <v>14441</v>
      </c>
      <c r="E1330" s="3">
        <f>IFERROR(VLOOKUP(B1330,'DA1'!$B$2:$D$999999,3,FALSE),"")</f>
      </c>
      <c r="F1330" s="1" t="str">
        <f>IFERROR(VLOOKUP(B1330,'SB1'!$A$2:$C$999999,3,FALSE),"")</f>
        <v>503</v>
      </c>
      <c r="G1330" s="3" t="e">
        <f t="shared" si="45"/>
        <v>#VALUE!</v>
      </c>
      <c r="H1330" s="3" t="e">
        <f t="shared" si="46"/>
        <v>#VALUE!</v>
      </c>
      <c r="I1330" s="1">
        <v>1</v>
      </c>
    </row>
    <row r="1331" spans="1:9" x14ac:dyDescent="0.25">
      <c r="A1331" s="1" t="s">
        <v>14435</v>
      </c>
      <c r="B1331" s="1" t="s">
        <v>3739</v>
      </c>
      <c r="C1331" s="1" t="str">
        <f>IFERROR(VLOOKUP(B1331,'SB1'!$A$2:$B$999999,2,FALSE),"")</f>
        <v>LATEX INTERIOR ALBA CONSTRUCTOR MATE BLANCO X  4</v>
      </c>
      <c r="D1331" s="1" t="s">
        <v>14441</v>
      </c>
      <c r="E1331" s="3">
        <f>IFERROR(VLOOKUP(B1331,'DA1'!$B$2:$D$999999,3,FALSE),"")</f>
      </c>
      <c r="F1331" s="1" t="str">
        <f>IFERROR(VLOOKUP(B1331,'SB1'!$A$2:$C$999999,3,FALSE),"")</f>
        <v>503</v>
      </c>
      <c r="G1331" s="3" t="e">
        <f t="shared" si="45"/>
        <v>#VALUE!</v>
      </c>
      <c r="H1331" s="3" t="e">
        <f t="shared" si="46"/>
        <v>#VALUE!</v>
      </c>
      <c r="I1331" s="1">
        <v>1</v>
      </c>
    </row>
    <row r="1332" spans="1:9" x14ac:dyDescent="0.25">
      <c r="A1332" s="1" t="s">
        <v>14435</v>
      </c>
      <c r="B1332" s="1" t="s">
        <v>3741</v>
      </c>
      <c r="C1332" s="1" t="str">
        <f>IFERROR(VLOOKUP(B1332,'SB1'!$A$2:$B$999999,2,FALSE),"")</f>
        <v>LATEX INTERIOR ALBA CONSTRUCTOR MATE BLANCO X 10</v>
      </c>
      <c r="D1332" s="1" t="s">
        <v>14441</v>
      </c>
      <c r="E1332" s="3">
        <f>IFERROR(VLOOKUP(B1332,'DA1'!$B$2:$D$999999,3,FALSE),"")</f>
      </c>
      <c r="F1332" s="1" t="str">
        <f>IFERROR(VLOOKUP(B1332,'SB1'!$A$2:$C$999999,3,FALSE),"")</f>
        <v>503</v>
      </c>
      <c r="G1332" s="3" t="e">
        <f t="shared" si="45"/>
        <v>#VALUE!</v>
      </c>
      <c r="H1332" s="3" t="e">
        <f t="shared" si="46"/>
        <v>#VALUE!</v>
      </c>
      <c r="I1332" s="1">
        <v>1</v>
      </c>
    </row>
    <row r="1333" spans="1:9" x14ac:dyDescent="0.25">
      <c r="A1333" s="1" t="s">
        <v>14435</v>
      </c>
      <c r="B1333" s="1" t="s">
        <v>3743</v>
      </c>
      <c r="C1333" s="1" t="str">
        <f>IFERROR(VLOOKUP(B1333,'SB1'!$A$2:$B$999999,2,FALSE),"")</f>
        <v>LATEX INTERIOR ALBA CONSTRUCTOR MATE BLANCO X 20</v>
      </c>
      <c r="D1333" s="1" t="s">
        <v>14441</v>
      </c>
      <c r="E1333" s="3">
        <f>IFERROR(VLOOKUP(B1333,'DA1'!$B$2:$D$999999,3,FALSE),"")</f>
      </c>
      <c r="F1333" s="1" t="str">
        <f>IFERROR(VLOOKUP(B1333,'SB1'!$A$2:$C$999999,3,FALSE),"")</f>
        <v>503</v>
      </c>
      <c r="G1333" s="3" t="e">
        <f t="shared" si="45"/>
        <v>#VALUE!</v>
      </c>
      <c r="H1333" s="3" t="e">
        <f t="shared" si="46"/>
        <v>#VALUE!</v>
      </c>
      <c r="I1333" s="1">
        <v>1</v>
      </c>
    </row>
    <row r="1334" spans="1:9" x14ac:dyDescent="0.25">
      <c r="A1334" s="1" t="s">
        <v>14435</v>
      </c>
      <c r="B1334" s="1" t="s">
        <v>3757</v>
      </c>
      <c r="C1334" s="1" t="str">
        <f>IFERROR(VLOOKUP(B1334,'SB1'!$A$2:$B$999999,2,FALSE),"")</f>
        <v>REVESTIMIENTO INTERNO PARA CHAPAS PLAVICON ANTICONDENSANTE X  4</v>
      </c>
      <c r="D1334" s="1" t="s">
        <v>14458</v>
      </c>
      <c r="E1334" s="3">
        <f>IFERROR(VLOOKUP(B1334,'DA1'!$B$2:$D$999999,3,FALSE),"")</f>
      </c>
      <c r="F1334" s="1" t="str">
        <f>IFERROR(VLOOKUP(B1334,'SB1'!$A$2:$C$999999,3,FALSE),"")</f>
        <v>503</v>
      </c>
      <c r="G1334" s="3" t="e">
        <f t="shared" si="45"/>
        <v>#VALUE!</v>
      </c>
      <c r="H1334" s="3" t="e">
        <f t="shared" si="46"/>
        <v>#VALUE!</v>
      </c>
      <c r="I1334" s="1">
        <v>1</v>
      </c>
    </row>
    <row r="1335" spans="1:9" x14ac:dyDescent="0.25">
      <c r="A1335" s="1" t="s">
        <v>14435</v>
      </c>
      <c r="B1335" s="1" t="s">
        <v>3759</v>
      </c>
      <c r="C1335" s="1" t="str">
        <f>IFERROR(VLOOKUP(B1335,'SB1'!$A$2:$B$999999,2,FALSE),"")</f>
        <v>REVESTIMIENTO INTERNO PARA CHAPAS PLAVICON ANTICONDENSANTE X 20</v>
      </c>
      <c r="D1335" s="1" t="s">
        <v>14458</v>
      </c>
      <c r="E1335" s="3">
        <f>IFERROR(VLOOKUP(B1335,'DA1'!$B$2:$D$999999,3,FALSE),"")</f>
      </c>
      <c r="F1335" s="1" t="str">
        <f>IFERROR(VLOOKUP(B1335,'SB1'!$A$2:$C$999999,3,FALSE),"")</f>
        <v>503</v>
      </c>
      <c r="G1335" s="3" t="e">
        <f t="shared" si="45"/>
        <v>#VALUE!</v>
      </c>
      <c r="H1335" s="3" t="e">
        <f t="shared" si="46"/>
        <v>#VALUE!</v>
      </c>
      <c r="I1335" s="1">
        <v>1</v>
      </c>
    </row>
    <row r="1336" spans="1:9" x14ac:dyDescent="0.25">
      <c r="A1336" s="1" t="s">
        <v>14435</v>
      </c>
      <c r="B1336" s="1" t="s">
        <v>3777</v>
      </c>
      <c r="C1336" s="1" t="str">
        <f>IFERROR(VLOOKUP(B1336,'SB1'!$A$2:$B$999999,2,FALSE),"")</f>
        <v>IMPRIMACION EPOXI TERSUAVE X 4</v>
      </c>
      <c r="D1336" s="1" t="s">
        <v>14487</v>
      </c>
      <c r="E1336" s="3">
        <f>IFERROR(VLOOKUP(B1336,'DA1'!$B$2:$D$999999,3,FALSE),"")</f>
      </c>
      <c r="F1336" s="1" t="str">
        <f>IFERROR(VLOOKUP(B1336,'SB1'!$A$2:$C$999999,3,FALSE),"")</f>
        <v>503</v>
      </c>
      <c r="G1336" s="3" t="e">
        <f t="shared" si="45"/>
        <v>#VALUE!</v>
      </c>
      <c r="H1336" s="3" t="e">
        <f t="shared" si="46"/>
        <v>#VALUE!</v>
      </c>
      <c r="I1336" s="1">
        <v>1</v>
      </c>
    </row>
    <row r="1337" spans="1:9" x14ac:dyDescent="0.25">
      <c r="A1337" s="1" t="s">
        <v>14435</v>
      </c>
      <c r="B1337" s="1" t="s">
        <v>3779</v>
      </c>
      <c r="C1337" s="1" t="str">
        <f>IFERROR(VLOOKUP(B1337,'SB1'!$A$2:$B$999999,2,FALSE),"")</f>
        <v>IMPRIMACION EPOXI TERSUAVE X20</v>
      </c>
      <c r="D1337" s="1" t="s">
        <v>14487</v>
      </c>
      <c r="E1337" s="3">
        <f>IFERROR(VLOOKUP(B1337,'DA1'!$B$2:$D$999999,3,FALSE),"")</f>
      </c>
      <c r="F1337" s="1" t="str">
        <f>IFERROR(VLOOKUP(B1337,'SB1'!$A$2:$C$999999,3,FALSE),"")</f>
        <v>503</v>
      </c>
      <c r="G1337" s="3" t="e">
        <f t="shared" si="45"/>
        <v>#VALUE!</v>
      </c>
      <c r="H1337" s="3" t="e">
        <f t="shared" si="46"/>
        <v>#VALUE!</v>
      </c>
      <c r="I1337" s="1">
        <v>1</v>
      </c>
    </row>
    <row r="1338" spans="1:9" x14ac:dyDescent="0.25">
      <c r="A1338" s="1" t="s">
        <v>14435</v>
      </c>
      <c r="B1338" s="1" t="s">
        <v>3787</v>
      </c>
      <c r="C1338" s="1" t="str">
        <f>IFERROR(VLOOKUP(B1338,'SB1'!$A$2:$B$999999,2,FALSE),"")</f>
        <v>LIJA ANTIEMPASTE OXIDO ALUMINIO RAPIFIX # 120</v>
      </c>
      <c r="D1338" s="1" t="s">
        <v>14486</v>
      </c>
      <c r="E1338" s="3">
        <f>IFERROR(VLOOKUP(B1338,'DA1'!$B$2:$D$999999,3,FALSE),"")</f>
      </c>
      <c r="F1338" s="1" t="str">
        <f>IFERROR(VLOOKUP(B1338,'SB1'!$A$2:$C$999999,3,FALSE),"")</f>
        <v>503</v>
      </c>
      <c r="G1338" s="3" t="e">
        <f t="shared" si="45"/>
        <v>#VALUE!</v>
      </c>
      <c r="H1338" s="3" t="e">
        <f t="shared" si="46"/>
        <v>#VALUE!</v>
      </c>
      <c r="I1338" s="1">
        <v>2</v>
      </c>
    </row>
    <row r="1339" spans="1:9" x14ac:dyDescent="0.25">
      <c r="A1339" s="1" t="s">
        <v>14435</v>
      </c>
      <c r="B1339" s="1" t="s">
        <v>3799</v>
      </c>
      <c r="C1339" s="1" t="str">
        <f>IFERROR(VLOOKUP(B1339,'SB1'!$A$2:$B$999999,2,FALSE),"")</f>
        <v>IMPERMEABILIZANTE PARA TECHOS PLAVICON FIBRADO ROJO X  0,320</v>
      </c>
      <c r="D1339" s="1" t="s">
        <v>14458</v>
      </c>
      <c r="E1339" s="3">
        <f>IFERROR(VLOOKUP(B1339,'DA1'!$B$2:$D$999999,3,FALSE),"")</f>
      </c>
      <c r="F1339" s="1" t="str">
        <f>IFERROR(VLOOKUP(B1339,'SB1'!$A$2:$C$999999,3,FALSE),"")</f>
        <v>503</v>
      </c>
      <c r="G1339" s="3" t="e">
        <f t="shared" si="45"/>
        <v>#VALUE!</v>
      </c>
      <c r="H1339" s="3" t="e">
        <f t="shared" si="46"/>
        <v>#VALUE!</v>
      </c>
      <c r="I1339" s="1">
        <v>1</v>
      </c>
    </row>
    <row r="1340" spans="1:9" x14ac:dyDescent="0.25">
      <c r="A1340" s="1" t="s">
        <v>14435</v>
      </c>
      <c r="B1340" s="1" t="s">
        <v>3801</v>
      </c>
      <c r="C1340" s="1" t="str">
        <f>IFERROR(VLOOKUP(B1340,'SB1'!$A$2:$B$999999,2,FALSE),"")</f>
        <v>IMPERMEABILIZANTE PARA TECHOS PLAVICON FIBRADO ROJO X  1,250</v>
      </c>
      <c r="D1340" s="1" t="s">
        <v>14458</v>
      </c>
      <c r="E1340" s="3">
        <f>IFERROR(VLOOKUP(B1340,'DA1'!$B$2:$D$999999,3,FALSE),"")</f>
      </c>
      <c r="F1340" s="1" t="str">
        <f>IFERROR(VLOOKUP(B1340,'SB1'!$A$2:$C$999999,3,FALSE),"")</f>
        <v>503</v>
      </c>
      <c r="G1340" s="3" t="e">
        <f t="shared" si="45"/>
        <v>#VALUE!</v>
      </c>
      <c r="H1340" s="3" t="e">
        <f t="shared" si="46"/>
        <v>#VALUE!</v>
      </c>
      <c r="I1340" s="1">
        <v>1</v>
      </c>
    </row>
    <row r="1341" spans="1:9" x14ac:dyDescent="0.25">
      <c r="A1341" s="1" t="s">
        <v>14435</v>
      </c>
      <c r="B1341" s="1" t="s">
        <v>3803</v>
      </c>
      <c r="C1341" s="1" t="str">
        <f>IFERROR(VLOOKUP(B1341,'SB1'!$A$2:$B$999999,2,FALSE),"")</f>
        <v>IMPERMEABILIZANTE PARA TECHOS PLAVICON FIBRADO ROJO X  5</v>
      </c>
      <c r="D1341" s="1" t="s">
        <v>14458</v>
      </c>
      <c r="E1341" s="3">
        <f>IFERROR(VLOOKUP(B1341,'DA1'!$B$2:$D$999999,3,FALSE),"")</f>
      </c>
      <c r="F1341" s="1" t="str">
        <f>IFERROR(VLOOKUP(B1341,'SB1'!$A$2:$C$999999,3,FALSE),"")</f>
        <v>503</v>
      </c>
      <c r="G1341" s="3" t="e">
        <f t="shared" si="45"/>
        <v>#VALUE!</v>
      </c>
      <c r="H1341" s="3" t="e">
        <f t="shared" si="46"/>
        <v>#VALUE!</v>
      </c>
      <c r="I1341" s="1">
        <v>1</v>
      </c>
    </row>
    <row r="1342" spans="1:9" x14ac:dyDescent="0.25">
      <c r="A1342" s="1" t="s">
        <v>14435</v>
      </c>
      <c r="B1342" s="1" t="s">
        <v>3805</v>
      </c>
      <c r="C1342" s="1" t="str">
        <f>IFERROR(VLOOKUP(B1342,'SB1'!$A$2:$B$999999,2,FALSE),"")</f>
        <v>IMPERMEABILIZANTE PARA TECHOS PLAVICON FIBRADO ROJO X 12</v>
      </c>
      <c r="D1342" s="1" t="s">
        <v>14458</v>
      </c>
      <c r="E1342" s="3">
        <f>IFERROR(VLOOKUP(B1342,'DA1'!$B$2:$D$999999,3,FALSE),"")</f>
      </c>
      <c r="F1342" s="1" t="str">
        <f>IFERROR(VLOOKUP(B1342,'SB1'!$A$2:$C$999999,3,FALSE),"")</f>
        <v>503</v>
      </c>
      <c r="G1342" s="3" t="e">
        <f t="shared" si="45"/>
        <v>#VALUE!</v>
      </c>
      <c r="H1342" s="3" t="e">
        <f t="shared" si="46"/>
        <v>#VALUE!</v>
      </c>
      <c r="I1342" s="1">
        <v>1</v>
      </c>
    </row>
    <row r="1343" spans="1:9" x14ac:dyDescent="0.25">
      <c r="A1343" s="1" t="s">
        <v>14435</v>
      </c>
      <c r="B1343" s="1" t="s">
        <v>3807</v>
      </c>
      <c r="C1343" s="1" t="str">
        <f>IFERROR(VLOOKUP(B1343,'SB1'!$A$2:$B$999999,2,FALSE),"")</f>
        <v>IMPERMEABILIZANTE PARA TECHOS PLAVICON FIBRADO ROJO X 25</v>
      </c>
      <c r="D1343" s="1" t="s">
        <v>14458</v>
      </c>
      <c r="E1343" s="3">
        <f>IFERROR(VLOOKUP(B1343,'DA1'!$B$2:$D$999999,3,FALSE),"")</f>
      </c>
      <c r="F1343" s="1" t="str">
        <f>IFERROR(VLOOKUP(B1343,'SB1'!$A$2:$C$999999,3,FALSE),"")</f>
        <v>503</v>
      </c>
      <c r="G1343" s="3" t="e">
        <f t="shared" si="45"/>
        <v>#VALUE!</v>
      </c>
      <c r="H1343" s="3" t="e">
        <f t="shared" si="46"/>
        <v>#VALUE!</v>
      </c>
      <c r="I1343" s="1">
        <v>1</v>
      </c>
    </row>
    <row r="1344" spans="1:9" x14ac:dyDescent="0.25">
      <c r="A1344" s="1" t="s">
        <v>14435</v>
      </c>
      <c r="B1344" s="1" t="s">
        <v>3817</v>
      </c>
      <c r="C1344" s="1" t="str">
        <f>IFERROR(VLOOKUP(B1344,'SB1'!$A$2:$B$999999,2,FALSE),"")</f>
        <v>SELLADOR MULTIUSO PLAVICON SELLADOR PRO BLANCO X  5</v>
      </c>
      <c r="D1344" s="1" t="s">
        <v>14458</v>
      </c>
      <c r="E1344" s="3">
        <f>IFERROR(VLOOKUP(B1344,'DA1'!$B$2:$D$999999,3,FALSE),"")</f>
      </c>
      <c r="F1344" s="1" t="str">
        <f>IFERROR(VLOOKUP(B1344,'SB1'!$A$2:$C$999999,3,FALSE),"")</f>
        <v>503</v>
      </c>
      <c r="G1344" s="3" t="e">
        <f t="shared" si="45"/>
        <v>#VALUE!</v>
      </c>
      <c r="H1344" s="3" t="e">
        <f t="shared" si="46"/>
        <v>#VALUE!</v>
      </c>
      <c r="I1344" s="1">
        <v>1</v>
      </c>
    </row>
    <row r="1345" spans="1:9" x14ac:dyDescent="0.25">
      <c r="A1345" s="1" t="s">
        <v>14435</v>
      </c>
      <c r="B1345" s="1" t="s">
        <v>3819</v>
      </c>
      <c r="C1345" s="1" t="str">
        <f>IFERROR(VLOOKUP(B1345,'SB1'!$A$2:$B$999999,2,FALSE),"")</f>
        <v>IMPERMEABILIZANTE PARA TECHOS PLAVICON TAPAGOTERAS X  1</v>
      </c>
      <c r="D1345" s="1" t="s">
        <v>14458</v>
      </c>
      <c r="E1345" s="3">
        <f>IFERROR(VLOOKUP(B1345,'DA1'!$B$2:$D$999999,3,FALSE),"")</f>
      </c>
      <c r="F1345" s="1" t="str">
        <f>IFERROR(VLOOKUP(B1345,'SB1'!$A$2:$C$999999,3,FALSE),"")</f>
        <v>503</v>
      </c>
      <c r="G1345" s="3" t="e">
        <f t="shared" si="45"/>
        <v>#VALUE!</v>
      </c>
      <c r="H1345" s="3" t="e">
        <f t="shared" si="46"/>
        <v>#VALUE!</v>
      </c>
      <c r="I1345" s="1">
        <v>1</v>
      </c>
    </row>
    <row r="1346" spans="1:9" x14ac:dyDescent="0.25">
      <c r="A1346" s="1" t="s">
        <v>14435</v>
      </c>
      <c r="B1346" s="1" t="s">
        <v>3821</v>
      </c>
      <c r="C1346" s="1" t="str">
        <f>IFERROR(VLOOKUP(B1346,'SB1'!$A$2:$B$999999,2,FALSE),"")</f>
        <v>IMPERMEABILIZANTE PARA TECHOS PLAVICON TAPAGOTERAS X  5</v>
      </c>
      <c r="D1346" s="1" t="s">
        <v>14458</v>
      </c>
      <c r="E1346" s="3">
        <f>IFERROR(VLOOKUP(B1346,'DA1'!$B$2:$D$999999,3,FALSE),"")</f>
      </c>
      <c r="F1346" s="1" t="str">
        <f>IFERROR(VLOOKUP(B1346,'SB1'!$A$2:$C$999999,3,FALSE),"")</f>
        <v>503</v>
      </c>
      <c r="G1346" s="3" t="e">
        <f t="shared" si="45"/>
        <v>#VALUE!</v>
      </c>
      <c r="H1346" s="3" t="e">
        <f t="shared" si="46"/>
        <v>#VALUE!</v>
      </c>
      <c r="I1346" s="1">
        <v>1</v>
      </c>
    </row>
    <row r="1347" spans="1:9" x14ac:dyDescent="0.25">
      <c r="A1347" s="1" t="s">
        <v>14435</v>
      </c>
      <c r="B1347" s="1" t="s">
        <v>3823</v>
      </c>
      <c r="C1347" s="1" t="str">
        <f>IFERROR(VLOOKUP(B1347,'SB1'!$A$2:$B$999999,2,FALSE),"")</f>
        <v>IMPERMEABILIZANTE PARA TECHOS PLAVICON TAPAGOTERAS X 20</v>
      </c>
      <c r="D1347" s="1" t="s">
        <v>14458</v>
      </c>
      <c r="E1347" s="3">
        <f>IFERROR(VLOOKUP(B1347,'DA1'!$B$2:$D$999999,3,FALSE),"")</f>
      </c>
      <c r="F1347" s="1" t="str">
        <f>IFERROR(VLOOKUP(B1347,'SB1'!$A$2:$C$999999,3,FALSE),"")</f>
        <v>503</v>
      </c>
      <c r="G1347" s="3" t="e">
        <f t="shared" ref="G1347:G1410" si="47">E1347*1.04</f>
        <v>#VALUE!</v>
      </c>
      <c r="H1347" s="3" t="e">
        <f t="shared" si="46"/>
        <v>#VALUE!</v>
      </c>
      <c r="I1347" s="1">
        <v>1</v>
      </c>
    </row>
    <row r="1348" spans="1:9" x14ac:dyDescent="0.25">
      <c r="A1348" s="1" t="s">
        <v>14435</v>
      </c>
      <c r="B1348" s="1" t="s">
        <v>3825</v>
      </c>
      <c r="C1348" s="1" t="str">
        <f>IFERROR(VLOOKUP(B1348,'SB1'!$A$2:$B$999999,2,FALSE),"")</f>
        <v>SELLADOR MULTIUSO PLAVICON SELLADOR PRO BLANCO X  0,450</v>
      </c>
      <c r="D1348" s="1" t="s">
        <v>14458</v>
      </c>
      <c r="E1348" s="3">
        <f>IFERROR(VLOOKUP(B1348,'DA1'!$B$2:$D$999999,3,FALSE),"")</f>
      </c>
      <c r="F1348" s="1" t="str">
        <f>IFERROR(VLOOKUP(B1348,'SB1'!$A$2:$C$999999,3,FALSE),"")</f>
        <v>503</v>
      </c>
      <c r="G1348" s="3" t="e">
        <f t="shared" si="47"/>
        <v>#VALUE!</v>
      </c>
      <c r="H1348" s="3" t="e">
        <f t="shared" si="46"/>
        <v>#VALUE!</v>
      </c>
      <c r="I1348" s="1">
        <v>1</v>
      </c>
    </row>
    <row r="1349" spans="1:9" x14ac:dyDescent="0.25">
      <c r="A1349" s="1" t="s">
        <v>14435</v>
      </c>
      <c r="B1349" s="1" t="s">
        <v>3831</v>
      </c>
      <c r="C1349" s="1" t="str">
        <f>IFERROR(VLOOKUP(B1349,'SB1'!$A$2:$B$999999,2,FALSE),"")</f>
        <v>SELLADOR MULTIUSO PLAVICON SELLADOR PRO BLANCO X  0,350</v>
      </c>
      <c r="D1349" s="1" t="s">
        <v>14458</v>
      </c>
      <c r="E1349" s="3">
        <f>IFERROR(VLOOKUP(B1349,'DA1'!$B$2:$D$999999,3,FALSE),"")</f>
      </c>
      <c r="F1349" s="1" t="str">
        <f>IFERROR(VLOOKUP(B1349,'SB1'!$A$2:$C$999999,3,FALSE),"")</f>
        <v>503</v>
      </c>
      <c r="G1349" s="3" t="e">
        <f t="shared" si="47"/>
        <v>#VALUE!</v>
      </c>
      <c r="H1349" s="3" t="e">
        <f t="shared" si="46"/>
        <v>#VALUE!</v>
      </c>
      <c r="I1349" s="1">
        <v>1</v>
      </c>
    </row>
    <row r="1350" spans="1:9" x14ac:dyDescent="0.25">
      <c r="A1350" s="1" t="s">
        <v>14435</v>
      </c>
      <c r="B1350" s="1" t="s">
        <v>3833</v>
      </c>
      <c r="C1350" s="1" t="str">
        <f>IFERROR(VLOOKUP(B1350,'SB1'!$A$2:$B$999999,2,FALSE),"")</f>
        <v>SELLADOR MULTIUSO PLAVICON SELLADOR PRO BLANCO X  1</v>
      </c>
      <c r="D1350" s="1" t="s">
        <v>14458</v>
      </c>
      <c r="E1350" s="3">
        <f>IFERROR(VLOOKUP(B1350,'DA1'!$B$2:$D$999999,3,FALSE),"")</f>
      </c>
      <c r="F1350" s="1" t="str">
        <f>IFERROR(VLOOKUP(B1350,'SB1'!$A$2:$C$999999,3,FALSE),"")</f>
        <v>503</v>
      </c>
      <c r="G1350" s="3" t="e">
        <f t="shared" si="47"/>
        <v>#VALUE!</v>
      </c>
      <c r="H1350" s="3" t="e">
        <f t="shared" si="46"/>
        <v>#VALUE!</v>
      </c>
      <c r="I1350" s="1">
        <v>1</v>
      </c>
    </row>
    <row r="1351" spans="1:9" x14ac:dyDescent="0.25">
      <c r="A1351" s="1" t="s">
        <v>14435</v>
      </c>
      <c r="B1351" s="1" t="s">
        <v>3835</v>
      </c>
      <c r="C1351" s="1" t="str">
        <f>IFERROR(VLOOKUP(B1351,'SB1'!$A$2:$B$999999,2,FALSE),"")</f>
        <v>SELLADOR SINTETICO PARA FISURAS Y GRIETAS PLAVICON SELLADOR PILETAS X 0,450</v>
      </c>
      <c r="D1351" s="1" t="s">
        <v>14458</v>
      </c>
      <c r="E1351" s="3">
        <f>IFERROR(VLOOKUP(B1351,'DA1'!$B$2:$D$999999,3,FALSE),"")</f>
      </c>
      <c r="F1351" s="1" t="str">
        <f>IFERROR(VLOOKUP(B1351,'SB1'!$A$2:$C$999999,3,FALSE),"")</f>
        <v>503</v>
      </c>
      <c r="G1351" s="3" t="e">
        <f t="shared" si="47"/>
        <v>#VALUE!</v>
      </c>
      <c r="H1351" s="3" t="e">
        <f t="shared" si="46"/>
        <v>#VALUE!</v>
      </c>
      <c r="I1351" s="1">
        <v>1</v>
      </c>
    </row>
    <row r="1352" spans="1:9" x14ac:dyDescent="0.25">
      <c r="A1352" s="1" t="s">
        <v>14435</v>
      </c>
      <c r="B1352" s="1" t="s">
        <v>3837</v>
      </c>
      <c r="C1352" s="1" t="str">
        <f>IFERROR(VLOOKUP(B1352,'SB1'!$A$2:$B$999999,2,FALSE),"")</f>
        <v>SELLADOR SINTETICO PARA FISURAS Y GRIETAS PLAVICON SELLADOR PILETAS X 1,250</v>
      </c>
      <c r="D1352" s="1" t="s">
        <v>14458</v>
      </c>
      <c r="E1352" s="3">
        <f>IFERROR(VLOOKUP(B1352,'DA1'!$B$2:$D$999999,3,FALSE),"")</f>
      </c>
      <c r="F1352" s="1" t="str">
        <f>IFERROR(VLOOKUP(B1352,'SB1'!$A$2:$C$999999,3,FALSE),"")</f>
        <v>503</v>
      </c>
      <c r="G1352" s="3" t="e">
        <f t="shared" si="47"/>
        <v>#VALUE!</v>
      </c>
      <c r="H1352" s="3" t="e">
        <f t="shared" si="46"/>
        <v>#VALUE!</v>
      </c>
      <c r="I1352" s="1">
        <v>1</v>
      </c>
    </row>
    <row r="1353" spans="1:9" x14ac:dyDescent="0.25">
      <c r="A1353" s="1" t="s">
        <v>14435</v>
      </c>
      <c r="B1353" s="1" t="s">
        <v>3839</v>
      </c>
      <c r="C1353" s="1" t="str">
        <f>IFERROR(VLOOKUP(B1353,'SB1'!$A$2:$B$999999,2,FALSE),"")</f>
        <v>LACA PARA PISO PLAVICON PISOACRIL TRANSPARENTE X  1</v>
      </c>
      <c r="D1353" s="1" t="s">
        <v>14458</v>
      </c>
      <c r="E1353" s="3">
        <f>IFERROR(VLOOKUP(B1353,'DA1'!$B$2:$D$999999,3,FALSE),"")</f>
      </c>
      <c r="F1353" s="1" t="str">
        <f>IFERROR(VLOOKUP(B1353,'SB1'!$A$2:$C$999999,3,FALSE),"")</f>
        <v>503</v>
      </c>
      <c r="G1353" s="3" t="e">
        <f t="shared" si="47"/>
        <v>#VALUE!</v>
      </c>
      <c r="H1353" s="3" t="e">
        <f t="shared" si="46"/>
        <v>#VALUE!</v>
      </c>
      <c r="I1353" s="1">
        <v>1</v>
      </c>
    </row>
    <row r="1354" spans="1:9" x14ac:dyDescent="0.25">
      <c r="A1354" s="1" t="s">
        <v>14435</v>
      </c>
      <c r="B1354" s="1" t="s">
        <v>3841</v>
      </c>
      <c r="C1354" s="1" t="str">
        <f>IFERROR(VLOOKUP(B1354,'SB1'!$A$2:$B$999999,2,FALSE),"")</f>
        <v>LACA PARA PISO PLAVICON PISOACRIL TRANSPARENTE X  4</v>
      </c>
      <c r="D1354" s="1" t="s">
        <v>14458</v>
      </c>
      <c r="E1354" s="3">
        <f>IFERROR(VLOOKUP(B1354,'DA1'!$B$2:$D$999999,3,FALSE),"")</f>
      </c>
      <c r="F1354" s="1" t="str">
        <f>IFERROR(VLOOKUP(B1354,'SB1'!$A$2:$C$999999,3,FALSE),"")</f>
        <v>503</v>
      </c>
      <c r="G1354" s="3" t="e">
        <f t="shared" si="47"/>
        <v>#VALUE!</v>
      </c>
      <c r="H1354" s="3" t="e">
        <f t="shared" si="46"/>
        <v>#VALUE!</v>
      </c>
      <c r="I1354" s="1">
        <v>1</v>
      </c>
    </row>
    <row r="1355" spans="1:9" x14ac:dyDescent="0.25">
      <c r="A1355" s="1" t="s">
        <v>14435</v>
      </c>
      <c r="B1355" s="1" t="s">
        <v>3843</v>
      </c>
      <c r="C1355" s="1" t="str">
        <f>IFERROR(VLOOKUP(B1355,'SB1'!$A$2:$B$999999,2,FALSE),"")</f>
        <v>IMPERMEABILIZANTE PARA FRENTES PLAVICON MATE BLANCO X  1,250</v>
      </c>
      <c r="D1355" s="1" t="s">
        <v>14458</v>
      </c>
      <c r="E1355" s="3">
        <f>IFERROR(VLOOKUP(B1355,'DA1'!$B$2:$D$999999,3,FALSE),"")</f>
      </c>
      <c r="F1355" s="1" t="str">
        <f>IFERROR(VLOOKUP(B1355,'SB1'!$A$2:$C$999999,3,FALSE),"")</f>
        <v>503</v>
      </c>
      <c r="G1355" s="3" t="e">
        <f t="shared" si="47"/>
        <v>#VALUE!</v>
      </c>
      <c r="H1355" s="3" t="e">
        <f t="shared" si="46"/>
        <v>#VALUE!</v>
      </c>
      <c r="I1355" s="1">
        <v>1</v>
      </c>
    </row>
    <row r="1356" spans="1:9" x14ac:dyDescent="0.25">
      <c r="A1356" s="1" t="s">
        <v>14435</v>
      </c>
      <c r="B1356" s="1" t="s">
        <v>3845</v>
      </c>
      <c r="C1356" s="1" t="str">
        <f>IFERROR(VLOOKUP(B1356,'SB1'!$A$2:$B$999999,2,FALSE),"")</f>
        <v>IMPERMEABILIZANTE PARA FRENTES PLAVICON MATE BLANCO X  5</v>
      </c>
      <c r="D1356" s="1" t="s">
        <v>14458</v>
      </c>
      <c r="E1356" s="3">
        <f>IFERROR(VLOOKUP(B1356,'DA1'!$B$2:$D$999999,3,FALSE),"")</f>
      </c>
      <c r="F1356" s="1" t="str">
        <f>IFERROR(VLOOKUP(B1356,'SB1'!$A$2:$C$999999,3,FALSE),"")</f>
        <v>503</v>
      </c>
      <c r="G1356" s="3" t="e">
        <f t="shared" si="47"/>
        <v>#VALUE!</v>
      </c>
      <c r="H1356" s="3" t="e">
        <f t="shared" si="46"/>
        <v>#VALUE!</v>
      </c>
      <c r="I1356" s="1">
        <v>1</v>
      </c>
    </row>
    <row r="1357" spans="1:9" x14ac:dyDescent="0.25">
      <c r="A1357" s="1" t="s">
        <v>14435</v>
      </c>
      <c r="B1357" s="1" t="s">
        <v>3847</v>
      </c>
      <c r="C1357" s="1" t="str">
        <f>IFERROR(VLOOKUP(B1357,'SB1'!$A$2:$B$999999,2,FALSE),"")</f>
        <v>IMPERMEABILIZANTE PARA FRENTES PLAVICON MATE BLANCO X 12</v>
      </c>
      <c r="D1357" s="1" t="s">
        <v>14458</v>
      </c>
      <c r="E1357" s="3">
        <f>IFERROR(VLOOKUP(B1357,'DA1'!$B$2:$D$999999,3,FALSE),"")</f>
      </c>
      <c r="F1357" s="1" t="str">
        <f>IFERROR(VLOOKUP(B1357,'SB1'!$A$2:$C$999999,3,FALSE),"")</f>
        <v>503</v>
      </c>
      <c r="G1357" s="3" t="e">
        <f t="shared" si="47"/>
        <v>#VALUE!</v>
      </c>
      <c r="H1357" s="3" t="e">
        <f t="shared" si="46"/>
        <v>#VALUE!</v>
      </c>
      <c r="I1357" s="1">
        <v>1</v>
      </c>
    </row>
    <row r="1358" spans="1:9" x14ac:dyDescent="0.25">
      <c r="A1358" s="1" t="s">
        <v>14435</v>
      </c>
      <c r="B1358" s="1" t="s">
        <v>3849</v>
      </c>
      <c r="C1358" s="1" t="str">
        <f>IFERROR(VLOOKUP(B1358,'SB1'!$A$2:$B$999999,2,FALSE),"")</f>
        <v>IMPERMEABILIZANTE PARA FRENTES PLAVICON MATE BLANCO X 25</v>
      </c>
      <c r="D1358" s="1" t="s">
        <v>14458</v>
      </c>
      <c r="E1358" s="3">
        <f>IFERROR(VLOOKUP(B1358,'DA1'!$B$2:$D$999999,3,FALSE),"")</f>
      </c>
      <c r="F1358" s="1" t="str">
        <f>IFERROR(VLOOKUP(B1358,'SB1'!$A$2:$C$999999,3,FALSE),"")</f>
        <v>503</v>
      </c>
      <c r="G1358" s="3" t="e">
        <f t="shared" si="47"/>
        <v>#VALUE!</v>
      </c>
      <c r="H1358" s="3" t="e">
        <f t="shared" si="46"/>
        <v>#VALUE!</v>
      </c>
      <c r="I1358" s="1">
        <v>1</v>
      </c>
    </row>
    <row r="1359" spans="1:9" x14ac:dyDescent="0.25">
      <c r="A1359" s="1" t="s">
        <v>14435</v>
      </c>
      <c r="B1359" s="1" t="s">
        <v>3851</v>
      </c>
      <c r="C1359" s="1" t="str">
        <f>IFERROR(VLOOKUP(B1359,'SB1'!$A$2:$B$999999,2,FALSE),"")</f>
        <v>IMPERMEABLIZANTE ANTIHUMEDAD TERSEC X 1</v>
      </c>
      <c r="D1359" s="1" t="s">
        <v>14437</v>
      </c>
      <c r="E1359" s="3">
        <f>IFERROR(VLOOKUP(B1359,'DA1'!$B$2:$D$999999,3,FALSE),"")</f>
      </c>
      <c r="F1359" s="1" t="str">
        <f>IFERROR(VLOOKUP(B1359,'SB1'!$A$2:$C$999999,3,FALSE),"")</f>
        <v>503</v>
      </c>
      <c r="G1359" s="3" t="e">
        <f t="shared" si="47"/>
        <v>#VALUE!</v>
      </c>
      <c r="H1359" s="3" t="e">
        <f t="shared" si="46"/>
        <v>#VALUE!</v>
      </c>
      <c r="I1359" s="1">
        <v>1</v>
      </c>
    </row>
    <row r="1360" spans="1:9" x14ac:dyDescent="0.25">
      <c r="A1360" s="1" t="s">
        <v>14435</v>
      </c>
      <c r="B1360" s="1" t="s">
        <v>3853</v>
      </c>
      <c r="C1360" s="1" t="str">
        <f>IFERROR(VLOOKUP(B1360,'SB1'!$A$2:$B$999999,2,FALSE),"")</f>
        <v>IMPERMEABLIZANTE ANTIHUMEDAD TERSEC X 4</v>
      </c>
      <c r="D1360" s="1" t="s">
        <v>14439</v>
      </c>
      <c r="E1360" s="3">
        <f>IFERROR(VLOOKUP(B1360,'DA1'!$B$2:$D$999999,3,FALSE),"")</f>
      </c>
      <c r="F1360" s="1" t="str">
        <f>IFERROR(VLOOKUP(B1360,'SB1'!$A$2:$C$999999,3,FALSE),"")</f>
        <v>503</v>
      </c>
      <c r="G1360" s="3" t="e">
        <f t="shared" si="47"/>
        <v>#VALUE!</v>
      </c>
      <c r="H1360" s="3" t="e">
        <f t="shared" si="46"/>
        <v>#VALUE!</v>
      </c>
      <c r="I1360" s="1">
        <v>1</v>
      </c>
    </row>
    <row r="1361" spans="1:9" x14ac:dyDescent="0.25">
      <c r="A1361" s="1" t="s">
        <v>14435</v>
      </c>
      <c r="B1361" s="1" t="s">
        <v>3855</v>
      </c>
      <c r="C1361" s="1" t="str">
        <f>IFERROR(VLOOKUP(B1361,'SB1'!$A$2:$B$999999,2,FALSE),"")</f>
        <v>IMPERMEABILIZANTE PARA FRENTES PLAVICON MATE ROJO X  1,250</v>
      </c>
      <c r="D1361" s="1" t="s">
        <v>14458</v>
      </c>
      <c r="E1361" s="3">
        <f>IFERROR(VLOOKUP(B1361,'DA1'!$B$2:$D$999999,3,FALSE),"")</f>
      </c>
      <c r="F1361" s="1" t="str">
        <f>IFERROR(VLOOKUP(B1361,'SB1'!$A$2:$C$999999,3,FALSE),"")</f>
        <v>503</v>
      </c>
      <c r="G1361" s="3" t="e">
        <f t="shared" si="47"/>
        <v>#VALUE!</v>
      </c>
      <c r="H1361" s="3" t="e">
        <f t="shared" si="46"/>
        <v>#VALUE!</v>
      </c>
      <c r="I1361" s="1">
        <v>1</v>
      </c>
    </row>
    <row r="1362" spans="1:9" x14ac:dyDescent="0.25">
      <c r="A1362" s="1" t="s">
        <v>14435</v>
      </c>
      <c r="B1362" s="1" t="s">
        <v>3857</v>
      </c>
      <c r="C1362" s="1" t="str">
        <f>IFERROR(VLOOKUP(B1362,'SB1'!$A$2:$B$999999,2,FALSE),"")</f>
        <v>IMPERMEABILIZANTE PARA FRENTES PLAVICON MATE ROJO X  5</v>
      </c>
      <c r="D1362" s="1" t="s">
        <v>14458</v>
      </c>
      <c r="E1362" s="3">
        <f>IFERROR(VLOOKUP(B1362,'DA1'!$B$2:$D$999999,3,FALSE),"")</f>
      </c>
      <c r="F1362" s="1" t="str">
        <f>IFERROR(VLOOKUP(B1362,'SB1'!$A$2:$C$999999,3,FALSE),"")</f>
        <v>503</v>
      </c>
      <c r="G1362" s="3" t="e">
        <f t="shared" si="47"/>
        <v>#VALUE!</v>
      </c>
      <c r="H1362" s="3" t="e">
        <f t="shared" si="46"/>
        <v>#VALUE!</v>
      </c>
      <c r="I1362" s="1">
        <v>1</v>
      </c>
    </row>
    <row r="1363" spans="1:9" x14ac:dyDescent="0.25">
      <c r="A1363" s="1" t="s">
        <v>14435</v>
      </c>
      <c r="B1363" s="1" t="s">
        <v>3859</v>
      </c>
      <c r="C1363" s="1" t="str">
        <f>IFERROR(VLOOKUP(B1363,'SB1'!$A$2:$B$999999,2,FALSE),"")</f>
        <v>IMPERMEABILIZANTE PARA FRENTES PLAVICON MATE ROJO X 12</v>
      </c>
      <c r="D1363" s="1" t="s">
        <v>14458</v>
      </c>
      <c r="E1363" s="3">
        <f>IFERROR(VLOOKUP(B1363,'DA1'!$B$2:$D$999999,3,FALSE),"")</f>
      </c>
      <c r="F1363" s="1" t="str">
        <f>IFERROR(VLOOKUP(B1363,'SB1'!$A$2:$C$999999,3,FALSE),"")</f>
        <v>503</v>
      </c>
      <c r="G1363" s="3" t="e">
        <f t="shared" si="47"/>
        <v>#VALUE!</v>
      </c>
      <c r="H1363" s="3" t="e">
        <f t="shared" si="46"/>
        <v>#VALUE!</v>
      </c>
      <c r="I1363" s="1">
        <v>1</v>
      </c>
    </row>
    <row r="1364" spans="1:9" x14ac:dyDescent="0.25">
      <c r="A1364" s="1" t="s">
        <v>14435</v>
      </c>
      <c r="B1364" s="1" t="s">
        <v>3861</v>
      </c>
      <c r="C1364" s="1" t="str">
        <f>IFERROR(VLOOKUP(B1364,'SB1'!$A$2:$B$999999,2,FALSE),"")</f>
        <v>IMPERMEABILIZANTE PARA FRENTES PLAVICON MATE ROJO X 25</v>
      </c>
      <c r="D1364" s="1" t="s">
        <v>14458</v>
      </c>
      <c r="E1364" s="3">
        <f>IFERROR(VLOOKUP(B1364,'DA1'!$B$2:$D$999999,3,FALSE),"")</f>
      </c>
      <c r="F1364" s="1" t="str">
        <f>IFERROR(VLOOKUP(B1364,'SB1'!$A$2:$C$999999,3,FALSE),"")</f>
        <v>503</v>
      </c>
      <c r="G1364" s="3" t="e">
        <f t="shared" si="47"/>
        <v>#VALUE!</v>
      </c>
      <c r="H1364" s="3" t="e">
        <f t="shared" si="46"/>
        <v>#VALUE!</v>
      </c>
      <c r="I1364" s="1">
        <v>1</v>
      </c>
    </row>
    <row r="1365" spans="1:9" x14ac:dyDescent="0.25">
      <c r="A1365" s="1" t="s">
        <v>14435</v>
      </c>
      <c r="B1365" s="1" t="s">
        <v>3863</v>
      </c>
      <c r="C1365" s="1" t="str">
        <f>IFERROR(VLOOKUP(B1365,'SB1'!$A$2:$B$999999,2,FALSE),"")</f>
        <v>MEMBRANA ASFALTICA MEGAFLEX ALUMINIO MGX 35KG.X 10MTS</v>
      </c>
      <c r="D1365" s="1" t="s">
        <v>14466</v>
      </c>
      <c r="E1365" s="3">
        <f>IFERROR(VLOOKUP(B1365,'DA1'!$B$2:$D$999999,3,FALSE),"")</f>
      </c>
      <c r="F1365" s="1" t="str">
        <f>IFERROR(VLOOKUP(B1365,'SB1'!$A$2:$C$999999,3,FALSE),"")</f>
        <v>503</v>
      </c>
      <c r="G1365" s="3" t="e">
        <f t="shared" si="47"/>
        <v>#VALUE!</v>
      </c>
      <c r="H1365" s="3" t="e">
        <f t="shared" si="46"/>
        <v>#VALUE!</v>
      </c>
      <c r="I1365" s="1">
        <v>1</v>
      </c>
    </row>
    <row r="1366" spans="1:9" x14ac:dyDescent="0.25">
      <c r="A1366" s="1" t="s">
        <v>14435</v>
      </c>
      <c r="B1366" s="1" t="s">
        <v>3865</v>
      </c>
      <c r="C1366" s="1" t="str">
        <f>IFERROR(VLOOKUP(B1366,'SB1'!$A$2:$B$999999,2,FALSE),"")</f>
        <v>SELLADOR MULTIUSO PLAVICON SELLADOR PRO BLANCO X 25</v>
      </c>
      <c r="D1366" s="1" t="s">
        <v>14458</v>
      </c>
      <c r="E1366" s="3">
        <f>IFERROR(VLOOKUP(B1366,'DA1'!$B$2:$D$999999,3,FALSE),"")</f>
      </c>
      <c r="F1366" s="1" t="str">
        <f>IFERROR(VLOOKUP(B1366,'SB1'!$A$2:$C$999999,3,FALSE),"")</f>
        <v>503</v>
      </c>
      <c r="G1366" s="3" t="e">
        <f t="shared" si="47"/>
        <v>#VALUE!</v>
      </c>
      <c r="H1366" s="3" t="e">
        <f t="shared" si="46"/>
        <v>#VALUE!</v>
      </c>
      <c r="I1366" s="1">
        <v>1</v>
      </c>
    </row>
    <row r="1367" spans="1:9" x14ac:dyDescent="0.25">
      <c r="A1367" s="1" t="s">
        <v>14435</v>
      </c>
      <c r="B1367" s="1" t="s">
        <v>3867</v>
      </c>
      <c r="C1367" s="1" t="str">
        <f>IFERROR(VLOOKUP(B1367,'SB1'!$A$2:$B$999999,2,FALSE),"")</f>
        <v>MORTERO REPARACION HORMIGON WEBER DUR GRIS CLARO X 25</v>
      </c>
      <c r="D1367" s="1" t="s">
        <v>14488</v>
      </c>
      <c r="E1367" s="3">
        <f>IFERROR(VLOOKUP(B1367,'DA1'!$B$2:$D$999999,3,FALSE),"")</f>
      </c>
      <c r="F1367" s="1" t="str">
        <f>IFERROR(VLOOKUP(B1367,'SB1'!$A$2:$C$999999,3,FALSE),"")</f>
        <v>503</v>
      </c>
      <c r="G1367" s="3" t="e">
        <f t="shared" si="47"/>
        <v>#VALUE!</v>
      </c>
      <c r="H1367" s="3" t="e">
        <f t="shared" si="46"/>
        <v>#VALUE!</v>
      </c>
      <c r="I1367" s="1">
        <v>1</v>
      </c>
    </row>
    <row r="1368" spans="1:9" x14ac:dyDescent="0.25">
      <c r="A1368" s="1" t="s">
        <v>14435</v>
      </c>
      <c r="B1368" s="1" t="s">
        <v>3871</v>
      </c>
      <c r="C1368" s="1" t="str">
        <f>IFERROR(VLOOKUP(B1368,'SB1'!$A$2:$B$999999,2,FALSE),"")</f>
        <v>IMPERMEABILIZANTE PARA TECHOS PLAVICON TAPAGOTERAS X 10</v>
      </c>
      <c r="D1368" s="1" t="s">
        <v>14458</v>
      </c>
      <c r="E1368" s="3">
        <f>IFERROR(VLOOKUP(B1368,'DA1'!$B$2:$D$999999,3,FALSE),"")</f>
      </c>
      <c r="F1368" s="1" t="str">
        <f>IFERROR(VLOOKUP(B1368,'SB1'!$A$2:$C$999999,3,FALSE),"")</f>
        <v>503</v>
      </c>
      <c r="G1368" s="3" t="e">
        <f t="shared" si="47"/>
        <v>#VALUE!</v>
      </c>
      <c r="H1368" s="3" t="e">
        <f t="shared" si="46"/>
        <v>#VALUE!</v>
      </c>
      <c r="I1368" s="1">
        <v>1</v>
      </c>
    </row>
    <row r="1369" spans="1:9" x14ac:dyDescent="0.25">
      <c r="A1369" s="1" t="s">
        <v>14435</v>
      </c>
      <c r="B1369" s="1" t="s">
        <v>3875</v>
      </c>
      <c r="C1369" s="1" t="str">
        <f>IFERROR(VLOOKUP(B1369,'SB1'!$A$2:$B$999999,2,FALSE),"")</f>
        <v>PROTECTOR PARA PISO ATERMICO PLAVICON ARENA X 4</v>
      </c>
      <c r="D1369" s="1" t="s">
        <v>14458</v>
      </c>
      <c r="E1369" s="3">
        <f>IFERROR(VLOOKUP(B1369,'DA1'!$B$2:$D$999999,3,FALSE),"")</f>
      </c>
      <c r="F1369" s="1" t="str">
        <f>IFERROR(VLOOKUP(B1369,'SB1'!$A$2:$C$999999,3,FALSE),"")</f>
        <v>503</v>
      </c>
      <c r="G1369" s="3" t="e">
        <f t="shared" si="47"/>
        <v>#VALUE!</v>
      </c>
      <c r="H1369" s="3" t="e">
        <f t="shared" si="46"/>
        <v>#VALUE!</v>
      </c>
      <c r="I1369" s="1">
        <v>1</v>
      </c>
    </row>
    <row r="1370" spans="1:9" x14ac:dyDescent="0.25">
      <c r="A1370" s="1" t="s">
        <v>14435</v>
      </c>
      <c r="B1370" s="1" t="s">
        <v>3877</v>
      </c>
      <c r="C1370" s="1" t="str">
        <f>IFERROR(VLOOKUP(B1370,'SB1'!$A$2:$B$999999,2,FALSE),"")</f>
        <v>FILTRO PARA PINTURA   1A4L X 10U</v>
      </c>
      <c r="D1370" s="1" t="s">
        <v>14452</v>
      </c>
      <c r="E1370" s="3">
        <f>IFERROR(VLOOKUP(B1370,'DA1'!$B$2:$D$999999,3,FALSE),"")</f>
      </c>
      <c r="F1370" s="1" t="str">
        <f>IFERROR(VLOOKUP(B1370,'SB1'!$A$2:$C$999999,3,FALSE),"")</f>
        <v>503</v>
      </c>
      <c r="G1370" s="3" t="e">
        <f t="shared" si="47"/>
        <v>#VALUE!</v>
      </c>
      <c r="H1370" s="3" t="e">
        <f t="shared" si="46"/>
        <v>#VALUE!</v>
      </c>
      <c r="I1370" s="1">
        <v>1</v>
      </c>
    </row>
    <row r="1371" spans="1:9" x14ac:dyDescent="0.25">
      <c r="A1371" s="1" t="s">
        <v>14435</v>
      </c>
      <c r="B1371" s="1" t="s">
        <v>3879</v>
      </c>
      <c r="C1371" s="1" t="str">
        <f>IFERROR(VLOOKUP(B1371,'SB1'!$A$2:$B$999999,2,FALSE),"")</f>
        <v>IMPERMEABILIZANTE PARA TECHOS PLAVICON FIBRADO BLANCO X  0,320</v>
      </c>
      <c r="D1371" s="1" t="s">
        <v>14458</v>
      </c>
      <c r="E1371" s="3">
        <f>IFERROR(VLOOKUP(B1371,'DA1'!$B$2:$D$999999,3,FALSE),"")</f>
      </c>
      <c r="F1371" s="1" t="str">
        <f>IFERROR(VLOOKUP(B1371,'SB1'!$A$2:$C$999999,3,FALSE),"")</f>
        <v>503</v>
      </c>
      <c r="G1371" s="3" t="e">
        <f t="shared" si="47"/>
        <v>#VALUE!</v>
      </c>
      <c r="H1371" s="3" t="e">
        <f t="shared" si="46"/>
        <v>#VALUE!</v>
      </c>
      <c r="I1371" s="1">
        <v>1</v>
      </c>
    </row>
    <row r="1372" spans="1:9" x14ac:dyDescent="0.25">
      <c r="A1372" s="1" t="s">
        <v>14435</v>
      </c>
      <c r="B1372" s="1" t="s">
        <v>3881</v>
      </c>
      <c r="C1372" s="1" t="str">
        <f>IFERROR(VLOOKUP(B1372,'SB1'!$A$2:$B$999999,2,FALSE),"")</f>
        <v>IMPERMEABILIZANTE PARA TECHOS PLAVICON FIBRADO BLANCO X  1,250</v>
      </c>
      <c r="D1372" s="1" t="s">
        <v>14458</v>
      </c>
      <c r="E1372" s="3">
        <f>IFERROR(VLOOKUP(B1372,'DA1'!$B$2:$D$999999,3,FALSE),"")</f>
      </c>
      <c r="F1372" s="1" t="str">
        <f>IFERROR(VLOOKUP(B1372,'SB1'!$A$2:$C$999999,3,FALSE),"")</f>
        <v>503</v>
      </c>
      <c r="G1372" s="3" t="e">
        <f t="shared" si="47"/>
        <v>#VALUE!</v>
      </c>
      <c r="H1372" s="3" t="e">
        <f t="shared" si="46"/>
        <v>#VALUE!</v>
      </c>
      <c r="I1372" s="1">
        <v>1</v>
      </c>
    </row>
    <row r="1373" spans="1:9" x14ac:dyDescent="0.25">
      <c r="A1373" s="1" t="s">
        <v>14435</v>
      </c>
      <c r="B1373" s="1" t="s">
        <v>3883</v>
      </c>
      <c r="C1373" s="1" t="str">
        <f>IFERROR(VLOOKUP(B1373,'SB1'!$A$2:$B$999999,2,FALSE),"")</f>
        <v>LACA PARA PISO PLAVICON PISOACRIL TRANSPARENTE X 20</v>
      </c>
      <c r="D1373" s="1" t="s">
        <v>14458</v>
      </c>
      <c r="E1373" s="3">
        <f>IFERROR(VLOOKUP(B1373,'DA1'!$B$2:$D$999999,3,FALSE),"")</f>
      </c>
      <c r="F1373" s="1" t="str">
        <f>IFERROR(VLOOKUP(B1373,'SB1'!$A$2:$C$999999,3,FALSE),"")</f>
        <v>503</v>
      </c>
      <c r="G1373" s="3" t="e">
        <f t="shared" si="47"/>
        <v>#VALUE!</v>
      </c>
      <c r="H1373" s="3" t="e">
        <f t="shared" si="46"/>
        <v>#VALUE!</v>
      </c>
      <c r="I1373" s="1">
        <v>1</v>
      </c>
    </row>
    <row r="1374" spans="1:9" x14ac:dyDescent="0.25">
      <c r="A1374" s="1" t="s">
        <v>14435</v>
      </c>
      <c r="B1374" s="1" t="s">
        <v>3885</v>
      </c>
      <c r="C1374" s="1" t="str">
        <f>IFERROR(VLOOKUP(B1374,'SB1'!$A$2:$B$999999,2,FALSE),"")</f>
        <v>IMPERMEABILIZANTE PARA TECHOS PLAVICON FIBRADO BLANCO X  5</v>
      </c>
      <c r="D1374" s="1" t="s">
        <v>14458</v>
      </c>
      <c r="E1374" s="3">
        <f>IFERROR(VLOOKUP(B1374,'DA1'!$B$2:$D$999999,3,FALSE),"")</f>
      </c>
      <c r="F1374" s="1" t="str">
        <f>IFERROR(VLOOKUP(B1374,'SB1'!$A$2:$C$999999,3,FALSE),"")</f>
        <v>503</v>
      </c>
      <c r="G1374" s="3" t="e">
        <f t="shared" si="47"/>
        <v>#VALUE!</v>
      </c>
      <c r="H1374" s="3" t="e">
        <f t="shared" si="46"/>
        <v>#VALUE!</v>
      </c>
      <c r="I1374" s="1">
        <v>1</v>
      </c>
    </row>
    <row r="1375" spans="1:9" x14ac:dyDescent="0.25">
      <c r="A1375" s="1" t="s">
        <v>14435</v>
      </c>
      <c r="B1375" s="1" t="s">
        <v>3887</v>
      </c>
      <c r="C1375" s="1" t="str">
        <f>IFERROR(VLOOKUP(B1375,'SB1'!$A$2:$B$999999,2,FALSE),"")</f>
        <v>IMPERMEABILIZANTE PARA TECHOS PLAVICON FIBRADO BLANCO X 12</v>
      </c>
      <c r="D1375" s="1" t="s">
        <v>14458</v>
      </c>
      <c r="E1375" s="3">
        <f>IFERROR(VLOOKUP(B1375,'DA1'!$B$2:$D$999999,3,FALSE),"")</f>
      </c>
      <c r="F1375" s="1" t="str">
        <f>IFERROR(VLOOKUP(B1375,'SB1'!$A$2:$C$999999,3,FALSE),"")</f>
        <v>503</v>
      </c>
      <c r="G1375" s="3" t="e">
        <f t="shared" si="47"/>
        <v>#VALUE!</v>
      </c>
      <c r="H1375" s="3" t="e">
        <f t="shared" si="46"/>
        <v>#VALUE!</v>
      </c>
      <c r="I1375" s="1">
        <v>1</v>
      </c>
    </row>
    <row r="1376" spans="1:9" x14ac:dyDescent="0.25">
      <c r="A1376" s="1" t="s">
        <v>14435</v>
      </c>
      <c r="B1376" s="1" t="s">
        <v>3889</v>
      </c>
      <c r="C1376" s="1" t="str">
        <f>IFERROR(VLOOKUP(B1376,'SB1'!$A$2:$B$999999,2,FALSE),"")</f>
        <v>IMPERMEABILIZANTE PARA TECHOS PLAVICON FIBRADO BLANCO X 25</v>
      </c>
      <c r="D1376" s="1" t="s">
        <v>14458</v>
      </c>
      <c r="E1376" s="3">
        <f>IFERROR(VLOOKUP(B1376,'DA1'!$B$2:$D$999999,3,FALSE),"")</f>
      </c>
      <c r="F1376" s="1" t="str">
        <f>IFERROR(VLOOKUP(B1376,'SB1'!$A$2:$C$999999,3,FALSE),"")</f>
        <v>503</v>
      </c>
      <c r="G1376" s="3" t="e">
        <f t="shared" si="47"/>
        <v>#VALUE!</v>
      </c>
      <c r="H1376" s="3" t="e">
        <f t="shared" si="46"/>
        <v>#VALUE!</v>
      </c>
      <c r="I1376" s="1">
        <v>1</v>
      </c>
    </row>
    <row r="1377" spans="1:9" x14ac:dyDescent="0.25">
      <c r="A1377" s="1" t="s">
        <v>14435</v>
      </c>
      <c r="B1377" s="1" t="s">
        <v>3891</v>
      </c>
      <c r="C1377" s="1" t="str">
        <f>IFERROR(VLOOKUP(B1377,'SB1'!$A$2:$B$999999,2,FALSE),"")</f>
        <v>IMPERMEABILIZANTE PARA MUROS PLAVICON MATE BLANCO X  1,250</v>
      </c>
      <c r="D1377" s="1" t="s">
        <v>14458</v>
      </c>
      <c r="E1377" s="3">
        <f>IFERROR(VLOOKUP(B1377,'DA1'!$B$2:$D$999999,3,FALSE),"")</f>
      </c>
      <c r="F1377" s="1" t="str">
        <f>IFERROR(VLOOKUP(B1377,'SB1'!$A$2:$C$999999,3,FALSE),"")</f>
        <v>503</v>
      </c>
      <c r="G1377" s="3" t="e">
        <f t="shared" si="47"/>
        <v>#VALUE!</v>
      </c>
      <c r="H1377" s="3" t="e">
        <f t="shared" si="46"/>
        <v>#VALUE!</v>
      </c>
      <c r="I1377" s="1">
        <v>1</v>
      </c>
    </row>
    <row r="1378" spans="1:9" x14ac:dyDescent="0.25">
      <c r="A1378" s="1" t="s">
        <v>14435</v>
      </c>
      <c r="B1378" s="1" t="s">
        <v>3893</v>
      </c>
      <c r="C1378" s="1" t="str">
        <f>IFERROR(VLOOKUP(B1378,'SB1'!$A$2:$B$999999,2,FALSE),"")</f>
        <v>IMPERMEABILIZANTE PARA MUROS PLAVICON MATE BLANCO X  5</v>
      </c>
      <c r="D1378" s="1" t="s">
        <v>14458</v>
      </c>
      <c r="E1378" s="3">
        <f>IFERROR(VLOOKUP(B1378,'DA1'!$B$2:$D$999999,3,FALSE),"")</f>
      </c>
      <c r="F1378" s="1" t="str">
        <f>IFERROR(VLOOKUP(B1378,'SB1'!$A$2:$C$999999,3,FALSE),"")</f>
        <v>503</v>
      </c>
      <c r="G1378" s="3" t="e">
        <f t="shared" si="47"/>
        <v>#VALUE!</v>
      </c>
      <c r="H1378" s="3" t="e">
        <f t="shared" si="46"/>
        <v>#VALUE!</v>
      </c>
      <c r="I1378" s="1">
        <v>1</v>
      </c>
    </row>
    <row r="1379" spans="1:9" x14ac:dyDescent="0.25">
      <c r="A1379" s="1" t="s">
        <v>14435</v>
      </c>
      <c r="B1379" s="1" t="s">
        <v>3895</v>
      </c>
      <c r="C1379" s="1" t="str">
        <f>IFERROR(VLOOKUP(B1379,'SB1'!$A$2:$B$999999,2,FALSE),"")</f>
        <v>IMPERMEABILIZANTE PARA MUROS PLAVICON MATE BLANCO X 12</v>
      </c>
      <c r="D1379" s="1" t="s">
        <v>14458</v>
      </c>
      <c r="E1379" s="3">
        <f>IFERROR(VLOOKUP(B1379,'DA1'!$B$2:$D$999999,3,FALSE),"")</f>
      </c>
      <c r="F1379" s="1" t="str">
        <f>IFERROR(VLOOKUP(B1379,'SB1'!$A$2:$C$999999,3,FALSE),"")</f>
        <v>503</v>
      </c>
      <c r="G1379" s="3" t="e">
        <f t="shared" si="47"/>
        <v>#VALUE!</v>
      </c>
      <c r="H1379" s="3" t="e">
        <f t="shared" ref="H1379:H1442" si="48">G1379*1.21</f>
        <v>#VALUE!</v>
      </c>
      <c r="I1379" s="1">
        <v>1</v>
      </c>
    </row>
    <row r="1380" spans="1:9" x14ac:dyDescent="0.25">
      <c r="A1380" s="1" t="s">
        <v>14435</v>
      </c>
      <c r="B1380" s="1" t="s">
        <v>3897</v>
      </c>
      <c r="C1380" s="1" t="str">
        <f>IFERROR(VLOOKUP(B1380,'SB1'!$A$2:$B$999999,2,FALSE),"")</f>
        <v>IMPERMEABILIZANTE PARA MUROS PLAVICON MATE BLANCO X 25</v>
      </c>
      <c r="D1380" s="1" t="s">
        <v>14458</v>
      </c>
      <c r="E1380" s="3">
        <f>IFERROR(VLOOKUP(B1380,'DA1'!$B$2:$D$999999,3,FALSE),"")</f>
      </c>
      <c r="F1380" s="1" t="str">
        <f>IFERROR(VLOOKUP(B1380,'SB1'!$A$2:$C$999999,3,FALSE),"")</f>
        <v>503</v>
      </c>
      <c r="G1380" s="3" t="e">
        <f t="shared" si="47"/>
        <v>#VALUE!</v>
      </c>
      <c r="H1380" s="3" t="e">
        <f t="shared" si="48"/>
        <v>#VALUE!</v>
      </c>
      <c r="I1380" s="1">
        <v>1</v>
      </c>
    </row>
    <row r="1381" spans="1:9" x14ac:dyDescent="0.25">
      <c r="A1381" s="1" t="s">
        <v>14435</v>
      </c>
      <c r="B1381" s="1" t="s">
        <v>3899</v>
      </c>
      <c r="C1381" s="1" t="str">
        <f>IFERROR(VLOOKUP(B1381,'SB1'!$A$2:$B$999999,2,FALSE),"")</f>
        <v>IMPERMEABILIZANTE PARA TANQUES PLAVICON BLANCO X  1</v>
      </c>
      <c r="D1381" s="1" t="s">
        <v>14458</v>
      </c>
      <c r="E1381" s="3">
        <f>IFERROR(VLOOKUP(B1381,'DA1'!$B$2:$D$999999,3,FALSE),"")</f>
      </c>
      <c r="F1381" s="1" t="str">
        <f>IFERROR(VLOOKUP(B1381,'SB1'!$A$2:$C$999999,3,FALSE),"")</f>
        <v>503</v>
      </c>
      <c r="G1381" s="3" t="e">
        <f t="shared" si="47"/>
        <v>#VALUE!</v>
      </c>
      <c r="H1381" s="3" t="e">
        <f t="shared" si="48"/>
        <v>#VALUE!</v>
      </c>
      <c r="I1381" s="1">
        <v>1</v>
      </c>
    </row>
    <row r="1382" spans="1:9" x14ac:dyDescent="0.25">
      <c r="A1382" s="1" t="s">
        <v>14435</v>
      </c>
      <c r="B1382" s="1" t="s">
        <v>3901</v>
      </c>
      <c r="C1382" s="1" t="str">
        <f>IFERROR(VLOOKUP(B1382,'SB1'!$A$2:$B$999999,2,FALSE),"")</f>
        <v>IMPERMEABILIZANTE PARA TANQUES PLAVICON BLANCO X  4</v>
      </c>
      <c r="D1382" s="1" t="s">
        <v>14458</v>
      </c>
      <c r="E1382" s="3">
        <f>IFERROR(VLOOKUP(B1382,'DA1'!$B$2:$D$999999,3,FALSE),"")</f>
      </c>
      <c r="F1382" s="1" t="str">
        <f>IFERROR(VLOOKUP(B1382,'SB1'!$A$2:$C$999999,3,FALSE),"")</f>
        <v>503</v>
      </c>
      <c r="G1382" s="3" t="e">
        <f t="shared" si="47"/>
        <v>#VALUE!</v>
      </c>
      <c r="H1382" s="3" t="e">
        <f t="shared" si="48"/>
        <v>#VALUE!</v>
      </c>
      <c r="I1382" s="1">
        <v>1</v>
      </c>
    </row>
    <row r="1383" spans="1:9" x14ac:dyDescent="0.25">
      <c r="A1383" s="1" t="s">
        <v>14435</v>
      </c>
      <c r="B1383" s="1" t="s">
        <v>3903</v>
      </c>
      <c r="C1383" s="1" t="str">
        <f>IFERROR(VLOOKUP(B1383,'SB1'!$A$2:$B$999999,2,FALSE),"")</f>
        <v>IMPERMEABILIZANTE PARA TANQUES PLAVICON BLANCO X 20</v>
      </c>
      <c r="D1383" s="1" t="s">
        <v>14458</v>
      </c>
      <c r="E1383" s="3">
        <f>IFERROR(VLOOKUP(B1383,'DA1'!$B$2:$D$999999,3,FALSE),"")</f>
      </c>
      <c r="F1383" s="1" t="str">
        <f>IFERROR(VLOOKUP(B1383,'SB1'!$A$2:$C$999999,3,FALSE),"")</f>
        <v>503</v>
      </c>
      <c r="G1383" s="3" t="e">
        <f t="shared" si="47"/>
        <v>#VALUE!</v>
      </c>
      <c r="H1383" s="3" t="e">
        <f t="shared" si="48"/>
        <v>#VALUE!</v>
      </c>
      <c r="I1383" s="1">
        <v>1</v>
      </c>
    </row>
    <row r="1384" spans="1:9" x14ac:dyDescent="0.25">
      <c r="A1384" s="1" t="s">
        <v>14435</v>
      </c>
      <c r="B1384" s="1" t="s">
        <v>3905</v>
      </c>
      <c r="C1384" s="1" t="str">
        <f>IFERROR(VLOOKUP(B1384,'SB1'!$A$2:$B$999999,2,FALSE),"")</f>
        <v>LATEX INTERIOR LAVABLE PLAVICON MATE BLANCO X  1</v>
      </c>
      <c r="D1384" s="1" t="s">
        <v>14458</v>
      </c>
      <c r="E1384" s="3">
        <f>IFERROR(VLOOKUP(B1384,'DA1'!$B$2:$D$999999,3,FALSE),"")</f>
      </c>
      <c r="F1384" s="1" t="str">
        <f>IFERROR(VLOOKUP(B1384,'SB1'!$A$2:$C$999999,3,FALSE),"")</f>
        <v>503</v>
      </c>
      <c r="G1384" s="3" t="e">
        <f t="shared" si="47"/>
        <v>#VALUE!</v>
      </c>
      <c r="H1384" s="3" t="e">
        <f t="shared" si="48"/>
        <v>#VALUE!</v>
      </c>
      <c r="I1384" s="1">
        <v>1</v>
      </c>
    </row>
    <row r="1385" spans="1:9" x14ac:dyDescent="0.25">
      <c r="A1385" s="1" t="s">
        <v>14435</v>
      </c>
      <c r="B1385" s="1" t="s">
        <v>3907</v>
      </c>
      <c r="C1385" s="1" t="str">
        <f>IFERROR(VLOOKUP(B1385,'SB1'!$A$2:$B$999999,2,FALSE),"")</f>
        <v>LATEX INTERIOR LAVABLE PLAVICON MATE BLANCO X  4</v>
      </c>
      <c r="D1385" s="1" t="s">
        <v>14458</v>
      </c>
      <c r="E1385" s="3">
        <f>IFERROR(VLOOKUP(B1385,'DA1'!$B$2:$D$999999,3,FALSE),"")</f>
      </c>
      <c r="F1385" s="1" t="str">
        <f>IFERROR(VLOOKUP(B1385,'SB1'!$A$2:$C$999999,3,FALSE),"")</f>
        <v>503</v>
      </c>
      <c r="G1385" s="3" t="e">
        <f t="shared" si="47"/>
        <v>#VALUE!</v>
      </c>
      <c r="H1385" s="3" t="e">
        <f t="shared" si="48"/>
        <v>#VALUE!</v>
      </c>
      <c r="I1385" s="1">
        <v>1</v>
      </c>
    </row>
    <row r="1386" spans="1:9" x14ac:dyDescent="0.25">
      <c r="A1386" s="1" t="s">
        <v>14435</v>
      </c>
      <c r="B1386" s="1" t="s">
        <v>3909</v>
      </c>
      <c r="C1386" s="1" t="str">
        <f>IFERROR(VLOOKUP(B1386,'SB1'!$A$2:$B$999999,2,FALSE),"")</f>
        <v>LATEX INTERIOR LAVABLE PLAVICON MATE BLANCO X 10</v>
      </c>
      <c r="D1386" s="1" t="s">
        <v>14458</v>
      </c>
      <c r="E1386" s="3">
        <f>IFERROR(VLOOKUP(B1386,'DA1'!$B$2:$D$999999,3,FALSE),"")</f>
      </c>
      <c r="F1386" s="1" t="str">
        <f>IFERROR(VLOOKUP(B1386,'SB1'!$A$2:$C$999999,3,FALSE),"")</f>
        <v>503</v>
      </c>
      <c r="G1386" s="3" t="e">
        <f t="shared" si="47"/>
        <v>#VALUE!</v>
      </c>
      <c r="H1386" s="3" t="e">
        <f t="shared" si="48"/>
        <v>#VALUE!</v>
      </c>
      <c r="I1386" s="1">
        <v>1</v>
      </c>
    </row>
    <row r="1387" spans="1:9" x14ac:dyDescent="0.25">
      <c r="A1387" s="1" t="s">
        <v>14435</v>
      </c>
      <c r="B1387" s="1" t="s">
        <v>3911</v>
      </c>
      <c r="C1387" s="1" t="str">
        <f>IFERROR(VLOOKUP(B1387,'SB1'!$A$2:$B$999999,2,FALSE),"")</f>
        <v>LATEX INTERIOR LAVABLE PLAVICON MATE BLANCO X 20</v>
      </c>
      <c r="D1387" s="1" t="s">
        <v>14458</v>
      </c>
      <c r="E1387" s="3">
        <f>IFERROR(VLOOKUP(B1387,'DA1'!$B$2:$D$999999,3,FALSE),"")</f>
      </c>
      <c r="F1387" s="1" t="str">
        <f>IFERROR(VLOOKUP(B1387,'SB1'!$A$2:$C$999999,3,FALSE),"")</f>
        <v>503</v>
      </c>
      <c r="G1387" s="3" t="e">
        <f t="shared" si="47"/>
        <v>#VALUE!</v>
      </c>
      <c r="H1387" s="3" t="e">
        <f t="shared" si="48"/>
        <v>#VALUE!</v>
      </c>
      <c r="I1387" s="1">
        <v>1</v>
      </c>
    </row>
    <row r="1388" spans="1:9" x14ac:dyDescent="0.25">
      <c r="A1388" s="1" t="s">
        <v>14435</v>
      </c>
      <c r="B1388" s="1" t="s">
        <v>3913</v>
      </c>
      <c r="C1388" s="1" t="str">
        <f>IFERROR(VLOOKUP(B1388,'SB1'!$A$2:$B$999999,2,FALSE),"")</f>
        <v>FIJADOR PARA PARED PLAVICON AL AGUA X  1</v>
      </c>
      <c r="D1388" s="1" t="s">
        <v>14458</v>
      </c>
      <c r="E1388" s="3">
        <f>IFERROR(VLOOKUP(B1388,'DA1'!$B$2:$D$999999,3,FALSE),"")</f>
      </c>
      <c r="F1388" s="1" t="str">
        <f>IFERROR(VLOOKUP(B1388,'SB1'!$A$2:$C$999999,3,FALSE),"")</f>
        <v>503</v>
      </c>
      <c r="G1388" s="3" t="e">
        <f t="shared" si="47"/>
        <v>#VALUE!</v>
      </c>
      <c r="H1388" s="3" t="e">
        <f t="shared" si="48"/>
        <v>#VALUE!</v>
      </c>
      <c r="I1388" s="1">
        <v>1</v>
      </c>
    </row>
    <row r="1389" spans="1:9" x14ac:dyDescent="0.25">
      <c r="A1389" s="1" t="s">
        <v>14435</v>
      </c>
      <c r="B1389" s="1" t="s">
        <v>3915</v>
      </c>
      <c r="C1389" s="1" t="str">
        <f>IFERROR(VLOOKUP(B1389,'SB1'!$A$2:$B$999999,2,FALSE),"")</f>
        <v>FIJADOR PARA PARED PLAVICON AL AGUA X  4</v>
      </c>
      <c r="D1389" s="1" t="s">
        <v>14458</v>
      </c>
      <c r="E1389" s="3">
        <f>IFERROR(VLOOKUP(B1389,'DA1'!$B$2:$D$999999,3,FALSE),"")</f>
      </c>
      <c r="F1389" s="1" t="str">
        <f>IFERROR(VLOOKUP(B1389,'SB1'!$A$2:$C$999999,3,FALSE),"")</f>
        <v>503</v>
      </c>
      <c r="G1389" s="3" t="e">
        <f t="shared" si="47"/>
        <v>#VALUE!</v>
      </c>
      <c r="H1389" s="3" t="e">
        <f t="shared" si="48"/>
        <v>#VALUE!</v>
      </c>
      <c r="I1389" s="1">
        <v>1</v>
      </c>
    </row>
    <row r="1390" spans="1:9" x14ac:dyDescent="0.25">
      <c r="A1390" s="1" t="s">
        <v>14435</v>
      </c>
      <c r="B1390" s="1" t="s">
        <v>3917</v>
      </c>
      <c r="C1390" s="1" t="str">
        <f>IFERROR(VLOOKUP(B1390,'SB1'!$A$2:$B$999999,2,FALSE),"")</f>
        <v>FIJADOR PARA PARED PLAVICON AL AGUA X 10</v>
      </c>
      <c r="D1390" s="1" t="s">
        <v>14458</v>
      </c>
      <c r="E1390" s="3">
        <f>IFERROR(VLOOKUP(B1390,'DA1'!$B$2:$D$999999,3,FALSE),"")</f>
      </c>
      <c r="F1390" s="1" t="str">
        <f>IFERROR(VLOOKUP(B1390,'SB1'!$A$2:$C$999999,3,FALSE),"")</f>
        <v>503</v>
      </c>
      <c r="G1390" s="3" t="e">
        <f t="shared" si="47"/>
        <v>#VALUE!</v>
      </c>
      <c r="H1390" s="3" t="e">
        <f t="shared" si="48"/>
        <v>#VALUE!</v>
      </c>
      <c r="I1390" s="1">
        <v>1</v>
      </c>
    </row>
    <row r="1391" spans="1:9" x14ac:dyDescent="0.25">
      <c r="A1391" s="1" t="s">
        <v>14435</v>
      </c>
      <c r="B1391" s="1" t="s">
        <v>3919</v>
      </c>
      <c r="C1391" s="1" t="str">
        <f>IFERROR(VLOOKUP(B1391,'SB1'!$A$2:$B$999999,2,FALSE),"")</f>
        <v>FIJADOR PARA PARED PLAVICON AL AGUA X 20</v>
      </c>
      <c r="D1391" s="1" t="s">
        <v>14458</v>
      </c>
      <c r="E1391" s="3">
        <f>IFERROR(VLOOKUP(B1391,'DA1'!$B$2:$D$999999,3,FALSE),"")</f>
      </c>
      <c r="F1391" s="1" t="str">
        <f>IFERROR(VLOOKUP(B1391,'SB1'!$A$2:$C$999999,3,FALSE),"")</f>
        <v>503</v>
      </c>
      <c r="G1391" s="3" t="e">
        <f t="shared" si="47"/>
        <v>#VALUE!</v>
      </c>
      <c r="H1391" s="3" t="e">
        <f t="shared" si="48"/>
        <v>#VALUE!</v>
      </c>
      <c r="I1391" s="1">
        <v>1</v>
      </c>
    </row>
    <row r="1392" spans="1:9" x14ac:dyDescent="0.25">
      <c r="A1392" s="1" t="s">
        <v>14435</v>
      </c>
      <c r="B1392" s="1" t="s">
        <v>3921</v>
      </c>
      <c r="C1392" s="1" t="str">
        <f>IFERROR(VLOOKUP(B1392,'SB1'!$A$2:$B$999999,2,FALSE),"")</f>
        <v>ENDUIDO INTERIOR PLAVICON X  0,400</v>
      </c>
      <c r="D1392" s="1" t="s">
        <v>14458</v>
      </c>
      <c r="E1392" s="3">
        <f>IFERROR(VLOOKUP(B1392,'DA1'!$B$2:$D$999999,3,FALSE),"")</f>
      </c>
      <c r="F1392" s="1" t="str">
        <f>IFERROR(VLOOKUP(B1392,'SB1'!$A$2:$C$999999,3,FALSE),"")</f>
        <v>503</v>
      </c>
      <c r="G1392" s="3" t="e">
        <f t="shared" si="47"/>
        <v>#VALUE!</v>
      </c>
      <c r="H1392" s="3" t="e">
        <f t="shared" si="48"/>
        <v>#VALUE!</v>
      </c>
      <c r="I1392" s="1">
        <v>1</v>
      </c>
    </row>
    <row r="1393" spans="1:9" x14ac:dyDescent="0.25">
      <c r="A1393" s="1" t="s">
        <v>14435</v>
      </c>
      <c r="B1393" s="1" t="s">
        <v>3923</v>
      </c>
      <c r="C1393" s="1" t="str">
        <f>IFERROR(VLOOKUP(B1393,'SB1'!$A$2:$B$999999,2,FALSE),"")</f>
        <v>ENDUIDO INTERIOR PLAVICON X  1</v>
      </c>
      <c r="D1393" s="1" t="s">
        <v>14458</v>
      </c>
      <c r="E1393" s="3">
        <f>IFERROR(VLOOKUP(B1393,'DA1'!$B$2:$D$999999,3,FALSE),"")</f>
      </c>
      <c r="F1393" s="1" t="str">
        <f>IFERROR(VLOOKUP(B1393,'SB1'!$A$2:$C$999999,3,FALSE),"")</f>
        <v>503</v>
      </c>
      <c r="G1393" s="3" t="e">
        <f t="shared" si="47"/>
        <v>#VALUE!</v>
      </c>
      <c r="H1393" s="3" t="e">
        <f t="shared" si="48"/>
        <v>#VALUE!</v>
      </c>
      <c r="I1393" s="1">
        <v>1</v>
      </c>
    </row>
    <row r="1394" spans="1:9" x14ac:dyDescent="0.25">
      <c r="A1394" s="1" t="s">
        <v>14435</v>
      </c>
      <c r="B1394" s="1" t="s">
        <v>3925</v>
      </c>
      <c r="C1394" s="1" t="str">
        <f>IFERROR(VLOOKUP(B1394,'SB1'!$A$2:$B$999999,2,FALSE),"")</f>
        <v>ENDUIDO INTERIOR PLAVICON X  4</v>
      </c>
      <c r="D1394" s="1" t="s">
        <v>14458</v>
      </c>
      <c r="E1394" s="3">
        <f>IFERROR(VLOOKUP(B1394,'DA1'!$B$2:$D$999999,3,FALSE),"")</f>
      </c>
      <c r="F1394" s="1" t="str">
        <f>IFERROR(VLOOKUP(B1394,'SB1'!$A$2:$C$999999,3,FALSE),"")</f>
        <v>503</v>
      </c>
      <c r="G1394" s="3" t="e">
        <f t="shared" si="47"/>
        <v>#VALUE!</v>
      </c>
      <c r="H1394" s="3" t="e">
        <f t="shared" si="48"/>
        <v>#VALUE!</v>
      </c>
      <c r="I1394" s="1">
        <v>1</v>
      </c>
    </row>
    <row r="1395" spans="1:9" x14ac:dyDescent="0.25">
      <c r="A1395" s="1" t="s">
        <v>14435</v>
      </c>
      <c r="B1395" s="1" t="s">
        <v>3927</v>
      </c>
      <c r="C1395" s="1" t="str">
        <f>IFERROR(VLOOKUP(B1395,'SB1'!$A$2:$B$999999,2,FALSE),"")</f>
        <v>ENDUIDO INTERIOR PLAVICON X 20</v>
      </c>
      <c r="D1395" s="1" t="s">
        <v>14458</v>
      </c>
      <c r="E1395" s="3">
        <f>IFERROR(VLOOKUP(B1395,'DA1'!$B$2:$D$999999,3,FALSE),"")</f>
      </c>
      <c r="F1395" s="1" t="str">
        <f>IFERROR(VLOOKUP(B1395,'SB1'!$A$2:$C$999999,3,FALSE),"")</f>
        <v>503</v>
      </c>
      <c r="G1395" s="3" t="e">
        <f t="shared" si="47"/>
        <v>#VALUE!</v>
      </c>
      <c r="H1395" s="3" t="e">
        <f t="shared" si="48"/>
        <v>#VALUE!</v>
      </c>
      <c r="I1395" s="1">
        <v>1</v>
      </c>
    </row>
    <row r="1396" spans="1:9" x14ac:dyDescent="0.25">
      <c r="A1396" s="1" t="s">
        <v>14435</v>
      </c>
      <c r="B1396" s="1" t="s">
        <v>3929</v>
      </c>
      <c r="C1396" s="1" t="str">
        <f>IFERROR(VLOOKUP(B1396,'SB1'!$A$2:$B$999999,2,FALSE),"")</f>
        <v>PROTECTOR PARA LADRILLO TERSIDRYL AL AGUA MATE SIN PELICULA X  1</v>
      </c>
      <c r="D1396" s="1" t="s">
        <v>14437</v>
      </c>
      <c r="E1396" s="3">
        <f>IFERROR(VLOOKUP(B1396,'DA1'!$B$2:$D$999999,3,FALSE),"")</f>
      </c>
      <c r="F1396" s="1" t="str">
        <f>IFERROR(VLOOKUP(B1396,'SB1'!$A$2:$C$999999,3,FALSE),"")</f>
        <v>503</v>
      </c>
      <c r="G1396" s="3" t="e">
        <f t="shared" si="47"/>
        <v>#VALUE!</v>
      </c>
      <c r="H1396" s="3" t="e">
        <f t="shared" si="48"/>
        <v>#VALUE!</v>
      </c>
      <c r="I1396" s="1">
        <v>1</v>
      </c>
    </row>
    <row r="1397" spans="1:9" x14ac:dyDescent="0.25">
      <c r="A1397" s="1" t="s">
        <v>14435</v>
      </c>
      <c r="B1397" s="1" t="s">
        <v>3931</v>
      </c>
      <c r="C1397" s="1" t="str">
        <f>IFERROR(VLOOKUP(B1397,'SB1'!$A$2:$B$999999,2,FALSE),"")</f>
        <v>PROTECTOR PARA LADRILLO TERSIDRYL AL AGUA MATE SIN PELICULA X  4</v>
      </c>
      <c r="D1397" s="1" t="s">
        <v>14437</v>
      </c>
      <c r="E1397" s="3">
        <f>IFERROR(VLOOKUP(B1397,'DA1'!$B$2:$D$999999,3,FALSE),"")</f>
      </c>
      <c r="F1397" s="1" t="str">
        <f>IFERROR(VLOOKUP(B1397,'SB1'!$A$2:$C$999999,3,FALSE),"")</f>
        <v>503</v>
      </c>
      <c r="G1397" s="3" t="e">
        <f t="shared" si="47"/>
        <v>#VALUE!</v>
      </c>
      <c r="H1397" s="3" t="e">
        <f t="shared" si="48"/>
        <v>#VALUE!</v>
      </c>
      <c r="I1397" s="1">
        <v>1</v>
      </c>
    </row>
    <row r="1398" spans="1:9" x14ac:dyDescent="0.25">
      <c r="A1398" s="1" t="s">
        <v>14435</v>
      </c>
      <c r="B1398" s="1" t="s">
        <v>3933</v>
      </c>
      <c r="C1398" s="1" t="str">
        <f>IFERROR(VLOOKUP(B1398,'SB1'!$A$2:$B$999999,2,FALSE),"")</f>
        <v>PROTECTOR PARA LADRILLO TERSIDRYL AL AGUA MATE SIN PELICULA X 10</v>
      </c>
      <c r="D1398" s="1" t="s">
        <v>14437</v>
      </c>
      <c r="E1398" s="3">
        <f>IFERROR(VLOOKUP(B1398,'DA1'!$B$2:$D$999999,3,FALSE),"")</f>
      </c>
      <c r="F1398" s="1" t="str">
        <f>IFERROR(VLOOKUP(B1398,'SB1'!$A$2:$C$999999,3,FALSE),"")</f>
        <v>503</v>
      </c>
      <c r="G1398" s="3" t="e">
        <f t="shared" si="47"/>
        <v>#VALUE!</v>
      </c>
      <c r="H1398" s="3" t="e">
        <f t="shared" si="48"/>
        <v>#VALUE!</v>
      </c>
      <c r="I1398" s="1">
        <v>1</v>
      </c>
    </row>
    <row r="1399" spans="1:9" x14ac:dyDescent="0.25">
      <c r="A1399" s="1" t="s">
        <v>14435</v>
      </c>
      <c r="B1399" s="1" t="s">
        <v>3935</v>
      </c>
      <c r="C1399" s="1" t="str">
        <f>IFERROR(VLOOKUP(B1399,'SB1'!$A$2:$B$999999,2,FALSE),"")</f>
        <v>PROTECTOR PARA LADRILLO TERSIDRYL AL AGUA MATE SIN PELICULA X 20</v>
      </c>
      <c r="D1399" s="1" t="s">
        <v>14437</v>
      </c>
      <c r="E1399" s="3">
        <f>IFERROR(VLOOKUP(B1399,'DA1'!$B$2:$D$999999,3,FALSE),"")</f>
      </c>
      <c r="F1399" s="1" t="str">
        <f>IFERROR(VLOOKUP(B1399,'SB1'!$A$2:$C$999999,3,FALSE),"")</f>
        <v>503</v>
      </c>
      <c r="G1399" s="3" t="e">
        <f t="shared" si="47"/>
        <v>#VALUE!</v>
      </c>
      <c r="H1399" s="3" t="e">
        <f t="shared" si="48"/>
        <v>#VALUE!</v>
      </c>
      <c r="I1399" s="1">
        <v>1</v>
      </c>
    </row>
    <row r="1400" spans="1:9" x14ac:dyDescent="0.25">
      <c r="A1400" s="1" t="s">
        <v>14435</v>
      </c>
      <c r="B1400" s="1" t="s">
        <v>3937</v>
      </c>
      <c r="C1400" s="1" t="str">
        <f>IFERROR(VLOOKUP(B1400,'SB1'!$A$2:$B$999999,2,FALSE),"")</f>
        <v>YESO PROYECTABLE SG TUYANGO X 30KG</v>
      </c>
      <c r="D1400" s="1" t="s">
        <v>14478</v>
      </c>
      <c r="E1400" s="3">
        <f>IFERROR(VLOOKUP(B1400,'DA1'!$B$2:$D$999999,3,FALSE),"")</f>
      </c>
      <c r="F1400" s="1" t="str">
        <f>IFERROR(VLOOKUP(B1400,'SB1'!$A$2:$C$999999,3,FALSE),"")</f>
        <v>503</v>
      </c>
      <c r="G1400" s="3" t="e">
        <f t="shared" si="47"/>
        <v>#VALUE!</v>
      </c>
      <c r="H1400" s="3" t="e">
        <f t="shared" si="48"/>
        <v>#VALUE!</v>
      </c>
      <c r="I1400" s="1">
        <v>1</v>
      </c>
    </row>
    <row r="1401" spans="1:9" x14ac:dyDescent="0.25">
      <c r="A1401" s="1" t="s">
        <v>14435</v>
      </c>
      <c r="B1401" s="1" t="s">
        <v>3939</v>
      </c>
      <c r="C1401" s="1" t="str">
        <f>IFERROR(VLOOKUP(B1401,'SB1'!$A$2:$B$999999,2,FALSE),"")</f>
        <v>REPARADOR DE PAREDES PLACOMIX INTERIOR X 1KG</v>
      </c>
      <c r="D1401" s="1" t="s">
        <v>14478</v>
      </c>
      <c r="E1401" s="3">
        <f>IFERROR(VLOOKUP(B1401,'DA1'!$B$2:$D$999999,3,FALSE),"")</f>
      </c>
      <c r="F1401" s="1" t="str">
        <f>IFERROR(VLOOKUP(B1401,'SB1'!$A$2:$C$999999,3,FALSE),"")</f>
        <v>503</v>
      </c>
      <c r="G1401" s="3" t="e">
        <f t="shared" si="47"/>
        <v>#VALUE!</v>
      </c>
      <c r="H1401" s="3" t="e">
        <f t="shared" si="48"/>
        <v>#VALUE!</v>
      </c>
      <c r="I1401" s="1">
        <v>1</v>
      </c>
    </row>
    <row r="1402" spans="1:9" x14ac:dyDescent="0.25">
      <c r="A1402" s="1" t="s">
        <v>14435</v>
      </c>
      <c r="B1402" s="1" t="s">
        <v>3941</v>
      </c>
      <c r="C1402" s="1" t="str">
        <f>IFERROR(VLOOKUP(B1402,'SB1'!$A$2:$B$999999,2,FALSE),"")</f>
        <v>REPARADOR DE PAREDES PLACOMIX INTERIOR X 3,500KG</v>
      </c>
      <c r="D1402" s="1" t="s">
        <v>14478</v>
      </c>
      <c r="E1402" s="3">
        <f>IFERROR(VLOOKUP(B1402,'DA1'!$B$2:$D$999999,3,FALSE),"")</f>
      </c>
      <c r="F1402" s="1" t="str">
        <f>IFERROR(VLOOKUP(B1402,'SB1'!$A$2:$C$999999,3,FALSE),"")</f>
        <v>503</v>
      </c>
      <c r="G1402" s="3" t="e">
        <f t="shared" si="47"/>
        <v>#VALUE!</v>
      </c>
      <c r="H1402" s="3" t="e">
        <f t="shared" si="48"/>
        <v>#VALUE!</v>
      </c>
      <c r="I1402" s="1">
        <v>1</v>
      </c>
    </row>
    <row r="1403" spans="1:9" x14ac:dyDescent="0.25">
      <c r="A1403" s="1" t="s">
        <v>14435</v>
      </c>
      <c r="B1403" s="1" t="s">
        <v>3943</v>
      </c>
      <c r="C1403" s="1" t="str">
        <f>IFERROR(VLOOKUP(B1403,'SB1'!$A$2:$B$999999,2,FALSE),"")</f>
        <v>REPARADOR DE PAREDES PLACOMIX EXTERIOR X 1KG</v>
      </c>
      <c r="D1403" s="1" t="s">
        <v>14478</v>
      </c>
      <c r="E1403" s="3">
        <f>IFERROR(VLOOKUP(B1403,'DA1'!$B$2:$D$999999,3,FALSE),"")</f>
      </c>
      <c r="F1403" s="1" t="str">
        <f>IFERROR(VLOOKUP(B1403,'SB1'!$A$2:$C$999999,3,FALSE),"")</f>
        <v>503</v>
      </c>
      <c r="G1403" s="3" t="e">
        <f t="shared" si="47"/>
        <v>#VALUE!</v>
      </c>
      <c r="H1403" s="3" t="e">
        <f t="shared" si="48"/>
        <v>#VALUE!</v>
      </c>
      <c r="I1403" s="1">
        <v>1</v>
      </c>
    </row>
    <row r="1404" spans="1:9" x14ac:dyDescent="0.25">
      <c r="A1404" s="1" t="s">
        <v>14435</v>
      </c>
      <c r="B1404" s="1" t="s">
        <v>3945</v>
      </c>
      <c r="C1404" s="1" t="str">
        <f>IFERROR(VLOOKUP(B1404,'SB1'!$A$2:$B$999999,2,FALSE),"")</f>
        <v>REPARADOR DE PAREDES PLACOMIX EXTERIOR X 3,500KG</v>
      </c>
      <c r="D1404" s="1" t="s">
        <v>14478</v>
      </c>
      <c r="E1404" s="3">
        <f>IFERROR(VLOOKUP(B1404,'DA1'!$B$2:$D$999999,3,FALSE),"")</f>
      </c>
      <c r="F1404" s="1" t="str">
        <f>IFERROR(VLOOKUP(B1404,'SB1'!$A$2:$C$999999,3,FALSE),"")</f>
        <v>503</v>
      </c>
      <c r="G1404" s="3" t="e">
        <f t="shared" si="47"/>
        <v>#VALUE!</v>
      </c>
      <c r="H1404" s="3" t="e">
        <f t="shared" si="48"/>
        <v>#VALUE!</v>
      </c>
      <c r="I1404" s="1">
        <v>1</v>
      </c>
    </row>
    <row r="1405" spans="1:9" x14ac:dyDescent="0.25">
      <c r="A1405" s="1" t="s">
        <v>14435</v>
      </c>
      <c r="B1405" s="1" t="s">
        <v>3951</v>
      </c>
      <c r="C1405" s="1" t="str">
        <f>IFERROR(VLOOKUP(B1405,'SB1'!$A$2:$B$999999,2,FALSE),"")</f>
        <v>IMPERMEABILIZANTE PARA FRENTES Y MUROS SINTEPLAST PROFESIONAL BLANCO X 25</v>
      </c>
      <c r="D1405" s="1" t="s">
        <v>14463</v>
      </c>
      <c r="E1405" s="3">
        <f>IFERROR(VLOOKUP(B1405,'DA1'!$B$2:$D$999999,3,FALSE),"")</f>
      </c>
      <c r="F1405" s="1" t="str">
        <f>IFERROR(VLOOKUP(B1405,'SB1'!$A$2:$C$999999,3,FALSE),"")</f>
        <v>503</v>
      </c>
      <c r="G1405" s="3" t="e">
        <f t="shared" si="47"/>
        <v>#VALUE!</v>
      </c>
      <c r="H1405" s="3" t="e">
        <f t="shared" si="48"/>
        <v>#VALUE!</v>
      </c>
      <c r="I1405" s="1">
        <v>1</v>
      </c>
    </row>
    <row r="1406" spans="1:9" x14ac:dyDescent="0.25">
      <c r="A1406" s="1" t="s">
        <v>14435</v>
      </c>
      <c r="B1406" s="1" t="s">
        <v>3961</v>
      </c>
      <c r="C1406" s="1" t="str">
        <f>IFERROR(VLOOKUP(B1406,'SB1'!$A$2:$B$999999,2,FALSE),"")</f>
        <v>PROTECTOR PARA LADRILLO PLAVIPINT SEMIMATE CON PELICULA INCOLORO X  1</v>
      </c>
      <c r="D1406" s="1" t="s">
        <v>14458</v>
      </c>
      <c r="E1406" s="3">
        <f>IFERROR(VLOOKUP(B1406,'DA1'!$B$2:$D$999999,3,FALSE),"")</f>
      </c>
      <c r="F1406" s="1" t="str">
        <f>IFERROR(VLOOKUP(B1406,'SB1'!$A$2:$C$999999,3,FALSE),"")</f>
        <v>503</v>
      </c>
      <c r="G1406" s="3" t="e">
        <f t="shared" si="47"/>
        <v>#VALUE!</v>
      </c>
      <c r="H1406" s="3" t="e">
        <f t="shared" si="48"/>
        <v>#VALUE!</v>
      </c>
      <c r="I1406" s="1">
        <v>1</v>
      </c>
    </row>
    <row r="1407" spans="1:9" x14ac:dyDescent="0.25">
      <c r="A1407" s="1" t="s">
        <v>14435</v>
      </c>
      <c r="B1407" s="1" t="s">
        <v>3963</v>
      </c>
      <c r="C1407" s="1" t="str">
        <f>IFERROR(VLOOKUP(B1407,'SB1'!$A$2:$B$999999,2,FALSE),"")</f>
        <v>PROTECTOR PARA LADRILLO PLAVIPINT SEMIMATE CON PELICULA INCOLORO X  4</v>
      </c>
      <c r="D1407" s="1" t="s">
        <v>14458</v>
      </c>
      <c r="E1407" s="3">
        <f>IFERROR(VLOOKUP(B1407,'DA1'!$B$2:$D$999999,3,FALSE),"")</f>
      </c>
      <c r="F1407" s="1" t="str">
        <f>IFERROR(VLOOKUP(B1407,'SB1'!$A$2:$C$999999,3,FALSE),"")</f>
        <v>503</v>
      </c>
      <c r="G1407" s="3" t="e">
        <f t="shared" si="47"/>
        <v>#VALUE!</v>
      </c>
      <c r="H1407" s="3" t="e">
        <f t="shared" si="48"/>
        <v>#VALUE!</v>
      </c>
      <c r="I1407" s="1">
        <v>1</v>
      </c>
    </row>
    <row r="1408" spans="1:9" x14ac:dyDescent="0.25">
      <c r="A1408" s="1" t="s">
        <v>14435</v>
      </c>
      <c r="B1408" s="1" t="s">
        <v>3965</v>
      </c>
      <c r="C1408" s="1" t="str">
        <f>IFERROR(VLOOKUP(B1408,'SB1'!$A$2:$B$999999,2,FALSE),"")</f>
        <v>PROTECTOR PARA LADRILLO PLAVIPINT SEMIMATE CON PELICULA INCOLORO X 10</v>
      </c>
      <c r="D1408" s="1" t="s">
        <v>14458</v>
      </c>
      <c r="E1408" s="3">
        <f>IFERROR(VLOOKUP(B1408,'DA1'!$B$2:$D$999999,3,FALSE),"")</f>
      </c>
      <c r="F1408" s="1" t="str">
        <f>IFERROR(VLOOKUP(B1408,'SB1'!$A$2:$C$999999,3,FALSE),"")</f>
        <v>503</v>
      </c>
      <c r="G1408" s="3" t="e">
        <f t="shared" si="47"/>
        <v>#VALUE!</v>
      </c>
      <c r="H1408" s="3" t="e">
        <f t="shared" si="48"/>
        <v>#VALUE!</v>
      </c>
      <c r="I1408" s="1">
        <v>1</v>
      </c>
    </row>
    <row r="1409" spans="1:9" x14ac:dyDescent="0.25">
      <c r="A1409" s="1" t="s">
        <v>14435</v>
      </c>
      <c r="B1409" s="1" t="s">
        <v>3967</v>
      </c>
      <c r="C1409" s="1" t="str">
        <f>IFERROR(VLOOKUP(B1409,'SB1'!$A$2:$B$999999,2,FALSE),"")</f>
        <v>PROTECTOR PARA LADRILLO PLAVIPINT SEMIMATE CON PELICULA INCOLORO X 20</v>
      </c>
      <c r="D1409" s="1" t="s">
        <v>14458</v>
      </c>
      <c r="E1409" s="3">
        <f>IFERROR(VLOOKUP(B1409,'DA1'!$B$2:$D$999999,3,FALSE),"")</f>
      </c>
      <c r="F1409" s="1" t="str">
        <f>IFERROR(VLOOKUP(B1409,'SB1'!$A$2:$C$999999,3,FALSE),"")</f>
        <v>503</v>
      </c>
      <c r="G1409" s="3" t="e">
        <f t="shared" si="47"/>
        <v>#VALUE!</v>
      </c>
      <c r="H1409" s="3" t="e">
        <f t="shared" si="48"/>
        <v>#VALUE!</v>
      </c>
      <c r="I1409" s="1">
        <v>1</v>
      </c>
    </row>
    <row r="1410" spans="1:9" x14ac:dyDescent="0.25">
      <c r="A1410" s="1" t="s">
        <v>14435</v>
      </c>
      <c r="B1410" s="1" t="s">
        <v>3975</v>
      </c>
      <c r="C1410" s="1" t="str">
        <f>IFERROR(VLOOKUP(B1410,'SB1'!$A$2:$B$999999,2,FALSE),"")</f>
        <v>DISCO LIJA DOBLE A GOLD 24K AUF6P P150</v>
      </c>
      <c r="D1410" s="1" t="s">
        <v>14451</v>
      </c>
      <c r="E1410" s="3">
        <f>IFERROR(VLOOKUP(B1410,'DA1'!$B$2:$D$999999,3,FALSE),"")</f>
      </c>
      <c r="F1410" s="1" t="str">
        <f>IFERROR(VLOOKUP(B1410,'SB1'!$A$2:$C$999999,3,FALSE),"")</f>
        <v>503</v>
      </c>
      <c r="G1410" s="3" t="e">
        <f t="shared" si="47"/>
        <v>#VALUE!</v>
      </c>
      <c r="H1410" s="3" t="e">
        <f t="shared" si="48"/>
        <v>#VALUE!</v>
      </c>
      <c r="I1410" s="1">
        <v>1</v>
      </c>
    </row>
    <row r="1411" spans="1:9" x14ac:dyDescent="0.25">
      <c r="A1411" s="1" t="s">
        <v>14435</v>
      </c>
      <c r="B1411" s="1" t="s">
        <v>3983</v>
      </c>
      <c r="C1411" s="1" t="str">
        <f>IFERROR(VLOOKUP(B1411,'SB1'!$A$2:$B$999999,2,FALSE),"")</f>
        <v>DISCO LIJA DOBLE A GOLD 24K AUF6P P280</v>
      </c>
      <c r="D1411" s="1" t="s">
        <v>14439</v>
      </c>
      <c r="E1411" s="3">
        <f>IFERROR(VLOOKUP(B1411,'DA1'!$B$2:$D$999999,3,FALSE),"")</f>
      </c>
      <c r="F1411" s="1" t="str">
        <f>IFERROR(VLOOKUP(B1411,'SB1'!$A$2:$C$999999,3,FALSE),"")</f>
        <v>503</v>
      </c>
      <c r="G1411" s="3" t="e">
        <f t="shared" ref="G1411:G1474" si="49">E1411*1.04</f>
        <v>#VALUE!</v>
      </c>
      <c r="H1411" s="3" t="e">
        <f t="shared" si="48"/>
        <v>#VALUE!</v>
      </c>
      <c r="I1411" s="1">
        <v>1</v>
      </c>
    </row>
    <row r="1412" spans="1:9" x14ac:dyDescent="0.25">
      <c r="A1412" s="1" t="s">
        <v>14435</v>
      </c>
      <c r="B1412" s="1" t="s">
        <v>3985</v>
      </c>
      <c r="C1412" s="1" t="str">
        <f>IFERROR(VLOOKUP(B1412,'SB1'!$A$2:$B$999999,2,FALSE),"")</f>
        <v>DISCO LIJA DOBLE A GOLD 24K AUF6P P320</v>
      </c>
      <c r="D1412" s="1" t="s">
        <v>14439</v>
      </c>
      <c r="E1412" s="3">
        <f>IFERROR(VLOOKUP(B1412,'DA1'!$B$2:$D$999999,3,FALSE),"")</f>
      </c>
      <c r="F1412" s="1" t="str">
        <f>IFERROR(VLOOKUP(B1412,'SB1'!$A$2:$C$999999,3,FALSE),"")</f>
        <v>503</v>
      </c>
      <c r="G1412" s="3" t="e">
        <f t="shared" si="49"/>
        <v>#VALUE!</v>
      </c>
      <c r="H1412" s="3" t="e">
        <f t="shared" si="48"/>
        <v>#VALUE!</v>
      </c>
      <c r="I1412" s="1">
        <v>1</v>
      </c>
    </row>
    <row r="1413" spans="1:9" x14ac:dyDescent="0.25">
      <c r="A1413" s="1" t="s">
        <v>14435</v>
      </c>
      <c r="B1413" s="1" t="s">
        <v>3987</v>
      </c>
      <c r="C1413" s="1" t="str">
        <f>IFERROR(VLOOKUP(B1413,'SB1'!$A$2:$B$999999,2,FALSE),"")</f>
        <v>DISCO LIJA DOBLE A GOLD 24K AUF6P P360</v>
      </c>
      <c r="D1413" s="1" t="s">
        <v>14439</v>
      </c>
      <c r="E1413" s="3">
        <f>IFERROR(VLOOKUP(B1413,'DA1'!$B$2:$D$999999,3,FALSE),"")</f>
      </c>
      <c r="F1413" s="1" t="str">
        <f>IFERROR(VLOOKUP(B1413,'SB1'!$A$2:$C$999999,3,FALSE),"")</f>
        <v>503</v>
      </c>
      <c r="G1413" s="3" t="e">
        <f t="shared" si="49"/>
        <v>#VALUE!</v>
      </c>
      <c r="H1413" s="3" t="e">
        <f t="shared" si="48"/>
        <v>#VALUE!</v>
      </c>
      <c r="I1413" s="1">
        <v>1</v>
      </c>
    </row>
    <row r="1414" spans="1:9" x14ac:dyDescent="0.25">
      <c r="A1414" s="1" t="s">
        <v>14435</v>
      </c>
      <c r="B1414" s="1" t="s">
        <v>3989</v>
      </c>
      <c r="C1414" s="1" t="str">
        <f>IFERROR(VLOOKUP(B1414,'SB1'!$A$2:$B$999999,2,FALSE),"")</f>
        <v>DISCO LIJA DOBLE A GOLD 24K AUF6P P400</v>
      </c>
      <c r="D1414" s="1" t="s">
        <v>14439</v>
      </c>
      <c r="E1414" s="3">
        <f>IFERROR(VLOOKUP(B1414,'DA1'!$B$2:$D$999999,3,FALSE),"")</f>
      </c>
      <c r="F1414" s="1" t="str">
        <f>IFERROR(VLOOKUP(B1414,'SB1'!$A$2:$C$999999,3,FALSE),"")</f>
        <v>503</v>
      </c>
      <c r="G1414" s="3" t="e">
        <f t="shared" si="49"/>
        <v>#VALUE!</v>
      </c>
      <c r="H1414" s="3" t="e">
        <f t="shared" si="48"/>
        <v>#VALUE!</v>
      </c>
      <c r="I1414" s="1">
        <v>1</v>
      </c>
    </row>
    <row r="1415" spans="1:9" x14ac:dyDescent="0.25">
      <c r="A1415" s="1" t="s">
        <v>14435</v>
      </c>
      <c r="B1415" s="1" t="s">
        <v>3991</v>
      </c>
      <c r="C1415" s="1" t="str">
        <f>IFERROR(VLOOKUP(B1415,'SB1'!$A$2:$B$999999,2,FALSE),"")</f>
        <v>DISCO ULTRA STRIP DOBLE A 115X22</v>
      </c>
      <c r="D1415" s="1" t="s">
        <v>14451</v>
      </c>
      <c r="E1415" s="3">
        <f>IFERROR(VLOOKUP(B1415,'DA1'!$B$2:$D$999999,3,FALSE),"")</f>
      </c>
      <c r="F1415" s="1" t="str">
        <f>IFERROR(VLOOKUP(B1415,'SB1'!$A$2:$C$999999,3,FALSE),"")</f>
        <v>503</v>
      </c>
      <c r="G1415" s="3" t="e">
        <f t="shared" si="49"/>
        <v>#VALUE!</v>
      </c>
      <c r="H1415" s="3" t="e">
        <f t="shared" si="48"/>
        <v>#VALUE!</v>
      </c>
      <c r="I1415" s="1">
        <v>1</v>
      </c>
    </row>
    <row r="1416" spans="1:9" x14ac:dyDescent="0.25">
      <c r="A1416" s="1" t="s">
        <v>14435</v>
      </c>
      <c r="B1416" s="1" t="s">
        <v>3993</v>
      </c>
      <c r="C1416" s="1" t="str">
        <f>IFERROR(VLOOKUP(B1416,'SB1'!$A$2:$B$999999,2,FALSE),"")</f>
        <v>DISCO LIJA DOBLE A GOLD 24K AUF6P P600</v>
      </c>
      <c r="D1416" s="1" t="s">
        <v>14439</v>
      </c>
      <c r="E1416" s="3">
        <f>IFERROR(VLOOKUP(B1416,'DA1'!$B$2:$D$999999,3,FALSE),"")</f>
      </c>
      <c r="F1416" s="1" t="str">
        <f>IFERROR(VLOOKUP(B1416,'SB1'!$A$2:$C$999999,3,FALSE),"")</f>
        <v>503</v>
      </c>
      <c r="G1416" s="3" t="e">
        <f t="shared" si="49"/>
        <v>#VALUE!</v>
      </c>
      <c r="H1416" s="3" t="e">
        <f t="shared" si="48"/>
        <v>#VALUE!</v>
      </c>
      <c r="I1416" s="1">
        <v>1</v>
      </c>
    </row>
    <row r="1417" spans="1:9" x14ac:dyDescent="0.25">
      <c r="A1417" s="1" t="s">
        <v>14435</v>
      </c>
      <c r="B1417" s="1" t="s">
        <v>3995</v>
      </c>
      <c r="C1417" s="1" t="str">
        <f>IFERROR(VLOOKUP(B1417,'SB1'!$A$2:$B$999999,2,FALSE),"")</f>
        <v>IMPERMEABILIZANTE PARA MUROS PLAVICON MATE BEIGE X 25</v>
      </c>
      <c r="D1417" s="1" t="s">
        <v>14458</v>
      </c>
      <c r="E1417" s="3">
        <f>IFERROR(VLOOKUP(B1417,'DA1'!$B$2:$D$999999,3,FALSE),"")</f>
      </c>
      <c r="F1417" s="1" t="str">
        <f>IFERROR(VLOOKUP(B1417,'SB1'!$A$2:$C$999999,3,FALSE),"")</f>
        <v>503</v>
      </c>
      <c r="G1417" s="3" t="e">
        <f t="shared" si="49"/>
        <v>#VALUE!</v>
      </c>
      <c r="H1417" s="3" t="e">
        <f t="shared" si="48"/>
        <v>#VALUE!</v>
      </c>
      <c r="I1417" s="1">
        <v>1</v>
      </c>
    </row>
    <row r="1418" spans="1:9" x14ac:dyDescent="0.25">
      <c r="A1418" s="1" t="s">
        <v>14435</v>
      </c>
      <c r="B1418" s="1" t="s">
        <v>3999</v>
      </c>
      <c r="C1418" s="1" t="str">
        <f>IFERROR(VLOOKUP(B1418,'SB1'!$A$2:$B$999999,2,FALSE),"")</f>
        <v>CL-500 BCO PLENO X 3,5</v>
      </c>
      <c r="D1418" s="1" t="s">
        <v>14454</v>
      </c>
      <c r="E1418" s="3">
        <f>IFERROR(VLOOKUP(B1418,'DA1'!$B$2:$D$999999,3,FALSE),"")</f>
      </c>
      <c r="F1418" s="1" t="str">
        <f>IFERROR(VLOOKUP(B1418,'SB1'!$A$2:$C$999999,3,FALSE),"")</f>
        <v>503</v>
      </c>
      <c r="G1418" s="3" t="e">
        <f t="shared" si="49"/>
        <v>#VALUE!</v>
      </c>
      <c r="H1418" s="3" t="e">
        <f t="shared" si="48"/>
        <v>#VALUE!</v>
      </c>
      <c r="I1418" s="1">
        <v>3</v>
      </c>
    </row>
    <row r="1419" spans="1:9" x14ac:dyDescent="0.25">
      <c r="A1419" s="1" t="s">
        <v>14435</v>
      </c>
      <c r="B1419" s="1" t="s">
        <v>4001</v>
      </c>
      <c r="C1419" s="1" t="str">
        <f>IFERROR(VLOOKUP(B1419,'SB1'!$A$2:$B$999999,2,FALSE),"")</f>
        <v>CL-502 NEGRO PLENO X 1</v>
      </c>
      <c r="D1419" s="1" t="s">
        <v>14454</v>
      </c>
      <c r="E1419" s="3">
        <f>IFERROR(VLOOKUP(B1419,'DA1'!$B$2:$D$999999,3,FALSE),"")</f>
      </c>
      <c r="F1419" s="1" t="str">
        <f>IFERROR(VLOOKUP(B1419,'SB1'!$A$2:$C$999999,3,FALSE),"")</f>
        <v>503</v>
      </c>
      <c r="G1419" s="3" t="e">
        <f t="shared" si="49"/>
        <v>#VALUE!</v>
      </c>
      <c r="H1419" s="3" t="e">
        <f t="shared" si="48"/>
        <v>#VALUE!</v>
      </c>
      <c r="I1419" s="1">
        <v>3</v>
      </c>
    </row>
    <row r="1420" spans="1:9" x14ac:dyDescent="0.25">
      <c r="A1420" s="1" t="s">
        <v>14435</v>
      </c>
      <c r="B1420" s="1" t="s">
        <v>4003</v>
      </c>
      <c r="C1420" s="1" t="str">
        <f>IFERROR(VLOOKUP(B1420,'SB1'!$A$2:$B$999999,2,FALSE),"")</f>
        <v>CL-510 AZUL INT X 1</v>
      </c>
      <c r="D1420" s="1" t="s">
        <v>14454</v>
      </c>
      <c r="E1420" s="3">
        <f>IFERROR(VLOOKUP(B1420,'DA1'!$B$2:$D$999999,3,FALSE),"")</f>
      </c>
      <c r="F1420" s="1" t="str">
        <f>IFERROR(VLOOKUP(B1420,'SB1'!$A$2:$C$999999,3,FALSE),"")</f>
        <v>503</v>
      </c>
      <c r="G1420" s="3" t="e">
        <f t="shared" si="49"/>
        <v>#VALUE!</v>
      </c>
      <c r="H1420" s="3" t="e">
        <f t="shared" si="48"/>
        <v>#VALUE!</v>
      </c>
      <c r="I1420" s="1">
        <v>3</v>
      </c>
    </row>
    <row r="1421" spans="1:9" x14ac:dyDescent="0.25">
      <c r="A1421" s="1" t="s">
        <v>14435</v>
      </c>
      <c r="B1421" s="1" t="s">
        <v>4005</v>
      </c>
      <c r="C1421" s="1" t="str">
        <f>IFERROR(VLOOKUP(B1421,'SB1'!$A$2:$B$999999,2,FALSE),"")</f>
        <v>CL-512 AZUL VERDOSO X 1</v>
      </c>
      <c r="D1421" s="1" t="s">
        <v>14454</v>
      </c>
      <c r="E1421" s="3">
        <f>IFERROR(VLOOKUP(B1421,'DA1'!$B$2:$D$999999,3,FALSE),"")</f>
      </c>
      <c r="F1421" s="1" t="str">
        <f>IFERROR(VLOOKUP(B1421,'SB1'!$A$2:$C$999999,3,FALSE),"")</f>
        <v>503</v>
      </c>
      <c r="G1421" s="3" t="e">
        <f t="shared" si="49"/>
        <v>#VALUE!</v>
      </c>
      <c r="H1421" s="3" t="e">
        <f t="shared" si="48"/>
        <v>#VALUE!</v>
      </c>
      <c r="I1421" s="1">
        <v>3</v>
      </c>
    </row>
    <row r="1422" spans="1:9" x14ac:dyDescent="0.25">
      <c r="A1422" s="1" t="s">
        <v>14435</v>
      </c>
      <c r="B1422" s="1" t="s">
        <v>4007</v>
      </c>
      <c r="C1422" s="1" t="str">
        <f>IFERROR(VLOOKUP(B1422,'SB1'!$A$2:$B$999999,2,FALSE),"")</f>
        <v>CL-513 VERDE PROFUNDO X 1</v>
      </c>
      <c r="D1422" s="1" t="s">
        <v>14439</v>
      </c>
      <c r="E1422" s="3">
        <f>IFERROR(VLOOKUP(B1422,'DA1'!$B$2:$D$999999,3,FALSE),"")</f>
      </c>
      <c r="F1422" s="1" t="str">
        <f>IFERROR(VLOOKUP(B1422,'SB1'!$A$2:$C$999999,3,FALSE),"")</f>
        <v>503</v>
      </c>
      <c r="G1422" s="3" t="e">
        <f t="shared" si="49"/>
        <v>#VALUE!</v>
      </c>
      <c r="H1422" s="3" t="e">
        <f t="shared" si="48"/>
        <v>#VALUE!</v>
      </c>
      <c r="I1422" s="1">
        <v>3</v>
      </c>
    </row>
    <row r="1423" spans="1:9" x14ac:dyDescent="0.25">
      <c r="A1423" s="1" t="s">
        <v>14435</v>
      </c>
      <c r="B1423" s="1" t="s">
        <v>4009</v>
      </c>
      <c r="C1423" s="1" t="str">
        <f>IFERROR(VLOOKUP(B1423,'SB1'!$A$2:$B$999999,2,FALSE),"")</f>
        <v>CL-517 VIOLETA PURO X 1</v>
      </c>
      <c r="D1423" s="1" t="s">
        <v>14454</v>
      </c>
      <c r="E1423" s="3">
        <f>IFERROR(VLOOKUP(B1423,'DA1'!$B$2:$D$999999,3,FALSE),"")</f>
      </c>
      <c r="F1423" s="1" t="str">
        <f>IFERROR(VLOOKUP(B1423,'SB1'!$A$2:$C$999999,3,FALSE),"")</f>
        <v>503</v>
      </c>
      <c r="G1423" s="3" t="e">
        <f t="shared" si="49"/>
        <v>#VALUE!</v>
      </c>
      <c r="H1423" s="3" t="e">
        <f t="shared" si="48"/>
        <v>#VALUE!</v>
      </c>
      <c r="I1423" s="1">
        <v>3</v>
      </c>
    </row>
    <row r="1424" spans="1:9" x14ac:dyDescent="0.25">
      <c r="A1424" s="1" t="s">
        <v>14435</v>
      </c>
      <c r="B1424" s="1" t="s">
        <v>4011</v>
      </c>
      <c r="C1424" s="1" t="str">
        <f>IFERROR(VLOOKUP(B1424,'SB1'!$A$2:$B$999999,2,FALSE),"")</f>
        <v>CL-530 AMARILLO OCRE X 1</v>
      </c>
      <c r="D1424" s="1" t="s">
        <v>14454</v>
      </c>
      <c r="E1424" s="3">
        <f>IFERROR(VLOOKUP(B1424,'DA1'!$B$2:$D$999999,3,FALSE),"")</f>
      </c>
      <c r="F1424" s="1" t="str">
        <f>IFERROR(VLOOKUP(B1424,'SB1'!$A$2:$C$999999,3,FALSE),"")</f>
        <v>503</v>
      </c>
      <c r="G1424" s="3" t="e">
        <f t="shared" si="49"/>
        <v>#VALUE!</v>
      </c>
      <c r="H1424" s="3" t="e">
        <f t="shared" si="48"/>
        <v>#VALUE!</v>
      </c>
      <c r="I1424" s="1">
        <v>3</v>
      </c>
    </row>
    <row r="1425" spans="1:9" x14ac:dyDescent="0.25">
      <c r="A1425" s="1" t="s">
        <v>14435</v>
      </c>
      <c r="B1425" s="1" t="s">
        <v>4013</v>
      </c>
      <c r="C1425" s="1" t="str">
        <f>IFERROR(VLOOKUP(B1425,'SB1'!$A$2:$B$999999,2,FALSE),"")</f>
        <v>CL-531 ROJO COLORADO X 1</v>
      </c>
      <c r="D1425" s="1" t="s">
        <v>14454</v>
      </c>
      <c r="E1425" s="3">
        <f>IFERROR(VLOOKUP(B1425,'DA1'!$B$2:$D$999999,3,FALSE),"")</f>
      </c>
      <c r="F1425" s="1" t="str">
        <f>IFERROR(VLOOKUP(B1425,'SB1'!$A$2:$C$999999,3,FALSE),"")</f>
        <v>503</v>
      </c>
      <c r="G1425" s="3" t="e">
        <f t="shared" si="49"/>
        <v>#VALUE!</v>
      </c>
      <c r="H1425" s="3" t="e">
        <f t="shared" si="48"/>
        <v>#VALUE!</v>
      </c>
      <c r="I1425" s="1">
        <v>3</v>
      </c>
    </row>
    <row r="1426" spans="1:9" x14ac:dyDescent="0.25">
      <c r="A1426" s="1" t="s">
        <v>14435</v>
      </c>
      <c r="B1426" s="1" t="s">
        <v>4015</v>
      </c>
      <c r="C1426" s="1" t="str">
        <f>IFERROR(VLOOKUP(B1426,'SB1'!$A$2:$B$999999,2,FALSE),"")</f>
        <v>CL-533 AMARILLO SOL X 1 (DISCONTINUADO)</v>
      </c>
      <c r="D1426" s="1" t="s">
        <v>14454</v>
      </c>
      <c r="E1426" s="3">
        <f>IFERROR(VLOOKUP(B1426,'DA1'!$B$2:$D$999999,3,FALSE),"")</f>
      </c>
      <c r="F1426" s="1" t="str">
        <f>IFERROR(VLOOKUP(B1426,'SB1'!$A$2:$C$999999,3,FALSE),"")</f>
        <v>503</v>
      </c>
      <c r="G1426" s="3" t="e">
        <f t="shared" si="49"/>
        <v>#VALUE!</v>
      </c>
      <c r="H1426" s="3" t="e">
        <f t="shared" si="48"/>
        <v>#VALUE!</v>
      </c>
      <c r="I1426" s="1">
        <v>1</v>
      </c>
    </row>
    <row r="1427" spans="1:9" x14ac:dyDescent="0.25">
      <c r="A1427" s="1" t="s">
        <v>14435</v>
      </c>
      <c r="B1427" s="1" t="s">
        <v>4017</v>
      </c>
      <c r="C1427" s="1" t="str">
        <f>IFERROR(VLOOKUP(B1427,'SB1'!$A$2:$B$999999,2,FALSE),"")</f>
        <v>CL-535 AMARILLO CITRICO X 1 (DISCONTINUADO)</v>
      </c>
      <c r="D1427" s="1" t="s">
        <v>14454</v>
      </c>
      <c r="E1427" s="3">
        <f>IFERROR(VLOOKUP(B1427,'DA1'!$B$2:$D$999999,3,FALSE),"")</f>
      </c>
      <c r="F1427" s="1" t="str">
        <f>IFERROR(VLOOKUP(B1427,'SB1'!$A$2:$C$999999,3,FALSE),"")</f>
        <v>503</v>
      </c>
      <c r="G1427" s="3" t="e">
        <f t="shared" si="49"/>
        <v>#VALUE!</v>
      </c>
      <c r="H1427" s="3" t="e">
        <f t="shared" si="48"/>
        <v>#VALUE!</v>
      </c>
      <c r="I1427" s="1">
        <v>1</v>
      </c>
    </row>
    <row r="1428" spans="1:9" x14ac:dyDescent="0.25">
      <c r="A1428" s="1" t="s">
        <v>14435</v>
      </c>
      <c r="B1428" s="1" t="s">
        <v>4019</v>
      </c>
      <c r="C1428" s="1" t="str">
        <f>IFERROR(VLOOKUP(B1428,'SB1'!$A$2:$B$999999,2,FALSE),"")</f>
        <v>CL-537 ROJO FUERTE X 1</v>
      </c>
      <c r="D1428" s="1" t="s">
        <v>14439</v>
      </c>
      <c r="E1428" s="3">
        <f>IFERROR(VLOOKUP(B1428,'DA1'!$B$2:$D$999999,3,FALSE),"")</f>
      </c>
      <c r="F1428" s="1" t="str">
        <f>IFERROR(VLOOKUP(B1428,'SB1'!$A$2:$C$999999,3,FALSE),"")</f>
        <v>503</v>
      </c>
      <c r="G1428" s="3" t="e">
        <f t="shared" si="49"/>
        <v>#VALUE!</v>
      </c>
      <c r="H1428" s="3" t="e">
        <f t="shared" si="48"/>
        <v>#VALUE!</v>
      </c>
      <c r="I1428" s="1">
        <v>3</v>
      </c>
    </row>
    <row r="1429" spans="1:9" x14ac:dyDescent="0.25">
      <c r="A1429" s="1" t="s">
        <v>14435</v>
      </c>
      <c r="B1429" s="1" t="s">
        <v>4021</v>
      </c>
      <c r="C1429" s="1" t="str">
        <f>IFERROR(VLOOKUP(B1429,'SB1'!$A$2:$B$999999,2,FALSE),"")</f>
        <v>CL-539 ROJO PALIDO X 1</v>
      </c>
      <c r="D1429" s="1" t="s">
        <v>14454</v>
      </c>
      <c r="E1429" s="3">
        <f>IFERROR(VLOOKUP(B1429,'DA1'!$B$2:$D$999999,3,FALSE),"")</f>
      </c>
      <c r="F1429" s="1" t="str">
        <f>IFERROR(VLOOKUP(B1429,'SB1'!$A$2:$C$999999,3,FALSE),"")</f>
        <v>503</v>
      </c>
      <c r="G1429" s="3" t="e">
        <f t="shared" si="49"/>
        <v>#VALUE!</v>
      </c>
      <c r="H1429" s="3" t="e">
        <f t="shared" si="48"/>
        <v>#VALUE!</v>
      </c>
      <c r="I1429" s="1">
        <v>3</v>
      </c>
    </row>
    <row r="1430" spans="1:9" x14ac:dyDescent="0.25">
      <c r="A1430" s="1" t="s">
        <v>14435</v>
      </c>
      <c r="B1430" s="1" t="s">
        <v>4023</v>
      </c>
      <c r="C1430" s="1" t="str">
        <f>IFERROR(VLOOKUP(B1430,'SB1'!$A$2:$B$999999,2,FALSE),"")</f>
        <v>CL-542 NARANJA FUEGO X 1  (DISCONTINUADO)</v>
      </c>
      <c r="D1430" s="1" t="s">
        <v>14454</v>
      </c>
      <c r="E1430" s="3">
        <f>IFERROR(VLOOKUP(B1430,'DA1'!$B$2:$D$999999,3,FALSE),"")</f>
      </c>
      <c r="F1430" s="1" t="str">
        <f>IFERROR(VLOOKUP(B1430,'SB1'!$A$2:$C$999999,3,FALSE),"")</f>
        <v>503</v>
      </c>
      <c r="G1430" s="3" t="e">
        <f t="shared" si="49"/>
        <v>#VALUE!</v>
      </c>
      <c r="H1430" s="3" t="e">
        <f t="shared" si="48"/>
        <v>#VALUE!</v>
      </c>
      <c r="I1430" s="1">
        <v>3</v>
      </c>
    </row>
    <row r="1431" spans="1:9" x14ac:dyDescent="0.25">
      <c r="A1431" s="1" t="s">
        <v>14435</v>
      </c>
      <c r="B1431" s="1" t="s">
        <v>4025</v>
      </c>
      <c r="C1431" s="1" t="str">
        <f>IFERROR(VLOOKUP(B1431,'SB1'!$A$2:$B$999999,2,FALSE),"")</f>
        <v>CL-544 AMARILLO MEDIO X 1 (DISCONTINUADO)</v>
      </c>
      <c r="D1431" s="1" t="s">
        <v>14454</v>
      </c>
      <c r="E1431" s="3">
        <f>IFERROR(VLOOKUP(B1431,'DA1'!$B$2:$D$999999,3,FALSE),"")</f>
      </c>
      <c r="F1431" s="1" t="str">
        <f>IFERROR(VLOOKUP(B1431,'SB1'!$A$2:$C$999999,3,FALSE),"")</f>
        <v>503</v>
      </c>
      <c r="G1431" s="3" t="e">
        <f t="shared" si="49"/>
        <v>#VALUE!</v>
      </c>
      <c r="H1431" s="3" t="e">
        <f t="shared" si="48"/>
        <v>#VALUE!</v>
      </c>
      <c r="I1431" s="1">
        <v>3</v>
      </c>
    </row>
    <row r="1432" spans="1:9" x14ac:dyDescent="0.25">
      <c r="A1432" s="1" t="s">
        <v>14435</v>
      </c>
      <c r="B1432" s="1" t="s">
        <v>4027</v>
      </c>
      <c r="C1432" s="1" t="str">
        <f>IFERROR(VLOOKUP(B1432,'SB1'!$A$2:$B$999999,2,FALSE),"")</f>
        <v>CL-546 BORDO X 1</v>
      </c>
      <c r="D1432" s="1" t="s">
        <v>14454</v>
      </c>
      <c r="E1432" s="3">
        <f>IFERROR(VLOOKUP(B1432,'DA1'!$B$2:$D$999999,3,FALSE),"")</f>
      </c>
      <c r="F1432" s="1" t="str">
        <f>IFERROR(VLOOKUP(B1432,'SB1'!$A$2:$C$999999,3,FALSE),"")</f>
        <v>503</v>
      </c>
      <c r="G1432" s="3" t="e">
        <f t="shared" si="49"/>
        <v>#VALUE!</v>
      </c>
      <c r="H1432" s="3" t="e">
        <f t="shared" si="48"/>
        <v>#VALUE!</v>
      </c>
      <c r="I1432" s="1">
        <v>3</v>
      </c>
    </row>
    <row r="1433" spans="1:9" x14ac:dyDescent="0.25">
      <c r="A1433" s="1" t="s">
        <v>14435</v>
      </c>
      <c r="B1433" s="1" t="s">
        <v>4029</v>
      </c>
      <c r="C1433" s="1" t="str">
        <f>IFERROR(VLOOKUP(B1433,'SB1'!$A$2:$B$999999,2,FALSE),"")</f>
        <v>CL-548 ROJO INT X 1</v>
      </c>
      <c r="D1433" s="1" t="s">
        <v>14454</v>
      </c>
      <c r="E1433" s="3">
        <f>IFERROR(VLOOKUP(B1433,'DA1'!$B$2:$D$999999,3,FALSE),"")</f>
      </c>
      <c r="F1433" s="1" t="str">
        <f>IFERROR(VLOOKUP(B1433,'SB1'!$A$2:$C$999999,3,FALSE),"")</f>
        <v>503</v>
      </c>
      <c r="G1433" s="3" t="e">
        <f t="shared" si="49"/>
        <v>#VALUE!</v>
      </c>
      <c r="H1433" s="3" t="e">
        <f t="shared" si="48"/>
        <v>#VALUE!</v>
      </c>
      <c r="I1433" s="1">
        <v>3</v>
      </c>
    </row>
    <row r="1434" spans="1:9" x14ac:dyDescent="0.25">
      <c r="A1434" s="1" t="s">
        <v>14435</v>
      </c>
      <c r="B1434" s="1" t="s">
        <v>4031</v>
      </c>
      <c r="C1434" s="1" t="str">
        <f>IFERROR(VLOOKUP(B1434,'SB1'!$A$2:$B$999999,2,FALSE),"")</f>
        <v>CL-549 ROSA X 1</v>
      </c>
      <c r="D1434" s="1" t="s">
        <v>14454</v>
      </c>
      <c r="E1434" s="3">
        <f>IFERROR(VLOOKUP(B1434,'DA1'!$B$2:$D$999999,3,FALSE),"")</f>
      </c>
      <c r="F1434" s="1" t="str">
        <f>IFERROR(VLOOKUP(B1434,'SB1'!$A$2:$C$999999,3,FALSE),"")</f>
        <v>503</v>
      </c>
      <c r="G1434" s="3" t="e">
        <f t="shared" si="49"/>
        <v>#VALUE!</v>
      </c>
      <c r="H1434" s="3" t="e">
        <f t="shared" si="48"/>
        <v>#VALUE!</v>
      </c>
      <c r="I1434" s="1">
        <v>3</v>
      </c>
    </row>
    <row r="1435" spans="1:9" x14ac:dyDescent="0.25">
      <c r="A1435" s="1" t="s">
        <v>14435</v>
      </c>
      <c r="B1435" s="1" t="s">
        <v>4033</v>
      </c>
      <c r="C1435" s="1" t="str">
        <f>IFERROR(VLOOKUP(B1435,'SB1'!$A$2:$B$999999,2,FALSE),"")</f>
        <v>CL-550 AZUL PURO X 1</v>
      </c>
      <c r="D1435" s="1" t="s">
        <v>14454</v>
      </c>
      <c r="E1435" s="3">
        <f>IFERROR(VLOOKUP(B1435,'DA1'!$B$2:$D$999999,3,FALSE),"")</f>
      </c>
      <c r="F1435" s="1" t="str">
        <f>IFERROR(VLOOKUP(B1435,'SB1'!$A$2:$C$999999,3,FALSE),"")</f>
        <v>503</v>
      </c>
      <c r="G1435" s="3" t="e">
        <f t="shared" si="49"/>
        <v>#VALUE!</v>
      </c>
      <c r="H1435" s="3" t="e">
        <f t="shared" si="48"/>
        <v>#VALUE!</v>
      </c>
      <c r="I1435" s="1">
        <v>3</v>
      </c>
    </row>
    <row r="1436" spans="1:9" x14ac:dyDescent="0.25">
      <c r="A1436" s="1" t="s">
        <v>14435</v>
      </c>
      <c r="B1436" s="1" t="s">
        <v>4035</v>
      </c>
      <c r="C1436" s="1" t="str">
        <f>IFERROR(VLOOKUP(B1436,'SB1'!$A$2:$B$999999,2,FALSE),"")</f>
        <v>CL-551 NARANJA SOL X 1 (DISCONTINUADO)</v>
      </c>
      <c r="D1436" s="1" t="s">
        <v>14454</v>
      </c>
      <c r="E1436" s="3">
        <f>IFERROR(VLOOKUP(B1436,'DA1'!$B$2:$D$999999,3,FALSE),"")</f>
      </c>
      <c r="F1436" s="1" t="str">
        <f>IFERROR(VLOOKUP(B1436,'SB1'!$A$2:$C$999999,3,FALSE),"")</f>
        <v>503</v>
      </c>
      <c r="G1436" s="3" t="e">
        <f t="shared" si="49"/>
        <v>#VALUE!</v>
      </c>
      <c r="H1436" s="3" t="e">
        <f t="shared" si="48"/>
        <v>#VALUE!</v>
      </c>
      <c r="I1436" s="1">
        <v>1</v>
      </c>
    </row>
    <row r="1437" spans="1:9" x14ac:dyDescent="0.25">
      <c r="A1437" s="1" t="s">
        <v>14435</v>
      </c>
      <c r="B1437" s="1" t="s">
        <v>4037</v>
      </c>
      <c r="C1437" s="1" t="str">
        <f>IFERROR(VLOOKUP(B1437,'SB1'!$A$2:$B$999999,2,FALSE),"")</f>
        <v>CL-553 VERDE PURO X 1</v>
      </c>
      <c r="D1437" s="1" t="s">
        <v>14454</v>
      </c>
      <c r="E1437" s="3">
        <f>IFERROR(VLOOKUP(B1437,'DA1'!$B$2:$D$999999,3,FALSE),"")</f>
      </c>
      <c r="F1437" s="1" t="str">
        <f>IFERROR(VLOOKUP(B1437,'SB1'!$A$2:$C$999999,3,FALSE),"")</f>
        <v>503</v>
      </c>
      <c r="G1437" s="3" t="e">
        <f t="shared" si="49"/>
        <v>#VALUE!</v>
      </c>
      <c r="H1437" s="3" t="e">
        <f t="shared" si="48"/>
        <v>#VALUE!</v>
      </c>
      <c r="I1437" s="1">
        <v>3</v>
      </c>
    </row>
    <row r="1438" spans="1:9" x14ac:dyDescent="0.25">
      <c r="A1438" s="1" t="s">
        <v>14435</v>
      </c>
      <c r="B1438" s="1" t="s">
        <v>4039</v>
      </c>
      <c r="C1438" s="1" t="str">
        <f>IFERROR(VLOOKUP(B1438,'SB1'!$A$2:$B$999999,2,FALSE),"")</f>
        <v>CL-554 ROJO CORAL X 1</v>
      </c>
      <c r="D1438" s="1" t="s">
        <v>14454</v>
      </c>
      <c r="E1438" s="3">
        <f>IFERROR(VLOOKUP(B1438,'DA1'!$B$2:$D$999999,3,FALSE),"")</f>
      </c>
      <c r="F1438" s="1" t="str">
        <f>IFERROR(VLOOKUP(B1438,'SB1'!$A$2:$C$999999,3,FALSE),"")</f>
        <v>503</v>
      </c>
      <c r="G1438" s="3" t="e">
        <f t="shared" si="49"/>
        <v>#VALUE!</v>
      </c>
      <c r="H1438" s="3" t="e">
        <f t="shared" si="48"/>
        <v>#VALUE!</v>
      </c>
      <c r="I1438" s="1">
        <v>3</v>
      </c>
    </row>
    <row r="1439" spans="1:9" x14ac:dyDescent="0.25">
      <c r="A1439" s="1" t="s">
        <v>14435</v>
      </c>
      <c r="B1439" s="1" t="s">
        <v>4041</v>
      </c>
      <c r="C1439" s="1" t="str">
        <f>IFERROR(VLOOKUP(B1439,'SB1'!$A$2:$B$999999,2,FALSE),"")</f>
        <v>CL-555 ROJO FUEGO X 1</v>
      </c>
      <c r="D1439" s="1" t="s">
        <v>14454</v>
      </c>
      <c r="E1439" s="3">
        <f>IFERROR(VLOOKUP(B1439,'DA1'!$B$2:$D$999999,3,FALSE),"")</f>
      </c>
      <c r="F1439" s="1" t="str">
        <f>IFERROR(VLOOKUP(B1439,'SB1'!$A$2:$C$999999,3,FALSE),"")</f>
        <v>503</v>
      </c>
      <c r="G1439" s="3" t="e">
        <f t="shared" si="49"/>
        <v>#VALUE!</v>
      </c>
      <c r="H1439" s="3" t="e">
        <f t="shared" si="48"/>
        <v>#VALUE!</v>
      </c>
      <c r="I1439" s="1">
        <v>3</v>
      </c>
    </row>
    <row r="1440" spans="1:9" x14ac:dyDescent="0.25">
      <c r="A1440" s="1" t="s">
        <v>14435</v>
      </c>
      <c r="B1440" s="1" t="s">
        <v>4043</v>
      </c>
      <c r="C1440" s="1" t="str">
        <f>IFERROR(VLOOKUP(B1440,'SB1'!$A$2:$B$999999,2,FALSE),"")</f>
        <v>CL-556 AMARILLO LIMON X 1</v>
      </c>
      <c r="D1440" s="1" t="s">
        <v>14454</v>
      </c>
      <c r="E1440" s="3">
        <f>IFERROR(VLOOKUP(B1440,'DA1'!$B$2:$D$999999,3,FALSE),"")</f>
      </c>
      <c r="F1440" s="1" t="str">
        <f>IFERROR(VLOOKUP(B1440,'SB1'!$A$2:$C$999999,3,FALSE),"")</f>
        <v>503</v>
      </c>
      <c r="G1440" s="3" t="e">
        <f t="shared" si="49"/>
        <v>#VALUE!</v>
      </c>
      <c r="H1440" s="3" t="e">
        <f t="shared" si="48"/>
        <v>#VALUE!</v>
      </c>
      <c r="I1440" s="1">
        <v>3</v>
      </c>
    </row>
    <row r="1441" spans="1:9" x14ac:dyDescent="0.25">
      <c r="A1441" s="1" t="s">
        <v>14435</v>
      </c>
      <c r="B1441" s="1" t="s">
        <v>4045</v>
      </c>
      <c r="C1441" s="1" t="str">
        <f>IFERROR(VLOOKUP(B1441,'SB1'!$A$2:$B$999999,2,FALSE),"")</f>
        <v>CM-007 NEGRO INT X 1</v>
      </c>
      <c r="D1441" s="1" t="s">
        <v>14454</v>
      </c>
      <c r="E1441" s="3">
        <f>IFERROR(VLOOKUP(B1441,'DA1'!$B$2:$D$999999,3,FALSE),"")</f>
      </c>
      <c r="F1441" s="1" t="str">
        <f>IFERROR(VLOOKUP(B1441,'SB1'!$A$2:$C$999999,3,FALSE),"")</f>
        <v>503</v>
      </c>
      <c r="G1441" s="3" t="e">
        <f t="shared" si="49"/>
        <v>#VALUE!</v>
      </c>
      <c r="H1441" s="3" t="e">
        <f t="shared" si="48"/>
        <v>#VALUE!</v>
      </c>
      <c r="I1441" s="1">
        <v>3</v>
      </c>
    </row>
    <row r="1442" spans="1:9" x14ac:dyDescent="0.25">
      <c r="A1442" s="1" t="s">
        <v>14435</v>
      </c>
      <c r="B1442" s="1" t="s">
        <v>4047</v>
      </c>
      <c r="C1442" s="1" t="str">
        <f>IFERROR(VLOOKUP(B1442,'SB1'!$A$2:$B$999999,2,FALSE),"")</f>
        <v>CM-105 ALUMINIO MEDIO BRILL X 1</v>
      </c>
      <c r="D1442" s="1" t="s">
        <v>14454</v>
      </c>
      <c r="E1442" s="3">
        <f>IFERROR(VLOOKUP(B1442,'DA1'!$B$2:$D$999999,3,FALSE),"")</f>
      </c>
      <c r="F1442" s="1" t="str">
        <f>IFERROR(VLOOKUP(B1442,'SB1'!$A$2:$C$999999,3,FALSE),"")</f>
        <v>503</v>
      </c>
      <c r="G1442" s="3" t="e">
        <f t="shared" si="49"/>
        <v>#VALUE!</v>
      </c>
      <c r="H1442" s="3" t="e">
        <f t="shared" si="48"/>
        <v>#VALUE!</v>
      </c>
      <c r="I1442" s="1">
        <v>3</v>
      </c>
    </row>
    <row r="1443" spans="1:9" x14ac:dyDescent="0.25">
      <c r="A1443" s="1" t="s">
        <v>14435</v>
      </c>
      <c r="B1443" s="1" t="s">
        <v>4049</v>
      </c>
      <c r="C1443" s="1" t="str">
        <f>IFERROR(VLOOKUP(B1443,'SB1'!$A$2:$B$999999,2,FALSE),"")</f>
        <v>CM-016 AZUL LUMINOSO BRILL X 1 (DISCONTINUADO)</v>
      </c>
      <c r="D1443" s="1" t="s">
        <v>14454</v>
      </c>
      <c r="E1443" s="3">
        <f>IFERROR(VLOOKUP(B1443,'DA1'!$B$2:$D$999999,3,FALSE),"")</f>
      </c>
      <c r="F1443" s="1" t="str">
        <f>IFERROR(VLOOKUP(B1443,'SB1'!$A$2:$C$999999,3,FALSE),"")</f>
        <v>503</v>
      </c>
      <c r="G1443" s="3" t="e">
        <f t="shared" si="49"/>
        <v>#VALUE!</v>
      </c>
      <c r="H1443" s="3" t="e">
        <f t="shared" ref="H1443:H1506" si="50">G1443*1.21</f>
        <v>#VALUE!</v>
      </c>
      <c r="I1443" s="1">
        <v>3</v>
      </c>
    </row>
    <row r="1444" spans="1:9" x14ac:dyDescent="0.25">
      <c r="A1444" s="1" t="s">
        <v>14435</v>
      </c>
      <c r="B1444" s="1" t="s">
        <v>4051</v>
      </c>
      <c r="C1444" s="1" t="str">
        <f>IFERROR(VLOOKUP(B1444,'SB1'!$A$2:$B$999999,2,FALSE),"")</f>
        <v>CM-019 AZUL OSCURO PROFUNDO X 1</v>
      </c>
      <c r="D1444" s="1" t="s">
        <v>14454</v>
      </c>
      <c r="E1444" s="3">
        <f>IFERROR(VLOOKUP(B1444,'DA1'!$B$2:$D$999999,3,FALSE),"")</f>
      </c>
      <c r="F1444" s="1" t="str">
        <f>IFERROR(VLOOKUP(B1444,'SB1'!$A$2:$C$999999,3,FALSE),"")</f>
        <v>503</v>
      </c>
      <c r="G1444" s="3" t="e">
        <f t="shared" si="49"/>
        <v>#VALUE!</v>
      </c>
      <c r="H1444" s="3" t="e">
        <f t="shared" si="50"/>
        <v>#VALUE!</v>
      </c>
      <c r="I1444" s="1">
        <v>3</v>
      </c>
    </row>
    <row r="1445" spans="1:9" x14ac:dyDescent="0.25">
      <c r="A1445" s="1" t="s">
        <v>14435</v>
      </c>
      <c r="B1445" s="1" t="s">
        <v>4053</v>
      </c>
      <c r="C1445" s="1" t="str">
        <f>IFERROR(VLOOKUP(B1445,'SB1'!$A$2:$B$999999,2,FALSE),"")</f>
        <v>CM-202 PERLADO BCO FINO X 1</v>
      </c>
      <c r="D1445" s="1" t="s">
        <v>14454</v>
      </c>
      <c r="E1445" s="3">
        <f>IFERROR(VLOOKUP(B1445,'DA1'!$B$2:$D$999999,3,FALSE),"")</f>
      </c>
      <c r="F1445" s="1" t="str">
        <f>IFERROR(VLOOKUP(B1445,'SB1'!$A$2:$C$999999,3,FALSE),"")</f>
        <v>503</v>
      </c>
      <c r="G1445" s="3" t="e">
        <f t="shared" si="49"/>
        <v>#VALUE!</v>
      </c>
      <c r="H1445" s="3" t="e">
        <f t="shared" si="50"/>
        <v>#VALUE!</v>
      </c>
      <c r="I1445" s="1">
        <v>3</v>
      </c>
    </row>
    <row r="1446" spans="1:9" x14ac:dyDescent="0.25">
      <c r="A1446" s="1" t="s">
        <v>14435</v>
      </c>
      <c r="B1446" s="1" t="s">
        <v>4055</v>
      </c>
      <c r="C1446" s="1" t="str">
        <f>IFERROR(VLOOKUP(B1446,'SB1'!$A$2:$B$999999,2,FALSE),"")</f>
        <v>CM-203 PERLADO PLATA LUMINOSO X 1</v>
      </c>
      <c r="D1446" s="1" t="s">
        <v>14454</v>
      </c>
      <c r="E1446" s="3">
        <f>IFERROR(VLOOKUP(B1446,'DA1'!$B$2:$D$999999,3,FALSE),"")</f>
      </c>
      <c r="F1446" s="1" t="str">
        <f>IFERROR(VLOOKUP(B1446,'SB1'!$A$2:$C$999999,3,FALSE),"")</f>
        <v>503</v>
      </c>
      <c r="G1446" s="3" t="e">
        <f t="shared" si="49"/>
        <v>#VALUE!</v>
      </c>
      <c r="H1446" s="3" t="e">
        <f t="shared" si="50"/>
        <v>#VALUE!</v>
      </c>
      <c r="I1446" s="1">
        <v>3</v>
      </c>
    </row>
    <row r="1447" spans="1:9" x14ac:dyDescent="0.25">
      <c r="A1447" s="1" t="s">
        <v>14435</v>
      </c>
      <c r="B1447" s="1" t="s">
        <v>4057</v>
      </c>
      <c r="C1447" s="1" t="str">
        <f>IFERROR(VLOOKUP(B1447,'SB1'!$A$2:$B$999999,2,FALSE),"")</f>
        <v>CM-100 ALUMINIO EXTRA FINO X 3,5</v>
      </c>
      <c r="D1447" s="1" t="s">
        <v>14454</v>
      </c>
      <c r="E1447" s="3">
        <f>IFERROR(VLOOKUP(B1447,'DA1'!$B$2:$D$999999,3,FALSE),"")</f>
      </c>
      <c r="F1447" s="1" t="str">
        <f>IFERROR(VLOOKUP(B1447,'SB1'!$A$2:$C$999999,3,FALSE),"")</f>
        <v>503</v>
      </c>
      <c r="G1447" s="3" t="e">
        <f t="shared" si="49"/>
        <v>#VALUE!</v>
      </c>
      <c r="H1447" s="3" t="e">
        <f t="shared" si="50"/>
        <v>#VALUE!</v>
      </c>
      <c r="I1447" s="1">
        <v>3</v>
      </c>
    </row>
    <row r="1448" spans="1:9" x14ac:dyDescent="0.25">
      <c r="A1448" s="1" t="s">
        <v>14435</v>
      </c>
      <c r="B1448" s="1" t="s">
        <v>4059</v>
      </c>
      <c r="C1448" s="1" t="str">
        <f>IFERROR(VLOOKUP(B1448,'SB1'!$A$2:$B$999999,2,FALSE),"")</f>
        <v>CM-106 ALUMINIO MEDIO LUMINOSO X 1</v>
      </c>
      <c r="D1448" s="1" t="s">
        <v>14454</v>
      </c>
      <c r="E1448" s="3">
        <f>IFERROR(VLOOKUP(B1448,'DA1'!$B$2:$D$999999,3,FALSE),"")</f>
      </c>
      <c r="F1448" s="1" t="str">
        <f>IFERROR(VLOOKUP(B1448,'SB1'!$A$2:$C$999999,3,FALSE),"")</f>
        <v>503</v>
      </c>
      <c r="G1448" s="3" t="e">
        <f t="shared" si="49"/>
        <v>#VALUE!</v>
      </c>
      <c r="H1448" s="3" t="e">
        <f t="shared" si="50"/>
        <v>#VALUE!</v>
      </c>
      <c r="I1448" s="1">
        <v>3</v>
      </c>
    </row>
    <row r="1449" spans="1:9" x14ac:dyDescent="0.25">
      <c r="A1449" s="1" t="s">
        <v>14435</v>
      </c>
      <c r="B1449" s="1" t="s">
        <v>4061</v>
      </c>
      <c r="C1449" s="1" t="str">
        <f>IFERROR(VLOOKUP(B1449,'SB1'!$A$2:$B$999999,2,FALSE),"")</f>
        <v>CM-103 ALUMINIO GRUESO LUMINOSO X 1</v>
      </c>
      <c r="D1449" s="1" t="s">
        <v>14454</v>
      </c>
      <c r="E1449" s="3">
        <f>IFERROR(VLOOKUP(B1449,'DA1'!$B$2:$D$999999,3,FALSE),"")</f>
      </c>
      <c r="F1449" s="1" t="str">
        <f>IFERROR(VLOOKUP(B1449,'SB1'!$A$2:$C$999999,3,FALSE),"")</f>
        <v>503</v>
      </c>
      <c r="G1449" s="3" t="e">
        <f t="shared" si="49"/>
        <v>#VALUE!</v>
      </c>
      <c r="H1449" s="3" t="e">
        <f t="shared" si="50"/>
        <v>#VALUE!</v>
      </c>
      <c r="I1449" s="1">
        <v>3</v>
      </c>
    </row>
    <row r="1450" spans="1:9" x14ac:dyDescent="0.25">
      <c r="A1450" s="1" t="s">
        <v>14435</v>
      </c>
      <c r="B1450" s="1" t="s">
        <v>4063</v>
      </c>
      <c r="C1450" s="1" t="str">
        <f>IFERROR(VLOOKUP(B1450,'SB1'!$A$2:$B$999999,2,FALSE),"")</f>
        <v>CM-102 ALUMINIO GRUESO X 3,5</v>
      </c>
      <c r="D1450" s="1" t="s">
        <v>14454</v>
      </c>
      <c r="E1450" s="3">
        <f>IFERROR(VLOOKUP(B1450,'DA1'!$B$2:$D$999999,3,FALSE),"")</f>
      </c>
      <c r="F1450" s="1" t="str">
        <f>IFERROR(VLOOKUP(B1450,'SB1'!$A$2:$C$999999,3,FALSE),"")</f>
        <v>503</v>
      </c>
      <c r="G1450" s="3" t="e">
        <f t="shared" si="49"/>
        <v>#VALUE!</v>
      </c>
      <c r="H1450" s="3" t="e">
        <f t="shared" si="50"/>
        <v>#VALUE!</v>
      </c>
      <c r="I1450" s="1">
        <v>3</v>
      </c>
    </row>
    <row r="1451" spans="1:9" x14ac:dyDescent="0.25">
      <c r="A1451" s="1" t="s">
        <v>14435</v>
      </c>
      <c r="B1451" s="1" t="s">
        <v>4065</v>
      </c>
      <c r="C1451" s="1" t="str">
        <f>IFERROR(VLOOKUP(B1451,'SB1'!$A$2:$B$999999,2,FALSE),"")</f>
        <v>CM-002 NEGRO X 3,5</v>
      </c>
      <c r="D1451" s="1" t="s">
        <v>14454</v>
      </c>
      <c r="E1451" s="3">
        <f>IFERROR(VLOOKUP(B1451,'DA1'!$B$2:$D$999999,3,FALSE),"")</f>
      </c>
      <c r="F1451" s="1" t="str">
        <f>IFERROR(VLOOKUP(B1451,'SB1'!$A$2:$C$999999,3,FALSE),"")</f>
        <v>503</v>
      </c>
      <c r="G1451" s="3" t="e">
        <f t="shared" si="49"/>
        <v>#VALUE!</v>
      </c>
      <c r="H1451" s="3" t="e">
        <f t="shared" si="50"/>
        <v>#VALUE!</v>
      </c>
      <c r="I1451" s="1">
        <v>3</v>
      </c>
    </row>
    <row r="1452" spans="1:9" x14ac:dyDescent="0.25">
      <c r="A1452" s="1" t="s">
        <v>14435</v>
      </c>
      <c r="B1452" s="1" t="s">
        <v>4067</v>
      </c>
      <c r="C1452" s="1" t="str">
        <f>IFERROR(VLOOKUP(B1452,'SB1'!$A$2:$B$999999,2,FALSE),"")</f>
        <v>CM-062 VERDE OSCURO X 1</v>
      </c>
      <c r="D1452" s="1" t="s">
        <v>14454</v>
      </c>
      <c r="E1452" s="3">
        <f>IFERROR(VLOOKUP(B1452,'DA1'!$B$2:$D$999999,3,FALSE),"")</f>
      </c>
      <c r="F1452" s="1" t="str">
        <f>IFERROR(VLOOKUP(B1452,'SB1'!$A$2:$C$999999,3,FALSE),"")</f>
        <v>503</v>
      </c>
      <c r="G1452" s="3" t="e">
        <f t="shared" si="49"/>
        <v>#VALUE!</v>
      </c>
      <c r="H1452" s="3" t="e">
        <f t="shared" si="50"/>
        <v>#VALUE!</v>
      </c>
      <c r="I1452" s="1">
        <v>3</v>
      </c>
    </row>
    <row r="1453" spans="1:9" x14ac:dyDescent="0.25">
      <c r="A1453" s="1" t="s">
        <v>14435</v>
      </c>
      <c r="B1453" s="1" t="s">
        <v>4069</v>
      </c>
      <c r="C1453" s="1" t="str">
        <f>IFERROR(VLOOKUP(B1453,'SB1'!$A$2:$B$999999,2,FALSE),"")</f>
        <v>CM-063 AMARILLO ESVERDEADO X 1</v>
      </c>
      <c r="D1453" s="1" t="s">
        <v>14454</v>
      </c>
      <c r="E1453" s="3">
        <f>IFERROR(VLOOKUP(B1453,'DA1'!$B$2:$D$999999,3,FALSE),"")</f>
      </c>
      <c r="F1453" s="1" t="str">
        <f>IFERROR(VLOOKUP(B1453,'SB1'!$A$2:$C$999999,3,FALSE),"")</f>
        <v>503</v>
      </c>
      <c r="G1453" s="3" t="e">
        <f t="shared" si="49"/>
        <v>#VALUE!</v>
      </c>
      <c r="H1453" s="3" t="e">
        <f t="shared" si="50"/>
        <v>#VALUE!</v>
      </c>
      <c r="I1453" s="1">
        <v>3</v>
      </c>
    </row>
    <row r="1454" spans="1:9" x14ac:dyDescent="0.25">
      <c r="A1454" s="1" t="s">
        <v>14435</v>
      </c>
      <c r="B1454" s="1" t="s">
        <v>4071</v>
      </c>
      <c r="C1454" s="1" t="str">
        <f>IFERROR(VLOOKUP(B1454,'SB1'!$A$2:$B$999999,2,FALSE),"")</f>
        <v>CM-064 ROJO X 1 (DISCONTINUADO)</v>
      </c>
      <c r="D1454" s="1" t="s">
        <v>14454</v>
      </c>
      <c r="E1454" s="3">
        <f>IFERROR(VLOOKUP(B1454,'DA1'!$B$2:$D$999999,3,FALSE),"")</f>
      </c>
      <c r="F1454" s="1" t="str">
        <f>IFERROR(VLOOKUP(B1454,'SB1'!$A$2:$C$999999,3,FALSE),"")</f>
        <v>503</v>
      </c>
      <c r="G1454" s="3" t="e">
        <f t="shared" si="49"/>
        <v>#VALUE!</v>
      </c>
      <c r="H1454" s="3" t="e">
        <f t="shared" si="50"/>
        <v>#VALUE!</v>
      </c>
      <c r="I1454" s="1">
        <v>3</v>
      </c>
    </row>
    <row r="1455" spans="1:9" x14ac:dyDescent="0.25">
      <c r="A1455" s="1" t="s">
        <v>14435</v>
      </c>
      <c r="B1455" s="1" t="s">
        <v>4073</v>
      </c>
      <c r="C1455" s="1" t="str">
        <f>IFERROR(VLOOKUP(B1455,'SB1'!$A$2:$B$999999,2,FALSE),"")</f>
        <v>CM-065 AZUL BRILL X 1</v>
      </c>
      <c r="D1455" s="1" t="s">
        <v>14454</v>
      </c>
      <c r="E1455" s="3">
        <f>IFERROR(VLOOKUP(B1455,'DA1'!$B$2:$D$999999,3,FALSE),"")</f>
      </c>
      <c r="F1455" s="1" t="str">
        <f>IFERROR(VLOOKUP(B1455,'SB1'!$A$2:$C$999999,3,FALSE),"")</f>
        <v>503</v>
      </c>
      <c r="G1455" s="3" t="e">
        <f t="shared" si="49"/>
        <v>#VALUE!</v>
      </c>
      <c r="H1455" s="3" t="e">
        <f t="shared" si="50"/>
        <v>#VALUE!</v>
      </c>
      <c r="I1455" s="1">
        <v>3</v>
      </c>
    </row>
    <row r="1456" spans="1:9" x14ac:dyDescent="0.25">
      <c r="A1456" s="1" t="s">
        <v>14435</v>
      </c>
      <c r="B1456" s="1" t="s">
        <v>4077</v>
      </c>
      <c r="C1456" s="1" t="str">
        <f>IFERROR(VLOOKUP(B1456,'SB1'!$A$2:$B$999999,2,FALSE),"")</f>
        <v>CM-068 MAGENTA OSCURO X 1</v>
      </c>
      <c r="D1456" s="1" t="s">
        <v>14454</v>
      </c>
      <c r="E1456" s="3">
        <f>IFERROR(VLOOKUP(B1456,'DA1'!$B$2:$D$999999,3,FALSE),"")</f>
      </c>
      <c r="F1456" s="1" t="str">
        <f>IFERROR(VLOOKUP(B1456,'SB1'!$A$2:$C$999999,3,FALSE),"")</f>
        <v>503</v>
      </c>
      <c r="G1456" s="3" t="e">
        <f t="shared" si="49"/>
        <v>#VALUE!</v>
      </c>
      <c r="H1456" s="3" t="e">
        <f t="shared" si="50"/>
        <v>#VALUE!</v>
      </c>
      <c r="I1456" s="1">
        <v>3</v>
      </c>
    </row>
    <row r="1457" spans="1:9" x14ac:dyDescent="0.25">
      <c r="A1457" s="1" t="s">
        <v>14435</v>
      </c>
      <c r="B1457" s="1" t="s">
        <v>4079</v>
      </c>
      <c r="C1457" s="1" t="str">
        <f>IFERROR(VLOOKUP(B1457,'SB1'!$A$2:$B$999999,2,FALSE),"")</f>
        <v>CM-107 ALUMINIO FINO BRILL X 1</v>
      </c>
      <c r="D1457" s="1" t="s">
        <v>14454</v>
      </c>
      <c r="E1457" s="3">
        <f>IFERROR(VLOOKUP(B1457,'DA1'!$B$2:$D$999999,3,FALSE),"")</f>
      </c>
      <c r="F1457" s="1" t="str">
        <f>IFERROR(VLOOKUP(B1457,'SB1'!$A$2:$C$999999,3,FALSE),"")</f>
        <v>503</v>
      </c>
      <c r="G1457" s="3" t="e">
        <f t="shared" si="49"/>
        <v>#VALUE!</v>
      </c>
      <c r="H1457" s="3" t="e">
        <f t="shared" si="50"/>
        <v>#VALUE!</v>
      </c>
      <c r="I1457" s="1">
        <v>3</v>
      </c>
    </row>
    <row r="1458" spans="1:9" x14ac:dyDescent="0.25">
      <c r="A1458" s="1" t="s">
        <v>14435</v>
      </c>
      <c r="B1458" s="1" t="s">
        <v>4081</v>
      </c>
      <c r="C1458" s="1" t="str">
        <f>IFERROR(VLOOKUP(B1458,'SB1'!$A$2:$B$999999,2,FALSE),"")</f>
        <v>CM-206 PERLADO VIOLEA X 1</v>
      </c>
      <c r="D1458" s="1" t="s">
        <v>14454</v>
      </c>
      <c r="E1458" s="3">
        <f>IFERROR(VLOOKUP(B1458,'DA1'!$B$2:$D$999999,3,FALSE),"")</f>
      </c>
      <c r="F1458" s="1" t="str">
        <f>IFERROR(VLOOKUP(B1458,'SB1'!$A$2:$C$999999,3,FALSE),"")</f>
        <v>503</v>
      </c>
      <c r="G1458" s="3" t="e">
        <f t="shared" si="49"/>
        <v>#VALUE!</v>
      </c>
      <c r="H1458" s="3" t="e">
        <f t="shared" si="50"/>
        <v>#VALUE!</v>
      </c>
      <c r="I1458" s="1">
        <v>3</v>
      </c>
    </row>
    <row r="1459" spans="1:9" x14ac:dyDescent="0.25">
      <c r="A1459" s="1" t="s">
        <v>14435</v>
      </c>
      <c r="B1459" s="1" t="s">
        <v>4083</v>
      </c>
      <c r="C1459" s="1" t="str">
        <f>IFERROR(VLOOKUP(B1459,'SB1'!$A$2:$B$999999,2,FALSE),"")</f>
        <v>CM-207 B MATIZANTE X 1</v>
      </c>
      <c r="D1459" s="1" t="s">
        <v>14454</v>
      </c>
      <c r="E1459" s="3">
        <f>IFERROR(VLOOKUP(B1459,'DA1'!$B$2:$D$999999,3,FALSE),"")</f>
      </c>
      <c r="F1459" s="1" t="str">
        <f>IFERROR(VLOOKUP(B1459,'SB1'!$A$2:$C$999999,3,FALSE),"")</f>
        <v>503</v>
      </c>
      <c r="G1459" s="3" t="e">
        <f t="shared" si="49"/>
        <v>#VALUE!</v>
      </c>
      <c r="H1459" s="3" t="e">
        <f t="shared" si="50"/>
        <v>#VALUE!</v>
      </c>
      <c r="I1459" s="1">
        <v>3</v>
      </c>
    </row>
    <row r="1460" spans="1:9" x14ac:dyDescent="0.25">
      <c r="A1460" s="1" t="s">
        <v>14435</v>
      </c>
      <c r="B1460" s="1" t="s">
        <v>4085</v>
      </c>
      <c r="C1460" s="1" t="str">
        <f>IFERROR(VLOOKUP(B1460,'SB1'!$A$2:$B$999999,2,FALSE),"")</f>
        <v>CM-011 AZUL FTALO X 1</v>
      </c>
      <c r="D1460" s="1" t="s">
        <v>14454</v>
      </c>
      <c r="E1460" s="3">
        <f>IFERROR(VLOOKUP(B1460,'DA1'!$B$2:$D$999999,3,FALSE),"")</f>
      </c>
      <c r="F1460" s="1" t="str">
        <f>IFERROR(VLOOKUP(B1460,'SB1'!$A$2:$C$999999,3,FALSE),"")</f>
        <v>503</v>
      </c>
      <c r="G1460" s="3" t="e">
        <f t="shared" si="49"/>
        <v>#VALUE!</v>
      </c>
      <c r="H1460" s="3" t="e">
        <f t="shared" si="50"/>
        <v>#VALUE!</v>
      </c>
      <c r="I1460" s="1">
        <v>3</v>
      </c>
    </row>
    <row r="1461" spans="1:9" x14ac:dyDescent="0.25">
      <c r="A1461" s="1" t="s">
        <v>14435</v>
      </c>
      <c r="B1461" s="1" t="s">
        <v>4087</v>
      </c>
      <c r="C1461" s="1" t="str">
        <f>IFERROR(VLOOKUP(B1461,'SB1'!$A$2:$B$999999,2,FALSE),"")</f>
        <v>CM-010 AZUL ROJIZO X 1</v>
      </c>
      <c r="D1461" s="1" t="s">
        <v>14454</v>
      </c>
      <c r="E1461" s="3">
        <f>IFERROR(VLOOKUP(B1461,'DA1'!$B$2:$D$999999,3,FALSE),"")</f>
      </c>
      <c r="F1461" s="1" t="str">
        <f>IFERROR(VLOOKUP(B1461,'SB1'!$A$2:$C$999999,3,FALSE),"")</f>
        <v>503</v>
      </c>
      <c r="G1461" s="3" t="e">
        <f t="shared" si="49"/>
        <v>#VALUE!</v>
      </c>
      <c r="H1461" s="3" t="e">
        <f t="shared" si="50"/>
        <v>#VALUE!</v>
      </c>
      <c r="I1461" s="1">
        <v>3</v>
      </c>
    </row>
    <row r="1462" spans="1:9" x14ac:dyDescent="0.25">
      <c r="A1462" s="1" t="s">
        <v>14435</v>
      </c>
      <c r="B1462" s="1" t="s">
        <v>4089</v>
      </c>
      <c r="C1462" s="1" t="str">
        <f>IFERROR(VLOOKUP(B1462,'SB1'!$A$2:$B$999999,2,FALSE),"")</f>
        <v>CM-015 VIOLETA X 1</v>
      </c>
      <c r="D1462" s="1" t="s">
        <v>14454</v>
      </c>
      <c r="E1462" s="3">
        <f>IFERROR(VLOOKUP(B1462,'DA1'!$B$2:$D$999999,3,FALSE),"")</f>
      </c>
      <c r="F1462" s="1" t="str">
        <f>IFERROR(VLOOKUP(B1462,'SB1'!$A$2:$C$999999,3,FALSE),"")</f>
        <v>503</v>
      </c>
      <c r="G1462" s="3" t="e">
        <f t="shared" si="49"/>
        <v>#VALUE!</v>
      </c>
      <c r="H1462" s="3" t="e">
        <f t="shared" si="50"/>
        <v>#VALUE!</v>
      </c>
      <c r="I1462" s="1">
        <v>3</v>
      </c>
    </row>
    <row r="1463" spans="1:9" x14ac:dyDescent="0.25">
      <c r="A1463" s="1" t="s">
        <v>14435</v>
      </c>
      <c r="B1463" s="1" t="s">
        <v>4091</v>
      </c>
      <c r="C1463" s="1" t="str">
        <f>IFERROR(VLOOKUP(B1463,'SB1'!$A$2:$B$999999,2,FALSE),"")</f>
        <v>CM-209 DORADO PERLADO X 1</v>
      </c>
      <c r="D1463" s="1" t="s">
        <v>14454</v>
      </c>
      <c r="E1463" s="3">
        <f>IFERROR(VLOOKUP(B1463,'DA1'!$B$2:$D$999999,3,FALSE),"")</f>
      </c>
      <c r="F1463" s="1" t="str">
        <f>IFERROR(VLOOKUP(B1463,'SB1'!$A$2:$C$999999,3,FALSE),"")</f>
        <v>503</v>
      </c>
      <c r="G1463" s="3" t="e">
        <f t="shared" si="49"/>
        <v>#VALUE!</v>
      </c>
      <c r="H1463" s="3" t="e">
        <f t="shared" si="50"/>
        <v>#VALUE!</v>
      </c>
      <c r="I1463" s="1">
        <v>3</v>
      </c>
    </row>
    <row r="1464" spans="1:9" x14ac:dyDescent="0.25">
      <c r="A1464" s="1" t="s">
        <v>14435</v>
      </c>
      <c r="B1464" s="1" t="s">
        <v>4093</v>
      </c>
      <c r="C1464" s="1" t="str">
        <f>IFERROR(VLOOKUP(B1464,'SB1'!$A$2:$B$999999,2,FALSE),"")</f>
        <v>CM-200 PERLADO AZUL FINO X 1</v>
      </c>
      <c r="D1464" s="1" t="s">
        <v>14454</v>
      </c>
      <c r="E1464" s="3">
        <f>IFERROR(VLOOKUP(B1464,'DA1'!$B$2:$D$999999,3,FALSE),"")</f>
      </c>
      <c r="F1464" s="1" t="str">
        <f>IFERROR(VLOOKUP(B1464,'SB1'!$A$2:$C$999999,3,FALSE),"")</f>
        <v>503</v>
      </c>
      <c r="G1464" s="3" t="e">
        <f t="shared" si="49"/>
        <v>#VALUE!</v>
      </c>
      <c r="H1464" s="3" t="e">
        <f t="shared" si="50"/>
        <v>#VALUE!</v>
      </c>
      <c r="I1464" s="1">
        <v>3</v>
      </c>
    </row>
    <row r="1465" spans="1:9" x14ac:dyDescent="0.25">
      <c r="A1465" s="1" t="s">
        <v>14435</v>
      </c>
      <c r="B1465" s="1" t="s">
        <v>4095</v>
      </c>
      <c r="C1465" s="1" t="str">
        <f>IFERROR(VLOOKUP(B1465,'SB1'!$A$2:$B$999999,2,FALSE),"")</f>
        <v>CM-201 PERLADO AZUL SUPER X 1</v>
      </c>
      <c r="D1465" s="1" t="s">
        <v>14454</v>
      </c>
      <c r="E1465" s="3">
        <f>IFERROR(VLOOKUP(B1465,'DA1'!$B$2:$D$999999,3,FALSE),"")</f>
      </c>
      <c r="F1465" s="1" t="str">
        <f>IFERROR(VLOOKUP(B1465,'SB1'!$A$2:$C$999999,3,FALSE),"")</f>
        <v>503</v>
      </c>
      <c r="G1465" s="3" t="e">
        <f t="shared" si="49"/>
        <v>#VALUE!</v>
      </c>
      <c r="H1465" s="3" t="e">
        <f t="shared" si="50"/>
        <v>#VALUE!</v>
      </c>
      <c r="I1465" s="1">
        <v>3</v>
      </c>
    </row>
    <row r="1466" spans="1:9" x14ac:dyDescent="0.25">
      <c r="A1466" s="1" t="s">
        <v>14435</v>
      </c>
      <c r="B1466" s="1" t="s">
        <v>4097</v>
      </c>
      <c r="C1466" s="1" t="str">
        <f>IFERROR(VLOOKUP(B1466,'SB1'!$A$2:$B$999999,2,FALSE),"")</f>
        <v>CM-212 DORADO SUPER PERLADO X 1</v>
      </c>
      <c r="D1466" s="1" t="s">
        <v>14454</v>
      </c>
      <c r="E1466" s="3">
        <f>IFERROR(VLOOKUP(B1466,'DA1'!$B$2:$D$999999,3,FALSE),"")</f>
      </c>
      <c r="F1466" s="1" t="str">
        <f>IFERROR(VLOOKUP(B1466,'SB1'!$A$2:$C$999999,3,FALSE),"")</f>
        <v>503</v>
      </c>
      <c r="G1466" s="3" t="e">
        <f t="shared" si="49"/>
        <v>#VALUE!</v>
      </c>
      <c r="H1466" s="3" t="e">
        <f t="shared" si="50"/>
        <v>#VALUE!</v>
      </c>
      <c r="I1466" s="1">
        <v>3</v>
      </c>
    </row>
    <row r="1467" spans="1:9" x14ac:dyDescent="0.25">
      <c r="A1467" s="1" t="s">
        <v>14435</v>
      </c>
      <c r="B1467" s="1" t="s">
        <v>4099</v>
      </c>
      <c r="C1467" s="1" t="str">
        <f>IFERROR(VLOOKUP(B1467,'SB1'!$A$2:$B$999999,2,FALSE),"")</f>
        <v>CM-213 PERLADO AMARILLO X 1</v>
      </c>
      <c r="D1467" s="1" t="s">
        <v>14454</v>
      </c>
      <c r="E1467" s="3">
        <f>IFERROR(VLOOKUP(B1467,'DA1'!$B$2:$D$999999,3,FALSE),"")</f>
      </c>
      <c r="F1467" s="1" t="str">
        <f>IFERROR(VLOOKUP(B1467,'SB1'!$A$2:$C$999999,3,FALSE),"")</f>
        <v>503</v>
      </c>
      <c r="G1467" s="3" t="e">
        <f t="shared" si="49"/>
        <v>#VALUE!</v>
      </c>
      <c r="H1467" s="3" t="e">
        <f t="shared" si="50"/>
        <v>#VALUE!</v>
      </c>
      <c r="I1467" s="1">
        <v>3</v>
      </c>
    </row>
    <row r="1468" spans="1:9" x14ac:dyDescent="0.25">
      <c r="A1468" s="1" t="s">
        <v>14435</v>
      </c>
      <c r="B1468" s="1" t="s">
        <v>4101</v>
      </c>
      <c r="C1468" s="1" t="str">
        <f>IFERROR(VLOOKUP(B1468,'SB1'!$A$2:$B$999999,2,FALSE),"")</f>
        <v>CM-214 VERDE PERLADO X 1</v>
      </c>
      <c r="D1468" s="1" t="s">
        <v>14454</v>
      </c>
      <c r="E1468" s="3">
        <f>IFERROR(VLOOKUP(B1468,'DA1'!$B$2:$D$999999,3,FALSE),"")</f>
      </c>
      <c r="F1468" s="1" t="str">
        <f>IFERROR(VLOOKUP(B1468,'SB1'!$A$2:$C$999999,3,FALSE),"")</f>
        <v>503</v>
      </c>
      <c r="G1468" s="3" t="e">
        <f t="shared" si="49"/>
        <v>#VALUE!</v>
      </c>
      <c r="H1468" s="3" t="e">
        <f t="shared" si="50"/>
        <v>#VALUE!</v>
      </c>
      <c r="I1468" s="1">
        <v>3</v>
      </c>
    </row>
    <row r="1469" spans="1:9" x14ac:dyDescent="0.25">
      <c r="A1469" s="1" t="s">
        <v>14435</v>
      </c>
      <c r="B1469" s="1" t="s">
        <v>4103</v>
      </c>
      <c r="C1469" s="1" t="str">
        <f>IFERROR(VLOOKUP(B1469,'SB1'!$A$2:$B$999999,2,FALSE),"")</f>
        <v>CM-060 BORDO X 1</v>
      </c>
      <c r="D1469" s="1" t="s">
        <v>14454</v>
      </c>
      <c r="E1469" s="3">
        <f>IFERROR(VLOOKUP(B1469,'DA1'!$B$2:$D$999999,3,FALSE),"")</f>
      </c>
      <c r="F1469" s="1" t="str">
        <f>IFERROR(VLOOKUP(B1469,'SB1'!$A$2:$C$999999,3,FALSE),"")</f>
        <v>503</v>
      </c>
      <c r="G1469" s="3" t="e">
        <f t="shared" si="49"/>
        <v>#VALUE!</v>
      </c>
      <c r="H1469" s="3" t="e">
        <f t="shared" si="50"/>
        <v>#VALUE!</v>
      </c>
      <c r="I1469" s="1">
        <v>3</v>
      </c>
    </row>
    <row r="1470" spans="1:9" x14ac:dyDescent="0.25">
      <c r="A1470" s="1" t="s">
        <v>14435</v>
      </c>
      <c r="B1470" s="1" t="s">
        <v>4105</v>
      </c>
      <c r="C1470" s="1" t="str">
        <f>IFERROR(VLOOKUP(B1470,'SB1'!$A$2:$B$999999,2,FALSE),"")</f>
        <v>CM-204 PERLADO ROJO FINO X 1</v>
      </c>
      <c r="D1470" s="1" t="s">
        <v>14454</v>
      </c>
      <c r="E1470" s="3">
        <f>IFERROR(VLOOKUP(B1470,'DA1'!$B$2:$D$999999,3,FALSE),"")</f>
      </c>
      <c r="F1470" s="1" t="str">
        <f>IFERROR(VLOOKUP(B1470,'SB1'!$A$2:$C$999999,3,FALSE),"")</f>
        <v>503</v>
      </c>
      <c r="G1470" s="3" t="e">
        <f t="shared" si="49"/>
        <v>#VALUE!</v>
      </c>
      <c r="H1470" s="3" t="e">
        <f t="shared" si="50"/>
        <v>#VALUE!</v>
      </c>
      <c r="I1470" s="1">
        <v>3</v>
      </c>
    </row>
    <row r="1471" spans="1:9" x14ac:dyDescent="0.25">
      <c r="A1471" s="1" t="s">
        <v>14435</v>
      </c>
      <c r="B1471" s="1" t="s">
        <v>4107</v>
      </c>
      <c r="C1471" s="1" t="str">
        <f>IFERROR(VLOOKUP(B1471,'SB1'!$A$2:$B$999999,2,FALSE),"")</f>
        <v>CM-205 PERLADO ROJO SUPER X 1</v>
      </c>
      <c r="D1471" s="1" t="s">
        <v>14454</v>
      </c>
      <c r="E1471" s="3">
        <f>IFERROR(VLOOKUP(B1471,'DA1'!$B$2:$D$999999,3,FALSE),"")</f>
      </c>
      <c r="F1471" s="1" t="str">
        <f>IFERROR(VLOOKUP(B1471,'SB1'!$A$2:$C$999999,3,FALSE),"")</f>
        <v>503</v>
      </c>
      <c r="G1471" s="3" t="e">
        <f t="shared" si="49"/>
        <v>#VALUE!</v>
      </c>
      <c r="H1471" s="3" t="e">
        <f t="shared" si="50"/>
        <v>#VALUE!</v>
      </c>
      <c r="I1471" s="1">
        <v>3</v>
      </c>
    </row>
    <row r="1472" spans="1:9" x14ac:dyDescent="0.25">
      <c r="A1472" s="1" t="s">
        <v>14435</v>
      </c>
      <c r="B1472" s="1" t="s">
        <v>4109</v>
      </c>
      <c r="C1472" s="1" t="str">
        <f>IFERROR(VLOOKUP(B1472,'SB1'!$A$2:$B$999999,2,FALSE),"")</f>
        <v>CM-001 BCO X 1</v>
      </c>
      <c r="D1472" s="1" t="s">
        <v>14454</v>
      </c>
      <c r="E1472" s="3">
        <f>IFERROR(VLOOKUP(B1472,'DA1'!$B$2:$D$999999,3,FALSE),"")</f>
      </c>
      <c r="F1472" s="1" t="str">
        <f>IFERROR(VLOOKUP(B1472,'SB1'!$A$2:$C$999999,3,FALSE),"")</f>
        <v>503</v>
      </c>
      <c r="G1472" s="3" t="e">
        <f t="shared" si="49"/>
        <v>#VALUE!</v>
      </c>
      <c r="H1472" s="3" t="e">
        <f t="shared" si="50"/>
        <v>#VALUE!</v>
      </c>
      <c r="I1472" s="1">
        <v>3</v>
      </c>
    </row>
    <row r="1473" spans="1:9" x14ac:dyDescent="0.25">
      <c r="A1473" s="1" t="s">
        <v>14435</v>
      </c>
      <c r="B1473" s="1" t="s">
        <v>4111</v>
      </c>
      <c r="C1473" s="1" t="str">
        <f>IFERROR(VLOOKUP(B1473,'SB1'!$A$2:$B$999999,2,FALSE),"")</f>
        <v>CM-042 ROJO TRANSP X 1</v>
      </c>
      <c r="D1473" s="1" t="s">
        <v>14454</v>
      </c>
      <c r="E1473" s="3">
        <f>IFERROR(VLOOKUP(B1473,'DA1'!$B$2:$D$999999,3,FALSE),"")</f>
      </c>
      <c r="F1473" s="1" t="str">
        <f>IFERROR(VLOOKUP(B1473,'SB1'!$A$2:$C$999999,3,FALSE),"")</f>
        <v>503</v>
      </c>
      <c r="G1473" s="3" t="e">
        <f t="shared" si="49"/>
        <v>#VALUE!</v>
      </c>
      <c r="H1473" s="3" t="e">
        <f t="shared" si="50"/>
        <v>#VALUE!</v>
      </c>
      <c r="I1473" s="1">
        <v>3</v>
      </c>
    </row>
    <row r="1474" spans="1:9" x14ac:dyDescent="0.25">
      <c r="A1474" s="1" t="s">
        <v>14435</v>
      </c>
      <c r="B1474" s="1" t="s">
        <v>4113</v>
      </c>
      <c r="C1474" s="1" t="str">
        <f>IFERROR(VLOOKUP(B1474,'SB1'!$A$2:$B$999999,2,FALSE),"")</f>
        <v>CM-040 ROJO RUBI X 1 (DISCONTINUADO)</v>
      </c>
      <c r="D1474" s="1" t="s">
        <v>14454</v>
      </c>
      <c r="E1474" s="3">
        <f>IFERROR(VLOOKUP(B1474,'DA1'!$B$2:$D$999999,3,FALSE),"")</f>
      </c>
      <c r="F1474" s="1" t="str">
        <f>IFERROR(VLOOKUP(B1474,'SB1'!$A$2:$C$999999,3,FALSE),"")</f>
        <v>503</v>
      </c>
      <c r="G1474" s="3" t="e">
        <f t="shared" si="49"/>
        <v>#VALUE!</v>
      </c>
      <c r="H1474" s="3" t="e">
        <f t="shared" si="50"/>
        <v>#VALUE!</v>
      </c>
      <c r="I1474" s="1">
        <v>1</v>
      </c>
    </row>
    <row r="1475" spans="1:9" x14ac:dyDescent="0.25">
      <c r="A1475" s="1" t="s">
        <v>14435</v>
      </c>
      <c r="B1475" s="1" t="s">
        <v>4115</v>
      </c>
      <c r="C1475" s="1" t="str">
        <f>IFERROR(VLOOKUP(B1475,'SB1'!$A$2:$B$999999,2,FALSE),"")</f>
        <v>CM-074 ROJO FUERTE X 1</v>
      </c>
      <c r="D1475" s="1" t="s">
        <v>14454</v>
      </c>
      <c r="E1475" s="3">
        <f>IFERROR(VLOOKUP(B1475,'DA1'!$B$2:$D$999999,3,FALSE),"")</f>
      </c>
      <c r="F1475" s="1" t="str">
        <f>IFERROR(VLOOKUP(B1475,'SB1'!$A$2:$C$999999,3,FALSE),"")</f>
        <v>503</v>
      </c>
      <c r="G1475" s="3" t="e">
        <f t="shared" ref="G1475:G1538" si="51">E1475*1.04</f>
        <v>#VALUE!</v>
      </c>
      <c r="H1475" s="3" t="e">
        <f t="shared" si="50"/>
        <v>#VALUE!</v>
      </c>
      <c r="I1475" s="1">
        <v>3</v>
      </c>
    </row>
    <row r="1476" spans="1:9" x14ac:dyDescent="0.25">
      <c r="A1476" s="1" t="s">
        <v>14435</v>
      </c>
      <c r="B1476" s="1" t="s">
        <v>4117</v>
      </c>
      <c r="C1476" s="1" t="str">
        <f>IFERROR(VLOOKUP(B1476,'SB1'!$A$2:$B$999999,2,FALSE),"")</f>
        <v>CM-043 ROJO VIVO X 1</v>
      </c>
      <c r="D1476" s="1" t="s">
        <v>14454</v>
      </c>
      <c r="E1476" s="3">
        <f>IFERROR(VLOOKUP(B1476,'DA1'!$B$2:$D$999999,3,FALSE),"")</f>
      </c>
      <c r="F1476" s="1" t="str">
        <f>IFERROR(VLOOKUP(B1476,'SB1'!$A$2:$C$999999,3,FALSE),"")</f>
        <v>503</v>
      </c>
      <c r="G1476" s="3" t="e">
        <f t="shared" si="51"/>
        <v>#VALUE!</v>
      </c>
      <c r="H1476" s="3" t="e">
        <f t="shared" si="50"/>
        <v>#VALUE!</v>
      </c>
      <c r="I1476" s="1">
        <v>1</v>
      </c>
    </row>
    <row r="1477" spans="1:9" x14ac:dyDescent="0.25">
      <c r="A1477" s="1" t="s">
        <v>14435</v>
      </c>
      <c r="B1477" s="1" t="s">
        <v>4119</v>
      </c>
      <c r="C1477" s="1" t="str">
        <f>IFERROR(VLOOKUP(B1477,'SB1'!$A$2:$B$999999,2,FALSE),"")</f>
        <v>CM-003 BCO NIEVE X 1</v>
      </c>
      <c r="D1477" s="1" t="s">
        <v>14454</v>
      </c>
      <c r="E1477" s="3">
        <f>IFERROR(VLOOKUP(B1477,'DA1'!$B$2:$D$999999,3,FALSE),"")</f>
      </c>
      <c r="F1477" s="1" t="str">
        <f>IFERROR(VLOOKUP(B1477,'SB1'!$A$2:$C$999999,3,FALSE),"")</f>
        <v>503</v>
      </c>
      <c r="G1477" s="3" t="e">
        <f t="shared" si="51"/>
        <v>#VALUE!</v>
      </c>
      <c r="H1477" s="3" t="e">
        <f t="shared" si="50"/>
        <v>#VALUE!</v>
      </c>
      <c r="I1477" s="1">
        <v>3</v>
      </c>
    </row>
    <row r="1478" spans="1:9" x14ac:dyDescent="0.25">
      <c r="A1478" s="1" t="s">
        <v>14435</v>
      </c>
      <c r="B1478" s="1" t="s">
        <v>4121</v>
      </c>
      <c r="C1478" s="1" t="str">
        <f>IFERROR(VLOOKUP(B1478,'SB1'!$A$2:$B$999999,2,FALSE),"")</f>
        <v>CM-038 ROJO OXIDO X 1</v>
      </c>
      <c r="D1478" s="1" t="s">
        <v>14454</v>
      </c>
      <c r="E1478" s="3">
        <f>IFERROR(VLOOKUP(B1478,'DA1'!$B$2:$D$999999,3,FALSE),"")</f>
      </c>
      <c r="F1478" s="1" t="str">
        <f>IFERROR(VLOOKUP(B1478,'SB1'!$A$2:$C$999999,3,FALSE),"")</f>
        <v>503</v>
      </c>
      <c r="G1478" s="3" t="e">
        <f t="shared" si="51"/>
        <v>#VALUE!</v>
      </c>
      <c r="H1478" s="3" t="e">
        <f t="shared" si="50"/>
        <v>#VALUE!</v>
      </c>
      <c r="I1478" s="1">
        <v>3</v>
      </c>
    </row>
    <row r="1479" spans="1:9" x14ac:dyDescent="0.25">
      <c r="A1479" s="1" t="s">
        <v>14435</v>
      </c>
      <c r="B1479" s="1" t="s">
        <v>4123</v>
      </c>
      <c r="C1479" s="1" t="str">
        <f>IFERROR(VLOOKUP(B1479,'SB1'!$A$2:$B$999999,2,FALSE),"")</f>
        <v>CM-073 MARRON PERMANENTE X 1 (DISCONTINUADO)</v>
      </c>
      <c r="D1479" s="1" t="s">
        <v>14454</v>
      </c>
      <c r="E1479" s="3">
        <f>IFERROR(VLOOKUP(B1479,'DA1'!$B$2:$D$999999,3,FALSE),"")</f>
      </c>
      <c r="F1479" s="1" t="str">
        <f>IFERROR(VLOOKUP(B1479,'SB1'!$A$2:$C$999999,3,FALSE),"")</f>
        <v>503</v>
      </c>
      <c r="G1479" s="3" t="e">
        <f t="shared" si="51"/>
        <v>#VALUE!</v>
      </c>
      <c r="H1479" s="3" t="e">
        <f t="shared" si="50"/>
        <v>#VALUE!</v>
      </c>
      <c r="I1479" s="1">
        <v>3</v>
      </c>
    </row>
    <row r="1480" spans="1:9" x14ac:dyDescent="0.25">
      <c r="A1480" s="1" t="s">
        <v>14435</v>
      </c>
      <c r="B1480" s="1" t="s">
        <v>4125</v>
      </c>
      <c r="C1480" s="1" t="str">
        <f>IFERROR(VLOOKUP(B1480,'SB1'!$A$2:$B$999999,2,FALSE),"")</f>
        <v>CM-033 AMARILLO TRANSP X 1</v>
      </c>
      <c r="D1480" s="1" t="s">
        <v>14454</v>
      </c>
      <c r="E1480" s="3">
        <f>IFERROR(VLOOKUP(B1480,'DA1'!$B$2:$D$999999,3,FALSE),"")</f>
      </c>
      <c r="F1480" s="1" t="str">
        <f>IFERROR(VLOOKUP(B1480,'SB1'!$A$2:$C$999999,3,FALSE),"")</f>
        <v>503</v>
      </c>
      <c r="G1480" s="3" t="e">
        <f t="shared" si="51"/>
        <v>#VALUE!</v>
      </c>
      <c r="H1480" s="3" t="e">
        <f t="shared" si="50"/>
        <v>#VALUE!</v>
      </c>
      <c r="I1480" s="1">
        <v>3</v>
      </c>
    </row>
    <row r="1481" spans="1:9" x14ac:dyDescent="0.25">
      <c r="A1481" s="1" t="s">
        <v>14435</v>
      </c>
      <c r="B1481" s="1" t="s">
        <v>4127</v>
      </c>
      <c r="C1481" s="1" t="str">
        <f>IFERROR(VLOOKUP(B1481,'SB1'!$A$2:$B$999999,2,FALSE),"")</f>
        <v>CM-031 AMARILLO ORO X 1</v>
      </c>
      <c r="D1481" s="1" t="s">
        <v>14454</v>
      </c>
      <c r="E1481" s="3">
        <f>IFERROR(VLOOKUP(B1481,'DA1'!$B$2:$D$999999,3,FALSE),"")</f>
      </c>
      <c r="F1481" s="1" t="str">
        <f>IFERROR(VLOOKUP(B1481,'SB1'!$A$2:$C$999999,3,FALSE),"")</f>
        <v>503</v>
      </c>
      <c r="G1481" s="3" t="e">
        <f t="shared" si="51"/>
        <v>#VALUE!</v>
      </c>
      <c r="H1481" s="3" t="e">
        <f t="shared" si="50"/>
        <v>#VALUE!</v>
      </c>
      <c r="I1481" s="1">
        <v>3</v>
      </c>
    </row>
    <row r="1482" spans="1:9" x14ac:dyDescent="0.25">
      <c r="A1482" s="1" t="s">
        <v>14435</v>
      </c>
      <c r="B1482" s="1" t="s">
        <v>4129</v>
      </c>
      <c r="C1482" s="1" t="str">
        <f>IFERROR(VLOOKUP(B1482,'SB1'!$A$2:$B$999999,2,FALSE),"")</f>
        <v>CR-600 NEGRO REDUCIDO X 1</v>
      </c>
      <c r="D1482" s="1" t="s">
        <v>14454</v>
      </c>
      <c r="E1482" s="3">
        <f>IFERROR(VLOOKUP(B1482,'DA1'!$B$2:$D$999999,3,FALSE),"")</f>
      </c>
      <c r="F1482" s="1" t="str">
        <f>IFERROR(VLOOKUP(B1482,'SB1'!$A$2:$C$999999,3,FALSE),"")</f>
        <v>503</v>
      </c>
      <c r="G1482" s="3" t="e">
        <f t="shared" si="51"/>
        <v>#VALUE!</v>
      </c>
      <c r="H1482" s="3" t="e">
        <f t="shared" si="50"/>
        <v>#VALUE!</v>
      </c>
      <c r="I1482" s="1">
        <v>1</v>
      </c>
    </row>
    <row r="1483" spans="1:9" x14ac:dyDescent="0.25">
      <c r="A1483" s="1" t="s">
        <v>14435</v>
      </c>
      <c r="B1483" s="1" t="s">
        <v>4131</v>
      </c>
      <c r="C1483" s="1" t="str">
        <f>IFERROR(VLOOKUP(B1483,'SB1'!$A$2:$B$999999,2,FALSE),"")</f>
        <v>CR-601 AZUL REDUCIDO X 1 (DISCONTINUADO)</v>
      </c>
      <c r="D1483" s="1" t="s">
        <v>14454</v>
      </c>
      <c r="E1483" s="3">
        <f>IFERROR(VLOOKUP(B1483,'DA1'!$B$2:$D$999999,3,FALSE),"")</f>
      </c>
      <c r="F1483" s="1" t="str">
        <f>IFERROR(VLOOKUP(B1483,'SB1'!$A$2:$C$999999,3,FALSE),"")</f>
        <v>503</v>
      </c>
      <c r="G1483" s="3" t="e">
        <f t="shared" si="51"/>
        <v>#VALUE!</v>
      </c>
      <c r="H1483" s="3" t="e">
        <f t="shared" si="50"/>
        <v>#VALUE!</v>
      </c>
      <c r="I1483" s="1">
        <v>1</v>
      </c>
    </row>
    <row r="1484" spans="1:9" x14ac:dyDescent="0.25">
      <c r="A1484" s="1" t="s">
        <v>14435</v>
      </c>
      <c r="B1484" s="1" t="s">
        <v>4133</v>
      </c>
      <c r="C1484" s="1" t="str">
        <f>IFERROR(VLOOKUP(B1484,'SB1'!$A$2:$B$999999,2,FALSE),"")</f>
        <v>CR-602 ROJO REDUCIDO X 1 (DISCONTINUADO)</v>
      </c>
      <c r="D1484" s="1" t="s">
        <v>14454</v>
      </c>
      <c r="E1484" s="3">
        <f>IFERROR(VLOOKUP(B1484,'DA1'!$B$2:$D$999999,3,FALSE),"")</f>
      </c>
      <c r="F1484" s="1" t="str">
        <f>IFERROR(VLOOKUP(B1484,'SB1'!$A$2:$C$999999,3,FALSE),"")</f>
        <v>503</v>
      </c>
      <c r="G1484" s="3" t="e">
        <f t="shared" si="51"/>
        <v>#VALUE!</v>
      </c>
      <c r="H1484" s="3" t="e">
        <f t="shared" si="50"/>
        <v>#VALUE!</v>
      </c>
      <c r="I1484" s="1">
        <v>1</v>
      </c>
    </row>
    <row r="1485" spans="1:9" x14ac:dyDescent="0.25">
      <c r="A1485" s="1" t="s">
        <v>14435</v>
      </c>
      <c r="B1485" s="1" t="s">
        <v>4135</v>
      </c>
      <c r="C1485" s="1" t="str">
        <f>IFERROR(VLOOKUP(B1485,'SB1'!$A$2:$B$999999,2,FALSE),"")</f>
        <v>CR-603 AMARILLO REDUCIDO X 1 (DISCONTINUADO)</v>
      </c>
      <c r="D1485" s="1" t="s">
        <v>14454</v>
      </c>
      <c r="E1485" s="3">
        <f>IFERROR(VLOOKUP(B1485,'DA1'!$B$2:$D$999999,3,FALSE),"")</f>
      </c>
      <c r="F1485" s="1" t="str">
        <f>IFERROR(VLOOKUP(B1485,'SB1'!$A$2:$C$999999,3,FALSE),"")</f>
        <v>503</v>
      </c>
      <c r="G1485" s="3" t="e">
        <f t="shared" si="51"/>
        <v>#VALUE!</v>
      </c>
      <c r="H1485" s="3" t="e">
        <f t="shared" si="50"/>
        <v>#VALUE!</v>
      </c>
      <c r="I1485" s="1">
        <v>1</v>
      </c>
    </row>
    <row r="1486" spans="1:9" x14ac:dyDescent="0.25">
      <c r="A1486" s="1" t="s">
        <v>14435</v>
      </c>
      <c r="B1486" s="1" t="s">
        <v>4137</v>
      </c>
      <c r="C1486" s="1" t="str">
        <f>IFERROR(VLOOKUP(B1486,'SB1'!$A$2:$B$999999,2,FALSE),"")</f>
        <v>CM-017 VERDE BRILL X 1</v>
      </c>
      <c r="D1486" s="1" t="s">
        <v>14454</v>
      </c>
      <c r="E1486" s="3">
        <f>IFERROR(VLOOKUP(B1486,'DA1'!$B$2:$D$999999,3,FALSE),"")</f>
      </c>
      <c r="F1486" s="1" t="str">
        <f>IFERROR(VLOOKUP(B1486,'SB1'!$A$2:$C$999999,3,FALSE),"")</f>
        <v>503</v>
      </c>
      <c r="G1486" s="3" t="e">
        <f t="shared" si="51"/>
        <v>#VALUE!</v>
      </c>
      <c r="H1486" s="3" t="e">
        <f t="shared" si="50"/>
        <v>#VALUE!</v>
      </c>
      <c r="I1486" s="1">
        <v>3</v>
      </c>
    </row>
    <row r="1487" spans="1:9" x14ac:dyDescent="0.25">
      <c r="A1487" s="1" t="s">
        <v>14435</v>
      </c>
      <c r="B1487" s="1" t="s">
        <v>4139</v>
      </c>
      <c r="C1487" s="1" t="str">
        <f>IFERROR(VLOOKUP(B1487,'SB1'!$A$2:$B$999999,2,FALSE),"")</f>
        <v>CM-035 ROJO BRILL X 1</v>
      </c>
      <c r="D1487" s="1" t="s">
        <v>14454</v>
      </c>
      <c r="E1487" s="3">
        <f>IFERROR(VLOOKUP(B1487,'DA1'!$B$2:$D$999999,3,FALSE),"")</f>
      </c>
      <c r="F1487" s="1" t="str">
        <f>IFERROR(VLOOKUP(B1487,'SB1'!$A$2:$C$999999,3,FALSE),"")</f>
        <v>503</v>
      </c>
      <c r="G1487" s="3" t="e">
        <f t="shared" si="51"/>
        <v>#VALUE!</v>
      </c>
      <c r="H1487" s="3" t="e">
        <f t="shared" si="50"/>
        <v>#VALUE!</v>
      </c>
      <c r="I1487" s="1">
        <v>3</v>
      </c>
    </row>
    <row r="1488" spans="1:9" x14ac:dyDescent="0.25">
      <c r="A1488" s="1" t="s">
        <v>14435</v>
      </c>
      <c r="B1488" s="1" t="s">
        <v>4141</v>
      </c>
      <c r="C1488" s="1" t="str">
        <f>IFERROR(VLOOKUP(B1488,'SB1'!$A$2:$B$999999,2,FALSE),"")</f>
        <v>CM-050 CASTANO X 1 (DISCONTINUADO)</v>
      </c>
      <c r="D1488" s="1" t="s">
        <v>14454</v>
      </c>
      <c r="E1488" s="3">
        <f>IFERROR(VLOOKUP(B1488,'DA1'!$B$2:$D$999999,3,FALSE),"")</f>
      </c>
      <c r="F1488" s="1" t="str">
        <f>IFERROR(VLOOKUP(B1488,'SB1'!$A$2:$C$999999,3,FALSE),"")</f>
        <v>503</v>
      </c>
      <c r="G1488" s="3" t="e">
        <f t="shared" si="51"/>
        <v>#VALUE!</v>
      </c>
      <c r="H1488" s="3" t="e">
        <f t="shared" si="50"/>
        <v>#VALUE!</v>
      </c>
      <c r="I1488" s="1">
        <v>1</v>
      </c>
    </row>
    <row r="1489" spans="1:9" x14ac:dyDescent="0.25">
      <c r="A1489" s="1" t="s">
        <v>14435</v>
      </c>
      <c r="B1489" s="1" t="s">
        <v>4143</v>
      </c>
      <c r="C1489" s="1" t="str">
        <f>IFERROR(VLOOKUP(B1489,'SB1'!$A$2:$B$999999,2,FALSE),"")</f>
        <v>BP-04.01 CLEAR POLISTER BICAPA ACS X 3.500</v>
      </c>
      <c r="D1489" s="1" t="s">
        <v>14454</v>
      </c>
      <c r="E1489" s="3">
        <f>IFERROR(VLOOKUP(B1489,'DA1'!$B$2:$D$999999,3,FALSE),"")</f>
      </c>
      <c r="F1489" s="1" t="str">
        <f>IFERROR(VLOOKUP(B1489,'SB1'!$A$2:$C$999999,3,FALSE),"")</f>
        <v>503</v>
      </c>
      <c r="G1489" s="3" t="e">
        <f t="shared" si="51"/>
        <v>#VALUE!</v>
      </c>
      <c r="H1489" s="3" t="e">
        <f t="shared" si="50"/>
        <v>#VALUE!</v>
      </c>
      <c r="I1489" s="1">
        <v>3</v>
      </c>
    </row>
    <row r="1490" spans="1:9" x14ac:dyDescent="0.25">
      <c r="A1490" s="1" t="s">
        <v>14435</v>
      </c>
      <c r="B1490" s="1" t="s">
        <v>4145</v>
      </c>
      <c r="C1490" s="1" t="str">
        <f>IFERROR(VLOOKUP(B1490,'SB1'!$A$2:$B$999999,2,FALSE),"")</f>
        <v>BP-05 BARNIZ DE MEZCLA BICAPA P/AJUSTE X 3,5 (DISCONTINUADO)</v>
      </c>
      <c r="D1490" s="1" t="s">
        <v>14454</v>
      </c>
      <c r="E1490" s="3">
        <f>IFERROR(VLOOKUP(B1490,'DA1'!$B$2:$D$999999,3,FALSE),"")</f>
      </c>
      <c r="F1490" s="1" t="str">
        <f>IFERROR(VLOOKUP(B1490,'SB1'!$A$2:$C$999999,3,FALSE),"")</f>
        <v>503</v>
      </c>
      <c r="G1490" s="3" t="e">
        <f t="shared" si="51"/>
        <v>#VALUE!</v>
      </c>
      <c r="H1490" s="3" t="e">
        <f t="shared" si="50"/>
        <v>#VALUE!</v>
      </c>
      <c r="I1490" s="1">
        <v>1</v>
      </c>
    </row>
    <row r="1491" spans="1:9" x14ac:dyDescent="0.25">
      <c r="A1491" s="1" t="s">
        <v>14435</v>
      </c>
      <c r="B1491" s="1" t="s">
        <v>4147</v>
      </c>
      <c r="C1491" s="1" t="str">
        <f>IFERROR(VLOOKUP(B1491,'SB1'!$A$2:$B$999999,2,FALSE),"")</f>
        <v>BU-02.01 CLEARS BASE BLANCA P/PU ACS X 3.500</v>
      </c>
      <c r="D1491" s="1" t="s">
        <v>14454</v>
      </c>
      <c r="E1491" s="3">
        <f>IFERROR(VLOOKUP(B1491,'DA1'!$B$2:$D$999999,3,FALSE),"")</f>
      </c>
      <c r="F1491" s="1" t="str">
        <f>IFERROR(VLOOKUP(B1491,'SB1'!$A$2:$C$999999,3,FALSE),"")</f>
        <v>503</v>
      </c>
      <c r="G1491" s="3" t="e">
        <f t="shared" si="51"/>
        <v>#VALUE!</v>
      </c>
      <c r="H1491" s="3" t="e">
        <f t="shared" si="50"/>
        <v>#VALUE!</v>
      </c>
      <c r="I1491" s="1">
        <v>3</v>
      </c>
    </row>
    <row r="1492" spans="1:9" x14ac:dyDescent="0.25">
      <c r="A1492" s="1" t="s">
        <v>14435</v>
      </c>
      <c r="B1492" s="1" t="s">
        <v>4149</v>
      </c>
      <c r="C1492" s="1" t="str">
        <f>IFERROR(VLOOKUP(B1492,'SB1'!$A$2:$B$999999,2,FALSE),"")</f>
        <v>BU-01 CLEARS DE MEZCLA PU ACS X 3,5 (DISCONTINUADO)</v>
      </c>
      <c r="D1492" s="1" t="s">
        <v>14454</v>
      </c>
      <c r="E1492" s="3">
        <f>IFERROR(VLOOKUP(B1492,'DA1'!$B$2:$D$999999,3,FALSE),"")</f>
      </c>
      <c r="F1492" s="1" t="str">
        <f>IFERROR(VLOOKUP(B1492,'SB1'!$A$2:$C$999999,3,FALSE),"")</f>
        <v>503</v>
      </c>
      <c r="G1492" s="3" t="e">
        <f t="shared" si="51"/>
        <v>#VALUE!</v>
      </c>
      <c r="H1492" s="3" t="e">
        <f t="shared" si="50"/>
        <v>#VALUE!</v>
      </c>
      <c r="I1492" s="1">
        <v>1</v>
      </c>
    </row>
    <row r="1493" spans="1:9" x14ac:dyDescent="0.25">
      <c r="A1493" s="1" t="s">
        <v>14435</v>
      </c>
      <c r="B1493" s="1" t="s">
        <v>4151</v>
      </c>
      <c r="C1493" s="1" t="str">
        <f>IFERROR(VLOOKUP(B1493,'SB1'!$A$2:$B$999999,2,FALSE),"")</f>
        <v>BU-03 CLEARS DE AJUSTE P/PU ACS X3,5 (DISCONTINUADO)</v>
      </c>
      <c r="D1493" s="1" t="s">
        <v>14454</v>
      </c>
      <c r="E1493" s="3">
        <f>IFERROR(VLOOKUP(B1493,'DA1'!$B$2:$D$999999,3,FALSE),"")</f>
      </c>
      <c r="F1493" s="1" t="str">
        <f>IFERROR(VLOOKUP(B1493,'SB1'!$A$2:$C$999999,3,FALSE),"")</f>
        <v>503</v>
      </c>
      <c r="G1493" s="3" t="e">
        <f t="shared" si="51"/>
        <v>#VALUE!</v>
      </c>
      <c r="H1493" s="3" t="e">
        <f t="shared" si="50"/>
        <v>#VALUE!</v>
      </c>
      <c r="I1493" s="1">
        <v>1</v>
      </c>
    </row>
    <row r="1494" spans="1:9" x14ac:dyDescent="0.25">
      <c r="A1494" s="1" t="s">
        <v>14435</v>
      </c>
      <c r="B1494" s="1" t="s">
        <v>4157</v>
      </c>
      <c r="C1494" s="1" t="str">
        <f>IFERROR(VLOOKUP(B1494,'SB1'!$A$2:$B$999999,2,FALSE),"")</f>
        <v>AEROSOL RUST-OLEUM UC SATINADO NEGRO X 0,340(2620991)</v>
      </c>
      <c r="D1494" s="1" t="s">
        <v>14475</v>
      </c>
      <c r="E1494" s="3">
        <f>IFERROR(VLOOKUP(B1494,'DA1'!$B$2:$D$999999,3,FALSE),"")</f>
      </c>
      <c r="F1494" s="1" t="str">
        <f>IFERROR(VLOOKUP(B1494,'SB1'!$A$2:$C$999999,3,FALSE),"")</f>
        <v>503</v>
      </c>
      <c r="G1494" s="3" t="e">
        <f t="shared" si="51"/>
        <v>#VALUE!</v>
      </c>
      <c r="H1494" s="3" t="e">
        <f t="shared" si="50"/>
        <v>#VALUE!</v>
      </c>
      <c r="I1494" s="1">
        <v>1</v>
      </c>
    </row>
    <row r="1495" spans="1:9" x14ac:dyDescent="0.25">
      <c r="A1495" s="1" t="s">
        <v>14435</v>
      </c>
      <c r="B1495" s="1" t="s">
        <v>4159</v>
      </c>
      <c r="C1495" s="1" t="str">
        <f>IFERROR(VLOOKUP(B1495,'SB1'!$A$2:$B$999999,2,FALSE),"")</f>
        <v>AEROSOL RUST-OLEUM UC MATE NEGRO X 0,340(2621501)</v>
      </c>
      <c r="D1495" s="1" t="s">
        <v>14475</v>
      </c>
      <c r="E1495" s="3">
        <f>IFERROR(VLOOKUP(B1495,'DA1'!$B$2:$D$999999,3,FALSE),"")</f>
      </c>
      <c r="F1495" s="1" t="str">
        <f>IFERROR(VLOOKUP(B1495,'SB1'!$A$2:$C$999999,3,FALSE),"")</f>
        <v>503</v>
      </c>
      <c r="G1495" s="3" t="e">
        <f t="shared" si="51"/>
        <v>#VALUE!</v>
      </c>
      <c r="H1495" s="3" t="e">
        <f t="shared" si="50"/>
        <v>#VALUE!</v>
      </c>
      <c r="I1495" s="1">
        <v>1</v>
      </c>
    </row>
    <row r="1496" spans="1:9" x14ac:dyDescent="0.25">
      <c r="A1496" s="1" t="s">
        <v>14435</v>
      </c>
      <c r="B1496" s="1" t="s">
        <v>4161</v>
      </c>
      <c r="C1496" s="1" t="str">
        <f>IFERROR(VLOOKUP(B1496,'SB1'!$A$2:$B$999999,2,FALSE),"")</f>
        <v>BARNIZ MARINO PARA MADERA TERSUAVE BRILLANTE CON FILTRO SOLAR X 1</v>
      </c>
      <c r="D1496" s="1" t="s">
        <v>14437</v>
      </c>
      <c r="E1496" s="3">
        <f>IFERROR(VLOOKUP(B1496,'DA1'!$B$2:$D$999999,3,FALSE),"")</f>
      </c>
      <c r="F1496" s="1" t="str">
        <f>IFERROR(VLOOKUP(B1496,'SB1'!$A$2:$C$999999,3,FALSE),"")</f>
        <v>503</v>
      </c>
      <c r="G1496" s="3" t="e">
        <f t="shared" si="51"/>
        <v>#VALUE!</v>
      </c>
      <c r="H1496" s="3" t="e">
        <f t="shared" si="50"/>
        <v>#VALUE!</v>
      </c>
      <c r="I1496" s="1">
        <v>1</v>
      </c>
    </row>
    <row r="1497" spans="1:9" x14ac:dyDescent="0.25">
      <c r="A1497" s="1" t="s">
        <v>14435</v>
      </c>
      <c r="B1497" s="1" t="s">
        <v>4163</v>
      </c>
      <c r="C1497" s="1" t="str">
        <f>IFERROR(VLOOKUP(B1497,'SB1'!$A$2:$B$999999,2,FALSE),"")</f>
        <v>BARNIZ MARINO PARA MADERA TERSUAVE BRILLANTE CON FILTRO SOLAR X 4</v>
      </c>
      <c r="D1497" s="1" t="s">
        <v>14437</v>
      </c>
      <c r="E1497" s="3">
        <f>IFERROR(VLOOKUP(B1497,'DA1'!$B$2:$D$999999,3,FALSE),"")</f>
      </c>
      <c r="F1497" s="1" t="str">
        <f>IFERROR(VLOOKUP(B1497,'SB1'!$A$2:$C$999999,3,FALSE),"")</f>
        <v>503</v>
      </c>
      <c r="G1497" s="3" t="e">
        <f t="shared" si="51"/>
        <v>#VALUE!</v>
      </c>
      <c r="H1497" s="3" t="e">
        <f t="shared" si="50"/>
        <v>#VALUE!</v>
      </c>
      <c r="I1497" s="1">
        <v>1</v>
      </c>
    </row>
    <row r="1498" spans="1:9" x14ac:dyDescent="0.25">
      <c r="A1498" s="1" t="s">
        <v>14435</v>
      </c>
      <c r="B1498" s="1" t="s">
        <v>4165</v>
      </c>
      <c r="C1498" s="1" t="str">
        <f>IFERROR(VLOOKUP(B1498,'SB1'!$A$2:$B$999999,2,FALSE),"")</f>
        <v>P425-941/E3,5 H S STRONG RED X 3</v>
      </c>
      <c r="D1498" s="1" t="s">
        <v>14485</v>
      </c>
      <c r="E1498" s="3">
        <f>IFERROR(VLOOKUP(B1498,'DA1'!$B$2:$D$999999,3,FALSE),"")</f>
      </c>
      <c r="F1498" s="1" t="str">
        <f>IFERROR(VLOOKUP(B1498,'SB1'!$A$2:$C$999999,3,FALSE),"")</f>
        <v>503</v>
      </c>
      <c r="G1498" s="3" t="e">
        <f t="shared" si="51"/>
        <v>#VALUE!</v>
      </c>
      <c r="H1498" s="3" t="e">
        <f t="shared" si="50"/>
        <v>#VALUE!</v>
      </c>
      <c r="I1498" s="1">
        <v>3</v>
      </c>
    </row>
    <row r="1499" spans="1:9" x14ac:dyDescent="0.25">
      <c r="A1499" s="1" t="s">
        <v>14435</v>
      </c>
      <c r="B1499" s="1" t="s">
        <v>4167</v>
      </c>
      <c r="C1499" s="1" t="str">
        <f>IFERROR(VLOOKUP(B1499,'SB1'!$A$2:$B$999999,2,FALSE),"")</f>
        <v>BARNIZ PARA MADERA INTERIOR TERSUAVE MATE X 0,500</v>
      </c>
      <c r="D1499" s="1" t="s">
        <v>14437</v>
      </c>
      <c r="E1499" s="3">
        <f>IFERROR(VLOOKUP(B1499,'DA1'!$B$2:$D$999999,3,FALSE),"")</f>
      </c>
      <c r="F1499" s="1" t="str">
        <f>IFERROR(VLOOKUP(B1499,'SB1'!$A$2:$C$999999,3,FALSE),"")</f>
        <v>503</v>
      </c>
      <c r="G1499" s="3" t="e">
        <f t="shared" si="51"/>
        <v>#VALUE!</v>
      </c>
      <c r="H1499" s="3" t="e">
        <f t="shared" si="50"/>
        <v>#VALUE!</v>
      </c>
      <c r="I1499" s="1">
        <v>1</v>
      </c>
    </row>
    <row r="1500" spans="1:9" x14ac:dyDescent="0.25">
      <c r="A1500" s="1" t="s">
        <v>14435</v>
      </c>
      <c r="B1500" s="1" t="s">
        <v>4169</v>
      </c>
      <c r="C1500" s="1" t="str">
        <f>IFERROR(VLOOKUP(B1500,'SB1'!$A$2:$B$999999,2,FALSE),"")</f>
        <v>BARNIZ PARA MADERA INTERIOR TERSUAVE MATE X 1</v>
      </c>
      <c r="D1500" s="1" t="s">
        <v>14437</v>
      </c>
      <c r="E1500" s="3">
        <f>IFERROR(VLOOKUP(B1500,'DA1'!$B$2:$D$999999,3,FALSE),"")</f>
      </c>
      <c r="F1500" s="1" t="str">
        <f>IFERROR(VLOOKUP(B1500,'SB1'!$A$2:$C$999999,3,FALSE),"")</f>
        <v>503</v>
      </c>
      <c r="G1500" s="3" t="e">
        <f t="shared" si="51"/>
        <v>#VALUE!</v>
      </c>
      <c r="H1500" s="3" t="e">
        <f t="shared" si="50"/>
        <v>#VALUE!</v>
      </c>
      <c r="I1500" s="1">
        <v>1</v>
      </c>
    </row>
    <row r="1501" spans="1:9" x14ac:dyDescent="0.25">
      <c r="A1501" s="1" t="s">
        <v>14435</v>
      </c>
      <c r="B1501" s="1" t="s">
        <v>4171</v>
      </c>
      <c r="C1501" s="1" t="str">
        <f>IFERROR(VLOOKUP(B1501,'SB1'!$A$2:$B$999999,2,FALSE),"")</f>
        <v>BARNIZ PARA MADERA INTERIOR TERSUAVE MATE X 4</v>
      </c>
      <c r="D1501" s="1" t="s">
        <v>14437</v>
      </c>
      <c r="E1501" s="3">
        <f>IFERROR(VLOOKUP(B1501,'DA1'!$B$2:$D$999999,3,FALSE),"")</f>
      </c>
      <c r="F1501" s="1" t="str">
        <f>IFERROR(VLOOKUP(B1501,'SB1'!$A$2:$C$999999,3,FALSE),"")</f>
        <v>503</v>
      </c>
      <c r="G1501" s="3" t="e">
        <f t="shared" si="51"/>
        <v>#VALUE!</v>
      </c>
      <c r="H1501" s="3" t="e">
        <f t="shared" si="50"/>
        <v>#VALUE!</v>
      </c>
      <c r="I1501" s="1">
        <v>1</v>
      </c>
    </row>
    <row r="1502" spans="1:9" x14ac:dyDescent="0.25">
      <c r="A1502" s="1" t="s">
        <v>14435</v>
      </c>
      <c r="B1502" s="1" t="s">
        <v>4173</v>
      </c>
      <c r="C1502" s="1" t="str">
        <f>IFERROR(VLOOKUP(B1502,'SB1'!$A$2:$B$999999,2,FALSE),"")</f>
        <v>BARNIZ PARA MADERA INTERIOR TERSUAVE SATINADO X  0,500</v>
      </c>
      <c r="D1502" s="1" t="s">
        <v>14437</v>
      </c>
      <c r="E1502" s="3">
        <f>IFERROR(VLOOKUP(B1502,'DA1'!$B$2:$D$999999,3,FALSE),"")</f>
      </c>
      <c r="F1502" s="1" t="str">
        <f>IFERROR(VLOOKUP(B1502,'SB1'!$A$2:$C$999999,3,FALSE),"")</f>
        <v>503</v>
      </c>
      <c r="G1502" s="3" t="e">
        <f t="shared" si="51"/>
        <v>#VALUE!</v>
      </c>
      <c r="H1502" s="3" t="e">
        <f t="shared" si="50"/>
        <v>#VALUE!</v>
      </c>
      <c r="I1502" s="1">
        <v>1</v>
      </c>
    </row>
    <row r="1503" spans="1:9" x14ac:dyDescent="0.25">
      <c r="A1503" s="1" t="s">
        <v>14435</v>
      </c>
      <c r="B1503" s="1" t="s">
        <v>4175</v>
      </c>
      <c r="C1503" s="1" t="str">
        <f>IFERROR(VLOOKUP(B1503,'SB1'!$A$2:$B$999999,2,FALSE),"")</f>
        <v>BARNIZ PARA MADERA INTERIOR TERSUAVE SATINADO X  1</v>
      </c>
      <c r="D1503" s="1" t="s">
        <v>14437</v>
      </c>
      <c r="E1503" s="3">
        <f>IFERROR(VLOOKUP(B1503,'DA1'!$B$2:$D$999999,3,FALSE),"")</f>
      </c>
      <c r="F1503" s="1" t="str">
        <f>IFERROR(VLOOKUP(B1503,'SB1'!$A$2:$C$999999,3,FALSE),"")</f>
        <v>503</v>
      </c>
      <c r="G1503" s="3" t="e">
        <f t="shared" si="51"/>
        <v>#VALUE!</v>
      </c>
      <c r="H1503" s="3" t="e">
        <f t="shared" si="50"/>
        <v>#VALUE!</v>
      </c>
      <c r="I1503" s="1">
        <v>1</v>
      </c>
    </row>
    <row r="1504" spans="1:9" x14ac:dyDescent="0.25">
      <c r="A1504" s="1" t="s">
        <v>14435</v>
      </c>
      <c r="B1504" s="1" t="s">
        <v>4177</v>
      </c>
      <c r="C1504" s="1" t="str">
        <f>IFERROR(VLOOKUP(B1504,'SB1'!$A$2:$B$999999,2,FALSE),"")</f>
        <v>BARNIZ PARA MADERA INTERIOR TERSUAVE SATINADO X  4</v>
      </c>
      <c r="D1504" s="1" t="s">
        <v>14437</v>
      </c>
      <c r="E1504" s="3">
        <f>IFERROR(VLOOKUP(B1504,'DA1'!$B$2:$D$999999,3,FALSE),"")</f>
      </c>
      <c r="F1504" s="1" t="str">
        <f>IFERROR(VLOOKUP(B1504,'SB1'!$A$2:$C$999999,3,FALSE),"")</f>
        <v>503</v>
      </c>
      <c r="G1504" s="3" t="e">
        <f t="shared" si="51"/>
        <v>#VALUE!</v>
      </c>
      <c r="H1504" s="3" t="e">
        <f t="shared" si="50"/>
        <v>#VALUE!</v>
      </c>
      <c r="I1504" s="1">
        <v>1</v>
      </c>
    </row>
    <row r="1505" spans="1:9" x14ac:dyDescent="0.25">
      <c r="A1505" s="1" t="s">
        <v>14435</v>
      </c>
      <c r="B1505" s="1" t="s">
        <v>4179</v>
      </c>
      <c r="C1505" s="1" t="str">
        <f>IFERROR(VLOOKUP(B1505,'SB1'!$A$2:$B$999999,2,FALSE),"")</f>
        <v>BARNIZ PARA MADERA INTERIOR TERSUAVE SATINADO X 20</v>
      </c>
      <c r="D1505" s="1" t="s">
        <v>14437</v>
      </c>
      <c r="E1505" s="3">
        <f>IFERROR(VLOOKUP(B1505,'DA1'!$B$2:$D$999999,3,FALSE),"")</f>
      </c>
      <c r="F1505" s="1" t="str">
        <f>IFERROR(VLOOKUP(B1505,'SB1'!$A$2:$C$999999,3,FALSE),"")</f>
        <v>503</v>
      </c>
      <c r="G1505" s="3" t="e">
        <f t="shared" si="51"/>
        <v>#VALUE!</v>
      </c>
      <c r="H1505" s="3" t="e">
        <f t="shared" si="50"/>
        <v>#VALUE!</v>
      </c>
      <c r="I1505" s="1">
        <v>1</v>
      </c>
    </row>
    <row r="1506" spans="1:8" x14ac:dyDescent="0.25">
      <c r="A1506" s="1" t="s">
        <v>14435</v>
      </c>
      <c r="B1506" s="1" t="s">
        <v>4181</v>
      </c>
      <c r="C1506" s="1" t="str">
        <f>IFERROR(VLOOKUP(B1506,'SB1'!$A$2:$B$999999,2,FALSE),"")</f>
        <v>LACA NITROSINTETICA TERSUAVE BLANCO PURO X 0,500</v>
      </c>
      <c r="D1506" s="1" t="s">
        <v>14439</v>
      </c>
      <c r="E1506" s="3">
        <f>IFERROR(VLOOKUP(B1506,'DA1'!$B$2:$D$999999,3,FALSE),"")</f>
      </c>
      <c r="F1506" s="1" t="str">
        <f>IFERROR(VLOOKUP(B1506,'SB1'!$A$2:$C$999999,3,FALSE),"")</f>
        <v>503</v>
      </c>
      <c r="G1506" s="3" t="e">
        <f t="shared" si="51"/>
        <v>#VALUE!</v>
      </c>
      <c r="H1506" s="3" t="e">
        <f t="shared" si="50"/>
        <v>#VALUE!</v>
      </c>
    </row>
    <row r="1507" spans="1:8" x14ac:dyDescent="0.25">
      <c r="A1507" s="1" t="s">
        <v>14435</v>
      </c>
      <c r="B1507" s="1" t="s">
        <v>4183</v>
      </c>
      <c r="C1507" s="1" t="str">
        <f>IFERROR(VLOOKUP(B1507,'SB1'!$A$2:$B$999999,2,FALSE),"")</f>
        <v>LACA NITROSINTETICA TERSUAVE AMARILLO TAXI X 0,500</v>
      </c>
      <c r="D1507" s="1" t="s">
        <v>14439</v>
      </c>
      <c r="E1507" s="3">
        <f>IFERROR(VLOOKUP(B1507,'DA1'!$B$2:$D$999999,3,FALSE),"")</f>
      </c>
      <c r="F1507" s="1" t="str">
        <f>IFERROR(VLOOKUP(B1507,'SB1'!$A$2:$C$999999,3,FALSE),"")</f>
        <v>503</v>
      </c>
      <c r="G1507" s="3" t="e">
        <f t="shared" si="51"/>
        <v>#VALUE!</v>
      </c>
      <c r="H1507" s="3" t="e">
        <f t="shared" ref="H1507:H1570" si="52">G1507*1.21</f>
        <v>#VALUE!</v>
      </c>
    </row>
    <row r="1508" spans="1:8" x14ac:dyDescent="0.25">
      <c r="A1508" s="1" t="s">
        <v>14435</v>
      </c>
      <c r="B1508" s="1" t="s">
        <v>4185</v>
      </c>
      <c r="C1508" s="1" t="str">
        <f>IFERROR(VLOOKUP(B1508,'SB1'!$A$2:$B$999999,2,FALSE),"")</f>
        <v>LACA NITROSINTETICA TERSUAVE NARANJA ESC.X 0,500</v>
      </c>
      <c r="D1508" s="1" t="s">
        <v>14439</v>
      </c>
      <c r="E1508" s="3">
        <f>IFERROR(VLOOKUP(B1508,'DA1'!$B$2:$D$999999,3,FALSE),"")</f>
      </c>
      <c r="F1508" s="1" t="str">
        <f>IFERROR(VLOOKUP(B1508,'SB1'!$A$2:$C$999999,3,FALSE),"")</f>
        <v>503</v>
      </c>
      <c r="G1508" s="3" t="e">
        <f t="shared" si="51"/>
        <v>#VALUE!</v>
      </c>
      <c r="H1508" s="3" t="e">
        <f t="shared" si="52"/>
        <v>#VALUE!</v>
      </c>
    </row>
    <row r="1509" spans="1:8" x14ac:dyDescent="0.25">
      <c r="A1509" s="1" t="s">
        <v>14435</v>
      </c>
      <c r="B1509" s="1" t="s">
        <v>4187</v>
      </c>
      <c r="C1509" s="1" t="str">
        <f>IFERROR(VLOOKUP(B1509,'SB1'!$A$2:$B$999999,2,FALSE),"")</f>
        <v>LACA NITROSINTETICA TERSUAVE NEGRO AZABACHE X 0,500</v>
      </c>
      <c r="D1509" s="1" t="s">
        <v>14439</v>
      </c>
      <c r="E1509" s="3">
        <f>IFERROR(VLOOKUP(B1509,'DA1'!$B$2:$D$999999,3,FALSE),"")</f>
      </c>
      <c r="F1509" s="1" t="str">
        <f>IFERROR(VLOOKUP(B1509,'SB1'!$A$2:$C$999999,3,FALSE),"")</f>
        <v>503</v>
      </c>
      <c r="G1509" s="3" t="e">
        <f t="shared" si="51"/>
        <v>#VALUE!</v>
      </c>
      <c r="H1509" s="3" t="e">
        <f t="shared" si="52"/>
        <v>#VALUE!</v>
      </c>
    </row>
    <row r="1510" spans="1:8" x14ac:dyDescent="0.25">
      <c r="A1510" s="1" t="s">
        <v>14435</v>
      </c>
      <c r="B1510" s="1" t="s">
        <v>4189</v>
      </c>
      <c r="C1510" s="1" t="str">
        <f>IFERROR(VLOOKUP(B1510,'SB1'!$A$2:$B$999999,2,FALSE),"")</f>
        <v>LACA NITROSINTETICA TERSUAVE NEGRO SATINADO X 0,500</v>
      </c>
      <c r="D1510" s="1" t="s">
        <v>14439</v>
      </c>
      <c r="E1510" s="3">
        <f>IFERROR(VLOOKUP(B1510,'DA1'!$B$2:$D$999999,3,FALSE),"")</f>
      </c>
      <c r="F1510" s="1" t="str">
        <f>IFERROR(VLOOKUP(B1510,'SB1'!$A$2:$C$999999,3,FALSE),"")</f>
        <v>503</v>
      </c>
      <c r="G1510" s="3" t="e">
        <f t="shared" si="51"/>
        <v>#VALUE!</v>
      </c>
      <c r="H1510" s="3" t="e">
        <f t="shared" si="52"/>
        <v>#VALUE!</v>
      </c>
    </row>
    <row r="1511" spans="1:8" x14ac:dyDescent="0.25">
      <c r="A1511" s="1" t="s">
        <v>14435</v>
      </c>
      <c r="B1511" s="1" t="s">
        <v>4191</v>
      </c>
      <c r="C1511" s="1" t="str">
        <f>IFERROR(VLOOKUP(B1511,'SB1'!$A$2:$B$999999,2,FALSE),"")</f>
        <v>LACA NITROSINTETICA TERSUAVE ALUMINIO PARA LLANTAS X 0,500</v>
      </c>
      <c r="D1511" s="1" t="s">
        <v>14439</v>
      </c>
      <c r="E1511" s="3">
        <f>IFERROR(VLOOKUP(B1511,'DA1'!$B$2:$D$999999,3,FALSE),"")</f>
      </c>
      <c r="F1511" s="1" t="str">
        <f>IFERROR(VLOOKUP(B1511,'SB1'!$A$2:$C$999999,3,FALSE),"")</f>
        <v>503</v>
      </c>
      <c r="G1511" s="3" t="e">
        <f t="shared" si="51"/>
        <v>#VALUE!</v>
      </c>
      <c r="H1511" s="3" t="e">
        <f t="shared" si="52"/>
        <v>#VALUE!</v>
      </c>
    </row>
    <row r="1512" spans="1:9" x14ac:dyDescent="0.25">
      <c r="A1512" s="1" t="s">
        <v>14435</v>
      </c>
      <c r="B1512" s="1" t="s">
        <v>4193</v>
      </c>
      <c r="C1512" s="1" t="str">
        <f>IFERROR(VLOOKUP(B1512,'SB1'!$A$2:$B$999999,2,FALSE),"")</f>
        <v>P420-905 YELLOW OXIDE X 1</v>
      </c>
      <c r="D1512" s="1" t="s">
        <v>14485</v>
      </c>
      <c r="E1512" s="3">
        <f>IFERROR(VLOOKUP(B1512,'DA1'!$B$2:$D$999999,3,FALSE),"")</f>
      </c>
      <c r="F1512" s="1" t="str">
        <f>IFERROR(VLOOKUP(B1512,'SB1'!$A$2:$C$999999,3,FALSE),"")</f>
        <v>503</v>
      </c>
      <c r="G1512" s="3" t="e">
        <f t="shared" si="51"/>
        <v>#VALUE!</v>
      </c>
      <c r="H1512" s="3" t="e">
        <f t="shared" si="52"/>
        <v>#VALUE!</v>
      </c>
      <c r="I1512" s="1">
        <v>3</v>
      </c>
    </row>
    <row r="1513" spans="1:9" x14ac:dyDescent="0.25">
      <c r="A1513" s="1" t="s">
        <v>14435</v>
      </c>
      <c r="B1513" s="1" t="s">
        <v>4199</v>
      </c>
      <c r="C1513" s="1" t="str">
        <f>IFERROR(VLOOKUP(B1513,'SB1'!$A$2:$B$999999,2,FALSE),"")</f>
        <v>ESMALTE SINTETICO PARA PIZARRON TERSUAVE MATE VERDE X 0,250</v>
      </c>
      <c r="D1513" s="1" t="s">
        <v>14437</v>
      </c>
      <c r="E1513" s="3">
        <f>IFERROR(VLOOKUP(B1513,'DA1'!$B$2:$D$999999,3,FALSE),"")</f>
      </c>
      <c r="F1513" s="1" t="str">
        <f>IFERROR(VLOOKUP(B1513,'SB1'!$A$2:$C$999999,3,FALSE),"")</f>
        <v>503</v>
      </c>
      <c r="G1513" s="3" t="e">
        <f t="shared" si="51"/>
        <v>#VALUE!</v>
      </c>
      <c r="H1513" s="3" t="e">
        <f t="shared" si="52"/>
        <v>#VALUE!</v>
      </c>
      <c r="I1513" s="1">
        <v>1</v>
      </c>
    </row>
    <row r="1514" spans="1:9" x14ac:dyDescent="0.25">
      <c r="A1514" s="1" t="s">
        <v>14435</v>
      </c>
      <c r="B1514" s="1" t="s">
        <v>4201</v>
      </c>
      <c r="C1514" s="1" t="str">
        <f>IFERROR(VLOOKUP(B1514,'SB1'!$A$2:$B$999999,2,FALSE),"")</f>
        <v>ESMALTE SINTETICO TERSUAVE 2EN1 BRILLANTE BLANCO X  0,250</v>
      </c>
      <c r="D1514" s="1" t="s">
        <v>14437</v>
      </c>
      <c r="E1514" s="3">
        <f>IFERROR(VLOOKUP(B1514,'DA1'!$B$2:$D$999999,3,FALSE),"")</f>
      </c>
      <c r="F1514" s="1" t="str">
        <f>IFERROR(VLOOKUP(B1514,'SB1'!$A$2:$C$999999,3,FALSE),"")</f>
        <v>503</v>
      </c>
      <c r="G1514" s="3" t="e">
        <f t="shared" si="51"/>
        <v>#VALUE!</v>
      </c>
      <c r="H1514" s="3" t="e">
        <f t="shared" si="52"/>
        <v>#VALUE!</v>
      </c>
      <c r="I1514" s="1">
        <v>1</v>
      </c>
    </row>
    <row r="1515" spans="1:9" x14ac:dyDescent="0.25">
      <c r="A1515" s="1" t="s">
        <v>14435</v>
      </c>
      <c r="B1515" s="1" t="s">
        <v>4203</v>
      </c>
      <c r="C1515" s="1" t="str">
        <f>IFERROR(VLOOKUP(B1515,'SB1'!$A$2:$B$999999,2,FALSE),"")</f>
        <v>ESMALTE SINTETICO TERSUAVE 2EN1 BRILLANTE BERMELLON X  0,250</v>
      </c>
      <c r="D1515" s="1" t="s">
        <v>14437</v>
      </c>
      <c r="E1515" s="3">
        <f>IFERROR(VLOOKUP(B1515,'DA1'!$B$2:$D$999999,3,FALSE),"")</f>
      </c>
      <c r="F1515" s="1" t="str">
        <f>IFERROR(VLOOKUP(B1515,'SB1'!$A$2:$C$999999,3,FALSE),"")</f>
        <v>503</v>
      </c>
      <c r="G1515" s="3" t="e">
        <f t="shared" si="51"/>
        <v>#VALUE!</v>
      </c>
      <c r="H1515" s="3" t="e">
        <f t="shared" si="52"/>
        <v>#VALUE!</v>
      </c>
      <c r="I1515" s="1">
        <v>1</v>
      </c>
    </row>
    <row r="1516" spans="1:9" x14ac:dyDescent="0.25">
      <c r="A1516" s="1" t="s">
        <v>14435</v>
      </c>
      <c r="B1516" s="1" t="s">
        <v>4205</v>
      </c>
      <c r="C1516" s="1" t="str">
        <f>IFERROR(VLOOKUP(B1516,'SB1'!$A$2:$B$999999,2,FALSE),"")</f>
        <v>ESMALTE SINTETICO TERSUAVE 2EN1 BRILLANTE NARANJA X  0,250</v>
      </c>
      <c r="D1516" s="1" t="s">
        <v>14437</v>
      </c>
      <c r="E1516" s="3">
        <f>IFERROR(VLOOKUP(B1516,'DA1'!$B$2:$D$999999,3,FALSE),"")</f>
      </c>
      <c r="F1516" s="1" t="str">
        <f>IFERROR(VLOOKUP(B1516,'SB1'!$A$2:$C$999999,3,FALSE),"")</f>
        <v>503</v>
      </c>
      <c r="G1516" s="3" t="e">
        <f t="shared" si="51"/>
        <v>#VALUE!</v>
      </c>
      <c r="H1516" s="3" t="e">
        <f t="shared" si="52"/>
        <v>#VALUE!</v>
      </c>
      <c r="I1516" s="1">
        <v>1</v>
      </c>
    </row>
    <row r="1517" spans="1:9" x14ac:dyDescent="0.25">
      <c r="A1517" s="1" t="s">
        <v>14435</v>
      </c>
      <c r="B1517" s="1" t="s">
        <v>4207</v>
      </c>
      <c r="C1517" s="1" t="str">
        <f>IFERROR(VLOOKUP(B1517,'SB1'!$A$2:$B$999999,2,FALSE),"")</f>
        <v>ESMALTE SINTETICO TERSUAVE 2EN1 BRILLANTE AMARILLO X  0,250</v>
      </c>
      <c r="D1517" s="1" t="s">
        <v>14437</v>
      </c>
      <c r="E1517" s="3">
        <f>IFERROR(VLOOKUP(B1517,'DA1'!$B$2:$D$999999,3,FALSE),"")</f>
      </c>
      <c r="F1517" s="1" t="str">
        <f>IFERROR(VLOOKUP(B1517,'SB1'!$A$2:$C$999999,3,FALSE),"")</f>
        <v>503</v>
      </c>
      <c r="G1517" s="3" t="e">
        <f t="shared" si="51"/>
        <v>#VALUE!</v>
      </c>
      <c r="H1517" s="3" t="e">
        <f t="shared" si="52"/>
        <v>#VALUE!</v>
      </c>
      <c r="I1517" s="1">
        <v>1</v>
      </c>
    </row>
    <row r="1518" spans="1:9" x14ac:dyDescent="0.25">
      <c r="A1518" s="1" t="s">
        <v>14435</v>
      </c>
      <c r="B1518" s="1" t="s">
        <v>4209</v>
      </c>
      <c r="C1518" s="1" t="str">
        <f>IFERROR(VLOOKUP(B1518,'SB1'!$A$2:$B$999999,2,FALSE),"")</f>
        <v>FONDO PARA MADERA TERSUAVE BLANCO X  0,250</v>
      </c>
      <c r="D1518" s="1" t="s">
        <v>14437</v>
      </c>
      <c r="E1518" s="3">
        <f>IFERROR(VLOOKUP(B1518,'DA1'!$B$2:$D$999999,3,FALSE),"")</f>
      </c>
      <c r="F1518" s="1" t="str">
        <f>IFERROR(VLOOKUP(B1518,'SB1'!$A$2:$C$999999,3,FALSE),"")</f>
        <v>503</v>
      </c>
      <c r="G1518" s="3" t="e">
        <f t="shared" si="51"/>
        <v>#VALUE!</v>
      </c>
      <c r="H1518" s="3" t="e">
        <f t="shared" si="52"/>
        <v>#VALUE!</v>
      </c>
      <c r="I1518" s="1">
        <v>1</v>
      </c>
    </row>
    <row r="1519" spans="1:9" x14ac:dyDescent="0.25">
      <c r="A1519" s="1" t="s">
        <v>14435</v>
      </c>
      <c r="B1519" s="1" t="s">
        <v>4211</v>
      </c>
      <c r="C1519" s="1" t="str">
        <f>IFERROR(VLOOKUP(B1519,'SB1'!$A$2:$B$999999,2,FALSE),"")</f>
        <v>BARNIZ MARINO PARA MADERA TERSUAVE BRILLANTE X  0,250</v>
      </c>
      <c r="D1519" s="1" t="s">
        <v>14437</v>
      </c>
      <c r="E1519" s="3">
        <f>IFERROR(VLOOKUP(B1519,'DA1'!$B$2:$D$999999,3,FALSE),"")</f>
      </c>
      <c r="F1519" s="1" t="str">
        <f>IFERROR(VLOOKUP(B1519,'SB1'!$A$2:$C$999999,3,FALSE),"")</f>
        <v>503</v>
      </c>
      <c r="G1519" s="3" t="e">
        <f t="shared" si="51"/>
        <v>#VALUE!</v>
      </c>
      <c r="H1519" s="3" t="e">
        <f t="shared" si="52"/>
        <v>#VALUE!</v>
      </c>
      <c r="I1519" s="1">
        <v>1</v>
      </c>
    </row>
    <row r="1520" spans="1:9" x14ac:dyDescent="0.25">
      <c r="A1520" s="1" t="s">
        <v>14435</v>
      </c>
      <c r="B1520" s="1" t="s">
        <v>4213</v>
      </c>
      <c r="C1520" s="1" t="str">
        <f>IFERROR(VLOOKUP(B1520,'SB1'!$A$2:$B$999999,2,FALSE),"")</f>
        <v>ESMALTE SINTETICO TERSUAVE ALTA TEMPERATURA ALUMINIO X 0,250</v>
      </c>
      <c r="D1520" s="1" t="s">
        <v>14487</v>
      </c>
      <c r="E1520" s="3">
        <f>IFERROR(VLOOKUP(B1520,'DA1'!$B$2:$D$999999,3,FALSE),"")</f>
      </c>
      <c r="F1520" s="1" t="str">
        <f>IFERROR(VLOOKUP(B1520,'SB1'!$A$2:$C$999999,3,FALSE),"")</f>
        <v>503</v>
      </c>
      <c r="G1520" s="3" t="e">
        <f t="shared" si="51"/>
        <v>#VALUE!</v>
      </c>
      <c r="H1520" s="3" t="e">
        <f t="shared" si="52"/>
        <v>#VALUE!</v>
      </c>
      <c r="I1520" s="1">
        <v>1</v>
      </c>
    </row>
    <row r="1521" spans="1:9" x14ac:dyDescent="0.25">
      <c r="A1521" s="1" t="s">
        <v>14435</v>
      </c>
      <c r="B1521" s="1" t="s">
        <v>4217</v>
      </c>
      <c r="C1521" s="1" t="str">
        <f>IFERROR(VLOOKUP(B1521,'SB1'!$A$2:$B$999999,2,FALSE),"")</f>
        <v>ESMALTE SINTETICO TERSUAVE 2EN1 BRILLANTE BEIGE X  0,250</v>
      </c>
      <c r="D1521" s="1" t="s">
        <v>14437</v>
      </c>
      <c r="E1521" s="3">
        <f>IFERROR(VLOOKUP(B1521,'DA1'!$B$2:$D$999999,3,FALSE),"")</f>
      </c>
      <c r="F1521" s="1" t="str">
        <f>IFERROR(VLOOKUP(B1521,'SB1'!$A$2:$C$999999,3,FALSE),"")</f>
        <v>503</v>
      </c>
      <c r="G1521" s="3" t="e">
        <f t="shared" si="51"/>
        <v>#VALUE!</v>
      </c>
      <c r="H1521" s="3" t="e">
        <f t="shared" si="52"/>
        <v>#VALUE!</v>
      </c>
      <c r="I1521" s="1">
        <v>1</v>
      </c>
    </row>
    <row r="1522" spans="1:9" x14ac:dyDescent="0.25">
      <c r="A1522" s="1" t="s">
        <v>14435</v>
      </c>
      <c r="B1522" s="1" t="s">
        <v>4219</v>
      </c>
      <c r="C1522" s="1" t="str">
        <f>IFERROR(VLOOKUP(B1522,'SB1'!$A$2:$B$999999,2,FALSE),"")</f>
        <v>ESMALTE SINTETICO PARA PIZARRON TERSUAVE MATE NEGRO X 0,250</v>
      </c>
      <c r="D1522" s="1" t="s">
        <v>14437</v>
      </c>
      <c r="E1522" s="3">
        <f>IFERROR(VLOOKUP(B1522,'DA1'!$B$2:$D$999999,3,FALSE),"")</f>
      </c>
      <c r="F1522" s="1" t="str">
        <f>IFERROR(VLOOKUP(B1522,'SB1'!$A$2:$C$999999,3,FALSE),"")</f>
        <v>503</v>
      </c>
      <c r="G1522" s="3" t="e">
        <f t="shared" si="51"/>
        <v>#VALUE!</v>
      </c>
      <c r="H1522" s="3" t="e">
        <f t="shared" si="52"/>
        <v>#VALUE!</v>
      </c>
      <c r="I1522" s="1">
        <v>1</v>
      </c>
    </row>
    <row r="1523" spans="1:9" x14ac:dyDescent="0.25">
      <c r="A1523" s="1" t="s">
        <v>14435</v>
      </c>
      <c r="B1523" s="1" t="s">
        <v>4221</v>
      </c>
      <c r="C1523" s="1" t="str">
        <f>IFERROR(VLOOKUP(B1523,'SB1'!$A$2:$B$999999,2,FALSE),"")</f>
        <v>ESMALTE SINTETICO TERSUAVE ALTA TEMPERATURA BLANCO X 0,250</v>
      </c>
      <c r="D1523" s="1" t="s">
        <v>14439</v>
      </c>
      <c r="E1523" s="3">
        <f>IFERROR(VLOOKUP(B1523,'DA1'!$B$2:$D$999999,3,FALSE),"")</f>
      </c>
      <c r="F1523" s="1" t="str">
        <f>IFERROR(VLOOKUP(B1523,'SB1'!$A$2:$C$999999,3,FALSE),"")</f>
        <v>503</v>
      </c>
      <c r="G1523" s="3" t="e">
        <f t="shared" si="51"/>
        <v>#VALUE!</v>
      </c>
      <c r="H1523" s="3" t="e">
        <f t="shared" si="52"/>
        <v>#VALUE!</v>
      </c>
      <c r="I1523" s="1">
        <v>1</v>
      </c>
    </row>
    <row r="1524" spans="1:9" x14ac:dyDescent="0.25">
      <c r="A1524" s="1" t="s">
        <v>14435</v>
      </c>
      <c r="B1524" s="1" t="s">
        <v>4223</v>
      </c>
      <c r="C1524" s="1" t="str">
        <f>IFERROR(VLOOKUP(B1524,'SB1'!$A$2:$B$999999,2,FALSE),"")</f>
        <v>ESMALTE POLIURETANO ALBA BLANCO X 1</v>
      </c>
      <c r="D1524" s="1" t="s">
        <v>14489</v>
      </c>
      <c r="E1524" s="3">
        <f>IFERROR(VLOOKUP(B1524,'DA1'!$B$2:$D$999999,3,FALSE),"")</f>
      </c>
      <c r="F1524" s="1" t="str">
        <f>IFERROR(VLOOKUP(B1524,'SB1'!$A$2:$C$999999,3,FALSE),"")</f>
        <v>503</v>
      </c>
      <c r="G1524" s="3" t="e">
        <f t="shared" si="51"/>
        <v>#VALUE!</v>
      </c>
      <c r="H1524" s="3" t="e">
        <f t="shared" si="52"/>
        <v>#VALUE!</v>
      </c>
      <c r="I1524" s="1">
        <v>1</v>
      </c>
    </row>
    <row r="1525" spans="1:9" x14ac:dyDescent="0.25">
      <c r="A1525" s="1" t="s">
        <v>14435</v>
      </c>
      <c r="B1525" s="1" t="s">
        <v>4225</v>
      </c>
      <c r="C1525" s="1" t="str">
        <f>IFERROR(VLOOKUP(B1525,'SB1'!$A$2:$B$999999,2,FALSE),"")</f>
        <v>ESMALTE SINTETICO TERSUAVE 2EN1 BRILLANTE CEDRO X  0,250</v>
      </c>
      <c r="D1525" s="1" t="s">
        <v>14437</v>
      </c>
      <c r="E1525" s="3">
        <f>IFERROR(VLOOKUP(B1525,'DA1'!$B$2:$D$999999,3,FALSE),"")</f>
      </c>
      <c r="F1525" s="1" t="str">
        <f>IFERROR(VLOOKUP(B1525,'SB1'!$A$2:$C$999999,3,FALSE),"")</f>
        <v>503</v>
      </c>
      <c r="G1525" s="3" t="e">
        <f t="shared" si="51"/>
        <v>#VALUE!</v>
      </c>
      <c r="H1525" s="3" t="e">
        <f t="shared" si="52"/>
        <v>#VALUE!</v>
      </c>
      <c r="I1525" s="1">
        <v>1</v>
      </c>
    </row>
    <row r="1526" spans="1:9" x14ac:dyDescent="0.25">
      <c r="A1526" s="1" t="s">
        <v>14435</v>
      </c>
      <c r="B1526" s="1" t="s">
        <v>4229</v>
      </c>
      <c r="C1526" s="1" t="str">
        <f>IFERROR(VLOOKUP(B1526,'SB1'!$A$2:$B$999999,2,FALSE),"")</f>
        <v>ESMALTE SINTETICO TERSUAVE 2EN1 BRILLANTE NEGRO X  0,250</v>
      </c>
      <c r="D1526" s="1" t="s">
        <v>14437</v>
      </c>
      <c r="E1526" s="3">
        <f>IFERROR(VLOOKUP(B1526,'DA1'!$B$2:$D$999999,3,FALSE),"")</f>
      </c>
      <c r="F1526" s="1" t="str">
        <f>IFERROR(VLOOKUP(B1526,'SB1'!$A$2:$C$999999,3,FALSE),"")</f>
        <v>503</v>
      </c>
      <c r="G1526" s="3" t="e">
        <f t="shared" si="51"/>
        <v>#VALUE!</v>
      </c>
      <c r="H1526" s="3" t="e">
        <f t="shared" si="52"/>
        <v>#VALUE!</v>
      </c>
      <c r="I1526" s="1">
        <v>1</v>
      </c>
    </row>
    <row r="1527" spans="1:9" x14ac:dyDescent="0.25">
      <c r="A1527" s="1" t="s">
        <v>14435</v>
      </c>
      <c r="B1527" s="1" t="s">
        <v>4231</v>
      </c>
      <c r="C1527" s="1" t="str">
        <f>IFERROR(VLOOKUP(B1527,'SB1'!$A$2:$B$999999,2,FALSE),"")</f>
        <v>ESMALTE SINTETICO TERSUAVE 2EN1 BRILLANTE ORO X 0,250</v>
      </c>
      <c r="D1527" s="1" t="s">
        <v>14437</v>
      </c>
      <c r="E1527" s="3">
        <f>IFERROR(VLOOKUP(B1527,'DA1'!$B$2:$D$999999,3,FALSE),"")</f>
      </c>
      <c r="F1527" s="1" t="str">
        <f>IFERROR(VLOOKUP(B1527,'SB1'!$A$2:$C$999999,3,FALSE),"")</f>
        <v>503</v>
      </c>
      <c r="G1527" s="3" t="e">
        <f t="shared" si="51"/>
        <v>#VALUE!</v>
      </c>
      <c r="H1527" s="3" t="e">
        <f t="shared" si="52"/>
        <v>#VALUE!</v>
      </c>
      <c r="I1527" s="1">
        <v>1</v>
      </c>
    </row>
    <row r="1528" spans="1:9" x14ac:dyDescent="0.25">
      <c r="A1528" s="1" t="s">
        <v>14435</v>
      </c>
      <c r="B1528" s="1" t="s">
        <v>4233</v>
      </c>
      <c r="C1528" s="1" t="str">
        <f>IFERROR(VLOOKUP(B1528,'SB1'!$A$2:$B$999999,2,FALSE),"")</f>
        <v>ESMALTE SINTETICO TERSUAVE 2EN1 BRILLANTE ALUMINIO X  0,250</v>
      </c>
      <c r="D1528" s="1" t="s">
        <v>14437</v>
      </c>
      <c r="E1528" s="3">
        <f>IFERROR(VLOOKUP(B1528,'DA1'!$B$2:$D$999999,3,FALSE),"")</f>
      </c>
      <c r="F1528" s="1" t="str">
        <f>IFERROR(VLOOKUP(B1528,'SB1'!$A$2:$C$999999,3,FALSE),"")</f>
        <v>503</v>
      </c>
      <c r="G1528" s="3" t="e">
        <f t="shared" si="51"/>
        <v>#VALUE!</v>
      </c>
      <c r="H1528" s="3" t="e">
        <f t="shared" si="52"/>
        <v>#VALUE!</v>
      </c>
      <c r="I1528" s="1">
        <v>1</v>
      </c>
    </row>
    <row r="1529" spans="1:9" x14ac:dyDescent="0.25">
      <c r="A1529" s="1" t="s">
        <v>14435</v>
      </c>
      <c r="B1529" s="1" t="s">
        <v>4235</v>
      </c>
      <c r="C1529" s="1" t="str">
        <f>IFERROR(VLOOKUP(B1529,'SB1'!$A$2:$B$999999,2,FALSE),"")</f>
        <v>ESMALTE SINTETICO TERSUAVE 2EN1 BRILLANTE MARRON X  0,250</v>
      </c>
      <c r="D1529" s="1" t="s">
        <v>14437</v>
      </c>
      <c r="E1529" s="3">
        <f>IFERROR(VLOOKUP(B1529,'DA1'!$B$2:$D$999999,3,FALSE),"")</f>
      </c>
      <c r="F1529" s="1" t="str">
        <f>IFERROR(VLOOKUP(B1529,'SB1'!$A$2:$C$999999,3,FALSE),"")</f>
        <v>503</v>
      </c>
      <c r="G1529" s="3" t="e">
        <f t="shared" si="51"/>
        <v>#VALUE!</v>
      </c>
      <c r="H1529" s="3" t="e">
        <f t="shared" si="52"/>
        <v>#VALUE!</v>
      </c>
      <c r="I1529" s="1">
        <v>1</v>
      </c>
    </row>
    <row r="1530" spans="1:9" x14ac:dyDescent="0.25">
      <c r="A1530" s="1" t="s">
        <v>14435</v>
      </c>
      <c r="B1530" s="1" t="s">
        <v>4237</v>
      </c>
      <c r="C1530" s="1" t="str">
        <f>IFERROR(VLOOKUP(B1530,'SB1'!$A$2:$B$999999,2,FALSE),"")</f>
        <v>ESMALTE SINTETICO TERSUAVE 2EN1 BRILLANTE VERDE CLARO X  0,250</v>
      </c>
      <c r="D1530" s="1" t="s">
        <v>14437</v>
      </c>
      <c r="E1530" s="3">
        <f>IFERROR(VLOOKUP(B1530,'DA1'!$B$2:$D$999999,3,FALSE),"")</f>
      </c>
      <c r="F1530" s="1" t="str">
        <f>IFERROR(VLOOKUP(B1530,'SB1'!$A$2:$C$999999,3,FALSE),"")</f>
        <v>503</v>
      </c>
      <c r="G1530" s="3" t="e">
        <f t="shared" si="51"/>
        <v>#VALUE!</v>
      </c>
      <c r="H1530" s="3" t="e">
        <f t="shared" si="52"/>
        <v>#VALUE!</v>
      </c>
      <c r="I1530" s="1">
        <v>1</v>
      </c>
    </row>
    <row r="1531" spans="1:9" x14ac:dyDescent="0.25">
      <c r="A1531" s="1" t="s">
        <v>14435</v>
      </c>
      <c r="B1531" s="1" t="s">
        <v>4239</v>
      </c>
      <c r="C1531" s="1" t="str">
        <f>IFERROR(VLOOKUP(B1531,'SB1'!$A$2:$B$999999,2,FALSE),"")</f>
        <v>ESMALTE SINTETICO TERSUAVE 2EN1 BRILLANTE GRIS OSCURO X  0,250</v>
      </c>
      <c r="D1531" s="1" t="s">
        <v>14437</v>
      </c>
      <c r="E1531" s="3">
        <f>IFERROR(VLOOKUP(B1531,'DA1'!$B$2:$D$999999,3,FALSE),"")</f>
      </c>
      <c r="F1531" s="1" t="str">
        <f>IFERROR(VLOOKUP(B1531,'SB1'!$A$2:$C$999999,3,FALSE),"")</f>
        <v>503</v>
      </c>
      <c r="G1531" s="3" t="e">
        <f t="shared" si="51"/>
        <v>#VALUE!</v>
      </c>
      <c r="H1531" s="3" t="e">
        <f t="shared" si="52"/>
        <v>#VALUE!</v>
      </c>
      <c r="I1531" s="1">
        <v>1</v>
      </c>
    </row>
    <row r="1532" spans="1:9" x14ac:dyDescent="0.25">
      <c r="A1532" s="1" t="s">
        <v>14435</v>
      </c>
      <c r="B1532" s="1" t="s">
        <v>4245</v>
      </c>
      <c r="C1532" s="1" t="str">
        <f>IFERROR(VLOOKUP(B1532,'SB1'!$A$2:$B$999999,2,FALSE),"")</f>
        <v>ESMALTE SINTETICO TERSUAVE 2EN1 BRILLANTE CELESTE X  0,250</v>
      </c>
      <c r="D1532" s="1" t="s">
        <v>14437</v>
      </c>
      <c r="E1532" s="3">
        <f>IFERROR(VLOOKUP(B1532,'DA1'!$B$2:$D$999999,3,FALSE),"")</f>
      </c>
      <c r="F1532" s="1" t="str">
        <f>IFERROR(VLOOKUP(B1532,'SB1'!$A$2:$C$999999,3,FALSE),"")</f>
        <v>503</v>
      </c>
      <c r="G1532" s="3" t="e">
        <f t="shared" si="51"/>
        <v>#VALUE!</v>
      </c>
      <c r="H1532" s="3" t="e">
        <f t="shared" si="52"/>
        <v>#VALUE!</v>
      </c>
      <c r="I1532" s="1">
        <v>1</v>
      </c>
    </row>
    <row r="1533" spans="1:9" x14ac:dyDescent="0.25">
      <c r="A1533" s="1" t="s">
        <v>14435</v>
      </c>
      <c r="B1533" s="1" t="s">
        <v>4247</v>
      </c>
      <c r="C1533" s="1" t="str">
        <f>IFERROR(VLOOKUP(B1533,'SB1'!$A$2:$B$999999,2,FALSE),"")</f>
        <v>ESMALTE SINTETICO TERSUAVE 2EN1 BRILLANTE MARFIL SEDA X  0,250</v>
      </c>
      <c r="D1533" s="1" t="s">
        <v>14437</v>
      </c>
      <c r="E1533" s="3">
        <f>IFERROR(VLOOKUP(B1533,'DA1'!$B$2:$D$999999,3,FALSE),"")</f>
      </c>
      <c r="F1533" s="1" t="str">
        <f>IFERROR(VLOOKUP(B1533,'SB1'!$A$2:$C$999999,3,FALSE),"")</f>
        <v>503</v>
      </c>
      <c r="G1533" s="3" t="e">
        <f t="shared" si="51"/>
        <v>#VALUE!</v>
      </c>
      <c r="H1533" s="3" t="e">
        <f t="shared" si="52"/>
        <v>#VALUE!</v>
      </c>
      <c r="I1533" s="1">
        <v>1</v>
      </c>
    </row>
    <row r="1534" spans="1:9" x14ac:dyDescent="0.25">
      <c r="A1534" s="1" t="s">
        <v>14435</v>
      </c>
      <c r="B1534" s="1" t="s">
        <v>4251</v>
      </c>
      <c r="C1534" s="1" t="str">
        <f>IFERROR(VLOOKUP(B1534,'SB1'!$A$2:$B$999999,2,FALSE),"")</f>
        <v>ESMALTE SINTETICO TERSUAVE 2EN1 BRILLANTE GRIS ESPACIAL X  0,250</v>
      </c>
      <c r="D1534" s="1" t="s">
        <v>14437</v>
      </c>
      <c r="E1534" s="3">
        <f>IFERROR(VLOOKUP(B1534,'DA1'!$B$2:$D$999999,3,FALSE),"")</f>
      </c>
      <c r="F1534" s="1" t="str">
        <f>IFERROR(VLOOKUP(B1534,'SB1'!$A$2:$C$999999,3,FALSE),"")</f>
        <v>503</v>
      </c>
      <c r="G1534" s="3" t="e">
        <f t="shared" si="51"/>
        <v>#VALUE!</v>
      </c>
      <c r="H1534" s="3" t="e">
        <f t="shared" si="52"/>
        <v>#VALUE!</v>
      </c>
      <c r="I1534" s="1">
        <v>1</v>
      </c>
    </row>
    <row r="1535" spans="1:9" x14ac:dyDescent="0.25">
      <c r="A1535" s="1" t="s">
        <v>14435</v>
      </c>
      <c r="B1535" s="1" t="s">
        <v>4255</v>
      </c>
      <c r="C1535" s="1" t="str">
        <f>IFERROR(VLOOKUP(B1535,'SB1'!$A$2:$B$999999,2,FALSE),"")</f>
        <v>ESMALTE SINTETICO TERSUAVE 2EN1 BRILLANTE GRIS PERLA X  0,250</v>
      </c>
      <c r="D1535" s="1" t="s">
        <v>14437</v>
      </c>
      <c r="E1535" s="3">
        <f>IFERROR(VLOOKUP(B1535,'DA1'!$B$2:$D$999999,3,FALSE),"")</f>
      </c>
      <c r="F1535" s="1" t="str">
        <f>IFERROR(VLOOKUP(B1535,'SB1'!$A$2:$C$999999,3,FALSE),"")</f>
        <v>503</v>
      </c>
      <c r="G1535" s="3" t="e">
        <f t="shared" si="51"/>
        <v>#VALUE!</v>
      </c>
      <c r="H1535" s="3" t="e">
        <f t="shared" si="52"/>
        <v>#VALUE!</v>
      </c>
      <c r="I1535" s="1">
        <v>1</v>
      </c>
    </row>
    <row r="1536" spans="1:9" x14ac:dyDescent="0.25">
      <c r="A1536" s="1" t="s">
        <v>14435</v>
      </c>
      <c r="B1536" s="1" t="s">
        <v>4257</v>
      </c>
      <c r="C1536" s="1" t="str">
        <f>IFERROR(VLOOKUP(B1536,'SB1'!$A$2:$B$999999,2,FALSE),"")</f>
        <v>ESMALTE SINTETICO TERSUAVE 2EN1 BRILLANTE GRIS HIELO X  0,250</v>
      </c>
      <c r="D1536" s="1" t="s">
        <v>14437</v>
      </c>
      <c r="E1536" s="3">
        <f>IFERROR(VLOOKUP(B1536,'DA1'!$B$2:$D$999999,3,FALSE),"")</f>
      </c>
      <c r="F1536" s="1" t="str">
        <f>IFERROR(VLOOKUP(B1536,'SB1'!$A$2:$C$999999,3,FALSE),"")</f>
        <v>503</v>
      </c>
      <c r="G1536" s="3" t="e">
        <f t="shared" si="51"/>
        <v>#VALUE!</v>
      </c>
      <c r="H1536" s="3" t="e">
        <f t="shared" si="52"/>
        <v>#VALUE!</v>
      </c>
      <c r="I1536" s="1">
        <v>1</v>
      </c>
    </row>
    <row r="1537" spans="1:9" x14ac:dyDescent="0.25">
      <c r="A1537" s="1" t="s">
        <v>14435</v>
      </c>
      <c r="B1537" s="1" t="s">
        <v>4259</v>
      </c>
      <c r="C1537" s="1" t="str">
        <f>IFERROR(VLOOKUP(B1537,'SB1'!$A$2:$B$999999,2,FALSE),"")</f>
        <v>ESMALTE SINTETICO TERSUAVE 2EN1 BRILLANTE VERDE INGLES X  0,250</v>
      </c>
      <c r="D1537" s="1" t="s">
        <v>14437</v>
      </c>
      <c r="E1537" s="3">
        <f>IFERROR(VLOOKUP(B1537,'DA1'!$B$2:$D$999999,3,FALSE),"")</f>
      </c>
      <c r="F1537" s="1" t="str">
        <f>IFERROR(VLOOKUP(B1537,'SB1'!$A$2:$C$999999,3,FALSE),"")</f>
        <v>503</v>
      </c>
      <c r="G1537" s="3" t="e">
        <f t="shared" si="51"/>
        <v>#VALUE!</v>
      </c>
      <c r="H1537" s="3" t="e">
        <f t="shared" si="52"/>
        <v>#VALUE!</v>
      </c>
      <c r="I1537" s="1">
        <v>1</v>
      </c>
    </row>
    <row r="1538" spans="1:9" x14ac:dyDescent="0.25">
      <c r="A1538" s="1" t="s">
        <v>14435</v>
      </c>
      <c r="B1538" s="1" t="s">
        <v>4261</v>
      </c>
      <c r="C1538" s="1" t="str">
        <f>IFERROR(VLOOKUP(B1538,'SB1'!$A$2:$B$999999,2,FALSE),"")</f>
        <v>ESMALTE POLIURETANO ALBA NEGRO X 1</v>
      </c>
      <c r="D1538" s="1" t="s">
        <v>14489</v>
      </c>
      <c r="E1538" s="3">
        <f>IFERROR(VLOOKUP(B1538,'DA1'!$B$2:$D$999999,3,FALSE),"")</f>
      </c>
      <c r="F1538" s="1" t="str">
        <f>IFERROR(VLOOKUP(B1538,'SB1'!$A$2:$C$999999,3,FALSE),"")</f>
        <v>503</v>
      </c>
      <c r="G1538" s="3" t="e">
        <f t="shared" si="51"/>
        <v>#VALUE!</v>
      </c>
      <c r="H1538" s="3" t="e">
        <f t="shared" si="52"/>
        <v>#VALUE!</v>
      </c>
      <c r="I1538" s="1">
        <v>1</v>
      </c>
    </row>
    <row r="1539" spans="1:9" x14ac:dyDescent="0.25">
      <c r="A1539" s="1" t="s">
        <v>14435</v>
      </c>
      <c r="B1539" s="1" t="s">
        <v>4263</v>
      </c>
      <c r="C1539" s="1" t="str">
        <f>IFERROR(VLOOKUP(B1539,'SB1'!$A$2:$B$999999,2,FALSE),"")</f>
        <v>ESMALTE SINTETICO TERSUAVE 2EN1 BRILLANTE AZULEJO X  0,250</v>
      </c>
      <c r="D1539" s="1" t="s">
        <v>14437</v>
      </c>
      <c r="E1539" s="3">
        <f>IFERROR(VLOOKUP(B1539,'DA1'!$B$2:$D$999999,3,FALSE),"")</f>
      </c>
      <c r="F1539" s="1" t="str">
        <f>IFERROR(VLOOKUP(B1539,'SB1'!$A$2:$C$999999,3,FALSE),"")</f>
        <v>503</v>
      </c>
      <c r="G1539" s="3" t="e">
        <f t="shared" ref="G1539:G1602" si="53">E1539*1.04</f>
        <v>#VALUE!</v>
      </c>
      <c r="H1539" s="3" t="e">
        <f t="shared" si="52"/>
        <v>#VALUE!</v>
      </c>
      <c r="I1539" s="1">
        <v>1</v>
      </c>
    </row>
    <row r="1540" spans="1:9" x14ac:dyDescent="0.25">
      <c r="A1540" s="1" t="s">
        <v>14435</v>
      </c>
      <c r="B1540" s="1" t="s">
        <v>4265</v>
      </c>
      <c r="C1540" s="1" t="str">
        <f>IFERROR(VLOOKUP(B1540,'SB1'!$A$2:$B$999999,2,FALSE),"")</f>
        <v>ESMALTE SINTETICO TERSUAVE 2EN1 BRILLANTE MARFIL CHAMPAGNE X  0,250</v>
      </c>
      <c r="D1540" s="1" t="s">
        <v>14437</v>
      </c>
      <c r="E1540" s="3">
        <f>IFERROR(VLOOKUP(B1540,'DA1'!$B$2:$D$999999,3,FALSE),"")</f>
      </c>
      <c r="F1540" s="1" t="str">
        <f>IFERROR(VLOOKUP(B1540,'SB1'!$A$2:$C$999999,3,FALSE),"")</f>
        <v>503</v>
      </c>
      <c r="G1540" s="3" t="e">
        <f t="shared" si="53"/>
        <v>#VALUE!</v>
      </c>
      <c r="H1540" s="3" t="e">
        <f t="shared" si="52"/>
        <v>#VALUE!</v>
      </c>
      <c r="I1540" s="1">
        <v>1</v>
      </c>
    </row>
    <row r="1541" spans="1:9" x14ac:dyDescent="0.25">
      <c r="A1541" s="1" t="s">
        <v>14435</v>
      </c>
      <c r="B1541" s="1" t="s">
        <v>4267</v>
      </c>
      <c r="C1541" s="1" t="str">
        <f>IFERROR(VLOOKUP(B1541,'SB1'!$A$2:$B$999999,2,FALSE),"")</f>
        <v>ESMALTE SINTETICO TERSUAVE 2EN1 BRILLANTE VERDE ILUSION X  0,250</v>
      </c>
      <c r="D1541" s="1" t="s">
        <v>14437</v>
      </c>
      <c r="E1541" s="3">
        <f>IFERROR(VLOOKUP(B1541,'DA1'!$B$2:$D$999999,3,FALSE),"")</f>
      </c>
      <c r="F1541" s="1" t="str">
        <f>IFERROR(VLOOKUP(B1541,'SB1'!$A$2:$C$999999,3,FALSE),"")</f>
        <v>503</v>
      </c>
      <c r="G1541" s="3" t="e">
        <f t="shared" si="53"/>
        <v>#VALUE!</v>
      </c>
      <c r="H1541" s="3" t="e">
        <f t="shared" si="52"/>
        <v>#VALUE!</v>
      </c>
      <c r="I1541" s="1">
        <v>1</v>
      </c>
    </row>
    <row r="1542" spans="1:9" x14ac:dyDescent="0.25">
      <c r="A1542" s="1" t="s">
        <v>14435</v>
      </c>
      <c r="B1542" s="1" t="s">
        <v>4269</v>
      </c>
      <c r="C1542" s="1" t="str">
        <f>IFERROR(VLOOKUP(B1542,'SB1'!$A$2:$B$999999,2,FALSE),"")</f>
        <v>ESMALTE POLIURETANO ALBA GRIS HIELO X 1</v>
      </c>
      <c r="D1542" s="1" t="s">
        <v>14489</v>
      </c>
      <c r="E1542" s="3">
        <f>IFERROR(VLOOKUP(B1542,'DA1'!$B$2:$D$999999,3,FALSE),"")</f>
      </c>
      <c r="F1542" s="1" t="str">
        <f>IFERROR(VLOOKUP(B1542,'SB1'!$A$2:$C$999999,3,FALSE),"")</f>
        <v>503</v>
      </c>
      <c r="G1542" s="3" t="e">
        <f t="shared" si="53"/>
        <v>#VALUE!</v>
      </c>
      <c r="H1542" s="3" t="e">
        <f t="shared" si="52"/>
        <v>#VALUE!</v>
      </c>
      <c r="I1542" s="1">
        <v>1</v>
      </c>
    </row>
    <row r="1543" spans="1:9" x14ac:dyDescent="0.25">
      <c r="A1543" s="1" t="s">
        <v>14435</v>
      </c>
      <c r="B1543" s="1" t="s">
        <v>4271</v>
      </c>
      <c r="C1543" s="1" t="str">
        <f>IFERROR(VLOOKUP(B1543,'SB1'!$A$2:$B$999999,2,FALSE),"")</f>
        <v>ESMALTE SINTETICO TERSUAVE 2EN1 BRILLANTE CREMA X  0,250</v>
      </c>
      <c r="D1543" s="1" t="s">
        <v>14437</v>
      </c>
      <c r="E1543" s="3">
        <f>IFERROR(VLOOKUP(B1543,'DA1'!$B$2:$D$999999,3,FALSE),"")</f>
      </c>
      <c r="F1543" s="1" t="str">
        <f>IFERROR(VLOOKUP(B1543,'SB1'!$A$2:$C$999999,3,FALSE),"")</f>
        <v>503</v>
      </c>
      <c r="G1543" s="3" t="e">
        <f t="shared" si="53"/>
        <v>#VALUE!</v>
      </c>
      <c r="H1543" s="3" t="e">
        <f t="shared" si="52"/>
        <v>#VALUE!</v>
      </c>
      <c r="I1543" s="1">
        <v>1</v>
      </c>
    </row>
    <row r="1544" spans="1:9" x14ac:dyDescent="0.25">
      <c r="A1544" s="1" t="s">
        <v>14435</v>
      </c>
      <c r="B1544" s="1" t="s">
        <v>4273</v>
      </c>
      <c r="C1544" s="1" t="str">
        <f>IFERROR(VLOOKUP(B1544,'SB1'!$A$2:$B$999999,2,FALSE),"")</f>
        <v>ESMALTE SINTETICO TERSUAVE 2EN1 BRILLANTE CASTANO X  0,250</v>
      </c>
      <c r="D1544" s="1" t="s">
        <v>14437</v>
      </c>
      <c r="E1544" s="3">
        <f>IFERROR(VLOOKUP(B1544,'DA1'!$B$2:$D$999999,3,FALSE),"")</f>
      </c>
      <c r="F1544" s="1" t="str">
        <f>IFERROR(VLOOKUP(B1544,'SB1'!$A$2:$C$999999,3,FALSE),"")</f>
        <v>503</v>
      </c>
      <c r="G1544" s="3" t="e">
        <f t="shared" si="53"/>
        <v>#VALUE!</v>
      </c>
      <c r="H1544" s="3" t="e">
        <f t="shared" si="52"/>
        <v>#VALUE!</v>
      </c>
      <c r="I1544" s="1">
        <v>1</v>
      </c>
    </row>
    <row r="1545" spans="1:9" x14ac:dyDescent="0.25">
      <c r="A1545" s="1" t="s">
        <v>14435</v>
      </c>
      <c r="B1545" s="1" t="s">
        <v>4275</v>
      </c>
      <c r="C1545" s="1" t="str">
        <f>IFERROR(VLOOKUP(B1545,'SB1'!$A$2:$B$999999,2,FALSE),"")</f>
        <v>ESMALTE SINTETICO TERSUAVE 2EN1 BRILLANTE VERDE NOCHE X  0,250</v>
      </c>
      <c r="D1545" s="1" t="s">
        <v>14437</v>
      </c>
      <c r="E1545" s="3">
        <f>IFERROR(VLOOKUP(B1545,'DA1'!$B$2:$D$999999,3,FALSE),"")</f>
      </c>
      <c r="F1545" s="1" t="str">
        <f>IFERROR(VLOOKUP(B1545,'SB1'!$A$2:$C$999999,3,FALSE),"")</f>
        <v>503</v>
      </c>
      <c r="G1545" s="3" t="e">
        <f t="shared" si="53"/>
        <v>#VALUE!</v>
      </c>
      <c r="H1545" s="3" t="e">
        <f t="shared" si="52"/>
        <v>#VALUE!</v>
      </c>
      <c r="I1545" s="1">
        <v>1</v>
      </c>
    </row>
    <row r="1546" spans="1:9" x14ac:dyDescent="0.25">
      <c r="A1546" s="1" t="s">
        <v>14435</v>
      </c>
      <c r="B1546" s="1" t="s">
        <v>4281</v>
      </c>
      <c r="C1546" s="1" t="str">
        <f>IFERROR(VLOOKUP(B1546,'SB1'!$A$2:$B$999999,2,FALSE),"")</f>
        <v>ESMALTE SINTETICO TERSUAVE 2EN1 BRILLANTE TRAFUL X  0,250</v>
      </c>
      <c r="D1546" s="1" t="s">
        <v>14437</v>
      </c>
      <c r="E1546" s="3">
        <f>IFERROR(VLOOKUP(B1546,'DA1'!$B$2:$D$999999,3,FALSE),"")</f>
      </c>
      <c r="F1546" s="1" t="str">
        <f>IFERROR(VLOOKUP(B1546,'SB1'!$A$2:$C$999999,3,FALSE),"")</f>
        <v>503</v>
      </c>
      <c r="G1546" s="3" t="e">
        <f t="shared" si="53"/>
        <v>#VALUE!</v>
      </c>
      <c r="H1546" s="3" t="e">
        <f t="shared" si="52"/>
        <v>#VALUE!</v>
      </c>
      <c r="I1546" s="1">
        <v>1</v>
      </c>
    </row>
    <row r="1547" spans="1:9" x14ac:dyDescent="0.25">
      <c r="A1547" s="1" t="s">
        <v>14435</v>
      </c>
      <c r="B1547" s="1" t="s">
        <v>4283</v>
      </c>
      <c r="C1547" s="1" t="str">
        <f>IFERROR(VLOOKUP(B1547,'SB1'!$A$2:$B$999999,2,FALSE),"")</f>
        <v>ESMALTE POLIURETANO ALBA VERDE INGLES X 1</v>
      </c>
      <c r="D1547" s="1" t="s">
        <v>14489</v>
      </c>
      <c r="E1547" s="3">
        <f>IFERROR(VLOOKUP(B1547,'DA1'!$B$2:$D$999999,3,FALSE),"")</f>
      </c>
      <c r="F1547" s="1" t="str">
        <f>IFERROR(VLOOKUP(B1547,'SB1'!$A$2:$C$999999,3,FALSE),"")</f>
        <v>503</v>
      </c>
      <c r="G1547" s="3" t="e">
        <f t="shared" si="53"/>
        <v>#VALUE!</v>
      </c>
      <c r="H1547" s="3" t="e">
        <f t="shared" si="52"/>
        <v>#VALUE!</v>
      </c>
      <c r="I1547" s="1">
        <v>1</v>
      </c>
    </row>
    <row r="1548" spans="1:9" x14ac:dyDescent="0.25">
      <c r="A1548" s="1" t="s">
        <v>14435</v>
      </c>
      <c r="B1548" s="1" t="s">
        <v>4285</v>
      </c>
      <c r="C1548" s="1" t="str">
        <f>IFERROR(VLOOKUP(B1548,'SB1'!$A$2:$B$999999,2,FALSE),"")</f>
        <v>ESMALTE SINTETICO TERSUAVE 2EN1 BRILLANTE AZUL X  0,250</v>
      </c>
      <c r="D1548" s="1" t="s">
        <v>14437</v>
      </c>
      <c r="E1548" s="3">
        <f>IFERROR(VLOOKUP(B1548,'DA1'!$B$2:$D$999999,3,FALSE),"")</f>
      </c>
      <c r="F1548" s="1" t="str">
        <f>IFERROR(VLOOKUP(B1548,'SB1'!$A$2:$C$999999,3,FALSE),"")</f>
        <v>503</v>
      </c>
      <c r="G1548" s="3" t="e">
        <f t="shared" si="53"/>
        <v>#VALUE!</v>
      </c>
      <c r="H1548" s="3" t="e">
        <f t="shared" si="52"/>
        <v>#VALUE!</v>
      </c>
      <c r="I1548" s="1">
        <v>1</v>
      </c>
    </row>
    <row r="1549" spans="1:9" x14ac:dyDescent="0.25">
      <c r="A1549" s="1" t="s">
        <v>14435</v>
      </c>
      <c r="B1549" s="1" t="s">
        <v>4289</v>
      </c>
      <c r="C1549" s="1" t="str">
        <f>IFERROR(VLOOKUP(B1549,'SB1'!$A$2:$B$999999,2,FALSE),"")</f>
        <v>ESMALTE POLIURETANO ALBA BERMELLON X 1</v>
      </c>
      <c r="D1549" s="1" t="s">
        <v>14489</v>
      </c>
      <c r="E1549" s="3">
        <f>IFERROR(VLOOKUP(B1549,'DA1'!$B$2:$D$999999,3,FALSE),"")</f>
      </c>
      <c r="F1549" s="1" t="str">
        <f>IFERROR(VLOOKUP(B1549,'SB1'!$A$2:$C$999999,3,FALSE),"")</f>
        <v>503</v>
      </c>
      <c r="G1549" s="3" t="e">
        <f t="shared" si="53"/>
        <v>#VALUE!</v>
      </c>
      <c r="H1549" s="3" t="e">
        <f t="shared" si="52"/>
        <v>#VALUE!</v>
      </c>
      <c r="I1549" s="1">
        <v>1</v>
      </c>
    </row>
    <row r="1550" spans="1:9" x14ac:dyDescent="0.25">
      <c r="A1550" s="1" t="s">
        <v>14435</v>
      </c>
      <c r="B1550" s="1" t="s">
        <v>4291</v>
      </c>
      <c r="C1550" s="1" t="str">
        <f>IFERROR(VLOOKUP(B1550,'SB1'!$A$2:$B$999999,2,FALSE),"")</f>
        <v>ESMALTE POLIURETANO ALBA AMARILLO X  1</v>
      </c>
      <c r="D1550" s="1" t="s">
        <v>14489</v>
      </c>
      <c r="E1550" s="3">
        <f>IFERROR(VLOOKUP(B1550,'DA1'!$B$2:$D$999999,3,FALSE),"")</f>
      </c>
      <c r="F1550" s="1" t="str">
        <f>IFERROR(VLOOKUP(B1550,'SB1'!$A$2:$C$999999,3,FALSE),"")</f>
        <v>503</v>
      </c>
      <c r="G1550" s="3" t="e">
        <f t="shared" si="53"/>
        <v>#VALUE!</v>
      </c>
      <c r="H1550" s="3" t="e">
        <f t="shared" si="52"/>
        <v>#VALUE!</v>
      </c>
      <c r="I1550" s="1">
        <v>1</v>
      </c>
    </row>
    <row r="1551" spans="1:9" x14ac:dyDescent="0.25">
      <c r="A1551" s="1" t="s">
        <v>14435</v>
      </c>
      <c r="B1551" s="1" t="s">
        <v>4293</v>
      </c>
      <c r="C1551" s="1" t="str">
        <f>IFERROR(VLOOKUP(B1551,'SB1'!$A$2:$B$999999,2,FALSE),"")</f>
        <v>ESMALTE SINTETICO TERSUAVE 2EN1 BRILLANTE TABACO X  0,250</v>
      </c>
      <c r="D1551" s="1" t="s">
        <v>14437</v>
      </c>
      <c r="E1551" s="3">
        <f>IFERROR(VLOOKUP(B1551,'DA1'!$B$2:$D$999999,3,FALSE),"")</f>
      </c>
      <c r="F1551" s="1" t="str">
        <f>IFERROR(VLOOKUP(B1551,'SB1'!$A$2:$C$999999,3,FALSE),"")</f>
        <v>503</v>
      </c>
      <c r="G1551" s="3" t="e">
        <f t="shared" si="53"/>
        <v>#VALUE!</v>
      </c>
      <c r="H1551" s="3" t="e">
        <f t="shared" si="52"/>
        <v>#VALUE!</v>
      </c>
      <c r="I1551" s="1">
        <v>1</v>
      </c>
    </row>
    <row r="1552" spans="1:9" x14ac:dyDescent="0.25">
      <c r="A1552" s="1" t="s">
        <v>14435</v>
      </c>
      <c r="B1552" s="1" t="s">
        <v>4299</v>
      </c>
      <c r="C1552" s="1" t="str">
        <f>IFERROR(VLOOKUP(B1552,'SB1'!$A$2:$B$999999,2,FALSE),"")</f>
        <v>ESMALTE SINTETICO TERSUAVE 2EN1 BRILLANTE VIOLETA X 0,250</v>
      </c>
      <c r="D1552" s="1" t="s">
        <v>14437</v>
      </c>
      <c r="E1552" s="3">
        <f>IFERROR(VLOOKUP(B1552,'DA1'!$B$2:$D$999999,3,FALSE),"")</f>
      </c>
      <c r="F1552" s="1" t="str">
        <f>IFERROR(VLOOKUP(B1552,'SB1'!$A$2:$C$999999,3,FALSE),"")</f>
        <v>503</v>
      </c>
      <c r="G1552" s="3" t="e">
        <f t="shared" si="53"/>
        <v>#VALUE!</v>
      </c>
      <c r="H1552" s="3" t="e">
        <f t="shared" si="52"/>
        <v>#VALUE!</v>
      </c>
      <c r="I1552" s="1">
        <v>1</v>
      </c>
    </row>
    <row r="1553" spans="1:9" x14ac:dyDescent="0.25">
      <c r="A1553" s="1" t="s">
        <v>14435</v>
      </c>
      <c r="B1553" s="1" t="s">
        <v>4311</v>
      </c>
      <c r="C1553" s="1" t="str">
        <f>IFERROR(VLOOKUP(B1553,'SB1'!$A$2:$B$999999,2,FALSE),"")</f>
        <v>ESMALTE SINTETICO TERSUAVE 2EN1 BRILLANTE AMAR.MED. X  0,250</v>
      </c>
      <c r="D1553" s="1" t="s">
        <v>14437</v>
      </c>
      <c r="E1553" s="3">
        <f>IFERROR(VLOOKUP(B1553,'DA1'!$B$2:$D$999999,3,FALSE),"")</f>
      </c>
      <c r="F1553" s="1" t="str">
        <f>IFERROR(VLOOKUP(B1553,'SB1'!$A$2:$C$999999,3,FALSE),"")</f>
        <v>503</v>
      </c>
      <c r="G1553" s="3" t="e">
        <f t="shared" si="53"/>
        <v>#VALUE!</v>
      </c>
      <c r="H1553" s="3" t="e">
        <f t="shared" si="52"/>
        <v>#VALUE!</v>
      </c>
      <c r="I1553" s="1">
        <v>1</v>
      </c>
    </row>
    <row r="1554" spans="1:9" x14ac:dyDescent="0.25">
      <c r="A1554" s="1" t="s">
        <v>14435</v>
      </c>
      <c r="B1554" s="1" t="s">
        <v>4323</v>
      </c>
      <c r="C1554" s="1" t="str">
        <f>IFERROR(VLOOKUP(B1554,'SB1'!$A$2:$B$999999,2,FALSE),"")</f>
        <v>LATEX INTERIOR/EXTERIOR ALBA CONSTRUCTOR MATE BLANCO X  1</v>
      </c>
      <c r="D1554" s="1" t="s">
        <v>14441</v>
      </c>
      <c r="E1554" s="3">
        <f>IFERROR(VLOOKUP(B1554,'DA1'!$B$2:$D$999999,3,FALSE),"")</f>
      </c>
      <c r="F1554" s="1" t="str">
        <f>IFERROR(VLOOKUP(B1554,'SB1'!$A$2:$C$999999,3,FALSE),"")</f>
        <v>503</v>
      </c>
      <c r="G1554" s="3" t="e">
        <f t="shared" si="53"/>
        <v>#VALUE!</v>
      </c>
      <c r="H1554" s="3" t="e">
        <f t="shared" si="52"/>
        <v>#VALUE!</v>
      </c>
      <c r="I1554" s="1">
        <v>1</v>
      </c>
    </row>
    <row r="1555" spans="1:9" x14ac:dyDescent="0.25">
      <c r="A1555" s="1" t="s">
        <v>14435</v>
      </c>
      <c r="B1555" s="1" t="s">
        <v>4325</v>
      </c>
      <c r="C1555" s="1" t="str">
        <f>IFERROR(VLOOKUP(B1555,'SB1'!$A$2:$B$999999,2,FALSE),"")</f>
        <v>LATEX INTERIOR/EXTERIOR ALBA CONSTRUCTOR MATE BLANCO X  4</v>
      </c>
      <c r="D1555" s="1" t="s">
        <v>14441</v>
      </c>
      <c r="E1555" s="3">
        <f>IFERROR(VLOOKUP(B1555,'DA1'!$B$2:$D$999999,3,FALSE),"")</f>
      </c>
      <c r="F1555" s="1" t="str">
        <f>IFERROR(VLOOKUP(B1555,'SB1'!$A$2:$C$999999,3,FALSE),"")</f>
        <v>503</v>
      </c>
      <c r="G1555" s="3" t="e">
        <f t="shared" si="53"/>
        <v>#VALUE!</v>
      </c>
      <c r="H1555" s="3" t="e">
        <f t="shared" si="52"/>
        <v>#VALUE!</v>
      </c>
      <c r="I1555" s="1">
        <v>1</v>
      </c>
    </row>
    <row r="1556" spans="1:9" x14ac:dyDescent="0.25">
      <c r="A1556" s="1" t="s">
        <v>14435</v>
      </c>
      <c r="B1556" s="1" t="s">
        <v>4327</v>
      </c>
      <c r="C1556" s="1" t="str">
        <f>IFERROR(VLOOKUP(B1556,'SB1'!$A$2:$B$999999,2,FALSE),"")</f>
        <v>LATEX INTERIOR/EXTERIOR ALBA CONSTRUCTOR MATE BLANCO X 10</v>
      </c>
      <c r="D1556" s="1" t="s">
        <v>14441</v>
      </c>
      <c r="E1556" s="3">
        <f>IFERROR(VLOOKUP(B1556,'DA1'!$B$2:$D$999999,3,FALSE),"")</f>
      </c>
      <c r="F1556" s="1" t="str">
        <f>IFERROR(VLOOKUP(B1556,'SB1'!$A$2:$C$999999,3,FALSE),"")</f>
        <v>503</v>
      </c>
      <c r="G1556" s="3" t="e">
        <f t="shared" si="53"/>
        <v>#VALUE!</v>
      </c>
      <c r="H1556" s="3" t="e">
        <f t="shared" si="52"/>
        <v>#VALUE!</v>
      </c>
      <c r="I1556" s="1">
        <v>1</v>
      </c>
    </row>
    <row r="1557" spans="1:9" x14ac:dyDescent="0.25">
      <c r="A1557" s="1" t="s">
        <v>14435</v>
      </c>
      <c r="B1557" s="1" t="s">
        <v>4329</v>
      </c>
      <c r="C1557" s="1" t="str">
        <f>IFERROR(VLOOKUP(B1557,'SB1'!$A$2:$B$999999,2,FALSE),"")</f>
        <v>LATEX INTERIOR/EXTERIOR ALBA CONSTRUCTOR MATE BLANCO X 20</v>
      </c>
      <c r="D1557" s="1" t="s">
        <v>14441</v>
      </c>
      <c r="E1557" s="3">
        <f>IFERROR(VLOOKUP(B1557,'DA1'!$B$2:$D$999999,3,FALSE),"")</f>
      </c>
      <c r="F1557" s="1" t="str">
        <f>IFERROR(VLOOKUP(B1557,'SB1'!$A$2:$C$999999,3,FALSE),"")</f>
        <v>503</v>
      </c>
      <c r="G1557" s="3" t="e">
        <f t="shared" si="53"/>
        <v>#VALUE!</v>
      </c>
      <c r="H1557" s="3" t="e">
        <f t="shared" si="52"/>
        <v>#VALUE!</v>
      </c>
      <c r="I1557" s="1">
        <v>1</v>
      </c>
    </row>
    <row r="1558" spans="1:9" x14ac:dyDescent="0.25">
      <c r="A1558" s="1" t="s">
        <v>14435</v>
      </c>
      <c r="B1558" s="1" t="s">
        <v>4337</v>
      </c>
      <c r="C1558" s="1" t="str">
        <f>IFERROR(VLOOKUP(B1558,'SB1'!$A$2:$B$999999,2,FALSE),"")</f>
        <v>ESCALERA DE ALUMINIO SIN FIN FAMILIAR 3</v>
      </c>
      <c r="D1558" s="1" t="s">
        <v>14471</v>
      </c>
      <c r="E1558" s="3">
        <f>IFERROR(VLOOKUP(B1558,'DA1'!$B$2:$D$999999,3,FALSE),"")</f>
      </c>
      <c r="F1558" s="1" t="str">
        <f>IFERROR(VLOOKUP(B1558,'SB1'!$A$2:$C$999999,3,FALSE),"")</f>
        <v>503</v>
      </c>
      <c r="G1558" s="3" t="e">
        <f t="shared" si="53"/>
        <v>#VALUE!</v>
      </c>
      <c r="H1558" s="3" t="e">
        <f t="shared" si="52"/>
        <v>#VALUE!</v>
      </c>
      <c r="I1558" s="1">
        <v>2</v>
      </c>
    </row>
    <row r="1559" spans="1:9" x14ac:dyDescent="0.25">
      <c r="A1559" s="1" t="s">
        <v>14435</v>
      </c>
      <c r="B1559" s="1" t="s">
        <v>4339</v>
      </c>
      <c r="C1559" s="1" t="str">
        <f>IFERROR(VLOOKUP(B1559,'SB1'!$A$2:$B$999999,2,FALSE),"")</f>
        <v>ESCALERA DE ALUMINIO SIN FIN FAMILIAR 4</v>
      </c>
      <c r="D1559" s="1" t="s">
        <v>14471</v>
      </c>
      <c r="E1559" s="3">
        <f>IFERROR(VLOOKUP(B1559,'DA1'!$B$2:$D$999999,3,FALSE),"")</f>
      </c>
      <c r="F1559" s="1" t="str">
        <f>IFERROR(VLOOKUP(B1559,'SB1'!$A$2:$C$999999,3,FALSE),"")</f>
        <v>503</v>
      </c>
      <c r="G1559" s="3" t="e">
        <f t="shared" si="53"/>
        <v>#VALUE!</v>
      </c>
      <c r="H1559" s="3" t="e">
        <f t="shared" si="52"/>
        <v>#VALUE!</v>
      </c>
      <c r="I1559" s="1">
        <v>2</v>
      </c>
    </row>
    <row r="1560" spans="1:9" x14ac:dyDescent="0.25">
      <c r="A1560" s="1" t="s">
        <v>14435</v>
      </c>
      <c r="B1560" s="1" t="s">
        <v>4341</v>
      </c>
      <c r="C1560" s="1" t="str">
        <f>IFERROR(VLOOKUP(B1560,'SB1'!$A$2:$B$999999,2,FALSE),"")</f>
        <v>ESCALERA DE ALUMINIO SIN FIN FAMILIAR 5</v>
      </c>
      <c r="D1560" s="1" t="s">
        <v>14471</v>
      </c>
      <c r="E1560" s="3">
        <f>IFERROR(VLOOKUP(B1560,'DA1'!$B$2:$D$999999,3,FALSE),"")</f>
      </c>
      <c r="F1560" s="1" t="str">
        <f>IFERROR(VLOOKUP(B1560,'SB1'!$A$2:$C$999999,3,FALSE),"")</f>
        <v>503</v>
      </c>
      <c r="G1560" s="3" t="e">
        <f t="shared" si="53"/>
        <v>#VALUE!</v>
      </c>
      <c r="H1560" s="3" t="e">
        <f t="shared" si="52"/>
        <v>#VALUE!</v>
      </c>
      <c r="I1560" s="1">
        <v>2</v>
      </c>
    </row>
    <row r="1561" spans="1:9" x14ac:dyDescent="0.25">
      <c r="A1561" s="1" t="s">
        <v>14435</v>
      </c>
      <c r="B1561" s="1" t="s">
        <v>4343</v>
      </c>
      <c r="C1561" s="1" t="str">
        <f>IFERROR(VLOOKUP(B1561,'SB1'!$A$2:$B$999999,2,FALSE),"")</f>
        <v>ESCALERA DE ALUMINIO SIN FIN FAMILIAR 6</v>
      </c>
      <c r="D1561" s="1" t="s">
        <v>14471</v>
      </c>
      <c r="E1561" s="3">
        <f>IFERROR(VLOOKUP(B1561,'DA1'!$B$2:$D$999999,3,FALSE),"")</f>
      </c>
      <c r="F1561" s="1" t="str">
        <f>IFERROR(VLOOKUP(B1561,'SB1'!$A$2:$C$999999,3,FALSE),"")</f>
        <v>503</v>
      </c>
      <c r="G1561" s="3" t="e">
        <f t="shared" si="53"/>
        <v>#VALUE!</v>
      </c>
      <c r="H1561" s="3" t="e">
        <f t="shared" si="52"/>
        <v>#VALUE!</v>
      </c>
      <c r="I1561" s="1">
        <v>2</v>
      </c>
    </row>
    <row r="1562" spans="1:9" x14ac:dyDescent="0.25">
      <c r="A1562" s="1" t="s">
        <v>14435</v>
      </c>
      <c r="B1562" s="1" t="s">
        <v>4345</v>
      </c>
      <c r="C1562" s="1" t="str">
        <f>IFERROR(VLOOKUP(B1562,'SB1'!$A$2:$B$999999,2,FALSE),"")</f>
        <v>ESCALERA DE ALUMINIO SIN FIN FAMILIAR 7</v>
      </c>
      <c r="D1562" s="1" t="s">
        <v>14471</v>
      </c>
      <c r="E1562" s="3">
        <f>IFERROR(VLOOKUP(B1562,'DA1'!$B$2:$D$999999,3,FALSE),"")</f>
      </c>
      <c r="F1562" s="1" t="str">
        <f>IFERROR(VLOOKUP(B1562,'SB1'!$A$2:$C$999999,3,FALSE),"")</f>
        <v>503</v>
      </c>
      <c r="G1562" s="3" t="e">
        <f t="shared" si="53"/>
        <v>#VALUE!</v>
      </c>
      <c r="H1562" s="3" t="e">
        <f t="shared" si="52"/>
        <v>#VALUE!</v>
      </c>
      <c r="I1562" s="1">
        <v>2</v>
      </c>
    </row>
    <row r="1563" spans="1:9" x14ac:dyDescent="0.25">
      <c r="A1563" s="1" t="s">
        <v>14435</v>
      </c>
      <c r="B1563" s="1" t="s">
        <v>4347</v>
      </c>
      <c r="C1563" s="1" t="str">
        <f>IFERROR(VLOOKUP(B1563,'SB1'!$A$2:$B$999999,2,FALSE),"")</f>
        <v>ESCALERA DE ALUMINIO SIN FIN FAMILIAR 8</v>
      </c>
      <c r="D1563" s="1" t="s">
        <v>14471</v>
      </c>
      <c r="E1563" s="3">
        <f>IFERROR(VLOOKUP(B1563,'DA1'!$B$2:$D$999999,3,FALSE),"")</f>
      </c>
      <c r="F1563" s="1" t="str">
        <f>IFERROR(VLOOKUP(B1563,'SB1'!$A$2:$C$999999,3,FALSE),"")</f>
        <v>503</v>
      </c>
      <c r="G1563" s="3" t="e">
        <f t="shared" si="53"/>
        <v>#VALUE!</v>
      </c>
      <c r="H1563" s="3" t="e">
        <f t="shared" si="52"/>
        <v>#VALUE!</v>
      </c>
      <c r="I1563" s="1">
        <v>2</v>
      </c>
    </row>
    <row r="1564" spans="1:9" x14ac:dyDescent="0.25">
      <c r="A1564" s="1" t="s">
        <v>14435</v>
      </c>
      <c r="B1564" s="1" t="s">
        <v>4349</v>
      </c>
      <c r="C1564" s="1" t="str">
        <f>IFERROR(VLOOKUP(B1564,'SB1'!$A$2:$B$999999,2,FALSE),"")</f>
        <v>ESCALERA DE ALUMINIO SIN FIN FAMILIAR 9</v>
      </c>
      <c r="D1564" s="1" t="s">
        <v>14471</v>
      </c>
      <c r="E1564" s="3">
        <f>IFERROR(VLOOKUP(B1564,'DA1'!$B$2:$D$999999,3,FALSE),"")</f>
      </c>
      <c r="F1564" s="1" t="str">
        <f>IFERROR(VLOOKUP(B1564,'SB1'!$A$2:$C$999999,3,FALSE),"")</f>
        <v>503</v>
      </c>
      <c r="G1564" s="3" t="e">
        <f t="shared" si="53"/>
        <v>#VALUE!</v>
      </c>
      <c r="H1564" s="3" t="e">
        <f t="shared" si="52"/>
        <v>#VALUE!</v>
      </c>
      <c r="I1564" s="1">
        <v>2</v>
      </c>
    </row>
    <row r="1565" spans="1:9" x14ac:dyDescent="0.25">
      <c r="A1565" s="1" t="s">
        <v>14435</v>
      </c>
      <c r="B1565" s="1" t="s">
        <v>4351</v>
      </c>
      <c r="C1565" s="1" t="str">
        <f>IFERROR(VLOOKUP(B1565,'SB1'!$A$2:$B$999999,2,FALSE),"")</f>
        <v>ESCALERA DE ALUMINIO SIN FIN FAMILIAR 10</v>
      </c>
      <c r="D1565" s="1" t="s">
        <v>14471</v>
      </c>
      <c r="E1565" s="3">
        <f>IFERROR(VLOOKUP(B1565,'DA1'!$B$2:$D$999999,3,FALSE),"")</f>
      </c>
      <c r="F1565" s="1" t="str">
        <f>IFERROR(VLOOKUP(B1565,'SB1'!$A$2:$C$999999,3,FALSE),"")</f>
        <v>503</v>
      </c>
      <c r="G1565" s="3" t="e">
        <f t="shared" si="53"/>
        <v>#VALUE!</v>
      </c>
      <c r="H1565" s="3" t="e">
        <f t="shared" si="52"/>
        <v>#VALUE!</v>
      </c>
      <c r="I1565" s="1">
        <v>2</v>
      </c>
    </row>
    <row r="1566" spans="1:9" x14ac:dyDescent="0.25">
      <c r="A1566" s="1" t="s">
        <v>14435</v>
      </c>
      <c r="B1566" s="1" t="s">
        <v>4363</v>
      </c>
      <c r="C1566" s="1" t="str">
        <f>IFERROR(VLOOKUP(B1566,'SB1'!$A$2:$B$999999,2,FALSE),"")</f>
        <v>ESMALTE AL AGUA SATINOL SATINADO BLANCO X  0,500</v>
      </c>
      <c r="D1566" s="1" t="s">
        <v>14441</v>
      </c>
      <c r="E1566" s="3">
        <f>IFERROR(VLOOKUP(B1566,'DA1'!$B$2:$D$999999,3,FALSE),"")</f>
      </c>
      <c r="F1566" s="1" t="str">
        <f>IFERROR(VLOOKUP(B1566,'SB1'!$A$2:$C$999999,3,FALSE),"")</f>
        <v>503</v>
      </c>
      <c r="G1566" s="3" t="e">
        <f t="shared" si="53"/>
        <v>#VALUE!</v>
      </c>
      <c r="H1566" s="3" t="e">
        <f t="shared" si="52"/>
        <v>#VALUE!</v>
      </c>
      <c r="I1566" s="1">
        <v>1</v>
      </c>
    </row>
    <row r="1567" spans="1:9" x14ac:dyDescent="0.25">
      <c r="A1567" s="1" t="s">
        <v>14435</v>
      </c>
      <c r="B1567" s="1" t="s">
        <v>4365</v>
      </c>
      <c r="C1567" s="1" t="str">
        <f>IFERROR(VLOOKUP(B1567,'SB1'!$A$2:$B$999999,2,FALSE),"")</f>
        <v>ESMALTE AL AGUA SATINOL SATINADO BLANCO X  1</v>
      </c>
      <c r="D1567" s="1" t="s">
        <v>14441</v>
      </c>
      <c r="E1567" s="3">
        <f>IFERROR(VLOOKUP(B1567,'DA1'!$B$2:$D$999999,3,FALSE),"")</f>
      </c>
      <c r="F1567" s="1" t="str">
        <f>IFERROR(VLOOKUP(B1567,'SB1'!$A$2:$C$999999,3,FALSE),"")</f>
        <v>503</v>
      </c>
      <c r="G1567" s="3" t="e">
        <f t="shared" si="53"/>
        <v>#VALUE!</v>
      </c>
      <c r="H1567" s="3" t="e">
        <f t="shared" si="52"/>
        <v>#VALUE!</v>
      </c>
      <c r="I1567" s="1">
        <v>1</v>
      </c>
    </row>
    <row r="1568" spans="1:9" x14ac:dyDescent="0.25">
      <c r="A1568" s="1" t="s">
        <v>14435</v>
      </c>
      <c r="B1568" s="1" t="s">
        <v>4367</v>
      </c>
      <c r="C1568" s="1" t="str">
        <f>IFERROR(VLOOKUP(B1568,'SB1'!$A$2:$B$999999,2,FALSE),"")</f>
        <v>ESMALTE AL AGUA SATINOL SATINADO BLANCO X  4</v>
      </c>
      <c r="D1568" s="1" t="s">
        <v>14441</v>
      </c>
      <c r="E1568" s="3">
        <f>IFERROR(VLOOKUP(B1568,'DA1'!$B$2:$D$999999,3,FALSE),"")</f>
      </c>
      <c r="F1568" s="1" t="str">
        <f>IFERROR(VLOOKUP(B1568,'SB1'!$A$2:$C$999999,3,FALSE),"")</f>
        <v>503</v>
      </c>
      <c r="G1568" s="3" t="e">
        <f t="shared" si="53"/>
        <v>#VALUE!</v>
      </c>
      <c r="H1568" s="3" t="e">
        <f t="shared" si="52"/>
        <v>#VALUE!</v>
      </c>
      <c r="I1568" s="1">
        <v>1</v>
      </c>
    </row>
    <row r="1569" spans="1:9" x14ac:dyDescent="0.25">
      <c r="A1569" s="1" t="s">
        <v>14435</v>
      </c>
      <c r="B1569" s="1" t="s">
        <v>4371</v>
      </c>
      <c r="C1569" s="1" t="str">
        <f>IFERROR(VLOOKUP(B1569,'SB1'!$A$2:$B$999999,2,FALSE),"")</f>
        <v>ESMALTE AL AGUA SATINOL SATINADO NEGRO X  0,500</v>
      </c>
      <c r="D1569" s="1" t="s">
        <v>14441</v>
      </c>
      <c r="E1569" s="3">
        <f>IFERROR(VLOOKUP(B1569,'DA1'!$B$2:$D$999999,3,FALSE),"")</f>
      </c>
      <c r="F1569" s="1" t="str">
        <f>IFERROR(VLOOKUP(B1569,'SB1'!$A$2:$C$999999,3,FALSE),"")</f>
        <v>503</v>
      </c>
      <c r="G1569" s="3" t="e">
        <f t="shared" si="53"/>
        <v>#VALUE!</v>
      </c>
      <c r="H1569" s="3" t="e">
        <f t="shared" si="52"/>
        <v>#VALUE!</v>
      </c>
      <c r="I1569" s="1">
        <v>1</v>
      </c>
    </row>
    <row r="1570" spans="1:9" x14ac:dyDescent="0.25">
      <c r="A1570" s="1" t="s">
        <v>14435</v>
      </c>
      <c r="B1570" s="1" t="s">
        <v>4373</v>
      </c>
      <c r="C1570" s="1" t="str">
        <f>IFERROR(VLOOKUP(B1570,'SB1'!$A$2:$B$999999,2,FALSE),"")</f>
        <v>ESMALTE AL AGUA SATINOL SATINADO NEGRO X  1</v>
      </c>
      <c r="D1570" s="1" t="s">
        <v>14441</v>
      </c>
      <c r="E1570" s="3">
        <f>IFERROR(VLOOKUP(B1570,'DA1'!$B$2:$D$999999,3,FALSE),"")</f>
      </c>
      <c r="F1570" s="1" t="str">
        <f>IFERROR(VLOOKUP(B1570,'SB1'!$A$2:$C$999999,3,FALSE),"")</f>
        <v>503</v>
      </c>
      <c r="G1570" s="3" t="e">
        <f t="shared" si="53"/>
        <v>#VALUE!</v>
      </c>
      <c r="H1570" s="3" t="e">
        <f t="shared" si="52"/>
        <v>#VALUE!</v>
      </c>
      <c r="I1570" s="1">
        <v>1</v>
      </c>
    </row>
    <row r="1571" spans="1:9" x14ac:dyDescent="0.25">
      <c r="A1571" s="1" t="s">
        <v>14435</v>
      </c>
      <c r="B1571" s="1" t="s">
        <v>4375</v>
      </c>
      <c r="C1571" s="1" t="str">
        <f>IFERROR(VLOOKUP(B1571,'SB1'!$A$2:$B$999999,2,FALSE),"")</f>
        <v>ESMALTE AL AGUA SATINOL SATINADO NEGRO X  4</v>
      </c>
      <c r="D1571" s="1" t="s">
        <v>14441</v>
      </c>
      <c r="E1571" s="3">
        <f>IFERROR(VLOOKUP(B1571,'DA1'!$B$2:$D$999999,3,FALSE),"")</f>
      </c>
      <c r="F1571" s="1" t="str">
        <f>IFERROR(VLOOKUP(B1571,'SB1'!$A$2:$C$999999,3,FALSE),"")</f>
        <v>503</v>
      </c>
      <c r="G1571" s="3" t="e">
        <f t="shared" si="53"/>
        <v>#VALUE!</v>
      </c>
      <c r="H1571" s="3" t="e">
        <f t="shared" ref="H1571:H1634" si="54">G1571*1.21</f>
        <v>#VALUE!</v>
      </c>
      <c r="I1571" s="1">
        <v>1</v>
      </c>
    </row>
    <row r="1572" spans="1:9" x14ac:dyDescent="0.25">
      <c r="A1572" s="1" t="s">
        <v>14435</v>
      </c>
      <c r="B1572" s="1" t="s">
        <v>4379</v>
      </c>
      <c r="C1572" s="1" t="str">
        <f>IFERROR(VLOOKUP(B1572,'SB1'!$A$2:$B$999999,2,FALSE),"")</f>
        <v>ESMALTE AL AGUA SATINOL SATINADO BLANCO X 20</v>
      </c>
      <c r="D1572" s="1" t="s">
        <v>14441</v>
      </c>
      <c r="E1572" s="3">
        <f>IFERROR(VLOOKUP(B1572,'DA1'!$B$2:$D$999999,3,FALSE),"")</f>
      </c>
      <c r="F1572" s="1" t="str">
        <f>IFERROR(VLOOKUP(B1572,'SB1'!$A$2:$C$999999,3,FALSE),"")</f>
        <v>503</v>
      </c>
      <c r="G1572" s="3" t="e">
        <f t="shared" si="53"/>
        <v>#VALUE!</v>
      </c>
      <c r="H1572" s="3" t="e">
        <f t="shared" si="54"/>
        <v>#VALUE!</v>
      </c>
      <c r="I1572" s="1">
        <v>1</v>
      </c>
    </row>
    <row r="1573" spans="1:9" x14ac:dyDescent="0.25">
      <c r="A1573" s="1" t="s">
        <v>14435</v>
      </c>
      <c r="B1573" s="1" t="s">
        <v>4381</v>
      </c>
      <c r="C1573" s="1" t="str">
        <f>IFERROR(VLOOKUP(B1573,'SB1'!$A$2:$B$999999,2,FALSE),"")</f>
        <v>LACA NITROSINTETICA MMB BLANCO PURO X 1</v>
      </c>
      <c r="D1573" s="1" t="s">
        <v>14444</v>
      </c>
      <c r="E1573" s="3">
        <f>IFERROR(VLOOKUP(B1573,'DA1'!$B$2:$D$999999,3,FALSE),"")</f>
      </c>
      <c r="F1573" s="1" t="str">
        <f>IFERROR(VLOOKUP(B1573,'SB1'!$A$2:$C$999999,3,FALSE),"")</f>
        <v>503</v>
      </c>
      <c r="G1573" s="3" t="e">
        <f t="shared" si="53"/>
        <v>#VALUE!</v>
      </c>
      <c r="H1573" s="3" t="e">
        <f t="shared" si="54"/>
        <v>#VALUE!</v>
      </c>
      <c r="I1573" s="1">
        <v>1</v>
      </c>
    </row>
    <row r="1574" spans="1:8" x14ac:dyDescent="0.25">
      <c r="A1574" s="1" t="s">
        <v>14435</v>
      </c>
      <c r="B1574" s="1" t="s">
        <v>4383</v>
      </c>
      <c r="C1574" s="1" t="str">
        <f>IFERROR(VLOOKUP(B1574,'SB1'!$A$2:$B$999999,2,FALSE),"")</f>
        <v>LACA NITROSINTETICA TERSUAVE AMARILLO TAXI X 1</v>
      </c>
      <c r="D1574" s="1" t="s">
        <v>14439</v>
      </c>
      <c r="E1574" s="3">
        <f>IFERROR(VLOOKUP(B1574,'DA1'!$B$2:$D$999999,3,FALSE),"")</f>
      </c>
      <c r="F1574" s="1" t="str">
        <f>IFERROR(VLOOKUP(B1574,'SB1'!$A$2:$C$999999,3,FALSE),"")</f>
        <v>503</v>
      </c>
      <c r="G1574" s="3" t="e">
        <f t="shared" si="53"/>
        <v>#VALUE!</v>
      </c>
      <c r="H1574" s="3" t="e">
        <f t="shared" si="54"/>
        <v>#VALUE!</v>
      </c>
    </row>
    <row r="1575" spans="1:8" x14ac:dyDescent="0.25">
      <c r="A1575" s="1" t="s">
        <v>14435</v>
      </c>
      <c r="B1575" s="1" t="s">
        <v>4385</v>
      </c>
      <c r="C1575" s="1" t="str">
        <f>IFERROR(VLOOKUP(B1575,'SB1'!$A$2:$B$999999,2,FALSE),"")</f>
        <v>LACA NITROSINTETICA TERSUAVE NARANJA ESC.X 1</v>
      </c>
      <c r="D1575" s="1" t="s">
        <v>14439</v>
      </c>
      <c r="E1575" s="3">
        <f>IFERROR(VLOOKUP(B1575,'DA1'!$B$2:$D$999999,3,FALSE),"")</f>
      </c>
      <c r="F1575" s="1" t="str">
        <f>IFERROR(VLOOKUP(B1575,'SB1'!$A$2:$C$999999,3,FALSE),"")</f>
        <v>503</v>
      </c>
      <c r="G1575" s="3" t="e">
        <f t="shared" si="53"/>
        <v>#VALUE!</v>
      </c>
      <c r="H1575" s="3" t="e">
        <f t="shared" si="54"/>
        <v>#VALUE!</v>
      </c>
    </row>
    <row r="1576" spans="1:8" x14ac:dyDescent="0.25">
      <c r="A1576" s="1" t="s">
        <v>14435</v>
      </c>
      <c r="B1576" s="1" t="s">
        <v>4387</v>
      </c>
      <c r="C1576" s="1" t="str">
        <f>IFERROR(VLOOKUP(B1576,'SB1'!$A$2:$B$999999,2,FALSE),"")</f>
        <v>LACA NITROSINTETICA TERSUAVE NEGRO AZABACHE X 1</v>
      </c>
      <c r="D1576" s="1" t="s">
        <v>14439</v>
      </c>
      <c r="E1576" s="3">
        <f>IFERROR(VLOOKUP(B1576,'DA1'!$B$2:$D$999999,3,FALSE),"")</f>
      </c>
      <c r="F1576" s="1" t="str">
        <f>IFERROR(VLOOKUP(B1576,'SB1'!$A$2:$C$999999,3,FALSE),"")</f>
        <v>503</v>
      </c>
      <c r="G1576" s="3" t="e">
        <f t="shared" si="53"/>
        <v>#VALUE!</v>
      </c>
      <c r="H1576" s="3" t="e">
        <f t="shared" si="54"/>
        <v>#VALUE!</v>
      </c>
    </row>
    <row r="1577" spans="1:9" x14ac:dyDescent="0.25">
      <c r="A1577" s="1" t="s">
        <v>14435</v>
      </c>
      <c r="B1577" s="1" t="s">
        <v>4389</v>
      </c>
      <c r="C1577" s="1" t="str">
        <f>IFERROR(VLOOKUP(B1577,'SB1'!$A$2:$B$999999,2,FALSE),"")</f>
        <v>LACA NITROSINTETICA MMB NEGRO SATINADO X 1</v>
      </c>
      <c r="D1577" s="1" t="s">
        <v>14444</v>
      </c>
      <c r="E1577" s="3">
        <f>IFERROR(VLOOKUP(B1577,'DA1'!$B$2:$D$999999,3,FALSE),"")</f>
      </c>
      <c r="F1577" s="1" t="str">
        <f>IFERROR(VLOOKUP(B1577,'SB1'!$A$2:$C$999999,3,FALSE),"")</f>
        <v>503</v>
      </c>
      <c r="G1577" s="3" t="e">
        <f t="shared" si="53"/>
        <v>#VALUE!</v>
      </c>
      <c r="H1577" s="3" t="e">
        <f t="shared" si="54"/>
        <v>#VALUE!</v>
      </c>
      <c r="I1577" s="1">
        <v>1</v>
      </c>
    </row>
    <row r="1578" spans="1:9" x14ac:dyDescent="0.25">
      <c r="A1578" s="1" t="s">
        <v>14435</v>
      </c>
      <c r="B1578" s="1" t="s">
        <v>4391</v>
      </c>
      <c r="C1578" s="1" t="str">
        <f>IFERROR(VLOOKUP(B1578,'SB1'!$A$2:$B$999999,2,FALSE),"")</f>
        <v>LACA NITROSINTETICA MMB ALUMINIO PARA LLANTAS X 1</v>
      </c>
      <c r="D1578" s="1" t="s">
        <v>14444</v>
      </c>
      <c r="E1578" s="3">
        <f>IFERROR(VLOOKUP(B1578,'DA1'!$B$2:$D$999999,3,FALSE),"")</f>
      </c>
      <c r="F1578" s="1" t="str">
        <f>IFERROR(VLOOKUP(B1578,'SB1'!$A$2:$C$999999,3,FALSE),"")</f>
        <v>503</v>
      </c>
      <c r="G1578" s="3" t="e">
        <f t="shared" si="53"/>
        <v>#VALUE!</v>
      </c>
      <c r="H1578" s="3" t="e">
        <f t="shared" si="54"/>
        <v>#VALUE!</v>
      </c>
      <c r="I1578" s="1">
        <v>1</v>
      </c>
    </row>
    <row r="1579" spans="1:9" x14ac:dyDescent="0.25">
      <c r="A1579" s="1" t="s">
        <v>14435</v>
      </c>
      <c r="B1579" s="1" t="s">
        <v>4393</v>
      </c>
      <c r="C1579" s="1" t="str">
        <f>IFERROR(VLOOKUP(B1579,'SB1'!$A$2:$B$999999,2,FALSE),"")</f>
        <v>REVOQUE PROYECTABLE 2EN1 WEBER PROMEX INTERIOR GRIS X 30</v>
      </c>
      <c r="D1579" s="1" t="s">
        <v>14488</v>
      </c>
      <c r="E1579" s="3">
        <f>IFERROR(VLOOKUP(B1579,'DA1'!$B$2:$D$999999,3,FALSE),"")</f>
      </c>
      <c r="F1579" s="1" t="str">
        <f>IFERROR(VLOOKUP(B1579,'SB1'!$A$2:$C$999999,3,FALSE),"")</f>
        <v>503</v>
      </c>
      <c r="G1579" s="3" t="e">
        <f t="shared" si="53"/>
        <v>#VALUE!</v>
      </c>
      <c r="H1579" s="3" t="e">
        <f t="shared" si="54"/>
        <v>#VALUE!</v>
      </c>
      <c r="I1579" s="1">
        <v>1</v>
      </c>
    </row>
    <row r="1580" spans="1:9" x14ac:dyDescent="0.25">
      <c r="A1580" s="1" t="s">
        <v>14435</v>
      </c>
      <c r="B1580" s="1" t="s">
        <v>4399</v>
      </c>
      <c r="C1580" s="1" t="str">
        <f>IFERROR(VLOOKUP(B1580,'SB1'!$A$2:$B$999999,2,FALSE),"")</f>
        <v>ESMALTE SINTETICO PARA PIZARRON TERSUAVE MATE VERDE X 0,500</v>
      </c>
      <c r="D1580" s="1" t="s">
        <v>14437</v>
      </c>
      <c r="E1580" s="3">
        <f>IFERROR(VLOOKUP(B1580,'DA1'!$B$2:$D$999999,3,FALSE),"")</f>
      </c>
      <c r="F1580" s="1" t="str">
        <f>IFERROR(VLOOKUP(B1580,'SB1'!$A$2:$C$999999,3,FALSE),"")</f>
        <v>503</v>
      </c>
      <c r="G1580" s="3" t="e">
        <f t="shared" si="53"/>
        <v>#VALUE!</v>
      </c>
      <c r="H1580" s="3" t="e">
        <f t="shared" si="54"/>
        <v>#VALUE!</v>
      </c>
      <c r="I1580" s="1">
        <v>1</v>
      </c>
    </row>
    <row r="1581" spans="1:9" x14ac:dyDescent="0.25">
      <c r="A1581" s="1" t="s">
        <v>14435</v>
      </c>
      <c r="B1581" s="1" t="s">
        <v>4401</v>
      </c>
      <c r="C1581" s="1" t="str">
        <f>IFERROR(VLOOKUP(B1581,'SB1'!$A$2:$B$999999,2,FALSE),"")</f>
        <v>ESMALTE SINTETICO TERSUAVE 2EN1 BRILLANTE BLANCO X  0,500</v>
      </c>
      <c r="D1581" s="1" t="s">
        <v>14437</v>
      </c>
      <c r="E1581" s="3">
        <f>IFERROR(VLOOKUP(B1581,'DA1'!$B$2:$D$999999,3,FALSE),"")</f>
      </c>
      <c r="F1581" s="1" t="str">
        <f>IFERROR(VLOOKUP(B1581,'SB1'!$A$2:$C$999999,3,FALSE),"")</f>
        <v>503</v>
      </c>
      <c r="G1581" s="3" t="e">
        <f t="shared" si="53"/>
        <v>#VALUE!</v>
      </c>
      <c r="H1581" s="3" t="e">
        <f t="shared" si="54"/>
        <v>#VALUE!</v>
      </c>
      <c r="I1581" s="1">
        <v>1</v>
      </c>
    </row>
    <row r="1582" spans="1:9" x14ac:dyDescent="0.25">
      <c r="A1582" s="1" t="s">
        <v>14435</v>
      </c>
      <c r="B1582" s="1" t="s">
        <v>4403</v>
      </c>
      <c r="C1582" s="1" t="str">
        <f>IFERROR(VLOOKUP(B1582,'SB1'!$A$2:$B$999999,2,FALSE),"")</f>
        <v>ESMALTE SINTETICO TERSUAVE 2EN1 BRILLANTE BERMELLON X  0,500</v>
      </c>
      <c r="D1582" s="1" t="s">
        <v>14437</v>
      </c>
      <c r="E1582" s="3">
        <f>IFERROR(VLOOKUP(B1582,'DA1'!$B$2:$D$999999,3,FALSE),"")</f>
      </c>
      <c r="F1582" s="1" t="str">
        <f>IFERROR(VLOOKUP(B1582,'SB1'!$A$2:$C$999999,3,FALSE),"")</f>
        <v>503</v>
      </c>
      <c r="G1582" s="3" t="e">
        <f t="shared" si="53"/>
        <v>#VALUE!</v>
      </c>
      <c r="H1582" s="3" t="e">
        <f t="shared" si="54"/>
        <v>#VALUE!</v>
      </c>
      <c r="I1582" s="1">
        <v>1</v>
      </c>
    </row>
    <row r="1583" spans="1:9" x14ac:dyDescent="0.25">
      <c r="A1583" s="1" t="s">
        <v>14435</v>
      </c>
      <c r="B1583" s="1" t="s">
        <v>4405</v>
      </c>
      <c r="C1583" s="1" t="str">
        <f>IFERROR(VLOOKUP(B1583,'SB1'!$A$2:$B$999999,2,FALSE),"")</f>
        <v>ESMALTE SINTETICO TERSUAVE 2EN1 BRILLANTE NARANJA X  0,500</v>
      </c>
      <c r="D1583" s="1" t="s">
        <v>14437</v>
      </c>
      <c r="E1583" s="3">
        <f>IFERROR(VLOOKUP(B1583,'DA1'!$B$2:$D$999999,3,FALSE),"")</f>
      </c>
      <c r="F1583" s="1" t="str">
        <f>IFERROR(VLOOKUP(B1583,'SB1'!$A$2:$C$999999,3,FALSE),"")</f>
        <v>503</v>
      </c>
      <c r="G1583" s="3" t="e">
        <f t="shared" si="53"/>
        <v>#VALUE!</v>
      </c>
      <c r="H1583" s="3" t="e">
        <f t="shared" si="54"/>
        <v>#VALUE!</v>
      </c>
      <c r="I1583" s="1">
        <v>1</v>
      </c>
    </row>
    <row r="1584" spans="1:9" x14ac:dyDescent="0.25">
      <c r="A1584" s="1" t="s">
        <v>14435</v>
      </c>
      <c r="B1584" s="1" t="s">
        <v>4407</v>
      </c>
      <c r="C1584" s="1" t="str">
        <f>IFERROR(VLOOKUP(B1584,'SB1'!$A$2:$B$999999,2,FALSE),"")</f>
        <v>ESMALTE SINTETICO TERSUAVE 2EN1 BRILLANTE AMARILLO X  0,500</v>
      </c>
      <c r="D1584" s="1" t="s">
        <v>14437</v>
      </c>
      <c r="E1584" s="3">
        <f>IFERROR(VLOOKUP(B1584,'DA1'!$B$2:$D$999999,3,FALSE),"")</f>
      </c>
      <c r="F1584" s="1" t="str">
        <f>IFERROR(VLOOKUP(B1584,'SB1'!$A$2:$C$999999,3,FALSE),"")</f>
        <v>503</v>
      </c>
      <c r="G1584" s="3" t="e">
        <f t="shared" si="53"/>
        <v>#VALUE!</v>
      </c>
      <c r="H1584" s="3" t="e">
        <f t="shared" si="54"/>
        <v>#VALUE!</v>
      </c>
      <c r="I1584" s="1">
        <v>1</v>
      </c>
    </row>
    <row r="1585" spans="1:9" x14ac:dyDescent="0.25">
      <c r="A1585" s="1" t="s">
        <v>14435</v>
      </c>
      <c r="B1585" s="1" t="s">
        <v>4409</v>
      </c>
      <c r="C1585" s="1" t="str">
        <f>IFERROR(VLOOKUP(B1585,'SB1'!$A$2:$B$999999,2,FALSE),"")</f>
        <v>FONDO PARA MADERA TERSUAVE BLANCO X  0,500</v>
      </c>
      <c r="D1585" s="1" t="s">
        <v>14437</v>
      </c>
      <c r="E1585" s="3">
        <f>IFERROR(VLOOKUP(B1585,'DA1'!$B$2:$D$999999,3,FALSE),"")</f>
      </c>
      <c r="F1585" s="1" t="str">
        <f>IFERROR(VLOOKUP(B1585,'SB1'!$A$2:$C$999999,3,FALSE),"")</f>
        <v>503</v>
      </c>
      <c r="G1585" s="3" t="e">
        <f t="shared" si="53"/>
        <v>#VALUE!</v>
      </c>
      <c r="H1585" s="3" t="e">
        <f t="shared" si="54"/>
        <v>#VALUE!</v>
      </c>
      <c r="I1585" s="1">
        <v>1</v>
      </c>
    </row>
    <row r="1586" spans="1:9" x14ac:dyDescent="0.25">
      <c r="A1586" s="1" t="s">
        <v>14435</v>
      </c>
      <c r="B1586" s="1" t="s">
        <v>4411</v>
      </c>
      <c r="C1586" s="1" t="str">
        <f>IFERROR(VLOOKUP(B1586,'SB1'!$A$2:$B$999999,2,FALSE),"")</f>
        <v>BARNIZ MARINO PARA MADERA TERSUAVE BRILLANTE X  0,500</v>
      </c>
      <c r="D1586" s="1" t="s">
        <v>14437</v>
      </c>
      <c r="E1586" s="3">
        <f>IFERROR(VLOOKUP(B1586,'DA1'!$B$2:$D$999999,3,FALSE),"")</f>
      </c>
      <c r="F1586" s="1" t="str">
        <f>IFERROR(VLOOKUP(B1586,'SB1'!$A$2:$C$999999,3,FALSE),"")</f>
        <v>503</v>
      </c>
      <c r="G1586" s="3" t="e">
        <f t="shared" si="53"/>
        <v>#VALUE!</v>
      </c>
      <c r="H1586" s="3" t="e">
        <f t="shared" si="54"/>
        <v>#VALUE!</v>
      </c>
      <c r="I1586" s="1">
        <v>1</v>
      </c>
    </row>
    <row r="1587" spans="1:9" x14ac:dyDescent="0.25">
      <c r="A1587" s="1" t="s">
        <v>14435</v>
      </c>
      <c r="B1587" s="1" t="s">
        <v>4413</v>
      </c>
      <c r="C1587" s="1" t="str">
        <f>IFERROR(VLOOKUP(B1587,'SB1'!$A$2:$B$999999,2,FALSE),"")</f>
        <v>ESMALTE SINTETICO TERSUAVE ALTA TEMPERATURA ALUMINIO X 0,500</v>
      </c>
      <c r="D1587" s="1" t="s">
        <v>14487</v>
      </c>
      <c r="E1587" s="3">
        <f>IFERROR(VLOOKUP(B1587,'DA1'!$B$2:$D$999999,3,FALSE),"")</f>
      </c>
      <c r="F1587" s="1" t="str">
        <f>IFERROR(VLOOKUP(B1587,'SB1'!$A$2:$C$999999,3,FALSE),"")</f>
        <v>503</v>
      </c>
      <c r="G1587" s="3" t="e">
        <f t="shared" si="53"/>
        <v>#VALUE!</v>
      </c>
      <c r="H1587" s="3" t="e">
        <f t="shared" si="54"/>
        <v>#VALUE!</v>
      </c>
      <c r="I1587" s="1">
        <v>1</v>
      </c>
    </row>
    <row r="1588" spans="1:9" x14ac:dyDescent="0.25">
      <c r="A1588" s="1" t="s">
        <v>14435</v>
      </c>
      <c r="B1588" s="1" t="s">
        <v>4415</v>
      </c>
      <c r="C1588" s="1" t="str">
        <f>IFERROR(VLOOKUP(B1588,'SB1'!$A$2:$B$999999,2,FALSE),"")</f>
        <v>ESMALTE SINTETICO TERSUAVE ALTA TEMPERATURA NEGRO X 0,500</v>
      </c>
      <c r="D1588" s="1" t="s">
        <v>14487</v>
      </c>
      <c r="E1588" s="3">
        <f>IFERROR(VLOOKUP(B1588,'DA1'!$B$2:$D$999999,3,FALSE),"")</f>
      </c>
      <c r="F1588" s="1" t="str">
        <f>IFERROR(VLOOKUP(B1588,'SB1'!$A$2:$C$999999,3,FALSE),"")</f>
        <v>503</v>
      </c>
      <c r="G1588" s="3" t="e">
        <f t="shared" si="53"/>
        <v>#VALUE!</v>
      </c>
      <c r="H1588" s="3" t="e">
        <f t="shared" si="54"/>
        <v>#VALUE!</v>
      </c>
      <c r="I1588" s="1">
        <v>1</v>
      </c>
    </row>
    <row r="1589" spans="1:9" x14ac:dyDescent="0.25">
      <c r="A1589" s="1" t="s">
        <v>14435</v>
      </c>
      <c r="B1589" s="1" t="s">
        <v>4417</v>
      </c>
      <c r="C1589" s="1" t="str">
        <f>IFERROR(VLOOKUP(B1589,'SB1'!$A$2:$B$999999,2,FALSE),"")</f>
        <v>ESMALTE SINTETICO TERSUAVE 2EN1 BRILLANTE BEIGE X  0,500</v>
      </c>
      <c r="D1589" s="1" t="s">
        <v>14437</v>
      </c>
      <c r="E1589" s="3">
        <f>IFERROR(VLOOKUP(B1589,'DA1'!$B$2:$D$999999,3,FALSE),"")</f>
      </c>
      <c r="F1589" s="1" t="str">
        <f>IFERROR(VLOOKUP(B1589,'SB1'!$A$2:$C$999999,3,FALSE),"")</f>
        <v>503</v>
      </c>
      <c r="G1589" s="3" t="e">
        <f t="shared" si="53"/>
        <v>#VALUE!</v>
      </c>
      <c r="H1589" s="3" t="e">
        <f t="shared" si="54"/>
        <v>#VALUE!</v>
      </c>
      <c r="I1589" s="1">
        <v>1</v>
      </c>
    </row>
    <row r="1590" spans="1:9" x14ac:dyDescent="0.25">
      <c r="A1590" s="1" t="s">
        <v>14435</v>
      </c>
      <c r="B1590" s="1" t="s">
        <v>4419</v>
      </c>
      <c r="C1590" s="1" t="str">
        <f>IFERROR(VLOOKUP(B1590,'SB1'!$A$2:$B$999999,2,FALSE),"")</f>
        <v>ESMALTE SINTETICO PARA PIZARRON TERSUAVE MATE NEGRO X 0,500</v>
      </c>
      <c r="D1590" s="1" t="s">
        <v>14437</v>
      </c>
      <c r="E1590" s="3">
        <f>IFERROR(VLOOKUP(B1590,'DA1'!$B$2:$D$999999,3,FALSE),"")</f>
      </c>
      <c r="F1590" s="1" t="str">
        <f>IFERROR(VLOOKUP(B1590,'SB1'!$A$2:$C$999999,3,FALSE),"")</f>
        <v>503</v>
      </c>
      <c r="G1590" s="3" t="e">
        <f t="shared" si="53"/>
        <v>#VALUE!</v>
      </c>
      <c r="H1590" s="3" t="e">
        <f t="shared" si="54"/>
        <v>#VALUE!</v>
      </c>
      <c r="I1590" s="1">
        <v>1</v>
      </c>
    </row>
    <row r="1591" spans="1:9" x14ac:dyDescent="0.25">
      <c r="A1591" s="1" t="s">
        <v>14435</v>
      </c>
      <c r="B1591" s="1" t="s">
        <v>4421</v>
      </c>
      <c r="C1591" s="1" t="str">
        <f>IFERROR(VLOOKUP(B1591,'SB1'!$A$2:$B$999999,2,FALSE),"")</f>
        <v>ESMALTE SINTETICO TERSUAVE ALTA TEMPERATURA BLANCO X 0,500</v>
      </c>
      <c r="D1591" s="1" t="s">
        <v>14487</v>
      </c>
      <c r="E1591" s="3">
        <f>IFERROR(VLOOKUP(B1591,'DA1'!$B$2:$D$999999,3,FALSE),"")</f>
      </c>
      <c r="F1591" s="1" t="str">
        <f>IFERROR(VLOOKUP(B1591,'SB1'!$A$2:$C$999999,3,FALSE),"")</f>
        <v>503</v>
      </c>
      <c r="G1591" s="3" t="e">
        <f t="shared" si="53"/>
        <v>#VALUE!</v>
      </c>
      <c r="H1591" s="3" t="e">
        <f t="shared" si="54"/>
        <v>#VALUE!</v>
      </c>
      <c r="I1591" s="1">
        <v>1</v>
      </c>
    </row>
    <row r="1592" spans="1:9" x14ac:dyDescent="0.25">
      <c r="A1592" s="1" t="s">
        <v>14435</v>
      </c>
      <c r="B1592" s="1" t="s">
        <v>4423</v>
      </c>
      <c r="C1592" s="1" t="str">
        <f>IFERROR(VLOOKUP(B1592,'SB1'!$A$2:$B$999999,2,FALSE),"")</f>
        <v>ESMALTE POLIURETANO ALBA BLANCO X 4</v>
      </c>
      <c r="D1592" s="1" t="s">
        <v>14489</v>
      </c>
      <c r="E1592" s="3">
        <f>IFERROR(VLOOKUP(B1592,'DA1'!$B$2:$D$999999,3,FALSE),"")</f>
      </c>
      <c r="F1592" s="1" t="str">
        <f>IFERROR(VLOOKUP(B1592,'SB1'!$A$2:$C$999999,3,FALSE),"")</f>
        <v>503</v>
      </c>
      <c r="G1592" s="3" t="e">
        <f t="shared" si="53"/>
        <v>#VALUE!</v>
      </c>
      <c r="H1592" s="3" t="e">
        <f t="shared" si="54"/>
        <v>#VALUE!</v>
      </c>
      <c r="I1592" s="1">
        <v>1</v>
      </c>
    </row>
    <row r="1593" spans="1:9" x14ac:dyDescent="0.25">
      <c r="A1593" s="1" t="s">
        <v>14435</v>
      </c>
      <c r="B1593" s="1" t="s">
        <v>4425</v>
      </c>
      <c r="C1593" s="1" t="str">
        <f>IFERROR(VLOOKUP(B1593,'SB1'!$A$2:$B$999999,2,FALSE),"")</f>
        <v>ESMALTE SINTETICO TERSUAVE 2EN1 BRILLANTE CEDRO X  0,500</v>
      </c>
      <c r="D1593" s="1" t="s">
        <v>14437</v>
      </c>
      <c r="E1593" s="3">
        <f>IFERROR(VLOOKUP(B1593,'DA1'!$B$2:$D$999999,3,FALSE),"")</f>
      </c>
      <c r="F1593" s="1" t="str">
        <f>IFERROR(VLOOKUP(B1593,'SB1'!$A$2:$C$999999,3,FALSE),"")</f>
        <v>503</v>
      </c>
      <c r="G1593" s="3" t="e">
        <f t="shared" si="53"/>
        <v>#VALUE!</v>
      </c>
      <c r="H1593" s="3" t="e">
        <f t="shared" si="54"/>
        <v>#VALUE!</v>
      </c>
      <c r="I1593" s="1">
        <v>1</v>
      </c>
    </row>
    <row r="1594" spans="1:9" x14ac:dyDescent="0.25">
      <c r="A1594" s="1" t="s">
        <v>14435</v>
      </c>
      <c r="B1594" s="1" t="s">
        <v>4429</v>
      </c>
      <c r="C1594" s="1" t="str">
        <f>IFERROR(VLOOKUP(B1594,'SB1'!$A$2:$B$999999,2,FALSE),"")</f>
        <v>ESMALTE SINTETICO TERSUAVE 2EN1 BRILLANTE NEGRO X  0,500</v>
      </c>
      <c r="D1594" s="1" t="s">
        <v>14437</v>
      </c>
      <c r="E1594" s="3">
        <f>IFERROR(VLOOKUP(B1594,'DA1'!$B$2:$D$999999,3,FALSE),"")</f>
      </c>
      <c r="F1594" s="1" t="str">
        <f>IFERROR(VLOOKUP(B1594,'SB1'!$A$2:$C$999999,3,FALSE),"")</f>
        <v>503</v>
      </c>
      <c r="G1594" s="3" t="e">
        <f t="shared" si="53"/>
        <v>#VALUE!</v>
      </c>
      <c r="H1594" s="3" t="e">
        <f t="shared" si="54"/>
        <v>#VALUE!</v>
      </c>
      <c r="I1594" s="1">
        <v>1</v>
      </c>
    </row>
    <row r="1595" spans="1:9" x14ac:dyDescent="0.25">
      <c r="A1595" s="1" t="s">
        <v>14435</v>
      </c>
      <c r="B1595" s="1" t="s">
        <v>4431</v>
      </c>
      <c r="C1595" s="1" t="str">
        <f>IFERROR(VLOOKUP(B1595,'SB1'!$A$2:$B$999999,2,FALSE),"")</f>
        <v>DISCO CORTE DOBLE A T42 MASTER ACERO 180X3,0X22,2</v>
      </c>
      <c r="D1595" s="1" t="s">
        <v>14451</v>
      </c>
      <c r="E1595" s="3">
        <f>IFERROR(VLOOKUP(B1595,'DA1'!$B$2:$D$999999,3,FALSE),"")</f>
      </c>
      <c r="F1595" s="1" t="str">
        <f>IFERROR(VLOOKUP(B1595,'SB1'!$A$2:$C$999999,3,FALSE),"")</f>
        <v>503</v>
      </c>
      <c r="G1595" s="3" t="e">
        <f t="shared" si="53"/>
        <v>#VALUE!</v>
      </c>
      <c r="H1595" s="3" t="e">
        <f t="shared" si="54"/>
        <v>#VALUE!</v>
      </c>
      <c r="I1595" s="1">
        <v>1</v>
      </c>
    </row>
    <row r="1596" spans="1:9" x14ac:dyDescent="0.25">
      <c r="A1596" s="1" t="s">
        <v>14435</v>
      </c>
      <c r="B1596" s="1" t="s">
        <v>4433</v>
      </c>
      <c r="C1596" s="1" t="str">
        <f>IFERROR(VLOOKUP(B1596,'SB1'!$A$2:$B$999999,2,FALSE),"")</f>
        <v>ESMALTE SINTETICO TERSUAVE 2EN1 BRILLANTE ALUMINIO X  0,500</v>
      </c>
      <c r="D1596" s="1" t="s">
        <v>14437</v>
      </c>
      <c r="E1596" s="3">
        <f>IFERROR(VLOOKUP(B1596,'DA1'!$B$2:$D$999999,3,FALSE),"")</f>
      </c>
      <c r="F1596" s="1" t="str">
        <f>IFERROR(VLOOKUP(B1596,'SB1'!$A$2:$C$999999,3,FALSE),"")</f>
        <v>503</v>
      </c>
      <c r="G1596" s="3" t="e">
        <f t="shared" si="53"/>
        <v>#VALUE!</v>
      </c>
      <c r="H1596" s="3" t="e">
        <f t="shared" si="54"/>
        <v>#VALUE!</v>
      </c>
      <c r="I1596" s="1">
        <v>1</v>
      </c>
    </row>
    <row r="1597" spans="1:9" x14ac:dyDescent="0.25">
      <c r="A1597" s="1" t="s">
        <v>14435</v>
      </c>
      <c r="B1597" s="1" t="s">
        <v>4435</v>
      </c>
      <c r="C1597" s="1" t="str">
        <f>IFERROR(VLOOKUP(B1597,'SB1'!$A$2:$B$999999,2,FALSE),"")</f>
        <v>ESMALTE SINTETICO TERSUAVE 2EN1 BRILLANTE MARRON X  0,500</v>
      </c>
      <c r="D1597" s="1" t="s">
        <v>14437</v>
      </c>
      <c r="E1597" s="3">
        <f>IFERROR(VLOOKUP(B1597,'DA1'!$B$2:$D$999999,3,FALSE),"")</f>
      </c>
      <c r="F1597" s="1" t="str">
        <f>IFERROR(VLOOKUP(B1597,'SB1'!$A$2:$C$999999,3,FALSE),"")</f>
        <v>503</v>
      </c>
      <c r="G1597" s="3" t="e">
        <f t="shared" si="53"/>
        <v>#VALUE!</v>
      </c>
      <c r="H1597" s="3" t="e">
        <f t="shared" si="54"/>
        <v>#VALUE!</v>
      </c>
      <c r="I1597" s="1">
        <v>1</v>
      </c>
    </row>
    <row r="1598" spans="1:9" x14ac:dyDescent="0.25">
      <c r="A1598" s="1" t="s">
        <v>14435</v>
      </c>
      <c r="B1598" s="1" t="s">
        <v>4437</v>
      </c>
      <c r="C1598" s="1" t="str">
        <f>IFERROR(VLOOKUP(B1598,'SB1'!$A$2:$B$999999,2,FALSE),"")</f>
        <v>ESMALTE SINTETICO TERSUAVE 2EN1 BRILLANTE VERDE CLARO X  0,500</v>
      </c>
      <c r="D1598" s="1" t="s">
        <v>14437</v>
      </c>
      <c r="E1598" s="3">
        <f>IFERROR(VLOOKUP(B1598,'DA1'!$B$2:$D$999999,3,FALSE),"")</f>
      </c>
      <c r="F1598" s="1" t="str">
        <f>IFERROR(VLOOKUP(B1598,'SB1'!$A$2:$C$999999,3,FALSE),"")</f>
        <v>503</v>
      </c>
      <c r="G1598" s="3" t="e">
        <f t="shared" si="53"/>
        <v>#VALUE!</v>
      </c>
      <c r="H1598" s="3" t="e">
        <f t="shared" si="54"/>
        <v>#VALUE!</v>
      </c>
      <c r="I1598" s="1">
        <v>1</v>
      </c>
    </row>
    <row r="1599" spans="1:9" x14ac:dyDescent="0.25">
      <c r="A1599" s="1" t="s">
        <v>14435</v>
      </c>
      <c r="B1599" s="1" t="s">
        <v>4439</v>
      </c>
      <c r="C1599" s="1" t="str">
        <f>IFERROR(VLOOKUP(B1599,'SB1'!$A$2:$B$999999,2,FALSE),"")</f>
        <v>ESMALTE SINTETICO TERSUAVE 2EN1 BRILLANTE GRIS OSCURO X  0,500</v>
      </c>
      <c r="D1599" s="1" t="s">
        <v>14437</v>
      </c>
      <c r="E1599" s="3">
        <f>IFERROR(VLOOKUP(B1599,'DA1'!$B$2:$D$999999,3,FALSE),"")</f>
      </c>
      <c r="F1599" s="1" t="str">
        <f>IFERROR(VLOOKUP(B1599,'SB1'!$A$2:$C$999999,3,FALSE),"")</f>
        <v>503</v>
      </c>
      <c r="G1599" s="3" t="e">
        <f t="shared" si="53"/>
        <v>#VALUE!</v>
      </c>
      <c r="H1599" s="3" t="e">
        <f t="shared" si="54"/>
        <v>#VALUE!</v>
      </c>
      <c r="I1599" s="1">
        <v>1</v>
      </c>
    </row>
    <row r="1600" spans="1:9" x14ac:dyDescent="0.25">
      <c r="A1600" s="1" t="s">
        <v>14435</v>
      </c>
      <c r="B1600" s="1" t="s">
        <v>4445</v>
      </c>
      <c r="C1600" s="1" t="str">
        <f>IFERROR(VLOOKUP(B1600,'SB1'!$A$2:$B$999999,2,FALSE),"")</f>
        <v>ESMALTE SINTETICO TERSUAVE 2EN1 BRILLANTE CELESTE X  0,500</v>
      </c>
      <c r="D1600" s="1" t="s">
        <v>14437</v>
      </c>
      <c r="E1600" s="3">
        <f>IFERROR(VLOOKUP(B1600,'DA1'!$B$2:$D$999999,3,FALSE),"")</f>
      </c>
      <c r="F1600" s="1" t="str">
        <f>IFERROR(VLOOKUP(B1600,'SB1'!$A$2:$C$999999,3,FALSE),"")</f>
        <v>503</v>
      </c>
      <c r="G1600" s="3" t="e">
        <f t="shared" si="53"/>
        <v>#VALUE!</v>
      </c>
      <c r="H1600" s="3" t="e">
        <f t="shared" si="54"/>
        <v>#VALUE!</v>
      </c>
      <c r="I1600" s="1">
        <v>1</v>
      </c>
    </row>
    <row r="1601" spans="1:9" x14ac:dyDescent="0.25">
      <c r="A1601" s="1" t="s">
        <v>14435</v>
      </c>
      <c r="B1601" s="1" t="s">
        <v>4447</v>
      </c>
      <c r="C1601" s="1" t="str">
        <f>IFERROR(VLOOKUP(B1601,'SB1'!$A$2:$B$999999,2,FALSE),"")</f>
        <v>ESMALTE SINTETICO TERSUAVE 2EN1 BRILLANTE MARFIL SEDA X  0,500</v>
      </c>
      <c r="D1601" s="1" t="s">
        <v>14437</v>
      </c>
      <c r="E1601" s="3">
        <f>IFERROR(VLOOKUP(B1601,'DA1'!$B$2:$D$999999,3,FALSE),"")</f>
      </c>
      <c r="F1601" s="1" t="str">
        <f>IFERROR(VLOOKUP(B1601,'SB1'!$A$2:$C$999999,3,FALSE),"")</f>
        <v>503</v>
      </c>
      <c r="G1601" s="3" t="e">
        <f t="shared" si="53"/>
        <v>#VALUE!</v>
      </c>
      <c r="H1601" s="3" t="e">
        <f t="shared" si="54"/>
        <v>#VALUE!</v>
      </c>
      <c r="I1601" s="1">
        <v>1</v>
      </c>
    </row>
    <row r="1602" spans="1:9" x14ac:dyDescent="0.25">
      <c r="A1602" s="1" t="s">
        <v>14435</v>
      </c>
      <c r="B1602" s="1" t="s">
        <v>4451</v>
      </c>
      <c r="C1602" s="1" t="str">
        <f>IFERROR(VLOOKUP(B1602,'SB1'!$A$2:$B$999999,2,FALSE),"")</f>
        <v>ESMALTE SINTETICO TERSUAVE 2EN1 BRILLANTE GRIS ESPACIAL X  0,500</v>
      </c>
      <c r="D1602" s="1" t="s">
        <v>14437</v>
      </c>
      <c r="E1602" s="3">
        <f>IFERROR(VLOOKUP(B1602,'DA1'!$B$2:$D$999999,3,FALSE),"")</f>
      </c>
      <c r="F1602" s="1" t="str">
        <f>IFERROR(VLOOKUP(B1602,'SB1'!$A$2:$C$999999,3,FALSE),"")</f>
        <v>503</v>
      </c>
      <c r="G1602" s="3" t="e">
        <f t="shared" si="53"/>
        <v>#VALUE!</v>
      </c>
      <c r="H1602" s="3" t="e">
        <f t="shared" si="54"/>
        <v>#VALUE!</v>
      </c>
      <c r="I1602" s="1">
        <v>1</v>
      </c>
    </row>
    <row r="1603" spans="1:9" x14ac:dyDescent="0.25">
      <c r="A1603" s="1" t="s">
        <v>14435</v>
      </c>
      <c r="B1603" s="1" t="s">
        <v>4455</v>
      </c>
      <c r="C1603" s="1" t="str">
        <f>IFERROR(VLOOKUP(B1603,'SB1'!$A$2:$B$999999,2,FALSE),"")</f>
        <v>ESMALTE SINTETICO TERSUAVE 2EN1 BRILLANTE GRIS PERLA X  0,500</v>
      </c>
      <c r="D1603" s="1" t="s">
        <v>14437</v>
      </c>
      <c r="E1603" s="3">
        <f>IFERROR(VLOOKUP(B1603,'DA1'!$B$2:$D$999999,3,FALSE),"")</f>
      </c>
      <c r="F1603" s="1" t="str">
        <f>IFERROR(VLOOKUP(B1603,'SB1'!$A$2:$C$999999,3,FALSE),"")</f>
        <v>503</v>
      </c>
      <c r="G1603" s="3" t="e">
        <f t="shared" ref="G1603:G1666" si="55">E1603*1.04</f>
        <v>#VALUE!</v>
      </c>
      <c r="H1603" s="3" t="e">
        <f t="shared" si="54"/>
        <v>#VALUE!</v>
      </c>
      <c r="I1603" s="1">
        <v>1</v>
      </c>
    </row>
    <row r="1604" spans="1:9" x14ac:dyDescent="0.25">
      <c r="A1604" s="1" t="s">
        <v>14435</v>
      </c>
      <c r="B1604" s="1" t="s">
        <v>4457</v>
      </c>
      <c r="C1604" s="1" t="str">
        <f>IFERROR(VLOOKUP(B1604,'SB1'!$A$2:$B$999999,2,FALSE),"")</f>
        <v>ESMALTE SINTETICO TERSUAVE 2EN1 BRILLANTE GRIS HIELO X  0,500</v>
      </c>
      <c r="D1604" s="1" t="s">
        <v>14437</v>
      </c>
      <c r="E1604" s="3">
        <f>IFERROR(VLOOKUP(B1604,'DA1'!$B$2:$D$999999,3,FALSE),"")</f>
      </c>
      <c r="F1604" s="1" t="str">
        <f>IFERROR(VLOOKUP(B1604,'SB1'!$A$2:$C$999999,3,FALSE),"")</f>
        <v>503</v>
      </c>
      <c r="G1604" s="3" t="e">
        <f t="shared" si="55"/>
        <v>#VALUE!</v>
      </c>
      <c r="H1604" s="3" t="e">
        <f t="shared" si="54"/>
        <v>#VALUE!</v>
      </c>
      <c r="I1604" s="1">
        <v>1</v>
      </c>
    </row>
    <row r="1605" spans="1:9" x14ac:dyDescent="0.25">
      <c r="A1605" s="1" t="s">
        <v>14435</v>
      </c>
      <c r="B1605" s="1" t="s">
        <v>4459</v>
      </c>
      <c r="C1605" s="1" t="str">
        <f>IFERROR(VLOOKUP(B1605,'SB1'!$A$2:$B$999999,2,FALSE),"")</f>
        <v>ESMALTE SINTETICO TERSUAVE 2EN1 BRILLANTE VERDE INGLES X  0,500</v>
      </c>
      <c r="D1605" s="1" t="s">
        <v>14437</v>
      </c>
      <c r="E1605" s="3">
        <f>IFERROR(VLOOKUP(B1605,'DA1'!$B$2:$D$999999,3,FALSE),"")</f>
      </c>
      <c r="F1605" s="1" t="str">
        <f>IFERROR(VLOOKUP(B1605,'SB1'!$A$2:$C$999999,3,FALSE),"")</f>
        <v>503</v>
      </c>
      <c r="G1605" s="3" t="e">
        <f t="shared" si="55"/>
        <v>#VALUE!</v>
      </c>
      <c r="H1605" s="3" t="e">
        <f t="shared" si="54"/>
        <v>#VALUE!</v>
      </c>
      <c r="I1605" s="1">
        <v>1</v>
      </c>
    </row>
    <row r="1606" spans="1:9" x14ac:dyDescent="0.25">
      <c r="A1606" s="1" t="s">
        <v>14435</v>
      </c>
      <c r="B1606" s="1" t="s">
        <v>4461</v>
      </c>
      <c r="C1606" s="1" t="str">
        <f>IFERROR(VLOOKUP(B1606,'SB1'!$A$2:$B$999999,2,FALSE),"")</f>
        <v>ESMALTE POLIURETANO ALBA NEGRO X 4</v>
      </c>
      <c r="D1606" s="1" t="s">
        <v>14489</v>
      </c>
      <c r="E1606" s="3">
        <f>IFERROR(VLOOKUP(B1606,'DA1'!$B$2:$D$999999,3,FALSE),"")</f>
      </c>
      <c r="F1606" s="1" t="str">
        <f>IFERROR(VLOOKUP(B1606,'SB1'!$A$2:$C$999999,3,FALSE),"")</f>
        <v>503</v>
      </c>
      <c r="G1606" s="3" t="e">
        <f t="shared" si="55"/>
        <v>#VALUE!</v>
      </c>
      <c r="H1606" s="3" t="e">
        <f t="shared" si="54"/>
        <v>#VALUE!</v>
      </c>
      <c r="I1606" s="1">
        <v>1</v>
      </c>
    </row>
    <row r="1607" spans="1:9" x14ac:dyDescent="0.25">
      <c r="A1607" s="1" t="s">
        <v>14435</v>
      </c>
      <c r="B1607" s="1" t="s">
        <v>4463</v>
      </c>
      <c r="C1607" s="1" t="str">
        <f>IFERROR(VLOOKUP(B1607,'SB1'!$A$2:$B$999999,2,FALSE),"")</f>
        <v>ESMALTE SINTETICO TERSUAVE 2EN1 BRILLANTE AZULEJO X  0,500</v>
      </c>
      <c r="D1607" s="1" t="s">
        <v>14437</v>
      </c>
      <c r="E1607" s="3">
        <f>IFERROR(VLOOKUP(B1607,'DA1'!$B$2:$D$999999,3,FALSE),"")</f>
      </c>
      <c r="F1607" s="1" t="str">
        <f>IFERROR(VLOOKUP(B1607,'SB1'!$A$2:$C$999999,3,FALSE),"")</f>
        <v>503</v>
      </c>
      <c r="G1607" s="3" t="e">
        <f t="shared" si="55"/>
        <v>#VALUE!</v>
      </c>
      <c r="H1607" s="3" t="e">
        <f t="shared" si="54"/>
        <v>#VALUE!</v>
      </c>
      <c r="I1607" s="1">
        <v>1</v>
      </c>
    </row>
    <row r="1608" spans="1:9" x14ac:dyDescent="0.25">
      <c r="A1608" s="1" t="s">
        <v>14435</v>
      </c>
      <c r="B1608" s="1" t="s">
        <v>4465</v>
      </c>
      <c r="C1608" s="1" t="str">
        <f>IFERROR(VLOOKUP(B1608,'SB1'!$A$2:$B$999999,2,FALSE),"")</f>
        <v>ESMALTE SINTETICO TERSUAVE 2EN1 BRILLANTE MARFIL CHAMPAGNE X  0,500</v>
      </c>
      <c r="D1608" s="1" t="s">
        <v>14437</v>
      </c>
      <c r="E1608" s="3">
        <f>IFERROR(VLOOKUP(B1608,'DA1'!$B$2:$D$999999,3,FALSE),"")</f>
      </c>
      <c r="F1608" s="1" t="str">
        <f>IFERROR(VLOOKUP(B1608,'SB1'!$A$2:$C$999999,3,FALSE),"")</f>
        <v>503</v>
      </c>
      <c r="G1608" s="3" t="e">
        <f t="shared" si="55"/>
        <v>#VALUE!</v>
      </c>
      <c r="H1608" s="3" t="e">
        <f t="shared" si="54"/>
        <v>#VALUE!</v>
      </c>
      <c r="I1608" s="1">
        <v>1</v>
      </c>
    </row>
    <row r="1609" spans="1:9" x14ac:dyDescent="0.25">
      <c r="A1609" s="1" t="s">
        <v>14435</v>
      </c>
      <c r="B1609" s="1" t="s">
        <v>4467</v>
      </c>
      <c r="C1609" s="1" t="str">
        <f>IFERROR(VLOOKUP(B1609,'SB1'!$A$2:$B$999999,2,FALSE),"")</f>
        <v>ESMALTE SINTETICO TERSUAVE 2EN1 BRILLANTE VERDE ILUSION X  0,500</v>
      </c>
      <c r="D1609" s="1" t="s">
        <v>14437</v>
      </c>
      <c r="E1609" s="3">
        <f>IFERROR(VLOOKUP(B1609,'DA1'!$B$2:$D$999999,3,FALSE),"")</f>
      </c>
      <c r="F1609" s="1" t="str">
        <f>IFERROR(VLOOKUP(B1609,'SB1'!$A$2:$C$999999,3,FALSE),"")</f>
        <v>503</v>
      </c>
      <c r="G1609" s="3" t="e">
        <f t="shared" si="55"/>
        <v>#VALUE!</v>
      </c>
      <c r="H1609" s="3" t="e">
        <f t="shared" si="54"/>
        <v>#VALUE!</v>
      </c>
      <c r="I1609" s="1">
        <v>1</v>
      </c>
    </row>
    <row r="1610" spans="1:9" x14ac:dyDescent="0.25">
      <c r="A1610" s="1" t="s">
        <v>14435</v>
      </c>
      <c r="B1610" s="1" t="s">
        <v>4469</v>
      </c>
      <c r="C1610" s="1" t="str">
        <f>IFERROR(VLOOKUP(B1610,'SB1'!$A$2:$B$999999,2,FALSE),"")</f>
        <v>ESMALTE POLIURETANO ALBA GRIS HIELO X 4</v>
      </c>
      <c r="D1610" s="1" t="s">
        <v>14489</v>
      </c>
      <c r="E1610" s="3">
        <f>IFERROR(VLOOKUP(B1610,'DA1'!$B$2:$D$999999,3,FALSE),"")</f>
      </c>
      <c r="F1610" s="1" t="str">
        <f>IFERROR(VLOOKUP(B1610,'SB1'!$A$2:$C$999999,3,FALSE),"")</f>
        <v>503</v>
      </c>
      <c r="G1610" s="3" t="e">
        <f t="shared" si="55"/>
        <v>#VALUE!</v>
      </c>
      <c r="H1610" s="3" t="e">
        <f t="shared" si="54"/>
        <v>#VALUE!</v>
      </c>
      <c r="I1610" s="1">
        <v>1</v>
      </c>
    </row>
    <row r="1611" spans="1:9" x14ac:dyDescent="0.25">
      <c r="A1611" s="1" t="s">
        <v>14435</v>
      </c>
      <c r="B1611" s="1" t="s">
        <v>4471</v>
      </c>
      <c r="C1611" s="1" t="str">
        <f>IFERROR(VLOOKUP(B1611,'SB1'!$A$2:$B$999999,2,FALSE),"")</f>
        <v>ESMALTE SINTETICO TERSUAVE 2EN1 BRILLANTE CREMA X  0,500</v>
      </c>
      <c r="D1611" s="1" t="s">
        <v>14437</v>
      </c>
      <c r="E1611" s="3">
        <f>IFERROR(VLOOKUP(B1611,'DA1'!$B$2:$D$999999,3,FALSE),"")</f>
      </c>
      <c r="F1611" s="1" t="str">
        <f>IFERROR(VLOOKUP(B1611,'SB1'!$A$2:$C$999999,3,FALSE),"")</f>
        <v>503</v>
      </c>
      <c r="G1611" s="3" t="e">
        <f t="shared" si="55"/>
        <v>#VALUE!</v>
      </c>
      <c r="H1611" s="3" t="e">
        <f t="shared" si="54"/>
        <v>#VALUE!</v>
      </c>
      <c r="I1611" s="1">
        <v>1</v>
      </c>
    </row>
    <row r="1612" spans="1:9" x14ac:dyDescent="0.25">
      <c r="A1612" s="1" t="s">
        <v>14435</v>
      </c>
      <c r="B1612" s="1" t="s">
        <v>4473</v>
      </c>
      <c r="C1612" s="1" t="str">
        <f>IFERROR(VLOOKUP(B1612,'SB1'!$A$2:$B$999999,2,FALSE),"")</f>
        <v>ESMALTE SINTETICO TERSUAVE 2EN1 BRILLANTE CASTANO X  0,500</v>
      </c>
      <c r="D1612" s="1" t="s">
        <v>14437</v>
      </c>
      <c r="E1612" s="3">
        <f>IFERROR(VLOOKUP(B1612,'DA1'!$B$2:$D$999999,3,FALSE),"")</f>
      </c>
      <c r="F1612" s="1" t="str">
        <f>IFERROR(VLOOKUP(B1612,'SB1'!$A$2:$C$999999,3,FALSE),"")</f>
        <v>503</v>
      </c>
      <c r="G1612" s="3" t="e">
        <f t="shared" si="55"/>
        <v>#VALUE!</v>
      </c>
      <c r="H1612" s="3" t="e">
        <f t="shared" si="54"/>
        <v>#VALUE!</v>
      </c>
      <c r="I1612" s="1">
        <v>1</v>
      </c>
    </row>
    <row r="1613" spans="1:9" x14ac:dyDescent="0.25">
      <c r="A1613" s="1" t="s">
        <v>14435</v>
      </c>
      <c r="B1613" s="1" t="s">
        <v>4475</v>
      </c>
      <c r="C1613" s="1" t="str">
        <f>IFERROR(VLOOKUP(B1613,'SB1'!$A$2:$B$999999,2,FALSE),"")</f>
        <v>ESMALTE SINTETICO TERSUAVE 2EN1 BRILLANTE VERDE NOCHE X  0,500</v>
      </c>
      <c r="D1613" s="1" t="s">
        <v>14437</v>
      </c>
      <c r="E1613" s="3">
        <f>IFERROR(VLOOKUP(B1613,'DA1'!$B$2:$D$999999,3,FALSE),"")</f>
      </c>
      <c r="F1613" s="1" t="str">
        <f>IFERROR(VLOOKUP(B1613,'SB1'!$A$2:$C$999999,3,FALSE),"")</f>
        <v>503</v>
      </c>
      <c r="G1613" s="3" t="e">
        <f t="shared" si="55"/>
        <v>#VALUE!</v>
      </c>
      <c r="H1613" s="3" t="e">
        <f t="shared" si="54"/>
        <v>#VALUE!</v>
      </c>
      <c r="I1613" s="1">
        <v>1</v>
      </c>
    </row>
    <row r="1614" spans="1:9" x14ac:dyDescent="0.25">
      <c r="A1614" s="1" t="s">
        <v>14435</v>
      </c>
      <c r="B1614" s="1" t="s">
        <v>4481</v>
      </c>
      <c r="C1614" s="1" t="str">
        <f>IFERROR(VLOOKUP(B1614,'SB1'!$A$2:$B$999999,2,FALSE),"")</f>
        <v>ESMALTE SINTETICO TERSUAVE 2EN1 BRILLANTE TRAFUL X  0,500</v>
      </c>
      <c r="D1614" s="1" t="s">
        <v>14437</v>
      </c>
      <c r="E1614" s="3">
        <f>IFERROR(VLOOKUP(B1614,'DA1'!$B$2:$D$999999,3,FALSE),"")</f>
      </c>
      <c r="F1614" s="1" t="str">
        <f>IFERROR(VLOOKUP(B1614,'SB1'!$A$2:$C$999999,3,FALSE),"")</f>
        <v>503</v>
      </c>
      <c r="G1614" s="3" t="e">
        <f t="shared" si="55"/>
        <v>#VALUE!</v>
      </c>
      <c r="H1614" s="3" t="e">
        <f t="shared" si="54"/>
        <v>#VALUE!</v>
      </c>
      <c r="I1614" s="1">
        <v>1</v>
      </c>
    </row>
    <row r="1615" spans="1:9" x14ac:dyDescent="0.25">
      <c r="A1615" s="1" t="s">
        <v>14435</v>
      </c>
      <c r="B1615" s="1" t="s">
        <v>4483</v>
      </c>
      <c r="C1615" s="1" t="str">
        <f>IFERROR(VLOOKUP(B1615,'SB1'!$A$2:$B$999999,2,FALSE),"")</f>
        <v>ESMALTE POLIURETANO ALBA VERDE INGLES X 4</v>
      </c>
      <c r="D1615" s="1" t="s">
        <v>14489</v>
      </c>
      <c r="E1615" s="3">
        <f>IFERROR(VLOOKUP(B1615,'DA1'!$B$2:$D$999999,3,FALSE),"")</f>
      </c>
      <c r="F1615" s="1" t="str">
        <f>IFERROR(VLOOKUP(B1615,'SB1'!$A$2:$C$999999,3,FALSE),"")</f>
        <v>503</v>
      </c>
      <c r="G1615" s="3" t="e">
        <f t="shared" si="55"/>
        <v>#VALUE!</v>
      </c>
      <c r="H1615" s="3" t="e">
        <f t="shared" si="54"/>
        <v>#VALUE!</v>
      </c>
      <c r="I1615" s="1">
        <v>1</v>
      </c>
    </row>
    <row r="1616" spans="1:9" x14ac:dyDescent="0.25">
      <c r="A1616" s="1" t="s">
        <v>14435</v>
      </c>
      <c r="B1616" s="1" t="s">
        <v>4485</v>
      </c>
      <c r="C1616" s="1" t="str">
        <f>IFERROR(VLOOKUP(B1616,'SB1'!$A$2:$B$999999,2,FALSE),"")</f>
        <v>ESMALTE SINTETICO TERSUAVE 2EN1 BRILLANTE AZUL X  0,500</v>
      </c>
      <c r="D1616" s="1" t="s">
        <v>14437</v>
      </c>
      <c r="E1616" s="3">
        <f>IFERROR(VLOOKUP(B1616,'DA1'!$B$2:$D$999999,3,FALSE),"")</f>
      </c>
      <c r="F1616" s="1" t="str">
        <f>IFERROR(VLOOKUP(B1616,'SB1'!$A$2:$C$999999,3,FALSE),"")</f>
        <v>503</v>
      </c>
      <c r="G1616" s="3" t="e">
        <f t="shared" si="55"/>
        <v>#VALUE!</v>
      </c>
      <c r="H1616" s="3" t="e">
        <f t="shared" si="54"/>
        <v>#VALUE!</v>
      </c>
      <c r="I1616" s="1">
        <v>1</v>
      </c>
    </row>
    <row r="1617" spans="1:9" x14ac:dyDescent="0.25">
      <c r="A1617" s="1" t="s">
        <v>14435</v>
      </c>
      <c r="B1617" s="1" t="s">
        <v>4487</v>
      </c>
      <c r="C1617" s="1" t="str">
        <f>IFERROR(VLOOKUP(B1617,'SB1'!$A$2:$B$999999,2,FALSE),"")</f>
        <v>DISCO CORTE DOBLE A T41 MASTER ACERO 115X1,6X22,2</v>
      </c>
      <c r="D1617" s="1" t="s">
        <v>14451</v>
      </c>
      <c r="E1617" s="3">
        <f>IFERROR(VLOOKUP(B1617,'DA1'!$B$2:$D$999999,3,FALSE),"")</f>
      </c>
      <c r="F1617" s="1" t="str">
        <f>IFERROR(VLOOKUP(B1617,'SB1'!$A$2:$C$999999,3,FALSE),"")</f>
        <v>503</v>
      </c>
      <c r="G1617" s="3" t="e">
        <f t="shared" si="55"/>
        <v>#VALUE!</v>
      </c>
      <c r="H1617" s="3" t="e">
        <f t="shared" si="54"/>
        <v>#VALUE!</v>
      </c>
      <c r="I1617" s="1">
        <v>1</v>
      </c>
    </row>
    <row r="1618" spans="1:9" x14ac:dyDescent="0.25">
      <c r="A1618" s="1" t="s">
        <v>14435</v>
      </c>
      <c r="B1618" s="1" t="s">
        <v>4489</v>
      </c>
      <c r="C1618" s="1" t="str">
        <f>IFERROR(VLOOKUP(B1618,'SB1'!$A$2:$B$999999,2,FALSE),"")</f>
        <v>ESMALTE POLIURETANO ALBA BERMELLON X 4</v>
      </c>
      <c r="D1618" s="1" t="s">
        <v>14489</v>
      </c>
      <c r="E1618" s="3">
        <f>IFERROR(VLOOKUP(B1618,'DA1'!$B$2:$D$999999,3,FALSE),"")</f>
      </c>
      <c r="F1618" s="1" t="str">
        <f>IFERROR(VLOOKUP(B1618,'SB1'!$A$2:$C$999999,3,FALSE),"")</f>
        <v>503</v>
      </c>
      <c r="G1618" s="3" t="e">
        <f t="shared" si="55"/>
        <v>#VALUE!</v>
      </c>
      <c r="H1618" s="3" t="e">
        <f t="shared" si="54"/>
        <v>#VALUE!</v>
      </c>
      <c r="I1618" s="1">
        <v>1</v>
      </c>
    </row>
    <row r="1619" spans="1:9" x14ac:dyDescent="0.25">
      <c r="A1619" s="1" t="s">
        <v>14435</v>
      </c>
      <c r="B1619" s="1" t="s">
        <v>4491</v>
      </c>
      <c r="C1619" s="1" t="str">
        <f>IFERROR(VLOOKUP(B1619,'SB1'!$A$2:$B$999999,2,FALSE),"")</f>
        <v>ESMALTE POLIURETANO ALBA AMARILLO X  4</v>
      </c>
      <c r="D1619" s="1" t="s">
        <v>14489</v>
      </c>
      <c r="E1619" s="3">
        <f>IFERROR(VLOOKUP(B1619,'DA1'!$B$2:$D$999999,3,FALSE),"")</f>
      </c>
      <c r="F1619" s="1" t="str">
        <f>IFERROR(VLOOKUP(B1619,'SB1'!$A$2:$C$999999,3,FALSE),"")</f>
        <v>503</v>
      </c>
      <c r="G1619" s="3" t="e">
        <f t="shared" si="55"/>
        <v>#VALUE!</v>
      </c>
      <c r="H1619" s="3" t="e">
        <f t="shared" si="54"/>
        <v>#VALUE!</v>
      </c>
      <c r="I1619" s="1">
        <v>1</v>
      </c>
    </row>
    <row r="1620" spans="1:9" x14ac:dyDescent="0.25">
      <c r="A1620" s="1" t="s">
        <v>14435</v>
      </c>
      <c r="B1620" s="1" t="s">
        <v>4493</v>
      </c>
      <c r="C1620" s="1" t="str">
        <f>IFERROR(VLOOKUP(B1620,'SB1'!$A$2:$B$999999,2,FALSE),"")</f>
        <v>ESMALTE SINTETICO TERSUAVE 2EN1 BRILLANTE TABACO X  0,500</v>
      </c>
      <c r="D1620" s="1" t="s">
        <v>14437</v>
      </c>
      <c r="E1620" s="3">
        <f>IFERROR(VLOOKUP(B1620,'DA1'!$B$2:$D$999999,3,FALSE),"")</f>
      </c>
      <c r="F1620" s="1" t="str">
        <f>IFERROR(VLOOKUP(B1620,'SB1'!$A$2:$C$999999,3,FALSE),"")</f>
        <v>503</v>
      </c>
      <c r="G1620" s="3" t="e">
        <f t="shared" si="55"/>
        <v>#VALUE!</v>
      </c>
      <c r="H1620" s="3" t="e">
        <f t="shared" si="54"/>
        <v>#VALUE!</v>
      </c>
      <c r="I1620" s="1">
        <v>1</v>
      </c>
    </row>
    <row r="1621" spans="1:9" x14ac:dyDescent="0.25">
      <c r="A1621" s="1" t="s">
        <v>14435</v>
      </c>
      <c r="B1621" s="1" t="s">
        <v>4495</v>
      </c>
      <c r="C1621" s="1" t="str">
        <f>IFERROR(VLOOKUP(B1621,'SB1'!$A$2:$B$999999,2,FALSE),"")</f>
        <v>ESMALTE EPOXI TERSUAVE INDULAC BLANCO X  1</v>
      </c>
      <c r="D1621" s="1" t="s">
        <v>14487</v>
      </c>
      <c r="E1621" s="3">
        <f>IFERROR(VLOOKUP(B1621,'DA1'!$B$2:$D$999999,3,FALSE),"")</f>
      </c>
      <c r="F1621" s="1" t="str">
        <f>IFERROR(VLOOKUP(B1621,'SB1'!$A$2:$C$999999,3,FALSE),"")</f>
        <v>503</v>
      </c>
      <c r="G1621" s="3" t="e">
        <f t="shared" si="55"/>
        <v>#VALUE!</v>
      </c>
      <c r="H1621" s="3" t="e">
        <f t="shared" si="54"/>
        <v>#VALUE!</v>
      </c>
      <c r="I1621" s="1">
        <v>1</v>
      </c>
    </row>
    <row r="1622" spans="1:9" x14ac:dyDescent="0.25">
      <c r="A1622" s="1" t="s">
        <v>14435</v>
      </c>
      <c r="B1622" s="1" t="s">
        <v>4497</v>
      </c>
      <c r="C1622" s="1" t="str">
        <f>IFERROR(VLOOKUP(B1622,'SB1'!$A$2:$B$999999,2,FALSE),"")</f>
        <v>PROTECTOR PARA LADRILLO TERSUAVE IMPRECOL SATINADO NATURAL X  1</v>
      </c>
      <c r="D1622" s="1" t="s">
        <v>14437</v>
      </c>
      <c r="E1622" s="3">
        <f>IFERROR(VLOOKUP(B1622,'DA1'!$B$2:$D$999999,3,FALSE),"")</f>
      </c>
      <c r="F1622" s="1" t="str">
        <f>IFERROR(VLOOKUP(B1622,'SB1'!$A$2:$C$999999,3,FALSE),"")</f>
        <v>503</v>
      </c>
      <c r="G1622" s="3" t="e">
        <f t="shared" si="55"/>
        <v>#VALUE!</v>
      </c>
      <c r="H1622" s="3" t="e">
        <f t="shared" si="54"/>
        <v>#VALUE!</v>
      </c>
      <c r="I1622" s="1">
        <v>1</v>
      </c>
    </row>
    <row r="1623" spans="1:9" x14ac:dyDescent="0.25">
      <c r="A1623" s="1" t="s">
        <v>14435</v>
      </c>
      <c r="B1623" s="1" t="s">
        <v>4499</v>
      </c>
      <c r="C1623" s="1" t="str">
        <f>IFERROR(VLOOKUP(B1623,'SB1'!$A$2:$B$999999,2,FALSE),"")</f>
        <v>ESMALTE SINTETICO TERSUAVE 2EN1 BRILLANTE VIOLETA X 0,500</v>
      </c>
      <c r="D1623" s="1" t="s">
        <v>14437</v>
      </c>
      <c r="E1623" s="3">
        <f>IFERROR(VLOOKUP(B1623,'DA1'!$B$2:$D$999999,3,FALSE),"")</f>
      </c>
      <c r="F1623" s="1" t="str">
        <f>IFERROR(VLOOKUP(B1623,'SB1'!$A$2:$C$999999,3,FALSE),"")</f>
        <v>503</v>
      </c>
      <c r="G1623" s="3" t="e">
        <f t="shared" si="55"/>
        <v>#VALUE!</v>
      </c>
      <c r="H1623" s="3" t="e">
        <f t="shared" si="54"/>
        <v>#VALUE!</v>
      </c>
      <c r="I1623" s="1">
        <v>1</v>
      </c>
    </row>
    <row r="1624" spans="1:9" x14ac:dyDescent="0.25">
      <c r="A1624" s="1" t="s">
        <v>14435</v>
      </c>
      <c r="B1624" s="1" t="s">
        <v>4501</v>
      </c>
      <c r="C1624" s="1" t="str">
        <f>IFERROR(VLOOKUP(B1624,'SB1'!$A$2:$B$999999,2,FALSE),"")</f>
        <v>PROTECTOR PARA LADRILLO TERSUAVE IMPRECOL SATINADO CERAMICO X  1</v>
      </c>
      <c r="D1624" s="1" t="s">
        <v>14437</v>
      </c>
      <c r="E1624" s="3">
        <f>IFERROR(VLOOKUP(B1624,'DA1'!$B$2:$D$999999,3,FALSE),"")</f>
      </c>
      <c r="F1624" s="1" t="str">
        <f>IFERROR(VLOOKUP(B1624,'SB1'!$A$2:$C$999999,3,FALSE),"")</f>
        <v>503</v>
      </c>
      <c r="G1624" s="3" t="e">
        <f t="shared" si="55"/>
        <v>#VALUE!</v>
      </c>
      <c r="H1624" s="3" t="e">
        <f t="shared" si="54"/>
        <v>#VALUE!</v>
      </c>
      <c r="I1624" s="1">
        <v>1</v>
      </c>
    </row>
    <row r="1625" spans="1:9" x14ac:dyDescent="0.25">
      <c r="A1625" s="1" t="s">
        <v>14435</v>
      </c>
      <c r="B1625" s="1" t="s">
        <v>4507</v>
      </c>
      <c r="C1625" s="1" t="str">
        <f>IFERROR(VLOOKUP(B1625,'SB1'!$A$2:$B$999999,2,FALSE),"")</f>
        <v>IMPERMEABLIZANTE PARA TECHOS RECUPLAST FIBRADO BLANCO X 10</v>
      </c>
      <c r="D1625" s="1" t="s">
        <v>14463</v>
      </c>
      <c r="E1625" s="3">
        <f>IFERROR(VLOOKUP(B1625,'DA1'!$B$2:$D$999999,3,FALSE),"")</f>
      </c>
      <c r="F1625" s="1" t="str">
        <f>IFERROR(VLOOKUP(B1625,'SB1'!$A$2:$C$999999,3,FALSE),"")</f>
        <v>503</v>
      </c>
      <c r="G1625" s="3" t="e">
        <f t="shared" si="55"/>
        <v>#VALUE!</v>
      </c>
      <c r="H1625" s="3" t="e">
        <f t="shared" si="54"/>
        <v>#VALUE!</v>
      </c>
      <c r="I1625" s="1">
        <v>1</v>
      </c>
    </row>
    <row r="1626" spans="1:9" x14ac:dyDescent="0.25">
      <c r="A1626" s="1" t="s">
        <v>14435</v>
      </c>
      <c r="B1626" s="1" t="s">
        <v>4511</v>
      </c>
      <c r="C1626" s="1" t="str">
        <f>IFERROR(VLOOKUP(B1626,'SB1'!$A$2:$B$999999,2,FALSE),"")</f>
        <v>ESMALTE SINTETICO TERSUAVE 2EN1 BRILLANTE AMAR.MED. X  0,500</v>
      </c>
      <c r="D1626" s="1" t="s">
        <v>14437</v>
      </c>
      <c r="E1626" s="3">
        <f>IFERROR(VLOOKUP(B1626,'DA1'!$B$2:$D$999999,3,FALSE),"")</f>
      </c>
      <c r="F1626" s="1" t="str">
        <f>IFERROR(VLOOKUP(B1626,'SB1'!$A$2:$C$999999,3,FALSE),"")</f>
        <v>503</v>
      </c>
      <c r="G1626" s="3" t="e">
        <f t="shared" si="55"/>
        <v>#VALUE!</v>
      </c>
      <c r="H1626" s="3" t="e">
        <f t="shared" si="54"/>
        <v>#VALUE!</v>
      </c>
      <c r="I1626" s="1">
        <v>1</v>
      </c>
    </row>
    <row r="1627" spans="1:9" x14ac:dyDescent="0.25">
      <c r="A1627" s="1" t="s">
        <v>14435</v>
      </c>
      <c r="B1627" s="1" t="s">
        <v>4531</v>
      </c>
      <c r="C1627" s="1" t="str">
        <f>IFERROR(VLOOKUP(B1627,'SB1'!$A$2:$B$999999,2,FALSE),"")</f>
        <v>HOJA RECTA ALUMINIO SIN FIN 8 ESC</v>
      </c>
      <c r="D1627" s="1" t="s">
        <v>14471</v>
      </c>
      <c r="E1627" s="3">
        <f>IFERROR(VLOOKUP(B1627,'DA1'!$B$2:$D$999999,3,FALSE),"")</f>
      </c>
      <c r="F1627" s="1" t="str">
        <f>IFERROR(VLOOKUP(B1627,'SB1'!$A$2:$C$999999,3,FALSE),"")</f>
        <v>503</v>
      </c>
      <c r="G1627" s="3" t="e">
        <f t="shared" si="55"/>
        <v>#VALUE!</v>
      </c>
      <c r="H1627" s="3" t="e">
        <f t="shared" si="54"/>
        <v>#VALUE!</v>
      </c>
      <c r="I1627" s="1">
        <v>2</v>
      </c>
    </row>
    <row r="1628" spans="1:9" x14ac:dyDescent="0.25">
      <c r="A1628" s="1" t="s">
        <v>14435</v>
      </c>
      <c r="B1628" s="1" t="s">
        <v>4533</v>
      </c>
      <c r="C1628" s="1" t="str">
        <f>IFERROR(VLOOKUP(B1628,'SB1'!$A$2:$B$999999,2,FALSE),"")</f>
        <v>HOJA RECTA ALUMINIO SIN FIN 10 ESC</v>
      </c>
      <c r="D1628" s="1" t="s">
        <v>14471</v>
      </c>
      <c r="E1628" s="3">
        <f>IFERROR(VLOOKUP(B1628,'DA1'!$B$2:$D$999999,3,FALSE),"")</f>
      </c>
      <c r="F1628" s="1" t="str">
        <f>IFERROR(VLOOKUP(B1628,'SB1'!$A$2:$C$999999,3,FALSE),"")</f>
        <v>503</v>
      </c>
      <c r="G1628" s="3" t="e">
        <f t="shared" si="55"/>
        <v>#VALUE!</v>
      </c>
      <c r="H1628" s="3" t="e">
        <f t="shared" si="54"/>
        <v>#VALUE!</v>
      </c>
      <c r="I1628" s="1">
        <v>2</v>
      </c>
    </row>
    <row r="1629" spans="1:9" x14ac:dyDescent="0.25">
      <c r="A1629" s="1" t="s">
        <v>14435</v>
      </c>
      <c r="B1629" s="1" t="s">
        <v>4535</v>
      </c>
      <c r="C1629" s="1" t="str">
        <f>IFERROR(VLOOKUP(B1629,'SB1'!$A$2:$B$999999,2,FALSE),"")</f>
        <v>HOJA RECTA ALUMINIO SIN FIN 12 ESC</v>
      </c>
      <c r="D1629" s="1" t="s">
        <v>14471</v>
      </c>
      <c r="E1629" s="3">
        <f>IFERROR(VLOOKUP(B1629,'DA1'!$B$2:$D$999999,3,FALSE),"")</f>
      </c>
      <c r="F1629" s="1" t="str">
        <f>IFERROR(VLOOKUP(B1629,'SB1'!$A$2:$C$999999,3,FALSE),"")</f>
        <v>503</v>
      </c>
      <c r="G1629" s="3" t="e">
        <f t="shared" si="55"/>
        <v>#VALUE!</v>
      </c>
      <c r="H1629" s="3" t="e">
        <f t="shared" si="54"/>
        <v>#VALUE!</v>
      </c>
      <c r="I1629" s="1">
        <v>2</v>
      </c>
    </row>
    <row r="1630" spans="1:9" x14ac:dyDescent="0.25">
      <c r="A1630" s="1" t="s">
        <v>14435</v>
      </c>
      <c r="B1630" s="1" t="s">
        <v>4537</v>
      </c>
      <c r="C1630" s="1" t="str">
        <f>IFERROR(VLOOKUP(B1630,'SB1'!$A$2:$B$999999,2,FALSE),"")</f>
        <v>HOJA RECTA ALUMINIO SIN FIN 14 ESC</v>
      </c>
      <c r="D1630" s="1" t="s">
        <v>14471</v>
      </c>
      <c r="E1630" s="3">
        <f>IFERROR(VLOOKUP(B1630,'DA1'!$B$2:$D$999999,3,FALSE),"")</f>
      </c>
      <c r="F1630" s="1" t="str">
        <f>IFERROR(VLOOKUP(B1630,'SB1'!$A$2:$C$999999,3,FALSE),"")</f>
        <v>503</v>
      </c>
      <c r="G1630" s="3" t="e">
        <f t="shared" si="55"/>
        <v>#VALUE!</v>
      </c>
      <c r="H1630" s="3" t="e">
        <f t="shared" si="54"/>
        <v>#VALUE!</v>
      </c>
      <c r="I1630" s="1">
        <v>2</v>
      </c>
    </row>
    <row r="1631" spans="1:9" x14ac:dyDescent="0.25">
      <c r="A1631" s="1" t="s">
        <v>14435</v>
      </c>
      <c r="B1631" s="1" t="s">
        <v>4539</v>
      </c>
      <c r="C1631" s="1" t="str">
        <f>IFERROR(VLOOKUP(B1631,'SB1'!$A$2:$B$999999,2,FALSE),"")</f>
        <v>HOJA RECTA ALUMINIO SIN FIN 16 ESC</v>
      </c>
      <c r="D1631" s="1" t="s">
        <v>14471</v>
      </c>
      <c r="E1631" s="3">
        <f>IFERROR(VLOOKUP(B1631,'DA1'!$B$2:$D$999999,3,FALSE),"")</f>
      </c>
      <c r="F1631" s="1" t="str">
        <f>IFERROR(VLOOKUP(B1631,'SB1'!$A$2:$C$999999,3,FALSE),"")</f>
        <v>503</v>
      </c>
      <c r="G1631" s="3" t="e">
        <f t="shared" si="55"/>
        <v>#VALUE!</v>
      </c>
      <c r="H1631" s="3" t="e">
        <f t="shared" si="54"/>
        <v>#VALUE!</v>
      </c>
      <c r="I1631" s="1">
        <v>2</v>
      </c>
    </row>
    <row r="1632" spans="1:9" x14ac:dyDescent="0.25">
      <c r="A1632" s="1" t="s">
        <v>14435</v>
      </c>
      <c r="B1632" s="1" t="s">
        <v>4541</v>
      </c>
      <c r="C1632" s="1" t="str">
        <f>IFERROR(VLOOKUP(B1632,'SB1'!$A$2:$B$999999,2,FALSE),"")</f>
        <v>HOJA RECTA ALUMINIO SIN FIN 18 ESC</v>
      </c>
      <c r="D1632" s="1" t="s">
        <v>14471</v>
      </c>
      <c r="E1632" s="3">
        <f>IFERROR(VLOOKUP(B1632,'DA1'!$B$2:$D$999999,3,FALSE),"")</f>
      </c>
      <c r="F1632" s="1" t="str">
        <f>IFERROR(VLOOKUP(B1632,'SB1'!$A$2:$C$999999,3,FALSE),"")</f>
        <v>503</v>
      </c>
      <c r="G1632" s="3" t="e">
        <f t="shared" si="55"/>
        <v>#VALUE!</v>
      </c>
      <c r="H1632" s="3" t="e">
        <f t="shared" si="54"/>
        <v>#VALUE!</v>
      </c>
      <c r="I1632" s="1">
        <v>2</v>
      </c>
    </row>
    <row r="1633" spans="1:9" x14ac:dyDescent="0.25">
      <c r="A1633" s="1" t="s">
        <v>14435</v>
      </c>
      <c r="B1633" s="1" t="s">
        <v>4543</v>
      </c>
      <c r="C1633" s="1" t="str">
        <f>IFERROR(VLOOKUP(B1633,'SB1'!$A$2:$B$999999,2,FALSE),"")</f>
        <v>HOJA RECTA ALUMINIO SIN FIN 20 ESC</v>
      </c>
      <c r="D1633" s="1" t="s">
        <v>14471</v>
      </c>
      <c r="E1633" s="3">
        <f>IFERROR(VLOOKUP(B1633,'DA1'!$B$2:$D$999999,3,FALSE),"")</f>
      </c>
      <c r="F1633" s="1" t="str">
        <f>IFERROR(VLOOKUP(B1633,'SB1'!$A$2:$C$999999,3,FALSE),"")</f>
        <v>503</v>
      </c>
      <c r="G1633" s="3" t="e">
        <f t="shared" si="55"/>
        <v>#VALUE!</v>
      </c>
      <c r="H1633" s="3" t="e">
        <f t="shared" si="54"/>
        <v>#VALUE!</v>
      </c>
      <c r="I1633" s="1">
        <v>2</v>
      </c>
    </row>
    <row r="1634" spans="1:9" x14ac:dyDescent="0.25">
      <c r="A1634" s="1" t="s">
        <v>14435</v>
      </c>
      <c r="B1634" s="1" t="s">
        <v>4545</v>
      </c>
      <c r="C1634" s="1" t="str">
        <f>IFERROR(VLOOKUP(B1634,'SB1'!$A$2:$B$999999,2,FALSE),"")</f>
        <v>HOJA RECTA ALUMINIO SIN FIN 22 ESC</v>
      </c>
      <c r="D1634" s="1" t="s">
        <v>14471</v>
      </c>
      <c r="E1634" s="3">
        <f>IFERROR(VLOOKUP(B1634,'DA1'!$B$2:$D$999999,3,FALSE),"")</f>
      </c>
      <c r="F1634" s="1" t="str">
        <f>IFERROR(VLOOKUP(B1634,'SB1'!$A$2:$C$999999,3,FALSE),"")</f>
        <v>503</v>
      </c>
      <c r="G1634" s="3" t="e">
        <f t="shared" si="55"/>
        <v>#VALUE!</v>
      </c>
      <c r="H1634" s="3" t="e">
        <f t="shared" si="54"/>
        <v>#VALUE!</v>
      </c>
      <c r="I1634" s="1">
        <v>2</v>
      </c>
    </row>
    <row r="1635" spans="1:9" x14ac:dyDescent="0.25">
      <c r="A1635" s="1" t="s">
        <v>14435</v>
      </c>
      <c r="B1635" s="1" t="s">
        <v>4547</v>
      </c>
      <c r="C1635" s="1" t="str">
        <f>IFERROR(VLOOKUP(B1635,'SB1'!$A$2:$B$999999,2,FALSE),"")</f>
        <v>DISCO LIJA DOBLE A MASTER PLUMA AUF8P 127X- 80</v>
      </c>
      <c r="D1635" s="1" t="s">
        <v>14451</v>
      </c>
      <c r="E1635" s="3">
        <f>IFERROR(VLOOKUP(B1635,'DA1'!$B$2:$D$999999,3,FALSE),"")</f>
      </c>
      <c r="F1635" s="1" t="str">
        <f>IFERROR(VLOOKUP(B1635,'SB1'!$A$2:$C$999999,3,FALSE),"")</f>
        <v>503</v>
      </c>
      <c r="G1635" s="3" t="e">
        <f t="shared" si="55"/>
        <v>#VALUE!</v>
      </c>
      <c r="H1635" s="3" t="e">
        <f t="shared" ref="H1635:H1698" si="56">G1635*1.21</f>
        <v>#VALUE!</v>
      </c>
      <c r="I1635" s="1">
        <v>1</v>
      </c>
    </row>
    <row r="1636" spans="1:9" x14ac:dyDescent="0.25">
      <c r="A1636" s="1" t="s">
        <v>14435</v>
      </c>
      <c r="B1636" s="1" t="s">
        <v>4549</v>
      </c>
      <c r="C1636" s="1" t="str">
        <f>IFERROR(VLOOKUP(B1636,'SB1'!$A$2:$B$999999,2,FALSE),"")</f>
        <v>DISCO LIJA DOBLE A MASTER PLUMA AUF8P 127X-100</v>
      </c>
      <c r="D1636" s="1" t="s">
        <v>14451</v>
      </c>
      <c r="E1636" s="3">
        <f>IFERROR(VLOOKUP(B1636,'DA1'!$B$2:$D$999999,3,FALSE),"")</f>
      </c>
      <c r="F1636" s="1" t="str">
        <f>IFERROR(VLOOKUP(B1636,'SB1'!$A$2:$C$999999,3,FALSE),"")</f>
        <v>503</v>
      </c>
      <c r="G1636" s="3" t="e">
        <f t="shared" si="55"/>
        <v>#VALUE!</v>
      </c>
      <c r="H1636" s="3" t="e">
        <f t="shared" si="56"/>
        <v>#VALUE!</v>
      </c>
      <c r="I1636" s="1">
        <v>1</v>
      </c>
    </row>
    <row r="1637" spans="1:9" x14ac:dyDescent="0.25">
      <c r="A1637" s="1" t="s">
        <v>14435</v>
      </c>
      <c r="B1637" s="1" t="s">
        <v>4551</v>
      </c>
      <c r="C1637" s="1" t="str">
        <f>IFERROR(VLOOKUP(B1637,'SB1'!$A$2:$B$999999,2,FALSE),"")</f>
        <v>DISCO LIJA DOBLE A MASTER PLUMA AUF8P 127X-120</v>
      </c>
      <c r="D1637" s="1" t="s">
        <v>14451</v>
      </c>
      <c r="E1637" s="3">
        <f>IFERROR(VLOOKUP(B1637,'DA1'!$B$2:$D$999999,3,FALSE),"")</f>
      </c>
      <c r="F1637" s="1" t="str">
        <f>IFERROR(VLOOKUP(B1637,'SB1'!$A$2:$C$999999,3,FALSE),"")</f>
        <v>503</v>
      </c>
      <c r="G1637" s="3" t="e">
        <f t="shared" si="55"/>
        <v>#VALUE!</v>
      </c>
      <c r="H1637" s="3" t="e">
        <f t="shared" si="56"/>
        <v>#VALUE!</v>
      </c>
      <c r="I1637" s="1">
        <v>1</v>
      </c>
    </row>
    <row r="1638" spans="1:9" x14ac:dyDescent="0.25">
      <c r="A1638" s="1" t="s">
        <v>14435</v>
      </c>
      <c r="B1638" s="1" t="s">
        <v>4553</v>
      </c>
      <c r="C1638" s="1" t="str">
        <f>IFERROR(VLOOKUP(B1638,'SB1'!$A$2:$B$999999,2,FALSE),"")</f>
        <v>DISCO LIJA DOBLE A MASTER PLUMA AUF8P 127X-150</v>
      </c>
      <c r="D1638" s="1" t="s">
        <v>14451</v>
      </c>
      <c r="E1638" s="3">
        <f>IFERROR(VLOOKUP(B1638,'DA1'!$B$2:$D$999999,3,FALSE),"")</f>
      </c>
      <c r="F1638" s="1" t="str">
        <f>IFERROR(VLOOKUP(B1638,'SB1'!$A$2:$C$999999,3,FALSE),"")</f>
        <v>503</v>
      </c>
      <c r="G1638" s="3" t="e">
        <f t="shared" si="55"/>
        <v>#VALUE!</v>
      </c>
      <c r="H1638" s="3" t="e">
        <f t="shared" si="56"/>
        <v>#VALUE!</v>
      </c>
      <c r="I1638" s="1">
        <v>1</v>
      </c>
    </row>
    <row r="1639" spans="1:9" x14ac:dyDescent="0.25">
      <c r="A1639" s="1" t="s">
        <v>14435</v>
      </c>
      <c r="B1639" s="1" t="s">
        <v>4555</v>
      </c>
      <c r="C1639" s="1" t="str">
        <f>IFERROR(VLOOKUP(B1639,'SB1'!$A$2:$B$999999,2,FALSE),"")</f>
        <v>DISCO LIJA DOBLE A MASTER PLUMA AUF8P 127X-180</v>
      </c>
      <c r="D1639" s="1" t="s">
        <v>14451</v>
      </c>
      <c r="E1639" s="3">
        <f>IFERROR(VLOOKUP(B1639,'DA1'!$B$2:$D$999999,3,FALSE),"")</f>
      </c>
      <c r="F1639" s="1" t="str">
        <f>IFERROR(VLOOKUP(B1639,'SB1'!$A$2:$C$999999,3,FALSE),"")</f>
        <v>503</v>
      </c>
      <c r="G1639" s="3" t="e">
        <f t="shared" si="55"/>
        <v>#VALUE!</v>
      </c>
      <c r="H1639" s="3" t="e">
        <f t="shared" si="56"/>
        <v>#VALUE!</v>
      </c>
      <c r="I1639" s="1">
        <v>1</v>
      </c>
    </row>
    <row r="1640" spans="1:9" x14ac:dyDescent="0.25">
      <c r="A1640" s="1" t="s">
        <v>14435</v>
      </c>
      <c r="B1640" s="1" t="s">
        <v>4557</v>
      </c>
      <c r="C1640" s="1" t="str">
        <f>IFERROR(VLOOKUP(B1640,'SB1'!$A$2:$B$999999,2,FALSE),"")</f>
        <v>DISCO LIJA DOBLE A MASTER PLUMA AUF8P 127X-220</v>
      </c>
      <c r="D1640" s="1" t="s">
        <v>14451</v>
      </c>
      <c r="E1640" s="3">
        <f>IFERROR(VLOOKUP(B1640,'DA1'!$B$2:$D$999999,3,FALSE),"")</f>
      </c>
      <c r="F1640" s="1" t="str">
        <f>IFERROR(VLOOKUP(B1640,'SB1'!$A$2:$C$999999,3,FALSE),"")</f>
        <v>503</v>
      </c>
      <c r="G1640" s="3" t="e">
        <f t="shared" si="55"/>
        <v>#VALUE!</v>
      </c>
      <c r="H1640" s="3" t="e">
        <f t="shared" si="56"/>
        <v>#VALUE!</v>
      </c>
      <c r="I1640" s="1">
        <v>1</v>
      </c>
    </row>
    <row r="1641" spans="1:9" x14ac:dyDescent="0.25">
      <c r="A1641" s="1" t="s">
        <v>14435</v>
      </c>
      <c r="B1641" s="1" t="s">
        <v>4559</v>
      </c>
      <c r="C1641" s="1" t="str">
        <f>IFERROR(VLOOKUP(B1641,'SB1'!$A$2:$B$999999,2,FALSE),"")</f>
        <v>DISCO LIJA DOBLE A MASTER PLUMA AUF8P 127X-240</v>
      </c>
      <c r="D1641" s="1" t="s">
        <v>14451</v>
      </c>
      <c r="E1641" s="3">
        <f>IFERROR(VLOOKUP(B1641,'DA1'!$B$2:$D$999999,3,FALSE),"")</f>
      </c>
      <c r="F1641" s="1" t="str">
        <f>IFERROR(VLOOKUP(B1641,'SB1'!$A$2:$C$999999,3,FALSE),"")</f>
        <v>503</v>
      </c>
      <c r="G1641" s="3" t="e">
        <f t="shared" si="55"/>
        <v>#VALUE!</v>
      </c>
      <c r="H1641" s="3" t="e">
        <f t="shared" si="56"/>
        <v>#VALUE!</v>
      </c>
      <c r="I1641" s="1">
        <v>1</v>
      </c>
    </row>
    <row r="1642" spans="1:9" x14ac:dyDescent="0.25">
      <c r="A1642" s="1" t="s">
        <v>14435</v>
      </c>
      <c r="B1642" s="1" t="s">
        <v>4561</v>
      </c>
      <c r="C1642" s="1" t="str">
        <f>IFERROR(VLOOKUP(B1642,'SB1'!$A$2:$B$999999,2,FALSE),"")</f>
        <v>DISCO LIJA DOBLE A MASTER PLUMA AUF8P 127X-280</v>
      </c>
      <c r="D1642" s="1" t="s">
        <v>14451</v>
      </c>
      <c r="E1642" s="3">
        <f>IFERROR(VLOOKUP(B1642,'DA1'!$B$2:$D$999999,3,FALSE),"")</f>
      </c>
      <c r="F1642" s="1" t="str">
        <f>IFERROR(VLOOKUP(B1642,'SB1'!$A$2:$C$999999,3,FALSE),"")</f>
        <v>503</v>
      </c>
      <c r="G1642" s="3" t="e">
        <f t="shared" si="55"/>
        <v>#VALUE!</v>
      </c>
      <c r="H1642" s="3" t="e">
        <f t="shared" si="56"/>
        <v>#VALUE!</v>
      </c>
      <c r="I1642" s="1">
        <v>1</v>
      </c>
    </row>
    <row r="1643" spans="1:9" x14ac:dyDescent="0.25">
      <c r="A1643" s="1" t="s">
        <v>14435</v>
      </c>
      <c r="B1643" s="1" t="s">
        <v>4563</v>
      </c>
      <c r="C1643" s="1" t="str">
        <f>IFERROR(VLOOKUP(B1643,'SB1'!$A$2:$B$999999,2,FALSE),"")</f>
        <v>DISCO LIJA DOBLE A MASTER PLUMA AUF8P 127X-320</v>
      </c>
      <c r="D1643" s="1" t="s">
        <v>14451</v>
      </c>
      <c r="E1643" s="3">
        <f>IFERROR(VLOOKUP(B1643,'DA1'!$B$2:$D$999999,3,FALSE),"")</f>
      </c>
      <c r="F1643" s="1" t="str">
        <f>IFERROR(VLOOKUP(B1643,'SB1'!$A$2:$C$999999,3,FALSE),"")</f>
        <v>503</v>
      </c>
      <c r="G1643" s="3" t="e">
        <f t="shared" si="55"/>
        <v>#VALUE!</v>
      </c>
      <c r="H1643" s="3" t="e">
        <f t="shared" si="56"/>
        <v>#VALUE!</v>
      </c>
      <c r="I1643" s="1">
        <v>1</v>
      </c>
    </row>
    <row r="1644" spans="1:9" x14ac:dyDescent="0.25">
      <c r="A1644" s="1" t="s">
        <v>14435</v>
      </c>
      <c r="B1644" s="1" t="s">
        <v>4565</v>
      </c>
      <c r="C1644" s="1" t="str">
        <f>IFERROR(VLOOKUP(B1644,'SB1'!$A$2:$B$999999,2,FALSE),"")</f>
        <v>DISCO LIJA DOBLE A MASTER PLUMA AUF8P 127X-360</v>
      </c>
      <c r="D1644" s="1" t="s">
        <v>14451</v>
      </c>
      <c r="E1644" s="3">
        <f>IFERROR(VLOOKUP(B1644,'DA1'!$B$2:$D$999999,3,FALSE),"")</f>
      </c>
      <c r="F1644" s="1" t="str">
        <f>IFERROR(VLOOKUP(B1644,'SB1'!$A$2:$C$999999,3,FALSE),"")</f>
        <v>503</v>
      </c>
      <c r="G1644" s="3" t="e">
        <f t="shared" si="55"/>
        <v>#VALUE!</v>
      </c>
      <c r="H1644" s="3" t="e">
        <f t="shared" si="56"/>
        <v>#VALUE!</v>
      </c>
      <c r="I1644" s="1">
        <v>1</v>
      </c>
    </row>
    <row r="1645" spans="1:9" x14ac:dyDescent="0.25">
      <c r="A1645" s="1" t="s">
        <v>14435</v>
      </c>
      <c r="B1645" s="1" t="s">
        <v>4567</v>
      </c>
      <c r="C1645" s="1" t="str">
        <f>IFERROR(VLOOKUP(B1645,'SB1'!$A$2:$B$999999,2,FALSE),"")</f>
        <v>DISCO LIJA DOBLE A MASTER AUF8P 127X-400</v>
      </c>
      <c r="D1645" s="1" t="s">
        <v>14451</v>
      </c>
      <c r="E1645" s="3">
        <f>IFERROR(VLOOKUP(B1645,'DA1'!$B$2:$D$999999,3,FALSE),"")</f>
      </c>
      <c r="F1645" s="1" t="str">
        <f>IFERROR(VLOOKUP(B1645,'SB1'!$A$2:$C$999999,3,FALSE),"")</f>
        <v>503</v>
      </c>
      <c r="G1645" s="3" t="e">
        <f t="shared" si="55"/>
        <v>#VALUE!</v>
      </c>
      <c r="H1645" s="3" t="e">
        <f t="shared" si="56"/>
        <v>#VALUE!</v>
      </c>
      <c r="I1645" s="1">
        <v>1</v>
      </c>
    </row>
    <row r="1646" spans="1:9" x14ac:dyDescent="0.25">
      <c r="A1646" s="1" t="s">
        <v>14435</v>
      </c>
      <c r="B1646" s="1" t="s">
        <v>4569</v>
      </c>
      <c r="C1646" s="1" t="str">
        <f>IFERROR(VLOOKUP(B1646,'SB1'!$A$2:$B$999999,2,FALSE),"")</f>
        <v>DISCO LIJA DOBLE A MASTER AUF8P 127X-600</v>
      </c>
      <c r="D1646" s="1" t="s">
        <v>14451</v>
      </c>
      <c r="E1646" s="3">
        <f>IFERROR(VLOOKUP(B1646,'DA1'!$B$2:$D$999999,3,FALSE),"")</f>
      </c>
      <c r="F1646" s="1" t="str">
        <f>IFERROR(VLOOKUP(B1646,'SB1'!$A$2:$C$999999,3,FALSE),"")</f>
        <v>503</v>
      </c>
      <c r="G1646" s="3" t="e">
        <f t="shared" si="55"/>
        <v>#VALUE!</v>
      </c>
      <c r="H1646" s="3" t="e">
        <f t="shared" si="56"/>
        <v>#VALUE!</v>
      </c>
      <c r="I1646" s="1">
        <v>1</v>
      </c>
    </row>
    <row r="1647" spans="1:9" x14ac:dyDescent="0.25">
      <c r="A1647" s="1" t="s">
        <v>14435</v>
      </c>
      <c r="B1647" s="1" t="s">
        <v>4571</v>
      </c>
      <c r="C1647" s="1" t="str">
        <f>IFERROR(VLOOKUP(B1647,'SB1'!$A$2:$B$999999,2,FALSE),"")</f>
        <v>PANO DE FIBRA ABRASIVA DOBLE A ABRATEX 150X225 #100 (MARRON)</v>
      </c>
      <c r="D1647" s="1" t="s">
        <v>14451</v>
      </c>
      <c r="E1647" s="3">
        <f>IFERROR(VLOOKUP(B1647,'DA1'!$B$2:$D$999999,3,FALSE),"")</f>
      </c>
      <c r="F1647" s="1" t="str">
        <f>IFERROR(VLOOKUP(B1647,'SB1'!$A$2:$C$999999,3,FALSE),"")</f>
        <v>503</v>
      </c>
      <c r="G1647" s="3" t="e">
        <f t="shared" si="55"/>
        <v>#VALUE!</v>
      </c>
      <c r="H1647" s="3" t="e">
        <f t="shared" si="56"/>
        <v>#VALUE!</v>
      </c>
      <c r="I1647" s="1">
        <v>1</v>
      </c>
    </row>
    <row r="1648" spans="1:9" x14ac:dyDescent="0.25">
      <c r="A1648" s="1" t="s">
        <v>14435</v>
      </c>
      <c r="B1648" s="1" t="s">
        <v>4573</v>
      </c>
      <c r="C1648" s="1" t="str">
        <f>IFERROR(VLOOKUP(B1648,'SB1'!$A$2:$B$999999,2,FALSE),"")</f>
        <v>PANO DE FIBRA ABRASIVA DOBLE A ABRATEX 150X225 #220 (MARRON)</v>
      </c>
      <c r="D1648" s="1" t="s">
        <v>14451</v>
      </c>
      <c r="E1648" s="3">
        <f>IFERROR(VLOOKUP(B1648,'DA1'!$B$2:$D$999999,3,FALSE),"")</f>
      </c>
      <c r="F1648" s="1" t="str">
        <f>IFERROR(VLOOKUP(B1648,'SB1'!$A$2:$C$999999,3,FALSE),"")</f>
        <v>503</v>
      </c>
      <c r="G1648" s="3" t="e">
        <f t="shared" si="55"/>
        <v>#VALUE!</v>
      </c>
      <c r="H1648" s="3" t="e">
        <f t="shared" si="56"/>
        <v>#VALUE!</v>
      </c>
      <c r="I1648" s="1">
        <v>1</v>
      </c>
    </row>
    <row r="1649" spans="1:9" x14ac:dyDescent="0.25">
      <c r="A1649" s="1" t="s">
        <v>14435</v>
      </c>
      <c r="B1649" s="1" t="s">
        <v>4575</v>
      </c>
      <c r="C1649" s="1" t="str">
        <f>IFERROR(VLOOKUP(B1649,'SB1'!$A$2:$B$999999,2,FALSE),"")</f>
        <v>PANO DE FIBRA ABRASIVA DOBLE A ABRATEX 150X225 #320 (VERDE)</v>
      </c>
      <c r="D1649" s="1" t="s">
        <v>14451</v>
      </c>
      <c r="E1649" s="3">
        <f>IFERROR(VLOOKUP(B1649,'DA1'!$B$2:$D$999999,3,FALSE),"")</f>
      </c>
      <c r="F1649" s="1" t="str">
        <f>IFERROR(VLOOKUP(B1649,'SB1'!$A$2:$C$999999,3,FALSE),"")</f>
        <v>503</v>
      </c>
      <c r="G1649" s="3" t="e">
        <f t="shared" si="55"/>
        <v>#VALUE!</v>
      </c>
      <c r="H1649" s="3" t="e">
        <f t="shared" si="56"/>
        <v>#VALUE!</v>
      </c>
      <c r="I1649" s="1">
        <v>1</v>
      </c>
    </row>
    <row r="1650" spans="1:9" x14ac:dyDescent="0.25">
      <c r="A1650" s="1" t="s">
        <v>14435</v>
      </c>
      <c r="B1650" s="1" t="s">
        <v>4577</v>
      </c>
      <c r="C1650" s="1" t="str">
        <f>IFERROR(VLOOKUP(B1650,'SB1'!$A$2:$B$999999,2,FALSE),"")</f>
        <v>PANO DE FIBRA ABRASIVA DOBLE A ABRATEX 150X225 #400 (BORDO)</v>
      </c>
      <c r="D1650" s="1" t="s">
        <v>14451</v>
      </c>
      <c r="E1650" s="3">
        <f>IFERROR(VLOOKUP(B1650,'DA1'!$B$2:$D$999999,3,FALSE),"")</f>
      </c>
      <c r="F1650" s="1" t="str">
        <f>IFERROR(VLOOKUP(B1650,'SB1'!$A$2:$C$999999,3,FALSE),"")</f>
        <v>503</v>
      </c>
      <c r="G1650" s="3" t="e">
        <f t="shared" si="55"/>
        <v>#VALUE!</v>
      </c>
      <c r="H1650" s="3" t="e">
        <f t="shared" si="56"/>
        <v>#VALUE!</v>
      </c>
      <c r="I1650" s="1">
        <v>1</v>
      </c>
    </row>
    <row r="1651" spans="1:8" x14ac:dyDescent="0.25">
      <c r="A1651" s="1" t="s">
        <v>14435</v>
      </c>
      <c r="B1651" s="1" t="s">
        <v>4579</v>
      </c>
      <c r="C1651" s="1" t="str">
        <f>IFERROR(VLOOKUP(B1651,'SB1'!$A$2:$B$999999,2,FALSE),"")</f>
        <v>PANO DE FIBRA ABRASIVA DOBLE A ABRATEX 150X225 #600 (GRIS)</v>
      </c>
      <c r="D1651" s="1" t="s">
        <v>14439</v>
      </c>
      <c r="E1651" s="3">
        <f>IFERROR(VLOOKUP(B1651,'DA1'!$B$2:$D$999999,3,FALSE),"")</f>
      </c>
      <c r="F1651" s="1" t="str">
        <f>IFERROR(VLOOKUP(B1651,'SB1'!$A$2:$C$999999,3,FALSE),"")</f>
        <v>503</v>
      </c>
      <c r="G1651" s="3" t="e">
        <f t="shared" si="55"/>
        <v>#VALUE!</v>
      </c>
      <c r="H1651" s="3" t="e">
        <f t="shared" si="56"/>
        <v>#VALUE!</v>
      </c>
    </row>
    <row r="1652" spans="1:8" x14ac:dyDescent="0.25">
      <c r="A1652" s="1" t="s">
        <v>14435</v>
      </c>
      <c r="B1652" s="1" t="s">
        <v>4581</v>
      </c>
      <c r="C1652" s="1" t="str">
        <f>IFERROR(VLOOKUP(B1652,'SB1'!$A$2:$B$999999,2,FALSE),"")</f>
        <v>LACA NITROSINTETICA TERSUAVE BLANCO PURO X 4</v>
      </c>
      <c r="D1652" s="1" t="s">
        <v>14439</v>
      </c>
      <c r="E1652" s="3">
        <f>IFERROR(VLOOKUP(B1652,'DA1'!$B$2:$D$999999,3,FALSE),"")</f>
      </c>
      <c r="F1652" s="1" t="str">
        <f>IFERROR(VLOOKUP(B1652,'SB1'!$A$2:$C$999999,3,FALSE),"")</f>
        <v>503</v>
      </c>
      <c r="G1652" s="3" t="e">
        <f t="shared" si="55"/>
        <v>#VALUE!</v>
      </c>
      <c r="H1652" s="3" t="e">
        <f t="shared" si="56"/>
        <v>#VALUE!</v>
      </c>
    </row>
    <row r="1653" spans="1:8" x14ac:dyDescent="0.25">
      <c r="A1653" s="1" t="s">
        <v>14435</v>
      </c>
      <c r="B1653" s="1" t="s">
        <v>4583</v>
      </c>
      <c r="C1653" s="1" t="str">
        <f>IFERROR(VLOOKUP(B1653,'SB1'!$A$2:$B$999999,2,FALSE),"")</f>
        <v>LACA NITROSINTETICA TERSUAVE AMARILLO TAXI X 4</v>
      </c>
      <c r="D1653" s="1" t="s">
        <v>14439</v>
      </c>
      <c r="E1653" s="3">
        <f>IFERROR(VLOOKUP(B1653,'DA1'!$B$2:$D$999999,3,FALSE),"")</f>
      </c>
      <c r="F1653" s="1" t="str">
        <f>IFERROR(VLOOKUP(B1653,'SB1'!$A$2:$C$999999,3,FALSE),"")</f>
        <v>503</v>
      </c>
      <c r="G1653" s="3" t="e">
        <f t="shared" si="55"/>
        <v>#VALUE!</v>
      </c>
      <c r="H1653" s="3" t="e">
        <f t="shared" si="56"/>
        <v>#VALUE!</v>
      </c>
    </row>
    <row r="1654" spans="1:8" x14ac:dyDescent="0.25">
      <c r="A1654" s="1" t="s">
        <v>14435</v>
      </c>
      <c r="B1654" s="1" t="s">
        <v>4585</v>
      </c>
      <c r="C1654" s="1" t="str">
        <f>IFERROR(VLOOKUP(B1654,'SB1'!$A$2:$B$999999,2,FALSE),"")</f>
        <v>LACA NITROSINTETICA TERSUAVE NARANJA ESC.X 4</v>
      </c>
      <c r="D1654" s="1" t="s">
        <v>14439</v>
      </c>
      <c r="E1654" s="3">
        <f>IFERROR(VLOOKUP(B1654,'DA1'!$B$2:$D$999999,3,FALSE),"")</f>
      </c>
      <c r="F1654" s="1" t="str">
        <f>IFERROR(VLOOKUP(B1654,'SB1'!$A$2:$C$999999,3,FALSE),"")</f>
        <v>503</v>
      </c>
      <c r="G1654" s="3" t="e">
        <f t="shared" si="55"/>
        <v>#VALUE!</v>
      </c>
      <c r="H1654" s="3" t="e">
        <f t="shared" si="56"/>
        <v>#VALUE!</v>
      </c>
    </row>
    <row r="1655" spans="1:8" x14ac:dyDescent="0.25">
      <c r="A1655" s="1" t="s">
        <v>14435</v>
      </c>
      <c r="B1655" s="1" t="s">
        <v>4587</v>
      </c>
      <c r="C1655" s="1" t="str">
        <f>IFERROR(VLOOKUP(B1655,'SB1'!$A$2:$B$999999,2,FALSE),"")</f>
        <v>LACA NITROSINTETICA TERSUAVE NEGRO AZABACHE X 4</v>
      </c>
      <c r="D1655" s="1" t="s">
        <v>14439</v>
      </c>
      <c r="E1655" s="3">
        <f>IFERROR(VLOOKUP(B1655,'DA1'!$B$2:$D$999999,3,FALSE),"")</f>
      </c>
      <c r="F1655" s="1" t="str">
        <f>IFERROR(VLOOKUP(B1655,'SB1'!$A$2:$C$999999,3,FALSE),"")</f>
        <v>503</v>
      </c>
      <c r="G1655" s="3" t="e">
        <f t="shared" si="55"/>
        <v>#VALUE!</v>
      </c>
      <c r="H1655" s="3" t="e">
        <f t="shared" si="56"/>
        <v>#VALUE!</v>
      </c>
    </row>
    <row r="1656" spans="1:8" x14ac:dyDescent="0.25">
      <c r="A1656" s="1" t="s">
        <v>14435</v>
      </c>
      <c r="B1656" s="1" t="s">
        <v>4589</v>
      </c>
      <c r="C1656" s="1" t="str">
        <f>IFERROR(VLOOKUP(B1656,'SB1'!$A$2:$B$999999,2,FALSE),"")</f>
        <v>LACA NITROSINTETICA TERSUAVE NEGRO SATINADO X 4</v>
      </c>
      <c r="D1656" s="1" t="s">
        <v>14439</v>
      </c>
      <c r="E1656" s="3">
        <f>IFERROR(VLOOKUP(B1656,'DA1'!$B$2:$D$999999,3,FALSE),"")</f>
      </c>
      <c r="F1656" s="1" t="str">
        <f>IFERROR(VLOOKUP(B1656,'SB1'!$A$2:$C$999999,3,FALSE),"")</f>
        <v>503</v>
      </c>
      <c r="G1656" s="3" t="e">
        <f t="shared" si="55"/>
        <v>#VALUE!</v>
      </c>
      <c r="H1656" s="3" t="e">
        <f t="shared" si="56"/>
        <v>#VALUE!</v>
      </c>
    </row>
    <row r="1657" spans="1:8" x14ac:dyDescent="0.25">
      <c r="A1657" s="1" t="s">
        <v>14435</v>
      </c>
      <c r="B1657" s="1" t="s">
        <v>4591</v>
      </c>
      <c r="C1657" s="1" t="str">
        <f>IFERROR(VLOOKUP(B1657,'SB1'!$A$2:$B$999999,2,FALSE),"")</f>
        <v>LACA NITROSINTETICA TERSUAVE ALUMINIO PARA LLANTAS X 4</v>
      </c>
      <c r="D1657" s="1" t="s">
        <v>14439</v>
      </c>
      <c r="E1657" s="3">
        <f>IFERROR(VLOOKUP(B1657,'DA1'!$B$2:$D$999999,3,FALSE),"")</f>
      </c>
      <c r="F1657" s="1" t="str">
        <f>IFERROR(VLOOKUP(B1657,'SB1'!$A$2:$C$999999,3,FALSE),"")</f>
        <v>503</v>
      </c>
      <c r="G1657" s="3" t="e">
        <f t="shared" si="55"/>
        <v>#VALUE!</v>
      </c>
      <c r="H1657" s="3" t="e">
        <f t="shared" si="56"/>
        <v>#VALUE!</v>
      </c>
    </row>
    <row r="1658" spans="1:9" x14ac:dyDescent="0.25">
      <c r="A1658" s="1" t="s">
        <v>14435</v>
      </c>
      <c r="B1658" s="1" t="s">
        <v>4599</v>
      </c>
      <c r="C1658" s="1" t="str">
        <f>IFERROR(VLOOKUP(B1658,'SB1'!$A$2:$B$999999,2,FALSE),"")</f>
        <v>ESMALTE SINTETICO PARA PIZARRON TERSUAVE MATE VERDE X 1</v>
      </c>
      <c r="D1658" s="1" t="s">
        <v>14437</v>
      </c>
      <c r="E1658" s="3">
        <f>IFERROR(VLOOKUP(B1658,'DA1'!$B$2:$D$999999,3,FALSE),"")</f>
      </c>
      <c r="F1658" s="1" t="str">
        <f>IFERROR(VLOOKUP(B1658,'SB1'!$A$2:$C$999999,3,FALSE),"")</f>
        <v>503</v>
      </c>
      <c r="G1658" s="3" t="e">
        <f t="shared" si="55"/>
        <v>#VALUE!</v>
      </c>
      <c r="H1658" s="3" t="e">
        <f t="shared" si="56"/>
        <v>#VALUE!</v>
      </c>
      <c r="I1658" s="1">
        <v>1</v>
      </c>
    </row>
    <row r="1659" spans="1:9" x14ac:dyDescent="0.25">
      <c r="A1659" s="1" t="s">
        <v>14435</v>
      </c>
      <c r="B1659" s="1" t="s">
        <v>4601</v>
      </c>
      <c r="C1659" s="1" t="str">
        <f>IFERROR(VLOOKUP(B1659,'SB1'!$A$2:$B$999999,2,FALSE),"")</f>
        <v>ESMALTE SINTETICO TERSUAVE 2EN1 BRILLANTE BLANCO X  1</v>
      </c>
      <c r="D1659" s="1" t="s">
        <v>14437</v>
      </c>
      <c r="E1659" s="3">
        <f>IFERROR(VLOOKUP(B1659,'DA1'!$B$2:$D$999999,3,FALSE),"")</f>
      </c>
      <c r="F1659" s="1" t="str">
        <f>IFERROR(VLOOKUP(B1659,'SB1'!$A$2:$C$999999,3,FALSE),"")</f>
        <v>503</v>
      </c>
      <c r="G1659" s="3" t="e">
        <f t="shared" si="55"/>
        <v>#VALUE!</v>
      </c>
      <c r="H1659" s="3" t="e">
        <f t="shared" si="56"/>
        <v>#VALUE!</v>
      </c>
      <c r="I1659" s="1">
        <v>1</v>
      </c>
    </row>
    <row r="1660" spans="1:9" x14ac:dyDescent="0.25">
      <c r="A1660" s="1" t="s">
        <v>14435</v>
      </c>
      <c r="B1660" s="1" t="s">
        <v>4603</v>
      </c>
      <c r="C1660" s="1" t="str">
        <f>IFERROR(VLOOKUP(B1660,'SB1'!$A$2:$B$999999,2,FALSE),"")</f>
        <v>ESMALTE SINTETICO TERSUAVE 2EN1 BRILLANTE BERMELLON X  1</v>
      </c>
      <c r="D1660" s="1" t="s">
        <v>14437</v>
      </c>
      <c r="E1660" s="3">
        <f>IFERROR(VLOOKUP(B1660,'DA1'!$B$2:$D$999999,3,FALSE),"")</f>
      </c>
      <c r="F1660" s="1" t="str">
        <f>IFERROR(VLOOKUP(B1660,'SB1'!$A$2:$C$999999,3,FALSE),"")</f>
        <v>503</v>
      </c>
      <c r="G1660" s="3" t="e">
        <f t="shared" si="55"/>
        <v>#VALUE!</v>
      </c>
      <c r="H1660" s="3" t="e">
        <f t="shared" si="56"/>
        <v>#VALUE!</v>
      </c>
      <c r="I1660" s="1">
        <v>1</v>
      </c>
    </row>
    <row r="1661" spans="1:9" x14ac:dyDescent="0.25">
      <c r="A1661" s="1" t="s">
        <v>14435</v>
      </c>
      <c r="B1661" s="1" t="s">
        <v>4605</v>
      </c>
      <c r="C1661" s="1" t="str">
        <f>IFERROR(VLOOKUP(B1661,'SB1'!$A$2:$B$999999,2,FALSE),"")</f>
        <v>ESMALTE SINTETICO TERSUAVE 2EN1 BRILLANTE NARANJA X  1</v>
      </c>
      <c r="D1661" s="1" t="s">
        <v>14437</v>
      </c>
      <c r="E1661" s="3">
        <f>IFERROR(VLOOKUP(B1661,'DA1'!$B$2:$D$999999,3,FALSE),"")</f>
      </c>
      <c r="F1661" s="1" t="str">
        <f>IFERROR(VLOOKUP(B1661,'SB1'!$A$2:$C$999999,3,FALSE),"")</f>
        <v>503</v>
      </c>
      <c r="G1661" s="3" t="e">
        <f t="shared" si="55"/>
        <v>#VALUE!</v>
      </c>
      <c r="H1661" s="3" t="e">
        <f t="shared" si="56"/>
        <v>#VALUE!</v>
      </c>
      <c r="I1661" s="1">
        <v>1</v>
      </c>
    </row>
    <row r="1662" spans="1:9" x14ac:dyDescent="0.25">
      <c r="A1662" s="1" t="s">
        <v>14435</v>
      </c>
      <c r="B1662" s="1" t="s">
        <v>4607</v>
      </c>
      <c r="C1662" s="1" t="str">
        <f>IFERROR(VLOOKUP(B1662,'SB1'!$A$2:$B$999999,2,FALSE),"")</f>
        <v>ESMALTE SINTETICO TERSUAVE 2EN1 BRILLANTE AMARILLO X  1</v>
      </c>
      <c r="D1662" s="1" t="s">
        <v>14437</v>
      </c>
      <c r="E1662" s="3">
        <f>IFERROR(VLOOKUP(B1662,'DA1'!$B$2:$D$999999,3,FALSE),"")</f>
      </c>
      <c r="F1662" s="1" t="str">
        <f>IFERROR(VLOOKUP(B1662,'SB1'!$A$2:$C$999999,3,FALSE),"")</f>
        <v>503</v>
      </c>
      <c r="G1662" s="3" t="e">
        <f t="shared" si="55"/>
        <v>#VALUE!</v>
      </c>
      <c r="H1662" s="3" t="e">
        <f t="shared" si="56"/>
        <v>#VALUE!</v>
      </c>
      <c r="I1662" s="1">
        <v>1</v>
      </c>
    </row>
    <row r="1663" spans="1:9" x14ac:dyDescent="0.25">
      <c r="A1663" s="1" t="s">
        <v>14435</v>
      </c>
      <c r="B1663" s="1" t="s">
        <v>4609</v>
      </c>
      <c r="C1663" s="1" t="str">
        <f>IFERROR(VLOOKUP(B1663,'SB1'!$A$2:$B$999999,2,FALSE),"")</f>
        <v>FONDO PARA MADERA TERSUAVE BLANCO X  1</v>
      </c>
      <c r="D1663" s="1" t="s">
        <v>14437</v>
      </c>
      <c r="E1663" s="3">
        <f>IFERROR(VLOOKUP(B1663,'DA1'!$B$2:$D$999999,3,FALSE),"")</f>
      </c>
      <c r="F1663" s="1" t="str">
        <f>IFERROR(VLOOKUP(B1663,'SB1'!$A$2:$C$999999,3,FALSE),"")</f>
        <v>503</v>
      </c>
      <c r="G1663" s="3" t="e">
        <f t="shared" si="55"/>
        <v>#VALUE!</v>
      </c>
      <c r="H1663" s="3" t="e">
        <f t="shared" si="56"/>
        <v>#VALUE!</v>
      </c>
      <c r="I1663" s="1">
        <v>1</v>
      </c>
    </row>
    <row r="1664" spans="1:9" x14ac:dyDescent="0.25">
      <c r="A1664" s="1" t="s">
        <v>14435</v>
      </c>
      <c r="B1664" s="1" t="s">
        <v>4611</v>
      </c>
      <c r="C1664" s="1" t="str">
        <f>IFERROR(VLOOKUP(B1664,'SB1'!$A$2:$B$999999,2,FALSE),"")</f>
        <v>BARNIZ MARINO PARA MADERA TERSUAVE BRILLANTE X  1</v>
      </c>
      <c r="D1664" s="1" t="s">
        <v>14437</v>
      </c>
      <c r="E1664" s="3">
        <f>IFERROR(VLOOKUP(B1664,'DA1'!$B$2:$D$999999,3,FALSE),"")</f>
      </c>
      <c r="F1664" s="1" t="str">
        <f>IFERROR(VLOOKUP(B1664,'SB1'!$A$2:$C$999999,3,FALSE),"")</f>
        <v>503</v>
      </c>
      <c r="G1664" s="3" t="e">
        <f t="shared" si="55"/>
        <v>#VALUE!</v>
      </c>
      <c r="H1664" s="3" t="e">
        <f t="shared" si="56"/>
        <v>#VALUE!</v>
      </c>
      <c r="I1664" s="1">
        <v>1</v>
      </c>
    </row>
    <row r="1665" spans="1:9" x14ac:dyDescent="0.25">
      <c r="A1665" s="1" t="s">
        <v>14435</v>
      </c>
      <c r="B1665" s="1" t="s">
        <v>4613</v>
      </c>
      <c r="C1665" s="1" t="str">
        <f>IFERROR(VLOOKUP(B1665,'SB1'!$A$2:$B$999999,2,FALSE),"")</f>
        <v>ESMALTE SINTETICO TERSUAVE ALTA TEMPERATURA ALUMINIO X 1</v>
      </c>
      <c r="D1665" s="1" t="s">
        <v>14487</v>
      </c>
      <c r="E1665" s="3">
        <f>IFERROR(VLOOKUP(B1665,'DA1'!$B$2:$D$999999,3,FALSE),"")</f>
      </c>
      <c r="F1665" s="1" t="str">
        <f>IFERROR(VLOOKUP(B1665,'SB1'!$A$2:$C$999999,3,FALSE),"")</f>
        <v>503</v>
      </c>
      <c r="G1665" s="3" t="e">
        <f t="shared" si="55"/>
        <v>#VALUE!</v>
      </c>
      <c r="H1665" s="3" t="e">
        <f t="shared" si="56"/>
        <v>#VALUE!</v>
      </c>
      <c r="I1665" s="1">
        <v>1</v>
      </c>
    </row>
    <row r="1666" spans="1:9" x14ac:dyDescent="0.25">
      <c r="A1666" s="1" t="s">
        <v>14435</v>
      </c>
      <c r="B1666" s="1" t="s">
        <v>4615</v>
      </c>
      <c r="C1666" s="1" t="str">
        <f>IFERROR(VLOOKUP(B1666,'SB1'!$A$2:$B$999999,2,FALSE),"")</f>
        <v>ESMALTE SINTETICO TERSUAVE ALTA TEMPERATURA NEGRO X 1</v>
      </c>
      <c r="D1666" s="1" t="s">
        <v>14487</v>
      </c>
      <c r="E1666" s="3">
        <f>IFERROR(VLOOKUP(B1666,'DA1'!$B$2:$D$999999,3,FALSE),"")</f>
      </c>
      <c r="F1666" s="1" t="str">
        <f>IFERROR(VLOOKUP(B1666,'SB1'!$A$2:$C$999999,3,FALSE),"")</f>
        <v>503</v>
      </c>
      <c r="G1666" s="3" t="e">
        <f t="shared" si="55"/>
        <v>#VALUE!</v>
      </c>
      <c r="H1666" s="3" t="e">
        <f t="shared" si="56"/>
        <v>#VALUE!</v>
      </c>
      <c r="I1666" s="1">
        <v>1</v>
      </c>
    </row>
    <row r="1667" spans="1:9" x14ac:dyDescent="0.25">
      <c r="A1667" s="1" t="s">
        <v>14435</v>
      </c>
      <c r="B1667" s="1" t="s">
        <v>4617</v>
      </c>
      <c r="C1667" s="1" t="str">
        <f>IFERROR(VLOOKUP(B1667,'SB1'!$A$2:$B$999999,2,FALSE),"")</f>
        <v>ESMALTE SINTETICO TERSUAVE 2EN1 BRILLANTE BEIGE X  1</v>
      </c>
      <c r="D1667" s="1" t="s">
        <v>14437</v>
      </c>
      <c r="E1667" s="3">
        <f>IFERROR(VLOOKUP(B1667,'DA1'!$B$2:$D$999999,3,FALSE),"")</f>
      </c>
      <c r="F1667" s="1" t="str">
        <f>IFERROR(VLOOKUP(B1667,'SB1'!$A$2:$C$999999,3,FALSE),"")</f>
        <v>503</v>
      </c>
      <c r="G1667" s="3" t="e">
        <f t="shared" ref="G1667:G1730" si="57">E1667*1.04</f>
        <v>#VALUE!</v>
      </c>
      <c r="H1667" s="3" t="e">
        <f t="shared" si="56"/>
        <v>#VALUE!</v>
      </c>
      <c r="I1667" s="1">
        <v>1</v>
      </c>
    </row>
    <row r="1668" spans="1:9" x14ac:dyDescent="0.25">
      <c r="A1668" s="1" t="s">
        <v>14435</v>
      </c>
      <c r="B1668" s="1" t="s">
        <v>4619</v>
      </c>
      <c r="C1668" s="1" t="str">
        <f>IFERROR(VLOOKUP(B1668,'SB1'!$A$2:$B$999999,2,FALSE),"")</f>
        <v>ESMALTE SINTETICO PARA PIZARRON TERSUAVE MATE NEGRO X 1</v>
      </c>
      <c r="D1668" s="1" t="s">
        <v>14437</v>
      </c>
      <c r="E1668" s="3">
        <f>IFERROR(VLOOKUP(B1668,'DA1'!$B$2:$D$999999,3,FALSE),"")</f>
      </c>
      <c r="F1668" s="1" t="str">
        <f>IFERROR(VLOOKUP(B1668,'SB1'!$A$2:$C$999999,3,FALSE),"")</f>
        <v>503</v>
      </c>
      <c r="G1668" s="3" t="e">
        <f t="shared" si="57"/>
        <v>#VALUE!</v>
      </c>
      <c r="H1668" s="3" t="e">
        <f t="shared" si="56"/>
        <v>#VALUE!</v>
      </c>
      <c r="I1668" s="1">
        <v>1</v>
      </c>
    </row>
    <row r="1669" spans="1:9" x14ac:dyDescent="0.25">
      <c r="A1669" s="1" t="s">
        <v>14435</v>
      </c>
      <c r="B1669" s="1" t="s">
        <v>4621</v>
      </c>
      <c r="C1669" s="1" t="str">
        <f>IFERROR(VLOOKUP(B1669,'SB1'!$A$2:$B$999999,2,FALSE),"")</f>
        <v>ESMALTE SINTETICO TERSUAVE ALTA TEMPERATURA BLANCO X 1</v>
      </c>
      <c r="D1669" s="1" t="s">
        <v>14487</v>
      </c>
      <c r="E1669" s="3">
        <f>IFERROR(VLOOKUP(B1669,'DA1'!$B$2:$D$999999,3,FALSE),"")</f>
      </c>
      <c r="F1669" s="1" t="str">
        <f>IFERROR(VLOOKUP(B1669,'SB1'!$A$2:$C$999999,3,FALSE),"")</f>
        <v>503</v>
      </c>
      <c r="G1669" s="3" t="e">
        <f t="shared" si="57"/>
        <v>#VALUE!</v>
      </c>
      <c r="H1669" s="3" t="e">
        <f t="shared" si="56"/>
        <v>#VALUE!</v>
      </c>
      <c r="I1669" s="1">
        <v>1</v>
      </c>
    </row>
    <row r="1670" spans="1:9" x14ac:dyDescent="0.25">
      <c r="A1670" s="1" t="s">
        <v>14435</v>
      </c>
      <c r="B1670" s="1" t="s">
        <v>4623</v>
      </c>
      <c r="C1670" s="1" t="str">
        <f>IFERROR(VLOOKUP(B1670,'SB1'!$A$2:$B$999999,2,FALSE),"")</f>
        <v>DEMARCACION VIAL TERSUAVE BLANCO X  4</v>
      </c>
      <c r="D1670" s="1" t="s">
        <v>14487</v>
      </c>
      <c r="E1670" s="3">
        <f>IFERROR(VLOOKUP(B1670,'DA1'!$B$2:$D$999999,3,FALSE),"")</f>
      </c>
      <c r="F1670" s="1" t="str">
        <f>IFERROR(VLOOKUP(B1670,'SB1'!$A$2:$C$999999,3,FALSE),"")</f>
        <v>503</v>
      </c>
      <c r="G1670" s="3" t="e">
        <f t="shared" si="57"/>
        <v>#VALUE!</v>
      </c>
      <c r="H1670" s="3" t="e">
        <f t="shared" si="56"/>
        <v>#VALUE!</v>
      </c>
      <c r="I1670" s="1">
        <v>1</v>
      </c>
    </row>
    <row r="1671" spans="1:9" x14ac:dyDescent="0.25">
      <c r="A1671" s="1" t="s">
        <v>14435</v>
      </c>
      <c r="B1671" s="1" t="s">
        <v>4625</v>
      </c>
      <c r="C1671" s="1" t="str">
        <f>IFERROR(VLOOKUP(B1671,'SB1'!$A$2:$B$999999,2,FALSE),"")</f>
        <v>ESMALTE SINTETICO TERSUAVE 2EN1 BRILLANTE CEDRO X  1</v>
      </c>
      <c r="D1671" s="1" t="s">
        <v>14437</v>
      </c>
      <c r="E1671" s="3">
        <f>IFERROR(VLOOKUP(B1671,'DA1'!$B$2:$D$999999,3,FALSE),"")</f>
      </c>
      <c r="F1671" s="1" t="str">
        <f>IFERROR(VLOOKUP(B1671,'SB1'!$A$2:$C$999999,3,FALSE),"")</f>
        <v>503</v>
      </c>
      <c r="G1671" s="3" t="e">
        <f t="shared" si="57"/>
        <v>#VALUE!</v>
      </c>
      <c r="H1671" s="3" t="e">
        <f t="shared" si="56"/>
        <v>#VALUE!</v>
      </c>
      <c r="I1671" s="1">
        <v>1</v>
      </c>
    </row>
    <row r="1672" spans="1:9" x14ac:dyDescent="0.25">
      <c r="A1672" s="1" t="s">
        <v>14435</v>
      </c>
      <c r="B1672" s="1" t="s">
        <v>4629</v>
      </c>
      <c r="C1672" s="1" t="str">
        <f>IFERROR(VLOOKUP(B1672,'SB1'!$A$2:$B$999999,2,FALSE),"")</f>
        <v>ESMALTE SINTETICO TERSUAVE 2EN1 BRILLANTE NEGRO X  1</v>
      </c>
      <c r="D1672" s="1" t="s">
        <v>14437</v>
      </c>
      <c r="E1672" s="3">
        <f>IFERROR(VLOOKUP(B1672,'DA1'!$B$2:$D$999999,3,FALSE),"")</f>
      </c>
      <c r="F1672" s="1" t="str">
        <f>IFERROR(VLOOKUP(B1672,'SB1'!$A$2:$C$999999,3,FALSE),"")</f>
        <v>503</v>
      </c>
      <c r="G1672" s="3" t="e">
        <f t="shared" si="57"/>
        <v>#VALUE!</v>
      </c>
      <c r="H1672" s="3" t="e">
        <f t="shared" si="56"/>
        <v>#VALUE!</v>
      </c>
      <c r="I1672" s="1">
        <v>1</v>
      </c>
    </row>
    <row r="1673" spans="1:9" x14ac:dyDescent="0.25">
      <c r="A1673" s="1" t="s">
        <v>14435</v>
      </c>
      <c r="B1673" s="1" t="s">
        <v>4631</v>
      </c>
      <c r="C1673" s="1" t="str">
        <f>IFERROR(VLOOKUP(B1673,'SB1'!$A$2:$B$999999,2,FALSE),"")</f>
        <v>ESMALTE SINTETICO TERSUAVE 2EN1 BRILLANTE ORO X 1</v>
      </c>
      <c r="D1673" s="1" t="s">
        <v>14437</v>
      </c>
      <c r="E1673" s="3">
        <f>IFERROR(VLOOKUP(B1673,'DA1'!$B$2:$D$999999,3,FALSE),"")</f>
      </c>
      <c r="F1673" s="1" t="str">
        <f>IFERROR(VLOOKUP(B1673,'SB1'!$A$2:$C$999999,3,FALSE),"")</f>
        <v>503</v>
      </c>
      <c r="G1673" s="3" t="e">
        <f t="shared" si="57"/>
        <v>#VALUE!</v>
      </c>
      <c r="H1673" s="3" t="e">
        <f t="shared" si="56"/>
        <v>#VALUE!</v>
      </c>
      <c r="I1673" s="1">
        <v>1</v>
      </c>
    </row>
    <row r="1674" spans="1:9" x14ac:dyDescent="0.25">
      <c r="A1674" s="1" t="s">
        <v>14435</v>
      </c>
      <c r="B1674" s="1" t="s">
        <v>4633</v>
      </c>
      <c r="C1674" s="1" t="str">
        <f>IFERROR(VLOOKUP(B1674,'SB1'!$A$2:$B$999999,2,FALSE),"")</f>
        <v>ESMALTE SINTETICO TERSUAVE 2EN1 BRILLANTE ALUMINIO X  1</v>
      </c>
      <c r="D1674" s="1" t="s">
        <v>14437</v>
      </c>
      <c r="E1674" s="3">
        <f>IFERROR(VLOOKUP(B1674,'DA1'!$B$2:$D$999999,3,FALSE),"")</f>
      </c>
      <c r="F1674" s="1" t="str">
        <f>IFERROR(VLOOKUP(B1674,'SB1'!$A$2:$C$999999,3,FALSE),"")</f>
        <v>503</v>
      </c>
      <c r="G1674" s="3" t="e">
        <f t="shared" si="57"/>
        <v>#VALUE!</v>
      </c>
      <c r="H1674" s="3" t="e">
        <f t="shared" si="56"/>
        <v>#VALUE!</v>
      </c>
      <c r="I1674" s="1">
        <v>1</v>
      </c>
    </row>
    <row r="1675" spans="1:9" x14ac:dyDescent="0.25">
      <c r="A1675" s="1" t="s">
        <v>14435</v>
      </c>
      <c r="B1675" s="1" t="s">
        <v>4635</v>
      </c>
      <c r="C1675" s="1" t="str">
        <f>IFERROR(VLOOKUP(B1675,'SB1'!$A$2:$B$999999,2,FALSE),"")</f>
        <v>ESMALTE SINTETICO TERSUAVE 2EN1 BRILLANTE MARRON X  1</v>
      </c>
      <c r="D1675" s="1" t="s">
        <v>14437</v>
      </c>
      <c r="E1675" s="3">
        <f>IFERROR(VLOOKUP(B1675,'DA1'!$B$2:$D$999999,3,FALSE),"")</f>
      </c>
      <c r="F1675" s="1" t="str">
        <f>IFERROR(VLOOKUP(B1675,'SB1'!$A$2:$C$999999,3,FALSE),"")</f>
        <v>503</v>
      </c>
      <c r="G1675" s="3" t="e">
        <f t="shared" si="57"/>
        <v>#VALUE!</v>
      </c>
      <c r="H1675" s="3" t="e">
        <f t="shared" si="56"/>
        <v>#VALUE!</v>
      </c>
      <c r="I1675" s="1">
        <v>1</v>
      </c>
    </row>
    <row r="1676" spans="1:9" x14ac:dyDescent="0.25">
      <c r="A1676" s="1" t="s">
        <v>14435</v>
      </c>
      <c r="B1676" s="1" t="s">
        <v>4637</v>
      </c>
      <c r="C1676" s="1" t="str">
        <f>IFERROR(VLOOKUP(B1676,'SB1'!$A$2:$B$999999,2,FALSE),"")</f>
        <v>ESMALTE SINTETICO TERSUAVE 2EN1 BRILLANTE VERDE CLARO X  1</v>
      </c>
      <c r="D1676" s="1" t="s">
        <v>14437</v>
      </c>
      <c r="E1676" s="3">
        <f>IFERROR(VLOOKUP(B1676,'DA1'!$B$2:$D$999999,3,FALSE),"")</f>
      </c>
      <c r="F1676" s="1" t="str">
        <f>IFERROR(VLOOKUP(B1676,'SB1'!$A$2:$C$999999,3,FALSE),"")</f>
        <v>503</v>
      </c>
      <c r="G1676" s="3" t="e">
        <f t="shared" si="57"/>
        <v>#VALUE!</v>
      </c>
      <c r="H1676" s="3" t="e">
        <f t="shared" si="56"/>
        <v>#VALUE!</v>
      </c>
      <c r="I1676" s="1">
        <v>1</v>
      </c>
    </row>
    <row r="1677" spans="1:9" x14ac:dyDescent="0.25">
      <c r="A1677" s="1" t="s">
        <v>14435</v>
      </c>
      <c r="B1677" s="1" t="s">
        <v>4639</v>
      </c>
      <c r="C1677" s="1" t="str">
        <f>IFERROR(VLOOKUP(B1677,'SB1'!$A$2:$B$999999,2,FALSE),"")</f>
        <v>ESMALTE SINTETICO TERSUAVE 2EN1 BRILLANTE GRIS OSCURO X  1</v>
      </c>
      <c r="D1677" s="1" t="s">
        <v>14437</v>
      </c>
      <c r="E1677" s="3">
        <f>IFERROR(VLOOKUP(B1677,'DA1'!$B$2:$D$999999,3,FALSE),"")</f>
      </c>
      <c r="F1677" s="1" t="str">
        <f>IFERROR(VLOOKUP(B1677,'SB1'!$A$2:$C$999999,3,FALSE),"")</f>
        <v>503</v>
      </c>
      <c r="G1677" s="3" t="e">
        <f t="shared" si="57"/>
        <v>#VALUE!</v>
      </c>
      <c r="H1677" s="3" t="e">
        <f t="shared" si="56"/>
        <v>#VALUE!</v>
      </c>
      <c r="I1677" s="1">
        <v>1</v>
      </c>
    </row>
    <row r="1678" spans="1:9" x14ac:dyDescent="0.25">
      <c r="A1678" s="1" t="s">
        <v>14435</v>
      </c>
      <c r="B1678" s="1" t="s">
        <v>4641</v>
      </c>
      <c r="C1678" s="1" t="str">
        <f>IFERROR(VLOOKUP(B1678,'SB1'!$A$2:$B$999999,2,FALSE),"")</f>
        <v>DISCO CORTE DOBLE A T41 MASTER ACERO 115X1,0X22,2</v>
      </c>
      <c r="D1678" s="1" t="s">
        <v>14451</v>
      </c>
      <c r="E1678" s="3">
        <f>IFERROR(VLOOKUP(B1678,'DA1'!$B$2:$D$999999,3,FALSE),"")</f>
      </c>
      <c r="F1678" s="1" t="str">
        <f>IFERROR(VLOOKUP(B1678,'SB1'!$A$2:$C$999999,3,FALSE),"")</f>
        <v>503</v>
      </c>
      <c r="G1678" s="3" t="e">
        <f t="shared" si="57"/>
        <v>#VALUE!</v>
      </c>
      <c r="H1678" s="3" t="e">
        <f t="shared" si="56"/>
        <v>#VALUE!</v>
      </c>
      <c r="I1678" s="1">
        <v>1</v>
      </c>
    </row>
    <row r="1679" spans="1:9" x14ac:dyDescent="0.25">
      <c r="A1679" s="1" t="s">
        <v>14435</v>
      </c>
      <c r="B1679" s="1" t="s">
        <v>4643</v>
      </c>
      <c r="C1679" s="1" t="str">
        <f>IFERROR(VLOOKUP(B1679,'SB1'!$A$2:$B$999999,2,FALSE),"")</f>
        <v>DISCO DESBASTE DOBLE A T27 MASTER ACERO 115X6,4X22,2</v>
      </c>
      <c r="D1679" s="1" t="s">
        <v>14451</v>
      </c>
      <c r="E1679" s="3">
        <f>IFERROR(VLOOKUP(B1679,'DA1'!$B$2:$D$999999,3,FALSE),"")</f>
      </c>
      <c r="F1679" s="1" t="str">
        <f>IFERROR(VLOOKUP(B1679,'SB1'!$A$2:$C$999999,3,FALSE),"")</f>
        <v>503</v>
      </c>
      <c r="G1679" s="3" t="e">
        <f t="shared" si="57"/>
        <v>#VALUE!</v>
      </c>
      <c r="H1679" s="3" t="e">
        <f t="shared" si="56"/>
        <v>#VALUE!</v>
      </c>
      <c r="I1679" s="1">
        <v>1</v>
      </c>
    </row>
    <row r="1680" spans="1:9" x14ac:dyDescent="0.25">
      <c r="A1680" s="1" t="s">
        <v>14435</v>
      </c>
      <c r="B1680" s="1" t="s">
        <v>4645</v>
      </c>
      <c r="C1680" s="1" t="str">
        <f>IFERROR(VLOOKUP(B1680,'SB1'!$A$2:$B$999999,2,FALSE),"")</f>
        <v>ESMALTE SINTETICO TERSUAVE 2EN1 BRILLANTE CELESTE X  1</v>
      </c>
      <c r="D1680" s="1" t="s">
        <v>14437</v>
      </c>
      <c r="E1680" s="3">
        <f>IFERROR(VLOOKUP(B1680,'DA1'!$B$2:$D$999999,3,FALSE),"")</f>
      </c>
      <c r="F1680" s="1" t="str">
        <f>IFERROR(VLOOKUP(B1680,'SB1'!$A$2:$C$999999,3,FALSE),"")</f>
        <v>503</v>
      </c>
      <c r="G1680" s="3" t="e">
        <f t="shared" si="57"/>
        <v>#VALUE!</v>
      </c>
      <c r="H1680" s="3" t="e">
        <f t="shared" si="56"/>
        <v>#VALUE!</v>
      </c>
      <c r="I1680" s="1">
        <v>1</v>
      </c>
    </row>
    <row r="1681" spans="1:9" x14ac:dyDescent="0.25">
      <c r="A1681" s="1" t="s">
        <v>14435</v>
      </c>
      <c r="B1681" s="1" t="s">
        <v>4647</v>
      </c>
      <c r="C1681" s="1" t="str">
        <f>IFERROR(VLOOKUP(B1681,'SB1'!$A$2:$B$999999,2,FALSE),"")</f>
        <v>ESMALTE SINTETICO TERSUAVE 2EN1 BRILLANTE MARFIL SEDA X  1</v>
      </c>
      <c r="D1681" s="1" t="s">
        <v>14437</v>
      </c>
      <c r="E1681" s="3">
        <f>IFERROR(VLOOKUP(B1681,'DA1'!$B$2:$D$999999,3,FALSE),"")</f>
      </c>
      <c r="F1681" s="1" t="str">
        <f>IFERROR(VLOOKUP(B1681,'SB1'!$A$2:$C$999999,3,FALSE),"")</f>
        <v>503</v>
      </c>
      <c r="G1681" s="3" t="e">
        <f t="shared" si="57"/>
        <v>#VALUE!</v>
      </c>
      <c r="H1681" s="3" t="e">
        <f t="shared" si="56"/>
        <v>#VALUE!</v>
      </c>
      <c r="I1681" s="1">
        <v>1</v>
      </c>
    </row>
    <row r="1682" spans="1:9" x14ac:dyDescent="0.25">
      <c r="A1682" s="1" t="s">
        <v>14435</v>
      </c>
      <c r="B1682" s="1" t="s">
        <v>4649</v>
      </c>
      <c r="C1682" s="1" t="str">
        <f>IFERROR(VLOOKUP(B1682,'SB1'!$A$2:$B$999999,2,FALSE),"")</f>
        <v>DISCO DESBASTE DOBLE A T27 MASTER ACERO 180X6,4X22,2</v>
      </c>
      <c r="D1682" s="1" t="s">
        <v>14451</v>
      </c>
      <c r="E1682" s="3">
        <f>IFERROR(VLOOKUP(B1682,'DA1'!$B$2:$D$999999,3,FALSE),"")</f>
      </c>
      <c r="F1682" s="1" t="str">
        <f>IFERROR(VLOOKUP(B1682,'SB1'!$A$2:$C$999999,3,FALSE),"")</f>
        <v>503</v>
      </c>
      <c r="G1682" s="3" t="e">
        <f t="shared" si="57"/>
        <v>#VALUE!</v>
      </c>
      <c r="H1682" s="3" t="e">
        <f t="shared" si="56"/>
        <v>#VALUE!</v>
      </c>
      <c r="I1682" s="1">
        <v>1</v>
      </c>
    </row>
    <row r="1683" spans="1:9" x14ac:dyDescent="0.25">
      <c r="A1683" s="1" t="s">
        <v>14435</v>
      </c>
      <c r="B1683" s="1" t="s">
        <v>4651</v>
      </c>
      <c r="C1683" s="1" t="str">
        <f>IFERROR(VLOOKUP(B1683,'SB1'!$A$2:$B$999999,2,FALSE),"")</f>
        <v>ESMALTE SINTETICO TERSUAVE 2EN1 BRILLANTE GRIS ESPACIAL X  1</v>
      </c>
      <c r="D1683" s="1" t="s">
        <v>14437</v>
      </c>
      <c r="E1683" s="3">
        <f>IFERROR(VLOOKUP(B1683,'DA1'!$B$2:$D$999999,3,FALSE),"")</f>
      </c>
      <c r="F1683" s="1" t="str">
        <f>IFERROR(VLOOKUP(B1683,'SB1'!$A$2:$C$999999,3,FALSE),"")</f>
        <v>503</v>
      </c>
      <c r="G1683" s="3" t="e">
        <f t="shared" si="57"/>
        <v>#VALUE!</v>
      </c>
      <c r="H1683" s="3" t="e">
        <f t="shared" si="56"/>
        <v>#VALUE!</v>
      </c>
      <c r="I1683" s="1">
        <v>1</v>
      </c>
    </row>
    <row r="1684" spans="1:9" x14ac:dyDescent="0.25">
      <c r="A1684" s="1" t="s">
        <v>14435</v>
      </c>
      <c r="B1684" s="1" t="s">
        <v>4653</v>
      </c>
      <c r="C1684" s="1" t="str">
        <f>IFERROR(VLOOKUP(B1684,'SB1'!$A$2:$B$999999,2,FALSE),"")</f>
        <v>FILM PARA AUTOMOTOR/OBRA RAPIFIX 4000MMX100M (795)</v>
      </c>
      <c r="D1684" s="1" t="s">
        <v>14486</v>
      </c>
      <c r="E1684" s="3">
        <f>IFERROR(VLOOKUP(B1684,'DA1'!$B$2:$D$999999,3,FALSE),"")</f>
      </c>
      <c r="F1684" s="1" t="str">
        <f>IFERROR(VLOOKUP(B1684,'SB1'!$A$2:$C$999999,3,FALSE),"")</f>
        <v>503</v>
      </c>
      <c r="G1684" s="3" t="e">
        <f t="shared" si="57"/>
        <v>#VALUE!</v>
      </c>
      <c r="H1684" s="3" t="e">
        <f t="shared" si="56"/>
        <v>#VALUE!</v>
      </c>
      <c r="I1684" s="1">
        <v>2</v>
      </c>
    </row>
    <row r="1685" spans="1:9" x14ac:dyDescent="0.25">
      <c r="A1685" s="1" t="s">
        <v>14435</v>
      </c>
      <c r="B1685" s="1" t="s">
        <v>4655</v>
      </c>
      <c r="C1685" s="1" t="str">
        <f>IFERROR(VLOOKUP(B1685,'SB1'!$A$2:$B$999999,2,FALSE),"")</f>
        <v>ESMALTE SINTETICO TERSUAVE 2EN1 BRILLANTE GRIS PERLA X  1</v>
      </c>
      <c r="D1685" s="1" t="s">
        <v>14437</v>
      </c>
      <c r="E1685" s="3">
        <f>IFERROR(VLOOKUP(B1685,'DA1'!$B$2:$D$999999,3,FALSE),"")</f>
      </c>
      <c r="F1685" s="1" t="str">
        <f>IFERROR(VLOOKUP(B1685,'SB1'!$A$2:$C$999999,3,FALSE),"")</f>
        <v>503</v>
      </c>
      <c r="G1685" s="3" t="e">
        <f t="shared" si="57"/>
        <v>#VALUE!</v>
      </c>
      <c r="H1685" s="3" t="e">
        <f t="shared" si="56"/>
        <v>#VALUE!</v>
      </c>
      <c r="I1685" s="1">
        <v>1</v>
      </c>
    </row>
    <row r="1686" spans="1:9" x14ac:dyDescent="0.25">
      <c r="A1686" s="1" t="s">
        <v>14435</v>
      </c>
      <c r="B1686" s="1" t="s">
        <v>4657</v>
      </c>
      <c r="C1686" s="1" t="str">
        <f>IFERROR(VLOOKUP(B1686,'SB1'!$A$2:$B$999999,2,FALSE),"")</f>
        <v>ESMALTE SINTETICO TERSUAVE 2EN1 BRILLANTE GRIS HIELO X  1</v>
      </c>
      <c r="D1686" s="1" t="s">
        <v>14437</v>
      </c>
      <c r="E1686" s="3">
        <f>IFERROR(VLOOKUP(B1686,'DA1'!$B$2:$D$999999,3,FALSE),"")</f>
      </c>
      <c r="F1686" s="1" t="str">
        <f>IFERROR(VLOOKUP(B1686,'SB1'!$A$2:$C$999999,3,FALSE),"")</f>
        <v>503</v>
      </c>
      <c r="G1686" s="3" t="e">
        <f t="shared" si="57"/>
        <v>#VALUE!</v>
      </c>
      <c r="H1686" s="3" t="e">
        <f t="shared" si="56"/>
        <v>#VALUE!</v>
      </c>
      <c r="I1686" s="1">
        <v>1</v>
      </c>
    </row>
    <row r="1687" spans="1:9" x14ac:dyDescent="0.25">
      <c r="A1687" s="1" t="s">
        <v>14435</v>
      </c>
      <c r="B1687" s="1" t="s">
        <v>4659</v>
      </c>
      <c r="C1687" s="1" t="str">
        <f>IFERROR(VLOOKUP(B1687,'SB1'!$A$2:$B$999999,2,FALSE),"")</f>
        <v>ESMALTE SINTETICO TERSUAVE 2EN1 BRILLANTE VERDE INGLES X  1</v>
      </c>
      <c r="D1687" s="1" t="s">
        <v>14437</v>
      </c>
      <c r="E1687" s="3">
        <f>IFERROR(VLOOKUP(B1687,'DA1'!$B$2:$D$999999,3,FALSE),"")</f>
      </c>
      <c r="F1687" s="1" t="str">
        <f>IFERROR(VLOOKUP(B1687,'SB1'!$A$2:$C$999999,3,FALSE),"")</f>
        <v>503</v>
      </c>
      <c r="G1687" s="3" t="e">
        <f t="shared" si="57"/>
        <v>#VALUE!</v>
      </c>
      <c r="H1687" s="3" t="e">
        <f t="shared" si="56"/>
        <v>#VALUE!</v>
      </c>
      <c r="I1687" s="1">
        <v>1</v>
      </c>
    </row>
    <row r="1688" spans="1:9" x14ac:dyDescent="0.25">
      <c r="A1688" s="1" t="s">
        <v>14435</v>
      </c>
      <c r="B1688" s="1" t="s">
        <v>4661</v>
      </c>
      <c r="C1688" s="1" t="str">
        <f>IFERROR(VLOOKUP(B1688,'SB1'!$A$2:$B$999999,2,FALSE),"")</f>
        <v>ESMALTE EPOXI TERSUAVE INDULAC NEGRO X  4</v>
      </c>
      <c r="D1688" s="1" t="s">
        <v>14487</v>
      </c>
      <c r="E1688" s="3">
        <f>IFERROR(VLOOKUP(B1688,'DA1'!$B$2:$D$999999,3,FALSE),"")</f>
      </c>
      <c r="F1688" s="1" t="str">
        <f>IFERROR(VLOOKUP(B1688,'SB1'!$A$2:$C$999999,3,FALSE),"")</f>
        <v>503</v>
      </c>
      <c r="G1688" s="3" t="e">
        <f t="shared" si="57"/>
        <v>#VALUE!</v>
      </c>
      <c r="H1688" s="3" t="e">
        <f t="shared" si="56"/>
        <v>#VALUE!</v>
      </c>
      <c r="I1688" s="1">
        <v>1</v>
      </c>
    </row>
    <row r="1689" spans="1:9" x14ac:dyDescent="0.25">
      <c r="A1689" s="1" t="s">
        <v>14435</v>
      </c>
      <c r="B1689" s="1" t="s">
        <v>4663</v>
      </c>
      <c r="C1689" s="1" t="str">
        <f>IFERROR(VLOOKUP(B1689,'SB1'!$A$2:$B$999999,2,FALSE),"")</f>
        <v>ESMALTE SINTETICO TERSUAVE 2EN1 BRILLANTE AZULEJO X  1</v>
      </c>
      <c r="D1689" s="1" t="s">
        <v>14437</v>
      </c>
      <c r="E1689" s="3">
        <f>IFERROR(VLOOKUP(B1689,'DA1'!$B$2:$D$999999,3,FALSE),"")</f>
      </c>
      <c r="F1689" s="1" t="str">
        <f>IFERROR(VLOOKUP(B1689,'SB1'!$A$2:$C$999999,3,FALSE),"")</f>
        <v>503</v>
      </c>
      <c r="G1689" s="3" t="e">
        <f t="shared" si="57"/>
        <v>#VALUE!</v>
      </c>
      <c r="H1689" s="3" t="e">
        <f t="shared" si="56"/>
        <v>#VALUE!</v>
      </c>
      <c r="I1689" s="1">
        <v>1</v>
      </c>
    </row>
    <row r="1690" spans="1:9" x14ac:dyDescent="0.25">
      <c r="A1690" s="1" t="s">
        <v>14435</v>
      </c>
      <c r="B1690" s="1" t="s">
        <v>4665</v>
      </c>
      <c r="C1690" s="1" t="str">
        <f>IFERROR(VLOOKUP(B1690,'SB1'!$A$2:$B$999999,2,FALSE),"")</f>
        <v>ESMALTE SINTETICO TERSUAVE 2EN1 BRILLANTE MARFIL CHAMPAGNE X  1</v>
      </c>
      <c r="D1690" s="1" t="s">
        <v>14437</v>
      </c>
      <c r="E1690" s="3">
        <f>IFERROR(VLOOKUP(B1690,'DA1'!$B$2:$D$999999,3,FALSE),"")</f>
      </c>
      <c r="F1690" s="1" t="str">
        <f>IFERROR(VLOOKUP(B1690,'SB1'!$A$2:$C$999999,3,FALSE),"")</f>
        <v>503</v>
      </c>
      <c r="G1690" s="3" t="e">
        <f t="shared" si="57"/>
        <v>#VALUE!</v>
      </c>
      <c r="H1690" s="3" t="e">
        <f t="shared" si="56"/>
        <v>#VALUE!</v>
      </c>
      <c r="I1690" s="1">
        <v>1</v>
      </c>
    </row>
    <row r="1691" spans="1:9" x14ac:dyDescent="0.25">
      <c r="A1691" s="1" t="s">
        <v>14435</v>
      </c>
      <c r="B1691" s="1" t="s">
        <v>4667</v>
      </c>
      <c r="C1691" s="1" t="str">
        <f>IFERROR(VLOOKUP(B1691,'SB1'!$A$2:$B$999999,2,FALSE),"")</f>
        <v>ESMALTE SINTETICO TERSUAVE 2EN1 BRILLANTE VERDE ILUSION X  1</v>
      </c>
      <c r="D1691" s="1" t="s">
        <v>14437</v>
      </c>
      <c r="E1691" s="3">
        <f>IFERROR(VLOOKUP(B1691,'DA1'!$B$2:$D$999999,3,FALSE),"")</f>
      </c>
      <c r="F1691" s="1" t="str">
        <f>IFERROR(VLOOKUP(B1691,'SB1'!$A$2:$C$999999,3,FALSE),"")</f>
        <v>503</v>
      </c>
      <c r="G1691" s="3" t="e">
        <f t="shared" si="57"/>
        <v>#VALUE!</v>
      </c>
      <c r="H1691" s="3" t="e">
        <f t="shared" si="56"/>
        <v>#VALUE!</v>
      </c>
      <c r="I1691" s="1">
        <v>1</v>
      </c>
    </row>
    <row r="1692" spans="1:9" x14ac:dyDescent="0.25">
      <c r="A1692" s="1" t="s">
        <v>14435</v>
      </c>
      <c r="B1692" s="1" t="s">
        <v>4669</v>
      </c>
      <c r="C1692" s="1" t="str">
        <f>IFERROR(VLOOKUP(B1692,'SB1'!$A$2:$B$999999,2,FALSE),"")</f>
        <v>FONDO EPOXI TERSUAVE INDULAC ANTICORROSIVO AMARILLO X  4</v>
      </c>
      <c r="D1692" s="1" t="s">
        <v>14487</v>
      </c>
      <c r="E1692" s="3">
        <f>IFERROR(VLOOKUP(B1692,'DA1'!$B$2:$D$999999,3,FALSE),"")</f>
      </c>
      <c r="F1692" s="1" t="str">
        <f>IFERROR(VLOOKUP(B1692,'SB1'!$A$2:$C$999999,3,FALSE),"")</f>
        <v>503</v>
      </c>
      <c r="G1692" s="3" t="e">
        <f t="shared" si="57"/>
        <v>#VALUE!</v>
      </c>
      <c r="H1692" s="3" t="e">
        <f t="shared" si="56"/>
        <v>#VALUE!</v>
      </c>
      <c r="I1692" s="1">
        <v>1</v>
      </c>
    </row>
    <row r="1693" spans="1:9" x14ac:dyDescent="0.25">
      <c r="A1693" s="1" t="s">
        <v>14435</v>
      </c>
      <c r="B1693" s="1" t="s">
        <v>4671</v>
      </c>
      <c r="C1693" s="1" t="str">
        <f>IFERROR(VLOOKUP(B1693,'SB1'!$A$2:$B$999999,2,FALSE),"")</f>
        <v>ESMALTE SINTETICO TERSUAVE 2EN1 BRILLANTE CREMA X  1</v>
      </c>
      <c r="D1693" s="1" t="s">
        <v>14437</v>
      </c>
      <c r="E1693" s="3">
        <f>IFERROR(VLOOKUP(B1693,'DA1'!$B$2:$D$999999,3,FALSE),"")</f>
      </c>
      <c r="F1693" s="1" t="str">
        <f>IFERROR(VLOOKUP(B1693,'SB1'!$A$2:$C$999999,3,FALSE),"")</f>
        <v>503</v>
      </c>
      <c r="G1693" s="3" t="e">
        <f t="shared" si="57"/>
        <v>#VALUE!</v>
      </c>
      <c r="H1693" s="3" t="e">
        <f t="shared" si="56"/>
        <v>#VALUE!</v>
      </c>
      <c r="I1693" s="1">
        <v>1</v>
      </c>
    </row>
    <row r="1694" spans="1:9" x14ac:dyDescent="0.25">
      <c r="A1694" s="1" t="s">
        <v>14435</v>
      </c>
      <c r="B1694" s="1" t="s">
        <v>4673</v>
      </c>
      <c r="C1694" s="1" t="str">
        <f>IFERROR(VLOOKUP(B1694,'SB1'!$A$2:$B$999999,2,FALSE),"")</f>
        <v>ESMALTE SINTETICO TERSUAVE 2EN1 BRILLANTE CASTANO X  1</v>
      </c>
      <c r="D1694" s="1" t="s">
        <v>14437</v>
      </c>
      <c r="E1694" s="3">
        <f>IFERROR(VLOOKUP(B1694,'DA1'!$B$2:$D$999999,3,FALSE),"")</f>
      </c>
      <c r="F1694" s="1" t="str">
        <f>IFERROR(VLOOKUP(B1694,'SB1'!$A$2:$C$999999,3,FALSE),"")</f>
        <v>503</v>
      </c>
      <c r="G1694" s="3" t="e">
        <f t="shared" si="57"/>
        <v>#VALUE!</v>
      </c>
      <c r="H1694" s="3" t="e">
        <f t="shared" si="56"/>
        <v>#VALUE!</v>
      </c>
      <c r="I1694" s="1">
        <v>1</v>
      </c>
    </row>
    <row r="1695" spans="1:9" x14ac:dyDescent="0.25">
      <c r="A1695" s="1" t="s">
        <v>14435</v>
      </c>
      <c r="B1695" s="1" t="s">
        <v>4675</v>
      </c>
      <c r="C1695" s="1" t="str">
        <f>IFERROR(VLOOKUP(B1695,'SB1'!$A$2:$B$999999,2,FALSE),"")</f>
        <v>ESMALTE SINTETICO TERSUAVE 2EN1 BRILLANTE VERDE NOCHE X  1</v>
      </c>
      <c r="D1695" s="1" t="s">
        <v>14437</v>
      </c>
      <c r="E1695" s="3">
        <f>IFERROR(VLOOKUP(B1695,'DA1'!$B$2:$D$999999,3,FALSE),"")</f>
      </c>
      <c r="F1695" s="1" t="str">
        <f>IFERROR(VLOOKUP(B1695,'SB1'!$A$2:$C$999999,3,FALSE),"")</f>
        <v>503</v>
      </c>
      <c r="G1695" s="3" t="e">
        <f t="shared" si="57"/>
        <v>#VALUE!</v>
      </c>
      <c r="H1695" s="3" t="e">
        <f t="shared" si="56"/>
        <v>#VALUE!</v>
      </c>
      <c r="I1695" s="1">
        <v>1</v>
      </c>
    </row>
    <row r="1696" spans="1:9" x14ac:dyDescent="0.25">
      <c r="A1696" s="1" t="s">
        <v>14435</v>
      </c>
      <c r="B1696" s="1" t="s">
        <v>4677</v>
      </c>
      <c r="C1696" s="1" t="str">
        <f>IFERROR(VLOOKUP(B1696,'SB1'!$A$2:$B$999999,2,FALSE),"")</f>
        <v>CINTA  AUTOMOTOR RAPIFIX AMARILLO (590) 18MM</v>
      </c>
      <c r="D1696" s="1" t="s">
        <v>14486</v>
      </c>
      <c r="E1696" s="3">
        <f>IFERROR(VLOOKUP(B1696,'DA1'!$B$2:$D$999999,3,FALSE),"")</f>
      </c>
      <c r="F1696" s="1" t="str">
        <f>IFERROR(VLOOKUP(B1696,'SB1'!$A$2:$C$999999,3,FALSE),"")</f>
        <v>503</v>
      </c>
      <c r="G1696" s="3" t="e">
        <f t="shared" si="57"/>
        <v>#VALUE!</v>
      </c>
      <c r="H1696" s="3" t="e">
        <f t="shared" si="56"/>
        <v>#VALUE!</v>
      </c>
      <c r="I1696" s="1">
        <v>2</v>
      </c>
    </row>
    <row r="1697" spans="1:9" x14ac:dyDescent="0.25">
      <c r="A1697" s="1" t="s">
        <v>14435</v>
      </c>
      <c r="B1697" s="1" t="s">
        <v>4679</v>
      </c>
      <c r="C1697" s="1" t="str">
        <f>IFERROR(VLOOKUP(B1697,'SB1'!$A$2:$B$999999,2,FALSE),"")</f>
        <v>CINTA  AUTOMOTOR RAPIFIX AMARILLO (590) 48MM</v>
      </c>
      <c r="D1697" s="1" t="s">
        <v>14486</v>
      </c>
      <c r="E1697" s="3">
        <f>IFERROR(VLOOKUP(B1697,'DA1'!$B$2:$D$999999,3,FALSE),"")</f>
      </c>
      <c r="F1697" s="1" t="str">
        <f>IFERROR(VLOOKUP(B1697,'SB1'!$A$2:$C$999999,3,FALSE),"")</f>
        <v>503</v>
      </c>
      <c r="G1697" s="3" t="e">
        <f t="shared" si="57"/>
        <v>#VALUE!</v>
      </c>
      <c r="H1697" s="3" t="e">
        <f t="shared" si="56"/>
        <v>#VALUE!</v>
      </c>
      <c r="I1697" s="1">
        <v>2</v>
      </c>
    </row>
    <row r="1698" spans="1:9" x14ac:dyDescent="0.25">
      <c r="A1698" s="1" t="s">
        <v>14435</v>
      </c>
      <c r="B1698" s="1" t="s">
        <v>4681</v>
      </c>
      <c r="C1698" s="1" t="str">
        <f>IFERROR(VLOOKUP(B1698,'SB1'!$A$2:$B$999999,2,FALSE),"")</f>
        <v>ESMALTE SINTETICO TERSUAVE 2EN1 BRILLANTE TRAFUL X  1</v>
      </c>
      <c r="D1698" s="1" t="s">
        <v>14437</v>
      </c>
      <c r="E1698" s="3">
        <f>IFERROR(VLOOKUP(B1698,'DA1'!$B$2:$D$999999,3,FALSE),"")</f>
      </c>
      <c r="F1698" s="1" t="str">
        <f>IFERROR(VLOOKUP(B1698,'SB1'!$A$2:$C$999999,3,FALSE),"")</f>
        <v>503</v>
      </c>
      <c r="G1698" s="3" t="e">
        <f t="shared" si="57"/>
        <v>#VALUE!</v>
      </c>
      <c r="H1698" s="3" t="e">
        <f t="shared" si="56"/>
        <v>#VALUE!</v>
      </c>
      <c r="I1698" s="1">
        <v>1</v>
      </c>
    </row>
    <row r="1699" spans="1:9" x14ac:dyDescent="0.25">
      <c r="A1699" s="1" t="s">
        <v>14435</v>
      </c>
      <c r="B1699" s="1" t="s">
        <v>4685</v>
      </c>
      <c r="C1699" s="1" t="str">
        <f>IFERROR(VLOOKUP(B1699,'SB1'!$A$2:$B$999999,2,FALSE),"")</f>
        <v>ESMALTE SINTETICO TERSUAVE 2EN1 BRILLANTE AZUL X  1</v>
      </c>
      <c r="D1699" s="1" t="s">
        <v>14437</v>
      </c>
      <c r="E1699" s="3">
        <f>IFERROR(VLOOKUP(B1699,'DA1'!$B$2:$D$999999,3,FALSE),"")</f>
      </c>
      <c r="F1699" s="1" t="str">
        <f>IFERROR(VLOOKUP(B1699,'SB1'!$A$2:$C$999999,3,FALSE),"")</f>
        <v>503</v>
      </c>
      <c r="G1699" s="3" t="e">
        <f t="shared" si="57"/>
        <v>#VALUE!</v>
      </c>
      <c r="H1699" s="3" t="e">
        <f t="shared" ref="H1699:H1762" si="58">G1699*1.21</f>
        <v>#VALUE!</v>
      </c>
      <c r="I1699" s="1">
        <v>1</v>
      </c>
    </row>
    <row r="1700" spans="1:9" x14ac:dyDescent="0.25">
      <c r="A1700" s="1" t="s">
        <v>14435</v>
      </c>
      <c r="B1700" s="1" t="s">
        <v>4687</v>
      </c>
      <c r="C1700" s="1" t="str">
        <f>IFERROR(VLOOKUP(B1700,'SB1'!$A$2:$B$999999,2,FALSE),"")</f>
        <v>DISCO CORTE DOBLE A T41 ULTRA ACERO 180X1,6X22,2</v>
      </c>
      <c r="D1700" s="1" t="s">
        <v>14451</v>
      </c>
      <c r="E1700" s="3">
        <f>IFERROR(VLOOKUP(B1700,'DA1'!$B$2:$D$999999,3,FALSE),"")</f>
      </c>
      <c r="F1700" s="1" t="str">
        <f>IFERROR(VLOOKUP(B1700,'SB1'!$A$2:$C$999999,3,FALSE),"")</f>
        <v>503</v>
      </c>
      <c r="G1700" s="3" t="e">
        <f t="shared" si="57"/>
        <v>#VALUE!</v>
      </c>
      <c r="H1700" s="3" t="e">
        <f t="shared" si="58"/>
        <v>#VALUE!</v>
      </c>
      <c r="I1700" s="1">
        <v>1</v>
      </c>
    </row>
    <row r="1701" spans="1:9" x14ac:dyDescent="0.25">
      <c r="A1701" s="1" t="s">
        <v>14435</v>
      </c>
      <c r="B1701" s="1" t="s">
        <v>4689</v>
      </c>
      <c r="C1701" s="1" t="str">
        <f>IFERROR(VLOOKUP(B1701,'SB1'!$A$2:$B$999999,2,FALSE),"")</f>
        <v>ESMALTE EPOXI TERSUAVE INDULAC AMARILLO X  4</v>
      </c>
      <c r="D1701" s="1" t="s">
        <v>14487</v>
      </c>
      <c r="E1701" s="3">
        <f>IFERROR(VLOOKUP(B1701,'DA1'!$B$2:$D$999999,3,FALSE),"")</f>
      </c>
      <c r="F1701" s="1" t="str">
        <f>IFERROR(VLOOKUP(B1701,'SB1'!$A$2:$C$999999,3,FALSE),"")</f>
        <v>503</v>
      </c>
      <c r="G1701" s="3" t="e">
        <f t="shared" si="57"/>
        <v>#VALUE!</v>
      </c>
      <c r="H1701" s="3" t="e">
        <f t="shared" si="58"/>
        <v>#VALUE!</v>
      </c>
      <c r="I1701" s="1">
        <v>1</v>
      </c>
    </row>
    <row r="1702" spans="1:9" x14ac:dyDescent="0.25">
      <c r="A1702" s="1" t="s">
        <v>14435</v>
      </c>
      <c r="B1702" s="1" t="s">
        <v>4691</v>
      </c>
      <c r="C1702" s="1" t="str">
        <f>IFERROR(VLOOKUP(B1702,'SB1'!$A$2:$B$999999,2,FALSE),"")</f>
        <v>DEMARCACION VIAL TERSUAVE AMARILLO X  4</v>
      </c>
      <c r="D1702" s="1" t="s">
        <v>14487</v>
      </c>
      <c r="E1702" s="3">
        <f>IFERROR(VLOOKUP(B1702,'DA1'!$B$2:$D$999999,3,FALSE),"")</f>
      </c>
      <c r="F1702" s="1" t="str">
        <f>IFERROR(VLOOKUP(B1702,'SB1'!$A$2:$C$999999,3,FALSE),"")</f>
        <v>503</v>
      </c>
      <c r="G1702" s="3" t="e">
        <f t="shared" si="57"/>
        <v>#VALUE!</v>
      </c>
      <c r="H1702" s="3" t="e">
        <f t="shared" si="58"/>
        <v>#VALUE!</v>
      </c>
      <c r="I1702" s="1">
        <v>1</v>
      </c>
    </row>
    <row r="1703" spans="1:9" x14ac:dyDescent="0.25">
      <c r="A1703" s="1" t="s">
        <v>14435</v>
      </c>
      <c r="B1703" s="1" t="s">
        <v>4693</v>
      </c>
      <c r="C1703" s="1" t="str">
        <f>IFERROR(VLOOKUP(B1703,'SB1'!$A$2:$B$999999,2,FALSE),"")</f>
        <v>ESMALTE SINTETICO TERSUAVE 2EN1 BRILLANTE TABACO X  1</v>
      </c>
      <c r="D1703" s="1" t="s">
        <v>14437</v>
      </c>
      <c r="E1703" s="3">
        <f>IFERROR(VLOOKUP(B1703,'DA1'!$B$2:$D$999999,3,FALSE),"")</f>
      </c>
      <c r="F1703" s="1" t="str">
        <f>IFERROR(VLOOKUP(B1703,'SB1'!$A$2:$C$999999,3,FALSE),"")</f>
        <v>503</v>
      </c>
      <c r="G1703" s="3" t="e">
        <f t="shared" si="57"/>
        <v>#VALUE!</v>
      </c>
      <c r="H1703" s="3" t="e">
        <f t="shared" si="58"/>
        <v>#VALUE!</v>
      </c>
      <c r="I1703" s="1">
        <v>1</v>
      </c>
    </row>
    <row r="1704" spans="1:9" x14ac:dyDescent="0.25">
      <c r="A1704" s="1" t="s">
        <v>14435</v>
      </c>
      <c r="B1704" s="1" t="s">
        <v>4695</v>
      </c>
      <c r="C1704" s="1" t="str">
        <f>IFERROR(VLOOKUP(B1704,'SB1'!$A$2:$B$999999,2,FALSE),"")</f>
        <v>ESMALTE EPOXI TERSUAVE INDULAC BLANCO X  4</v>
      </c>
      <c r="D1704" s="1" t="s">
        <v>14487</v>
      </c>
      <c r="E1704" s="3">
        <f>IFERROR(VLOOKUP(B1704,'DA1'!$B$2:$D$999999,3,FALSE),"")</f>
      </c>
      <c r="F1704" s="1" t="str">
        <f>IFERROR(VLOOKUP(B1704,'SB1'!$A$2:$C$999999,3,FALSE),"")</f>
        <v>503</v>
      </c>
      <c r="G1704" s="3" t="e">
        <f t="shared" si="57"/>
        <v>#VALUE!</v>
      </c>
      <c r="H1704" s="3" t="e">
        <f t="shared" si="58"/>
        <v>#VALUE!</v>
      </c>
      <c r="I1704" s="1">
        <v>1</v>
      </c>
    </row>
    <row r="1705" spans="1:9" x14ac:dyDescent="0.25">
      <c r="A1705" s="1" t="s">
        <v>14435</v>
      </c>
      <c r="B1705" s="1" t="s">
        <v>4697</v>
      </c>
      <c r="C1705" s="1" t="str">
        <f>IFERROR(VLOOKUP(B1705,'SB1'!$A$2:$B$999999,2,FALSE),"")</f>
        <v>PROTECTOR PARA LADRILLO TERSUAVE IMPRECOL SATINADO NATURAL X  4</v>
      </c>
      <c r="D1705" s="1" t="s">
        <v>14437</v>
      </c>
      <c r="E1705" s="3">
        <f>IFERROR(VLOOKUP(B1705,'DA1'!$B$2:$D$999999,3,FALSE),"")</f>
      </c>
      <c r="F1705" s="1" t="str">
        <f>IFERROR(VLOOKUP(B1705,'SB1'!$A$2:$C$999999,3,FALSE),"")</f>
        <v>503</v>
      </c>
      <c r="G1705" s="3" t="e">
        <f t="shared" si="57"/>
        <v>#VALUE!</v>
      </c>
      <c r="H1705" s="3" t="e">
        <f t="shared" si="58"/>
        <v>#VALUE!</v>
      </c>
      <c r="I1705" s="1">
        <v>1</v>
      </c>
    </row>
    <row r="1706" spans="1:9" x14ac:dyDescent="0.25">
      <c r="A1706" s="1" t="s">
        <v>14435</v>
      </c>
      <c r="B1706" s="1" t="s">
        <v>4699</v>
      </c>
      <c r="C1706" s="1" t="str">
        <f>IFERROR(VLOOKUP(B1706,'SB1'!$A$2:$B$999999,2,FALSE),"")</f>
        <v>ESMALTE SINTETICO TERSUAVE 2EN1 BRILLANTE VIOLETA X 1</v>
      </c>
      <c r="D1706" s="1" t="s">
        <v>14437</v>
      </c>
      <c r="E1706" s="3">
        <f>IFERROR(VLOOKUP(B1706,'DA1'!$B$2:$D$999999,3,FALSE),"")</f>
      </c>
      <c r="F1706" s="1" t="str">
        <f>IFERROR(VLOOKUP(B1706,'SB1'!$A$2:$C$999999,3,FALSE),"")</f>
        <v>503</v>
      </c>
      <c r="G1706" s="3" t="e">
        <f t="shared" si="57"/>
        <v>#VALUE!</v>
      </c>
      <c r="H1706" s="3" t="e">
        <f t="shared" si="58"/>
        <v>#VALUE!</v>
      </c>
      <c r="I1706" s="1">
        <v>1</v>
      </c>
    </row>
    <row r="1707" spans="1:9" x14ac:dyDescent="0.25">
      <c r="A1707" s="1" t="s">
        <v>14435</v>
      </c>
      <c r="B1707" s="1" t="s">
        <v>4701</v>
      </c>
      <c r="C1707" s="1" t="str">
        <f>IFERROR(VLOOKUP(B1707,'SB1'!$A$2:$B$999999,2,FALSE),"")</f>
        <v>PROTECTOR PARA LADRILLO TERSUAVE IMPRECOL SATINADO CERAMICO X  4</v>
      </c>
      <c r="D1707" s="1" t="s">
        <v>14437</v>
      </c>
      <c r="E1707" s="3">
        <f>IFERROR(VLOOKUP(B1707,'DA1'!$B$2:$D$999999,3,FALSE),"")</f>
      </c>
      <c r="F1707" s="1" t="str">
        <f>IFERROR(VLOOKUP(B1707,'SB1'!$A$2:$C$999999,3,FALSE),"")</f>
        <v>503</v>
      </c>
      <c r="G1707" s="3" t="e">
        <f t="shared" si="57"/>
        <v>#VALUE!</v>
      </c>
      <c r="H1707" s="3" t="e">
        <f t="shared" si="58"/>
        <v>#VALUE!</v>
      </c>
      <c r="I1707" s="1">
        <v>1</v>
      </c>
    </row>
    <row r="1708" spans="1:9" x14ac:dyDescent="0.25">
      <c r="A1708" s="1" t="s">
        <v>14435</v>
      </c>
      <c r="B1708" s="1" t="s">
        <v>4703</v>
      </c>
      <c r="C1708" s="1" t="str">
        <f>IFERROR(VLOOKUP(B1708,'SB1'!$A$2:$B$999999,2,FALSE),"")</f>
        <v>ESMALTE AL AGUA ALBALUX BRILLANTE BASE MF X 0,900</v>
      </c>
      <c r="D1708" s="1" t="s">
        <v>14480</v>
      </c>
      <c r="E1708" s="3">
        <f>IFERROR(VLOOKUP(B1708,'DA1'!$B$2:$D$999999,3,FALSE),"")</f>
      </c>
      <c r="F1708" s="1" t="str">
        <f>IFERROR(VLOOKUP(B1708,'SB1'!$A$2:$C$999999,3,FALSE),"")</f>
        <v>503</v>
      </c>
      <c r="G1708" s="3" t="e">
        <f t="shared" si="57"/>
        <v>#VALUE!</v>
      </c>
      <c r="H1708" s="3" t="e">
        <f t="shared" si="58"/>
        <v>#VALUE!</v>
      </c>
      <c r="I1708" s="1">
        <v>1</v>
      </c>
    </row>
    <row r="1709" spans="1:9" x14ac:dyDescent="0.25">
      <c r="A1709" s="1" t="s">
        <v>14435</v>
      </c>
      <c r="B1709" s="1" t="s">
        <v>4705</v>
      </c>
      <c r="C1709" s="1" t="str">
        <f>IFERROR(VLOOKUP(B1709,'SB1'!$A$2:$B$999999,2,FALSE),"")</f>
        <v>ESMALTE AL AGUA ALBALUX BRILLANTE BASE MF X 3,600</v>
      </c>
      <c r="D1709" s="1" t="s">
        <v>14480</v>
      </c>
      <c r="E1709" s="3">
        <f>IFERROR(VLOOKUP(B1709,'DA1'!$B$2:$D$999999,3,FALSE),"")</f>
      </c>
      <c r="F1709" s="1" t="str">
        <f>IFERROR(VLOOKUP(B1709,'SB1'!$A$2:$C$999999,3,FALSE),"")</f>
        <v>503</v>
      </c>
      <c r="G1709" s="3" t="e">
        <f t="shared" si="57"/>
        <v>#VALUE!</v>
      </c>
      <c r="H1709" s="3" t="e">
        <f t="shared" si="58"/>
        <v>#VALUE!</v>
      </c>
      <c r="I1709" s="1">
        <v>1</v>
      </c>
    </row>
    <row r="1710" spans="1:9" x14ac:dyDescent="0.25">
      <c r="A1710" s="1" t="s">
        <v>14435</v>
      </c>
      <c r="B1710" s="1" t="s">
        <v>4707</v>
      </c>
      <c r="C1710" s="1" t="str">
        <f>IFERROR(VLOOKUP(B1710,'SB1'!$A$2:$B$999999,2,FALSE),"")</f>
        <v>ESMALTE AL AGUA ALBALUX BRILLANTE BASE T X 0,900</v>
      </c>
      <c r="D1710" s="1" t="s">
        <v>14480</v>
      </c>
      <c r="E1710" s="3">
        <f>IFERROR(VLOOKUP(B1710,'DA1'!$B$2:$D$999999,3,FALSE),"")</f>
      </c>
      <c r="F1710" s="1" t="str">
        <f>IFERROR(VLOOKUP(B1710,'SB1'!$A$2:$C$999999,3,FALSE),"")</f>
        <v>503</v>
      </c>
      <c r="G1710" s="3" t="e">
        <f t="shared" si="57"/>
        <v>#VALUE!</v>
      </c>
      <c r="H1710" s="3" t="e">
        <f t="shared" si="58"/>
        <v>#VALUE!</v>
      </c>
      <c r="I1710" s="1">
        <v>1</v>
      </c>
    </row>
    <row r="1711" spans="1:9" x14ac:dyDescent="0.25">
      <c r="A1711" s="1" t="s">
        <v>14435</v>
      </c>
      <c r="B1711" s="1" t="s">
        <v>4709</v>
      </c>
      <c r="C1711" s="1" t="str">
        <f>IFERROR(VLOOKUP(B1711,'SB1'!$A$2:$B$999999,2,FALSE),"")</f>
        <v>ESMALTE AL AGUA ALBALUX BRILLANTE BASE T X 3,600</v>
      </c>
      <c r="D1711" s="1" t="s">
        <v>14480</v>
      </c>
      <c r="E1711" s="3">
        <f>IFERROR(VLOOKUP(B1711,'DA1'!$B$2:$D$999999,3,FALSE),"")</f>
      </c>
      <c r="F1711" s="1" t="str">
        <f>IFERROR(VLOOKUP(B1711,'SB1'!$A$2:$C$999999,3,FALSE),"")</f>
        <v>503</v>
      </c>
      <c r="G1711" s="3" t="e">
        <f t="shared" si="57"/>
        <v>#VALUE!</v>
      </c>
      <c r="H1711" s="3" t="e">
        <f t="shared" si="58"/>
        <v>#VALUE!</v>
      </c>
      <c r="I1711" s="1">
        <v>1</v>
      </c>
    </row>
    <row r="1712" spans="1:9" x14ac:dyDescent="0.25">
      <c r="A1712" s="1" t="s">
        <v>14435</v>
      </c>
      <c r="B1712" s="1" t="s">
        <v>4711</v>
      </c>
      <c r="C1712" s="1" t="str">
        <f>IFERROR(VLOOKUP(B1712,'SB1'!$A$2:$B$999999,2,FALSE),"")</f>
        <v>ESMALTE SINTETICO TERSUAVE 2EN1 BRILLANTE AMAR.MED. X  1</v>
      </c>
      <c r="D1712" s="1" t="s">
        <v>14437</v>
      </c>
      <c r="E1712" s="3">
        <f>IFERROR(VLOOKUP(B1712,'DA1'!$B$2:$D$999999,3,FALSE),"")</f>
      </c>
      <c r="F1712" s="1" t="str">
        <f>IFERROR(VLOOKUP(B1712,'SB1'!$A$2:$C$999999,3,FALSE),"")</f>
        <v>503</v>
      </c>
      <c r="G1712" s="3" t="e">
        <f t="shared" si="57"/>
        <v>#VALUE!</v>
      </c>
      <c r="H1712" s="3" t="e">
        <f t="shared" si="58"/>
        <v>#VALUE!</v>
      </c>
      <c r="I1712" s="1">
        <v>1</v>
      </c>
    </row>
    <row r="1713" spans="1:9" x14ac:dyDescent="0.25">
      <c r="A1713" s="1" t="s">
        <v>14435</v>
      </c>
      <c r="B1713" s="1" t="s">
        <v>4717</v>
      </c>
      <c r="C1713" s="1" t="str">
        <f>IFERROR(VLOOKUP(B1713,'SB1'!$A$2:$B$999999,2,FALSE),"")</f>
        <v>PROTECTOR PARA LADRILLO RECUBRICK AL AGUA INCOLORO X 10</v>
      </c>
      <c r="D1713" s="1" t="s">
        <v>14463</v>
      </c>
      <c r="E1713" s="3">
        <f>IFERROR(VLOOKUP(B1713,'DA1'!$B$2:$D$999999,3,FALSE),"")</f>
      </c>
      <c r="F1713" s="1" t="str">
        <f>IFERROR(VLOOKUP(B1713,'SB1'!$A$2:$C$999999,3,FALSE),"")</f>
        <v>503</v>
      </c>
      <c r="G1713" s="3" t="e">
        <f t="shared" si="57"/>
        <v>#VALUE!</v>
      </c>
      <c r="H1713" s="3" t="e">
        <f t="shared" si="58"/>
        <v>#VALUE!</v>
      </c>
      <c r="I1713" s="1">
        <v>1</v>
      </c>
    </row>
    <row r="1714" spans="1:9" x14ac:dyDescent="0.25">
      <c r="A1714" s="1" t="s">
        <v>14435</v>
      </c>
      <c r="B1714" s="1" t="s">
        <v>4719</v>
      </c>
      <c r="C1714" s="1" t="str">
        <f>IFERROR(VLOOKUP(B1714,'SB1'!$A$2:$B$999999,2,FALSE),"")</f>
        <v>PROTECTOR PARA LADRILLO RECUBRICK AL AGUA INCOLORO X 20</v>
      </c>
      <c r="D1714" s="1" t="s">
        <v>14463</v>
      </c>
      <c r="E1714" s="3">
        <f>IFERROR(VLOOKUP(B1714,'DA1'!$B$2:$D$999999,3,FALSE),"")</f>
      </c>
      <c r="F1714" s="1" t="str">
        <f>IFERROR(VLOOKUP(B1714,'SB1'!$A$2:$C$999999,3,FALSE),"")</f>
        <v>503</v>
      </c>
      <c r="G1714" s="3" t="e">
        <f t="shared" si="57"/>
        <v>#VALUE!</v>
      </c>
      <c r="H1714" s="3" t="e">
        <f t="shared" si="58"/>
        <v>#VALUE!</v>
      </c>
      <c r="I1714" s="1">
        <v>1</v>
      </c>
    </row>
    <row r="1715" spans="1:9" x14ac:dyDescent="0.25">
      <c r="A1715" s="1" t="s">
        <v>14435</v>
      </c>
      <c r="B1715" s="1" t="s">
        <v>4721</v>
      </c>
      <c r="C1715" s="1" t="str">
        <f>IFERROR(VLOOKUP(B1715,'SB1'!$A$2:$B$999999,2,FALSE),"")</f>
        <v>LIJA AL AGUA CS RAPIFIX #   60</v>
      </c>
      <c r="D1715" s="1" t="s">
        <v>14486</v>
      </c>
      <c r="E1715" s="3">
        <f>IFERROR(VLOOKUP(B1715,'DA1'!$B$2:$D$999999,3,FALSE),"")</f>
      </c>
      <c r="F1715" s="1" t="str">
        <f>IFERROR(VLOOKUP(B1715,'SB1'!$A$2:$C$999999,3,FALSE),"")</f>
        <v>503</v>
      </c>
      <c r="G1715" s="3" t="e">
        <f t="shared" si="57"/>
        <v>#VALUE!</v>
      </c>
      <c r="H1715" s="3" t="e">
        <f t="shared" si="58"/>
        <v>#VALUE!</v>
      </c>
      <c r="I1715" s="1">
        <v>2</v>
      </c>
    </row>
    <row r="1716" spans="1:9" x14ac:dyDescent="0.25">
      <c r="A1716" s="1" t="s">
        <v>14435</v>
      </c>
      <c r="B1716" s="1" t="s">
        <v>4723</v>
      </c>
      <c r="C1716" s="1" t="str">
        <f>IFERROR(VLOOKUP(B1716,'SB1'!$A$2:$B$999999,2,FALSE),"")</f>
        <v>LIJA AL AGUA CS RAPIFIX #   80</v>
      </c>
      <c r="D1716" s="1" t="s">
        <v>14486</v>
      </c>
      <c r="E1716" s="3">
        <f>IFERROR(VLOOKUP(B1716,'DA1'!$B$2:$D$999999,3,FALSE),"")</f>
      </c>
      <c r="F1716" s="1" t="str">
        <f>IFERROR(VLOOKUP(B1716,'SB1'!$A$2:$C$999999,3,FALSE),"")</f>
        <v>503</v>
      </c>
      <c r="G1716" s="3" t="e">
        <f t="shared" si="57"/>
        <v>#VALUE!</v>
      </c>
      <c r="H1716" s="3" t="e">
        <f t="shared" si="58"/>
        <v>#VALUE!</v>
      </c>
      <c r="I1716" s="1">
        <v>2</v>
      </c>
    </row>
    <row r="1717" spans="1:9" x14ac:dyDescent="0.25">
      <c r="A1717" s="1" t="s">
        <v>14435</v>
      </c>
      <c r="B1717" s="1" t="s">
        <v>4725</v>
      </c>
      <c r="C1717" s="1" t="str">
        <f>IFERROR(VLOOKUP(B1717,'SB1'!$A$2:$B$999999,2,FALSE),"")</f>
        <v>LIJA AL AGUA CS RAPIFIX #  100</v>
      </c>
      <c r="D1717" s="1" t="s">
        <v>14486</v>
      </c>
      <c r="E1717" s="3">
        <f>IFERROR(VLOOKUP(B1717,'DA1'!$B$2:$D$999999,3,FALSE),"")</f>
      </c>
      <c r="F1717" s="1" t="str">
        <f>IFERROR(VLOOKUP(B1717,'SB1'!$A$2:$C$999999,3,FALSE),"")</f>
        <v>503</v>
      </c>
      <c r="G1717" s="3" t="e">
        <f t="shared" si="57"/>
        <v>#VALUE!</v>
      </c>
      <c r="H1717" s="3" t="e">
        <f t="shared" si="58"/>
        <v>#VALUE!</v>
      </c>
      <c r="I1717" s="1">
        <v>2</v>
      </c>
    </row>
    <row r="1718" spans="1:9" x14ac:dyDescent="0.25">
      <c r="A1718" s="1" t="s">
        <v>14435</v>
      </c>
      <c r="B1718" s="1" t="s">
        <v>4727</v>
      </c>
      <c r="C1718" s="1" t="str">
        <f>IFERROR(VLOOKUP(B1718,'SB1'!$A$2:$B$999999,2,FALSE),"")</f>
        <v>LIJA AL AGUA CS RAPIFIX #  120</v>
      </c>
      <c r="D1718" s="1" t="s">
        <v>14486</v>
      </c>
      <c r="E1718" s="3">
        <f>IFERROR(VLOOKUP(B1718,'DA1'!$B$2:$D$999999,3,FALSE),"")</f>
      </c>
      <c r="F1718" s="1" t="str">
        <f>IFERROR(VLOOKUP(B1718,'SB1'!$A$2:$C$999999,3,FALSE),"")</f>
        <v>503</v>
      </c>
      <c r="G1718" s="3" t="e">
        <f t="shared" si="57"/>
        <v>#VALUE!</v>
      </c>
      <c r="H1718" s="3" t="e">
        <f t="shared" si="58"/>
        <v>#VALUE!</v>
      </c>
      <c r="I1718" s="1">
        <v>2</v>
      </c>
    </row>
    <row r="1719" spans="1:9" x14ac:dyDescent="0.25">
      <c r="A1719" s="1" t="s">
        <v>14435</v>
      </c>
      <c r="B1719" s="1" t="s">
        <v>4729</v>
      </c>
      <c r="C1719" s="1" t="str">
        <f>IFERROR(VLOOKUP(B1719,'SB1'!$A$2:$B$999999,2,FALSE),"")</f>
        <v>LIJA AL AGUA CS RAPIFIX #  150</v>
      </c>
      <c r="D1719" s="1" t="s">
        <v>14486</v>
      </c>
      <c r="E1719" s="3">
        <f>IFERROR(VLOOKUP(B1719,'DA1'!$B$2:$D$999999,3,FALSE),"")</f>
      </c>
      <c r="F1719" s="1" t="str">
        <f>IFERROR(VLOOKUP(B1719,'SB1'!$A$2:$C$999999,3,FALSE),"")</f>
        <v>503</v>
      </c>
      <c r="G1719" s="3" t="e">
        <f t="shared" si="57"/>
        <v>#VALUE!</v>
      </c>
      <c r="H1719" s="3" t="e">
        <f t="shared" si="58"/>
        <v>#VALUE!</v>
      </c>
      <c r="I1719" s="1">
        <v>2</v>
      </c>
    </row>
    <row r="1720" spans="1:9" x14ac:dyDescent="0.25">
      <c r="A1720" s="1" t="s">
        <v>14435</v>
      </c>
      <c r="B1720" s="1" t="s">
        <v>4731</v>
      </c>
      <c r="C1720" s="1" t="str">
        <f>IFERROR(VLOOKUP(B1720,'SB1'!$A$2:$B$999999,2,FALSE),"")</f>
        <v>LIJA AL AGUA CS RAPIFIX #  180</v>
      </c>
      <c r="D1720" s="1" t="s">
        <v>14486</v>
      </c>
      <c r="E1720" s="3">
        <f>IFERROR(VLOOKUP(B1720,'DA1'!$B$2:$D$999999,3,FALSE),"")</f>
      </c>
      <c r="F1720" s="1" t="str">
        <f>IFERROR(VLOOKUP(B1720,'SB1'!$A$2:$C$999999,3,FALSE),"")</f>
        <v>503</v>
      </c>
      <c r="G1720" s="3" t="e">
        <f t="shared" si="57"/>
        <v>#VALUE!</v>
      </c>
      <c r="H1720" s="3" t="e">
        <f t="shared" si="58"/>
        <v>#VALUE!</v>
      </c>
      <c r="I1720" s="1">
        <v>2</v>
      </c>
    </row>
    <row r="1721" spans="1:9" x14ac:dyDescent="0.25">
      <c r="A1721" s="1" t="s">
        <v>14435</v>
      </c>
      <c r="B1721" s="1" t="s">
        <v>4733</v>
      </c>
      <c r="C1721" s="1" t="str">
        <f>IFERROR(VLOOKUP(B1721,'SB1'!$A$2:$B$999999,2,FALSE),"")</f>
        <v>LIJA AL AGUA CS RAPIFIX #  220</v>
      </c>
      <c r="D1721" s="1" t="s">
        <v>14486</v>
      </c>
      <c r="E1721" s="3">
        <f>IFERROR(VLOOKUP(B1721,'DA1'!$B$2:$D$999999,3,FALSE),"")</f>
      </c>
      <c r="F1721" s="1" t="str">
        <f>IFERROR(VLOOKUP(B1721,'SB1'!$A$2:$C$999999,3,FALSE),"")</f>
        <v>503</v>
      </c>
      <c r="G1721" s="3" t="e">
        <f t="shared" si="57"/>
        <v>#VALUE!</v>
      </c>
      <c r="H1721" s="3" t="e">
        <f t="shared" si="58"/>
        <v>#VALUE!</v>
      </c>
      <c r="I1721" s="1">
        <v>2</v>
      </c>
    </row>
    <row r="1722" spans="1:9" x14ac:dyDescent="0.25">
      <c r="A1722" s="1" t="s">
        <v>14435</v>
      </c>
      <c r="B1722" s="1" t="s">
        <v>4735</v>
      </c>
      <c r="C1722" s="1" t="str">
        <f>IFERROR(VLOOKUP(B1722,'SB1'!$A$2:$B$999999,2,FALSE),"")</f>
        <v>LIJA AL AGUA CS RAPIFIX #  240</v>
      </c>
      <c r="D1722" s="1" t="s">
        <v>14486</v>
      </c>
      <c r="E1722" s="3">
        <f>IFERROR(VLOOKUP(B1722,'DA1'!$B$2:$D$999999,3,FALSE),"")</f>
      </c>
      <c r="F1722" s="1" t="str">
        <f>IFERROR(VLOOKUP(B1722,'SB1'!$A$2:$C$999999,3,FALSE),"")</f>
        <v>503</v>
      </c>
      <c r="G1722" s="3" t="e">
        <f t="shared" si="57"/>
        <v>#VALUE!</v>
      </c>
      <c r="H1722" s="3" t="e">
        <f t="shared" si="58"/>
        <v>#VALUE!</v>
      </c>
      <c r="I1722" s="1">
        <v>2</v>
      </c>
    </row>
    <row r="1723" spans="1:9" x14ac:dyDescent="0.25">
      <c r="A1723" s="1" t="s">
        <v>14435</v>
      </c>
      <c r="B1723" s="1" t="s">
        <v>4737</v>
      </c>
      <c r="C1723" s="1" t="str">
        <f>IFERROR(VLOOKUP(B1723,'SB1'!$A$2:$B$999999,2,FALSE),"")</f>
        <v>LIJA AL AGUA CS RAPIFIX #  320</v>
      </c>
      <c r="D1723" s="1" t="s">
        <v>14486</v>
      </c>
      <c r="E1723" s="3">
        <f>IFERROR(VLOOKUP(B1723,'DA1'!$B$2:$D$999999,3,FALSE),"")</f>
      </c>
      <c r="F1723" s="1" t="str">
        <f>IFERROR(VLOOKUP(B1723,'SB1'!$A$2:$C$999999,3,FALSE),"")</f>
        <v>503</v>
      </c>
      <c r="G1723" s="3" t="e">
        <f t="shared" si="57"/>
        <v>#VALUE!</v>
      </c>
      <c r="H1723" s="3" t="e">
        <f t="shared" si="58"/>
        <v>#VALUE!</v>
      </c>
      <c r="I1723" s="1">
        <v>2</v>
      </c>
    </row>
    <row r="1724" spans="1:9" x14ac:dyDescent="0.25">
      <c r="A1724" s="1" t="s">
        <v>14435</v>
      </c>
      <c r="B1724" s="1" t="s">
        <v>4739</v>
      </c>
      <c r="C1724" s="1" t="str">
        <f>IFERROR(VLOOKUP(B1724,'SB1'!$A$2:$B$999999,2,FALSE),"")</f>
        <v>LIJA AL AGUA CS RAPIFIX #  360</v>
      </c>
      <c r="D1724" s="1" t="s">
        <v>14486</v>
      </c>
      <c r="E1724" s="3">
        <f>IFERROR(VLOOKUP(B1724,'DA1'!$B$2:$D$999999,3,FALSE),"")</f>
      </c>
      <c r="F1724" s="1" t="str">
        <f>IFERROR(VLOOKUP(B1724,'SB1'!$A$2:$C$999999,3,FALSE),"")</f>
        <v>503</v>
      </c>
      <c r="G1724" s="3" t="e">
        <f t="shared" si="57"/>
        <v>#VALUE!</v>
      </c>
      <c r="H1724" s="3" t="e">
        <f t="shared" si="58"/>
        <v>#VALUE!</v>
      </c>
      <c r="I1724" s="1">
        <v>2</v>
      </c>
    </row>
    <row r="1725" spans="1:9" x14ac:dyDescent="0.25">
      <c r="A1725" s="1" t="s">
        <v>14435</v>
      </c>
      <c r="B1725" s="1" t="s">
        <v>4741</v>
      </c>
      <c r="C1725" s="1" t="str">
        <f>IFERROR(VLOOKUP(B1725,'SB1'!$A$2:$B$999999,2,FALSE),"")</f>
        <v>LIJA AL AGUA CS RAPIFIX #  400</v>
      </c>
      <c r="D1725" s="1" t="s">
        <v>14486</v>
      </c>
      <c r="E1725" s="3">
        <f>IFERROR(VLOOKUP(B1725,'DA1'!$B$2:$D$999999,3,FALSE),"")</f>
      </c>
      <c r="F1725" s="1" t="str">
        <f>IFERROR(VLOOKUP(B1725,'SB1'!$A$2:$C$999999,3,FALSE),"")</f>
        <v>503</v>
      </c>
      <c r="G1725" s="3" t="e">
        <f t="shared" si="57"/>
        <v>#VALUE!</v>
      </c>
      <c r="H1725" s="3" t="e">
        <f t="shared" si="58"/>
        <v>#VALUE!</v>
      </c>
      <c r="I1725" s="1">
        <v>2</v>
      </c>
    </row>
    <row r="1726" spans="1:9" x14ac:dyDescent="0.25">
      <c r="A1726" s="1" t="s">
        <v>14435</v>
      </c>
      <c r="B1726" s="1" t="s">
        <v>4743</v>
      </c>
      <c r="C1726" s="1" t="str">
        <f>IFERROR(VLOOKUP(B1726,'SB1'!$A$2:$B$999999,2,FALSE),"")</f>
        <v>LIJA AL AGUA CS RAPIFIX #  600</v>
      </c>
      <c r="D1726" s="1" t="s">
        <v>14486</v>
      </c>
      <c r="E1726" s="3">
        <f>IFERROR(VLOOKUP(B1726,'DA1'!$B$2:$D$999999,3,FALSE),"")</f>
      </c>
      <c r="F1726" s="1" t="str">
        <f>IFERROR(VLOOKUP(B1726,'SB1'!$A$2:$C$999999,3,FALSE),"")</f>
        <v>503</v>
      </c>
      <c r="G1726" s="3" t="e">
        <f t="shared" si="57"/>
        <v>#VALUE!</v>
      </c>
      <c r="H1726" s="3" t="e">
        <f t="shared" si="58"/>
        <v>#VALUE!</v>
      </c>
      <c r="I1726" s="1">
        <v>2</v>
      </c>
    </row>
    <row r="1727" spans="1:9" x14ac:dyDescent="0.25">
      <c r="A1727" s="1" t="s">
        <v>14435</v>
      </c>
      <c r="B1727" s="1" t="s">
        <v>4745</v>
      </c>
      <c r="C1727" s="1" t="str">
        <f>IFERROR(VLOOKUP(B1727,'SB1'!$A$2:$B$999999,2,FALSE),"")</f>
        <v>LIJA AL AGUA CS RAPIFIX # 1000</v>
      </c>
      <c r="D1727" s="1" t="s">
        <v>14486</v>
      </c>
      <c r="E1727" s="3">
        <f>IFERROR(VLOOKUP(B1727,'DA1'!$B$2:$D$999999,3,FALSE),"")</f>
      </c>
      <c r="F1727" s="1" t="str">
        <f>IFERROR(VLOOKUP(B1727,'SB1'!$A$2:$C$999999,3,FALSE),"")</f>
        <v>503</v>
      </c>
      <c r="G1727" s="3" t="e">
        <f t="shared" si="57"/>
        <v>#VALUE!</v>
      </c>
      <c r="H1727" s="3" t="e">
        <f t="shared" si="58"/>
        <v>#VALUE!</v>
      </c>
      <c r="I1727" s="1">
        <v>2</v>
      </c>
    </row>
    <row r="1728" spans="1:9" x14ac:dyDescent="0.25">
      <c r="A1728" s="1" t="s">
        <v>14435</v>
      </c>
      <c r="B1728" s="1" t="s">
        <v>4747</v>
      </c>
      <c r="C1728" s="1" t="str">
        <f>IFERROR(VLOOKUP(B1728,'SB1'!$A$2:$B$999999,2,FALSE),"")</f>
        <v>LIJA AL AGUA CS RAPIFIX # 1500</v>
      </c>
      <c r="D1728" s="1" t="s">
        <v>14486</v>
      </c>
      <c r="E1728" s="3">
        <f>IFERROR(VLOOKUP(B1728,'DA1'!$B$2:$D$999999,3,FALSE),"")</f>
      </c>
      <c r="F1728" s="1" t="str">
        <f>IFERROR(VLOOKUP(B1728,'SB1'!$A$2:$C$999999,3,FALSE),"")</f>
        <v>503</v>
      </c>
      <c r="G1728" s="3" t="e">
        <f t="shared" si="57"/>
        <v>#VALUE!</v>
      </c>
      <c r="H1728" s="3" t="e">
        <f t="shared" si="58"/>
        <v>#VALUE!</v>
      </c>
      <c r="I1728" s="1">
        <v>2</v>
      </c>
    </row>
    <row r="1729" spans="1:9" x14ac:dyDescent="0.25">
      <c r="A1729" s="1" t="s">
        <v>14435</v>
      </c>
      <c r="B1729" s="1" t="s">
        <v>4749</v>
      </c>
      <c r="C1729" s="1" t="str">
        <f>IFERROR(VLOOKUP(B1729,'SB1'!$A$2:$B$999999,2,FALSE),"")</f>
        <v>LIJA AL AGUA CS RAPIFIX # 2000</v>
      </c>
      <c r="D1729" s="1" t="s">
        <v>14486</v>
      </c>
      <c r="E1729" s="3">
        <f>IFERROR(VLOOKUP(B1729,'DA1'!$B$2:$D$999999,3,FALSE),"")</f>
      </c>
      <c r="F1729" s="1" t="str">
        <f>IFERROR(VLOOKUP(B1729,'SB1'!$A$2:$C$999999,3,FALSE),"")</f>
        <v>503</v>
      </c>
      <c r="G1729" s="3" t="e">
        <f t="shared" si="57"/>
        <v>#VALUE!</v>
      </c>
      <c r="H1729" s="3" t="e">
        <f t="shared" si="58"/>
        <v>#VALUE!</v>
      </c>
      <c r="I1729" s="1">
        <v>2</v>
      </c>
    </row>
    <row r="1730" spans="1:9" x14ac:dyDescent="0.25">
      <c r="A1730" s="1" t="s">
        <v>14435</v>
      </c>
      <c r="B1730" s="1" t="s">
        <v>4751</v>
      </c>
      <c r="C1730" s="1" t="str">
        <f>IFERROR(VLOOKUP(B1730,'SB1'!$A$2:$B$999999,2,FALSE),"")</f>
        <v>LIJA AL AGUA CS RAPIFIX # 2500</v>
      </c>
      <c r="D1730" s="1" t="s">
        <v>14486</v>
      </c>
      <c r="E1730" s="3">
        <f>IFERROR(VLOOKUP(B1730,'DA1'!$B$2:$D$999999,3,FALSE),"")</f>
      </c>
      <c r="F1730" s="1" t="str">
        <f>IFERROR(VLOOKUP(B1730,'SB1'!$A$2:$C$999999,3,FALSE),"")</f>
        <v>503</v>
      </c>
      <c r="G1730" s="3" t="e">
        <f t="shared" si="57"/>
        <v>#VALUE!</v>
      </c>
      <c r="H1730" s="3" t="e">
        <f t="shared" si="58"/>
        <v>#VALUE!</v>
      </c>
      <c r="I1730" s="1">
        <v>2</v>
      </c>
    </row>
    <row r="1731" spans="1:9" x14ac:dyDescent="0.25">
      <c r="A1731" s="1" t="s">
        <v>14435</v>
      </c>
      <c r="B1731" s="1" t="s">
        <v>4791</v>
      </c>
      <c r="C1731" s="1" t="str">
        <f>IFERROR(VLOOKUP(B1731,'SB1'!$A$2:$B$999999,2,FALSE),"")</f>
        <v>ESPATULA PINTOR SANTA JUANA CABO PLASTICO 30</v>
      </c>
      <c r="D1731" s="1" t="s">
        <v>14448</v>
      </c>
      <c r="E1731" s="3">
        <f>IFERROR(VLOOKUP(B1731,'DA1'!$B$2:$D$999999,3,FALSE),"")</f>
      </c>
      <c r="F1731" s="1" t="str">
        <f>IFERROR(VLOOKUP(B1731,'SB1'!$A$2:$C$999999,3,FALSE),"")</f>
        <v>503</v>
      </c>
      <c r="G1731" s="3" t="e">
        <f t="shared" ref="G1731:G1794" si="59">E1731*1.04</f>
        <v>#VALUE!</v>
      </c>
      <c r="H1731" s="3" t="e">
        <f t="shared" si="58"/>
        <v>#VALUE!</v>
      </c>
      <c r="I1731" s="1">
        <v>1</v>
      </c>
    </row>
    <row r="1732" spans="1:9" x14ac:dyDescent="0.25">
      <c r="A1732" s="1" t="s">
        <v>14435</v>
      </c>
      <c r="B1732" s="1" t="s">
        <v>4793</v>
      </c>
      <c r="C1732" s="1" t="str">
        <f>IFERROR(VLOOKUP(B1732,'SB1'!$A$2:$B$999999,2,FALSE),"")</f>
        <v>ESPATULA PINTOR SANTA JUANA CABO PLASTICO 40</v>
      </c>
      <c r="D1732" s="1" t="s">
        <v>14448</v>
      </c>
      <c r="E1732" s="3">
        <f>IFERROR(VLOOKUP(B1732,'DA1'!$B$2:$D$999999,3,FALSE),"")</f>
      </c>
      <c r="F1732" s="1" t="str">
        <f>IFERROR(VLOOKUP(B1732,'SB1'!$A$2:$C$999999,3,FALSE),"")</f>
        <v>503</v>
      </c>
      <c r="G1732" s="3" t="e">
        <f t="shared" si="59"/>
        <v>#VALUE!</v>
      </c>
      <c r="H1732" s="3" t="e">
        <f t="shared" si="58"/>
        <v>#VALUE!</v>
      </c>
      <c r="I1732" s="1">
        <v>1</v>
      </c>
    </row>
    <row r="1733" spans="1:9" x14ac:dyDescent="0.25">
      <c r="A1733" s="1" t="s">
        <v>14435</v>
      </c>
      <c r="B1733" s="1" t="s">
        <v>4795</v>
      </c>
      <c r="C1733" s="1" t="str">
        <f>IFERROR(VLOOKUP(B1733,'SB1'!$A$2:$B$999999,2,FALSE),"")</f>
        <v>ESPATULA PINTOR SANTA JUANA CABO PLASTICO 50</v>
      </c>
      <c r="D1733" s="1" t="s">
        <v>14448</v>
      </c>
      <c r="E1733" s="3">
        <f>IFERROR(VLOOKUP(B1733,'DA1'!$B$2:$D$999999,3,FALSE),"")</f>
      </c>
      <c r="F1733" s="1" t="str">
        <f>IFERROR(VLOOKUP(B1733,'SB1'!$A$2:$C$999999,3,FALSE),"")</f>
        <v>503</v>
      </c>
      <c r="G1733" s="3" t="e">
        <f t="shared" si="59"/>
        <v>#VALUE!</v>
      </c>
      <c r="H1733" s="3" t="e">
        <f t="shared" si="58"/>
        <v>#VALUE!</v>
      </c>
      <c r="I1733" s="1">
        <v>1</v>
      </c>
    </row>
    <row r="1734" spans="1:9" x14ac:dyDescent="0.25">
      <c r="A1734" s="1" t="s">
        <v>14435</v>
      </c>
      <c r="B1734" s="1" t="s">
        <v>4797</v>
      </c>
      <c r="C1734" s="1" t="str">
        <f>IFERROR(VLOOKUP(B1734,'SB1'!$A$2:$B$999999,2,FALSE),"")</f>
        <v>ESPATULA PINTOR SANTA JUANA CABO PLASTICO 60</v>
      </c>
      <c r="D1734" s="1" t="s">
        <v>14448</v>
      </c>
      <c r="E1734" s="3">
        <f>IFERROR(VLOOKUP(B1734,'DA1'!$B$2:$D$999999,3,FALSE),"")</f>
      </c>
      <c r="F1734" s="1" t="str">
        <f>IFERROR(VLOOKUP(B1734,'SB1'!$A$2:$C$999999,3,FALSE),"")</f>
        <v>503</v>
      </c>
      <c r="G1734" s="3" t="e">
        <f t="shared" si="59"/>
        <v>#VALUE!</v>
      </c>
      <c r="H1734" s="3" t="e">
        <f t="shared" si="58"/>
        <v>#VALUE!</v>
      </c>
      <c r="I1734" s="1">
        <v>1</v>
      </c>
    </row>
    <row r="1735" spans="1:9" x14ac:dyDescent="0.25">
      <c r="A1735" s="1" t="s">
        <v>14435</v>
      </c>
      <c r="B1735" s="1" t="s">
        <v>4823</v>
      </c>
      <c r="C1735" s="1" t="str">
        <f>IFERROR(VLOOKUP(B1735,'SB1'!$A$2:$B$999999,2,FALSE),"")</f>
        <v>DEMARCACION VIAL TERSUAVE BLANCO X 20</v>
      </c>
      <c r="D1735" s="1" t="s">
        <v>14487</v>
      </c>
      <c r="E1735" s="3">
        <f>IFERROR(VLOOKUP(B1735,'DA1'!$B$2:$D$999999,3,FALSE),"")</f>
      </c>
      <c r="F1735" s="1" t="str">
        <f>IFERROR(VLOOKUP(B1735,'SB1'!$A$2:$C$999999,3,FALSE),"")</f>
        <v>503</v>
      </c>
      <c r="G1735" s="3" t="e">
        <f t="shared" si="59"/>
        <v>#VALUE!</v>
      </c>
      <c r="H1735" s="3" t="e">
        <f t="shared" si="58"/>
        <v>#VALUE!</v>
      </c>
      <c r="I1735" s="1">
        <v>1</v>
      </c>
    </row>
    <row r="1736" spans="1:9" x14ac:dyDescent="0.25">
      <c r="A1736" s="1" t="s">
        <v>14435</v>
      </c>
      <c r="B1736" s="1" t="s">
        <v>4839</v>
      </c>
      <c r="C1736" s="1" t="str">
        <f>IFERROR(VLOOKUP(B1736,'SB1'!$A$2:$B$999999,2,FALSE),"")</f>
        <v>DISCO CORTE DOBLE A T41 ULTRA ACERO 230X2X22,2</v>
      </c>
      <c r="D1736" s="1" t="s">
        <v>14451</v>
      </c>
      <c r="E1736" s="3">
        <f>IFERROR(VLOOKUP(B1736,'DA1'!$B$2:$D$999999,3,FALSE),"")</f>
      </c>
      <c r="F1736" s="1" t="str">
        <f>IFERROR(VLOOKUP(B1736,'SB1'!$A$2:$C$999999,3,FALSE),"")</f>
        <v>503</v>
      </c>
      <c r="G1736" s="3" t="e">
        <f t="shared" si="59"/>
        <v>#VALUE!</v>
      </c>
      <c r="H1736" s="3" t="e">
        <f t="shared" si="58"/>
        <v>#VALUE!</v>
      </c>
      <c r="I1736" s="1">
        <v>1</v>
      </c>
    </row>
    <row r="1737" spans="1:9" x14ac:dyDescent="0.25">
      <c r="A1737" s="1" t="s">
        <v>14435</v>
      </c>
      <c r="B1737" s="1" t="s">
        <v>4861</v>
      </c>
      <c r="C1737" s="1" t="str">
        <f>IFERROR(VLOOKUP(B1737,'SB1'!$A$2:$B$999999,2,FALSE),"")</f>
        <v>ESMALTE EPOXI TERSUAVE INDULAC NEGRO X 20</v>
      </c>
      <c r="D1737" s="1" t="s">
        <v>14487</v>
      </c>
      <c r="E1737" s="3">
        <f>IFERROR(VLOOKUP(B1737,'DA1'!$B$2:$D$999999,3,FALSE),"")</f>
      </c>
      <c r="F1737" s="1" t="str">
        <f>IFERROR(VLOOKUP(B1737,'SB1'!$A$2:$C$999999,3,FALSE),"")</f>
        <v>503</v>
      </c>
      <c r="G1737" s="3" t="e">
        <f t="shared" si="59"/>
        <v>#VALUE!</v>
      </c>
      <c r="H1737" s="3" t="e">
        <f t="shared" si="58"/>
        <v>#VALUE!</v>
      </c>
      <c r="I1737" s="1">
        <v>1</v>
      </c>
    </row>
    <row r="1738" spans="1:9" x14ac:dyDescent="0.25">
      <c r="A1738" s="1" t="s">
        <v>14435</v>
      </c>
      <c r="B1738" s="1" t="s">
        <v>4869</v>
      </c>
      <c r="C1738" s="1" t="str">
        <f>IFERROR(VLOOKUP(B1738,'SB1'!$A$2:$B$999999,2,FALSE),"")</f>
        <v>FONDO EPOXI TERSUAVE INDULAC ANTICORROSIVO AMARILLO X 20</v>
      </c>
      <c r="D1738" s="1" t="s">
        <v>14487</v>
      </c>
      <c r="E1738" s="3">
        <f>IFERROR(VLOOKUP(B1738,'DA1'!$B$2:$D$999999,3,FALSE),"")</f>
      </c>
      <c r="F1738" s="1" t="str">
        <f>IFERROR(VLOOKUP(B1738,'SB1'!$A$2:$C$999999,3,FALSE),"")</f>
        <v>503</v>
      </c>
      <c r="G1738" s="3" t="e">
        <f t="shared" si="59"/>
        <v>#VALUE!</v>
      </c>
      <c r="H1738" s="3" t="e">
        <f t="shared" si="58"/>
        <v>#VALUE!</v>
      </c>
      <c r="I1738" s="1">
        <v>1</v>
      </c>
    </row>
    <row r="1739" spans="1:9" x14ac:dyDescent="0.25">
      <c r="A1739" s="1" t="s">
        <v>14435</v>
      </c>
      <c r="B1739" s="1" t="s">
        <v>4881</v>
      </c>
      <c r="C1739" s="1" t="str">
        <f>IFERROR(VLOOKUP(B1739,'SB1'!$A$2:$B$999999,2,FALSE),"")</f>
        <v>CINTA POLI DOBLE A TRANSPARENTE (293) 24MM X 50MTS.</v>
      </c>
      <c r="D1739" s="1" t="s">
        <v>14451</v>
      </c>
      <c r="E1739" s="3">
        <f>IFERROR(VLOOKUP(B1739,'DA1'!$B$2:$D$999999,3,FALSE),"")</f>
      </c>
      <c r="F1739" s="1" t="str">
        <f>IFERROR(VLOOKUP(B1739,'SB1'!$A$2:$C$999999,3,FALSE),"")</f>
        <v>503</v>
      </c>
      <c r="G1739" s="3" t="e">
        <f t="shared" si="59"/>
        <v>#VALUE!</v>
      </c>
      <c r="H1739" s="3" t="e">
        <f t="shared" si="58"/>
        <v>#VALUE!</v>
      </c>
      <c r="I1739" s="1">
        <v>1</v>
      </c>
    </row>
    <row r="1740" spans="1:9" x14ac:dyDescent="0.25">
      <c r="A1740" s="1" t="s">
        <v>14435</v>
      </c>
      <c r="B1740" s="1" t="s">
        <v>4883</v>
      </c>
      <c r="C1740" s="1" t="str">
        <f>IFERROR(VLOOKUP(B1740,'SB1'!$A$2:$B$999999,2,FALSE),"")</f>
        <v>ESMALTE EPOXI TERSUAVE INDULAC VERDE CLARO X 20</v>
      </c>
      <c r="D1740" s="1" t="s">
        <v>14487</v>
      </c>
      <c r="E1740" s="3">
        <f>IFERROR(VLOOKUP(B1740,'DA1'!$B$2:$D$999999,3,FALSE),"")</f>
      </c>
      <c r="F1740" s="1" t="str">
        <f>IFERROR(VLOOKUP(B1740,'SB1'!$A$2:$C$999999,3,FALSE),"")</f>
        <v>503</v>
      </c>
      <c r="G1740" s="3" t="e">
        <f t="shared" si="59"/>
        <v>#VALUE!</v>
      </c>
      <c r="H1740" s="3" t="e">
        <f t="shared" si="58"/>
        <v>#VALUE!</v>
      </c>
      <c r="I1740" s="1">
        <v>1</v>
      </c>
    </row>
    <row r="1741" spans="1:9" x14ac:dyDescent="0.25">
      <c r="A1741" s="1" t="s">
        <v>14435</v>
      </c>
      <c r="B1741" s="1" t="s">
        <v>4885</v>
      </c>
      <c r="C1741" s="1" t="str">
        <f>IFERROR(VLOOKUP(B1741,'SB1'!$A$2:$B$999999,2,FALSE),"")</f>
        <v>CINTA POLI DOBLE A TRANSPARENTE (293) 36MM X 50MTS.</v>
      </c>
      <c r="D1741" s="1" t="s">
        <v>14451</v>
      </c>
      <c r="E1741" s="3">
        <f>IFERROR(VLOOKUP(B1741,'DA1'!$B$2:$D$999999,3,FALSE),"")</f>
      </c>
      <c r="F1741" s="1" t="str">
        <f>IFERROR(VLOOKUP(B1741,'SB1'!$A$2:$C$999999,3,FALSE),"")</f>
        <v>503</v>
      </c>
      <c r="G1741" s="3" t="e">
        <f t="shared" si="59"/>
        <v>#VALUE!</v>
      </c>
      <c r="H1741" s="3" t="e">
        <f t="shared" si="58"/>
        <v>#VALUE!</v>
      </c>
      <c r="I1741" s="1">
        <v>1</v>
      </c>
    </row>
    <row r="1742" spans="1:9" x14ac:dyDescent="0.25">
      <c r="A1742" s="1" t="s">
        <v>14435</v>
      </c>
      <c r="B1742" s="1" t="s">
        <v>4889</v>
      </c>
      <c r="C1742" s="1" t="str">
        <f>IFERROR(VLOOKUP(B1742,'SB1'!$A$2:$B$999999,2,FALSE),"")</f>
        <v>ESMALTE EPOXI TERSUAVE INDULAC AMARILLO X 20</v>
      </c>
      <c r="D1742" s="1" t="s">
        <v>14487</v>
      </c>
      <c r="E1742" s="3">
        <f>IFERROR(VLOOKUP(B1742,'DA1'!$B$2:$D$999999,3,FALSE),"")</f>
      </c>
      <c r="F1742" s="1" t="str">
        <f>IFERROR(VLOOKUP(B1742,'SB1'!$A$2:$C$999999,3,FALSE),"")</f>
        <v>503</v>
      </c>
      <c r="G1742" s="3" t="e">
        <f t="shared" si="59"/>
        <v>#VALUE!</v>
      </c>
      <c r="H1742" s="3" t="e">
        <f t="shared" si="58"/>
        <v>#VALUE!</v>
      </c>
      <c r="I1742" s="1">
        <v>1</v>
      </c>
    </row>
    <row r="1743" spans="1:9" x14ac:dyDescent="0.25">
      <c r="A1743" s="1" t="s">
        <v>14435</v>
      </c>
      <c r="B1743" s="1" t="s">
        <v>4891</v>
      </c>
      <c r="C1743" s="1" t="str">
        <f>IFERROR(VLOOKUP(B1743,'SB1'!$A$2:$B$999999,2,FALSE),"")</f>
        <v>DEMARCACION VIAL TERSUAVE AMARILLO X 20</v>
      </c>
      <c r="D1743" s="1" t="s">
        <v>14487</v>
      </c>
      <c r="E1743" s="3">
        <f>IFERROR(VLOOKUP(B1743,'DA1'!$B$2:$D$999999,3,FALSE),"")</f>
      </c>
      <c r="F1743" s="1" t="str">
        <f>IFERROR(VLOOKUP(B1743,'SB1'!$A$2:$C$999999,3,FALSE),"")</f>
        <v>503</v>
      </c>
      <c r="G1743" s="3" t="e">
        <f t="shared" si="59"/>
        <v>#VALUE!</v>
      </c>
      <c r="H1743" s="3" t="e">
        <f t="shared" si="58"/>
        <v>#VALUE!</v>
      </c>
      <c r="I1743" s="1">
        <v>1</v>
      </c>
    </row>
    <row r="1744" spans="1:9" x14ac:dyDescent="0.25">
      <c r="A1744" s="1" t="s">
        <v>14435</v>
      </c>
      <c r="B1744" s="1" t="s">
        <v>4893</v>
      </c>
      <c r="C1744" s="1" t="str">
        <f>IFERROR(VLOOKUP(B1744,'SB1'!$A$2:$B$999999,2,FALSE),"")</f>
        <v>DISCO CORTE DOBLE A T42 MASTER ACERO 115X3,0X22,2</v>
      </c>
      <c r="D1744" s="1" t="s">
        <v>14451</v>
      </c>
      <c r="E1744" s="3">
        <f>IFERROR(VLOOKUP(B1744,'DA1'!$B$2:$D$999999,3,FALSE),"")</f>
      </c>
      <c r="F1744" s="1" t="str">
        <f>IFERROR(VLOOKUP(B1744,'SB1'!$A$2:$C$999999,3,FALSE),"")</f>
        <v>503</v>
      </c>
      <c r="G1744" s="3" t="e">
        <f t="shared" si="59"/>
        <v>#VALUE!</v>
      </c>
      <c r="H1744" s="3" t="e">
        <f t="shared" si="58"/>
        <v>#VALUE!</v>
      </c>
      <c r="I1744" s="1">
        <v>1</v>
      </c>
    </row>
    <row r="1745" spans="1:9" x14ac:dyDescent="0.25">
      <c r="A1745" s="1" t="s">
        <v>14435</v>
      </c>
      <c r="B1745" s="1" t="s">
        <v>4895</v>
      </c>
      <c r="C1745" s="1" t="str">
        <f>IFERROR(VLOOKUP(B1745,'SB1'!$A$2:$B$999999,2,FALSE),"")</f>
        <v>ESMALTE EPOXI TERSUAVE INDULAC BLANCO X 20</v>
      </c>
      <c r="D1745" s="1" t="s">
        <v>14487</v>
      </c>
      <c r="E1745" s="3">
        <f>IFERROR(VLOOKUP(B1745,'DA1'!$B$2:$D$999999,3,FALSE),"")</f>
      </c>
      <c r="F1745" s="1" t="str">
        <f>IFERROR(VLOOKUP(B1745,'SB1'!$A$2:$C$999999,3,FALSE),"")</f>
        <v>503</v>
      </c>
      <c r="G1745" s="3" t="e">
        <f t="shared" si="59"/>
        <v>#VALUE!</v>
      </c>
      <c r="H1745" s="3" t="e">
        <f t="shared" si="58"/>
        <v>#VALUE!</v>
      </c>
      <c r="I1745" s="1">
        <v>1</v>
      </c>
    </row>
    <row r="1746" spans="1:9" x14ac:dyDescent="0.25">
      <c r="A1746" s="1" t="s">
        <v>14435</v>
      </c>
      <c r="B1746" s="1" t="s">
        <v>4897</v>
      </c>
      <c r="C1746" s="1" t="str">
        <f>IFERROR(VLOOKUP(B1746,'SB1'!$A$2:$B$999999,2,FALSE),"")</f>
        <v>PROTECTOR PARA LADRILLO TERSUAVE IMPRECOL SATINADO NATURAL X 20</v>
      </c>
      <c r="D1746" s="1" t="s">
        <v>14437</v>
      </c>
      <c r="E1746" s="3">
        <f>IFERROR(VLOOKUP(B1746,'DA1'!$B$2:$D$999999,3,FALSE),"")</f>
      </c>
      <c r="F1746" s="1" t="str">
        <f>IFERROR(VLOOKUP(B1746,'SB1'!$A$2:$C$999999,3,FALSE),"")</f>
        <v>503</v>
      </c>
      <c r="G1746" s="3" t="e">
        <f t="shared" si="59"/>
        <v>#VALUE!</v>
      </c>
      <c r="H1746" s="3" t="e">
        <f t="shared" si="58"/>
        <v>#VALUE!</v>
      </c>
      <c r="I1746" s="1">
        <v>1</v>
      </c>
    </row>
    <row r="1747" spans="1:9" x14ac:dyDescent="0.25">
      <c r="A1747" s="1" t="s">
        <v>14435</v>
      </c>
      <c r="B1747" s="1" t="s">
        <v>4899</v>
      </c>
      <c r="C1747" s="1" t="str">
        <f>IFERROR(VLOOKUP(B1747,'SB1'!$A$2:$B$999999,2,FALSE),"")</f>
        <v>DISCO DESBASTE DOBLE A T27 MASTER ACERO 230X6,4X22,2</v>
      </c>
      <c r="D1747" s="1" t="s">
        <v>14451</v>
      </c>
      <c r="E1747" s="3">
        <f>IFERROR(VLOOKUP(B1747,'DA1'!$B$2:$D$999999,3,FALSE),"")</f>
      </c>
      <c r="F1747" s="1" t="str">
        <f>IFERROR(VLOOKUP(B1747,'SB1'!$A$2:$C$999999,3,FALSE),"")</f>
        <v>503</v>
      </c>
      <c r="G1747" s="3" t="e">
        <f t="shared" si="59"/>
        <v>#VALUE!</v>
      </c>
      <c r="H1747" s="3" t="e">
        <f t="shared" si="58"/>
        <v>#VALUE!</v>
      </c>
      <c r="I1747" s="1">
        <v>1</v>
      </c>
    </row>
    <row r="1748" spans="1:9" x14ac:dyDescent="0.25">
      <c r="A1748" s="1" t="s">
        <v>14435</v>
      </c>
      <c r="B1748" s="1" t="s">
        <v>4901</v>
      </c>
      <c r="C1748" s="1" t="str">
        <f>IFERROR(VLOOKUP(B1748,'SB1'!$A$2:$B$999999,2,FALSE),"")</f>
        <v>PROTECTOR PARA LADRILLO TERSUAVE IMPRECOL SATINADO CERAMICO X 20</v>
      </c>
      <c r="D1748" s="1" t="s">
        <v>14437</v>
      </c>
      <c r="E1748" s="3">
        <f>IFERROR(VLOOKUP(B1748,'DA1'!$B$2:$D$999999,3,FALSE),"")</f>
      </c>
      <c r="F1748" s="1" t="str">
        <f>IFERROR(VLOOKUP(B1748,'SB1'!$A$2:$C$999999,3,FALSE),"")</f>
        <v>503</v>
      </c>
      <c r="G1748" s="3" t="e">
        <f t="shared" si="59"/>
        <v>#VALUE!</v>
      </c>
      <c r="H1748" s="3" t="e">
        <f t="shared" si="58"/>
        <v>#VALUE!</v>
      </c>
      <c r="I1748" s="1">
        <v>1</v>
      </c>
    </row>
    <row r="1749" spans="1:9" x14ac:dyDescent="0.25">
      <c r="A1749" s="1" t="s">
        <v>14435</v>
      </c>
      <c r="B1749" s="1" t="s">
        <v>4903</v>
      </c>
      <c r="C1749" s="1" t="str">
        <f>IFERROR(VLOOKUP(B1749,'SB1'!$A$2:$B$999999,2,FALSE),"")</f>
        <v>DISCO DIAMANTADO DOBLE A MASTER 230X22,23 SEG</v>
      </c>
      <c r="D1749" s="1" t="s">
        <v>14451</v>
      </c>
      <c r="E1749" s="3">
        <f>IFERROR(VLOOKUP(B1749,'DA1'!$B$2:$D$999999,3,FALSE),"")</f>
      </c>
      <c r="F1749" s="1" t="str">
        <f>IFERROR(VLOOKUP(B1749,'SB1'!$A$2:$C$999999,3,FALSE),"")</f>
        <v>503</v>
      </c>
      <c r="G1749" s="3" t="e">
        <f t="shared" si="59"/>
        <v>#VALUE!</v>
      </c>
      <c r="H1749" s="3" t="e">
        <f t="shared" si="58"/>
        <v>#VALUE!</v>
      </c>
      <c r="I1749" s="1">
        <v>1</v>
      </c>
    </row>
    <row r="1750" spans="1:9" x14ac:dyDescent="0.25">
      <c r="A1750" s="1" t="s">
        <v>14435</v>
      </c>
      <c r="B1750" s="1" t="s">
        <v>4905</v>
      </c>
      <c r="C1750" s="1" t="str">
        <f>IFERROR(VLOOKUP(B1750,'SB1'!$A$2:$B$999999,2,FALSE),"")</f>
        <v>DISCO DIAMANTADO DOBLE A MASTER 230X22,23 TURBO</v>
      </c>
      <c r="D1750" s="1" t="s">
        <v>14451</v>
      </c>
      <c r="E1750" s="3">
        <f>IFERROR(VLOOKUP(B1750,'DA1'!$B$2:$D$999999,3,FALSE),"")</f>
      </c>
      <c r="F1750" s="1" t="str">
        <f>IFERROR(VLOOKUP(B1750,'SB1'!$A$2:$C$999999,3,FALSE),"")</f>
        <v>503</v>
      </c>
      <c r="G1750" s="3" t="e">
        <f t="shared" si="59"/>
        <v>#VALUE!</v>
      </c>
      <c r="H1750" s="3" t="e">
        <f t="shared" si="58"/>
        <v>#VALUE!</v>
      </c>
      <c r="I1750" s="1">
        <v>1</v>
      </c>
    </row>
    <row r="1751" spans="1:9" x14ac:dyDescent="0.25">
      <c r="A1751" s="1" t="s">
        <v>14435</v>
      </c>
      <c r="B1751" s="1" t="s">
        <v>4907</v>
      </c>
      <c r="C1751" s="1" t="str">
        <f>IFERROR(VLOOKUP(B1751,'SB1'!$A$2:$B$999999,2,FALSE),"")</f>
        <v>ESPATULA PARA ENDUIR SANTA JUANA CABO PLASTICO 100</v>
      </c>
      <c r="D1751" s="1" t="s">
        <v>14448</v>
      </c>
      <c r="E1751" s="3">
        <f>IFERROR(VLOOKUP(B1751,'DA1'!$B$2:$D$999999,3,FALSE),"")</f>
      </c>
      <c r="F1751" s="1" t="str">
        <f>IFERROR(VLOOKUP(B1751,'SB1'!$A$2:$C$999999,3,FALSE),"")</f>
        <v>503</v>
      </c>
      <c r="G1751" s="3" t="e">
        <f t="shared" si="59"/>
        <v>#VALUE!</v>
      </c>
      <c r="H1751" s="3" t="e">
        <f t="shared" si="58"/>
        <v>#VALUE!</v>
      </c>
      <c r="I1751" s="1">
        <v>1</v>
      </c>
    </row>
    <row r="1752" spans="1:9" x14ac:dyDescent="0.25">
      <c r="A1752" s="1" t="s">
        <v>14435</v>
      </c>
      <c r="B1752" s="1" t="s">
        <v>4909</v>
      </c>
      <c r="C1752" s="1" t="str">
        <f>IFERROR(VLOOKUP(B1752,'SB1'!$A$2:$B$999999,2,FALSE),"")</f>
        <v>ESPATULA PARA ENDUIR SANTA JUANA CABO PLASTICO 120</v>
      </c>
      <c r="D1752" s="1" t="s">
        <v>14448</v>
      </c>
      <c r="E1752" s="3">
        <f>IFERROR(VLOOKUP(B1752,'DA1'!$B$2:$D$999999,3,FALSE),"")</f>
      </c>
      <c r="F1752" s="1" t="str">
        <f>IFERROR(VLOOKUP(B1752,'SB1'!$A$2:$C$999999,3,FALSE),"")</f>
        <v>503</v>
      </c>
      <c r="G1752" s="3" t="e">
        <f t="shared" si="59"/>
        <v>#VALUE!</v>
      </c>
      <c r="H1752" s="3" t="e">
        <f t="shared" si="58"/>
        <v>#VALUE!</v>
      </c>
      <c r="I1752" s="1">
        <v>1</v>
      </c>
    </row>
    <row r="1753" spans="1:9" x14ac:dyDescent="0.25">
      <c r="A1753" s="1" t="s">
        <v>14435</v>
      </c>
      <c r="B1753" s="1" t="s">
        <v>4911</v>
      </c>
      <c r="C1753" s="1" t="str">
        <f>IFERROR(VLOOKUP(B1753,'SB1'!$A$2:$B$999999,2,FALSE),"")</f>
        <v>ESPATULA PARA ENDUIR SANTA JUANA CABO PLASTICO 140</v>
      </c>
      <c r="D1753" s="1" t="s">
        <v>14448</v>
      </c>
      <c r="E1753" s="3">
        <f>IFERROR(VLOOKUP(B1753,'DA1'!$B$2:$D$999999,3,FALSE),"")</f>
      </c>
      <c r="F1753" s="1" t="str">
        <f>IFERROR(VLOOKUP(B1753,'SB1'!$A$2:$C$999999,3,FALSE),"")</f>
        <v>503</v>
      </c>
      <c r="G1753" s="3" t="e">
        <f t="shared" si="59"/>
        <v>#VALUE!</v>
      </c>
      <c r="H1753" s="3" t="e">
        <f t="shared" si="58"/>
        <v>#VALUE!</v>
      </c>
      <c r="I1753" s="1">
        <v>1</v>
      </c>
    </row>
    <row r="1754" spans="1:9" x14ac:dyDescent="0.25">
      <c r="A1754" s="1" t="s">
        <v>14435</v>
      </c>
      <c r="B1754" s="1" t="s">
        <v>4913</v>
      </c>
      <c r="C1754" s="1" t="str">
        <f>IFERROR(VLOOKUP(B1754,'SB1'!$A$2:$B$999999,2,FALSE),"")</f>
        <v>ESPATULA PARA ENDUIR SANTA JUANA CABO PLASTICO 160</v>
      </c>
      <c r="D1754" s="1" t="s">
        <v>14448</v>
      </c>
      <c r="E1754" s="3">
        <f>IFERROR(VLOOKUP(B1754,'DA1'!$B$2:$D$999999,3,FALSE),"")</f>
      </c>
      <c r="F1754" s="1" t="str">
        <f>IFERROR(VLOOKUP(B1754,'SB1'!$A$2:$C$999999,3,FALSE),"")</f>
        <v>503</v>
      </c>
      <c r="G1754" s="3" t="e">
        <f t="shared" si="59"/>
        <v>#VALUE!</v>
      </c>
      <c r="H1754" s="3" t="e">
        <f t="shared" si="58"/>
        <v>#VALUE!</v>
      </c>
      <c r="I1754" s="1">
        <v>1</v>
      </c>
    </row>
    <row r="1755" spans="1:9" x14ac:dyDescent="0.25">
      <c r="A1755" s="1" t="s">
        <v>14435</v>
      </c>
      <c r="B1755" s="1" t="s">
        <v>4915</v>
      </c>
      <c r="C1755" s="1" t="str">
        <f>IFERROR(VLOOKUP(B1755,'SB1'!$A$2:$B$999999,2,FALSE),"")</f>
        <v>ESPATULA PARA ENDUIR SANTA JUANA CABO PLASTICO 180</v>
      </c>
      <c r="D1755" s="1" t="s">
        <v>14448</v>
      </c>
      <c r="E1755" s="3">
        <f>IFERROR(VLOOKUP(B1755,'DA1'!$B$2:$D$999999,3,FALSE),"")</f>
      </c>
      <c r="F1755" s="1" t="str">
        <f>IFERROR(VLOOKUP(B1755,'SB1'!$A$2:$C$999999,3,FALSE),"")</f>
        <v>503</v>
      </c>
      <c r="G1755" s="3" t="e">
        <f t="shared" si="59"/>
        <v>#VALUE!</v>
      </c>
      <c r="H1755" s="3" t="e">
        <f t="shared" si="58"/>
        <v>#VALUE!</v>
      </c>
      <c r="I1755" s="1">
        <v>1</v>
      </c>
    </row>
    <row r="1756" spans="1:9" x14ac:dyDescent="0.25">
      <c r="A1756" s="1" t="s">
        <v>14435</v>
      </c>
      <c r="B1756" s="1" t="s">
        <v>4917</v>
      </c>
      <c r="C1756" s="1" t="str">
        <f>IFERROR(VLOOKUP(B1756,'SB1'!$A$2:$B$999999,2,FALSE),"")</f>
        <v>FRATACHO LIJADOR SANTA JUANA CABO PLASTICO</v>
      </c>
      <c r="D1756" s="1" t="s">
        <v>14448</v>
      </c>
      <c r="E1756" s="3">
        <f>IFERROR(VLOOKUP(B1756,'DA1'!$B$2:$D$999999,3,FALSE),"")</f>
      </c>
      <c r="F1756" s="1" t="str">
        <f>IFERROR(VLOOKUP(B1756,'SB1'!$A$2:$C$999999,3,FALSE),"")</f>
        <v>503</v>
      </c>
      <c r="G1756" s="3" t="e">
        <f t="shared" si="59"/>
        <v>#VALUE!</v>
      </c>
      <c r="H1756" s="3" t="e">
        <f t="shared" si="58"/>
        <v>#VALUE!</v>
      </c>
      <c r="I1756" s="1">
        <v>1</v>
      </c>
    </row>
    <row r="1757" spans="1:9" x14ac:dyDescent="0.25">
      <c r="A1757" s="1" t="s">
        <v>14435</v>
      </c>
      <c r="B1757" s="1" t="s">
        <v>4921</v>
      </c>
      <c r="C1757" s="1" t="str">
        <f>IFERROR(VLOOKUP(B1757,'SB1'!$A$2:$B$999999,2,FALSE),"")</f>
        <v>DISCO LIJA DOBLE A MASTER AUF6P  80</v>
      </c>
      <c r="D1757" s="1" t="s">
        <v>14439</v>
      </c>
      <c r="E1757" s="3">
        <f>IFERROR(VLOOKUP(B1757,'DA1'!$B$2:$D$999999,3,FALSE),"")</f>
      </c>
      <c r="F1757" s="1" t="str">
        <f>IFERROR(VLOOKUP(B1757,'SB1'!$A$2:$C$999999,3,FALSE),"")</f>
        <v>503</v>
      </c>
      <c r="G1757" s="3" t="e">
        <f t="shared" si="59"/>
        <v>#VALUE!</v>
      </c>
      <c r="H1757" s="3" t="e">
        <f t="shared" si="58"/>
        <v>#VALUE!</v>
      </c>
      <c r="I1757" s="1">
        <v>1</v>
      </c>
    </row>
    <row r="1758" spans="1:9" x14ac:dyDescent="0.25">
      <c r="A1758" s="1" t="s">
        <v>14435</v>
      </c>
      <c r="B1758" s="1" t="s">
        <v>4923</v>
      </c>
      <c r="C1758" s="1" t="str">
        <f>IFERROR(VLOOKUP(B1758,'SB1'!$A$2:$B$999999,2,FALSE),"")</f>
        <v>DISCO LIJA DOBLE A MASTER AUF6P 100</v>
      </c>
      <c r="D1758" s="1" t="s">
        <v>14439</v>
      </c>
      <c r="E1758" s="3">
        <f>IFERROR(VLOOKUP(B1758,'DA1'!$B$2:$D$999999,3,FALSE),"")</f>
      </c>
      <c r="F1758" s="1" t="str">
        <f>IFERROR(VLOOKUP(B1758,'SB1'!$A$2:$C$999999,3,FALSE),"")</f>
        <v>503</v>
      </c>
      <c r="G1758" s="3" t="e">
        <f t="shared" si="59"/>
        <v>#VALUE!</v>
      </c>
      <c r="H1758" s="3" t="e">
        <f t="shared" si="58"/>
        <v>#VALUE!</v>
      </c>
      <c r="I1758" s="1">
        <v>1</v>
      </c>
    </row>
    <row r="1759" spans="1:8" x14ac:dyDescent="0.25">
      <c r="A1759" s="1" t="s">
        <v>14435</v>
      </c>
      <c r="B1759" s="1" t="s">
        <v>4925</v>
      </c>
      <c r="C1759" s="1" t="str">
        <f>IFERROR(VLOOKUP(B1759,'SB1'!$A$2:$B$999999,2,FALSE),"")</f>
        <v>DISCO LIJA DOBLE A MASTER AUF6P 120</v>
      </c>
      <c r="D1759" s="1" t="s">
        <v>14439</v>
      </c>
      <c r="E1759" s="3">
        <f>IFERROR(VLOOKUP(B1759,'DA1'!$B$2:$D$999999,3,FALSE),"")</f>
      </c>
      <c r="F1759" s="1" t="str">
        <f>IFERROR(VLOOKUP(B1759,'SB1'!$A$2:$C$999999,3,FALSE),"")</f>
        <v>503</v>
      </c>
      <c r="G1759" s="3" t="e">
        <f t="shared" si="59"/>
        <v>#VALUE!</v>
      </c>
      <c r="H1759" s="3" t="e">
        <f t="shared" si="58"/>
        <v>#VALUE!</v>
      </c>
    </row>
    <row r="1760" spans="1:9" x14ac:dyDescent="0.25">
      <c r="A1760" s="1" t="s">
        <v>14435</v>
      </c>
      <c r="B1760" s="1" t="s">
        <v>4927</v>
      </c>
      <c r="C1760" s="1" t="str">
        <f>IFERROR(VLOOKUP(B1760,'SB1'!$A$2:$B$999999,2,FALSE),"")</f>
        <v>DISCO LIJA DOBLE A MASTER AUF6P 150</v>
      </c>
      <c r="D1760" s="1" t="s">
        <v>14439</v>
      </c>
      <c r="E1760" s="3">
        <f>IFERROR(VLOOKUP(B1760,'DA1'!$B$2:$D$999999,3,FALSE),"")</f>
      </c>
      <c r="F1760" s="1" t="str">
        <f>IFERROR(VLOOKUP(B1760,'SB1'!$A$2:$C$999999,3,FALSE),"")</f>
        <v>503</v>
      </c>
      <c r="G1760" s="3" t="e">
        <f t="shared" si="59"/>
        <v>#VALUE!</v>
      </c>
      <c r="H1760" s="3" t="e">
        <f t="shared" si="58"/>
        <v>#VALUE!</v>
      </c>
      <c r="I1760" s="1">
        <v>1</v>
      </c>
    </row>
    <row r="1761" spans="1:9" x14ac:dyDescent="0.25">
      <c r="A1761" s="1" t="s">
        <v>14435</v>
      </c>
      <c r="B1761" s="1" t="s">
        <v>4929</v>
      </c>
      <c r="C1761" s="1" t="str">
        <f>IFERROR(VLOOKUP(B1761,'SB1'!$A$2:$B$999999,2,FALSE),"")</f>
        <v>DISCO LIJA DOBLE A MASTER AUF6P 180</v>
      </c>
      <c r="D1761" s="1" t="s">
        <v>14439</v>
      </c>
      <c r="E1761" s="3">
        <f>IFERROR(VLOOKUP(B1761,'DA1'!$B$2:$D$999999,3,FALSE),"")</f>
      </c>
      <c r="F1761" s="1" t="str">
        <f>IFERROR(VLOOKUP(B1761,'SB1'!$A$2:$C$999999,3,FALSE),"")</f>
        <v>503</v>
      </c>
      <c r="G1761" s="3" t="e">
        <f t="shared" si="59"/>
        <v>#VALUE!</v>
      </c>
      <c r="H1761" s="3" t="e">
        <f t="shared" si="58"/>
        <v>#VALUE!</v>
      </c>
      <c r="I1761" s="1">
        <v>1</v>
      </c>
    </row>
    <row r="1762" spans="1:9" x14ac:dyDescent="0.25">
      <c r="A1762" s="1" t="s">
        <v>14435</v>
      </c>
      <c r="B1762" s="1" t="s">
        <v>4931</v>
      </c>
      <c r="C1762" s="1" t="str">
        <f>IFERROR(VLOOKUP(B1762,'SB1'!$A$2:$B$999999,2,FALSE),"")</f>
        <v>DISCO LIJA DOBLE A MASTER AUF6P 220</v>
      </c>
      <c r="D1762" s="1" t="s">
        <v>14439</v>
      </c>
      <c r="E1762" s="3">
        <f>IFERROR(VLOOKUP(B1762,'DA1'!$B$2:$D$999999,3,FALSE),"")</f>
      </c>
      <c r="F1762" s="1" t="str">
        <f>IFERROR(VLOOKUP(B1762,'SB1'!$A$2:$C$999999,3,FALSE),"")</f>
        <v>503</v>
      </c>
      <c r="G1762" s="3" t="e">
        <f t="shared" si="59"/>
        <v>#VALUE!</v>
      </c>
      <c r="H1762" s="3" t="e">
        <f t="shared" si="58"/>
        <v>#VALUE!</v>
      </c>
      <c r="I1762" s="1">
        <v>1</v>
      </c>
    </row>
    <row r="1763" spans="1:9" x14ac:dyDescent="0.25">
      <c r="A1763" s="1" t="s">
        <v>14435</v>
      </c>
      <c r="B1763" s="1" t="s">
        <v>4933</v>
      </c>
      <c r="C1763" s="1" t="str">
        <f>IFERROR(VLOOKUP(B1763,'SB1'!$A$2:$B$999999,2,FALSE),"")</f>
        <v>DISCO LIJA DOBLE A MASTER AUF6P 240</v>
      </c>
      <c r="D1763" s="1" t="s">
        <v>14439</v>
      </c>
      <c r="E1763" s="3">
        <f>IFERROR(VLOOKUP(B1763,'DA1'!$B$2:$D$999999,3,FALSE),"")</f>
      </c>
      <c r="F1763" s="1" t="str">
        <f>IFERROR(VLOOKUP(B1763,'SB1'!$A$2:$C$999999,3,FALSE),"")</f>
        <v>503</v>
      </c>
      <c r="G1763" s="3" t="e">
        <f t="shared" si="59"/>
        <v>#VALUE!</v>
      </c>
      <c r="H1763" s="3" t="e">
        <f t="shared" ref="H1763:H1826" si="60">G1763*1.21</f>
        <v>#VALUE!</v>
      </c>
      <c r="I1763" s="1">
        <v>1</v>
      </c>
    </row>
    <row r="1764" spans="1:9" x14ac:dyDescent="0.25">
      <c r="A1764" s="1" t="s">
        <v>14435</v>
      </c>
      <c r="B1764" s="1" t="s">
        <v>4935</v>
      </c>
      <c r="C1764" s="1" t="str">
        <f>IFERROR(VLOOKUP(B1764,'SB1'!$A$2:$B$999999,2,FALSE),"")</f>
        <v>DISCO LIJA DOBLE A MASTER AUF6P 280</v>
      </c>
      <c r="D1764" s="1" t="s">
        <v>14439</v>
      </c>
      <c r="E1764" s="3">
        <f>IFERROR(VLOOKUP(B1764,'DA1'!$B$2:$D$999999,3,FALSE),"")</f>
      </c>
      <c r="F1764" s="1" t="str">
        <f>IFERROR(VLOOKUP(B1764,'SB1'!$A$2:$C$999999,3,FALSE),"")</f>
        <v>503</v>
      </c>
      <c r="G1764" s="3" t="e">
        <f t="shared" si="59"/>
        <v>#VALUE!</v>
      </c>
      <c r="H1764" s="3" t="e">
        <f t="shared" si="60"/>
        <v>#VALUE!</v>
      </c>
      <c r="I1764" s="1">
        <v>1</v>
      </c>
    </row>
    <row r="1765" spans="1:9" x14ac:dyDescent="0.25">
      <c r="A1765" s="1" t="s">
        <v>14435</v>
      </c>
      <c r="B1765" s="1" t="s">
        <v>4937</v>
      </c>
      <c r="C1765" s="1" t="str">
        <f>IFERROR(VLOOKUP(B1765,'SB1'!$A$2:$B$999999,2,FALSE),"")</f>
        <v>DISCO LIJA DOBLE A MASTER AUF6P 320</v>
      </c>
      <c r="D1765" s="1" t="s">
        <v>14439</v>
      </c>
      <c r="E1765" s="3">
        <f>IFERROR(VLOOKUP(B1765,'DA1'!$B$2:$D$999999,3,FALSE),"")</f>
      </c>
      <c r="F1765" s="1" t="str">
        <f>IFERROR(VLOOKUP(B1765,'SB1'!$A$2:$C$999999,3,FALSE),"")</f>
        <v>503</v>
      </c>
      <c r="G1765" s="3" t="e">
        <f t="shared" si="59"/>
        <v>#VALUE!</v>
      </c>
      <c r="H1765" s="3" t="e">
        <f t="shared" si="60"/>
        <v>#VALUE!</v>
      </c>
      <c r="I1765" s="1">
        <v>1</v>
      </c>
    </row>
    <row r="1766" spans="1:9" x14ac:dyDescent="0.25">
      <c r="A1766" s="1" t="s">
        <v>14435</v>
      </c>
      <c r="B1766" s="1" t="s">
        <v>4939</v>
      </c>
      <c r="C1766" s="1" t="str">
        <f>IFERROR(VLOOKUP(B1766,'SB1'!$A$2:$B$999999,2,FALSE),"")</f>
        <v>DISCO LIJA DOBLE A MASTER AUF6P 360</v>
      </c>
      <c r="D1766" s="1" t="s">
        <v>14439</v>
      </c>
      <c r="E1766" s="3">
        <f>IFERROR(VLOOKUP(B1766,'DA1'!$B$2:$D$999999,3,FALSE),"")</f>
      </c>
      <c r="F1766" s="1" t="str">
        <f>IFERROR(VLOOKUP(B1766,'SB1'!$A$2:$C$999999,3,FALSE),"")</f>
        <v>503</v>
      </c>
      <c r="G1766" s="3" t="e">
        <f t="shared" si="59"/>
        <v>#VALUE!</v>
      </c>
      <c r="H1766" s="3" t="e">
        <f t="shared" si="60"/>
        <v>#VALUE!</v>
      </c>
      <c r="I1766" s="1">
        <v>1</v>
      </c>
    </row>
    <row r="1767" spans="1:9" x14ac:dyDescent="0.25">
      <c r="A1767" s="1" t="s">
        <v>14435</v>
      </c>
      <c r="B1767" s="1" t="s">
        <v>4941</v>
      </c>
      <c r="C1767" s="1" t="str">
        <f>IFERROR(VLOOKUP(B1767,'SB1'!$A$2:$B$999999,2,FALSE),"")</f>
        <v>DISCO LIJA DOBLE A MASTER AUF6P 400</v>
      </c>
      <c r="D1767" s="1" t="s">
        <v>14439</v>
      </c>
      <c r="E1767" s="3">
        <f>IFERROR(VLOOKUP(B1767,'DA1'!$B$2:$D$999999,3,FALSE),"")</f>
      </c>
      <c r="F1767" s="1" t="str">
        <f>IFERROR(VLOOKUP(B1767,'SB1'!$A$2:$C$999999,3,FALSE),"")</f>
        <v>503</v>
      </c>
      <c r="G1767" s="3" t="e">
        <f t="shared" si="59"/>
        <v>#VALUE!</v>
      </c>
      <c r="H1767" s="3" t="e">
        <f t="shared" si="60"/>
        <v>#VALUE!</v>
      </c>
      <c r="I1767" s="1">
        <v>1</v>
      </c>
    </row>
    <row r="1768" spans="1:9" x14ac:dyDescent="0.25">
      <c r="A1768" s="1" t="s">
        <v>14435</v>
      </c>
      <c r="B1768" s="1" t="s">
        <v>4943</v>
      </c>
      <c r="C1768" s="1" t="str">
        <f>IFERROR(VLOOKUP(B1768,'SB1'!$A$2:$B$999999,2,FALSE),"")</f>
        <v>DISCO LIJA DOBLE A MASTER AUF6P 600</v>
      </c>
      <c r="D1768" s="1" t="s">
        <v>14439</v>
      </c>
      <c r="E1768" s="3">
        <f>IFERROR(VLOOKUP(B1768,'DA1'!$B$2:$D$999999,3,FALSE),"")</f>
      </c>
      <c r="F1768" s="1" t="str">
        <f>IFERROR(VLOOKUP(B1768,'SB1'!$A$2:$C$999999,3,FALSE),"")</f>
        <v>503</v>
      </c>
      <c r="G1768" s="3" t="e">
        <f t="shared" si="59"/>
        <v>#VALUE!</v>
      </c>
      <c r="H1768" s="3" t="e">
        <f t="shared" si="60"/>
        <v>#VALUE!</v>
      </c>
      <c r="I1768" s="1">
        <v>1</v>
      </c>
    </row>
    <row r="1769" spans="1:9" x14ac:dyDescent="0.25">
      <c r="A1769" s="1" t="s">
        <v>14435</v>
      </c>
      <c r="B1769" s="1" t="s">
        <v>4961</v>
      </c>
      <c r="C1769" s="1" t="str">
        <f>IFERROR(VLOOKUP(B1769,'SB1'!$A$2:$B$999999,2,FALSE),"")</f>
        <v>LATEX EXTERIOR TERSUAVE LAVABLE AMARILLO X  1</v>
      </c>
      <c r="D1769" s="1" t="s">
        <v>14437</v>
      </c>
      <c r="E1769" s="3">
        <f>IFERROR(VLOOKUP(B1769,'DA1'!$B$2:$D$999999,3,FALSE),"")</f>
      </c>
      <c r="F1769" s="1" t="str">
        <f>IFERROR(VLOOKUP(B1769,'SB1'!$A$2:$C$999999,3,FALSE),"")</f>
        <v>503</v>
      </c>
      <c r="G1769" s="3" t="e">
        <f t="shared" si="59"/>
        <v>#VALUE!</v>
      </c>
      <c r="H1769" s="3" t="e">
        <f t="shared" si="60"/>
        <v>#VALUE!</v>
      </c>
      <c r="I1769" s="1">
        <v>1</v>
      </c>
    </row>
    <row r="1770" spans="1:9" x14ac:dyDescent="0.25">
      <c r="A1770" s="1" t="s">
        <v>14435</v>
      </c>
      <c r="B1770" s="1" t="s">
        <v>4963</v>
      </c>
      <c r="C1770" s="1" t="str">
        <f>IFERROR(VLOOKUP(B1770,'SB1'!$A$2:$B$999999,2,FALSE),"")</f>
        <v>LATEX EXTERIOR TERSUAVE LAVABLE AZUL CIELO X  1</v>
      </c>
      <c r="D1770" s="1" t="s">
        <v>14437</v>
      </c>
      <c r="E1770" s="3">
        <f>IFERROR(VLOOKUP(B1770,'DA1'!$B$2:$D$999999,3,FALSE),"")</f>
      </c>
      <c r="F1770" s="1" t="str">
        <f>IFERROR(VLOOKUP(B1770,'SB1'!$A$2:$C$999999,3,FALSE),"")</f>
        <v>503</v>
      </c>
      <c r="G1770" s="3" t="e">
        <f t="shared" si="59"/>
        <v>#VALUE!</v>
      </c>
      <c r="H1770" s="3" t="e">
        <f t="shared" si="60"/>
        <v>#VALUE!</v>
      </c>
      <c r="I1770" s="1">
        <v>1</v>
      </c>
    </row>
    <row r="1771" spans="1:9" x14ac:dyDescent="0.25">
      <c r="A1771" s="1" t="s">
        <v>14435</v>
      </c>
      <c r="B1771" s="1" t="s">
        <v>4965</v>
      </c>
      <c r="C1771" s="1" t="str">
        <f>IFERROR(VLOOKUP(B1771,'SB1'!$A$2:$B$999999,2,FALSE),"")</f>
        <v>LATEX EXTERIOR TERSUAVE LAVABLE AZUL TRAFUL X  1</v>
      </c>
      <c r="D1771" s="1" t="s">
        <v>14437</v>
      </c>
      <c r="E1771" s="3">
        <f>IFERROR(VLOOKUP(B1771,'DA1'!$B$2:$D$999999,3,FALSE),"")</f>
      </c>
      <c r="F1771" s="1" t="str">
        <f>IFERROR(VLOOKUP(B1771,'SB1'!$A$2:$C$999999,3,FALSE),"")</f>
        <v>503</v>
      </c>
      <c r="G1771" s="3" t="e">
        <f t="shared" si="59"/>
        <v>#VALUE!</v>
      </c>
      <c r="H1771" s="3" t="e">
        <f t="shared" si="60"/>
        <v>#VALUE!</v>
      </c>
      <c r="I1771" s="1">
        <v>1</v>
      </c>
    </row>
    <row r="1772" spans="1:9" x14ac:dyDescent="0.25">
      <c r="A1772" s="1" t="s">
        <v>14435</v>
      </c>
      <c r="B1772" s="1" t="s">
        <v>4967</v>
      </c>
      <c r="C1772" s="1" t="str">
        <f>IFERROR(VLOOKUP(B1772,'SB1'!$A$2:$B$999999,2,FALSE),"")</f>
        <v>LATEX EXTERIOR TERSUAVE LAVABLE BERMELLON X  1</v>
      </c>
      <c r="D1772" s="1" t="s">
        <v>14437</v>
      </c>
      <c r="E1772" s="3">
        <f>IFERROR(VLOOKUP(B1772,'DA1'!$B$2:$D$999999,3,FALSE),"")</f>
      </c>
      <c r="F1772" s="1" t="str">
        <f>IFERROR(VLOOKUP(B1772,'SB1'!$A$2:$C$999999,3,FALSE),"")</f>
        <v>503</v>
      </c>
      <c r="G1772" s="3" t="e">
        <f t="shared" si="59"/>
        <v>#VALUE!</v>
      </c>
      <c r="H1772" s="3" t="e">
        <f t="shared" si="60"/>
        <v>#VALUE!</v>
      </c>
      <c r="I1772" s="1">
        <v>1</v>
      </c>
    </row>
    <row r="1773" spans="1:9" x14ac:dyDescent="0.25">
      <c r="A1773" s="1" t="s">
        <v>14435</v>
      </c>
      <c r="B1773" s="1" t="s">
        <v>4969</v>
      </c>
      <c r="C1773" s="1" t="str">
        <f>IFERROR(VLOOKUP(B1773,'SB1'!$A$2:$B$999999,2,FALSE),"")</f>
        <v>LATEX EXTERIOR TERSUAVE LAVABLE CHOCOLATE X  1</v>
      </c>
      <c r="D1773" s="1" t="s">
        <v>14437</v>
      </c>
      <c r="E1773" s="3">
        <f>IFERROR(VLOOKUP(B1773,'DA1'!$B$2:$D$999999,3,FALSE),"")</f>
      </c>
      <c r="F1773" s="1" t="str">
        <f>IFERROR(VLOOKUP(B1773,'SB1'!$A$2:$C$999999,3,FALSE),"")</f>
        <v>503</v>
      </c>
      <c r="G1773" s="3" t="e">
        <f t="shared" si="59"/>
        <v>#VALUE!</v>
      </c>
      <c r="H1773" s="3" t="e">
        <f t="shared" si="60"/>
        <v>#VALUE!</v>
      </c>
      <c r="I1773" s="1">
        <v>1</v>
      </c>
    </row>
    <row r="1774" spans="1:9" x14ac:dyDescent="0.25">
      <c r="A1774" s="1" t="s">
        <v>14435</v>
      </c>
      <c r="B1774" s="1" t="s">
        <v>4971</v>
      </c>
      <c r="C1774" s="1" t="str">
        <f>IFERROR(VLOOKUP(B1774,'SB1'!$A$2:$B$999999,2,FALSE),"")</f>
        <v>LATEX EXTERIOR TERSUAVE LAVABLE GRIS ACERO X  1</v>
      </c>
      <c r="D1774" s="1" t="s">
        <v>14437</v>
      </c>
      <c r="E1774" s="3">
        <f>IFERROR(VLOOKUP(B1774,'DA1'!$B$2:$D$999999,3,FALSE),"")</f>
      </c>
      <c r="F1774" s="1" t="str">
        <f>IFERROR(VLOOKUP(B1774,'SB1'!$A$2:$C$999999,3,FALSE),"")</f>
        <v>503</v>
      </c>
      <c r="G1774" s="3" t="e">
        <f t="shared" si="59"/>
        <v>#VALUE!</v>
      </c>
      <c r="H1774" s="3" t="e">
        <f t="shared" si="60"/>
        <v>#VALUE!</v>
      </c>
      <c r="I1774" s="1">
        <v>1</v>
      </c>
    </row>
    <row r="1775" spans="1:9" x14ac:dyDescent="0.25">
      <c r="A1775" s="1" t="s">
        <v>14435</v>
      </c>
      <c r="B1775" s="1" t="s">
        <v>4973</v>
      </c>
      <c r="C1775" s="1" t="str">
        <f>IFERROR(VLOOKUP(B1775,'SB1'!$A$2:$B$999999,2,FALSE),"")</f>
        <v>LATEX EXTERIOR TERSUAVE LAVABLE GRIS CEMENTO X  1</v>
      </c>
      <c r="D1775" s="1" t="s">
        <v>14437</v>
      </c>
      <c r="E1775" s="3">
        <f>IFERROR(VLOOKUP(B1775,'DA1'!$B$2:$D$999999,3,FALSE),"")</f>
      </c>
      <c r="F1775" s="1" t="str">
        <f>IFERROR(VLOOKUP(B1775,'SB1'!$A$2:$C$999999,3,FALSE),"")</f>
        <v>503</v>
      </c>
      <c r="G1775" s="3" t="e">
        <f t="shared" si="59"/>
        <v>#VALUE!</v>
      </c>
      <c r="H1775" s="3" t="e">
        <f t="shared" si="60"/>
        <v>#VALUE!</v>
      </c>
      <c r="I1775" s="1">
        <v>1</v>
      </c>
    </row>
    <row r="1776" spans="1:9" x14ac:dyDescent="0.25">
      <c r="A1776" s="1" t="s">
        <v>14435</v>
      </c>
      <c r="B1776" s="1" t="s">
        <v>4975</v>
      </c>
      <c r="C1776" s="1" t="str">
        <f>IFERROR(VLOOKUP(B1776,'SB1'!$A$2:$B$999999,2,FALSE),"")</f>
        <v>LATEX EXTERIOR TERSUAVE LAVABLE MARRON AFRICANO X  1</v>
      </c>
      <c r="D1776" s="1" t="s">
        <v>14437</v>
      </c>
      <c r="E1776" s="3">
        <f>IFERROR(VLOOKUP(B1776,'DA1'!$B$2:$D$999999,3,FALSE),"")</f>
      </c>
      <c r="F1776" s="1" t="str">
        <f>IFERROR(VLOOKUP(B1776,'SB1'!$A$2:$C$999999,3,FALSE),"")</f>
        <v>503</v>
      </c>
      <c r="G1776" s="3" t="e">
        <f t="shared" si="59"/>
        <v>#VALUE!</v>
      </c>
      <c r="H1776" s="3" t="e">
        <f t="shared" si="60"/>
        <v>#VALUE!</v>
      </c>
      <c r="I1776" s="1">
        <v>1</v>
      </c>
    </row>
    <row r="1777" spans="1:9" x14ac:dyDescent="0.25">
      <c r="A1777" s="1" t="s">
        <v>14435</v>
      </c>
      <c r="B1777" s="1" t="s">
        <v>4977</v>
      </c>
      <c r="C1777" s="1" t="str">
        <f>IFERROR(VLOOKUP(B1777,'SB1'!$A$2:$B$999999,2,FALSE),"")</f>
        <v>LATEX EXTERIOR TERSUAVE LAVABLE NEGRO EBANO X  1</v>
      </c>
      <c r="D1777" s="1" t="s">
        <v>14437</v>
      </c>
      <c r="E1777" s="3">
        <f>IFERROR(VLOOKUP(B1777,'DA1'!$B$2:$D$999999,3,FALSE),"")</f>
      </c>
      <c r="F1777" s="1" t="str">
        <f>IFERROR(VLOOKUP(B1777,'SB1'!$A$2:$C$999999,3,FALSE),"")</f>
        <v>503</v>
      </c>
      <c r="G1777" s="3" t="e">
        <f t="shared" si="59"/>
        <v>#VALUE!</v>
      </c>
      <c r="H1777" s="3" t="e">
        <f t="shared" si="60"/>
        <v>#VALUE!</v>
      </c>
      <c r="I1777" s="1">
        <v>1</v>
      </c>
    </row>
    <row r="1778" spans="1:9" x14ac:dyDescent="0.25">
      <c r="A1778" s="1" t="s">
        <v>14435</v>
      </c>
      <c r="B1778" s="1" t="s">
        <v>4979</v>
      </c>
      <c r="C1778" s="1" t="str">
        <f>IFERROR(VLOOKUP(B1778,'SB1'!$A$2:$B$999999,2,FALSE),"")</f>
        <v>LATEX EXTERIOR TERSUAVE LAVABLE OCRE X  1</v>
      </c>
      <c r="D1778" s="1" t="s">
        <v>14437</v>
      </c>
      <c r="E1778" s="3">
        <f>IFERROR(VLOOKUP(B1778,'DA1'!$B$2:$D$999999,3,FALSE),"")</f>
      </c>
      <c r="F1778" s="1" t="str">
        <f>IFERROR(VLOOKUP(B1778,'SB1'!$A$2:$C$999999,3,FALSE),"")</f>
        <v>503</v>
      </c>
      <c r="G1778" s="3" t="e">
        <f t="shared" si="59"/>
        <v>#VALUE!</v>
      </c>
      <c r="H1778" s="3" t="e">
        <f t="shared" si="60"/>
        <v>#VALUE!</v>
      </c>
      <c r="I1778" s="1">
        <v>1</v>
      </c>
    </row>
    <row r="1779" spans="1:9" x14ac:dyDescent="0.25">
      <c r="A1779" s="1" t="s">
        <v>14435</v>
      </c>
      <c r="B1779" s="1" t="s">
        <v>4981</v>
      </c>
      <c r="C1779" s="1" t="str">
        <f>IFERROR(VLOOKUP(B1779,'SB1'!$A$2:$B$999999,2,FALSE),"")</f>
        <v>LATEX EXTERIOR TERSUAVE LAVABLE ROJO BORGOGNA X  1</v>
      </c>
      <c r="D1779" s="1" t="s">
        <v>14437</v>
      </c>
      <c r="E1779" s="3">
        <f>IFERROR(VLOOKUP(B1779,'DA1'!$B$2:$D$999999,3,FALSE),"")</f>
      </c>
      <c r="F1779" s="1" t="str">
        <f>IFERROR(VLOOKUP(B1779,'SB1'!$A$2:$C$999999,3,FALSE),"")</f>
        <v>503</v>
      </c>
      <c r="G1779" s="3" t="e">
        <f t="shared" si="59"/>
        <v>#VALUE!</v>
      </c>
      <c r="H1779" s="3" t="e">
        <f t="shared" si="60"/>
        <v>#VALUE!</v>
      </c>
      <c r="I1779" s="1">
        <v>1</v>
      </c>
    </row>
    <row r="1780" spans="1:9" x14ac:dyDescent="0.25">
      <c r="A1780" s="1" t="s">
        <v>14435</v>
      </c>
      <c r="B1780" s="1" t="s">
        <v>4983</v>
      </c>
      <c r="C1780" s="1" t="str">
        <f>IFERROR(VLOOKUP(B1780,'SB1'!$A$2:$B$999999,2,FALSE),"")</f>
        <v>LATEX EXTERIOR TERSUAVE LAVABLE ROJO TEJA X  1</v>
      </c>
      <c r="D1780" s="1" t="s">
        <v>14437</v>
      </c>
      <c r="E1780" s="3">
        <f>IFERROR(VLOOKUP(B1780,'DA1'!$B$2:$D$999999,3,FALSE),"")</f>
      </c>
      <c r="F1780" s="1" t="str">
        <f>IFERROR(VLOOKUP(B1780,'SB1'!$A$2:$C$999999,3,FALSE),"")</f>
        <v>503</v>
      </c>
      <c r="G1780" s="3" t="e">
        <f t="shared" si="59"/>
        <v>#VALUE!</v>
      </c>
      <c r="H1780" s="3" t="e">
        <f t="shared" si="60"/>
        <v>#VALUE!</v>
      </c>
      <c r="I1780" s="1">
        <v>1</v>
      </c>
    </row>
    <row r="1781" spans="1:9" x14ac:dyDescent="0.25">
      <c r="A1781" s="1" t="s">
        <v>14435</v>
      </c>
      <c r="B1781" s="1" t="s">
        <v>4985</v>
      </c>
      <c r="C1781" s="1" t="str">
        <f>IFERROR(VLOOKUP(B1781,'SB1'!$A$2:$B$999999,2,FALSE),"")</f>
        <v>LATEX EXTERIOR TERSUAVE LAVABLE ROSA VIEJO X  1</v>
      </c>
      <c r="D1781" s="1" t="s">
        <v>14437</v>
      </c>
      <c r="E1781" s="3">
        <f>IFERROR(VLOOKUP(B1781,'DA1'!$B$2:$D$999999,3,FALSE),"")</f>
      </c>
      <c r="F1781" s="1" t="str">
        <f>IFERROR(VLOOKUP(B1781,'SB1'!$A$2:$C$999999,3,FALSE),"")</f>
        <v>503</v>
      </c>
      <c r="G1781" s="3" t="e">
        <f t="shared" si="59"/>
        <v>#VALUE!</v>
      </c>
      <c r="H1781" s="3" t="e">
        <f t="shared" si="60"/>
        <v>#VALUE!</v>
      </c>
      <c r="I1781" s="1">
        <v>1</v>
      </c>
    </row>
    <row r="1782" spans="1:9" x14ac:dyDescent="0.25">
      <c r="A1782" s="1" t="s">
        <v>14435</v>
      </c>
      <c r="B1782" s="1" t="s">
        <v>4987</v>
      </c>
      <c r="C1782" s="1" t="str">
        <f>IFERROR(VLOOKUP(B1782,'SB1'!$A$2:$B$999999,2,FALSE),"")</f>
        <v>LATEX EXTERIOR TERSUAVE LAVABLE VERDE FORESTA X  1</v>
      </c>
      <c r="D1782" s="1" t="s">
        <v>14437</v>
      </c>
      <c r="E1782" s="3">
        <f>IFERROR(VLOOKUP(B1782,'DA1'!$B$2:$D$999999,3,FALSE),"")</f>
      </c>
      <c r="F1782" s="1" t="str">
        <f>IFERROR(VLOOKUP(B1782,'SB1'!$A$2:$C$999999,3,FALSE),"")</f>
        <v>503</v>
      </c>
      <c r="G1782" s="3" t="e">
        <f t="shared" si="59"/>
        <v>#VALUE!</v>
      </c>
      <c r="H1782" s="3" t="e">
        <f t="shared" si="60"/>
        <v>#VALUE!</v>
      </c>
      <c r="I1782" s="1">
        <v>1</v>
      </c>
    </row>
    <row r="1783" spans="1:9" x14ac:dyDescent="0.25">
      <c r="A1783" s="1" t="s">
        <v>14435</v>
      </c>
      <c r="B1783" s="1" t="s">
        <v>4989</v>
      </c>
      <c r="C1783" s="1" t="str">
        <f>IFERROR(VLOOKUP(B1783,'SB1'!$A$2:$B$999999,2,FALSE),"")</f>
        <v>LATEX EXTERIOR TERSUAVE LAVABLE VERDE SAFARI X  1</v>
      </c>
      <c r="D1783" s="1" t="s">
        <v>14437</v>
      </c>
      <c r="E1783" s="3">
        <f>IFERROR(VLOOKUP(B1783,'DA1'!$B$2:$D$999999,3,FALSE),"")</f>
      </c>
      <c r="F1783" s="1" t="str">
        <f>IFERROR(VLOOKUP(B1783,'SB1'!$A$2:$C$999999,3,FALSE),"")</f>
        <v>503</v>
      </c>
      <c r="G1783" s="3" t="e">
        <f t="shared" si="59"/>
        <v>#VALUE!</v>
      </c>
      <c r="H1783" s="3" t="e">
        <f t="shared" si="60"/>
        <v>#VALUE!</v>
      </c>
      <c r="I1783" s="1">
        <v>1</v>
      </c>
    </row>
    <row r="1784" spans="1:9" x14ac:dyDescent="0.25">
      <c r="A1784" s="1" t="s">
        <v>14435</v>
      </c>
      <c r="B1784" s="1" t="s">
        <v>4991</v>
      </c>
      <c r="C1784" s="1" t="str">
        <f>IFERROR(VLOOKUP(B1784,'SB1'!$A$2:$B$999999,2,FALSE),"")</f>
        <v>LATEX EXTERIOR TERSUAVE LAVABLE VIOLETA DEL SUR X  1</v>
      </c>
      <c r="D1784" s="1" t="s">
        <v>14437</v>
      </c>
      <c r="E1784" s="3">
        <f>IFERROR(VLOOKUP(B1784,'DA1'!$B$2:$D$999999,3,FALSE),"")</f>
      </c>
      <c r="F1784" s="1" t="str">
        <f>IFERROR(VLOOKUP(B1784,'SB1'!$A$2:$C$999999,3,FALSE),"")</f>
        <v>503</v>
      </c>
      <c r="G1784" s="3" t="e">
        <f t="shared" si="59"/>
        <v>#VALUE!</v>
      </c>
      <c r="H1784" s="3" t="e">
        <f t="shared" si="60"/>
        <v>#VALUE!</v>
      </c>
      <c r="I1784" s="1">
        <v>1</v>
      </c>
    </row>
    <row r="1785" spans="1:9" x14ac:dyDescent="0.25">
      <c r="A1785" s="1" t="s">
        <v>14435</v>
      </c>
      <c r="B1785" s="1" t="s">
        <v>4997</v>
      </c>
      <c r="C1785" s="1" t="str">
        <f>IFERROR(VLOOKUP(B1785,'SB1'!$A$2:$B$999999,2,FALSE),"")</f>
        <v>IMPERMEABLIZANTE PARA TECHOS RECUPLAST TECHOS VERDE INGLES X 20</v>
      </c>
      <c r="D1785" s="1" t="s">
        <v>14463</v>
      </c>
      <c r="E1785" s="3">
        <f>IFERROR(VLOOKUP(B1785,'DA1'!$B$2:$D$999999,3,FALSE),"")</f>
      </c>
      <c r="F1785" s="1" t="str">
        <f>IFERROR(VLOOKUP(B1785,'SB1'!$A$2:$C$999999,3,FALSE),"")</f>
        <v>503</v>
      </c>
      <c r="G1785" s="3" t="e">
        <f t="shared" si="59"/>
        <v>#VALUE!</v>
      </c>
      <c r="H1785" s="3" t="e">
        <f t="shared" si="60"/>
        <v>#VALUE!</v>
      </c>
      <c r="I1785" s="1">
        <v>1</v>
      </c>
    </row>
    <row r="1786" spans="1:9" x14ac:dyDescent="0.25">
      <c r="A1786" s="1" t="s">
        <v>14435</v>
      </c>
      <c r="B1786" s="1" t="s">
        <v>5003</v>
      </c>
      <c r="C1786" s="1" t="str">
        <f>IFERROR(VLOOKUP(B1786,'SB1'!$A$2:$B$999999,2,FALSE),"")</f>
        <v>ESMALTE SINTETICO TERSUAVE FERRO MICACEO PLATA INCAICA X 0,750</v>
      </c>
      <c r="D1786" s="1" t="s">
        <v>14439</v>
      </c>
      <c r="E1786" s="3">
        <f>IFERROR(VLOOKUP(B1786,'DA1'!$B$2:$D$999999,3,FALSE),"")</f>
      </c>
      <c r="F1786" s="1" t="str">
        <f>IFERROR(VLOOKUP(B1786,'SB1'!$A$2:$C$999999,3,FALSE),"")</f>
        <v>503</v>
      </c>
      <c r="G1786" s="3" t="e">
        <f t="shared" si="59"/>
        <v>#VALUE!</v>
      </c>
      <c r="H1786" s="3" t="e">
        <f t="shared" si="60"/>
        <v>#VALUE!</v>
      </c>
      <c r="I1786" s="1">
        <v>1</v>
      </c>
    </row>
    <row r="1787" spans="1:8" x14ac:dyDescent="0.25">
      <c r="A1787" s="1" t="s">
        <v>14435</v>
      </c>
      <c r="B1787" s="1" t="s">
        <v>5005</v>
      </c>
      <c r="C1787" s="1" t="str">
        <f>IFERROR(VLOOKUP(B1787,'SB1'!$A$2:$B$999999,2,FALSE),"")</f>
        <v>ESMALTE SINTETICO TERSUAVE FERRO MICACEO GRAFITO X 0,750</v>
      </c>
      <c r="D1787" s="1" t="s">
        <v>14439</v>
      </c>
      <c r="E1787" s="3">
        <f>IFERROR(VLOOKUP(B1787,'DA1'!$B$2:$D$999999,3,FALSE),"")</f>
      </c>
      <c r="F1787" s="1" t="str">
        <f>IFERROR(VLOOKUP(B1787,'SB1'!$A$2:$C$999999,3,FALSE),"")</f>
        <v>503</v>
      </c>
      <c r="G1787" s="3" t="e">
        <f t="shared" si="59"/>
        <v>#VALUE!</v>
      </c>
      <c r="H1787" s="3" t="e">
        <f t="shared" si="60"/>
        <v>#VALUE!</v>
      </c>
    </row>
    <row r="1788" spans="1:9" x14ac:dyDescent="0.25">
      <c r="A1788" s="1" t="s">
        <v>14435</v>
      </c>
      <c r="B1788" s="1" t="s">
        <v>5015</v>
      </c>
      <c r="C1788" s="1" t="str">
        <f>IFERROR(VLOOKUP(B1788,'SB1'!$A$2:$B$999999,2,FALSE),"")</f>
        <v>ESMALTE AL AGUA SATINOL SATINADO BASE MF X 0,900</v>
      </c>
      <c r="D1788" s="1" t="s">
        <v>14480</v>
      </c>
      <c r="E1788" s="3">
        <f>IFERROR(VLOOKUP(B1788,'DA1'!$B$2:$D$999999,3,FALSE),"")</f>
      </c>
      <c r="F1788" s="1" t="str">
        <f>IFERROR(VLOOKUP(B1788,'SB1'!$A$2:$C$999999,3,FALSE),"")</f>
        <v>503</v>
      </c>
      <c r="G1788" s="3" t="e">
        <f t="shared" si="59"/>
        <v>#VALUE!</v>
      </c>
      <c r="H1788" s="3" t="e">
        <f t="shared" si="60"/>
        <v>#VALUE!</v>
      </c>
      <c r="I1788" s="1">
        <v>1</v>
      </c>
    </row>
    <row r="1789" spans="1:9" x14ac:dyDescent="0.25">
      <c r="A1789" s="1" t="s">
        <v>14435</v>
      </c>
      <c r="B1789" s="1" t="s">
        <v>5017</v>
      </c>
      <c r="C1789" s="1" t="str">
        <f>IFERROR(VLOOKUP(B1789,'SB1'!$A$2:$B$999999,2,FALSE),"")</f>
        <v>ESMALTE AL AGUA SATINOL SATINADO BASE MF X 3,600</v>
      </c>
      <c r="D1789" s="1" t="s">
        <v>14480</v>
      </c>
      <c r="E1789" s="3">
        <f>IFERROR(VLOOKUP(B1789,'DA1'!$B$2:$D$999999,3,FALSE),"")</f>
      </c>
      <c r="F1789" s="1" t="str">
        <f>IFERROR(VLOOKUP(B1789,'SB1'!$A$2:$C$999999,3,FALSE),"")</f>
        <v>503</v>
      </c>
      <c r="G1789" s="3" t="e">
        <f t="shared" si="59"/>
        <v>#VALUE!</v>
      </c>
      <c r="H1789" s="3" t="e">
        <f t="shared" si="60"/>
        <v>#VALUE!</v>
      </c>
      <c r="I1789" s="1">
        <v>1</v>
      </c>
    </row>
    <row r="1790" spans="1:9" x14ac:dyDescent="0.25">
      <c r="A1790" s="1" t="s">
        <v>14435</v>
      </c>
      <c r="B1790" s="1" t="s">
        <v>5019</v>
      </c>
      <c r="C1790" s="1" t="str">
        <f>IFERROR(VLOOKUP(B1790,'SB1'!$A$2:$B$999999,2,FALSE),"")</f>
        <v>ESMALTE AL AGUA SATINOL SATINADO BASE T X 0,900</v>
      </c>
      <c r="D1790" s="1" t="s">
        <v>14480</v>
      </c>
      <c r="E1790" s="3">
        <f>IFERROR(VLOOKUP(B1790,'DA1'!$B$2:$D$999999,3,FALSE),"")</f>
      </c>
      <c r="F1790" s="1" t="str">
        <f>IFERROR(VLOOKUP(B1790,'SB1'!$A$2:$C$999999,3,FALSE),"")</f>
        <v>503</v>
      </c>
      <c r="G1790" s="3" t="e">
        <f t="shared" si="59"/>
        <v>#VALUE!</v>
      </c>
      <c r="H1790" s="3" t="e">
        <f t="shared" si="60"/>
        <v>#VALUE!</v>
      </c>
      <c r="I1790" s="1">
        <v>1</v>
      </c>
    </row>
    <row r="1791" spans="1:9" x14ac:dyDescent="0.25">
      <c r="A1791" s="1" t="s">
        <v>14435</v>
      </c>
      <c r="B1791" s="1" t="s">
        <v>5021</v>
      </c>
      <c r="C1791" s="1" t="str">
        <f>IFERROR(VLOOKUP(B1791,'SB1'!$A$2:$B$999999,2,FALSE),"")</f>
        <v>ESMALTE AL AGUA SATINOL SATINADO BASE T X 3,600</v>
      </c>
      <c r="D1791" s="1" t="s">
        <v>14480</v>
      </c>
      <c r="E1791" s="3">
        <f>IFERROR(VLOOKUP(B1791,'DA1'!$B$2:$D$999999,3,FALSE),"")</f>
      </c>
      <c r="F1791" s="1" t="str">
        <f>IFERROR(VLOOKUP(B1791,'SB1'!$A$2:$C$999999,3,FALSE),"")</f>
        <v>503</v>
      </c>
      <c r="G1791" s="3" t="e">
        <f t="shared" si="59"/>
        <v>#VALUE!</v>
      </c>
      <c r="H1791" s="3" t="e">
        <f t="shared" si="60"/>
        <v>#VALUE!</v>
      </c>
      <c r="I1791" s="1">
        <v>1</v>
      </c>
    </row>
    <row r="1792" spans="1:9" x14ac:dyDescent="0.25">
      <c r="A1792" s="1" t="s">
        <v>14435</v>
      </c>
      <c r="B1792" s="1" t="s">
        <v>5023</v>
      </c>
      <c r="C1792" s="1" t="str">
        <f>IFERROR(VLOOKUP(B1792,'SB1'!$A$2:$B$999999,2,FALSE),"")</f>
        <v>ESMALTE SINTETICO TERSUAVE FERRO MICACEO PLATA INCAICA X 2,500</v>
      </c>
      <c r="D1792" s="1" t="s">
        <v>14439</v>
      </c>
      <c r="E1792" s="3">
        <f>IFERROR(VLOOKUP(B1792,'DA1'!$B$2:$D$999999,3,FALSE),"")</f>
      </c>
      <c r="F1792" s="1" t="str">
        <f>IFERROR(VLOOKUP(B1792,'SB1'!$A$2:$C$999999,3,FALSE),"")</f>
        <v>503</v>
      </c>
      <c r="G1792" s="3" t="e">
        <f t="shared" si="59"/>
        <v>#VALUE!</v>
      </c>
      <c r="H1792" s="3" t="e">
        <f t="shared" si="60"/>
        <v>#VALUE!</v>
      </c>
      <c r="I1792" s="1">
        <v>1</v>
      </c>
    </row>
    <row r="1793" spans="1:8" x14ac:dyDescent="0.25">
      <c r="A1793" s="1" t="s">
        <v>14435</v>
      </c>
      <c r="B1793" s="1" t="s">
        <v>5025</v>
      </c>
      <c r="C1793" s="1" t="str">
        <f>IFERROR(VLOOKUP(B1793,'SB1'!$A$2:$B$999999,2,FALSE),"")</f>
        <v>ESMALTE SINTETICO TERSUAVE FERRO MICACEO GRAFITO X 2,500</v>
      </c>
      <c r="D1793" s="1" t="s">
        <v>14439</v>
      </c>
      <c r="E1793" s="3">
        <f>IFERROR(VLOOKUP(B1793,'DA1'!$B$2:$D$999999,3,FALSE),"")</f>
      </c>
      <c r="F1793" s="1" t="str">
        <f>IFERROR(VLOOKUP(B1793,'SB1'!$A$2:$C$999999,3,FALSE),"")</f>
        <v>503</v>
      </c>
      <c r="G1793" s="3" t="e">
        <f t="shared" si="59"/>
        <v>#VALUE!</v>
      </c>
      <c r="H1793" s="3" t="e">
        <f t="shared" si="60"/>
        <v>#VALUE!</v>
      </c>
    </row>
    <row r="1794" spans="1:9" x14ac:dyDescent="0.25">
      <c r="A1794" s="1" t="s">
        <v>14435</v>
      </c>
      <c r="B1794" s="1" t="s">
        <v>5047</v>
      </c>
      <c r="C1794" s="1" t="str">
        <f>IFERROR(VLOOKUP(B1794,'SB1'!$A$2:$B$999999,2,FALSE),"")</f>
        <v>DISCO CORTE DOBLE A T42 MASTER ACERO 180X2X22,2</v>
      </c>
      <c r="D1794" s="1" t="s">
        <v>14451</v>
      </c>
      <c r="E1794" s="3">
        <f>IFERROR(VLOOKUP(B1794,'DA1'!$B$2:$D$999999,3,FALSE),"")</f>
      </c>
      <c r="F1794" s="1" t="str">
        <f>IFERROR(VLOOKUP(B1794,'SB1'!$A$2:$C$999999,3,FALSE),"")</f>
        <v>503</v>
      </c>
      <c r="G1794" s="3" t="e">
        <f t="shared" si="59"/>
        <v>#VALUE!</v>
      </c>
      <c r="H1794" s="3" t="e">
        <f t="shared" si="60"/>
        <v>#VALUE!</v>
      </c>
      <c r="I1794" s="1">
        <v>1</v>
      </c>
    </row>
    <row r="1795" spans="1:9" x14ac:dyDescent="0.25">
      <c r="A1795" s="1" t="s">
        <v>14435</v>
      </c>
      <c r="B1795" s="1" t="s">
        <v>5051</v>
      </c>
      <c r="C1795" s="1" t="str">
        <f>IFERROR(VLOOKUP(B1795,'SB1'!$A$2:$B$999999,2,FALSE),"")</f>
        <v>DISCO CORTE DOBLE A T42 MASTER ACERO 230X3,0X22,2</v>
      </c>
      <c r="D1795" s="1" t="s">
        <v>14451</v>
      </c>
      <c r="E1795" s="3">
        <f>IFERROR(VLOOKUP(B1795,'DA1'!$B$2:$D$999999,3,FALSE),"")</f>
      </c>
      <c r="F1795" s="1" t="str">
        <f>IFERROR(VLOOKUP(B1795,'SB1'!$A$2:$C$999999,3,FALSE),"")</f>
        <v>503</v>
      </c>
      <c r="G1795" s="3" t="e">
        <f t="shared" ref="G1795:G1858" si="61">E1795*1.04</f>
        <v>#VALUE!</v>
      </c>
      <c r="H1795" s="3" t="e">
        <f t="shared" si="60"/>
        <v>#VALUE!</v>
      </c>
      <c r="I1795" s="1">
        <v>1</v>
      </c>
    </row>
    <row r="1796" spans="1:9" x14ac:dyDescent="0.25">
      <c r="A1796" s="1" t="s">
        <v>14435</v>
      </c>
      <c r="B1796" s="1" t="s">
        <v>5059</v>
      </c>
      <c r="C1796" s="1" t="str">
        <f>IFERROR(VLOOKUP(B1796,'SB1'!$A$2:$B$999999,2,FALSE),"")</f>
        <v>IMPERMEABLIZANTE PARA TECHOS RECUPLAST TECHOS NEGRO X 20</v>
      </c>
      <c r="D1796" s="1" t="s">
        <v>14463</v>
      </c>
      <c r="E1796" s="3">
        <f>IFERROR(VLOOKUP(B1796,'DA1'!$B$2:$D$999999,3,FALSE),"")</f>
      </c>
      <c r="F1796" s="1" t="str">
        <f>IFERROR(VLOOKUP(B1796,'SB1'!$A$2:$C$999999,3,FALSE),"")</f>
        <v>503</v>
      </c>
      <c r="G1796" s="3" t="e">
        <f t="shared" si="61"/>
        <v>#VALUE!</v>
      </c>
      <c r="H1796" s="3" t="e">
        <f t="shared" si="60"/>
        <v>#VALUE!</v>
      </c>
      <c r="I1796" s="1">
        <v>1</v>
      </c>
    </row>
    <row r="1797" spans="1:9" x14ac:dyDescent="0.25">
      <c r="A1797" s="1" t="s">
        <v>14435</v>
      </c>
      <c r="B1797" s="1" t="s">
        <v>5065</v>
      </c>
      <c r="C1797" s="1" t="str">
        <f>IFERROR(VLOOKUP(B1797,'SB1'!$A$2:$B$999999,2,FALSE),"")</f>
        <v>IMPERMEABLIZANTE PARA TECHOS RECUPLAST TECHOS AZUL X 20</v>
      </c>
      <c r="D1797" s="1" t="s">
        <v>14463</v>
      </c>
      <c r="E1797" s="3">
        <f>IFERROR(VLOOKUP(B1797,'DA1'!$B$2:$D$999999,3,FALSE),"")</f>
      </c>
      <c r="F1797" s="1" t="str">
        <f>IFERROR(VLOOKUP(B1797,'SB1'!$A$2:$C$999999,3,FALSE),"")</f>
        <v>503</v>
      </c>
      <c r="G1797" s="3" t="e">
        <f t="shared" si="61"/>
        <v>#VALUE!</v>
      </c>
      <c r="H1797" s="3" t="e">
        <f t="shared" si="60"/>
        <v>#VALUE!</v>
      </c>
      <c r="I1797" s="1">
        <v>1</v>
      </c>
    </row>
    <row r="1798" spans="1:9" x14ac:dyDescent="0.25">
      <c r="A1798" s="1" t="s">
        <v>14435</v>
      </c>
      <c r="B1798" s="1" t="s">
        <v>5071</v>
      </c>
      <c r="C1798" s="1" t="str">
        <f>IFERROR(VLOOKUP(B1798,'SB1'!$A$2:$B$999999,2,FALSE),"")</f>
        <v>IMPERMEABLIZANTE PARA TECHOS RECUPLAST TECHOS GRIS X 20</v>
      </c>
      <c r="D1798" s="1" t="s">
        <v>14463</v>
      </c>
      <c r="E1798" s="3">
        <f>IFERROR(VLOOKUP(B1798,'DA1'!$B$2:$D$999999,3,FALSE),"")</f>
      </c>
      <c r="F1798" s="1" t="str">
        <f>IFERROR(VLOOKUP(B1798,'SB1'!$A$2:$C$999999,3,FALSE),"")</f>
        <v>503</v>
      </c>
      <c r="G1798" s="3" t="e">
        <f t="shared" si="61"/>
        <v>#VALUE!</v>
      </c>
      <c r="H1798" s="3" t="e">
        <f t="shared" si="60"/>
        <v>#VALUE!</v>
      </c>
      <c r="I1798" s="1">
        <v>1</v>
      </c>
    </row>
    <row r="1799" spans="1:9" x14ac:dyDescent="0.25">
      <c r="A1799" s="1" t="s">
        <v>14435</v>
      </c>
      <c r="B1799" s="1" t="s">
        <v>5073</v>
      </c>
      <c r="C1799" s="1" t="str">
        <f>IFERROR(VLOOKUP(B1799,'SB1'!$A$2:$B$999999,2,FALSE),"")</f>
        <v>ESMALTE SINTETICO PLAVICON BRILLANTE BASE PASTEL X  0,900</v>
      </c>
      <c r="D1799" s="1" t="s">
        <v>14490</v>
      </c>
      <c r="E1799" s="3">
        <f>IFERROR(VLOOKUP(B1799,'DA1'!$B$2:$D$999999,3,FALSE),"")</f>
      </c>
      <c r="F1799" s="1" t="str">
        <f>IFERROR(VLOOKUP(B1799,'SB1'!$A$2:$C$999999,3,FALSE),"")</f>
        <v>503</v>
      </c>
      <c r="G1799" s="3" t="e">
        <f t="shared" si="61"/>
        <v>#VALUE!</v>
      </c>
      <c r="H1799" s="3" t="e">
        <f t="shared" si="60"/>
        <v>#VALUE!</v>
      </c>
      <c r="I1799" s="1">
        <v>1</v>
      </c>
    </row>
    <row r="1800" spans="1:9" x14ac:dyDescent="0.25">
      <c r="A1800" s="1" t="s">
        <v>14435</v>
      </c>
      <c r="B1800" s="1" t="s">
        <v>5075</v>
      </c>
      <c r="C1800" s="1" t="str">
        <f>IFERROR(VLOOKUP(B1800,'SB1'!$A$2:$B$999999,2,FALSE),"")</f>
        <v>ESMALTE SINTETICO PLAVICON BRILLANTE BASE PASTEL X  3,600</v>
      </c>
      <c r="D1800" s="1" t="s">
        <v>14490</v>
      </c>
      <c r="E1800" s="3">
        <f>IFERROR(VLOOKUP(B1800,'DA1'!$B$2:$D$999999,3,FALSE),"")</f>
      </c>
      <c r="F1800" s="1" t="str">
        <f>IFERROR(VLOOKUP(B1800,'SB1'!$A$2:$C$999999,3,FALSE),"")</f>
        <v>503</v>
      </c>
      <c r="G1800" s="3" t="e">
        <f t="shared" si="61"/>
        <v>#VALUE!</v>
      </c>
      <c r="H1800" s="3" t="e">
        <f t="shared" si="60"/>
        <v>#VALUE!</v>
      </c>
      <c r="I1800" s="1">
        <v>1</v>
      </c>
    </row>
    <row r="1801" spans="1:9" x14ac:dyDescent="0.25">
      <c r="A1801" s="1" t="s">
        <v>14435</v>
      </c>
      <c r="B1801" s="1" t="s">
        <v>5077</v>
      </c>
      <c r="C1801" s="1" t="str">
        <f>IFERROR(VLOOKUP(B1801,'SB1'!$A$2:$B$999999,2,FALSE),"")</f>
        <v>ESMALTE SINTETICO PLAVICON BRILLANTE BASE PASTEL X 18</v>
      </c>
      <c r="D1801" s="1" t="s">
        <v>14490</v>
      </c>
      <c r="E1801" s="3">
        <f>IFERROR(VLOOKUP(B1801,'DA1'!$B$2:$D$999999,3,FALSE),"")</f>
      </c>
      <c r="F1801" s="1" t="str">
        <f>IFERROR(VLOOKUP(B1801,'SB1'!$A$2:$C$999999,3,FALSE),"")</f>
        <v>503</v>
      </c>
      <c r="G1801" s="3" t="e">
        <f t="shared" si="61"/>
        <v>#VALUE!</v>
      </c>
      <c r="H1801" s="3" t="e">
        <f t="shared" si="60"/>
        <v>#VALUE!</v>
      </c>
      <c r="I1801" s="1">
        <v>1</v>
      </c>
    </row>
    <row r="1802" spans="1:9" x14ac:dyDescent="0.25">
      <c r="A1802" s="1" t="s">
        <v>14435</v>
      </c>
      <c r="B1802" s="1" t="s">
        <v>5079</v>
      </c>
      <c r="C1802" s="1" t="str">
        <f>IFERROR(VLOOKUP(B1802,'SB1'!$A$2:$B$999999,2,FALSE),"")</f>
        <v>ESMALTE SINTETICO PLAVICON BRILLANTE BASE MEDIANO X  0,900</v>
      </c>
      <c r="D1802" s="1" t="s">
        <v>14490</v>
      </c>
      <c r="E1802" s="3">
        <f>IFERROR(VLOOKUP(B1802,'DA1'!$B$2:$D$999999,3,FALSE),"")</f>
      </c>
      <c r="F1802" s="1" t="str">
        <f>IFERROR(VLOOKUP(B1802,'SB1'!$A$2:$C$999999,3,FALSE),"")</f>
        <v>503</v>
      </c>
      <c r="G1802" s="3" t="e">
        <f t="shared" si="61"/>
        <v>#VALUE!</v>
      </c>
      <c r="H1802" s="3" t="e">
        <f t="shared" si="60"/>
        <v>#VALUE!</v>
      </c>
      <c r="I1802" s="1">
        <v>1</v>
      </c>
    </row>
    <row r="1803" spans="1:9" x14ac:dyDescent="0.25">
      <c r="A1803" s="1" t="s">
        <v>14435</v>
      </c>
      <c r="B1803" s="1" t="s">
        <v>5081</v>
      </c>
      <c r="C1803" s="1" t="str">
        <f>IFERROR(VLOOKUP(B1803,'SB1'!$A$2:$B$999999,2,FALSE),"")</f>
        <v>ESMALTE SINTETICO PLAVICON BRILLANTE BASE MEDIANO X  3,600</v>
      </c>
      <c r="D1803" s="1" t="s">
        <v>14490</v>
      </c>
      <c r="E1803" s="3">
        <f>IFERROR(VLOOKUP(B1803,'DA1'!$B$2:$D$999999,3,FALSE),"")</f>
      </c>
      <c r="F1803" s="1" t="str">
        <f>IFERROR(VLOOKUP(B1803,'SB1'!$A$2:$C$999999,3,FALSE),"")</f>
        <v>503</v>
      </c>
      <c r="G1803" s="3" t="e">
        <f t="shared" si="61"/>
        <v>#VALUE!</v>
      </c>
      <c r="H1803" s="3" t="e">
        <f t="shared" si="60"/>
        <v>#VALUE!</v>
      </c>
      <c r="I1803" s="1">
        <v>1</v>
      </c>
    </row>
    <row r="1804" spans="1:9" x14ac:dyDescent="0.25">
      <c r="A1804" s="1" t="s">
        <v>14435</v>
      </c>
      <c r="B1804" s="1" t="s">
        <v>5083</v>
      </c>
      <c r="C1804" s="1" t="str">
        <f>IFERROR(VLOOKUP(B1804,'SB1'!$A$2:$B$999999,2,FALSE),"")</f>
        <v>ESMALTE SINTETICO PLAVICON BRILLANTE BASE MEDIANO X 18</v>
      </c>
      <c r="D1804" s="1" t="s">
        <v>14490</v>
      </c>
      <c r="E1804" s="3">
        <f>IFERROR(VLOOKUP(B1804,'DA1'!$B$2:$D$999999,3,FALSE),"")</f>
      </c>
      <c r="F1804" s="1" t="str">
        <f>IFERROR(VLOOKUP(B1804,'SB1'!$A$2:$C$999999,3,FALSE),"")</f>
        <v>503</v>
      </c>
      <c r="G1804" s="3" t="e">
        <f t="shared" si="61"/>
        <v>#VALUE!</v>
      </c>
      <c r="H1804" s="3" t="e">
        <f t="shared" si="60"/>
        <v>#VALUE!</v>
      </c>
      <c r="I1804" s="1">
        <v>1</v>
      </c>
    </row>
    <row r="1805" spans="1:9" x14ac:dyDescent="0.25">
      <c r="A1805" s="1" t="s">
        <v>14435</v>
      </c>
      <c r="B1805" s="1" t="s">
        <v>5085</v>
      </c>
      <c r="C1805" s="1" t="str">
        <f>IFERROR(VLOOKUP(B1805,'SB1'!$A$2:$B$999999,2,FALSE),"")</f>
        <v>ESMALTE SINTETICO PLAVICON BRILLANTE BASE INTENSO X  0,900</v>
      </c>
      <c r="D1805" s="1" t="s">
        <v>14490</v>
      </c>
      <c r="E1805" s="3">
        <f>IFERROR(VLOOKUP(B1805,'DA1'!$B$2:$D$999999,3,FALSE),"")</f>
      </c>
      <c r="F1805" s="1" t="str">
        <f>IFERROR(VLOOKUP(B1805,'SB1'!$A$2:$C$999999,3,FALSE),"")</f>
        <v>503</v>
      </c>
      <c r="G1805" s="3" t="e">
        <f t="shared" si="61"/>
        <v>#VALUE!</v>
      </c>
      <c r="H1805" s="3" t="e">
        <f t="shared" si="60"/>
        <v>#VALUE!</v>
      </c>
      <c r="I1805" s="1">
        <v>1</v>
      </c>
    </row>
    <row r="1806" spans="1:9" x14ac:dyDescent="0.25">
      <c r="A1806" s="1" t="s">
        <v>14435</v>
      </c>
      <c r="B1806" s="1" t="s">
        <v>5087</v>
      </c>
      <c r="C1806" s="1" t="str">
        <f>IFERROR(VLOOKUP(B1806,'SB1'!$A$2:$B$999999,2,FALSE),"")</f>
        <v>ESMALTE SINTETICO PLAVICON BRILLANTE BASE INTENSO X  3,600</v>
      </c>
      <c r="D1806" s="1" t="s">
        <v>14490</v>
      </c>
      <c r="E1806" s="3">
        <f>IFERROR(VLOOKUP(B1806,'DA1'!$B$2:$D$999999,3,FALSE),"")</f>
      </c>
      <c r="F1806" s="1" t="str">
        <f>IFERROR(VLOOKUP(B1806,'SB1'!$A$2:$C$999999,3,FALSE),"")</f>
        <v>503</v>
      </c>
      <c r="G1806" s="3" t="e">
        <f t="shared" si="61"/>
        <v>#VALUE!</v>
      </c>
      <c r="H1806" s="3" t="e">
        <f t="shared" si="60"/>
        <v>#VALUE!</v>
      </c>
      <c r="I1806" s="1">
        <v>1</v>
      </c>
    </row>
    <row r="1807" spans="1:9" x14ac:dyDescent="0.25">
      <c r="A1807" s="1" t="s">
        <v>14435</v>
      </c>
      <c r="B1807" s="1" t="s">
        <v>5089</v>
      </c>
      <c r="C1807" s="1" t="str">
        <f>IFERROR(VLOOKUP(B1807,'SB1'!$A$2:$B$999999,2,FALSE),"")</f>
        <v>ESMALTE SINTETICO PLAVICON BRILLANTE BASE INTENSO X 18</v>
      </c>
      <c r="D1807" s="1" t="s">
        <v>14490</v>
      </c>
      <c r="E1807" s="3">
        <f>IFERROR(VLOOKUP(B1807,'DA1'!$B$2:$D$999999,3,FALSE),"")</f>
      </c>
      <c r="F1807" s="1" t="str">
        <f>IFERROR(VLOOKUP(B1807,'SB1'!$A$2:$C$999999,3,FALSE),"")</f>
        <v>503</v>
      </c>
      <c r="G1807" s="3" t="e">
        <f t="shared" si="61"/>
        <v>#VALUE!</v>
      </c>
      <c r="H1807" s="3" t="e">
        <f t="shared" si="60"/>
        <v>#VALUE!</v>
      </c>
      <c r="I1807" s="1">
        <v>1</v>
      </c>
    </row>
    <row r="1808" spans="1:9" x14ac:dyDescent="0.25">
      <c r="A1808" s="1" t="s">
        <v>14435</v>
      </c>
      <c r="B1808" s="1" t="s">
        <v>5091</v>
      </c>
      <c r="C1808" s="1" t="str">
        <f>IFERROR(VLOOKUP(B1808,'SB1'!$A$2:$B$999999,2,FALSE),"")</f>
        <v>ESMALTE SINTETICO PLAVICON SATINADO BASE PASTEL X  0,900</v>
      </c>
      <c r="D1808" s="1" t="s">
        <v>14490</v>
      </c>
      <c r="E1808" s="3">
        <f>IFERROR(VLOOKUP(B1808,'DA1'!$B$2:$D$999999,3,FALSE),"")</f>
      </c>
      <c r="F1808" s="1" t="str">
        <f>IFERROR(VLOOKUP(B1808,'SB1'!$A$2:$C$999999,3,FALSE),"")</f>
        <v>503</v>
      </c>
      <c r="G1808" s="3" t="e">
        <f t="shared" si="61"/>
        <v>#VALUE!</v>
      </c>
      <c r="H1808" s="3" t="e">
        <f t="shared" si="60"/>
        <v>#VALUE!</v>
      </c>
      <c r="I1808" s="1">
        <v>1</v>
      </c>
    </row>
    <row r="1809" spans="1:9" x14ac:dyDescent="0.25">
      <c r="A1809" s="1" t="s">
        <v>14435</v>
      </c>
      <c r="B1809" s="1" t="s">
        <v>5093</v>
      </c>
      <c r="C1809" s="1" t="str">
        <f>IFERROR(VLOOKUP(B1809,'SB1'!$A$2:$B$999999,2,FALSE),"")</f>
        <v>ESMALTE SINTETICO PLAVICON SATINADO BASE PASTEL X  3,600</v>
      </c>
      <c r="D1809" s="1" t="s">
        <v>14490</v>
      </c>
      <c r="E1809" s="3">
        <f>IFERROR(VLOOKUP(B1809,'DA1'!$B$2:$D$999999,3,FALSE),"")</f>
      </c>
      <c r="F1809" s="1" t="str">
        <f>IFERROR(VLOOKUP(B1809,'SB1'!$A$2:$C$999999,3,FALSE),"")</f>
        <v>503</v>
      </c>
      <c r="G1809" s="3" t="e">
        <f t="shared" si="61"/>
        <v>#VALUE!</v>
      </c>
      <c r="H1809" s="3" t="e">
        <f t="shared" si="60"/>
        <v>#VALUE!</v>
      </c>
      <c r="I1809" s="1">
        <v>1</v>
      </c>
    </row>
    <row r="1810" spans="1:9" x14ac:dyDescent="0.25">
      <c r="A1810" s="1" t="s">
        <v>14435</v>
      </c>
      <c r="B1810" s="1" t="s">
        <v>5095</v>
      </c>
      <c r="C1810" s="1" t="str">
        <f>IFERROR(VLOOKUP(B1810,'SB1'!$A$2:$B$999999,2,FALSE),"")</f>
        <v>ESMALTE SINTETICO PLAVICON SATINADO BASE PASTEL X 18</v>
      </c>
      <c r="D1810" s="1" t="s">
        <v>14490</v>
      </c>
      <c r="E1810" s="3">
        <f>IFERROR(VLOOKUP(B1810,'DA1'!$B$2:$D$999999,3,FALSE),"")</f>
      </c>
      <c r="F1810" s="1" t="str">
        <f>IFERROR(VLOOKUP(B1810,'SB1'!$A$2:$C$999999,3,FALSE),"")</f>
        <v>503</v>
      </c>
      <c r="G1810" s="3" t="e">
        <f t="shared" si="61"/>
        <v>#VALUE!</v>
      </c>
      <c r="H1810" s="3" t="e">
        <f t="shared" si="60"/>
        <v>#VALUE!</v>
      </c>
      <c r="I1810" s="1">
        <v>1</v>
      </c>
    </row>
    <row r="1811" spans="1:9" x14ac:dyDescent="0.25">
      <c r="A1811" s="1" t="s">
        <v>14435</v>
      </c>
      <c r="B1811" s="1" t="s">
        <v>5097</v>
      </c>
      <c r="C1811" s="1" t="str">
        <f>IFERROR(VLOOKUP(B1811,'SB1'!$A$2:$B$999999,2,FALSE),"")</f>
        <v>ESMALTE SINTETICO PLAVICON SATINADO BASE MEDIANO X  0,900</v>
      </c>
      <c r="D1811" s="1" t="s">
        <v>14490</v>
      </c>
      <c r="E1811" s="3">
        <f>IFERROR(VLOOKUP(B1811,'DA1'!$B$2:$D$999999,3,FALSE),"")</f>
      </c>
      <c r="F1811" s="1" t="str">
        <f>IFERROR(VLOOKUP(B1811,'SB1'!$A$2:$C$999999,3,FALSE),"")</f>
        <v>503</v>
      </c>
      <c r="G1811" s="3" t="e">
        <f t="shared" si="61"/>
        <v>#VALUE!</v>
      </c>
      <c r="H1811" s="3" t="e">
        <f t="shared" si="60"/>
        <v>#VALUE!</v>
      </c>
      <c r="I1811" s="1">
        <v>1</v>
      </c>
    </row>
    <row r="1812" spans="1:9" x14ac:dyDescent="0.25">
      <c r="A1812" s="1" t="s">
        <v>14435</v>
      </c>
      <c r="B1812" s="1" t="s">
        <v>5099</v>
      </c>
      <c r="C1812" s="1" t="str">
        <f>IFERROR(VLOOKUP(B1812,'SB1'!$A$2:$B$999999,2,FALSE),"")</f>
        <v>ESMALTE SINTETICO PLAVICON SATINADO BASE MEDIANO X  3,600</v>
      </c>
      <c r="D1812" s="1" t="s">
        <v>14490</v>
      </c>
      <c r="E1812" s="3">
        <f>IFERROR(VLOOKUP(B1812,'DA1'!$B$2:$D$999999,3,FALSE),"")</f>
      </c>
      <c r="F1812" s="1" t="str">
        <f>IFERROR(VLOOKUP(B1812,'SB1'!$A$2:$C$999999,3,FALSE),"")</f>
        <v>503</v>
      </c>
      <c r="G1812" s="3" t="e">
        <f t="shared" si="61"/>
        <v>#VALUE!</v>
      </c>
      <c r="H1812" s="3" t="e">
        <f t="shared" si="60"/>
        <v>#VALUE!</v>
      </c>
      <c r="I1812" s="1">
        <v>1</v>
      </c>
    </row>
    <row r="1813" spans="1:9" x14ac:dyDescent="0.25">
      <c r="A1813" s="1" t="s">
        <v>14435</v>
      </c>
      <c r="B1813" s="1" t="s">
        <v>5101</v>
      </c>
      <c r="C1813" s="1" t="str">
        <f>IFERROR(VLOOKUP(B1813,'SB1'!$A$2:$B$999999,2,FALSE),"")</f>
        <v>ESMALTE SINTETICO PLAVICON SATINADO BASE MEDIANO X 18</v>
      </c>
      <c r="D1813" s="1" t="s">
        <v>14490</v>
      </c>
      <c r="E1813" s="3">
        <f>IFERROR(VLOOKUP(B1813,'DA1'!$B$2:$D$999999,3,FALSE),"")</f>
      </c>
      <c r="F1813" s="1" t="str">
        <f>IFERROR(VLOOKUP(B1813,'SB1'!$A$2:$C$999999,3,FALSE),"")</f>
        <v>503</v>
      </c>
      <c r="G1813" s="3" t="e">
        <f t="shared" si="61"/>
        <v>#VALUE!</v>
      </c>
      <c r="H1813" s="3" t="e">
        <f t="shared" si="60"/>
        <v>#VALUE!</v>
      </c>
      <c r="I1813" s="1">
        <v>1</v>
      </c>
    </row>
    <row r="1814" spans="1:9" x14ac:dyDescent="0.25">
      <c r="A1814" s="1" t="s">
        <v>14435</v>
      </c>
      <c r="B1814" s="1" t="s">
        <v>5103</v>
      </c>
      <c r="C1814" s="1" t="str">
        <f>IFERROR(VLOOKUP(B1814,'SB1'!$A$2:$B$999999,2,FALSE),"")</f>
        <v>ESMALTE SINTETICO PLAVICON SATINADO BASE INTENSO X  0,900</v>
      </c>
      <c r="D1814" s="1" t="s">
        <v>14490</v>
      </c>
      <c r="E1814" s="3">
        <f>IFERROR(VLOOKUP(B1814,'DA1'!$B$2:$D$999999,3,FALSE),"")</f>
      </c>
      <c r="F1814" s="1" t="str">
        <f>IFERROR(VLOOKUP(B1814,'SB1'!$A$2:$C$999999,3,FALSE),"")</f>
        <v>503</v>
      </c>
      <c r="G1814" s="3" t="e">
        <f t="shared" si="61"/>
        <v>#VALUE!</v>
      </c>
      <c r="H1814" s="3" t="e">
        <f t="shared" si="60"/>
        <v>#VALUE!</v>
      </c>
      <c r="I1814" s="1">
        <v>1</v>
      </c>
    </row>
    <row r="1815" spans="1:9" x14ac:dyDescent="0.25">
      <c r="A1815" s="1" t="s">
        <v>14435</v>
      </c>
      <c r="B1815" s="1" t="s">
        <v>5105</v>
      </c>
      <c r="C1815" s="1" t="str">
        <f>IFERROR(VLOOKUP(B1815,'SB1'!$A$2:$B$999999,2,FALSE),"")</f>
        <v>ESMALTE SINTETICO PLAVICON SATINADO BASE INTENSO X  3,600</v>
      </c>
      <c r="D1815" s="1" t="s">
        <v>14490</v>
      </c>
      <c r="E1815" s="3">
        <f>IFERROR(VLOOKUP(B1815,'DA1'!$B$2:$D$999999,3,FALSE),"")</f>
      </c>
      <c r="F1815" s="1" t="str">
        <f>IFERROR(VLOOKUP(B1815,'SB1'!$A$2:$C$999999,3,FALSE),"")</f>
        <v>503</v>
      </c>
      <c r="G1815" s="3" t="e">
        <f t="shared" si="61"/>
        <v>#VALUE!</v>
      </c>
      <c r="H1815" s="3" t="e">
        <f t="shared" si="60"/>
        <v>#VALUE!</v>
      </c>
      <c r="I1815" s="1">
        <v>1</v>
      </c>
    </row>
    <row r="1816" spans="1:9" x14ac:dyDescent="0.25">
      <c r="A1816" s="1" t="s">
        <v>14435</v>
      </c>
      <c r="B1816" s="1" t="s">
        <v>5107</v>
      </c>
      <c r="C1816" s="1" t="str">
        <f>IFERROR(VLOOKUP(B1816,'SB1'!$A$2:$B$999999,2,FALSE),"")</f>
        <v>ESMALTE SINTETICO PLAVICON SATINADO BASE INTENSO X 18</v>
      </c>
      <c r="D1816" s="1" t="s">
        <v>14490</v>
      </c>
      <c r="E1816" s="3">
        <f>IFERROR(VLOOKUP(B1816,'DA1'!$B$2:$D$999999,3,FALSE),"")</f>
      </c>
      <c r="F1816" s="1" t="str">
        <f>IFERROR(VLOOKUP(B1816,'SB1'!$A$2:$C$999999,3,FALSE),"")</f>
        <v>503</v>
      </c>
      <c r="G1816" s="3" t="e">
        <f t="shared" si="61"/>
        <v>#VALUE!</v>
      </c>
      <c r="H1816" s="3" t="e">
        <f t="shared" si="60"/>
        <v>#VALUE!</v>
      </c>
      <c r="I1816" s="1">
        <v>1</v>
      </c>
    </row>
    <row r="1817" spans="1:9" x14ac:dyDescent="0.25">
      <c r="A1817" s="1" t="s">
        <v>14435</v>
      </c>
      <c r="B1817" s="1" t="s">
        <v>5109</v>
      </c>
      <c r="C1817" s="1" t="str">
        <f>IFERROR(VLOOKUP(B1817,'SB1'!$A$2:$B$999999,2,FALSE),"")</f>
        <v>ESPATULA PARA ENDUIR SANTA JUANA CABO CORTO MADERA 100</v>
      </c>
      <c r="D1817" s="1" t="s">
        <v>14448</v>
      </c>
      <c r="E1817" s="3">
        <f>IFERROR(VLOOKUP(B1817,'DA1'!$B$2:$D$999999,3,FALSE),"")</f>
      </c>
      <c r="F1817" s="1" t="str">
        <f>IFERROR(VLOOKUP(B1817,'SB1'!$A$2:$C$999999,3,FALSE),"")</f>
        <v>503</v>
      </c>
      <c r="G1817" s="3" t="e">
        <f t="shared" si="61"/>
        <v>#VALUE!</v>
      </c>
      <c r="H1817" s="3" t="e">
        <f t="shared" si="60"/>
        <v>#VALUE!</v>
      </c>
      <c r="I1817" s="1">
        <v>1</v>
      </c>
    </row>
    <row r="1818" spans="1:9" x14ac:dyDescent="0.25">
      <c r="A1818" s="1" t="s">
        <v>14435</v>
      </c>
      <c r="B1818" s="1" t="s">
        <v>5111</v>
      </c>
      <c r="C1818" s="1" t="str">
        <f>IFERROR(VLOOKUP(B1818,'SB1'!$A$2:$B$999999,2,FALSE),"")</f>
        <v>ESPATULA PARA ENDUIR SANTA JUANA CABO CORTO MADERA 120</v>
      </c>
      <c r="D1818" s="1" t="s">
        <v>14448</v>
      </c>
      <c r="E1818" s="3">
        <f>IFERROR(VLOOKUP(B1818,'DA1'!$B$2:$D$999999,3,FALSE),"")</f>
      </c>
      <c r="F1818" s="1" t="str">
        <f>IFERROR(VLOOKUP(B1818,'SB1'!$A$2:$C$999999,3,FALSE),"")</f>
        <v>503</v>
      </c>
      <c r="G1818" s="3" t="e">
        <f t="shared" si="61"/>
        <v>#VALUE!</v>
      </c>
      <c r="H1818" s="3" t="e">
        <f t="shared" si="60"/>
        <v>#VALUE!</v>
      </c>
      <c r="I1818" s="1">
        <v>1</v>
      </c>
    </row>
    <row r="1819" spans="1:9" x14ac:dyDescent="0.25">
      <c r="A1819" s="1" t="s">
        <v>14435</v>
      </c>
      <c r="B1819" s="1" t="s">
        <v>5113</v>
      </c>
      <c r="C1819" s="1" t="str">
        <f>IFERROR(VLOOKUP(B1819,'SB1'!$A$2:$B$999999,2,FALSE),"")</f>
        <v>ESPATULA PARA ENDUIR SANTA JUANA CABO CORTO MADERA 140</v>
      </c>
      <c r="D1819" s="1" t="s">
        <v>14448</v>
      </c>
      <c r="E1819" s="3">
        <f>IFERROR(VLOOKUP(B1819,'DA1'!$B$2:$D$999999,3,FALSE),"")</f>
      </c>
      <c r="F1819" s="1" t="str">
        <f>IFERROR(VLOOKUP(B1819,'SB1'!$A$2:$C$999999,3,FALSE),"")</f>
        <v>503</v>
      </c>
      <c r="G1819" s="3" t="e">
        <f t="shared" si="61"/>
        <v>#VALUE!</v>
      </c>
      <c r="H1819" s="3" t="e">
        <f t="shared" si="60"/>
        <v>#VALUE!</v>
      </c>
      <c r="I1819" s="1">
        <v>1</v>
      </c>
    </row>
    <row r="1820" spans="1:9" x14ac:dyDescent="0.25">
      <c r="A1820" s="1" t="s">
        <v>14435</v>
      </c>
      <c r="B1820" s="1" t="s">
        <v>5115</v>
      </c>
      <c r="C1820" s="1" t="str">
        <f>IFERROR(VLOOKUP(B1820,'SB1'!$A$2:$B$999999,2,FALSE),"")</f>
        <v>ESPATULA PARA ENDUIR SANTA JUANA CABO CORTO MADERA 160</v>
      </c>
      <c r="D1820" s="1" t="s">
        <v>14448</v>
      </c>
      <c r="E1820" s="3">
        <f>IFERROR(VLOOKUP(B1820,'DA1'!$B$2:$D$999999,3,FALSE),"")</f>
      </c>
      <c r="F1820" s="1" t="str">
        <f>IFERROR(VLOOKUP(B1820,'SB1'!$A$2:$C$999999,3,FALSE),"")</f>
        <v>503</v>
      </c>
      <c r="G1820" s="3" t="e">
        <f t="shared" si="61"/>
        <v>#VALUE!</v>
      </c>
      <c r="H1820" s="3" t="e">
        <f t="shared" si="60"/>
        <v>#VALUE!</v>
      </c>
      <c r="I1820" s="1">
        <v>1</v>
      </c>
    </row>
    <row r="1821" spans="1:9" x14ac:dyDescent="0.25">
      <c r="A1821" s="1" t="s">
        <v>14435</v>
      </c>
      <c r="B1821" s="1" t="s">
        <v>5117</v>
      </c>
      <c r="C1821" s="1" t="str">
        <f>IFERROR(VLOOKUP(B1821,'SB1'!$A$2:$B$999999,2,FALSE),"")</f>
        <v>ESPATULA PARA ENDUIR SANTA JUANA CABO CORTO MADERA 180</v>
      </c>
      <c r="D1821" s="1" t="s">
        <v>14448</v>
      </c>
      <c r="E1821" s="3">
        <f>IFERROR(VLOOKUP(B1821,'DA1'!$B$2:$D$999999,3,FALSE),"")</f>
      </c>
      <c r="F1821" s="1" t="str">
        <f>IFERROR(VLOOKUP(B1821,'SB1'!$A$2:$C$999999,3,FALSE),"")</f>
        <v>503</v>
      </c>
      <c r="G1821" s="3" t="e">
        <f t="shared" si="61"/>
        <v>#VALUE!</v>
      </c>
      <c r="H1821" s="3" t="e">
        <f t="shared" si="60"/>
        <v>#VALUE!</v>
      </c>
      <c r="I1821" s="1">
        <v>1</v>
      </c>
    </row>
    <row r="1822" spans="1:9" x14ac:dyDescent="0.25">
      <c r="A1822" s="1" t="s">
        <v>14435</v>
      </c>
      <c r="B1822" s="1" t="s">
        <v>5119</v>
      </c>
      <c r="C1822" s="1" t="str">
        <f>IFERROR(VLOOKUP(B1822,'SB1'!$A$2:$B$999999,2,FALSE),"")</f>
        <v>ESPATULA PARA ENDUIR SANTA JUANA CABO CORTO MADERA 200</v>
      </c>
      <c r="D1822" s="1" t="s">
        <v>14448</v>
      </c>
      <c r="E1822" s="3">
        <f>IFERROR(VLOOKUP(B1822,'DA1'!$B$2:$D$999999,3,FALSE),"")</f>
      </c>
      <c r="F1822" s="1" t="str">
        <f>IFERROR(VLOOKUP(B1822,'SB1'!$A$2:$C$999999,3,FALSE),"")</f>
        <v>503</v>
      </c>
      <c r="G1822" s="3" t="e">
        <f t="shared" si="61"/>
        <v>#VALUE!</v>
      </c>
      <c r="H1822" s="3" t="e">
        <f t="shared" si="60"/>
        <v>#VALUE!</v>
      </c>
      <c r="I1822" s="1">
        <v>1</v>
      </c>
    </row>
    <row r="1823" spans="1:9" x14ac:dyDescent="0.25">
      <c r="A1823" s="1" t="s">
        <v>14435</v>
      </c>
      <c r="B1823" s="1" t="s">
        <v>5121</v>
      </c>
      <c r="C1823" s="1" t="str">
        <f>IFERROR(VLOOKUP(B1823,'SB1'!$A$2:$B$999999,2,FALSE),"")</f>
        <v>ESPATULA PARA ENDUIR SANTA JUANA CABO CORTO MADERA 220</v>
      </c>
      <c r="D1823" s="1" t="s">
        <v>14448</v>
      </c>
      <c r="E1823" s="3">
        <f>IFERROR(VLOOKUP(B1823,'DA1'!$B$2:$D$999999,3,FALSE),"")</f>
      </c>
      <c r="F1823" s="1" t="str">
        <f>IFERROR(VLOOKUP(B1823,'SB1'!$A$2:$C$999999,3,FALSE),"")</f>
        <v>503</v>
      </c>
      <c r="G1823" s="3" t="e">
        <f t="shared" si="61"/>
        <v>#VALUE!</v>
      </c>
      <c r="H1823" s="3" t="e">
        <f t="shared" si="60"/>
        <v>#VALUE!</v>
      </c>
      <c r="I1823" s="1">
        <v>1</v>
      </c>
    </row>
    <row r="1824" spans="1:9" x14ac:dyDescent="0.25">
      <c r="A1824" s="1" t="s">
        <v>14435</v>
      </c>
      <c r="B1824" s="1" t="s">
        <v>5123</v>
      </c>
      <c r="C1824" s="1" t="str">
        <f>IFERROR(VLOOKUP(B1824,'SB1'!$A$2:$B$999999,2,FALSE),"")</f>
        <v>ESPATULA PARA ENDUIR SANTA JUANA CABO CORTO MADERA 240</v>
      </c>
      <c r="D1824" s="1" t="s">
        <v>14448</v>
      </c>
      <c r="E1824" s="3">
        <f>IFERROR(VLOOKUP(B1824,'DA1'!$B$2:$D$999999,3,FALSE),"")</f>
      </c>
      <c r="F1824" s="1" t="str">
        <f>IFERROR(VLOOKUP(B1824,'SB1'!$A$2:$C$999999,3,FALSE),"")</f>
        <v>503</v>
      </c>
      <c r="G1824" s="3" t="e">
        <f t="shared" si="61"/>
        <v>#VALUE!</v>
      </c>
      <c r="H1824" s="3" t="e">
        <f t="shared" si="60"/>
        <v>#VALUE!</v>
      </c>
      <c r="I1824" s="1">
        <v>1</v>
      </c>
    </row>
    <row r="1825" spans="1:9" x14ac:dyDescent="0.25">
      <c r="A1825" s="1" t="s">
        <v>14435</v>
      </c>
      <c r="B1825" s="1" t="s">
        <v>5125</v>
      </c>
      <c r="C1825" s="1" t="str">
        <f>IFERROR(VLOOKUP(B1825,'SB1'!$A$2:$B$999999,2,FALSE),"")</f>
        <v>ESPATULA PARA ENDUIR SANTA JUANA CABO LARGO MADERA 100</v>
      </c>
      <c r="D1825" s="1" t="s">
        <v>14448</v>
      </c>
      <c r="E1825" s="3">
        <f>IFERROR(VLOOKUP(B1825,'DA1'!$B$2:$D$999999,3,FALSE),"")</f>
      </c>
      <c r="F1825" s="1" t="str">
        <f>IFERROR(VLOOKUP(B1825,'SB1'!$A$2:$C$999999,3,FALSE),"")</f>
        <v>503</v>
      </c>
      <c r="G1825" s="3" t="e">
        <f t="shared" si="61"/>
        <v>#VALUE!</v>
      </c>
      <c r="H1825" s="3" t="e">
        <f t="shared" si="60"/>
        <v>#VALUE!</v>
      </c>
      <c r="I1825" s="1">
        <v>1</v>
      </c>
    </row>
    <row r="1826" spans="1:9" x14ac:dyDescent="0.25">
      <c r="A1826" s="1" t="s">
        <v>14435</v>
      </c>
      <c r="B1826" s="1" t="s">
        <v>5127</v>
      </c>
      <c r="C1826" s="1" t="str">
        <f>IFERROR(VLOOKUP(B1826,'SB1'!$A$2:$B$999999,2,FALSE),"")</f>
        <v>ESPATULA PARA ENDUIR SANTA JUANA CABO LARGO MADERA 120</v>
      </c>
      <c r="D1826" s="1" t="s">
        <v>14448</v>
      </c>
      <c r="E1826" s="3">
        <f>IFERROR(VLOOKUP(B1826,'DA1'!$B$2:$D$999999,3,FALSE),"")</f>
      </c>
      <c r="F1826" s="1" t="str">
        <f>IFERROR(VLOOKUP(B1826,'SB1'!$A$2:$C$999999,3,FALSE),"")</f>
        <v>503</v>
      </c>
      <c r="G1826" s="3" t="e">
        <f t="shared" si="61"/>
        <v>#VALUE!</v>
      </c>
      <c r="H1826" s="3" t="e">
        <f t="shared" si="60"/>
        <v>#VALUE!</v>
      </c>
      <c r="I1826" s="1">
        <v>1</v>
      </c>
    </row>
    <row r="1827" spans="1:9" x14ac:dyDescent="0.25">
      <c r="A1827" s="1" t="s">
        <v>14435</v>
      </c>
      <c r="B1827" s="1" t="s">
        <v>5129</v>
      </c>
      <c r="C1827" s="1" t="str">
        <f>IFERROR(VLOOKUP(B1827,'SB1'!$A$2:$B$999999,2,FALSE),"")</f>
        <v>ESPATULA PARA ENDUIR SANTA JUANA CABO LARGO MADERA 140</v>
      </c>
      <c r="D1827" s="1" t="s">
        <v>14448</v>
      </c>
      <c r="E1827" s="3">
        <f>IFERROR(VLOOKUP(B1827,'DA1'!$B$2:$D$999999,3,FALSE),"")</f>
      </c>
      <c r="F1827" s="1" t="str">
        <f>IFERROR(VLOOKUP(B1827,'SB1'!$A$2:$C$999999,3,FALSE),"")</f>
        <v>503</v>
      </c>
      <c r="G1827" s="3" t="e">
        <f t="shared" si="61"/>
        <v>#VALUE!</v>
      </c>
      <c r="H1827" s="3" t="e">
        <f t="shared" ref="H1827:H1890" si="62">G1827*1.21</f>
        <v>#VALUE!</v>
      </c>
      <c r="I1827" s="1">
        <v>1</v>
      </c>
    </row>
    <row r="1828" spans="1:9" x14ac:dyDescent="0.25">
      <c r="A1828" s="1" t="s">
        <v>14435</v>
      </c>
      <c r="B1828" s="1" t="s">
        <v>5131</v>
      </c>
      <c r="C1828" s="1" t="str">
        <f>IFERROR(VLOOKUP(B1828,'SB1'!$A$2:$B$999999,2,FALSE),"")</f>
        <v>ESPATULA PARA ENDUIR SANTA JUANA CABO LARGO MADERA 160</v>
      </c>
      <c r="D1828" s="1" t="s">
        <v>14448</v>
      </c>
      <c r="E1828" s="3">
        <f>IFERROR(VLOOKUP(B1828,'DA1'!$B$2:$D$999999,3,FALSE),"")</f>
      </c>
      <c r="F1828" s="1" t="str">
        <f>IFERROR(VLOOKUP(B1828,'SB1'!$A$2:$C$999999,3,FALSE),"")</f>
        <v>503</v>
      </c>
      <c r="G1828" s="3" t="e">
        <f t="shared" si="61"/>
        <v>#VALUE!</v>
      </c>
      <c r="H1828" s="3" t="e">
        <f t="shared" si="62"/>
        <v>#VALUE!</v>
      </c>
      <c r="I1828" s="1">
        <v>1</v>
      </c>
    </row>
    <row r="1829" spans="1:9" x14ac:dyDescent="0.25">
      <c r="A1829" s="1" t="s">
        <v>14435</v>
      </c>
      <c r="B1829" s="1" t="s">
        <v>5133</v>
      </c>
      <c r="C1829" s="1" t="str">
        <f>IFERROR(VLOOKUP(B1829,'SB1'!$A$2:$B$999999,2,FALSE),"")</f>
        <v>ESPATULA PARA ENDUIR SANTA JUANA CABO LARGO MADERA 180</v>
      </c>
      <c r="D1829" s="1" t="s">
        <v>14448</v>
      </c>
      <c r="E1829" s="3">
        <f>IFERROR(VLOOKUP(B1829,'DA1'!$B$2:$D$999999,3,FALSE),"")</f>
      </c>
      <c r="F1829" s="1" t="str">
        <f>IFERROR(VLOOKUP(B1829,'SB1'!$A$2:$C$999999,3,FALSE),"")</f>
        <v>503</v>
      </c>
      <c r="G1829" s="3" t="e">
        <f t="shared" si="61"/>
        <v>#VALUE!</v>
      </c>
      <c r="H1829" s="3" t="e">
        <f t="shared" si="62"/>
        <v>#VALUE!</v>
      </c>
      <c r="I1829" s="1">
        <v>1</v>
      </c>
    </row>
    <row r="1830" spans="1:9" x14ac:dyDescent="0.25">
      <c r="A1830" s="1" t="s">
        <v>14435</v>
      </c>
      <c r="B1830" s="1" t="s">
        <v>5135</v>
      </c>
      <c r="C1830" s="1" t="str">
        <f>IFERROR(VLOOKUP(B1830,'SB1'!$A$2:$B$999999,2,FALSE),"")</f>
        <v>ESPATULA PARA ENDUIR SANTA JUANA CABO LARGO MADERA 200</v>
      </c>
      <c r="D1830" s="1" t="s">
        <v>14448</v>
      </c>
      <c r="E1830" s="3">
        <f>IFERROR(VLOOKUP(B1830,'DA1'!$B$2:$D$999999,3,FALSE),"")</f>
      </c>
      <c r="F1830" s="1" t="str">
        <f>IFERROR(VLOOKUP(B1830,'SB1'!$A$2:$C$999999,3,FALSE),"")</f>
        <v>503</v>
      </c>
      <c r="G1830" s="3" t="e">
        <f t="shared" si="61"/>
        <v>#VALUE!</v>
      </c>
      <c r="H1830" s="3" t="e">
        <f t="shared" si="62"/>
        <v>#VALUE!</v>
      </c>
      <c r="I1830" s="1">
        <v>1</v>
      </c>
    </row>
    <row r="1831" spans="1:9" x14ac:dyDescent="0.25">
      <c r="A1831" s="1" t="s">
        <v>14435</v>
      </c>
      <c r="B1831" s="1" t="s">
        <v>5137</v>
      </c>
      <c r="C1831" s="1" t="str">
        <f>IFERROR(VLOOKUP(B1831,'SB1'!$A$2:$B$999999,2,FALSE),"")</f>
        <v>ESPATULA PARA ENDUIR SANTA JUANA CABO LARGO MADERA 220</v>
      </c>
      <c r="D1831" s="1" t="s">
        <v>14448</v>
      </c>
      <c r="E1831" s="3">
        <f>IFERROR(VLOOKUP(B1831,'DA1'!$B$2:$D$999999,3,FALSE),"")</f>
      </c>
      <c r="F1831" s="1" t="str">
        <f>IFERROR(VLOOKUP(B1831,'SB1'!$A$2:$C$999999,3,FALSE),"")</f>
        <v>503</v>
      </c>
      <c r="G1831" s="3" t="e">
        <f t="shared" si="61"/>
        <v>#VALUE!</v>
      </c>
      <c r="H1831" s="3" t="e">
        <f t="shared" si="62"/>
        <v>#VALUE!</v>
      </c>
      <c r="I1831" s="1">
        <v>1</v>
      </c>
    </row>
    <row r="1832" spans="1:9" x14ac:dyDescent="0.25">
      <c r="A1832" s="1" t="s">
        <v>14435</v>
      </c>
      <c r="B1832" s="1" t="s">
        <v>5139</v>
      </c>
      <c r="C1832" s="1" t="str">
        <f>IFERROR(VLOOKUP(B1832,'SB1'!$A$2:$B$999999,2,FALSE),"")</f>
        <v>ESPATULA PARA ENDUIR SANTA JUANA CABO LARGO MADERA 240</v>
      </c>
      <c r="D1832" s="1" t="s">
        <v>14448</v>
      </c>
      <c r="E1832" s="3">
        <f>IFERROR(VLOOKUP(B1832,'DA1'!$B$2:$D$999999,3,FALSE),"")</f>
      </c>
      <c r="F1832" s="1" t="str">
        <f>IFERROR(VLOOKUP(B1832,'SB1'!$A$2:$C$999999,3,FALSE),"")</f>
        <v>503</v>
      </c>
      <c r="G1832" s="3" t="e">
        <f t="shared" si="61"/>
        <v>#VALUE!</v>
      </c>
      <c r="H1832" s="3" t="e">
        <f t="shared" si="62"/>
        <v>#VALUE!</v>
      </c>
      <c r="I1832" s="1">
        <v>1</v>
      </c>
    </row>
    <row r="1833" spans="1:9" x14ac:dyDescent="0.25">
      <c r="A1833" s="1" t="s">
        <v>14435</v>
      </c>
      <c r="B1833" s="1" t="s">
        <v>5141</v>
      </c>
      <c r="C1833" s="1" t="str">
        <f>IFERROR(VLOOKUP(B1833,'SB1'!$A$2:$B$999999,2,FALSE),"")</f>
        <v>LLANA DURA SANTA JUANA CABO PLASTICO 12X25</v>
      </c>
      <c r="D1833" s="1" t="s">
        <v>14448</v>
      </c>
      <c r="E1833" s="3">
        <f>IFERROR(VLOOKUP(B1833,'DA1'!$B$2:$D$999999,3,FALSE),"")</f>
      </c>
      <c r="F1833" s="1" t="str">
        <f>IFERROR(VLOOKUP(B1833,'SB1'!$A$2:$C$999999,3,FALSE),"")</f>
        <v>503</v>
      </c>
      <c r="G1833" s="3" t="e">
        <f t="shared" si="61"/>
        <v>#VALUE!</v>
      </c>
      <c r="H1833" s="3" t="e">
        <f t="shared" si="62"/>
        <v>#VALUE!</v>
      </c>
      <c r="I1833" s="1">
        <v>1</v>
      </c>
    </row>
    <row r="1834" spans="1:9" x14ac:dyDescent="0.25">
      <c r="A1834" s="1" t="s">
        <v>14435</v>
      </c>
      <c r="B1834" s="1" t="s">
        <v>5143</v>
      </c>
      <c r="C1834" s="1" t="str">
        <f>IFERROR(VLOOKUP(B1834,'SB1'!$A$2:$B$999999,2,FALSE),"")</f>
        <v>LLANA DURA SANTA JUANA CABO PLASTICO 12X30</v>
      </c>
      <c r="D1834" s="1" t="s">
        <v>14448</v>
      </c>
      <c r="E1834" s="3">
        <f>IFERROR(VLOOKUP(B1834,'DA1'!$B$2:$D$999999,3,FALSE),"")</f>
      </c>
      <c r="F1834" s="1" t="str">
        <f>IFERROR(VLOOKUP(B1834,'SB1'!$A$2:$C$999999,3,FALSE),"")</f>
        <v>503</v>
      </c>
      <c r="G1834" s="3" t="e">
        <f t="shared" si="61"/>
        <v>#VALUE!</v>
      </c>
      <c r="H1834" s="3" t="e">
        <f t="shared" si="62"/>
        <v>#VALUE!</v>
      </c>
      <c r="I1834" s="1">
        <v>1</v>
      </c>
    </row>
    <row r="1835" spans="1:9" x14ac:dyDescent="0.25">
      <c r="A1835" s="1" t="s">
        <v>14435</v>
      </c>
      <c r="B1835" s="1" t="s">
        <v>5145</v>
      </c>
      <c r="C1835" s="1" t="str">
        <f>IFERROR(VLOOKUP(B1835,'SB1'!$A$2:$B$999999,2,FALSE),"")</f>
        <v>CINTA PARA DEMARCACION DOBLE A AMARILLA/NEGRA 48MM X 33M</v>
      </c>
      <c r="D1835" s="1" t="s">
        <v>14451</v>
      </c>
      <c r="E1835" s="3">
        <f>IFERROR(VLOOKUP(B1835,'DA1'!$B$2:$D$999999,3,FALSE),"")</f>
      </c>
      <c r="F1835" s="1" t="str">
        <f>IFERROR(VLOOKUP(B1835,'SB1'!$A$2:$C$999999,3,FALSE),"")</f>
        <v>503</v>
      </c>
      <c r="G1835" s="3" t="e">
        <f t="shared" si="61"/>
        <v>#VALUE!</v>
      </c>
      <c r="H1835" s="3" t="e">
        <f t="shared" si="62"/>
        <v>#VALUE!</v>
      </c>
      <c r="I1835" s="1">
        <v>1</v>
      </c>
    </row>
    <row r="1836" spans="1:9" x14ac:dyDescent="0.25">
      <c r="A1836" s="1" t="s">
        <v>14435</v>
      </c>
      <c r="B1836" s="1" t="s">
        <v>5147</v>
      </c>
      <c r="C1836" s="1" t="str">
        <f>IFERROR(VLOOKUP(B1836,'SB1'!$A$2:$B$999999,2,FALSE),"")</f>
        <v>CINTA PARA DEMARCACION DOBLE A ROJO/BLANCO 48MM X 33M</v>
      </c>
      <c r="D1836" s="1" t="s">
        <v>14451</v>
      </c>
      <c r="E1836" s="3">
        <f>IFERROR(VLOOKUP(B1836,'DA1'!$B$2:$D$999999,3,FALSE),"")</f>
      </c>
      <c r="F1836" s="1" t="str">
        <f>IFERROR(VLOOKUP(B1836,'SB1'!$A$2:$C$999999,3,FALSE),"")</f>
        <v>503</v>
      </c>
      <c r="G1836" s="3" t="e">
        <f t="shared" si="61"/>
        <v>#VALUE!</v>
      </c>
      <c r="H1836" s="3" t="e">
        <f t="shared" si="62"/>
        <v>#VALUE!</v>
      </c>
      <c r="I1836" s="1">
        <v>1</v>
      </c>
    </row>
    <row r="1837" spans="1:9" x14ac:dyDescent="0.25">
      <c r="A1837" s="1" t="s">
        <v>14435</v>
      </c>
      <c r="B1837" s="1" t="s">
        <v>5149</v>
      </c>
      <c r="C1837" s="1" t="str">
        <f>IFERROR(VLOOKUP(B1837,'SB1'!$A$2:$B$999999,2,FALSE),"")</f>
        <v>CINTA PARA DEMARCACION DOBLE A AMARILLO 48MM X 33M</v>
      </c>
      <c r="D1837" s="1" t="s">
        <v>14451</v>
      </c>
      <c r="E1837" s="3">
        <f>IFERROR(VLOOKUP(B1837,'DA1'!$B$2:$D$999999,3,FALSE),"")</f>
      </c>
      <c r="F1837" s="1" t="str">
        <f>IFERROR(VLOOKUP(B1837,'SB1'!$A$2:$C$999999,3,FALSE),"")</f>
        <v>503</v>
      </c>
      <c r="G1837" s="3" t="e">
        <f t="shared" si="61"/>
        <v>#VALUE!</v>
      </c>
      <c r="H1837" s="3" t="e">
        <f t="shared" si="62"/>
        <v>#VALUE!</v>
      </c>
      <c r="I1837" s="1">
        <v>1</v>
      </c>
    </row>
    <row r="1838" spans="1:9" x14ac:dyDescent="0.25">
      <c r="A1838" s="1" t="s">
        <v>14435</v>
      </c>
      <c r="B1838" s="1" t="s">
        <v>5151</v>
      </c>
      <c r="C1838" s="1" t="str">
        <f>IFERROR(VLOOKUP(B1838,'SB1'!$A$2:$B$999999,2,FALSE),"")</f>
        <v>CINTA PARA DEMARCACION DOBLE A AZUL 48MM X 33M</v>
      </c>
      <c r="D1838" s="1" t="s">
        <v>14451</v>
      </c>
      <c r="E1838" s="3">
        <f>IFERROR(VLOOKUP(B1838,'DA1'!$B$2:$D$999999,3,FALSE),"")</f>
      </c>
      <c r="F1838" s="1" t="str">
        <f>IFERROR(VLOOKUP(B1838,'SB1'!$A$2:$C$999999,3,FALSE),"")</f>
        <v>503</v>
      </c>
      <c r="G1838" s="3" t="e">
        <f t="shared" si="61"/>
        <v>#VALUE!</v>
      </c>
      <c r="H1838" s="3" t="e">
        <f t="shared" si="62"/>
        <v>#VALUE!</v>
      </c>
      <c r="I1838" s="1">
        <v>1</v>
      </c>
    </row>
    <row r="1839" spans="1:9" x14ac:dyDescent="0.25">
      <c r="A1839" s="1" t="s">
        <v>14435</v>
      </c>
      <c r="B1839" s="1" t="s">
        <v>5153</v>
      </c>
      <c r="C1839" s="1" t="str">
        <f>IFERROR(VLOOKUP(B1839,'SB1'!$A$2:$B$999999,2,FALSE),"")</f>
        <v>CINTA PARA DEMARCACION DOBLE A ROJO 48MM X 33M</v>
      </c>
      <c r="D1839" s="1" t="s">
        <v>14451</v>
      </c>
      <c r="E1839" s="3">
        <f>IFERROR(VLOOKUP(B1839,'DA1'!$B$2:$D$999999,3,FALSE),"")</f>
      </c>
      <c r="F1839" s="1" t="str">
        <f>IFERROR(VLOOKUP(B1839,'SB1'!$A$2:$C$999999,3,FALSE),"")</f>
        <v>503</v>
      </c>
      <c r="G1839" s="3" t="e">
        <f t="shared" si="61"/>
        <v>#VALUE!</v>
      </c>
      <c r="H1839" s="3" t="e">
        <f t="shared" si="62"/>
        <v>#VALUE!</v>
      </c>
      <c r="I1839" s="1">
        <v>1</v>
      </c>
    </row>
    <row r="1840" spans="1:9" x14ac:dyDescent="0.25">
      <c r="A1840" s="1" t="s">
        <v>14435</v>
      </c>
      <c r="B1840" s="1" t="s">
        <v>5155</v>
      </c>
      <c r="C1840" s="1" t="str">
        <f>IFERROR(VLOOKUP(B1840,'SB1'!$A$2:$B$999999,2,FALSE),"")</f>
        <v>CINTA PARA DEMARCACION DOBLE A VERDE 48MM X 33M</v>
      </c>
      <c r="D1840" s="1" t="s">
        <v>14451</v>
      </c>
      <c r="E1840" s="3">
        <f>IFERROR(VLOOKUP(B1840,'DA1'!$B$2:$D$999999,3,FALSE),"")</f>
      </c>
      <c r="F1840" s="1" t="str">
        <f>IFERROR(VLOOKUP(B1840,'SB1'!$A$2:$C$999999,3,FALSE),"")</f>
        <v>503</v>
      </c>
      <c r="G1840" s="3" t="e">
        <f t="shared" si="61"/>
        <v>#VALUE!</v>
      </c>
      <c r="H1840" s="3" t="e">
        <f t="shared" si="62"/>
        <v>#VALUE!</v>
      </c>
      <c r="I1840" s="1">
        <v>1</v>
      </c>
    </row>
    <row r="1841" spans="1:9" x14ac:dyDescent="0.25">
      <c r="A1841" s="1" t="s">
        <v>14435</v>
      </c>
      <c r="B1841" s="1" t="s">
        <v>5157</v>
      </c>
      <c r="C1841" s="1" t="str">
        <f>IFERROR(VLOOKUP(B1841,'SB1'!$A$2:$B$999999,2,FALSE),"")</f>
        <v>CINTA PARA DEMARCACION DOBLE A BLANCO 48MM X 33M</v>
      </c>
      <c r="D1841" s="1" t="s">
        <v>14451</v>
      </c>
      <c r="E1841" s="3">
        <f>IFERROR(VLOOKUP(B1841,'DA1'!$B$2:$D$999999,3,FALSE),"")</f>
      </c>
      <c r="F1841" s="1" t="str">
        <f>IFERROR(VLOOKUP(B1841,'SB1'!$A$2:$C$999999,3,FALSE),"")</f>
        <v>503</v>
      </c>
      <c r="G1841" s="3" t="e">
        <f t="shared" si="61"/>
        <v>#VALUE!</v>
      </c>
      <c r="H1841" s="3" t="e">
        <f t="shared" si="62"/>
        <v>#VALUE!</v>
      </c>
      <c r="I1841" s="1">
        <v>1</v>
      </c>
    </row>
    <row r="1842" spans="1:9" x14ac:dyDescent="0.25">
      <c r="A1842" s="1" t="s">
        <v>14435</v>
      </c>
      <c r="B1842" s="1" t="s">
        <v>5161</v>
      </c>
      <c r="C1842" s="1" t="str">
        <f>IFERROR(VLOOKUP(B1842,'SB1'!$A$2:$B$999999,2,FALSE),"")</f>
        <v>LATEX EXTERIOR TERSUAVE LAVABLE AMARILLO X  4</v>
      </c>
      <c r="D1842" s="1" t="s">
        <v>14437</v>
      </c>
      <c r="E1842" s="3">
        <f>IFERROR(VLOOKUP(B1842,'DA1'!$B$2:$D$999999,3,FALSE),"")</f>
      </c>
      <c r="F1842" s="1" t="str">
        <f>IFERROR(VLOOKUP(B1842,'SB1'!$A$2:$C$999999,3,FALSE),"")</f>
        <v>503</v>
      </c>
      <c r="G1842" s="3" t="e">
        <f t="shared" si="61"/>
        <v>#VALUE!</v>
      </c>
      <c r="H1842" s="3" t="e">
        <f t="shared" si="62"/>
        <v>#VALUE!</v>
      </c>
      <c r="I1842" s="1">
        <v>1</v>
      </c>
    </row>
    <row r="1843" spans="1:9" x14ac:dyDescent="0.25">
      <c r="A1843" s="1" t="s">
        <v>14435</v>
      </c>
      <c r="B1843" s="1" t="s">
        <v>5163</v>
      </c>
      <c r="C1843" s="1" t="str">
        <f>IFERROR(VLOOKUP(B1843,'SB1'!$A$2:$B$999999,2,FALSE),"")</f>
        <v>LATEX EXTERIOR TERSUAVE LAVABLE AZUL CIELO X  4</v>
      </c>
      <c r="D1843" s="1" t="s">
        <v>14437</v>
      </c>
      <c r="E1843" s="3">
        <f>IFERROR(VLOOKUP(B1843,'DA1'!$B$2:$D$999999,3,FALSE),"")</f>
      </c>
      <c r="F1843" s="1" t="str">
        <f>IFERROR(VLOOKUP(B1843,'SB1'!$A$2:$C$999999,3,FALSE),"")</f>
        <v>503</v>
      </c>
      <c r="G1843" s="3" t="e">
        <f t="shared" si="61"/>
        <v>#VALUE!</v>
      </c>
      <c r="H1843" s="3" t="e">
        <f t="shared" si="62"/>
        <v>#VALUE!</v>
      </c>
      <c r="I1843" s="1">
        <v>1</v>
      </c>
    </row>
    <row r="1844" spans="1:9" x14ac:dyDescent="0.25">
      <c r="A1844" s="1" t="s">
        <v>14435</v>
      </c>
      <c r="B1844" s="1" t="s">
        <v>5165</v>
      </c>
      <c r="C1844" s="1" t="str">
        <f>IFERROR(VLOOKUP(B1844,'SB1'!$A$2:$B$999999,2,FALSE),"")</f>
        <v>LATEX EXTERIOR TERSUAVE LAVABLE AZUL TRAFUL X  4</v>
      </c>
      <c r="D1844" s="1" t="s">
        <v>14437</v>
      </c>
      <c r="E1844" s="3">
        <f>IFERROR(VLOOKUP(B1844,'DA1'!$B$2:$D$999999,3,FALSE),"")</f>
      </c>
      <c r="F1844" s="1" t="str">
        <f>IFERROR(VLOOKUP(B1844,'SB1'!$A$2:$C$999999,3,FALSE),"")</f>
        <v>503</v>
      </c>
      <c r="G1844" s="3" t="e">
        <f t="shared" si="61"/>
        <v>#VALUE!</v>
      </c>
      <c r="H1844" s="3" t="e">
        <f t="shared" si="62"/>
        <v>#VALUE!</v>
      </c>
      <c r="I1844" s="1">
        <v>1</v>
      </c>
    </row>
    <row r="1845" spans="1:9" x14ac:dyDescent="0.25">
      <c r="A1845" s="1" t="s">
        <v>14435</v>
      </c>
      <c r="B1845" s="1" t="s">
        <v>5167</v>
      </c>
      <c r="C1845" s="1" t="str">
        <f>IFERROR(VLOOKUP(B1845,'SB1'!$A$2:$B$999999,2,FALSE),"")</f>
        <v>LATEX EXTERIOR TERSUAVE LAVABLE BERMELLON X  4</v>
      </c>
      <c r="D1845" s="1" t="s">
        <v>14437</v>
      </c>
      <c r="E1845" s="3">
        <f>IFERROR(VLOOKUP(B1845,'DA1'!$B$2:$D$999999,3,FALSE),"")</f>
      </c>
      <c r="F1845" s="1" t="str">
        <f>IFERROR(VLOOKUP(B1845,'SB1'!$A$2:$C$999999,3,FALSE),"")</f>
        <v>503</v>
      </c>
      <c r="G1845" s="3" t="e">
        <f t="shared" si="61"/>
        <v>#VALUE!</v>
      </c>
      <c r="H1845" s="3" t="e">
        <f t="shared" si="62"/>
        <v>#VALUE!</v>
      </c>
      <c r="I1845" s="1">
        <v>1</v>
      </c>
    </row>
    <row r="1846" spans="1:9" x14ac:dyDescent="0.25">
      <c r="A1846" s="1" t="s">
        <v>14435</v>
      </c>
      <c r="B1846" s="1" t="s">
        <v>5169</v>
      </c>
      <c r="C1846" s="1" t="str">
        <f>IFERROR(VLOOKUP(B1846,'SB1'!$A$2:$B$999999,2,FALSE),"")</f>
        <v>LATEX EXTERIOR TERSUAVE LAVABLE CHOCOLATE X  4</v>
      </c>
      <c r="D1846" s="1" t="s">
        <v>14437</v>
      </c>
      <c r="E1846" s="3">
        <f>IFERROR(VLOOKUP(B1846,'DA1'!$B$2:$D$999999,3,FALSE),"")</f>
      </c>
      <c r="F1846" s="1" t="str">
        <f>IFERROR(VLOOKUP(B1846,'SB1'!$A$2:$C$999999,3,FALSE),"")</f>
        <v>503</v>
      </c>
      <c r="G1846" s="3" t="e">
        <f t="shared" si="61"/>
        <v>#VALUE!</v>
      </c>
      <c r="H1846" s="3" t="e">
        <f t="shared" si="62"/>
        <v>#VALUE!</v>
      </c>
      <c r="I1846" s="1">
        <v>1</v>
      </c>
    </row>
    <row r="1847" spans="1:9" x14ac:dyDescent="0.25">
      <c r="A1847" s="1" t="s">
        <v>14435</v>
      </c>
      <c r="B1847" s="1" t="s">
        <v>5171</v>
      </c>
      <c r="C1847" s="1" t="str">
        <f>IFERROR(VLOOKUP(B1847,'SB1'!$A$2:$B$999999,2,FALSE),"")</f>
        <v>LATEX EXTERIOR TERSUAVE LAVABLE GRIS ACERO X  4</v>
      </c>
      <c r="D1847" s="1" t="s">
        <v>14437</v>
      </c>
      <c r="E1847" s="3">
        <f>IFERROR(VLOOKUP(B1847,'DA1'!$B$2:$D$999999,3,FALSE),"")</f>
      </c>
      <c r="F1847" s="1" t="str">
        <f>IFERROR(VLOOKUP(B1847,'SB1'!$A$2:$C$999999,3,FALSE),"")</f>
        <v>503</v>
      </c>
      <c r="G1847" s="3" t="e">
        <f t="shared" si="61"/>
        <v>#VALUE!</v>
      </c>
      <c r="H1847" s="3" t="e">
        <f t="shared" si="62"/>
        <v>#VALUE!</v>
      </c>
      <c r="I1847" s="1">
        <v>1</v>
      </c>
    </row>
    <row r="1848" spans="1:9" x14ac:dyDescent="0.25">
      <c r="A1848" s="1" t="s">
        <v>14435</v>
      </c>
      <c r="B1848" s="1" t="s">
        <v>5173</v>
      </c>
      <c r="C1848" s="1" t="str">
        <f>IFERROR(VLOOKUP(B1848,'SB1'!$A$2:$B$999999,2,FALSE),"")</f>
        <v>LATEX EXTERIOR TERSUAVE LAVABLE GRIS CEMENTO X  4</v>
      </c>
      <c r="D1848" s="1" t="s">
        <v>14437</v>
      </c>
      <c r="E1848" s="3">
        <f>IFERROR(VLOOKUP(B1848,'DA1'!$B$2:$D$999999,3,FALSE),"")</f>
      </c>
      <c r="F1848" s="1" t="str">
        <f>IFERROR(VLOOKUP(B1848,'SB1'!$A$2:$C$999999,3,FALSE),"")</f>
        <v>503</v>
      </c>
      <c r="G1848" s="3" t="e">
        <f t="shared" si="61"/>
        <v>#VALUE!</v>
      </c>
      <c r="H1848" s="3" t="e">
        <f t="shared" si="62"/>
        <v>#VALUE!</v>
      </c>
      <c r="I1848" s="1">
        <v>1</v>
      </c>
    </row>
    <row r="1849" spans="1:9" x14ac:dyDescent="0.25">
      <c r="A1849" s="1" t="s">
        <v>14435</v>
      </c>
      <c r="B1849" s="1" t="s">
        <v>5175</v>
      </c>
      <c r="C1849" s="1" t="str">
        <f>IFERROR(VLOOKUP(B1849,'SB1'!$A$2:$B$999999,2,FALSE),"")</f>
        <v>LATEX EXTERIOR TERSUAVE LAVABLE MARRON AFRICANO X  4</v>
      </c>
      <c r="D1849" s="1" t="s">
        <v>14437</v>
      </c>
      <c r="E1849" s="3">
        <f>IFERROR(VLOOKUP(B1849,'DA1'!$B$2:$D$999999,3,FALSE),"")</f>
      </c>
      <c r="F1849" s="1" t="str">
        <f>IFERROR(VLOOKUP(B1849,'SB1'!$A$2:$C$999999,3,FALSE),"")</f>
        <v>503</v>
      </c>
      <c r="G1849" s="3" t="e">
        <f t="shared" si="61"/>
        <v>#VALUE!</v>
      </c>
      <c r="H1849" s="3" t="e">
        <f t="shared" si="62"/>
        <v>#VALUE!</v>
      </c>
      <c r="I1849" s="1">
        <v>1</v>
      </c>
    </row>
    <row r="1850" spans="1:9" x14ac:dyDescent="0.25">
      <c r="A1850" s="1" t="s">
        <v>14435</v>
      </c>
      <c r="B1850" s="1" t="s">
        <v>5177</v>
      </c>
      <c r="C1850" s="1" t="str">
        <f>IFERROR(VLOOKUP(B1850,'SB1'!$A$2:$B$999999,2,FALSE),"")</f>
        <v>LATEX EXTERIOR TERSUAVE LAVABLE NEGRO EBANO X  4</v>
      </c>
      <c r="D1850" s="1" t="s">
        <v>14437</v>
      </c>
      <c r="E1850" s="3">
        <f>IFERROR(VLOOKUP(B1850,'DA1'!$B$2:$D$999999,3,FALSE),"")</f>
      </c>
      <c r="F1850" s="1" t="str">
        <f>IFERROR(VLOOKUP(B1850,'SB1'!$A$2:$C$999999,3,FALSE),"")</f>
        <v>503</v>
      </c>
      <c r="G1850" s="3" t="e">
        <f t="shared" si="61"/>
        <v>#VALUE!</v>
      </c>
      <c r="H1850" s="3" t="e">
        <f t="shared" si="62"/>
        <v>#VALUE!</v>
      </c>
      <c r="I1850" s="1">
        <v>1</v>
      </c>
    </row>
    <row r="1851" spans="1:9" x14ac:dyDescent="0.25">
      <c r="A1851" s="1" t="s">
        <v>14435</v>
      </c>
      <c r="B1851" s="1" t="s">
        <v>5179</v>
      </c>
      <c r="C1851" s="1" t="str">
        <f>IFERROR(VLOOKUP(B1851,'SB1'!$A$2:$B$999999,2,FALSE),"")</f>
        <v>LATEX EXTERIOR TERSUAVE LAVABLE OCRE X  4</v>
      </c>
      <c r="D1851" s="1" t="s">
        <v>14437</v>
      </c>
      <c r="E1851" s="3">
        <f>IFERROR(VLOOKUP(B1851,'DA1'!$B$2:$D$999999,3,FALSE),"")</f>
      </c>
      <c r="F1851" s="1" t="str">
        <f>IFERROR(VLOOKUP(B1851,'SB1'!$A$2:$C$999999,3,FALSE),"")</f>
        <v>503</v>
      </c>
      <c r="G1851" s="3" t="e">
        <f t="shared" si="61"/>
        <v>#VALUE!</v>
      </c>
      <c r="H1851" s="3" t="e">
        <f t="shared" si="62"/>
        <v>#VALUE!</v>
      </c>
      <c r="I1851" s="1">
        <v>1</v>
      </c>
    </row>
    <row r="1852" spans="1:9" x14ac:dyDescent="0.25">
      <c r="A1852" s="1" t="s">
        <v>14435</v>
      </c>
      <c r="B1852" s="1" t="s">
        <v>5181</v>
      </c>
      <c r="C1852" s="1" t="str">
        <f>IFERROR(VLOOKUP(B1852,'SB1'!$A$2:$B$999999,2,FALSE),"")</f>
        <v>LATEX EXTERIOR TERSUAVE LAVABLE ROJO BORGOGNA X  4</v>
      </c>
      <c r="D1852" s="1" t="s">
        <v>14437</v>
      </c>
      <c r="E1852" s="3">
        <f>IFERROR(VLOOKUP(B1852,'DA1'!$B$2:$D$999999,3,FALSE),"")</f>
      </c>
      <c r="F1852" s="1" t="str">
        <f>IFERROR(VLOOKUP(B1852,'SB1'!$A$2:$C$999999,3,FALSE),"")</f>
        <v>503</v>
      </c>
      <c r="G1852" s="3" t="e">
        <f t="shared" si="61"/>
        <v>#VALUE!</v>
      </c>
      <c r="H1852" s="3" t="e">
        <f t="shared" si="62"/>
        <v>#VALUE!</v>
      </c>
      <c r="I1852" s="1">
        <v>1</v>
      </c>
    </row>
    <row r="1853" spans="1:9" x14ac:dyDescent="0.25">
      <c r="A1853" s="1" t="s">
        <v>14435</v>
      </c>
      <c r="B1853" s="1" t="s">
        <v>5183</v>
      </c>
      <c r="C1853" s="1" t="str">
        <f>IFERROR(VLOOKUP(B1853,'SB1'!$A$2:$B$999999,2,FALSE),"")</f>
        <v>LATEX EXTERIOR TERSUAVE LAVABLE ROJO TEJA X  4</v>
      </c>
      <c r="D1853" s="1" t="s">
        <v>14437</v>
      </c>
      <c r="E1853" s="3">
        <f>IFERROR(VLOOKUP(B1853,'DA1'!$B$2:$D$999999,3,FALSE),"")</f>
      </c>
      <c r="F1853" s="1" t="str">
        <f>IFERROR(VLOOKUP(B1853,'SB1'!$A$2:$C$999999,3,FALSE),"")</f>
        <v>503</v>
      </c>
      <c r="G1853" s="3" t="e">
        <f t="shared" si="61"/>
        <v>#VALUE!</v>
      </c>
      <c r="H1853" s="3" t="e">
        <f t="shared" si="62"/>
        <v>#VALUE!</v>
      </c>
      <c r="I1853" s="1">
        <v>1</v>
      </c>
    </row>
    <row r="1854" spans="1:9" x14ac:dyDescent="0.25">
      <c r="A1854" s="1" t="s">
        <v>14435</v>
      </c>
      <c r="B1854" s="1" t="s">
        <v>5185</v>
      </c>
      <c r="C1854" s="1" t="str">
        <f>IFERROR(VLOOKUP(B1854,'SB1'!$A$2:$B$999999,2,FALSE),"")</f>
        <v>LATEX EXTERIOR TERSUAVE LAVABLE ROSA VIEJO X  4</v>
      </c>
      <c r="D1854" s="1" t="s">
        <v>14437</v>
      </c>
      <c r="E1854" s="3">
        <f>IFERROR(VLOOKUP(B1854,'DA1'!$B$2:$D$999999,3,FALSE),"")</f>
      </c>
      <c r="F1854" s="1" t="str">
        <f>IFERROR(VLOOKUP(B1854,'SB1'!$A$2:$C$999999,3,FALSE),"")</f>
        <v>503</v>
      </c>
      <c r="G1854" s="3" t="e">
        <f t="shared" si="61"/>
        <v>#VALUE!</v>
      </c>
      <c r="H1854" s="3" t="e">
        <f t="shared" si="62"/>
        <v>#VALUE!</v>
      </c>
      <c r="I1854" s="1">
        <v>1</v>
      </c>
    </row>
    <row r="1855" spans="1:9" x14ac:dyDescent="0.25">
      <c r="A1855" s="1" t="s">
        <v>14435</v>
      </c>
      <c r="B1855" s="1" t="s">
        <v>5187</v>
      </c>
      <c r="C1855" s="1" t="str">
        <f>IFERROR(VLOOKUP(B1855,'SB1'!$A$2:$B$999999,2,FALSE),"")</f>
        <v>LATEX EXTERIOR TERSUAVE LAVABLE VERDE FORESTA X  4</v>
      </c>
      <c r="D1855" s="1" t="s">
        <v>14437</v>
      </c>
      <c r="E1855" s="3">
        <f>IFERROR(VLOOKUP(B1855,'DA1'!$B$2:$D$999999,3,FALSE),"")</f>
      </c>
      <c r="F1855" s="1" t="str">
        <f>IFERROR(VLOOKUP(B1855,'SB1'!$A$2:$C$999999,3,FALSE),"")</f>
        <v>503</v>
      </c>
      <c r="G1855" s="3" t="e">
        <f t="shared" si="61"/>
        <v>#VALUE!</v>
      </c>
      <c r="H1855" s="3" t="e">
        <f t="shared" si="62"/>
        <v>#VALUE!</v>
      </c>
      <c r="I1855" s="1">
        <v>1</v>
      </c>
    </row>
    <row r="1856" spans="1:9" x14ac:dyDescent="0.25">
      <c r="A1856" s="1" t="s">
        <v>14435</v>
      </c>
      <c r="B1856" s="1" t="s">
        <v>5189</v>
      </c>
      <c r="C1856" s="1" t="str">
        <f>IFERROR(VLOOKUP(B1856,'SB1'!$A$2:$B$999999,2,FALSE),"")</f>
        <v>LATEX EXTERIOR TERSUAVE LAVABLE VERDE SAFARI X  4</v>
      </c>
      <c r="D1856" s="1" t="s">
        <v>14437</v>
      </c>
      <c r="E1856" s="3">
        <f>IFERROR(VLOOKUP(B1856,'DA1'!$B$2:$D$999999,3,FALSE),"")</f>
      </c>
      <c r="F1856" s="1" t="str">
        <f>IFERROR(VLOOKUP(B1856,'SB1'!$A$2:$C$999999,3,FALSE),"")</f>
        <v>503</v>
      </c>
      <c r="G1856" s="3" t="e">
        <f t="shared" si="61"/>
        <v>#VALUE!</v>
      </c>
      <c r="H1856" s="3" t="e">
        <f t="shared" si="62"/>
        <v>#VALUE!</v>
      </c>
      <c r="I1856" s="1">
        <v>1</v>
      </c>
    </row>
    <row r="1857" spans="1:9" x14ac:dyDescent="0.25">
      <c r="A1857" s="1" t="s">
        <v>14435</v>
      </c>
      <c r="B1857" s="1" t="s">
        <v>5191</v>
      </c>
      <c r="C1857" s="1" t="str">
        <f>IFERROR(VLOOKUP(B1857,'SB1'!$A$2:$B$999999,2,FALSE),"")</f>
        <v>LATEX EXTERIOR TERSUAVE LAVABLE VIOLETA DEL SUR X  4</v>
      </c>
      <c r="D1857" s="1" t="s">
        <v>14437</v>
      </c>
      <c r="E1857" s="3">
        <f>IFERROR(VLOOKUP(B1857,'DA1'!$B$2:$D$999999,3,FALSE),"")</f>
      </c>
      <c r="F1857" s="1" t="str">
        <f>IFERROR(VLOOKUP(B1857,'SB1'!$A$2:$C$999999,3,FALSE),"")</f>
        <v>503</v>
      </c>
      <c r="G1857" s="3" t="e">
        <f t="shared" si="61"/>
        <v>#VALUE!</v>
      </c>
      <c r="H1857" s="3" t="e">
        <f t="shared" si="62"/>
        <v>#VALUE!</v>
      </c>
      <c r="I1857" s="1">
        <v>1</v>
      </c>
    </row>
    <row r="1858" spans="1:9" x14ac:dyDescent="0.25">
      <c r="A1858" s="1" t="s">
        <v>14435</v>
      </c>
      <c r="B1858" s="1" t="s">
        <v>5193</v>
      </c>
      <c r="C1858" s="1" t="str">
        <f>IFERROR(VLOOKUP(B1858,'SB1'!$A$2:$B$999999,2,FALSE),"")</f>
        <v>DISCO FLAP DOBLE A ULTRA OX ZIRCONIO 115X22 P 40</v>
      </c>
      <c r="D1858" s="1" t="s">
        <v>14451</v>
      </c>
      <c r="E1858" s="3">
        <f>IFERROR(VLOOKUP(B1858,'DA1'!$B$2:$D$999999,3,FALSE),"")</f>
      </c>
      <c r="F1858" s="1" t="str">
        <f>IFERROR(VLOOKUP(B1858,'SB1'!$A$2:$C$999999,3,FALSE),"")</f>
        <v>503</v>
      </c>
      <c r="G1858" s="3" t="e">
        <f t="shared" si="61"/>
        <v>#VALUE!</v>
      </c>
      <c r="H1858" s="3" t="e">
        <f t="shared" si="62"/>
        <v>#VALUE!</v>
      </c>
      <c r="I1858" s="1">
        <v>1</v>
      </c>
    </row>
    <row r="1859" spans="1:9" x14ac:dyDescent="0.25">
      <c r="A1859" s="1" t="s">
        <v>14435</v>
      </c>
      <c r="B1859" s="1" t="s">
        <v>5195</v>
      </c>
      <c r="C1859" s="1" t="str">
        <f>IFERROR(VLOOKUP(B1859,'SB1'!$A$2:$B$999999,2,FALSE),"")</f>
        <v>DISCO FLAP DOBLE A ULTRA OX ZIRCONIO 115X22 P 80</v>
      </c>
      <c r="D1859" s="1" t="s">
        <v>14451</v>
      </c>
      <c r="E1859" s="3">
        <f>IFERROR(VLOOKUP(B1859,'DA1'!$B$2:$D$999999,3,FALSE),"")</f>
      </c>
      <c r="F1859" s="1" t="str">
        <f>IFERROR(VLOOKUP(B1859,'SB1'!$A$2:$C$999999,3,FALSE),"")</f>
        <v>503</v>
      </c>
      <c r="G1859" s="3" t="e">
        <f t="shared" ref="G1859:G1922" si="63">E1859*1.04</f>
        <v>#VALUE!</v>
      </c>
      <c r="H1859" s="3" t="e">
        <f t="shared" si="62"/>
        <v>#VALUE!</v>
      </c>
      <c r="I1859" s="1">
        <v>1</v>
      </c>
    </row>
    <row r="1860" spans="1:9" x14ac:dyDescent="0.25">
      <c r="A1860" s="1" t="s">
        <v>14435</v>
      </c>
      <c r="B1860" s="1" t="s">
        <v>5197</v>
      </c>
      <c r="C1860" s="1" t="str">
        <f>IFERROR(VLOOKUP(B1860,'SB1'!$A$2:$B$999999,2,FALSE),"")</f>
        <v>DISCO FLAP DOBLE A ULTRA OX ZIRCONIO 115X22 P120</v>
      </c>
      <c r="D1860" s="1" t="s">
        <v>14451</v>
      </c>
      <c r="E1860" s="3">
        <f>IFERROR(VLOOKUP(B1860,'DA1'!$B$2:$D$999999,3,FALSE),"")</f>
      </c>
      <c r="F1860" s="1" t="str">
        <f>IFERROR(VLOOKUP(B1860,'SB1'!$A$2:$C$999999,3,FALSE),"")</f>
        <v>503</v>
      </c>
      <c r="G1860" s="3" t="e">
        <f t="shared" si="63"/>
        <v>#VALUE!</v>
      </c>
      <c r="H1860" s="3" t="e">
        <f t="shared" si="62"/>
        <v>#VALUE!</v>
      </c>
      <c r="I1860" s="1">
        <v>1</v>
      </c>
    </row>
    <row r="1861" spans="1:9" x14ac:dyDescent="0.25">
      <c r="A1861" s="1" t="s">
        <v>14435</v>
      </c>
      <c r="B1861" s="1" t="s">
        <v>5199</v>
      </c>
      <c r="C1861" s="1" t="str">
        <f>IFERROR(VLOOKUP(B1861,'SB1'!$A$2:$B$999999,2,FALSE),"")</f>
        <v>ESMALTE SINTETICO PARA PIZARRON TERSUAVE MATE VERDE X 4</v>
      </c>
      <c r="D1861" s="1" t="s">
        <v>14437</v>
      </c>
      <c r="E1861" s="3">
        <f>IFERROR(VLOOKUP(B1861,'DA1'!$B$2:$D$999999,3,FALSE),"")</f>
      </c>
      <c r="F1861" s="1" t="str">
        <f>IFERROR(VLOOKUP(B1861,'SB1'!$A$2:$C$999999,3,FALSE),"")</f>
        <v>503</v>
      </c>
      <c r="G1861" s="3" t="e">
        <f t="shared" si="63"/>
        <v>#VALUE!</v>
      </c>
      <c r="H1861" s="3" t="e">
        <f t="shared" si="62"/>
        <v>#VALUE!</v>
      </c>
      <c r="I1861" s="1">
        <v>1</v>
      </c>
    </row>
    <row r="1862" spans="1:9" x14ac:dyDescent="0.25">
      <c r="A1862" s="1" t="s">
        <v>14435</v>
      </c>
      <c r="B1862" s="1" t="s">
        <v>5201</v>
      </c>
      <c r="C1862" s="1" t="str">
        <f>IFERROR(VLOOKUP(B1862,'SB1'!$A$2:$B$999999,2,FALSE),"")</f>
        <v>ESMALTE SINTETICO TERSUAVE 2EN1 BRILLANTE BLANCO X  4</v>
      </c>
      <c r="D1862" s="1" t="s">
        <v>14437</v>
      </c>
      <c r="E1862" s="3">
        <f>IFERROR(VLOOKUP(B1862,'DA1'!$B$2:$D$999999,3,FALSE),"")</f>
      </c>
      <c r="F1862" s="1" t="str">
        <f>IFERROR(VLOOKUP(B1862,'SB1'!$A$2:$C$999999,3,FALSE),"")</f>
        <v>503</v>
      </c>
      <c r="G1862" s="3" t="e">
        <f t="shared" si="63"/>
        <v>#VALUE!</v>
      </c>
      <c r="H1862" s="3" t="e">
        <f t="shared" si="62"/>
        <v>#VALUE!</v>
      </c>
      <c r="I1862" s="1">
        <v>1</v>
      </c>
    </row>
    <row r="1863" spans="1:9" x14ac:dyDescent="0.25">
      <c r="A1863" s="1" t="s">
        <v>14435</v>
      </c>
      <c r="B1863" s="1" t="s">
        <v>5203</v>
      </c>
      <c r="C1863" s="1" t="str">
        <f>IFERROR(VLOOKUP(B1863,'SB1'!$A$2:$B$999999,2,FALSE),"")</f>
        <v>ESMALTE SINTETICO TERSUAVE 2EN1 BRILLANTE BERMELLON X  4</v>
      </c>
      <c r="D1863" s="1" t="s">
        <v>14437</v>
      </c>
      <c r="E1863" s="3">
        <f>IFERROR(VLOOKUP(B1863,'DA1'!$B$2:$D$999999,3,FALSE),"")</f>
      </c>
      <c r="F1863" s="1" t="str">
        <f>IFERROR(VLOOKUP(B1863,'SB1'!$A$2:$C$999999,3,FALSE),"")</f>
        <v>503</v>
      </c>
      <c r="G1863" s="3" t="e">
        <f t="shared" si="63"/>
        <v>#VALUE!</v>
      </c>
      <c r="H1863" s="3" t="e">
        <f t="shared" si="62"/>
        <v>#VALUE!</v>
      </c>
      <c r="I1863" s="1">
        <v>1</v>
      </c>
    </row>
    <row r="1864" spans="1:9" x14ac:dyDescent="0.25">
      <c r="A1864" s="1" t="s">
        <v>14435</v>
      </c>
      <c r="B1864" s="1" t="s">
        <v>5205</v>
      </c>
      <c r="C1864" s="1" t="str">
        <f>IFERROR(VLOOKUP(B1864,'SB1'!$A$2:$B$999999,2,FALSE),"")</f>
        <v>ESMALTE SINTETICO TERSUAVE 2EN1 BRILLANTE NARANJA X  4</v>
      </c>
      <c r="D1864" s="1" t="s">
        <v>14437</v>
      </c>
      <c r="E1864" s="3">
        <f>IFERROR(VLOOKUP(B1864,'DA1'!$B$2:$D$999999,3,FALSE),"")</f>
      </c>
      <c r="F1864" s="1" t="str">
        <f>IFERROR(VLOOKUP(B1864,'SB1'!$A$2:$C$999999,3,FALSE),"")</f>
        <v>503</v>
      </c>
      <c r="G1864" s="3" t="e">
        <f t="shared" si="63"/>
        <v>#VALUE!</v>
      </c>
      <c r="H1864" s="3" t="e">
        <f t="shared" si="62"/>
        <v>#VALUE!</v>
      </c>
      <c r="I1864" s="1">
        <v>1</v>
      </c>
    </row>
    <row r="1865" spans="1:9" x14ac:dyDescent="0.25">
      <c r="A1865" s="1" t="s">
        <v>14435</v>
      </c>
      <c r="B1865" s="1" t="s">
        <v>5207</v>
      </c>
      <c r="C1865" s="1" t="str">
        <f>IFERROR(VLOOKUP(B1865,'SB1'!$A$2:$B$999999,2,FALSE),"")</f>
        <v>ESMALTE SINTETICO TERSUAVE 2EN1 BRILLANTE AMARILLO X  4</v>
      </c>
      <c r="D1865" s="1" t="s">
        <v>14437</v>
      </c>
      <c r="E1865" s="3">
        <f>IFERROR(VLOOKUP(B1865,'DA1'!$B$2:$D$999999,3,FALSE),"")</f>
      </c>
      <c r="F1865" s="1" t="str">
        <f>IFERROR(VLOOKUP(B1865,'SB1'!$A$2:$C$999999,3,FALSE),"")</f>
        <v>503</v>
      </c>
      <c r="G1865" s="3" t="e">
        <f t="shared" si="63"/>
        <v>#VALUE!</v>
      </c>
      <c r="H1865" s="3" t="e">
        <f t="shared" si="62"/>
        <v>#VALUE!</v>
      </c>
      <c r="I1865" s="1">
        <v>1</v>
      </c>
    </row>
    <row r="1866" spans="1:9" x14ac:dyDescent="0.25">
      <c r="A1866" s="1" t="s">
        <v>14435</v>
      </c>
      <c r="B1866" s="1" t="s">
        <v>5209</v>
      </c>
      <c r="C1866" s="1" t="str">
        <f>IFERROR(VLOOKUP(B1866,'SB1'!$A$2:$B$999999,2,FALSE),"")</f>
        <v>FONDO PARA MADERA TERSUAVE BLANCO X  4</v>
      </c>
      <c r="D1866" s="1" t="s">
        <v>14437</v>
      </c>
      <c r="E1866" s="3">
        <f>IFERROR(VLOOKUP(B1866,'DA1'!$B$2:$D$999999,3,FALSE),"")</f>
      </c>
      <c r="F1866" s="1" t="str">
        <f>IFERROR(VLOOKUP(B1866,'SB1'!$A$2:$C$999999,3,FALSE),"")</f>
        <v>503</v>
      </c>
      <c r="G1866" s="3" t="e">
        <f t="shared" si="63"/>
        <v>#VALUE!</v>
      </c>
      <c r="H1866" s="3" t="e">
        <f t="shared" si="62"/>
        <v>#VALUE!</v>
      </c>
      <c r="I1866" s="1">
        <v>1</v>
      </c>
    </row>
    <row r="1867" spans="1:9" x14ac:dyDescent="0.25">
      <c r="A1867" s="1" t="s">
        <v>14435</v>
      </c>
      <c r="B1867" s="1" t="s">
        <v>5211</v>
      </c>
      <c r="C1867" s="1" t="str">
        <f>IFERROR(VLOOKUP(B1867,'SB1'!$A$2:$B$999999,2,FALSE),"")</f>
        <v>BARNIZ MARINO PARA MADERA TERSUAVE BRILLANTE X  4</v>
      </c>
      <c r="D1867" s="1" t="s">
        <v>14437</v>
      </c>
      <c r="E1867" s="3">
        <f>IFERROR(VLOOKUP(B1867,'DA1'!$B$2:$D$999999,3,FALSE),"")</f>
      </c>
      <c r="F1867" s="1" t="str">
        <f>IFERROR(VLOOKUP(B1867,'SB1'!$A$2:$C$999999,3,FALSE),"")</f>
        <v>503</v>
      </c>
      <c r="G1867" s="3" t="e">
        <f t="shared" si="63"/>
        <v>#VALUE!</v>
      </c>
      <c r="H1867" s="3" t="e">
        <f t="shared" si="62"/>
        <v>#VALUE!</v>
      </c>
      <c r="I1867" s="1">
        <v>1</v>
      </c>
    </row>
    <row r="1868" spans="1:9" x14ac:dyDescent="0.25">
      <c r="A1868" s="1" t="s">
        <v>14435</v>
      </c>
      <c r="B1868" s="1" t="s">
        <v>5213</v>
      </c>
      <c r="C1868" s="1" t="str">
        <f>IFERROR(VLOOKUP(B1868,'SB1'!$A$2:$B$999999,2,FALSE),"")</f>
        <v>ESMALTE SINTETICO TERSUAVE ALTA TEMPERATURA ALUMINIO X 4</v>
      </c>
      <c r="D1868" s="1" t="s">
        <v>14487</v>
      </c>
      <c r="E1868" s="3">
        <f>IFERROR(VLOOKUP(B1868,'DA1'!$B$2:$D$999999,3,FALSE),"")</f>
      </c>
      <c r="F1868" s="1" t="str">
        <f>IFERROR(VLOOKUP(B1868,'SB1'!$A$2:$C$999999,3,FALSE),"")</f>
        <v>503</v>
      </c>
      <c r="G1868" s="3" t="e">
        <f t="shared" si="63"/>
        <v>#VALUE!</v>
      </c>
      <c r="H1868" s="3" t="e">
        <f t="shared" si="62"/>
        <v>#VALUE!</v>
      </c>
      <c r="I1868" s="1">
        <v>1</v>
      </c>
    </row>
    <row r="1869" spans="1:9" x14ac:dyDescent="0.25">
      <c r="A1869" s="1" t="s">
        <v>14435</v>
      </c>
      <c r="B1869" s="1" t="s">
        <v>5215</v>
      </c>
      <c r="C1869" s="1" t="str">
        <f>IFERROR(VLOOKUP(B1869,'SB1'!$A$2:$B$999999,2,FALSE),"")</f>
        <v>ESMALTE SINTETICO TERSUAVE ALTA TEMPERATURA NEGRO X 4</v>
      </c>
      <c r="D1869" s="1" t="s">
        <v>14487</v>
      </c>
      <c r="E1869" s="3">
        <f>IFERROR(VLOOKUP(B1869,'DA1'!$B$2:$D$999999,3,FALSE),"")</f>
      </c>
      <c r="F1869" s="1" t="str">
        <f>IFERROR(VLOOKUP(B1869,'SB1'!$A$2:$C$999999,3,FALSE),"")</f>
        <v>503</v>
      </c>
      <c r="G1869" s="3" t="e">
        <f t="shared" si="63"/>
        <v>#VALUE!</v>
      </c>
      <c r="H1869" s="3" t="e">
        <f t="shared" si="62"/>
        <v>#VALUE!</v>
      </c>
      <c r="I1869" s="1">
        <v>1</v>
      </c>
    </row>
    <row r="1870" spans="1:9" x14ac:dyDescent="0.25">
      <c r="A1870" s="1" t="s">
        <v>14435</v>
      </c>
      <c r="B1870" s="1" t="s">
        <v>5217</v>
      </c>
      <c r="C1870" s="1" t="str">
        <f>IFERROR(VLOOKUP(B1870,'SB1'!$A$2:$B$999999,2,FALSE),"")</f>
        <v>ESMALTE SINTETICO TERSUAVE 2EN1 BRILLANTE BEIGE X  4</v>
      </c>
      <c r="D1870" s="1" t="s">
        <v>14437</v>
      </c>
      <c r="E1870" s="3">
        <f>IFERROR(VLOOKUP(B1870,'DA1'!$B$2:$D$999999,3,FALSE),"")</f>
      </c>
      <c r="F1870" s="1" t="str">
        <f>IFERROR(VLOOKUP(B1870,'SB1'!$A$2:$C$999999,3,FALSE),"")</f>
        <v>503</v>
      </c>
      <c r="G1870" s="3" t="e">
        <f t="shared" si="63"/>
        <v>#VALUE!</v>
      </c>
      <c r="H1870" s="3" t="e">
        <f t="shared" si="62"/>
        <v>#VALUE!</v>
      </c>
      <c r="I1870" s="1">
        <v>1</v>
      </c>
    </row>
    <row r="1871" spans="1:9" x14ac:dyDescent="0.25">
      <c r="A1871" s="1" t="s">
        <v>14435</v>
      </c>
      <c r="B1871" s="1" t="s">
        <v>5219</v>
      </c>
      <c r="C1871" s="1" t="str">
        <f>IFERROR(VLOOKUP(B1871,'SB1'!$A$2:$B$999999,2,FALSE),"")</f>
        <v>ESMALTE SINTETICO PARA PIZARRON TERSUAVE MATE NEGRO X 4</v>
      </c>
      <c r="D1871" s="1" t="s">
        <v>14437</v>
      </c>
      <c r="E1871" s="3">
        <f>IFERROR(VLOOKUP(B1871,'DA1'!$B$2:$D$999999,3,FALSE),"")</f>
      </c>
      <c r="F1871" s="1" t="str">
        <f>IFERROR(VLOOKUP(B1871,'SB1'!$A$2:$C$999999,3,FALSE),"")</f>
        <v>503</v>
      </c>
      <c r="G1871" s="3" t="e">
        <f t="shared" si="63"/>
        <v>#VALUE!</v>
      </c>
      <c r="H1871" s="3" t="e">
        <f t="shared" si="62"/>
        <v>#VALUE!</v>
      </c>
      <c r="I1871" s="1">
        <v>1</v>
      </c>
    </row>
    <row r="1872" spans="1:9" x14ac:dyDescent="0.25">
      <c r="A1872" s="1" t="s">
        <v>14435</v>
      </c>
      <c r="B1872" s="1" t="s">
        <v>5221</v>
      </c>
      <c r="C1872" s="1" t="str">
        <f>IFERROR(VLOOKUP(B1872,'SB1'!$A$2:$B$999999,2,FALSE),"")</f>
        <v>ESMALTE SINTETICO TERSUAVE ALTA TEMPERATURA BLANCO X 4</v>
      </c>
      <c r="D1872" s="1" t="s">
        <v>14487</v>
      </c>
      <c r="E1872" s="3">
        <f>IFERROR(VLOOKUP(B1872,'DA1'!$B$2:$D$999999,3,FALSE),"")</f>
      </c>
      <c r="F1872" s="1" t="str">
        <f>IFERROR(VLOOKUP(B1872,'SB1'!$A$2:$C$999999,3,FALSE),"")</f>
        <v>503</v>
      </c>
      <c r="G1872" s="3" t="e">
        <f t="shared" si="63"/>
        <v>#VALUE!</v>
      </c>
      <c r="H1872" s="3" t="e">
        <f t="shared" si="62"/>
        <v>#VALUE!</v>
      </c>
      <c r="I1872" s="1">
        <v>1</v>
      </c>
    </row>
    <row r="1873" spans="1:9" x14ac:dyDescent="0.25">
      <c r="A1873" s="1" t="s">
        <v>14435</v>
      </c>
      <c r="B1873" s="1" t="s">
        <v>5223</v>
      </c>
      <c r="C1873" s="1" t="str">
        <f>IFERROR(VLOOKUP(B1873,'SB1'!$A$2:$B$999999,2,FALSE),"")</f>
        <v>CM-108 ALUMINIO BRILL X 1</v>
      </c>
      <c r="D1873" s="1" t="s">
        <v>14454</v>
      </c>
      <c r="E1873" s="3">
        <f>IFERROR(VLOOKUP(B1873,'DA1'!$B$2:$D$999999,3,FALSE),"")</f>
      </c>
      <c r="F1873" s="1" t="str">
        <f>IFERROR(VLOOKUP(B1873,'SB1'!$A$2:$C$999999,3,FALSE),"")</f>
        <v>503</v>
      </c>
      <c r="G1873" s="3" t="e">
        <f t="shared" si="63"/>
        <v>#VALUE!</v>
      </c>
      <c r="H1873" s="3" t="e">
        <f t="shared" si="62"/>
        <v>#VALUE!</v>
      </c>
      <c r="I1873" s="1">
        <v>3</v>
      </c>
    </row>
    <row r="1874" spans="1:9" x14ac:dyDescent="0.25">
      <c r="A1874" s="1" t="s">
        <v>14435</v>
      </c>
      <c r="B1874" s="1" t="s">
        <v>5225</v>
      </c>
      <c r="C1874" s="1" t="str">
        <f>IFERROR(VLOOKUP(B1874,'SB1'!$A$2:$B$999999,2,FALSE),"")</f>
        <v>ESMALTE SINTETICO TERSUAVE 2EN1 BRILLANTE CEDRO X  4</v>
      </c>
      <c r="D1874" s="1" t="s">
        <v>14437</v>
      </c>
      <c r="E1874" s="3">
        <f>IFERROR(VLOOKUP(B1874,'DA1'!$B$2:$D$999999,3,FALSE),"")</f>
      </c>
      <c r="F1874" s="1" t="str">
        <f>IFERROR(VLOOKUP(B1874,'SB1'!$A$2:$C$999999,3,FALSE),"")</f>
        <v>503</v>
      </c>
      <c r="G1874" s="3" t="e">
        <f t="shared" si="63"/>
        <v>#VALUE!</v>
      </c>
      <c r="H1874" s="3" t="e">
        <f t="shared" si="62"/>
        <v>#VALUE!</v>
      </c>
      <c r="I1874" s="1">
        <v>1</v>
      </c>
    </row>
    <row r="1875" spans="1:9" x14ac:dyDescent="0.25">
      <c r="A1875" s="1" t="s">
        <v>14435</v>
      </c>
      <c r="B1875" s="1" t="s">
        <v>5227</v>
      </c>
      <c r="C1875" s="1" t="str">
        <f>IFERROR(VLOOKUP(B1875,'SB1'!$A$2:$B$999999,2,FALSE),"")</f>
        <v>AEROSOL RUST-OLEUM SP IMPRIMACION PLASTICO BLANCO X 0,340(272127/209460)</v>
      </c>
      <c r="D1875" s="1" t="s">
        <v>14475</v>
      </c>
      <c r="E1875" s="3">
        <f>IFERROR(VLOOKUP(B1875,'DA1'!$B$2:$D$999999,3,FALSE),"")</f>
      </c>
      <c r="F1875" s="1" t="str">
        <f>IFERROR(VLOOKUP(B1875,'SB1'!$A$2:$C$999999,3,FALSE),"")</f>
        <v>503</v>
      </c>
      <c r="G1875" s="3" t="e">
        <f t="shared" si="63"/>
        <v>#VALUE!</v>
      </c>
      <c r="H1875" s="3" t="e">
        <f t="shared" si="62"/>
        <v>#VALUE!</v>
      </c>
      <c r="I1875" s="1">
        <v>1</v>
      </c>
    </row>
    <row r="1876" spans="1:9" x14ac:dyDescent="0.25">
      <c r="A1876" s="1" t="s">
        <v>14435</v>
      </c>
      <c r="B1876" s="1" t="s">
        <v>5229</v>
      </c>
      <c r="C1876" s="1" t="str">
        <f>IFERROR(VLOOKUP(B1876,'SB1'!$A$2:$B$999999,2,FALSE),"")</f>
        <v>ESMALTE SINTETICO TERSUAVE 2EN1 BRILLANTE NEGRO X  4</v>
      </c>
      <c r="D1876" s="1" t="s">
        <v>14437</v>
      </c>
      <c r="E1876" s="3">
        <f>IFERROR(VLOOKUP(B1876,'DA1'!$B$2:$D$999999,3,FALSE),"")</f>
      </c>
      <c r="F1876" s="1" t="str">
        <f>IFERROR(VLOOKUP(B1876,'SB1'!$A$2:$C$999999,3,FALSE),"")</f>
        <v>503</v>
      </c>
      <c r="G1876" s="3" t="e">
        <f t="shared" si="63"/>
        <v>#VALUE!</v>
      </c>
      <c r="H1876" s="3" t="e">
        <f t="shared" si="62"/>
        <v>#VALUE!</v>
      </c>
      <c r="I1876" s="1">
        <v>1</v>
      </c>
    </row>
    <row r="1877" spans="1:9" x14ac:dyDescent="0.25">
      <c r="A1877" s="1" t="s">
        <v>14435</v>
      </c>
      <c r="B1877" s="1" t="s">
        <v>5231</v>
      </c>
      <c r="C1877" s="1" t="str">
        <f>IFERROR(VLOOKUP(B1877,'SB1'!$A$2:$B$999999,2,FALSE),"")</f>
        <v>ESMALTE SINTETICO TERSUAVE 2EN1 BRILLANTE ORO X 4</v>
      </c>
      <c r="D1877" s="1" t="s">
        <v>14437</v>
      </c>
      <c r="E1877" s="3">
        <f>IFERROR(VLOOKUP(B1877,'DA1'!$B$2:$D$999999,3,FALSE),"")</f>
      </c>
      <c r="F1877" s="1" t="str">
        <f>IFERROR(VLOOKUP(B1877,'SB1'!$A$2:$C$999999,3,FALSE),"")</f>
        <v>503</v>
      </c>
      <c r="G1877" s="3" t="e">
        <f t="shared" si="63"/>
        <v>#VALUE!</v>
      </c>
      <c r="H1877" s="3" t="e">
        <f t="shared" si="62"/>
        <v>#VALUE!</v>
      </c>
      <c r="I1877" s="1">
        <v>1</v>
      </c>
    </row>
    <row r="1878" spans="1:9" x14ac:dyDescent="0.25">
      <c r="A1878" s="1" t="s">
        <v>14435</v>
      </c>
      <c r="B1878" s="1" t="s">
        <v>5233</v>
      </c>
      <c r="C1878" s="1" t="str">
        <f>IFERROR(VLOOKUP(B1878,'SB1'!$A$2:$B$999999,2,FALSE),"")</f>
        <v>ESMALTE SINTETICO TERSUAVE 2EN1 BRILLANTE ALUMINIO X  4</v>
      </c>
      <c r="D1878" s="1" t="s">
        <v>14437</v>
      </c>
      <c r="E1878" s="3">
        <f>IFERROR(VLOOKUP(B1878,'DA1'!$B$2:$D$999999,3,FALSE),"")</f>
      </c>
      <c r="F1878" s="1" t="str">
        <f>IFERROR(VLOOKUP(B1878,'SB1'!$A$2:$C$999999,3,FALSE),"")</f>
        <v>503</v>
      </c>
      <c r="G1878" s="3" t="e">
        <f t="shared" si="63"/>
        <v>#VALUE!</v>
      </c>
      <c r="H1878" s="3" t="e">
        <f t="shared" si="62"/>
        <v>#VALUE!</v>
      </c>
      <c r="I1878" s="1">
        <v>1</v>
      </c>
    </row>
    <row r="1879" spans="1:9" x14ac:dyDescent="0.25">
      <c r="A1879" s="1" t="s">
        <v>14435</v>
      </c>
      <c r="B1879" s="1" t="s">
        <v>5235</v>
      </c>
      <c r="C1879" s="1" t="str">
        <f>IFERROR(VLOOKUP(B1879,'SB1'!$A$2:$B$999999,2,FALSE),"")</f>
        <v>ESMALTE SINTETICO TERSUAVE 2EN1 BRILLANTE MARRON X  4</v>
      </c>
      <c r="D1879" s="1" t="s">
        <v>14437</v>
      </c>
      <c r="E1879" s="3">
        <f>IFERROR(VLOOKUP(B1879,'DA1'!$B$2:$D$999999,3,FALSE),"")</f>
      </c>
      <c r="F1879" s="1" t="str">
        <f>IFERROR(VLOOKUP(B1879,'SB1'!$A$2:$C$999999,3,FALSE),"")</f>
        <v>503</v>
      </c>
      <c r="G1879" s="3" t="e">
        <f t="shared" si="63"/>
        <v>#VALUE!</v>
      </c>
      <c r="H1879" s="3" t="e">
        <f t="shared" si="62"/>
        <v>#VALUE!</v>
      </c>
      <c r="I1879" s="1">
        <v>1</v>
      </c>
    </row>
    <row r="1880" spans="1:9" x14ac:dyDescent="0.25">
      <c r="A1880" s="1" t="s">
        <v>14435</v>
      </c>
      <c r="B1880" s="1" t="s">
        <v>5237</v>
      </c>
      <c r="C1880" s="1" t="str">
        <f>IFERROR(VLOOKUP(B1880,'SB1'!$A$2:$B$999999,2,FALSE),"")</f>
        <v>ESMALTE SINTETICO TERSUAVE 2EN1 BRILLANTE VERDE CLARO X  4</v>
      </c>
      <c r="D1880" s="1" t="s">
        <v>14437</v>
      </c>
      <c r="E1880" s="3">
        <f>IFERROR(VLOOKUP(B1880,'DA1'!$B$2:$D$999999,3,FALSE),"")</f>
      </c>
      <c r="F1880" s="1" t="str">
        <f>IFERROR(VLOOKUP(B1880,'SB1'!$A$2:$C$999999,3,FALSE),"")</f>
        <v>503</v>
      </c>
      <c r="G1880" s="3" t="e">
        <f t="shared" si="63"/>
        <v>#VALUE!</v>
      </c>
      <c r="H1880" s="3" t="e">
        <f t="shared" si="62"/>
        <v>#VALUE!</v>
      </c>
      <c r="I1880" s="1">
        <v>1</v>
      </c>
    </row>
    <row r="1881" spans="1:9" x14ac:dyDescent="0.25">
      <c r="A1881" s="1" t="s">
        <v>14435</v>
      </c>
      <c r="B1881" s="1" t="s">
        <v>5239</v>
      </c>
      <c r="C1881" s="1" t="str">
        <f>IFERROR(VLOOKUP(B1881,'SB1'!$A$2:$B$999999,2,FALSE),"")</f>
        <v>ESMALTE SINTETICO TERSUAVE 2EN1 BRILLANTE GRIS OSCURO X  4</v>
      </c>
      <c r="D1881" s="1" t="s">
        <v>14437</v>
      </c>
      <c r="E1881" s="3">
        <f>IFERROR(VLOOKUP(B1881,'DA1'!$B$2:$D$999999,3,FALSE),"")</f>
      </c>
      <c r="F1881" s="1" t="str">
        <f>IFERROR(VLOOKUP(B1881,'SB1'!$A$2:$C$999999,3,FALSE),"")</f>
        <v>503</v>
      </c>
      <c r="G1881" s="3" t="e">
        <f t="shared" si="63"/>
        <v>#VALUE!</v>
      </c>
      <c r="H1881" s="3" t="e">
        <f t="shared" si="62"/>
        <v>#VALUE!</v>
      </c>
      <c r="I1881" s="1">
        <v>1</v>
      </c>
    </row>
    <row r="1882" spans="1:9" x14ac:dyDescent="0.25">
      <c r="A1882" s="1" t="s">
        <v>14435</v>
      </c>
      <c r="B1882" s="1" t="s">
        <v>5243</v>
      </c>
      <c r="C1882" s="1" t="str">
        <f>IFERROR(VLOOKUP(B1882,'SB1'!$A$2:$B$999999,2,FALSE),"")</f>
        <v>REVOQUE PROYECTABLE 3EN1 WEBER PROMEX EXTERIOR GRIS X 30</v>
      </c>
      <c r="D1882" s="1" t="s">
        <v>14488</v>
      </c>
      <c r="E1882" s="3">
        <f>IFERROR(VLOOKUP(B1882,'DA1'!$B$2:$D$999999,3,FALSE),"")</f>
      </c>
      <c r="F1882" s="1" t="str">
        <f>IFERROR(VLOOKUP(B1882,'SB1'!$A$2:$C$999999,3,FALSE),"")</f>
        <v>503</v>
      </c>
      <c r="G1882" s="3" t="e">
        <f t="shared" si="63"/>
        <v>#VALUE!</v>
      </c>
      <c r="H1882" s="3" t="e">
        <f t="shared" si="62"/>
        <v>#VALUE!</v>
      </c>
      <c r="I1882" s="1">
        <v>1</v>
      </c>
    </row>
    <row r="1883" spans="1:9" x14ac:dyDescent="0.25">
      <c r="A1883" s="1" t="s">
        <v>14435</v>
      </c>
      <c r="B1883" s="1" t="s">
        <v>5245</v>
      </c>
      <c r="C1883" s="1" t="str">
        <f>IFERROR(VLOOKUP(B1883,'SB1'!$A$2:$B$999999,2,FALSE),"")</f>
        <v>ESMALTE SINTETICO TERSUAVE 2EN1 BRILLANTE CELESTE X  4</v>
      </c>
      <c r="D1883" s="1" t="s">
        <v>14437</v>
      </c>
      <c r="E1883" s="3">
        <f>IFERROR(VLOOKUP(B1883,'DA1'!$B$2:$D$999999,3,FALSE),"")</f>
      </c>
      <c r="F1883" s="1" t="str">
        <f>IFERROR(VLOOKUP(B1883,'SB1'!$A$2:$C$999999,3,FALSE),"")</f>
        <v>503</v>
      </c>
      <c r="G1883" s="3" t="e">
        <f t="shared" si="63"/>
        <v>#VALUE!</v>
      </c>
      <c r="H1883" s="3" t="e">
        <f t="shared" si="62"/>
        <v>#VALUE!</v>
      </c>
      <c r="I1883" s="1">
        <v>1</v>
      </c>
    </row>
    <row r="1884" spans="1:9" x14ac:dyDescent="0.25">
      <c r="A1884" s="1" t="s">
        <v>14435</v>
      </c>
      <c r="B1884" s="1" t="s">
        <v>5247</v>
      </c>
      <c r="C1884" s="1" t="str">
        <f>IFERROR(VLOOKUP(B1884,'SB1'!$A$2:$B$999999,2,FALSE),"")</f>
        <v>ESMALTE SINTETICO TERSUAVE 2EN1 BRILLANTE MARFIL SEDA X  4</v>
      </c>
      <c r="D1884" s="1" t="s">
        <v>14437</v>
      </c>
      <c r="E1884" s="3">
        <f>IFERROR(VLOOKUP(B1884,'DA1'!$B$2:$D$999999,3,FALSE),"")</f>
      </c>
      <c r="F1884" s="1" t="str">
        <f>IFERROR(VLOOKUP(B1884,'SB1'!$A$2:$C$999999,3,FALSE),"")</f>
        <v>503</v>
      </c>
      <c r="G1884" s="3" t="e">
        <f t="shared" si="63"/>
        <v>#VALUE!</v>
      </c>
      <c r="H1884" s="3" t="e">
        <f t="shared" si="62"/>
        <v>#VALUE!</v>
      </c>
      <c r="I1884" s="1">
        <v>1</v>
      </c>
    </row>
    <row r="1885" spans="1:9" x14ac:dyDescent="0.25">
      <c r="A1885" s="1" t="s">
        <v>14435</v>
      </c>
      <c r="B1885" s="1" t="s">
        <v>5249</v>
      </c>
      <c r="C1885" s="1" t="str">
        <f>IFERROR(VLOOKUP(B1885,'SB1'!$A$2:$B$999999,2,FALSE),"")</f>
        <v>MORTERO DE ASIENTO Y PUENTE DE ADHERENCIA BLOQUES DE HORMIGON WEBER CELUBLOCK GRIS X 30</v>
      </c>
      <c r="D1885" s="1" t="s">
        <v>14488</v>
      </c>
      <c r="E1885" s="3">
        <f>IFERROR(VLOOKUP(B1885,'DA1'!$B$2:$D$999999,3,FALSE),"")</f>
      </c>
      <c r="F1885" s="1" t="str">
        <f>IFERROR(VLOOKUP(B1885,'SB1'!$A$2:$C$999999,3,FALSE),"")</f>
        <v>503</v>
      </c>
      <c r="G1885" s="3" t="e">
        <f t="shared" si="63"/>
        <v>#VALUE!</v>
      </c>
      <c r="H1885" s="3" t="e">
        <f t="shared" si="62"/>
        <v>#VALUE!</v>
      </c>
      <c r="I1885" s="1">
        <v>1</v>
      </c>
    </row>
    <row r="1886" spans="1:9" x14ac:dyDescent="0.25">
      <c r="A1886" s="1" t="s">
        <v>14435</v>
      </c>
      <c r="B1886" s="1" t="s">
        <v>5251</v>
      </c>
      <c r="C1886" s="1" t="str">
        <f>IFERROR(VLOOKUP(B1886,'SB1'!$A$2:$B$999999,2,FALSE),"")</f>
        <v>ESMALTE SINTETICO TERSUAVE 2EN1 BRILLANTE GRIS ESPACIAL X  4</v>
      </c>
      <c r="D1886" s="1" t="s">
        <v>14437</v>
      </c>
      <c r="E1886" s="3">
        <f>IFERROR(VLOOKUP(B1886,'DA1'!$B$2:$D$999999,3,FALSE),"")</f>
      </c>
      <c r="F1886" s="1" t="str">
        <f>IFERROR(VLOOKUP(B1886,'SB1'!$A$2:$C$999999,3,FALSE),"")</f>
        <v>503</v>
      </c>
      <c r="G1886" s="3" t="e">
        <f t="shared" si="63"/>
        <v>#VALUE!</v>
      </c>
      <c r="H1886" s="3" t="e">
        <f t="shared" si="62"/>
        <v>#VALUE!</v>
      </c>
      <c r="I1886" s="1">
        <v>1</v>
      </c>
    </row>
    <row r="1887" spans="1:9" x14ac:dyDescent="0.25">
      <c r="A1887" s="1" t="s">
        <v>14435</v>
      </c>
      <c r="B1887" s="1" t="s">
        <v>5255</v>
      </c>
      <c r="C1887" s="1" t="str">
        <f>IFERROR(VLOOKUP(B1887,'SB1'!$A$2:$B$999999,2,FALSE),"")</f>
        <v>ESMALTE SINTETICO TERSUAVE 2EN1 BRILLANTE GRIS PERLA X  4</v>
      </c>
      <c r="D1887" s="1" t="s">
        <v>14437</v>
      </c>
      <c r="E1887" s="3">
        <f>IFERROR(VLOOKUP(B1887,'DA1'!$B$2:$D$999999,3,FALSE),"")</f>
      </c>
      <c r="F1887" s="1" t="str">
        <f>IFERROR(VLOOKUP(B1887,'SB1'!$A$2:$C$999999,3,FALSE),"")</f>
        <v>503</v>
      </c>
      <c r="G1887" s="3" t="e">
        <f t="shared" si="63"/>
        <v>#VALUE!</v>
      </c>
      <c r="H1887" s="3" t="e">
        <f t="shared" si="62"/>
        <v>#VALUE!</v>
      </c>
      <c r="I1887" s="1">
        <v>1</v>
      </c>
    </row>
    <row r="1888" spans="1:9" x14ac:dyDescent="0.25">
      <c r="A1888" s="1" t="s">
        <v>14435</v>
      </c>
      <c r="B1888" s="1" t="s">
        <v>5257</v>
      </c>
      <c r="C1888" s="1" t="str">
        <f>IFERROR(VLOOKUP(B1888,'SB1'!$A$2:$B$999999,2,FALSE),"")</f>
        <v>ESMALTE SINTETICO TERSUAVE 2EN1 BRILLANTE GRIS HIELO X  4</v>
      </c>
      <c r="D1888" s="1" t="s">
        <v>14437</v>
      </c>
      <c r="E1888" s="3">
        <f>IFERROR(VLOOKUP(B1888,'DA1'!$B$2:$D$999999,3,FALSE),"")</f>
      </c>
      <c r="F1888" s="1" t="str">
        <f>IFERROR(VLOOKUP(B1888,'SB1'!$A$2:$C$999999,3,FALSE),"")</f>
        <v>503</v>
      </c>
      <c r="G1888" s="3" t="e">
        <f t="shared" si="63"/>
        <v>#VALUE!</v>
      </c>
      <c r="H1888" s="3" t="e">
        <f t="shared" si="62"/>
        <v>#VALUE!</v>
      </c>
      <c r="I1888" s="1">
        <v>1</v>
      </c>
    </row>
    <row r="1889" spans="1:9" x14ac:dyDescent="0.25">
      <c r="A1889" s="1" t="s">
        <v>14435</v>
      </c>
      <c r="B1889" s="1" t="s">
        <v>5259</v>
      </c>
      <c r="C1889" s="1" t="str">
        <f>IFERROR(VLOOKUP(B1889,'SB1'!$A$2:$B$999999,2,FALSE),"")</f>
        <v>ESMALTE SINTETICO TERSUAVE 2EN1 BRILLANTE VERDE INGLES X  4</v>
      </c>
      <c r="D1889" s="1" t="s">
        <v>14437</v>
      </c>
      <c r="E1889" s="3">
        <f>IFERROR(VLOOKUP(B1889,'DA1'!$B$2:$D$999999,3,FALSE),"")</f>
      </c>
      <c r="F1889" s="1" t="str">
        <f>IFERROR(VLOOKUP(B1889,'SB1'!$A$2:$C$999999,3,FALSE),"")</f>
        <v>503</v>
      </c>
      <c r="G1889" s="3" t="e">
        <f t="shared" si="63"/>
        <v>#VALUE!</v>
      </c>
      <c r="H1889" s="3" t="e">
        <f t="shared" si="62"/>
        <v>#VALUE!</v>
      </c>
      <c r="I1889" s="1">
        <v>1</v>
      </c>
    </row>
    <row r="1890" spans="1:9" x14ac:dyDescent="0.25">
      <c r="A1890" s="1" t="s">
        <v>14435</v>
      </c>
      <c r="B1890" s="1" t="s">
        <v>5261</v>
      </c>
      <c r="C1890" s="1" t="str">
        <f>IFERROR(VLOOKUP(B1890,'SB1'!$A$2:$B$999999,2,FALSE),"")</f>
        <v>DISCO FLAP DOBLE A ULTRA OX ZIRCONIO 115X22 P 60</v>
      </c>
      <c r="D1890" s="1" t="s">
        <v>14451</v>
      </c>
      <c r="E1890" s="3">
        <f>IFERROR(VLOOKUP(B1890,'DA1'!$B$2:$D$999999,3,FALSE),"")</f>
      </c>
      <c r="F1890" s="1" t="str">
        <f>IFERROR(VLOOKUP(B1890,'SB1'!$A$2:$C$999999,3,FALSE),"")</f>
        <v>503</v>
      </c>
      <c r="G1890" s="3" t="e">
        <f t="shared" si="63"/>
        <v>#VALUE!</v>
      </c>
      <c r="H1890" s="3" t="e">
        <f t="shared" si="62"/>
        <v>#VALUE!</v>
      </c>
      <c r="I1890" s="1">
        <v>1</v>
      </c>
    </row>
    <row r="1891" spans="1:9" x14ac:dyDescent="0.25">
      <c r="A1891" s="1" t="s">
        <v>14435</v>
      </c>
      <c r="B1891" s="1" t="s">
        <v>5263</v>
      </c>
      <c r="C1891" s="1" t="str">
        <f>IFERROR(VLOOKUP(B1891,'SB1'!$A$2:$B$999999,2,FALSE),"")</f>
        <v>ESMALTE SINTETICO TERSUAVE 2EN1 BRILLANTE AZULEJO X  4</v>
      </c>
      <c r="D1891" s="1" t="s">
        <v>14437</v>
      </c>
      <c r="E1891" s="3">
        <f>IFERROR(VLOOKUP(B1891,'DA1'!$B$2:$D$999999,3,FALSE),"")</f>
      </c>
      <c r="F1891" s="1" t="str">
        <f>IFERROR(VLOOKUP(B1891,'SB1'!$A$2:$C$999999,3,FALSE),"")</f>
        <v>503</v>
      </c>
      <c r="G1891" s="3" t="e">
        <f t="shared" si="63"/>
        <v>#VALUE!</v>
      </c>
      <c r="H1891" s="3" t="e">
        <f t="shared" ref="H1891:H1954" si="64">G1891*1.21</f>
        <v>#VALUE!</v>
      </c>
      <c r="I1891" s="1">
        <v>1</v>
      </c>
    </row>
    <row r="1892" spans="1:9" x14ac:dyDescent="0.25">
      <c r="A1892" s="1" t="s">
        <v>14435</v>
      </c>
      <c r="B1892" s="1" t="s">
        <v>5265</v>
      </c>
      <c r="C1892" s="1" t="str">
        <f>IFERROR(VLOOKUP(B1892,'SB1'!$A$2:$B$999999,2,FALSE),"")</f>
        <v>ESMALTE SINTETICO TERSUAVE 2EN1 BRILLANTE MARFIL CHAMPAGNE X  4</v>
      </c>
      <c r="D1892" s="1" t="s">
        <v>14437</v>
      </c>
      <c r="E1892" s="3">
        <f>IFERROR(VLOOKUP(B1892,'DA1'!$B$2:$D$999999,3,FALSE),"")</f>
      </c>
      <c r="F1892" s="1" t="str">
        <f>IFERROR(VLOOKUP(B1892,'SB1'!$A$2:$C$999999,3,FALSE),"")</f>
        <v>503</v>
      </c>
      <c r="G1892" s="3" t="e">
        <f t="shared" si="63"/>
        <v>#VALUE!</v>
      </c>
      <c r="H1892" s="3" t="e">
        <f t="shared" si="64"/>
        <v>#VALUE!</v>
      </c>
      <c r="I1892" s="1">
        <v>1</v>
      </c>
    </row>
    <row r="1893" spans="1:9" x14ac:dyDescent="0.25">
      <c r="A1893" s="1" t="s">
        <v>14435</v>
      </c>
      <c r="B1893" s="1" t="s">
        <v>5267</v>
      </c>
      <c r="C1893" s="1" t="str">
        <f>IFERROR(VLOOKUP(B1893,'SB1'!$A$2:$B$999999,2,FALSE),"")</f>
        <v>ESMALTE SINTETICO TERSUAVE 2EN1 BRILLANTE VERDE ILUSION X  4</v>
      </c>
      <c r="D1893" s="1" t="s">
        <v>14437</v>
      </c>
      <c r="E1893" s="3">
        <f>IFERROR(VLOOKUP(B1893,'DA1'!$B$2:$D$999999,3,FALSE),"")</f>
      </c>
      <c r="F1893" s="1" t="str">
        <f>IFERROR(VLOOKUP(B1893,'SB1'!$A$2:$C$999999,3,FALSE),"")</f>
        <v>503</v>
      </c>
      <c r="G1893" s="3" t="e">
        <f t="shared" si="63"/>
        <v>#VALUE!</v>
      </c>
      <c r="H1893" s="3" t="e">
        <f t="shared" si="64"/>
        <v>#VALUE!</v>
      </c>
      <c r="I1893" s="1">
        <v>1</v>
      </c>
    </row>
    <row r="1894" spans="1:8" x14ac:dyDescent="0.25">
      <c r="A1894" s="1" t="s">
        <v>14435</v>
      </c>
      <c r="B1894" s="1" t="s">
        <v>5269</v>
      </c>
      <c r="C1894" s="1" t="str">
        <f>IFERROR(VLOOKUP(B1894,'SB1'!$A$2:$B$999999,2,FALSE),"")</f>
        <v>DISCO LIJA DOBLE A MASTER AUF6P 800</v>
      </c>
      <c r="D1894" s="1" t="s">
        <v>14439</v>
      </c>
      <c r="E1894" s="3">
        <f>IFERROR(VLOOKUP(B1894,'DA1'!$B$2:$D$999999,3,FALSE),"")</f>
      </c>
      <c r="F1894" s="1" t="str">
        <f>IFERROR(VLOOKUP(B1894,'SB1'!$A$2:$C$999999,3,FALSE),"")</f>
        <v>503</v>
      </c>
      <c r="G1894" s="3" t="e">
        <f t="shared" si="63"/>
        <v>#VALUE!</v>
      </c>
      <c r="H1894" s="3" t="e">
        <f t="shared" si="64"/>
        <v>#VALUE!</v>
      </c>
    </row>
    <row r="1895" spans="1:9" x14ac:dyDescent="0.25">
      <c r="A1895" s="1" t="s">
        <v>14435</v>
      </c>
      <c r="B1895" s="1" t="s">
        <v>5271</v>
      </c>
      <c r="C1895" s="1" t="str">
        <f>IFERROR(VLOOKUP(B1895,'SB1'!$A$2:$B$999999,2,FALSE),"")</f>
        <v>ESMALTE SINTETICO TERSUAVE 2EN1 BRILLANTE CREMA X  4</v>
      </c>
      <c r="D1895" s="1" t="s">
        <v>14437</v>
      </c>
      <c r="E1895" s="3">
        <f>IFERROR(VLOOKUP(B1895,'DA1'!$B$2:$D$999999,3,FALSE),"")</f>
      </c>
      <c r="F1895" s="1" t="str">
        <f>IFERROR(VLOOKUP(B1895,'SB1'!$A$2:$C$999999,3,FALSE),"")</f>
        <v>503</v>
      </c>
      <c r="G1895" s="3" t="e">
        <f t="shared" si="63"/>
        <v>#VALUE!</v>
      </c>
      <c r="H1895" s="3" t="e">
        <f t="shared" si="64"/>
        <v>#VALUE!</v>
      </c>
      <c r="I1895" s="1">
        <v>1</v>
      </c>
    </row>
    <row r="1896" spans="1:9" x14ac:dyDescent="0.25">
      <c r="A1896" s="1" t="s">
        <v>14435</v>
      </c>
      <c r="B1896" s="1" t="s">
        <v>5273</v>
      </c>
      <c r="C1896" s="1" t="str">
        <f>IFERROR(VLOOKUP(B1896,'SB1'!$A$2:$B$999999,2,FALSE),"")</f>
        <v>ESMALTE SINTETICO TERSUAVE 2EN1 BRILLANTE CASTANO X  4</v>
      </c>
      <c r="D1896" s="1" t="s">
        <v>14437</v>
      </c>
      <c r="E1896" s="3">
        <f>IFERROR(VLOOKUP(B1896,'DA1'!$B$2:$D$999999,3,FALSE),"")</f>
      </c>
      <c r="F1896" s="1" t="str">
        <f>IFERROR(VLOOKUP(B1896,'SB1'!$A$2:$C$999999,3,FALSE),"")</f>
        <v>503</v>
      </c>
      <c r="G1896" s="3" t="e">
        <f t="shared" si="63"/>
        <v>#VALUE!</v>
      </c>
      <c r="H1896" s="3" t="e">
        <f t="shared" si="64"/>
        <v>#VALUE!</v>
      </c>
      <c r="I1896" s="1">
        <v>1</v>
      </c>
    </row>
    <row r="1897" spans="1:9" x14ac:dyDescent="0.25">
      <c r="A1897" s="1" t="s">
        <v>14435</v>
      </c>
      <c r="B1897" s="1" t="s">
        <v>5275</v>
      </c>
      <c r="C1897" s="1" t="str">
        <f>IFERROR(VLOOKUP(B1897,'SB1'!$A$2:$B$999999,2,FALSE),"")</f>
        <v>ESMALTE SINTETICO TERSUAVE 2EN1 BRILLANTE VERDE NOCHE X  4</v>
      </c>
      <c r="D1897" s="1" t="s">
        <v>14437</v>
      </c>
      <c r="E1897" s="3">
        <f>IFERROR(VLOOKUP(B1897,'DA1'!$B$2:$D$999999,3,FALSE),"")</f>
      </c>
      <c r="F1897" s="1" t="str">
        <f>IFERROR(VLOOKUP(B1897,'SB1'!$A$2:$C$999999,3,FALSE),"")</f>
        <v>503</v>
      </c>
      <c r="G1897" s="3" t="e">
        <f t="shared" si="63"/>
        <v>#VALUE!</v>
      </c>
      <c r="H1897" s="3" t="e">
        <f t="shared" si="64"/>
        <v>#VALUE!</v>
      </c>
      <c r="I1897" s="1">
        <v>1</v>
      </c>
    </row>
    <row r="1898" spans="1:9" x14ac:dyDescent="0.25">
      <c r="A1898" s="1" t="s">
        <v>14435</v>
      </c>
      <c r="B1898" s="1" t="s">
        <v>5277</v>
      </c>
      <c r="C1898" s="1" t="str">
        <f>IFERROR(VLOOKUP(B1898,'SB1'!$A$2:$B$999999,2,FALSE),"")</f>
        <v>PROTECTOR PARA LADRILLO BRIKOL SILICONA PROFESIONAL INCOLORO X  4</v>
      </c>
      <c r="D1898" s="1" t="s">
        <v>14491</v>
      </c>
      <c r="E1898" s="3">
        <f>IFERROR(VLOOKUP(B1898,'DA1'!$B$2:$D$999999,3,FALSE),"")</f>
      </c>
      <c r="F1898" s="1" t="str">
        <f>IFERROR(VLOOKUP(B1898,'SB1'!$A$2:$C$999999,3,FALSE),"")</f>
        <v>503</v>
      </c>
      <c r="G1898" s="3" t="e">
        <f t="shared" si="63"/>
        <v>#VALUE!</v>
      </c>
      <c r="H1898" s="3" t="e">
        <f t="shared" si="64"/>
        <v>#VALUE!</v>
      </c>
      <c r="I1898" s="1">
        <v>1</v>
      </c>
    </row>
    <row r="1899" spans="1:9" x14ac:dyDescent="0.25">
      <c r="A1899" s="1" t="s">
        <v>14435</v>
      </c>
      <c r="B1899" s="1" t="s">
        <v>5279</v>
      </c>
      <c r="C1899" s="1" t="str">
        <f>IFERROR(VLOOKUP(B1899,'SB1'!$A$2:$B$999999,2,FALSE),"")</f>
        <v>PROTECTOR PARA LADRILLO BRIKOL SILICONA PROFESIONAL INCOLORO X 20</v>
      </c>
      <c r="D1899" s="1" t="s">
        <v>14491</v>
      </c>
      <c r="E1899" s="3">
        <f>IFERROR(VLOOKUP(B1899,'DA1'!$B$2:$D$999999,3,FALSE),"")</f>
      </c>
      <c r="F1899" s="1" t="str">
        <f>IFERROR(VLOOKUP(B1899,'SB1'!$A$2:$C$999999,3,FALSE),"")</f>
        <v>503</v>
      </c>
      <c r="G1899" s="3" t="e">
        <f t="shared" si="63"/>
        <v>#VALUE!</v>
      </c>
      <c r="H1899" s="3" t="e">
        <f t="shared" si="64"/>
        <v>#VALUE!</v>
      </c>
      <c r="I1899" s="1">
        <v>1</v>
      </c>
    </row>
    <row r="1900" spans="1:9" x14ac:dyDescent="0.25">
      <c r="A1900" s="1" t="s">
        <v>14435</v>
      </c>
      <c r="B1900" s="1" t="s">
        <v>5281</v>
      </c>
      <c r="C1900" s="1" t="str">
        <f>IFERROR(VLOOKUP(B1900,'SB1'!$A$2:$B$999999,2,FALSE),"")</f>
        <v>ESMALTE SINTETICO TERSUAVE 2EN1 BRILLANTE TRAFUL X  4</v>
      </c>
      <c r="D1900" s="1" t="s">
        <v>14437</v>
      </c>
      <c r="E1900" s="3">
        <f>IFERROR(VLOOKUP(B1900,'DA1'!$B$2:$D$999999,3,FALSE),"")</f>
      </c>
      <c r="F1900" s="1" t="str">
        <f>IFERROR(VLOOKUP(B1900,'SB1'!$A$2:$C$999999,3,FALSE),"")</f>
        <v>503</v>
      </c>
      <c r="G1900" s="3" t="e">
        <f t="shared" si="63"/>
        <v>#VALUE!</v>
      </c>
      <c r="H1900" s="3" t="e">
        <f t="shared" si="64"/>
        <v>#VALUE!</v>
      </c>
      <c r="I1900" s="1">
        <v>1</v>
      </c>
    </row>
    <row r="1901" spans="1:9" x14ac:dyDescent="0.25">
      <c r="A1901" s="1" t="s">
        <v>14435</v>
      </c>
      <c r="B1901" s="1" t="s">
        <v>5283</v>
      </c>
      <c r="C1901" s="1" t="str">
        <f>IFERROR(VLOOKUP(B1901,'SB1'!$A$2:$B$999999,2,FALSE),"")</f>
        <v>PEGAMENTO PARA PIEZAS DE CERAMICA WEBER BASIC INTERIOR X 25</v>
      </c>
      <c r="D1901" s="1" t="s">
        <v>14488</v>
      </c>
      <c r="E1901" s="3">
        <f>IFERROR(VLOOKUP(B1901,'DA1'!$B$2:$D$999999,3,FALSE),"")</f>
      </c>
      <c r="F1901" s="1" t="str">
        <f>IFERROR(VLOOKUP(B1901,'SB1'!$A$2:$C$999999,3,FALSE),"")</f>
        <v>503</v>
      </c>
      <c r="G1901" s="3" t="e">
        <f t="shared" si="63"/>
        <v>#VALUE!</v>
      </c>
      <c r="H1901" s="3" t="e">
        <f t="shared" si="64"/>
        <v>#VALUE!</v>
      </c>
      <c r="I1901" s="1">
        <v>1</v>
      </c>
    </row>
    <row r="1902" spans="1:9" x14ac:dyDescent="0.25">
      <c r="A1902" s="1" t="s">
        <v>14435</v>
      </c>
      <c r="B1902" s="1" t="s">
        <v>5285</v>
      </c>
      <c r="C1902" s="1" t="str">
        <f>IFERROR(VLOOKUP(B1902,'SB1'!$A$2:$B$999999,2,FALSE),"")</f>
        <v>ESMALTE SINTETICO TERSUAVE 2EN1 BRILLANTE AZUL X  4</v>
      </c>
      <c r="D1902" s="1" t="s">
        <v>14437</v>
      </c>
      <c r="E1902" s="3">
        <f>IFERROR(VLOOKUP(B1902,'DA1'!$B$2:$D$999999,3,FALSE),"")</f>
      </c>
      <c r="F1902" s="1" t="str">
        <f>IFERROR(VLOOKUP(B1902,'SB1'!$A$2:$C$999999,3,FALSE),"")</f>
        <v>503</v>
      </c>
      <c r="G1902" s="3" t="e">
        <f t="shared" si="63"/>
        <v>#VALUE!</v>
      </c>
      <c r="H1902" s="3" t="e">
        <f t="shared" si="64"/>
        <v>#VALUE!</v>
      </c>
      <c r="I1902" s="1">
        <v>1</v>
      </c>
    </row>
    <row r="1903" spans="1:9" x14ac:dyDescent="0.25">
      <c r="A1903" s="1" t="s">
        <v>14435</v>
      </c>
      <c r="B1903" s="1" t="s">
        <v>5287</v>
      </c>
      <c r="C1903" s="1" t="str">
        <f>IFERROR(VLOOKUP(B1903,'SB1'!$A$2:$B$999999,2,FALSE),"")</f>
        <v>ESMALTE SINTETICO ALBA ANTIGRAFITTI X 1</v>
      </c>
      <c r="D1903" s="1" t="s">
        <v>14489</v>
      </c>
      <c r="E1903" s="3">
        <f>IFERROR(VLOOKUP(B1903,'DA1'!$B$2:$D$999999,3,FALSE),"")</f>
      </c>
      <c r="F1903" s="1" t="str">
        <f>IFERROR(VLOOKUP(B1903,'SB1'!$A$2:$C$999999,3,FALSE),"")</f>
        <v>503</v>
      </c>
      <c r="G1903" s="3" t="e">
        <f t="shared" si="63"/>
        <v>#VALUE!</v>
      </c>
      <c r="H1903" s="3" t="e">
        <f t="shared" si="64"/>
        <v>#VALUE!</v>
      </c>
      <c r="I1903" s="1">
        <v>1</v>
      </c>
    </row>
    <row r="1904" spans="1:9" x14ac:dyDescent="0.25">
      <c r="A1904" s="1" t="s">
        <v>14435</v>
      </c>
      <c r="B1904" s="1" t="s">
        <v>5289</v>
      </c>
      <c r="C1904" s="1" t="str">
        <f>IFERROR(VLOOKUP(B1904,'SB1'!$A$2:$B$999999,2,FALSE),"")</f>
        <v>ESMALTE SINTETICO ALBA ANTIGRAFITTI X 4</v>
      </c>
      <c r="D1904" s="1" t="s">
        <v>14489</v>
      </c>
      <c r="E1904" s="3">
        <f>IFERROR(VLOOKUP(B1904,'DA1'!$B$2:$D$999999,3,FALSE),"")</f>
      </c>
      <c r="F1904" s="1" t="str">
        <f>IFERROR(VLOOKUP(B1904,'SB1'!$A$2:$C$999999,3,FALSE),"")</f>
        <v>503</v>
      </c>
      <c r="G1904" s="3" t="e">
        <f t="shared" si="63"/>
        <v>#VALUE!</v>
      </c>
      <c r="H1904" s="3" t="e">
        <f t="shared" si="64"/>
        <v>#VALUE!</v>
      </c>
      <c r="I1904" s="1">
        <v>1</v>
      </c>
    </row>
    <row r="1905" spans="1:9" x14ac:dyDescent="0.25">
      <c r="A1905" s="1" t="s">
        <v>14435</v>
      </c>
      <c r="B1905" s="1" t="s">
        <v>5291</v>
      </c>
      <c r="C1905" s="1" t="str">
        <f>IFERROR(VLOOKUP(B1905,'SB1'!$A$2:$B$999999,2,FALSE),"")</f>
        <v>ESMALTE SINTETICO ALBA ALTA TEMPERATURA 540OC ALUMINIO X 1</v>
      </c>
      <c r="D1905" s="1" t="s">
        <v>14489</v>
      </c>
      <c r="E1905" s="3">
        <f>IFERROR(VLOOKUP(B1905,'DA1'!$B$2:$D$999999,3,FALSE),"")</f>
      </c>
      <c r="F1905" s="1" t="str">
        <f>IFERROR(VLOOKUP(B1905,'SB1'!$A$2:$C$999999,3,FALSE),"")</f>
        <v>503</v>
      </c>
      <c r="G1905" s="3" t="e">
        <f t="shared" si="63"/>
        <v>#VALUE!</v>
      </c>
      <c r="H1905" s="3" t="e">
        <f t="shared" si="64"/>
        <v>#VALUE!</v>
      </c>
      <c r="I1905" s="1">
        <v>1</v>
      </c>
    </row>
    <row r="1906" spans="1:9" x14ac:dyDescent="0.25">
      <c r="A1906" s="1" t="s">
        <v>14435</v>
      </c>
      <c r="B1906" s="1" t="s">
        <v>5293</v>
      </c>
      <c r="C1906" s="1" t="str">
        <f>IFERROR(VLOOKUP(B1906,'SB1'!$A$2:$B$999999,2,FALSE),"")</f>
        <v>ESMALTE SINTETICO TERSUAVE 2EN1 BRILLANTE TABACO X  4</v>
      </c>
      <c r="D1906" s="1" t="s">
        <v>14437</v>
      </c>
      <c r="E1906" s="3">
        <f>IFERROR(VLOOKUP(B1906,'DA1'!$B$2:$D$999999,3,FALSE),"")</f>
      </c>
      <c r="F1906" s="1" t="str">
        <f>IFERROR(VLOOKUP(B1906,'SB1'!$A$2:$C$999999,3,FALSE),"")</f>
        <v>503</v>
      </c>
      <c r="G1906" s="3" t="e">
        <f t="shared" si="63"/>
        <v>#VALUE!</v>
      </c>
      <c r="H1906" s="3" t="e">
        <f t="shared" si="64"/>
        <v>#VALUE!</v>
      </c>
      <c r="I1906" s="1">
        <v>1</v>
      </c>
    </row>
    <row r="1907" spans="1:9" x14ac:dyDescent="0.25">
      <c r="A1907" s="1" t="s">
        <v>14435</v>
      </c>
      <c r="B1907" s="1" t="s">
        <v>5297</v>
      </c>
      <c r="C1907" s="1" t="str">
        <f>IFERROR(VLOOKUP(B1907,'SB1'!$A$2:$B$999999,2,FALSE),"")</f>
        <v>FONDO ALQUIDICO INTERPRIME 222 GRIS X 20</v>
      </c>
      <c r="D1907" s="1" t="s">
        <v>14492</v>
      </c>
      <c r="E1907" s="3">
        <f>IFERROR(VLOOKUP(B1907,'DA1'!$B$2:$D$999999,3,FALSE),"")</f>
      </c>
      <c r="F1907" s="1" t="str">
        <f>IFERROR(VLOOKUP(B1907,'SB1'!$A$2:$C$999999,3,FALSE),"")</f>
        <v>503</v>
      </c>
      <c r="G1907" s="3" t="e">
        <f t="shared" si="63"/>
        <v>#VALUE!</v>
      </c>
      <c r="H1907" s="3" t="e">
        <f t="shared" si="64"/>
        <v>#VALUE!</v>
      </c>
      <c r="I1907" s="1">
        <v>2</v>
      </c>
    </row>
    <row r="1908" spans="1:9" x14ac:dyDescent="0.25">
      <c r="A1908" s="1" t="s">
        <v>14435</v>
      </c>
      <c r="B1908" s="1" t="s">
        <v>5299</v>
      </c>
      <c r="C1908" s="1" t="str">
        <f>IFERROR(VLOOKUP(B1908,'SB1'!$A$2:$B$999999,2,FALSE),"")</f>
        <v>ESMALTE SINTETICO TERSUAVE 2EN1 BRILLANTE VIOLETA X 4</v>
      </c>
      <c r="D1908" s="1" t="s">
        <v>14437</v>
      </c>
      <c r="E1908" s="3">
        <f>IFERROR(VLOOKUP(B1908,'DA1'!$B$2:$D$999999,3,FALSE),"")</f>
      </c>
      <c r="F1908" s="1" t="str">
        <f>IFERROR(VLOOKUP(B1908,'SB1'!$A$2:$C$999999,3,FALSE),"")</f>
        <v>503</v>
      </c>
      <c r="G1908" s="3" t="e">
        <f t="shared" si="63"/>
        <v>#VALUE!</v>
      </c>
      <c r="H1908" s="3" t="e">
        <f t="shared" si="64"/>
        <v>#VALUE!</v>
      </c>
      <c r="I1908" s="1">
        <v>1</v>
      </c>
    </row>
    <row r="1909" spans="1:9" x14ac:dyDescent="0.25">
      <c r="A1909" s="1" t="s">
        <v>14435</v>
      </c>
      <c r="B1909" s="1" t="s">
        <v>5305</v>
      </c>
      <c r="C1909" s="1" t="str">
        <f>IFERROR(VLOOKUP(B1909,'SB1'!$A$2:$B$999999,2,FALSE),"")</f>
        <v>DISCO CORTE DOBLE A T42 MASTER ACERO 115X0,8X22,2</v>
      </c>
      <c r="D1909" s="1" t="s">
        <v>14451</v>
      </c>
      <c r="E1909" s="3">
        <f>IFERROR(VLOOKUP(B1909,'DA1'!$B$2:$D$999999,3,FALSE),"")</f>
      </c>
      <c r="F1909" s="1" t="str">
        <f>IFERROR(VLOOKUP(B1909,'SB1'!$A$2:$C$999999,3,FALSE),"")</f>
        <v>503</v>
      </c>
      <c r="G1909" s="3" t="e">
        <f t="shared" si="63"/>
        <v>#VALUE!</v>
      </c>
      <c r="H1909" s="3" t="e">
        <f t="shared" si="64"/>
        <v>#VALUE!</v>
      </c>
      <c r="I1909" s="1">
        <v>1</v>
      </c>
    </row>
    <row r="1910" spans="1:9" x14ac:dyDescent="0.25">
      <c r="A1910" s="1" t="s">
        <v>14435</v>
      </c>
      <c r="B1910" s="1" t="s">
        <v>5309</v>
      </c>
      <c r="C1910" s="1" t="str">
        <f>IFERROR(VLOOKUP(B1910,'SB1'!$A$2:$B$999999,2,FALSE),"")</f>
        <v>P426-PP68-E033 ORANGE PEARL. X 0,330</v>
      </c>
      <c r="D1910" s="1" t="s">
        <v>14485</v>
      </c>
      <c r="E1910" s="3">
        <f>IFERROR(VLOOKUP(B1910,'DA1'!$B$2:$D$999999,3,FALSE),"")</f>
      </c>
      <c r="F1910" s="1" t="str">
        <f>IFERROR(VLOOKUP(B1910,'SB1'!$A$2:$C$999999,3,FALSE),"")</f>
        <v>503</v>
      </c>
      <c r="G1910" s="3" t="e">
        <f t="shared" si="63"/>
        <v>#VALUE!</v>
      </c>
      <c r="H1910" s="3" t="e">
        <f t="shared" si="64"/>
        <v>#VALUE!</v>
      </c>
      <c r="I1910" s="1">
        <v>3</v>
      </c>
    </row>
    <row r="1911" spans="1:9" x14ac:dyDescent="0.25">
      <c r="A1911" s="1" t="s">
        <v>14435</v>
      </c>
      <c r="B1911" s="1" t="s">
        <v>5311</v>
      </c>
      <c r="C1911" s="1" t="str">
        <f>IFERROR(VLOOKUP(B1911,'SB1'!$A$2:$B$999999,2,FALSE),"")</f>
        <v>ESMALTE SINTETICO TERSUAVE 2EN1 BRILLANTE AMAR.MED. X  4</v>
      </c>
      <c r="D1911" s="1" t="s">
        <v>14437</v>
      </c>
      <c r="E1911" s="3">
        <f>IFERROR(VLOOKUP(B1911,'DA1'!$B$2:$D$999999,3,FALSE),"")</f>
      </c>
      <c r="F1911" s="1" t="str">
        <f>IFERROR(VLOOKUP(B1911,'SB1'!$A$2:$C$999999,3,FALSE),"")</f>
        <v>503</v>
      </c>
      <c r="G1911" s="3" t="e">
        <f t="shared" si="63"/>
        <v>#VALUE!</v>
      </c>
      <c r="H1911" s="3" t="e">
        <f t="shared" si="64"/>
        <v>#VALUE!</v>
      </c>
      <c r="I1911" s="1">
        <v>1</v>
      </c>
    </row>
    <row r="1912" spans="1:9" x14ac:dyDescent="0.25">
      <c r="A1912" s="1" t="s">
        <v>14435</v>
      </c>
      <c r="B1912" s="1" t="s">
        <v>5315</v>
      </c>
      <c r="C1912" s="1" t="str">
        <f>IFERROR(VLOOKUP(B1912,'SB1'!$A$2:$B$999999,2,FALSE),"")</f>
        <v>ESM SINT IND ALUMINIO X 20</v>
      </c>
      <c r="D1912" s="1" t="s">
        <v>14479</v>
      </c>
      <c r="E1912" s="3">
        <f>IFERROR(VLOOKUP(B1912,'DA1'!$B$2:$D$999999,3,FALSE),"")</f>
      </c>
      <c r="F1912" s="1" t="str">
        <f>IFERROR(VLOOKUP(B1912,'SB1'!$A$2:$C$999999,3,FALSE),"")</f>
        <v>503</v>
      </c>
      <c r="G1912" s="3" t="e">
        <f t="shared" si="63"/>
        <v>#VALUE!</v>
      </c>
      <c r="H1912" s="3" t="e">
        <f t="shared" si="64"/>
        <v>#VALUE!</v>
      </c>
      <c r="I1912" s="1">
        <v>1</v>
      </c>
    </row>
    <row r="1913" spans="1:9" x14ac:dyDescent="0.25">
      <c r="A1913" s="1" t="s">
        <v>14435</v>
      </c>
      <c r="B1913" s="1" t="s">
        <v>5331</v>
      </c>
      <c r="C1913" s="1" t="str">
        <f>IFERROR(VLOOKUP(B1913,'SB1'!$A$2:$B$999999,2,FALSE),"")</f>
        <v>ESM SINT IND AZUL MARINO 043 X 20</v>
      </c>
      <c r="D1913" s="1" t="s">
        <v>14479</v>
      </c>
      <c r="E1913" s="3">
        <f>IFERROR(VLOOKUP(B1913,'DA1'!$B$2:$D$999999,3,FALSE),"")</f>
      </c>
      <c r="F1913" s="1" t="str">
        <f>IFERROR(VLOOKUP(B1913,'SB1'!$A$2:$C$999999,3,FALSE),"")</f>
        <v>503</v>
      </c>
      <c r="G1913" s="3" t="e">
        <f t="shared" si="63"/>
        <v>#VALUE!</v>
      </c>
      <c r="H1913" s="3" t="e">
        <f t="shared" si="64"/>
        <v>#VALUE!</v>
      </c>
      <c r="I1913" s="1">
        <v>1</v>
      </c>
    </row>
    <row r="1914" spans="1:9" x14ac:dyDescent="0.25">
      <c r="A1914" s="1" t="s">
        <v>14435</v>
      </c>
      <c r="B1914" s="1" t="s">
        <v>5339</v>
      </c>
      <c r="C1914" s="1" t="str">
        <f>IFERROR(VLOOKUP(B1914,'SB1'!$A$2:$B$999999,2,FALSE),"")</f>
        <v>ESM SINT IND AZULEJO 032 X 20</v>
      </c>
      <c r="D1914" s="1" t="s">
        <v>14479</v>
      </c>
      <c r="E1914" s="3">
        <f>IFERROR(VLOOKUP(B1914,'DA1'!$B$2:$D$999999,3,FALSE),"")</f>
      </c>
      <c r="F1914" s="1" t="str">
        <f>IFERROR(VLOOKUP(B1914,'SB1'!$A$2:$C$999999,3,FALSE),"")</f>
        <v>503</v>
      </c>
      <c r="G1914" s="3" t="e">
        <f t="shared" si="63"/>
        <v>#VALUE!</v>
      </c>
      <c r="H1914" s="3" t="e">
        <f t="shared" si="64"/>
        <v>#VALUE!</v>
      </c>
      <c r="I1914" s="1">
        <v>1</v>
      </c>
    </row>
    <row r="1915" spans="1:9" x14ac:dyDescent="0.25">
      <c r="A1915" s="1" t="s">
        <v>14435</v>
      </c>
      <c r="B1915" s="1" t="s">
        <v>5343</v>
      </c>
      <c r="C1915" s="1" t="str">
        <f>IFERROR(VLOOKUP(B1915,'SB1'!$A$2:$B$999999,2,FALSE),"")</f>
        <v>ESM SINT IND AMARILLO MED 056 X 20</v>
      </c>
      <c r="D1915" s="1" t="s">
        <v>14479</v>
      </c>
      <c r="E1915" s="3">
        <f>IFERROR(VLOOKUP(B1915,'DA1'!$B$2:$D$999999,3,FALSE),"")</f>
      </c>
      <c r="F1915" s="1" t="str">
        <f>IFERROR(VLOOKUP(B1915,'SB1'!$A$2:$C$999999,3,FALSE),"")</f>
        <v>503</v>
      </c>
      <c r="G1915" s="3" t="e">
        <f t="shared" si="63"/>
        <v>#VALUE!</v>
      </c>
      <c r="H1915" s="3" t="e">
        <f t="shared" si="64"/>
        <v>#VALUE!</v>
      </c>
      <c r="I1915" s="1">
        <v>1</v>
      </c>
    </row>
    <row r="1916" spans="1:9" x14ac:dyDescent="0.25">
      <c r="A1916" s="1" t="s">
        <v>14435</v>
      </c>
      <c r="B1916" s="1" t="s">
        <v>5375</v>
      </c>
      <c r="C1916" s="1" t="str">
        <f>IFERROR(VLOOKUP(B1916,'SB1'!$A$2:$B$999999,2,FALSE),"")</f>
        <v>P429-967-E1C DEEP ANGLE BLACK X 1</v>
      </c>
      <c r="D1916" s="1" t="s">
        <v>14485</v>
      </c>
      <c r="E1916" s="3">
        <f>IFERROR(VLOOKUP(B1916,'DA1'!$B$2:$D$999999,3,FALSE),"")</f>
      </c>
      <c r="F1916" s="1" t="str">
        <f>IFERROR(VLOOKUP(B1916,'SB1'!$A$2:$C$999999,3,FALSE),"")</f>
        <v>503</v>
      </c>
      <c r="G1916" s="3" t="e">
        <f t="shared" si="63"/>
        <v>#VALUE!</v>
      </c>
      <c r="H1916" s="3" t="e">
        <f t="shared" si="64"/>
        <v>#VALUE!</v>
      </c>
      <c r="I1916" s="1">
        <v>3</v>
      </c>
    </row>
    <row r="1917" spans="1:9" x14ac:dyDescent="0.25">
      <c r="A1917" s="1" t="s">
        <v>14435</v>
      </c>
      <c r="B1917" s="1" t="s">
        <v>5391</v>
      </c>
      <c r="C1917" s="1" t="str">
        <f>IFERROR(VLOOKUP(B1917,'SB1'!$A$2:$B$999999,2,FALSE),"")</f>
        <v>P429-972-E1C BRIGHT AMBER X 1</v>
      </c>
      <c r="D1917" s="1" t="s">
        <v>14485</v>
      </c>
      <c r="E1917" s="3">
        <f>IFERROR(VLOOKUP(B1917,'DA1'!$B$2:$D$999999,3,FALSE),"")</f>
      </c>
      <c r="F1917" s="1" t="str">
        <f>IFERROR(VLOOKUP(B1917,'SB1'!$A$2:$C$999999,3,FALSE),"")</f>
        <v>503</v>
      </c>
      <c r="G1917" s="3" t="e">
        <f t="shared" si="63"/>
        <v>#VALUE!</v>
      </c>
      <c r="H1917" s="3" t="e">
        <f t="shared" si="64"/>
        <v>#VALUE!</v>
      </c>
      <c r="I1917" s="1">
        <v>3</v>
      </c>
    </row>
    <row r="1918" spans="1:9" x14ac:dyDescent="0.25">
      <c r="A1918" s="1" t="s">
        <v>14435</v>
      </c>
      <c r="B1918" s="1" t="s">
        <v>5395</v>
      </c>
      <c r="C1918" s="1" t="str">
        <f>IFERROR(VLOOKUP(B1918,'SB1'!$A$2:$B$999999,2,FALSE),"")</f>
        <v>P429-973-E1C HS BRIGHT ORANGE X 1</v>
      </c>
      <c r="D1918" s="1" t="s">
        <v>14485</v>
      </c>
      <c r="E1918" s="3">
        <f>IFERROR(VLOOKUP(B1918,'DA1'!$B$2:$D$999999,3,FALSE),"")</f>
      </c>
      <c r="F1918" s="1" t="str">
        <f>IFERROR(VLOOKUP(B1918,'SB1'!$A$2:$C$999999,3,FALSE),"")</f>
        <v>503</v>
      </c>
      <c r="G1918" s="3" t="e">
        <f t="shared" si="63"/>
        <v>#VALUE!</v>
      </c>
      <c r="H1918" s="3" t="e">
        <f t="shared" si="64"/>
        <v>#VALUE!</v>
      </c>
      <c r="I1918" s="1">
        <v>3</v>
      </c>
    </row>
    <row r="1919" spans="1:9" x14ac:dyDescent="0.25">
      <c r="A1919" s="1" t="s">
        <v>14435</v>
      </c>
      <c r="B1919" s="1" t="s">
        <v>5399</v>
      </c>
      <c r="C1919" s="1" t="str">
        <f>IFERROR(VLOOKUP(B1919,'SB1'!$A$2:$B$999999,2,FALSE),"")</f>
        <v>ROLLO CARTON CORRUGADO 1X30MT</v>
      </c>
      <c r="D1919" s="1" t="s">
        <v>14452</v>
      </c>
      <c r="E1919" s="3">
        <f>IFERROR(VLOOKUP(B1919,'DA1'!$B$2:$D$999999,3,FALSE),"")</f>
      </c>
      <c r="F1919" s="1" t="str">
        <f>IFERROR(VLOOKUP(B1919,'SB1'!$A$2:$C$999999,3,FALSE),"")</f>
        <v>503</v>
      </c>
      <c r="G1919" s="3" t="e">
        <f t="shared" si="63"/>
        <v>#VALUE!</v>
      </c>
      <c r="H1919" s="3" t="e">
        <f t="shared" si="64"/>
        <v>#VALUE!</v>
      </c>
      <c r="I1919" s="1">
        <v>1</v>
      </c>
    </row>
    <row r="1920" spans="1:9" x14ac:dyDescent="0.25">
      <c r="A1920" s="1" t="s">
        <v>14435</v>
      </c>
      <c r="B1920" s="1" t="s">
        <v>5405</v>
      </c>
      <c r="C1920" s="1" t="str">
        <f>IFERROR(VLOOKUP(B1920,'SB1'!$A$2:$B$999999,2,FALSE),"")</f>
        <v>RODILLO LANA BLANCO 22/50</v>
      </c>
      <c r="D1920" s="1" t="s">
        <v>14483</v>
      </c>
      <c r="E1920" s="3">
        <f>IFERROR(VLOOKUP(B1920,'DA1'!$B$2:$D$999999,3,FALSE),"")</f>
      </c>
      <c r="F1920" s="1" t="str">
        <f>IFERROR(VLOOKUP(B1920,'SB1'!$A$2:$C$999999,3,FALSE),"")</f>
        <v>503</v>
      </c>
      <c r="G1920" s="3" t="e">
        <f t="shared" si="63"/>
        <v>#VALUE!</v>
      </c>
      <c r="H1920" s="3" t="e">
        <f t="shared" si="64"/>
        <v>#VALUE!</v>
      </c>
      <c r="I1920" s="1">
        <v>1</v>
      </c>
    </row>
    <row r="1921" spans="1:9" x14ac:dyDescent="0.25">
      <c r="A1921" s="1" t="s">
        <v>14435</v>
      </c>
      <c r="B1921" s="1" t="s">
        <v>5407</v>
      </c>
      <c r="C1921" s="1" t="str">
        <f>IFERROR(VLOOKUP(B1921,'SB1'!$A$2:$B$999999,2,FALSE),"")</f>
        <v>RODILLO LANA ORO 22/50</v>
      </c>
      <c r="D1921" s="1" t="s">
        <v>14483</v>
      </c>
      <c r="E1921" s="3">
        <f>IFERROR(VLOOKUP(B1921,'DA1'!$B$2:$D$999999,3,FALSE),"")</f>
      </c>
      <c r="F1921" s="1" t="str">
        <f>IFERROR(VLOOKUP(B1921,'SB1'!$A$2:$C$999999,3,FALSE),"")</f>
        <v>503</v>
      </c>
      <c r="G1921" s="3" t="e">
        <f t="shared" si="63"/>
        <v>#VALUE!</v>
      </c>
      <c r="H1921" s="3" t="e">
        <f t="shared" si="64"/>
        <v>#VALUE!</v>
      </c>
      <c r="I1921" s="1">
        <v>1</v>
      </c>
    </row>
    <row r="1922" spans="1:9" x14ac:dyDescent="0.25">
      <c r="A1922" s="1" t="s">
        <v>14435</v>
      </c>
      <c r="B1922" s="1" t="s">
        <v>5409</v>
      </c>
      <c r="C1922" s="1" t="str">
        <f>IFERROR(VLOOKUP(B1922,'SB1'!$A$2:$B$999999,2,FALSE),"")</f>
        <v>ESPATULA PINTOR SANTA JUANA CABO MADERA 30</v>
      </c>
      <c r="D1922" s="1" t="s">
        <v>14448</v>
      </c>
      <c r="E1922" s="3">
        <f>IFERROR(VLOOKUP(B1922,'DA1'!$B$2:$D$999999,3,FALSE),"")</f>
      </c>
      <c r="F1922" s="1" t="str">
        <f>IFERROR(VLOOKUP(B1922,'SB1'!$A$2:$C$999999,3,FALSE),"")</f>
        <v>503</v>
      </c>
      <c r="G1922" s="3" t="e">
        <f t="shared" si="63"/>
        <v>#VALUE!</v>
      </c>
      <c r="H1922" s="3" t="e">
        <f t="shared" si="64"/>
        <v>#VALUE!</v>
      </c>
      <c r="I1922" s="1">
        <v>1</v>
      </c>
    </row>
    <row r="1923" spans="1:9" x14ac:dyDescent="0.25">
      <c r="A1923" s="1" t="s">
        <v>14435</v>
      </c>
      <c r="B1923" s="1" t="s">
        <v>5411</v>
      </c>
      <c r="C1923" s="1" t="str">
        <f>IFERROR(VLOOKUP(B1923,'SB1'!$A$2:$B$999999,2,FALSE),"")</f>
        <v>ESPATULA PINTOR SANTA JUANA CABO MADERA 40</v>
      </c>
      <c r="D1923" s="1" t="s">
        <v>14448</v>
      </c>
      <c r="E1923" s="3">
        <f>IFERROR(VLOOKUP(B1923,'DA1'!$B$2:$D$999999,3,FALSE),"")</f>
      </c>
      <c r="F1923" s="1" t="str">
        <f>IFERROR(VLOOKUP(B1923,'SB1'!$A$2:$C$999999,3,FALSE),"")</f>
        <v>503</v>
      </c>
      <c r="G1923" s="3" t="e">
        <f t="shared" ref="G1923:G1986" si="65">E1923*1.04</f>
        <v>#VALUE!</v>
      </c>
      <c r="H1923" s="3" t="e">
        <f t="shared" si="64"/>
        <v>#VALUE!</v>
      </c>
      <c r="I1923" s="1">
        <v>1</v>
      </c>
    </row>
    <row r="1924" spans="1:9" x14ac:dyDescent="0.25">
      <c r="A1924" s="1" t="s">
        <v>14435</v>
      </c>
      <c r="B1924" s="1" t="s">
        <v>5413</v>
      </c>
      <c r="C1924" s="1" t="str">
        <f>IFERROR(VLOOKUP(B1924,'SB1'!$A$2:$B$999999,2,FALSE),"")</f>
        <v>ESPATULA PINTOR SANTA JUANA CABO MADERA 50</v>
      </c>
      <c r="D1924" s="1" t="s">
        <v>14448</v>
      </c>
      <c r="E1924" s="3">
        <f>IFERROR(VLOOKUP(B1924,'DA1'!$B$2:$D$999999,3,FALSE),"")</f>
      </c>
      <c r="F1924" s="1" t="str">
        <f>IFERROR(VLOOKUP(B1924,'SB1'!$A$2:$C$999999,3,FALSE),"")</f>
        <v>503</v>
      </c>
      <c r="G1924" s="3" t="e">
        <f t="shared" si="65"/>
        <v>#VALUE!</v>
      </c>
      <c r="H1924" s="3" t="e">
        <f t="shared" si="64"/>
        <v>#VALUE!</v>
      </c>
      <c r="I1924" s="1">
        <v>1</v>
      </c>
    </row>
    <row r="1925" spans="1:9" x14ac:dyDescent="0.25">
      <c r="A1925" s="1" t="s">
        <v>14435</v>
      </c>
      <c r="B1925" s="1" t="s">
        <v>5415</v>
      </c>
      <c r="C1925" s="1" t="str">
        <f>IFERROR(VLOOKUP(B1925,'SB1'!$A$2:$B$999999,2,FALSE),"")</f>
        <v>ESPATULA PINTOR SANTA JUANA CABO MADERA 60</v>
      </c>
      <c r="D1925" s="1" t="s">
        <v>14448</v>
      </c>
      <c r="E1925" s="3">
        <f>IFERROR(VLOOKUP(B1925,'DA1'!$B$2:$D$999999,3,FALSE),"")</f>
      </c>
      <c r="F1925" s="1" t="str">
        <f>IFERROR(VLOOKUP(B1925,'SB1'!$A$2:$C$999999,3,FALSE),"")</f>
        <v>503</v>
      </c>
      <c r="G1925" s="3" t="e">
        <f t="shared" si="65"/>
        <v>#VALUE!</v>
      </c>
      <c r="H1925" s="3" t="e">
        <f t="shared" si="64"/>
        <v>#VALUE!</v>
      </c>
      <c r="I1925" s="1">
        <v>1</v>
      </c>
    </row>
    <row r="1926" spans="1:9" x14ac:dyDescent="0.25">
      <c r="A1926" s="1" t="s">
        <v>14435</v>
      </c>
      <c r="B1926" s="1" t="s">
        <v>5417</v>
      </c>
      <c r="C1926" s="1" t="str">
        <f>IFERROR(VLOOKUP(B1926,'SB1'!$A$2:$B$999999,2,FALSE),"")</f>
        <v>ESPATULA PINTOR SANTA JUANA CABO MADERA 70</v>
      </c>
      <c r="D1926" s="1" t="s">
        <v>14448</v>
      </c>
      <c r="E1926" s="3">
        <f>IFERROR(VLOOKUP(B1926,'DA1'!$B$2:$D$999999,3,FALSE),"")</f>
      </c>
      <c r="F1926" s="1" t="str">
        <f>IFERROR(VLOOKUP(B1926,'SB1'!$A$2:$C$999999,3,FALSE),"")</f>
        <v>503</v>
      </c>
      <c r="G1926" s="3" t="e">
        <f t="shared" si="65"/>
        <v>#VALUE!</v>
      </c>
      <c r="H1926" s="3" t="e">
        <f t="shared" si="64"/>
        <v>#VALUE!</v>
      </c>
      <c r="I1926" s="1">
        <v>1</v>
      </c>
    </row>
    <row r="1927" spans="1:9" x14ac:dyDescent="0.25">
      <c r="A1927" s="1" t="s">
        <v>14435</v>
      </c>
      <c r="B1927" s="1" t="s">
        <v>5419</v>
      </c>
      <c r="C1927" s="1" t="str">
        <f>IFERROR(VLOOKUP(B1927,'SB1'!$A$2:$B$999999,2,FALSE),"")</f>
        <v>ESPATULA PINTOR SANTA JUANA CABO MADERA 80</v>
      </c>
      <c r="D1927" s="1" t="s">
        <v>14448</v>
      </c>
      <c r="E1927" s="3">
        <f>IFERROR(VLOOKUP(B1927,'DA1'!$B$2:$D$999999,3,FALSE),"")</f>
      </c>
      <c r="F1927" s="1" t="str">
        <f>IFERROR(VLOOKUP(B1927,'SB1'!$A$2:$C$999999,3,FALSE),"")</f>
        <v>503</v>
      </c>
      <c r="G1927" s="3" t="e">
        <f t="shared" si="65"/>
        <v>#VALUE!</v>
      </c>
      <c r="H1927" s="3" t="e">
        <f t="shared" si="64"/>
        <v>#VALUE!</v>
      </c>
      <c r="I1927" s="1">
        <v>1</v>
      </c>
    </row>
    <row r="1928" spans="1:9" x14ac:dyDescent="0.25">
      <c r="A1928" s="1" t="s">
        <v>14435</v>
      </c>
      <c r="B1928" s="1" t="s">
        <v>5421</v>
      </c>
      <c r="C1928" s="1" t="str">
        <f>IFERROR(VLOOKUP(B1928,'SB1'!$A$2:$B$999999,2,FALSE),"")</f>
        <v>ESPATULA PINTOR SANTA JUANA CABO MADERA 90</v>
      </c>
      <c r="D1928" s="1" t="s">
        <v>14448</v>
      </c>
      <c r="E1928" s="3">
        <f>IFERROR(VLOOKUP(B1928,'DA1'!$B$2:$D$999999,3,FALSE),"")</f>
      </c>
      <c r="F1928" s="1" t="str">
        <f>IFERROR(VLOOKUP(B1928,'SB1'!$A$2:$C$999999,3,FALSE),"")</f>
        <v>503</v>
      </c>
      <c r="G1928" s="3" t="e">
        <f t="shared" si="65"/>
        <v>#VALUE!</v>
      </c>
      <c r="H1928" s="3" t="e">
        <f t="shared" si="64"/>
        <v>#VALUE!</v>
      </c>
      <c r="I1928" s="1">
        <v>1</v>
      </c>
    </row>
    <row r="1929" spans="1:9" x14ac:dyDescent="0.25">
      <c r="A1929" s="1" t="s">
        <v>14435</v>
      </c>
      <c r="B1929" s="1" t="s">
        <v>5425</v>
      </c>
      <c r="C1929" s="1" t="str">
        <f>IFERROR(VLOOKUP(B1929,'SB1'!$A$2:$B$999999,2,FALSE),"")</f>
        <v>ESPATULA PLASTICA COMUNES LH 10CM</v>
      </c>
      <c r="D1929" s="1" t="s">
        <v>14461</v>
      </c>
      <c r="E1929" s="3">
        <f>IFERROR(VLOOKUP(B1929,'DA1'!$B$2:$D$999999,3,FALSE),"")</f>
      </c>
      <c r="F1929" s="1" t="str">
        <f>IFERROR(VLOOKUP(B1929,'SB1'!$A$2:$C$999999,3,FALSE),"")</f>
        <v>503</v>
      </c>
      <c r="G1929" s="3" t="e">
        <f t="shared" si="65"/>
        <v>#VALUE!</v>
      </c>
      <c r="H1929" s="3" t="e">
        <f t="shared" si="64"/>
        <v>#VALUE!</v>
      </c>
      <c r="I1929" s="1">
        <v>1</v>
      </c>
    </row>
    <row r="1930" spans="1:9" x14ac:dyDescent="0.25">
      <c r="A1930" s="1" t="s">
        <v>14435</v>
      </c>
      <c r="B1930" s="1" t="s">
        <v>5427</v>
      </c>
      <c r="C1930" s="1" t="str">
        <f>IFERROR(VLOOKUP(B1930,'SB1'!$A$2:$B$999999,2,FALSE),"")</f>
        <v>ESPATULA PLASTICA COMUNES LH 12,5CM</v>
      </c>
      <c r="D1930" s="1" t="s">
        <v>14461</v>
      </c>
      <c r="E1930" s="3">
        <f>IFERROR(VLOOKUP(B1930,'DA1'!$B$2:$D$999999,3,FALSE),"")</f>
      </c>
      <c r="F1930" s="1" t="str">
        <f>IFERROR(VLOOKUP(B1930,'SB1'!$A$2:$C$999999,3,FALSE),"")</f>
        <v>503</v>
      </c>
      <c r="G1930" s="3" t="e">
        <f t="shared" si="65"/>
        <v>#VALUE!</v>
      </c>
      <c r="H1930" s="3" t="e">
        <f t="shared" si="64"/>
        <v>#VALUE!</v>
      </c>
      <c r="I1930" s="1">
        <v>1</v>
      </c>
    </row>
    <row r="1931" spans="1:9" x14ac:dyDescent="0.25">
      <c r="A1931" s="1" t="s">
        <v>14435</v>
      </c>
      <c r="B1931" s="1" t="s">
        <v>5429</v>
      </c>
      <c r="C1931" s="1" t="str">
        <f>IFERROR(VLOOKUP(B1931,'SB1'!$A$2:$B$999999,2,FALSE),"")</f>
        <v>ESPATULA PLASTICA COMUNES LH 15CM</v>
      </c>
      <c r="D1931" s="1" t="s">
        <v>14461</v>
      </c>
      <c r="E1931" s="3">
        <f>IFERROR(VLOOKUP(B1931,'DA1'!$B$2:$D$999999,3,FALSE),"")</f>
      </c>
      <c r="F1931" s="1" t="str">
        <f>IFERROR(VLOOKUP(B1931,'SB1'!$A$2:$C$999999,3,FALSE),"")</f>
        <v>503</v>
      </c>
      <c r="G1931" s="3" t="e">
        <f t="shared" si="65"/>
        <v>#VALUE!</v>
      </c>
      <c r="H1931" s="3" t="e">
        <f t="shared" si="64"/>
        <v>#VALUE!</v>
      </c>
      <c r="I1931" s="1">
        <v>1</v>
      </c>
    </row>
    <row r="1932" spans="1:9" x14ac:dyDescent="0.25">
      <c r="A1932" s="1" t="s">
        <v>14435</v>
      </c>
      <c r="B1932" s="1" t="s">
        <v>5449</v>
      </c>
      <c r="C1932" s="1" t="str">
        <f>IFERROR(VLOOKUP(B1932,'SB1'!$A$2:$B$999999,2,FALSE),"")</f>
        <v>ESMALTE SINTETICO BRILLOPLAST BRILLANTE BLANCO X 20</v>
      </c>
      <c r="D1932" s="1" t="s">
        <v>14463</v>
      </c>
      <c r="E1932" s="3">
        <f>IFERROR(VLOOKUP(B1932,'DA1'!$B$2:$D$999999,3,FALSE),"")</f>
      </c>
      <c r="F1932" s="1" t="str">
        <f>IFERROR(VLOOKUP(B1932,'SB1'!$A$2:$C$999999,3,FALSE),"")</f>
        <v>503</v>
      </c>
      <c r="G1932" s="3" t="e">
        <f t="shared" si="65"/>
        <v>#VALUE!</v>
      </c>
      <c r="H1932" s="3" t="e">
        <f t="shared" si="64"/>
        <v>#VALUE!</v>
      </c>
      <c r="I1932" s="1">
        <v>1</v>
      </c>
    </row>
    <row r="1933" spans="1:9" x14ac:dyDescent="0.25">
      <c r="A1933" s="1" t="s">
        <v>14435</v>
      </c>
      <c r="B1933" s="1" t="s">
        <v>5461</v>
      </c>
      <c r="C1933" s="1" t="str">
        <f>IFERROR(VLOOKUP(B1933,'SB1'!$A$2:$B$999999,2,FALSE),"")</f>
        <v>IMPREGNANTE PARA MADERA TERSUAVE SATINADO CAOBA X  1</v>
      </c>
      <c r="D1933" s="1" t="s">
        <v>14437</v>
      </c>
      <c r="E1933" s="3">
        <f>IFERROR(VLOOKUP(B1933,'DA1'!$B$2:$D$999999,3,FALSE),"")</f>
      </c>
      <c r="F1933" s="1" t="str">
        <f>IFERROR(VLOOKUP(B1933,'SB1'!$A$2:$C$999999,3,FALSE),"")</f>
        <v>503</v>
      </c>
      <c r="G1933" s="3" t="e">
        <f t="shared" si="65"/>
        <v>#VALUE!</v>
      </c>
      <c r="H1933" s="3" t="e">
        <f t="shared" si="64"/>
        <v>#VALUE!</v>
      </c>
      <c r="I1933" s="1">
        <v>1</v>
      </c>
    </row>
    <row r="1934" spans="1:9" x14ac:dyDescent="0.25">
      <c r="A1934" s="1" t="s">
        <v>14435</v>
      </c>
      <c r="B1934" s="1" t="s">
        <v>5463</v>
      </c>
      <c r="C1934" s="1" t="str">
        <f>IFERROR(VLOOKUP(B1934,'SB1'!$A$2:$B$999999,2,FALSE),"")</f>
        <v>IMPREGNANTE PARA MADERA TERSUAVE SATINADO CEDRO X  1</v>
      </c>
      <c r="D1934" s="1" t="s">
        <v>14437</v>
      </c>
      <c r="E1934" s="3">
        <f>IFERROR(VLOOKUP(B1934,'DA1'!$B$2:$D$999999,3,FALSE),"")</f>
      </c>
      <c r="F1934" s="1" t="str">
        <f>IFERROR(VLOOKUP(B1934,'SB1'!$A$2:$C$999999,3,FALSE),"")</f>
        <v>503</v>
      </c>
      <c r="G1934" s="3" t="e">
        <f t="shared" si="65"/>
        <v>#VALUE!</v>
      </c>
      <c r="H1934" s="3" t="e">
        <f t="shared" si="64"/>
        <v>#VALUE!</v>
      </c>
      <c r="I1934" s="1">
        <v>1</v>
      </c>
    </row>
    <row r="1935" spans="1:9" x14ac:dyDescent="0.25">
      <c r="A1935" s="1" t="s">
        <v>14435</v>
      </c>
      <c r="B1935" s="1" t="s">
        <v>5465</v>
      </c>
      <c r="C1935" s="1" t="str">
        <f>IFERROR(VLOOKUP(B1935,'SB1'!$A$2:$B$999999,2,FALSE),"")</f>
        <v>IMPREGNANTE PARA MADERA TERSUAVE SATINADO CRISTAL X  1</v>
      </c>
      <c r="D1935" s="1" t="s">
        <v>14437</v>
      </c>
      <c r="E1935" s="3">
        <f>IFERROR(VLOOKUP(B1935,'DA1'!$B$2:$D$999999,3,FALSE),"")</f>
      </c>
      <c r="F1935" s="1" t="str">
        <f>IFERROR(VLOOKUP(B1935,'SB1'!$A$2:$C$999999,3,FALSE),"")</f>
        <v>503</v>
      </c>
      <c r="G1935" s="3" t="e">
        <f t="shared" si="65"/>
        <v>#VALUE!</v>
      </c>
      <c r="H1935" s="3" t="e">
        <f t="shared" si="64"/>
        <v>#VALUE!</v>
      </c>
      <c r="I1935" s="1">
        <v>1</v>
      </c>
    </row>
    <row r="1936" spans="1:9" x14ac:dyDescent="0.25">
      <c r="A1936" s="1" t="s">
        <v>14435</v>
      </c>
      <c r="B1936" s="1" t="s">
        <v>5467</v>
      </c>
      <c r="C1936" s="1" t="str">
        <f>IFERROR(VLOOKUP(B1936,'SB1'!$A$2:$B$999999,2,FALSE),"")</f>
        <v>IMPREGNANTE PARA MADERA TERSUAVE SATINADO NATURAL X  1</v>
      </c>
      <c r="D1936" s="1" t="s">
        <v>14437</v>
      </c>
      <c r="E1936" s="3">
        <f>IFERROR(VLOOKUP(B1936,'DA1'!$B$2:$D$999999,3,FALSE),"")</f>
      </c>
      <c r="F1936" s="1" t="str">
        <f>IFERROR(VLOOKUP(B1936,'SB1'!$A$2:$C$999999,3,FALSE),"")</f>
        <v>503</v>
      </c>
      <c r="G1936" s="3" t="e">
        <f t="shared" si="65"/>
        <v>#VALUE!</v>
      </c>
      <c r="H1936" s="3" t="e">
        <f t="shared" si="64"/>
        <v>#VALUE!</v>
      </c>
      <c r="I1936" s="1">
        <v>1</v>
      </c>
    </row>
    <row r="1937" spans="1:9" x14ac:dyDescent="0.25">
      <c r="A1937" s="1" t="s">
        <v>14435</v>
      </c>
      <c r="B1937" s="1" t="s">
        <v>5469</v>
      </c>
      <c r="C1937" s="1" t="str">
        <f>IFERROR(VLOOKUP(B1937,'SB1'!$A$2:$B$999999,2,FALSE),"")</f>
        <v>IMPREGNANTE PARA MADERA TERSUAVE SATINADO NOGAL X  1</v>
      </c>
      <c r="D1937" s="1" t="s">
        <v>14437</v>
      </c>
      <c r="E1937" s="3">
        <f>IFERROR(VLOOKUP(B1937,'DA1'!$B$2:$D$999999,3,FALSE),"")</f>
      </c>
      <c r="F1937" s="1" t="str">
        <f>IFERROR(VLOOKUP(B1937,'SB1'!$A$2:$C$999999,3,FALSE),"")</f>
        <v>503</v>
      </c>
      <c r="G1937" s="3" t="e">
        <f t="shared" si="65"/>
        <v>#VALUE!</v>
      </c>
      <c r="H1937" s="3" t="e">
        <f t="shared" si="64"/>
        <v>#VALUE!</v>
      </c>
      <c r="I1937" s="1">
        <v>1</v>
      </c>
    </row>
    <row r="1938" spans="1:9" x14ac:dyDescent="0.25">
      <c r="A1938" s="1" t="s">
        <v>14435</v>
      </c>
      <c r="B1938" s="1" t="s">
        <v>5471</v>
      </c>
      <c r="C1938" s="1" t="str">
        <f>IFERROR(VLOOKUP(B1938,'SB1'!$A$2:$B$999999,2,FALSE),"")</f>
        <v>IMPREGNANTE PARA MADERA TERSUAVE SATINADO ROBLE CLARO X  1</v>
      </c>
      <c r="D1938" s="1" t="s">
        <v>14437</v>
      </c>
      <c r="E1938" s="3">
        <f>IFERROR(VLOOKUP(B1938,'DA1'!$B$2:$D$999999,3,FALSE),"")</f>
      </c>
      <c r="F1938" s="1" t="str">
        <f>IFERROR(VLOOKUP(B1938,'SB1'!$A$2:$C$999999,3,FALSE),"")</f>
        <v>503</v>
      </c>
      <c r="G1938" s="3" t="e">
        <f t="shared" si="65"/>
        <v>#VALUE!</v>
      </c>
      <c r="H1938" s="3" t="e">
        <f t="shared" si="64"/>
        <v>#VALUE!</v>
      </c>
      <c r="I1938" s="1">
        <v>1</v>
      </c>
    </row>
    <row r="1939" spans="1:9" x14ac:dyDescent="0.25">
      <c r="A1939" s="1" t="s">
        <v>14435</v>
      </c>
      <c r="B1939" s="1" t="s">
        <v>5479</v>
      </c>
      <c r="C1939" s="1" t="str">
        <f>IFERROR(VLOOKUP(B1939,'SB1'!$A$2:$B$999999,2,FALSE),"")</f>
        <v>IMPERMEABILIZANTE PARA TECHOS TERSITECH FIBRADO BLANCO X  1</v>
      </c>
      <c r="D1939" s="1" t="s">
        <v>14437</v>
      </c>
      <c r="E1939" s="3">
        <f>IFERROR(VLOOKUP(B1939,'DA1'!$B$2:$D$999999,3,FALSE),"")</f>
      </c>
      <c r="F1939" s="1" t="str">
        <f>IFERROR(VLOOKUP(B1939,'SB1'!$A$2:$C$999999,3,FALSE),"")</f>
        <v>503</v>
      </c>
      <c r="G1939" s="3" t="e">
        <f t="shared" si="65"/>
        <v>#VALUE!</v>
      </c>
      <c r="H1939" s="3" t="e">
        <f t="shared" si="64"/>
        <v>#VALUE!</v>
      </c>
      <c r="I1939" s="1">
        <v>1</v>
      </c>
    </row>
    <row r="1940" spans="1:9" x14ac:dyDescent="0.25">
      <c r="A1940" s="1" t="s">
        <v>14435</v>
      </c>
      <c r="B1940" s="1" t="s">
        <v>5481</v>
      </c>
      <c r="C1940" s="1" t="str">
        <f>IFERROR(VLOOKUP(B1940,'SB1'!$A$2:$B$999999,2,FALSE),"")</f>
        <v>IMPERMEABILIZANTE PARA TECHOS TERSITECH BLANCO X  1</v>
      </c>
      <c r="D1940" s="1" t="s">
        <v>14437</v>
      </c>
      <c r="E1940" s="3">
        <f>IFERROR(VLOOKUP(B1940,'DA1'!$B$2:$D$999999,3,FALSE),"")</f>
      </c>
      <c r="F1940" s="1" t="str">
        <f>IFERROR(VLOOKUP(B1940,'SB1'!$A$2:$C$999999,3,FALSE),"")</f>
        <v>503</v>
      </c>
      <c r="G1940" s="3" t="e">
        <f t="shared" si="65"/>
        <v>#VALUE!</v>
      </c>
      <c r="H1940" s="3" t="e">
        <f t="shared" si="64"/>
        <v>#VALUE!</v>
      </c>
      <c r="I1940" s="1">
        <v>1</v>
      </c>
    </row>
    <row r="1941" spans="1:9" x14ac:dyDescent="0.25">
      <c r="A1941" s="1" t="s">
        <v>14435</v>
      </c>
      <c r="B1941" s="1" t="s">
        <v>5483</v>
      </c>
      <c r="C1941" s="1" t="str">
        <f>IFERROR(VLOOKUP(B1941,'SB1'!$A$2:$B$999999,2,FALSE),"")</f>
        <v>ESPATULA PINTOR SANTA JUANA CABO PLASTICO 70</v>
      </c>
      <c r="D1941" s="1" t="s">
        <v>14448</v>
      </c>
      <c r="E1941" s="3">
        <f>IFERROR(VLOOKUP(B1941,'DA1'!$B$2:$D$999999,3,FALSE),"")</f>
      </c>
      <c r="F1941" s="1" t="str">
        <f>IFERROR(VLOOKUP(B1941,'SB1'!$A$2:$C$999999,3,FALSE),"")</f>
        <v>503</v>
      </c>
      <c r="G1941" s="3" t="e">
        <f t="shared" si="65"/>
        <v>#VALUE!</v>
      </c>
      <c r="H1941" s="3" t="e">
        <f t="shared" si="64"/>
        <v>#VALUE!</v>
      </c>
      <c r="I1941" s="1">
        <v>1</v>
      </c>
    </row>
    <row r="1942" spans="1:9" x14ac:dyDescent="0.25">
      <c r="A1942" s="1" t="s">
        <v>14435</v>
      </c>
      <c r="B1942" s="1" t="s">
        <v>5485</v>
      </c>
      <c r="C1942" s="1" t="str">
        <f>IFERROR(VLOOKUP(B1942,'SB1'!$A$2:$B$999999,2,FALSE),"")</f>
        <v>ESPATULA PINTOR SANTA JUANA CABO PLASTICO 80</v>
      </c>
      <c r="D1942" s="1" t="s">
        <v>14448</v>
      </c>
      <c r="E1942" s="3">
        <f>IFERROR(VLOOKUP(B1942,'DA1'!$B$2:$D$999999,3,FALSE),"")</f>
      </c>
      <c r="F1942" s="1" t="str">
        <f>IFERROR(VLOOKUP(B1942,'SB1'!$A$2:$C$999999,3,FALSE),"")</f>
        <v>503</v>
      </c>
      <c r="G1942" s="3" t="e">
        <f t="shared" si="65"/>
        <v>#VALUE!</v>
      </c>
      <c r="H1942" s="3" t="e">
        <f t="shared" si="64"/>
        <v>#VALUE!</v>
      </c>
      <c r="I1942" s="1">
        <v>1</v>
      </c>
    </row>
    <row r="1943" spans="1:9" x14ac:dyDescent="0.25">
      <c r="A1943" s="1" t="s">
        <v>14435</v>
      </c>
      <c r="B1943" s="1" t="s">
        <v>5487</v>
      </c>
      <c r="C1943" s="1" t="str">
        <f>IFERROR(VLOOKUP(B1943,'SB1'!$A$2:$B$999999,2,FALSE),"")</f>
        <v>ESPATULA PINTOR SANTA JUANA CABO PLASTICO 90</v>
      </c>
      <c r="D1943" s="1" t="s">
        <v>14448</v>
      </c>
      <c r="E1943" s="3">
        <f>IFERROR(VLOOKUP(B1943,'DA1'!$B$2:$D$999999,3,FALSE),"")</f>
      </c>
      <c r="F1943" s="1" t="str">
        <f>IFERROR(VLOOKUP(B1943,'SB1'!$A$2:$C$999999,3,FALSE),"")</f>
        <v>503</v>
      </c>
      <c r="G1943" s="3" t="e">
        <f t="shared" si="65"/>
        <v>#VALUE!</v>
      </c>
      <c r="H1943" s="3" t="e">
        <f t="shared" si="64"/>
        <v>#VALUE!</v>
      </c>
      <c r="I1943" s="1">
        <v>1</v>
      </c>
    </row>
    <row r="1944" spans="1:9" x14ac:dyDescent="0.25">
      <c r="A1944" s="1" t="s">
        <v>14435</v>
      </c>
      <c r="B1944" s="1" t="s">
        <v>5489</v>
      </c>
      <c r="C1944" s="1" t="str">
        <f>IFERROR(VLOOKUP(B1944,'SB1'!$A$2:$B$999999,2,FALSE),"")</f>
        <v>IMPERMEABILIZANTE PARA TECHOS TERSITECH ROJO X  1</v>
      </c>
      <c r="D1944" s="1" t="s">
        <v>14437</v>
      </c>
      <c r="E1944" s="3">
        <f>IFERROR(VLOOKUP(B1944,'DA1'!$B$2:$D$999999,3,FALSE),"")</f>
      </c>
      <c r="F1944" s="1" t="str">
        <f>IFERROR(VLOOKUP(B1944,'SB1'!$A$2:$C$999999,3,FALSE),"")</f>
        <v>503</v>
      </c>
      <c r="G1944" s="3" t="e">
        <f t="shared" si="65"/>
        <v>#VALUE!</v>
      </c>
      <c r="H1944" s="3" t="e">
        <f t="shared" si="64"/>
        <v>#VALUE!</v>
      </c>
      <c r="I1944" s="1">
        <v>1</v>
      </c>
    </row>
    <row r="1945" spans="1:9" x14ac:dyDescent="0.25">
      <c r="A1945" s="1" t="s">
        <v>14435</v>
      </c>
      <c r="B1945" s="1" t="s">
        <v>5491</v>
      </c>
      <c r="C1945" s="1" t="str">
        <f>IFERROR(VLOOKUP(B1945,'SB1'!$A$2:$B$999999,2,FALSE),"")</f>
        <v>IMPERMEABILIZANTE PARA TECHOS TERSITECH VERDE X  1</v>
      </c>
      <c r="D1945" s="1" t="s">
        <v>14437</v>
      </c>
      <c r="E1945" s="3">
        <f>IFERROR(VLOOKUP(B1945,'DA1'!$B$2:$D$999999,3,FALSE),"")</f>
      </c>
      <c r="F1945" s="1" t="str">
        <f>IFERROR(VLOOKUP(B1945,'SB1'!$A$2:$C$999999,3,FALSE),"")</f>
        <v>503</v>
      </c>
      <c r="G1945" s="3" t="e">
        <f t="shared" si="65"/>
        <v>#VALUE!</v>
      </c>
      <c r="H1945" s="3" t="e">
        <f t="shared" si="64"/>
        <v>#VALUE!</v>
      </c>
      <c r="I1945" s="1">
        <v>1</v>
      </c>
    </row>
    <row r="1946" spans="1:9" x14ac:dyDescent="0.25">
      <c r="A1946" s="1" t="s">
        <v>14435</v>
      </c>
      <c r="B1946" s="1" t="s">
        <v>5493</v>
      </c>
      <c r="C1946" s="1" t="str">
        <f>IFERROR(VLOOKUP(B1946,'SB1'!$A$2:$B$999999,2,FALSE),"")</f>
        <v>IMPERMEABILIZANTE PARA TECHOS TERSITECH FIBRADO TEJA X  1</v>
      </c>
      <c r="D1946" s="1" t="s">
        <v>14437</v>
      </c>
      <c r="E1946" s="3">
        <f>IFERROR(VLOOKUP(B1946,'DA1'!$B$2:$D$999999,3,FALSE),"")</f>
      </c>
      <c r="F1946" s="1" t="str">
        <f>IFERROR(VLOOKUP(B1946,'SB1'!$A$2:$C$999999,3,FALSE),"")</f>
        <v>503</v>
      </c>
      <c r="G1946" s="3" t="e">
        <f t="shared" si="65"/>
        <v>#VALUE!</v>
      </c>
      <c r="H1946" s="3" t="e">
        <f t="shared" si="64"/>
        <v>#VALUE!</v>
      </c>
      <c r="I1946" s="1">
        <v>1</v>
      </c>
    </row>
    <row r="1947" spans="1:9" x14ac:dyDescent="0.25">
      <c r="A1947" s="1" t="s">
        <v>14435</v>
      </c>
      <c r="B1947" s="1" t="s">
        <v>5495</v>
      </c>
      <c r="C1947" s="1" t="str">
        <f>IFERROR(VLOOKUP(B1947,'SB1'!$A$2:$B$999999,2,FALSE),"")</f>
        <v>IMPERMEABILIZANTE PARA TECHOS DURALBA TECHOS TOTAL SATINADO BLANCO X  4</v>
      </c>
      <c r="D1947" s="1" t="s">
        <v>14441</v>
      </c>
      <c r="E1947" s="3">
        <f>IFERROR(VLOOKUP(B1947,'DA1'!$B$2:$D$999999,3,FALSE),"")</f>
      </c>
      <c r="F1947" s="1" t="str">
        <f>IFERROR(VLOOKUP(B1947,'SB1'!$A$2:$C$999999,3,FALSE),"")</f>
        <v>503</v>
      </c>
      <c r="G1947" s="3" t="e">
        <f t="shared" si="65"/>
        <v>#VALUE!</v>
      </c>
      <c r="H1947" s="3" t="e">
        <f t="shared" si="64"/>
        <v>#VALUE!</v>
      </c>
      <c r="I1947" s="1">
        <v>1</v>
      </c>
    </row>
    <row r="1948" spans="1:9" x14ac:dyDescent="0.25">
      <c r="A1948" s="1" t="s">
        <v>14435</v>
      </c>
      <c r="B1948" s="1" t="s">
        <v>5497</v>
      </c>
      <c r="C1948" s="1" t="str">
        <f>IFERROR(VLOOKUP(B1948,'SB1'!$A$2:$B$999999,2,FALSE),"")</f>
        <v>IMPERMEABILIZANTE PARA TECHOS DURALBA TECHOS TOTAL SATINADO BLANCO X 20</v>
      </c>
      <c r="D1948" s="1" t="s">
        <v>14441</v>
      </c>
      <c r="E1948" s="3">
        <f>IFERROR(VLOOKUP(B1948,'DA1'!$B$2:$D$999999,3,FALSE),"")</f>
      </c>
      <c r="F1948" s="1" t="str">
        <f>IFERROR(VLOOKUP(B1948,'SB1'!$A$2:$C$999999,3,FALSE),"")</f>
        <v>503</v>
      </c>
      <c r="G1948" s="3" t="e">
        <f t="shared" si="65"/>
        <v>#VALUE!</v>
      </c>
      <c r="H1948" s="3" t="e">
        <f t="shared" si="64"/>
        <v>#VALUE!</v>
      </c>
      <c r="I1948" s="1">
        <v>1</v>
      </c>
    </row>
    <row r="1949" spans="1:9" x14ac:dyDescent="0.25">
      <c r="A1949" s="1" t="s">
        <v>14435</v>
      </c>
      <c r="B1949" s="1" t="s">
        <v>5499</v>
      </c>
      <c r="C1949" s="1" t="str">
        <f>IFERROR(VLOOKUP(B1949,'SB1'!$A$2:$B$999999,2,FALSE),"")</f>
        <v>IMPERMEABILIZANTE PARA TECHOS TERSITECH FIBRADO BLANCO X  4</v>
      </c>
      <c r="D1949" s="1" t="s">
        <v>14437</v>
      </c>
      <c r="E1949" s="3">
        <f>IFERROR(VLOOKUP(B1949,'DA1'!$B$2:$D$999999,3,FALSE),"")</f>
      </c>
      <c r="F1949" s="1" t="str">
        <f>IFERROR(VLOOKUP(B1949,'SB1'!$A$2:$C$999999,3,FALSE),"")</f>
        <v>503</v>
      </c>
      <c r="G1949" s="3" t="e">
        <f t="shared" si="65"/>
        <v>#VALUE!</v>
      </c>
      <c r="H1949" s="3" t="e">
        <f t="shared" si="64"/>
        <v>#VALUE!</v>
      </c>
      <c r="I1949" s="1">
        <v>1</v>
      </c>
    </row>
    <row r="1950" spans="1:9" x14ac:dyDescent="0.25">
      <c r="A1950" s="1" t="s">
        <v>14435</v>
      </c>
      <c r="B1950" s="1" t="s">
        <v>5501</v>
      </c>
      <c r="C1950" s="1" t="str">
        <f>IFERROR(VLOOKUP(B1950,'SB1'!$A$2:$B$999999,2,FALSE),"")</f>
        <v>IMPERMEABILIZANTE PARA TECHOS TERSITECH BLANCO X  4</v>
      </c>
      <c r="D1950" s="1" t="s">
        <v>14437</v>
      </c>
      <c r="E1950" s="3">
        <f>IFERROR(VLOOKUP(B1950,'DA1'!$B$2:$D$999999,3,FALSE),"")</f>
      </c>
      <c r="F1950" s="1" t="str">
        <f>IFERROR(VLOOKUP(B1950,'SB1'!$A$2:$C$999999,3,FALSE),"")</f>
        <v>503</v>
      </c>
      <c r="G1950" s="3" t="e">
        <f t="shared" si="65"/>
        <v>#VALUE!</v>
      </c>
      <c r="H1950" s="3" t="e">
        <f t="shared" si="64"/>
        <v>#VALUE!</v>
      </c>
      <c r="I1950" s="1">
        <v>1</v>
      </c>
    </row>
    <row r="1951" spans="1:9" x14ac:dyDescent="0.25">
      <c r="A1951" s="1" t="s">
        <v>14435</v>
      </c>
      <c r="B1951" s="1" t="s">
        <v>5505</v>
      </c>
      <c r="C1951" s="1" t="str">
        <f>IFERROR(VLOOKUP(B1951,'SB1'!$A$2:$B$999999,2,FALSE),"")</f>
        <v>LATEX PARA PISO TERSPORT ROJO X  4</v>
      </c>
      <c r="D1951" s="1" t="s">
        <v>14437</v>
      </c>
      <c r="E1951" s="3">
        <f>IFERROR(VLOOKUP(B1951,'DA1'!$B$2:$D$999999,3,FALSE),"")</f>
      </c>
      <c r="F1951" s="1" t="str">
        <f>IFERROR(VLOOKUP(B1951,'SB1'!$A$2:$C$999999,3,FALSE),"")</f>
        <v>503</v>
      </c>
      <c r="G1951" s="3" t="e">
        <f t="shared" si="65"/>
        <v>#VALUE!</v>
      </c>
      <c r="H1951" s="3" t="e">
        <f t="shared" si="64"/>
        <v>#VALUE!</v>
      </c>
      <c r="I1951" s="1">
        <v>1</v>
      </c>
    </row>
    <row r="1952" spans="1:9" x14ac:dyDescent="0.25">
      <c r="A1952" s="1" t="s">
        <v>14435</v>
      </c>
      <c r="B1952" s="1" t="s">
        <v>5509</v>
      </c>
      <c r="C1952" s="1" t="str">
        <f>IFERROR(VLOOKUP(B1952,'SB1'!$A$2:$B$999999,2,FALSE),"")</f>
        <v>IMPERMEABILIZANTE PARA TECHOS TERSITECH ROJO X  4</v>
      </c>
      <c r="D1952" s="1" t="s">
        <v>14437</v>
      </c>
      <c r="E1952" s="3">
        <f>IFERROR(VLOOKUP(B1952,'DA1'!$B$2:$D$999999,3,FALSE),"")</f>
      </c>
      <c r="F1952" s="1" t="str">
        <f>IFERROR(VLOOKUP(B1952,'SB1'!$A$2:$C$999999,3,FALSE),"")</f>
        <v>503</v>
      </c>
      <c r="G1952" s="3" t="e">
        <f t="shared" si="65"/>
        <v>#VALUE!</v>
      </c>
      <c r="H1952" s="3" t="e">
        <f t="shared" si="64"/>
        <v>#VALUE!</v>
      </c>
      <c r="I1952" s="1">
        <v>1</v>
      </c>
    </row>
    <row r="1953" spans="1:9" x14ac:dyDescent="0.25">
      <c r="A1953" s="1" t="s">
        <v>14435</v>
      </c>
      <c r="B1953" s="1" t="s">
        <v>5511</v>
      </c>
      <c r="C1953" s="1" t="str">
        <f>IFERROR(VLOOKUP(B1953,'SB1'!$A$2:$B$999999,2,FALSE),"")</f>
        <v>IMPERMEABILIZANTE PARA TECHOS TERSITECH VERDE X  4</v>
      </c>
      <c r="D1953" s="1" t="s">
        <v>14437</v>
      </c>
      <c r="E1953" s="3">
        <f>IFERROR(VLOOKUP(B1953,'DA1'!$B$2:$D$999999,3,FALSE),"")</f>
      </c>
      <c r="F1953" s="1" t="str">
        <f>IFERROR(VLOOKUP(B1953,'SB1'!$A$2:$C$999999,3,FALSE),"")</f>
        <v>503</v>
      </c>
      <c r="G1953" s="3" t="e">
        <f t="shared" si="65"/>
        <v>#VALUE!</v>
      </c>
      <c r="H1953" s="3" t="e">
        <f t="shared" si="64"/>
        <v>#VALUE!</v>
      </c>
      <c r="I1953" s="1">
        <v>1</v>
      </c>
    </row>
    <row r="1954" spans="1:9" x14ac:dyDescent="0.25">
      <c r="A1954" s="1" t="s">
        <v>14435</v>
      </c>
      <c r="B1954" s="1" t="s">
        <v>5513</v>
      </c>
      <c r="C1954" s="1" t="str">
        <f>IFERROR(VLOOKUP(B1954,'SB1'!$A$2:$B$999999,2,FALSE),"")</f>
        <v>IMPERMEABILIZANTE PARA TECHOS TERSITECH FIBRADO TEJA X  4</v>
      </c>
      <c r="D1954" s="1" t="s">
        <v>14437</v>
      </c>
      <c r="E1954" s="3">
        <f>IFERROR(VLOOKUP(B1954,'DA1'!$B$2:$D$999999,3,FALSE),"")</f>
      </c>
      <c r="F1954" s="1" t="str">
        <f>IFERROR(VLOOKUP(B1954,'SB1'!$A$2:$C$999999,3,FALSE),"")</f>
        <v>503</v>
      </c>
      <c r="G1954" s="3" t="e">
        <f t="shared" si="65"/>
        <v>#VALUE!</v>
      </c>
      <c r="H1954" s="3" t="e">
        <f t="shared" si="64"/>
        <v>#VALUE!</v>
      </c>
      <c r="I1954" s="1">
        <v>1</v>
      </c>
    </row>
    <row r="1955" spans="1:9" x14ac:dyDescent="0.25">
      <c r="A1955" s="1" t="s">
        <v>14435</v>
      </c>
      <c r="B1955" s="1" t="s">
        <v>5515</v>
      </c>
      <c r="C1955" s="1" t="str">
        <f>IFERROR(VLOOKUP(B1955,'SB1'!$A$2:$B$999999,2,FALSE),"")</f>
        <v>IMPREGNATE IGNIFUGO TERSUAVE TEXTILES Y MADERAS X  1</v>
      </c>
      <c r="D1955" s="1" t="s">
        <v>14487</v>
      </c>
      <c r="E1955" s="3">
        <f>IFERROR(VLOOKUP(B1955,'DA1'!$B$2:$D$999999,3,FALSE),"")</f>
      </c>
      <c r="F1955" s="1" t="str">
        <f>IFERROR(VLOOKUP(B1955,'SB1'!$A$2:$C$999999,3,FALSE),"")</f>
        <v>503</v>
      </c>
      <c r="G1955" s="3" t="e">
        <f t="shared" si="65"/>
        <v>#VALUE!</v>
      </c>
      <c r="H1955" s="3" t="e">
        <f t="shared" ref="H1955:H2018" si="66">G1955*1.21</f>
        <v>#VALUE!</v>
      </c>
      <c r="I1955" s="1">
        <v>1</v>
      </c>
    </row>
    <row r="1956" spans="1:9" x14ac:dyDescent="0.25">
      <c r="A1956" s="1" t="s">
        <v>14435</v>
      </c>
      <c r="B1956" s="1" t="s">
        <v>5517</v>
      </c>
      <c r="C1956" s="1" t="str">
        <f>IFERROR(VLOOKUP(B1956,'SB1'!$A$2:$B$999999,2,FALSE),"")</f>
        <v>IMPREGNATE IGNIFUGO TERSUAVE TEXTILES Y MADERAS X  5</v>
      </c>
      <c r="D1956" s="1" t="s">
        <v>14487</v>
      </c>
      <c r="E1956" s="3">
        <f>IFERROR(VLOOKUP(B1956,'DA1'!$B$2:$D$999999,3,FALSE),"")</f>
      </c>
      <c r="F1956" s="1" t="str">
        <f>IFERROR(VLOOKUP(B1956,'SB1'!$A$2:$C$999999,3,FALSE),"")</f>
        <v>503</v>
      </c>
      <c r="G1956" s="3" t="e">
        <f t="shared" si="65"/>
        <v>#VALUE!</v>
      </c>
      <c r="H1956" s="3" t="e">
        <f t="shared" si="66"/>
        <v>#VALUE!</v>
      </c>
      <c r="I1956" s="1">
        <v>1</v>
      </c>
    </row>
    <row r="1957" spans="1:9" x14ac:dyDescent="0.25">
      <c r="A1957" s="1" t="s">
        <v>14435</v>
      </c>
      <c r="B1957" s="1" t="s">
        <v>5519</v>
      </c>
      <c r="C1957" s="1" t="str">
        <f>IFERROR(VLOOKUP(B1957,'SB1'!$A$2:$B$999999,2,FALSE),"")</f>
        <v>IMPREGNATE IGNIFUGO TERSUAVE TEXTILES Y MADERAS X 20</v>
      </c>
      <c r="D1957" s="1" t="s">
        <v>14487</v>
      </c>
      <c r="E1957" s="3">
        <f>IFERROR(VLOOKUP(B1957,'DA1'!$B$2:$D$999999,3,FALSE),"")</f>
      </c>
      <c r="F1957" s="1" t="str">
        <f>IFERROR(VLOOKUP(B1957,'SB1'!$A$2:$C$999999,3,FALSE),"")</f>
        <v>503</v>
      </c>
      <c r="G1957" s="3" t="e">
        <f t="shared" si="65"/>
        <v>#VALUE!</v>
      </c>
      <c r="H1957" s="3" t="e">
        <f t="shared" si="66"/>
        <v>#VALUE!</v>
      </c>
      <c r="I1957" s="1">
        <v>1</v>
      </c>
    </row>
    <row r="1958" spans="1:9" x14ac:dyDescent="0.25">
      <c r="A1958" s="1" t="s">
        <v>14435</v>
      </c>
      <c r="B1958" s="1" t="s">
        <v>5521</v>
      </c>
      <c r="C1958" s="1" t="str">
        <f>IFERROR(VLOOKUP(B1958,'SB1'!$A$2:$B$999999,2,FALSE),"")</f>
        <v>IMPREGNANTE PARA MADERA TERSUAVE SATINADO CAOBA X  4</v>
      </c>
      <c r="D1958" s="1" t="s">
        <v>14437</v>
      </c>
      <c r="E1958" s="3">
        <f>IFERROR(VLOOKUP(B1958,'DA1'!$B$2:$D$999999,3,FALSE),"")</f>
      </c>
      <c r="F1958" s="1" t="str">
        <f>IFERROR(VLOOKUP(B1958,'SB1'!$A$2:$C$999999,3,FALSE),"")</f>
        <v>503</v>
      </c>
      <c r="G1958" s="3" t="e">
        <f t="shared" si="65"/>
        <v>#VALUE!</v>
      </c>
      <c r="H1958" s="3" t="e">
        <f t="shared" si="66"/>
        <v>#VALUE!</v>
      </c>
      <c r="I1958" s="1">
        <v>1</v>
      </c>
    </row>
    <row r="1959" spans="1:9" x14ac:dyDescent="0.25">
      <c r="A1959" s="1" t="s">
        <v>14435</v>
      </c>
      <c r="B1959" s="1" t="s">
        <v>5523</v>
      </c>
      <c r="C1959" s="1" t="str">
        <f>IFERROR(VLOOKUP(B1959,'SB1'!$A$2:$B$999999,2,FALSE),"")</f>
        <v>IMPREGNANTE PARA MADERA TERSUAVE SATINADO CEDRO X  4</v>
      </c>
      <c r="D1959" s="1" t="s">
        <v>14437</v>
      </c>
      <c r="E1959" s="3">
        <f>IFERROR(VLOOKUP(B1959,'DA1'!$B$2:$D$999999,3,FALSE),"")</f>
      </c>
      <c r="F1959" s="1" t="str">
        <f>IFERROR(VLOOKUP(B1959,'SB1'!$A$2:$C$999999,3,FALSE),"")</f>
        <v>503</v>
      </c>
      <c r="G1959" s="3" t="e">
        <f t="shared" si="65"/>
        <v>#VALUE!</v>
      </c>
      <c r="H1959" s="3" t="e">
        <f t="shared" si="66"/>
        <v>#VALUE!</v>
      </c>
      <c r="I1959" s="1">
        <v>1</v>
      </c>
    </row>
    <row r="1960" spans="1:9" x14ac:dyDescent="0.25">
      <c r="A1960" s="1" t="s">
        <v>14435</v>
      </c>
      <c r="B1960" s="1" t="s">
        <v>5525</v>
      </c>
      <c r="C1960" s="1" t="str">
        <f>IFERROR(VLOOKUP(B1960,'SB1'!$A$2:$B$999999,2,FALSE),"")</f>
        <v>IMPREGNANTE PARA MADERA TERSUAVE SATINADO CRISTAL X  4</v>
      </c>
      <c r="D1960" s="1" t="s">
        <v>14437</v>
      </c>
      <c r="E1960" s="3">
        <f>IFERROR(VLOOKUP(B1960,'DA1'!$B$2:$D$999999,3,FALSE),"")</f>
      </c>
      <c r="F1960" s="1" t="str">
        <f>IFERROR(VLOOKUP(B1960,'SB1'!$A$2:$C$999999,3,FALSE),"")</f>
        <v>503</v>
      </c>
      <c r="G1960" s="3" t="e">
        <f t="shared" si="65"/>
        <v>#VALUE!</v>
      </c>
      <c r="H1960" s="3" t="e">
        <f t="shared" si="66"/>
        <v>#VALUE!</v>
      </c>
      <c r="I1960" s="1">
        <v>1</v>
      </c>
    </row>
    <row r="1961" spans="1:9" x14ac:dyDescent="0.25">
      <c r="A1961" s="1" t="s">
        <v>14435</v>
      </c>
      <c r="B1961" s="1" t="s">
        <v>5527</v>
      </c>
      <c r="C1961" s="1" t="str">
        <f>IFERROR(VLOOKUP(B1961,'SB1'!$A$2:$B$999999,2,FALSE),"")</f>
        <v>IMPREGNANTE PARA MADERA TERSUAVE SATINADO NATURAL X  4</v>
      </c>
      <c r="D1961" s="1" t="s">
        <v>14437</v>
      </c>
      <c r="E1961" s="3">
        <f>IFERROR(VLOOKUP(B1961,'DA1'!$B$2:$D$999999,3,FALSE),"")</f>
      </c>
      <c r="F1961" s="1" t="str">
        <f>IFERROR(VLOOKUP(B1961,'SB1'!$A$2:$C$999999,3,FALSE),"")</f>
        <v>503</v>
      </c>
      <c r="G1961" s="3" t="e">
        <f t="shared" si="65"/>
        <v>#VALUE!</v>
      </c>
      <c r="H1961" s="3" t="e">
        <f t="shared" si="66"/>
        <v>#VALUE!</v>
      </c>
      <c r="I1961" s="1">
        <v>1</v>
      </c>
    </row>
    <row r="1962" spans="1:9" x14ac:dyDescent="0.25">
      <c r="A1962" s="1" t="s">
        <v>14435</v>
      </c>
      <c r="B1962" s="1" t="s">
        <v>5529</v>
      </c>
      <c r="C1962" s="1" t="str">
        <f>IFERROR(VLOOKUP(B1962,'SB1'!$A$2:$B$999999,2,FALSE),"")</f>
        <v>IMPREGNANTE PARA MADERA TERSUAVE SATINADO NOGAL X  4</v>
      </c>
      <c r="D1962" s="1" t="s">
        <v>14437</v>
      </c>
      <c r="E1962" s="3">
        <f>IFERROR(VLOOKUP(B1962,'DA1'!$B$2:$D$999999,3,FALSE),"")</f>
      </c>
      <c r="F1962" s="1" t="str">
        <f>IFERROR(VLOOKUP(B1962,'SB1'!$A$2:$C$999999,3,FALSE),"")</f>
        <v>503</v>
      </c>
      <c r="G1962" s="3" t="e">
        <f t="shared" si="65"/>
        <v>#VALUE!</v>
      </c>
      <c r="H1962" s="3" t="e">
        <f t="shared" si="66"/>
        <v>#VALUE!</v>
      </c>
      <c r="I1962" s="1">
        <v>1</v>
      </c>
    </row>
    <row r="1963" spans="1:9" x14ac:dyDescent="0.25">
      <c r="A1963" s="1" t="s">
        <v>14435</v>
      </c>
      <c r="B1963" s="1" t="s">
        <v>5531</v>
      </c>
      <c r="C1963" s="1" t="str">
        <f>IFERROR(VLOOKUP(B1963,'SB1'!$A$2:$B$999999,2,FALSE),"")</f>
        <v>IMPREGNANTE PARA MADERA TERSUAVE SATINADO ROBLE CLARO X  4</v>
      </c>
      <c r="D1963" s="1" t="s">
        <v>14437</v>
      </c>
      <c r="E1963" s="3">
        <f>IFERROR(VLOOKUP(B1963,'DA1'!$B$2:$D$999999,3,FALSE),"")</f>
      </c>
      <c r="F1963" s="1" t="str">
        <f>IFERROR(VLOOKUP(B1963,'SB1'!$A$2:$C$999999,3,FALSE),"")</f>
        <v>503</v>
      </c>
      <c r="G1963" s="3" t="e">
        <f t="shared" si="65"/>
        <v>#VALUE!</v>
      </c>
      <c r="H1963" s="3" t="e">
        <f t="shared" si="66"/>
        <v>#VALUE!</v>
      </c>
      <c r="I1963" s="1">
        <v>1</v>
      </c>
    </row>
    <row r="1964" spans="1:9" x14ac:dyDescent="0.25">
      <c r="A1964" s="1" t="s">
        <v>14435</v>
      </c>
      <c r="B1964" s="1" t="s">
        <v>5539</v>
      </c>
      <c r="C1964" s="1" t="str">
        <f>IFERROR(VLOOKUP(B1964,'SB1'!$A$2:$B$999999,2,FALSE),"")</f>
        <v>IMPERMEABILIZANTE PARA TECHOS TERSITECH FIBRADO BLANCO X 10</v>
      </c>
      <c r="D1964" s="1" t="s">
        <v>14437</v>
      </c>
      <c r="E1964" s="3">
        <f>IFERROR(VLOOKUP(B1964,'DA1'!$B$2:$D$999999,3,FALSE),"")</f>
      </c>
      <c r="F1964" s="1" t="str">
        <f>IFERROR(VLOOKUP(B1964,'SB1'!$A$2:$C$999999,3,FALSE),"")</f>
        <v>503</v>
      </c>
      <c r="G1964" s="3" t="e">
        <f t="shared" si="65"/>
        <v>#VALUE!</v>
      </c>
      <c r="H1964" s="3" t="e">
        <f t="shared" si="66"/>
        <v>#VALUE!</v>
      </c>
      <c r="I1964" s="1">
        <v>1</v>
      </c>
    </row>
    <row r="1965" spans="1:9" x14ac:dyDescent="0.25">
      <c r="A1965" s="1" t="s">
        <v>14435</v>
      </c>
      <c r="B1965" s="1" t="s">
        <v>5541</v>
      </c>
      <c r="C1965" s="1" t="str">
        <f>IFERROR(VLOOKUP(B1965,'SB1'!$A$2:$B$999999,2,FALSE),"")</f>
        <v>IMPERMEABILIZANTE PARA TECHOS TERSITECH BLANCO X 10</v>
      </c>
      <c r="D1965" s="1" t="s">
        <v>14437</v>
      </c>
      <c r="E1965" s="3">
        <f>IFERROR(VLOOKUP(B1965,'DA1'!$B$2:$D$999999,3,FALSE),"")</f>
      </c>
      <c r="F1965" s="1" t="str">
        <f>IFERROR(VLOOKUP(B1965,'SB1'!$A$2:$C$999999,3,FALSE),"")</f>
        <v>503</v>
      </c>
      <c r="G1965" s="3" t="e">
        <f t="shared" si="65"/>
        <v>#VALUE!</v>
      </c>
      <c r="H1965" s="3" t="e">
        <f t="shared" si="66"/>
        <v>#VALUE!</v>
      </c>
      <c r="I1965" s="1">
        <v>1</v>
      </c>
    </row>
    <row r="1966" spans="1:9" x14ac:dyDescent="0.25">
      <c r="A1966" s="1" t="s">
        <v>14435</v>
      </c>
      <c r="B1966" s="1" t="s">
        <v>5543</v>
      </c>
      <c r="C1966" s="1" t="str">
        <f>IFERROR(VLOOKUP(B1966,'SB1'!$A$2:$B$999999,2,FALSE),"")</f>
        <v>DISCO DIAMANTADO DOBLE A MASTER 180X22,23 SEG</v>
      </c>
      <c r="D1966" s="1" t="s">
        <v>14451</v>
      </c>
      <c r="E1966" s="3">
        <f>IFERROR(VLOOKUP(B1966,'DA1'!$B$2:$D$999999,3,FALSE),"")</f>
      </c>
      <c r="F1966" s="1" t="str">
        <f>IFERROR(VLOOKUP(B1966,'SB1'!$A$2:$C$999999,3,FALSE),"")</f>
        <v>503</v>
      </c>
      <c r="G1966" s="3" t="e">
        <f t="shared" si="65"/>
        <v>#VALUE!</v>
      </c>
      <c r="H1966" s="3" t="e">
        <f t="shared" si="66"/>
        <v>#VALUE!</v>
      </c>
      <c r="I1966" s="1">
        <v>1</v>
      </c>
    </row>
    <row r="1967" spans="1:9" x14ac:dyDescent="0.25">
      <c r="A1967" s="1" t="s">
        <v>14435</v>
      </c>
      <c r="B1967" s="1" t="s">
        <v>5545</v>
      </c>
      <c r="C1967" s="1" t="str">
        <f>IFERROR(VLOOKUP(B1967,'SB1'!$A$2:$B$999999,2,FALSE),"")</f>
        <v>DISCO DIAMANTADO DOBLE A MASTER 180X22,23 TURBO</v>
      </c>
      <c r="D1967" s="1" t="s">
        <v>14451</v>
      </c>
      <c r="E1967" s="3">
        <f>IFERROR(VLOOKUP(B1967,'DA1'!$B$2:$D$999999,3,FALSE),"")</f>
      </c>
      <c r="F1967" s="1" t="str">
        <f>IFERROR(VLOOKUP(B1967,'SB1'!$A$2:$C$999999,3,FALSE),"")</f>
        <v>503</v>
      </c>
      <c r="G1967" s="3" t="e">
        <f t="shared" si="65"/>
        <v>#VALUE!</v>
      </c>
      <c r="H1967" s="3" t="e">
        <f t="shared" si="66"/>
        <v>#VALUE!</v>
      </c>
      <c r="I1967" s="1">
        <v>1</v>
      </c>
    </row>
    <row r="1968" spans="1:9" x14ac:dyDescent="0.25">
      <c r="A1968" s="1" t="s">
        <v>14435</v>
      </c>
      <c r="B1968" s="1" t="s">
        <v>5547</v>
      </c>
      <c r="C1968" s="1" t="str">
        <f>IFERROR(VLOOKUP(B1968,'SB1'!$A$2:$B$999999,2,FALSE),"")</f>
        <v>DYL06P SINTETICO ALUMINIO X 20</v>
      </c>
      <c r="D1968" s="1" t="s">
        <v>14455</v>
      </c>
      <c r="E1968" s="3">
        <f>IFERROR(VLOOKUP(B1968,'DA1'!$B$2:$D$999999,3,FALSE),"")</f>
      </c>
      <c r="F1968" s="1" t="str">
        <f>IFERROR(VLOOKUP(B1968,'SB1'!$A$2:$C$999999,3,FALSE),"")</f>
        <v>503</v>
      </c>
      <c r="G1968" s="3" t="e">
        <f t="shared" si="65"/>
        <v>#VALUE!</v>
      </c>
      <c r="H1968" s="3" t="e">
        <f t="shared" si="66"/>
        <v>#VALUE!</v>
      </c>
      <c r="I1968" s="1">
        <v>3</v>
      </c>
    </row>
    <row r="1969" spans="1:9" x14ac:dyDescent="0.25">
      <c r="A1969" s="1" t="s">
        <v>14435</v>
      </c>
      <c r="B1969" s="1" t="s">
        <v>5549</v>
      </c>
      <c r="C1969" s="1" t="str">
        <f>IFERROR(VLOOKUP(B1969,'SB1'!$A$2:$B$999999,2,FALSE),"")</f>
        <v>IMPERMEABILIZANTE PARA TECHOS TERSITECH ROJO X 10</v>
      </c>
      <c r="D1969" s="1" t="s">
        <v>14437</v>
      </c>
      <c r="E1969" s="3">
        <f>IFERROR(VLOOKUP(B1969,'DA1'!$B$2:$D$999999,3,FALSE),"")</f>
      </c>
      <c r="F1969" s="1" t="str">
        <f>IFERROR(VLOOKUP(B1969,'SB1'!$A$2:$C$999999,3,FALSE),"")</f>
        <v>503</v>
      </c>
      <c r="G1969" s="3" t="e">
        <f t="shared" si="65"/>
        <v>#VALUE!</v>
      </c>
      <c r="H1969" s="3" t="e">
        <f t="shared" si="66"/>
        <v>#VALUE!</v>
      </c>
      <c r="I1969" s="1">
        <v>1</v>
      </c>
    </row>
    <row r="1970" spans="1:9" x14ac:dyDescent="0.25">
      <c r="A1970" s="1" t="s">
        <v>14435</v>
      </c>
      <c r="B1970" s="1" t="s">
        <v>5551</v>
      </c>
      <c r="C1970" s="1" t="str">
        <f>IFERROR(VLOOKUP(B1970,'SB1'!$A$2:$B$999999,2,FALSE),"")</f>
        <v>IMPERMEABILIZANTE PARA TECHOS TERSITECH VERDE X 10</v>
      </c>
      <c r="D1970" s="1" t="s">
        <v>14437</v>
      </c>
      <c r="E1970" s="3">
        <f>IFERROR(VLOOKUP(B1970,'DA1'!$B$2:$D$999999,3,FALSE),"")</f>
      </c>
      <c r="F1970" s="1" t="str">
        <f>IFERROR(VLOOKUP(B1970,'SB1'!$A$2:$C$999999,3,FALSE),"")</f>
        <v>503</v>
      </c>
      <c r="G1970" s="3" t="e">
        <f t="shared" si="65"/>
        <v>#VALUE!</v>
      </c>
      <c r="H1970" s="3" t="e">
        <f t="shared" si="66"/>
        <v>#VALUE!</v>
      </c>
      <c r="I1970" s="1">
        <v>1</v>
      </c>
    </row>
    <row r="1971" spans="1:9" x14ac:dyDescent="0.25">
      <c r="A1971" s="1" t="s">
        <v>14435</v>
      </c>
      <c r="B1971" s="1" t="s">
        <v>5553</v>
      </c>
      <c r="C1971" s="1" t="str">
        <f>IFERROR(VLOOKUP(B1971,'SB1'!$A$2:$B$999999,2,FALSE),"")</f>
        <v>IMPERMEABILIZANTE PARA TECHOS TERSITECH FIBRADO TEJA X 10</v>
      </c>
      <c r="D1971" s="1" t="s">
        <v>14437</v>
      </c>
      <c r="E1971" s="3">
        <f>IFERROR(VLOOKUP(B1971,'DA1'!$B$2:$D$999999,3,FALSE),"")</f>
      </c>
      <c r="F1971" s="1" t="str">
        <f>IFERROR(VLOOKUP(B1971,'SB1'!$A$2:$C$999999,3,FALSE),"")</f>
        <v>503</v>
      </c>
      <c r="G1971" s="3" t="e">
        <f t="shared" si="65"/>
        <v>#VALUE!</v>
      </c>
      <c r="H1971" s="3" t="e">
        <f t="shared" si="66"/>
        <v>#VALUE!</v>
      </c>
      <c r="I1971" s="1">
        <v>1</v>
      </c>
    </row>
    <row r="1972" spans="1:9" x14ac:dyDescent="0.25">
      <c r="A1972" s="1" t="s">
        <v>14435</v>
      </c>
      <c r="B1972" s="1" t="s">
        <v>5561</v>
      </c>
      <c r="C1972" s="1" t="str">
        <f>IFERROR(VLOOKUP(B1972,'SB1'!$A$2:$B$999999,2,FALSE),"")</f>
        <v>IMPREGNANTE PARA MADERA TERSUAVE SATINADO CAOBA X 20</v>
      </c>
      <c r="D1972" s="1" t="s">
        <v>14437</v>
      </c>
      <c r="E1972" s="3">
        <f>IFERROR(VLOOKUP(B1972,'DA1'!$B$2:$D$999999,3,FALSE),"")</f>
      </c>
      <c r="F1972" s="1" t="str">
        <f>IFERROR(VLOOKUP(B1972,'SB1'!$A$2:$C$999999,3,FALSE),"")</f>
        <v>503</v>
      </c>
      <c r="G1972" s="3" t="e">
        <f t="shared" si="65"/>
        <v>#VALUE!</v>
      </c>
      <c r="H1972" s="3" t="e">
        <f t="shared" si="66"/>
        <v>#VALUE!</v>
      </c>
      <c r="I1972" s="1">
        <v>1</v>
      </c>
    </row>
    <row r="1973" spans="1:9" x14ac:dyDescent="0.25">
      <c r="A1973" s="1" t="s">
        <v>14435</v>
      </c>
      <c r="B1973" s="1" t="s">
        <v>5563</v>
      </c>
      <c r="C1973" s="1" t="str">
        <f>IFERROR(VLOOKUP(B1973,'SB1'!$A$2:$B$999999,2,FALSE),"")</f>
        <v>IMPREGNANTE PARA MADERA TERSUAVE SATINADO CEDRO X 20</v>
      </c>
      <c r="D1973" s="1" t="s">
        <v>14437</v>
      </c>
      <c r="E1973" s="3">
        <f>IFERROR(VLOOKUP(B1973,'DA1'!$B$2:$D$999999,3,FALSE),"")</f>
      </c>
      <c r="F1973" s="1" t="str">
        <f>IFERROR(VLOOKUP(B1973,'SB1'!$A$2:$C$999999,3,FALSE),"")</f>
        <v>503</v>
      </c>
      <c r="G1973" s="3" t="e">
        <f t="shared" si="65"/>
        <v>#VALUE!</v>
      </c>
      <c r="H1973" s="3" t="e">
        <f t="shared" si="66"/>
        <v>#VALUE!</v>
      </c>
      <c r="I1973" s="1">
        <v>1</v>
      </c>
    </row>
    <row r="1974" spans="1:9" x14ac:dyDescent="0.25">
      <c r="A1974" s="1" t="s">
        <v>14435</v>
      </c>
      <c r="B1974" s="1" t="s">
        <v>5565</v>
      </c>
      <c r="C1974" s="1" t="str">
        <f>IFERROR(VLOOKUP(B1974,'SB1'!$A$2:$B$999999,2,FALSE),"")</f>
        <v>IMPREGNANTE PARA MADERA TERSUAVE SATINADO CRISTAL X 20</v>
      </c>
      <c r="D1974" s="1" t="s">
        <v>14437</v>
      </c>
      <c r="E1974" s="3">
        <f>IFERROR(VLOOKUP(B1974,'DA1'!$B$2:$D$999999,3,FALSE),"")</f>
      </c>
      <c r="F1974" s="1" t="str">
        <f>IFERROR(VLOOKUP(B1974,'SB1'!$A$2:$C$999999,3,FALSE),"")</f>
        <v>503</v>
      </c>
      <c r="G1974" s="3" t="e">
        <f t="shared" si="65"/>
        <v>#VALUE!</v>
      </c>
      <c r="H1974" s="3" t="e">
        <f t="shared" si="66"/>
        <v>#VALUE!</v>
      </c>
      <c r="I1974" s="1">
        <v>1</v>
      </c>
    </row>
    <row r="1975" spans="1:9" x14ac:dyDescent="0.25">
      <c r="A1975" s="1" t="s">
        <v>14435</v>
      </c>
      <c r="B1975" s="1" t="s">
        <v>5567</v>
      </c>
      <c r="C1975" s="1" t="str">
        <f>IFERROR(VLOOKUP(B1975,'SB1'!$A$2:$B$999999,2,FALSE),"")</f>
        <v>IMPREGNANTE PARA MADERA TERSUAVE SATINADO NATURAL X 20</v>
      </c>
      <c r="D1975" s="1" t="s">
        <v>14437</v>
      </c>
      <c r="E1975" s="3">
        <f>IFERROR(VLOOKUP(B1975,'DA1'!$B$2:$D$999999,3,FALSE),"")</f>
      </c>
      <c r="F1975" s="1" t="str">
        <f>IFERROR(VLOOKUP(B1975,'SB1'!$A$2:$C$999999,3,FALSE),"")</f>
        <v>503</v>
      </c>
      <c r="G1975" s="3" t="e">
        <f t="shared" si="65"/>
        <v>#VALUE!</v>
      </c>
      <c r="H1975" s="3" t="e">
        <f t="shared" si="66"/>
        <v>#VALUE!</v>
      </c>
      <c r="I1975" s="1">
        <v>1</v>
      </c>
    </row>
    <row r="1976" spans="1:9" x14ac:dyDescent="0.25">
      <c r="A1976" s="1" t="s">
        <v>14435</v>
      </c>
      <c r="B1976" s="1" t="s">
        <v>5569</v>
      </c>
      <c r="C1976" s="1" t="str">
        <f>IFERROR(VLOOKUP(B1976,'SB1'!$A$2:$B$999999,2,FALSE),"")</f>
        <v>IMPREGNANTE PARA MADERA TERSUAVE SATINADO NOGAL X 20</v>
      </c>
      <c r="D1976" s="1" t="s">
        <v>14437</v>
      </c>
      <c r="E1976" s="3">
        <f>IFERROR(VLOOKUP(B1976,'DA1'!$B$2:$D$999999,3,FALSE),"")</f>
      </c>
      <c r="F1976" s="1" t="str">
        <f>IFERROR(VLOOKUP(B1976,'SB1'!$A$2:$C$999999,3,FALSE),"")</f>
        <v>503</v>
      </c>
      <c r="G1976" s="3" t="e">
        <f t="shared" si="65"/>
        <v>#VALUE!</v>
      </c>
      <c r="H1976" s="3" t="e">
        <f t="shared" si="66"/>
        <v>#VALUE!</v>
      </c>
      <c r="I1976" s="1">
        <v>1</v>
      </c>
    </row>
    <row r="1977" spans="1:9" x14ac:dyDescent="0.25">
      <c r="A1977" s="1" t="s">
        <v>14435</v>
      </c>
      <c r="B1977" s="1" t="s">
        <v>5571</v>
      </c>
      <c r="C1977" s="1" t="str">
        <f>IFERROR(VLOOKUP(B1977,'SB1'!$A$2:$B$999999,2,FALSE),"")</f>
        <v>IMPREGNANTE PARA MADERA TERSUAVE SATINADO ROBLE CLARO X 20</v>
      </c>
      <c r="D1977" s="1" t="s">
        <v>14437</v>
      </c>
      <c r="E1977" s="3">
        <f>IFERROR(VLOOKUP(B1977,'DA1'!$B$2:$D$999999,3,FALSE),"")</f>
      </c>
      <c r="F1977" s="1" t="str">
        <f>IFERROR(VLOOKUP(B1977,'SB1'!$A$2:$C$999999,3,FALSE),"")</f>
        <v>503</v>
      </c>
      <c r="G1977" s="3" t="e">
        <f t="shared" si="65"/>
        <v>#VALUE!</v>
      </c>
      <c r="H1977" s="3" t="e">
        <f t="shared" si="66"/>
        <v>#VALUE!</v>
      </c>
      <c r="I1977" s="1">
        <v>1</v>
      </c>
    </row>
    <row r="1978" spans="1:9" x14ac:dyDescent="0.25">
      <c r="A1978" s="1" t="s">
        <v>14435</v>
      </c>
      <c r="B1978" s="1" t="s">
        <v>5579</v>
      </c>
      <c r="C1978" s="1" t="str">
        <f>IFERROR(VLOOKUP(B1978,'SB1'!$A$2:$B$999999,2,FALSE),"")</f>
        <v>IMPERMEABILIZANTE PARA TECHOS TERSITECH FIBRADO BLANCO X 20</v>
      </c>
      <c r="D1978" s="1" t="s">
        <v>14437</v>
      </c>
      <c r="E1978" s="3">
        <f>IFERROR(VLOOKUP(B1978,'DA1'!$B$2:$D$999999,3,FALSE),"")</f>
      </c>
      <c r="F1978" s="1" t="str">
        <f>IFERROR(VLOOKUP(B1978,'SB1'!$A$2:$C$999999,3,FALSE),"")</f>
        <v>503</v>
      </c>
      <c r="G1978" s="3" t="e">
        <f t="shared" si="65"/>
        <v>#VALUE!</v>
      </c>
      <c r="H1978" s="3" t="e">
        <f t="shared" si="66"/>
        <v>#VALUE!</v>
      </c>
      <c r="I1978" s="1">
        <v>1</v>
      </c>
    </row>
    <row r="1979" spans="1:9" x14ac:dyDescent="0.25">
      <c r="A1979" s="1" t="s">
        <v>14435</v>
      </c>
      <c r="B1979" s="1" t="s">
        <v>5581</v>
      </c>
      <c r="C1979" s="1" t="str">
        <f>IFERROR(VLOOKUP(B1979,'SB1'!$A$2:$B$999999,2,FALSE),"")</f>
        <v>IMPERMEABILIZANTE PARA TECHOS TERSITECH BLANCO X 20</v>
      </c>
      <c r="D1979" s="1" t="s">
        <v>14437</v>
      </c>
      <c r="E1979" s="3">
        <f>IFERROR(VLOOKUP(B1979,'DA1'!$B$2:$D$999999,3,FALSE),"")</f>
      </c>
      <c r="F1979" s="1" t="str">
        <f>IFERROR(VLOOKUP(B1979,'SB1'!$A$2:$C$999999,3,FALSE),"")</f>
        <v>503</v>
      </c>
      <c r="G1979" s="3" t="e">
        <f t="shared" si="65"/>
        <v>#VALUE!</v>
      </c>
      <c r="H1979" s="3" t="e">
        <f t="shared" si="66"/>
        <v>#VALUE!</v>
      </c>
      <c r="I1979" s="1">
        <v>1</v>
      </c>
    </row>
    <row r="1980" spans="1:9" x14ac:dyDescent="0.25">
      <c r="A1980" s="1" t="s">
        <v>14435</v>
      </c>
      <c r="B1980" s="1" t="s">
        <v>5583</v>
      </c>
      <c r="C1980" s="1" t="str">
        <f>IFERROR(VLOOKUP(B1980,'SB1'!$A$2:$B$999999,2,FALSE),"")</f>
        <v>LATEX PARA PISO TERSPORT AZUL X 20</v>
      </c>
      <c r="D1980" s="1" t="s">
        <v>14437</v>
      </c>
      <c r="E1980" s="3">
        <f>IFERROR(VLOOKUP(B1980,'DA1'!$B$2:$D$999999,3,FALSE),"")</f>
      </c>
      <c r="F1980" s="1" t="str">
        <f>IFERROR(VLOOKUP(B1980,'SB1'!$A$2:$C$999999,3,FALSE),"")</f>
        <v>503</v>
      </c>
      <c r="G1980" s="3" t="e">
        <f t="shared" si="65"/>
        <v>#VALUE!</v>
      </c>
      <c r="H1980" s="3" t="e">
        <f t="shared" si="66"/>
        <v>#VALUE!</v>
      </c>
      <c r="I1980" s="1">
        <v>1</v>
      </c>
    </row>
    <row r="1981" spans="1:9" x14ac:dyDescent="0.25">
      <c r="A1981" s="1" t="s">
        <v>14435</v>
      </c>
      <c r="B1981" s="1" t="s">
        <v>5585</v>
      </c>
      <c r="C1981" s="1" t="str">
        <f>IFERROR(VLOOKUP(B1981,'SB1'!$A$2:$B$999999,2,FALSE),"")</f>
        <v>LATEX PARA PISO TERSPORT ROJO X 20</v>
      </c>
      <c r="D1981" s="1" t="s">
        <v>14437</v>
      </c>
      <c r="E1981" s="3">
        <f>IFERROR(VLOOKUP(B1981,'DA1'!$B$2:$D$999999,3,FALSE),"")</f>
      </c>
      <c r="F1981" s="1" t="str">
        <f>IFERROR(VLOOKUP(B1981,'SB1'!$A$2:$C$999999,3,FALSE),"")</f>
        <v>503</v>
      </c>
      <c r="G1981" s="3" t="e">
        <f t="shared" si="65"/>
        <v>#VALUE!</v>
      </c>
      <c r="H1981" s="3" t="e">
        <f t="shared" si="66"/>
        <v>#VALUE!</v>
      </c>
      <c r="I1981" s="1">
        <v>1</v>
      </c>
    </row>
    <row r="1982" spans="1:9" x14ac:dyDescent="0.25">
      <c r="A1982" s="1" t="s">
        <v>14435</v>
      </c>
      <c r="B1982" s="1" t="s">
        <v>5587</v>
      </c>
      <c r="C1982" s="1" t="str">
        <f>IFERROR(VLOOKUP(B1982,'SB1'!$A$2:$B$999999,2,FALSE),"")</f>
        <v>LATEX PARA PISO TERSPORT VERDE X 20</v>
      </c>
      <c r="D1982" s="1" t="s">
        <v>14437</v>
      </c>
      <c r="E1982" s="3">
        <f>IFERROR(VLOOKUP(B1982,'DA1'!$B$2:$D$999999,3,FALSE),"")</f>
      </c>
      <c r="F1982" s="1" t="str">
        <f>IFERROR(VLOOKUP(B1982,'SB1'!$A$2:$C$999999,3,FALSE),"")</f>
        <v>503</v>
      </c>
      <c r="G1982" s="3" t="e">
        <f t="shared" si="65"/>
        <v>#VALUE!</v>
      </c>
      <c r="H1982" s="3" t="e">
        <f t="shared" si="66"/>
        <v>#VALUE!</v>
      </c>
      <c r="I1982" s="1">
        <v>1</v>
      </c>
    </row>
    <row r="1983" spans="1:9" x14ac:dyDescent="0.25">
      <c r="A1983" s="1" t="s">
        <v>14435</v>
      </c>
      <c r="B1983" s="1" t="s">
        <v>5589</v>
      </c>
      <c r="C1983" s="1" t="str">
        <f>IFERROR(VLOOKUP(B1983,'SB1'!$A$2:$B$999999,2,FALSE),"")</f>
        <v>IMPERMEABILIZANTE PARA TECHOS TERSITECH ROJO X 20</v>
      </c>
      <c r="D1983" s="1" t="s">
        <v>14437</v>
      </c>
      <c r="E1983" s="3">
        <f>IFERROR(VLOOKUP(B1983,'DA1'!$B$2:$D$999999,3,FALSE),"")</f>
      </c>
      <c r="F1983" s="1" t="str">
        <f>IFERROR(VLOOKUP(B1983,'SB1'!$A$2:$C$999999,3,FALSE),"")</f>
        <v>503</v>
      </c>
      <c r="G1983" s="3" t="e">
        <f t="shared" si="65"/>
        <v>#VALUE!</v>
      </c>
      <c r="H1983" s="3" t="e">
        <f t="shared" si="66"/>
        <v>#VALUE!</v>
      </c>
      <c r="I1983" s="1">
        <v>1</v>
      </c>
    </row>
    <row r="1984" spans="1:9" x14ac:dyDescent="0.25">
      <c r="A1984" s="1" t="s">
        <v>14435</v>
      </c>
      <c r="B1984" s="1" t="s">
        <v>5591</v>
      </c>
      <c r="C1984" s="1" t="str">
        <f>IFERROR(VLOOKUP(B1984,'SB1'!$A$2:$B$999999,2,FALSE),"")</f>
        <v>IMPERMEABILIZANTE PARA TECHOS TERSITECH VERDE X 20</v>
      </c>
      <c r="D1984" s="1" t="s">
        <v>14437</v>
      </c>
      <c r="E1984" s="3">
        <f>IFERROR(VLOOKUP(B1984,'DA1'!$B$2:$D$999999,3,FALSE),"")</f>
      </c>
      <c r="F1984" s="1" t="str">
        <f>IFERROR(VLOOKUP(B1984,'SB1'!$A$2:$C$999999,3,FALSE),"")</f>
        <v>503</v>
      </c>
      <c r="G1984" s="3" t="e">
        <f t="shared" si="65"/>
        <v>#VALUE!</v>
      </c>
      <c r="H1984" s="3" t="e">
        <f t="shared" si="66"/>
        <v>#VALUE!</v>
      </c>
      <c r="I1984" s="1">
        <v>1</v>
      </c>
    </row>
    <row r="1985" spans="1:9" x14ac:dyDescent="0.25">
      <c r="A1985" s="1" t="s">
        <v>14435</v>
      </c>
      <c r="B1985" s="1" t="s">
        <v>5593</v>
      </c>
      <c r="C1985" s="1" t="str">
        <f>IFERROR(VLOOKUP(B1985,'SB1'!$A$2:$B$999999,2,FALSE),"")</f>
        <v>IMPERMEABILIZANTE PARA TECHOS TERSITECH FIBRADO TEJA X 20</v>
      </c>
      <c r="D1985" s="1" t="s">
        <v>14437</v>
      </c>
      <c r="E1985" s="3">
        <f>IFERROR(VLOOKUP(B1985,'DA1'!$B$2:$D$999999,3,FALSE),"")</f>
      </c>
      <c r="F1985" s="1" t="str">
        <f>IFERROR(VLOOKUP(B1985,'SB1'!$A$2:$C$999999,3,FALSE),"")</f>
        <v>503</v>
      </c>
      <c r="G1985" s="3" t="e">
        <f t="shared" si="65"/>
        <v>#VALUE!</v>
      </c>
      <c r="H1985" s="3" t="e">
        <f t="shared" si="66"/>
        <v>#VALUE!</v>
      </c>
      <c r="I1985" s="1">
        <v>1</v>
      </c>
    </row>
    <row r="1986" spans="1:9" x14ac:dyDescent="0.25">
      <c r="A1986" s="1" t="s">
        <v>14435</v>
      </c>
      <c r="B1986" s="1" t="s">
        <v>5595</v>
      </c>
      <c r="C1986" s="1" t="str">
        <f>IFERROR(VLOOKUP(B1986,'SB1'!$A$2:$B$999999,2,FALSE),"")</f>
        <v>DYL01.11  ESMALTE PU BLANCO PLENO DELFLEET X 1</v>
      </c>
      <c r="D1986" s="1" t="s">
        <v>14455</v>
      </c>
      <c r="E1986" s="3">
        <f>IFERROR(VLOOKUP(B1986,'DA1'!$B$2:$D$999999,3,FALSE),"")</f>
      </c>
      <c r="F1986" s="1" t="str">
        <f>IFERROR(VLOOKUP(B1986,'SB1'!$A$2:$C$999999,3,FALSE),"")</f>
        <v>503</v>
      </c>
      <c r="G1986" s="3" t="e">
        <f t="shared" si="65"/>
        <v>#VALUE!</v>
      </c>
      <c r="H1986" s="3" t="e">
        <f t="shared" si="66"/>
        <v>#VALUE!</v>
      </c>
      <c r="I1986" s="1">
        <v>3</v>
      </c>
    </row>
    <row r="1987" spans="1:9" x14ac:dyDescent="0.25">
      <c r="A1987" s="1" t="s">
        <v>14435</v>
      </c>
      <c r="B1987" s="1" t="s">
        <v>5597</v>
      </c>
      <c r="C1987" s="1" t="str">
        <f>IFERROR(VLOOKUP(B1987,'SB1'!$A$2:$B$999999,2,FALSE),"")</f>
        <v>DYL01P.01 ESMALTE PU BLANCO PLENO DELFLEET X 3,500</v>
      </c>
      <c r="D1987" s="1" t="s">
        <v>14455</v>
      </c>
      <c r="E1987" s="3">
        <f>IFERROR(VLOOKUP(B1987,'DA1'!$B$2:$D$999999,3,FALSE),"")</f>
      </c>
      <c r="F1987" s="1" t="str">
        <f>IFERROR(VLOOKUP(B1987,'SB1'!$A$2:$C$999999,3,FALSE),"")</f>
        <v>503</v>
      </c>
      <c r="G1987" s="3" t="e">
        <f t="shared" ref="G1987:G2050" si="67">E1987*1.04</f>
        <v>#VALUE!</v>
      </c>
      <c r="H1987" s="3" t="e">
        <f t="shared" si="66"/>
        <v>#VALUE!</v>
      </c>
      <c r="I1987" s="1">
        <v>3</v>
      </c>
    </row>
    <row r="1988" spans="1:9" x14ac:dyDescent="0.25">
      <c r="A1988" s="1" t="s">
        <v>14435</v>
      </c>
      <c r="B1988" s="1" t="s">
        <v>5601</v>
      </c>
      <c r="C1988" s="1" t="str">
        <f>IFERROR(VLOOKUP(B1988,'SB1'!$A$2:$B$999999,2,FALSE),"")</f>
        <v>ESMALTE SINTETICO TERSUAVE 2EN1 BRILLANTE BLANCO X 20</v>
      </c>
      <c r="D1988" s="1" t="s">
        <v>14437</v>
      </c>
      <c r="E1988" s="3">
        <f>IFERROR(VLOOKUP(B1988,'DA1'!$B$2:$D$999999,3,FALSE),"")</f>
      </c>
      <c r="F1988" s="1" t="str">
        <f>IFERROR(VLOOKUP(B1988,'SB1'!$A$2:$C$999999,3,FALSE),"")</f>
        <v>503</v>
      </c>
      <c r="G1988" s="3" t="e">
        <f t="shared" si="67"/>
        <v>#VALUE!</v>
      </c>
      <c r="H1988" s="3" t="e">
        <f t="shared" si="66"/>
        <v>#VALUE!</v>
      </c>
      <c r="I1988" s="1">
        <v>1</v>
      </c>
    </row>
    <row r="1989" spans="1:9" x14ac:dyDescent="0.25">
      <c r="A1989" s="1" t="s">
        <v>14435</v>
      </c>
      <c r="B1989" s="1" t="s">
        <v>5603</v>
      </c>
      <c r="C1989" s="1" t="str">
        <f>IFERROR(VLOOKUP(B1989,'SB1'!$A$2:$B$999999,2,FALSE),"")</f>
        <v>ESMALTE SINTETICO TERSUAVE 2EN1 BRILLANTE BERMELLON X 20</v>
      </c>
      <c r="D1989" s="1" t="s">
        <v>14437</v>
      </c>
      <c r="E1989" s="3">
        <f>IFERROR(VLOOKUP(B1989,'DA1'!$B$2:$D$999999,3,FALSE),"")</f>
      </c>
      <c r="F1989" s="1" t="str">
        <f>IFERROR(VLOOKUP(B1989,'SB1'!$A$2:$C$999999,3,FALSE),"")</f>
        <v>503</v>
      </c>
      <c r="G1989" s="3" t="e">
        <f t="shared" si="67"/>
        <v>#VALUE!</v>
      </c>
      <c r="H1989" s="3" t="e">
        <f t="shared" si="66"/>
        <v>#VALUE!</v>
      </c>
      <c r="I1989" s="1">
        <v>1</v>
      </c>
    </row>
    <row r="1990" spans="1:9" x14ac:dyDescent="0.25">
      <c r="A1990" s="1" t="s">
        <v>14435</v>
      </c>
      <c r="B1990" s="1" t="s">
        <v>5605</v>
      </c>
      <c r="C1990" s="1" t="str">
        <f>IFERROR(VLOOKUP(B1990,'SB1'!$A$2:$B$999999,2,FALSE),"")</f>
        <v>ESMALTE SINTETICO TERSUAVE 2EN1 BRILLANTE NARANJA X 20</v>
      </c>
      <c r="D1990" s="1" t="s">
        <v>14437</v>
      </c>
      <c r="E1990" s="3">
        <f>IFERROR(VLOOKUP(B1990,'DA1'!$B$2:$D$999999,3,FALSE),"")</f>
      </c>
      <c r="F1990" s="1" t="str">
        <f>IFERROR(VLOOKUP(B1990,'SB1'!$A$2:$C$999999,3,FALSE),"")</f>
        <v>503</v>
      </c>
      <c r="G1990" s="3" t="e">
        <f t="shared" si="67"/>
        <v>#VALUE!</v>
      </c>
      <c r="H1990" s="3" t="e">
        <f t="shared" si="66"/>
        <v>#VALUE!</v>
      </c>
      <c r="I1990" s="1">
        <v>1</v>
      </c>
    </row>
    <row r="1991" spans="1:9" x14ac:dyDescent="0.25">
      <c r="A1991" s="1" t="s">
        <v>14435</v>
      </c>
      <c r="B1991" s="1" t="s">
        <v>5607</v>
      </c>
      <c r="C1991" s="1" t="str">
        <f>IFERROR(VLOOKUP(B1991,'SB1'!$A$2:$B$999999,2,FALSE),"")</f>
        <v>ESMALTE SINTETICO TERSUAVE 2EN1 BRILLANTE AMARILLO X 20</v>
      </c>
      <c r="D1991" s="1" t="s">
        <v>14437</v>
      </c>
      <c r="E1991" s="3">
        <f>IFERROR(VLOOKUP(B1991,'DA1'!$B$2:$D$999999,3,FALSE),"")</f>
      </c>
      <c r="F1991" s="1" t="str">
        <f>IFERROR(VLOOKUP(B1991,'SB1'!$A$2:$C$999999,3,FALSE),"")</f>
        <v>503</v>
      </c>
      <c r="G1991" s="3" t="e">
        <f t="shared" si="67"/>
        <v>#VALUE!</v>
      </c>
      <c r="H1991" s="3" t="e">
        <f t="shared" si="66"/>
        <v>#VALUE!</v>
      </c>
      <c r="I1991" s="1">
        <v>1</v>
      </c>
    </row>
    <row r="1992" spans="1:9" x14ac:dyDescent="0.25">
      <c r="A1992" s="1" t="s">
        <v>14435</v>
      </c>
      <c r="B1992" s="1" t="s">
        <v>5609</v>
      </c>
      <c r="C1992" s="1" t="str">
        <f>IFERROR(VLOOKUP(B1992,'SB1'!$A$2:$B$999999,2,FALSE),"")</f>
        <v>FONDO PARA MADERA TERSUAVE BLANCO X 20</v>
      </c>
      <c r="D1992" s="1" t="s">
        <v>14437</v>
      </c>
      <c r="E1992" s="3">
        <f>IFERROR(VLOOKUP(B1992,'DA1'!$B$2:$D$999999,3,FALSE),"")</f>
      </c>
      <c r="F1992" s="1" t="str">
        <f>IFERROR(VLOOKUP(B1992,'SB1'!$A$2:$C$999999,3,FALSE),"")</f>
        <v>503</v>
      </c>
      <c r="G1992" s="3" t="e">
        <f t="shared" si="67"/>
        <v>#VALUE!</v>
      </c>
      <c r="H1992" s="3" t="e">
        <f t="shared" si="66"/>
        <v>#VALUE!</v>
      </c>
      <c r="I1992" s="1">
        <v>1</v>
      </c>
    </row>
    <row r="1993" spans="1:9" x14ac:dyDescent="0.25">
      <c r="A1993" s="1" t="s">
        <v>14435</v>
      </c>
      <c r="B1993" s="1" t="s">
        <v>5611</v>
      </c>
      <c r="C1993" s="1" t="str">
        <f>IFERROR(VLOOKUP(B1993,'SB1'!$A$2:$B$999999,2,FALSE),"")</f>
        <v>BARNIZ MARINO PARA MADERA TERSUAVE BRILLANTE X 20</v>
      </c>
      <c r="D1993" s="1" t="s">
        <v>14437</v>
      </c>
      <c r="E1993" s="3">
        <f>IFERROR(VLOOKUP(B1993,'DA1'!$B$2:$D$999999,3,FALSE),"")</f>
      </c>
      <c r="F1993" s="1" t="str">
        <f>IFERROR(VLOOKUP(B1993,'SB1'!$A$2:$C$999999,3,FALSE),"")</f>
        <v>503</v>
      </c>
      <c r="G1993" s="3" t="e">
        <f t="shared" si="67"/>
        <v>#VALUE!</v>
      </c>
      <c r="H1993" s="3" t="e">
        <f t="shared" si="66"/>
        <v>#VALUE!</v>
      </c>
      <c r="I1993" s="1">
        <v>1</v>
      </c>
    </row>
    <row r="1994" spans="1:9" x14ac:dyDescent="0.25">
      <c r="A1994" s="1" t="s">
        <v>14435</v>
      </c>
      <c r="B1994" s="1" t="s">
        <v>5615</v>
      </c>
      <c r="C1994" s="1" t="str">
        <f>IFERROR(VLOOKUP(B1994,'SB1'!$A$2:$B$999999,2,FALSE),"")</f>
        <v>P429-980-E1C SPEED RED X 1</v>
      </c>
      <c r="D1994" s="1" t="s">
        <v>14485</v>
      </c>
      <c r="E1994" s="3">
        <f>IFERROR(VLOOKUP(B1994,'DA1'!$B$2:$D$999999,3,FALSE),"")</f>
      </c>
      <c r="F1994" s="1" t="str">
        <f>IFERROR(VLOOKUP(B1994,'SB1'!$A$2:$C$999999,3,FALSE),"")</f>
        <v>503</v>
      </c>
      <c r="G1994" s="3" t="e">
        <f t="shared" si="67"/>
        <v>#VALUE!</v>
      </c>
      <c r="H1994" s="3" t="e">
        <f t="shared" si="66"/>
        <v>#VALUE!</v>
      </c>
      <c r="I1994" s="1">
        <v>3</v>
      </c>
    </row>
    <row r="1995" spans="1:9" x14ac:dyDescent="0.25">
      <c r="A1995" s="1" t="s">
        <v>14435</v>
      </c>
      <c r="B1995" s="1" t="s">
        <v>5617</v>
      </c>
      <c r="C1995" s="1" t="str">
        <f>IFERROR(VLOOKUP(B1995,'SB1'!$A$2:$B$999999,2,FALSE),"")</f>
        <v>ESMALTE SINTETICO TERSUAVE 2EN1 BRILLANTE BEIGE X 20</v>
      </c>
      <c r="D1995" s="1" t="s">
        <v>14437</v>
      </c>
      <c r="E1995" s="3">
        <f>IFERROR(VLOOKUP(B1995,'DA1'!$B$2:$D$999999,3,FALSE),"")</f>
      </c>
      <c r="F1995" s="1" t="str">
        <f>IFERROR(VLOOKUP(B1995,'SB1'!$A$2:$C$999999,3,FALSE),"")</f>
        <v>503</v>
      </c>
      <c r="G1995" s="3" t="e">
        <f t="shared" si="67"/>
        <v>#VALUE!</v>
      </c>
      <c r="H1995" s="3" t="e">
        <f t="shared" si="66"/>
        <v>#VALUE!</v>
      </c>
      <c r="I1995" s="1">
        <v>1</v>
      </c>
    </row>
    <row r="1996" spans="1:9" x14ac:dyDescent="0.25">
      <c r="A1996" s="1" t="s">
        <v>14435</v>
      </c>
      <c r="B1996" s="1" t="s">
        <v>5619</v>
      </c>
      <c r="C1996" s="1" t="str">
        <f>IFERROR(VLOOKUP(B1996,'SB1'!$A$2:$B$999999,2,FALSE),"")</f>
        <v>P433-XR18-E033 AMETHIST DREAM X 0,330</v>
      </c>
      <c r="D1996" s="1" t="s">
        <v>14485</v>
      </c>
      <c r="E1996" s="3">
        <f>IFERROR(VLOOKUP(B1996,'DA1'!$B$2:$D$999999,3,FALSE),"")</f>
      </c>
      <c r="F1996" s="1" t="str">
        <f>IFERROR(VLOOKUP(B1996,'SB1'!$A$2:$C$999999,3,FALSE),"")</f>
        <v>503</v>
      </c>
      <c r="G1996" s="3" t="e">
        <f t="shared" si="67"/>
        <v>#VALUE!</v>
      </c>
      <c r="H1996" s="3" t="e">
        <f t="shared" si="66"/>
        <v>#VALUE!</v>
      </c>
      <c r="I1996" s="1">
        <v>3</v>
      </c>
    </row>
    <row r="1997" spans="1:9" x14ac:dyDescent="0.25">
      <c r="A1997" s="1" t="s">
        <v>14435</v>
      </c>
      <c r="B1997" s="1" t="s">
        <v>5625</v>
      </c>
      <c r="C1997" s="1" t="str">
        <f>IFERROR(VLOOKUP(B1997,'SB1'!$A$2:$B$999999,2,FALSE),"")</f>
        <v>ESMALTE SINTETICO TERSUAVE 2EN1 BRILLANTE CEDRO X 20</v>
      </c>
      <c r="D1997" s="1" t="s">
        <v>14437</v>
      </c>
      <c r="E1997" s="3">
        <f>IFERROR(VLOOKUP(B1997,'DA1'!$B$2:$D$999999,3,FALSE),"")</f>
      </c>
      <c r="F1997" s="1" t="str">
        <f>IFERROR(VLOOKUP(B1997,'SB1'!$A$2:$C$999999,3,FALSE),"")</f>
        <v>503</v>
      </c>
      <c r="G1997" s="3" t="e">
        <f t="shared" si="67"/>
        <v>#VALUE!</v>
      </c>
      <c r="H1997" s="3" t="e">
        <f t="shared" si="66"/>
        <v>#VALUE!</v>
      </c>
      <c r="I1997" s="1">
        <v>1</v>
      </c>
    </row>
    <row r="1998" spans="1:9" x14ac:dyDescent="0.25">
      <c r="A1998" s="1" t="s">
        <v>14435</v>
      </c>
      <c r="B1998" s="1" t="s">
        <v>5629</v>
      </c>
      <c r="C1998" s="1" t="str">
        <f>IFERROR(VLOOKUP(B1998,'SB1'!$A$2:$B$999999,2,FALSE),"")</f>
        <v>ESMALTE SINTETICO TERSUAVE 2EN1 BRILLANTE NEGRO X 20</v>
      </c>
      <c r="D1998" s="1" t="s">
        <v>14437</v>
      </c>
      <c r="E1998" s="3">
        <f>IFERROR(VLOOKUP(B1998,'DA1'!$B$2:$D$999999,3,FALSE),"")</f>
      </c>
      <c r="F1998" s="1" t="str">
        <f>IFERROR(VLOOKUP(B1998,'SB1'!$A$2:$C$999999,3,FALSE),"")</f>
        <v>503</v>
      </c>
      <c r="G1998" s="3" t="e">
        <f t="shared" si="67"/>
        <v>#VALUE!</v>
      </c>
      <c r="H1998" s="3" t="e">
        <f t="shared" si="66"/>
        <v>#VALUE!</v>
      </c>
      <c r="I1998" s="1">
        <v>1</v>
      </c>
    </row>
    <row r="1999" spans="1:9" x14ac:dyDescent="0.25">
      <c r="A1999" s="1" t="s">
        <v>14435</v>
      </c>
      <c r="B1999" s="1" t="s">
        <v>5633</v>
      </c>
      <c r="C1999" s="1" t="str">
        <f>IFERROR(VLOOKUP(B1999,'SB1'!$A$2:$B$999999,2,FALSE),"")</f>
        <v>ESMALTE SINTETICO TERSUAVE 2EN1 BRILLANTE ALUMINIO X 20</v>
      </c>
      <c r="D1999" s="1" t="s">
        <v>14437</v>
      </c>
      <c r="E1999" s="3">
        <f>IFERROR(VLOOKUP(B1999,'DA1'!$B$2:$D$999999,3,FALSE),"")</f>
      </c>
      <c r="F1999" s="1" t="str">
        <f>IFERROR(VLOOKUP(B1999,'SB1'!$A$2:$C$999999,3,FALSE),"")</f>
        <v>503</v>
      </c>
      <c r="G1999" s="3" t="e">
        <f t="shared" si="67"/>
        <v>#VALUE!</v>
      </c>
      <c r="H1999" s="3" t="e">
        <f t="shared" si="66"/>
        <v>#VALUE!</v>
      </c>
      <c r="I1999" s="1">
        <v>1</v>
      </c>
    </row>
    <row r="2000" spans="1:9" x14ac:dyDescent="0.25">
      <c r="A2000" s="1" t="s">
        <v>14435</v>
      </c>
      <c r="B2000" s="1" t="s">
        <v>5635</v>
      </c>
      <c r="C2000" s="1" t="str">
        <f>IFERROR(VLOOKUP(B2000,'SB1'!$A$2:$B$999999,2,FALSE),"")</f>
        <v>ESMALTE SINTETICO TERSUAVE 2EN1 BRILLANTE MARRON X 20</v>
      </c>
      <c r="D2000" s="1" t="s">
        <v>14437</v>
      </c>
      <c r="E2000" s="3">
        <f>IFERROR(VLOOKUP(B2000,'DA1'!$B$2:$D$999999,3,FALSE),"")</f>
      </c>
      <c r="F2000" s="1" t="str">
        <f>IFERROR(VLOOKUP(B2000,'SB1'!$A$2:$C$999999,3,FALSE),"")</f>
        <v>503</v>
      </c>
      <c r="G2000" s="3" t="e">
        <f t="shared" si="67"/>
        <v>#VALUE!</v>
      </c>
      <c r="H2000" s="3" t="e">
        <f t="shared" si="66"/>
        <v>#VALUE!</v>
      </c>
      <c r="I2000" s="1">
        <v>1</v>
      </c>
    </row>
    <row r="2001" spans="1:9" x14ac:dyDescent="0.25">
      <c r="A2001" s="1" t="s">
        <v>14435</v>
      </c>
      <c r="B2001" s="1" t="s">
        <v>5637</v>
      </c>
      <c r="C2001" s="1" t="str">
        <f>IFERROR(VLOOKUP(B2001,'SB1'!$A$2:$B$999999,2,FALSE),"")</f>
        <v>AEROSOL RUST-OLEUM ALTA TEMPERATURA NEGRO MATE X 0,340 (358859 / 313518)</v>
      </c>
      <c r="D2001" s="1" t="s">
        <v>14450</v>
      </c>
      <c r="E2001" s="3">
        <f>IFERROR(VLOOKUP(B2001,'DA1'!$B$2:$D$999999,3,FALSE),"")</f>
      </c>
      <c r="F2001" s="1" t="str">
        <f>IFERROR(VLOOKUP(B2001,'SB1'!$A$2:$C$999999,3,FALSE),"")</f>
        <v>503</v>
      </c>
      <c r="G2001" s="3" t="e">
        <f t="shared" si="67"/>
        <v>#VALUE!</v>
      </c>
      <c r="H2001" s="3" t="e">
        <f t="shared" si="66"/>
        <v>#VALUE!</v>
      </c>
      <c r="I2001" s="1">
        <v>1</v>
      </c>
    </row>
    <row r="2002" spans="1:9" x14ac:dyDescent="0.25">
      <c r="A2002" s="1" t="s">
        <v>14435</v>
      </c>
      <c r="B2002" s="1" t="s">
        <v>5639</v>
      </c>
      <c r="C2002" s="1" t="str">
        <f>IFERROR(VLOOKUP(B2002,'SB1'!$A$2:$B$999999,2,FALSE),"")</f>
        <v>ESMALTE SINTETICO TERSUAVE 2EN1 BRILLANTE GRIS OSCURO X 20</v>
      </c>
      <c r="D2002" s="1" t="s">
        <v>14437</v>
      </c>
      <c r="E2002" s="3">
        <f>IFERROR(VLOOKUP(B2002,'DA1'!$B$2:$D$999999,3,FALSE),"")</f>
      </c>
      <c r="F2002" s="1" t="str">
        <f>IFERROR(VLOOKUP(B2002,'SB1'!$A$2:$C$999999,3,FALSE),"")</f>
        <v>503</v>
      </c>
      <c r="G2002" s="3" t="e">
        <f t="shared" si="67"/>
        <v>#VALUE!</v>
      </c>
      <c r="H2002" s="3" t="e">
        <f t="shared" si="66"/>
        <v>#VALUE!</v>
      </c>
      <c r="I2002" s="1">
        <v>1</v>
      </c>
    </row>
    <row r="2003" spans="1:9" x14ac:dyDescent="0.25">
      <c r="A2003" s="1" t="s">
        <v>14435</v>
      </c>
      <c r="B2003" s="1" t="s">
        <v>5641</v>
      </c>
      <c r="C2003" s="1" t="str">
        <f>IFERROR(VLOOKUP(B2003,'SB1'!$A$2:$B$999999,2,FALSE),"")</f>
        <v>AEROSOL RUST-OLEUM SP ALTA TEMPERATURA NEGRO X 0,340(358919)</v>
      </c>
      <c r="D2003" s="1" t="s">
        <v>14475</v>
      </c>
      <c r="E2003" s="3">
        <f>IFERROR(VLOOKUP(B2003,'DA1'!$B$2:$D$999999,3,FALSE),"")</f>
      </c>
      <c r="F2003" s="1" t="str">
        <f>IFERROR(VLOOKUP(B2003,'SB1'!$A$2:$C$999999,3,FALSE),"")</f>
        <v>503</v>
      </c>
      <c r="G2003" s="3" t="e">
        <f t="shared" si="67"/>
        <v>#VALUE!</v>
      </c>
      <c r="H2003" s="3" t="e">
        <f t="shared" si="66"/>
        <v>#VALUE!</v>
      </c>
      <c r="I2003" s="1">
        <v>1</v>
      </c>
    </row>
    <row r="2004" spans="1:9" x14ac:dyDescent="0.25">
      <c r="A2004" s="1" t="s">
        <v>14435</v>
      </c>
      <c r="B2004" s="1" t="s">
        <v>5643</v>
      </c>
      <c r="C2004" s="1" t="str">
        <f>IFERROR(VLOOKUP(B2004,'SB1'!$A$2:$B$999999,2,FALSE),"")</f>
        <v>DISCO CORTE DOBLE A T41 MASTER ACERO 178X1,6X22,2</v>
      </c>
      <c r="D2004" s="1" t="s">
        <v>14451</v>
      </c>
      <c r="E2004" s="3">
        <f>IFERROR(VLOOKUP(B2004,'DA1'!$B$2:$D$999999,3,FALSE),"")</f>
      </c>
      <c r="F2004" s="1" t="str">
        <f>IFERROR(VLOOKUP(B2004,'SB1'!$A$2:$C$999999,3,FALSE),"")</f>
        <v>503</v>
      </c>
      <c r="G2004" s="3" t="e">
        <f t="shared" si="67"/>
        <v>#VALUE!</v>
      </c>
      <c r="H2004" s="3" t="e">
        <f t="shared" si="66"/>
        <v>#VALUE!</v>
      </c>
      <c r="I2004" s="1">
        <v>1</v>
      </c>
    </row>
    <row r="2005" spans="1:9" x14ac:dyDescent="0.25">
      <c r="A2005" s="1" t="s">
        <v>14435</v>
      </c>
      <c r="B2005" s="1" t="s">
        <v>5645</v>
      </c>
      <c r="C2005" s="1" t="str">
        <f>IFERROR(VLOOKUP(B2005,'SB1'!$A$2:$B$999999,2,FALSE),"")</f>
        <v>ESMALTE SINTETICO TERSUAVE 2EN1 BRILLANTE CELESTE X 20</v>
      </c>
      <c r="D2005" s="1" t="s">
        <v>14437</v>
      </c>
      <c r="E2005" s="3">
        <f>IFERROR(VLOOKUP(B2005,'DA1'!$B$2:$D$999999,3,FALSE),"")</f>
      </c>
      <c r="F2005" s="1" t="str">
        <f>IFERROR(VLOOKUP(B2005,'SB1'!$A$2:$C$999999,3,FALSE),"")</f>
        <v>503</v>
      </c>
      <c r="G2005" s="3" t="e">
        <f t="shared" si="67"/>
        <v>#VALUE!</v>
      </c>
      <c r="H2005" s="3" t="e">
        <f t="shared" si="66"/>
        <v>#VALUE!</v>
      </c>
      <c r="I2005" s="1">
        <v>1</v>
      </c>
    </row>
    <row r="2006" spans="1:9" x14ac:dyDescent="0.25">
      <c r="A2006" s="1" t="s">
        <v>14435</v>
      </c>
      <c r="B2006" s="1" t="s">
        <v>5647</v>
      </c>
      <c r="C2006" s="1" t="str">
        <f>IFERROR(VLOOKUP(B2006,'SB1'!$A$2:$B$999999,2,FALSE),"")</f>
        <v>ESMALTE SINTETICO TERSUAVE 2EN1 BRILLANTE MARFIL SEDA X 20</v>
      </c>
      <c r="D2006" s="1" t="s">
        <v>14437</v>
      </c>
      <c r="E2006" s="3">
        <f>IFERROR(VLOOKUP(B2006,'DA1'!$B$2:$D$999999,3,FALSE),"")</f>
      </c>
      <c r="F2006" s="1" t="str">
        <f>IFERROR(VLOOKUP(B2006,'SB1'!$A$2:$C$999999,3,FALSE),"")</f>
        <v>503</v>
      </c>
      <c r="G2006" s="3" t="e">
        <f t="shared" si="67"/>
        <v>#VALUE!</v>
      </c>
      <c r="H2006" s="3" t="e">
        <f t="shared" si="66"/>
        <v>#VALUE!</v>
      </c>
      <c r="I2006" s="1">
        <v>1</v>
      </c>
    </row>
    <row r="2007" spans="1:9" x14ac:dyDescent="0.25">
      <c r="A2007" s="1" t="s">
        <v>14435</v>
      </c>
      <c r="B2007" s="1" t="s">
        <v>5651</v>
      </c>
      <c r="C2007" s="1" t="str">
        <f>IFERROR(VLOOKUP(B2007,'SB1'!$A$2:$B$999999,2,FALSE),"")</f>
        <v>ESMALTE SINTETICO TERSUAVE 2EN1 BRILLANTE GRIS ESPACIAL X 20</v>
      </c>
      <c r="D2007" s="1" t="s">
        <v>14437</v>
      </c>
      <c r="E2007" s="3">
        <f>IFERROR(VLOOKUP(B2007,'DA1'!$B$2:$D$999999,3,FALSE),"")</f>
      </c>
      <c r="F2007" s="1" t="str">
        <f>IFERROR(VLOOKUP(B2007,'SB1'!$A$2:$C$999999,3,FALSE),"")</f>
        <v>503</v>
      </c>
      <c r="G2007" s="3" t="e">
        <f t="shared" si="67"/>
        <v>#VALUE!</v>
      </c>
      <c r="H2007" s="3" t="e">
        <f t="shared" si="66"/>
        <v>#VALUE!</v>
      </c>
      <c r="I2007" s="1">
        <v>1</v>
      </c>
    </row>
    <row r="2008" spans="1:9" x14ac:dyDescent="0.25">
      <c r="A2008" s="1" t="s">
        <v>14435</v>
      </c>
      <c r="B2008" s="1" t="s">
        <v>5655</v>
      </c>
      <c r="C2008" s="1" t="str">
        <f>IFERROR(VLOOKUP(B2008,'SB1'!$A$2:$B$999999,2,FALSE),"")</f>
        <v>ESMALTE SINTETICO TERSUAVE 2EN1 BRILLANTE GRIS PERLA X 20</v>
      </c>
      <c r="D2008" s="1" t="s">
        <v>14437</v>
      </c>
      <c r="E2008" s="3">
        <f>IFERROR(VLOOKUP(B2008,'DA1'!$B$2:$D$999999,3,FALSE),"")</f>
      </c>
      <c r="F2008" s="1" t="str">
        <f>IFERROR(VLOOKUP(B2008,'SB1'!$A$2:$C$999999,3,FALSE),"")</f>
        <v>503</v>
      </c>
      <c r="G2008" s="3" t="e">
        <f t="shared" si="67"/>
        <v>#VALUE!</v>
      </c>
      <c r="H2008" s="3" t="e">
        <f t="shared" si="66"/>
        <v>#VALUE!</v>
      </c>
      <c r="I2008" s="1">
        <v>1</v>
      </c>
    </row>
    <row r="2009" spans="1:9" x14ac:dyDescent="0.25">
      <c r="A2009" s="1" t="s">
        <v>14435</v>
      </c>
      <c r="B2009" s="1" t="s">
        <v>5657</v>
      </c>
      <c r="C2009" s="1" t="str">
        <f>IFERROR(VLOOKUP(B2009,'SB1'!$A$2:$B$999999,2,FALSE),"")</f>
        <v>ESMALTE SINTETICO TERSUAVE 2EN1 BRILLANTE GRIS HIELO X 20</v>
      </c>
      <c r="D2009" s="1" t="s">
        <v>14437</v>
      </c>
      <c r="E2009" s="3">
        <f>IFERROR(VLOOKUP(B2009,'DA1'!$B$2:$D$999999,3,FALSE),"")</f>
      </c>
      <c r="F2009" s="1" t="str">
        <f>IFERROR(VLOOKUP(B2009,'SB1'!$A$2:$C$999999,3,FALSE),"")</f>
        <v>503</v>
      </c>
      <c r="G2009" s="3" t="e">
        <f t="shared" si="67"/>
        <v>#VALUE!</v>
      </c>
      <c r="H2009" s="3" t="e">
        <f t="shared" si="66"/>
        <v>#VALUE!</v>
      </c>
      <c r="I2009" s="1">
        <v>1</v>
      </c>
    </row>
    <row r="2010" spans="1:9" x14ac:dyDescent="0.25">
      <c r="A2010" s="1" t="s">
        <v>14435</v>
      </c>
      <c r="B2010" s="1" t="s">
        <v>5659</v>
      </c>
      <c r="C2010" s="1" t="str">
        <f>IFERROR(VLOOKUP(B2010,'SB1'!$A$2:$B$999999,2,FALSE),"")</f>
        <v>ESMALTE SINTETICO TERSUAVE 2EN1 BRILLANTE VERDE INGLES X 20</v>
      </c>
      <c r="D2010" s="1" t="s">
        <v>14437</v>
      </c>
      <c r="E2010" s="3">
        <f>IFERROR(VLOOKUP(B2010,'DA1'!$B$2:$D$999999,3,FALSE),"")</f>
      </c>
      <c r="F2010" s="1" t="str">
        <f>IFERROR(VLOOKUP(B2010,'SB1'!$A$2:$C$999999,3,FALSE),"")</f>
        <v>503</v>
      </c>
      <c r="G2010" s="3" t="e">
        <f t="shared" si="67"/>
        <v>#VALUE!</v>
      </c>
      <c r="H2010" s="3" t="e">
        <f t="shared" si="66"/>
        <v>#VALUE!</v>
      </c>
      <c r="I2010" s="1">
        <v>1</v>
      </c>
    </row>
    <row r="2011" spans="1:9" x14ac:dyDescent="0.25">
      <c r="A2011" s="1" t="s">
        <v>14435</v>
      </c>
      <c r="B2011" s="1" t="s">
        <v>5663</v>
      </c>
      <c r="C2011" s="1" t="str">
        <f>IFERROR(VLOOKUP(B2011,'SB1'!$A$2:$B$999999,2,FALSE),"")</f>
        <v>ESMALTE SINTETICO TERSUAVE 2EN1 BRILLANTE AZULEJO X 20</v>
      </c>
      <c r="D2011" s="1" t="s">
        <v>14437</v>
      </c>
      <c r="E2011" s="3">
        <f>IFERROR(VLOOKUP(B2011,'DA1'!$B$2:$D$999999,3,FALSE),"")</f>
      </c>
      <c r="F2011" s="1" t="str">
        <f>IFERROR(VLOOKUP(B2011,'SB1'!$A$2:$C$999999,3,FALSE),"")</f>
        <v>503</v>
      </c>
      <c r="G2011" s="3" t="e">
        <f t="shared" si="67"/>
        <v>#VALUE!</v>
      </c>
      <c r="H2011" s="3" t="e">
        <f t="shared" si="66"/>
        <v>#VALUE!</v>
      </c>
      <c r="I2011" s="1">
        <v>1</v>
      </c>
    </row>
    <row r="2012" spans="1:9" x14ac:dyDescent="0.25">
      <c r="A2012" s="1" t="s">
        <v>14435</v>
      </c>
      <c r="B2012" s="1" t="s">
        <v>5665</v>
      </c>
      <c r="C2012" s="1" t="str">
        <f>IFERROR(VLOOKUP(B2012,'SB1'!$A$2:$B$999999,2,FALSE),"")</f>
        <v>ESMALTE SINTETICO TERSUAVE 2EN1 BRILLANTE MARFIL CHAMPAGNE X 20</v>
      </c>
      <c r="D2012" s="1" t="s">
        <v>14437</v>
      </c>
      <c r="E2012" s="3">
        <f>IFERROR(VLOOKUP(B2012,'DA1'!$B$2:$D$999999,3,FALSE),"")</f>
      </c>
      <c r="F2012" s="1" t="str">
        <f>IFERROR(VLOOKUP(B2012,'SB1'!$A$2:$C$999999,3,FALSE),"")</f>
        <v>503</v>
      </c>
      <c r="G2012" s="3" t="e">
        <f t="shared" si="67"/>
        <v>#VALUE!</v>
      </c>
      <c r="H2012" s="3" t="e">
        <f t="shared" si="66"/>
        <v>#VALUE!</v>
      </c>
      <c r="I2012" s="1">
        <v>1</v>
      </c>
    </row>
    <row r="2013" spans="1:9" x14ac:dyDescent="0.25">
      <c r="A2013" s="1" t="s">
        <v>14435</v>
      </c>
      <c r="B2013" s="1" t="s">
        <v>5667</v>
      </c>
      <c r="C2013" s="1" t="str">
        <f>IFERROR(VLOOKUP(B2013,'SB1'!$A$2:$B$999999,2,FALSE),"")</f>
        <v>ESMALTE SINTETICO TERSUAVE 2EN1 BRILLANTE VERDE ILUSION X 20</v>
      </c>
      <c r="D2013" s="1" t="s">
        <v>14437</v>
      </c>
      <c r="E2013" s="3">
        <f>IFERROR(VLOOKUP(B2013,'DA1'!$B$2:$D$999999,3,FALSE),"")</f>
      </c>
      <c r="F2013" s="1" t="str">
        <f>IFERROR(VLOOKUP(B2013,'SB1'!$A$2:$C$999999,3,FALSE),"")</f>
        <v>503</v>
      </c>
      <c r="G2013" s="3" t="e">
        <f t="shared" si="67"/>
        <v>#VALUE!</v>
      </c>
      <c r="H2013" s="3" t="e">
        <f t="shared" si="66"/>
        <v>#VALUE!</v>
      </c>
      <c r="I2013" s="1">
        <v>1</v>
      </c>
    </row>
    <row r="2014" spans="1:9" x14ac:dyDescent="0.25">
      <c r="A2014" s="1" t="s">
        <v>14435</v>
      </c>
      <c r="B2014" s="1" t="s">
        <v>5669</v>
      </c>
      <c r="C2014" s="1" t="str">
        <f>IFERROR(VLOOKUP(B2014,'SB1'!$A$2:$B$999999,2,FALSE),"")</f>
        <v>DISCO DESBASTE DOBLE A T27 MASTER ACERO 115X5,0X22,2</v>
      </c>
      <c r="D2014" s="1" t="s">
        <v>14451</v>
      </c>
      <c r="E2014" s="3">
        <f>IFERROR(VLOOKUP(B2014,'DA1'!$B$2:$D$999999,3,FALSE),"")</f>
      </c>
      <c r="F2014" s="1" t="str">
        <f>IFERROR(VLOOKUP(B2014,'SB1'!$A$2:$C$999999,3,FALSE),"")</f>
        <v>503</v>
      </c>
      <c r="G2014" s="3" t="e">
        <f t="shared" si="67"/>
        <v>#VALUE!</v>
      </c>
      <c r="H2014" s="3" t="e">
        <f t="shared" si="66"/>
        <v>#VALUE!</v>
      </c>
      <c r="I2014" s="1">
        <v>1</v>
      </c>
    </row>
    <row r="2015" spans="1:9" x14ac:dyDescent="0.25">
      <c r="A2015" s="1" t="s">
        <v>14435</v>
      </c>
      <c r="B2015" s="1" t="s">
        <v>5671</v>
      </c>
      <c r="C2015" s="1" t="str">
        <f>IFERROR(VLOOKUP(B2015,'SB1'!$A$2:$B$999999,2,FALSE),"")</f>
        <v>ESMALTE SINTETICO TERSUAVE 2EN1 BRILLANTE CREMA X 20</v>
      </c>
      <c r="D2015" s="1" t="s">
        <v>14437</v>
      </c>
      <c r="E2015" s="3">
        <f>IFERROR(VLOOKUP(B2015,'DA1'!$B$2:$D$999999,3,FALSE),"")</f>
      </c>
      <c r="F2015" s="1" t="str">
        <f>IFERROR(VLOOKUP(B2015,'SB1'!$A$2:$C$999999,3,FALSE),"")</f>
        <v>503</v>
      </c>
      <c r="G2015" s="3" t="e">
        <f t="shared" si="67"/>
        <v>#VALUE!</v>
      </c>
      <c r="H2015" s="3" t="e">
        <f t="shared" si="66"/>
        <v>#VALUE!</v>
      </c>
      <c r="I2015" s="1">
        <v>1</v>
      </c>
    </row>
    <row r="2016" spans="1:9" x14ac:dyDescent="0.25">
      <c r="A2016" s="1" t="s">
        <v>14435</v>
      </c>
      <c r="B2016" s="1" t="s">
        <v>5673</v>
      </c>
      <c r="C2016" s="1" t="str">
        <f>IFERROR(VLOOKUP(B2016,'SB1'!$A$2:$B$999999,2,FALSE),"")</f>
        <v>ESMALTE SINTETICO TERSUAVE 2EN1 BRILLANTE CASTANO X 20</v>
      </c>
      <c r="D2016" s="1" t="s">
        <v>14437</v>
      </c>
      <c r="E2016" s="3">
        <f>IFERROR(VLOOKUP(B2016,'DA1'!$B$2:$D$999999,3,FALSE),"")</f>
      </c>
      <c r="F2016" s="1" t="str">
        <f>IFERROR(VLOOKUP(B2016,'SB1'!$A$2:$C$999999,3,FALSE),"")</f>
        <v>503</v>
      </c>
      <c r="G2016" s="3" t="e">
        <f t="shared" si="67"/>
        <v>#VALUE!</v>
      </c>
      <c r="H2016" s="3" t="e">
        <f t="shared" si="66"/>
        <v>#VALUE!</v>
      </c>
      <c r="I2016" s="1">
        <v>1</v>
      </c>
    </row>
    <row r="2017" spans="1:9" x14ac:dyDescent="0.25">
      <c r="A2017" s="1" t="s">
        <v>14435</v>
      </c>
      <c r="B2017" s="1" t="s">
        <v>5675</v>
      </c>
      <c r="C2017" s="1" t="str">
        <f>IFERROR(VLOOKUP(B2017,'SB1'!$A$2:$B$999999,2,FALSE),"")</f>
        <v>ESMALTE SINTETICO TERSUAVE 2EN1 BRILLANTE VERDE NOCHE X 20</v>
      </c>
      <c r="D2017" s="1" t="s">
        <v>14437</v>
      </c>
      <c r="E2017" s="3">
        <f>IFERROR(VLOOKUP(B2017,'DA1'!$B$2:$D$999999,3,FALSE),"")</f>
      </c>
      <c r="F2017" s="1" t="str">
        <f>IFERROR(VLOOKUP(B2017,'SB1'!$A$2:$C$999999,3,FALSE),"")</f>
        <v>503</v>
      </c>
      <c r="G2017" s="3" t="e">
        <f t="shared" si="67"/>
        <v>#VALUE!</v>
      </c>
      <c r="H2017" s="3" t="e">
        <f t="shared" si="66"/>
        <v>#VALUE!</v>
      </c>
      <c r="I2017" s="1">
        <v>1</v>
      </c>
    </row>
    <row r="2018" spans="1:9" x14ac:dyDescent="0.25">
      <c r="A2018" s="1" t="s">
        <v>14435</v>
      </c>
      <c r="B2018" s="1" t="s">
        <v>5681</v>
      </c>
      <c r="C2018" s="1" t="str">
        <f>IFERROR(VLOOKUP(B2018,'SB1'!$A$2:$B$999999,2,FALSE),"")</f>
        <v>ESMALTE SINTETICO TERSUAVE 2EN1 BRILLANTE TRAFUL X 20</v>
      </c>
      <c r="D2018" s="1" t="s">
        <v>14437</v>
      </c>
      <c r="E2018" s="3">
        <f>IFERROR(VLOOKUP(B2018,'DA1'!$B$2:$D$999999,3,FALSE),"")</f>
      </c>
      <c r="F2018" s="1" t="str">
        <f>IFERROR(VLOOKUP(B2018,'SB1'!$A$2:$C$999999,3,FALSE),"")</f>
        <v>503</v>
      </c>
      <c r="G2018" s="3" t="e">
        <f t="shared" si="67"/>
        <v>#VALUE!</v>
      </c>
      <c r="H2018" s="3" t="e">
        <f t="shared" si="66"/>
        <v>#VALUE!</v>
      </c>
      <c r="I2018" s="1">
        <v>1</v>
      </c>
    </row>
    <row r="2019" spans="1:9" x14ac:dyDescent="0.25">
      <c r="A2019" s="1" t="s">
        <v>14435</v>
      </c>
      <c r="B2019" s="1" t="s">
        <v>5685</v>
      </c>
      <c r="C2019" s="1" t="str">
        <f>IFERROR(VLOOKUP(B2019,'SB1'!$A$2:$B$999999,2,FALSE),"")</f>
        <v>ESMALTE SINTETICO TERSUAVE 2EN1 BRILLANTE AZUL X 20</v>
      </c>
      <c r="D2019" s="1" t="s">
        <v>14437</v>
      </c>
      <c r="E2019" s="3">
        <f>IFERROR(VLOOKUP(B2019,'DA1'!$B$2:$D$999999,3,FALSE),"")</f>
      </c>
      <c r="F2019" s="1" t="str">
        <f>IFERROR(VLOOKUP(B2019,'SB1'!$A$2:$C$999999,3,FALSE),"")</f>
        <v>503</v>
      </c>
      <c r="G2019" s="3" t="e">
        <f t="shared" si="67"/>
        <v>#VALUE!</v>
      </c>
      <c r="H2019" s="3" t="e">
        <f t="shared" ref="H2019:H2082" si="68">G2019*1.21</f>
        <v>#VALUE!</v>
      </c>
      <c r="I2019" s="1">
        <v>1</v>
      </c>
    </row>
    <row r="2020" spans="1:9" x14ac:dyDescent="0.25">
      <c r="A2020" s="1" t="s">
        <v>14435</v>
      </c>
      <c r="B2020" s="1" t="s">
        <v>5687</v>
      </c>
      <c r="C2020" s="1" t="str">
        <f>IFERROR(VLOOKUP(B2020,'SB1'!$A$2:$B$999999,2,FALSE),"")</f>
        <v>AEROSOL RUST-OLEUM ALTA TEMPERATURA ALUMINIO X 0,340 (313519/358858)</v>
      </c>
      <c r="D2020" s="1" t="s">
        <v>14450</v>
      </c>
      <c r="E2020" s="3">
        <f>IFERROR(VLOOKUP(B2020,'DA1'!$B$2:$D$999999,3,FALSE),"")</f>
      </c>
      <c r="F2020" s="1" t="str">
        <f>IFERROR(VLOOKUP(B2020,'SB1'!$A$2:$C$999999,3,FALSE),"")</f>
        <v>503</v>
      </c>
      <c r="G2020" s="3" t="e">
        <f t="shared" si="67"/>
        <v>#VALUE!</v>
      </c>
      <c r="H2020" s="3" t="e">
        <f t="shared" si="68"/>
        <v>#VALUE!</v>
      </c>
      <c r="I2020" s="1">
        <v>1</v>
      </c>
    </row>
    <row r="2021" spans="1:9" x14ac:dyDescent="0.25">
      <c r="A2021" s="1" t="s">
        <v>14435</v>
      </c>
      <c r="B2021" s="1" t="s">
        <v>5693</v>
      </c>
      <c r="C2021" s="1" t="str">
        <f>IFERROR(VLOOKUP(B2021,'SB1'!$A$2:$B$999999,2,FALSE),"")</f>
        <v>ESMALTE SINTETICO TERSUAVE 2EN1 BRILLANTE TABACO X 20</v>
      </c>
      <c r="D2021" s="1" t="s">
        <v>14437</v>
      </c>
      <c r="E2021" s="3">
        <f>IFERROR(VLOOKUP(B2021,'DA1'!$B$2:$D$999999,3,FALSE),"")</f>
      </c>
      <c r="F2021" s="1" t="str">
        <f>IFERROR(VLOOKUP(B2021,'SB1'!$A$2:$C$999999,3,FALSE),"")</f>
        <v>503</v>
      </c>
      <c r="G2021" s="3" t="e">
        <f t="shared" si="67"/>
        <v>#VALUE!</v>
      </c>
      <c r="H2021" s="3" t="e">
        <f t="shared" si="68"/>
        <v>#VALUE!</v>
      </c>
      <c r="I2021" s="1">
        <v>1</v>
      </c>
    </row>
    <row r="2022" spans="1:9" x14ac:dyDescent="0.25">
      <c r="A2022" s="1" t="s">
        <v>14435</v>
      </c>
      <c r="B2022" s="1" t="s">
        <v>5695</v>
      </c>
      <c r="C2022" s="1" t="str">
        <f>IFERROR(VLOOKUP(B2022,'SB1'!$A$2:$B$999999,2,FALSE),"")</f>
        <v>ANDAMIO 1.85 MULTIUSO EQUUS</v>
      </c>
      <c r="D2022" s="1" t="s">
        <v>14493</v>
      </c>
      <c r="E2022" s="3">
        <f>IFERROR(VLOOKUP(B2022,'DA1'!$B$2:$D$999999,3,FALSE),"")</f>
      </c>
      <c r="F2022" s="1" t="str">
        <f>IFERROR(VLOOKUP(B2022,'SB1'!$A$2:$C$999999,3,FALSE),"")</f>
        <v>503</v>
      </c>
      <c r="G2022" s="3" t="e">
        <f t="shared" si="67"/>
        <v>#VALUE!</v>
      </c>
      <c r="H2022" s="3" t="e">
        <f t="shared" si="68"/>
        <v>#VALUE!</v>
      </c>
      <c r="I2022" s="1">
        <v>2</v>
      </c>
    </row>
    <row r="2023" spans="1:9" x14ac:dyDescent="0.25">
      <c r="A2023" s="1" t="s">
        <v>14435</v>
      </c>
      <c r="B2023" s="1" t="s">
        <v>5697</v>
      </c>
      <c r="C2023" s="1" t="str">
        <f>IFERROR(VLOOKUP(B2023,'SB1'!$A$2:$B$999999,2,FALSE),"")</f>
        <v>GUANTES TACTIL POLI 21-103 -T09 X 2</v>
      </c>
      <c r="D2023" s="1" t="s">
        <v>14494</v>
      </c>
      <c r="E2023" s="3">
        <f>IFERROR(VLOOKUP(B2023,'DA1'!$B$2:$D$999999,3,FALSE),"")</f>
      </c>
      <c r="F2023" s="1" t="str">
        <f>IFERROR(VLOOKUP(B2023,'SB1'!$A$2:$C$999999,3,FALSE),"")</f>
        <v>503</v>
      </c>
      <c r="G2023" s="3" t="e">
        <f t="shared" si="67"/>
        <v>#VALUE!</v>
      </c>
      <c r="H2023" s="3" t="e">
        <f t="shared" si="68"/>
        <v>#VALUE!</v>
      </c>
      <c r="I2023" s="1">
        <v>2</v>
      </c>
    </row>
    <row r="2024" spans="1:9" x14ac:dyDescent="0.25">
      <c r="A2024" s="1" t="s">
        <v>14435</v>
      </c>
      <c r="B2024" s="1" t="s">
        <v>5699</v>
      </c>
      <c r="C2024" s="1" t="str">
        <f>IFERROR(VLOOKUP(B2024,'SB1'!$A$2:$B$999999,2,FALSE),"")</f>
        <v>GUANTES TACTIL POLI 21-103 -T10 X 2</v>
      </c>
      <c r="D2024" s="1" t="s">
        <v>14494</v>
      </c>
      <c r="E2024" s="3">
        <f>IFERROR(VLOOKUP(B2024,'DA1'!$B$2:$D$999999,3,FALSE),"")</f>
      </c>
      <c r="F2024" s="1" t="str">
        <f>IFERROR(VLOOKUP(B2024,'SB1'!$A$2:$C$999999,3,FALSE),"")</f>
        <v>503</v>
      </c>
      <c r="G2024" s="3" t="e">
        <f t="shared" si="67"/>
        <v>#VALUE!</v>
      </c>
      <c r="H2024" s="3" t="e">
        <f t="shared" si="68"/>
        <v>#VALUE!</v>
      </c>
      <c r="I2024" s="1">
        <v>2</v>
      </c>
    </row>
    <row r="2025" spans="1:9" x14ac:dyDescent="0.25">
      <c r="A2025" s="1" t="s">
        <v>14435</v>
      </c>
      <c r="B2025" s="1" t="s">
        <v>5701</v>
      </c>
      <c r="C2025" s="1" t="str">
        <f>IFERROR(VLOOKUP(B2025,'SB1'!$A$2:$B$999999,2,FALSE),"")</f>
        <v>AEROSOL RUST-OLEUM ALTA TEMPERATURA ROJO MATE X 0,340 (358860/313520)</v>
      </c>
      <c r="D2025" s="1" t="s">
        <v>14439</v>
      </c>
      <c r="E2025" s="3">
        <f>IFERROR(VLOOKUP(B2025,'DA1'!$B$2:$D$999999,3,FALSE),"")</f>
      </c>
      <c r="F2025" s="1" t="str">
        <f>IFERROR(VLOOKUP(B2025,'SB1'!$A$2:$C$999999,3,FALSE),"")</f>
        <v>503</v>
      </c>
      <c r="G2025" s="3" t="e">
        <f t="shared" si="67"/>
        <v>#VALUE!</v>
      </c>
      <c r="H2025" s="3" t="e">
        <f t="shared" si="68"/>
        <v>#VALUE!</v>
      </c>
      <c r="I2025" s="1">
        <v>1</v>
      </c>
    </row>
    <row r="2026" spans="1:9" x14ac:dyDescent="0.25">
      <c r="A2026" s="1" t="s">
        <v>14435</v>
      </c>
      <c r="B2026" s="1" t="s">
        <v>5703</v>
      </c>
      <c r="C2026" s="1" t="str">
        <f>IFERROR(VLOOKUP(B2026,'SB1'!$A$2:$B$999999,2,FALSE),"")</f>
        <v>AEROSOL RUST-OLEUM SP ALTA TEMPERATURA PLATA X 0,340(358918)</v>
      </c>
      <c r="D2026" s="1" t="s">
        <v>14475</v>
      </c>
      <c r="E2026" s="3">
        <f>IFERROR(VLOOKUP(B2026,'DA1'!$B$2:$D$999999,3,FALSE),"")</f>
      </c>
      <c r="F2026" s="1" t="str">
        <f>IFERROR(VLOOKUP(B2026,'SB1'!$A$2:$C$999999,3,FALSE),"")</f>
        <v>503</v>
      </c>
      <c r="G2026" s="3" t="e">
        <f t="shared" si="67"/>
        <v>#VALUE!</v>
      </c>
      <c r="H2026" s="3" t="e">
        <f t="shared" si="68"/>
        <v>#VALUE!</v>
      </c>
      <c r="I2026" s="1">
        <v>1</v>
      </c>
    </row>
    <row r="2027" spans="1:9" x14ac:dyDescent="0.25">
      <c r="A2027" s="1" t="s">
        <v>14435</v>
      </c>
      <c r="B2027" s="1" t="s">
        <v>5711</v>
      </c>
      <c r="C2027" s="1" t="str">
        <f>IFERROR(VLOOKUP(B2027,'SB1'!$A$2:$B$999999,2,FALSE),"")</f>
        <v>ESMALTE SINTETICO TERSUAVE 2EN1 BRILLANTE AMAR.MED. X 20</v>
      </c>
      <c r="D2027" s="1" t="s">
        <v>14437</v>
      </c>
      <c r="E2027" s="3">
        <f>IFERROR(VLOOKUP(B2027,'DA1'!$B$2:$D$999999,3,FALSE),"")</f>
      </c>
      <c r="F2027" s="1" t="str">
        <f>IFERROR(VLOOKUP(B2027,'SB1'!$A$2:$C$999999,3,FALSE),"")</f>
        <v>503</v>
      </c>
      <c r="G2027" s="3" t="e">
        <f t="shared" si="67"/>
        <v>#VALUE!</v>
      </c>
      <c r="H2027" s="3" t="e">
        <f t="shared" si="68"/>
        <v>#VALUE!</v>
      </c>
      <c r="I2027" s="1">
        <v>1</v>
      </c>
    </row>
    <row r="2028" spans="1:9" x14ac:dyDescent="0.25">
      <c r="A2028" s="1" t="s">
        <v>14435</v>
      </c>
      <c r="B2028" s="1" t="s">
        <v>5713</v>
      </c>
      <c r="C2028" s="1" t="str">
        <f>IFERROR(VLOOKUP(B2028,'SB1'!$A$2:$B$999999,2,FALSE),"")</f>
        <v>IMPERMEABILIZANTE PARA TECHOS TERSINOL BLANCO X  1</v>
      </c>
      <c r="D2028" s="1" t="s">
        <v>14437</v>
      </c>
      <c r="E2028" s="3">
        <f>IFERROR(VLOOKUP(B2028,'DA1'!$B$2:$D$999999,3,FALSE),"")</f>
      </c>
      <c r="F2028" s="1" t="str">
        <f>IFERROR(VLOOKUP(B2028,'SB1'!$A$2:$C$999999,3,FALSE),"")</f>
        <v>503</v>
      </c>
      <c r="G2028" s="3" t="e">
        <f t="shared" si="67"/>
        <v>#VALUE!</v>
      </c>
      <c r="H2028" s="3" t="e">
        <f t="shared" si="68"/>
        <v>#VALUE!</v>
      </c>
      <c r="I2028" s="1">
        <v>1</v>
      </c>
    </row>
    <row r="2029" spans="1:9" x14ac:dyDescent="0.25">
      <c r="A2029" s="1" t="s">
        <v>14435</v>
      </c>
      <c r="B2029" s="1" t="s">
        <v>5715</v>
      </c>
      <c r="C2029" s="1" t="str">
        <f>IFERROR(VLOOKUP(B2029,'SB1'!$A$2:$B$999999,2,FALSE),"")</f>
        <v>IMPERMEABILIZANTE PARA TECHOS TERSINOL BLANCO X  4</v>
      </c>
      <c r="D2029" s="1" t="s">
        <v>14437</v>
      </c>
      <c r="E2029" s="3">
        <f>IFERROR(VLOOKUP(B2029,'DA1'!$B$2:$D$999999,3,FALSE),"")</f>
      </c>
      <c r="F2029" s="1" t="str">
        <f>IFERROR(VLOOKUP(B2029,'SB1'!$A$2:$C$999999,3,FALSE),"")</f>
        <v>503</v>
      </c>
      <c r="G2029" s="3" t="e">
        <f t="shared" si="67"/>
        <v>#VALUE!</v>
      </c>
      <c r="H2029" s="3" t="e">
        <f t="shared" si="68"/>
        <v>#VALUE!</v>
      </c>
      <c r="I2029" s="1">
        <v>1</v>
      </c>
    </row>
    <row r="2030" spans="1:9" x14ac:dyDescent="0.25">
      <c r="A2030" s="1" t="s">
        <v>14435</v>
      </c>
      <c r="B2030" s="1" t="s">
        <v>5717</v>
      </c>
      <c r="C2030" s="1" t="str">
        <f>IFERROR(VLOOKUP(B2030,'SB1'!$A$2:$B$999999,2,FALSE),"")</f>
        <v>IMPERMEABILIZANTE PARA TECHOS TERSINOL BLANCO X 10</v>
      </c>
      <c r="D2030" s="1" t="s">
        <v>14437</v>
      </c>
      <c r="E2030" s="3">
        <f>IFERROR(VLOOKUP(B2030,'DA1'!$B$2:$D$999999,3,FALSE),"")</f>
      </c>
      <c r="F2030" s="1" t="str">
        <f>IFERROR(VLOOKUP(B2030,'SB1'!$A$2:$C$999999,3,FALSE),"")</f>
        <v>503</v>
      </c>
      <c r="G2030" s="3" t="e">
        <f t="shared" si="67"/>
        <v>#VALUE!</v>
      </c>
      <c r="H2030" s="3" t="e">
        <f t="shared" si="68"/>
        <v>#VALUE!</v>
      </c>
      <c r="I2030" s="1">
        <v>1</v>
      </c>
    </row>
    <row r="2031" spans="1:9" x14ac:dyDescent="0.25">
      <c r="A2031" s="1" t="s">
        <v>14435</v>
      </c>
      <c r="B2031" s="1" t="s">
        <v>5719</v>
      </c>
      <c r="C2031" s="1" t="str">
        <f>IFERROR(VLOOKUP(B2031,'SB1'!$A$2:$B$999999,2,FALSE),"")</f>
        <v>ESMALTE SINTETICO TERSPRAY SECADO RAPIDO BLANCO X  1</v>
      </c>
      <c r="D2031" s="1" t="s">
        <v>14487</v>
      </c>
      <c r="E2031" s="3">
        <f>IFERROR(VLOOKUP(B2031,'DA1'!$B$2:$D$999999,3,FALSE),"")</f>
      </c>
      <c r="F2031" s="1" t="str">
        <f>IFERROR(VLOOKUP(B2031,'SB1'!$A$2:$C$999999,3,FALSE),"")</f>
        <v>503</v>
      </c>
      <c r="G2031" s="3" t="e">
        <f t="shared" si="67"/>
        <v>#VALUE!</v>
      </c>
      <c r="H2031" s="3" t="e">
        <f t="shared" si="68"/>
        <v>#VALUE!</v>
      </c>
      <c r="I2031" s="1">
        <v>1</v>
      </c>
    </row>
    <row r="2032" spans="1:9" x14ac:dyDescent="0.25">
      <c r="A2032" s="1" t="s">
        <v>14435</v>
      </c>
      <c r="B2032" s="1" t="s">
        <v>5721</v>
      </c>
      <c r="C2032" s="1" t="str">
        <f>IFERROR(VLOOKUP(B2032,'SB1'!$A$2:$B$999999,2,FALSE),"")</f>
        <v>ESMALTE SINTETICO TERSPRAY SECADO RAPIDO BERMELLON X 1</v>
      </c>
      <c r="D2032" s="1" t="s">
        <v>14487</v>
      </c>
      <c r="E2032" s="3">
        <f>IFERROR(VLOOKUP(B2032,'DA1'!$B$2:$D$999999,3,FALSE),"")</f>
      </c>
      <c r="F2032" s="1" t="str">
        <f>IFERROR(VLOOKUP(B2032,'SB1'!$A$2:$C$999999,3,FALSE),"")</f>
        <v>503</v>
      </c>
      <c r="G2032" s="3" t="e">
        <f t="shared" si="67"/>
        <v>#VALUE!</v>
      </c>
      <c r="H2032" s="3" t="e">
        <f t="shared" si="68"/>
        <v>#VALUE!</v>
      </c>
      <c r="I2032" s="1">
        <v>1</v>
      </c>
    </row>
    <row r="2033" spans="1:9" x14ac:dyDescent="0.25">
      <c r="A2033" s="1" t="s">
        <v>14435</v>
      </c>
      <c r="B2033" s="1" t="s">
        <v>5723</v>
      </c>
      <c r="C2033" s="1" t="str">
        <f>IFERROR(VLOOKUP(B2033,'SB1'!$A$2:$B$999999,2,FALSE),"")</f>
        <v>ESMALTE SINTETICO TERSPRAY SECADO RAPIDO NARANJA FIAT X 1</v>
      </c>
      <c r="D2033" s="1" t="s">
        <v>14487</v>
      </c>
      <c r="E2033" s="3">
        <f>IFERROR(VLOOKUP(B2033,'DA1'!$B$2:$D$999999,3,FALSE),"")</f>
      </c>
      <c r="F2033" s="1" t="str">
        <f>IFERROR(VLOOKUP(B2033,'SB1'!$A$2:$C$999999,3,FALSE),"")</f>
        <v>503</v>
      </c>
      <c r="G2033" s="3" t="e">
        <f t="shared" si="67"/>
        <v>#VALUE!</v>
      </c>
      <c r="H2033" s="3" t="e">
        <f t="shared" si="68"/>
        <v>#VALUE!</v>
      </c>
      <c r="I2033" s="1">
        <v>1</v>
      </c>
    </row>
    <row r="2034" spans="1:9" x14ac:dyDescent="0.25">
      <c r="A2034" s="1" t="s">
        <v>14435</v>
      </c>
      <c r="B2034" s="1" t="s">
        <v>5725</v>
      </c>
      <c r="C2034" s="1" t="str">
        <f>IFERROR(VLOOKUP(B2034,'SB1'!$A$2:$B$999999,2,FALSE),"")</f>
        <v>ESMALTE SINTETICO TERSPRAY SECADO RAPIDO AMAR.CROM. X 1</v>
      </c>
      <c r="D2034" s="1" t="s">
        <v>14487</v>
      </c>
      <c r="E2034" s="3">
        <f>IFERROR(VLOOKUP(B2034,'DA1'!$B$2:$D$999999,3,FALSE),"")</f>
      </c>
      <c r="F2034" s="1" t="str">
        <f>IFERROR(VLOOKUP(B2034,'SB1'!$A$2:$C$999999,3,FALSE),"")</f>
        <v>503</v>
      </c>
      <c r="G2034" s="3" t="e">
        <f t="shared" si="67"/>
        <v>#VALUE!</v>
      </c>
      <c r="H2034" s="3" t="e">
        <f t="shared" si="68"/>
        <v>#VALUE!</v>
      </c>
      <c r="I2034" s="1">
        <v>1</v>
      </c>
    </row>
    <row r="2035" spans="1:9" x14ac:dyDescent="0.25">
      <c r="A2035" s="1" t="s">
        <v>14435</v>
      </c>
      <c r="B2035" s="1" t="s">
        <v>5727</v>
      </c>
      <c r="C2035" s="1" t="str">
        <f>IFERROR(VLOOKUP(B2035,'SB1'!$A$2:$B$999999,2,FALSE),"")</f>
        <v>ESMALTE SINTETICO TERSPRAY SECADO RAPIDO NEGRO X 1</v>
      </c>
      <c r="D2035" s="1" t="s">
        <v>14487</v>
      </c>
      <c r="E2035" s="3">
        <f>IFERROR(VLOOKUP(B2035,'DA1'!$B$2:$D$999999,3,FALSE),"")</f>
      </c>
      <c r="F2035" s="1" t="str">
        <f>IFERROR(VLOOKUP(B2035,'SB1'!$A$2:$C$999999,3,FALSE),"")</f>
        <v>503</v>
      </c>
      <c r="G2035" s="3" t="e">
        <f t="shared" si="67"/>
        <v>#VALUE!</v>
      </c>
      <c r="H2035" s="3" t="e">
        <f t="shared" si="68"/>
        <v>#VALUE!</v>
      </c>
      <c r="I2035" s="1">
        <v>1</v>
      </c>
    </row>
    <row r="2036" spans="1:9" x14ac:dyDescent="0.25">
      <c r="A2036" s="1" t="s">
        <v>14435</v>
      </c>
      <c r="B2036" s="1" t="s">
        <v>5731</v>
      </c>
      <c r="C2036" s="1" t="str">
        <f>IFERROR(VLOOKUP(B2036,'SB1'!$A$2:$B$999999,2,FALSE),"")</f>
        <v>SELLADOR SILICONA ACETICA WEBER S TRANSPARENTE X 0,300</v>
      </c>
      <c r="D2036" s="1" t="s">
        <v>14495</v>
      </c>
      <c r="E2036" s="3">
        <f>IFERROR(VLOOKUP(B2036,'DA1'!$B$2:$D$999999,3,FALSE),"")</f>
      </c>
      <c r="F2036" s="1" t="str">
        <f>IFERROR(VLOOKUP(B2036,'SB1'!$A$2:$C$999999,3,FALSE),"")</f>
        <v>503</v>
      </c>
      <c r="G2036" s="3" t="e">
        <f t="shared" si="67"/>
        <v>#VALUE!</v>
      </c>
      <c r="H2036" s="3" t="e">
        <f t="shared" si="68"/>
        <v>#VALUE!</v>
      </c>
      <c r="I2036" s="1">
        <v>1</v>
      </c>
    </row>
    <row r="2037" spans="1:9" x14ac:dyDescent="0.25">
      <c r="A2037" s="1" t="s">
        <v>14435</v>
      </c>
      <c r="B2037" s="1" t="s">
        <v>5733</v>
      </c>
      <c r="C2037" s="1" t="str">
        <f>IFERROR(VLOOKUP(B2037,'SB1'!$A$2:$B$999999,2,FALSE),"")</f>
        <v>ESMALTE SINTETICO TERSPRAY SECADO RAPIDO AZUL BANDERA X 1</v>
      </c>
      <c r="D2037" s="1" t="s">
        <v>14487</v>
      </c>
      <c r="E2037" s="3">
        <f>IFERROR(VLOOKUP(B2037,'DA1'!$B$2:$D$999999,3,FALSE),"")</f>
      </c>
      <c r="F2037" s="1" t="str">
        <f>IFERROR(VLOOKUP(B2037,'SB1'!$A$2:$C$999999,3,FALSE),"")</f>
        <v>503</v>
      </c>
      <c r="G2037" s="3" t="e">
        <f t="shared" si="67"/>
        <v>#VALUE!</v>
      </c>
      <c r="H2037" s="3" t="e">
        <f t="shared" si="68"/>
        <v>#VALUE!</v>
      </c>
      <c r="I2037" s="1">
        <v>1</v>
      </c>
    </row>
    <row r="2038" spans="1:8" x14ac:dyDescent="0.25">
      <c r="A2038" s="1" t="s">
        <v>14435</v>
      </c>
      <c r="B2038" s="1" t="s">
        <v>5735</v>
      </c>
      <c r="C2038" s="1" t="str">
        <f>IFERROR(VLOOKUP(B2038,'SB1'!$A$2:$B$999999,2,FALSE),"")</f>
        <v>AEROSOL RUST-OLEUM ALTA TEMPERATURA NARANJA MATE X 0,340 (248905)</v>
      </c>
      <c r="D2038" s="1" t="s">
        <v>14439</v>
      </c>
      <c r="E2038" s="3">
        <f>IFERROR(VLOOKUP(B2038,'DA1'!$B$2:$D$999999,3,FALSE),"")</f>
      </c>
      <c r="F2038" s="1" t="str">
        <f>IFERROR(VLOOKUP(B2038,'SB1'!$A$2:$C$999999,3,FALSE),"")</f>
        <v>503</v>
      </c>
      <c r="G2038" s="3" t="e">
        <f t="shared" si="67"/>
        <v>#VALUE!</v>
      </c>
      <c r="H2038" s="3" t="e">
        <f t="shared" si="68"/>
        <v>#VALUE!</v>
      </c>
    </row>
    <row r="2039" spans="1:9" x14ac:dyDescent="0.25">
      <c r="A2039" s="1" t="s">
        <v>14435</v>
      </c>
      <c r="B2039" s="1" t="s">
        <v>5737</v>
      </c>
      <c r="C2039" s="1" t="str">
        <f>IFERROR(VLOOKUP(B2039,'SB1'!$A$2:$B$999999,2,FALSE),"")</f>
        <v>ESMALTE SINTETICO TERSPRAY SECADO RAPIDO VERDE J.D X 1</v>
      </c>
      <c r="D2039" s="1" t="s">
        <v>14487</v>
      </c>
      <c r="E2039" s="3">
        <f>IFERROR(VLOOKUP(B2039,'DA1'!$B$2:$D$999999,3,FALSE),"")</f>
      </c>
      <c r="F2039" s="1" t="str">
        <f>IFERROR(VLOOKUP(B2039,'SB1'!$A$2:$C$999999,3,FALSE),"")</f>
        <v>503</v>
      </c>
      <c r="G2039" s="3" t="e">
        <f t="shared" si="67"/>
        <v>#VALUE!</v>
      </c>
      <c r="H2039" s="3" t="e">
        <f t="shared" si="68"/>
        <v>#VALUE!</v>
      </c>
      <c r="I2039" s="1">
        <v>1</v>
      </c>
    </row>
    <row r="2040" spans="1:9" x14ac:dyDescent="0.25">
      <c r="A2040" s="1" t="s">
        <v>14435</v>
      </c>
      <c r="B2040" s="1" t="s">
        <v>5739</v>
      </c>
      <c r="C2040" s="1" t="str">
        <f>IFERROR(VLOOKUP(B2040,'SB1'!$A$2:$B$999999,2,FALSE),"")</f>
        <v>ESMALTE SINTETICO TERSPRAY SECADO RAPIDO BLANCO X  4</v>
      </c>
      <c r="D2040" s="1" t="s">
        <v>14487</v>
      </c>
      <c r="E2040" s="3">
        <f>IFERROR(VLOOKUP(B2040,'DA1'!$B$2:$D$999999,3,FALSE),"")</f>
      </c>
      <c r="F2040" s="1" t="str">
        <f>IFERROR(VLOOKUP(B2040,'SB1'!$A$2:$C$999999,3,FALSE),"")</f>
        <v>503</v>
      </c>
      <c r="G2040" s="3" t="e">
        <f t="shared" si="67"/>
        <v>#VALUE!</v>
      </c>
      <c r="H2040" s="3" t="e">
        <f t="shared" si="68"/>
        <v>#VALUE!</v>
      </c>
      <c r="I2040" s="1">
        <v>1</v>
      </c>
    </row>
    <row r="2041" spans="1:9" x14ac:dyDescent="0.25">
      <c r="A2041" s="1" t="s">
        <v>14435</v>
      </c>
      <c r="B2041" s="1" t="s">
        <v>5741</v>
      </c>
      <c r="C2041" s="1" t="str">
        <f>IFERROR(VLOOKUP(B2041,'SB1'!$A$2:$B$999999,2,FALSE),"")</f>
        <v>ESMALTE SINTETICO TERSPRAY SECADO RAPIDO BERMELLON X 4</v>
      </c>
      <c r="D2041" s="1" t="s">
        <v>14487</v>
      </c>
      <c r="E2041" s="3">
        <f>IFERROR(VLOOKUP(B2041,'DA1'!$B$2:$D$999999,3,FALSE),"")</f>
      </c>
      <c r="F2041" s="1" t="str">
        <f>IFERROR(VLOOKUP(B2041,'SB1'!$A$2:$C$999999,3,FALSE),"")</f>
        <v>503</v>
      </c>
      <c r="G2041" s="3" t="e">
        <f t="shared" si="67"/>
        <v>#VALUE!</v>
      </c>
      <c r="H2041" s="3" t="e">
        <f t="shared" si="68"/>
        <v>#VALUE!</v>
      </c>
      <c r="I2041" s="1">
        <v>1</v>
      </c>
    </row>
    <row r="2042" spans="1:9" x14ac:dyDescent="0.25">
      <c r="A2042" s="1" t="s">
        <v>14435</v>
      </c>
      <c r="B2042" s="1" t="s">
        <v>5743</v>
      </c>
      <c r="C2042" s="1" t="str">
        <f>IFERROR(VLOOKUP(B2042,'SB1'!$A$2:$B$999999,2,FALSE),"")</f>
        <v>ESMALTE SINTETICO TERSPRAY SECADO RAPIDO NARANJA FIAT X 4</v>
      </c>
      <c r="D2042" s="1" t="s">
        <v>14487</v>
      </c>
      <c r="E2042" s="3">
        <f>IFERROR(VLOOKUP(B2042,'DA1'!$B$2:$D$999999,3,FALSE),"")</f>
      </c>
      <c r="F2042" s="1" t="str">
        <f>IFERROR(VLOOKUP(B2042,'SB1'!$A$2:$C$999999,3,FALSE),"")</f>
        <v>503</v>
      </c>
      <c r="G2042" s="3" t="e">
        <f t="shared" si="67"/>
        <v>#VALUE!</v>
      </c>
      <c r="H2042" s="3" t="e">
        <f t="shared" si="68"/>
        <v>#VALUE!</v>
      </c>
      <c r="I2042" s="1">
        <v>1</v>
      </c>
    </row>
    <row r="2043" spans="1:9" x14ac:dyDescent="0.25">
      <c r="A2043" s="1" t="s">
        <v>14435</v>
      </c>
      <c r="B2043" s="1" t="s">
        <v>5745</v>
      </c>
      <c r="C2043" s="1" t="str">
        <f>IFERROR(VLOOKUP(B2043,'SB1'!$A$2:$B$999999,2,FALSE),"")</f>
        <v>ESMALTE SINTETICO TERSPRAY SECADO RAPIDO AMAR.CROM.X 4</v>
      </c>
      <c r="D2043" s="1" t="s">
        <v>14487</v>
      </c>
      <c r="E2043" s="3">
        <f>IFERROR(VLOOKUP(B2043,'DA1'!$B$2:$D$999999,3,FALSE),"")</f>
      </c>
      <c r="F2043" s="1" t="str">
        <f>IFERROR(VLOOKUP(B2043,'SB1'!$A$2:$C$999999,3,FALSE),"")</f>
        <v>503</v>
      </c>
      <c r="G2043" s="3" t="e">
        <f t="shared" si="67"/>
        <v>#VALUE!</v>
      </c>
      <c r="H2043" s="3" t="e">
        <f t="shared" si="68"/>
        <v>#VALUE!</v>
      </c>
      <c r="I2043" s="1">
        <v>1</v>
      </c>
    </row>
    <row r="2044" spans="1:9" x14ac:dyDescent="0.25">
      <c r="A2044" s="1" t="s">
        <v>14435</v>
      </c>
      <c r="B2044" s="1" t="s">
        <v>5747</v>
      </c>
      <c r="C2044" s="1" t="str">
        <f>IFERROR(VLOOKUP(B2044,'SB1'!$A$2:$B$999999,2,FALSE),"")</f>
        <v>ESMALTE SINTETICO TERSPRAY SECADO RAPIDO NEGRO X 4</v>
      </c>
      <c r="D2044" s="1" t="s">
        <v>14487</v>
      </c>
      <c r="E2044" s="3">
        <f>IFERROR(VLOOKUP(B2044,'DA1'!$B$2:$D$999999,3,FALSE),"")</f>
      </c>
      <c r="F2044" s="1" t="str">
        <f>IFERROR(VLOOKUP(B2044,'SB1'!$A$2:$C$999999,3,FALSE),"")</f>
        <v>503</v>
      </c>
      <c r="G2044" s="3" t="e">
        <f t="shared" si="67"/>
        <v>#VALUE!</v>
      </c>
      <c r="H2044" s="3" t="e">
        <f t="shared" si="68"/>
        <v>#VALUE!</v>
      </c>
      <c r="I2044" s="1">
        <v>1</v>
      </c>
    </row>
    <row r="2045" spans="1:9" x14ac:dyDescent="0.25">
      <c r="A2045" s="1" t="s">
        <v>14435</v>
      </c>
      <c r="B2045" s="1" t="s">
        <v>5749</v>
      </c>
      <c r="C2045" s="1" t="str">
        <f>IFERROR(VLOOKUP(B2045,'SB1'!$A$2:$B$999999,2,FALSE),"")</f>
        <v>AEROSOL RUST-OLEUM SP ALTA TEMPERATURA BLANCO MATE X 0,340(358920/7751830)</v>
      </c>
      <c r="D2045" s="1" t="s">
        <v>14475</v>
      </c>
      <c r="E2045" s="3">
        <f>IFERROR(VLOOKUP(B2045,'DA1'!$B$2:$D$999999,3,FALSE),"")</f>
      </c>
      <c r="F2045" s="1" t="str">
        <f>IFERROR(VLOOKUP(B2045,'SB1'!$A$2:$C$999999,3,FALSE),"")</f>
        <v>503</v>
      </c>
      <c r="G2045" s="3" t="e">
        <f t="shared" si="67"/>
        <v>#VALUE!</v>
      </c>
      <c r="H2045" s="3" t="e">
        <f t="shared" si="68"/>
        <v>#VALUE!</v>
      </c>
      <c r="I2045" s="1">
        <v>1</v>
      </c>
    </row>
    <row r="2046" spans="1:9" x14ac:dyDescent="0.25">
      <c r="A2046" s="1" t="s">
        <v>14435</v>
      </c>
      <c r="B2046" s="1" t="s">
        <v>5753</v>
      </c>
      <c r="C2046" s="1" t="str">
        <f>IFERROR(VLOOKUP(B2046,'SB1'!$A$2:$B$999999,2,FALSE),"")</f>
        <v>ESMALTE SINTETICO TERSPRAY SECADO RAPIDO AZUL BANDERA X 4</v>
      </c>
      <c r="D2046" s="1" t="s">
        <v>14487</v>
      </c>
      <c r="E2046" s="3">
        <f>IFERROR(VLOOKUP(B2046,'DA1'!$B$2:$D$999999,3,FALSE),"")</f>
      </c>
      <c r="F2046" s="1" t="str">
        <f>IFERROR(VLOOKUP(B2046,'SB1'!$A$2:$C$999999,3,FALSE),"")</f>
        <v>503</v>
      </c>
      <c r="G2046" s="3" t="e">
        <f t="shared" si="67"/>
        <v>#VALUE!</v>
      </c>
      <c r="H2046" s="3" t="e">
        <f t="shared" si="68"/>
        <v>#VALUE!</v>
      </c>
      <c r="I2046" s="1">
        <v>1</v>
      </c>
    </row>
    <row r="2047" spans="1:9" x14ac:dyDescent="0.25">
      <c r="A2047" s="1" t="s">
        <v>14435</v>
      </c>
      <c r="B2047" s="1" t="s">
        <v>5755</v>
      </c>
      <c r="C2047" s="1" t="str">
        <f>IFERROR(VLOOKUP(B2047,'SB1'!$A$2:$B$999999,2,FALSE),"")</f>
        <v>IMPERMEABILIZANTE PARA TECHOS TERSINOL BLANCO X 20</v>
      </c>
      <c r="D2047" s="1" t="s">
        <v>14437</v>
      </c>
      <c r="E2047" s="3">
        <f>IFERROR(VLOOKUP(B2047,'DA1'!$B$2:$D$999999,3,FALSE),"")</f>
      </c>
      <c r="F2047" s="1" t="str">
        <f>IFERROR(VLOOKUP(B2047,'SB1'!$A$2:$C$999999,3,FALSE),"")</f>
        <v>503</v>
      </c>
      <c r="G2047" s="3" t="e">
        <f t="shared" si="67"/>
        <v>#VALUE!</v>
      </c>
      <c r="H2047" s="3" t="e">
        <f t="shared" si="68"/>
        <v>#VALUE!</v>
      </c>
      <c r="I2047" s="1">
        <v>1</v>
      </c>
    </row>
    <row r="2048" spans="1:9" x14ac:dyDescent="0.25">
      <c r="A2048" s="1" t="s">
        <v>14435</v>
      </c>
      <c r="B2048" s="1" t="s">
        <v>5757</v>
      </c>
      <c r="C2048" s="1" t="str">
        <f>IFERROR(VLOOKUP(B2048,'SB1'!$A$2:$B$999999,2,FALSE),"")</f>
        <v>ESMALTE SINTETICO TERSPRAY SECADO RAPIDO VERDE J.D X 4</v>
      </c>
      <c r="D2048" s="1" t="s">
        <v>14487</v>
      </c>
      <c r="E2048" s="3">
        <f>IFERROR(VLOOKUP(B2048,'DA1'!$B$2:$D$999999,3,FALSE),"")</f>
      </c>
      <c r="F2048" s="1" t="str">
        <f>IFERROR(VLOOKUP(B2048,'SB1'!$A$2:$C$999999,3,FALSE),"")</f>
        <v>503</v>
      </c>
      <c r="G2048" s="3" t="e">
        <f t="shared" si="67"/>
        <v>#VALUE!</v>
      </c>
      <c r="H2048" s="3" t="e">
        <f t="shared" si="68"/>
        <v>#VALUE!</v>
      </c>
      <c r="I2048" s="1">
        <v>1</v>
      </c>
    </row>
    <row r="2049" spans="1:9" x14ac:dyDescent="0.25">
      <c r="A2049" s="1" t="s">
        <v>14435</v>
      </c>
      <c r="B2049" s="1" t="s">
        <v>5759</v>
      </c>
      <c r="C2049" s="1" t="str">
        <f>IFERROR(VLOOKUP(B2049,'SB1'!$A$2:$B$999999,2,FALSE),"")</f>
        <v>IMPERMEABILIZANTE PARA TECHOS TERSITECH NEGRO X  1</v>
      </c>
      <c r="D2049" s="1" t="s">
        <v>14437</v>
      </c>
      <c r="E2049" s="3">
        <f>IFERROR(VLOOKUP(B2049,'DA1'!$B$2:$D$999999,3,FALSE),"")</f>
      </c>
      <c r="F2049" s="1" t="str">
        <f>IFERROR(VLOOKUP(B2049,'SB1'!$A$2:$C$999999,3,FALSE),"")</f>
        <v>503</v>
      </c>
      <c r="G2049" s="3" t="e">
        <f t="shared" si="67"/>
        <v>#VALUE!</v>
      </c>
      <c r="H2049" s="3" t="e">
        <f t="shared" si="68"/>
        <v>#VALUE!</v>
      </c>
      <c r="I2049" s="1">
        <v>1</v>
      </c>
    </row>
    <row r="2050" spans="1:9" x14ac:dyDescent="0.25">
      <c r="A2050" s="1" t="s">
        <v>14435</v>
      </c>
      <c r="B2050" s="1" t="s">
        <v>5761</v>
      </c>
      <c r="C2050" s="1" t="str">
        <f>IFERROR(VLOOKUP(B2050,'SB1'!$A$2:$B$999999,2,FALSE),"")</f>
        <v>IMPERMEABILIZANTE PARA TECHOS TERSITECH NEGRO X  4</v>
      </c>
      <c r="D2050" s="1" t="s">
        <v>14437</v>
      </c>
      <c r="E2050" s="3">
        <f>IFERROR(VLOOKUP(B2050,'DA1'!$B$2:$D$999999,3,FALSE),"")</f>
      </c>
      <c r="F2050" s="1" t="str">
        <f>IFERROR(VLOOKUP(B2050,'SB1'!$A$2:$C$999999,3,FALSE),"")</f>
        <v>503</v>
      </c>
      <c r="G2050" s="3" t="e">
        <f t="shared" si="67"/>
        <v>#VALUE!</v>
      </c>
      <c r="H2050" s="3" t="e">
        <f t="shared" si="68"/>
        <v>#VALUE!</v>
      </c>
      <c r="I2050" s="1">
        <v>1</v>
      </c>
    </row>
    <row r="2051" spans="1:9" x14ac:dyDescent="0.25">
      <c r="A2051" s="1" t="s">
        <v>14435</v>
      </c>
      <c r="B2051" s="1" t="s">
        <v>5763</v>
      </c>
      <c r="C2051" s="1" t="str">
        <f>IFERROR(VLOOKUP(B2051,'SB1'!$A$2:$B$999999,2,FALSE),"")</f>
        <v>IMPERMEABILIZANTE PARA TECHOS TERSITECH NEGRO X 10</v>
      </c>
      <c r="D2051" s="1" t="s">
        <v>14437</v>
      </c>
      <c r="E2051" s="3">
        <f>IFERROR(VLOOKUP(B2051,'DA1'!$B$2:$D$999999,3,FALSE),"")</f>
      </c>
      <c r="F2051" s="1" t="str">
        <f>IFERROR(VLOOKUP(B2051,'SB1'!$A$2:$C$999999,3,FALSE),"")</f>
        <v>503</v>
      </c>
      <c r="G2051" s="3" t="e">
        <f t="shared" ref="G2051:G2114" si="69">E2051*1.04</f>
        <v>#VALUE!</v>
      </c>
      <c r="H2051" s="3" t="e">
        <f t="shared" si="68"/>
        <v>#VALUE!</v>
      </c>
      <c r="I2051" s="1">
        <v>1</v>
      </c>
    </row>
    <row r="2052" spans="1:9" x14ac:dyDescent="0.25">
      <c r="A2052" s="1" t="s">
        <v>14435</v>
      </c>
      <c r="B2052" s="1" t="s">
        <v>5765</v>
      </c>
      <c r="C2052" s="1" t="str">
        <f>IFERROR(VLOOKUP(B2052,'SB1'!$A$2:$B$999999,2,FALSE),"")</f>
        <v>IMPERMEABILIZANTE PARA TECHOS TERSITECH NEGRO X 20</v>
      </c>
      <c r="D2052" s="1" t="s">
        <v>14437</v>
      </c>
      <c r="E2052" s="3">
        <f>IFERROR(VLOOKUP(B2052,'DA1'!$B$2:$D$999999,3,FALSE),"")</f>
      </c>
      <c r="F2052" s="1" t="str">
        <f>IFERROR(VLOOKUP(B2052,'SB1'!$A$2:$C$999999,3,FALSE),"")</f>
        <v>503</v>
      </c>
      <c r="G2052" s="3" t="e">
        <f t="shared" si="69"/>
        <v>#VALUE!</v>
      </c>
      <c r="H2052" s="3" t="e">
        <f t="shared" si="68"/>
        <v>#VALUE!</v>
      </c>
      <c r="I2052" s="1">
        <v>1</v>
      </c>
    </row>
    <row r="2053" spans="1:9" x14ac:dyDescent="0.25">
      <c r="A2053" s="1" t="s">
        <v>14435</v>
      </c>
      <c r="B2053" s="1" t="s">
        <v>5769</v>
      </c>
      <c r="C2053" s="1" t="str">
        <f>IFERROR(VLOOKUP(B2053,'SB1'!$A$2:$B$999999,2,FALSE),"")</f>
        <v>DISCO CORTE DOBLE A T41 MASTER ACERO 350X3,2X25,4 2MALLA</v>
      </c>
      <c r="D2053" s="1" t="s">
        <v>14451</v>
      </c>
      <c r="E2053" s="3">
        <f>IFERROR(VLOOKUP(B2053,'DA1'!$B$2:$D$999999,3,FALSE),"")</f>
      </c>
      <c r="F2053" s="1" t="str">
        <f>IFERROR(VLOOKUP(B2053,'SB1'!$A$2:$C$999999,3,FALSE),"")</f>
        <v>503</v>
      </c>
      <c r="G2053" s="3" t="e">
        <f t="shared" si="69"/>
        <v>#VALUE!</v>
      </c>
      <c r="H2053" s="3" t="e">
        <f t="shared" si="68"/>
        <v>#VALUE!</v>
      </c>
      <c r="I2053" s="1">
        <v>1</v>
      </c>
    </row>
    <row r="2054" spans="1:9" x14ac:dyDescent="0.25">
      <c r="A2054" s="1" t="s">
        <v>14435</v>
      </c>
      <c r="B2054" s="1" t="s">
        <v>5775</v>
      </c>
      <c r="C2054" s="1" t="str">
        <f>IFERROR(VLOOKUP(B2054,'SB1'!$A$2:$B$999999,2,FALSE),"")</f>
        <v>IMPRIMACION EPOXI TERSUAVE X 1</v>
      </c>
      <c r="D2054" s="1" t="s">
        <v>14487</v>
      </c>
      <c r="E2054" s="3">
        <f>IFERROR(VLOOKUP(B2054,'DA1'!$B$2:$D$999999,3,FALSE),"")</f>
      </c>
      <c r="F2054" s="1" t="str">
        <f>IFERROR(VLOOKUP(B2054,'SB1'!$A$2:$C$999999,3,FALSE),"")</f>
        <v>503</v>
      </c>
      <c r="G2054" s="3" t="e">
        <f t="shared" si="69"/>
        <v>#VALUE!</v>
      </c>
      <c r="H2054" s="3" t="e">
        <f t="shared" si="68"/>
        <v>#VALUE!</v>
      </c>
      <c r="I2054" s="1">
        <v>1</v>
      </c>
    </row>
    <row r="2055" spans="1:9" x14ac:dyDescent="0.25">
      <c r="A2055" s="1" t="s">
        <v>14435</v>
      </c>
      <c r="B2055" s="1" t="s">
        <v>5779</v>
      </c>
      <c r="C2055" s="1" t="str">
        <f>IFERROR(VLOOKUP(B2055,'SB1'!$A$2:$B$999999,2,FALSE),"")</f>
        <v>FILTRO ESPUMA P/TAPA ADIABATIC (1218DLPO)</v>
      </c>
      <c r="D2055" s="1" t="s">
        <v>14496</v>
      </c>
      <c r="E2055" s="3">
        <f>IFERROR(VLOOKUP(B2055,'DA1'!$B$2:$D$999999,3,FALSE),"")</f>
      </c>
      <c r="F2055" s="1" t="str">
        <f>IFERROR(VLOOKUP(B2055,'SB1'!$A$2:$C$999999,3,FALSE),"")</f>
        <v>503</v>
      </c>
      <c r="G2055" s="3" t="e">
        <f t="shared" si="69"/>
        <v>#VALUE!</v>
      </c>
      <c r="H2055" s="3" t="e">
        <f t="shared" si="68"/>
        <v>#VALUE!</v>
      </c>
      <c r="I2055" s="1">
        <v>1</v>
      </c>
    </row>
    <row r="2056" spans="1:9" x14ac:dyDescent="0.25">
      <c r="A2056" s="1" t="s">
        <v>14435</v>
      </c>
      <c r="B2056" s="1" t="s">
        <v>5781</v>
      </c>
      <c r="C2056" s="1" t="str">
        <f>IFERROR(VLOOKUP(B2056,'SB1'!$A$2:$B$999999,2,FALSE),"")</f>
        <v>CARBON DE 9X9 JUEGOX2 ADIABATIC (1481K2)</v>
      </c>
      <c r="D2056" s="1" t="s">
        <v>14496</v>
      </c>
      <c r="E2056" s="3">
        <f>IFERROR(VLOOKUP(B2056,'DA1'!$B$2:$D$999999,3,FALSE),"")</f>
      </c>
      <c r="F2056" s="1" t="str">
        <f>IFERROR(VLOOKUP(B2056,'SB1'!$A$2:$C$999999,3,FALSE),"")</f>
        <v>503</v>
      </c>
      <c r="G2056" s="3" t="e">
        <f t="shared" si="69"/>
        <v>#VALUE!</v>
      </c>
      <c r="H2056" s="3" t="e">
        <f t="shared" si="68"/>
        <v>#VALUE!</v>
      </c>
      <c r="I2056" s="1">
        <v>1</v>
      </c>
    </row>
    <row r="2057" spans="1:9" x14ac:dyDescent="0.25">
      <c r="A2057" s="1" t="s">
        <v>14435</v>
      </c>
      <c r="B2057" s="1" t="s">
        <v>5783</v>
      </c>
      <c r="C2057" s="1" t="str">
        <f>IFERROR(VLOOKUP(B2057,'SB1'!$A$2:$B$999999,2,FALSE),"")</f>
        <v>PICO 0,75 MM DIFU PLASTICO ADIABATIC (1523CLLO)</v>
      </c>
      <c r="D2057" s="1" t="s">
        <v>14496</v>
      </c>
      <c r="E2057" s="3">
        <f>IFERROR(VLOOKUP(B2057,'DA1'!$B$2:$D$999999,3,FALSE),"")</f>
      </c>
      <c r="F2057" s="1" t="str">
        <f>IFERROR(VLOOKUP(B2057,'SB1'!$A$2:$C$999999,3,FALSE),"")</f>
        <v>503</v>
      </c>
      <c r="G2057" s="3" t="e">
        <f t="shared" si="69"/>
        <v>#VALUE!</v>
      </c>
      <c r="H2057" s="3" t="e">
        <f t="shared" si="68"/>
        <v>#VALUE!</v>
      </c>
      <c r="I2057" s="1">
        <v>1</v>
      </c>
    </row>
    <row r="2058" spans="1:9" x14ac:dyDescent="0.25">
      <c r="A2058" s="1" t="s">
        <v>14435</v>
      </c>
      <c r="B2058" s="1" t="s">
        <v>5785</v>
      </c>
      <c r="C2058" s="1" t="str">
        <f>IFERROR(VLOOKUP(B2058,'SB1'!$A$2:$B$999999,2,FALSE),"")</f>
        <v>PICO 1 MM DIFU PLASTICO ADIABATIC (1524CLLO)</v>
      </c>
      <c r="D2058" s="1" t="s">
        <v>14496</v>
      </c>
      <c r="E2058" s="3">
        <f>IFERROR(VLOOKUP(B2058,'DA1'!$B$2:$D$999999,3,FALSE),"")</f>
      </c>
      <c r="F2058" s="1" t="str">
        <f>IFERROR(VLOOKUP(B2058,'SB1'!$A$2:$C$999999,3,FALSE),"")</f>
        <v>503</v>
      </c>
      <c r="G2058" s="3" t="e">
        <f t="shared" si="69"/>
        <v>#VALUE!</v>
      </c>
      <c r="H2058" s="3" t="e">
        <f t="shared" si="68"/>
        <v>#VALUE!</v>
      </c>
      <c r="I2058" s="1">
        <v>1</v>
      </c>
    </row>
    <row r="2059" spans="1:9" x14ac:dyDescent="0.25">
      <c r="A2059" s="1" t="s">
        <v>14435</v>
      </c>
      <c r="B2059" s="1" t="s">
        <v>5787</v>
      </c>
      <c r="C2059" s="1" t="str">
        <f>IFERROR(VLOOKUP(B2059,'SB1'!$A$2:$B$999999,2,FALSE),"")</f>
        <v>PICO 1,5 MM DIFU PLASTICO ADIABATIC (1525CLLO)</v>
      </c>
      <c r="D2059" s="1" t="s">
        <v>14496</v>
      </c>
      <c r="E2059" s="3">
        <f>IFERROR(VLOOKUP(B2059,'DA1'!$B$2:$D$999999,3,FALSE),"")</f>
      </c>
      <c r="F2059" s="1" t="str">
        <f>IFERROR(VLOOKUP(B2059,'SB1'!$A$2:$C$999999,3,FALSE),"")</f>
        <v>503</v>
      </c>
      <c r="G2059" s="3" t="e">
        <f t="shared" si="69"/>
        <v>#VALUE!</v>
      </c>
      <c r="H2059" s="3" t="e">
        <f t="shared" si="68"/>
        <v>#VALUE!</v>
      </c>
      <c r="I2059" s="1">
        <v>1</v>
      </c>
    </row>
    <row r="2060" spans="1:9" x14ac:dyDescent="0.25">
      <c r="A2060" s="1" t="s">
        <v>14435</v>
      </c>
      <c r="B2060" s="1" t="s">
        <v>5789</v>
      </c>
      <c r="C2060" s="1" t="str">
        <f>IFERROR(VLOOKUP(B2060,'SB1'!$A$2:$B$999999,2,FALSE),"")</f>
        <v>PICO 2 MM DIFU PLASTICO ADIABATIC ( 1526CLLO)</v>
      </c>
      <c r="D2060" s="1" t="s">
        <v>14496</v>
      </c>
      <c r="E2060" s="3">
        <f>IFERROR(VLOOKUP(B2060,'DA1'!$B$2:$D$999999,3,FALSE),"")</f>
      </c>
      <c r="F2060" s="1" t="str">
        <f>IFERROR(VLOOKUP(B2060,'SB1'!$A$2:$C$999999,3,FALSE),"")</f>
        <v>503</v>
      </c>
      <c r="G2060" s="3" t="e">
        <f t="shared" si="69"/>
        <v>#VALUE!</v>
      </c>
      <c r="H2060" s="3" t="e">
        <f t="shared" si="68"/>
        <v>#VALUE!</v>
      </c>
      <c r="I2060" s="1">
        <v>1</v>
      </c>
    </row>
    <row r="2061" spans="1:9" x14ac:dyDescent="0.25">
      <c r="A2061" s="1" t="s">
        <v>14435</v>
      </c>
      <c r="B2061" s="1" t="s">
        <v>5791</v>
      </c>
      <c r="C2061" s="1" t="str">
        <f>IFERROR(VLOOKUP(B2061,'SB1'!$A$2:$B$999999,2,FALSE),"")</f>
        <v>AGUJA INOXIDABLE PARA PISTOLA C2C5 (7113DLLO)</v>
      </c>
      <c r="D2061" s="1" t="s">
        <v>14496</v>
      </c>
      <c r="E2061" s="3">
        <f>IFERROR(VLOOKUP(B2061,'DA1'!$B$2:$D$999999,3,FALSE),"")</f>
      </c>
      <c r="F2061" s="1" t="str">
        <f>IFERROR(VLOOKUP(B2061,'SB1'!$A$2:$C$999999,3,FALSE),"")</f>
        <v>503</v>
      </c>
      <c r="G2061" s="3" t="e">
        <f t="shared" si="69"/>
        <v>#VALUE!</v>
      </c>
      <c r="H2061" s="3" t="e">
        <f t="shared" si="68"/>
        <v>#VALUE!</v>
      </c>
      <c r="I2061" s="1">
        <v>1</v>
      </c>
    </row>
    <row r="2062" spans="1:9" x14ac:dyDescent="0.25">
      <c r="A2062" s="1" t="s">
        <v>14435</v>
      </c>
      <c r="B2062" s="1" t="s">
        <v>5793</v>
      </c>
      <c r="C2062" s="1" t="str">
        <f>IFERROR(VLOOKUP(B2062,'SB1'!$A$2:$B$999999,2,FALSE),"")</f>
        <v>JUNTA UNIVERSAL P/TAZAS ADIABATIC (0269CNPO)</v>
      </c>
      <c r="D2062" s="1" t="s">
        <v>14496</v>
      </c>
      <c r="E2062" s="3">
        <f>IFERROR(VLOOKUP(B2062,'DA1'!$B$2:$D$999999,3,FALSE),"")</f>
      </c>
      <c r="F2062" s="1" t="str">
        <f>IFERROR(VLOOKUP(B2062,'SB1'!$A$2:$C$999999,3,FALSE),"")</f>
        <v>503</v>
      </c>
      <c r="G2062" s="3" t="e">
        <f t="shared" si="69"/>
        <v>#VALUE!</v>
      </c>
      <c r="H2062" s="3" t="e">
        <f t="shared" si="68"/>
        <v>#VALUE!</v>
      </c>
      <c r="I2062" s="1">
        <v>1</v>
      </c>
    </row>
    <row r="2063" spans="1:9" x14ac:dyDescent="0.25">
      <c r="A2063" s="1" t="s">
        <v>14435</v>
      </c>
      <c r="B2063" s="1" t="s">
        <v>5795</v>
      </c>
      <c r="C2063" s="1" t="str">
        <f>IFERROR(VLOOKUP(B2063,'SB1'!$A$2:$B$999999,2,FALSE),"")</f>
        <v>JUNTA PRENSA ESTOPA DE TEFLON ADIABATIC (0143DLXO)</v>
      </c>
      <c r="D2063" s="1" t="s">
        <v>14496</v>
      </c>
      <c r="E2063" s="3">
        <f>IFERROR(VLOOKUP(B2063,'DA1'!$B$2:$D$999999,3,FALSE),"")</f>
      </c>
      <c r="F2063" s="1" t="str">
        <f>IFERROR(VLOOKUP(B2063,'SB1'!$A$2:$C$999999,3,FALSE),"")</f>
        <v>503</v>
      </c>
      <c r="G2063" s="3" t="e">
        <f t="shared" si="69"/>
        <v>#VALUE!</v>
      </c>
      <c r="H2063" s="3" t="e">
        <f t="shared" si="68"/>
        <v>#VALUE!</v>
      </c>
      <c r="I2063" s="1">
        <v>1</v>
      </c>
    </row>
    <row r="2064" spans="1:9" x14ac:dyDescent="0.25">
      <c r="A2064" s="1" t="s">
        <v>14435</v>
      </c>
      <c r="B2064" s="1" t="s">
        <v>5797</v>
      </c>
      <c r="C2064" s="1" t="str">
        <f>IFERROR(VLOOKUP(B2064,'SB1'!$A$2:$B$999999,2,FALSE),"")</f>
        <v>AEROSOL RUST-OLEUM ALTA TEMPERATURA GRIS X 0,340 (249340/371549)</v>
      </c>
      <c r="D2064" s="1" t="s">
        <v>14450</v>
      </c>
      <c r="E2064" s="3">
        <f>IFERROR(VLOOKUP(B2064,'DA1'!$B$2:$D$999999,3,FALSE),"")</f>
      </c>
      <c r="F2064" s="1" t="str">
        <f>IFERROR(VLOOKUP(B2064,'SB1'!$A$2:$C$999999,3,FALSE),"")</f>
        <v>503</v>
      </c>
      <c r="G2064" s="3" t="e">
        <f t="shared" si="69"/>
        <v>#VALUE!</v>
      </c>
      <c r="H2064" s="3" t="e">
        <f t="shared" si="68"/>
        <v>#VALUE!</v>
      </c>
      <c r="I2064" s="1">
        <v>1</v>
      </c>
    </row>
    <row r="2065" spans="1:9" x14ac:dyDescent="0.25">
      <c r="A2065" s="1" t="s">
        <v>14435</v>
      </c>
      <c r="B2065" s="1" t="s">
        <v>5799</v>
      </c>
      <c r="C2065" s="1" t="str">
        <f>IFERROR(VLOOKUP(B2065,'SB1'!$A$2:$B$999999,2,FALSE),"")</f>
        <v>REVESTIMIENTO TEXTURADO TERPLAST REVOQUE PLASTICO BLANCO X 25</v>
      </c>
      <c r="D2065" s="1" t="s">
        <v>14437</v>
      </c>
      <c r="E2065" s="3">
        <f>IFERROR(VLOOKUP(B2065,'DA1'!$B$2:$D$999999,3,FALSE),"")</f>
      </c>
      <c r="F2065" s="1" t="str">
        <f>IFERROR(VLOOKUP(B2065,'SB1'!$A$2:$C$999999,3,FALSE),"")</f>
        <v>503</v>
      </c>
      <c r="G2065" s="3" t="e">
        <f t="shared" si="69"/>
        <v>#VALUE!</v>
      </c>
      <c r="H2065" s="3" t="e">
        <f t="shared" si="68"/>
        <v>#VALUE!</v>
      </c>
      <c r="I2065" s="1">
        <v>1</v>
      </c>
    </row>
    <row r="2066" spans="1:9" x14ac:dyDescent="0.25">
      <c r="A2066" s="1" t="s">
        <v>14435</v>
      </c>
      <c r="B2066" s="1" t="s">
        <v>5827</v>
      </c>
      <c r="C2066" s="1" t="str">
        <f>IFERROR(VLOOKUP(B2066,'SB1'!$A$2:$B$999999,2,FALSE),"")</f>
        <v>PROTECTOR PARA PISO ATERMICO PLAVICON CUARZO X 4</v>
      </c>
      <c r="D2066" s="1" t="s">
        <v>14458</v>
      </c>
      <c r="E2066" s="3">
        <f>IFERROR(VLOOKUP(B2066,'DA1'!$B$2:$D$999999,3,FALSE),"")</f>
      </c>
      <c r="F2066" s="1" t="str">
        <f>IFERROR(VLOOKUP(B2066,'SB1'!$A$2:$C$999999,3,FALSE),"")</f>
        <v>503</v>
      </c>
      <c r="G2066" s="3" t="e">
        <f t="shared" si="69"/>
        <v>#VALUE!</v>
      </c>
      <c r="H2066" s="3" t="e">
        <f t="shared" si="68"/>
        <v>#VALUE!</v>
      </c>
      <c r="I2066" s="1">
        <v>1</v>
      </c>
    </row>
    <row r="2067" spans="1:9" x14ac:dyDescent="0.25">
      <c r="A2067" s="1" t="s">
        <v>14435</v>
      </c>
      <c r="B2067" s="1" t="s">
        <v>5829</v>
      </c>
      <c r="C2067" s="1" t="str">
        <f>IFERROR(VLOOKUP(B2067,'SB1'!$A$2:$B$999999,2,FALSE),"")</f>
        <v>DISCO FLAP DOBLE A MASTER OX ALUMINIO 115X22  36</v>
      </c>
      <c r="D2067" s="1" t="s">
        <v>14451</v>
      </c>
      <c r="E2067" s="3">
        <f>IFERROR(VLOOKUP(B2067,'DA1'!$B$2:$D$999999,3,FALSE),"")</f>
      </c>
      <c r="F2067" s="1" t="str">
        <f>IFERROR(VLOOKUP(B2067,'SB1'!$A$2:$C$999999,3,FALSE),"")</f>
        <v>503</v>
      </c>
      <c r="G2067" s="3" t="e">
        <f t="shared" si="69"/>
        <v>#VALUE!</v>
      </c>
      <c r="H2067" s="3" t="e">
        <f t="shared" si="68"/>
        <v>#VALUE!</v>
      </c>
      <c r="I2067" s="1">
        <v>1</v>
      </c>
    </row>
    <row r="2068" spans="1:9" x14ac:dyDescent="0.25">
      <c r="A2068" s="1" t="s">
        <v>14435</v>
      </c>
      <c r="B2068" s="1" t="s">
        <v>5831</v>
      </c>
      <c r="C2068" s="1" t="str">
        <f>IFERROR(VLOOKUP(B2068,'SB1'!$A$2:$B$999999,2,FALSE),"")</f>
        <v>DISCO FLAP DOBLE A MASTER OX ALUMINIO 115X22  60</v>
      </c>
      <c r="D2068" s="1" t="s">
        <v>14451</v>
      </c>
      <c r="E2068" s="3">
        <f>IFERROR(VLOOKUP(B2068,'DA1'!$B$2:$D$999999,3,FALSE),"")</f>
      </c>
      <c r="F2068" s="1" t="str">
        <f>IFERROR(VLOOKUP(B2068,'SB1'!$A$2:$C$999999,3,FALSE),"")</f>
        <v>503</v>
      </c>
      <c r="G2068" s="3" t="e">
        <f t="shared" si="69"/>
        <v>#VALUE!</v>
      </c>
      <c r="H2068" s="3" t="e">
        <f t="shared" si="68"/>
        <v>#VALUE!</v>
      </c>
      <c r="I2068" s="1">
        <v>1</v>
      </c>
    </row>
    <row r="2069" spans="1:9" x14ac:dyDescent="0.25">
      <c r="A2069" s="1" t="s">
        <v>14435</v>
      </c>
      <c r="B2069" s="1" t="s">
        <v>5833</v>
      </c>
      <c r="C2069" s="1" t="str">
        <f>IFERROR(VLOOKUP(B2069,'SB1'!$A$2:$B$999999,2,FALSE),"")</f>
        <v>DISCO FLAP DOBLE A ULTRA OX.ZIRCONIO 180X22 P 40</v>
      </c>
      <c r="D2069" s="1" t="s">
        <v>14451</v>
      </c>
      <c r="E2069" s="3">
        <f>IFERROR(VLOOKUP(B2069,'DA1'!$B$2:$D$999999,3,FALSE),"")</f>
      </c>
      <c r="F2069" s="1" t="str">
        <f>IFERROR(VLOOKUP(B2069,'SB1'!$A$2:$C$999999,3,FALSE),"")</f>
        <v>503</v>
      </c>
      <c r="G2069" s="3" t="e">
        <f t="shared" si="69"/>
        <v>#VALUE!</v>
      </c>
      <c r="H2069" s="3" t="e">
        <f t="shared" si="68"/>
        <v>#VALUE!</v>
      </c>
      <c r="I2069" s="1">
        <v>1</v>
      </c>
    </row>
    <row r="2070" spans="1:9" x14ac:dyDescent="0.25">
      <c r="A2070" s="1" t="s">
        <v>14435</v>
      </c>
      <c r="B2070" s="1" t="s">
        <v>5835</v>
      </c>
      <c r="C2070" s="1" t="str">
        <f>IFERROR(VLOOKUP(B2070,'SB1'!$A$2:$B$999999,2,FALSE),"")</f>
        <v>DISCO FLAP DOBLE A ULTRA OX.ZIRCONIO 180X22 P 60</v>
      </c>
      <c r="D2070" s="1" t="s">
        <v>14451</v>
      </c>
      <c r="E2070" s="3">
        <f>IFERROR(VLOOKUP(B2070,'DA1'!$B$2:$D$999999,3,FALSE),"")</f>
      </c>
      <c r="F2070" s="1" t="str">
        <f>IFERROR(VLOOKUP(B2070,'SB1'!$A$2:$C$999999,3,FALSE),"")</f>
        <v>503</v>
      </c>
      <c r="G2070" s="3" t="e">
        <f t="shared" si="69"/>
        <v>#VALUE!</v>
      </c>
      <c r="H2070" s="3" t="e">
        <f t="shared" si="68"/>
        <v>#VALUE!</v>
      </c>
      <c r="I2070" s="1">
        <v>1</v>
      </c>
    </row>
    <row r="2071" spans="1:9" x14ac:dyDescent="0.25">
      <c r="A2071" s="1" t="s">
        <v>14435</v>
      </c>
      <c r="B2071" s="1" t="s">
        <v>5837</v>
      </c>
      <c r="C2071" s="1" t="str">
        <f>IFERROR(VLOOKUP(B2071,'SB1'!$A$2:$B$999999,2,FALSE),"")</f>
        <v>DISCO FLAP DOBLE A ULTRA OX.ZIRCONIO 180X22 P 80</v>
      </c>
      <c r="D2071" s="1" t="s">
        <v>14451</v>
      </c>
      <c r="E2071" s="3">
        <f>IFERROR(VLOOKUP(B2071,'DA1'!$B$2:$D$999999,3,FALSE),"")</f>
      </c>
      <c r="F2071" s="1" t="str">
        <f>IFERROR(VLOOKUP(B2071,'SB1'!$A$2:$C$999999,3,FALSE),"")</f>
        <v>503</v>
      </c>
      <c r="G2071" s="3" t="e">
        <f t="shared" si="69"/>
        <v>#VALUE!</v>
      </c>
      <c r="H2071" s="3" t="e">
        <f t="shared" si="68"/>
        <v>#VALUE!</v>
      </c>
      <c r="I2071" s="1">
        <v>1</v>
      </c>
    </row>
    <row r="2072" spans="1:9" x14ac:dyDescent="0.25">
      <c r="A2072" s="1" t="s">
        <v>14435</v>
      </c>
      <c r="B2072" s="1" t="s">
        <v>5839</v>
      </c>
      <c r="C2072" s="1" t="str">
        <f>IFERROR(VLOOKUP(B2072,'SB1'!$A$2:$B$999999,2,FALSE),"")</f>
        <v>DISCO FLAP DOBLE A ULTRA OX.ZIRCONIO 180X22 P120</v>
      </c>
      <c r="D2072" s="1" t="s">
        <v>14451</v>
      </c>
      <c r="E2072" s="3">
        <f>IFERROR(VLOOKUP(B2072,'DA1'!$B$2:$D$999999,3,FALSE),"")</f>
      </c>
      <c r="F2072" s="1" t="str">
        <f>IFERROR(VLOOKUP(B2072,'SB1'!$A$2:$C$999999,3,FALSE),"")</f>
        <v>503</v>
      </c>
      <c r="G2072" s="3" t="e">
        <f t="shared" si="69"/>
        <v>#VALUE!</v>
      </c>
      <c r="H2072" s="3" t="e">
        <f t="shared" si="68"/>
        <v>#VALUE!</v>
      </c>
      <c r="I2072" s="1">
        <v>1</v>
      </c>
    </row>
    <row r="2073" spans="1:9" x14ac:dyDescent="0.25">
      <c r="A2073" s="1" t="s">
        <v>14435</v>
      </c>
      <c r="B2073" s="1" t="s">
        <v>5841</v>
      </c>
      <c r="C2073" s="1" t="str">
        <f>IFERROR(VLOOKUP(B2073,'SB1'!$A$2:$B$999999,2,FALSE),"")</f>
        <v>DISCO FLAP DOBLE A MASTER OX ALUMINIO 115X22  80</v>
      </c>
      <c r="D2073" s="1" t="s">
        <v>14451</v>
      </c>
      <c r="E2073" s="3">
        <f>IFERROR(VLOOKUP(B2073,'DA1'!$B$2:$D$999999,3,FALSE),"")</f>
      </c>
      <c r="F2073" s="1" t="str">
        <f>IFERROR(VLOOKUP(B2073,'SB1'!$A$2:$C$999999,3,FALSE),"")</f>
        <v>503</v>
      </c>
      <c r="G2073" s="3" t="e">
        <f t="shared" si="69"/>
        <v>#VALUE!</v>
      </c>
      <c r="H2073" s="3" t="e">
        <f t="shared" si="68"/>
        <v>#VALUE!</v>
      </c>
      <c r="I2073" s="1">
        <v>1</v>
      </c>
    </row>
    <row r="2074" spans="1:9" x14ac:dyDescent="0.25">
      <c r="A2074" s="1" t="s">
        <v>14435</v>
      </c>
      <c r="B2074" s="1" t="s">
        <v>5843</v>
      </c>
      <c r="C2074" s="1" t="str">
        <f>IFERROR(VLOOKUP(B2074,'SB1'!$A$2:$B$999999,2,FALSE),"")</f>
        <v>DISCO DIAMANTADO DOBLE A MASTER 110X22,23 SEG</v>
      </c>
      <c r="D2074" s="1" t="s">
        <v>14451</v>
      </c>
      <c r="E2074" s="3">
        <f>IFERROR(VLOOKUP(B2074,'DA1'!$B$2:$D$999999,3,FALSE),"")</f>
      </c>
      <c r="F2074" s="1" t="str">
        <f>IFERROR(VLOOKUP(B2074,'SB1'!$A$2:$C$999999,3,FALSE),"")</f>
        <v>503</v>
      </c>
      <c r="G2074" s="3" t="e">
        <f t="shared" si="69"/>
        <v>#VALUE!</v>
      </c>
      <c r="H2074" s="3" t="e">
        <f t="shared" si="68"/>
        <v>#VALUE!</v>
      </c>
      <c r="I2074" s="1">
        <v>1</v>
      </c>
    </row>
    <row r="2075" spans="1:9" x14ac:dyDescent="0.25">
      <c r="A2075" s="1" t="s">
        <v>14435</v>
      </c>
      <c r="B2075" s="1" t="s">
        <v>5845</v>
      </c>
      <c r="C2075" s="1" t="str">
        <f>IFERROR(VLOOKUP(B2075,'SB1'!$A$2:$B$999999,2,FALSE),"")</f>
        <v>DISCO DIAMANTADO DOBLE A MASTER 110X22,23 TURBO</v>
      </c>
      <c r="D2075" s="1" t="s">
        <v>14451</v>
      </c>
      <c r="E2075" s="3">
        <f>IFERROR(VLOOKUP(B2075,'DA1'!$B$2:$D$999999,3,FALSE),"")</f>
      </c>
      <c r="F2075" s="1" t="str">
        <f>IFERROR(VLOOKUP(B2075,'SB1'!$A$2:$C$999999,3,FALSE),"")</f>
        <v>503</v>
      </c>
      <c r="G2075" s="3" t="e">
        <f t="shared" si="69"/>
        <v>#VALUE!</v>
      </c>
      <c r="H2075" s="3" t="e">
        <f t="shared" si="68"/>
        <v>#VALUE!</v>
      </c>
      <c r="I2075" s="1">
        <v>1</v>
      </c>
    </row>
    <row r="2076" spans="1:9" x14ac:dyDescent="0.25">
      <c r="A2076" s="1" t="s">
        <v>14435</v>
      </c>
      <c r="B2076" s="1" t="s">
        <v>5847</v>
      </c>
      <c r="C2076" s="1" t="str">
        <f>IFERROR(VLOOKUP(B2076,'SB1'!$A$2:$B$999999,2,FALSE),"")</f>
        <v>FILTRO DE PINTURA P/PISTOLA ADIABATIC (1247DLXO)</v>
      </c>
      <c r="D2076" s="1" t="s">
        <v>14496</v>
      </c>
      <c r="E2076" s="3">
        <f>IFERROR(VLOOKUP(B2076,'DA1'!$B$2:$D$999999,3,FALSE),"")</f>
      </c>
      <c r="F2076" s="1" t="str">
        <f>IFERROR(VLOOKUP(B2076,'SB1'!$A$2:$C$999999,3,FALSE),"")</f>
        <v>503</v>
      </c>
      <c r="G2076" s="3" t="e">
        <f t="shared" si="69"/>
        <v>#VALUE!</v>
      </c>
      <c r="H2076" s="3" t="e">
        <f t="shared" si="68"/>
        <v>#VALUE!</v>
      </c>
      <c r="I2076" s="1">
        <v>1</v>
      </c>
    </row>
    <row r="2077" spans="1:9" x14ac:dyDescent="0.25">
      <c r="A2077" s="1" t="s">
        <v>14435</v>
      </c>
      <c r="B2077" s="1" t="s">
        <v>5849</v>
      </c>
      <c r="C2077" s="1" t="str">
        <f>IFERROR(VLOOKUP(B2077,'SB1'!$A$2:$B$999999,2,FALSE),"")</f>
        <v>DISCO FLAP DOBLE A MASTER OX ALUMINIO 115X22 120</v>
      </c>
      <c r="D2077" s="1" t="s">
        <v>14451</v>
      </c>
      <c r="E2077" s="3">
        <f>IFERROR(VLOOKUP(B2077,'DA1'!$B$2:$D$999999,3,FALSE),"")</f>
      </c>
      <c r="F2077" s="1" t="str">
        <f>IFERROR(VLOOKUP(B2077,'SB1'!$A$2:$C$999999,3,FALSE),"")</f>
        <v>503</v>
      </c>
      <c r="G2077" s="3" t="e">
        <f t="shared" si="69"/>
        <v>#VALUE!</v>
      </c>
      <c r="H2077" s="3" t="e">
        <f t="shared" si="68"/>
        <v>#VALUE!</v>
      </c>
      <c r="I2077" s="1">
        <v>1</v>
      </c>
    </row>
    <row r="2078" spans="1:9" x14ac:dyDescent="0.25">
      <c r="A2078" s="1" t="s">
        <v>14435</v>
      </c>
      <c r="B2078" s="1" t="s">
        <v>5851</v>
      </c>
      <c r="C2078" s="1" t="str">
        <f>IFERROR(VLOOKUP(B2078,'SB1'!$A$2:$B$999999,2,FALSE),"")</f>
        <v>DISCO CORTE DOBLE A T41 MASTER ACERO 300X3,2X25,4 2MALLA</v>
      </c>
      <c r="D2078" s="1" t="s">
        <v>14451</v>
      </c>
      <c r="E2078" s="3">
        <f>IFERROR(VLOOKUP(B2078,'DA1'!$B$2:$D$999999,3,FALSE),"")</f>
      </c>
      <c r="F2078" s="1" t="str">
        <f>IFERROR(VLOOKUP(B2078,'SB1'!$A$2:$C$999999,3,FALSE),"")</f>
        <v>503</v>
      </c>
      <c r="G2078" s="3" t="e">
        <f t="shared" si="69"/>
        <v>#VALUE!</v>
      </c>
      <c r="H2078" s="3" t="e">
        <f t="shared" si="68"/>
        <v>#VALUE!</v>
      </c>
      <c r="I2078" s="1">
        <v>1</v>
      </c>
    </row>
    <row r="2079" spans="1:9" x14ac:dyDescent="0.25">
      <c r="A2079" s="1" t="s">
        <v>14435</v>
      </c>
      <c r="B2079" s="1" t="s">
        <v>5853</v>
      </c>
      <c r="C2079" s="1" t="str">
        <f>IFERROR(VLOOKUP(B2079,'SB1'!$A$2:$B$999999,2,FALSE),"")</f>
        <v>GUANTES ANSELL NEOPRENO 29-865 T.10 X 2</v>
      </c>
      <c r="D2079" s="1" t="s">
        <v>14494</v>
      </c>
      <c r="E2079" s="3">
        <f>IFERROR(VLOOKUP(B2079,'DA1'!$B$2:$D$999999,3,FALSE),"")</f>
      </c>
      <c r="F2079" s="1" t="str">
        <f>IFERROR(VLOOKUP(B2079,'SB1'!$A$2:$C$999999,3,FALSE),"")</f>
        <v>503</v>
      </c>
      <c r="G2079" s="3" t="e">
        <f t="shared" si="69"/>
        <v>#VALUE!</v>
      </c>
      <c r="H2079" s="3" t="e">
        <f t="shared" si="68"/>
        <v>#VALUE!</v>
      </c>
      <c r="I2079" s="1">
        <v>2</v>
      </c>
    </row>
    <row r="2080" spans="1:9" x14ac:dyDescent="0.25">
      <c r="A2080" s="1" t="s">
        <v>14435</v>
      </c>
      <c r="B2080" s="1" t="s">
        <v>5855</v>
      </c>
      <c r="C2080" s="1" t="str">
        <f>IFERROR(VLOOKUP(B2080,'SB1'!$A$2:$B$999999,2,FALSE),"")</f>
        <v>TUBO DE PESCA PISTOLA C4 ADIABATIC (1039DLPO)</v>
      </c>
      <c r="D2080" s="1" t="s">
        <v>14496</v>
      </c>
      <c r="E2080" s="3">
        <f>IFERROR(VLOOKUP(B2080,'DA1'!$B$2:$D$999999,3,FALSE),"")</f>
      </c>
      <c r="F2080" s="1" t="str">
        <f>IFERROR(VLOOKUP(B2080,'SB1'!$A$2:$C$999999,3,FALSE),"")</f>
        <v>503</v>
      </c>
      <c r="G2080" s="3" t="e">
        <f t="shared" si="69"/>
        <v>#VALUE!</v>
      </c>
      <c r="H2080" s="3" t="e">
        <f t="shared" si="68"/>
        <v>#VALUE!</v>
      </c>
      <c r="I2080" s="1">
        <v>1</v>
      </c>
    </row>
    <row r="2081" spans="1:9" x14ac:dyDescent="0.25">
      <c r="A2081" s="1" t="s">
        <v>14435</v>
      </c>
      <c r="B2081" s="1" t="s">
        <v>5857</v>
      </c>
      <c r="C2081" s="1" t="str">
        <f>IFERROR(VLOOKUP(B2081,'SB1'!$A$2:$B$999999,2,FALSE),"")</f>
        <v>GUANTES TACTIL FOAM 20-102/PONY 22-102 -T09 X 2</v>
      </c>
      <c r="D2081" s="1" t="s">
        <v>14494</v>
      </c>
      <c r="E2081" s="3">
        <f>IFERROR(VLOOKUP(B2081,'DA1'!$B$2:$D$999999,3,FALSE),"")</f>
      </c>
      <c r="F2081" s="1" t="str">
        <f>IFERROR(VLOOKUP(B2081,'SB1'!$A$2:$C$999999,3,FALSE),"")</f>
        <v>503</v>
      </c>
      <c r="G2081" s="3" t="e">
        <f t="shared" si="69"/>
        <v>#VALUE!</v>
      </c>
      <c r="H2081" s="3" t="e">
        <f t="shared" si="68"/>
        <v>#VALUE!</v>
      </c>
      <c r="I2081" s="1">
        <v>2</v>
      </c>
    </row>
    <row r="2082" spans="1:9" x14ac:dyDescent="0.25">
      <c r="A2082" s="1" t="s">
        <v>14435</v>
      </c>
      <c r="B2082" s="1" t="s">
        <v>5859</v>
      </c>
      <c r="C2082" s="1" t="str">
        <f>IFERROR(VLOOKUP(B2082,'SB1'!$A$2:$B$999999,2,FALSE),"")</f>
        <v>GUANTES TACTIL FOAM 20-102/PONY 22-102 -T10 X 2</v>
      </c>
      <c r="D2082" s="1" t="s">
        <v>14494</v>
      </c>
      <c r="E2082" s="3">
        <f>IFERROR(VLOOKUP(B2082,'DA1'!$B$2:$D$999999,3,FALSE),"")</f>
      </c>
      <c r="F2082" s="1" t="str">
        <f>IFERROR(VLOOKUP(B2082,'SB1'!$A$2:$C$999999,3,FALSE),"")</f>
        <v>503</v>
      </c>
      <c r="G2082" s="3" t="e">
        <f t="shared" si="69"/>
        <v>#VALUE!</v>
      </c>
      <c r="H2082" s="3" t="e">
        <f t="shared" si="68"/>
        <v>#VALUE!</v>
      </c>
      <c r="I2082" s="1">
        <v>2</v>
      </c>
    </row>
    <row r="2083" spans="1:9" x14ac:dyDescent="0.25">
      <c r="A2083" s="1" t="s">
        <v>14435</v>
      </c>
      <c r="B2083" s="1" t="s">
        <v>5861</v>
      </c>
      <c r="C2083" s="1" t="str">
        <f>IFERROR(VLOOKUP(B2083,'SB1'!$A$2:$B$999999,2,FALSE),"")</f>
        <v>GUANTES ANSELL NEOPRENO 29-865 T.11 X 2</v>
      </c>
      <c r="D2083" s="1" t="s">
        <v>14494</v>
      </c>
      <c r="E2083" s="3">
        <f>IFERROR(VLOOKUP(B2083,'DA1'!$B$2:$D$999999,3,FALSE),"")</f>
      </c>
      <c r="F2083" s="1" t="str">
        <f>IFERROR(VLOOKUP(B2083,'SB1'!$A$2:$C$999999,3,FALSE),"")</f>
        <v>503</v>
      </c>
      <c r="G2083" s="3" t="e">
        <f t="shared" si="69"/>
        <v>#VALUE!</v>
      </c>
      <c r="H2083" s="3" t="e">
        <f t="shared" ref="H2083:H2129" si="70">G2083*1.21</f>
        <v>#VALUE!</v>
      </c>
      <c r="I2083" s="1">
        <v>2</v>
      </c>
    </row>
    <row r="2084" spans="1:9" x14ac:dyDescent="0.25">
      <c r="A2084" s="1" t="s">
        <v>14435</v>
      </c>
      <c r="B2084" s="1" t="s">
        <v>5863</v>
      </c>
      <c r="C2084" s="1" t="str">
        <f>IFERROR(VLOOKUP(B2084,'SB1'!$A$2:$B$999999,2,FALSE),"")</f>
        <v>REPUESTO CANE BOQUILLA (107503)</v>
      </c>
      <c r="D2084" s="1" t="s">
        <v>14474</v>
      </c>
      <c r="E2084" s="3">
        <f>IFERROR(VLOOKUP(B2084,'DA1'!$B$2:$D$999999,3,FALSE),"")</f>
      </c>
      <c r="F2084" s="1" t="str">
        <f>IFERROR(VLOOKUP(B2084,'SB1'!$A$2:$C$999999,3,FALSE),"")</f>
        <v>503</v>
      </c>
      <c r="G2084" s="3" t="e">
        <f t="shared" si="69"/>
        <v>#VALUE!</v>
      </c>
      <c r="H2084" s="3" t="e">
        <f t="shared" si="70"/>
        <v>#VALUE!</v>
      </c>
      <c r="I2084" s="1">
        <v>1</v>
      </c>
    </row>
    <row r="2085" spans="1:9" x14ac:dyDescent="0.25">
      <c r="A2085" s="1" t="s">
        <v>14435</v>
      </c>
      <c r="B2085" s="1" t="s">
        <v>5865</v>
      </c>
      <c r="C2085" s="1" t="str">
        <f>IFERROR(VLOOKUP(B2085,'SB1'!$A$2:$B$999999,2,FALSE),"")</f>
        <v>REPUESTO CANE ARANDELA SELLO (121023)</v>
      </c>
      <c r="D2085" s="1" t="s">
        <v>14474</v>
      </c>
      <c r="E2085" s="3">
        <f>IFERROR(VLOOKUP(B2085,'DA1'!$B$2:$D$999999,3,FALSE),"")</f>
      </c>
      <c r="F2085" s="1" t="str">
        <f>IFERROR(VLOOKUP(B2085,'SB1'!$A$2:$C$999999,3,FALSE),"")</f>
        <v>503</v>
      </c>
      <c r="G2085" s="3" t="e">
        <f t="shared" si="69"/>
        <v>#VALUE!</v>
      </c>
      <c r="H2085" s="3" t="e">
        <f t="shared" si="70"/>
        <v>#VALUE!</v>
      </c>
      <c r="I2085" s="1">
        <v>1</v>
      </c>
    </row>
    <row r="2086" spans="1:9" x14ac:dyDescent="0.25">
      <c r="A2086" s="1" t="s">
        <v>14435</v>
      </c>
      <c r="B2086" s="1" t="s">
        <v>5867</v>
      </c>
      <c r="C2086" s="1" t="str">
        <f>IFERROR(VLOOKUP(B2086,'SB1'!$A$2:$B$999999,2,FALSE),"")</f>
        <v>REPUESTO CANE PICO 1,8 MM (107502)</v>
      </c>
      <c r="D2086" s="1" t="s">
        <v>14474</v>
      </c>
      <c r="E2086" s="3">
        <f>IFERROR(VLOOKUP(B2086,'DA1'!$B$2:$D$999999,3,FALSE),"")</f>
      </c>
      <c r="F2086" s="1" t="str">
        <f>IFERROR(VLOOKUP(B2086,'SB1'!$A$2:$C$999999,3,FALSE),"")</f>
        <v>503</v>
      </c>
      <c r="G2086" s="3" t="e">
        <f t="shared" si="69"/>
        <v>#VALUE!</v>
      </c>
      <c r="H2086" s="3" t="e">
        <f t="shared" si="70"/>
        <v>#VALUE!</v>
      </c>
      <c r="I2086" s="1">
        <v>1</v>
      </c>
    </row>
    <row r="2087" spans="1:9" x14ac:dyDescent="0.25">
      <c r="A2087" s="1" t="s">
        <v>14435</v>
      </c>
      <c r="B2087" s="1" t="s">
        <v>5869</v>
      </c>
      <c r="C2087" s="1" t="str">
        <f>IFERROR(VLOOKUP(B2087,'SB1'!$A$2:$B$999999,2,FALSE),"")</f>
        <v>REPUESTO CANE DIFUSOR DE AIRE (121022)</v>
      </c>
      <c r="D2087" s="1" t="s">
        <v>14474</v>
      </c>
      <c r="E2087" s="3">
        <f>IFERROR(VLOOKUP(B2087,'DA1'!$B$2:$D$999999,3,FALSE),"")</f>
      </c>
      <c r="F2087" s="1" t="str">
        <f>IFERROR(VLOOKUP(B2087,'SB1'!$A$2:$C$999999,3,FALSE),"")</f>
        <v>503</v>
      </c>
      <c r="G2087" s="3" t="e">
        <f t="shared" si="69"/>
        <v>#VALUE!</v>
      </c>
      <c r="H2087" s="3" t="e">
        <f t="shared" si="70"/>
        <v>#VALUE!</v>
      </c>
      <c r="I2087" s="1">
        <v>1</v>
      </c>
    </row>
    <row r="2088" spans="1:9" x14ac:dyDescent="0.25">
      <c r="A2088" s="1" t="s">
        <v>14435</v>
      </c>
      <c r="B2088" s="1" t="s">
        <v>5871</v>
      </c>
      <c r="C2088" s="1" t="str">
        <f>IFERROR(VLOOKUP(B2088,'SB1'!$A$2:$B$999999,2,FALSE),"")</f>
        <v>REPUESTO CANE CUERPO (108501)</v>
      </c>
      <c r="D2088" s="1" t="s">
        <v>14474</v>
      </c>
      <c r="E2088" s="3">
        <f>IFERROR(VLOOKUP(B2088,'DA1'!$B$2:$D$999999,3,FALSE),"")</f>
      </c>
      <c r="F2088" s="1" t="str">
        <f>IFERROR(VLOOKUP(B2088,'SB1'!$A$2:$C$999999,3,FALSE),"")</f>
        <v>503</v>
      </c>
      <c r="G2088" s="3" t="e">
        <f t="shared" si="69"/>
        <v>#VALUE!</v>
      </c>
      <c r="H2088" s="3" t="e">
        <f t="shared" si="70"/>
        <v>#VALUE!</v>
      </c>
      <c r="I2088" s="1">
        <v>1</v>
      </c>
    </row>
    <row r="2089" spans="1:9" x14ac:dyDescent="0.25">
      <c r="A2089" s="1" t="s">
        <v>14435</v>
      </c>
      <c r="B2089" s="1" t="s">
        <v>5873</v>
      </c>
      <c r="C2089" s="1" t="str">
        <f>IFERROR(VLOOKUP(B2089,'SB1'!$A$2:$B$999999,2,FALSE),"")</f>
        <v>REPUESTO CANE CUERPO REG.AIRE (121065)</v>
      </c>
      <c r="D2089" s="1" t="s">
        <v>14474</v>
      </c>
      <c r="E2089" s="3">
        <f>IFERROR(VLOOKUP(B2089,'DA1'!$B$2:$D$999999,3,FALSE),"")</f>
      </c>
      <c r="F2089" s="1" t="str">
        <f>IFERROR(VLOOKUP(B2089,'SB1'!$A$2:$C$999999,3,FALSE),"")</f>
        <v>503</v>
      </c>
      <c r="G2089" s="3" t="e">
        <f t="shared" si="69"/>
        <v>#VALUE!</v>
      </c>
      <c r="H2089" s="3" t="e">
        <f t="shared" si="70"/>
        <v>#VALUE!</v>
      </c>
      <c r="I2089" s="1">
        <v>1</v>
      </c>
    </row>
    <row r="2090" spans="1:9" x14ac:dyDescent="0.25">
      <c r="A2090" s="1" t="s">
        <v>14435</v>
      </c>
      <c r="B2090" s="1" t="s">
        <v>5875</v>
      </c>
      <c r="C2090" s="1" t="str">
        <f>IFERROR(VLOOKUP(B2090,'SB1'!$A$2:$B$999999,2,FALSE),"")</f>
        <v>REPUESTO CANE PERILLA REG.AIRE (121058)</v>
      </c>
      <c r="D2090" s="1" t="s">
        <v>14474</v>
      </c>
      <c r="E2090" s="3">
        <f>IFERROR(VLOOKUP(B2090,'DA1'!$B$2:$D$999999,3,FALSE),"")</f>
      </c>
      <c r="F2090" s="1" t="str">
        <f>IFERROR(VLOOKUP(B2090,'SB1'!$A$2:$C$999999,3,FALSE),"")</f>
        <v>503</v>
      </c>
      <c r="G2090" s="3" t="e">
        <f t="shared" si="69"/>
        <v>#VALUE!</v>
      </c>
      <c r="H2090" s="3" t="e">
        <f t="shared" si="70"/>
        <v>#VALUE!</v>
      </c>
      <c r="I2090" s="1">
        <v>1</v>
      </c>
    </row>
    <row r="2091" spans="1:9" x14ac:dyDescent="0.25">
      <c r="A2091" s="1" t="s">
        <v>14435</v>
      </c>
      <c r="B2091" s="1" t="s">
        <v>5877</v>
      </c>
      <c r="C2091" s="1" t="str">
        <f>IFERROR(VLOOKUP(B2091,'SB1'!$A$2:$B$999999,2,FALSE),"")</f>
        <v>REPUESTO CANE ANILLOSEEGER RS5X0,7 (121107)</v>
      </c>
      <c r="D2091" s="1" t="s">
        <v>14474</v>
      </c>
      <c r="E2091" s="3">
        <f>IFERROR(VLOOKUP(B2091,'DA1'!$B$2:$D$999999,3,FALSE),"")</f>
      </c>
      <c r="F2091" s="1" t="str">
        <f>IFERROR(VLOOKUP(B2091,'SB1'!$A$2:$C$999999,3,FALSE),"")</f>
        <v>503</v>
      </c>
      <c r="G2091" s="3" t="e">
        <f t="shared" si="69"/>
        <v>#VALUE!</v>
      </c>
      <c r="H2091" s="3" t="e">
        <f t="shared" si="70"/>
        <v>#VALUE!</v>
      </c>
      <c r="I2091" s="1">
        <v>1</v>
      </c>
    </row>
    <row r="2092" spans="1:9" x14ac:dyDescent="0.25">
      <c r="A2092" s="1" t="s">
        <v>14435</v>
      </c>
      <c r="B2092" s="1" t="s">
        <v>5879</v>
      </c>
      <c r="C2092" s="1" t="str">
        <f>IFERROR(VLOOKUP(B2092,'SB1'!$A$2:$B$999999,2,FALSE),"")</f>
        <v>REPUESTO CANE EMPAQUETADURA (18017)</v>
      </c>
      <c r="D2092" s="1" t="s">
        <v>14474</v>
      </c>
      <c r="E2092" s="3">
        <f>IFERROR(VLOOKUP(B2092,'DA1'!$B$2:$D$999999,3,FALSE),"")</f>
      </c>
      <c r="F2092" s="1" t="str">
        <f>IFERROR(VLOOKUP(B2092,'SB1'!$A$2:$C$999999,3,FALSE),"")</f>
        <v>503</v>
      </c>
      <c r="G2092" s="3" t="e">
        <f t="shared" si="69"/>
        <v>#VALUE!</v>
      </c>
      <c r="H2092" s="3" t="e">
        <f t="shared" si="70"/>
        <v>#VALUE!</v>
      </c>
      <c r="I2092" s="1">
        <v>1</v>
      </c>
    </row>
    <row r="2093" spans="1:9" x14ac:dyDescent="0.25">
      <c r="A2093" s="1" t="s">
        <v>14435</v>
      </c>
      <c r="B2093" s="1" t="s">
        <v>5881</v>
      </c>
      <c r="C2093" s="1" t="str">
        <f>IFERROR(VLOOKUP(B2093,'SB1'!$A$2:$B$999999,2,FALSE),"")</f>
        <v>REPUESTO CANE JUNTA (108007)</v>
      </c>
      <c r="D2093" s="1" t="s">
        <v>14474</v>
      </c>
      <c r="E2093" s="3">
        <f>IFERROR(VLOOKUP(B2093,'DA1'!$B$2:$D$999999,3,FALSE),"")</f>
      </c>
      <c r="F2093" s="1" t="str">
        <f>IFERROR(VLOOKUP(B2093,'SB1'!$A$2:$C$999999,3,FALSE),"")</f>
        <v>503</v>
      </c>
      <c r="G2093" s="3" t="e">
        <f t="shared" si="69"/>
        <v>#VALUE!</v>
      </c>
      <c r="H2093" s="3" t="e">
        <f t="shared" si="70"/>
        <v>#VALUE!</v>
      </c>
      <c r="I2093" s="1">
        <v>1</v>
      </c>
    </row>
    <row r="2094" spans="1:9" x14ac:dyDescent="0.25">
      <c r="A2094" s="1" t="s">
        <v>14435</v>
      </c>
      <c r="B2094" s="1" t="s">
        <v>5883</v>
      </c>
      <c r="C2094" s="1" t="str">
        <f>IFERROR(VLOOKUP(B2094,'SB1'!$A$2:$B$999999,2,FALSE),"")</f>
        <v>REPUESTO CANE GUIA DE AGUJA (108006)</v>
      </c>
      <c r="D2094" s="1" t="s">
        <v>14474</v>
      </c>
      <c r="E2094" s="3">
        <f>IFERROR(VLOOKUP(B2094,'DA1'!$B$2:$D$999999,3,FALSE),"")</f>
      </c>
      <c r="F2094" s="1" t="str">
        <f>IFERROR(VLOOKUP(B2094,'SB1'!$A$2:$C$999999,3,FALSE),"")</f>
        <v>503</v>
      </c>
      <c r="G2094" s="3" t="e">
        <f t="shared" si="69"/>
        <v>#VALUE!</v>
      </c>
      <c r="H2094" s="3" t="e">
        <f t="shared" si="70"/>
        <v>#VALUE!</v>
      </c>
      <c r="I2094" s="1">
        <v>1</v>
      </c>
    </row>
    <row r="2095" spans="1:9" x14ac:dyDescent="0.25">
      <c r="A2095" s="1" t="s">
        <v>14435</v>
      </c>
      <c r="B2095" s="1" t="s">
        <v>5885</v>
      </c>
      <c r="C2095" s="1" t="str">
        <f>IFERROR(VLOOKUP(B2095,'SB1'!$A$2:$B$999999,2,FALSE),"")</f>
        <v>REPUESTO CANE AGUJA (108505)</v>
      </c>
      <c r="D2095" s="1" t="s">
        <v>14474</v>
      </c>
      <c r="E2095" s="3">
        <f>IFERROR(VLOOKUP(B2095,'DA1'!$B$2:$D$999999,3,FALSE),"")</f>
      </c>
      <c r="F2095" s="1" t="str">
        <f>IFERROR(VLOOKUP(B2095,'SB1'!$A$2:$C$999999,3,FALSE),"")</f>
        <v>503</v>
      </c>
      <c r="G2095" s="3" t="e">
        <f t="shared" si="69"/>
        <v>#VALUE!</v>
      </c>
      <c r="H2095" s="3" t="e">
        <f t="shared" si="70"/>
        <v>#VALUE!</v>
      </c>
      <c r="I2095" s="1">
        <v>1</v>
      </c>
    </row>
    <row r="2096" spans="1:9" x14ac:dyDescent="0.25">
      <c r="A2096" s="1" t="s">
        <v>14435</v>
      </c>
      <c r="B2096" s="1" t="s">
        <v>5887</v>
      </c>
      <c r="C2096" s="1" t="str">
        <f>IFERROR(VLOOKUP(B2096,'SB1'!$A$2:$B$999999,2,FALSE),"")</f>
        <v>REPUESTO CANE RESORTE DE AGUJA (108014)</v>
      </c>
      <c r="D2096" s="1" t="s">
        <v>14474</v>
      </c>
      <c r="E2096" s="3">
        <f>IFERROR(VLOOKUP(B2096,'DA1'!$B$2:$D$999999,3,FALSE),"")</f>
      </c>
      <c r="F2096" s="1" t="str">
        <f>IFERROR(VLOOKUP(B2096,'SB1'!$A$2:$C$999999,3,FALSE),"")</f>
        <v>503</v>
      </c>
      <c r="G2096" s="3" t="e">
        <f t="shared" si="69"/>
        <v>#VALUE!</v>
      </c>
      <c r="H2096" s="3" t="e">
        <f t="shared" si="70"/>
        <v>#VALUE!</v>
      </c>
      <c r="I2096" s="1">
        <v>1</v>
      </c>
    </row>
    <row r="2097" spans="1:9" x14ac:dyDescent="0.25">
      <c r="A2097" s="1" t="s">
        <v>14435</v>
      </c>
      <c r="B2097" s="1" t="s">
        <v>5889</v>
      </c>
      <c r="C2097" s="1" t="str">
        <f>IFERROR(VLOOKUP(B2097,'SB1'!$A$2:$B$999999,2,FALSE),"")</f>
        <v>REPUESTO CANE PERILLA REG.PRODUCTO (107511)</v>
      </c>
      <c r="D2097" s="1" t="s">
        <v>14474</v>
      </c>
      <c r="E2097" s="3">
        <f>IFERROR(VLOOKUP(B2097,'DA1'!$B$2:$D$999999,3,FALSE),"")</f>
      </c>
      <c r="F2097" s="1" t="str">
        <f>IFERROR(VLOOKUP(B2097,'SB1'!$A$2:$C$999999,3,FALSE),"")</f>
        <v>503</v>
      </c>
      <c r="G2097" s="3" t="e">
        <f t="shared" si="69"/>
        <v>#VALUE!</v>
      </c>
      <c r="H2097" s="3" t="e">
        <f t="shared" si="70"/>
        <v>#VALUE!</v>
      </c>
      <c r="I2097" s="1">
        <v>1</v>
      </c>
    </row>
    <row r="2098" spans="1:9" x14ac:dyDescent="0.25">
      <c r="A2098" s="1" t="s">
        <v>14435</v>
      </c>
      <c r="B2098" s="1" t="s">
        <v>5891</v>
      </c>
      <c r="C2098" s="1" t="str">
        <f>IFERROR(VLOOKUP(B2098,'SB1'!$A$2:$B$999999,2,FALSE),"")</f>
        <v>REPUESTO CANE TORNILLO PRENSAESTOPA (20707)</v>
      </c>
      <c r="D2098" s="1" t="s">
        <v>14474</v>
      </c>
      <c r="E2098" s="3">
        <f>IFERROR(VLOOKUP(B2098,'DA1'!$B$2:$D$999999,3,FALSE),"")</f>
      </c>
      <c r="F2098" s="1" t="str">
        <f>IFERROR(VLOOKUP(B2098,'SB1'!$A$2:$C$999999,3,FALSE),"")</f>
        <v>503</v>
      </c>
      <c r="G2098" s="3" t="e">
        <f t="shared" si="69"/>
        <v>#VALUE!</v>
      </c>
      <c r="H2098" s="3" t="e">
        <f t="shared" si="70"/>
        <v>#VALUE!</v>
      </c>
      <c r="I2098" s="1">
        <v>1</v>
      </c>
    </row>
    <row r="2099" spans="1:9" x14ac:dyDescent="0.25">
      <c r="A2099" s="1" t="s">
        <v>14435</v>
      </c>
      <c r="B2099" s="1" t="s">
        <v>5893</v>
      </c>
      <c r="C2099" s="1" t="str">
        <f>IFERROR(VLOOKUP(B2099,'SB1'!$A$2:$B$999999,2,FALSE),"")</f>
        <v>REPUESTO CANE EMPAQUETADURA (3062)</v>
      </c>
      <c r="D2099" s="1" t="s">
        <v>14474</v>
      </c>
      <c r="E2099" s="3">
        <f>IFERROR(VLOOKUP(B2099,'DA1'!$B$2:$D$999999,3,FALSE),"")</f>
      </c>
      <c r="F2099" s="1" t="str">
        <f>IFERROR(VLOOKUP(B2099,'SB1'!$A$2:$C$999999,3,FALSE),"")</f>
        <v>503</v>
      </c>
      <c r="G2099" s="3" t="e">
        <f t="shared" si="69"/>
        <v>#VALUE!</v>
      </c>
      <c r="H2099" s="3" t="e">
        <f t="shared" si="70"/>
        <v>#VALUE!</v>
      </c>
      <c r="I2099" s="1">
        <v>1</v>
      </c>
    </row>
    <row r="2100" spans="1:9" x14ac:dyDescent="0.25">
      <c r="A2100" s="1" t="s">
        <v>14435</v>
      </c>
      <c r="B2100" s="1" t="s">
        <v>5895</v>
      </c>
      <c r="C2100" s="1" t="str">
        <f>IFERROR(VLOOKUP(B2100,'SB1'!$A$2:$B$999999,2,FALSE),"")</f>
        <v>REPUESTO CANE CUERPO VALVULA AIRE (108145)</v>
      </c>
      <c r="D2100" s="1" t="s">
        <v>14474</v>
      </c>
      <c r="E2100" s="3">
        <f>IFERROR(VLOOKUP(B2100,'DA1'!$B$2:$D$999999,3,FALSE),"")</f>
      </c>
      <c r="F2100" s="1" t="str">
        <f>IFERROR(VLOOKUP(B2100,'SB1'!$A$2:$C$999999,3,FALSE),"")</f>
        <v>503</v>
      </c>
      <c r="G2100" s="3" t="e">
        <f t="shared" si="69"/>
        <v>#VALUE!</v>
      </c>
      <c r="H2100" s="3" t="e">
        <f t="shared" si="70"/>
        <v>#VALUE!</v>
      </c>
      <c r="I2100" s="1">
        <v>1</v>
      </c>
    </row>
    <row r="2101" spans="1:9" x14ac:dyDescent="0.25">
      <c r="A2101" s="1" t="s">
        <v>14435</v>
      </c>
      <c r="B2101" s="1" t="s">
        <v>5897</v>
      </c>
      <c r="C2101" s="1" t="str">
        <f>IFERROR(VLOOKUP(B2101,'SB1'!$A$2:$B$999999,2,FALSE),"")</f>
        <v>REPUESTO CANE VASTAGO VALVULA AIRE (108149)</v>
      </c>
      <c r="D2101" s="1" t="s">
        <v>14474</v>
      </c>
      <c r="E2101" s="3">
        <f>IFERROR(VLOOKUP(B2101,'DA1'!$B$2:$D$999999,3,FALSE),"")</f>
      </c>
      <c r="F2101" s="1" t="str">
        <f>IFERROR(VLOOKUP(B2101,'SB1'!$A$2:$C$999999,3,FALSE),"")</f>
        <v>503</v>
      </c>
      <c r="G2101" s="3" t="e">
        <f t="shared" si="69"/>
        <v>#VALUE!</v>
      </c>
      <c r="H2101" s="3" t="e">
        <f t="shared" si="70"/>
        <v>#VALUE!</v>
      </c>
      <c r="I2101" s="1">
        <v>1</v>
      </c>
    </row>
    <row r="2102" spans="1:9" x14ac:dyDescent="0.25">
      <c r="A2102" s="1" t="s">
        <v>14435</v>
      </c>
      <c r="B2102" s="1" t="s">
        <v>5899</v>
      </c>
      <c r="C2102" s="1" t="str">
        <f>IFERROR(VLOOKUP(B2102,'SB1'!$A$2:$B$999999,2,FALSE),"")</f>
        <v>REPUESTO CANE RESORTE VALVULA AIRE (108150)</v>
      </c>
      <c r="D2102" s="1" t="s">
        <v>14474</v>
      </c>
      <c r="E2102" s="3">
        <f>IFERROR(VLOOKUP(B2102,'DA1'!$B$2:$D$999999,3,FALSE),"")</f>
      </c>
      <c r="F2102" s="1" t="str">
        <f>IFERROR(VLOOKUP(B2102,'SB1'!$A$2:$C$999999,3,FALSE),"")</f>
        <v>503</v>
      </c>
      <c r="G2102" s="3" t="e">
        <f t="shared" si="69"/>
        <v>#VALUE!</v>
      </c>
      <c r="H2102" s="3" t="e">
        <f t="shared" si="70"/>
        <v>#VALUE!</v>
      </c>
      <c r="I2102" s="1">
        <v>1</v>
      </c>
    </row>
    <row r="2103" spans="1:9" x14ac:dyDescent="0.25">
      <c r="A2103" s="1" t="s">
        <v>14435</v>
      </c>
      <c r="B2103" s="1" t="s">
        <v>5901</v>
      </c>
      <c r="C2103" s="1" t="str">
        <f>IFERROR(VLOOKUP(B2103,'SB1'!$A$2:$B$999999,2,FALSE),"")</f>
        <v>REPUESTO CANE ARANDELA DE CIERRE (108146)</v>
      </c>
      <c r="D2103" s="1" t="s">
        <v>14474</v>
      </c>
      <c r="E2103" s="3">
        <f>IFERROR(VLOOKUP(B2103,'DA1'!$B$2:$D$999999,3,FALSE),"")</f>
      </c>
      <c r="F2103" s="1" t="str">
        <f>IFERROR(VLOOKUP(B2103,'SB1'!$A$2:$C$999999,3,FALSE),"")</f>
        <v>503</v>
      </c>
      <c r="G2103" s="3" t="e">
        <f t="shared" si="69"/>
        <v>#VALUE!</v>
      </c>
      <c r="H2103" s="3" t="e">
        <f t="shared" si="70"/>
        <v>#VALUE!</v>
      </c>
      <c r="I2103" s="1">
        <v>1</v>
      </c>
    </row>
    <row r="2104" spans="1:9" x14ac:dyDescent="0.25">
      <c r="A2104" s="1" t="s">
        <v>14435</v>
      </c>
      <c r="B2104" s="1" t="s">
        <v>5903</v>
      </c>
      <c r="C2104" s="1" t="str">
        <f>IFERROR(VLOOKUP(B2104,'SB1'!$A$2:$B$999999,2,FALSE),"")</f>
        <v>REPUESTO CANE VALVULA AIRE (108548)</v>
      </c>
      <c r="D2104" s="1" t="s">
        <v>14474</v>
      </c>
      <c r="E2104" s="3">
        <f>IFERROR(VLOOKUP(B2104,'DA1'!$B$2:$D$999999,3,FALSE),"")</f>
      </c>
      <c r="F2104" s="1" t="str">
        <f>IFERROR(VLOOKUP(B2104,'SB1'!$A$2:$C$999999,3,FALSE),"")</f>
        <v>503</v>
      </c>
      <c r="G2104" s="3" t="e">
        <f t="shared" si="69"/>
        <v>#VALUE!</v>
      </c>
      <c r="H2104" s="3" t="e">
        <f t="shared" si="70"/>
        <v>#VALUE!</v>
      </c>
      <c r="I2104" s="1">
        <v>1</v>
      </c>
    </row>
    <row r="2105" spans="1:9" x14ac:dyDescent="0.25">
      <c r="A2105" s="1" t="s">
        <v>14435</v>
      </c>
      <c r="B2105" s="1" t="s">
        <v>5905</v>
      </c>
      <c r="C2105" s="1" t="str">
        <f>IFERROR(VLOOKUP(B2105,'SB1'!$A$2:$B$999999,2,FALSE),"")</f>
        <v>REPUESTO CANE PASADOR DEL GATILLO (108524)</v>
      </c>
      <c r="D2105" s="1" t="s">
        <v>14474</v>
      </c>
      <c r="E2105" s="3">
        <f>IFERROR(VLOOKUP(B2105,'DA1'!$B$2:$D$999999,3,FALSE),"")</f>
      </c>
      <c r="F2105" s="1" t="str">
        <f>IFERROR(VLOOKUP(B2105,'SB1'!$A$2:$C$999999,3,FALSE),"")</f>
        <v>503</v>
      </c>
      <c r="G2105" s="3" t="e">
        <f t="shared" si="69"/>
        <v>#VALUE!</v>
      </c>
      <c r="H2105" s="3" t="e">
        <f t="shared" si="70"/>
        <v>#VALUE!</v>
      </c>
      <c r="I2105" s="1">
        <v>1</v>
      </c>
    </row>
    <row r="2106" spans="1:9" x14ac:dyDescent="0.25">
      <c r="A2106" s="1" t="s">
        <v>14435</v>
      </c>
      <c r="B2106" s="1" t="s">
        <v>5907</v>
      </c>
      <c r="C2106" s="1" t="str">
        <f>IFERROR(VLOOKUP(B2106,'SB1'!$A$2:$B$999999,2,FALSE),"")</f>
        <v>REPUESTO CANE GATILLO (108023)</v>
      </c>
      <c r="D2106" s="1" t="s">
        <v>14474</v>
      </c>
      <c r="E2106" s="3">
        <f>IFERROR(VLOOKUP(B2106,'DA1'!$B$2:$D$999999,3,FALSE),"")</f>
      </c>
      <c r="F2106" s="1" t="str">
        <f>IFERROR(VLOOKUP(B2106,'SB1'!$A$2:$C$999999,3,FALSE),"")</f>
        <v>503</v>
      </c>
      <c r="G2106" s="3" t="e">
        <f t="shared" si="69"/>
        <v>#VALUE!</v>
      </c>
      <c r="H2106" s="3" t="e">
        <f t="shared" si="70"/>
        <v>#VALUE!</v>
      </c>
      <c r="I2106" s="1">
        <v>1</v>
      </c>
    </row>
    <row r="2107" spans="1:9" x14ac:dyDescent="0.25">
      <c r="A2107" s="1" t="s">
        <v>14435</v>
      </c>
      <c r="B2107" s="1" t="s">
        <v>5909</v>
      </c>
      <c r="C2107" s="1" t="str">
        <f>IFERROR(VLOOKUP(B2107,'SB1'!$A$2:$B$999999,2,FALSE),"")</f>
        <v>REPUESTO CANE REGULADOR CAUDAL (125100)</v>
      </c>
      <c r="D2107" s="1" t="s">
        <v>14474</v>
      </c>
      <c r="E2107" s="3">
        <f>IFERROR(VLOOKUP(B2107,'DA1'!$B$2:$D$999999,3,FALSE),"")</f>
      </c>
      <c r="F2107" s="1" t="str">
        <f>IFERROR(VLOOKUP(B2107,'SB1'!$A$2:$C$999999,3,FALSE),"")</f>
        <v>503</v>
      </c>
      <c r="G2107" s="3" t="e">
        <f t="shared" si="69"/>
        <v>#VALUE!</v>
      </c>
      <c r="H2107" s="3" t="e">
        <f t="shared" si="70"/>
        <v>#VALUE!</v>
      </c>
      <c r="I2107" s="1">
        <v>1</v>
      </c>
    </row>
    <row r="2108" spans="1:9" x14ac:dyDescent="0.25">
      <c r="A2108" s="1" t="s">
        <v>14435</v>
      </c>
      <c r="B2108" s="1" t="s">
        <v>5911</v>
      </c>
      <c r="C2108" s="1" t="str">
        <f>IFERROR(VLOOKUP(B2108,'SB1'!$A$2:$B$999999,2,FALSE),"")</f>
        <v>REPUESTO CANE TUBO SUCCION (146102)</v>
      </c>
      <c r="D2108" s="1" t="s">
        <v>14474</v>
      </c>
      <c r="E2108" s="3">
        <f>IFERROR(VLOOKUP(B2108,'DA1'!$B$2:$D$999999,3,FALSE),"")</f>
      </c>
      <c r="F2108" s="1" t="str">
        <f>IFERROR(VLOOKUP(B2108,'SB1'!$A$2:$C$999999,3,FALSE),"")</f>
        <v>503</v>
      </c>
      <c r="G2108" s="3" t="e">
        <f t="shared" si="69"/>
        <v>#VALUE!</v>
      </c>
      <c r="H2108" s="3" t="e">
        <f t="shared" si="70"/>
        <v>#VALUE!</v>
      </c>
      <c r="I2108" s="1">
        <v>1</v>
      </c>
    </row>
    <row r="2109" spans="1:9" x14ac:dyDescent="0.25">
      <c r="A2109" s="1" t="s">
        <v>14435</v>
      </c>
      <c r="B2109" s="1" t="s">
        <v>5913</v>
      </c>
      <c r="C2109" s="1" t="str">
        <f>IFERROR(VLOOKUP(B2109,'SB1'!$A$2:$B$999999,2,FALSE),"")</f>
        <v>REPUESTO CANE TUBO SUCCION (121027)</v>
      </c>
      <c r="D2109" s="1" t="s">
        <v>14474</v>
      </c>
      <c r="E2109" s="3">
        <f>IFERROR(VLOOKUP(B2109,'DA1'!$B$2:$D$999999,3,FALSE),"")</f>
      </c>
      <c r="F2109" s="1" t="str">
        <f>IFERROR(VLOOKUP(B2109,'SB1'!$A$2:$C$999999,3,FALSE),"")</f>
        <v>503</v>
      </c>
      <c r="G2109" s="3" t="e">
        <f t="shared" si="69"/>
        <v>#VALUE!</v>
      </c>
      <c r="H2109" s="3" t="e">
        <f t="shared" si="70"/>
        <v>#VALUE!</v>
      </c>
      <c r="I2109" s="1">
        <v>1</v>
      </c>
    </row>
    <row r="2110" spans="1:9" x14ac:dyDescent="0.25">
      <c r="A2110" s="1" t="s">
        <v>14435</v>
      </c>
      <c r="B2110" s="1" t="s">
        <v>5915</v>
      </c>
      <c r="C2110" s="1" t="str">
        <f>IFERROR(VLOOKUP(B2110,'SB1'!$A$2:$B$999999,2,FALSE),"")</f>
        <v>REPUESTO CANE TRAVESAÏ¿½O (126031)</v>
      </c>
      <c r="D2110" s="1" t="s">
        <v>14474</v>
      </c>
      <c r="E2110" s="3">
        <f>IFERROR(VLOOKUP(B2110,'DA1'!$B$2:$D$999999,3,FALSE),"")</f>
      </c>
      <c r="F2110" s="1" t="str">
        <f>IFERROR(VLOOKUP(B2110,'SB1'!$A$2:$C$999999,3,FALSE),"")</f>
        <v>503</v>
      </c>
      <c r="G2110" s="3" t="e">
        <f t="shared" si="69"/>
        <v>#VALUE!</v>
      </c>
      <c r="H2110" s="3" t="e">
        <f t="shared" si="70"/>
        <v>#VALUE!</v>
      </c>
      <c r="I2110" s="1">
        <v>1</v>
      </c>
    </row>
    <row r="2111" spans="1:9" x14ac:dyDescent="0.25">
      <c r="A2111" s="1" t="s">
        <v>14435</v>
      </c>
      <c r="B2111" s="1" t="s">
        <v>5917</v>
      </c>
      <c r="C2111" s="1" t="str">
        <f>IFERROR(VLOOKUP(B2111,'SB1'!$A$2:$B$999999,2,FALSE),"")</f>
        <v>REPUESTO CANE ARANDELA FRICCION (126039)</v>
      </c>
      <c r="D2111" s="1" t="s">
        <v>14474</v>
      </c>
      <c r="E2111" s="3">
        <f>IFERROR(VLOOKUP(B2111,'DA1'!$B$2:$D$999999,3,FALSE),"")</f>
      </c>
      <c r="F2111" s="1" t="str">
        <f>IFERROR(VLOOKUP(B2111,'SB1'!$A$2:$C$999999,3,FALSE),"")</f>
        <v>503</v>
      </c>
      <c r="G2111" s="3" t="e">
        <f t="shared" si="69"/>
        <v>#VALUE!</v>
      </c>
      <c r="H2111" s="3" t="e">
        <f t="shared" si="70"/>
        <v>#VALUE!</v>
      </c>
      <c r="I2111" s="1">
        <v>1</v>
      </c>
    </row>
    <row r="2112" spans="1:9" x14ac:dyDescent="0.25">
      <c r="A2112" s="1" t="s">
        <v>14435</v>
      </c>
      <c r="B2112" s="1" t="s">
        <v>5919</v>
      </c>
      <c r="C2112" s="1" t="str">
        <f>IFERROR(VLOOKUP(B2112,'SB1'!$A$2:$B$999999,2,FALSE),"")</f>
        <v>REPUESTO CANE LEVA DE CIERRE RAPIDO (126032)</v>
      </c>
      <c r="D2112" s="1" t="s">
        <v>14474</v>
      </c>
      <c r="E2112" s="3">
        <f>IFERROR(VLOOKUP(B2112,'DA1'!$B$2:$D$999999,3,FALSE),"")</f>
      </c>
      <c r="F2112" s="1" t="str">
        <f>IFERROR(VLOOKUP(B2112,'SB1'!$A$2:$C$999999,3,FALSE),"")</f>
        <v>503</v>
      </c>
      <c r="G2112" s="3" t="e">
        <f t="shared" si="69"/>
        <v>#VALUE!</v>
      </c>
      <c r="H2112" s="3" t="e">
        <f t="shared" si="70"/>
        <v>#VALUE!</v>
      </c>
      <c r="I2112" s="1">
        <v>1</v>
      </c>
    </row>
    <row r="2113" spans="1:9" x14ac:dyDescent="0.25">
      <c r="A2113" s="1" t="s">
        <v>14435</v>
      </c>
      <c r="B2113" s="1" t="s">
        <v>5921</v>
      </c>
      <c r="C2113" s="1" t="str">
        <f>IFERROR(VLOOKUP(B2113,'SB1'!$A$2:$B$999999,2,FALSE),"")</f>
        <v>REPUESTO CANE TAPA DE TAZA (126033)</v>
      </c>
      <c r="D2113" s="1" t="s">
        <v>14474</v>
      </c>
      <c r="E2113" s="3">
        <f>IFERROR(VLOOKUP(B2113,'DA1'!$B$2:$D$999999,3,FALSE),"")</f>
      </c>
      <c r="F2113" s="1" t="str">
        <f>IFERROR(VLOOKUP(B2113,'SB1'!$A$2:$C$999999,3,FALSE),"")</f>
        <v>503</v>
      </c>
      <c r="G2113" s="3" t="e">
        <f t="shared" si="69"/>
        <v>#VALUE!</v>
      </c>
      <c r="H2113" s="3" t="e">
        <f t="shared" si="70"/>
        <v>#VALUE!</v>
      </c>
      <c r="I2113" s="1">
        <v>1</v>
      </c>
    </row>
    <row r="2114" spans="1:9" x14ac:dyDescent="0.25">
      <c r="A2114" s="1" t="s">
        <v>14435</v>
      </c>
      <c r="B2114" s="1" t="s">
        <v>5923</v>
      </c>
      <c r="C2114" s="1" t="str">
        <f>IFERROR(VLOOKUP(B2114,'SB1'!$A$2:$B$999999,2,FALSE),"")</f>
        <v>REPUESTO CANE JUNTA DE TAPA (6035)</v>
      </c>
      <c r="D2114" s="1" t="s">
        <v>14474</v>
      </c>
      <c r="E2114" s="3">
        <f>IFERROR(VLOOKUP(B2114,'DA1'!$B$2:$D$999999,3,FALSE),"")</f>
      </c>
      <c r="F2114" s="1" t="str">
        <f>IFERROR(VLOOKUP(B2114,'SB1'!$A$2:$C$999999,3,FALSE),"")</f>
        <v>503</v>
      </c>
      <c r="G2114" s="3" t="e">
        <f t="shared" si="69"/>
        <v>#VALUE!</v>
      </c>
      <c r="H2114" s="3" t="e">
        <f t="shared" si="70"/>
        <v>#VALUE!</v>
      </c>
      <c r="I2114" s="1">
        <v>1</v>
      </c>
    </row>
    <row r="2115" spans="1:9" x14ac:dyDescent="0.25">
      <c r="A2115" s="1" t="s">
        <v>14435</v>
      </c>
      <c r="B2115" s="1" t="s">
        <v>5925</v>
      </c>
      <c r="C2115" s="1" t="str">
        <f>IFERROR(VLOOKUP(B2115,'SB1'!$A$2:$B$999999,2,FALSE),"")</f>
        <v>REPUESTO CANE TUERCA TUBO SUCCION (6034)</v>
      </c>
      <c r="D2115" s="1" t="s">
        <v>14474</v>
      </c>
      <c r="E2115" s="3">
        <f>IFERROR(VLOOKUP(B2115,'DA1'!$B$2:$D$999999,3,FALSE),"")</f>
      </c>
      <c r="F2115" s="1" t="str">
        <f>IFERROR(VLOOKUP(B2115,'SB1'!$A$2:$C$999999,3,FALSE),"")</f>
        <v>503</v>
      </c>
      <c r="G2115" s="3" t="e">
        <f t="shared" ref="G2115:G2178" si="71">E2115*1.04</f>
        <v>#VALUE!</v>
      </c>
      <c r="H2115" s="3" t="e">
        <f t="shared" si="70"/>
        <v>#VALUE!</v>
      </c>
      <c r="I2115" s="1">
        <v>1</v>
      </c>
    </row>
    <row r="2116" spans="1:9" x14ac:dyDescent="0.25">
      <c r="A2116" s="1" t="s">
        <v>14435</v>
      </c>
      <c r="B2116" s="1" t="s">
        <v>5927</v>
      </c>
      <c r="C2116" s="1" t="str">
        <f>IFERROR(VLOOKUP(B2116,'SB1'!$A$2:$B$999999,2,FALSE),"")</f>
        <v>REPUESTO CANE ARANDELA ANTIGOTEO (121025)</v>
      </c>
      <c r="D2116" s="1" t="s">
        <v>14474</v>
      </c>
      <c r="E2116" s="3">
        <f>IFERROR(VLOOKUP(B2116,'DA1'!$B$2:$D$999999,3,FALSE),"")</f>
      </c>
      <c r="F2116" s="1" t="str">
        <f>IFERROR(VLOOKUP(B2116,'SB1'!$A$2:$C$999999,3,FALSE),"")</f>
        <v>503</v>
      </c>
      <c r="G2116" s="3" t="e">
        <f t="shared" si="71"/>
        <v>#VALUE!</v>
      </c>
      <c r="H2116" s="3" t="e">
        <f t="shared" si="70"/>
        <v>#VALUE!</v>
      </c>
      <c r="I2116" s="1">
        <v>1</v>
      </c>
    </row>
    <row r="2117" spans="1:9" x14ac:dyDescent="0.25">
      <c r="A2117" s="1" t="s">
        <v>14435</v>
      </c>
      <c r="B2117" s="1" t="s">
        <v>5929</v>
      </c>
      <c r="C2117" s="1" t="str">
        <f>IFERROR(VLOOKUP(B2117,'SB1'!$A$2:$B$999999,2,FALSE),"")</f>
        <v>REPUESTO CANE TAPA Y TUBO SUCCION (146107)</v>
      </c>
      <c r="D2117" s="1" t="s">
        <v>14474</v>
      </c>
      <c r="E2117" s="3">
        <f>IFERROR(VLOOKUP(B2117,'DA1'!$B$2:$D$999999,3,FALSE),"")</f>
      </c>
      <c r="F2117" s="1" t="str">
        <f>IFERROR(VLOOKUP(B2117,'SB1'!$A$2:$C$999999,3,FALSE),"")</f>
        <v>503</v>
      </c>
      <c r="G2117" s="3" t="e">
        <f t="shared" si="71"/>
        <v>#VALUE!</v>
      </c>
      <c r="H2117" s="3" t="e">
        <f t="shared" si="70"/>
        <v>#VALUE!</v>
      </c>
      <c r="I2117" s="1">
        <v>1</v>
      </c>
    </row>
    <row r="2118" spans="1:9" x14ac:dyDescent="0.25">
      <c r="A2118" s="1" t="s">
        <v>14435</v>
      </c>
      <c r="B2118" s="1" t="s">
        <v>5931</v>
      </c>
      <c r="C2118" s="1" t="str">
        <f>IFERROR(VLOOKUP(B2118,'SB1'!$A$2:$B$999999,2,FALSE),"")</f>
        <v>REPUESTO CANE TAZA (6036)</v>
      </c>
      <c r="D2118" s="1" t="s">
        <v>14474</v>
      </c>
      <c r="E2118" s="3">
        <f>IFERROR(VLOOKUP(B2118,'DA1'!$B$2:$D$999999,3,FALSE),"")</f>
      </c>
      <c r="F2118" s="1" t="str">
        <f>IFERROR(VLOOKUP(B2118,'SB1'!$A$2:$C$999999,3,FALSE),"")</f>
        <v>503</v>
      </c>
      <c r="G2118" s="3" t="e">
        <f t="shared" si="71"/>
        <v>#VALUE!</v>
      </c>
      <c r="H2118" s="3" t="e">
        <f t="shared" si="70"/>
        <v>#VALUE!</v>
      </c>
      <c r="I2118" s="1">
        <v>1</v>
      </c>
    </row>
    <row r="2119" spans="1:9" x14ac:dyDescent="0.25">
      <c r="A2119" s="1" t="s">
        <v>14435</v>
      </c>
      <c r="B2119" s="1" t="s">
        <v>5933</v>
      </c>
      <c r="C2119" s="1" t="str">
        <f>IFERROR(VLOOKUP(B2119,'SB1'!$A$2:$B$999999,2,FALSE),"")</f>
        <v>REPUESTO CANE FILTRO P/PINTURA (121033)</v>
      </c>
      <c r="D2119" s="1" t="s">
        <v>14474</v>
      </c>
      <c r="E2119" s="3">
        <f>IFERROR(VLOOKUP(B2119,'DA1'!$B$2:$D$999999,3,FALSE),"")</f>
      </c>
      <c r="F2119" s="1" t="str">
        <f>IFERROR(VLOOKUP(B2119,'SB1'!$A$2:$C$999999,3,FALSE),"")</f>
        <v>503</v>
      </c>
      <c r="G2119" s="3" t="e">
        <f t="shared" si="71"/>
        <v>#VALUE!</v>
      </c>
      <c r="H2119" s="3" t="e">
        <f t="shared" si="70"/>
        <v>#VALUE!</v>
      </c>
      <c r="I2119" s="1">
        <v>1</v>
      </c>
    </row>
    <row r="2120" spans="1:9" x14ac:dyDescent="0.25">
      <c r="A2120" s="1" t="s">
        <v>14435</v>
      </c>
      <c r="B2120" s="1" t="s">
        <v>5935</v>
      </c>
      <c r="C2120" s="1" t="str">
        <f>IFERROR(VLOOKUP(B2120,'SB1'!$A$2:$B$999999,2,FALSE),"")</f>
        <v>ESMALTE EPOXI ALBA MULTIPROPOSITO BLANCO X 1</v>
      </c>
      <c r="D2120" s="1" t="s">
        <v>14489</v>
      </c>
      <c r="E2120" s="3">
        <f>IFERROR(VLOOKUP(B2120,'DA1'!$B$2:$D$999999,3,FALSE),"")</f>
      </c>
      <c r="F2120" s="1" t="str">
        <f>IFERROR(VLOOKUP(B2120,'SB1'!$A$2:$C$999999,3,FALSE),"")</f>
        <v>503</v>
      </c>
      <c r="G2120" s="3" t="e">
        <f t="shared" si="71"/>
        <v>#VALUE!</v>
      </c>
      <c r="H2120" s="3" t="e">
        <f t="shared" si="70"/>
        <v>#VALUE!</v>
      </c>
      <c r="I2120" s="1">
        <v>1</v>
      </c>
    </row>
    <row r="2121" spans="1:9" x14ac:dyDescent="0.25">
      <c r="A2121" s="1" t="s">
        <v>14435</v>
      </c>
      <c r="B2121" s="1" t="s">
        <v>5937</v>
      </c>
      <c r="C2121" s="1" t="str">
        <f>IFERROR(VLOOKUP(B2121,'SB1'!$A$2:$B$999999,2,FALSE),"")</f>
        <v>ESMALTE EPOXI ALBA MULTIPROPOSITO BLANCO X 4</v>
      </c>
      <c r="D2121" s="1" t="s">
        <v>14489</v>
      </c>
      <c r="E2121" s="3">
        <f>IFERROR(VLOOKUP(B2121,'DA1'!$B$2:$D$999999,3,FALSE),"")</f>
      </c>
      <c r="F2121" s="1" t="str">
        <f>IFERROR(VLOOKUP(B2121,'SB1'!$A$2:$C$999999,3,FALSE),"")</f>
        <v>503</v>
      </c>
      <c r="G2121" s="3" t="e">
        <f t="shared" si="71"/>
        <v>#VALUE!</v>
      </c>
      <c r="H2121" s="3" t="e">
        <f t="shared" si="70"/>
        <v>#VALUE!</v>
      </c>
      <c r="I2121" s="1">
        <v>1</v>
      </c>
    </row>
    <row r="2122" spans="1:9" x14ac:dyDescent="0.25">
      <c r="A2122" s="1" t="s">
        <v>14435</v>
      </c>
      <c r="B2122" s="1" t="s">
        <v>5939</v>
      </c>
      <c r="C2122" s="1" t="str">
        <f>IFERROR(VLOOKUP(B2122,'SB1'!$A$2:$B$999999,2,FALSE),"")</f>
        <v>ESMALTE EPOXI ALBA MULTIPROPOSITO NEGRO X 1</v>
      </c>
      <c r="D2122" s="1" t="s">
        <v>14489</v>
      </c>
      <c r="E2122" s="3">
        <f>IFERROR(VLOOKUP(B2122,'DA1'!$B$2:$D$999999,3,FALSE),"")</f>
      </c>
      <c r="F2122" s="1" t="str">
        <f>IFERROR(VLOOKUP(B2122,'SB1'!$A$2:$C$999999,3,FALSE),"")</f>
        <v>503</v>
      </c>
      <c r="G2122" s="3" t="e">
        <f t="shared" si="71"/>
        <v>#VALUE!</v>
      </c>
      <c r="H2122" s="3" t="e">
        <f t="shared" si="70"/>
        <v>#VALUE!</v>
      </c>
      <c r="I2122" s="1">
        <v>1</v>
      </c>
    </row>
    <row r="2123" spans="1:9" x14ac:dyDescent="0.25">
      <c r="A2123" s="1" t="s">
        <v>14435</v>
      </c>
      <c r="B2123" s="1" t="s">
        <v>5941</v>
      </c>
      <c r="C2123" s="1" t="str">
        <f>IFERROR(VLOOKUP(B2123,'SB1'!$A$2:$B$999999,2,FALSE),"")</f>
        <v>ESMALTE EPOXI ALBA MULTIPROPOSITO NEGRO X 4</v>
      </c>
      <c r="D2123" s="1" t="s">
        <v>14489</v>
      </c>
      <c r="E2123" s="3">
        <f>IFERROR(VLOOKUP(B2123,'DA1'!$B$2:$D$999999,3,FALSE),"")</f>
      </c>
      <c r="F2123" s="1" t="str">
        <f>IFERROR(VLOOKUP(B2123,'SB1'!$A$2:$C$999999,3,FALSE),"")</f>
        <v>503</v>
      </c>
      <c r="G2123" s="3" t="e">
        <f t="shared" si="71"/>
        <v>#VALUE!</v>
      </c>
      <c r="H2123" s="3" t="e">
        <f t="shared" si="70"/>
        <v>#VALUE!</v>
      </c>
      <c r="I2123" s="1">
        <v>1</v>
      </c>
    </row>
    <row r="2124" spans="1:9" x14ac:dyDescent="0.25">
      <c r="A2124" s="1" t="s">
        <v>14435</v>
      </c>
      <c r="B2124" s="1" t="s">
        <v>5943</v>
      </c>
      <c r="C2124" s="1" t="str">
        <f>IFERROR(VLOOKUP(B2124,'SB1'!$A$2:$B$999999,2,FALSE),"")</f>
        <v>ESMALTE EPOXI ALBA MULTIPROPOSITO BERMELLON X 1</v>
      </c>
      <c r="D2124" s="1" t="s">
        <v>14489</v>
      </c>
      <c r="E2124" s="3">
        <f>IFERROR(VLOOKUP(B2124,'DA1'!$B$2:$D$999999,3,FALSE),"")</f>
      </c>
      <c r="F2124" s="1" t="str">
        <f>IFERROR(VLOOKUP(B2124,'SB1'!$A$2:$C$999999,3,FALSE),"")</f>
        <v>503</v>
      </c>
      <c r="G2124" s="3" t="e">
        <f t="shared" si="71"/>
        <v>#VALUE!</v>
      </c>
      <c r="H2124" s="3" t="e">
        <f t="shared" si="70"/>
        <v>#VALUE!</v>
      </c>
      <c r="I2124" s="1">
        <v>1</v>
      </c>
    </row>
    <row r="2125" spans="1:9" x14ac:dyDescent="0.25">
      <c r="A2125" s="1" t="s">
        <v>14435</v>
      </c>
      <c r="B2125" s="1" t="s">
        <v>5945</v>
      </c>
      <c r="C2125" s="1" t="str">
        <f>IFERROR(VLOOKUP(B2125,'SB1'!$A$2:$B$999999,2,FALSE),"")</f>
        <v>ESMALTE EPOXI ALBA MULTIPROPOSITO BERMELLON X 4</v>
      </c>
      <c r="D2125" s="1" t="s">
        <v>14489</v>
      </c>
      <c r="E2125" s="3">
        <f>IFERROR(VLOOKUP(B2125,'DA1'!$B$2:$D$999999,3,FALSE),"")</f>
      </c>
      <c r="F2125" s="1" t="str">
        <f>IFERROR(VLOOKUP(B2125,'SB1'!$A$2:$C$999999,3,FALSE),"")</f>
        <v>503</v>
      </c>
      <c r="G2125" s="3" t="e">
        <f t="shared" si="71"/>
        <v>#VALUE!</v>
      </c>
      <c r="H2125" s="3" t="e">
        <f t="shared" si="70"/>
        <v>#VALUE!</v>
      </c>
      <c r="I2125" s="1">
        <v>1</v>
      </c>
    </row>
    <row r="2126" spans="1:9" x14ac:dyDescent="0.25">
      <c r="A2126" s="1" t="s">
        <v>14435</v>
      </c>
      <c r="B2126" s="1" t="s">
        <v>5947</v>
      </c>
      <c r="C2126" s="1" t="str">
        <f>IFERROR(VLOOKUP(B2126,'SB1'!$A$2:$B$999999,2,FALSE),"")</f>
        <v>ESMALTE EPOXI ALBA MULTIPROPOSITO VERDE X 1</v>
      </c>
      <c r="D2126" s="1" t="s">
        <v>14489</v>
      </c>
      <c r="E2126" s="3">
        <f>IFERROR(VLOOKUP(B2126,'DA1'!$B$2:$D$999999,3,FALSE),"")</f>
      </c>
      <c r="F2126" s="1" t="str">
        <f>IFERROR(VLOOKUP(B2126,'SB1'!$A$2:$C$999999,3,FALSE),"")</f>
        <v>503</v>
      </c>
      <c r="G2126" s="3" t="e">
        <f t="shared" si="71"/>
        <v>#VALUE!</v>
      </c>
      <c r="H2126" s="3" t="e">
        <f t="shared" si="70"/>
        <v>#VALUE!</v>
      </c>
      <c r="I2126" s="1">
        <v>1</v>
      </c>
    </row>
    <row r="2127" spans="1:9" x14ac:dyDescent="0.25">
      <c r="A2127" s="1" t="s">
        <v>14435</v>
      </c>
      <c r="B2127" s="1" t="s">
        <v>5949</v>
      </c>
      <c r="C2127" s="1" t="str">
        <f>IFERROR(VLOOKUP(B2127,'SB1'!$A$2:$B$999999,2,FALSE),"")</f>
        <v>ESMALTE EPOXI ALBA MULTIPROPOSITO VERDE X 4</v>
      </c>
      <c r="D2127" s="1" t="s">
        <v>14489</v>
      </c>
      <c r="E2127" s="3">
        <f>IFERROR(VLOOKUP(B2127,'DA1'!$B$2:$D$999999,3,FALSE),"")</f>
      </c>
      <c r="F2127" s="1" t="str">
        <f>IFERROR(VLOOKUP(B2127,'SB1'!$A$2:$C$999999,3,FALSE),"")</f>
        <v>503</v>
      </c>
      <c r="G2127" s="3" t="e">
        <f t="shared" si="71"/>
        <v>#VALUE!</v>
      </c>
      <c r="H2127" s="3" t="e">
        <f t="shared" si="70"/>
        <v>#VALUE!</v>
      </c>
      <c r="I2127" s="1">
        <v>1</v>
      </c>
    </row>
    <row r="2128" spans="1:9" x14ac:dyDescent="0.25">
      <c r="A2128" s="1" t="s">
        <v>14435</v>
      </c>
      <c r="B2128" s="1" t="s">
        <v>5951</v>
      </c>
      <c r="C2128" s="1" t="str">
        <f>IFERROR(VLOOKUP(B2128,'SB1'!$A$2:$B$999999,2,FALSE),"")</f>
        <v>ESMALTE EPOXI ALBA MULTIPROPOSITO GRIS HIELO X 1</v>
      </c>
      <c r="D2128" s="1" t="s">
        <v>14489</v>
      </c>
      <c r="E2128" s="3">
        <f>IFERROR(VLOOKUP(B2128,'DA1'!$B$2:$D$999999,3,FALSE),"")</f>
      </c>
      <c r="F2128" s="1" t="str">
        <f>IFERROR(VLOOKUP(B2128,'SB1'!$A$2:$C$999999,3,FALSE),"")</f>
        <v>503</v>
      </c>
      <c r="G2128" s="3" t="e">
        <f t="shared" si="71"/>
        <v>#VALUE!</v>
      </c>
      <c r="H2128" s="3" t="e">
        <f t="shared" si="70"/>
        <v>#VALUE!</v>
      </c>
      <c r="I2128" s="1">
        <v>1</v>
      </c>
    </row>
    <row r="2129" spans="1:9" x14ac:dyDescent="0.25">
      <c r="A2129" s="1" t="s">
        <v>14435</v>
      </c>
      <c r="B2129" s="1" t="s">
        <v>5953</v>
      </c>
      <c r="C2129" s="1" t="str">
        <f>IFERROR(VLOOKUP(B2129,'SB1'!$A$2:$B$999999,2,FALSE),"")</f>
        <v>ESMALTE EPOXI ALBA MULTIPROPOSITO GRIS HIELO X 4</v>
      </c>
      <c r="D2129" s="1" t="s">
        <v>14489</v>
      </c>
      <c r="E2129" s="3">
        <f>IFERROR(VLOOKUP(B2129,'DA1'!$B$2:$D$999999,3,FALSE),"")</f>
      </c>
      <c r="F2129" s="1" t="str">
        <f>IFERROR(VLOOKUP(B2129,'SB1'!$A$2:$C$999999,3,FALSE),"")</f>
        <v>503</v>
      </c>
      <c r="G2129" s="3" t="e">
        <f t="shared" si="71"/>
        <v>#VALUE!</v>
      </c>
      <c r="H2129" s="3" t="e">
        <f t="shared" si="70"/>
        <v>#VALUE!</v>
      </c>
      <c r="I2129" s="1">
        <v>1</v>
      </c>
    </row>
    <row r="2130" spans="1:9" x14ac:dyDescent="0.25">
      <c r="A2130" s="1" t="s">
        <v>14435</v>
      </c>
      <c r="B2130" s="1" t="s">
        <v>5955</v>
      </c>
      <c r="C2130" s="1" t="str">
        <f>IFERROR(VLOOKUP(B2130,'SB1'!$A$2:$B$999999,2,FALSE),"")</f>
        <v>EQUIPO PARA PINTAR ADIABATIC EC.2000</v>
      </c>
      <c r="D2130" s="1" t="s">
        <v>14496</v>
      </c>
      <c r="E2130" s="3">
        <f>IFERROR(VLOOKUP(B2130,'DA1'!$B$2:$D$999999,3,FALSE),"")</f>
      </c>
      <c r="F2130" s="1" t="str">
        <f>IFERROR(VLOOKUP(B2130,'SB1'!$A$2:$C$999999,3,FALSE),"")</f>
        <v>501</v>
      </c>
      <c r="G2130" s="3" t="e">
        <f t="shared" si="71"/>
        <v>#VALUE!</v>
      </c>
      <c r="H2130" s="3" t="e">
        <f t="shared" ref="H2130:H2131" si="72">G2130*1.105</f>
        <v>#VALUE!</v>
      </c>
      <c r="I2130" s="1">
        <v>1</v>
      </c>
    </row>
    <row r="2131" spans="1:9" x14ac:dyDescent="0.25">
      <c r="A2131" s="1" t="s">
        <v>14435</v>
      </c>
      <c r="B2131" s="1" t="s">
        <v>5957</v>
      </c>
      <c r="C2131" s="1" t="str">
        <f>IFERROR(VLOOKUP(B2131,'SB1'!$A$2:$B$999999,2,FALSE),"")</f>
        <v>EQUIPO PARA PINTAR ADIABATIC EC.3000</v>
      </c>
      <c r="D2131" s="1" t="s">
        <v>14496</v>
      </c>
      <c r="E2131" s="3">
        <f>IFERROR(VLOOKUP(B2131,'DA1'!$B$2:$D$999999,3,FALSE),"")</f>
      </c>
      <c r="F2131" s="1" t="str">
        <f>IFERROR(VLOOKUP(B2131,'SB1'!$A$2:$C$999999,3,FALSE),"")</f>
        <v>501</v>
      </c>
      <c r="G2131" s="3" t="e">
        <f t="shared" si="71"/>
        <v>#VALUE!</v>
      </c>
      <c r="H2131" s="3" t="e">
        <f t="shared" si="72"/>
        <v>#VALUE!</v>
      </c>
      <c r="I2131" s="1">
        <v>1</v>
      </c>
    </row>
    <row r="2132" spans="1:9" x14ac:dyDescent="0.25">
      <c r="A2132" s="1" t="s">
        <v>14435</v>
      </c>
      <c r="B2132" s="1" t="s">
        <v>5961</v>
      </c>
      <c r="C2132" s="1" t="str">
        <f>IFERROR(VLOOKUP(B2132,'SB1'!$A$2:$B$999999,2,FALSE),"")</f>
        <v>LATEX EXTERIOR TERSUAVE LAVABLE AMARILLO X 20</v>
      </c>
      <c r="D2132" s="1" t="s">
        <v>14437</v>
      </c>
      <c r="E2132" s="3">
        <f>IFERROR(VLOOKUP(B2132,'DA1'!$B$2:$D$999999,3,FALSE),"")</f>
      </c>
      <c r="F2132" s="1" t="str">
        <f>IFERROR(VLOOKUP(B2132,'SB1'!$A$2:$C$999999,3,FALSE),"")</f>
        <v>503</v>
      </c>
      <c r="G2132" s="3" t="e">
        <f t="shared" si="71"/>
        <v>#VALUE!</v>
      </c>
      <c r="H2132" s="3" t="e">
        <f t="shared" ref="H2132:H2195" si="73">G2132*1.21</f>
        <v>#VALUE!</v>
      </c>
      <c r="I2132" s="1">
        <v>1</v>
      </c>
    </row>
    <row r="2133" spans="1:9" x14ac:dyDescent="0.25">
      <c r="A2133" s="1" t="s">
        <v>14435</v>
      </c>
      <c r="B2133" s="1" t="s">
        <v>5963</v>
      </c>
      <c r="C2133" s="1" t="str">
        <f>IFERROR(VLOOKUP(B2133,'SB1'!$A$2:$B$999999,2,FALSE),"")</f>
        <v>LATEX EXTERIOR TERSUAVE LAVABLE AZUL CIELO X 20</v>
      </c>
      <c r="D2133" s="1" t="s">
        <v>14437</v>
      </c>
      <c r="E2133" s="3">
        <f>IFERROR(VLOOKUP(B2133,'DA1'!$B$2:$D$999999,3,FALSE),"")</f>
      </c>
      <c r="F2133" s="1" t="str">
        <f>IFERROR(VLOOKUP(B2133,'SB1'!$A$2:$C$999999,3,FALSE),"")</f>
        <v>503</v>
      </c>
      <c r="G2133" s="3" t="e">
        <f t="shared" si="71"/>
        <v>#VALUE!</v>
      </c>
      <c r="H2133" s="3" t="e">
        <f t="shared" si="73"/>
        <v>#VALUE!</v>
      </c>
      <c r="I2133" s="1">
        <v>1</v>
      </c>
    </row>
    <row r="2134" spans="1:9" x14ac:dyDescent="0.25">
      <c r="A2134" s="1" t="s">
        <v>14435</v>
      </c>
      <c r="B2134" s="1" t="s">
        <v>5965</v>
      </c>
      <c r="C2134" s="1" t="str">
        <f>IFERROR(VLOOKUP(B2134,'SB1'!$A$2:$B$999999,2,FALSE),"")</f>
        <v>LATEX EXTERIOR TERSUAVE LAVABLE AZUL TRAFUL X 20</v>
      </c>
      <c r="D2134" s="1" t="s">
        <v>14437</v>
      </c>
      <c r="E2134" s="3">
        <f>IFERROR(VLOOKUP(B2134,'DA1'!$B$2:$D$999999,3,FALSE),"")</f>
      </c>
      <c r="F2134" s="1" t="str">
        <f>IFERROR(VLOOKUP(B2134,'SB1'!$A$2:$C$999999,3,FALSE),"")</f>
        <v>503</v>
      </c>
      <c r="G2134" s="3" t="e">
        <f t="shared" si="71"/>
        <v>#VALUE!</v>
      </c>
      <c r="H2134" s="3" t="e">
        <f t="shared" si="73"/>
        <v>#VALUE!</v>
      </c>
      <c r="I2134" s="1">
        <v>1</v>
      </c>
    </row>
    <row r="2135" spans="1:9" x14ac:dyDescent="0.25">
      <c r="A2135" s="1" t="s">
        <v>14435</v>
      </c>
      <c r="B2135" s="1" t="s">
        <v>5967</v>
      </c>
      <c r="C2135" s="1" t="str">
        <f>IFERROR(VLOOKUP(B2135,'SB1'!$A$2:$B$999999,2,FALSE),"")</f>
        <v>LATEX EXTERIOR TERSUAVE LAVABLE BERMELLON X 20</v>
      </c>
      <c r="D2135" s="1" t="s">
        <v>14437</v>
      </c>
      <c r="E2135" s="3">
        <f>IFERROR(VLOOKUP(B2135,'DA1'!$B$2:$D$999999,3,FALSE),"")</f>
      </c>
      <c r="F2135" s="1" t="str">
        <f>IFERROR(VLOOKUP(B2135,'SB1'!$A$2:$C$999999,3,FALSE),"")</f>
        <v>503</v>
      </c>
      <c r="G2135" s="3" t="e">
        <f t="shared" si="71"/>
        <v>#VALUE!</v>
      </c>
      <c r="H2135" s="3" t="e">
        <f t="shared" si="73"/>
        <v>#VALUE!</v>
      </c>
      <c r="I2135" s="1">
        <v>1</v>
      </c>
    </row>
    <row r="2136" spans="1:9" x14ac:dyDescent="0.25">
      <c r="A2136" s="1" t="s">
        <v>14435</v>
      </c>
      <c r="B2136" s="1" t="s">
        <v>5969</v>
      </c>
      <c r="C2136" s="1" t="str">
        <f>IFERROR(VLOOKUP(B2136,'SB1'!$A$2:$B$999999,2,FALSE),"")</f>
        <v>LATEX EXTERIOR TERSUAVE LAVABLE CHOCOLATE X 20</v>
      </c>
      <c r="D2136" s="1" t="s">
        <v>14437</v>
      </c>
      <c r="E2136" s="3">
        <f>IFERROR(VLOOKUP(B2136,'DA1'!$B$2:$D$999999,3,FALSE),"")</f>
      </c>
      <c r="F2136" s="1" t="str">
        <f>IFERROR(VLOOKUP(B2136,'SB1'!$A$2:$C$999999,3,FALSE),"")</f>
        <v>503</v>
      </c>
      <c r="G2136" s="3" t="e">
        <f t="shared" si="71"/>
        <v>#VALUE!</v>
      </c>
      <c r="H2136" s="3" t="e">
        <f t="shared" si="73"/>
        <v>#VALUE!</v>
      </c>
      <c r="I2136" s="1">
        <v>1</v>
      </c>
    </row>
    <row r="2137" spans="1:9" x14ac:dyDescent="0.25">
      <c r="A2137" s="1" t="s">
        <v>14435</v>
      </c>
      <c r="B2137" s="1" t="s">
        <v>5971</v>
      </c>
      <c r="C2137" s="1" t="str">
        <f>IFERROR(VLOOKUP(B2137,'SB1'!$A$2:$B$999999,2,FALSE),"")</f>
        <v>LATEX EXTERIOR TERSUAVE LAVABLE GRIS ACERO X 20</v>
      </c>
      <c r="D2137" s="1" t="s">
        <v>14437</v>
      </c>
      <c r="E2137" s="3">
        <f>IFERROR(VLOOKUP(B2137,'DA1'!$B$2:$D$999999,3,FALSE),"")</f>
      </c>
      <c r="F2137" s="1" t="str">
        <f>IFERROR(VLOOKUP(B2137,'SB1'!$A$2:$C$999999,3,FALSE),"")</f>
        <v>503</v>
      </c>
      <c r="G2137" s="3" t="e">
        <f t="shared" si="71"/>
        <v>#VALUE!</v>
      </c>
      <c r="H2137" s="3" t="e">
        <f t="shared" si="73"/>
        <v>#VALUE!</v>
      </c>
      <c r="I2137" s="1">
        <v>1</v>
      </c>
    </row>
    <row r="2138" spans="1:9" x14ac:dyDescent="0.25">
      <c r="A2138" s="1" t="s">
        <v>14435</v>
      </c>
      <c r="B2138" s="1" t="s">
        <v>5973</v>
      </c>
      <c r="C2138" s="1" t="str">
        <f>IFERROR(VLOOKUP(B2138,'SB1'!$A$2:$B$999999,2,FALSE),"")</f>
        <v>LATEX EXTERIOR TERSUAVE LAVABLE GRIS CEMENTO X 20</v>
      </c>
      <c r="D2138" s="1" t="s">
        <v>14437</v>
      </c>
      <c r="E2138" s="3">
        <f>IFERROR(VLOOKUP(B2138,'DA1'!$B$2:$D$999999,3,FALSE),"")</f>
      </c>
      <c r="F2138" s="1" t="str">
        <f>IFERROR(VLOOKUP(B2138,'SB1'!$A$2:$C$999999,3,FALSE),"")</f>
        <v>503</v>
      </c>
      <c r="G2138" s="3" t="e">
        <f t="shared" si="71"/>
        <v>#VALUE!</v>
      </c>
      <c r="H2138" s="3" t="e">
        <f t="shared" si="73"/>
        <v>#VALUE!</v>
      </c>
      <c r="I2138" s="1">
        <v>1</v>
      </c>
    </row>
    <row r="2139" spans="1:9" x14ac:dyDescent="0.25">
      <c r="A2139" s="1" t="s">
        <v>14435</v>
      </c>
      <c r="B2139" s="1" t="s">
        <v>5975</v>
      </c>
      <c r="C2139" s="1" t="str">
        <f>IFERROR(VLOOKUP(B2139,'SB1'!$A$2:$B$999999,2,FALSE),"")</f>
        <v>LATEX EXTERIOR TERSUAVE LAVABLE MARRON AFRICANO X 20</v>
      </c>
      <c r="D2139" s="1" t="s">
        <v>14437</v>
      </c>
      <c r="E2139" s="3">
        <f>IFERROR(VLOOKUP(B2139,'DA1'!$B$2:$D$999999,3,FALSE),"")</f>
      </c>
      <c r="F2139" s="1" t="str">
        <f>IFERROR(VLOOKUP(B2139,'SB1'!$A$2:$C$999999,3,FALSE),"")</f>
        <v>503</v>
      </c>
      <c r="G2139" s="3" t="e">
        <f t="shared" si="71"/>
        <v>#VALUE!</v>
      </c>
      <c r="H2139" s="3" t="e">
        <f t="shared" si="73"/>
        <v>#VALUE!</v>
      </c>
      <c r="I2139" s="1">
        <v>1</v>
      </c>
    </row>
    <row r="2140" spans="1:9" x14ac:dyDescent="0.25">
      <c r="A2140" s="1" t="s">
        <v>14435</v>
      </c>
      <c r="B2140" s="1" t="s">
        <v>5977</v>
      </c>
      <c r="C2140" s="1" t="str">
        <f>IFERROR(VLOOKUP(B2140,'SB1'!$A$2:$B$999999,2,FALSE),"")</f>
        <v>LATEX EXTERIOR TERSUAVE LAVABLE NEGRO EBANO X 20</v>
      </c>
      <c r="D2140" s="1" t="s">
        <v>14437</v>
      </c>
      <c r="E2140" s="3">
        <f>IFERROR(VLOOKUP(B2140,'DA1'!$B$2:$D$999999,3,FALSE),"")</f>
      </c>
      <c r="F2140" s="1" t="str">
        <f>IFERROR(VLOOKUP(B2140,'SB1'!$A$2:$C$999999,3,FALSE),"")</f>
        <v>503</v>
      </c>
      <c r="G2140" s="3" t="e">
        <f t="shared" si="71"/>
        <v>#VALUE!</v>
      </c>
      <c r="H2140" s="3" t="e">
        <f t="shared" si="73"/>
        <v>#VALUE!</v>
      </c>
      <c r="I2140" s="1">
        <v>1</v>
      </c>
    </row>
    <row r="2141" spans="1:9" x14ac:dyDescent="0.25">
      <c r="A2141" s="1" t="s">
        <v>14435</v>
      </c>
      <c r="B2141" s="1" t="s">
        <v>5979</v>
      </c>
      <c r="C2141" s="1" t="str">
        <f>IFERROR(VLOOKUP(B2141,'SB1'!$A$2:$B$999999,2,FALSE),"")</f>
        <v>LATEX EXTERIOR TERSUAVE LAVABLE OCRE X 20</v>
      </c>
      <c r="D2141" s="1" t="s">
        <v>14437</v>
      </c>
      <c r="E2141" s="3">
        <f>IFERROR(VLOOKUP(B2141,'DA1'!$B$2:$D$999999,3,FALSE),"")</f>
      </c>
      <c r="F2141" s="1" t="str">
        <f>IFERROR(VLOOKUP(B2141,'SB1'!$A$2:$C$999999,3,FALSE),"")</f>
        <v>503</v>
      </c>
      <c r="G2141" s="3" t="e">
        <f t="shared" si="71"/>
        <v>#VALUE!</v>
      </c>
      <c r="H2141" s="3" t="e">
        <f t="shared" si="73"/>
        <v>#VALUE!</v>
      </c>
      <c r="I2141" s="1">
        <v>1</v>
      </c>
    </row>
    <row r="2142" spans="1:9" x14ac:dyDescent="0.25">
      <c r="A2142" s="1" t="s">
        <v>14435</v>
      </c>
      <c r="B2142" s="1" t="s">
        <v>5981</v>
      </c>
      <c r="C2142" s="1" t="str">
        <f>IFERROR(VLOOKUP(B2142,'SB1'!$A$2:$B$999999,2,FALSE),"")</f>
        <v>LATEX EXTERIOR TERSUAVE LAVABLE ROJO BORGOGNA X 20</v>
      </c>
      <c r="D2142" s="1" t="s">
        <v>14437</v>
      </c>
      <c r="E2142" s="3">
        <f>IFERROR(VLOOKUP(B2142,'DA1'!$B$2:$D$999999,3,FALSE),"")</f>
      </c>
      <c r="F2142" s="1" t="str">
        <f>IFERROR(VLOOKUP(B2142,'SB1'!$A$2:$C$999999,3,FALSE),"")</f>
        <v>503</v>
      </c>
      <c r="G2142" s="3" t="e">
        <f t="shared" si="71"/>
        <v>#VALUE!</v>
      </c>
      <c r="H2142" s="3" t="e">
        <f t="shared" si="73"/>
        <v>#VALUE!</v>
      </c>
      <c r="I2142" s="1">
        <v>1</v>
      </c>
    </row>
    <row r="2143" spans="1:9" x14ac:dyDescent="0.25">
      <c r="A2143" s="1" t="s">
        <v>14435</v>
      </c>
      <c r="B2143" s="1" t="s">
        <v>5983</v>
      </c>
      <c r="C2143" s="1" t="str">
        <f>IFERROR(VLOOKUP(B2143,'SB1'!$A$2:$B$999999,2,FALSE),"")</f>
        <v>LATEX EXTERIOR TERSUAVE LAVABLE ROJO TEJA X 20</v>
      </c>
      <c r="D2143" s="1" t="s">
        <v>14437</v>
      </c>
      <c r="E2143" s="3">
        <f>IFERROR(VLOOKUP(B2143,'DA1'!$B$2:$D$999999,3,FALSE),"")</f>
      </c>
      <c r="F2143" s="1" t="str">
        <f>IFERROR(VLOOKUP(B2143,'SB1'!$A$2:$C$999999,3,FALSE),"")</f>
        <v>503</v>
      </c>
      <c r="G2143" s="3" t="e">
        <f t="shared" si="71"/>
        <v>#VALUE!</v>
      </c>
      <c r="H2143" s="3" t="e">
        <f t="shared" si="73"/>
        <v>#VALUE!</v>
      </c>
      <c r="I2143" s="1">
        <v>1</v>
      </c>
    </row>
    <row r="2144" spans="1:9" x14ac:dyDescent="0.25">
      <c r="A2144" s="1" t="s">
        <v>14435</v>
      </c>
      <c r="B2144" s="1" t="s">
        <v>5985</v>
      </c>
      <c r="C2144" s="1" t="str">
        <f>IFERROR(VLOOKUP(B2144,'SB1'!$A$2:$B$999999,2,FALSE),"")</f>
        <v>LATEX EXTERIOR TERSUAVE LAVABLE ROSA VIEJO X 20</v>
      </c>
      <c r="D2144" s="1" t="s">
        <v>14437</v>
      </c>
      <c r="E2144" s="3">
        <f>IFERROR(VLOOKUP(B2144,'DA1'!$B$2:$D$999999,3,FALSE),"")</f>
      </c>
      <c r="F2144" s="1" t="str">
        <f>IFERROR(VLOOKUP(B2144,'SB1'!$A$2:$C$999999,3,FALSE),"")</f>
        <v>503</v>
      </c>
      <c r="G2144" s="3" t="e">
        <f t="shared" si="71"/>
        <v>#VALUE!</v>
      </c>
      <c r="H2144" s="3" t="e">
        <f t="shared" si="73"/>
        <v>#VALUE!</v>
      </c>
      <c r="I2144" s="1">
        <v>1</v>
      </c>
    </row>
    <row r="2145" spans="1:9" x14ac:dyDescent="0.25">
      <c r="A2145" s="1" t="s">
        <v>14435</v>
      </c>
      <c r="B2145" s="1" t="s">
        <v>5987</v>
      </c>
      <c r="C2145" s="1" t="str">
        <f>IFERROR(VLOOKUP(B2145,'SB1'!$A$2:$B$999999,2,FALSE),"")</f>
        <v>LATEX EXTERIOR TERSUAVE LAVABLE VERDE FORESTA X 20</v>
      </c>
      <c r="D2145" s="1" t="s">
        <v>14437</v>
      </c>
      <c r="E2145" s="3">
        <f>IFERROR(VLOOKUP(B2145,'DA1'!$B$2:$D$999999,3,FALSE),"")</f>
      </c>
      <c r="F2145" s="1" t="str">
        <f>IFERROR(VLOOKUP(B2145,'SB1'!$A$2:$C$999999,3,FALSE),"")</f>
        <v>503</v>
      </c>
      <c r="G2145" s="3" t="e">
        <f t="shared" si="71"/>
        <v>#VALUE!</v>
      </c>
      <c r="H2145" s="3" t="e">
        <f t="shared" si="73"/>
        <v>#VALUE!</v>
      </c>
      <c r="I2145" s="1">
        <v>1</v>
      </c>
    </row>
    <row r="2146" spans="1:9" x14ac:dyDescent="0.25">
      <c r="A2146" s="1" t="s">
        <v>14435</v>
      </c>
      <c r="B2146" s="1" t="s">
        <v>5989</v>
      </c>
      <c r="C2146" s="1" t="str">
        <f>IFERROR(VLOOKUP(B2146,'SB1'!$A$2:$B$999999,2,FALSE),"")</f>
        <v>LATEX EXTERIOR TERSUAVE LAVABLE VERDE SAFARI X 20</v>
      </c>
      <c r="D2146" s="1" t="s">
        <v>14437</v>
      </c>
      <c r="E2146" s="3">
        <f>IFERROR(VLOOKUP(B2146,'DA1'!$B$2:$D$999999,3,FALSE),"")</f>
      </c>
      <c r="F2146" s="1" t="str">
        <f>IFERROR(VLOOKUP(B2146,'SB1'!$A$2:$C$999999,3,FALSE),"")</f>
        <v>503</v>
      </c>
      <c r="G2146" s="3" t="e">
        <f t="shared" si="71"/>
        <v>#VALUE!</v>
      </c>
      <c r="H2146" s="3" t="e">
        <f t="shared" si="73"/>
        <v>#VALUE!</v>
      </c>
      <c r="I2146" s="1">
        <v>1</v>
      </c>
    </row>
    <row r="2147" spans="1:9" x14ac:dyDescent="0.25">
      <c r="A2147" s="1" t="s">
        <v>14435</v>
      </c>
      <c r="B2147" s="1" t="s">
        <v>5991</v>
      </c>
      <c r="C2147" s="1" t="str">
        <f>IFERROR(VLOOKUP(B2147,'SB1'!$A$2:$B$999999,2,FALSE),"")</f>
        <v>LATEX EXTERIOR TERSUAVE LAVABLE VIOLETA DEL SUR X 20</v>
      </c>
      <c r="D2147" s="1" t="s">
        <v>14437</v>
      </c>
      <c r="E2147" s="3">
        <f>IFERROR(VLOOKUP(B2147,'DA1'!$B$2:$D$999999,3,FALSE),"")</f>
      </c>
      <c r="F2147" s="1" t="str">
        <f>IFERROR(VLOOKUP(B2147,'SB1'!$A$2:$C$999999,3,FALSE),"")</f>
        <v>503</v>
      </c>
      <c r="G2147" s="3" t="e">
        <f t="shared" si="71"/>
        <v>#VALUE!</v>
      </c>
      <c r="H2147" s="3" t="e">
        <f t="shared" si="73"/>
        <v>#VALUE!</v>
      </c>
      <c r="I2147" s="1">
        <v>1</v>
      </c>
    </row>
    <row r="2148" spans="1:9" x14ac:dyDescent="0.25">
      <c r="A2148" s="1" t="s">
        <v>14435</v>
      </c>
      <c r="B2148" s="1" t="s">
        <v>5993</v>
      </c>
      <c r="C2148" s="1" t="str">
        <f>IFERROR(VLOOKUP(B2148,'SB1'!$A$2:$B$999999,2,FALSE),"")</f>
        <v>ESMALTE SINTETICO ALBALUX 2EN1 FORJA GRIS X 1</v>
      </c>
      <c r="D2148" s="1" t="s">
        <v>14441</v>
      </c>
      <c r="E2148" s="3">
        <f>IFERROR(VLOOKUP(B2148,'DA1'!$B$2:$D$999999,3,FALSE),"")</f>
      </c>
      <c r="F2148" s="1" t="str">
        <f>IFERROR(VLOOKUP(B2148,'SB1'!$A$2:$C$999999,3,FALSE),"")</f>
        <v>503</v>
      </c>
      <c r="G2148" s="3" t="e">
        <f t="shared" si="71"/>
        <v>#VALUE!</v>
      </c>
      <c r="H2148" s="3" t="e">
        <f t="shared" si="73"/>
        <v>#VALUE!</v>
      </c>
      <c r="I2148" s="1">
        <v>1</v>
      </c>
    </row>
    <row r="2149" spans="1:9" x14ac:dyDescent="0.25">
      <c r="A2149" s="1" t="s">
        <v>14435</v>
      </c>
      <c r="B2149" s="1" t="s">
        <v>5995</v>
      </c>
      <c r="C2149" s="1" t="str">
        <f>IFERROR(VLOOKUP(B2149,'SB1'!$A$2:$B$999999,2,FALSE),"")</f>
        <v>ESMALTE SINTETICO ALBALUX 2EN1 FORJA GRIS X 4</v>
      </c>
      <c r="D2149" s="1" t="s">
        <v>14441</v>
      </c>
      <c r="E2149" s="3">
        <f>IFERROR(VLOOKUP(B2149,'DA1'!$B$2:$D$999999,3,FALSE),"")</f>
      </c>
      <c r="F2149" s="1" t="str">
        <f>IFERROR(VLOOKUP(B2149,'SB1'!$A$2:$C$999999,3,FALSE),"")</f>
        <v>503</v>
      </c>
      <c r="G2149" s="3" t="e">
        <f t="shared" si="71"/>
        <v>#VALUE!</v>
      </c>
      <c r="H2149" s="3" t="e">
        <f t="shared" si="73"/>
        <v>#VALUE!</v>
      </c>
      <c r="I2149" s="1">
        <v>1</v>
      </c>
    </row>
    <row r="2150" spans="1:9" x14ac:dyDescent="0.25">
      <c r="A2150" s="1" t="s">
        <v>14435</v>
      </c>
      <c r="B2150" s="1" t="s">
        <v>5997</v>
      </c>
      <c r="C2150" s="1" t="str">
        <f>IFERROR(VLOOKUP(B2150,'SB1'!$A$2:$B$999999,2,FALSE),"")</f>
        <v>ESMALTE SINTETICO ALBALUX 2EN1 FORJA NEGRO X 1</v>
      </c>
      <c r="D2150" s="1" t="s">
        <v>14441</v>
      </c>
      <c r="E2150" s="3">
        <f>IFERROR(VLOOKUP(B2150,'DA1'!$B$2:$D$999999,3,FALSE),"")</f>
      </c>
      <c r="F2150" s="1" t="str">
        <f>IFERROR(VLOOKUP(B2150,'SB1'!$A$2:$C$999999,3,FALSE),"")</f>
        <v>503</v>
      </c>
      <c r="G2150" s="3" t="e">
        <f t="shared" si="71"/>
        <v>#VALUE!</v>
      </c>
      <c r="H2150" s="3" t="e">
        <f t="shared" si="73"/>
        <v>#VALUE!</v>
      </c>
      <c r="I2150" s="1">
        <v>1</v>
      </c>
    </row>
    <row r="2151" spans="1:9" x14ac:dyDescent="0.25">
      <c r="A2151" s="1" t="s">
        <v>14435</v>
      </c>
      <c r="B2151" s="1" t="s">
        <v>5999</v>
      </c>
      <c r="C2151" s="1" t="str">
        <f>IFERROR(VLOOKUP(B2151,'SB1'!$A$2:$B$999999,2,FALSE),"")</f>
        <v>ESMALTE SINTETICO ALBALUX 2EN1 FORJA NEGRO X 4</v>
      </c>
      <c r="D2151" s="1" t="s">
        <v>14441</v>
      </c>
      <c r="E2151" s="3">
        <f>IFERROR(VLOOKUP(B2151,'DA1'!$B$2:$D$999999,3,FALSE),"")</f>
      </c>
      <c r="F2151" s="1" t="str">
        <f>IFERROR(VLOOKUP(B2151,'SB1'!$A$2:$C$999999,3,FALSE),"")</f>
        <v>503</v>
      </c>
      <c r="G2151" s="3" t="e">
        <f t="shared" si="71"/>
        <v>#VALUE!</v>
      </c>
      <c r="H2151" s="3" t="e">
        <f t="shared" si="73"/>
        <v>#VALUE!</v>
      </c>
      <c r="I2151" s="1">
        <v>1</v>
      </c>
    </row>
    <row r="2152" spans="1:9" x14ac:dyDescent="0.25">
      <c r="A2152" s="1" t="s">
        <v>14435</v>
      </c>
      <c r="B2152" s="1" t="s">
        <v>6001</v>
      </c>
      <c r="C2152" s="1" t="str">
        <f>IFERROR(VLOOKUP(B2152,'SB1'!$A$2:$B$999999,2,FALSE),"")</f>
        <v>ESMALTE SINTETICO ALBALUX 2EN1 MARTILLADO GRIS X 1</v>
      </c>
      <c r="D2152" s="1" t="s">
        <v>14441</v>
      </c>
      <c r="E2152" s="3">
        <f>IFERROR(VLOOKUP(B2152,'DA1'!$B$2:$D$999999,3,FALSE),"")</f>
      </c>
      <c r="F2152" s="1" t="str">
        <f>IFERROR(VLOOKUP(B2152,'SB1'!$A$2:$C$999999,3,FALSE),"")</f>
        <v>503</v>
      </c>
      <c r="G2152" s="3" t="e">
        <f t="shared" si="71"/>
        <v>#VALUE!</v>
      </c>
      <c r="H2152" s="3" t="e">
        <f t="shared" si="73"/>
        <v>#VALUE!</v>
      </c>
      <c r="I2152" s="1">
        <v>1</v>
      </c>
    </row>
    <row r="2153" spans="1:9" x14ac:dyDescent="0.25">
      <c r="A2153" s="1" t="s">
        <v>14435</v>
      </c>
      <c r="B2153" s="1" t="s">
        <v>6003</v>
      </c>
      <c r="C2153" s="1" t="str">
        <f>IFERROR(VLOOKUP(B2153,'SB1'!$A$2:$B$999999,2,FALSE),"")</f>
        <v>ESMALTE SINTETICO ALBALUX 2EN1 MARTILLADO GRIS X 4</v>
      </c>
      <c r="D2153" s="1" t="s">
        <v>14441</v>
      </c>
      <c r="E2153" s="3">
        <f>IFERROR(VLOOKUP(B2153,'DA1'!$B$2:$D$999999,3,FALSE),"")</f>
      </c>
      <c r="F2153" s="1" t="str">
        <f>IFERROR(VLOOKUP(B2153,'SB1'!$A$2:$C$999999,3,FALSE),"")</f>
        <v>503</v>
      </c>
      <c r="G2153" s="3" t="e">
        <f t="shared" si="71"/>
        <v>#VALUE!</v>
      </c>
      <c r="H2153" s="3" t="e">
        <f t="shared" si="73"/>
        <v>#VALUE!</v>
      </c>
      <c r="I2153" s="1">
        <v>1</v>
      </c>
    </row>
    <row r="2154" spans="1:9" x14ac:dyDescent="0.25">
      <c r="A2154" s="1" t="s">
        <v>14435</v>
      </c>
      <c r="B2154" s="1" t="s">
        <v>6005</v>
      </c>
      <c r="C2154" s="1" t="str">
        <f>IFERROR(VLOOKUP(B2154,'SB1'!$A$2:$B$999999,2,FALSE),"")</f>
        <v>ESMALTE SINTETICO ALBALUX 2EN1 MARTILLADO GRIS PLATA X 1</v>
      </c>
      <c r="D2154" s="1" t="s">
        <v>14441</v>
      </c>
      <c r="E2154" s="3">
        <f>IFERROR(VLOOKUP(B2154,'DA1'!$B$2:$D$999999,3,FALSE),"")</f>
      </c>
      <c r="F2154" s="1" t="str">
        <f>IFERROR(VLOOKUP(B2154,'SB1'!$A$2:$C$999999,3,FALSE),"")</f>
        <v>503</v>
      </c>
      <c r="G2154" s="3" t="e">
        <f t="shared" si="71"/>
        <v>#VALUE!</v>
      </c>
      <c r="H2154" s="3" t="e">
        <f t="shared" si="73"/>
        <v>#VALUE!</v>
      </c>
      <c r="I2154" s="1">
        <v>1</v>
      </c>
    </row>
    <row r="2155" spans="1:9" x14ac:dyDescent="0.25">
      <c r="A2155" s="1" t="s">
        <v>14435</v>
      </c>
      <c r="B2155" s="1" t="s">
        <v>6007</v>
      </c>
      <c r="C2155" s="1" t="str">
        <f>IFERROR(VLOOKUP(B2155,'SB1'!$A$2:$B$999999,2,FALSE),"")</f>
        <v>ESMALTE SINTETICO ALBALUX 2EN1 MARTILLADO GRIS PLATA X 4</v>
      </c>
      <c r="D2155" s="1" t="s">
        <v>14441</v>
      </c>
      <c r="E2155" s="3">
        <f>IFERROR(VLOOKUP(B2155,'DA1'!$B$2:$D$999999,3,FALSE),"")</f>
      </c>
      <c r="F2155" s="1" t="str">
        <f>IFERROR(VLOOKUP(B2155,'SB1'!$A$2:$C$999999,3,FALSE),"")</f>
        <v>503</v>
      </c>
      <c r="G2155" s="3" t="e">
        <f t="shared" si="71"/>
        <v>#VALUE!</v>
      </c>
      <c r="H2155" s="3" t="e">
        <f t="shared" si="73"/>
        <v>#VALUE!</v>
      </c>
      <c r="I2155" s="1">
        <v>1</v>
      </c>
    </row>
    <row r="2156" spans="1:9" x14ac:dyDescent="0.25">
      <c r="A2156" s="1" t="s">
        <v>14435</v>
      </c>
      <c r="B2156" s="1" t="s">
        <v>6009</v>
      </c>
      <c r="C2156" s="1" t="str">
        <f>IFERROR(VLOOKUP(B2156,'SB1'!$A$2:$B$999999,2,FALSE),"")</f>
        <v>ESMALTE SINTETICO ALBALUX 2EN1 MARTILLADO NEGRO X 1</v>
      </c>
      <c r="D2156" s="1" t="s">
        <v>14441</v>
      </c>
      <c r="E2156" s="3">
        <f>IFERROR(VLOOKUP(B2156,'DA1'!$B$2:$D$999999,3,FALSE),"")</f>
      </c>
      <c r="F2156" s="1" t="str">
        <f>IFERROR(VLOOKUP(B2156,'SB1'!$A$2:$C$999999,3,FALSE),"")</f>
        <v>503</v>
      </c>
      <c r="G2156" s="3" t="e">
        <f t="shared" si="71"/>
        <v>#VALUE!</v>
      </c>
      <c r="H2156" s="3" t="e">
        <f t="shared" si="73"/>
        <v>#VALUE!</v>
      </c>
      <c r="I2156" s="1">
        <v>1</v>
      </c>
    </row>
    <row r="2157" spans="1:9" x14ac:dyDescent="0.25">
      <c r="A2157" s="1" t="s">
        <v>14435</v>
      </c>
      <c r="B2157" s="1" t="s">
        <v>6011</v>
      </c>
      <c r="C2157" s="1" t="str">
        <f>IFERROR(VLOOKUP(B2157,'SB1'!$A$2:$B$999999,2,FALSE),"")</f>
        <v>ESMALTE SINTETICO ALBALUX 2EN1 MARTILLADO NEGRO X 4</v>
      </c>
      <c r="D2157" s="1" t="s">
        <v>14441</v>
      </c>
      <c r="E2157" s="3">
        <f>IFERROR(VLOOKUP(B2157,'DA1'!$B$2:$D$999999,3,FALSE),"")</f>
      </c>
      <c r="F2157" s="1" t="str">
        <f>IFERROR(VLOOKUP(B2157,'SB1'!$A$2:$C$999999,3,FALSE),"")</f>
        <v>503</v>
      </c>
      <c r="G2157" s="3" t="e">
        <f t="shared" si="71"/>
        <v>#VALUE!</v>
      </c>
      <c r="H2157" s="3" t="e">
        <f t="shared" si="73"/>
        <v>#VALUE!</v>
      </c>
      <c r="I2157" s="1">
        <v>1</v>
      </c>
    </row>
    <row r="2158" spans="1:9" x14ac:dyDescent="0.25">
      <c r="A2158" s="1" t="s">
        <v>14435</v>
      </c>
      <c r="B2158" s="1" t="s">
        <v>6025</v>
      </c>
      <c r="C2158" s="1" t="str">
        <f>IFERROR(VLOOKUP(B2158,'SB1'!$A$2:$B$999999,2,FALSE),"")</f>
        <v>PINTURA PARA PILETA TERSUAVE AL AGUA AZUL X  1</v>
      </c>
      <c r="D2158" s="1" t="s">
        <v>14437</v>
      </c>
      <c r="E2158" s="3">
        <f>IFERROR(VLOOKUP(B2158,'DA1'!$B$2:$D$999999,3,FALSE),"")</f>
      </c>
      <c r="F2158" s="1" t="str">
        <f>IFERROR(VLOOKUP(B2158,'SB1'!$A$2:$C$999999,3,FALSE),"")</f>
        <v>503</v>
      </c>
      <c r="G2158" s="3" t="e">
        <f t="shared" si="71"/>
        <v>#VALUE!</v>
      </c>
      <c r="H2158" s="3" t="e">
        <f t="shared" si="73"/>
        <v>#VALUE!</v>
      </c>
      <c r="I2158" s="1">
        <v>1</v>
      </c>
    </row>
    <row r="2159" spans="1:9" x14ac:dyDescent="0.25">
      <c r="A2159" s="1" t="s">
        <v>14435</v>
      </c>
      <c r="B2159" s="1" t="s">
        <v>6029</v>
      </c>
      <c r="C2159" s="1" t="str">
        <f>IFERROR(VLOOKUP(B2159,'SB1'!$A$2:$B$999999,2,FALSE),"")</f>
        <v>PINTURA PARA PILETA TERSUAVE AL AGUA AZUL X  4</v>
      </c>
      <c r="D2159" s="1" t="s">
        <v>14437</v>
      </c>
      <c r="E2159" s="3">
        <f>IFERROR(VLOOKUP(B2159,'DA1'!$B$2:$D$999999,3,FALSE),"")</f>
      </c>
      <c r="F2159" s="1" t="str">
        <f>IFERROR(VLOOKUP(B2159,'SB1'!$A$2:$C$999999,3,FALSE),"")</f>
        <v>503</v>
      </c>
      <c r="G2159" s="3" t="e">
        <f t="shared" si="71"/>
        <v>#VALUE!</v>
      </c>
      <c r="H2159" s="3" t="e">
        <f t="shared" si="73"/>
        <v>#VALUE!</v>
      </c>
      <c r="I2159" s="1">
        <v>1</v>
      </c>
    </row>
    <row r="2160" spans="1:9" x14ac:dyDescent="0.25">
      <c r="A2160" s="1" t="s">
        <v>14435</v>
      </c>
      <c r="B2160" s="1" t="s">
        <v>6031</v>
      </c>
      <c r="C2160" s="1" t="str">
        <f>IFERROR(VLOOKUP(B2160,'SB1'!$A$2:$B$999999,2,FALSE),"")</f>
        <v>ANTEOJO ROGUANT LIBUS ECOLINE INCOLORO(200452)</v>
      </c>
      <c r="D2160" s="1" t="s">
        <v>14494</v>
      </c>
      <c r="E2160" s="3">
        <f>IFERROR(VLOOKUP(B2160,'DA1'!$B$2:$D$999999,3,FALSE),"")</f>
      </c>
      <c r="F2160" s="1" t="str">
        <f>IFERROR(VLOOKUP(B2160,'SB1'!$A$2:$C$999999,3,FALSE),"")</f>
        <v>503</v>
      </c>
      <c r="G2160" s="3" t="e">
        <f t="shared" si="71"/>
        <v>#VALUE!</v>
      </c>
      <c r="H2160" s="3" t="e">
        <f t="shared" si="73"/>
        <v>#VALUE!</v>
      </c>
      <c r="I2160" s="1">
        <v>2</v>
      </c>
    </row>
    <row r="2161" spans="1:9" x14ac:dyDescent="0.25">
      <c r="A2161" s="1" t="s">
        <v>14435</v>
      </c>
      <c r="B2161" s="1" t="s">
        <v>6033</v>
      </c>
      <c r="C2161" s="1" t="str">
        <f>IFERROR(VLOOKUP(B2161,'SB1'!$A$2:$B$999999,2,FALSE),"")</f>
        <v>ANTEOJO ROGUANT LIBUS ECOLINE GRIS(200450)</v>
      </c>
      <c r="D2161" s="1" t="s">
        <v>14494</v>
      </c>
      <c r="E2161" s="3">
        <f>IFERROR(VLOOKUP(B2161,'DA1'!$B$2:$D$999999,3,FALSE),"")</f>
      </c>
      <c r="F2161" s="1" t="str">
        <f>IFERROR(VLOOKUP(B2161,'SB1'!$A$2:$C$999999,3,FALSE),"")</f>
        <v>503</v>
      </c>
      <c r="G2161" s="3" t="e">
        <f t="shared" si="71"/>
        <v>#VALUE!</v>
      </c>
      <c r="H2161" s="3" t="e">
        <f t="shared" si="73"/>
        <v>#VALUE!</v>
      </c>
      <c r="I2161" s="1">
        <v>2</v>
      </c>
    </row>
    <row r="2162" spans="1:9" x14ac:dyDescent="0.25">
      <c r="A2162" s="1" t="s">
        <v>14435</v>
      </c>
      <c r="B2162" s="1" t="s">
        <v>6035</v>
      </c>
      <c r="C2162" s="1" t="str">
        <f>IFERROR(VLOOKUP(B2162,'SB1'!$A$2:$B$999999,2,FALSE),"")</f>
        <v>ANTEOJO ROGUANT KORT GRIS HC(207602)(LIBUS ARGON)</v>
      </c>
      <c r="D2162" s="1" t="s">
        <v>14494</v>
      </c>
      <c r="E2162" s="3">
        <f>IFERROR(VLOOKUP(B2162,'DA1'!$B$2:$D$999999,3,FALSE),"")</f>
      </c>
      <c r="F2162" s="1" t="str">
        <f>IFERROR(VLOOKUP(B2162,'SB1'!$A$2:$C$999999,3,FALSE),"")</f>
        <v>503</v>
      </c>
      <c r="G2162" s="3" t="e">
        <f t="shared" si="71"/>
        <v>#VALUE!</v>
      </c>
      <c r="H2162" s="3" t="e">
        <f t="shared" si="73"/>
        <v>#VALUE!</v>
      </c>
      <c r="I2162" s="1">
        <v>2</v>
      </c>
    </row>
    <row r="2163" spans="1:9" x14ac:dyDescent="0.25">
      <c r="A2163" s="1" t="s">
        <v>14435</v>
      </c>
      <c r="B2163" s="1" t="s">
        <v>6037</v>
      </c>
      <c r="C2163" s="1" t="str">
        <f>IFERROR(VLOOKUP(B2163,'SB1'!$A$2:$B$999999,2,FALSE),"")</f>
        <v>ANTEOJO ROGUANT KORT INCOLORO HC(207598) (LIBUS ARGON)</v>
      </c>
      <c r="D2163" s="1" t="s">
        <v>14494</v>
      </c>
      <c r="E2163" s="3">
        <f>IFERROR(VLOOKUP(B2163,'DA1'!$B$2:$D$999999,3,FALSE),"")</f>
      </c>
      <c r="F2163" s="1" t="str">
        <f>IFERROR(VLOOKUP(B2163,'SB1'!$A$2:$C$999999,3,FALSE),"")</f>
        <v>503</v>
      </c>
      <c r="G2163" s="3" t="e">
        <f t="shared" si="71"/>
        <v>#VALUE!</v>
      </c>
      <c r="H2163" s="3" t="e">
        <f t="shared" si="73"/>
        <v>#VALUE!</v>
      </c>
      <c r="I2163" s="1">
        <v>2</v>
      </c>
    </row>
    <row r="2164" spans="1:9" x14ac:dyDescent="0.25">
      <c r="A2164" s="1" t="s">
        <v>14435</v>
      </c>
      <c r="B2164" s="1" t="s">
        <v>6047</v>
      </c>
      <c r="C2164" s="1" t="str">
        <f>IFERROR(VLOOKUP(B2164,'SB1'!$A$2:$B$999999,2,FALSE),"")</f>
        <v>CM-112 ALUMINIO GROSSL BRILHANTE X 1</v>
      </c>
      <c r="D2164" s="1" t="s">
        <v>14454</v>
      </c>
      <c r="E2164" s="3">
        <f>IFERROR(VLOOKUP(B2164,'DA1'!$B$2:$D$999999,3,FALSE),"")</f>
      </c>
      <c r="F2164" s="1" t="str">
        <f>IFERROR(VLOOKUP(B2164,'SB1'!$A$2:$C$999999,3,FALSE),"")</f>
        <v>503</v>
      </c>
      <c r="G2164" s="3" t="e">
        <f t="shared" si="71"/>
        <v>#VALUE!</v>
      </c>
      <c r="H2164" s="3" t="e">
        <f t="shared" si="73"/>
        <v>#VALUE!</v>
      </c>
      <c r="I2164" s="1">
        <v>3</v>
      </c>
    </row>
    <row r="2165" spans="1:9" x14ac:dyDescent="0.25">
      <c r="A2165" s="1" t="s">
        <v>14435</v>
      </c>
      <c r="B2165" s="1" t="s">
        <v>6059</v>
      </c>
      <c r="C2165" s="1" t="str">
        <f>IFERROR(VLOOKUP(B2165,'SB1'!$A$2:$B$999999,2,FALSE),"")</f>
        <v>CM-117 ALUMINIO FINO LUMINOSO X 1</v>
      </c>
      <c r="D2165" s="1" t="s">
        <v>14454</v>
      </c>
      <c r="E2165" s="3">
        <f>IFERROR(VLOOKUP(B2165,'DA1'!$B$2:$D$999999,3,FALSE),"")</f>
      </c>
      <c r="F2165" s="1" t="str">
        <f>IFERROR(VLOOKUP(B2165,'SB1'!$A$2:$C$999999,3,FALSE),"")</f>
        <v>503</v>
      </c>
      <c r="G2165" s="3" t="e">
        <f t="shared" si="71"/>
        <v>#VALUE!</v>
      </c>
      <c r="H2165" s="3" t="e">
        <f t="shared" si="73"/>
        <v>#VALUE!</v>
      </c>
      <c r="I2165" s="1">
        <v>3</v>
      </c>
    </row>
    <row r="2166" spans="1:9" x14ac:dyDescent="0.25">
      <c r="A2166" s="1" t="s">
        <v>14435</v>
      </c>
      <c r="B2166" s="1" t="s">
        <v>6061</v>
      </c>
      <c r="C2166" s="1" t="str">
        <f>IFERROR(VLOOKUP(B2166,'SB1'!$A$2:$B$999999,2,FALSE),"")</f>
        <v>BP-10.01 CLEARS BASE BLANCA BICAPA ACS X 3.500</v>
      </c>
      <c r="D2166" s="1" t="s">
        <v>14454</v>
      </c>
      <c r="E2166" s="3">
        <f>IFERROR(VLOOKUP(B2166,'DA1'!$B$2:$D$999999,3,FALSE),"")</f>
      </c>
      <c r="F2166" s="1" t="str">
        <f>IFERROR(VLOOKUP(B2166,'SB1'!$A$2:$C$999999,3,FALSE),"")</f>
        <v>503</v>
      </c>
      <c r="G2166" s="3" t="e">
        <f t="shared" si="71"/>
        <v>#VALUE!</v>
      </c>
      <c r="H2166" s="3" t="e">
        <f t="shared" si="73"/>
        <v>#VALUE!</v>
      </c>
      <c r="I2166" s="1">
        <v>3</v>
      </c>
    </row>
    <row r="2167" spans="1:9" x14ac:dyDescent="0.25">
      <c r="A2167" s="1" t="s">
        <v>14435</v>
      </c>
      <c r="B2167" s="1" t="s">
        <v>6063</v>
      </c>
      <c r="C2167" s="1" t="str">
        <f>IFERROR(VLOOKUP(B2167,'SB1'!$A$2:$B$999999,2,FALSE),"")</f>
        <v>ANTEOJO ROGUANT ELVEX AVION SG-18C-ARG</v>
      </c>
      <c r="D2167" s="1" t="s">
        <v>14439</v>
      </c>
      <c r="E2167" s="3">
        <f>IFERROR(VLOOKUP(B2167,'DA1'!$B$2:$D$999999,3,FALSE),"")</f>
      </c>
      <c r="F2167" s="1" t="str">
        <f>IFERROR(VLOOKUP(B2167,'SB1'!$A$2:$C$999999,3,FALSE),"")</f>
        <v>503</v>
      </c>
      <c r="G2167" s="3" t="e">
        <f t="shared" si="71"/>
        <v>#VALUE!</v>
      </c>
      <c r="H2167" s="3" t="e">
        <f t="shared" si="73"/>
        <v>#VALUE!</v>
      </c>
      <c r="I2167" s="1">
        <v>2</v>
      </c>
    </row>
    <row r="2168" spans="1:9" x14ac:dyDescent="0.25">
      <c r="A2168" s="1" t="s">
        <v>14435</v>
      </c>
      <c r="B2168" s="1" t="s">
        <v>6065</v>
      </c>
      <c r="C2168" s="1" t="str">
        <f>IFERROR(VLOOKUP(B2168,'SB1'!$A$2:$B$999999,2,FALSE),"")</f>
        <v>ANTEOJO ROGUANT ELVEX AVION SG-18G-ARG</v>
      </c>
      <c r="D2168" s="1" t="s">
        <v>14494</v>
      </c>
      <c r="E2168" s="3">
        <f>IFERROR(VLOOKUP(B2168,'DA1'!$B$2:$D$999999,3,FALSE),"")</f>
      </c>
      <c r="F2168" s="1" t="str">
        <f>IFERROR(VLOOKUP(B2168,'SB1'!$A$2:$C$999999,3,FALSE),"")</f>
        <v>503</v>
      </c>
      <c r="G2168" s="3" t="e">
        <f t="shared" si="71"/>
        <v>#VALUE!</v>
      </c>
      <c r="H2168" s="3" t="e">
        <f t="shared" si="73"/>
        <v>#VALUE!</v>
      </c>
      <c r="I2168" s="1">
        <v>2</v>
      </c>
    </row>
    <row r="2169" spans="1:9" x14ac:dyDescent="0.25">
      <c r="A2169" s="1" t="s">
        <v>14435</v>
      </c>
      <c r="B2169" s="1" t="s">
        <v>6075</v>
      </c>
      <c r="C2169" s="1" t="str">
        <f>IFERROR(VLOOKUP(B2169,'SB1'!$A$2:$B$999999,2,FALSE),"")</f>
        <v>IMPERMEABLIZANTE PARA TECHOS RECUPLAST TECHOS TEJA X 20</v>
      </c>
      <c r="D2169" s="1" t="s">
        <v>14463</v>
      </c>
      <c r="E2169" s="3">
        <f>IFERROR(VLOOKUP(B2169,'DA1'!$B$2:$D$999999,3,FALSE),"")</f>
      </c>
      <c r="F2169" s="1" t="str">
        <f>IFERROR(VLOOKUP(B2169,'SB1'!$A$2:$C$999999,3,FALSE),"")</f>
        <v>503</v>
      </c>
      <c r="G2169" s="3" t="e">
        <f t="shared" si="71"/>
        <v>#VALUE!</v>
      </c>
      <c r="H2169" s="3" t="e">
        <f t="shared" si="73"/>
        <v>#VALUE!</v>
      </c>
      <c r="I2169" s="1">
        <v>1</v>
      </c>
    </row>
    <row r="2170" spans="1:9" x14ac:dyDescent="0.25">
      <c r="A2170" s="1" t="s">
        <v>14435</v>
      </c>
      <c r="B2170" s="1" t="s">
        <v>6077</v>
      </c>
      <c r="C2170" s="1" t="str">
        <f>IFERROR(VLOOKUP(B2170,'SB1'!$A$2:$B$999999,2,FALSE),"")</f>
        <v>AEROSOL TERSUAVE ESMALTE SINTETICO DOBLE ACCION BRILLANTE BLANCO X 0,250</v>
      </c>
      <c r="D2170" s="1" t="s">
        <v>14439</v>
      </c>
      <c r="E2170" s="3">
        <f>IFERROR(VLOOKUP(B2170,'DA1'!$B$2:$D$999999,3,FALSE),"")</f>
      </c>
      <c r="F2170" s="1" t="str">
        <f>IFERROR(VLOOKUP(B2170,'SB1'!$A$2:$C$999999,3,FALSE),"")</f>
        <v>503</v>
      </c>
      <c r="G2170" s="3" t="e">
        <f t="shared" si="71"/>
        <v>#VALUE!</v>
      </c>
      <c r="H2170" s="3" t="e">
        <f t="shared" si="73"/>
        <v>#VALUE!</v>
      </c>
      <c r="I2170" s="1">
        <v>1</v>
      </c>
    </row>
    <row r="2171" spans="1:9" x14ac:dyDescent="0.25">
      <c r="A2171" s="1" t="s">
        <v>14435</v>
      </c>
      <c r="B2171" s="1" t="s">
        <v>6079</v>
      </c>
      <c r="C2171" s="1" t="str">
        <f>IFERROR(VLOOKUP(B2171,'SB1'!$A$2:$B$999999,2,FALSE),"")</f>
        <v>AEROSOL TERSUAVE ESMALTE SINTETICO DOBLE ACCION BRILLANTE BERMELLON X 0,250</v>
      </c>
      <c r="D2171" s="1" t="s">
        <v>14439</v>
      </c>
      <c r="E2171" s="3">
        <f>IFERROR(VLOOKUP(B2171,'DA1'!$B$2:$D$999999,3,FALSE),"")</f>
      </c>
      <c r="F2171" s="1" t="str">
        <f>IFERROR(VLOOKUP(B2171,'SB1'!$A$2:$C$999999,3,FALSE),"")</f>
        <v>503</v>
      </c>
      <c r="G2171" s="3" t="e">
        <f t="shared" si="71"/>
        <v>#VALUE!</v>
      </c>
      <c r="H2171" s="3" t="e">
        <f t="shared" si="73"/>
        <v>#VALUE!</v>
      </c>
      <c r="I2171" s="1">
        <v>1</v>
      </c>
    </row>
    <row r="2172" spans="1:9" x14ac:dyDescent="0.25">
      <c r="A2172" s="1" t="s">
        <v>14435</v>
      </c>
      <c r="B2172" s="1" t="s">
        <v>6081</v>
      </c>
      <c r="C2172" s="1" t="str">
        <f>IFERROR(VLOOKUP(B2172,'SB1'!$A$2:$B$999999,2,FALSE),"")</f>
        <v>AEROSOL TERSUAVE ESMALTE SINTETICO DOBLE ACCION BRILLANTE NEGRO X 0,250</v>
      </c>
      <c r="D2172" s="1" t="s">
        <v>14439</v>
      </c>
      <c r="E2172" s="3">
        <f>IFERROR(VLOOKUP(B2172,'DA1'!$B$2:$D$999999,3,FALSE),"")</f>
      </c>
      <c r="F2172" s="1" t="str">
        <f>IFERROR(VLOOKUP(B2172,'SB1'!$A$2:$C$999999,3,FALSE),"")</f>
        <v>503</v>
      </c>
      <c r="G2172" s="3" t="e">
        <f t="shared" si="71"/>
        <v>#VALUE!</v>
      </c>
      <c r="H2172" s="3" t="e">
        <f t="shared" si="73"/>
        <v>#VALUE!</v>
      </c>
      <c r="I2172" s="1">
        <v>1</v>
      </c>
    </row>
    <row r="2173" spans="1:9" x14ac:dyDescent="0.25">
      <c r="A2173" s="1" t="s">
        <v>14435</v>
      </c>
      <c r="B2173" s="1" t="s">
        <v>6083</v>
      </c>
      <c r="C2173" s="1" t="str">
        <f>IFERROR(VLOOKUP(B2173,'SB1'!$A$2:$B$999999,2,FALSE),"")</f>
        <v>AEROSOL TERSUAVE ESMALTE SINTETICO DOBLE ACCION BRILLANTE VERDE INGLES X 0,250</v>
      </c>
      <c r="D2173" s="1" t="s">
        <v>14439</v>
      </c>
      <c r="E2173" s="3">
        <f>IFERROR(VLOOKUP(B2173,'DA1'!$B$2:$D$999999,3,FALSE),"")</f>
      </c>
      <c r="F2173" s="1" t="str">
        <f>IFERROR(VLOOKUP(B2173,'SB1'!$A$2:$C$999999,3,FALSE),"")</f>
        <v>503</v>
      </c>
      <c r="G2173" s="3" t="e">
        <f t="shared" si="71"/>
        <v>#VALUE!</v>
      </c>
      <c r="H2173" s="3" t="e">
        <f t="shared" si="73"/>
        <v>#VALUE!</v>
      </c>
      <c r="I2173" s="1">
        <v>1</v>
      </c>
    </row>
    <row r="2174" spans="1:9" x14ac:dyDescent="0.25">
      <c r="A2174" s="1" t="s">
        <v>14435</v>
      </c>
      <c r="B2174" s="1" t="s">
        <v>6085</v>
      </c>
      <c r="C2174" s="1" t="str">
        <f>IFERROR(VLOOKUP(B2174,'SB1'!$A$2:$B$999999,2,FALSE),"")</f>
        <v>DRAGER-MASCARILLA X-PLORE 1350 N95</v>
      </c>
      <c r="D2174" s="1" t="s">
        <v>14494</v>
      </c>
      <c r="E2174" s="3">
        <f>IFERROR(VLOOKUP(B2174,'DA1'!$B$2:$D$999999,3,FALSE),"")</f>
      </c>
      <c r="F2174" s="1" t="str">
        <f>IFERROR(VLOOKUP(B2174,'SB1'!$A$2:$C$999999,3,FALSE),"")</f>
        <v>503</v>
      </c>
      <c r="G2174" s="3" t="e">
        <f t="shared" si="71"/>
        <v>#VALUE!</v>
      </c>
      <c r="H2174" s="3" t="e">
        <f t="shared" si="73"/>
        <v>#VALUE!</v>
      </c>
      <c r="I2174" s="1">
        <v>2</v>
      </c>
    </row>
    <row r="2175" spans="1:9" x14ac:dyDescent="0.25">
      <c r="A2175" s="1" t="s">
        <v>14435</v>
      </c>
      <c r="B2175" s="1" t="s">
        <v>6087</v>
      </c>
      <c r="C2175" s="1" t="str">
        <f>IFERROR(VLOOKUP(B2175,'SB1'!$A$2:$B$999999,2,FALSE),"")</f>
        <v>DRAGER-MASCARILLA X-PLORE 1350 N95 VALVULA</v>
      </c>
      <c r="D2175" s="1" t="s">
        <v>14494</v>
      </c>
      <c r="E2175" s="3">
        <f>IFERROR(VLOOKUP(B2175,'DA1'!$B$2:$D$999999,3,FALSE),"")</f>
      </c>
      <c r="F2175" s="1" t="str">
        <f>IFERROR(VLOOKUP(B2175,'SB1'!$A$2:$C$999999,3,FALSE),"")</f>
        <v>503</v>
      </c>
      <c r="G2175" s="3" t="e">
        <f t="shared" si="71"/>
        <v>#VALUE!</v>
      </c>
      <c r="H2175" s="3" t="e">
        <f t="shared" si="73"/>
        <v>#VALUE!</v>
      </c>
      <c r="I2175" s="1">
        <v>2</v>
      </c>
    </row>
    <row r="2176" spans="1:9" x14ac:dyDescent="0.25">
      <c r="A2176" s="1" t="s">
        <v>14435</v>
      </c>
      <c r="B2176" s="1" t="s">
        <v>6089</v>
      </c>
      <c r="C2176" s="1" t="str">
        <f>IFERROR(VLOOKUP(B2176,'SB1'!$A$2:$B$999999,2,FALSE),"")</f>
        <v>CM-076 ROJO BRILL X 1</v>
      </c>
      <c r="D2176" s="1" t="s">
        <v>14454</v>
      </c>
      <c r="E2176" s="3">
        <f>IFERROR(VLOOKUP(B2176,'DA1'!$B$2:$D$999999,3,FALSE),"")</f>
      </c>
      <c r="F2176" s="1" t="str">
        <f>IFERROR(VLOOKUP(B2176,'SB1'!$A$2:$C$999999,3,FALSE),"")</f>
        <v>503</v>
      </c>
      <c r="G2176" s="3" t="e">
        <f t="shared" si="71"/>
        <v>#VALUE!</v>
      </c>
      <c r="H2176" s="3" t="e">
        <f t="shared" si="73"/>
        <v>#VALUE!</v>
      </c>
      <c r="I2176" s="1">
        <v>3</v>
      </c>
    </row>
    <row r="2177" spans="1:9" x14ac:dyDescent="0.25">
      <c r="A2177" s="1" t="s">
        <v>14435</v>
      </c>
      <c r="B2177" s="1" t="s">
        <v>6091</v>
      </c>
      <c r="C2177" s="1" t="str">
        <f>IFERROR(VLOOKUP(B2177,'SB1'!$A$2:$B$999999,2,FALSE),"")</f>
        <v>DRAGER-SEMIMASCARA X-PLORE 3300</v>
      </c>
      <c r="D2177" s="1" t="s">
        <v>14494</v>
      </c>
      <c r="E2177" s="3">
        <f>IFERROR(VLOOKUP(B2177,'DA1'!$B$2:$D$999999,3,FALSE),"")</f>
      </c>
      <c r="F2177" s="1" t="str">
        <f>IFERROR(VLOOKUP(B2177,'SB1'!$A$2:$C$999999,3,FALSE),"")</f>
        <v>503</v>
      </c>
      <c r="G2177" s="3" t="e">
        <f t="shared" si="71"/>
        <v>#VALUE!</v>
      </c>
      <c r="H2177" s="3" t="e">
        <f t="shared" si="73"/>
        <v>#VALUE!</v>
      </c>
      <c r="I2177" s="1">
        <v>2</v>
      </c>
    </row>
    <row r="2178" spans="1:9" x14ac:dyDescent="0.25">
      <c r="A2178" s="1" t="s">
        <v>14435</v>
      </c>
      <c r="B2178" s="1" t="s">
        <v>6093</v>
      </c>
      <c r="C2178" s="1" t="str">
        <f>IFERROR(VLOOKUP(B2178,'SB1'!$A$2:$B$999999,2,FALSE),"")</f>
        <v>DRAGER-SEMIMASCARA X-PLORE 3500</v>
      </c>
      <c r="D2178" s="1" t="s">
        <v>14494</v>
      </c>
      <c r="E2178" s="3">
        <f>IFERROR(VLOOKUP(B2178,'DA1'!$B$2:$D$999999,3,FALSE),"")</f>
      </c>
      <c r="F2178" s="1" t="str">
        <f>IFERROR(VLOOKUP(B2178,'SB1'!$A$2:$C$999999,3,FALSE),"")</f>
        <v>503</v>
      </c>
      <c r="G2178" s="3" t="e">
        <f t="shared" si="71"/>
        <v>#VALUE!</v>
      </c>
      <c r="H2178" s="3" t="e">
        <f t="shared" si="73"/>
        <v>#VALUE!</v>
      </c>
      <c r="I2178" s="1">
        <v>2</v>
      </c>
    </row>
    <row r="2179" spans="1:9" x14ac:dyDescent="0.25">
      <c r="A2179" s="1" t="s">
        <v>14435</v>
      </c>
      <c r="B2179" s="1" t="s">
        <v>6095</v>
      </c>
      <c r="C2179" s="1" t="str">
        <f>IFERROR(VLOOKUP(B2179,'SB1'!$A$2:$B$999999,2,FALSE),"")</f>
        <v>CM-110 ALUMINIO FINO X 1</v>
      </c>
      <c r="D2179" s="1" t="s">
        <v>14454</v>
      </c>
      <c r="E2179" s="3">
        <f>IFERROR(VLOOKUP(B2179,'DA1'!$B$2:$D$999999,3,FALSE),"")</f>
      </c>
      <c r="F2179" s="1" t="str">
        <f>IFERROR(VLOOKUP(B2179,'SB1'!$A$2:$C$999999,3,FALSE),"")</f>
        <v>503</v>
      </c>
      <c r="G2179" s="3" t="e">
        <f t="shared" ref="G2179:G2242" si="74">E2179*1.04</f>
        <v>#VALUE!</v>
      </c>
      <c r="H2179" s="3" t="e">
        <f t="shared" si="73"/>
        <v>#VALUE!</v>
      </c>
      <c r="I2179" s="1">
        <v>3</v>
      </c>
    </row>
    <row r="2180" spans="1:9" x14ac:dyDescent="0.25">
      <c r="A2180" s="1" t="s">
        <v>14435</v>
      </c>
      <c r="B2180" s="1" t="s">
        <v>6097</v>
      </c>
      <c r="C2180" s="1" t="str">
        <f>IFERROR(VLOOKUP(B2180,'SB1'!$A$2:$B$999999,2,FALSE),"")</f>
        <v>GUANTES TACTIL KELY 26-109 T09 X 2</v>
      </c>
      <c r="D2180" s="1" t="s">
        <v>14494</v>
      </c>
      <c r="E2180" s="3">
        <f>IFERROR(VLOOKUP(B2180,'DA1'!$B$2:$D$999999,3,FALSE),"")</f>
      </c>
      <c r="F2180" s="1" t="str">
        <f>IFERROR(VLOOKUP(B2180,'SB1'!$A$2:$C$999999,3,FALSE),"")</f>
        <v>503</v>
      </c>
      <c r="G2180" s="3" t="e">
        <f t="shared" si="74"/>
        <v>#VALUE!</v>
      </c>
      <c r="H2180" s="3" t="e">
        <f t="shared" si="73"/>
        <v>#VALUE!</v>
      </c>
      <c r="I2180" s="1">
        <v>2</v>
      </c>
    </row>
    <row r="2181" spans="1:9" x14ac:dyDescent="0.25">
      <c r="A2181" s="1" t="s">
        <v>14435</v>
      </c>
      <c r="B2181" s="1" t="s">
        <v>6099</v>
      </c>
      <c r="C2181" s="1" t="str">
        <f>IFERROR(VLOOKUP(B2181,'SB1'!$A$2:$B$999999,2,FALSE),"")</f>
        <v>GUANTES TACTIL KELY 26-109 T10 X 2</v>
      </c>
      <c r="D2181" s="1" t="s">
        <v>14494</v>
      </c>
      <c r="E2181" s="3">
        <f>IFERROR(VLOOKUP(B2181,'DA1'!$B$2:$D$999999,3,FALSE),"")</f>
      </c>
      <c r="F2181" s="1" t="str">
        <f>IFERROR(VLOOKUP(B2181,'SB1'!$A$2:$C$999999,3,FALSE),"")</f>
        <v>503</v>
      </c>
      <c r="G2181" s="3" t="e">
        <f t="shared" si="74"/>
        <v>#VALUE!</v>
      </c>
      <c r="H2181" s="3" t="e">
        <f t="shared" si="73"/>
        <v>#VALUE!</v>
      </c>
      <c r="I2181" s="1">
        <v>2</v>
      </c>
    </row>
    <row r="2182" spans="1:9" x14ac:dyDescent="0.25">
      <c r="A2182" s="1" t="s">
        <v>14435</v>
      </c>
      <c r="B2182" s="1" t="s">
        <v>6101</v>
      </c>
      <c r="C2182" s="1" t="str">
        <f>IFERROR(VLOOKUP(B2182,'SB1'!$A$2:$B$999999,2,FALSE),"")</f>
        <v>PINTURA PARA PILETA TERSUAVE AL AGUA AZUL X 10</v>
      </c>
      <c r="D2182" s="1" t="s">
        <v>14437</v>
      </c>
      <c r="E2182" s="3">
        <f>IFERROR(VLOOKUP(B2182,'DA1'!$B$2:$D$999999,3,FALSE),"")</f>
      </c>
      <c r="F2182" s="1" t="str">
        <f>IFERROR(VLOOKUP(B2182,'SB1'!$A$2:$C$999999,3,FALSE),"")</f>
        <v>503</v>
      </c>
      <c r="G2182" s="3" t="e">
        <f t="shared" si="74"/>
        <v>#VALUE!</v>
      </c>
      <c r="H2182" s="3" t="e">
        <f t="shared" si="73"/>
        <v>#VALUE!</v>
      </c>
      <c r="I2182" s="1">
        <v>1</v>
      </c>
    </row>
    <row r="2183" spans="1:9" x14ac:dyDescent="0.25">
      <c r="A2183" s="1" t="s">
        <v>14435</v>
      </c>
      <c r="B2183" s="1" t="s">
        <v>6103</v>
      </c>
      <c r="C2183" s="1" t="str">
        <f>IFERROR(VLOOKUP(B2183,'SB1'!$A$2:$B$999999,2,FALSE),"")</f>
        <v>PINTURA PARA PILETA TERSUAVE AL AGUA AZUL X 20</v>
      </c>
      <c r="D2183" s="1" t="s">
        <v>14437</v>
      </c>
      <c r="E2183" s="3">
        <f>IFERROR(VLOOKUP(B2183,'DA1'!$B$2:$D$999999,3,FALSE),"")</f>
      </c>
      <c r="F2183" s="1" t="str">
        <f>IFERROR(VLOOKUP(B2183,'SB1'!$A$2:$C$999999,3,FALSE),"")</f>
        <v>503</v>
      </c>
      <c r="G2183" s="3" t="e">
        <f t="shared" si="74"/>
        <v>#VALUE!</v>
      </c>
      <c r="H2183" s="3" t="e">
        <f t="shared" si="73"/>
        <v>#VALUE!</v>
      </c>
      <c r="I2183" s="1">
        <v>1</v>
      </c>
    </row>
    <row r="2184" spans="1:9" x14ac:dyDescent="0.25">
      <c r="A2184" s="1" t="s">
        <v>14435</v>
      </c>
      <c r="B2184" s="1" t="s">
        <v>6107</v>
      </c>
      <c r="C2184" s="1" t="str">
        <f>IFERROR(VLOOKUP(B2184,'SB1'!$A$2:$B$999999,2,FALSE),"")</f>
        <v>PINTURA PARA PILETA TERSUAVE AL AGUA BLANCO X  1</v>
      </c>
      <c r="D2184" s="1" t="s">
        <v>14437</v>
      </c>
      <c r="E2184" s="3">
        <f>IFERROR(VLOOKUP(B2184,'DA1'!$B$2:$D$999999,3,FALSE),"")</f>
      </c>
      <c r="F2184" s="1" t="str">
        <f>IFERROR(VLOOKUP(B2184,'SB1'!$A$2:$C$999999,3,FALSE),"")</f>
        <v>503</v>
      </c>
      <c r="G2184" s="3" t="e">
        <f t="shared" si="74"/>
        <v>#VALUE!</v>
      </c>
      <c r="H2184" s="3" t="e">
        <f t="shared" si="73"/>
        <v>#VALUE!</v>
      </c>
      <c r="I2184" s="1">
        <v>1</v>
      </c>
    </row>
    <row r="2185" spans="1:9" x14ac:dyDescent="0.25">
      <c r="A2185" s="1" t="s">
        <v>14435</v>
      </c>
      <c r="B2185" s="1" t="s">
        <v>6109</v>
      </c>
      <c r="C2185" s="1" t="str">
        <f>IFERROR(VLOOKUP(B2185,'SB1'!$A$2:$B$999999,2,FALSE),"")</f>
        <v>PINTURA PARA PILETA TERSUAVE AL AGUA BLANCO X  4</v>
      </c>
      <c r="D2185" s="1" t="s">
        <v>14437</v>
      </c>
      <c r="E2185" s="3">
        <f>IFERROR(VLOOKUP(B2185,'DA1'!$B$2:$D$999999,3,FALSE),"")</f>
      </c>
      <c r="F2185" s="1" t="str">
        <f>IFERROR(VLOOKUP(B2185,'SB1'!$A$2:$C$999999,3,FALSE),"")</f>
        <v>503</v>
      </c>
      <c r="G2185" s="3" t="e">
        <f t="shared" si="74"/>
        <v>#VALUE!</v>
      </c>
      <c r="H2185" s="3" t="e">
        <f t="shared" si="73"/>
        <v>#VALUE!</v>
      </c>
      <c r="I2185" s="1">
        <v>1</v>
      </c>
    </row>
    <row r="2186" spans="1:9" x14ac:dyDescent="0.25">
      <c r="A2186" s="1" t="s">
        <v>14435</v>
      </c>
      <c r="B2186" s="1" t="s">
        <v>6111</v>
      </c>
      <c r="C2186" s="1" t="str">
        <f>IFERROR(VLOOKUP(B2186,'SB1'!$A$2:$B$999999,2,FALSE),"")</f>
        <v>PINTURA PARA PILETA TERSUAVE AL AGUA BLANCO X 10</v>
      </c>
      <c r="D2186" s="1" t="s">
        <v>14437</v>
      </c>
      <c r="E2186" s="3">
        <f>IFERROR(VLOOKUP(B2186,'DA1'!$B$2:$D$999999,3,FALSE),"")</f>
      </c>
      <c r="F2186" s="1" t="str">
        <f>IFERROR(VLOOKUP(B2186,'SB1'!$A$2:$C$999999,3,FALSE),"")</f>
        <v>503</v>
      </c>
      <c r="G2186" s="3" t="e">
        <f t="shared" si="74"/>
        <v>#VALUE!</v>
      </c>
      <c r="H2186" s="3" t="e">
        <f t="shared" si="73"/>
        <v>#VALUE!</v>
      </c>
      <c r="I2186" s="1">
        <v>1</v>
      </c>
    </row>
    <row r="2187" spans="1:9" x14ac:dyDescent="0.25">
      <c r="A2187" s="1" t="s">
        <v>14435</v>
      </c>
      <c r="B2187" s="1" t="s">
        <v>6113</v>
      </c>
      <c r="C2187" s="1" t="str">
        <f>IFERROR(VLOOKUP(B2187,'SB1'!$A$2:$B$999999,2,FALSE),"")</f>
        <v>PINTURA PARA PILETA TERSUAVE AL AGUA BLANCO X 20</v>
      </c>
      <c r="D2187" s="1" t="s">
        <v>14437</v>
      </c>
      <c r="E2187" s="3">
        <f>IFERROR(VLOOKUP(B2187,'DA1'!$B$2:$D$999999,3,FALSE),"")</f>
      </c>
      <c r="F2187" s="1" t="str">
        <f>IFERROR(VLOOKUP(B2187,'SB1'!$A$2:$C$999999,3,FALSE),"")</f>
        <v>503</v>
      </c>
      <c r="G2187" s="3" t="e">
        <f t="shared" si="74"/>
        <v>#VALUE!</v>
      </c>
      <c r="H2187" s="3" t="e">
        <f t="shared" si="73"/>
        <v>#VALUE!</v>
      </c>
      <c r="I2187" s="1">
        <v>1</v>
      </c>
    </row>
    <row r="2188" spans="1:9" x14ac:dyDescent="0.25">
      <c r="A2188" s="1" t="s">
        <v>14435</v>
      </c>
      <c r="B2188" s="1" t="s">
        <v>6115</v>
      </c>
      <c r="C2188" s="1" t="str">
        <f>IFERROR(VLOOKUP(B2188,'SB1'!$A$2:$B$999999,2,FALSE),"")</f>
        <v>PINTURA PARA PILETA TERSUAVE AL SOLVENTE CELESTE X  1</v>
      </c>
      <c r="D2188" s="1" t="s">
        <v>14437</v>
      </c>
      <c r="E2188" s="3">
        <f>IFERROR(VLOOKUP(B2188,'DA1'!$B$2:$D$999999,3,FALSE),"")</f>
      </c>
      <c r="F2188" s="1" t="str">
        <f>IFERROR(VLOOKUP(B2188,'SB1'!$A$2:$C$999999,3,FALSE),"")</f>
        <v>503</v>
      </c>
      <c r="G2188" s="3" t="e">
        <f t="shared" si="74"/>
        <v>#VALUE!</v>
      </c>
      <c r="H2188" s="3" t="e">
        <f t="shared" si="73"/>
        <v>#VALUE!</v>
      </c>
      <c r="I2188" s="1">
        <v>1</v>
      </c>
    </row>
    <row r="2189" spans="1:9" x14ac:dyDescent="0.25">
      <c r="A2189" s="1" t="s">
        <v>14435</v>
      </c>
      <c r="B2189" s="1" t="s">
        <v>6117</v>
      </c>
      <c r="C2189" s="1" t="str">
        <f>IFERROR(VLOOKUP(B2189,'SB1'!$A$2:$B$999999,2,FALSE),"")</f>
        <v>PINTURA PARA PILETA TERSUAVE AL SOLVENTE CELESTE X  4</v>
      </c>
      <c r="D2189" s="1" t="s">
        <v>14437</v>
      </c>
      <c r="E2189" s="3">
        <f>IFERROR(VLOOKUP(B2189,'DA1'!$B$2:$D$999999,3,FALSE),"")</f>
      </c>
      <c r="F2189" s="1" t="str">
        <f>IFERROR(VLOOKUP(B2189,'SB1'!$A$2:$C$999999,3,FALSE),"")</f>
        <v>503</v>
      </c>
      <c r="G2189" s="3" t="e">
        <f t="shared" si="74"/>
        <v>#VALUE!</v>
      </c>
      <c r="H2189" s="3" t="e">
        <f t="shared" si="73"/>
        <v>#VALUE!</v>
      </c>
      <c r="I2189" s="1">
        <v>1</v>
      </c>
    </row>
    <row r="2190" spans="1:9" x14ac:dyDescent="0.25">
      <c r="A2190" s="1" t="s">
        <v>14435</v>
      </c>
      <c r="B2190" s="1" t="s">
        <v>6119</v>
      </c>
      <c r="C2190" s="1" t="str">
        <f>IFERROR(VLOOKUP(B2190,'SB1'!$A$2:$B$999999,2,FALSE),"")</f>
        <v>PINTURA PARA PILETA TERSUAVE AL SOLVENTE CELESTE X 10</v>
      </c>
      <c r="D2190" s="1" t="s">
        <v>14437</v>
      </c>
      <c r="E2190" s="3">
        <f>IFERROR(VLOOKUP(B2190,'DA1'!$B$2:$D$999999,3,FALSE),"")</f>
      </c>
      <c r="F2190" s="1" t="str">
        <f>IFERROR(VLOOKUP(B2190,'SB1'!$A$2:$C$999999,3,FALSE),"")</f>
        <v>503</v>
      </c>
      <c r="G2190" s="3" t="e">
        <f t="shared" si="74"/>
        <v>#VALUE!</v>
      </c>
      <c r="H2190" s="3" t="e">
        <f t="shared" si="73"/>
        <v>#VALUE!</v>
      </c>
      <c r="I2190" s="1">
        <v>1</v>
      </c>
    </row>
    <row r="2191" spans="1:9" x14ac:dyDescent="0.25">
      <c r="A2191" s="1" t="s">
        <v>14435</v>
      </c>
      <c r="B2191" s="1" t="s">
        <v>6121</v>
      </c>
      <c r="C2191" s="1" t="str">
        <f>IFERROR(VLOOKUP(B2191,'SB1'!$A$2:$B$999999,2,FALSE),"")</f>
        <v>PINTURA PARA PILETA TERSUAVE AL SOLVENTE CELESTE X 20</v>
      </c>
      <c r="D2191" s="1" t="s">
        <v>14437</v>
      </c>
      <c r="E2191" s="3">
        <f>IFERROR(VLOOKUP(B2191,'DA1'!$B$2:$D$999999,3,FALSE),"")</f>
      </c>
      <c r="F2191" s="1" t="str">
        <f>IFERROR(VLOOKUP(B2191,'SB1'!$A$2:$C$999999,3,FALSE),"")</f>
        <v>503</v>
      </c>
      <c r="G2191" s="3" t="e">
        <f t="shared" si="74"/>
        <v>#VALUE!</v>
      </c>
      <c r="H2191" s="3" t="e">
        <f t="shared" si="73"/>
        <v>#VALUE!</v>
      </c>
      <c r="I2191" s="1">
        <v>1</v>
      </c>
    </row>
    <row r="2192" spans="1:9" x14ac:dyDescent="0.25">
      <c r="A2192" s="1" t="s">
        <v>14435</v>
      </c>
      <c r="B2192" s="1" t="s">
        <v>6123</v>
      </c>
      <c r="C2192" s="1" t="str">
        <f>IFERROR(VLOOKUP(B2192,'SB1'!$A$2:$B$999999,2,FALSE),"")</f>
        <v>PINTURA PARA PILETA TERSUAVE AL SOLVENTE AZUL X  1</v>
      </c>
      <c r="D2192" s="1" t="s">
        <v>14437</v>
      </c>
      <c r="E2192" s="3">
        <f>IFERROR(VLOOKUP(B2192,'DA1'!$B$2:$D$999999,3,FALSE),"")</f>
      </c>
      <c r="F2192" s="1" t="str">
        <f>IFERROR(VLOOKUP(B2192,'SB1'!$A$2:$C$999999,3,FALSE),"")</f>
        <v>503</v>
      </c>
      <c r="G2192" s="3" t="e">
        <f t="shared" si="74"/>
        <v>#VALUE!</v>
      </c>
      <c r="H2192" s="3" t="e">
        <f t="shared" si="73"/>
        <v>#VALUE!</v>
      </c>
      <c r="I2192" s="1">
        <v>1</v>
      </c>
    </row>
    <row r="2193" spans="1:9" x14ac:dyDescent="0.25">
      <c r="A2193" s="1" t="s">
        <v>14435</v>
      </c>
      <c r="B2193" s="1" t="s">
        <v>6125</v>
      </c>
      <c r="C2193" s="1" t="str">
        <f>IFERROR(VLOOKUP(B2193,'SB1'!$A$2:$B$999999,2,FALSE),"")</f>
        <v>PINTURA PARA PILETA TERSUAVE AL SOLVENTE AZUL X  4</v>
      </c>
      <c r="D2193" s="1" t="s">
        <v>14437</v>
      </c>
      <c r="E2193" s="3">
        <f>IFERROR(VLOOKUP(B2193,'DA1'!$B$2:$D$999999,3,FALSE),"")</f>
      </c>
      <c r="F2193" s="1" t="str">
        <f>IFERROR(VLOOKUP(B2193,'SB1'!$A$2:$C$999999,3,FALSE),"")</f>
        <v>503</v>
      </c>
      <c r="G2193" s="3" t="e">
        <f t="shared" si="74"/>
        <v>#VALUE!</v>
      </c>
      <c r="H2193" s="3" t="e">
        <f t="shared" si="73"/>
        <v>#VALUE!</v>
      </c>
      <c r="I2193" s="1">
        <v>1</v>
      </c>
    </row>
    <row r="2194" spans="1:9" x14ac:dyDescent="0.25">
      <c r="A2194" s="1" t="s">
        <v>14435</v>
      </c>
      <c r="B2194" s="1" t="s">
        <v>6127</v>
      </c>
      <c r="C2194" s="1" t="str">
        <f>IFERROR(VLOOKUP(B2194,'SB1'!$A$2:$B$999999,2,FALSE),"")</f>
        <v>PINTURA PARA PILETA TERSUAVE AL SOLVENTE AZUL X 10</v>
      </c>
      <c r="D2194" s="1" t="s">
        <v>14437</v>
      </c>
      <c r="E2194" s="3">
        <f>IFERROR(VLOOKUP(B2194,'DA1'!$B$2:$D$999999,3,FALSE),"")</f>
      </c>
      <c r="F2194" s="1" t="str">
        <f>IFERROR(VLOOKUP(B2194,'SB1'!$A$2:$C$999999,3,FALSE),"")</f>
        <v>503</v>
      </c>
      <c r="G2194" s="3" t="e">
        <f t="shared" si="74"/>
        <v>#VALUE!</v>
      </c>
      <c r="H2194" s="3" t="e">
        <f t="shared" si="73"/>
        <v>#VALUE!</v>
      </c>
      <c r="I2194" s="1">
        <v>1</v>
      </c>
    </row>
    <row r="2195" spans="1:9" x14ac:dyDescent="0.25">
      <c r="A2195" s="1" t="s">
        <v>14435</v>
      </c>
      <c r="B2195" s="1" t="s">
        <v>6131</v>
      </c>
      <c r="C2195" s="1" t="str">
        <f>IFERROR(VLOOKUP(B2195,'SB1'!$A$2:$B$999999,2,FALSE),"")</f>
        <v>DRAGER-FILTRO A1 P/VAPORES ORGANICOS</v>
      </c>
      <c r="D2195" s="1" t="s">
        <v>14494</v>
      </c>
      <c r="E2195" s="3">
        <f>IFERROR(VLOOKUP(B2195,'DA1'!$B$2:$D$999999,3,FALSE),"")</f>
      </c>
      <c r="F2195" s="1" t="str">
        <f>IFERROR(VLOOKUP(B2195,'SB1'!$A$2:$C$999999,3,FALSE),"")</f>
        <v>503</v>
      </c>
      <c r="G2195" s="3" t="e">
        <f t="shared" si="74"/>
        <v>#VALUE!</v>
      </c>
      <c r="H2195" s="3" t="e">
        <f t="shared" si="73"/>
        <v>#VALUE!</v>
      </c>
      <c r="I2195" s="1">
        <v>2</v>
      </c>
    </row>
    <row r="2196" spans="1:9" x14ac:dyDescent="0.25">
      <c r="A2196" s="1" t="s">
        <v>14435</v>
      </c>
      <c r="B2196" s="1" t="s">
        <v>6137</v>
      </c>
      <c r="C2196" s="1" t="str">
        <f>IFERROR(VLOOKUP(B2196,'SB1'!$A$2:$B$999999,2,FALSE),"")</f>
        <v>CM-116 ALUMINIO MEDIO X 1</v>
      </c>
      <c r="D2196" s="1" t="s">
        <v>14454</v>
      </c>
      <c r="E2196" s="3">
        <f>IFERROR(VLOOKUP(B2196,'DA1'!$B$2:$D$999999,3,FALSE),"")</f>
      </c>
      <c r="F2196" s="1" t="str">
        <f>IFERROR(VLOOKUP(B2196,'SB1'!$A$2:$C$999999,3,FALSE),"")</f>
        <v>503</v>
      </c>
      <c r="G2196" s="3" t="e">
        <f t="shared" si="74"/>
        <v>#VALUE!</v>
      </c>
      <c r="H2196" s="3" t="e">
        <f t="shared" ref="H2196:H2259" si="75">G2196*1.21</f>
        <v>#VALUE!</v>
      </c>
      <c r="I2196" s="1">
        <v>3</v>
      </c>
    </row>
    <row r="2197" spans="1:9" x14ac:dyDescent="0.25">
      <c r="A2197" s="1" t="s">
        <v>14435</v>
      </c>
      <c r="B2197" s="1" t="s">
        <v>6139</v>
      </c>
      <c r="C2197" s="1" t="str">
        <f>IFERROR(VLOOKUP(B2197,'SB1'!$A$2:$B$999999,2,FALSE),"")</f>
        <v>PINTURA PARA PILETA TERSUAVE AL SOLVENTE AZUL X 20</v>
      </c>
      <c r="D2197" s="1" t="s">
        <v>14437</v>
      </c>
      <c r="E2197" s="3">
        <f>IFERROR(VLOOKUP(B2197,'DA1'!$B$2:$D$999999,3,FALSE),"")</f>
      </c>
      <c r="F2197" s="1" t="str">
        <f>IFERROR(VLOOKUP(B2197,'SB1'!$A$2:$C$999999,3,FALSE),"")</f>
        <v>503</v>
      </c>
      <c r="G2197" s="3" t="e">
        <f t="shared" si="74"/>
        <v>#VALUE!</v>
      </c>
      <c r="H2197" s="3" t="e">
        <f t="shared" si="75"/>
        <v>#VALUE!</v>
      </c>
      <c r="I2197" s="1">
        <v>1</v>
      </c>
    </row>
    <row r="2198" spans="1:9" x14ac:dyDescent="0.25">
      <c r="A2198" s="1" t="s">
        <v>14435</v>
      </c>
      <c r="B2198" s="1" t="s">
        <v>6141</v>
      </c>
      <c r="C2198" s="1" t="str">
        <f>IFERROR(VLOOKUP(B2198,'SB1'!$A$2:$B$999999,2,FALSE),"")</f>
        <v>PINTURA PARA PILETA TERSUAVE AL SOLVENTE BLANCO X  1</v>
      </c>
      <c r="D2198" s="1" t="s">
        <v>14437</v>
      </c>
      <c r="E2198" s="3">
        <f>IFERROR(VLOOKUP(B2198,'DA1'!$B$2:$D$999999,3,FALSE),"")</f>
      </c>
      <c r="F2198" s="1" t="str">
        <f>IFERROR(VLOOKUP(B2198,'SB1'!$A$2:$C$999999,3,FALSE),"")</f>
        <v>503</v>
      </c>
      <c r="G2198" s="3" t="e">
        <f t="shared" si="74"/>
        <v>#VALUE!</v>
      </c>
      <c r="H2198" s="3" t="e">
        <f t="shared" si="75"/>
        <v>#VALUE!</v>
      </c>
      <c r="I2198" s="1">
        <v>1</v>
      </c>
    </row>
    <row r="2199" spans="1:9" x14ac:dyDescent="0.25">
      <c r="A2199" s="1" t="s">
        <v>14435</v>
      </c>
      <c r="B2199" s="1" t="s">
        <v>6145</v>
      </c>
      <c r="C2199" s="1" t="str">
        <f>IFERROR(VLOOKUP(B2199,'SB1'!$A$2:$B$999999,2,FALSE),"")</f>
        <v>PINTURA PARA PILETA TERSUAVE AL SOLVENTE BLANCO X  4</v>
      </c>
      <c r="D2199" s="1" t="s">
        <v>14437</v>
      </c>
      <c r="E2199" s="3">
        <f>IFERROR(VLOOKUP(B2199,'DA1'!$B$2:$D$999999,3,FALSE),"")</f>
      </c>
      <c r="F2199" s="1" t="str">
        <f>IFERROR(VLOOKUP(B2199,'SB1'!$A$2:$C$999999,3,FALSE),"")</f>
        <v>503</v>
      </c>
      <c r="G2199" s="3" t="e">
        <f t="shared" si="74"/>
        <v>#VALUE!</v>
      </c>
      <c r="H2199" s="3" t="e">
        <f t="shared" si="75"/>
        <v>#VALUE!</v>
      </c>
      <c r="I2199" s="1">
        <v>1</v>
      </c>
    </row>
    <row r="2200" spans="1:9" x14ac:dyDescent="0.25">
      <c r="A2200" s="1" t="s">
        <v>14435</v>
      </c>
      <c r="B2200" s="1" t="s">
        <v>6149</v>
      </c>
      <c r="C2200" s="1" t="str">
        <f>IFERROR(VLOOKUP(B2200,'SB1'!$A$2:$B$999999,2,FALSE),"")</f>
        <v>PINTURA PARA PILETA TERSUAVE AL SOLVENTE BLANCO X 10</v>
      </c>
      <c r="D2200" s="1" t="s">
        <v>14437</v>
      </c>
      <c r="E2200" s="3">
        <f>IFERROR(VLOOKUP(B2200,'DA1'!$B$2:$D$999999,3,FALSE),"")</f>
      </c>
      <c r="F2200" s="1" t="str">
        <f>IFERROR(VLOOKUP(B2200,'SB1'!$A$2:$C$999999,3,FALSE),"")</f>
        <v>503</v>
      </c>
      <c r="G2200" s="3" t="e">
        <f t="shared" si="74"/>
        <v>#VALUE!</v>
      </c>
      <c r="H2200" s="3" t="e">
        <f t="shared" si="75"/>
        <v>#VALUE!</v>
      </c>
      <c r="I2200" s="1">
        <v>1</v>
      </c>
    </row>
    <row r="2201" spans="1:9" x14ac:dyDescent="0.25">
      <c r="A2201" s="1" t="s">
        <v>14435</v>
      </c>
      <c r="B2201" s="1" t="s">
        <v>6153</v>
      </c>
      <c r="C2201" s="1" t="str">
        <f>IFERROR(VLOOKUP(B2201,'SB1'!$A$2:$B$999999,2,FALSE),"")</f>
        <v>PINTURA PARA PILETA TERSUAVE AL SOLVENTE BLANCO X 20</v>
      </c>
      <c r="D2201" s="1" t="s">
        <v>14437</v>
      </c>
      <c r="E2201" s="3">
        <f>IFERROR(VLOOKUP(B2201,'DA1'!$B$2:$D$999999,3,FALSE),"")</f>
      </c>
      <c r="F2201" s="1" t="str">
        <f>IFERROR(VLOOKUP(B2201,'SB1'!$A$2:$C$999999,3,FALSE),"")</f>
        <v>503</v>
      </c>
      <c r="G2201" s="3" t="e">
        <f t="shared" si="74"/>
        <v>#VALUE!</v>
      </c>
      <c r="H2201" s="3" t="e">
        <f t="shared" si="75"/>
        <v>#VALUE!</v>
      </c>
      <c r="I2201" s="1">
        <v>1</v>
      </c>
    </row>
    <row r="2202" spans="1:9" x14ac:dyDescent="0.25">
      <c r="A2202" s="1" t="s">
        <v>14435</v>
      </c>
      <c r="B2202" s="1" t="s">
        <v>6161</v>
      </c>
      <c r="C2202" s="1" t="str">
        <f>IFERROR(VLOOKUP(B2202,'SB1'!$A$2:$B$999999,2,FALSE),"")</f>
        <v>CINTA ANTIDESLIZANTE RAPIFIX (2200) 25MM X 5MTS</v>
      </c>
      <c r="D2202" s="1" t="s">
        <v>14486</v>
      </c>
      <c r="E2202" s="3">
        <f>IFERROR(VLOOKUP(B2202,'DA1'!$B$2:$D$999999,3,FALSE),"")</f>
      </c>
      <c r="F2202" s="1" t="str">
        <f>IFERROR(VLOOKUP(B2202,'SB1'!$A$2:$C$999999,3,FALSE),"")</f>
        <v>503</v>
      </c>
      <c r="G2202" s="3" t="e">
        <f t="shared" si="74"/>
        <v>#VALUE!</v>
      </c>
      <c r="H2202" s="3" t="e">
        <f t="shared" si="75"/>
        <v>#VALUE!</v>
      </c>
      <c r="I2202" s="1">
        <v>2</v>
      </c>
    </row>
    <row r="2203" spans="1:9" x14ac:dyDescent="0.25">
      <c r="A2203" s="1" t="s">
        <v>14435</v>
      </c>
      <c r="B2203" s="1" t="s">
        <v>6165</v>
      </c>
      <c r="C2203" s="1" t="str">
        <f>IFERROR(VLOOKUP(B2203,'SB1'!$A$2:$B$999999,2,FALSE),"")</f>
        <v>SELLADOR SILICONA ACETICA WEBER S BLANCO X 0,300</v>
      </c>
      <c r="D2203" s="1" t="s">
        <v>14495</v>
      </c>
      <c r="E2203" s="3">
        <f>IFERROR(VLOOKUP(B2203,'DA1'!$B$2:$D$999999,3,FALSE),"")</f>
      </c>
      <c r="F2203" s="1" t="str">
        <f>IFERROR(VLOOKUP(B2203,'SB1'!$A$2:$C$999999,3,FALSE),"")</f>
        <v>503</v>
      </c>
      <c r="G2203" s="3" t="e">
        <f t="shared" si="74"/>
        <v>#VALUE!</v>
      </c>
      <c r="H2203" s="3" t="e">
        <f t="shared" si="75"/>
        <v>#VALUE!</v>
      </c>
      <c r="I2203" s="1">
        <v>1</v>
      </c>
    </row>
    <row r="2204" spans="1:9" x14ac:dyDescent="0.25">
      <c r="A2204" s="1" t="s">
        <v>14435</v>
      </c>
      <c r="B2204" s="1" t="s">
        <v>6167</v>
      </c>
      <c r="C2204" s="1" t="str">
        <f>IFERROR(VLOOKUP(B2204,'SB1'!$A$2:$B$999999,2,FALSE),"")</f>
        <v>LATEX INTERIOR ALBALATEX DESIGN MATE ROJO INTENSO X 1</v>
      </c>
      <c r="D2204" s="1" t="s">
        <v>14439</v>
      </c>
      <c r="E2204" s="3">
        <f>IFERROR(VLOOKUP(B2204,'DA1'!$B$2:$D$999999,3,FALSE),"")</f>
      </c>
      <c r="F2204" s="1" t="str">
        <f>IFERROR(VLOOKUP(B2204,'SB1'!$A$2:$C$999999,3,FALSE),"")</f>
        <v>503</v>
      </c>
      <c r="G2204" s="3" t="e">
        <f t="shared" si="74"/>
        <v>#VALUE!</v>
      </c>
      <c r="H2204" s="3" t="e">
        <f t="shared" si="75"/>
        <v>#VALUE!</v>
      </c>
      <c r="I2204" s="1">
        <v>1</v>
      </c>
    </row>
    <row r="2205" spans="1:9" x14ac:dyDescent="0.25">
      <c r="A2205" s="1" t="s">
        <v>14435</v>
      </c>
      <c r="B2205" s="1" t="s">
        <v>6169</v>
      </c>
      <c r="C2205" s="1" t="str">
        <f>IFERROR(VLOOKUP(B2205,'SB1'!$A$2:$B$999999,2,FALSE),"")</f>
        <v>LATEX INTERIOR ALBALATEX DESIGN MATE ROJO INTENSO X 4</v>
      </c>
      <c r="D2205" s="1" t="s">
        <v>14439</v>
      </c>
      <c r="E2205" s="3">
        <f>IFERROR(VLOOKUP(B2205,'DA1'!$B$2:$D$999999,3,FALSE),"")</f>
      </c>
      <c r="F2205" s="1" t="str">
        <f>IFERROR(VLOOKUP(B2205,'SB1'!$A$2:$C$999999,3,FALSE),"")</f>
        <v>503</v>
      </c>
      <c r="G2205" s="3" t="e">
        <f t="shared" si="74"/>
        <v>#VALUE!</v>
      </c>
      <c r="H2205" s="3" t="e">
        <f t="shared" si="75"/>
        <v>#VALUE!</v>
      </c>
      <c r="I2205" s="1">
        <v>1</v>
      </c>
    </row>
    <row r="2206" spans="1:9" x14ac:dyDescent="0.25">
      <c r="A2206" s="1" t="s">
        <v>14435</v>
      </c>
      <c r="B2206" s="1" t="s">
        <v>6171</v>
      </c>
      <c r="C2206" s="1" t="str">
        <f>IFERROR(VLOOKUP(B2206,'SB1'!$A$2:$B$999999,2,FALSE),"")</f>
        <v>LATEX INTERIOR ALBALATEX DESIGN MATE AMARILLO LATINO X 1</v>
      </c>
      <c r="D2206" s="1" t="s">
        <v>14439</v>
      </c>
      <c r="E2206" s="3">
        <f>IFERROR(VLOOKUP(B2206,'DA1'!$B$2:$D$999999,3,FALSE),"")</f>
      </c>
      <c r="F2206" s="1" t="str">
        <f>IFERROR(VLOOKUP(B2206,'SB1'!$A$2:$C$999999,3,FALSE),"")</f>
        <v>503</v>
      </c>
      <c r="G2206" s="3" t="e">
        <f t="shared" si="74"/>
        <v>#VALUE!</v>
      </c>
      <c r="H2206" s="3" t="e">
        <f t="shared" si="75"/>
        <v>#VALUE!</v>
      </c>
      <c r="I2206" s="1">
        <v>1</v>
      </c>
    </row>
    <row r="2207" spans="1:9" x14ac:dyDescent="0.25">
      <c r="A2207" s="1" t="s">
        <v>14435</v>
      </c>
      <c r="B2207" s="1" t="s">
        <v>6173</v>
      </c>
      <c r="C2207" s="1" t="str">
        <f>IFERROR(VLOOKUP(B2207,'SB1'!$A$2:$B$999999,2,FALSE),"")</f>
        <v>LATEX INTERIOR ALBALATEX DESIGN MATE AMARILLO LATINO X 4</v>
      </c>
      <c r="D2207" s="1" t="s">
        <v>14439</v>
      </c>
      <c r="E2207" s="3">
        <f>IFERROR(VLOOKUP(B2207,'DA1'!$B$2:$D$999999,3,FALSE),"")</f>
      </c>
      <c r="F2207" s="1" t="str">
        <f>IFERROR(VLOOKUP(B2207,'SB1'!$A$2:$C$999999,3,FALSE),"")</f>
        <v>503</v>
      </c>
      <c r="G2207" s="3" t="e">
        <f t="shared" si="74"/>
        <v>#VALUE!</v>
      </c>
      <c r="H2207" s="3" t="e">
        <f t="shared" si="75"/>
        <v>#VALUE!</v>
      </c>
      <c r="I2207" s="1">
        <v>1</v>
      </c>
    </row>
    <row r="2208" spans="1:9" x14ac:dyDescent="0.25">
      <c r="A2208" s="1" t="s">
        <v>14435</v>
      </c>
      <c r="B2208" s="1" t="s">
        <v>6175</v>
      </c>
      <c r="C2208" s="1" t="str">
        <f>IFERROR(VLOOKUP(B2208,'SB1'!$A$2:$B$999999,2,FALSE),"")</f>
        <v>LATEX INTERIOR ALBALATEX DESIGN MATE VERDE EXOTICO X 1</v>
      </c>
      <c r="D2208" s="1" t="s">
        <v>14439</v>
      </c>
      <c r="E2208" s="3">
        <f>IFERROR(VLOOKUP(B2208,'DA1'!$B$2:$D$999999,3,FALSE),"")</f>
      </c>
      <c r="F2208" s="1" t="str">
        <f>IFERROR(VLOOKUP(B2208,'SB1'!$A$2:$C$999999,3,FALSE),"")</f>
        <v>503</v>
      </c>
      <c r="G2208" s="3" t="e">
        <f t="shared" si="74"/>
        <v>#VALUE!</v>
      </c>
      <c r="H2208" s="3" t="e">
        <f t="shared" si="75"/>
        <v>#VALUE!</v>
      </c>
      <c r="I2208" s="1">
        <v>1</v>
      </c>
    </row>
    <row r="2209" spans="1:8" x14ac:dyDescent="0.25">
      <c r="A2209" s="1" t="s">
        <v>14435</v>
      </c>
      <c r="B2209" s="1" t="s">
        <v>6177</v>
      </c>
      <c r="C2209" s="1" t="str">
        <f>IFERROR(VLOOKUP(B2209,'SB1'!$A$2:$B$999999,2,FALSE),"")</f>
        <v>LATEX INTERIOR ALBALATEX DESIGN MATE VERDE EXOTICO X 4</v>
      </c>
      <c r="D2209" s="1" t="s">
        <v>14439</v>
      </c>
      <c r="E2209" s="3">
        <f>IFERROR(VLOOKUP(B2209,'DA1'!$B$2:$D$999999,3,FALSE),"")</f>
      </c>
      <c r="F2209" s="1" t="str">
        <f>IFERROR(VLOOKUP(B2209,'SB1'!$A$2:$C$999999,3,FALSE),"")</f>
        <v>503</v>
      </c>
      <c r="G2209" s="3" t="e">
        <f t="shared" si="74"/>
        <v>#VALUE!</v>
      </c>
      <c r="H2209" s="3" t="e">
        <f t="shared" si="75"/>
        <v>#VALUE!</v>
      </c>
    </row>
    <row r="2210" spans="1:9" x14ac:dyDescent="0.25">
      <c r="A2210" s="1" t="s">
        <v>14435</v>
      </c>
      <c r="B2210" s="1" t="s">
        <v>6179</v>
      </c>
      <c r="C2210" s="1" t="str">
        <f>IFERROR(VLOOKUP(B2210,'SB1'!$A$2:$B$999999,2,FALSE),"")</f>
        <v>LATEX INTERIOR ALBALATEX DESIGN MATE AZUL BAHAMAS X 1</v>
      </c>
      <c r="D2210" s="1" t="s">
        <v>14439</v>
      </c>
      <c r="E2210" s="3">
        <f>IFERROR(VLOOKUP(B2210,'DA1'!$B$2:$D$999999,3,FALSE),"")</f>
      </c>
      <c r="F2210" s="1" t="str">
        <f>IFERROR(VLOOKUP(B2210,'SB1'!$A$2:$C$999999,3,FALSE),"")</f>
        <v>503</v>
      </c>
      <c r="G2210" s="3" t="e">
        <f t="shared" si="74"/>
        <v>#VALUE!</v>
      </c>
      <c r="H2210" s="3" t="e">
        <f t="shared" si="75"/>
        <v>#VALUE!</v>
      </c>
      <c r="I2210" s="1">
        <v>1</v>
      </c>
    </row>
    <row r="2211" spans="1:9" x14ac:dyDescent="0.25">
      <c r="A2211" s="1" t="s">
        <v>14435</v>
      </c>
      <c r="B2211" s="1" t="s">
        <v>6181</v>
      </c>
      <c r="C2211" s="1" t="str">
        <f>IFERROR(VLOOKUP(B2211,'SB1'!$A$2:$B$999999,2,FALSE),"")</f>
        <v>LATEX INTERIOR ALBALATEX DESIGN MATE AZUL BAHAMAS X 4</v>
      </c>
      <c r="D2211" s="1" t="s">
        <v>14439</v>
      </c>
      <c r="E2211" s="3">
        <f>IFERROR(VLOOKUP(B2211,'DA1'!$B$2:$D$999999,3,FALSE),"")</f>
      </c>
      <c r="F2211" s="1" t="str">
        <f>IFERROR(VLOOKUP(B2211,'SB1'!$A$2:$C$999999,3,FALSE),"")</f>
        <v>503</v>
      </c>
      <c r="G2211" s="3" t="e">
        <f t="shared" si="74"/>
        <v>#VALUE!</v>
      </c>
      <c r="H2211" s="3" t="e">
        <f t="shared" si="75"/>
        <v>#VALUE!</v>
      </c>
      <c r="I2211" s="1">
        <v>1</v>
      </c>
    </row>
    <row r="2212" spans="1:9" x14ac:dyDescent="0.25">
      <c r="A2212" s="1" t="s">
        <v>14435</v>
      </c>
      <c r="B2212" s="1" t="s">
        <v>6183</v>
      </c>
      <c r="C2212" s="1" t="str">
        <f>IFERROR(VLOOKUP(B2212,'SB1'!$A$2:$B$999999,2,FALSE),"")</f>
        <v>LATEX INTERIOR ALBALATEX DESIGN MATE VIOLETA ESTELAR X 1</v>
      </c>
      <c r="D2212" s="1" t="s">
        <v>14439</v>
      </c>
      <c r="E2212" s="3">
        <f>IFERROR(VLOOKUP(B2212,'DA1'!$B$2:$D$999999,3,FALSE),"")</f>
      </c>
      <c r="F2212" s="1" t="str">
        <f>IFERROR(VLOOKUP(B2212,'SB1'!$A$2:$C$999999,3,FALSE),"")</f>
        <v>503</v>
      </c>
      <c r="G2212" s="3" t="e">
        <f t="shared" si="74"/>
        <v>#VALUE!</v>
      </c>
      <c r="H2212" s="3" t="e">
        <f t="shared" si="75"/>
        <v>#VALUE!</v>
      </c>
      <c r="I2212" s="1">
        <v>1</v>
      </c>
    </row>
    <row r="2213" spans="1:9" x14ac:dyDescent="0.25">
      <c r="A2213" s="1" t="s">
        <v>14435</v>
      </c>
      <c r="B2213" s="1" t="s">
        <v>6185</v>
      </c>
      <c r="C2213" s="1" t="str">
        <f>IFERROR(VLOOKUP(B2213,'SB1'!$A$2:$B$999999,2,FALSE),"")</f>
        <v>LATEX INTERIOR ALBALATEX DESIGN MATE VIOLETA ESTELAR X 4</v>
      </c>
      <c r="D2213" s="1" t="s">
        <v>14439</v>
      </c>
      <c r="E2213" s="3">
        <f>IFERROR(VLOOKUP(B2213,'DA1'!$B$2:$D$999999,3,FALSE),"")</f>
      </c>
      <c r="F2213" s="1" t="str">
        <f>IFERROR(VLOOKUP(B2213,'SB1'!$A$2:$C$999999,3,FALSE),"")</f>
        <v>503</v>
      </c>
      <c r="G2213" s="3" t="e">
        <f t="shared" si="74"/>
        <v>#VALUE!</v>
      </c>
      <c r="H2213" s="3" t="e">
        <f t="shared" si="75"/>
        <v>#VALUE!</v>
      </c>
      <c r="I2213" s="1">
        <v>1</v>
      </c>
    </row>
    <row r="2214" spans="1:9" x14ac:dyDescent="0.25">
      <c r="A2214" s="1" t="s">
        <v>14435</v>
      </c>
      <c r="B2214" s="1" t="s">
        <v>6187</v>
      </c>
      <c r="C2214" s="1" t="str">
        <f>IFERROR(VLOOKUP(B2214,'SB1'!$A$2:$B$999999,2,FALSE),"")</f>
        <v>LATEX INTERIOR ALBALATEX DESIGN MATE NARANJA DULCE X 1</v>
      </c>
      <c r="D2214" s="1" t="s">
        <v>14439</v>
      </c>
      <c r="E2214" s="3">
        <f>IFERROR(VLOOKUP(B2214,'DA1'!$B$2:$D$999999,3,FALSE),"")</f>
      </c>
      <c r="F2214" s="1" t="str">
        <f>IFERROR(VLOOKUP(B2214,'SB1'!$A$2:$C$999999,3,FALSE),"")</f>
        <v>503</v>
      </c>
      <c r="G2214" s="3" t="e">
        <f t="shared" si="74"/>
        <v>#VALUE!</v>
      </c>
      <c r="H2214" s="3" t="e">
        <f t="shared" si="75"/>
        <v>#VALUE!</v>
      </c>
      <c r="I2214" s="1">
        <v>1</v>
      </c>
    </row>
    <row r="2215" spans="1:8" x14ac:dyDescent="0.25">
      <c r="A2215" s="1" t="s">
        <v>14435</v>
      </c>
      <c r="B2215" s="1" t="s">
        <v>6189</v>
      </c>
      <c r="C2215" s="1" t="str">
        <f>IFERROR(VLOOKUP(B2215,'SB1'!$A$2:$B$999999,2,FALSE),"")</f>
        <v>LATEX INTERIOR ALBALATEX DESIGN MATE NARANJA DULCE X 4</v>
      </c>
      <c r="D2215" s="1" t="s">
        <v>14439</v>
      </c>
      <c r="E2215" s="3">
        <f>IFERROR(VLOOKUP(B2215,'DA1'!$B$2:$D$999999,3,FALSE),"")</f>
      </c>
      <c r="F2215" s="1" t="str">
        <f>IFERROR(VLOOKUP(B2215,'SB1'!$A$2:$C$999999,3,FALSE),"")</f>
        <v>503</v>
      </c>
      <c r="G2215" s="3" t="e">
        <f t="shared" si="74"/>
        <v>#VALUE!</v>
      </c>
      <c r="H2215" s="3" t="e">
        <f t="shared" si="75"/>
        <v>#VALUE!</v>
      </c>
    </row>
    <row r="2216" spans="1:9" x14ac:dyDescent="0.25">
      <c r="A2216" s="1" t="s">
        <v>14435</v>
      </c>
      <c r="B2216" s="1" t="s">
        <v>6191</v>
      </c>
      <c r="C2216" s="1" t="str">
        <f>IFERROR(VLOOKUP(B2216,'SB1'!$A$2:$B$999999,2,FALSE),"")</f>
        <v>LATEX INTERIOR ALBALATEX DESIGN MATE LEYENDA X 1</v>
      </c>
      <c r="D2216" s="1" t="s">
        <v>14439</v>
      </c>
      <c r="E2216" s="3">
        <f>IFERROR(VLOOKUP(B2216,'DA1'!$B$2:$D$999999,3,FALSE),"")</f>
      </c>
      <c r="F2216" s="1" t="str">
        <f>IFERROR(VLOOKUP(B2216,'SB1'!$A$2:$C$999999,3,FALSE),"")</f>
        <v>503</v>
      </c>
      <c r="G2216" s="3" t="e">
        <f t="shared" si="74"/>
        <v>#VALUE!</v>
      </c>
      <c r="H2216" s="3" t="e">
        <f t="shared" si="75"/>
        <v>#VALUE!</v>
      </c>
      <c r="I2216" s="1">
        <v>1</v>
      </c>
    </row>
    <row r="2217" spans="1:9" x14ac:dyDescent="0.25">
      <c r="A2217" s="1" t="s">
        <v>14435</v>
      </c>
      <c r="B2217" s="1" t="s">
        <v>6193</v>
      </c>
      <c r="C2217" s="1" t="str">
        <f>IFERROR(VLOOKUP(B2217,'SB1'!$A$2:$B$999999,2,FALSE),"")</f>
        <v>LATEX INTERIOR ALBALATEX DESIGN MATE LEYENDA X 4</v>
      </c>
      <c r="D2217" s="1" t="s">
        <v>14439</v>
      </c>
      <c r="E2217" s="3">
        <f>IFERROR(VLOOKUP(B2217,'DA1'!$B$2:$D$999999,3,FALSE),"")</f>
      </c>
      <c r="F2217" s="1" t="str">
        <f>IFERROR(VLOOKUP(B2217,'SB1'!$A$2:$C$999999,3,FALSE),"")</f>
        <v>503</v>
      </c>
      <c r="G2217" s="3" t="e">
        <f t="shared" si="74"/>
        <v>#VALUE!</v>
      </c>
      <c r="H2217" s="3" t="e">
        <f t="shared" si="75"/>
        <v>#VALUE!</v>
      </c>
      <c r="I2217" s="1">
        <v>1</v>
      </c>
    </row>
    <row r="2218" spans="1:9" x14ac:dyDescent="0.25">
      <c r="A2218" s="1" t="s">
        <v>14435</v>
      </c>
      <c r="B2218" s="1" t="s">
        <v>6195</v>
      </c>
      <c r="C2218" s="1" t="str">
        <f>IFERROR(VLOOKUP(B2218,'SB1'!$A$2:$B$999999,2,FALSE),"")</f>
        <v>LATEX INTERIOR ALBALATEX DESIGN MATE GRIS CINCEL X 1</v>
      </c>
      <c r="D2218" s="1" t="s">
        <v>14439</v>
      </c>
      <c r="E2218" s="3">
        <f>IFERROR(VLOOKUP(B2218,'DA1'!$B$2:$D$999999,3,FALSE),"")</f>
      </c>
      <c r="F2218" s="1" t="str">
        <f>IFERROR(VLOOKUP(B2218,'SB1'!$A$2:$C$999999,3,FALSE),"")</f>
        <v>503</v>
      </c>
      <c r="G2218" s="3" t="e">
        <f t="shared" si="74"/>
        <v>#VALUE!</v>
      </c>
      <c r="H2218" s="3" t="e">
        <f t="shared" si="75"/>
        <v>#VALUE!</v>
      </c>
      <c r="I2218" s="1">
        <v>1</v>
      </c>
    </row>
    <row r="2219" spans="1:9" x14ac:dyDescent="0.25">
      <c r="A2219" s="1" t="s">
        <v>14435</v>
      </c>
      <c r="B2219" s="1" t="s">
        <v>6197</v>
      </c>
      <c r="C2219" s="1" t="str">
        <f>IFERROR(VLOOKUP(B2219,'SB1'!$A$2:$B$999999,2,FALSE),"")</f>
        <v>LATEX INTERIOR ALBALATEX DESIGN MATE GRIS CINCEL X 4</v>
      </c>
      <c r="D2219" s="1" t="s">
        <v>14439</v>
      </c>
      <c r="E2219" s="3">
        <f>IFERROR(VLOOKUP(B2219,'DA1'!$B$2:$D$999999,3,FALSE),"")</f>
      </c>
      <c r="F2219" s="1" t="str">
        <f>IFERROR(VLOOKUP(B2219,'SB1'!$A$2:$C$999999,3,FALSE),"")</f>
        <v>503</v>
      </c>
      <c r="G2219" s="3" t="e">
        <f t="shared" si="74"/>
        <v>#VALUE!</v>
      </c>
      <c r="H2219" s="3" t="e">
        <f t="shared" si="75"/>
        <v>#VALUE!</v>
      </c>
      <c r="I2219" s="1">
        <v>1</v>
      </c>
    </row>
    <row r="2220" spans="1:9" x14ac:dyDescent="0.25">
      <c r="A2220" s="1" t="s">
        <v>14435</v>
      </c>
      <c r="B2220" s="1" t="s">
        <v>6207</v>
      </c>
      <c r="C2220" s="1" t="str">
        <f>IFERROR(VLOOKUP(B2220,'SB1'!$A$2:$B$999999,2,FALSE),"")</f>
        <v>FONDO CONVERTIDOR DE OXIDO TERSUAVE MATE BLANCO X  0,500</v>
      </c>
      <c r="D2220" s="1" t="s">
        <v>14437</v>
      </c>
      <c r="E2220" s="3">
        <f>IFERROR(VLOOKUP(B2220,'DA1'!$B$2:$D$999999,3,FALSE),"")</f>
      </c>
      <c r="F2220" s="1" t="str">
        <f>IFERROR(VLOOKUP(B2220,'SB1'!$A$2:$C$999999,3,FALSE),"")</f>
        <v>503</v>
      </c>
      <c r="G2220" s="3" t="e">
        <f t="shared" si="74"/>
        <v>#VALUE!</v>
      </c>
      <c r="H2220" s="3" t="e">
        <f t="shared" si="75"/>
        <v>#VALUE!</v>
      </c>
      <c r="I2220" s="1">
        <v>1</v>
      </c>
    </row>
    <row r="2221" spans="1:9" x14ac:dyDescent="0.25">
      <c r="A2221" s="1" t="s">
        <v>14435</v>
      </c>
      <c r="B2221" s="1" t="s">
        <v>6209</v>
      </c>
      <c r="C2221" s="1" t="str">
        <f>IFERROR(VLOOKUP(B2221,'SB1'!$A$2:$B$999999,2,FALSE),"")</f>
        <v>FONDO CONVERTIDOR DE OXIDO TERSUAVE MATE GRIS X  0,500</v>
      </c>
      <c r="D2221" s="1" t="s">
        <v>14437</v>
      </c>
      <c r="E2221" s="3">
        <f>IFERROR(VLOOKUP(B2221,'DA1'!$B$2:$D$999999,3,FALSE),"")</f>
      </c>
      <c r="F2221" s="1" t="str">
        <f>IFERROR(VLOOKUP(B2221,'SB1'!$A$2:$C$999999,3,FALSE),"")</f>
        <v>503</v>
      </c>
      <c r="G2221" s="3" t="e">
        <f t="shared" si="74"/>
        <v>#VALUE!</v>
      </c>
      <c r="H2221" s="3" t="e">
        <f t="shared" si="75"/>
        <v>#VALUE!</v>
      </c>
      <c r="I2221" s="1">
        <v>1</v>
      </c>
    </row>
    <row r="2222" spans="1:9" x14ac:dyDescent="0.25">
      <c r="A2222" s="1" t="s">
        <v>14435</v>
      </c>
      <c r="B2222" s="1" t="s">
        <v>6211</v>
      </c>
      <c r="C2222" s="1" t="str">
        <f>IFERROR(VLOOKUP(B2222,'SB1'!$A$2:$B$999999,2,FALSE),"")</f>
        <v>DRAGER-RETENEDOR P/FILTRO PAD P2</v>
      </c>
      <c r="D2222" s="1" t="s">
        <v>14494</v>
      </c>
      <c r="E2222" s="3">
        <f>IFERROR(VLOOKUP(B2222,'DA1'!$B$2:$D$999999,3,FALSE),"")</f>
      </c>
      <c r="F2222" s="1" t="str">
        <f>IFERROR(VLOOKUP(B2222,'SB1'!$A$2:$C$999999,3,FALSE),"")</f>
        <v>503</v>
      </c>
      <c r="G2222" s="3" t="e">
        <f t="shared" si="74"/>
        <v>#VALUE!</v>
      </c>
      <c r="H2222" s="3" t="e">
        <f t="shared" si="75"/>
        <v>#VALUE!</v>
      </c>
      <c r="I2222" s="1">
        <v>2</v>
      </c>
    </row>
    <row r="2223" spans="1:9" x14ac:dyDescent="0.25">
      <c r="A2223" s="1" t="s">
        <v>14435</v>
      </c>
      <c r="B2223" s="1" t="s">
        <v>6215</v>
      </c>
      <c r="C2223" s="1" t="str">
        <f>IFERROR(VLOOKUP(B2223,'SB1'!$A$2:$B$999999,2,FALSE),"")</f>
        <v>DRAGER-PREFILTRO PAD P2 (202600)</v>
      </c>
      <c r="D2223" s="1" t="s">
        <v>14494</v>
      </c>
      <c r="E2223" s="3">
        <f>IFERROR(VLOOKUP(B2223,'DA1'!$B$2:$D$999999,3,FALSE),"")</f>
      </c>
      <c r="F2223" s="1" t="str">
        <f>IFERROR(VLOOKUP(B2223,'SB1'!$A$2:$C$999999,3,FALSE),"")</f>
        <v>503</v>
      </c>
      <c r="G2223" s="3" t="e">
        <f t="shared" si="74"/>
        <v>#VALUE!</v>
      </c>
      <c r="H2223" s="3" t="e">
        <f t="shared" si="75"/>
        <v>#VALUE!</v>
      </c>
      <c r="I2223" s="1">
        <v>2</v>
      </c>
    </row>
    <row r="2224" spans="1:9" x14ac:dyDescent="0.25">
      <c r="A2224" s="1" t="s">
        <v>14435</v>
      </c>
      <c r="B2224" s="1" t="s">
        <v>6217</v>
      </c>
      <c r="C2224" s="1" t="str">
        <f>IFERROR(VLOOKUP(B2224,'SB1'!$A$2:$B$999999,2,FALSE),"")</f>
        <v>FONDO CONVERTIDOR DE OXIDO TERSUAVE MATE ROJO X  0,500</v>
      </c>
      <c r="D2224" s="1" t="s">
        <v>14437</v>
      </c>
      <c r="E2224" s="3">
        <f>IFERROR(VLOOKUP(B2224,'DA1'!$B$2:$D$999999,3,FALSE),"")</f>
      </c>
      <c r="F2224" s="1" t="str">
        <f>IFERROR(VLOOKUP(B2224,'SB1'!$A$2:$C$999999,3,FALSE),"")</f>
        <v>503</v>
      </c>
      <c r="G2224" s="3" t="e">
        <f t="shared" si="74"/>
        <v>#VALUE!</v>
      </c>
      <c r="H2224" s="3" t="e">
        <f t="shared" si="75"/>
        <v>#VALUE!</v>
      </c>
      <c r="I2224" s="1">
        <v>1</v>
      </c>
    </row>
    <row r="2225" spans="1:9" x14ac:dyDescent="0.25">
      <c r="A2225" s="1" t="s">
        <v>14435</v>
      </c>
      <c r="B2225" s="1" t="s">
        <v>6219</v>
      </c>
      <c r="C2225" s="1" t="str">
        <f>IFERROR(VLOOKUP(B2225,'SB1'!$A$2:$B$999999,2,FALSE),"")</f>
        <v>AEROSOL TERSUAVE ESMALTE SINTETICO BRILLANTE BLANCO X 0,250</v>
      </c>
      <c r="D2225" s="1" t="s">
        <v>14437</v>
      </c>
      <c r="E2225" s="3">
        <f>IFERROR(VLOOKUP(B2225,'DA1'!$B$2:$D$999999,3,FALSE),"")</f>
      </c>
      <c r="F2225" s="1" t="str">
        <f>IFERROR(VLOOKUP(B2225,'SB1'!$A$2:$C$999999,3,FALSE),"")</f>
        <v>503</v>
      </c>
      <c r="G2225" s="3" t="e">
        <f t="shared" si="74"/>
        <v>#VALUE!</v>
      </c>
      <c r="H2225" s="3" t="e">
        <f t="shared" si="75"/>
        <v>#VALUE!</v>
      </c>
      <c r="I2225" s="1">
        <v>1</v>
      </c>
    </row>
    <row r="2226" spans="1:9" x14ac:dyDescent="0.25">
      <c r="A2226" s="1" t="s">
        <v>14435</v>
      </c>
      <c r="B2226" s="1" t="s">
        <v>6221</v>
      </c>
      <c r="C2226" s="1" t="str">
        <f>IFERROR(VLOOKUP(B2226,'SB1'!$A$2:$B$999999,2,FALSE),"")</f>
        <v>AEROSOL TERSUAVE ESMALTE SINTETICO BRILLANTE BERMELLON X 0,250</v>
      </c>
      <c r="D2226" s="1" t="s">
        <v>14437</v>
      </c>
      <c r="E2226" s="3">
        <f>IFERROR(VLOOKUP(B2226,'DA1'!$B$2:$D$999999,3,FALSE),"")</f>
      </c>
      <c r="F2226" s="1" t="str">
        <f>IFERROR(VLOOKUP(B2226,'SB1'!$A$2:$C$999999,3,FALSE),"")</f>
        <v>503</v>
      </c>
      <c r="G2226" s="3" t="e">
        <f t="shared" si="74"/>
        <v>#VALUE!</v>
      </c>
      <c r="H2226" s="3" t="e">
        <f t="shared" si="75"/>
        <v>#VALUE!</v>
      </c>
      <c r="I2226" s="1">
        <v>1</v>
      </c>
    </row>
    <row r="2227" spans="1:9" x14ac:dyDescent="0.25">
      <c r="A2227" s="1" t="s">
        <v>14435</v>
      </c>
      <c r="B2227" s="1" t="s">
        <v>6223</v>
      </c>
      <c r="C2227" s="1" t="str">
        <f>IFERROR(VLOOKUP(B2227,'SB1'!$A$2:$B$999999,2,FALSE),"")</f>
        <v>AEROSOL TERSUAVE ESMALTE SINTETICO BRILLANTE NARANJA X 0,250</v>
      </c>
      <c r="D2227" s="1" t="s">
        <v>14437</v>
      </c>
      <c r="E2227" s="3">
        <f>IFERROR(VLOOKUP(B2227,'DA1'!$B$2:$D$999999,3,FALSE),"")</f>
      </c>
      <c r="F2227" s="1" t="str">
        <f>IFERROR(VLOOKUP(B2227,'SB1'!$A$2:$C$999999,3,FALSE),"")</f>
        <v>503</v>
      </c>
      <c r="G2227" s="3" t="e">
        <f t="shared" si="74"/>
        <v>#VALUE!</v>
      </c>
      <c r="H2227" s="3" t="e">
        <f t="shared" si="75"/>
        <v>#VALUE!</v>
      </c>
      <c r="I2227" s="1">
        <v>1</v>
      </c>
    </row>
    <row r="2228" spans="1:9" x14ac:dyDescent="0.25">
      <c r="A2228" s="1" t="s">
        <v>14435</v>
      </c>
      <c r="B2228" s="1" t="s">
        <v>6225</v>
      </c>
      <c r="C2228" s="1" t="str">
        <f>IFERROR(VLOOKUP(B2228,'SB1'!$A$2:$B$999999,2,FALSE),"")</f>
        <v>AEROSOL TERSUAVE ESMALTE SINTETICO BRILLANTE AMARILLO X 0,250</v>
      </c>
      <c r="D2228" s="1" t="s">
        <v>14437</v>
      </c>
      <c r="E2228" s="3">
        <f>IFERROR(VLOOKUP(B2228,'DA1'!$B$2:$D$999999,3,FALSE),"")</f>
      </c>
      <c r="F2228" s="1" t="str">
        <f>IFERROR(VLOOKUP(B2228,'SB1'!$A$2:$C$999999,3,FALSE),"")</f>
        <v>503</v>
      </c>
      <c r="G2228" s="3" t="e">
        <f t="shared" si="74"/>
        <v>#VALUE!</v>
      </c>
      <c r="H2228" s="3" t="e">
        <f t="shared" si="75"/>
        <v>#VALUE!</v>
      </c>
      <c r="I2228" s="1">
        <v>1</v>
      </c>
    </row>
    <row r="2229" spans="1:9" x14ac:dyDescent="0.25">
      <c r="A2229" s="1" t="s">
        <v>14435</v>
      </c>
      <c r="B2229" s="1" t="s">
        <v>6229</v>
      </c>
      <c r="C2229" s="1" t="str">
        <f>IFERROR(VLOOKUP(B2229,'SB1'!$A$2:$B$999999,2,FALSE),"")</f>
        <v>AEROSOL TERSUAVE ESMALTE SINTETICO BRILLANTE NEGRO X 0,250</v>
      </c>
      <c r="D2229" s="1" t="s">
        <v>14437</v>
      </c>
      <c r="E2229" s="3">
        <f>IFERROR(VLOOKUP(B2229,'DA1'!$B$2:$D$999999,3,FALSE),"")</f>
      </c>
      <c r="F2229" s="1" t="str">
        <f>IFERROR(VLOOKUP(B2229,'SB1'!$A$2:$C$999999,3,FALSE),"")</f>
        <v>503</v>
      </c>
      <c r="G2229" s="3" t="e">
        <f t="shared" si="74"/>
        <v>#VALUE!</v>
      </c>
      <c r="H2229" s="3" t="e">
        <f t="shared" si="75"/>
        <v>#VALUE!</v>
      </c>
      <c r="I2229" s="1">
        <v>1</v>
      </c>
    </row>
    <row r="2230" spans="1:9" x14ac:dyDescent="0.25">
      <c r="A2230" s="1" t="s">
        <v>14435</v>
      </c>
      <c r="B2230" s="1" t="s">
        <v>6231</v>
      </c>
      <c r="C2230" s="1" t="str">
        <f>IFERROR(VLOOKUP(B2230,'SB1'!$A$2:$B$999999,2,FALSE),"")</f>
        <v>AEROSOL TERSUAVE ESMALTE SINTETICO MATE NEGRO X 0,250</v>
      </c>
      <c r="D2230" s="1" t="s">
        <v>14437</v>
      </c>
      <c r="E2230" s="3">
        <f>IFERROR(VLOOKUP(B2230,'DA1'!$B$2:$D$999999,3,FALSE),"")</f>
      </c>
      <c r="F2230" s="1" t="str">
        <f>IFERROR(VLOOKUP(B2230,'SB1'!$A$2:$C$999999,3,FALSE),"")</f>
        <v>503</v>
      </c>
      <c r="G2230" s="3" t="e">
        <f t="shared" si="74"/>
        <v>#VALUE!</v>
      </c>
      <c r="H2230" s="3" t="e">
        <f t="shared" si="75"/>
        <v>#VALUE!</v>
      </c>
      <c r="I2230" s="1">
        <v>1</v>
      </c>
    </row>
    <row r="2231" spans="1:9" x14ac:dyDescent="0.25">
      <c r="A2231" s="1" t="s">
        <v>14435</v>
      </c>
      <c r="B2231" s="1" t="s">
        <v>6233</v>
      </c>
      <c r="C2231" s="1" t="str">
        <f>IFERROR(VLOOKUP(B2231,'SB1'!$A$2:$B$999999,2,FALSE),"")</f>
        <v>AEROSOL TERSUAVE ESMALTE SINTETICO BRILLANTE AZUL X 0,250</v>
      </c>
      <c r="D2231" s="1" t="s">
        <v>14437</v>
      </c>
      <c r="E2231" s="3">
        <f>IFERROR(VLOOKUP(B2231,'DA1'!$B$2:$D$999999,3,FALSE),"")</f>
      </c>
      <c r="F2231" s="1" t="str">
        <f>IFERROR(VLOOKUP(B2231,'SB1'!$A$2:$C$999999,3,FALSE),"")</f>
        <v>503</v>
      </c>
      <c r="G2231" s="3" t="e">
        <f t="shared" si="74"/>
        <v>#VALUE!</v>
      </c>
      <c r="H2231" s="3" t="e">
        <f t="shared" si="75"/>
        <v>#VALUE!</v>
      </c>
      <c r="I2231" s="1">
        <v>1</v>
      </c>
    </row>
    <row r="2232" spans="1:9" x14ac:dyDescent="0.25">
      <c r="A2232" s="1" t="s">
        <v>14435</v>
      </c>
      <c r="B2232" s="1" t="s">
        <v>6237</v>
      </c>
      <c r="C2232" s="1" t="str">
        <f>IFERROR(VLOOKUP(B2232,'SB1'!$A$2:$B$999999,2,FALSE),"")</f>
        <v>AEROSOL TERSUAVE ESMALTE SINTETICO BRILLANTE VERDE INGLES X 0,250</v>
      </c>
      <c r="D2232" s="1" t="s">
        <v>14437</v>
      </c>
      <c r="E2232" s="3">
        <f>IFERROR(VLOOKUP(B2232,'DA1'!$B$2:$D$999999,3,FALSE),"")</f>
      </c>
      <c r="F2232" s="1" t="str">
        <f>IFERROR(VLOOKUP(B2232,'SB1'!$A$2:$C$999999,3,FALSE),"")</f>
        <v>503</v>
      </c>
      <c r="G2232" s="3" t="e">
        <f t="shared" si="74"/>
        <v>#VALUE!</v>
      </c>
      <c r="H2232" s="3" t="e">
        <f t="shared" si="75"/>
        <v>#VALUE!</v>
      </c>
      <c r="I2232" s="1">
        <v>1</v>
      </c>
    </row>
    <row r="2233" spans="1:9" x14ac:dyDescent="0.25">
      <c r="A2233" s="1" t="s">
        <v>14435</v>
      </c>
      <c r="B2233" s="1" t="s">
        <v>6239</v>
      </c>
      <c r="C2233" s="1" t="str">
        <f>IFERROR(VLOOKUP(B2233,'SB1'!$A$2:$B$999999,2,FALSE),"")</f>
        <v>AEROSOL TERSUAVE ESMALTE SINTETICO BRILLANTE MARRON X 0,250</v>
      </c>
      <c r="D2233" s="1" t="s">
        <v>14437</v>
      </c>
      <c r="E2233" s="3">
        <f>IFERROR(VLOOKUP(B2233,'DA1'!$B$2:$D$999999,3,FALSE),"")</f>
      </c>
      <c r="F2233" s="1" t="str">
        <f>IFERROR(VLOOKUP(B2233,'SB1'!$A$2:$C$999999,3,FALSE),"")</f>
        <v>503</v>
      </c>
      <c r="G2233" s="3" t="e">
        <f t="shared" si="74"/>
        <v>#VALUE!</v>
      </c>
      <c r="H2233" s="3" t="e">
        <f t="shared" si="75"/>
        <v>#VALUE!</v>
      </c>
      <c r="I2233" s="1">
        <v>1</v>
      </c>
    </row>
    <row r="2234" spans="1:9" x14ac:dyDescent="0.25">
      <c r="A2234" s="1" t="s">
        <v>14435</v>
      </c>
      <c r="B2234" s="1" t="s">
        <v>6241</v>
      </c>
      <c r="C2234" s="1" t="str">
        <f>IFERROR(VLOOKUP(B2234,'SB1'!$A$2:$B$999999,2,FALSE),"")</f>
        <v>AEROSOL TERSUAVE CONVERTIDOR DE OXIDO MATE ROJO X 0,250</v>
      </c>
      <c r="D2234" s="1" t="s">
        <v>14437</v>
      </c>
      <c r="E2234" s="3">
        <f>IFERROR(VLOOKUP(B2234,'DA1'!$B$2:$D$999999,3,FALSE),"")</f>
      </c>
      <c r="F2234" s="1" t="str">
        <f>IFERROR(VLOOKUP(B2234,'SB1'!$A$2:$C$999999,3,FALSE),"")</f>
        <v>503</v>
      </c>
      <c r="G2234" s="3" t="e">
        <f t="shared" si="74"/>
        <v>#VALUE!</v>
      </c>
      <c r="H2234" s="3" t="e">
        <f t="shared" si="75"/>
        <v>#VALUE!</v>
      </c>
      <c r="I2234" s="1">
        <v>1</v>
      </c>
    </row>
    <row r="2235" spans="1:9" x14ac:dyDescent="0.25">
      <c r="A2235" s="1" t="s">
        <v>14435</v>
      </c>
      <c r="B2235" s="1" t="s">
        <v>6243</v>
      </c>
      <c r="C2235" s="1" t="str">
        <f>IFERROR(VLOOKUP(B2235,'SB1'!$A$2:$B$999999,2,FALSE),"")</f>
        <v>AEROSOL TERSUAVE BARNIZ BRILLANTE INCOLORO X 0,250</v>
      </c>
      <c r="D2235" s="1" t="s">
        <v>14437</v>
      </c>
      <c r="E2235" s="3">
        <f>IFERROR(VLOOKUP(B2235,'DA1'!$B$2:$D$999999,3,FALSE),"")</f>
      </c>
      <c r="F2235" s="1" t="str">
        <f>IFERROR(VLOOKUP(B2235,'SB1'!$A$2:$C$999999,3,FALSE),"")</f>
        <v>503</v>
      </c>
      <c r="G2235" s="3" t="e">
        <f t="shared" si="74"/>
        <v>#VALUE!</v>
      </c>
      <c r="H2235" s="3" t="e">
        <f t="shared" si="75"/>
        <v>#VALUE!</v>
      </c>
      <c r="I2235" s="1">
        <v>1</v>
      </c>
    </row>
    <row r="2236" spans="1:9" x14ac:dyDescent="0.25">
      <c r="A2236" s="1" t="s">
        <v>14435</v>
      </c>
      <c r="B2236" s="1" t="s">
        <v>6247</v>
      </c>
      <c r="C2236" s="1" t="str">
        <f>IFERROR(VLOOKUP(B2236,'SB1'!$A$2:$B$999999,2,FALSE),"")</f>
        <v>AEROSOL TERSUAVE ESMALTE SINTETICO MATE BLANCO X 0,250</v>
      </c>
      <c r="D2236" s="1" t="s">
        <v>14437</v>
      </c>
      <c r="E2236" s="3">
        <f>IFERROR(VLOOKUP(B2236,'DA1'!$B$2:$D$999999,3,FALSE),"")</f>
      </c>
      <c r="F2236" s="1" t="str">
        <f>IFERROR(VLOOKUP(B2236,'SB1'!$A$2:$C$999999,3,FALSE),"")</f>
        <v>503</v>
      </c>
      <c r="G2236" s="3" t="e">
        <f t="shared" si="74"/>
        <v>#VALUE!</v>
      </c>
      <c r="H2236" s="3" t="e">
        <f t="shared" si="75"/>
        <v>#VALUE!</v>
      </c>
      <c r="I2236" s="1">
        <v>1</v>
      </c>
    </row>
    <row r="2237" spans="1:9" x14ac:dyDescent="0.25">
      <c r="A2237" s="1" t="s">
        <v>14435</v>
      </c>
      <c r="B2237" s="1" t="s">
        <v>6249</v>
      </c>
      <c r="C2237" s="1" t="str">
        <f>IFERROR(VLOOKUP(B2237,'SB1'!$A$2:$B$999999,2,FALSE),"")</f>
        <v>AEROSOL TERSUAVE ESMALTE SINTETICO FLUO MATE VERDE X 0,250</v>
      </c>
      <c r="D2237" s="1" t="s">
        <v>14437</v>
      </c>
      <c r="E2237" s="3">
        <f>IFERROR(VLOOKUP(B2237,'DA1'!$B$2:$D$999999,3,FALSE),"")</f>
      </c>
      <c r="F2237" s="1" t="str">
        <f>IFERROR(VLOOKUP(B2237,'SB1'!$A$2:$C$999999,3,FALSE),"")</f>
        <v>503</v>
      </c>
      <c r="G2237" s="3" t="e">
        <f t="shared" si="74"/>
        <v>#VALUE!</v>
      </c>
      <c r="H2237" s="3" t="e">
        <f t="shared" si="75"/>
        <v>#VALUE!</v>
      </c>
      <c r="I2237" s="1">
        <v>1</v>
      </c>
    </row>
    <row r="2238" spans="1:9" x14ac:dyDescent="0.25">
      <c r="A2238" s="1" t="s">
        <v>14435</v>
      </c>
      <c r="B2238" s="1" t="s">
        <v>6251</v>
      </c>
      <c r="C2238" s="1" t="str">
        <f>IFERROR(VLOOKUP(B2238,'SB1'!$A$2:$B$999999,2,FALSE),"")</f>
        <v>AEROSOL TERSUAVE ESMALTE SINTETICO BRILLANTE CELESTE X 0,250</v>
      </c>
      <c r="D2238" s="1" t="s">
        <v>14437</v>
      </c>
      <c r="E2238" s="3">
        <f>IFERROR(VLOOKUP(B2238,'DA1'!$B$2:$D$999999,3,FALSE),"")</f>
      </c>
      <c r="F2238" s="1" t="str">
        <f>IFERROR(VLOOKUP(B2238,'SB1'!$A$2:$C$999999,3,FALSE),"")</f>
        <v>503</v>
      </c>
      <c r="G2238" s="3" t="e">
        <f t="shared" si="74"/>
        <v>#VALUE!</v>
      </c>
      <c r="H2238" s="3" t="e">
        <f t="shared" si="75"/>
        <v>#VALUE!</v>
      </c>
      <c r="I2238" s="1">
        <v>1</v>
      </c>
    </row>
    <row r="2239" spans="1:9" x14ac:dyDescent="0.25">
      <c r="A2239" s="1" t="s">
        <v>14435</v>
      </c>
      <c r="B2239" s="1" t="s">
        <v>6253</v>
      </c>
      <c r="C2239" s="1" t="str">
        <f>IFERROR(VLOOKUP(B2239,'SB1'!$A$2:$B$999999,2,FALSE),"")</f>
        <v>AEROSOL TERSUAVE ESMALTE SINTETICO BRILLANTE MARFIL SEDA X 0,250</v>
      </c>
      <c r="D2239" s="1" t="s">
        <v>14437</v>
      </c>
      <c r="E2239" s="3">
        <f>IFERROR(VLOOKUP(B2239,'DA1'!$B$2:$D$999999,3,FALSE),"")</f>
      </c>
      <c r="F2239" s="1" t="str">
        <f>IFERROR(VLOOKUP(B2239,'SB1'!$A$2:$C$999999,3,FALSE),"")</f>
        <v>503</v>
      </c>
      <c r="G2239" s="3" t="e">
        <f t="shared" si="74"/>
        <v>#VALUE!</v>
      </c>
      <c r="H2239" s="3" t="e">
        <f t="shared" si="75"/>
        <v>#VALUE!</v>
      </c>
      <c r="I2239" s="1">
        <v>1</v>
      </c>
    </row>
    <row r="2240" spans="1:9" x14ac:dyDescent="0.25">
      <c r="A2240" s="1" t="s">
        <v>14435</v>
      </c>
      <c r="B2240" s="1" t="s">
        <v>6255</v>
      </c>
      <c r="C2240" s="1" t="str">
        <f>IFERROR(VLOOKUP(B2240,'SB1'!$A$2:$B$999999,2,FALSE),"")</f>
        <v>AEROSOL TERSUAVE ESMALTE SINTETICO FLUO MATE NARANJA X 0,250</v>
      </c>
      <c r="D2240" s="1" t="s">
        <v>14437</v>
      </c>
      <c r="E2240" s="3">
        <f>IFERROR(VLOOKUP(B2240,'DA1'!$B$2:$D$999999,3,FALSE),"")</f>
      </c>
      <c r="F2240" s="1" t="str">
        <f>IFERROR(VLOOKUP(B2240,'SB1'!$A$2:$C$999999,3,FALSE),"")</f>
        <v>503</v>
      </c>
      <c r="G2240" s="3" t="e">
        <f t="shared" si="74"/>
        <v>#VALUE!</v>
      </c>
      <c r="H2240" s="3" t="e">
        <f t="shared" si="75"/>
        <v>#VALUE!</v>
      </c>
      <c r="I2240" s="1">
        <v>1</v>
      </c>
    </row>
    <row r="2241" spans="1:9" x14ac:dyDescent="0.25">
      <c r="A2241" s="1" t="s">
        <v>14435</v>
      </c>
      <c r="B2241" s="1" t="s">
        <v>6257</v>
      </c>
      <c r="C2241" s="1" t="str">
        <f>IFERROR(VLOOKUP(B2241,'SB1'!$A$2:$B$999999,2,FALSE),"")</f>
        <v>AEROSOL TERSUAVE ESMALTE SINTETICO BRILLANTE GRIS ESPACIAL X 0,250</v>
      </c>
      <c r="D2241" s="1" t="s">
        <v>14437</v>
      </c>
      <c r="E2241" s="3">
        <f>IFERROR(VLOOKUP(B2241,'DA1'!$B$2:$D$999999,3,FALSE),"")</f>
      </c>
      <c r="F2241" s="1" t="str">
        <f>IFERROR(VLOOKUP(B2241,'SB1'!$A$2:$C$999999,3,FALSE),"")</f>
        <v>503</v>
      </c>
      <c r="G2241" s="3" t="e">
        <f t="shared" si="74"/>
        <v>#VALUE!</v>
      </c>
      <c r="H2241" s="3" t="e">
        <f t="shared" si="75"/>
        <v>#VALUE!</v>
      </c>
      <c r="I2241" s="1">
        <v>1</v>
      </c>
    </row>
    <row r="2242" spans="1:9" x14ac:dyDescent="0.25">
      <c r="A2242" s="1" t="s">
        <v>14435</v>
      </c>
      <c r="B2242" s="1" t="s">
        <v>6259</v>
      </c>
      <c r="C2242" s="1" t="str">
        <f>IFERROR(VLOOKUP(B2242,'SB1'!$A$2:$B$999999,2,FALSE),"")</f>
        <v>AEROSOL TERSUAVE ESMALTE SINTETICO FLUO MATE AMARILLO X 0,250</v>
      </c>
      <c r="D2242" s="1" t="s">
        <v>14437</v>
      </c>
      <c r="E2242" s="3">
        <f>IFERROR(VLOOKUP(B2242,'DA1'!$B$2:$D$999999,3,FALSE),"")</f>
      </c>
      <c r="F2242" s="1" t="str">
        <f>IFERROR(VLOOKUP(B2242,'SB1'!$A$2:$C$999999,3,FALSE),"")</f>
        <v>503</v>
      </c>
      <c r="G2242" s="3" t="e">
        <f t="shared" si="74"/>
        <v>#VALUE!</v>
      </c>
      <c r="H2242" s="3" t="e">
        <f t="shared" si="75"/>
        <v>#VALUE!</v>
      </c>
      <c r="I2242" s="1">
        <v>1</v>
      </c>
    </row>
    <row r="2243" spans="1:9" x14ac:dyDescent="0.25">
      <c r="A2243" s="1" t="s">
        <v>14435</v>
      </c>
      <c r="B2243" s="1" t="s">
        <v>6261</v>
      </c>
      <c r="C2243" s="1" t="str">
        <f>IFERROR(VLOOKUP(B2243,'SB1'!$A$2:$B$999999,2,FALSE),"")</f>
        <v>AEROSOL TERSUAVE ESMALTE SINTETICO BRILLANTE TRAFUL X 0,250</v>
      </c>
      <c r="D2243" s="1" t="s">
        <v>14437</v>
      </c>
      <c r="E2243" s="3">
        <f>IFERROR(VLOOKUP(B2243,'DA1'!$B$2:$D$999999,3,FALSE),"")</f>
      </c>
      <c r="F2243" s="1" t="str">
        <f>IFERROR(VLOOKUP(B2243,'SB1'!$A$2:$C$999999,3,FALSE),"")</f>
        <v>503</v>
      </c>
      <c r="G2243" s="3" t="e">
        <f t="shared" ref="G2243:G2306" si="76">E2243*1.04</f>
        <v>#VALUE!</v>
      </c>
      <c r="H2243" s="3" t="e">
        <f t="shared" si="75"/>
        <v>#VALUE!</v>
      </c>
      <c r="I2243" s="1">
        <v>1</v>
      </c>
    </row>
    <row r="2244" spans="1:9" x14ac:dyDescent="0.25">
      <c r="A2244" s="1" t="s">
        <v>14435</v>
      </c>
      <c r="B2244" s="1" t="s">
        <v>6263</v>
      </c>
      <c r="C2244" s="1" t="str">
        <f>IFERROR(VLOOKUP(B2244,'SB1'!$A$2:$B$999999,2,FALSE),"")</f>
        <v>AEROSOL TERSUAVE ESMALTE SINTETICO SATINADO NEGRO X 0,250</v>
      </c>
      <c r="D2244" s="1" t="s">
        <v>14437</v>
      </c>
      <c r="E2244" s="3">
        <f>IFERROR(VLOOKUP(B2244,'DA1'!$B$2:$D$999999,3,FALSE),"")</f>
      </c>
      <c r="F2244" s="1" t="str">
        <f>IFERROR(VLOOKUP(B2244,'SB1'!$A$2:$C$999999,3,FALSE),"")</f>
        <v>503</v>
      </c>
      <c r="G2244" s="3" t="e">
        <f t="shared" si="76"/>
        <v>#VALUE!</v>
      </c>
      <c r="H2244" s="3" t="e">
        <f t="shared" si="75"/>
        <v>#VALUE!</v>
      </c>
      <c r="I2244" s="1">
        <v>1</v>
      </c>
    </row>
    <row r="2245" spans="1:9" x14ac:dyDescent="0.25">
      <c r="A2245" s="1" t="s">
        <v>14435</v>
      </c>
      <c r="B2245" s="1" t="s">
        <v>6265</v>
      </c>
      <c r="C2245" s="1" t="str">
        <f>IFERROR(VLOOKUP(B2245,'SB1'!$A$2:$B$999999,2,FALSE),"")</f>
        <v>AEROSOL TERSUAVE ESMALTE SINTETICO FLUO MATE FUCSIA X 0,250</v>
      </c>
      <c r="D2245" s="1" t="s">
        <v>14437</v>
      </c>
      <c r="E2245" s="3">
        <f>IFERROR(VLOOKUP(B2245,'DA1'!$B$2:$D$999999,3,FALSE),"")</f>
      </c>
      <c r="F2245" s="1" t="str">
        <f>IFERROR(VLOOKUP(B2245,'SB1'!$A$2:$C$999999,3,FALSE),"")</f>
        <v>503</v>
      </c>
      <c r="G2245" s="3" t="e">
        <f t="shared" si="76"/>
        <v>#VALUE!</v>
      </c>
      <c r="H2245" s="3" t="e">
        <f t="shared" si="75"/>
        <v>#VALUE!</v>
      </c>
      <c r="I2245" s="1">
        <v>1</v>
      </c>
    </row>
    <row r="2246" spans="1:9" x14ac:dyDescent="0.25">
      <c r="A2246" s="1" t="s">
        <v>14435</v>
      </c>
      <c r="B2246" s="1" t="s">
        <v>6267</v>
      </c>
      <c r="C2246" s="1" t="str">
        <f>IFERROR(VLOOKUP(B2246,'SB1'!$A$2:$B$999999,2,FALSE),"")</f>
        <v>AEROSOL TERSUAVE ESMALTE SINTETICO BRILLANTE VIOLETA X 0,250</v>
      </c>
      <c r="D2246" s="1" t="s">
        <v>14437</v>
      </c>
      <c r="E2246" s="3">
        <f>IFERROR(VLOOKUP(B2246,'DA1'!$B$2:$D$999999,3,FALSE),"")</f>
      </c>
      <c r="F2246" s="1" t="str">
        <f>IFERROR(VLOOKUP(B2246,'SB1'!$A$2:$C$999999,3,FALSE),"")</f>
        <v>503</v>
      </c>
      <c r="G2246" s="3" t="e">
        <f t="shared" si="76"/>
        <v>#VALUE!</v>
      </c>
      <c r="H2246" s="3" t="e">
        <f t="shared" si="75"/>
        <v>#VALUE!</v>
      </c>
      <c r="I2246" s="1">
        <v>1</v>
      </c>
    </row>
    <row r="2247" spans="1:9" x14ac:dyDescent="0.25">
      <c r="A2247" s="1" t="s">
        <v>14435</v>
      </c>
      <c r="B2247" s="1" t="s">
        <v>6269</v>
      </c>
      <c r="C2247" s="1" t="str">
        <f>IFERROR(VLOOKUP(B2247,'SB1'!$A$2:$B$999999,2,FALSE),"")</f>
        <v>AEROSOL TERSUAVE ESMALTE SINTETICO FLUO MATE ROJO X 0,250</v>
      </c>
      <c r="D2247" s="1" t="s">
        <v>14437</v>
      </c>
      <c r="E2247" s="3">
        <f>IFERROR(VLOOKUP(B2247,'DA1'!$B$2:$D$999999,3,FALSE),"")</f>
      </c>
      <c r="F2247" s="1" t="str">
        <f>IFERROR(VLOOKUP(B2247,'SB1'!$A$2:$C$999999,3,FALSE),"")</f>
        <v>503</v>
      </c>
      <c r="G2247" s="3" t="e">
        <f t="shared" si="76"/>
        <v>#VALUE!</v>
      </c>
      <c r="H2247" s="3" t="e">
        <f t="shared" si="75"/>
        <v>#VALUE!</v>
      </c>
      <c r="I2247" s="1">
        <v>1</v>
      </c>
    </row>
    <row r="2248" spans="1:9" x14ac:dyDescent="0.25">
      <c r="A2248" s="1" t="s">
        <v>14435</v>
      </c>
      <c r="B2248" s="1" t="s">
        <v>6271</v>
      </c>
      <c r="C2248" s="1" t="str">
        <f>IFERROR(VLOOKUP(B2248,'SB1'!$A$2:$B$999999,2,FALSE),"")</f>
        <v>FONDO CONVERTIDOR DE OXIDO TERSUAVE MATE VERDE X  0,500</v>
      </c>
      <c r="D2248" s="1" t="s">
        <v>14437</v>
      </c>
      <c r="E2248" s="3">
        <f>IFERROR(VLOOKUP(B2248,'DA1'!$B$2:$D$999999,3,FALSE),"")</f>
      </c>
      <c r="F2248" s="1" t="str">
        <f>IFERROR(VLOOKUP(B2248,'SB1'!$A$2:$C$999999,3,FALSE),"")</f>
        <v>503</v>
      </c>
      <c r="G2248" s="3" t="e">
        <f t="shared" si="76"/>
        <v>#VALUE!</v>
      </c>
      <c r="H2248" s="3" t="e">
        <f t="shared" si="75"/>
        <v>#VALUE!</v>
      </c>
      <c r="I2248" s="1">
        <v>1</v>
      </c>
    </row>
    <row r="2249" spans="1:9" x14ac:dyDescent="0.25">
      <c r="A2249" s="1" t="s">
        <v>14435</v>
      </c>
      <c r="B2249" s="1" t="s">
        <v>6273</v>
      </c>
      <c r="C2249" s="1" t="str">
        <f>IFERROR(VLOOKUP(B2249,'SB1'!$A$2:$B$999999,2,FALSE),"")</f>
        <v>AEROSOL TERSUAVE ESMALTE SINTETICO BRILLANTE VIOLETA X 0,440</v>
      </c>
      <c r="D2249" s="1" t="s">
        <v>14437</v>
      </c>
      <c r="E2249" s="3">
        <f>IFERROR(VLOOKUP(B2249,'DA1'!$B$2:$D$999999,3,FALSE),"")</f>
      </c>
      <c r="F2249" s="1" t="str">
        <f>IFERROR(VLOOKUP(B2249,'SB1'!$A$2:$C$999999,3,FALSE),"")</f>
        <v>503</v>
      </c>
      <c r="G2249" s="3" t="e">
        <f t="shared" si="76"/>
        <v>#VALUE!</v>
      </c>
      <c r="H2249" s="3" t="e">
        <f t="shared" si="75"/>
        <v>#VALUE!</v>
      </c>
      <c r="I2249" s="1">
        <v>1</v>
      </c>
    </row>
    <row r="2250" spans="1:9" x14ac:dyDescent="0.25">
      <c r="A2250" s="1" t="s">
        <v>14435</v>
      </c>
      <c r="B2250" s="1" t="s">
        <v>6275</v>
      </c>
      <c r="C2250" s="1" t="str">
        <f>IFERROR(VLOOKUP(B2250,'SB1'!$A$2:$B$999999,2,FALSE),"")</f>
        <v>AEROSOL TERSUAVE ESMALTE SINTETICO SATINADO BLANCO X 0,250</v>
      </c>
      <c r="D2250" s="1" t="s">
        <v>14437</v>
      </c>
      <c r="E2250" s="3">
        <f>IFERROR(VLOOKUP(B2250,'DA1'!$B$2:$D$999999,3,FALSE),"")</f>
      </c>
      <c r="F2250" s="1" t="str">
        <f>IFERROR(VLOOKUP(B2250,'SB1'!$A$2:$C$999999,3,FALSE),"")</f>
        <v>503</v>
      </c>
      <c r="G2250" s="3" t="e">
        <f t="shared" si="76"/>
        <v>#VALUE!</v>
      </c>
      <c r="H2250" s="3" t="e">
        <f t="shared" si="75"/>
        <v>#VALUE!</v>
      </c>
      <c r="I2250" s="1">
        <v>1</v>
      </c>
    </row>
    <row r="2251" spans="1:9" x14ac:dyDescent="0.25">
      <c r="A2251" s="1" t="s">
        <v>14435</v>
      </c>
      <c r="B2251" s="1" t="s">
        <v>6277</v>
      </c>
      <c r="C2251" s="1" t="str">
        <f>IFERROR(VLOOKUP(B2251,'SB1'!$A$2:$B$999999,2,FALSE),"")</f>
        <v>AEROSOL TERSUAVE ESMALTE SINTETICO SATINADO NEGRO X 0,440</v>
      </c>
      <c r="D2251" s="1" t="s">
        <v>14437</v>
      </c>
      <c r="E2251" s="3">
        <f>IFERROR(VLOOKUP(B2251,'DA1'!$B$2:$D$999999,3,FALSE),"")</f>
      </c>
      <c r="F2251" s="1" t="str">
        <f>IFERROR(VLOOKUP(B2251,'SB1'!$A$2:$C$999999,3,FALSE),"")</f>
        <v>503</v>
      </c>
      <c r="G2251" s="3" t="e">
        <f t="shared" si="76"/>
        <v>#VALUE!</v>
      </c>
      <c r="H2251" s="3" t="e">
        <f t="shared" si="75"/>
        <v>#VALUE!</v>
      </c>
      <c r="I2251" s="1">
        <v>1</v>
      </c>
    </row>
    <row r="2252" spans="1:9" x14ac:dyDescent="0.25">
      <c r="A2252" s="1" t="s">
        <v>14435</v>
      </c>
      <c r="B2252" s="1" t="s">
        <v>6279</v>
      </c>
      <c r="C2252" s="1" t="str">
        <f>IFERROR(VLOOKUP(B2252,'SB1'!$A$2:$B$999999,2,FALSE),"")</f>
        <v>AEROSOL TERSUAVE ESMALTE SINTETICO METALIZADO BRILLANTE ORO X 0,250</v>
      </c>
      <c r="D2252" s="1" t="s">
        <v>14437</v>
      </c>
      <c r="E2252" s="3">
        <f>IFERROR(VLOOKUP(B2252,'DA1'!$B$2:$D$999999,3,FALSE),"")</f>
      </c>
      <c r="F2252" s="1" t="str">
        <f>IFERROR(VLOOKUP(B2252,'SB1'!$A$2:$C$999999,3,FALSE),"")</f>
        <v>503</v>
      </c>
      <c r="G2252" s="3" t="e">
        <f t="shared" si="76"/>
        <v>#VALUE!</v>
      </c>
      <c r="H2252" s="3" t="e">
        <f t="shared" si="75"/>
        <v>#VALUE!</v>
      </c>
      <c r="I2252" s="1">
        <v>1</v>
      </c>
    </row>
    <row r="2253" spans="1:9" x14ac:dyDescent="0.25">
      <c r="A2253" s="1" t="s">
        <v>14435</v>
      </c>
      <c r="B2253" s="1" t="s">
        <v>6281</v>
      </c>
      <c r="C2253" s="1" t="str">
        <f>IFERROR(VLOOKUP(B2253,'SB1'!$A$2:$B$999999,2,FALSE),"")</f>
        <v>AEROSOL TERSUAVE ESMALTE SINTETICO METALIZADO BRILLANTE COBRE X 0,250</v>
      </c>
      <c r="D2253" s="1" t="s">
        <v>14437</v>
      </c>
      <c r="E2253" s="3">
        <f>IFERROR(VLOOKUP(B2253,'DA1'!$B$2:$D$999999,3,FALSE),"")</f>
      </c>
      <c r="F2253" s="1" t="str">
        <f>IFERROR(VLOOKUP(B2253,'SB1'!$A$2:$C$999999,3,FALSE),"")</f>
        <v>503</v>
      </c>
      <c r="G2253" s="3" t="e">
        <f t="shared" si="76"/>
        <v>#VALUE!</v>
      </c>
      <c r="H2253" s="3" t="e">
        <f t="shared" si="75"/>
        <v>#VALUE!</v>
      </c>
      <c r="I2253" s="1">
        <v>1</v>
      </c>
    </row>
    <row r="2254" spans="1:9" x14ac:dyDescent="0.25">
      <c r="A2254" s="1" t="s">
        <v>14435</v>
      </c>
      <c r="B2254" s="1" t="s">
        <v>6283</v>
      </c>
      <c r="C2254" s="1" t="str">
        <f>IFERROR(VLOOKUP(B2254,'SB1'!$A$2:$B$999999,2,FALSE),"")</f>
        <v>AEROSOL TERSUAVE ESMALTE SINTETICO METALIZADO BRILLANTE PLATA X 0,250</v>
      </c>
      <c r="D2254" s="1" t="s">
        <v>14437</v>
      </c>
      <c r="E2254" s="3">
        <f>IFERROR(VLOOKUP(B2254,'DA1'!$B$2:$D$999999,3,FALSE),"")</f>
      </c>
      <c r="F2254" s="1" t="str">
        <f>IFERROR(VLOOKUP(B2254,'SB1'!$A$2:$C$999999,3,FALSE),"")</f>
        <v>503</v>
      </c>
      <c r="G2254" s="3" t="e">
        <f t="shared" si="76"/>
        <v>#VALUE!</v>
      </c>
      <c r="H2254" s="3" t="e">
        <f t="shared" si="75"/>
        <v>#VALUE!</v>
      </c>
      <c r="I2254" s="1">
        <v>1</v>
      </c>
    </row>
    <row r="2255" spans="1:9" x14ac:dyDescent="0.25">
      <c r="A2255" s="1" t="s">
        <v>14435</v>
      </c>
      <c r="B2255" s="1" t="s">
        <v>6285</v>
      </c>
      <c r="C2255" s="1" t="str">
        <f>IFERROR(VLOOKUP(B2255,'SB1'!$A$2:$B$999999,2,FALSE),"")</f>
        <v>AEROSOL TERSUAVE ESMALTE SINTETICO METALIZADO BRILLANTE BRONCE X 0,250</v>
      </c>
      <c r="D2255" s="1" t="s">
        <v>14437</v>
      </c>
      <c r="E2255" s="3">
        <f>IFERROR(VLOOKUP(B2255,'DA1'!$B$2:$D$999999,3,FALSE),"")</f>
      </c>
      <c r="F2255" s="1" t="str">
        <f>IFERROR(VLOOKUP(B2255,'SB1'!$A$2:$C$999999,3,FALSE),"")</f>
        <v>503</v>
      </c>
      <c r="G2255" s="3" t="e">
        <f t="shared" si="76"/>
        <v>#VALUE!</v>
      </c>
      <c r="H2255" s="3" t="e">
        <f t="shared" si="75"/>
        <v>#VALUE!</v>
      </c>
      <c r="I2255" s="1">
        <v>1</v>
      </c>
    </row>
    <row r="2256" spans="1:9" x14ac:dyDescent="0.25">
      <c r="A2256" s="1" t="s">
        <v>14435</v>
      </c>
      <c r="B2256" s="1" t="s">
        <v>6287</v>
      </c>
      <c r="C2256" s="1" t="str">
        <f>IFERROR(VLOOKUP(B2256,'SB1'!$A$2:$B$999999,2,FALSE),"")</f>
        <v>AEROSOL TERSUAVE ESMALTE EFECTO ESMERILADO X 0,250</v>
      </c>
      <c r="D2256" s="1" t="s">
        <v>14437</v>
      </c>
      <c r="E2256" s="3">
        <f>IFERROR(VLOOKUP(B2256,'DA1'!$B$2:$D$999999,3,FALSE),"")</f>
      </c>
      <c r="F2256" s="1" t="str">
        <f>IFERROR(VLOOKUP(B2256,'SB1'!$A$2:$C$999999,3,FALSE),"")</f>
        <v>503</v>
      </c>
      <c r="G2256" s="3" t="e">
        <f t="shared" si="76"/>
        <v>#VALUE!</v>
      </c>
      <c r="H2256" s="3" t="e">
        <f t="shared" si="75"/>
        <v>#VALUE!</v>
      </c>
      <c r="I2256" s="1">
        <v>1</v>
      </c>
    </row>
    <row r="2257" spans="1:9" x14ac:dyDescent="0.25">
      <c r="A2257" s="1" t="s">
        <v>14435</v>
      </c>
      <c r="B2257" s="1" t="s">
        <v>6289</v>
      </c>
      <c r="C2257" s="1" t="str">
        <f>IFERROR(VLOOKUP(B2257,'SB1'!$A$2:$B$999999,2,FALSE),"")</f>
        <v>AEROSOL TERSUAVE CONVERTIDOR DE OXIDO MATE NEGRO X 0,250</v>
      </c>
      <c r="D2257" s="1" t="s">
        <v>14437</v>
      </c>
      <c r="E2257" s="3">
        <f>IFERROR(VLOOKUP(B2257,'DA1'!$B$2:$D$999999,3,FALSE),"")</f>
      </c>
      <c r="F2257" s="1" t="str">
        <f>IFERROR(VLOOKUP(B2257,'SB1'!$A$2:$C$999999,3,FALSE),"")</f>
        <v>503</v>
      </c>
      <c r="G2257" s="3" t="e">
        <f t="shared" si="76"/>
        <v>#VALUE!</v>
      </c>
      <c r="H2257" s="3" t="e">
        <f t="shared" si="75"/>
        <v>#VALUE!</v>
      </c>
      <c r="I2257" s="1">
        <v>1</v>
      </c>
    </row>
    <row r="2258" spans="1:9" x14ac:dyDescent="0.25">
      <c r="A2258" s="1" t="s">
        <v>14435</v>
      </c>
      <c r="B2258" s="1" t="s">
        <v>6307</v>
      </c>
      <c r="C2258" s="1" t="str">
        <f>IFERROR(VLOOKUP(B2258,'SB1'!$A$2:$B$999999,2,FALSE),"")</f>
        <v>CINTA DOBLE FAZ RAPIFIX (380) 18MM</v>
      </c>
      <c r="D2258" s="1" t="s">
        <v>14486</v>
      </c>
      <c r="E2258" s="3">
        <f>IFERROR(VLOOKUP(B2258,'DA1'!$B$2:$D$999999,3,FALSE),"")</f>
      </c>
      <c r="F2258" s="1" t="str">
        <f>IFERROR(VLOOKUP(B2258,'SB1'!$A$2:$C$999999,3,FALSE),"")</f>
        <v>503</v>
      </c>
      <c r="G2258" s="3" t="e">
        <f t="shared" si="76"/>
        <v>#VALUE!</v>
      </c>
      <c r="H2258" s="3" t="e">
        <f t="shared" si="75"/>
        <v>#VALUE!</v>
      </c>
      <c r="I2258" s="1">
        <v>2</v>
      </c>
    </row>
    <row r="2259" spans="1:9" x14ac:dyDescent="0.25">
      <c r="A2259" s="1" t="s">
        <v>14435</v>
      </c>
      <c r="B2259" s="1" t="s">
        <v>6327</v>
      </c>
      <c r="C2259" s="1" t="str">
        <f>IFERROR(VLOOKUP(B2259,'SB1'!$A$2:$B$999999,2,FALSE),"")</f>
        <v>LATEX INTERIOR ALBALATEX ULTRALAVABLE MATE BLANCO X  1</v>
      </c>
      <c r="D2259" s="1" t="s">
        <v>14439</v>
      </c>
      <c r="E2259" s="3">
        <f>IFERROR(VLOOKUP(B2259,'DA1'!$B$2:$D$999999,3,FALSE),"")</f>
      </c>
      <c r="F2259" s="1" t="str">
        <f>IFERROR(VLOOKUP(B2259,'SB1'!$A$2:$C$999999,3,FALSE),"")</f>
        <v>503</v>
      </c>
      <c r="G2259" s="3" t="e">
        <f t="shared" si="76"/>
        <v>#VALUE!</v>
      </c>
      <c r="H2259" s="3" t="e">
        <f t="shared" si="75"/>
        <v>#VALUE!</v>
      </c>
      <c r="I2259" s="1">
        <v>1</v>
      </c>
    </row>
    <row r="2260" spans="1:9" x14ac:dyDescent="0.25">
      <c r="A2260" s="1" t="s">
        <v>14435</v>
      </c>
      <c r="B2260" s="1" t="s">
        <v>6329</v>
      </c>
      <c r="C2260" s="1" t="str">
        <f>IFERROR(VLOOKUP(B2260,'SB1'!$A$2:$B$999999,2,FALSE),"")</f>
        <v>LATEX INTERIOR ALBALATEX ULTRALAVABLE MATE BLANCO X  4</v>
      </c>
      <c r="D2260" s="1" t="s">
        <v>14439</v>
      </c>
      <c r="E2260" s="3">
        <f>IFERROR(VLOOKUP(B2260,'DA1'!$B$2:$D$999999,3,FALSE),"")</f>
      </c>
      <c r="F2260" s="1" t="str">
        <f>IFERROR(VLOOKUP(B2260,'SB1'!$A$2:$C$999999,3,FALSE),"")</f>
        <v>503</v>
      </c>
      <c r="G2260" s="3" t="e">
        <f t="shared" si="76"/>
        <v>#VALUE!</v>
      </c>
      <c r="H2260" s="3" t="e">
        <f t="shared" ref="H2260:H2323" si="77">G2260*1.21</f>
        <v>#VALUE!</v>
      </c>
      <c r="I2260" s="1">
        <v>1</v>
      </c>
    </row>
    <row r="2261" spans="1:9" x14ac:dyDescent="0.25">
      <c r="A2261" s="1" t="s">
        <v>14435</v>
      </c>
      <c r="B2261" s="1" t="s">
        <v>6331</v>
      </c>
      <c r="C2261" s="1" t="str">
        <f>IFERROR(VLOOKUP(B2261,'SB1'!$A$2:$B$999999,2,FALSE),"")</f>
        <v>LATEX INTERIOR ALBALATEX ULTRALAVABLE MATE BLANCO X 10</v>
      </c>
      <c r="D2261" s="1" t="s">
        <v>14439</v>
      </c>
      <c r="E2261" s="3">
        <f>IFERROR(VLOOKUP(B2261,'DA1'!$B$2:$D$999999,3,FALSE),"")</f>
      </c>
      <c r="F2261" s="1" t="str">
        <f>IFERROR(VLOOKUP(B2261,'SB1'!$A$2:$C$999999,3,FALSE),"")</f>
        <v>503</v>
      </c>
      <c r="G2261" s="3" t="e">
        <f t="shared" si="76"/>
        <v>#VALUE!</v>
      </c>
      <c r="H2261" s="3" t="e">
        <f t="shared" si="77"/>
        <v>#VALUE!</v>
      </c>
      <c r="I2261" s="1">
        <v>1</v>
      </c>
    </row>
    <row r="2262" spans="1:8" x14ac:dyDescent="0.25">
      <c r="A2262" s="1" t="s">
        <v>14435</v>
      </c>
      <c r="B2262" s="1" t="s">
        <v>6333</v>
      </c>
      <c r="C2262" s="1" t="str">
        <f>IFERROR(VLOOKUP(B2262,'SB1'!$A$2:$B$999999,2,FALSE),"")</f>
        <v>LATEX INTERIOR ALBALATEX ULTRALAVABLE MATE BLANCO X 20</v>
      </c>
      <c r="D2262" s="1" t="s">
        <v>14439</v>
      </c>
      <c r="E2262" s="3">
        <f>IFERROR(VLOOKUP(B2262,'DA1'!$B$2:$D$999999,3,FALSE),"")</f>
      </c>
      <c r="F2262" s="1" t="str">
        <f>IFERROR(VLOOKUP(B2262,'SB1'!$A$2:$C$999999,3,FALSE),"")</f>
        <v>503</v>
      </c>
      <c r="G2262" s="3" t="e">
        <f t="shared" si="76"/>
        <v>#VALUE!</v>
      </c>
      <c r="H2262" s="3" t="e">
        <f t="shared" si="77"/>
        <v>#VALUE!</v>
      </c>
    </row>
    <row r="2263" spans="1:9" x14ac:dyDescent="0.25">
      <c r="A2263" s="1" t="s">
        <v>14435</v>
      </c>
      <c r="B2263" s="1" t="s">
        <v>6335</v>
      </c>
      <c r="C2263" s="1" t="str">
        <f>IFERROR(VLOOKUP(B2263,'SB1'!$A$2:$B$999999,2,FALSE),"")</f>
        <v>LATEX INTERIOR ALBALATEX ULTRALAVABLE MATE BASE P X  0,900</v>
      </c>
      <c r="D2263" s="1" t="s">
        <v>14439</v>
      </c>
      <c r="E2263" s="3">
        <f>IFERROR(VLOOKUP(B2263,'DA1'!$B$2:$D$999999,3,FALSE),"")</f>
      </c>
      <c r="F2263" s="1" t="str">
        <f>IFERROR(VLOOKUP(B2263,'SB1'!$A$2:$C$999999,3,FALSE),"")</f>
        <v>503</v>
      </c>
      <c r="G2263" s="3" t="e">
        <f t="shared" si="76"/>
        <v>#VALUE!</v>
      </c>
      <c r="H2263" s="3" t="e">
        <f t="shared" si="77"/>
        <v>#VALUE!</v>
      </c>
      <c r="I2263" s="1">
        <v>1</v>
      </c>
    </row>
    <row r="2264" spans="1:9" x14ac:dyDescent="0.25">
      <c r="A2264" s="1" t="s">
        <v>14435</v>
      </c>
      <c r="B2264" s="1" t="s">
        <v>6337</v>
      </c>
      <c r="C2264" s="1" t="str">
        <f>IFERROR(VLOOKUP(B2264,'SB1'!$A$2:$B$999999,2,FALSE),"")</f>
        <v>LATEX INTERIOR ALBALATEX ULTRALAVABLE MATE BASE P X  3,600</v>
      </c>
      <c r="D2264" s="1" t="s">
        <v>14439</v>
      </c>
      <c r="E2264" s="3">
        <f>IFERROR(VLOOKUP(B2264,'DA1'!$B$2:$D$999999,3,FALSE),"")</f>
      </c>
      <c r="F2264" s="1" t="str">
        <f>IFERROR(VLOOKUP(B2264,'SB1'!$A$2:$C$999999,3,FALSE),"")</f>
        <v>503</v>
      </c>
      <c r="G2264" s="3" t="e">
        <f t="shared" si="76"/>
        <v>#VALUE!</v>
      </c>
      <c r="H2264" s="3" t="e">
        <f t="shared" si="77"/>
        <v>#VALUE!</v>
      </c>
      <c r="I2264" s="1">
        <v>1</v>
      </c>
    </row>
    <row r="2265" spans="1:9" x14ac:dyDescent="0.25">
      <c r="A2265" s="1" t="s">
        <v>14435</v>
      </c>
      <c r="B2265" s="1" t="s">
        <v>6339</v>
      </c>
      <c r="C2265" s="1" t="str">
        <f>IFERROR(VLOOKUP(B2265,'SB1'!$A$2:$B$999999,2,FALSE),"")</f>
        <v>LATEX INTERIOR ALBALATEX ULTRALAVABLE MATE BASE P X  8,700</v>
      </c>
      <c r="D2265" s="1" t="s">
        <v>14439</v>
      </c>
      <c r="E2265" s="3">
        <f>IFERROR(VLOOKUP(B2265,'DA1'!$B$2:$D$999999,3,FALSE),"")</f>
      </c>
      <c r="F2265" s="1" t="str">
        <f>IFERROR(VLOOKUP(B2265,'SB1'!$A$2:$C$999999,3,FALSE),"")</f>
        <v>503</v>
      </c>
      <c r="G2265" s="3" t="e">
        <f t="shared" si="76"/>
        <v>#VALUE!</v>
      </c>
      <c r="H2265" s="3" t="e">
        <f t="shared" si="77"/>
        <v>#VALUE!</v>
      </c>
      <c r="I2265" s="1">
        <v>1</v>
      </c>
    </row>
    <row r="2266" spans="1:8" x14ac:dyDescent="0.25">
      <c r="A2266" s="1" t="s">
        <v>14435</v>
      </c>
      <c r="B2266" s="1" t="s">
        <v>6341</v>
      </c>
      <c r="C2266" s="1" t="str">
        <f>IFERROR(VLOOKUP(B2266,'SB1'!$A$2:$B$999999,2,FALSE),"")</f>
        <v>LATEX INTERIOR ALBALATEX ULTRALAVABLE MATE BASE P X 17,400</v>
      </c>
      <c r="D2266" s="1" t="s">
        <v>14439</v>
      </c>
      <c r="E2266" s="3">
        <f>IFERROR(VLOOKUP(B2266,'DA1'!$B$2:$D$999999,3,FALSE),"")</f>
      </c>
      <c r="F2266" s="1" t="str">
        <f>IFERROR(VLOOKUP(B2266,'SB1'!$A$2:$C$999999,3,FALSE),"")</f>
        <v>503</v>
      </c>
      <c r="G2266" s="3" t="e">
        <f t="shared" si="76"/>
        <v>#VALUE!</v>
      </c>
      <c r="H2266" s="3" t="e">
        <f t="shared" si="77"/>
        <v>#VALUE!</v>
      </c>
    </row>
    <row r="2267" spans="1:9" x14ac:dyDescent="0.25">
      <c r="A2267" s="1" t="s">
        <v>14435</v>
      </c>
      <c r="B2267" s="1" t="s">
        <v>6343</v>
      </c>
      <c r="C2267" s="1" t="str">
        <f>IFERROR(VLOOKUP(B2267,'SB1'!$A$2:$B$999999,2,FALSE),"")</f>
        <v>LATEX INTERIOR ALBALATEX ULTRALAVABLE MATE BASE F X  0,900</v>
      </c>
      <c r="D2267" s="1" t="s">
        <v>14439</v>
      </c>
      <c r="E2267" s="3">
        <f>IFERROR(VLOOKUP(B2267,'DA1'!$B$2:$D$999999,3,FALSE),"")</f>
      </c>
      <c r="F2267" s="1" t="str">
        <f>IFERROR(VLOOKUP(B2267,'SB1'!$A$2:$C$999999,3,FALSE),"")</f>
        <v>503</v>
      </c>
      <c r="G2267" s="3" t="e">
        <f t="shared" si="76"/>
        <v>#VALUE!</v>
      </c>
      <c r="H2267" s="3" t="e">
        <f t="shared" si="77"/>
        <v>#VALUE!</v>
      </c>
      <c r="I2267" s="1">
        <v>1</v>
      </c>
    </row>
    <row r="2268" spans="1:9" x14ac:dyDescent="0.25">
      <c r="A2268" s="1" t="s">
        <v>14435</v>
      </c>
      <c r="B2268" s="1" t="s">
        <v>6345</v>
      </c>
      <c r="C2268" s="1" t="str">
        <f>IFERROR(VLOOKUP(B2268,'SB1'!$A$2:$B$999999,2,FALSE),"")</f>
        <v>LATEX INTERIOR ALBALATEX ULTRALAVABLE MATE BASE F X  3,600</v>
      </c>
      <c r="D2268" s="1" t="s">
        <v>14439</v>
      </c>
      <c r="E2268" s="3">
        <f>IFERROR(VLOOKUP(B2268,'DA1'!$B$2:$D$999999,3,FALSE),"")</f>
      </c>
      <c r="F2268" s="1" t="str">
        <f>IFERROR(VLOOKUP(B2268,'SB1'!$A$2:$C$999999,3,FALSE),"")</f>
        <v>503</v>
      </c>
      <c r="G2268" s="3" t="e">
        <f t="shared" si="76"/>
        <v>#VALUE!</v>
      </c>
      <c r="H2268" s="3" t="e">
        <f t="shared" si="77"/>
        <v>#VALUE!</v>
      </c>
      <c r="I2268" s="1">
        <v>1</v>
      </c>
    </row>
    <row r="2269" spans="1:9" x14ac:dyDescent="0.25">
      <c r="A2269" s="1" t="s">
        <v>14435</v>
      </c>
      <c r="B2269" s="1" t="s">
        <v>6349</v>
      </c>
      <c r="C2269" s="1" t="str">
        <f>IFERROR(VLOOKUP(B2269,'SB1'!$A$2:$B$999999,2,FALSE),"")</f>
        <v>LATEX INTERIOR ALBALATEX ULTRALAVABLE MATE BASE F X 17,40</v>
      </c>
      <c r="D2269" s="1" t="s">
        <v>14439</v>
      </c>
      <c r="E2269" s="3">
        <f>IFERROR(VLOOKUP(B2269,'DA1'!$B$2:$D$999999,3,FALSE),"")</f>
      </c>
      <c r="F2269" s="1" t="str">
        <f>IFERROR(VLOOKUP(B2269,'SB1'!$A$2:$C$999999,3,FALSE),"")</f>
        <v>503</v>
      </c>
      <c r="G2269" s="3" t="e">
        <f t="shared" si="76"/>
        <v>#VALUE!</v>
      </c>
      <c r="H2269" s="3" t="e">
        <f t="shared" si="77"/>
        <v>#VALUE!</v>
      </c>
      <c r="I2269" s="1">
        <v>1</v>
      </c>
    </row>
    <row r="2270" spans="1:9" x14ac:dyDescent="0.25">
      <c r="A2270" s="1" t="s">
        <v>14435</v>
      </c>
      <c r="B2270" s="1" t="s">
        <v>6351</v>
      </c>
      <c r="C2270" s="1" t="str">
        <f>IFERROR(VLOOKUP(B2270,'SB1'!$A$2:$B$999999,2,FALSE),"")</f>
        <v>LATEX INTERIOR ALBALATEX ULTRALAVABLE MATE BASE T X  0,900</v>
      </c>
      <c r="D2270" s="1" t="s">
        <v>14439</v>
      </c>
      <c r="E2270" s="3">
        <f>IFERROR(VLOOKUP(B2270,'DA1'!$B$2:$D$999999,3,FALSE),"")</f>
      </c>
      <c r="F2270" s="1" t="str">
        <f>IFERROR(VLOOKUP(B2270,'SB1'!$A$2:$C$999999,3,FALSE),"")</f>
        <v>503</v>
      </c>
      <c r="G2270" s="3" t="e">
        <f t="shared" si="76"/>
        <v>#VALUE!</v>
      </c>
      <c r="H2270" s="3" t="e">
        <f t="shared" si="77"/>
        <v>#VALUE!</v>
      </c>
      <c r="I2270" s="1">
        <v>1</v>
      </c>
    </row>
    <row r="2271" spans="1:9" x14ac:dyDescent="0.25">
      <c r="A2271" s="1" t="s">
        <v>14435</v>
      </c>
      <c r="B2271" s="1" t="s">
        <v>6353</v>
      </c>
      <c r="C2271" s="1" t="str">
        <f>IFERROR(VLOOKUP(B2271,'SB1'!$A$2:$B$999999,2,FALSE),"")</f>
        <v>LATEX INTERIOR ALBALATEX ULTRALAVABLE MATE BASE T X  3,600</v>
      </c>
      <c r="D2271" s="1" t="s">
        <v>14439</v>
      </c>
      <c r="E2271" s="3">
        <f>IFERROR(VLOOKUP(B2271,'DA1'!$B$2:$D$999999,3,FALSE),"")</f>
      </c>
      <c r="F2271" s="1" t="str">
        <f>IFERROR(VLOOKUP(B2271,'SB1'!$A$2:$C$999999,3,FALSE),"")</f>
        <v>503</v>
      </c>
      <c r="G2271" s="3" t="e">
        <f t="shared" si="76"/>
        <v>#VALUE!</v>
      </c>
      <c r="H2271" s="3" t="e">
        <f t="shared" si="77"/>
        <v>#VALUE!</v>
      </c>
      <c r="I2271" s="1">
        <v>1</v>
      </c>
    </row>
    <row r="2272" spans="1:9" x14ac:dyDescent="0.25">
      <c r="A2272" s="1" t="s">
        <v>14435</v>
      </c>
      <c r="B2272" s="1" t="s">
        <v>6357</v>
      </c>
      <c r="C2272" s="1" t="str">
        <f>IFERROR(VLOOKUP(B2272,'SB1'!$A$2:$B$999999,2,FALSE),"")</f>
        <v>AEROSOL TERSUAVE CONVERTIDOR DE OXIDO MATE BLANCO X 0,250</v>
      </c>
      <c r="D2272" s="1" t="s">
        <v>14437</v>
      </c>
      <c r="E2272" s="3">
        <f>IFERROR(VLOOKUP(B2272,'DA1'!$B$2:$D$999999,3,FALSE),"")</f>
      </c>
      <c r="F2272" s="1" t="str">
        <f>IFERROR(VLOOKUP(B2272,'SB1'!$A$2:$C$999999,3,FALSE),"")</f>
        <v>503</v>
      </c>
      <c r="G2272" s="3" t="e">
        <f t="shared" si="76"/>
        <v>#VALUE!</v>
      </c>
      <c r="H2272" s="3" t="e">
        <f t="shared" si="77"/>
        <v>#VALUE!</v>
      </c>
      <c r="I2272" s="1">
        <v>1</v>
      </c>
    </row>
    <row r="2273" spans="1:9" x14ac:dyDescent="0.25">
      <c r="A2273" s="1" t="s">
        <v>14435</v>
      </c>
      <c r="B2273" s="1" t="s">
        <v>6359</v>
      </c>
      <c r="C2273" s="1" t="str">
        <f>IFERROR(VLOOKUP(B2273,'SB1'!$A$2:$B$999999,2,FALSE),"")</f>
        <v>AEROSOL TERSUAVE CONVERTIDOR DE OXIDO MATE BLANCO X 0,440</v>
      </c>
      <c r="D2273" s="1" t="s">
        <v>14437</v>
      </c>
      <c r="E2273" s="3">
        <f>IFERROR(VLOOKUP(B2273,'DA1'!$B$2:$D$999999,3,FALSE),"")</f>
      </c>
      <c r="F2273" s="1" t="str">
        <f>IFERROR(VLOOKUP(B2273,'SB1'!$A$2:$C$999999,3,FALSE),"")</f>
        <v>503</v>
      </c>
      <c r="G2273" s="3" t="e">
        <f t="shared" si="76"/>
        <v>#VALUE!</v>
      </c>
      <c r="H2273" s="3" t="e">
        <f t="shared" si="77"/>
        <v>#VALUE!</v>
      </c>
      <c r="I2273" s="1">
        <v>1</v>
      </c>
    </row>
    <row r="2274" spans="1:9" x14ac:dyDescent="0.25">
      <c r="A2274" s="1" t="s">
        <v>14435</v>
      </c>
      <c r="B2274" s="1" t="s">
        <v>6361</v>
      </c>
      <c r="C2274" s="1" t="str">
        <f>IFERROR(VLOOKUP(B2274,'SB1'!$A$2:$B$999999,2,FALSE),"")</f>
        <v>AEROSOL TERSUAVE ESMALTE SINTETICO MATE BLANCO X 0,440</v>
      </c>
      <c r="D2274" s="1" t="s">
        <v>14437</v>
      </c>
      <c r="E2274" s="3">
        <f>IFERROR(VLOOKUP(B2274,'DA1'!$B$2:$D$999999,3,FALSE),"")</f>
      </c>
      <c r="F2274" s="1" t="str">
        <f>IFERROR(VLOOKUP(B2274,'SB1'!$A$2:$C$999999,3,FALSE),"")</f>
        <v>503</v>
      </c>
      <c r="G2274" s="3" t="e">
        <f t="shared" si="76"/>
        <v>#VALUE!</v>
      </c>
      <c r="H2274" s="3" t="e">
        <f t="shared" si="77"/>
        <v>#VALUE!</v>
      </c>
      <c r="I2274" s="1">
        <v>1</v>
      </c>
    </row>
    <row r="2275" spans="1:9" x14ac:dyDescent="0.25">
      <c r="A2275" s="1" t="s">
        <v>14435</v>
      </c>
      <c r="B2275" s="1" t="s">
        <v>6363</v>
      </c>
      <c r="C2275" s="1" t="str">
        <f>IFERROR(VLOOKUP(B2275,'SB1'!$A$2:$B$999999,2,FALSE),"")</f>
        <v>AEROSOL TERSUAVE ESMALTE SINTETICO BRILLANTE CELESTE X 0,440</v>
      </c>
      <c r="D2275" s="1" t="s">
        <v>14437</v>
      </c>
      <c r="E2275" s="3">
        <f>IFERROR(VLOOKUP(B2275,'DA1'!$B$2:$D$999999,3,FALSE),"")</f>
      </c>
      <c r="F2275" s="1" t="str">
        <f>IFERROR(VLOOKUP(B2275,'SB1'!$A$2:$C$999999,3,FALSE),"")</f>
        <v>503</v>
      </c>
      <c r="G2275" s="3" t="e">
        <f t="shared" si="76"/>
        <v>#VALUE!</v>
      </c>
      <c r="H2275" s="3" t="e">
        <f t="shared" si="77"/>
        <v>#VALUE!</v>
      </c>
      <c r="I2275" s="1">
        <v>1</v>
      </c>
    </row>
    <row r="2276" spans="1:9" x14ac:dyDescent="0.25">
      <c r="A2276" s="1" t="s">
        <v>14435</v>
      </c>
      <c r="B2276" s="1" t="s">
        <v>6365</v>
      </c>
      <c r="C2276" s="1" t="str">
        <f>IFERROR(VLOOKUP(B2276,'SB1'!$A$2:$B$999999,2,FALSE),"")</f>
        <v>AEROSOL TERSUAVE ESMALTE SINTETICO BRILLANTE GRIS ESPACIAL X 0,440</v>
      </c>
      <c r="D2276" s="1" t="s">
        <v>14437</v>
      </c>
      <c r="E2276" s="3">
        <f>IFERROR(VLOOKUP(B2276,'DA1'!$B$2:$D$999999,3,FALSE),"")</f>
      </c>
      <c r="F2276" s="1" t="str">
        <f>IFERROR(VLOOKUP(B2276,'SB1'!$A$2:$C$999999,3,FALSE),"")</f>
        <v>503</v>
      </c>
      <c r="G2276" s="3" t="e">
        <f t="shared" si="76"/>
        <v>#VALUE!</v>
      </c>
      <c r="H2276" s="3" t="e">
        <f t="shared" si="77"/>
        <v>#VALUE!</v>
      </c>
      <c r="I2276" s="1">
        <v>1</v>
      </c>
    </row>
    <row r="2277" spans="1:9" x14ac:dyDescent="0.25">
      <c r="A2277" s="1" t="s">
        <v>14435</v>
      </c>
      <c r="B2277" s="1" t="s">
        <v>6367</v>
      </c>
      <c r="C2277" s="1" t="str">
        <f>IFERROR(VLOOKUP(B2277,'SB1'!$A$2:$B$999999,2,FALSE),"")</f>
        <v>CM-069 NEGRO AMARILLENTO X 1 (DISCONTINUADO)</v>
      </c>
      <c r="D2277" s="1" t="s">
        <v>14454</v>
      </c>
      <c r="E2277" s="3">
        <f>IFERROR(VLOOKUP(B2277,'DA1'!$B$2:$D$999999,3,FALSE),"")</f>
      </c>
      <c r="F2277" s="1" t="str">
        <f>IFERROR(VLOOKUP(B2277,'SB1'!$A$2:$C$999999,3,FALSE),"")</f>
        <v>503</v>
      </c>
      <c r="G2277" s="3" t="e">
        <f t="shared" si="76"/>
        <v>#VALUE!</v>
      </c>
      <c r="H2277" s="3" t="e">
        <f t="shared" si="77"/>
        <v>#VALUE!</v>
      </c>
      <c r="I2277" s="1">
        <v>1</v>
      </c>
    </row>
    <row r="2278" spans="1:9" x14ac:dyDescent="0.25">
      <c r="A2278" s="1" t="s">
        <v>14435</v>
      </c>
      <c r="B2278" s="1" t="s">
        <v>6379</v>
      </c>
      <c r="C2278" s="1" t="str">
        <f>IFERROR(VLOOKUP(B2278,'SB1'!$A$2:$B$999999,2,FALSE),"")</f>
        <v>CINTA DUCT TAPE DOBLE A AMARILLO</v>
      </c>
      <c r="D2278" s="1" t="s">
        <v>14451</v>
      </c>
      <c r="E2278" s="3">
        <f>IFERROR(VLOOKUP(B2278,'DA1'!$B$2:$D$999999,3,FALSE),"")</f>
      </c>
      <c r="F2278" s="1" t="str">
        <f>IFERROR(VLOOKUP(B2278,'SB1'!$A$2:$C$999999,3,FALSE),"")</f>
        <v>503</v>
      </c>
      <c r="G2278" s="3" t="e">
        <f t="shared" si="76"/>
        <v>#VALUE!</v>
      </c>
      <c r="H2278" s="3" t="e">
        <f t="shared" si="77"/>
        <v>#VALUE!</v>
      </c>
      <c r="I2278" s="1">
        <v>1</v>
      </c>
    </row>
    <row r="2279" spans="1:9" x14ac:dyDescent="0.25">
      <c r="A2279" s="1" t="s">
        <v>14435</v>
      </c>
      <c r="B2279" s="1" t="s">
        <v>6381</v>
      </c>
      <c r="C2279" s="1" t="str">
        <f>IFERROR(VLOOKUP(B2279,'SB1'!$A$2:$B$999999,2,FALSE),"")</f>
        <v>CINTA DUCT TAPE DOBLE A AZUL</v>
      </c>
      <c r="D2279" s="1" t="s">
        <v>14451</v>
      </c>
      <c r="E2279" s="3">
        <f>IFERROR(VLOOKUP(B2279,'DA1'!$B$2:$D$999999,3,FALSE),"")</f>
      </c>
      <c r="F2279" s="1" t="str">
        <f>IFERROR(VLOOKUP(B2279,'SB1'!$A$2:$C$999999,3,FALSE),"")</f>
        <v>503</v>
      </c>
      <c r="G2279" s="3" t="e">
        <f t="shared" si="76"/>
        <v>#VALUE!</v>
      </c>
      <c r="H2279" s="3" t="e">
        <f t="shared" si="77"/>
        <v>#VALUE!</v>
      </c>
      <c r="I2279" s="1">
        <v>1</v>
      </c>
    </row>
    <row r="2280" spans="1:9" x14ac:dyDescent="0.25">
      <c r="A2280" s="1" t="s">
        <v>14435</v>
      </c>
      <c r="B2280" s="1" t="s">
        <v>6383</v>
      </c>
      <c r="C2280" s="1" t="str">
        <f>IFERROR(VLOOKUP(B2280,'SB1'!$A$2:$B$999999,2,FALSE),"")</f>
        <v>CINTA DUCT TAPE DOBLE A BLANCO</v>
      </c>
      <c r="D2280" s="1" t="s">
        <v>14451</v>
      </c>
      <c r="E2280" s="3">
        <f>IFERROR(VLOOKUP(B2280,'DA1'!$B$2:$D$999999,3,FALSE),"")</f>
      </c>
      <c r="F2280" s="1" t="str">
        <f>IFERROR(VLOOKUP(B2280,'SB1'!$A$2:$C$999999,3,FALSE),"")</f>
        <v>503</v>
      </c>
      <c r="G2280" s="3" t="e">
        <f t="shared" si="76"/>
        <v>#VALUE!</v>
      </c>
      <c r="H2280" s="3" t="e">
        <f t="shared" si="77"/>
        <v>#VALUE!</v>
      </c>
      <c r="I2280" s="1">
        <v>1</v>
      </c>
    </row>
    <row r="2281" spans="1:9" x14ac:dyDescent="0.25">
      <c r="A2281" s="1" t="s">
        <v>14435</v>
      </c>
      <c r="B2281" s="1" t="s">
        <v>6385</v>
      </c>
      <c r="C2281" s="1" t="str">
        <f>IFERROR(VLOOKUP(B2281,'SB1'!$A$2:$B$999999,2,FALSE),"")</f>
        <v>CINTA DUCT TAPE DOBLE A GRIS</v>
      </c>
      <c r="D2281" s="1" t="s">
        <v>14451</v>
      </c>
      <c r="E2281" s="3">
        <f>IFERROR(VLOOKUP(B2281,'DA1'!$B$2:$D$999999,3,FALSE),"")</f>
      </c>
      <c r="F2281" s="1" t="str">
        <f>IFERROR(VLOOKUP(B2281,'SB1'!$A$2:$C$999999,3,FALSE),"")</f>
        <v>503</v>
      </c>
      <c r="G2281" s="3" t="e">
        <f t="shared" si="76"/>
        <v>#VALUE!</v>
      </c>
      <c r="H2281" s="3" t="e">
        <f t="shared" si="77"/>
        <v>#VALUE!</v>
      </c>
      <c r="I2281" s="1">
        <v>1</v>
      </c>
    </row>
    <row r="2282" spans="1:9" x14ac:dyDescent="0.25">
      <c r="A2282" s="1" t="s">
        <v>14435</v>
      </c>
      <c r="B2282" s="1" t="s">
        <v>6389</v>
      </c>
      <c r="C2282" s="1" t="str">
        <f>IFERROR(VLOOKUP(B2282,'SB1'!$A$2:$B$999999,2,FALSE),"")</f>
        <v>CINTA DUCT TAPE DOBLE A NEGRO</v>
      </c>
      <c r="D2282" s="1" t="s">
        <v>14451</v>
      </c>
      <c r="E2282" s="3">
        <f>IFERROR(VLOOKUP(B2282,'DA1'!$B$2:$D$999999,3,FALSE),"")</f>
      </c>
      <c r="F2282" s="1" t="str">
        <f>IFERROR(VLOOKUP(B2282,'SB1'!$A$2:$C$999999,3,FALSE),"")</f>
        <v>503</v>
      </c>
      <c r="G2282" s="3" t="e">
        <f t="shared" si="76"/>
        <v>#VALUE!</v>
      </c>
      <c r="H2282" s="3" t="e">
        <f t="shared" si="77"/>
        <v>#VALUE!</v>
      </c>
      <c r="I2282" s="1">
        <v>1</v>
      </c>
    </row>
    <row r="2283" spans="1:9" x14ac:dyDescent="0.25">
      <c r="A2283" s="1" t="s">
        <v>14435</v>
      </c>
      <c r="B2283" s="1" t="s">
        <v>6391</v>
      </c>
      <c r="C2283" s="1" t="str">
        <f>IFERROR(VLOOKUP(B2283,'SB1'!$A$2:$B$999999,2,FALSE),"")</f>
        <v>ESPUMA POLIURETANO WEBER X 0,300</v>
      </c>
      <c r="D2283" s="1" t="s">
        <v>14495</v>
      </c>
      <c r="E2283" s="3">
        <f>IFERROR(VLOOKUP(B2283,'DA1'!$B$2:$D$999999,3,FALSE),"")</f>
      </c>
      <c r="F2283" s="1" t="str">
        <f>IFERROR(VLOOKUP(B2283,'SB1'!$A$2:$C$999999,3,FALSE),"")</f>
        <v>503</v>
      </c>
      <c r="G2283" s="3" t="e">
        <f t="shared" si="76"/>
        <v>#VALUE!</v>
      </c>
      <c r="H2283" s="3" t="e">
        <f t="shared" si="77"/>
        <v>#VALUE!</v>
      </c>
      <c r="I2283" s="1">
        <v>1</v>
      </c>
    </row>
    <row r="2284" spans="1:9" x14ac:dyDescent="0.25">
      <c r="A2284" s="1" t="s">
        <v>14435</v>
      </c>
      <c r="B2284" s="1" t="s">
        <v>6393</v>
      </c>
      <c r="C2284" s="1" t="str">
        <f>IFERROR(VLOOKUP(B2284,'SB1'!$A$2:$B$999999,2,FALSE),"")</f>
        <v>CINTA DUCT TAPE DOBLE A PURPURA</v>
      </c>
      <c r="D2284" s="1" t="s">
        <v>14451</v>
      </c>
      <c r="E2284" s="3">
        <f>IFERROR(VLOOKUP(B2284,'DA1'!$B$2:$D$999999,3,FALSE),"")</f>
      </c>
      <c r="F2284" s="1" t="str">
        <f>IFERROR(VLOOKUP(B2284,'SB1'!$A$2:$C$999999,3,FALSE),"")</f>
        <v>503</v>
      </c>
      <c r="G2284" s="3" t="e">
        <f t="shared" si="76"/>
        <v>#VALUE!</v>
      </c>
      <c r="H2284" s="3" t="e">
        <f t="shared" si="77"/>
        <v>#VALUE!</v>
      </c>
      <c r="I2284" s="1">
        <v>1</v>
      </c>
    </row>
    <row r="2285" spans="1:9" x14ac:dyDescent="0.25">
      <c r="A2285" s="1" t="s">
        <v>14435</v>
      </c>
      <c r="B2285" s="1" t="s">
        <v>6395</v>
      </c>
      <c r="C2285" s="1" t="str">
        <f>IFERROR(VLOOKUP(B2285,'SB1'!$A$2:$B$999999,2,FALSE),"")</f>
        <v>CINTA DUCT TAPE DOBLE A ROJO</v>
      </c>
      <c r="D2285" s="1" t="s">
        <v>14451</v>
      </c>
      <c r="E2285" s="3">
        <f>IFERROR(VLOOKUP(B2285,'DA1'!$B$2:$D$999999,3,FALSE),"")</f>
      </c>
      <c r="F2285" s="1" t="str">
        <f>IFERROR(VLOOKUP(B2285,'SB1'!$A$2:$C$999999,3,FALSE),"")</f>
        <v>503</v>
      </c>
      <c r="G2285" s="3" t="e">
        <f t="shared" si="76"/>
        <v>#VALUE!</v>
      </c>
      <c r="H2285" s="3" t="e">
        <f t="shared" si="77"/>
        <v>#VALUE!</v>
      </c>
      <c r="I2285" s="1">
        <v>1</v>
      </c>
    </row>
    <row r="2286" spans="1:9" x14ac:dyDescent="0.25">
      <c r="A2286" s="1" t="s">
        <v>14435</v>
      </c>
      <c r="B2286" s="1" t="s">
        <v>6397</v>
      </c>
      <c r="C2286" s="1" t="str">
        <f>IFERROR(VLOOKUP(B2286,'SB1'!$A$2:$B$999999,2,FALSE),"")</f>
        <v>CINTA DUCT TAPE DOBLE A VERDE</v>
      </c>
      <c r="D2286" s="1" t="s">
        <v>14451</v>
      </c>
      <c r="E2286" s="3">
        <f>IFERROR(VLOOKUP(B2286,'DA1'!$B$2:$D$999999,3,FALSE),"")</f>
      </c>
      <c r="F2286" s="1" t="str">
        <f>IFERROR(VLOOKUP(B2286,'SB1'!$A$2:$C$999999,3,FALSE),"")</f>
        <v>503</v>
      </c>
      <c r="G2286" s="3" t="e">
        <f t="shared" si="76"/>
        <v>#VALUE!</v>
      </c>
      <c r="H2286" s="3" t="e">
        <f t="shared" si="77"/>
        <v>#VALUE!</v>
      </c>
      <c r="I2286" s="1">
        <v>1</v>
      </c>
    </row>
    <row r="2287" spans="1:9" x14ac:dyDescent="0.25">
      <c r="A2287" s="1" t="s">
        <v>14435</v>
      </c>
      <c r="B2287" s="1" t="s">
        <v>6399</v>
      </c>
      <c r="C2287" s="1" t="str">
        <f>IFERROR(VLOOKUP(B2287,'SB1'!$A$2:$B$999999,2,FALSE),"")</f>
        <v>CINTA DOBLE FAZ DOBLE A (592AA) 18MM X 30M</v>
      </c>
      <c r="D2287" s="1" t="s">
        <v>14451</v>
      </c>
      <c r="E2287" s="3">
        <f>IFERROR(VLOOKUP(B2287,'DA1'!$B$2:$D$999999,3,FALSE),"")</f>
      </c>
      <c r="F2287" s="1" t="str">
        <f>IFERROR(VLOOKUP(B2287,'SB1'!$A$2:$C$999999,3,FALSE),"")</f>
        <v>503</v>
      </c>
      <c r="G2287" s="3" t="e">
        <f t="shared" si="76"/>
        <v>#VALUE!</v>
      </c>
      <c r="H2287" s="3" t="e">
        <f t="shared" si="77"/>
        <v>#VALUE!</v>
      </c>
      <c r="I2287" s="1">
        <v>1</v>
      </c>
    </row>
    <row r="2288" spans="1:9" x14ac:dyDescent="0.25">
      <c r="A2288" s="1" t="s">
        <v>14435</v>
      </c>
      <c r="B2288" s="1" t="s">
        <v>6401</v>
      </c>
      <c r="C2288" s="1" t="str">
        <f>IFERROR(VLOOKUP(B2288,'SB1'!$A$2:$B$999999,2,FALSE),"")</f>
        <v>CINTA DOBLE FAZ DOBLE A (592AA) 24MM X 30M</v>
      </c>
      <c r="D2288" s="1" t="s">
        <v>14451</v>
      </c>
      <c r="E2288" s="3">
        <f>IFERROR(VLOOKUP(B2288,'DA1'!$B$2:$D$999999,3,FALSE),"")</f>
      </c>
      <c r="F2288" s="1" t="str">
        <f>IFERROR(VLOOKUP(B2288,'SB1'!$A$2:$C$999999,3,FALSE),"")</f>
        <v>503</v>
      </c>
      <c r="G2288" s="3" t="e">
        <f t="shared" si="76"/>
        <v>#VALUE!</v>
      </c>
      <c r="H2288" s="3" t="e">
        <f t="shared" si="77"/>
        <v>#VALUE!</v>
      </c>
      <c r="I2288" s="1">
        <v>1</v>
      </c>
    </row>
    <row r="2289" spans="1:9" x14ac:dyDescent="0.25">
      <c r="A2289" s="1" t="s">
        <v>14435</v>
      </c>
      <c r="B2289" s="1" t="s">
        <v>6403</v>
      </c>
      <c r="C2289" s="1" t="str">
        <f>IFERROR(VLOOKUP(B2289,'SB1'!$A$2:$B$999999,2,FALSE),"")</f>
        <v>CINTA DOBLE FAZ DOBLE A (592AA) 36MM X 30M</v>
      </c>
      <c r="D2289" s="1" t="s">
        <v>14451</v>
      </c>
      <c r="E2289" s="3">
        <f>IFERROR(VLOOKUP(B2289,'DA1'!$B$2:$D$999999,3,FALSE),"")</f>
      </c>
      <c r="F2289" s="1" t="str">
        <f>IFERROR(VLOOKUP(B2289,'SB1'!$A$2:$C$999999,3,FALSE),"")</f>
        <v>503</v>
      </c>
      <c r="G2289" s="3" t="e">
        <f t="shared" si="76"/>
        <v>#VALUE!</v>
      </c>
      <c r="H2289" s="3" t="e">
        <f t="shared" si="77"/>
        <v>#VALUE!</v>
      </c>
      <c r="I2289" s="1">
        <v>1</v>
      </c>
    </row>
    <row r="2290" spans="1:9" x14ac:dyDescent="0.25">
      <c r="A2290" s="1" t="s">
        <v>14435</v>
      </c>
      <c r="B2290" s="1" t="s">
        <v>6405</v>
      </c>
      <c r="C2290" s="1" t="str">
        <f>IFERROR(VLOOKUP(B2290,'SB1'!$A$2:$B$999999,2,FALSE),"")</f>
        <v>CINTA DOBLE FAZ DOBLE A (592AA) 48MM X 30M</v>
      </c>
      <c r="D2290" s="1" t="s">
        <v>14451</v>
      </c>
      <c r="E2290" s="3">
        <f>IFERROR(VLOOKUP(B2290,'DA1'!$B$2:$D$999999,3,FALSE),"")</f>
      </c>
      <c r="F2290" s="1" t="str">
        <f>IFERROR(VLOOKUP(B2290,'SB1'!$A$2:$C$999999,3,FALSE),"")</f>
        <v>503</v>
      </c>
      <c r="G2290" s="3" t="e">
        <f t="shared" si="76"/>
        <v>#VALUE!</v>
      </c>
      <c r="H2290" s="3" t="e">
        <f t="shared" si="77"/>
        <v>#VALUE!</v>
      </c>
      <c r="I2290" s="1">
        <v>1</v>
      </c>
    </row>
    <row r="2291" spans="1:9" x14ac:dyDescent="0.25">
      <c r="A2291" s="1" t="s">
        <v>14435</v>
      </c>
      <c r="B2291" s="1" t="s">
        <v>6407</v>
      </c>
      <c r="C2291" s="1" t="str">
        <f>IFERROR(VLOOKUP(B2291,'SB1'!$A$2:$B$999999,2,FALSE),"")</f>
        <v>FONDO CONVERTIDOR DE OXIDO TERSUAVE MATE BLANCO X  1</v>
      </c>
      <c r="D2291" s="1" t="s">
        <v>14437</v>
      </c>
      <c r="E2291" s="3">
        <f>IFERROR(VLOOKUP(B2291,'DA1'!$B$2:$D$999999,3,FALSE),"")</f>
      </c>
      <c r="F2291" s="1" t="str">
        <f>IFERROR(VLOOKUP(B2291,'SB1'!$A$2:$C$999999,3,FALSE),"")</f>
        <v>503</v>
      </c>
      <c r="G2291" s="3" t="e">
        <f t="shared" si="76"/>
        <v>#VALUE!</v>
      </c>
      <c r="H2291" s="3" t="e">
        <f t="shared" si="77"/>
        <v>#VALUE!</v>
      </c>
      <c r="I2291" s="1">
        <v>1</v>
      </c>
    </row>
    <row r="2292" spans="1:9" x14ac:dyDescent="0.25">
      <c r="A2292" s="1" t="s">
        <v>14435</v>
      </c>
      <c r="B2292" s="1" t="s">
        <v>6411</v>
      </c>
      <c r="C2292" s="1" t="str">
        <f>IFERROR(VLOOKUP(B2292,'SB1'!$A$2:$B$999999,2,FALSE),"")</f>
        <v>TAZA PLASTICA REFORZADA 1LT P/C2 ADIABATIC</v>
      </c>
      <c r="D2292" s="1" t="s">
        <v>14496</v>
      </c>
      <c r="E2292" s="3">
        <f>IFERROR(VLOOKUP(B2292,'DA1'!$B$2:$D$999999,3,FALSE),"")</f>
      </c>
      <c r="F2292" s="1" t="str">
        <f>IFERROR(VLOOKUP(B2292,'SB1'!$A$2:$C$999999,3,FALSE),"")</f>
        <v>503</v>
      </c>
      <c r="G2292" s="3" t="e">
        <f t="shared" si="76"/>
        <v>#VALUE!</v>
      </c>
      <c r="H2292" s="3" t="e">
        <f t="shared" si="77"/>
        <v>#VALUE!</v>
      </c>
      <c r="I2292" s="1">
        <v>1</v>
      </c>
    </row>
    <row r="2293" spans="1:9" x14ac:dyDescent="0.25">
      <c r="A2293" s="1" t="s">
        <v>14435</v>
      </c>
      <c r="B2293" s="1" t="s">
        <v>6415</v>
      </c>
      <c r="C2293" s="1" t="str">
        <f>IFERROR(VLOOKUP(B2293,'SB1'!$A$2:$B$999999,2,FALSE),"")</f>
        <v>MANG.AIRE 7,5 M ACOP.RAP ADIABATIC (00MA7_5R)</v>
      </c>
      <c r="D2293" s="1" t="s">
        <v>14496</v>
      </c>
      <c r="E2293" s="3">
        <f>IFERROR(VLOOKUP(B2293,'DA1'!$B$2:$D$999999,3,FALSE),"")</f>
      </c>
      <c r="F2293" s="1" t="str">
        <f>IFERROR(VLOOKUP(B2293,'SB1'!$A$2:$C$999999,3,FALSE),"")</f>
        <v>503</v>
      </c>
      <c r="G2293" s="3" t="e">
        <f t="shared" si="76"/>
        <v>#VALUE!</v>
      </c>
      <c r="H2293" s="3" t="e">
        <f t="shared" si="77"/>
        <v>#VALUE!</v>
      </c>
      <c r="I2293" s="1">
        <v>1</v>
      </c>
    </row>
    <row r="2294" spans="1:9" x14ac:dyDescent="0.25">
      <c r="A2294" s="1" t="s">
        <v>14435</v>
      </c>
      <c r="B2294" s="1" t="s">
        <v>6419</v>
      </c>
      <c r="C2294" s="1" t="str">
        <f>IFERROR(VLOOKUP(B2294,'SB1'!$A$2:$B$999999,2,FALSE),"")</f>
        <v>AEROSOL TERSUAVE ESMALTE SINTETICO BRILLANTE PLATA X 0,250</v>
      </c>
      <c r="D2294" s="1" t="s">
        <v>14437</v>
      </c>
      <c r="E2294" s="3">
        <f>IFERROR(VLOOKUP(B2294,'DA1'!$B$2:$D$999999,3,FALSE),"")</f>
      </c>
      <c r="F2294" s="1" t="str">
        <f>IFERROR(VLOOKUP(B2294,'SB1'!$A$2:$C$999999,3,FALSE),"")</f>
        <v>503</v>
      </c>
      <c r="G2294" s="3" t="e">
        <f t="shared" si="76"/>
        <v>#VALUE!</v>
      </c>
      <c r="H2294" s="3" t="e">
        <f t="shared" si="77"/>
        <v>#VALUE!</v>
      </c>
      <c r="I2294" s="1">
        <v>1</v>
      </c>
    </row>
    <row r="2295" spans="1:9" x14ac:dyDescent="0.25">
      <c r="A2295" s="1" t="s">
        <v>14435</v>
      </c>
      <c r="B2295" s="1" t="s">
        <v>6421</v>
      </c>
      <c r="C2295" s="1" t="str">
        <f>IFERROR(VLOOKUP(B2295,'SB1'!$A$2:$B$999999,2,FALSE),"")</f>
        <v>IMPRIMACION DEMARCACION VIAL TERVIAL BRILLANTE X  4</v>
      </c>
      <c r="D2295" s="1" t="s">
        <v>14487</v>
      </c>
      <c r="E2295" s="3">
        <f>IFERROR(VLOOKUP(B2295,'DA1'!$B$2:$D$999999,3,FALSE),"")</f>
      </c>
      <c r="F2295" s="1" t="str">
        <f>IFERROR(VLOOKUP(B2295,'SB1'!$A$2:$C$999999,3,FALSE),"")</f>
        <v>503</v>
      </c>
      <c r="G2295" s="3" t="e">
        <f t="shared" si="76"/>
        <v>#VALUE!</v>
      </c>
      <c r="H2295" s="3" t="e">
        <f t="shared" si="77"/>
        <v>#VALUE!</v>
      </c>
      <c r="I2295" s="1">
        <v>1</v>
      </c>
    </row>
    <row r="2296" spans="1:9" x14ac:dyDescent="0.25">
      <c r="A2296" s="1" t="s">
        <v>14435</v>
      </c>
      <c r="B2296" s="1" t="s">
        <v>6423</v>
      </c>
      <c r="C2296" s="1" t="str">
        <f>IFERROR(VLOOKUP(B2296,'SB1'!$A$2:$B$999999,2,FALSE),"")</f>
        <v>IMPRIMACION DEMARCACION VIAL TERVIAL BRILLANTE X 20</v>
      </c>
      <c r="D2296" s="1" t="s">
        <v>14487</v>
      </c>
      <c r="E2296" s="3">
        <f>IFERROR(VLOOKUP(B2296,'DA1'!$B$2:$D$999999,3,FALSE),"")</f>
      </c>
      <c r="F2296" s="1" t="str">
        <f>IFERROR(VLOOKUP(B2296,'SB1'!$A$2:$C$999999,3,FALSE),"")</f>
        <v>503</v>
      </c>
      <c r="G2296" s="3" t="e">
        <f t="shared" si="76"/>
        <v>#VALUE!</v>
      </c>
      <c r="H2296" s="3" t="e">
        <f t="shared" si="77"/>
        <v>#VALUE!</v>
      </c>
      <c r="I2296" s="1">
        <v>1</v>
      </c>
    </row>
    <row r="2297" spans="1:9" x14ac:dyDescent="0.25">
      <c r="A2297" s="1" t="s">
        <v>14435</v>
      </c>
      <c r="B2297" s="1" t="s">
        <v>6427</v>
      </c>
      <c r="C2297" s="1" t="str">
        <f>IFERROR(VLOOKUP(B2297,'SB1'!$A$2:$B$999999,2,FALSE),"")</f>
        <v>MICROESFERA PARA SEMBRADO DROP-ON H80 X 1</v>
      </c>
      <c r="D2297" s="1" t="s">
        <v>14487</v>
      </c>
      <c r="E2297" s="3">
        <f>IFERROR(VLOOKUP(B2297,'DA1'!$B$2:$D$999999,3,FALSE),"")</f>
      </c>
      <c r="F2297" s="1" t="str">
        <f>IFERROR(VLOOKUP(B2297,'SB1'!$A$2:$C$999999,3,FALSE),"")</f>
        <v>503</v>
      </c>
      <c r="G2297" s="3" t="e">
        <f t="shared" si="76"/>
        <v>#VALUE!</v>
      </c>
      <c r="H2297" s="3" t="e">
        <f t="shared" si="77"/>
        <v>#VALUE!</v>
      </c>
      <c r="I2297" s="1">
        <v>1</v>
      </c>
    </row>
    <row r="2298" spans="1:9" x14ac:dyDescent="0.25">
      <c r="A2298" s="1" t="s">
        <v>14435</v>
      </c>
      <c r="B2298" s="1" t="s">
        <v>6429</v>
      </c>
      <c r="C2298" s="1" t="str">
        <f>IFERROR(VLOOKUP(B2298,'SB1'!$A$2:$B$999999,2,FALSE),"")</f>
        <v>EFECTO ESPECIAL DESIGN BASE VELVET/NUAGE X 2,1</v>
      </c>
      <c r="D2298" s="1" t="s">
        <v>14480</v>
      </c>
      <c r="E2298" s="3">
        <f>IFERROR(VLOOKUP(B2298,'DA1'!$B$2:$D$999999,3,FALSE),"")</f>
      </c>
      <c r="F2298" s="1" t="str">
        <f>IFERROR(VLOOKUP(B2298,'SB1'!$A$2:$C$999999,3,FALSE),"")</f>
        <v>503</v>
      </c>
      <c r="G2298" s="3" t="e">
        <f t="shared" si="76"/>
        <v>#VALUE!</v>
      </c>
      <c r="H2298" s="3" t="e">
        <f t="shared" si="77"/>
        <v>#VALUE!</v>
      </c>
      <c r="I2298" s="1">
        <v>1</v>
      </c>
    </row>
    <row r="2299" spans="1:9" x14ac:dyDescent="0.25">
      <c r="A2299" s="1" t="s">
        <v>14435</v>
      </c>
      <c r="B2299" s="1" t="s">
        <v>6431</v>
      </c>
      <c r="C2299" s="1" t="str">
        <f>IFERROR(VLOOKUP(B2299,'SB1'!$A$2:$B$999999,2,FALSE),"")</f>
        <v>MICROESFERAS DE PREMEZCLADO PRE-MIX P93 X 1</v>
      </c>
      <c r="D2299" s="1" t="s">
        <v>14487</v>
      </c>
      <c r="E2299" s="3">
        <f>IFERROR(VLOOKUP(B2299,'DA1'!$B$2:$D$999999,3,FALSE),"")</f>
      </c>
      <c r="F2299" s="1" t="str">
        <f>IFERROR(VLOOKUP(B2299,'SB1'!$A$2:$C$999999,3,FALSE),"")</f>
        <v>503</v>
      </c>
      <c r="G2299" s="3" t="e">
        <f t="shared" si="76"/>
        <v>#VALUE!</v>
      </c>
      <c r="H2299" s="3" t="e">
        <f t="shared" si="77"/>
        <v>#VALUE!</v>
      </c>
      <c r="I2299" s="1">
        <v>1</v>
      </c>
    </row>
    <row r="2300" spans="1:9" x14ac:dyDescent="0.25">
      <c r="A2300" s="1" t="s">
        <v>14435</v>
      </c>
      <c r="B2300" s="1" t="s">
        <v>6441</v>
      </c>
      <c r="C2300" s="1" t="str">
        <f>IFERROR(VLOOKUP(B2300,'SB1'!$A$2:$B$999999,2,FALSE),"")</f>
        <v>CM-008 PRETO AZULADO X 1</v>
      </c>
      <c r="D2300" s="1" t="s">
        <v>14454</v>
      </c>
      <c r="E2300" s="3">
        <f>IFERROR(VLOOKUP(B2300,'DA1'!$B$2:$D$999999,3,FALSE),"")</f>
      </c>
      <c r="F2300" s="1" t="str">
        <f>IFERROR(VLOOKUP(B2300,'SB1'!$A$2:$C$999999,3,FALSE),"")</f>
        <v>503</v>
      </c>
      <c r="G2300" s="3" t="e">
        <f t="shared" si="76"/>
        <v>#VALUE!</v>
      </c>
      <c r="H2300" s="3" t="e">
        <f t="shared" si="77"/>
        <v>#VALUE!</v>
      </c>
      <c r="I2300" s="1">
        <v>3</v>
      </c>
    </row>
    <row r="2301" spans="1:9" x14ac:dyDescent="0.25">
      <c r="A2301" s="1" t="s">
        <v>14435</v>
      </c>
      <c r="B2301" s="1" t="s">
        <v>6443</v>
      </c>
      <c r="C2301" s="1" t="str">
        <f>IFERROR(VLOOKUP(B2301,'SB1'!$A$2:$B$999999,2,FALSE),"")</f>
        <v>CM-070 AZUL MARINO X 1</v>
      </c>
      <c r="D2301" s="1" t="s">
        <v>14454</v>
      </c>
      <c r="E2301" s="3">
        <f>IFERROR(VLOOKUP(B2301,'DA1'!$B$2:$D$999999,3,FALSE),"")</f>
      </c>
      <c r="F2301" s="1" t="str">
        <f>IFERROR(VLOOKUP(B2301,'SB1'!$A$2:$C$999999,3,FALSE),"")</f>
        <v>503</v>
      </c>
      <c r="G2301" s="3" t="e">
        <f t="shared" si="76"/>
        <v>#VALUE!</v>
      </c>
      <c r="H2301" s="3" t="e">
        <f t="shared" si="77"/>
        <v>#VALUE!</v>
      </c>
      <c r="I2301" s="1">
        <v>3</v>
      </c>
    </row>
    <row r="2302" spans="1:9" x14ac:dyDescent="0.25">
      <c r="A2302" s="1" t="s">
        <v>14435</v>
      </c>
      <c r="B2302" s="1" t="s">
        <v>6455</v>
      </c>
      <c r="C2302" s="1" t="str">
        <f>IFERROR(VLOOKUP(B2302,'SB1'!$A$2:$B$999999,2,FALSE),"")</f>
        <v>EFECTO ESPECIAL DESIGN BASE MARMOL X 3,240</v>
      </c>
      <c r="D2302" s="1" t="s">
        <v>14480</v>
      </c>
      <c r="E2302" s="3">
        <f>IFERROR(VLOOKUP(B2302,'DA1'!$B$2:$D$999999,3,FALSE),"")</f>
      </c>
      <c r="F2302" s="1" t="str">
        <f>IFERROR(VLOOKUP(B2302,'SB1'!$A$2:$C$999999,3,FALSE),"")</f>
        <v>503</v>
      </c>
      <c r="G2302" s="3" t="e">
        <f t="shared" si="76"/>
        <v>#VALUE!</v>
      </c>
      <c r="H2302" s="3" t="e">
        <f t="shared" si="77"/>
        <v>#VALUE!</v>
      </c>
      <c r="I2302" s="1">
        <v>1</v>
      </c>
    </row>
    <row r="2303" spans="1:9" x14ac:dyDescent="0.25">
      <c r="A2303" s="1" t="s">
        <v>14435</v>
      </c>
      <c r="B2303" s="1" t="s">
        <v>6457</v>
      </c>
      <c r="C2303" s="1" t="str">
        <f>IFERROR(VLOOKUP(B2303,'SB1'!$A$2:$B$999999,2,FALSE),"")</f>
        <v>EFECTO ESPECIAL DESIGN BASE CEMENTO X 3,240</v>
      </c>
      <c r="D2303" s="1" t="s">
        <v>14480</v>
      </c>
      <c r="E2303" s="3">
        <f>IFERROR(VLOOKUP(B2303,'DA1'!$B$2:$D$999999,3,FALSE),"")</f>
      </c>
      <c r="F2303" s="1" t="str">
        <f>IFERROR(VLOOKUP(B2303,'SB1'!$A$2:$C$999999,3,FALSE),"")</f>
        <v>503</v>
      </c>
      <c r="G2303" s="3" t="e">
        <f t="shared" si="76"/>
        <v>#VALUE!</v>
      </c>
      <c r="H2303" s="3" t="e">
        <f t="shared" si="77"/>
        <v>#VALUE!</v>
      </c>
      <c r="I2303" s="1">
        <v>1</v>
      </c>
    </row>
    <row r="2304" spans="1:9" x14ac:dyDescent="0.25">
      <c r="A2304" s="1" t="s">
        <v>14435</v>
      </c>
      <c r="B2304" s="1" t="s">
        <v>6459</v>
      </c>
      <c r="C2304" s="1" t="str">
        <f>IFERROR(VLOOKUP(B2304,'SB1'!$A$2:$B$999999,2,FALSE),"")</f>
        <v>AEROSOL TERSUAVE ESMALTE SINTETICO BRILLANTE ORO X 0,250</v>
      </c>
      <c r="D2304" s="1" t="s">
        <v>14437</v>
      </c>
      <c r="E2304" s="3">
        <f>IFERROR(VLOOKUP(B2304,'DA1'!$B$2:$D$999999,3,FALSE),"")</f>
      </c>
      <c r="F2304" s="1" t="str">
        <f>IFERROR(VLOOKUP(B2304,'SB1'!$A$2:$C$999999,3,FALSE),"")</f>
        <v>503</v>
      </c>
      <c r="G2304" s="3" t="e">
        <f t="shared" si="76"/>
        <v>#VALUE!</v>
      </c>
      <c r="H2304" s="3" t="e">
        <f t="shared" si="77"/>
        <v>#VALUE!</v>
      </c>
      <c r="I2304" s="1">
        <v>1</v>
      </c>
    </row>
    <row r="2305" spans="1:9" x14ac:dyDescent="0.25">
      <c r="A2305" s="1" t="s">
        <v>14435</v>
      </c>
      <c r="B2305" s="1" t="s">
        <v>6461</v>
      </c>
      <c r="C2305" s="1" t="str">
        <f>IFERROR(VLOOKUP(B2305,'SB1'!$A$2:$B$999999,2,FALSE),"")</f>
        <v>AEROSOL TERSUAVE ESMALTE SINTETICO BRILLANTE COBRE X 0,250</v>
      </c>
      <c r="D2305" s="1" t="s">
        <v>14437</v>
      </c>
      <c r="E2305" s="3">
        <f>IFERROR(VLOOKUP(B2305,'DA1'!$B$2:$D$999999,3,FALSE),"")</f>
      </c>
      <c r="F2305" s="1" t="str">
        <f>IFERROR(VLOOKUP(B2305,'SB1'!$A$2:$C$999999,3,FALSE),"")</f>
        <v>503</v>
      </c>
      <c r="G2305" s="3" t="e">
        <f t="shared" si="76"/>
        <v>#VALUE!</v>
      </c>
      <c r="H2305" s="3" t="e">
        <f t="shared" si="77"/>
        <v>#VALUE!</v>
      </c>
      <c r="I2305" s="1">
        <v>1</v>
      </c>
    </row>
    <row r="2306" spans="1:9" x14ac:dyDescent="0.25">
      <c r="A2306" s="1" t="s">
        <v>14435</v>
      </c>
      <c r="B2306" s="1" t="s">
        <v>6463</v>
      </c>
      <c r="C2306" s="1" t="str">
        <f>IFERROR(VLOOKUP(B2306,'SB1'!$A$2:$B$999999,2,FALSE),"")</f>
        <v>AEROSOL TERSUAVE ESMALTE SINTETICO BRILLANTE COBRE X 0,440</v>
      </c>
      <c r="D2306" s="1" t="s">
        <v>14437</v>
      </c>
      <c r="E2306" s="3">
        <f>IFERROR(VLOOKUP(B2306,'DA1'!$B$2:$D$999999,3,FALSE),"")</f>
      </c>
      <c r="F2306" s="1" t="str">
        <f>IFERROR(VLOOKUP(B2306,'SB1'!$A$2:$C$999999,3,FALSE),"")</f>
        <v>503</v>
      </c>
      <c r="G2306" s="3" t="e">
        <f t="shared" si="76"/>
        <v>#VALUE!</v>
      </c>
      <c r="H2306" s="3" t="e">
        <f t="shared" si="77"/>
        <v>#VALUE!</v>
      </c>
      <c r="I2306" s="1">
        <v>1</v>
      </c>
    </row>
    <row r="2307" spans="1:9" x14ac:dyDescent="0.25">
      <c r="A2307" s="1" t="s">
        <v>14435</v>
      </c>
      <c r="B2307" s="1" t="s">
        <v>6473</v>
      </c>
      <c r="C2307" s="1" t="str">
        <f>IFERROR(VLOOKUP(B2307,'SB1'!$A$2:$B$999999,2,FALSE),"")</f>
        <v>AEROSOL TERSUAVE ESMALTE SINTETICO BRILLANTE MARRON X 0,440</v>
      </c>
      <c r="D2307" s="1" t="s">
        <v>14437</v>
      </c>
      <c r="E2307" s="3">
        <f>IFERROR(VLOOKUP(B2307,'DA1'!$B$2:$D$999999,3,FALSE),"")</f>
      </c>
      <c r="F2307" s="1" t="str">
        <f>IFERROR(VLOOKUP(B2307,'SB1'!$A$2:$C$999999,3,FALSE),"")</f>
        <v>503</v>
      </c>
      <c r="G2307" s="3" t="e">
        <f t="shared" ref="G2307:G2370" si="78">E2307*1.04</f>
        <v>#VALUE!</v>
      </c>
      <c r="H2307" s="3" t="e">
        <f t="shared" si="77"/>
        <v>#VALUE!</v>
      </c>
      <c r="I2307" s="1">
        <v>1</v>
      </c>
    </row>
    <row r="2308" spans="1:9" x14ac:dyDescent="0.25">
      <c r="A2308" s="1" t="s">
        <v>14435</v>
      </c>
      <c r="B2308" s="1" t="s">
        <v>6475</v>
      </c>
      <c r="C2308" s="1" t="str">
        <f>IFERROR(VLOOKUP(B2308,'SB1'!$A$2:$B$999999,2,FALSE),"")</f>
        <v>DISCO FOAM AZUL FINO(DFAZULF)</v>
      </c>
      <c r="D2308" s="1" t="s">
        <v>14481</v>
      </c>
      <c r="E2308" s="3">
        <f>IFERROR(VLOOKUP(B2308,'DA1'!$B$2:$D$999999,3,FALSE),"")</f>
      </c>
      <c r="F2308" s="1" t="str">
        <f>IFERROR(VLOOKUP(B2308,'SB1'!$A$2:$C$999999,3,FALSE),"")</f>
        <v>503</v>
      </c>
      <c r="G2308" s="3" t="e">
        <f t="shared" si="78"/>
        <v>#VALUE!</v>
      </c>
      <c r="H2308" s="3" t="e">
        <f t="shared" si="77"/>
        <v>#VALUE!</v>
      </c>
      <c r="I2308" s="1">
        <v>1</v>
      </c>
    </row>
    <row r="2309" spans="1:9" x14ac:dyDescent="0.25">
      <c r="A2309" s="1" t="s">
        <v>14435</v>
      </c>
      <c r="B2309" s="1" t="s">
        <v>6477</v>
      </c>
      <c r="C2309" s="1" t="str">
        <f>IFERROR(VLOOKUP(B2309,'SB1'!$A$2:$B$999999,2,FALSE),"")</f>
        <v>DISCO FOAM AZUL SUPERFINO(DFAZULSF)</v>
      </c>
      <c r="D2309" s="1" t="s">
        <v>14481</v>
      </c>
      <c r="E2309" s="3">
        <f>IFERROR(VLOOKUP(B2309,'DA1'!$B$2:$D$999999,3,FALSE),"")</f>
      </c>
      <c r="F2309" s="1" t="str">
        <f>IFERROR(VLOOKUP(B2309,'SB1'!$A$2:$C$999999,3,FALSE),"")</f>
        <v>503</v>
      </c>
      <c r="G2309" s="3" t="e">
        <f t="shared" si="78"/>
        <v>#VALUE!</v>
      </c>
      <c r="H2309" s="3" t="e">
        <f t="shared" si="77"/>
        <v>#VALUE!</v>
      </c>
      <c r="I2309" s="1">
        <v>1</v>
      </c>
    </row>
    <row r="2310" spans="1:9" x14ac:dyDescent="0.25">
      <c r="A2310" s="1" t="s">
        <v>14435</v>
      </c>
      <c r="B2310" s="1" t="s">
        <v>6479</v>
      </c>
      <c r="C2310" s="1" t="str">
        <f>IFERROR(VLOOKUP(B2310,'SB1'!$A$2:$B$999999,2,FALSE),"")</f>
        <v>DISCO FOAM AZUL MICROFINO(DFAZULMF)</v>
      </c>
      <c r="D2310" s="1" t="s">
        <v>14481</v>
      </c>
      <c r="E2310" s="3">
        <f>IFERROR(VLOOKUP(B2310,'DA1'!$B$2:$D$999999,3,FALSE),"")</f>
      </c>
      <c r="F2310" s="1" t="str">
        <f>IFERROR(VLOOKUP(B2310,'SB1'!$A$2:$C$999999,3,FALSE),"")</f>
        <v>503</v>
      </c>
      <c r="G2310" s="3" t="e">
        <f t="shared" si="78"/>
        <v>#VALUE!</v>
      </c>
      <c r="H2310" s="3" t="e">
        <f t="shared" si="77"/>
        <v>#VALUE!</v>
      </c>
      <c r="I2310" s="1">
        <v>1</v>
      </c>
    </row>
    <row r="2311" spans="1:9" x14ac:dyDescent="0.25">
      <c r="A2311" s="1" t="s">
        <v>14435</v>
      </c>
      <c r="B2311" s="1" t="s">
        <v>6481</v>
      </c>
      <c r="C2311" s="1" t="str">
        <f>IFERROR(VLOOKUP(B2311,'SB1'!$A$2:$B$999999,2,FALSE),"")</f>
        <v>ABRAP DC ESP P 500(GRIS)</v>
      </c>
      <c r="D2311" s="1" t="s">
        <v>14481</v>
      </c>
      <c r="E2311" s="3">
        <f>IFERROR(VLOOKUP(B2311,'DA1'!$B$2:$D$999999,3,FALSE),"")</f>
      </c>
      <c r="F2311" s="1" t="str">
        <f>IFERROR(VLOOKUP(B2311,'SB1'!$A$2:$C$999999,3,FALSE),"")</f>
        <v>503</v>
      </c>
      <c r="G2311" s="3" t="e">
        <f t="shared" si="78"/>
        <v>#VALUE!</v>
      </c>
      <c r="H2311" s="3" t="e">
        <f t="shared" si="77"/>
        <v>#VALUE!</v>
      </c>
      <c r="I2311" s="1">
        <v>1</v>
      </c>
    </row>
    <row r="2312" spans="1:9" x14ac:dyDescent="0.25">
      <c r="A2312" s="1" t="s">
        <v>14435</v>
      </c>
      <c r="B2312" s="1" t="s">
        <v>6483</v>
      </c>
      <c r="C2312" s="1" t="str">
        <f>IFERROR(VLOOKUP(B2312,'SB1'!$A$2:$B$999999,2,FALSE),"")</f>
        <v>ABRAP DC ESP P 800(AZUL)</v>
      </c>
      <c r="D2312" s="1" t="s">
        <v>14481</v>
      </c>
      <c r="E2312" s="3">
        <f>IFERROR(VLOOKUP(B2312,'DA1'!$B$2:$D$999999,3,FALSE),"")</f>
      </c>
      <c r="F2312" s="1" t="str">
        <f>IFERROR(VLOOKUP(B2312,'SB1'!$A$2:$C$999999,3,FALSE),"")</f>
        <v>503</v>
      </c>
      <c r="G2312" s="3" t="e">
        <f t="shared" si="78"/>
        <v>#VALUE!</v>
      </c>
      <c r="H2312" s="3" t="e">
        <f t="shared" si="77"/>
        <v>#VALUE!</v>
      </c>
      <c r="I2312" s="1">
        <v>1</v>
      </c>
    </row>
    <row r="2313" spans="1:9" x14ac:dyDescent="0.25">
      <c r="A2313" s="1" t="s">
        <v>14435</v>
      </c>
      <c r="B2313" s="1" t="s">
        <v>6485</v>
      </c>
      <c r="C2313" s="1" t="str">
        <f>IFERROR(VLOOKUP(B2313,'SB1'!$A$2:$B$999999,2,FALSE),"")</f>
        <v>ABRAP DC ESP P1000/1200(VIOLETA)</v>
      </c>
      <c r="D2313" s="1" t="s">
        <v>14481</v>
      </c>
      <c r="E2313" s="3">
        <f>IFERROR(VLOOKUP(B2313,'DA1'!$B$2:$D$999999,3,FALSE),"")</f>
      </c>
      <c r="F2313" s="1" t="str">
        <f>IFERROR(VLOOKUP(B2313,'SB1'!$A$2:$C$999999,3,FALSE),"")</f>
        <v>503</v>
      </c>
      <c r="G2313" s="3" t="e">
        <f t="shared" si="78"/>
        <v>#VALUE!</v>
      </c>
      <c r="H2313" s="3" t="e">
        <f t="shared" si="77"/>
        <v>#VALUE!</v>
      </c>
      <c r="I2313" s="1">
        <v>1</v>
      </c>
    </row>
    <row r="2314" spans="1:9" x14ac:dyDescent="0.25">
      <c r="A2314" s="1" t="s">
        <v>14435</v>
      </c>
      <c r="B2314" s="1" t="s">
        <v>6487</v>
      </c>
      <c r="C2314" s="1" t="str">
        <f>IFERROR(VLOOKUP(B2314,'SB1'!$A$2:$B$999999,2,FALSE),"")</f>
        <v>ABRAP DC ESP P1500/2000(NARANJA)</v>
      </c>
      <c r="D2314" s="1" t="s">
        <v>14481</v>
      </c>
      <c r="E2314" s="3">
        <f>IFERROR(VLOOKUP(B2314,'DA1'!$B$2:$D$999999,3,FALSE),"")</f>
      </c>
      <c r="F2314" s="1" t="str">
        <f>IFERROR(VLOOKUP(B2314,'SB1'!$A$2:$C$999999,3,FALSE),"")</f>
        <v>503</v>
      </c>
      <c r="G2314" s="3" t="e">
        <f t="shared" si="78"/>
        <v>#VALUE!</v>
      </c>
      <c r="H2314" s="3" t="e">
        <f t="shared" si="77"/>
        <v>#VALUE!</v>
      </c>
      <c r="I2314" s="1">
        <v>1</v>
      </c>
    </row>
    <row r="2315" spans="1:9" x14ac:dyDescent="0.25">
      <c r="A2315" s="1" t="s">
        <v>14435</v>
      </c>
      <c r="B2315" s="1" t="s">
        <v>6489</v>
      </c>
      <c r="C2315" s="1" t="str">
        <f>IFERROR(VLOOKUP(B2315,'SB1'!$A$2:$B$999999,2,FALSE),"")</f>
        <v>ABRAP DC ESP P2500/3000(ROJO)</v>
      </c>
      <c r="D2315" s="1" t="s">
        <v>14481</v>
      </c>
      <c r="E2315" s="3">
        <f>IFERROR(VLOOKUP(B2315,'DA1'!$B$2:$D$999999,3,FALSE),"")</f>
      </c>
      <c r="F2315" s="1" t="str">
        <f>IFERROR(VLOOKUP(B2315,'SB1'!$A$2:$C$999999,3,FALSE),"")</f>
        <v>503</v>
      </c>
      <c r="G2315" s="3" t="e">
        <f t="shared" si="78"/>
        <v>#VALUE!</v>
      </c>
      <c r="H2315" s="3" t="e">
        <f t="shared" si="77"/>
        <v>#VALUE!</v>
      </c>
      <c r="I2315" s="1">
        <v>1</v>
      </c>
    </row>
    <row r="2316" spans="1:9" x14ac:dyDescent="0.25">
      <c r="A2316" s="1" t="s">
        <v>14435</v>
      </c>
      <c r="B2316" s="1" t="s">
        <v>6491</v>
      </c>
      <c r="C2316" s="1" t="str">
        <f>IFERROR(VLOOKUP(B2316,'SB1'!$A$2:$B$999999,2,FALSE),"")</f>
        <v>ABRAP DC ESP P4000(VERDE)</v>
      </c>
      <c r="D2316" s="1" t="s">
        <v>14481</v>
      </c>
      <c r="E2316" s="3">
        <f>IFERROR(VLOOKUP(B2316,'DA1'!$B$2:$D$999999,3,FALSE),"")</f>
      </c>
      <c r="F2316" s="1" t="str">
        <f>IFERROR(VLOOKUP(B2316,'SB1'!$A$2:$C$999999,3,FALSE),"")</f>
        <v>503</v>
      </c>
      <c r="G2316" s="3" t="e">
        <f t="shared" si="78"/>
        <v>#VALUE!</v>
      </c>
      <c r="H2316" s="3" t="e">
        <f t="shared" si="77"/>
        <v>#VALUE!</v>
      </c>
      <c r="I2316" s="1">
        <v>1</v>
      </c>
    </row>
    <row r="2317" spans="1:9" x14ac:dyDescent="0.25">
      <c r="A2317" s="1" t="s">
        <v>14435</v>
      </c>
      <c r="B2317" s="1" t="s">
        <v>6493</v>
      </c>
      <c r="C2317" s="1" t="str">
        <f>IFERROR(VLOOKUP(B2317,'SB1'!$A$2:$B$999999,2,FALSE),"")</f>
        <v>ABRAP DC ESP P5000(AMARILLO)</v>
      </c>
      <c r="D2317" s="1" t="s">
        <v>14481</v>
      </c>
      <c r="E2317" s="3">
        <f>IFERROR(VLOOKUP(B2317,'DA1'!$B$2:$D$999999,3,FALSE),"")</f>
      </c>
      <c r="F2317" s="1" t="str">
        <f>IFERROR(VLOOKUP(B2317,'SB1'!$A$2:$C$999999,3,FALSE),"")</f>
        <v>503</v>
      </c>
      <c r="G2317" s="3" t="e">
        <f t="shared" si="78"/>
        <v>#VALUE!</v>
      </c>
      <c r="H2317" s="3" t="e">
        <f t="shared" si="77"/>
        <v>#VALUE!</v>
      </c>
      <c r="I2317" s="1">
        <v>1</v>
      </c>
    </row>
    <row r="2318" spans="1:9" x14ac:dyDescent="0.25">
      <c r="A2318" s="1" t="s">
        <v>14435</v>
      </c>
      <c r="B2318" s="1" t="s">
        <v>6495</v>
      </c>
      <c r="C2318" s="1" t="str">
        <f>IFERROR(VLOOKUP(B2318,'SB1'!$A$2:$B$999999,2,FALSE),"")</f>
        <v>FILM PARA ENMASCASCARAR 19MM X 35CM X 22,5</v>
      </c>
      <c r="D2318" s="1" t="s">
        <v>14481</v>
      </c>
      <c r="E2318" s="3">
        <f>IFERROR(VLOOKUP(B2318,'DA1'!$B$2:$D$999999,3,FALSE),"")</f>
      </c>
      <c r="F2318" s="1" t="str">
        <f>IFERROR(VLOOKUP(B2318,'SB1'!$A$2:$C$999999,3,FALSE),"")</f>
        <v>503</v>
      </c>
      <c r="G2318" s="3" t="e">
        <f t="shared" si="78"/>
        <v>#VALUE!</v>
      </c>
      <c r="H2318" s="3" t="e">
        <f t="shared" si="77"/>
        <v>#VALUE!</v>
      </c>
      <c r="I2318" s="1">
        <v>1</v>
      </c>
    </row>
    <row r="2319" spans="1:9" x14ac:dyDescent="0.25">
      <c r="A2319" s="1" t="s">
        <v>14435</v>
      </c>
      <c r="B2319" s="1" t="s">
        <v>6497</v>
      </c>
      <c r="C2319" s="1" t="str">
        <f>IFERROR(VLOOKUP(B2319,'SB1'!$A$2:$B$999999,2,FALSE),"")</f>
        <v>FILM PARA ENMASCASCARAR 19MM X  60CM X 22,5</v>
      </c>
      <c r="D2319" s="1" t="s">
        <v>14436</v>
      </c>
      <c r="E2319" s="3">
        <f>IFERROR(VLOOKUP(B2319,'DA1'!$B$2:$D$999999,3,FALSE),"")</f>
      </c>
      <c r="F2319" s="1" t="str">
        <f>IFERROR(VLOOKUP(B2319,'SB1'!$A$2:$C$999999,3,FALSE),"")</f>
        <v>503</v>
      </c>
      <c r="G2319" s="3" t="e">
        <f t="shared" si="78"/>
        <v>#VALUE!</v>
      </c>
      <c r="H2319" s="3" t="e">
        <f t="shared" si="77"/>
        <v>#VALUE!</v>
      </c>
      <c r="I2319" s="1">
        <v>1</v>
      </c>
    </row>
    <row r="2320" spans="1:9" x14ac:dyDescent="0.25">
      <c r="A2320" s="1" t="s">
        <v>14435</v>
      </c>
      <c r="B2320" s="1" t="s">
        <v>6499</v>
      </c>
      <c r="C2320" s="1" t="str">
        <f>IFERROR(VLOOKUP(B2320,'SB1'!$A$2:$B$999999,2,FALSE),"")</f>
        <v>FILM PARA ENMASCASCARAR 19MM X 90CM X 22,5</v>
      </c>
      <c r="D2320" s="1" t="s">
        <v>14481</v>
      </c>
      <c r="E2320" s="3">
        <f>IFERROR(VLOOKUP(B2320,'DA1'!$B$2:$D$999999,3,FALSE),"")</f>
      </c>
      <c r="F2320" s="1" t="str">
        <f>IFERROR(VLOOKUP(B2320,'SB1'!$A$2:$C$999999,3,FALSE),"")</f>
        <v>503</v>
      </c>
      <c r="G2320" s="3" t="e">
        <f t="shared" si="78"/>
        <v>#VALUE!</v>
      </c>
      <c r="H2320" s="3" t="e">
        <f t="shared" si="77"/>
        <v>#VALUE!</v>
      </c>
      <c r="I2320" s="1">
        <v>1</v>
      </c>
    </row>
    <row r="2321" spans="1:9" x14ac:dyDescent="0.25">
      <c r="A2321" s="1" t="s">
        <v>14435</v>
      </c>
      <c r="B2321" s="1" t="s">
        <v>6501</v>
      </c>
      <c r="C2321" s="1" t="str">
        <f>IFERROR(VLOOKUP(B2321,'SB1'!$A$2:$B$999999,2,FALSE),"")</f>
        <v>FILM PARA ENMASCASCARAR 19MM X 120CM X 22,5</v>
      </c>
      <c r="D2321" s="1" t="s">
        <v>14436</v>
      </c>
      <c r="E2321" s="3">
        <f>IFERROR(VLOOKUP(B2321,'DA1'!$B$2:$D$999999,3,FALSE),"")</f>
      </c>
      <c r="F2321" s="1" t="str">
        <f>IFERROR(VLOOKUP(B2321,'SB1'!$A$2:$C$999999,3,FALSE),"")</f>
        <v>503</v>
      </c>
      <c r="G2321" s="3" t="e">
        <f t="shared" si="78"/>
        <v>#VALUE!</v>
      </c>
      <c r="H2321" s="3" t="e">
        <f t="shared" si="77"/>
        <v>#VALUE!</v>
      </c>
      <c r="I2321" s="1">
        <v>1</v>
      </c>
    </row>
    <row r="2322" spans="1:9" x14ac:dyDescent="0.25">
      <c r="A2322" s="1" t="s">
        <v>14435</v>
      </c>
      <c r="B2322" s="1" t="s">
        <v>6503</v>
      </c>
      <c r="C2322" s="1" t="str">
        <f>IFERROR(VLOOKUP(B2322,'SB1'!$A$2:$B$999999,2,FALSE),"")</f>
        <v>SOPORTE DE PINTADO MULTIFUNCION</v>
      </c>
      <c r="D2322" s="1" t="s">
        <v>14481</v>
      </c>
      <c r="E2322" s="3">
        <f>IFERROR(VLOOKUP(B2322,'DA1'!$B$2:$D$999999,3,FALSE),"")</f>
      </c>
      <c r="F2322" s="1" t="str">
        <f>IFERROR(VLOOKUP(B2322,'SB1'!$A$2:$C$999999,3,FALSE),"")</f>
        <v>503</v>
      </c>
      <c r="G2322" s="3" t="e">
        <f t="shared" si="78"/>
        <v>#VALUE!</v>
      </c>
      <c r="H2322" s="3" t="e">
        <f t="shared" si="77"/>
        <v>#VALUE!</v>
      </c>
      <c r="I2322" s="1">
        <v>1</v>
      </c>
    </row>
    <row r="2323" spans="1:9" x14ac:dyDescent="0.25">
      <c r="A2323" s="1" t="s">
        <v>14435</v>
      </c>
      <c r="B2323" s="1" t="s">
        <v>6505</v>
      </c>
      <c r="C2323" s="1" t="str">
        <f>IFERROR(VLOOKUP(B2323,'SB1'!$A$2:$B$999999,2,FALSE),"")</f>
        <v>KIT DE LIMPIEZA DE PISTOLAS</v>
      </c>
      <c r="D2323" s="1" t="s">
        <v>14481</v>
      </c>
      <c r="E2323" s="3">
        <f>IFERROR(VLOOKUP(B2323,'DA1'!$B$2:$D$999999,3,FALSE),"")</f>
      </c>
      <c r="F2323" s="1" t="str">
        <f>IFERROR(VLOOKUP(B2323,'SB1'!$A$2:$C$999999,3,FALSE),"")</f>
        <v>503</v>
      </c>
      <c r="G2323" s="3" t="e">
        <f t="shared" si="78"/>
        <v>#VALUE!</v>
      </c>
      <c r="H2323" s="3" t="e">
        <f t="shared" si="77"/>
        <v>#VALUE!</v>
      </c>
      <c r="I2323" s="1">
        <v>1</v>
      </c>
    </row>
    <row r="2324" spans="1:9" x14ac:dyDescent="0.25">
      <c r="A2324" s="1" t="s">
        <v>14435</v>
      </c>
      <c r="B2324" s="1" t="s">
        <v>6507</v>
      </c>
      <c r="C2324" s="1" t="str">
        <f>IFERROR(VLOOKUP(B2324,'SB1'!$A$2:$B$999999,2,FALSE),"")</f>
        <v>CUCHILLA CORTA PLASTICOS</v>
      </c>
      <c r="D2324" s="1" t="s">
        <v>14481</v>
      </c>
      <c r="E2324" s="3">
        <f>IFERROR(VLOOKUP(B2324,'DA1'!$B$2:$D$999999,3,FALSE),"")</f>
      </c>
      <c r="F2324" s="1" t="str">
        <f>IFERROR(VLOOKUP(B2324,'SB1'!$A$2:$C$999999,3,FALSE),"")</f>
        <v>503</v>
      </c>
      <c r="G2324" s="3" t="e">
        <f t="shared" si="78"/>
        <v>#VALUE!</v>
      </c>
      <c r="H2324" s="3" t="e">
        <f t="shared" ref="H2324:H2325" si="79">G2324*1.21</f>
        <v>#VALUE!</v>
      </c>
      <c r="I2324" s="1">
        <v>1</v>
      </c>
    </row>
    <row r="2325" spans="1:9" x14ac:dyDescent="0.25">
      <c r="A2325" s="1" t="s">
        <v>14435</v>
      </c>
      <c r="B2325" s="1" t="s">
        <v>6509</v>
      </c>
      <c r="C2325" s="1" t="str">
        <f>IFERROR(VLOOKUP(B2325,'SB1'!$A$2:$B$999999,2,FALSE),"")</f>
        <v>SOPORTE MAGNETICO PARA PISTOLA</v>
      </c>
      <c r="D2325" s="1" t="s">
        <v>14481</v>
      </c>
      <c r="E2325" s="3">
        <f>IFERROR(VLOOKUP(B2325,'DA1'!$B$2:$D$999999,3,FALSE),"")</f>
      </c>
      <c r="F2325" s="1" t="str">
        <f>IFERROR(VLOOKUP(B2325,'SB1'!$A$2:$C$999999,3,FALSE),"")</f>
        <v>503</v>
      </c>
      <c r="G2325" s="3" t="e">
        <f t="shared" si="78"/>
        <v>#VALUE!</v>
      </c>
      <c r="H2325" s="3" t="e">
        <f t="shared" si="79"/>
        <v>#VALUE!</v>
      </c>
      <c r="I2325" s="1">
        <v>1</v>
      </c>
    </row>
    <row r="2326" spans="1:9" x14ac:dyDescent="0.25">
      <c r="A2326" s="1" t="s">
        <v>14435</v>
      </c>
      <c r="B2326" s="1" t="s">
        <v>6511</v>
      </c>
      <c r="C2326" s="1" t="str">
        <f>IFERROR(VLOOKUP(B2326,'SB1'!$A$2:$B$999999,2,FALSE),"")</f>
        <v>PISTOLA PARA PINTAR ADIABATIC HVLP (PI-H827-14) (PI-H881-14)</v>
      </c>
      <c r="D2326" s="1" t="s">
        <v>14496</v>
      </c>
      <c r="E2326" s="3">
        <f>IFERROR(VLOOKUP(B2326,'DA1'!$B$2:$D$999999,3,FALSE),"")</f>
      </c>
      <c r="F2326" s="1" t="str">
        <f>IFERROR(VLOOKUP(B2326,'SB1'!$A$2:$C$999999,3,FALSE),"")</f>
        <v>501</v>
      </c>
      <c r="G2326" s="3" t="e">
        <f t="shared" si="78"/>
        <v>#VALUE!</v>
      </c>
      <c r="H2326" s="3" t="e">
        <f t="shared" ref="H2326:H2327" si="80">G2326*1.105</f>
        <v>#VALUE!</v>
      </c>
      <c r="I2326" s="1">
        <v>2</v>
      </c>
    </row>
    <row r="2327" spans="1:9" x14ac:dyDescent="0.25">
      <c r="A2327" s="1" t="s">
        <v>14435</v>
      </c>
      <c r="B2327" s="1" t="s">
        <v>6513</v>
      </c>
      <c r="C2327" s="1" t="str">
        <f>IFERROR(VLOOKUP(B2327,'SB1'!$A$2:$B$999999,2,FALSE),"")</f>
        <v>PISTOLA PARA PINTAR ADIABATIC ALTA PRESION (PI-S701-17)</v>
      </c>
      <c r="D2327" s="1" t="s">
        <v>14496</v>
      </c>
      <c r="E2327" s="3">
        <f>IFERROR(VLOOKUP(B2327,'DA1'!$B$2:$D$999999,3,FALSE),"")</f>
      </c>
      <c r="F2327" s="1" t="str">
        <f>IFERROR(VLOOKUP(B2327,'SB1'!$A$2:$C$999999,3,FALSE),"")</f>
        <v>501</v>
      </c>
      <c r="G2327" s="3" t="e">
        <f t="shared" si="78"/>
        <v>#VALUE!</v>
      </c>
      <c r="H2327" s="3" t="e">
        <f t="shared" si="80"/>
        <v>#VALUE!</v>
      </c>
      <c r="I2327" s="1">
        <v>2</v>
      </c>
    </row>
    <row r="2328" spans="1:9" x14ac:dyDescent="0.25">
      <c r="A2328" s="1" t="s">
        <v>14435</v>
      </c>
      <c r="B2328" s="1" t="s">
        <v>6515</v>
      </c>
      <c r="C2328" s="1" t="str">
        <f>IFERROR(VLOOKUP(B2328,'SB1'!$A$2:$B$999999,2,FALSE),"")</f>
        <v>DILUYENTE AGUARRAS MINERAL X  1</v>
      </c>
      <c r="D2328" s="1" t="s">
        <v>14472</v>
      </c>
      <c r="E2328" s="3">
        <f>IFERROR(VLOOKUP(B2328,'DA1'!$B$2:$D$999999,3,FALSE),"")</f>
      </c>
      <c r="F2328" s="1" t="str">
        <f>IFERROR(VLOOKUP(B2328,'SB1'!$A$2:$C$999999,3,FALSE),"")</f>
        <v>503</v>
      </c>
      <c r="G2328" s="3" t="e">
        <f t="shared" si="78"/>
        <v>#VALUE!</v>
      </c>
      <c r="H2328" s="3" t="e">
        <f t="shared" ref="H2328:H2330" si="81">G2328*1.21</f>
        <v>#VALUE!</v>
      </c>
      <c r="I2328" s="1">
        <v>1</v>
      </c>
    </row>
    <row r="2329" spans="1:9" x14ac:dyDescent="0.25">
      <c r="A2329" s="1" t="s">
        <v>14435</v>
      </c>
      <c r="B2329" s="1" t="s">
        <v>6517</v>
      </c>
      <c r="C2329" s="1" t="str">
        <f>IFERROR(VLOOKUP(B2329,'SB1'!$A$2:$B$999999,2,FALSE),"")</f>
        <v>DILUYENTE AGUARRAS MINERAL X  4</v>
      </c>
      <c r="D2329" s="1" t="s">
        <v>14472</v>
      </c>
      <c r="E2329" s="3">
        <f>IFERROR(VLOOKUP(B2329,'DA1'!$B$2:$D$999999,3,FALSE),"")</f>
      </c>
      <c r="F2329" s="1" t="str">
        <f>IFERROR(VLOOKUP(B2329,'SB1'!$A$2:$C$999999,3,FALSE),"")</f>
        <v>503</v>
      </c>
      <c r="G2329" s="3" t="e">
        <f t="shared" si="78"/>
        <v>#VALUE!</v>
      </c>
      <c r="H2329" s="3" t="e">
        <f t="shared" si="81"/>
        <v>#VALUE!</v>
      </c>
      <c r="I2329" s="1">
        <v>1</v>
      </c>
    </row>
    <row r="2330" spans="1:9" x14ac:dyDescent="0.25">
      <c r="A2330" s="1" t="s">
        <v>14435</v>
      </c>
      <c r="B2330" s="1" t="s">
        <v>6519</v>
      </c>
      <c r="C2330" s="1" t="str">
        <f>IFERROR(VLOOKUP(B2330,'SB1'!$A$2:$B$999999,2,FALSE),"")</f>
        <v>DILUYENTE AGUARRAS MINERAL X 10</v>
      </c>
      <c r="D2330" s="1" t="s">
        <v>14472</v>
      </c>
      <c r="E2330" s="3">
        <f>IFERROR(VLOOKUP(B2330,'DA1'!$B$2:$D$999999,3,FALSE),"")</f>
      </c>
      <c r="F2330" s="1" t="str">
        <f>IFERROR(VLOOKUP(B2330,'SB1'!$A$2:$C$999999,3,FALSE),"")</f>
        <v>503</v>
      </c>
      <c r="G2330" s="3" t="e">
        <f t="shared" si="78"/>
        <v>#VALUE!</v>
      </c>
      <c r="H2330" s="3" t="e">
        <f t="shared" si="81"/>
        <v>#VALUE!</v>
      </c>
      <c r="I2330" s="1">
        <v>1</v>
      </c>
    </row>
    <row r="2331" spans="1:9" x14ac:dyDescent="0.25">
      <c r="A2331" s="1" t="s">
        <v>14435</v>
      </c>
      <c r="B2331" s="1" t="s">
        <v>6525</v>
      </c>
      <c r="C2331" s="1" t="str">
        <f>IFERROR(VLOOKUP(B2331,'SB1'!$A$2:$B$999999,2,FALSE),"")</f>
        <v>PISTOLA PARA PINTAR ADIABATIC TAZA AB.PROF.C2 PLUS P/EC2000</v>
      </c>
      <c r="D2331" s="1" t="s">
        <v>14496</v>
      </c>
      <c r="E2331" s="3">
        <f>IFERROR(VLOOKUP(B2331,'DA1'!$B$2:$D$999999,3,FALSE),"")</f>
      </c>
      <c r="F2331" s="1" t="str">
        <f>IFERROR(VLOOKUP(B2331,'SB1'!$A$2:$C$999999,3,FALSE),"")</f>
        <v>501</v>
      </c>
      <c r="G2331" s="3" t="e">
        <f t="shared" si="78"/>
        <v>#VALUE!</v>
      </c>
      <c r="H2331" s="3" t="e">
        <f t="shared" ref="H2331:H2333" si="82">G2331*1.105</f>
        <v>#VALUE!</v>
      </c>
      <c r="I2331" s="1">
        <v>1</v>
      </c>
    </row>
    <row r="2332" spans="1:9" x14ac:dyDescent="0.25">
      <c r="A2332" s="1" t="s">
        <v>14435</v>
      </c>
      <c r="B2332" s="1" t="s">
        <v>6527</v>
      </c>
      <c r="C2332" s="1" t="str">
        <f>IFERROR(VLOOKUP(B2332,'SB1'!$A$2:$B$999999,2,FALSE),"")</f>
        <v>PISTOLA PARA PINTAR ADIABATIC TAZA AB.PROF.C5 PLUS P/EC3000</v>
      </c>
      <c r="D2332" s="1" t="s">
        <v>14496</v>
      </c>
      <c r="E2332" s="3">
        <f>IFERROR(VLOOKUP(B2332,'DA1'!$B$2:$D$999999,3,FALSE),"")</f>
      </c>
      <c r="F2332" s="1" t="str">
        <f>IFERROR(VLOOKUP(B2332,'SB1'!$A$2:$C$999999,3,FALSE),"")</f>
        <v>501</v>
      </c>
      <c r="G2332" s="3" t="e">
        <f t="shared" si="78"/>
        <v>#VALUE!</v>
      </c>
      <c r="H2332" s="3" t="e">
        <f t="shared" si="82"/>
        <v>#VALUE!</v>
      </c>
      <c r="I2332" s="1">
        <v>1</v>
      </c>
    </row>
    <row r="2333" spans="1:9" x14ac:dyDescent="0.25">
      <c r="A2333" s="1" t="s">
        <v>14435</v>
      </c>
      <c r="B2333" s="1" t="s">
        <v>6529</v>
      </c>
      <c r="C2333" s="1" t="str">
        <f>IFERROR(VLOOKUP(B2333,'SB1'!$A$2:$B$999999,2,FALSE),"")</f>
        <v>PISTOLA DE GRAVEDAD PARA PINTAR ADIABATIC TAZA DE PLASTICO</v>
      </c>
      <c r="D2333" s="1" t="s">
        <v>14496</v>
      </c>
      <c r="E2333" s="3">
        <f>IFERROR(VLOOKUP(B2333,'DA1'!$B$2:$D$999999,3,FALSE),"")</f>
      </c>
      <c r="F2333" s="1" t="str">
        <f>IFERROR(VLOOKUP(B2333,'SB1'!$A$2:$C$999999,3,FALSE),"")</f>
        <v>501</v>
      </c>
      <c r="G2333" s="3" t="e">
        <f t="shared" si="78"/>
        <v>#VALUE!</v>
      </c>
      <c r="H2333" s="3" t="e">
        <f t="shared" si="82"/>
        <v>#VALUE!</v>
      </c>
      <c r="I2333" s="1">
        <v>1</v>
      </c>
    </row>
    <row r="2334" spans="1:9" x14ac:dyDescent="0.25">
      <c r="A2334" s="1" t="s">
        <v>14435</v>
      </c>
      <c r="B2334" s="1" t="s">
        <v>6533</v>
      </c>
      <c r="C2334" s="1" t="str">
        <f>IFERROR(VLOOKUP(B2334,'SB1'!$A$2:$B$999999,2,FALSE),"")</f>
        <v>BIFURCADOR DE AIRE DE 2 SALIDAS ADIABATIC(00BIFAI2)</v>
      </c>
      <c r="D2334" s="1" t="s">
        <v>14496</v>
      </c>
      <c r="E2334" s="3">
        <f>IFERROR(VLOOKUP(B2334,'DA1'!$B$2:$D$999999,3,FALSE),"")</f>
      </c>
      <c r="F2334" s="1" t="str">
        <f>IFERROR(VLOOKUP(B2334,'SB1'!$A$2:$C$999999,3,FALSE),"")</f>
        <v>503</v>
      </c>
      <c r="G2334" s="3" t="e">
        <f t="shared" si="78"/>
        <v>#VALUE!</v>
      </c>
      <c r="H2334" s="3" t="e">
        <f t="shared" ref="H2334:H2397" si="83">G2334*1.21</f>
        <v>#VALUE!</v>
      </c>
      <c r="I2334" s="1">
        <v>1</v>
      </c>
    </row>
    <row r="2335" spans="1:9" x14ac:dyDescent="0.25">
      <c r="A2335" s="1" t="s">
        <v>14435</v>
      </c>
      <c r="B2335" s="1" t="s">
        <v>6535</v>
      </c>
      <c r="C2335" s="1" t="str">
        <f>IFERROR(VLOOKUP(B2335,'SB1'!$A$2:$B$999999,2,FALSE),"")</f>
        <v>TUERCA TAPON 24 X 1,5 MM ADIABATIC (0173DLL0)</v>
      </c>
      <c r="D2335" s="1" t="s">
        <v>14496</v>
      </c>
      <c r="E2335" s="3">
        <f>IFERROR(VLOOKUP(B2335,'DA1'!$B$2:$D$999999,3,FALSE),"")</f>
      </c>
      <c r="F2335" s="1" t="str">
        <f>IFERROR(VLOOKUP(B2335,'SB1'!$A$2:$C$999999,3,FALSE),"")</f>
        <v>503</v>
      </c>
      <c r="G2335" s="3" t="e">
        <f t="shared" si="78"/>
        <v>#VALUE!</v>
      </c>
      <c r="H2335" s="3" t="e">
        <f t="shared" si="83"/>
        <v>#VALUE!</v>
      </c>
      <c r="I2335" s="1">
        <v>1</v>
      </c>
    </row>
    <row r="2336" spans="1:9" x14ac:dyDescent="0.25">
      <c r="A2336" s="1" t="s">
        <v>14435</v>
      </c>
      <c r="B2336" s="1" t="s">
        <v>6537</v>
      </c>
      <c r="C2336" s="1" t="str">
        <f>IFERROR(VLOOKUP(B2336,'SB1'!$A$2:$B$999999,2,FALSE),"")</f>
        <v>CR-303 BRANCO NEVE REDUZIDO X 1</v>
      </c>
      <c r="D2336" s="1" t="s">
        <v>14454</v>
      </c>
      <c r="E2336" s="3">
        <f>IFERROR(VLOOKUP(B2336,'DA1'!$B$2:$D$999999,3,FALSE),"")</f>
      </c>
      <c r="F2336" s="1" t="str">
        <f>IFERROR(VLOOKUP(B2336,'SB1'!$A$2:$C$999999,3,FALSE),"")</f>
        <v>503</v>
      </c>
      <c r="G2336" s="3" t="e">
        <f t="shared" si="78"/>
        <v>#VALUE!</v>
      </c>
      <c r="H2336" s="3" t="e">
        <f t="shared" si="83"/>
        <v>#VALUE!</v>
      </c>
      <c r="I2336" s="1">
        <v>3</v>
      </c>
    </row>
    <row r="2337" spans="1:9" x14ac:dyDescent="0.25">
      <c r="A2337" s="1" t="s">
        <v>14435</v>
      </c>
      <c r="B2337" s="1" t="s">
        <v>6539</v>
      </c>
      <c r="C2337" s="1" t="str">
        <f>IFERROR(VLOOKUP(B2337,'SB1'!$A$2:$B$999999,2,FALSE),"")</f>
        <v>REPUESTO CANE PICO 1,8 MM HVG (200182)</v>
      </c>
      <c r="D2337" s="1" t="s">
        <v>14474</v>
      </c>
      <c r="E2337" s="3">
        <f>IFERROR(VLOOKUP(B2337,'DA1'!$B$2:$D$999999,3,FALSE),"")</f>
      </c>
      <c r="F2337" s="1" t="str">
        <f>IFERROR(VLOOKUP(B2337,'SB1'!$A$2:$C$999999,3,FALSE),"")</f>
        <v>503</v>
      </c>
      <c r="G2337" s="3" t="e">
        <f t="shared" si="78"/>
        <v>#VALUE!</v>
      </c>
      <c r="H2337" s="3" t="e">
        <f t="shared" si="83"/>
        <v>#VALUE!</v>
      </c>
      <c r="I2337" s="1">
        <v>1</v>
      </c>
    </row>
    <row r="2338" spans="1:9" x14ac:dyDescent="0.25">
      <c r="A2338" s="1" t="s">
        <v>14435</v>
      </c>
      <c r="B2338" s="1" t="s">
        <v>6541</v>
      </c>
      <c r="C2338" s="1" t="str">
        <f>IFERROR(VLOOKUP(B2338,'SB1'!$A$2:$B$999999,2,FALSE),"")</f>
        <v>P41.04 PRIMER 2K ALTOS SOLIDOS ACS X 0.720</v>
      </c>
      <c r="D2338" s="1" t="s">
        <v>14454</v>
      </c>
      <c r="E2338" s="3">
        <f>IFERROR(VLOOKUP(B2338,'DA1'!$B$2:$D$999999,3,FALSE),"")</f>
      </c>
      <c r="F2338" s="1" t="str">
        <f>IFERROR(VLOOKUP(B2338,'SB1'!$A$2:$C$999999,3,FALSE),"")</f>
        <v>503</v>
      </c>
      <c r="G2338" s="3" t="e">
        <f t="shared" si="78"/>
        <v>#VALUE!</v>
      </c>
      <c r="H2338" s="3" t="e">
        <f t="shared" si="83"/>
        <v>#VALUE!</v>
      </c>
      <c r="I2338" s="1">
        <v>3</v>
      </c>
    </row>
    <row r="2339" spans="1:9" x14ac:dyDescent="0.25">
      <c r="A2339" s="1" t="s">
        <v>14435</v>
      </c>
      <c r="B2339" s="1" t="s">
        <v>6543</v>
      </c>
      <c r="C2339" s="1" t="str">
        <f>IFERROR(VLOOKUP(B2339,'SB1'!$A$2:$B$999999,2,FALSE),"")</f>
        <v>A242 MASILLA ACR.FINA BEIGE X 0,200</v>
      </c>
      <c r="D2339" s="1" t="s">
        <v>14446</v>
      </c>
      <c r="E2339" s="3">
        <f>IFERROR(VLOOKUP(B2339,'DA1'!$B$2:$D$999999,3,FALSE),"")</f>
      </c>
      <c r="F2339" s="1" t="str">
        <f>IFERROR(VLOOKUP(B2339,'SB1'!$A$2:$C$999999,3,FALSE),"")</f>
        <v>503</v>
      </c>
      <c r="G2339" s="3" t="e">
        <f t="shared" si="78"/>
        <v>#VALUE!</v>
      </c>
      <c r="H2339" s="3" t="e">
        <f t="shared" si="83"/>
        <v>#VALUE!</v>
      </c>
      <c r="I2339" s="1">
        <v>3</v>
      </c>
    </row>
    <row r="2340" spans="1:9" x14ac:dyDescent="0.25">
      <c r="A2340" s="1" t="s">
        <v>14435</v>
      </c>
      <c r="B2340" s="1" t="s">
        <v>6545</v>
      </c>
      <c r="C2340" s="1" t="str">
        <f>IFERROR(VLOOKUP(B2340,'SB1'!$A$2:$B$999999,2,FALSE),"")</f>
        <v>END010.32 CATALIZADOR NORMAL ACS X 0.180</v>
      </c>
      <c r="D2340" s="1" t="s">
        <v>14454</v>
      </c>
      <c r="E2340" s="3">
        <f>IFERROR(VLOOKUP(B2340,'DA1'!$B$2:$D$999999,3,FALSE),"")</f>
      </c>
      <c r="F2340" s="1" t="str">
        <f>IFERROR(VLOOKUP(B2340,'SB1'!$A$2:$C$999999,3,FALSE),"")</f>
        <v>503</v>
      </c>
      <c r="G2340" s="3" t="e">
        <f t="shared" si="78"/>
        <v>#VALUE!</v>
      </c>
      <c r="H2340" s="3" t="e">
        <f t="shared" si="83"/>
        <v>#VALUE!</v>
      </c>
      <c r="I2340" s="1">
        <v>3</v>
      </c>
    </row>
    <row r="2341" spans="1:9" x14ac:dyDescent="0.25">
      <c r="A2341" s="1" t="s">
        <v>14435</v>
      </c>
      <c r="B2341" s="1" t="s">
        <v>6547</v>
      </c>
      <c r="C2341" s="1" t="str">
        <f>IFERROR(VLOOKUP(B2341,'SB1'!$A$2:$B$999999,2,FALSE),"")</f>
        <v>ESPONJA CARRO FINA (MARRON)</v>
      </c>
      <c r="D2341" s="1" t="s">
        <v>14481</v>
      </c>
      <c r="E2341" s="3">
        <f>IFERROR(VLOOKUP(B2341,'DA1'!$B$2:$D$999999,3,FALSE),"")</f>
      </c>
      <c r="F2341" s="1" t="str">
        <f>IFERROR(VLOOKUP(B2341,'SB1'!$A$2:$C$999999,3,FALSE),"")</f>
        <v>503</v>
      </c>
      <c r="G2341" s="3" t="e">
        <f t="shared" si="78"/>
        <v>#VALUE!</v>
      </c>
      <c r="H2341" s="3" t="e">
        <f t="shared" si="83"/>
        <v>#VALUE!</v>
      </c>
      <c r="I2341" s="1">
        <v>1</v>
      </c>
    </row>
    <row r="2342" spans="1:9" x14ac:dyDescent="0.25">
      <c r="A2342" s="1" t="s">
        <v>14435</v>
      </c>
      <c r="B2342" s="1" t="s">
        <v>6549</v>
      </c>
      <c r="C2342" s="1" t="str">
        <f>IFERROR(VLOOKUP(B2342,'SB1'!$A$2:$B$999999,2,FALSE),"")</f>
        <v>ESPONJA CARRO SUPER FINA (VERDE)</v>
      </c>
      <c r="D2342" s="1" t="s">
        <v>14481</v>
      </c>
      <c r="E2342" s="3">
        <f>IFERROR(VLOOKUP(B2342,'DA1'!$B$2:$D$999999,3,FALSE),"")</f>
      </c>
      <c r="F2342" s="1" t="str">
        <f>IFERROR(VLOOKUP(B2342,'SB1'!$A$2:$C$999999,3,FALSE),"")</f>
        <v>503</v>
      </c>
      <c r="G2342" s="3" t="e">
        <f t="shared" si="78"/>
        <v>#VALUE!</v>
      </c>
      <c r="H2342" s="3" t="e">
        <f t="shared" si="83"/>
        <v>#VALUE!</v>
      </c>
      <c r="I2342" s="1">
        <v>1</v>
      </c>
    </row>
    <row r="2343" spans="1:9" x14ac:dyDescent="0.25">
      <c r="A2343" s="1" t="s">
        <v>14435</v>
      </c>
      <c r="B2343" s="1" t="s">
        <v>6551</v>
      </c>
      <c r="C2343" s="1" t="str">
        <f>IFERROR(VLOOKUP(B2343,'SB1'!$A$2:$B$999999,2,FALSE),"")</f>
        <v>ESPONJA CARRO MICROFINA (LILA)</v>
      </c>
      <c r="D2343" s="1" t="s">
        <v>14481</v>
      </c>
      <c r="E2343" s="3">
        <f>IFERROR(VLOOKUP(B2343,'DA1'!$B$2:$D$999999,3,FALSE),"")</f>
      </c>
      <c r="F2343" s="1" t="str">
        <f>IFERROR(VLOOKUP(B2343,'SB1'!$A$2:$C$999999,3,FALSE),"")</f>
        <v>503</v>
      </c>
      <c r="G2343" s="3" t="e">
        <f t="shared" si="78"/>
        <v>#VALUE!</v>
      </c>
      <c r="H2343" s="3" t="e">
        <f t="shared" si="83"/>
        <v>#VALUE!</v>
      </c>
      <c r="I2343" s="1">
        <v>1</v>
      </c>
    </row>
    <row r="2344" spans="1:9" x14ac:dyDescent="0.25">
      <c r="A2344" s="1" t="s">
        <v>14435</v>
      </c>
      <c r="B2344" s="1" t="s">
        <v>6553</v>
      </c>
      <c r="C2344" s="1" t="str">
        <f>IFERROR(VLOOKUP(B2344,'SB1'!$A$2:$B$999999,2,FALSE),"")</f>
        <v>CR-309 PRETO REDUZIDO X 1</v>
      </c>
      <c r="D2344" s="1" t="s">
        <v>14454</v>
      </c>
      <c r="E2344" s="3">
        <f>IFERROR(VLOOKUP(B2344,'DA1'!$B$2:$D$999999,3,FALSE),"")</f>
      </c>
      <c r="F2344" s="1" t="str">
        <f>IFERROR(VLOOKUP(B2344,'SB1'!$A$2:$C$999999,3,FALSE),"")</f>
        <v>503</v>
      </c>
      <c r="G2344" s="3" t="e">
        <f t="shared" si="78"/>
        <v>#VALUE!</v>
      </c>
      <c r="H2344" s="3" t="e">
        <f t="shared" si="83"/>
        <v>#VALUE!</v>
      </c>
      <c r="I2344" s="1">
        <v>3</v>
      </c>
    </row>
    <row r="2345" spans="1:9" x14ac:dyDescent="0.25">
      <c r="A2345" s="1" t="s">
        <v>14435</v>
      </c>
      <c r="B2345" s="1" t="s">
        <v>6571</v>
      </c>
      <c r="C2345" s="1" t="str">
        <f>IFERROR(VLOOKUP(B2345,'SB1'!$A$2:$B$999999,2,FALSE),"")</f>
        <v>LIJA AL AGUAAA CS # P150</v>
      </c>
      <c r="D2345" s="1" t="s">
        <v>14451</v>
      </c>
      <c r="E2345" s="3">
        <f>IFERROR(VLOOKUP(B2345,'DA1'!$B$2:$D$999999,3,FALSE),"")</f>
      </c>
      <c r="F2345" s="1" t="str">
        <f>IFERROR(VLOOKUP(B2345,'SB1'!$A$2:$C$999999,3,FALSE),"")</f>
        <v>503</v>
      </c>
      <c r="G2345" s="3" t="e">
        <f t="shared" si="78"/>
        <v>#VALUE!</v>
      </c>
      <c r="H2345" s="3" t="e">
        <f t="shared" si="83"/>
        <v>#VALUE!</v>
      </c>
      <c r="I2345" s="1">
        <v>1</v>
      </c>
    </row>
    <row r="2346" spans="1:9" x14ac:dyDescent="0.25">
      <c r="A2346" s="1" t="s">
        <v>14435</v>
      </c>
      <c r="B2346" s="1" t="s">
        <v>6577</v>
      </c>
      <c r="C2346" s="1" t="str">
        <f>IFERROR(VLOOKUP(B2346,'SB1'!$A$2:$B$999999,2,FALSE),"")</f>
        <v>LIJA AL AGUAAA CS # P240</v>
      </c>
      <c r="D2346" s="1" t="s">
        <v>14451</v>
      </c>
      <c r="E2346" s="3">
        <f>IFERROR(VLOOKUP(B2346,'DA1'!$B$2:$D$999999,3,FALSE),"")</f>
      </c>
      <c r="F2346" s="1" t="str">
        <f>IFERROR(VLOOKUP(B2346,'SB1'!$A$2:$C$999999,3,FALSE),"")</f>
        <v>503</v>
      </c>
      <c r="G2346" s="3" t="e">
        <f t="shared" si="78"/>
        <v>#VALUE!</v>
      </c>
      <c r="H2346" s="3" t="e">
        <f t="shared" si="83"/>
        <v>#VALUE!</v>
      </c>
      <c r="I2346" s="1">
        <v>1</v>
      </c>
    </row>
    <row r="2347" spans="1:9" x14ac:dyDescent="0.25">
      <c r="A2347" s="1" t="s">
        <v>14435</v>
      </c>
      <c r="B2347" s="1" t="s">
        <v>6579</v>
      </c>
      <c r="C2347" s="1" t="str">
        <f>IFERROR(VLOOKUP(B2347,'SB1'!$A$2:$B$999999,2,FALSE),"")</f>
        <v>LIJA AL AGUAAA CS # P280</v>
      </c>
      <c r="D2347" s="1" t="s">
        <v>14451</v>
      </c>
      <c r="E2347" s="3">
        <f>IFERROR(VLOOKUP(B2347,'DA1'!$B$2:$D$999999,3,FALSE),"")</f>
      </c>
      <c r="F2347" s="1" t="str">
        <f>IFERROR(VLOOKUP(B2347,'SB1'!$A$2:$C$999999,3,FALSE),"")</f>
        <v>503</v>
      </c>
      <c r="G2347" s="3" t="e">
        <f t="shared" si="78"/>
        <v>#VALUE!</v>
      </c>
      <c r="H2347" s="3" t="e">
        <f t="shared" si="83"/>
        <v>#VALUE!</v>
      </c>
      <c r="I2347" s="1">
        <v>1</v>
      </c>
    </row>
    <row r="2348" spans="1:9" x14ac:dyDescent="0.25">
      <c r="A2348" s="1" t="s">
        <v>14435</v>
      </c>
      <c r="B2348" s="1" t="s">
        <v>6581</v>
      </c>
      <c r="C2348" s="1" t="str">
        <f>IFERROR(VLOOKUP(B2348,'SB1'!$A$2:$B$999999,2,FALSE),"")</f>
        <v>LIJA AL AGUAAA CS # P320</v>
      </c>
      <c r="D2348" s="1" t="s">
        <v>14451</v>
      </c>
      <c r="E2348" s="3">
        <f>IFERROR(VLOOKUP(B2348,'DA1'!$B$2:$D$999999,3,FALSE),"")</f>
      </c>
      <c r="F2348" s="1" t="str">
        <f>IFERROR(VLOOKUP(B2348,'SB1'!$A$2:$C$999999,3,FALSE),"")</f>
        <v>503</v>
      </c>
      <c r="G2348" s="3" t="e">
        <f t="shared" si="78"/>
        <v>#VALUE!</v>
      </c>
      <c r="H2348" s="3" t="e">
        <f t="shared" si="83"/>
        <v>#VALUE!</v>
      </c>
      <c r="I2348" s="1">
        <v>1</v>
      </c>
    </row>
    <row r="2349" spans="1:9" x14ac:dyDescent="0.25">
      <c r="A2349" s="1" t="s">
        <v>14435</v>
      </c>
      <c r="B2349" s="1" t="s">
        <v>6591</v>
      </c>
      <c r="C2349" s="1" t="str">
        <f>IFERROR(VLOOKUP(B2349,'SB1'!$A$2:$B$999999,2,FALSE),"")</f>
        <v>CR-311 AZUL ESVERDEADO REDUZIDO X 1</v>
      </c>
      <c r="D2349" s="1" t="s">
        <v>14454</v>
      </c>
      <c r="E2349" s="3">
        <f>IFERROR(VLOOKUP(B2349,'DA1'!$B$2:$D$999999,3,FALSE),"")</f>
      </c>
      <c r="F2349" s="1" t="str">
        <f>IFERROR(VLOOKUP(B2349,'SB1'!$A$2:$C$999999,3,FALSE),"")</f>
        <v>503</v>
      </c>
      <c r="G2349" s="3" t="e">
        <f t="shared" si="78"/>
        <v>#VALUE!</v>
      </c>
      <c r="H2349" s="3" t="e">
        <f t="shared" si="83"/>
        <v>#VALUE!</v>
      </c>
      <c r="I2349" s="1">
        <v>3</v>
      </c>
    </row>
    <row r="2350" spans="1:9" x14ac:dyDescent="0.25">
      <c r="A2350" s="1" t="s">
        <v>14435</v>
      </c>
      <c r="B2350" s="1" t="s">
        <v>6605</v>
      </c>
      <c r="C2350" s="1" t="str">
        <f>IFERROR(VLOOKUP(B2350,'SB1'!$A$2:$B$999999,2,FALSE),"")</f>
        <v>LATEX INTERIOR/EXTERIOR WEBERPINT MATE  BLANCO X  4</v>
      </c>
      <c r="D2350" s="1" t="s">
        <v>14495</v>
      </c>
      <c r="E2350" s="3">
        <f>IFERROR(VLOOKUP(B2350,'DA1'!$B$2:$D$999999,3,FALSE),"")</f>
      </c>
      <c r="F2350" s="1" t="str">
        <f>IFERROR(VLOOKUP(B2350,'SB1'!$A$2:$C$999999,3,FALSE),"")</f>
        <v>503</v>
      </c>
      <c r="G2350" s="3" t="e">
        <f t="shared" si="78"/>
        <v>#VALUE!</v>
      </c>
      <c r="H2350" s="3" t="e">
        <f t="shared" si="83"/>
        <v>#VALUE!</v>
      </c>
      <c r="I2350" s="1">
        <v>1</v>
      </c>
    </row>
    <row r="2351" spans="1:9" x14ac:dyDescent="0.25">
      <c r="A2351" s="1" t="s">
        <v>14435</v>
      </c>
      <c r="B2351" s="1" t="s">
        <v>6611</v>
      </c>
      <c r="C2351" s="1" t="str">
        <f>IFERROR(VLOOKUP(B2351,'SB1'!$A$2:$B$999999,2,FALSE),"")</f>
        <v>LATEX INTERIOR/EXTERIOR WEBERPINT MATE  BLANCO X 10</v>
      </c>
      <c r="D2351" s="1" t="s">
        <v>14495</v>
      </c>
      <c r="E2351" s="3">
        <f>IFERROR(VLOOKUP(B2351,'DA1'!$B$2:$D$999999,3,FALSE),"")</f>
      </c>
      <c r="F2351" s="1" t="str">
        <f>IFERROR(VLOOKUP(B2351,'SB1'!$A$2:$C$999999,3,FALSE),"")</f>
        <v>503</v>
      </c>
      <c r="G2351" s="3" t="e">
        <f t="shared" si="78"/>
        <v>#VALUE!</v>
      </c>
      <c r="H2351" s="3" t="e">
        <f t="shared" si="83"/>
        <v>#VALUE!</v>
      </c>
      <c r="I2351" s="1">
        <v>1</v>
      </c>
    </row>
    <row r="2352" spans="1:9" x14ac:dyDescent="0.25">
      <c r="A2352" s="1" t="s">
        <v>14435</v>
      </c>
      <c r="B2352" s="1" t="s">
        <v>6615</v>
      </c>
      <c r="C2352" s="1" t="str">
        <f>IFERROR(VLOOKUP(B2352,'SB1'!$A$2:$B$999999,2,FALSE),"")</f>
        <v>LATEX INTERIOR/EXTERIOR WEBERPINT MATE  BLANCO X 20</v>
      </c>
      <c r="D2352" s="1" t="s">
        <v>14495</v>
      </c>
      <c r="E2352" s="3">
        <f>IFERROR(VLOOKUP(B2352,'DA1'!$B$2:$D$999999,3,FALSE),"")</f>
      </c>
      <c r="F2352" s="1" t="str">
        <f>IFERROR(VLOOKUP(B2352,'SB1'!$A$2:$C$999999,3,FALSE),"")</f>
        <v>503</v>
      </c>
      <c r="G2352" s="3" t="e">
        <f t="shared" si="78"/>
        <v>#VALUE!</v>
      </c>
      <c r="H2352" s="3" t="e">
        <f t="shared" si="83"/>
        <v>#VALUE!</v>
      </c>
      <c r="I2352" s="1">
        <v>1</v>
      </c>
    </row>
    <row r="2353" spans="1:9" x14ac:dyDescent="0.25">
      <c r="A2353" s="1" t="s">
        <v>14435</v>
      </c>
      <c r="B2353" s="1" t="s">
        <v>6619</v>
      </c>
      <c r="C2353" s="1" t="str">
        <f>IFERROR(VLOOKUP(B2353,'SB1'!$A$2:$B$999999,2,FALSE),"")</f>
        <v>AEROSOL TERSUAVE ESMALTE SINTETICO BRILLANTE BLANCO X 0,440</v>
      </c>
      <c r="D2353" s="1" t="s">
        <v>14437</v>
      </c>
      <c r="E2353" s="3">
        <f>IFERROR(VLOOKUP(B2353,'DA1'!$B$2:$D$999999,3,FALSE),"")</f>
      </c>
      <c r="F2353" s="1" t="str">
        <f>IFERROR(VLOOKUP(B2353,'SB1'!$A$2:$C$999999,3,FALSE),"")</f>
        <v>503</v>
      </c>
      <c r="G2353" s="3" t="e">
        <f t="shared" si="78"/>
        <v>#VALUE!</v>
      </c>
      <c r="H2353" s="3" t="e">
        <f t="shared" si="83"/>
        <v>#VALUE!</v>
      </c>
      <c r="I2353" s="1">
        <v>1</v>
      </c>
    </row>
    <row r="2354" spans="1:9" x14ac:dyDescent="0.25">
      <c r="A2354" s="1" t="s">
        <v>14435</v>
      </c>
      <c r="B2354" s="1" t="s">
        <v>6621</v>
      </c>
      <c r="C2354" s="1" t="str">
        <f>IFERROR(VLOOKUP(B2354,'SB1'!$A$2:$B$999999,2,FALSE),"")</f>
        <v>AEROSOL TERSUAVE ESMALTE SINTETICO BRILLANTE BERMELLON X 0,440</v>
      </c>
      <c r="D2354" s="1" t="s">
        <v>14437</v>
      </c>
      <c r="E2354" s="3">
        <f>IFERROR(VLOOKUP(B2354,'DA1'!$B$2:$D$999999,3,FALSE),"")</f>
      </c>
      <c r="F2354" s="1" t="str">
        <f>IFERROR(VLOOKUP(B2354,'SB1'!$A$2:$C$999999,3,FALSE),"")</f>
        <v>503</v>
      </c>
      <c r="G2354" s="3" t="e">
        <f t="shared" si="78"/>
        <v>#VALUE!</v>
      </c>
      <c r="H2354" s="3" t="e">
        <f t="shared" si="83"/>
        <v>#VALUE!</v>
      </c>
      <c r="I2354" s="1">
        <v>1</v>
      </c>
    </row>
    <row r="2355" spans="1:9" x14ac:dyDescent="0.25">
      <c r="A2355" s="1" t="s">
        <v>14435</v>
      </c>
      <c r="B2355" s="1" t="s">
        <v>6623</v>
      </c>
      <c r="C2355" s="1" t="str">
        <f>IFERROR(VLOOKUP(B2355,'SB1'!$A$2:$B$999999,2,FALSE),"")</f>
        <v>AEROSOL TERSUAVE ESMALTE SINTETICO BRILLANTE NARANJA X 0,440</v>
      </c>
      <c r="D2355" s="1" t="s">
        <v>14437</v>
      </c>
      <c r="E2355" s="3">
        <f>IFERROR(VLOOKUP(B2355,'DA1'!$B$2:$D$999999,3,FALSE),"")</f>
      </c>
      <c r="F2355" s="1" t="str">
        <f>IFERROR(VLOOKUP(B2355,'SB1'!$A$2:$C$999999,3,FALSE),"")</f>
        <v>503</v>
      </c>
      <c r="G2355" s="3" t="e">
        <f t="shared" si="78"/>
        <v>#VALUE!</v>
      </c>
      <c r="H2355" s="3" t="e">
        <f t="shared" si="83"/>
        <v>#VALUE!</v>
      </c>
      <c r="I2355" s="1">
        <v>1</v>
      </c>
    </row>
    <row r="2356" spans="1:9" x14ac:dyDescent="0.25">
      <c r="A2356" s="1" t="s">
        <v>14435</v>
      </c>
      <c r="B2356" s="1" t="s">
        <v>6625</v>
      </c>
      <c r="C2356" s="1" t="str">
        <f>IFERROR(VLOOKUP(B2356,'SB1'!$A$2:$B$999999,2,FALSE),"")</f>
        <v>AEROSOL TERSUAVE ESMALTE SINTETICO BRILLANTE AMARILLO X 0,440</v>
      </c>
      <c r="D2356" s="1" t="s">
        <v>14437</v>
      </c>
      <c r="E2356" s="3">
        <f>IFERROR(VLOOKUP(B2356,'DA1'!$B$2:$D$999999,3,FALSE),"")</f>
      </c>
      <c r="F2356" s="1" t="str">
        <f>IFERROR(VLOOKUP(B2356,'SB1'!$A$2:$C$999999,3,FALSE),"")</f>
        <v>503</v>
      </c>
      <c r="G2356" s="3" t="e">
        <f t="shared" si="78"/>
        <v>#VALUE!</v>
      </c>
      <c r="H2356" s="3" t="e">
        <f t="shared" si="83"/>
        <v>#VALUE!</v>
      </c>
      <c r="I2356" s="1">
        <v>1</v>
      </c>
    </row>
    <row r="2357" spans="1:9" x14ac:dyDescent="0.25">
      <c r="A2357" s="1" t="s">
        <v>14435</v>
      </c>
      <c r="B2357" s="1" t="s">
        <v>6627</v>
      </c>
      <c r="C2357" s="1" t="str">
        <f>IFERROR(VLOOKUP(B2357,'SB1'!$A$2:$B$999999,2,FALSE),"")</f>
        <v>AEROSOL TERSUAVE ESMALTE SINTETICO BRILLANTE NEGRO X 0,440</v>
      </c>
      <c r="D2357" s="1" t="s">
        <v>14437</v>
      </c>
      <c r="E2357" s="3">
        <f>IFERROR(VLOOKUP(B2357,'DA1'!$B$2:$D$999999,3,FALSE),"")</f>
      </c>
      <c r="F2357" s="1" t="str">
        <f>IFERROR(VLOOKUP(B2357,'SB1'!$A$2:$C$999999,3,FALSE),"")</f>
        <v>503</v>
      </c>
      <c r="G2357" s="3" t="e">
        <f t="shared" si="78"/>
        <v>#VALUE!</v>
      </c>
      <c r="H2357" s="3" t="e">
        <f t="shared" si="83"/>
        <v>#VALUE!</v>
      </c>
      <c r="I2357" s="1">
        <v>1</v>
      </c>
    </row>
    <row r="2358" spans="1:9" x14ac:dyDescent="0.25">
      <c r="A2358" s="1" t="s">
        <v>14435</v>
      </c>
      <c r="B2358" s="1" t="s">
        <v>6629</v>
      </c>
      <c r="C2358" s="1" t="str">
        <f>IFERROR(VLOOKUP(B2358,'SB1'!$A$2:$B$999999,2,FALSE),"")</f>
        <v>AEROSOL TERSUAVE ESMALTE SINTETICO MATE NEGRO X 0,440</v>
      </c>
      <c r="D2358" s="1" t="s">
        <v>14437</v>
      </c>
      <c r="E2358" s="3">
        <f>IFERROR(VLOOKUP(B2358,'DA1'!$B$2:$D$999999,3,FALSE),"")</f>
      </c>
      <c r="F2358" s="1" t="str">
        <f>IFERROR(VLOOKUP(B2358,'SB1'!$A$2:$C$999999,3,FALSE),"")</f>
        <v>503</v>
      </c>
      <c r="G2358" s="3" t="e">
        <f t="shared" si="78"/>
        <v>#VALUE!</v>
      </c>
      <c r="H2358" s="3" t="e">
        <f t="shared" si="83"/>
        <v>#VALUE!</v>
      </c>
      <c r="I2358" s="1">
        <v>1</v>
      </c>
    </row>
    <row r="2359" spans="1:9" x14ac:dyDescent="0.25">
      <c r="A2359" s="1" t="s">
        <v>14435</v>
      </c>
      <c r="B2359" s="1" t="s">
        <v>6631</v>
      </c>
      <c r="C2359" s="1" t="str">
        <f>IFERROR(VLOOKUP(B2359,'SB1'!$A$2:$B$999999,2,FALSE),"")</f>
        <v>AEROSOL TERSUAVE ESMALTE SINTETICO BRILLANTE AZUL X 0,440</v>
      </c>
      <c r="D2359" s="1" t="s">
        <v>14437</v>
      </c>
      <c r="E2359" s="3">
        <f>IFERROR(VLOOKUP(B2359,'DA1'!$B$2:$D$999999,3,FALSE),"")</f>
      </c>
      <c r="F2359" s="1" t="str">
        <f>IFERROR(VLOOKUP(B2359,'SB1'!$A$2:$C$999999,3,FALSE),"")</f>
        <v>503</v>
      </c>
      <c r="G2359" s="3" t="e">
        <f t="shared" si="78"/>
        <v>#VALUE!</v>
      </c>
      <c r="H2359" s="3" t="e">
        <f t="shared" si="83"/>
        <v>#VALUE!</v>
      </c>
      <c r="I2359" s="1">
        <v>1</v>
      </c>
    </row>
    <row r="2360" spans="1:9" x14ac:dyDescent="0.25">
      <c r="A2360" s="1" t="s">
        <v>14435</v>
      </c>
      <c r="B2360" s="1" t="s">
        <v>6633</v>
      </c>
      <c r="C2360" s="1" t="str">
        <f>IFERROR(VLOOKUP(B2360,'SB1'!$A$2:$B$999999,2,FALSE),"")</f>
        <v>AEROSOL TERSUAVE ESMALTE SINTETICO BRILLANTE VERDE INGLES X 0,440</v>
      </c>
      <c r="D2360" s="1" t="s">
        <v>14437</v>
      </c>
      <c r="E2360" s="3">
        <f>IFERROR(VLOOKUP(B2360,'DA1'!$B$2:$D$999999,3,FALSE),"")</f>
      </c>
      <c r="F2360" s="1" t="str">
        <f>IFERROR(VLOOKUP(B2360,'SB1'!$A$2:$C$999999,3,FALSE),"")</f>
        <v>503</v>
      </c>
      <c r="G2360" s="3" t="e">
        <f t="shared" si="78"/>
        <v>#VALUE!</v>
      </c>
      <c r="H2360" s="3" t="e">
        <f t="shared" si="83"/>
        <v>#VALUE!</v>
      </c>
      <c r="I2360" s="1">
        <v>1</v>
      </c>
    </row>
    <row r="2361" spans="1:9" x14ac:dyDescent="0.25">
      <c r="A2361" s="1" t="s">
        <v>14435</v>
      </c>
      <c r="B2361" s="1" t="s">
        <v>6635</v>
      </c>
      <c r="C2361" s="1" t="str">
        <f>IFERROR(VLOOKUP(B2361,'SB1'!$A$2:$B$999999,2,FALSE),"")</f>
        <v>AEROSOL TERSUAVE CONVERTIDOR DE OXIDO MATE ROJO X 0,440</v>
      </c>
      <c r="D2361" s="1" t="s">
        <v>14437</v>
      </c>
      <c r="E2361" s="3">
        <f>IFERROR(VLOOKUP(B2361,'DA1'!$B$2:$D$999999,3,FALSE),"")</f>
      </c>
      <c r="F2361" s="1" t="str">
        <f>IFERROR(VLOOKUP(B2361,'SB1'!$A$2:$C$999999,3,FALSE),"")</f>
        <v>503</v>
      </c>
      <c r="G2361" s="3" t="e">
        <f t="shared" si="78"/>
        <v>#VALUE!</v>
      </c>
      <c r="H2361" s="3" t="e">
        <f t="shared" si="83"/>
        <v>#VALUE!</v>
      </c>
      <c r="I2361" s="1">
        <v>1</v>
      </c>
    </row>
    <row r="2362" spans="1:9" x14ac:dyDescent="0.25">
      <c r="A2362" s="1" t="s">
        <v>14435</v>
      </c>
      <c r="B2362" s="1" t="s">
        <v>6637</v>
      </c>
      <c r="C2362" s="1" t="str">
        <f>IFERROR(VLOOKUP(B2362,'SB1'!$A$2:$B$999999,2,FALSE),"")</f>
        <v>AEROSOL TERSUAVE ESMALTE SINTETICO BRILLANTE TRAFUL X 0,440</v>
      </c>
      <c r="D2362" s="1" t="s">
        <v>14437</v>
      </c>
      <c r="E2362" s="3">
        <f>IFERROR(VLOOKUP(B2362,'DA1'!$B$2:$D$999999,3,FALSE),"")</f>
      </c>
      <c r="F2362" s="1" t="str">
        <f>IFERROR(VLOOKUP(B2362,'SB1'!$A$2:$C$999999,3,FALSE),"")</f>
        <v>503</v>
      </c>
      <c r="G2362" s="3" t="e">
        <f t="shared" si="78"/>
        <v>#VALUE!</v>
      </c>
      <c r="H2362" s="3" t="e">
        <f t="shared" si="83"/>
        <v>#VALUE!</v>
      </c>
      <c r="I2362" s="1">
        <v>1</v>
      </c>
    </row>
    <row r="2363" spans="1:9" x14ac:dyDescent="0.25">
      <c r="A2363" s="1" t="s">
        <v>14435</v>
      </c>
      <c r="B2363" s="1" t="s">
        <v>6639</v>
      </c>
      <c r="C2363" s="1" t="str">
        <f>IFERROR(VLOOKUP(B2363,'SB1'!$A$2:$B$999999,2,FALSE),"")</f>
        <v>AEROSOL TERSUAVE CONVERTIDOR DE OXIDO MATE NEGRO X 0,440</v>
      </c>
      <c r="D2363" s="1" t="s">
        <v>14437</v>
      </c>
      <c r="E2363" s="3">
        <f>IFERROR(VLOOKUP(B2363,'DA1'!$B$2:$D$999999,3,FALSE),"")</f>
      </c>
      <c r="F2363" s="1" t="str">
        <f>IFERROR(VLOOKUP(B2363,'SB1'!$A$2:$C$999999,3,FALSE),"")</f>
        <v>503</v>
      </c>
      <c r="G2363" s="3" t="e">
        <f t="shared" si="78"/>
        <v>#VALUE!</v>
      </c>
      <c r="H2363" s="3" t="e">
        <f t="shared" si="83"/>
        <v>#VALUE!</v>
      </c>
      <c r="I2363" s="1">
        <v>1</v>
      </c>
    </row>
    <row r="2364" spans="1:9" x14ac:dyDescent="0.25">
      <c r="A2364" s="1" t="s">
        <v>14435</v>
      </c>
      <c r="B2364" s="1" t="s">
        <v>6641</v>
      </c>
      <c r="C2364" s="1" t="str">
        <f>IFERROR(VLOOKUP(B2364,'SB1'!$A$2:$B$999999,2,FALSE),"")</f>
        <v>ESPUMA POLIURETANO WEBER X 0,500</v>
      </c>
      <c r="D2364" s="1" t="s">
        <v>14495</v>
      </c>
      <c r="E2364" s="3">
        <f>IFERROR(VLOOKUP(B2364,'DA1'!$B$2:$D$999999,3,FALSE),"")</f>
      </c>
      <c r="F2364" s="1" t="str">
        <f>IFERROR(VLOOKUP(B2364,'SB1'!$A$2:$C$999999,3,FALSE),"")</f>
        <v>503</v>
      </c>
      <c r="G2364" s="3" t="e">
        <f t="shared" si="78"/>
        <v>#VALUE!</v>
      </c>
      <c r="H2364" s="3" t="e">
        <f t="shared" si="83"/>
        <v>#VALUE!</v>
      </c>
      <c r="I2364" s="1">
        <v>1</v>
      </c>
    </row>
    <row r="2365" spans="1:9" x14ac:dyDescent="0.25">
      <c r="A2365" s="1" t="s">
        <v>14435</v>
      </c>
      <c r="B2365" s="1" t="s">
        <v>6643</v>
      </c>
      <c r="C2365" s="1" t="str">
        <f>IFERROR(VLOOKUP(B2365,'SB1'!$A$2:$B$999999,2,FALSE),"")</f>
        <v>AEROSOL TERSUAVE BARNIZ BRILLANTE INCOLORO X 0,440</v>
      </c>
      <c r="D2365" s="1" t="s">
        <v>14437</v>
      </c>
      <c r="E2365" s="3">
        <f>IFERROR(VLOOKUP(B2365,'DA1'!$B$2:$D$999999,3,FALSE),"")</f>
      </c>
      <c r="F2365" s="1" t="str">
        <f>IFERROR(VLOOKUP(B2365,'SB1'!$A$2:$C$999999,3,FALSE),"")</f>
        <v>503</v>
      </c>
      <c r="G2365" s="3" t="e">
        <f t="shared" si="78"/>
        <v>#VALUE!</v>
      </c>
      <c r="H2365" s="3" t="e">
        <f t="shared" si="83"/>
        <v>#VALUE!</v>
      </c>
      <c r="I2365" s="1">
        <v>1</v>
      </c>
    </row>
    <row r="2366" spans="1:9" x14ac:dyDescent="0.25">
      <c r="A2366" s="1" t="s">
        <v>14435</v>
      </c>
      <c r="B2366" s="1" t="s">
        <v>6645</v>
      </c>
      <c r="C2366" s="1" t="str">
        <f>IFERROR(VLOOKUP(B2366,'SB1'!$A$2:$B$999999,2,FALSE),"")</f>
        <v>BUJE INT MANG.ACOPLE RAP ADIABATIC (1364CLS0)</v>
      </c>
      <c r="D2366" s="1" t="s">
        <v>14496</v>
      </c>
      <c r="E2366" s="3">
        <f>IFERROR(VLOOKUP(B2366,'DA1'!$B$2:$D$999999,3,FALSE),"")</f>
      </c>
      <c r="F2366" s="1" t="str">
        <f>IFERROR(VLOOKUP(B2366,'SB1'!$A$2:$C$999999,3,FALSE),"")</f>
        <v>503</v>
      </c>
      <c r="G2366" s="3" t="e">
        <f t="shared" si="78"/>
        <v>#VALUE!</v>
      </c>
      <c r="H2366" s="3" t="e">
        <f t="shared" si="83"/>
        <v>#VALUE!</v>
      </c>
      <c r="I2366" s="1">
        <v>1</v>
      </c>
    </row>
    <row r="2367" spans="1:9" x14ac:dyDescent="0.25">
      <c r="A2367" s="1" t="s">
        <v>14435</v>
      </c>
      <c r="B2367" s="1" t="s">
        <v>6647</v>
      </c>
      <c r="C2367" s="1" t="str">
        <f>IFERROR(VLOOKUP(B2367,'SB1'!$A$2:$B$999999,2,FALSE),"")</f>
        <v>CLIP ACOPLE MANGUERA AIRE ADIABATIC (1357DLX0)</v>
      </c>
      <c r="D2367" s="1" t="s">
        <v>14496</v>
      </c>
      <c r="E2367" s="3">
        <f>IFERROR(VLOOKUP(B2367,'DA1'!$B$2:$D$999999,3,FALSE),"")</f>
      </c>
      <c r="F2367" s="1" t="str">
        <f>IFERROR(VLOOKUP(B2367,'SB1'!$A$2:$C$999999,3,FALSE),"")</f>
        <v>503</v>
      </c>
      <c r="G2367" s="3" t="e">
        <f t="shared" si="78"/>
        <v>#VALUE!</v>
      </c>
      <c r="H2367" s="3" t="e">
        <f t="shared" si="83"/>
        <v>#VALUE!</v>
      </c>
      <c r="I2367" s="1">
        <v>1</v>
      </c>
    </row>
    <row r="2368" spans="1:9" x14ac:dyDescent="0.25">
      <c r="A2368" s="1" t="s">
        <v>14435</v>
      </c>
      <c r="B2368" s="1" t="s">
        <v>6649</v>
      </c>
      <c r="C2368" s="1" t="str">
        <f>IFERROR(VLOOKUP(B2368,'SB1'!$A$2:$B$999999,2,FALSE),"")</f>
        <v>BUJE EXT MANG.AIRE 2,5M ADIABATIC (1297DLA0)</v>
      </c>
      <c r="D2368" s="1" t="s">
        <v>14496</v>
      </c>
      <c r="E2368" s="3">
        <f>IFERROR(VLOOKUP(B2368,'DA1'!$B$2:$D$999999,3,FALSE),"")</f>
      </c>
      <c r="F2368" s="1" t="str">
        <f>IFERROR(VLOOKUP(B2368,'SB1'!$A$2:$C$999999,3,FALSE),"")</f>
        <v>503</v>
      </c>
      <c r="G2368" s="3" t="e">
        <f t="shared" si="78"/>
        <v>#VALUE!</v>
      </c>
      <c r="H2368" s="3" t="e">
        <f t="shared" si="83"/>
        <v>#VALUE!</v>
      </c>
      <c r="I2368" s="1">
        <v>1</v>
      </c>
    </row>
    <row r="2369" spans="1:9" x14ac:dyDescent="0.25">
      <c r="A2369" s="1" t="s">
        <v>14435</v>
      </c>
      <c r="B2369" s="1" t="s">
        <v>6651</v>
      </c>
      <c r="C2369" s="1" t="str">
        <f>IFERROR(VLOOKUP(B2369,'SB1'!$A$2:$B$999999,2,FALSE),"")</f>
        <v>BUJE ACOPLE INT P/MANG.AIRE ADIABATIC (0166DLS0)</v>
      </c>
      <c r="D2369" s="1" t="s">
        <v>14496</v>
      </c>
      <c r="E2369" s="3">
        <f>IFERROR(VLOOKUP(B2369,'DA1'!$B$2:$D$999999,3,FALSE),"")</f>
      </c>
      <c r="F2369" s="1" t="str">
        <f>IFERROR(VLOOKUP(B2369,'SB1'!$A$2:$C$999999,3,FALSE),"")</f>
        <v>503</v>
      </c>
      <c r="G2369" s="3" t="e">
        <f t="shared" si="78"/>
        <v>#VALUE!</v>
      </c>
      <c r="H2369" s="3" t="e">
        <f t="shared" si="83"/>
        <v>#VALUE!</v>
      </c>
      <c r="I2369" s="1">
        <v>1</v>
      </c>
    </row>
    <row r="2370" spans="1:9" x14ac:dyDescent="0.25">
      <c r="A2370" s="1" t="s">
        <v>14435</v>
      </c>
      <c r="B2370" s="1" t="s">
        <v>6653</v>
      </c>
      <c r="C2370" s="1" t="str">
        <f>IFERROR(VLOOKUP(B2370,'SB1'!$A$2:$B$999999,2,FALSE),"")</f>
        <v>AEROSOL TERSUAVE ESMALTE SINTETICO BRILLANTE MARFIL SEDA X 0,440</v>
      </c>
      <c r="D2370" s="1" t="s">
        <v>14437</v>
      </c>
      <c r="E2370" s="3">
        <f>IFERROR(VLOOKUP(B2370,'DA1'!$B$2:$D$999999,3,FALSE),"")</f>
      </c>
      <c r="F2370" s="1" t="str">
        <f>IFERROR(VLOOKUP(B2370,'SB1'!$A$2:$C$999999,3,FALSE),"")</f>
        <v>503</v>
      </c>
      <c r="G2370" s="3" t="e">
        <f t="shared" si="78"/>
        <v>#VALUE!</v>
      </c>
      <c r="H2370" s="3" t="e">
        <f t="shared" si="83"/>
        <v>#VALUE!</v>
      </c>
      <c r="I2370" s="1">
        <v>1</v>
      </c>
    </row>
    <row r="2371" spans="1:9" x14ac:dyDescent="0.25">
      <c r="A2371" s="1" t="s">
        <v>14435</v>
      </c>
      <c r="B2371" s="1" t="s">
        <v>6659</v>
      </c>
      <c r="C2371" s="1" t="str">
        <f>IFERROR(VLOOKUP(B2371,'SB1'!$A$2:$B$999999,2,FALSE),"")</f>
        <v>AEROSOL TERSUAVE ESMALTE SINTETICO BRILLANTE PLATA X 0,440</v>
      </c>
      <c r="D2371" s="1" t="s">
        <v>14437</v>
      </c>
      <c r="E2371" s="3">
        <f>IFERROR(VLOOKUP(B2371,'DA1'!$B$2:$D$999999,3,FALSE),"")</f>
      </c>
      <c r="F2371" s="1" t="str">
        <f>IFERROR(VLOOKUP(B2371,'SB1'!$A$2:$C$999999,3,FALSE),"")</f>
        <v>503</v>
      </c>
      <c r="G2371" s="3" t="e">
        <f t="shared" ref="G2371:G2434" si="84">E2371*1.04</f>
        <v>#VALUE!</v>
      </c>
      <c r="H2371" s="3" t="e">
        <f t="shared" si="83"/>
        <v>#VALUE!</v>
      </c>
      <c r="I2371" s="1">
        <v>1</v>
      </c>
    </row>
    <row r="2372" spans="1:9" x14ac:dyDescent="0.25">
      <c r="A2372" s="1" t="s">
        <v>14435</v>
      </c>
      <c r="B2372" s="1" t="s">
        <v>6661</v>
      </c>
      <c r="C2372" s="1" t="str">
        <f>IFERROR(VLOOKUP(B2372,'SB1'!$A$2:$B$999999,2,FALSE),"")</f>
        <v>IMPREGNANTE PARA MADERA TERSUAVE BRILLANTE CAOBA X  1</v>
      </c>
      <c r="D2372" s="1" t="s">
        <v>14437</v>
      </c>
      <c r="E2372" s="3">
        <f>IFERROR(VLOOKUP(B2372,'DA1'!$B$2:$D$999999,3,FALSE),"")</f>
      </c>
      <c r="F2372" s="1" t="str">
        <f>IFERROR(VLOOKUP(B2372,'SB1'!$A$2:$C$999999,3,FALSE),"")</f>
        <v>503</v>
      </c>
      <c r="G2372" s="3" t="e">
        <f t="shared" si="84"/>
        <v>#VALUE!</v>
      </c>
      <c r="H2372" s="3" t="e">
        <f t="shared" si="83"/>
        <v>#VALUE!</v>
      </c>
      <c r="I2372" s="1">
        <v>1</v>
      </c>
    </row>
    <row r="2373" spans="1:9" x14ac:dyDescent="0.25">
      <c r="A2373" s="1" t="s">
        <v>14435</v>
      </c>
      <c r="B2373" s="1" t="s">
        <v>6663</v>
      </c>
      <c r="C2373" s="1" t="str">
        <f>IFERROR(VLOOKUP(B2373,'SB1'!$A$2:$B$999999,2,FALSE),"")</f>
        <v>IMPREGNANTE PARA MADERA TERSUAVE BRILLANTE CEDRO X  1</v>
      </c>
      <c r="D2373" s="1" t="s">
        <v>14437</v>
      </c>
      <c r="E2373" s="3">
        <f>IFERROR(VLOOKUP(B2373,'DA1'!$B$2:$D$999999,3,FALSE),"")</f>
      </c>
      <c r="F2373" s="1" t="str">
        <f>IFERROR(VLOOKUP(B2373,'SB1'!$A$2:$C$999999,3,FALSE),"")</f>
        <v>503</v>
      </c>
      <c r="G2373" s="3" t="e">
        <f t="shared" si="84"/>
        <v>#VALUE!</v>
      </c>
      <c r="H2373" s="3" t="e">
        <f t="shared" si="83"/>
        <v>#VALUE!</v>
      </c>
      <c r="I2373" s="1">
        <v>1</v>
      </c>
    </row>
    <row r="2374" spans="1:9" x14ac:dyDescent="0.25">
      <c r="A2374" s="1" t="s">
        <v>14435</v>
      </c>
      <c r="B2374" s="1" t="s">
        <v>6665</v>
      </c>
      <c r="C2374" s="1" t="str">
        <f>IFERROR(VLOOKUP(B2374,'SB1'!$A$2:$B$999999,2,FALSE),"")</f>
        <v>IMPREGNANTE PARA MADERA TERSUAVE BRILLANTE CRISTAL X  1</v>
      </c>
      <c r="D2374" s="1" t="s">
        <v>14437</v>
      </c>
      <c r="E2374" s="3">
        <f>IFERROR(VLOOKUP(B2374,'DA1'!$B$2:$D$999999,3,FALSE),"")</f>
      </c>
      <c r="F2374" s="1" t="str">
        <f>IFERROR(VLOOKUP(B2374,'SB1'!$A$2:$C$999999,3,FALSE),"")</f>
        <v>503</v>
      </c>
      <c r="G2374" s="3" t="e">
        <f t="shared" si="84"/>
        <v>#VALUE!</v>
      </c>
      <c r="H2374" s="3" t="e">
        <f t="shared" si="83"/>
        <v>#VALUE!</v>
      </c>
      <c r="I2374" s="1">
        <v>1</v>
      </c>
    </row>
    <row r="2375" spans="1:9" x14ac:dyDescent="0.25">
      <c r="A2375" s="1" t="s">
        <v>14435</v>
      </c>
      <c r="B2375" s="1" t="s">
        <v>6667</v>
      </c>
      <c r="C2375" s="1" t="str">
        <f>IFERROR(VLOOKUP(B2375,'SB1'!$A$2:$B$999999,2,FALSE),"")</f>
        <v>IMPREGNANTE PARA MADERA TERSUAVE BRILLANTE NATURAL X  1</v>
      </c>
      <c r="D2375" s="1" t="s">
        <v>14437</v>
      </c>
      <c r="E2375" s="3">
        <f>IFERROR(VLOOKUP(B2375,'DA1'!$B$2:$D$999999,3,FALSE),"")</f>
      </c>
      <c r="F2375" s="1" t="str">
        <f>IFERROR(VLOOKUP(B2375,'SB1'!$A$2:$C$999999,3,FALSE),"")</f>
        <v>503</v>
      </c>
      <c r="G2375" s="3" t="e">
        <f t="shared" si="84"/>
        <v>#VALUE!</v>
      </c>
      <c r="H2375" s="3" t="e">
        <f t="shared" si="83"/>
        <v>#VALUE!</v>
      </c>
      <c r="I2375" s="1">
        <v>1</v>
      </c>
    </row>
    <row r="2376" spans="1:9" x14ac:dyDescent="0.25">
      <c r="A2376" s="1" t="s">
        <v>14435</v>
      </c>
      <c r="B2376" s="1" t="s">
        <v>6669</v>
      </c>
      <c r="C2376" s="1" t="str">
        <f>IFERROR(VLOOKUP(B2376,'SB1'!$A$2:$B$999999,2,FALSE),"")</f>
        <v>IMPREGNANTE PARA MADERA TERSUAVE BRILLANTE NOGAL X  1</v>
      </c>
      <c r="D2376" s="1" t="s">
        <v>14437</v>
      </c>
      <c r="E2376" s="3">
        <f>IFERROR(VLOOKUP(B2376,'DA1'!$B$2:$D$999999,3,FALSE),"")</f>
      </c>
      <c r="F2376" s="1" t="str">
        <f>IFERROR(VLOOKUP(B2376,'SB1'!$A$2:$C$999999,3,FALSE),"")</f>
        <v>503</v>
      </c>
      <c r="G2376" s="3" t="e">
        <f t="shared" si="84"/>
        <v>#VALUE!</v>
      </c>
      <c r="H2376" s="3" t="e">
        <f t="shared" si="83"/>
        <v>#VALUE!</v>
      </c>
      <c r="I2376" s="1">
        <v>1</v>
      </c>
    </row>
    <row r="2377" spans="1:9" x14ac:dyDescent="0.25">
      <c r="A2377" s="1" t="s">
        <v>14435</v>
      </c>
      <c r="B2377" s="1" t="s">
        <v>6673</v>
      </c>
      <c r="C2377" s="1" t="str">
        <f>IFERROR(VLOOKUP(B2377,'SB1'!$A$2:$B$999999,2,FALSE),"")</f>
        <v>IMPREGNANTE PARA MADERA TERSUAVE BRILLANTE ROBLE CLARO X  1</v>
      </c>
      <c r="D2377" s="1" t="s">
        <v>14437</v>
      </c>
      <c r="E2377" s="3">
        <f>IFERROR(VLOOKUP(B2377,'DA1'!$B$2:$D$999999,3,FALSE),"")</f>
      </c>
      <c r="F2377" s="1" t="str">
        <f>IFERROR(VLOOKUP(B2377,'SB1'!$A$2:$C$999999,3,FALSE),"")</f>
        <v>503</v>
      </c>
      <c r="G2377" s="3" t="e">
        <f t="shared" si="84"/>
        <v>#VALUE!</v>
      </c>
      <c r="H2377" s="3" t="e">
        <f t="shared" si="83"/>
        <v>#VALUE!</v>
      </c>
      <c r="I2377" s="1">
        <v>1</v>
      </c>
    </row>
    <row r="2378" spans="1:9" x14ac:dyDescent="0.25">
      <c r="A2378" s="1" t="s">
        <v>14435</v>
      </c>
      <c r="B2378" s="1" t="s">
        <v>6675</v>
      </c>
      <c r="C2378" s="1" t="str">
        <f>IFERROR(VLOOKUP(B2378,'SB1'!$A$2:$B$999999,2,FALSE),"")</f>
        <v>AEROSOL TERSUAVE ESMALTE SINTETICO SATINADO BLANCO X 0,440</v>
      </c>
      <c r="D2378" s="1" t="s">
        <v>14437</v>
      </c>
      <c r="E2378" s="3">
        <f>IFERROR(VLOOKUP(B2378,'DA1'!$B$2:$D$999999,3,FALSE),"")</f>
      </c>
      <c r="F2378" s="1" t="str">
        <f>IFERROR(VLOOKUP(B2378,'SB1'!$A$2:$C$999999,3,FALSE),"")</f>
        <v>503</v>
      </c>
      <c r="G2378" s="3" t="e">
        <f t="shared" si="84"/>
        <v>#VALUE!</v>
      </c>
      <c r="H2378" s="3" t="e">
        <f t="shared" si="83"/>
        <v>#VALUE!</v>
      </c>
      <c r="I2378" s="1">
        <v>1</v>
      </c>
    </row>
    <row r="2379" spans="1:9" x14ac:dyDescent="0.25">
      <c r="A2379" s="1" t="s">
        <v>14435</v>
      </c>
      <c r="B2379" s="1" t="s">
        <v>6677</v>
      </c>
      <c r="C2379" s="1" t="str">
        <f>IFERROR(VLOOKUP(B2379,'SB1'!$A$2:$B$999999,2,FALSE),"")</f>
        <v>AEROSOL TERSUAVE ESMALTE SINTETICO DOBLE ACCION BRILLANTE BLANCO X 0,440</v>
      </c>
      <c r="D2379" s="1" t="s">
        <v>14439</v>
      </c>
      <c r="E2379" s="3">
        <f>IFERROR(VLOOKUP(B2379,'DA1'!$B$2:$D$999999,3,FALSE),"")</f>
      </c>
      <c r="F2379" s="1" t="str">
        <f>IFERROR(VLOOKUP(B2379,'SB1'!$A$2:$C$999999,3,FALSE),"")</f>
        <v>503</v>
      </c>
      <c r="G2379" s="3" t="e">
        <f t="shared" si="84"/>
        <v>#VALUE!</v>
      </c>
      <c r="H2379" s="3" t="e">
        <f t="shared" si="83"/>
        <v>#VALUE!</v>
      </c>
      <c r="I2379" s="1">
        <v>1</v>
      </c>
    </row>
    <row r="2380" spans="1:9" x14ac:dyDescent="0.25">
      <c r="A2380" s="1" t="s">
        <v>14435</v>
      </c>
      <c r="B2380" s="1" t="s">
        <v>6679</v>
      </c>
      <c r="C2380" s="1" t="str">
        <f>IFERROR(VLOOKUP(B2380,'SB1'!$A$2:$B$999999,2,FALSE),"")</f>
        <v>AEROSOL TERSUAVE ESMALTE SINTETICO DOBLE ACCION BRILLANTE BERMELLON X 0,440</v>
      </c>
      <c r="D2380" s="1" t="s">
        <v>14437</v>
      </c>
      <c r="E2380" s="3">
        <f>IFERROR(VLOOKUP(B2380,'DA1'!$B$2:$D$999999,3,FALSE),"")</f>
      </c>
      <c r="F2380" s="1" t="str">
        <f>IFERROR(VLOOKUP(B2380,'SB1'!$A$2:$C$999999,3,FALSE),"")</f>
        <v>503</v>
      </c>
      <c r="G2380" s="3" t="e">
        <f t="shared" si="84"/>
        <v>#VALUE!</v>
      </c>
      <c r="H2380" s="3" t="e">
        <f t="shared" si="83"/>
        <v>#VALUE!</v>
      </c>
      <c r="I2380" s="1">
        <v>1</v>
      </c>
    </row>
    <row r="2381" spans="1:9" x14ac:dyDescent="0.25">
      <c r="A2381" s="1" t="s">
        <v>14435</v>
      </c>
      <c r="B2381" s="1" t="s">
        <v>6681</v>
      </c>
      <c r="C2381" s="1" t="str">
        <f>IFERROR(VLOOKUP(B2381,'SB1'!$A$2:$B$999999,2,FALSE),"")</f>
        <v>AEROSOL TERSUAVE ESMALTE SINTETICO DOBLE ACCION BRILLANTE NEGRO X 0,440</v>
      </c>
      <c r="D2381" s="1" t="s">
        <v>14439</v>
      </c>
      <c r="E2381" s="3">
        <f>IFERROR(VLOOKUP(B2381,'DA1'!$B$2:$D$999999,3,FALSE),"")</f>
      </c>
      <c r="F2381" s="1" t="str">
        <f>IFERROR(VLOOKUP(B2381,'SB1'!$A$2:$C$999999,3,FALSE),"")</f>
        <v>503</v>
      </c>
      <c r="G2381" s="3" t="e">
        <f t="shared" si="84"/>
        <v>#VALUE!</v>
      </c>
      <c r="H2381" s="3" t="e">
        <f t="shared" si="83"/>
        <v>#VALUE!</v>
      </c>
      <c r="I2381" s="1">
        <v>1</v>
      </c>
    </row>
    <row r="2382" spans="1:9" x14ac:dyDescent="0.25">
      <c r="A2382" s="1" t="s">
        <v>14435</v>
      </c>
      <c r="B2382" s="1" t="s">
        <v>6683</v>
      </c>
      <c r="C2382" s="1" t="str">
        <f>IFERROR(VLOOKUP(B2382,'SB1'!$A$2:$B$999999,2,FALSE),"")</f>
        <v>AEROSOL TERSUAVE ESMALTE SINTETICO DOBLE ACCION BRILLANTE VERDE INGLES X 0,440</v>
      </c>
      <c r="D2382" s="1" t="s">
        <v>14437</v>
      </c>
      <c r="E2382" s="3">
        <f>IFERROR(VLOOKUP(B2382,'DA1'!$B$2:$D$999999,3,FALSE),"")</f>
      </c>
      <c r="F2382" s="1" t="str">
        <f>IFERROR(VLOOKUP(B2382,'SB1'!$A$2:$C$999999,3,FALSE),"")</f>
        <v>503</v>
      </c>
      <c r="G2382" s="3" t="e">
        <f t="shared" si="84"/>
        <v>#VALUE!</v>
      </c>
      <c r="H2382" s="3" t="e">
        <f t="shared" si="83"/>
        <v>#VALUE!</v>
      </c>
      <c r="I2382" s="1">
        <v>1</v>
      </c>
    </row>
    <row r="2383" spans="1:9" x14ac:dyDescent="0.25">
      <c r="A2383" s="1" t="s">
        <v>14435</v>
      </c>
      <c r="B2383" s="1" t="s">
        <v>6685</v>
      </c>
      <c r="C2383" s="1" t="str">
        <f>IFERROR(VLOOKUP(B2383,'SB1'!$A$2:$B$999999,2,FALSE),"")</f>
        <v>ESPUMA POLIURETANO WEBER X 0,750</v>
      </c>
      <c r="D2383" s="1" t="s">
        <v>14495</v>
      </c>
      <c r="E2383" s="3">
        <f>IFERROR(VLOOKUP(B2383,'DA1'!$B$2:$D$999999,3,FALSE),"")</f>
      </c>
      <c r="F2383" s="1" t="str">
        <f>IFERROR(VLOOKUP(B2383,'SB1'!$A$2:$C$999999,3,FALSE),"")</f>
        <v>503</v>
      </c>
      <c r="G2383" s="3" t="e">
        <f t="shared" si="84"/>
        <v>#VALUE!</v>
      </c>
      <c r="H2383" s="3" t="e">
        <f t="shared" si="83"/>
        <v>#VALUE!</v>
      </c>
      <c r="I2383" s="1">
        <v>1</v>
      </c>
    </row>
    <row r="2384" spans="1:9" x14ac:dyDescent="0.25">
      <c r="A2384" s="1" t="s">
        <v>14435</v>
      </c>
      <c r="B2384" s="1" t="s">
        <v>6687</v>
      </c>
      <c r="C2384" s="1" t="str">
        <f>IFERROR(VLOOKUP(B2384,'SB1'!$A$2:$B$999999,2,FALSE),"")</f>
        <v>AEROSOL TERSUAVE ESMALTE EFECTO ESMERILADO X 0,440</v>
      </c>
      <c r="D2384" s="1" t="s">
        <v>14437</v>
      </c>
      <c r="E2384" s="3">
        <f>IFERROR(VLOOKUP(B2384,'DA1'!$B$2:$D$999999,3,FALSE),"")</f>
      </c>
      <c r="F2384" s="1" t="str">
        <f>IFERROR(VLOOKUP(B2384,'SB1'!$A$2:$C$999999,3,FALSE),"")</f>
        <v>503</v>
      </c>
      <c r="G2384" s="3" t="e">
        <f t="shared" si="84"/>
        <v>#VALUE!</v>
      </c>
      <c r="H2384" s="3" t="e">
        <f t="shared" si="83"/>
        <v>#VALUE!</v>
      </c>
      <c r="I2384" s="1">
        <v>1</v>
      </c>
    </row>
    <row r="2385" spans="1:9" x14ac:dyDescent="0.25">
      <c r="A2385" s="1" t="s">
        <v>14435</v>
      </c>
      <c r="B2385" s="1" t="s">
        <v>6699</v>
      </c>
      <c r="C2385" s="1" t="str">
        <f>IFERROR(VLOOKUP(B2385,'SB1'!$A$2:$B$999999,2,FALSE),"")</f>
        <v>LATEX INTERIOR WEBERPINT MATE BLANCO X  4</v>
      </c>
      <c r="D2385" s="1" t="s">
        <v>14495</v>
      </c>
      <c r="E2385" s="3">
        <f>IFERROR(VLOOKUP(B2385,'DA1'!$B$2:$D$999999,3,FALSE),"")</f>
      </c>
      <c r="F2385" s="1" t="str">
        <f>IFERROR(VLOOKUP(B2385,'SB1'!$A$2:$C$999999,3,FALSE),"")</f>
        <v>503</v>
      </c>
      <c r="G2385" s="3" t="e">
        <f t="shared" si="84"/>
        <v>#VALUE!</v>
      </c>
      <c r="H2385" s="3" t="e">
        <f t="shared" si="83"/>
        <v>#VALUE!</v>
      </c>
      <c r="I2385" s="1">
        <v>1</v>
      </c>
    </row>
    <row r="2386" spans="1:9" x14ac:dyDescent="0.25">
      <c r="A2386" s="1" t="s">
        <v>14435</v>
      </c>
      <c r="B2386" s="1" t="s">
        <v>6701</v>
      </c>
      <c r="C2386" s="1" t="str">
        <f>IFERROR(VLOOKUP(B2386,'SB1'!$A$2:$B$999999,2,FALSE),"")</f>
        <v>LATEX INTERIOR WEBERPINT MATE BLANCO X 10</v>
      </c>
      <c r="D2386" s="1" t="s">
        <v>14495</v>
      </c>
      <c r="E2386" s="3">
        <f>IFERROR(VLOOKUP(B2386,'DA1'!$B$2:$D$999999,3,FALSE),"")</f>
      </c>
      <c r="F2386" s="1" t="str">
        <f>IFERROR(VLOOKUP(B2386,'SB1'!$A$2:$C$999999,3,FALSE),"")</f>
        <v>503</v>
      </c>
      <c r="G2386" s="3" t="e">
        <f t="shared" si="84"/>
        <v>#VALUE!</v>
      </c>
      <c r="H2386" s="3" t="e">
        <f t="shared" si="83"/>
        <v>#VALUE!</v>
      </c>
      <c r="I2386" s="1">
        <v>1</v>
      </c>
    </row>
    <row r="2387" spans="1:9" x14ac:dyDescent="0.25">
      <c r="A2387" s="1" t="s">
        <v>14435</v>
      </c>
      <c r="B2387" s="1" t="s">
        <v>6703</v>
      </c>
      <c r="C2387" s="1" t="str">
        <f>IFERROR(VLOOKUP(B2387,'SB1'!$A$2:$B$999999,2,FALSE),"")</f>
        <v>LATEX INTERIOR WEBERPINT MATE BLANCO X 20</v>
      </c>
      <c r="D2387" s="1" t="s">
        <v>14495</v>
      </c>
      <c r="E2387" s="3">
        <f>IFERROR(VLOOKUP(B2387,'DA1'!$B$2:$D$999999,3,FALSE),"")</f>
      </c>
      <c r="F2387" s="1" t="str">
        <f>IFERROR(VLOOKUP(B2387,'SB1'!$A$2:$C$999999,3,FALSE),"")</f>
        <v>503</v>
      </c>
      <c r="G2387" s="3" t="e">
        <f t="shared" si="84"/>
        <v>#VALUE!</v>
      </c>
      <c r="H2387" s="3" t="e">
        <f t="shared" si="83"/>
        <v>#VALUE!</v>
      </c>
      <c r="I2387" s="1">
        <v>1</v>
      </c>
    </row>
    <row r="2388" spans="1:9" x14ac:dyDescent="0.25">
      <c r="A2388" s="1" t="s">
        <v>14435</v>
      </c>
      <c r="B2388" s="1" t="s">
        <v>6705</v>
      </c>
      <c r="C2388" s="1" t="str">
        <f>IFERROR(VLOOKUP(B2388,'SB1'!$A$2:$B$999999,2,FALSE),"")</f>
        <v>AEROSOL TERSUAVE ESMALTE SINTETICO BRILLANTE ORO X 0,440</v>
      </c>
      <c r="D2388" s="1" t="s">
        <v>14437</v>
      </c>
      <c r="E2388" s="3">
        <f>IFERROR(VLOOKUP(B2388,'DA1'!$B$2:$D$999999,3,FALSE),"")</f>
      </c>
      <c r="F2388" s="1" t="str">
        <f>IFERROR(VLOOKUP(B2388,'SB1'!$A$2:$C$999999,3,FALSE),"")</f>
        <v>503</v>
      </c>
      <c r="G2388" s="3" t="e">
        <f t="shared" si="84"/>
        <v>#VALUE!</v>
      </c>
      <c r="H2388" s="3" t="e">
        <f t="shared" si="83"/>
        <v>#VALUE!</v>
      </c>
      <c r="I2388" s="1">
        <v>1</v>
      </c>
    </row>
    <row r="2389" spans="1:9" x14ac:dyDescent="0.25">
      <c r="A2389" s="1" t="s">
        <v>14435</v>
      </c>
      <c r="B2389" s="1" t="s">
        <v>6707</v>
      </c>
      <c r="C2389" s="1" t="str">
        <f>IFERROR(VLOOKUP(B2389,'SB1'!$A$2:$B$999999,2,FALSE),"")</f>
        <v>TUERCA P/MANGUERA AIRE 24X1,5 ADIABATIC (0167DLL0)</v>
      </c>
      <c r="D2389" s="1" t="s">
        <v>14496</v>
      </c>
      <c r="E2389" s="3">
        <f>IFERROR(VLOOKUP(B2389,'DA1'!$B$2:$D$999999,3,FALSE),"")</f>
      </c>
      <c r="F2389" s="1" t="str">
        <f>IFERROR(VLOOKUP(B2389,'SB1'!$A$2:$C$999999,3,FALSE),"")</f>
        <v>503</v>
      </c>
      <c r="G2389" s="3" t="e">
        <f t="shared" si="84"/>
        <v>#VALUE!</v>
      </c>
      <c r="H2389" s="3" t="e">
        <f t="shared" si="83"/>
        <v>#VALUE!</v>
      </c>
      <c r="I2389" s="1">
        <v>1</v>
      </c>
    </row>
    <row r="2390" spans="1:9" x14ac:dyDescent="0.25">
      <c r="A2390" s="1" t="s">
        <v>14435</v>
      </c>
      <c r="B2390" s="1" t="s">
        <v>6709</v>
      </c>
      <c r="C2390" s="1" t="str">
        <f>IFERROR(VLOOKUP(B2390,'SB1'!$A$2:$B$999999,2,FALSE),"")</f>
        <v>AEROSOL TERSUAVE ESMALTE SINTETICO ALTA TEMPERATURA BLANCO X 0,440</v>
      </c>
      <c r="D2390" s="1" t="s">
        <v>14437</v>
      </c>
      <c r="E2390" s="3">
        <f>IFERROR(VLOOKUP(B2390,'DA1'!$B$2:$D$999999,3,FALSE),"")</f>
      </c>
      <c r="F2390" s="1" t="str">
        <f>IFERROR(VLOOKUP(B2390,'SB1'!$A$2:$C$999999,3,FALSE),"")</f>
        <v>503</v>
      </c>
      <c r="G2390" s="3" t="e">
        <f t="shared" si="84"/>
        <v>#VALUE!</v>
      </c>
      <c r="H2390" s="3" t="e">
        <f t="shared" si="83"/>
        <v>#VALUE!</v>
      </c>
      <c r="I2390" s="1">
        <v>1</v>
      </c>
    </row>
    <row r="2391" spans="1:9" x14ac:dyDescent="0.25">
      <c r="A2391" s="1" t="s">
        <v>14435</v>
      </c>
      <c r="B2391" s="1" t="s">
        <v>6721</v>
      </c>
      <c r="C2391" s="1" t="str">
        <f>IFERROR(VLOOKUP(B2391,'SB1'!$A$2:$B$999999,2,FALSE),"")</f>
        <v>IMPREGNANTE PARA MADERA TERSUAVE BRILLANTE CAOBA X  4</v>
      </c>
      <c r="D2391" s="1" t="s">
        <v>14437</v>
      </c>
      <c r="E2391" s="3">
        <f>IFERROR(VLOOKUP(B2391,'DA1'!$B$2:$D$999999,3,FALSE),"")</f>
      </c>
      <c r="F2391" s="1" t="str">
        <f>IFERROR(VLOOKUP(B2391,'SB1'!$A$2:$C$999999,3,FALSE),"")</f>
        <v>503</v>
      </c>
      <c r="G2391" s="3" t="e">
        <f t="shared" si="84"/>
        <v>#VALUE!</v>
      </c>
      <c r="H2391" s="3" t="e">
        <f t="shared" si="83"/>
        <v>#VALUE!</v>
      </c>
      <c r="I2391" s="1">
        <v>1</v>
      </c>
    </row>
    <row r="2392" spans="1:9" x14ac:dyDescent="0.25">
      <c r="A2392" s="1" t="s">
        <v>14435</v>
      </c>
      <c r="B2392" s="1" t="s">
        <v>6723</v>
      </c>
      <c r="C2392" s="1" t="str">
        <f>IFERROR(VLOOKUP(B2392,'SB1'!$A$2:$B$999999,2,FALSE),"")</f>
        <v>IMPREGNANTE PARA MADERA TERSUAVE BRILLANTE CEDRO X  4</v>
      </c>
      <c r="D2392" s="1" t="s">
        <v>14437</v>
      </c>
      <c r="E2392" s="3">
        <f>IFERROR(VLOOKUP(B2392,'DA1'!$B$2:$D$999999,3,FALSE),"")</f>
      </c>
      <c r="F2392" s="1" t="str">
        <f>IFERROR(VLOOKUP(B2392,'SB1'!$A$2:$C$999999,3,FALSE),"")</f>
        <v>503</v>
      </c>
      <c r="G2392" s="3" t="e">
        <f t="shared" si="84"/>
        <v>#VALUE!</v>
      </c>
      <c r="H2392" s="3" t="e">
        <f t="shared" si="83"/>
        <v>#VALUE!</v>
      </c>
      <c r="I2392" s="1">
        <v>1</v>
      </c>
    </row>
    <row r="2393" spans="1:9" x14ac:dyDescent="0.25">
      <c r="A2393" s="1" t="s">
        <v>14435</v>
      </c>
      <c r="B2393" s="1" t="s">
        <v>6725</v>
      </c>
      <c r="C2393" s="1" t="str">
        <f>IFERROR(VLOOKUP(B2393,'SB1'!$A$2:$B$999999,2,FALSE),"")</f>
        <v>IMPREGNANTE PARA MADERA TERSUAVE BRILLANTE CRISTAL X  4</v>
      </c>
      <c r="D2393" s="1" t="s">
        <v>14437</v>
      </c>
      <c r="E2393" s="3">
        <f>IFERROR(VLOOKUP(B2393,'DA1'!$B$2:$D$999999,3,FALSE),"")</f>
      </c>
      <c r="F2393" s="1" t="str">
        <f>IFERROR(VLOOKUP(B2393,'SB1'!$A$2:$C$999999,3,FALSE),"")</f>
        <v>503</v>
      </c>
      <c r="G2393" s="3" t="e">
        <f t="shared" si="84"/>
        <v>#VALUE!</v>
      </c>
      <c r="H2393" s="3" t="e">
        <f t="shared" si="83"/>
        <v>#VALUE!</v>
      </c>
      <c r="I2393" s="1">
        <v>1</v>
      </c>
    </row>
    <row r="2394" spans="1:9" x14ac:dyDescent="0.25">
      <c r="A2394" s="1" t="s">
        <v>14435</v>
      </c>
      <c r="B2394" s="1" t="s">
        <v>6727</v>
      </c>
      <c r="C2394" s="1" t="str">
        <f>IFERROR(VLOOKUP(B2394,'SB1'!$A$2:$B$999999,2,FALSE),"")</f>
        <v>IMPREGNANTE PARA MADERA TERSUAVE BRILLANTE NATURAL X  4</v>
      </c>
      <c r="D2394" s="1" t="s">
        <v>14437</v>
      </c>
      <c r="E2394" s="3">
        <f>IFERROR(VLOOKUP(B2394,'DA1'!$B$2:$D$999999,3,FALSE),"")</f>
      </c>
      <c r="F2394" s="1" t="str">
        <f>IFERROR(VLOOKUP(B2394,'SB1'!$A$2:$C$999999,3,FALSE),"")</f>
        <v>503</v>
      </c>
      <c r="G2394" s="3" t="e">
        <f t="shared" si="84"/>
        <v>#VALUE!</v>
      </c>
      <c r="H2394" s="3" t="e">
        <f t="shared" si="83"/>
        <v>#VALUE!</v>
      </c>
      <c r="I2394" s="1">
        <v>1</v>
      </c>
    </row>
    <row r="2395" spans="1:9" x14ac:dyDescent="0.25">
      <c r="A2395" s="1" t="s">
        <v>14435</v>
      </c>
      <c r="B2395" s="1" t="s">
        <v>6729</v>
      </c>
      <c r="C2395" s="1" t="str">
        <f>IFERROR(VLOOKUP(B2395,'SB1'!$A$2:$B$999999,2,FALSE),"")</f>
        <v>IMPREGNANTE PARA MADERA TERSUAVE BRILLANTE NOGAL X  4</v>
      </c>
      <c r="D2395" s="1" t="s">
        <v>14437</v>
      </c>
      <c r="E2395" s="3">
        <f>IFERROR(VLOOKUP(B2395,'DA1'!$B$2:$D$999999,3,FALSE),"")</f>
      </c>
      <c r="F2395" s="1" t="str">
        <f>IFERROR(VLOOKUP(B2395,'SB1'!$A$2:$C$999999,3,FALSE),"")</f>
        <v>503</v>
      </c>
      <c r="G2395" s="3" t="e">
        <f t="shared" si="84"/>
        <v>#VALUE!</v>
      </c>
      <c r="H2395" s="3" t="e">
        <f t="shared" si="83"/>
        <v>#VALUE!</v>
      </c>
      <c r="I2395" s="1">
        <v>1</v>
      </c>
    </row>
    <row r="2396" spans="1:9" x14ac:dyDescent="0.25">
      <c r="A2396" s="1" t="s">
        <v>14435</v>
      </c>
      <c r="B2396" s="1" t="s">
        <v>6733</v>
      </c>
      <c r="C2396" s="1" t="str">
        <f>IFERROR(VLOOKUP(B2396,'SB1'!$A$2:$B$999999,2,FALSE),"")</f>
        <v>IMPREGNANTE PARA MADERA TERSUAVE BRILLANTE ROBLE CLARO X  4</v>
      </c>
      <c r="D2396" s="1" t="s">
        <v>14437</v>
      </c>
      <c r="E2396" s="3">
        <f>IFERROR(VLOOKUP(B2396,'DA1'!$B$2:$D$999999,3,FALSE),"")</f>
      </c>
      <c r="F2396" s="1" t="str">
        <f>IFERROR(VLOOKUP(B2396,'SB1'!$A$2:$C$999999,3,FALSE),"")</f>
        <v>503</v>
      </c>
      <c r="G2396" s="3" t="e">
        <f t="shared" si="84"/>
        <v>#VALUE!</v>
      </c>
      <c r="H2396" s="3" t="e">
        <f t="shared" si="83"/>
        <v>#VALUE!</v>
      </c>
      <c r="I2396" s="1">
        <v>1</v>
      </c>
    </row>
    <row r="2397" spans="1:9" x14ac:dyDescent="0.25">
      <c r="A2397" s="1" t="s">
        <v>14435</v>
      </c>
      <c r="B2397" s="1" t="s">
        <v>6751</v>
      </c>
      <c r="C2397" s="1" t="str">
        <f>IFERROR(VLOOKUP(B2397,'SB1'!$A$2:$B$999999,2,FALSE),"")</f>
        <v>AEROSOL TERSUAVE ESMALTE SINTETICO ALTA TEMPERATURA ALUMINIO X 0,440</v>
      </c>
      <c r="D2397" s="1" t="s">
        <v>14437</v>
      </c>
      <c r="E2397" s="3">
        <f>IFERROR(VLOOKUP(B2397,'DA1'!$B$2:$D$999999,3,FALSE),"")</f>
      </c>
      <c r="F2397" s="1" t="str">
        <f>IFERROR(VLOOKUP(B2397,'SB1'!$A$2:$C$999999,3,FALSE),"")</f>
        <v>503</v>
      </c>
      <c r="G2397" s="3" t="e">
        <f t="shared" si="84"/>
        <v>#VALUE!</v>
      </c>
      <c r="H2397" s="3" t="e">
        <f t="shared" si="83"/>
        <v>#VALUE!</v>
      </c>
      <c r="I2397" s="1">
        <v>1</v>
      </c>
    </row>
    <row r="2398" spans="1:9" x14ac:dyDescent="0.25">
      <c r="A2398" s="1" t="s">
        <v>14435</v>
      </c>
      <c r="B2398" s="1" t="s">
        <v>6753</v>
      </c>
      <c r="C2398" s="1" t="str">
        <f>IFERROR(VLOOKUP(B2398,'SB1'!$A$2:$B$999999,2,FALSE),"")</f>
        <v>ZM INTERZONE 954 GREY C/PARTE B (16+4) X 20</v>
      </c>
      <c r="D2398" s="1" t="s">
        <v>14492</v>
      </c>
      <c r="E2398" s="3">
        <f>IFERROR(VLOOKUP(B2398,'DA1'!$B$2:$D$999999,3,FALSE),"")</f>
      </c>
      <c r="F2398" s="1" t="str">
        <f>IFERROR(VLOOKUP(B2398,'SB1'!$A$2:$C$999999,3,FALSE),"")</f>
        <v>503</v>
      </c>
      <c r="G2398" s="3" t="e">
        <f t="shared" si="84"/>
        <v>#VALUE!</v>
      </c>
      <c r="H2398" s="3" t="e">
        <f t="shared" ref="H2398:H2461" si="85">G2398*1.21</f>
        <v>#VALUE!</v>
      </c>
      <c r="I2398" s="1">
        <v>2</v>
      </c>
    </row>
    <row r="2399" spans="1:9" x14ac:dyDescent="0.25">
      <c r="A2399" s="1" t="s">
        <v>14435</v>
      </c>
      <c r="B2399" s="1" t="s">
        <v>6757</v>
      </c>
      <c r="C2399" s="1" t="str">
        <f>IFERROR(VLOOKUP(B2399,'SB1'!$A$2:$B$999999,2,FALSE),"")</f>
        <v>AEROSOL TERSUAVE ESMALTE SINTETICO ALTA TEMPERATURA NEGRO X 0,440</v>
      </c>
      <c r="D2399" s="1" t="s">
        <v>14437</v>
      </c>
      <c r="E2399" s="3">
        <f>IFERROR(VLOOKUP(B2399,'DA1'!$B$2:$D$999999,3,FALSE),"")</f>
      </c>
      <c r="F2399" s="1" t="str">
        <f>IFERROR(VLOOKUP(B2399,'SB1'!$A$2:$C$999999,3,FALSE),"")</f>
        <v>503</v>
      </c>
      <c r="G2399" s="3" t="e">
        <f t="shared" si="84"/>
        <v>#VALUE!</v>
      </c>
      <c r="H2399" s="3" t="e">
        <f t="shared" si="85"/>
        <v>#VALUE!</v>
      </c>
      <c r="I2399" s="1">
        <v>1</v>
      </c>
    </row>
    <row r="2400" spans="1:9" x14ac:dyDescent="0.25">
      <c r="A2400" s="1" t="s">
        <v>14435</v>
      </c>
      <c r="B2400" s="1" t="s">
        <v>6759</v>
      </c>
      <c r="C2400" s="1" t="str">
        <f>IFERROR(VLOOKUP(B2400,'SB1'!$A$2:$B$999999,2,FALSE),"")</f>
        <v>BUJE SAL.AIRE EC20PL ADIABATIC (1196DLA0)</v>
      </c>
      <c r="D2400" s="1" t="s">
        <v>14496</v>
      </c>
      <c r="E2400" s="3">
        <f>IFERROR(VLOOKUP(B2400,'DA1'!$B$2:$D$999999,3,FALSE),"")</f>
      </c>
      <c r="F2400" s="1" t="str">
        <f>IFERROR(VLOOKUP(B2400,'SB1'!$A$2:$C$999999,3,FALSE),"")</f>
        <v>503</v>
      </c>
      <c r="G2400" s="3" t="e">
        <f t="shared" si="84"/>
        <v>#VALUE!</v>
      </c>
      <c r="H2400" s="3" t="e">
        <f t="shared" si="85"/>
        <v>#VALUE!</v>
      </c>
      <c r="I2400" s="1">
        <v>1</v>
      </c>
    </row>
    <row r="2401" spans="1:9" x14ac:dyDescent="0.25">
      <c r="A2401" s="1" t="s">
        <v>14435</v>
      </c>
      <c r="B2401" s="1" t="s">
        <v>6761</v>
      </c>
      <c r="C2401" s="1" t="str">
        <f>IFERROR(VLOOKUP(B2401,'SB1'!$A$2:$B$999999,2,FALSE),"")</f>
        <v>IMPREGNANTE PARA MADERA TERSUAVE BRILLANTE CAOBA X 20</v>
      </c>
      <c r="D2401" s="1" t="s">
        <v>14437</v>
      </c>
      <c r="E2401" s="3">
        <f>IFERROR(VLOOKUP(B2401,'DA1'!$B$2:$D$999999,3,FALSE),"")</f>
      </c>
      <c r="F2401" s="1" t="str">
        <f>IFERROR(VLOOKUP(B2401,'SB1'!$A$2:$C$999999,3,FALSE),"")</f>
        <v>503</v>
      </c>
      <c r="G2401" s="3" t="e">
        <f t="shared" si="84"/>
        <v>#VALUE!</v>
      </c>
      <c r="H2401" s="3" t="e">
        <f t="shared" si="85"/>
        <v>#VALUE!</v>
      </c>
      <c r="I2401" s="1">
        <v>1</v>
      </c>
    </row>
    <row r="2402" spans="1:9" x14ac:dyDescent="0.25">
      <c r="A2402" s="1" t="s">
        <v>14435</v>
      </c>
      <c r="B2402" s="1" t="s">
        <v>6763</v>
      </c>
      <c r="C2402" s="1" t="str">
        <f>IFERROR(VLOOKUP(B2402,'SB1'!$A$2:$B$999999,2,FALSE),"")</f>
        <v>IMPREGNANTE PARA MADERA TERSUAVE BRILLANTE CEDRO X 20</v>
      </c>
      <c r="D2402" s="1" t="s">
        <v>14437</v>
      </c>
      <c r="E2402" s="3">
        <f>IFERROR(VLOOKUP(B2402,'DA1'!$B$2:$D$999999,3,FALSE),"")</f>
      </c>
      <c r="F2402" s="1" t="str">
        <f>IFERROR(VLOOKUP(B2402,'SB1'!$A$2:$C$999999,3,FALSE),"")</f>
        <v>503</v>
      </c>
      <c r="G2402" s="3" t="e">
        <f t="shared" si="84"/>
        <v>#VALUE!</v>
      </c>
      <c r="H2402" s="3" t="e">
        <f t="shared" si="85"/>
        <v>#VALUE!</v>
      </c>
      <c r="I2402" s="1">
        <v>1</v>
      </c>
    </row>
    <row r="2403" spans="1:9" x14ac:dyDescent="0.25">
      <c r="A2403" s="1" t="s">
        <v>14435</v>
      </c>
      <c r="B2403" s="1" t="s">
        <v>6765</v>
      </c>
      <c r="C2403" s="1" t="str">
        <f>IFERROR(VLOOKUP(B2403,'SB1'!$A$2:$B$999999,2,FALSE),"")</f>
        <v>IMPREGNANTE PARA MADERA TERSUAVE BRILLANTE CRISTAL X 20</v>
      </c>
      <c r="D2403" s="1" t="s">
        <v>14437</v>
      </c>
      <c r="E2403" s="3">
        <f>IFERROR(VLOOKUP(B2403,'DA1'!$B$2:$D$999999,3,FALSE),"")</f>
      </c>
      <c r="F2403" s="1" t="str">
        <f>IFERROR(VLOOKUP(B2403,'SB1'!$A$2:$C$999999,3,FALSE),"")</f>
        <v>503</v>
      </c>
      <c r="G2403" s="3" t="e">
        <f t="shared" si="84"/>
        <v>#VALUE!</v>
      </c>
      <c r="H2403" s="3" t="e">
        <f t="shared" si="85"/>
        <v>#VALUE!</v>
      </c>
      <c r="I2403" s="1">
        <v>1</v>
      </c>
    </row>
    <row r="2404" spans="1:9" x14ac:dyDescent="0.25">
      <c r="A2404" s="1" t="s">
        <v>14435</v>
      </c>
      <c r="B2404" s="1" t="s">
        <v>6767</v>
      </c>
      <c r="C2404" s="1" t="str">
        <f>IFERROR(VLOOKUP(B2404,'SB1'!$A$2:$B$999999,2,FALSE),"")</f>
        <v>IMPREGNANTE PARA MADERA TERSUAVE BRILLANTE NATURAL X 20</v>
      </c>
      <c r="D2404" s="1" t="s">
        <v>14437</v>
      </c>
      <c r="E2404" s="3">
        <f>IFERROR(VLOOKUP(B2404,'DA1'!$B$2:$D$999999,3,FALSE),"")</f>
      </c>
      <c r="F2404" s="1" t="str">
        <f>IFERROR(VLOOKUP(B2404,'SB1'!$A$2:$C$999999,3,FALSE),"")</f>
        <v>503</v>
      </c>
      <c r="G2404" s="3" t="e">
        <f t="shared" si="84"/>
        <v>#VALUE!</v>
      </c>
      <c r="H2404" s="3" t="e">
        <f t="shared" si="85"/>
        <v>#VALUE!</v>
      </c>
      <c r="I2404" s="1">
        <v>1</v>
      </c>
    </row>
    <row r="2405" spans="1:9" x14ac:dyDescent="0.25">
      <c r="A2405" s="1" t="s">
        <v>14435</v>
      </c>
      <c r="B2405" s="1" t="s">
        <v>6769</v>
      </c>
      <c r="C2405" s="1" t="str">
        <f>IFERROR(VLOOKUP(B2405,'SB1'!$A$2:$B$999999,2,FALSE),"")</f>
        <v>IMPREGNANTE PARA MADERA TERSUAVE BRILLANTE NOGAL X 20</v>
      </c>
      <c r="D2405" s="1" t="s">
        <v>14437</v>
      </c>
      <c r="E2405" s="3">
        <f>IFERROR(VLOOKUP(B2405,'DA1'!$B$2:$D$999999,3,FALSE),"")</f>
      </c>
      <c r="F2405" s="1" t="str">
        <f>IFERROR(VLOOKUP(B2405,'SB1'!$A$2:$C$999999,3,FALSE),"")</f>
        <v>503</v>
      </c>
      <c r="G2405" s="3" t="e">
        <f t="shared" si="84"/>
        <v>#VALUE!</v>
      </c>
      <c r="H2405" s="3" t="e">
        <f t="shared" si="85"/>
        <v>#VALUE!</v>
      </c>
      <c r="I2405" s="1">
        <v>1</v>
      </c>
    </row>
    <row r="2406" spans="1:9" x14ac:dyDescent="0.25">
      <c r="A2406" s="1" t="s">
        <v>14435</v>
      </c>
      <c r="B2406" s="1" t="s">
        <v>6773</v>
      </c>
      <c r="C2406" s="1" t="str">
        <f>IFERROR(VLOOKUP(B2406,'SB1'!$A$2:$B$999999,2,FALSE),"")</f>
        <v>IMPREGNANTE PARA MADERA TERSUAVE BRILLANTE ROBLE CLARO X 20</v>
      </c>
      <c r="D2406" s="1" t="s">
        <v>14437</v>
      </c>
      <c r="E2406" s="3">
        <f>IFERROR(VLOOKUP(B2406,'DA1'!$B$2:$D$999999,3,FALSE),"")</f>
      </c>
      <c r="F2406" s="1" t="str">
        <f>IFERROR(VLOOKUP(B2406,'SB1'!$A$2:$C$999999,3,FALSE),"")</f>
        <v>503</v>
      </c>
      <c r="G2406" s="3" t="e">
        <f t="shared" si="84"/>
        <v>#VALUE!</v>
      </c>
      <c r="H2406" s="3" t="e">
        <f t="shared" si="85"/>
        <v>#VALUE!</v>
      </c>
      <c r="I2406" s="1">
        <v>1</v>
      </c>
    </row>
    <row r="2407" spans="1:9" x14ac:dyDescent="0.25">
      <c r="A2407" s="1" t="s">
        <v>14435</v>
      </c>
      <c r="B2407" s="1" t="s">
        <v>6775</v>
      </c>
      <c r="C2407" s="1" t="str">
        <f>IFERROR(VLOOKUP(B2407,'SB1'!$A$2:$B$999999,2,FALSE),"")</f>
        <v>IMPERMEABILIZANTE PARA TECHO PLAVICON SOBRECHAPA BLANCO X  1,250</v>
      </c>
      <c r="D2407" s="1" t="s">
        <v>14458</v>
      </c>
      <c r="E2407" s="3">
        <f>IFERROR(VLOOKUP(B2407,'DA1'!$B$2:$D$999999,3,FALSE),"")</f>
      </c>
      <c r="F2407" s="1" t="str">
        <f>IFERROR(VLOOKUP(B2407,'SB1'!$A$2:$C$999999,3,FALSE),"")</f>
        <v>503</v>
      </c>
      <c r="G2407" s="3" t="e">
        <f t="shared" si="84"/>
        <v>#VALUE!</v>
      </c>
      <c r="H2407" s="3" t="e">
        <f t="shared" si="85"/>
        <v>#VALUE!</v>
      </c>
      <c r="I2407" s="1">
        <v>1</v>
      </c>
    </row>
    <row r="2408" spans="1:9" x14ac:dyDescent="0.25">
      <c r="A2408" s="1" t="s">
        <v>14435</v>
      </c>
      <c r="B2408" s="1" t="s">
        <v>6777</v>
      </c>
      <c r="C2408" s="1" t="str">
        <f>IFERROR(VLOOKUP(B2408,'SB1'!$A$2:$B$999999,2,FALSE),"")</f>
        <v>IMPERMEABILIZANTE PARA TECHO PLAVICON SOBRECHAPA BLANCO X  5</v>
      </c>
      <c r="D2408" s="1" t="s">
        <v>14458</v>
      </c>
      <c r="E2408" s="3">
        <f>IFERROR(VLOOKUP(B2408,'DA1'!$B$2:$D$999999,3,FALSE),"")</f>
      </c>
      <c r="F2408" s="1" t="str">
        <f>IFERROR(VLOOKUP(B2408,'SB1'!$A$2:$C$999999,3,FALSE),"")</f>
        <v>503</v>
      </c>
      <c r="G2408" s="3" t="e">
        <f t="shared" si="84"/>
        <v>#VALUE!</v>
      </c>
      <c r="H2408" s="3" t="e">
        <f t="shared" si="85"/>
        <v>#VALUE!</v>
      </c>
      <c r="I2408" s="1">
        <v>1</v>
      </c>
    </row>
    <row r="2409" spans="1:9" x14ac:dyDescent="0.25">
      <c r="A2409" s="1" t="s">
        <v>14435</v>
      </c>
      <c r="B2409" s="1" t="s">
        <v>6779</v>
      </c>
      <c r="C2409" s="1" t="str">
        <f>IFERROR(VLOOKUP(B2409,'SB1'!$A$2:$B$999999,2,FALSE),"")</f>
        <v>IMPERMEABILIZANTE PARA TECHO PLAVICON SOBRECHAPA BLANCO X 10</v>
      </c>
      <c r="D2409" s="1" t="s">
        <v>14458</v>
      </c>
      <c r="E2409" s="3">
        <f>IFERROR(VLOOKUP(B2409,'DA1'!$B$2:$D$999999,3,FALSE),"")</f>
      </c>
      <c r="F2409" s="1" t="str">
        <f>IFERROR(VLOOKUP(B2409,'SB1'!$A$2:$C$999999,3,FALSE),"")</f>
        <v>503</v>
      </c>
      <c r="G2409" s="3" t="e">
        <f t="shared" si="84"/>
        <v>#VALUE!</v>
      </c>
      <c r="H2409" s="3" t="e">
        <f t="shared" si="85"/>
        <v>#VALUE!</v>
      </c>
      <c r="I2409" s="1">
        <v>1</v>
      </c>
    </row>
    <row r="2410" spans="1:9" x14ac:dyDescent="0.25">
      <c r="A2410" s="1" t="s">
        <v>14435</v>
      </c>
      <c r="B2410" s="1" t="s">
        <v>6781</v>
      </c>
      <c r="C2410" s="1" t="str">
        <f>IFERROR(VLOOKUP(B2410,'SB1'!$A$2:$B$999999,2,FALSE),"")</f>
        <v>IMPERMEABILIZANTE PARA TECHO PLAVICON SOBRECHAPA BLANCO X 20</v>
      </c>
      <c r="D2410" s="1" t="s">
        <v>14458</v>
      </c>
      <c r="E2410" s="3">
        <f>IFERROR(VLOOKUP(B2410,'DA1'!$B$2:$D$999999,3,FALSE),"")</f>
      </c>
      <c r="F2410" s="1" t="str">
        <f>IFERROR(VLOOKUP(B2410,'SB1'!$A$2:$C$999999,3,FALSE),"")</f>
        <v>503</v>
      </c>
      <c r="G2410" s="3" t="e">
        <f t="shared" si="84"/>
        <v>#VALUE!</v>
      </c>
      <c r="H2410" s="3" t="e">
        <f t="shared" si="85"/>
        <v>#VALUE!</v>
      </c>
      <c r="I2410" s="1">
        <v>1</v>
      </c>
    </row>
    <row r="2411" spans="1:9" x14ac:dyDescent="0.25">
      <c r="A2411" s="1" t="s">
        <v>14435</v>
      </c>
      <c r="B2411" s="1" t="s">
        <v>6787</v>
      </c>
      <c r="C2411" s="1" t="str">
        <f>IFERROR(VLOOKUP(B2411,'SB1'!$A$2:$B$999999,2,FALSE),"")</f>
        <v>PASTINA PARA CERAMICA WEBER CLASSIC ARENA X 2</v>
      </c>
      <c r="D2411" s="1" t="s">
        <v>14488</v>
      </c>
      <c r="E2411" s="3">
        <f>IFERROR(VLOOKUP(B2411,'DA1'!$B$2:$D$999999,3,FALSE),"")</f>
      </c>
      <c r="F2411" s="1" t="str">
        <f>IFERROR(VLOOKUP(B2411,'SB1'!$A$2:$C$999999,3,FALSE),"")</f>
        <v>503</v>
      </c>
      <c r="G2411" s="3" t="e">
        <f t="shared" si="84"/>
        <v>#VALUE!</v>
      </c>
      <c r="H2411" s="3" t="e">
        <f t="shared" si="85"/>
        <v>#VALUE!</v>
      </c>
      <c r="I2411" s="1">
        <v>1</v>
      </c>
    </row>
    <row r="2412" spans="1:9" x14ac:dyDescent="0.25">
      <c r="A2412" s="1" t="s">
        <v>14435</v>
      </c>
      <c r="B2412" s="1" t="s">
        <v>6789</v>
      </c>
      <c r="C2412" s="1" t="str">
        <f>IFERROR(VLOOKUP(B2412,'SB1'!$A$2:$B$999999,2,FALSE),"")</f>
        <v>PASTINA PARA CERAMICA WEBER CLASSIC BEIGE X 2</v>
      </c>
      <c r="D2412" s="1" t="s">
        <v>14488</v>
      </c>
      <c r="E2412" s="3">
        <f>IFERROR(VLOOKUP(B2412,'DA1'!$B$2:$D$999999,3,FALSE),"")</f>
      </c>
      <c r="F2412" s="1" t="str">
        <f>IFERROR(VLOOKUP(B2412,'SB1'!$A$2:$C$999999,3,FALSE),"")</f>
        <v>503</v>
      </c>
      <c r="G2412" s="3" t="e">
        <f t="shared" si="84"/>
        <v>#VALUE!</v>
      </c>
      <c r="H2412" s="3" t="e">
        <f t="shared" si="85"/>
        <v>#VALUE!</v>
      </c>
      <c r="I2412" s="1">
        <v>1</v>
      </c>
    </row>
    <row r="2413" spans="1:9" x14ac:dyDescent="0.25">
      <c r="A2413" s="1" t="s">
        <v>14435</v>
      </c>
      <c r="B2413" s="1" t="s">
        <v>6791</v>
      </c>
      <c r="C2413" s="1" t="str">
        <f>IFERROR(VLOOKUP(B2413,'SB1'!$A$2:$B$999999,2,FALSE),"")</f>
        <v>PASTINA PARA CERAMICA WEBER CLASSIC CEDRO X 2</v>
      </c>
      <c r="D2413" s="1" t="s">
        <v>14488</v>
      </c>
      <c r="E2413" s="3">
        <f>IFERROR(VLOOKUP(B2413,'DA1'!$B$2:$D$999999,3,FALSE),"")</f>
      </c>
      <c r="F2413" s="1" t="str">
        <f>IFERROR(VLOOKUP(B2413,'SB1'!$A$2:$C$999999,3,FALSE),"")</f>
        <v>503</v>
      </c>
      <c r="G2413" s="3" t="e">
        <f t="shared" si="84"/>
        <v>#VALUE!</v>
      </c>
      <c r="H2413" s="3" t="e">
        <f t="shared" si="85"/>
        <v>#VALUE!</v>
      </c>
      <c r="I2413" s="1">
        <v>1</v>
      </c>
    </row>
    <row r="2414" spans="1:9" x14ac:dyDescent="0.25">
      <c r="A2414" s="1" t="s">
        <v>14435</v>
      </c>
      <c r="B2414" s="1" t="s">
        <v>6793</v>
      </c>
      <c r="C2414" s="1" t="str">
        <f>IFERROR(VLOOKUP(B2414,'SB1'!$A$2:$B$999999,2,FALSE),"")</f>
        <v>PASTINA PARA CERAMICA WEBER CLASSIC CHAMPAGNE X 2</v>
      </c>
      <c r="D2414" s="1" t="s">
        <v>14488</v>
      </c>
      <c r="E2414" s="3">
        <f>IFERROR(VLOOKUP(B2414,'DA1'!$B$2:$D$999999,3,FALSE),"")</f>
      </c>
      <c r="F2414" s="1" t="str">
        <f>IFERROR(VLOOKUP(B2414,'SB1'!$A$2:$C$999999,3,FALSE),"")</f>
        <v>503</v>
      </c>
      <c r="G2414" s="3" t="e">
        <f t="shared" si="84"/>
        <v>#VALUE!</v>
      </c>
      <c r="H2414" s="3" t="e">
        <f t="shared" si="85"/>
        <v>#VALUE!</v>
      </c>
      <c r="I2414" s="1">
        <v>1</v>
      </c>
    </row>
    <row r="2415" spans="1:9" x14ac:dyDescent="0.25">
      <c r="A2415" s="1" t="s">
        <v>14435</v>
      </c>
      <c r="B2415" s="1" t="s">
        <v>6795</v>
      </c>
      <c r="C2415" s="1" t="str">
        <f>IFERROR(VLOOKUP(B2415,'SB1'!$A$2:$B$999999,2,FALSE),"")</f>
        <v>PASTINA PARA CERAMICA WEBER CLASSIC FERRICO X 2</v>
      </c>
      <c r="D2415" s="1" t="s">
        <v>14488</v>
      </c>
      <c r="E2415" s="3">
        <f>IFERROR(VLOOKUP(B2415,'DA1'!$B$2:$D$999999,3,FALSE),"")</f>
      </c>
      <c r="F2415" s="1" t="str">
        <f>IFERROR(VLOOKUP(B2415,'SB1'!$A$2:$C$999999,3,FALSE),"")</f>
        <v>503</v>
      </c>
      <c r="G2415" s="3" t="e">
        <f t="shared" si="84"/>
        <v>#VALUE!</v>
      </c>
      <c r="H2415" s="3" t="e">
        <f t="shared" si="85"/>
        <v>#VALUE!</v>
      </c>
      <c r="I2415" s="1">
        <v>1</v>
      </c>
    </row>
    <row r="2416" spans="1:9" x14ac:dyDescent="0.25">
      <c r="A2416" s="1" t="s">
        <v>14435</v>
      </c>
      <c r="B2416" s="1" t="s">
        <v>6797</v>
      </c>
      <c r="C2416" s="1" t="str">
        <f>IFERROR(VLOOKUP(B2416,'SB1'!$A$2:$B$999999,2,FALSE),"")</f>
        <v>PASTINA PARA CERAMICA WEBER CLASSIC GRIS PERLA X 2</v>
      </c>
      <c r="D2416" s="1" t="s">
        <v>14488</v>
      </c>
      <c r="E2416" s="3">
        <f>IFERROR(VLOOKUP(B2416,'DA1'!$B$2:$D$999999,3,FALSE),"")</f>
      </c>
      <c r="F2416" s="1" t="str">
        <f>IFERROR(VLOOKUP(B2416,'SB1'!$A$2:$C$999999,3,FALSE),"")</f>
        <v>503</v>
      </c>
      <c r="G2416" s="3" t="e">
        <f t="shared" si="84"/>
        <v>#VALUE!</v>
      </c>
      <c r="H2416" s="3" t="e">
        <f t="shared" si="85"/>
        <v>#VALUE!</v>
      </c>
      <c r="I2416" s="1">
        <v>1</v>
      </c>
    </row>
    <row r="2417" spans="1:9" x14ac:dyDescent="0.25">
      <c r="A2417" s="1" t="s">
        <v>14435</v>
      </c>
      <c r="B2417" s="1" t="s">
        <v>6799</v>
      </c>
      <c r="C2417" s="1" t="str">
        <f>IFERROR(VLOOKUP(B2417,'SB1'!$A$2:$B$999999,2,FALSE),"")</f>
        <v>PASTINA PARA CERAMICA WEBER CLASSIC HABANO X 2</v>
      </c>
      <c r="D2417" s="1" t="s">
        <v>14488</v>
      </c>
      <c r="E2417" s="3">
        <f>IFERROR(VLOOKUP(B2417,'DA1'!$B$2:$D$999999,3,FALSE),"")</f>
      </c>
      <c r="F2417" s="1" t="str">
        <f>IFERROR(VLOOKUP(B2417,'SB1'!$A$2:$C$999999,3,FALSE),"")</f>
        <v>503</v>
      </c>
      <c r="G2417" s="3" t="e">
        <f t="shared" si="84"/>
        <v>#VALUE!</v>
      </c>
      <c r="H2417" s="3" t="e">
        <f t="shared" si="85"/>
        <v>#VALUE!</v>
      </c>
      <c r="I2417" s="1">
        <v>1</v>
      </c>
    </row>
    <row r="2418" spans="1:9" x14ac:dyDescent="0.25">
      <c r="A2418" s="1" t="s">
        <v>14435</v>
      </c>
      <c r="B2418" s="1" t="s">
        <v>6801</v>
      </c>
      <c r="C2418" s="1" t="str">
        <f>IFERROR(VLOOKUP(B2418,'SB1'!$A$2:$B$999999,2,FALSE),"")</f>
        <v>PASTINA PARA CERAMICA WEBER CLASSIC HUESO X 2</v>
      </c>
      <c r="D2418" s="1" t="s">
        <v>14488</v>
      </c>
      <c r="E2418" s="3">
        <f>IFERROR(VLOOKUP(B2418,'DA1'!$B$2:$D$999999,3,FALSE),"")</f>
      </c>
      <c r="F2418" s="1" t="str">
        <f>IFERROR(VLOOKUP(B2418,'SB1'!$A$2:$C$999999,3,FALSE),"")</f>
        <v>503</v>
      </c>
      <c r="G2418" s="3" t="e">
        <f t="shared" si="84"/>
        <v>#VALUE!</v>
      </c>
      <c r="H2418" s="3" t="e">
        <f t="shared" si="85"/>
        <v>#VALUE!</v>
      </c>
      <c r="I2418" s="1">
        <v>1</v>
      </c>
    </row>
    <row r="2419" spans="1:9" x14ac:dyDescent="0.25">
      <c r="A2419" s="1" t="s">
        <v>14435</v>
      </c>
      <c r="B2419" s="1" t="s">
        <v>6803</v>
      </c>
      <c r="C2419" s="1" t="str">
        <f>IFERROR(VLOOKUP(B2419,'SB1'!$A$2:$B$999999,2,FALSE),"")</f>
        <v>PASTINA PARA CERAMICA WEBER CLASSIC MEDANO X 2</v>
      </c>
      <c r="D2419" s="1" t="s">
        <v>14488</v>
      </c>
      <c r="E2419" s="3">
        <f>IFERROR(VLOOKUP(B2419,'DA1'!$B$2:$D$999999,3,FALSE),"")</f>
      </c>
      <c r="F2419" s="1" t="str">
        <f>IFERROR(VLOOKUP(B2419,'SB1'!$A$2:$C$999999,3,FALSE),"")</f>
        <v>503</v>
      </c>
      <c r="G2419" s="3" t="e">
        <f t="shared" si="84"/>
        <v>#VALUE!</v>
      </c>
      <c r="H2419" s="3" t="e">
        <f t="shared" si="85"/>
        <v>#VALUE!</v>
      </c>
      <c r="I2419" s="1">
        <v>1</v>
      </c>
    </row>
    <row r="2420" spans="1:9" x14ac:dyDescent="0.25">
      <c r="A2420" s="1" t="s">
        <v>14435</v>
      </c>
      <c r="B2420" s="1" t="s">
        <v>6805</v>
      </c>
      <c r="C2420" s="1" t="str">
        <f>IFERROR(VLOOKUP(B2420,'SB1'!$A$2:$B$999999,2,FALSE),"")</f>
        <v>PASTINA PARA CERAMICA WEBER CLASSIC NEGRO X 2</v>
      </c>
      <c r="D2420" s="1" t="s">
        <v>14488</v>
      </c>
      <c r="E2420" s="3">
        <f>IFERROR(VLOOKUP(B2420,'DA1'!$B$2:$D$999999,3,FALSE),"")</f>
      </c>
      <c r="F2420" s="1" t="str">
        <f>IFERROR(VLOOKUP(B2420,'SB1'!$A$2:$C$999999,3,FALSE),"")</f>
        <v>503</v>
      </c>
      <c r="G2420" s="3" t="e">
        <f t="shared" si="84"/>
        <v>#VALUE!</v>
      </c>
      <c r="H2420" s="3" t="e">
        <f t="shared" si="85"/>
        <v>#VALUE!</v>
      </c>
      <c r="I2420" s="1">
        <v>1</v>
      </c>
    </row>
    <row r="2421" spans="1:9" x14ac:dyDescent="0.25">
      <c r="A2421" s="1" t="s">
        <v>14435</v>
      </c>
      <c r="B2421" s="1" t="s">
        <v>6807</v>
      </c>
      <c r="C2421" s="1" t="str">
        <f>IFERROR(VLOOKUP(B2421,'SB1'!$A$2:$B$999999,2,FALSE),"")</f>
        <v>PASTINA PARA CERAMICA WEBER CLASSIC NIEVE X 2</v>
      </c>
      <c r="D2421" s="1" t="s">
        <v>14488</v>
      </c>
      <c r="E2421" s="3">
        <f>IFERROR(VLOOKUP(B2421,'DA1'!$B$2:$D$999999,3,FALSE),"")</f>
      </c>
      <c r="F2421" s="1" t="str">
        <f>IFERROR(VLOOKUP(B2421,'SB1'!$A$2:$C$999999,3,FALSE),"")</f>
        <v>503</v>
      </c>
      <c r="G2421" s="3" t="e">
        <f t="shared" si="84"/>
        <v>#VALUE!</v>
      </c>
      <c r="H2421" s="3" t="e">
        <f t="shared" si="85"/>
        <v>#VALUE!</v>
      </c>
      <c r="I2421" s="1">
        <v>1</v>
      </c>
    </row>
    <row r="2422" spans="1:9" x14ac:dyDescent="0.25">
      <c r="A2422" s="1" t="s">
        <v>14435</v>
      </c>
      <c r="B2422" s="1" t="s">
        <v>6809</v>
      </c>
      <c r="C2422" s="1" t="str">
        <f>IFERROR(VLOOKUP(B2422,'SB1'!$A$2:$B$999999,2,FALSE),"")</f>
        <v>PASTINA PARA CERAMICA WEBER CLASSIC PERLATO X 2</v>
      </c>
      <c r="D2422" s="1" t="s">
        <v>14488</v>
      </c>
      <c r="E2422" s="3">
        <f>IFERROR(VLOOKUP(B2422,'DA1'!$B$2:$D$999999,3,FALSE),"")</f>
      </c>
      <c r="F2422" s="1" t="str">
        <f>IFERROR(VLOOKUP(B2422,'SB1'!$A$2:$C$999999,3,FALSE),"")</f>
        <v>503</v>
      </c>
      <c r="G2422" s="3" t="e">
        <f t="shared" si="84"/>
        <v>#VALUE!</v>
      </c>
      <c r="H2422" s="3" t="e">
        <f t="shared" si="85"/>
        <v>#VALUE!</v>
      </c>
      <c r="I2422" s="1">
        <v>1</v>
      </c>
    </row>
    <row r="2423" spans="1:9" x14ac:dyDescent="0.25">
      <c r="A2423" s="1" t="s">
        <v>14435</v>
      </c>
      <c r="B2423" s="1" t="s">
        <v>6811</v>
      </c>
      <c r="C2423" s="1" t="str">
        <f>IFERROR(VLOOKUP(B2423,'SB1'!$A$2:$B$999999,2,FALSE),"")</f>
        <v>PASTINA PARA CERAMICA WEBER CLASSIC PLATA X 2</v>
      </c>
      <c r="D2423" s="1" t="s">
        <v>14488</v>
      </c>
      <c r="E2423" s="3">
        <f>IFERROR(VLOOKUP(B2423,'DA1'!$B$2:$D$999999,3,FALSE),"")</f>
      </c>
      <c r="F2423" s="1" t="str">
        <f>IFERROR(VLOOKUP(B2423,'SB1'!$A$2:$C$999999,3,FALSE),"")</f>
        <v>503</v>
      </c>
      <c r="G2423" s="3" t="e">
        <f t="shared" si="84"/>
        <v>#VALUE!</v>
      </c>
      <c r="H2423" s="3" t="e">
        <f t="shared" si="85"/>
        <v>#VALUE!</v>
      </c>
      <c r="I2423" s="1">
        <v>1</v>
      </c>
    </row>
    <row r="2424" spans="1:9" x14ac:dyDescent="0.25">
      <c r="A2424" s="1" t="s">
        <v>14435</v>
      </c>
      <c r="B2424" s="1" t="s">
        <v>6813</v>
      </c>
      <c r="C2424" s="1" t="str">
        <f>IFERROR(VLOOKUP(B2424,'SB1'!$A$2:$B$999999,2,FALSE),"")</f>
        <v>PASTINA PARA CERAMICA WEBER CLASSIC PLOMO X 2</v>
      </c>
      <c r="D2424" s="1" t="s">
        <v>14488</v>
      </c>
      <c r="E2424" s="3">
        <f>IFERROR(VLOOKUP(B2424,'DA1'!$B$2:$D$999999,3,FALSE),"")</f>
      </c>
      <c r="F2424" s="1" t="str">
        <f>IFERROR(VLOOKUP(B2424,'SB1'!$A$2:$C$999999,3,FALSE),"")</f>
        <v>503</v>
      </c>
      <c r="G2424" s="3" t="e">
        <f t="shared" si="84"/>
        <v>#VALUE!</v>
      </c>
      <c r="H2424" s="3" t="e">
        <f t="shared" si="85"/>
        <v>#VALUE!</v>
      </c>
      <c r="I2424" s="1">
        <v>1</v>
      </c>
    </row>
    <row r="2425" spans="1:9" x14ac:dyDescent="0.25">
      <c r="A2425" s="1" t="s">
        <v>14435</v>
      </c>
      <c r="B2425" s="1" t="s">
        <v>6815</v>
      </c>
      <c r="C2425" s="1" t="str">
        <f>IFERROR(VLOOKUP(B2425,'SB1'!$A$2:$B$999999,2,FALSE),"")</f>
        <v>PASTINA PARA CERAMICA WEBER CLASSIC TERRACOTA X 2</v>
      </c>
      <c r="D2425" s="1" t="s">
        <v>14488</v>
      </c>
      <c r="E2425" s="3">
        <f>IFERROR(VLOOKUP(B2425,'DA1'!$B$2:$D$999999,3,FALSE),"")</f>
      </c>
      <c r="F2425" s="1" t="str">
        <f>IFERROR(VLOOKUP(B2425,'SB1'!$A$2:$C$999999,3,FALSE),"")</f>
        <v>503</v>
      </c>
      <c r="G2425" s="3" t="e">
        <f t="shared" si="84"/>
        <v>#VALUE!</v>
      </c>
      <c r="H2425" s="3" t="e">
        <f t="shared" si="85"/>
        <v>#VALUE!</v>
      </c>
      <c r="I2425" s="1">
        <v>1</v>
      </c>
    </row>
    <row r="2426" spans="1:9" x14ac:dyDescent="0.25">
      <c r="A2426" s="1" t="s">
        <v>14435</v>
      </c>
      <c r="B2426" s="1" t="s">
        <v>6817</v>
      </c>
      <c r="C2426" s="1" t="str">
        <f>IFERROR(VLOOKUP(B2426,'SB1'!$A$2:$B$999999,2,FALSE),"")</f>
        <v>ESMALTE POLIURETANO ACRILICO ALBAMIX FULL WHITE X 18,5</v>
      </c>
      <c r="D2426" s="1" t="s">
        <v>14497</v>
      </c>
      <c r="E2426" s="3">
        <f>IFERROR(VLOOKUP(B2426,'DA1'!$B$2:$D$999999,3,FALSE),"")</f>
      </c>
      <c r="F2426" s="1" t="str">
        <f>IFERROR(VLOOKUP(B2426,'SB1'!$A$2:$C$999999,3,FALSE),"")</f>
        <v>503</v>
      </c>
      <c r="G2426" s="3" t="e">
        <f t="shared" si="84"/>
        <v>#VALUE!</v>
      </c>
      <c r="H2426" s="3" t="e">
        <f t="shared" si="85"/>
        <v>#VALUE!</v>
      </c>
      <c r="I2426" s="1">
        <v>1</v>
      </c>
    </row>
    <row r="2427" spans="1:9" x14ac:dyDescent="0.25">
      <c r="A2427" s="1" t="s">
        <v>14435</v>
      </c>
      <c r="B2427" s="1" t="s">
        <v>6819</v>
      </c>
      <c r="C2427" s="1" t="str">
        <f>IFERROR(VLOOKUP(B2427,'SB1'!$A$2:$B$999999,2,FALSE),"")</f>
        <v>PANO DE MICROFIBRA PARA ABROJO ZEOCAR 7 (88)</v>
      </c>
      <c r="D2427" s="1" t="s">
        <v>14473</v>
      </c>
      <c r="E2427" s="3">
        <f>IFERROR(VLOOKUP(B2427,'DA1'!$B$2:$D$999999,3,FALSE),"")</f>
      </c>
      <c r="F2427" s="1" t="str">
        <f>IFERROR(VLOOKUP(B2427,'SB1'!$A$2:$C$999999,3,FALSE),"")</f>
        <v>503</v>
      </c>
      <c r="G2427" s="3" t="e">
        <f t="shared" si="84"/>
        <v>#VALUE!</v>
      </c>
      <c r="H2427" s="3" t="e">
        <f t="shared" si="85"/>
        <v>#VALUE!</v>
      </c>
      <c r="I2427" s="1">
        <v>1</v>
      </c>
    </row>
    <row r="2428" spans="1:9" x14ac:dyDescent="0.25">
      <c r="A2428" s="1" t="s">
        <v>14435</v>
      </c>
      <c r="B2428" s="1" t="s">
        <v>6823</v>
      </c>
      <c r="C2428" s="1" t="str">
        <f>IFERROR(VLOOKUP(B2428,'SB1'!$A$2:$B$999999,2,FALSE),"")</f>
        <v>ESMALTE SINTETICO PLAVICON 3EN1 SATINADO BLANCO X  0,500</v>
      </c>
      <c r="D2428" s="1" t="s">
        <v>14458</v>
      </c>
      <c r="E2428" s="3">
        <f>IFERROR(VLOOKUP(B2428,'DA1'!$B$2:$D$999999,3,FALSE),"")</f>
      </c>
      <c r="F2428" s="1" t="str">
        <f>IFERROR(VLOOKUP(B2428,'SB1'!$A$2:$C$999999,3,FALSE),"")</f>
        <v>503</v>
      </c>
      <c r="G2428" s="3" t="e">
        <f t="shared" si="84"/>
        <v>#VALUE!</v>
      </c>
      <c r="H2428" s="3" t="e">
        <f t="shared" si="85"/>
        <v>#VALUE!</v>
      </c>
      <c r="I2428" s="1">
        <v>1</v>
      </c>
    </row>
    <row r="2429" spans="1:9" x14ac:dyDescent="0.25">
      <c r="A2429" s="1" t="s">
        <v>14435</v>
      </c>
      <c r="B2429" s="1" t="s">
        <v>6825</v>
      </c>
      <c r="C2429" s="1" t="str">
        <f>IFERROR(VLOOKUP(B2429,'SB1'!$A$2:$B$999999,2,FALSE),"")</f>
        <v>ESMALTE SINTETICO PLAVICON 3EN1 SATINADO BLANCO X  1</v>
      </c>
      <c r="D2429" s="1" t="s">
        <v>14458</v>
      </c>
      <c r="E2429" s="3">
        <f>IFERROR(VLOOKUP(B2429,'DA1'!$B$2:$D$999999,3,FALSE),"")</f>
      </c>
      <c r="F2429" s="1" t="str">
        <f>IFERROR(VLOOKUP(B2429,'SB1'!$A$2:$C$999999,3,FALSE),"")</f>
        <v>503</v>
      </c>
      <c r="G2429" s="3" t="e">
        <f t="shared" si="84"/>
        <v>#VALUE!</v>
      </c>
      <c r="H2429" s="3" t="e">
        <f t="shared" si="85"/>
        <v>#VALUE!</v>
      </c>
      <c r="I2429" s="1">
        <v>1</v>
      </c>
    </row>
    <row r="2430" spans="1:9" x14ac:dyDescent="0.25">
      <c r="A2430" s="1" t="s">
        <v>14435</v>
      </c>
      <c r="B2430" s="1" t="s">
        <v>6827</v>
      </c>
      <c r="C2430" s="1" t="str">
        <f>IFERROR(VLOOKUP(B2430,'SB1'!$A$2:$B$999999,2,FALSE),"")</f>
        <v>ESMALTE SINTETICO PLAVICON 3EN1 SATINADO BLANCO X  4</v>
      </c>
      <c r="D2430" s="1" t="s">
        <v>14458</v>
      </c>
      <c r="E2430" s="3">
        <f>IFERROR(VLOOKUP(B2430,'DA1'!$B$2:$D$999999,3,FALSE),"")</f>
      </c>
      <c r="F2430" s="1" t="str">
        <f>IFERROR(VLOOKUP(B2430,'SB1'!$A$2:$C$999999,3,FALSE),"")</f>
        <v>503</v>
      </c>
      <c r="G2430" s="3" t="e">
        <f t="shared" si="84"/>
        <v>#VALUE!</v>
      </c>
      <c r="H2430" s="3" t="e">
        <f t="shared" si="85"/>
        <v>#VALUE!</v>
      </c>
      <c r="I2430" s="1">
        <v>1</v>
      </c>
    </row>
    <row r="2431" spans="1:9" x14ac:dyDescent="0.25">
      <c r="A2431" s="1" t="s">
        <v>14435</v>
      </c>
      <c r="B2431" s="1" t="s">
        <v>6829</v>
      </c>
      <c r="C2431" s="1" t="str">
        <f>IFERROR(VLOOKUP(B2431,'SB1'!$A$2:$B$999999,2,FALSE),"")</f>
        <v>ESMALTE SINTETICO PLAVICON 3EN1 SATINADO BLANCO X 20</v>
      </c>
      <c r="D2431" s="1" t="s">
        <v>14458</v>
      </c>
      <c r="E2431" s="3">
        <f>IFERROR(VLOOKUP(B2431,'DA1'!$B$2:$D$999999,3,FALSE),"")</f>
      </c>
      <c r="F2431" s="1" t="str">
        <f>IFERROR(VLOOKUP(B2431,'SB1'!$A$2:$C$999999,3,FALSE),"")</f>
        <v>503</v>
      </c>
      <c r="G2431" s="3" t="e">
        <f t="shared" si="84"/>
        <v>#VALUE!</v>
      </c>
      <c r="H2431" s="3" t="e">
        <f t="shared" si="85"/>
        <v>#VALUE!</v>
      </c>
      <c r="I2431" s="1">
        <v>1</v>
      </c>
    </row>
    <row r="2432" spans="1:9" x14ac:dyDescent="0.25">
      <c r="A2432" s="1" t="s">
        <v>14435</v>
      </c>
      <c r="B2432" s="1" t="s">
        <v>6837</v>
      </c>
      <c r="C2432" s="1" t="str">
        <f>IFERROR(VLOOKUP(B2432,'SB1'!$A$2:$B$999999,2,FALSE),"")</f>
        <v>GUANTES TACTIL POLI 21-103 -T07 X 2</v>
      </c>
      <c r="D2432" s="1" t="s">
        <v>14494</v>
      </c>
      <c r="E2432" s="3">
        <f>IFERROR(VLOOKUP(B2432,'DA1'!$B$2:$D$999999,3,FALSE),"")</f>
      </c>
      <c r="F2432" s="1" t="str">
        <f>IFERROR(VLOOKUP(B2432,'SB1'!$A$2:$C$999999,3,FALSE),"")</f>
        <v>503</v>
      </c>
      <c r="G2432" s="3" t="e">
        <f t="shared" si="84"/>
        <v>#VALUE!</v>
      </c>
      <c r="H2432" s="3" t="e">
        <f t="shared" si="85"/>
        <v>#VALUE!</v>
      </c>
      <c r="I2432" s="1">
        <v>2</v>
      </c>
    </row>
    <row r="2433" spans="1:9" x14ac:dyDescent="0.25">
      <c r="A2433" s="1" t="s">
        <v>14435</v>
      </c>
      <c r="B2433" s="1" t="s">
        <v>6839</v>
      </c>
      <c r="C2433" s="1" t="str">
        <f>IFERROR(VLOOKUP(B2433,'SB1'!$A$2:$B$999999,2,FALSE),"")</f>
        <v>GUANTES TACTIL POLI 21-103 -T08 X 2</v>
      </c>
      <c r="D2433" s="1" t="s">
        <v>14494</v>
      </c>
      <c r="E2433" s="3">
        <f>IFERROR(VLOOKUP(B2433,'DA1'!$B$2:$D$999999,3,FALSE),"")</f>
      </c>
      <c r="F2433" s="1" t="str">
        <f>IFERROR(VLOOKUP(B2433,'SB1'!$A$2:$C$999999,3,FALSE),"")</f>
        <v>503</v>
      </c>
      <c r="G2433" s="3" t="e">
        <f t="shared" si="84"/>
        <v>#VALUE!</v>
      </c>
      <c r="H2433" s="3" t="e">
        <f t="shared" si="85"/>
        <v>#VALUE!</v>
      </c>
      <c r="I2433" s="1">
        <v>2</v>
      </c>
    </row>
    <row r="2434" spans="1:9" x14ac:dyDescent="0.25">
      <c r="A2434" s="1" t="s">
        <v>14435</v>
      </c>
      <c r="B2434" s="1" t="s">
        <v>6841</v>
      </c>
      <c r="C2434" s="1" t="str">
        <f>IFERROR(VLOOKUP(B2434,'SB1'!$A$2:$B$999999,2,FALSE),"")</f>
        <v>FONDO EPOXI ANTICORROSIVO W/W ALBAMIX GRIS X  4</v>
      </c>
      <c r="D2434" s="1" t="s">
        <v>14497</v>
      </c>
      <c r="E2434" s="3">
        <f>IFERROR(VLOOKUP(B2434,'DA1'!$B$2:$D$999999,3,FALSE),"")</f>
      </c>
      <c r="F2434" s="1" t="str">
        <f>IFERROR(VLOOKUP(B2434,'SB1'!$A$2:$C$999999,3,FALSE),"")</f>
        <v>503</v>
      </c>
      <c r="G2434" s="3" t="e">
        <f t="shared" si="84"/>
        <v>#VALUE!</v>
      </c>
      <c r="H2434" s="3" t="e">
        <f t="shared" si="85"/>
        <v>#VALUE!</v>
      </c>
      <c r="I2434" s="1">
        <v>1</v>
      </c>
    </row>
    <row r="2435" spans="1:9" x14ac:dyDescent="0.25">
      <c r="A2435" s="1" t="s">
        <v>14435</v>
      </c>
      <c r="B2435" s="1" t="s">
        <v>6843</v>
      </c>
      <c r="C2435" s="1" t="str">
        <f>IFERROR(VLOOKUP(B2435,'SB1'!$A$2:$B$999999,2,FALSE),"")</f>
        <v>FONDO EPOXI ANTICORROSIVO W/W ALBAMIX GRIS X 20</v>
      </c>
      <c r="D2435" s="1" t="s">
        <v>14497</v>
      </c>
      <c r="E2435" s="3">
        <f>IFERROR(VLOOKUP(B2435,'DA1'!$B$2:$D$999999,3,FALSE),"")</f>
      </c>
      <c r="F2435" s="1" t="str">
        <f>IFERROR(VLOOKUP(B2435,'SB1'!$A$2:$C$999999,3,FALSE),"")</f>
        <v>503</v>
      </c>
      <c r="G2435" s="3" t="e">
        <f t="shared" ref="G2435:G2498" si="86">E2435*1.04</f>
        <v>#VALUE!</v>
      </c>
      <c r="H2435" s="3" t="e">
        <f t="shared" si="85"/>
        <v>#VALUE!</v>
      </c>
      <c r="I2435" s="1">
        <v>1</v>
      </c>
    </row>
    <row r="2436" spans="1:9" x14ac:dyDescent="0.25">
      <c r="A2436" s="1" t="s">
        <v>14435</v>
      </c>
      <c r="B2436" s="1" t="s">
        <v>6845</v>
      </c>
      <c r="C2436" s="1" t="str">
        <f>IFERROR(VLOOKUP(B2436,'SB1'!$A$2:$B$999999,2,FALSE),"")</f>
        <v>FONDO POLIURETANO ESPECIAL ALBAMIX BEIGE X 20(4585012)</v>
      </c>
      <c r="D2436" s="1" t="s">
        <v>14497</v>
      </c>
      <c r="E2436" s="3">
        <f>IFERROR(VLOOKUP(B2436,'DA1'!$B$2:$D$999999,3,FALSE),"")</f>
      </c>
      <c r="F2436" s="1" t="str">
        <f>IFERROR(VLOOKUP(B2436,'SB1'!$A$2:$C$999999,3,FALSE),"")</f>
        <v>503</v>
      </c>
      <c r="G2436" s="3" t="e">
        <f t="shared" si="86"/>
        <v>#VALUE!</v>
      </c>
      <c r="H2436" s="3" t="e">
        <f t="shared" si="85"/>
        <v>#VALUE!</v>
      </c>
      <c r="I2436" s="1">
        <v>1</v>
      </c>
    </row>
    <row r="2437" spans="1:9" x14ac:dyDescent="0.25">
      <c r="A2437" s="1" t="s">
        <v>14435</v>
      </c>
      <c r="B2437" s="1" t="s">
        <v>6855</v>
      </c>
      <c r="C2437" s="1" t="str">
        <f>IFERROR(VLOOKUP(B2437,'SB1'!$A$2:$B$999999,2,FALSE),"")</f>
        <v>RODILLO LUMAR POLIESTER ESPECIAL FORRADO 10 (420A)</v>
      </c>
      <c r="D2437" s="1" t="s">
        <v>14467</v>
      </c>
      <c r="E2437" s="3">
        <f>IFERROR(VLOOKUP(B2437,'DA1'!$B$2:$D$999999,3,FALSE),"")</f>
      </c>
      <c r="F2437" s="1" t="str">
        <f>IFERROR(VLOOKUP(B2437,'SB1'!$A$2:$C$999999,3,FALSE),"")</f>
        <v>503</v>
      </c>
      <c r="G2437" s="3" t="e">
        <f t="shared" si="86"/>
        <v>#VALUE!</v>
      </c>
      <c r="H2437" s="3" t="e">
        <f t="shared" si="85"/>
        <v>#VALUE!</v>
      </c>
      <c r="I2437" s="1">
        <v>1</v>
      </c>
    </row>
    <row r="2438" spans="1:9" x14ac:dyDescent="0.25">
      <c r="A2438" s="1" t="s">
        <v>14435</v>
      </c>
      <c r="B2438" s="1" t="s">
        <v>6857</v>
      </c>
      <c r="C2438" s="1" t="str">
        <f>IFERROR(VLOOKUP(B2438,'SB1'!$A$2:$B$999999,2,FALSE),"")</f>
        <v>RODILLO LUMAR POLIESTER ESPECIAL FORRADO 17 (420B)</v>
      </c>
      <c r="D2438" s="1" t="s">
        <v>14467</v>
      </c>
      <c r="E2438" s="3">
        <f>IFERROR(VLOOKUP(B2438,'DA1'!$B$2:$D$999999,3,FALSE),"")</f>
      </c>
      <c r="F2438" s="1" t="str">
        <f>IFERROR(VLOOKUP(B2438,'SB1'!$A$2:$C$999999,3,FALSE),"")</f>
        <v>503</v>
      </c>
      <c r="G2438" s="3" t="e">
        <f t="shared" si="86"/>
        <v>#VALUE!</v>
      </c>
      <c r="H2438" s="3" t="e">
        <f t="shared" si="85"/>
        <v>#VALUE!</v>
      </c>
      <c r="I2438" s="1">
        <v>1</v>
      </c>
    </row>
    <row r="2439" spans="1:9" x14ac:dyDescent="0.25">
      <c r="A2439" s="1" t="s">
        <v>14435</v>
      </c>
      <c r="B2439" s="1" t="s">
        <v>6859</v>
      </c>
      <c r="C2439" s="1" t="str">
        <f>IFERROR(VLOOKUP(B2439,'SB1'!$A$2:$B$999999,2,FALSE),"")</f>
        <v>RODILLO LUMAR POLIESTER ESPECIAL FORRADO 22 (420C)</v>
      </c>
      <c r="D2439" s="1" t="s">
        <v>14467</v>
      </c>
      <c r="E2439" s="3">
        <f>IFERROR(VLOOKUP(B2439,'DA1'!$B$2:$D$999999,3,FALSE),"")</f>
      </c>
      <c r="F2439" s="1" t="str">
        <f>IFERROR(VLOOKUP(B2439,'SB1'!$A$2:$C$999999,3,FALSE),"")</f>
        <v>503</v>
      </c>
      <c r="G2439" s="3" t="e">
        <f t="shared" si="86"/>
        <v>#VALUE!</v>
      </c>
      <c r="H2439" s="3" t="e">
        <f t="shared" si="85"/>
        <v>#VALUE!</v>
      </c>
      <c r="I2439" s="1">
        <v>1</v>
      </c>
    </row>
    <row r="2440" spans="1:9" x14ac:dyDescent="0.25">
      <c r="A2440" s="1" t="s">
        <v>14435</v>
      </c>
      <c r="B2440" s="1" t="s">
        <v>6863</v>
      </c>
      <c r="C2440" s="1" t="str">
        <f>IFERROR(VLOOKUP(B2440,'SB1'!$A$2:$B$999999,2,FALSE),"")</f>
        <v>ESMALTE SINTETICO PLAVICON 3EN1 SATINADO NEGRO X  0,500</v>
      </c>
      <c r="D2440" s="1" t="s">
        <v>14458</v>
      </c>
      <c r="E2440" s="3">
        <f>IFERROR(VLOOKUP(B2440,'DA1'!$B$2:$D$999999,3,FALSE),"")</f>
      </c>
      <c r="F2440" s="1" t="str">
        <f>IFERROR(VLOOKUP(B2440,'SB1'!$A$2:$C$999999,3,FALSE),"")</f>
        <v>503</v>
      </c>
      <c r="G2440" s="3" t="e">
        <f t="shared" si="86"/>
        <v>#VALUE!</v>
      </c>
      <c r="H2440" s="3" t="e">
        <f t="shared" si="85"/>
        <v>#VALUE!</v>
      </c>
      <c r="I2440" s="1">
        <v>1</v>
      </c>
    </row>
    <row r="2441" spans="1:9" x14ac:dyDescent="0.25">
      <c r="A2441" s="1" t="s">
        <v>14435</v>
      </c>
      <c r="B2441" s="1" t="s">
        <v>6865</v>
      </c>
      <c r="C2441" s="1" t="str">
        <f>IFERROR(VLOOKUP(B2441,'SB1'!$A$2:$B$999999,2,FALSE),"")</f>
        <v>ESMALTE SINTETICO PLAVICON 3EN1 SATINADO NEGRO X  1</v>
      </c>
      <c r="D2441" s="1" t="s">
        <v>14458</v>
      </c>
      <c r="E2441" s="3">
        <f>IFERROR(VLOOKUP(B2441,'DA1'!$B$2:$D$999999,3,FALSE),"")</f>
      </c>
      <c r="F2441" s="1" t="str">
        <f>IFERROR(VLOOKUP(B2441,'SB1'!$A$2:$C$999999,3,FALSE),"")</f>
        <v>503</v>
      </c>
      <c r="G2441" s="3" t="e">
        <f t="shared" si="86"/>
        <v>#VALUE!</v>
      </c>
      <c r="H2441" s="3" t="e">
        <f t="shared" si="85"/>
        <v>#VALUE!</v>
      </c>
      <c r="I2441" s="1">
        <v>1</v>
      </c>
    </row>
    <row r="2442" spans="1:9" x14ac:dyDescent="0.25">
      <c r="A2442" s="1" t="s">
        <v>14435</v>
      </c>
      <c r="B2442" s="1" t="s">
        <v>6867</v>
      </c>
      <c r="C2442" s="1" t="str">
        <f>IFERROR(VLOOKUP(B2442,'SB1'!$A$2:$B$999999,2,FALSE),"")</f>
        <v>ESMALTE SINTETICO PLAVICON 3EN1 SATINADO NEGRO X  4</v>
      </c>
      <c r="D2442" s="1" t="s">
        <v>14458</v>
      </c>
      <c r="E2442" s="3">
        <f>IFERROR(VLOOKUP(B2442,'DA1'!$B$2:$D$999999,3,FALSE),"")</f>
      </c>
      <c r="F2442" s="1" t="str">
        <f>IFERROR(VLOOKUP(B2442,'SB1'!$A$2:$C$999999,3,FALSE),"")</f>
        <v>503</v>
      </c>
      <c r="G2442" s="3" t="e">
        <f t="shared" si="86"/>
        <v>#VALUE!</v>
      </c>
      <c r="H2442" s="3" t="e">
        <f t="shared" si="85"/>
        <v>#VALUE!</v>
      </c>
      <c r="I2442" s="1">
        <v>1</v>
      </c>
    </row>
    <row r="2443" spans="1:9" x14ac:dyDescent="0.25">
      <c r="A2443" s="1" t="s">
        <v>14435</v>
      </c>
      <c r="B2443" s="1" t="s">
        <v>6869</v>
      </c>
      <c r="C2443" s="1" t="str">
        <f>IFERROR(VLOOKUP(B2443,'SB1'!$A$2:$B$999999,2,FALSE),"")</f>
        <v>ESMALTE SINTETICO PLAVICON 3EN1 SATINADO NEGRO X 20</v>
      </c>
      <c r="D2443" s="1" t="s">
        <v>14458</v>
      </c>
      <c r="E2443" s="3">
        <f>IFERROR(VLOOKUP(B2443,'DA1'!$B$2:$D$999999,3,FALSE),"")</f>
      </c>
      <c r="F2443" s="1" t="str">
        <f>IFERROR(VLOOKUP(B2443,'SB1'!$A$2:$C$999999,3,FALSE),"")</f>
        <v>503</v>
      </c>
      <c r="G2443" s="3" t="e">
        <f t="shared" si="86"/>
        <v>#VALUE!</v>
      </c>
      <c r="H2443" s="3" t="e">
        <f t="shared" si="85"/>
        <v>#VALUE!</v>
      </c>
      <c r="I2443" s="1">
        <v>1</v>
      </c>
    </row>
    <row r="2444" spans="1:9" x14ac:dyDescent="0.25">
      <c r="A2444" s="1" t="s">
        <v>14435</v>
      </c>
      <c r="B2444" s="1" t="s">
        <v>6871</v>
      </c>
      <c r="C2444" s="1" t="str">
        <f>IFERROR(VLOOKUP(B2444,'SB1'!$A$2:$B$999999,2,FALSE),"")</f>
        <v>CONVERTIDOR P/ POLIURETANO 4585006/45701XX ALBAMIX X 4</v>
      </c>
      <c r="D2444" s="1" t="s">
        <v>14497</v>
      </c>
      <c r="E2444" s="3">
        <f>IFERROR(VLOOKUP(B2444,'DA1'!$B$2:$D$999999,3,FALSE),"")</f>
      </c>
      <c r="F2444" s="1" t="str">
        <f>IFERROR(VLOOKUP(B2444,'SB1'!$A$2:$C$999999,3,FALSE),"")</f>
        <v>503</v>
      </c>
      <c r="G2444" s="3" t="e">
        <f t="shared" si="86"/>
        <v>#VALUE!</v>
      </c>
      <c r="H2444" s="3" t="e">
        <f t="shared" si="85"/>
        <v>#VALUE!</v>
      </c>
      <c r="I2444" s="1">
        <v>1</v>
      </c>
    </row>
    <row r="2445" spans="1:9" x14ac:dyDescent="0.25">
      <c r="A2445" s="1" t="s">
        <v>14435</v>
      </c>
      <c r="B2445" s="1" t="s">
        <v>6873</v>
      </c>
      <c r="C2445" s="1" t="str">
        <f>IFERROR(VLOOKUP(B2445,'SB1'!$A$2:$B$999999,2,FALSE),"")</f>
        <v>CONVERTIDOR P/ FONDO EPOXI ALBAMIX GRIS 85007 X 4</v>
      </c>
      <c r="D2445" s="1" t="s">
        <v>14497</v>
      </c>
      <c r="E2445" s="3">
        <f>IFERROR(VLOOKUP(B2445,'DA1'!$B$2:$D$999999,3,FALSE),"")</f>
      </c>
      <c r="F2445" s="1" t="str">
        <f>IFERROR(VLOOKUP(B2445,'SB1'!$A$2:$C$999999,3,FALSE),"")</f>
        <v>503</v>
      </c>
      <c r="G2445" s="3" t="e">
        <f t="shared" si="86"/>
        <v>#VALUE!</v>
      </c>
      <c r="H2445" s="3" t="e">
        <f t="shared" si="85"/>
        <v>#VALUE!</v>
      </c>
      <c r="I2445" s="1">
        <v>1</v>
      </c>
    </row>
    <row r="2446" spans="1:9" x14ac:dyDescent="0.25">
      <c r="A2446" s="1" t="s">
        <v>14435</v>
      </c>
      <c r="B2446" s="1" t="s">
        <v>6875</v>
      </c>
      <c r="C2446" s="1" t="str">
        <f>IFERROR(VLOOKUP(B2446,'SB1'!$A$2:$B$999999,2,FALSE),"")</f>
        <v>REGRETA METALICA - 031309-0163</v>
      </c>
      <c r="D2446" s="1" t="s">
        <v>14446</v>
      </c>
      <c r="E2446" s="3">
        <f>IFERROR(VLOOKUP(B2446,'DA1'!$B$2:$D$999999,3,FALSE),"")</f>
      </c>
      <c r="F2446" s="1" t="str">
        <f>IFERROR(VLOOKUP(B2446,'SB1'!$A$2:$C$999999,3,FALSE),"")</f>
        <v>503</v>
      </c>
      <c r="G2446" s="3" t="e">
        <f t="shared" si="86"/>
        <v>#VALUE!</v>
      </c>
      <c r="H2446" s="3" t="e">
        <f t="shared" si="85"/>
        <v>#VALUE!</v>
      </c>
      <c r="I2446" s="1">
        <v>3</v>
      </c>
    </row>
    <row r="2447" spans="1:9" x14ac:dyDescent="0.25">
      <c r="A2447" s="1" t="s">
        <v>14435</v>
      </c>
      <c r="B2447" s="1" t="s">
        <v>6877</v>
      </c>
      <c r="C2447" s="1" t="str">
        <f>IFERROR(VLOOKUP(B2447,'SB1'!$A$2:$B$999999,2,FALSE),"")</f>
        <v>AEROSOL RUST-OLEUM ACABADO METALICO BRILLANTE CROMO X 0,340 (313527/248652)</v>
      </c>
      <c r="D2447" s="1" t="s">
        <v>14450</v>
      </c>
      <c r="E2447" s="3">
        <f>IFERROR(VLOOKUP(B2447,'DA1'!$B$2:$D$999999,3,FALSE),"")</f>
      </c>
      <c r="F2447" s="1" t="str">
        <f>IFERROR(VLOOKUP(B2447,'SB1'!$A$2:$C$999999,3,FALSE),"")</f>
        <v>503</v>
      </c>
      <c r="G2447" s="3" t="e">
        <f t="shared" si="86"/>
        <v>#VALUE!</v>
      </c>
      <c r="H2447" s="3" t="e">
        <f t="shared" si="85"/>
        <v>#VALUE!</v>
      </c>
      <c r="I2447" s="1">
        <v>1</v>
      </c>
    </row>
    <row r="2448" spans="1:9" x14ac:dyDescent="0.25">
      <c r="A2448" s="1" t="s">
        <v>14435</v>
      </c>
      <c r="B2448" s="1" t="s">
        <v>6879</v>
      </c>
      <c r="C2448" s="1" t="str">
        <f>IFERROR(VLOOKUP(B2448,'SB1'!$A$2:$B$999999,2,FALSE),"")</f>
        <v>PASTINA ALTA PRESTACIONES WEBER PRESTIGE IRON X 5</v>
      </c>
      <c r="D2448" s="1" t="s">
        <v>14488</v>
      </c>
      <c r="E2448" s="3">
        <f>IFERROR(VLOOKUP(B2448,'DA1'!$B$2:$D$999999,3,FALSE),"")</f>
      </c>
      <c r="F2448" s="1" t="str">
        <f>IFERROR(VLOOKUP(B2448,'SB1'!$A$2:$C$999999,3,FALSE),"")</f>
        <v>503</v>
      </c>
      <c r="G2448" s="3" t="e">
        <f t="shared" si="86"/>
        <v>#VALUE!</v>
      </c>
      <c r="H2448" s="3" t="e">
        <f t="shared" si="85"/>
        <v>#VALUE!</v>
      </c>
      <c r="I2448" s="1">
        <v>1</v>
      </c>
    </row>
    <row r="2449" spans="1:9" x14ac:dyDescent="0.25">
      <c r="A2449" s="1" t="s">
        <v>14435</v>
      </c>
      <c r="B2449" s="1" t="s">
        <v>6881</v>
      </c>
      <c r="C2449" s="1" t="str">
        <f>IFERROR(VLOOKUP(B2449,'SB1'!$A$2:$B$999999,2,FALSE),"")</f>
        <v>PASTINA PARA CERAMICA WEBER CLASSIC NIEVE X 5</v>
      </c>
      <c r="D2449" s="1" t="s">
        <v>14488</v>
      </c>
      <c r="E2449" s="3">
        <f>IFERROR(VLOOKUP(B2449,'DA1'!$B$2:$D$999999,3,FALSE),"")</f>
      </c>
      <c r="F2449" s="1" t="str">
        <f>IFERROR(VLOOKUP(B2449,'SB1'!$A$2:$C$999999,3,FALSE),"")</f>
        <v>503</v>
      </c>
      <c r="G2449" s="3" t="e">
        <f t="shared" si="86"/>
        <v>#VALUE!</v>
      </c>
      <c r="H2449" s="3" t="e">
        <f t="shared" si="85"/>
        <v>#VALUE!</v>
      </c>
      <c r="I2449" s="1">
        <v>1</v>
      </c>
    </row>
    <row r="2450" spans="1:9" x14ac:dyDescent="0.25">
      <c r="A2450" s="1" t="s">
        <v>14435</v>
      </c>
      <c r="B2450" s="1" t="s">
        <v>6883</v>
      </c>
      <c r="C2450" s="1" t="str">
        <f>IFERROR(VLOOKUP(B2450,'SB1'!$A$2:$B$999999,2,FALSE),"")</f>
        <v>PASTINA PARA CERAMICA WEBER CLASSIC PERLATO X 5</v>
      </c>
      <c r="D2450" s="1" t="s">
        <v>14488</v>
      </c>
      <c r="E2450" s="3">
        <f>IFERROR(VLOOKUP(B2450,'DA1'!$B$2:$D$999999,3,FALSE),"")</f>
      </c>
      <c r="F2450" s="1" t="str">
        <f>IFERROR(VLOOKUP(B2450,'SB1'!$A$2:$C$999999,3,FALSE),"")</f>
        <v>503</v>
      </c>
      <c r="G2450" s="3" t="e">
        <f t="shared" si="86"/>
        <v>#VALUE!</v>
      </c>
      <c r="H2450" s="3" t="e">
        <f t="shared" si="85"/>
        <v>#VALUE!</v>
      </c>
      <c r="I2450" s="1">
        <v>1</v>
      </c>
    </row>
    <row r="2451" spans="1:9" x14ac:dyDescent="0.25">
      <c r="A2451" s="1" t="s">
        <v>14435</v>
      </c>
      <c r="B2451" s="1" t="s">
        <v>6885</v>
      </c>
      <c r="C2451" s="1" t="str">
        <f>IFERROR(VLOOKUP(B2451,'SB1'!$A$2:$B$999999,2,FALSE),"")</f>
        <v>PASTINA PARA CERAMICA WEBER CLASSIC CHAMPAGNE X 5</v>
      </c>
      <c r="D2451" s="1" t="s">
        <v>14488</v>
      </c>
      <c r="E2451" s="3">
        <f>IFERROR(VLOOKUP(B2451,'DA1'!$B$2:$D$999999,3,FALSE),"")</f>
      </c>
      <c r="F2451" s="1" t="str">
        <f>IFERROR(VLOOKUP(B2451,'SB1'!$A$2:$C$999999,3,FALSE),"")</f>
        <v>503</v>
      </c>
      <c r="G2451" s="3" t="e">
        <f t="shared" si="86"/>
        <v>#VALUE!</v>
      </c>
      <c r="H2451" s="3" t="e">
        <f t="shared" si="85"/>
        <v>#VALUE!</v>
      </c>
      <c r="I2451" s="1">
        <v>1</v>
      </c>
    </row>
    <row r="2452" spans="1:9" x14ac:dyDescent="0.25">
      <c r="A2452" s="1" t="s">
        <v>14435</v>
      </c>
      <c r="B2452" s="1" t="s">
        <v>6887</v>
      </c>
      <c r="C2452" s="1" t="str">
        <f>IFERROR(VLOOKUP(B2452,'SB1'!$A$2:$B$999999,2,FALSE),"")</f>
        <v>PASTINA PARA CERAMICA WEBER CLASSIC ARENA X 5</v>
      </c>
      <c r="D2452" s="1" t="s">
        <v>14488</v>
      </c>
      <c r="E2452" s="3">
        <f>IFERROR(VLOOKUP(B2452,'DA1'!$B$2:$D$999999,3,FALSE),"")</f>
      </c>
      <c r="F2452" s="1" t="str">
        <f>IFERROR(VLOOKUP(B2452,'SB1'!$A$2:$C$999999,3,FALSE),"")</f>
        <v>503</v>
      </c>
      <c r="G2452" s="3" t="e">
        <f t="shared" si="86"/>
        <v>#VALUE!</v>
      </c>
      <c r="H2452" s="3" t="e">
        <f t="shared" si="85"/>
        <v>#VALUE!</v>
      </c>
      <c r="I2452" s="1">
        <v>1</v>
      </c>
    </row>
    <row r="2453" spans="1:9" x14ac:dyDescent="0.25">
      <c r="A2453" s="1" t="s">
        <v>14435</v>
      </c>
      <c r="B2453" s="1" t="s">
        <v>6889</v>
      </c>
      <c r="C2453" s="1" t="str">
        <f>IFERROR(VLOOKUP(B2453,'SB1'!$A$2:$B$999999,2,FALSE),"")</f>
        <v>PASTINA PARA CERAMICA WEBER CLASSIC BEIGE X 5</v>
      </c>
      <c r="D2453" s="1" t="s">
        <v>14488</v>
      </c>
      <c r="E2453" s="3">
        <f>IFERROR(VLOOKUP(B2453,'DA1'!$B$2:$D$999999,3,FALSE),"")</f>
      </c>
      <c r="F2453" s="1" t="str">
        <f>IFERROR(VLOOKUP(B2453,'SB1'!$A$2:$C$999999,3,FALSE),"")</f>
        <v>503</v>
      </c>
      <c r="G2453" s="3" t="e">
        <f t="shared" si="86"/>
        <v>#VALUE!</v>
      </c>
      <c r="H2453" s="3" t="e">
        <f t="shared" si="85"/>
        <v>#VALUE!</v>
      </c>
      <c r="I2453" s="1">
        <v>1</v>
      </c>
    </row>
    <row r="2454" spans="1:9" x14ac:dyDescent="0.25">
      <c r="A2454" s="1" t="s">
        <v>14435</v>
      </c>
      <c r="B2454" s="1" t="s">
        <v>6891</v>
      </c>
      <c r="C2454" s="1" t="str">
        <f>IFERROR(VLOOKUP(B2454,'SB1'!$A$2:$B$999999,2,FALSE),"")</f>
        <v>PASTINA PARA CERAMICA WEBER CLASSIC TERRACOTA X 5</v>
      </c>
      <c r="D2454" s="1" t="s">
        <v>14488</v>
      </c>
      <c r="E2454" s="3">
        <f>IFERROR(VLOOKUP(B2454,'DA1'!$B$2:$D$999999,3,FALSE),"")</f>
      </c>
      <c r="F2454" s="1" t="str">
        <f>IFERROR(VLOOKUP(B2454,'SB1'!$A$2:$C$999999,3,FALSE),"")</f>
        <v>503</v>
      </c>
      <c r="G2454" s="3" t="e">
        <f t="shared" si="86"/>
        <v>#VALUE!</v>
      </c>
      <c r="H2454" s="3" t="e">
        <f t="shared" si="85"/>
        <v>#VALUE!</v>
      </c>
      <c r="I2454" s="1">
        <v>1</v>
      </c>
    </row>
    <row r="2455" spans="1:9" x14ac:dyDescent="0.25">
      <c r="A2455" s="1" t="s">
        <v>14435</v>
      </c>
      <c r="B2455" s="1" t="s">
        <v>6893</v>
      </c>
      <c r="C2455" s="1" t="str">
        <f>IFERROR(VLOOKUP(B2455,'SB1'!$A$2:$B$999999,2,FALSE),"")</f>
        <v>PASTINA PARA CERAMICA WEBER CLASSIC FERRICO X 5</v>
      </c>
      <c r="D2455" s="1" t="s">
        <v>14488</v>
      </c>
      <c r="E2455" s="3">
        <f>IFERROR(VLOOKUP(B2455,'DA1'!$B$2:$D$999999,3,FALSE),"")</f>
      </c>
      <c r="F2455" s="1" t="str">
        <f>IFERROR(VLOOKUP(B2455,'SB1'!$A$2:$C$999999,3,FALSE),"")</f>
        <v>503</v>
      </c>
      <c r="G2455" s="3" t="e">
        <f t="shared" si="86"/>
        <v>#VALUE!</v>
      </c>
      <c r="H2455" s="3" t="e">
        <f t="shared" si="85"/>
        <v>#VALUE!</v>
      </c>
      <c r="I2455" s="1">
        <v>1</v>
      </c>
    </row>
    <row r="2456" spans="1:9" x14ac:dyDescent="0.25">
      <c r="A2456" s="1" t="s">
        <v>14435</v>
      </c>
      <c r="B2456" s="1" t="s">
        <v>6895</v>
      </c>
      <c r="C2456" s="1" t="str">
        <f>IFERROR(VLOOKUP(B2456,'SB1'!$A$2:$B$999999,2,FALSE),"")</f>
        <v>PASTINA PARA CERAMICA WEBER CLASSIC HABANO X 5</v>
      </c>
      <c r="D2456" s="1" t="s">
        <v>14488</v>
      </c>
      <c r="E2456" s="3">
        <f>IFERROR(VLOOKUP(B2456,'DA1'!$B$2:$D$999999,3,FALSE),"")</f>
      </c>
      <c r="F2456" s="1" t="str">
        <f>IFERROR(VLOOKUP(B2456,'SB1'!$A$2:$C$999999,3,FALSE),"")</f>
        <v>503</v>
      </c>
      <c r="G2456" s="3" t="e">
        <f t="shared" si="86"/>
        <v>#VALUE!</v>
      </c>
      <c r="H2456" s="3" t="e">
        <f t="shared" si="85"/>
        <v>#VALUE!</v>
      </c>
      <c r="I2456" s="1">
        <v>1</v>
      </c>
    </row>
    <row r="2457" spans="1:9" x14ac:dyDescent="0.25">
      <c r="A2457" s="1" t="s">
        <v>14435</v>
      </c>
      <c r="B2457" s="1" t="s">
        <v>6897</v>
      </c>
      <c r="C2457" s="1" t="str">
        <f>IFERROR(VLOOKUP(B2457,'SB1'!$A$2:$B$999999,2,FALSE),"")</f>
        <v>PASTINA PARA CERAMICA WEBER CLASSIC PLATA X 5</v>
      </c>
      <c r="D2457" s="1" t="s">
        <v>14488</v>
      </c>
      <c r="E2457" s="3">
        <f>IFERROR(VLOOKUP(B2457,'DA1'!$B$2:$D$999999,3,FALSE),"")</f>
      </c>
      <c r="F2457" s="1" t="str">
        <f>IFERROR(VLOOKUP(B2457,'SB1'!$A$2:$C$999999,3,FALSE),"")</f>
        <v>503</v>
      </c>
      <c r="G2457" s="3" t="e">
        <f t="shared" si="86"/>
        <v>#VALUE!</v>
      </c>
      <c r="H2457" s="3" t="e">
        <f t="shared" si="85"/>
        <v>#VALUE!</v>
      </c>
      <c r="I2457" s="1">
        <v>1</v>
      </c>
    </row>
    <row r="2458" spans="1:9" x14ac:dyDescent="0.25">
      <c r="A2458" s="1" t="s">
        <v>14435</v>
      </c>
      <c r="B2458" s="1" t="s">
        <v>6899</v>
      </c>
      <c r="C2458" s="1" t="str">
        <f>IFERROR(VLOOKUP(B2458,'SB1'!$A$2:$B$999999,2,FALSE),"")</f>
        <v>PASTINA PARA CERAMICA WEBER CLASSIC PLOMO X 5</v>
      </c>
      <c r="D2458" s="1" t="s">
        <v>14488</v>
      </c>
      <c r="E2458" s="3">
        <f>IFERROR(VLOOKUP(B2458,'DA1'!$B$2:$D$999999,3,FALSE),"")</f>
      </c>
      <c r="F2458" s="1" t="str">
        <f>IFERROR(VLOOKUP(B2458,'SB1'!$A$2:$C$999999,3,FALSE),"")</f>
        <v>503</v>
      </c>
      <c r="G2458" s="3" t="e">
        <f t="shared" si="86"/>
        <v>#VALUE!</v>
      </c>
      <c r="H2458" s="3" t="e">
        <f t="shared" si="85"/>
        <v>#VALUE!</v>
      </c>
      <c r="I2458" s="1">
        <v>1</v>
      </c>
    </row>
    <row r="2459" spans="1:9" x14ac:dyDescent="0.25">
      <c r="A2459" s="1" t="s">
        <v>14435</v>
      </c>
      <c r="B2459" s="1" t="s">
        <v>6901</v>
      </c>
      <c r="C2459" s="1" t="str">
        <f>IFERROR(VLOOKUP(B2459,'SB1'!$A$2:$B$999999,2,FALSE),"")</f>
        <v>PASTINA PARA CERAMICA WEBER CLASSIC NEGRO X 5</v>
      </c>
      <c r="D2459" s="1" t="s">
        <v>14488</v>
      </c>
      <c r="E2459" s="3">
        <f>IFERROR(VLOOKUP(B2459,'DA1'!$B$2:$D$999999,3,FALSE),"")</f>
      </c>
      <c r="F2459" s="1" t="str">
        <f>IFERROR(VLOOKUP(B2459,'SB1'!$A$2:$C$999999,3,FALSE),"")</f>
        <v>503</v>
      </c>
      <c r="G2459" s="3" t="e">
        <f t="shared" si="86"/>
        <v>#VALUE!</v>
      </c>
      <c r="H2459" s="3" t="e">
        <f t="shared" si="85"/>
        <v>#VALUE!</v>
      </c>
      <c r="I2459" s="1">
        <v>1</v>
      </c>
    </row>
    <row r="2460" spans="1:9" x14ac:dyDescent="0.25">
      <c r="A2460" s="1" t="s">
        <v>14435</v>
      </c>
      <c r="B2460" s="1" t="s">
        <v>6903</v>
      </c>
      <c r="C2460" s="1" t="str">
        <f>IFERROR(VLOOKUP(B2460,'SB1'!$A$2:$B$999999,2,FALSE),"")</f>
        <v>PASTINA PARA CERAMICA WEBER CLASSIC GRIS PERLA X 5</v>
      </c>
      <c r="D2460" s="1" t="s">
        <v>14488</v>
      </c>
      <c r="E2460" s="3">
        <f>IFERROR(VLOOKUP(B2460,'DA1'!$B$2:$D$999999,3,FALSE),"")</f>
      </c>
      <c r="F2460" s="1" t="str">
        <f>IFERROR(VLOOKUP(B2460,'SB1'!$A$2:$C$999999,3,FALSE),"")</f>
        <v>503</v>
      </c>
      <c r="G2460" s="3" t="e">
        <f t="shared" si="86"/>
        <v>#VALUE!</v>
      </c>
      <c r="H2460" s="3" t="e">
        <f t="shared" si="85"/>
        <v>#VALUE!</v>
      </c>
      <c r="I2460" s="1">
        <v>1</v>
      </c>
    </row>
    <row r="2461" spans="1:9" x14ac:dyDescent="0.25">
      <c r="A2461" s="1" t="s">
        <v>14435</v>
      </c>
      <c r="B2461" s="1" t="s">
        <v>6905</v>
      </c>
      <c r="C2461" s="1" t="str">
        <f>IFERROR(VLOOKUP(B2461,'SB1'!$A$2:$B$999999,2,FALSE),"")</f>
        <v>PASTINA PARA CERAMICA WEBER CLASSIC MEDANO X 5</v>
      </c>
      <c r="D2461" s="1" t="s">
        <v>14488</v>
      </c>
      <c r="E2461" s="3">
        <f>IFERROR(VLOOKUP(B2461,'DA1'!$B$2:$D$999999,3,FALSE),"")</f>
      </c>
      <c r="F2461" s="1" t="str">
        <f>IFERROR(VLOOKUP(B2461,'SB1'!$A$2:$C$999999,3,FALSE),"")</f>
        <v>503</v>
      </c>
      <c r="G2461" s="3" t="e">
        <f t="shared" si="86"/>
        <v>#VALUE!</v>
      </c>
      <c r="H2461" s="3" t="e">
        <f t="shared" si="85"/>
        <v>#VALUE!</v>
      </c>
      <c r="I2461" s="1">
        <v>1</v>
      </c>
    </row>
    <row r="2462" spans="1:9" x14ac:dyDescent="0.25">
      <c r="A2462" s="1" t="s">
        <v>14435</v>
      </c>
      <c r="B2462" s="1" t="s">
        <v>6907</v>
      </c>
      <c r="C2462" s="1" t="str">
        <f>IFERROR(VLOOKUP(B2462,'SB1'!$A$2:$B$999999,2,FALSE),"")</f>
        <v>PASTINA PARA CERAMICA WEBER CLASSIC HUESO X 5</v>
      </c>
      <c r="D2462" s="1" t="s">
        <v>14488</v>
      </c>
      <c r="E2462" s="3">
        <f>IFERROR(VLOOKUP(B2462,'DA1'!$B$2:$D$999999,3,FALSE),"")</f>
      </c>
      <c r="F2462" s="1" t="str">
        <f>IFERROR(VLOOKUP(B2462,'SB1'!$A$2:$C$999999,3,FALSE),"")</f>
        <v>503</v>
      </c>
      <c r="G2462" s="3" t="e">
        <f t="shared" si="86"/>
        <v>#VALUE!</v>
      </c>
      <c r="H2462" s="3" t="e">
        <f t="shared" ref="H2462:H2525" si="87">G2462*1.21</f>
        <v>#VALUE!</v>
      </c>
      <c r="I2462" s="1">
        <v>1</v>
      </c>
    </row>
    <row r="2463" spans="1:9" x14ac:dyDescent="0.25">
      <c r="A2463" s="1" t="s">
        <v>14435</v>
      </c>
      <c r="B2463" s="1" t="s">
        <v>6909</v>
      </c>
      <c r="C2463" s="1" t="str">
        <f>IFERROR(VLOOKUP(B2463,'SB1'!$A$2:$B$999999,2,FALSE),"")</f>
        <v>PASTINA PARA CERAMICA WEBER CLASSIC CEDRO X 5</v>
      </c>
      <c r="D2463" s="1" t="s">
        <v>14488</v>
      </c>
      <c r="E2463" s="3">
        <f>IFERROR(VLOOKUP(B2463,'DA1'!$B$2:$D$999999,3,FALSE),"")</f>
      </c>
      <c r="F2463" s="1" t="str">
        <f>IFERROR(VLOOKUP(B2463,'SB1'!$A$2:$C$999999,3,FALSE),"")</f>
        <v>503</v>
      </c>
      <c r="G2463" s="3" t="e">
        <f t="shared" si="86"/>
        <v>#VALUE!</v>
      </c>
      <c r="H2463" s="3" t="e">
        <f t="shared" si="87"/>
        <v>#VALUE!</v>
      </c>
      <c r="I2463" s="1">
        <v>1</v>
      </c>
    </row>
    <row r="2464" spans="1:9" x14ac:dyDescent="0.25">
      <c r="A2464" s="1" t="s">
        <v>14435</v>
      </c>
      <c r="B2464" s="1" t="s">
        <v>6911</v>
      </c>
      <c r="C2464" s="1" t="str">
        <f>IFERROR(VLOOKUP(B2464,'SB1'!$A$2:$B$999999,2,FALSE),"")</f>
        <v>PASTINA ALTA PRESTACIONES WEBER PRESTIGE NIEVE X 5</v>
      </c>
      <c r="D2464" s="1" t="s">
        <v>14488</v>
      </c>
      <c r="E2464" s="3">
        <f>IFERROR(VLOOKUP(B2464,'DA1'!$B$2:$D$999999,3,FALSE),"")</f>
      </c>
      <c r="F2464" s="1" t="str">
        <f>IFERROR(VLOOKUP(B2464,'SB1'!$A$2:$C$999999,3,FALSE),"")</f>
        <v>503</v>
      </c>
      <c r="G2464" s="3" t="e">
        <f t="shared" si="86"/>
        <v>#VALUE!</v>
      </c>
      <c r="H2464" s="3" t="e">
        <f t="shared" si="87"/>
        <v>#VALUE!</v>
      </c>
      <c r="I2464" s="1">
        <v>1</v>
      </c>
    </row>
    <row r="2465" spans="1:9" x14ac:dyDescent="0.25">
      <c r="A2465" s="1" t="s">
        <v>14435</v>
      </c>
      <c r="B2465" s="1" t="s">
        <v>6913</v>
      </c>
      <c r="C2465" s="1" t="str">
        <f>IFERROR(VLOOKUP(B2465,'SB1'!$A$2:$B$999999,2,FALSE),"")</f>
        <v>PASTINA ALTA PRESTACIONES WEBER PRESTIGE PERLATO X 5</v>
      </c>
      <c r="D2465" s="1" t="s">
        <v>14488</v>
      </c>
      <c r="E2465" s="3">
        <f>IFERROR(VLOOKUP(B2465,'DA1'!$B$2:$D$999999,3,FALSE),"")</f>
      </c>
      <c r="F2465" s="1" t="str">
        <f>IFERROR(VLOOKUP(B2465,'SB1'!$A$2:$C$999999,3,FALSE),"")</f>
        <v>503</v>
      </c>
      <c r="G2465" s="3" t="e">
        <f t="shared" si="86"/>
        <v>#VALUE!</v>
      </c>
      <c r="H2465" s="3" t="e">
        <f t="shared" si="87"/>
        <v>#VALUE!</v>
      </c>
      <c r="I2465" s="1">
        <v>1</v>
      </c>
    </row>
    <row r="2466" spans="1:9" x14ac:dyDescent="0.25">
      <c r="A2466" s="1" t="s">
        <v>14435</v>
      </c>
      <c r="B2466" s="1" t="s">
        <v>6915</v>
      </c>
      <c r="C2466" s="1" t="str">
        <f>IFERROR(VLOOKUP(B2466,'SB1'!$A$2:$B$999999,2,FALSE),"")</f>
        <v>PASTINA ALTA PRESTACIONES WEBER PRESTIGE CHAMPAGNE X 5</v>
      </c>
      <c r="D2466" s="1" t="s">
        <v>14488</v>
      </c>
      <c r="E2466" s="3">
        <f>IFERROR(VLOOKUP(B2466,'DA1'!$B$2:$D$999999,3,FALSE),"")</f>
      </c>
      <c r="F2466" s="1" t="str">
        <f>IFERROR(VLOOKUP(B2466,'SB1'!$A$2:$C$999999,3,FALSE),"")</f>
        <v>503</v>
      </c>
      <c r="G2466" s="3" t="e">
        <f t="shared" si="86"/>
        <v>#VALUE!</v>
      </c>
      <c r="H2466" s="3" t="e">
        <f t="shared" si="87"/>
        <v>#VALUE!</v>
      </c>
      <c r="I2466" s="1">
        <v>1</v>
      </c>
    </row>
    <row r="2467" spans="1:9" x14ac:dyDescent="0.25">
      <c r="A2467" s="1" t="s">
        <v>14435</v>
      </c>
      <c r="B2467" s="1" t="s">
        <v>6917</v>
      </c>
      <c r="C2467" s="1" t="str">
        <f>IFERROR(VLOOKUP(B2467,'SB1'!$A$2:$B$999999,2,FALSE),"")</f>
        <v>PASTINA ALTA PRESTACIONES WEBER PRESTIGE ARENA X 5</v>
      </c>
      <c r="D2467" s="1" t="s">
        <v>14488</v>
      </c>
      <c r="E2467" s="3">
        <f>IFERROR(VLOOKUP(B2467,'DA1'!$B$2:$D$999999,3,FALSE),"")</f>
      </c>
      <c r="F2467" s="1" t="str">
        <f>IFERROR(VLOOKUP(B2467,'SB1'!$A$2:$C$999999,3,FALSE),"")</f>
        <v>503</v>
      </c>
      <c r="G2467" s="3" t="e">
        <f t="shared" si="86"/>
        <v>#VALUE!</v>
      </c>
      <c r="H2467" s="3" t="e">
        <f t="shared" si="87"/>
        <v>#VALUE!</v>
      </c>
      <c r="I2467" s="1">
        <v>1</v>
      </c>
    </row>
    <row r="2468" spans="1:9" x14ac:dyDescent="0.25">
      <c r="A2468" s="1" t="s">
        <v>14435</v>
      </c>
      <c r="B2468" s="1" t="s">
        <v>6919</v>
      </c>
      <c r="C2468" s="1" t="str">
        <f>IFERROR(VLOOKUP(B2468,'SB1'!$A$2:$B$999999,2,FALSE),"")</f>
        <v>PASTINA ALTA PRESTACIONES WEBER PRESTIGE BEIGE X 5</v>
      </c>
      <c r="D2468" s="1" t="s">
        <v>14488</v>
      </c>
      <c r="E2468" s="3">
        <f>IFERROR(VLOOKUP(B2468,'DA1'!$B$2:$D$999999,3,FALSE),"")</f>
      </c>
      <c r="F2468" s="1" t="str">
        <f>IFERROR(VLOOKUP(B2468,'SB1'!$A$2:$C$999999,3,FALSE),"")</f>
        <v>503</v>
      </c>
      <c r="G2468" s="3" t="e">
        <f t="shared" si="86"/>
        <v>#VALUE!</v>
      </c>
      <c r="H2468" s="3" t="e">
        <f t="shared" si="87"/>
        <v>#VALUE!</v>
      </c>
      <c r="I2468" s="1">
        <v>1</v>
      </c>
    </row>
    <row r="2469" spans="1:9" x14ac:dyDescent="0.25">
      <c r="A2469" s="1" t="s">
        <v>14435</v>
      </c>
      <c r="B2469" s="1" t="s">
        <v>6921</v>
      </c>
      <c r="C2469" s="1" t="str">
        <f>IFERROR(VLOOKUP(B2469,'SB1'!$A$2:$B$999999,2,FALSE),"")</f>
        <v>PASTINA ALTA PRESTACIONES WEBER PRESTIGE TERRACOTA X 5</v>
      </c>
      <c r="D2469" s="1" t="s">
        <v>14488</v>
      </c>
      <c r="E2469" s="3">
        <f>IFERROR(VLOOKUP(B2469,'DA1'!$B$2:$D$999999,3,FALSE),"")</f>
      </c>
      <c r="F2469" s="1" t="str">
        <f>IFERROR(VLOOKUP(B2469,'SB1'!$A$2:$C$999999,3,FALSE),"")</f>
        <v>503</v>
      </c>
      <c r="G2469" s="3" t="e">
        <f t="shared" si="86"/>
        <v>#VALUE!</v>
      </c>
      <c r="H2469" s="3" t="e">
        <f t="shared" si="87"/>
        <v>#VALUE!</v>
      </c>
      <c r="I2469" s="1">
        <v>1</v>
      </c>
    </row>
    <row r="2470" spans="1:9" x14ac:dyDescent="0.25">
      <c r="A2470" s="1" t="s">
        <v>14435</v>
      </c>
      <c r="B2470" s="1" t="s">
        <v>6923</v>
      </c>
      <c r="C2470" s="1" t="str">
        <f>IFERROR(VLOOKUP(B2470,'SB1'!$A$2:$B$999999,2,FALSE),"")</f>
        <v>PASTINA ALTA PRESTACIONES WEBER PRESTIGE FERRICO X 5</v>
      </c>
      <c r="D2470" s="1" t="s">
        <v>14488</v>
      </c>
      <c r="E2470" s="3">
        <f>IFERROR(VLOOKUP(B2470,'DA1'!$B$2:$D$999999,3,FALSE),"")</f>
      </c>
      <c r="F2470" s="1" t="str">
        <f>IFERROR(VLOOKUP(B2470,'SB1'!$A$2:$C$999999,3,FALSE),"")</f>
        <v>503</v>
      </c>
      <c r="G2470" s="3" t="e">
        <f t="shared" si="86"/>
        <v>#VALUE!</v>
      </c>
      <c r="H2470" s="3" t="e">
        <f t="shared" si="87"/>
        <v>#VALUE!</v>
      </c>
      <c r="I2470" s="1">
        <v>1</v>
      </c>
    </row>
    <row r="2471" spans="1:9" x14ac:dyDescent="0.25">
      <c r="A2471" s="1" t="s">
        <v>14435</v>
      </c>
      <c r="B2471" s="1" t="s">
        <v>6925</v>
      </c>
      <c r="C2471" s="1" t="str">
        <f>IFERROR(VLOOKUP(B2471,'SB1'!$A$2:$B$999999,2,FALSE),"")</f>
        <v>PASTINA ALTA PRESTACIONES WEBER PRESTIGE TEJA X 5</v>
      </c>
      <c r="D2471" s="1" t="s">
        <v>14488</v>
      </c>
      <c r="E2471" s="3">
        <f>IFERROR(VLOOKUP(B2471,'DA1'!$B$2:$D$999999,3,FALSE),"")</f>
      </c>
      <c r="F2471" s="1" t="str">
        <f>IFERROR(VLOOKUP(B2471,'SB1'!$A$2:$C$999999,3,FALSE),"")</f>
        <v>503</v>
      </c>
      <c r="G2471" s="3" t="e">
        <f t="shared" si="86"/>
        <v>#VALUE!</v>
      </c>
      <c r="H2471" s="3" t="e">
        <f t="shared" si="87"/>
        <v>#VALUE!</v>
      </c>
      <c r="I2471" s="1">
        <v>1</v>
      </c>
    </row>
    <row r="2472" spans="1:9" x14ac:dyDescent="0.25">
      <c r="A2472" s="1" t="s">
        <v>14435</v>
      </c>
      <c r="B2472" s="1" t="s">
        <v>6927</v>
      </c>
      <c r="C2472" s="1" t="str">
        <f>IFERROR(VLOOKUP(B2472,'SB1'!$A$2:$B$999999,2,FALSE),"")</f>
        <v>PASTINA ALTA PRESTACIONES WEBER PRESTIGE ANTILOPE X 5</v>
      </c>
      <c r="D2472" s="1" t="s">
        <v>14488</v>
      </c>
      <c r="E2472" s="3">
        <f>IFERROR(VLOOKUP(B2472,'DA1'!$B$2:$D$999999,3,FALSE),"")</f>
      </c>
      <c r="F2472" s="1" t="str">
        <f>IFERROR(VLOOKUP(B2472,'SB1'!$A$2:$C$999999,3,FALSE),"")</f>
        <v>503</v>
      </c>
      <c r="G2472" s="3" t="e">
        <f t="shared" si="86"/>
        <v>#VALUE!</v>
      </c>
      <c r="H2472" s="3" t="e">
        <f t="shared" si="87"/>
        <v>#VALUE!</v>
      </c>
      <c r="I2472" s="1">
        <v>1</v>
      </c>
    </row>
    <row r="2473" spans="1:9" x14ac:dyDescent="0.25">
      <c r="A2473" s="1" t="s">
        <v>14435</v>
      </c>
      <c r="B2473" s="1" t="s">
        <v>6929</v>
      </c>
      <c r="C2473" s="1" t="str">
        <f>IFERROR(VLOOKUP(B2473,'SB1'!$A$2:$B$999999,2,FALSE),"")</f>
        <v>PASTINA ALTA PRESTACIONES WEBER PRESTIGE HABANO X 5</v>
      </c>
      <c r="D2473" s="1" t="s">
        <v>14488</v>
      </c>
      <c r="E2473" s="3">
        <f>IFERROR(VLOOKUP(B2473,'DA1'!$B$2:$D$999999,3,FALSE),"")</f>
      </c>
      <c r="F2473" s="1" t="str">
        <f>IFERROR(VLOOKUP(B2473,'SB1'!$A$2:$C$999999,3,FALSE),"")</f>
        <v>503</v>
      </c>
      <c r="G2473" s="3" t="e">
        <f t="shared" si="86"/>
        <v>#VALUE!</v>
      </c>
      <c r="H2473" s="3" t="e">
        <f t="shared" si="87"/>
        <v>#VALUE!</v>
      </c>
      <c r="I2473" s="1">
        <v>1</v>
      </c>
    </row>
    <row r="2474" spans="1:9" x14ac:dyDescent="0.25">
      <c r="A2474" s="1" t="s">
        <v>14435</v>
      </c>
      <c r="B2474" s="1" t="s">
        <v>6931</v>
      </c>
      <c r="C2474" s="1" t="str">
        <f>IFERROR(VLOOKUP(B2474,'SB1'!$A$2:$B$999999,2,FALSE),"")</f>
        <v>PASTINA ALTA PRESTACIONES WEBER PRESTIGE JADE X 5</v>
      </c>
      <c r="D2474" s="1" t="s">
        <v>14488</v>
      </c>
      <c r="E2474" s="3">
        <f>IFERROR(VLOOKUP(B2474,'DA1'!$B$2:$D$999999,3,FALSE),"")</f>
      </c>
      <c r="F2474" s="1" t="str">
        <f>IFERROR(VLOOKUP(B2474,'SB1'!$A$2:$C$999999,3,FALSE),"")</f>
        <v>503</v>
      </c>
      <c r="G2474" s="3" t="e">
        <f t="shared" si="86"/>
        <v>#VALUE!</v>
      </c>
      <c r="H2474" s="3" t="e">
        <f t="shared" si="87"/>
        <v>#VALUE!</v>
      </c>
      <c r="I2474" s="1">
        <v>1</v>
      </c>
    </row>
    <row r="2475" spans="1:9" x14ac:dyDescent="0.25">
      <c r="A2475" s="1" t="s">
        <v>14435</v>
      </c>
      <c r="B2475" s="1" t="s">
        <v>6933</v>
      </c>
      <c r="C2475" s="1" t="str">
        <f>IFERROR(VLOOKUP(B2475,'SB1'!$A$2:$B$999999,2,FALSE),"")</f>
        <v>PASTINA ALTA PRESTACIONES WEBER PRESTIGE PLATA X 5</v>
      </c>
      <c r="D2475" s="1" t="s">
        <v>14488</v>
      </c>
      <c r="E2475" s="3">
        <f>IFERROR(VLOOKUP(B2475,'DA1'!$B$2:$D$999999,3,FALSE),"")</f>
      </c>
      <c r="F2475" s="1" t="str">
        <f>IFERROR(VLOOKUP(B2475,'SB1'!$A$2:$C$999999,3,FALSE),"")</f>
        <v>503</v>
      </c>
      <c r="G2475" s="3" t="e">
        <f t="shared" si="86"/>
        <v>#VALUE!</v>
      </c>
      <c r="H2475" s="3" t="e">
        <f t="shared" si="87"/>
        <v>#VALUE!</v>
      </c>
      <c r="I2475" s="1">
        <v>1</v>
      </c>
    </row>
    <row r="2476" spans="1:9" x14ac:dyDescent="0.25">
      <c r="A2476" s="1" t="s">
        <v>14435</v>
      </c>
      <c r="B2476" s="1" t="s">
        <v>6935</v>
      </c>
      <c r="C2476" s="1" t="str">
        <f>IFERROR(VLOOKUP(B2476,'SB1'!$A$2:$B$999999,2,FALSE),"")</f>
        <v>PASTINA ALTA PRESTACIONES WEBER PRESTIGE PLOMO X 5</v>
      </c>
      <c r="D2476" s="1" t="s">
        <v>14488</v>
      </c>
      <c r="E2476" s="3">
        <f>IFERROR(VLOOKUP(B2476,'DA1'!$B$2:$D$999999,3,FALSE),"")</f>
      </c>
      <c r="F2476" s="1" t="str">
        <f>IFERROR(VLOOKUP(B2476,'SB1'!$A$2:$C$999999,3,FALSE),"")</f>
        <v>503</v>
      </c>
      <c r="G2476" s="3" t="e">
        <f t="shared" si="86"/>
        <v>#VALUE!</v>
      </c>
      <c r="H2476" s="3" t="e">
        <f t="shared" si="87"/>
        <v>#VALUE!</v>
      </c>
      <c r="I2476" s="1">
        <v>1</v>
      </c>
    </row>
    <row r="2477" spans="1:9" x14ac:dyDescent="0.25">
      <c r="A2477" s="1" t="s">
        <v>14435</v>
      </c>
      <c r="B2477" s="1" t="s">
        <v>6937</v>
      </c>
      <c r="C2477" s="1" t="str">
        <f>IFERROR(VLOOKUP(B2477,'SB1'!$A$2:$B$999999,2,FALSE),"")</f>
        <v>PASTINA ALTA PRESTACIONES WEBER PRESTIGE NEGRO X 5</v>
      </c>
      <c r="D2477" s="1" t="s">
        <v>14488</v>
      </c>
      <c r="E2477" s="3">
        <f>IFERROR(VLOOKUP(B2477,'DA1'!$B$2:$D$999999,3,FALSE),"")</f>
      </c>
      <c r="F2477" s="1" t="str">
        <f>IFERROR(VLOOKUP(B2477,'SB1'!$A$2:$C$999999,3,FALSE),"")</f>
        <v>503</v>
      </c>
      <c r="G2477" s="3" t="e">
        <f t="shared" si="86"/>
        <v>#VALUE!</v>
      </c>
      <c r="H2477" s="3" t="e">
        <f t="shared" si="87"/>
        <v>#VALUE!</v>
      </c>
      <c r="I2477" s="1">
        <v>1</v>
      </c>
    </row>
    <row r="2478" spans="1:9" x14ac:dyDescent="0.25">
      <c r="A2478" s="1" t="s">
        <v>14435</v>
      </c>
      <c r="B2478" s="1" t="s">
        <v>6939</v>
      </c>
      <c r="C2478" s="1" t="str">
        <f>IFERROR(VLOOKUP(B2478,'SB1'!$A$2:$B$999999,2,FALSE),"")</f>
        <v>PASTINA ALTA PRESTACIONES WEBER PRESTIGE GRIS PERLA X 5</v>
      </c>
      <c r="D2478" s="1" t="s">
        <v>14488</v>
      </c>
      <c r="E2478" s="3">
        <f>IFERROR(VLOOKUP(B2478,'DA1'!$B$2:$D$999999,3,FALSE),"")</f>
      </c>
      <c r="F2478" s="1" t="str">
        <f>IFERROR(VLOOKUP(B2478,'SB1'!$A$2:$C$999999,3,FALSE),"")</f>
        <v>503</v>
      </c>
      <c r="G2478" s="3" t="e">
        <f t="shared" si="86"/>
        <v>#VALUE!</v>
      </c>
      <c r="H2478" s="3" t="e">
        <f t="shared" si="87"/>
        <v>#VALUE!</v>
      </c>
      <c r="I2478" s="1">
        <v>1</v>
      </c>
    </row>
    <row r="2479" spans="1:9" x14ac:dyDescent="0.25">
      <c r="A2479" s="1" t="s">
        <v>14435</v>
      </c>
      <c r="B2479" s="1" t="s">
        <v>6941</v>
      </c>
      <c r="C2479" s="1" t="str">
        <f>IFERROR(VLOOKUP(B2479,'SB1'!$A$2:$B$999999,2,FALSE),"")</f>
        <v>PASTINA ALTA PRESTACIONES WEBER PRESTIGE MEDANO X 5</v>
      </c>
      <c r="D2479" s="1" t="s">
        <v>14488</v>
      </c>
      <c r="E2479" s="3">
        <f>IFERROR(VLOOKUP(B2479,'DA1'!$B$2:$D$999999,3,FALSE),"")</f>
      </c>
      <c r="F2479" s="1" t="str">
        <f>IFERROR(VLOOKUP(B2479,'SB1'!$A$2:$C$999999,3,FALSE),"")</f>
        <v>503</v>
      </c>
      <c r="G2479" s="3" t="e">
        <f t="shared" si="86"/>
        <v>#VALUE!</v>
      </c>
      <c r="H2479" s="3" t="e">
        <f t="shared" si="87"/>
        <v>#VALUE!</v>
      </c>
      <c r="I2479" s="1">
        <v>1</v>
      </c>
    </row>
    <row r="2480" spans="1:9" x14ac:dyDescent="0.25">
      <c r="A2480" s="1" t="s">
        <v>14435</v>
      </c>
      <c r="B2480" s="1" t="s">
        <v>6943</v>
      </c>
      <c r="C2480" s="1" t="str">
        <f>IFERROR(VLOOKUP(B2480,'SB1'!$A$2:$B$999999,2,FALSE),"")</f>
        <v>PASTINA ALTA PRESTACIONES WEBER PRESTIGE NIEBLA X 5</v>
      </c>
      <c r="D2480" s="1" t="s">
        <v>14488</v>
      </c>
      <c r="E2480" s="3">
        <f>IFERROR(VLOOKUP(B2480,'DA1'!$B$2:$D$999999,3,FALSE),"")</f>
      </c>
      <c r="F2480" s="1" t="str">
        <f>IFERROR(VLOOKUP(B2480,'SB1'!$A$2:$C$999999,3,FALSE),"")</f>
        <v>503</v>
      </c>
      <c r="G2480" s="3" t="e">
        <f t="shared" si="86"/>
        <v>#VALUE!</v>
      </c>
      <c r="H2480" s="3" t="e">
        <f t="shared" si="87"/>
        <v>#VALUE!</v>
      </c>
      <c r="I2480" s="1">
        <v>1</v>
      </c>
    </row>
    <row r="2481" spans="1:9" x14ac:dyDescent="0.25">
      <c r="A2481" s="1" t="s">
        <v>14435</v>
      </c>
      <c r="B2481" s="1" t="s">
        <v>6945</v>
      </c>
      <c r="C2481" s="1" t="str">
        <f>IFERROR(VLOOKUP(B2481,'SB1'!$A$2:$B$999999,2,FALSE),"")</f>
        <v>PASTINA ALTA PRESTACIONES WEBER PRESTIGE HUESO X 5</v>
      </c>
      <c r="D2481" s="1" t="s">
        <v>14488</v>
      </c>
      <c r="E2481" s="3">
        <f>IFERROR(VLOOKUP(B2481,'DA1'!$B$2:$D$999999,3,FALSE),"")</f>
      </c>
      <c r="F2481" s="1" t="str">
        <f>IFERROR(VLOOKUP(B2481,'SB1'!$A$2:$C$999999,3,FALSE),"")</f>
        <v>503</v>
      </c>
      <c r="G2481" s="3" t="e">
        <f t="shared" si="86"/>
        <v>#VALUE!</v>
      </c>
      <c r="H2481" s="3" t="e">
        <f t="shared" si="87"/>
        <v>#VALUE!</v>
      </c>
      <c r="I2481" s="1">
        <v>1</v>
      </c>
    </row>
    <row r="2482" spans="1:9" x14ac:dyDescent="0.25">
      <c r="A2482" s="1" t="s">
        <v>14435</v>
      </c>
      <c r="B2482" s="1" t="s">
        <v>6947</v>
      </c>
      <c r="C2482" s="1" t="str">
        <f>IFERROR(VLOOKUP(B2482,'SB1'!$A$2:$B$999999,2,FALSE),"")</f>
        <v>PASTINA ALTA PRESTACIONES WEBER PRESTIGE ATLANTICO X 5</v>
      </c>
      <c r="D2482" s="1" t="s">
        <v>14488</v>
      </c>
      <c r="E2482" s="3">
        <f>IFERROR(VLOOKUP(B2482,'DA1'!$B$2:$D$999999,3,FALSE),"")</f>
      </c>
      <c r="F2482" s="1" t="str">
        <f>IFERROR(VLOOKUP(B2482,'SB1'!$A$2:$C$999999,3,FALSE),"")</f>
        <v>503</v>
      </c>
      <c r="G2482" s="3" t="e">
        <f t="shared" si="86"/>
        <v>#VALUE!</v>
      </c>
      <c r="H2482" s="3" t="e">
        <f t="shared" si="87"/>
        <v>#VALUE!</v>
      </c>
      <c r="I2482" s="1">
        <v>1</v>
      </c>
    </row>
    <row r="2483" spans="1:9" x14ac:dyDescent="0.25">
      <c r="A2483" s="1" t="s">
        <v>14435</v>
      </c>
      <c r="B2483" s="1" t="s">
        <v>6949</v>
      </c>
      <c r="C2483" s="1" t="str">
        <f>IFERROR(VLOOKUP(B2483,'SB1'!$A$2:$B$999999,2,FALSE),"")</f>
        <v>PASTINA ALTA PRESTACIONES WEBER PRESTIGE CENIZA X 5</v>
      </c>
      <c r="D2483" s="1" t="s">
        <v>14488</v>
      </c>
      <c r="E2483" s="3">
        <f>IFERROR(VLOOKUP(B2483,'DA1'!$B$2:$D$999999,3,FALSE),"")</f>
      </c>
      <c r="F2483" s="1" t="str">
        <f>IFERROR(VLOOKUP(B2483,'SB1'!$A$2:$C$999999,3,FALSE),"")</f>
        <v>503</v>
      </c>
      <c r="G2483" s="3" t="e">
        <f t="shared" si="86"/>
        <v>#VALUE!</v>
      </c>
      <c r="H2483" s="3" t="e">
        <f t="shared" si="87"/>
        <v>#VALUE!</v>
      </c>
      <c r="I2483" s="1">
        <v>1</v>
      </c>
    </row>
    <row r="2484" spans="1:9" x14ac:dyDescent="0.25">
      <c r="A2484" s="1" t="s">
        <v>14435</v>
      </c>
      <c r="B2484" s="1" t="s">
        <v>6951</v>
      </c>
      <c r="C2484" s="1" t="str">
        <f>IFERROR(VLOOKUP(B2484,'SB1'!$A$2:$B$999999,2,FALSE),"")</f>
        <v>PASTINA ALTA PRESTACIONES WEBER PRESTIGE CEDRO X 5</v>
      </c>
      <c r="D2484" s="1" t="s">
        <v>14488</v>
      </c>
      <c r="E2484" s="3">
        <f>IFERROR(VLOOKUP(B2484,'DA1'!$B$2:$D$999999,3,FALSE),"")</f>
      </c>
      <c r="F2484" s="1" t="str">
        <f>IFERROR(VLOOKUP(B2484,'SB1'!$A$2:$C$999999,3,FALSE),"")</f>
        <v>503</v>
      </c>
      <c r="G2484" s="3" t="e">
        <f t="shared" si="86"/>
        <v>#VALUE!</v>
      </c>
      <c r="H2484" s="3" t="e">
        <f t="shared" si="87"/>
        <v>#VALUE!</v>
      </c>
      <c r="I2484" s="1">
        <v>1</v>
      </c>
    </row>
    <row r="2485" spans="1:9" x14ac:dyDescent="0.25">
      <c r="A2485" s="1" t="s">
        <v>14435</v>
      </c>
      <c r="B2485" s="1" t="s">
        <v>6953</v>
      </c>
      <c r="C2485" s="1" t="str">
        <f>IFERROR(VLOOKUP(B2485,'SB1'!$A$2:$B$999999,2,FALSE),"")</f>
        <v>PASTINA ALTA PRESTACIONES WEBER PRESTIGE ROBLE X 5</v>
      </c>
      <c r="D2485" s="1" t="s">
        <v>14488</v>
      </c>
      <c r="E2485" s="3">
        <f>IFERROR(VLOOKUP(B2485,'DA1'!$B$2:$D$999999,3,FALSE),"")</f>
      </c>
      <c r="F2485" s="1" t="str">
        <f>IFERROR(VLOOKUP(B2485,'SB1'!$A$2:$C$999999,3,FALSE),"")</f>
        <v>503</v>
      </c>
      <c r="G2485" s="3" t="e">
        <f t="shared" si="86"/>
        <v>#VALUE!</v>
      </c>
      <c r="H2485" s="3" t="e">
        <f t="shared" si="87"/>
        <v>#VALUE!</v>
      </c>
      <c r="I2485" s="1">
        <v>1</v>
      </c>
    </row>
    <row r="2486" spans="1:9" x14ac:dyDescent="0.25">
      <c r="A2486" s="1" t="s">
        <v>14435</v>
      </c>
      <c r="B2486" s="1" t="s">
        <v>6955</v>
      </c>
      <c r="C2486" s="1" t="str">
        <f>IFERROR(VLOOKUP(B2486,'SB1'!$A$2:$B$999999,2,FALSE),"")</f>
        <v>PASTINA ALTA PRESTACIONES WEBER PRESTIGE OLMO X 5</v>
      </c>
      <c r="D2486" s="1" t="s">
        <v>14488</v>
      </c>
      <c r="E2486" s="3">
        <f>IFERROR(VLOOKUP(B2486,'DA1'!$B$2:$D$999999,3,FALSE),"")</f>
      </c>
      <c r="F2486" s="1" t="str">
        <f>IFERROR(VLOOKUP(B2486,'SB1'!$A$2:$C$999999,3,FALSE),"")</f>
        <v>503</v>
      </c>
      <c r="G2486" s="3" t="e">
        <f t="shared" si="86"/>
        <v>#VALUE!</v>
      </c>
      <c r="H2486" s="3" t="e">
        <f t="shared" si="87"/>
        <v>#VALUE!</v>
      </c>
      <c r="I2486" s="1">
        <v>1</v>
      </c>
    </row>
    <row r="2487" spans="1:9" x14ac:dyDescent="0.25">
      <c r="A2487" s="1" t="s">
        <v>14435</v>
      </c>
      <c r="B2487" s="1" t="s">
        <v>6957</v>
      </c>
      <c r="C2487" s="1" t="str">
        <f>IFERROR(VLOOKUP(B2487,'SB1'!$A$2:$B$999999,2,FALSE),"")</f>
        <v>PASTINA ALTA PRESTACIONES WEBER PRESTIGE CALACATTA X 5</v>
      </c>
      <c r="D2487" s="1" t="s">
        <v>14488</v>
      </c>
      <c r="E2487" s="3">
        <f>IFERROR(VLOOKUP(B2487,'DA1'!$B$2:$D$999999,3,FALSE),"")</f>
      </c>
      <c r="F2487" s="1" t="str">
        <f>IFERROR(VLOOKUP(B2487,'SB1'!$A$2:$C$999999,3,FALSE),"")</f>
        <v>503</v>
      </c>
      <c r="G2487" s="3" t="e">
        <f t="shared" si="86"/>
        <v>#VALUE!</v>
      </c>
      <c r="H2487" s="3" t="e">
        <f t="shared" si="87"/>
        <v>#VALUE!</v>
      </c>
      <c r="I2487" s="1">
        <v>1</v>
      </c>
    </row>
    <row r="2488" spans="1:9" x14ac:dyDescent="0.25">
      <c r="A2488" s="1" t="s">
        <v>14435</v>
      </c>
      <c r="B2488" s="1" t="s">
        <v>6967</v>
      </c>
      <c r="C2488" s="1" t="str">
        <f>IFERROR(VLOOKUP(B2488,'SB1'!$A$2:$B$999999,2,FALSE),"")</f>
        <v>DISCO DE FIBRA DOBLE A 115X22HX-73 G.A.#14</v>
      </c>
      <c r="D2488" s="1" t="s">
        <v>14451</v>
      </c>
      <c r="E2488" s="3">
        <f>IFERROR(VLOOKUP(B2488,'DA1'!$B$2:$D$999999,3,FALSE),"")</f>
      </c>
      <c r="F2488" s="1" t="str">
        <f>IFERROR(VLOOKUP(B2488,'SB1'!$A$2:$C$999999,3,FALSE),"")</f>
        <v>503</v>
      </c>
      <c r="G2488" s="3" t="e">
        <f t="shared" si="86"/>
        <v>#VALUE!</v>
      </c>
      <c r="H2488" s="3" t="e">
        <f t="shared" si="87"/>
        <v>#VALUE!</v>
      </c>
      <c r="I2488" s="1">
        <v>1</v>
      </c>
    </row>
    <row r="2489" spans="1:8" x14ac:dyDescent="0.25">
      <c r="A2489" s="1" t="s">
        <v>14435</v>
      </c>
      <c r="B2489" s="1" t="s">
        <v>6969</v>
      </c>
      <c r="C2489" s="1" t="str">
        <f>IFERROR(VLOOKUP(B2489,'SB1'!$A$2:$B$999999,2,FALSE),"")</f>
        <v>DISCO DE FIBRA DOBLE A 115X22HX-73 G.A.#16</v>
      </c>
      <c r="D2489" s="1" t="s">
        <v>14439</v>
      </c>
      <c r="E2489" s="3">
        <f>IFERROR(VLOOKUP(B2489,'DA1'!$B$2:$D$999999,3,FALSE),"")</f>
      </c>
      <c r="F2489" s="1" t="str">
        <f>IFERROR(VLOOKUP(B2489,'SB1'!$A$2:$C$999999,3,FALSE),"")</f>
        <v>503</v>
      </c>
      <c r="G2489" s="3" t="e">
        <f t="shared" si="86"/>
        <v>#VALUE!</v>
      </c>
      <c r="H2489" s="3" t="e">
        <f t="shared" si="87"/>
        <v>#VALUE!</v>
      </c>
    </row>
    <row r="2490" spans="1:9" x14ac:dyDescent="0.25">
      <c r="A2490" s="1" t="s">
        <v>14435</v>
      </c>
      <c r="B2490" s="1" t="s">
        <v>6971</v>
      </c>
      <c r="C2490" s="1" t="str">
        <f>IFERROR(VLOOKUP(B2490,'SB1'!$A$2:$B$999999,2,FALSE),"")</f>
        <v>DISCO DE FIBRA DOBLE A 115X22HY-71 O.A. #24</v>
      </c>
      <c r="D2490" s="1" t="s">
        <v>14451</v>
      </c>
      <c r="E2490" s="3">
        <f>IFERROR(VLOOKUP(B2490,'DA1'!$B$2:$D$999999,3,FALSE),"")</f>
      </c>
      <c r="F2490" s="1" t="str">
        <f>IFERROR(VLOOKUP(B2490,'SB1'!$A$2:$C$999999,3,FALSE),"")</f>
        <v>503</v>
      </c>
      <c r="G2490" s="3" t="e">
        <f t="shared" si="86"/>
        <v>#VALUE!</v>
      </c>
      <c r="H2490" s="3" t="e">
        <f t="shared" si="87"/>
        <v>#VALUE!</v>
      </c>
      <c r="I2490" s="1">
        <v>1</v>
      </c>
    </row>
    <row r="2491" spans="1:9" x14ac:dyDescent="0.25">
      <c r="A2491" s="1" t="s">
        <v>14435</v>
      </c>
      <c r="B2491" s="1" t="s">
        <v>6973</v>
      </c>
      <c r="C2491" s="1" t="str">
        <f>IFERROR(VLOOKUP(B2491,'SB1'!$A$2:$B$999999,2,FALSE),"")</f>
        <v>DISCO DE FIBRA DOBLE A 115X22HY-71 O.A. #36</v>
      </c>
      <c r="D2491" s="1" t="s">
        <v>14451</v>
      </c>
      <c r="E2491" s="3">
        <f>IFERROR(VLOOKUP(B2491,'DA1'!$B$2:$D$999999,3,FALSE),"")</f>
      </c>
      <c r="F2491" s="1" t="str">
        <f>IFERROR(VLOOKUP(B2491,'SB1'!$A$2:$C$999999,3,FALSE),"")</f>
        <v>503</v>
      </c>
      <c r="G2491" s="3" t="e">
        <f t="shared" si="86"/>
        <v>#VALUE!</v>
      </c>
      <c r="H2491" s="3" t="e">
        <f t="shared" si="87"/>
        <v>#VALUE!</v>
      </c>
      <c r="I2491" s="1">
        <v>1</v>
      </c>
    </row>
    <row r="2492" spans="1:9" x14ac:dyDescent="0.25">
      <c r="A2492" s="1" t="s">
        <v>14435</v>
      </c>
      <c r="B2492" s="1" t="s">
        <v>6975</v>
      </c>
      <c r="C2492" s="1" t="str">
        <f>IFERROR(VLOOKUP(B2492,'SB1'!$A$2:$B$999999,2,FALSE),"")</f>
        <v>DISCO DE FIBRA DOBLE A 115X22HY-71 O.A. #50</v>
      </c>
      <c r="D2492" s="1" t="s">
        <v>14451</v>
      </c>
      <c r="E2492" s="3">
        <f>IFERROR(VLOOKUP(B2492,'DA1'!$B$2:$D$999999,3,FALSE),"")</f>
      </c>
      <c r="F2492" s="1" t="str">
        <f>IFERROR(VLOOKUP(B2492,'SB1'!$A$2:$C$999999,3,FALSE),"")</f>
        <v>503</v>
      </c>
      <c r="G2492" s="3" t="e">
        <f t="shared" si="86"/>
        <v>#VALUE!</v>
      </c>
      <c r="H2492" s="3" t="e">
        <f t="shared" si="87"/>
        <v>#VALUE!</v>
      </c>
      <c r="I2492" s="1">
        <v>1</v>
      </c>
    </row>
    <row r="2493" spans="1:9" x14ac:dyDescent="0.25">
      <c r="A2493" s="1" t="s">
        <v>14435</v>
      </c>
      <c r="B2493" s="1" t="s">
        <v>6977</v>
      </c>
      <c r="C2493" s="1" t="str">
        <f>IFERROR(VLOOKUP(B2493,'SB1'!$A$2:$B$999999,2,FALSE),"")</f>
        <v>DISCO DE FIBRA DOBLE A 115X22HY-71 O.A. #60</v>
      </c>
      <c r="D2493" s="1" t="s">
        <v>14451</v>
      </c>
      <c r="E2493" s="3">
        <f>IFERROR(VLOOKUP(B2493,'DA1'!$B$2:$D$999999,3,FALSE),"")</f>
      </c>
      <c r="F2493" s="1" t="str">
        <f>IFERROR(VLOOKUP(B2493,'SB1'!$A$2:$C$999999,3,FALSE),"")</f>
        <v>503</v>
      </c>
      <c r="G2493" s="3" t="e">
        <f t="shared" si="86"/>
        <v>#VALUE!</v>
      </c>
      <c r="H2493" s="3" t="e">
        <f t="shared" si="87"/>
        <v>#VALUE!</v>
      </c>
      <c r="I2493" s="1">
        <v>1</v>
      </c>
    </row>
    <row r="2494" spans="1:9" x14ac:dyDescent="0.25">
      <c r="A2494" s="1" t="s">
        <v>14435</v>
      </c>
      <c r="B2494" s="1" t="s">
        <v>6979</v>
      </c>
      <c r="C2494" s="1" t="str">
        <f>IFERROR(VLOOKUP(B2494,'SB1'!$A$2:$B$999999,2,FALSE),"")</f>
        <v>DISCO DE FIBRA DOBLE A 115X22HY-71 O.A. #80</v>
      </c>
      <c r="D2494" s="1" t="s">
        <v>14451</v>
      </c>
      <c r="E2494" s="3">
        <f>IFERROR(VLOOKUP(B2494,'DA1'!$B$2:$D$999999,3,FALSE),"")</f>
      </c>
      <c r="F2494" s="1" t="str">
        <f>IFERROR(VLOOKUP(B2494,'SB1'!$A$2:$C$999999,3,FALSE),"")</f>
        <v>503</v>
      </c>
      <c r="G2494" s="3" t="e">
        <f t="shared" si="86"/>
        <v>#VALUE!</v>
      </c>
      <c r="H2494" s="3" t="e">
        <f t="shared" si="87"/>
        <v>#VALUE!</v>
      </c>
      <c r="I2494" s="1">
        <v>1</v>
      </c>
    </row>
    <row r="2495" spans="1:9" x14ac:dyDescent="0.25">
      <c r="A2495" s="1" t="s">
        <v>14435</v>
      </c>
      <c r="B2495" s="1" t="s">
        <v>6981</v>
      </c>
      <c r="C2495" s="1" t="str">
        <f>IFERROR(VLOOKUP(B2495,'SB1'!$A$2:$B$999999,2,FALSE),"")</f>
        <v>DISCO DE FIBRA DOBLE A 115X22HY-71 O.A.#100</v>
      </c>
      <c r="D2495" s="1" t="s">
        <v>14451</v>
      </c>
      <c r="E2495" s="3">
        <f>IFERROR(VLOOKUP(B2495,'DA1'!$B$2:$D$999999,3,FALSE),"")</f>
      </c>
      <c r="F2495" s="1" t="str">
        <f>IFERROR(VLOOKUP(B2495,'SB1'!$A$2:$C$999999,3,FALSE),"")</f>
        <v>503</v>
      </c>
      <c r="G2495" s="3" t="e">
        <f t="shared" si="86"/>
        <v>#VALUE!</v>
      </c>
      <c r="H2495" s="3" t="e">
        <f t="shared" si="87"/>
        <v>#VALUE!</v>
      </c>
      <c r="I2495" s="1">
        <v>1</v>
      </c>
    </row>
    <row r="2496" spans="1:9" x14ac:dyDescent="0.25">
      <c r="A2496" s="1" t="s">
        <v>14435</v>
      </c>
      <c r="B2496" s="1" t="s">
        <v>6983</v>
      </c>
      <c r="C2496" s="1" t="str">
        <f>IFERROR(VLOOKUP(B2496,'SB1'!$A$2:$B$999999,2,FALSE),"")</f>
        <v>DISCO DE FIBRA DOBLE A 115X22HY-71 O.A.#120</v>
      </c>
      <c r="D2496" s="1" t="s">
        <v>14451</v>
      </c>
      <c r="E2496" s="3">
        <f>IFERROR(VLOOKUP(B2496,'DA1'!$B$2:$D$999999,3,FALSE),"")</f>
      </c>
      <c r="F2496" s="1" t="str">
        <f>IFERROR(VLOOKUP(B2496,'SB1'!$A$2:$C$999999,3,FALSE),"")</f>
        <v>503</v>
      </c>
      <c r="G2496" s="3" t="e">
        <f t="shared" si="86"/>
        <v>#VALUE!</v>
      </c>
      <c r="H2496" s="3" t="e">
        <f t="shared" si="87"/>
        <v>#VALUE!</v>
      </c>
      <c r="I2496" s="1">
        <v>1</v>
      </c>
    </row>
    <row r="2497" spans="1:9" x14ac:dyDescent="0.25">
      <c r="A2497" s="1" t="s">
        <v>14435</v>
      </c>
      <c r="B2497" s="1" t="s">
        <v>6985</v>
      </c>
      <c r="C2497" s="1" t="str">
        <f>IFERROR(VLOOKUP(B2497,'SB1'!$A$2:$B$999999,2,FALSE),"")</f>
        <v>DEMARCACION VIAL TERSUAVE ALQUIDICA AMARILLO X  4</v>
      </c>
      <c r="D2497" s="1" t="s">
        <v>14487</v>
      </c>
      <c r="E2497" s="3">
        <f>IFERROR(VLOOKUP(B2497,'DA1'!$B$2:$D$999999,3,FALSE),"")</f>
      </c>
      <c r="F2497" s="1" t="str">
        <f>IFERROR(VLOOKUP(B2497,'SB1'!$A$2:$C$999999,3,FALSE),"")</f>
        <v>503</v>
      </c>
      <c r="G2497" s="3" t="e">
        <f t="shared" si="86"/>
        <v>#VALUE!</v>
      </c>
      <c r="H2497" s="3" t="e">
        <f t="shared" si="87"/>
        <v>#VALUE!</v>
      </c>
      <c r="I2497" s="1">
        <v>1</v>
      </c>
    </row>
    <row r="2498" spans="1:9" x14ac:dyDescent="0.25">
      <c r="A2498" s="1" t="s">
        <v>14435</v>
      </c>
      <c r="B2498" s="1" t="s">
        <v>6987</v>
      </c>
      <c r="C2498" s="1" t="str">
        <f>IFERROR(VLOOKUP(B2498,'SB1'!$A$2:$B$999999,2,FALSE),"")</f>
        <v>DEMARCACION VIAL TERSUAVE ALQUIDICA AMARILLO X 20</v>
      </c>
      <c r="D2498" s="1" t="s">
        <v>14487</v>
      </c>
      <c r="E2498" s="3">
        <f>IFERROR(VLOOKUP(B2498,'DA1'!$B$2:$D$999999,3,FALSE),"")</f>
      </c>
      <c r="F2498" s="1" t="str">
        <f>IFERROR(VLOOKUP(B2498,'SB1'!$A$2:$C$999999,3,FALSE),"")</f>
        <v>503</v>
      </c>
      <c r="G2498" s="3" t="e">
        <f t="shared" si="86"/>
        <v>#VALUE!</v>
      </c>
      <c r="H2498" s="3" t="e">
        <f t="shared" si="87"/>
        <v>#VALUE!</v>
      </c>
      <c r="I2498" s="1">
        <v>1</v>
      </c>
    </row>
    <row r="2499" spans="1:9" x14ac:dyDescent="0.25">
      <c r="A2499" s="1" t="s">
        <v>14435</v>
      </c>
      <c r="B2499" s="1" t="s">
        <v>6989</v>
      </c>
      <c r="C2499" s="1" t="str">
        <f>IFERROR(VLOOKUP(B2499,'SB1'!$A$2:$B$999999,2,FALSE),"")</f>
        <v>DEMARCACION VIAL TERSUAVE ALQUIDICA BLANCO X  4</v>
      </c>
      <c r="D2499" s="1" t="s">
        <v>14487</v>
      </c>
      <c r="E2499" s="3">
        <f>IFERROR(VLOOKUP(B2499,'DA1'!$B$2:$D$999999,3,FALSE),"")</f>
      </c>
      <c r="F2499" s="1" t="str">
        <f>IFERROR(VLOOKUP(B2499,'SB1'!$A$2:$C$999999,3,FALSE),"")</f>
        <v>503</v>
      </c>
      <c r="G2499" s="3" t="e">
        <f t="shared" ref="G2499:G2562" si="88">E2499*1.04</f>
        <v>#VALUE!</v>
      </c>
      <c r="H2499" s="3" t="e">
        <f t="shared" si="87"/>
        <v>#VALUE!</v>
      </c>
      <c r="I2499" s="1">
        <v>1</v>
      </c>
    </row>
    <row r="2500" spans="1:9" x14ac:dyDescent="0.25">
      <c r="A2500" s="1" t="s">
        <v>14435</v>
      </c>
      <c r="B2500" s="1" t="s">
        <v>6991</v>
      </c>
      <c r="C2500" s="1" t="str">
        <f>IFERROR(VLOOKUP(B2500,'SB1'!$A$2:$B$999999,2,FALSE),"")</f>
        <v>DEMARCACION VIAL TERSUAVE ALQUIDICA BLANCO X 20</v>
      </c>
      <c r="D2500" s="1" t="s">
        <v>14487</v>
      </c>
      <c r="E2500" s="3">
        <f>IFERROR(VLOOKUP(B2500,'DA1'!$B$2:$D$999999,3,FALSE),"")</f>
      </c>
      <c r="F2500" s="1" t="str">
        <f>IFERROR(VLOOKUP(B2500,'SB1'!$A$2:$C$999999,3,FALSE),"")</f>
        <v>503</v>
      </c>
      <c r="G2500" s="3" t="e">
        <f t="shared" si="88"/>
        <v>#VALUE!</v>
      </c>
      <c r="H2500" s="3" t="e">
        <f t="shared" si="87"/>
        <v>#VALUE!</v>
      </c>
      <c r="I2500" s="1">
        <v>1</v>
      </c>
    </row>
    <row r="2501" spans="1:8" x14ac:dyDescent="0.25">
      <c r="A2501" s="1" t="s">
        <v>14435</v>
      </c>
      <c r="B2501" s="1" t="s">
        <v>6993</v>
      </c>
      <c r="C2501" s="1" t="str">
        <f>IFERROR(VLOOKUP(B2501,'SB1'!$A$2:$B$999999,2,FALSE),"")</f>
        <v>AEROSOL RUST-OLEUM METALICO BRILLANTE ALUMINIO X 0,340 (248655)</v>
      </c>
      <c r="D2501" s="1" t="s">
        <v>14439</v>
      </c>
      <c r="E2501" s="3">
        <f>IFERROR(VLOOKUP(B2501,'DA1'!$B$2:$D$999999,3,FALSE),"")</f>
      </c>
      <c r="F2501" s="1" t="str">
        <f>IFERROR(VLOOKUP(B2501,'SB1'!$A$2:$C$999999,3,FALSE),"")</f>
        <v>503</v>
      </c>
      <c r="G2501" s="3" t="e">
        <f t="shared" si="88"/>
        <v>#VALUE!</v>
      </c>
      <c r="H2501" s="3" t="e">
        <f t="shared" si="87"/>
        <v>#VALUE!</v>
      </c>
    </row>
    <row r="2502" spans="1:9" x14ac:dyDescent="0.25">
      <c r="A2502" s="1" t="s">
        <v>14435</v>
      </c>
      <c r="B2502" s="1" t="s">
        <v>6995</v>
      </c>
      <c r="C2502" s="1" t="str">
        <f>IFERROR(VLOOKUP(B2502,'SB1'!$A$2:$B$999999,2,FALSE),"")</f>
        <v>PANO DE CORDERO ZEOCAR CON ABROJO 3 (122)</v>
      </c>
      <c r="D2502" s="1" t="s">
        <v>14473</v>
      </c>
      <c r="E2502" s="3">
        <f>IFERROR(VLOOKUP(B2502,'DA1'!$B$2:$D$999999,3,FALSE),"")</f>
      </c>
      <c r="F2502" s="1" t="str">
        <f>IFERROR(VLOOKUP(B2502,'SB1'!$A$2:$C$999999,3,FALSE),"")</f>
        <v>503</v>
      </c>
      <c r="G2502" s="3" t="e">
        <f t="shared" si="88"/>
        <v>#VALUE!</v>
      </c>
      <c r="H2502" s="3" t="e">
        <f t="shared" si="87"/>
        <v>#VALUE!</v>
      </c>
      <c r="I2502" s="1">
        <v>1</v>
      </c>
    </row>
    <row r="2503" spans="1:9" x14ac:dyDescent="0.25">
      <c r="A2503" s="1" t="s">
        <v>14435</v>
      </c>
      <c r="B2503" s="1" t="s">
        <v>6997</v>
      </c>
      <c r="C2503" s="1" t="str">
        <f>IFERROR(VLOOKUP(B2503,'SB1'!$A$2:$B$999999,2,FALSE),"")</f>
        <v>FILTRO DE ESPUMA P/TU7 ADIABATIC</v>
      </c>
      <c r="D2503" s="1" t="s">
        <v>14496</v>
      </c>
      <c r="E2503" s="3">
        <f>IFERROR(VLOOKUP(B2503,'DA1'!$B$2:$D$999999,3,FALSE),"")</f>
      </c>
      <c r="F2503" s="1" t="str">
        <f>IFERROR(VLOOKUP(B2503,'SB1'!$A$2:$C$999999,3,FALSE),"")</f>
        <v>503</v>
      </c>
      <c r="G2503" s="3" t="e">
        <f t="shared" si="88"/>
        <v>#VALUE!</v>
      </c>
      <c r="H2503" s="3" t="e">
        <f t="shared" si="87"/>
        <v>#VALUE!</v>
      </c>
      <c r="I2503" s="1">
        <v>1</v>
      </c>
    </row>
    <row r="2504" spans="1:9" x14ac:dyDescent="0.25">
      <c r="A2504" s="1" t="s">
        <v>14435</v>
      </c>
      <c r="B2504" s="1" t="s">
        <v>6999</v>
      </c>
      <c r="C2504" s="1" t="str">
        <f>IFERROR(VLOOKUP(B2504,'SB1'!$A$2:$B$999999,2,FALSE),"")</f>
        <v>PEGAMENTO CERAM.YPORCE. PIEZAS H.60X60 WEBER PRO PORCELLANATOS GRIS X 25</v>
      </c>
      <c r="D2504" s="1" t="s">
        <v>14488</v>
      </c>
      <c r="E2504" s="3">
        <f>IFERROR(VLOOKUP(B2504,'DA1'!$B$2:$D$999999,3,FALSE),"")</f>
      </c>
      <c r="F2504" s="1" t="str">
        <f>IFERROR(VLOOKUP(B2504,'SB1'!$A$2:$C$999999,3,FALSE),"")</f>
        <v>503</v>
      </c>
      <c r="G2504" s="3" t="e">
        <f t="shared" si="88"/>
        <v>#VALUE!</v>
      </c>
      <c r="H2504" s="3" t="e">
        <f t="shared" si="87"/>
        <v>#VALUE!</v>
      </c>
      <c r="I2504" s="1">
        <v>1</v>
      </c>
    </row>
    <row r="2505" spans="1:9" x14ac:dyDescent="0.25">
      <c r="A2505" s="1" t="s">
        <v>14435</v>
      </c>
      <c r="B2505" s="1" t="s">
        <v>7005</v>
      </c>
      <c r="C2505" s="1" t="str">
        <f>IFERROR(VLOOKUP(B2505,'SB1'!$A$2:$B$999999,2,FALSE),"")</f>
        <v>COPA Y TAPA DOX251V PLASTICA P/MEZCLA PPG</v>
      </c>
      <c r="D2505" s="1" t="s">
        <v>14446</v>
      </c>
      <c r="E2505" s="3">
        <f>IFERROR(VLOOKUP(B2505,'DA1'!$B$2:$D$999999,3,FALSE),"")</f>
      </c>
      <c r="F2505" s="1" t="str">
        <f>IFERROR(VLOOKUP(B2505,'SB1'!$A$2:$C$999999,3,FALSE),"")</f>
        <v>503</v>
      </c>
      <c r="G2505" s="3" t="e">
        <f t="shared" si="88"/>
        <v>#VALUE!</v>
      </c>
      <c r="H2505" s="3" t="e">
        <f t="shared" si="87"/>
        <v>#VALUE!</v>
      </c>
      <c r="I2505" s="1">
        <v>3</v>
      </c>
    </row>
    <row r="2506" spans="1:9" x14ac:dyDescent="0.25">
      <c r="A2506" s="1" t="s">
        <v>14435</v>
      </c>
      <c r="B2506" s="1" t="s">
        <v>7007</v>
      </c>
      <c r="C2506" s="1" t="str">
        <f>IFERROR(VLOOKUP(B2506,'SB1'!$A$2:$B$999999,2,FALSE),"")</f>
        <v>TAPA P/COPA PLASTICA DE MEZCLADO PPG - DOX251L</v>
      </c>
      <c r="D2506" s="1" t="s">
        <v>14446</v>
      </c>
      <c r="E2506" s="3">
        <f>IFERROR(VLOOKUP(B2506,'DA1'!$B$2:$D$999999,3,FALSE),"")</f>
      </c>
      <c r="F2506" s="1" t="str">
        <f>IFERROR(VLOOKUP(B2506,'SB1'!$A$2:$C$999999,3,FALSE),"")</f>
        <v>503</v>
      </c>
      <c r="G2506" s="3" t="e">
        <f t="shared" si="88"/>
        <v>#VALUE!</v>
      </c>
      <c r="H2506" s="3" t="e">
        <f t="shared" si="87"/>
        <v>#VALUE!</v>
      </c>
      <c r="I2506" s="1">
        <v>3</v>
      </c>
    </row>
    <row r="2507" spans="1:9" x14ac:dyDescent="0.25">
      <c r="A2507" s="1" t="s">
        <v>14435</v>
      </c>
      <c r="B2507" s="1" t="s">
        <v>7015</v>
      </c>
      <c r="C2507" s="1" t="str">
        <f>IFERROR(VLOOKUP(B2507,'SB1'!$A$2:$B$999999,2,FALSE),"")</f>
        <v>PEGAMENTO IMPERMEAB.PIEZAS H.20X120 WEBER FORTE PORCELLANATO GRIS X 25</v>
      </c>
      <c r="D2507" s="1" t="s">
        <v>14488</v>
      </c>
      <c r="E2507" s="3">
        <f>IFERROR(VLOOKUP(B2507,'DA1'!$B$2:$D$999999,3,FALSE),"")</f>
      </c>
      <c r="F2507" s="1" t="str">
        <f>IFERROR(VLOOKUP(B2507,'SB1'!$A$2:$C$999999,3,FALSE),"")</f>
        <v>503</v>
      </c>
      <c r="G2507" s="3" t="e">
        <f t="shared" si="88"/>
        <v>#VALUE!</v>
      </c>
      <c r="H2507" s="3" t="e">
        <f t="shared" si="87"/>
        <v>#VALUE!</v>
      </c>
      <c r="I2507" s="1">
        <v>1</v>
      </c>
    </row>
    <row r="2508" spans="1:9" x14ac:dyDescent="0.25">
      <c r="A2508" s="1" t="s">
        <v>14435</v>
      </c>
      <c r="B2508" s="1" t="s">
        <v>7019</v>
      </c>
      <c r="C2508" s="1" t="str">
        <f>IFERROR(VLOOKUP(B2508,'SB1'!$A$2:$B$999999,2,FALSE),"")</f>
        <v>SIGMAPRIME200 (BAS16+HRD4) X 20</v>
      </c>
      <c r="D2508" s="1" t="s">
        <v>14484</v>
      </c>
      <c r="E2508" s="3">
        <f>IFERROR(VLOOKUP(B2508,'DA1'!$B$2:$D$999999,3,FALSE),"")</f>
      </c>
      <c r="F2508" s="1" t="str">
        <f>IFERROR(VLOOKUP(B2508,'SB1'!$A$2:$C$999999,3,FALSE),"")</f>
        <v>503</v>
      </c>
      <c r="G2508" s="3" t="e">
        <f t="shared" si="88"/>
        <v>#VALUE!</v>
      </c>
      <c r="H2508" s="3" t="e">
        <f t="shared" si="87"/>
        <v>#VALUE!</v>
      </c>
      <c r="I2508" s="1">
        <v>3</v>
      </c>
    </row>
    <row r="2509" spans="1:9" x14ac:dyDescent="0.25">
      <c r="A2509" s="1" t="s">
        <v>14435</v>
      </c>
      <c r="B2509" s="1" t="s">
        <v>7021</v>
      </c>
      <c r="C2509" s="1" t="str">
        <f>IFERROR(VLOOKUP(B2509,'SB1'!$A$2:$B$999999,2,FALSE),"")</f>
        <v>SIGMAFAST 278 RAL7035 (BAS15+HRD5) X 20</v>
      </c>
      <c r="D2509" s="1" t="s">
        <v>14484</v>
      </c>
      <c r="E2509" s="3">
        <f>IFERROR(VLOOKUP(B2509,'DA1'!$B$2:$D$999999,3,FALSE),"")</f>
      </c>
      <c r="F2509" s="1" t="str">
        <f>IFERROR(VLOOKUP(B2509,'SB1'!$A$2:$C$999999,3,FALSE),"")</f>
        <v>503</v>
      </c>
      <c r="G2509" s="3" t="e">
        <f t="shared" si="88"/>
        <v>#VALUE!</v>
      </c>
      <c r="H2509" s="3" t="e">
        <f t="shared" si="87"/>
        <v>#VALUE!</v>
      </c>
      <c r="I2509" s="1">
        <v>3</v>
      </c>
    </row>
    <row r="2510" spans="1:9" x14ac:dyDescent="0.25">
      <c r="A2510" s="1" t="s">
        <v>14435</v>
      </c>
      <c r="B2510" s="1" t="s">
        <v>7023</v>
      </c>
      <c r="C2510" s="1" t="str">
        <f>IFERROR(VLOOKUP(B2510,'SB1'!$A$2:$B$999999,2,FALSE),"")</f>
        <v>SIGMADUR 550 RAL9001 (BAS17,6+HRD2,4) X 20</v>
      </c>
      <c r="D2510" s="1" t="s">
        <v>14484</v>
      </c>
      <c r="E2510" s="3">
        <f>IFERROR(VLOOKUP(B2510,'DA1'!$B$2:$D$999999,3,FALSE),"")</f>
      </c>
      <c r="F2510" s="1" t="str">
        <f>IFERROR(VLOOKUP(B2510,'SB1'!$A$2:$C$999999,3,FALSE),"")</f>
        <v>503</v>
      </c>
      <c r="G2510" s="3" t="e">
        <f t="shared" si="88"/>
        <v>#VALUE!</v>
      </c>
      <c r="H2510" s="3" t="e">
        <f t="shared" si="87"/>
        <v>#VALUE!</v>
      </c>
      <c r="I2510" s="1">
        <v>3</v>
      </c>
    </row>
    <row r="2511" spans="1:9" x14ac:dyDescent="0.25">
      <c r="A2511" s="1" t="s">
        <v>14435</v>
      </c>
      <c r="B2511" s="1" t="s">
        <v>7025</v>
      </c>
      <c r="C2511" s="1" t="str">
        <f>IFERROR(VLOOKUP(B2511,'SB1'!$A$2:$B$999999,2,FALSE),"")</f>
        <v>DILUYENTE 91-92 EPOXI X 20</v>
      </c>
      <c r="D2511" s="1" t="s">
        <v>14484</v>
      </c>
      <c r="E2511" s="3">
        <f>IFERROR(VLOOKUP(B2511,'DA1'!$B$2:$D$999999,3,FALSE),"")</f>
      </c>
      <c r="F2511" s="1" t="str">
        <f>IFERROR(VLOOKUP(B2511,'SB1'!$A$2:$C$999999,3,FALSE),"")</f>
        <v>503</v>
      </c>
      <c r="G2511" s="3" t="e">
        <f t="shared" si="88"/>
        <v>#VALUE!</v>
      </c>
      <c r="H2511" s="3" t="e">
        <f t="shared" si="87"/>
        <v>#VALUE!</v>
      </c>
      <c r="I2511" s="1">
        <v>3</v>
      </c>
    </row>
    <row r="2512" spans="1:9" x14ac:dyDescent="0.25">
      <c r="A2512" s="1" t="s">
        <v>14435</v>
      </c>
      <c r="B2512" s="1" t="s">
        <v>7027</v>
      </c>
      <c r="C2512" s="1" t="str">
        <f>IFERROR(VLOOKUP(B2512,'SB1'!$A$2:$B$999999,2,FALSE),"")</f>
        <v>DILUYENTE 21-06 POLIURETANICO X 20</v>
      </c>
      <c r="D2512" s="1" t="s">
        <v>14484</v>
      </c>
      <c r="E2512" s="3">
        <f>IFERROR(VLOOKUP(B2512,'DA1'!$B$2:$D$999999,3,FALSE),"")</f>
      </c>
      <c r="F2512" s="1" t="str">
        <f>IFERROR(VLOOKUP(B2512,'SB1'!$A$2:$C$999999,3,FALSE),"")</f>
        <v>503</v>
      </c>
      <c r="G2512" s="3" t="e">
        <f t="shared" si="88"/>
        <v>#VALUE!</v>
      </c>
      <c r="H2512" s="3" t="e">
        <f t="shared" si="87"/>
        <v>#VALUE!</v>
      </c>
      <c r="I2512" s="1">
        <v>3</v>
      </c>
    </row>
    <row r="2513" spans="1:9" x14ac:dyDescent="0.25">
      <c r="A2513" s="1" t="s">
        <v>14435</v>
      </c>
      <c r="B2513" s="1" t="s">
        <v>7031</v>
      </c>
      <c r="C2513" s="1" t="str">
        <f>IFERROR(VLOOKUP(B2513,'SB1'!$A$2:$B$999999,2,FALSE),"")</f>
        <v>DIL021.16 CATALIZADOR WASH PRIMER WP21 X 0.300</v>
      </c>
      <c r="D2513" s="1" t="s">
        <v>14454</v>
      </c>
      <c r="E2513" s="3">
        <f>IFERROR(VLOOKUP(B2513,'DA1'!$B$2:$D$999999,3,FALSE),"")</f>
      </c>
      <c r="F2513" s="1" t="str">
        <f>IFERROR(VLOOKUP(B2513,'SB1'!$A$2:$C$999999,3,FALSE),"")</f>
        <v>503</v>
      </c>
      <c r="G2513" s="3" t="e">
        <f t="shared" si="88"/>
        <v>#VALUE!</v>
      </c>
      <c r="H2513" s="3" t="e">
        <f t="shared" si="87"/>
        <v>#VALUE!</v>
      </c>
      <c r="I2513" s="1">
        <v>3</v>
      </c>
    </row>
    <row r="2514" spans="1:9" x14ac:dyDescent="0.25">
      <c r="A2514" s="1" t="s">
        <v>14435</v>
      </c>
      <c r="B2514" s="1" t="s">
        <v>7033</v>
      </c>
      <c r="C2514" s="1" t="str">
        <f>IFERROR(VLOOKUP(B2514,'SB1'!$A$2:$B$999999,2,FALSE),"")</f>
        <v>WP21.11 WASH PRIMER FOSFATIZANTE VINILICO X 0.600</v>
      </c>
      <c r="D2514" s="1" t="s">
        <v>14454</v>
      </c>
      <c r="E2514" s="3">
        <f>IFERROR(VLOOKUP(B2514,'DA1'!$B$2:$D$999999,3,FALSE),"")</f>
      </c>
      <c r="F2514" s="1" t="str">
        <f>IFERROR(VLOOKUP(B2514,'SB1'!$A$2:$C$999999,3,FALSE),"")</f>
        <v>503</v>
      </c>
      <c r="G2514" s="3" t="e">
        <f t="shared" si="88"/>
        <v>#VALUE!</v>
      </c>
      <c r="H2514" s="3" t="e">
        <f t="shared" si="87"/>
        <v>#VALUE!</v>
      </c>
      <c r="I2514" s="1">
        <v>3</v>
      </c>
    </row>
    <row r="2515" spans="1:9" x14ac:dyDescent="0.25">
      <c r="A2515" s="1" t="s">
        <v>14435</v>
      </c>
      <c r="B2515" s="1" t="s">
        <v>7037</v>
      </c>
      <c r="C2515" s="1" t="str">
        <f>IFERROR(VLOOKUP(B2515,'SB1'!$A$2:$B$999999,2,FALSE),"")</f>
        <v>P433-XR10-E033 - CRYSTAL SILVER X 0,330</v>
      </c>
      <c r="D2515" s="1" t="s">
        <v>14485</v>
      </c>
      <c r="E2515" s="3">
        <f>IFERROR(VLOOKUP(B2515,'DA1'!$B$2:$D$999999,3,FALSE),"")</f>
      </c>
      <c r="F2515" s="1" t="str">
        <f>IFERROR(VLOOKUP(B2515,'SB1'!$A$2:$C$999999,3,FALSE),"")</f>
        <v>503</v>
      </c>
      <c r="G2515" s="3" t="e">
        <f t="shared" si="88"/>
        <v>#VALUE!</v>
      </c>
      <c r="H2515" s="3" t="e">
        <f t="shared" si="87"/>
        <v>#VALUE!</v>
      </c>
      <c r="I2515" s="1">
        <v>3</v>
      </c>
    </row>
    <row r="2516" spans="1:9" x14ac:dyDescent="0.25">
      <c r="A2516" s="1" t="s">
        <v>14435</v>
      </c>
      <c r="B2516" s="1" t="s">
        <v>7039</v>
      </c>
      <c r="C2516" s="1" t="str">
        <f>IFERROR(VLOOKUP(B2516,'SB1'!$A$2:$B$999999,2,FALSE),"")</f>
        <v>P433-XR11-E033 - SUNBEAM GOLD X 0,330</v>
      </c>
      <c r="D2516" s="1" t="s">
        <v>14485</v>
      </c>
      <c r="E2516" s="3">
        <f>IFERROR(VLOOKUP(B2516,'DA1'!$B$2:$D$999999,3,FALSE),"")</f>
      </c>
      <c r="F2516" s="1" t="str">
        <f>IFERROR(VLOOKUP(B2516,'SB1'!$A$2:$C$999999,3,FALSE),"")</f>
        <v>503</v>
      </c>
      <c r="G2516" s="3" t="e">
        <f t="shared" si="88"/>
        <v>#VALUE!</v>
      </c>
      <c r="H2516" s="3" t="e">
        <f t="shared" si="87"/>
        <v>#VALUE!</v>
      </c>
      <c r="I2516" s="1">
        <v>3</v>
      </c>
    </row>
    <row r="2517" spans="1:9" x14ac:dyDescent="0.25">
      <c r="A2517" s="1" t="s">
        <v>14435</v>
      </c>
      <c r="B2517" s="1" t="s">
        <v>7041</v>
      </c>
      <c r="C2517" s="1" t="str">
        <f>IFERROR(VLOOKUP(B2517,'SB1'!$A$2:$B$999999,2,FALSE),"")</f>
        <v>P433-XR12-E033 - RADIANT RED X 0,330</v>
      </c>
      <c r="D2517" s="1" t="s">
        <v>14485</v>
      </c>
      <c r="E2517" s="3">
        <f>IFERROR(VLOOKUP(B2517,'DA1'!$B$2:$D$999999,3,FALSE),"")</f>
      </c>
      <c r="F2517" s="1" t="str">
        <f>IFERROR(VLOOKUP(B2517,'SB1'!$A$2:$C$999999,3,FALSE),"")</f>
        <v>503</v>
      </c>
      <c r="G2517" s="3" t="e">
        <f t="shared" si="88"/>
        <v>#VALUE!</v>
      </c>
      <c r="H2517" s="3" t="e">
        <f t="shared" si="87"/>
        <v>#VALUE!</v>
      </c>
      <c r="I2517" s="1">
        <v>3</v>
      </c>
    </row>
    <row r="2518" spans="1:9" x14ac:dyDescent="0.25">
      <c r="A2518" s="1" t="s">
        <v>14435</v>
      </c>
      <c r="B2518" s="1" t="s">
        <v>7043</v>
      </c>
      <c r="C2518" s="1" t="str">
        <f>IFERROR(VLOOKUP(B2518,'SB1'!$A$2:$B$999999,2,FALSE),"")</f>
        <v>P433-XR13-E033 - GALAXY BLUE X 0,330</v>
      </c>
      <c r="D2518" s="1" t="s">
        <v>14485</v>
      </c>
      <c r="E2518" s="3">
        <f>IFERROR(VLOOKUP(B2518,'DA1'!$B$2:$D$999999,3,FALSE),"")</f>
      </c>
      <c r="F2518" s="1" t="str">
        <f>IFERROR(VLOOKUP(B2518,'SB1'!$A$2:$C$999999,3,FALSE),"")</f>
        <v>503</v>
      </c>
      <c r="G2518" s="3" t="e">
        <f t="shared" si="88"/>
        <v>#VALUE!</v>
      </c>
      <c r="H2518" s="3" t="e">
        <f t="shared" si="87"/>
        <v>#VALUE!</v>
      </c>
      <c r="I2518" s="1">
        <v>3</v>
      </c>
    </row>
    <row r="2519" spans="1:9" x14ac:dyDescent="0.25">
      <c r="A2519" s="1" t="s">
        <v>14435</v>
      </c>
      <c r="B2519" s="1" t="s">
        <v>7045</v>
      </c>
      <c r="C2519" s="1" t="str">
        <f>IFERROR(VLOOKUP(B2519,'SB1'!$A$2:$B$999999,2,FALSE),"")</f>
        <v>P433-XR14-E033 - STELLAR GREEN X 0,330</v>
      </c>
      <c r="D2519" s="1" t="s">
        <v>14485</v>
      </c>
      <c r="E2519" s="3">
        <f>IFERROR(VLOOKUP(B2519,'DA1'!$B$2:$D$999999,3,FALSE),"")</f>
      </c>
      <c r="F2519" s="1" t="str">
        <f>IFERROR(VLOOKUP(B2519,'SB1'!$A$2:$C$999999,3,FALSE),"")</f>
        <v>503</v>
      </c>
      <c r="G2519" s="3" t="e">
        <f t="shared" si="88"/>
        <v>#VALUE!</v>
      </c>
      <c r="H2519" s="3" t="e">
        <f t="shared" si="87"/>
        <v>#VALUE!</v>
      </c>
      <c r="I2519" s="1">
        <v>3</v>
      </c>
    </row>
    <row r="2520" spans="1:9" x14ac:dyDescent="0.25">
      <c r="A2520" s="1" t="s">
        <v>14435</v>
      </c>
      <c r="B2520" s="1" t="s">
        <v>7047</v>
      </c>
      <c r="C2520" s="1" t="str">
        <f>IFERROR(VLOOKUP(B2520,'SB1'!$A$2:$B$999999,2,FALSE),"")</f>
        <v>P433-XR15-E033 - SOLARIS RED X 0,330</v>
      </c>
      <c r="D2520" s="1" t="s">
        <v>14485</v>
      </c>
      <c r="E2520" s="3">
        <f>IFERROR(VLOOKUP(B2520,'DA1'!$B$2:$D$999999,3,FALSE),"")</f>
      </c>
      <c r="F2520" s="1" t="str">
        <f>IFERROR(VLOOKUP(B2520,'SB1'!$A$2:$C$999999,3,FALSE),"")</f>
        <v>503</v>
      </c>
      <c r="G2520" s="3" t="e">
        <f t="shared" si="88"/>
        <v>#VALUE!</v>
      </c>
      <c r="H2520" s="3" t="e">
        <f t="shared" si="87"/>
        <v>#VALUE!</v>
      </c>
      <c r="I2520" s="1">
        <v>3</v>
      </c>
    </row>
    <row r="2521" spans="1:9" x14ac:dyDescent="0.25">
      <c r="A2521" s="1" t="s">
        <v>14435</v>
      </c>
      <c r="B2521" s="1" t="s">
        <v>7049</v>
      </c>
      <c r="C2521" s="1" t="str">
        <f>IFERROR(VLOOKUP(B2521,'SB1'!$A$2:$B$999999,2,FALSE),"")</f>
        <v>P433-XR16-E033 - FIRESIDE COPPER X 0,330</v>
      </c>
      <c r="D2521" s="1" t="s">
        <v>14485</v>
      </c>
      <c r="E2521" s="3">
        <f>IFERROR(VLOOKUP(B2521,'DA1'!$B$2:$D$999999,3,FALSE),"")</f>
      </c>
      <c r="F2521" s="1" t="str">
        <f>IFERROR(VLOOKUP(B2521,'SB1'!$A$2:$C$999999,3,FALSE),"")</f>
        <v>503</v>
      </c>
      <c r="G2521" s="3" t="e">
        <f t="shared" si="88"/>
        <v>#VALUE!</v>
      </c>
      <c r="H2521" s="3" t="e">
        <f t="shared" si="87"/>
        <v>#VALUE!</v>
      </c>
      <c r="I2521" s="1">
        <v>3</v>
      </c>
    </row>
    <row r="2522" spans="1:9" x14ac:dyDescent="0.25">
      <c r="A2522" s="1" t="s">
        <v>14435</v>
      </c>
      <c r="B2522" s="1" t="s">
        <v>7053</v>
      </c>
      <c r="C2522" s="1" t="str">
        <f>IFERROR(VLOOKUP(B2522,'SB1'!$A$2:$B$999999,2,FALSE),"")</f>
        <v>PANO DE GOMA ESPUMA ZEOCAR NARANJA 3 (142)</v>
      </c>
      <c r="D2522" s="1" t="s">
        <v>14473</v>
      </c>
      <c r="E2522" s="3">
        <f>IFERROR(VLOOKUP(B2522,'DA1'!$B$2:$D$999999,3,FALSE),"")</f>
      </c>
      <c r="F2522" s="1" t="str">
        <f>IFERROR(VLOOKUP(B2522,'SB1'!$A$2:$C$999999,3,FALSE),"")</f>
        <v>503</v>
      </c>
      <c r="G2522" s="3" t="e">
        <f t="shared" si="88"/>
        <v>#VALUE!</v>
      </c>
      <c r="H2522" s="3" t="e">
        <f t="shared" si="87"/>
        <v>#VALUE!</v>
      </c>
      <c r="I2522" s="1">
        <v>1</v>
      </c>
    </row>
    <row r="2523" spans="1:9" x14ac:dyDescent="0.25">
      <c r="A2523" s="1" t="s">
        <v>14435</v>
      </c>
      <c r="B2523" s="1" t="s">
        <v>7055</v>
      </c>
      <c r="C2523" s="1" t="str">
        <f>IFERROR(VLOOKUP(B2523,'SB1'!$A$2:$B$999999,2,FALSE),"")</f>
        <v>PANO DE GOMA ESPUMA ZEOCAR NEGRO 3 (141)</v>
      </c>
      <c r="D2523" s="1" t="s">
        <v>14473</v>
      </c>
      <c r="E2523" s="3">
        <f>IFERROR(VLOOKUP(B2523,'DA1'!$B$2:$D$999999,3,FALSE),"")</f>
      </c>
      <c r="F2523" s="1" t="str">
        <f>IFERROR(VLOOKUP(B2523,'SB1'!$A$2:$C$999999,3,FALSE),"")</f>
        <v>503</v>
      </c>
      <c r="G2523" s="3" t="e">
        <f t="shared" si="88"/>
        <v>#VALUE!</v>
      </c>
      <c r="H2523" s="3" t="e">
        <f t="shared" si="87"/>
        <v>#VALUE!</v>
      </c>
      <c r="I2523" s="1">
        <v>1</v>
      </c>
    </row>
    <row r="2524" spans="1:9" x14ac:dyDescent="0.25">
      <c r="A2524" s="1" t="s">
        <v>14435</v>
      </c>
      <c r="B2524" s="1" t="s">
        <v>7057</v>
      </c>
      <c r="C2524" s="1" t="str">
        <f>IFERROR(VLOOKUP(B2524,'SB1'!$A$2:$B$999999,2,FALSE),"")</f>
        <v>PANO DE MICROFIBRA PARA ABROJO ZEOCAR 3 (87)</v>
      </c>
      <c r="D2524" s="1" t="s">
        <v>14473</v>
      </c>
      <c r="E2524" s="3">
        <f>IFERROR(VLOOKUP(B2524,'DA1'!$B$2:$D$999999,3,FALSE),"")</f>
      </c>
      <c r="F2524" s="1" t="str">
        <f>IFERROR(VLOOKUP(B2524,'SB1'!$A$2:$C$999999,3,FALSE),"")</f>
        <v>503</v>
      </c>
      <c r="G2524" s="3" t="e">
        <f t="shared" si="88"/>
        <v>#VALUE!</v>
      </c>
      <c r="H2524" s="3" t="e">
        <f t="shared" si="87"/>
        <v>#VALUE!</v>
      </c>
      <c r="I2524" s="1">
        <v>1</v>
      </c>
    </row>
    <row r="2525" spans="1:9" x14ac:dyDescent="0.25">
      <c r="A2525" s="1" t="s">
        <v>14435</v>
      </c>
      <c r="B2525" s="1" t="s">
        <v>7061</v>
      </c>
      <c r="C2525" s="1" t="str">
        <f>IFERROR(VLOOKUP(B2525,'SB1'!$A$2:$B$999999,2,FALSE),"")</f>
        <v>PLATO SOPORTE 3 M14 ZEOCAR (112)</v>
      </c>
      <c r="D2525" s="1" t="s">
        <v>14473</v>
      </c>
      <c r="E2525" s="3">
        <f>IFERROR(VLOOKUP(B2525,'DA1'!$B$2:$D$999999,3,FALSE),"")</f>
      </c>
      <c r="F2525" s="1" t="str">
        <f>IFERROR(VLOOKUP(B2525,'SB1'!$A$2:$C$999999,3,FALSE),"")</f>
        <v>503</v>
      </c>
      <c r="G2525" s="3" t="e">
        <f t="shared" si="88"/>
        <v>#VALUE!</v>
      </c>
      <c r="H2525" s="3" t="e">
        <f t="shared" si="87"/>
        <v>#VALUE!</v>
      </c>
      <c r="I2525" s="1">
        <v>1</v>
      </c>
    </row>
    <row r="2526" spans="1:9" x14ac:dyDescent="0.25">
      <c r="A2526" s="1" t="s">
        <v>14435</v>
      </c>
      <c r="B2526" s="1" t="s">
        <v>7063</v>
      </c>
      <c r="C2526" s="1" t="str">
        <f>IFERROR(VLOOKUP(B2526,'SB1'!$A$2:$B$999999,2,FALSE),"")</f>
        <v>AEROSOL RUST-OLEUM MP MATE BLANCO X 0,340(272090)</v>
      </c>
      <c r="D2526" s="1" t="s">
        <v>14439</v>
      </c>
      <c r="E2526" s="3">
        <f>IFERROR(VLOOKUP(B2526,'DA1'!$B$2:$D$999999,3,FALSE),"")</f>
      </c>
      <c r="F2526" s="1" t="str">
        <f>IFERROR(VLOOKUP(B2526,'SB1'!$A$2:$C$999999,3,FALSE),"")</f>
        <v>503</v>
      </c>
      <c r="G2526" s="3" t="e">
        <f t="shared" si="88"/>
        <v>#VALUE!</v>
      </c>
      <c r="H2526" s="3" t="e">
        <f t="shared" ref="H2526:H2565" si="89">G2526*1.21</f>
        <v>#VALUE!</v>
      </c>
      <c r="I2526" s="1">
        <v>1</v>
      </c>
    </row>
    <row r="2527" spans="1:9" x14ac:dyDescent="0.25">
      <c r="A2527" s="1" t="s">
        <v>14435</v>
      </c>
      <c r="B2527" s="1" t="s">
        <v>7067</v>
      </c>
      <c r="C2527" s="1" t="str">
        <f>IFERROR(VLOOKUP(B2527,'SB1'!$A$2:$B$999999,2,FALSE),"")</f>
        <v>CR-315 VIOLETA REDUZIDO X 1</v>
      </c>
      <c r="D2527" s="1" t="s">
        <v>14454</v>
      </c>
      <c r="E2527" s="3">
        <f>IFERROR(VLOOKUP(B2527,'DA1'!$B$2:$D$999999,3,FALSE),"")</f>
      </c>
      <c r="F2527" s="1" t="str">
        <f>IFERROR(VLOOKUP(B2527,'SB1'!$A$2:$C$999999,3,FALSE),"")</f>
        <v>503</v>
      </c>
      <c r="G2527" s="3" t="e">
        <f t="shared" si="88"/>
        <v>#VALUE!</v>
      </c>
      <c r="H2527" s="3" t="e">
        <f t="shared" si="89"/>
        <v>#VALUE!</v>
      </c>
      <c r="I2527" s="1">
        <v>3</v>
      </c>
    </row>
    <row r="2528" spans="1:9" x14ac:dyDescent="0.25">
      <c r="A2528" s="1" t="s">
        <v>14435</v>
      </c>
      <c r="B2528" s="1" t="s">
        <v>7073</v>
      </c>
      <c r="C2528" s="1" t="str">
        <f>IFERROR(VLOOKUP(B2528,'SB1'!$A$2:$B$999999,2,FALSE),"")</f>
        <v>REVESTIMIENTO TEXTURADO ALBA PETREO A RODILLO CAMEL X  6</v>
      </c>
      <c r="D2528" s="1" t="s">
        <v>14439</v>
      </c>
      <c r="E2528" s="3">
        <f>IFERROR(VLOOKUP(B2528,'DA1'!$B$2:$D$999999,3,FALSE),"")</f>
      </c>
      <c r="F2528" s="1" t="str">
        <f>IFERROR(VLOOKUP(B2528,'SB1'!$A$2:$C$999999,3,FALSE),"")</f>
        <v>503</v>
      </c>
      <c r="G2528" s="3" t="e">
        <f t="shared" si="88"/>
        <v>#VALUE!</v>
      </c>
      <c r="H2528" s="3" t="e">
        <f t="shared" si="89"/>
        <v>#VALUE!</v>
      </c>
      <c r="I2528" s="1">
        <v>1</v>
      </c>
    </row>
    <row r="2529" spans="1:9" x14ac:dyDescent="0.25">
      <c r="A2529" s="1" t="s">
        <v>14435</v>
      </c>
      <c r="B2529" s="1" t="s">
        <v>7075</v>
      </c>
      <c r="C2529" s="1" t="str">
        <f>IFERROR(VLOOKUP(B2529,'SB1'!$A$2:$B$999999,2,FALSE),"")</f>
        <v>REVESTIMIENTO TEXTURADO ALBA PETREO A RODILLO CAMEL X 30</v>
      </c>
      <c r="D2529" s="1" t="s">
        <v>14439</v>
      </c>
      <c r="E2529" s="3">
        <f>IFERROR(VLOOKUP(B2529,'DA1'!$B$2:$D$999999,3,FALSE),"")</f>
      </c>
      <c r="F2529" s="1" t="str">
        <f>IFERROR(VLOOKUP(B2529,'SB1'!$A$2:$C$999999,3,FALSE),"")</f>
        <v>503</v>
      </c>
      <c r="G2529" s="3" t="e">
        <f t="shared" si="88"/>
        <v>#VALUE!</v>
      </c>
      <c r="H2529" s="3" t="e">
        <f t="shared" si="89"/>
        <v>#VALUE!</v>
      </c>
      <c r="I2529" s="1">
        <v>1</v>
      </c>
    </row>
    <row r="2530" spans="1:9" x14ac:dyDescent="0.25">
      <c r="A2530" s="1" t="s">
        <v>14435</v>
      </c>
      <c r="B2530" s="1" t="s">
        <v>7077</v>
      </c>
      <c r="C2530" s="1" t="str">
        <f>IFERROR(VLOOKUP(B2530,'SB1'!$A$2:$B$999999,2,FALSE),"")</f>
        <v>REVESTIMIENTO TEXTURADO ALBA PETREO A RODILLO DESIERTO X  6</v>
      </c>
      <c r="D2530" s="1" t="s">
        <v>14439</v>
      </c>
      <c r="E2530" s="3">
        <f>IFERROR(VLOOKUP(B2530,'DA1'!$B$2:$D$999999,3,FALSE),"")</f>
      </c>
      <c r="F2530" s="1" t="str">
        <f>IFERROR(VLOOKUP(B2530,'SB1'!$A$2:$C$999999,3,FALSE),"")</f>
        <v>503</v>
      </c>
      <c r="G2530" s="3" t="e">
        <f t="shared" si="88"/>
        <v>#VALUE!</v>
      </c>
      <c r="H2530" s="3" t="e">
        <f t="shared" si="89"/>
        <v>#VALUE!</v>
      </c>
      <c r="I2530" s="1">
        <v>1</v>
      </c>
    </row>
    <row r="2531" spans="1:9" x14ac:dyDescent="0.25">
      <c r="A2531" s="1" t="s">
        <v>14435</v>
      </c>
      <c r="B2531" s="1" t="s">
        <v>7079</v>
      </c>
      <c r="C2531" s="1" t="str">
        <f>IFERROR(VLOOKUP(B2531,'SB1'!$A$2:$B$999999,2,FALSE),"")</f>
        <v>REVESTIMIENTO TEXTURADO ALBA PETREO A RODILLO DESIERTO X 30</v>
      </c>
      <c r="D2531" s="1" t="s">
        <v>14439</v>
      </c>
      <c r="E2531" s="3">
        <f>IFERROR(VLOOKUP(B2531,'DA1'!$B$2:$D$999999,3,FALSE),"")</f>
      </c>
      <c r="F2531" s="1" t="str">
        <f>IFERROR(VLOOKUP(B2531,'SB1'!$A$2:$C$999999,3,FALSE),"")</f>
        <v>503</v>
      </c>
      <c r="G2531" s="3" t="e">
        <f t="shared" si="88"/>
        <v>#VALUE!</v>
      </c>
      <c r="H2531" s="3" t="e">
        <f t="shared" si="89"/>
        <v>#VALUE!</v>
      </c>
      <c r="I2531" s="1">
        <v>1</v>
      </c>
    </row>
    <row r="2532" spans="1:9" x14ac:dyDescent="0.25">
      <c r="A2532" s="1" t="s">
        <v>14435</v>
      </c>
      <c r="B2532" s="1" t="s">
        <v>7081</v>
      </c>
      <c r="C2532" s="1" t="str">
        <f>IFERROR(VLOOKUP(B2532,'SB1'!$A$2:$B$999999,2,FALSE),"")</f>
        <v>REVESTIMIENTO TEXTURADO ALBA PETREO A RODILLO TERRA CLARO X  6</v>
      </c>
      <c r="D2532" s="1" t="s">
        <v>14441</v>
      </c>
      <c r="E2532" s="3">
        <f>IFERROR(VLOOKUP(B2532,'DA1'!$B$2:$D$999999,3,FALSE),"")</f>
      </c>
      <c r="F2532" s="1" t="str">
        <f>IFERROR(VLOOKUP(B2532,'SB1'!$A$2:$C$999999,3,FALSE),"")</f>
        <v>503</v>
      </c>
      <c r="G2532" s="3" t="e">
        <f t="shared" si="88"/>
        <v>#VALUE!</v>
      </c>
      <c r="H2532" s="3" t="e">
        <f t="shared" si="89"/>
        <v>#VALUE!</v>
      </c>
      <c r="I2532" s="1">
        <v>1</v>
      </c>
    </row>
    <row r="2533" spans="1:9" x14ac:dyDescent="0.25">
      <c r="A2533" s="1" t="s">
        <v>14435</v>
      </c>
      <c r="B2533" s="1" t="s">
        <v>7083</v>
      </c>
      <c r="C2533" s="1" t="str">
        <f>IFERROR(VLOOKUP(B2533,'SB1'!$A$2:$B$999999,2,FALSE),"")</f>
        <v>REVESTIMIENTO TEXTURADO ALBA PETREO A RODILLO TERRA CLARO X 30</v>
      </c>
      <c r="D2533" s="1" t="s">
        <v>14439</v>
      </c>
      <c r="E2533" s="3">
        <f>IFERROR(VLOOKUP(B2533,'DA1'!$B$2:$D$999999,3,FALSE),"")</f>
      </c>
      <c r="F2533" s="1" t="str">
        <f>IFERROR(VLOOKUP(B2533,'SB1'!$A$2:$C$999999,3,FALSE),"")</f>
        <v>503</v>
      </c>
      <c r="G2533" s="3" t="e">
        <f t="shared" si="88"/>
        <v>#VALUE!</v>
      </c>
      <c r="H2533" s="3" t="e">
        <f t="shared" si="89"/>
        <v>#VALUE!</v>
      </c>
      <c r="I2533" s="1">
        <v>1</v>
      </c>
    </row>
    <row r="2534" spans="1:9" x14ac:dyDescent="0.25">
      <c r="A2534" s="1" t="s">
        <v>14435</v>
      </c>
      <c r="B2534" s="1" t="s">
        <v>7087</v>
      </c>
      <c r="C2534" s="1" t="str">
        <f>IFERROR(VLOOKUP(B2534,'SB1'!$A$2:$B$999999,2,FALSE),"")</f>
        <v>RODILLO ROSARPIN HILADO T40 PELO CORTO 10 CM</v>
      </c>
      <c r="D2534" s="1" t="s">
        <v>14460</v>
      </c>
      <c r="E2534" s="3">
        <f>IFERROR(VLOOKUP(B2534,'DA1'!$B$2:$D$999999,3,FALSE),"")</f>
      </c>
      <c r="F2534" s="1" t="str">
        <f>IFERROR(VLOOKUP(B2534,'SB1'!$A$2:$C$999999,3,FALSE),"")</f>
        <v>503</v>
      </c>
      <c r="G2534" s="3" t="e">
        <f t="shared" si="88"/>
        <v>#VALUE!</v>
      </c>
      <c r="H2534" s="3" t="e">
        <f t="shared" si="89"/>
        <v>#VALUE!</v>
      </c>
      <c r="I2534" s="1">
        <v>1</v>
      </c>
    </row>
    <row r="2535" spans="1:9" x14ac:dyDescent="0.25">
      <c r="A2535" s="1" t="s">
        <v>14435</v>
      </c>
      <c r="B2535" s="1" t="s">
        <v>7089</v>
      </c>
      <c r="C2535" s="1" t="str">
        <f>IFERROR(VLOOKUP(B2535,'SB1'!$A$2:$B$999999,2,FALSE),"")</f>
        <v>RODILLO ROSARPIN HILADO T40 PELO CORTO 18 CM</v>
      </c>
      <c r="D2535" s="1" t="s">
        <v>14460</v>
      </c>
      <c r="E2535" s="3">
        <f>IFERROR(VLOOKUP(B2535,'DA1'!$B$2:$D$999999,3,FALSE),"")</f>
      </c>
      <c r="F2535" s="1" t="str">
        <f>IFERROR(VLOOKUP(B2535,'SB1'!$A$2:$C$999999,3,FALSE),"")</f>
        <v>503</v>
      </c>
      <c r="G2535" s="3" t="e">
        <f t="shared" si="88"/>
        <v>#VALUE!</v>
      </c>
      <c r="H2535" s="3" t="e">
        <f t="shared" si="89"/>
        <v>#VALUE!</v>
      </c>
      <c r="I2535" s="1">
        <v>1</v>
      </c>
    </row>
    <row r="2536" spans="1:9" x14ac:dyDescent="0.25">
      <c r="A2536" s="1" t="s">
        <v>14435</v>
      </c>
      <c r="B2536" s="1" t="s">
        <v>7091</v>
      </c>
      <c r="C2536" s="1" t="str">
        <f>IFERROR(VLOOKUP(B2536,'SB1'!$A$2:$B$999999,2,FALSE),"")</f>
        <v>RODILLO ROSARPIN HILADO T40 PELO CORTO 22 CM</v>
      </c>
      <c r="D2536" s="1" t="s">
        <v>14460</v>
      </c>
      <c r="E2536" s="3">
        <f>IFERROR(VLOOKUP(B2536,'DA1'!$B$2:$D$999999,3,FALSE),"")</f>
      </c>
      <c r="F2536" s="1" t="str">
        <f>IFERROR(VLOOKUP(B2536,'SB1'!$A$2:$C$999999,3,FALSE),"")</f>
        <v>503</v>
      </c>
      <c r="G2536" s="3" t="e">
        <f t="shared" si="88"/>
        <v>#VALUE!</v>
      </c>
      <c r="H2536" s="3" t="e">
        <f t="shared" si="89"/>
        <v>#VALUE!</v>
      </c>
      <c r="I2536" s="1">
        <v>1</v>
      </c>
    </row>
    <row r="2537" spans="1:9" x14ac:dyDescent="0.25">
      <c r="A2537" s="1" t="s">
        <v>14435</v>
      </c>
      <c r="B2537" s="1" t="s">
        <v>7093</v>
      </c>
      <c r="C2537" s="1" t="str">
        <f>IFERROR(VLOOKUP(B2537,'SB1'!$A$2:$B$999999,2,FALSE),"")</f>
        <v>RODILLO ROSARPIN HILADO T50 EXTREMO 10 CM</v>
      </c>
      <c r="D2537" s="1" t="s">
        <v>14460</v>
      </c>
      <c r="E2537" s="3">
        <f>IFERROR(VLOOKUP(B2537,'DA1'!$B$2:$D$999999,3,FALSE),"")</f>
      </c>
      <c r="F2537" s="1" t="str">
        <f>IFERROR(VLOOKUP(B2537,'SB1'!$A$2:$C$999999,3,FALSE),"")</f>
        <v>503</v>
      </c>
      <c r="G2537" s="3" t="e">
        <f t="shared" si="88"/>
        <v>#VALUE!</v>
      </c>
      <c r="H2537" s="3" t="e">
        <f t="shared" si="89"/>
        <v>#VALUE!</v>
      </c>
      <c r="I2537" s="1">
        <v>1</v>
      </c>
    </row>
    <row r="2538" spans="1:9" x14ac:dyDescent="0.25">
      <c r="A2538" s="1" t="s">
        <v>14435</v>
      </c>
      <c r="B2538" s="1" t="s">
        <v>7095</v>
      </c>
      <c r="C2538" s="1" t="str">
        <f>IFERROR(VLOOKUP(B2538,'SB1'!$A$2:$B$999999,2,FALSE),"")</f>
        <v>RODILLO ROSARPIN HILADO T50 EXTREMO 18 CM</v>
      </c>
      <c r="D2538" s="1" t="s">
        <v>14460</v>
      </c>
      <c r="E2538" s="3">
        <f>IFERROR(VLOOKUP(B2538,'DA1'!$B$2:$D$999999,3,FALSE),"")</f>
      </c>
      <c r="F2538" s="1" t="str">
        <f>IFERROR(VLOOKUP(B2538,'SB1'!$A$2:$C$999999,3,FALSE),"")</f>
        <v>503</v>
      </c>
      <c r="G2538" s="3" t="e">
        <f t="shared" si="88"/>
        <v>#VALUE!</v>
      </c>
      <c r="H2538" s="3" t="e">
        <f t="shared" si="89"/>
        <v>#VALUE!</v>
      </c>
      <c r="I2538" s="1">
        <v>1</v>
      </c>
    </row>
    <row r="2539" spans="1:9" x14ac:dyDescent="0.25">
      <c r="A2539" s="1" t="s">
        <v>14435</v>
      </c>
      <c r="B2539" s="1" t="s">
        <v>7097</v>
      </c>
      <c r="C2539" s="1" t="str">
        <f>IFERROR(VLOOKUP(B2539,'SB1'!$A$2:$B$999999,2,FALSE),"")</f>
        <v>RODILLO ROSARPIN HILADO T50 EXTREMO 22 CM</v>
      </c>
      <c r="D2539" s="1" t="s">
        <v>14460</v>
      </c>
      <c r="E2539" s="3">
        <f>IFERROR(VLOOKUP(B2539,'DA1'!$B$2:$D$999999,3,FALSE),"")</f>
      </c>
      <c r="F2539" s="1" t="str">
        <f>IFERROR(VLOOKUP(B2539,'SB1'!$A$2:$C$999999,3,FALSE),"")</f>
        <v>503</v>
      </c>
      <c r="G2539" s="3" t="e">
        <f t="shared" si="88"/>
        <v>#VALUE!</v>
      </c>
      <c r="H2539" s="3" t="e">
        <f t="shared" si="89"/>
        <v>#VALUE!</v>
      </c>
      <c r="I2539" s="1">
        <v>1</v>
      </c>
    </row>
    <row r="2540" spans="1:9" x14ac:dyDescent="0.25">
      <c r="A2540" s="1" t="s">
        <v>14435</v>
      </c>
      <c r="B2540" s="1" t="s">
        <v>7099</v>
      </c>
      <c r="C2540" s="1" t="str">
        <f>IFERROR(VLOOKUP(B2540,'SB1'!$A$2:$B$999999,2,FALSE),"")</f>
        <v>RODILLO ROSARPIN HILADO T50 R.PREMIUM 18 CM</v>
      </c>
      <c r="D2540" s="1" t="s">
        <v>14460</v>
      </c>
      <c r="E2540" s="3">
        <f>IFERROR(VLOOKUP(B2540,'DA1'!$B$2:$D$999999,3,FALSE),"")</f>
      </c>
      <c r="F2540" s="1" t="str">
        <f>IFERROR(VLOOKUP(B2540,'SB1'!$A$2:$C$999999,3,FALSE),"")</f>
        <v>503</v>
      </c>
      <c r="G2540" s="3" t="e">
        <f t="shared" si="88"/>
        <v>#VALUE!</v>
      </c>
      <c r="H2540" s="3" t="e">
        <f t="shared" si="89"/>
        <v>#VALUE!</v>
      </c>
      <c r="I2540" s="1">
        <v>1</v>
      </c>
    </row>
    <row r="2541" spans="1:9" x14ac:dyDescent="0.25">
      <c r="A2541" s="1" t="s">
        <v>14435</v>
      </c>
      <c r="B2541" s="1" t="s">
        <v>7101</v>
      </c>
      <c r="C2541" s="1" t="str">
        <f>IFERROR(VLOOKUP(B2541,'SB1'!$A$2:$B$999999,2,FALSE),"")</f>
        <v>RODILLO ROSARPIN HILADO T50 R.PREMIUM 22 CM</v>
      </c>
      <c r="D2541" s="1" t="s">
        <v>14460</v>
      </c>
      <c r="E2541" s="3">
        <f>IFERROR(VLOOKUP(B2541,'DA1'!$B$2:$D$999999,3,FALSE),"")</f>
      </c>
      <c r="F2541" s="1" t="str">
        <f>IFERROR(VLOOKUP(B2541,'SB1'!$A$2:$C$999999,3,FALSE),"")</f>
        <v>503</v>
      </c>
      <c r="G2541" s="3" t="e">
        <f t="shared" si="88"/>
        <v>#VALUE!</v>
      </c>
      <c r="H2541" s="3" t="e">
        <f t="shared" si="89"/>
        <v>#VALUE!</v>
      </c>
      <c r="I2541" s="1">
        <v>1</v>
      </c>
    </row>
    <row r="2542" spans="1:9" x14ac:dyDescent="0.25">
      <c r="A2542" s="1" t="s">
        <v>14435</v>
      </c>
      <c r="B2542" s="1" t="s">
        <v>7121</v>
      </c>
      <c r="C2542" s="1" t="str">
        <f>IFERROR(VLOOKUP(B2542,'SB1'!$A$2:$B$999999,2,FALSE),"")</f>
        <v>CR-332 AMARELO REDUZIDO X 1</v>
      </c>
      <c r="D2542" s="1" t="s">
        <v>14454</v>
      </c>
      <c r="E2542" s="3">
        <f>IFERROR(VLOOKUP(B2542,'DA1'!$B$2:$D$999999,3,FALSE),"")</f>
      </c>
      <c r="F2542" s="1" t="str">
        <f>IFERROR(VLOOKUP(B2542,'SB1'!$A$2:$C$999999,3,FALSE),"")</f>
        <v>503</v>
      </c>
      <c r="G2542" s="3" t="e">
        <f t="shared" si="88"/>
        <v>#VALUE!</v>
      </c>
      <c r="H2542" s="3" t="e">
        <f t="shared" si="89"/>
        <v>#VALUE!</v>
      </c>
      <c r="I2542" s="1">
        <v>3</v>
      </c>
    </row>
    <row r="2543" spans="1:9" x14ac:dyDescent="0.25">
      <c r="A2543" s="1" t="s">
        <v>14435</v>
      </c>
      <c r="B2543" s="1" t="s">
        <v>7175</v>
      </c>
      <c r="C2543" s="1" t="str">
        <f>IFERROR(VLOOKUP(B2543,'SB1'!$A$2:$B$999999,2,FALSE),"")</f>
        <v>REVESTIMIENTO TEXTURADO ALBA TRAVERTINO FINO BASE INTENSO X  6</v>
      </c>
      <c r="D2543" s="1" t="s">
        <v>14441</v>
      </c>
      <c r="E2543" s="3">
        <f>IFERROR(VLOOKUP(B2543,'DA1'!$B$2:$D$999999,3,FALSE),"")</f>
      </c>
      <c r="F2543" s="1" t="str">
        <f>IFERROR(VLOOKUP(B2543,'SB1'!$A$2:$C$999999,3,FALSE),"")</f>
        <v>503</v>
      </c>
      <c r="G2543" s="3" t="e">
        <f t="shared" si="88"/>
        <v>#VALUE!</v>
      </c>
      <c r="H2543" s="3" t="e">
        <f t="shared" si="89"/>
        <v>#VALUE!</v>
      </c>
      <c r="I2543" s="1">
        <v>1</v>
      </c>
    </row>
    <row r="2544" spans="1:9" x14ac:dyDescent="0.25">
      <c r="A2544" s="1" t="s">
        <v>14435</v>
      </c>
      <c r="B2544" s="1" t="s">
        <v>7177</v>
      </c>
      <c r="C2544" s="1" t="str">
        <f>IFERROR(VLOOKUP(B2544,'SB1'!$A$2:$B$999999,2,FALSE),"")</f>
        <v>REVESTIMIENTO TEXTURADO ALBA TRAVERTINO FINO BASE INTENSO X 25</v>
      </c>
      <c r="D2544" s="1" t="s">
        <v>14441</v>
      </c>
      <c r="E2544" s="3">
        <f>IFERROR(VLOOKUP(B2544,'DA1'!$B$2:$D$999999,3,FALSE),"")</f>
      </c>
      <c r="F2544" s="1" t="str">
        <f>IFERROR(VLOOKUP(B2544,'SB1'!$A$2:$C$999999,3,FALSE),"")</f>
        <v>503</v>
      </c>
      <c r="G2544" s="3" t="e">
        <f t="shared" si="88"/>
        <v>#VALUE!</v>
      </c>
      <c r="H2544" s="3" t="e">
        <f t="shared" si="89"/>
        <v>#VALUE!</v>
      </c>
      <c r="I2544" s="1">
        <v>1</v>
      </c>
    </row>
    <row r="2545" spans="1:9" x14ac:dyDescent="0.25">
      <c r="A2545" s="1" t="s">
        <v>14435</v>
      </c>
      <c r="B2545" s="1" t="s">
        <v>7179</v>
      </c>
      <c r="C2545" s="1" t="str">
        <f>IFERROR(VLOOKUP(B2545,'SB1'!$A$2:$B$999999,2,FALSE),"")</f>
        <v>REVESTIMIENTO TEXTURADO ALBA TRAVERTINO FINO BLANCO X  6</v>
      </c>
      <c r="D2545" s="1" t="s">
        <v>14441</v>
      </c>
      <c r="E2545" s="3">
        <f>IFERROR(VLOOKUP(B2545,'DA1'!$B$2:$D$999999,3,FALSE),"")</f>
      </c>
      <c r="F2545" s="1" t="str">
        <f>IFERROR(VLOOKUP(B2545,'SB1'!$A$2:$C$999999,3,FALSE),"")</f>
        <v>503</v>
      </c>
      <c r="G2545" s="3" t="e">
        <f t="shared" si="88"/>
        <v>#VALUE!</v>
      </c>
      <c r="H2545" s="3" t="e">
        <f t="shared" si="89"/>
        <v>#VALUE!</v>
      </c>
      <c r="I2545" s="1">
        <v>1</v>
      </c>
    </row>
    <row r="2546" spans="1:9" x14ac:dyDescent="0.25">
      <c r="A2546" s="1" t="s">
        <v>14435</v>
      </c>
      <c r="B2546" s="1" t="s">
        <v>7181</v>
      </c>
      <c r="C2546" s="1" t="str">
        <f>IFERROR(VLOOKUP(B2546,'SB1'!$A$2:$B$999999,2,FALSE),"")</f>
        <v>REVESTIMIENTO TEXTURADO ALBA TRAVERTINO FINO BLANCO X 25</v>
      </c>
      <c r="D2546" s="1" t="s">
        <v>14441</v>
      </c>
      <c r="E2546" s="3">
        <f>IFERROR(VLOOKUP(B2546,'DA1'!$B$2:$D$999999,3,FALSE),"")</f>
      </c>
      <c r="F2546" s="1" t="str">
        <f>IFERROR(VLOOKUP(B2546,'SB1'!$A$2:$C$999999,3,FALSE),"")</f>
        <v>503</v>
      </c>
      <c r="G2546" s="3" t="e">
        <f t="shared" si="88"/>
        <v>#VALUE!</v>
      </c>
      <c r="H2546" s="3" t="e">
        <f t="shared" si="89"/>
        <v>#VALUE!</v>
      </c>
      <c r="I2546" s="1">
        <v>1</v>
      </c>
    </row>
    <row r="2547" spans="1:9" x14ac:dyDescent="0.25">
      <c r="A2547" s="1" t="s">
        <v>14435</v>
      </c>
      <c r="B2547" s="1" t="s">
        <v>7185</v>
      </c>
      <c r="C2547" s="1" t="str">
        <f>IFERROR(VLOOKUP(B2547,'SB1'!$A$2:$B$999999,2,FALSE),"")</f>
        <v>REVESTIMIENTO TEXTURADO ALBA PETREO NATURAL CLEAR X  6</v>
      </c>
      <c r="D2547" s="1" t="s">
        <v>14441</v>
      </c>
      <c r="E2547" s="3">
        <f>IFERROR(VLOOKUP(B2547,'DA1'!$B$2:$D$999999,3,FALSE),"")</f>
      </c>
      <c r="F2547" s="1" t="str">
        <f>IFERROR(VLOOKUP(B2547,'SB1'!$A$2:$C$999999,3,FALSE),"")</f>
        <v>503</v>
      </c>
      <c r="G2547" s="3" t="e">
        <f t="shared" si="88"/>
        <v>#VALUE!</v>
      </c>
      <c r="H2547" s="3" t="e">
        <f t="shared" si="89"/>
        <v>#VALUE!</v>
      </c>
      <c r="I2547" s="1">
        <v>1</v>
      </c>
    </row>
    <row r="2548" spans="1:9" x14ac:dyDescent="0.25">
      <c r="A2548" s="1" t="s">
        <v>14435</v>
      </c>
      <c r="B2548" s="1" t="s">
        <v>7187</v>
      </c>
      <c r="C2548" s="1" t="str">
        <f>IFERROR(VLOOKUP(B2548,'SB1'!$A$2:$B$999999,2,FALSE),"")</f>
        <v>REVESTIMIENTO TEXTURADO ALBA PETREO NATURAL CLEAR X 30</v>
      </c>
      <c r="D2548" s="1" t="s">
        <v>14441</v>
      </c>
      <c r="E2548" s="3">
        <f>IFERROR(VLOOKUP(B2548,'DA1'!$B$2:$D$999999,3,FALSE),"")</f>
      </c>
      <c r="F2548" s="1" t="str">
        <f>IFERROR(VLOOKUP(B2548,'SB1'!$A$2:$C$999999,3,FALSE),"")</f>
        <v>503</v>
      </c>
      <c r="G2548" s="3" t="e">
        <f t="shared" si="88"/>
        <v>#VALUE!</v>
      </c>
      <c r="H2548" s="3" t="e">
        <f t="shared" si="89"/>
        <v>#VALUE!</v>
      </c>
      <c r="I2548" s="1">
        <v>1</v>
      </c>
    </row>
    <row r="2549" spans="1:9" x14ac:dyDescent="0.25">
      <c r="A2549" s="1" t="s">
        <v>14435</v>
      </c>
      <c r="B2549" s="1" t="s">
        <v>7189</v>
      </c>
      <c r="C2549" s="1" t="str">
        <f>IFERROR(VLOOKUP(B2549,'SB1'!$A$2:$B$999999,2,FALSE),"")</f>
        <v>REVESTIMIENTO TEXTURADO ALBA PETREO NATURAL GRAY X  6</v>
      </c>
      <c r="D2549" s="1" t="s">
        <v>14441</v>
      </c>
      <c r="E2549" s="3">
        <f>IFERROR(VLOOKUP(B2549,'DA1'!$B$2:$D$999999,3,FALSE),"")</f>
      </c>
      <c r="F2549" s="1" t="str">
        <f>IFERROR(VLOOKUP(B2549,'SB1'!$A$2:$C$999999,3,FALSE),"")</f>
        <v>503</v>
      </c>
      <c r="G2549" s="3" t="e">
        <f t="shared" si="88"/>
        <v>#VALUE!</v>
      </c>
      <c r="H2549" s="3" t="e">
        <f t="shared" si="89"/>
        <v>#VALUE!</v>
      </c>
      <c r="I2549" s="1">
        <v>1</v>
      </c>
    </row>
    <row r="2550" spans="1:9" x14ac:dyDescent="0.25">
      <c r="A2550" s="1" t="s">
        <v>14435</v>
      </c>
      <c r="B2550" s="1" t="s">
        <v>7191</v>
      </c>
      <c r="C2550" s="1" t="str">
        <f>IFERROR(VLOOKUP(B2550,'SB1'!$A$2:$B$999999,2,FALSE),"")</f>
        <v>REVESTIMIENTO TEXTURADO ALBA PETREO NATURAL GRAY X 30</v>
      </c>
      <c r="D2550" s="1" t="s">
        <v>14441</v>
      </c>
      <c r="E2550" s="3">
        <f>IFERROR(VLOOKUP(B2550,'DA1'!$B$2:$D$999999,3,FALSE),"")</f>
      </c>
      <c r="F2550" s="1" t="str">
        <f>IFERROR(VLOOKUP(B2550,'SB1'!$A$2:$C$999999,3,FALSE),"")</f>
        <v>503</v>
      </c>
      <c r="G2550" s="3" t="e">
        <f t="shared" si="88"/>
        <v>#VALUE!</v>
      </c>
      <c r="H2550" s="3" t="e">
        <f t="shared" si="89"/>
        <v>#VALUE!</v>
      </c>
      <c r="I2550" s="1">
        <v>1</v>
      </c>
    </row>
    <row r="2551" spans="1:9" x14ac:dyDescent="0.25">
      <c r="A2551" s="1" t="s">
        <v>14435</v>
      </c>
      <c r="B2551" s="1" t="s">
        <v>7193</v>
      </c>
      <c r="C2551" s="1" t="str">
        <f>IFERROR(VLOOKUP(B2551,'SB1'!$A$2:$B$999999,2,FALSE),"")</f>
        <v>REVESTIMIENTO TEXTURADO ALBA PETREO NATURAL PARIS X  6</v>
      </c>
      <c r="D2551" s="1" t="s">
        <v>14441</v>
      </c>
      <c r="E2551" s="3">
        <f>IFERROR(VLOOKUP(B2551,'DA1'!$B$2:$D$999999,3,FALSE),"")</f>
      </c>
      <c r="F2551" s="1" t="str">
        <f>IFERROR(VLOOKUP(B2551,'SB1'!$A$2:$C$999999,3,FALSE),"")</f>
        <v>503</v>
      </c>
      <c r="G2551" s="3" t="e">
        <f t="shared" si="88"/>
        <v>#VALUE!</v>
      </c>
      <c r="H2551" s="3" t="e">
        <f t="shared" si="89"/>
        <v>#VALUE!</v>
      </c>
      <c r="I2551" s="1">
        <v>1</v>
      </c>
    </row>
    <row r="2552" spans="1:9" x14ac:dyDescent="0.25">
      <c r="A2552" s="1" t="s">
        <v>14435</v>
      </c>
      <c r="B2552" s="1" t="s">
        <v>7195</v>
      </c>
      <c r="C2552" s="1" t="str">
        <f>IFERROR(VLOOKUP(B2552,'SB1'!$A$2:$B$999999,2,FALSE),"")</f>
        <v>REVESTIMIENTO TEXTURADO ALBA PETREO NATURAL PARIS X 30</v>
      </c>
      <c r="D2552" s="1" t="s">
        <v>14441</v>
      </c>
      <c r="E2552" s="3">
        <f>IFERROR(VLOOKUP(B2552,'DA1'!$B$2:$D$999999,3,FALSE),"")</f>
      </c>
      <c r="F2552" s="1" t="str">
        <f>IFERROR(VLOOKUP(B2552,'SB1'!$A$2:$C$999999,3,FALSE),"")</f>
        <v>503</v>
      </c>
      <c r="G2552" s="3" t="e">
        <f t="shared" si="88"/>
        <v>#VALUE!</v>
      </c>
      <c r="H2552" s="3" t="e">
        <f t="shared" si="89"/>
        <v>#VALUE!</v>
      </c>
      <c r="I2552" s="1">
        <v>1</v>
      </c>
    </row>
    <row r="2553" spans="1:9" x14ac:dyDescent="0.25">
      <c r="A2553" s="1" t="s">
        <v>14435</v>
      </c>
      <c r="B2553" s="1" t="s">
        <v>7197</v>
      </c>
      <c r="C2553" s="1" t="str">
        <f>IFERROR(VLOOKUP(B2553,'SB1'!$A$2:$B$999999,2,FALSE),"")</f>
        <v>REVESTIMIENTO TEXTURADO ALBA PETREO NATURAL SILICA X  6</v>
      </c>
      <c r="D2553" s="1" t="s">
        <v>14441</v>
      </c>
      <c r="E2553" s="3">
        <f>IFERROR(VLOOKUP(B2553,'DA1'!$B$2:$D$999999,3,FALSE),"")</f>
      </c>
      <c r="F2553" s="1" t="str">
        <f>IFERROR(VLOOKUP(B2553,'SB1'!$A$2:$C$999999,3,FALSE),"")</f>
        <v>503</v>
      </c>
      <c r="G2553" s="3" t="e">
        <f t="shared" si="88"/>
        <v>#VALUE!</v>
      </c>
      <c r="H2553" s="3" t="e">
        <f t="shared" si="89"/>
        <v>#VALUE!</v>
      </c>
      <c r="I2553" s="1">
        <v>1</v>
      </c>
    </row>
    <row r="2554" spans="1:9" x14ac:dyDescent="0.25">
      <c r="A2554" s="1" t="s">
        <v>14435</v>
      </c>
      <c r="B2554" s="1" t="s">
        <v>7199</v>
      </c>
      <c r="C2554" s="1" t="str">
        <f>IFERROR(VLOOKUP(B2554,'SB1'!$A$2:$B$999999,2,FALSE),"")</f>
        <v>REVESTIMIENTO TEXTURADO ALBA PETREO NATURAL SILICA X 30</v>
      </c>
      <c r="D2554" s="1" t="s">
        <v>14441</v>
      </c>
      <c r="E2554" s="3">
        <f>IFERROR(VLOOKUP(B2554,'DA1'!$B$2:$D$999999,3,FALSE),"")</f>
      </c>
      <c r="F2554" s="1" t="str">
        <f>IFERROR(VLOOKUP(B2554,'SB1'!$A$2:$C$999999,3,FALSE),"")</f>
        <v>503</v>
      </c>
      <c r="G2554" s="3" t="e">
        <f t="shared" si="88"/>
        <v>#VALUE!</v>
      </c>
      <c r="H2554" s="3" t="e">
        <f t="shared" si="89"/>
        <v>#VALUE!</v>
      </c>
      <c r="I2554" s="1">
        <v>1</v>
      </c>
    </row>
    <row r="2555" spans="1:9" x14ac:dyDescent="0.25">
      <c r="A2555" s="1" t="s">
        <v>14435</v>
      </c>
      <c r="B2555" s="1" t="s">
        <v>7203</v>
      </c>
      <c r="C2555" s="1" t="str">
        <f>IFERROR(VLOOKUP(B2555,'SB1'!$A$2:$B$999999,2,FALSE),"")</f>
        <v>CINTA ANTIDESLIZANTE RAPIFIX (2200) 50MM X 5MTS</v>
      </c>
      <c r="D2555" s="1" t="s">
        <v>14486</v>
      </c>
      <c r="E2555" s="3">
        <f>IFERROR(VLOOKUP(B2555,'DA1'!$B$2:$D$999999,3,FALSE),"")</f>
      </c>
      <c r="F2555" s="1" t="str">
        <f>IFERROR(VLOOKUP(B2555,'SB1'!$A$2:$C$999999,3,FALSE),"")</f>
        <v>503</v>
      </c>
      <c r="G2555" s="3" t="e">
        <f t="shared" si="88"/>
        <v>#VALUE!</v>
      </c>
      <c r="H2555" s="3" t="e">
        <f t="shared" si="89"/>
        <v>#VALUE!</v>
      </c>
      <c r="I2555" s="1">
        <v>2</v>
      </c>
    </row>
    <row r="2556" spans="1:9" x14ac:dyDescent="0.25">
      <c r="A2556" s="1" t="s">
        <v>14435</v>
      </c>
      <c r="B2556" s="1" t="s">
        <v>7205</v>
      </c>
      <c r="C2556" s="1" t="str">
        <f>IFERROR(VLOOKUP(B2556,'SB1'!$A$2:$B$999999,2,FALSE),"")</f>
        <v>ZAPATOS DE PUAS METALICAS</v>
      </c>
      <c r="D2556" s="1" t="s">
        <v>14460</v>
      </c>
      <c r="E2556" s="3">
        <f>IFERROR(VLOOKUP(B2556,'DA1'!$B$2:$D$999999,3,FALSE),"")</f>
      </c>
      <c r="F2556" s="1" t="str">
        <f>IFERROR(VLOOKUP(B2556,'SB1'!$A$2:$C$999999,3,FALSE),"")</f>
        <v>503</v>
      </c>
      <c r="G2556" s="3" t="e">
        <f t="shared" si="88"/>
        <v>#VALUE!</v>
      </c>
      <c r="H2556" s="3" t="e">
        <f t="shared" si="89"/>
        <v>#VALUE!</v>
      </c>
      <c r="I2556" s="1">
        <v>1</v>
      </c>
    </row>
    <row r="2557" spans="1:9" x14ac:dyDescent="0.25">
      <c r="A2557" s="1" t="s">
        <v>14435</v>
      </c>
      <c r="B2557" s="1" t="s">
        <v>7209</v>
      </c>
      <c r="C2557" s="1" t="str">
        <f>IFERROR(VLOOKUP(B2557,'SB1'!$A$2:$B$999999,2,FALSE),"")</f>
        <v>REVESTIMIENTO TEXTURADO ALBA TRAVERTINO MEDIO BASE INTENSO X  6</v>
      </c>
      <c r="D2557" s="1" t="s">
        <v>14441</v>
      </c>
      <c r="E2557" s="3">
        <f>IFERROR(VLOOKUP(B2557,'DA1'!$B$2:$D$999999,3,FALSE),"")</f>
      </c>
      <c r="F2557" s="1" t="str">
        <f>IFERROR(VLOOKUP(B2557,'SB1'!$A$2:$C$999999,3,FALSE),"")</f>
        <v>503</v>
      </c>
      <c r="G2557" s="3" t="e">
        <f t="shared" si="88"/>
        <v>#VALUE!</v>
      </c>
      <c r="H2557" s="3" t="e">
        <f t="shared" si="89"/>
        <v>#VALUE!</v>
      </c>
      <c r="I2557" s="1">
        <v>1</v>
      </c>
    </row>
    <row r="2558" spans="1:9" x14ac:dyDescent="0.25">
      <c r="A2558" s="1" t="s">
        <v>14435</v>
      </c>
      <c r="B2558" s="1" t="s">
        <v>7211</v>
      </c>
      <c r="C2558" s="1" t="str">
        <f>IFERROR(VLOOKUP(B2558,'SB1'!$A$2:$B$999999,2,FALSE),"")</f>
        <v>REVESTIMIENTO TEXTURADO ALBA TRAVERTINO MEDIO BASE INTENSO X 25</v>
      </c>
      <c r="D2558" s="1" t="s">
        <v>14441</v>
      </c>
      <c r="E2558" s="3">
        <f>IFERROR(VLOOKUP(B2558,'DA1'!$B$2:$D$999999,3,FALSE),"")</f>
      </c>
      <c r="F2558" s="1" t="str">
        <f>IFERROR(VLOOKUP(B2558,'SB1'!$A$2:$C$999999,3,FALSE),"")</f>
        <v>503</v>
      </c>
      <c r="G2558" s="3" t="e">
        <f t="shared" si="88"/>
        <v>#VALUE!</v>
      </c>
      <c r="H2558" s="3" t="e">
        <f t="shared" si="89"/>
        <v>#VALUE!</v>
      </c>
      <c r="I2558" s="1">
        <v>1</v>
      </c>
    </row>
    <row r="2559" spans="1:9" x14ac:dyDescent="0.25">
      <c r="A2559" s="1" t="s">
        <v>14435</v>
      </c>
      <c r="B2559" s="1" t="s">
        <v>7213</v>
      </c>
      <c r="C2559" s="1" t="str">
        <f>IFERROR(VLOOKUP(B2559,'SB1'!$A$2:$B$999999,2,FALSE),"")</f>
        <v>REVESTIMIENTO TEXTURADO ALBA TRAVERTINO MEDIO BLANCO X  6</v>
      </c>
      <c r="D2559" s="1" t="s">
        <v>14441</v>
      </c>
      <c r="E2559" s="3">
        <f>IFERROR(VLOOKUP(B2559,'DA1'!$B$2:$D$999999,3,FALSE),"")</f>
      </c>
      <c r="F2559" s="1" t="str">
        <f>IFERROR(VLOOKUP(B2559,'SB1'!$A$2:$C$999999,3,FALSE),"")</f>
        <v>503</v>
      </c>
      <c r="G2559" s="3" t="e">
        <f t="shared" si="88"/>
        <v>#VALUE!</v>
      </c>
      <c r="H2559" s="3" t="e">
        <f t="shared" si="89"/>
        <v>#VALUE!</v>
      </c>
      <c r="I2559" s="1">
        <v>1</v>
      </c>
    </row>
    <row r="2560" spans="1:9" x14ac:dyDescent="0.25">
      <c r="A2560" s="1" t="s">
        <v>14435</v>
      </c>
      <c r="B2560" s="1" t="s">
        <v>7215</v>
      </c>
      <c r="C2560" s="1" t="str">
        <f>IFERROR(VLOOKUP(B2560,'SB1'!$A$2:$B$999999,2,FALSE),"")</f>
        <v>REVESTIMIENTO TEXTURADO ALBA TRAVERTINO MEDIO BLANCO X 25</v>
      </c>
      <c r="D2560" s="1" t="s">
        <v>14441</v>
      </c>
      <c r="E2560" s="3">
        <f>IFERROR(VLOOKUP(B2560,'DA1'!$B$2:$D$999999,3,FALSE),"")</f>
      </c>
      <c r="F2560" s="1" t="str">
        <f>IFERROR(VLOOKUP(B2560,'SB1'!$A$2:$C$999999,3,FALSE),"")</f>
        <v>503</v>
      </c>
      <c r="G2560" s="3" t="e">
        <f t="shared" si="88"/>
        <v>#VALUE!</v>
      </c>
      <c r="H2560" s="3" t="e">
        <f t="shared" si="89"/>
        <v>#VALUE!</v>
      </c>
      <c r="I2560" s="1">
        <v>1</v>
      </c>
    </row>
    <row r="2561" spans="1:9" x14ac:dyDescent="0.25">
      <c r="A2561" s="1" t="s">
        <v>14435</v>
      </c>
      <c r="B2561" s="1" t="s">
        <v>7237</v>
      </c>
      <c r="C2561" s="1" t="str">
        <f>IFERROR(VLOOKUP(B2561,'SB1'!$A$2:$B$999999,2,FALSE),"")</f>
        <v>THINNER DIXILINA STANDARD X 18</v>
      </c>
      <c r="D2561" s="1" t="s">
        <v>14477</v>
      </c>
      <c r="E2561" s="3">
        <f>IFERROR(VLOOKUP(B2561,'DA1'!$B$2:$D$999999,3,FALSE),"")</f>
      </c>
      <c r="F2561" s="1" t="str">
        <f>IFERROR(VLOOKUP(B2561,'SB1'!$A$2:$C$999999,3,FALSE),"")</f>
        <v>503</v>
      </c>
      <c r="G2561" s="3" t="e">
        <f t="shared" si="88"/>
        <v>#VALUE!</v>
      </c>
      <c r="H2561" s="3" t="e">
        <f t="shared" si="89"/>
        <v>#VALUE!</v>
      </c>
      <c r="I2561" s="1">
        <v>1</v>
      </c>
    </row>
    <row r="2562" spans="1:9" x14ac:dyDescent="0.25">
      <c r="A2562" s="1" t="s">
        <v>14435</v>
      </c>
      <c r="B2562" s="1" t="s">
        <v>7239</v>
      </c>
      <c r="C2562" s="1" t="str">
        <f>IFERROR(VLOOKUP(B2562,'SB1'!$A$2:$B$999999,2,FALSE),"")</f>
        <v>THINNER DIXILINA STANDARD X 200</v>
      </c>
      <c r="D2562" s="1" t="s">
        <v>14477</v>
      </c>
      <c r="E2562" s="3">
        <f>IFERROR(VLOOKUP(B2562,'DA1'!$B$2:$D$999999,3,FALSE),"")</f>
      </c>
      <c r="F2562" s="1" t="str">
        <f>IFERROR(VLOOKUP(B2562,'SB1'!$A$2:$C$999999,3,FALSE),"")</f>
        <v>503</v>
      </c>
      <c r="G2562" s="3" t="e">
        <f t="shared" si="88"/>
        <v>#VALUE!</v>
      </c>
      <c r="H2562" s="3" t="e">
        <f t="shared" si="89"/>
        <v>#VALUE!</v>
      </c>
      <c r="I2562" s="1">
        <v>1</v>
      </c>
    </row>
    <row r="2563" spans="1:9" x14ac:dyDescent="0.25">
      <c r="A2563" s="1" t="s">
        <v>14435</v>
      </c>
      <c r="B2563" s="1" t="s">
        <v>7253</v>
      </c>
      <c r="C2563" s="1" t="str">
        <f>IFERROR(VLOOKUP(B2563,'SB1'!$A$2:$B$999999,2,FALSE),"")</f>
        <v>FILM PARA ENMASCASCARAR 19MM X 180CM X 22,5</v>
      </c>
      <c r="D2563" s="1" t="s">
        <v>14436</v>
      </c>
      <c r="E2563" s="3">
        <f>IFERROR(VLOOKUP(B2563,'DA1'!$B$2:$D$999999,3,FALSE),"")</f>
      </c>
      <c r="F2563" s="1" t="str">
        <f>IFERROR(VLOOKUP(B2563,'SB1'!$A$2:$C$999999,3,FALSE),"")</f>
        <v>503</v>
      </c>
      <c r="G2563" s="3" t="e">
        <f t="shared" ref="G2563:G2626" si="90">E2563*1.04</f>
        <v>#VALUE!</v>
      </c>
      <c r="H2563" s="3" t="e">
        <f t="shared" si="89"/>
        <v>#VALUE!</v>
      </c>
      <c r="I2563" s="1">
        <v>1</v>
      </c>
    </row>
    <row r="2564" spans="1:9" x14ac:dyDescent="0.25">
      <c r="A2564" s="1" t="s">
        <v>14435</v>
      </c>
      <c r="B2564" s="1" t="s">
        <v>7255</v>
      </c>
      <c r="C2564" s="1" t="str">
        <f>IFERROR(VLOOKUP(B2564,'SB1'!$A$2:$B$999999,2,FALSE),"")</f>
        <v>FILM PARA ENMASCASCARAR 25MM X 260CM X 22,5</v>
      </c>
      <c r="D2564" s="1" t="s">
        <v>14481</v>
      </c>
      <c r="E2564" s="3">
        <f>IFERROR(VLOOKUP(B2564,'DA1'!$B$2:$D$999999,3,FALSE),"")</f>
      </c>
      <c r="F2564" s="1" t="str">
        <f>IFERROR(VLOOKUP(B2564,'SB1'!$A$2:$C$999999,3,FALSE),"")</f>
        <v>503</v>
      </c>
      <c r="G2564" s="3" t="e">
        <f t="shared" si="90"/>
        <v>#VALUE!</v>
      </c>
      <c r="H2564" s="3" t="e">
        <f t="shared" si="89"/>
        <v>#VALUE!</v>
      </c>
      <c r="I2564" s="1">
        <v>1</v>
      </c>
    </row>
    <row r="2565" spans="1:9" x14ac:dyDescent="0.25">
      <c r="A2565" s="1" t="s">
        <v>14435</v>
      </c>
      <c r="B2565" s="1" t="s">
        <v>7257</v>
      </c>
      <c r="C2565" s="1" t="str">
        <f>IFERROR(VLOOKUP(B2565,'SB1'!$A$2:$B$999999,2,FALSE),"")</f>
        <v>FILM PARA ENMASCASCARAR 25MM X 360CM X 22,5</v>
      </c>
      <c r="D2565" s="1" t="s">
        <v>14481</v>
      </c>
      <c r="E2565" s="3">
        <f>IFERROR(VLOOKUP(B2565,'DA1'!$B$2:$D$999999,3,FALSE),"")</f>
      </c>
      <c r="F2565" s="1" t="str">
        <f>IFERROR(VLOOKUP(B2565,'SB1'!$A$2:$C$999999,3,FALSE),"")</f>
        <v>503</v>
      </c>
      <c r="G2565" s="3" t="e">
        <f t="shared" si="90"/>
        <v>#VALUE!</v>
      </c>
      <c r="H2565" s="3" t="e">
        <f t="shared" si="89"/>
        <v>#VALUE!</v>
      </c>
      <c r="I2565" s="1">
        <v>1</v>
      </c>
    </row>
    <row r="2566" spans="1:9" x14ac:dyDescent="0.25">
      <c r="A2566" s="1" t="s">
        <v>14435</v>
      </c>
      <c r="B2566" s="1" t="s">
        <v>7297</v>
      </c>
      <c r="C2566" s="1" t="str">
        <f>IFERROR(VLOOKUP(B2566,'SB1'!$A$2:$B$999999,2,FALSE),"")</f>
        <v>EQUIPO PARA PINTAR ADIABATIC EC.2000 - P.GRAVEDAD</v>
      </c>
      <c r="D2566" s="1" t="s">
        <v>14496</v>
      </c>
      <c r="E2566" s="3">
        <f>IFERROR(VLOOKUP(B2566,'DA1'!$B$2:$D$999999,3,FALSE),"")</f>
      </c>
      <c r="F2566" s="1" t="str">
        <f>IFERROR(VLOOKUP(B2566,'SB1'!$A$2:$C$999999,3,FALSE),"")</f>
        <v>501</v>
      </c>
      <c r="G2566" s="3" t="e">
        <f t="shared" si="90"/>
        <v>#VALUE!</v>
      </c>
      <c r="H2566" s="3" t="e">
        <f t="shared" ref="H2566:H2567" si="91">G2566*1.105</f>
        <v>#VALUE!</v>
      </c>
      <c r="I2566" s="1">
        <v>1</v>
      </c>
    </row>
    <row r="2567" spans="1:9" x14ac:dyDescent="0.25">
      <c r="A2567" s="1" t="s">
        <v>14435</v>
      </c>
      <c r="B2567" s="1" t="s">
        <v>7299</v>
      </c>
      <c r="C2567" s="1" t="str">
        <f>IFERROR(VLOOKUP(B2567,'SB1'!$A$2:$B$999999,2,FALSE),"")</f>
        <v>EQUIPO PARA PINTAR ADIABATIC EC.3000 - P.GRAVEDAD</v>
      </c>
      <c r="D2567" s="1" t="s">
        <v>14496</v>
      </c>
      <c r="E2567" s="3">
        <f>IFERROR(VLOOKUP(B2567,'DA1'!$B$2:$D$999999,3,FALSE),"")</f>
      </c>
      <c r="F2567" s="1" t="str">
        <f>IFERROR(VLOOKUP(B2567,'SB1'!$A$2:$C$999999,3,FALSE),"")</f>
        <v>501</v>
      </c>
      <c r="G2567" s="3" t="e">
        <f t="shared" si="90"/>
        <v>#VALUE!</v>
      </c>
      <c r="H2567" s="3" t="e">
        <f t="shared" si="91"/>
        <v>#VALUE!</v>
      </c>
      <c r="I2567" s="1">
        <v>1</v>
      </c>
    </row>
    <row r="2568" spans="1:9" x14ac:dyDescent="0.25">
      <c r="A2568" s="1" t="s">
        <v>14435</v>
      </c>
      <c r="B2568" s="1" t="s">
        <v>7373</v>
      </c>
      <c r="C2568" s="1" t="str">
        <f>IFERROR(VLOOKUP(B2568,'SB1'!$A$2:$B$999999,2,FALSE),"")</f>
        <v>PARCHE PLASTICO ZEOCAR X 0,190 (17)</v>
      </c>
      <c r="D2568" s="1" t="s">
        <v>14473</v>
      </c>
      <c r="E2568" s="3">
        <f>IFERROR(VLOOKUP(B2568,'DA1'!$B$2:$D$999999,3,FALSE),"")</f>
      </c>
      <c r="F2568" s="1" t="str">
        <f>IFERROR(VLOOKUP(B2568,'SB1'!$A$2:$C$999999,3,FALSE),"")</f>
        <v>503</v>
      </c>
      <c r="G2568" s="3" t="e">
        <f t="shared" si="90"/>
        <v>#VALUE!</v>
      </c>
      <c r="H2568" s="3" t="e">
        <f t="shared" ref="H2568:H2600" si="92">G2568*1.21</f>
        <v>#VALUE!</v>
      </c>
      <c r="I2568" s="1">
        <v>1</v>
      </c>
    </row>
    <row r="2569" spans="1:9" x14ac:dyDescent="0.25">
      <c r="A2569" s="1" t="s">
        <v>14435</v>
      </c>
      <c r="B2569" s="1" t="s">
        <v>7375</v>
      </c>
      <c r="C2569" s="1" t="str">
        <f>IFERROR(VLOOKUP(B2569,'SB1'!$A$2:$B$999999,2,FALSE),"")</f>
        <v>PARCHE PLASTICO ZEOCAR X 0,500 (16)</v>
      </c>
      <c r="D2569" s="1" t="s">
        <v>14473</v>
      </c>
      <c r="E2569" s="3">
        <f>IFERROR(VLOOKUP(B2569,'DA1'!$B$2:$D$999999,3,FALSE),"")</f>
      </c>
      <c r="F2569" s="1" t="str">
        <f>IFERROR(VLOOKUP(B2569,'SB1'!$A$2:$C$999999,3,FALSE),"")</f>
        <v>503</v>
      </c>
      <c r="G2569" s="3" t="e">
        <f t="shared" si="90"/>
        <v>#VALUE!</v>
      </c>
      <c r="H2569" s="3" t="e">
        <f t="shared" si="92"/>
        <v>#VALUE!</v>
      </c>
      <c r="I2569" s="1">
        <v>1</v>
      </c>
    </row>
    <row r="2570" spans="1:9" x14ac:dyDescent="0.25">
      <c r="A2570" s="1" t="s">
        <v>14435</v>
      </c>
      <c r="B2570" s="1" t="s">
        <v>7377</v>
      </c>
      <c r="C2570" s="1" t="str">
        <f>IFERROR(VLOOKUP(B2570,'SB1'!$A$2:$B$999999,2,FALSE),"")</f>
        <v>PARCHE PLASTICO ZEOCAR X 1 (18)</v>
      </c>
      <c r="D2570" s="1" t="s">
        <v>14473</v>
      </c>
      <c r="E2570" s="3">
        <f>IFERROR(VLOOKUP(B2570,'DA1'!$B$2:$D$999999,3,FALSE),"")</f>
      </c>
      <c r="F2570" s="1" t="str">
        <f>IFERROR(VLOOKUP(B2570,'SB1'!$A$2:$C$999999,3,FALSE),"")</f>
        <v>503</v>
      </c>
      <c r="G2570" s="3" t="e">
        <f t="shared" si="90"/>
        <v>#VALUE!</v>
      </c>
      <c r="H2570" s="3" t="e">
        <f t="shared" si="92"/>
        <v>#VALUE!</v>
      </c>
      <c r="I2570" s="1">
        <v>1</v>
      </c>
    </row>
    <row r="2571" spans="1:9" x14ac:dyDescent="0.25">
      <c r="A2571" s="1" t="s">
        <v>14435</v>
      </c>
      <c r="B2571" s="1" t="s">
        <v>7379</v>
      </c>
      <c r="C2571" s="1" t="str">
        <f>IFERROR(VLOOKUP(B2571,'SB1'!$A$2:$B$999999,2,FALSE),"")</f>
        <v>PARCHE PLASTICO ZEOCAR X 4 (19)</v>
      </c>
      <c r="D2571" s="1" t="s">
        <v>14473</v>
      </c>
      <c r="E2571" s="3">
        <f>IFERROR(VLOOKUP(B2571,'DA1'!$B$2:$D$999999,3,FALSE),"")</f>
      </c>
      <c r="F2571" s="1" t="str">
        <f>IFERROR(VLOOKUP(B2571,'SB1'!$A$2:$C$999999,3,FALSE),"")</f>
        <v>503</v>
      </c>
      <c r="G2571" s="3" t="e">
        <f t="shared" si="90"/>
        <v>#VALUE!</v>
      </c>
      <c r="H2571" s="3" t="e">
        <f t="shared" si="92"/>
        <v>#VALUE!</v>
      </c>
      <c r="I2571" s="1">
        <v>1</v>
      </c>
    </row>
    <row r="2572" spans="1:9" x14ac:dyDescent="0.25">
      <c r="A2572" s="1" t="s">
        <v>14435</v>
      </c>
      <c r="B2572" s="1" t="s">
        <v>7399</v>
      </c>
      <c r="C2572" s="1" t="str">
        <f>IFERROR(VLOOKUP(B2572,'SB1'!$A$2:$B$999999,2,FALSE),"")</f>
        <v>ALBAVIAL ACRILICO SOLVENTE BLANCO X  4</v>
      </c>
      <c r="D2572" s="1" t="s">
        <v>14479</v>
      </c>
      <c r="E2572" s="3">
        <f>IFERROR(VLOOKUP(B2572,'DA1'!$B$2:$D$999999,3,FALSE),"")</f>
      </c>
      <c r="F2572" s="1" t="str">
        <f>IFERROR(VLOOKUP(B2572,'SB1'!$A$2:$C$999999,3,FALSE),"")</f>
        <v>503</v>
      </c>
      <c r="G2572" s="3" t="e">
        <f t="shared" si="90"/>
        <v>#VALUE!</v>
      </c>
      <c r="H2572" s="3" t="e">
        <f t="shared" si="92"/>
        <v>#VALUE!</v>
      </c>
      <c r="I2572" s="1">
        <v>1</v>
      </c>
    </row>
    <row r="2573" spans="1:9" x14ac:dyDescent="0.25">
      <c r="A2573" s="1" t="s">
        <v>14435</v>
      </c>
      <c r="B2573" s="1" t="s">
        <v>7405</v>
      </c>
      <c r="C2573" s="1" t="str">
        <f>IFERROR(VLOOKUP(B2573,'SB1'!$A$2:$B$999999,2,FALSE),"")</f>
        <v>PANO MICROFIBRAS DOBLE A 40X50CM</v>
      </c>
      <c r="D2573" s="1" t="s">
        <v>14451</v>
      </c>
      <c r="E2573" s="3">
        <f>IFERROR(VLOOKUP(B2573,'DA1'!$B$2:$D$999999,3,FALSE),"")</f>
      </c>
      <c r="F2573" s="1" t="str">
        <f>IFERROR(VLOOKUP(B2573,'SB1'!$A$2:$C$999999,3,FALSE),"")</f>
        <v>503</v>
      </c>
      <c r="G2573" s="3" t="e">
        <f t="shared" si="90"/>
        <v>#VALUE!</v>
      </c>
      <c r="H2573" s="3" t="e">
        <f t="shared" si="92"/>
        <v>#VALUE!</v>
      </c>
      <c r="I2573" s="1">
        <v>1</v>
      </c>
    </row>
    <row r="2574" spans="1:9" x14ac:dyDescent="0.25">
      <c r="A2574" s="1" t="s">
        <v>14435</v>
      </c>
      <c r="B2574" s="1" t="s">
        <v>7409</v>
      </c>
      <c r="C2574" s="1" t="str">
        <f>IFERROR(VLOOKUP(B2574,'SB1'!$A$2:$B$999999,2,FALSE),"")</f>
        <v>DESOXIDANTE ZEOCAR X  0,950 (09)</v>
      </c>
      <c r="D2574" s="1" t="s">
        <v>14473</v>
      </c>
      <c r="E2574" s="3">
        <f>IFERROR(VLOOKUP(B2574,'DA1'!$B$2:$D$999999,3,FALSE),"")</f>
      </c>
      <c r="F2574" s="1" t="str">
        <f>IFERROR(VLOOKUP(B2574,'SB1'!$A$2:$C$999999,3,FALSE),"")</f>
        <v>503</v>
      </c>
      <c r="G2574" s="3" t="e">
        <f t="shared" si="90"/>
        <v>#VALUE!</v>
      </c>
      <c r="H2574" s="3" t="e">
        <f t="shared" si="92"/>
        <v>#VALUE!</v>
      </c>
      <c r="I2574" s="1">
        <v>1</v>
      </c>
    </row>
    <row r="2575" spans="1:9" x14ac:dyDescent="0.25">
      <c r="A2575" s="1" t="s">
        <v>14435</v>
      </c>
      <c r="B2575" s="1" t="s">
        <v>7411</v>
      </c>
      <c r="C2575" s="1" t="str">
        <f>IFERROR(VLOOKUP(B2575,'SB1'!$A$2:$B$999999,2,FALSE),"")</f>
        <v>DESOXIDANTE ZEOCAR X  5 (10)</v>
      </c>
      <c r="D2575" s="1" t="s">
        <v>14473</v>
      </c>
      <c r="E2575" s="3">
        <f>IFERROR(VLOOKUP(B2575,'DA1'!$B$2:$D$999999,3,FALSE),"")</f>
      </c>
      <c r="F2575" s="1" t="str">
        <f>IFERROR(VLOOKUP(B2575,'SB1'!$A$2:$C$999999,3,FALSE),"")</f>
        <v>503</v>
      </c>
      <c r="G2575" s="3" t="e">
        <f t="shared" si="90"/>
        <v>#VALUE!</v>
      </c>
      <c r="H2575" s="3" t="e">
        <f t="shared" si="92"/>
        <v>#VALUE!</v>
      </c>
      <c r="I2575" s="1">
        <v>1</v>
      </c>
    </row>
    <row r="2576" spans="1:9" x14ac:dyDescent="0.25">
      <c r="A2576" s="1" t="s">
        <v>14435</v>
      </c>
      <c r="B2576" s="1" t="s">
        <v>7413</v>
      </c>
      <c r="C2576" s="1" t="str">
        <f>IFERROR(VLOOKUP(B2576,'SB1'!$A$2:$B$999999,2,FALSE),"")</f>
        <v>DESOXIDANTE ZEOCAR X 20 (11)</v>
      </c>
      <c r="D2576" s="1" t="s">
        <v>14473</v>
      </c>
      <c r="E2576" s="3">
        <f>IFERROR(VLOOKUP(B2576,'DA1'!$B$2:$D$999999,3,FALSE),"")</f>
      </c>
      <c r="F2576" s="1" t="str">
        <f>IFERROR(VLOOKUP(B2576,'SB1'!$A$2:$C$999999,3,FALSE),"")</f>
        <v>503</v>
      </c>
      <c r="G2576" s="3" t="e">
        <f t="shared" si="90"/>
        <v>#VALUE!</v>
      </c>
      <c r="H2576" s="3" t="e">
        <f t="shared" si="92"/>
        <v>#VALUE!</v>
      </c>
      <c r="I2576" s="1">
        <v>1</v>
      </c>
    </row>
    <row r="2577" spans="1:9" x14ac:dyDescent="0.25">
      <c r="A2577" s="1" t="s">
        <v>14435</v>
      </c>
      <c r="B2577" s="1" t="s">
        <v>7435</v>
      </c>
      <c r="C2577" s="1" t="str">
        <f>IFERROR(VLOOKUP(B2577,'SB1'!$A$2:$B$999999,2,FALSE),"")</f>
        <v>ESMALTE PU HP 9400 MASSTONE RUST OLEUM X 3,785(9407405)</v>
      </c>
      <c r="D2577" s="1" t="s">
        <v>14439</v>
      </c>
      <c r="E2577" s="3">
        <f>IFERROR(VLOOKUP(B2577,'DA1'!$B$2:$D$999999,3,FALSE),"")</f>
      </c>
      <c r="F2577" s="1" t="str">
        <f>IFERROR(VLOOKUP(B2577,'SB1'!$A$2:$C$999999,3,FALSE),"")</f>
        <v>503</v>
      </c>
      <c r="G2577" s="3" t="e">
        <f t="shared" si="90"/>
        <v>#VALUE!</v>
      </c>
      <c r="H2577" s="3" t="e">
        <f t="shared" si="92"/>
        <v>#VALUE!</v>
      </c>
      <c r="I2577" s="1">
        <v>1</v>
      </c>
    </row>
    <row r="2578" spans="1:9" x14ac:dyDescent="0.25">
      <c r="A2578" s="1" t="s">
        <v>14435</v>
      </c>
      <c r="B2578" s="1" t="s">
        <v>7437</v>
      </c>
      <c r="C2578" s="1" t="str">
        <f>IFERROR(VLOOKUP(B2578,'SB1'!$A$2:$B$999999,2,FALSE),"")</f>
        <v>PAD ESPUMA VERDE CORTE PULIDO 5,5</v>
      </c>
      <c r="D2578" s="1" t="s">
        <v>14451</v>
      </c>
      <c r="E2578" s="3">
        <f>IFERROR(VLOOKUP(B2578,'DA1'!$B$2:$D$999999,3,FALSE),"")</f>
      </c>
      <c r="F2578" s="1" t="str">
        <f>IFERROR(VLOOKUP(B2578,'SB1'!$A$2:$C$999999,3,FALSE),"")</f>
        <v>503</v>
      </c>
      <c r="G2578" s="3" t="e">
        <f t="shared" si="90"/>
        <v>#VALUE!</v>
      </c>
      <c r="H2578" s="3" t="e">
        <f t="shared" si="92"/>
        <v>#VALUE!</v>
      </c>
      <c r="I2578" s="1">
        <v>1</v>
      </c>
    </row>
    <row r="2579" spans="1:9" x14ac:dyDescent="0.25">
      <c r="A2579" s="1" t="s">
        <v>14435</v>
      </c>
      <c r="B2579" s="1" t="s">
        <v>7439</v>
      </c>
      <c r="C2579" s="1" t="str">
        <f>IFERROR(VLOOKUP(B2579,'SB1'!$A$2:$B$999999,2,FALSE),"")</f>
        <v>PAD ESPUMA AZUL CORTE PULIDO 5,5</v>
      </c>
      <c r="D2579" s="1" t="s">
        <v>14451</v>
      </c>
      <c r="E2579" s="3">
        <f>IFERROR(VLOOKUP(B2579,'DA1'!$B$2:$D$999999,3,FALSE),"")</f>
      </c>
      <c r="F2579" s="1" t="str">
        <f>IFERROR(VLOOKUP(B2579,'SB1'!$A$2:$C$999999,3,FALSE),"")</f>
        <v>503</v>
      </c>
      <c r="G2579" s="3" t="e">
        <f t="shared" si="90"/>
        <v>#VALUE!</v>
      </c>
      <c r="H2579" s="3" t="e">
        <f t="shared" si="92"/>
        <v>#VALUE!</v>
      </c>
      <c r="I2579" s="1">
        <v>1</v>
      </c>
    </row>
    <row r="2580" spans="1:9" x14ac:dyDescent="0.25">
      <c r="A2580" s="1" t="s">
        <v>14435</v>
      </c>
      <c r="B2580" s="1" t="s">
        <v>7445</v>
      </c>
      <c r="C2580" s="1" t="str">
        <f>IFERROR(VLOOKUP(B2580,'SB1'!$A$2:$B$999999,2,FALSE),"")</f>
        <v>PASO 3 BRILLO RAPIDO X 0,500</v>
      </c>
      <c r="D2580" s="1" t="s">
        <v>14451</v>
      </c>
      <c r="E2580" s="3">
        <f>IFERROR(VLOOKUP(B2580,'DA1'!$B$2:$D$999999,3,FALSE),"")</f>
      </c>
      <c r="F2580" s="1" t="str">
        <f>IFERROR(VLOOKUP(B2580,'SB1'!$A$2:$C$999999,3,FALSE),"")</f>
        <v>503</v>
      </c>
      <c r="G2580" s="3" t="e">
        <f t="shared" si="90"/>
        <v>#VALUE!</v>
      </c>
      <c r="H2580" s="3" t="e">
        <f t="shared" si="92"/>
        <v>#VALUE!</v>
      </c>
      <c r="I2580" s="1">
        <v>1</v>
      </c>
    </row>
    <row r="2581" spans="1:9" x14ac:dyDescent="0.25">
      <c r="A2581" s="1" t="s">
        <v>14435</v>
      </c>
      <c r="B2581" s="1" t="s">
        <v>7449</v>
      </c>
      <c r="C2581" s="1" t="str">
        <f>IFERROR(VLOOKUP(B2581,'SB1'!$A$2:$B$999999,2,FALSE),"")</f>
        <v>ADAPTADOR ZEOCAR P/TALADRO M14 (102)</v>
      </c>
      <c r="D2581" s="1" t="s">
        <v>14473</v>
      </c>
      <c r="E2581" s="3">
        <f>IFERROR(VLOOKUP(B2581,'DA1'!$B$2:$D$999999,3,FALSE),"")</f>
      </c>
      <c r="F2581" s="1" t="str">
        <f>IFERROR(VLOOKUP(B2581,'SB1'!$A$2:$C$999999,3,FALSE),"")</f>
        <v>503</v>
      </c>
      <c r="G2581" s="3" t="e">
        <f t="shared" si="90"/>
        <v>#VALUE!</v>
      </c>
      <c r="H2581" s="3" t="e">
        <f t="shared" si="92"/>
        <v>#VALUE!</v>
      </c>
      <c r="I2581" s="1">
        <v>1</v>
      </c>
    </row>
    <row r="2582" spans="1:9" x14ac:dyDescent="0.25">
      <c r="A2582" s="1" t="s">
        <v>14435</v>
      </c>
      <c r="B2582" s="1" t="s">
        <v>7451</v>
      </c>
      <c r="C2582" s="1" t="str">
        <f>IFERROR(VLOOKUP(B2582,'SB1'!$A$2:$B$999999,2,FALSE),"")</f>
        <v>ACTIVADOR EPOXI HP 9100 MASTIC RUST OLEUM X 3,785(357499)</v>
      </c>
      <c r="D2582" s="1" t="s">
        <v>14498</v>
      </c>
      <c r="E2582" s="3">
        <f>IFERROR(VLOOKUP(B2582,'DA1'!$B$2:$D$999999,3,FALSE),"")</f>
      </c>
      <c r="F2582" s="1" t="str">
        <f>IFERROR(VLOOKUP(B2582,'SB1'!$A$2:$C$999999,3,FALSE),"")</f>
        <v>503</v>
      </c>
      <c r="G2582" s="3" t="e">
        <f t="shared" si="90"/>
        <v>#VALUE!</v>
      </c>
      <c r="H2582" s="3" t="e">
        <f t="shared" si="92"/>
        <v>#VALUE!</v>
      </c>
      <c r="I2582" s="1">
        <v>1</v>
      </c>
    </row>
    <row r="2583" spans="1:9" x14ac:dyDescent="0.25">
      <c r="A2583" s="1" t="s">
        <v>14435</v>
      </c>
      <c r="B2583" s="1" t="s">
        <v>7455</v>
      </c>
      <c r="C2583" s="1" t="str">
        <f>IFERROR(VLOOKUP(B2583,'SB1'!$A$2:$B$999999,2,FALSE),"")</f>
        <v>IMPERMEABILIZANTE PARA FRENTES Y MUROS DURALBA MATE BASE F X  0,900</v>
      </c>
      <c r="D2583" s="1" t="s">
        <v>14480</v>
      </c>
      <c r="E2583" s="3">
        <f>IFERROR(VLOOKUP(B2583,'DA1'!$B$2:$D$999999,3,FALSE),"")</f>
      </c>
      <c r="F2583" s="1" t="str">
        <f>IFERROR(VLOOKUP(B2583,'SB1'!$A$2:$C$999999,3,FALSE),"")</f>
        <v>503</v>
      </c>
      <c r="G2583" s="3" t="e">
        <f t="shared" si="90"/>
        <v>#VALUE!</v>
      </c>
      <c r="H2583" s="3" t="e">
        <f t="shared" si="92"/>
        <v>#VALUE!</v>
      </c>
      <c r="I2583" s="1">
        <v>1</v>
      </c>
    </row>
    <row r="2584" spans="1:9" x14ac:dyDescent="0.25">
      <c r="A2584" s="1" t="s">
        <v>14435</v>
      </c>
      <c r="B2584" s="1" t="s">
        <v>7457</v>
      </c>
      <c r="C2584" s="1" t="str">
        <f>IFERROR(VLOOKUP(B2584,'SB1'!$A$2:$B$999999,2,FALSE),"")</f>
        <v>IMPERMEABILIZANTE PARA FRENTES Y MUROS DURALBA MATE BASE P X  0,900</v>
      </c>
      <c r="D2584" s="1" t="s">
        <v>14480</v>
      </c>
      <c r="E2584" s="3">
        <f>IFERROR(VLOOKUP(B2584,'DA1'!$B$2:$D$999999,3,FALSE),"")</f>
      </c>
      <c r="F2584" s="1" t="str">
        <f>IFERROR(VLOOKUP(B2584,'SB1'!$A$2:$C$999999,3,FALSE),"")</f>
        <v>503</v>
      </c>
      <c r="G2584" s="3" t="e">
        <f t="shared" si="90"/>
        <v>#VALUE!</v>
      </c>
      <c r="H2584" s="3" t="e">
        <f t="shared" si="92"/>
        <v>#VALUE!</v>
      </c>
      <c r="I2584" s="1">
        <v>1</v>
      </c>
    </row>
    <row r="2585" spans="1:9" x14ac:dyDescent="0.25">
      <c r="A2585" s="1" t="s">
        <v>14435</v>
      </c>
      <c r="B2585" s="1" t="s">
        <v>7461</v>
      </c>
      <c r="C2585" s="1" t="str">
        <f>IFERROR(VLOOKUP(B2585,'SB1'!$A$2:$B$999999,2,FALSE),"")</f>
        <v>IMPERMEABILIZANTE PARA FRENTES Y MUROS DURALBA MATE BASE T X  0,900</v>
      </c>
      <c r="D2585" s="1" t="s">
        <v>14480</v>
      </c>
      <c r="E2585" s="3">
        <f>IFERROR(VLOOKUP(B2585,'DA1'!$B$2:$D$999999,3,FALSE),"")</f>
      </c>
      <c r="F2585" s="1" t="str">
        <f>IFERROR(VLOOKUP(B2585,'SB1'!$A$2:$C$999999,3,FALSE),"")</f>
        <v>503</v>
      </c>
      <c r="G2585" s="3" t="e">
        <f t="shared" si="90"/>
        <v>#VALUE!</v>
      </c>
      <c r="H2585" s="3" t="e">
        <f t="shared" si="92"/>
        <v>#VALUE!</v>
      </c>
      <c r="I2585" s="1">
        <v>1</v>
      </c>
    </row>
    <row r="2586" spans="1:9" x14ac:dyDescent="0.25">
      <c r="A2586" s="1" t="s">
        <v>14435</v>
      </c>
      <c r="B2586" s="1" t="s">
        <v>7485</v>
      </c>
      <c r="C2586" s="1" t="str">
        <f>IFERROR(VLOOKUP(B2586,'SB1'!$A$2:$B$999999,2,FALSE),"")</f>
        <v>ACTIVADOR EPOXI CS 6500 100% SOLIDO RUST OLEUM X 1,43(357508)</v>
      </c>
      <c r="D2586" s="1" t="s">
        <v>14498</v>
      </c>
      <c r="E2586" s="3">
        <f>IFERROR(VLOOKUP(B2586,'DA1'!$B$2:$D$999999,3,FALSE),"")</f>
      </c>
      <c r="F2586" s="1" t="str">
        <f>IFERROR(VLOOKUP(B2586,'SB1'!$A$2:$C$999999,3,FALSE),"")</f>
        <v>503</v>
      </c>
      <c r="G2586" s="3" t="e">
        <f t="shared" si="90"/>
        <v>#VALUE!</v>
      </c>
      <c r="H2586" s="3" t="e">
        <f t="shared" si="92"/>
        <v>#VALUE!</v>
      </c>
      <c r="I2586" s="1">
        <v>1</v>
      </c>
    </row>
    <row r="2587" spans="1:9" x14ac:dyDescent="0.25">
      <c r="A2587" s="1" t="s">
        <v>14435</v>
      </c>
      <c r="B2587" s="1" t="s">
        <v>7487</v>
      </c>
      <c r="C2587" s="1" t="str">
        <f>IFERROR(VLOOKUP(B2587,'SB1'!$A$2:$B$999999,2,FALSE),"")</f>
        <v>IMPREGNANTE PARA MADERA CETOL BALANCE CLASSIC BRILLANTE CAOBA X 10</v>
      </c>
      <c r="D2587" s="1" t="s">
        <v>14445</v>
      </c>
      <c r="E2587" s="3">
        <f>IFERROR(VLOOKUP(B2587,'DA1'!$B$2:$D$999999,3,FALSE),"")</f>
      </c>
      <c r="F2587" s="1" t="str">
        <f>IFERROR(VLOOKUP(B2587,'SB1'!$A$2:$C$999999,3,FALSE),"")</f>
        <v>503</v>
      </c>
      <c r="G2587" s="3" t="e">
        <f t="shared" si="90"/>
        <v>#VALUE!</v>
      </c>
      <c r="H2587" s="3" t="e">
        <f t="shared" si="92"/>
        <v>#VALUE!</v>
      </c>
      <c r="I2587" s="1">
        <v>1</v>
      </c>
    </row>
    <row r="2588" spans="1:9" x14ac:dyDescent="0.25">
      <c r="A2588" s="1" t="s">
        <v>14435</v>
      </c>
      <c r="B2588" s="1" t="s">
        <v>7489</v>
      </c>
      <c r="C2588" s="1" t="str">
        <f>IFERROR(VLOOKUP(B2588,'SB1'!$A$2:$B$999999,2,FALSE),"")</f>
        <v>IMPREGNANTE PARA MADERA CETOL BALANCE CLASSIC BRILLANTE CEDRO X 10</v>
      </c>
      <c r="D2588" s="1" t="s">
        <v>14445</v>
      </c>
      <c r="E2588" s="3">
        <f>IFERROR(VLOOKUP(B2588,'DA1'!$B$2:$D$999999,3,FALSE),"")</f>
      </c>
      <c r="F2588" s="1" t="str">
        <f>IFERROR(VLOOKUP(B2588,'SB1'!$A$2:$C$999999,3,FALSE),"")</f>
        <v>503</v>
      </c>
      <c r="G2588" s="3" t="e">
        <f t="shared" si="90"/>
        <v>#VALUE!</v>
      </c>
      <c r="H2588" s="3" t="e">
        <f t="shared" si="92"/>
        <v>#VALUE!</v>
      </c>
      <c r="I2588" s="1">
        <v>1</v>
      </c>
    </row>
    <row r="2589" spans="1:9" x14ac:dyDescent="0.25">
      <c r="A2589" s="1" t="s">
        <v>14435</v>
      </c>
      <c r="B2589" s="1" t="s">
        <v>7491</v>
      </c>
      <c r="C2589" s="1" t="str">
        <f>IFERROR(VLOOKUP(B2589,'SB1'!$A$2:$B$999999,2,FALSE),"")</f>
        <v>IMPREGNANTE PARA MADERA CETOL BALANCE CLASSIC BRILLANTE CRISTAL X 10</v>
      </c>
      <c r="D2589" s="1" t="s">
        <v>14445</v>
      </c>
      <c r="E2589" s="3">
        <f>IFERROR(VLOOKUP(B2589,'DA1'!$B$2:$D$999999,3,FALSE),"")</f>
      </c>
      <c r="F2589" s="1" t="str">
        <f>IFERROR(VLOOKUP(B2589,'SB1'!$A$2:$C$999999,3,FALSE),"")</f>
        <v>503</v>
      </c>
      <c r="G2589" s="3" t="e">
        <f t="shared" si="90"/>
        <v>#VALUE!</v>
      </c>
      <c r="H2589" s="3" t="e">
        <f t="shared" si="92"/>
        <v>#VALUE!</v>
      </c>
      <c r="I2589" s="1">
        <v>1</v>
      </c>
    </row>
    <row r="2590" spans="1:9" x14ac:dyDescent="0.25">
      <c r="A2590" s="1" t="s">
        <v>14435</v>
      </c>
      <c r="B2590" s="1" t="s">
        <v>7493</v>
      </c>
      <c r="C2590" s="1" t="str">
        <f>IFERROR(VLOOKUP(B2590,'SB1'!$A$2:$B$999999,2,FALSE),"")</f>
        <v>IMPREGNANTE PARA MADERA CETOL BALANCE CLASSIC BRILLANTE NATURAL X 10</v>
      </c>
      <c r="D2590" s="1" t="s">
        <v>14445</v>
      </c>
      <c r="E2590" s="3">
        <f>IFERROR(VLOOKUP(B2590,'DA1'!$B$2:$D$999999,3,FALSE),"")</f>
      </c>
      <c r="F2590" s="1" t="str">
        <f>IFERROR(VLOOKUP(B2590,'SB1'!$A$2:$C$999999,3,FALSE),"")</f>
        <v>503</v>
      </c>
      <c r="G2590" s="3" t="e">
        <f t="shared" si="90"/>
        <v>#VALUE!</v>
      </c>
      <c r="H2590" s="3" t="e">
        <f t="shared" si="92"/>
        <v>#VALUE!</v>
      </c>
      <c r="I2590" s="1">
        <v>1</v>
      </c>
    </row>
    <row r="2591" spans="1:9" x14ac:dyDescent="0.25">
      <c r="A2591" s="1" t="s">
        <v>14435</v>
      </c>
      <c r="B2591" s="1" t="s">
        <v>7495</v>
      </c>
      <c r="C2591" s="1" t="str">
        <f>IFERROR(VLOOKUP(B2591,'SB1'!$A$2:$B$999999,2,FALSE),"")</f>
        <v>IMPREGNANTE PARA MADERA CETOL BALANCE CLASSIC BRILLANTE NOGAL X 10</v>
      </c>
      <c r="D2591" s="1" t="s">
        <v>14445</v>
      </c>
      <c r="E2591" s="3">
        <f>IFERROR(VLOOKUP(B2591,'DA1'!$B$2:$D$999999,3,FALSE),"")</f>
      </c>
      <c r="F2591" s="1" t="str">
        <f>IFERROR(VLOOKUP(B2591,'SB1'!$A$2:$C$999999,3,FALSE),"")</f>
        <v>503</v>
      </c>
      <c r="G2591" s="3" t="e">
        <f t="shared" si="90"/>
        <v>#VALUE!</v>
      </c>
      <c r="H2591" s="3" t="e">
        <f t="shared" si="92"/>
        <v>#VALUE!</v>
      </c>
      <c r="I2591" s="1">
        <v>1</v>
      </c>
    </row>
    <row r="2592" spans="1:9" x14ac:dyDescent="0.25">
      <c r="A2592" s="1" t="s">
        <v>14435</v>
      </c>
      <c r="B2592" s="1" t="s">
        <v>7497</v>
      </c>
      <c r="C2592" s="1" t="str">
        <f>IFERROR(VLOOKUP(B2592,'SB1'!$A$2:$B$999999,2,FALSE),"")</f>
        <v>IMPREGNANTE PARA MADERA CETOL BALANCE CLASSIC BRILLANTE ROBLE X 10</v>
      </c>
      <c r="D2592" s="1" t="s">
        <v>14445</v>
      </c>
      <c r="E2592" s="3">
        <f>IFERROR(VLOOKUP(B2592,'DA1'!$B$2:$D$999999,3,FALSE),"")</f>
      </c>
      <c r="F2592" s="1" t="str">
        <f>IFERROR(VLOOKUP(B2592,'SB1'!$A$2:$C$999999,3,FALSE),"")</f>
        <v>503</v>
      </c>
      <c r="G2592" s="3" t="e">
        <f t="shared" si="90"/>
        <v>#VALUE!</v>
      </c>
      <c r="H2592" s="3" t="e">
        <f t="shared" si="92"/>
        <v>#VALUE!</v>
      </c>
      <c r="I2592" s="1">
        <v>1</v>
      </c>
    </row>
    <row r="2593" spans="1:9" x14ac:dyDescent="0.25">
      <c r="A2593" s="1" t="s">
        <v>14435</v>
      </c>
      <c r="B2593" s="1" t="s">
        <v>7527</v>
      </c>
      <c r="C2593" s="1" t="str">
        <f>IFERROR(VLOOKUP(B2593,'SB1'!$A$2:$B$999999,2,FALSE),"")</f>
        <v>AEROSOL RUST-OLEUM MP METALICO NEGRO NOCHE X 0,312(272053)</v>
      </c>
      <c r="D2593" s="1" t="s">
        <v>14475</v>
      </c>
      <c r="E2593" s="3">
        <f>IFERROR(VLOOKUP(B2593,'DA1'!$B$2:$D$999999,3,FALSE),"")</f>
      </c>
      <c r="F2593" s="1" t="str">
        <f>IFERROR(VLOOKUP(B2593,'SB1'!$A$2:$C$999999,3,FALSE),"")</f>
        <v>503</v>
      </c>
      <c r="G2593" s="3" t="e">
        <f t="shared" si="90"/>
        <v>#VALUE!</v>
      </c>
      <c r="H2593" s="3" t="e">
        <f t="shared" si="92"/>
        <v>#VALUE!</v>
      </c>
      <c r="I2593" s="1">
        <v>1</v>
      </c>
    </row>
    <row r="2594" spans="1:9" x14ac:dyDescent="0.25">
      <c r="A2594" s="1" t="s">
        <v>14435</v>
      </c>
      <c r="B2594" s="1" t="s">
        <v>7529</v>
      </c>
      <c r="C2594" s="1" t="str">
        <f>IFERROR(VLOOKUP(B2594,'SB1'!$A$2:$B$999999,2,FALSE),"")</f>
        <v>DRAGER-MASCARA X-PLORE 5500</v>
      </c>
      <c r="D2594" s="1" t="s">
        <v>14494</v>
      </c>
      <c r="E2594" s="3">
        <f>IFERROR(VLOOKUP(B2594,'DA1'!$B$2:$D$999999,3,FALSE),"")</f>
      </c>
      <c r="F2594" s="1" t="str">
        <f>IFERROR(VLOOKUP(B2594,'SB1'!$A$2:$C$999999,3,FALSE),"")</f>
        <v>503</v>
      </c>
      <c r="G2594" s="3" t="e">
        <f t="shared" si="90"/>
        <v>#VALUE!</v>
      </c>
      <c r="H2594" s="3" t="e">
        <f t="shared" si="92"/>
        <v>#VALUE!</v>
      </c>
      <c r="I2594" s="1">
        <v>2</v>
      </c>
    </row>
    <row r="2595" spans="1:9" x14ac:dyDescent="0.25">
      <c r="A2595" s="1" t="s">
        <v>14435</v>
      </c>
      <c r="B2595" s="1" t="s">
        <v>7533</v>
      </c>
      <c r="C2595" s="1" t="str">
        <f>IFERROR(VLOOKUP(B2595,'SB1'!$A$2:$B$999999,2,FALSE),"")</f>
        <v>MAMELUCO LIVIANO BLANCO 60GR(M60BL)</v>
      </c>
      <c r="D2595" s="1" t="s">
        <v>14436</v>
      </c>
      <c r="E2595" s="3">
        <f>IFERROR(VLOOKUP(B2595,'DA1'!$B$2:$D$999999,3,FALSE),"")</f>
      </c>
      <c r="F2595" s="1" t="str">
        <f>IFERROR(VLOOKUP(B2595,'SB1'!$A$2:$C$999999,3,FALSE),"")</f>
        <v>503</v>
      </c>
      <c r="G2595" s="3" t="e">
        <f t="shared" si="90"/>
        <v>#VALUE!</v>
      </c>
      <c r="H2595" s="3" t="e">
        <f t="shared" si="92"/>
        <v>#VALUE!</v>
      </c>
      <c r="I2595" s="1">
        <v>1</v>
      </c>
    </row>
    <row r="2596" spans="1:9" x14ac:dyDescent="0.25">
      <c r="A2596" s="1" t="s">
        <v>14435</v>
      </c>
      <c r="B2596" s="1" t="s">
        <v>7535</v>
      </c>
      <c r="C2596" s="1" t="str">
        <f>IFERROR(VLOOKUP(B2596,'SB1'!$A$2:$B$999999,2,FALSE),"")</f>
        <v>FILM PLASTICO CUBRE COCHE 4X150</v>
      </c>
      <c r="D2596" s="1" t="s">
        <v>14481</v>
      </c>
      <c r="E2596" s="3">
        <f>IFERROR(VLOOKUP(B2596,'DA1'!$B$2:$D$999999,3,FALSE),"")</f>
      </c>
      <c r="F2596" s="1" t="str">
        <f>IFERROR(VLOOKUP(B2596,'SB1'!$A$2:$C$999999,3,FALSE),"")</f>
        <v>503</v>
      </c>
      <c r="G2596" s="3" t="e">
        <f t="shared" si="90"/>
        <v>#VALUE!</v>
      </c>
      <c r="H2596" s="3" t="e">
        <f t="shared" si="92"/>
        <v>#VALUE!</v>
      </c>
      <c r="I2596" s="1">
        <v>1</v>
      </c>
    </row>
    <row r="2597" spans="1:9" x14ac:dyDescent="0.25">
      <c r="A2597" s="1" t="s">
        <v>14435</v>
      </c>
      <c r="B2597" s="1" t="s">
        <v>7537</v>
      </c>
      <c r="C2597" s="1" t="str">
        <f>IFERROR(VLOOKUP(B2597,'SB1'!$A$2:$B$999999,2,FALSE),"")</f>
        <v>FILM PLASTICO CUBRE COCHE 4X300</v>
      </c>
      <c r="D2597" s="1" t="s">
        <v>14481</v>
      </c>
      <c r="E2597" s="3">
        <f>IFERROR(VLOOKUP(B2597,'DA1'!$B$2:$D$999999,3,FALSE),"")</f>
      </c>
      <c r="F2597" s="1" t="str">
        <f>IFERROR(VLOOKUP(B2597,'SB1'!$A$2:$C$999999,3,FALSE),"")</f>
        <v>503</v>
      </c>
      <c r="G2597" s="3" t="e">
        <f t="shared" si="90"/>
        <v>#VALUE!</v>
      </c>
      <c r="H2597" s="3" t="e">
        <f t="shared" si="92"/>
        <v>#VALUE!</v>
      </c>
      <c r="I2597" s="1">
        <v>1</v>
      </c>
    </row>
    <row r="2598" spans="1:9" x14ac:dyDescent="0.25">
      <c r="A2598" s="1" t="s">
        <v>14435</v>
      </c>
      <c r="B2598" s="1" t="s">
        <v>7539</v>
      </c>
      <c r="C2598" s="1" t="str">
        <f>IFERROR(VLOOKUP(B2598,'SB1'!$A$2:$B$999999,2,FALSE),"")</f>
        <v>FILM PLASTICO CUBRE COCHE 5X120 ESP.SUV</v>
      </c>
      <c r="D2598" s="1" t="s">
        <v>14481</v>
      </c>
      <c r="E2598" s="3">
        <f>IFERROR(VLOOKUP(B2598,'DA1'!$B$2:$D$999999,3,FALSE),"")</f>
      </c>
      <c r="F2598" s="1" t="str">
        <f>IFERROR(VLOOKUP(B2598,'SB1'!$A$2:$C$999999,3,FALSE),"")</f>
        <v>503</v>
      </c>
      <c r="G2598" s="3" t="e">
        <f t="shared" si="90"/>
        <v>#VALUE!</v>
      </c>
      <c r="H2598" s="3" t="e">
        <f t="shared" si="92"/>
        <v>#VALUE!</v>
      </c>
      <c r="I2598" s="1">
        <v>1</v>
      </c>
    </row>
    <row r="2599" spans="1:9" x14ac:dyDescent="0.25">
      <c r="A2599" s="1" t="s">
        <v>14435</v>
      </c>
      <c r="B2599" s="1" t="s">
        <v>7541</v>
      </c>
      <c r="C2599" s="1" t="str">
        <f>IFERROR(VLOOKUP(B2599,'SB1'!$A$2:$B$999999,2,FALSE),"")</f>
        <v>CARRO DISPENSADOR DE ROLLO FILM</v>
      </c>
      <c r="D2599" s="1" t="s">
        <v>14481</v>
      </c>
      <c r="E2599" s="3">
        <f>IFERROR(VLOOKUP(B2599,'DA1'!$B$2:$D$999999,3,FALSE),"")</f>
      </c>
      <c r="F2599" s="1" t="str">
        <f>IFERROR(VLOOKUP(B2599,'SB1'!$A$2:$C$999999,3,FALSE),"")</f>
        <v>503</v>
      </c>
      <c r="G2599" s="3" t="e">
        <f t="shared" si="90"/>
        <v>#VALUE!</v>
      </c>
      <c r="H2599" s="3" t="e">
        <f t="shared" si="92"/>
        <v>#VALUE!</v>
      </c>
      <c r="I2599" s="1">
        <v>1</v>
      </c>
    </row>
    <row r="2600" spans="1:9" x14ac:dyDescent="0.25">
      <c r="A2600" s="1" t="s">
        <v>14435</v>
      </c>
      <c r="B2600" s="1" t="s">
        <v>7543</v>
      </c>
      <c r="C2600" s="1" t="str">
        <f>IFERROR(VLOOKUP(B2600,'SB1'!$A$2:$B$999999,2,FALSE),"")</f>
        <v>SOPORTE MAGNETICO P/ 2 PISTOLAS</v>
      </c>
      <c r="D2600" s="1" t="s">
        <v>14481</v>
      </c>
      <c r="E2600" s="3">
        <f>IFERROR(VLOOKUP(B2600,'DA1'!$B$2:$D$999999,3,FALSE),"")</f>
      </c>
      <c r="F2600" s="1" t="str">
        <f>IFERROR(VLOOKUP(B2600,'SB1'!$A$2:$C$999999,3,FALSE),"")</f>
        <v>503</v>
      </c>
      <c r="G2600" s="3" t="e">
        <f t="shared" si="90"/>
        <v>#VALUE!</v>
      </c>
      <c r="H2600" s="3" t="e">
        <f t="shared" si="92"/>
        <v>#VALUE!</v>
      </c>
      <c r="I2600" s="1">
        <v>1</v>
      </c>
    </row>
    <row r="2601" spans="1:9" x14ac:dyDescent="0.25">
      <c r="A2601" s="1" t="s">
        <v>14435</v>
      </c>
      <c r="B2601" s="1" t="s">
        <v>7549</v>
      </c>
      <c r="C2601" s="1" t="str">
        <f>IFERROR(VLOOKUP(B2601,'SB1'!$A$2:$B$999999,2,FALSE),"")</f>
        <v>PULIDORA 3D ROTATIVA C/BACKING PLATE (L-36)</v>
      </c>
      <c r="D2601" s="1" t="s">
        <v>14499</v>
      </c>
      <c r="E2601" s="3">
        <f>IFERROR(VLOOKUP(B2601,'DA1'!$B$2:$D$999999,3,FALSE),"")</f>
      </c>
      <c r="F2601" s="1" t="str">
        <f>IFERROR(VLOOKUP(B2601,'SB1'!$A$2:$C$999999,3,FALSE),"")</f>
        <v>501</v>
      </c>
      <c r="G2601" s="3" t="e">
        <f t="shared" si="90"/>
        <v>#VALUE!</v>
      </c>
      <c r="H2601" s="3" t="e">
        <f>G2601*1.105</f>
        <v>#VALUE!</v>
      </c>
      <c r="I2601" s="1">
        <v>1</v>
      </c>
    </row>
    <row r="2602" spans="1:9" x14ac:dyDescent="0.25">
      <c r="A2602" s="1" t="s">
        <v>14435</v>
      </c>
      <c r="B2602" s="1" t="s">
        <v>7551</v>
      </c>
      <c r="C2602" s="1" t="str">
        <f>IFERROR(VLOOKUP(B2602,'SB1'!$A$2:$B$999999,2,FALSE),"")</f>
        <v>IMPERMEABILIZANTE PARA FRENTES Y MUROS TERSUAVE BASE W X  0,900</v>
      </c>
      <c r="D2602" s="1" t="s">
        <v>14482</v>
      </c>
      <c r="E2602" s="3">
        <f>IFERROR(VLOOKUP(B2602,'DA1'!$B$2:$D$999999,3,FALSE),"")</f>
      </c>
      <c r="F2602" s="1" t="str">
        <f>IFERROR(VLOOKUP(B2602,'SB1'!$A$2:$C$999999,3,FALSE),"")</f>
        <v>503</v>
      </c>
      <c r="G2602" s="3" t="e">
        <f t="shared" si="90"/>
        <v>#VALUE!</v>
      </c>
      <c r="H2602" s="3" t="e">
        <f t="shared" ref="H2602:H2665" si="93">G2602*1.21</f>
        <v>#VALUE!</v>
      </c>
      <c r="I2602" s="1">
        <v>1</v>
      </c>
    </row>
    <row r="2603" spans="1:9" x14ac:dyDescent="0.25">
      <c r="A2603" s="1" t="s">
        <v>14435</v>
      </c>
      <c r="B2603" s="1" t="s">
        <v>7553</v>
      </c>
      <c r="C2603" s="1" t="str">
        <f>IFERROR(VLOOKUP(B2603,'SB1'!$A$2:$B$999999,2,FALSE),"")</f>
        <v>IMPERMEABILIZANTE PARA FRENTES Y MUROS TERSUAVE BASE W X  3,600</v>
      </c>
      <c r="D2603" s="1" t="s">
        <v>14482</v>
      </c>
      <c r="E2603" s="3">
        <f>IFERROR(VLOOKUP(B2603,'DA1'!$B$2:$D$999999,3,FALSE),"")</f>
      </c>
      <c r="F2603" s="1" t="str">
        <f>IFERROR(VLOOKUP(B2603,'SB1'!$A$2:$C$999999,3,FALSE),"")</f>
        <v>503</v>
      </c>
      <c r="G2603" s="3" t="e">
        <f t="shared" si="90"/>
        <v>#VALUE!</v>
      </c>
      <c r="H2603" s="3" t="e">
        <f t="shared" si="93"/>
        <v>#VALUE!</v>
      </c>
      <c r="I2603" s="1">
        <v>1</v>
      </c>
    </row>
    <row r="2604" spans="1:9" x14ac:dyDescent="0.25">
      <c r="A2604" s="1" t="s">
        <v>14435</v>
      </c>
      <c r="B2604" s="1" t="s">
        <v>7555</v>
      </c>
      <c r="C2604" s="1" t="str">
        <f>IFERROR(VLOOKUP(B2604,'SB1'!$A$2:$B$999999,2,FALSE),"")</f>
        <v>IMPERMEABILIZANTE PARA FRENTES Y MUROS TERSUAVE BASE W X  9,000</v>
      </c>
      <c r="D2604" s="1" t="s">
        <v>14482</v>
      </c>
      <c r="E2604" s="3">
        <f>IFERROR(VLOOKUP(B2604,'DA1'!$B$2:$D$999999,3,FALSE),"")</f>
      </c>
      <c r="F2604" s="1" t="str">
        <f>IFERROR(VLOOKUP(B2604,'SB1'!$A$2:$C$999999,3,FALSE),"")</f>
        <v>503</v>
      </c>
      <c r="G2604" s="3" t="e">
        <f t="shared" si="90"/>
        <v>#VALUE!</v>
      </c>
      <c r="H2604" s="3" t="e">
        <f t="shared" si="93"/>
        <v>#VALUE!</v>
      </c>
      <c r="I2604" s="1">
        <v>1</v>
      </c>
    </row>
    <row r="2605" spans="1:9" x14ac:dyDescent="0.25">
      <c r="A2605" s="1" t="s">
        <v>14435</v>
      </c>
      <c r="B2605" s="1" t="s">
        <v>7557</v>
      </c>
      <c r="C2605" s="1" t="str">
        <f>IFERROR(VLOOKUP(B2605,'SB1'!$A$2:$B$999999,2,FALSE),"")</f>
        <v>IMPERMEABILIZANTE PARA FRENTES Y MUROS TERSUAVE BASE W X 18,000</v>
      </c>
      <c r="D2605" s="1" t="s">
        <v>14482</v>
      </c>
      <c r="E2605" s="3">
        <f>IFERROR(VLOOKUP(B2605,'DA1'!$B$2:$D$999999,3,FALSE),"")</f>
      </c>
      <c r="F2605" s="1" t="str">
        <f>IFERROR(VLOOKUP(B2605,'SB1'!$A$2:$C$999999,3,FALSE),"")</f>
        <v>503</v>
      </c>
      <c r="G2605" s="3" t="e">
        <f t="shared" si="90"/>
        <v>#VALUE!</v>
      </c>
      <c r="H2605" s="3" t="e">
        <f t="shared" si="93"/>
        <v>#VALUE!</v>
      </c>
      <c r="I2605" s="1">
        <v>1</v>
      </c>
    </row>
    <row r="2606" spans="1:9" x14ac:dyDescent="0.25">
      <c r="A2606" s="1" t="s">
        <v>14435</v>
      </c>
      <c r="B2606" s="1" t="s">
        <v>7561</v>
      </c>
      <c r="C2606" s="1" t="str">
        <f>IFERROR(VLOOKUP(B2606,'SB1'!$A$2:$B$999999,2,FALSE),"")</f>
        <v>LACA PARA PISO DE CEMENTO RECUFLOOR HIDROLACA X 5</v>
      </c>
      <c r="D2606" s="1" t="s">
        <v>14463</v>
      </c>
      <c r="E2606" s="3">
        <f>IFERROR(VLOOKUP(B2606,'DA1'!$B$2:$D$999999,3,FALSE),"")</f>
      </c>
      <c r="F2606" s="1" t="str">
        <f>IFERROR(VLOOKUP(B2606,'SB1'!$A$2:$C$999999,3,FALSE),"")</f>
        <v>503</v>
      </c>
      <c r="G2606" s="3" t="e">
        <f t="shared" si="90"/>
        <v>#VALUE!</v>
      </c>
      <c r="H2606" s="3" t="e">
        <f t="shared" si="93"/>
        <v>#VALUE!</v>
      </c>
      <c r="I2606" s="1">
        <v>1</v>
      </c>
    </row>
    <row r="2607" spans="1:9" x14ac:dyDescent="0.25">
      <c r="A2607" s="1" t="s">
        <v>14435</v>
      </c>
      <c r="B2607" s="1" t="s">
        <v>7563</v>
      </c>
      <c r="C2607" s="1" t="str">
        <f>IFERROR(VLOOKUP(B2607,'SB1'!$A$2:$B$999999,2,FALSE),"")</f>
        <v>MASILLA PARA YESO TERSUAVE X  6</v>
      </c>
      <c r="D2607" s="1" t="s">
        <v>14437</v>
      </c>
      <c r="E2607" s="3">
        <f>IFERROR(VLOOKUP(B2607,'DA1'!$B$2:$D$999999,3,FALSE),"")</f>
      </c>
      <c r="F2607" s="1" t="str">
        <f>IFERROR(VLOOKUP(B2607,'SB1'!$A$2:$C$999999,3,FALSE),"")</f>
        <v>503</v>
      </c>
      <c r="G2607" s="3" t="e">
        <f t="shared" si="90"/>
        <v>#VALUE!</v>
      </c>
      <c r="H2607" s="3" t="e">
        <f t="shared" si="93"/>
        <v>#VALUE!</v>
      </c>
      <c r="I2607" s="1">
        <v>1</v>
      </c>
    </row>
    <row r="2608" spans="1:9" x14ac:dyDescent="0.25">
      <c r="A2608" s="1" t="s">
        <v>14435</v>
      </c>
      <c r="B2608" s="1" t="s">
        <v>7565</v>
      </c>
      <c r="C2608" s="1" t="str">
        <f>IFERROR(VLOOKUP(B2608,'SB1'!$A$2:$B$999999,2,FALSE),"")</f>
        <v>MASILLA PARA YESO TERSUAVE X 16</v>
      </c>
      <c r="D2608" s="1" t="s">
        <v>14437</v>
      </c>
      <c r="E2608" s="3">
        <f>IFERROR(VLOOKUP(B2608,'DA1'!$B$2:$D$999999,3,FALSE),"")</f>
      </c>
      <c r="F2608" s="1" t="str">
        <f>IFERROR(VLOOKUP(B2608,'SB1'!$A$2:$C$999999,3,FALSE),"")</f>
        <v>503</v>
      </c>
      <c r="G2608" s="3" t="e">
        <f t="shared" si="90"/>
        <v>#VALUE!</v>
      </c>
      <c r="H2608" s="3" t="e">
        <f t="shared" si="93"/>
        <v>#VALUE!</v>
      </c>
      <c r="I2608" s="1">
        <v>1</v>
      </c>
    </row>
    <row r="2609" spans="1:9" x14ac:dyDescent="0.25">
      <c r="A2609" s="1" t="s">
        <v>14435</v>
      </c>
      <c r="B2609" s="1" t="s">
        <v>7567</v>
      </c>
      <c r="C2609" s="1" t="str">
        <f>IFERROR(VLOOKUP(B2609,'SB1'!$A$2:$B$999999,2,FALSE),"")</f>
        <v>MASILLA PARA YESO TERSUAVE X 32</v>
      </c>
      <c r="D2609" s="1" t="s">
        <v>14437</v>
      </c>
      <c r="E2609" s="3">
        <f>IFERROR(VLOOKUP(B2609,'DA1'!$B$2:$D$999999,3,FALSE),"")</f>
      </c>
      <c r="F2609" s="1" t="str">
        <f>IFERROR(VLOOKUP(B2609,'SB1'!$A$2:$C$999999,3,FALSE),"")</f>
        <v>503</v>
      </c>
      <c r="G2609" s="3" t="e">
        <f t="shared" si="90"/>
        <v>#VALUE!</v>
      </c>
      <c r="H2609" s="3" t="e">
        <f t="shared" si="93"/>
        <v>#VALUE!</v>
      </c>
      <c r="I2609" s="1">
        <v>1</v>
      </c>
    </row>
    <row r="2610" spans="1:9" x14ac:dyDescent="0.25">
      <c r="A2610" s="1" t="s">
        <v>14435</v>
      </c>
      <c r="B2610" s="1" t="s">
        <v>7573</v>
      </c>
      <c r="C2610" s="1" t="str">
        <f>IFERROR(VLOOKUP(B2610,'SB1'!$A$2:$B$999999,2,FALSE),"")</f>
        <v>MAMELUCO MICROPERFORADO RESPIRABLE BLANCO 60G #XL(MR60XL)</v>
      </c>
      <c r="D2610" s="1" t="s">
        <v>14436</v>
      </c>
      <c r="E2610" s="3">
        <f>IFERROR(VLOOKUP(B2610,'DA1'!$B$2:$D$999999,3,FALSE),"")</f>
      </c>
      <c r="F2610" s="1" t="str">
        <f>IFERROR(VLOOKUP(B2610,'SB1'!$A$2:$C$999999,3,FALSE),"")</f>
        <v>503</v>
      </c>
      <c r="G2610" s="3" t="e">
        <f t="shared" si="90"/>
        <v>#VALUE!</v>
      </c>
      <c r="H2610" s="3" t="e">
        <f t="shared" si="93"/>
        <v>#VALUE!</v>
      </c>
      <c r="I2610" s="1">
        <v>1</v>
      </c>
    </row>
    <row r="2611" spans="1:9" x14ac:dyDescent="0.25">
      <c r="A2611" s="1" t="s">
        <v>14435</v>
      </c>
      <c r="B2611" s="1" t="s">
        <v>7575</v>
      </c>
      <c r="C2611" s="1" t="str">
        <f>IFERROR(VLOOKUP(B2611,'SB1'!$A$2:$B$999999,2,FALSE),"")</f>
        <v>MAMELUCO MICROPERFORADO RESPIRABLE BLANCO 60G #XXL(MR60XXL)</v>
      </c>
      <c r="D2611" s="1" t="s">
        <v>14436</v>
      </c>
      <c r="E2611" s="3">
        <f>IFERROR(VLOOKUP(B2611,'DA1'!$B$2:$D$999999,3,FALSE),"")</f>
      </c>
      <c r="F2611" s="1" t="str">
        <f>IFERROR(VLOOKUP(B2611,'SB1'!$A$2:$C$999999,3,FALSE),"")</f>
        <v>503</v>
      </c>
      <c r="G2611" s="3" t="e">
        <f t="shared" si="90"/>
        <v>#VALUE!</v>
      </c>
      <c r="H2611" s="3" t="e">
        <f t="shared" si="93"/>
        <v>#VALUE!</v>
      </c>
      <c r="I2611" s="1">
        <v>1</v>
      </c>
    </row>
    <row r="2612" spans="1:9" x14ac:dyDescent="0.25">
      <c r="A2612" s="1" t="s">
        <v>14435</v>
      </c>
      <c r="B2612" s="1" t="s">
        <v>7577</v>
      </c>
      <c r="C2612" s="1" t="str">
        <f>IFERROR(VLOOKUP(B2612,'SB1'!$A$2:$B$999999,2,FALSE),"")</f>
        <v>AEROSOL RUST-OLEUM US 1600 INVERTIDO AGUA AZUL REAL BRILLANTE X 0,482(318193)</v>
      </c>
      <c r="D2612" s="1" t="s">
        <v>14498</v>
      </c>
      <c r="E2612" s="3">
        <f>IFERROR(VLOOKUP(B2612,'DA1'!$B$2:$D$999999,3,FALSE),"")</f>
      </c>
      <c r="F2612" s="1" t="str">
        <f>IFERROR(VLOOKUP(B2612,'SB1'!$A$2:$C$999999,3,FALSE),"")</f>
        <v>503</v>
      </c>
      <c r="G2612" s="3" t="e">
        <f t="shared" si="90"/>
        <v>#VALUE!</v>
      </c>
      <c r="H2612" s="3" t="e">
        <f t="shared" si="93"/>
        <v>#VALUE!</v>
      </c>
      <c r="I2612" s="1">
        <v>1</v>
      </c>
    </row>
    <row r="2613" spans="1:9" x14ac:dyDescent="0.25">
      <c r="A2613" s="1" t="s">
        <v>14435</v>
      </c>
      <c r="B2613" s="1" t="s">
        <v>7579</v>
      </c>
      <c r="C2613" s="1" t="str">
        <f>IFERROR(VLOOKUP(B2613,'SB1'!$A$2:$B$999999,2,FALSE),"")</f>
        <v>AEROSOL RUST-OLEUM US 1600 INVERTIDO AGUA  AMARILLO BRILLANTE X 0,482(206045)</v>
      </c>
      <c r="D2613" s="1" t="s">
        <v>14498</v>
      </c>
      <c r="E2613" s="3">
        <f>IFERROR(VLOOKUP(B2613,'DA1'!$B$2:$D$999999,3,FALSE),"")</f>
      </c>
      <c r="F2613" s="1" t="str">
        <f>IFERROR(VLOOKUP(B2613,'SB1'!$A$2:$C$999999,3,FALSE),"")</f>
        <v>503</v>
      </c>
      <c r="G2613" s="3" t="e">
        <f t="shared" si="90"/>
        <v>#VALUE!</v>
      </c>
      <c r="H2613" s="3" t="e">
        <f t="shared" si="93"/>
        <v>#VALUE!</v>
      </c>
      <c r="I2613" s="1">
        <v>1</v>
      </c>
    </row>
    <row r="2614" spans="1:9" x14ac:dyDescent="0.25">
      <c r="A2614" s="1" t="s">
        <v>14435</v>
      </c>
      <c r="B2614" s="1" t="s">
        <v>7581</v>
      </c>
      <c r="C2614" s="1" t="str">
        <f>IFERROR(VLOOKUP(B2614,'SB1'!$A$2:$B$999999,2,FALSE),"")</f>
        <v>AEROSOL RUST-OLEUM US 1800 INVERTIDO AGUA ROJO SEG MATE X 0,482(203038)</v>
      </c>
      <c r="D2614" s="1" t="s">
        <v>14498</v>
      </c>
      <c r="E2614" s="3">
        <f>IFERROR(VLOOKUP(B2614,'DA1'!$B$2:$D$999999,3,FALSE),"")</f>
      </c>
      <c r="F2614" s="1" t="str">
        <f>IFERROR(VLOOKUP(B2614,'SB1'!$A$2:$C$999999,3,FALSE),"")</f>
        <v>503</v>
      </c>
      <c r="G2614" s="3" t="e">
        <f t="shared" si="90"/>
        <v>#VALUE!</v>
      </c>
      <c r="H2614" s="3" t="e">
        <f t="shared" si="93"/>
        <v>#VALUE!</v>
      </c>
      <c r="I2614" s="1">
        <v>1</v>
      </c>
    </row>
    <row r="2615" spans="1:9" x14ac:dyDescent="0.25">
      <c r="A2615" s="1" t="s">
        <v>14435</v>
      </c>
      <c r="B2615" s="1" t="s">
        <v>7583</v>
      </c>
      <c r="C2615" s="1" t="str">
        <f>IFERROR(VLOOKUP(B2615,'SB1'!$A$2:$B$999999,2,FALSE),"")</f>
        <v>AEROSOL RUST-OLEUM US 1600 INVERTIDO AGUA BLANCO SATINADO X 0,482(206043)</v>
      </c>
      <c r="D2615" s="1" t="s">
        <v>14498</v>
      </c>
      <c r="E2615" s="3">
        <f>IFERROR(VLOOKUP(B2615,'DA1'!$B$2:$D$999999,3,FALSE),"")</f>
      </c>
      <c r="F2615" s="1" t="str">
        <f>IFERROR(VLOOKUP(B2615,'SB1'!$A$2:$C$999999,3,FALSE),"")</f>
        <v>503</v>
      </c>
      <c r="G2615" s="3" t="e">
        <f t="shared" si="90"/>
        <v>#VALUE!</v>
      </c>
      <c r="H2615" s="3" t="e">
        <f t="shared" si="93"/>
        <v>#VALUE!</v>
      </c>
      <c r="I2615" s="1">
        <v>1</v>
      </c>
    </row>
    <row r="2616" spans="1:9" x14ac:dyDescent="0.25">
      <c r="A2616" s="1" t="s">
        <v>14435</v>
      </c>
      <c r="B2616" s="1" t="s">
        <v>7585</v>
      </c>
      <c r="C2616" s="1" t="str">
        <f>IFERROR(VLOOKUP(B2616,'SB1'!$A$2:$B$999999,2,FALSE),"")</f>
        <v>EPOXI 100% SOLIDOS CS 6500 RUST OLEUM TRANSPARENTE X 2,34 (357509)</v>
      </c>
      <c r="D2616" s="1" t="s">
        <v>14498</v>
      </c>
      <c r="E2616" s="3">
        <f>IFERROR(VLOOKUP(B2616,'DA1'!$B$2:$D$999999,3,FALSE),"")</f>
      </c>
      <c r="F2616" s="1" t="str">
        <f>IFERROR(VLOOKUP(B2616,'SB1'!$A$2:$C$999999,3,FALSE),"")</f>
        <v>503</v>
      </c>
      <c r="G2616" s="3" t="e">
        <f t="shared" si="90"/>
        <v>#VALUE!</v>
      </c>
      <c r="H2616" s="3" t="e">
        <f t="shared" si="93"/>
        <v>#VALUE!</v>
      </c>
      <c r="I2616" s="1">
        <v>1</v>
      </c>
    </row>
    <row r="2617" spans="1:9" x14ac:dyDescent="0.25">
      <c r="A2617" s="1" t="s">
        <v>14435</v>
      </c>
      <c r="B2617" s="1" t="s">
        <v>7587</v>
      </c>
      <c r="C2617" s="1" t="str">
        <f>IFERROR(VLOOKUP(B2617,'SB1'!$A$2:$B$999999,2,FALSE),"")</f>
        <v>3D BOLSO MULTIUSO P/HERRAMIENTAS (J-073D)</v>
      </c>
      <c r="D2617" s="1" t="s">
        <v>14439</v>
      </c>
      <c r="E2617" s="3">
        <f>IFERROR(VLOOKUP(B2617,'DA1'!$B$2:$D$999999,3,FALSE),"")</f>
      </c>
      <c r="F2617" s="1" t="str">
        <f>IFERROR(VLOOKUP(B2617,'SB1'!$A$2:$C$999999,3,FALSE),"")</f>
        <v>503</v>
      </c>
      <c r="G2617" s="3" t="e">
        <f t="shared" si="90"/>
        <v>#VALUE!</v>
      </c>
      <c r="H2617" s="3" t="e">
        <f t="shared" si="93"/>
        <v>#VALUE!</v>
      </c>
      <c r="I2617" s="1">
        <v>1</v>
      </c>
    </row>
    <row r="2618" spans="1:9" x14ac:dyDescent="0.25">
      <c r="A2618" s="1" t="s">
        <v>14435</v>
      </c>
      <c r="B2618" s="1" t="s">
        <v>7589</v>
      </c>
      <c r="C2618" s="1" t="str">
        <f>IFERROR(VLOOKUP(B2618,'SB1'!$A$2:$B$999999,2,FALSE),"")</f>
        <v>PIEDRA PARA RECOLECCION DE PELOS 3D (M-20S)</v>
      </c>
      <c r="D2618" s="1" t="s">
        <v>14499</v>
      </c>
      <c r="E2618" s="3">
        <f>IFERROR(VLOOKUP(B2618,'DA1'!$B$2:$D$999999,3,FALSE),"")</f>
      </c>
      <c r="F2618" s="1" t="str">
        <f>IFERROR(VLOOKUP(B2618,'SB1'!$A$2:$C$999999,3,FALSE),"")</f>
        <v>503</v>
      </c>
      <c r="G2618" s="3" t="e">
        <f t="shared" si="90"/>
        <v>#VALUE!</v>
      </c>
      <c r="H2618" s="3" t="e">
        <f t="shared" si="93"/>
        <v>#VALUE!</v>
      </c>
      <c r="I2618" s="1">
        <v>1</v>
      </c>
    </row>
    <row r="2619" spans="1:9" x14ac:dyDescent="0.25">
      <c r="A2619" s="1" t="s">
        <v>14435</v>
      </c>
      <c r="B2619" s="1" t="s">
        <v>7591</v>
      </c>
      <c r="C2619" s="1" t="str">
        <f>IFERROR(VLOOKUP(B2619,'SB1'!$A$2:$B$999999,2,FALSE),"")</f>
        <v>CINTA AUTOMOTOR DOBLE A ULTRA (C974) 18MM X 40M</v>
      </c>
      <c r="D2619" s="1" t="s">
        <v>14451</v>
      </c>
      <c r="E2619" s="3">
        <f>IFERROR(VLOOKUP(B2619,'DA1'!$B$2:$D$999999,3,FALSE),"")</f>
      </c>
      <c r="F2619" s="1" t="str">
        <f>IFERROR(VLOOKUP(B2619,'SB1'!$A$2:$C$999999,3,FALSE),"")</f>
        <v>503</v>
      </c>
      <c r="G2619" s="3" t="e">
        <f t="shared" si="90"/>
        <v>#VALUE!</v>
      </c>
      <c r="H2619" s="3" t="e">
        <f t="shared" si="93"/>
        <v>#VALUE!</v>
      </c>
      <c r="I2619" s="1">
        <v>1</v>
      </c>
    </row>
    <row r="2620" spans="1:9" x14ac:dyDescent="0.25">
      <c r="A2620" s="1" t="s">
        <v>14435</v>
      </c>
      <c r="B2620" s="1" t="s">
        <v>7593</v>
      </c>
      <c r="C2620" s="1" t="str">
        <f>IFERROR(VLOOKUP(B2620,'SB1'!$A$2:$B$999999,2,FALSE),"")</f>
        <v>CINTA AUTOMOTOR DOBLE A ULTRA (C974) 24MM X 40M</v>
      </c>
      <c r="D2620" s="1" t="s">
        <v>14451</v>
      </c>
      <c r="E2620" s="3">
        <f>IFERROR(VLOOKUP(B2620,'DA1'!$B$2:$D$999999,3,FALSE),"")</f>
      </c>
      <c r="F2620" s="1" t="str">
        <f>IFERROR(VLOOKUP(B2620,'SB1'!$A$2:$C$999999,3,FALSE),"")</f>
        <v>503</v>
      </c>
      <c r="G2620" s="3" t="e">
        <f t="shared" si="90"/>
        <v>#VALUE!</v>
      </c>
      <c r="H2620" s="3" t="e">
        <f t="shared" si="93"/>
        <v>#VALUE!</v>
      </c>
      <c r="I2620" s="1">
        <v>1</v>
      </c>
    </row>
    <row r="2621" spans="1:9" x14ac:dyDescent="0.25">
      <c r="A2621" s="1" t="s">
        <v>14435</v>
      </c>
      <c r="B2621" s="1" t="s">
        <v>7595</v>
      </c>
      <c r="C2621" s="1" t="str">
        <f>IFERROR(VLOOKUP(B2621,'SB1'!$A$2:$B$999999,2,FALSE),"")</f>
        <v>CINTA AUTOMOTOR DOBLE A ULTRA (C974) 48MM X 40M</v>
      </c>
      <c r="D2621" s="1" t="s">
        <v>14451</v>
      </c>
      <c r="E2621" s="3">
        <f>IFERROR(VLOOKUP(B2621,'DA1'!$B$2:$D$999999,3,FALSE),"")</f>
      </c>
      <c r="F2621" s="1" t="str">
        <f>IFERROR(VLOOKUP(B2621,'SB1'!$A$2:$C$999999,3,FALSE),"")</f>
        <v>503</v>
      </c>
      <c r="G2621" s="3" t="e">
        <f t="shared" si="90"/>
        <v>#VALUE!</v>
      </c>
      <c r="H2621" s="3" t="e">
        <f t="shared" si="93"/>
        <v>#VALUE!</v>
      </c>
      <c r="I2621" s="1">
        <v>1</v>
      </c>
    </row>
    <row r="2622" spans="1:9" x14ac:dyDescent="0.25">
      <c r="A2622" s="1" t="s">
        <v>14435</v>
      </c>
      <c r="B2622" s="1" t="s">
        <v>7597</v>
      </c>
      <c r="C2622" s="1" t="str">
        <f>IFERROR(VLOOKUP(B2622,'SB1'!$A$2:$B$999999,2,FALSE),"")</f>
        <v>MINI ANDAMIO EQUUS</v>
      </c>
      <c r="D2622" s="1" t="s">
        <v>14493</v>
      </c>
      <c r="E2622" s="3">
        <f>IFERROR(VLOOKUP(B2622,'DA1'!$B$2:$D$999999,3,FALSE),"")</f>
      </c>
      <c r="F2622" s="1" t="str">
        <f>IFERROR(VLOOKUP(B2622,'SB1'!$A$2:$C$999999,3,FALSE),"")</f>
        <v>503</v>
      </c>
      <c r="G2622" s="3" t="e">
        <f t="shared" si="90"/>
        <v>#VALUE!</v>
      </c>
      <c r="H2622" s="3" t="e">
        <f t="shared" si="93"/>
        <v>#VALUE!</v>
      </c>
      <c r="I2622" s="1">
        <v>2</v>
      </c>
    </row>
    <row r="2623" spans="1:9" x14ac:dyDescent="0.25">
      <c r="A2623" s="1" t="s">
        <v>14435</v>
      </c>
      <c r="B2623" s="1" t="s">
        <v>7599</v>
      </c>
      <c r="C2623" s="1" t="str">
        <f>IFERROR(VLOOKUP(B2623,'SB1'!$A$2:$B$999999,2,FALSE),"")</f>
        <v>CR-338 VERMEHO OXIDO REDUZIDO X 1</v>
      </c>
      <c r="D2623" s="1" t="s">
        <v>14454</v>
      </c>
      <c r="E2623" s="3">
        <f>IFERROR(VLOOKUP(B2623,'DA1'!$B$2:$D$999999,3,FALSE),"")</f>
      </c>
      <c r="F2623" s="1" t="str">
        <f>IFERROR(VLOOKUP(B2623,'SB1'!$A$2:$C$999999,3,FALSE),"")</f>
        <v>503</v>
      </c>
      <c r="G2623" s="3" t="e">
        <f t="shared" si="90"/>
        <v>#VALUE!</v>
      </c>
      <c r="H2623" s="3" t="e">
        <f t="shared" si="93"/>
        <v>#VALUE!</v>
      </c>
      <c r="I2623" s="1">
        <v>3</v>
      </c>
    </row>
    <row r="2624" spans="1:9" x14ac:dyDescent="0.25">
      <c r="A2624" s="1" t="s">
        <v>14435</v>
      </c>
      <c r="B2624" s="1" t="s">
        <v>7601</v>
      </c>
      <c r="C2624" s="1" t="str">
        <f>IFERROR(VLOOKUP(B2624,'SB1'!$A$2:$B$999999,2,FALSE),"")</f>
        <v>CR-377 ESVERDEADO REDUZIDO X 1</v>
      </c>
      <c r="D2624" s="1" t="s">
        <v>14454</v>
      </c>
      <c r="E2624" s="3">
        <f>IFERROR(VLOOKUP(B2624,'DA1'!$B$2:$D$999999,3,FALSE),"")</f>
      </c>
      <c r="F2624" s="1" t="str">
        <f>IFERROR(VLOOKUP(B2624,'SB1'!$A$2:$C$999999,3,FALSE),"")</f>
        <v>503</v>
      </c>
      <c r="G2624" s="3" t="e">
        <f t="shared" si="90"/>
        <v>#VALUE!</v>
      </c>
      <c r="H2624" s="3" t="e">
        <f t="shared" si="93"/>
        <v>#VALUE!</v>
      </c>
      <c r="I2624" s="1">
        <v>3</v>
      </c>
    </row>
    <row r="2625" spans="1:9" x14ac:dyDescent="0.25">
      <c r="A2625" s="1" t="s">
        <v>14435</v>
      </c>
      <c r="B2625" s="1" t="s">
        <v>7607</v>
      </c>
      <c r="C2625" s="1" t="str">
        <f>IFERROR(VLOOKUP(B2625,'SB1'!$A$2:$B$999999,2,FALSE),"")</f>
        <v>FONDO CONVERTIDOR DE OXIDO TERSUAVE MATE BLANCO X 20</v>
      </c>
      <c r="D2625" s="1" t="s">
        <v>14437</v>
      </c>
      <c r="E2625" s="3">
        <f>IFERROR(VLOOKUP(B2625,'DA1'!$B$2:$D$999999,3,FALSE),"")</f>
      </c>
      <c r="F2625" s="1" t="str">
        <f>IFERROR(VLOOKUP(B2625,'SB1'!$A$2:$C$999999,3,FALSE),"")</f>
        <v>503</v>
      </c>
      <c r="G2625" s="3" t="e">
        <f t="shared" si="90"/>
        <v>#VALUE!</v>
      </c>
      <c r="H2625" s="3" t="e">
        <f t="shared" si="93"/>
        <v>#VALUE!</v>
      </c>
      <c r="I2625" s="1">
        <v>1</v>
      </c>
    </row>
    <row r="2626" spans="1:9" x14ac:dyDescent="0.25">
      <c r="A2626" s="1" t="s">
        <v>14435</v>
      </c>
      <c r="B2626" s="1" t="s">
        <v>7609</v>
      </c>
      <c r="C2626" s="1" t="str">
        <f>IFERROR(VLOOKUP(B2626,'SB1'!$A$2:$B$999999,2,FALSE),"")</f>
        <v>FONDO CONVERTIDOR DE OXIDO TERSUAVE MATE GRIS X 20</v>
      </c>
      <c r="D2626" s="1" t="s">
        <v>14437</v>
      </c>
      <c r="E2626" s="3">
        <f>IFERROR(VLOOKUP(B2626,'DA1'!$B$2:$D$999999,3,FALSE),"")</f>
      </c>
      <c r="F2626" s="1" t="str">
        <f>IFERROR(VLOOKUP(B2626,'SB1'!$A$2:$C$999999,3,FALSE),"")</f>
        <v>503</v>
      </c>
      <c r="G2626" s="3" t="e">
        <f t="shared" si="90"/>
        <v>#VALUE!</v>
      </c>
      <c r="H2626" s="3" t="e">
        <f t="shared" si="93"/>
        <v>#VALUE!</v>
      </c>
      <c r="I2626" s="1">
        <v>1</v>
      </c>
    </row>
    <row r="2627" spans="1:9" x14ac:dyDescent="0.25">
      <c r="A2627" s="1" t="s">
        <v>14435</v>
      </c>
      <c r="B2627" s="1" t="s">
        <v>7613</v>
      </c>
      <c r="C2627" s="1" t="str">
        <f>IFERROR(VLOOKUP(B2627,'SB1'!$A$2:$B$999999,2,FALSE),"")</f>
        <v>FONDO CONVERTIDOR DE OXIDO TERSUAVE MATE NEGRO X 20</v>
      </c>
      <c r="D2627" s="1" t="s">
        <v>14437</v>
      </c>
      <c r="E2627" s="3">
        <f>IFERROR(VLOOKUP(B2627,'DA1'!$B$2:$D$999999,3,FALSE),"")</f>
      </c>
      <c r="F2627" s="1" t="str">
        <f>IFERROR(VLOOKUP(B2627,'SB1'!$A$2:$C$999999,3,FALSE),"")</f>
        <v>503</v>
      </c>
      <c r="G2627" s="3" t="e">
        <f t="shared" ref="G2627:G2690" si="94">E2627*1.04</f>
        <v>#VALUE!</v>
      </c>
      <c r="H2627" s="3" t="e">
        <f t="shared" si="93"/>
        <v>#VALUE!</v>
      </c>
      <c r="I2627" s="1">
        <v>1</v>
      </c>
    </row>
    <row r="2628" spans="1:9" x14ac:dyDescent="0.25">
      <c r="A2628" s="1" t="s">
        <v>14435</v>
      </c>
      <c r="B2628" s="1" t="s">
        <v>7615</v>
      </c>
      <c r="C2628" s="1" t="str">
        <f>IFERROR(VLOOKUP(B2628,'SB1'!$A$2:$B$999999,2,FALSE),"")</f>
        <v>CX-10 3B EFEITO PRATA CRISTAL X 0 33</v>
      </c>
      <c r="D2628" s="1" t="s">
        <v>14454</v>
      </c>
      <c r="E2628" s="3">
        <f>IFERROR(VLOOKUP(B2628,'DA1'!$B$2:$D$999999,3,FALSE),"")</f>
      </c>
      <c r="F2628" s="1" t="str">
        <f>IFERROR(VLOOKUP(B2628,'SB1'!$A$2:$C$999999,3,FALSE),"")</f>
        <v>503</v>
      </c>
      <c r="G2628" s="3" t="e">
        <f t="shared" si="94"/>
        <v>#VALUE!</v>
      </c>
      <c r="H2628" s="3" t="e">
        <f t="shared" si="93"/>
        <v>#VALUE!</v>
      </c>
      <c r="I2628" s="1">
        <v>3</v>
      </c>
    </row>
    <row r="2629" spans="1:9" x14ac:dyDescent="0.25">
      <c r="A2629" s="1" t="s">
        <v>14435</v>
      </c>
      <c r="B2629" s="1" t="s">
        <v>7617</v>
      </c>
      <c r="C2629" s="1" t="str">
        <f>IFERROR(VLOOKUP(B2629,'SB1'!$A$2:$B$999999,2,FALSE),"")</f>
        <v>FONDO CONVERTIDOR DE OXIDO TERSUAVE MATE ROJO X 20</v>
      </c>
      <c r="D2629" s="1" t="s">
        <v>14437</v>
      </c>
      <c r="E2629" s="3">
        <f>IFERROR(VLOOKUP(B2629,'DA1'!$B$2:$D$999999,3,FALSE),"")</f>
      </c>
      <c r="F2629" s="1" t="str">
        <f>IFERROR(VLOOKUP(B2629,'SB1'!$A$2:$C$999999,3,FALSE),"")</f>
        <v>503</v>
      </c>
      <c r="G2629" s="3" t="e">
        <f t="shared" si="94"/>
        <v>#VALUE!</v>
      </c>
      <c r="H2629" s="3" t="e">
        <f t="shared" si="93"/>
        <v>#VALUE!</v>
      </c>
      <c r="I2629" s="1">
        <v>1</v>
      </c>
    </row>
    <row r="2630" spans="1:9" x14ac:dyDescent="0.25">
      <c r="A2630" s="1" t="s">
        <v>14435</v>
      </c>
      <c r="B2630" s="1" t="s">
        <v>7627</v>
      </c>
      <c r="C2630" s="1" t="str">
        <f>IFERROR(VLOOKUP(B2630,'SB1'!$A$2:$B$999999,2,FALSE),"")</f>
        <v>PROLONGADOR ZEOCAR 5/8 A 5/8 (101)</v>
      </c>
      <c r="D2630" s="1" t="s">
        <v>14473</v>
      </c>
      <c r="E2630" s="3">
        <f>IFERROR(VLOOKUP(B2630,'DA1'!$B$2:$D$999999,3,FALSE),"")</f>
      </c>
      <c r="F2630" s="1" t="str">
        <f>IFERROR(VLOOKUP(B2630,'SB1'!$A$2:$C$999999,3,FALSE),"")</f>
        <v>503</v>
      </c>
      <c r="G2630" s="3" t="e">
        <f t="shared" si="94"/>
        <v>#VALUE!</v>
      </c>
      <c r="H2630" s="3" t="e">
        <f t="shared" si="93"/>
        <v>#VALUE!</v>
      </c>
      <c r="I2630" s="1">
        <v>1</v>
      </c>
    </row>
    <row r="2631" spans="1:9" x14ac:dyDescent="0.25">
      <c r="A2631" s="1" t="s">
        <v>14435</v>
      </c>
      <c r="B2631" s="1" t="s">
        <v>7629</v>
      </c>
      <c r="C2631" s="1" t="str">
        <f>IFERROR(VLOOKUP(B2631,'SB1'!$A$2:$B$999999,2,FALSE),"")</f>
        <v>CX-11 3B EFEITO OURO X 0 33</v>
      </c>
      <c r="D2631" s="1" t="s">
        <v>14454</v>
      </c>
      <c r="E2631" s="3">
        <f>IFERROR(VLOOKUP(B2631,'DA1'!$B$2:$D$999999,3,FALSE),"")</f>
      </c>
      <c r="F2631" s="1" t="str">
        <f>IFERROR(VLOOKUP(B2631,'SB1'!$A$2:$C$999999,3,FALSE),"")</f>
        <v>503</v>
      </c>
      <c r="G2631" s="3" t="e">
        <f t="shared" si="94"/>
        <v>#VALUE!</v>
      </c>
      <c r="H2631" s="3" t="e">
        <f t="shared" si="93"/>
        <v>#VALUE!</v>
      </c>
      <c r="I2631" s="1">
        <v>3</v>
      </c>
    </row>
    <row r="2632" spans="1:9" x14ac:dyDescent="0.25">
      <c r="A2632" s="1" t="s">
        <v>14435</v>
      </c>
      <c r="B2632" s="1" t="s">
        <v>7635</v>
      </c>
      <c r="C2632" s="1" t="str">
        <f>IFERROR(VLOOKUP(B2632,'SB1'!$A$2:$B$999999,2,FALSE),"")</f>
        <v>PERFUME PARA AUTO 3D NEUTRALIZADOR X 0,100</v>
      </c>
      <c r="D2632" s="1" t="s">
        <v>14439</v>
      </c>
      <c r="E2632" s="3">
        <f>IFERROR(VLOOKUP(B2632,'DA1'!$B$2:$D$999999,3,FALSE),"")</f>
      </c>
      <c r="F2632" s="1" t="str">
        <f>IFERROR(VLOOKUP(B2632,'SB1'!$A$2:$C$999999,3,FALSE),"")</f>
        <v>503</v>
      </c>
      <c r="G2632" s="3" t="e">
        <f t="shared" si="94"/>
        <v>#VALUE!</v>
      </c>
      <c r="H2632" s="3" t="e">
        <f t="shared" si="93"/>
        <v>#VALUE!</v>
      </c>
      <c r="I2632" s="1">
        <v>1</v>
      </c>
    </row>
    <row r="2633" spans="1:9" x14ac:dyDescent="0.25">
      <c r="A2633" s="1" t="s">
        <v>14435</v>
      </c>
      <c r="B2633" s="1" t="s">
        <v>7639</v>
      </c>
      <c r="C2633" s="1" t="str">
        <f>IFERROR(VLOOKUP(B2633,'SB1'!$A$2:$B$999999,2,FALSE),"")</f>
        <v>PERFUME PARA AUTO 3D COCO X 0,100</v>
      </c>
      <c r="D2633" s="1" t="s">
        <v>14439</v>
      </c>
      <c r="E2633" s="3">
        <f>IFERROR(VLOOKUP(B2633,'DA1'!$B$2:$D$999999,3,FALSE),"")</f>
      </c>
      <c r="F2633" s="1" t="str">
        <f>IFERROR(VLOOKUP(B2633,'SB1'!$A$2:$C$999999,3,FALSE),"")</f>
        <v>503</v>
      </c>
      <c r="G2633" s="3" t="e">
        <f t="shared" si="94"/>
        <v>#VALUE!</v>
      </c>
      <c r="H2633" s="3" t="e">
        <f t="shared" si="93"/>
        <v>#VALUE!</v>
      </c>
      <c r="I2633" s="1">
        <v>1</v>
      </c>
    </row>
    <row r="2634" spans="1:9" x14ac:dyDescent="0.25">
      <c r="A2634" s="1" t="s">
        <v>14435</v>
      </c>
      <c r="B2634" s="1" t="s">
        <v>7641</v>
      </c>
      <c r="C2634" s="1" t="str">
        <f>IFERROR(VLOOKUP(B2634,'SB1'!$A$2:$B$999999,2,FALSE),"")</f>
        <v>PERFUME PARA AUTO 3D ANANA X 0,100</v>
      </c>
      <c r="D2634" s="1" t="s">
        <v>14439</v>
      </c>
      <c r="E2634" s="3">
        <f>IFERROR(VLOOKUP(B2634,'DA1'!$B$2:$D$999999,3,FALSE),"")</f>
      </c>
      <c r="F2634" s="1" t="str">
        <f>IFERROR(VLOOKUP(B2634,'SB1'!$A$2:$C$999999,3,FALSE),"")</f>
        <v>503</v>
      </c>
      <c r="G2634" s="3" t="e">
        <f t="shared" si="94"/>
        <v>#VALUE!</v>
      </c>
      <c r="H2634" s="3" t="e">
        <f t="shared" si="93"/>
        <v>#VALUE!</v>
      </c>
      <c r="I2634" s="1">
        <v>1</v>
      </c>
    </row>
    <row r="2635" spans="1:9" x14ac:dyDescent="0.25">
      <c r="A2635" s="1" t="s">
        <v>14435</v>
      </c>
      <c r="B2635" s="1" t="s">
        <v>7643</v>
      </c>
      <c r="C2635" s="1" t="str">
        <f>IFERROR(VLOOKUP(B2635,'SB1'!$A$2:$B$999999,2,FALSE),"")</f>
        <v>PERFUME PARA AUTO 3D FRUTILLA X 0,100</v>
      </c>
      <c r="D2635" s="1" t="s">
        <v>14439</v>
      </c>
      <c r="E2635" s="3">
        <f>IFERROR(VLOOKUP(B2635,'DA1'!$B$2:$D$999999,3,FALSE),"")</f>
      </c>
      <c r="F2635" s="1" t="str">
        <f>IFERROR(VLOOKUP(B2635,'SB1'!$A$2:$C$999999,3,FALSE),"")</f>
        <v>503</v>
      </c>
      <c r="G2635" s="3" t="e">
        <f t="shared" si="94"/>
        <v>#VALUE!</v>
      </c>
      <c r="H2635" s="3" t="e">
        <f t="shared" si="93"/>
        <v>#VALUE!</v>
      </c>
      <c r="I2635" s="1">
        <v>1</v>
      </c>
    </row>
    <row r="2636" spans="1:8" x14ac:dyDescent="0.25">
      <c r="A2636" s="1" t="s">
        <v>14435</v>
      </c>
      <c r="B2636" s="1" t="s">
        <v>7645</v>
      </c>
      <c r="C2636" s="1" t="str">
        <f>IFERROR(VLOOKUP(B2636,'SB1'!$A$2:$B$999999,2,FALSE),"")</f>
        <v>PERFUME PARA AUTO 3D CUERO X 0,113</v>
      </c>
      <c r="D2636" s="1" t="s">
        <v>14439</v>
      </c>
      <c r="E2636" s="3">
        <f>IFERROR(VLOOKUP(B2636,'DA1'!$B$2:$D$999999,3,FALSE),"")</f>
      </c>
      <c r="F2636" s="1" t="str">
        <f>IFERROR(VLOOKUP(B2636,'SB1'!$A$2:$C$999999,3,FALSE),"")</f>
        <v>503</v>
      </c>
      <c r="G2636" s="3" t="e">
        <f t="shared" si="94"/>
        <v>#VALUE!</v>
      </c>
      <c r="H2636" s="3" t="e">
        <f t="shared" si="93"/>
        <v>#VALUE!</v>
      </c>
    </row>
    <row r="2637" spans="1:9" x14ac:dyDescent="0.25">
      <c r="A2637" s="1" t="s">
        <v>14435</v>
      </c>
      <c r="B2637" s="1" t="s">
        <v>7647</v>
      </c>
      <c r="C2637" s="1" t="str">
        <f>IFERROR(VLOOKUP(B2637,'SB1'!$A$2:$B$999999,2,FALSE),"")</f>
        <v>PERFUME PARA AUTO 3D CHICLE X 0,100</v>
      </c>
      <c r="D2637" s="1" t="s">
        <v>14439</v>
      </c>
      <c r="E2637" s="3">
        <f>IFERROR(VLOOKUP(B2637,'DA1'!$B$2:$D$999999,3,FALSE),"")</f>
      </c>
      <c r="F2637" s="1" t="str">
        <f>IFERROR(VLOOKUP(B2637,'SB1'!$A$2:$C$999999,3,FALSE),"")</f>
        <v>503</v>
      </c>
      <c r="G2637" s="3" t="e">
        <f t="shared" si="94"/>
        <v>#VALUE!</v>
      </c>
      <c r="H2637" s="3" t="e">
        <f t="shared" si="93"/>
        <v>#VALUE!</v>
      </c>
      <c r="I2637" s="1">
        <v>1</v>
      </c>
    </row>
    <row r="2638" spans="1:9" x14ac:dyDescent="0.25">
      <c r="A2638" s="1" t="s">
        <v>14435</v>
      </c>
      <c r="B2638" s="1" t="s">
        <v>7649</v>
      </c>
      <c r="C2638" s="1" t="str">
        <f>IFERROR(VLOOKUP(B2638,'SB1'!$A$2:$B$999999,2,FALSE),"")</f>
        <v>AEROSOL TERSUAVE ESMALTE SINTETICO FLUO MATE VERDE X 0,440</v>
      </c>
      <c r="D2638" s="1" t="s">
        <v>14437</v>
      </c>
      <c r="E2638" s="3">
        <f>IFERROR(VLOOKUP(B2638,'DA1'!$B$2:$D$999999,3,FALSE),"")</f>
      </c>
      <c r="F2638" s="1" t="str">
        <f>IFERROR(VLOOKUP(B2638,'SB1'!$A$2:$C$999999,3,FALSE),"")</f>
        <v>503</v>
      </c>
      <c r="G2638" s="3" t="e">
        <f t="shared" si="94"/>
        <v>#VALUE!</v>
      </c>
      <c r="H2638" s="3" t="e">
        <f t="shared" si="93"/>
        <v>#VALUE!</v>
      </c>
      <c r="I2638" s="1">
        <v>1</v>
      </c>
    </row>
    <row r="2639" spans="1:9" x14ac:dyDescent="0.25">
      <c r="A2639" s="1" t="s">
        <v>14435</v>
      </c>
      <c r="B2639" s="1" t="s">
        <v>7653</v>
      </c>
      <c r="C2639" s="1" t="str">
        <f>IFERROR(VLOOKUP(B2639,'SB1'!$A$2:$B$999999,2,FALSE),"")</f>
        <v>PERFUME PARA AUTO 3D MANZANA VERDE X 0,100</v>
      </c>
      <c r="D2639" s="1" t="s">
        <v>14439</v>
      </c>
      <c r="E2639" s="3">
        <f>IFERROR(VLOOKUP(B2639,'DA1'!$B$2:$D$999999,3,FALSE),"")</f>
      </c>
      <c r="F2639" s="1" t="str">
        <f>IFERROR(VLOOKUP(B2639,'SB1'!$A$2:$C$999999,3,FALSE),"")</f>
        <v>503</v>
      </c>
      <c r="G2639" s="3" t="e">
        <f t="shared" si="94"/>
        <v>#VALUE!</v>
      </c>
      <c r="H2639" s="3" t="e">
        <f t="shared" si="93"/>
        <v>#VALUE!</v>
      </c>
      <c r="I2639" s="1">
        <v>1</v>
      </c>
    </row>
    <row r="2640" spans="1:9" x14ac:dyDescent="0.25">
      <c r="A2640" s="1" t="s">
        <v>14435</v>
      </c>
      <c r="B2640" s="1" t="s">
        <v>7655</v>
      </c>
      <c r="C2640" s="1" t="str">
        <f>IFERROR(VLOOKUP(B2640,'SB1'!$A$2:$B$999999,2,FALSE),"")</f>
        <v>AEROSOL TERSUAVE ESMALTE SINTETICO FLUO MATE NARANJA X 0,440</v>
      </c>
      <c r="D2640" s="1" t="s">
        <v>14437</v>
      </c>
      <c r="E2640" s="3">
        <f>IFERROR(VLOOKUP(B2640,'DA1'!$B$2:$D$999999,3,FALSE),"")</f>
      </c>
      <c r="F2640" s="1" t="str">
        <f>IFERROR(VLOOKUP(B2640,'SB1'!$A$2:$C$999999,3,FALSE),"")</f>
        <v>503</v>
      </c>
      <c r="G2640" s="3" t="e">
        <f t="shared" si="94"/>
        <v>#VALUE!</v>
      </c>
      <c r="H2640" s="3" t="e">
        <f t="shared" si="93"/>
        <v>#VALUE!</v>
      </c>
      <c r="I2640" s="1">
        <v>1</v>
      </c>
    </row>
    <row r="2641" spans="1:9" x14ac:dyDescent="0.25">
      <c r="A2641" s="1" t="s">
        <v>14435</v>
      </c>
      <c r="B2641" s="1" t="s">
        <v>7657</v>
      </c>
      <c r="C2641" s="1" t="str">
        <f>IFERROR(VLOOKUP(B2641,'SB1'!$A$2:$B$999999,2,FALSE),"")</f>
        <v>PERFUME PARA AUTO 3D PINO DE MONTAÏ¿½A X 0,100</v>
      </c>
      <c r="D2641" s="1" t="s">
        <v>14439</v>
      </c>
      <c r="E2641" s="3">
        <f>IFERROR(VLOOKUP(B2641,'DA1'!$B$2:$D$999999,3,FALSE),"")</f>
      </c>
      <c r="F2641" s="1" t="str">
        <f>IFERROR(VLOOKUP(B2641,'SB1'!$A$2:$C$999999,3,FALSE),"")</f>
        <v>503</v>
      </c>
      <c r="G2641" s="3" t="e">
        <f t="shared" si="94"/>
        <v>#VALUE!</v>
      </c>
      <c r="H2641" s="3" t="e">
        <f t="shared" si="93"/>
        <v>#VALUE!</v>
      </c>
      <c r="I2641" s="1">
        <v>1</v>
      </c>
    </row>
    <row r="2642" spans="1:9" x14ac:dyDescent="0.25">
      <c r="A2642" s="1" t="s">
        <v>14435</v>
      </c>
      <c r="B2642" s="1" t="s">
        <v>7659</v>
      </c>
      <c r="C2642" s="1" t="str">
        <f>IFERROR(VLOOKUP(B2642,'SB1'!$A$2:$B$999999,2,FALSE),"")</f>
        <v>AEROSOL TERSUAVE ESMALTE SINTETICO FLUO MATE AMARILLO X 0,440</v>
      </c>
      <c r="D2642" s="1" t="s">
        <v>14437</v>
      </c>
      <c r="E2642" s="3">
        <f>IFERROR(VLOOKUP(B2642,'DA1'!$B$2:$D$999999,3,FALSE),"")</f>
      </c>
      <c r="F2642" s="1" t="str">
        <f>IFERROR(VLOOKUP(B2642,'SB1'!$A$2:$C$999999,3,FALSE),"")</f>
        <v>503</v>
      </c>
      <c r="G2642" s="3" t="e">
        <f t="shared" si="94"/>
        <v>#VALUE!</v>
      </c>
      <c r="H2642" s="3" t="e">
        <f t="shared" si="93"/>
        <v>#VALUE!</v>
      </c>
      <c r="I2642" s="1">
        <v>1</v>
      </c>
    </row>
    <row r="2643" spans="1:9" x14ac:dyDescent="0.25">
      <c r="A2643" s="1" t="s">
        <v>14435</v>
      </c>
      <c r="B2643" s="1" t="s">
        <v>7661</v>
      </c>
      <c r="C2643" s="1" t="str">
        <f>IFERROR(VLOOKUP(B2643,'SB1'!$A$2:$B$999999,2,FALSE),"")</f>
        <v>PERFUME PARA AUTO 3D VAINILLA X 0,100</v>
      </c>
      <c r="D2643" s="1" t="s">
        <v>14439</v>
      </c>
      <c r="E2643" s="3">
        <f>IFERROR(VLOOKUP(B2643,'DA1'!$B$2:$D$999999,3,FALSE),"")</f>
      </c>
      <c r="F2643" s="1" t="str">
        <f>IFERROR(VLOOKUP(B2643,'SB1'!$A$2:$C$999999,3,FALSE),"")</f>
        <v>503</v>
      </c>
      <c r="G2643" s="3" t="e">
        <f t="shared" si="94"/>
        <v>#VALUE!</v>
      </c>
      <c r="H2643" s="3" t="e">
        <f t="shared" si="93"/>
        <v>#VALUE!</v>
      </c>
      <c r="I2643" s="1">
        <v>1</v>
      </c>
    </row>
    <row r="2644" spans="1:9" x14ac:dyDescent="0.25">
      <c r="A2644" s="1" t="s">
        <v>14435</v>
      </c>
      <c r="B2644" s="1" t="s">
        <v>7663</v>
      </c>
      <c r="C2644" s="1" t="str">
        <f>IFERROR(VLOOKUP(B2644,'SB1'!$A$2:$B$999999,2,FALSE),"")</f>
        <v>PERFUME PARA AUTO 3D TALCO DE BEBE X 0,100</v>
      </c>
      <c r="D2644" s="1" t="s">
        <v>14439</v>
      </c>
      <c r="E2644" s="3">
        <f>IFERROR(VLOOKUP(B2644,'DA1'!$B$2:$D$999999,3,FALSE),"")</f>
      </c>
      <c r="F2644" s="1" t="str">
        <f>IFERROR(VLOOKUP(B2644,'SB1'!$A$2:$C$999999,3,FALSE),"")</f>
        <v>503</v>
      </c>
      <c r="G2644" s="3" t="e">
        <f t="shared" si="94"/>
        <v>#VALUE!</v>
      </c>
      <c r="H2644" s="3" t="e">
        <f t="shared" si="93"/>
        <v>#VALUE!</v>
      </c>
      <c r="I2644" s="1">
        <v>1</v>
      </c>
    </row>
    <row r="2645" spans="1:9" x14ac:dyDescent="0.25">
      <c r="A2645" s="1" t="s">
        <v>14435</v>
      </c>
      <c r="B2645" s="1" t="s">
        <v>7665</v>
      </c>
      <c r="C2645" s="1" t="str">
        <f>IFERROR(VLOOKUP(B2645,'SB1'!$A$2:$B$999999,2,FALSE),"")</f>
        <v>AEROSOL TERSUAVE ESMALTE SINTETICO FLUO MATE FUCSIA X 0,440</v>
      </c>
      <c r="D2645" s="1" t="s">
        <v>14437</v>
      </c>
      <c r="E2645" s="3">
        <f>IFERROR(VLOOKUP(B2645,'DA1'!$B$2:$D$999999,3,FALSE),"")</f>
      </c>
      <c r="F2645" s="1" t="str">
        <f>IFERROR(VLOOKUP(B2645,'SB1'!$A$2:$C$999999,3,FALSE),"")</f>
        <v>503</v>
      </c>
      <c r="G2645" s="3" t="e">
        <f t="shared" si="94"/>
        <v>#VALUE!</v>
      </c>
      <c r="H2645" s="3" t="e">
        <f t="shared" si="93"/>
        <v>#VALUE!</v>
      </c>
      <c r="I2645" s="1">
        <v>1</v>
      </c>
    </row>
    <row r="2646" spans="1:9" x14ac:dyDescent="0.25">
      <c r="A2646" s="1" t="s">
        <v>14435</v>
      </c>
      <c r="B2646" s="1" t="s">
        <v>7667</v>
      </c>
      <c r="C2646" s="1" t="str">
        <f>IFERROR(VLOOKUP(B2646,'SB1'!$A$2:$B$999999,2,FALSE),"")</f>
        <v>PERFUME PARA AUTO 3D JAZMIN X 0,100</v>
      </c>
      <c r="D2646" s="1" t="s">
        <v>14439</v>
      </c>
      <c r="E2646" s="3">
        <f>IFERROR(VLOOKUP(B2646,'DA1'!$B$2:$D$999999,3,FALSE),"")</f>
      </c>
      <c r="F2646" s="1" t="str">
        <f>IFERROR(VLOOKUP(B2646,'SB1'!$A$2:$C$999999,3,FALSE),"")</f>
        <v>503</v>
      </c>
      <c r="G2646" s="3" t="e">
        <f t="shared" si="94"/>
        <v>#VALUE!</v>
      </c>
      <c r="H2646" s="3" t="e">
        <f t="shared" si="93"/>
        <v>#VALUE!</v>
      </c>
      <c r="I2646" s="1">
        <v>1</v>
      </c>
    </row>
    <row r="2647" spans="1:9" x14ac:dyDescent="0.25">
      <c r="A2647" s="1" t="s">
        <v>14435</v>
      </c>
      <c r="B2647" s="1" t="s">
        <v>7669</v>
      </c>
      <c r="C2647" s="1" t="str">
        <f>IFERROR(VLOOKUP(B2647,'SB1'!$A$2:$B$999999,2,FALSE),"")</f>
        <v>AEROSOL TERSUAVE ESMALTE SINTETICO FLUO MATE ROJO X 0,440</v>
      </c>
      <c r="D2647" s="1" t="s">
        <v>14437</v>
      </c>
      <c r="E2647" s="3">
        <f>IFERROR(VLOOKUP(B2647,'DA1'!$B$2:$D$999999,3,FALSE),"")</f>
      </c>
      <c r="F2647" s="1" t="str">
        <f>IFERROR(VLOOKUP(B2647,'SB1'!$A$2:$C$999999,3,FALSE),"")</f>
        <v>503</v>
      </c>
      <c r="G2647" s="3" t="e">
        <f t="shared" si="94"/>
        <v>#VALUE!</v>
      </c>
      <c r="H2647" s="3" t="e">
        <f t="shared" si="93"/>
        <v>#VALUE!</v>
      </c>
      <c r="I2647" s="1">
        <v>1</v>
      </c>
    </row>
    <row r="2648" spans="1:9" x14ac:dyDescent="0.25">
      <c r="A2648" s="1" t="s">
        <v>14435</v>
      </c>
      <c r="B2648" s="1" t="s">
        <v>7671</v>
      </c>
      <c r="C2648" s="1" t="str">
        <f>IFERROR(VLOOKUP(B2648,'SB1'!$A$2:$B$999999,2,FALSE),"")</f>
        <v>FONDO CONVERTIDOR DE OXIDO TERSUAVE MATE VERDE X 20</v>
      </c>
      <c r="D2648" s="1" t="s">
        <v>14437</v>
      </c>
      <c r="E2648" s="3">
        <f>IFERROR(VLOOKUP(B2648,'DA1'!$B$2:$D$999999,3,FALSE),"")</f>
      </c>
      <c r="F2648" s="1" t="str">
        <f>IFERROR(VLOOKUP(B2648,'SB1'!$A$2:$C$999999,3,FALSE),"")</f>
        <v>503</v>
      </c>
      <c r="G2648" s="3" t="e">
        <f t="shared" si="94"/>
        <v>#VALUE!</v>
      </c>
      <c r="H2648" s="3" t="e">
        <f t="shared" si="93"/>
        <v>#VALUE!</v>
      </c>
      <c r="I2648" s="1">
        <v>1</v>
      </c>
    </row>
    <row r="2649" spans="1:9" x14ac:dyDescent="0.25">
      <c r="A2649" s="1" t="s">
        <v>14435</v>
      </c>
      <c r="B2649" s="1" t="s">
        <v>7675</v>
      </c>
      <c r="C2649" s="1" t="str">
        <f>IFERROR(VLOOKUP(B2649,'SB1'!$A$2:$B$999999,2,FALSE),"")</f>
        <v>CX-12 3B EFEITO VERMELHO RUBI X 0 33</v>
      </c>
      <c r="D2649" s="1" t="s">
        <v>14454</v>
      </c>
      <c r="E2649" s="3">
        <f>IFERROR(VLOOKUP(B2649,'DA1'!$B$2:$D$999999,3,FALSE),"")</f>
      </c>
      <c r="F2649" s="1" t="str">
        <f>IFERROR(VLOOKUP(B2649,'SB1'!$A$2:$C$999999,3,FALSE),"")</f>
        <v>503</v>
      </c>
      <c r="G2649" s="3" t="e">
        <f t="shared" si="94"/>
        <v>#VALUE!</v>
      </c>
      <c r="H2649" s="3" t="e">
        <f t="shared" si="93"/>
        <v>#VALUE!</v>
      </c>
      <c r="I2649" s="1">
        <v>3</v>
      </c>
    </row>
    <row r="2650" spans="1:9" x14ac:dyDescent="0.25">
      <c r="A2650" s="1" t="s">
        <v>14435</v>
      </c>
      <c r="B2650" s="1" t="s">
        <v>7683</v>
      </c>
      <c r="C2650" s="1" t="str">
        <f>IFERROR(VLOOKUP(B2650,'SB1'!$A$2:$B$999999,2,FALSE),"")</f>
        <v>CX-13 3B EFEITO AZUL UNIVERSO X 0 33</v>
      </c>
      <c r="D2650" s="1" t="s">
        <v>14454</v>
      </c>
      <c r="E2650" s="3">
        <f>IFERROR(VLOOKUP(B2650,'DA1'!$B$2:$D$999999,3,FALSE),"")</f>
      </c>
      <c r="F2650" s="1" t="str">
        <f>IFERROR(VLOOKUP(B2650,'SB1'!$A$2:$C$999999,3,FALSE),"")</f>
        <v>503</v>
      </c>
      <c r="G2650" s="3" t="e">
        <f t="shared" si="94"/>
        <v>#VALUE!</v>
      </c>
      <c r="H2650" s="3" t="e">
        <f t="shared" si="93"/>
        <v>#VALUE!</v>
      </c>
      <c r="I2650" s="1">
        <v>3</v>
      </c>
    </row>
    <row r="2651" spans="1:9" x14ac:dyDescent="0.25">
      <c r="A2651" s="1" t="s">
        <v>14435</v>
      </c>
      <c r="B2651" s="1" t="s">
        <v>7687</v>
      </c>
      <c r="C2651" s="1" t="str">
        <f>IFERROR(VLOOKUP(B2651,'SB1'!$A$2:$B$999999,2,FALSE),"")</f>
        <v>IMPREGNANTE PARA MADERA CETOL BALANCE CLASSIC SATINADO CAOBA X 10</v>
      </c>
      <c r="D2651" s="1" t="s">
        <v>14445</v>
      </c>
      <c r="E2651" s="3">
        <f>IFERROR(VLOOKUP(B2651,'DA1'!$B$2:$D$999999,3,FALSE),"")</f>
      </c>
      <c r="F2651" s="1" t="str">
        <f>IFERROR(VLOOKUP(B2651,'SB1'!$A$2:$C$999999,3,FALSE),"")</f>
        <v>503</v>
      </c>
      <c r="G2651" s="3" t="e">
        <f t="shared" si="94"/>
        <v>#VALUE!</v>
      </c>
      <c r="H2651" s="3" t="e">
        <f t="shared" si="93"/>
        <v>#VALUE!</v>
      </c>
      <c r="I2651" s="1">
        <v>1</v>
      </c>
    </row>
    <row r="2652" spans="1:9" x14ac:dyDescent="0.25">
      <c r="A2652" s="1" t="s">
        <v>14435</v>
      </c>
      <c r="B2652" s="1" t="s">
        <v>7689</v>
      </c>
      <c r="C2652" s="1" t="str">
        <f>IFERROR(VLOOKUP(B2652,'SB1'!$A$2:$B$999999,2,FALSE),"")</f>
        <v>IMPREGNANTE PARA MADERA CETOL BALANCE CLASSIC SATINADO CEDRO X 10</v>
      </c>
      <c r="D2652" s="1" t="s">
        <v>14445</v>
      </c>
      <c r="E2652" s="3">
        <f>IFERROR(VLOOKUP(B2652,'DA1'!$B$2:$D$999999,3,FALSE),"")</f>
      </c>
      <c r="F2652" s="1" t="str">
        <f>IFERROR(VLOOKUP(B2652,'SB1'!$A$2:$C$999999,3,FALSE),"")</f>
        <v>503</v>
      </c>
      <c r="G2652" s="3" t="e">
        <f t="shared" si="94"/>
        <v>#VALUE!</v>
      </c>
      <c r="H2652" s="3" t="e">
        <f t="shared" si="93"/>
        <v>#VALUE!</v>
      </c>
      <c r="I2652" s="1">
        <v>1</v>
      </c>
    </row>
    <row r="2653" spans="1:9" x14ac:dyDescent="0.25">
      <c r="A2653" s="1" t="s">
        <v>14435</v>
      </c>
      <c r="B2653" s="1" t="s">
        <v>7691</v>
      </c>
      <c r="C2653" s="1" t="str">
        <f>IFERROR(VLOOKUP(B2653,'SB1'!$A$2:$B$999999,2,FALSE),"")</f>
        <v>IMPREGNANTE PARA MADERA CETOL BALANCE CLASSIC SATINADO CRISTAL X 10</v>
      </c>
      <c r="D2653" s="1" t="s">
        <v>14445</v>
      </c>
      <c r="E2653" s="3">
        <f>IFERROR(VLOOKUP(B2653,'DA1'!$B$2:$D$999999,3,FALSE),"")</f>
      </c>
      <c r="F2653" s="1" t="str">
        <f>IFERROR(VLOOKUP(B2653,'SB1'!$A$2:$C$999999,3,FALSE),"")</f>
        <v>503</v>
      </c>
      <c r="G2653" s="3" t="e">
        <f t="shared" si="94"/>
        <v>#VALUE!</v>
      </c>
      <c r="H2653" s="3" t="e">
        <f t="shared" si="93"/>
        <v>#VALUE!</v>
      </c>
      <c r="I2653" s="1">
        <v>1</v>
      </c>
    </row>
    <row r="2654" spans="1:9" x14ac:dyDescent="0.25">
      <c r="A2654" s="1" t="s">
        <v>14435</v>
      </c>
      <c r="B2654" s="1" t="s">
        <v>7693</v>
      </c>
      <c r="C2654" s="1" t="str">
        <f>IFERROR(VLOOKUP(B2654,'SB1'!$A$2:$B$999999,2,FALSE),"")</f>
        <v>IMPREGNANTE PARA MADERA CETOL BALANCE CLASSIC SATINADO NATURAL X 10</v>
      </c>
      <c r="D2654" s="1" t="s">
        <v>14445</v>
      </c>
      <c r="E2654" s="3">
        <f>IFERROR(VLOOKUP(B2654,'DA1'!$B$2:$D$999999,3,FALSE),"")</f>
      </c>
      <c r="F2654" s="1" t="str">
        <f>IFERROR(VLOOKUP(B2654,'SB1'!$A$2:$C$999999,3,FALSE),"")</f>
        <v>503</v>
      </c>
      <c r="G2654" s="3" t="e">
        <f t="shared" si="94"/>
        <v>#VALUE!</v>
      </c>
      <c r="H2654" s="3" t="e">
        <f t="shared" si="93"/>
        <v>#VALUE!</v>
      </c>
      <c r="I2654" s="1">
        <v>1</v>
      </c>
    </row>
    <row r="2655" spans="1:9" x14ac:dyDescent="0.25">
      <c r="A2655" s="1" t="s">
        <v>14435</v>
      </c>
      <c r="B2655" s="1" t="s">
        <v>7695</v>
      </c>
      <c r="C2655" s="1" t="str">
        <f>IFERROR(VLOOKUP(B2655,'SB1'!$A$2:$B$999999,2,FALSE),"")</f>
        <v>IMPREGNANTE PARA MADERA CETOL BALANCE CLASSIC SATINADO NOGAL X 10</v>
      </c>
      <c r="D2655" s="1" t="s">
        <v>14445</v>
      </c>
      <c r="E2655" s="3">
        <f>IFERROR(VLOOKUP(B2655,'DA1'!$B$2:$D$999999,3,FALSE),"")</f>
      </c>
      <c r="F2655" s="1" t="str">
        <f>IFERROR(VLOOKUP(B2655,'SB1'!$A$2:$C$999999,3,FALSE),"")</f>
        <v>503</v>
      </c>
      <c r="G2655" s="3" t="e">
        <f t="shared" si="94"/>
        <v>#VALUE!</v>
      </c>
      <c r="H2655" s="3" t="e">
        <f t="shared" si="93"/>
        <v>#VALUE!</v>
      </c>
      <c r="I2655" s="1">
        <v>1</v>
      </c>
    </row>
    <row r="2656" spans="1:9" x14ac:dyDescent="0.25">
      <c r="A2656" s="1" t="s">
        <v>14435</v>
      </c>
      <c r="B2656" s="1" t="s">
        <v>7697</v>
      </c>
      <c r="C2656" s="1" t="str">
        <f>IFERROR(VLOOKUP(B2656,'SB1'!$A$2:$B$999999,2,FALSE),"")</f>
        <v>IMPREGNANTE PARA MADERA CETOL BALANCE CLASSIC SATINADO ROBLE X 10</v>
      </c>
      <c r="D2656" s="1" t="s">
        <v>14445</v>
      </c>
      <c r="E2656" s="3">
        <f>IFERROR(VLOOKUP(B2656,'DA1'!$B$2:$D$999999,3,FALSE),"")</f>
      </c>
      <c r="F2656" s="1" t="str">
        <f>IFERROR(VLOOKUP(B2656,'SB1'!$A$2:$C$999999,3,FALSE),"")</f>
        <v>503</v>
      </c>
      <c r="G2656" s="3" t="e">
        <f t="shared" si="94"/>
        <v>#VALUE!</v>
      </c>
      <c r="H2656" s="3" t="e">
        <f t="shared" si="93"/>
        <v>#VALUE!</v>
      </c>
      <c r="I2656" s="1">
        <v>1</v>
      </c>
    </row>
    <row r="2657" spans="1:9" x14ac:dyDescent="0.25">
      <c r="A2657" s="1" t="s">
        <v>14435</v>
      </c>
      <c r="B2657" s="1" t="s">
        <v>7699</v>
      </c>
      <c r="C2657" s="1" t="str">
        <f>IFERROR(VLOOKUP(B2657,'SB1'!$A$2:$B$999999,2,FALSE),"")</f>
        <v>DESENGRASANTE PARA MOTORES 3D 100 GRAND SLAM X 0,500</v>
      </c>
      <c r="D2657" s="1" t="s">
        <v>14499</v>
      </c>
      <c r="E2657" s="3">
        <f>IFERROR(VLOOKUP(B2657,'DA1'!$B$2:$D$999999,3,FALSE),"")</f>
      </c>
      <c r="F2657" s="1" t="str">
        <f>IFERROR(VLOOKUP(B2657,'SB1'!$A$2:$C$999999,3,FALSE),"")</f>
        <v>503</v>
      </c>
      <c r="G2657" s="3" t="e">
        <f t="shared" si="94"/>
        <v>#VALUE!</v>
      </c>
      <c r="H2657" s="3" t="e">
        <f t="shared" si="93"/>
        <v>#VALUE!</v>
      </c>
      <c r="I2657" s="1">
        <v>1</v>
      </c>
    </row>
    <row r="2658" spans="1:9" x14ac:dyDescent="0.25">
      <c r="A2658" s="1" t="s">
        <v>14435</v>
      </c>
      <c r="B2658" s="1" t="s">
        <v>7701</v>
      </c>
      <c r="C2658" s="1" t="str">
        <f>IFERROR(VLOOKUP(B2658,'SB1'!$A$2:$B$999999,2,FALSE),"")</f>
        <v>DESENGRASANTE  MULTIPROPOSITO 3D 104  ALL PURPOSE CLEANER X 0,500</v>
      </c>
      <c r="D2658" s="1" t="s">
        <v>14499</v>
      </c>
      <c r="E2658" s="3">
        <f>IFERROR(VLOOKUP(B2658,'DA1'!$B$2:$D$999999,3,FALSE),"")</f>
      </c>
      <c r="F2658" s="1" t="str">
        <f>IFERROR(VLOOKUP(B2658,'SB1'!$A$2:$C$999999,3,FALSE),"")</f>
        <v>503</v>
      </c>
      <c r="G2658" s="3" t="e">
        <f t="shared" si="94"/>
        <v>#VALUE!</v>
      </c>
      <c r="H2658" s="3" t="e">
        <f t="shared" si="93"/>
        <v>#VALUE!</v>
      </c>
      <c r="I2658" s="1">
        <v>1</v>
      </c>
    </row>
    <row r="2659" spans="1:9" x14ac:dyDescent="0.25">
      <c r="A2659" s="1" t="s">
        <v>14435</v>
      </c>
      <c r="B2659" s="1" t="s">
        <v>7703</v>
      </c>
      <c r="C2659" s="1" t="str">
        <f>IFERROR(VLOOKUP(B2659,'SB1'!$A$2:$B$999999,2,FALSE),"")</f>
        <v>DESENGRASANTE INTERIOR/EXTERIOR 3D 109 ORANGE DEGREASER X 0,500</v>
      </c>
      <c r="D2659" s="1" t="s">
        <v>14499</v>
      </c>
      <c r="E2659" s="3">
        <f>IFERROR(VLOOKUP(B2659,'DA1'!$B$2:$D$999999,3,FALSE),"")</f>
      </c>
      <c r="F2659" s="1" t="str">
        <f>IFERROR(VLOOKUP(B2659,'SB1'!$A$2:$C$999999,3,FALSE),"")</f>
        <v>503</v>
      </c>
      <c r="G2659" s="3" t="e">
        <f t="shared" si="94"/>
        <v>#VALUE!</v>
      </c>
      <c r="H2659" s="3" t="e">
        <f t="shared" si="93"/>
        <v>#VALUE!</v>
      </c>
      <c r="I2659" s="1">
        <v>1</v>
      </c>
    </row>
    <row r="2660" spans="1:9" x14ac:dyDescent="0.25">
      <c r="A2660" s="1" t="s">
        <v>14435</v>
      </c>
      <c r="B2660" s="1" t="s">
        <v>7705</v>
      </c>
      <c r="C2660" s="1" t="str">
        <f>IFERROR(VLOOKUP(B2660,'SB1'!$A$2:$B$999999,2,FALSE),"")</f>
        <v>DESENGRASANTE EXTERIOR PARA LLANTAS 3D 106 YELLOW DEGREASER X 0,500</v>
      </c>
      <c r="D2660" s="1" t="s">
        <v>14499</v>
      </c>
      <c r="E2660" s="3">
        <f>IFERROR(VLOOKUP(B2660,'DA1'!$B$2:$D$999999,3,FALSE),"")</f>
      </c>
      <c r="F2660" s="1" t="str">
        <f>IFERROR(VLOOKUP(B2660,'SB1'!$A$2:$C$999999,3,FALSE),"")</f>
        <v>503</v>
      </c>
      <c r="G2660" s="3" t="e">
        <f t="shared" si="94"/>
        <v>#VALUE!</v>
      </c>
      <c r="H2660" s="3" t="e">
        <f t="shared" si="93"/>
        <v>#VALUE!</v>
      </c>
      <c r="I2660" s="1">
        <v>1</v>
      </c>
    </row>
    <row r="2661" spans="1:9" x14ac:dyDescent="0.25">
      <c r="A2661" s="1" t="s">
        <v>14435</v>
      </c>
      <c r="B2661" s="1" t="s">
        <v>7707</v>
      </c>
      <c r="C2661" s="1" t="str">
        <f>IFERROR(VLOOKUP(B2661,'SB1'!$A$2:$B$999999,2,FALSE),"")</f>
        <v>LIMPIADOR DE VINILOS,CUEROS Y PLASTICOS 3D 112 LVP CLEANER X 0,500</v>
      </c>
      <c r="D2661" s="1" t="s">
        <v>14499</v>
      </c>
      <c r="E2661" s="3">
        <f>IFERROR(VLOOKUP(B2661,'DA1'!$B$2:$D$999999,3,FALSE),"")</f>
      </c>
      <c r="F2661" s="1" t="str">
        <f>IFERROR(VLOOKUP(B2661,'SB1'!$A$2:$C$999999,3,FALSE),"")</f>
        <v>503</v>
      </c>
      <c r="G2661" s="3" t="e">
        <f t="shared" si="94"/>
        <v>#VALUE!</v>
      </c>
      <c r="H2661" s="3" t="e">
        <f t="shared" si="93"/>
        <v>#VALUE!</v>
      </c>
      <c r="I2661" s="1">
        <v>1</v>
      </c>
    </row>
    <row r="2662" spans="1:9" x14ac:dyDescent="0.25">
      <c r="A2662" s="1" t="s">
        <v>14435</v>
      </c>
      <c r="B2662" s="1" t="s">
        <v>7711</v>
      </c>
      <c r="C2662" s="1" t="str">
        <f>IFERROR(VLOOKUP(B2662,'SB1'!$A$2:$B$999999,2,FALSE),"")</f>
        <v>REMOVEDOR DE INSECTOS 3D 103 BUG REMOVER X 0,500</v>
      </c>
      <c r="D2662" s="1" t="s">
        <v>14499</v>
      </c>
      <c r="E2662" s="3">
        <f>IFERROR(VLOOKUP(B2662,'DA1'!$B$2:$D$999999,3,FALSE),"")</f>
      </c>
      <c r="F2662" s="1" t="str">
        <f>IFERROR(VLOOKUP(B2662,'SB1'!$A$2:$C$999999,3,FALSE),"")</f>
        <v>503</v>
      </c>
      <c r="G2662" s="3" t="e">
        <f t="shared" si="94"/>
        <v>#VALUE!</v>
      </c>
      <c r="H2662" s="3" t="e">
        <f t="shared" si="93"/>
        <v>#VALUE!</v>
      </c>
      <c r="I2662" s="1">
        <v>1</v>
      </c>
    </row>
    <row r="2663" spans="1:9" x14ac:dyDescent="0.25">
      <c r="A2663" s="1" t="s">
        <v>14435</v>
      </c>
      <c r="B2663" s="1" t="s">
        <v>7713</v>
      </c>
      <c r="C2663" s="1" t="str">
        <f>IFERROR(VLOOKUP(B2663,'SB1'!$A$2:$B$999999,2,FALSE),"")</f>
        <v>LIMPIAVIDRIOS 3D 901 GLASS CLEANER X 0,500</v>
      </c>
      <c r="D2663" s="1" t="s">
        <v>14499</v>
      </c>
      <c r="E2663" s="3">
        <f>IFERROR(VLOOKUP(B2663,'DA1'!$B$2:$D$999999,3,FALSE),"")</f>
      </c>
      <c r="F2663" s="1" t="str">
        <f>IFERROR(VLOOKUP(B2663,'SB1'!$A$2:$C$999999,3,FALSE),"")</f>
        <v>503</v>
      </c>
      <c r="G2663" s="3" t="e">
        <f t="shared" si="94"/>
        <v>#VALUE!</v>
      </c>
      <c r="H2663" s="3" t="e">
        <f t="shared" si="93"/>
        <v>#VALUE!</v>
      </c>
      <c r="I2663" s="1">
        <v>1</v>
      </c>
    </row>
    <row r="2664" spans="1:9" x14ac:dyDescent="0.25">
      <c r="A2664" s="1" t="s">
        <v>14435</v>
      </c>
      <c r="B2664" s="1" t="s">
        <v>7717</v>
      </c>
      <c r="C2664" s="1" t="str">
        <f>IFERROR(VLOOKUP(B2664,'SB1'!$A$2:$B$999999,2,FALSE),"")</f>
        <v>LIMPIADOR ESPUMA DE TAPIZADOS Y ALFOMBRAS 3D 205 CARPET &amp; UPHOLSTERY CLEANER X 0,539</v>
      </c>
      <c r="D2664" s="1" t="s">
        <v>14439</v>
      </c>
      <c r="E2664" s="3">
        <f>IFERROR(VLOOKUP(B2664,'DA1'!$B$2:$D$999999,3,FALSE),"")</f>
      </c>
      <c r="F2664" s="1" t="str">
        <f>IFERROR(VLOOKUP(B2664,'SB1'!$A$2:$C$999999,3,FALSE),"")</f>
        <v>503</v>
      </c>
      <c r="G2664" s="3" t="e">
        <f t="shared" si="94"/>
        <v>#VALUE!</v>
      </c>
      <c r="H2664" s="3" t="e">
        <f t="shared" si="93"/>
        <v>#VALUE!</v>
      </c>
      <c r="I2664" s="1">
        <v>1</v>
      </c>
    </row>
    <row r="2665" spans="1:9" x14ac:dyDescent="0.25">
      <c r="A2665" s="1" t="s">
        <v>14435</v>
      </c>
      <c r="B2665" s="1" t="s">
        <v>7719</v>
      </c>
      <c r="C2665" s="1" t="str">
        <f>IFERROR(VLOOKUP(B2665,'SB1'!$A$2:$B$999999,2,FALSE),"")</f>
        <v>REMOVEDOR DE BREA Y PEGAMENTO 3D 806 GUM &amp; TAR X 0,250</v>
      </c>
      <c r="D2665" s="1" t="s">
        <v>14499</v>
      </c>
      <c r="E2665" s="3">
        <f>IFERROR(VLOOKUP(B2665,'DA1'!$B$2:$D$999999,3,FALSE),"")</f>
      </c>
      <c r="F2665" s="1" t="str">
        <f>IFERROR(VLOOKUP(B2665,'SB1'!$A$2:$C$999999,3,FALSE),"")</f>
        <v>503</v>
      </c>
      <c r="G2665" s="3" t="e">
        <f t="shared" si="94"/>
        <v>#VALUE!</v>
      </c>
      <c r="H2665" s="3" t="e">
        <f t="shared" si="93"/>
        <v>#VALUE!</v>
      </c>
      <c r="I2665" s="1">
        <v>1</v>
      </c>
    </row>
    <row r="2666" spans="1:9" x14ac:dyDescent="0.25">
      <c r="A2666" s="1" t="s">
        <v>14435</v>
      </c>
      <c r="B2666" s="1" t="s">
        <v>7721</v>
      </c>
      <c r="C2666" s="1" t="str">
        <f>IFERROR(VLOOKUP(B2666,'SB1'!$A$2:$B$999999,2,FALSE),"")</f>
        <v>PULIDOR DE METALES 3D X 0,500 (602OZ16)</v>
      </c>
      <c r="D2666" s="1" t="s">
        <v>14499</v>
      </c>
      <c r="E2666" s="3">
        <f>IFERROR(VLOOKUP(B2666,'DA1'!$B$2:$D$999999,3,FALSE),"")</f>
      </c>
      <c r="F2666" s="1" t="str">
        <f>IFERROR(VLOOKUP(B2666,'SB1'!$A$2:$C$999999,3,FALSE),"")</f>
        <v>503</v>
      </c>
      <c r="G2666" s="3" t="e">
        <f t="shared" si="94"/>
        <v>#VALUE!</v>
      </c>
      <c r="H2666" s="3" t="e">
        <f t="shared" ref="H2666:H2729" si="95">G2666*1.21</f>
        <v>#VALUE!</v>
      </c>
      <c r="I2666" s="1">
        <v>1</v>
      </c>
    </row>
    <row r="2667" spans="1:9" x14ac:dyDescent="0.25">
      <c r="A2667" s="1" t="s">
        <v>14435</v>
      </c>
      <c r="B2667" s="1" t="s">
        <v>7723</v>
      </c>
      <c r="C2667" s="1" t="str">
        <f>IFERROR(VLOOKUP(B2667,'SB1'!$A$2:$B$999999,2,FALSE),"")</f>
        <v>SHAMPOO PARA ALFOMBRAS Y TAPIZADO 3D 204 UPHOLSTERY &amp; CARPET SHAMPOO X 0,500</v>
      </c>
      <c r="D2667" s="1" t="s">
        <v>14499</v>
      </c>
      <c r="E2667" s="3">
        <f>IFERROR(VLOOKUP(B2667,'DA1'!$B$2:$D$999999,3,FALSE),"")</f>
      </c>
      <c r="F2667" s="1" t="str">
        <f>IFERROR(VLOOKUP(B2667,'SB1'!$A$2:$C$999999,3,FALSE),"")</f>
        <v>503</v>
      </c>
      <c r="G2667" s="3" t="e">
        <f t="shared" si="94"/>
        <v>#VALUE!</v>
      </c>
      <c r="H2667" s="3" t="e">
        <f t="shared" si="95"/>
        <v>#VALUE!</v>
      </c>
      <c r="I2667" s="1">
        <v>1</v>
      </c>
    </row>
    <row r="2668" spans="1:9" x14ac:dyDescent="0.25">
      <c r="A2668" s="1" t="s">
        <v>14435</v>
      </c>
      <c r="B2668" s="1" t="s">
        <v>7725</v>
      </c>
      <c r="C2668" s="1" t="str">
        <f>IFERROR(VLOOKUP(B2668,'SB1'!$A$2:$B$999999,2,FALSE),"")</f>
        <v>REVIVIDOR SILICONADO PARA CUBIERTAS 3D 703OZ16 X 0,500</v>
      </c>
      <c r="D2668" s="1" t="s">
        <v>14499</v>
      </c>
      <c r="E2668" s="3">
        <f>IFERROR(VLOOKUP(B2668,'DA1'!$B$2:$D$999999,3,FALSE),"")</f>
      </c>
      <c r="F2668" s="1" t="str">
        <f>IFERROR(VLOOKUP(B2668,'SB1'!$A$2:$C$999999,3,FALSE),"")</f>
        <v>503</v>
      </c>
      <c r="G2668" s="3" t="e">
        <f t="shared" si="94"/>
        <v>#VALUE!</v>
      </c>
      <c r="H2668" s="3" t="e">
        <f t="shared" si="95"/>
        <v>#VALUE!</v>
      </c>
      <c r="I2668" s="1">
        <v>1</v>
      </c>
    </row>
    <row r="2669" spans="1:9" x14ac:dyDescent="0.25">
      <c r="A2669" s="1" t="s">
        <v>14435</v>
      </c>
      <c r="B2669" s="1" t="s">
        <v>7727</v>
      </c>
      <c r="C2669" s="1" t="str">
        <f>IFERROR(VLOOKUP(B2669,'SB1'!$A$2:$B$999999,2,FALSE),"")</f>
        <v>REVIVIDOR DE VINILOS PLASTICOS Y NEUMATICOS S/SIL 3D 703NSOZ16 NON-SILICONE DRESSING X 0,5</v>
      </c>
      <c r="D2669" s="1" t="s">
        <v>14499</v>
      </c>
      <c r="E2669" s="3">
        <f>IFERROR(VLOOKUP(B2669,'DA1'!$B$2:$D$999999,3,FALSE),"")</f>
      </c>
      <c r="F2669" s="1" t="str">
        <f>IFERROR(VLOOKUP(B2669,'SB1'!$A$2:$C$999999,3,FALSE),"")</f>
        <v>503</v>
      </c>
      <c r="G2669" s="3" t="e">
        <f t="shared" si="94"/>
        <v>#VALUE!</v>
      </c>
      <c r="H2669" s="3" t="e">
        <f t="shared" si="95"/>
        <v>#VALUE!</v>
      </c>
      <c r="I2669" s="1">
        <v>1</v>
      </c>
    </row>
    <row r="2670" spans="1:9" x14ac:dyDescent="0.25">
      <c r="A2670" s="1" t="s">
        <v>14435</v>
      </c>
      <c r="B2670" s="1" t="s">
        <v>7729</v>
      </c>
      <c r="C2670" s="1" t="str">
        <f>IFERROR(VLOOKUP(B2670,'SB1'!$A$2:$B$999999,2,FALSE),"")</f>
        <v>PROTECTOR Y EMBELLECEDOR DE GOMAS Y PLASTICOS 3D 706 ULTRA PROTECTANT X 0,500</v>
      </c>
      <c r="D2670" s="1" t="s">
        <v>14499</v>
      </c>
      <c r="E2670" s="3">
        <f>IFERROR(VLOOKUP(B2670,'DA1'!$B$2:$D$999999,3,FALSE),"")</f>
      </c>
      <c r="F2670" s="1" t="str">
        <f>IFERROR(VLOOKUP(B2670,'SB1'!$A$2:$C$999999,3,FALSE),"")</f>
        <v>503</v>
      </c>
      <c r="G2670" s="3" t="e">
        <f t="shared" si="94"/>
        <v>#VALUE!</v>
      </c>
      <c r="H2670" s="3" t="e">
        <f t="shared" si="95"/>
        <v>#VALUE!</v>
      </c>
      <c r="I2670" s="1">
        <v>1</v>
      </c>
    </row>
    <row r="2671" spans="1:9" x14ac:dyDescent="0.25">
      <c r="A2671" s="1" t="s">
        <v>14435</v>
      </c>
      <c r="B2671" s="1" t="s">
        <v>7731</v>
      </c>
      <c r="C2671" s="1" t="str">
        <f>IFERROR(VLOOKUP(B2671,'SB1'!$A$2:$B$999999,2,FALSE),"")</f>
        <v>CERA DE CARNAUBA EN PASTA 3D 412 CARNAUBA PASTE X 0,330</v>
      </c>
      <c r="D2671" s="1" t="s">
        <v>14499</v>
      </c>
      <c r="E2671" s="3">
        <f>IFERROR(VLOOKUP(B2671,'DA1'!$B$2:$D$999999,3,FALSE),"")</f>
      </c>
      <c r="F2671" s="1" t="str">
        <f>IFERROR(VLOOKUP(B2671,'SB1'!$A$2:$C$999999,3,FALSE),"")</f>
        <v>503</v>
      </c>
      <c r="G2671" s="3" t="e">
        <f t="shared" si="94"/>
        <v>#VALUE!</v>
      </c>
      <c r="H2671" s="3" t="e">
        <f t="shared" si="95"/>
        <v>#VALUE!</v>
      </c>
      <c r="I2671" s="1">
        <v>1</v>
      </c>
    </row>
    <row r="2672" spans="1:9" x14ac:dyDescent="0.25">
      <c r="A2672" s="1" t="s">
        <v>14435</v>
      </c>
      <c r="B2672" s="1" t="s">
        <v>7733</v>
      </c>
      <c r="C2672" s="1" t="str">
        <f>IFERROR(VLOOKUP(B2672,'SB1'!$A$2:$B$999999,2,FALSE),"")</f>
        <v>CERA DE CARNAUBA LIQUIDA 3D 908 CARNAUBA X 0,500</v>
      </c>
      <c r="D2672" s="1" t="s">
        <v>14499</v>
      </c>
      <c r="E2672" s="3">
        <f>IFERROR(VLOOKUP(B2672,'DA1'!$B$2:$D$999999,3,FALSE),"")</f>
      </c>
      <c r="F2672" s="1" t="str">
        <f>IFERROR(VLOOKUP(B2672,'SB1'!$A$2:$C$999999,3,FALSE),"")</f>
        <v>503</v>
      </c>
      <c r="G2672" s="3" t="e">
        <f t="shared" si="94"/>
        <v>#VALUE!</v>
      </c>
      <c r="H2672" s="3" t="e">
        <f t="shared" si="95"/>
        <v>#VALUE!</v>
      </c>
      <c r="I2672" s="1">
        <v>1</v>
      </c>
    </row>
    <row r="2673" spans="1:9" x14ac:dyDescent="0.25">
      <c r="A2673" s="1" t="s">
        <v>14435</v>
      </c>
      <c r="B2673" s="1" t="s">
        <v>7735</v>
      </c>
      <c r="C2673" s="1" t="str">
        <f>IFERROR(VLOOKUP(B2673,'SB1'!$A$2:$B$999999,2,FALSE),"")</f>
        <v>CERA EFECTO MOJADO 3D 906 CHERRY WAX X 0,500</v>
      </c>
      <c r="D2673" s="1" t="s">
        <v>14499</v>
      </c>
      <c r="E2673" s="3">
        <f>IFERROR(VLOOKUP(B2673,'DA1'!$B$2:$D$999999,3,FALSE),"")</f>
      </c>
      <c r="F2673" s="1" t="str">
        <f>IFERROR(VLOOKUP(B2673,'SB1'!$A$2:$C$999999,3,FALSE),"")</f>
        <v>503</v>
      </c>
      <c r="G2673" s="3" t="e">
        <f t="shared" si="94"/>
        <v>#VALUE!</v>
      </c>
      <c r="H2673" s="3" t="e">
        <f t="shared" si="95"/>
        <v>#VALUE!</v>
      </c>
      <c r="I2673" s="1">
        <v>1</v>
      </c>
    </row>
    <row r="2674" spans="1:9" x14ac:dyDescent="0.25">
      <c r="A2674" s="1" t="s">
        <v>14435</v>
      </c>
      <c r="B2674" s="1" t="s">
        <v>7737</v>
      </c>
      <c r="C2674" s="1" t="str">
        <f>IFERROR(VLOOKUP(B2674,'SB1'!$A$2:$B$999999,2,FALSE),"")</f>
        <v>CERA LIQUIDA DE RAPIDA APLICACION 3D 401 EXPRESS WAX X 0,500</v>
      </c>
      <c r="D2674" s="1" t="s">
        <v>14499</v>
      </c>
      <c r="E2674" s="3">
        <f>IFERROR(VLOOKUP(B2674,'DA1'!$B$2:$D$999999,3,FALSE),"")</f>
      </c>
      <c r="F2674" s="1" t="str">
        <f>IFERROR(VLOOKUP(B2674,'SB1'!$A$2:$C$999999,3,FALSE),"")</f>
        <v>503</v>
      </c>
      <c r="G2674" s="3" t="e">
        <f t="shared" si="94"/>
        <v>#VALUE!</v>
      </c>
      <c r="H2674" s="3" t="e">
        <f t="shared" si="95"/>
        <v>#VALUE!</v>
      </c>
      <c r="I2674" s="1">
        <v>1</v>
      </c>
    </row>
    <row r="2675" spans="1:9" x14ac:dyDescent="0.25">
      <c r="A2675" s="1" t="s">
        <v>14435</v>
      </c>
      <c r="B2675" s="1" t="s">
        <v>7739</v>
      </c>
      <c r="C2675" s="1" t="str">
        <f>IFERROR(VLOOKUP(B2675,'SB1'!$A$2:$B$999999,2,FALSE),"")</f>
        <v>QUICK DETAILER 3D 403 FINAL TOUCH X 0,500</v>
      </c>
      <c r="D2675" s="1" t="s">
        <v>14499</v>
      </c>
      <c r="E2675" s="3">
        <f>IFERROR(VLOOKUP(B2675,'DA1'!$B$2:$D$999999,3,FALSE),"")</f>
      </c>
      <c r="F2675" s="1" t="str">
        <f>IFERROR(VLOOKUP(B2675,'SB1'!$A$2:$C$999999,3,FALSE),"")</f>
        <v>503</v>
      </c>
      <c r="G2675" s="3" t="e">
        <f t="shared" si="94"/>
        <v>#VALUE!</v>
      </c>
      <c r="H2675" s="3" t="e">
        <f t="shared" si="95"/>
        <v>#VALUE!</v>
      </c>
      <c r="I2675" s="1">
        <v>1</v>
      </c>
    </row>
    <row r="2676" spans="1:9" x14ac:dyDescent="0.25">
      <c r="A2676" s="1" t="s">
        <v>14435</v>
      </c>
      <c r="B2676" s="1" t="s">
        <v>7741</v>
      </c>
      <c r="C2676" s="1" t="str">
        <f>IFERROR(VLOOKUP(B2676,'SB1'!$A$2:$B$999999,2,FALSE),"")</f>
        <v>SHAMPOO CONCENTRADO PH NEUTRO SIN CERA 3D 202 PINK CAR SOAP X 0,500</v>
      </c>
      <c r="D2676" s="1" t="s">
        <v>14499</v>
      </c>
      <c r="E2676" s="3">
        <f>IFERROR(VLOOKUP(B2676,'DA1'!$B$2:$D$999999,3,FALSE),"")</f>
      </c>
      <c r="F2676" s="1" t="str">
        <f>IFERROR(VLOOKUP(B2676,'SB1'!$A$2:$C$999999,3,FALSE),"")</f>
        <v>503</v>
      </c>
      <c r="G2676" s="3" t="e">
        <f t="shared" si="94"/>
        <v>#VALUE!</v>
      </c>
      <c r="H2676" s="3" t="e">
        <f t="shared" si="95"/>
        <v>#VALUE!</v>
      </c>
      <c r="I2676" s="1">
        <v>1</v>
      </c>
    </row>
    <row r="2677" spans="1:9" x14ac:dyDescent="0.25">
      <c r="A2677" s="1" t="s">
        <v>14435</v>
      </c>
      <c r="B2677" s="1" t="s">
        <v>7743</v>
      </c>
      <c r="C2677" s="1" t="str">
        <f>IFERROR(VLOOKUP(B2677,'SB1'!$A$2:$B$999999,2,FALSE),"")</f>
        <v>SHAMPOO CONCENTRADO CON CERA 3D 201 WASH &amp; WAX X 0,500</v>
      </c>
      <c r="D2677" s="1" t="s">
        <v>14499</v>
      </c>
      <c r="E2677" s="3">
        <f>IFERROR(VLOOKUP(B2677,'DA1'!$B$2:$D$999999,3,FALSE),"")</f>
      </c>
      <c r="F2677" s="1" t="str">
        <f>IFERROR(VLOOKUP(B2677,'SB1'!$A$2:$C$999999,3,FALSE),"")</f>
        <v>503</v>
      </c>
      <c r="G2677" s="3" t="e">
        <f t="shared" si="94"/>
        <v>#VALUE!</v>
      </c>
      <c r="H2677" s="3" t="e">
        <f t="shared" si="95"/>
        <v>#VALUE!</v>
      </c>
      <c r="I2677" s="1">
        <v>1</v>
      </c>
    </row>
    <row r="2678" spans="1:9" x14ac:dyDescent="0.25">
      <c r="A2678" s="1" t="s">
        <v>14435</v>
      </c>
      <c r="B2678" s="1" t="s">
        <v>7749</v>
      </c>
      <c r="C2678" s="1" t="str">
        <f>IFERROR(VLOOKUP(B2678,'SB1'!$A$2:$B$999999,2,FALSE),"")</f>
        <v>NEUTRALIZADOR DE OLORES 3D 913-ODOR ELIMINATOR X 0,500</v>
      </c>
      <c r="D2678" s="1" t="s">
        <v>14499</v>
      </c>
      <c r="E2678" s="3">
        <f>IFERROR(VLOOKUP(B2678,'DA1'!$B$2:$D$999999,3,FALSE),"")</f>
      </c>
      <c r="F2678" s="1" t="str">
        <f>IFERROR(VLOOKUP(B2678,'SB1'!$A$2:$C$999999,3,FALSE),"")</f>
        <v>503</v>
      </c>
      <c r="G2678" s="3" t="e">
        <f t="shared" si="94"/>
        <v>#VALUE!</v>
      </c>
      <c r="H2678" s="3" t="e">
        <f t="shared" si="95"/>
        <v>#VALUE!</v>
      </c>
      <c r="I2678" s="1">
        <v>1</v>
      </c>
    </row>
    <row r="2679" spans="1:9" x14ac:dyDescent="0.25">
      <c r="A2679" s="1" t="s">
        <v>14435</v>
      </c>
      <c r="B2679" s="1" t="s">
        <v>7753</v>
      </c>
      <c r="C2679" s="1" t="str">
        <f>IFERROR(VLOOKUP(B2679,'SB1'!$A$2:$B$999999,2,FALSE),"")</f>
        <v>APLICADOR VELCRO PADS X 5 3D APLICATOR PADS X5 (G-31)</v>
      </c>
      <c r="D2679" s="1" t="s">
        <v>14439</v>
      </c>
      <c r="E2679" s="3">
        <f>IFERROR(VLOOKUP(B2679,'DA1'!$B$2:$D$999999,3,FALSE),"")</f>
      </c>
      <c r="F2679" s="1" t="str">
        <f>IFERROR(VLOOKUP(B2679,'SB1'!$A$2:$C$999999,3,FALSE),"")</f>
        <v>503</v>
      </c>
      <c r="G2679" s="3" t="e">
        <f t="shared" si="94"/>
        <v>#VALUE!</v>
      </c>
      <c r="H2679" s="3" t="e">
        <f t="shared" si="95"/>
        <v>#VALUE!</v>
      </c>
      <c r="I2679" s="1">
        <v>1</v>
      </c>
    </row>
    <row r="2680" spans="1:9" x14ac:dyDescent="0.25">
      <c r="A2680" s="1" t="s">
        <v>14435</v>
      </c>
      <c r="B2680" s="1" t="s">
        <v>7755</v>
      </c>
      <c r="C2680" s="1" t="str">
        <f>IFERROR(VLOOKUP(B2680,'SB1'!$A$2:$B$999999,2,FALSE),"")</f>
        <v>APLICADOR  MULTIPROPOSITO 3D MULTI PURPOSE - PACK X 2 (G-32)</v>
      </c>
      <c r="D2680" s="1" t="s">
        <v>14499</v>
      </c>
      <c r="E2680" s="3">
        <f>IFERROR(VLOOKUP(B2680,'DA1'!$B$2:$D$999999,3,FALSE),"")</f>
      </c>
      <c r="F2680" s="1" t="str">
        <f>IFERROR(VLOOKUP(B2680,'SB1'!$A$2:$C$999999,3,FALSE),"")</f>
        <v>503</v>
      </c>
      <c r="G2680" s="3" t="e">
        <f t="shared" si="94"/>
        <v>#VALUE!</v>
      </c>
      <c r="H2680" s="3" t="e">
        <f t="shared" si="95"/>
        <v>#VALUE!</v>
      </c>
      <c r="I2680" s="1">
        <v>1</v>
      </c>
    </row>
    <row r="2681" spans="1:9" x14ac:dyDescent="0.25">
      <c r="A2681" s="1" t="s">
        <v>14435</v>
      </c>
      <c r="B2681" s="1" t="s">
        <v>7757</v>
      </c>
      <c r="C2681" s="1" t="str">
        <f>IFERROR(VLOOKUP(B2681,'SB1'!$A$2:$B$999999,2,FALSE),"")</f>
        <v>TOALLA MICROFIBRA 3D MICROFIBER WEFT TOWEL 70X95 (G-44G)</v>
      </c>
      <c r="D2681" s="1" t="s">
        <v>14439</v>
      </c>
      <c r="E2681" s="3">
        <f>IFERROR(VLOOKUP(B2681,'DA1'!$B$2:$D$999999,3,FALSE),"")</f>
      </c>
      <c r="F2681" s="1" t="str">
        <f>IFERROR(VLOOKUP(B2681,'SB1'!$A$2:$C$999999,3,FALSE),"")</f>
        <v>503</v>
      </c>
      <c r="G2681" s="3" t="e">
        <f t="shared" si="94"/>
        <v>#VALUE!</v>
      </c>
      <c r="H2681" s="3" t="e">
        <f t="shared" si="95"/>
        <v>#VALUE!</v>
      </c>
      <c r="I2681" s="1">
        <v>1</v>
      </c>
    </row>
    <row r="2682" spans="1:9" x14ac:dyDescent="0.25">
      <c r="A2682" s="1" t="s">
        <v>14435</v>
      </c>
      <c r="B2682" s="1" t="s">
        <v>7759</v>
      </c>
      <c r="C2682" s="1" t="str">
        <f>IFERROR(VLOOKUP(B2682,'SB1'!$A$2:$B$999999,2,FALSE),"")</f>
        <v>MICROFIBRA 3D SUAVE - NEGRA 60X40 G-41B</v>
      </c>
      <c r="D2682" s="1" t="s">
        <v>14499</v>
      </c>
      <c r="E2682" s="3">
        <f>IFERROR(VLOOKUP(B2682,'DA1'!$B$2:$D$999999,3,FALSE),"")</f>
      </c>
      <c r="F2682" s="1" t="str">
        <f>IFERROR(VLOOKUP(B2682,'SB1'!$A$2:$C$999999,3,FALSE),"")</f>
        <v>503</v>
      </c>
      <c r="G2682" s="3" t="e">
        <f t="shared" si="94"/>
        <v>#VALUE!</v>
      </c>
      <c r="H2682" s="3" t="e">
        <f t="shared" si="95"/>
        <v>#VALUE!</v>
      </c>
      <c r="I2682" s="1">
        <v>1</v>
      </c>
    </row>
    <row r="2683" spans="1:9" x14ac:dyDescent="0.25">
      <c r="A2683" s="1" t="s">
        <v>14435</v>
      </c>
      <c r="B2683" s="1" t="s">
        <v>7761</v>
      </c>
      <c r="C2683" s="1" t="str">
        <f>IFERROR(VLOOKUP(B2683,'SB1'!$A$2:$B$999999,2,FALSE),"")</f>
        <v>MICROFIBRA 3D SUAVE - AMARILLA 60X40 G-41Y</v>
      </c>
      <c r="D2683" s="1" t="s">
        <v>14439</v>
      </c>
      <c r="E2683" s="3">
        <f>IFERROR(VLOOKUP(B2683,'DA1'!$B$2:$D$999999,3,FALSE),"")</f>
      </c>
      <c r="F2683" s="1" t="str">
        <f>IFERROR(VLOOKUP(B2683,'SB1'!$A$2:$C$999999,3,FALSE),"")</f>
        <v>503</v>
      </c>
      <c r="G2683" s="3" t="e">
        <f t="shared" si="94"/>
        <v>#VALUE!</v>
      </c>
      <c r="H2683" s="3" t="e">
        <f t="shared" si="95"/>
        <v>#VALUE!</v>
      </c>
      <c r="I2683" s="1">
        <v>1</v>
      </c>
    </row>
    <row r="2684" spans="1:9" x14ac:dyDescent="0.25">
      <c r="A2684" s="1" t="s">
        <v>14435</v>
      </c>
      <c r="B2684" s="1" t="s">
        <v>7763</v>
      </c>
      <c r="C2684" s="1" t="str">
        <f>IFERROR(VLOOKUP(B2684,'SB1'!$A$2:$B$999999,2,FALSE),"")</f>
        <v>MICROFIBRA 3D SUAVE - VERDE 60X40 G-41G</v>
      </c>
      <c r="D2684" s="1" t="s">
        <v>14439</v>
      </c>
      <c r="E2684" s="3">
        <f>IFERROR(VLOOKUP(B2684,'DA1'!$B$2:$D$999999,3,FALSE),"")</f>
      </c>
      <c r="F2684" s="1" t="str">
        <f>IFERROR(VLOOKUP(B2684,'SB1'!$A$2:$C$999999,3,FALSE),"")</f>
        <v>503</v>
      </c>
      <c r="G2684" s="3" t="e">
        <f t="shared" si="94"/>
        <v>#VALUE!</v>
      </c>
      <c r="H2684" s="3" t="e">
        <f t="shared" si="95"/>
        <v>#VALUE!</v>
      </c>
      <c r="I2684" s="1">
        <v>1</v>
      </c>
    </row>
    <row r="2685" spans="1:9" x14ac:dyDescent="0.25">
      <c r="A2685" s="1" t="s">
        <v>14435</v>
      </c>
      <c r="B2685" s="1" t="s">
        <v>7765</v>
      </c>
      <c r="C2685" s="1" t="str">
        <f>IFERROR(VLOOKUP(B2685,'SB1'!$A$2:$B$999999,2,FALSE),"")</f>
        <v>TOALLA MICROFIBRA 3D MICROFIBER TOWELS WAFFLE - CELESTE 60X40 G-42B</v>
      </c>
      <c r="D2685" s="1" t="s">
        <v>14439</v>
      </c>
      <c r="E2685" s="3">
        <f>IFERROR(VLOOKUP(B2685,'DA1'!$B$2:$D$999999,3,FALSE),"")</f>
      </c>
      <c r="F2685" s="1" t="str">
        <f>IFERROR(VLOOKUP(B2685,'SB1'!$A$2:$C$999999,3,FALSE),"")</f>
        <v>503</v>
      </c>
      <c r="G2685" s="3" t="e">
        <f t="shared" si="94"/>
        <v>#VALUE!</v>
      </c>
      <c r="H2685" s="3" t="e">
        <f t="shared" si="95"/>
        <v>#VALUE!</v>
      </c>
      <c r="I2685" s="1">
        <v>1</v>
      </c>
    </row>
    <row r="2686" spans="1:9" x14ac:dyDescent="0.25">
      <c r="A2686" s="1" t="s">
        <v>14435</v>
      </c>
      <c r="B2686" s="1" t="s">
        <v>7773</v>
      </c>
      <c r="C2686" s="1" t="str">
        <f>IFERROR(VLOOKUP(B2686,'SB1'!$A$2:$B$999999,2,FALSE),"")</f>
        <v>DILUYENTE PARA CEMENTO DE CONTACTO X   1</v>
      </c>
      <c r="D2686" s="1" t="s">
        <v>14472</v>
      </c>
      <c r="E2686" s="3">
        <f>IFERROR(VLOOKUP(B2686,'DA1'!$B$2:$D$999999,3,FALSE),"")</f>
      </c>
      <c r="F2686" s="1" t="str">
        <f>IFERROR(VLOOKUP(B2686,'SB1'!$A$2:$C$999999,3,FALSE),"")</f>
        <v>503</v>
      </c>
      <c r="G2686" s="3" t="e">
        <f t="shared" si="94"/>
        <v>#VALUE!</v>
      </c>
      <c r="H2686" s="3" t="e">
        <f t="shared" si="95"/>
        <v>#VALUE!</v>
      </c>
      <c r="I2686" s="1">
        <v>1</v>
      </c>
    </row>
    <row r="2687" spans="1:9" x14ac:dyDescent="0.25">
      <c r="A2687" s="1" t="s">
        <v>14435</v>
      </c>
      <c r="B2687" s="1" t="s">
        <v>7775</v>
      </c>
      <c r="C2687" s="1" t="str">
        <f>IFERROR(VLOOKUP(B2687,'SB1'!$A$2:$B$999999,2,FALSE),"")</f>
        <v>GUANTE MICROFIBRA SANDWICH 3D CHENILLE SANDWICH WASH MITT (G-02Y)</v>
      </c>
      <c r="D2687" s="1" t="s">
        <v>14499</v>
      </c>
      <c r="E2687" s="3">
        <f>IFERROR(VLOOKUP(B2687,'DA1'!$B$2:$D$999999,3,FALSE),"")</f>
      </c>
      <c r="F2687" s="1" t="str">
        <f>IFERROR(VLOOKUP(B2687,'SB1'!$A$2:$C$999999,3,FALSE),"")</f>
        <v>503</v>
      </c>
      <c r="G2687" s="3" t="e">
        <f t="shared" si="94"/>
        <v>#VALUE!</v>
      </c>
      <c r="H2687" s="3" t="e">
        <f t="shared" si="95"/>
        <v>#VALUE!</v>
      </c>
      <c r="I2687" s="1">
        <v>1</v>
      </c>
    </row>
    <row r="2688" spans="1:9" x14ac:dyDescent="0.25">
      <c r="A2688" s="1" t="s">
        <v>14435</v>
      </c>
      <c r="B2688" s="1" t="s">
        <v>7779</v>
      </c>
      <c r="C2688" s="1" t="str">
        <f>IFERROR(VLOOKUP(B2688,'SB1'!$A$2:$B$999999,2,FALSE),"")</f>
        <v>GUANTE ROSA MICROFIBRA 3D MICROFIBER FUZZY ROSA (G-02-01PI)</v>
      </c>
      <c r="D2688" s="1" t="s">
        <v>14439</v>
      </c>
      <c r="E2688" s="3">
        <f>IFERROR(VLOOKUP(B2688,'DA1'!$B$2:$D$999999,3,FALSE),"")</f>
      </c>
      <c r="F2688" s="1" t="str">
        <f>IFERROR(VLOOKUP(B2688,'SB1'!$A$2:$C$999999,3,FALSE),"")</f>
        <v>503</v>
      </c>
      <c r="G2688" s="3" t="e">
        <f t="shared" si="94"/>
        <v>#VALUE!</v>
      </c>
      <c r="H2688" s="3" t="e">
        <f t="shared" si="95"/>
        <v>#VALUE!</v>
      </c>
      <c r="I2688" s="1">
        <v>1</v>
      </c>
    </row>
    <row r="2689" spans="1:9" x14ac:dyDescent="0.25">
      <c r="A2689" s="1" t="s">
        <v>14435</v>
      </c>
      <c r="B2689" s="1" t="s">
        <v>7781</v>
      </c>
      <c r="C2689" s="1" t="str">
        <f>IFERROR(VLOOKUP(B2689,'SB1'!$A$2:$B$999999,2,FALSE),"")</f>
        <v>PAD LAVADO NARANJA 3D WASH PAD NARANJA (G-02-02OR)</v>
      </c>
      <c r="D2689" s="1" t="s">
        <v>14439</v>
      </c>
      <c r="E2689" s="3">
        <f>IFERROR(VLOOKUP(B2689,'DA1'!$B$2:$D$999999,3,FALSE),"")</f>
      </c>
      <c r="F2689" s="1" t="str">
        <f>IFERROR(VLOOKUP(B2689,'SB1'!$A$2:$C$999999,3,FALSE),"")</f>
        <v>503</v>
      </c>
      <c r="G2689" s="3" t="e">
        <f t="shared" si="94"/>
        <v>#VALUE!</v>
      </c>
      <c r="H2689" s="3" t="e">
        <f t="shared" si="95"/>
        <v>#VALUE!</v>
      </c>
      <c r="I2689" s="1">
        <v>1</v>
      </c>
    </row>
    <row r="2690" spans="1:9" x14ac:dyDescent="0.25">
      <c r="A2690" s="1" t="s">
        <v>14435</v>
      </c>
      <c r="B2690" s="1" t="s">
        <v>7783</v>
      </c>
      <c r="C2690" s="1" t="str">
        <f>IFERROR(VLOOKUP(B2690,'SB1'!$A$2:$B$999999,2,FALSE),"")</f>
        <v>PAD LAVADO NARANJA 3D WASH PAD ROSA (G-02-02PI)</v>
      </c>
      <c r="D2690" s="1" t="s">
        <v>14439</v>
      </c>
      <c r="E2690" s="3">
        <f>IFERROR(VLOOKUP(B2690,'DA1'!$B$2:$D$999999,3,FALSE),"")</f>
      </c>
      <c r="F2690" s="1" t="str">
        <f>IFERROR(VLOOKUP(B2690,'SB1'!$A$2:$C$999999,3,FALSE),"")</f>
        <v>503</v>
      </c>
      <c r="G2690" s="3" t="e">
        <f t="shared" si="94"/>
        <v>#VALUE!</v>
      </c>
      <c r="H2690" s="3" t="e">
        <f t="shared" si="95"/>
        <v>#VALUE!</v>
      </c>
      <c r="I2690" s="1">
        <v>1</v>
      </c>
    </row>
    <row r="2691" spans="1:9" x14ac:dyDescent="0.25">
      <c r="A2691" s="1" t="s">
        <v>14435</v>
      </c>
      <c r="B2691" s="1" t="s">
        <v>7785</v>
      </c>
      <c r="C2691" s="1" t="str">
        <f>IFERROR(VLOOKUP(B2691,'SB1'!$A$2:$B$999999,2,FALSE),"")</f>
        <v>3D PAD DE LAVADO DE MICROFIBRAS NARANJA G-45OR</v>
      </c>
      <c r="D2691" s="1" t="s">
        <v>14439</v>
      </c>
      <c r="E2691" s="3">
        <f>IFERROR(VLOOKUP(B2691,'DA1'!$B$2:$D$999999,3,FALSE),"")</f>
      </c>
      <c r="F2691" s="1" t="str">
        <f>IFERROR(VLOOKUP(B2691,'SB1'!$A$2:$C$999999,3,FALSE),"")</f>
        <v>503</v>
      </c>
      <c r="G2691" s="3" t="e">
        <f t="shared" ref="G2691:G2754" si="96">E2691*1.04</f>
        <v>#VALUE!</v>
      </c>
      <c r="H2691" s="3" t="e">
        <f t="shared" si="95"/>
        <v>#VALUE!</v>
      </c>
      <c r="I2691" s="1">
        <v>1</v>
      </c>
    </row>
    <row r="2692" spans="1:9" x14ac:dyDescent="0.25">
      <c r="A2692" s="1" t="s">
        <v>14435</v>
      </c>
      <c r="B2692" s="1" t="s">
        <v>7787</v>
      </c>
      <c r="C2692" s="1" t="str">
        <f>IFERROR(VLOOKUP(B2692,'SB1'!$A$2:$B$999999,2,FALSE),"")</f>
        <v>3D PAD DE LAVADO DE MICROFIBRAS ROSADO (G-45PI)</v>
      </c>
      <c r="D2692" s="1" t="s">
        <v>14439</v>
      </c>
      <c r="E2692" s="3">
        <f>IFERROR(VLOOKUP(B2692,'DA1'!$B$2:$D$999999,3,FALSE),"")</f>
      </c>
      <c r="F2692" s="1" t="str">
        <f>IFERROR(VLOOKUP(B2692,'SB1'!$A$2:$C$999999,3,FALSE),"")</f>
        <v>503</v>
      </c>
      <c r="G2692" s="3" t="e">
        <f t="shared" si="96"/>
        <v>#VALUE!</v>
      </c>
      <c r="H2692" s="3" t="e">
        <f t="shared" si="95"/>
        <v>#VALUE!</v>
      </c>
      <c r="I2692" s="1">
        <v>1</v>
      </c>
    </row>
    <row r="2693" spans="1:9" x14ac:dyDescent="0.25">
      <c r="A2693" s="1" t="s">
        <v>14435</v>
      </c>
      <c r="B2693" s="1" t="s">
        <v>7789</v>
      </c>
      <c r="C2693" s="1" t="str">
        <f>IFERROR(VLOOKUP(B2693,'SB1'!$A$2:$B$999999,2,FALSE),"")</f>
        <v>CEPILLO ALFOMBRA C/ MANGO 3D - (M-11)</v>
      </c>
      <c r="D2693" s="1" t="s">
        <v>14499</v>
      </c>
      <c r="E2693" s="3">
        <f>IFERROR(VLOOKUP(B2693,'DA1'!$B$2:$D$999999,3,FALSE),"")</f>
      </c>
      <c r="F2693" s="1" t="str">
        <f>IFERROR(VLOOKUP(B2693,'SB1'!$A$2:$C$999999,3,FALSE),"")</f>
        <v>503</v>
      </c>
      <c r="G2693" s="3" t="e">
        <f t="shared" si="96"/>
        <v>#VALUE!</v>
      </c>
      <c r="H2693" s="3" t="e">
        <f t="shared" si="95"/>
        <v>#VALUE!</v>
      </c>
      <c r="I2693" s="1">
        <v>1</v>
      </c>
    </row>
    <row r="2694" spans="1:9" x14ac:dyDescent="0.25">
      <c r="A2694" s="1" t="s">
        <v>14435</v>
      </c>
      <c r="B2694" s="1" t="s">
        <v>7791</v>
      </c>
      <c r="C2694" s="1" t="str">
        <f>IFERROR(VLOOKUP(B2694,'SB1'!$A$2:$B$999999,2,FALSE),"")</f>
        <v>CEPILLO CERDA PLASTICA 3D BRUSH INT UPHOLSTERY &amp; CARPET - (M-15)</v>
      </c>
      <c r="D2694" s="1" t="s">
        <v>14499</v>
      </c>
      <c r="E2694" s="3">
        <f>IFERROR(VLOOKUP(B2694,'DA1'!$B$2:$D$999999,3,FALSE),"")</f>
      </c>
      <c r="F2694" s="1" t="str">
        <f>IFERROR(VLOOKUP(B2694,'SB1'!$A$2:$C$999999,3,FALSE),"")</f>
        <v>503</v>
      </c>
      <c r="G2694" s="3" t="e">
        <f t="shared" si="96"/>
        <v>#VALUE!</v>
      </c>
      <c r="H2694" s="3" t="e">
        <f t="shared" si="95"/>
        <v>#VALUE!</v>
      </c>
      <c r="I2694" s="1">
        <v>1</v>
      </c>
    </row>
    <row r="2695" spans="1:9" x14ac:dyDescent="0.25">
      <c r="A2695" s="1" t="s">
        <v>14435</v>
      </c>
      <c r="B2695" s="1" t="s">
        <v>7793</v>
      </c>
      <c r="C2695" s="1" t="str">
        <f>IFERROR(VLOOKUP(B2695,'SB1'!$A$2:$B$999999,2,FALSE),"")</f>
        <v>PINCEL CERDA NEGRA 3D BRUSH VENT &amp; DASH - (M-16L)</v>
      </c>
      <c r="D2695" s="1" t="s">
        <v>14439</v>
      </c>
      <c r="E2695" s="3">
        <f>IFERROR(VLOOKUP(B2695,'DA1'!$B$2:$D$999999,3,FALSE),"")</f>
      </c>
      <c r="F2695" s="1" t="str">
        <f>IFERROR(VLOOKUP(B2695,'SB1'!$A$2:$C$999999,3,FALSE),"")</f>
        <v>503</v>
      </c>
      <c r="G2695" s="3" t="e">
        <f t="shared" si="96"/>
        <v>#VALUE!</v>
      </c>
      <c r="H2695" s="3" t="e">
        <f t="shared" si="95"/>
        <v>#VALUE!</v>
      </c>
      <c r="I2695" s="1">
        <v>1</v>
      </c>
    </row>
    <row r="2696" spans="1:8" x14ac:dyDescent="0.25">
      <c r="A2696" s="1" t="s">
        <v>14435</v>
      </c>
      <c r="B2696" s="1" t="s">
        <v>7795</v>
      </c>
      <c r="C2696" s="1" t="str">
        <f>IFERROR(VLOOKUP(B2696,'SB1'!$A$2:$B$999999,2,FALSE),"")</f>
        <v>CEPILLO PELO FINO 3D BRUSH UPHOLSTERY - (M-26)</v>
      </c>
      <c r="D2696" s="1" t="s">
        <v>14439</v>
      </c>
      <c r="E2696" s="3">
        <f>IFERROR(VLOOKUP(B2696,'DA1'!$B$2:$D$999999,3,FALSE),"")</f>
      </c>
      <c r="F2696" s="1" t="str">
        <f>IFERROR(VLOOKUP(B2696,'SB1'!$A$2:$C$999999,3,FALSE),"")</f>
        <v>503</v>
      </c>
      <c r="G2696" s="3" t="e">
        <f t="shared" si="96"/>
        <v>#VALUE!</v>
      </c>
      <c r="H2696" s="3" t="e">
        <f t="shared" si="95"/>
        <v>#VALUE!</v>
      </c>
    </row>
    <row r="2697" spans="1:9" x14ac:dyDescent="0.25">
      <c r="A2697" s="1" t="s">
        <v>14435</v>
      </c>
      <c r="B2697" s="1" t="s">
        <v>7825</v>
      </c>
      <c r="C2697" s="1" t="str">
        <f>IFERROR(VLOOKUP(B2697,'SB1'!$A$2:$B$999999,2,FALSE),"")</f>
        <v>COLOR TEST ALBA ADOQUIN X 0,030</v>
      </c>
      <c r="D2697" s="1" t="s">
        <v>14439</v>
      </c>
      <c r="E2697" s="3">
        <f>IFERROR(VLOOKUP(B2697,'DA1'!$B$2:$D$999999,3,FALSE),"")</f>
      </c>
      <c r="F2697" s="1" t="str">
        <f>IFERROR(VLOOKUP(B2697,'SB1'!$A$2:$C$999999,3,FALSE),"")</f>
        <v>503</v>
      </c>
      <c r="G2697" s="3" t="e">
        <f t="shared" si="96"/>
        <v>#VALUE!</v>
      </c>
      <c r="H2697" s="3" t="e">
        <f t="shared" si="95"/>
        <v>#VALUE!</v>
      </c>
      <c r="I2697" s="1">
        <v>1</v>
      </c>
    </row>
    <row r="2698" spans="1:9" x14ac:dyDescent="0.25">
      <c r="A2698" s="1" t="s">
        <v>14435</v>
      </c>
      <c r="B2698" s="1" t="s">
        <v>7827</v>
      </c>
      <c r="C2698" s="1" t="str">
        <f>IFERROR(VLOOKUP(B2698,'SB1'!$A$2:$B$999999,2,FALSE),"")</f>
        <v>COLOR TEST ALBA ADORNO RUPESTRE X 0,030</v>
      </c>
      <c r="D2698" s="1" t="s">
        <v>14439</v>
      </c>
      <c r="E2698" s="3">
        <f>IFERROR(VLOOKUP(B2698,'DA1'!$B$2:$D$999999,3,FALSE),"")</f>
      </c>
      <c r="F2698" s="1" t="str">
        <f>IFERROR(VLOOKUP(B2698,'SB1'!$A$2:$C$999999,3,FALSE),"")</f>
        <v>503</v>
      </c>
      <c r="G2698" s="3" t="e">
        <f t="shared" si="96"/>
        <v>#VALUE!</v>
      </c>
      <c r="H2698" s="3" t="e">
        <f t="shared" si="95"/>
        <v>#VALUE!</v>
      </c>
      <c r="I2698" s="1">
        <v>1</v>
      </c>
    </row>
    <row r="2699" spans="1:9" x14ac:dyDescent="0.25">
      <c r="A2699" s="1" t="s">
        <v>14435</v>
      </c>
      <c r="B2699" s="1" t="s">
        <v>7829</v>
      </c>
      <c r="C2699" s="1" t="str">
        <f>IFERROR(VLOOKUP(B2699,'SB1'!$A$2:$B$999999,2,FALSE),"")</f>
        <v>COLOR TEST ALBA AGUAMARINA MEDIO X 0,030</v>
      </c>
      <c r="D2699" s="1" t="s">
        <v>14439</v>
      </c>
      <c r="E2699" s="3">
        <f>IFERROR(VLOOKUP(B2699,'DA1'!$B$2:$D$999999,3,FALSE),"")</f>
      </c>
      <c r="F2699" s="1" t="str">
        <f>IFERROR(VLOOKUP(B2699,'SB1'!$A$2:$C$999999,3,FALSE),"")</f>
        <v>503</v>
      </c>
      <c r="G2699" s="3" t="e">
        <f t="shared" si="96"/>
        <v>#VALUE!</v>
      </c>
      <c r="H2699" s="3" t="e">
        <f t="shared" si="95"/>
        <v>#VALUE!</v>
      </c>
      <c r="I2699" s="1">
        <v>1</v>
      </c>
    </row>
    <row r="2700" spans="1:9" x14ac:dyDescent="0.25">
      <c r="A2700" s="1" t="s">
        <v>14435</v>
      </c>
      <c r="B2700" s="1" t="s">
        <v>7831</v>
      </c>
      <c r="C2700" s="1" t="str">
        <f>IFERROR(VLOOKUP(B2700,'SB1'!$A$2:$B$999999,2,FALSE),"")</f>
        <v>COLOR TEST ALBA AGUAS DE ISLANDIA X 0,030</v>
      </c>
      <c r="D2700" s="1" t="s">
        <v>14439</v>
      </c>
      <c r="E2700" s="3">
        <f>IFERROR(VLOOKUP(B2700,'DA1'!$B$2:$D$999999,3,FALSE),"")</f>
      </c>
      <c r="F2700" s="1" t="str">
        <f>IFERROR(VLOOKUP(B2700,'SB1'!$A$2:$C$999999,3,FALSE),"")</f>
        <v>503</v>
      </c>
      <c r="G2700" s="3" t="e">
        <f t="shared" si="96"/>
        <v>#VALUE!</v>
      </c>
      <c r="H2700" s="3" t="e">
        <f t="shared" si="95"/>
        <v>#VALUE!</v>
      </c>
      <c r="I2700" s="1">
        <v>1</v>
      </c>
    </row>
    <row r="2701" spans="1:9" x14ac:dyDescent="0.25">
      <c r="A2701" s="1" t="s">
        <v>14435</v>
      </c>
      <c r="B2701" s="1" t="s">
        <v>7833</v>
      </c>
      <c r="C2701" s="1" t="str">
        <f>IFERROR(VLOOKUP(B2701,'SB1'!$A$2:$B$999999,2,FALSE),"")</f>
        <v>COLOR TEST ALBA AZUL COSMICO X 0,030</v>
      </c>
      <c r="D2701" s="1" t="s">
        <v>14439</v>
      </c>
      <c r="E2701" s="3">
        <f>IFERROR(VLOOKUP(B2701,'DA1'!$B$2:$D$999999,3,FALSE),"")</f>
      </c>
      <c r="F2701" s="1" t="str">
        <f>IFERROR(VLOOKUP(B2701,'SB1'!$A$2:$C$999999,3,FALSE),"")</f>
        <v>503</v>
      </c>
      <c r="G2701" s="3" t="e">
        <f t="shared" si="96"/>
        <v>#VALUE!</v>
      </c>
      <c r="H2701" s="3" t="e">
        <f t="shared" si="95"/>
        <v>#VALUE!</v>
      </c>
      <c r="I2701" s="1">
        <v>1</v>
      </c>
    </row>
    <row r="2702" spans="1:9" x14ac:dyDescent="0.25">
      <c r="A2702" s="1" t="s">
        <v>14435</v>
      </c>
      <c r="B2702" s="1" t="s">
        <v>7835</v>
      </c>
      <c r="C2702" s="1" t="str">
        <f>IFERROR(VLOOKUP(B2702,'SB1'!$A$2:$B$999999,2,FALSE),"")</f>
        <v>COLOR TEST ALBA AZUL DICHA X 0,030</v>
      </c>
      <c r="D2702" s="1" t="s">
        <v>14439</v>
      </c>
      <c r="E2702" s="3">
        <f>IFERROR(VLOOKUP(B2702,'DA1'!$B$2:$D$999999,3,FALSE),"")</f>
      </c>
      <c r="F2702" s="1" t="str">
        <f>IFERROR(VLOOKUP(B2702,'SB1'!$A$2:$C$999999,3,FALSE),"")</f>
        <v>503</v>
      </c>
      <c r="G2702" s="3" t="e">
        <f t="shared" si="96"/>
        <v>#VALUE!</v>
      </c>
      <c r="H2702" s="3" t="e">
        <f t="shared" si="95"/>
        <v>#VALUE!</v>
      </c>
      <c r="I2702" s="1">
        <v>1</v>
      </c>
    </row>
    <row r="2703" spans="1:9" x14ac:dyDescent="0.25">
      <c r="A2703" s="1" t="s">
        <v>14435</v>
      </c>
      <c r="B2703" s="1" t="s">
        <v>7837</v>
      </c>
      <c r="C2703" s="1" t="str">
        <f>IFERROR(VLOOKUP(B2703,'SB1'!$A$2:$B$999999,2,FALSE),"")</f>
        <v>COLOR TEST ALBA AZUL FERIADO X 0,030</v>
      </c>
      <c r="D2703" s="1" t="s">
        <v>14439</v>
      </c>
      <c r="E2703" s="3">
        <f>IFERROR(VLOOKUP(B2703,'DA1'!$B$2:$D$999999,3,FALSE),"")</f>
      </c>
      <c r="F2703" s="1" t="str">
        <f>IFERROR(VLOOKUP(B2703,'SB1'!$A$2:$C$999999,3,FALSE),"")</f>
        <v>503</v>
      </c>
      <c r="G2703" s="3" t="e">
        <f t="shared" si="96"/>
        <v>#VALUE!</v>
      </c>
      <c r="H2703" s="3" t="e">
        <f t="shared" si="95"/>
        <v>#VALUE!</v>
      </c>
      <c r="I2703" s="1">
        <v>1</v>
      </c>
    </row>
    <row r="2704" spans="1:9" x14ac:dyDescent="0.25">
      <c r="A2704" s="1" t="s">
        <v>14435</v>
      </c>
      <c r="B2704" s="1" t="s">
        <v>7839</v>
      </c>
      <c r="C2704" s="1" t="str">
        <f>IFERROR(VLOOKUP(B2704,'SB1'!$A$2:$B$999999,2,FALSE),"")</f>
        <v>COLOR TEST ALBA AZUL MOVIMIENTO X 0,030</v>
      </c>
      <c r="D2704" s="1" t="s">
        <v>14439</v>
      </c>
      <c r="E2704" s="3">
        <f>IFERROR(VLOOKUP(B2704,'DA1'!$B$2:$D$999999,3,FALSE),"")</f>
      </c>
      <c r="F2704" s="1" t="str">
        <f>IFERROR(VLOOKUP(B2704,'SB1'!$A$2:$C$999999,3,FALSE),"")</f>
        <v>503</v>
      </c>
      <c r="G2704" s="3" t="e">
        <f t="shared" si="96"/>
        <v>#VALUE!</v>
      </c>
      <c r="H2704" s="3" t="e">
        <f t="shared" si="95"/>
        <v>#VALUE!</v>
      </c>
      <c r="I2704" s="1">
        <v>1</v>
      </c>
    </row>
    <row r="2705" spans="1:9" x14ac:dyDescent="0.25">
      <c r="A2705" s="1" t="s">
        <v>14435</v>
      </c>
      <c r="B2705" s="1" t="s">
        <v>7841</v>
      </c>
      <c r="C2705" s="1" t="str">
        <f>IFERROR(VLOOKUP(B2705,'SB1'!$A$2:$B$999999,2,FALSE),"")</f>
        <v>COLOR TEST ALBA BANO RELAJANTE X 0,030</v>
      </c>
      <c r="D2705" s="1" t="s">
        <v>14439</v>
      </c>
      <c r="E2705" s="3">
        <f>IFERROR(VLOOKUP(B2705,'DA1'!$B$2:$D$999999,3,FALSE),"")</f>
      </c>
      <c r="F2705" s="1" t="str">
        <f>IFERROR(VLOOKUP(B2705,'SB1'!$A$2:$C$999999,3,FALSE),"")</f>
        <v>503</v>
      </c>
      <c r="G2705" s="3" t="e">
        <f t="shared" si="96"/>
        <v>#VALUE!</v>
      </c>
      <c r="H2705" s="3" t="e">
        <f t="shared" si="95"/>
        <v>#VALUE!</v>
      </c>
      <c r="I2705" s="1">
        <v>1</v>
      </c>
    </row>
    <row r="2706" spans="1:9" x14ac:dyDescent="0.25">
      <c r="A2706" s="1" t="s">
        <v>14435</v>
      </c>
      <c r="B2706" s="1" t="s">
        <v>7843</v>
      </c>
      <c r="C2706" s="1" t="str">
        <f>IFERROR(VLOOKUP(B2706,'SB1'!$A$2:$B$999999,2,FALSE),"")</f>
        <v>COLOR TEST ALBA BARRO X 0,030</v>
      </c>
      <c r="D2706" s="1" t="s">
        <v>14439</v>
      </c>
      <c r="E2706" s="3">
        <f>IFERROR(VLOOKUP(B2706,'DA1'!$B$2:$D$999999,3,FALSE),"")</f>
      </c>
      <c r="F2706" s="1" t="str">
        <f>IFERROR(VLOOKUP(B2706,'SB1'!$A$2:$C$999999,3,FALSE),"")</f>
        <v>503</v>
      </c>
      <c r="G2706" s="3" t="e">
        <f t="shared" si="96"/>
        <v>#VALUE!</v>
      </c>
      <c r="H2706" s="3" t="e">
        <f t="shared" si="95"/>
        <v>#VALUE!</v>
      </c>
      <c r="I2706" s="1">
        <v>1</v>
      </c>
    </row>
    <row r="2707" spans="1:9" x14ac:dyDescent="0.25">
      <c r="A2707" s="1" t="s">
        <v>14435</v>
      </c>
      <c r="B2707" s="1" t="s">
        <v>7845</v>
      </c>
      <c r="C2707" s="1" t="str">
        <f>IFERROR(VLOOKUP(B2707,'SB1'!$A$2:$B$999999,2,FALSE),"")</f>
        <v>COLOR TEST ALBA BEGONIA OSADA X 0,030</v>
      </c>
      <c r="D2707" s="1" t="s">
        <v>14439</v>
      </c>
      <c r="E2707" s="3">
        <f>IFERROR(VLOOKUP(B2707,'DA1'!$B$2:$D$999999,3,FALSE),"")</f>
      </c>
      <c r="F2707" s="1" t="str">
        <f>IFERROR(VLOOKUP(B2707,'SB1'!$A$2:$C$999999,3,FALSE),"")</f>
        <v>503</v>
      </c>
      <c r="G2707" s="3" t="e">
        <f t="shared" si="96"/>
        <v>#VALUE!</v>
      </c>
      <c r="H2707" s="3" t="e">
        <f t="shared" si="95"/>
        <v>#VALUE!</v>
      </c>
      <c r="I2707" s="1">
        <v>1</v>
      </c>
    </row>
    <row r="2708" spans="1:9" x14ac:dyDescent="0.25">
      <c r="A2708" s="1" t="s">
        <v>14435</v>
      </c>
      <c r="B2708" s="1" t="s">
        <v>7847</v>
      </c>
      <c r="C2708" s="1" t="str">
        <f>IFERROR(VLOOKUP(B2708,'SB1'!$A$2:$B$999999,2,FALSE),"")</f>
        <v>COLOR TEST ALBA BORGONA X 0,030</v>
      </c>
      <c r="D2708" s="1" t="s">
        <v>14439</v>
      </c>
      <c r="E2708" s="3">
        <f>IFERROR(VLOOKUP(B2708,'DA1'!$B$2:$D$999999,3,FALSE),"")</f>
      </c>
      <c r="F2708" s="1" t="str">
        <f>IFERROR(VLOOKUP(B2708,'SB1'!$A$2:$C$999999,3,FALSE),"")</f>
        <v>503</v>
      </c>
      <c r="G2708" s="3" t="e">
        <f t="shared" si="96"/>
        <v>#VALUE!</v>
      </c>
      <c r="H2708" s="3" t="e">
        <f t="shared" si="95"/>
        <v>#VALUE!</v>
      </c>
      <c r="I2708" s="1">
        <v>1</v>
      </c>
    </row>
    <row r="2709" spans="1:9" x14ac:dyDescent="0.25">
      <c r="A2709" s="1" t="s">
        <v>14435</v>
      </c>
      <c r="B2709" s="1" t="s">
        <v>7849</v>
      </c>
      <c r="C2709" s="1" t="str">
        <f>IFERROR(VLOOKUP(B2709,'SB1'!$A$2:$B$999999,2,FALSE),"")</f>
        <v>COLOR TEST ALBA BOTIN DE ORO X 0,030</v>
      </c>
      <c r="D2709" s="1" t="s">
        <v>14439</v>
      </c>
      <c r="E2709" s="3">
        <f>IFERROR(VLOOKUP(B2709,'DA1'!$B$2:$D$999999,3,FALSE),"")</f>
      </c>
      <c r="F2709" s="1" t="str">
        <f>IFERROR(VLOOKUP(B2709,'SB1'!$A$2:$C$999999,3,FALSE),"")</f>
        <v>503</v>
      </c>
      <c r="G2709" s="3" t="e">
        <f t="shared" si="96"/>
        <v>#VALUE!</v>
      </c>
      <c r="H2709" s="3" t="e">
        <f t="shared" si="95"/>
        <v>#VALUE!</v>
      </c>
      <c r="I2709" s="1">
        <v>1</v>
      </c>
    </row>
    <row r="2710" spans="1:9" x14ac:dyDescent="0.25">
      <c r="A2710" s="1" t="s">
        <v>14435</v>
      </c>
      <c r="B2710" s="1" t="s">
        <v>7851</v>
      </c>
      <c r="C2710" s="1" t="str">
        <f>IFERROR(VLOOKUP(B2710,'SB1'!$A$2:$B$999999,2,FALSE),"")</f>
        <v>COLOR TEST ALBA BRONCEADO DE VERANO X 0,030</v>
      </c>
      <c r="D2710" s="1" t="s">
        <v>14439</v>
      </c>
      <c r="E2710" s="3">
        <f>IFERROR(VLOOKUP(B2710,'DA1'!$B$2:$D$999999,3,FALSE),"")</f>
      </c>
      <c r="F2710" s="1" t="str">
        <f>IFERROR(VLOOKUP(B2710,'SB1'!$A$2:$C$999999,3,FALSE),"")</f>
        <v>503</v>
      </c>
      <c r="G2710" s="3" t="e">
        <f t="shared" si="96"/>
        <v>#VALUE!</v>
      </c>
      <c r="H2710" s="3" t="e">
        <f t="shared" si="95"/>
        <v>#VALUE!</v>
      </c>
      <c r="I2710" s="1">
        <v>1</v>
      </c>
    </row>
    <row r="2711" spans="1:9" x14ac:dyDescent="0.25">
      <c r="A2711" s="1" t="s">
        <v>14435</v>
      </c>
      <c r="B2711" s="1" t="s">
        <v>7853</v>
      </c>
      <c r="C2711" s="1" t="str">
        <f>IFERROR(VLOOKUP(B2711,'SB1'!$A$2:$B$999999,2,FALSE),"")</f>
        <v>COLOR TEST ALBA BURBUJA DE CHOCOLATE X 0,030</v>
      </c>
      <c r="D2711" s="1" t="s">
        <v>14439</v>
      </c>
      <c r="E2711" s="3">
        <f>IFERROR(VLOOKUP(B2711,'DA1'!$B$2:$D$999999,3,FALSE),"")</f>
      </c>
      <c r="F2711" s="1" t="str">
        <f>IFERROR(VLOOKUP(B2711,'SB1'!$A$2:$C$999999,3,FALSE),"")</f>
        <v>503</v>
      </c>
      <c r="G2711" s="3" t="e">
        <f t="shared" si="96"/>
        <v>#VALUE!</v>
      </c>
      <c r="H2711" s="3" t="e">
        <f t="shared" si="95"/>
        <v>#VALUE!</v>
      </c>
      <c r="I2711" s="1">
        <v>1</v>
      </c>
    </row>
    <row r="2712" spans="1:9" x14ac:dyDescent="0.25">
      <c r="A2712" s="1" t="s">
        <v>14435</v>
      </c>
      <c r="B2712" s="1" t="s">
        <v>7855</v>
      </c>
      <c r="C2712" s="1" t="str">
        <f>IFERROR(VLOOKUP(B2712,'SB1'!$A$2:$B$999999,2,FALSE),"")</f>
        <v>COLOR TEST ALBA CAMINATAS OTONALES X 0,030</v>
      </c>
      <c r="D2712" s="1" t="s">
        <v>14439</v>
      </c>
      <c r="E2712" s="3">
        <f>IFERROR(VLOOKUP(B2712,'DA1'!$B$2:$D$999999,3,FALSE),"")</f>
      </c>
      <c r="F2712" s="1" t="str">
        <f>IFERROR(VLOOKUP(B2712,'SB1'!$A$2:$C$999999,3,FALSE),"")</f>
        <v>503</v>
      </c>
      <c r="G2712" s="3" t="e">
        <f t="shared" si="96"/>
        <v>#VALUE!</v>
      </c>
      <c r="H2712" s="3" t="e">
        <f t="shared" si="95"/>
        <v>#VALUE!</v>
      </c>
      <c r="I2712" s="1">
        <v>1</v>
      </c>
    </row>
    <row r="2713" spans="1:9" x14ac:dyDescent="0.25">
      <c r="A2713" s="1" t="s">
        <v>14435</v>
      </c>
      <c r="B2713" s="1" t="s">
        <v>7857</v>
      </c>
      <c r="C2713" s="1" t="str">
        <f>IFERROR(VLOOKUP(B2713,'SB1'!$A$2:$B$999999,2,FALSE),"")</f>
        <v>COLOR TEST ALBA CANTO DE PAVO REAL X 0,030</v>
      </c>
      <c r="D2713" s="1" t="s">
        <v>14439</v>
      </c>
      <c r="E2713" s="3">
        <f>IFERROR(VLOOKUP(B2713,'DA1'!$B$2:$D$999999,3,FALSE),"")</f>
      </c>
      <c r="F2713" s="1" t="str">
        <f>IFERROR(VLOOKUP(B2713,'SB1'!$A$2:$C$999999,3,FALSE),"")</f>
        <v>503</v>
      </c>
      <c r="G2713" s="3" t="e">
        <f t="shared" si="96"/>
        <v>#VALUE!</v>
      </c>
      <c r="H2713" s="3" t="e">
        <f t="shared" si="95"/>
        <v>#VALUE!</v>
      </c>
      <c r="I2713" s="1">
        <v>1</v>
      </c>
    </row>
    <row r="2714" spans="1:9" x14ac:dyDescent="0.25">
      <c r="A2714" s="1" t="s">
        <v>14435</v>
      </c>
      <c r="B2714" s="1" t="s">
        <v>7859</v>
      </c>
      <c r="C2714" s="1" t="str">
        <f>IFERROR(VLOOKUP(B2714,'SB1'!$A$2:$B$999999,2,FALSE),"")</f>
        <v>COLOR TEST ALBA CAOBA IMPONENTE X 0,030</v>
      </c>
      <c r="D2714" s="1" t="s">
        <v>14439</v>
      </c>
      <c r="E2714" s="3">
        <f>IFERROR(VLOOKUP(B2714,'DA1'!$B$2:$D$999999,3,FALSE),"")</f>
      </c>
      <c r="F2714" s="1" t="str">
        <f>IFERROR(VLOOKUP(B2714,'SB1'!$A$2:$C$999999,3,FALSE),"")</f>
        <v>503</v>
      </c>
      <c r="G2714" s="3" t="e">
        <f t="shared" si="96"/>
        <v>#VALUE!</v>
      </c>
      <c r="H2714" s="3" t="e">
        <f t="shared" si="95"/>
        <v>#VALUE!</v>
      </c>
      <c r="I2714" s="1">
        <v>1</v>
      </c>
    </row>
    <row r="2715" spans="1:9" x14ac:dyDescent="0.25">
      <c r="A2715" s="1" t="s">
        <v>14435</v>
      </c>
      <c r="B2715" s="1" t="s">
        <v>7861</v>
      </c>
      <c r="C2715" s="1" t="str">
        <f>IFERROR(VLOOKUP(B2715,'SB1'!$A$2:$B$999999,2,FALSE),"")</f>
        <v>COLOR TEST ALBA CARAMELO CROCANTE X 0,030</v>
      </c>
      <c r="D2715" s="1" t="s">
        <v>14439</v>
      </c>
      <c r="E2715" s="3">
        <f>IFERROR(VLOOKUP(B2715,'DA1'!$B$2:$D$999999,3,FALSE),"")</f>
      </c>
      <c r="F2715" s="1" t="str">
        <f>IFERROR(VLOOKUP(B2715,'SB1'!$A$2:$C$999999,3,FALSE),"")</f>
        <v>503</v>
      </c>
      <c r="G2715" s="3" t="e">
        <f t="shared" si="96"/>
        <v>#VALUE!</v>
      </c>
      <c r="H2715" s="3" t="e">
        <f t="shared" si="95"/>
        <v>#VALUE!</v>
      </c>
      <c r="I2715" s="1">
        <v>1</v>
      </c>
    </row>
    <row r="2716" spans="1:9" x14ac:dyDescent="0.25">
      <c r="A2716" s="1" t="s">
        <v>14435</v>
      </c>
      <c r="B2716" s="1" t="s">
        <v>7863</v>
      </c>
      <c r="C2716" s="1" t="str">
        <f>IFERROR(VLOOKUP(B2716,'SB1'!$A$2:$B$999999,2,FALSE),"")</f>
        <v>COLOR TEST ALBA CASTILLLO DEL DESIERTO X 0,030</v>
      </c>
      <c r="D2716" s="1" t="s">
        <v>14439</v>
      </c>
      <c r="E2716" s="3">
        <f>IFERROR(VLOOKUP(B2716,'DA1'!$B$2:$D$999999,3,FALSE),"")</f>
      </c>
      <c r="F2716" s="1" t="str">
        <f>IFERROR(VLOOKUP(B2716,'SB1'!$A$2:$C$999999,3,FALSE),"")</f>
        <v>503</v>
      </c>
      <c r="G2716" s="3" t="e">
        <f t="shared" si="96"/>
        <v>#VALUE!</v>
      </c>
      <c r="H2716" s="3" t="e">
        <f t="shared" si="95"/>
        <v>#VALUE!</v>
      </c>
      <c r="I2716" s="1">
        <v>1</v>
      </c>
    </row>
    <row r="2717" spans="1:9" x14ac:dyDescent="0.25">
      <c r="A2717" s="1" t="s">
        <v>14435</v>
      </c>
      <c r="B2717" s="1" t="s">
        <v>7865</v>
      </c>
      <c r="C2717" s="1" t="str">
        <f>IFERROR(VLOOKUP(B2717,'SB1'!$A$2:$B$999999,2,FALSE),"")</f>
        <v>COLOR TEST ALBA CATARATAS DE PASION X 0,030</v>
      </c>
      <c r="D2717" s="1" t="s">
        <v>14439</v>
      </c>
      <c r="E2717" s="3">
        <f>IFERROR(VLOOKUP(B2717,'DA1'!$B$2:$D$999999,3,FALSE),"")</f>
      </c>
      <c r="F2717" s="1" t="str">
        <f>IFERROR(VLOOKUP(B2717,'SB1'!$A$2:$C$999999,3,FALSE),"")</f>
        <v>503</v>
      </c>
      <c r="G2717" s="3" t="e">
        <f t="shared" si="96"/>
        <v>#VALUE!</v>
      </c>
      <c r="H2717" s="3" t="e">
        <f t="shared" si="95"/>
        <v>#VALUE!</v>
      </c>
      <c r="I2717" s="1">
        <v>1</v>
      </c>
    </row>
    <row r="2718" spans="1:9" x14ac:dyDescent="0.25">
      <c r="A2718" s="1" t="s">
        <v>14435</v>
      </c>
      <c r="B2718" s="1" t="s">
        <v>7867</v>
      </c>
      <c r="C2718" s="1" t="str">
        <f>IFERROR(VLOOKUP(B2718,'SB1'!$A$2:$B$999999,2,FALSE),"")</f>
        <v>COLOR TEST ALBA CELESTER FLORECIENTE X 0,030</v>
      </c>
      <c r="D2718" s="1" t="s">
        <v>14439</v>
      </c>
      <c r="E2718" s="3">
        <f>IFERROR(VLOOKUP(B2718,'DA1'!$B$2:$D$999999,3,FALSE),"")</f>
      </c>
      <c r="F2718" s="1" t="str">
        <f>IFERROR(VLOOKUP(B2718,'SB1'!$A$2:$C$999999,3,FALSE),"")</f>
        <v>503</v>
      </c>
      <c r="G2718" s="3" t="e">
        <f t="shared" si="96"/>
        <v>#VALUE!</v>
      </c>
      <c r="H2718" s="3" t="e">
        <f t="shared" si="95"/>
        <v>#VALUE!</v>
      </c>
      <c r="I2718" s="1">
        <v>1</v>
      </c>
    </row>
    <row r="2719" spans="1:9" x14ac:dyDescent="0.25">
      <c r="A2719" s="1" t="s">
        <v>14435</v>
      </c>
      <c r="B2719" s="1" t="s">
        <v>7869</v>
      </c>
      <c r="C2719" s="1" t="str">
        <f>IFERROR(VLOOKUP(B2719,'SB1'!$A$2:$B$999999,2,FALSE),"")</f>
        <v>COLOR TEST ALBA CEMENTO QUEMADO X 0,030</v>
      </c>
      <c r="D2719" s="1" t="s">
        <v>14439</v>
      </c>
      <c r="E2719" s="3">
        <f>IFERROR(VLOOKUP(B2719,'DA1'!$B$2:$D$999999,3,FALSE),"")</f>
      </c>
      <c r="F2719" s="1" t="str">
        <f>IFERROR(VLOOKUP(B2719,'SB1'!$A$2:$C$999999,3,FALSE),"")</f>
        <v>503</v>
      </c>
      <c r="G2719" s="3" t="e">
        <f t="shared" si="96"/>
        <v>#VALUE!</v>
      </c>
      <c r="H2719" s="3" t="e">
        <f t="shared" si="95"/>
        <v>#VALUE!</v>
      </c>
      <c r="I2719" s="1">
        <v>1</v>
      </c>
    </row>
    <row r="2720" spans="1:9" x14ac:dyDescent="0.25">
      <c r="A2720" s="1" t="s">
        <v>14435</v>
      </c>
      <c r="B2720" s="1" t="s">
        <v>7871</v>
      </c>
      <c r="C2720" s="1" t="str">
        <f>IFERROR(VLOOKUP(B2720,'SB1'!$A$2:$B$999999,2,FALSE),"")</f>
        <v>COLOR TEST ALBA CINTA VIOLETA X 0,030</v>
      </c>
      <c r="D2720" s="1" t="s">
        <v>14439</v>
      </c>
      <c r="E2720" s="3">
        <f>IFERROR(VLOOKUP(B2720,'DA1'!$B$2:$D$999999,3,FALSE),"")</f>
      </c>
      <c r="F2720" s="1" t="str">
        <f>IFERROR(VLOOKUP(B2720,'SB1'!$A$2:$C$999999,3,FALSE),"")</f>
        <v>503</v>
      </c>
      <c r="G2720" s="3" t="e">
        <f t="shared" si="96"/>
        <v>#VALUE!</v>
      </c>
      <c r="H2720" s="3" t="e">
        <f t="shared" si="95"/>
        <v>#VALUE!</v>
      </c>
      <c r="I2720" s="1">
        <v>1</v>
      </c>
    </row>
    <row r="2721" spans="1:9" x14ac:dyDescent="0.25">
      <c r="A2721" s="1" t="s">
        <v>14435</v>
      </c>
      <c r="B2721" s="1" t="s">
        <v>7873</v>
      </c>
      <c r="C2721" s="1" t="str">
        <f>IFERROR(VLOOKUP(B2721,'SB1'!$A$2:$B$999999,2,FALSE),"")</f>
        <v>COLOR TEST ALBA COSTA DE PELICANOS X 0,030</v>
      </c>
      <c r="D2721" s="1" t="s">
        <v>14439</v>
      </c>
      <c r="E2721" s="3">
        <f>IFERROR(VLOOKUP(B2721,'DA1'!$B$2:$D$999999,3,FALSE),"")</f>
      </c>
      <c r="F2721" s="1" t="str">
        <f>IFERROR(VLOOKUP(B2721,'SB1'!$A$2:$C$999999,3,FALSE),"")</f>
        <v>503</v>
      </c>
      <c r="G2721" s="3" t="e">
        <f t="shared" si="96"/>
        <v>#VALUE!</v>
      </c>
      <c r="H2721" s="3" t="e">
        <f t="shared" si="95"/>
        <v>#VALUE!</v>
      </c>
      <c r="I2721" s="1">
        <v>1</v>
      </c>
    </row>
    <row r="2722" spans="1:9" x14ac:dyDescent="0.25">
      <c r="A2722" s="1" t="s">
        <v>14435</v>
      </c>
      <c r="B2722" s="1" t="s">
        <v>7875</v>
      </c>
      <c r="C2722" s="1" t="str">
        <f>IFERROR(VLOOKUP(B2722,'SB1'!$A$2:$B$999999,2,FALSE),"")</f>
        <v>COLOR TEST ALBA DIA FELIZ X 0,030</v>
      </c>
      <c r="D2722" s="1" t="s">
        <v>14439</v>
      </c>
      <c r="E2722" s="3">
        <f>IFERROR(VLOOKUP(B2722,'DA1'!$B$2:$D$999999,3,FALSE),"")</f>
      </c>
      <c r="F2722" s="1" t="str">
        <f>IFERROR(VLOOKUP(B2722,'SB1'!$A$2:$C$999999,3,FALSE),"")</f>
        <v>503</v>
      </c>
      <c r="G2722" s="3" t="e">
        <f t="shared" si="96"/>
        <v>#VALUE!</v>
      </c>
      <c r="H2722" s="3" t="e">
        <f t="shared" si="95"/>
        <v>#VALUE!</v>
      </c>
      <c r="I2722" s="1">
        <v>1</v>
      </c>
    </row>
    <row r="2723" spans="1:9" x14ac:dyDescent="0.25">
      <c r="A2723" s="1" t="s">
        <v>14435</v>
      </c>
      <c r="B2723" s="1" t="s">
        <v>7877</v>
      </c>
      <c r="C2723" s="1" t="str">
        <f>IFERROR(VLOOKUP(B2723,'SB1'!$A$2:$B$999999,2,FALSE),"")</f>
        <v>COLOR TEST ALBA DIGNIDAD X 0,030</v>
      </c>
      <c r="D2723" s="1" t="s">
        <v>14439</v>
      </c>
      <c r="E2723" s="3">
        <f>IFERROR(VLOOKUP(B2723,'DA1'!$B$2:$D$999999,3,FALSE),"")</f>
      </c>
      <c r="F2723" s="1" t="str">
        <f>IFERROR(VLOOKUP(B2723,'SB1'!$A$2:$C$999999,3,FALSE),"")</f>
        <v>503</v>
      </c>
      <c r="G2723" s="3" t="e">
        <f t="shared" si="96"/>
        <v>#VALUE!</v>
      </c>
      <c r="H2723" s="3" t="e">
        <f t="shared" si="95"/>
        <v>#VALUE!</v>
      </c>
      <c r="I2723" s="1">
        <v>1</v>
      </c>
    </row>
    <row r="2724" spans="1:9" x14ac:dyDescent="0.25">
      <c r="A2724" s="1" t="s">
        <v>14435</v>
      </c>
      <c r="B2724" s="1" t="s">
        <v>7879</v>
      </c>
      <c r="C2724" s="1" t="str">
        <f>IFERROR(VLOOKUP(B2724,'SB1'!$A$2:$B$999999,2,FALSE),"")</f>
        <v>COLOR TEST ALBA DURAZNO CALIDO X 0,030</v>
      </c>
      <c r="D2724" s="1" t="s">
        <v>14439</v>
      </c>
      <c r="E2724" s="3">
        <f>IFERROR(VLOOKUP(B2724,'DA1'!$B$2:$D$999999,3,FALSE),"")</f>
      </c>
      <c r="F2724" s="1" t="str">
        <f>IFERROR(VLOOKUP(B2724,'SB1'!$A$2:$C$999999,3,FALSE),"")</f>
        <v>503</v>
      </c>
      <c r="G2724" s="3" t="e">
        <f t="shared" si="96"/>
        <v>#VALUE!</v>
      </c>
      <c r="H2724" s="3" t="e">
        <f t="shared" si="95"/>
        <v>#VALUE!</v>
      </c>
      <c r="I2724" s="1">
        <v>1</v>
      </c>
    </row>
    <row r="2725" spans="1:9" x14ac:dyDescent="0.25">
      <c r="A2725" s="1" t="s">
        <v>14435</v>
      </c>
      <c r="B2725" s="1" t="s">
        <v>7881</v>
      </c>
      <c r="C2725" s="1" t="str">
        <f>IFERROR(VLOOKUP(B2725,'SB1'!$A$2:$B$999999,2,FALSE),"")</f>
        <v>COLOR TEST ALBA DURAZNO DELICIOSO X 0,030</v>
      </c>
      <c r="D2725" s="1" t="s">
        <v>14439</v>
      </c>
      <c r="E2725" s="3">
        <f>IFERROR(VLOOKUP(B2725,'DA1'!$B$2:$D$999999,3,FALSE),"")</f>
      </c>
      <c r="F2725" s="1" t="str">
        <f>IFERROR(VLOOKUP(B2725,'SB1'!$A$2:$C$999999,3,FALSE),"")</f>
        <v>503</v>
      </c>
      <c r="G2725" s="3" t="e">
        <f t="shared" si="96"/>
        <v>#VALUE!</v>
      </c>
      <c r="H2725" s="3" t="e">
        <f t="shared" si="95"/>
        <v>#VALUE!</v>
      </c>
      <c r="I2725" s="1">
        <v>1</v>
      </c>
    </row>
    <row r="2726" spans="1:9" x14ac:dyDescent="0.25">
      <c r="A2726" s="1" t="s">
        <v>14435</v>
      </c>
      <c r="B2726" s="1" t="s">
        <v>7883</v>
      </c>
      <c r="C2726" s="1" t="str">
        <f>IFERROR(VLOOKUP(B2726,'SB1'!$A$2:$B$999999,2,FALSE),"")</f>
        <v>COLOR TEST ALBA ESPECIA FUERTE X 0,030</v>
      </c>
      <c r="D2726" s="1" t="s">
        <v>14439</v>
      </c>
      <c r="E2726" s="3">
        <f>IFERROR(VLOOKUP(B2726,'DA1'!$B$2:$D$999999,3,FALSE),"")</f>
      </c>
      <c r="F2726" s="1" t="str">
        <f>IFERROR(VLOOKUP(B2726,'SB1'!$A$2:$C$999999,3,FALSE),"")</f>
        <v>503</v>
      </c>
      <c r="G2726" s="3" t="e">
        <f t="shared" si="96"/>
        <v>#VALUE!</v>
      </c>
      <c r="H2726" s="3" t="e">
        <f t="shared" si="95"/>
        <v>#VALUE!</v>
      </c>
      <c r="I2726" s="1">
        <v>1</v>
      </c>
    </row>
    <row r="2727" spans="1:9" x14ac:dyDescent="0.25">
      <c r="A2727" s="1" t="s">
        <v>14435</v>
      </c>
      <c r="B2727" s="1" t="s">
        <v>7885</v>
      </c>
      <c r="C2727" s="1" t="str">
        <f>IFERROR(VLOOKUP(B2727,'SB1'!$A$2:$B$999999,2,FALSE),"")</f>
        <v>COLOR TEST ALBA ESPIRITU DE SEDUCCION X 0,030</v>
      </c>
      <c r="D2727" s="1" t="s">
        <v>14439</v>
      </c>
      <c r="E2727" s="3">
        <f>IFERROR(VLOOKUP(B2727,'DA1'!$B$2:$D$999999,3,FALSE),"")</f>
      </c>
      <c r="F2727" s="1" t="str">
        <f>IFERROR(VLOOKUP(B2727,'SB1'!$A$2:$C$999999,3,FALSE),"")</f>
        <v>503</v>
      </c>
      <c r="G2727" s="3" t="e">
        <f t="shared" si="96"/>
        <v>#VALUE!</v>
      </c>
      <c r="H2727" s="3" t="e">
        <f t="shared" si="95"/>
        <v>#VALUE!</v>
      </c>
      <c r="I2727" s="1">
        <v>1</v>
      </c>
    </row>
    <row r="2728" spans="1:9" x14ac:dyDescent="0.25">
      <c r="A2728" s="1" t="s">
        <v>14435</v>
      </c>
      <c r="B2728" s="1" t="s">
        <v>7887</v>
      </c>
      <c r="C2728" s="1" t="str">
        <f>IFERROR(VLOOKUP(B2728,'SB1'!$A$2:$B$999999,2,FALSE),"")</f>
        <v>COLOR TEST ALBA ESTALLIDO ESTELAR X 0,030</v>
      </c>
      <c r="D2728" s="1" t="s">
        <v>14439</v>
      </c>
      <c r="E2728" s="3">
        <f>IFERROR(VLOOKUP(B2728,'DA1'!$B$2:$D$999999,3,FALSE),"")</f>
      </c>
      <c r="F2728" s="1" t="str">
        <f>IFERROR(VLOOKUP(B2728,'SB1'!$A$2:$C$999999,3,FALSE),"")</f>
        <v>503</v>
      </c>
      <c r="G2728" s="3" t="e">
        <f t="shared" si="96"/>
        <v>#VALUE!</v>
      </c>
      <c r="H2728" s="3" t="e">
        <f t="shared" si="95"/>
        <v>#VALUE!</v>
      </c>
      <c r="I2728" s="1">
        <v>1</v>
      </c>
    </row>
    <row r="2729" spans="1:9" x14ac:dyDescent="0.25">
      <c r="A2729" s="1" t="s">
        <v>14435</v>
      </c>
      <c r="B2729" s="1" t="s">
        <v>7889</v>
      </c>
      <c r="C2729" s="1" t="str">
        <f>IFERROR(VLOOKUP(B2729,'SB1'!$A$2:$B$999999,2,FALSE),"")</f>
        <v>COLOR TEST ALBA EXPLOSION DE GRIS X 0,030</v>
      </c>
      <c r="D2729" s="1" t="s">
        <v>14439</v>
      </c>
      <c r="E2729" s="3">
        <f>IFERROR(VLOOKUP(B2729,'DA1'!$B$2:$D$999999,3,FALSE),"")</f>
      </c>
      <c r="F2729" s="1" t="str">
        <f>IFERROR(VLOOKUP(B2729,'SB1'!$A$2:$C$999999,3,FALSE),"")</f>
        <v>503</v>
      </c>
      <c r="G2729" s="3" t="e">
        <f t="shared" si="96"/>
        <v>#VALUE!</v>
      </c>
      <c r="H2729" s="3" t="e">
        <f t="shared" si="95"/>
        <v>#VALUE!</v>
      </c>
      <c r="I2729" s="1">
        <v>1</v>
      </c>
    </row>
    <row r="2730" spans="1:9" x14ac:dyDescent="0.25">
      <c r="A2730" s="1" t="s">
        <v>14435</v>
      </c>
      <c r="B2730" s="1" t="s">
        <v>7891</v>
      </c>
      <c r="C2730" s="1" t="str">
        <f>IFERROR(VLOOKUP(B2730,'SB1'!$A$2:$B$999999,2,FALSE),"")</f>
        <v>COLOR TEST ALBA FANTASIA DEL BOSQUE X 0,030</v>
      </c>
      <c r="D2730" s="1" t="s">
        <v>14439</v>
      </c>
      <c r="E2730" s="3">
        <f>IFERROR(VLOOKUP(B2730,'DA1'!$B$2:$D$999999,3,FALSE),"")</f>
      </c>
      <c r="F2730" s="1" t="str">
        <f>IFERROR(VLOOKUP(B2730,'SB1'!$A$2:$C$999999,3,FALSE),"")</f>
        <v>503</v>
      </c>
      <c r="G2730" s="3" t="e">
        <f t="shared" si="96"/>
        <v>#VALUE!</v>
      </c>
      <c r="H2730" s="3" t="e">
        <f t="shared" ref="H2730:H2793" si="97">G2730*1.21</f>
        <v>#VALUE!</v>
      </c>
      <c r="I2730" s="1">
        <v>1</v>
      </c>
    </row>
    <row r="2731" spans="1:9" x14ac:dyDescent="0.25">
      <c r="A2731" s="1" t="s">
        <v>14435</v>
      </c>
      <c r="B2731" s="1" t="s">
        <v>7893</v>
      </c>
      <c r="C2731" s="1" t="str">
        <f>IFERROR(VLOOKUP(B2731,'SB1'!$A$2:$B$999999,2,FALSE),"")</f>
        <v>COLOR TEST ALBA FANTASTICO FOLLAJE X 0,030</v>
      </c>
      <c r="D2731" s="1" t="s">
        <v>14439</v>
      </c>
      <c r="E2731" s="3">
        <f>IFERROR(VLOOKUP(B2731,'DA1'!$B$2:$D$999999,3,FALSE),"")</f>
      </c>
      <c r="F2731" s="1" t="str">
        <f>IFERROR(VLOOKUP(B2731,'SB1'!$A$2:$C$999999,3,FALSE),"")</f>
        <v>503</v>
      </c>
      <c r="G2731" s="3" t="e">
        <f t="shared" si="96"/>
        <v>#VALUE!</v>
      </c>
      <c r="H2731" s="3" t="e">
        <f t="shared" si="97"/>
        <v>#VALUE!</v>
      </c>
      <c r="I2731" s="1">
        <v>1</v>
      </c>
    </row>
    <row r="2732" spans="1:9" x14ac:dyDescent="0.25">
      <c r="A2732" s="1" t="s">
        <v>14435</v>
      </c>
      <c r="B2732" s="1" t="s">
        <v>7895</v>
      </c>
      <c r="C2732" s="1" t="str">
        <f>IFERROR(VLOOKUP(B2732,'SB1'!$A$2:$B$999999,2,FALSE),"")</f>
        <v>COLOR TEST ALBA FIESTA PRIMAVERAL X 0,030</v>
      </c>
      <c r="D2732" s="1" t="s">
        <v>14439</v>
      </c>
      <c r="E2732" s="3">
        <f>IFERROR(VLOOKUP(B2732,'DA1'!$B$2:$D$999999,3,FALSE),"")</f>
      </c>
      <c r="F2732" s="1" t="str">
        <f>IFERROR(VLOOKUP(B2732,'SB1'!$A$2:$C$999999,3,FALSE),"")</f>
        <v>503</v>
      </c>
      <c r="G2732" s="3" t="e">
        <f t="shared" si="96"/>
        <v>#VALUE!</v>
      </c>
      <c r="H2732" s="3" t="e">
        <f t="shared" si="97"/>
        <v>#VALUE!</v>
      </c>
      <c r="I2732" s="1">
        <v>1</v>
      </c>
    </row>
    <row r="2733" spans="1:9" x14ac:dyDescent="0.25">
      <c r="A2733" s="1" t="s">
        <v>14435</v>
      </c>
      <c r="B2733" s="1" t="s">
        <v>7897</v>
      </c>
      <c r="C2733" s="1" t="str">
        <f>IFERROR(VLOOKUP(B2733,'SB1'!$A$2:$B$999999,2,FALSE),"")</f>
        <v>COLOR TEST ALBA FLOR DE NARANJA X 0,030</v>
      </c>
      <c r="D2733" s="1" t="s">
        <v>14439</v>
      </c>
      <c r="E2733" s="3">
        <f>IFERROR(VLOOKUP(B2733,'DA1'!$B$2:$D$999999,3,FALSE),"")</f>
      </c>
      <c r="F2733" s="1" t="str">
        <f>IFERROR(VLOOKUP(B2733,'SB1'!$A$2:$C$999999,3,FALSE),"")</f>
        <v>503</v>
      </c>
      <c r="G2733" s="3" t="e">
        <f t="shared" si="96"/>
        <v>#VALUE!</v>
      </c>
      <c r="H2733" s="3" t="e">
        <f t="shared" si="97"/>
        <v>#VALUE!</v>
      </c>
      <c r="I2733" s="1">
        <v>1</v>
      </c>
    </row>
    <row r="2734" spans="1:9" x14ac:dyDescent="0.25">
      <c r="A2734" s="1" t="s">
        <v>14435</v>
      </c>
      <c r="B2734" s="1" t="s">
        <v>7899</v>
      </c>
      <c r="C2734" s="1" t="str">
        <f>IFERROR(VLOOKUP(B2734,'SB1'!$A$2:$B$999999,2,FALSE),"")</f>
        <v>COLOR TEST ALBA FLORECER DE SETIEMBRE X 0,030</v>
      </c>
      <c r="D2734" s="1" t="s">
        <v>14439</v>
      </c>
      <c r="E2734" s="3">
        <f>IFERROR(VLOOKUP(B2734,'DA1'!$B$2:$D$999999,3,FALSE),"")</f>
      </c>
      <c r="F2734" s="1" t="str">
        <f>IFERROR(VLOOKUP(B2734,'SB1'!$A$2:$C$999999,3,FALSE),"")</f>
        <v>503</v>
      </c>
      <c r="G2734" s="3" t="e">
        <f t="shared" si="96"/>
        <v>#VALUE!</v>
      </c>
      <c r="H2734" s="3" t="e">
        <f t="shared" si="97"/>
        <v>#VALUE!</v>
      </c>
      <c r="I2734" s="1">
        <v>1</v>
      </c>
    </row>
    <row r="2735" spans="1:9" x14ac:dyDescent="0.25">
      <c r="A2735" s="1" t="s">
        <v>14435</v>
      </c>
      <c r="B2735" s="1" t="s">
        <v>7901</v>
      </c>
      <c r="C2735" s="1" t="str">
        <f>IFERROR(VLOOKUP(B2735,'SB1'!$A$2:$B$999999,2,FALSE),"")</f>
        <v>COLOR TEST ALBA FUGA DEL TIEMPO X 0,030</v>
      </c>
      <c r="D2735" s="1" t="s">
        <v>14439</v>
      </c>
      <c r="E2735" s="3">
        <f>IFERROR(VLOOKUP(B2735,'DA1'!$B$2:$D$999999,3,FALSE),"")</f>
      </c>
      <c r="F2735" s="1" t="str">
        <f>IFERROR(VLOOKUP(B2735,'SB1'!$A$2:$C$999999,3,FALSE),"")</f>
        <v>503</v>
      </c>
      <c r="G2735" s="3" t="e">
        <f t="shared" si="96"/>
        <v>#VALUE!</v>
      </c>
      <c r="H2735" s="3" t="e">
        <f t="shared" si="97"/>
        <v>#VALUE!</v>
      </c>
      <c r="I2735" s="1">
        <v>1</v>
      </c>
    </row>
    <row r="2736" spans="1:9" x14ac:dyDescent="0.25">
      <c r="A2736" s="1" t="s">
        <v>14435</v>
      </c>
      <c r="B2736" s="1" t="s">
        <v>7903</v>
      </c>
      <c r="C2736" s="1" t="str">
        <f>IFERROR(VLOOKUP(B2736,'SB1'!$A$2:$B$999999,2,FALSE),"")</f>
        <v>COLOR TEST ALBA GAMUZA ROSA X 0,030</v>
      </c>
      <c r="D2736" s="1" t="s">
        <v>14439</v>
      </c>
      <c r="E2736" s="3">
        <f>IFERROR(VLOOKUP(B2736,'DA1'!$B$2:$D$999999,3,FALSE),"")</f>
      </c>
      <c r="F2736" s="1" t="str">
        <f>IFERROR(VLOOKUP(B2736,'SB1'!$A$2:$C$999999,3,FALSE),"")</f>
        <v>503</v>
      </c>
      <c r="G2736" s="3" t="e">
        <f t="shared" si="96"/>
        <v>#VALUE!</v>
      </c>
      <c r="H2736" s="3" t="e">
        <f t="shared" si="97"/>
        <v>#VALUE!</v>
      </c>
      <c r="I2736" s="1">
        <v>1</v>
      </c>
    </row>
    <row r="2737" spans="1:9" x14ac:dyDescent="0.25">
      <c r="A2737" s="1" t="s">
        <v>14435</v>
      </c>
      <c r="B2737" s="1" t="s">
        <v>7905</v>
      </c>
      <c r="C2737" s="1" t="str">
        <f>IFERROR(VLOOKUP(B2737,'SB1'!$A$2:$B$999999,2,FALSE),"")</f>
        <v>COLOR TEST ALBA GRANITO HUMEDO X 0,030</v>
      </c>
      <c r="D2737" s="1" t="s">
        <v>14439</v>
      </c>
      <c r="E2737" s="3">
        <f>IFERROR(VLOOKUP(B2737,'DA1'!$B$2:$D$999999,3,FALSE),"")</f>
      </c>
      <c r="F2737" s="1" t="str">
        <f>IFERROR(VLOOKUP(B2737,'SB1'!$A$2:$C$999999,3,FALSE),"")</f>
        <v>503</v>
      </c>
      <c r="G2737" s="3" t="e">
        <f t="shared" si="96"/>
        <v>#VALUE!</v>
      </c>
      <c r="H2737" s="3" t="e">
        <f t="shared" si="97"/>
        <v>#VALUE!</v>
      </c>
      <c r="I2737" s="1">
        <v>1</v>
      </c>
    </row>
    <row r="2738" spans="1:9" x14ac:dyDescent="0.25">
      <c r="A2738" s="1" t="s">
        <v>14435</v>
      </c>
      <c r="B2738" s="1" t="s">
        <v>7907</v>
      </c>
      <c r="C2738" s="1" t="str">
        <f>IFERROR(VLOOKUP(B2738,'SB1'!$A$2:$B$999999,2,FALSE),"")</f>
        <v>COLOR TEST ALBA GRIS AZULADO X 0,030</v>
      </c>
      <c r="D2738" s="1" t="s">
        <v>14439</v>
      </c>
      <c r="E2738" s="3">
        <f>IFERROR(VLOOKUP(B2738,'DA1'!$B$2:$D$999999,3,FALSE),"")</f>
      </c>
      <c r="F2738" s="1" t="str">
        <f>IFERROR(VLOOKUP(B2738,'SB1'!$A$2:$C$999999,3,FALSE),"")</f>
        <v>503</v>
      </c>
      <c r="G2738" s="3" t="e">
        <f t="shared" si="96"/>
        <v>#VALUE!</v>
      </c>
      <c r="H2738" s="3" t="e">
        <f t="shared" si="97"/>
        <v>#VALUE!</v>
      </c>
      <c r="I2738" s="1">
        <v>1</v>
      </c>
    </row>
    <row r="2739" spans="1:9" x14ac:dyDescent="0.25">
      <c r="A2739" s="1" t="s">
        <v>14435</v>
      </c>
      <c r="B2739" s="1" t="s">
        <v>7909</v>
      </c>
      <c r="C2739" s="1" t="str">
        <f>IFERROR(VLOOKUP(B2739,'SB1'!$A$2:$B$999999,2,FALSE),"")</f>
        <v>COLOR TEST ALBA GRIS CABLE X 0,030</v>
      </c>
      <c r="D2739" s="1" t="s">
        <v>14439</v>
      </c>
      <c r="E2739" s="3">
        <f>IFERROR(VLOOKUP(B2739,'DA1'!$B$2:$D$999999,3,FALSE),"")</f>
      </c>
      <c r="F2739" s="1" t="str">
        <f>IFERROR(VLOOKUP(B2739,'SB1'!$A$2:$C$999999,3,FALSE),"")</f>
        <v>503</v>
      </c>
      <c r="G2739" s="3" t="e">
        <f t="shared" si="96"/>
        <v>#VALUE!</v>
      </c>
      <c r="H2739" s="3" t="e">
        <f t="shared" si="97"/>
        <v>#VALUE!</v>
      </c>
      <c r="I2739" s="1">
        <v>1</v>
      </c>
    </row>
    <row r="2740" spans="1:9" x14ac:dyDescent="0.25">
      <c r="A2740" s="1" t="s">
        <v>14435</v>
      </c>
      <c r="B2740" s="1" t="s">
        <v>7911</v>
      </c>
      <c r="C2740" s="1" t="str">
        <f>IFERROR(VLOOKUP(B2740,'SB1'!$A$2:$B$999999,2,FALSE),"")</f>
        <v>COLOR TEST ALBA GRIS EXOTICO X 0,030</v>
      </c>
      <c r="D2740" s="1" t="s">
        <v>14439</v>
      </c>
      <c r="E2740" s="3">
        <f>IFERROR(VLOOKUP(B2740,'DA1'!$B$2:$D$999999,3,FALSE),"")</f>
      </c>
      <c r="F2740" s="1" t="str">
        <f>IFERROR(VLOOKUP(B2740,'SB1'!$A$2:$C$999999,3,FALSE),"")</f>
        <v>503</v>
      </c>
      <c r="G2740" s="3" t="e">
        <f t="shared" si="96"/>
        <v>#VALUE!</v>
      </c>
      <c r="H2740" s="3" t="e">
        <f t="shared" si="97"/>
        <v>#VALUE!</v>
      </c>
      <c r="I2740" s="1">
        <v>1</v>
      </c>
    </row>
    <row r="2741" spans="1:9" x14ac:dyDescent="0.25">
      <c r="A2741" s="1" t="s">
        <v>14435</v>
      </c>
      <c r="B2741" s="1" t="s">
        <v>7913</v>
      </c>
      <c r="C2741" s="1" t="str">
        <f>IFERROR(VLOOKUP(B2741,'SB1'!$A$2:$B$999999,2,FALSE),"")</f>
        <v>COLOR TEST ALBA GRIS GENEROSO X 0,030</v>
      </c>
      <c r="D2741" s="1" t="s">
        <v>14439</v>
      </c>
      <c r="E2741" s="3">
        <f>IFERROR(VLOOKUP(B2741,'DA1'!$B$2:$D$999999,3,FALSE),"")</f>
      </c>
      <c r="F2741" s="1" t="str">
        <f>IFERROR(VLOOKUP(B2741,'SB1'!$A$2:$C$999999,3,FALSE),"")</f>
        <v>503</v>
      </c>
      <c r="G2741" s="3" t="e">
        <f t="shared" si="96"/>
        <v>#VALUE!</v>
      </c>
      <c r="H2741" s="3" t="e">
        <f t="shared" si="97"/>
        <v>#VALUE!</v>
      </c>
      <c r="I2741" s="1">
        <v>1</v>
      </c>
    </row>
    <row r="2742" spans="1:9" x14ac:dyDescent="0.25">
      <c r="A2742" s="1" t="s">
        <v>14435</v>
      </c>
      <c r="B2742" s="1" t="s">
        <v>7915</v>
      </c>
      <c r="C2742" s="1" t="str">
        <f>IFERROR(VLOOKUP(B2742,'SB1'!$A$2:$B$999999,2,FALSE),"")</f>
        <v>COLOR TEST ALBA GRIS NIEBLA X 0,030</v>
      </c>
      <c r="D2742" s="1" t="s">
        <v>14439</v>
      </c>
      <c r="E2742" s="3">
        <f>IFERROR(VLOOKUP(B2742,'DA1'!$B$2:$D$999999,3,FALSE),"")</f>
      </c>
      <c r="F2742" s="1" t="str">
        <f>IFERROR(VLOOKUP(B2742,'SB1'!$A$2:$C$999999,3,FALSE),"")</f>
        <v>503</v>
      </c>
      <c r="G2742" s="3" t="e">
        <f t="shared" si="96"/>
        <v>#VALUE!</v>
      </c>
      <c r="H2742" s="3" t="e">
        <f t="shared" si="97"/>
        <v>#VALUE!</v>
      </c>
      <c r="I2742" s="1">
        <v>1</v>
      </c>
    </row>
    <row r="2743" spans="1:9" x14ac:dyDescent="0.25">
      <c r="A2743" s="1" t="s">
        <v>14435</v>
      </c>
      <c r="B2743" s="1" t="s">
        <v>7917</v>
      </c>
      <c r="C2743" s="1" t="str">
        <f>IFERROR(VLOOKUP(B2743,'SB1'!$A$2:$B$999999,2,FALSE),"")</f>
        <v>COLOR TEST ALBA GRIS NOBLE X 0,030</v>
      </c>
      <c r="D2743" s="1" t="s">
        <v>14439</v>
      </c>
      <c r="E2743" s="3">
        <f>IFERROR(VLOOKUP(B2743,'DA1'!$B$2:$D$999999,3,FALSE),"")</f>
      </c>
      <c r="F2743" s="1" t="str">
        <f>IFERROR(VLOOKUP(B2743,'SB1'!$A$2:$C$999999,3,FALSE),"")</f>
        <v>503</v>
      </c>
      <c r="G2743" s="3" t="e">
        <f t="shared" si="96"/>
        <v>#VALUE!</v>
      </c>
      <c r="H2743" s="3" t="e">
        <f t="shared" si="97"/>
        <v>#VALUE!</v>
      </c>
      <c r="I2743" s="1">
        <v>1</v>
      </c>
    </row>
    <row r="2744" spans="1:9" x14ac:dyDescent="0.25">
      <c r="A2744" s="1" t="s">
        <v>14435</v>
      </c>
      <c r="B2744" s="1" t="s">
        <v>7919</v>
      </c>
      <c r="C2744" s="1" t="str">
        <f>IFERROR(VLOOKUP(B2744,'SB1'!$A$2:$B$999999,2,FALSE),"")</f>
        <v>COLOR TEST ALBA GRIS PLATA X 0,030</v>
      </c>
      <c r="D2744" s="1" t="s">
        <v>14439</v>
      </c>
      <c r="E2744" s="3">
        <f>IFERROR(VLOOKUP(B2744,'DA1'!$B$2:$D$999999,3,FALSE),"")</f>
      </c>
      <c r="F2744" s="1" t="str">
        <f>IFERROR(VLOOKUP(B2744,'SB1'!$A$2:$C$999999,3,FALSE),"")</f>
        <v>503</v>
      </c>
      <c r="G2744" s="3" t="e">
        <f t="shared" si="96"/>
        <v>#VALUE!</v>
      </c>
      <c r="H2744" s="3" t="e">
        <f t="shared" si="97"/>
        <v>#VALUE!</v>
      </c>
      <c r="I2744" s="1">
        <v>1</v>
      </c>
    </row>
    <row r="2745" spans="1:9" x14ac:dyDescent="0.25">
      <c r="A2745" s="1" t="s">
        <v>14435</v>
      </c>
      <c r="B2745" s="1" t="s">
        <v>7921</v>
      </c>
      <c r="C2745" s="1" t="str">
        <f>IFERROR(VLOOKUP(B2745,'SB1'!$A$2:$B$999999,2,FALSE),"")</f>
        <v>COLOR TEST ALBA LANGOSTA X 0,030</v>
      </c>
      <c r="D2745" s="1" t="s">
        <v>14439</v>
      </c>
      <c r="E2745" s="3">
        <f>IFERROR(VLOOKUP(B2745,'DA1'!$B$2:$D$999999,3,FALSE),"")</f>
      </c>
      <c r="F2745" s="1" t="str">
        <f>IFERROR(VLOOKUP(B2745,'SB1'!$A$2:$C$999999,3,FALSE),"")</f>
        <v>503</v>
      </c>
      <c r="G2745" s="3" t="e">
        <f t="shared" si="96"/>
        <v>#VALUE!</v>
      </c>
      <c r="H2745" s="3" t="e">
        <f t="shared" si="97"/>
        <v>#VALUE!</v>
      </c>
      <c r="I2745" s="1">
        <v>1</v>
      </c>
    </row>
    <row r="2746" spans="1:9" x14ac:dyDescent="0.25">
      <c r="A2746" s="1" t="s">
        <v>14435</v>
      </c>
      <c r="B2746" s="1" t="s">
        <v>7923</v>
      </c>
      <c r="C2746" s="1" t="str">
        <f>IFERROR(VLOOKUP(B2746,'SB1'!$A$2:$B$999999,2,FALSE),"")</f>
        <v>COLOR TEST ALBA LENO HUMEANTE X 0,030</v>
      </c>
      <c r="D2746" s="1" t="s">
        <v>14439</v>
      </c>
      <c r="E2746" s="3">
        <f>IFERROR(VLOOKUP(B2746,'DA1'!$B$2:$D$999999,3,FALSE),"")</f>
      </c>
      <c r="F2746" s="1" t="str">
        <f>IFERROR(VLOOKUP(B2746,'SB1'!$A$2:$C$999999,3,FALSE),"")</f>
        <v>503</v>
      </c>
      <c r="G2746" s="3" t="e">
        <f t="shared" si="96"/>
        <v>#VALUE!</v>
      </c>
      <c r="H2746" s="3" t="e">
        <f t="shared" si="97"/>
        <v>#VALUE!</v>
      </c>
      <c r="I2746" s="1">
        <v>1</v>
      </c>
    </row>
    <row r="2747" spans="1:9" x14ac:dyDescent="0.25">
      <c r="A2747" s="1" t="s">
        <v>14435</v>
      </c>
      <c r="B2747" s="1" t="s">
        <v>7925</v>
      </c>
      <c r="C2747" s="1" t="str">
        <f>IFERROR(VLOOKUP(B2747,'SB1'!$A$2:$B$999999,2,FALSE),"")</f>
        <v>COLOR TEST ALBA MAR SOLENCIOSO X 0,030</v>
      </c>
      <c r="D2747" s="1" t="s">
        <v>14439</v>
      </c>
      <c r="E2747" s="3">
        <f>IFERROR(VLOOKUP(B2747,'DA1'!$B$2:$D$999999,3,FALSE),"")</f>
      </c>
      <c r="F2747" s="1" t="str">
        <f>IFERROR(VLOOKUP(B2747,'SB1'!$A$2:$C$999999,3,FALSE),"")</f>
        <v>503</v>
      </c>
      <c r="G2747" s="3" t="e">
        <f t="shared" si="96"/>
        <v>#VALUE!</v>
      </c>
      <c r="H2747" s="3" t="e">
        <f t="shared" si="97"/>
        <v>#VALUE!</v>
      </c>
      <c r="I2747" s="1">
        <v>1</v>
      </c>
    </row>
    <row r="2748" spans="1:9" x14ac:dyDescent="0.25">
      <c r="A2748" s="1" t="s">
        <v>14435</v>
      </c>
      <c r="B2748" s="1" t="s">
        <v>7927</v>
      </c>
      <c r="C2748" s="1" t="str">
        <f>IFERROR(VLOOKUP(B2748,'SB1'!$A$2:$B$999999,2,FALSE),"")</f>
        <v>COLOR TEST ALBA MAR TURBULENTO X 0,030</v>
      </c>
      <c r="D2748" s="1" t="s">
        <v>14439</v>
      </c>
      <c r="E2748" s="3">
        <f>IFERROR(VLOOKUP(B2748,'DA1'!$B$2:$D$999999,3,FALSE),"")</f>
      </c>
      <c r="F2748" s="1" t="str">
        <f>IFERROR(VLOOKUP(B2748,'SB1'!$A$2:$C$999999,3,FALSE),"")</f>
        <v>503</v>
      </c>
      <c r="G2748" s="3" t="e">
        <f t="shared" si="96"/>
        <v>#VALUE!</v>
      </c>
      <c r="H2748" s="3" t="e">
        <f t="shared" si="97"/>
        <v>#VALUE!</v>
      </c>
      <c r="I2748" s="1">
        <v>1</v>
      </c>
    </row>
    <row r="2749" spans="1:9" x14ac:dyDescent="0.25">
      <c r="A2749" s="1" t="s">
        <v>14435</v>
      </c>
      <c r="B2749" s="1" t="s">
        <v>7929</v>
      </c>
      <c r="C2749" s="1" t="str">
        <f>IFERROR(VLOOKUP(B2749,'SB1'!$A$2:$B$999999,2,FALSE),"")</f>
        <v>COLOR TEST ALBA MARRON HABANA X 0,030</v>
      </c>
      <c r="D2749" s="1" t="s">
        <v>14439</v>
      </c>
      <c r="E2749" s="3">
        <f>IFERROR(VLOOKUP(B2749,'DA1'!$B$2:$D$999999,3,FALSE),"")</f>
      </c>
      <c r="F2749" s="1" t="str">
        <f>IFERROR(VLOOKUP(B2749,'SB1'!$A$2:$C$999999,3,FALSE),"")</f>
        <v>503</v>
      </c>
      <c r="G2749" s="3" t="e">
        <f t="shared" si="96"/>
        <v>#VALUE!</v>
      </c>
      <c r="H2749" s="3" t="e">
        <f t="shared" si="97"/>
        <v>#VALUE!</v>
      </c>
      <c r="I2749" s="1">
        <v>1</v>
      </c>
    </row>
    <row r="2750" spans="1:9" x14ac:dyDescent="0.25">
      <c r="A2750" s="1" t="s">
        <v>14435</v>
      </c>
      <c r="B2750" s="1" t="s">
        <v>7931</v>
      </c>
      <c r="C2750" s="1" t="str">
        <f>IFERROR(VLOOKUP(B2750,'SB1'!$A$2:$B$999999,2,FALSE),"")</f>
        <v>COLOR TEST ALBA MINA DE GRAVA X 0,030</v>
      </c>
      <c r="D2750" s="1" t="s">
        <v>14439</v>
      </c>
      <c r="E2750" s="3">
        <f>IFERROR(VLOOKUP(B2750,'DA1'!$B$2:$D$999999,3,FALSE),"")</f>
      </c>
      <c r="F2750" s="1" t="str">
        <f>IFERROR(VLOOKUP(B2750,'SB1'!$A$2:$C$999999,3,FALSE),"")</f>
        <v>503</v>
      </c>
      <c r="G2750" s="3" t="e">
        <f t="shared" si="96"/>
        <v>#VALUE!</v>
      </c>
      <c r="H2750" s="3" t="e">
        <f t="shared" si="97"/>
        <v>#VALUE!</v>
      </c>
      <c r="I2750" s="1">
        <v>1</v>
      </c>
    </row>
    <row r="2751" spans="1:9" x14ac:dyDescent="0.25">
      <c r="A2751" s="1" t="s">
        <v>14435</v>
      </c>
      <c r="B2751" s="1" t="s">
        <v>7933</v>
      </c>
      <c r="C2751" s="1" t="str">
        <f>IFERROR(VLOOKUP(B2751,'SB1'!$A$2:$B$999999,2,FALSE),"")</f>
        <v>COLOR TEST ALBA MISTICO X 0,030</v>
      </c>
      <c r="D2751" s="1" t="s">
        <v>14439</v>
      </c>
      <c r="E2751" s="3">
        <f>IFERROR(VLOOKUP(B2751,'DA1'!$B$2:$D$999999,3,FALSE),"")</f>
      </c>
      <c r="F2751" s="1" t="str">
        <f>IFERROR(VLOOKUP(B2751,'SB1'!$A$2:$C$999999,3,FALSE),"")</f>
        <v>503</v>
      </c>
      <c r="G2751" s="3" t="e">
        <f t="shared" si="96"/>
        <v>#VALUE!</v>
      </c>
      <c r="H2751" s="3" t="e">
        <f t="shared" si="97"/>
        <v>#VALUE!</v>
      </c>
      <c r="I2751" s="1">
        <v>1</v>
      </c>
    </row>
    <row r="2752" spans="1:9" x14ac:dyDescent="0.25">
      <c r="A2752" s="1" t="s">
        <v>14435</v>
      </c>
      <c r="B2752" s="1" t="s">
        <v>7935</v>
      </c>
      <c r="C2752" s="1" t="str">
        <f>IFERROR(VLOOKUP(B2752,'SB1'!$A$2:$B$999999,2,FALSE),"")</f>
        <v>COLOR TEST ALBA MOMENTO DE GRIS X 0,030</v>
      </c>
      <c r="D2752" s="1" t="s">
        <v>14439</v>
      </c>
      <c r="E2752" s="3">
        <f>IFERROR(VLOOKUP(B2752,'DA1'!$B$2:$D$999999,3,FALSE),"")</f>
      </c>
      <c r="F2752" s="1" t="str">
        <f>IFERROR(VLOOKUP(B2752,'SB1'!$A$2:$C$999999,3,FALSE),"")</f>
        <v>503</v>
      </c>
      <c r="G2752" s="3" t="e">
        <f t="shared" si="96"/>
        <v>#VALUE!</v>
      </c>
      <c r="H2752" s="3" t="e">
        <f t="shared" si="97"/>
        <v>#VALUE!</v>
      </c>
      <c r="I2752" s="1">
        <v>1</v>
      </c>
    </row>
    <row r="2753" spans="1:9" x14ac:dyDescent="0.25">
      <c r="A2753" s="1" t="s">
        <v>14435</v>
      </c>
      <c r="B2753" s="1" t="s">
        <v>7937</v>
      </c>
      <c r="C2753" s="1" t="str">
        <f>IFERROR(VLOOKUP(B2753,'SB1'!$A$2:$B$999999,2,FALSE),"")</f>
        <v>COLOR TEST ALBA MOSTAZA TENUE X 0,030</v>
      </c>
      <c r="D2753" s="1" t="s">
        <v>14439</v>
      </c>
      <c r="E2753" s="3">
        <f>IFERROR(VLOOKUP(B2753,'DA1'!$B$2:$D$999999,3,FALSE),"")</f>
      </c>
      <c r="F2753" s="1" t="str">
        <f>IFERROR(VLOOKUP(B2753,'SB1'!$A$2:$C$999999,3,FALSE),"")</f>
        <v>503</v>
      </c>
      <c r="G2753" s="3" t="e">
        <f t="shared" si="96"/>
        <v>#VALUE!</v>
      </c>
      <c r="H2753" s="3" t="e">
        <f t="shared" si="97"/>
        <v>#VALUE!</v>
      </c>
      <c r="I2753" s="1">
        <v>1</v>
      </c>
    </row>
    <row r="2754" spans="1:9" x14ac:dyDescent="0.25">
      <c r="A2754" s="1" t="s">
        <v>14435</v>
      </c>
      <c r="B2754" s="1" t="s">
        <v>7939</v>
      </c>
      <c r="C2754" s="1" t="str">
        <f>IFERROR(VLOOKUP(B2754,'SB1'!$A$2:$B$999999,2,FALSE),"")</f>
        <v>COLOR TEST ALBA MOUSSE DE GALLETITA X 0,030</v>
      </c>
      <c r="D2754" s="1" t="s">
        <v>14439</v>
      </c>
      <c r="E2754" s="3">
        <f>IFERROR(VLOOKUP(B2754,'DA1'!$B$2:$D$999999,3,FALSE),"")</f>
      </c>
      <c r="F2754" s="1" t="str">
        <f>IFERROR(VLOOKUP(B2754,'SB1'!$A$2:$C$999999,3,FALSE),"")</f>
        <v>503</v>
      </c>
      <c r="G2754" s="3" t="e">
        <f t="shared" si="96"/>
        <v>#VALUE!</v>
      </c>
      <c r="H2754" s="3" t="e">
        <f t="shared" si="97"/>
        <v>#VALUE!</v>
      </c>
      <c r="I2754" s="1">
        <v>1</v>
      </c>
    </row>
    <row r="2755" spans="1:9" x14ac:dyDescent="0.25">
      <c r="A2755" s="1" t="s">
        <v>14435</v>
      </c>
      <c r="B2755" s="1" t="s">
        <v>7941</v>
      </c>
      <c r="C2755" s="1" t="str">
        <f>IFERROR(VLOOKUP(B2755,'SB1'!$A$2:$B$999999,2,FALSE),"")</f>
        <v>COLOR TEST ALBA NATURAL URBANO X 0,030</v>
      </c>
      <c r="D2755" s="1" t="s">
        <v>14439</v>
      </c>
      <c r="E2755" s="3">
        <f>IFERROR(VLOOKUP(B2755,'DA1'!$B$2:$D$999999,3,FALSE),"")</f>
      </c>
      <c r="F2755" s="1" t="str">
        <f>IFERROR(VLOOKUP(B2755,'SB1'!$A$2:$C$999999,3,FALSE),"")</f>
        <v>503</v>
      </c>
      <c r="G2755" s="3" t="e">
        <f t="shared" ref="G2755:G2818" si="98">E2755*1.04</f>
        <v>#VALUE!</v>
      </c>
      <c r="H2755" s="3" t="e">
        <f t="shared" si="97"/>
        <v>#VALUE!</v>
      </c>
      <c r="I2755" s="1">
        <v>1</v>
      </c>
    </row>
    <row r="2756" spans="1:9" x14ac:dyDescent="0.25">
      <c r="A2756" s="1" t="s">
        <v>14435</v>
      </c>
      <c r="B2756" s="1" t="s">
        <v>7943</v>
      </c>
      <c r="C2756" s="1" t="str">
        <f>IFERROR(VLOOKUP(B2756,'SB1'!$A$2:$B$999999,2,FALSE),"")</f>
        <v>COLOR TEST ALBA NAVIOS EN EL MAR X 0,030</v>
      </c>
      <c r="D2756" s="1" t="s">
        <v>14439</v>
      </c>
      <c r="E2756" s="3">
        <f>IFERROR(VLOOKUP(B2756,'DA1'!$B$2:$D$999999,3,FALSE),"")</f>
      </c>
      <c r="F2756" s="1" t="str">
        <f>IFERROR(VLOOKUP(B2756,'SB1'!$A$2:$C$999999,3,FALSE),"")</f>
        <v>503</v>
      </c>
      <c r="G2756" s="3" t="e">
        <f t="shared" si="98"/>
        <v>#VALUE!</v>
      </c>
      <c r="H2756" s="3" t="e">
        <f t="shared" si="97"/>
        <v>#VALUE!</v>
      </c>
      <c r="I2756" s="1">
        <v>1</v>
      </c>
    </row>
    <row r="2757" spans="1:9" x14ac:dyDescent="0.25">
      <c r="A2757" s="1" t="s">
        <v>14435</v>
      </c>
      <c r="B2757" s="1" t="s">
        <v>7945</v>
      </c>
      <c r="C2757" s="1" t="str">
        <f>IFERROR(VLOOKUP(B2757,'SB1'!$A$2:$B$999999,2,FALSE),"")</f>
        <v>COLOR TEST ALBA NUEVO ROCIO X 0,030</v>
      </c>
      <c r="D2757" s="1" t="s">
        <v>14439</v>
      </c>
      <c r="E2757" s="3">
        <f>IFERROR(VLOOKUP(B2757,'DA1'!$B$2:$D$999999,3,FALSE),"")</f>
      </c>
      <c r="F2757" s="1" t="str">
        <f>IFERROR(VLOOKUP(B2757,'SB1'!$A$2:$C$999999,3,FALSE),"")</f>
        <v>503</v>
      </c>
      <c r="G2757" s="3" t="e">
        <f t="shared" si="98"/>
        <v>#VALUE!</v>
      </c>
      <c r="H2757" s="3" t="e">
        <f t="shared" si="97"/>
        <v>#VALUE!</v>
      </c>
      <c r="I2757" s="1">
        <v>1</v>
      </c>
    </row>
    <row r="2758" spans="1:9" x14ac:dyDescent="0.25">
      <c r="A2758" s="1" t="s">
        <v>14435</v>
      </c>
      <c r="B2758" s="1" t="s">
        <v>7947</v>
      </c>
      <c r="C2758" s="1" t="str">
        <f>IFERROR(VLOOKUP(B2758,'SB1'!$A$2:$B$999999,2,FALSE),"")</f>
        <v>COLOR TEST ALBA OSCURA TORMENTA X 0,030</v>
      </c>
      <c r="D2758" s="1" t="s">
        <v>14439</v>
      </c>
      <c r="E2758" s="3">
        <f>IFERROR(VLOOKUP(B2758,'DA1'!$B$2:$D$999999,3,FALSE),"")</f>
      </c>
      <c r="F2758" s="1" t="str">
        <f>IFERROR(VLOOKUP(B2758,'SB1'!$A$2:$C$999999,3,FALSE),"")</f>
        <v>503</v>
      </c>
      <c r="G2758" s="3" t="e">
        <f t="shared" si="98"/>
        <v>#VALUE!</v>
      </c>
      <c r="H2758" s="3" t="e">
        <f t="shared" si="97"/>
        <v>#VALUE!</v>
      </c>
      <c r="I2758" s="1">
        <v>1</v>
      </c>
    </row>
    <row r="2759" spans="1:9" x14ac:dyDescent="0.25">
      <c r="A2759" s="1" t="s">
        <v>14435</v>
      </c>
      <c r="B2759" s="1" t="s">
        <v>7949</v>
      </c>
      <c r="C2759" s="1" t="str">
        <f>IFERROR(VLOOKUP(B2759,'SB1'!$A$2:$B$999999,2,FALSE),"")</f>
        <v>COLOR TEST ALBA PALTA INTENSO X 0,030</v>
      </c>
      <c r="D2759" s="1" t="s">
        <v>14439</v>
      </c>
      <c r="E2759" s="3">
        <f>IFERROR(VLOOKUP(B2759,'DA1'!$B$2:$D$999999,3,FALSE),"")</f>
      </c>
      <c r="F2759" s="1" t="str">
        <f>IFERROR(VLOOKUP(B2759,'SB1'!$A$2:$C$999999,3,FALSE),"")</f>
        <v>503</v>
      </c>
      <c r="G2759" s="3" t="e">
        <f t="shared" si="98"/>
        <v>#VALUE!</v>
      </c>
      <c r="H2759" s="3" t="e">
        <f t="shared" si="97"/>
        <v>#VALUE!</v>
      </c>
      <c r="I2759" s="1">
        <v>1</v>
      </c>
    </row>
    <row r="2760" spans="1:9" x14ac:dyDescent="0.25">
      <c r="A2760" s="1" t="s">
        <v>14435</v>
      </c>
      <c r="B2760" s="1" t="s">
        <v>7951</v>
      </c>
      <c r="C2760" s="1" t="str">
        <f>IFERROR(VLOOKUP(B2760,'SB1'!$A$2:$B$999999,2,FALSE),"")</f>
        <v>COLOR TEST ALBA PASA DE UVA X 0,030</v>
      </c>
      <c r="D2760" s="1" t="s">
        <v>14439</v>
      </c>
      <c r="E2760" s="3">
        <f>IFERROR(VLOOKUP(B2760,'DA1'!$B$2:$D$999999,3,FALSE),"")</f>
      </c>
      <c r="F2760" s="1" t="str">
        <f>IFERROR(VLOOKUP(B2760,'SB1'!$A$2:$C$999999,3,FALSE),"")</f>
        <v>503</v>
      </c>
      <c r="G2760" s="3" t="e">
        <f t="shared" si="98"/>
        <v>#VALUE!</v>
      </c>
      <c r="H2760" s="3" t="e">
        <f t="shared" si="97"/>
        <v>#VALUE!</v>
      </c>
      <c r="I2760" s="1">
        <v>1</v>
      </c>
    </row>
    <row r="2761" spans="1:9" x14ac:dyDescent="0.25">
      <c r="A2761" s="1" t="s">
        <v>14435</v>
      </c>
      <c r="B2761" s="1" t="s">
        <v>7953</v>
      </c>
      <c r="C2761" s="1" t="str">
        <f>IFERROR(VLOOKUP(B2761,'SB1'!$A$2:$B$999999,2,FALSE),"")</f>
        <v>COLOR TEST ALBA PAVO REAL X 0,030</v>
      </c>
      <c r="D2761" s="1" t="s">
        <v>14439</v>
      </c>
      <c r="E2761" s="3">
        <f>IFERROR(VLOOKUP(B2761,'DA1'!$B$2:$D$999999,3,FALSE),"")</f>
      </c>
      <c r="F2761" s="1" t="str">
        <f>IFERROR(VLOOKUP(B2761,'SB1'!$A$2:$C$999999,3,FALSE),"")</f>
        <v>503</v>
      </c>
      <c r="G2761" s="3" t="e">
        <f t="shared" si="98"/>
        <v>#VALUE!</v>
      </c>
      <c r="H2761" s="3" t="e">
        <f t="shared" si="97"/>
        <v>#VALUE!</v>
      </c>
      <c r="I2761" s="1">
        <v>1</v>
      </c>
    </row>
    <row r="2762" spans="1:9" x14ac:dyDescent="0.25">
      <c r="A2762" s="1" t="s">
        <v>14435</v>
      </c>
      <c r="B2762" s="1" t="s">
        <v>7955</v>
      </c>
      <c r="C2762" s="1" t="str">
        <f>IFERROR(VLOOKUP(B2762,'SB1'!$A$2:$B$999999,2,FALSE),"")</f>
        <v>COLOR TEST ALBA PELOURINHO X 0,030</v>
      </c>
      <c r="D2762" s="1" t="s">
        <v>14439</v>
      </c>
      <c r="E2762" s="3">
        <f>IFERROR(VLOOKUP(B2762,'DA1'!$B$2:$D$999999,3,FALSE),"")</f>
      </c>
      <c r="F2762" s="1" t="str">
        <f>IFERROR(VLOOKUP(B2762,'SB1'!$A$2:$C$999999,3,FALSE),"")</f>
        <v>503</v>
      </c>
      <c r="G2762" s="3" t="e">
        <f t="shared" si="98"/>
        <v>#VALUE!</v>
      </c>
      <c r="H2762" s="3" t="e">
        <f t="shared" si="97"/>
        <v>#VALUE!</v>
      </c>
      <c r="I2762" s="1">
        <v>1</v>
      </c>
    </row>
    <row r="2763" spans="1:9" x14ac:dyDescent="0.25">
      <c r="A2763" s="1" t="s">
        <v>14435</v>
      </c>
      <c r="B2763" s="1" t="s">
        <v>7957</v>
      </c>
      <c r="C2763" s="1" t="str">
        <f>IFERROR(VLOOKUP(B2763,'SB1'!$A$2:$B$999999,2,FALSE),"")</f>
        <v>COLOR TEST ALBA PINO ESPINOSO X 0,030</v>
      </c>
      <c r="D2763" s="1" t="s">
        <v>14439</v>
      </c>
      <c r="E2763" s="3">
        <f>IFERROR(VLOOKUP(B2763,'DA1'!$B$2:$D$999999,3,FALSE),"")</f>
      </c>
      <c r="F2763" s="1" t="str">
        <f>IFERROR(VLOOKUP(B2763,'SB1'!$A$2:$C$999999,3,FALSE),"")</f>
        <v>503</v>
      </c>
      <c r="G2763" s="3" t="e">
        <f t="shared" si="98"/>
        <v>#VALUE!</v>
      </c>
      <c r="H2763" s="3" t="e">
        <f t="shared" si="97"/>
        <v>#VALUE!</v>
      </c>
      <c r="I2763" s="1">
        <v>1</v>
      </c>
    </row>
    <row r="2764" spans="1:9" x14ac:dyDescent="0.25">
      <c r="A2764" s="1" t="s">
        <v>14435</v>
      </c>
      <c r="B2764" s="1" t="s">
        <v>7959</v>
      </c>
      <c r="C2764" s="1" t="str">
        <f>IFERROR(VLOOKUP(B2764,'SB1'!$A$2:$B$999999,2,FALSE),"")</f>
        <v>COLOR TEST ALBA PLAYA DE CORAL X 0,030</v>
      </c>
      <c r="D2764" s="1" t="s">
        <v>14439</v>
      </c>
      <c r="E2764" s="3">
        <f>IFERROR(VLOOKUP(B2764,'DA1'!$B$2:$D$999999,3,FALSE),"")</f>
      </c>
      <c r="F2764" s="1" t="str">
        <f>IFERROR(VLOOKUP(B2764,'SB1'!$A$2:$C$999999,3,FALSE),"")</f>
        <v>503</v>
      </c>
      <c r="G2764" s="3" t="e">
        <f t="shared" si="98"/>
        <v>#VALUE!</v>
      </c>
      <c r="H2764" s="3" t="e">
        <f t="shared" si="97"/>
        <v>#VALUE!</v>
      </c>
      <c r="I2764" s="1">
        <v>1</v>
      </c>
    </row>
    <row r="2765" spans="1:9" x14ac:dyDescent="0.25">
      <c r="A2765" s="1" t="s">
        <v>14435</v>
      </c>
      <c r="B2765" s="1" t="s">
        <v>7961</v>
      </c>
      <c r="C2765" s="1" t="str">
        <f>IFERROR(VLOOKUP(B2765,'SB1'!$A$2:$B$999999,2,FALSE),"")</f>
        <v>COLOR TEST ALBA POPURRI DE ALGAS X 0,030</v>
      </c>
      <c r="D2765" s="1" t="s">
        <v>14439</v>
      </c>
      <c r="E2765" s="3">
        <f>IFERROR(VLOOKUP(B2765,'DA1'!$B$2:$D$999999,3,FALSE),"")</f>
      </c>
      <c r="F2765" s="1" t="str">
        <f>IFERROR(VLOOKUP(B2765,'SB1'!$A$2:$C$999999,3,FALSE),"")</f>
        <v>503</v>
      </c>
      <c r="G2765" s="3" t="e">
        <f t="shared" si="98"/>
        <v>#VALUE!</v>
      </c>
      <c r="H2765" s="3" t="e">
        <f t="shared" si="97"/>
        <v>#VALUE!</v>
      </c>
      <c r="I2765" s="1">
        <v>1</v>
      </c>
    </row>
    <row r="2766" spans="1:9" x14ac:dyDescent="0.25">
      <c r="A2766" s="1" t="s">
        <v>14435</v>
      </c>
      <c r="B2766" s="1" t="s">
        <v>7963</v>
      </c>
      <c r="C2766" s="1" t="str">
        <f>IFERROR(VLOOKUP(B2766,'SB1'!$A$2:$B$999999,2,FALSE),"")</f>
        <v>COLOR TEST ALBA PRADOS X 0,030</v>
      </c>
      <c r="D2766" s="1" t="s">
        <v>14439</v>
      </c>
      <c r="E2766" s="3">
        <f>IFERROR(VLOOKUP(B2766,'DA1'!$B$2:$D$999999,3,FALSE),"")</f>
      </c>
      <c r="F2766" s="1" t="str">
        <f>IFERROR(VLOOKUP(B2766,'SB1'!$A$2:$C$999999,3,FALSE),"")</f>
        <v>503</v>
      </c>
      <c r="G2766" s="3" t="e">
        <f t="shared" si="98"/>
        <v>#VALUE!</v>
      </c>
      <c r="H2766" s="3" t="e">
        <f t="shared" si="97"/>
        <v>#VALUE!</v>
      </c>
      <c r="I2766" s="1">
        <v>1</v>
      </c>
    </row>
    <row r="2767" spans="1:9" x14ac:dyDescent="0.25">
      <c r="A2767" s="1" t="s">
        <v>14435</v>
      </c>
      <c r="B2767" s="1" t="s">
        <v>7965</v>
      </c>
      <c r="C2767" s="1" t="str">
        <f>IFERROR(VLOOKUP(B2767,'SB1'!$A$2:$B$999999,2,FALSE),"")</f>
        <v>COLOR TEST ALBA PUERTO DE PIEDRA X 0,030</v>
      </c>
      <c r="D2767" s="1" t="s">
        <v>14439</v>
      </c>
      <c r="E2767" s="3">
        <f>IFERROR(VLOOKUP(B2767,'DA1'!$B$2:$D$999999,3,FALSE),"")</f>
      </c>
      <c r="F2767" s="1" t="str">
        <f>IFERROR(VLOOKUP(B2767,'SB1'!$A$2:$C$999999,3,FALSE),"")</f>
        <v>503</v>
      </c>
      <c r="G2767" s="3" t="e">
        <f t="shared" si="98"/>
        <v>#VALUE!</v>
      </c>
      <c r="H2767" s="3" t="e">
        <f t="shared" si="97"/>
        <v>#VALUE!</v>
      </c>
      <c r="I2767" s="1">
        <v>1</v>
      </c>
    </row>
    <row r="2768" spans="1:9" x14ac:dyDescent="0.25">
      <c r="A2768" s="1" t="s">
        <v>14435</v>
      </c>
      <c r="B2768" s="1" t="s">
        <v>7967</v>
      </c>
      <c r="C2768" s="1" t="str">
        <f>IFERROR(VLOOKUP(B2768,'SB1'!$A$2:$B$999999,2,FALSE),"")</f>
        <v>COLOR TEST ALBA RAYO DE LUZ X 0,030</v>
      </c>
      <c r="D2768" s="1" t="s">
        <v>14439</v>
      </c>
      <c r="E2768" s="3">
        <f>IFERROR(VLOOKUP(B2768,'DA1'!$B$2:$D$999999,3,FALSE),"")</f>
      </c>
      <c r="F2768" s="1" t="str">
        <f>IFERROR(VLOOKUP(B2768,'SB1'!$A$2:$C$999999,3,FALSE),"")</f>
        <v>503</v>
      </c>
      <c r="G2768" s="3" t="e">
        <f t="shared" si="98"/>
        <v>#VALUE!</v>
      </c>
      <c r="H2768" s="3" t="e">
        <f t="shared" si="97"/>
        <v>#VALUE!</v>
      </c>
      <c r="I2768" s="1">
        <v>1</v>
      </c>
    </row>
    <row r="2769" spans="1:9" x14ac:dyDescent="0.25">
      <c r="A2769" s="1" t="s">
        <v>14435</v>
      </c>
      <c r="B2769" s="1" t="s">
        <v>7969</v>
      </c>
      <c r="C2769" s="1" t="str">
        <f>IFERROR(VLOOKUP(B2769,'SB1'!$A$2:$B$999999,2,FALSE),"")</f>
        <v>COLOR TEST ALBA ROSA AMARILLA X 0,030</v>
      </c>
      <c r="D2769" s="1" t="s">
        <v>14439</v>
      </c>
      <c r="E2769" s="3">
        <f>IFERROR(VLOOKUP(B2769,'DA1'!$B$2:$D$999999,3,FALSE),"")</f>
      </c>
      <c r="F2769" s="1" t="str">
        <f>IFERROR(VLOOKUP(B2769,'SB1'!$A$2:$C$999999,3,FALSE),"")</f>
        <v>503</v>
      </c>
      <c r="G2769" s="3" t="e">
        <f t="shared" si="98"/>
        <v>#VALUE!</v>
      </c>
      <c r="H2769" s="3" t="e">
        <f t="shared" si="97"/>
        <v>#VALUE!</v>
      </c>
      <c r="I2769" s="1">
        <v>1</v>
      </c>
    </row>
    <row r="2770" spans="1:9" x14ac:dyDescent="0.25">
      <c r="A2770" s="1" t="s">
        <v>14435</v>
      </c>
      <c r="B2770" s="1" t="s">
        <v>7971</v>
      </c>
      <c r="C2770" s="1" t="str">
        <f>IFERROR(VLOOKUP(B2770,'SB1'!$A$2:$B$999999,2,FALSE),"")</f>
        <v>COLOR TEST ALBA ROSA BALLET X 0,030</v>
      </c>
      <c r="D2770" s="1" t="s">
        <v>14439</v>
      </c>
      <c r="E2770" s="3">
        <f>IFERROR(VLOOKUP(B2770,'DA1'!$B$2:$D$999999,3,FALSE),"")</f>
      </c>
      <c r="F2770" s="1" t="str">
        <f>IFERROR(VLOOKUP(B2770,'SB1'!$A$2:$C$999999,3,FALSE),"")</f>
        <v>503</v>
      </c>
      <c r="G2770" s="3" t="e">
        <f t="shared" si="98"/>
        <v>#VALUE!</v>
      </c>
      <c r="H2770" s="3" t="e">
        <f t="shared" si="97"/>
        <v>#VALUE!</v>
      </c>
      <c r="I2770" s="1">
        <v>1</v>
      </c>
    </row>
    <row r="2771" spans="1:9" x14ac:dyDescent="0.25">
      <c r="A2771" s="1" t="s">
        <v>14435</v>
      </c>
      <c r="B2771" s="1" t="s">
        <v>7973</v>
      </c>
      <c r="C2771" s="1" t="str">
        <f>IFERROR(VLOOKUP(B2771,'SB1'!$A$2:$B$999999,2,FALSE),"")</f>
        <v>COLOR TEST ALBA ROSA CAPRI X 0,030</v>
      </c>
      <c r="D2771" s="1" t="s">
        <v>14439</v>
      </c>
      <c r="E2771" s="3">
        <f>IFERROR(VLOOKUP(B2771,'DA1'!$B$2:$D$999999,3,FALSE),"")</f>
      </c>
      <c r="F2771" s="1" t="str">
        <f>IFERROR(VLOOKUP(B2771,'SB1'!$A$2:$C$999999,3,FALSE),"")</f>
        <v>503</v>
      </c>
      <c r="G2771" s="3" t="e">
        <f t="shared" si="98"/>
        <v>#VALUE!</v>
      </c>
      <c r="H2771" s="3" t="e">
        <f t="shared" si="97"/>
        <v>#VALUE!</v>
      </c>
      <c r="I2771" s="1">
        <v>1</v>
      </c>
    </row>
    <row r="2772" spans="1:9" x14ac:dyDescent="0.25">
      <c r="A2772" s="1" t="s">
        <v>14435</v>
      </c>
      <c r="B2772" s="1" t="s">
        <v>7975</v>
      </c>
      <c r="C2772" s="1" t="str">
        <f>IFERROR(VLOOKUP(B2772,'SB1'!$A$2:$B$999999,2,FALSE),"")</f>
        <v>COLOR TEST ALBA ROSA COLONIAL X 0,030</v>
      </c>
      <c r="D2772" s="1" t="s">
        <v>14439</v>
      </c>
      <c r="E2772" s="3">
        <f>IFERROR(VLOOKUP(B2772,'DA1'!$B$2:$D$999999,3,FALSE),"")</f>
      </c>
      <c r="F2772" s="1" t="str">
        <f>IFERROR(VLOOKUP(B2772,'SB1'!$A$2:$C$999999,3,FALSE),"")</f>
        <v>503</v>
      </c>
      <c r="G2772" s="3" t="e">
        <f t="shared" si="98"/>
        <v>#VALUE!</v>
      </c>
      <c r="H2772" s="3" t="e">
        <f t="shared" si="97"/>
        <v>#VALUE!</v>
      </c>
      <c r="I2772" s="1">
        <v>1</v>
      </c>
    </row>
    <row r="2773" spans="1:9" x14ac:dyDescent="0.25">
      <c r="A2773" s="1" t="s">
        <v>14435</v>
      </c>
      <c r="B2773" s="1" t="s">
        <v>7977</v>
      </c>
      <c r="C2773" s="1" t="str">
        <f>IFERROR(VLOOKUP(B2773,'SB1'!$A$2:$B$999999,2,FALSE),"")</f>
        <v>COLOR TEST ALBA ROSA SEDOSA X 0,030</v>
      </c>
      <c r="D2773" s="1" t="s">
        <v>14439</v>
      </c>
      <c r="E2773" s="3">
        <f>IFERROR(VLOOKUP(B2773,'DA1'!$B$2:$D$999999,3,FALSE),"")</f>
      </c>
      <c r="F2773" s="1" t="str">
        <f>IFERROR(VLOOKUP(B2773,'SB1'!$A$2:$C$999999,3,FALSE),"")</f>
        <v>503</v>
      </c>
      <c r="G2773" s="3" t="e">
        <f t="shared" si="98"/>
        <v>#VALUE!</v>
      </c>
      <c r="H2773" s="3" t="e">
        <f t="shared" si="97"/>
        <v>#VALUE!</v>
      </c>
      <c r="I2773" s="1">
        <v>1</v>
      </c>
    </row>
    <row r="2774" spans="1:9" x14ac:dyDescent="0.25">
      <c r="A2774" s="1" t="s">
        <v>14435</v>
      </c>
      <c r="B2774" s="1" t="s">
        <v>7979</v>
      </c>
      <c r="C2774" s="1" t="str">
        <f>IFERROR(VLOOKUP(B2774,'SB1'!$A$2:$B$999999,2,FALSE),"")</f>
        <v>COLOR TEST ALBA SALVIA X 0,030</v>
      </c>
      <c r="D2774" s="1" t="s">
        <v>14439</v>
      </c>
      <c r="E2774" s="3">
        <f>IFERROR(VLOOKUP(B2774,'DA1'!$B$2:$D$999999,3,FALSE),"")</f>
      </c>
      <c r="F2774" s="1" t="str">
        <f>IFERROR(VLOOKUP(B2774,'SB1'!$A$2:$C$999999,3,FALSE),"")</f>
        <v>503</v>
      </c>
      <c r="G2774" s="3" t="e">
        <f t="shared" si="98"/>
        <v>#VALUE!</v>
      </c>
      <c r="H2774" s="3" t="e">
        <f t="shared" si="97"/>
        <v>#VALUE!</v>
      </c>
      <c r="I2774" s="1">
        <v>1</v>
      </c>
    </row>
    <row r="2775" spans="1:9" x14ac:dyDescent="0.25">
      <c r="A2775" s="1" t="s">
        <v>14435</v>
      </c>
      <c r="B2775" s="1" t="s">
        <v>7981</v>
      </c>
      <c r="C2775" s="1" t="str">
        <f>IFERROR(VLOOKUP(B2775,'SB1'!$A$2:$B$999999,2,FALSE),"")</f>
        <v>COLOR TEST ALBA SENDERO EN EL SAHARA X 0,030</v>
      </c>
      <c r="D2775" s="1" t="s">
        <v>14439</v>
      </c>
      <c r="E2775" s="3">
        <f>IFERROR(VLOOKUP(B2775,'DA1'!$B$2:$D$999999,3,FALSE),"")</f>
      </c>
      <c r="F2775" s="1" t="str">
        <f>IFERROR(VLOOKUP(B2775,'SB1'!$A$2:$C$999999,3,FALSE),"")</f>
        <v>503</v>
      </c>
      <c r="G2775" s="3" t="e">
        <f t="shared" si="98"/>
        <v>#VALUE!</v>
      </c>
      <c r="H2775" s="3" t="e">
        <f t="shared" si="97"/>
        <v>#VALUE!</v>
      </c>
      <c r="I2775" s="1">
        <v>1</v>
      </c>
    </row>
    <row r="2776" spans="1:9" x14ac:dyDescent="0.25">
      <c r="A2776" s="1" t="s">
        <v>14435</v>
      </c>
      <c r="B2776" s="1" t="s">
        <v>7983</v>
      </c>
      <c r="C2776" s="1" t="str">
        <f>IFERROR(VLOOKUP(B2776,'SB1'!$A$2:$B$999999,2,FALSE),"")</f>
        <v>COLOR TEST ALBA SENSACION CRISTAL X 0,030</v>
      </c>
      <c r="D2776" s="1" t="s">
        <v>14439</v>
      </c>
      <c r="E2776" s="3">
        <f>IFERROR(VLOOKUP(B2776,'DA1'!$B$2:$D$999999,3,FALSE),"")</f>
      </c>
      <c r="F2776" s="1" t="str">
        <f>IFERROR(VLOOKUP(B2776,'SB1'!$A$2:$C$999999,3,FALSE),"")</f>
        <v>503</v>
      </c>
      <c r="G2776" s="3" t="e">
        <f t="shared" si="98"/>
        <v>#VALUE!</v>
      </c>
      <c r="H2776" s="3" t="e">
        <f t="shared" si="97"/>
        <v>#VALUE!</v>
      </c>
      <c r="I2776" s="1">
        <v>1</v>
      </c>
    </row>
    <row r="2777" spans="1:9" x14ac:dyDescent="0.25">
      <c r="A2777" s="1" t="s">
        <v>14435</v>
      </c>
      <c r="B2777" s="1" t="s">
        <v>7985</v>
      </c>
      <c r="C2777" s="1" t="str">
        <f>IFERROR(VLOOKUP(B2777,'SB1'!$A$2:$B$999999,2,FALSE),"")</f>
        <v>COLOR TEST ALBA SENSACION VIOLETA X 0,030</v>
      </c>
      <c r="D2777" s="1" t="s">
        <v>14439</v>
      </c>
      <c r="E2777" s="3">
        <f>IFERROR(VLOOKUP(B2777,'DA1'!$B$2:$D$999999,3,FALSE),"")</f>
      </c>
      <c r="F2777" s="1" t="str">
        <f>IFERROR(VLOOKUP(B2777,'SB1'!$A$2:$C$999999,3,FALSE),"")</f>
        <v>503</v>
      </c>
      <c r="G2777" s="3" t="e">
        <f t="shared" si="98"/>
        <v>#VALUE!</v>
      </c>
      <c r="H2777" s="3" t="e">
        <f t="shared" si="97"/>
        <v>#VALUE!</v>
      </c>
      <c r="I2777" s="1">
        <v>1</v>
      </c>
    </row>
    <row r="2778" spans="1:9" x14ac:dyDescent="0.25">
      <c r="A2778" s="1" t="s">
        <v>14435</v>
      </c>
      <c r="B2778" s="1" t="s">
        <v>7987</v>
      </c>
      <c r="C2778" s="1" t="str">
        <f>IFERROR(VLOOKUP(B2778,'SB1'!$A$2:$B$999999,2,FALSE),"")</f>
        <v>COLOR TEST ALBA SOL CELESTIAL X 0,030</v>
      </c>
      <c r="D2778" s="1" t="s">
        <v>14439</v>
      </c>
      <c r="E2778" s="3">
        <f>IFERROR(VLOOKUP(B2778,'DA1'!$B$2:$D$999999,3,FALSE),"")</f>
      </c>
      <c r="F2778" s="1" t="str">
        <f>IFERROR(VLOOKUP(B2778,'SB1'!$A$2:$C$999999,3,FALSE),"")</f>
        <v>503</v>
      </c>
      <c r="G2778" s="3" t="e">
        <f t="shared" si="98"/>
        <v>#VALUE!</v>
      </c>
      <c r="H2778" s="3" t="e">
        <f t="shared" si="97"/>
        <v>#VALUE!</v>
      </c>
      <c r="I2778" s="1">
        <v>1</v>
      </c>
    </row>
    <row r="2779" spans="1:9" x14ac:dyDescent="0.25">
      <c r="A2779" s="1" t="s">
        <v>14435</v>
      </c>
      <c r="B2779" s="1" t="s">
        <v>7989</v>
      </c>
      <c r="C2779" s="1" t="str">
        <f>IFERROR(VLOOKUP(B2779,'SB1'!$A$2:$B$999999,2,FALSE),"")</f>
        <v>COLOR TEST ALBA SUAVE CAUDAL X 0,030</v>
      </c>
      <c r="D2779" s="1" t="s">
        <v>14439</v>
      </c>
      <c r="E2779" s="3">
        <f>IFERROR(VLOOKUP(B2779,'DA1'!$B$2:$D$999999,3,FALSE),"")</f>
      </c>
      <c r="F2779" s="1" t="str">
        <f>IFERROR(VLOOKUP(B2779,'SB1'!$A$2:$C$999999,3,FALSE),"")</f>
        <v>503</v>
      </c>
      <c r="G2779" s="3" t="e">
        <f t="shared" si="98"/>
        <v>#VALUE!</v>
      </c>
      <c r="H2779" s="3" t="e">
        <f t="shared" si="97"/>
        <v>#VALUE!</v>
      </c>
      <c r="I2779" s="1">
        <v>1</v>
      </c>
    </row>
    <row r="2780" spans="1:9" x14ac:dyDescent="0.25">
      <c r="A2780" s="1" t="s">
        <v>14435</v>
      </c>
      <c r="B2780" s="1" t="s">
        <v>7991</v>
      </c>
      <c r="C2780" s="1" t="str">
        <f>IFERROR(VLOOKUP(B2780,'SB1'!$A$2:$B$999999,2,FALSE),"")</f>
        <v>COLOR TEST ALBA TE DANZANTE X 0,030</v>
      </c>
      <c r="D2780" s="1" t="s">
        <v>14439</v>
      </c>
      <c r="E2780" s="3">
        <f>IFERROR(VLOOKUP(B2780,'DA1'!$B$2:$D$999999,3,FALSE),"")</f>
      </c>
      <c r="F2780" s="1" t="str">
        <f>IFERROR(VLOOKUP(B2780,'SB1'!$A$2:$C$999999,3,FALSE),"")</f>
        <v>503</v>
      </c>
      <c r="G2780" s="3" t="e">
        <f t="shared" si="98"/>
        <v>#VALUE!</v>
      </c>
      <c r="H2780" s="3" t="e">
        <f t="shared" si="97"/>
        <v>#VALUE!</v>
      </c>
      <c r="I2780" s="1">
        <v>1</v>
      </c>
    </row>
    <row r="2781" spans="1:9" x14ac:dyDescent="0.25">
      <c r="A2781" s="1" t="s">
        <v>14435</v>
      </c>
      <c r="B2781" s="1" t="s">
        <v>7993</v>
      </c>
      <c r="C2781" s="1" t="str">
        <f>IFERROR(VLOOKUP(B2781,'SB1'!$A$2:$B$999999,2,FALSE),"")</f>
        <v>COLOR TEST ALBA TINTE BOTELLA X 0,030</v>
      </c>
      <c r="D2781" s="1" t="s">
        <v>14439</v>
      </c>
      <c r="E2781" s="3">
        <f>IFERROR(VLOOKUP(B2781,'DA1'!$B$2:$D$999999,3,FALSE),"")</f>
      </c>
      <c r="F2781" s="1" t="str">
        <f>IFERROR(VLOOKUP(B2781,'SB1'!$A$2:$C$999999,3,FALSE),"")</f>
        <v>503</v>
      </c>
      <c r="G2781" s="3" t="e">
        <f t="shared" si="98"/>
        <v>#VALUE!</v>
      </c>
      <c r="H2781" s="3" t="e">
        <f t="shared" si="97"/>
        <v>#VALUE!</v>
      </c>
      <c r="I2781" s="1">
        <v>1</v>
      </c>
    </row>
    <row r="2782" spans="1:9" x14ac:dyDescent="0.25">
      <c r="A2782" s="1" t="s">
        <v>14435</v>
      </c>
      <c r="B2782" s="1" t="s">
        <v>7995</v>
      </c>
      <c r="C2782" s="1" t="str">
        <f>IFERROR(VLOOKUP(B2782,'SB1'!$A$2:$B$999999,2,FALSE),"")</f>
        <v>COLOR TEST ALBA TOQUE DE CEREZA X 0,030</v>
      </c>
      <c r="D2782" s="1" t="s">
        <v>14439</v>
      </c>
      <c r="E2782" s="3">
        <f>IFERROR(VLOOKUP(B2782,'DA1'!$B$2:$D$999999,3,FALSE),"")</f>
      </c>
      <c r="F2782" s="1" t="str">
        <f>IFERROR(VLOOKUP(B2782,'SB1'!$A$2:$C$999999,3,FALSE),"")</f>
        <v>503</v>
      </c>
      <c r="G2782" s="3" t="e">
        <f t="shared" si="98"/>
        <v>#VALUE!</v>
      </c>
      <c r="H2782" s="3" t="e">
        <f t="shared" si="97"/>
        <v>#VALUE!</v>
      </c>
      <c r="I2782" s="1">
        <v>1</v>
      </c>
    </row>
    <row r="2783" spans="1:9" x14ac:dyDescent="0.25">
      <c r="A2783" s="1" t="s">
        <v>14435</v>
      </c>
      <c r="B2783" s="1" t="s">
        <v>7997</v>
      </c>
      <c r="C2783" s="1" t="str">
        <f>IFERROR(VLOOKUP(B2783,'SB1'!$A$2:$B$999999,2,FALSE),"")</f>
        <v>COLOR TEST ALBA TORMENTA MELANCOLICA X 0,030</v>
      </c>
      <c r="D2783" s="1" t="s">
        <v>14439</v>
      </c>
      <c r="E2783" s="3">
        <f>IFERROR(VLOOKUP(B2783,'DA1'!$B$2:$D$999999,3,FALSE),"")</f>
      </c>
      <c r="F2783" s="1" t="str">
        <f>IFERROR(VLOOKUP(B2783,'SB1'!$A$2:$C$999999,3,FALSE),"")</f>
        <v>503</v>
      </c>
      <c r="G2783" s="3" t="e">
        <f t="shared" si="98"/>
        <v>#VALUE!</v>
      </c>
      <c r="H2783" s="3" t="e">
        <f t="shared" si="97"/>
        <v>#VALUE!</v>
      </c>
      <c r="I2783" s="1">
        <v>1</v>
      </c>
    </row>
    <row r="2784" spans="1:9" x14ac:dyDescent="0.25">
      <c r="A2784" s="1" t="s">
        <v>14435</v>
      </c>
      <c r="B2784" s="1" t="s">
        <v>7999</v>
      </c>
      <c r="C2784" s="1" t="str">
        <f>IFERROR(VLOOKUP(B2784,'SB1'!$A$2:$B$999999,2,FALSE),"")</f>
        <v>LIJA LIQUIDA ALABASTINE X 0,500</v>
      </c>
      <c r="D2784" s="1" t="s">
        <v>14500</v>
      </c>
      <c r="E2784" s="3">
        <f>IFERROR(VLOOKUP(B2784,'DA1'!$B$2:$D$999999,3,FALSE),"")</f>
      </c>
      <c r="F2784" s="1" t="str">
        <f>IFERROR(VLOOKUP(B2784,'SB1'!$A$2:$C$999999,3,FALSE),"")</f>
        <v>503</v>
      </c>
      <c r="G2784" s="3" t="e">
        <f t="shared" si="98"/>
        <v>#VALUE!</v>
      </c>
      <c r="H2784" s="3" t="e">
        <f t="shared" si="97"/>
        <v>#VALUE!</v>
      </c>
      <c r="I2784" s="1">
        <v>1</v>
      </c>
    </row>
    <row r="2785" spans="1:9" x14ac:dyDescent="0.25">
      <c r="A2785" s="1" t="s">
        <v>14435</v>
      </c>
      <c r="B2785" s="1" t="s">
        <v>8001</v>
      </c>
      <c r="C2785" s="1" t="str">
        <f>IFERROR(VLOOKUP(B2785,'SB1'!$A$2:$B$999999,2,FALSE),"")</f>
        <v>REPARA MADERAS ALABASTINE NATURAL X 0,075</v>
      </c>
      <c r="D2785" s="1" t="s">
        <v>14500</v>
      </c>
      <c r="E2785" s="3">
        <f>IFERROR(VLOOKUP(B2785,'DA1'!$B$2:$D$999999,3,FALSE),"")</f>
      </c>
      <c r="F2785" s="1" t="str">
        <f>IFERROR(VLOOKUP(B2785,'SB1'!$A$2:$C$999999,3,FALSE),"")</f>
        <v>503</v>
      </c>
      <c r="G2785" s="3" t="e">
        <f t="shared" si="98"/>
        <v>#VALUE!</v>
      </c>
      <c r="H2785" s="3" t="e">
        <f t="shared" si="97"/>
        <v>#VALUE!</v>
      </c>
      <c r="I2785" s="1">
        <v>1</v>
      </c>
    </row>
    <row r="2786" spans="1:9" x14ac:dyDescent="0.25">
      <c r="A2786" s="1" t="s">
        <v>14435</v>
      </c>
      <c r="B2786" s="1" t="s">
        <v>8003</v>
      </c>
      <c r="C2786" s="1" t="str">
        <f>IFERROR(VLOOKUP(B2786,'SB1'!$A$2:$B$999999,2,FALSE),"")</f>
        <v>REPARA MADERAS ALABASTINE ROBLE X 0,075</v>
      </c>
      <c r="D2786" s="1" t="s">
        <v>14500</v>
      </c>
      <c r="E2786" s="3">
        <f>IFERROR(VLOOKUP(B2786,'DA1'!$B$2:$D$999999,3,FALSE),"")</f>
      </c>
      <c r="F2786" s="1" t="str">
        <f>IFERROR(VLOOKUP(B2786,'SB1'!$A$2:$C$999999,3,FALSE),"")</f>
        <v>503</v>
      </c>
      <c r="G2786" s="3" t="e">
        <f t="shared" si="98"/>
        <v>#VALUE!</v>
      </c>
      <c r="H2786" s="3" t="e">
        <f t="shared" si="97"/>
        <v>#VALUE!</v>
      </c>
      <c r="I2786" s="1">
        <v>1</v>
      </c>
    </row>
    <row r="2787" spans="1:9" x14ac:dyDescent="0.25">
      <c r="A2787" s="1" t="s">
        <v>14435</v>
      </c>
      <c r="B2787" s="1" t="s">
        <v>8005</v>
      </c>
      <c r="C2787" s="1" t="str">
        <f>IFERROR(VLOOKUP(B2787,'SB1'!$A$2:$B$999999,2,FALSE),"")</f>
        <v>REPARA MADERAS ALABASTINE CAOBA X 0,075</v>
      </c>
      <c r="D2787" s="1" t="s">
        <v>14500</v>
      </c>
      <c r="E2787" s="3">
        <f>IFERROR(VLOOKUP(B2787,'DA1'!$B$2:$D$999999,3,FALSE),"")</f>
      </c>
      <c r="F2787" s="1" t="str">
        <f>IFERROR(VLOOKUP(B2787,'SB1'!$A$2:$C$999999,3,FALSE),"")</f>
        <v>503</v>
      </c>
      <c r="G2787" s="3" t="e">
        <f t="shared" si="98"/>
        <v>#VALUE!</v>
      </c>
      <c r="H2787" s="3" t="e">
        <f t="shared" si="97"/>
        <v>#VALUE!</v>
      </c>
      <c r="I2787" s="1">
        <v>1</v>
      </c>
    </row>
    <row r="2788" spans="1:9" x14ac:dyDescent="0.25">
      <c r="A2788" s="1" t="s">
        <v>14435</v>
      </c>
      <c r="B2788" s="1" t="s">
        <v>8007</v>
      </c>
      <c r="C2788" s="1" t="str">
        <f>IFERROR(VLOOKUP(B2788,'SB1'!$A$2:$B$999999,2,FALSE),"")</f>
        <v>REPARA MADERAS ALABASTINE ROBLE OSCURO X 0,075</v>
      </c>
      <c r="D2788" s="1" t="s">
        <v>14500</v>
      </c>
      <c r="E2788" s="3">
        <f>IFERROR(VLOOKUP(B2788,'DA1'!$B$2:$D$999999,3,FALSE),"")</f>
      </c>
      <c r="F2788" s="1" t="str">
        <f>IFERROR(VLOOKUP(B2788,'SB1'!$A$2:$C$999999,3,FALSE),"")</f>
        <v>503</v>
      </c>
      <c r="G2788" s="3" t="e">
        <f t="shared" si="98"/>
        <v>#VALUE!</v>
      </c>
      <c r="H2788" s="3" t="e">
        <f t="shared" si="97"/>
        <v>#VALUE!</v>
      </c>
      <c r="I2788" s="1">
        <v>1</v>
      </c>
    </row>
    <row r="2789" spans="1:9" x14ac:dyDescent="0.25">
      <c r="A2789" s="1" t="s">
        <v>14435</v>
      </c>
      <c r="B2789" s="1" t="s">
        <v>8009</v>
      </c>
      <c r="C2789" s="1" t="str">
        <f>IFERROR(VLOOKUP(B2789,'SB1'!$A$2:$B$999999,2,FALSE),"")</f>
        <v>REPARA MADERAS ALABASTINE BLANCO X 0,075</v>
      </c>
      <c r="D2789" s="1" t="s">
        <v>14500</v>
      </c>
      <c r="E2789" s="3">
        <f>IFERROR(VLOOKUP(B2789,'DA1'!$B$2:$D$999999,3,FALSE),"")</f>
      </c>
      <c r="F2789" s="1" t="str">
        <f>IFERROR(VLOOKUP(B2789,'SB1'!$A$2:$C$999999,3,FALSE),"")</f>
        <v>503</v>
      </c>
      <c r="G2789" s="3" t="e">
        <f t="shared" si="98"/>
        <v>#VALUE!</v>
      </c>
      <c r="H2789" s="3" t="e">
        <f t="shared" si="97"/>
        <v>#VALUE!</v>
      </c>
      <c r="I2789" s="1">
        <v>1</v>
      </c>
    </row>
    <row r="2790" spans="1:9" x14ac:dyDescent="0.25">
      <c r="A2790" s="1" t="s">
        <v>14435</v>
      </c>
      <c r="B2790" s="1" t="s">
        <v>8011</v>
      </c>
      <c r="C2790" s="1" t="str">
        <f>IFERROR(VLOOKUP(B2790,'SB1'!$A$2:$B$999999,2,FALSE),"")</f>
        <v>REPARA MADERAS ALABASTINE HAYA X 0,075</v>
      </c>
      <c r="D2790" s="1" t="s">
        <v>14500</v>
      </c>
      <c r="E2790" s="3">
        <f>IFERROR(VLOOKUP(B2790,'DA1'!$B$2:$D$999999,3,FALSE),"")</f>
      </c>
      <c r="F2790" s="1" t="str">
        <f>IFERROR(VLOOKUP(B2790,'SB1'!$A$2:$C$999999,3,FALSE),"")</f>
        <v>503</v>
      </c>
      <c r="G2790" s="3" t="e">
        <f t="shared" si="98"/>
        <v>#VALUE!</v>
      </c>
      <c r="H2790" s="3" t="e">
        <f t="shared" si="97"/>
        <v>#VALUE!</v>
      </c>
      <c r="I2790" s="1">
        <v>1</v>
      </c>
    </row>
    <row r="2791" spans="1:9" x14ac:dyDescent="0.25">
      <c r="A2791" s="1" t="s">
        <v>14435</v>
      </c>
      <c r="B2791" s="1" t="s">
        <v>8015</v>
      </c>
      <c r="C2791" s="1" t="str">
        <f>IFERROR(VLOOKUP(B2791,'SB1'!$A$2:$B$999999,2,FALSE),"")</f>
        <v>REPARA PAREDES ALABASTINE S.O.S  X 0,020</v>
      </c>
      <c r="D2791" s="1" t="s">
        <v>14500</v>
      </c>
      <c r="E2791" s="3">
        <f>IFERROR(VLOOKUP(B2791,'DA1'!$B$2:$D$999999,3,FALSE),"")</f>
      </c>
      <c r="F2791" s="1" t="str">
        <f>IFERROR(VLOOKUP(B2791,'SB1'!$A$2:$C$999999,3,FALSE),"")</f>
        <v>503</v>
      </c>
      <c r="G2791" s="3" t="e">
        <f t="shared" si="98"/>
        <v>#VALUE!</v>
      </c>
      <c r="H2791" s="3" t="e">
        <f t="shared" si="97"/>
        <v>#VALUE!</v>
      </c>
      <c r="I2791" s="1">
        <v>1</v>
      </c>
    </row>
    <row r="2792" spans="1:9" x14ac:dyDescent="0.25">
      <c r="A2792" s="1" t="s">
        <v>14435</v>
      </c>
      <c r="B2792" s="1" t="s">
        <v>8017</v>
      </c>
      <c r="C2792" s="1" t="str">
        <f>IFERROR(VLOOKUP(B2792,'SB1'!$A$2:$B$999999,2,FALSE),"")</f>
        <v>REPARA PAREDES ALABASTINE PRO X 0,600</v>
      </c>
      <c r="D2792" s="1" t="s">
        <v>14500</v>
      </c>
      <c r="E2792" s="3">
        <f>IFERROR(VLOOKUP(B2792,'DA1'!$B$2:$D$999999,3,FALSE),"")</f>
      </c>
      <c r="F2792" s="1" t="str">
        <f>IFERROR(VLOOKUP(B2792,'SB1'!$A$2:$C$999999,3,FALSE),"")</f>
        <v>503</v>
      </c>
      <c r="G2792" s="3" t="e">
        <f t="shared" si="98"/>
        <v>#VALUE!</v>
      </c>
      <c r="H2792" s="3" t="e">
        <f t="shared" si="97"/>
        <v>#VALUE!</v>
      </c>
      <c r="I2792" s="1">
        <v>1</v>
      </c>
    </row>
    <row r="2793" spans="1:9" x14ac:dyDescent="0.25">
      <c r="A2793" s="1" t="s">
        <v>14435</v>
      </c>
      <c r="B2793" s="1" t="s">
        <v>8019</v>
      </c>
      <c r="C2793" s="1" t="str">
        <f>IFERROR(VLOOKUP(B2793,'SB1'!$A$2:$B$999999,2,FALSE),"")</f>
        <v>REPARA PAREDES ALABASTINE PRO X 2,500</v>
      </c>
      <c r="D2793" s="1" t="s">
        <v>14500</v>
      </c>
      <c r="E2793" s="3">
        <f>IFERROR(VLOOKUP(B2793,'DA1'!$B$2:$D$999999,3,FALSE),"")</f>
      </c>
      <c r="F2793" s="1" t="str">
        <f>IFERROR(VLOOKUP(B2793,'SB1'!$A$2:$C$999999,3,FALSE),"")</f>
        <v>503</v>
      </c>
      <c r="G2793" s="3" t="e">
        <f t="shared" si="98"/>
        <v>#VALUE!</v>
      </c>
      <c r="H2793" s="3" t="e">
        <f t="shared" si="97"/>
        <v>#VALUE!</v>
      </c>
      <c r="I2793" s="1">
        <v>1</v>
      </c>
    </row>
    <row r="2794" spans="1:9" x14ac:dyDescent="0.25">
      <c r="A2794" s="1" t="s">
        <v>14435</v>
      </c>
      <c r="B2794" s="1" t="s">
        <v>8021</v>
      </c>
      <c r="C2794" s="1" t="str">
        <f>IFERROR(VLOOKUP(B2794,'SB1'!$A$2:$B$999999,2,FALSE),"")</f>
        <v>REPARA MADERAS ALABASTINE NATURAL X 0,200</v>
      </c>
      <c r="D2794" s="1" t="s">
        <v>14500</v>
      </c>
      <c r="E2794" s="3">
        <f>IFERROR(VLOOKUP(B2794,'DA1'!$B$2:$D$999999,3,FALSE),"")</f>
      </c>
      <c r="F2794" s="1" t="str">
        <f>IFERROR(VLOOKUP(B2794,'SB1'!$A$2:$C$999999,3,FALSE),"")</f>
        <v>503</v>
      </c>
      <c r="G2794" s="3" t="e">
        <f t="shared" si="98"/>
        <v>#VALUE!</v>
      </c>
      <c r="H2794" s="3" t="e">
        <f t="shared" ref="H2794:H2857" si="99">G2794*1.21</f>
        <v>#VALUE!</v>
      </c>
      <c r="I2794" s="1">
        <v>1</v>
      </c>
    </row>
    <row r="2795" spans="1:9" x14ac:dyDescent="0.25">
      <c r="A2795" s="1" t="s">
        <v>14435</v>
      </c>
      <c r="B2795" s="1" t="s">
        <v>8023</v>
      </c>
      <c r="C2795" s="1" t="str">
        <f>IFERROR(VLOOKUP(B2795,'SB1'!$A$2:$B$999999,2,FALSE),"")</f>
        <v>NIVELA MADERAS ALABASTINE X 0,400</v>
      </c>
      <c r="D2795" s="1" t="s">
        <v>14500</v>
      </c>
      <c r="E2795" s="3">
        <f>IFERROR(VLOOKUP(B2795,'DA1'!$B$2:$D$999999,3,FALSE),"")</f>
      </c>
      <c r="F2795" s="1" t="str">
        <f>IFERROR(VLOOKUP(B2795,'SB1'!$A$2:$C$999999,3,FALSE),"")</f>
        <v>503</v>
      </c>
      <c r="G2795" s="3" t="e">
        <f t="shared" si="98"/>
        <v>#VALUE!</v>
      </c>
      <c r="H2795" s="3" t="e">
        <f t="shared" si="99"/>
        <v>#VALUE!</v>
      </c>
      <c r="I2795" s="1">
        <v>1</v>
      </c>
    </row>
    <row r="2796" spans="1:9" x14ac:dyDescent="0.25">
      <c r="A2796" s="1" t="s">
        <v>14435</v>
      </c>
      <c r="B2796" s="1" t="s">
        <v>8025</v>
      </c>
      <c r="C2796" s="1" t="str">
        <f>IFERROR(VLOOKUP(B2796,'SB1'!$A$2:$B$999999,2,FALSE),"")</f>
        <v>REPARA PAREDES ALABASTINE X 0,330</v>
      </c>
      <c r="D2796" s="1" t="s">
        <v>14500</v>
      </c>
      <c r="E2796" s="3">
        <f>IFERROR(VLOOKUP(B2796,'DA1'!$B$2:$D$999999,3,FALSE),"")</f>
      </c>
      <c r="F2796" s="1" t="str">
        <f>IFERROR(VLOOKUP(B2796,'SB1'!$A$2:$C$999999,3,FALSE),"")</f>
        <v>503</v>
      </c>
      <c r="G2796" s="3" t="e">
        <f t="shared" si="98"/>
        <v>#VALUE!</v>
      </c>
      <c r="H2796" s="3" t="e">
        <f t="shared" si="99"/>
        <v>#VALUE!</v>
      </c>
      <c r="I2796" s="1">
        <v>1</v>
      </c>
    </row>
    <row r="2797" spans="1:9" x14ac:dyDescent="0.25">
      <c r="A2797" s="1" t="s">
        <v>14435</v>
      </c>
      <c r="B2797" s="1" t="s">
        <v>8027</v>
      </c>
      <c r="C2797" s="1" t="str">
        <f>IFERROR(VLOOKUP(B2797,'SB1'!$A$2:$B$999999,2,FALSE),"")</f>
        <v>REPARA PAREDES ALABASTINE X 1</v>
      </c>
      <c r="D2797" s="1" t="s">
        <v>14500</v>
      </c>
      <c r="E2797" s="3">
        <f>IFERROR(VLOOKUP(B2797,'DA1'!$B$2:$D$999999,3,FALSE),"")</f>
      </c>
      <c r="F2797" s="1" t="str">
        <f>IFERROR(VLOOKUP(B2797,'SB1'!$A$2:$C$999999,3,FALSE),"")</f>
        <v>503</v>
      </c>
      <c r="G2797" s="3" t="e">
        <f t="shared" si="98"/>
        <v>#VALUE!</v>
      </c>
      <c r="H2797" s="3" t="e">
        <f t="shared" si="99"/>
        <v>#VALUE!</v>
      </c>
      <c r="I2797" s="1">
        <v>1</v>
      </c>
    </row>
    <row r="2798" spans="1:9" x14ac:dyDescent="0.25">
      <c r="A2798" s="1" t="s">
        <v>14435</v>
      </c>
      <c r="B2798" s="1" t="s">
        <v>8029</v>
      </c>
      <c r="C2798" s="1" t="str">
        <f>IFERROR(VLOOKUP(B2798,'SB1'!$A$2:$B$999999,2,FALSE),"")</f>
        <v>REPARA PAREDES ALABASTINE ACCION RAPIDA X 0,330</v>
      </c>
      <c r="D2798" s="1" t="s">
        <v>14500</v>
      </c>
      <c r="E2798" s="3">
        <f>IFERROR(VLOOKUP(B2798,'DA1'!$B$2:$D$999999,3,FALSE),"")</f>
      </c>
      <c r="F2798" s="1" t="str">
        <f>IFERROR(VLOOKUP(B2798,'SB1'!$A$2:$C$999999,3,FALSE),"")</f>
        <v>503</v>
      </c>
      <c r="G2798" s="3" t="e">
        <f t="shared" si="98"/>
        <v>#VALUE!</v>
      </c>
      <c r="H2798" s="3" t="e">
        <f t="shared" si="99"/>
        <v>#VALUE!</v>
      </c>
      <c r="I2798" s="1">
        <v>1</v>
      </c>
    </row>
    <row r="2799" spans="1:9" x14ac:dyDescent="0.25">
      <c r="A2799" s="1" t="s">
        <v>14435</v>
      </c>
      <c r="B2799" s="1" t="s">
        <v>8031</v>
      </c>
      <c r="C2799" s="1" t="str">
        <f>IFERROR(VLOOKUP(B2799,'SB1'!$A$2:$B$999999,2,FALSE),"")</f>
        <v>REMOVEDOR GEL ALABASTINE X 0,900</v>
      </c>
      <c r="D2799" s="1" t="s">
        <v>14500</v>
      </c>
      <c r="E2799" s="3">
        <f>IFERROR(VLOOKUP(B2799,'DA1'!$B$2:$D$999999,3,FALSE),"")</f>
      </c>
      <c r="F2799" s="1" t="str">
        <f>IFERROR(VLOOKUP(B2799,'SB1'!$A$2:$C$999999,3,FALSE),"")</f>
        <v>503</v>
      </c>
      <c r="G2799" s="3" t="e">
        <f t="shared" si="98"/>
        <v>#VALUE!</v>
      </c>
      <c r="H2799" s="3" t="e">
        <f t="shared" si="99"/>
        <v>#VALUE!</v>
      </c>
      <c r="I2799" s="1">
        <v>1</v>
      </c>
    </row>
    <row r="2800" spans="1:9" x14ac:dyDescent="0.25">
      <c r="A2800" s="1" t="s">
        <v>14435</v>
      </c>
      <c r="B2800" s="1" t="s">
        <v>8033</v>
      </c>
      <c r="C2800" s="1" t="str">
        <f>IFERROR(VLOOKUP(B2800,'SB1'!$A$2:$B$999999,2,FALSE),"")</f>
        <v>REMOVEDOR GEL ALABASTINE X 3,600</v>
      </c>
      <c r="D2800" s="1" t="s">
        <v>14500</v>
      </c>
      <c r="E2800" s="3">
        <f>IFERROR(VLOOKUP(B2800,'DA1'!$B$2:$D$999999,3,FALSE),"")</f>
      </c>
      <c r="F2800" s="1" t="str">
        <f>IFERROR(VLOOKUP(B2800,'SB1'!$A$2:$C$999999,3,FALSE),"")</f>
        <v>503</v>
      </c>
      <c r="G2800" s="3" t="e">
        <f t="shared" si="98"/>
        <v>#VALUE!</v>
      </c>
      <c r="H2800" s="3" t="e">
        <f t="shared" si="99"/>
        <v>#VALUE!</v>
      </c>
      <c r="I2800" s="1">
        <v>1</v>
      </c>
    </row>
    <row r="2801" spans="1:9" x14ac:dyDescent="0.25">
      <c r="A2801" s="1" t="s">
        <v>14435</v>
      </c>
      <c r="B2801" s="1" t="s">
        <v>8035</v>
      </c>
      <c r="C2801" s="1" t="str">
        <f>IFERROR(VLOOKUP(B2801,'SB1'!$A$2:$B$999999,2,FALSE),"")</f>
        <v>CL-559 AMARILLO ROJIZO X 1</v>
      </c>
      <c r="D2801" s="1" t="s">
        <v>14454</v>
      </c>
      <c r="E2801" s="3">
        <f>IFERROR(VLOOKUP(B2801,'DA1'!$B$2:$D$999999,3,FALSE),"")</f>
      </c>
      <c r="F2801" s="1" t="str">
        <f>IFERROR(VLOOKUP(B2801,'SB1'!$A$2:$C$999999,3,FALSE),"")</f>
        <v>503</v>
      </c>
      <c r="G2801" s="3" t="e">
        <f t="shared" si="98"/>
        <v>#VALUE!</v>
      </c>
      <c r="H2801" s="3" t="e">
        <f t="shared" si="99"/>
        <v>#VALUE!</v>
      </c>
      <c r="I2801" s="1">
        <v>3</v>
      </c>
    </row>
    <row r="2802" spans="1:9" x14ac:dyDescent="0.25">
      <c r="A2802" s="1" t="s">
        <v>14435</v>
      </c>
      <c r="B2802" s="1" t="s">
        <v>8037</v>
      </c>
      <c r="C2802" s="1" t="str">
        <f>IFERROR(VLOOKUP(B2802,'SB1'!$A$2:$B$999999,2,FALSE),"")</f>
        <v>REPARADOR FLEXIBLE ALABASTINE X 0,310</v>
      </c>
      <c r="D2802" s="1" t="s">
        <v>14500</v>
      </c>
      <c r="E2802" s="3">
        <f>IFERROR(VLOOKUP(B2802,'DA1'!$B$2:$D$999999,3,FALSE),"")</f>
      </c>
      <c r="F2802" s="1" t="str">
        <f>IFERROR(VLOOKUP(B2802,'SB1'!$A$2:$C$999999,3,FALSE),"")</f>
        <v>503</v>
      </c>
      <c r="G2802" s="3" t="e">
        <f t="shared" si="98"/>
        <v>#VALUE!</v>
      </c>
      <c r="H2802" s="3" t="e">
        <f t="shared" si="99"/>
        <v>#VALUE!</v>
      </c>
      <c r="I2802" s="1">
        <v>1</v>
      </c>
    </row>
    <row r="2803" spans="1:9" x14ac:dyDescent="0.25">
      <c r="A2803" s="1" t="s">
        <v>14435</v>
      </c>
      <c r="B2803" s="1" t="s">
        <v>8039</v>
      </c>
      <c r="C2803" s="1" t="str">
        <f>IFERROR(VLOOKUP(B2803,'SB1'!$A$2:$B$999999,2,FALSE),"")</f>
        <v>FONDO 1-2-3 ALABASTINE X 0,900</v>
      </c>
      <c r="D2803" s="1" t="s">
        <v>14500</v>
      </c>
      <c r="E2803" s="3">
        <f>IFERROR(VLOOKUP(B2803,'DA1'!$B$2:$D$999999,3,FALSE),"")</f>
      </c>
      <c r="F2803" s="1" t="str">
        <f>IFERROR(VLOOKUP(B2803,'SB1'!$A$2:$C$999999,3,FALSE),"")</f>
        <v>503</v>
      </c>
      <c r="G2803" s="3" t="e">
        <f t="shared" si="98"/>
        <v>#VALUE!</v>
      </c>
      <c r="H2803" s="3" t="e">
        <f t="shared" si="99"/>
        <v>#VALUE!</v>
      </c>
      <c r="I2803" s="1">
        <v>1</v>
      </c>
    </row>
    <row r="2804" spans="1:9" x14ac:dyDescent="0.25">
      <c r="A2804" s="1" t="s">
        <v>14435</v>
      </c>
      <c r="B2804" s="1" t="s">
        <v>8041</v>
      </c>
      <c r="C2804" s="1" t="str">
        <f>IFERROR(VLOOKUP(B2804,'SB1'!$A$2:$B$999999,2,FALSE),"")</f>
        <v>FONDO 1-2-3 ALABASTINE X 3,600</v>
      </c>
      <c r="D2804" s="1" t="s">
        <v>14500</v>
      </c>
      <c r="E2804" s="3">
        <f>IFERROR(VLOOKUP(B2804,'DA1'!$B$2:$D$999999,3,FALSE),"")</f>
      </c>
      <c r="F2804" s="1" t="str">
        <f>IFERROR(VLOOKUP(B2804,'SB1'!$A$2:$C$999999,3,FALSE),"")</f>
        <v>503</v>
      </c>
      <c r="G2804" s="3" t="e">
        <f t="shared" si="98"/>
        <v>#VALUE!</v>
      </c>
      <c r="H2804" s="3" t="e">
        <f t="shared" si="99"/>
        <v>#VALUE!</v>
      </c>
      <c r="I2804" s="1">
        <v>1</v>
      </c>
    </row>
    <row r="2805" spans="1:9" x14ac:dyDescent="0.25">
      <c r="A2805" s="1" t="s">
        <v>14435</v>
      </c>
      <c r="B2805" s="1" t="s">
        <v>8043</v>
      </c>
      <c r="C2805" s="1" t="str">
        <f>IFERROR(VLOOKUP(B2805,'SB1'!$A$2:$B$999999,2,FALSE),"")</f>
        <v>ESMALTE POLIURETANO VARATHANE AL AGUA INTERIOR BRILLANTE X 0,946(281827)</v>
      </c>
      <c r="D2805" s="1" t="s">
        <v>14501</v>
      </c>
      <c r="E2805" s="3">
        <f>IFERROR(VLOOKUP(B2805,'DA1'!$B$2:$D$999999,3,FALSE),"")</f>
      </c>
      <c r="F2805" s="1" t="str">
        <f>IFERROR(VLOOKUP(B2805,'SB1'!$A$2:$C$999999,3,FALSE),"")</f>
        <v>503</v>
      </c>
      <c r="G2805" s="3" t="e">
        <f t="shared" si="98"/>
        <v>#VALUE!</v>
      </c>
      <c r="H2805" s="3" t="e">
        <f t="shared" si="99"/>
        <v>#VALUE!</v>
      </c>
      <c r="I2805" s="1">
        <v>1</v>
      </c>
    </row>
    <row r="2806" spans="1:9" x14ac:dyDescent="0.25">
      <c r="A2806" s="1" t="s">
        <v>14435</v>
      </c>
      <c r="B2806" s="1" t="s">
        <v>8045</v>
      </c>
      <c r="C2806" s="1" t="str">
        <f>IFERROR(VLOOKUP(B2806,'SB1'!$A$2:$B$999999,2,FALSE),"")</f>
        <v>ESMALTE POLIURETANO VARATHANE AL AGUA INTERIOR BRILLANTE X 3,785(281831)</v>
      </c>
      <c r="D2806" s="1" t="s">
        <v>14501</v>
      </c>
      <c r="E2806" s="3">
        <f>IFERROR(VLOOKUP(B2806,'DA1'!$B$2:$D$999999,3,FALSE),"")</f>
      </c>
      <c r="F2806" s="1" t="str">
        <f>IFERROR(VLOOKUP(B2806,'SB1'!$A$2:$C$999999,3,FALSE),"")</f>
        <v>503</v>
      </c>
      <c r="G2806" s="3" t="e">
        <f t="shared" si="98"/>
        <v>#VALUE!</v>
      </c>
      <c r="H2806" s="3" t="e">
        <f t="shared" si="99"/>
        <v>#VALUE!</v>
      </c>
      <c r="I2806" s="1">
        <v>1</v>
      </c>
    </row>
    <row r="2807" spans="1:9" x14ac:dyDescent="0.25">
      <c r="A2807" s="1" t="s">
        <v>14435</v>
      </c>
      <c r="B2807" s="1" t="s">
        <v>8047</v>
      </c>
      <c r="C2807" s="1" t="str">
        <f>IFERROR(VLOOKUP(B2807,'SB1'!$A$2:$B$999999,2,FALSE),"")</f>
        <v>ESMALTE POLIURETANO VARATHANE AL AGUA INTERIOR SATINADO X 0,946(281829)</v>
      </c>
      <c r="D2807" s="1" t="s">
        <v>14501</v>
      </c>
      <c r="E2807" s="3">
        <f>IFERROR(VLOOKUP(B2807,'DA1'!$B$2:$D$999999,3,FALSE),"")</f>
      </c>
      <c r="F2807" s="1" t="str">
        <f>IFERROR(VLOOKUP(B2807,'SB1'!$A$2:$C$999999,3,FALSE),"")</f>
        <v>503</v>
      </c>
      <c r="G2807" s="3" t="e">
        <f t="shared" si="98"/>
        <v>#VALUE!</v>
      </c>
      <c r="H2807" s="3" t="e">
        <f t="shared" si="99"/>
        <v>#VALUE!</v>
      </c>
      <c r="I2807" s="1">
        <v>1</v>
      </c>
    </row>
    <row r="2808" spans="1:9" x14ac:dyDescent="0.25">
      <c r="A2808" s="1" t="s">
        <v>14435</v>
      </c>
      <c r="B2808" s="1" t="s">
        <v>8049</v>
      </c>
      <c r="C2808" s="1" t="str">
        <f>IFERROR(VLOOKUP(B2808,'SB1'!$A$2:$B$999999,2,FALSE),"")</f>
        <v>ESMALTE POLIURETANO VARATHANE AL AGUA INTERIOR SATINADO X 3,785(281833)</v>
      </c>
      <c r="D2808" s="1" t="s">
        <v>14501</v>
      </c>
      <c r="E2808" s="3">
        <f>IFERROR(VLOOKUP(B2808,'DA1'!$B$2:$D$999999,3,FALSE),"")</f>
      </c>
      <c r="F2808" s="1" t="str">
        <f>IFERROR(VLOOKUP(B2808,'SB1'!$A$2:$C$999999,3,FALSE),"")</f>
        <v>503</v>
      </c>
      <c r="G2808" s="3" t="e">
        <f t="shared" si="98"/>
        <v>#VALUE!</v>
      </c>
      <c r="H2808" s="3" t="e">
        <f t="shared" si="99"/>
        <v>#VALUE!</v>
      </c>
      <c r="I2808" s="1">
        <v>1</v>
      </c>
    </row>
    <row r="2809" spans="1:9" x14ac:dyDescent="0.25">
      <c r="A2809" s="1" t="s">
        <v>14435</v>
      </c>
      <c r="B2809" s="1" t="s">
        <v>8051</v>
      </c>
      <c r="C2809" s="1" t="str">
        <f>IFERROR(VLOOKUP(B2809,'SB1'!$A$2:$B$999999,2,FALSE),"")</f>
        <v>ESMALTE POLIURETANO VARATHANE TRIPLE CAPA BRILLANTE X 0,946(305507)</v>
      </c>
      <c r="D2809" s="1" t="s">
        <v>14501</v>
      </c>
      <c r="E2809" s="3">
        <f>IFERROR(VLOOKUP(B2809,'DA1'!$B$2:$D$999999,3,FALSE),"")</f>
      </c>
      <c r="F2809" s="1" t="str">
        <f>IFERROR(VLOOKUP(B2809,'SB1'!$A$2:$C$999999,3,FALSE),"")</f>
        <v>503</v>
      </c>
      <c r="G2809" s="3" t="e">
        <f t="shared" si="98"/>
        <v>#VALUE!</v>
      </c>
      <c r="H2809" s="3" t="e">
        <f t="shared" si="99"/>
        <v>#VALUE!</v>
      </c>
      <c r="I2809" s="1">
        <v>1</v>
      </c>
    </row>
    <row r="2810" spans="1:9" x14ac:dyDescent="0.25">
      <c r="A2810" s="1" t="s">
        <v>14435</v>
      </c>
      <c r="B2810" s="1" t="s">
        <v>8053</v>
      </c>
      <c r="C2810" s="1" t="str">
        <f>IFERROR(VLOOKUP(B2810,'SB1'!$A$2:$B$999999,2,FALSE),"")</f>
        <v>ESMALTE POLIURETANO VARATHANE TRIPLE CAPA SATINADO X 0,946(305510)</v>
      </c>
      <c r="D2810" s="1" t="s">
        <v>14501</v>
      </c>
      <c r="E2810" s="3">
        <f>IFERROR(VLOOKUP(B2810,'DA1'!$B$2:$D$999999,3,FALSE),"")</f>
      </c>
      <c r="F2810" s="1" t="str">
        <f>IFERROR(VLOOKUP(B2810,'SB1'!$A$2:$C$999999,3,FALSE),"")</f>
        <v>503</v>
      </c>
      <c r="G2810" s="3" t="e">
        <f t="shared" si="98"/>
        <v>#VALUE!</v>
      </c>
      <c r="H2810" s="3" t="e">
        <f t="shared" si="99"/>
        <v>#VALUE!</v>
      </c>
      <c r="I2810" s="1">
        <v>1</v>
      </c>
    </row>
    <row r="2811" spans="1:9" x14ac:dyDescent="0.25">
      <c r="A2811" s="1" t="s">
        <v>14435</v>
      </c>
      <c r="B2811" s="1" t="s">
        <v>8055</v>
      </c>
      <c r="C2811" s="1" t="str">
        <f>IFERROR(VLOOKUP(B2811,'SB1'!$A$2:$B$999999,2,FALSE),"")</f>
        <v>ESMALTE POLIURETANO PARA PISO VARATHANE ACEITE INTERIOR BRILLANTE X 3,785(281857)</v>
      </c>
      <c r="D2811" s="1" t="s">
        <v>14501</v>
      </c>
      <c r="E2811" s="3">
        <f>IFERROR(VLOOKUP(B2811,'DA1'!$B$2:$D$999999,3,FALSE),"")</f>
      </c>
      <c r="F2811" s="1" t="str">
        <f>IFERROR(VLOOKUP(B2811,'SB1'!$A$2:$C$999999,3,FALSE),"")</f>
        <v>503</v>
      </c>
      <c r="G2811" s="3" t="e">
        <f t="shared" si="98"/>
        <v>#VALUE!</v>
      </c>
      <c r="H2811" s="3" t="e">
        <f t="shared" si="99"/>
        <v>#VALUE!</v>
      </c>
      <c r="I2811" s="1">
        <v>1</v>
      </c>
    </row>
    <row r="2812" spans="1:9" x14ac:dyDescent="0.25">
      <c r="A2812" s="1" t="s">
        <v>14435</v>
      </c>
      <c r="B2812" s="1" t="s">
        <v>8057</v>
      </c>
      <c r="C2812" s="1" t="str">
        <f>IFERROR(VLOOKUP(B2812,'SB1'!$A$2:$B$999999,2,FALSE),"")</f>
        <v>ESMALTE POLIURETANO PARA PISO VARATHANE ACEITE INTERIOR SATINADO X 3,785(281859)</v>
      </c>
      <c r="D2812" s="1" t="s">
        <v>14501</v>
      </c>
      <c r="E2812" s="3">
        <f>IFERROR(VLOOKUP(B2812,'DA1'!$B$2:$D$999999,3,FALSE),"")</f>
      </c>
      <c r="F2812" s="1" t="str">
        <f>IFERROR(VLOOKUP(B2812,'SB1'!$A$2:$C$999999,3,FALSE),"")</f>
        <v>503</v>
      </c>
      <c r="G2812" s="3" t="e">
        <f t="shared" si="98"/>
        <v>#VALUE!</v>
      </c>
      <c r="H2812" s="3" t="e">
        <f t="shared" si="99"/>
        <v>#VALUE!</v>
      </c>
      <c r="I2812" s="1">
        <v>1</v>
      </c>
    </row>
    <row r="2813" spans="1:9" x14ac:dyDescent="0.25">
      <c r="A2813" s="1" t="s">
        <v>14435</v>
      </c>
      <c r="B2813" s="1" t="s">
        <v>8059</v>
      </c>
      <c r="C2813" s="1" t="str">
        <f>IFERROR(VLOOKUP(B2813,'SB1'!$A$2:$B$999999,2,FALSE),"")</f>
        <v>ESMALTE POLIURETANO PARA PISO VARATHANE AL AGUA INTERIOR BRILLANTE X 3,785(281853)</v>
      </c>
      <c r="D2813" s="1" t="s">
        <v>14501</v>
      </c>
      <c r="E2813" s="3">
        <f>IFERROR(VLOOKUP(B2813,'DA1'!$B$2:$D$999999,3,FALSE),"")</f>
      </c>
      <c r="F2813" s="1" t="str">
        <f>IFERROR(VLOOKUP(B2813,'SB1'!$A$2:$C$999999,3,FALSE),"")</f>
        <v>503</v>
      </c>
      <c r="G2813" s="3" t="e">
        <f t="shared" si="98"/>
        <v>#VALUE!</v>
      </c>
      <c r="H2813" s="3" t="e">
        <f t="shared" si="99"/>
        <v>#VALUE!</v>
      </c>
      <c r="I2813" s="1">
        <v>1</v>
      </c>
    </row>
    <row r="2814" spans="1:9" x14ac:dyDescent="0.25">
      <c r="A2814" s="1" t="s">
        <v>14435</v>
      </c>
      <c r="B2814" s="1" t="s">
        <v>8061</v>
      </c>
      <c r="C2814" s="1" t="str">
        <f>IFERROR(VLOOKUP(B2814,'SB1'!$A$2:$B$999999,2,FALSE),"")</f>
        <v>ESMALTE POLIURETANO PARA PISO VARATHANE AL AGUA INTERIOR SATINADO X 3,785(281855)</v>
      </c>
      <c r="D2814" s="1" t="s">
        <v>14501</v>
      </c>
      <c r="E2814" s="3">
        <f>IFERROR(VLOOKUP(B2814,'DA1'!$B$2:$D$999999,3,FALSE),"")</f>
      </c>
      <c r="F2814" s="1" t="str">
        <f>IFERROR(VLOOKUP(B2814,'SB1'!$A$2:$C$999999,3,FALSE),"")</f>
        <v>503</v>
      </c>
      <c r="G2814" s="3" t="e">
        <f t="shared" si="98"/>
        <v>#VALUE!</v>
      </c>
      <c r="H2814" s="3" t="e">
        <f t="shared" si="99"/>
        <v>#VALUE!</v>
      </c>
      <c r="I2814" s="1">
        <v>1</v>
      </c>
    </row>
    <row r="2815" spans="1:9" x14ac:dyDescent="0.25">
      <c r="A2815" s="1" t="s">
        <v>14435</v>
      </c>
      <c r="B2815" s="1" t="s">
        <v>8063</v>
      </c>
      <c r="C2815" s="1" t="str">
        <f>IFERROR(VLOOKUP(B2815,'SB1'!$A$2:$B$999999,2,FALSE),"")</f>
        <v>CL-561 NARANJA X 1</v>
      </c>
      <c r="D2815" s="1" t="s">
        <v>14454</v>
      </c>
      <c r="E2815" s="3">
        <f>IFERROR(VLOOKUP(B2815,'DA1'!$B$2:$D$999999,3,FALSE),"")</f>
      </c>
      <c r="F2815" s="1" t="str">
        <f>IFERROR(VLOOKUP(B2815,'SB1'!$A$2:$C$999999,3,FALSE),"")</f>
        <v>503</v>
      </c>
      <c r="G2815" s="3" t="e">
        <f t="shared" si="98"/>
        <v>#VALUE!</v>
      </c>
      <c r="H2815" s="3" t="e">
        <f t="shared" si="99"/>
        <v>#VALUE!</v>
      </c>
      <c r="I2815" s="1">
        <v>3</v>
      </c>
    </row>
    <row r="2816" spans="1:9" x14ac:dyDescent="0.25">
      <c r="A2816" s="1" t="s">
        <v>14435</v>
      </c>
      <c r="B2816" s="1" t="s">
        <v>8065</v>
      </c>
      <c r="C2816" s="1" t="str">
        <f>IFERROR(VLOOKUP(B2816,'SB1'!$A$2:$B$999999,2,FALSE),"")</f>
        <v>CL-560 BASE MATEANTE X1</v>
      </c>
      <c r="D2816" s="1" t="s">
        <v>14454</v>
      </c>
      <c r="E2816" s="3">
        <f>IFERROR(VLOOKUP(B2816,'DA1'!$B$2:$D$999999,3,FALSE),"")</f>
      </c>
      <c r="F2816" s="1" t="str">
        <f>IFERROR(VLOOKUP(B2816,'SB1'!$A$2:$C$999999,3,FALSE),"")</f>
        <v>503</v>
      </c>
      <c r="G2816" s="3" t="e">
        <f t="shared" si="98"/>
        <v>#VALUE!</v>
      </c>
      <c r="H2816" s="3" t="e">
        <f t="shared" si="99"/>
        <v>#VALUE!</v>
      </c>
      <c r="I2816" s="1">
        <v>3</v>
      </c>
    </row>
    <row r="2817" spans="1:9" x14ac:dyDescent="0.25">
      <c r="A2817" s="1" t="s">
        <v>14435</v>
      </c>
      <c r="B2817" s="1" t="s">
        <v>8069</v>
      </c>
      <c r="C2817" s="1" t="str">
        <f>IFERROR(VLOOKUP(B2817,'SB1'!$A$2:$B$999999,2,FALSE),"")</f>
        <v>LATEX INTERIOR/EXTERIOR TERSUAVE MATE BASE M X  0.900</v>
      </c>
      <c r="D2817" s="1" t="s">
        <v>14482</v>
      </c>
      <c r="E2817" s="3">
        <f>IFERROR(VLOOKUP(B2817,'DA1'!$B$2:$D$999999,3,FALSE),"")</f>
      </c>
      <c r="F2817" s="1" t="str">
        <f>IFERROR(VLOOKUP(B2817,'SB1'!$A$2:$C$999999,3,FALSE),"")</f>
        <v>503</v>
      </c>
      <c r="G2817" s="3" t="e">
        <f t="shared" si="98"/>
        <v>#VALUE!</v>
      </c>
      <c r="H2817" s="3" t="e">
        <f t="shared" si="99"/>
        <v>#VALUE!</v>
      </c>
      <c r="I2817" s="1">
        <v>1</v>
      </c>
    </row>
    <row r="2818" spans="1:9" x14ac:dyDescent="0.25">
      <c r="A2818" s="1" t="s">
        <v>14435</v>
      </c>
      <c r="B2818" s="1" t="s">
        <v>8071</v>
      </c>
      <c r="C2818" s="1" t="str">
        <f>IFERROR(VLOOKUP(B2818,'SB1'!$A$2:$B$999999,2,FALSE),"")</f>
        <v>LATEX INTERIOR/EXTERIOR TERSUAVE MATE BASE M X  3.6</v>
      </c>
      <c r="D2818" s="1" t="s">
        <v>14482</v>
      </c>
      <c r="E2818" s="3">
        <f>IFERROR(VLOOKUP(B2818,'DA1'!$B$2:$D$999999,3,FALSE),"")</f>
      </c>
      <c r="F2818" s="1" t="str">
        <f>IFERROR(VLOOKUP(B2818,'SB1'!$A$2:$C$999999,3,FALSE),"")</f>
        <v>503</v>
      </c>
      <c r="G2818" s="3" t="e">
        <f t="shared" si="98"/>
        <v>#VALUE!</v>
      </c>
      <c r="H2818" s="3" t="e">
        <f t="shared" si="99"/>
        <v>#VALUE!</v>
      </c>
      <c r="I2818" s="1">
        <v>1</v>
      </c>
    </row>
    <row r="2819" spans="1:9" x14ac:dyDescent="0.25">
      <c r="A2819" s="1" t="s">
        <v>14435</v>
      </c>
      <c r="B2819" s="1" t="s">
        <v>8073</v>
      </c>
      <c r="C2819" s="1" t="str">
        <f>IFERROR(VLOOKUP(B2819,'SB1'!$A$2:$B$999999,2,FALSE),"")</f>
        <v>LATEX INTERIOR/EXTERIOR TERSUAVE MATE BASE M X  9.0</v>
      </c>
      <c r="D2819" s="1" t="s">
        <v>14482</v>
      </c>
      <c r="E2819" s="3">
        <f>IFERROR(VLOOKUP(B2819,'DA1'!$B$2:$D$999999,3,FALSE),"")</f>
      </c>
      <c r="F2819" s="1" t="str">
        <f>IFERROR(VLOOKUP(B2819,'SB1'!$A$2:$C$999999,3,FALSE),"")</f>
        <v>503</v>
      </c>
      <c r="G2819" s="3" t="e">
        <f t="shared" ref="G2819:G2882" si="100">E2819*1.04</f>
        <v>#VALUE!</v>
      </c>
      <c r="H2819" s="3" t="e">
        <f t="shared" si="99"/>
        <v>#VALUE!</v>
      </c>
      <c r="I2819" s="1">
        <v>1</v>
      </c>
    </row>
    <row r="2820" spans="1:9" x14ac:dyDescent="0.25">
      <c r="A2820" s="1" t="s">
        <v>14435</v>
      </c>
      <c r="B2820" s="1" t="s">
        <v>8075</v>
      </c>
      <c r="C2820" s="1" t="str">
        <f>IFERROR(VLOOKUP(B2820,'SB1'!$A$2:$B$999999,2,FALSE),"")</f>
        <v>LATEX INTERIOR/EXTERIOR TERSUAVE MATE BASE M X 18</v>
      </c>
      <c r="D2820" s="1" t="s">
        <v>14482</v>
      </c>
      <c r="E2820" s="3">
        <f>IFERROR(VLOOKUP(B2820,'DA1'!$B$2:$D$999999,3,FALSE),"")</f>
      </c>
      <c r="F2820" s="1" t="str">
        <f>IFERROR(VLOOKUP(B2820,'SB1'!$A$2:$C$999999,3,FALSE),"")</f>
        <v>503</v>
      </c>
      <c r="G2820" s="3" t="e">
        <f t="shared" si="100"/>
        <v>#VALUE!</v>
      </c>
      <c r="H2820" s="3" t="e">
        <f t="shared" si="99"/>
        <v>#VALUE!</v>
      </c>
      <c r="I2820" s="1">
        <v>1</v>
      </c>
    </row>
    <row r="2821" spans="1:9" x14ac:dyDescent="0.25">
      <c r="A2821" s="1" t="s">
        <v>14435</v>
      </c>
      <c r="B2821" s="1" t="s">
        <v>8077</v>
      </c>
      <c r="C2821" s="1" t="str">
        <f>IFERROR(VLOOKUP(B2821,'SB1'!$A$2:$B$999999,2,FALSE),"")</f>
        <v>LATEX INTERIOR/EXTERIOR TERSUAVE MATE BASE D X  0.900</v>
      </c>
      <c r="D2821" s="1" t="s">
        <v>14482</v>
      </c>
      <c r="E2821" s="3">
        <f>IFERROR(VLOOKUP(B2821,'DA1'!$B$2:$D$999999,3,FALSE),"")</f>
      </c>
      <c r="F2821" s="1" t="str">
        <f>IFERROR(VLOOKUP(B2821,'SB1'!$A$2:$C$999999,3,FALSE),"")</f>
        <v>503</v>
      </c>
      <c r="G2821" s="3" t="e">
        <f t="shared" si="100"/>
        <v>#VALUE!</v>
      </c>
      <c r="H2821" s="3" t="e">
        <f t="shared" si="99"/>
        <v>#VALUE!</v>
      </c>
      <c r="I2821" s="1">
        <v>1</v>
      </c>
    </row>
    <row r="2822" spans="1:9" x14ac:dyDescent="0.25">
      <c r="A2822" s="1" t="s">
        <v>14435</v>
      </c>
      <c r="B2822" s="1" t="s">
        <v>8079</v>
      </c>
      <c r="C2822" s="1" t="str">
        <f>IFERROR(VLOOKUP(B2822,'SB1'!$A$2:$B$999999,2,FALSE),"")</f>
        <v>LATEX INTERIOR/EXTERIOR TERSUAVE MATE BASE D X  3.6</v>
      </c>
      <c r="D2822" s="1" t="s">
        <v>14482</v>
      </c>
      <c r="E2822" s="3">
        <f>IFERROR(VLOOKUP(B2822,'DA1'!$B$2:$D$999999,3,FALSE),"")</f>
      </c>
      <c r="F2822" s="1" t="str">
        <f>IFERROR(VLOOKUP(B2822,'SB1'!$A$2:$C$999999,3,FALSE),"")</f>
        <v>503</v>
      </c>
      <c r="G2822" s="3" t="e">
        <f t="shared" si="100"/>
        <v>#VALUE!</v>
      </c>
      <c r="H2822" s="3" t="e">
        <f t="shared" si="99"/>
        <v>#VALUE!</v>
      </c>
      <c r="I2822" s="1">
        <v>1</v>
      </c>
    </row>
    <row r="2823" spans="1:9" x14ac:dyDescent="0.25">
      <c r="A2823" s="1" t="s">
        <v>14435</v>
      </c>
      <c r="B2823" s="1" t="s">
        <v>8081</v>
      </c>
      <c r="C2823" s="1" t="str">
        <f>IFERROR(VLOOKUP(B2823,'SB1'!$A$2:$B$999999,2,FALSE),"")</f>
        <v>LATEX INTERIOR/EXTERIOR TERSUAVE MATE BASE D X  9.0</v>
      </c>
      <c r="D2823" s="1" t="s">
        <v>14482</v>
      </c>
      <c r="E2823" s="3">
        <f>IFERROR(VLOOKUP(B2823,'DA1'!$B$2:$D$999999,3,FALSE),"")</f>
      </c>
      <c r="F2823" s="1" t="str">
        <f>IFERROR(VLOOKUP(B2823,'SB1'!$A$2:$C$999999,3,FALSE),"")</f>
        <v>503</v>
      </c>
      <c r="G2823" s="3" t="e">
        <f t="shared" si="100"/>
        <v>#VALUE!</v>
      </c>
      <c r="H2823" s="3" t="e">
        <f t="shared" si="99"/>
        <v>#VALUE!</v>
      </c>
      <c r="I2823" s="1">
        <v>1</v>
      </c>
    </row>
    <row r="2824" spans="1:9" x14ac:dyDescent="0.25">
      <c r="A2824" s="1" t="s">
        <v>14435</v>
      </c>
      <c r="B2824" s="1" t="s">
        <v>8083</v>
      </c>
      <c r="C2824" s="1" t="str">
        <f>IFERROR(VLOOKUP(B2824,'SB1'!$A$2:$B$999999,2,FALSE),"")</f>
        <v>LATEX INTERIOR/EXTERIOR TERSUAVE MATE BASE D X 18</v>
      </c>
      <c r="D2824" s="1" t="s">
        <v>14482</v>
      </c>
      <c r="E2824" s="3">
        <f>IFERROR(VLOOKUP(B2824,'DA1'!$B$2:$D$999999,3,FALSE),"")</f>
      </c>
      <c r="F2824" s="1" t="str">
        <f>IFERROR(VLOOKUP(B2824,'SB1'!$A$2:$C$999999,3,FALSE),"")</f>
        <v>503</v>
      </c>
      <c r="G2824" s="3" t="e">
        <f t="shared" si="100"/>
        <v>#VALUE!</v>
      </c>
      <c r="H2824" s="3" t="e">
        <f t="shared" si="99"/>
        <v>#VALUE!</v>
      </c>
      <c r="I2824" s="1">
        <v>1</v>
      </c>
    </row>
    <row r="2825" spans="1:9" x14ac:dyDescent="0.25">
      <c r="A2825" s="1" t="s">
        <v>14435</v>
      </c>
      <c r="B2825" s="1" t="s">
        <v>8085</v>
      </c>
      <c r="C2825" s="1" t="str">
        <f>IFERROR(VLOOKUP(B2825,'SB1'!$A$2:$B$999999,2,FALSE),"")</f>
        <v>LATEX INTERIOR/EXTERIOR TERSUAVE MATE BASE C X  0.900</v>
      </c>
      <c r="D2825" s="1" t="s">
        <v>14482</v>
      </c>
      <c r="E2825" s="3">
        <f>IFERROR(VLOOKUP(B2825,'DA1'!$B$2:$D$999999,3,FALSE),"")</f>
      </c>
      <c r="F2825" s="1" t="str">
        <f>IFERROR(VLOOKUP(B2825,'SB1'!$A$2:$C$999999,3,FALSE),"")</f>
        <v>503</v>
      </c>
      <c r="G2825" s="3" t="e">
        <f t="shared" si="100"/>
        <v>#VALUE!</v>
      </c>
      <c r="H2825" s="3" t="e">
        <f t="shared" si="99"/>
        <v>#VALUE!</v>
      </c>
      <c r="I2825" s="1">
        <v>1</v>
      </c>
    </row>
    <row r="2826" spans="1:9" x14ac:dyDescent="0.25">
      <c r="A2826" s="1" t="s">
        <v>14435</v>
      </c>
      <c r="B2826" s="1" t="s">
        <v>8087</v>
      </c>
      <c r="C2826" s="1" t="str">
        <f>IFERROR(VLOOKUP(B2826,'SB1'!$A$2:$B$999999,2,FALSE),"")</f>
        <v>LATEX INTERIOR/EXTERIOR TERSUAVE MATE BASE C X  3.6</v>
      </c>
      <c r="D2826" s="1" t="s">
        <v>14482</v>
      </c>
      <c r="E2826" s="3">
        <f>IFERROR(VLOOKUP(B2826,'DA1'!$B$2:$D$999999,3,FALSE),"")</f>
      </c>
      <c r="F2826" s="1" t="str">
        <f>IFERROR(VLOOKUP(B2826,'SB1'!$A$2:$C$999999,3,FALSE),"")</f>
        <v>503</v>
      </c>
      <c r="G2826" s="3" t="e">
        <f t="shared" si="100"/>
        <v>#VALUE!</v>
      </c>
      <c r="H2826" s="3" t="e">
        <f t="shared" si="99"/>
        <v>#VALUE!</v>
      </c>
      <c r="I2826" s="1">
        <v>1</v>
      </c>
    </row>
    <row r="2827" spans="1:9" x14ac:dyDescent="0.25">
      <c r="A2827" s="1" t="s">
        <v>14435</v>
      </c>
      <c r="B2827" s="1" t="s">
        <v>8089</v>
      </c>
      <c r="C2827" s="1" t="str">
        <f>IFERROR(VLOOKUP(B2827,'SB1'!$A$2:$B$999999,2,FALSE),"")</f>
        <v>LATEX INTERIOR/EXTERIOR TERSUAVE MATE BASE C X  9.0</v>
      </c>
      <c r="D2827" s="1" t="s">
        <v>14482</v>
      </c>
      <c r="E2827" s="3">
        <f>IFERROR(VLOOKUP(B2827,'DA1'!$B$2:$D$999999,3,FALSE),"")</f>
      </c>
      <c r="F2827" s="1" t="str">
        <f>IFERROR(VLOOKUP(B2827,'SB1'!$A$2:$C$999999,3,FALSE),"")</f>
        <v>503</v>
      </c>
      <c r="G2827" s="3" t="e">
        <f t="shared" si="100"/>
        <v>#VALUE!</v>
      </c>
      <c r="H2827" s="3" t="e">
        <f t="shared" si="99"/>
        <v>#VALUE!</v>
      </c>
      <c r="I2827" s="1">
        <v>1</v>
      </c>
    </row>
    <row r="2828" spans="1:9" x14ac:dyDescent="0.25">
      <c r="A2828" s="1" t="s">
        <v>14435</v>
      </c>
      <c r="B2828" s="1" t="s">
        <v>8091</v>
      </c>
      <c r="C2828" s="1" t="str">
        <f>IFERROR(VLOOKUP(B2828,'SB1'!$A$2:$B$999999,2,FALSE),"")</f>
        <v>LATEX INTERIOR/EXTERIOR TERSUAVE MATE BASE C X 18.0</v>
      </c>
      <c r="D2828" s="1" t="s">
        <v>14482</v>
      </c>
      <c r="E2828" s="3">
        <f>IFERROR(VLOOKUP(B2828,'DA1'!$B$2:$D$999999,3,FALSE),"")</f>
      </c>
      <c r="F2828" s="1" t="str">
        <f>IFERROR(VLOOKUP(B2828,'SB1'!$A$2:$C$999999,3,FALSE),"")</f>
        <v>503</v>
      </c>
      <c r="G2828" s="3" t="e">
        <f t="shared" si="100"/>
        <v>#VALUE!</v>
      </c>
      <c r="H2828" s="3" t="e">
        <f t="shared" si="99"/>
        <v>#VALUE!</v>
      </c>
      <c r="I2828" s="1">
        <v>1</v>
      </c>
    </row>
    <row r="2829" spans="1:9" x14ac:dyDescent="0.25">
      <c r="A2829" s="1" t="s">
        <v>14435</v>
      </c>
      <c r="B2829" s="1" t="s">
        <v>8093</v>
      </c>
      <c r="C2829" s="1" t="str">
        <f>IFERROR(VLOOKUP(B2829,'SB1'!$A$2:$B$999999,2,FALSE),"")</f>
        <v>LATEX INTERIOR RUST OLEUM ZINSSER PERMA-WHITE SATINADO BLANCO X 0.946(281971)</v>
      </c>
      <c r="D2829" s="1" t="s">
        <v>14502</v>
      </c>
      <c r="E2829" s="3">
        <f>IFERROR(VLOOKUP(B2829,'DA1'!$B$2:$D$999999,3,FALSE),"")</f>
      </c>
      <c r="F2829" s="1" t="str">
        <f>IFERROR(VLOOKUP(B2829,'SB1'!$A$2:$C$999999,3,FALSE),"")</f>
        <v>503</v>
      </c>
      <c r="G2829" s="3" t="e">
        <f t="shared" si="100"/>
        <v>#VALUE!</v>
      </c>
      <c r="H2829" s="3" t="e">
        <f t="shared" si="99"/>
        <v>#VALUE!</v>
      </c>
      <c r="I2829" s="1">
        <v>1</v>
      </c>
    </row>
    <row r="2830" spans="1:9" x14ac:dyDescent="0.25">
      <c r="A2830" s="1" t="s">
        <v>14435</v>
      </c>
      <c r="B2830" s="1" t="s">
        <v>8095</v>
      </c>
      <c r="C2830" s="1" t="str">
        <f>IFERROR(VLOOKUP(B2830,'SB1'!$A$2:$B$999999,2,FALSE),"")</f>
        <v>LATEX INTERIOR RUST OLEUM ZINSSER PERMA-WHITE SATINADO BLANCO X 3,785(281970)</v>
      </c>
      <c r="D2830" s="1" t="s">
        <v>14502</v>
      </c>
      <c r="E2830" s="3">
        <f>IFERROR(VLOOKUP(B2830,'DA1'!$B$2:$D$999999,3,FALSE),"")</f>
      </c>
      <c r="F2830" s="1" t="str">
        <f>IFERROR(VLOOKUP(B2830,'SB1'!$A$2:$C$999999,3,FALSE),"")</f>
        <v>503</v>
      </c>
      <c r="G2830" s="3" t="e">
        <f t="shared" si="100"/>
        <v>#VALUE!</v>
      </c>
      <c r="H2830" s="3" t="e">
        <f t="shared" si="99"/>
        <v>#VALUE!</v>
      </c>
      <c r="I2830" s="1">
        <v>1</v>
      </c>
    </row>
    <row r="2831" spans="1:9" x14ac:dyDescent="0.25">
      <c r="A2831" s="1" t="s">
        <v>14435</v>
      </c>
      <c r="B2831" s="1" t="s">
        <v>8097</v>
      </c>
      <c r="C2831" s="1" t="str">
        <f>IFERROR(VLOOKUP(B2831,'SB1'!$A$2:$B$999999,2,FALSE),"")</f>
        <v>LATEX INTERIOR RUST OLEUM ZINSSER PERMA-WHITE SATINADO BLANCO X  18,900(2700)</v>
      </c>
      <c r="D2831" s="1" t="s">
        <v>14502</v>
      </c>
      <c r="E2831" s="3">
        <f>IFERROR(VLOOKUP(B2831,'DA1'!$B$2:$D$999999,3,FALSE),"")</f>
      </c>
      <c r="F2831" s="1" t="str">
        <f>IFERROR(VLOOKUP(B2831,'SB1'!$A$2:$C$999999,3,FALSE),"")</f>
        <v>503</v>
      </c>
      <c r="G2831" s="3" t="e">
        <f t="shared" si="100"/>
        <v>#VALUE!</v>
      </c>
      <c r="H2831" s="3" t="e">
        <f t="shared" si="99"/>
        <v>#VALUE!</v>
      </c>
      <c r="I2831" s="1">
        <v>1</v>
      </c>
    </row>
    <row r="2832" spans="1:9" x14ac:dyDescent="0.25">
      <c r="A2832" s="1" t="s">
        <v>14435</v>
      </c>
      <c r="B2832" s="1" t="s">
        <v>8099</v>
      </c>
      <c r="C2832" s="1" t="str">
        <f>IFERROR(VLOOKUP(B2832,'SB1'!$A$2:$B$999999,2,FALSE),"")</f>
        <v>ESMALTE SINTETICO TERSUAVE TRIPLE ACCION DECOLUX BRILLANTE BLANCO X  1</v>
      </c>
      <c r="D2832" s="1" t="s">
        <v>14437</v>
      </c>
      <c r="E2832" s="3">
        <f>IFERROR(VLOOKUP(B2832,'DA1'!$B$2:$D$999999,3,FALSE),"")</f>
      </c>
      <c r="F2832" s="1" t="str">
        <f>IFERROR(VLOOKUP(B2832,'SB1'!$A$2:$C$999999,3,FALSE),"")</f>
        <v>503</v>
      </c>
      <c r="G2832" s="3" t="e">
        <f t="shared" si="100"/>
        <v>#VALUE!</v>
      </c>
      <c r="H2832" s="3" t="e">
        <f t="shared" si="99"/>
        <v>#VALUE!</v>
      </c>
      <c r="I2832" s="1">
        <v>1</v>
      </c>
    </row>
    <row r="2833" spans="1:9" x14ac:dyDescent="0.25">
      <c r="A2833" s="1" t="s">
        <v>14435</v>
      </c>
      <c r="B2833" s="1" t="s">
        <v>8101</v>
      </c>
      <c r="C2833" s="1" t="str">
        <f>IFERROR(VLOOKUP(B2833,'SB1'!$A$2:$B$999999,2,FALSE),"")</f>
        <v>ESMALTE SINTETICO TERSUAVE TRIPLE ACCION DECOLUX BRILLANTE BLANCO X  4</v>
      </c>
      <c r="D2833" s="1" t="s">
        <v>14437</v>
      </c>
      <c r="E2833" s="3">
        <f>IFERROR(VLOOKUP(B2833,'DA1'!$B$2:$D$999999,3,FALSE),"")</f>
      </c>
      <c r="F2833" s="1" t="str">
        <f>IFERROR(VLOOKUP(B2833,'SB1'!$A$2:$C$999999,3,FALSE),"")</f>
        <v>503</v>
      </c>
      <c r="G2833" s="3" t="e">
        <f t="shared" si="100"/>
        <v>#VALUE!</v>
      </c>
      <c r="H2833" s="3" t="e">
        <f t="shared" si="99"/>
        <v>#VALUE!</v>
      </c>
      <c r="I2833" s="1">
        <v>1</v>
      </c>
    </row>
    <row r="2834" spans="1:9" x14ac:dyDescent="0.25">
      <c r="A2834" s="1" t="s">
        <v>14435</v>
      </c>
      <c r="B2834" s="1" t="s">
        <v>8103</v>
      </c>
      <c r="C2834" s="1" t="str">
        <f>IFERROR(VLOOKUP(B2834,'SB1'!$A$2:$B$999999,2,FALSE),"")</f>
        <v>ESMALTE SINTETICO TERSUAVE TRIPLE ACCION DECOLUX BRILLANTE BLANCO X 20</v>
      </c>
      <c r="D2834" s="1" t="s">
        <v>14437</v>
      </c>
      <c r="E2834" s="3">
        <f>IFERROR(VLOOKUP(B2834,'DA1'!$B$2:$D$999999,3,FALSE),"")</f>
      </c>
      <c r="F2834" s="1" t="str">
        <f>IFERROR(VLOOKUP(B2834,'SB1'!$A$2:$C$999999,3,FALSE),"")</f>
        <v>503</v>
      </c>
      <c r="G2834" s="3" t="e">
        <f t="shared" si="100"/>
        <v>#VALUE!</v>
      </c>
      <c r="H2834" s="3" t="e">
        <f t="shared" si="99"/>
        <v>#VALUE!</v>
      </c>
      <c r="I2834" s="1">
        <v>1</v>
      </c>
    </row>
    <row r="2835" spans="1:9" x14ac:dyDescent="0.25">
      <c r="A2835" s="1" t="s">
        <v>14435</v>
      </c>
      <c r="B2835" s="1" t="s">
        <v>8111</v>
      </c>
      <c r="C2835" s="1" t="str">
        <f>IFERROR(VLOOKUP(B2835,'SB1'!$A$2:$B$999999,2,FALSE),"")</f>
        <v>CM-071 GRAFITO X 1 (DISCONTINUADO)</v>
      </c>
      <c r="D2835" s="1" t="s">
        <v>14454</v>
      </c>
      <c r="E2835" s="3">
        <f>IFERROR(VLOOKUP(B2835,'DA1'!$B$2:$D$999999,3,FALSE),"")</f>
      </c>
      <c r="F2835" s="1" t="str">
        <f>IFERROR(VLOOKUP(B2835,'SB1'!$A$2:$C$999999,3,FALSE),"")</f>
        <v>503</v>
      </c>
      <c r="G2835" s="3" t="e">
        <f t="shared" si="100"/>
        <v>#VALUE!</v>
      </c>
      <c r="H2835" s="3" t="e">
        <f t="shared" si="99"/>
        <v>#VALUE!</v>
      </c>
      <c r="I2835" s="1">
        <v>3</v>
      </c>
    </row>
    <row r="2836" spans="1:9" x14ac:dyDescent="0.25">
      <c r="A2836" s="1" t="s">
        <v>14435</v>
      </c>
      <c r="B2836" s="1" t="s">
        <v>8113</v>
      </c>
      <c r="C2836" s="1" t="str">
        <f>IFERROR(VLOOKUP(B2836,'SB1'!$A$2:$B$999999,2,FALSE),"")</f>
        <v>BARANDAS P/ANDAMIO MULTIUSO EQUUS</v>
      </c>
      <c r="D2836" s="1" t="s">
        <v>14493</v>
      </c>
      <c r="E2836" s="3">
        <f>IFERROR(VLOOKUP(B2836,'DA1'!$B$2:$D$999999,3,FALSE),"")</f>
      </c>
      <c r="F2836" s="1" t="str">
        <f>IFERROR(VLOOKUP(B2836,'SB1'!$A$2:$C$999999,3,FALSE),"")</f>
        <v>503</v>
      </c>
      <c r="G2836" s="3" t="e">
        <f t="shared" si="100"/>
        <v>#VALUE!</v>
      </c>
      <c r="H2836" s="3" t="e">
        <f t="shared" si="99"/>
        <v>#VALUE!</v>
      </c>
      <c r="I2836" s="1">
        <v>2</v>
      </c>
    </row>
    <row r="2837" spans="1:9" x14ac:dyDescent="0.25">
      <c r="A2837" s="1" t="s">
        <v>14435</v>
      </c>
      <c r="B2837" s="1" t="s">
        <v>8115</v>
      </c>
      <c r="C2837" s="1" t="str">
        <f>IFERROR(VLOOKUP(B2837,'SB1'!$A$2:$B$999999,2,FALSE),"")</f>
        <v>COLOR TEST ALBA LILA PRIMAVERAL X 0,030</v>
      </c>
      <c r="D2837" s="1" t="s">
        <v>14439</v>
      </c>
      <c r="E2837" s="3">
        <f>IFERROR(VLOOKUP(B2837,'DA1'!$B$2:$D$999999,3,FALSE),"")</f>
      </c>
      <c r="F2837" s="1" t="str">
        <f>IFERROR(VLOOKUP(B2837,'SB1'!$A$2:$C$999999,3,FALSE),"")</f>
        <v>503</v>
      </c>
      <c r="G2837" s="3" t="e">
        <f t="shared" si="100"/>
        <v>#VALUE!</v>
      </c>
      <c r="H2837" s="3" t="e">
        <f t="shared" si="99"/>
        <v>#VALUE!</v>
      </c>
      <c r="I2837" s="1">
        <v>1</v>
      </c>
    </row>
    <row r="2838" spans="1:9" x14ac:dyDescent="0.25">
      <c r="A2838" s="1" t="s">
        <v>14435</v>
      </c>
      <c r="B2838" s="1" t="s">
        <v>8117</v>
      </c>
      <c r="C2838" s="1" t="str">
        <f>IFERROR(VLOOKUP(B2838,'SB1'!$A$2:$B$999999,2,FALSE),"")</f>
        <v>COLOR TEST ALBA LUZ OXIDRICA X 0,030</v>
      </c>
      <c r="D2838" s="1" t="s">
        <v>14439</v>
      </c>
      <c r="E2838" s="3">
        <f>IFERROR(VLOOKUP(B2838,'DA1'!$B$2:$D$999999,3,FALSE),"")</f>
      </c>
      <c r="F2838" s="1" t="str">
        <f>IFERROR(VLOOKUP(B2838,'SB1'!$A$2:$C$999999,3,FALSE),"")</f>
        <v>503</v>
      </c>
      <c r="G2838" s="3" t="e">
        <f t="shared" si="100"/>
        <v>#VALUE!</v>
      </c>
      <c r="H2838" s="3" t="e">
        <f t="shared" si="99"/>
        <v>#VALUE!</v>
      </c>
      <c r="I2838" s="1">
        <v>1</v>
      </c>
    </row>
    <row r="2839" spans="1:9" x14ac:dyDescent="0.25">
      <c r="A2839" s="1" t="s">
        <v>14435</v>
      </c>
      <c r="B2839" s="1" t="s">
        <v>8119</v>
      </c>
      <c r="C2839" s="1" t="str">
        <f>IFERROR(VLOOKUP(B2839,'SB1'!$A$2:$B$999999,2,FALSE),"")</f>
        <v>COLOR TEST ALBA MAD AGRISADA X 0,030</v>
      </c>
      <c r="D2839" s="1" t="s">
        <v>14439</v>
      </c>
      <c r="E2839" s="3">
        <f>IFERROR(VLOOKUP(B2839,'DA1'!$B$2:$D$999999,3,FALSE),"")</f>
      </c>
      <c r="F2839" s="1" t="str">
        <f>IFERROR(VLOOKUP(B2839,'SB1'!$A$2:$C$999999,3,FALSE),"")</f>
        <v>503</v>
      </c>
      <c r="G2839" s="3" t="e">
        <f t="shared" si="100"/>
        <v>#VALUE!</v>
      </c>
      <c r="H2839" s="3" t="e">
        <f t="shared" si="99"/>
        <v>#VALUE!</v>
      </c>
      <c r="I2839" s="1">
        <v>1</v>
      </c>
    </row>
    <row r="2840" spans="1:9" x14ac:dyDescent="0.25">
      <c r="A2840" s="1" t="s">
        <v>14435</v>
      </c>
      <c r="B2840" s="1" t="s">
        <v>8121</v>
      </c>
      <c r="C2840" s="1" t="str">
        <f>IFERROR(VLOOKUP(B2840,'SB1'!$A$2:$B$999999,2,FALSE),"")</f>
        <v>COLOR TEST ALBA MALVA DE INVIERNO X 0,030</v>
      </c>
      <c r="D2840" s="1" t="s">
        <v>14439</v>
      </c>
      <c r="E2840" s="3">
        <f>IFERROR(VLOOKUP(B2840,'DA1'!$B$2:$D$999999,3,FALSE),"")</f>
      </c>
      <c r="F2840" s="1" t="str">
        <f>IFERROR(VLOOKUP(B2840,'SB1'!$A$2:$C$999999,3,FALSE),"")</f>
        <v>503</v>
      </c>
      <c r="G2840" s="3" t="e">
        <f t="shared" si="100"/>
        <v>#VALUE!</v>
      </c>
      <c r="H2840" s="3" t="e">
        <f t="shared" si="99"/>
        <v>#VALUE!</v>
      </c>
      <c r="I2840" s="1">
        <v>1</v>
      </c>
    </row>
    <row r="2841" spans="1:9" x14ac:dyDescent="0.25">
      <c r="A2841" s="1" t="s">
        <v>14435</v>
      </c>
      <c r="B2841" s="1" t="s">
        <v>8123</v>
      </c>
      <c r="C2841" s="1" t="str">
        <f>IFERROR(VLOOKUP(B2841,'SB1'!$A$2:$B$999999,2,FALSE),"")</f>
        <v>COLOR TEST ALBA MANDARINA DELICIOSA X 0,030</v>
      </c>
      <c r="D2841" s="1" t="s">
        <v>14439</v>
      </c>
      <c r="E2841" s="3">
        <f>IFERROR(VLOOKUP(B2841,'DA1'!$B$2:$D$999999,3,FALSE),"")</f>
      </c>
      <c r="F2841" s="1" t="str">
        <f>IFERROR(VLOOKUP(B2841,'SB1'!$A$2:$C$999999,3,FALSE),"")</f>
        <v>503</v>
      </c>
      <c r="G2841" s="3" t="e">
        <f t="shared" si="100"/>
        <v>#VALUE!</v>
      </c>
      <c r="H2841" s="3" t="e">
        <f t="shared" si="99"/>
        <v>#VALUE!</v>
      </c>
      <c r="I2841" s="1">
        <v>1</v>
      </c>
    </row>
    <row r="2842" spans="1:9" x14ac:dyDescent="0.25">
      <c r="A2842" s="1" t="s">
        <v>14435</v>
      </c>
      <c r="B2842" s="1" t="s">
        <v>8125</v>
      </c>
      <c r="C2842" s="1" t="str">
        <f>IFERROR(VLOOKUP(B2842,'SB1'!$A$2:$B$999999,2,FALSE),"")</f>
        <v>BOINA DE CORDERO 3D CON VELCRO 5"(K-WW5)</v>
      </c>
      <c r="D2842" s="1" t="s">
        <v>14499</v>
      </c>
      <c r="E2842" s="3">
        <f>IFERROR(VLOOKUP(B2842,'DA1'!$B$2:$D$999999,3,FALSE),"")</f>
      </c>
      <c r="F2842" s="1" t="str">
        <f>IFERROR(VLOOKUP(B2842,'SB1'!$A$2:$C$999999,3,FALSE),"")</f>
        <v>503</v>
      </c>
      <c r="G2842" s="3" t="e">
        <f t="shared" si="100"/>
        <v>#VALUE!</v>
      </c>
      <c r="H2842" s="3" t="e">
        <f t="shared" si="99"/>
        <v>#VALUE!</v>
      </c>
      <c r="I2842" s="1">
        <v>1</v>
      </c>
    </row>
    <row r="2843" spans="1:9" x14ac:dyDescent="0.25">
      <c r="A2843" s="1" t="s">
        <v>14435</v>
      </c>
      <c r="B2843" s="1" t="s">
        <v>8131</v>
      </c>
      <c r="C2843" s="1" t="str">
        <f>IFERROR(VLOOKUP(B2843,'SB1'!$A$2:$B$999999,2,FALSE),"")</f>
        <v>PAD ESPUMA AZUL 3D PAD BLUE FLEXIBLE FOAM 5.5  (K-80-B)</v>
      </c>
      <c r="D2843" s="1" t="s">
        <v>14499</v>
      </c>
      <c r="E2843" s="3">
        <f>IFERROR(VLOOKUP(B2843,'DA1'!$B$2:$D$999999,3,FALSE),"")</f>
      </c>
      <c r="F2843" s="1" t="str">
        <f>IFERROR(VLOOKUP(B2843,'SB1'!$A$2:$C$999999,3,FALSE),"")</f>
        <v>503</v>
      </c>
      <c r="G2843" s="3" t="e">
        <f t="shared" si="100"/>
        <v>#VALUE!</v>
      </c>
      <c r="H2843" s="3" t="e">
        <f t="shared" si="99"/>
        <v>#VALUE!</v>
      </c>
      <c r="I2843" s="1">
        <v>1</v>
      </c>
    </row>
    <row r="2844" spans="1:9" x14ac:dyDescent="0.25">
      <c r="A2844" s="1" t="s">
        <v>14435</v>
      </c>
      <c r="B2844" s="1" t="s">
        <v>8133</v>
      </c>
      <c r="C2844" s="1" t="str">
        <f>IFERROR(VLOOKUP(B2844,'SB1'!$A$2:$B$999999,2,FALSE),"")</f>
        <v>3D BOLSO MULT. P/HERRAMIENTAS/INSUMOS (J-063D)</v>
      </c>
      <c r="D2844" s="1" t="s">
        <v>14439</v>
      </c>
      <c r="E2844" s="3">
        <f>IFERROR(VLOOKUP(B2844,'DA1'!$B$2:$D$999999,3,FALSE),"")</f>
      </c>
      <c r="F2844" s="1" t="str">
        <f>IFERROR(VLOOKUP(B2844,'SB1'!$A$2:$C$999999,3,FALSE),"")</f>
        <v>503</v>
      </c>
      <c r="G2844" s="3" t="e">
        <f t="shared" si="100"/>
        <v>#VALUE!</v>
      </c>
      <c r="H2844" s="3" t="e">
        <f t="shared" si="99"/>
        <v>#VALUE!</v>
      </c>
      <c r="I2844" s="1">
        <v>1</v>
      </c>
    </row>
    <row r="2845" spans="1:8" x14ac:dyDescent="0.25">
      <c r="A2845" s="1" t="s">
        <v>14435</v>
      </c>
      <c r="B2845" s="1" t="s">
        <v>8137</v>
      </c>
      <c r="C2845" s="1" t="str">
        <f>IFERROR(VLOOKUP(B2845,'SB1'!$A$2:$B$999999,2,FALSE),"")</f>
        <v>PAD ESPUMA VIOLETA CORTE 3D DARK PURPLE FOAM CUTTING (K-55DP)</v>
      </c>
      <c r="D2845" s="1" t="s">
        <v>14439</v>
      </c>
      <c r="E2845" s="3">
        <f>IFERROR(VLOOKUP(B2845,'DA1'!$B$2:$D$999999,3,FALSE),"")</f>
      </c>
      <c r="F2845" s="1" t="str">
        <f>IFERROR(VLOOKUP(B2845,'SB1'!$A$2:$C$999999,3,FALSE),"")</f>
        <v>503</v>
      </c>
      <c r="G2845" s="3" t="e">
        <f t="shared" si="100"/>
        <v>#VALUE!</v>
      </c>
      <c r="H2845" s="3" t="e">
        <f t="shared" si="99"/>
        <v>#VALUE!</v>
      </c>
    </row>
    <row r="2846" spans="1:9" x14ac:dyDescent="0.25">
      <c r="A2846" s="1" t="s">
        <v>14435</v>
      </c>
      <c r="B2846" s="1" t="s">
        <v>8139</v>
      </c>
      <c r="C2846" s="1" t="str">
        <f>IFERROR(VLOOKUP(B2846,'SB1'!$A$2:$B$999999,2,FALSE),"")</f>
        <v>3D PAD DE ESPUMA PURPURA CLARO DE CORTE/FINALIZADO (K-55LP)</v>
      </c>
      <c r="D2846" s="1" t="s">
        <v>14439</v>
      </c>
      <c r="E2846" s="3">
        <f>IFERROR(VLOOKUP(B2846,'DA1'!$B$2:$D$999999,3,FALSE),"")</f>
      </c>
      <c r="F2846" s="1" t="str">
        <f>IFERROR(VLOOKUP(B2846,'SB1'!$A$2:$C$999999,3,FALSE),"")</f>
        <v>503</v>
      </c>
      <c r="G2846" s="3" t="e">
        <f t="shared" si="100"/>
        <v>#VALUE!</v>
      </c>
      <c r="H2846" s="3" t="e">
        <f t="shared" si="99"/>
        <v>#VALUE!</v>
      </c>
      <c r="I2846" s="1">
        <v>1</v>
      </c>
    </row>
    <row r="2847" spans="1:9" x14ac:dyDescent="0.25">
      <c r="A2847" s="1" t="s">
        <v>14435</v>
      </c>
      <c r="B2847" s="1" t="s">
        <v>8141</v>
      </c>
      <c r="C2847" s="1" t="str">
        <f>IFERROR(VLOOKUP(B2847,'SB1'!$A$2:$B$999999,2,FALSE),"")</f>
        <v>PAD ESPUMA NEGRO PULIDO/FINISH 3D 5.5 BLACK FOAM POLISHING(K-55BK)</v>
      </c>
      <c r="D2847" s="1" t="s">
        <v>14439</v>
      </c>
      <c r="E2847" s="3">
        <f>IFERROR(VLOOKUP(B2847,'DA1'!$B$2:$D$999999,3,FALSE),"")</f>
      </c>
      <c r="F2847" s="1" t="str">
        <f>IFERROR(VLOOKUP(B2847,'SB1'!$A$2:$C$999999,3,FALSE),"")</f>
        <v>503</v>
      </c>
      <c r="G2847" s="3" t="e">
        <f t="shared" si="100"/>
        <v>#VALUE!</v>
      </c>
      <c r="H2847" s="3" t="e">
        <f t="shared" si="99"/>
        <v>#VALUE!</v>
      </c>
      <c r="I2847" s="1">
        <v>1</v>
      </c>
    </row>
    <row r="2848" spans="1:9" x14ac:dyDescent="0.25">
      <c r="A2848" s="1" t="s">
        <v>14435</v>
      </c>
      <c r="B2848" s="1" t="s">
        <v>8149</v>
      </c>
      <c r="C2848" s="1" t="str">
        <f>IFERROR(VLOOKUP(B2848,'SB1'!$A$2:$B$999999,2,FALSE),"")</f>
        <v>CM-077 AMARILLO VERDOSO X 1</v>
      </c>
      <c r="D2848" s="1" t="s">
        <v>14454</v>
      </c>
      <c r="E2848" s="3">
        <f>IFERROR(VLOOKUP(B2848,'DA1'!$B$2:$D$999999,3,FALSE),"")</f>
      </c>
      <c r="F2848" s="1" t="str">
        <f>IFERROR(VLOOKUP(B2848,'SB1'!$A$2:$C$999999,3,FALSE),"")</f>
        <v>503</v>
      </c>
      <c r="G2848" s="3" t="e">
        <f t="shared" si="100"/>
        <v>#VALUE!</v>
      </c>
      <c r="H2848" s="3" t="e">
        <f t="shared" si="99"/>
        <v>#VALUE!</v>
      </c>
      <c r="I2848" s="1">
        <v>3</v>
      </c>
    </row>
    <row r="2849" spans="1:9" x14ac:dyDescent="0.25">
      <c r="A2849" s="1" t="s">
        <v>14435</v>
      </c>
      <c r="B2849" s="1" t="s">
        <v>8151</v>
      </c>
      <c r="C2849" s="1" t="str">
        <f>IFERROR(VLOOKUP(B2849,'SB1'!$A$2:$B$999999,2,FALSE),"")</f>
        <v>CM-078 NARANJA LIMPIO X 1</v>
      </c>
      <c r="D2849" s="1" t="s">
        <v>14454</v>
      </c>
      <c r="E2849" s="3">
        <f>IFERROR(VLOOKUP(B2849,'DA1'!$B$2:$D$999999,3,FALSE),"")</f>
      </c>
      <c r="F2849" s="1" t="str">
        <f>IFERROR(VLOOKUP(B2849,'SB1'!$A$2:$C$999999,3,FALSE),"")</f>
        <v>503</v>
      </c>
      <c r="G2849" s="3" t="e">
        <f t="shared" si="100"/>
        <v>#VALUE!</v>
      </c>
      <c r="H2849" s="3" t="e">
        <f t="shared" si="99"/>
        <v>#VALUE!</v>
      </c>
      <c r="I2849" s="1">
        <v>3</v>
      </c>
    </row>
    <row r="2850" spans="1:9" x14ac:dyDescent="0.25">
      <c r="A2850" s="1" t="s">
        <v>14435</v>
      </c>
      <c r="B2850" s="1" t="s">
        <v>8153</v>
      </c>
      <c r="C2850" s="1" t="str">
        <f>IFERROR(VLOOKUP(B2850,'SB1'!$A$2:$B$999999,2,FALSE),"")</f>
        <v>CM-118 DOLAR ALUMINIO X 1</v>
      </c>
      <c r="D2850" s="1" t="s">
        <v>14454</v>
      </c>
      <c r="E2850" s="3">
        <f>IFERROR(VLOOKUP(B2850,'DA1'!$B$2:$D$999999,3,FALSE),"")</f>
      </c>
      <c r="F2850" s="1" t="str">
        <f>IFERROR(VLOOKUP(B2850,'SB1'!$A$2:$C$999999,3,FALSE),"")</f>
        <v>503</v>
      </c>
      <c r="G2850" s="3" t="e">
        <f t="shared" si="100"/>
        <v>#VALUE!</v>
      </c>
      <c r="H2850" s="3" t="e">
        <f t="shared" si="99"/>
        <v>#VALUE!</v>
      </c>
      <c r="I2850" s="1">
        <v>3</v>
      </c>
    </row>
    <row r="2851" spans="1:9" x14ac:dyDescent="0.25">
      <c r="A2851" s="1" t="s">
        <v>14435</v>
      </c>
      <c r="B2851" s="1" t="s">
        <v>8161</v>
      </c>
      <c r="C2851" s="1" t="str">
        <f>IFERROR(VLOOKUP(B2851,'SB1'!$A$2:$B$999999,2,FALSE),"")</f>
        <v>ESMALTE POLIURETANO VARATHANE AL AGUA EXTERIOR BRILLANTE X 0,946(281910)</v>
      </c>
      <c r="D2851" s="1" t="s">
        <v>14501</v>
      </c>
      <c r="E2851" s="3">
        <f>IFERROR(VLOOKUP(B2851,'DA1'!$B$2:$D$999999,3,FALSE),"")</f>
      </c>
      <c r="F2851" s="1" t="str">
        <f>IFERROR(VLOOKUP(B2851,'SB1'!$A$2:$C$999999,3,FALSE),"")</f>
        <v>503</v>
      </c>
      <c r="G2851" s="3" t="e">
        <f t="shared" si="100"/>
        <v>#VALUE!</v>
      </c>
      <c r="H2851" s="3" t="e">
        <f t="shared" si="99"/>
        <v>#VALUE!</v>
      </c>
      <c r="I2851" s="1">
        <v>1</v>
      </c>
    </row>
    <row r="2852" spans="1:9" x14ac:dyDescent="0.25">
      <c r="A2852" s="1" t="s">
        <v>14435</v>
      </c>
      <c r="B2852" s="1" t="s">
        <v>8163</v>
      </c>
      <c r="C2852" s="1" t="str">
        <f>IFERROR(VLOOKUP(B2852,'SB1'!$A$2:$B$999999,2,FALSE),"")</f>
        <v>ESMALTE POLIURETANO VARATHANE AL AGUA EXTERIOR BRILLANTE X 3,785(281936)</v>
      </c>
      <c r="D2852" s="1" t="s">
        <v>14501</v>
      </c>
      <c r="E2852" s="3">
        <f>IFERROR(VLOOKUP(B2852,'DA1'!$B$2:$D$999999,3,FALSE),"")</f>
      </c>
      <c r="F2852" s="1" t="str">
        <f>IFERROR(VLOOKUP(B2852,'SB1'!$A$2:$C$999999,3,FALSE),"")</f>
        <v>503</v>
      </c>
      <c r="G2852" s="3" t="e">
        <f t="shared" si="100"/>
        <v>#VALUE!</v>
      </c>
      <c r="H2852" s="3" t="e">
        <f t="shared" si="99"/>
        <v>#VALUE!</v>
      </c>
      <c r="I2852" s="1">
        <v>1</v>
      </c>
    </row>
    <row r="2853" spans="1:9" x14ac:dyDescent="0.25">
      <c r="A2853" s="1" t="s">
        <v>14435</v>
      </c>
      <c r="B2853" s="1" t="s">
        <v>8165</v>
      </c>
      <c r="C2853" s="1" t="str">
        <f>IFERROR(VLOOKUP(B2853,'SB1'!$A$2:$B$999999,2,FALSE),"")</f>
        <v>ESMALTE POLIURETANO VARATHANE AL AGUA EXTERIOR SATINADO X 0,946 (281912)</v>
      </c>
      <c r="D2853" s="1" t="s">
        <v>14501</v>
      </c>
      <c r="E2853" s="3">
        <f>IFERROR(VLOOKUP(B2853,'DA1'!$B$2:$D$999999,3,FALSE),"")</f>
      </c>
      <c r="F2853" s="1" t="str">
        <f>IFERROR(VLOOKUP(B2853,'SB1'!$A$2:$C$999999,3,FALSE),"")</f>
        <v>503</v>
      </c>
      <c r="G2853" s="3" t="e">
        <f t="shared" si="100"/>
        <v>#VALUE!</v>
      </c>
      <c r="H2853" s="3" t="e">
        <f t="shared" si="99"/>
        <v>#VALUE!</v>
      </c>
      <c r="I2853" s="1">
        <v>1</v>
      </c>
    </row>
    <row r="2854" spans="1:9" x14ac:dyDescent="0.25">
      <c r="A2854" s="1" t="s">
        <v>14435</v>
      </c>
      <c r="B2854" s="1" t="s">
        <v>8167</v>
      </c>
      <c r="C2854" s="1" t="str">
        <f>IFERROR(VLOOKUP(B2854,'SB1'!$A$2:$B$999999,2,FALSE),"")</f>
        <v>ESMALTE POLIURETANO VARATHANE AL AGUA EXTERIOR SATINADO X 3,785 (281938)</v>
      </c>
      <c r="D2854" s="1" t="s">
        <v>14501</v>
      </c>
      <c r="E2854" s="3">
        <f>IFERROR(VLOOKUP(B2854,'DA1'!$B$2:$D$999999,3,FALSE),"")</f>
      </c>
      <c r="F2854" s="1" t="str">
        <f>IFERROR(VLOOKUP(B2854,'SB1'!$A$2:$C$999999,3,FALSE),"")</f>
        <v>503</v>
      </c>
      <c r="G2854" s="3" t="e">
        <f t="shared" si="100"/>
        <v>#VALUE!</v>
      </c>
      <c r="H2854" s="3" t="e">
        <f t="shared" si="99"/>
        <v>#VALUE!</v>
      </c>
      <c r="I2854" s="1">
        <v>1</v>
      </c>
    </row>
    <row r="2855" spans="1:9" x14ac:dyDescent="0.25">
      <c r="A2855" s="1" t="s">
        <v>14435</v>
      </c>
      <c r="B2855" s="1" t="s">
        <v>8173</v>
      </c>
      <c r="C2855" s="1" t="str">
        <f>IFERROR(VLOOKUP(B2855,'SB1'!$A$2:$B$999999,2,FALSE),"")</f>
        <v>DILUYENTE PARA PILETA Y DEMARCACION VIAL X  18</v>
      </c>
      <c r="D2855" s="1" t="s">
        <v>14472</v>
      </c>
      <c r="E2855" s="3">
        <f>IFERROR(VLOOKUP(B2855,'DA1'!$B$2:$D$999999,3,FALSE),"")</f>
      </c>
      <c r="F2855" s="1" t="str">
        <f>IFERROR(VLOOKUP(B2855,'SB1'!$A$2:$C$999999,3,FALSE),"")</f>
        <v>503</v>
      </c>
      <c r="G2855" s="3" t="e">
        <f t="shared" si="100"/>
        <v>#VALUE!</v>
      </c>
      <c r="H2855" s="3" t="e">
        <f t="shared" si="99"/>
        <v>#VALUE!</v>
      </c>
      <c r="I2855" s="1">
        <v>1</v>
      </c>
    </row>
    <row r="2856" spans="1:9" x14ac:dyDescent="0.25">
      <c r="A2856" s="1" t="s">
        <v>14435</v>
      </c>
      <c r="B2856" s="1" t="s">
        <v>8175</v>
      </c>
      <c r="C2856" s="1" t="str">
        <f>IFERROR(VLOOKUP(B2856,'SB1'!$A$2:$B$999999,2,FALSE),"")</f>
        <v>DILUYENTE PARA PILETA Y DEMARCACION VIAL X 200</v>
      </c>
      <c r="D2856" s="1" t="s">
        <v>14472</v>
      </c>
      <c r="E2856" s="3">
        <f>IFERROR(VLOOKUP(B2856,'DA1'!$B$2:$D$999999,3,FALSE),"")</f>
      </c>
      <c r="F2856" s="1" t="str">
        <f>IFERROR(VLOOKUP(B2856,'SB1'!$A$2:$C$999999,3,FALSE),"")</f>
        <v>503</v>
      </c>
      <c r="G2856" s="3" t="e">
        <f t="shared" si="100"/>
        <v>#VALUE!</v>
      </c>
      <c r="H2856" s="3" t="e">
        <f t="shared" si="99"/>
        <v>#VALUE!</v>
      </c>
      <c r="I2856" s="1">
        <v>1</v>
      </c>
    </row>
    <row r="2857" spans="1:9" x14ac:dyDescent="0.25">
      <c r="A2857" s="1" t="s">
        <v>14435</v>
      </c>
      <c r="B2857" s="1" t="s">
        <v>8177</v>
      </c>
      <c r="C2857" s="1" t="str">
        <f>IFERROR(VLOOKUP(B2857,'SB1'!$A$2:$B$999999,2,FALSE),"")</f>
        <v>CX-14 3B EFEITO VERDE LUMINOSO X 0 33</v>
      </c>
      <c r="D2857" s="1" t="s">
        <v>14454</v>
      </c>
      <c r="E2857" s="3">
        <f>IFERROR(VLOOKUP(B2857,'DA1'!$B$2:$D$999999,3,FALSE),"")</f>
      </c>
      <c r="F2857" s="1" t="str">
        <f>IFERROR(VLOOKUP(B2857,'SB1'!$A$2:$C$999999,3,FALSE),"")</f>
        <v>503</v>
      </c>
      <c r="G2857" s="3" t="e">
        <f t="shared" si="100"/>
        <v>#VALUE!</v>
      </c>
      <c r="H2857" s="3" t="e">
        <f t="shared" si="99"/>
        <v>#VALUE!</v>
      </c>
      <c r="I2857" s="1">
        <v>3</v>
      </c>
    </row>
    <row r="2858" spans="1:9" x14ac:dyDescent="0.25">
      <c r="A2858" s="1" t="s">
        <v>14435</v>
      </c>
      <c r="B2858" s="1" t="s">
        <v>8179</v>
      </c>
      <c r="C2858" s="1" t="str">
        <f>IFERROR(VLOOKUP(B2858,'SB1'!$A$2:$B$999999,2,FALSE),"")</f>
        <v>CINTA DE CAUCHO AUTOADHESIVA PLAVICON RAPIPARCHE NEGRO 10X150</v>
      </c>
      <c r="D2858" s="1" t="s">
        <v>14458</v>
      </c>
      <c r="E2858" s="3">
        <f>IFERROR(VLOOKUP(B2858,'DA1'!$B$2:$D$999999,3,FALSE),"")</f>
      </c>
      <c r="F2858" s="1" t="str">
        <f>IFERROR(VLOOKUP(B2858,'SB1'!$A$2:$C$999999,3,FALSE),"")</f>
        <v>503</v>
      </c>
      <c r="G2858" s="3" t="e">
        <f t="shared" si="100"/>
        <v>#VALUE!</v>
      </c>
      <c r="H2858" s="3" t="e">
        <f t="shared" ref="H2858:H2876" si="101">G2858*1.21</f>
        <v>#VALUE!</v>
      </c>
      <c r="I2858" s="1">
        <v>1</v>
      </c>
    </row>
    <row r="2859" spans="1:9" x14ac:dyDescent="0.25">
      <c r="A2859" s="1" t="s">
        <v>14435</v>
      </c>
      <c r="B2859" s="1" t="s">
        <v>8183</v>
      </c>
      <c r="C2859" s="1" t="str">
        <f>IFERROR(VLOOKUP(B2859,'SB1'!$A$2:$B$999999,2,FALSE),"")</f>
        <v>CINTA DE CAUCHO AUTOADHESIVA PLAVICON RAPIPARCHE TRANSPARENTE 10X150</v>
      </c>
      <c r="D2859" s="1" t="s">
        <v>14458</v>
      </c>
      <c r="E2859" s="3">
        <f>IFERROR(VLOOKUP(B2859,'DA1'!$B$2:$D$999999,3,FALSE),"")</f>
      </c>
      <c r="F2859" s="1" t="str">
        <f>IFERROR(VLOOKUP(B2859,'SB1'!$A$2:$C$999999,3,FALSE),"")</f>
        <v>503</v>
      </c>
      <c r="G2859" s="3" t="e">
        <f t="shared" si="100"/>
        <v>#VALUE!</v>
      </c>
      <c r="H2859" s="3" t="e">
        <f t="shared" si="101"/>
        <v>#VALUE!</v>
      </c>
      <c r="I2859" s="1">
        <v>1</v>
      </c>
    </row>
    <row r="2860" spans="1:9" x14ac:dyDescent="0.25">
      <c r="A2860" s="1" t="s">
        <v>14435</v>
      </c>
      <c r="B2860" s="1" t="s">
        <v>8197</v>
      </c>
      <c r="C2860" s="1" t="str">
        <f>IFERROR(VLOOKUP(B2860,'SB1'!$A$2:$B$999999,2,FALSE),"")</f>
        <v>REVESTIMIENTO TEXTURADO ALBA PETREO CLASSIC PARIS X  6</v>
      </c>
      <c r="D2860" s="1" t="s">
        <v>14439</v>
      </c>
      <c r="E2860" s="3">
        <f>IFERROR(VLOOKUP(B2860,'DA1'!$B$2:$D$999999,3,FALSE),"")</f>
      </c>
      <c r="F2860" s="1" t="str">
        <f>IFERROR(VLOOKUP(B2860,'SB1'!$A$2:$C$999999,3,FALSE),"")</f>
        <v>503</v>
      </c>
      <c r="G2860" s="3" t="e">
        <f t="shared" si="100"/>
        <v>#VALUE!</v>
      </c>
      <c r="H2860" s="3" t="e">
        <f t="shared" si="101"/>
        <v>#VALUE!</v>
      </c>
      <c r="I2860" s="1">
        <v>1</v>
      </c>
    </row>
    <row r="2861" spans="1:9" x14ac:dyDescent="0.25">
      <c r="A2861" s="1" t="s">
        <v>14435</v>
      </c>
      <c r="B2861" s="1" t="s">
        <v>8199</v>
      </c>
      <c r="C2861" s="1" t="str">
        <f>IFERROR(VLOOKUP(B2861,'SB1'!$A$2:$B$999999,2,FALSE),"")</f>
        <v>REVESTIMIENTO TEXTURADO ALBA PETREO CLASSIC PARIS X 30</v>
      </c>
      <c r="D2861" s="1" t="s">
        <v>14439</v>
      </c>
      <c r="E2861" s="3">
        <f>IFERROR(VLOOKUP(B2861,'DA1'!$B$2:$D$999999,3,FALSE),"")</f>
      </c>
      <c r="F2861" s="1" t="str">
        <f>IFERROR(VLOOKUP(B2861,'SB1'!$A$2:$C$999999,3,FALSE),"")</f>
        <v>503</v>
      </c>
      <c r="G2861" s="3" t="e">
        <f t="shared" si="100"/>
        <v>#VALUE!</v>
      </c>
      <c r="H2861" s="3" t="e">
        <f t="shared" si="101"/>
        <v>#VALUE!</v>
      </c>
      <c r="I2861" s="1">
        <v>1</v>
      </c>
    </row>
    <row r="2862" spans="1:9" x14ac:dyDescent="0.25">
      <c r="A2862" s="1" t="s">
        <v>14435</v>
      </c>
      <c r="B2862" s="1" t="s">
        <v>8215</v>
      </c>
      <c r="C2862" s="1" t="str">
        <f>IFERROR(VLOOKUP(B2862,'SB1'!$A$2:$B$999999,2,FALSE),"")</f>
        <v>ESMALTE EPOXI TERSUAVE INDULAC BERMELLON X 20</v>
      </c>
      <c r="D2862" s="1" t="s">
        <v>14487</v>
      </c>
      <c r="E2862" s="3">
        <f>IFERROR(VLOOKUP(B2862,'DA1'!$B$2:$D$999999,3,FALSE),"")</f>
      </c>
      <c r="F2862" s="1" t="str">
        <f>IFERROR(VLOOKUP(B2862,'SB1'!$A$2:$C$999999,3,FALSE),"")</f>
        <v>503</v>
      </c>
      <c r="G2862" s="3" t="e">
        <f t="shared" si="100"/>
        <v>#VALUE!</v>
      </c>
      <c r="H2862" s="3" t="e">
        <f t="shared" si="101"/>
        <v>#VALUE!</v>
      </c>
      <c r="I2862" s="1">
        <v>1</v>
      </c>
    </row>
    <row r="2863" spans="1:9" x14ac:dyDescent="0.25">
      <c r="A2863" s="1" t="s">
        <v>14435</v>
      </c>
      <c r="B2863" s="1" t="s">
        <v>8229</v>
      </c>
      <c r="C2863" s="1" t="str">
        <f>IFERROR(VLOOKUP(B2863,'SB1'!$A$2:$B$999999,2,FALSE),"")</f>
        <v>DILUYENTE 20-05 X 20</v>
      </c>
      <c r="D2863" s="1" t="s">
        <v>14484</v>
      </c>
      <c r="E2863" s="3">
        <f>IFERROR(VLOOKUP(B2863,'DA1'!$B$2:$D$999999,3,FALSE),"")</f>
      </c>
      <c r="F2863" s="1" t="str">
        <f>IFERROR(VLOOKUP(B2863,'SB1'!$A$2:$C$999999,3,FALSE),"")</f>
        <v>503</v>
      </c>
      <c r="G2863" s="3" t="e">
        <f t="shared" si="100"/>
        <v>#VALUE!</v>
      </c>
      <c r="H2863" s="3" t="e">
        <f t="shared" si="101"/>
        <v>#VALUE!</v>
      </c>
      <c r="I2863" s="1">
        <v>3</v>
      </c>
    </row>
    <row r="2864" spans="1:9" x14ac:dyDescent="0.25">
      <c r="A2864" s="1" t="s">
        <v>14435</v>
      </c>
      <c r="B2864" s="1" t="s">
        <v>8231</v>
      </c>
      <c r="C2864" s="1" t="str">
        <f>IFERROR(VLOOKUP(B2864,'SB1'!$A$2:$B$999999,2,FALSE),"")</f>
        <v>SIGMATHERM 500 X 5</v>
      </c>
      <c r="D2864" s="1" t="s">
        <v>14484</v>
      </c>
      <c r="E2864" s="3">
        <f>IFERROR(VLOOKUP(B2864,'DA1'!$B$2:$D$999999,3,FALSE),"")</f>
      </c>
      <c r="F2864" s="1" t="str">
        <f>IFERROR(VLOOKUP(B2864,'SB1'!$A$2:$C$999999,3,FALSE),"")</f>
        <v>503</v>
      </c>
      <c r="G2864" s="3" t="e">
        <f t="shared" si="100"/>
        <v>#VALUE!</v>
      </c>
      <c r="H2864" s="3" t="e">
        <f t="shared" si="101"/>
        <v>#VALUE!</v>
      </c>
      <c r="I2864" s="1">
        <v>3</v>
      </c>
    </row>
    <row r="2865" spans="1:9" x14ac:dyDescent="0.25">
      <c r="A2865" s="1" t="s">
        <v>14435</v>
      </c>
      <c r="B2865" s="1" t="s">
        <v>8233</v>
      </c>
      <c r="C2865" s="1" t="str">
        <f>IFERROR(VLOOKUP(B2865,'SB1'!$A$2:$B$999999,2,FALSE),"")</f>
        <v>SIGMASHIELD 880 BAS GREY (BAS15+HRD5) X 20</v>
      </c>
      <c r="D2865" s="1" t="s">
        <v>14484</v>
      </c>
      <c r="E2865" s="3">
        <f>IFERROR(VLOOKUP(B2865,'DA1'!$B$2:$D$999999,3,FALSE),"")</f>
      </c>
      <c r="F2865" s="1" t="str">
        <f>IFERROR(VLOOKUP(B2865,'SB1'!$A$2:$C$999999,3,FALSE),"")</f>
        <v>503</v>
      </c>
      <c r="G2865" s="3" t="e">
        <f t="shared" si="100"/>
        <v>#VALUE!</v>
      </c>
      <c r="H2865" s="3" t="e">
        <f t="shared" si="101"/>
        <v>#VALUE!</v>
      </c>
      <c r="I2865" s="1">
        <v>3</v>
      </c>
    </row>
    <row r="2866" spans="1:9" x14ac:dyDescent="0.25">
      <c r="A2866" s="1" t="s">
        <v>14435</v>
      </c>
      <c r="B2866" s="1" t="s">
        <v>8251</v>
      </c>
      <c r="C2866" s="1" t="str">
        <f>IFERROR(VLOOKUP(B2866,'SB1'!$A$2:$B$999999,2,FALSE),"")</f>
        <v>SELLADOR AUTOMOTRIZ PARABRISA PU BLANCO X 0,400</v>
      </c>
      <c r="D2866" s="1" t="s">
        <v>14464</v>
      </c>
      <c r="E2866" s="3">
        <f>IFERROR(VLOOKUP(B2866,'DA1'!$B$2:$D$999999,3,FALSE),"")</f>
      </c>
      <c r="F2866" s="1" t="str">
        <f>IFERROR(VLOOKUP(B2866,'SB1'!$A$2:$C$999999,3,FALSE),"")</f>
        <v>503</v>
      </c>
      <c r="G2866" s="3" t="e">
        <f t="shared" si="100"/>
        <v>#VALUE!</v>
      </c>
      <c r="H2866" s="3" t="e">
        <f t="shared" si="101"/>
        <v>#VALUE!</v>
      </c>
      <c r="I2866" s="1">
        <v>1</v>
      </c>
    </row>
    <row r="2867" spans="1:9" x14ac:dyDescent="0.25">
      <c r="A2867" s="1" t="s">
        <v>14435</v>
      </c>
      <c r="B2867" s="1" t="s">
        <v>8253</v>
      </c>
      <c r="C2867" s="1" t="str">
        <f>IFERROR(VLOOKUP(B2867,'SB1'!$A$2:$B$999999,2,FALSE),"")</f>
        <v>SELL. AUTO. CARRO. PU GRIS X 0,400</v>
      </c>
      <c r="D2867" s="1" t="s">
        <v>14464</v>
      </c>
      <c r="E2867" s="3">
        <f>IFERROR(VLOOKUP(B2867,'DA1'!$B$2:$D$999999,3,FALSE),"")</f>
      </c>
      <c r="F2867" s="1" t="str">
        <f>IFERROR(VLOOKUP(B2867,'SB1'!$A$2:$C$999999,3,FALSE),"")</f>
        <v>503</v>
      </c>
      <c r="G2867" s="3" t="e">
        <f t="shared" si="100"/>
        <v>#VALUE!</v>
      </c>
      <c r="H2867" s="3" t="e">
        <f t="shared" si="101"/>
        <v>#VALUE!</v>
      </c>
      <c r="I2867" s="1">
        <v>1</v>
      </c>
    </row>
    <row r="2868" spans="1:9" x14ac:dyDescent="0.25">
      <c r="A2868" s="1" t="s">
        <v>14435</v>
      </c>
      <c r="B2868" s="1" t="s">
        <v>8255</v>
      </c>
      <c r="C2868" s="1" t="str">
        <f>IFERROR(VLOOKUP(B2868,'SB1'!$A$2:$B$999999,2,FALSE),"")</f>
        <v>SELLADOR AUTOMOTRIZ CARROCERIA PU BLANCO X 0,400</v>
      </c>
      <c r="D2868" s="1" t="s">
        <v>14464</v>
      </c>
      <c r="E2868" s="3">
        <f>IFERROR(VLOOKUP(B2868,'DA1'!$B$2:$D$999999,3,FALSE),"")</f>
      </c>
      <c r="F2868" s="1" t="str">
        <f>IFERROR(VLOOKUP(B2868,'SB1'!$A$2:$C$999999,3,FALSE),"")</f>
        <v>503</v>
      </c>
      <c r="G2868" s="3" t="e">
        <f t="shared" si="100"/>
        <v>#VALUE!</v>
      </c>
      <c r="H2868" s="3" t="e">
        <f t="shared" si="101"/>
        <v>#VALUE!</v>
      </c>
      <c r="I2868" s="1">
        <v>1</v>
      </c>
    </row>
    <row r="2869" spans="1:9" x14ac:dyDescent="0.25">
      <c r="A2869" s="1" t="s">
        <v>14435</v>
      </c>
      <c r="B2869" s="1" t="s">
        <v>8257</v>
      </c>
      <c r="C2869" s="1" t="str">
        <f>IFERROR(VLOOKUP(B2869,'SB1'!$A$2:$B$999999,2,FALSE),"")</f>
        <v>ADAPTADOR PARA RUEDA DE REMOCION DE ADHESIVO</v>
      </c>
      <c r="D2869" s="1" t="s">
        <v>14464</v>
      </c>
      <c r="E2869" s="3">
        <f>IFERROR(VLOOKUP(B2869,'DA1'!$B$2:$D$999999,3,FALSE),"")</f>
      </c>
      <c r="F2869" s="1" t="str">
        <f>IFERROR(VLOOKUP(B2869,'SB1'!$A$2:$C$999999,3,FALSE),"")</f>
        <v>503</v>
      </c>
      <c r="G2869" s="3" t="e">
        <f t="shared" si="100"/>
        <v>#VALUE!</v>
      </c>
      <c r="H2869" s="3" t="e">
        <f t="shared" si="101"/>
        <v>#VALUE!</v>
      </c>
      <c r="I2869" s="1">
        <v>1</v>
      </c>
    </row>
    <row r="2870" spans="1:9" x14ac:dyDescent="0.25">
      <c r="A2870" s="1" t="s">
        <v>14435</v>
      </c>
      <c r="B2870" s="1" t="s">
        <v>8271</v>
      </c>
      <c r="C2870" s="1" t="str">
        <f>IFERROR(VLOOKUP(B2870,'SB1'!$A$2:$B$999999,2,FALSE),"")</f>
        <v>TAZA MEDIDORA RIGIDA NORTON PSN 8/250</v>
      </c>
      <c r="D2870" s="1" t="s">
        <v>14439</v>
      </c>
      <c r="E2870" s="3">
        <f>IFERROR(VLOOKUP(B2870,'DA1'!$B$2:$D$999999,3,FALSE),"")</f>
      </c>
      <c r="F2870" s="1" t="str">
        <f>IFERROR(VLOOKUP(B2870,'SB1'!$A$2:$C$999999,3,FALSE),"")</f>
        <v>503</v>
      </c>
      <c r="G2870" s="3" t="e">
        <f t="shared" si="100"/>
        <v>#VALUE!</v>
      </c>
      <c r="H2870" s="3" t="e">
        <f t="shared" si="101"/>
        <v>#VALUE!</v>
      </c>
      <c r="I2870" s="1">
        <v>1</v>
      </c>
    </row>
    <row r="2871" spans="1:9" x14ac:dyDescent="0.25">
      <c r="A2871" s="1" t="s">
        <v>14435</v>
      </c>
      <c r="B2871" s="1" t="s">
        <v>8273</v>
      </c>
      <c r="C2871" s="1" t="str">
        <f>IFERROR(VLOOKUP(B2871,'SB1'!$A$2:$B$999999,2,FALSE),"")</f>
        <v>TAZA MEDIDORA RIGIDA NORTON PSN 25/750</v>
      </c>
      <c r="D2871" s="1" t="s">
        <v>14439</v>
      </c>
      <c r="E2871" s="3">
        <f>IFERROR(VLOOKUP(B2871,'DA1'!$B$2:$D$999999,3,FALSE),"")</f>
      </c>
      <c r="F2871" s="1" t="str">
        <f>IFERROR(VLOOKUP(B2871,'SB1'!$A$2:$C$999999,3,FALSE),"")</f>
        <v>503</v>
      </c>
      <c r="G2871" s="3" t="e">
        <f t="shared" si="100"/>
        <v>#VALUE!</v>
      </c>
      <c r="H2871" s="3" t="e">
        <f t="shared" si="101"/>
        <v>#VALUE!</v>
      </c>
      <c r="I2871" s="1">
        <v>1</v>
      </c>
    </row>
    <row r="2872" spans="1:9" x14ac:dyDescent="0.25">
      <c r="A2872" s="1" t="s">
        <v>14435</v>
      </c>
      <c r="B2872" s="1" t="s">
        <v>8275</v>
      </c>
      <c r="C2872" s="1" t="str">
        <f>IFERROR(VLOOKUP(B2872,'SB1'!$A$2:$B$999999,2,FALSE),"")</f>
        <v>TAZA MEDIDORA RIGIDA NORTON PSN 32/950</v>
      </c>
      <c r="D2872" s="1" t="s">
        <v>14464</v>
      </c>
      <c r="E2872" s="3">
        <f>IFERROR(VLOOKUP(B2872,'DA1'!$B$2:$D$999999,3,FALSE),"")</f>
      </c>
      <c r="F2872" s="1" t="str">
        <f>IFERROR(VLOOKUP(B2872,'SB1'!$A$2:$C$999999,3,FALSE),"")</f>
        <v>503</v>
      </c>
      <c r="G2872" s="3" t="e">
        <f t="shared" si="100"/>
        <v>#VALUE!</v>
      </c>
      <c r="H2872" s="3" t="e">
        <f t="shared" si="101"/>
        <v>#VALUE!</v>
      </c>
      <c r="I2872" s="1">
        <v>1</v>
      </c>
    </row>
    <row r="2873" spans="1:9" x14ac:dyDescent="0.25">
      <c r="A2873" s="1" t="s">
        <v>14435</v>
      </c>
      <c r="B2873" s="1" t="s">
        <v>8281</v>
      </c>
      <c r="C2873" s="1" t="str">
        <f>IFERROR(VLOOKUP(B2873,'SB1'!$A$2:$B$999999,2,FALSE),"")</f>
        <v>TINTA PARA MADERA VARATHANE BLANCO ANTIGUO X 0,237(315204)</v>
      </c>
      <c r="D2873" s="1" t="s">
        <v>14439</v>
      </c>
      <c r="E2873" s="3">
        <f>IFERROR(VLOOKUP(B2873,'DA1'!$B$2:$D$999999,3,FALSE),"")</f>
      </c>
      <c r="F2873" s="1" t="str">
        <f>IFERROR(VLOOKUP(B2873,'SB1'!$A$2:$C$999999,3,FALSE),"")</f>
        <v>503</v>
      </c>
      <c r="G2873" s="3" t="e">
        <f t="shared" si="100"/>
        <v>#VALUE!</v>
      </c>
      <c r="H2873" s="3" t="e">
        <f t="shared" si="101"/>
        <v>#VALUE!</v>
      </c>
      <c r="I2873" s="1">
        <v>1</v>
      </c>
    </row>
    <row r="2874" spans="1:9" x14ac:dyDescent="0.25">
      <c r="A2874" s="1" t="s">
        <v>14435</v>
      </c>
      <c r="B2874" s="1" t="s">
        <v>8283</v>
      </c>
      <c r="C2874" s="1" t="str">
        <f>IFERROR(VLOOKUP(B2874,'SB1'!$A$2:$B$999999,2,FALSE),"")</f>
        <v>TINTA PARA MADERA VARATHANE AZUL DESTENIDO X 0,237(315205)</v>
      </c>
      <c r="D2874" s="1" t="s">
        <v>14501</v>
      </c>
      <c r="E2874" s="3">
        <f>IFERROR(VLOOKUP(B2874,'DA1'!$B$2:$D$999999,3,FALSE),"")</f>
      </c>
      <c r="F2874" s="1" t="str">
        <f>IFERROR(VLOOKUP(B2874,'SB1'!$A$2:$C$999999,3,FALSE),"")</f>
        <v>503</v>
      </c>
      <c r="G2874" s="3" t="e">
        <f t="shared" si="100"/>
        <v>#VALUE!</v>
      </c>
      <c r="H2874" s="3" t="e">
        <f t="shared" si="101"/>
        <v>#VALUE!</v>
      </c>
      <c r="I2874" s="1">
        <v>1</v>
      </c>
    </row>
    <row r="2875" spans="1:9" x14ac:dyDescent="0.25">
      <c r="A2875" s="1" t="s">
        <v>14435</v>
      </c>
      <c r="B2875" s="1" t="s">
        <v>8285</v>
      </c>
      <c r="C2875" s="1" t="str">
        <f>IFERROR(VLOOKUP(B2875,'SB1'!$A$2:$B$999999,2,FALSE),"")</f>
        <v>TINTA PARA MADERA VARATHANE CELESTE VINTAGE X 0,237(315206)</v>
      </c>
      <c r="D2875" s="1" t="s">
        <v>14501</v>
      </c>
      <c r="E2875" s="3">
        <f>IFERROR(VLOOKUP(B2875,'DA1'!$B$2:$D$999999,3,FALSE),"")</f>
      </c>
      <c r="F2875" s="1" t="str">
        <f>IFERROR(VLOOKUP(B2875,'SB1'!$A$2:$C$999999,3,FALSE),"")</f>
        <v>503</v>
      </c>
      <c r="G2875" s="3" t="e">
        <f t="shared" si="100"/>
        <v>#VALUE!</v>
      </c>
      <c r="H2875" s="3" t="e">
        <f t="shared" si="101"/>
        <v>#VALUE!</v>
      </c>
      <c r="I2875" s="1">
        <v>1</v>
      </c>
    </row>
    <row r="2876" spans="1:9" x14ac:dyDescent="0.25">
      <c r="A2876" s="1" t="s">
        <v>14435</v>
      </c>
      <c r="B2876" s="1" t="s">
        <v>8289</v>
      </c>
      <c r="C2876" s="1" t="str">
        <f>IFERROR(VLOOKUP(B2876,'SB1'!$A$2:$B$999999,2,FALSE),"")</f>
        <v>ESTABILIZADORES ANDAMIO MULTIUSO EQUUS</v>
      </c>
      <c r="D2876" s="1" t="s">
        <v>14493</v>
      </c>
      <c r="E2876" s="3">
        <f>IFERROR(VLOOKUP(B2876,'DA1'!$B$2:$D$999999,3,FALSE),"")</f>
      </c>
      <c r="F2876" s="1" t="str">
        <f>IFERROR(VLOOKUP(B2876,'SB1'!$A$2:$C$999999,3,FALSE),"")</f>
        <v>503</v>
      </c>
      <c r="G2876" s="3" t="e">
        <f t="shared" si="100"/>
        <v>#VALUE!</v>
      </c>
      <c r="H2876" s="3" t="e">
        <f t="shared" si="101"/>
        <v>#VALUE!</v>
      </c>
      <c r="I2876" s="1">
        <v>2</v>
      </c>
    </row>
    <row r="2877" spans="1:9" x14ac:dyDescent="0.25">
      <c r="A2877" s="1" t="s">
        <v>14435</v>
      </c>
      <c r="B2877" s="1" t="s">
        <v>8293</v>
      </c>
      <c r="C2877" s="1" t="str">
        <f>IFERROR(VLOOKUP(B2877,'SB1'!$A$2:$B$999999,2,FALSE),"")</f>
        <v>PULIDORA 3D ROTO ORBITAL (L-35)</v>
      </c>
      <c r="D2877" s="1" t="s">
        <v>14499</v>
      </c>
      <c r="E2877" s="3">
        <f>IFERROR(VLOOKUP(B2877,'DA1'!$B$2:$D$999999,3,FALSE),"")</f>
      </c>
      <c r="F2877" s="1" t="str">
        <f>IFERROR(VLOOKUP(B2877,'SB1'!$A$2:$C$999999,3,FALSE),"")</f>
        <v>501</v>
      </c>
      <c r="G2877" s="3" t="e">
        <f t="shared" si="100"/>
        <v>#VALUE!</v>
      </c>
      <c r="H2877" s="3" t="e">
        <f>G2877*1.105</f>
        <v>#VALUE!</v>
      </c>
      <c r="I2877" s="1">
        <v>1</v>
      </c>
    </row>
    <row r="2878" spans="1:9" x14ac:dyDescent="0.25">
      <c r="A2878" s="1" t="s">
        <v>14435</v>
      </c>
      <c r="B2878" s="1" t="s">
        <v>8297</v>
      </c>
      <c r="C2878" s="1" t="str">
        <f>IFERROR(VLOOKUP(B2878,'SB1'!$A$2:$B$999999,2,FALSE),"")</f>
        <v>IMPERMEABILIZANTE PARA TECHOS DURALBA FIBRADO SATINADO BLANCO X  1</v>
      </c>
      <c r="D2878" s="1" t="s">
        <v>14439</v>
      </c>
      <c r="E2878" s="3">
        <f>IFERROR(VLOOKUP(B2878,'DA1'!$B$2:$D$999999,3,FALSE),"")</f>
      </c>
      <c r="F2878" s="1" t="str">
        <f>IFERROR(VLOOKUP(B2878,'SB1'!$A$2:$C$999999,3,FALSE),"")</f>
        <v>503</v>
      </c>
      <c r="G2878" s="3" t="e">
        <f t="shared" si="100"/>
        <v>#VALUE!</v>
      </c>
      <c r="H2878" s="3" t="e">
        <f t="shared" ref="H2878:H2941" si="102">G2878*1.21</f>
        <v>#VALUE!</v>
      </c>
      <c r="I2878" s="1">
        <v>1</v>
      </c>
    </row>
    <row r="2879" spans="1:9" x14ac:dyDescent="0.25">
      <c r="A2879" s="1" t="s">
        <v>14435</v>
      </c>
      <c r="B2879" s="1" t="s">
        <v>8299</v>
      </c>
      <c r="C2879" s="1" t="str">
        <f>IFERROR(VLOOKUP(B2879,'SB1'!$A$2:$B$999999,2,FALSE),"")</f>
        <v>IMPERMEABILIZANTE PARA TECHOS DURALBA FIBRADO SATINADO BLANCO X  4</v>
      </c>
      <c r="D2879" s="1" t="s">
        <v>14439</v>
      </c>
      <c r="E2879" s="3">
        <f>IFERROR(VLOOKUP(B2879,'DA1'!$B$2:$D$999999,3,FALSE),"")</f>
      </c>
      <c r="F2879" s="1" t="str">
        <f>IFERROR(VLOOKUP(B2879,'SB1'!$A$2:$C$999999,3,FALSE),"")</f>
        <v>503</v>
      </c>
      <c r="G2879" s="3" t="e">
        <f t="shared" si="100"/>
        <v>#VALUE!</v>
      </c>
      <c r="H2879" s="3" t="e">
        <f t="shared" si="102"/>
        <v>#VALUE!</v>
      </c>
      <c r="I2879" s="1">
        <v>1</v>
      </c>
    </row>
    <row r="2880" spans="1:9" x14ac:dyDescent="0.25">
      <c r="A2880" s="1" t="s">
        <v>14435</v>
      </c>
      <c r="B2880" s="1" t="s">
        <v>8301</v>
      </c>
      <c r="C2880" s="1" t="str">
        <f>IFERROR(VLOOKUP(B2880,'SB1'!$A$2:$B$999999,2,FALSE),"")</f>
        <v>IMPERMEABILIZANTE PARA TECHOS DURALBA FIBRADO SATINADO BLANCO X 10</v>
      </c>
      <c r="D2880" s="1" t="s">
        <v>14439</v>
      </c>
      <c r="E2880" s="3">
        <f>IFERROR(VLOOKUP(B2880,'DA1'!$B$2:$D$999999,3,FALSE),"")</f>
      </c>
      <c r="F2880" s="1" t="str">
        <f>IFERROR(VLOOKUP(B2880,'SB1'!$A$2:$C$999999,3,FALSE),"")</f>
        <v>503</v>
      </c>
      <c r="G2880" s="3" t="e">
        <f t="shared" si="100"/>
        <v>#VALUE!</v>
      </c>
      <c r="H2880" s="3" t="e">
        <f t="shared" si="102"/>
        <v>#VALUE!</v>
      </c>
      <c r="I2880" s="1">
        <v>1</v>
      </c>
    </row>
    <row r="2881" spans="1:9" x14ac:dyDescent="0.25">
      <c r="A2881" s="1" t="s">
        <v>14435</v>
      </c>
      <c r="B2881" s="1" t="s">
        <v>8303</v>
      </c>
      <c r="C2881" s="1" t="str">
        <f>IFERROR(VLOOKUP(B2881,'SB1'!$A$2:$B$999999,2,FALSE),"")</f>
        <v>IMPERMEABILIZANTE PARA TECHOS DURALBA FIBRADO SATINADO BLANCO X 20</v>
      </c>
      <c r="D2881" s="1" t="s">
        <v>14439</v>
      </c>
      <c r="E2881" s="3">
        <f>IFERROR(VLOOKUP(B2881,'DA1'!$B$2:$D$999999,3,FALSE),"")</f>
      </c>
      <c r="F2881" s="1" t="str">
        <f>IFERROR(VLOOKUP(B2881,'SB1'!$A$2:$C$999999,3,FALSE),"")</f>
        <v>503</v>
      </c>
      <c r="G2881" s="3" t="e">
        <f t="shared" si="100"/>
        <v>#VALUE!</v>
      </c>
      <c r="H2881" s="3" t="e">
        <f t="shared" si="102"/>
        <v>#VALUE!</v>
      </c>
      <c r="I2881" s="1">
        <v>1</v>
      </c>
    </row>
    <row r="2882" spans="1:9" x14ac:dyDescent="0.25">
      <c r="A2882" s="1" t="s">
        <v>14435</v>
      </c>
      <c r="B2882" s="1" t="s">
        <v>8305</v>
      </c>
      <c r="C2882" s="1" t="str">
        <f>IFERROR(VLOOKUP(B2882,'SB1'!$A$2:$B$999999,2,FALSE),"")</f>
        <v>ESMALTE SINTETICO TERSUAVE TRIPLE ACCION DECOLUX BRILLANTE BERMELLON X  1</v>
      </c>
      <c r="D2882" s="1" t="s">
        <v>14437</v>
      </c>
      <c r="E2882" s="3">
        <f>IFERROR(VLOOKUP(B2882,'DA1'!$B$2:$D$999999,3,FALSE),"")</f>
      </c>
      <c r="F2882" s="1" t="str">
        <f>IFERROR(VLOOKUP(B2882,'SB1'!$A$2:$C$999999,3,FALSE),"")</f>
        <v>503</v>
      </c>
      <c r="G2882" s="3" t="e">
        <f t="shared" si="100"/>
        <v>#VALUE!</v>
      </c>
      <c r="H2882" s="3" t="e">
        <f t="shared" si="102"/>
        <v>#VALUE!</v>
      </c>
      <c r="I2882" s="1">
        <v>1</v>
      </c>
    </row>
    <row r="2883" spans="1:9" x14ac:dyDescent="0.25">
      <c r="A2883" s="1" t="s">
        <v>14435</v>
      </c>
      <c r="B2883" s="1" t="s">
        <v>8307</v>
      </c>
      <c r="C2883" s="1" t="str">
        <f>IFERROR(VLOOKUP(B2883,'SB1'!$A$2:$B$999999,2,FALSE),"")</f>
        <v>ESMALTE SINTETICO TERSUAVE TRIPLE ACCION DECOLUX BRILLANTE BERMELLON X  4</v>
      </c>
      <c r="D2883" s="1" t="s">
        <v>14437</v>
      </c>
      <c r="E2883" s="3">
        <f>IFERROR(VLOOKUP(B2883,'DA1'!$B$2:$D$999999,3,FALSE),"")</f>
      </c>
      <c r="F2883" s="1" t="str">
        <f>IFERROR(VLOOKUP(B2883,'SB1'!$A$2:$C$999999,3,FALSE),"")</f>
        <v>503</v>
      </c>
      <c r="G2883" s="3" t="e">
        <f t="shared" ref="G2883:G2946" si="103">E2883*1.04</f>
        <v>#VALUE!</v>
      </c>
      <c r="H2883" s="3" t="e">
        <f t="shared" si="102"/>
        <v>#VALUE!</v>
      </c>
      <c r="I2883" s="1">
        <v>1</v>
      </c>
    </row>
    <row r="2884" spans="1:9" x14ac:dyDescent="0.25">
      <c r="A2884" s="1" t="s">
        <v>14435</v>
      </c>
      <c r="B2884" s="1" t="s">
        <v>8309</v>
      </c>
      <c r="C2884" s="1" t="str">
        <f>IFERROR(VLOOKUP(B2884,'SB1'!$A$2:$B$999999,2,FALSE),"")</f>
        <v>ESMALTE SINTETICO TERSUAVE TRIPLE ACCION DECOLUX BRILLANTE BERMELLON X 20</v>
      </c>
      <c r="D2884" s="1" t="s">
        <v>14437</v>
      </c>
      <c r="E2884" s="3">
        <f>IFERROR(VLOOKUP(B2884,'DA1'!$B$2:$D$999999,3,FALSE),"")</f>
      </c>
      <c r="F2884" s="1" t="str">
        <f>IFERROR(VLOOKUP(B2884,'SB1'!$A$2:$C$999999,3,FALSE),"")</f>
        <v>503</v>
      </c>
      <c r="G2884" s="3" t="e">
        <f t="shared" si="103"/>
        <v>#VALUE!</v>
      </c>
      <c r="H2884" s="3" t="e">
        <f t="shared" si="102"/>
        <v>#VALUE!</v>
      </c>
      <c r="I2884" s="1">
        <v>1</v>
      </c>
    </row>
    <row r="2885" spans="1:9" x14ac:dyDescent="0.25">
      <c r="A2885" s="1" t="s">
        <v>14435</v>
      </c>
      <c r="B2885" s="1" t="s">
        <v>8311</v>
      </c>
      <c r="C2885" s="1" t="str">
        <f>IFERROR(VLOOKUP(B2885,'SB1'!$A$2:$B$999999,2,FALSE),"")</f>
        <v>ESMALTE SINTETICO TERSUAVE TRIPLE ACCION DECOLUX BRILLANTE AMARILLO X  1</v>
      </c>
      <c r="D2885" s="1" t="s">
        <v>14437</v>
      </c>
      <c r="E2885" s="3">
        <f>IFERROR(VLOOKUP(B2885,'DA1'!$B$2:$D$999999,3,FALSE),"")</f>
      </c>
      <c r="F2885" s="1" t="str">
        <f>IFERROR(VLOOKUP(B2885,'SB1'!$A$2:$C$999999,3,FALSE),"")</f>
        <v>503</v>
      </c>
      <c r="G2885" s="3" t="e">
        <f t="shared" si="103"/>
        <v>#VALUE!</v>
      </c>
      <c r="H2885" s="3" t="e">
        <f t="shared" si="102"/>
        <v>#VALUE!</v>
      </c>
      <c r="I2885" s="1">
        <v>1</v>
      </c>
    </row>
    <row r="2886" spans="1:9" x14ac:dyDescent="0.25">
      <c r="A2886" s="1" t="s">
        <v>14435</v>
      </c>
      <c r="B2886" s="1" t="s">
        <v>8313</v>
      </c>
      <c r="C2886" s="1" t="str">
        <f>IFERROR(VLOOKUP(B2886,'SB1'!$A$2:$B$999999,2,FALSE),"")</f>
        <v>ESMALTE SINTETICO TERSUAVE TRIPLE ACCION DECOLUX BRILLANTE AMARILLO X  4</v>
      </c>
      <c r="D2886" s="1" t="s">
        <v>14437</v>
      </c>
      <c r="E2886" s="3">
        <f>IFERROR(VLOOKUP(B2886,'DA1'!$B$2:$D$999999,3,FALSE),"")</f>
      </c>
      <c r="F2886" s="1" t="str">
        <f>IFERROR(VLOOKUP(B2886,'SB1'!$A$2:$C$999999,3,FALSE),"")</f>
        <v>503</v>
      </c>
      <c r="G2886" s="3" t="e">
        <f t="shared" si="103"/>
        <v>#VALUE!</v>
      </c>
      <c r="H2886" s="3" t="e">
        <f t="shared" si="102"/>
        <v>#VALUE!</v>
      </c>
      <c r="I2886" s="1">
        <v>1</v>
      </c>
    </row>
    <row r="2887" spans="1:9" x14ac:dyDescent="0.25">
      <c r="A2887" s="1" t="s">
        <v>14435</v>
      </c>
      <c r="B2887" s="1" t="s">
        <v>8315</v>
      </c>
      <c r="C2887" s="1" t="str">
        <f>IFERROR(VLOOKUP(B2887,'SB1'!$A$2:$B$999999,2,FALSE),"")</f>
        <v>ESMALTE SINTETICO TERSUAVE TRIPLE ACCION DECOLUX BRILLANTE AMARILLO X 20</v>
      </c>
      <c r="D2887" s="1" t="s">
        <v>14437</v>
      </c>
      <c r="E2887" s="3">
        <f>IFERROR(VLOOKUP(B2887,'DA1'!$B$2:$D$999999,3,FALSE),"")</f>
      </c>
      <c r="F2887" s="1" t="str">
        <f>IFERROR(VLOOKUP(B2887,'SB1'!$A$2:$C$999999,3,FALSE),"")</f>
        <v>503</v>
      </c>
      <c r="G2887" s="3" t="e">
        <f t="shared" si="103"/>
        <v>#VALUE!</v>
      </c>
      <c r="H2887" s="3" t="e">
        <f t="shared" si="102"/>
        <v>#VALUE!</v>
      </c>
      <c r="I2887" s="1">
        <v>1</v>
      </c>
    </row>
    <row r="2888" spans="1:9" x14ac:dyDescent="0.25">
      <c r="A2888" s="1" t="s">
        <v>14435</v>
      </c>
      <c r="B2888" s="1" t="s">
        <v>8317</v>
      </c>
      <c r="C2888" s="1" t="str">
        <f>IFERROR(VLOOKUP(B2888,'SB1'!$A$2:$B$999999,2,FALSE),"")</f>
        <v>ESMALTE SINTETICO TERSUAVE TRIPLE ACCION DECOLUX BRILLANTE VERDE INGLES X  1</v>
      </c>
      <c r="D2888" s="1" t="s">
        <v>14437</v>
      </c>
      <c r="E2888" s="3">
        <f>IFERROR(VLOOKUP(B2888,'DA1'!$B$2:$D$999999,3,FALSE),"")</f>
      </c>
      <c r="F2888" s="1" t="str">
        <f>IFERROR(VLOOKUP(B2888,'SB1'!$A$2:$C$999999,3,FALSE),"")</f>
        <v>503</v>
      </c>
      <c r="G2888" s="3" t="e">
        <f t="shared" si="103"/>
        <v>#VALUE!</v>
      </c>
      <c r="H2888" s="3" t="e">
        <f t="shared" si="102"/>
        <v>#VALUE!</v>
      </c>
      <c r="I2888" s="1">
        <v>1</v>
      </c>
    </row>
    <row r="2889" spans="1:9" x14ac:dyDescent="0.25">
      <c r="A2889" s="1" t="s">
        <v>14435</v>
      </c>
      <c r="B2889" s="1" t="s">
        <v>8319</v>
      </c>
      <c r="C2889" s="1" t="str">
        <f>IFERROR(VLOOKUP(B2889,'SB1'!$A$2:$B$999999,2,FALSE),"")</f>
        <v>ESMALTE SINTETICO TERSUAVE TRIPLE ACCION DECOLUX BRILLANTE VERDE INGLES X  4</v>
      </c>
      <c r="D2889" s="1" t="s">
        <v>14437</v>
      </c>
      <c r="E2889" s="3">
        <f>IFERROR(VLOOKUP(B2889,'DA1'!$B$2:$D$999999,3,FALSE),"")</f>
      </c>
      <c r="F2889" s="1" t="str">
        <f>IFERROR(VLOOKUP(B2889,'SB1'!$A$2:$C$999999,3,FALSE),"")</f>
        <v>503</v>
      </c>
      <c r="G2889" s="3" t="e">
        <f t="shared" si="103"/>
        <v>#VALUE!</v>
      </c>
      <c r="H2889" s="3" t="e">
        <f t="shared" si="102"/>
        <v>#VALUE!</v>
      </c>
      <c r="I2889" s="1">
        <v>1</v>
      </c>
    </row>
    <row r="2890" spans="1:9" x14ac:dyDescent="0.25">
      <c r="A2890" s="1" t="s">
        <v>14435</v>
      </c>
      <c r="B2890" s="1" t="s">
        <v>8321</v>
      </c>
      <c r="C2890" s="1" t="str">
        <f>IFERROR(VLOOKUP(B2890,'SB1'!$A$2:$B$999999,2,FALSE),"")</f>
        <v>ESMALTE SINTETICO TERSUAVE TRIPLE ACCION DECOLUX BRILLANTE VERDE INGLES X 20</v>
      </c>
      <c r="D2890" s="1" t="s">
        <v>14437</v>
      </c>
      <c r="E2890" s="3">
        <f>IFERROR(VLOOKUP(B2890,'DA1'!$B$2:$D$999999,3,FALSE),"")</f>
      </c>
      <c r="F2890" s="1" t="str">
        <f>IFERROR(VLOOKUP(B2890,'SB1'!$A$2:$C$999999,3,FALSE),"")</f>
        <v>503</v>
      </c>
      <c r="G2890" s="3" t="e">
        <f t="shared" si="103"/>
        <v>#VALUE!</v>
      </c>
      <c r="H2890" s="3" t="e">
        <f t="shared" si="102"/>
        <v>#VALUE!</v>
      </c>
      <c r="I2890" s="1">
        <v>1</v>
      </c>
    </row>
    <row r="2891" spans="1:9" x14ac:dyDescent="0.25">
      <c r="A2891" s="1" t="s">
        <v>14435</v>
      </c>
      <c r="B2891" s="1" t="s">
        <v>8323</v>
      </c>
      <c r="C2891" s="1" t="str">
        <f>IFERROR(VLOOKUP(B2891,'SB1'!$A$2:$B$999999,2,FALSE),"")</f>
        <v>ESMALTE SINTETICO TERSUAVE TRIPLE ACCION DECOLUX BRILLANTE AZUL X  1</v>
      </c>
      <c r="D2891" s="1" t="s">
        <v>14437</v>
      </c>
      <c r="E2891" s="3">
        <f>IFERROR(VLOOKUP(B2891,'DA1'!$B$2:$D$999999,3,FALSE),"")</f>
      </c>
      <c r="F2891" s="1" t="str">
        <f>IFERROR(VLOOKUP(B2891,'SB1'!$A$2:$C$999999,3,FALSE),"")</f>
        <v>503</v>
      </c>
      <c r="G2891" s="3" t="e">
        <f t="shared" si="103"/>
        <v>#VALUE!</v>
      </c>
      <c r="H2891" s="3" t="e">
        <f t="shared" si="102"/>
        <v>#VALUE!</v>
      </c>
      <c r="I2891" s="1">
        <v>1</v>
      </c>
    </row>
    <row r="2892" spans="1:9" x14ac:dyDescent="0.25">
      <c r="A2892" s="1" t="s">
        <v>14435</v>
      </c>
      <c r="B2892" s="1" t="s">
        <v>8325</v>
      </c>
      <c r="C2892" s="1" t="str">
        <f>IFERROR(VLOOKUP(B2892,'SB1'!$A$2:$B$999999,2,FALSE),"")</f>
        <v>ESMALTE SINTETICO TERSUAVE TRIPLE ACCION DECOLUX BRILLANTE AZUL X  4</v>
      </c>
      <c r="D2892" s="1" t="s">
        <v>14437</v>
      </c>
      <c r="E2892" s="3">
        <f>IFERROR(VLOOKUP(B2892,'DA1'!$B$2:$D$999999,3,FALSE),"")</f>
      </c>
      <c r="F2892" s="1" t="str">
        <f>IFERROR(VLOOKUP(B2892,'SB1'!$A$2:$C$999999,3,FALSE),"")</f>
        <v>503</v>
      </c>
      <c r="G2892" s="3" t="e">
        <f t="shared" si="103"/>
        <v>#VALUE!</v>
      </c>
      <c r="H2892" s="3" t="e">
        <f t="shared" si="102"/>
        <v>#VALUE!</v>
      </c>
      <c r="I2892" s="1">
        <v>1</v>
      </c>
    </row>
    <row r="2893" spans="1:9" x14ac:dyDescent="0.25">
      <c r="A2893" s="1" t="s">
        <v>14435</v>
      </c>
      <c r="B2893" s="1" t="s">
        <v>8327</v>
      </c>
      <c r="C2893" s="1" t="str">
        <f>IFERROR(VLOOKUP(B2893,'SB1'!$A$2:$B$999999,2,FALSE),"")</f>
        <v>ESMALTE SINTETICO TERSUAVE TRIPLE ACCION DECOLUX BRILLANTE AZUL X 20</v>
      </c>
      <c r="D2893" s="1" t="s">
        <v>14437</v>
      </c>
      <c r="E2893" s="3">
        <f>IFERROR(VLOOKUP(B2893,'DA1'!$B$2:$D$999999,3,FALSE),"")</f>
      </c>
      <c r="F2893" s="1" t="str">
        <f>IFERROR(VLOOKUP(B2893,'SB1'!$A$2:$C$999999,3,FALSE),"")</f>
        <v>503</v>
      </c>
      <c r="G2893" s="3" t="e">
        <f t="shared" si="103"/>
        <v>#VALUE!</v>
      </c>
      <c r="H2893" s="3" t="e">
        <f t="shared" si="102"/>
        <v>#VALUE!</v>
      </c>
      <c r="I2893" s="1">
        <v>1</v>
      </c>
    </row>
    <row r="2894" spans="1:9" x14ac:dyDescent="0.25">
      <c r="A2894" s="1" t="s">
        <v>14435</v>
      </c>
      <c r="B2894" s="1" t="s">
        <v>8329</v>
      </c>
      <c r="C2894" s="1" t="str">
        <f>IFERROR(VLOOKUP(B2894,'SB1'!$A$2:$B$999999,2,FALSE),"")</f>
        <v>ESMALTE SINTETICO TERSUAVE TRIPLE ACCION DECOLUX BRILLANTE GRIS ESPACIAL X  1</v>
      </c>
      <c r="D2894" s="1" t="s">
        <v>14437</v>
      </c>
      <c r="E2894" s="3">
        <f>IFERROR(VLOOKUP(B2894,'DA1'!$B$2:$D$999999,3,FALSE),"")</f>
      </c>
      <c r="F2894" s="1" t="str">
        <f>IFERROR(VLOOKUP(B2894,'SB1'!$A$2:$C$999999,3,FALSE),"")</f>
        <v>503</v>
      </c>
      <c r="G2894" s="3" t="e">
        <f t="shared" si="103"/>
        <v>#VALUE!</v>
      </c>
      <c r="H2894" s="3" t="e">
        <f t="shared" si="102"/>
        <v>#VALUE!</v>
      </c>
      <c r="I2894" s="1">
        <v>1</v>
      </c>
    </row>
    <row r="2895" spans="1:9" x14ac:dyDescent="0.25">
      <c r="A2895" s="1" t="s">
        <v>14435</v>
      </c>
      <c r="B2895" s="1" t="s">
        <v>8331</v>
      </c>
      <c r="C2895" s="1" t="str">
        <f>IFERROR(VLOOKUP(B2895,'SB1'!$A$2:$B$999999,2,FALSE),"")</f>
        <v>ESMALTE SINTETICO TERSUAVE TRIPLE ACCION DECOLUX BRILLANTE GRIS ESPACIAL X  4</v>
      </c>
      <c r="D2895" s="1" t="s">
        <v>14437</v>
      </c>
      <c r="E2895" s="3">
        <f>IFERROR(VLOOKUP(B2895,'DA1'!$B$2:$D$999999,3,FALSE),"")</f>
      </c>
      <c r="F2895" s="1" t="str">
        <f>IFERROR(VLOOKUP(B2895,'SB1'!$A$2:$C$999999,3,FALSE),"")</f>
        <v>503</v>
      </c>
      <c r="G2895" s="3" t="e">
        <f t="shared" si="103"/>
        <v>#VALUE!</v>
      </c>
      <c r="H2895" s="3" t="e">
        <f t="shared" si="102"/>
        <v>#VALUE!</v>
      </c>
      <c r="I2895" s="1">
        <v>1</v>
      </c>
    </row>
    <row r="2896" spans="1:9" x14ac:dyDescent="0.25">
      <c r="A2896" s="1" t="s">
        <v>14435</v>
      </c>
      <c r="B2896" s="1" t="s">
        <v>8333</v>
      </c>
      <c r="C2896" s="1" t="str">
        <f>IFERROR(VLOOKUP(B2896,'SB1'!$A$2:$B$999999,2,FALSE),"")</f>
        <v>ESMALTE SINTETICO TERSUAVE TRIPLE ACCION DECOLUX BRILLANTE GRIS ESPACIAL X 20</v>
      </c>
      <c r="D2896" s="1" t="s">
        <v>14437</v>
      </c>
      <c r="E2896" s="3">
        <f>IFERROR(VLOOKUP(B2896,'DA1'!$B$2:$D$999999,3,FALSE),"")</f>
      </c>
      <c r="F2896" s="1" t="str">
        <f>IFERROR(VLOOKUP(B2896,'SB1'!$A$2:$C$999999,3,FALSE),"")</f>
        <v>503</v>
      </c>
      <c r="G2896" s="3" t="e">
        <f t="shared" si="103"/>
        <v>#VALUE!</v>
      </c>
      <c r="H2896" s="3" t="e">
        <f t="shared" si="102"/>
        <v>#VALUE!</v>
      </c>
      <c r="I2896" s="1">
        <v>1</v>
      </c>
    </row>
    <row r="2897" spans="1:9" x14ac:dyDescent="0.25">
      <c r="A2897" s="1" t="s">
        <v>14435</v>
      </c>
      <c r="B2897" s="1" t="s">
        <v>8335</v>
      </c>
      <c r="C2897" s="1" t="str">
        <f>IFERROR(VLOOKUP(B2897,'SB1'!$A$2:$B$999999,2,FALSE),"")</f>
        <v>ESMALTE SINTETICO TERSUAVE TRIPLE ACCION DECOLUX BRILLANTE NEGRO X  1</v>
      </c>
      <c r="D2897" s="1" t="s">
        <v>14437</v>
      </c>
      <c r="E2897" s="3">
        <f>IFERROR(VLOOKUP(B2897,'DA1'!$B$2:$D$999999,3,FALSE),"")</f>
      </c>
      <c r="F2897" s="1" t="str">
        <f>IFERROR(VLOOKUP(B2897,'SB1'!$A$2:$C$999999,3,FALSE),"")</f>
        <v>503</v>
      </c>
      <c r="G2897" s="3" t="e">
        <f t="shared" si="103"/>
        <v>#VALUE!</v>
      </c>
      <c r="H2897" s="3" t="e">
        <f t="shared" si="102"/>
        <v>#VALUE!</v>
      </c>
      <c r="I2897" s="1">
        <v>1</v>
      </c>
    </row>
    <row r="2898" spans="1:9" x14ac:dyDescent="0.25">
      <c r="A2898" s="1" t="s">
        <v>14435</v>
      </c>
      <c r="B2898" s="1" t="s">
        <v>8337</v>
      </c>
      <c r="C2898" s="1" t="str">
        <f>IFERROR(VLOOKUP(B2898,'SB1'!$A$2:$B$999999,2,FALSE),"")</f>
        <v>ESMALTE SINTETICO TERSUAVE TRIPLE ACCION DECOLUX BRILLANTE NEGRO X  4</v>
      </c>
      <c r="D2898" s="1" t="s">
        <v>14437</v>
      </c>
      <c r="E2898" s="3">
        <f>IFERROR(VLOOKUP(B2898,'DA1'!$B$2:$D$999999,3,FALSE),"")</f>
      </c>
      <c r="F2898" s="1" t="str">
        <f>IFERROR(VLOOKUP(B2898,'SB1'!$A$2:$C$999999,3,FALSE),"")</f>
        <v>503</v>
      </c>
      <c r="G2898" s="3" t="e">
        <f t="shared" si="103"/>
        <v>#VALUE!</v>
      </c>
      <c r="H2898" s="3" t="e">
        <f t="shared" si="102"/>
        <v>#VALUE!</v>
      </c>
      <c r="I2898" s="1">
        <v>1</v>
      </c>
    </row>
    <row r="2899" spans="1:9" x14ac:dyDescent="0.25">
      <c r="A2899" s="1" t="s">
        <v>14435</v>
      </c>
      <c r="B2899" s="1" t="s">
        <v>8339</v>
      </c>
      <c r="C2899" s="1" t="str">
        <f>IFERROR(VLOOKUP(B2899,'SB1'!$A$2:$B$999999,2,FALSE),"")</f>
        <v>ESMALTE SINTETICO TERSUAVE TRIPLE ACCION DECOLUX BRILLANTE NEGRO X 20</v>
      </c>
      <c r="D2899" s="1" t="s">
        <v>14437</v>
      </c>
      <c r="E2899" s="3">
        <f>IFERROR(VLOOKUP(B2899,'DA1'!$B$2:$D$999999,3,FALSE),"")</f>
      </c>
      <c r="F2899" s="1" t="str">
        <f>IFERROR(VLOOKUP(B2899,'SB1'!$A$2:$C$999999,3,FALSE),"")</f>
        <v>503</v>
      </c>
      <c r="G2899" s="3" t="e">
        <f t="shared" si="103"/>
        <v>#VALUE!</v>
      </c>
      <c r="H2899" s="3" t="e">
        <f t="shared" si="102"/>
        <v>#VALUE!</v>
      </c>
      <c r="I2899" s="1">
        <v>1</v>
      </c>
    </row>
    <row r="2900" spans="1:9" x14ac:dyDescent="0.25">
      <c r="A2900" s="1" t="s">
        <v>14435</v>
      </c>
      <c r="B2900" s="1" t="s">
        <v>8341</v>
      </c>
      <c r="C2900" s="1" t="str">
        <f>IFERROR(VLOOKUP(B2900,'SB1'!$A$2:$B$999999,2,FALSE),"")</f>
        <v>ESMALTE SINTETICO TERSUAVE TRIPLE ACCION DECOLUX BRILLANTE GRIS OSCURO X  1</v>
      </c>
      <c r="D2900" s="1" t="s">
        <v>14437</v>
      </c>
      <c r="E2900" s="3">
        <f>IFERROR(VLOOKUP(B2900,'DA1'!$B$2:$D$999999,3,FALSE),"")</f>
      </c>
      <c r="F2900" s="1" t="str">
        <f>IFERROR(VLOOKUP(B2900,'SB1'!$A$2:$C$999999,3,FALSE),"")</f>
        <v>503</v>
      </c>
      <c r="G2900" s="3" t="e">
        <f t="shared" si="103"/>
        <v>#VALUE!</v>
      </c>
      <c r="H2900" s="3" t="e">
        <f t="shared" si="102"/>
        <v>#VALUE!</v>
      </c>
      <c r="I2900" s="1">
        <v>1</v>
      </c>
    </row>
    <row r="2901" spans="1:9" x14ac:dyDescent="0.25">
      <c r="A2901" s="1" t="s">
        <v>14435</v>
      </c>
      <c r="B2901" s="1" t="s">
        <v>8343</v>
      </c>
      <c r="C2901" s="1" t="str">
        <f>IFERROR(VLOOKUP(B2901,'SB1'!$A$2:$B$999999,2,FALSE),"")</f>
        <v>ESMALTE SINTETICO TERSUAVE TRIPLE ACCION DECOLUX BRILLANTE GRIS OSCURO X  4</v>
      </c>
      <c r="D2901" s="1" t="s">
        <v>14437</v>
      </c>
      <c r="E2901" s="3">
        <f>IFERROR(VLOOKUP(B2901,'DA1'!$B$2:$D$999999,3,FALSE),"")</f>
      </c>
      <c r="F2901" s="1" t="str">
        <f>IFERROR(VLOOKUP(B2901,'SB1'!$A$2:$C$999999,3,FALSE),"")</f>
        <v>503</v>
      </c>
      <c r="G2901" s="3" t="e">
        <f t="shared" si="103"/>
        <v>#VALUE!</v>
      </c>
      <c r="H2901" s="3" t="e">
        <f t="shared" si="102"/>
        <v>#VALUE!</v>
      </c>
      <c r="I2901" s="1">
        <v>1</v>
      </c>
    </row>
    <row r="2902" spans="1:9" x14ac:dyDescent="0.25">
      <c r="A2902" s="1" t="s">
        <v>14435</v>
      </c>
      <c r="B2902" s="1" t="s">
        <v>8345</v>
      </c>
      <c r="C2902" s="1" t="str">
        <f>IFERROR(VLOOKUP(B2902,'SB1'!$A$2:$B$999999,2,FALSE),"")</f>
        <v>ESMALTE SINTETICO TERSUAVE TRIPLE ACCION DECOLUX BRILLANTE GRIS OSCURO X 20</v>
      </c>
      <c r="D2902" s="1" t="s">
        <v>14437</v>
      </c>
      <c r="E2902" s="3">
        <f>IFERROR(VLOOKUP(B2902,'DA1'!$B$2:$D$999999,3,FALSE),"")</f>
      </c>
      <c r="F2902" s="1" t="str">
        <f>IFERROR(VLOOKUP(B2902,'SB1'!$A$2:$C$999999,3,FALSE),"")</f>
        <v>503</v>
      </c>
      <c r="G2902" s="3" t="e">
        <f t="shared" si="103"/>
        <v>#VALUE!</v>
      </c>
      <c r="H2902" s="3" t="e">
        <f t="shared" si="102"/>
        <v>#VALUE!</v>
      </c>
      <c r="I2902" s="1">
        <v>1</v>
      </c>
    </row>
    <row r="2903" spans="1:9" x14ac:dyDescent="0.25">
      <c r="A2903" s="1" t="s">
        <v>14435</v>
      </c>
      <c r="B2903" s="1" t="s">
        <v>8349</v>
      </c>
      <c r="C2903" s="1" t="str">
        <f>IFERROR(VLOOKUP(B2903,'SB1'!$A$2:$B$999999,2,FALSE),"")</f>
        <v>TINTA PARA MADERA VARATHANE DESCOLORIDO X 0,237(281754)</v>
      </c>
      <c r="D2903" s="1" t="s">
        <v>14501</v>
      </c>
      <c r="E2903" s="3">
        <f>IFERROR(VLOOKUP(B2903,'DA1'!$B$2:$D$999999,3,FALSE),"")</f>
      </c>
      <c r="F2903" s="1" t="str">
        <f>IFERROR(VLOOKUP(B2903,'SB1'!$A$2:$C$999999,3,FALSE),"")</f>
        <v>503</v>
      </c>
      <c r="G2903" s="3" t="e">
        <f t="shared" si="103"/>
        <v>#VALUE!</v>
      </c>
      <c r="H2903" s="3" t="e">
        <f t="shared" si="102"/>
        <v>#VALUE!</v>
      </c>
      <c r="I2903" s="1">
        <v>1</v>
      </c>
    </row>
    <row r="2904" spans="1:9" x14ac:dyDescent="0.25">
      <c r="A2904" s="1" t="s">
        <v>14435</v>
      </c>
      <c r="B2904" s="1" t="s">
        <v>8351</v>
      </c>
      <c r="C2904" s="1" t="str">
        <f>IFERROR(VLOOKUP(B2904,'SB1'!$A$2:$B$999999,2,FALSE),"")</f>
        <v>TINTA PARA MADERA VARATHANE ROBLE DE VERANO X 0,237(281755)</v>
      </c>
      <c r="D2904" s="1" t="s">
        <v>14501</v>
      </c>
      <c r="E2904" s="3">
        <f>IFERROR(VLOOKUP(B2904,'DA1'!$B$2:$D$999999,3,FALSE),"")</f>
      </c>
      <c r="F2904" s="1" t="str">
        <f>IFERROR(VLOOKUP(B2904,'SB1'!$A$2:$C$999999,3,FALSE),"")</f>
        <v>503</v>
      </c>
      <c r="G2904" s="3" t="e">
        <f t="shared" si="103"/>
        <v>#VALUE!</v>
      </c>
      <c r="H2904" s="3" t="e">
        <f t="shared" si="102"/>
        <v>#VALUE!</v>
      </c>
      <c r="I2904" s="1">
        <v>1</v>
      </c>
    </row>
    <row r="2905" spans="1:9" x14ac:dyDescent="0.25">
      <c r="A2905" s="1" t="s">
        <v>14435</v>
      </c>
      <c r="B2905" s="1" t="s">
        <v>8353</v>
      </c>
      <c r="C2905" s="1" t="str">
        <f>IFERROR(VLOOKUP(B2905,'SB1'!$A$2:$B$999999,2,FALSE),"")</f>
        <v>TINTA PARA MADERA VARATHANE CEREZO TRADICIONAL X 0,237(281756)</v>
      </c>
      <c r="D2905" s="1" t="s">
        <v>14501</v>
      </c>
      <c r="E2905" s="3">
        <f>IFERROR(VLOOKUP(B2905,'DA1'!$B$2:$D$999999,3,FALSE),"")</f>
      </c>
      <c r="F2905" s="1" t="str">
        <f>IFERROR(VLOOKUP(B2905,'SB1'!$A$2:$C$999999,3,FALSE),"")</f>
        <v>503</v>
      </c>
      <c r="G2905" s="3" t="e">
        <f t="shared" si="103"/>
        <v>#VALUE!</v>
      </c>
      <c r="H2905" s="3" t="e">
        <f t="shared" si="102"/>
        <v>#VALUE!</v>
      </c>
      <c r="I2905" s="1">
        <v>1</v>
      </c>
    </row>
    <row r="2906" spans="1:9" x14ac:dyDescent="0.25">
      <c r="A2906" s="1" t="s">
        <v>14435</v>
      </c>
      <c r="B2906" s="1" t="s">
        <v>8355</v>
      </c>
      <c r="C2906" s="1" t="str">
        <f>IFERROR(VLOOKUP(B2906,'SB1'!$A$2:$B$999999,2,FALSE),"")</f>
        <v>TINTA PARA MADERA VARATHANE ARCE COLONIAL X 0.237(281757)</v>
      </c>
      <c r="D2906" s="1" t="s">
        <v>14501</v>
      </c>
      <c r="E2906" s="3">
        <f>IFERROR(VLOOKUP(B2906,'DA1'!$B$2:$D$999999,3,FALSE),"")</f>
      </c>
      <c r="F2906" s="1" t="str">
        <f>IFERROR(VLOOKUP(B2906,'SB1'!$A$2:$C$999999,3,FALSE),"")</f>
        <v>503</v>
      </c>
      <c r="G2906" s="3" t="e">
        <f t="shared" si="103"/>
        <v>#VALUE!</v>
      </c>
      <c r="H2906" s="3" t="e">
        <f t="shared" si="102"/>
        <v>#VALUE!</v>
      </c>
      <c r="I2906" s="1">
        <v>1</v>
      </c>
    </row>
    <row r="2907" spans="1:9" x14ac:dyDescent="0.25">
      <c r="A2907" s="1" t="s">
        <v>14435</v>
      </c>
      <c r="B2907" s="1" t="s">
        <v>8357</v>
      </c>
      <c r="C2907" s="1" t="str">
        <f>IFERROR(VLOOKUP(B2907,'SB1'!$A$2:$B$999999,2,FALSE),"")</f>
        <v>TINTA PARA MADERA VARATHANE NOGAL AMERICANO X 0,237(281759)</v>
      </c>
      <c r="D2907" s="1" t="s">
        <v>14501</v>
      </c>
      <c r="E2907" s="3">
        <f>IFERROR(VLOOKUP(B2907,'DA1'!$B$2:$D$999999,3,FALSE),"")</f>
      </c>
      <c r="F2907" s="1" t="str">
        <f>IFERROR(VLOOKUP(B2907,'SB1'!$A$2:$C$999999,3,FALSE),"")</f>
        <v>503</v>
      </c>
      <c r="G2907" s="3" t="e">
        <f t="shared" si="103"/>
        <v>#VALUE!</v>
      </c>
      <c r="H2907" s="3" t="e">
        <f t="shared" si="102"/>
        <v>#VALUE!</v>
      </c>
      <c r="I2907" s="1">
        <v>1</v>
      </c>
    </row>
    <row r="2908" spans="1:9" x14ac:dyDescent="0.25">
      <c r="A2908" s="1" t="s">
        <v>14435</v>
      </c>
      <c r="B2908" s="1" t="s">
        <v>8359</v>
      </c>
      <c r="C2908" s="1" t="str">
        <f>IFERROR(VLOOKUP(B2908,'SB1'!$A$2:$B$999999,2,FALSE),"")</f>
        <v>TINTA PARA MADERA VARATHANE NOGAL OSCURO X 0.237(281760)</v>
      </c>
      <c r="D2908" s="1" t="s">
        <v>14501</v>
      </c>
      <c r="E2908" s="3">
        <f>IFERROR(VLOOKUP(B2908,'DA1'!$B$2:$D$999999,3,FALSE),"")</f>
      </c>
      <c r="F2908" s="1" t="str">
        <f>IFERROR(VLOOKUP(B2908,'SB1'!$A$2:$C$999999,3,FALSE),"")</f>
        <v>503</v>
      </c>
      <c r="G2908" s="3" t="e">
        <f t="shared" si="103"/>
        <v>#VALUE!</v>
      </c>
      <c r="H2908" s="3" t="e">
        <f t="shared" si="102"/>
        <v>#VALUE!</v>
      </c>
      <c r="I2908" s="1">
        <v>1</v>
      </c>
    </row>
    <row r="2909" spans="1:9" x14ac:dyDescent="0.25">
      <c r="A2909" s="1" t="s">
        <v>14435</v>
      </c>
      <c r="B2909" s="1" t="s">
        <v>8361</v>
      </c>
      <c r="C2909" s="1" t="str">
        <f>IFERROR(VLOOKUP(B2909,'SB1'!$A$2:$B$999999,2,FALSE),"")</f>
        <v>TINTA PARA MADERA VARATHANE CABERNET X 0.237(281761)</v>
      </c>
      <c r="D2909" s="1" t="s">
        <v>14501</v>
      </c>
      <c r="E2909" s="3">
        <f>IFERROR(VLOOKUP(B2909,'DA1'!$B$2:$D$999999,3,FALSE),"")</f>
      </c>
      <c r="F2909" s="1" t="str">
        <f>IFERROR(VLOOKUP(B2909,'SB1'!$A$2:$C$999999,3,FALSE),"")</f>
        <v>503</v>
      </c>
      <c r="G2909" s="3" t="e">
        <f t="shared" si="103"/>
        <v>#VALUE!</v>
      </c>
      <c r="H2909" s="3" t="e">
        <f t="shared" si="102"/>
        <v>#VALUE!</v>
      </c>
      <c r="I2909" s="1">
        <v>1</v>
      </c>
    </row>
    <row r="2910" spans="1:9" x14ac:dyDescent="0.25">
      <c r="A2910" s="1" t="s">
        <v>14435</v>
      </c>
      <c r="B2910" s="1" t="s">
        <v>8363</v>
      </c>
      <c r="C2910" s="1" t="str">
        <f>IFERROR(VLOOKUP(B2910,'SB1'!$A$2:$B$999999,2,FALSE),"")</f>
        <v>TINTA PARA MADERA VARATHANE CEREZO NEGRO X 0,237(281762)</v>
      </c>
      <c r="D2910" s="1" t="s">
        <v>14501</v>
      </c>
      <c r="E2910" s="3">
        <f>IFERROR(VLOOKUP(B2910,'DA1'!$B$2:$D$999999,3,FALSE),"")</f>
      </c>
      <c r="F2910" s="1" t="str">
        <f>IFERROR(VLOOKUP(B2910,'SB1'!$A$2:$C$999999,3,FALSE),"")</f>
        <v>503</v>
      </c>
      <c r="G2910" s="3" t="e">
        <f t="shared" si="103"/>
        <v>#VALUE!</v>
      </c>
      <c r="H2910" s="3" t="e">
        <f t="shared" si="102"/>
        <v>#VALUE!</v>
      </c>
      <c r="I2910" s="1">
        <v>1</v>
      </c>
    </row>
    <row r="2911" spans="1:9" x14ac:dyDescent="0.25">
      <c r="A2911" s="1" t="s">
        <v>14435</v>
      </c>
      <c r="B2911" s="1" t="s">
        <v>8365</v>
      </c>
      <c r="C2911" s="1" t="str">
        <f>IFERROR(VLOOKUP(B2911,'SB1'!$A$2:$B$999999,2,FALSE),"")</f>
        <v>TINTA PARA MADERA VARATHANE KONA X 0,237(281763)</v>
      </c>
      <c r="D2911" s="1" t="s">
        <v>14501</v>
      </c>
      <c r="E2911" s="3">
        <f>IFERROR(VLOOKUP(B2911,'DA1'!$B$2:$D$999999,3,FALSE),"")</f>
      </c>
      <c r="F2911" s="1" t="str">
        <f>IFERROR(VLOOKUP(B2911,'SB1'!$A$2:$C$999999,3,FALSE),"")</f>
        <v>503</v>
      </c>
      <c r="G2911" s="3" t="e">
        <f t="shared" si="103"/>
        <v>#VALUE!</v>
      </c>
      <c r="H2911" s="3" t="e">
        <f t="shared" si="102"/>
        <v>#VALUE!</v>
      </c>
      <c r="I2911" s="1">
        <v>1</v>
      </c>
    </row>
    <row r="2912" spans="1:9" x14ac:dyDescent="0.25">
      <c r="A2912" s="1" t="s">
        <v>14435</v>
      </c>
      <c r="B2912" s="1" t="s">
        <v>8367</v>
      </c>
      <c r="C2912" s="1" t="str">
        <f>IFERROR(VLOOKUP(B2912,'SB1'!$A$2:$B$999999,2,FALSE),"")</f>
        <v>TINTA PARA MADERA VARATHANE EBANO X 0,237(281764)</v>
      </c>
      <c r="D2912" s="1" t="s">
        <v>14501</v>
      </c>
      <c r="E2912" s="3">
        <f>IFERROR(VLOOKUP(B2912,'DA1'!$B$2:$D$999999,3,FALSE),"")</f>
      </c>
      <c r="F2912" s="1" t="str">
        <f>IFERROR(VLOOKUP(B2912,'SB1'!$A$2:$C$999999,3,FALSE),"")</f>
        <v>503</v>
      </c>
      <c r="G2912" s="3" t="e">
        <f t="shared" si="103"/>
        <v>#VALUE!</v>
      </c>
      <c r="H2912" s="3" t="e">
        <f t="shared" si="102"/>
        <v>#VALUE!</v>
      </c>
      <c r="I2912" s="1">
        <v>1</v>
      </c>
    </row>
    <row r="2913" spans="1:9" x14ac:dyDescent="0.25">
      <c r="A2913" s="1" t="s">
        <v>14435</v>
      </c>
      <c r="B2913" s="1" t="s">
        <v>8371</v>
      </c>
      <c r="C2913" s="1" t="str">
        <f>IFERROR(VLOOKUP(B2913,'SB1'!$A$2:$B$999999,2,FALSE),"")</f>
        <v>TINTA PARA MADERA VARATHANE NOGAL CLARO X 0,237(281758)</v>
      </c>
      <c r="D2913" s="1" t="s">
        <v>14501</v>
      </c>
      <c r="E2913" s="3">
        <f>IFERROR(VLOOKUP(B2913,'DA1'!$B$2:$D$999999,3,FALSE),"")</f>
      </c>
      <c r="F2913" s="1" t="str">
        <f>IFERROR(VLOOKUP(B2913,'SB1'!$A$2:$C$999999,3,FALSE),"")</f>
        <v>503</v>
      </c>
      <c r="G2913" s="3" t="e">
        <f t="shared" si="103"/>
        <v>#VALUE!</v>
      </c>
      <c r="H2913" s="3" t="e">
        <f t="shared" si="102"/>
        <v>#VALUE!</v>
      </c>
      <c r="I2913" s="1">
        <v>1</v>
      </c>
    </row>
    <row r="2914" spans="1:9" x14ac:dyDescent="0.25">
      <c r="A2914" s="1" t="s">
        <v>14435</v>
      </c>
      <c r="B2914" s="1" t="s">
        <v>8377</v>
      </c>
      <c r="C2914" s="1" t="str">
        <f>IFERROR(VLOOKUP(B2914,'SB1'!$A$2:$B$999999,2,FALSE),"")</f>
        <v>SISTEMA KIT LINER PSN 190Ï¿½ 8/250</v>
      </c>
      <c r="D2914" s="1" t="s">
        <v>14464</v>
      </c>
      <c r="E2914" s="3">
        <f>IFERROR(VLOOKUP(B2914,'DA1'!$B$2:$D$999999,3,FALSE),"")</f>
      </c>
      <c r="F2914" s="1" t="str">
        <f>IFERROR(VLOOKUP(B2914,'SB1'!$A$2:$C$999999,3,FALSE),"")</f>
        <v>503</v>
      </c>
      <c r="G2914" s="3" t="e">
        <f t="shared" si="103"/>
        <v>#VALUE!</v>
      </c>
      <c r="H2914" s="3" t="e">
        <f t="shared" si="102"/>
        <v>#VALUE!</v>
      </c>
      <c r="I2914" s="1">
        <v>1</v>
      </c>
    </row>
    <row r="2915" spans="1:9" x14ac:dyDescent="0.25">
      <c r="A2915" s="1" t="s">
        <v>14435</v>
      </c>
      <c r="B2915" s="1" t="s">
        <v>8379</v>
      </c>
      <c r="C2915" s="1" t="str">
        <f>IFERROR(VLOOKUP(B2915,'SB1'!$A$2:$B$999999,2,FALSE),"")</f>
        <v>SISTEMA KIT LINER PSN 190Ï¿½ 25/750</v>
      </c>
      <c r="D2915" s="1" t="s">
        <v>14464</v>
      </c>
      <c r="E2915" s="3">
        <f>IFERROR(VLOOKUP(B2915,'DA1'!$B$2:$D$999999,3,FALSE),"")</f>
      </c>
      <c r="F2915" s="1" t="str">
        <f>IFERROR(VLOOKUP(B2915,'SB1'!$A$2:$C$999999,3,FALSE),"")</f>
        <v>503</v>
      </c>
      <c r="G2915" s="3" t="e">
        <f t="shared" si="103"/>
        <v>#VALUE!</v>
      </c>
      <c r="H2915" s="3" t="e">
        <f t="shared" si="102"/>
        <v>#VALUE!</v>
      </c>
      <c r="I2915" s="1">
        <v>1</v>
      </c>
    </row>
    <row r="2916" spans="1:9" x14ac:dyDescent="0.25">
      <c r="A2916" s="1" t="s">
        <v>14435</v>
      </c>
      <c r="B2916" s="1" t="s">
        <v>8381</v>
      </c>
      <c r="C2916" s="1" t="str">
        <f>IFERROR(VLOOKUP(B2916,'SB1'!$A$2:$B$999999,2,FALSE),"")</f>
        <v>SISTEMA KIT LINER PSN 190Ï¿½ 32/950</v>
      </c>
      <c r="D2916" s="1" t="s">
        <v>14464</v>
      </c>
      <c r="E2916" s="3">
        <f>IFERROR(VLOOKUP(B2916,'DA1'!$B$2:$D$999999,3,FALSE),"")</f>
      </c>
      <c r="F2916" s="1" t="str">
        <f>IFERROR(VLOOKUP(B2916,'SB1'!$A$2:$C$999999,3,FALSE),"")</f>
        <v>503</v>
      </c>
      <c r="G2916" s="3" t="e">
        <f t="shared" si="103"/>
        <v>#VALUE!</v>
      </c>
      <c r="H2916" s="3" t="e">
        <f t="shared" si="102"/>
        <v>#VALUE!</v>
      </c>
      <c r="I2916" s="1">
        <v>1</v>
      </c>
    </row>
    <row r="2917" spans="1:9" x14ac:dyDescent="0.25">
      <c r="A2917" s="1" t="s">
        <v>14435</v>
      </c>
      <c r="B2917" s="1" t="s">
        <v>8383</v>
      </c>
      <c r="C2917" s="1" t="str">
        <f>IFERROR(VLOOKUP(B2917,'SB1'!$A$2:$B$999999,2,FALSE),"")</f>
        <v>SOPORTE 6 AGUJ.SPEED GRIP 152X0X6</v>
      </c>
      <c r="D2917" s="1" t="s">
        <v>14464</v>
      </c>
      <c r="E2917" s="3">
        <f>IFERROR(VLOOKUP(B2917,'DA1'!$B$2:$D$999999,3,FALSE),"")</f>
      </c>
      <c r="F2917" s="1" t="str">
        <f>IFERROR(VLOOKUP(B2917,'SB1'!$A$2:$C$999999,3,FALSE),"")</f>
        <v>503</v>
      </c>
      <c r="G2917" s="3" t="e">
        <f t="shared" si="103"/>
        <v>#VALUE!</v>
      </c>
      <c r="H2917" s="3" t="e">
        <f t="shared" si="102"/>
        <v>#VALUE!</v>
      </c>
      <c r="I2917" s="1">
        <v>1</v>
      </c>
    </row>
    <row r="2918" spans="1:9" x14ac:dyDescent="0.25">
      <c r="A2918" s="1" t="s">
        <v>14435</v>
      </c>
      <c r="B2918" s="1" t="s">
        <v>8385</v>
      </c>
      <c r="C2918" s="1" t="str">
        <f>IFERROR(VLOOKUP(B2918,'SB1'!$A$2:$B$999999,2,FALSE),"")</f>
        <v>REDUCTOR IMPACTO INTERFAZ 6 AGU. 152X0X6</v>
      </c>
      <c r="D2918" s="1" t="s">
        <v>14464</v>
      </c>
      <c r="E2918" s="3">
        <f>IFERROR(VLOOKUP(B2918,'DA1'!$B$2:$D$999999,3,FALSE),"")</f>
      </c>
      <c r="F2918" s="1" t="str">
        <f>IFERROR(VLOOKUP(B2918,'SB1'!$A$2:$C$999999,3,FALSE),"")</f>
        <v>503</v>
      </c>
      <c r="G2918" s="3" t="e">
        <f t="shared" si="103"/>
        <v>#VALUE!</v>
      </c>
      <c r="H2918" s="3" t="e">
        <f t="shared" si="102"/>
        <v>#VALUE!</v>
      </c>
      <c r="I2918" s="1">
        <v>1</v>
      </c>
    </row>
    <row r="2919" spans="1:9" x14ac:dyDescent="0.25">
      <c r="A2919" s="1" t="s">
        <v>14435</v>
      </c>
      <c r="B2919" s="1" t="s">
        <v>8389</v>
      </c>
      <c r="C2919" s="1" t="str">
        <f>IFERROR(VLOOKUP(B2919,'SB1'!$A$2:$B$999999,2,FALSE),"")</f>
        <v>ENMASCARAMIENTO CAJA CUBRE RUEDAS X 50 UNIDADES</v>
      </c>
      <c r="D2919" s="1" t="s">
        <v>14464</v>
      </c>
      <c r="E2919" s="3">
        <f>IFERROR(VLOOKUP(B2919,'DA1'!$B$2:$D$999999,3,FALSE),"")</f>
      </c>
      <c r="F2919" s="1" t="str">
        <f>IFERROR(VLOOKUP(B2919,'SB1'!$A$2:$C$999999,3,FALSE),"")</f>
        <v>503</v>
      </c>
      <c r="G2919" s="3" t="e">
        <f t="shared" si="103"/>
        <v>#VALUE!</v>
      </c>
      <c r="H2919" s="3" t="e">
        <f t="shared" si="102"/>
        <v>#VALUE!</v>
      </c>
      <c r="I2919" s="1">
        <v>1</v>
      </c>
    </row>
    <row r="2920" spans="1:9" x14ac:dyDescent="0.25">
      <c r="A2920" s="1" t="s">
        <v>14435</v>
      </c>
      <c r="B2920" s="1" t="s">
        <v>8391</v>
      </c>
      <c r="C2920" s="1" t="str">
        <f>IFERROR(VLOOKUP(B2920,'SB1'!$A$2:$B$999999,2,FALSE),"")</f>
        <v>FILM PARA ENMASCARAMIENTO 125X4 (FPM0001)</v>
      </c>
      <c r="D2920" s="1" t="s">
        <v>14446</v>
      </c>
      <c r="E2920" s="3">
        <f>IFERROR(VLOOKUP(B2920,'DA1'!$B$2:$D$999999,3,FALSE),"")</f>
      </c>
      <c r="F2920" s="1" t="str">
        <f>IFERROR(VLOOKUP(B2920,'SB1'!$A$2:$C$999999,3,FALSE),"")</f>
        <v>503</v>
      </c>
      <c r="G2920" s="3" t="e">
        <f t="shared" si="103"/>
        <v>#VALUE!</v>
      </c>
      <c r="H2920" s="3" t="e">
        <f t="shared" si="102"/>
        <v>#VALUE!</v>
      </c>
      <c r="I2920" s="1">
        <v>3</v>
      </c>
    </row>
    <row r="2921" spans="1:9" x14ac:dyDescent="0.25">
      <c r="A2921" s="1" t="s">
        <v>14435</v>
      </c>
      <c r="B2921" s="1" t="s">
        <v>8393</v>
      </c>
      <c r="C2921" s="1" t="str">
        <f>IFERROR(VLOOKUP(B2921,'SB1'!$A$2:$B$999999,2,FALSE),"")</f>
        <v>ENMASCARAMIENTO CAJA CUBRE ASIENTOS X 125 UNIDADES</v>
      </c>
      <c r="D2921" s="1" t="s">
        <v>14464</v>
      </c>
      <c r="E2921" s="3">
        <f>IFERROR(VLOOKUP(B2921,'DA1'!$B$2:$D$999999,3,FALSE),"")</f>
      </c>
      <c r="F2921" s="1" t="str">
        <f>IFERROR(VLOOKUP(B2921,'SB1'!$A$2:$C$999999,3,FALSE),"")</f>
        <v>503</v>
      </c>
      <c r="G2921" s="3" t="e">
        <f t="shared" si="103"/>
        <v>#VALUE!</v>
      </c>
      <c r="H2921" s="3" t="e">
        <f t="shared" si="102"/>
        <v>#VALUE!</v>
      </c>
      <c r="I2921" s="1">
        <v>1</v>
      </c>
    </row>
    <row r="2922" spans="1:9" x14ac:dyDescent="0.25">
      <c r="A2922" s="1" t="s">
        <v>14435</v>
      </c>
      <c r="B2922" s="1" t="s">
        <v>8395</v>
      </c>
      <c r="C2922" s="1" t="str">
        <f>IFERROR(VLOOKUP(B2922,'SB1'!$A$2:$B$999999,2,FALSE),"")</f>
        <v>CONTROL LIJADO P/MASILLA Y PRIMER</v>
      </c>
      <c r="D2922" s="1" t="s">
        <v>14464</v>
      </c>
      <c r="E2922" s="3">
        <f>IFERROR(VLOOKUP(B2922,'DA1'!$B$2:$D$999999,3,FALSE),"")</f>
      </c>
      <c r="F2922" s="1" t="str">
        <f>IFERROR(VLOOKUP(B2922,'SB1'!$A$2:$C$999999,3,FALSE),"")</f>
        <v>503</v>
      </c>
      <c r="G2922" s="3" t="e">
        <f t="shared" si="103"/>
        <v>#VALUE!</v>
      </c>
      <c r="H2922" s="3" t="e">
        <f t="shared" si="102"/>
        <v>#VALUE!</v>
      </c>
      <c r="I2922" s="1">
        <v>1</v>
      </c>
    </row>
    <row r="2923" spans="1:9" x14ac:dyDescent="0.25">
      <c r="A2923" s="1" t="s">
        <v>14435</v>
      </c>
      <c r="B2923" s="1" t="s">
        <v>8397</v>
      </c>
      <c r="C2923" s="1" t="str">
        <f>IFERROR(VLOOKUP(B2923,'SB1'!$A$2:$B$999999,2,FALSE),"")</f>
        <v>ADAPTADOR PSN+ 40A.1</v>
      </c>
      <c r="D2923" s="1" t="s">
        <v>14464</v>
      </c>
      <c r="E2923" s="3">
        <f>IFERROR(VLOOKUP(B2923,'DA1'!$B$2:$D$999999,3,FALSE),"")</f>
      </c>
      <c r="F2923" s="1" t="str">
        <f>IFERROR(VLOOKUP(B2923,'SB1'!$A$2:$C$999999,3,FALSE),"")</f>
        <v>503</v>
      </c>
      <c r="G2923" s="3" t="e">
        <f t="shared" si="103"/>
        <v>#VALUE!</v>
      </c>
      <c r="H2923" s="3" t="e">
        <f t="shared" si="102"/>
        <v>#VALUE!</v>
      </c>
      <c r="I2923" s="1">
        <v>1</v>
      </c>
    </row>
    <row r="2924" spans="1:9" x14ac:dyDescent="0.25">
      <c r="A2924" s="1" t="s">
        <v>14435</v>
      </c>
      <c r="B2924" s="1" t="s">
        <v>8419</v>
      </c>
      <c r="C2924" s="1" t="str">
        <f>IFERROR(VLOOKUP(B2924,'SB1'!$A$2:$B$999999,2,FALSE),"")</f>
        <v>TELA FIBRADA 10 CM X 25 MT.</v>
      </c>
      <c r="D2924" s="1" t="s">
        <v>14460</v>
      </c>
      <c r="E2924" s="3">
        <f>IFERROR(VLOOKUP(B2924,'DA1'!$B$2:$D$999999,3,FALSE),"")</f>
      </c>
      <c r="F2924" s="1" t="str">
        <f>IFERROR(VLOOKUP(B2924,'SB1'!$A$2:$C$999999,3,FALSE),"")</f>
        <v>503</v>
      </c>
      <c r="G2924" s="3" t="e">
        <f t="shared" si="103"/>
        <v>#VALUE!</v>
      </c>
      <c r="H2924" s="3" t="e">
        <f t="shared" si="102"/>
        <v>#VALUE!</v>
      </c>
      <c r="I2924" s="1">
        <v>1</v>
      </c>
    </row>
    <row r="2925" spans="1:9" x14ac:dyDescent="0.25">
      <c r="A2925" s="1" t="s">
        <v>14435</v>
      </c>
      <c r="B2925" s="1" t="s">
        <v>8421</v>
      </c>
      <c r="C2925" s="1" t="str">
        <f>IFERROR(VLOOKUP(B2925,'SB1'!$A$2:$B$999999,2,FALSE),"")</f>
        <v>TELA FIBRADA 20 CM X 25 MT.</v>
      </c>
      <c r="D2925" s="1" t="s">
        <v>14460</v>
      </c>
      <c r="E2925" s="3">
        <f>IFERROR(VLOOKUP(B2925,'DA1'!$B$2:$D$999999,3,FALSE),"")</f>
      </c>
      <c r="F2925" s="1" t="str">
        <f>IFERROR(VLOOKUP(B2925,'SB1'!$A$2:$C$999999,3,FALSE),"")</f>
        <v>503</v>
      </c>
      <c r="G2925" s="3" t="e">
        <f t="shared" si="103"/>
        <v>#VALUE!</v>
      </c>
      <c r="H2925" s="3" t="e">
        <f t="shared" si="102"/>
        <v>#VALUE!</v>
      </c>
      <c r="I2925" s="1">
        <v>1</v>
      </c>
    </row>
    <row r="2926" spans="1:9" x14ac:dyDescent="0.25">
      <c r="A2926" s="1" t="s">
        <v>14435</v>
      </c>
      <c r="B2926" s="1" t="s">
        <v>8423</v>
      </c>
      <c r="C2926" s="1" t="str">
        <f>IFERROR(VLOOKUP(B2926,'SB1'!$A$2:$B$999999,2,FALSE),"")</f>
        <v>TELA FIBRADA 1 MT X 25 MT.</v>
      </c>
      <c r="D2926" s="1" t="s">
        <v>14460</v>
      </c>
      <c r="E2926" s="3">
        <f>IFERROR(VLOOKUP(B2926,'DA1'!$B$2:$D$999999,3,FALSE),"")</f>
      </c>
      <c r="F2926" s="1" t="str">
        <f>IFERROR(VLOOKUP(B2926,'SB1'!$A$2:$C$999999,3,FALSE),"")</f>
        <v>503</v>
      </c>
      <c r="G2926" s="3" t="e">
        <f t="shared" si="103"/>
        <v>#VALUE!</v>
      </c>
      <c r="H2926" s="3" t="e">
        <f t="shared" si="102"/>
        <v>#VALUE!</v>
      </c>
      <c r="I2926" s="1">
        <v>1</v>
      </c>
    </row>
    <row r="2927" spans="1:9" x14ac:dyDescent="0.25">
      <c r="A2927" s="1" t="s">
        <v>14435</v>
      </c>
      <c r="B2927" s="1" t="s">
        <v>8425</v>
      </c>
      <c r="C2927" s="1" t="str">
        <f>IFERROR(VLOOKUP(B2927,'SB1'!$A$2:$B$999999,2,FALSE),"")</f>
        <v>T402 TRACE WHITE X 0.500</v>
      </c>
      <c r="D2927" s="1" t="s">
        <v>14457</v>
      </c>
      <c r="E2927" s="3">
        <f>IFERROR(VLOOKUP(B2927,'DA1'!$B$2:$D$999999,3,FALSE),"")</f>
      </c>
      <c r="F2927" s="1" t="str">
        <f>IFERROR(VLOOKUP(B2927,'SB1'!$A$2:$C$999999,3,FALSE),"")</f>
        <v>503</v>
      </c>
      <c r="G2927" s="3" t="e">
        <f t="shared" si="103"/>
        <v>#VALUE!</v>
      </c>
      <c r="H2927" s="3" t="e">
        <f t="shared" si="102"/>
        <v>#VALUE!</v>
      </c>
      <c r="I2927" s="1">
        <v>3</v>
      </c>
    </row>
    <row r="2928" spans="1:9" x14ac:dyDescent="0.25">
      <c r="A2928" s="1" t="s">
        <v>14435</v>
      </c>
      <c r="B2928" s="1" t="s">
        <v>8427</v>
      </c>
      <c r="C2928" s="1" t="str">
        <f>IFERROR(VLOOKUP(B2928,'SB1'!$A$2:$B$999999,2,FALSE),"")</f>
        <v>T403 MICRO WHITE X 0,500</v>
      </c>
      <c r="D2928" s="1" t="s">
        <v>14457</v>
      </c>
      <c r="E2928" s="3">
        <f>IFERROR(VLOOKUP(B2928,'DA1'!$B$2:$D$999999,3,FALSE),"")</f>
      </c>
      <c r="F2928" s="1" t="str">
        <f>IFERROR(VLOOKUP(B2928,'SB1'!$A$2:$C$999999,3,FALSE),"")</f>
        <v>503</v>
      </c>
      <c r="G2928" s="3" t="e">
        <f t="shared" si="103"/>
        <v>#VALUE!</v>
      </c>
      <c r="H2928" s="3" t="e">
        <f t="shared" si="102"/>
        <v>#VALUE!</v>
      </c>
      <c r="I2928" s="1">
        <v>3</v>
      </c>
    </row>
    <row r="2929" spans="1:9" x14ac:dyDescent="0.25">
      <c r="A2929" s="1" t="s">
        <v>14435</v>
      </c>
      <c r="B2929" s="1" t="s">
        <v>8429</v>
      </c>
      <c r="C2929" s="1" t="str">
        <f>IFERROR(VLOOKUP(B2929,'SB1'!$A$2:$B$999999,2,FALSE),"")</f>
        <v>T405 GRAPHITE BLACK X 0,500</v>
      </c>
      <c r="D2929" s="1" t="s">
        <v>14457</v>
      </c>
      <c r="E2929" s="3">
        <f>IFERROR(VLOOKUP(B2929,'DA1'!$B$2:$D$999999,3,FALSE),"")</f>
      </c>
      <c r="F2929" s="1" t="str">
        <f>IFERROR(VLOOKUP(B2929,'SB1'!$A$2:$C$999999,3,FALSE),"")</f>
        <v>503</v>
      </c>
      <c r="G2929" s="3" t="e">
        <f t="shared" si="103"/>
        <v>#VALUE!</v>
      </c>
      <c r="H2929" s="3" t="e">
        <f t="shared" si="102"/>
        <v>#VALUE!</v>
      </c>
      <c r="I2929" s="1">
        <v>3</v>
      </c>
    </row>
    <row r="2930" spans="1:9" x14ac:dyDescent="0.25">
      <c r="A2930" s="1" t="s">
        <v>14435</v>
      </c>
      <c r="B2930" s="1" t="s">
        <v>8431</v>
      </c>
      <c r="C2930" s="1" t="str">
        <f>IFERROR(VLOOKUP(B2930,'SB1'!$A$2:$B$999999,2,FALSE),"")</f>
        <v>T409 DEEP BLACK  X 2</v>
      </c>
      <c r="D2930" s="1" t="s">
        <v>14457</v>
      </c>
      <c r="E2930" s="3">
        <f>IFERROR(VLOOKUP(B2930,'DA1'!$B$2:$D$999999,3,FALSE),"")</f>
      </c>
      <c r="F2930" s="1" t="str">
        <f>IFERROR(VLOOKUP(B2930,'SB1'!$A$2:$C$999999,3,FALSE),"")</f>
        <v>503</v>
      </c>
      <c r="G2930" s="3" t="e">
        <f t="shared" si="103"/>
        <v>#VALUE!</v>
      </c>
      <c r="H2930" s="3" t="e">
        <f t="shared" si="102"/>
        <v>#VALUE!</v>
      </c>
      <c r="I2930" s="1">
        <v>3</v>
      </c>
    </row>
    <row r="2931" spans="1:9" x14ac:dyDescent="0.25">
      <c r="A2931" s="1" t="s">
        <v>14435</v>
      </c>
      <c r="B2931" s="1" t="s">
        <v>8433</v>
      </c>
      <c r="C2931" s="1" t="str">
        <f>IFERROR(VLOOKUP(B2931,'SB1'!$A$2:$B$999999,2,FALSE),"")</f>
        <v>T411 BLUE X 1</v>
      </c>
      <c r="D2931" s="1" t="s">
        <v>14457</v>
      </c>
      <c r="E2931" s="3">
        <f>IFERROR(VLOOKUP(B2931,'DA1'!$B$2:$D$999999,3,FALSE),"")</f>
      </c>
      <c r="F2931" s="1" t="str">
        <f>IFERROR(VLOOKUP(B2931,'SB1'!$A$2:$C$999999,3,FALSE),"")</f>
        <v>503</v>
      </c>
      <c r="G2931" s="3" t="e">
        <f t="shared" si="103"/>
        <v>#VALUE!</v>
      </c>
      <c r="H2931" s="3" t="e">
        <f t="shared" si="102"/>
        <v>#VALUE!</v>
      </c>
      <c r="I2931" s="1">
        <v>3</v>
      </c>
    </row>
    <row r="2932" spans="1:9" x14ac:dyDescent="0.25">
      <c r="A2932" s="1" t="s">
        <v>14435</v>
      </c>
      <c r="B2932" s="1" t="s">
        <v>8435</v>
      </c>
      <c r="C2932" s="1" t="str">
        <f>IFERROR(VLOOKUP(B2932,'SB1'!$A$2:$B$999999,2,FALSE),"")</f>
        <v>T412.E1 TRANSPARENT BLUE X 1</v>
      </c>
      <c r="D2932" s="1" t="s">
        <v>14457</v>
      </c>
      <c r="E2932" s="3">
        <f>IFERROR(VLOOKUP(B2932,'DA1'!$B$2:$D$999999,3,FALSE),"")</f>
      </c>
      <c r="F2932" s="1" t="str">
        <f>IFERROR(VLOOKUP(B2932,'SB1'!$A$2:$C$999999,3,FALSE),"")</f>
        <v>503</v>
      </c>
      <c r="G2932" s="3" t="e">
        <f t="shared" si="103"/>
        <v>#VALUE!</v>
      </c>
      <c r="H2932" s="3" t="e">
        <f t="shared" si="102"/>
        <v>#VALUE!</v>
      </c>
      <c r="I2932" s="1">
        <v>3</v>
      </c>
    </row>
    <row r="2933" spans="1:9" x14ac:dyDescent="0.25">
      <c r="A2933" s="1" t="s">
        <v>14435</v>
      </c>
      <c r="B2933" s="1" t="s">
        <v>8437</v>
      </c>
      <c r="C2933" s="1" t="str">
        <f>IFERROR(VLOOKUP(B2933,'SB1'!$A$2:$B$999999,2,FALSE),"")</f>
        <v>T414 RICH BLUE X 2</v>
      </c>
      <c r="D2933" s="1" t="s">
        <v>14457</v>
      </c>
      <c r="E2933" s="3">
        <f>IFERROR(VLOOKUP(B2933,'DA1'!$B$2:$D$999999,3,FALSE),"")</f>
      </c>
      <c r="F2933" s="1" t="str">
        <f>IFERROR(VLOOKUP(B2933,'SB1'!$A$2:$C$999999,3,FALSE),"")</f>
        <v>503</v>
      </c>
      <c r="G2933" s="3" t="e">
        <f t="shared" si="103"/>
        <v>#VALUE!</v>
      </c>
      <c r="H2933" s="3" t="e">
        <f t="shared" si="102"/>
        <v>#VALUE!</v>
      </c>
      <c r="I2933" s="1">
        <v>3</v>
      </c>
    </row>
    <row r="2934" spans="1:9" x14ac:dyDescent="0.25">
      <c r="A2934" s="1" t="s">
        <v>14435</v>
      </c>
      <c r="B2934" s="1" t="s">
        <v>8439</v>
      </c>
      <c r="C2934" s="1" t="str">
        <f>IFERROR(VLOOKUP(B2934,'SB1'!$A$2:$B$999999,2,FALSE),"")</f>
        <v>T421 OLIVE X 0,500</v>
      </c>
      <c r="D2934" s="1" t="s">
        <v>14457</v>
      </c>
      <c r="E2934" s="3">
        <f>IFERROR(VLOOKUP(B2934,'DA1'!$B$2:$D$999999,3,FALSE),"")</f>
      </c>
      <c r="F2934" s="1" t="str">
        <f>IFERROR(VLOOKUP(B2934,'SB1'!$A$2:$C$999999,3,FALSE),"")</f>
        <v>503</v>
      </c>
      <c r="G2934" s="3" t="e">
        <f t="shared" si="103"/>
        <v>#VALUE!</v>
      </c>
      <c r="H2934" s="3" t="e">
        <f t="shared" si="102"/>
        <v>#VALUE!</v>
      </c>
      <c r="I2934" s="1">
        <v>3</v>
      </c>
    </row>
    <row r="2935" spans="1:9" x14ac:dyDescent="0.25">
      <c r="A2935" s="1" t="s">
        <v>14435</v>
      </c>
      <c r="B2935" s="1" t="s">
        <v>8441</v>
      </c>
      <c r="C2935" s="1" t="str">
        <f>IFERROR(VLOOKUP(B2935,'SB1'!$A$2:$B$999999,2,FALSE),"")</f>
        <v>T425 PERMANENT YELLOW X 0,500</v>
      </c>
      <c r="D2935" s="1" t="s">
        <v>14457</v>
      </c>
      <c r="E2935" s="3">
        <f>IFERROR(VLOOKUP(B2935,'DA1'!$B$2:$D$999999,3,FALSE),"")</f>
      </c>
      <c r="F2935" s="1" t="str">
        <f>IFERROR(VLOOKUP(B2935,'SB1'!$A$2:$C$999999,3,FALSE),"")</f>
        <v>503</v>
      </c>
      <c r="G2935" s="3" t="e">
        <f t="shared" si="103"/>
        <v>#VALUE!</v>
      </c>
      <c r="H2935" s="3" t="e">
        <f t="shared" si="102"/>
        <v>#VALUE!</v>
      </c>
      <c r="I2935" s="1">
        <v>3</v>
      </c>
    </row>
    <row r="2936" spans="1:9" x14ac:dyDescent="0.25">
      <c r="A2936" s="1" t="s">
        <v>14435</v>
      </c>
      <c r="B2936" s="1" t="s">
        <v>8445</v>
      </c>
      <c r="C2936" s="1" t="str">
        <f>IFERROR(VLOOKUP(B2936,'SB1'!$A$2:$B$999999,2,FALSE),"")</f>
        <v>T427 YELLOW X 1</v>
      </c>
      <c r="D2936" s="1" t="s">
        <v>14457</v>
      </c>
      <c r="E2936" s="3">
        <f>IFERROR(VLOOKUP(B2936,'DA1'!$B$2:$D$999999,3,FALSE),"")</f>
      </c>
      <c r="F2936" s="1" t="str">
        <f>IFERROR(VLOOKUP(B2936,'SB1'!$A$2:$C$999999,3,FALSE),"")</f>
        <v>503</v>
      </c>
      <c r="G2936" s="3" t="e">
        <f t="shared" si="103"/>
        <v>#VALUE!</v>
      </c>
      <c r="H2936" s="3" t="e">
        <f t="shared" si="102"/>
        <v>#VALUE!</v>
      </c>
      <c r="I2936" s="1">
        <v>3</v>
      </c>
    </row>
    <row r="2937" spans="1:9" x14ac:dyDescent="0.25">
      <c r="A2937" s="1" t="s">
        <v>14435</v>
      </c>
      <c r="B2937" s="1" t="s">
        <v>8447</v>
      </c>
      <c r="C2937" s="1" t="str">
        <f>IFERROR(VLOOKUP(B2937,'SB1'!$A$2:$B$999999,2,FALSE),"")</f>
        <v>T429 TRANSPARENT GOLDEN YELLOW X 0,500</v>
      </c>
      <c r="D2937" s="1" t="s">
        <v>14457</v>
      </c>
      <c r="E2937" s="3">
        <f>IFERROR(VLOOKUP(B2937,'DA1'!$B$2:$D$999999,3,FALSE),"")</f>
      </c>
      <c r="F2937" s="1" t="str">
        <f>IFERROR(VLOOKUP(B2937,'SB1'!$A$2:$C$999999,3,FALSE),"")</f>
        <v>503</v>
      </c>
      <c r="G2937" s="3" t="e">
        <f t="shared" si="103"/>
        <v>#VALUE!</v>
      </c>
      <c r="H2937" s="3" t="e">
        <f t="shared" si="102"/>
        <v>#VALUE!</v>
      </c>
      <c r="I2937" s="1">
        <v>3</v>
      </c>
    </row>
    <row r="2938" spans="1:9" x14ac:dyDescent="0.25">
      <c r="A2938" s="1" t="s">
        <v>14435</v>
      </c>
      <c r="B2938" s="1" t="s">
        <v>8449</v>
      </c>
      <c r="C2938" s="1" t="str">
        <f>IFERROR(VLOOKUP(B2938,'SB1'!$A$2:$B$999999,2,FALSE),"")</f>
        <v>T430 HIGH STRENGH TRANSPARENT GREEN X 1</v>
      </c>
      <c r="D2938" s="1" t="s">
        <v>14457</v>
      </c>
      <c r="E2938" s="3">
        <f>IFERROR(VLOOKUP(B2938,'DA1'!$B$2:$D$999999,3,FALSE),"")</f>
      </c>
      <c r="F2938" s="1" t="str">
        <f>IFERROR(VLOOKUP(B2938,'SB1'!$A$2:$C$999999,3,FALSE),"")</f>
        <v>503</v>
      </c>
      <c r="G2938" s="3" t="e">
        <f t="shared" si="103"/>
        <v>#VALUE!</v>
      </c>
      <c r="H2938" s="3" t="e">
        <f t="shared" si="102"/>
        <v>#VALUE!</v>
      </c>
      <c r="I2938" s="1">
        <v>3</v>
      </c>
    </row>
    <row r="2939" spans="1:9" x14ac:dyDescent="0.25">
      <c r="A2939" s="1" t="s">
        <v>14435</v>
      </c>
      <c r="B2939" s="1" t="s">
        <v>8451</v>
      </c>
      <c r="C2939" s="1" t="str">
        <f>IFERROR(VLOOKUP(B2939,'SB1'!$A$2:$B$999999,2,FALSE),"")</f>
        <v>T431 HIGH STRENGH PHTALO GREEN X 1</v>
      </c>
      <c r="D2939" s="1" t="s">
        <v>14457</v>
      </c>
      <c r="E2939" s="3">
        <f>IFERROR(VLOOKUP(B2939,'DA1'!$B$2:$D$999999,3,FALSE),"")</f>
      </c>
      <c r="F2939" s="1" t="str">
        <f>IFERROR(VLOOKUP(B2939,'SB1'!$A$2:$C$999999,3,FALSE),"")</f>
        <v>503</v>
      </c>
      <c r="G2939" s="3" t="e">
        <f t="shared" si="103"/>
        <v>#VALUE!</v>
      </c>
      <c r="H2939" s="3" t="e">
        <f t="shared" si="102"/>
        <v>#VALUE!</v>
      </c>
      <c r="I2939" s="1">
        <v>3</v>
      </c>
    </row>
    <row r="2940" spans="1:9" x14ac:dyDescent="0.25">
      <c r="A2940" s="1" t="s">
        <v>14435</v>
      </c>
      <c r="B2940" s="1" t="s">
        <v>8453</v>
      </c>
      <c r="C2940" s="1" t="str">
        <f>IFERROR(VLOOKUP(B2940,'SB1'!$A$2:$B$999999,2,FALSE),"")</f>
        <v>T432 TRANSPARENT RED X 1</v>
      </c>
      <c r="D2940" s="1" t="s">
        <v>14457</v>
      </c>
      <c r="E2940" s="3">
        <f>IFERROR(VLOOKUP(B2940,'DA1'!$B$2:$D$999999,3,FALSE),"")</f>
      </c>
      <c r="F2940" s="1" t="str">
        <f>IFERROR(VLOOKUP(B2940,'SB1'!$A$2:$C$999999,3,FALSE),"")</f>
        <v>503</v>
      </c>
      <c r="G2940" s="3" t="e">
        <f t="shared" si="103"/>
        <v>#VALUE!</v>
      </c>
      <c r="H2940" s="3" t="e">
        <f t="shared" si="102"/>
        <v>#VALUE!</v>
      </c>
      <c r="I2940" s="1">
        <v>3</v>
      </c>
    </row>
    <row r="2941" spans="1:9" x14ac:dyDescent="0.25">
      <c r="A2941" s="1" t="s">
        <v>14435</v>
      </c>
      <c r="B2941" s="1" t="s">
        <v>8455</v>
      </c>
      <c r="C2941" s="1" t="str">
        <f>IFERROR(VLOOKUP(B2941,'SB1'!$A$2:$B$999999,2,FALSE),"")</f>
        <v>T4321 ENVIROBASE HC YELLO X 0,500</v>
      </c>
      <c r="D2941" s="1" t="s">
        <v>14457</v>
      </c>
      <c r="E2941" s="3">
        <f>IFERROR(VLOOKUP(B2941,'DA1'!$B$2:$D$999999,3,FALSE),"")</f>
      </c>
      <c r="F2941" s="1" t="str">
        <f>IFERROR(VLOOKUP(B2941,'SB1'!$A$2:$C$999999,3,FALSE),"")</f>
        <v>503</v>
      </c>
      <c r="G2941" s="3" t="e">
        <f t="shared" si="103"/>
        <v>#VALUE!</v>
      </c>
      <c r="H2941" s="3" t="e">
        <f t="shared" si="102"/>
        <v>#VALUE!</v>
      </c>
      <c r="I2941" s="1">
        <v>3</v>
      </c>
    </row>
    <row r="2942" spans="1:9" x14ac:dyDescent="0.25">
      <c r="A2942" s="1" t="s">
        <v>14435</v>
      </c>
      <c r="B2942" s="1" t="s">
        <v>8457</v>
      </c>
      <c r="C2942" s="1" t="str">
        <f>IFERROR(VLOOKUP(B2942,'SB1'!$A$2:$B$999999,2,FALSE),"")</f>
        <v>T436 RED OXIDE X 0,500</v>
      </c>
      <c r="D2942" s="1" t="s">
        <v>14457</v>
      </c>
      <c r="E2942" s="3">
        <f>IFERROR(VLOOKUP(B2942,'DA1'!$B$2:$D$999999,3,FALSE),"")</f>
      </c>
      <c r="F2942" s="1" t="str">
        <f>IFERROR(VLOOKUP(B2942,'SB1'!$A$2:$C$999999,3,FALSE),"")</f>
        <v>503</v>
      </c>
      <c r="G2942" s="3" t="e">
        <f t="shared" si="103"/>
        <v>#VALUE!</v>
      </c>
      <c r="H2942" s="3" t="e">
        <f t="shared" ref="H2942:H3005" si="104">G2942*1.21</f>
        <v>#VALUE!</v>
      </c>
      <c r="I2942" s="1">
        <v>3</v>
      </c>
    </row>
    <row r="2943" spans="1:9" x14ac:dyDescent="0.25">
      <c r="A2943" s="1" t="s">
        <v>14435</v>
      </c>
      <c r="B2943" s="1" t="s">
        <v>8459</v>
      </c>
      <c r="C2943" s="1" t="str">
        <f>IFERROR(VLOOKUP(B2943,'SB1'!$A$2:$B$999999,2,FALSE),"")</f>
        <v>T438 ROSE X 1</v>
      </c>
      <c r="D2943" s="1" t="s">
        <v>14457</v>
      </c>
      <c r="E2943" s="3">
        <f>IFERROR(VLOOKUP(B2943,'DA1'!$B$2:$D$999999,3,FALSE),"")</f>
      </c>
      <c r="F2943" s="1" t="str">
        <f>IFERROR(VLOOKUP(B2943,'SB1'!$A$2:$C$999999,3,FALSE),"")</f>
        <v>503</v>
      </c>
      <c r="G2943" s="3" t="e">
        <f t="shared" si="103"/>
        <v>#VALUE!</v>
      </c>
      <c r="H2943" s="3" t="e">
        <f t="shared" si="104"/>
        <v>#VALUE!</v>
      </c>
      <c r="I2943" s="1">
        <v>3</v>
      </c>
    </row>
    <row r="2944" spans="1:9" x14ac:dyDescent="0.25">
      <c r="A2944" s="1" t="s">
        <v>14435</v>
      </c>
      <c r="B2944" s="1" t="s">
        <v>8461</v>
      </c>
      <c r="C2944" s="1" t="str">
        <f>IFERROR(VLOOKUP(B2944,'SB1'!$A$2:$B$999999,2,FALSE),"")</f>
        <v>T4342 HC MAGENTA X 0,500</v>
      </c>
      <c r="D2944" s="1" t="s">
        <v>14457</v>
      </c>
      <c r="E2944" s="3">
        <f>IFERROR(VLOOKUP(B2944,'DA1'!$B$2:$D$999999,3,FALSE),"")</f>
      </c>
      <c r="F2944" s="1" t="str">
        <f>IFERROR(VLOOKUP(B2944,'SB1'!$A$2:$C$999999,3,FALSE),"")</f>
        <v>503</v>
      </c>
      <c r="G2944" s="3" t="e">
        <f t="shared" si="103"/>
        <v>#VALUE!</v>
      </c>
      <c r="H2944" s="3" t="e">
        <f t="shared" si="104"/>
        <v>#VALUE!</v>
      </c>
      <c r="I2944" s="1">
        <v>3</v>
      </c>
    </row>
    <row r="2945" spans="1:9" x14ac:dyDescent="0.25">
      <c r="A2945" s="1" t="s">
        <v>14435</v>
      </c>
      <c r="B2945" s="1" t="s">
        <v>8463</v>
      </c>
      <c r="C2945" s="1" t="str">
        <f>IFERROR(VLOOKUP(B2945,'SB1'!$A$2:$B$999999,2,FALSE),"")</f>
        <v>T4343 ENVIROBASE HC ORGAN X 0,500</v>
      </c>
      <c r="D2945" s="1" t="s">
        <v>14457</v>
      </c>
      <c r="E2945" s="3">
        <f>IFERROR(VLOOKUP(B2945,'DA1'!$B$2:$D$999999,3,FALSE),"")</f>
      </c>
      <c r="F2945" s="1" t="str">
        <f>IFERROR(VLOOKUP(B2945,'SB1'!$A$2:$C$999999,3,FALSE),"")</f>
        <v>503</v>
      </c>
      <c r="G2945" s="3" t="e">
        <f t="shared" si="103"/>
        <v>#VALUE!</v>
      </c>
      <c r="H2945" s="3" t="e">
        <f t="shared" si="104"/>
        <v>#VALUE!</v>
      </c>
      <c r="I2945" s="1">
        <v>3</v>
      </c>
    </row>
    <row r="2946" spans="1:9" x14ac:dyDescent="0.25">
      <c r="A2946" s="1" t="s">
        <v>14435</v>
      </c>
      <c r="B2946" s="1" t="s">
        <v>8465</v>
      </c>
      <c r="C2946" s="1" t="str">
        <f>IFERROR(VLOOKUP(B2946,'SB1'!$A$2:$B$999999,2,FALSE),"")</f>
        <v>T441 CARMINE X 0,500</v>
      </c>
      <c r="D2946" s="1" t="s">
        <v>14457</v>
      </c>
      <c r="E2946" s="3">
        <f>IFERROR(VLOOKUP(B2946,'DA1'!$B$2:$D$999999,3,FALSE),"")</f>
      </c>
      <c r="F2946" s="1" t="str">
        <f>IFERROR(VLOOKUP(B2946,'SB1'!$A$2:$C$999999,3,FALSE),"")</f>
        <v>503</v>
      </c>
      <c r="G2946" s="3" t="e">
        <f t="shared" si="103"/>
        <v>#VALUE!</v>
      </c>
      <c r="H2946" s="3" t="e">
        <f t="shared" si="104"/>
        <v>#VALUE!</v>
      </c>
      <c r="I2946" s="1">
        <v>3</v>
      </c>
    </row>
    <row r="2947" spans="1:9" x14ac:dyDescent="0.25">
      <c r="A2947" s="1" t="s">
        <v>14435</v>
      </c>
      <c r="B2947" s="1" t="s">
        <v>8467</v>
      </c>
      <c r="C2947" s="1" t="str">
        <f>IFERROR(VLOOKUP(B2947,'SB1'!$A$2:$B$999999,2,FALSE),"")</f>
        <v>T442 BROWN X 0,500</v>
      </c>
      <c r="D2947" s="1" t="s">
        <v>14457</v>
      </c>
      <c r="E2947" s="3">
        <f>IFERROR(VLOOKUP(B2947,'DA1'!$B$2:$D$999999,3,FALSE),"")</f>
      </c>
      <c r="F2947" s="1" t="str">
        <f>IFERROR(VLOOKUP(B2947,'SB1'!$A$2:$C$999999,3,FALSE),"")</f>
        <v>503</v>
      </c>
      <c r="G2947" s="3" t="e">
        <f t="shared" ref="G2947:G3010" si="105">E2947*1.04</f>
        <v>#VALUE!</v>
      </c>
      <c r="H2947" s="3" t="e">
        <f t="shared" si="104"/>
        <v>#VALUE!</v>
      </c>
      <c r="I2947" s="1">
        <v>3</v>
      </c>
    </row>
    <row r="2948" spans="1:9" x14ac:dyDescent="0.25">
      <c r="A2948" s="1" t="s">
        <v>14435</v>
      </c>
      <c r="B2948" s="1" t="s">
        <v>8469</v>
      </c>
      <c r="C2948" s="1" t="str">
        <f>IFERROR(VLOOKUP(B2948,'SB1'!$A$2:$B$999999,2,FALSE),"")</f>
        <v>T444 BORDEAUX X 1</v>
      </c>
      <c r="D2948" s="1" t="s">
        <v>14457</v>
      </c>
      <c r="E2948" s="3">
        <f>IFERROR(VLOOKUP(B2948,'DA1'!$B$2:$D$999999,3,FALSE),"")</f>
      </c>
      <c r="F2948" s="1" t="str">
        <f>IFERROR(VLOOKUP(B2948,'SB1'!$A$2:$C$999999,3,FALSE),"")</f>
        <v>503</v>
      </c>
      <c r="G2948" s="3" t="e">
        <f t="shared" si="105"/>
        <v>#VALUE!</v>
      </c>
      <c r="H2948" s="3" t="e">
        <f t="shared" si="104"/>
        <v>#VALUE!</v>
      </c>
      <c r="I2948" s="1">
        <v>3</v>
      </c>
    </row>
    <row r="2949" spans="1:9" x14ac:dyDescent="0.25">
      <c r="A2949" s="1" t="s">
        <v>14435</v>
      </c>
      <c r="B2949" s="1" t="s">
        <v>8471</v>
      </c>
      <c r="C2949" s="1" t="str">
        <f>IFERROR(VLOOKUP(B2949,'SB1'!$A$2:$B$999999,2,FALSE),"")</f>
        <v>T447 BRIGHT RED X 1</v>
      </c>
      <c r="D2949" s="1" t="s">
        <v>14457</v>
      </c>
      <c r="E2949" s="3">
        <f>IFERROR(VLOOKUP(B2949,'DA1'!$B$2:$D$999999,3,FALSE),"")</f>
      </c>
      <c r="F2949" s="1" t="str">
        <f>IFERROR(VLOOKUP(B2949,'SB1'!$A$2:$C$999999,3,FALSE),"")</f>
        <v>503</v>
      </c>
      <c r="G2949" s="3" t="e">
        <f t="shared" si="105"/>
        <v>#VALUE!</v>
      </c>
      <c r="H2949" s="3" t="e">
        <f t="shared" si="104"/>
        <v>#VALUE!</v>
      </c>
      <c r="I2949" s="1">
        <v>3</v>
      </c>
    </row>
    <row r="2950" spans="1:9" x14ac:dyDescent="0.25">
      <c r="A2950" s="1" t="s">
        <v>14435</v>
      </c>
      <c r="B2950" s="1" t="s">
        <v>8473</v>
      </c>
      <c r="C2950" s="1" t="str">
        <f>IFERROR(VLOOKUP(B2950,'SB1'!$A$2:$B$999999,2,FALSE),"")</f>
        <v>T451 EXTRA FINE WHITE PEARL X 0,500</v>
      </c>
      <c r="D2950" s="1" t="s">
        <v>14457</v>
      </c>
      <c r="E2950" s="3">
        <f>IFERROR(VLOOKUP(B2950,'DA1'!$B$2:$D$999999,3,FALSE),"")</f>
      </c>
      <c r="F2950" s="1" t="str">
        <f>IFERROR(VLOOKUP(B2950,'SB1'!$A$2:$C$999999,3,FALSE),"")</f>
        <v>503</v>
      </c>
      <c r="G2950" s="3" t="e">
        <f t="shared" si="105"/>
        <v>#VALUE!</v>
      </c>
      <c r="H2950" s="3" t="e">
        <f t="shared" si="104"/>
        <v>#VALUE!</v>
      </c>
      <c r="I2950" s="1">
        <v>3</v>
      </c>
    </row>
    <row r="2951" spans="1:9" x14ac:dyDescent="0.25">
      <c r="A2951" s="1" t="s">
        <v>14435</v>
      </c>
      <c r="B2951" s="1" t="s">
        <v>8475</v>
      </c>
      <c r="C2951" s="1" t="str">
        <f>IFERROR(VLOOKUP(B2951,'SB1'!$A$2:$B$999999,2,FALSE),"")</f>
        <v>T452 FINE WHITE PEARL X 0,500</v>
      </c>
      <c r="D2951" s="1" t="s">
        <v>14457</v>
      </c>
      <c r="E2951" s="3">
        <f>IFERROR(VLOOKUP(B2951,'DA1'!$B$2:$D$999999,3,FALSE),"")</f>
      </c>
      <c r="F2951" s="1" t="str">
        <f>IFERROR(VLOOKUP(B2951,'SB1'!$A$2:$C$999999,3,FALSE),"")</f>
        <v>503</v>
      </c>
      <c r="G2951" s="3" t="e">
        <f t="shared" si="105"/>
        <v>#VALUE!</v>
      </c>
      <c r="H2951" s="3" t="e">
        <f t="shared" si="104"/>
        <v>#VALUE!</v>
      </c>
      <c r="I2951" s="1">
        <v>3</v>
      </c>
    </row>
    <row r="2952" spans="1:9" x14ac:dyDescent="0.25">
      <c r="A2952" s="1" t="s">
        <v>14435</v>
      </c>
      <c r="B2952" s="1" t="s">
        <v>8477</v>
      </c>
      <c r="C2952" s="1" t="str">
        <f>IFERROR(VLOOKUP(B2952,'SB1'!$A$2:$B$999999,2,FALSE),"")</f>
        <v>T453 WHITE PEARL X 1</v>
      </c>
      <c r="D2952" s="1" t="s">
        <v>14457</v>
      </c>
      <c r="E2952" s="3">
        <f>IFERROR(VLOOKUP(B2952,'DA1'!$B$2:$D$999999,3,FALSE),"")</f>
      </c>
      <c r="F2952" s="1" t="str">
        <f>IFERROR(VLOOKUP(B2952,'SB1'!$A$2:$C$999999,3,FALSE),"")</f>
        <v>503</v>
      </c>
      <c r="G2952" s="3" t="e">
        <f t="shared" si="105"/>
        <v>#VALUE!</v>
      </c>
      <c r="H2952" s="3" t="e">
        <f t="shared" si="104"/>
        <v>#VALUE!</v>
      </c>
      <c r="I2952" s="1">
        <v>3</v>
      </c>
    </row>
    <row r="2953" spans="1:9" x14ac:dyDescent="0.25">
      <c r="A2953" s="1" t="s">
        <v>14435</v>
      </c>
      <c r="B2953" s="1" t="s">
        <v>8479</v>
      </c>
      <c r="C2953" s="1" t="str">
        <f>IFERROR(VLOOKUP(B2953,'SB1'!$A$2:$B$999999,2,FALSE),"")</f>
        <v>T454 BRIGHT RED PEARL X 1</v>
      </c>
      <c r="D2953" s="1" t="s">
        <v>14457</v>
      </c>
      <c r="E2953" s="3">
        <f>IFERROR(VLOOKUP(B2953,'DA1'!$B$2:$D$999999,3,FALSE),"")</f>
      </c>
      <c r="F2953" s="1" t="str">
        <f>IFERROR(VLOOKUP(B2953,'SB1'!$A$2:$C$999999,3,FALSE),"")</f>
        <v>503</v>
      </c>
      <c r="G2953" s="3" t="e">
        <f t="shared" si="105"/>
        <v>#VALUE!</v>
      </c>
      <c r="H2953" s="3" t="e">
        <f t="shared" si="104"/>
        <v>#VALUE!</v>
      </c>
      <c r="I2953" s="1">
        <v>3</v>
      </c>
    </row>
    <row r="2954" spans="1:9" x14ac:dyDescent="0.25">
      <c r="A2954" s="1" t="s">
        <v>14435</v>
      </c>
      <c r="B2954" s="1" t="s">
        <v>8481</v>
      </c>
      <c r="C2954" s="1" t="str">
        <f>IFERROR(VLOOKUP(B2954,'SB1'!$A$2:$B$999999,2,FALSE),"")</f>
        <v>T456 BLUE PEARL X 1</v>
      </c>
      <c r="D2954" s="1" t="s">
        <v>14457</v>
      </c>
      <c r="E2954" s="3">
        <f>IFERROR(VLOOKUP(B2954,'DA1'!$B$2:$D$999999,3,FALSE),"")</f>
      </c>
      <c r="F2954" s="1" t="str">
        <f>IFERROR(VLOOKUP(B2954,'SB1'!$A$2:$C$999999,3,FALSE),"")</f>
        <v>503</v>
      </c>
      <c r="G2954" s="3" t="e">
        <f t="shared" si="105"/>
        <v>#VALUE!</v>
      </c>
      <c r="H2954" s="3" t="e">
        <f t="shared" si="104"/>
        <v>#VALUE!</v>
      </c>
      <c r="I2954" s="1">
        <v>3</v>
      </c>
    </row>
    <row r="2955" spans="1:9" x14ac:dyDescent="0.25">
      <c r="A2955" s="1" t="s">
        <v>14435</v>
      </c>
      <c r="B2955" s="1" t="s">
        <v>8483</v>
      </c>
      <c r="C2955" s="1" t="str">
        <f>IFERROR(VLOOKUP(B2955,'SB1'!$A$2:$B$999999,2,FALSE),"")</f>
        <v>T457 GREEN PEARL X 0,500</v>
      </c>
      <c r="D2955" s="1" t="s">
        <v>14457</v>
      </c>
      <c r="E2955" s="3">
        <f>IFERROR(VLOOKUP(B2955,'DA1'!$B$2:$D$999999,3,FALSE),"")</f>
      </c>
      <c r="F2955" s="1" t="str">
        <f>IFERROR(VLOOKUP(B2955,'SB1'!$A$2:$C$999999,3,FALSE),"")</f>
        <v>503</v>
      </c>
      <c r="G2955" s="3" t="e">
        <f t="shared" si="105"/>
        <v>#VALUE!</v>
      </c>
      <c r="H2955" s="3" t="e">
        <f t="shared" si="104"/>
        <v>#VALUE!</v>
      </c>
      <c r="I2955" s="1">
        <v>3</v>
      </c>
    </row>
    <row r="2956" spans="1:9" x14ac:dyDescent="0.25">
      <c r="A2956" s="1" t="s">
        <v>14435</v>
      </c>
      <c r="B2956" s="1" t="s">
        <v>8485</v>
      </c>
      <c r="C2956" s="1" t="str">
        <f>IFERROR(VLOOKUP(B2956,'SB1'!$A$2:$B$999999,2,FALSE),"")</f>
        <v>T461.E0.5 GOLDEN YELLOW PEARL X 0,500</v>
      </c>
      <c r="D2956" s="1" t="s">
        <v>14457</v>
      </c>
      <c r="E2956" s="3">
        <f>IFERROR(VLOOKUP(B2956,'DA1'!$B$2:$D$999999,3,FALSE),"")</f>
      </c>
      <c r="F2956" s="1" t="str">
        <f>IFERROR(VLOOKUP(B2956,'SB1'!$A$2:$C$999999,3,FALSE),"")</f>
        <v>503</v>
      </c>
      <c r="G2956" s="3" t="e">
        <f t="shared" si="105"/>
        <v>#VALUE!</v>
      </c>
      <c r="H2956" s="3" t="e">
        <f t="shared" si="104"/>
        <v>#VALUE!</v>
      </c>
      <c r="I2956" s="1">
        <v>3</v>
      </c>
    </row>
    <row r="2957" spans="1:9" x14ac:dyDescent="0.25">
      <c r="A2957" s="1" t="s">
        <v>14435</v>
      </c>
      <c r="B2957" s="1" t="s">
        <v>8487</v>
      </c>
      <c r="C2957" s="1" t="str">
        <f>IFERROR(VLOOKUP(B2957,'SB1'!$A$2:$B$999999,2,FALSE),"")</f>
        <v>T462.E1 FINE RED PEARL X 1</v>
      </c>
      <c r="D2957" s="1" t="s">
        <v>14457</v>
      </c>
      <c r="E2957" s="3">
        <f>IFERROR(VLOOKUP(B2957,'DA1'!$B$2:$D$999999,3,FALSE),"")</f>
      </c>
      <c r="F2957" s="1" t="str">
        <f>IFERROR(VLOOKUP(B2957,'SB1'!$A$2:$C$999999,3,FALSE),"")</f>
        <v>503</v>
      </c>
      <c r="G2957" s="3" t="e">
        <f t="shared" si="105"/>
        <v>#VALUE!</v>
      </c>
      <c r="H2957" s="3" t="e">
        <f t="shared" si="104"/>
        <v>#VALUE!</v>
      </c>
      <c r="I2957" s="1">
        <v>3</v>
      </c>
    </row>
    <row r="2958" spans="1:9" x14ac:dyDescent="0.25">
      <c r="A2958" s="1" t="s">
        <v>14435</v>
      </c>
      <c r="B2958" s="1" t="s">
        <v>8489</v>
      </c>
      <c r="C2958" s="1" t="str">
        <f>IFERROR(VLOOKUP(B2958,'SB1'!$A$2:$B$999999,2,FALSE),"")</f>
        <v>T471 EXTRA FINE METALLIC X 2</v>
      </c>
      <c r="D2958" s="1" t="s">
        <v>14457</v>
      </c>
      <c r="E2958" s="3">
        <f>IFERROR(VLOOKUP(B2958,'DA1'!$B$2:$D$999999,3,FALSE),"")</f>
      </c>
      <c r="F2958" s="1" t="str">
        <f>IFERROR(VLOOKUP(B2958,'SB1'!$A$2:$C$999999,3,FALSE),"")</f>
        <v>503</v>
      </c>
      <c r="G2958" s="3" t="e">
        <f t="shared" si="105"/>
        <v>#VALUE!</v>
      </c>
      <c r="H2958" s="3" t="e">
        <f t="shared" si="104"/>
        <v>#VALUE!</v>
      </c>
      <c r="I2958" s="1">
        <v>3</v>
      </c>
    </row>
    <row r="2959" spans="1:9" x14ac:dyDescent="0.25">
      <c r="A2959" s="1" t="s">
        <v>14435</v>
      </c>
      <c r="B2959" s="1" t="s">
        <v>8491</v>
      </c>
      <c r="C2959" s="1" t="str">
        <f>IFERROR(VLOOKUP(B2959,'SB1'!$A$2:$B$999999,2,FALSE),"")</f>
        <v>T472 FINE LENTICULAR METALLIC X 2</v>
      </c>
      <c r="D2959" s="1" t="s">
        <v>14457</v>
      </c>
      <c r="E2959" s="3">
        <f>IFERROR(VLOOKUP(B2959,'DA1'!$B$2:$D$999999,3,FALSE),"")</f>
      </c>
      <c r="F2959" s="1" t="str">
        <f>IFERROR(VLOOKUP(B2959,'SB1'!$A$2:$C$999999,3,FALSE),"")</f>
        <v>503</v>
      </c>
      <c r="G2959" s="3" t="e">
        <f t="shared" si="105"/>
        <v>#VALUE!</v>
      </c>
      <c r="H2959" s="3" t="e">
        <f t="shared" si="104"/>
        <v>#VALUE!</v>
      </c>
      <c r="I2959" s="1">
        <v>3</v>
      </c>
    </row>
    <row r="2960" spans="1:9" x14ac:dyDescent="0.25">
      <c r="A2960" s="1" t="s">
        <v>14435</v>
      </c>
      <c r="B2960" s="1" t="s">
        <v>8493</v>
      </c>
      <c r="C2960" s="1" t="str">
        <f>IFERROR(VLOOKUP(B2960,'SB1'!$A$2:$B$999999,2,FALSE),"")</f>
        <v>T473.E2 MEDIUM METALLIC X 2</v>
      </c>
      <c r="D2960" s="1" t="s">
        <v>14457</v>
      </c>
      <c r="E2960" s="3">
        <f>IFERROR(VLOOKUP(B2960,'DA1'!$B$2:$D$999999,3,FALSE),"")</f>
      </c>
      <c r="F2960" s="1" t="str">
        <f>IFERROR(VLOOKUP(B2960,'SB1'!$A$2:$C$999999,3,FALSE),"")</f>
        <v>503</v>
      </c>
      <c r="G2960" s="3" t="e">
        <f t="shared" si="105"/>
        <v>#VALUE!</v>
      </c>
      <c r="H2960" s="3" t="e">
        <f t="shared" si="104"/>
        <v>#VALUE!</v>
      </c>
      <c r="I2960" s="1">
        <v>3</v>
      </c>
    </row>
    <row r="2961" spans="1:9" x14ac:dyDescent="0.25">
      <c r="A2961" s="1" t="s">
        <v>14435</v>
      </c>
      <c r="B2961" s="1" t="s">
        <v>8495</v>
      </c>
      <c r="C2961" s="1" t="str">
        <f>IFERROR(VLOOKUP(B2961,'SB1'!$A$2:$B$999999,2,FALSE),"")</f>
        <v>T474 FINE METALLIC X 1</v>
      </c>
      <c r="D2961" s="1" t="s">
        <v>14457</v>
      </c>
      <c r="E2961" s="3">
        <f>IFERROR(VLOOKUP(B2961,'DA1'!$B$2:$D$999999,3,FALSE),"")</f>
      </c>
      <c r="F2961" s="1" t="str">
        <f>IFERROR(VLOOKUP(B2961,'SB1'!$A$2:$C$999999,3,FALSE),"")</f>
        <v>503</v>
      </c>
      <c r="G2961" s="3" t="e">
        <f t="shared" si="105"/>
        <v>#VALUE!</v>
      </c>
      <c r="H2961" s="3" t="e">
        <f t="shared" si="104"/>
        <v>#VALUE!</v>
      </c>
      <c r="I2961" s="1">
        <v>3</v>
      </c>
    </row>
    <row r="2962" spans="1:9" x14ac:dyDescent="0.25">
      <c r="A2962" s="1" t="s">
        <v>14435</v>
      </c>
      <c r="B2962" s="1" t="s">
        <v>8497</v>
      </c>
      <c r="C2962" s="1" t="str">
        <f>IFERROR(VLOOKUP(B2962,'SB1'!$A$2:$B$999999,2,FALSE),"")</f>
        <v>T476 COARSE LENTICULAR METALLIC X 2</v>
      </c>
      <c r="D2962" s="1" t="s">
        <v>14457</v>
      </c>
      <c r="E2962" s="3">
        <f>IFERROR(VLOOKUP(B2962,'DA1'!$B$2:$D$999999,3,FALSE),"")</f>
      </c>
      <c r="F2962" s="1" t="str">
        <f>IFERROR(VLOOKUP(B2962,'SB1'!$A$2:$C$999999,3,FALSE),"")</f>
        <v>503</v>
      </c>
      <c r="G2962" s="3" t="e">
        <f t="shared" si="105"/>
        <v>#VALUE!</v>
      </c>
      <c r="H2962" s="3" t="e">
        <f t="shared" si="104"/>
        <v>#VALUE!</v>
      </c>
      <c r="I2962" s="1">
        <v>3</v>
      </c>
    </row>
    <row r="2963" spans="1:9" x14ac:dyDescent="0.25">
      <c r="A2963" s="1" t="s">
        <v>14435</v>
      </c>
      <c r="B2963" s="1" t="s">
        <v>8501</v>
      </c>
      <c r="C2963" s="1" t="str">
        <f>IFERROR(VLOOKUP(B2963,'SB1'!$A$2:$B$999999,2,FALSE),"")</f>
        <v>ESMALTE POLIURETANO TERSUAVE COLOREADO VERDE NOCHE X 25</v>
      </c>
      <c r="D2963" s="1" t="s">
        <v>14487</v>
      </c>
      <c r="E2963" s="3">
        <f>IFERROR(VLOOKUP(B2963,'DA1'!$B$2:$D$999999,3,FALSE),"")</f>
      </c>
      <c r="F2963" s="1" t="str">
        <f>IFERROR(VLOOKUP(B2963,'SB1'!$A$2:$C$999999,3,FALSE),"")</f>
        <v>503</v>
      </c>
      <c r="G2963" s="3" t="e">
        <f t="shared" si="105"/>
        <v>#VALUE!</v>
      </c>
      <c r="H2963" s="3" t="e">
        <f t="shared" si="104"/>
        <v>#VALUE!</v>
      </c>
      <c r="I2963" s="1">
        <v>1</v>
      </c>
    </row>
    <row r="2964" spans="1:9" x14ac:dyDescent="0.25">
      <c r="A2964" s="1" t="s">
        <v>14435</v>
      </c>
      <c r="B2964" s="1" t="s">
        <v>8503</v>
      </c>
      <c r="C2964" s="1" t="str">
        <f>IFERROR(VLOOKUP(B2964,'SB1'!$A$2:$B$999999,2,FALSE),"")</f>
        <v>ADAPTADOR PSN+ 7A.1</v>
      </c>
      <c r="D2964" s="1" t="s">
        <v>14464</v>
      </c>
      <c r="E2964" s="3">
        <f>IFERROR(VLOOKUP(B2964,'DA1'!$B$2:$D$999999,3,FALSE),"")</f>
      </c>
      <c r="F2964" s="1" t="str">
        <f>IFERROR(VLOOKUP(B2964,'SB1'!$A$2:$C$999999,3,FALSE),"")</f>
        <v>503</v>
      </c>
      <c r="G2964" s="3" t="e">
        <f t="shared" si="105"/>
        <v>#VALUE!</v>
      </c>
      <c r="H2964" s="3" t="e">
        <f t="shared" si="104"/>
        <v>#VALUE!</v>
      </c>
      <c r="I2964" s="1">
        <v>1</v>
      </c>
    </row>
    <row r="2965" spans="1:9" x14ac:dyDescent="0.25">
      <c r="A2965" s="1" t="s">
        <v>14435</v>
      </c>
      <c r="B2965" s="1" t="s">
        <v>8505</v>
      </c>
      <c r="C2965" s="1" t="str">
        <f>IFERROR(VLOOKUP(B2965,'SB1'!$A$2:$B$999999,2,FALSE),"")</f>
        <v>ADAPTADOR PSN+ 15A.1</v>
      </c>
      <c r="D2965" s="1" t="s">
        <v>14464</v>
      </c>
      <c r="E2965" s="3">
        <f>IFERROR(VLOOKUP(B2965,'DA1'!$B$2:$D$999999,3,FALSE),"")</f>
      </c>
      <c r="F2965" s="1" t="str">
        <f>IFERROR(VLOOKUP(B2965,'SB1'!$A$2:$C$999999,3,FALSE),"")</f>
        <v>503</v>
      </c>
      <c r="G2965" s="3" t="e">
        <f t="shared" si="105"/>
        <v>#VALUE!</v>
      </c>
      <c r="H2965" s="3" t="e">
        <f t="shared" si="104"/>
        <v>#VALUE!</v>
      </c>
      <c r="I2965" s="1">
        <v>1</v>
      </c>
    </row>
    <row r="2966" spans="1:9" x14ac:dyDescent="0.25">
      <c r="A2966" s="1" t="s">
        <v>14435</v>
      </c>
      <c r="B2966" s="1" t="s">
        <v>8507</v>
      </c>
      <c r="C2966" s="1" t="str">
        <f>IFERROR(VLOOKUP(B2966,'SB1'!$A$2:$B$999999,2,FALSE),"")</f>
        <v>ADAPTADOR PSN+ 14A.1</v>
      </c>
      <c r="D2966" s="1" t="s">
        <v>14464</v>
      </c>
      <c r="E2966" s="3">
        <f>IFERROR(VLOOKUP(B2966,'DA1'!$B$2:$D$999999,3,FALSE),"")</f>
      </c>
      <c r="F2966" s="1" t="str">
        <f>IFERROR(VLOOKUP(B2966,'SB1'!$A$2:$C$999999,3,FALSE),"")</f>
        <v>503</v>
      </c>
      <c r="G2966" s="3" t="e">
        <f t="shared" si="105"/>
        <v>#VALUE!</v>
      </c>
      <c r="H2966" s="3" t="e">
        <f t="shared" si="104"/>
        <v>#VALUE!</v>
      </c>
      <c r="I2966" s="1">
        <v>1</v>
      </c>
    </row>
    <row r="2967" spans="1:9" x14ac:dyDescent="0.25">
      <c r="A2967" s="1" t="s">
        <v>14435</v>
      </c>
      <c r="B2967" s="1" t="s">
        <v>8509</v>
      </c>
      <c r="C2967" s="1" t="str">
        <f>IFERROR(VLOOKUP(B2967,'SB1'!$A$2:$B$999999,2,FALSE),"")</f>
        <v>ADAPTADOR PSN+ 2A.1</v>
      </c>
      <c r="D2967" s="1" t="s">
        <v>14464</v>
      </c>
      <c r="E2967" s="3">
        <f>IFERROR(VLOOKUP(B2967,'DA1'!$B$2:$D$999999,3,FALSE),"")</f>
      </c>
      <c r="F2967" s="1" t="str">
        <f>IFERROR(VLOOKUP(B2967,'SB1'!$A$2:$C$999999,3,FALSE),"")</f>
        <v>503</v>
      </c>
      <c r="G2967" s="3" t="e">
        <f t="shared" si="105"/>
        <v>#VALUE!</v>
      </c>
      <c r="H2967" s="3" t="e">
        <f t="shared" si="104"/>
        <v>#VALUE!</v>
      </c>
      <c r="I2967" s="1">
        <v>1</v>
      </c>
    </row>
    <row r="2968" spans="1:9" x14ac:dyDescent="0.25">
      <c r="A2968" s="1" t="s">
        <v>14435</v>
      </c>
      <c r="B2968" s="1" t="s">
        <v>8511</v>
      </c>
      <c r="C2968" s="1" t="str">
        <f>IFERROR(VLOOKUP(B2968,'SB1'!$A$2:$B$999999,2,FALSE),"")</f>
        <v>ADAPTADOR PSN+ 6A.1</v>
      </c>
      <c r="D2968" s="1" t="s">
        <v>14464</v>
      </c>
      <c r="E2968" s="3">
        <f>IFERROR(VLOOKUP(B2968,'DA1'!$B$2:$D$999999,3,FALSE),"")</f>
      </c>
      <c r="F2968" s="1" t="str">
        <f>IFERROR(VLOOKUP(B2968,'SB1'!$A$2:$C$999999,3,FALSE),"")</f>
        <v>503</v>
      </c>
      <c r="G2968" s="3" t="e">
        <f t="shared" si="105"/>
        <v>#VALUE!</v>
      </c>
      <c r="H2968" s="3" t="e">
        <f t="shared" si="104"/>
        <v>#VALUE!</v>
      </c>
      <c r="I2968" s="1">
        <v>1</v>
      </c>
    </row>
    <row r="2969" spans="1:9" x14ac:dyDescent="0.25">
      <c r="A2969" s="1" t="s">
        <v>14435</v>
      </c>
      <c r="B2969" s="1" t="s">
        <v>8513</v>
      </c>
      <c r="C2969" s="1" t="str">
        <f>IFERROR(VLOOKUP(B2969,'SB1'!$A$2:$B$999999,2,FALSE),"")</f>
        <v>ADAPTADOR PSN+ 5A.1</v>
      </c>
      <c r="D2969" s="1" t="s">
        <v>14464</v>
      </c>
      <c r="E2969" s="3">
        <f>IFERROR(VLOOKUP(B2969,'DA1'!$B$2:$D$999999,3,FALSE),"")</f>
      </c>
      <c r="F2969" s="1" t="str">
        <f>IFERROR(VLOOKUP(B2969,'SB1'!$A$2:$C$999999,3,FALSE),"")</f>
        <v>503</v>
      </c>
      <c r="G2969" s="3" t="e">
        <f t="shared" si="105"/>
        <v>#VALUE!</v>
      </c>
      <c r="H2969" s="3" t="e">
        <f t="shared" si="104"/>
        <v>#VALUE!</v>
      </c>
      <c r="I2969" s="1">
        <v>1</v>
      </c>
    </row>
    <row r="2970" spans="1:9" x14ac:dyDescent="0.25">
      <c r="A2970" s="1" t="s">
        <v>14435</v>
      </c>
      <c r="B2970" s="1" t="s">
        <v>8515</v>
      </c>
      <c r="C2970" s="1" t="str">
        <f>IFERROR(VLOOKUP(B2970,'SB1'!$A$2:$B$999999,2,FALSE),"")</f>
        <v>ADAPTADOR PSN+ 9A.1</v>
      </c>
      <c r="D2970" s="1" t="s">
        <v>14464</v>
      </c>
      <c r="E2970" s="3">
        <f>IFERROR(VLOOKUP(B2970,'DA1'!$B$2:$D$999999,3,FALSE),"")</f>
      </c>
      <c r="F2970" s="1" t="str">
        <f>IFERROR(VLOOKUP(B2970,'SB1'!$A$2:$C$999999,3,FALSE),"")</f>
        <v>503</v>
      </c>
      <c r="G2970" s="3" t="e">
        <f t="shared" si="105"/>
        <v>#VALUE!</v>
      </c>
      <c r="H2970" s="3" t="e">
        <f t="shared" si="104"/>
        <v>#VALUE!</v>
      </c>
      <c r="I2970" s="1">
        <v>1</v>
      </c>
    </row>
    <row r="2971" spans="1:9" x14ac:dyDescent="0.25">
      <c r="A2971" s="1" t="s">
        <v>14435</v>
      </c>
      <c r="B2971" s="1" t="s">
        <v>8517</v>
      </c>
      <c r="C2971" s="1" t="str">
        <f>IFERROR(VLOOKUP(B2971,'SB1'!$A$2:$B$999999,2,FALSE),"")</f>
        <v>ADAPTADOR PSN+ 8A.1</v>
      </c>
      <c r="D2971" s="1" t="s">
        <v>14464</v>
      </c>
      <c r="E2971" s="3">
        <f>IFERROR(VLOOKUP(B2971,'DA1'!$B$2:$D$999999,3,FALSE),"")</f>
      </c>
      <c r="F2971" s="1" t="str">
        <f>IFERROR(VLOOKUP(B2971,'SB1'!$A$2:$C$999999,3,FALSE),"")</f>
        <v>503</v>
      </c>
      <c r="G2971" s="3" t="e">
        <f t="shared" si="105"/>
        <v>#VALUE!</v>
      </c>
      <c r="H2971" s="3" t="e">
        <f t="shared" si="104"/>
        <v>#VALUE!</v>
      </c>
      <c r="I2971" s="1">
        <v>1</v>
      </c>
    </row>
    <row r="2972" spans="1:9" x14ac:dyDescent="0.25">
      <c r="A2972" s="1" t="s">
        <v>14435</v>
      </c>
      <c r="B2972" s="1" t="s">
        <v>8519</v>
      </c>
      <c r="C2972" s="1" t="str">
        <f>IFERROR(VLOOKUP(B2972,'SB1'!$A$2:$B$999999,2,FALSE),"")</f>
        <v>ADAPTADOR PSN+ 22A.1</v>
      </c>
      <c r="D2972" s="1" t="s">
        <v>14464</v>
      </c>
      <c r="E2972" s="3">
        <f>IFERROR(VLOOKUP(B2972,'DA1'!$B$2:$D$999999,3,FALSE),"")</f>
      </c>
      <c r="F2972" s="1" t="str">
        <f>IFERROR(VLOOKUP(B2972,'SB1'!$A$2:$C$999999,3,FALSE),"")</f>
        <v>503</v>
      </c>
      <c r="G2972" s="3" t="e">
        <f t="shared" si="105"/>
        <v>#VALUE!</v>
      </c>
      <c r="H2972" s="3" t="e">
        <f t="shared" si="104"/>
        <v>#VALUE!</v>
      </c>
      <c r="I2972" s="1">
        <v>1</v>
      </c>
    </row>
    <row r="2973" spans="1:9" x14ac:dyDescent="0.25">
      <c r="A2973" s="1" t="s">
        <v>14435</v>
      </c>
      <c r="B2973" s="1" t="s">
        <v>8521</v>
      </c>
      <c r="C2973" s="1" t="str">
        <f>IFERROR(VLOOKUP(B2973,'SB1'!$A$2:$B$999999,2,FALSE),"")</f>
        <v>ADAPTADOR PSN+ 32A.1</v>
      </c>
      <c r="D2973" s="1" t="s">
        <v>14464</v>
      </c>
      <c r="E2973" s="3">
        <f>IFERROR(VLOOKUP(B2973,'DA1'!$B$2:$D$999999,3,FALSE),"")</f>
      </c>
      <c r="F2973" s="1" t="str">
        <f>IFERROR(VLOOKUP(B2973,'SB1'!$A$2:$C$999999,3,FALSE),"")</f>
        <v>503</v>
      </c>
      <c r="G2973" s="3" t="e">
        <f t="shared" si="105"/>
        <v>#VALUE!</v>
      </c>
      <c r="H2973" s="3" t="e">
        <f t="shared" si="104"/>
        <v>#VALUE!</v>
      </c>
      <c r="I2973" s="1">
        <v>1</v>
      </c>
    </row>
    <row r="2974" spans="1:9" x14ac:dyDescent="0.25">
      <c r="A2974" s="1" t="s">
        <v>14435</v>
      </c>
      <c r="B2974" s="1" t="s">
        <v>8527</v>
      </c>
      <c r="C2974" s="1" t="str">
        <f>IFERROR(VLOOKUP(B2974,'SB1'!$A$2:$B$999999,2,FALSE),"")</f>
        <v>T477.E1 EXTRA COARSE METALLIC X 1</v>
      </c>
      <c r="D2974" s="1" t="s">
        <v>14457</v>
      </c>
      <c r="E2974" s="3">
        <f>IFERROR(VLOOKUP(B2974,'DA1'!$B$2:$D$999999,3,FALSE),"")</f>
      </c>
      <c r="F2974" s="1" t="str">
        <f>IFERROR(VLOOKUP(B2974,'SB1'!$A$2:$C$999999,3,FALSE),"")</f>
        <v>503</v>
      </c>
      <c r="G2974" s="3" t="e">
        <f t="shared" si="105"/>
        <v>#VALUE!</v>
      </c>
      <c r="H2974" s="3" t="e">
        <f t="shared" si="104"/>
        <v>#VALUE!</v>
      </c>
      <c r="I2974" s="1">
        <v>3</v>
      </c>
    </row>
    <row r="2975" spans="1:9" x14ac:dyDescent="0.25">
      <c r="A2975" s="1" t="s">
        <v>14435</v>
      </c>
      <c r="B2975" s="1" t="s">
        <v>8529</v>
      </c>
      <c r="C2975" s="1" t="str">
        <f>IFERROR(VLOOKUP(B2975,'SB1'!$A$2:$B$999999,2,FALSE),"")</f>
        <v>D837P.10 DESENGRASANTE SPIRIT WIPE PPG X 4</v>
      </c>
      <c r="D2975" s="1" t="s">
        <v>14446</v>
      </c>
      <c r="E2975" s="3">
        <f>IFERROR(VLOOKUP(B2975,'DA1'!$B$2:$D$999999,3,FALSE),"")</f>
      </c>
      <c r="F2975" s="1" t="str">
        <f>IFERROR(VLOOKUP(B2975,'SB1'!$A$2:$C$999999,3,FALSE),"")</f>
        <v>503</v>
      </c>
      <c r="G2975" s="3" t="e">
        <f t="shared" si="105"/>
        <v>#VALUE!</v>
      </c>
      <c r="H2975" s="3" t="e">
        <f t="shared" si="104"/>
        <v>#VALUE!</v>
      </c>
      <c r="I2975" s="1">
        <v>3</v>
      </c>
    </row>
    <row r="2976" spans="1:8" x14ac:dyDescent="0.25">
      <c r="A2976" s="1" t="s">
        <v>14435</v>
      </c>
      <c r="B2976" s="1" t="s">
        <v>8531</v>
      </c>
      <c r="C2976" s="1" t="str">
        <f>IFERROR(VLOOKUP(B2976,'SB1'!$A$2:$B$999999,2,FALSE),"")</f>
        <v>DCH3085 CATALIZADOR NORMAL TEMPERATURA MEDIA P/ DC3000/4000 X 0,237</v>
      </c>
      <c r="D2976" s="1" t="s">
        <v>14439</v>
      </c>
      <c r="E2976" s="3">
        <f>IFERROR(VLOOKUP(B2976,'DA1'!$B$2:$D$999999,3,FALSE),"")</f>
      </c>
      <c r="F2976" s="1" t="str">
        <f>IFERROR(VLOOKUP(B2976,'SB1'!$A$2:$C$999999,3,FALSE),"")</f>
        <v>503</v>
      </c>
      <c r="G2976" s="3" t="e">
        <f t="shared" si="105"/>
        <v>#VALUE!</v>
      </c>
      <c r="H2976" s="3" t="e">
        <f t="shared" si="104"/>
        <v>#VALUE!</v>
      </c>
    </row>
    <row r="2977" spans="1:9" x14ac:dyDescent="0.25">
      <c r="A2977" s="1" t="s">
        <v>14435</v>
      </c>
      <c r="B2977" s="1" t="s">
        <v>8533</v>
      </c>
      <c r="C2977" s="1" t="str">
        <f>IFERROR(VLOOKUP(B2977,'SB1'!$A$2:$B$999999,2,FALSE),"")</f>
        <v>T479 COARSE SILVER DOLLAR ALUMINIUM X 1</v>
      </c>
      <c r="D2977" s="1" t="s">
        <v>14457</v>
      </c>
      <c r="E2977" s="3">
        <f>IFERROR(VLOOKUP(B2977,'DA1'!$B$2:$D$999999,3,FALSE),"")</f>
      </c>
      <c r="F2977" s="1" t="str">
        <f>IFERROR(VLOOKUP(B2977,'SB1'!$A$2:$C$999999,3,FALSE),"")</f>
        <v>503</v>
      </c>
      <c r="G2977" s="3" t="e">
        <f t="shared" si="105"/>
        <v>#VALUE!</v>
      </c>
      <c r="H2977" s="3" t="e">
        <f t="shared" si="104"/>
        <v>#VALUE!</v>
      </c>
      <c r="I2977" s="1">
        <v>3</v>
      </c>
    </row>
    <row r="2978" spans="1:9" x14ac:dyDescent="0.25">
      <c r="A2978" s="1" t="s">
        <v>14435</v>
      </c>
      <c r="B2978" s="1" t="s">
        <v>8535</v>
      </c>
      <c r="C2978" s="1" t="str">
        <f>IFERROR(VLOOKUP(B2978,'SB1'!$A$2:$B$999999,2,FALSE),"")</f>
        <v>T491 MATTING BASE X 1</v>
      </c>
      <c r="D2978" s="1" t="s">
        <v>14457</v>
      </c>
      <c r="E2978" s="3">
        <f>IFERROR(VLOOKUP(B2978,'DA1'!$B$2:$D$999999,3,FALSE),"")</f>
      </c>
      <c r="F2978" s="1" t="str">
        <f>IFERROR(VLOOKUP(B2978,'SB1'!$A$2:$C$999999,3,FALSE),"")</f>
        <v>503</v>
      </c>
      <c r="G2978" s="3" t="e">
        <f t="shared" si="105"/>
        <v>#VALUE!</v>
      </c>
      <c r="H2978" s="3" t="e">
        <f t="shared" si="104"/>
        <v>#VALUE!</v>
      </c>
      <c r="I2978" s="1">
        <v>3</v>
      </c>
    </row>
    <row r="2979" spans="1:9" x14ac:dyDescent="0.25">
      <c r="A2979" s="1" t="s">
        <v>14435</v>
      </c>
      <c r="B2979" s="1" t="s">
        <v>8537</v>
      </c>
      <c r="C2979" s="1" t="str">
        <f>IFERROR(VLOOKUP(B2979,'SB1'!$A$2:$B$999999,2,FALSE),"")</f>
        <v>T4000 CRISTAL SILVER X 0,500</v>
      </c>
      <c r="D2979" s="1" t="s">
        <v>14457</v>
      </c>
      <c r="E2979" s="3">
        <f>IFERROR(VLOOKUP(B2979,'DA1'!$B$2:$D$999999,3,FALSE),"")</f>
      </c>
      <c r="F2979" s="1" t="str">
        <f>IFERROR(VLOOKUP(B2979,'SB1'!$A$2:$C$999999,3,FALSE),"")</f>
        <v>503</v>
      </c>
      <c r="G2979" s="3" t="e">
        <f t="shared" si="105"/>
        <v>#VALUE!</v>
      </c>
      <c r="H2979" s="3" t="e">
        <f t="shared" si="104"/>
        <v>#VALUE!</v>
      </c>
      <c r="I2979" s="1">
        <v>3</v>
      </c>
    </row>
    <row r="2980" spans="1:9" x14ac:dyDescent="0.25">
      <c r="A2980" s="1" t="s">
        <v>14435</v>
      </c>
      <c r="B2980" s="1" t="s">
        <v>8539</v>
      </c>
      <c r="C2980" s="1" t="str">
        <f>IFERROR(VLOOKUP(B2980,'SB1'!$A$2:$B$999999,2,FALSE),"")</f>
        <v>T4001 ENVIROBASE TINTER BASE ACUOSA X 0,500</v>
      </c>
      <c r="D2980" s="1" t="s">
        <v>14457</v>
      </c>
      <c r="E2980" s="3">
        <f>IFERROR(VLOOKUP(B2980,'DA1'!$B$2:$D$999999,3,FALSE),"")</f>
      </c>
      <c r="F2980" s="1" t="str">
        <f>IFERROR(VLOOKUP(B2980,'SB1'!$A$2:$C$999999,3,FALSE),"")</f>
        <v>503</v>
      </c>
      <c r="G2980" s="3" t="e">
        <f t="shared" si="105"/>
        <v>#VALUE!</v>
      </c>
      <c r="H2980" s="3" t="e">
        <f t="shared" si="104"/>
        <v>#VALUE!</v>
      </c>
      <c r="I2980" s="1">
        <v>3</v>
      </c>
    </row>
    <row r="2981" spans="1:9" x14ac:dyDescent="0.25">
      <c r="A2981" s="1" t="s">
        <v>14435</v>
      </c>
      <c r="B2981" s="1" t="s">
        <v>8541</v>
      </c>
      <c r="C2981" s="1" t="str">
        <f>IFERROR(VLOOKUP(B2981,'SB1'!$A$2:$B$999999,2,FALSE),"")</f>
        <v>T4003 GALAXY BLUE X 0,500</v>
      </c>
      <c r="D2981" s="1" t="s">
        <v>14457</v>
      </c>
      <c r="E2981" s="3">
        <f>IFERROR(VLOOKUP(B2981,'DA1'!$B$2:$D$999999,3,FALSE),"")</f>
      </c>
      <c r="F2981" s="1" t="str">
        <f>IFERROR(VLOOKUP(B2981,'SB1'!$A$2:$C$999999,3,FALSE),"")</f>
        <v>503</v>
      </c>
      <c r="G2981" s="3" t="e">
        <f t="shared" si="105"/>
        <v>#VALUE!</v>
      </c>
      <c r="H2981" s="3" t="e">
        <f t="shared" si="104"/>
        <v>#VALUE!</v>
      </c>
      <c r="I2981" s="1">
        <v>3</v>
      </c>
    </row>
    <row r="2982" spans="1:9" x14ac:dyDescent="0.25">
      <c r="A2982" s="1" t="s">
        <v>14435</v>
      </c>
      <c r="B2982" s="1" t="s">
        <v>8543</v>
      </c>
      <c r="C2982" s="1" t="str">
        <f>IFERROR(VLOOKUP(B2982,'SB1'!$A$2:$B$999999,2,FALSE),"")</f>
        <v>T4004 STELLAR GREEN X 0,500</v>
      </c>
      <c r="D2982" s="1" t="s">
        <v>14457</v>
      </c>
      <c r="E2982" s="3">
        <f>IFERROR(VLOOKUP(B2982,'DA1'!$B$2:$D$999999,3,FALSE),"")</f>
      </c>
      <c r="F2982" s="1" t="str">
        <f>IFERROR(VLOOKUP(B2982,'SB1'!$A$2:$C$999999,3,FALSE),"")</f>
        <v>503</v>
      </c>
      <c r="G2982" s="3" t="e">
        <f t="shared" si="105"/>
        <v>#VALUE!</v>
      </c>
      <c r="H2982" s="3" t="e">
        <f t="shared" si="104"/>
        <v>#VALUE!</v>
      </c>
      <c r="I2982" s="1">
        <v>3</v>
      </c>
    </row>
    <row r="2983" spans="1:9" x14ac:dyDescent="0.25">
      <c r="A2983" s="1" t="s">
        <v>14435</v>
      </c>
      <c r="B2983" s="1" t="s">
        <v>8545</v>
      </c>
      <c r="C2983" s="1" t="str">
        <f>IFERROR(VLOOKUP(B2983,'SB1'!$A$2:$B$999999,2,FALSE),"")</f>
        <v>T4032 ENVIROBASE TINTER BARNIZ X 0,250</v>
      </c>
      <c r="D2983" s="1" t="s">
        <v>14457</v>
      </c>
      <c r="E2983" s="3">
        <f>IFERROR(VLOOKUP(B2983,'DA1'!$B$2:$D$999999,3,FALSE),"")</f>
      </c>
      <c r="F2983" s="1" t="str">
        <f>IFERROR(VLOOKUP(B2983,'SB1'!$A$2:$C$999999,3,FALSE),"")</f>
        <v>503</v>
      </c>
      <c r="G2983" s="3" t="e">
        <f t="shared" si="105"/>
        <v>#VALUE!</v>
      </c>
      <c r="H2983" s="3" t="e">
        <f t="shared" si="104"/>
        <v>#VALUE!</v>
      </c>
      <c r="I2983" s="1">
        <v>3</v>
      </c>
    </row>
    <row r="2984" spans="1:9" x14ac:dyDescent="0.25">
      <c r="A2984" s="1" t="s">
        <v>14435</v>
      </c>
      <c r="B2984" s="1" t="s">
        <v>8547</v>
      </c>
      <c r="C2984" s="1" t="str">
        <f>IFERROR(VLOOKUP(B2984,'SB1'!$A$2:$B$999999,2,FALSE),"")</f>
        <v>T4034 ENVIROBASE TINTER BARNIZ X 0,250</v>
      </c>
      <c r="D2984" s="1" t="s">
        <v>14457</v>
      </c>
      <c r="E2984" s="3">
        <f>IFERROR(VLOOKUP(B2984,'DA1'!$B$2:$D$999999,3,FALSE),"")</f>
      </c>
      <c r="F2984" s="1" t="str">
        <f>IFERROR(VLOOKUP(B2984,'SB1'!$A$2:$C$999999,3,FALSE),"")</f>
        <v>503</v>
      </c>
      <c r="G2984" s="3" t="e">
        <f t="shared" si="105"/>
        <v>#VALUE!</v>
      </c>
      <c r="H2984" s="3" t="e">
        <f t="shared" si="104"/>
        <v>#VALUE!</v>
      </c>
      <c r="I2984" s="1">
        <v>3</v>
      </c>
    </row>
    <row r="2985" spans="1:9" x14ac:dyDescent="0.25">
      <c r="A2985" s="1" t="s">
        <v>14435</v>
      </c>
      <c r="B2985" s="1" t="s">
        <v>8549</v>
      </c>
      <c r="C2985" s="1" t="str">
        <f>IFERROR(VLOOKUP(B2985,'SB1'!$A$2:$B$999999,2,FALSE),"")</f>
        <v>T4040 ORANGE FLASH X 0,500</v>
      </c>
      <c r="D2985" s="1" t="s">
        <v>14457</v>
      </c>
      <c r="E2985" s="3">
        <f>IFERROR(VLOOKUP(B2985,'DA1'!$B$2:$D$999999,3,FALSE),"")</f>
      </c>
      <c r="F2985" s="1" t="str">
        <f>IFERROR(VLOOKUP(B2985,'SB1'!$A$2:$C$999999,3,FALSE),"")</f>
        <v>503</v>
      </c>
      <c r="G2985" s="3" t="e">
        <f t="shared" si="105"/>
        <v>#VALUE!</v>
      </c>
      <c r="H2985" s="3" t="e">
        <f t="shared" si="104"/>
        <v>#VALUE!</v>
      </c>
      <c r="I2985" s="1">
        <v>3</v>
      </c>
    </row>
    <row r="2986" spans="1:9" x14ac:dyDescent="0.25">
      <c r="A2986" s="1" t="s">
        <v>14435</v>
      </c>
      <c r="B2986" s="1" t="s">
        <v>8551</v>
      </c>
      <c r="C2986" s="1" t="str">
        <f>IFERROR(VLOOKUP(B2986,'SB1'!$A$2:$B$999999,2,FALSE),"")</f>
        <v>T4700 LIQUID METAL  X 0,250</v>
      </c>
      <c r="D2986" s="1" t="s">
        <v>14457</v>
      </c>
      <c r="E2986" s="3">
        <f>IFERROR(VLOOKUP(B2986,'DA1'!$B$2:$D$999999,3,FALSE),"")</f>
      </c>
      <c r="F2986" s="1" t="str">
        <f>IFERROR(VLOOKUP(B2986,'SB1'!$A$2:$C$999999,3,FALSE),"")</f>
        <v>503</v>
      </c>
      <c r="G2986" s="3" t="e">
        <f t="shared" si="105"/>
        <v>#VALUE!</v>
      </c>
      <c r="H2986" s="3" t="e">
        <f t="shared" si="104"/>
        <v>#VALUE!</v>
      </c>
      <c r="I2986" s="1">
        <v>3</v>
      </c>
    </row>
    <row r="2987" spans="1:9" x14ac:dyDescent="0.25">
      <c r="A2987" s="1" t="s">
        <v>14435</v>
      </c>
      <c r="B2987" s="1" t="s">
        <v>8553</v>
      </c>
      <c r="C2987" s="1" t="str">
        <f>IFERROR(VLOOKUP(B2987,'SB1'!$A$2:$B$999999,2,FALSE),"")</f>
        <v>T4705 ENVIROBASE HP LIQUID METAL II X 0,500</v>
      </c>
      <c r="D2987" s="1" t="s">
        <v>14457</v>
      </c>
      <c r="E2987" s="3">
        <f>IFERROR(VLOOKUP(B2987,'DA1'!$B$2:$D$999999,3,FALSE),"")</f>
      </c>
      <c r="F2987" s="1" t="str">
        <f>IFERROR(VLOOKUP(B2987,'SB1'!$A$2:$C$999999,3,FALSE),"")</f>
        <v>503</v>
      </c>
      <c r="G2987" s="3" t="e">
        <f t="shared" si="105"/>
        <v>#VALUE!</v>
      </c>
      <c r="H2987" s="3" t="e">
        <f t="shared" si="104"/>
        <v>#VALUE!</v>
      </c>
      <c r="I2987" s="1">
        <v>3</v>
      </c>
    </row>
    <row r="2988" spans="1:9" x14ac:dyDescent="0.25">
      <c r="A2988" s="1" t="s">
        <v>14435</v>
      </c>
      <c r="B2988" s="1" t="s">
        <v>8555</v>
      </c>
      <c r="C2988" s="1" t="str">
        <f>IFERROR(VLOOKUP(B2988,'SB1'!$A$2:$B$999999,2,FALSE),"")</f>
        <v>T400/E2 WHITE X 2</v>
      </c>
      <c r="D2988" s="1" t="s">
        <v>14457</v>
      </c>
      <c r="E2988" s="3">
        <f>IFERROR(VLOOKUP(B2988,'DA1'!$B$2:$D$999999,3,FALSE),"")</f>
      </c>
      <c r="F2988" s="1" t="str">
        <f>IFERROR(VLOOKUP(B2988,'SB1'!$A$2:$C$999999,3,FALSE),"")</f>
        <v>503</v>
      </c>
      <c r="G2988" s="3" t="e">
        <f t="shared" si="105"/>
        <v>#VALUE!</v>
      </c>
      <c r="H2988" s="3" t="e">
        <f t="shared" si="104"/>
        <v>#VALUE!</v>
      </c>
      <c r="I2988" s="1">
        <v>3</v>
      </c>
    </row>
    <row r="2989" spans="1:9" x14ac:dyDescent="0.25">
      <c r="A2989" s="1" t="s">
        <v>14435</v>
      </c>
      <c r="B2989" s="1" t="s">
        <v>8557</v>
      </c>
      <c r="C2989" s="1" t="str">
        <f>IFERROR(VLOOKUP(B2989,'SB1'!$A$2:$B$999999,2,FALSE),"")</f>
        <v>T404 TRACE BLUE BLACK X 0,500</v>
      </c>
      <c r="D2989" s="1" t="s">
        <v>14457</v>
      </c>
      <c r="E2989" s="3">
        <f>IFERROR(VLOOKUP(B2989,'DA1'!$B$2:$D$999999,3,FALSE),"")</f>
      </c>
      <c r="F2989" s="1" t="str">
        <f>IFERROR(VLOOKUP(B2989,'SB1'!$A$2:$C$999999,3,FALSE),"")</f>
        <v>503</v>
      </c>
      <c r="G2989" s="3" t="e">
        <f t="shared" si="105"/>
        <v>#VALUE!</v>
      </c>
      <c r="H2989" s="3" t="e">
        <f t="shared" si="104"/>
        <v>#VALUE!</v>
      </c>
      <c r="I2989" s="1">
        <v>3</v>
      </c>
    </row>
    <row r="2990" spans="1:9" x14ac:dyDescent="0.25">
      <c r="A2990" s="1" t="s">
        <v>14435</v>
      </c>
      <c r="B2990" s="1" t="s">
        <v>8559</v>
      </c>
      <c r="C2990" s="1" t="str">
        <f>IFERROR(VLOOKUP(B2990,'SB1'!$A$2:$B$999999,2,FALSE),"")</f>
        <v>T406 BLUE BLACK X 1</v>
      </c>
      <c r="D2990" s="1" t="s">
        <v>14457</v>
      </c>
      <c r="E2990" s="3">
        <f>IFERROR(VLOOKUP(B2990,'DA1'!$B$2:$D$999999,3,FALSE),"")</f>
      </c>
      <c r="F2990" s="1" t="str">
        <f>IFERROR(VLOOKUP(B2990,'SB1'!$A$2:$C$999999,3,FALSE),"")</f>
        <v>503</v>
      </c>
      <c r="G2990" s="3" t="e">
        <f t="shared" si="105"/>
        <v>#VALUE!</v>
      </c>
      <c r="H2990" s="3" t="e">
        <f t="shared" si="104"/>
        <v>#VALUE!</v>
      </c>
      <c r="I2990" s="1">
        <v>3</v>
      </c>
    </row>
    <row r="2991" spans="1:9" x14ac:dyDescent="0.25">
      <c r="A2991" s="1" t="s">
        <v>14435</v>
      </c>
      <c r="B2991" s="1" t="s">
        <v>8561</v>
      </c>
      <c r="C2991" s="1" t="str">
        <f>IFERROR(VLOOKUP(B2991,'SB1'!$A$2:$B$999999,2,FALSE),"")</f>
        <v>T407 JET BLACK X 2</v>
      </c>
      <c r="D2991" s="1" t="s">
        <v>14457</v>
      </c>
      <c r="E2991" s="3">
        <f>IFERROR(VLOOKUP(B2991,'DA1'!$B$2:$D$999999,3,FALSE),"")</f>
      </c>
      <c r="F2991" s="1" t="str">
        <f>IFERROR(VLOOKUP(B2991,'SB1'!$A$2:$C$999999,3,FALSE),"")</f>
        <v>503</v>
      </c>
      <c r="G2991" s="3" t="e">
        <f t="shared" si="105"/>
        <v>#VALUE!</v>
      </c>
      <c r="H2991" s="3" t="e">
        <f t="shared" si="104"/>
        <v>#VALUE!</v>
      </c>
      <c r="I2991" s="1">
        <v>3</v>
      </c>
    </row>
    <row r="2992" spans="1:9" x14ac:dyDescent="0.25">
      <c r="A2992" s="1" t="s">
        <v>14435</v>
      </c>
      <c r="B2992" s="1" t="s">
        <v>8563</v>
      </c>
      <c r="C2992" s="1" t="str">
        <f>IFERROR(VLOOKUP(B2992,'SB1'!$A$2:$B$999999,2,FALSE),"")</f>
        <v>T413 BRIGHT BLUE X 1</v>
      </c>
      <c r="D2992" s="1" t="s">
        <v>14457</v>
      </c>
      <c r="E2992" s="3">
        <f>IFERROR(VLOOKUP(B2992,'DA1'!$B$2:$D$999999,3,FALSE),"")</f>
      </c>
      <c r="F2992" s="1" t="str">
        <f>IFERROR(VLOOKUP(B2992,'SB1'!$A$2:$C$999999,3,FALSE),"")</f>
        <v>503</v>
      </c>
      <c r="G2992" s="3" t="e">
        <f t="shared" si="105"/>
        <v>#VALUE!</v>
      </c>
      <c r="H2992" s="3" t="e">
        <f t="shared" si="104"/>
        <v>#VALUE!</v>
      </c>
      <c r="I2992" s="1">
        <v>3</v>
      </c>
    </row>
    <row r="2993" spans="1:9" x14ac:dyDescent="0.25">
      <c r="A2993" s="1" t="s">
        <v>14435</v>
      </c>
      <c r="B2993" s="1" t="s">
        <v>8565</v>
      </c>
      <c r="C2993" s="1" t="str">
        <f>IFERROR(VLOOKUP(B2993,'SB1'!$A$2:$B$999999,2,FALSE),"")</f>
        <v>T415 TRACE BLUE X 0,500</v>
      </c>
      <c r="D2993" s="1" t="s">
        <v>14457</v>
      </c>
      <c r="E2993" s="3">
        <f>IFERROR(VLOOKUP(B2993,'DA1'!$B$2:$D$999999,3,FALSE),"")</f>
      </c>
      <c r="F2993" s="1" t="str">
        <f>IFERROR(VLOOKUP(B2993,'SB1'!$A$2:$C$999999,3,FALSE),"")</f>
        <v>503</v>
      </c>
      <c r="G2993" s="3" t="e">
        <f t="shared" si="105"/>
        <v>#VALUE!</v>
      </c>
      <c r="H2993" s="3" t="e">
        <f t="shared" si="104"/>
        <v>#VALUE!</v>
      </c>
      <c r="I2993" s="1">
        <v>3</v>
      </c>
    </row>
    <row r="2994" spans="1:9" x14ac:dyDescent="0.25">
      <c r="A2994" s="1" t="s">
        <v>14435</v>
      </c>
      <c r="B2994" s="1" t="s">
        <v>8567</v>
      </c>
      <c r="C2994" s="1" t="str">
        <f>IFERROR(VLOOKUP(B2994,'SB1'!$A$2:$B$999999,2,FALSE),"")</f>
        <v>T420 HIGH STRENGH BLUE X 1</v>
      </c>
      <c r="D2994" s="1" t="s">
        <v>14457</v>
      </c>
      <c r="E2994" s="3">
        <f>IFERROR(VLOOKUP(B2994,'DA1'!$B$2:$D$999999,3,FALSE),"")</f>
      </c>
      <c r="F2994" s="1" t="str">
        <f>IFERROR(VLOOKUP(B2994,'SB1'!$A$2:$C$999999,3,FALSE),"")</f>
        <v>503</v>
      </c>
      <c r="G2994" s="3" t="e">
        <f t="shared" si="105"/>
        <v>#VALUE!</v>
      </c>
      <c r="H2994" s="3" t="e">
        <f t="shared" si="104"/>
        <v>#VALUE!</v>
      </c>
      <c r="I2994" s="1">
        <v>3</v>
      </c>
    </row>
    <row r="2995" spans="1:9" x14ac:dyDescent="0.25">
      <c r="A2995" s="1" t="s">
        <v>14435</v>
      </c>
      <c r="B2995" s="1" t="s">
        <v>8569</v>
      </c>
      <c r="C2995" s="1" t="str">
        <f>IFERROR(VLOOKUP(B2995,'SB1'!$A$2:$B$999999,2,FALSE),"")</f>
        <v>T422 YELLOW OXIDE X 0,500</v>
      </c>
      <c r="D2995" s="1" t="s">
        <v>14457</v>
      </c>
      <c r="E2995" s="3">
        <f>IFERROR(VLOOKUP(B2995,'DA1'!$B$2:$D$999999,3,FALSE),"")</f>
      </c>
      <c r="F2995" s="1" t="str">
        <f>IFERROR(VLOOKUP(B2995,'SB1'!$A$2:$C$999999,3,FALSE),"")</f>
        <v>503</v>
      </c>
      <c r="G2995" s="3" t="e">
        <f t="shared" si="105"/>
        <v>#VALUE!</v>
      </c>
      <c r="H2995" s="3" t="e">
        <f t="shared" si="104"/>
        <v>#VALUE!</v>
      </c>
      <c r="I2995" s="1">
        <v>3</v>
      </c>
    </row>
    <row r="2996" spans="1:9" x14ac:dyDescent="0.25">
      <c r="A2996" s="1" t="s">
        <v>14435</v>
      </c>
      <c r="B2996" s="1" t="s">
        <v>8571</v>
      </c>
      <c r="C2996" s="1" t="str">
        <f>IFERROR(VLOOKUP(B2996,'SB1'!$A$2:$B$999999,2,FALSE),"")</f>
        <v>T423 TRACE YELLOW OXIDE X 0,500</v>
      </c>
      <c r="D2996" s="1" t="s">
        <v>14457</v>
      </c>
      <c r="E2996" s="3">
        <f>IFERROR(VLOOKUP(B2996,'DA1'!$B$2:$D$999999,3,FALSE),"")</f>
      </c>
      <c r="F2996" s="1" t="str">
        <f>IFERROR(VLOOKUP(B2996,'SB1'!$A$2:$C$999999,3,FALSE),"")</f>
        <v>503</v>
      </c>
      <c r="G2996" s="3" t="e">
        <f t="shared" si="105"/>
        <v>#VALUE!</v>
      </c>
      <c r="H2996" s="3" t="e">
        <f t="shared" si="104"/>
        <v>#VALUE!</v>
      </c>
      <c r="I2996" s="1">
        <v>3</v>
      </c>
    </row>
    <row r="2997" spans="1:9" x14ac:dyDescent="0.25">
      <c r="A2997" s="1" t="s">
        <v>14435</v>
      </c>
      <c r="B2997" s="1" t="s">
        <v>8573</v>
      </c>
      <c r="C2997" s="1" t="str">
        <f>IFERROR(VLOOKUP(B2997,'SB1'!$A$2:$B$999999,2,FALSE),"")</f>
        <v>T426 WARM YELLOW X 0,500</v>
      </c>
      <c r="D2997" s="1" t="s">
        <v>14457</v>
      </c>
      <c r="E2997" s="3">
        <f>IFERROR(VLOOKUP(B2997,'DA1'!$B$2:$D$999999,3,FALSE),"")</f>
      </c>
      <c r="F2997" s="1" t="str">
        <f>IFERROR(VLOOKUP(B2997,'SB1'!$A$2:$C$999999,3,FALSE),"")</f>
        <v>503</v>
      </c>
      <c r="G2997" s="3" t="e">
        <f t="shared" si="105"/>
        <v>#VALUE!</v>
      </c>
      <c r="H2997" s="3" t="e">
        <f t="shared" si="104"/>
        <v>#VALUE!</v>
      </c>
      <c r="I2997" s="1">
        <v>3</v>
      </c>
    </row>
    <row r="2998" spans="1:9" x14ac:dyDescent="0.25">
      <c r="A2998" s="1" t="s">
        <v>14435</v>
      </c>
      <c r="B2998" s="1" t="s">
        <v>8575</v>
      </c>
      <c r="C2998" s="1" t="str">
        <f>IFERROR(VLOOKUP(B2998,'SB1'!$A$2:$B$999999,2,FALSE),"")</f>
        <v>T4281 ENVIROBASE HP SOLID X 0,500</v>
      </c>
      <c r="D2998" s="1" t="s">
        <v>14457</v>
      </c>
      <c r="E2998" s="3">
        <f>IFERROR(VLOOKUP(B2998,'DA1'!$B$2:$D$999999,3,FALSE),"")</f>
      </c>
      <c r="F2998" s="1" t="str">
        <f>IFERROR(VLOOKUP(B2998,'SB1'!$A$2:$C$999999,3,FALSE),"")</f>
        <v>503</v>
      </c>
      <c r="G2998" s="3" t="e">
        <f t="shared" si="105"/>
        <v>#VALUE!</v>
      </c>
      <c r="H2998" s="3" t="e">
        <f t="shared" si="104"/>
        <v>#VALUE!</v>
      </c>
      <c r="I2998" s="1">
        <v>3</v>
      </c>
    </row>
    <row r="2999" spans="1:9" x14ac:dyDescent="0.25">
      <c r="A2999" s="1" t="s">
        <v>14435</v>
      </c>
      <c r="B2999" s="1" t="s">
        <v>8577</v>
      </c>
      <c r="C2999" s="1" t="str">
        <f>IFERROR(VLOOKUP(B2999,'SB1'!$A$2:$B$999999,2,FALSE),"")</f>
        <v>T4311 ENVIROBASE HC GREEN X 0,500</v>
      </c>
      <c r="D2999" s="1" t="s">
        <v>14457</v>
      </c>
      <c r="E2999" s="3">
        <f>IFERROR(VLOOKUP(B2999,'DA1'!$B$2:$D$999999,3,FALSE),"")</f>
      </c>
      <c r="F2999" s="1" t="str">
        <f>IFERROR(VLOOKUP(B2999,'SB1'!$A$2:$C$999999,3,FALSE),"")</f>
        <v>503</v>
      </c>
      <c r="G2999" s="3" t="e">
        <f t="shared" si="105"/>
        <v>#VALUE!</v>
      </c>
      <c r="H2999" s="3" t="e">
        <f t="shared" si="104"/>
        <v>#VALUE!</v>
      </c>
      <c r="I2999" s="1">
        <v>3</v>
      </c>
    </row>
    <row r="3000" spans="1:9" x14ac:dyDescent="0.25">
      <c r="A3000" s="1" t="s">
        <v>14435</v>
      </c>
      <c r="B3000" s="1" t="s">
        <v>8579</v>
      </c>
      <c r="C3000" s="1" t="str">
        <f>IFERROR(VLOOKUP(B3000,'SB1'!$A$2:$B$999999,2,FALSE),"")</f>
        <v>T433 BRILLIANT ORANGE X 0,500</v>
      </c>
      <c r="D3000" s="1" t="s">
        <v>14457</v>
      </c>
      <c r="E3000" s="3">
        <f>IFERROR(VLOOKUP(B3000,'DA1'!$B$2:$D$999999,3,FALSE),"")</f>
      </c>
      <c r="F3000" s="1" t="str">
        <f>IFERROR(VLOOKUP(B3000,'SB1'!$A$2:$C$999999,3,FALSE),"")</f>
        <v>503</v>
      </c>
      <c r="G3000" s="3" t="e">
        <f t="shared" si="105"/>
        <v>#VALUE!</v>
      </c>
      <c r="H3000" s="3" t="e">
        <f t="shared" si="104"/>
        <v>#VALUE!</v>
      </c>
      <c r="I3000" s="1">
        <v>3</v>
      </c>
    </row>
    <row r="3001" spans="1:9" x14ac:dyDescent="0.25">
      <c r="A3001" s="1" t="s">
        <v>14435</v>
      </c>
      <c r="B3001" s="1" t="s">
        <v>8581</v>
      </c>
      <c r="C3001" s="1" t="str">
        <f>IFERROR(VLOOKUP(B3001,'SB1'!$A$2:$B$999999,2,FALSE),"")</f>
        <v>T435 SALMON RED X 1</v>
      </c>
      <c r="D3001" s="1" t="s">
        <v>14457</v>
      </c>
      <c r="E3001" s="3">
        <f>IFERROR(VLOOKUP(B3001,'DA1'!$B$2:$D$999999,3,FALSE),"")</f>
      </c>
      <c r="F3001" s="1" t="str">
        <f>IFERROR(VLOOKUP(B3001,'SB1'!$A$2:$C$999999,3,FALSE),"")</f>
        <v>503</v>
      </c>
      <c r="G3001" s="3" t="e">
        <f t="shared" si="105"/>
        <v>#VALUE!</v>
      </c>
      <c r="H3001" s="3" t="e">
        <f t="shared" si="104"/>
        <v>#VALUE!</v>
      </c>
      <c r="I3001" s="1">
        <v>3</v>
      </c>
    </row>
    <row r="3002" spans="1:9" x14ac:dyDescent="0.25">
      <c r="A3002" s="1" t="s">
        <v>14435</v>
      </c>
      <c r="B3002" s="1" t="s">
        <v>8583</v>
      </c>
      <c r="C3002" s="1" t="str">
        <f>IFERROR(VLOOKUP(B3002,'SB1'!$A$2:$B$999999,2,FALSE),"")</f>
        <v>T4341 HC TRANSOXIDE RED X 0,500</v>
      </c>
      <c r="D3002" s="1" t="s">
        <v>14457</v>
      </c>
      <c r="E3002" s="3">
        <f>IFERROR(VLOOKUP(B3002,'DA1'!$B$2:$D$999999,3,FALSE),"")</f>
      </c>
      <c r="F3002" s="1" t="str">
        <f>IFERROR(VLOOKUP(B3002,'SB1'!$A$2:$C$999999,3,FALSE),"")</f>
        <v>503</v>
      </c>
      <c r="G3002" s="3" t="e">
        <f t="shared" si="105"/>
        <v>#VALUE!</v>
      </c>
      <c r="H3002" s="3" t="e">
        <f t="shared" si="104"/>
        <v>#VALUE!</v>
      </c>
      <c r="I3002" s="1">
        <v>3</v>
      </c>
    </row>
    <row r="3003" spans="1:9" x14ac:dyDescent="0.25">
      <c r="A3003" s="1" t="s">
        <v>14435</v>
      </c>
      <c r="B3003" s="1" t="s">
        <v>8585</v>
      </c>
      <c r="C3003" s="1" t="str">
        <f>IFERROR(VLOOKUP(B3003,'SB1'!$A$2:$B$999999,2,FALSE),"")</f>
        <v>T440 TRACE RED OXIDE X 0,500</v>
      </c>
      <c r="D3003" s="1" t="s">
        <v>14457</v>
      </c>
      <c r="E3003" s="3">
        <f>IFERROR(VLOOKUP(B3003,'DA1'!$B$2:$D$999999,3,FALSE),"")</f>
      </c>
      <c r="F3003" s="1" t="str">
        <f>IFERROR(VLOOKUP(B3003,'SB1'!$A$2:$C$999999,3,FALSE),"")</f>
        <v>503</v>
      </c>
      <c r="G3003" s="3" t="e">
        <f t="shared" si="105"/>
        <v>#VALUE!</v>
      </c>
      <c r="H3003" s="3" t="e">
        <f t="shared" si="104"/>
        <v>#VALUE!</v>
      </c>
      <c r="I3003" s="1">
        <v>3</v>
      </c>
    </row>
    <row r="3004" spans="1:9" x14ac:dyDescent="0.25">
      <c r="A3004" s="1" t="s">
        <v>14435</v>
      </c>
      <c r="B3004" s="1" t="s">
        <v>8587</v>
      </c>
      <c r="C3004" s="1" t="str">
        <f>IFERROR(VLOOKUP(B3004,'SB1'!$A$2:$B$999999,2,FALSE),"")</f>
        <v>T443 VIOLET X 1</v>
      </c>
      <c r="D3004" s="1" t="s">
        <v>14457</v>
      </c>
      <c r="E3004" s="3">
        <f>IFERROR(VLOOKUP(B3004,'DA1'!$B$2:$D$999999,3,FALSE),"")</f>
      </c>
      <c r="F3004" s="1" t="str">
        <f>IFERROR(VLOOKUP(B3004,'SB1'!$A$2:$C$999999,3,FALSE),"")</f>
        <v>503</v>
      </c>
      <c r="G3004" s="3" t="e">
        <f t="shared" si="105"/>
        <v>#VALUE!</v>
      </c>
      <c r="H3004" s="3" t="e">
        <f t="shared" si="104"/>
        <v>#VALUE!</v>
      </c>
      <c r="I3004" s="1">
        <v>3</v>
      </c>
    </row>
    <row r="3005" spans="1:9" x14ac:dyDescent="0.25">
      <c r="A3005" s="1" t="s">
        <v>14435</v>
      </c>
      <c r="B3005" s="1" t="s">
        <v>8589</v>
      </c>
      <c r="C3005" s="1" t="str">
        <f>IFERROR(VLOOKUP(B3005,'SB1'!$A$2:$B$999999,2,FALSE),"")</f>
        <v>T445 TRANSPARENT MAGENTA X 0,500</v>
      </c>
      <c r="D3005" s="1" t="s">
        <v>14457</v>
      </c>
      <c r="E3005" s="3">
        <f>IFERROR(VLOOKUP(B3005,'DA1'!$B$2:$D$999999,3,FALSE),"")</f>
      </c>
      <c r="F3005" s="1" t="str">
        <f>IFERROR(VLOOKUP(B3005,'SB1'!$A$2:$C$999999,3,FALSE),"")</f>
        <v>503</v>
      </c>
      <c r="G3005" s="3" t="e">
        <f t="shared" si="105"/>
        <v>#VALUE!</v>
      </c>
      <c r="H3005" s="3" t="e">
        <f t="shared" si="104"/>
        <v>#VALUE!</v>
      </c>
      <c r="I3005" s="1">
        <v>3</v>
      </c>
    </row>
    <row r="3006" spans="1:9" x14ac:dyDescent="0.25">
      <c r="A3006" s="1" t="s">
        <v>14435</v>
      </c>
      <c r="B3006" s="1" t="s">
        <v>8591</v>
      </c>
      <c r="C3006" s="1" t="str">
        <f>IFERROR(VLOOKUP(B3006,'SB1'!$A$2:$B$999999,2,FALSE),"")</f>
        <v>T448 RUSSET X 1</v>
      </c>
      <c r="D3006" s="1" t="s">
        <v>14457</v>
      </c>
      <c r="E3006" s="3">
        <f>IFERROR(VLOOKUP(B3006,'DA1'!$B$2:$D$999999,3,FALSE),"")</f>
      </c>
      <c r="F3006" s="1" t="str">
        <f>IFERROR(VLOOKUP(B3006,'SB1'!$A$2:$C$999999,3,FALSE),"")</f>
        <v>503</v>
      </c>
      <c r="G3006" s="3" t="e">
        <f t="shared" si="105"/>
        <v>#VALUE!</v>
      </c>
      <c r="H3006" s="3" t="e">
        <f t="shared" ref="H3006:H3069" si="106">G3006*1.21</f>
        <v>#VALUE!</v>
      </c>
      <c r="I3006" s="1">
        <v>3</v>
      </c>
    </row>
    <row r="3007" spans="1:9" x14ac:dyDescent="0.25">
      <c r="A3007" s="1" t="s">
        <v>14435</v>
      </c>
      <c r="B3007" s="1" t="s">
        <v>8593</v>
      </c>
      <c r="C3007" s="1" t="str">
        <f>IFERROR(VLOOKUP(B3007,'SB1'!$A$2:$B$999999,2,FALSE),"")</f>
        <v>T455 FINE BLUE PEARL X 0,500</v>
      </c>
      <c r="D3007" s="1" t="s">
        <v>14457</v>
      </c>
      <c r="E3007" s="3">
        <f>IFERROR(VLOOKUP(B3007,'DA1'!$B$2:$D$999999,3,FALSE),"")</f>
      </c>
      <c r="F3007" s="1" t="str">
        <f>IFERROR(VLOOKUP(B3007,'SB1'!$A$2:$C$999999,3,FALSE),"")</f>
        <v>503</v>
      </c>
      <c r="G3007" s="3" t="e">
        <f t="shared" si="105"/>
        <v>#VALUE!</v>
      </c>
      <c r="H3007" s="3" t="e">
        <f t="shared" si="106"/>
        <v>#VALUE!</v>
      </c>
      <c r="I3007" s="1">
        <v>3</v>
      </c>
    </row>
    <row r="3008" spans="1:9" x14ac:dyDescent="0.25">
      <c r="A3008" s="1" t="s">
        <v>14435</v>
      </c>
      <c r="B3008" s="1" t="s">
        <v>8595</v>
      </c>
      <c r="C3008" s="1" t="str">
        <f>IFERROR(VLOOKUP(B3008,'SB1'!$A$2:$B$999999,2,FALSE),"")</f>
        <v>T458.E0.5 BLUE - GREEN PEARL X 0,500</v>
      </c>
      <c r="D3008" s="1" t="s">
        <v>14457</v>
      </c>
      <c r="E3008" s="3">
        <f>IFERROR(VLOOKUP(B3008,'DA1'!$B$2:$D$999999,3,FALSE),"")</f>
      </c>
      <c r="F3008" s="1" t="str">
        <f>IFERROR(VLOOKUP(B3008,'SB1'!$A$2:$C$999999,3,FALSE),"")</f>
        <v>503</v>
      </c>
      <c r="G3008" s="3" t="e">
        <f t="shared" si="105"/>
        <v>#VALUE!</v>
      </c>
      <c r="H3008" s="3" t="e">
        <f t="shared" si="106"/>
        <v>#VALUE!</v>
      </c>
      <c r="I3008" s="1">
        <v>3</v>
      </c>
    </row>
    <row r="3009" spans="1:9" x14ac:dyDescent="0.25">
      <c r="A3009" s="1" t="s">
        <v>14435</v>
      </c>
      <c r="B3009" s="1" t="s">
        <v>8597</v>
      </c>
      <c r="C3009" s="1" t="str">
        <f>IFERROR(VLOOKUP(B3009,'SB1'!$A$2:$B$999999,2,FALSE),"")</f>
        <v>T459 COPPER PEARL X 1</v>
      </c>
      <c r="D3009" s="1" t="s">
        <v>14457</v>
      </c>
      <c r="E3009" s="3">
        <f>IFERROR(VLOOKUP(B3009,'DA1'!$B$2:$D$999999,3,FALSE),"")</f>
      </c>
      <c r="F3009" s="1" t="str">
        <f>IFERROR(VLOOKUP(B3009,'SB1'!$A$2:$C$999999,3,FALSE),"")</f>
        <v>503</v>
      </c>
      <c r="G3009" s="3" t="e">
        <f t="shared" si="105"/>
        <v>#VALUE!</v>
      </c>
      <c r="H3009" s="3" t="e">
        <f t="shared" si="106"/>
        <v>#VALUE!</v>
      </c>
      <c r="I3009" s="1">
        <v>3</v>
      </c>
    </row>
    <row r="3010" spans="1:9" x14ac:dyDescent="0.25">
      <c r="A3010" s="1" t="s">
        <v>14435</v>
      </c>
      <c r="B3010" s="1" t="s">
        <v>8599</v>
      </c>
      <c r="C3010" s="1" t="str">
        <f>IFERROR(VLOOKUP(B3010,'SB1'!$A$2:$B$999999,2,FALSE),"")</f>
        <v>COLA VINILICA COLVINIL 05 POMO X 0,250</v>
      </c>
      <c r="D3010" s="1" t="s">
        <v>14453</v>
      </c>
      <c r="E3010" s="3">
        <f>IFERROR(VLOOKUP(B3010,'DA1'!$B$2:$D$999999,3,FALSE),"")</f>
      </c>
      <c r="F3010" s="1" t="str">
        <f>IFERROR(VLOOKUP(B3010,'SB1'!$A$2:$C$999999,3,FALSE),"")</f>
        <v>503</v>
      </c>
      <c r="G3010" s="3" t="e">
        <f t="shared" si="105"/>
        <v>#VALUE!</v>
      </c>
      <c r="H3010" s="3" t="e">
        <f t="shared" si="106"/>
        <v>#VALUE!</v>
      </c>
      <c r="I3010" s="1">
        <v>1</v>
      </c>
    </row>
    <row r="3011" spans="1:9" x14ac:dyDescent="0.25">
      <c r="A3011" s="1" t="s">
        <v>14435</v>
      </c>
      <c r="B3011" s="1" t="s">
        <v>8601</v>
      </c>
      <c r="C3011" s="1" t="str">
        <f>IFERROR(VLOOKUP(B3011,'SB1'!$A$2:$B$999999,2,FALSE),"")</f>
        <v>T460 YELLOW PEARL X 0,500</v>
      </c>
      <c r="D3011" s="1" t="s">
        <v>14457</v>
      </c>
      <c r="E3011" s="3">
        <f>IFERROR(VLOOKUP(B3011,'DA1'!$B$2:$D$999999,3,FALSE),"")</f>
      </c>
      <c r="F3011" s="1" t="str">
        <f>IFERROR(VLOOKUP(B3011,'SB1'!$A$2:$C$999999,3,FALSE),"")</f>
        <v>503</v>
      </c>
      <c r="G3011" s="3" t="e">
        <f t="shared" ref="G3011:G3074" si="107">E3011*1.04</f>
        <v>#VALUE!</v>
      </c>
      <c r="H3011" s="3" t="e">
        <f t="shared" si="106"/>
        <v>#VALUE!</v>
      </c>
      <c r="I3011" s="1">
        <v>3</v>
      </c>
    </row>
    <row r="3012" spans="1:9" x14ac:dyDescent="0.25">
      <c r="A3012" s="1" t="s">
        <v>14435</v>
      </c>
      <c r="B3012" s="1" t="s">
        <v>8603</v>
      </c>
      <c r="C3012" s="1" t="str">
        <f>IFERROR(VLOOKUP(B3012,'SB1'!$A$2:$B$999999,2,FALSE),"")</f>
        <v>T465.E0.5 RED PEARL X 0,500</v>
      </c>
      <c r="D3012" s="1" t="s">
        <v>14457</v>
      </c>
      <c r="E3012" s="3">
        <f>IFERROR(VLOOKUP(B3012,'DA1'!$B$2:$D$999999,3,FALSE),"")</f>
      </c>
      <c r="F3012" s="1" t="str">
        <f>IFERROR(VLOOKUP(B3012,'SB1'!$A$2:$C$999999,3,FALSE),"")</f>
        <v>503</v>
      </c>
      <c r="G3012" s="3" t="e">
        <f t="shared" si="107"/>
        <v>#VALUE!</v>
      </c>
      <c r="H3012" s="3" t="e">
        <f t="shared" si="106"/>
        <v>#VALUE!</v>
      </c>
      <c r="I3012" s="1">
        <v>3</v>
      </c>
    </row>
    <row r="3013" spans="1:9" x14ac:dyDescent="0.25">
      <c r="A3013" s="1" t="s">
        <v>14435</v>
      </c>
      <c r="B3013" s="1" t="s">
        <v>8605</v>
      </c>
      <c r="C3013" s="1" t="str">
        <f>IFERROR(VLOOKUP(B3013,'SB1'!$A$2:$B$999999,2,FALSE),"")</f>
        <v>T466 ORANGE PEARL X 0,500</v>
      </c>
      <c r="D3013" s="1" t="s">
        <v>14457</v>
      </c>
      <c r="E3013" s="3">
        <f>IFERROR(VLOOKUP(B3013,'DA1'!$B$2:$D$999999,3,FALSE),"")</f>
      </c>
      <c r="F3013" s="1" t="str">
        <f>IFERROR(VLOOKUP(B3013,'SB1'!$A$2:$C$999999,3,FALSE),"")</f>
        <v>503</v>
      </c>
      <c r="G3013" s="3" t="e">
        <f t="shared" si="107"/>
        <v>#VALUE!</v>
      </c>
      <c r="H3013" s="3" t="e">
        <f t="shared" si="106"/>
        <v>#VALUE!</v>
      </c>
      <c r="I3013" s="1">
        <v>3</v>
      </c>
    </row>
    <row r="3014" spans="1:9" x14ac:dyDescent="0.25">
      <c r="A3014" s="1" t="s">
        <v>14435</v>
      </c>
      <c r="B3014" s="1" t="s">
        <v>8607</v>
      </c>
      <c r="C3014" s="1" t="str">
        <f>IFERROR(VLOOKUP(B3014,'SB1'!$A$2:$B$999999,2,FALSE),"")</f>
        <v>T468 VIOLET PEARL X 0,500</v>
      </c>
      <c r="D3014" s="1" t="s">
        <v>14457</v>
      </c>
      <c r="E3014" s="3">
        <f>IFERROR(VLOOKUP(B3014,'DA1'!$B$2:$D$999999,3,FALSE),"")</f>
      </c>
      <c r="F3014" s="1" t="str">
        <f>IFERROR(VLOOKUP(B3014,'SB1'!$A$2:$C$999999,3,FALSE),"")</f>
        <v>503</v>
      </c>
      <c r="G3014" s="3" t="e">
        <f t="shared" si="107"/>
        <v>#VALUE!</v>
      </c>
      <c r="H3014" s="3" t="e">
        <f t="shared" si="106"/>
        <v>#VALUE!</v>
      </c>
      <c r="I3014" s="1">
        <v>3</v>
      </c>
    </row>
    <row r="3015" spans="1:9" x14ac:dyDescent="0.25">
      <c r="A3015" s="1" t="s">
        <v>14435</v>
      </c>
      <c r="B3015" s="1" t="s">
        <v>8609</v>
      </c>
      <c r="C3015" s="1" t="str">
        <f>IFERROR(VLOOKUP(B3015,'SB1'!$A$2:$B$999999,2,FALSE),"")</f>
        <v>T475.E2 MEDIUM LENTICULAR METALLIC X 2</v>
      </c>
      <c r="D3015" s="1" t="s">
        <v>14457</v>
      </c>
      <c r="E3015" s="3">
        <f>IFERROR(VLOOKUP(B3015,'DA1'!$B$2:$D$999999,3,FALSE),"")</f>
      </c>
      <c r="F3015" s="1" t="str">
        <f>IFERROR(VLOOKUP(B3015,'SB1'!$A$2:$C$999999,3,FALSE),"")</f>
        <v>503</v>
      </c>
      <c r="G3015" s="3" t="e">
        <f t="shared" si="107"/>
        <v>#VALUE!</v>
      </c>
      <c r="H3015" s="3" t="e">
        <f t="shared" si="106"/>
        <v>#VALUE!</v>
      </c>
      <c r="I3015" s="1">
        <v>3</v>
      </c>
    </row>
    <row r="3016" spans="1:9" x14ac:dyDescent="0.25">
      <c r="A3016" s="1" t="s">
        <v>14435</v>
      </c>
      <c r="B3016" s="1" t="s">
        <v>8611</v>
      </c>
      <c r="C3016" s="1" t="str">
        <f>IFERROR(VLOOKUP(B3016,'SB1'!$A$2:$B$999999,2,FALSE),"")</f>
        <v>T489 MEDIUM ALUMINIUM GOLD X 0,500</v>
      </c>
      <c r="D3016" s="1" t="s">
        <v>14457</v>
      </c>
      <c r="E3016" s="3">
        <f>IFERROR(VLOOKUP(B3016,'DA1'!$B$2:$D$999999,3,FALSE),"")</f>
      </c>
      <c r="F3016" s="1" t="str">
        <f>IFERROR(VLOOKUP(B3016,'SB1'!$A$2:$C$999999,3,FALSE),"")</f>
        <v>503</v>
      </c>
      <c r="G3016" s="3" t="e">
        <f t="shared" si="107"/>
        <v>#VALUE!</v>
      </c>
      <c r="H3016" s="3" t="e">
        <f t="shared" si="106"/>
        <v>#VALUE!</v>
      </c>
      <c r="I3016" s="1">
        <v>3</v>
      </c>
    </row>
    <row r="3017" spans="1:9" x14ac:dyDescent="0.25">
      <c r="A3017" s="1" t="s">
        <v>14435</v>
      </c>
      <c r="B3017" s="1" t="s">
        <v>8613</v>
      </c>
      <c r="C3017" s="1" t="str">
        <f>IFERROR(VLOOKUP(B3017,'SB1'!$A$2:$B$999999,2,FALSE),"")</f>
        <v>T490.E1 TINTED CLEAR ADDITIVE X 1</v>
      </c>
      <c r="D3017" s="1" t="s">
        <v>14457</v>
      </c>
      <c r="E3017" s="3">
        <f>IFERROR(VLOOKUP(B3017,'DA1'!$B$2:$D$999999,3,FALSE),"")</f>
      </c>
      <c r="F3017" s="1" t="str">
        <f>IFERROR(VLOOKUP(B3017,'SB1'!$A$2:$C$999999,3,FALSE),"")</f>
        <v>503</v>
      </c>
      <c r="G3017" s="3" t="e">
        <f t="shared" si="107"/>
        <v>#VALUE!</v>
      </c>
      <c r="H3017" s="3" t="e">
        <f t="shared" si="106"/>
        <v>#VALUE!</v>
      </c>
      <c r="I3017" s="1">
        <v>3</v>
      </c>
    </row>
    <row r="3018" spans="1:9" x14ac:dyDescent="0.25">
      <c r="A3018" s="1" t="s">
        <v>14435</v>
      </c>
      <c r="B3018" s="1" t="s">
        <v>8615</v>
      </c>
      <c r="C3018" s="1" t="str">
        <f>IFERROR(VLOOKUP(B3018,'SB1'!$A$2:$B$999999,2,FALSE),"")</f>
        <v>T4002 RADIANT RED X 0,500</v>
      </c>
      <c r="D3018" s="1" t="s">
        <v>14457</v>
      </c>
      <c r="E3018" s="3">
        <f>IFERROR(VLOOKUP(B3018,'DA1'!$B$2:$D$999999,3,FALSE),"")</f>
      </c>
      <c r="F3018" s="1" t="str">
        <f>IFERROR(VLOOKUP(B3018,'SB1'!$A$2:$C$999999,3,FALSE),"")</f>
        <v>503</v>
      </c>
      <c r="G3018" s="3" t="e">
        <f t="shared" si="107"/>
        <v>#VALUE!</v>
      </c>
      <c r="H3018" s="3" t="e">
        <f t="shared" si="106"/>
        <v>#VALUE!</v>
      </c>
      <c r="I3018" s="1">
        <v>3</v>
      </c>
    </row>
    <row r="3019" spans="1:9" x14ac:dyDescent="0.25">
      <c r="A3019" s="1" t="s">
        <v>14435</v>
      </c>
      <c r="B3019" s="1" t="s">
        <v>8617</v>
      </c>
      <c r="C3019" s="1" t="str">
        <f>IFERROR(VLOOKUP(B3019,'SB1'!$A$2:$B$999999,2,FALSE),"")</f>
        <v>T4005 SOLARIS RED X 0,500</v>
      </c>
      <c r="D3019" s="1" t="s">
        <v>14457</v>
      </c>
      <c r="E3019" s="3">
        <f>IFERROR(VLOOKUP(B3019,'DA1'!$B$2:$D$999999,3,FALSE),"")</f>
      </c>
      <c r="F3019" s="1" t="str">
        <f>IFERROR(VLOOKUP(B3019,'SB1'!$A$2:$C$999999,3,FALSE),"")</f>
        <v>503</v>
      </c>
      <c r="G3019" s="3" t="e">
        <f t="shared" si="107"/>
        <v>#VALUE!</v>
      </c>
      <c r="H3019" s="3" t="e">
        <f t="shared" si="106"/>
        <v>#VALUE!</v>
      </c>
      <c r="I3019" s="1">
        <v>3</v>
      </c>
    </row>
    <row r="3020" spans="1:9" x14ac:dyDescent="0.25">
      <c r="A3020" s="1" t="s">
        <v>14435</v>
      </c>
      <c r="B3020" s="1" t="s">
        <v>8619</v>
      </c>
      <c r="C3020" s="1" t="str">
        <f>IFERROR(VLOOKUP(B3020,'SB1'!$A$2:$B$999999,2,FALSE),"")</f>
        <v>T4006 FIRESIDE COPPER X 0,500</v>
      </c>
      <c r="D3020" s="1" t="s">
        <v>14457</v>
      </c>
      <c r="E3020" s="3">
        <f>IFERROR(VLOOKUP(B3020,'DA1'!$B$2:$D$999999,3,FALSE),"")</f>
      </c>
      <c r="F3020" s="1" t="str">
        <f>IFERROR(VLOOKUP(B3020,'SB1'!$A$2:$C$999999,3,FALSE),"")</f>
        <v>503</v>
      </c>
      <c r="G3020" s="3" t="e">
        <f t="shared" si="107"/>
        <v>#VALUE!</v>
      </c>
      <c r="H3020" s="3" t="e">
        <f t="shared" si="106"/>
        <v>#VALUE!</v>
      </c>
      <c r="I3020" s="1">
        <v>3</v>
      </c>
    </row>
    <row r="3021" spans="1:9" x14ac:dyDescent="0.25">
      <c r="A3021" s="1" t="s">
        <v>14435</v>
      </c>
      <c r="B3021" s="1" t="s">
        <v>8621</v>
      </c>
      <c r="C3021" s="1" t="str">
        <f>IFERROR(VLOOKUP(B3021,'SB1'!$A$2:$B$999999,2,FALSE),"")</f>
        <v>T4008 ENVIROBASE TINTER BARNIZ X0,250</v>
      </c>
      <c r="D3021" s="1" t="s">
        <v>14457</v>
      </c>
      <c r="E3021" s="3">
        <f>IFERROR(VLOOKUP(B3021,'DA1'!$B$2:$D$999999,3,FALSE),"")</f>
      </c>
      <c r="F3021" s="1" t="str">
        <f>IFERROR(VLOOKUP(B3021,'SB1'!$A$2:$C$999999,3,FALSE),"")</f>
        <v>503</v>
      </c>
      <c r="G3021" s="3" t="e">
        <f t="shared" si="107"/>
        <v>#VALUE!</v>
      </c>
      <c r="H3021" s="3" t="e">
        <f t="shared" si="106"/>
        <v>#VALUE!</v>
      </c>
      <c r="I3021" s="1">
        <v>3</v>
      </c>
    </row>
    <row r="3022" spans="1:9" x14ac:dyDescent="0.25">
      <c r="A3022" s="1" t="s">
        <v>14435</v>
      </c>
      <c r="B3022" s="1" t="s">
        <v>8623</v>
      </c>
      <c r="C3022" s="1" t="str">
        <f>IFERROR(VLOOKUP(B3022,'SB1'!$A$2:$B$999999,2,FALSE),"")</f>
        <v>T497 LIMPIADOR DE PISTOLAS AL AGUA X 5</v>
      </c>
      <c r="D3022" s="1" t="s">
        <v>14457</v>
      </c>
      <c r="E3022" s="3">
        <f>IFERROR(VLOOKUP(B3022,'DA1'!$B$2:$D$999999,3,FALSE),"")</f>
      </c>
      <c r="F3022" s="1" t="str">
        <f>IFERROR(VLOOKUP(B3022,'SB1'!$A$2:$C$999999,3,FALSE),"")</f>
        <v>503</v>
      </c>
      <c r="G3022" s="3" t="e">
        <f t="shared" si="107"/>
        <v>#VALUE!</v>
      </c>
      <c r="H3022" s="3" t="e">
        <f t="shared" si="106"/>
        <v>#VALUE!</v>
      </c>
      <c r="I3022" s="1">
        <v>3</v>
      </c>
    </row>
    <row r="3023" spans="1:9" x14ac:dyDescent="0.25">
      <c r="A3023" s="1" t="s">
        <v>14435</v>
      </c>
      <c r="B3023" s="1" t="s">
        <v>8627</v>
      </c>
      <c r="C3023" s="1" t="str">
        <f>IFERROR(VLOOKUP(B3023,'SB1'!$A$2:$B$999999,2,FALSE),"")</f>
        <v>ESMALTE POLIURETANO TERSUAVE INDULAC BLANCO X  1</v>
      </c>
      <c r="D3023" s="1" t="s">
        <v>14487</v>
      </c>
      <c r="E3023" s="3">
        <f>IFERROR(VLOOKUP(B3023,'DA1'!$B$2:$D$999999,3,FALSE),"")</f>
      </c>
      <c r="F3023" s="1" t="str">
        <f>IFERROR(VLOOKUP(B3023,'SB1'!$A$2:$C$999999,3,FALSE),"")</f>
        <v>503</v>
      </c>
      <c r="G3023" s="3" t="e">
        <f t="shared" si="107"/>
        <v>#VALUE!</v>
      </c>
      <c r="H3023" s="3" t="e">
        <f t="shared" si="106"/>
        <v>#VALUE!</v>
      </c>
      <c r="I3023" s="1">
        <v>1</v>
      </c>
    </row>
    <row r="3024" spans="1:9" x14ac:dyDescent="0.25">
      <c r="A3024" s="1" t="s">
        <v>14435</v>
      </c>
      <c r="B3024" s="1" t="s">
        <v>8629</v>
      </c>
      <c r="C3024" s="1" t="str">
        <f>IFERROR(VLOOKUP(B3024,'SB1'!$A$2:$B$999999,2,FALSE),"")</f>
        <v>ESMALTE POLIURETANO TERSUAVE INDULAC BLANCO X  4</v>
      </c>
      <c r="D3024" s="1" t="s">
        <v>14487</v>
      </c>
      <c r="E3024" s="3">
        <f>IFERROR(VLOOKUP(B3024,'DA1'!$B$2:$D$999999,3,FALSE),"")</f>
      </c>
      <c r="F3024" s="1" t="str">
        <f>IFERROR(VLOOKUP(B3024,'SB1'!$A$2:$C$999999,3,FALSE),"")</f>
        <v>503</v>
      </c>
      <c r="G3024" s="3" t="e">
        <f t="shared" si="107"/>
        <v>#VALUE!</v>
      </c>
      <c r="H3024" s="3" t="e">
        <f t="shared" si="106"/>
        <v>#VALUE!</v>
      </c>
      <c r="I3024" s="1">
        <v>1</v>
      </c>
    </row>
    <row r="3025" spans="1:9" x14ac:dyDescent="0.25">
      <c r="A3025" s="1" t="s">
        <v>14435</v>
      </c>
      <c r="B3025" s="1" t="s">
        <v>8631</v>
      </c>
      <c r="C3025" s="1" t="str">
        <f>IFERROR(VLOOKUP(B3025,'SB1'!$A$2:$B$999999,2,FALSE),"")</f>
        <v>ESMALTE POLIURETANO TERSUAVE INDULAC BLANCO X 20</v>
      </c>
      <c r="D3025" s="1" t="s">
        <v>14487</v>
      </c>
      <c r="E3025" s="3">
        <f>IFERROR(VLOOKUP(B3025,'DA1'!$B$2:$D$999999,3,FALSE),"")</f>
      </c>
      <c r="F3025" s="1" t="str">
        <f>IFERROR(VLOOKUP(B3025,'SB1'!$A$2:$C$999999,3,FALSE),"")</f>
        <v>503</v>
      </c>
      <c r="G3025" s="3" t="e">
        <f t="shared" si="107"/>
        <v>#VALUE!</v>
      </c>
      <c r="H3025" s="3" t="e">
        <f t="shared" si="106"/>
        <v>#VALUE!</v>
      </c>
      <c r="I3025" s="1">
        <v>1</v>
      </c>
    </row>
    <row r="3026" spans="1:9" x14ac:dyDescent="0.25">
      <c r="A3026" s="1" t="s">
        <v>14435</v>
      </c>
      <c r="B3026" s="1" t="s">
        <v>8633</v>
      </c>
      <c r="C3026" s="1" t="str">
        <f>IFERROR(VLOOKUP(B3026,'SB1'!$A$2:$B$999999,2,FALSE),"")</f>
        <v>ESMALTE POLIURETANO TERSUAVE INDULAC NEGRO X  1</v>
      </c>
      <c r="D3026" s="1" t="s">
        <v>14487</v>
      </c>
      <c r="E3026" s="3">
        <f>IFERROR(VLOOKUP(B3026,'DA1'!$B$2:$D$999999,3,FALSE),"")</f>
      </c>
      <c r="F3026" s="1" t="str">
        <f>IFERROR(VLOOKUP(B3026,'SB1'!$A$2:$C$999999,3,FALSE),"")</f>
        <v>503</v>
      </c>
      <c r="G3026" s="3" t="e">
        <f t="shared" si="107"/>
        <v>#VALUE!</v>
      </c>
      <c r="H3026" s="3" t="e">
        <f t="shared" si="106"/>
        <v>#VALUE!</v>
      </c>
      <c r="I3026" s="1">
        <v>1</v>
      </c>
    </row>
    <row r="3027" spans="1:9" x14ac:dyDescent="0.25">
      <c r="A3027" s="1" t="s">
        <v>14435</v>
      </c>
      <c r="B3027" s="1" t="s">
        <v>8635</v>
      </c>
      <c r="C3027" s="1" t="str">
        <f>IFERROR(VLOOKUP(B3027,'SB1'!$A$2:$B$999999,2,FALSE),"")</f>
        <v>ESMALTE POLIURETANO TERSUAVE INDULAC NEGRO X  4</v>
      </c>
      <c r="D3027" s="1" t="s">
        <v>14487</v>
      </c>
      <c r="E3027" s="3">
        <f>IFERROR(VLOOKUP(B3027,'DA1'!$B$2:$D$999999,3,FALSE),"")</f>
      </c>
      <c r="F3027" s="1" t="str">
        <f>IFERROR(VLOOKUP(B3027,'SB1'!$A$2:$C$999999,3,FALSE),"")</f>
        <v>503</v>
      </c>
      <c r="G3027" s="3" t="e">
        <f t="shared" si="107"/>
        <v>#VALUE!</v>
      </c>
      <c r="H3027" s="3" t="e">
        <f t="shared" si="106"/>
        <v>#VALUE!</v>
      </c>
      <c r="I3027" s="1">
        <v>1</v>
      </c>
    </row>
    <row r="3028" spans="1:9" x14ac:dyDescent="0.25">
      <c r="A3028" s="1" t="s">
        <v>14435</v>
      </c>
      <c r="B3028" s="1" t="s">
        <v>8637</v>
      </c>
      <c r="C3028" s="1" t="str">
        <f>IFERROR(VLOOKUP(B3028,'SB1'!$A$2:$B$999999,2,FALSE),"")</f>
        <v>ESMALTE POLIURETANO TERSUAVE INDULAC NEGRO X 20</v>
      </c>
      <c r="D3028" s="1" t="s">
        <v>14487</v>
      </c>
      <c r="E3028" s="3">
        <f>IFERROR(VLOOKUP(B3028,'DA1'!$B$2:$D$999999,3,FALSE),"")</f>
      </c>
      <c r="F3028" s="1" t="str">
        <f>IFERROR(VLOOKUP(B3028,'SB1'!$A$2:$C$999999,3,FALSE),"")</f>
        <v>503</v>
      </c>
      <c r="G3028" s="3" t="e">
        <f t="shared" si="107"/>
        <v>#VALUE!</v>
      </c>
      <c r="H3028" s="3" t="e">
        <f t="shared" si="106"/>
        <v>#VALUE!</v>
      </c>
      <c r="I3028" s="1">
        <v>1</v>
      </c>
    </row>
    <row r="3029" spans="1:9" x14ac:dyDescent="0.25">
      <c r="A3029" s="1" t="s">
        <v>14435</v>
      </c>
      <c r="B3029" s="1" t="s">
        <v>8639</v>
      </c>
      <c r="C3029" s="1" t="str">
        <f>IFERROR(VLOOKUP(B3029,'SB1'!$A$2:$B$999999,2,FALSE),"")</f>
        <v>ESMALTE POLIURETANO TERSUAVE INDULAC NARANJA X 20</v>
      </c>
      <c r="D3029" s="1" t="s">
        <v>14487</v>
      </c>
      <c r="E3029" s="3">
        <f>IFERROR(VLOOKUP(B3029,'DA1'!$B$2:$D$999999,3,FALSE),"")</f>
      </c>
      <c r="F3029" s="1" t="str">
        <f>IFERROR(VLOOKUP(B3029,'SB1'!$A$2:$C$999999,3,FALSE),"")</f>
        <v>503</v>
      </c>
      <c r="G3029" s="3" t="e">
        <f t="shared" si="107"/>
        <v>#VALUE!</v>
      </c>
      <c r="H3029" s="3" t="e">
        <f t="shared" si="106"/>
        <v>#VALUE!</v>
      </c>
      <c r="I3029" s="1">
        <v>1</v>
      </c>
    </row>
    <row r="3030" spans="1:9" x14ac:dyDescent="0.25">
      <c r="A3030" s="1" t="s">
        <v>14435</v>
      </c>
      <c r="B3030" s="1" t="s">
        <v>8641</v>
      </c>
      <c r="C3030" s="1" t="str">
        <f>IFERROR(VLOOKUP(B3030,'SB1'!$A$2:$B$999999,2,FALSE),"")</f>
        <v>CINTA POLI DOBLE A MARRON (293) 24MM X 50MTS.</v>
      </c>
      <c r="D3030" s="1" t="s">
        <v>14451</v>
      </c>
      <c r="E3030" s="3">
        <f>IFERROR(VLOOKUP(B3030,'DA1'!$B$2:$D$999999,3,FALSE),"")</f>
      </c>
      <c r="F3030" s="1" t="str">
        <f>IFERROR(VLOOKUP(B3030,'SB1'!$A$2:$C$999999,3,FALSE),"")</f>
        <v>503</v>
      </c>
      <c r="G3030" s="3" t="e">
        <f t="shared" si="107"/>
        <v>#VALUE!</v>
      </c>
      <c r="H3030" s="3" t="e">
        <f t="shared" si="106"/>
        <v>#VALUE!</v>
      </c>
      <c r="I3030" s="1">
        <v>1</v>
      </c>
    </row>
    <row r="3031" spans="1:9" x14ac:dyDescent="0.25">
      <c r="A3031" s="1" t="s">
        <v>14435</v>
      </c>
      <c r="B3031" s="1" t="s">
        <v>8643</v>
      </c>
      <c r="C3031" s="1" t="str">
        <f>IFERROR(VLOOKUP(B3031,'SB1'!$A$2:$B$999999,2,FALSE),"")</f>
        <v>CINTA POLI DOBLE A MARRON (293) 36MM X 50MTS.</v>
      </c>
      <c r="D3031" s="1" t="s">
        <v>14451</v>
      </c>
      <c r="E3031" s="3">
        <f>IFERROR(VLOOKUP(B3031,'DA1'!$B$2:$D$999999,3,FALSE),"")</f>
      </c>
      <c r="F3031" s="1" t="str">
        <f>IFERROR(VLOOKUP(B3031,'SB1'!$A$2:$C$999999,3,FALSE),"")</f>
        <v>503</v>
      </c>
      <c r="G3031" s="3" t="e">
        <f t="shared" si="107"/>
        <v>#VALUE!</v>
      </c>
      <c r="H3031" s="3" t="e">
        <f t="shared" si="106"/>
        <v>#VALUE!</v>
      </c>
      <c r="I3031" s="1">
        <v>1</v>
      </c>
    </row>
    <row r="3032" spans="1:9" x14ac:dyDescent="0.25">
      <c r="A3032" s="1" t="s">
        <v>14435</v>
      </c>
      <c r="B3032" s="1" t="s">
        <v>8653</v>
      </c>
      <c r="C3032" s="1" t="str">
        <f>IFERROR(VLOOKUP(B3032,'SB1'!$A$2:$B$999999,2,FALSE),"")</f>
        <v>DCH3085 CATALIZADOR NORMAL TEMPERATURA MEDIA P/ DC3000/4000 X 1</v>
      </c>
      <c r="D3032" s="1" t="s">
        <v>14446</v>
      </c>
      <c r="E3032" s="3">
        <f>IFERROR(VLOOKUP(B3032,'DA1'!$B$2:$D$999999,3,FALSE),"")</f>
      </c>
      <c r="F3032" s="1" t="str">
        <f>IFERROR(VLOOKUP(B3032,'SB1'!$A$2:$C$999999,3,FALSE),"")</f>
        <v>503</v>
      </c>
      <c r="G3032" s="3" t="e">
        <f t="shared" si="107"/>
        <v>#VALUE!</v>
      </c>
      <c r="H3032" s="3" t="e">
        <f t="shared" si="106"/>
        <v>#VALUE!</v>
      </c>
      <c r="I3032" s="1">
        <v>3</v>
      </c>
    </row>
    <row r="3033" spans="1:9" x14ac:dyDescent="0.25">
      <c r="A3033" s="1" t="s">
        <v>14435</v>
      </c>
      <c r="B3033" s="1" t="s">
        <v>8657</v>
      </c>
      <c r="C3033" s="1" t="str">
        <f>IFERROR(VLOOKUP(B3033,'SB1'!$A$2:$B$999999,2,FALSE),"")</f>
        <v>REVESTIMIENTO TEXTURADO TERPLAST ROMANO GRUESO BLANCO X  6</v>
      </c>
      <c r="D3033" s="1" t="s">
        <v>14437</v>
      </c>
      <c r="E3033" s="3">
        <f>IFERROR(VLOOKUP(B3033,'DA1'!$B$2:$D$999999,3,FALSE),"")</f>
      </c>
      <c r="F3033" s="1" t="str">
        <f>IFERROR(VLOOKUP(B3033,'SB1'!$A$2:$C$999999,3,FALSE),"")</f>
        <v>503</v>
      </c>
      <c r="G3033" s="3" t="e">
        <f t="shared" si="107"/>
        <v>#VALUE!</v>
      </c>
      <c r="H3033" s="3" t="e">
        <f t="shared" si="106"/>
        <v>#VALUE!</v>
      </c>
      <c r="I3033" s="1">
        <v>1</v>
      </c>
    </row>
    <row r="3034" spans="1:9" x14ac:dyDescent="0.25">
      <c r="A3034" s="1" t="s">
        <v>14435</v>
      </c>
      <c r="B3034" s="1" t="s">
        <v>8659</v>
      </c>
      <c r="C3034" s="1" t="str">
        <f>IFERROR(VLOOKUP(B3034,'SB1'!$A$2:$B$999999,2,FALSE),"")</f>
        <v>REVESTIMIENTO TEXTURADO TERPLAST ROMANO GRUESO BLANCO X 25</v>
      </c>
      <c r="D3034" s="1" t="s">
        <v>14437</v>
      </c>
      <c r="E3034" s="3">
        <f>IFERROR(VLOOKUP(B3034,'DA1'!$B$2:$D$999999,3,FALSE),"")</f>
      </c>
      <c r="F3034" s="1" t="str">
        <f>IFERROR(VLOOKUP(B3034,'SB1'!$A$2:$C$999999,3,FALSE),"")</f>
        <v>503</v>
      </c>
      <c r="G3034" s="3" t="e">
        <f t="shared" si="107"/>
        <v>#VALUE!</v>
      </c>
      <c r="H3034" s="3" t="e">
        <f t="shared" si="106"/>
        <v>#VALUE!</v>
      </c>
      <c r="I3034" s="1">
        <v>1</v>
      </c>
    </row>
    <row r="3035" spans="1:9" x14ac:dyDescent="0.25">
      <c r="A3035" s="1" t="s">
        <v>14435</v>
      </c>
      <c r="B3035" s="1" t="s">
        <v>8661</v>
      </c>
      <c r="C3035" s="1" t="str">
        <f>IFERROR(VLOOKUP(B3035,'SB1'!$A$2:$B$999999,2,FALSE),"")</f>
        <v>REVESTIMIENTO TEXTURADO TERPLAST ROMANO GRUESO CLEAR X 25</v>
      </c>
      <c r="D3035" s="1" t="s">
        <v>14437</v>
      </c>
      <c r="E3035" s="3">
        <f>IFERROR(VLOOKUP(B3035,'DA1'!$B$2:$D$999999,3,FALSE),"")</f>
      </c>
      <c r="F3035" s="1" t="str">
        <f>IFERROR(VLOOKUP(B3035,'SB1'!$A$2:$C$999999,3,FALSE),"")</f>
        <v>503</v>
      </c>
      <c r="G3035" s="3" t="e">
        <f t="shared" si="107"/>
        <v>#VALUE!</v>
      </c>
      <c r="H3035" s="3" t="e">
        <f t="shared" si="106"/>
        <v>#VALUE!</v>
      </c>
      <c r="I3035" s="1">
        <v>1</v>
      </c>
    </row>
    <row r="3036" spans="1:9" x14ac:dyDescent="0.25">
      <c r="A3036" s="1" t="s">
        <v>14435</v>
      </c>
      <c r="B3036" s="1" t="s">
        <v>8665</v>
      </c>
      <c r="C3036" s="1" t="str">
        <f>IFERROR(VLOOKUP(B3036,'SB1'!$A$2:$B$999999,2,FALSE),"")</f>
        <v>REVESTIMIENTO TEXTURADO TERPLAST ROMANO FINO BLANCO X 25</v>
      </c>
      <c r="D3036" s="1" t="s">
        <v>14437</v>
      </c>
      <c r="E3036" s="3">
        <f>IFERROR(VLOOKUP(B3036,'DA1'!$B$2:$D$999999,3,FALSE),"")</f>
      </c>
      <c r="F3036" s="1" t="str">
        <f>IFERROR(VLOOKUP(B3036,'SB1'!$A$2:$C$999999,3,FALSE),"")</f>
        <v>503</v>
      </c>
      <c r="G3036" s="3" t="e">
        <f t="shared" si="107"/>
        <v>#VALUE!</v>
      </c>
      <c r="H3036" s="3" t="e">
        <f t="shared" si="106"/>
        <v>#VALUE!</v>
      </c>
      <c r="I3036" s="1">
        <v>1</v>
      </c>
    </row>
    <row r="3037" spans="1:9" x14ac:dyDescent="0.25">
      <c r="A3037" s="1" t="s">
        <v>14435</v>
      </c>
      <c r="B3037" s="1" t="s">
        <v>8667</v>
      </c>
      <c r="C3037" s="1" t="str">
        <f>IFERROR(VLOOKUP(B3037,'SB1'!$A$2:$B$999999,2,FALSE),"")</f>
        <v>REVESTIMIENTO TEXTURADO TERPLAST ROMANO FINO CLEAR X 25</v>
      </c>
      <c r="D3037" s="1" t="s">
        <v>14437</v>
      </c>
      <c r="E3037" s="3">
        <f>IFERROR(VLOOKUP(B3037,'DA1'!$B$2:$D$999999,3,FALSE),"")</f>
      </c>
      <c r="F3037" s="1" t="str">
        <f>IFERROR(VLOOKUP(B3037,'SB1'!$A$2:$C$999999,3,FALSE),"")</f>
        <v>503</v>
      </c>
      <c r="G3037" s="3" t="e">
        <f t="shared" si="107"/>
        <v>#VALUE!</v>
      </c>
      <c r="H3037" s="3" t="e">
        <f t="shared" si="106"/>
        <v>#VALUE!</v>
      </c>
      <c r="I3037" s="1">
        <v>1</v>
      </c>
    </row>
    <row r="3038" spans="1:9" x14ac:dyDescent="0.25">
      <c r="A3038" s="1" t="s">
        <v>14435</v>
      </c>
      <c r="B3038" s="1" t="s">
        <v>8671</v>
      </c>
      <c r="C3038" s="1" t="str">
        <f>IFERROR(VLOOKUP(B3038,'SB1'!$A$2:$B$999999,2,FALSE),"")</f>
        <v>REVESTIMIENTO TEXTURADO TERPLAST ROMANO MEDIO BLANCO X 25</v>
      </c>
      <c r="D3038" s="1" t="s">
        <v>14437</v>
      </c>
      <c r="E3038" s="3">
        <f>IFERROR(VLOOKUP(B3038,'DA1'!$B$2:$D$999999,3,FALSE),"")</f>
      </c>
      <c r="F3038" s="1" t="str">
        <f>IFERROR(VLOOKUP(B3038,'SB1'!$A$2:$C$999999,3,FALSE),"")</f>
        <v>503</v>
      </c>
      <c r="G3038" s="3" t="e">
        <f t="shared" si="107"/>
        <v>#VALUE!</v>
      </c>
      <c r="H3038" s="3" t="e">
        <f t="shared" si="106"/>
        <v>#VALUE!</v>
      </c>
      <c r="I3038" s="1">
        <v>1</v>
      </c>
    </row>
    <row r="3039" spans="1:9" x14ac:dyDescent="0.25">
      <c r="A3039" s="1" t="s">
        <v>14435</v>
      </c>
      <c r="B3039" s="1" t="s">
        <v>8679</v>
      </c>
      <c r="C3039" s="1" t="str">
        <f>IFERROR(VLOOKUP(B3039,'SB1'!$A$2:$B$999999,2,FALSE),"")</f>
        <v>T4007 COSMIC TURQUOISE ENVIROBASE X 0,250</v>
      </c>
      <c r="D3039" s="1" t="s">
        <v>14457</v>
      </c>
      <c r="E3039" s="3">
        <f>IFERROR(VLOOKUP(B3039,'DA1'!$B$2:$D$999999,3,FALSE),"")</f>
      </c>
      <c r="F3039" s="1" t="str">
        <f>IFERROR(VLOOKUP(B3039,'SB1'!$A$2:$C$999999,3,FALSE),"")</f>
        <v>503</v>
      </c>
      <c r="G3039" s="3" t="e">
        <f t="shared" si="107"/>
        <v>#VALUE!</v>
      </c>
      <c r="H3039" s="3" t="e">
        <f t="shared" si="106"/>
        <v>#VALUE!</v>
      </c>
      <c r="I3039" s="1">
        <v>3</v>
      </c>
    </row>
    <row r="3040" spans="1:9" x14ac:dyDescent="0.25">
      <c r="A3040" s="1" t="s">
        <v>14435</v>
      </c>
      <c r="B3040" s="1" t="s">
        <v>8705</v>
      </c>
      <c r="C3040" s="1" t="str">
        <f>IFERROR(VLOOKUP(B3040,'SB1'!$A$2:$B$999999,2,FALSE),"")</f>
        <v>EMULSION ASFALTICA ACUOSA MEGAFLEX X 200KG</v>
      </c>
      <c r="D3040" s="1" t="s">
        <v>14466</v>
      </c>
      <c r="E3040" s="3">
        <f>IFERROR(VLOOKUP(B3040,'DA1'!$B$2:$D$999999,3,FALSE),"")</f>
      </c>
      <c r="F3040" s="1" t="str">
        <f>IFERROR(VLOOKUP(B3040,'SB1'!$A$2:$C$999999,3,FALSE),"")</f>
        <v>503</v>
      </c>
      <c r="G3040" s="3" t="e">
        <f t="shared" si="107"/>
        <v>#VALUE!</v>
      </c>
      <c r="H3040" s="3" t="e">
        <f t="shared" si="106"/>
        <v>#VALUE!</v>
      </c>
      <c r="I3040" s="1">
        <v>1</v>
      </c>
    </row>
    <row r="3041" spans="1:9" x14ac:dyDescent="0.25">
      <c r="A3041" s="1" t="s">
        <v>14435</v>
      </c>
      <c r="B3041" s="1" t="s">
        <v>8709</v>
      </c>
      <c r="C3041" s="1" t="str">
        <f>IFERROR(VLOOKUP(B3041,'SB1'!$A$2:$B$999999,2,FALSE),"")</f>
        <v>MEMBRANA LIQUIDA TRANSITABLE MEGAFLEX BLANCO X 20KG</v>
      </c>
      <c r="D3041" s="1" t="s">
        <v>14466</v>
      </c>
      <c r="E3041" s="3">
        <f>IFERROR(VLOOKUP(B3041,'DA1'!$B$2:$D$999999,3,FALSE),"")</f>
      </c>
      <c r="F3041" s="1" t="str">
        <f>IFERROR(VLOOKUP(B3041,'SB1'!$A$2:$C$999999,3,FALSE),"")</f>
        <v>503</v>
      </c>
      <c r="G3041" s="3" t="e">
        <f t="shared" si="107"/>
        <v>#VALUE!</v>
      </c>
      <c r="H3041" s="3" t="e">
        <f t="shared" si="106"/>
        <v>#VALUE!</v>
      </c>
      <c r="I3041" s="1">
        <v>1</v>
      </c>
    </row>
    <row r="3042" spans="1:9" x14ac:dyDescent="0.25">
      <c r="A3042" s="1" t="s">
        <v>14435</v>
      </c>
      <c r="B3042" s="1" t="s">
        <v>8711</v>
      </c>
      <c r="C3042" s="1" t="str">
        <f>IFERROR(VLOOKUP(B3042,'SB1'!$A$2:$B$999999,2,FALSE),"")</f>
        <v>BARNIZ PARA MADERA TERSUAVE IGNIFUGO BRILLANTE X  4</v>
      </c>
      <c r="D3042" s="1" t="s">
        <v>14487</v>
      </c>
      <c r="E3042" s="3">
        <f>IFERROR(VLOOKUP(B3042,'DA1'!$B$2:$D$999999,3,FALSE),"")</f>
      </c>
      <c r="F3042" s="1" t="str">
        <f>IFERROR(VLOOKUP(B3042,'SB1'!$A$2:$C$999999,3,FALSE),"")</f>
        <v>503</v>
      </c>
      <c r="G3042" s="3" t="e">
        <f t="shared" si="107"/>
        <v>#VALUE!</v>
      </c>
      <c r="H3042" s="3" t="e">
        <f t="shared" si="106"/>
        <v>#VALUE!</v>
      </c>
      <c r="I3042" s="1">
        <v>1</v>
      </c>
    </row>
    <row r="3043" spans="1:9" x14ac:dyDescent="0.25">
      <c r="A3043" s="1" t="s">
        <v>14435</v>
      </c>
      <c r="B3043" s="1" t="s">
        <v>8713</v>
      </c>
      <c r="C3043" s="1" t="str">
        <f>IFERROR(VLOOKUP(B3043,'SB1'!$A$2:$B$999999,2,FALSE),"")</f>
        <v>BARNIZ PARA MADERA TERSUAVE IGNIFUGO BRILLANTE X 20</v>
      </c>
      <c r="D3043" s="1" t="s">
        <v>14487</v>
      </c>
      <c r="E3043" s="3">
        <f>IFERROR(VLOOKUP(B3043,'DA1'!$B$2:$D$999999,3,FALSE),"")</f>
      </c>
      <c r="F3043" s="1" t="str">
        <f>IFERROR(VLOOKUP(B3043,'SB1'!$A$2:$C$999999,3,FALSE),"")</f>
        <v>503</v>
      </c>
      <c r="G3043" s="3" t="e">
        <f t="shared" si="107"/>
        <v>#VALUE!</v>
      </c>
      <c r="H3043" s="3" t="e">
        <f t="shared" si="106"/>
        <v>#VALUE!</v>
      </c>
      <c r="I3043" s="1">
        <v>1</v>
      </c>
    </row>
    <row r="3044" spans="1:9" x14ac:dyDescent="0.25">
      <c r="A3044" s="1" t="s">
        <v>14435</v>
      </c>
      <c r="B3044" s="1" t="s">
        <v>8715</v>
      </c>
      <c r="C3044" s="1" t="str">
        <f>IFERROR(VLOOKUP(B3044,'SB1'!$A$2:$B$999999,2,FALSE),"")</f>
        <v>ESMALTE IGNIFUGO TERSUAVE BASE ACUOSA X  4</v>
      </c>
      <c r="D3044" s="1" t="s">
        <v>14487</v>
      </c>
      <c r="E3044" s="3">
        <f>IFERROR(VLOOKUP(B3044,'DA1'!$B$2:$D$999999,3,FALSE),"")</f>
      </c>
      <c r="F3044" s="1" t="str">
        <f>IFERROR(VLOOKUP(B3044,'SB1'!$A$2:$C$999999,3,FALSE),"")</f>
        <v>503</v>
      </c>
      <c r="G3044" s="3" t="e">
        <f t="shared" si="107"/>
        <v>#VALUE!</v>
      </c>
      <c r="H3044" s="3" t="e">
        <f t="shared" si="106"/>
        <v>#VALUE!</v>
      </c>
      <c r="I3044" s="1">
        <v>1</v>
      </c>
    </row>
    <row r="3045" spans="1:9" x14ac:dyDescent="0.25">
      <c r="A3045" s="1" t="s">
        <v>14435</v>
      </c>
      <c r="B3045" s="1" t="s">
        <v>8717</v>
      </c>
      <c r="C3045" s="1" t="str">
        <f>IFERROR(VLOOKUP(B3045,'SB1'!$A$2:$B$999999,2,FALSE),"")</f>
        <v>ESMALTE IGNIFUGO TERSUAVE BASE ACUOSA X 20</v>
      </c>
      <c r="D3045" s="1" t="s">
        <v>14487</v>
      </c>
      <c r="E3045" s="3">
        <f>IFERROR(VLOOKUP(B3045,'DA1'!$B$2:$D$999999,3,FALSE),"")</f>
      </c>
      <c r="F3045" s="1" t="str">
        <f>IFERROR(VLOOKUP(B3045,'SB1'!$A$2:$C$999999,3,FALSE),"")</f>
        <v>503</v>
      </c>
      <c r="G3045" s="3" t="e">
        <f t="shared" si="107"/>
        <v>#VALUE!</v>
      </c>
      <c r="H3045" s="3" t="e">
        <f t="shared" si="106"/>
        <v>#VALUE!</v>
      </c>
      <c r="I3045" s="1">
        <v>1</v>
      </c>
    </row>
    <row r="3046" spans="1:9" x14ac:dyDescent="0.25">
      <c r="A3046" s="1" t="s">
        <v>14435</v>
      </c>
      <c r="B3046" s="1" t="s">
        <v>8719</v>
      </c>
      <c r="C3046" s="1" t="str">
        <f>IFERROR(VLOOKUP(B3046,'SB1'!$A$2:$B$999999,2,FALSE),"")</f>
        <v>INDULAC EPOXI SIN SOLVENTE X 5 KG</v>
      </c>
      <c r="D3046" s="1" t="s">
        <v>14487</v>
      </c>
      <c r="E3046" s="3">
        <f>IFERROR(VLOOKUP(B3046,'DA1'!$B$2:$D$999999,3,FALSE),"")</f>
      </c>
      <c r="F3046" s="1" t="str">
        <f>IFERROR(VLOOKUP(B3046,'SB1'!$A$2:$C$999999,3,FALSE),"")</f>
        <v>503</v>
      </c>
      <c r="G3046" s="3" t="e">
        <f t="shared" si="107"/>
        <v>#VALUE!</v>
      </c>
      <c r="H3046" s="3" t="e">
        <f t="shared" si="106"/>
        <v>#VALUE!</v>
      </c>
      <c r="I3046" s="1">
        <v>1</v>
      </c>
    </row>
    <row r="3047" spans="1:9" x14ac:dyDescent="0.25">
      <c r="A3047" s="1" t="s">
        <v>14435</v>
      </c>
      <c r="B3047" s="1" t="s">
        <v>8733</v>
      </c>
      <c r="C3047" s="1" t="str">
        <f>IFERROR(VLOOKUP(B3047,'SB1'!$A$2:$B$999999,2,FALSE),"")</f>
        <v>LATEX PARA PISO TERSPORT NEGRO X 20</v>
      </c>
      <c r="D3047" s="1" t="s">
        <v>14437</v>
      </c>
      <c r="E3047" s="3">
        <f>IFERROR(VLOOKUP(B3047,'DA1'!$B$2:$D$999999,3,FALSE),"")</f>
      </c>
      <c r="F3047" s="1" t="str">
        <f>IFERROR(VLOOKUP(B3047,'SB1'!$A$2:$C$999999,3,FALSE),"")</f>
        <v>503</v>
      </c>
      <c r="G3047" s="3" t="e">
        <f t="shared" si="107"/>
        <v>#VALUE!</v>
      </c>
      <c r="H3047" s="3" t="e">
        <f t="shared" si="106"/>
        <v>#VALUE!</v>
      </c>
      <c r="I3047" s="1">
        <v>1</v>
      </c>
    </row>
    <row r="3048" spans="1:9" x14ac:dyDescent="0.25">
      <c r="A3048" s="1" t="s">
        <v>14435</v>
      </c>
      <c r="B3048" s="1" t="s">
        <v>8739</v>
      </c>
      <c r="C3048" s="1" t="str">
        <f>IFERROR(VLOOKUP(B3048,'SB1'!$A$2:$B$999999,2,FALSE),"")</f>
        <v>LATEX PARA PISO TERSPORT GRIS PLOMO X 20</v>
      </c>
      <c r="D3048" s="1" t="s">
        <v>14437</v>
      </c>
      <c r="E3048" s="3">
        <f>IFERROR(VLOOKUP(B3048,'DA1'!$B$2:$D$999999,3,FALSE),"")</f>
      </c>
      <c r="F3048" s="1" t="str">
        <f>IFERROR(VLOOKUP(B3048,'SB1'!$A$2:$C$999999,3,FALSE),"")</f>
        <v>503</v>
      </c>
      <c r="G3048" s="3" t="e">
        <f t="shared" si="107"/>
        <v>#VALUE!</v>
      </c>
      <c r="H3048" s="3" t="e">
        <f t="shared" si="106"/>
        <v>#VALUE!</v>
      </c>
      <c r="I3048" s="1">
        <v>1</v>
      </c>
    </row>
    <row r="3049" spans="1:9" x14ac:dyDescent="0.25">
      <c r="A3049" s="1" t="s">
        <v>14435</v>
      </c>
      <c r="B3049" s="1" t="s">
        <v>8745</v>
      </c>
      <c r="C3049" s="1" t="str">
        <f>IFERROR(VLOOKUP(B3049,'SB1'!$A$2:$B$999999,2,FALSE),"")</f>
        <v>PASTINA LISTA WEBER NIEVE X 1 KG</v>
      </c>
      <c r="D3049" s="1" t="s">
        <v>14488</v>
      </c>
      <c r="E3049" s="3">
        <f>IFERROR(VLOOKUP(B3049,'DA1'!$B$2:$D$999999,3,FALSE),"")</f>
      </c>
      <c r="F3049" s="1" t="str">
        <f>IFERROR(VLOOKUP(B3049,'SB1'!$A$2:$C$999999,3,FALSE),"")</f>
        <v>503</v>
      </c>
      <c r="G3049" s="3" t="e">
        <f t="shared" si="107"/>
        <v>#VALUE!</v>
      </c>
      <c r="H3049" s="3" t="e">
        <f t="shared" si="106"/>
        <v>#VALUE!</v>
      </c>
      <c r="I3049" s="1">
        <v>1</v>
      </c>
    </row>
    <row r="3050" spans="1:9" x14ac:dyDescent="0.25">
      <c r="A3050" s="1" t="s">
        <v>14435</v>
      </c>
      <c r="B3050" s="1" t="s">
        <v>8747</v>
      </c>
      <c r="C3050" s="1" t="str">
        <f>IFERROR(VLOOKUP(B3050,'SB1'!$A$2:$B$999999,2,FALSE),"")</f>
        <v>PASTINA LISTA WEBER GRIS PERLA X 1 KG</v>
      </c>
      <c r="D3050" s="1" t="s">
        <v>14488</v>
      </c>
      <c r="E3050" s="3">
        <f>IFERROR(VLOOKUP(B3050,'DA1'!$B$2:$D$999999,3,FALSE),"")</f>
      </c>
      <c r="F3050" s="1" t="str">
        <f>IFERROR(VLOOKUP(B3050,'SB1'!$A$2:$C$999999,3,FALSE),"")</f>
        <v>503</v>
      </c>
      <c r="G3050" s="3" t="e">
        <f t="shared" si="107"/>
        <v>#VALUE!</v>
      </c>
      <c r="H3050" s="3" t="e">
        <f t="shared" si="106"/>
        <v>#VALUE!</v>
      </c>
      <c r="I3050" s="1">
        <v>1</v>
      </c>
    </row>
    <row r="3051" spans="1:9" x14ac:dyDescent="0.25">
      <c r="A3051" s="1" t="s">
        <v>14435</v>
      </c>
      <c r="B3051" s="1" t="s">
        <v>8749</v>
      </c>
      <c r="C3051" s="1" t="str">
        <f>IFERROR(VLOOKUP(B3051,'SB1'!$A$2:$B$999999,2,FALSE),"")</f>
        <v>PASTINA LISTA WEBER BEIGE X 1 KG</v>
      </c>
      <c r="D3051" s="1" t="s">
        <v>14488</v>
      </c>
      <c r="E3051" s="3">
        <f>IFERROR(VLOOKUP(B3051,'DA1'!$B$2:$D$999999,3,FALSE),"")</f>
      </c>
      <c r="F3051" s="1" t="str">
        <f>IFERROR(VLOOKUP(B3051,'SB1'!$A$2:$C$999999,3,FALSE),"")</f>
        <v>503</v>
      </c>
      <c r="G3051" s="3" t="e">
        <f t="shared" si="107"/>
        <v>#VALUE!</v>
      </c>
      <c r="H3051" s="3" t="e">
        <f t="shared" si="106"/>
        <v>#VALUE!</v>
      </c>
      <c r="I3051" s="1">
        <v>1</v>
      </c>
    </row>
    <row r="3052" spans="1:9" x14ac:dyDescent="0.25">
      <c r="A3052" s="1" t="s">
        <v>14435</v>
      </c>
      <c r="B3052" s="1" t="s">
        <v>8751</v>
      </c>
      <c r="C3052" s="1" t="str">
        <f>IFERROR(VLOOKUP(B3052,'SB1'!$A$2:$B$999999,2,FALSE),"")</f>
        <v>PASTINA LISTA WEBER MEDANO X 1 KG</v>
      </c>
      <c r="D3052" s="1" t="s">
        <v>14488</v>
      </c>
      <c r="E3052" s="3">
        <f>IFERROR(VLOOKUP(B3052,'DA1'!$B$2:$D$999999,3,FALSE),"")</f>
      </c>
      <c r="F3052" s="1" t="str">
        <f>IFERROR(VLOOKUP(B3052,'SB1'!$A$2:$C$999999,3,FALSE),"")</f>
        <v>503</v>
      </c>
      <c r="G3052" s="3" t="e">
        <f t="shared" si="107"/>
        <v>#VALUE!</v>
      </c>
      <c r="H3052" s="3" t="e">
        <f t="shared" si="106"/>
        <v>#VALUE!</v>
      </c>
      <c r="I3052" s="1">
        <v>1</v>
      </c>
    </row>
    <row r="3053" spans="1:9" x14ac:dyDescent="0.25">
      <c r="A3053" s="1" t="s">
        <v>14435</v>
      </c>
      <c r="B3053" s="1" t="s">
        <v>8753</v>
      </c>
      <c r="C3053" s="1" t="str">
        <f>IFERROR(VLOOKUP(B3053,'SB1'!$A$2:$B$999999,2,FALSE),"")</f>
        <v>PASTINA LISTA WEBER HUESO X 1 KG</v>
      </c>
      <c r="D3053" s="1" t="s">
        <v>14488</v>
      </c>
      <c r="E3053" s="3">
        <f>IFERROR(VLOOKUP(B3053,'DA1'!$B$2:$D$999999,3,FALSE),"")</f>
      </c>
      <c r="F3053" s="1" t="str">
        <f>IFERROR(VLOOKUP(B3053,'SB1'!$A$2:$C$999999,3,FALSE),"")</f>
        <v>503</v>
      </c>
      <c r="G3053" s="3" t="e">
        <f t="shared" si="107"/>
        <v>#VALUE!</v>
      </c>
      <c r="H3053" s="3" t="e">
        <f t="shared" si="106"/>
        <v>#VALUE!</v>
      </c>
      <c r="I3053" s="1">
        <v>1</v>
      </c>
    </row>
    <row r="3054" spans="1:9" x14ac:dyDescent="0.25">
      <c r="A3054" s="1" t="s">
        <v>14435</v>
      </c>
      <c r="B3054" s="1" t="s">
        <v>8755</v>
      </c>
      <c r="C3054" s="1" t="str">
        <f>IFERROR(VLOOKUP(B3054,'SB1'!$A$2:$B$999999,2,FALSE),"")</f>
        <v>PASTINA LISTA WEBER PLATA X 1 KG</v>
      </c>
      <c r="D3054" s="1" t="s">
        <v>14488</v>
      </c>
      <c r="E3054" s="3">
        <f>IFERROR(VLOOKUP(B3054,'DA1'!$B$2:$D$999999,3,FALSE),"")</f>
      </c>
      <c r="F3054" s="1" t="str">
        <f>IFERROR(VLOOKUP(B3054,'SB1'!$A$2:$C$999999,3,FALSE),"")</f>
        <v>503</v>
      </c>
      <c r="G3054" s="3" t="e">
        <f t="shared" si="107"/>
        <v>#VALUE!</v>
      </c>
      <c r="H3054" s="3" t="e">
        <f t="shared" si="106"/>
        <v>#VALUE!</v>
      </c>
      <c r="I3054" s="1">
        <v>1</v>
      </c>
    </row>
    <row r="3055" spans="1:9" x14ac:dyDescent="0.25">
      <c r="A3055" s="1" t="s">
        <v>14435</v>
      </c>
      <c r="B3055" s="1" t="s">
        <v>8757</v>
      </c>
      <c r="C3055" s="1" t="str">
        <f>IFERROR(VLOOKUP(B3055,'SB1'!$A$2:$B$999999,2,FALSE),"")</f>
        <v>PASTINA LISTA WEBER PERLATO X 1 KG</v>
      </c>
      <c r="D3055" s="1" t="s">
        <v>14488</v>
      </c>
      <c r="E3055" s="3">
        <f>IFERROR(VLOOKUP(B3055,'DA1'!$B$2:$D$999999,3,FALSE),"")</f>
      </c>
      <c r="F3055" s="1" t="str">
        <f>IFERROR(VLOOKUP(B3055,'SB1'!$A$2:$C$999999,3,FALSE),"")</f>
        <v>503</v>
      </c>
      <c r="G3055" s="3" t="e">
        <f t="shared" si="107"/>
        <v>#VALUE!</v>
      </c>
      <c r="H3055" s="3" t="e">
        <f t="shared" si="106"/>
        <v>#VALUE!</v>
      </c>
      <c r="I3055" s="1">
        <v>1</v>
      </c>
    </row>
    <row r="3056" spans="1:9" x14ac:dyDescent="0.25">
      <c r="A3056" s="1" t="s">
        <v>14435</v>
      </c>
      <c r="B3056" s="1" t="s">
        <v>8759</v>
      </c>
      <c r="C3056" s="1" t="str">
        <f>IFERROR(VLOOKUP(B3056,'SB1'!$A$2:$B$999999,2,FALSE),"")</f>
        <v>PASTINA LISTA WEBER CEDRO X 1 KG</v>
      </c>
      <c r="D3056" s="1" t="s">
        <v>14488</v>
      </c>
      <c r="E3056" s="3">
        <f>IFERROR(VLOOKUP(B3056,'DA1'!$B$2:$D$999999,3,FALSE),"")</f>
      </c>
      <c r="F3056" s="1" t="str">
        <f>IFERROR(VLOOKUP(B3056,'SB1'!$A$2:$C$999999,3,FALSE),"")</f>
        <v>503</v>
      </c>
      <c r="G3056" s="3" t="e">
        <f t="shared" si="107"/>
        <v>#VALUE!</v>
      </c>
      <c r="H3056" s="3" t="e">
        <f t="shared" si="106"/>
        <v>#VALUE!</v>
      </c>
      <c r="I3056" s="1">
        <v>1</v>
      </c>
    </row>
    <row r="3057" spans="1:9" x14ac:dyDescent="0.25">
      <c r="A3057" s="1" t="s">
        <v>14435</v>
      </c>
      <c r="B3057" s="1" t="s">
        <v>8761</v>
      </c>
      <c r="C3057" s="1" t="str">
        <f>IFERROR(VLOOKUP(B3057,'SB1'!$A$2:$B$999999,2,FALSE),"")</f>
        <v>PASTINA LISTA WEBER NEGRO X 1 KG</v>
      </c>
      <c r="D3057" s="1" t="s">
        <v>14488</v>
      </c>
      <c r="E3057" s="3">
        <f>IFERROR(VLOOKUP(B3057,'DA1'!$B$2:$D$999999,3,FALSE),"")</f>
      </c>
      <c r="F3057" s="1" t="str">
        <f>IFERROR(VLOOKUP(B3057,'SB1'!$A$2:$C$999999,3,FALSE),"")</f>
        <v>503</v>
      </c>
      <c r="G3057" s="3" t="e">
        <f t="shared" si="107"/>
        <v>#VALUE!</v>
      </c>
      <c r="H3057" s="3" t="e">
        <f t="shared" si="106"/>
        <v>#VALUE!</v>
      </c>
      <c r="I3057" s="1">
        <v>1</v>
      </c>
    </row>
    <row r="3058" spans="1:9" x14ac:dyDescent="0.25">
      <c r="A3058" s="1" t="s">
        <v>14435</v>
      </c>
      <c r="B3058" s="1" t="s">
        <v>8763</v>
      </c>
      <c r="C3058" s="1" t="str">
        <f>IFERROR(VLOOKUP(B3058,'SB1'!$A$2:$B$999999,2,FALSE),"")</f>
        <v>PASTINA LISTA WEBER HABANO X 1 KG</v>
      </c>
      <c r="D3058" s="1" t="s">
        <v>14488</v>
      </c>
      <c r="E3058" s="3">
        <f>IFERROR(VLOOKUP(B3058,'DA1'!$B$2:$D$999999,3,FALSE),"")</f>
      </c>
      <c r="F3058" s="1" t="str">
        <f>IFERROR(VLOOKUP(B3058,'SB1'!$A$2:$C$999999,3,FALSE),"")</f>
        <v>503</v>
      </c>
      <c r="G3058" s="3" t="e">
        <f t="shared" si="107"/>
        <v>#VALUE!</v>
      </c>
      <c r="H3058" s="3" t="e">
        <f t="shared" si="106"/>
        <v>#VALUE!</v>
      </c>
      <c r="I3058" s="1">
        <v>1</v>
      </c>
    </row>
    <row r="3059" spans="1:9" x14ac:dyDescent="0.25">
      <c r="A3059" s="1" t="s">
        <v>14435</v>
      </c>
      <c r="B3059" s="1" t="s">
        <v>8765</v>
      </c>
      <c r="C3059" s="1" t="str">
        <f>IFERROR(VLOOKUP(B3059,'SB1'!$A$2:$B$999999,2,FALSE),"")</f>
        <v>MORTEROS WEBER LISTO GRIS X 3 KG</v>
      </c>
      <c r="D3059" s="1" t="s">
        <v>14488</v>
      </c>
      <c r="E3059" s="3">
        <f>IFERROR(VLOOKUP(B3059,'DA1'!$B$2:$D$999999,3,FALSE),"")</f>
      </c>
      <c r="F3059" s="1" t="str">
        <f>IFERROR(VLOOKUP(B3059,'SB1'!$A$2:$C$999999,3,FALSE),"")</f>
        <v>503</v>
      </c>
      <c r="G3059" s="3" t="e">
        <f t="shared" si="107"/>
        <v>#VALUE!</v>
      </c>
      <c r="H3059" s="3" t="e">
        <f t="shared" si="106"/>
        <v>#VALUE!</v>
      </c>
      <c r="I3059" s="1">
        <v>1</v>
      </c>
    </row>
    <row r="3060" spans="1:9" x14ac:dyDescent="0.25">
      <c r="A3060" s="1" t="s">
        <v>14435</v>
      </c>
      <c r="B3060" s="1" t="s">
        <v>8767</v>
      </c>
      <c r="C3060" s="1" t="str">
        <f>IFERROR(VLOOKUP(B3060,'SB1'!$A$2:$B$999999,2,FALSE),"")</f>
        <v>MORTEROS TECNICOS WEBER.TEC RAPID X 2 KG</v>
      </c>
      <c r="D3060" s="1" t="s">
        <v>14439</v>
      </c>
      <c r="E3060" s="3">
        <f>IFERROR(VLOOKUP(B3060,'DA1'!$B$2:$D$999999,3,FALSE),"")</f>
      </c>
      <c r="F3060" s="1" t="str">
        <f>IFERROR(VLOOKUP(B3060,'SB1'!$A$2:$C$999999,3,FALSE),"")</f>
        <v>503</v>
      </c>
      <c r="G3060" s="3" t="e">
        <f t="shared" si="107"/>
        <v>#VALUE!</v>
      </c>
      <c r="H3060" s="3" t="e">
        <f t="shared" si="106"/>
        <v>#VALUE!</v>
      </c>
      <c r="I3060" s="1">
        <v>1</v>
      </c>
    </row>
    <row r="3061" spans="1:9" x14ac:dyDescent="0.25">
      <c r="A3061" s="1" t="s">
        <v>14435</v>
      </c>
      <c r="B3061" s="1" t="s">
        <v>8769</v>
      </c>
      <c r="C3061" s="1" t="str">
        <f>IFERROR(VLOOKUP(B3061,'SB1'!$A$2:$B$999999,2,FALSE),"")</f>
        <v>MORTEROS TECNICOS WEBER.TEC RAPID X 10 KG</v>
      </c>
      <c r="D3061" s="1" t="s">
        <v>14488</v>
      </c>
      <c r="E3061" s="3">
        <f>IFERROR(VLOOKUP(B3061,'DA1'!$B$2:$D$999999,3,FALSE),"")</f>
      </c>
      <c r="F3061" s="1" t="str">
        <f>IFERROR(VLOOKUP(B3061,'SB1'!$A$2:$C$999999,3,FALSE),"")</f>
        <v>503</v>
      </c>
      <c r="G3061" s="3" t="e">
        <f t="shared" si="107"/>
        <v>#VALUE!</v>
      </c>
      <c r="H3061" s="3" t="e">
        <f t="shared" si="106"/>
        <v>#VALUE!</v>
      </c>
      <c r="I3061" s="1">
        <v>1</v>
      </c>
    </row>
    <row r="3062" spans="1:9" x14ac:dyDescent="0.25">
      <c r="A3062" s="1" t="s">
        <v>14435</v>
      </c>
      <c r="B3062" s="1" t="s">
        <v>8771</v>
      </c>
      <c r="C3062" s="1" t="str">
        <f>IFERROR(VLOOKUP(B3062,'SB1'!$A$2:$B$999999,2,FALSE),"")</f>
        <v>REPARADOR DE HORMIGON WEBER HORMIVISTO GRIS X 10KG</v>
      </c>
      <c r="D3062" s="1" t="s">
        <v>14488</v>
      </c>
      <c r="E3062" s="3">
        <f>IFERROR(VLOOKUP(B3062,'DA1'!$B$2:$D$999999,3,FALSE),"")</f>
      </c>
      <c r="F3062" s="1" t="str">
        <f>IFERROR(VLOOKUP(B3062,'SB1'!$A$2:$C$999999,3,FALSE),"")</f>
        <v>503</v>
      </c>
      <c r="G3062" s="3" t="e">
        <f t="shared" si="107"/>
        <v>#VALUE!</v>
      </c>
      <c r="H3062" s="3" t="e">
        <f t="shared" si="106"/>
        <v>#VALUE!</v>
      </c>
      <c r="I3062" s="1">
        <v>1</v>
      </c>
    </row>
    <row r="3063" spans="1:9" x14ac:dyDescent="0.25">
      <c r="A3063" s="1" t="s">
        <v>14435</v>
      </c>
      <c r="B3063" s="1" t="s">
        <v>8773</v>
      </c>
      <c r="C3063" s="1" t="str">
        <f>IFERROR(VLOOKUP(B3063,'SB1'!$A$2:$B$999999,2,FALSE),"")</f>
        <v>REVOQUES MANUALES WEBER MIX I X  5 KG</v>
      </c>
      <c r="D3063" s="1" t="s">
        <v>14488</v>
      </c>
      <c r="E3063" s="3">
        <f>IFERROR(VLOOKUP(B3063,'DA1'!$B$2:$D$999999,3,FALSE),"")</f>
      </c>
      <c r="F3063" s="1" t="str">
        <f>IFERROR(VLOOKUP(B3063,'SB1'!$A$2:$C$999999,3,FALSE),"")</f>
        <v>503</v>
      </c>
      <c r="G3063" s="3" t="e">
        <f t="shared" si="107"/>
        <v>#VALUE!</v>
      </c>
      <c r="H3063" s="3" t="e">
        <f t="shared" si="106"/>
        <v>#VALUE!</v>
      </c>
      <c r="I3063" s="1">
        <v>1</v>
      </c>
    </row>
    <row r="3064" spans="1:9" x14ac:dyDescent="0.25">
      <c r="A3064" s="1" t="s">
        <v>14435</v>
      </c>
      <c r="B3064" s="1" t="s">
        <v>8775</v>
      </c>
      <c r="C3064" s="1" t="str">
        <f>IFERROR(VLOOKUP(B3064,'SB1'!$A$2:$B$999999,2,FALSE),"")</f>
        <v>REVOQUES MANUALES WEBER MIX I X 30 KG</v>
      </c>
      <c r="D3064" s="1" t="s">
        <v>14488</v>
      </c>
      <c r="E3064" s="3">
        <f>IFERROR(VLOOKUP(B3064,'DA1'!$B$2:$D$999999,3,FALSE),"")</f>
      </c>
      <c r="F3064" s="1" t="str">
        <f>IFERROR(VLOOKUP(B3064,'SB1'!$A$2:$C$999999,3,FALSE),"")</f>
        <v>503</v>
      </c>
      <c r="G3064" s="3" t="e">
        <f t="shared" si="107"/>
        <v>#VALUE!</v>
      </c>
      <c r="H3064" s="3" t="e">
        <f t="shared" si="106"/>
        <v>#VALUE!</v>
      </c>
      <c r="I3064" s="1">
        <v>1</v>
      </c>
    </row>
    <row r="3065" spans="1:9" x14ac:dyDescent="0.25">
      <c r="A3065" s="1" t="s">
        <v>14435</v>
      </c>
      <c r="B3065" s="1" t="s">
        <v>8777</v>
      </c>
      <c r="C3065" s="1" t="str">
        <f>IFERROR(VLOOKUP(B3065,'SB1'!$A$2:$B$999999,2,FALSE),"")</f>
        <v>REVOQUES MANUALES WEBER MIX E X  5 KG</v>
      </c>
      <c r="D3065" s="1" t="s">
        <v>14488</v>
      </c>
      <c r="E3065" s="3">
        <f>IFERROR(VLOOKUP(B3065,'DA1'!$B$2:$D$999999,3,FALSE),"")</f>
      </c>
      <c r="F3065" s="1" t="str">
        <f>IFERROR(VLOOKUP(B3065,'SB1'!$A$2:$C$999999,3,FALSE),"")</f>
        <v>503</v>
      </c>
      <c r="G3065" s="3" t="e">
        <f t="shared" si="107"/>
        <v>#VALUE!</v>
      </c>
      <c r="H3065" s="3" t="e">
        <f t="shared" si="106"/>
        <v>#VALUE!</v>
      </c>
      <c r="I3065" s="1">
        <v>1</v>
      </c>
    </row>
    <row r="3066" spans="1:9" x14ac:dyDescent="0.25">
      <c r="A3066" s="1" t="s">
        <v>14435</v>
      </c>
      <c r="B3066" s="1" t="s">
        <v>8779</v>
      </c>
      <c r="C3066" s="1" t="str">
        <f>IFERROR(VLOOKUP(B3066,'SB1'!$A$2:$B$999999,2,FALSE),"")</f>
        <v>REVOQUES MANUALES WEBER MIX E X 30 KG</v>
      </c>
      <c r="D3066" s="1" t="s">
        <v>14488</v>
      </c>
      <c r="E3066" s="3">
        <f>IFERROR(VLOOKUP(B3066,'DA1'!$B$2:$D$999999,3,FALSE),"")</f>
      </c>
      <c r="F3066" s="1" t="str">
        <f>IFERROR(VLOOKUP(B3066,'SB1'!$A$2:$C$999999,3,FALSE),"")</f>
        <v>503</v>
      </c>
      <c r="G3066" s="3" t="e">
        <f t="shared" si="107"/>
        <v>#VALUE!</v>
      </c>
      <c r="H3066" s="3" t="e">
        <f t="shared" si="106"/>
        <v>#VALUE!</v>
      </c>
      <c r="I3066" s="1">
        <v>1</v>
      </c>
    </row>
    <row r="3067" spans="1:9" x14ac:dyDescent="0.25">
      <c r="A3067" s="1" t="s">
        <v>14435</v>
      </c>
      <c r="B3067" s="1" t="s">
        <v>8781</v>
      </c>
      <c r="C3067" s="1" t="str">
        <f>IFERROR(VLOOKUP(B3067,'SB1'!$A$2:$B$999999,2,FALSE),"")</f>
        <v>GASA BARNIZADA DOBLE A</v>
      </c>
      <c r="D3067" s="1" t="s">
        <v>14451</v>
      </c>
      <c r="E3067" s="3">
        <f>IFERROR(VLOOKUP(B3067,'DA1'!$B$2:$D$999999,3,FALSE),"")</f>
      </c>
      <c r="F3067" s="1" t="str">
        <f>IFERROR(VLOOKUP(B3067,'SB1'!$A$2:$C$999999,3,FALSE),"")</f>
        <v>503</v>
      </c>
      <c r="G3067" s="3" t="e">
        <f t="shared" si="107"/>
        <v>#VALUE!</v>
      </c>
      <c r="H3067" s="3" t="e">
        <f t="shared" si="106"/>
        <v>#VALUE!</v>
      </c>
      <c r="I3067" s="1">
        <v>1</v>
      </c>
    </row>
    <row r="3068" spans="1:9" x14ac:dyDescent="0.25">
      <c r="A3068" s="1" t="s">
        <v>14435</v>
      </c>
      <c r="B3068" s="1" t="s">
        <v>8783</v>
      </c>
      <c r="C3068" s="1" t="str">
        <f>IFERROR(VLOOKUP(B3068,'SB1'!$A$2:$B$999999,2,FALSE),"")</f>
        <v>MEMBRANA ASFALTICA MEGAFLEX GEOTRANS X 40KG</v>
      </c>
      <c r="D3068" s="1" t="s">
        <v>14466</v>
      </c>
      <c r="E3068" s="3">
        <f>IFERROR(VLOOKUP(B3068,'DA1'!$B$2:$D$999999,3,FALSE),"")</f>
      </c>
      <c r="F3068" s="1" t="str">
        <f>IFERROR(VLOOKUP(B3068,'SB1'!$A$2:$C$999999,3,FALSE),"")</f>
        <v>503</v>
      </c>
      <c r="G3068" s="3" t="e">
        <f t="shared" si="107"/>
        <v>#VALUE!</v>
      </c>
      <c r="H3068" s="3" t="e">
        <f t="shared" si="106"/>
        <v>#VALUE!</v>
      </c>
      <c r="I3068" s="1">
        <v>1</v>
      </c>
    </row>
    <row r="3069" spans="1:9" x14ac:dyDescent="0.25">
      <c r="A3069" s="1" t="s">
        <v>14435</v>
      </c>
      <c r="B3069" s="1" t="s">
        <v>8791</v>
      </c>
      <c r="C3069" s="1" t="str">
        <f>IFERROR(VLOOKUP(B3069,'SB1'!$A$2:$B$999999,2,FALSE),"")</f>
        <v>PLATO SOPORTE P/ROTATIVA 3D BACKING P/ROTA-ROSCA M14 5'' (K-73)</v>
      </c>
      <c r="D3069" s="1" t="s">
        <v>14499</v>
      </c>
      <c r="E3069" s="3">
        <f>IFERROR(VLOOKUP(B3069,'DA1'!$B$2:$D$999999,3,FALSE),"")</f>
      </c>
      <c r="F3069" s="1" t="str">
        <f>IFERROR(VLOOKUP(B3069,'SB1'!$A$2:$C$999999,3,FALSE),"")</f>
        <v>503</v>
      </c>
      <c r="G3069" s="3" t="e">
        <f t="shared" si="107"/>
        <v>#VALUE!</v>
      </c>
      <c r="H3069" s="3" t="e">
        <f t="shared" si="106"/>
        <v>#VALUE!</v>
      </c>
      <c r="I3069" s="1">
        <v>1</v>
      </c>
    </row>
    <row r="3070" spans="1:9" x14ac:dyDescent="0.25">
      <c r="A3070" s="1" t="s">
        <v>14435</v>
      </c>
      <c r="B3070" s="1" t="s">
        <v>8793</v>
      </c>
      <c r="C3070" s="1" t="str">
        <f>IFERROR(VLOOKUP(B3070,'SB1'!$A$2:$B$999999,2,FALSE),"")</f>
        <v>PLATO SOPORTE P/ROTO ORBITAL 3D BACKING P/MAQ. ROTO ORBITALES 5,5'' (K-75)'</v>
      </c>
      <c r="D3070" s="1" t="s">
        <v>14499</v>
      </c>
      <c r="E3070" s="3">
        <f>IFERROR(VLOOKUP(B3070,'DA1'!$B$2:$D$999999,3,FALSE),"")</f>
      </c>
      <c r="F3070" s="1" t="str">
        <f>IFERROR(VLOOKUP(B3070,'SB1'!$A$2:$C$999999,3,FALSE),"")</f>
        <v>503</v>
      </c>
      <c r="G3070" s="3" t="e">
        <f t="shared" si="107"/>
        <v>#VALUE!</v>
      </c>
      <c r="H3070" s="3" t="e">
        <f t="shared" ref="H3070:H3133" si="108">G3070*1.21</f>
        <v>#VALUE!</v>
      </c>
      <c r="I3070" s="1">
        <v>1</v>
      </c>
    </row>
    <row r="3071" spans="1:9" x14ac:dyDescent="0.25">
      <c r="A3071" s="1" t="s">
        <v>14435</v>
      </c>
      <c r="B3071" s="1" t="s">
        <v>8795</v>
      </c>
      <c r="C3071" s="1" t="str">
        <f>IFERROR(VLOOKUP(B3071,'SB1'!$A$2:$B$999999,2,FALSE),"")</f>
        <v>3D KIT PADS Y LIJAS P/RESTAU.OPTICAS 3'' (K-08-KIT)'</v>
      </c>
      <c r="D3071" s="1" t="s">
        <v>14499</v>
      </c>
      <c r="E3071" s="3">
        <f>IFERROR(VLOOKUP(B3071,'DA1'!$B$2:$D$999999,3,FALSE),"")</f>
      </c>
      <c r="F3071" s="1" t="str">
        <f>IFERROR(VLOOKUP(B3071,'SB1'!$A$2:$C$999999,3,FALSE),"")</f>
        <v>503</v>
      </c>
      <c r="G3071" s="3" t="e">
        <f t="shared" si="107"/>
        <v>#VALUE!</v>
      </c>
      <c r="H3071" s="3" t="e">
        <f t="shared" si="108"/>
        <v>#VALUE!</v>
      </c>
      <c r="I3071" s="1">
        <v>1</v>
      </c>
    </row>
    <row r="3072" spans="1:9" x14ac:dyDescent="0.25">
      <c r="A3072" s="1" t="s">
        <v>14435</v>
      </c>
      <c r="B3072" s="1" t="s">
        <v>8797</v>
      </c>
      <c r="C3072" s="1" t="str">
        <f>IFERROR(VLOOKUP(B3072,'SB1'!$A$2:$B$999999,2,FALSE),"")</f>
        <v>PLATO SOPORTE P/ TALADRO 3D BACKING PARA TALADRO 3'' (K-96)'</v>
      </c>
      <c r="D3072" s="1" t="s">
        <v>14499</v>
      </c>
      <c r="E3072" s="3">
        <f>IFERROR(VLOOKUP(B3072,'DA1'!$B$2:$D$999999,3,FALSE),"")</f>
      </c>
      <c r="F3072" s="1" t="str">
        <f>IFERROR(VLOOKUP(B3072,'SB1'!$A$2:$C$999999,3,FALSE),"")</f>
        <v>503</v>
      </c>
      <c r="G3072" s="3" t="e">
        <f t="shared" si="107"/>
        <v>#VALUE!</v>
      </c>
      <c r="H3072" s="3" t="e">
        <f t="shared" si="108"/>
        <v>#VALUE!</v>
      </c>
      <c r="I3072" s="1">
        <v>1</v>
      </c>
    </row>
    <row r="3073" spans="1:9" x14ac:dyDescent="0.25">
      <c r="A3073" s="1" t="s">
        <v>14435</v>
      </c>
      <c r="B3073" s="1" t="s">
        <v>8799</v>
      </c>
      <c r="C3073" s="1" t="str">
        <f>IFERROR(VLOOKUP(B3073,'SB1'!$A$2:$B$999999,2,FALSE),"")</f>
        <v>COLOR TEST ALBA TRIGO DORADO X 0,030</v>
      </c>
      <c r="D3073" s="1" t="s">
        <v>14439</v>
      </c>
      <c r="E3073" s="3">
        <f>IFERROR(VLOOKUP(B3073,'DA1'!$B$2:$D$999999,3,FALSE),"")</f>
      </c>
      <c r="F3073" s="1" t="str">
        <f>IFERROR(VLOOKUP(B3073,'SB1'!$A$2:$C$999999,3,FALSE),"")</f>
        <v>503</v>
      </c>
      <c r="G3073" s="3" t="e">
        <f t="shared" si="107"/>
        <v>#VALUE!</v>
      </c>
      <c r="H3073" s="3" t="e">
        <f t="shared" si="108"/>
        <v>#VALUE!</v>
      </c>
      <c r="I3073" s="1">
        <v>1</v>
      </c>
    </row>
    <row r="3074" spans="1:9" x14ac:dyDescent="0.25">
      <c r="A3074" s="1" t="s">
        <v>14435</v>
      </c>
      <c r="B3074" s="1" t="s">
        <v>8801</v>
      </c>
      <c r="C3074" s="1" t="str">
        <f>IFERROR(VLOOKUP(B3074,'SB1'!$A$2:$B$999999,2,FALSE),"")</f>
        <v>COLOR TEST ALBA TROFEO DE PLATA X 0,030</v>
      </c>
      <c r="D3074" s="1" t="s">
        <v>14439</v>
      </c>
      <c r="E3074" s="3">
        <f>IFERROR(VLOOKUP(B3074,'DA1'!$B$2:$D$999999,3,FALSE),"")</f>
      </c>
      <c r="F3074" s="1" t="str">
        <f>IFERROR(VLOOKUP(B3074,'SB1'!$A$2:$C$999999,3,FALSE),"")</f>
        <v>503</v>
      </c>
      <c r="G3074" s="3" t="e">
        <f t="shared" si="107"/>
        <v>#VALUE!</v>
      </c>
      <c r="H3074" s="3" t="e">
        <f t="shared" si="108"/>
        <v>#VALUE!</v>
      </c>
      <c r="I3074" s="1">
        <v>1</v>
      </c>
    </row>
    <row r="3075" spans="1:9" x14ac:dyDescent="0.25">
      <c r="A3075" s="1" t="s">
        <v>14435</v>
      </c>
      <c r="B3075" s="1" t="s">
        <v>8803</v>
      </c>
      <c r="C3075" s="1" t="str">
        <f>IFERROR(VLOOKUP(B3075,'SB1'!$A$2:$B$999999,2,FALSE),"")</f>
        <v>COLOR TEST ALBA TRUFA DE HIERBABUENA X 0,030</v>
      </c>
      <c r="D3075" s="1" t="s">
        <v>14439</v>
      </c>
      <c r="E3075" s="3">
        <f>IFERROR(VLOOKUP(B3075,'DA1'!$B$2:$D$999999,3,FALSE),"")</f>
      </c>
      <c r="F3075" s="1" t="str">
        <f>IFERROR(VLOOKUP(B3075,'SB1'!$A$2:$C$999999,3,FALSE),"")</f>
        <v>503</v>
      </c>
      <c r="G3075" s="3" t="e">
        <f t="shared" ref="G3075:G3138" si="109">E3075*1.04</f>
        <v>#VALUE!</v>
      </c>
      <c r="H3075" s="3" t="e">
        <f t="shared" si="108"/>
        <v>#VALUE!</v>
      </c>
      <c r="I3075" s="1">
        <v>1</v>
      </c>
    </row>
    <row r="3076" spans="1:9" x14ac:dyDescent="0.25">
      <c r="A3076" s="1" t="s">
        <v>14435</v>
      </c>
      <c r="B3076" s="1" t="s">
        <v>8805</v>
      </c>
      <c r="C3076" s="1" t="str">
        <f>IFERROR(VLOOKUP(B3076,'SB1'!$A$2:$B$999999,2,FALSE),"")</f>
        <v>COLOR TEST ALBA TURQUESA VENECIANA X 0,030</v>
      </c>
      <c r="D3076" s="1" t="s">
        <v>14439</v>
      </c>
      <c r="E3076" s="3">
        <f>IFERROR(VLOOKUP(B3076,'DA1'!$B$2:$D$999999,3,FALSE),"")</f>
      </c>
      <c r="F3076" s="1" t="str">
        <f>IFERROR(VLOOKUP(B3076,'SB1'!$A$2:$C$999999,3,FALSE),"")</f>
        <v>503</v>
      </c>
      <c r="G3076" s="3" t="e">
        <f t="shared" si="109"/>
        <v>#VALUE!</v>
      </c>
      <c r="H3076" s="3" t="e">
        <f t="shared" si="108"/>
        <v>#VALUE!</v>
      </c>
      <c r="I3076" s="1">
        <v>1</v>
      </c>
    </row>
    <row r="3077" spans="1:9" x14ac:dyDescent="0.25">
      <c r="A3077" s="1" t="s">
        <v>14435</v>
      </c>
      <c r="B3077" s="1" t="s">
        <v>8807</v>
      </c>
      <c r="C3077" s="1" t="str">
        <f>IFERROR(VLOOKUP(B3077,'SB1'!$A$2:$B$999999,2,FALSE),"")</f>
        <v>COLOR TEST ALBA UVA VERDE X 0,030</v>
      </c>
      <c r="D3077" s="1" t="s">
        <v>14439</v>
      </c>
      <c r="E3077" s="3">
        <f>IFERROR(VLOOKUP(B3077,'DA1'!$B$2:$D$999999,3,FALSE),"")</f>
      </c>
      <c r="F3077" s="1" t="str">
        <f>IFERROR(VLOOKUP(B3077,'SB1'!$A$2:$C$999999,3,FALSE),"")</f>
        <v>503</v>
      </c>
      <c r="G3077" s="3" t="e">
        <f t="shared" si="109"/>
        <v>#VALUE!</v>
      </c>
      <c r="H3077" s="3" t="e">
        <f t="shared" si="108"/>
        <v>#VALUE!</v>
      </c>
      <c r="I3077" s="1">
        <v>1</v>
      </c>
    </row>
    <row r="3078" spans="1:9" x14ac:dyDescent="0.25">
      <c r="A3078" s="1" t="s">
        <v>14435</v>
      </c>
      <c r="B3078" s="1" t="s">
        <v>8809</v>
      </c>
      <c r="C3078" s="1" t="str">
        <f>IFERROR(VLOOKUP(B3078,'SB1'!$A$2:$B$999999,2,FALSE),"")</f>
        <v>COLOR TEST ALBA VERDE PARQUE X 0,030</v>
      </c>
      <c r="D3078" s="1" t="s">
        <v>14439</v>
      </c>
      <c r="E3078" s="3">
        <f>IFERROR(VLOOKUP(B3078,'DA1'!$B$2:$D$999999,3,FALSE),"")</f>
      </c>
      <c r="F3078" s="1" t="str">
        <f>IFERROR(VLOOKUP(B3078,'SB1'!$A$2:$C$999999,3,FALSE),"")</f>
        <v>503</v>
      </c>
      <c r="G3078" s="3" t="e">
        <f t="shared" si="109"/>
        <v>#VALUE!</v>
      </c>
      <c r="H3078" s="3" t="e">
        <f t="shared" si="108"/>
        <v>#VALUE!</v>
      </c>
      <c r="I3078" s="1">
        <v>1</v>
      </c>
    </row>
    <row r="3079" spans="1:9" x14ac:dyDescent="0.25">
      <c r="A3079" s="1" t="s">
        <v>14435</v>
      </c>
      <c r="B3079" s="1" t="s">
        <v>8811</v>
      </c>
      <c r="C3079" s="1" t="str">
        <f>IFERROR(VLOOKUP(B3079,'SB1'!$A$2:$B$999999,2,FALSE),"")</f>
        <v>COLOR TEST ALBA VIDRIO AHUMADO X 0,030</v>
      </c>
      <c r="D3079" s="1" t="s">
        <v>14439</v>
      </c>
      <c r="E3079" s="3">
        <f>IFERROR(VLOOKUP(B3079,'DA1'!$B$2:$D$999999,3,FALSE),"")</f>
      </c>
      <c r="F3079" s="1" t="str">
        <f>IFERROR(VLOOKUP(B3079,'SB1'!$A$2:$C$999999,3,FALSE),"")</f>
        <v>503</v>
      </c>
      <c r="G3079" s="3" t="e">
        <f t="shared" si="109"/>
        <v>#VALUE!</v>
      </c>
      <c r="H3079" s="3" t="e">
        <f t="shared" si="108"/>
        <v>#VALUE!</v>
      </c>
      <c r="I3079" s="1">
        <v>1</v>
      </c>
    </row>
    <row r="3080" spans="1:9" x14ac:dyDescent="0.25">
      <c r="A3080" s="1" t="s">
        <v>14435</v>
      </c>
      <c r="B3080" s="1" t="s">
        <v>8813</v>
      </c>
      <c r="C3080" s="1" t="str">
        <f>IFERROR(VLOOKUP(B3080,'SB1'!$A$2:$B$999999,2,FALSE),"")</f>
        <v>COLOR TEST ALBA YUTE DORADO X 0,030</v>
      </c>
      <c r="D3080" s="1" t="s">
        <v>14439</v>
      </c>
      <c r="E3080" s="3">
        <f>IFERROR(VLOOKUP(B3080,'DA1'!$B$2:$D$999999,3,FALSE),"")</f>
      </c>
      <c r="F3080" s="1" t="str">
        <f>IFERROR(VLOOKUP(B3080,'SB1'!$A$2:$C$999999,3,FALSE),"")</f>
        <v>503</v>
      </c>
      <c r="G3080" s="3" t="e">
        <f t="shared" si="109"/>
        <v>#VALUE!</v>
      </c>
      <c r="H3080" s="3" t="e">
        <f t="shared" si="108"/>
        <v>#VALUE!</v>
      </c>
      <c r="I3080" s="1">
        <v>1</v>
      </c>
    </row>
    <row r="3081" spans="1:9" x14ac:dyDescent="0.25">
      <c r="A3081" s="1" t="s">
        <v>14435</v>
      </c>
      <c r="B3081" s="1" t="s">
        <v>8815</v>
      </c>
      <c r="C3081" s="1" t="str">
        <f>IFERROR(VLOOKUP(B3081,'SB1'!$A$2:$B$999999,2,FALSE),"")</f>
        <v>AEROSOL RUST-OLEUM PINTURA TIZADA CHALKED TRANSPARENTE MATE X 0,340(335323)</v>
      </c>
      <c r="D3081" s="1" t="s">
        <v>14475</v>
      </c>
      <c r="E3081" s="3">
        <f>IFERROR(VLOOKUP(B3081,'DA1'!$B$2:$D$999999,3,FALSE),"")</f>
      </c>
      <c r="F3081" s="1" t="str">
        <f>IFERROR(VLOOKUP(B3081,'SB1'!$A$2:$C$999999,3,FALSE),"")</f>
        <v>503</v>
      </c>
      <c r="G3081" s="3" t="e">
        <f t="shared" si="109"/>
        <v>#VALUE!</v>
      </c>
      <c r="H3081" s="3" t="e">
        <f t="shared" si="108"/>
        <v>#VALUE!</v>
      </c>
      <c r="I3081" s="1">
        <v>1</v>
      </c>
    </row>
    <row r="3082" spans="1:8" x14ac:dyDescent="0.25">
      <c r="A3082" s="1" t="s">
        <v>14435</v>
      </c>
      <c r="B3082" s="1" t="s">
        <v>8841</v>
      </c>
      <c r="C3082" s="1" t="str">
        <f>IFERROR(VLOOKUP(B3082,'SB1'!$A$2:$B$999999,2,FALSE),"")</f>
        <v>PINTURA A LA TIZA CHALKED RUST-OLEUM BLANCO LINO X 0,887(311320)</v>
      </c>
      <c r="D3082" s="1" t="s">
        <v>14439</v>
      </c>
      <c r="E3082" s="3">
        <f>IFERROR(VLOOKUP(B3082,'DA1'!$B$2:$D$999999,3,FALSE),"")</f>
      </c>
      <c r="F3082" s="1" t="str">
        <f>IFERROR(VLOOKUP(B3082,'SB1'!$A$2:$C$999999,3,FALSE),"")</f>
        <v>503</v>
      </c>
      <c r="G3082" s="3" t="e">
        <f t="shared" si="109"/>
        <v>#VALUE!</v>
      </c>
      <c r="H3082" s="3" t="e">
        <f t="shared" si="108"/>
        <v>#VALUE!</v>
      </c>
    </row>
    <row r="3083" spans="1:9" x14ac:dyDescent="0.25">
      <c r="A3083" s="1" t="s">
        <v>14435</v>
      </c>
      <c r="B3083" s="1" t="s">
        <v>8843</v>
      </c>
      <c r="C3083" s="1" t="str">
        <f>IFERROR(VLOOKUP(B3083,'SB1'!$A$2:$B$999999,2,FALSE),"")</f>
        <v>PINTURA A LA TIZA CHALKED RUST-OLEUM CARBON X 0,887(311335-375522)</v>
      </c>
      <c r="D3083" s="1" t="s">
        <v>14439</v>
      </c>
      <c r="E3083" s="3">
        <f>IFERROR(VLOOKUP(B3083,'DA1'!$B$2:$D$999999,3,FALSE),"")</f>
      </c>
      <c r="F3083" s="1" t="str">
        <f>IFERROR(VLOOKUP(B3083,'SB1'!$A$2:$C$999999,3,FALSE),"")</f>
        <v>503</v>
      </c>
      <c r="G3083" s="3" t="e">
        <f t="shared" si="109"/>
        <v>#VALUE!</v>
      </c>
      <c r="H3083" s="3" t="e">
        <f t="shared" si="108"/>
        <v>#VALUE!</v>
      </c>
      <c r="I3083" s="1">
        <v>1</v>
      </c>
    </row>
    <row r="3084" spans="1:9" x14ac:dyDescent="0.25">
      <c r="A3084" s="1" t="s">
        <v>14435</v>
      </c>
      <c r="B3084" s="1" t="s">
        <v>8845</v>
      </c>
      <c r="C3084" s="1" t="str">
        <f>IFERROR(VLOOKUP(B3084,'SB1'!$A$2:$B$999999,2,FALSE),"")</f>
        <v>PINTURA A LA TIZA CHALKED RUST-OLEUM GRIS CAMPESTRE X 0,887(311332)</v>
      </c>
      <c r="D3084" s="1" t="s">
        <v>14439</v>
      </c>
      <c r="E3084" s="3">
        <f>IFERROR(VLOOKUP(B3084,'DA1'!$B$2:$D$999999,3,FALSE),"")</f>
      </c>
      <c r="F3084" s="1" t="str">
        <f>IFERROR(VLOOKUP(B3084,'SB1'!$A$2:$C$999999,3,FALSE),"")</f>
        <v>503</v>
      </c>
      <c r="G3084" s="3" t="e">
        <f t="shared" si="109"/>
        <v>#VALUE!</v>
      </c>
      <c r="H3084" s="3" t="e">
        <f t="shared" si="108"/>
        <v>#VALUE!</v>
      </c>
      <c r="I3084" s="1">
        <v>1</v>
      </c>
    </row>
    <row r="3085" spans="1:9" x14ac:dyDescent="0.25">
      <c r="A3085" s="1" t="s">
        <v>14435</v>
      </c>
      <c r="B3085" s="1" t="s">
        <v>8849</v>
      </c>
      <c r="C3085" s="1" t="str">
        <f>IFERROR(VLOOKUP(B3085,'SB1'!$A$2:$B$999999,2,FALSE),"")</f>
        <v>PINTURA A LA TIZA CHALKED RUST-OLEUM AZUL SERENO X 0,887(311331)</v>
      </c>
      <c r="D3085" s="1" t="s">
        <v>14439</v>
      </c>
      <c r="E3085" s="3">
        <f>IFERROR(VLOOKUP(B3085,'DA1'!$B$2:$D$999999,3,FALSE),"")</f>
      </c>
      <c r="F3085" s="1" t="str">
        <f>IFERROR(VLOOKUP(B3085,'SB1'!$A$2:$C$999999,3,FALSE),"")</f>
        <v>503</v>
      </c>
      <c r="G3085" s="3" t="e">
        <f t="shared" si="109"/>
        <v>#VALUE!</v>
      </c>
      <c r="H3085" s="3" t="e">
        <f t="shared" si="108"/>
        <v>#VALUE!</v>
      </c>
      <c r="I3085" s="1">
        <v>1</v>
      </c>
    </row>
    <row r="3086" spans="1:9" x14ac:dyDescent="0.25">
      <c r="A3086" s="1" t="s">
        <v>14435</v>
      </c>
      <c r="B3086" s="1" t="s">
        <v>8851</v>
      </c>
      <c r="C3086" s="1" t="str">
        <f>IFERROR(VLOOKUP(B3086,'SB1'!$A$2:$B$999999,2,FALSE),"")</f>
        <v>PINTURA A LA TIZA CHALKED RUST-OLEUM ROSA PALIDO X 0,887(311333)</v>
      </c>
      <c r="D3086" s="1" t="s">
        <v>14439</v>
      </c>
      <c r="E3086" s="3">
        <f>IFERROR(VLOOKUP(B3086,'DA1'!$B$2:$D$999999,3,FALSE),"")</f>
      </c>
      <c r="F3086" s="1" t="str">
        <f>IFERROR(VLOOKUP(B3086,'SB1'!$A$2:$C$999999,3,FALSE),"")</f>
        <v>503</v>
      </c>
      <c r="G3086" s="3" t="e">
        <f t="shared" si="109"/>
        <v>#VALUE!</v>
      </c>
      <c r="H3086" s="3" t="e">
        <f t="shared" si="108"/>
        <v>#VALUE!</v>
      </c>
      <c r="I3086" s="1">
        <v>1</v>
      </c>
    </row>
    <row r="3087" spans="1:8" x14ac:dyDescent="0.25">
      <c r="A3087" s="1" t="s">
        <v>14435</v>
      </c>
      <c r="B3087" s="1" t="s">
        <v>8855</v>
      </c>
      <c r="C3087" s="1" t="str">
        <f>IFERROR(VLOOKUP(B3087,'SB1'!$A$2:$B$999999,2,FALSE),"")</f>
        <v>PINTURA A LA TIZA CHALKED RUST-OLEUM AZUL COSTENO X 0,887(337879)</v>
      </c>
      <c r="D3087" s="1" t="s">
        <v>14439</v>
      </c>
      <c r="E3087" s="3">
        <f>IFERROR(VLOOKUP(B3087,'DA1'!$B$2:$D$999999,3,FALSE),"")</f>
      </c>
      <c r="F3087" s="1" t="str">
        <f>IFERROR(VLOOKUP(B3087,'SB1'!$A$2:$C$999999,3,FALSE),"")</f>
        <v>503</v>
      </c>
      <c r="G3087" s="3" t="e">
        <f t="shared" si="109"/>
        <v>#VALUE!</v>
      </c>
      <c r="H3087" s="3" t="e">
        <f t="shared" si="108"/>
        <v>#VALUE!</v>
      </c>
    </row>
    <row r="3088" spans="1:8" x14ac:dyDescent="0.25">
      <c r="A3088" s="1" t="s">
        <v>14435</v>
      </c>
      <c r="B3088" s="1" t="s">
        <v>8857</v>
      </c>
      <c r="C3088" s="1" t="str">
        <f>IFERROR(VLOOKUP(B3088,'SB1'!$A$2:$B$999999,2,FALSE),"")</f>
        <v>PINTURA A LA TIZA CHALKED RUST-OLEUM VERDE ESTANQUE X 0,887(337885)</v>
      </c>
      <c r="D3088" s="1" t="s">
        <v>14439</v>
      </c>
      <c r="E3088" s="3">
        <f>IFERROR(VLOOKUP(B3088,'DA1'!$B$2:$D$999999,3,FALSE),"")</f>
      </c>
      <c r="F3088" s="1" t="str">
        <f>IFERROR(VLOOKUP(B3088,'SB1'!$A$2:$C$999999,3,FALSE),"")</f>
        <v>503</v>
      </c>
      <c r="G3088" s="3" t="e">
        <f t="shared" si="109"/>
        <v>#VALUE!</v>
      </c>
      <c r="H3088" s="3" t="e">
        <f t="shared" si="108"/>
        <v>#VALUE!</v>
      </c>
    </row>
    <row r="3089" spans="1:9" x14ac:dyDescent="0.25">
      <c r="A3089" s="1" t="s">
        <v>14435</v>
      </c>
      <c r="B3089" s="1" t="s">
        <v>8859</v>
      </c>
      <c r="C3089" s="1" t="str">
        <f>IFERROR(VLOOKUP(B3089,'SB1'!$A$2:$B$999999,2,FALSE),"")</f>
        <v>PINTURA A LA TIZA CHALKED RUST-OLEUM ROJO CAMPESTRE X 0,887(342646)</v>
      </c>
      <c r="D3089" s="1" t="s">
        <v>14439</v>
      </c>
      <c r="E3089" s="3">
        <f>IFERROR(VLOOKUP(B3089,'DA1'!$B$2:$D$999999,3,FALSE),"")</f>
      </c>
      <c r="F3089" s="1" t="str">
        <f>IFERROR(VLOOKUP(B3089,'SB1'!$A$2:$C$999999,3,FALSE),"")</f>
        <v>503</v>
      </c>
      <c r="G3089" s="3" t="e">
        <f t="shared" si="109"/>
        <v>#VALUE!</v>
      </c>
      <c r="H3089" s="3" t="e">
        <f t="shared" si="108"/>
        <v>#VALUE!</v>
      </c>
      <c r="I3089" s="1">
        <v>1</v>
      </c>
    </row>
    <row r="3090" spans="1:9" x14ac:dyDescent="0.25">
      <c r="A3090" s="1" t="s">
        <v>14435</v>
      </c>
      <c r="B3090" s="1" t="s">
        <v>8861</v>
      </c>
      <c r="C3090" s="1" t="str">
        <f>IFERROR(VLOOKUP(B3090,'SB1'!$A$2:$B$999999,2,FALSE),"")</f>
        <v>PINTURA A LA TIZA CHALKED RUST-OLEUM VERDE MENTA X 0,887(337884)</v>
      </c>
      <c r="D3090" s="1" t="s">
        <v>14439</v>
      </c>
      <c r="E3090" s="3">
        <f>IFERROR(VLOOKUP(B3090,'DA1'!$B$2:$D$999999,3,FALSE),"")</f>
      </c>
      <c r="F3090" s="1" t="str">
        <f>IFERROR(VLOOKUP(B3090,'SB1'!$A$2:$C$999999,3,FALSE),"")</f>
        <v>503</v>
      </c>
      <c r="G3090" s="3" t="e">
        <f t="shared" si="109"/>
        <v>#VALUE!</v>
      </c>
      <c r="H3090" s="3" t="e">
        <f t="shared" si="108"/>
        <v>#VALUE!</v>
      </c>
      <c r="I3090" s="1">
        <v>1</v>
      </c>
    </row>
    <row r="3091" spans="1:9" x14ac:dyDescent="0.25">
      <c r="A3091" s="1" t="s">
        <v>14435</v>
      </c>
      <c r="B3091" s="1" t="s">
        <v>8863</v>
      </c>
      <c r="C3091" s="1" t="str">
        <f>IFERROR(VLOOKUP(B3091,'SB1'!$A$2:$B$999999,2,FALSE),"")</f>
        <v>PINTURA A LA TIZA CHALKED RUST-OLEUM TURQUESA  AGUAMARINA X 0,887(350624)</v>
      </c>
      <c r="D3091" s="1" t="s">
        <v>14439</v>
      </c>
      <c r="E3091" s="3">
        <f>IFERROR(VLOOKUP(B3091,'DA1'!$B$2:$D$999999,3,FALSE),"")</f>
      </c>
      <c r="F3091" s="1" t="str">
        <f>IFERROR(VLOOKUP(B3091,'SB1'!$A$2:$C$999999,3,FALSE),"")</f>
        <v>503</v>
      </c>
      <c r="G3091" s="3" t="e">
        <f t="shared" si="109"/>
        <v>#VALUE!</v>
      </c>
      <c r="H3091" s="3" t="e">
        <f t="shared" si="108"/>
        <v>#VALUE!</v>
      </c>
      <c r="I3091" s="1">
        <v>1</v>
      </c>
    </row>
    <row r="3092" spans="1:9" x14ac:dyDescent="0.25">
      <c r="A3092" s="1" t="s">
        <v>14435</v>
      </c>
      <c r="B3092" s="1" t="s">
        <v>8865</v>
      </c>
      <c r="C3092" s="1" t="str">
        <f>IFERROR(VLOOKUP(B3092,'SB1'!$A$2:$B$999999,2,FALSE),"")</f>
        <v>PINTURA A LA TIZA CHALKED RUST-OLEUM AMARILLO AMANECER X 0,887(350483)</v>
      </c>
      <c r="D3092" s="1" t="s">
        <v>14439</v>
      </c>
      <c r="E3092" s="3">
        <f>IFERROR(VLOOKUP(B3092,'DA1'!$B$2:$D$999999,3,FALSE),"")</f>
      </c>
      <c r="F3092" s="1" t="str">
        <f>IFERROR(VLOOKUP(B3092,'SB1'!$A$2:$C$999999,3,FALSE),"")</f>
        <v>503</v>
      </c>
      <c r="G3092" s="3" t="e">
        <f t="shared" si="109"/>
        <v>#VALUE!</v>
      </c>
      <c r="H3092" s="3" t="e">
        <f t="shared" si="108"/>
        <v>#VALUE!</v>
      </c>
      <c r="I3092" s="1">
        <v>1</v>
      </c>
    </row>
    <row r="3093" spans="1:9" x14ac:dyDescent="0.25">
      <c r="A3093" s="1" t="s">
        <v>14435</v>
      </c>
      <c r="B3093" s="1" t="s">
        <v>8867</v>
      </c>
      <c r="C3093" s="1" t="str">
        <f>IFERROR(VLOOKUP(B3093,'SB1'!$A$2:$B$999999,2,FALSE),"")</f>
        <v>PINTURA A LA TIZA CHALKED RUST-OLEUM SALMON CLARO X 0,887(358364)</v>
      </c>
      <c r="D3093" s="1" t="s">
        <v>14439</v>
      </c>
      <c r="E3093" s="3">
        <f>IFERROR(VLOOKUP(B3093,'DA1'!$B$2:$D$999999,3,FALSE),"")</f>
      </c>
      <c r="F3093" s="1" t="str">
        <f>IFERROR(VLOOKUP(B3093,'SB1'!$A$2:$C$999999,3,FALSE),"")</f>
        <v>503</v>
      </c>
      <c r="G3093" s="3" t="e">
        <f t="shared" si="109"/>
        <v>#VALUE!</v>
      </c>
      <c r="H3093" s="3" t="e">
        <f t="shared" si="108"/>
        <v>#VALUE!</v>
      </c>
      <c r="I3093" s="1">
        <v>1</v>
      </c>
    </row>
    <row r="3094" spans="1:9" x14ac:dyDescent="0.25">
      <c r="A3094" s="1" t="s">
        <v>14435</v>
      </c>
      <c r="B3094" s="1" t="s">
        <v>8869</v>
      </c>
      <c r="C3094" s="1" t="str">
        <f>IFERROR(VLOOKUP(B3094,'SB1'!$A$2:$B$999999,2,FALSE),"")</f>
        <v>AEROSOL RUST OLEUM FONDO MULTIUSO ZINSSER 123 MATE BLANCO X 0,368(281957/358274)</v>
      </c>
      <c r="D3094" s="1" t="s">
        <v>14502</v>
      </c>
      <c r="E3094" s="3">
        <f>IFERROR(VLOOKUP(B3094,'DA1'!$B$2:$D$999999,3,FALSE),"")</f>
      </c>
      <c r="F3094" s="1" t="str">
        <f>IFERROR(VLOOKUP(B3094,'SB1'!$A$2:$C$999999,3,FALSE),"")</f>
        <v>503</v>
      </c>
      <c r="G3094" s="3" t="e">
        <f t="shared" si="109"/>
        <v>#VALUE!</v>
      </c>
      <c r="H3094" s="3" t="e">
        <f t="shared" si="108"/>
        <v>#VALUE!</v>
      </c>
      <c r="I3094" s="1">
        <v>1</v>
      </c>
    </row>
    <row r="3095" spans="1:9" x14ac:dyDescent="0.25">
      <c r="A3095" s="1" t="s">
        <v>14435</v>
      </c>
      <c r="B3095" s="1" t="s">
        <v>8871</v>
      </c>
      <c r="C3095" s="1" t="str">
        <f>IFERROR(VLOOKUP(B3095,'SB1'!$A$2:$B$999999,2,FALSE),"")</f>
        <v>AEROSOL RUST OLEUM FONDO MULTIUSO ZINSSER 123 MATE GRIS X 0,368 (290971)</v>
      </c>
      <c r="D3095" s="1" t="s">
        <v>14439</v>
      </c>
      <c r="E3095" s="3">
        <f>IFERROR(VLOOKUP(B3095,'DA1'!$B$2:$D$999999,3,FALSE),"")</f>
      </c>
      <c r="F3095" s="1" t="str">
        <f>IFERROR(VLOOKUP(B3095,'SB1'!$A$2:$C$999999,3,FALSE),"")</f>
        <v>503</v>
      </c>
      <c r="G3095" s="3" t="e">
        <f t="shared" si="109"/>
        <v>#VALUE!</v>
      </c>
      <c r="H3095" s="3" t="e">
        <f t="shared" si="108"/>
        <v>#VALUE!</v>
      </c>
      <c r="I3095" s="1">
        <v>1</v>
      </c>
    </row>
    <row r="3096" spans="1:9" x14ac:dyDescent="0.25">
      <c r="A3096" s="1" t="s">
        <v>14435</v>
      </c>
      <c r="B3096" s="1" t="s">
        <v>8873</v>
      </c>
      <c r="C3096" s="1" t="str">
        <f>IFERROR(VLOOKUP(B3096,'SB1'!$A$2:$B$999999,2,FALSE),"")</f>
        <v>FONDO MULTIUSO RUST OLEUM ZINSSER 123 MATE BLANCO X 0,946 (281956)</v>
      </c>
      <c r="D3096" s="1" t="s">
        <v>14502</v>
      </c>
      <c r="E3096" s="3">
        <f>IFERROR(VLOOKUP(B3096,'DA1'!$B$2:$D$999999,3,FALSE),"")</f>
      </c>
      <c r="F3096" s="1" t="str">
        <f>IFERROR(VLOOKUP(B3096,'SB1'!$A$2:$C$999999,3,FALSE),"")</f>
        <v>503</v>
      </c>
      <c r="G3096" s="3" t="e">
        <f t="shared" si="109"/>
        <v>#VALUE!</v>
      </c>
      <c r="H3096" s="3" t="e">
        <f t="shared" si="108"/>
        <v>#VALUE!</v>
      </c>
      <c r="I3096" s="1">
        <v>1</v>
      </c>
    </row>
    <row r="3097" spans="1:9" x14ac:dyDescent="0.25">
      <c r="A3097" s="1" t="s">
        <v>14435</v>
      </c>
      <c r="B3097" s="1" t="s">
        <v>8875</v>
      </c>
      <c r="C3097" s="1" t="str">
        <f>IFERROR(VLOOKUP(B3097,'SB1'!$A$2:$B$999999,2,FALSE),"")</f>
        <v>FONDO MULTIUSO RUST OLEUM ZINSSER 123 MATE BLANCO X 3,785 (281954)</v>
      </c>
      <c r="D3097" s="1" t="s">
        <v>14502</v>
      </c>
      <c r="E3097" s="3">
        <f>IFERROR(VLOOKUP(B3097,'DA1'!$B$2:$D$999999,3,FALSE),"")</f>
      </c>
      <c r="F3097" s="1" t="str">
        <f>IFERROR(VLOOKUP(B3097,'SB1'!$A$2:$C$999999,3,FALSE),"")</f>
        <v>503</v>
      </c>
      <c r="G3097" s="3" t="e">
        <f t="shared" si="109"/>
        <v>#VALUE!</v>
      </c>
      <c r="H3097" s="3" t="e">
        <f t="shared" si="108"/>
        <v>#VALUE!</v>
      </c>
      <c r="I3097" s="1">
        <v>1</v>
      </c>
    </row>
    <row r="3098" spans="1:9" x14ac:dyDescent="0.25">
      <c r="A3098" s="1" t="s">
        <v>14435</v>
      </c>
      <c r="B3098" s="1" t="s">
        <v>8877</v>
      </c>
      <c r="C3098" s="1" t="str">
        <f>IFERROR(VLOOKUP(B3098,'SB1'!$A$2:$B$999999,2,FALSE),"")</f>
        <v>FONDO MULTIUSO RUST OLEUM ZINSSER 123 MATE BLANCO X 18,9 (2000)</v>
      </c>
      <c r="D3098" s="1" t="s">
        <v>14502</v>
      </c>
      <c r="E3098" s="3">
        <f>IFERROR(VLOOKUP(B3098,'DA1'!$B$2:$D$999999,3,FALSE),"")</f>
      </c>
      <c r="F3098" s="1" t="str">
        <f>IFERROR(VLOOKUP(B3098,'SB1'!$A$2:$C$999999,3,FALSE),"")</f>
        <v>503</v>
      </c>
      <c r="G3098" s="3" t="e">
        <f t="shared" si="109"/>
        <v>#VALUE!</v>
      </c>
      <c r="H3098" s="3" t="e">
        <f t="shared" si="108"/>
        <v>#VALUE!</v>
      </c>
      <c r="I3098" s="1">
        <v>1</v>
      </c>
    </row>
    <row r="3099" spans="1:9" x14ac:dyDescent="0.25">
      <c r="A3099" s="1" t="s">
        <v>14435</v>
      </c>
      <c r="B3099" s="1" t="s">
        <v>8879</v>
      </c>
      <c r="C3099" s="1" t="str">
        <f>IFERROR(VLOOKUP(B3099,'SB1'!$A$2:$B$999999,2,FALSE),"")</f>
        <v>FONDO MULTIUSO RUST OLEUM ZINSSER 123 MATE GRIS X 0,946 (286258)</v>
      </c>
      <c r="D3099" s="1" t="s">
        <v>14502</v>
      </c>
      <c r="E3099" s="3">
        <f>IFERROR(VLOOKUP(B3099,'DA1'!$B$2:$D$999999,3,FALSE),"")</f>
      </c>
      <c r="F3099" s="1" t="str">
        <f>IFERROR(VLOOKUP(B3099,'SB1'!$A$2:$C$999999,3,FALSE),"")</f>
        <v>503</v>
      </c>
      <c r="G3099" s="3" t="e">
        <f t="shared" si="109"/>
        <v>#VALUE!</v>
      </c>
      <c r="H3099" s="3" t="e">
        <f t="shared" si="108"/>
        <v>#VALUE!</v>
      </c>
      <c r="I3099" s="1">
        <v>1</v>
      </c>
    </row>
    <row r="3100" spans="1:9" x14ac:dyDescent="0.25">
      <c r="A3100" s="1" t="s">
        <v>14435</v>
      </c>
      <c r="B3100" s="1" t="s">
        <v>8881</v>
      </c>
      <c r="C3100" s="1" t="str">
        <f>IFERROR(VLOOKUP(B3100,'SB1'!$A$2:$B$999999,2,FALSE),"")</f>
        <v>FONDO MULTIUSO RUST OLEUM ZINSSER 123 MATE GRIS X 3,785 (285085)</v>
      </c>
      <c r="D3100" s="1" t="s">
        <v>14502</v>
      </c>
      <c r="E3100" s="3">
        <f>IFERROR(VLOOKUP(B3100,'DA1'!$B$2:$D$999999,3,FALSE),"")</f>
      </c>
      <c r="F3100" s="1" t="str">
        <f>IFERROR(VLOOKUP(B3100,'SB1'!$A$2:$C$999999,3,FALSE),"")</f>
        <v>503</v>
      </c>
      <c r="G3100" s="3" t="e">
        <f t="shared" si="109"/>
        <v>#VALUE!</v>
      </c>
      <c r="H3100" s="3" t="e">
        <f t="shared" si="108"/>
        <v>#VALUE!</v>
      </c>
      <c r="I3100" s="1">
        <v>1</v>
      </c>
    </row>
    <row r="3101" spans="1:9" x14ac:dyDescent="0.25">
      <c r="A3101" s="1" t="s">
        <v>14435</v>
      </c>
      <c r="B3101" s="1" t="s">
        <v>8883</v>
      </c>
      <c r="C3101" s="1" t="str">
        <f>IFERROR(VLOOKUP(B3101,'SB1'!$A$2:$B$999999,2,FALSE),"")</f>
        <v>FONDO MULTIUSO RUST OLEUM ZINSSER 123 MATE GRIS X 18,9 (285090)</v>
      </c>
      <c r="D3101" s="1" t="s">
        <v>14502</v>
      </c>
      <c r="E3101" s="3">
        <f>IFERROR(VLOOKUP(B3101,'DA1'!$B$2:$D$999999,3,FALSE),"")</f>
      </c>
      <c r="F3101" s="1" t="str">
        <f>IFERROR(VLOOKUP(B3101,'SB1'!$A$2:$C$999999,3,FALSE),"")</f>
        <v>503</v>
      </c>
      <c r="G3101" s="3" t="e">
        <f t="shared" si="109"/>
        <v>#VALUE!</v>
      </c>
      <c r="H3101" s="3" t="e">
        <f t="shared" si="108"/>
        <v>#VALUE!</v>
      </c>
      <c r="I3101" s="1">
        <v>1</v>
      </c>
    </row>
    <row r="3102" spans="1:9" x14ac:dyDescent="0.25">
      <c r="A3102" s="1" t="s">
        <v>14435</v>
      </c>
      <c r="B3102" s="1" t="s">
        <v>8899</v>
      </c>
      <c r="C3102" s="1" t="str">
        <f>IFERROR(VLOOKUP(B3102,'SB1'!$A$2:$B$999999,2,FALSE),"")</f>
        <v>FRATACHO C/VELCRO ASPIRACION 198CMX70MM</v>
      </c>
      <c r="D3102" s="1" t="s">
        <v>14464</v>
      </c>
      <c r="E3102" s="3">
        <f>IFERROR(VLOOKUP(B3102,'DA1'!$B$2:$D$999999,3,FALSE),"")</f>
      </c>
      <c r="F3102" s="1" t="str">
        <f>IFERROR(VLOOKUP(B3102,'SB1'!$A$2:$C$999999,3,FALSE),"")</f>
        <v>503</v>
      </c>
      <c r="G3102" s="3" t="e">
        <f t="shared" si="109"/>
        <v>#VALUE!</v>
      </c>
      <c r="H3102" s="3" t="e">
        <f t="shared" si="108"/>
        <v>#VALUE!</v>
      </c>
      <c r="I3102" s="1">
        <v>1</v>
      </c>
    </row>
    <row r="3103" spans="1:9" x14ac:dyDescent="0.25">
      <c r="A3103" s="1" t="s">
        <v>14435</v>
      </c>
      <c r="B3103" s="1" t="s">
        <v>8901</v>
      </c>
      <c r="C3103" s="1" t="str">
        <f>IFERROR(VLOOKUP(B3103,'SB1'!$A$2:$B$999999,2,FALSE),"")</f>
        <v>FRATACHO C/VELCRO ASPIRACION 125CMX70MM</v>
      </c>
      <c r="D3103" s="1" t="s">
        <v>14464</v>
      </c>
      <c r="E3103" s="3">
        <f>IFERROR(VLOOKUP(B3103,'DA1'!$B$2:$D$999999,3,FALSE),"")</f>
      </c>
      <c r="F3103" s="1" t="str">
        <f>IFERROR(VLOOKUP(B3103,'SB1'!$A$2:$C$999999,3,FALSE),"")</f>
        <v>503</v>
      </c>
      <c r="G3103" s="3" t="e">
        <f t="shared" si="109"/>
        <v>#VALUE!</v>
      </c>
      <c r="H3103" s="3" t="e">
        <f t="shared" si="108"/>
        <v>#VALUE!</v>
      </c>
      <c r="I3103" s="1">
        <v>1</v>
      </c>
    </row>
    <row r="3104" spans="1:9" x14ac:dyDescent="0.25">
      <c r="A3104" s="1" t="s">
        <v>14435</v>
      </c>
      <c r="B3104" s="1" t="s">
        <v>8903</v>
      </c>
      <c r="C3104" s="1" t="str">
        <f>IFERROR(VLOOKUP(B3104,'SB1'!$A$2:$B$999999,2,FALSE),"")</f>
        <v>DISCO OXIDO ALUMINIO CERAMICO PREMIUM CYCLONIC BLAZE 150X18 P80</v>
      </c>
      <c r="D3104" s="1" t="s">
        <v>14464</v>
      </c>
      <c r="E3104" s="3">
        <f>IFERROR(VLOOKUP(B3104,'DA1'!$B$2:$D$999999,3,FALSE),"")</f>
      </c>
      <c r="F3104" s="1" t="str">
        <f>IFERROR(VLOOKUP(B3104,'SB1'!$A$2:$C$999999,3,FALSE),"")</f>
        <v>503</v>
      </c>
      <c r="G3104" s="3" t="e">
        <f t="shared" si="109"/>
        <v>#VALUE!</v>
      </c>
      <c r="H3104" s="3" t="e">
        <f t="shared" si="108"/>
        <v>#VALUE!</v>
      </c>
      <c r="I3104" s="1">
        <v>1</v>
      </c>
    </row>
    <row r="3105" spans="1:9" x14ac:dyDescent="0.25">
      <c r="A3105" s="1" t="s">
        <v>14435</v>
      </c>
      <c r="B3105" s="1" t="s">
        <v>8905</v>
      </c>
      <c r="C3105" s="1" t="str">
        <f>IFERROR(VLOOKUP(B3105,'SB1'!$A$2:$B$999999,2,FALSE),"")</f>
        <v>DISCO OXIDO ALUMINIO CERAMICO PREMIUM CYCLONIC BLAZE 150X18 P120</v>
      </c>
      <c r="D3105" s="1" t="s">
        <v>14464</v>
      </c>
      <c r="E3105" s="3">
        <f>IFERROR(VLOOKUP(B3105,'DA1'!$B$2:$D$999999,3,FALSE),"")</f>
      </c>
      <c r="F3105" s="1" t="str">
        <f>IFERROR(VLOOKUP(B3105,'SB1'!$A$2:$C$999999,3,FALSE),"")</f>
        <v>503</v>
      </c>
      <c r="G3105" s="3" t="e">
        <f t="shared" si="109"/>
        <v>#VALUE!</v>
      </c>
      <c r="H3105" s="3" t="e">
        <f t="shared" si="108"/>
        <v>#VALUE!</v>
      </c>
      <c r="I3105" s="1">
        <v>1</v>
      </c>
    </row>
    <row r="3106" spans="1:9" x14ac:dyDescent="0.25">
      <c r="A3106" s="1" t="s">
        <v>14435</v>
      </c>
      <c r="B3106" s="1" t="s">
        <v>8907</v>
      </c>
      <c r="C3106" s="1" t="str">
        <f>IFERROR(VLOOKUP(B3106,'SB1'!$A$2:$B$999999,2,FALSE),"")</f>
        <v>DISCO OXIDO ALUMINIO CERAMICO PREMIUM CYCLONIC BLAZE 150X18 P180</v>
      </c>
      <c r="D3106" s="1" t="s">
        <v>14464</v>
      </c>
      <c r="E3106" s="3">
        <f>IFERROR(VLOOKUP(B3106,'DA1'!$B$2:$D$999999,3,FALSE),"")</f>
      </c>
      <c r="F3106" s="1" t="str">
        <f>IFERROR(VLOOKUP(B3106,'SB1'!$A$2:$C$999999,3,FALSE),"")</f>
        <v>503</v>
      </c>
      <c r="G3106" s="3" t="e">
        <f t="shared" si="109"/>
        <v>#VALUE!</v>
      </c>
      <c r="H3106" s="3" t="e">
        <f t="shared" si="108"/>
        <v>#VALUE!</v>
      </c>
      <c r="I3106" s="1">
        <v>1</v>
      </c>
    </row>
    <row r="3107" spans="1:9" x14ac:dyDescent="0.25">
      <c r="A3107" s="1" t="s">
        <v>14435</v>
      </c>
      <c r="B3107" s="1" t="s">
        <v>8909</v>
      </c>
      <c r="C3107" s="1" t="str">
        <f>IFERROR(VLOOKUP(B3107,'SB1'!$A$2:$B$999999,2,FALSE),"")</f>
        <v>DISCO OXIDO ALUMINIO CERAMICO PREMIUM CYCLONIC BLAZE 150X18 P220</v>
      </c>
      <c r="D3107" s="1" t="s">
        <v>14464</v>
      </c>
      <c r="E3107" s="3">
        <f>IFERROR(VLOOKUP(B3107,'DA1'!$B$2:$D$999999,3,FALSE),"")</f>
      </c>
      <c r="F3107" s="1" t="str">
        <f>IFERROR(VLOOKUP(B3107,'SB1'!$A$2:$C$999999,3,FALSE),"")</f>
        <v>503</v>
      </c>
      <c r="G3107" s="3" t="e">
        <f t="shared" si="109"/>
        <v>#VALUE!</v>
      </c>
      <c r="H3107" s="3" t="e">
        <f t="shared" si="108"/>
        <v>#VALUE!</v>
      </c>
      <c r="I3107" s="1">
        <v>1</v>
      </c>
    </row>
    <row r="3108" spans="1:9" x14ac:dyDescent="0.25">
      <c r="A3108" s="1" t="s">
        <v>14435</v>
      </c>
      <c r="B3108" s="1" t="s">
        <v>8911</v>
      </c>
      <c r="C3108" s="1" t="str">
        <f>IFERROR(VLOOKUP(B3108,'SB1'!$A$2:$B$999999,2,FALSE),"")</f>
        <v>DISCO OXIDO ALUMINIO CERAMICO PREMIUM CYCLONIC BLAZE 150X18 P320</v>
      </c>
      <c r="D3108" s="1" t="s">
        <v>14464</v>
      </c>
      <c r="E3108" s="3">
        <f>IFERROR(VLOOKUP(B3108,'DA1'!$B$2:$D$999999,3,FALSE),"")</f>
      </c>
      <c r="F3108" s="1" t="str">
        <f>IFERROR(VLOOKUP(B3108,'SB1'!$A$2:$C$999999,3,FALSE),"")</f>
        <v>503</v>
      </c>
      <c r="G3108" s="3" t="e">
        <f t="shared" si="109"/>
        <v>#VALUE!</v>
      </c>
      <c r="H3108" s="3" t="e">
        <f t="shared" si="108"/>
        <v>#VALUE!</v>
      </c>
      <c r="I3108" s="1">
        <v>1</v>
      </c>
    </row>
    <row r="3109" spans="1:9" x14ac:dyDescent="0.25">
      <c r="A3109" s="1" t="s">
        <v>14435</v>
      </c>
      <c r="B3109" s="1" t="s">
        <v>8913</v>
      </c>
      <c r="C3109" s="1" t="str">
        <f>IFERROR(VLOOKUP(B3109,'SB1'!$A$2:$B$999999,2,FALSE),"")</f>
        <v>DISCO OXIDO ALUMINIO CERAMICO PREMIUM CYCLONIC BLAZE 150X18 P400</v>
      </c>
      <c r="D3109" s="1" t="s">
        <v>14464</v>
      </c>
      <c r="E3109" s="3">
        <f>IFERROR(VLOOKUP(B3109,'DA1'!$B$2:$D$999999,3,FALSE),"")</f>
      </c>
      <c r="F3109" s="1" t="str">
        <f>IFERROR(VLOOKUP(B3109,'SB1'!$A$2:$C$999999,3,FALSE),"")</f>
        <v>503</v>
      </c>
      <c r="G3109" s="3" t="e">
        <f t="shared" si="109"/>
        <v>#VALUE!</v>
      </c>
      <c r="H3109" s="3" t="e">
        <f t="shared" si="108"/>
        <v>#VALUE!</v>
      </c>
      <c r="I3109" s="1">
        <v>1</v>
      </c>
    </row>
    <row r="3110" spans="1:9" x14ac:dyDescent="0.25">
      <c r="A3110" s="1" t="s">
        <v>14435</v>
      </c>
      <c r="B3110" s="1" t="s">
        <v>8915</v>
      </c>
      <c r="C3110" s="1" t="str">
        <f>IFERROR(VLOOKUP(B3110,'SB1'!$A$2:$B$999999,2,FALSE),"")</f>
        <v>DISCO OXIDO ALUMINIO CERAMICO PREMIUM CYCLONIC BLAZE 150X18 P500</v>
      </c>
      <c r="D3110" s="1" t="s">
        <v>14464</v>
      </c>
      <c r="E3110" s="3">
        <f>IFERROR(VLOOKUP(B3110,'DA1'!$B$2:$D$999999,3,FALSE),"")</f>
      </c>
      <c r="F3110" s="1" t="str">
        <f>IFERROR(VLOOKUP(B3110,'SB1'!$A$2:$C$999999,3,FALSE),"")</f>
        <v>503</v>
      </c>
      <c r="G3110" s="3" t="e">
        <f t="shared" si="109"/>
        <v>#VALUE!</v>
      </c>
      <c r="H3110" s="3" t="e">
        <f t="shared" si="108"/>
        <v>#VALUE!</v>
      </c>
      <c r="I3110" s="1">
        <v>1</v>
      </c>
    </row>
    <row r="3111" spans="1:9" x14ac:dyDescent="0.25">
      <c r="A3111" s="1" t="s">
        <v>14435</v>
      </c>
      <c r="B3111" s="1" t="s">
        <v>8917</v>
      </c>
      <c r="C3111" s="1" t="str">
        <f>IFERROR(VLOOKUP(B3111,'SB1'!$A$2:$B$999999,2,FALSE),"")</f>
        <v>DISCO OXIDO ALUMINIO MULTI-AIR SOFT-TOUCH A275 P800</v>
      </c>
      <c r="D3111" s="1" t="s">
        <v>14464</v>
      </c>
      <c r="E3111" s="3">
        <f>IFERROR(VLOOKUP(B3111,'DA1'!$B$2:$D$999999,3,FALSE),"")</f>
      </c>
      <c r="F3111" s="1" t="str">
        <f>IFERROR(VLOOKUP(B3111,'SB1'!$A$2:$C$999999,3,FALSE),"")</f>
        <v>503</v>
      </c>
      <c r="G3111" s="3" t="e">
        <f t="shared" si="109"/>
        <v>#VALUE!</v>
      </c>
      <c r="H3111" s="3" t="e">
        <f t="shared" si="108"/>
        <v>#VALUE!</v>
      </c>
      <c r="I3111" s="1">
        <v>1</v>
      </c>
    </row>
    <row r="3112" spans="1:9" x14ac:dyDescent="0.25">
      <c r="A3112" s="1" t="s">
        <v>14435</v>
      </c>
      <c r="B3112" s="1" t="s">
        <v>8919</v>
      </c>
      <c r="C3112" s="1" t="str">
        <f>IFERROR(VLOOKUP(B3112,'SB1'!$A$2:$B$999999,2,FALSE),"")</f>
        <v>ROLLO A995 BLAZE CYCLONIC P80</v>
      </c>
      <c r="D3112" s="1" t="s">
        <v>14464</v>
      </c>
      <c r="E3112" s="3">
        <f>IFERROR(VLOOKUP(B3112,'DA1'!$B$2:$D$999999,3,FALSE),"")</f>
      </c>
      <c r="F3112" s="1" t="str">
        <f>IFERROR(VLOOKUP(B3112,'SB1'!$A$2:$C$999999,3,FALSE),"")</f>
        <v>503</v>
      </c>
      <c r="G3112" s="3" t="e">
        <f t="shared" si="109"/>
        <v>#VALUE!</v>
      </c>
      <c r="H3112" s="3" t="e">
        <f t="shared" si="108"/>
        <v>#VALUE!</v>
      </c>
      <c r="I3112" s="1">
        <v>1</v>
      </c>
    </row>
    <row r="3113" spans="1:9" x14ac:dyDescent="0.25">
      <c r="A3113" s="1" t="s">
        <v>14435</v>
      </c>
      <c r="B3113" s="1" t="s">
        <v>8921</v>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   <f>IFERROR(VLOOKUP(B3113,'DA1'!$B$2:$D$999999,3,FALSE),"")</f>
      </c>
      <c r="F3113" s="1" t="str">
        <f>IFERROR(VLOOKUP(B3113,'SB1'!$A$2:$C$999999,3,FALSE),"")</f>
        <v>503</v>
      </c>
      <c r="G3113" s="3" t="e">
        <f t="shared" si="109"/>
        <v>#VALUE!</v>
      </c>
      <c r="H3113" s="3" t="e">
        <f t="shared" si="108"/>
        <v>#VALUE!</v>
      </c>
      <c r="I3113" s="1">
        <v>1</v>
      </c>
    </row>
    <row r="3114" spans="1:9" x14ac:dyDescent="0.25">
      <c r="A3114" s="1" t="s">
        <v>14435</v>
      </c>
      <c r="B3114" s="1" t="s">
        <v>8923</v>
      </c>
      <c r="C3114" s="1" t="str">
        <f>IFERROR(VLOOKUP(B3114,'SB1'!$A$2:$B$999999,2,FALSE),"")</f>
        <v>ROLLO A995 BLAZE CYCLONIC P180</v>
      </c>
      <c r="D3114" s="1" t="s">
        <v>14464</v>
      </c>
      <c r="E3114" s="3">
        <f>IFERROR(VLOOKUP(B3114,'DA1'!$B$2:$D$999999,3,FALSE),"")</f>
      </c>
      <c r="F3114" s="1" t="str">
        <f>IFERROR(VLOOKUP(B3114,'SB1'!$A$2:$C$999999,3,FALSE),"")</f>
        <v>503</v>
      </c>
      <c r="G3114" s="3" t="e">
        <f t="shared" si="109"/>
        <v>#VALUE!</v>
      </c>
      <c r="H3114" s="3" t="e">
        <f t="shared" si="108"/>
        <v>#VALUE!</v>
      </c>
      <c r="I3114" s="1">
        <v>1</v>
      </c>
    </row>
    <row r="3115" spans="1:9" x14ac:dyDescent="0.25">
      <c r="A3115" s="1" t="s">
        <v>14435</v>
      </c>
      <c r="B3115" s="1" t="s">
        <v>8925</v>
      </c>
      <c r="C3115" s="1" t="str">
        <f>IFERROR(VLOOKUP(B3115,'SB1'!$A$2:$B$999999,2,FALSE),"")</f>
        <v>ROLLO A995 BLAZE CYCLONIC P220</v>
      </c>
      <c r="D3115" s="1" t="s">
        <v>14464</v>
      </c>
      <c r="E3115" s="3">
        <f>IFERROR(VLOOKUP(B3115,'DA1'!$B$2:$D$999999,3,FALSE),"")</f>
      </c>
      <c r="F3115" s="1" t="str">
        <f>IFERROR(VLOOKUP(B3115,'SB1'!$A$2:$C$999999,3,FALSE),"")</f>
        <v>503</v>
      </c>
      <c r="G3115" s="3" t="e">
        <f t="shared" si="109"/>
        <v>#VALUE!</v>
      </c>
      <c r="H3115" s="3" t="e">
        <f t="shared" si="108"/>
        <v>#VALUE!</v>
      </c>
      <c r="I3115" s="1">
        <v>1</v>
      </c>
    </row>
    <row r="3116" spans="1:9" x14ac:dyDescent="0.25">
      <c r="A3116" s="1" t="s">
        <v>14435</v>
      </c>
      <c r="B3116" s="1" t="s">
        <v>8927</v>
      </c>
      <c r="C3116" s="1" t="str">
        <f>IFERROR(VLOOKUP(B3116,'SB1'!$A$2:$B$999999,2,FALSE),"")</f>
        <v>ROLLO A995 BLAZE CYCLONIC P320</v>
      </c>
      <c r="D3116" s="1" t="s">
        <v>14464</v>
      </c>
      <c r="E3116" s="3">
        <f>IFERROR(VLOOKUP(B3116,'DA1'!$B$2:$D$999999,3,FALSE),"")</f>
      </c>
      <c r="F3116" s="1" t="str">
        <f>IFERROR(VLOOKUP(B3116,'SB1'!$A$2:$C$999999,3,FALSE),"")</f>
        <v>503</v>
      </c>
      <c r="G3116" s="3" t="e">
        <f t="shared" si="109"/>
        <v>#VALUE!</v>
      </c>
      <c r="H3116" s="3" t="e">
        <f t="shared" si="108"/>
        <v>#VALUE!</v>
      </c>
      <c r="I3116" s="1">
        <v>1</v>
      </c>
    </row>
    <row r="3117" spans="1:9" x14ac:dyDescent="0.25">
      <c r="A3117" s="1" t="s">
        <v>14435</v>
      </c>
      <c r="B3117" s="1" t="s">
        <v>8929</v>
      </c>
      <c r="C3117" s="1" t="str">
        <f>IFERROR(VLOOKUP(B3117,'SB1'!$A$2:$B$999999,2,FALSE),"")</f>
        <v>DISCO OXIDO ALUMINIO CERAMICO PREMIUM RAPID STRIP BLAZE XCRS 115X22MM</v>
      </c>
      <c r="D3117" s="1" t="s">
        <v>14464</v>
      </c>
      <c r="E3117" s="3">
        <f>IFERROR(VLOOKUP(B3117,'DA1'!$B$2:$D$999999,3,FALSE),"")</f>
      </c>
      <c r="F3117" s="1" t="str">
        <f>IFERROR(VLOOKUP(B3117,'SB1'!$A$2:$C$999999,3,FALSE),"")</f>
        <v>503</v>
      </c>
      <c r="G3117" s="3" t="e">
        <f t="shared" si="109"/>
        <v>#VALUE!</v>
      </c>
      <c r="H3117" s="3" t="e">
        <f t="shared" si="108"/>
        <v>#VALUE!</v>
      </c>
      <c r="I3117" s="1">
        <v>1</v>
      </c>
    </row>
    <row r="3118" spans="1:9" x14ac:dyDescent="0.25">
      <c r="A3118" s="1" t="s">
        <v>14435</v>
      </c>
      <c r="B3118" s="1" t="s">
        <v>8931</v>
      </c>
      <c r="C3118" s="1" t="str">
        <f>IFERROR(VLOOKUP(B3118,'SB1'!$A$2:$B$999999,2,FALSE),"")</f>
        <v>LIJA MICROFINA T499 BLACK-ICE J2000</v>
      </c>
      <c r="D3118" s="1" t="s">
        <v>14464</v>
      </c>
      <c r="E3118" s="3">
        <f>IFERROR(VLOOKUP(B3118,'DA1'!$B$2:$D$999999,3,FALSE),"")</f>
      </c>
      <c r="F3118" s="1" t="str">
        <f>IFERROR(VLOOKUP(B3118,'SB1'!$A$2:$C$999999,3,FALSE),"")</f>
        <v>503</v>
      </c>
      <c r="G3118" s="3" t="e">
        <f t="shared" si="109"/>
        <v>#VALUE!</v>
      </c>
      <c r="H3118" s="3" t="e">
        <f t="shared" si="108"/>
        <v>#VALUE!</v>
      </c>
      <c r="I3118" s="1">
        <v>1</v>
      </c>
    </row>
    <row r="3119" spans="1:9" x14ac:dyDescent="0.25">
      <c r="A3119" s="1" t="s">
        <v>14435</v>
      </c>
      <c r="B3119" s="1" t="s">
        <v>8945</v>
      </c>
      <c r="C3119" s="1" t="str">
        <f>IFERROR(VLOOKUP(B3119,'SB1'!$A$2:$B$999999,2,FALSE),"")</f>
        <v>LIJA MICROFINA T499 BLACK-ICE J2500</v>
      </c>
      <c r="D3119" s="1" t="s">
        <v>14464</v>
      </c>
      <c r="E3119" s="3">
        <f>IFERROR(VLOOKUP(B3119,'DA1'!$B$2:$D$999999,3,FALSE),"")</f>
      </c>
      <c r="F3119" s="1" t="str">
        <f>IFERROR(VLOOKUP(B3119,'SB1'!$A$2:$C$999999,3,FALSE),"")</f>
        <v>503</v>
      </c>
      <c r="G3119" s="3" t="e">
        <f t="shared" si="109"/>
        <v>#VALUE!</v>
      </c>
      <c r="H3119" s="3" t="e">
        <f t="shared" si="108"/>
        <v>#VALUE!</v>
      </c>
      <c r="I3119" s="1">
        <v>1</v>
      </c>
    </row>
    <row r="3120" spans="1:9" x14ac:dyDescent="0.25">
      <c r="A3120" s="1" t="s">
        <v>14435</v>
      </c>
      <c r="B3120" s="1" t="s">
        <v>8947</v>
      </c>
      <c r="C3120" s="1" t="str">
        <f>IFERROR(VLOOKUP(B3120,'SB1'!$A$2:$B$999999,2,FALSE),"")</f>
        <v>SOPORTE CYCLONIC MULTI-AIR</v>
      </c>
      <c r="D3120" s="1" t="s">
        <v>14464</v>
      </c>
      <c r="E3120" s="3">
        <f>IFERROR(VLOOKUP(B3120,'DA1'!$B$2:$D$999999,3,FALSE),"")</f>
      </c>
      <c r="F3120" s="1" t="str">
        <f>IFERROR(VLOOKUP(B3120,'SB1'!$A$2:$C$999999,3,FALSE),"")</f>
        <v>503</v>
      </c>
      <c r="G3120" s="3" t="e">
        <f t="shared" si="109"/>
        <v>#VALUE!</v>
      </c>
      <c r="H3120" s="3" t="e">
        <f t="shared" si="108"/>
        <v>#VALUE!</v>
      </c>
      <c r="I3120" s="1">
        <v>1</v>
      </c>
    </row>
    <row r="3121" spans="1:9" x14ac:dyDescent="0.25">
      <c r="A3121" s="1" t="s">
        <v>14435</v>
      </c>
      <c r="B3121" s="1" t="s">
        <v>8949</v>
      </c>
      <c r="C3121" s="1" t="str">
        <f>IFERROR(VLOOKUP(B3121,'SB1'!$A$2:$B$999999,2,FALSE),"")</f>
        <v>REDUCTOR DE IMPACTO CYCLONIC MULTI-AIR</v>
      </c>
      <c r="D3121" s="1" t="s">
        <v>14464</v>
      </c>
      <c r="E3121" s="3">
        <f>IFERROR(VLOOKUP(B3121,'DA1'!$B$2:$D$999999,3,FALSE),"")</f>
      </c>
      <c r="F3121" s="1" t="str">
        <f>IFERROR(VLOOKUP(B3121,'SB1'!$A$2:$C$999999,3,FALSE),"")</f>
        <v>503</v>
      </c>
      <c r="G3121" s="3" t="e">
        <f t="shared" si="109"/>
        <v>#VALUE!</v>
      </c>
      <c r="H3121" s="3" t="e">
        <f t="shared" si="108"/>
        <v>#VALUE!</v>
      </c>
      <c r="I3121" s="1">
        <v>1</v>
      </c>
    </row>
    <row r="3122" spans="1:9" x14ac:dyDescent="0.25">
      <c r="A3122" s="1" t="s">
        <v>14435</v>
      </c>
      <c r="B3122" s="1" t="s">
        <v>8951</v>
      </c>
      <c r="C3122" s="1" t="str">
        <f>IFERROR(VLOOKUP(B3122,'SB1'!$A$2:$B$999999,2,FALSE),"")</f>
        <v>TACO LIJADOR MANUAL DE GOMA NORTON</v>
      </c>
      <c r="D3122" s="1" t="s">
        <v>14464</v>
      </c>
      <c r="E3122" s="3">
        <f>IFERROR(VLOOKUP(B3122,'DA1'!$B$2:$D$999999,3,FALSE),"")</f>
      </c>
      <c r="F3122" s="1" t="str">
        <f>IFERROR(VLOOKUP(B3122,'SB1'!$A$2:$C$999999,3,FALSE),"")</f>
        <v>503</v>
      </c>
      <c r="G3122" s="3" t="e">
        <f t="shared" si="109"/>
        <v>#VALUE!</v>
      </c>
      <c r="H3122" s="3" t="e">
        <f t="shared" si="108"/>
        <v>#VALUE!</v>
      </c>
      <c r="I3122" s="1">
        <v>1</v>
      </c>
    </row>
    <row r="3123" spans="1:9" x14ac:dyDescent="0.25">
      <c r="A3123" s="1" t="s">
        <v>14435</v>
      </c>
      <c r="B3123" s="1" t="s">
        <v>8959</v>
      </c>
      <c r="C3123" s="1" t="str">
        <f>IFERROR(VLOOKUP(B3123,'SB1'!$A$2:$B$999999,2,FALSE),"")</f>
        <v>BURLETE ADHESIVO 20MM X 50MTS</v>
      </c>
      <c r="D3123" s="1" t="s">
        <v>14464</v>
      </c>
      <c r="E3123" s="3">
        <f>IFERROR(VLOOKUP(B3123,'DA1'!$B$2:$D$999999,3,FALSE),"")</f>
      </c>
      <c r="F3123" s="1" t="str">
        <f>IFERROR(VLOOKUP(B3123,'SB1'!$A$2:$C$999999,3,FALSE),"")</f>
        <v>503</v>
      </c>
      <c r="G3123" s="3" t="e">
        <f t="shared" si="109"/>
        <v>#VALUE!</v>
      </c>
      <c r="H3123" s="3" t="e">
        <f t="shared" si="108"/>
        <v>#VALUE!</v>
      </c>
      <c r="I3123" s="1">
        <v>1</v>
      </c>
    </row>
    <row r="3124" spans="1:9" x14ac:dyDescent="0.25">
      <c r="A3124" s="1" t="s">
        <v>14435</v>
      </c>
      <c r="B3124" s="1" t="s">
        <v>8961</v>
      </c>
      <c r="C3124" s="1" t="str">
        <f>IFERROR(VLOOKUP(B3124,'SB1'!$A$2:$B$999999,2,FALSE),"")</f>
        <v>DISCO SPEED-GRIP A275 3 AGU. 3''  P80'</v>
      </c>
      <c r="D3124" s="1" t="s">
        <v>14464</v>
      </c>
      <c r="E3124" s="3">
        <f>IFERROR(VLOOKUP(B3124,'DA1'!$B$2:$D$999999,3,FALSE),"")</f>
      </c>
      <c r="F3124" s="1" t="str">
        <f>IFERROR(VLOOKUP(B3124,'SB1'!$A$2:$C$999999,3,FALSE),"")</f>
        <v>503</v>
      </c>
      <c r="G3124" s="3" t="e">
        <f t="shared" si="109"/>
        <v>#VALUE!</v>
      </c>
      <c r="H3124" s="3" t="e">
        <f t="shared" si="108"/>
        <v>#VALUE!</v>
      </c>
      <c r="I3124" s="1">
        <v>1</v>
      </c>
    </row>
    <row r="3125" spans="1:9" x14ac:dyDescent="0.25">
      <c r="A3125" s="1" t="s">
        <v>14435</v>
      </c>
      <c r="B3125" s="1" t="s">
        <v>8963</v>
      </c>
      <c r="C3125" s="1" t="str">
        <f>IFERROR(VLOOKUP(B3125,'SB1'!$A$2:$B$999999,2,FALSE),"")</f>
        <v>DISCO SPEED-GRIP A275 3 AGU. 3'' P120'</v>
      </c>
      <c r="D3125" s="1" t="s">
        <v>14464</v>
      </c>
      <c r="E3125" s="3">
        <f>IFERROR(VLOOKUP(B3125,'DA1'!$B$2:$D$999999,3,FALSE),"")</f>
      </c>
      <c r="F3125" s="1" t="str">
        <f>IFERROR(VLOOKUP(B3125,'SB1'!$A$2:$C$999999,3,FALSE),"")</f>
        <v>503</v>
      </c>
      <c r="G3125" s="3" t="e">
        <f t="shared" si="109"/>
        <v>#VALUE!</v>
      </c>
      <c r="H3125" s="3" t="e">
        <f t="shared" si="108"/>
        <v>#VALUE!</v>
      </c>
      <c r="I3125" s="1">
        <v>1</v>
      </c>
    </row>
    <row r="3126" spans="1:9" x14ac:dyDescent="0.25">
      <c r="A3126" s="1" t="s">
        <v>14435</v>
      </c>
      <c r="B3126" s="1" t="s">
        <v>8965</v>
      </c>
      <c r="C3126" s="1" t="str">
        <f>IFERROR(VLOOKUP(B3126,'SB1'!$A$2:$B$999999,2,FALSE),"")</f>
        <v>DISCO SPEED-GRIP A275 3 AGU. 3'' P180'</v>
      </c>
      <c r="D3126" s="1" t="s">
        <v>14464</v>
      </c>
      <c r="E3126" s="3">
        <f>IFERROR(VLOOKUP(B3126,'DA1'!$B$2:$D$999999,3,FALSE),"")</f>
      </c>
      <c r="F3126" s="1" t="str">
        <f>IFERROR(VLOOKUP(B3126,'SB1'!$A$2:$C$999999,3,FALSE),"")</f>
        <v>503</v>
      </c>
      <c r="G3126" s="3" t="e">
        <f t="shared" si="109"/>
        <v>#VALUE!</v>
      </c>
      <c r="H3126" s="3" t="e">
        <f t="shared" si="108"/>
        <v>#VALUE!</v>
      </c>
      <c r="I3126" s="1">
        <v>1</v>
      </c>
    </row>
    <row r="3127" spans="1:9" x14ac:dyDescent="0.25">
      <c r="A3127" s="1" t="s">
        <v>14435</v>
      </c>
      <c r="B3127" s="1" t="s">
        <v>8967</v>
      </c>
      <c r="C3127" s="1" t="str">
        <f>IFERROR(VLOOKUP(B3127,'SB1'!$A$2:$B$999999,2,FALSE),"")</f>
        <v>DISCO SPEED-GRIP A275 3 AGU. 3'' P220'</v>
      </c>
      <c r="D3127" s="1" t="s">
        <v>14464</v>
      </c>
      <c r="E3127" s="3">
        <f>IFERROR(VLOOKUP(B3127,'DA1'!$B$2:$D$999999,3,FALSE),"")</f>
      </c>
      <c r="F3127" s="1" t="str">
        <f>IFERROR(VLOOKUP(B3127,'SB1'!$A$2:$C$999999,3,FALSE),"")</f>
        <v>503</v>
      </c>
      <c r="G3127" s="3" t="e">
        <f t="shared" si="109"/>
        <v>#VALUE!</v>
      </c>
      <c r="H3127" s="3" t="e">
        <f t="shared" si="108"/>
        <v>#VALUE!</v>
      </c>
      <c r="I3127" s="1">
        <v>1</v>
      </c>
    </row>
    <row r="3128" spans="1:9" x14ac:dyDescent="0.25">
      <c r="A3128" s="1" t="s">
        <v>14435</v>
      </c>
      <c r="B3128" s="1" t="s">
        <v>8969</v>
      </c>
      <c r="C3128" s="1" t="str">
        <f>IFERROR(VLOOKUP(B3128,'SB1'!$A$2:$B$999999,2,FALSE),"")</f>
        <v>DISCO SPEED-GRIP A275 3 AGU. 3'' P320'</v>
      </c>
      <c r="D3128" s="1" t="s">
        <v>14464</v>
      </c>
      <c r="E3128" s="3">
        <f>IFERROR(VLOOKUP(B3128,'DA1'!$B$2:$D$999999,3,FALSE),"")</f>
      </c>
      <c r="F3128" s="1" t="str">
        <f>IFERROR(VLOOKUP(B3128,'SB1'!$A$2:$C$999999,3,FALSE),"")</f>
        <v>503</v>
      </c>
      <c r="G3128" s="3" t="e">
        <f t="shared" si="109"/>
        <v>#VALUE!</v>
      </c>
      <c r="H3128" s="3" t="e">
        <f t="shared" si="108"/>
        <v>#VALUE!</v>
      </c>
      <c r="I3128" s="1">
        <v>1</v>
      </c>
    </row>
    <row r="3129" spans="1:9" x14ac:dyDescent="0.25">
      <c r="A3129" s="1" t="s">
        <v>14435</v>
      </c>
      <c r="B3129" s="1" t="s">
        <v>8971</v>
      </c>
      <c r="C3129" s="1" t="str">
        <f>IFERROR(VLOOKUP(B3129,'SB1'!$A$2:$B$999999,2,FALSE),"")</f>
        <v>DISCO SPEED-GRIP A275 3 AGU. 3'' P400'</v>
      </c>
      <c r="D3129" s="1" t="s">
        <v>14464</v>
      </c>
      <c r="E3129" s="3">
        <f>IFERROR(VLOOKUP(B3129,'DA1'!$B$2:$D$999999,3,FALSE),"")</f>
      </c>
      <c r="F3129" s="1" t="str">
        <f>IFERROR(VLOOKUP(B3129,'SB1'!$A$2:$C$999999,3,FALSE),"")</f>
        <v>503</v>
      </c>
      <c r="G3129" s="3" t="e">
        <f t="shared" si="109"/>
        <v>#VALUE!</v>
      </c>
      <c r="H3129" s="3" t="e">
        <f t="shared" si="108"/>
        <v>#VALUE!</v>
      </c>
      <c r="I3129" s="1">
        <v>1</v>
      </c>
    </row>
    <row r="3130" spans="1:9" x14ac:dyDescent="0.25">
      <c r="A3130" s="1" t="s">
        <v>14435</v>
      </c>
      <c r="B3130" s="1" t="s">
        <v>8975</v>
      </c>
      <c r="C3130" s="1" t="str">
        <f>IFERROR(VLOOKUP(B3130,'SB1'!$A$2:$B$999999,2,FALSE),"")</f>
        <v>3D GUANTE MICROFIBRA DOBLE CARA (G-02YD)</v>
      </c>
      <c r="D3130" s="1" t="s">
        <v>14499</v>
      </c>
      <c r="E3130" s="3">
        <f>IFERROR(VLOOKUP(B3130,'DA1'!$B$2:$D$999999,3,FALSE),"")</f>
      </c>
      <c r="F3130" s="1" t="str">
        <f>IFERROR(VLOOKUP(B3130,'SB1'!$A$2:$C$999999,3,FALSE),"")</f>
        <v>503</v>
      </c>
      <c r="G3130" s="3" t="e">
        <f t="shared" si="109"/>
        <v>#VALUE!</v>
      </c>
      <c r="H3130" s="3" t="e">
        <f t="shared" si="108"/>
        <v>#VALUE!</v>
      </c>
      <c r="I3130" s="1">
        <v>1</v>
      </c>
    </row>
    <row r="3131" spans="1:9" x14ac:dyDescent="0.25">
      <c r="A3131" s="1" t="s">
        <v>14435</v>
      </c>
      <c r="B3131" s="1" t="s">
        <v>8979</v>
      </c>
      <c r="C3131" s="1" t="str">
        <f>IFERROR(VLOOKUP(B3131,'SB1'!$A$2:$B$999999,2,FALSE),"")</f>
        <v>DISCO SPEED-GRIP A275 3 AGU. 3'' P500'</v>
      </c>
      <c r="D3131" s="1" t="s">
        <v>14464</v>
      </c>
      <c r="E3131" s="3">
        <f>IFERROR(VLOOKUP(B3131,'DA1'!$B$2:$D$999999,3,FALSE),"")</f>
      </c>
      <c r="F3131" s="1" t="str">
        <f>IFERROR(VLOOKUP(B3131,'SB1'!$A$2:$C$999999,3,FALSE),"")</f>
        <v>503</v>
      </c>
      <c r="G3131" s="3" t="e">
        <f t="shared" si="109"/>
        <v>#VALUE!</v>
      </c>
      <c r="H3131" s="3" t="e">
        <f t="shared" si="108"/>
        <v>#VALUE!</v>
      </c>
      <c r="I3131" s="1">
        <v>1</v>
      </c>
    </row>
    <row r="3132" spans="1:9" x14ac:dyDescent="0.25">
      <c r="A3132" s="1" t="s">
        <v>14435</v>
      </c>
      <c r="B3132" s="1" t="s">
        <v>8981</v>
      </c>
      <c r="C3132" s="1" t="str">
        <f>IFERROR(VLOOKUP(B3132,'SB1'!$A$2:$B$999999,2,FALSE),"")</f>
        <v>DISCO SPEED-GRIP A275 3 AGU. 3'' P800'</v>
      </c>
      <c r="D3132" s="1" t="s">
        <v>14464</v>
      </c>
      <c r="E3132" s="3">
        <f>IFERROR(VLOOKUP(B3132,'DA1'!$B$2:$D$999999,3,FALSE),"")</f>
      </c>
      <c r="F3132" s="1" t="str">
        <f>IFERROR(VLOOKUP(B3132,'SB1'!$A$2:$C$999999,3,FALSE),"")</f>
        <v>503</v>
      </c>
      <c r="G3132" s="3" t="e">
        <f t="shared" si="109"/>
        <v>#VALUE!</v>
      </c>
      <c r="H3132" s="3" t="e">
        <f t="shared" si="108"/>
        <v>#VALUE!</v>
      </c>
      <c r="I3132" s="1">
        <v>1</v>
      </c>
    </row>
    <row r="3133" spans="1:9" x14ac:dyDescent="0.25">
      <c r="A3133" s="1" t="s">
        <v>14435</v>
      </c>
      <c r="B3133" s="1" t="s">
        <v>8983</v>
      </c>
      <c r="C3133" s="1" t="str">
        <f>IFERROR(VLOOKUP(B3133,'SB1'!$A$2:$B$999999,2,FALSE),"")</f>
        <v>INTERFAZ P/ROTO DE 3''-DE 3 AGU.'</v>
      </c>
      <c r="D3133" s="1" t="s">
        <v>14464</v>
      </c>
      <c r="E3133" s="3">
        <f>IFERROR(VLOOKUP(B3133,'DA1'!$B$2:$D$999999,3,FALSE),"")</f>
      </c>
      <c r="F3133" s="1" t="str">
        <f>IFERROR(VLOOKUP(B3133,'SB1'!$A$2:$C$999999,3,FALSE),"")</f>
        <v>503</v>
      </c>
      <c r="G3133" s="3" t="e">
        <f t="shared" si="109"/>
        <v>#VALUE!</v>
      </c>
      <c r="H3133" s="3" t="e">
        <f t="shared" si="108"/>
        <v>#VALUE!</v>
      </c>
      <c r="I3133" s="1">
        <v>1</v>
      </c>
    </row>
    <row r="3134" spans="1:9" x14ac:dyDescent="0.25">
      <c r="A3134" s="1" t="s">
        <v>14435</v>
      </c>
      <c r="B3134" s="1" t="s">
        <v>8985</v>
      </c>
      <c r="C3134" s="1" t="str">
        <f>IFERROR(VLOOKUP(B3134,'SB1'!$A$2:$B$999999,2,FALSE),"")</f>
        <v>DISCO Q255 P2000</v>
      </c>
      <c r="D3134" s="1" t="s">
        <v>14464</v>
      </c>
      <c r="E3134" s="3">
        <f>IFERROR(VLOOKUP(B3134,'DA1'!$B$2:$D$999999,3,FALSE),"")</f>
      </c>
      <c r="F3134" s="1" t="str">
        <f>IFERROR(VLOOKUP(B3134,'SB1'!$A$2:$C$999999,3,FALSE),"")</f>
        <v>503</v>
      </c>
      <c r="G3134" s="3" t="e">
        <f t="shared" si="109"/>
        <v>#VALUE!</v>
      </c>
      <c r="H3134" s="3" t="e">
        <f t="shared" ref="H3134:H3197" si="110">G3134*1.21</f>
        <v>#VALUE!</v>
      </c>
      <c r="I3134" s="1">
        <v>1</v>
      </c>
    </row>
    <row r="3135" spans="1:9" x14ac:dyDescent="0.25">
      <c r="A3135" s="1" t="s">
        <v>14435</v>
      </c>
      <c r="B3135" s="1" t="s">
        <v>8987</v>
      </c>
      <c r="C3135" s="1" t="str">
        <f>IFERROR(VLOOKUP(B3135,'SB1'!$A$2:$B$999999,2,FALSE),"")</f>
        <v>DISCO Q255 P3000</v>
      </c>
      <c r="D3135" s="1" t="s">
        <v>14464</v>
      </c>
      <c r="E3135" s="3">
        <f>IFERROR(VLOOKUP(B3135,'DA1'!$B$2:$D$999999,3,FALSE),"")</f>
      </c>
      <c r="F3135" s="1" t="str">
        <f>IFERROR(VLOOKUP(B3135,'SB1'!$A$2:$C$999999,3,FALSE),"")</f>
        <v>503</v>
      </c>
      <c r="G3135" s="3" t="e">
        <f t="shared" si="109"/>
        <v>#VALUE!</v>
      </c>
      <c r="H3135" s="3" t="e">
        <f t="shared" si="110"/>
        <v>#VALUE!</v>
      </c>
      <c r="I3135" s="1">
        <v>1</v>
      </c>
    </row>
    <row r="3136" spans="1:9" x14ac:dyDescent="0.25">
      <c r="A3136" s="1" t="s">
        <v>14435</v>
      </c>
      <c r="B3136" s="1" t="s">
        <v>8989</v>
      </c>
      <c r="C3136" s="1" t="str">
        <f>IFERROR(VLOOKUP(B3136,'SB1'!$A$2:$B$999999,2,FALSE),"")</f>
        <v>LIQUIDO PULIDOR ICE QUIT CUT STEP 1</v>
      </c>
      <c r="D3136" s="1" t="s">
        <v>14464</v>
      </c>
      <c r="E3136" s="3">
        <f>IFERROR(VLOOKUP(B3136,'DA1'!$B$2:$D$999999,3,FALSE),"")</f>
      </c>
      <c r="F3136" s="1" t="str">
        <f>IFERROR(VLOOKUP(B3136,'SB1'!$A$2:$C$999999,3,FALSE),"")</f>
        <v>503</v>
      </c>
      <c r="G3136" s="3" t="e">
        <f t="shared" si="109"/>
        <v>#VALUE!</v>
      </c>
      <c r="H3136" s="3" t="e">
        <f t="shared" si="110"/>
        <v>#VALUE!</v>
      </c>
      <c r="I3136" s="1">
        <v>1</v>
      </c>
    </row>
    <row r="3137" spans="1:9" x14ac:dyDescent="0.25">
      <c r="A3137" s="1" t="s">
        <v>14435</v>
      </c>
      <c r="B3137" s="1" t="s">
        <v>8991</v>
      </c>
      <c r="C3137" s="1" t="str">
        <f>IFERROR(VLOOKUP(B3137,'SB1'!$A$2:$B$999999,2,FALSE),"")</f>
        <v>LIQUIDO PULIDOR ICE XTRA-CUT</v>
      </c>
      <c r="D3137" s="1" t="s">
        <v>14464</v>
      </c>
      <c r="E3137" s="3">
        <f>IFERROR(VLOOKUP(B3137,'DA1'!$B$2:$D$999999,3,FALSE),"")</f>
      </c>
      <c r="F3137" s="1" t="str">
        <f>IFERROR(VLOOKUP(B3137,'SB1'!$A$2:$C$999999,3,FALSE),"")</f>
        <v>503</v>
      </c>
      <c r="G3137" s="3" t="e">
        <f t="shared" si="109"/>
        <v>#VALUE!</v>
      </c>
      <c r="H3137" s="3" t="e">
        <f t="shared" si="110"/>
        <v>#VALUE!</v>
      </c>
      <c r="I3137" s="1">
        <v>1</v>
      </c>
    </row>
    <row r="3138" spans="1:9" x14ac:dyDescent="0.25">
      <c r="A3138" s="1" t="s">
        <v>14435</v>
      </c>
      <c r="B3138" s="1" t="s">
        <v>8993</v>
      </c>
      <c r="C3138" s="1" t="str">
        <f>IFERROR(VLOOKUP(B3138,'SB1'!$A$2:$B$999999,2,FALSE),"")</f>
        <v>LIQUIDO PULIDOR OEM STEP 2</v>
      </c>
      <c r="D3138" s="1" t="s">
        <v>14464</v>
      </c>
      <c r="E3138" s="3">
        <f>IFERROR(VLOOKUP(B3138,'DA1'!$B$2:$D$999999,3,FALSE),"")</f>
      </c>
      <c r="F3138" s="1" t="str">
        <f>IFERROR(VLOOKUP(B3138,'SB1'!$A$2:$C$999999,3,FALSE),"")</f>
        <v>503</v>
      </c>
      <c r="G3138" s="3" t="e">
        <f t="shared" si="109"/>
        <v>#VALUE!</v>
      </c>
      <c r="H3138" s="3" t="e">
        <f t="shared" si="110"/>
        <v>#VALUE!</v>
      </c>
      <c r="I3138" s="1">
        <v>1</v>
      </c>
    </row>
    <row r="3139" spans="1:9" x14ac:dyDescent="0.25">
      <c r="A3139" s="1" t="s">
        <v>14435</v>
      </c>
      <c r="B3139" s="1" t="s">
        <v>8995</v>
      </c>
      <c r="C3139" s="1" t="str">
        <f>IFERROR(VLOOKUP(B3139,'SB1'!$A$2:$B$999999,2,FALSE),"")</f>
        <v>ENMASCARAMIENTO ROLLO CUBRE VOLANTE</v>
      </c>
      <c r="D3139" s="1" t="s">
        <v>14464</v>
      </c>
      <c r="E3139" s="3">
        <f>IFERROR(VLOOKUP(B3139,'DA1'!$B$2:$D$999999,3,FALSE),"")</f>
      </c>
      <c r="F3139" s="1" t="str">
        <f>IFERROR(VLOOKUP(B3139,'SB1'!$A$2:$C$999999,3,FALSE),"")</f>
        <v>503</v>
      </c>
      <c r="G3139" s="3" t="e">
        <f t="shared" ref="G3139:G3202" si="111">E3139*1.04</f>
        <v>#VALUE!</v>
      </c>
      <c r="H3139" s="3" t="e">
        <f t="shared" si="110"/>
        <v>#VALUE!</v>
      </c>
      <c r="I3139" s="1">
        <v>1</v>
      </c>
    </row>
    <row r="3140" spans="1:9" x14ac:dyDescent="0.25">
      <c r="A3140" s="1" t="s">
        <v>14435</v>
      </c>
      <c r="B3140" s="1" t="s">
        <v>8997</v>
      </c>
      <c r="C3140" s="1" t="str">
        <f>IFERROR(VLOOKUP(B3140,'SB1'!$A$2:$B$999999,2,FALSE),"")</f>
        <v>SOPORTE CON VELCRO P/BOINA</v>
      </c>
      <c r="D3140" s="1" t="s">
        <v>14464</v>
      </c>
      <c r="E3140" s="3">
        <f>IFERROR(VLOOKUP(B3140,'DA1'!$B$2:$D$999999,3,FALSE),"")</f>
      </c>
      <c r="F3140" s="1" t="str">
        <f>IFERROR(VLOOKUP(B3140,'SB1'!$A$2:$C$999999,3,FALSE),"")</f>
        <v>503</v>
      </c>
      <c r="G3140" s="3" t="e">
        <f t="shared" si="111"/>
        <v>#VALUE!</v>
      </c>
      <c r="H3140" s="3" t="e">
        <f t="shared" si="110"/>
        <v>#VALUE!</v>
      </c>
      <c r="I3140" s="1">
        <v>1</v>
      </c>
    </row>
    <row r="3141" spans="1:9" x14ac:dyDescent="0.25">
      <c r="A3141" s="1" t="s">
        <v>14435</v>
      </c>
      <c r="B3141" s="1" t="s">
        <v>8999</v>
      </c>
      <c r="C3141" s="1" t="str">
        <f>IFERROR(VLOOKUP(B3141,'SB1'!$A$2:$B$999999,2,FALSE),"")</f>
        <v>BOINA PULIDO ESPUMA BLANCA</v>
      </c>
      <c r="D3141" s="1" t="s">
        <v>14464</v>
      </c>
      <c r="E3141" s="3">
        <f>IFERROR(VLOOKUP(B3141,'DA1'!$B$2:$D$999999,3,FALSE),"")</f>
      </c>
      <c r="F3141" s="1" t="str">
        <f>IFERROR(VLOOKUP(B3141,'SB1'!$A$2:$C$999999,3,FALSE),"")</f>
        <v>503</v>
      </c>
      <c r="G3141" s="3" t="e">
        <f t="shared" si="111"/>
        <v>#VALUE!</v>
      </c>
      <c r="H3141" s="3" t="e">
        <f t="shared" si="110"/>
        <v>#VALUE!</v>
      </c>
      <c r="I3141" s="1">
        <v>1</v>
      </c>
    </row>
    <row r="3142" spans="1:9" x14ac:dyDescent="0.25">
      <c r="A3142" s="1" t="s">
        <v>14435</v>
      </c>
      <c r="B3142" s="1" t="s">
        <v>9001</v>
      </c>
      <c r="C3142" s="1" t="str">
        <f>IFERROR(VLOOKUP(B3142,'SB1'!$A$2:$B$999999,2,FALSE),"")</f>
        <v>BOINA CORDERO C/VELCRO</v>
      </c>
      <c r="D3142" s="1" t="s">
        <v>14464</v>
      </c>
      <c r="E3142" s="3">
        <f>IFERROR(VLOOKUP(B3142,'DA1'!$B$2:$D$999999,3,FALSE),"")</f>
      </c>
      <c r="F3142" s="1" t="str">
        <f>IFERROR(VLOOKUP(B3142,'SB1'!$A$2:$C$999999,3,FALSE),"")</f>
        <v>503</v>
      </c>
      <c r="G3142" s="3" t="e">
        <f t="shared" si="111"/>
        <v>#VALUE!</v>
      </c>
      <c r="H3142" s="3" t="e">
        <f t="shared" si="110"/>
        <v>#VALUE!</v>
      </c>
      <c r="I3142" s="1">
        <v>1</v>
      </c>
    </row>
    <row r="3143" spans="1:9" x14ac:dyDescent="0.25">
      <c r="A3143" s="1" t="s">
        <v>14435</v>
      </c>
      <c r="B3143" s="1" t="s">
        <v>9003</v>
      </c>
      <c r="C3143" s="1" t="str">
        <f>IFERROR(VLOOKUP(B3143,'SB1'!$A$2:$B$999999,2,FALSE),"")</f>
        <v>BOINA PULIDO ESPUMA AZUL</v>
      </c>
      <c r="D3143" s="1" t="s">
        <v>14464</v>
      </c>
      <c r="E3143" s="3">
        <f>IFERROR(VLOOKUP(B3143,'DA1'!$B$2:$D$999999,3,FALSE),"")</f>
      </c>
      <c r="F3143" s="1" t="str">
        <f>IFERROR(VLOOKUP(B3143,'SB1'!$A$2:$C$999999,3,FALSE),"")</f>
        <v>503</v>
      </c>
      <c r="G3143" s="3" t="e">
        <f t="shared" si="111"/>
        <v>#VALUE!</v>
      </c>
      <c r="H3143" s="3" t="e">
        <f t="shared" si="110"/>
        <v>#VALUE!</v>
      </c>
      <c r="I3143" s="1">
        <v>1</v>
      </c>
    </row>
    <row r="3144" spans="1:9" x14ac:dyDescent="0.25">
      <c r="A3144" s="1" t="s">
        <v>14435</v>
      </c>
      <c r="B3144" s="1" t="s">
        <v>9027</v>
      </c>
      <c r="C3144" s="1" t="str">
        <f>IFERROR(VLOOKUP(B3144,'SB1'!$A$2:$B$999999,2,FALSE),"")</f>
        <v>REVESTIMIENTO TEXTURADO ALBA PETREO CLASSIC SILICA X 30</v>
      </c>
      <c r="D3144" s="1" t="s">
        <v>14439</v>
      </c>
      <c r="E3144" s="3">
        <f>IFERROR(VLOOKUP(B3144,'DA1'!$B$2:$D$999999,3,FALSE),"")</f>
      </c>
      <c r="F3144" s="1" t="str">
        <f>IFERROR(VLOOKUP(B3144,'SB1'!$A$2:$C$999999,3,FALSE),"")</f>
        <v>503</v>
      </c>
      <c r="G3144" s="3" t="e">
        <f t="shared" si="111"/>
        <v>#VALUE!</v>
      </c>
      <c r="H3144" s="3" t="e">
        <f t="shared" si="110"/>
        <v>#VALUE!</v>
      </c>
      <c r="I3144" s="1">
        <v>1</v>
      </c>
    </row>
    <row r="3145" spans="1:9" x14ac:dyDescent="0.25">
      <c r="A3145" s="1" t="s">
        <v>14435</v>
      </c>
      <c r="B3145" s="1" t="s">
        <v>9119</v>
      </c>
      <c r="C3145" s="1" t="str">
        <f>IFERROR(VLOOKUP(B3145,'SB1'!$A$2:$B$999999,2,FALSE),"")</f>
        <v>ESMALTE EPOXI AL AGUA SINTEPLAST MONOCOMPONENTE BLANCO X 1</v>
      </c>
      <c r="D3145" s="1" t="s">
        <v>14463</v>
      </c>
      <c r="E3145" s="3">
        <f>IFERROR(VLOOKUP(B3145,'DA1'!$B$2:$D$999999,3,FALSE),"")</f>
      </c>
      <c r="F3145" s="1" t="str">
        <f>IFERROR(VLOOKUP(B3145,'SB1'!$A$2:$C$999999,3,FALSE),"")</f>
        <v>503</v>
      </c>
      <c r="G3145" s="3" t="e">
        <f t="shared" si="111"/>
        <v>#VALUE!</v>
      </c>
      <c r="H3145" s="3" t="e">
        <f t="shared" si="110"/>
        <v>#VALUE!</v>
      </c>
      <c r="I3145" s="1">
        <v>1</v>
      </c>
    </row>
    <row r="3146" spans="1:9" x14ac:dyDescent="0.25">
      <c r="A3146" s="1" t="s">
        <v>14435</v>
      </c>
      <c r="B3146" s="1" t="s">
        <v>9121</v>
      </c>
      <c r="C3146" s="1" t="str">
        <f>IFERROR(VLOOKUP(B3146,'SB1'!$A$2:$B$999999,2,FALSE),"")</f>
        <v>ESMALTE EPOXI AL AGUA SINTEPLAST MONOCOMPONENTE BLANCO X 4</v>
      </c>
      <c r="D3146" s="1" t="s">
        <v>14463</v>
      </c>
      <c r="E3146" s="3">
        <f>IFERROR(VLOOKUP(B3146,'DA1'!$B$2:$D$999999,3,FALSE),"")</f>
      </c>
      <c r="F3146" s="1" t="str">
        <f>IFERROR(VLOOKUP(B3146,'SB1'!$A$2:$C$999999,3,FALSE),"")</f>
        <v>503</v>
      </c>
      <c r="G3146" s="3" t="e">
        <f t="shared" si="111"/>
        <v>#VALUE!</v>
      </c>
      <c r="H3146" s="3" t="e">
        <f t="shared" si="110"/>
        <v>#VALUE!</v>
      </c>
      <c r="I3146" s="1">
        <v>1</v>
      </c>
    </row>
    <row r="3147" spans="1:9" x14ac:dyDescent="0.25">
      <c r="A3147" s="1" t="s">
        <v>14435</v>
      </c>
      <c r="B3147" s="1" t="s">
        <v>9123</v>
      </c>
      <c r="C3147" s="1" t="str">
        <f>IFERROR(VLOOKUP(B3147,'SB1'!$A$2:$B$999999,2,FALSE),"")</f>
        <v>ESMALTE EPOXI AL AGUA SINTEPLAST MONOCOMPONENTE GRIS X 1</v>
      </c>
      <c r="D3147" s="1" t="s">
        <v>14463</v>
      </c>
      <c r="E3147" s="3">
        <f>IFERROR(VLOOKUP(B3147,'DA1'!$B$2:$D$999999,3,FALSE),"")</f>
      </c>
      <c r="F3147" s="1" t="str">
        <f>IFERROR(VLOOKUP(B3147,'SB1'!$A$2:$C$999999,3,FALSE),"")</f>
        <v>503</v>
      </c>
      <c r="G3147" s="3" t="e">
        <f t="shared" si="111"/>
        <v>#VALUE!</v>
      </c>
      <c r="H3147" s="3" t="e">
        <f t="shared" si="110"/>
        <v>#VALUE!</v>
      </c>
      <c r="I3147" s="1">
        <v>1</v>
      </c>
    </row>
    <row r="3148" spans="1:9" x14ac:dyDescent="0.25">
      <c r="A3148" s="1" t="s">
        <v>14435</v>
      </c>
      <c r="B3148" s="1" t="s">
        <v>9125</v>
      </c>
      <c r="C3148" s="1" t="str">
        <f>IFERROR(VLOOKUP(B3148,'SB1'!$A$2:$B$999999,2,FALSE),"")</f>
        <v>ESMALTE EPOXI AL AGUA SINTEPLAST MONOCOMPONENTE GRIS X 4</v>
      </c>
      <c r="D3148" s="1" t="s">
        <v>14463</v>
      </c>
      <c r="E3148" s="3">
        <f>IFERROR(VLOOKUP(B3148,'DA1'!$B$2:$D$999999,3,FALSE),"")</f>
      </c>
      <c r="F3148" s="1" t="str">
        <f>IFERROR(VLOOKUP(B3148,'SB1'!$A$2:$C$999999,3,FALSE),"")</f>
        <v>503</v>
      </c>
      <c r="G3148" s="3" t="e">
        <f t="shared" si="111"/>
        <v>#VALUE!</v>
      </c>
      <c r="H3148" s="3" t="e">
        <f t="shared" si="110"/>
        <v>#VALUE!</v>
      </c>
      <c r="I3148" s="1">
        <v>1</v>
      </c>
    </row>
    <row r="3149" spans="1:9" x14ac:dyDescent="0.25">
      <c r="A3149" s="1" t="s">
        <v>14435</v>
      </c>
      <c r="B3149" s="1" t="s">
        <v>9127</v>
      </c>
      <c r="C3149" s="1" t="str">
        <f>IFERROR(VLOOKUP(B3149,'SB1'!$A$2:$B$999999,2,FALSE),"")</f>
        <v>ESMALTE EPOXI AL AGUA SINTEPLAST MONOCOMPONENTE NEGRO X 1</v>
      </c>
      <c r="D3149" s="1" t="s">
        <v>14463</v>
      </c>
      <c r="E3149" s="3">
        <f>IFERROR(VLOOKUP(B3149,'DA1'!$B$2:$D$999999,3,FALSE),"")</f>
      </c>
      <c r="F3149" s="1" t="str">
        <f>IFERROR(VLOOKUP(B3149,'SB1'!$A$2:$C$999999,3,FALSE),"")</f>
        <v>503</v>
      </c>
      <c r="G3149" s="3" t="e">
        <f t="shared" si="111"/>
        <v>#VALUE!</v>
      </c>
      <c r="H3149" s="3" t="e">
        <f t="shared" si="110"/>
        <v>#VALUE!</v>
      </c>
      <c r="I3149" s="1">
        <v>1</v>
      </c>
    </row>
    <row r="3150" spans="1:9" x14ac:dyDescent="0.25">
      <c r="A3150" s="1" t="s">
        <v>14435</v>
      </c>
      <c r="B3150" s="1" t="s">
        <v>9129</v>
      </c>
      <c r="C3150" s="1" t="str">
        <f>IFERROR(VLOOKUP(B3150,'SB1'!$A$2:$B$999999,2,FALSE),"")</f>
        <v>ESMALTE EPOXI AL AGUA SINTEPLAST MONOCOMPONENTE NEGRO X 4</v>
      </c>
      <c r="D3150" s="1" t="s">
        <v>14463</v>
      </c>
      <c r="E3150" s="3">
        <f>IFERROR(VLOOKUP(B3150,'DA1'!$B$2:$D$999999,3,FALSE),"")</f>
      </c>
      <c r="F3150" s="1" t="str">
        <f>IFERROR(VLOOKUP(B3150,'SB1'!$A$2:$C$999999,3,FALSE),"")</f>
        <v>503</v>
      </c>
      <c r="G3150" s="3" t="e">
        <f t="shared" si="111"/>
        <v>#VALUE!</v>
      </c>
      <c r="H3150" s="3" t="e">
        <f t="shared" si="110"/>
        <v>#VALUE!</v>
      </c>
      <c r="I3150" s="1">
        <v>1</v>
      </c>
    </row>
    <row r="3151" spans="1:9" x14ac:dyDescent="0.25">
      <c r="A3151" s="1" t="s">
        <v>14435</v>
      </c>
      <c r="B3151" s="1" t="s">
        <v>9147</v>
      </c>
      <c r="C3151" s="1" t="str">
        <f>IFERROR(VLOOKUP(B3151,'SB1'!$A$2:$B$999999,2,FALSE),"")</f>
        <v>SPRAY CLEAN UP</v>
      </c>
      <c r="D3151" s="1" t="s">
        <v>14464</v>
      </c>
      <c r="E3151" s="3">
        <f>IFERROR(VLOOKUP(B3151,'DA1'!$B$2:$D$999999,3,FALSE),"")</f>
      </c>
      <c r="F3151" s="1" t="str">
        <f>IFERROR(VLOOKUP(B3151,'SB1'!$A$2:$C$999999,3,FALSE),"")</f>
        <v>503</v>
      </c>
      <c r="G3151" s="3" t="e">
        <f t="shared" si="111"/>
        <v>#VALUE!</v>
      </c>
      <c r="H3151" s="3" t="e">
        <f t="shared" si="110"/>
        <v>#VALUE!</v>
      </c>
      <c r="I3151" s="1">
        <v>1</v>
      </c>
    </row>
    <row r="3152" spans="1:9" x14ac:dyDescent="0.25">
      <c r="A3152" s="1" t="s">
        <v>14435</v>
      </c>
      <c r="B3152" s="1" t="s">
        <v>9149</v>
      </c>
      <c r="C3152" s="1" t="str">
        <f>IFERROR(VLOOKUP(B3152,'SB1'!$A$2:$B$999999,2,FALSE),"")</f>
        <v>NIPLE UNION CPO-TAZA CR ADIABATIC (1450DLSO)</v>
      </c>
      <c r="D3152" s="1" t="s">
        <v>14496</v>
      </c>
      <c r="E3152" s="3">
        <f>IFERROR(VLOOKUP(B3152,'DA1'!$B$2:$D$999999,3,FALSE),"")</f>
      </c>
      <c r="F3152" s="1" t="str">
        <f>IFERROR(VLOOKUP(B3152,'SB1'!$A$2:$C$999999,3,FALSE),"")</f>
        <v>503</v>
      </c>
      <c r="G3152" s="3" t="e">
        <f t="shared" si="111"/>
        <v>#VALUE!</v>
      </c>
      <c r="H3152" s="3" t="e">
        <f t="shared" si="110"/>
        <v>#VALUE!</v>
      </c>
      <c r="I3152" s="1">
        <v>1</v>
      </c>
    </row>
    <row r="3153" spans="1:9" x14ac:dyDescent="0.25">
      <c r="A3153" s="1" t="s">
        <v>14435</v>
      </c>
      <c r="B3153" s="1" t="s">
        <v>9151</v>
      </c>
      <c r="C3153" s="1" t="str">
        <f>IFERROR(VLOOKUP(B3153,'SB1'!$A$2:$B$999999,2,FALSE),"")</f>
        <v>MEMBRANA ASFALTICA MEGAFLEX GEOTRANS X 36KG</v>
      </c>
      <c r="D3153" s="1" t="s">
        <v>14466</v>
      </c>
      <c r="E3153" s="3">
        <f>IFERROR(VLOOKUP(B3153,'DA1'!$B$2:$D$999999,3,FALSE),"")</f>
      </c>
      <c r="F3153" s="1" t="str">
        <f>IFERROR(VLOOKUP(B3153,'SB1'!$A$2:$C$999999,3,FALSE),"")</f>
        <v>503</v>
      </c>
      <c r="G3153" s="3" t="e">
        <f t="shared" si="111"/>
        <v>#VALUE!</v>
      </c>
      <c r="H3153" s="3" t="e">
        <f t="shared" si="110"/>
        <v>#VALUE!</v>
      </c>
      <c r="I3153" s="1">
        <v>1</v>
      </c>
    </row>
    <row r="3154" spans="1:9" x14ac:dyDescent="0.25">
      <c r="A3154" s="1" t="s">
        <v>14435</v>
      </c>
      <c r="B3154" s="1" t="s">
        <v>9153</v>
      </c>
      <c r="C3154" s="1" t="str">
        <f>IFERROR(VLOOKUP(B3154,'SB1'!$A$2:$B$999999,2,FALSE),"")</f>
        <v>MORTEROS TECNICOS WEBER HYDROMUR X 25 K</v>
      </c>
      <c r="D3154" s="1" t="s">
        <v>14488</v>
      </c>
      <c r="E3154" s="3">
        <f>IFERROR(VLOOKUP(B3154,'DA1'!$B$2:$D$999999,3,FALSE),"")</f>
      </c>
      <c r="F3154" s="1" t="str">
        <f>IFERROR(VLOOKUP(B3154,'SB1'!$A$2:$C$999999,3,FALSE),"")</f>
        <v>503</v>
      </c>
      <c r="G3154" s="3" t="e">
        <f t="shared" si="111"/>
        <v>#VALUE!</v>
      </c>
      <c r="H3154" s="3" t="e">
        <f t="shared" si="110"/>
        <v>#VALUE!</v>
      </c>
      <c r="I3154" s="1">
        <v>1</v>
      </c>
    </row>
    <row r="3155" spans="1:9" x14ac:dyDescent="0.25">
      <c r="A3155" s="1" t="s">
        <v>14435</v>
      </c>
      <c r="B3155" s="1" t="s">
        <v>9157</v>
      </c>
      <c r="C3155" s="1" t="str">
        <f>IFERROR(VLOOKUP(B3155,'SB1'!$A$2:$B$999999,2,FALSE),"")</f>
        <v>PAÏ¿½O MICROFIBRA AZUL</v>
      </c>
      <c r="D3155" s="1" t="s">
        <v>14464</v>
      </c>
      <c r="E3155" s="3">
        <f>IFERROR(VLOOKUP(B3155,'DA1'!$B$2:$D$999999,3,FALSE),"")</f>
      </c>
      <c r="F3155" s="1" t="str">
        <f>IFERROR(VLOOKUP(B3155,'SB1'!$A$2:$C$999999,3,FALSE),"")</f>
        <v>503</v>
      </c>
      <c r="G3155" s="3" t="e">
        <f t="shared" si="111"/>
        <v>#VALUE!</v>
      </c>
      <c r="H3155" s="3" t="e">
        <f t="shared" si="110"/>
        <v>#VALUE!</v>
      </c>
      <c r="I3155" s="1">
        <v>1</v>
      </c>
    </row>
    <row r="3156" spans="1:9" x14ac:dyDescent="0.25">
      <c r="A3156" s="1" t="s">
        <v>14435</v>
      </c>
      <c r="B3156" s="1" t="s">
        <v>9171</v>
      </c>
      <c r="C3156" s="1" t="str">
        <f>IFERROR(VLOOKUP(B3156,'SB1'!$A$2:$B$999999,2,FALSE),"")</f>
        <v>SIGMARINE 28 GREY X 20</v>
      </c>
      <c r="D3156" s="1" t="s">
        <v>14484</v>
      </c>
      <c r="E3156" s="3">
        <f>IFERROR(VLOOKUP(B3156,'DA1'!$B$2:$D$999999,3,FALSE),"")</f>
      </c>
      <c r="F3156" s="1" t="str">
        <f>IFERROR(VLOOKUP(B3156,'SB1'!$A$2:$C$999999,3,FALSE),"")</f>
        <v>503</v>
      </c>
      <c r="G3156" s="3" t="e">
        <f t="shared" si="111"/>
        <v>#VALUE!</v>
      </c>
      <c r="H3156" s="3" t="e">
        <f t="shared" si="110"/>
        <v>#VALUE!</v>
      </c>
      <c r="I3156" s="1">
        <v>3</v>
      </c>
    </row>
    <row r="3157" spans="1:9" x14ac:dyDescent="0.25">
      <c r="A3157" s="1" t="s">
        <v>14435</v>
      </c>
      <c r="B3157" s="1" t="s">
        <v>9177</v>
      </c>
      <c r="C3157" s="1" t="str">
        <f>IFERROR(VLOOKUP(B3157,'SB1'!$A$2:$B$999999,2,FALSE),"")</f>
        <v>REVESTIMIENTO TEXTURADO TERPLAST ROMANO MEDIO BEIGE COCADA X 25</v>
      </c>
      <c r="D3157" s="1" t="s">
        <v>14437</v>
      </c>
      <c r="E3157" s="3">
        <f>IFERROR(VLOOKUP(B3157,'DA1'!$B$2:$D$999999,3,FALSE),"")</f>
      </c>
      <c r="F3157" s="1" t="str">
        <f>IFERROR(VLOOKUP(B3157,'SB1'!$A$2:$C$999999,3,FALSE),"")</f>
        <v>503</v>
      </c>
      <c r="G3157" s="3" t="e">
        <f t="shared" si="111"/>
        <v>#VALUE!</v>
      </c>
      <c r="H3157" s="3" t="e">
        <f t="shared" si="110"/>
        <v>#VALUE!</v>
      </c>
      <c r="I3157" s="1">
        <v>1</v>
      </c>
    </row>
    <row r="3158" spans="1:9" x14ac:dyDescent="0.25">
      <c r="A3158" s="1" t="s">
        <v>14435</v>
      </c>
      <c r="B3158" s="1" t="s">
        <v>9211</v>
      </c>
      <c r="C3158" s="1" t="str">
        <f>IFERROR(VLOOKUP(B3158,'SB1'!$A$2:$B$999999,2,FALSE),"")</f>
        <v>LATEX INTERIOR/EXTERIOR TERSUAVE MATE BASE W X  0,900</v>
      </c>
      <c r="D3158" s="1" t="s">
        <v>14482</v>
      </c>
      <c r="E3158" s="3">
        <f>IFERROR(VLOOKUP(B3158,'DA1'!$B$2:$D$999999,3,FALSE),"")</f>
      </c>
      <c r="F3158" s="1" t="str">
        <f>IFERROR(VLOOKUP(B3158,'SB1'!$A$2:$C$999999,3,FALSE),"")</f>
        <v>503</v>
      </c>
      <c r="G3158" s="3" t="e">
        <f t="shared" si="111"/>
        <v>#VALUE!</v>
      </c>
      <c r="H3158" s="3" t="e">
        <f t="shared" si="110"/>
        <v>#VALUE!</v>
      </c>
      <c r="I3158" s="1">
        <v>1</v>
      </c>
    </row>
    <row r="3159" spans="1:9" x14ac:dyDescent="0.25">
      <c r="A3159" s="1" t="s">
        <v>14435</v>
      </c>
      <c r="B3159" s="1" t="s">
        <v>9213</v>
      </c>
      <c r="C3159" s="1" t="str">
        <f>IFERROR(VLOOKUP(B3159,'SB1'!$A$2:$B$999999,2,FALSE),"")</f>
        <v>LATEX INTERIOR/EXTERIOR TERSUAVE MATE BASE W X  3,600</v>
      </c>
      <c r="D3159" s="1" t="s">
        <v>14482</v>
      </c>
      <c r="E3159" s="3">
        <f>IFERROR(VLOOKUP(B3159,'DA1'!$B$2:$D$999999,3,FALSE),"")</f>
      </c>
      <c r="F3159" s="1" t="str">
        <f>IFERROR(VLOOKUP(B3159,'SB1'!$A$2:$C$999999,3,FALSE),"")</f>
        <v>503</v>
      </c>
      <c r="G3159" s="3" t="e">
        <f t="shared" si="111"/>
        <v>#VALUE!</v>
      </c>
      <c r="H3159" s="3" t="e">
        <f t="shared" si="110"/>
        <v>#VALUE!</v>
      </c>
      <c r="I3159" s="1">
        <v>1</v>
      </c>
    </row>
    <row r="3160" spans="1:9" x14ac:dyDescent="0.25">
      <c r="A3160" s="1" t="s">
        <v>14435</v>
      </c>
      <c r="B3160" s="1" t="s">
        <v>9215</v>
      </c>
      <c r="C3160" s="1" t="str">
        <f>IFERROR(VLOOKUP(B3160,'SB1'!$A$2:$B$999999,2,FALSE),"")</f>
        <v>LATEX INTERIOR/EXTERIOR TERSUAVE MATE BASE W X  9</v>
      </c>
      <c r="D3160" s="1" t="s">
        <v>14482</v>
      </c>
      <c r="E3160" s="3">
        <f>IFERROR(VLOOKUP(B3160,'DA1'!$B$2:$D$999999,3,FALSE),"")</f>
      </c>
      <c r="F3160" s="1" t="str">
        <f>IFERROR(VLOOKUP(B3160,'SB1'!$A$2:$C$999999,3,FALSE),"")</f>
        <v>503</v>
      </c>
      <c r="G3160" s="3" t="e">
        <f t="shared" si="111"/>
        <v>#VALUE!</v>
      </c>
      <c r="H3160" s="3" t="e">
        <f t="shared" si="110"/>
        <v>#VALUE!</v>
      </c>
      <c r="I3160" s="1">
        <v>1</v>
      </c>
    </row>
    <row r="3161" spans="1:9" x14ac:dyDescent="0.25">
      <c r="A3161" s="1" t="s">
        <v>14435</v>
      </c>
      <c r="B3161" s="1" t="s">
        <v>9217</v>
      </c>
      <c r="C3161" s="1" t="str">
        <f>IFERROR(VLOOKUP(B3161,'SB1'!$A$2:$B$999999,2,FALSE),"")</f>
        <v>LATEX INTERIOR/EXTERIOR TERSUAVE MATE BASE W X 18</v>
      </c>
      <c r="D3161" s="1" t="s">
        <v>14482</v>
      </c>
      <c r="E3161" s="3">
        <f>IFERROR(VLOOKUP(B3161,'DA1'!$B$2:$D$999999,3,FALSE),"")</f>
      </c>
      <c r="F3161" s="1" t="str">
        <f>IFERROR(VLOOKUP(B3161,'SB1'!$A$2:$C$999999,3,FALSE),"")</f>
        <v>503</v>
      </c>
      <c r="G3161" s="3" t="e">
        <f t="shared" si="111"/>
        <v>#VALUE!</v>
      </c>
      <c r="H3161" s="3" t="e">
        <f t="shared" si="110"/>
        <v>#VALUE!</v>
      </c>
      <c r="I3161" s="1">
        <v>1</v>
      </c>
    </row>
    <row r="3162" spans="1:9" x14ac:dyDescent="0.25">
      <c r="A3162" s="1" t="s">
        <v>14435</v>
      </c>
      <c r="B3162" s="1" t="s">
        <v>9219</v>
      </c>
      <c r="C3162" s="1" t="str">
        <f>IFERROR(VLOOKUP(B3162,'SB1'!$A$2:$B$999999,2,FALSE),"")</f>
        <v>ANCLAJE QUIMICO WEBER GRIS X 0,300</v>
      </c>
      <c r="D3162" s="1" t="s">
        <v>14488</v>
      </c>
      <c r="E3162" s="3">
        <f>IFERROR(VLOOKUP(B3162,'DA1'!$B$2:$D$999999,3,FALSE),"")</f>
      </c>
      <c r="F3162" s="1" t="str">
        <f>IFERROR(VLOOKUP(B3162,'SB1'!$A$2:$C$999999,3,FALSE),"")</f>
        <v>503</v>
      </c>
      <c r="G3162" s="3" t="e">
        <f t="shared" si="111"/>
        <v>#VALUE!</v>
      </c>
      <c r="H3162" s="3" t="e">
        <f t="shared" si="110"/>
        <v>#VALUE!</v>
      </c>
      <c r="I3162" s="1">
        <v>1</v>
      </c>
    </row>
    <row r="3163" spans="1:9" x14ac:dyDescent="0.25">
      <c r="A3163" s="1" t="s">
        <v>14435</v>
      </c>
      <c r="B3163" s="1" t="s">
        <v>9221</v>
      </c>
      <c r="C3163" s="1" t="str">
        <f>IFERROR(VLOOKUP(B3163,'SB1'!$A$2:$B$999999,2,FALSE),"")</f>
        <v>SELLADOR SILICONA NEUTRA WEBER C BLANCO X 0,300</v>
      </c>
      <c r="D3163" s="1" t="s">
        <v>14495</v>
      </c>
      <c r="E3163" s="3">
        <f>IFERROR(VLOOKUP(B3163,'DA1'!$B$2:$D$999999,3,FALSE),"")</f>
      </c>
      <c r="F3163" s="1" t="str">
        <f>IFERROR(VLOOKUP(B3163,'SB1'!$A$2:$C$999999,3,FALSE),"")</f>
        <v>503</v>
      </c>
      <c r="G3163" s="3" t="e">
        <f t="shared" si="111"/>
        <v>#VALUE!</v>
      </c>
      <c r="H3163" s="3" t="e">
        <f t="shared" si="110"/>
        <v>#VALUE!</v>
      </c>
      <c r="I3163" s="1">
        <v>1</v>
      </c>
    </row>
    <row r="3164" spans="1:9" x14ac:dyDescent="0.25">
      <c r="A3164" s="1" t="s">
        <v>14435</v>
      </c>
      <c r="B3164" s="1" t="s">
        <v>9223</v>
      </c>
      <c r="C3164" s="1" t="str">
        <f>IFERROR(VLOOKUP(B3164,'SB1'!$A$2:$B$999999,2,FALSE),"")</f>
        <v>SELLADOR SILICONA NEUTRA WEBER C TRANSPARENTE X 0,300</v>
      </c>
      <c r="D3164" s="1" t="s">
        <v>14495</v>
      </c>
      <c r="E3164" s="3">
        <f>IFERROR(VLOOKUP(B3164,'DA1'!$B$2:$D$999999,3,FALSE),"")</f>
      </c>
      <c r="F3164" s="1" t="str">
        <f>IFERROR(VLOOKUP(B3164,'SB1'!$A$2:$C$999999,3,FALSE),"")</f>
        <v>503</v>
      </c>
      <c r="G3164" s="3" t="e">
        <f t="shared" si="111"/>
        <v>#VALUE!</v>
      </c>
      <c r="H3164" s="3" t="e">
        <f t="shared" si="110"/>
        <v>#VALUE!</v>
      </c>
      <c r="I3164" s="1">
        <v>1</v>
      </c>
    </row>
    <row r="3165" spans="1:9" x14ac:dyDescent="0.25">
      <c r="A3165" s="1" t="s">
        <v>14435</v>
      </c>
      <c r="B3165" s="1" t="s">
        <v>9233</v>
      </c>
      <c r="C3165" s="1" t="str">
        <f>IFERROR(VLOOKUP(B3165,'SB1'!$A$2:$B$999999,2,FALSE),"")</f>
        <v>COLORANTE INDUSTRIAL SINTEPLAST AMARILLO OXIDO YO  X 0,940</v>
      </c>
      <c r="D3165" s="1" t="s">
        <v>14503</v>
      </c>
      <c r="E3165" s="3">
        <f>IFERROR(VLOOKUP(B3165,'DA1'!$B$2:$D$999999,3,FALSE),"")</f>
      </c>
      <c r="F3165" s="1" t="str">
        <f>IFERROR(VLOOKUP(B3165,'SB1'!$A$2:$C$999999,3,FALSE),"")</f>
        <v>503</v>
      </c>
      <c r="G3165" s="3" t="e">
        <f t="shared" si="111"/>
        <v>#VALUE!</v>
      </c>
      <c r="H3165" s="3" t="e">
        <f t="shared" si="110"/>
        <v>#VALUE!</v>
      </c>
      <c r="I3165" s="1">
        <v>1</v>
      </c>
    </row>
    <row r="3166" spans="1:9" x14ac:dyDescent="0.25">
      <c r="A3166" s="1" t="s">
        <v>14435</v>
      </c>
      <c r="B3166" s="1" t="s">
        <v>9249</v>
      </c>
      <c r="C3166" s="1" t="str">
        <f>IFERROR(VLOOKUP(B3166,'SB1'!$A$2:$B$999999,2,FALSE),"")</f>
        <v>COLORANTE INDUSTRIAL SINTEPLAST NEGRO LB X 0,940</v>
      </c>
      <c r="D3166" s="1" t="s">
        <v>14503</v>
      </c>
      <c r="E3166" s="3">
        <f>IFERROR(VLOOKUP(B3166,'DA1'!$B$2:$D$999999,3,FALSE),"")</f>
      </c>
      <c r="F3166" s="1" t="str">
        <f>IFERROR(VLOOKUP(B3166,'SB1'!$A$2:$C$999999,3,FALSE),"")</f>
        <v>503</v>
      </c>
      <c r="G3166" s="3" t="e">
        <f t="shared" si="111"/>
        <v>#VALUE!</v>
      </c>
      <c r="H3166" s="3" t="e">
        <f t="shared" si="110"/>
        <v>#VALUE!</v>
      </c>
      <c r="I3166" s="1">
        <v>1</v>
      </c>
    </row>
    <row r="3167" spans="1:9" x14ac:dyDescent="0.25">
      <c r="A3167" s="1" t="s">
        <v>14435</v>
      </c>
      <c r="B3167" s="1" t="s">
        <v>9251</v>
      </c>
      <c r="C3167" s="1" t="str">
        <f>IFERROR(VLOOKUP(B3167,'SB1'!$A$2:$B$999999,2,FALSE),"")</f>
        <v>ESMALTE POLIURETANO ACRILICO ALBAMIX TRASPARENTE X 15(4570100)</v>
      </c>
      <c r="D3167" s="1" t="s">
        <v>14497</v>
      </c>
      <c r="E3167" s="3">
        <f>IFERROR(VLOOKUP(B3167,'DA1'!$B$2:$D$999999,3,FALSE),"")</f>
      </c>
      <c r="F3167" s="1" t="str">
        <f>IFERROR(VLOOKUP(B3167,'SB1'!$A$2:$C$999999,3,FALSE),"")</f>
        <v>503</v>
      </c>
      <c r="G3167" s="3" t="e">
        <f t="shared" si="111"/>
        <v>#VALUE!</v>
      </c>
      <c r="H3167" s="3" t="e">
        <f t="shared" si="110"/>
        <v>#VALUE!</v>
      </c>
      <c r="I3167" s="1">
        <v>1</v>
      </c>
    </row>
    <row r="3168" spans="1:9" x14ac:dyDescent="0.25">
      <c r="A3168" s="1" t="s">
        <v>14435</v>
      </c>
      <c r="B3168" s="1" t="s">
        <v>9251</v>
      </c>
      <c r="C3168" s="1" t="str">
        <f>IFERROR(VLOOKUP(B3168,'SB1'!$A$2:$B$999999,2,FALSE),"")</f>
        <v>ESMALTE POLIURETANO ACRILICO ALBAMIX TRASPARENTE X 15(4570100)</v>
      </c>
      <c r="D3168" s="1" t="s">
        <v>14497</v>
      </c>
      <c r="E3168" s="3">
        <f>IFERROR(VLOOKUP(B3168,'DA1'!$B$2:$D$999999,3,FALSE),"")</f>
      </c>
      <c r="F3168" s="1" t="str">
        <f>IFERROR(VLOOKUP(B3168,'SB1'!$A$2:$C$999999,3,FALSE),"")</f>
        <v>503</v>
      </c>
      <c r="G3168" s="3" t="e">
        <f t="shared" si="111"/>
        <v>#VALUE!</v>
      </c>
      <c r="H3168" s="3" t="e">
        <f t="shared" si="110"/>
        <v>#VALUE!</v>
      </c>
      <c r="I3168" s="1">
        <v>1</v>
      </c>
    </row>
    <row r="3169" spans="1:9" x14ac:dyDescent="0.25">
      <c r="A3169" s="1" t="s">
        <v>14435</v>
      </c>
      <c r="B3169" s="1" t="s">
        <v>9253</v>
      </c>
      <c r="C3169" s="1" t="str">
        <f>IFERROR(VLOOKUP(B3169,'SB1'!$A$2:$B$999999,2,FALSE),"")</f>
        <v>ACELERANTE PARA POLIURETANO ALBAMIX X 1(5597009)</v>
      </c>
      <c r="D3169" s="1" t="s">
        <v>14497</v>
      </c>
      <c r="E3169" s="3">
        <f>IFERROR(VLOOKUP(B3169,'DA1'!$B$2:$D$999999,3,FALSE),"")</f>
      </c>
      <c r="F3169" s="1" t="str">
        <f>IFERROR(VLOOKUP(B3169,'SB1'!$A$2:$C$999999,3,FALSE),"")</f>
        <v>503</v>
      </c>
      <c r="G3169" s="3" t="e">
        <f t="shared" si="111"/>
        <v>#VALUE!</v>
      </c>
      <c r="H3169" s="3" t="e">
        <f t="shared" si="110"/>
        <v>#VALUE!</v>
      </c>
      <c r="I3169" s="1">
        <v>1</v>
      </c>
    </row>
    <row r="3170" spans="1:9" x14ac:dyDescent="0.25">
      <c r="A3170" s="1" t="s">
        <v>14435</v>
      </c>
      <c r="B3170" s="1" t="s">
        <v>9257</v>
      </c>
      <c r="C3170" s="1" t="str">
        <f>IFERROR(VLOOKUP(B3170,'SB1'!$A$2:$B$999999,2,FALSE),"")</f>
        <v>MEMBRANA FLEXIBLE CEMENTICIA WEBERTEC X 25 (CAJA)</v>
      </c>
      <c r="D3170" s="1" t="s">
        <v>14488</v>
      </c>
      <c r="E3170" s="3">
        <f>IFERROR(VLOOKUP(B3170,'DA1'!$B$2:$D$999999,3,FALSE),"")</f>
      </c>
      <c r="F3170" s="1" t="str">
        <f>IFERROR(VLOOKUP(B3170,'SB1'!$A$2:$C$999999,3,FALSE),"")</f>
        <v>503</v>
      </c>
      <c r="G3170" s="3" t="e">
        <f t="shared" si="111"/>
        <v>#VALUE!</v>
      </c>
      <c r="H3170" s="3" t="e">
        <f t="shared" si="110"/>
        <v>#VALUE!</v>
      </c>
      <c r="I3170" s="1">
        <v>1</v>
      </c>
    </row>
    <row r="3171" spans="1:9" x14ac:dyDescent="0.25">
      <c r="A3171" s="1" t="s">
        <v>14435</v>
      </c>
      <c r="B3171" s="1" t="s">
        <v>9281</v>
      </c>
      <c r="C3171" s="1" t="str">
        <f>IFERROR(VLOOKUP(B3171,'SB1'!$A$2:$B$999999,2,FALSE),"")</f>
        <v>SELLADOR POLIURETANO NODULO NODUPOL 46 BLANCO X 0,300</v>
      </c>
      <c r="D3171" s="1" t="s">
        <v>14462</v>
      </c>
      <c r="E3171" s="3">
        <f>IFERROR(VLOOKUP(B3171,'DA1'!$B$2:$D$999999,3,FALSE),"")</f>
      </c>
      <c r="F3171" s="1" t="str">
        <f>IFERROR(VLOOKUP(B3171,'SB1'!$A$2:$C$999999,3,FALSE),"")</f>
        <v>503</v>
      </c>
      <c r="G3171" s="3" t="e">
        <f t="shared" si="111"/>
        <v>#VALUE!</v>
      </c>
      <c r="H3171" s="3" t="e">
        <f t="shared" si="110"/>
        <v>#VALUE!</v>
      </c>
      <c r="I3171" s="1">
        <v>2</v>
      </c>
    </row>
    <row r="3172" spans="1:9" x14ac:dyDescent="0.25">
      <c r="A3172" s="1" t="s">
        <v>14435</v>
      </c>
      <c r="B3172" s="1" t="s">
        <v>9283</v>
      </c>
      <c r="C3172" s="1" t="str">
        <f>IFERROR(VLOOKUP(B3172,'SB1'!$A$2:$B$999999,2,FALSE),"")</f>
        <v>SELLADOR POLIURETANO NODULO NODUPOL 46 GRIS X 0,300</v>
      </c>
      <c r="D3172" s="1" t="s">
        <v>14462</v>
      </c>
      <c r="E3172" s="3">
        <f>IFERROR(VLOOKUP(B3172,'DA1'!$B$2:$D$999999,3,FALSE),"")</f>
      </c>
      <c r="F3172" s="1" t="str">
        <f>IFERROR(VLOOKUP(B3172,'SB1'!$A$2:$C$999999,3,FALSE),"")</f>
        <v>503</v>
      </c>
      <c r="G3172" s="3" t="e">
        <f t="shared" si="111"/>
        <v>#VALUE!</v>
      </c>
      <c r="H3172" s="3" t="e">
        <f t="shared" si="110"/>
        <v>#VALUE!</v>
      </c>
      <c r="I3172" s="1">
        <v>2</v>
      </c>
    </row>
    <row r="3173" spans="1:9" x14ac:dyDescent="0.25">
      <c r="A3173" s="1" t="s">
        <v>14435</v>
      </c>
      <c r="B3173" s="1" t="s">
        <v>9285</v>
      </c>
      <c r="C3173" s="1" t="str">
        <f>IFERROR(VLOOKUP(B3173,'SB1'!$A$2:$B$999999,2,FALSE),"")</f>
        <v>SELLADOR POLIURETANO NODULO NODUPOL 46 NEGRO X 0,300</v>
      </c>
      <c r="D3173" s="1" t="s">
        <v>14462</v>
      </c>
      <c r="E3173" s="3">
        <f>IFERROR(VLOOKUP(B3173,'DA1'!$B$2:$D$999999,3,FALSE),"")</f>
      </c>
      <c r="F3173" s="1" t="str">
        <f>IFERROR(VLOOKUP(B3173,'SB1'!$A$2:$C$999999,3,FALSE),"")</f>
        <v>503</v>
      </c>
      <c r="G3173" s="3" t="e">
        <f t="shared" si="111"/>
        <v>#VALUE!</v>
      </c>
      <c r="H3173" s="3" t="e">
        <f t="shared" si="110"/>
        <v>#VALUE!</v>
      </c>
      <c r="I3173" s="1">
        <v>2</v>
      </c>
    </row>
    <row r="3174" spans="1:9" x14ac:dyDescent="0.25">
      <c r="A3174" s="1" t="s">
        <v>14435</v>
      </c>
      <c r="B3174" s="1" t="s">
        <v>9287</v>
      </c>
      <c r="C3174" s="1" t="str">
        <f>IFERROR(VLOOKUP(B3174,'SB1'!$A$2:$B$999999,2,FALSE),"")</f>
        <v>SELLADOR POLIURETANO NODULO NODUPOL 46 BLANCO X 0,600</v>
      </c>
      <c r="D3174" s="1" t="s">
        <v>14462</v>
      </c>
      <c r="E3174" s="3">
        <f>IFERROR(VLOOKUP(B3174,'DA1'!$B$2:$D$999999,3,FALSE),"")</f>
      </c>
      <c r="F3174" s="1" t="str">
        <f>IFERROR(VLOOKUP(B3174,'SB1'!$A$2:$C$999999,3,FALSE),"")</f>
        <v>503</v>
      </c>
      <c r="G3174" s="3" t="e">
        <f t="shared" si="111"/>
        <v>#VALUE!</v>
      </c>
      <c r="H3174" s="3" t="e">
        <f t="shared" si="110"/>
        <v>#VALUE!</v>
      </c>
      <c r="I3174" s="1">
        <v>2</v>
      </c>
    </row>
    <row r="3175" spans="1:9" x14ac:dyDescent="0.25">
      <c r="A3175" s="1" t="s">
        <v>14435</v>
      </c>
      <c r="B3175" s="1" t="s">
        <v>9289</v>
      </c>
      <c r="C3175" s="1" t="str">
        <f>IFERROR(VLOOKUP(B3175,'SB1'!$A$2:$B$999999,2,FALSE),"")</f>
        <v>SELLADOR POLIURETANO NODULO NODUPOL 46 GRIS X 0,600</v>
      </c>
      <c r="D3175" s="1" t="s">
        <v>14462</v>
      </c>
      <c r="E3175" s="3">
        <f>IFERROR(VLOOKUP(B3175,'DA1'!$B$2:$D$999999,3,FALSE),"")</f>
      </c>
      <c r="F3175" s="1" t="str">
        <f>IFERROR(VLOOKUP(B3175,'SB1'!$A$2:$C$999999,3,FALSE),"")</f>
        <v>503</v>
      </c>
      <c r="G3175" s="3" t="e">
        <f t="shared" si="111"/>
        <v>#VALUE!</v>
      </c>
      <c r="H3175" s="3" t="e">
        <f t="shared" si="110"/>
        <v>#VALUE!</v>
      </c>
      <c r="I3175" s="1">
        <v>2</v>
      </c>
    </row>
    <row r="3176" spans="1:9" x14ac:dyDescent="0.25">
      <c r="A3176" s="1" t="s">
        <v>14435</v>
      </c>
      <c r="B3176" s="1" t="s">
        <v>9291</v>
      </c>
      <c r="C3176" s="1" t="str">
        <f>IFERROR(VLOOKUP(B3176,'SB1'!$A$2:$B$999999,2,FALSE),"")</f>
        <v>SELLADOR POLIURETANO NODULO NODUPOL 46 NEGRO X 0,600</v>
      </c>
      <c r="D3176" s="1" t="s">
        <v>14462</v>
      </c>
      <c r="E3176" s="3">
        <f>IFERROR(VLOOKUP(B3176,'DA1'!$B$2:$D$999999,3,FALSE),"")</f>
      </c>
      <c r="F3176" s="1" t="str">
        <f>IFERROR(VLOOKUP(B3176,'SB1'!$A$2:$C$999999,3,FALSE),"")</f>
        <v>503</v>
      </c>
      <c r="G3176" s="3" t="e">
        <f t="shared" si="111"/>
        <v>#VALUE!</v>
      </c>
      <c r="H3176" s="3" t="e">
        <f t="shared" si="110"/>
        <v>#VALUE!</v>
      </c>
      <c r="I3176" s="1">
        <v>2</v>
      </c>
    </row>
    <row r="3177" spans="1:9" x14ac:dyDescent="0.25">
      <c r="A3177" s="1" t="s">
        <v>14435</v>
      </c>
      <c r="B3177" s="1" t="s">
        <v>9301</v>
      </c>
      <c r="C3177" s="1" t="str">
        <f>IFERROR(VLOOKUP(B3177,'SB1'!$A$2:$B$999999,2,FALSE),"")</f>
        <v>ASFALTO DURO 100/15 MEGAFLEX EN PANES X 1TN</v>
      </c>
      <c r="D3177" s="1" t="s">
        <v>14466</v>
      </c>
      <c r="E3177" s="3">
        <f>IFERROR(VLOOKUP(B3177,'DA1'!$B$2:$D$999999,3,FALSE),"")</f>
      </c>
      <c r="F3177" s="1" t="str">
        <f>IFERROR(VLOOKUP(B3177,'SB1'!$A$2:$C$999999,3,FALSE),"")</f>
        <v>503</v>
      </c>
      <c r="G3177" s="3" t="e">
        <f t="shared" si="111"/>
        <v>#VALUE!</v>
      </c>
      <c r="H3177" s="3" t="e">
        <f t="shared" si="110"/>
        <v>#VALUE!</v>
      </c>
      <c r="I3177" s="1">
        <v>1</v>
      </c>
    </row>
    <row r="3178" spans="1:9" x14ac:dyDescent="0.25">
      <c r="A3178" s="1" t="s">
        <v>14435</v>
      </c>
      <c r="B3178" s="1" t="s">
        <v>9305</v>
      </c>
      <c r="C3178" s="1" t="str">
        <f>IFERROR(VLOOKUP(B3178,'SB1'!$A$2:$B$999999,2,FALSE),"")</f>
        <v>ASFALTO PLASTICO 90/60 MEGAFLEX EN PANES X 1TN</v>
      </c>
      <c r="D3178" s="1" t="s">
        <v>14466</v>
      </c>
      <c r="E3178" s="3">
        <f>IFERROR(VLOOKUP(B3178,'DA1'!$B$2:$D$999999,3,FALSE),"")</f>
      </c>
      <c r="F3178" s="1" t="str">
        <f>IFERROR(VLOOKUP(B3178,'SB1'!$A$2:$C$999999,3,FALSE),"")</f>
        <v>503</v>
      </c>
      <c r="G3178" s="3" t="e">
        <f t="shared" si="111"/>
        <v>#VALUE!</v>
      </c>
      <c r="H3178" s="3" t="e">
        <f t="shared" si="110"/>
        <v>#VALUE!</v>
      </c>
      <c r="I3178" s="1">
        <v>1</v>
      </c>
    </row>
    <row r="3179" spans="1:9" x14ac:dyDescent="0.25">
      <c r="A3179" s="1" t="s">
        <v>14435</v>
      </c>
      <c r="B3179" s="1" t="s">
        <v>9339</v>
      </c>
      <c r="C3179" s="1" t="str">
        <f>IFERROR(VLOOKUP(B3179,'SB1'!$A$2:$B$999999,2,FALSE),"")</f>
        <v>ESMALTE SINTETICO BRILLOPLAST SECADO RAPIDO 3EN1 GRIS X 4</v>
      </c>
      <c r="D3179" s="1" t="s">
        <v>14463</v>
      </c>
      <c r="E3179" s="3">
        <f>IFERROR(VLOOKUP(B3179,'DA1'!$B$2:$D$999999,3,FALSE),"")</f>
      </c>
      <c r="F3179" s="1" t="str">
        <f>IFERROR(VLOOKUP(B3179,'SB1'!$A$2:$C$999999,3,FALSE),"")</f>
        <v>503</v>
      </c>
      <c r="G3179" s="3" t="e">
        <f t="shared" si="111"/>
        <v>#VALUE!</v>
      </c>
      <c r="H3179" s="3" t="e">
        <f t="shared" si="110"/>
        <v>#VALUE!</v>
      </c>
      <c r="I3179" s="1">
        <v>1</v>
      </c>
    </row>
    <row r="3180" spans="1:9" x14ac:dyDescent="0.25">
      <c r="A3180" s="1" t="s">
        <v>14435</v>
      </c>
      <c r="B3180" s="1" t="s">
        <v>9377</v>
      </c>
      <c r="C3180" s="1" t="str">
        <f>IFERROR(VLOOKUP(B3180,'SB1'!$A$2:$B$999999,2,FALSE),"")</f>
        <v>DEMARCACION VIAL PISOACRIL ROJO X 20</v>
      </c>
      <c r="D3180" s="1" t="s">
        <v>14458</v>
      </c>
      <c r="E3180" s="3">
        <f>IFERROR(VLOOKUP(B3180,'DA1'!$B$2:$D$999999,3,FALSE),"")</f>
      </c>
      <c r="F3180" s="1" t="str">
        <f>IFERROR(VLOOKUP(B3180,'SB1'!$A$2:$C$999999,3,FALSE),"")</f>
        <v>503</v>
      </c>
      <c r="G3180" s="3" t="e">
        <f t="shared" si="111"/>
        <v>#VALUE!</v>
      </c>
      <c r="H3180" s="3" t="e">
        <f t="shared" si="110"/>
        <v>#VALUE!</v>
      </c>
      <c r="I3180" s="1">
        <v>1</v>
      </c>
    </row>
    <row r="3181" spans="1:9" x14ac:dyDescent="0.25">
      <c r="A3181" s="1" t="s">
        <v>14435</v>
      </c>
      <c r="B3181" s="1" t="s">
        <v>9383</v>
      </c>
      <c r="C3181" s="1" t="str">
        <f>IFERROR(VLOOKUP(B3181,'SB1'!$A$2:$B$999999,2,FALSE),"")</f>
        <v>EMULSION ASFALTICA ACUOSA MEGAFLEX X 18KG</v>
      </c>
      <c r="D3181" s="1" t="s">
        <v>14466</v>
      </c>
      <c r="E3181" s="3">
        <f>IFERROR(VLOOKUP(B3181,'DA1'!$B$2:$D$999999,3,FALSE),"")</f>
      </c>
      <c r="F3181" s="1" t="str">
        <f>IFERROR(VLOOKUP(B3181,'SB1'!$A$2:$C$999999,3,FALSE),"")</f>
        <v>503</v>
      </c>
      <c r="G3181" s="3" t="e">
        <f t="shared" si="111"/>
        <v>#VALUE!</v>
      </c>
      <c r="H3181" s="3" t="e">
        <f t="shared" si="110"/>
        <v>#VALUE!</v>
      </c>
      <c r="I3181" s="1">
        <v>1</v>
      </c>
    </row>
    <row r="3182" spans="1:9" x14ac:dyDescent="0.25">
      <c r="A3182" s="1" t="s">
        <v>14435</v>
      </c>
      <c r="B3182" s="1" t="s">
        <v>9385</v>
      </c>
      <c r="C3182" s="1" t="str">
        <f>IFERROR(VLOOKUP(B3182,'SB1'!$A$2:$B$999999,2,FALSE),"")</f>
        <v>EMULSION ASFALTICA ACUOSA MEGAFLEX X 18KG (CAJA)</v>
      </c>
      <c r="D3182" s="1" t="s">
        <v>14466</v>
      </c>
      <c r="E3182" s="3">
        <f>IFERROR(VLOOKUP(B3182,'DA1'!$B$2:$D$999999,3,FALSE),"")</f>
      </c>
      <c r="F3182" s="1" t="str">
        <f>IFERROR(VLOOKUP(B3182,'SB1'!$A$2:$C$999999,3,FALSE),"")</f>
        <v>503</v>
      </c>
      <c r="G3182" s="3" t="e">
        <f t="shared" si="111"/>
        <v>#VALUE!</v>
      </c>
      <c r="H3182" s="3" t="e">
        <f t="shared" si="110"/>
        <v>#VALUE!</v>
      </c>
      <c r="I3182" s="1">
        <v>1</v>
      </c>
    </row>
    <row r="3183" spans="1:9" x14ac:dyDescent="0.25">
      <c r="A3183" s="1" t="s">
        <v>14435</v>
      </c>
      <c r="B3183" s="1" t="s">
        <v>9391</v>
      </c>
      <c r="C3183" s="1" t="str">
        <f>IFERROR(VLOOKUP(B3183,'SB1'!$A$2:$B$999999,2,FALSE),"")</f>
        <v>DILUYENTE SINTETICO DIXILINA NRO 2 PARA HORNO X 18</v>
      </c>
      <c r="D3183" s="1" t="s">
        <v>14477</v>
      </c>
      <c r="E3183" s="3">
        <f>IFERROR(VLOOKUP(B3183,'DA1'!$B$2:$D$999999,3,FALSE),"")</f>
      </c>
      <c r="F3183" s="1" t="str">
        <f>IFERROR(VLOOKUP(B3183,'SB1'!$A$2:$C$999999,3,FALSE),"")</f>
        <v>503</v>
      </c>
      <c r="G3183" s="3" t="e">
        <f t="shared" si="111"/>
        <v>#VALUE!</v>
      </c>
      <c r="H3183" s="3" t="e">
        <f t="shared" si="110"/>
        <v>#VALUE!</v>
      </c>
      <c r="I3183" s="1">
        <v>1</v>
      </c>
    </row>
    <row r="3184" spans="1:9" x14ac:dyDescent="0.25">
      <c r="A3184" s="1" t="s">
        <v>14435</v>
      </c>
      <c r="B3184" s="1" t="s">
        <v>9393</v>
      </c>
      <c r="C3184" s="1" t="str">
        <f>IFERROR(VLOOKUP(B3184,'SB1'!$A$2:$B$999999,2,FALSE),"")</f>
        <v>DILUYENTE SINTETICO DIXILINA NRO 2 PARA HORNO X 200</v>
      </c>
      <c r="D3184" s="1" t="s">
        <v>14477</v>
      </c>
      <c r="E3184" s="3">
        <f>IFERROR(VLOOKUP(B3184,'DA1'!$B$2:$D$999999,3,FALSE),"")</f>
      </c>
      <c r="F3184" s="1" t="str">
        <f>IFERROR(VLOOKUP(B3184,'SB1'!$A$2:$C$999999,3,FALSE),"")</f>
        <v>503</v>
      </c>
      <c r="G3184" s="3" t="e">
        <f t="shared" si="111"/>
        <v>#VALUE!</v>
      </c>
      <c r="H3184" s="3" t="e">
        <f t="shared" si="110"/>
        <v>#VALUE!</v>
      </c>
      <c r="I3184" s="1">
        <v>1</v>
      </c>
    </row>
    <row r="3185" spans="1:9" x14ac:dyDescent="0.25">
      <c r="A3185" s="1" t="s">
        <v>14435</v>
      </c>
      <c r="B3185" s="1" t="s">
        <v>9411</v>
      </c>
      <c r="C3185" s="1" t="str">
        <f>IFERROR(VLOOKUP(B3185,'SB1'!$A$2:$B$999999,2,FALSE),"")</f>
        <v>FIJADOR PARA PARED TERSUAVE DECO AL AGUA X 20</v>
      </c>
      <c r="D3185" s="1" t="s">
        <v>14437</v>
      </c>
      <c r="E3185" s="3">
        <f>IFERROR(VLOOKUP(B3185,'DA1'!$B$2:$D$999999,3,FALSE),"")</f>
      </c>
      <c r="F3185" s="1" t="str">
        <f>IFERROR(VLOOKUP(B3185,'SB1'!$A$2:$C$999999,3,FALSE),"")</f>
        <v>503</v>
      </c>
      <c r="G3185" s="3" t="e">
        <f t="shared" si="111"/>
        <v>#VALUE!</v>
      </c>
      <c r="H3185" s="3" t="e">
        <f t="shared" si="110"/>
        <v>#VALUE!</v>
      </c>
      <c r="I3185" s="1">
        <v>1</v>
      </c>
    </row>
    <row r="3186" spans="1:9" x14ac:dyDescent="0.25">
      <c r="A3186" s="1" t="s">
        <v>14435</v>
      </c>
      <c r="B3186" s="1" t="s">
        <v>9415</v>
      </c>
      <c r="C3186" s="1" t="str">
        <f>IFERROR(VLOOKUP(B3186,'SB1'!$A$2:$B$999999,2,FALSE),"")</f>
        <v>IMPERMEABILIZANTE PARA FRENTES PLAVICON BASE PASTEL X  1,170</v>
      </c>
      <c r="D3186" s="1" t="s">
        <v>14490</v>
      </c>
      <c r="E3186" s="3">
        <f>IFERROR(VLOOKUP(B3186,'DA1'!$B$2:$D$999999,3,FALSE),"")</f>
      </c>
      <c r="F3186" s="1" t="str">
        <f>IFERROR(VLOOKUP(B3186,'SB1'!$A$2:$C$999999,3,FALSE),"")</f>
        <v>503</v>
      </c>
      <c r="G3186" s="3" t="e">
        <f t="shared" si="111"/>
        <v>#VALUE!</v>
      </c>
      <c r="H3186" s="3" t="e">
        <f t="shared" si="110"/>
        <v>#VALUE!</v>
      </c>
      <c r="I3186" s="1">
        <v>1</v>
      </c>
    </row>
    <row r="3187" spans="1:9" x14ac:dyDescent="0.25">
      <c r="A3187" s="1" t="s">
        <v>14435</v>
      </c>
      <c r="B3187" s="1" t="s">
        <v>9417</v>
      </c>
      <c r="C3187" s="1" t="str">
        <f>IFERROR(VLOOKUP(B3187,'SB1'!$A$2:$B$999999,2,FALSE),"")</f>
        <v>IMPERMEABILIZANTE PARA FRENTES PLAVICON BASE PASTEL X  4,800</v>
      </c>
      <c r="D3187" s="1" t="s">
        <v>14490</v>
      </c>
      <c r="E3187" s="3">
        <f>IFERROR(VLOOKUP(B3187,'DA1'!$B$2:$D$999999,3,FALSE),"")</f>
      </c>
      <c r="F3187" s="1" t="str">
        <f>IFERROR(VLOOKUP(B3187,'SB1'!$A$2:$C$999999,3,FALSE),"")</f>
        <v>503</v>
      </c>
      <c r="G3187" s="3" t="e">
        <f t="shared" si="111"/>
        <v>#VALUE!</v>
      </c>
      <c r="H3187" s="3" t="e">
        <f t="shared" si="110"/>
        <v>#VALUE!</v>
      </c>
      <c r="I3187" s="1">
        <v>1</v>
      </c>
    </row>
    <row r="3188" spans="1:9" x14ac:dyDescent="0.25">
      <c r="A3188" s="1" t="s">
        <v>14435</v>
      </c>
      <c r="B3188" s="1" t="s">
        <v>9419</v>
      </c>
      <c r="C3188" s="1" t="str">
        <f>IFERROR(VLOOKUP(B3188,'SB1'!$A$2:$B$999999,2,FALSE),"")</f>
        <v>IMPERMEABILIZANTE PARA FRENTES PLAVICON BASE PASTEL X 11</v>
      </c>
      <c r="D3188" s="1" t="s">
        <v>14490</v>
      </c>
      <c r="E3188" s="3">
        <f>IFERROR(VLOOKUP(B3188,'DA1'!$B$2:$D$999999,3,FALSE),"")</f>
      </c>
      <c r="F3188" s="1" t="str">
        <f>IFERROR(VLOOKUP(B3188,'SB1'!$A$2:$C$999999,3,FALSE),"")</f>
        <v>503</v>
      </c>
      <c r="G3188" s="3" t="e">
        <f t="shared" si="111"/>
        <v>#VALUE!</v>
      </c>
      <c r="H3188" s="3" t="e">
        <f t="shared" si="110"/>
        <v>#VALUE!</v>
      </c>
      <c r="I3188" s="1">
        <v>1</v>
      </c>
    </row>
    <row r="3189" spans="1:9" x14ac:dyDescent="0.25">
      <c r="A3189" s="1" t="s">
        <v>14435</v>
      </c>
      <c r="B3189" s="1" t="s">
        <v>9421</v>
      </c>
      <c r="C3189" s="1" t="str">
        <f>IFERROR(VLOOKUP(B3189,'SB1'!$A$2:$B$999999,2,FALSE),"")</f>
        <v>IMPERMEABILIZANTE PARA FRENTES PLAVICON BASE PASTEL X 21,500</v>
      </c>
      <c r="D3189" s="1" t="s">
        <v>14490</v>
      </c>
      <c r="E3189" s="3">
        <f>IFERROR(VLOOKUP(B3189,'DA1'!$B$2:$D$999999,3,FALSE),"")</f>
      </c>
      <c r="F3189" s="1" t="str">
        <f>IFERROR(VLOOKUP(B3189,'SB1'!$A$2:$C$999999,3,FALSE),"")</f>
        <v>503</v>
      </c>
      <c r="G3189" s="3" t="e">
        <f t="shared" si="111"/>
        <v>#VALUE!</v>
      </c>
      <c r="H3189" s="3" t="e">
        <f t="shared" si="110"/>
        <v>#VALUE!</v>
      </c>
      <c r="I3189" s="1">
        <v>1</v>
      </c>
    </row>
    <row r="3190" spans="1:9" x14ac:dyDescent="0.25">
      <c r="A3190" s="1" t="s">
        <v>14435</v>
      </c>
      <c r="B3190" s="1" t="s">
        <v>9423</v>
      </c>
      <c r="C3190" s="1" t="str">
        <f>IFERROR(VLOOKUP(B3190,'SB1'!$A$2:$B$999999,2,FALSE),"")</f>
        <v>IMPERMEABILIZANTE PARA FRENTES PLAVICON BASE MEDIANO X  1,170</v>
      </c>
      <c r="D3190" s="1" t="s">
        <v>14490</v>
      </c>
      <c r="E3190" s="3">
        <f>IFERROR(VLOOKUP(B3190,'DA1'!$B$2:$D$999999,3,FALSE),"")</f>
      </c>
      <c r="F3190" s="1" t="str">
        <f>IFERROR(VLOOKUP(B3190,'SB1'!$A$2:$C$999999,3,FALSE),"")</f>
        <v>503</v>
      </c>
      <c r="G3190" s="3" t="e">
        <f t="shared" si="111"/>
        <v>#VALUE!</v>
      </c>
      <c r="H3190" s="3" t="e">
        <f t="shared" si="110"/>
        <v>#VALUE!</v>
      </c>
      <c r="I3190" s="1">
        <v>1</v>
      </c>
    </row>
    <row r="3191" spans="1:9" x14ac:dyDescent="0.25">
      <c r="A3191" s="1" t="s">
        <v>14435</v>
      </c>
      <c r="B3191" s="1" t="s">
        <v>9425</v>
      </c>
      <c r="C3191" s="1" t="str">
        <f>IFERROR(VLOOKUP(B3191,'SB1'!$A$2:$B$999999,2,FALSE),"")</f>
        <v>IMPERMEABILIZANTE PARA FRENTES PLAVICON BASE MEDIANO X  4,800</v>
      </c>
      <c r="D3191" s="1" t="s">
        <v>14490</v>
      </c>
      <c r="E3191" s="3">
        <f>IFERROR(VLOOKUP(B3191,'DA1'!$B$2:$D$999999,3,FALSE),"")</f>
      </c>
      <c r="F3191" s="1" t="str">
        <f>IFERROR(VLOOKUP(B3191,'SB1'!$A$2:$C$999999,3,FALSE),"")</f>
        <v>503</v>
      </c>
      <c r="G3191" s="3" t="e">
        <f t="shared" si="111"/>
        <v>#VALUE!</v>
      </c>
      <c r="H3191" s="3" t="e">
        <f t="shared" si="110"/>
        <v>#VALUE!</v>
      </c>
      <c r="I3191" s="1">
        <v>1</v>
      </c>
    </row>
    <row r="3192" spans="1:9" x14ac:dyDescent="0.25">
      <c r="A3192" s="1" t="s">
        <v>14435</v>
      </c>
      <c r="B3192" s="1" t="s">
        <v>9427</v>
      </c>
      <c r="C3192" s="1" t="str">
        <f>IFERROR(VLOOKUP(B3192,'SB1'!$A$2:$B$999999,2,FALSE),"")</f>
        <v>IMPERMEABILIZANTE PARA FRENTES PLAVICON BASE MEDIANO X 11</v>
      </c>
      <c r="D3192" s="1" t="s">
        <v>14490</v>
      </c>
      <c r="E3192" s="3">
        <f>IFERROR(VLOOKUP(B3192,'DA1'!$B$2:$D$999999,3,FALSE),"")</f>
      </c>
      <c r="F3192" s="1" t="str">
        <f>IFERROR(VLOOKUP(B3192,'SB1'!$A$2:$C$999999,3,FALSE),"")</f>
        <v>503</v>
      </c>
      <c r="G3192" s="3" t="e">
        <f t="shared" si="111"/>
        <v>#VALUE!</v>
      </c>
      <c r="H3192" s="3" t="e">
        <f t="shared" si="110"/>
        <v>#VALUE!</v>
      </c>
      <c r="I3192" s="1">
        <v>1</v>
      </c>
    </row>
    <row r="3193" spans="1:9" x14ac:dyDescent="0.25">
      <c r="A3193" s="1" t="s">
        <v>14435</v>
      </c>
      <c r="B3193" s="1" t="s">
        <v>9429</v>
      </c>
      <c r="C3193" s="1" t="str">
        <f>IFERROR(VLOOKUP(B3193,'SB1'!$A$2:$B$999999,2,FALSE),"")</f>
        <v>IMPERMEABILIZANTE PARA FRENTES PLAVICON BASE MEDIANO X 21,500</v>
      </c>
      <c r="D3193" s="1" t="s">
        <v>14490</v>
      </c>
      <c r="E3193" s="3">
        <f>IFERROR(VLOOKUP(B3193,'DA1'!$B$2:$D$999999,3,FALSE),"")</f>
      </c>
      <c r="F3193" s="1" t="str">
        <f>IFERROR(VLOOKUP(B3193,'SB1'!$A$2:$C$999999,3,FALSE),"")</f>
        <v>503</v>
      </c>
      <c r="G3193" s="3" t="e">
        <f t="shared" si="111"/>
        <v>#VALUE!</v>
      </c>
      <c r="H3193" s="3" t="e">
        <f t="shared" si="110"/>
        <v>#VALUE!</v>
      </c>
      <c r="I3193" s="1">
        <v>1</v>
      </c>
    </row>
    <row r="3194" spans="1:9" x14ac:dyDescent="0.25">
      <c r="A3194" s="1" t="s">
        <v>14435</v>
      </c>
      <c r="B3194" s="1" t="s">
        <v>9431</v>
      </c>
      <c r="C3194" s="1" t="str">
        <f>IFERROR(VLOOKUP(B3194,'SB1'!$A$2:$B$999999,2,FALSE),"")</f>
        <v>IMPERMEABILIZANTE PARA FRENTES PLAVICON BASE INTENSO X  1,170</v>
      </c>
      <c r="D3194" s="1" t="s">
        <v>14490</v>
      </c>
      <c r="E3194" s="3">
        <f>IFERROR(VLOOKUP(B3194,'DA1'!$B$2:$D$999999,3,FALSE),"")</f>
      </c>
      <c r="F3194" s="1" t="str">
        <f>IFERROR(VLOOKUP(B3194,'SB1'!$A$2:$C$999999,3,FALSE),"")</f>
        <v>503</v>
      </c>
      <c r="G3194" s="3" t="e">
        <f t="shared" si="111"/>
        <v>#VALUE!</v>
      </c>
      <c r="H3194" s="3" t="e">
        <f t="shared" si="110"/>
        <v>#VALUE!</v>
      </c>
      <c r="I3194" s="1">
        <v>1</v>
      </c>
    </row>
    <row r="3195" spans="1:9" x14ac:dyDescent="0.25">
      <c r="A3195" s="1" t="s">
        <v>14435</v>
      </c>
      <c r="B3195" s="1" t="s">
        <v>9433</v>
      </c>
      <c r="C3195" s="1" t="str">
        <f>IFERROR(VLOOKUP(B3195,'SB1'!$A$2:$B$999999,2,FALSE),"")</f>
        <v>IMPERMEABILIZANTE PARA FRENTES PLAVICON BASE INTENSO X  4,800</v>
      </c>
      <c r="D3195" s="1" t="s">
        <v>14490</v>
      </c>
      <c r="E3195" s="3">
        <f>IFERROR(VLOOKUP(B3195,'DA1'!$B$2:$D$999999,3,FALSE),"")</f>
      </c>
      <c r="F3195" s="1" t="str">
        <f>IFERROR(VLOOKUP(B3195,'SB1'!$A$2:$C$999999,3,FALSE),"")</f>
        <v>503</v>
      </c>
      <c r="G3195" s="3" t="e">
        <f t="shared" si="111"/>
        <v>#VALUE!</v>
      </c>
      <c r="H3195" s="3" t="e">
        <f t="shared" si="110"/>
        <v>#VALUE!</v>
      </c>
      <c r="I3195" s="1">
        <v>1</v>
      </c>
    </row>
    <row r="3196" spans="1:9" x14ac:dyDescent="0.25">
      <c r="A3196" s="1" t="s">
        <v>14435</v>
      </c>
      <c r="B3196" s="1" t="s">
        <v>9435</v>
      </c>
      <c r="C3196" s="1" t="str">
        <f>IFERROR(VLOOKUP(B3196,'SB1'!$A$2:$B$999999,2,FALSE),"")</f>
        <v>IMPERMEABILIZANTE PARA FRENTES PLAVICON BASE INTENSO X 11</v>
      </c>
      <c r="D3196" s="1" t="s">
        <v>14490</v>
      </c>
      <c r="E3196" s="3">
        <f>IFERROR(VLOOKUP(B3196,'DA1'!$B$2:$D$999999,3,FALSE),"")</f>
      </c>
      <c r="F3196" s="1" t="str">
        <f>IFERROR(VLOOKUP(B3196,'SB1'!$A$2:$C$999999,3,FALSE),"")</f>
        <v>503</v>
      </c>
      <c r="G3196" s="3" t="e">
        <f t="shared" si="111"/>
        <v>#VALUE!</v>
      </c>
      <c r="H3196" s="3" t="e">
        <f t="shared" si="110"/>
        <v>#VALUE!</v>
      </c>
      <c r="I3196" s="1">
        <v>1</v>
      </c>
    </row>
    <row r="3197" spans="1:9" x14ac:dyDescent="0.25">
      <c r="A3197" s="1" t="s">
        <v>14435</v>
      </c>
      <c r="B3197" s="1" t="s">
        <v>9437</v>
      </c>
      <c r="C3197" s="1" t="str">
        <f>IFERROR(VLOOKUP(B3197,'SB1'!$A$2:$B$999999,2,FALSE),"")</f>
        <v>IMPERMEABILIZANTE PARA FRENTES PLAVICON BASE INTENSO X 21,500</v>
      </c>
      <c r="D3197" s="1" t="s">
        <v>14490</v>
      </c>
      <c r="E3197" s="3">
        <f>IFERROR(VLOOKUP(B3197,'DA1'!$B$2:$D$999999,3,FALSE),"")</f>
      </c>
      <c r="F3197" s="1" t="str">
        <f>IFERROR(VLOOKUP(B3197,'SB1'!$A$2:$C$999999,3,FALSE),"")</f>
        <v>503</v>
      </c>
      <c r="G3197" s="3" t="e">
        <f t="shared" si="111"/>
        <v>#VALUE!</v>
      </c>
      <c r="H3197" s="3" t="e">
        <f t="shared" si="110"/>
        <v>#VALUE!</v>
      </c>
      <c r="I3197" s="1">
        <v>1</v>
      </c>
    </row>
    <row r="3198" spans="1:9" x14ac:dyDescent="0.25">
      <c r="A3198" s="1" t="s">
        <v>14435</v>
      </c>
      <c r="B3198" s="1" t="s">
        <v>9439</v>
      </c>
      <c r="C3198" s="1" t="str">
        <f>IFERROR(VLOOKUP(B3198,'SB1'!$A$2:$B$999999,2,FALSE),"")</f>
        <v>IMPERMEABILIZANTE PARA MUROS PLAVICON BASE PASTEL X  1,170</v>
      </c>
      <c r="D3198" s="1" t="s">
        <v>14490</v>
      </c>
      <c r="E3198" s="3">
        <f>IFERROR(VLOOKUP(B3198,'DA1'!$B$2:$D$999999,3,FALSE),"")</f>
      </c>
      <c r="F3198" s="1" t="str">
        <f>IFERROR(VLOOKUP(B3198,'SB1'!$A$2:$C$999999,3,FALSE),"")</f>
        <v>503</v>
      </c>
      <c r="G3198" s="3" t="e">
        <f t="shared" si="111"/>
        <v>#VALUE!</v>
      </c>
      <c r="H3198" s="3" t="e">
        <f t="shared" ref="H3198:H3261" si="112">G3198*1.21</f>
        <v>#VALUE!</v>
      </c>
      <c r="I3198" s="1">
        <v>1</v>
      </c>
    </row>
    <row r="3199" spans="1:9" x14ac:dyDescent="0.25">
      <c r="A3199" s="1" t="s">
        <v>14435</v>
      </c>
      <c r="B3199" s="1" t="s">
        <v>9441</v>
      </c>
      <c r="C3199" s="1" t="str">
        <f>IFERROR(VLOOKUP(B3199,'SB1'!$A$2:$B$999999,2,FALSE),"")</f>
        <v>IMPERMEABILIZANTE PARA MUROS PLAVICON BASE PASTEL X  4,800</v>
      </c>
      <c r="D3199" s="1" t="s">
        <v>14490</v>
      </c>
      <c r="E3199" s="3">
        <f>IFERROR(VLOOKUP(B3199,'DA1'!$B$2:$D$999999,3,FALSE),"")</f>
      </c>
      <c r="F3199" s="1" t="str">
        <f>IFERROR(VLOOKUP(B3199,'SB1'!$A$2:$C$999999,3,FALSE),"")</f>
        <v>503</v>
      </c>
      <c r="G3199" s="3" t="e">
        <f t="shared" si="111"/>
        <v>#VALUE!</v>
      </c>
      <c r="H3199" s="3" t="e">
        <f t="shared" si="112"/>
        <v>#VALUE!</v>
      </c>
      <c r="I3199" s="1">
        <v>1</v>
      </c>
    </row>
    <row r="3200" spans="1:9" x14ac:dyDescent="0.25">
      <c r="A3200" s="1" t="s">
        <v>14435</v>
      </c>
      <c r="B3200" s="1" t="s">
        <v>9443</v>
      </c>
      <c r="C3200" s="1" t="str">
        <f>IFERROR(VLOOKUP(B3200,'SB1'!$A$2:$B$999999,2,FALSE),"")</f>
        <v>IMPERMEABILIZANTE PARA MUROS PLAVICON BASE PASTEL X 11</v>
      </c>
      <c r="D3200" s="1" t="s">
        <v>14490</v>
      </c>
      <c r="E3200" s="3">
        <f>IFERROR(VLOOKUP(B3200,'DA1'!$B$2:$D$999999,3,FALSE),"")</f>
      </c>
      <c r="F3200" s="1" t="str">
        <f>IFERROR(VLOOKUP(B3200,'SB1'!$A$2:$C$999999,3,FALSE),"")</f>
        <v>503</v>
      </c>
      <c r="G3200" s="3" t="e">
        <f t="shared" si="111"/>
        <v>#VALUE!</v>
      </c>
      <c r="H3200" s="3" t="e">
        <f t="shared" si="112"/>
        <v>#VALUE!</v>
      </c>
      <c r="I3200" s="1">
        <v>1</v>
      </c>
    </row>
    <row r="3201" spans="1:9" x14ac:dyDescent="0.25">
      <c r="A3201" s="1" t="s">
        <v>14435</v>
      </c>
      <c r="B3201" s="1" t="s">
        <v>9445</v>
      </c>
      <c r="C3201" s="1" t="str">
        <f>IFERROR(VLOOKUP(B3201,'SB1'!$A$2:$B$999999,2,FALSE),"")</f>
        <v>IMPERMEABILIZANTE PARA MUROS PLAVICON BASE PASTEL X 21,500</v>
      </c>
      <c r="D3201" s="1" t="s">
        <v>14490</v>
      </c>
      <c r="E3201" s="3">
        <f>IFERROR(VLOOKUP(B3201,'DA1'!$B$2:$D$999999,3,FALSE),"")</f>
      </c>
      <c r="F3201" s="1" t="str">
        <f>IFERROR(VLOOKUP(B3201,'SB1'!$A$2:$C$999999,3,FALSE),"")</f>
        <v>503</v>
      </c>
      <c r="G3201" s="3" t="e">
        <f t="shared" si="111"/>
        <v>#VALUE!</v>
      </c>
      <c r="H3201" s="3" t="e">
        <f t="shared" si="112"/>
        <v>#VALUE!</v>
      </c>
      <c r="I3201" s="1">
        <v>1</v>
      </c>
    </row>
    <row r="3202" spans="1:9" x14ac:dyDescent="0.25">
      <c r="A3202" s="1" t="s">
        <v>14435</v>
      </c>
      <c r="B3202" s="1" t="s">
        <v>9447</v>
      </c>
      <c r="C3202" s="1" t="str">
        <f>IFERROR(VLOOKUP(B3202,'SB1'!$A$2:$B$999999,2,FALSE),"")</f>
        <v>IMPERMEABILIZANTE PARA MUROS PLAVICON BASE MEDIANO X  1,170</v>
      </c>
      <c r="D3202" s="1" t="s">
        <v>14490</v>
      </c>
      <c r="E3202" s="3">
        <f>IFERROR(VLOOKUP(B3202,'DA1'!$B$2:$D$999999,3,FALSE),"")</f>
      </c>
      <c r="F3202" s="1" t="str">
        <f>IFERROR(VLOOKUP(B3202,'SB1'!$A$2:$C$999999,3,FALSE),"")</f>
        <v>503</v>
      </c>
      <c r="G3202" s="3" t="e">
        <f t="shared" si="111"/>
        <v>#VALUE!</v>
      </c>
      <c r="H3202" s="3" t="e">
        <f t="shared" si="112"/>
        <v>#VALUE!</v>
      </c>
      <c r="I3202" s="1">
        <v>1</v>
      </c>
    </row>
    <row r="3203" spans="1:9" x14ac:dyDescent="0.25">
      <c r="A3203" s="1" t="s">
        <v>14435</v>
      </c>
      <c r="B3203" s="1" t="s">
        <v>9449</v>
      </c>
      <c r="C3203" s="1" t="str">
        <f>IFERROR(VLOOKUP(B3203,'SB1'!$A$2:$B$999999,2,FALSE),"")</f>
        <v>IMPERMEABILIZANTE PARA MUROS PLAVICON BASE MEDIANO X  4,800</v>
      </c>
      <c r="D3203" s="1" t="s">
        <v>14490</v>
      </c>
      <c r="E3203" s="3">
        <f>IFERROR(VLOOKUP(B3203,'DA1'!$B$2:$D$999999,3,FALSE),"")</f>
      </c>
      <c r="F3203" s="1" t="str">
        <f>IFERROR(VLOOKUP(B3203,'SB1'!$A$2:$C$999999,3,FALSE),"")</f>
        <v>503</v>
      </c>
      <c r="G3203" s="3" t="e">
        <f t="shared" ref="G3203:G3266" si="113">E3203*1.04</f>
        <v>#VALUE!</v>
      </c>
      <c r="H3203" s="3" t="e">
        <f t="shared" si="112"/>
        <v>#VALUE!</v>
      </c>
      <c r="I3203" s="1">
        <v>1</v>
      </c>
    </row>
    <row r="3204" spans="1:9" x14ac:dyDescent="0.25">
      <c r="A3204" s="1" t="s">
        <v>14435</v>
      </c>
      <c r="B3204" s="1" t="s">
        <v>9451</v>
      </c>
      <c r="C3204" s="1" t="str">
        <f>IFERROR(VLOOKUP(B3204,'SB1'!$A$2:$B$999999,2,FALSE),"")</f>
        <v>IMPERMEABILIZANTE PARA MUROS PLAVICON BASE MEDIANO X 11</v>
      </c>
      <c r="D3204" s="1" t="s">
        <v>14490</v>
      </c>
      <c r="E3204" s="3">
        <f>IFERROR(VLOOKUP(B3204,'DA1'!$B$2:$D$999999,3,FALSE),"")</f>
      </c>
      <c r="F3204" s="1" t="str">
        <f>IFERROR(VLOOKUP(B3204,'SB1'!$A$2:$C$999999,3,FALSE),"")</f>
        <v>503</v>
      </c>
      <c r="G3204" s="3" t="e">
        <f t="shared" si="113"/>
        <v>#VALUE!</v>
      </c>
      <c r="H3204" s="3" t="e">
        <f t="shared" si="112"/>
        <v>#VALUE!</v>
      </c>
      <c r="I3204" s="1">
        <v>1</v>
      </c>
    </row>
    <row r="3205" spans="1:9" x14ac:dyDescent="0.25">
      <c r="A3205" s="1" t="s">
        <v>14435</v>
      </c>
      <c r="B3205" s="1" t="s">
        <v>9453</v>
      </c>
      <c r="C3205" s="1" t="str">
        <f>IFERROR(VLOOKUP(B3205,'SB1'!$A$2:$B$999999,2,FALSE),"")</f>
        <v>IMPERMEABILIZANTE PARA MUROS PLAVICON BASE MEDIANO X 21,500</v>
      </c>
      <c r="D3205" s="1" t="s">
        <v>14490</v>
      </c>
      <c r="E3205" s="3">
        <f>IFERROR(VLOOKUP(B3205,'DA1'!$B$2:$D$999999,3,FALSE),"")</f>
      </c>
      <c r="F3205" s="1" t="str">
        <f>IFERROR(VLOOKUP(B3205,'SB1'!$A$2:$C$999999,3,FALSE),"")</f>
        <v>503</v>
      </c>
      <c r="G3205" s="3" t="e">
        <f t="shared" si="113"/>
        <v>#VALUE!</v>
      </c>
      <c r="H3205" s="3" t="e">
        <f t="shared" si="112"/>
        <v>#VALUE!</v>
      </c>
      <c r="I3205" s="1">
        <v>1</v>
      </c>
    </row>
    <row r="3206" spans="1:9" x14ac:dyDescent="0.25">
      <c r="A3206" s="1" t="s">
        <v>14435</v>
      </c>
      <c r="B3206" s="1" t="s">
        <v>9455</v>
      </c>
      <c r="C3206" s="1" t="str">
        <f>IFERROR(VLOOKUP(B3206,'SB1'!$A$2:$B$999999,2,FALSE),"")</f>
        <v>IMPERMEABILIZANTE PARA MUROS PLAVICON BASE INTENSO X  1,170</v>
      </c>
      <c r="D3206" s="1" t="s">
        <v>14490</v>
      </c>
      <c r="E3206" s="3">
        <f>IFERROR(VLOOKUP(B3206,'DA1'!$B$2:$D$999999,3,FALSE),"")</f>
      </c>
      <c r="F3206" s="1" t="str">
        <f>IFERROR(VLOOKUP(B3206,'SB1'!$A$2:$C$999999,3,FALSE),"")</f>
        <v>503</v>
      </c>
      <c r="G3206" s="3" t="e">
        <f t="shared" si="113"/>
        <v>#VALUE!</v>
      </c>
      <c r="H3206" s="3" t="e">
        <f t="shared" si="112"/>
        <v>#VALUE!</v>
      </c>
      <c r="I3206" s="1">
        <v>1</v>
      </c>
    </row>
    <row r="3207" spans="1:9" x14ac:dyDescent="0.25">
      <c r="A3207" s="1" t="s">
        <v>14435</v>
      </c>
      <c r="B3207" s="1" t="s">
        <v>9457</v>
      </c>
      <c r="C3207" s="1" t="str">
        <f>IFERROR(VLOOKUP(B3207,'SB1'!$A$2:$B$999999,2,FALSE),"")</f>
        <v>IMPERMEABILIZANTE PARA MUROS PLAVICON BASE INTENSO X  4,800</v>
      </c>
      <c r="D3207" s="1" t="s">
        <v>14490</v>
      </c>
      <c r="E3207" s="3">
        <f>IFERROR(VLOOKUP(B3207,'DA1'!$B$2:$D$999999,3,FALSE),"")</f>
      </c>
      <c r="F3207" s="1" t="str">
        <f>IFERROR(VLOOKUP(B3207,'SB1'!$A$2:$C$999999,3,FALSE),"")</f>
        <v>503</v>
      </c>
      <c r="G3207" s="3" t="e">
        <f t="shared" si="113"/>
        <v>#VALUE!</v>
      </c>
      <c r="H3207" s="3" t="e">
        <f t="shared" si="112"/>
        <v>#VALUE!</v>
      </c>
      <c r="I3207" s="1">
        <v>1</v>
      </c>
    </row>
    <row r="3208" spans="1:9" x14ac:dyDescent="0.25">
      <c r="A3208" s="1" t="s">
        <v>14435</v>
      </c>
      <c r="B3208" s="1" t="s">
        <v>9459</v>
      </c>
      <c r="C3208" s="1" t="str">
        <f>IFERROR(VLOOKUP(B3208,'SB1'!$A$2:$B$999999,2,FALSE),"")</f>
        <v>IMPERMEABILIZANTE PARA MUROS PLAVICON BASE INTENSO X 11</v>
      </c>
      <c r="D3208" s="1" t="s">
        <v>14490</v>
      </c>
      <c r="E3208" s="3">
        <f>IFERROR(VLOOKUP(B3208,'DA1'!$B$2:$D$999999,3,FALSE),"")</f>
      </c>
      <c r="F3208" s="1" t="str">
        <f>IFERROR(VLOOKUP(B3208,'SB1'!$A$2:$C$999999,3,FALSE),"")</f>
        <v>503</v>
      </c>
      <c r="G3208" s="3" t="e">
        <f t="shared" si="113"/>
        <v>#VALUE!</v>
      </c>
      <c r="H3208" s="3" t="e">
        <f t="shared" si="112"/>
        <v>#VALUE!</v>
      </c>
      <c r="I3208" s="1">
        <v>1</v>
      </c>
    </row>
    <row r="3209" spans="1:9" x14ac:dyDescent="0.25">
      <c r="A3209" s="1" t="s">
        <v>14435</v>
      </c>
      <c r="B3209" s="1" t="s">
        <v>9461</v>
      </c>
      <c r="C3209" s="1" t="str">
        <f>IFERROR(VLOOKUP(B3209,'SB1'!$A$2:$B$999999,2,FALSE),"")</f>
        <v>IMPERMEABILIZANTE PARA MUROS PLAVICON BASE INTENSO X 21,500</v>
      </c>
      <c r="D3209" s="1" t="s">
        <v>14490</v>
      </c>
      <c r="E3209" s="3">
        <f>IFERROR(VLOOKUP(B3209,'DA1'!$B$2:$D$999999,3,FALSE),"")</f>
      </c>
      <c r="F3209" s="1" t="str">
        <f>IFERROR(VLOOKUP(B3209,'SB1'!$A$2:$C$999999,3,FALSE),"")</f>
        <v>503</v>
      </c>
      <c r="G3209" s="3" t="e">
        <f t="shared" si="113"/>
        <v>#VALUE!</v>
      </c>
      <c r="H3209" s="3" t="e">
        <f t="shared" si="112"/>
        <v>#VALUE!</v>
      </c>
      <c r="I3209" s="1">
        <v>1</v>
      </c>
    </row>
    <row r="3210" spans="1:9" x14ac:dyDescent="0.25">
      <c r="A3210" s="1" t="s">
        <v>14435</v>
      </c>
      <c r="B3210" s="1" t="s">
        <v>9463</v>
      </c>
      <c r="C3210" s="1" t="str">
        <f>IFERROR(VLOOKUP(B3210,'SB1'!$A$2:$B$999999,2,FALSE),"")</f>
        <v>LATEX INTERIOR PLAVICON MATE BASE PASTEL X  0,900</v>
      </c>
      <c r="D3210" s="1" t="s">
        <v>14490</v>
      </c>
      <c r="E3210" s="3">
        <f>IFERROR(VLOOKUP(B3210,'DA1'!$B$2:$D$999999,3,FALSE),"")</f>
      </c>
      <c r="F3210" s="1" t="str">
        <f>IFERROR(VLOOKUP(B3210,'SB1'!$A$2:$C$999999,3,FALSE),"")</f>
        <v>503</v>
      </c>
      <c r="G3210" s="3" t="e">
        <f t="shared" si="113"/>
        <v>#VALUE!</v>
      </c>
      <c r="H3210" s="3" t="e">
        <f t="shared" si="112"/>
        <v>#VALUE!</v>
      </c>
      <c r="I3210" s="1">
        <v>1</v>
      </c>
    </row>
    <row r="3211" spans="1:9" x14ac:dyDescent="0.25">
      <c r="A3211" s="1" t="s">
        <v>14435</v>
      </c>
      <c r="B3211" s="1" t="s">
        <v>9465</v>
      </c>
      <c r="C3211" s="1" t="str">
        <f>IFERROR(VLOOKUP(B3211,'SB1'!$A$2:$B$999999,2,FALSE),"")</f>
        <v>LATEX INTERIOR PLAVICON MATE BASE PASTEL X  3,600</v>
      </c>
      <c r="D3211" s="1" t="s">
        <v>14490</v>
      </c>
      <c r="E3211" s="3">
        <f>IFERROR(VLOOKUP(B3211,'DA1'!$B$2:$D$999999,3,FALSE),"")</f>
      </c>
      <c r="F3211" s="1" t="str">
        <f>IFERROR(VLOOKUP(B3211,'SB1'!$A$2:$C$999999,3,FALSE),"")</f>
        <v>503</v>
      </c>
      <c r="G3211" s="3" t="e">
        <f t="shared" si="113"/>
        <v>#VALUE!</v>
      </c>
      <c r="H3211" s="3" t="e">
        <f t="shared" si="112"/>
        <v>#VALUE!</v>
      </c>
      <c r="I3211" s="1">
        <v>1</v>
      </c>
    </row>
    <row r="3212" spans="1:9" x14ac:dyDescent="0.25">
      <c r="A3212" s="1" t="s">
        <v>14435</v>
      </c>
      <c r="B3212" s="1" t="s">
        <v>9467</v>
      </c>
      <c r="C3212" s="1" t="str">
        <f>IFERROR(VLOOKUP(B3212,'SB1'!$A$2:$B$999999,2,FALSE),"")</f>
        <v>LATEX INTERIOR PLAVICON MATE BASE PASTEL X  9</v>
      </c>
      <c r="D3212" s="1" t="s">
        <v>14490</v>
      </c>
      <c r="E3212" s="3">
        <f>IFERROR(VLOOKUP(B3212,'DA1'!$B$2:$D$999999,3,FALSE),"")</f>
      </c>
      <c r="F3212" s="1" t="str">
        <f>IFERROR(VLOOKUP(B3212,'SB1'!$A$2:$C$999999,3,FALSE),"")</f>
        <v>503</v>
      </c>
      <c r="G3212" s="3" t="e">
        <f t="shared" si="113"/>
        <v>#VALUE!</v>
      </c>
      <c r="H3212" s="3" t="e">
        <f t="shared" si="112"/>
        <v>#VALUE!</v>
      </c>
      <c r="I3212" s="1">
        <v>1</v>
      </c>
    </row>
    <row r="3213" spans="1:9" x14ac:dyDescent="0.25">
      <c r="A3213" s="1" t="s">
        <v>14435</v>
      </c>
      <c r="B3213" s="1" t="s">
        <v>9469</v>
      </c>
      <c r="C3213" s="1" t="str">
        <f>IFERROR(VLOOKUP(B3213,'SB1'!$A$2:$B$999999,2,FALSE),"")</f>
        <v>LATEX INTERIOR PLAVICON MATE BASE PASTEL X 18</v>
      </c>
      <c r="D3213" s="1" t="s">
        <v>14490</v>
      </c>
      <c r="E3213" s="3">
        <f>IFERROR(VLOOKUP(B3213,'DA1'!$B$2:$D$999999,3,FALSE),"")</f>
      </c>
      <c r="F3213" s="1" t="str">
        <f>IFERROR(VLOOKUP(B3213,'SB1'!$A$2:$C$999999,3,FALSE),"")</f>
        <v>503</v>
      </c>
      <c r="G3213" s="3" t="e">
        <f t="shared" si="113"/>
        <v>#VALUE!</v>
      </c>
      <c r="H3213" s="3" t="e">
        <f t="shared" si="112"/>
        <v>#VALUE!</v>
      </c>
      <c r="I3213" s="1">
        <v>1</v>
      </c>
    </row>
    <row r="3214" spans="1:9" x14ac:dyDescent="0.25">
      <c r="A3214" s="1" t="s">
        <v>14435</v>
      </c>
      <c r="B3214" s="1" t="s">
        <v>9471</v>
      </c>
      <c r="C3214" s="1" t="str">
        <f>IFERROR(VLOOKUP(B3214,'SB1'!$A$2:$B$999999,2,FALSE),"")</f>
        <v>LATEX INTERIOR PLAVICON MATE BASE MEDIANO X  0,900</v>
      </c>
      <c r="D3214" s="1" t="s">
        <v>14490</v>
      </c>
      <c r="E3214" s="3">
        <f>IFERROR(VLOOKUP(B3214,'DA1'!$B$2:$D$999999,3,FALSE),"")</f>
      </c>
      <c r="F3214" s="1" t="str">
        <f>IFERROR(VLOOKUP(B3214,'SB1'!$A$2:$C$999999,3,FALSE),"")</f>
        <v>503</v>
      </c>
      <c r="G3214" s="3" t="e">
        <f t="shared" si="113"/>
        <v>#VALUE!</v>
      </c>
      <c r="H3214" s="3" t="e">
        <f t="shared" si="112"/>
        <v>#VALUE!</v>
      </c>
      <c r="I3214" s="1">
        <v>1</v>
      </c>
    </row>
    <row r="3215" spans="1:9" x14ac:dyDescent="0.25">
      <c r="A3215" s="1" t="s">
        <v>14435</v>
      </c>
      <c r="B3215" s="1" t="s">
        <v>9473</v>
      </c>
      <c r="C3215" s="1" t="str">
        <f>IFERROR(VLOOKUP(B3215,'SB1'!$A$2:$B$999999,2,FALSE),"")</f>
        <v>LATEX INTERIOR PLAVICON MATE BASE MEDIANO X  3,600</v>
      </c>
      <c r="D3215" s="1" t="s">
        <v>14490</v>
      </c>
      <c r="E3215" s="3">
        <f>IFERROR(VLOOKUP(B3215,'DA1'!$B$2:$D$999999,3,FALSE),"")</f>
      </c>
      <c r="F3215" s="1" t="str">
        <f>IFERROR(VLOOKUP(B3215,'SB1'!$A$2:$C$999999,3,FALSE),"")</f>
        <v>503</v>
      </c>
      <c r="G3215" s="3" t="e">
        <f t="shared" si="113"/>
        <v>#VALUE!</v>
      </c>
      <c r="H3215" s="3" t="e">
        <f t="shared" si="112"/>
        <v>#VALUE!</v>
      </c>
      <c r="I3215" s="1">
        <v>1</v>
      </c>
    </row>
    <row r="3216" spans="1:9" x14ac:dyDescent="0.25">
      <c r="A3216" s="1" t="s">
        <v>14435</v>
      </c>
      <c r="B3216" s="1" t="s">
        <v>9475</v>
      </c>
      <c r="C3216" s="1" t="str">
        <f>IFERROR(VLOOKUP(B3216,'SB1'!$A$2:$B$999999,2,FALSE),"")</f>
        <v>LATEX INTERIOR PLAVICON MATE BASE MEDIANO X  9</v>
      </c>
      <c r="D3216" s="1" t="s">
        <v>14490</v>
      </c>
      <c r="E3216" s="3">
        <f>IFERROR(VLOOKUP(B3216,'DA1'!$B$2:$D$999999,3,FALSE),"")</f>
      </c>
      <c r="F3216" s="1" t="str">
        <f>IFERROR(VLOOKUP(B3216,'SB1'!$A$2:$C$999999,3,FALSE),"")</f>
        <v>503</v>
      </c>
      <c r="G3216" s="3" t="e">
        <f t="shared" si="113"/>
        <v>#VALUE!</v>
      </c>
      <c r="H3216" s="3" t="e">
        <f t="shared" si="112"/>
        <v>#VALUE!</v>
      </c>
      <c r="I3216" s="1">
        <v>1</v>
      </c>
    </row>
    <row r="3217" spans="1:9" x14ac:dyDescent="0.25">
      <c r="A3217" s="1" t="s">
        <v>14435</v>
      </c>
      <c r="B3217" s="1" t="s">
        <v>9477</v>
      </c>
      <c r="C3217" s="1" t="str">
        <f>IFERROR(VLOOKUP(B3217,'SB1'!$A$2:$B$999999,2,FALSE),"")</f>
        <v>LATEX INTERIOR PLAVICON MATE BASE MEDIANO X 18</v>
      </c>
      <c r="D3217" s="1" t="s">
        <v>14490</v>
      </c>
      <c r="E3217" s="3">
        <f>IFERROR(VLOOKUP(B3217,'DA1'!$B$2:$D$999999,3,FALSE),"")</f>
      </c>
      <c r="F3217" s="1" t="str">
        <f>IFERROR(VLOOKUP(B3217,'SB1'!$A$2:$C$999999,3,FALSE),"")</f>
        <v>503</v>
      </c>
      <c r="G3217" s="3" t="e">
        <f t="shared" si="113"/>
        <v>#VALUE!</v>
      </c>
      <c r="H3217" s="3" t="e">
        <f t="shared" si="112"/>
        <v>#VALUE!</v>
      </c>
      <c r="I3217" s="1">
        <v>1</v>
      </c>
    </row>
    <row r="3218" spans="1:9" x14ac:dyDescent="0.25">
      <c r="A3218" s="1" t="s">
        <v>14435</v>
      </c>
      <c r="B3218" s="1" t="s">
        <v>9479</v>
      </c>
      <c r="C3218" s="1" t="str">
        <f>IFERROR(VLOOKUP(B3218,'SB1'!$A$2:$B$999999,2,FALSE),"")</f>
        <v>LATEX INTERIOR PLAVICON MATE BASE INTENSO X  0,900</v>
      </c>
      <c r="D3218" s="1" t="s">
        <v>14490</v>
      </c>
      <c r="E3218" s="3">
        <f>IFERROR(VLOOKUP(B3218,'DA1'!$B$2:$D$999999,3,FALSE),"")</f>
      </c>
      <c r="F3218" s="1" t="str">
        <f>IFERROR(VLOOKUP(B3218,'SB1'!$A$2:$C$999999,3,FALSE),"")</f>
        <v>503</v>
      </c>
      <c r="G3218" s="3" t="e">
        <f t="shared" si="113"/>
        <v>#VALUE!</v>
      </c>
      <c r="H3218" s="3" t="e">
        <f t="shared" si="112"/>
        <v>#VALUE!</v>
      </c>
      <c r="I3218" s="1">
        <v>1</v>
      </c>
    </row>
    <row r="3219" spans="1:9" x14ac:dyDescent="0.25">
      <c r="A3219" s="1" t="s">
        <v>14435</v>
      </c>
      <c r="B3219" s="1" t="s">
        <v>9481</v>
      </c>
      <c r="C3219" s="1" t="str">
        <f>IFERROR(VLOOKUP(B3219,'SB1'!$A$2:$B$999999,2,FALSE),"")</f>
        <v>LATEX INTERIOR PLAVICON MATE BASE INTENSO X  3,600</v>
      </c>
      <c r="D3219" s="1" t="s">
        <v>14490</v>
      </c>
      <c r="E3219" s="3">
        <f>IFERROR(VLOOKUP(B3219,'DA1'!$B$2:$D$999999,3,FALSE),"")</f>
      </c>
      <c r="F3219" s="1" t="str">
        <f>IFERROR(VLOOKUP(B3219,'SB1'!$A$2:$C$999999,3,FALSE),"")</f>
        <v>503</v>
      </c>
      <c r="G3219" s="3" t="e">
        <f t="shared" si="113"/>
        <v>#VALUE!</v>
      </c>
      <c r="H3219" s="3" t="e">
        <f t="shared" si="112"/>
        <v>#VALUE!</v>
      </c>
      <c r="I3219" s="1">
        <v>1</v>
      </c>
    </row>
    <row r="3220" spans="1:9" x14ac:dyDescent="0.25">
      <c r="A3220" s="1" t="s">
        <v>14435</v>
      </c>
      <c r="B3220" s="1" t="s">
        <v>9483</v>
      </c>
      <c r="C3220" s="1" t="str">
        <f>IFERROR(VLOOKUP(B3220,'SB1'!$A$2:$B$999999,2,FALSE),"")</f>
        <v>LATEX INTERIOR PLAVICON MATE BASE INTENSO X  9</v>
      </c>
      <c r="D3220" s="1" t="s">
        <v>14490</v>
      </c>
      <c r="E3220" s="3">
        <f>IFERROR(VLOOKUP(B3220,'DA1'!$B$2:$D$999999,3,FALSE),"")</f>
      </c>
      <c r="F3220" s="1" t="str">
        <f>IFERROR(VLOOKUP(B3220,'SB1'!$A$2:$C$999999,3,FALSE),"")</f>
        <v>503</v>
      </c>
      <c r="G3220" s="3" t="e">
        <f t="shared" si="113"/>
        <v>#VALUE!</v>
      </c>
      <c r="H3220" s="3" t="e">
        <f t="shared" si="112"/>
        <v>#VALUE!</v>
      </c>
      <c r="I3220" s="1">
        <v>1</v>
      </c>
    </row>
    <row r="3221" spans="1:9" x14ac:dyDescent="0.25">
      <c r="A3221" s="1" t="s">
        <v>14435</v>
      </c>
      <c r="B3221" s="1" t="s">
        <v>9485</v>
      </c>
      <c r="C3221" s="1" t="str">
        <f>IFERROR(VLOOKUP(B3221,'SB1'!$A$2:$B$999999,2,FALSE),"")</f>
        <v>LATEX INTERIOR PLAVICON MATE BASE INTENSO X 18</v>
      </c>
      <c r="D3221" s="1" t="s">
        <v>14490</v>
      </c>
      <c r="E3221" s="3">
        <f>IFERROR(VLOOKUP(B3221,'DA1'!$B$2:$D$999999,3,FALSE),"")</f>
      </c>
      <c r="F3221" s="1" t="str">
        <f>IFERROR(VLOOKUP(B3221,'SB1'!$A$2:$C$999999,3,FALSE),"")</f>
        <v>503</v>
      </c>
      <c r="G3221" s="3" t="e">
        <f t="shared" si="113"/>
        <v>#VALUE!</v>
      </c>
      <c r="H3221" s="3" t="e">
        <f t="shared" si="112"/>
        <v>#VALUE!</v>
      </c>
      <c r="I3221" s="1">
        <v>1</v>
      </c>
    </row>
    <row r="3222" spans="1:9" x14ac:dyDescent="0.25">
      <c r="A3222" s="1" t="s">
        <v>14435</v>
      </c>
      <c r="B3222" s="1" t="s">
        <v>9487</v>
      </c>
      <c r="C3222" s="1" t="str">
        <f>IFERROR(VLOOKUP(B3222,'SB1'!$A$2:$B$999999,2,FALSE),"")</f>
        <v>COLORANTE CONCENTRADO PLAVICON FT VIOLETA X 1</v>
      </c>
      <c r="D3222" s="1" t="s">
        <v>14490</v>
      </c>
      <c r="E3222" s="3">
        <f>IFERROR(VLOOKUP(B3222,'DA1'!$B$2:$D$999999,3,FALSE),"")</f>
      </c>
      <c r="F3222" s="1" t="str">
        <f>IFERROR(VLOOKUP(B3222,'SB1'!$A$2:$C$999999,3,FALSE),"")</f>
        <v>503</v>
      </c>
      <c r="G3222" s="3" t="e">
        <f t="shared" si="113"/>
        <v>#VALUE!</v>
      </c>
      <c r="H3222" s="3" t="e">
        <f t="shared" si="112"/>
        <v>#VALUE!</v>
      </c>
      <c r="I3222" s="1">
        <v>1</v>
      </c>
    </row>
    <row r="3223" spans="1:9" x14ac:dyDescent="0.25">
      <c r="A3223" s="1" t="s">
        <v>14435</v>
      </c>
      <c r="B3223" s="1" t="s">
        <v>9489</v>
      </c>
      <c r="C3223" s="1" t="str">
        <f>IFERROR(VLOOKUP(B3223,'SB1'!$A$2:$B$999999,2,FALSE),"")</f>
        <v>COLORANTE CONCENTRADO PLAVICON HS MAGENTA X 1</v>
      </c>
      <c r="D3223" s="1" t="s">
        <v>14490</v>
      </c>
      <c r="E3223" s="3">
        <f>IFERROR(VLOOKUP(B3223,'DA1'!$B$2:$D$999999,3,FALSE),"")</f>
      </c>
      <c r="F3223" s="1" t="str">
        <f>IFERROR(VLOOKUP(B3223,'SB1'!$A$2:$C$999999,3,FALSE),"")</f>
        <v>503</v>
      </c>
      <c r="G3223" s="3" t="e">
        <f t="shared" si="113"/>
        <v>#VALUE!</v>
      </c>
      <c r="H3223" s="3" t="e">
        <f t="shared" si="112"/>
        <v>#VALUE!</v>
      </c>
      <c r="I3223" s="1">
        <v>1</v>
      </c>
    </row>
    <row r="3224" spans="1:9" x14ac:dyDescent="0.25">
      <c r="A3224" s="1" t="s">
        <v>14435</v>
      </c>
      <c r="B3224" s="1" t="s">
        <v>9491</v>
      </c>
      <c r="C3224" s="1" t="str">
        <f>IFERROR(VLOOKUP(B3224,'SB1'!$A$2:$B$999999,2,FALSE),"")</f>
        <v>COLORANTE CONCENTRADO PLAVICON ST MARRON X 1</v>
      </c>
      <c r="D3224" s="1" t="s">
        <v>14490</v>
      </c>
      <c r="E3224" s="3">
        <f>IFERROR(VLOOKUP(B3224,'DA1'!$B$2:$D$999999,3,FALSE),"")</f>
      </c>
      <c r="F3224" s="1" t="str">
        <f>IFERROR(VLOOKUP(B3224,'SB1'!$A$2:$C$999999,3,FALSE),"")</f>
        <v>503</v>
      </c>
      <c r="G3224" s="3" t="e">
        <f t="shared" si="113"/>
        <v>#VALUE!</v>
      </c>
      <c r="H3224" s="3" t="e">
        <f t="shared" si="112"/>
        <v>#VALUE!</v>
      </c>
      <c r="I3224" s="1">
        <v>1</v>
      </c>
    </row>
    <row r="3225" spans="1:9" x14ac:dyDescent="0.25">
      <c r="A3225" s="1" t="s">
        <v>14435</v>
      </c>
      <c r="B3225" s="1" t="s">
        <v>9493</v>
      </c>
      <c r="C3225" s="1" t="str">
        <f>IFERROR(VLOOKUP(B3225,'SB1'!$A$2:$B$999999,2,FALSE),"")</f>
        <v>COLORANTE CONCENTRADO PLAVICON LS VERDE X 1</v>
      </c>
      <c r="D3225" s="1" t="s">
        <v>14490</v>
      </c>
      <c r="E3225" s="3">
        <f>IFERROR(VLOOKUP(B3225,'DA1'!$B$2:$D$999999,3,FALSE),"")</f>
      </c>
      <c r="F3225" s="1" t="str">
        <f>IFERROR(VLOOKUP(B3225,'SB1'!$A$2:$C$999999,3,FALSE),"")</f>
        <v>503</v>
      </c>
      <c r="G3225" s="3" t="e">
        <f t="shared" si="113"/>
        <v>#VALUE!</v>
      </c>
      <c r="H3225" s="3" t="e">
        <f t="shared" si="112"/>
        <v>#VALUE!</v>
      </c>
      <c r="I3225" s="1">
        <v>1</v>
      </c>
    </row>
    <row r="3226" spans="1:9" x14ac:dyDescent="0.25">
      <c r="A3226" s="1" t="s">
        <v>14435</v>
      </c>
      <c r="B3226" s="1" t="s">
        <v>9495</v>
      </c>
      <c r="C3226" s="1" t="str">
        <f>IFERROR(VLOOKUP(B3226,'SB1'!$A$2:$B$999999,2,FALSE),"")</f>
        <v>COLORANTE CONCENTRADO PLAVICON LT VERDE X 1</v>
      </c>
      <c r="D3226" s="1" t="s">
        <v>14490</v>
      </c>
      <c r="E3226" s="3">
        <f>IFERROR(VLOOKUP(B3226,'DA1'!$B$2:$D$999999,3,FALSE),"")</f>
      </c>
      <c r="F3226" s="1" t="str">
        <f>IFERROR(VLOOKUP(B3226,'SB1'!$A$2:$C$999999,3,FALSE),"")</f>
        <v>503</v>
      </c>
      <c r="G3226" s="3" t="e">
        <f t="shared" si="113"/>
        <v>#VALUE!</v>
      </c>
      <c r="H3226" s="3" t="e">
        <f t="shared" si="112"/>
        <v>#VALUE!</v>
      </c>
      <c r="I3226" s="1">
        <v>1</v>
      </c>
    </row>
    <row r="3227" spans="1:9" x14ac:dyDescent="0.25">
      <c r="A3227" s="1" t="s">
        <v>14435</v>
      </c>
      <c r="B3227" s="1" t="s">
        <v>9497</v>
      </c>
      <c r="C3227" s="1" t="str">
        <f>IFERROR(VLOOKUP(B3227,'SB1'!$A$2:$B$999999,2,FALSE),"")</f>
        <v>COLORANTE CONCENTRADO PLAVICON MS AZUL X 1</v>
      </c>
      <c r="D3227" s="1" t="s">
        <v>14490</v>
      </c>
      <c r="E3227" s="3">
        <f>IFERROR(VLOOKUP(B3227,'DA1'!$B$2:$D$999999,3,FALSE),"")</f>
      </c>
      <c r="F3227" s="1" t="str">
        <f>IFERROR(VLOOKUP(B3227,'SB1'!$A$2:$C$999999,3,FALSE),"")</f>
        <v>503</v>
      </c>
      <c r="G3227" s="3" t="e">
        <f t="shared" si="113"/>
        <v>#VALUE!</v>
      </c>
      <c r="H3227" s="3" t="e">
        <f t="shared" si="112"/>
        <v>#VALUE!</v>
      </c>
      <c r="I3227" s="1">
        <v>1</v>
      </c>
    </row>
    <row r="3228" spans="1:9" x14ac:dyDescent="0.25">
      <c r="A3228" s="1" t="s">
        <v>14435</v>
      </c>
      <c r="B3228" s="1" t="s">
        <v>9499</v>
      </c>
      <c r="C3228" s="1" t="str">
        <f>IFERROR(VLOOKUP(B3228,'SB1'!$A$2:$B$999999,2,FALSE),"")</f>
        <v>COLORANTE CONCENTRADO PLAVICON MT AZUL X 1</v>
      </c>
      <c r="D3228" s="1" t="s">
        <v>14490</v>
      </c>
      <c r="E3228" s="3">
        <f>IFERROR(VLOOKUP(B3228,'DA1'!$B$2:$D$999999,3,FALSE),"")</f>
      </c>
      <c r="F3228" s="1" t="str">
        <f>IFERROR(VLOOKUP(B3228,'SB1'!$A$2:$C$999999,3,FALSE),"")</f>
        <v>503</v>
      </c>
      <c r="G3228" s="3" t="e">
        <f t="shared" si="113"/>
        <v>#VALUE!</v>
      </c>
      <c r="H3228" s="3" t="e">
        <f t="shared" si="112"/>
        <v>#VALUE!</v>
      </c>
      <c r="I3228" s="1">
        <v>1</v>
      </c>
    </row>
    <row r="3229" spans="1:9" x14ac:dyDescent="0.25">
      <c r="A3229" s="1" t="s">
        <v>14435</v>
      </c>
      <c r="B3229" s="1" t="s">
        <v>9501</v>
      </c>
      <c r="C3229" s="1" t="str">
        <f>IFERROR(VLOOKUP(B3229,'SB1'!$A$2:$B$999999,2,FALSE),"")</f>
        <v>COLORANTE CONCENTRADO PLAVICON PT ROJO X 1</v>
      </c>
      <c r="D3229" s="1" t="s">
        <v>14490</v>
      </c>
      <c r="E3229" s="3">
        <f>IFERROR(VLOOKUP(B3229,'DA1'!$B$2:$D$999999,3,FALSE),"")</f>
      </c>
      <c r="F3229" s="1" t="str">
        <f>IFERROR(VLOOKUP(B3229,'SB1'!$A$2:$C$999999,3,FALSE),"")</f>
        <v>503</v>
      </c>
      <c r="G3229" s="3" t="e">
        <f t="shared" si="113"/>
        <v>#VALUE!</v>
      </c>
      <c r="H3229" s="3" t="e">
        <f t="shared" si="112"/>
        <v>#VALUE!</v>
      </c>
      <c r="I3229" s="1">
        <v>1</v>
      </c>
    </row>
    <row r="3230" spans="1:9" x14ac:dyDescent="0.25">
      <c r="A3230" s="1" t="s">
        <v>14435</v>
      </c>
      <c r="B3230" s="1" t="s">
        <v>9503</v>
      </c>
      <c r="C3230" s="1" t="str">
        <f>IFERROR(VLOOKUP(B3230,'SB1'!$A$2:$B$999999,2,FALSE),"")</f>
        <v>COLORANTE CONCENTRADO PLAVICON RS ROJO X 1</v>
      </c>
      <c r="D3230" s="1" t="s">
        <v>14490</v>
      </c>
      <c r="E3230" s="3">
        <f>IFERROR(VLOOKUP(B3230,'DA1'!$B$2:$D$999999,3,FALSE),"")</f>
      </c>
      <c r="F3230" s="1" t="str">
        <f>IFERROR(VLOOKUP(B3230,'SB1'!$A$2:$C$999999,3,FALSE),"")</f>
        <v>503</v>
      </c>
      <c r="G3230" s="3" t="e">
        <f t="shared" si="113"/>
        <v>#VALUE!</v>
      </c>
      <c r="H3230" s="3" t="e">
        <f t="shared" si="112"/>
        <v>#VALUE!</v>
      </c>
      <c r="I3230" s="1">
        <v>1</v>
      </c>
    </row>
    <row r="3231" spans="1:9" x14ac:dyDescent="0.25">
      <c r="A3231" s="1" t="s">
        <v>14435</v>
      </c>
      <c r="B3231" s="1" t="s">
        <v>9505</v>
      </c>
      <c r="C3231" s="1" t="str">
        <f>IFERROR(VLOOKUP(B3231,'SB1'!$A$2:$B$999999,2,FALSE),"")</f>
        <v>COLORANTE CONCENTRADO PLAVICON VT ROJO X 1</v>
      </c>
      <c r="D3231" s="1" t="s">
        <v>14490</v>
      </c>
      <c r="E3231" s="3">
        <f>IFERROR(VLOOKUP(B3231,'DA1'!$B$2:$D$999999,3,FALSE),"")</f>
      </c>
      <c r="F3231" s="1" t="str">
        <f>IFERROR(VLOOKUP(B3231,'SB1'!$A$2:$C$999999,3,FALSE),"")</f>
        <v>503</v>
      </c>
      <c r="G3231" s="3" t="e">
        <f t="shared" si="113"/>
        <v>#VALUE!</v>
      </c>
      <c r="H3231" s="3" t="e">
        <f t="shared" si="112"/>
        <v>#VALUE!</v>
      </c>
      <c r="I3231" s="1">
        <v>1</v>
      </c>
    </row>
    <row r="3232" spans="1:9" x14ac:dyDescent="0.25">
      <c r="A3232" s="1" t="s">
        <v>14435</v>
      </c>
      <c r="B3232" s="1" t="s">
        <v>9507</v>
      </c>
      <c r="C3232" s="1" t="str">
        <f>IFERROR(VLOOKUP(B3232,'SB1'!$A$2:$B$999999,2,FALSE),"")</f>
        <v>COLORANTE CONCENTRADO PLAVICON KS AMARILLO X 1</v>
      </c>
      <c r="D3232" s="1" t="s">
        <v>14490</v>
      </c>
      <c r="E3232" s="3">
        <f>IFERROR(VLOOKUP(B3232,'DA1'!$B$2:$D$999999,3,FALSE),"")</f>
      </c>
      <c r="F3232" s="1" t="str">
        <f>IFERROR(VLOOKUP(B3232,'SB1'!$A$2:$C$999999,3,FALSE),"")</f>
        <v>503</v>
      </c>
      <c r="G3232" s="3" t="e">
        <f t="shared" si="113"/>
        <v>#VALUE!</v>
      </c>
      <c r="H3232" s="3" t="e">
        <f t="shared" si="112"/>
        <v>#VALUE!</v>
      </c>
      <c r="I3232" s="1">
        <v>1</v>
      </c>
    </row>
    <row r="3233" spans="1:9" x14ac:dyDescent="0.25">
      <c r="A3233" s="1" t="s">
        <v>14435</v>
      </c>
      <c r="B3233" s="1" t="s">
        <v>9509</v>
      </c>
      <c r="C3233" s="1" t="str">
        <f>IFERROR(VLOOKUP(B3233,'SB1'!$A$2:$B$999999,2,FALSE),"")</f>
        <v>COLORANTE CONCENTRADO PLAVICON US AMARILLO X 1</v>
      </c>
      <c r="D3233" s="1" t="s">
        <v>14490</v>
      </c>
      <c r="E3233" s="3">
        <f>IFERROR(VLOOKUP(B3233,'DA1'!$B$2:$D$999999,3,FALSE),"")</f>
      </c>
      <c r="F3233" s="1" t="str">
        <f>IFERROR(VLOOKUP(B3233,'SB1'!$A$2:$C$999999,3,FALSE),"")</f>
        <v>503</v>
      </c>
      <c r="G3233" s="3" t="e">
        <f t="shared" si="113"/>
        <v>#VALUE!</v>
      </c>
      <c r="H3233" s="3" t="e">
        <f t="shared" si="112"/>
        <v>#VALUE!</v>
      </c>
      <c r="I3233" s="1">
        <v>1</v>
      </c>
    </row>
    <row r="3234" spans="1:9" x14ac:dyDescent="0.25">
      <c r="A3234" s="1" t="s">
        <v>14435</v>
      </c>
      <c r="B3234" s="1" t="s">
        <v>9511</v>
      </c>
      <c r="C3234" s="1" t="str">
        <f>IFERROR(VLOOKUP(B3234,'SB1'!$A$2:$B$999999,2,FALSE),"")</f>
        <v>COLORANTE CONCENTRADO PLAVICON RT AMARILLO X 1</v>
      </c>
      <c r="D3234" s="1" t="s">
        <v>14490</v>
      </c>
      <c r="E3234" s="3">
        <f>IFERROR(VLOOKUP(B3234,'DA1'!$B$2:$D$999999,3,FALSE),"")</f>
      </c>
      <c r="F3234" s="1" t="str">
        <f>IFERROR(VLOOKUP(B3234,'SB1'!$A$2:$C$999999,3,FALSE),"")</f>
        <v>503</v>
      </c>
      <c r="G3234" s="3" t="e">
        <f t="shared" si="113"/>
        <v>#VALUE!</v>
      </c>
      <c r="H3234" s="3" t="e">
        <f t="shared" si="112"/>
        <v>#VALUE!</v>
      </c>
      <c r="I3234" s="1">
        <v>1</v>
      </c>
    </row>
    <row r="3235" spans="1:9" x14ac:dyDescent="0.25">
      <c r="A3235" s="1" t="s">
        <v>14435</v>
      </c>
      <c r="B3235" s="1" t="s">
        <v>9513</v>
      </c>
      <c r="C3235" s="1" t="str">
        <f>IFERROR(VLOOKUP(B3235,'SB1'!$A$2:$B$999999,2,FALSE),"")</f>
        <v>COLORANTE CONCENTRADO PLAVICON ZT AMARILLO X 1</v>
      </c>
      <c r="D3235" s="1" t="s">
        <v>14490</v>
      </c>
      <c r="E3235" s="3">
        <f>IFERROR(VLOOKUP(B3235,'DA1'!$B$2:$D$999999,3,FALSE),"")</f>
      </c>
      <c r="F3235" s="1" t="str">
        <f>IFERROR(VLOOKUP(B3235,'SB1'!$A$2:$C$999999,3,FALSE),"")</f>
        <v>503</v>
      </c>
      <c r="G3235" s="3" t="e">
        <f t="shared" si="113"/>
        <v>#VALUE!</v>
      </c>
      <c r="H3235" s="3" t="e">
        <f t="shared" si="112"/>
        <v>#VALUE!</v>
      </c>
      <c r="I3235" s="1">
        <v>1</v>
      </c>
    </row>
    <row r="3236" spans="1:9" x14ac:dyDescent="0.25">
      <c r="A3236" s="1" t="s">
        <v>14435</v>
      </c>
      <c r="B3236" s="1" t="s">
        <v>9515</v>
      </c>
      <c r="C3236" s="1" t="str">
        <f>IFERROR(VLOOKUP(B3236,'SB1'!$A$2:$B$999999,2,FALSE),"")</f>
        <v>COLORANTE CONCENTRADO PLAVICON TT NEGRO X 1</v>
      </c>
      <c r="D3236" s="1" t="s">
        <v>14490</v>
      </c>
      <c r="E3236" s="3">
        <f>IFERROR(VLOOKUP(B3236,'DA1'!$B$2:$D$999999,3,FALSE),"")</f>
      </c>
      <c r="F3236" s="1" t="str">
        <f>IFERROR(VLOOKUP(B3236,'SB1'!$A$2:$C$999999,3,FALSE),"")</f>
        <v>503</v>
      </c>
      <c r="G3236" s="3" t="e">
        <f t="shared" si="113"/>
        <v>#VALUE!</v>
      </c>
      <c r="H3236" s="3" t="e">
        <f t="shared" si="112"/>
        <v>#VALUE!</v>
      </c>
      <c r="I3236" s="1">
        <v>1</v>
      </c>
    </row>
    <row r="3237" spans="1:9" x14ac:dyDescent="0.25">
      <c r="A3237" s="1" t="s">
        <v>14435</v>
      </c>
      <c r="B3237" s="1" t="s">
        <v>9517</v>
      </c>
      <c r="C3237" s="1" t="str">
        <f>IFERROR(VLOOKUP(B3237,'SB1'!$A$2:$B$999999,2,FALSE),"")</f>
        <v>COLORANTE CONCENTRADO PLAVICON XT BLANCO X 1</v>
      </c>
      <c r="D3237" s="1" t="s">
        <v>14490</v>
      </c>
      <c r="E3237" s="3">
        <f>IFERROR(VLOOKUP(B3237,'DA1'!$B$2:$D$999999,3,FALSE),"")</f>
      </c>
      <c r="F3237" s="1" t="str">
        <f>IFERROR(VLOOKUP(B3237,'SB1'!$A$2:$C$999999,3,FALSE),"")</f>
        <v>503</v>
      </c>
      <c r="G3237" s="3" t="e">
        <f t="shared" si="113"/>
        <v>#VALUE!</v>
      </c>
      <c r="H3237" s="3" t="e">
        <f t="shared" si="112"/>
        <v>#VALUE!</v>
      </c>
      <c r="I3237" s="1">
        <v>1</v>
      </c>
    </row>
    <row r="3238" spans="1:9" x14ac:dyDescent="0.25">
      <c r="A3238" s="1" t="s">
        <v>14435</v>
      </c>
      <c r="B3238" s="1" t="s">
        <v>9599</v>
      </c>
      <c r="C3238" s="1" t="str">
        <f>IFERROR(VLOOKUP(B3238,'SB1'!$A$2:$B$999999,2,FALSE),"")</f>
        <v>D800.10 BARNIZ CONCEPT 2020 DELTRON X 5,000</v>
      </c>
      <c r="D3238" s="1" t="s">
        <v>14446</v>
      </c>
      <c r="E3238" s="3">
        <f>IFERROR(VLOOKUP(B3238,'DA1'!$B$2:$D$999999,3,FALSE),"")</f>
      </c>
      <c r="F3238" s="1" t="str">
        <f>IFERROR(VLOOKUP(B3238,'SB1'!$A$2:$C$999999,3,FALSE),"")</f>
        <v>503</v>
      </c>
      <c r="G3238" s="3" t="e">
        <f t="shared" si="113"/>
        <v>#VALUE!</v>
      </c>
      <c r="H3238" s="3" t="e">
        <f t="shared" si="112"/>
        <v>#VALUE!</v>
      </c>
      <c r="I3238" s="1">
        <v>3</v>
      </c>
    </row>
    <row r="3239" spans="1:9" x14ac:dyDescent="0.25">
      <c r="A3239" s="1" t="s">
        <v>14435</v>
      </c>
      <c r="B3239" s="1" t="s">
        <v>9601</v>
      </c>
      <c r="C3239" s="1" t="str">
        <f>IFERROR(VLOOKUP(B3239,'SB1'!$A$2:$B$999999,2,FALSE),"")</f>
        <v>HIDROFUGO ORGANICO EN PASTA CERESITA WEBER X  1</v>
      </c>
      <c r="D3239" s="1" t="s">
        <v>14488</v>
      </c>
      <c r="E3239" s="3">
        <f>IFERROR(VLOOKUP(B3239,'DA1'!$B$2:$D$999999,3,FALSE),"")</f>
      </c>
      <c r="F3239" s="1" t="str">
        <f>IFERROR(VLOOKUP(B3239,'SB1'!$A$2:$C$999999,3,FALSE),"")</f>
        <v>503</v>
      </c>
      <c r="G3239" s="3" t="e">
        <f t="shared" si="113"/>
        <v>#VALUE!</v>
      </c>
      <c r="H3239" s="3" t="e">
        <f t="shared" si="112"/>
        <v>#VALUE!</v>
      </c>
      <c r="I3239" s="1">
        <v>1</v>
      </c>
    </row>
    <row r="3240" spans="1:9" x14ac:dyDescent="0.25">
      <c r="A3240" s="1" t="s">
        <v>14435</v>
      </c>
      <c r="B3240" s="1" t="s">
        <v>9603</v>
      </c>
      <c r="C3240" s="1" t="str">
        <f>IFERROR(VLOOKUP(B3240,'SB1'!$A$2:$B$999999,2,FALSE),"")</f>
        <v>HIDROFUGO ORGANICO EN PASTA CERESITA WEBER X  4</v>
      </c>
      <c r="D3240" s="1" t="s">
        <v>14488</v>
      </c>
      <c r="E3240" s="3">
        <f>IFERROR(VLOOKUP(B3240,'DA1'!$B$2:$D$999999,3,FALSE),"")</f>
      </c>
      <c r="F3240" s="1" t="str">
        <f>IFERROR(VLOOKUP(B3240,'SB1'!$A$2:$C$999999,3,FALSE),"")</f>
        <v>503</v>
      </c>
      <c r="G3240" s="3" t="e">
        <f t="shared" si="113"/>
        <v>#VALUE!</v>
      </c>
      <c r="H3240" s="3" t="e">
        <f t="shared" si="112"/>
        <v>#VALUE!</v>
      </c>
      <c r="I3240" s="1">
        <v>1</v>
      </c>
    </row>
    <row r="3241" spans="1:9" x14ac:dyDescent="0.25">
      <c r="A3241" s="1" t="s">
        <v>14435</v>
      </c>
      <c r="B3241" s="1" t="s">
        <v>9605</v>
      </c>
      <c r="C3241" s="1" t="str">
        <f>IFERROR(VLOOKUP(B3241,'SB1'!$A$2:$B$999999,2,FALSE),"")</f>
        <v>HIDROFUGO ORGANICO EN PASTA CERESITA WEBER X 10</v>
      </c>
      <c r="D3241" s="1" t="s">
        <v>14488</v>
      </c>
      <c r="E3241" s="3">
        <f>IFERROR(VLOOKUP(B3241,'DA1'!$B$2:$D$999999,3,FALSE),"")</f>
      </c>
      <c r="F3241" s="1" t="str">
        <f>IFERROR(VLOOKUP(B3241,'SB1'!$A$2:$C$999999,3,FALSE),"")</f>
        <v>503</v>
      </c>
      <c r="G3241" s="3" t="e">
        <f t="shared" si="113"/>
        <v>#VALUE!</v>
      </c>
      <c r="H3241" s="3" t="e">
        <f t="shared" si="112"/>
        <v>#VALUE!</v>
      </c>
      <c r="I3241" s="1">
        <v>1</v>
      </c>
    </row>
    <row r="3242" spans="1:9" x14ac:dyDescent="0.25">
      <c r="A3242" s="1" t="s">
        <v>14435</v>
      </c>
      <c r="B3242" s="1" t="s">
        <v>9607</v>
      </c>
      <c r="C3242" s="1" t="str">
        <f>IFERROR(VLOOKUP(B3242,'SB1'!$A$2:$B$999999,2,FALSE),"")</f>
        <v>HIDROFUGO ORGANICO EN PASTA CERESITA WEBER X 20</v>
      </c>
      <c r="D3242" s="1" t="s">
        <v>14488</v>
      </c>
      <c r="E3242" s="3">
        <f>IFERROR(VLOOKUP(B3242,'DA1'!$B$2:$D$999999,3,FALSE),"")</f>
      </c>
      <c r="F3242" s="1" t="str">
        <f>IFERROR(VLOOKUP(B3242,'SB1'!$A$2:$C$999999,3,FALSE),"")</f>
        <v>503</v>
      </c>
      <c r="G3242" s="3" t="e">
        <f t="shared" si="113"/>
        <v>#VALUE!</v>
      </c>
      <c r="H3242" s="3" t="e">
        <f t="shared" si="112"/>
        <v>#VALUE!</v>
      </c>
      <c r="I3242" s="1">
        <v>1</v>
      </c>
    </row>
    <row r="3243" spans="1:9" x14ac:dyDescent="0.25">
      <c r="A3243" s="1" t="s">
        <v>14435</v>
      </c>
      <c r="B3243" s="1" t="s">
        <v>9609</v>
      </c>
      <c r="C3243" s="1" t="str">
        <f>IFERROR(VLOOKUP(B3243,'SB1'!$A$2:$B$999999,2,FALSE),"")</f>
        <v>HIDROFUGO ORGANICO EN PASTA CERESITA WEBER X 200</v>
      </c>
      <c r="D3243" s="1" t="s">
        <v>14488</v>
      </c>
      <c r="E3243" s="3">
        <f>IFERROR(VLOOKUP(B3243,'DA1'!$B$2:$D$999999,3,FALSE),"")</f>
      </c>
      <c r="F3243" s="1" t="str">
        <f>IFERROR(VLOOKUP(B3243,'SB1'!$A$2:$C$999999,3,FALSE),"")</f>
        <v>503</v>
      </c>
      <c r="G3243" s="3" t="e">
        <f t="shared" si="113"/>
        <v>#VALUE!</v>
      </c>
      <c r="H3243" s="3" t="e">
        <f t="shared" si="112"/>
        <v>#VALUE!</v>
      </c>
      <c r="I3243" s="1">
        <v>1</v>
      </c>
    </row>
    <row r="3244" spans="1:9" x14ac:dyDescent="0.25">
      <c r="A3244" s="1" t="s">
        <v>14435</v>
      </c>
      <c r="B3244" s="1" t="s">
        <v>9615</v>
      </c>
      <c r="C3244" s="1" t="str">
        <f>IFERROR(VLOOKUP(B3244,'SB1'!$A$2:$B$999999,2,FALSE),"")</f>
        <v>LATEX PARA CIELORRASOS TERSINOL MATE BLANCO X 10</v>
      </c>
      <c r="D3244" s="1" t="s">
        <v>14437</v>
      </c>
      <c r="E3244" s="3">
        <f>IFERROR(VLOOKUP(B3244,'DA1'!$B$2:$D$999999,3,FALSE),"")</f>
      </c>
      <c r="F3244" s="1" t="str">
        <f>IFERROR(VLOOKUP(B3244,'SB1'!$A$2:$C$999999,3,FALSE),"")</f>
        <v>503</v>
      </c>
      <c r="G3244" s="3" t="e">
        <f t="shared" si="113"/>
        <v>#VALUE!</v>
      </c>
      <c r="H3244" s="3" t="e">
        <f t="shared" si="112"/>
        <v>#VALUE!</v>
      </c>
      <c r="I3244" s="1">
        <v>1</v>
      </c>
    </row>
    <row r="3245" spans="1:9" x14ac:dyDescent="0.25">
      <c r="A3245" s="1" t="s">
        <v>14435</v>
      </c>
      <c r="B3245" s="1" t="s">
        <v>9617</v>
      </c>
      <c r="C3245" s="1" t="str">
        <f>IFERROR(VLOOKUP(B3245,'SB1'!$A$2:$B$999999,2,FALSE),"")</f>
        <v>LATEX PARA CIELORRASOS TERSINOL MATE BLANCO X 20</v>
      </c>
      <c r="D3245" s="1" t="s">
        <v>14437</v>
      </c>
      <c r="E3245" s="3">
        <f>IFERROR(VLOOKUP(B3245,'DA1'!$B$2:$D$999999,3,FALSE),"")</f>
      </c>
      <c r="F3245" s="1" t="str">
        <f>IFERROR(VLOOKUP(B3245,'SB1'!$A$2:$C$999999,3,FALSE),"")</f>
        <v>503</v>
      </c>
      <c r="G3245" s="3" t="e">
        <f t="shared" si="113"/>
        <v>#VALUE!</v>
      </c>
      <c r="H3245" s="3" t="e">
        <f t="shared" si="112"/>
        <v>#VALUE!</v>
      </c>
      <c r="I3245" s="1">
        <v>1</v>
      </c>
    </row>
    <row r="3246" spans="1:9" x14ac:dyDescent="0.25">
      <c r="A3246" s="1" t="s">
        <v>14435</v>
      </c>
      <c r="B3246" s="1" t="s">
        <v>9625</v>
      </c>
      <c r="C3246" s="1" t="str">
        <f>IFERROR(VLOOKUP(B3246,'SB1'!$A$2:$B$999999,2,FALSE),"")</f>
        <v>DILUYENTE DE BAJA POLARIDAD X 18</v>
      </c>
      <c r="D3246" s="1" t="s">
        <v>14472</v>
      </c>
      <c r="E3246" s="3">
        <f>IFERROR(VLOOKUP(B3246,'DA1'!$B$2:$D$999999,3,FALSE),"")</f>
      </c>
      <c r="F3246" s="1" t="str">
        <f>IFERROR(VLOOKUP(B3246,'SB1'!$A$2:$C$999999,3,FALSE),"")</f>
        <v>503</v>
      </c>
      <c r="G3246" s="3" t="e">
        <f t="shared" si="113"/>
        <v>#VALUE!</v>
      </c>
      <c r="H3246" s="3" t="e">
        <f t="shared" si="112"/>
        <v>#VALUE!</v>
      </c>
      <c r="I3246" s="1">
        <v>1</v>
      </c>
    </row>
    <row r="3247" spans="1:9" x14ac:dyDescent="0.25">
      <c r="A3247" s="1" t="s">
        <v>14435</v>
      </c>
      <c r="B3247" s="1" t="s">
        <v>9627</v>
      </c>
      <c r="C3247" s="1" t="str">
        <f>IFERROR(VLOOKUP(B3247,'SB1'!$A$2:$B$999999,2,FALSE),"")</f>
        <v>DILUYENTE DE BAJA POLARIDAD X 200</v>
      </c>
      <c r="D3247" s="1" t="s">
        <v>14472</v>
      </c>
      <c r="E3247" s="3">
        <f>IFERROR(VLOOKUP(B3247,'DA1'!$B$2:$D$999999,3,FALSE),"")</f>
      </c>
      <c r="F3247" s="1" t="str">
        <f>IFERROR(VLOOKUP(B3247,'SB1'!$A$2:$C$999999,3,FALSE),"")</f>
        <v>503</v>
      </c>
      <c r="G3247" s="3" t="e">
        <f t="shared" si="113"/>
        <v>#VALUE!</v>
      </c>
      <c r="H3247" s="3" t="e">
        <f t="shared" si="112"/>
        <v>#VALUE!</v>
      </c>
      <c r="I3247" s="1">
        <v>1</v>
      </c>
    </row>
    <row r="3248" spans="1:9" x14ac:dyDescent="0.25">
      <c r="A3248" s="1" t="s">
        <v>14435</v>
      </c>
      <c r="B3248" s="1" t="s">
        <v>9633</v>
      </c>
      <c r="C3248" s="1" t="str">
        <f>IFERROR(VLOOKUP(B3248,'SB1'!$A$2:$B$999999,2,FALSE),"")</f>
        <v>P425-987 MEDIUM COARSE X 3,5</v>
      </c>
      <c r="D3248" s="1" t="s">
        <v>14485</v>
      </c>
      <c r="E3248" s="3">
        <f>IFERROR(VLOOKUP(B3248,'DA1'!$B$2:$D$999999,3,FALSE),"")</f>
      </c>
      <c r="F3248" s="1" t="str">
        <f>IFERROR(VLOOKUP(B3248,'SB1'!$A$2:$C$999999,3,FALSE),"")</f>
        <v>503</v>
      </c>
      <c r="G3248" s="3" t="e">
        <f t="shared" si="113"/>
        <v>#VALUE!</v>
      </c>
      <c r="H3248" s="3" t="e">
        <f t="shared" si="112"/>
        <v>#VALUE!</v>
      </c>
      <c r="I3248" s="1">
        <v>3</v>
      </c>
    </row>
    <row r="3249" spans="1:9" x14ac:dyDescent="0.25">
      <c r="A3249" s="1" t="s">
        <v>14435</v>
      </c>
      <c r="B3249" s="1" t="s">
        <v>9639</v>
      </c>
      <c r="C3249" s="1" t="str">
        <f>IFERROR(VLOOKUP(B3249,'SB1'!$A$2:$B$999999,2,FALSE),"")</f>
        <v>REVOQUE FINO A LA CAL INTERIOR WEBER FINO BLANCO X 25</v>
      </c>
      <c r="D3249" s="1" t="s">
        <v>14488</v>
      </c>
      <c r="E3249" s="3">
        <f>IFERROR(VLOOKUP(B3249,'DA1'!$B$2:$D$999999,3,FALSE),"")</f>
      </c>
      <c r="F3249" s="1" t="str">
        <f>IFERROR(VLOOKUP(B3249,'SB1'!$A$2:$C$999999,3,FALSE),"")</f>
        <v>503</v>
      </c>
      <c r="G3249" s="3" t="e">
        <f t="shared" si="113"/>
        <v>#VALUE!</v>
      </c>
      <c r="H3249" s="3" t="e">
        <f t="shared" si="112"/>
        <v>#VALUE!</v>
      </c>
      <c r="I3249" s="1">
        <v>1</v>
      </c>
    </row>
    <row r="3250" spans="1:9" x14ac:dyDescent="0.25">
      <c r="A3250" s="1" t="s">
        <v>14435</v>
      </c>
      <c r="B3250" s="1" t="s">
        <v>9641</v>
      </c>
      <c r="C3250" s="1" t="str">
        <f>IFERROR(VLOOKUP(B3250,'SB1'!$A$2:$B$999999,2,FALSE),"")</f>
        <v>REVOQUE FINO A LA CAL EXTERIOR WEBER FORTE GRIS X 25</v>
      </c>
      <c r="D3250" s="1" t="s">
        <v>14488</v>
      </c>
      <c r="E3250" s="3">
        <f>IFERROR(VLOOKUP(B3250,'DA1'!$B$2:$D$999999,3,FALSE),"")</f>
      </c>
      <c r="F3250" s="1" t="str">
        <f>IFERROR(VLOOKUP(B3250,'SB1'!$A$2:$C$999999,3,FALSE),"")</f>
        <v>503</v>
      </c>
      <c r="G3250" s="3" t="e">
        <f t="shared" si="113"/>
        <v>#VALUE!</v>
      </c>
      <c r="H3250" s="3" t="e">
        <f t="shared" si="112"/>
        <v>#VALUE!</v>
      </c>
      <c r="I3250" s="1">
        <v>1</v>
      </c>
    </row>
    <row r="3251" spans="1:9" x14ac:dyDescent="0.25">
      <c r="A3251" s="1" t="s">
        <v>14435</v>
      </c>
      <c r="B3251" s="1" t="s">
        <v>9643</v>
      </c>
      <c r="C3251" s="1" t="str">
        <f>IFERROR(VLOOKUP(B3251,'SB1'!$A$2:$B$999999,2,FALSE),"")</f>
        <v>CINTA EMBALAJE RAPIFIX TRANSPARENTE (350) 24MM</v>
      </c>
      <c r="D3251" s="1" t="s">
        <v>14486</v>
      </c>
      <c r="E3251" s="3">
        <f>IFERROR(VLOOKUP(B3251,'DA1'!$B$2:$D$999999,3,FALSE),"")</f>
      </c>
      <c r="F3251" s="1" t="str">
        <f>IFERROR(VLOOKUP(B3251,'SB1'!$A$2:$C$999999,3,FALSE),"")</f>
        <v>503</v>
      </c>
      <c r="G3251" s="3" t="e">
        <f t="shared" si="113"/>
        <v>#VALUE!</v>
      </c>
      <c r="H3251" s="3" t="e">
        <f t="shared" si="112"/>
        <v>#VALUE!</v>
      </c>
      <c r="I3251" s="1">
        <v>2</v>
      </c>
    </row>
    <row r="3252" spans="1:9" x14ac:dyDescent="0.25">
      <c r="A3252" s="1" t="s">
        <v>14435</v>
      </c>
      <c r="B3252" s="1" t="s">
        <v>9645</v>
      </c>
      <c r="C3252" s="1" t="str">
        <f>IFERROR(VLOOKUP(B3252,'SB1'!$A$2:$B$999999,2,FALSE),"")</f>
        <v>CINTA EMBALAJE RAPIFIX TRANSPARENTE (350) 36MM</v>
      </c>
      <c r="D3252" s="1" t="s">
        <v>14486</v>
      </c>
      <c r="E3252" s="3">
        <f>IFERROR(VLOOKUP(B3252,'DA1'!$B$2:$D$999999,3,FALSE),"")</f>
      </c>
      <c r="F3252" s="1" t="str">
        <f>IFERROR(VLOOKUP(B3252,'SB1'!$A$2:$C$999999,3,FALSE),"")</f>
        <v>503</v>
      </c>
      <c r="G3252" s="3" t="e">
        <f t="shared" si="113"/>
        <v>#VALUE!</v>
      </c>
      <c r="H3252" s="3" t="e">
        <f t="shared" si="112"/>
        <v>#VALUE!</v>
      </c>
      <c r="I3252" s="1">
        <v>2</v>
      </c>
    </row>
    <row r="3253" spans="1:9" x14ac:dyDescent="0.25">
      <c r="A3253" s="1" t="s">
        <v>14435</v>
      </c>
      <c r="B3253" s="1" t="s">
        <v>9647</v>
      </c>
      <c r="C3253" s="1" t="str">
        <f>IFERROR(VLOOKUP(B3253,'SB1'!$A$2:$B$999999,2,FALSE),"")</f>
        <v>CINTA EMBALAJE RAPIFIX TRANSPARENTE (350) 48MM</v>
      </c>
      <c r="D3253" s="1" t="s">
        <v>14486</v>
      </c>
      <c r="E3253" s="3">
        <f>IFERROR(VLOOKUP(B3253,'DA1'!$B$2:$D$999999,3,FALSE),"")</f>
      </c>
      <c r="F3253" s="1" t="str">
        <f>IFERROR(VLOOKUP(B3253,'SB1'!$A$2:$C$999999,3,FALSE),"")</f>
        <v>503</v>
      </c>
      <c r="G3253" s="3" t="e">
        <f t="shared" si="113"/>
        <v>#VALUE!</v>
      </c>
      <c r="H3253" s="3" t="e">
        <f t="shared" si="112"/>
        <v>#VALUE!</v>
      </c>
      <c r="I3253" s="1">
        <v>2</v>
      </c>
    </row>
    <row r="3254" spans="1:8" x14ac:dyDescent="0.25">
      <c r="A3254" s="1" t="s">
        <v>14435</v>
      </c>
      <c r="B3254" s="1" t="s">
        <v>9653</v>
      </c>
      <c r="C3254" s="1" t="str">
        <f>IFERROR(VLOOKUP(B3254,'SB1'!$A$2:$B$999999,2,FALSE),"")</f>
        <v>MASILLA POLIESTER MULTIUSO TRIMAS X 1</v>
      </c>
      <c r="D3254" s="1" t="s">
        <v>14439</v>
      </c>
      <c r="E3254" s="3">
        <f>IFERROR(VLOOKUP(B3254,'DA1'!$B$2:$D$999999,3,FALSE),"")</f>
      </c>
      <c r="F3254" s="1" t="str">
        <f>IFERROR(VLOOKUP(B3254,'SB1'!$A$2:$C$999999,3,FALSE),"")</f>
        <v>503</v>
      </c>
      <c r="G3254" s="3" t="e">
        <f t="shared" si="113"/>
        <v>#VALUE!</v>
      </c>
      <c r="H3254" s="3" t="e">
        <f t="shared" si="112"/>
        <v>#VALUE!</v>
      </c>
    </row>
    <row r="3255" spans="1:9" x14ac:dyDescent="0.25">
      <c r="A3255" s="1" t="s">
        <v>14435</v>
      </c>
      <c r="B3255" s="1" t="s">
        <v>9661</v>
      </c>
      <c r="C3255" s="1" t="str">
        <f>IFERROR(VLOOKUP(B3255,'SB1'!$A$2:$B$999999,2,FALSE),"")</f>
        <v>PASTINA ALTA PRESTACIONES WEBER PRESTIGE NIEVE X 2</v>
      </c>
      <c r="D3255" s="1" t="s">
        <v>14488</v>
      </c>
      <c r="E3255" s="3">
        <f>IFERROR(VLOOKUP(B3255,'DA1'!$B$2:$D$999999,3,FALSE),"")</f>
      </c>
      <c r="F3255" s="1" t="str">
        <f>IFERROR(VLOOKUP(B3255,'SB1'!$A$2:$C$999999,3,FALSE),"")</f>
        <v>503</v>
      </c>
      <c r="G3255" s="3" t="e">
        <f t="shared" si="113"/>
        <v>#VALUE!</v>
      </c>
      <c r="H3255" s="3" t="e">
        <f t="shared" si="112"/>
        <v>#VALUE!</v>
      </c>
      <c r="I3255" s="1">
        <v>1</v>
      </c>
    </row>
    <row r="3256" spans="1:9" x14ac:dyDescent="0.25">
      <c r="A3256" s="1" t="s">
        <v>14435</v>
      </c>
      <c r="B3256" s="1" t="s">
        <v>9663</v>
      </c>
      <c r="C3256" s="1" t="str">
        <f>IFERROR(VLOOKUP(B3256,'SB1'!$A$2:$B$999999,2,FALSE),"")</f>
        <v>PASTINA ALTA PRESTACIONES WEBER PRESTIGE PERLATO X 2</v>
      </c>
      <c r="D3256" s="1" t="s">
        <v>14488</v>
      </c>
      <c r="E3256" s="3">
        <f>IFERROR(VLOOKUP(B3256,'DA1'!$B$2:$D$999999,3,FALSE),"")</f>
      </c>
      <c r="F3256" s="1" t="str">
        <f>IFERROR(VLOOKUP(B3256,'SB1'!$A$2:$C$999999,3,FALSE),"")</f>
        <v>503</v>
      </c>
      <c r="G3256" s="3" t="e">
        <f t="shared" si="113"/>
        <v>#VALUE!</v>
      </c>
      <c r="H3256" s="3" t="e">
        <f t="shared" si="112"/>
        <v>#VALUE!</v>
      </c>
      <c r="I3256" s="1">
        <v>1</v>
      </c>
    </row>
    <row r="3257" spans="1:9" x14ac:dyDescent="0.25">
      <c r="A3257" s="1" t="s">
        <v>14435</v>
      </c>
      <c r="B3257" s="1" t="s">
        <v>9665</v>
      </c>
      <c r="C3257" s="1" t="str">
        <f>IFERROR(VLOOKUP(B3257,'SB1'!$A$2:$B$999999,2,FALSE),"")</f>
        <v>PASTINA ALTA PRESTACIONES WEBER PRESTIGE CHAMPAGNE X 2</v>
      </c>
      <c r="D3257" s="1" t="s">
        <v>14488</v>
      </c>
      <c r="E3257" s="3">
        <f>IFERROR(VLOOKUP(B3257,'DA1'!$B$2:$D$999999,3,FALSE),"")</f>
      </c>
      <c r="F3257" s="1" t="str">
        <f>IFERROR(VLOOKUP(B3257,'SB1'!$A$2:$C$999999,3,FALSE),"")</f>
        <v>503</v>
      </c>
      <c r="G3257" s="3" t="e">
        <f t="shared" si="113"/>
        <v>#VALUE!</v>
      </c>
      <c r="H3257" s="3" t="e">
        <f t="shared" si="112"/>
        <v>#VALUE!</v>
      </c>
      <c r="I3257" s="1">
        <v>1</v>
      </c>
    </row>
    <row r="3258" spans="1:9" x14ac:dyDescent="0.25">
      <c r="A3258" s="1" t="s">
        <v>14435</v>
      </c>
      <c r="B3258" s="1" t="s">
        <v>9667</v>
      </c>
      <c r="C3258" s="1" t="str">
        <f>IFERROR(VLOOKUP(B3258,'SB1'!$A$2:$B$999999,2,FALSE),"")</f>
        <v>PASTINA ALTA PRESTACIONES WEBER PRESTIGE ARENA X 2</v>
      </c>
      <c r="D3258" s="1" t="s">
        <v>14488</v>
      </c>
      <c r="E3258" s="3">
        <f>IFERROR(VLOOKUP(B3258,'DA1'!$B$2:$D$999999,3,FALSE),"")</f>
      </c>
      <c r="F3258" s="1" t="str">
        <f>IFERROR(VLOOKUP(B3258,'SB1'!$A$2:$C$999999,3,FALSE),"")</f>
        <v>503</v>
      </c>
      <c r="G3258" s="3" t="e">
        <f t="shared" si="113"/>
        <v>#VALUE!</v>
      </c>
      <c r="H3258" s="3" t="e">
        <f t="shared" si="112"/>
        <v>#VALUE!</v>
      </c>
      <c r="I3258" s="1">
        <v>1</v>
      </c>
    </row>
    <row r="3259" spans="1:9" x14ac:dyDescent="0.25">
      <c r="A3259" s="1" t="s">
        <v>14435</v>
      </c>
      <c r="B3259" s="1" t="s">
        <v>9669</v>
      </c>
      <c r="C3259" s="1" t="str">
        <f>IFERROR(VLOOKUP(B3259,'SB1'!$A$2:$B$999999,2,FALSE),"")</f>
        <v>PASTINA ALTA PRESTACIONES WEBER PRESTIGE BEIGE X 2</v>
      </c>
      <c r="D3259" s="1" t="s">
        <v>14488</v>
      </c>
      <c r="E3259" s="3">
        <f>IFERROR(VLOOKUP(B3259,'DA1'!$B$2:$D$999999,3,FALSE),"")</f>
      </c>
      <c r="F3259" s="1" t="str">
        <f>IFERROR(VLOOKUP(B3259,'SB1'!$A$2:$C$999999,3,FALSE),"")</f>
        <v>503</v>
      </c>
      <c r="G3259" s="3" t="e">
        <f t="shared" si="113"/>
        <v>#VALUE!</v>
      </c>
      <c r="H3259" s="3" t="e">
        <f t="shared" si="112"/>
        <v>#VALUE!</v>
      </c>
      <c r="I3259" s="1">
        <v>1</v>
      </c>
    </row>
    <row r="3260" spans="1:9" x14ac:dyDescent="0.25">
      <c r="A3260" s="1" t="s">
        <v>14435</v>
      </c>
      <c r="B3260" s="1" t="s">
        <v>9671</v>
      </c>
      <c r="C3260" s="1" t="str">
        <f>IFERROR(VLOOKUP(B3260,'SB1'!$A$2:$B$999999,2,FALSE),"")</f>
        <v>PASTINA ALTA PRESTACIONES WEBER PRESTIGE TERRACOTA X 2</v>
      </c>
      <c r="D3260" s="1" t="s">
        <v>14488</v>
      </c>
      <c r="E3260" s="3">
        <f>IFERROR(VLOOKUP(B3260,'DA1'!$B$2:$D$999999,3,FALSE),"")</f>
      </c>
      <c r="F3260" s="1" t="str">
        <f>IFERROR(VLOOKUP(B3260,'SB1'!$A$2:$C$999999,3,FALSE),"")</f>
        <v>503</v>
      </c>
      <c r="G3260" s="3" t="e">
        <f t="shared" si="113"/>
        <v>#VALUE!</v>
      </c>
      <c r="H3260" s="3" t="e">
        <f t="shared" si="112"/>
        <v>#VALUE!</v>
      </c>
      <c r="I3260" s="1">
        <v>1</v>
      </c>
    </row>
    <row r="3261" spans="1:9" x14ac:dyDescent="0.25">
      <c r="A3261" s="1" t="s">
        <v>14435</v>
      </c>
      <c r="B3261" s="1" t="s">
        <v>9673</v>
      </c>
      <c r="C3261" s="1" t="str">
        <f>IFERROR(VLOOKUP(B3261,'SB1'!$A$2:$B$999999,2,FALSE),"")</f>
        <v>PASTINA ALTA PRESTACIONES WEBER PRESTIGE FERRICO X 2</v>
      </c>
      <c r="D3261" s="1" t="s">
        <v>14488</v>
      </c>
      <c r="E3261" s="3">
        <f>IFERROR(VLOOKUP(B3261,'DA1'!$B$2:$D$999999,3,FALSE),"")</f>
      </c>
      <c r="F3261" s="1" t="str">
        <f>IFERROR(VLOOKUP(B3261,'SB1'!$A$2:$C$999999,3,FALSE),"")</f>
        <v>503</v>
      </c>
      <c r="G3261" s="3" t="e">
        <f t="shared" si="113"/>
        <v>#VALUE!</v>
      </c>
      <c r="H3261" s="3" t="e">
        <f t="shared" si="112"/>
        <v>#VALUE!</v>
      </c>
      <c r="I3261" s="1">
        <v>1</v>
      </c>
    </row>
    <row r="3262" spans="1:9" x14ac:dyDescent="0.25">
      <c r="A3262" s="1" t="s">
        <v>14435</v>
      </c>
      <c r="B3262" s="1" t="s">
        <v>9675</v>
      </c>
      <c r="C3262" s="1" t="str">
        <f>IFERROR(VLOOKUP(B3262,'SB1'!$A$2:$B$999999,2,FALSE),"")</f>
        <v>PASTINA ALTA PRESTACIONES WEBER PRESTIGE TEJA X 2</v>
      </c>
      <c r="D3262" s="1" t="s">
        <v>14488</v>
      </c>
      <c r="E3262" s="3">
        <f>IFERROR(VLOOKUP(B3262,'DA1'!$B$2:$D$999999,3,FALSE),"")</f>
      </c>
      <c r="F3262" s="1" t="str">
        <f>IFERROR(VLOOKUP(B3262,'SB1'!$A$2:$C$999999,3,FALSE),"")</f>
        <v>503</v>
      </c>
      <c r="G3262" s="3" t="e">
        <f t="shared" si="113"/>
        <v>#VALUE!</v>
      </c>
      <c r="H3262" s="3" t="e">
        <f t="shared" ref="H3262:H3325" si="114">G3262*1.21</f>
        <v>#VALUE!</v>
      </c>
      <c r="I3262" s="1">
        <v>1</v>
      </c>
    </row>
    <row r="3263" spans="1:9" x14ac:dyDescent="0.25">
      <c r="A3263" s="1" t="s">
        <v>14435</v>
      </c>
      <c r="B3263" s="1" t="s">
        <v>9677</v>
      </c>
      <c r="C3263" s="1" t="str">
        <f>IFERROR(VLOOKUP(B3263,'SB1'!$A$2:$B$999999,2,FALSE),"")</f>
        <v>PASTINA ALTA PRESTACIONES WEBER PRESTIGE ANTILOPE X 2</v>
      </c>
      <c r="D3263" s="1" t="s">
        <v>14488</v>
      </c>
      <c r="E3263" s="3">
        <f>IFERROR(VLOOKUP(B3263,'DA1'!$B$2:$D$999999,3,FALSE),"")</f>
      </c>
      <c r="F3263" s="1" t="str">
        <f>IFERROR(VLOOKUP(B3263,'SB1'!$A$2:$C$999999,3,FALSE),"")</f>
        <v>503</v>
      </c>
      <c r="G3263" s="3" t="e">
        <f t="shared" si="113"/>
        <v>#VALUE!</v>
      </c>
      <c r="H3263" s="3" t="e">
        <f t="shared" si="114"/>
        <v>#VALUE!</v>
      </c>
      <c r="I3263" s="1">
        <v>1</v>
      </c>
    </row>
    <row r="3264" spans="1:9" x14ac:dyDescent="0.25">
      <c r="A3264" s="1" t="s">
        <v>14435</v>
      </c>
      <c r="B3264" s="1" t="s">
        <v>9679</v>
      </c>
      <c r="C3264" s="1" t="str">
        <f>IFERROR(VLOOKUP(B3264,'SB1'!$A$2:$B$999999,2,FALSE),"")</f>
        <v>PASTINA ALTA PRESTACIONES WEBER PRESTIGE HABANO X 2</v>
      </c>
      <c r="D3264" s="1" t="s">
        <v>14488</v>
      </c>
      <c r="E3264" s="3">
        <f>IFERROR(VLOOKUP(B3264,'DA1'!$B$2:$D$999999,3,FALSE),"")</f>
      </c>
      <c r="F3264" s="1" t="str">
        <f>IFERROR(VLOOKUP(B3264,'SB1'!$A$2:$C$999999,3,FALSE),"")</f>
        <v>503</v>
      </c>
      <c r="G3264" s="3" t="e">
        <f t="shared" si="113"/>
        <v>#VALUE!</v>
      </c>
      <c r="H3264" s="3" t="e">
        <f t="shared" si="114"/>
        <v>#VALUE!</v>
      </c>
      <c r="I3264" s="1">
        <v>1</v>
      </c>
    </row>
    <row r="3265" spans="1:9" x14ac:dyDescent="0.25">
      <c r="A3265" s="1" t="s">
        <v>14435</v>
      </c>
      <c r="B3265" s="1" t="s">
        <v>9681</v>
      </c>
      <c r="C3265" s="1" t="str">
        <f>IFERROR(VLOOKUP(B3265,'SB1'!$A$2:$B$999999,2,FALSE),"")</f>
        <v>PASTINA ALTA PRESTACIONES WEBER PRESTIGE JADE X 2</v>
      </c>
      <c r="D3265" s="1" t="s">
        <v>14488</v>
      </c>
      <c r="E3265" s="3">
        <f>IFERROR(VLOOKUP(B3265,'DA1'!$B$2:$D$999999,3,FALSE),"")</f>
      </c>
      <c r="F3265" s="1" t="str">
        <f>IFERROR(VLOOKUP(B3265,'SB1'!$A$2:$C$999999,3,FALSE),"")</f>
        <v>503</v>
      </c>
      <c r="G3265" s="3" t="e">
        <f t="shared" si="113"/>
        <v>#VALUE!</v>
      </c>
      <c r="H3265" s="3" t="e">
        <f t="shared" si="114"/>
        <v>#VALUE!</v>
      </c>
      <c r="I3265" s="1">
        <v>1</v>
      </c>
    </row>
    <row r="3266" spans="1:9" x14ac:dyDescent="0.25">
      <c r="A3266" s="1" t="s">
        <v>14435</v>
      </c>
      <c r="B3266" s="1" t="s">
        <v>9683</v>
      </c>
      <c r="C3266" s="1" t="str">
        <f>IFERROR(VLOOKUP(B3266,'SB1'!$A$2:$B$999999,2,FALSE),"")</f>
        <v>PASTINA ALTA PRESTACIONES WEBER PRESTIGE PLATA X 2</v>
      </c>
      <c r="D3266" s="1" t="s">
        <v>14488</v>
      </c>
      <c r="E3266" s="3">
        <f>IFERROR(VLOOKUP(B3266,'DA1'!$B$2:$D$999999,3,FALSE),"")</f>
      </c>
      <c r="F3266" s="1" t="str">
        <f>IFERROR(VLOOKUP(B3266,'SB1'!$A$2:$C$999999,3,FALSE),"")</f>
        <v>503</v>
      </c>
      <c r="G3266" s="3" t="e">
        <f t="shared" si="113"/>
        <v>#VALUE!</v>
      </c>
      <c r="H3266" s="3" t="e">
        <f t="shared" si="114"/>
        <v>#VALUE!</v>
      </c>
      <c r="I3266" s="1">
        <v>1</v>
      </c>
    </row>
    <row r="3267" spans="1:9" x14ac:dyDescent="0.25">
      <c r="A3267" s="1" t="s">
        <v>14435</v>
      </c>
      <c r="B3267" s="1" t="s">
        <v>9685</v>
      </c>
      <c r="C3267" s="1" t="str">
        <f>IFERROR(VLOOKUP(B3267,'SB1'!$A$2:$B$999999,2,FALSE),"")</f>
        <v>PASTINA ALTA PRESTACIONES WEBER PRESTIGE PLOMO X 2</v>
      </c>
      <c r="D3267" s="1" t="s">
        <v>14488</v>
      </c>
      <c r="E3267" s="3">
        <f>IFERROR(VLOOKUP(B3267,'DA1'!$B$2:$D$999999,3,FALSE),"")</f>
      </c>
      <c r="F3267" s="1" t="str">
        <f>IFERROR(VLOOKUP(B3267,'SB1'!$A$2:$C$999999,3,FALSE),"")</f>
        <v>503</v>
      </c>
      <c r="G3267" s="3" t="e">
        <f t="shared" ref="G3267:G3330" si="115">E3267*1.04</f>
        <v>#VALUE!</v>
      </c>
      <c r="H3267" s="3" t="e">
        <f t="shared" si="114"/>
        <v>#VALUE!</v>
      </c>
      <c r="I3267" s="1">
        <v>1</v>
      </c>
    </row>
    <row r="3268" spans="1:9" x14ac:dyDescent="0.25">
      <c r="A3268" s="1" t="s">
        <v>14435</v>
      </c>
      <c r="B3268" s="1" t="s">
        <v>9687</v>
      </c>
      <c r="C3268" s="1" t="str">
        <f>IFERROR(VLOOKUP(B3268,'SB1'!$A$2:$B$999999,2,FALSE),"")</f>
        <v>PASTINA ALTA PRESTACIONES WEBER PRESTIGE NEGRO X 2</v>
      </c>
      <c r="D3268" s="1" t="s">
        <v>14488</v>
      </c>
      <c r="E3268" s="3">
        <f>IFERROR(VLOOKUP(B3268,'DA1'!$B$2:$D$999999,3,FALSE),"")</f>
      </c>
      <c r="F3268" s="1" t="str">
        <f>IFERROR(VLOOKUP(B3268,'SB1'!$A$2:$C$999999,3,FALSE),"")</f>
        <v>503</v>
      </c>
      <c r="G3268" s="3" t="e">
        <f t="shared" si="115"/>
        <v>#VALUE!</v>
      </c>
      <c r="H3268" s="3" t="e">
        <f t="shared" si="114"/>
        <v>#VALUE!</v>
      </c>
      <c r="I3268" s="1">
        <v>1</v>
      </c>
    </row>
    <row r="3269" spans="1:9" x14ac:dyDescent="0.25">
      <c r="A3269" s="1" t="s">
        <v>14435</v>
      </c>
      <c r="B3269" s="1" t="s">
        <v>9689</v>
      </c>
      <c r="C3269" s="1" t="str">
        <f>IFERROR(VLOOKUP(B3269,'SB1'!$A$2:$B$999999,2,FALSE),"")</f>
        <v>PASTINA ALTA PRESTACIONES WEBER PRESTIGE GRIS PERLA X 2</v>
      </c>
      <c r="D3269" s="1" t="s">
        <v>14488</v>
      </c>
      <c r="E3269" s="3">
        <f>IFERROR(VLOOKUP(B3269,'DA1'!$B$2:$D$999999,3,FALSE),"")</f>
      </c>
      <c r="F3269" s="1" t="str">
        <f>IFERROR(VLOOKUP(B3269,'SB1'!$A$2:$C$999999,3,FALSE),"")</f>
        <v>503</v>
      </c>
      <c r="G3269" s="3" t="e">
        <f t="shared" si="115"/>
        <v>#VALUE!</v>
      </c>
      <c r="H3269" s="3" t="e">
        <f t="shared" si="114"/>
        <v>#VALUE!</v>
      </c>
      <c r="I3269" s="1">
        <v>1</v>
      </c>
    </row>
    <row r="3270" spans="1:9" x14ac:dyDescent="0.25">
      <c r="A3270" s="1" t="s">
        <v>14435</v>
      </c>
      <c r="B3270" s="1" t="s">
        <v>9691</v>
      </c>
      <c r="C3270" s="1" t="str">
        <f>IFERROR(VLOOKUP(B3270,'SB1'!$A$2:$B$999999,2,FALSE),"")</f>
        <v>PASTINA ALTA PRESTACIONES WEBER PRESTIGE MEDANO X 2</v>
      </c>
      <c r="D3270" s="1" t="s">
        <v>14488</v>
      </c>
      <c r="E3270" s="3">
        <f>IFERROR(VLOOKUP(B3270,'DA1'!$B$2:$D$999999,3,FALSE),"")</f>
      </c>
      <c r="F3270" s="1" t="str">
        <f>IFERROR(VLOOKUP(B3270,'SB1'!$A$2:$C$999999,3,FALSE),"")</f>
        <v>503</v>
      </c>
      <c r="G3270" s="3" t="e">
        <f t="shared" si="115"/>
        <v>#VALUE!</v>
      </c>
      <c r="H3270" s="3" t="e">
        <f t="shared" si="114"/>
        <v>#VALUE!</v>
      </c>
      <c r="I3270" s="1">
        <v>1</v>
      </c>
    </row>
    <row r="3271" spans="1:9" x14ac:dyDescent="0.25">
      <c r="A3271" s="1" t="s">
        <v>14435</v>
      </c>
      <c r="B3271" s="1" t="s">
        <v>9693</v>
      </c>
      <c r="C3271" s="1" t="str">
        <f>IFERROR(VLOOKUP(B3271,'SB1'!$A$2:$B$999999,2,FALSE),"")</f>
        <v>PASTINA ALTA PRESTACIONES WEBER PRESTIGE NIEBLA X 2</v>
      </c>
      <c r="D3271" s="1" t="s">
        <v>14488</v>
      </c>
      <c r="E3271" s="3">
        <f>IFERROR(VLOOKUP(B3271,'DA1'!$B$2:$D$999999,3,FALSE),"")</f>
      </c>
      <c r="F3271" s="1" t="str">
        <f>IFERROR(VLOOKUP(B3271,'SB1'!$A$2:$C$999999,3,FALSE),"")</f>
        <v>503</v>
      </c>
      <c r="G3271" s="3" t="e">
        <f t="shared" si="115"/>
        <v>#VALUE!</v>
      </c>
      <c r="H3271" s="3" t="e">
        <f t="shared" si="114"/>
        <v>#VALUE!</v>
      </c>
      <c r="I3271" s="1">
        <v>1</v>
      </c>
    </row>
    <row r="3272" spans="1:9" x14ac:dyDescent="0.25">
      <c r="A3272" s="1" t="s">
        <v>14435</v>
      </c>
      <c r="B3272" s="1" t="s">
        <v>9695</v>
      </c>
      <c r="C3272" s="1" t="str">
        <f>IFERROR(VLOOKUP(B3272,'SB1'!$A$2:$B$999999,2,FALSE),"")</f>
        <v>PASTINA ALTA PRESTACIONES WEBER PRESTIGE HUESO X 2</v>
      </c>
      <c r="D3272" s="1" t="s">
        <v>14488</v>
      </c>
      <c r="E3272" s="3">
        <f>IFERROR(VLOOKUP(B3272,'DA1'!$B$2:$D$999999,3,FALSE),"")</f>
      </c>
      <c r="F3272" s="1" t="str">
        <f>IFERROR(VLOOKUP(B3272,'SB1'!$A$2:$C$999999,3,FALSE),"")</f>
        <v>503</v>
      </c>
      <c r="G3272" s="3" t="e">
        <f t="shared" si="115"/>
        <v>#VALUE!</v>
      </c>
      <c r="H3272" s="3" t="e">
        <f t="shared" si="114"/>
        <v>#VALUE!</v>
      </c>
      <c r="I3272" s="1">
        <v>1</v>
      </c>
    </row>
    <row r="3273" spans="1:9" x14ac:dyDescent="0.25">
      <c r="A3273" s="1" t="s">
        <v>14435</v>
      </c>
      <c r="B3273" s="1" t="s">
        <v>9697</v>
      </c>
      <c r="C3273" s="1" t="str">
        <f>IFERROR(VLOOKUP(B3273,'SB1'!$A$2:$B$999999,2,FALSE),"")</f>
        <v>PASTINA ALTA PRESTACIONES WEBER PRESTIGE ATLANTICO X 2</v>
      </c>
      <c r="D3273" s="1" t="s">
        <v>14488</v>
      </c>
      <c r="E3273" s="3">
        <f>IFERROR(VLOOKUP(B3273,'DA1'!$B$2:$D$999999,3,FALSE),"")</f>
      </c>
      <c r="F3273" s="1" t="str">
        <f>IFERROR(VLOOKUP(B3273,'SB1'!$A$2:$C$999999,3,FALSE),"")</f>
        <v>503</v>
      </c>
      <c r="G3273" s="3" t="e">
        <f t="shared" si="115"/>
        <v>#VALUE!</v>
      </c>
      <c r="H3273" s="3" t="e">
        <f t="shared" si="114"/>
        <v>#VALUE!</v>
      </c>
      <c r="I3273" s="1">
        <v>1</v>
      </c>
    </row>
    <row r="3274" spans="1:9" x14ac:dyDescent="0.25">
      <c r="A3274" s="1" t="s">
        <v>14435</v>
      </c>
      <c r="B3274" s="1" t="s">
        <v>9699</v>
      </c>
      <c r="C3274" s="1" t="str">
        <f>IFERROR(VLOOKUP(B3274,'SB1'!$A$2:$B$999999,2,FALSE),"")</f>
        <v>PASTINA ALTA PRESTACIONES WEBER PRESTIGE CENIZA X 2</v>
      </c>
      <c r="D3274" s="1" t="s">
        <v>14488</v>
      </c>
      <c r="E3274" s="3">
        <f>IFERROR(VLOOKUP(B3274,'DA1'!$B$2:$D$999999,3,FALSE),"")</f>
      </c>
      <c r="F3274" s="1" t="str">
        <f>IFERROR(VLOOKUP(B3274,'SB1'!$A$2:$C$999999,3,FALSE),"")</f>
        <v>503</v>
      </c>
      <c r="G3274" s="3" t="e">
        <f t="shared" si="115"/>
        <v>#VALUE!</v>
      </c>
      <c r="H3274" s="3" t="e">
        <f t="shared" si="114"/>
        <v>#VALUE!</v>
      </c>
      <c r="I3274" s="1">
        <v>1</v>
      </c>
    </row>
    <row r="3275" spans="1:9" x14ac:dyDescent="0.25">
      <c r="A3275" s="1" t="s">
        <v>14435</v>
      </c>
      <c r="B3275" s="1" t="s">
        <v>9701</v>
      </c>
      <c r="C3275" s="1" t="str">
        <f>IFERROR(VLOOKUP(B3275,'SB1'!$A$2:$B$999999,2,FALSE),"")</f>
        <v>PASTINA ALTA PRESTACIONES WEBER PRESTIGE CEDRO X 2</v>
      </c>
      <c r="D3275" s="1" t="s">
        <v>14488</v>
      </c>
      <c r="E3275" s="3">
        <f>IFERROR(VLOOKUP(B3275,'DA1'!$B$2:$D$999999,3,FALSE),"")</f>
      </c>
      <c r="F3275" s="1" t="str">
        <f>IFERROR(VLOOKUP(B3275,'SB1'!$A$2:$C$999999,3,FALSE),"")</f>
        <v>503</v>
      </c>
      <c r="G3275" s="3" t="e">
        <f t="shared" si="115"/>
        <v>#VALUE!</v>
      </c>
      <c r="H3275" s="3" t="e">
        <f t="shared" si="114"/>
        <v>#VALUE!</v>
      </c>
      <c r="I3275" s="1">
        <v>1</v>
      </c>
    </row>
    <row r="3276" spans="1:9" x14ac:dyDescent="0.25">
      <c r="A3276" s="1" t="s">
        <v>14435</v>
      </c>
      <c r="B3276" s="1" t="s">
        <v>9703</v>
      </c>
      <c r="C3276" s="1" t="str">
        <f>IFERROR(VLOOKUP(B3276,'SB1'!$A$2:$B$999999,2,FALSE),"")</f>
        <v>PASTINA ALTA PRESTACIONES WEBER PRESTIGE ROBLE X 2</v>
      </c>
      <c r="D3276" s="1" t="s">
        <v>14488</v>
      </c>
      <c r="E3276" s="3">
        <f>IFERROR(VLOOKUP(B3276,'DA1'!$B$2:$D$999999,3,FALSE),"")</f>
      </c>
      <c r="F3276" s="1" t="str">
        <f>IFERROR(VLOOKUP(B3276,'SB1'!$A$2:$C$999999,3,FALSE),"")</f>
        <v>503</v>
      </c>
      <c r="G3276" s="3" t="e">
        <f t="shared" si="115"/>
        <v>#VALUE!</v>
      </c>
      <c r="H3276" s="3" t="e">
        <f t="shared" si="114"/>
        <v>#VALUE!</v>
      </c>
      <c r="I3276" s="1">
        <v>1</v>
      </c>
    </row>
    <row r="3277" spans="1:9" x14ac:dyDescent="0.25">
      <c r="A3277" s="1" t="s">
        <v>14435</v>
      </c>
      <c r="B3277" s="1" t="s">
        <v>9705</v>
      </c>
      <c r="C3277" s="1" t="str">
        <f>IFERROR(VLOOKUP(B3277,'SB1'!$A$2:$B$999999,2,FALSE),"")</f>
        <v>PASTINA ALTA PRESTACIONES WEBER PRESTIGE OLMO X 2</v>
      </c>
      <c r="D3277" s="1" t="s">
        <v>14488</v>
      </c>
      <c r="E3277" s="3">
        <f>IFERROR(VLOOKUP(B3277,'DA1'!$B$2:$D$999999,3,FALSE),"")</f>
      </c>
      <c r="F3277" s="1" t="str">
        <f>IFERROR(VLOOKUP(B3277,'SB1'!$A$2:$C$999999,3,FALSE),"")</f>
        <v>503</v>
      </c>
      <c r="G3277" s="3" t="e">
        <f t="shared" si="115"/>
        <v>#VALUE!</v>
      </c>
      <c r="H3277" s="3" t="e">
        <f t="shared" si="114"/>
        <v>#VALUE!</v>
      </c>
      <c r="I3277" s="1">
        <v>1</v>
      </c>
    </row>
    <row r="3278" spans="1:9" x14ac:dyDescent="0.25">
      <c r="A3278" s="1" t="s">
        <v>14435</v>
      </c>
      <c r="B3278" s="1" t="s">
        <v>9707</v>
      </c>
      <c r="C3278" s="1" t="str">
        <f>IFERROR(VLOOKUP(B3278,'SB1'!$A$2:$B$999999,2,FALSE),"")</f>
        <v>PASTINA ALTA PRESTACIONES WEBER PRESTIGE IRON X 2</v>
      </c>
      <c r="D3278" s="1" t="s">
        <v>14488</v>
      </c>
      <c r="E3278" s="3">
        <f>IFERROR(VLOOKUP(B3278,'DA1'!$B$2:$D$999999,3,FALSE),"")</f>
      </c>
      <c r="F3278" s="1" t="str">
        <f>IFERROR(VLOOKUP(B3278,'SB1'!$A$2:$C$999999,3,FALSE),"")</f>
        <v>503</v>
      </c>
      <c r="G3278" s="3" t="e">
        <f t="shared" si="115"/>
        <v>#VALUE!</v>
      </c>
      <c r="H3278" s="3" t="e">
        <f t="shared" si="114"/>
        <v>#VALUE!</v>
      </c>
      <c r="I3278" s="1">
        <v>1</v>
      </c>
    </row>
    <row r="3279" spans="1:9" x14ac:dyDescent="0.25">
      <c r="A3279" s="1" t="s">
        <v>14435</v>
      </c>
      <c r="B3279" s="1" t="s">
        <v>9709</v>
      </c>
      <c r="C3279" s="1" t="str">
        <f>IFERROR(VLOOKUP(B3279,'SB1'!$A$2:$B$999999,2,FALSE),"")</f>
        <v>PASTINA ALTA PRESTACIONES WEBER PRESTIGE CALACATTA X 2</v>
      </c>
      <c r="D3279" s="1" t="s">
        <v>14488</v>
      </c>
      <c r="E3279" s="3">
        <f>IFERROR(VLOOKUP(B3279,'DA1'!$B$2:$D$999999,3,FALSE),"")</f>
      </c>
      <c r="F3279" s="1" t="str">
        <f>IFERROR(VLOOKUP(B3279,'SB1'!$A$2:$C$999999,3,FALSE),"")</f>
        <v>503</v>
      </c>
      <c r="G3279" s="3" t="e">
        <f t="shared" si="115"/>
        <v>#VALUE!</v>
      </c>
      <c r="H3279" s="3" t="e">
        <f t="shared" si="114"/>
        <v>#VALUE!</v>
      </c>
      <c r="I3279" s="1">
        <v>1</v>
      </c>
    </row>
    <row r="3280" spans="1:9" x14ac:dyDescent="0.25">
      <c r="A3280" s="1" t="s">
        <v>14435</v>
      </c>
      <c r="B3280" s="1" t="s">
        <v>9711</v>
      </c>
      <c r="C3280" s="1" t="str">
        <f>IFERROR(VLOOKUP(B3280,'SB1'!$A$2:$B$999999,2,FALSE),"")</f>
        <v>PINTURA ASFALTICA SECADO RAPIDO MEGAFLEX X 200</v>
      </c>
      <c r="D3280" s="1" t="s">
        <v>14466</v>
      </c>
      <c r="E3280" s="3">
        <f>IFERROR(VLOOKUP(B3280,'DA1'!$B$2:$D$999999,3,FALSE),"")</f>
      </c>
      <c r="F3280" s="1" t="str">
        <f>IFERROR(VLOOKUP(B3280,'SB1'!$A$2:$C$999999,3,FALSE),"")</f>
        <v>503</v>
      </c>
      <c r="G3280" s="3" t="e">
        <f t="shared" si="115"/>
        <v>#VALUE!</v>
      </c>
      <c r="H3280" s="3" t="e">
        <f t="shared" si="114"/>
        <v>#VALUE!</v>
      </c>
      <c r="I3280" s="1">
        <v>1</v>
      </c>
    </row>
    <row r="3281" spans="1:9" x14ac:dyDescent="0.25">
      <c r="A3281" s="1" t="s">
        <v>14435</v>
      </c>
      <c r="B3281" s="1" t="s">
        <v>9729</v>
      </c>
      <c r="C3281" s="1" t="str">
        <f>IFERROR(VLOOKUP(B3281,'SB1'!$A$2:$B$999999,2,FALSE),"")</f>
        <v>IMPREGNANTE PENTA STAIN + INSECTICIDA BRILLANTE CAOBA X  1</v>
      </c>
      <c r="D3281" s="1" t="s">
        <v>14449</v>
      </c>
      <c r="E3281" s="3">
        <f>IFERROR(VLOOKUP(B3281,'DA1'!$B$2:$D$999999,3,FALSE),"")</f>
      </c>
      <c r="F3281" s="1" t="str">
        <f>IFERROR(VLOOKUP(B3281,'SB1'!$A$2:$C$999999,3,FALSE),"")</f>
        <v>503</v>
      </c>
      <c r="G3281" s="3" t="e">
        <f t="shared" si="115"/>
        <v>#VALUE!</v>
      </c>
      <c r="H3281" s="3" t="e">
        <f t="shared" si="114"/>
        <v>#VALUE!</v>
      </c>
      <c r="I3281" s="1">
        <v>1</v>
      </c>
    </row>
    <row r="3282" spans="1:9" x14ac:dyDescent="0.25">
      <c r="A3282" s="1" t="s">
        <v>14435</v>
      </c>
      <c r="B3282" s="1" t="s">
        <v>9731</v>
      </c>
      <c r="C3282" s="1" t="str">
        <f>IFERROR(VLOOKUP(B3282,'SB1'!$A$2:$B$999999,2,FALSE),"")</f>
        <v>IMPREGNANTE PENTA STAIN + INSECTICIDA BRILLANTE CAOBA X  4</v>
      </c>
      <c r="D3282" s="1" t="s">
        <v>14449</v>
      </c>
      <c r="E3282" s="3">
        <f>IFERROR(VLOOKUP(B3282,'DA1'!$B$2:$D$999999,3,FALSE),"")</f>
      </c>
      <c r="F3282" s="1" t="str">
        <f>IFERROR(VLOOKUP(B3282,'SB1'!$A$2:$C$999999,3,FALSE),"")</f>
        <v>503</v>
      </c>
      <c r="G3282" s="3" t="e">
        <f t="shared" si="115"/>
        <v>#VALUE!</v>
      </c>
      <c r="H3282" s="3" t="e">
        <f t="shared" si="114"/>
        <v>#VALUE!</v>
      </c>
      <c r="I3282" s="1">
        <v>1</v>
      </c>
    </row>
    <row r="3283" spans="1:9" x14ac:dyDescent="0.25">
      <c r="A3283" s="1" t="s">
        <v>14435</v>
      </c>
      <c r="B3283" s="1" t="s">
        <v>9733</v>
      </c>
      <c r="C3283" s="1" t="str">
        <f>IFERROR(VLOOKUP(B3283,'SB1'!$A$2:$B$999999,2,FALSE),"")</f>
        <v>IMPREGNANTE PENTA STAIN + INSECTICIDA BRILLANTE CAOBA X 10</v>
      </c>
      <c r="D3283" s="1" t="s">
        <v>14449</v>
      </c>
      <c r="E3283" s="3">
        <f>IFERROR(VLOOKUP(B3283,'DA1'!$B$2:$D$999999,3,FALSE),"")</f>
      </c>
      <c r="F3283" s="1" t="str">
        <f>IFERROR(VLOOKUP(B3283,'SB1'!$A$2:$C$999999,3,FALSE),"")</f>
        <v>503</v>
      </c>
      <c r="G3283" s="3" t="e">
        <f t="shared" si="115"/>
        <v>#VALUE!</v>
      </c>
      <c r="H3283" s="3" t="e">
        <f t="shared" si="114"/>
        <v>#VALUE!</v>
      </c>
      <c r="I3283" s="1">
        <v>1</v>
      </c>
    </row>
    <row r="3284" spans="1:9" x14ac:dyDescent="0.25">
      <c r="A3284" s="1" t="s">
        <v>14435</v>
      </c>
      <c r="B3284" s="1" t="s">
        <v>9735</v>
      </c>
      <c r="C3284" s="1" t="str">
        <f>IFERROR(VLOOKUP(B3284,'SB1'!$A$2:$B$999999,2,FALSE),"")</f>
        <v>IMPREGNANTE PENTA STAIN + INSECTICIDA BRILLANTE CAOBA X 20</v>
      </c>
      <c r="D3284" s="1" t="s">
        <v>14449</v>
      </c>
      <c r="E3284" s="3">
        <f>IFERROR(VLOOKUP(B3284,'DA1'!$B$2:$D$999999,3,FALSE),"")</f>
      </c>
      <c r="F3284" s="1" t="str">
        <f>IFERROR(VLOOKUP(B3284,'SB1'!$A$2:$C$999999,3,FALSE),"")</f>
        <v>503</v>
      </c>
      <c r="G3284" s="3" t="e">
        <f t="shared" si="115"/>
        <v>#VALUE!</v>
      </c>
      <c r="H3284" s="3" t="e">
        <f t="shared" si="114"/>
        <v>#VALUE!</v>
      </c>
      <c r="I3284" s="1">
        <v>1</v>
      </c>
    </row>
    <row r="3285" spans="1:9" x14ac:dyDescent="0.25">
      <c r="A3285" s="1" t="s">
        <v>14435</v>
      </c>
      <c r="B3285" s="1" t="s">
        <v>9737</v>
      </c>
      <c r="C3285" s="1" t="str">
        <f>IFERROR(VLOOKUP(B3285,'SB1'!$A$2:$B$999999,2,FALSE),"")</f>
        <v>IMPREGNANTE PENTA STAIN + INSECTICIDA BRILLANTE CEDRO X  1</v>
      </c>
      <c r="D3285" s="1" t="s">
        <v>14449</v>
      </c>
      <c r="E3285" s="3">
        <f>IFERROR(VLOOKUP(B3285,'DA1'!$B$2:$D$999999,3,FALSE),"")</f>
      </c>
      <c r="F3285" s="1" t="str">
        <f>IFERROR(VLOOKUP(B3285,'SB1'!$A$2:$C$999999,3,FALSE),"")</f>
        <v>503</v>
      </c>
      <c r="G3285" s="3" t="e">
        <f t="shared" si="115"/>
        <v>#VALUE!</v>
      </c>
      <c r="H3285" s="3" t="e">
        <f t="shared" si="114"/>
        <v>#VALUE!</v>
      </c>
      <c r="I3285" s="1">
        <v>1</v>
      </c>
    </row>
    <row r="3286" spans="1:9" x14ac:dyDescent="0.25">
      <c r="A3286" s="1" t="s">
        <v>14435</v>
      </c>
      <c r="B3286" s="1" t="s">
        <v>9739</v>
      </c>
      <c r="C3286" s="1" t="str">
        <f>IFERROR(VLOOKUP(B3286,'SB1'!$A$2:$B$999999,2,FALSE),"")</f>
        <v>IMPREGNANTE PENTA STAIN + INSECTICIDA BRILLANTE CEDRO X  4</v>
      </c>
      <c r="D3286" s="1" t="s">
        <v>14449</v>
      </c>
      <c r="E3286" s="3">
        <f>IFERROR(VLOOKUP(B3286,'DA1'!$B$2:$D$999999,3,FALSE),"")</f>
      </c>
      <c r="F3286" s="1" t="str">
        <f>IFERROR(VLOOKUP(B3286,'SB1'!$A$2:$C$999999,3,FALSE),"")</f>
        <v>503</v>
      </c>
      <c r="G3286" s="3" t="e">
        <f t="shared" si="115"/>
        <v>#VALUE!</v>
      </c>
      <c r="H3286" s="3" t="e">
        <f t="shared" si="114"/>
        <v>#VALUE!</v>
      </c>
      <c r="I3286" s="1">
        <v>1</v>
      </c>
    </row>
    <row r="3287" spans="1:9" x14ac:dyDescent="0.25">
      <c r="A3287" s="1" t="s">
        <v>14435</v>
      </c>
      <c r="B3287" s="1" t="s">
        <v>9741</v>
      </c>
      <c r="C3287" s="1" t="str">
        <f>IFERROR(VLOOKUP(B3287,'SB1'!$A$2:$B$999999,2,FALSE),"")</f>
        <v>IMPREGNANTE PENTA STAIN + INSECTICIDA BRILLANTE CEDRO X 10</v>
      </c>
      <c r="D3287" s="1" t="s">
        <v>14449</v>
      </c>
      <c r="E3287" s="3">
        <f>IFERROR(VLOOKUP(B3287,'DA1'!$B$2:$D$999999,3,FALSE),"")</f>
      </c>
      <c r="F3287" s="1" t="str">
        <f>IFERROR(VLOOKUP(B3287,'SB1'!$A$2:$C$999999,3,FALSE),"")</f>
        <v>503</v>
      </c>
      <c r="G3287" s="3" t="e">
        <f t="shared" si="115"/>
        <v>#VALUE!</v>
      </c>
      <c r="H3287" s="3" t="e">
        <f t="shared" si="114"/>
        <v>#VALUE!</v>
      </c>
      <c r="I3287" s="1">
        <v>1</v>
      </c>
    </row>
    <row r="3288" spans="1:9" x14ac:dyDescent="0.25">
      <c r="A3288" s="1" t="s">
        <v>14435</v>
      </c>
      <c r="B3288" s="1" t="s">
        <v>9743</v>
      </c>
      <c r="C3288" s="1" t="str">
        <f>IFERROR(VLOOKUP(B3288,'SB1'!$A$2:$B$999999,2,FALSE),"")</f>
        <v>IMPREGNANTE PENTA STAIN + INSECTICIDA BRILLANTE CEDRO X 20</v>
      </c>
      <c r="D3288" s="1" t="s">
        <v>14449</v>
      </c>
      <c r="E3288" s="3">
        <f>IFERROR(VLOOKUP(B3288,'DA1'!$B$2:$D$999999,3,FALSE),"")</f>
      </c>
      <c r="F3288" s="1" t="str">
        <f>IFERROR(VLOOKUP(B3288,'SB1'!$A$2:$C$999999,3,FALSE),"")</f>
        <v>503</v>
      </c>
      <c r="G3288" s="3" t="e">
        <f t="shared" si="115"/>
        <v>#VALUE!</v>
      </c>
      <c r="H3288" s="3" t="e">
        <f t="shared" si="114"/>
        <v>#VALUE!</v>
      </c>
      <c r="I3288" s="1">
        <v>1</v>
      </c>
    </row>
    <row r="3289" spans="1:9" x14ac:dyDescent="0.25">
      <c r="A3289" s="1" t="s">
        <v>14435</v>
      </c>
      <c r="B3289" s="1" t="s">
        <v>9745</v>
      </c>
      <c r="C3289" s="1" t="str">
        <f>IFERROR(VLOOKUP(B3289,'SB1'!$A$2:$B$999999,2,FALSE),"")</f>
        <v>IMPREGNANTE PENTA STAIN + INSECTICIDA BRILLANTE CRISTAL X  1</v>
      </c>
      <c r="D3289" s="1" t="s">
        <v>14449</v>
      </c>
      <c r="E3289" s="3">
        <f>IFERROR(VLOOKUP(B3289,'DA1'!$B$2:$D$999999,3,FALSE),"")</f>
      </c>
      <c r="F3289" s="1" t="str">
        <f>IFERROR(VLOOKUP(B3289,'SB1'!$A$2:$C$999999,3,FALSE),"")</f>
        <v>503</v>
      </c>
      <c r="G3289" s="3" t="e">
        <f t="shared" si="115"/>
        <v>#VALUE!</v>
      </c>
      <c r="H3289" s="3" t="e">
        <f t="shared" si="114"/>
        <v>#VALUE!</v>
      </c>
      <c r="I3289" s="1">
        <v>1</v>
      </c>
    </row>
    <row r="3290" spans="1:9" x14ac:dyDescent="0.25">
      <c r="A3290" s="1" t="s">
        <v>14435</v>
      </c>
      <c r="B3290" s="1" t="s">
        <v>9747</v>
      </c>
      <c r="C3290" s="1" t="str">
        <f>IFERROR(VLOOKUP(B3290,'SB1'!$A$2:$B$999999,2,FALSE),"")</f>
        <v>IMPREGNANTE PENTA STAIN + INSECTICIDA BRILLANTE CRISTAL X  4</v>
      </c>
      <c r="D3290" s="1" t="s">
        <v>14449</v>
      </c>
      <c r="E3290" s="3">
        <f>IFERROR(VLOOKUP(B3290,'DA1'!$B$2:$D$999999,3,FALSE),"")</f>
      </c>
      <c r="F3290" s="1" t="str">
        <f>IFERROR(VLOOKUP(B3290,'SB1'!$A$2:$C$999999,3,FALSE),"")</f>
        <v>503</v>
      </c>
      <c r="G3290" s="3" t="e">
        <f t="shared" si="115"/>
        <v>#VALUE!</v>
      </c>
      <c r="H3290" s="3" t="e">
        <f t="shared" si="114"/>
        <v>#VALUE!</v>
      </c>
      <c r="I3290" s="1">
        <v>1</v>
      </c>
    </row>
    <row r="3291" spans="1:9" x14ac:dyDescent="0.25">
      <c r="A3291" s="1" t="s">
        <v>14435</v>
      </c>
      <c r="B3291" s="1" t="s">
        <v>9749</v>
      </c>
      <c r="C3291" s="1" t="str">
        <f>IFERROR(VLOOKUP(B3291,'SB1'!$A$2:$B$999999,2,FALSE),"")</f>
        <v>IMPREGNANTE PENTA STAIN + INSECTICIDA BRILLANTE CRISTAL X 10</v>
      </c>
      <c r="D3291" s="1" t="s">
        <v>14449</v>
      </c>
      <c r="E3291" s="3">
        <f>IFERROR(VLOOKUP(B3291,'DA1'!$B$2:$D$999999,3,FALSE),"")</f>
      </c>
      <c r="F3291" s="1" t="str">
        <f>IFERROR(VLOOKUP(B3291,'SB1'!$A$2:$C$999999,3,FALSE),"")</f>
        <v>503</v>
      </c>
      <c r="G3291" s="3" t="e">
        <f t="shared" si="115"/>
        <v>#VALUE!</v>
      </c>
      <c r="H3291" s="3" t="e">
        <f t="shared" si="114"/>
        <v>#VALUE!</v>
      </c>
      <c r="I3291" s="1">
        <v>1</v>
      </c>
    </row>
    <row r="3292" spans="1:9" x14ac:dyDescent="0.25">
      <c r="A3292" s="1" t="s">
        <v>14435</v>
      </c>
      <c r="B3292" s="1" t="s">
        <v>9751</v>
      </c>
      <c r="C3292" s="1" t="str">
        <f>IFERROR(VLOOKUP(B3292,'SB1'!$A$2:$B$999999,2,FALSE),"")</f>
        <v>IMPREGNANTE PENTA STAIN + INSECTICIDA BRILLANTE CRISTAL X 20</v>
      </c>
      <c r="D3292" s="1" t="s">
        <v>14449</v>
      </c>
      <c r="E3292" s="3">
        <f>IFERROR(VLOOKUP(B3292,'DA1'!$B$2:$D$999999,3,FALSE),"")</f>
      </c>
      <c r="F3292" s="1" t="str">
        <f>IFERROR(VLOOKUP(B3292,'SB1'!$A$2:$C$999999,3,FALSE),"")</f>
        <v>503</v>
      </c>
      <c r="G3292" s="3" t="e">
        <f t="shared" si="115"/>
        <v>#VALUE!</v>
      </c>
      <c r="H3292" s="3" t="e">
        <f t="shared" si="114"/>
        <v>#VALUE!</v>
      </c>
      <c r="I3292" s="1">
        <v>1</v>
      </c>
    </row>
    <row r="3293" spans="1:9" x14ac:dyDescent="0.25">
      <c r="A3293" s="1" t="s">
        <v>14435</v>
      </c>
      <c r="B3293" s="1" t="s">
        <v>9753</v>
      </c>
      <c r="C3293" s="1" t="str">
        <f>IFERROR(VLOOKUP(B3293,'SB1'!$A$2:$B$999999,2,FALSE),"")</f>
        <v>IMPREGNANTE PENTA STAIN + INSECTICIDA BRILLANTE NATURAL X  1</v>
      </c>
      <c r="D3293" s="1" t="s">
        <v>14449</v>
      </c>
      <c r="E3293" s="3">
        <f>IFERROR(VLOOKUP(B3293,'DA1'!$B$2:$D$999999,3,FALSE),"")</f>
      </c>
      <c r="F3293" s="1" t="str">
        <f>IFERROR(VLOOKUP(B3293,'SB1'!$A$2:$C$999999,3,FALSE),"")</f>
        <v>503</v>
      </c>
      <c r="G3293" s="3" t="e">
        <f t="shared" si="115"/>
        <v>#VALUE!</v>
      </c>
      <c r="H3293" s="3" t="e">
        <f t="shared" si="114"/>
        <v>#VALUE!</v>
      </c>
      <c r="I3293" s="1">
        <v>1</v>
      </c>
    </row>
    <row r="3294" spans="1:9" x14ac:dyDescent="0.25">
      <c r="A3294" s="1" t="s">
        <v>14435</v>
      </c>
      <c r="B3294" s="1" t="s">
        <v>9755</v>
      </c>
      <c r="C3294" s="1" t="str">
        <f>IFERROR(VLOOKUP(B3294,'SB1'!$A$2:$B$999999,2,FALSE),"")</f>
        <v>IMPREGNANTE PENTA STAIN + INSECTICIDA BRILLANTE NATURAL X  4</v>
      </c>
      <c r="D3294" s="1" t="s">
        <v>14449</v>
      </c>
      <c r="E3294" s="3">
        <f>IFERROR(VLOOKUP(B3294,'DA1'!$B$2:$D$999999,3,FALSE),"")</f>
      </c>
      <c r="F3294" s="1" t="str">
        <f>IFERROR(VLOOKUP(B3294,'SB1'!$A$2:$C$999999,3,FALSE),"")</f>
        <v>503</v>
      </c>
      <c r="G3294" s="3" t="e">
        <f t="shared" si="115"/>
        <v>#VALUE!</v>
      </c>
      <c r="H3294" s="3" t="e">
        <f t="shared" si="114"/>
        <v>#VALUE!</v>
      </c>
      <c r="I3294" s="1">
        <v>1</v>
      </c>
    </row>
    <row r="3295" spans="1:9" x14ac:dyDescent="0.25">
      <c r="A3295" s="1" t="s">
        <v>14435</v>
      </c>
      <c r="B3295" s="1" t="s">
        <v>9757</v>
      </c>
      <c r="C3295" s="1" t="str">
        <f>IFERROR(VLOOKUP(B3295,'SB1'!$A$2:$B$999999,2,FALSE),"")</f>
        <v>IMPREGNANTE PENTA STAIN + INSECTICIDA BRILLANTE NATURAL X 10</v>
      </c>
      <c r="D3295" s="1" t="s">
        <v>14449</v>
      </c>
      <c r="E3295" s="3">
        <f>IFERROR(VLOOKUP(B3295,'DA1'!$B$2:$D$999999,3,FALSE),"")</f>
      </c>
      <c r="F3295" s="1" t="str">
        <f>IFERROR(VLOOKUP(B3295,'SB1'!$A$2:$C$999999,3,FALSE),"")</f>
        <v>503</v>
      </c>
      <c r="G3295" s="3" t="e">
        <f t="shared" si="115"/>
        <v>#VALUE!</v>
      </c>
      <c r="H3295" s="3" t="e">
        <f t="shared" si="114"/>
        <v>#VALUE!</v>
      </c>
      <c r="I3295" s="1">
        <v>1</v>
      </c>
    </row>
    <row r="3296" spans="1:9" x14ac:dyDescent="0.25">
      <c r="A3296" s="1" t="s">
        <v>14435</v>
      </c>
      <c r="B3296" s="1" t="s">
        <v>9759</v>
      </c>
      <c r="C3296" s="1" t="str">
        <f>IFERROR(VLOOKUP(B3296,'SB1'!$A$2:$B$999999,2,FALSE),"")</f>
        <v>IMPREGNANTE PENTA STAIN + INSECTICIDA BRILLANTE NATURAL X 20</v>
      </c>
      <c r="D3296" s="1" t="s">
        <v>14449</v>
      </c>
      <c r="E3296" s="3">
        <f>IFERROR(VLOOKUP(B3296,'DA1'!$B$2:$D$999999,3,FALSE),"")</f>
      </c>
      <c r="F3296" s="1" t="str">
        <f>IFERROR(VLOOKUP(B3296,'SB1'!$A$2:$C$999999,3,FALSE),"")</f>
        <v>503</v>
      </c>
      <c r="G3296" s="3" t="e">
        <f t="shared" si="115"/>
        <v>#VALUE!</v>
      </c>
      <c r="H3296" s="3" t="e">
        <f t="shared" si="114"/>
        <v>#VALUE!</v>
      </c>
      <c r="I3296" s="1">
        <v>1</v>
      </c>
    </row>
    <row r="3297" spans="1:9" x14ac:dyDescent="0.25">
      <c r="A3297" s="1" t="s">
        <v>14435</v>
      </c>
      <c r="B3297" s="1" t="s">
        <v>9761</v>
      </c>
      <c r="C3297" s="1" t="str">
        <f>IFERROR(VLOOKUP(B3297,'SB1'!$A$2:$B$999999,2,FALSE),"")</f>
        <v>IMPREGNANTE PENTA STAIN + INSECTICIDA BRILLANTE NOGAL X  1</v>
      </c>
      <c r="D3297" s="1" t="s">
        <v>14449</v>
      </c>
      <c r="E3297" s="3">
        <f>IFERROR(VLOOKUP(B3297,'DA1'!$B$2:$D$999999,3,FALSE),"")</f>
      </c>
      <c r="F3297" s="1" t="str">
        <f>IFERROR(VLOOKUP(B3297,'SB1'!$A$2:$C$999999,3,FALSE),"")</f>
        <v>503</v>
      </c>
      <c r="G3297" s="3" t="e">
        <f t="shared" si="115"/>
        <v>#VALUE!</v>
      </c>
      <c r="H3297" s="3" t="e">
        <f t="shared" si="114"/>
        <v>#VALUE!</v>
      </c>
      <c r="I3297" s="1">
        <v>1</v>
      </c>
    </row>
    <row r="3298" spans="1:9" x14ac:dyDescent="0.25">
      <c r="A3298" s="1" t="s">
        <v>14435</v>
      </c>
      <c r="B3298" s="1" t="s">
        <v>9763</v>
      </c>
      <c r="C3298" s="1" t="str">
        <f>IFERROR(VLOOKUP(B3298,'SB1'!$A$2:$B$999999,2,FALSE),"")</f>
        <v>IMPREGNANTE PENTA STAIN + INSECTICIDA BRILLANTE NOGAL X  4</v>
      </c>
      <c r="D3298" s="1" t="s">
        <v>14449</v>
      </c>
      <c r="E3298" s="3">
        <f>IFERROR(VLOOKUP(B3298,'DA1'!$B$2:$D$999999,3,FALSE),"")</f>
      </c>
      <c r="F3298" s="1" t="str">
        <f>IFERROR(VLOOKUP(B3298,'SB1'!$A$2:$C$999999,3,FALSE),"")</f>
        <v>503</v>
      </c>
      <c r="G3298" s="3" t="e">
        <f t="shared" si="115"/>
        <v>#VALUE!</v>
      </c>
      <c r="H3298" s="3" t="e">
        <f t="shared" si="114"/>
        <v>#VALUE!</v>
      </c>
      <c r="I3298" s="1">
        <v>1</v>
      </c>
    </row>
    <row r="3299" spans="1:9" x14ac:dyDescent="0.25">
      <c r="A3299" s="1" t="s">
        <v>14435</v>
      </c>
      <c r="B3299" s="1" t="s">
        <v>9765</v>
      </c>
      <c r="C3299" s="1" t="str">
        <f>IFERROR(VLOOKUP(B3299,'SB1'!$A$2:$B$999999,2,FALSE),"")</f>
        <v>IMPREGNANTE PENTA STAIN + INSECTICIDA BRILLANTE NOGAL X 10</v>
      </c>
      <c r="D3299" s="1" t="s">
        <v>14449</v>
      </c>
      <c r="E3299" s="3">
        <f>IFERROR(VLOOKUP(B3299,'DA1'!$B$2:$D$999999,3,FALSE),"")</f>
      </c>
      <c r="F3299" s="1" t="str">
        <f>IFERROR(VLOOKUP(B3299,'SB1'!$A$2:$C$999999,3,FALSE),"")</f>
        <v>503</v>
      </c>
      <c r="G3299" s="3" t="e">
        <f t="shared" si="115"/>
        <v>#VALUE!</v>
      </c>
      <c r="H3299" s="3" t="e">
        <f t="shared" si="114"/>
        <v>#VALUE!</v>
      </c>
      <c r="I3299" s="1">
        <v>1</v>
      </c>
    </row>
    <row r="3300" spans="1:9" x14ac:dyDescent="0.25">
      <c r="A3300" s="1" t="s">
        <v>14435</v>
      </c>
      <c r="B3300" s="1" t="s">
        <v>9767</v>
      </c>
      <c r="C3300" s="1" t="str">
        <f>IFERROR(VLOOKUP(B3300,'SB1'!$A$2:$B$999999,2,FALSE),"")</f>
        <v>IMPREGNANTE PENTA STAIN + INSECTICIDA BRILLANTE NOGAL X 20</v>
      </c>
      <c r="D3300" s="1" t="s">
        <v>14449</v>
      </c>
      <c r="E3300" s="3">
        <f>IFERROR(VLOOKUP(B3300,'DA1'!$B$2:$D$999999,3,FALSE),"")</f>
      </c>
      <c r="F3300" s="1" t="str">
        <f>IFERROR(VLOOKUP(B3300,'SB1'!$A$2:$C$999999,3,FALSE),"")</f>
        <v>503</v>
      </c>
      <c r="G3300" s="3" t="e">
        <f t="shared" si="115"/>
        <v>#VALUE!</v>
      </c>
      <c r="H3300" s="3" t="e">
        <f t="shared" si="114"/>
        <v>#VALUE!</v>
      </c>
      <c r="I3300" s="1">
        <v>1</v>
      </c>
    </row>
    <row r="3301" spans="1:9" x14ac:dyDescent="0.25">
      <c r="A3301" s="1" t="s">
        <v>14435</v>
      </c>
      <c r="B3301" s="1" t="s">
        <v>9769</v>
      </c>
      <c r="C3301" s="1" t="str">
        <f>IFERROR(VLOOKUP(B3301,'SB1'!$A$2:$B$999999,2,FALSE),"")</f>
        <v>IMPREGNANTE PENTA STAIN + INSECTICIDA BRILLANTE ROBLE X  1</v>
      </c>
      <c r="D3301" s="1" t="s">
        <v>14449</v>
      </c>
      <c r="E3301" s="3">
        <f>IFERROR(VLOOKUP(B3301,'DA1'!$B$2:$D$999999,3,FALSE),"")</f>
      </c>
      <c r="F3301" s="1" t="str">
        <f>IFERROR(VLOOKUP(B3301,'SB1'!$A$2:$C$999999,3,FALSE),"")</f>
        <v>503</v>
      </c>
      <c r="G3301" s="3" t="e">
        <f t="shared" si="115"/>
        <v>#VALUE!</v>
      </c>
      <c r="H3301" s="3" t="e">
        <f t="shared" si="114"/>
        <v>#VALUE!</v>
      </c>
      <c r="I3301" s="1">
        <v>1</v>
      </c>
    </row>
    <row r="3302" spans="1:9" x14ac:dyDescent="0.25">
      <c r="A3302" s="1" t="s">
        <v>14435</v>
      </c>
      <c r="B3302" s="1" t="s">
        <v>9771</v>
      </c>
      <c r="C3302" s="1" t="str">
        <f>IFERROR(VLOOKUP(B3302,'SB1'!$A$2:$B$999999,2,FALSE),"")</f>
        <v>IMPREGNANTE PENTA STAIN + INSECTICIDA BRILLANTE ROBLE X  4</v>
      </c>
      <c r="D3302" s="1" t="s">
        <v>14449</v>
      </c>
      <c r="E3302" s="3">
        <f>IFERROR(VLOOKUP(B3302,'DA1'!$B$2:$D$999999,3,FALSE),"")</f>
      </c>
      <c r="F3302" s="1" t="str">
        <f>IFERROR(VLOOKUP(B3302,'SB1'!$A$2:$C$999999,3,FALSE),"")</f>
        <v>503</v>
      </c>
      <c r="G3302" s="3" t="e">
        <f t="shared" si="115"/>
        <v>#VALUE!</v>
      </c>
      <c r="H3302" s="3" t="e">
        <f t="shared" si="114"/>
        <v>#VALUE!</v>
      </c>
      <c r="I3302" s="1">
        <v>1</v>
      </c>
    </row>
    <row r="3303" spans="1:9" x14ac:dyDescent="0.25">
      <c r="A3303" s="1" t="s">
        <v>14435</v>
      </c>
      <c r="B3303" s="1" t="s">
        <v>9773</v>
      </c>
      <c r="C3303" s="1" t="str">
        <f>IFERROR(VLOOKUP(B3303,'SB1'!$A$2:$B$999999,2,FALSE),"")</f>
        <v>IMPREGNANTE PENTA STAIN + INSECTICIDA BRILLANTE ROBLE X 10</v>
      </c>
      <c r="D3303" s="1" t="s">
        <v>14449</v>
      </c>
      <c r="E3303" s="3">
        <f>IFERROR(VLOOKUP(B3303,'DA1'!$B$2:$D$999999,3,FALSE),"")</f>
      </c>
      <c r="F3303" s="1" t="str">
        <f>IFERROR(VLOOKUP(B3303,'SB1'!$A$2:$C$999999,3,FALSE),"")</f>
        <v>503</v>
      </c>
      <c r="G3303" s="3" t="e">
        <f t="shared" si="115"/>
        <v>#VALUE!</v>
      </c>
      <c r="H3303" s="3" t="e">
        <f t="shared" si="114"/>
        <v>#VALUE!</v>
      </c>
      <c r="I3303" s="1">
        <v>1</v>
      </c>
    </row>
    <row r="3304" spans="1:9" x14ac:dyDescent="0.25">
      <c r="A3304" s="1" t="s">
        <v>14435</v>
      </c>
      <c r="B3304" s="1" t="s">
        <v>9775</v>
      </c>
      <c r="C3304" s="1" t="str">
        <f>IFERROR(VLOOKUP(B3304,'SB1'!$A$2:$B$999999,2,FALSE),"")</f>
        <v>IMPREGNANTE PENTA STAIN + INSECTICIDA BRILLANTE ROBLE X 20</v>
      </c>
      <c r="D3304" s="1" t="s">
        <v>14449</v>
      </c>
      <c r="E3304" s="3">
        <f>IFERROR(VLOOKUP(B3304,'DA1'!$B$2:$D$999999,3,FALSE),"")</f>
      </c>
      <c r="F3304" s="1" t="str">
        <f>IFERROR(VLOOKUP(B3304,'SB1'!$A$2:$C$999999,3,FALSE),"")</f>
        <v>503</v>
      </c>
      <c r="G3304" s="3" t="e">
        <f t="shared" si="115"/>
        <v>#VALUE!</v>
      </c>
      <c r="H3304" s="3" t="e">
        <f t="shared" si="114"/>
        <v>#VALUE!</v>
      </c>
      <c r="I3304" s="1">
        <v>1</v>
      </c>
    </row>
    <row r="3305" spans="1:9" x14ac:dyDescent="0.25">
      <c r="A3305" s="1" t="s">
        <v>14435</v>
      </c>
      <c r="B3305" s="1" t="s">
        <v>9777</v>
      </c>
      <c r="C3305" s="1" t="str">
        <f>IFERROR(VLOOKUP(B3305,'SB1'!$A$2:$B$999999,2,FALSE),"")</f>
        <v>IMPREGNANTE PENTA STAIN + INSECTICIDA SATINADO CAOBA X  1</v>
      </c>
      <c r="D3305" s="1" t="s">
        <v>14449</v>
      </c>
      <c r="E3305" s="3">
        <f>IFERROR(VLOOKUP(B3305,'DA1'!$B$2:$D$999999,3,FALSE),"")</f>
      </c>
      <c r="F3305" s="1" t="str">
        <f>IFERROR(VLOOKUP(B3305,'SB1'!$A$2:$C$999999,3,FALSE),"")</f>
        <v>503</v>
      </c>
      <c r="G3305" s="3" t="e">
        <f t="shared" si="115"/>
        <v>#VALUE!</v>
      </c>
      <c r="H3305" s="3" t="e">
        <f t="shared" si="114"/>
        <v>#VALUE!</v>
      </c>
      <c r="I3305" s="1">
        <v>1</v>
      </c>
    </row>
    <row r="3306" spans="1:9" x14ac:dyDescent="0.25">
      <c r="A3306" s="1" t="s">
        <v>14435</v>
      </c>
      <c r="B3306" s="1" t="s">
        <v>9779</v>
      </c>
      <c r="C3306" s="1" t="str">
        <f>IFERROR(VLOOKUP(B3306,'SB1'!$A$2:$B$999999,2,FALSE),"")</f>
        <v>IMPREGNANTE PENTA STAIN + INSECTICIDA SATINADO CAOBA X  4</v>
      </c>
      <c r="D3306" s="1" t="s">
        <v>14449</v>
      </c>
      <c r="E3306" s="3">
        <f>IFERROR(VLOOKUP(B3306,'DA1'!$B$2:$D$999999,3,FALSE),"")</f>
      </c>
      <c r="F3306" s="1" t="str">
        <f>IFERROR(VLOOKUP(B3306,'SB1'!$A$2:$C$999999,3,FALSE),"")</f>
        <v>503</v>
      </c>
      <c r="G3306" s="3" t="e">
        <f t="shared" si="115"/>
        <v>#VALUE!</v>
      </c>
      <c r="H3306" s="3" t="e">
        <f t="shared" si="114"/>
        <v>#VALUE!</v>
      </c>
      <c r="I3306" s="1">
        <v>1</v>
      </c>
    </row>
    <row r="3307" spans="1:9" x14ac:dyDescent="0.25">
      <c r="A3307" s="1" t="s">
        <v>14435</v>
      </c>
      <c r="B3307" s="1" t="s">
        <v>9781</v>
      </c>
      <c r="C3307" s="1" t="str">
        <f>IFERROR(VLOOKUP(B3307,'SB1'!$A$2:$B$999999,2,FALSE),"")</f>
        <v>IMPREGNANTE PENTA STAIN + INSECTICIDA SATINADO CAOBA X 10</v>
      </c>
      <c r="D3307" s="1" t="s">
        <v>14449</v>
      </c>
      <c r="E3307" s="3">
        <f>IFERROR(VLOOKUP(B3307,'DA1'!$B$2:$D$999999,3,FALSE),"")</f>
      </c>
      <c r="F3307" s="1" t="str">
        <f>IFERROR(VLOOKUP(B3307,'SB1'!$A$2:$C$999999,3,FALSE),"")</f>
        <v>503</v>
      </c>
      <c r="G3307" s="3" t="e">
        <f t="shared" si="115"/>
        <v>#VALUE!</v>
      </c>
      <c r="H3307" s="3" t="e">
        <f t="shared" si="114"/>
        <v>#VALUE!</v>
      </c>
      <c r="I3307" s="1">
        <v>1</v>
      </c>
    </row>
    <row r="3308" spans="1:9" x14ac:dyDescent="0.25">
      <c r="A3308" s="1" t="s">
        <v>14435</v>
      </c>
      <c r="B3308" s="1" t="s">
        <v>9783</v>
      </c>
      <c r="C3308" s="1" t="str">
        <f>IFERROR(VLOOKUP(B3308,'SB1'!$A$2:$B$999999,2,FALSE),"")</f>
        <v>IMPREGNANTE PENTA STAIN + INSECTICIDA SATINADO CAOBA X 20</v>
      </c>
      <c r="D3308" s="1" t="s">
        <v>14449</v>
      </c>
      <c r="E3308" s="3">
        <f>IFERROR(VLOOKUP(B3308,'DA1'!$B$2:$D$999999,3,FALSE),"")</f>
      </c>
      <c r="F3308" s="1" t="str">
        <f>IFERROR(VLOOKUP(B3308,'SB1'!$A$2:$C$999999,3,FALSE),"")</f>
        <v>503</v>
      </c>
      <c r="G3308" s="3" t="e">
        <f t="shared" si="115"/>
        <v>#VALUE!</v>
      </c>
      <c r="H3308" s="3" t="e">
        <f t="shared" si="114"/>
        <v>#VALUE!</v>
      </c>
      <c r="I3308" s="1">
        <v>1</v>
      </c>
    </row>
    <row r="3309" spans="1:9" x14ac:dyDescent="0.25">
      <c r="A3309" s="1" t="s">
        <v>14435</v>
      </c>
      <c r="B3309" s="1" t="s">
        <v>9785</v>
      </c>
      <c r="C3309" s="1" t="str">
        <f>IFERROR(VLOOKUP(B3309,'SB1'!$A$2:$B$999999,2,FALSE),"")</f>
        <v>IMPREGNANTE PENTA STAIN + INSECTICIDA SATINADO CEDRO X  1</v>
      </c>
      <c r="D3309" s="1" t="s">
        <v>14449</v>
      </c>
      <c r="E3309" s="3">
        <f>IFERROR(VLOOKUP(B3309,'DA1'!$B$2:$D$999999,3,FALSE),"")</f>
      </c>
      <c r="F3309" s="1" t="str">
        <f>IFERROR(VLOOKUP(B3309,'SB1'!$A$2:$C$999999,3,FALSE),"")</f>
        <v>503</v>
      </c>
      <c r="G3309" s="3" t="e">
        <f t="shared" si="115"/>
        <v>#VALUE!</v>
      </c>
      <c r="H3309" s="3" t="e">
        <f t="shared" si="114"/>
        <v>#VALUE!</v>
      </c>
      <c r="I3309" s="1">
        <v>1</v>
      </c>
    </row>
    <row r="3310" spans="1:9" x14ac:dyDescent="0.25">
      <c r="A3310" s="1" t="s">
        <v>14435</v>
      </c>
      <c r="B3310" s="1" t="s">
        <v>9787</v>
      </c>
      <c r="C3310" s="1" t="str">
        <f>IFERROR(VLOOKUP(B3310,'SB1'!$A$2:$B$999999,2,FALSE),"")</f>
        <v>IMPREGNANTE PENTA STAIN + INSECTICIDA SATINADO CEDRO X  4</v>
      </c>
      <c r="D3310" s="1" t="s">
        <v>14449</v>
      </c>
      <c r="E3310" s="3">
        <f>IFERROR(VLOOKUP(B3310,'DA1'!$B$2:$D$999999,3,FALSE),"")</f>
      </c>
      <c r="F3310" s="1" t="str">
        <f>IFERROR(VLOOKUP(B3310,'SB1'!$A$2:$C$999999,3,FALSE),"")</f>
        <v>503</v>
      </c>
      <c r="G3310" s="3" t="e">
        <f t="shared" si="115"/>
        <v>#VALUE!</v>
      </c>
      <c r="H3310" s="3" t="e">
        <f t="shared" si="114"/>
        <v>#VALUE!</v>
      </c>
      <c r="I3310" s="1">
        <v>1</v>
      </c>
    </row>
    <row r="3311" spans="1:9" x14ac:dyDescent="0.25">
      <c r="A3311" s="1" t="s">
        <v>14435</v>
      </c>
      <c r="B3311" s="1" t="s">
        <v>9789</v>
      </c>
      <c r="C3311" s="1" t="str">
        <f>IFERROR(VLOOKUP(B3311,'SB1'!$A$2:$B$999999,2,FALSE),"")</f>
        <v>IMPREGNANTE PENTA STAIN + INSECTICIDA SATINADO CEDRO X 10</v>
      </c>
      <c r="D3311" s="1" t="s">
        <v>14449</v>
      </c>
      <c r="E3311" s="3">
        <f>IFERROR(VLOOKUP(B3311,'DA1'!$B$2:$D$999999,3,FALSE),"")</f>
      </c>
      <c r="F3311" s="1" t="str">
        <f>IFERROR(VLOOKUP(B3311,'SB1'!$A$2:$C$999999,3,FALSE),"")</f>
        <v>503</v>
      </c>
      <c r="G3311" s="3" t="e">
        <f t="shared" si="115"/>
        <v>#VALUE!</v>
      </c>
      <c r="H3311" s="3" t="e">
        <f t="shared" si="114"/>
        <v>#VALUE!</v>
      </c>
      <c r="I3311" s="1">
        <v>1</v>
      </c>
    </row>
    <row r="3312" spans="1:9" x14ac:dyDescent="0.25">
      <c r="A3312" s="1" t="s">
        <v>14435</v>
      </c>
      <c r="B3312" s="1" t="s">
        <v>9791</v>
      </c>
      <c r="C3312" s="1" t="str">
        <f>IFERROR(VLOOKUP(B3312,'SB1'!$A$2:$B$999999,2,FALSE),"")</f>
        <v>IMPREGNANTE PENTA STAIN + INSECTICIDA SATINADO CEDRO X 20</v>
      </c>
      <c r="D3312" s="1" t="s">
        <v>14449</v>
      </c>
      <c r="E3312" s="3">
        <f>IFERROR(VLOOKUP(B3312,'DA1'!$B$2:$D$999999,3,FALSE),"")</f>
      </c>
      <c r="F3312" s="1" t="str">
        <f>IFERROR(VLOOKUP(B3312,'SB1'!$A$2:$C$999999,3,FALSE),"")</f>
        <v>503</v>
      </c>
      <c r="G3312" s="3" t="e">
        <f t="shared" si="115"/>
        <v>#VALUE!</v>
      </c>
      <c r="H3312" s="3" t="e">
        <f t="shared" si="114"/>
        <v>#VALUE!</v>
      </c>
      <c r="I3312" s="1">
        <v>1</v>
      </c>
    </row>
    <row r="3313" spans="1:9" x14ac:dyDescent="0.25">
      <c r="A3313" s="1" t="s">
        <v>14435</v>
      </c>
      <c r="B3313" s="1" t="s">
        <v>9793</v>
      </c>
      <c r="C3313" s="1" t="str">
        <f>IFERROR(VLOOKUP(B3313,'SB1'!$A$2:$B$999999,2,FALSE),"")</f>
        <v>IMPREGNANTE PENTA STAIN + INSECTICIDA SATINADO CRISTAL X  1</v>
      </c>
      <c r="D3313" s="1" t="s">
        <v>14449</v>
      </c>
      <c r="E3313" s="3">
        <f>IFERROR(VLOOKUP(B3313,'DA1'!$B$2:$D$999999,3,FALSE),"")</f>
      </c>
      <c r="F3313" s="1" t="str">
        <f>IFERROR(VLOOKUP(B3313,'SB1'!$A$2:$C$999999,3,FALSE),"")</f>
        <v>503</v>
      </c>
      <c r="G3313" s="3" t="e">
        <f t="shared" si="115"/>
        <v>#VALUE!</v>
      </c>
      <c r="H3313" s="3" t="e">
        <f t="shared" si="114"/>
        <v>#VALUE!</v>
      </c>
      <c r="I3313" s="1">
        <v>1</v>
      </c>
    </row>
    <row r="3314" spans="1:9" x14ac:dyDescent="0.25">
      <c r="A3314" s="1" t="s">
        <v>14435</v>
      </c>
      <c r="B3314" s="1" t="s">
        <v>9795</v>
      </c>
      <c r="C3314" s="1" t="str">
        <f>IFERROR(VLOOKUP(B3314,'SB1'!$A$2:$B$999999,2,FALSE),"")</f>
        <v>IMPREGNANTE PENTA STAIN + INSECTICIDA SATINADO CRISTAL X  4</v>
      </c>
      <c r="D3314" s="1" t="s">
        <v>14449</v>
      </c>
      <c r="E3314" s="3">
        <f>IFERROR(VLOOKUP(B3314,'DA1'!$B$2:$D$999999,3,FALSE),"")</f>
      </c>
      <c r="F3314" s="1" t="str">
        <f>IFERROR(VLOOKUP(B3314,'SB1'!$A$2:$C$999999,3,FALSE),"")</f>
        <v>503</v>
      </c>
      <c r="G3314" s="3" t="e">
        <f t="shared" si="115"/>
        <v>#VALUE!</v>
      </c>
      <c r="H3314" s="3" t="e">
        <f t="shared" si="114"/>
        <v>#VALUE!</v>
      </c>
      <c r="I3314" s="1">
        <v>1</v>
      </c>
    </row>
    <row r="3315" spans="1:9" x14ac:dyDescent="0.25">
      <c r="A3315" s="1" t="s">
        <v>14435</v>
      </c>
      <c r="B3315" s="1" t="s">
        <v>9797</v>
      </c>
      <c r="C3315" s="1" t="str">
        <f>IFERROR(VLOOKUP(B3315,'SB1'!$A$2:$B$999999,2,FALSE),"")</f>
        <v>IMPREGNANTE PENTA STAIN + INSECTICIDA SATINADO CRISTAL X 10</v>
      </c>
      <c r="D3315" s="1" t="s">
        <v>14449</v>
      </c>
      <c r="E3315" s="3">
        <f>IFERROR(VLOOKUP(B3315,'DA1'!$B$2:$D$999999,3,FALSE),"")</f>
      </c>
      <c r="F3315" s="1" t="str">
        <f>IFERROR(VLOOKUP(B3315,'SB1'!$A$2:$C$999999,3,FALSE),"")</f>
        <v>503</v>
      </c>
      <c r="G3315" s="3" t="e">
        <f t="shared" si="115"/>
        <v>#VALUE!</v>
      </c>
      <c r="H3315" s="3" t="e">
        <f t="shared" si="114"/>
        <v>#VALUE!</v>
      </c>
      <c r="I3315" s="1">
        <v>1</v>
      </c>
    </row>
    <row r="3316" spans="1:9" x14ac:dyDescent="0.25">
      <c r="A3316" s="1" t="s">
        <v>14435</v>
      </c>
      <c r="B3316" s="1" t="s">
        <v>9799</v>
      </c>
      <c r="C3316" s="1" t="str">
        <f>IFERROR(VLOOKUP(B3316,'SB1'!$A$2:$B$999999,2,FALSE),"")</f>
        <v>IMPREGNANTE PENTA STAIN + INSECTICIDA SATINADO CRISTAL X 20</v>
      </c>
      <c r="D3316" s="1" t="s">
        <v>14449</v>
      </c>
      <c r="E3316" s="3">
        <f>IFERROR(VLOOKUP(B3316,'DA1'!$B$2:$D$999999,3,FALSE),"")</f>
      </c>
      <c r="F3316" s="1" t="str">
        <f>IFERROR(VLOOKUP(B3316,'SB1'!$A$2:$C$999999,3,FALSE),"")</f>
        <v>503</v>
      </c>
      <c r="G3316" s="3" t="e">
        <f t="shared" si="115"/>
        <v>#VALUE!</v>
      </c>
      <c r="H3316" s="3" t="e">
        <f t="shared" si="114"/>
        <v>#VALUE!</v>
      </c>
      <c r="I3316" s="1">
        <v>1</v>
      </c>
    </row>
    <row r="3317" spans="1:9" x14ac:dyDescent="0.25">
      <c r="A3317" s="1" t="s">
        <v>14435</v>
      </c>
      <c r="B3317" s="1" t="s">
        <v>9801</v>
      </c>
      <c r="C3317" s="1" t="str">
        <f>IFERROR(VLOOKUP(B3317,'SB1'!$A$2:$B$999999,2,FALSE),"")</f>
        <v>IMPREGNANTE PENTA STAIN + INSECTICIDA SATINADO NATURAL X  1</v>
      </c>
      <c r="D3317" s="1" t="s">
        <v>14449</v>
      </c>
      <c r="E3317" s="3">
        <f>IFERROR(VLOOKUP(B3317,'DA1'!$B$2:$D$999999,3,FALSE),"")</f>
      </c>
      <c r="F3317" s="1" t="str">
        <f>IFERROR(VLOOKUP(B3317,'SB1'!$A$2:$C$999999,3,FALSE),"")</f>
        <v>503</v>
      </c>
      <c r="G3317" s="3" t="e">
        <f t="shared" si="115"/>
        <v>#VALUE!</v>
      </c>
      <c r="H3317" s="3" t="e">
        <f t="shared" si="114"/>
        <v>#VALUE!</v>
      </c>
      <c r="I3317" s="1">
        <v>1</v>
      </c>
    </row>
    <row r="3318" spans="1:9" x14ac:dyDescent="0.25">
      <c r="A3318" s="1" t="s">
        <v>14435</v>
      </c>
      <c r="B3318" s="1" t="s">
        <v>9803</v>
      </c>
      <c r="C3318" s="1" t="str">
        <f>IFERROR(VLOOKUP(B3318,'SB1'!$A$2:$B$999999,2,FALSE),"")</f>
        <v>IMPREGNANTE PENTA STAIN + INSECTICIDA SATINADO NATURAL X  4</v>
      </c>
      <c r="D3318" s="1" t="s">
        <v>14449</v>
      </c>
      <c r="E3318" s="3">
        <f>IFERROR(VLOOKUP(B3318,'DA1'!$B$2:$D$999999,3,FALSE),"")</f>
      </c>
      <c r="F3318" s="1" t="str">
        <f>IFERROR(VLOOKUP(B3318,'SB1'!$A$2:$C$999999,3,FALSE),"")</f>
        <v>503</v>
      </c>
      <c r="G3318" s="3" t="e">
        <f t="shared" si="115"/>
        <v>#VALUE!</v>
      </c>
      <c r="H3318" s="3" t="e">
        <f t="shared" si="114"/>
        <v>#VALUE!</v>
      </c>
      <c r="I3318" s="1">
        <v>1</v>
      </c>
    </row>
    <row r="3319" spans="1:9" x14ac:dyDescent="0.25">
      <c r="A3319" s="1" t="s">
        <v>14435</v>
      </c>
      <c r="B3319" s="1" t="s">
        <v>9805</v>
      </c>
      <c r="C3319" s="1" t="str">
        <f>IFERROR(VLOOKUP(B3319,'SB1'!$A$2:$B$999999,2,FALSE),"")</f>
        <v>IMPREGNANTE PENTA STAIN + INSECTICIDA SATINADO NATURAL X 10</v>
      </c>
      <c r="D3319" s="1" t="s">
        <v>14449</v>
      </c>
      <c r="E3319" s="3">
        <f>IFERROR(VLOOKUP(B3319,'DA1'!$B$2:$D$999999,3,FALSE),"")</f>
      </c>
      <c r="F3319" s="1" t="str">
        <f>IFERROR(VLOOKUP(B3319,'SB1'!$A$2:$C$999999,3,FALSE),"")</f>
        <v>503</v>
      </c>
      <c r="G3319" s="3" t="e">
        <f t="shared" si="115"/>
        <v>#VALUE!</v>
      </c>
      <c r="H3319" s="3" t="e">
        <f t="shared" si="114"/>
        <v>#VALUE!</v>
      </c>
      <c r="I3319" s="1">
        <v>1</v>
      </c>
    </row>
    <row r="3320" spans="1:9" x14ac:dyDescent="0.25">
      <c r="A3320" s="1" t="s">
        <v>14435</v>
      </c>
      <c r="B3320" s="1" t="s">
        <v>9807</v>
      </c>
      <c r="C3320" s="1" t="str">
        <f>IFERROR(VLOOKUP(B3320,'SB1'!$A$2:$B$999999,2,FALSE),"")</f>
        <v>IMPREGNANTE PENTA STAIN + INSECTICIDA SATINADO NATURAL X 20</v>
      </c>
      <c r="D3320" s="1" t="s">
        <v>14449</v>
      </c>
      <c r="E3320" s="3">
        <f>IFERROR(VLOOKUP(B3320,'DA1'!$B$2:$D$999999,3,FALSE),"")</f>
      </c>
      <c r="F3320" s="1" t="str">
        <f>IFERROR(VLOOKUP(B3320,'SB1'!$A$2:$C$999999,3,FALSE),"")</f>
        <v>503</v>
      </c>
      <c r="G3320" s="3" t="e">
        <f t="shared" si="115"/>
        <v>#VALUE!</v>
      </c>
      <c r="H3320" s="3" t="e">
        <f t="shared" si="114"/>
        <v>#VALUE!</v>
      </c>
      <c r="I3320" s="1">
        <v>1</v>
      </c>
    </row>
    <row r="3321" spans="1:9" x14ac:dyDescent="0.25">
      <c r="A3321" s="1" t="s">
        <v>14435</v>
      </c>
      <c r="B3321" s="1" t="s">
        <v>9809</v>
      </c>
      <c r="C3321" s="1" t="str">
        <f>IFERROR(VLOOKUP(B3321,'SB1'!$A$2:$B$999999,2,FALSE),"")</f>
        <v>IMPREGNANTE PENTA STAIN + INSECTICIDA SATINADO NOGAL X  1</v>
      </c>
      <c r="D3321" s="1" t="s">
        <v>14449</v>
      </c>
      <c r="E3321" s="3">
        <f>IFERROR(VLOOKUP(B3321,'DA1'!$B$2:$D$999999,3,FALSE),"")</f>
      </c>
      <c r="F3321" s="1" t="str">
        <f>IFERROR(VLOOKUP(B3321,'SB1'!$A$2:$C$999999,3,FALSE),"")</f>
        <v>503</v>
      </c>
      <c r="G3321" s="3" t="e">
        <f t="shared" si="115"/>
        <v>#VALUE!</v>
      </c>
      <c r="H3321" s="3" t="e">
        <f t="shared" si="114"/>
        <v>#VALUE!</v>
      </c>
      <c r="I3321" s="1">
        <v>1</v>
      </c>
    </row>
    <row r="3322" spans="1:9" x14ac:dyDescent="0.25">
      <c r="A3322" s="1" t="s">
        <v>14435</v>
      </c>
      <c r="B3322" s="1" t="s">
        <v>9811</v>
      </c>
      <c r="C3322" s="1" t="str">
        <f>IFERROR(VLOOKUP(B3322,'SB1'!$A$2:$B$999999,2,FALSE),"")</f>
        <v>IMPREGNANTE PENTA STAIN + INSECTICIDA SATINADO NOGAL X  4</v>
      </c>
      <c r="D3322" s="1" t="s">
        <v>14449</v>
      </c>
      <c r="E3322" s="3">
        <f>IFERROR(VLOOKUP(B3322,'DA1'!$B$2:$D$999999,3,FALSE),"")</f>
      </c>
      <c r="F3322" s="1" t="str">
        <f>IFERROR(VLOOKUP(B3322,'SB1'!$A$2:$C$999999,3,FALSE),"")</f>
        <v>503</v>
      </c>
      <c r="G3322" s="3" t="e">
        <f t="shared" si="115"/>
        <v>#VALUE!</v>
      </c>
      <c r="H3322" s="3" t="e">
        <f t="shared" si="114"/>
        <v>#VALUE!</v>
      </c>
      <c r="I3322" s="1">
        <v>1</v>
      </c>
    </row>
    <row r="3323" spans="1:9" x14ac:dyDescent="0.25">
      <c r="A3323" s="1" t="s">
        <v>14435</v>
      </c>
      <c r="B3323" s="1" t="s">
        <v>9813</v>
      </c>
      <c r="C3323" s="1" t="str">
        <f>IFERROR(VLOOKUP(B3323,'SB1'!$A$2:$B$999999,2,FALSE),"")</f>
        <v>IMPREGNANTE PENTA STAIN + INSECTICIDA SATINADO NOGAL X 10</v>
      </c>
      <c r="D3323" s="1" t="s">
        <v>14449</v>
      </c>
      <c r="E3323" s="3">
        <f>IFERROR(VLOOKUP(B3323,'DA1'!$B$2:$D$999999,3,FALSE),"")</f>
      </c>
      <c r="F3323" s="1" t="str">
        <f>IFERROR(VLOOKUP(B3323,'SB1'!$A$2:$C$999999,3,FALSE),"")</f>
        <v>503</v>
      </c>
      <c r="G3323" s="3" t="e">
        <f t="shared" si="115"/>
        <v>#VALUE!</v>
      </c>
      <c r="H3323" s="3" t="e">
        <f t="shared" si="114"/>
        <v>#VALUE!</v>
      </c>
      <c r="I3323" s="1">
        <v>1</v>
      </c>
    </row>
    <row r="3324" spans="1:9" x14ac:dyDescent="0.25">
      <c r="A3324" s="1" t="s">
        <v>14435</v>
      </c>
      <c r="B3324" s="1" t="s">
        <v>9815</v>
      </c>
      <c r="C3324" s="1" t="str">
        <f>IFERROR(VLOOKUP(B3324,'SB1'!$A$2:$B$999999,2,FALSE),"")</f>
        <v>IMPREGNANTE PENTA STAIN + INSECTICIDA SATINADO NOGAL X 20</v>
      </c>
      <c r="D3324" s="1" t="s">
        <v>14449</v>
      </c>
      <c r="E3324" s="3">
        <f>IFERROR(VLOOKUP(B3324,'DA1'!$B$2:$D$999999,3,FALSE),"")</f>
      </c>
      <c r="F3324" s="1" t="str">
        <f>IFERROR(VLOOKUP(B3324,'SB1'!$A$2:$C$999999,3,FALSE),"")</f>
        <v>503</v>
      </c>
      <c r="G3324" s="3" t="e">
        <f t="shared" si="115"/>
        <v>#VALUE!</v>
      </c>
      <c r="H3324" s="3" t="e">
        <f t="shared" si="114"/>
        <v>#VALUE!</v>
      </c>
      <c r="I3324" s="1">
        <v>1</v>
      </c>
    </row>
    <row r="3325" spans="1:9" x14ac:dyDescent="0.25">
      <c r="A3325" s="1" t="s">
        <v>14435</v>
      </c>
      <c r="B3325" s="1" t="s">
        <v>9817</v>
      </c>
      <c r="C3325" s="1" t="str">
        <f>IFERROR(VLOOKUP(B3325,'SB1'!$A$2:$B$999999,2,FALSE),"")</f>
        <v>IMPREGNANTE PENTA STAIN + INSECTICIDA SATINADO ROBLE X  1</v>
      </c>
      <c r="D3325" s="1" t="s">
        <v>14449</v>
      </c>
      <c r="E3325" s="3">
        <f>IFERROR(VLOOKUP(B3325,'DA1'!$B$2:$D$999999,3,FALSE),"")</f>
      </c>
      <c r="F3325" s="1" t="str">
        <f>IFERROR(VLOOKUP(B3325,'SB1'!$A$2:$C$999999,3,FALSE),"")</f>
        <v>503</v>
      </c>
      <c r="G3325" s="3" t="e">
        <f t="shared" si="115"/>
        <v>#VALUE!</v>
      </c>
      <c r="H3325" s="3" t="e">
        <f t="shared" si="114"/>
        <v>#VALUE!</v>
      </c>
      <c r="I3325" s="1">
        <v>1</v>
      </c>
    </row>
    <row r="3326" spans="1:9" x14ac:dyDescent="0.25">
      <c r="A3326" s="1" t="s">
        <v>14435</v>
      </c>
      <c r="B3326" s="1" t="s">
        <v>9819</v>
      </c>
      <c r="C3326" s="1" t="str">
        <f>IFERROR(VLOOKUP(B3326,'SB1'!$A$2:$B$999999,2,FALSE),"")</f>
        <v>IMPREGNANTE PENTA STAIN + INSECTICIDA SATINADO ROBLE X  4</v>
      </c>
      <c r="D3326" s="1" t="s">
        <v>14449</v>
      </c>
      <c r="E3326" s="3">
        <f>IFERROR(VLOOKUP(B3326,'DA1'!$B$2:$D$999999,3,FALSE),"")</f>
      </c>
      <c r="F3326" s="1" t="str">
        <f>IFERROR(VLOOKUP(B3326,'SB1'!$A$2:$C$999999,3,FALSE),"")</f>
        <v>503</v>
      </c>
      <c r="G3326" s="3" t="e">
        <f t="shared" si="115"/>
        <v>#VALUE!</v>
      </c>
      <c r="H3326" s="3" t="e">
        <f t="shared" ref="H3326:H3389" si="116">G3326*1.21</f>
        <v>#VALUE!</v>
      </c>
      <c r="I3326" s="1">
        <v>1</v>
      </c>
    </row>
    <row r="3327" spans="1:9" x14ac:dyDescent="0.25">
      <c r="A3327" s="1" t="s">
        <v>14435</v>
      </c>
      <c r="B3327" s="1" t="s">
        <v>9821</v>
      </c>
      <c r="C3327" s="1" t="str">
        <f>IFERROR(VLOOKUP(B3327,'SB1'!$A$2:$B$999999,2,FALSE),"")</f>
        <v>IMPREGNANTE PENTA STAIN + INSECTICIDA SATINADO ROBLE X 10</v>
      </c>
      <c r="D3327" s="1" t="s">
        <v>14449</v>
      </c>
      <c r="E3327" s="3">
        <f>IFERROR(VLOOKUP(B3327,'DA1'!$B$2:$D$999999,3,FALSE),"")</f>
      </c>
      <c r="F3327" s="1" t="str">
        <f>IFERROR(VLOOKUP(B3327,'SB1'!$A$2:$C$999999,3,FALSE),"")</f>
        <v>503</v>
      </c>
      <c r="G3327" s="3" t="e">
        <f t="shared" si="115"/>
        <v>#VALUE!</v>
      </c>
      <c r="H3327" s="3" t="e">
        <f t="shared" si="116"/>
        <v>#VALUE!</v>
      </c>
      <c r="I3327" s="1">
        <v>1</v>
      </c>
    </row>
    <row r="3328" spans="1:9" x14ac:dyDescent="0.25">
      <c r="A3328" s="1" t="s">
        <v>14435</v>
      </c>
      <c r="B3328" s="1" t="s">
        <v>9823</v>
      </c>
      <c r="C3328" s="1" t="str">
        <f>IFERROR(VLOOKUP(B3328,'SB1'!$A$2:$B$999999,2,FALSE),"")</f>
        <v>IMPREGNANTE PENTA STAIN + INSECTICIDA SATINADO ROBLE X 20</v>
      </c>
      <c r="D3328" s="1" t="s">
        <v>14449</v>
      </c>
      <c r="E3328" s="3">
        <f>IFERROR(VLOOKUP(B3328,'DA1'!$B$2:$D$999999,3,FALSE),"")</f>
      </c>
      <c r="F3328" s="1" t="str">
        <f>IFERROR(VLOOKUP(B3328,'SB1'!$A$2:$C$999999,3,FALSE),"")</f>
        <v>503</v>
      </c>
      <c r="G3328" s="3" t="e">
        <f t="shared" si="115"/>
        <v>#VALUE!</v>
      </c>
      <c r="H3328" s="3" t="e">
        <f t="shared" si="116"/>
        <v>#VALUE!</v>
      </c>
      <c r="I3328" s="1">
        <v>1</v>
      </c>
    </row>
    <row r="3329" spans="1:9" x14ac:dyDescent="0.25">
      <c r="A3329" s="1" t="s">
        <v>14435</v>
      </c>
      <c r="B3329" s="1" t="s">
        <v>9825</v>
      </c>
      <c r="C3329" s="1" t="str">
        <f>IFERROR(VLOOKUP(B3329,'SB1'!$A$2:$B$999999,2,FALSE),"")</f>
        <v>IMPERMEABILIZANTE PARA TECHOS PLAVICON FIBRADO SILICONA BLANCO X  4</v>
      </c>
      <c r="D3329" s="1" t="s">
        <v>14458</v>
      </c>
      <c r="E3329" s="3">
        <f>IFERROR(VLOOKUP(B3329,'DA1'!$B$2:$D$999999,3,FALSE),"")</f>
      </c>
      <c r="F3329" s="1" t="str">
        <f>IFERROR(VLOOKUP(B3329,'SB1'!$A$2:$C$999999,3,FALSE),"")</f>
        <v>503</v>
      </c>
      <c r="G3329" s="3" t="e">
        <f t="shared" si="115"/>
        <v>#VALUE!</v>
      </c>
      <c r="H3329" s="3" t="e">
        <f t="shared" si="116"/>
        <v>#VALUE!</v>
      </c>
      <c r="I3329" s="1">
        <v>1</v>
      </c>
    </row>
    <row r="3330" spans="1:9" x14ac:dyDescent="0.25">
      <c r="A3330" s="1" t="s">
        <v>14435</v>
      </c>
      <c r="B3330" s="1" t="s">
        <v>9827</v>
      </c>
      <c r="C3330" s="1" t="str">
        <f>IFERROR(VLOOKUP(B3330,'SB1'!$A$2:$B$999999,2,FALSE),"")</f>
        <v>IMPERMEABILIZANTE PARA TECHOS PLAVICON FIBRADO SILICONA BLANCO X 20</v>
      </c>
      <c r="D3330" s="1" t="s">
        <v>14458</v>
      </c>
      <c r="E3330" s="3">
        <f>IFERROR(VLOOKUP(B3330,'DA1'!$B$2:$D$999999,3,FALSE),"")</f>
      </c>
      <c r="F3330" s="1" t="str">
        <f>IFERROR(VLOOKUP(B3330,'SB1'!$A$2:$C$999999,3,FALSE),"")</f>
        <v>503</v>
      </c>
      <c r="G3330" s="3" t="e">
        <f t="shared" si="115"/>
        <v>#VALUE!</v>
      </c>
      <c r="H3330" s="3" t="e">
        <f t="shared" si="116"/>
        <v>#VALUE!</v>
      </c>
      <c r="I3330" s="1">
        <v>1</v>
      </c>
    </row>
    <row r="3331" spans="1:9" x14ac:dyDescent="0.25">
      <c r="A3331" s="1" t="s">
        <v>14435</v>
      </c>
      <c r="B3331" s="1" t="s">
        <v>9833</v>
      </c>
      <c r="C3331" s="1" t="str">
        <f>IFERROR(VLOOKUP(B3331,'SB1'!$A$2:$B$999999,2,FALSE),"")</f>
        <v>ADITICO VINILICO MULTIUSO TACURU BLANCO X  1</v>
      </c>
      <c r="D3331" s="1" t="s">
        <v>14488</v>
      </c>
      <c r="E3331" s="3">
        <f>IFERROR(VLOOKUP(B3331,'DA1'!$B$2:$D$999999,3,FALSE),"")</f>
      </c>
      <c r="F3331" s="1" t="str">
        <f>IFERROR(VLOOKUP(B3331,'SB1'!$A$2:$C$999999,3,FALSE),"")</f>
        <v>503</v>
      </c>
      <c r="G3331" s="3" t="e">
        <f t="shared" ref="G3331:G3394" si="117">E3331*1.04</f>
        <v>#VALUE!</v>
      </c>
      <c r="H3331" s="3" t="e">
        <f t="shared" si="116"/>
        <v>#VALUE!</v>
      </c>
      <c r="I3331" s="1">
        <v>1</v>
      </c>
    </row>
    <row r="3332" spans="1:9" x14ac:dyDescent="0.25">
      <c r="A3332" s="1" t="s">
        <v>14435</v>
      </c>
      <c r="B3332" s="1" t="s">
        <v>9835</v>
      </c>
      <c r="C3332" s="1" t="str">
        <f>IFERROR(VLOOKUP(B3332,'SB1'!$A$2:$B$999999,2,FALSE),"")</f>
        <v>ADITICO VINILICO MULTIUSO TACURU BLANCO X  4</v>
      </c>
      <c r="D3332" s="1" t="s">
        <v>14488</v>
      </c>
      <c r="E3332" s="3">
        <f>IFERROR(VLOOKUP(B3332,'DA1'!$B$2:$D$999999,3,FALSE),"")</f>
      </c>
      <c r="F3332" s="1" t="str">
        <f>IFERROR(VLOOKUP(B3332,'SB1'!$A$2:$C$999999,3,FALSE),"")</f>
        <v>503</v>
      </c>
      <c r="G3332" s="3" t="e">
        <f t="shared" si="117"/>
        <v>#VALUE!</v>
      </c>
      <c r="H3332" s="3" t="e">
        <f t="shared" si="116"/>
        <v>#VALUE!</v>
      </c>
      <c r="I3332" s="1">
        <v>1</v>
      </c>
    </row>
    <row r="3333" spans="1:9" x14ac:dyDescent="0.25">
      <c r="A3333" s="1" t="s">
        <v>14435</v>
      </c>
      <c r="B3333" s="1" t="s">
        <v>9837</v>
      </c>
      <c r="C3333" s="1" t="str">
        <f>IFERROR(VLOOKUP(B3333,'SB1'!$A$2:$B$999999,2,FALSE),"")</f>
        <v>ADITICO VINILICO MULTIUSO TACURU BLANCO X 10</v>
      </c>
      <c r="D3333" s="1" t="s">
        <v>14488</v>
      </c>
      <c r="E3333" s="3">
        <f>IFERROR(VLOOKUP(B3333,'DA1'!$B$2:$D$999999,3,FALSE),"")</f>
      </c>
      <c r="F3333" s="1" t="str">
        <f>IFERROR(VLOOKUP(B3333,'SB1'!$A$2:$C$999999,3,FALSE),"")</f>
        <v>503</v>
      </c>
      <c r="G3333" s="3" t="e">
        <f t="shared" si="117"/>
        <v>#VALUE!</v>
      </c>
      <c r="H3333" s="3" t="e">
        <f t="shared" si="116"/>
        <v>#VALUE!</v>
      </c>
      <c r="I3333" s="1">
        <v>1</v>
      </c>
    </row>
    <row r="3334" spans="1:9" x14ac:dyDescent="0.25">
      <c r="A3334" s="1" t="s">
        <v>14435</v>
      </c>
      <c r="B3334" s="1" t="s">
        <v>9839</v>
      </c>
      <c r="C3334" s="1" t="str">
        <f>IFERROR(VLOOKUP(B3334,'SB1'!$A$2:$B$999999,2,FALSE),"")</f>
        <v>ADITICO VINILICO MULTIUSO TACURU BLANCO X 20</v>
      </c>
      <c r="D3334" s="1" t="s">
        <v>14488</v>
      </c>
      <c r="E3334" s="3">
        <f>IFERROR(VLOOKUP(B3334,'DA1'!$B$2:$D$999999,3,FALSE),"")</f>
      </c>
      <c r="F3334" s="1" t="str">
        <f>IFERROR(VLOOKUP(B3334,'SB1'!$A$2:$C$999999,3,FALSE),"")</f>
        <v>503</v>
      </c>
      <c r="G3334" s="3" t="e">
        <f t="shared" si="117"/>
        <v>#VALUE!</v>
      </c>
      <c r="H3334" s="3" t="e">
        <f t="shared" si="116"/>
        <v>#VALUE!</v>
      </c>
      <c r="I3334" s="1">
        <v>1</v>
      </c>
    </row>
    <row r="3335" spans="1:9" x14ac:dyDescent="0.25">
      <c r="A3335" s="1" t="s">
        <v>14435</v>
      </c>
      <c r="B3335" s="1" t="s">
        <v>9841</v>
      </c>
      <c r="C3335" s="1" t="str">
        <f>IFERROR(VLOOKUP(B3335,'SB1'!$A$2:$B$999999,2,FALSE),"")</f>
        <v>ADITICO VINILICO MULTIUSO TACURU BLANCO X 200</v>
      </c>
      <c r="D3335" s="1" t="s">
        <v>14488</v>
      </c>
      <c r="E3335" s="3">
        <f>IFERROR(VLOOKUP(B3335,'DA1'!$B$2:$D$999999,3,FALSE),"")</f>
      </c>
      <c r="F3335" s="1" t="str">
        <f>IFERROR(VLOOKUP(B3335,'SB1'!$A$2:$C$999999,3,FALSE),"")</f>
        <v>503</v>
      </c>
      <c r="G3335" s="3" t="e">
        <f t="shared" si="117"/>
        <v>#VALUE!</v>
      </c>
      <c r="H3335" s="3" t="e">
        <f t="shared" si="116"/>
        <v>#VALUE!</v>
      </c>
      <c r="I3335" s="1">
        <v>1</v>
      </c>
    </row>
    <row r="3336" spans="1:9" x14ac:dyDescent="0.25">
      <c r="A3336" s="1" t="s">
        <v>14435</v>
      </c>
      <c r="B3336" s="1" t="s">
        <v>9843</v>
      </c>
      <c r="C3336" s="1" t="str">
        <f>IFERROR(VLOOKUP(B3336,'SB1'!$A$2:$B$999999,2,FALSE),"")</f>
        <v>MORTERO DE ASIENTO WEBER MULTIUSO PLUS GRIS X 30</v>
      </c>
      <c r="D3336" s="1" t="s">
        <v>14488</v>
      </c>
      <c r="E3336" s="3">
        <f>IFERROR(VLOOKUP(B3336,'DA1'!$B$2:$D$999999,3,FALSE),"")</f>
      </c>
      <c r="F3336" s="1" t="str">
        <f>IFERROR(VLOOKUP(B3336,'SB1'!$A$2:$C$999999,3,FALSE),"")</f>
        <v>503</v>
      </c>
      <c r="G3336" s="3" t="e">
        <f t="shared" si="117"/>
        <v>#VALUE!</v>
      </c>
      <c r="H3336" s="3" t="e">
        <f t="shared" si="116"/>
        <v>#VALUE!</v>
      </c>
      <c r="I3336" s="1">
        <v>1</v>
      </c>
    </row>
    <row r="3337" spans="1:9" x14ac:dyDescent="0.25">
      <c r="A3337" s="1" t="s">
        <v>14435</v>
      </c>
      <c r="B3337" s="1" t="s">
        <v>9845</v>
      </c>
      <c r="C3337" s="1" t="str">
        <f>IFERROR(VLOOKUP(B3337,'SB1'!$A$2:$B$999999,2,FALSE),"")</f>
        <v>MORTERO FACIL NIVELACION WEBER RAS GRIS X 30</v>
      </c>
      <c r="D3337" s="1" t="s">
        <v>14488</v>
      </c>
      <c r="E3337" s="3">
        <f>IFERROR(VLOOKUP(B3337,'DA1'!$B$2:$D$999999,3,FALSE),"")</f>
      </c>
      <c r="F3337" s="1" t="str">
        <f>IFERROR(VLOOKUP(B3337,'SB1'!$A$2:$C$999999,3,FALSE),"")</f>
        <v>503</v>
      </c>
      <c r="G3337" s="3" t="e">
        <f t="shared" si="117"/>
        <v>#VALUE!</v>
      </c>
      <c r="H3337" s="3" t="e">
        <f t="shared" si="116"/>
        <v>#VALUE!</v>
      </c>
      <c r="I3337" s="1">
        <v>1</v>
      </c>
    </row>
    <row r="3338" spans="1:9" x14ac:dyDescent="0.25">
      <c r="A3338" s="1" t="s">
        <v>14435</v>
      </c>
      <c r="B3338" s="1" t="s">
        <v>9847</v>
      </c>
      <c r="C3338" s="1" t="str">
        <f>IFERROR(VLOOKUP(B3338,'SB1'!$A$2:$B$999999,2,FALSE),"")</f>
        <v>PROMOTOR DE ADHERENCIA WEBER PRIMER BLANCO X 10</v>
      </c>
      <c r="D3338" s="1" t="s">
        <v>14488</v>
      </c>
      <c r="E3338" s="3">
        <f>IFERROR(VLOOKUP(B3338,'DA1'!$B$2:$D$999999,3,FALSE),"")</f>
      </c>
      <c r="F3338" s="1" t="str">
        <f>IFERROR(VLOOKUP(B3338,'SB1'!$A$2:$C$999999,3,FALSE),"")</f>
        <v>503</v>
      </c>
      <c r="G3338" s="3" t="e">
        <f t="shared" si="117"/>
        <v>#VALUE!</v>
      </c>
      <c r="H3338" s="3" t="e">
        <f t="shared" si="116"/>
        <v>#VALUE!</v>
      </c>
      <c r="I3338" s="1">
        <v>1</v>
      </c>
    </row>
    <row r="3339" spans="1:9" x14ac:dyDescent="0.25">
      <c r="A3339" s="1" t="s">
        <v>14435</v>
      </c>
      <c r="B3339" s="1" t="s">
        <v>9851</v>
      </c>
      <c r="C3339" s="1" t="str">
        <f>IFERROR(VLOOKUP(B3339,'SB1'!$A$2:$B$999999,2,FALSE),"")</f>
        <v>ESMALTE SINTETICO TERSUAVE 2EN1 METALIZADO GRAFITO X 1</v>
      </c>
      <c r="D3339" s="1" t="s">
        <v>14437</v>
      </c>
      <c r="E3339" s="3">
        <f>IFERROR(VLOOKUP(B3339,'DA1'!$B$2:$D$999999,3,FALSE),"")</f>
      </c>
      <c r="F3339" s="1" t="str">
        <f>IFERROR(VLOOKUP(B3339,'SB1'!$A$2:$C$999999,3,FALSE),"")</f>
        <v>503</v>
      </c>
      <c r="G3339" s="3" t="e">
        <f t="shared" si="117"/>
        <v>#VALUE!</v>
      </c>
      <c r="H3339" s="3" t="e">
        <f t="shared" si="116"/>
        <v>#VALUE!</v>
      </c>
      <c r="I3339" s="1">
        <v>1</v>
      </c>
    </row>
    <row r="3340" spans="1:9" x14ac:dyDescent="0.25">
      <c r="A3340" s="1" t="s">
        <v>14435</v>
      </c>
      <c r="B3340" s="1" t="s">
        <v>9853</v>
      </c>
      <c r="C3340" s="1" t="str">
        <f>IFERROR(VLOOKUP(B3340,'SB1'!$A$2:$B$999999,2,FALSE),"")</f>
        <v>ESMALTE SINTETICO TERSUAVE 2EN1 METALIZADO GRAFITO X 4</v>
      </c>
      <c r="D3340" s="1" t="s">
        <v>14437</v>
      </c>
      <c r="E3340" s="3">
        <f>IFERROR(VLOOKUP(B3340,'DA1'!$B$2:$D$999999,3,FALSE),"")</f>
      </c>
      <c r="F3340" s="1" t="str">
        <f>IFERROR(VLOOKUP(B3340,'SB1'!$A$2:$C$999999,3,FALSE),"")</f>
        <v>503</v>
      </c>
      <c r="G3340" s="3" t="e">
        <f t="shared" si="117"/>
        <v>#VALUE!</v>
      </c>
      <c r="H3340" s="3" t="e">
        <f t="shared" si="116"/>
        <v>#VALUE!</v>
      </c>
      <c r="I3340" s="1">
        <v>1</v>
      </c>
    </row>
    <row r="3341" spans="1:9" x14ac:dyDescent="0.25">
      <c r="A3341" s="1" t="s">
        <v>14435</v>
      </c>
      <c r="B3341" s="1" t="s">
        <v>9857</v>
      </c>
      <c r="C3341" s="1" t="str">
        <f>IFERROR(VLOOKUP(B3341,'SB1'!$A$2:$B$999999,2,FALSE),"")</f>
        <v>MORTERO DE ALBANILERIA WEBER MULTIUSO GRIS X 25</v>
      </c>
      <c r="D3341" s="1" t="s">
        <v>14488</v>
      </c>
      <c r="E3341" s="3">
        <f>IFERROR(VLOOKUP(B3341,'DA1'!$B$2:$D$999999,3,FALSE),"")</f>
      </c>
      <c r="F3341" s="1" t="str">
        <f>IFERROR(VLOOKUP(B3341,'SB1'!$A$2:$C$999999,3,FALSE),"")</f>
        <v>503</v>
      </c>
      <c r="G3341" s="3" t="e">
        <f t="shared" si="117"/>
        <v>#VALUE!</v>
      </c>
      <c r="H3341" s="3" t="e">
        <f t="shared" si="116"/>
        <v>#VALUE!</v>
      </c>
      <c r="I3341" s="1">
        <v>1</v>
      </c>
    </row>
    <row r="3342" spans="1:9" x14ac:dyDescent="0.25">
      <c r="A3342" s="1" t="s">
        <v>14435</v>
      </c>
      <c r="B3342" s="1" t="s">
        <v>9861</v>
      </c>
      <c r="C3342" s="1" t="str">
        <f>IFERROR(VLOOKUP(B3342,'SB1'!$A$2:$B$999999,2,FALSE),"")</f>
        <v>ESMALTE EPOXI TERSUAVE INDULAC GRIS INDUSTRIAL X 20</v>
      </c>
      <c r="D3342" s="1" t="s">
        <v>14437</v>
      </c>
      <c r="E3342" s="3">
        <f>IFERROR(VLOOKUP(B3342,'DA1'!$B$2:$D$999999,3,FALSE),"")</f>
      </c>
      <c r="F3342" s="1" t="str">
        <f>IFERROR(VLOOKUP(B3342,'SB1'!$A$2:$C$999999,3,FALSE),"")</f>
        <v>503</v>
      </c>
      <c r="G3342" s="3" t="e">
        <f t="shared" si="117"/>
        <v>#VALUE!</v>
      </c>
      <c r="H3342" s="3" t="e">
        <f t="shared" si="116"/>
        <v>#VALUE!</v>
      </c>
      <c r="I3342" s="1">
        <v>1</v>
      </c>
    </row>
    <row r="3343" spans="1:9" x14ac:dyDescent="0.25">
      <c r="A3343" s="1" t="s">
        <v>14435</v>
      </c>
      <c r="B3343" s="1" t="s">
        <v>9863</v>
      </c>
      <c r="C3343" s="1" t="str">
        <f>IFERROR(VLOOKUP(B3343,'SB1'!$A$2:$B$999999,2,FALSE),"")</f>
        <v>RODILLO LUMAR LANA SATINADO MARRON 10(1300/A)</v>
      </c>
      <c r="D3343" s="1" t="s">
        <v>14467</v>
      </c>
      <c r="E3343" s="3">
        <f>IFERROR(VLOOKUP(B3343,'DA1'!$B$2:$D$999999,3,FALSE),"")</f>
      </c>
      <c r="F3343" s="1" t="str">
        <f>IFERROR(VLOOKUP(B3343,'SB1'!$A$2:$C$999999,3,FALSE),"")</f>
        <v>503</v>
      </c>
      <c r="G3343" s="3" t="e">
        <f t="shared" si="117"/>
        <v>#VALUE!</v>
      </c>
      <c r="H3343" s="3" t="e">
        <f t="shared" si="116"/>
        <v>#VALUE!</v>
      </c>
      <c r="I3343" s="1">
        <v>1</v>
      </c>
    </row>
    <row r="3344" spans="1:9" x14ac:dyDescent="0.25">
      <c r="A3344" s="1" t="s">
        <v>14435</v>
      </c>
      <c r="B3344" s="1" t="s">
        <v>9865</v>
      </c>
      <c r="C3344" s="1" t="str">
        <f>IFERROR(VLOOKUP(B3344,'SB1'!$A$2:$B$999999,2,FALSE),"")</f>
        <v>RODILLO LUMAR LANA SATINADO MARRON 17(1300/B)</v>
      </c>
      <c r="D3344" s="1" t="s">
        <v>14467</v>
      </c>
      <c r="E3344" s="3">
        <f>IFERROR(VLOOKUP(B3344,'DA1'!$B$2:$D$999999,3,FALSE),"")</f>
      </c>
      <c r="F3344" s="1" t="str">
        <f>IFERROR(VLOOKUP(B3344,'SB1'!$A$2:$C$999999,3,FALSE),"")</f>
        <v>503</v>
      </c>
      <c r="G3344" s="3" t="e">
        <f t="shared" si="117"/>
        <v>#VALUE!</v>
      </c>
      <c r="H3344" s="3" t="e">
        <f t="shared" si="116"/>
        <v>#VALUE!</v>
      </c>
      <c r="I3344" s="1">
        <v>1</v>
      </c>
    </row>
    <row r="3345" spans="1:9" x14ac:dyDescent="0.25">
      <c r="A3345" s="1" t="s">
        <v>14435</v>
      </c>
      <c r="B3345" s="1" t="s">
        <v>9867</v>
      </c>
      <c r="C3345" s="1" t="str">
        <f>IFERROR(VLOOKUP(B3345,'SB1'!$A$2:$B$999999,2,FALSE),"")</f>
        <v>RODILLO LUMAR LANA SATINADO MARRON 22(1300/C)</v>
      </c>
      <c r="D3345" s="1" t="s">
        <v>14467</v>
      </c>
      <c r="E3345" s="3">
        <f>IFERROR(VLOOKUP(B3345,'DA1'!$B$2:$D$999999,3,FALSE),"")</f>
      </c>
      <c r="F3345" s="1" t="str">
        <f>IFERROR(VLOOKUP(B3345,'SB1'!$A$2:$C$999999,3,FALSE),"")</f>
        <v>503</v>
      </c>
      <c r="G3345" s="3" t="e">
        <f t="shared" si="117"/>
        <v>#VALUE!</v>
      </c>
      <c r="H3345" s="3" t="e">
        <f t="shared" si="116"/>
        <v>#VALUE!</v>
      </c>
      <c r="I3345" s="1">
        <v>1</v>
      </c>
    </row>
    <row r="3346" spans="1:9" x14ac:dyDescent="0.25">
      <c r="A3346" s="1" t="s">
        <v>14435</v>
      </c>
      <c r="B3346" s="1" t="s">
        <v>9877</v>
      </c>
      <c r="C3346" s="1" t="str">
        <f>IFERROR(VLOOKUP(B3346,'SB1'!$A$2:$B$999999,2,FALSE),"")</f>
        <v>MALLA FIBRA DE VIDRIO  R-FV90 5X5MM 1X50M</v>
      </c>
      <c r="D3346" s="1" t="s">
        <v>14504</v>
      </c>
      <c r="E3346" s="3">
        <f>IFERROR(VLOOKUP(B3346,'DA1'!$B$2:$D$999999,3,FALSE),"")</f>
      </c>
      <c r="F3346" s="1" t="str">
        <f>IFERROR(VLOOKUP(B3346,'SB1'!$A$2:$C$999999,3,FALSE),"")</f>
        <v>503</v>
      </c>
      <c r="G3346" s="3" t="e">
        <f t="shared" si="117"/>
        <v>#VALUE!</v>
      </c>
      <c r="H3346" s="3" t="e">
        <f t="shared" si="116"/>
        <v>#VALUE!</v>
      </c>
      <c r="I3346" s="1">
        <v>1</v>
      </c>
    </row>
    <row r="3347" spans="1:9" x14ac:dyDescent="0.25">
      <c r="A3347" s="1" t="s">
        <v>14435</v>
      </c>
      <c r="B3347" s="1" t="s">
        <v>9879</v>
      </c>
      <c r="C3347" s="1" t="str">
        <f>IFERROR(VLOOKUP(B3347,'SB1'!$A$2:$B$999999,2,FALSE),"")</f>
        <v>MALLA FIBRA DE VIDRIO R-FV110 10X10MM 1X50M</v>
      </c>
      <c r="D3347" s="1" t="s">
        <v>14504</v>
      </c>
      <c r="E3347" s="3">
        <f>IFERROR(VLOOKUP(B3347,'DA1'!$B$2:$D$999999,3,FALSE),"")</f>
      </c>
      <c r="F3347" s="1" t="str">
        <f>IFERROR(VLOOKUP(B3347,'SB1'!$A$2:$C$999999,3,FALSE),"")</f>
        <v>503</v>
      </c>
      <c r="G3347" s="3" t="e">
        <f t="shared" si="117"/>
        <v>#VALUE!</v>
      </c>
      <c r="H3347" s="3" t="e">
        <f t="shared" si="116"/>
        <v>#VALUE!</v>
      </c>
      <c r="I3347" s="1">
        <v>1</v>
      </c>
    </row>
    <row r="3348" spans="1:9" x14ac:dyDescent="0.25">
      <c r="A3348" s="1" t="s">
        <v>14435</v>
      </c>
      <c r="B3348" s="1" t="s">
        <v>9883</v>
      </c>
      <c r="C3348" s="1" t="str">
        <f>IFERROR(VLOOKUP(B3348,'SB1'!$A$2:$B$999999,2,FALSE),"")</f>
        <v>BP-01A.01 BASE TRANSPARENTE POLIESTER X 3,500</v>
      </c>
      <c r="D3348" s="1" t="s">
        <v>14454</v>
      </c>
      <c r="E3348" s="3">
        <f>IFERROR(VLOOKUP(B3348,'DA1'!$B$2:$D$999999,3,FALSE),"")</f>
      </c>
      <c r="F3348" s="1" t="str">
        <f>IFERROR(VLOOKUP(B3348,'SB1'!$A$2:$C$999999,3,FALSE),"")</f>
        <v>503</v>
      </c>
      <c r="G3348" s="3" t="e">
        <f t="shared" si="117"/>
        <v>#VALUE!</v>
      </c>
      <c r="H3348" s="3" t="e">
        <f t="shared" si="116"/>
        <v>#VALUE!</v>
      </c>
      <c r="I3348" s="1">
        <v>3</v>
      </c>
    </row>
    <row r="3349" spans="1:9" x14ac:dyDescent="0.25">
      <c r="A3349" s="1" t="s">
        <v>14435</v>
      </c>
      <c r="B3349" s="1" t="s">
        <v>9889</v>
      </c>
      <c r="C3349" s="1" t="str">
        <f>IFERROR(VLOOKUP(B3349,'SB1'!$A$2:$B$999999,2,FALSE),"")</f>
        <v>RECUBRIMIENTO ATERMIK REFLECTIVO PLAVICON BLANCO X 20</v>
      </c>
      <c r="D3349" s="1" t="s">
        <v>14458</v>
      </c>
      <c r="E3349" s="3">
        <f>IFERROR(VLOOKUP(B3349,'DA1'!$B$2:$D$999999,3,FALSE),"")</f>
      </c>
      <c r="F3349" s="1" t="str">
        <f>IFERROR(VLOOKUP(B3349,'SB1'!$A$2:$C$999999,3,FALSE),"")</f>
        <v>503</v>
      </c>
      <c r="G3349" s="3" t="e">
        <f t="shared" si="117"/>
        <v>#VALUE!</v>
      </c>
      <c r="H3349" s="3" t="e">
        <f t="shared" si="116"/>
        <v>#VALUE!</v>
      </c>
      <c r="I3349" s="1">
        <v>1</v>
      </c>
    </row>
    <row r="3350" spans="1:9" x14ac:dyDescent="0.25">
      <c r="A3350" s="1" t="s">
        <v>14435</v>
      </c>
      <c r="B3350" s="1" t="s">
        <v>9895</v>
      </c>
      <c r="C3350" s="1" t="str">
        <f>IFERROR(VLOOKUP(B3350,'SB1'!$A$2:$B$999999,2,FALSE),"")</f>
        <v>LACA PARA PISO PU PLASTILUX Q501 BRILLANTE X 10</v>
      </c>
      <c r="D3350" s="1" t="s">
        <v>14449</v>
      </c>
      <c r="E3350" s="3">
        <f>IFERROR(VLOOKUP(B3350,'DA1'!$B$2:$D$999999,3,FALSE),"")</f>
      </c>
      <c r="F3350" s="1" t="str">
        <f>IFERROR(VLOOKUP(B3350,'SB1'!$A$2:$C$999999,3,FALSE),"")</f>
        <v>503</v>
      </c>
      <c r="G3350" s="3" t="e">
        <f t="shared" si="117"/>
        <v>#VALUE!</v>
      </c>
      <c r="H3350" s="3" t="e">
        <f t="shared" si="116"/>
        <v>#VALUE!</v>
      </c>
      <c r="I3350" s="1">
        <v>1</v>
      </c>
    </row>
    <row r="3351" spans="1:9" x14ac:dyDescent="0.25">
      <c r="A3351" s="1" t="s">
        <v>14435</v>
      </c>
      <c r="B3351" s="1" t="s">
        <v>9905</v>
      </c>
      <c r="C3351" s="1" t="str">
        <f>IFERROR(VLOOKUP(B3351,'SB1'!$A$2:$B$999999,2,FALSE),"")</f>
        <v>PINTURA PARA PILETA PLAVICON AL AGUA MATE AZUL CARIBE X  1</v>
      </c>
      <c r="D3351" s="1" t="s">
        <v>14458</v>
      </c>
      <c r="E3351" s="3">
        <f>IFERROR(VLOOKUP(B3351,'DA1'!$B$2:$D$999999,3,FALSE),"")</f>
      </c>
      <c r="F3351" s="1" t="str">
        <f>IFERROR(VLOOKUP(B3351,'SB1'!$A$2:$C$999999,3,FALSE),"")</f>
        <v>503</v>
      </c>
      <c r="G3351" s="3" t="e">
        <f t="shared" si="117"/>
        <v>#VALUE!</v>
      </c>
      <c r="H3351" s="3" t="e">
        <f t="shared" si="116"/>
        <v>#VALUE!</v>
      </c>
      <c r="I3351" s="1">
        <v>1</v>
      </c>
    </row>
    <row r="3352" spans="1:9" x14ac:dyDescent="0.25">
      <c r="A3352" s="1" t="s">
        <v>14435</v>
      </c>
      <c r="B3352" s="1" t="s">
        <v>9907</v>
      </c>
      <c r="C3352" s="1" t="str">
        <f>IFERROR(VLOOKUP(B3352,'SB1'!$A$2:$B$999999,2,FALSE),"")</f>
        <v>PINTURA PARA PILETA PLAVICON AL AGUA MATE AZUL CARIBE X  4</v>
      </c>
      <c r="D3352" s="1" t="s">
        <v>14458</v>
      </c>
      <c r="E3352" s="3">
        <f>IFERROR(VLOOKUP(B3352,'DA1'!$B$2:$D$999999,3,FALSE),"")</f>
      </c>
      <c r="F3352" s="1" t="str">
        <f>IFERROR(VLOOKUP(B3352,'SB1'!$A$2:$C$999999,3,FALSE),"")</f>
        <v>503</v>
      </c>
      <c r="G3352" s="3" t="e">
        <f t="shared" si="117"/>
        <v>#VALUE!</v>
      </c>
      <c r="H3352" s="3" t="e">
        <f t="shared" si="116"/>
        <v>#VALUE!</v>
      </c>
      <c r="I3352" s="1">
        <v>1</v>
      </c>
    </row>
    <row r="3353" spans="1:9" x14ac:dyDescent="0.25">
      <c r="A3353" s="1" t="s">
        <v>14435</v>
      </c>
      <c r="B3353" s="1" t="s">
        <v>9909</v>
      </c>
      <c r="C3353" s="1" t="str">
        <f>IFERROR(VLOOKUP(B3353,'SB1'!$A$2:$B$999999,2,FALSE),"")</f>
        <v>PINTURA PARA PILETA PLAVICON AL AGUA MATE AZUL CARIBE X 10</v>
      </c>
      <c r="D3353" s="1" t="s">
        <v>14458</v>
      </c>
      <c r="E3353" s="3">
        <f>IFERROR(VLOOKUP(B3353,'DA1'!$B$2:$D$999999,3,FALSE),"")</f>
      </c>
      <c r="F3353" s="1" t="str">
        <f>IFERROR(VLOOKUP(B3353,'SB1'!$A$2:$C$999999,3,FALSE),"")</f>
        <v>503</v>
      </c>
      <c r="G3353" s="3" t="e">
        <f t="shared" si="117"/>
        <v>#VALUE!</v>
      </c>
      <c r="H3353" s="3" t="e">
        <f t="shared" si="116"/>
        <v>#VALUE!</v>
      </c>
      <c r="I3353" s="1">
        <v>1</v>
      </c>
    </row>
    <row r="3354" spans="1:9" x14ac:dyDescent="0.25">
      <c r="A3354" s="1" t="s">
        <v>14435</v>
      </c>
      <c r="B3354" s="1" t="s">
        <v>9911</v>
      </c>
      <c r="C3354" s="1" t="str">
        <f>IFERROR(VLOOKUP(B3354,'SB1'!$A$2:$B$999999,2,FALSE),"")</f>
        <v>PINTURA PARA PILETA PLAVICON AL AGUA MATE AZUL CARIBE X 20</v>
      </c>
      <c r="D3354" s="1" t="s">
        <v>14458</v>
      </c>
      <c r="E3354" s="3">
        <f>IFERROR(VLOOKUP(B3354,'DA1'!$B$2:$D$999999,3,FALSE),"")</f>
      </c>
      <c r="F3354" s="1" t="str">
        <f>IFERROR(VLOOKUP(B3354,'SB1'!$A$2:$C$999999,3,FALSE),"")</f>
        <v>503</v>
      </c>
      <c r="G3354" s="3" t="e">
        <f t="shared" si="117"/>
        <v>#VALUE!</v>
      </c>
      <c r="H3354" s="3" t="e">
        <f t="shared" si="116"/>
        <v>#VALUE!</v>
      </c>
      <c r="I3354" s="1">
        <v>1</v>
      </c>
    </row>
    <row r="3355" spans="1:9" x14ac:dyDescent="0.25">
      <c r="A3355" s="1" t="s">
        <v>14435</v>
      </c>
      <c r="B3355" s="1" t="s">
        <v>9913</v>
      </c>
      <c r="C3355" s="1" t="str">
        <f>IFERROR(VLOOKUP(B3355,'SB1'!$A$2:$B$999999,2,FALSE),"")</f>
        <v>PINTURA PARA PILETA PLAVICON AL AGUA MATE BLANCO X  1</v>
      </c>
      <c r="D3355" s="1" t="s">
        <v>14458</v>
      </c>
      <c r="E3355" s="3">
        <f>IFERROR(VLOOKUP(B3355,'DA1'!$B$2:$D$999999,3,FALSE),"")</f>
      </c>
      <c r="F3355" s="1" t="str">
        <f>IFERROR(VLOOKUP(B3355,'SB1'!$A$2:$C$999999,3,FALSE),"")</f>
        <v>503</v>
      </c>
      <c r="G3355" s="3" t="e">
        <f t="shared" si="117"/>
        <v>#VALUE!</v>
      </c>
      <c r="H3355" s="3" t="e">
        <f t="shared" si="116"/>
        <v>#VALUE!</v>
      </c>
      <c r="I3355" s="1">
        <v>1</v>
      </c>
    </row>
    <row r="3356" spans="1:9" x14ac:dyDescent="0.25">
      <c r="A3356" s="1" t="s">
        <v>14435</v>
      </c>
      <c r="B3356" s="1" t="s">
        <v>9915</v>
      </c>
      <c r="C3356" s="1" t="str">
        <f>IFERROR(VLOOKUP(B3356,'SB1'!$A$2:$B$999999,2,FALSE),"")</f>
        <v>PINTURA PARA PILETA PLAVICON AL AGUA MATE BLANCO X  4</v>
      </c>
      <c r="D3356" s="1" t="s">
        <v>14458</v>
      </c>
      <c r="E3356" s="3">
        <f>IFERROR(VLOOKUP(B3356,'DA1'!$B$2:$D$999999,3,FALSE),"")</f>
      </c>
      <c r="F3356" s="1" t="str">
        <f>IFERROR(VLOOKUP(B3356,'SB1'!$A$2:$C$999999,3,FALSE),"")</f>
        <v>503</v>
      </c>
      <c r="G3356" s="3" t="e">
        <f t="shared" si="117"/>
        <v>#VALUE!</v>
      </c>
      <c r="H3356" s="3" t="e">
        <f t="shared" si="116"/>
        <v>#VALUE!</v>
      </c>
      <c r="I3356" s="1">
        <v>1</v>
      </c>
    </row>
    <row r="3357" spans="1:9" x14ac:dyDescent="0.25">
      <c r="A3357" s="1" t="s">
        <v>14435</v>
      </c>
      <c r="B3357" s="1" t="s">
        <v>9917</v>
      </c>
      <c r="C3357" s="1" t="str">
        <f>IFERROR(VLOOKUP(B3357,'SB1'!$A$2:$B$999999,2,FALSE),"")</f>
        <v>PINTURA PARA PILETA PLAVICON AL AGUA MATE BLANCO X 10</v>
      </c>
      <c r="D3357" s="1" t="s">
        <v>14458</v>
      </c>
      <c r="E3357" s="3">
        <f>IFERROR(VLOOKUP(B3357,'DA1'!$B$2:$D$999999,3,FALSE),"")</f>
      </c>
      <c r="F3357" s="1" t="str">
        <f>IFERROR(VLOOKUP(B3357,'SB1'!$A$2:$C$999999,3,FALSE),"")</f>
        <v>503</v>
      </c>
      <c r="G3357" s="3" t="e">
        <f t="shared" si="117"/>
        <v>#VALUE!</v>
      </c>
      <c r="H3357" s="3" t="e">
        <f t="shared" si="116"/>
        <v>#VALUE!</v>
      </c>
      <c r="I3357" s="1">
        <v>1</v>
      </c>
    </row>
    <row r="3358" spans="1:9" x14ac:dyDescent="0.25">
      <c r="A3358" s="1" t="s">
        <v>14435</v>
      </c>
      <c r="B3358" s="1" t="s">
        <v>9919</v>
      </c>
      <c r="C3358" s="1" t="str">
        <f>IFERROR(VLOOKUP(B3358,'SB1'!$A$2:$B$999999,2,FALSE),"")</f>
        <v>PINTURA PARA PILETA PLAVICON AL AGUA MATE BLANCO X 20</v>
      </c>
      <c r="D3358" s="1" t="s">
        <v>14458</v>
      </c>
      <c r="E3358" s="3">
        <f>IFERROR(VLOOKUP(B3358,'DA1'!$B$2:$D$999999,3,FALSE),"")</f>
      </c>
      <c r="F3358" s="1" t="str">
        <f>IFERROR(VLOOKUP(B3358,'SB1'!$A$2:$C$999999,3,FALSE),"")</f>
        <v>503</v>
      </c>
      <c r="G3358" s="3" t="e">
        <f t="shared" si="117"/>
        <v>#VALUE!</v>
      </c>
      <c r="H3358" s="3" t="e">
        <f t="shared" si="116"/>
        <v>#VALUE!</v>
      </c>
      <c r="I3358" s="1">
        <v>1</v>
      </c>
    </row>
    <row r="3359" spans="1:9" x14ac:dyDescent="0.25">
      <c r="A3359" s="1" t="s">
        <v>14435</v>
      </c>
      <c r="B3359" s="1" t="s">
        <v>9921</v>
      </c>
      <c r="C3359" s="1" t="str">
        <f>IFERROR(VLOOKUP(B3359,'SB1'!$A$2:$B$999999,2,FALSE),"")</f>
        <v>PINTURA PARA PILETA PLAVICON AL AGUA MATE ARENA X  1</v>
      </c>
      <c r="D3359" s="1" t="s">
        <v>14458</v>
      </c>
      <c r="E3359" s="3">
        <f>IFERROR(VLOOKUP(B3359,'DA1'!$B$2:$D$999999,3,FALSE),"")</f>
      </c>
      <c r="F3359" s="1" t="str">
        <f>IFERROR(VLOOKUP(B3359,'SB1'!$A$2:$C$999999,3,FALSE),"")</f>
        <v>503</v>
      </c>
      <c r="G3359" s="3" t="e">
        <f t="shared" si="117"/>
        <v>#VALUE!</v>
      </c>
      <c r="H3359" s="3" t="e">
        <f t="shared" si="116"/>
        <v>#VALUE!</v>
      </c>
      <c r="I3359" s="1">
        <v>1</v>
      </c>
    </row>
    <row r="3360" spans="1:9" x14ac:dyDescent="0.25">
      <c r="A3360" s="1" t="s">
        <v>14435</v>
      </c>
      <c r="B3360" s="1" t="s">
        <v>9923</v>
      </c>
      <c r="C3360" s="1" t="str">
        <f>IFERROR(VLOOKUP(B3360,'SB1'!$A$2:$B$999999,2,FALSE),"")</f>
        <v>PINTURA PARA PILETA PLAVICON AL AGUA MATE ARENA X  4</v>
      </c>
      <c r="D3360" s="1" t="s">
        <v>14458</v>
      </c>
      <c r="E3360" s="3">
        <f>IFERROR(VLOOKUP(B3360,'DA1'!$B$2:$D$999999,3,FALSE),"")</f>
      </c>
      <c r="F3360" s="1" t="str">
        <f>IFERROR(VLOOKUP(B3360,'SB1'!$A$2:$C$999999,3,FALSE),"")</f>
        <v>503</v>
      </c>
      <c r="G3360" s="3" t="e">
        <f t="shared" si="117"/>
        <v>#VALUE!</v>
      </c>
      <c r="H3360" s="3" t="e">
        <f t="shared" si="116"/>
        <v>#VALUE!</v>
      </c>
      <c r="I3360" s="1">
        <v>1</v>
      </c>
    </row>
    <row r="3361" spans="1:9" x14ac:dyDescent="0.25">
      <c r="A3361" s="1" t="s">
        <v>14435</v>
      </c>
      <c r="B3361" s="1" t="s">
        <v>9925</v>
      </c>
      <c r="C3361" s="1" t="str">
        <f>IFERROR(VLOOKUP(B3361,'SB1'!$A$2:$B$999999,2,FALSE),"")</f>
        <v>PINTURA PARA PILETA PLAVICON AL AGUA MATE ARENA X 10</v>
      </c>
      <c r="D3361" s="1" t="s">
        <v>14458</v>
      </c>
      <c r="E3361" s="3">
        <f>IFERROR(VLOOKUP(B3361,'DA1'!$B$2:$D$999999,3,FALSE),"")</f>
      </c>
      <c r="F3361" s="1" t="str">
        <f>IFERROR(VLOOKUP(B3361,'SB1'!$A$2:$C$999999,3,FALSE),"")</f>
        <v>503</v>
      </c>
      <c r="G3361" s="3" t="e">
        <f t="shared" si="117"/>
        <v>#VALUE!</v>
      </c>
      <c r="H3361" s="3" t="e">
        <f t="shared" si="116"/>
        <v>#VALUE!</v>
      </c>
      <c r="I3361" s="1">
        <v>1</v>
      </c>
    </row>
    <row r="3362" spans="1:9" x14ac:dyDescent="0.25">
      <c r="A3362" s="1" t="s">
        <v>14435</v>
      </c>
      <c r="B3362" s="1" t="s">
        <v>9927</v>
      </c>
      <c r="C3362" s="1" t="str">
        <f>IFERROR(VLOOKUP(B3362,'SB1'!$A$2:$B$999999,2,FALSE),"")</f>
        <v>PINTURA PARA PILETA PLAVICON AL AGUA MATE ARENA X 20</v>
      </c>
      <c r="D3362" s="1" t="s">
        <v>14458</v>
      </c>
      <c r="E3362" s="3">
        <f>IFERROR(VLOOKUP(B3362,'DA1'!$B$2:$D$999999,3,FALSE),"")</f>
      </c>
      <c r="F3362" s="1" t="str">
        <f>IFERROR(VLOOKUP(B3362,'SB1'!$A$2:$C$999999,3,FALSE),"")</f>
        <v>503</v>
      </c>
      <c r="G3362" s="3" t="e">
        <f t="shared" si="117"/>
        <v>#VALUE!</v>
      </c>
      <c r="H3362" s="3" t="e">
        <f t="shared" si="116"/>
        <v>#VALUE!</v>
      </c>
      <c r="I3362" s="1">
        <v>1</v>
      </c>
    </row>
    <row r="3363" spans="1:9" x14ac:dyDescent="0.25">
      <c r="A3363" s="1" t="s">
        <v>14435</v>
      </c>
      <c r="B3363" s="1" t="s">
        <v>9929</v>
      </c>
      <c r="C3363" s="1" t="str">
        <f>IFERROR(VLOOKUP(B3363,'SB1'!$A$2:$B$999999,2,FALSE),"")</f>
        <v>PINTURA PARA PILETA PLAVICON AL AGUA MATE AZUL PROFUNDO X  1</v>
      </c>
      <c r="D3363" s="1" t="s">
        <v>14458</v>
      </c>
      <c r="E3363" s="3">
        <f>IFERROR(VLOOKUP(B3363,'DA1'!$B$2:$D$999999,3,FALSE),"")</f>
      </c>
      <c r="F3363" s="1" t="str">
        <f>IFERROR(VLOOKUP(B3363,'SB1'!$A$2:$C$999999,3,FALSE),"")</f>
        <v>503</v>
      </c>
      <c r="G3363" s="3" t="e">
        <f t="shared" si="117"/>
        <v>#VALUE!</v>
      </c>
      <c r="H3363" s="3" t="e">
        <f t="shared" si="116"/>
        <v>#VALUE!</v>
      </c>
      <c r="I3363" s="1">
        <v>1</v>
      </c>
    </row>
    <row r="3364" spans="1:9" x14ac:dyDescent="0.25">
      <c r="A3364" s="1" t="s">
        <v>14435</v>
      </c>
      <c r="B3364" s="1" t="s">
        <v>9931</v>
      </c>
      <c r="C3364" s="1" t="str">
        <f>IFERROR(VLOOKUP(B3364,'SB1'!$A$2:$B$999999,2,FALSE),"")</f>
        <v>PINTURA PARA PILETA PLAVICON AL AGUA MATE AZUL PROFUNDO X  4</v>
      </c>
      <c r="D3364" s="1" t="s">
        <v>14458</v>
      </c>
      <c r="E3364" s="3">
        <f>IFERROR(VLOOKUP(B3364,'DA1'!$B$2:$D$999999,3,FALSE),"")</f>
      </c>
      <c r="F3364" s="1" t="str">
        <f>IFERROR(VLOOKUP(B3364,'SB1'!$A$2:$C$999999,3,FALSE),"")</f>
        <v>503</v>
      </c>
      <c r="G3364" s="3" t="e">
        <f t="shared" si="117"/>
        <v>#VALUE!</v>
      </c>
      <c r="H3364" s="3" t="e">
        <f t="shared" si="116"/>
        <v>#VALUE!</v>
      </c>
      <c r="I3364" s="1">
        <v>1</v>
      </c>
    </row>
    <row r="3365" spans="1:9" x14ac:dyDescent="0.25">
      <c r="A3365" s="1" t="s">
        <v>14435</v>
      </c>
      <c r="B3365" s="1" t="s">
        <v>9933</v>
      </c>
      <c r="C3365" s="1" t="str">
        <f>IFERROR(VLOOKUP(B3365,'SB1'!$A$2:$B$999999,2,FALSE),"")</f>
        <v>PINTURA PARA PILETA PLAVICON AL AGUA MATE AZUL PROFUNDO X 10</v>
      </c>
      <c r="D3365" s="1" t="s">
        <v>14458</v>
      </c>
      <c r="E3365" s="3">
        <f>IFERROR(VLOOKUP(B3365,'DA1'!$B$2:$D$999999,3,FALSE),"")</f>
      </c>
      <c r="F3365" s="1" t="str">
        <f>IFERROR(VLOOKUP(B3365,'SB1'!$A$2:$C$999999,3,FALSE),"")</f>
        <v>503</v>
      </c>
      <c r="G3365" s="3" t="e">
        <f t="shared" si="117"/>
        <v>#VALUE!</v>
      </c>
      <c r="H3365" s="3" t="e">
        <f t="shared" si="116"/>
        <v>#VALUE!</v>
      </c>
      <c r="I3365" s="1">
        <v>1</v>
      </c>
    </row>
    <row r="3366" spans="1:9" x14ac:dyDescent="0.25">
      <c r="A3366" s="1" t="s">
        <v>14435</v>
      </c>
      <c r="B3366" s="1" t="s">
        <v>9935</v>
      </c>
      <c r="C3366" s="1" t="str">
        <f>IFERROR(VLOOKUP(B3366,'SB1'!$A$2:$B$999999,2,FALSE),"")</f>
        <v>PINTURA PARA PILETA PLAVICON AL AGUA MATE AZUL PROFUNDO X 20</v>
      </c>
      <c r="D3366" s="1" t="s">
        <v>14458</v>
      </c>
      <c r="E3366" s="3">
        <f>IFERROR(VLOOKUP(B3366,'DA1'!$B$2:$D$999999,3,FALSE),"")</f>
      </c>
      <c r="F3366" s="1" t="str">
        <f>IFERROR(VLOOKUP(B3366,'SB1'!$A$2:$C$999999,3,FALSE),"")</f>
        <v>503</v>
      </c>
      <c r="G3366" s="3" t="e">
        <f t="shared" si="117"/>
        <v>#VALUE!</v>
      </c>
      <c r="H3366" s="3" t="e">
        <f t="shared" si="116"/>
        <v>#VALUE!</v>
      </c>
      <c r="I3366" s="1">
        <v>1</v>
      </c>
    </row>
    <row r="3367" spans="1:9" x14ac:dyDescent="0.25">
      <c r="A3367" s="1" t="s">
        <v>14435</v>
      </c>
      <c r="B3367" s="1" t="s">
        <v>9937</v>
      </c>
      <c r="C3367" s="1" t="str">
        <f>IFERROR(VLOOKUP(B3367,'SB1'!$A$2:$B$999999,2,FALSE),"")</f>
        <v>PINTURA PARA PILETA PLAVICON AL AGUA MATE VERDE ESMERALDA X  1</v>
      </c>
      <c r="D3367" s="1" t="s">
        <v>14458</v>
      </c>
      <c r="E3367" s="3">
        <f>IFERROR(VLOOKUP(B3367,'DA1'!$B$2:$D$999999,3,FALSE),"")</f>
      </c>
      <c r="F3367" s="1" t="str">
        <f>IFERROR(VLOOKUP(B3367,'SB1'!$A$2:$C$999999,3,FALSE),"")</f>
        <v>503</v>
      </c>
      <c r="G3367" s="3" t="e">
        <f t="shared" si="117"/>
        <v>#VALUE!</v>
      </c>
      <c r="H3367" s="3" t="e">
        <f t="shared" si="116"/>
        <v>#VALUE!</v>
      </c>
      <c r="I3367" s="1">
        <v>1</v>
      </c>
    </row>
    <row r="3368" spans="1:9" x14ac:dyDescent="0.25">
      <c r="A3368" s="1" t="s">
        <v>14435</v>
      </c>
      <c r="B3368" s="1" t="s">
        <v>9939</v>
      </c>
      <c r="C3368" s="1" t="str">
        <f>IFERROR(VLOOKUP(B3368,'SB1'!$A$2:$B$999999,2,FALSE),"")</f>
        <v>PINTURA PARA PILETA PLAVICON AL AGUA MATE VERDE ESMERALDA X  4</v>
      </c>
      <c r="D3368" s="1" t="s">
        <v>14458</v>
      </c>
      <c r="E3368" s="3">
        <f>IFERROR(VLOOKUP(B3368,'DA1'!$B$2:$D$999999,3,FALSE),"")</f>
      </c>
      <c r="F3368" s="1" t="str">
        <f>IFERROR(VLOOKUP(B3368,'SB1'!$A$2:$C$999999,3,FALSE),"")</f>
        <v>503</v>
      </c>
      <c r="G3368" s="3" t="e">
        <f t="shared" si="117"/>
        <v>#VALUE!</v>
      </c>
      <c r="H3368" s="3" t="e">
        <f t="shared" si="116"/>
        <v>#VALUE!</v>
      </c>
      <c r="I3368" s="1">
        <v>1</v>
      </c>
    </row>
    <row r="3369" spans="1:9" x14ac:dyDescent="0.25">
      <c r="A3369" s="1" t="s">
        <v>14435</v>
      </c>
      <c r="B3369" s="1" t="s">
        <v>9941</v>
      </c>
      <c r="C3369" s="1" t="str">
        <f>IFERROR(VLOOKUP(B3369,'SB1'!$A$2:$B$999999,2,FALSE),"")</f>
        <v>PINTURA PARA PILETA PLAVICON AL AGUA MATE VERDE ESMERALDA X 10</v>
      </c>
      <c r="D3369" s="1" t="s">
        <v>14458</v>
      </c>
      <c r="E3369" s="3">
        <f>IFERROR(VLOOKUP(B3369,'DA1'!$B$2:$D$999999,3,FALSE),"")</f>
      </c>
      <c r="F3369" s="1" t="str">
        <f>IFERROR(VLOOKUP(B3369,'SB1'!$A$2:$C$999999,3,FALSE),"")</f>
        <v>503</v>
      </c>
      <c r="G3369" s="3" t="e">
        <f t="shared" si="117"/>
        <v>#VALUE!</v>
      </c>
      <c r="H3369" s="3" t="e">
        <f t="shared" si="116"/>
        <v>#VALUE!</v>
      </c>
      <c r="I3369" s="1">
        <v>1</v>
      </c>
    </row>
    <row r="3370" spans="1:9" x14ac:dyDescent="0.25">
      <c r="A3370" s="1" t="s">
        <v>14435</v>
      </c>
      <c r="B3370" s="1" t="s">
        <v>9943</v>
      </c>
      <c r="C3370" s="1" t="str">
        <f>IFERROR(VLOOKUP(B3370,'SB1'!$A$2:$B$999999,2,FALSE),"")</f>
        <v>PINTURA PARA PILETA PLAVICON AL AGUA MATE VERDE ESMERALDA X 20</v>
      </c>
      <c r="D3370" s="1" t="s">
        <v>14458</v>
      </c>
      <c r="E3370" s="3">
        <f>IFERROR(VLOOKUP(B3370,'DA1'!$B$2:$D$999999,3,FALSE),"")</f>
      </c>
      <c r="F3370" s="1" t="str">
        <f>IFERROR(VLOOKUP(B3370,'SB1'!$A$2:$C$999999,3,FALSE),"")</f>
        <v>503</v>
      </c>
      <c r="G3370" s="3" t="e">
        <f t="shared" si="117"/>
        <v>#VALUE!</v>
      </c>
      <c r="H3370" s="3" t="e">
        <f t="shared" si="116"/>
        <v>#VALUE!</v>
      </c>
      <c r="I3370" s="1">
        <v>1</v>
      </c>
    </row>
    <row r="3371" spans="1:9" x14ac:dyDescent="0.25">
      <c r="A3371" s="1" t="s">
        <v>14435</v>
      </c>
      <c r="B3371" s="1" t="s">
        <v>9985</v>
      </c>
      <c r="C3371" s="1" t="str">
        <f>IFERROR(VLOOKUP(B3371,'SB1'!$A$2:$B$999999,2,FALSE),"")</f>
        <v>TRANSEPOXI TERSUAVE INDULAC X 8</v>
      </c>
      <c r="D3371" s="1" t="s">
        <v>14437</v>
      </c>
      <c r="E3371" s="3">
        <f>IFERROR(VLOOKUP(B3371,'DA1'!$B$2:$D$999999,3,FALSE),"")</f>
      </c>
      <c r="F3371" s="1" t="str">
        <f>IFERROR(VLOOKUP(B3371,'SB1'!$A$2:$C$999999,3,FALSE),"")</f>
        <v>503</v>
      </c>
      <c r="G3371" s="3" t="e">
        <f t="shared" si="117"/>
        <v>#VALUE!</v>
      </c>
      <c r="H3371" s="3" t="e">
        <f t="shared" si="116"/>
        <v>#VALUE!</v>
      </c>
      <c r="I3371" s="1">
        <v>1</v>
      </c>
    </row>
    <row r="3372" spans="1:9" x14ac:dyDescent="0.25">
      <c r="A3372" s="1" t="s">
        <v>14435</v>
      </c>
      <c r="B3372" s="1" t="s">
        <v>9987</v>
      </c>
      <c r="C3372" s="1" t="str">
        <f>IFERROR(VLOOKUP(B3372,'SB1'!$A$2:$B$999999,2,FALSE),"")</f>
        <v>PEGAMENTO RAPIDO WEBER PISO SOBRE PISO 12 HS. GRIS X 25</v>
      </c>
      <c r="D3372" s="1" t="s">
        <v>14488</v>
      </c>
      <c r="E3372" s="3">
        <f>IFERROR(VLOOKUP(B3372,'DA1'!$B$2:$D$999999,3,FALSE),"")</f>
      </c>
      <c r="F3372" s="1" t="str">
        <f>IFERROR(VLOOKUP(B3372,'SB1'!$A$2:$C$999999,3,FALSE),"")</f>
        <v>503</v>
      </c>
      <c r="G3372" s="3" t="e">
        <f t="shared" si="117"/>
        <v>#VALUE!</v>
      </c>
      <c r="H3372" s="3" t="e">
        <f t="shared" si="116"/>
        <v>#VALUE!</v>
      </c>
      <c r="I3372" s="1">
        <v>1</v>
      </c>
    </row>
    <row r="3373" spans="1:9" x14ac:dyDescent="0.25">
      <c r="A3373" s="1" t="s">
        <v>14435</v>
      </c>
      <c r="B3373" s="1" t="s">
        <v>9987</v>
      </c>
      <c r="C3373" s="1" t="str">
        <f>IFERROR(VLOOKUP(B3373,'SB1'!$A$2:$B$999999,2,FALSE),"")</f>
        <v>PEGAMENTO RAPIDO WEBER PISO SOBRE PISO 12 HS. GRIS X 25</v>
      </c>
      <c r="D3373" s="1" t="s">
        <v>14488</v>
      </c>
      <c r="E3373" s="3">
        <f>IFERROR(VLOOKUP(B3373,'DA1'!$B$2:$D$999999,3,FALSE),"")</f>
      </c>
      <c r="F3373" s="1" t="str">
        <f>IFERROR(VLOOKUP(B3373,'SB1'!$A$2:$C$999999,3,FALSE),"")</f>
        <v>503</v>
      </c>
      <c r="G3373" s="3" t="e">
        <f t="shared" si="117"/>
        <v>#VALUE!</v>
      </c>
      <c r="H3373" s="3" t="e">
        <f t="shared" si="116"/>
        <v>#VALUE!</v>
      </c>
      <c r="I3373" s="1">
        <v>1</v>
      </c>
    </row>
    <row r="3374" spans="1:9" x14ac:dyDescent="0.25">
      <c r="A3374" s="1" t="s">
        <v>14435</v>
      </c>
      <c r="B3374" s="1" t="s">
        <v>9989</v>
      </c>
      <c r="C3374" s="1" t="str">
        <f>IFERROR(VLOOKUP(B3374,'SB1'!$A$2:$B$999999,2,FALSE),"")</f>
        <v>PEGAMENTO FLEX.PIEZAS H.60X120 WEBER FLEX PORCELLANATO GRIS X 25</v>
      </c>
      <c r="D3374" s="1" t="s">
        <v>14488</v>
      </c>
      <c r="E3374" s="3">
        <f>IFERROR(VLOOKUP(B3374,'DA1'!$B$2:$D$999999,3,FALSE),"")</f>
      </c>
      <c r="F3374" s="1" t="str">
        <f>IFERROR(VLOOKUP(B3374,'SB1'!$A$2:$C$999999,3,FALSE),"")</f>
        <v>503</v>
      </c>
      <c r="G3374" s="3" t="e">
        <f t="shared" si="117"/>
        <v>#VALUE!</v>
      </c>
      <c r="H3374" s="3" t="e">
        <f t="shared" si="116"/>
        <v>#VALUE!</v>
      </c>
      <c r="I3374" s="1">
        <v>1</v>
      </c>
    </row>
    <row r="3375" spans="1:9" x14ac:dyDescent="0.25">
      <c r="A3375" s="1" t="s">
        <v>14435</v>
      </c>
      <c r="B3375" s="1" t="s">
        <v>9993</v>
      </c>
      <c r="C3375" s="1" t="str">
        <f>IFERROR(VLOOKUP(B3375,'SB1'!$A$2:$B$999999,2,FALSE),"")</f>
        <v>EPOXY BASE AGUA HP 5300 RUST OLEUM BLANCO X 3,78 (5392408)</v>
      </c>
      <c r="D3375" s="1" t="s">
        <v>14439</v>
      </c>
      <c r="E3375" s="3">
        <f>IFERROR(VLOOKUP(B3375,'DA1'!$B$2:$D$999999,3,FALSE),"")</f>
      </c>
      <c r="F3375" s="1" t="str">
        <f>IFERROR(VLOOKUP(B3375,'SB1'!$A$2:$C$999999,3,FALSE),"")</f>
        <v>503</v>
      </c>
      <c r="G3375" s="3" t="e">
        <f t="shared" si="117"/>
        <v>#VALUE!</v>
      </c>
      <c r="H3375" s="3" t="e">
        <f t="shared" si="116"/>
        <v>#VALUE!</v>
      </c>
      <c r="I3375" s="1">
        <v>1</v>
      </c>
    </row>
    <row r="3376" spans="1:9" x14ac:dyDescent="0.25">
      <c r="A3376" s="1" t="s">
        <v>14435</v>
      </c>
      <c r="B3376" s="1" t="s">
        <v>9995</v>
      </c>
      <c r="C3376" s="1" t="str">
        <f>IFERROR(VLOOKUP(B3376,'SB1'!$A$2:$B$999999,2,FALSE),"")</f>
        <v>IMPERMEABILIZANTE PARA TECHOS ALBAFRENT SATINADO BLANCO X  4</v>
      </c>
      <c r="D3376" s="1" t="s">
        <v>14441</v>
      </c>
      <c r="E3376" s="3">
        <f>IFERROR(VLOOKUP(B3376,'DA1'!$B$2:$D$999999,3,FALSE),"")</f>
      </c>
      <c r="F3376" s="1" t="str">
        <f>IFERROR(VLOOKUP(B3376,'SB1'!$A$2:$C$999999,3,FALSE),"")</f>
        <v>503</v>
      </c>
      <c r="G3376" s="3" t="e">
        <f t="shared" si="117"/>
        <v>#VALUE!</v>
      </c>
      <c r="H3376" s="3" t="e">
        <f t="shared" si="116"/>
        <v>#VALUE!</v>
      </c>
      <c r="I3376" s="1">
        <v>1</v>
      </c>
    </row>
    <row r="3377" spans="1:9" x14ac:dyDescent="0.25">
      <c r="A3377" s="1" t="s">
        <v>14435</v>
      </c>
      <c r="B3377" s="1" t="s">
        <v>9997</v>
      </c>
      <c r="C3377" s="1" t="str">
        <f>IFERROR(VLOOKUP(B3377,'SB1'!$A$2:$B$999999,2,FALSE),"")</f>
        <v>IMPERMEABILIZANTE PARA TECHOS ALBAFRENT SATINADO BLANCO X 10</v>
      </c>
      <c r="D3377" s="1" t="s">
        <v>14441</v>
      </c>
      <c r="E3377" s="3">
        <f>IFERROR(VLOOKUP(B3377,'DA1'!$B$2:$D$999999,3,FALSE),"")</f>
      </c>
      <c r="F3377" s="1" t="str">
        <f>IFERROR(VLOOKUP(B3377,'SB1'!$A$2:$C$999999,3,FALSE),"")</f>
        <v>503</v>
      </c>
      <c r="G3377" s="3" t="e">
        <f t="shared" si="117"/>
        <v>#VALUE!</v>
      </c>
      <c r="H3377" s="3" t="e">
        <f t="shared" si="116"/>
        <v>#VALUE!</v>
      </c>
      <c r="I3377" s="1">
        <v>1</v>
      </c>
    </row>
    <row r="3378" spans="1:9" x14ac:dyDescent="0.25">
      <c r="A3378" s="1" t="s">
        <v>14435</v>
      </c>
      <c r="B3378" s="1" t="s">
        <v>9999</v>
      </c>
      <c r="C3378" s="1" t="str">
        <f>IFERROR(VLOOKUP(B3378,'SB1'!$A$2:$B$999999,2,FALSE),"")</f>
        <v>IMPERMEABILIZANTE PARA TECHOS ALBAFRENT SATINADO BLANCO X 20</v>
      </c>
      <c r="D3378" s="1" t="s">
        <v>14441</v>
      </c>
      <c r="E3378" s="3">
        <f>IFERROR(VLOOKUP(B3378,'DA1'!$B$2:$D$999999,3,FALSE),"")</f>
      </c>
      <c r="F3378" s="1" t="str">
        <f>IFERROR(VLOOKUP(B3378,'SB1'!$A$2:$C$999999,3,FALSE),"")</f>
        <v>503</v>
      </c>
      <c r="G3378" s="3" t="e">
        <f t="shared" si="117"/>
        <v>#VALUE!</v>
      </c>
      <c r="H3378" s="3" t="e">
        <f t="shared" si="116"/>
        <v>#VALUE!</v>
      </c>
      <c r="I3378" s="1">
        <v>1</v>
      </c>
    </row>
    <row r="3379" spans="1:9" x14ac:dyDescent="0.25">
      <c r="A3379" s="1" t="s">
        <v>14435</v>
      </c>
      <c r="B3379" s="1" t="s">
        <v>10001</v>
      </c>
      <c r="C3379" s="1" t="str">
        <f>IFERROR(VLOOKUP(B3379,'SB1'!$A$2:$B$999999,2,FALSE),"")</f>
        <v>DX101 PASTA DE LIJADO X 0,325</v>
      </c>
      <c r="D3379" s="1" t="s">
        <v>14446</v>
      </c>
      <c r="E3379" s="3">
        <f>IFERROR(VLOOKUP(B3379,'DA1'!$B$2:$D$999999,3,FALSE),"")</f>
      </c>
      <c r="F3379" s="1" t="str">
        <f>IFERROR(VLOOKUP(B3379,'SB1'!$A$2:$C$999999,3,FALSE),"")</f>
        <v>503</v>
      </c>
      <c r="G3379" s="3" t="e">
        <f t="shared" si="117"/>
        <v>#VALUE!</v>
      </c>
      <c r="H3379" s="3" t="e">
        <f t="shared" si="116"/>
        <v>#VALUE!</v>
      </c>
      <c r="I3379" s="1">
        <v>3</v>
      </c>
    </row>
    <row r="3380" spans="1:9" x14ac:dyDescent="0.25">
      <c r="A3380" s="1" t="s">
        <v>14435</v>
      </c>
      <c r="B3380" s="1" t="s">
        <v>10003</v>
      </c>
      <c r="C3380" s="1" t="str">
        <f>IFERROR(VLOOKUP(B3380,'SB1'!$A$2:$B$999999,2,FALSE),"")</f>
        <v>PASTINA EPOXI WEBER MAX NEGRO X 3</v>
      </c>
      <c r="D3380" s="1" t="s">
        <v>14488</v>
      </c>
      <c r="E3380" s="3">
        <f>IFERROR(VLOOKUP(B3380,'DA1'!$B$2:$D$999999,3,FALSE),"")</f>
      </c>
      <c r="F3380" s="1" t="str">
        <f>IFERROR(VLOOKUP(B3380,'SB1'!$A$2:$C$999999,3,FALSE),"")</f>
        <v>503</v>
      </c>
      <c r="G3380" s="3" t="e">
        <f t="shared" si="117"/>
        <v>#VALUE!</v>
      </c>
      <c r="H3380" s="3" t="e">
        <f t="shared" si="116"/>
        <v>#VALUE!</v>
      </c>
      <c r="I3380" s="1">
        <v>1</v>
      </c>
    </row>
    <row r="3381" spans="1:9" x14ac:dyDescent="0.25">
      <c r="A3381" s="1" t="s">
        <v>14435</v>
      </c>
      <c r="B3381" s="1" t="s">
        <v>10005</v>
      </c>
      <c r="C3381" s="1" t="str">
        <f>IFERROR(VLOOKUP(B3381,'SB1'!$A$2:$B$999999,2,FALSE),"")</f>
        <v>PASTINA EPOXI WEBER MAX GRIS PERLA X 3</v>
      </c>
      <c r="D3381" s="1" t="s">
        <v>14488</v>
      </c>
      <c r="E3381" s="3">
        <f>IFERROR(VLOOKUP(B3381,'DA1'!$B$2:$D$999999,3,FALSE),"")</f>
      </c>
      <c r="F3381" s="1" t="str">
        <f>IFERROR(VLOOKUP(B3381,'SB1'!$A$2:$C$999999,3,FALSE),"")</f>
        <v>503</v>
      </c>
      <c r="G3381" s="3" t="e">
        <f t="shared" si="117"/>
        <v>#VALUE!</v>
      </c>
      <c r="H3381" s="3" t="e">
        <f t="shared" si="116"/>
        <v>#VALUE!</v>
      </c>
      <c r="I3381" s="1">
        <v>1</v>
      </c>
    </row>
    <row r="3382" spans="1:9" x14ac:dyDescent="0.25">
      <c r="A3382" s="1" t="s">
        <v>14435</v>
      </c>
      <c r="B3382" s="1" t="s">
        <v>10007</v>
      </c>
      <c r="C3382" s="1" t="str">
        <f>IFERROR(VLOOKUP(B3382,'SB1'!$A$2:$B$999999,2,FALSE),"")</f>
        <v>PASTINA EPOXI WEBER MAX HUESO X 3</v>
      </c>
      <c r="D3382" s="1" t="s">
        <v>14488</v>
      </c>
      <c r="E3382" s="3">
        <f>IFERROR(VLOOKUP(B3382,'DA1'!$B$2:$D$999999,3,FALSE),"")</f>
      </c>
      <c r="F3382" s="1" t="str">
        <f>IFERROR(VLOOKUP(B3382,'SB1'!$A$2:$C$999999,3,FALSE),"")</f>
        <v>503</v>
      </c>
      <c r="G3382" s="3" t="e">
        <f t="shared" si="117"/>
        <v>#VALUE!</v>
      </c>
      <c r="H3382" s="3" t="e">
        <f t="shared" si="116"/>
        <v>#VALUE!</v>
      </c>
      <c r="I3382" s="1">
        <v>1</v>
      </c>
    </row>
    <row r="3383" spans="1:9" x14ac:dyDescent="0.25">
      <c r="A3383" s="1" t="s">
        <v>14435</v>
      </c>
      <c r="B3383" s="1" t="s">
        <v>10009</v>
      </c>
      <c r="C3383" s="1" t="str">
        <f>IFERROR(VLOOKUP(B3383,'SB1'!$A$2:$B$999999,2,FALSE),"")</f>
        <v>PASTINA EPOXI WEBER MAX NIEVE X 3</v>
      </c>
      <c r="D3383" s="1" t="s">
        <v>14488</v>
      </c>
      <c r="E3383" s="3">
        <f>IFERROR(VLOOKUP(B3383,'DA1'!$B$2:$D$999999,3,FALSE),"")</f>
      </c>
      <c r="F3383" s="1" t="str">
        <f>IFERROR(VLOOKUP(B3383,'SB1'!$A$2:$C$999999,3,FALSE),"")</f>
        <v>503</v>
      </c>
      <c r="G3383" s="3" t="e">
        <f t="shared" si="117"/>
        <v>#VALUE!</v>
      </c>
      <c r="H3383" s="3" t="e">
        <f t="shared" si="116"/>
        <v>#VALUE!</v>
      </c>
      <c r="I3383" s="1">
        <v>1</v>
      </c>
    </row>
    <row r="3384" spans="1:9" x14ac:dyDescent="0.25">
      <c r="A3384" s="1" t="s">
        <v>14435</v>
      </c>
      <c r="B3384" s="1" t="s">
        <v>10017</v>
      </c>
      <c r="C3384" s="1" t="str">
        <f>IFERROR(VLOOKUP(B3384,'SB1'!$A$2:$B$999999,2,FALSE),"")</f>
        <v>ANTEOJO ROGUANT SPHEREXSG-51M ELVEX (200416)</v>
      </c>
      <c r="D3384" s="1" t="s">
        <v>14494</v>
      </c>
      <c r="E3384" s="3">
        <f>IFERROR(VLOOKUP(B3384,'DA1'!$B$2:$D$999999,3,FALSE),"")</f>
      </c>
      <c r="F3384" s="1" t="str">
        <f>IFERROR(VLOOKUP(B3384,'SB1'!$A$2:$C$999999,3,FALSE),"")</f>
        <v>503</v>
      </c>
      <c r="G3384" s="3" t="e">
        <f t="shared" si="117"/>
        <v>#VALUE!</v>
      </c>
      <c r="H3384" s="3" t="e">
        <f t="shared" si="116"/>
        <v>#VALUE!</v>
      </c>
      <c r="I3384" s="1">
        <v>2</v>
      </c>
    </row>
    <row r="3385" spans="1:9" x14ac:dyDescent="0.25">
      <c r="A3385" s="1" t="s">
        <v>14435</v>
      </c>
      <c r="B3385" s="1" t="s">
        <v>10023</v>
      </c>
      <c r="C3385" s="1" t="str">
        <f>IFERROR(VLOOKUP(B3385,'SB1'!$A$2:$B$999999,2,FALSE),"")</f>
        <v>D8731/E0.4  DIFUMINANTE EN AEROSOL PU X 0,400 (D8730/E0.4)</v>
      </c>
      <c r="D3385" s="1" t="s">
        <v>14446</v>
      </c>
      <c r="E3385" s="3">
        <f>IFERROR(VLOOKUP(B3385,'DA1'!$B$2:$D$999999,3,FALSE),"")</f>
      </c>
      <c r="F3385" s="1" t="str">
        <f>IFERROR(VLOOKUP(B3385,'SB1'!$A$2:$C$999999,3,FALSE),"")</f>
        <v>503</v>
      </c>
      <c r="G3385" s="3" t="e">
        <f t="shared" si="117"/>
        <v>#VALUE!</v>
      </c>
      <c r="H3385" s="3" t="e">
        <f t="shared" si="116"/>
        <v>#VALUE!</v>
      </c>
      <c r="I3385" s="1">
        <v>3</v>
      </c>
    </row>
    <row r="3386" spans="1:9" x14ac:dyDescent="0.25">
      <c r="A3386" s="1" t="s">
        <v>14435</v>
      </c>
      <c r="B3386" s="1" t="s">
        <v>10043</v>
      </c>
      <c r="C3386" s="1" t="str">
        <f>IFERROR(VLOOKUP(B3386,'SB1'!$A$2:$B$999999,2,FALSE),"")</f>
        <v>PEGAMENTO WEBER IMPERMEABLE PIEZAS H.60X60 CERAMICO CON CERESITA X 25</v>
      </c>
      <c r="D3386" s="1" t="s">
        <v>14488</v>
      </c>
      <c r="E3386" s="3">
        <f>IFERROR(VLOOKUP(B3386,'DA1'!$B$2:$D$999999,3,FALSE),"")</f>
      </c>
      <c r="F3386" s="1" t="str">
        <f>IFERROR(VLOOKUP(B3386,'SB1'!$A$2:$C$999999,3,FALSE),"")</f>
        <v>503</v>
      </c>
      <c r="G3386" s="3" t="e">
        <f t="shared" si="117"/>
        <v>#VALUE!</v>
      </c>
      <c r="H3386" s="3" t="e">
        <f t="shared" si="116"/>
        <v>#VALUE!</v>
      </c>
      <c r="I3386" s="1">
        <v>1</v>
      </c>
    </row>
    <row r="3387" spans="1:9" x14ac:dyDescent="0.25">
      <c r="A3387" s="1" t="s">
        <v>14435</v>
      </c>
      <c r="B3387" s="1" t="s">
        <v>10045</v>
      </c>
      <c r="C3387" s="1" t="str">
        <f>IFERROR(VLOOKUP(B3387,'SB1'!$A$2:$B$999999,2,FALSE),"")</f>
        <v>CAPA BASE NIVELADORA WEBERTHERM BASE COAT GRIS X 25</v>
      </c>
      <c r="D3387" s="1" t="s">
        <v>14488</v>
      </c>
      <c r="E3387" s="3">
        <f>IFERROR(VLOOKUP(B3387,'DA1'!$B$2:$D$999999,3,FALSE),"")</f>
      </c>
      <c r="F3387" s="1" t="str">
        <f>IFERROR(VLOOKUP(B3387,'SB1'!$A$2:$C$999999,3,FALSE),"")</f>
        <v>503</v>
      </c>
      <c r="G3387" s="3" t="e">
        <f t="shared" si="117"/>
        <v>#VALUE!</v>
      </c>
      <c r="H3387" s="3" t="e">
        <f t="shared" si="116"/>
        <v>#VALUE!</v>
      </c>
      <c r="I3387" s="1">
        <v>1</v>
      </c>
    </row>
    <row r="3388" spans="1:9" x14ac:dyDescent="0.25">
      <c r="A3388" s="1" t="s">
        <v>14435</v>
      </c>
      <c r="B3388" s="1" t="s">
        <v>10047</v>
      </c>
      <c r="C3388" s="1" t="str">
        <f>IFERROR(VLOOKUP(B3388,'SB1'!$A$2:$B$999999,2,FALSE),"")</f>
        <v>CINTA AISLADORA DOBLE A  NEGRO (C146) 18MMX20MT</v>
      </c>
      <c r="D3388" s="1" t="s">
        <v>14451</v>
      </c>
      <c r="E3388" s="3">
        <f>IFERROR(VLOOKUP(B3388,'DA1'!$B$2:$D$999999,3,FALSE),"")</f>
      </c>
      <c r="F3388" s="1" t="str">
        <f>IFERROR(VLOOKUP(B3388,'SB1'!$A$2:$C$999999,3,FALSE),"")</f>
        <v>503</v>
      </c>
      <c r="G3388" s="3" t="e">
        <f t="shared" si="117"/>
        <v>#VALUE!</v>
      </c>
      <c r="H3388" s="3" t="e">
        <f t="shared" si="116"/>
        <v>#VALUE!</v>
      </c>
      <c r="I3388" s="1">
        <v>1</v>
      </c>
    </row>
    <row r="3389" spans="1:9" x14ac:dyDescent="0.25">
      <c r="A3389" s="1" t="s">
        <v>14435</v>
      </c>
      <c r="B3389" s="1" t="s">
        <v>10049</v>
      </c>
      <c r="C3389" s="1" t="str">
        <f>IFERROR(VLOOKUP(B3389,'SB1'!$A$2:$B$999999,2,FALSE),"")</f>
        <v>CINTA AISLADORA DOBLE A NEGRO (C146) 18MMX10MT</v>
      </c>
      <c r="D3389" s="1" t="s">
        <v>14451</v>
      </c>
      <c r="E3389" s="3">
        <f>IFERROR(VLOOKUP(B3389,'DA1'!$B$2:$D$999999,3,FALSE),"")</f>
      </c>
      <c r="F3389" s="1" t="str">
        <f>IFERROR(VLOOKUP(B3389,'SB1'!$A$2:$C$999999,3,FALSE),"")</f>
        <v>503</v>
      </c>
      <c r="G3389" s="3" t="e">
        <f t="shared" si="117"/>
        <v>#VALUE!</v>
      </c>
      <c r="H3389" s="3" t="e">
        <f t="shared" si="116"/>
        <v>#VALUE!</v>
      </c>
      <c r="I3389" s="1">
        <v>1</v>
      </c>
    </row>
    <row r="3390" spans="1:9" x14ac:dyDescent="0.25">
      <c r="A3390" s="1" t="s">
        <v>14435</v>
      </c>
      <c r="B3390" s="1" t="s">
        <v>10051</v>
      </c>
      <c r="C3390" s="1" t="str">
        <f>IFERROR(VLOOKUP(B3390,'SB1'!$A$2:$B$999999,2,FALSE),"")</f>
        <v>CINTA AISLADORA DOBLE A AMARILLO Y VERDE (C146) 18MMX10MT</v>
      </c>
      <c r="D3390" s="1" t="s">
        <v>14451</v>
      </c>
      <c r="E3390" s="3">
        <f>IFERROR(VLOOKUP(B3390,'DA1'!$B$2:$D$999999,3,FALSE),"")</f>
      </c>
      <c r="F3390" s="1" t="str">
        <f>IFERROR(VLOOKUP(B3390,'SB1'!$A$2:$C$999999,3,FALSE),"")</f>
        <v>503</v>
      </c>
      <c r="G3390" s="3" t="e">
        <f t="shared" si="117"/>
        <v>#VALUE!</v>
      </c>
      <c r="H3390" s="3" t="e">
        <f t="shared" ref="H3390:H3453" si="118">G3390*1.21</f>
        <v>#VALUE!</v>
      </c>
      <c r="I3390" s="1">
        <v>1</v>
      </c>
    </row>
    <row r="3391" spans="1:9" x14ac:dyDescent="0.25">
      <c r="A3391" s="1" t="s">
        <v>14435</v>
      </c>
      <c r="B3391" s="1" t="s">
        <v>10053</v>
      </c>
      <c r="C3391" s="1" t="str">
        <f>IFERROR(VLOOKUP(B3391,'SB1'!$A$2:$B$999999,2,FALSE),"")</f>
        <v>CINTA AISLADORA DOBLE A VERDE (C146) 18MMX10MT</v>
      </c>
      <c r="D3391" s="1" t="s">
        <v>14451</v>
      </c>
      <c r="E3391" s="3">
        <f>IFERROR(VLOOKUP(B3391,'DA1'!$B$2:$D$999999,3,FALSE),"")</f>
      </c>
      <c r="F3391" s="1" t="str">
        <f>IFERROR(VLOOKUP(B3391,'SB1'!$A$2:$C$999999,3,FALSE),"")</f>
        <v>503</v>
      </c>
      <c r="G3391" s="3" t="e">
        <f t="shared" si="117"/>
        <v>#VALUE!</v>
      </c>
      <c r="H3391" s="3" t="e">
        <f t="shared" si="118"/>
        <v>#VALUE!</v>
      </c>
      <c r="I3391" s="1">
        <v>1</v>
      </c>
    </row>
    <row r="3392" spans="1:9" x14ac:dyDescent="0.25">
      <c r="A3392" s="1" t="s">
        <v>14435</v>
      </c>
      <c r="B3392" s="1" t="s">
        <v>10055</v>
      </c>
      <c r="C3392" s="1" t="str">
        <f>IFERROR(VLOOKUP(B3392,'SB1'!$A$2:$B$999999,2,FALSE),"")</f>
        <v>CINTA AISLADORA DOBLE A BLANCO (C146) 18MMX10MT</v>
      </c>
      <c r="D3392" s="1" t="s">
        <v>14451</v>
      </c>
      <c r="E3392" s="3">
        <f>IFERROR(VLOOKUP(B3392,'DA1'!$B$2:$D$999999,3,FALSE),"")</f>
      </c>
      <c r="F3392" s="1" t="str">
        <f>IFERROR(VLOOKUP(B3392,'SB1'!$A$2:$C$999999,3,FALSE),"")</f>
        <v>503</v>
      </c>
      <c r="G3392" s="3" t="e">
        <f t="shared" si="117"/>
        <v>#VALUE!</v>
      </c>
      <c r="H3392" s="3" t="e">
        <f t="shared" si="118"/>
        <v>#VALUE!</v>
      </c>
      <c r="I3392" s="1">
        <v>1</v>
      </c>
    </row>
    <row r="3393" spans="1:9" x14ac:dyDescent="0.25">
      <c r="A3393" s="1" t="s">
        <v>14435</v>
      </c>
      <c r="B3393" s="1" t="s">
        <v>10057</v>
      </c>
      <c r="C3393" s="1" t="str">
        <f>IFERROR(VLOOKUP(B3393,'SB1'!$A$2:$B$999999,2,FALSE),"")</f>
        <v>CINTA AISLADORA DOBLE A AZUL (C146) 18MMX10MT</v>
      </c>
      <c r="D3393" s="1" t="s">
        <v>14451</v>
      </c>
      <c r="E3393" s="3">
        <f>IFERROR(VLOOKUP(B3393,'DA1'!$B$2:$D$999999,3,FALSE),"")</f>
      </c>
      <c r="F3393" s="1" t="str">
        <f>IFERROR(VLOOKUP(B3393,'SB1'!$A$2:$C$999999,3,FALSE),"")</f>
        <v>503</v>
      </c>
      <c r="G3393" s="3" t="e">
        <f t="shared" si="117"/>
        <v>#VALUE!</v>
      </c>
      <c r="H3393" s="3" t="e">
        <f t="shared" si="118"/>
        <v>#VALUE!</v>
      </c>
      <c r="I3393" s="1">
        <v>1</v>
      </c>
    </row>
    <row r="3394" spans="1:9" x14ac:dyDescent="0.25">
      <c r="A3394" s="1" t="s">
        <v>14435</v>
      </c>
      <c r="B3394" s="1" t="s">
        <v>10059</v>
      </c>
      <c r="C3394" s="1" t="str">
        <f>IFERROR(VLOOKUP(B3394,'SB1'!$A$2:$B$999999,2,FALSE),"")</f>
        <v>CINTA AISLADORA DOBLE A MARRON (C146) 18MMX10MT</v>
      </c>
      <c r="D3394" s="1" t="s">
        <v>14451</v>
      </c>
      <c r="E3394" s="3">
        <f>IFERROR(VLOOKUP(B3394,'DA1'!$B$2:$D$999999,3,FALSE),"")</f>
      </c>
      <c r="F3394" s="1" t="str">
        <f>IFERROR(VLOOKUP(B3394,'SB1'!$A$2:$C$999999,3,FALSE),"")</f>
        <v>503</v>
      </c>
      <c r="G3394" s="3" t="e">
        <f t="shared" si="117"/>
        <v>#VALUE!</v>
      </c>
      <c r="H3394" s="3" t="e">
        <f t="shared" si="118"/>
        <v>#VALUE!</v>
      </c>
      <c r="I3394" s="1">
        <v>1</v>
      </c>
    </row>
    <row r="3395" spans="1:9" x14ac:dyDescent="0.25">
      <c r="A3395" s="1" t="s">
        <v>14435</v>
      </c>
      <c r="B3395" s="1" t="s">
        <v>10061</v>
      </c>
      <c r="C3395" s="1" t="str">
        <f>IFERROR(VLOOKUP(B3395,'SB1'!$A$2:$B$999999,2,FALSE),"")</f>
        <v>CINTA AISLADORA DOBLE A ROJO CERAMICO (C146) 18MMX10MT</v>
      </c>
      <c r="D3395" s="1" t="s">
        <v>14451</v>
      </c>
      <c r="E3395" s="3">
        <f>IFERROR(VLOOKUP(B3395,'DA1'!$B$2:$D$999999,3,FALSE),"")</f>
      </c>
      <c r="F3395" s="1" t="str">
        <f>IFERROR(VLOOKUP(B3395,'SB1'!$A$2:$C$999999,3,FALSE),"")</f>
        <v>503</v>
      </c>
      <c r="G3395" s="3" t="e">
        <f t="shared" ref="G3395:G3458" si="119">E3395*1.04</f>
        <v>#VALUE!</v>
      </c>
      <c r="H3395" s="3" t="e">
        <f t="shared" si="118"/>
        <v>#VALUE!</v>
      </c>
      <c r="I3395" s="1">
        <v>1</v>
      </c>
    </row>
    <row r="3396" spans="1:9" x14ac:dyDescent="0.25">
      <c r="A3396" s="1" t="s">
        <v>14435</v>
      </c>
      <c r="B3396" s="1" t="s">
        <v>10073</v>
      </c>
      <c r="C3396" s="1" t="str">
        <f>IFERROR(VLOOKUP(B3396,'SB1'!$A$2:$B$999999,2,FALSE),"")</f>
        <v>CINTA PYTHON ALTA RESISTENCIA NEGRO 9MTS.</v>
      </c>
      <c r="D3396" s="1" t="s">
        <v>14459</v>
      </c>
      <c r="E3396" s="3">
        <f>IFERROR(VLOOKUP(B3396,'DA1'!$B$2:$D$999999,3,FALSE),"")</f>
      </c>
      <c r="F3396" s="1" t="str">
        <f>IFERROR(VLOOKUP(B3396,'SB1'!$A$2:$C$999999,3,FALSE),"")</f>
        <v>503</v>
      </c>
      <c r="G3396" s="3" t="e">
        <f t="shared" si="119"/>
        <v>#VALUE!</v>
      </c>
      <c r="H3396" s="3" t="e">
        <f t="shared" si="118"/>
        <v>#VALUE!</v>
      </c>
      <c r="I3396" s="1">
        <v>1</v>
      </c>
    </row>
    <row r="3397" spans="1:9" x14ac:dyDescent="0.25">
      <c r="A3397" s="1" t="s">
        <v>14435</v>
      </c>
      <c r="B3397" s="1" t="s">
        <v>10075</v>
      </c>
      <c r="C3397" s="1" t="str">
        <f>IFERROR(VLOOKUP(B3397,'SB1'!$A$2:$B$999999,2,FALSE),"")</f>
        <v>T494.63 DILUYENTE MEDIO P/BASE AGUA/PRIMER ACUOSO X 2</v>
      </c>
      <c r="D3397" s="1" t="s">
        <v>14457</v>
      </c>
      <c r="E3397" s="3">
        <f>IFERROR(VLOOKUP(B3397,'DA1'!$B$2:$D$999999,3,FALSE),"")</f>
      </c>
      <c r="F3397" s="1" t="str">
        <f>IFERROR(VLOOKUP(B3397,'SB1'!$A$2:$C$999999,3,FALSE),"")</f>
        <v>503</v>
      </c>
      <c r="G3397" s="3" t="e">
        <f t="shared" si="119"/>
        <v>#VALUE!</v>
      </c>
      <c r="H3397" s="3" t="e">
        <f t="shared" si="118"/>
        <v>#VALUE!</v>
      </c>
      <c r="I3397" s="1">
        <v>3</v>
      </c>
    </row>
    <row r="3398" spans="1:9" x14ac:dyDescent="0.25">
      <c r="A3398" s="1" t="s">
        <v>14435</v>
      </c>
      <c r="B3398" s="1" t="s">
        <v>10077</v>
      </c>
      <c r="C3398" s="1" t="str">
        <f>IFERROR(VLOOKUP(B3398,'SB1'!$A$2:$B$999999,2,FALSE),"")</f>
        <v>ESMALTE SINTETICO PLAVICON 3EN1 MATE BLANCO X  0,250</v>
      </c>
      <c r="D3398" s="1" t="s">
        <v>14439</v>
      </c>
      <c r="E3398" s="3">
        <f>IFERROR(VLOOKUP(B3398,'DA1'!$B$2:$D$999999,3,FALSE),"")</f>
      </c>
      <c r="F3398" s="1" t="str">
        <f>IFERROR(VLOOKUP(B3398,'SB1'!$A$2:$C$999999,3,FALSE),"")</f>
        <v>503</v>
      </c>
      <c r="G3398" s="3" t="e">
        <f t="shared" si="119"/>
        <v>#VALUE!</v>
      </c>
      <c r="H3398" s="3" t="e">
        <f t="shared" si="118"/>
        <v>#VALUE!</v>
      </c>
      <c r="I3398" s="1">
        <v>1</v>
      </c>
    </row>
    <row r="3399" spans="1:9" x14ac:dyDescent="0.25">
      <c r="A3399" s="1" t="s">
        <v>14435</v>
      </c>
      <c r="B3399" s="1" t="s">
        <v>10079</v>
      </c>
      <c r="C3399" s="1" t="str">
        <f>IFERROR(VLOOKUP(B3399,'SB1'!$A$2:$B$999999,2,FALSE),"")</f>
        <v>ESMALTE SINTETICO PLAVICON 3EN1 MATE BLANCO X  0,500</v>
      </c>
      <c r="D3399" s="1" t="s">
        <v>14458</v>
      </c>
      <c r="E3399" s="3">
        <f>IFERROR(VLOOKUP(B3399,'DA1'!$B$2:$D$999999,3,FALSE),"")</f>
      </c>
      <c r="F3399" s="1" t="str">
        <f>IFERROR(VLOOKUP(B3399,'SB1'!$A$2:$C$999999,3,FALSE),"")</f>
        <v>503</v>
      </c>
      <c r="G3399" s="3" t="e">
        <f t="shared" si="119"/>
        <v>#VALUE!</v>
      </c>
      <c r="H3399" s="3" t="e">
        <f t="shared" si="118"/>
        <v>#VALUE!</v>
      </c>
      <c r="I3399" s="1">
        <v>1</v>
      </c>
    </row>
    <row r="3400" spans="1:9" x14ac:dyDescent="0.25">
      <c r="A3400" s="1" t="s">
        <v>14435</v>
      </c>
      <c r="B3400" s="1" t="s">
        <v>10081</v>
      </c>
      <c r="C3400" s="1" t="str">
        <f>IFERROR(VLOOKUP(B3400,'SB1'!$A$2:$B$999999,2,FALSE),"")</f>
        <v>ESMALTE SINTETICO PLAVICON 3EN1 MATE BLANCO X  1</v>
      </c>
      <c r="D3400" s="1" t="s">
        <v>14458</v>
      </c>
      <c r="E3400" s="3">
        <f>IFERROR(VLOOKUP(B3400,'DA1'!$B$2:$D$999999,3,FALSE),"")</f>
      </c>
      <c r="F3400" s="1" t="str">
        <f>IFERROR(VLOOKUP(B3400,'SB1'!$A$2:$C$999999,3,FALSE),"")</f>
        <v>503</v>
      </c>
      <c r="G3400" s="3" t="e">
        <f t="shared" si="119"/>
        <v>#VALUE!</v>
      </c>
      <c r="H3400" s="3" t="e">
        <f t="shared" si="118"/>
        <v>#VALUE!</v>
      </c>
      <c r="I3400" s="1">
        <v>1</v>
      </c>
    </row>
    <row r="3401" spans="1:9" x14ac:dyDescent="0.25">
      <c r="A3401" s="1" t="s">
        <v>14435</v>
      </c>
      <c r="B3401" s="1" t="s">
        <v>10083</v>
      </c>
      <c r="C3401" s="1" t="str">
        <f>IFERROR(VLOOKUP(B3401,'SB1'!$A$2:$B$999999,2,FALSE),"")</f>
        <v>ESMALTE SINTETICO PLAVICON 3EN1 MATE BLANCO X  4</v>
      </c>
      <c r="D3401" s="1" t="s">
        <v>14458</v>
      </c>
      <c r="E3401" s="3">
        <f>IFERROR(VLOOKUP(B3401,'DA1'!$B$2:$D$999999,3,FALSE),"")</f>
      </c>
      <c r="F3401" s="1" t="str">
        <f>IFERROR(VLOOKUP(B3401,'SB1'!$A$2:$C$999999,3,FALSE),"")</f>
        <v>503</v>
      </c>
      <c r="G3401" s="3" t="e">
        <f t="shared" si="119"/>
        <v>#VALUE!</v>
      </c>
      <c r="H3401" s="3" t="e">
        <f t="shared" si="118"/>
        <v>#VALUE!</v>
      </c>
      <c r="I3401" s="1">
        <v>1</v>
      </c>
    </row>
    <row r="3402" spans="1:9" x14ac:dyDescent="0.25">
      <c r="A3402" s="1" t="s">
        <v>14435</v>
      </c>
      <c r="B3402" s="1" t="s">
        <v>10085</v>
      </c>
      <c r="C3402" s="1" t="str">
        <f>IFERROR(VLOOKUP(B3402,'SB1'!$A$2:$B$999999,2,FALSE),"")</f>
        <v>ESMALTE SINTETICO PLAVICON 3EN1 MATE BLANCO X 20</v>
      </c>
      <c r="D3402" s="1" t="s">
        <v>14458</v>
      </c>
      <c r="E3402" s="3">
        <f>IFERROR(VLOOKUP(B3402,'DA1'!$B$2:$D$999999,3,FALSE),"")</f>
      </c>
      <c r="F3402" s="1" t="str">
        <f>IFERROR(VLOOKUP(B3402,'SB1'!$A$2:$C$999999,3,FALSE),"")</f>
        <v>503</v>
      </c>
      <c r="G3402" s="3" t="e">
        <f t="shared" si="119"/>
        <v>#VALUE!</v>
      </c>
      <c r="H3402" s="3" t="e">
        <f t="shared" si="118"/>
        <v>#VALUE!</v>
      </c>
      <c r="I3402" s="1">
        <v>1</v>
      </c>
    </row>
    <row r="3403" spans="1:9" x14ac:dyDescent="0.25">
      <c r="A3403" s="1" t="s">
        <v>14435</v>
      </c>
      <c r="B3403" s="1" t="s">
        <v>10087</v>
      </c>
      <c r="C3403" s="1" t="str">
        <f>IFERROR(VLOOKUP(B3403,'SB1'!$A$2:$B$999999,2,FALSE),"")</f>
        <v>ESMALTE SINTETICO PLAVICON 3EN1 MATE NEGRO X  0,250</v>
      </c>
      <c r="D3403" s="1" t="s">
        <v>14439</v>
      </c>
      <c r="E3403" s="3">
        <f>IFERROR(VLOOKUP(B3403,'DA1'!$B$2:$D$999999,3,FALSE),"")</f>
      </c>
      <c r="F3403" s="1" t="str">
        <f>IFERROR(VLOOKUP(B3403,'SB1'!$A$2:$C$999999,3,FALSE),"")</f>
        <v>503</v>
      </c>
      <c r="G3403" s="3" t="e">
        <f t="shared" si="119"/>
        <v>#VALUE!</v>
      </c>
      <c r="H3403" s="3" t="e">
        <f t="shared" si="118"/>
        <v>#VALUE!</v>
      </c>
      <c r="I3403" s="1">
        <v>1</v>
      </c>
    </row>
    <row r="3404" spans="1:9" x14ac:dyDescent="0.25">
      <c r="A3404" s="1" t="s">
        <v>14435</v>
      </c>
      <c r="B3404" s="1" t="s">
        <v>10089</v>
      </c>
      <c r="C3404" s="1" t="str">
        <f>IFERROR(VLOOKUP(B3404,'SB1'!$A$2:$B$999999,2,FALSE),"")</f>
        <v>ESMALTE SINTETICO PLAVICON 3EN1 MATE NEGRO X  0,500</v>
      </c>
      <c r="D3404" s="1" t="s">
        <v>14458</v>
      </c>
      <c r="E3404" s="3">
        <f>IFERROR(VLOOKUP(B3404,'DA1'!$B$2:$D$999999,3,FALSE),"")</f>
      </c>
      <c r="F3404" s="1" t="str">
        <f>IFERROR(VLOOKUP(B3404,'SB1'!$A$2:$C$999999,3,FALSE),"")</f>
        <v>503</v>
      </c>
      <c r="G3404" s="3" t="e">
        <f t="shared" si="119"/>
        <v>#VALUE!</v>
      </c>
      <c r="H3404" s="3" t="e">
        <f t="shared" si="118"/>
        <v>#VALUE!</v>
      </c>
      <c r="I3404" s="1">
        <v>1</v>
      </c>
    </row>
    <row r="3405" spans="1:9" x14ac:dyDescent="0.25">
      <c r="A3405" s="1" t="s">
        <v>14435</v>
      </c>
      <c r="B3405" s="1" t="s">
        <v>10091</v>
      </c>
      <c r="C3405" s="1" t="str">
        <f>IFERROR(VLOOKUP(B3405,'SB1'!$A$2:$B$999999,2,FALSE),"")</f>
        <v>ESMALTE SINTETICO PLAVICON 3EN1 MATE NEGRO X  1</v>
      </c>
      <c r="D3405" s="1" t="s">
        <v>14458</v>
      </c>
      <c r="E3405" s="3">
        <f>IFERROR(VLOOKUP(B3405,'DA1'!$B$2:$D$999999,3,FALSE),"")</f>
      </c>
      <c r="F3405" s="1" t="str">
        <f>IFERROR(VLOOKUP(B3405,'SB1'!$A$2:$C$999999,3,FALSE),"")</f>
        <v>503</v>
      </c>
      <c r="G3405" s="3" t="e">
        <f t="shared" si="119"/>
        <v>#VALUE!</v>
      </c>
      <c r="H3405" s="3" t="e">
        <f t="shared" si="118"/>
        <v>#VALUE!</v>
      </c>
      <c r="I3405" s="1">
        <v>1</v>
      </c>
    </row>
    <row r="3406" spans="1:9" x14ac:dyDescent="0.25">
      <c r="A3406" s="1" t="s">
        <v>14435</v>
      </c>
      <c r="B3406" s="1" t="s">
        <v>10093</v>
      </c>
      <c r="C3406" s="1" t="str">
        <f>IFERROR(VLOOKUP(B3406,'SB1'!$A$2:$B$999999,2,FALSE),"")</f>
        <v>ESMALTE SINTETICO PLAVICON 3EN1 MATE NEGRO X  4</v>
      </c>
      <c r="D3406" s="1" t="s">
        <v>14458</v>
      </c>
      <c r="E3406" s="3">
        <f>IFERROR(VLOOKUP(B3406,'DA1'!$B$2:$D$999999,3,FALSE),"")</f>
      </c>
      <c r="F3406" s="1" t="str">
        <f>IFERROR(VLOOKUP(B3406,'SB1'!$A$2:$C$999999,3,FALSE),"")</f>
        <v>503</v>
      </c>
      <c r="G3406" s="3" t="e">
        <f t="shared" si="119"/>
        <v>#VALUE!</v>
      </c>
      <c r="H3406" s="3" t="e">
        <f t="shared" si="118"/>
        <v>#VALUE!</v>
      </c>
      <c r="I3406" s="1">
        <v>1</v>
      </c>
    </row>
    <row r="3407" spans="1:9" x14ac:dyDescent="0.25">
      <c r="A3407" s="1" t="s">
        <v>14435</v>
      </c>
      <c r="B3407" s="1" t="s">
        <v>10095</v>
      </c>
      <c r="C3407" s="1" t="str">
        <f>IFERROR(VLOOKUP(B3407,'SB1'!$A$2:$B$999999,2,FALSE),"")</f>
        <v>D8421 AEROSOL 1K PRIMER (G5) X 0.400</v>
      </c>
      <c r="D3407" s="1" t="s">
        <v>14446</v>
      </c>
      <c r="E3407" s="3">
        <f>IFERROR(VLOOKUP(B3407,'DA1'!$B$2:$D$999999,3,FALSE),"")</f>
      </c>
      <c r="F3407" s="1" t="str">
        <f>IFERROR(VLOOKUP(B3407,'SB1'!$A$2:$C$999999,3,FALSE),"")</f>
        <v>503</v>
      </c>
      <c r="G3407" s="3" t="e">
        <f t="shared" si="119"/>
        <v>#VALUE!</v>
      </c>
      <c r="H3407" s="3" t="e">
        <f t="shared" si="118"/>
        <v>#VALUE!</v>
      </c>
      <c r="I3407" s="1">
        <v>3</v>
      </c>
    </row>
    <row r="3408" spans="1:9" x14ac:dyDescent="0.25">
      <c r="A3408" s="1" t="s">
        <v>14435</v>
      </c>
      <c r="B3408" s="1" t="s">
        <v>10097</v>
      </c>
      <c r="C3408" s="1" t="str">
        <f>IFERROR(VLOOKUP(B3408,'SB1'!$A$2:$B$999999,2,FALSE),"")</f>
        <v>D8416/E.04 AEROSOL 1K PRIMER WHITE (G1) X 0,400</v>
      </c>
      <c r="D3408" s="1" t="s">
        <v>14446</v>
      </c>
      <c r="E3408" s="3">
        <f>IFERROR(VLOOKUP(B3408,'DA1'!$B$2:$D$999999,3,FALSE),"")</f>
      </c>
      <c r="F3408" s="1" t="str">
        <f>IFERROR(VLOOKUP(B3408,'SB1'!$A$2:$C$999999,3,FALSE),"")</f>
        <v>503</v>
      </c>
      <c r="G3408" s="3" t="e">
        <f t="shared" si="119"/>
        <v>#VALUE!</v>
      </c>
      <c r="H3408" s="3" t="e">
        <f t="shared" si="118"/>
        <v>#VALUE!</v>
      </c>
      <c r="I3408" s="1">
        <v>3</v>
      </c>
    </row>
    <row r="3409" spans="1:9" x14ac:dyDescent="0.25">
      <c r="A3409" s="1" t="s">
        <v>14435</v>
      </c>
      <c r="B3409" s="1" t="s">
        <v>10103</v>
      </c>
      <c r="C3409" s="1" t="str">
        <f>IFERROR(VLOOKUP(B3409,'SB1'!$A$2:$B$999999,2,FALSE),"")</f>
        <v>D8424/E.04 AEROSOL 1K PRIMER GREY (G6) X 0,400</v>
      </c>
      <c r="D3409" s="1" t="s">
        <v>14446</v>
      </c>
      <c r="E3409" s="3">
        <f>IFERROR(VLOOKUP(B3409,'DA1'!$B$2:$D$999999,3,FALSE),"")</f>
      </c>
      <c r="F3409" s="1" t="str">
        <f>IFERROR(VLOOKUP(B3409,'SB1'!$A$2:$C$999999,3,FALSE),"")</f>
        <v>503</v>
      </c>
      <c r="G3409" s="3" t="e">
        <f t="shared" si="119"/>
        <v>#VALUE!</v>
      </c>
      <c r="H3409" s="3" t="e">
        <f t="shared" si="118"/>
        <v>#VALUE!</v>
      </c>
      <c r="I3409" s="1">
        <v>3</v>
      </c>
    </row>
    <row r="3410" spans="1:9" x14ac:dyDescent="0.25">
      <c r="A3410" s="1" t="s">
        <v>14435</v>
      </c>
      <c r="B3410" s="1" t="s">
        <v>10105</v>
      </c>
      <c r="C3410" s="1" t="str">
        <f>IFERROR(VLOOKUP(B3410,'SB1'!$A$2:$B$999999,2,FALSE),"")</f>
        <v>DC4000.04 BARNIZ RAPIDO PREMIUN DE ALTO SOLIDO DELTRON X 0,720</v>
      </c>
      <c r="D3410" s="1" t="s">
        <v>14446</v>
      </c>
      <c r="E3410" s="3">
        <f>IFERROR(VLOOKUP(B3410,'DA1'!$B$2:$D$999999,3,FALSE),"")</f>
      </c>
      <c r="F3410" s="1" t="str">
        <f>IFERROR(VLOOKUP(B3410,'SB1'!$A$2:$C$999999,3,FALSE),"")</f>
        <v>503</v>
      </c>
      <c r="G3410" s="3" t="e">
        <f t="shared" si="119"/>
        <v>#VALUE!</v>
      </c>
      <c r="H3410" s="3" t="e">
        <f t="shared" si="118"/>
        <v>#VALUE!</v>
      </c>
      <c r="I3410" s="1">
        <v>3</v>
      </c>
    </row>
    <row r="3411" spans="1:9" x14ac:dyDescent="0.25">
      <c r="A3411" s="1" t="s">
        <v>14435</v>
      </c>
      <c r="B3411" s="1" t="s">
        <v>10107</v>
      </c>
      <c r="C3411" s="1" t="str">
        <f>IFERROR(VLOOKUP(B3411,'SB1'!$A$2:$B$999999,2,FALSE),"")</f>
        <v>DCH3070 CATALIZADOR RAPIDO BAJA TEMPERATURA DELTRON P/DC3000/4000 X 0,237</v>
      </c>
      <c r="D3411" s="1" t="s">
        <v>14439</v>
      </c>
      <c r="E3411" s="3">
        <f>IFERROR(VLOOKUP(B3411,'DA1'!$B$2:$D$999999,3,FALSE),"")</f>
      </c>
      <c r="F3411" s="1" t="str">
        <f>IFERROR(VLOOKUP(B3411,'SB1'!$A$2:$C$999999,3,FALSE),"")</f>
        <v>503</v>
      </c>
      <c r="G3411" s="3" t="e">
        <f t="shared" si="119"/>
        <v>#VALUE!</v>
      </c>
      <c r="H3411" s="3" t="e">
        <f t="shared" si="118"/>
        <v>#VALUE!</v>
      </c>
      <c r="I3411" s="1">
        <v>3</v>
      </c>
    </row>
    <row r="3412" spans="1:9" x14ac:dyDescent="0.25">
      <c r="A3412" s="1" t="s">
        <v>14435</v>
      </c>
      <c r="B3412" s="1" t="s">
        <v>10109</v>
      </c>
      <c r="C3412" s="1" t="str">
        <f>IFERROR(VLOOKUP(B3412,'SB1'!$A$2:$B$999999,2,FALSE),"")</f>
        <v>D8010 PRIMER PU BLANCO GREYMATIC DELTRON X 3,000</v>
      </c>
      <c r="D3412" s="1" t="s">
        <v>14446</v>
      </c>
      <c r="E3412" s="3">
        <f>IFERROR(VLOOKUP(B3412,'DA1'!$B$2:$D$999999,3,FALSE),"")</f>
      </c>
      <c r="F3412" s="1" t="str">
        <f>IFERROR(VLOOKUP(B3412,'SB1'!$A$2:$C$999999,3,FALSE),"")</f>
        <v>503</v>
      </c>
      <c r="G3412" s="3" t="e">
        <f t="shared" si="119"/>
        <v>#VALUE!</v>
      </c>
      <c r="H3412" s="3" t="e">
        <f t="shared" si="118"/>
        <v>#VALUE!</v>
      </c>
      <c r="I3412" s="1">
        <v>3</v>
      </c>
    </row>
    <row r="3413" spans="1:9" x14ac:dyDescent="0.25">
      <c r="A3413" s="1" t="s">
        <v>14435</v>
      </c>
      <c r="B3413" s="1" t="s">
        <v>10111</v>
      </c>
      <c r="C3413" s="1" t="str">
        <f>IFERROR(VLOOKUP(B3413,'SB1'!$A$2:$B$999999,2,FALSE),"")</f>
        <v>D8017 PRIMER HS 2K GRIS OSCURO DELTRON X 3,000</v>
      </c>
      <c r="D3413" s="1" t="s">
        <v>14446</v>
      </c>
      <c r="E3413" s="3">
        <f>IFERROR(VLOOKUP(B3413,'DA1'!$B$2:$D$999999,3,FALSE),"")</f>
      </c>
      <c r="F3413" s="1" t="str">
        <f>IFERROR(VLOOKUP(B3413,'SB1'!$A$2:$C$999999,3,FALSE),"")</f>
        <v>503</v>
      </c>
      <c r="G3413" s="3" t="e">
        <f t="shared" si="119"/>
        <v>#VALUE!</v>
      </c>
      <c r="H3413" s="3" t="e">
        <f t="shared" si="118"/>
        <v>#VALUE!</v>
      </c>
      <c r="I3413" s="1">
        <v>3</v>
      </c>
    </row>
    <row r="3414" spans="1:9" x14ac:dyDescent="0.25">
      <c r="A3414" s="1" t="s">
        <v>14435</v>
      </c>
      <c r="B3414" s="1" t="s">
        <v>10113</v>
      </c>
      <c r="C3414" s="1" t="str">
        <f>IFERROR(VLOOKUP(B3414,'SB1'!$A$2:$B$999999,2,FALSE),"")</f>
        <v>DC4000FYL BARNIZ RAPIDO PREMIUN DE ALTOS SOLIDOS DELTRON X 3,785</v>
      </c>
      <c r="D3414" s="1" t="s">
        <v>14446</v>
      </c>
      <c r="E3414" s="3">
        <f>IFERROR(VLOOKUP(B3414,'DA1'!$B$2:$D$999999,3,FALSE),"")</f>
      </c>
      <c r="F3414" s="1" t="str">
        <f>IFERROR(VLOOKUP(B3414,'SB1'!$A$2:$C$999999,3,FALSE),"")</f>
        <v>503</v>
      </c>
      <c r="G3414" s="3" t="e">
        <f t="shared" si="119"/>
        <v>#VALUE!</v>
      </c>
      <c r="H3414" s="3" t="e">
        <f t="shared" si="118"/>
        <v>#VALUE!</v>
      </c>
      <c r="I3414" s="1">
        <v>3</v>
      </c>
    </row>
    <row r="3415" spans="1:9" x14ac:dyDescent="0.25">
      <c r="A3415" s="1" t="s">
        <v>14435</v>
      </c>
      <c r="B3415" s="1" t="s">
        <v>10115</v>
      </c>
      <c r="C3415" s="1" t="str">
        <f>IFERROR(VLOOKUP(B3415,'SB1'!$A$2:$B$999999,2,FALSE),"")</f>
        <v>ECA83.900 DILUYENTE REDUCTOR PARA BARNIZ EC800 EHP X 0.946</v>
      </c>
      <c r="D3415" s="1" t="s">
        <v>14457</v>
      </c>
      <c r="E3415" s="3">
        <f>IFERROR(VLOOKUP(B3415,'DA1'!$B$2:$D$999999,3,FALSE),"")</f>
      </c>
      <c r="F3415" s="1" t="str">
        <f>IFERROR(VLOOKUP(B3415,'SB1'!$A$2:$C$999999,3,FALSE),"")</f>
        <v>503</v>
      </c>
      <c r="G3415" s="3" t="e">
        <f t="shared" si="119"/>
        <v>#VALUE!</v>
      </c>
      <c r="H3415" s="3" t="e">
        <f t="shared" si="118"/>
        <v>#VALUE!</v>
      </c>
      <c r="I3415" s="1">
        <v>3</v>
      </c>
    </row>
    <row r="3416" spans="1:9" x14ac:dyDescent="0.25">
      <c r="A3416" s="1" t="s">
        <v>14435</v>
      </c>
      <c r="B3416" s="1" t="s">
        <v>10119</v>
      </c>
      <c r="C3416" s="1" t="str">
        <f>IFERROR(VLOOKUP(B3416,'SB1'!$A$2:$B$999999,2,FALSE),"")</f>
        <v>D8426 AEROSOL 1K PRIMER DARK GREY (G7) X 0,400</v>
      </c>
      <c r="D3416" s="1" t="s">
        <v>14446</v>
      </c>
      <c r="E3416" s="3">
        <f>IFERROR(VLOOKUP(B3416,'DA1'!$B$2:$D$999999,3,FALSE),"")</f>
      </c>
      <c r="F3416" s="1" t="str">
        <f>IFERROR(VLOOKUP(B3416,'SB1'!$A$2:$C$999999,3,FALSE),"")</f>
        <v>503</v>
      </c>
      <c r="G3416" s="3" t="e">
        <f t="shared" si="119"/>
        <v>#VALUE!</v>
      </c>
      <c r="H3416" s="3" t="e">
        <f t="shared" si="118"/>
        <v>#VALUE!</v>
      </c>
      <c r="I3416" s="1">
        <v>3</v>
      </c>
    </row>
    <row r="3417" spans="1:9" x14ac:dyDescent="0.25">
      <c r="A3417" s="1" t="s">
        <v>14435</v>
      </c>
      <c r="B3417" s="1" t="s">
        <v>10121</v>
      </c>
      <c r="C3417" s="1" t="str">
        <f>IFERROR(VLOOKUP(B3417,'SB1'!$A$2:$B$999999,2,FALSE),"")</f>
        <v>FONDO IMPERMEABLE TERPLAST X 5</v>
      </c>
      <c r="D3417" s="1" t="s">
        <v>14437</v>
      </c>
      <c r="E3417" s="3">
        <f>IFERROR(VLOOKUP(B3417,'DA1'!$B$2:$D$999999,3,FALSE),"")</f>
      </c>
      <c r="F3417" s="1" t="str">
        <f>IFERROR(VLOOKUP(B3417,'SB1'!$A$2:$C$999999,3,FALSE),"")</f>
        <v>503</v>
      </c>
      <c r="G3417" s="3" t="e">
        <f t="shared" si="119"/>
        <v>#VALUE!</v>
      </c>
      <c r="H3417" s="3" t="e">
        <f t="shared" si="118"/>
        <v>#VALUE!</v>
      </c>
      <c r="I3417" s="1">
        <v>1</v>
      </c>
    </row>
    <row r="3418" spans="1:9" x14ac:dyDescent="0.25">
      <c r="A3418" s="1" t="s">
        <v>14435</v>
      </c>
      <c r="B3418" s="1" t="s">
        <v>10123</v>
      </c>
      <c r="C3418" s="1" t="str">
        <f>IFERROR(VLOOKUP(B3418,'SB1'!$A$2:$B$999999,2,FALSE),"")</f>
        <v>FONDO IMPERMEABLE TERPLAST X 25</v>
      </c>
      <c r="D3418" s="1" t="s">
        <v>14437</v>
      </c>
      <c r="E3418" s="3">
        <f>IFERROR(VLOOKUP(B3418,'DA1'!$B$2:$D$999999,3,FALSE),"")</f>
      </c>
      <c r="F3418" s="1" t="str">
        <f>IFERROR(VLOOKUP(B3418,'SB1'!$A$2:$C$999999,3,FALSE),"")</f>
        <v>503</v>
      </c>
      <c r="G3418" s="3" t="e">
        <f t="shared" si="119"/>
        <v>#VALUE!</v>
      </c>
      <c r="H3418" s="3" t="e">
        <f t="shared" si="118"/>
        <v>#VALUE!</v>
      </c>
      <c r="I3418" s="1">
        <v>1</v>
      </c>
    </row>
    <row r="3419" spans="1:9" x14ac:dyDescent="0.25">
      <c r="A3419" s="1" t="s">
        <v>14435</v>
      </c>
      <c r="B3419" s="1" t="s">
        <v>10125</v>
      </c>
      <c r="C3419" s="1" t="str">
        <f>IFERROR(VLOOKUP(B3419,'SB1'!$A$2:$B$999999,2,FALSE),"")</f>
        <v>ESMALTE EPOXI ALBA AMARILLO X 1</v>
      </c>
      <c r="D3419" s="1" t="s">
        <v>14489</v>
      </c>
      <c r="E3419" s="3">
        <f>IFERROR(VLOOKUP(B3419,'DA1'!$B$2:$D$999999,3,FALSE),"")</f>
      </c>
      <c r="F3419" s="1" t="str">
        <f>IFERROR(VLOOKUP(B3419,'SB1'!$A$2:$C$999999,3,FALSE),"")</f>
        <v>503</v>
      </c>
      <c r="G3419" s="3" t="e">
        <f t="shared" si="119"/>
        <v>#VALUE!</v>
      </c>
      <c r="H3419" s="3" t="e">
        <f t="shared" si="118"/>
        <v>#VALUE!</v>
      </c>
      <c r="I3419" s="1">
        <v>1</v>
      </c>
    </row>
    <row r="3420" spans="1:9" x14ac:dyDescent="0.25">
      <c r="A3420" s="1" t="s">
        <v>14435</v>
      </c>
      <c r="B3420" s="1" t="s">
        <v>10155</v>
      </c>
      <c r="C3420" s="1" t="str">
        <f>IFERROR(VLOOKUP(B3420,'SB1'!$A$2:$B$999999,2,FALSE),"")</f>
        <v>IMPERMEABILIZANTE PARA FRENTES PLAVICON MATE BEIGE X  1,250</v>
      </c>
      <c r="D3420" s="1" t="s">
        <v>14458</v>
      </c>
      <c r="E3420" s="3">
        <f>IFERROR(VLOOKUP(B3420,'DA1'!$B$2:$D$999999,3,FALSE),"")</f>
      </c>
      <c r="F3420" s="1" t="str">
        <f>IFERROR(VLOOKUP(B3420,'SB1'!$A$2:$C$999999,3,FALSE),"")</f>
        <v>503</v>
      </c>
      <c r="G3420" s="3" t="e">
        <f t="shared" si="119"/>
        <v>#VALUE!</v>
      </c>
      <c r="H3420" s="3" t="e">
        <f t="shared" si="118"/>
        <v>#VALUE!</v>
      </c>
      <c r="I3420" s="1">
        <v>1</v>
      </c>
    </row>
    <row r="3421" spans="1:9" x14ac:dyDescent="0.25">
      <c r="A3421" s="1" t="s">
        <v>14435</v>
      </c>
      <c r="B3421" s="1" t="s">
        <v>10157</v>
      </c>
      <c r="C3421" s="1" t="str">
        <f>IFERROR(VLOOKUP(B3421,'SB1'!$A$2:$B$999999,2,FALSE),"")</f>
        <v>IMPERMEABILIZANTE PARA FRENTES PLAVICON MATE BEIGE X  5</v>
      </c>
      <c r="D3421" s="1" t="s">
        <v>14458</v>
      </c>
      <c r="E3421" s="3">
        <f>IFERROR(VLOOKUP(B3421,'DA1'!$B$2:$D$999999,3,FALSE),"")</f>
      </c>
      <c r="F3421" s="1" t="str">
        <f>IFERROR(VLOOKUP(B3421,'SB1'!$A$2:$C$999999,3,FALSE),"")</f>
        <v>503</v>
      </c>
      <c r="G3421" s="3" t="e">
        <f t="shared" si="119"/>
        <v>#VALUE!</v>
      </c>
      <c r="H3421" s="3" t="e">
        <f t="shared" si="118"/>
        <v>#VALUE!</v>
      </c>
      <c r="I3421" s="1">
        <v>1</v>
      </c>
    </row>
    <row r="3422" spans="1:9" x14ac:dyDescent="0.25">
      <c r="A3422" s="1" t="s">
        <v>14435</v>
      </c>
      <c r="B3422" s="1" t="s">
        <v>10159</v>
      </c>
      <c r="C3422" s="1" t="str">
        <f>IFERROR(VLOOKUP(B3422,'SB1'!$A$2:$B$999999,2,FALSE),"")</f>
        <v>D8540AL TRANSPARENT SEALER X 1</v>
      </c>
      <c r="D3422" s="1" t="s">
        <v>14446</v>
      </c>
      <c r="E3422" s="3">
        <f>IFERROR(VLOOKUP(B3422,'DA1'!$B$2:$D$999999,3,FALSE),"")</f>
      </c>
      <c r="F3422" s="1" t="str">
        <f>IFERROR(VLOOKUP(B3422,'SB1'!$A$2:$C$999999,3,FALSE),"")</f>
        <v>503</v>
      </c>
      <c r="G3422" s="3" t="e">
        <f t="shared" si="119"/>
        <v>#VALUE!</v>
      </c>
      <c r="H3422" s="3" t="e">
        <f t="shared" si="118"/>
        <v>#VALUE!</v>
      </c>
      <c r="I3422" s="1">
        <v>3</v>
      </c>
    </row>
    <row r="3423" spans="1:9" x14ac:dyDescent="0.25">
      <c r="A3423" s="1" t="s">
        <v>14435</v>
      </c>
      <c r="B3423" s="1" t="s">
        <v>10161</v>
      </c>
      <c r="C3423" s="1" t="str">
        <f>IFERROR(VLOOKUP(B3423,'SB1'!$A$2:$B$999999,2,FALSE),"")</f>
        <v>A6520BK MASILLA IVIPLAST 66 X 1,500</v>
      </c>
      <c r="D3423" s="1" t="s">
        <v>14446</v>
      </c>
      <c r="E3423" s="3">
        <f>IFERROR(VLOOKUP(B3423,'DA1'!$B$2:$D$999999,3,FALSE),"")</f>
      </c>
      <c r="F3423" s="1" t="str">
        <f>IFERROR(VLOOKUP(B3423,'SB1'!$A$2:$C$999999,3,FALSE),"")</f>
        <v>503</v>
      </c>
      <c r="G3423" s="3" t="e">
        <f t="shared" si="119"/>
        <v>#VALUE!</v>
      </c>
      <c r="H3423" s="3" t="e">
        <f t="shared" si="118"/>
        <v>#VALUE!</v>
      </c>
      <c r="I3423" s="1">
        <v>3</v>
      </c>
    </row>
    <row r="3424" spans="1:9" x14ac:dyDescent="0.25">
      <c r="A3424" s="1" t="s">
        <v>14435</v>
      </c>
      <c r="B3424" s="1" t="s">
        <v>10163</v>
      </c>
      <c r="C3424" s="1" t="str">
        <f>IFERROR(VLOOKUP(B3424,'SB1'!$A$2:$B$999999,2,FALSE),"")</f>
        <v>A722/E1.5K MASSA POLIESTER UNIVERSAL STOPPER X 1,550</v>
      </c>
      <c r="D3424" s="1" t="s">
        <v>14446</v>
      </c>
      <c r="E3424" s="3">
        <f>IFERROR(VLOOKUP(B3424,'DA1'!$B$2:$D$999999,3,FALSE),"")</f>
      </c>
      <c r="F3424" s="1" t="str">
        <f>IFERROR(VLOOKUP(B3424,'SB1'!$A$2:$C$999999,3,FALSE),"")</f>
        <v>503</v>
      </c>
      <c r="G3424" s="3" t="e">
        <f t="shared" si="119"/>
        <v>#VALUE!</v>
      </c>
      <c r="H3424" s="3" t="e">
        <f t="shared" si="118"/>
        <v>#VALUE!</v>
      </c>
      <c r="I3424" s="1">
        <v>3</v>
      </c>
    </row>
    <row r="3425" spans="1:9" x14ac:dyDescent="0.25">
      <c r="A3425" s="1" t="s">
        <v>14435</v>
      </c>
      <c r="B3425" s="1" t="s">
        <v>10165</v>
      </c>
      <c r="C3425" s="1" t="str">
        <f>IFERROR(VLOOKUP(B3425,'SB1'!$A$2:$B$999999,2,FALSE),"")</f>
        <v>D8460 DESENGRASANTE PARA PLASTICOS X 1</v>
      </c>
      <c r="D3425" s="1" t="s">
        <v>14446</v>
      </c>
      <c r="E3425" s="3">
        <f>IFERROR(VLOOKUP(B3425,'DA1'!$B$2:$D$999999,3,FALSE),"")</f>
      </c>
      <c r="F3425" s="1" t="str">
        <f>IFERROR(VLOOKUP(B3425,'SB1'!$A$2:$C$999999,3,FALSE),"")</f>
        <v>503</v>
      </c>
      <c r="G3425" s="3" t="e">
        <f t="shared" si="119"/>
        <v>#VALUE!</v>
      </c>
      <c r="H3425" s="3" t="e">
        <f t="shared" si="118"/>
        <v>#VALUE!</v>
      </c>
      <c r="I3425" s="1">
        <v>3</v>
      </c>
    </row>
    <row r="3426" spans="1:9" x14ac:dyDescent="0.25">
      <c r="A3426" s="1" t="s">
        <v>14435</v>
      </c>
      <c r="B3426" s="1" t="s">
        <v>10167</v>
      </c>
      <c r="C3426" s="1" t="str">
        <f>IFERROR(VLOOKUP(B3426,'SB1'!$A$2:$B$999999,2,FALSE),"")</f>
        <v>PPG-6403.04 PROMOTOR ADHERENCIA P/ PLASTICO X 0,900(EXSU49030)</v>
      </c>
      <c r="D3426" s="1" t="s">
        <v>14446</v>
      </c>
      <c r="E3426" s="3">
        <f>IFERROR(VLOOKUP(B3426,'DA1'!$B$2:$D$999999,3,FALSE),"")</f>
      </c>
      <c r="F3426" s="1" t="str">
        <f>IFERROR(VLOOKUP(B3426,'SB1'!$A$2:$C$999999,3,FALSE),"")</f>
        <v>503</v>
      </c>
      <c r="G3426" s="3" t="e">
        <f t="shared" si="119"/>
        <v>#VALUE!</v>
      </c>
      <c r="H3426" s="3" t="e">
        <f t="shared" si="118"/>
        <v>#VALUE!</v>
      </c>
      <c r="I3426" s="1">
        <v>3</v>
      </c>
    </row>
    <row r="3427" spans="1:9" x14ac:dyDescent="0.25">
      <c r="A3427" s="1" t="s">
        <v>14435</v>
      </c>
      <c r="B3427" s="1" t="s">
        <v>10169</v>
      </c>
      <c r="C3427" s="1" t="str">
        <f>IFERROR(VLOOKUP(B3427,'SB1'!$A$2:$B$999999,2,FALSE),"")</f>
        <v>IMPERMEABILIZANTE PARA TECHO PLAVICON SOBRECHAPA ROJO CERAMICO X  1,250</v>
      </c>
      <c r="D3427" s="1" t="s">
        <v>14458</v>
      </c>
      <c r="E3427" s="3">
        <f>IFERROR(VLOOKUP(B3427,'DA1'!$B$2:$D$999999,3,FALSE),"")</f>
      </c>
      <c r="F3427" s="1" t="str">
        <f>IFERROR(VLOOKUP(B3427,'SB1'!$A$2:$C$999999,3,FALSE),"")</f>
        <v>503</v>
      </c>
      <c r="G3427" s="3" t="e">
        <f t="shared" si="119"/>
        <v>#VALUE!</v>
      </c>
      <c r="H3427" s="3" t="e">
        <f t="shared" si="118"/>
        <v>#VALUE!</v>
      </c>
      <c r="I3427" s="1">
        <v>1</v>
      </c>
    </row>
    <row r="3428" spans="1:9" x14ac:dyDescent="0.25">
      <c r="A3428" s="1" t="s">
        <v>14435</v>
      </c>
      <c r="B3428" s="1" t="s">
        <v>10171</v>
      </c>
      <c r="C3428" s="1" t="str">
        <f>IFERROR(VLOOKUP(B3428,'SB1'!$A$2:$B$999999,2,FALSE),"")</f>
        <v>IMPERMEABILIZANTE PARA TECHO PLAVICON SOBRECHAPA ROJO CERAMICO X  5</v>
      </c>
      <c r="D3428" s="1" t="s">
        <v>14458</v>
      </c>
      <c r="E3428" s="3">
        <f>IFERROR(VLOOKUP(B3428,'DA1'!$B$2:$D$999999,3,FALSE),"")</f>
      </c>
      <c r="F3428" s="1" t="str">
        <f>IFERROR(VLOOKUP(B3428,'SB1'!$A$2:$C$999999,3,FALSE),"")</f>
        <v>503</v>
      </c>
      <c r="G3428" s="3" t="e">
        <f t="shared" si="119"/>
        <v>#VALUE!</v>
      </c>
      <c r="H3428" s="3" t="e">
        <f t="shared" si="118"/>
        <v>#VALUE!</v>
      </c>
      <c r="I3428" s="1">
        <v>1</v>
      </c>
    </row>
    <row r="3429" spans="1:9" x14ac:dyDescent="0.25">
      <c r="A3429" s="1" t="s">
        <v>14435</v>
      </c>
      <c r="B3429" s="1" t="s">
        <v>10173</v>
      </c>
      <c r="C3429" s="1" t="str">
        <f>IFERROR(VLOOKUP(B3429,'SB1'!$A$2:$B$999999,2,FALSE),"")</f>
        <v>IMPERMEABILIZANTE PARA TECHO PLAVICON SOBRECHAPA ROJO CERAMICO X 10</v>
      </c>
      <c r="D3429" s="1" t="s">
        <v>14458</v>
      </c>
      <c r="E3429" s="3">
        <f>IFERROR(VLOOKUP(B3429,'DA1'!$B$2:$D$999999,3,FALSE),"")</f>
      </c>
      <c r="F3429" s="1" t="str">
        <f>IFERROR(VLOOKUP(B3429,'SB1'!$A$2:$C$999999,3,FALSE),"")</f>
        <v>503</v>
      </c>
      <c r="G3429" s="3" t="e">
        <f t="shared" si="119"/>
        <v>#VALUE!</v>
      </c>
      <c r="H3429" s="3" t="e">
        <f t="shared" si="118"/>
        <v>#VALUE!</v>
      </c>
      <c r="I3429" s="1">
        <v>1</v>
      </c>
    </row>
    <row r="3430" spans="1:9" x14ac:dyDescent="0.25">
      <c r="A3430" s="1" t="s">
        <v>14435</v>
      </c>
      <c r="B3430" s="1" t="s">
        <v>10175</v>
      </c>
      <c r="C3430" s="1" t="str">
        <f>IFERROR(VLOOKUP(B3430,'SB1'!$A$2:$B$999999,2,FALSE),"")</f>
        <v>IMPERMEABILIZANTE PARA TECHO PLAVICON SOBRECHAPA ROJO CERAMICO X 20</v>
      </c>
      <c r="D3430" s="1" t="s">
        <v>14458</v>
      </c>
      <c r="E3430" s="3">
        <f>IFERROR(VLOOKUP(B3430,'DA1'!$B$2:$D$999999,3,FALSE),"")</f>
      </c>
      <c r="F3430" s="1" t="str">
        <f>IFERROR(VLOOKUP(B3430,'SB1'!$A$2:$C$999999,3,FALSE),"")</f>
        <v>503</v>
      </c>
      <c r="G3430" s="3" t="e">
        <f t="shared" si="119"/>
        <v>#VALUE!</v>
      </c>
      <c r="H3430" s="3" t="e">
        <f t="shared" si="118"/>
        <v>#VALUE!</v>
      </c>
      <c r="I3430" s="1">
        <v>1</v>
      </c>
    </row>
    <row r="3431" spans="1:9" x14ac:dyDescent="0.25">
      <c r="A3431" s="1" t="s">
        <v>14435</v>
      </c>
      <c r="B3431" s="1" t="s">
        <v>10177</v>
      </c>
      <c r="C3431" s="1" t="str">
        <f>IFERROR(VLOOKUP(B3431,'SB1'!$A$2:$B$999999,2,FALSE),"")</f>
        <v>IMPERMEABILIZANTE PARA TECHO PLAVICON SOBRECHAPA VERDE X  1,250</v>
      </c>
      <c r="D3431" s="1" t="s">
        <v>14458</v>
      </c>
      <c r="E3431" s="3">
        <f>IFERROR(VLOOKUP(B3431,'DA1'!$B$2:$D$999999,3,FALSE),"")</f>
      </c>
      <c r="F3431" s="1" t="str">
        <f>IFERROR(VLOOKUP(B3431,'SB1'!$A$2:$C$999999,3,FALSE),"")</f>
        <v>503</v>
      </c>
      <c r="G3431" s="3" t="e">
        <f t="shared" si="119"/>
        <v>#VALUE!</v>
      </c>
      <c r="H3431" s="3" t="e">
        <f t="shared" si="118"/>
        <v>#VALUE!</v>
      </c>
      <c r="I3431" s="1">
        <v>1</v>
      </c>
    </row>
    <row r="3432" spans="1:9" x14ac:dyDescent="0.25">
      <c r="A3432" s="1" t="s">
        <v>14435</v>
      </c>
      <c r="B3432" s="1" t="s">
        <v>10179</v>
      </c>
      <c r="C3432" s="1" t="str">
        <f>IFERROR(VLOOKUP(B3432,'SB1'!$A$2:$B$999999,2,FALSE),"")</f>
        <v>IMPERMEABILIZANTE PARA TECHO PLAVICON SOBRECHAPA VERDE X  5</v>
      </c>
      <c r="D3432" s="1" t="s">
        <v>14458</v>
      </c>
      <c r="E3432" s="3">
        <f>IFERROR(VLOOKUP(B3432,'DA1'!$B$2:$D$999999,3,FALSE),"")</f>
      </c>
      <c r="F3432" s="1" t="str">
        <f>IFERROR(VLOOKUP(B3432,'SB1'!$A$2:$C$999999,3,FALSE),"")</f>
        <v>503</v>
      </c>
      <c r="G3432" s="3" t="e">
        <f t="shared" si="119"/>
        <v>#VALUE!</v>
      </c>
      <c r="H3432" s="3" t="e">
        <f t="shared" si="118"/>
        <v>#VALUE!</v>
      </c>
      <c r="I3432" s="1">
        <v>1</v>
      </c>
    </row>
    <row r="3433" spans="1:9" x14ac:dyDescent="0.25">
      <c r="A3433" s="1" t="s">
        <v>14435</v>
      </c>
      <c r="B3433" s="1" t="s">
        <v>10181</v>
      </c>
      <c r="C3433" s="1" t="str">
        <f>IFERROR(VLOOKUP(B3433,'SB1'!$A$2:$B$999999,2,FALSE),"")</f>
        <v>IMPERMEABILIZANTE PARA TECHO PLAVICON SOBRECHAPA VERDE X 10</v>
      </c>
      <c r="D3433" s="1" t="s">
        <v>14458</v>
      </c>
      <c r="E3433" s="3">
        <f>IFERROR(VLOOKUP(B3433,'DA1'!$B$2:$D$999999,3,FALSE),"")</f>
      </c>
      <c r="F3433" s="1" t="str">
        <f>IFERROR(VLOOKUP(B3433,'SB1'!$A$2:$C$999999,3,FALSE),"")</f>
        <v>503</v>
      </c>
      <c r="G3433" s="3" t="e">
        <f t="shared" si="119"/>
        <v>#VALUE!</v>
      </c>
      <c r="H3433" s="3" t="e">
        <f t="shared" si="118"/>
        <v>#VALUE!</v>
      </c>
      <c r="I3433" s="1">
        <v>1</v>
      </c>
    </row>
    <row r="3434" spans="1:9" x14ac:dyDescent="0.25">
      <c r="A3434" s="1" t="s">
        <v>14435</v>
      </c>
      <c r="B3434" s="1" t="s">
        <v>10183</v>
      </c>
      <c r="C3434" s="1" t="str">
        <f>IFERROR(VLOOKUP(B3434,'SB1'!$A$2:$B$999999,2,FALSE),"")</f>
        <v>IMPERMEABILIZANTE PARA TECHO PLAVICON SOBRECHAPA VERDE X 20</v>
      </c>
      <c r="D3434" s="1" t="s">
        <v>14458</v>
      </c>
      <c r="E3434" s="3">
        <f>IFERROR(VLOOKUP(B3434,'DA1'!$B$2:$D$999999,3,FALSE),"")</f>
      </c>
      <c r="F3434" s="1" t="str">
        <f>IFERROR(VLOOKUP(B3434,'SB1'!$A$2:$C$999999,3,FALSE),"")</f>
        <v>503</v>
      </c>
      <c r="G3434" s="3" t="e">
        <f t="shared" si="119"/>
        <v>#VALUE!</v>
      </c>
      <c r="H3434" s="3" t="e">
        <f t="shared" si="118"/>
        <v>#VALUE!</v>
      </c>
      <c r="I3434" s="1">
        <v>1</v>
      </c>
    </row>
    <row r="3435" spans="1:9" x14ac:dyDescent="0.25">
      <c r="A3435" s="1" t="s">
        <v>14435</v>
      </c>
      <c r="B3435" s="1" t="s">
        <v>10185</v>
      </c>
      <c r="C3435" s="1" t="str">
        <f>IFERROR(VLOOKUP(B3435,'SB1'!$A$2:$B$999999,2,FALSE),"")</f>
        <v>IMPERMEABILIZANTE PARA TECHO PLAVICON SOBRECHAPA NEGRO X  1,250</v>
      </c>
      <c r="D3435" s="1" t="s">
        <v>14458</v>
      </c>
      <c r="E3435" s="3">
        <f>IFERROR(VLOOKUP(B3435,'DA1'!$B$2:$D$999999,3,FALSE),"")</f>
      </c>
      <c r="F3435" s="1" t="str">
        <f>IFERROR(VLOOKUP(B3435,'SB1'!$A$2:$C$999999,3,FALSE),"")</f>
        <v>503</v>
      </c>
      <c r="G3435" s="3" t="e">
        <f t="shared" si="119"/>
        <v>#VALUE!</v>
      </c>
      <c r="H3435" s="3" t="e">
        <f t="shared" si="118"/>
        <v>#VALUE!</v>
      </c>
      <c r="I3435" s="1">
        <v>1</v>
      </c>
    </row>
    <row r="3436" spans="1:9" x14ac:dyDescent="0.25">
      <c r="A3436" s="1" t="s">
        <v>14435</v>
      </c>
      <c r="B3436" s="1" t="s">
        <v>10187</v>
      </c>
      <c r="C3436" s="1" t="str">
        <f>IFERROR(VLOOKUP(B3436,'SB1'!$A$2:$B$999999,2,FALSE),"")</f>
        <v>IMPERMEABILIZANTE PARA TECHO PLAVICON SOBRECHAPA NEGRO X  5</v>
      </c>
      <c r="D3436" s="1" t="s">
        <v>14458</v>
      </c>
      <c r="E3436" s="3">
        <f>IFERROR(VLOOKUP(B3436,'DA1'!$B$2:$D$999999,3,FALSE),"")</f>
      </c>
      <c r="F3436" s="1" t="str">
        <f>IFERROR(VLOOKUP(B3436,'SB1'!$A$2:$C$999999,3,FALSE),"")</f>
        <v>503</v>
      </c>
      <c r="G3436" s="3" t="e">
        <f t="shared" si="119"/>
        <v>#VALUE!</v>
      </c>
      <c r="H3436" s="3" t="e">
        <f t="shared" si="118"/>
        <v>#VALUE!</v>
      </c>
      <c r="I3436" s="1">
        <v>1</v>
      </c>
    </row>
    <row r="3437" spans="1:9" x14ac:dyDescent="0.25">
      <c r="A3437" s="1" t="s">
        <v>14435</v>
      </c>
      <c r="B3437" s="1" t="s">
        <v>10189</v>
      </c>
      <c r="C3437" s="1" t="str">
        <f>IFERROR(VLOOKUP(B3437,'SB1'!$A$2:$B$999999,2,FALSE),"")</f>
        <v>IMPERMEABILIZANTE PARA TECHO PLAVICON SOBRECHAPA NEGRO X 10</v>
      </c>
      <c r="D3437" s="1" t="s">
        <v>14458</v>
      </c>
      <c r="E3437" s="3">
        <f>IFERROR(VLOOKUP(B3437,'DA1'!$B$2:$D$999999,3,FALSE),"")</f>
      </c>
      <c r="F3437" s="1" t="str">
        <f>IFERROR(VLOOKUP(B3437,'SB1'!$A$2:$C$999999,3,FALSE),"")</f>
        <v>503</v>
      </c>
      <c r="G3437" s="3" t="e">
        <f t="shared" si="119"/>
        <v>#VALUE!</v>
      </c>
      <c r="H3437" s="3" t="e">
        <f t="shared" si="118"/>
        <v>#VALUE!</v>
      </c>
      <c r="I3437" s="1">
        <v>1</v>
      </c>
    </row>
    <row r="3438" spans="1:9" x14ac:dyDescent="0.25">
      <c r="A3438" s="1" t="s">
        <v>14435</v>
      </c>
      <c r="B3438" s="1" t="s">
        <v>10191</v>
      </c>
      <c r="C3438" s="1" t="str">
        <f>IFERROR(VLOOKUP(B3438,'SB1'!$A$2:$B$999999,2,FALSE),"")</f>
        <v>IMPERMEABILIZANTE PARA TECHO PLAVICON SOBRECHAPA NEGRO X 20</v>
      </c>
      <c r="D3438" s="1" t="s">
        <v>14458</v>
      </c>
      <c r="E3438" s="3">
        <f>IFERROR(VLOOKUP(B3438,'DA1'!$B$2:$D$999999,3,FALSE),"")</f>
      </c>
      <c r="F3438" s="1" t="str">
        <f>IFERROR(VLOOKUP(B3438,'SB1'!$A$2:$C$999999,3,FALSE),"")</f>
        <v>503</v>
      </c>
      <c r="G3438" s="3" t="e">
        <f t="shared" si="119"/>
        <v>#VALUE!</v>
      </c>
      <c r="H3438" s="3" t="e">
        <f t="shared" si="118"/>
        <v>#VALUE!</v>
      </c>
      <c r="I3438" s="1">
        <v>1</v>
      </c>
    </row>
    <row r="3439" spans="1:9" x14ac:dyDescent="0.25">
      <c r="A3439" s="1" t="s">
        <v>14435</v>
      </c>
      <c r="B3439" s="1" t="s">
        <v>10193</v>
      </c>
      <c r="C3439" s="1" t="str">
        <f>IFERROR(VLOOKUP(B3439,'SB1'!$A$2:$B$999999,2,FALSE),"")</f>
        <v>IMPERMEABILIZANTE PARA FRENTES PLAVICON MATE BEIGE X 12</v>
      </c>
      <c r="D3439" s="1" t="s">
        <v>14458</v>
      </c>
      <c r="E3439" s="3">
        <f>IFERROR(VLOOKUP(B3439,'DA1'!$B$2:$D$999999,3,FALSE),"")</f>
      </c>
      <c r="F3439" s="1" t="str">
        <f>IFERROR(VLOOKUP(B3439,'SB1'!$A$2:$C$999999,3,FALSE),"")</f>
        <v>503</v>
      </c>
      <c r="G3439" s="3" t="e">
        <f t="shared" si="119"/>
        <v>#VALUE!</v>
      </c>
      <c r="H3439" s="3" t="e">
        <f t="shared" si="118"/>
        <v>#VALUE!</v>
      </c>
      <c r="I3439" s="1">
        <v>1</v>
      </c>
    </row>
    <row r="3440" spans="1:9" x14ac:dyDescent="0.25">
      <c r="A3440" s="1" t="s">
        <v>14435</v>
      </c>
      <c r="B3440" s="1" t="s">
        <v>10195</v>
      </c>
      <c r="C3440" s="1" t="str">
        <f>IFERROR(VLOOKUP(B3440,'SB1'!$A$2:$B$999999,2,FALSE),"")</f>
        <v>IMPERMEABILIZANTE PARA FRENTES PLAVICON MATE BEIGE X 25</v>
      </c>
      <c r="D3440" s="1" t="s">
        <v>14458</v>
      </c>
      <c r="E3440" s="3">
        <f>IFERROR(VLOOKUP(B3440,'DA1'!$B$2:$D$999999,3,FALSE),"")</f>
      </c>
      <c r="F3440" s="1" t="str">
        <f>IFERROR(VLOOKUP(B3440,'SB1'!$A$2:$C$999999,3,FALSE),"")</f>
        <v>503</v>
      </c>
      <c r="G3440" s="3" t="e">
        <f t="shared" si="119"/>
        <v>#VALUE!</v>
      </c>
      <c r="H3440" s="3" t="e">
        <f t="shared" si="118"/>
        <v>#VALUE!</v>
      </c>
      <c r="I3440" s="1">
        <v>1</v>
      </c>
    </row>
    <row r="3441" spans="1:9" x14ac:dyDescent="0.25">
      <c r="A3441" s="1" t="s">
        <v>14435</v>
      </c>
      <c r="B3441" s="1" t="s">
        <v>10197</v>
      </c>
      <c r="C3441" s="1" t="str">
        <f>IFERROR(VLOOKUP(B3441,'SB1'!$A$2:$B$999999,2,FALSE),"")</f>
        <v>IMPERMEABILIZANTE PARA FRENTES PLAVICON MATE GRIS CEMENTO X  1,250</v>
      </c>
      <c r="D3441" s="1" t="s">
        <v>14458</v>
      </c>
      <c r="E3441" s="3">
        <f>IFERROR(VLOOKUP(B3441,'DA1'!$B$2:$D$999999,3,FALSE),"")</f>
      </c>
      <c r="F3441" s="1" t="str">
        <f>IFERROR(VLOOKUP(B3441,'SB1'!$A$2:$C$999999,3,FALSE),"")</f>
        <v>503</v>
      </c>
      <c r="G3441" s="3" t="e">
        <f t="shared" si="119"/>
        <v>#VALUE!</v>
      </c>
      <c r="H3441" s="3" t="e">
        <f t="shared" si="118"/>
        <v>#VALUE!</v>
      </c>
      <c r="I3441" s="1">
        <v>1</v>
      </c>
    </row>
    <row r="3442" spans="1:9" x14ac:dyDescent="0.25">
      <c r="A3442" s="1" t="s">
        <v>14435</v>
      </c>
      <c r="B3442" s="1" t="s">
        <v>10199</v>
      </c>
      <c r="C3442" s="1" t="str">
        <f>IFERROR(VLOOKUP(B3442,'SB1'!$A$2:$B$999999,2,FALSE),"")</f>
        <v>IMPERMEABILIZANTE PARA FRENTES PLAVICON MATE GRIS CEMENTO X  5</v>
      </c>
      <c r="D3442" s="1" t="s">
        <v>14458</v>
      </c>
      <c r="E3442" s="3">
        <f>IFERROR(VLOOKUP(B3442,'DA1'!$B$2:$D$999999,3,FALSE),"")</f>
      </c>
      <c r="F3442" s="1" t="str">
        <f>IFERROR(VLOOKUP(B3442,'SB1'!$A$2:$C$999999,3,FALSE),"")</f>
        <v>503</v>
      </c>
      <c r="G3442" s="3" t="e">
        <f t="shared" si="119"/>
        <v>#VALUE!</v>
      </c>
      <c r="H3442" s="3" t="e">
        <f t="shared" si="118"/>
        <v>#VALUE!</v>
      </c>
      <c r="I3442" s="1">
        <v>1</v>
      </c>
    </row>
    <row r="3443" spans="1:9" x14ac:dyDescent="0.25">
      <c r="A3443" s="1" t="s">
        <v>14435</v>
      </c>
      <c r="B3443" s="1" t="s">
        <v>10201</v>
      </c>
      <c r="C3443" s="1" t="str">
        <f>IFERROR(VLOOKUP(B3443,'SB1'!$A$2:$B$999999,2,FALSE),"")</f>
        <v>IMPERMEABILIZANTE PARA FRENTES PLAVICON MATE GRIS CEMENTO X 12</v>
      </c>
      <c r="D3443" s="1" t="s">
        <v>14458</v>
      </c>
      <c r="E3443" s="3">
        <f>IFERROR(VLOOKUP(B3443,'DA1'!$B$2:$D$999999,3,FALSE),"")</f>
      </c>
      <c r="F3443" s="1" t="str">
        <f>IFERROR(VLOOKUP(B3443,'SB1'!$A$2:$C$999999,3,FALSE),"")</f>
        <v>503</v>
      </c>
      <c r="G3443" s="3" t="e">
        <f t="shared" si="119"/>
        <v>#VALUE!</v>
      </c>
      <c r="H3443" s="3" t="e">
        <f t="shared" si="118"/>
        <v>#VALUE!</v>
      </c>
      <c r="I3443" s="1">
        <v>1</v>
      </c>
    </row>
    <row r="3444" spans="1:9" x14ac:dyDescent="0.25">
      <c r="A3444" s="1" t="s">
        <v>14435</v>
      </c>
      <c r="B3444" s="1" t="s">
        <v>10203</v>
      </c>
      <c r="C3444" s="1" t="str">
        <f>IFERROR(VLOOKUP(B3444,'SB1'!$A$2:$B$999999,2,FALSE),"")</f>
        <v>IMPERMEABILIZANTE PARA FRENTES PLAVICON MATE GRIS CEMENTO X 25</v>
      </c>
      <c r="D3444" s="1" t="s">
        <v>14458</v>
      </c>
      <c r="E3444" s="3">
        <f>IFERROR(VLOOKUP(B3444,'DA1'!$B$2:$D$999999,3,FALSE),"")</f>
      </c>
      <c r="F3444" s="1" t="str">
        <f>IFERROR(VLOOKUP(B3444,'SB1'!$A$2:$C$999999,3,FALSE),"")</f>
        <v>503</v>
      </c>
      <c r="G3444" s="3" t="e">
        <f t="shared" si="119"/>
        <v>#VALUE!</v>
      </c>
      <c r="H3444" s="3" t="e">
        <f t="shared" si="118"/>
        <v>#VALUE!</v>
      </c>
      <c r="I3444" s="1">
        <v>1</v>
      </c>
    </row>
    <row r="3445" spans="1:9" x14ac:dyDescent="0.25">
      <c r="A3445" s="1" t="s">
        <v>14435</v>
      </c>
      <c r="B3445" s="1" t="s">
        <v>10205</v>
      </c>
      <c r="C3445" s="1" t="str">
        <f>IFERROR(VLOOKUP(B3445,'SB1'!$A$2:$B$999999,2,FALSE),"")</f>
        <v>IMPERMEABILIZANTE PARA FRENTES PLAVICON MATE OCRE X  1,250</v>
      </c>
      <c r="D3445" s="1" t="s">
        <v>14458</v>
      </c>
      <c r="E3445" s="3">
        <f>IFERROR(VLOOKUP(B3445,'DA1'!$B$2:$D$999999,3,FALSE),"")</f>
      </c>
      <c r="F3445" s="1" t="str">
        <f>IFERROR(VLOOKUP(B3445,'SB1'!$A$2:$C$999999,3,FALSE),"")</f>
        <v>503</v>
      </c>
      <c r="G3445" s="3" t="e">
        <f t="shared" si="119"/>
        <v>#VALUE!</v>
      </c>
      <c r="H3445" s="3" t="e">
        <f t="shared" si="118"/>
        <v>#VALUE!</v>
      </c>
      <c r="I3445" s="1">
        <v>1</v>
      </c>
    </row>
    <row r="3446" spans="1:9" x14ac:dyDescent="0.25">
      <c r="A3446" s="1" t="s">
        <v>14435</v>
      </c>
      <c r="B3446" s="1" t="s">
        <v>10207</v>
      </c>
      <c r="C3446" s="1" t="str">
        <f>IFERROR(VLOOKUP(B3446,'SB1'!$A$2:$B$999999,2,FALSE),"")</f>
        <v>IMPERMEABILIZANTE PARA FRENTES PLAVICON MATE OCRE X  5</v>
      </c>
      <c r="D3446" s="1" t="s">
        <v>14458</v>
      </c>
      <c r="E3446" s="3">
        <f>IFERROR(VLOOKUP(B3446,'DA1'!$B$2:$D$999999,3,FALSE),"")</f>
      </c>
      <c r="F3446" s="1" t="str">
        <f>IFERROR(VLOOKUP(B3446,'SB1'!$A$2:$C$999999,3,FALSE),"")</f>
        <v>503</v>
      </c>
      <c r="G3446" s="3" t="e">
        <f t="shared" si="119"/>
        <v>#VALUE!</v>
      </c>
      <c r="H3446" s="3" t="e">
        <f t="shared" si="118"/>
        <v>#VALUE!</v>
      </c>
      <c r="I3446" s="1">
        <v>1</v>
      </c>
    </row>
    <row r="3447" spans="1:9" x14ac:dyDescent="0.25">
      <c r="A3447" s="1" t="s">
        <v>14435</v>
      </c>
      <c r="B3447" s="1" t="s">
        <v>10209</v>
      </c>
      <c r="C3447" s="1" t="str">
        <f>IFERROR(VLOOKUP(B3447,'SB1'!$A$2:$B$999999,2,FALSE),"")</f>
        <v>IMPERMEABILIZANTE PARA FRENTES PLAVICON MATE OCRE X 12</v>
      </c>
      <c r="D3447" s="1" t="s">
        <v>14458</v>
      </c>
      <c r="E3447" s="3">
        <f>IFERROR(VLOOKUP(B3447,'DA1'!$B$2:$D$999999,3,FALSE),"")</f>
      </c>
      <c r="F3447" s="1" t="str">
        <f>IFERROR(VLOOKUP(B3447,'SB1'!$A$2:$C$999999,3,FALSE),"")</f>
        <v>503</v>
      </c>
      <c r="G3447" s="3" t="e">
        <f t="shared" si="119"/>
        <v>#VALUE!</v>
      </c>
      <c r="H3447" s="3" t="e">
        <f t="shared" si="118"/>
        <v>#VALUE!</v>
      </c>
      <c r="I3447" s="1">
        <v>1</v>
      </c>
    </row>
    <row r="3448" spans="1:9" x14ac:dyDescent="0.25">
      <c r="A3448" s="1" t="s">
        <v>14435</v>
      </c>
      <c r="B3448" s="1" t="s">
        <v>10211</v>
      </c>
      <c r="C3448" s="1" t="str">
        <f>IFERROR(VLOOKUP(B3448,'SB1'!$A$2:$B$999999,2,FALSE),"")</f>
        <v>IMPERMEABILIZANTE PARA FRENTES PLAVICON MATE OCRE X 25</v>
      </c>
      <c r="D3448" s="1" t="s">
        <v>14458</v>
      </c>
      <c r="E3448" s="3">
        <f>IFERROR(VLOOKUP(B3448,'DA1'!$B$2:$D$999999,3,FALSE),"")</f>
      </c>
      <c r="F3448" s="1" t="str">
        <f>IFERROR(VLOOKUP(B3448,'SB1'!$A$2:$C$999999,3,FALSE),"")</f>
        <v>503</v>
      </c>
      <c r="G3448" s="3" t="e">
        <f t="shared" si="119"/>
        <v>#VALUE!</v>
      </c>
      <c r="H3448" s="3" t="e">
        <f t="shared" si="118"/>
        <v>#VALUE!</v>
      </c>
      <c r="I3448" s="1">
        <v>1</v>
      </c>
    </row>
    <row r="3449" spans="1:9" x14ac:dyDescent="0.25">
      <c r="A3449" s="1" t="s">
        <v>14435</v>
      </c>
      <c r="B3449" s="1" t="s">
        <v>10213</v>
      </c>
      <c r="C3449" s="1" t="str">
        <f>IFERROR(VLOOKUP(B3449,'SB1'!$A$2:$B$999999,2,FALSE),"")</f>
        <v>IMPERMEABILIZANTE PARA FRENTES PLAVICON MATE NEGRO X  1,250</v>
      </c>
      <c r="D3449" s="1" t="s">
        <v>14458</v>
      </c>
      <c r="E3449" s="3">
        <f>IFERROR(VLOOKUP(B3449,'DA1'!$B$2:$D$999999,3,FALSE),"")</f>
      </c>
      <c r="F3449" s="1" t="str">
        <f>IFERROR(VLOOKUP(B3449,'SB1'!$A$2:$C$999999,3,FALSE),"")</f>
        <v>503</v>
      </c>
      <c r="G3449" s="3" t="e">
        <f t="shared" si="119"/>
        <v>#VALUE!</v>
      </c>
      <c r="H3449" s="3" t="e">
        <f t="shared" si="118"/>
        <v>#VALUE!</v>
      </c>
      <c r="I3449" s="1">
        <v>1</v>
      </c>
    </row>
    <row r="3450" spans="1:9" x14ac:dyDescent="0.25">
      <c r="A3450" s="1" t="s">
        <v>14435</v>
      </c>
      <c r="B3450" s="1" t="s">
        <v>10215</v>
      </c>
      <c r="C3450" s="1" t="str">
        <f>IFERROR(VLOOKUP(B3450,'SB1'!$A$2:$B$999999,2,FALSE),"")</f>
        <v>IMPERMEABILIZANTE PARA FRENTES PLAVICON MATE NEGRO X  5</v>
      </c>
      <c r="D3450" s="1" t="s">
        <v>14458</v>
      </c>
      <c r="E3450" s="3">
        <f>IFERROR(VLOOKUP(B3450,'DA1'!$B$2:$D$999999,3,FALSE),"")</f>
      </c>
      <c r="F3450" s="1" t="str">
        <f>IFERROR(VLOOKUP(B3450,'SB1'!$A$2:$C$999999,3,FALSE),"")</f>
        <v>503</v>
      </c>
      <c r="G3450" s="3" t="e">
        <f t="shared" si="119"/>
        <v>#VALUE!</v>
      </c>
      <c r="H3450" s="3" t="e">
        <f t="shared" si="118"/>
        <v>#VALUE!</v>
      </c>
      <c r="I3450" s="1">
        <v>1</v>
      </c>
    </row>
    <row r="3451" spans="1:9" x14ac:dyDescent="0.25">
      <c r="A3451" s="1" t="s">
        <v>14435</v>
      </c>
      <c r="B3451" s="1" t="s">
        <v>10217</v>
      </c>
      <c r="C3451" s="1" t="str">
        <f>IFERROR(VLOOKUP(B3451,'SB1'!$A$2:$B$999999,2,FALSE),"")</f>
        <v>IMPERMEABILIZANTE PARA FRENTES PLAVICON MATE NEGRO X 12</v>
      </c>
      <c r="D3451" s="1" t="s">
        <v>14458</v>
      </c>
      <c r="E3451" s="3">
        <f>IFERROR(VLOOKUP(B3451,'DA1'!$B$2:$D$999999,3,FALSE),"")</f>
      </c>
      <c r="F3451" s="1" t="str">
        <f>IFERROR(VLOOKUP(B3451,'SB1'!$A$2:$C$999999,3,FALSE),"")</f>
        <v>503</v>
      </c>
      <c r="G3451" s="3" t="e">
        <f t="shared" si="119"/>
        <v>#VALUE!</v>
      </c>
      <c r="H3451" s="3" t="e">
        <f t="shared" si="118"/>
        <v>#VALUE!</v>
      </c>
      <c r="I3451" s="1">
        <v>1</v>
      </c>
    </row>
    <row r="3452" spans="1:9" x14ac:dyDescent="0.25">
      <c r="A3452" s="1" t="s">
        <v>14435</v>
      </c>
      <c r="B3452" s="1" t="s">
        <v>10219</v>
      </c>
      <c r="C3452" s="1" t="str">
        <f>IFERROR(VLOOKUP(B3452,'SB1'!$A$2:$B$999999,2,FALSE),"")</f>
        <v>IMPERMEABILIZANTE PARA FRENTES PLAVICON MATE NEGRO X 25</v>
      </c>
      <c r="D3452" s="1" t="s">
        <v>14458</v>
      </c>
      <c r="E3452" s="3">
        <f>IFERROR(VLOOKUP(B3452,'DA1'!$B$2:$D$999999,3,FALSE),"")</f>
      </c>
      <c r="F3452" s="1" t="str">
        <f>IFERROR(VLOOKUP(B3452,'SB1'!$A$2:$C$999999,3,FALSE),"")</f>
        <v>503</v>
      </c>
      <c r="G3452" s="3" t="e">
        <f t="shared" si="119"/>
        <v>#VALUE!</v>
      </c>
      <c r="H3452" s="3" t="e">
        <f t="shared" si="118"/>
        <v>#VALUE!</v>
      </c>
      <c r="I3452" s="1">
        <v>1</v>
      </c>
    </row>
    <row r="3453" spans="1:9" x14ac:dyDescent="0.25">
      <c r="A3453" s="1" t="s">
        <v>14435</v>
      </c>
      <c r="B3453" s="1" t="s">
        <v>10221</v>
      </c>
      <c r="C3453" s="1" t="str">
        <f>IFERROR(VLOOKUP(B3453,'SB1'!$A$2:$B$999999,2,FALSE),"")</f>
        <v>FONDO ANTIOXIDO TERSUAVE MATE MARFIL X  0,250</v>
      </c>
      <c r="D3453" s="1" t="s">
        <v>14437</v>
      </c>
      <c r="E3453" s="3">
        <f>IFERROR(VLOOKUP(B3453,'DA1'!$B$2:$D$999999,3,FALSE),"")</f>
      </c>
      <c r="F3453" s="1" t="str">
        <f>IFERROR(VLOOKUP(B3453,'SB1'!$A$2:$C$999999,3,FALSE),"")</f>
        <v>503</v>
      </c>
      <c r="G3453" s="3" t="e">
        <f t="shared" si="119"/>
        <v>#VALUE!</v>
      </c>
      <c r="H3453" s="3" t="e">
        <f t="shared" si="118"/>
        <v>#VALUE!</v>
      </c>
      <c r="I3453" s="1">
        <v>1</v>
      </c>
    </row>
    <row r="3454" spans="1:9" x14ac:dyDescent="0.25">
      <c r="A3454" s="1" t="s">
        <v>14435</v>
      </c>
      <c r="B3454" s="1" t="s">
        <v>10223</v>
      </c>
      <c r="C3454" s="1" t="str">
        <f>IFERROR(VLOOKUP(B3454,'SB1'!$A$2:$B$999999,2,FALSE),"")</f>
        <v>ESMALTE SINTETICO PLAVICON 3EN1 MATE NEGRO X 20</v>
      </c>
      <c r="D3454" s="1" t="s">
        <v>14458</v>
      </c>
      <c r="E3454" s="3">
        <f>IFERROR(VLOOKUP(B3454,'DA1'!$B$2:$D$999999,3,FALSE),"")</f>
      </c>
      <c r="F3454" s="1" t="str">
        <f>IFERROR(VLOOKUP(B3454,'SB1'!$A$2:$C$999999,3,FALSE),"")</f>
        <v>503</v>
      </c>
      <c r="G3454" s="3" t="e">
        <f t="shared" si="119"/>
        <v>#VALUE!</v>
      </c>
      <c r="H3454" s="3" t="e">
        <f t="shared" ref="H3454:H3517" si="120">G3454*1.21</f>
        <v>#VALUE!</v>
      </c>
      <c r="I3454" s="1">
        <v>1</v>
      </c>
    </row>
    <row r="3455" spans="1:9" x14ac:dyDescent="0.25">
      <c r="A3455" s="1" t="s">
        <v>14435</v>
      </c>
      <c r="B3455" s="1" t="s">
        <v>10225</v>
      </c>
      <c r="C3455" s="1" t="str">
        <f>IFERROR(VLOOKUP(B3455,'SB1'!$A$2:$B$999999,2,FALSE),"")</f>
        <v>ENDUIDO INTERIOR PLAVICON X 10</v>
      </c>
      <c r="D3455" s="1" t="s">
        <v>14458</v>
      </c>
      <c r="E3455" s="3">
        <f>IFERROR(VLOOKUP(B3455,'DA1'!$B$2:$D$999999,3,FALSE),"")</f>
      </c>
      <c r="F3455" s="1" t="str">
        <f>IFERROR(VLOOKUP(B3455,'SB1'!$A$2:$C$999999,3,FALSE),"")</f>
        <v>503</v>
      </c>
      <c r="G3455" s="3" t="e">
        <f t="shared" si="119"/>
        <v>#VALUE!</v>
      </c>
      <c r="H3455" s="3" t="e">
        <f t="shared" si="120"/>
        <v>#VALUE!</v>
      </c>
      <c r="I3455" s="1">
        <v>1</v>
      </c>
    </row>
    <row r="3456" spans="1:9" x14ac:dyDescent="0.25">
      <c r="A3456" s="1" t="s">
        <v>14435</v>
      </c>
      <c r="B3456" s="1" t="s">
        <v>10227</v>
      </c>
      <c r="C3456" s="1" t="str">
        <f>IFERROR(VLOOKUP(B3456,'SB1'!$A$2:$B$999999,2,FALSE),"")</f>
        <v>MALLA FIBRA DE VIDRIO  R-FV60 2,85X2,85MM 1X50M</v>
      </c>
      <c r="D3456" s="1" t="s">
        <v>14504</v>
      </c>
      <c r="E3456" s="3">
        <f>IFERROR(VLOOKUP(B3456,'DA1'!$B$2:$D$999999,3,FALSE),"")</f>
      </c>
      <c r="F3456" s="1" t="str">
        <f>IFERROR(VLOOKUP(B3456,'SB1'!$A$2:$C$999999,3,FALSE),"")</f>
        <v>503</v>
      </c>
      <c r="G3456" s="3" t="e">
        <f t="shared" si="119"/>
        <v>#VALUE!</v>
      </c>
      <c r="H3456" s="3" t="e">
        <f t="shared" si="120"/>
        <v>#VALUE!</v>
      </c>
      <c r="I3456" s="1">
        <v>1</v>
      </c>
    </row>
    <row r="3457" spans="1:9" x14ac:dyDescent="0.25">
      <c r="A3457" s="1" t="s">
        <v>14435</v>
      </c>
      <c r="B3457" s="1" t="s">
        <v>10229</v>
      </c>
      <c r="C3457" s="1" t="str">
        <f>IFERROR(VLOOKUP(B3457,'SB1'!$A$2:$B$999999,2,FALSE),"")</f>
        <v>FONDO ANTIOXIDO TERSUAVE MATE NEGRO X  0,250</v>
      </c>
      <c r="D3457" s="1" t="s">
        <v>14437</v>
      </c>
      <c r="E3457" s="3">
        <f>IFERROR(VLOOKUP(B3457,'DA1'!$B$2:$D$999999,3,FALSE),"")</f>
      </c>
      <c r="F3457" s="1" t="str">
        <f>IFERROR(VLOOKUP(B3457,'SB1'!$A$2:$C$999999,3,FALSE),"")</f>
        <v>503</v>
      </c>
      <c r="G3457" s="3" t="e">
        <f t="shared" si="119"/>
        <v>#VALUE!</v>
      </c>
      <c r="H3457" s="3" t="e">
        <f t="shared" si="120"/>
        <v>#VALUE!</v>
      </c>
      <c r="I3457" s="1">
        <v>1</v>
      </c>
    </row>
    <row r="3458" spans="1:9" x14ac:dyDescent="0.25">
      <c r="A3458" s="1" t="s">
        <v>14435</v>
      </c>
      <c r="B3458" s="1" t="s">
        <v>10249</v>
      </c>
      <c r="C3458" s="1" t="str">
        <f>IFERROR(VLOOKUP(B3458,'SB1'!$A$2:$B$999999,2,FALSE),"")</f>
        <v>LATEX INTERIOR PLAVICON HABITAT LISTO PARA USAR MATE CACAO X 1</v>
      </c>
      <c r="D3458" s="1" t="s">
        <v>14458</v>
      </c>
      <c r="E3458" s="3">
        <f>IFERROR(VLOOKUP(B3458,'DA1'!$B$2:$D$999999,3,FALSE),"")</f>
      </c>
      <c r="F3458" s="1" t="str">
        <f>IFERROR(VLOOKUP(B3458,'SB1'!$A$2:$C$999999,3,FALSE),"")</f>
        <v>503</v>
      </c>
      <c r="G3458" s="3" t="e">
        <f t="shared" si="119"/>
        <v>#VALUE!</v>
      </c>
      <c r="H3458" s="3" t="e">
        <f t="shared" si="120"/>
        <v>#VALUE!</v>
      </c>
      <c r="I3458" s="1">
        <v>1</v>
      </c>
    </row>
    <row r="3459" spans="1:9" x14ac:dyDescent="0.25">
      <c r="A3459" s="1" t="s">
        <v>14435</v>
      </c>
      <c r="B3459" s="1" t="s">
        <v>10251</v>
      </c>
      <c r="C3459" s="1" t="str">
        <f>IFERROR(VLOOKUP(B3459,'SB1'!$A$2:$B$999999,2,FALSE),"")</f>
        <v>LATEX INTERIOR PLAVICON HABITAT LISTO PARA USAR MATE CACAO X 4</v>
      </c>
      <c r="D3459" s="1" t="s">
        <v>14458</v>
      </c>
      <c r="E3459" s="3">
        <f>IFERROR(VLOOKUP(B3459,'DA1'!$B$2:$D$999999,3,FALSE),"")</f>
      </c>
      <c r="F3459" s="1" t="str">
        <f>IFERROR(VLOOKUP(B3459,'SB1'!$A$2:$C$999999,3,FALSE),"")</f>
        <v>503</v>
      </c>
      <c r="G3459" s="3" t="e">
        <f t="shared" ref="G3459:G3522" si="121">E3459*1.04</f>
        <v>#VALUE!</v>
      </c>
      <c r="H3459" s="3" t="e">
        <f t="shared" si="120"/>
        <v>#VALUE!</v>
      </c>
      <c r="I3459" s="1">
        <v>1</v>
      </c>
    </row>
    <row r="3460" spans="1:9" x14ac:dyDescent="0.25">
      <c r="A3460" s="1" t="s">
        <v>14435</v>
      </c>
      <c r="B3460" s="1" t="s">
        <v>10253</v>
      </c>
      <c r="C3460" s="1" t="str">
        <f>IFERROR(VLOOKUP(B3460,'SB1'!$A$2:$B$999999,2,FALSE),"")</f>
        <v>FONDO ANTIOXIDO TERSUAVE MATE GRIS X  0,250</v>
      </c>
      <c r="D3460" s="1" t="s">
        <v>14437</v>
      </c>
      <c r="E3460" s="3">
        <f>IFERROR(VLOOKUP(B3460,'DA1'!$B$2:$D$999999,3,FALSE),"")</f>
      </c>
      <c r="F3460" s="1" t="str">
        <f>IFERROR(VLOOKUP(B3460,'SB1'!$A$2:$C$999999,3,FALSE),"")</f>
        <v>503</v>
      </c>
      <c r="G3460" s="3" t="e">
        <f t="shared" si="121"/>
        <v>#VALUE!</v>
      </c>
      <c r="H3460" s="3" t="e">
        <f t="shared" si="120"/>
        <v>#VALUE!</v>
      </c>
      <c r="I3460" s="1">
        <v>1</v>
      </c>
    </row>
    <row r="3461" spans="1:9" x14ac:dyDescent="0.25">
      <c r="A3461" s="1" t="s">
        <v>14435</v>
      </c>
      <c r="B3461" s="1" t="s">
        <v>10255</v>
      </c>
      <c r="C3461" s="1" t="str">
        <f>IFERROR(VLOOKUP(B3461,'SB1'!$A$2:$B$999999,2,FALSE),"")</f>
        <v>IMPERMEABILIZANTE PARA FRENTES PLAVICON MATE VERDE FORESTA X  1,250</v>
      </c>
      <c r="D3461" s="1" t="s">
        <v>14458</v>
      </c>
      <c r="E3461" s="3">
        <f>IFERROR(VLOOKUP(B3461,'DA1'!$B$2:$D$999999,3,FALSE),"")</f>
      </c>
      <c r="F3461" s="1" t="str">
        <f>IFERROR(VLOOKUP(B3461,'SB1'!$A$2:$C$999999,3,FALSE),"")</f>
        <v>503</v>
      </c>
      <c r="G3461" s="3" t="e">
        <f t="shared" si="121"/>
        <v>#VALUE!</v>
      </c>
      <c r="H3461" s="3" t="e">
        <f t="shared" si="120"/>
        <v>#VALUE!</v>
      </c>
      <c r="I3461" s="1">
        <v>1</v>
      </c>
    </row>
    <row r="3462" spans="1:9" x14ac:dyDescent="0.25">
      <c r="A3462" s="1" t="s">
        <v>14435</v>
      </c>
      <c r="B3462" s="1" t="s">
        <v>10257</v>
      </c>
      <c r="C3462" s="1" t="str">
        <f>IFERROR(VLOOKUP(B3462,'SB1'!$A$2:$B$999999,2,FALSE),"")</f>
        <v>IMPERMEABILIZANTE PARA FRENTES PLAVICON MATE VERDE FORESTA X  5</v>
      </c>
      <c r="D3462" s="1" t="s">
        <v>14458</v>
      </c>
      <c r="E3462" s="3">
        <f>IFERROR(VLOOKUP(B3462,'DA1'!$B$2:$D$999999,3,FALSE),"")</f>
      </c>
      <c r="F3462" s="1" t="str">
        <f>IFERROR(VLOOKUP(B3462,'SB1'!$A$2:$C$999999,3,FALSE),"")</f>
        <v>503</v>
      </c>
      <c r="G3462" s="3" t="e">
        <f t="shared" si="121"/>
        <v>#VALUE!</v>
      </c>
      <c r="H3462" s="3" t="e">
        <f t="shared" si="120"/>
        <v>#VALUE!</v>
      </c>
      <c r="I3462" s="1">
        <v>1</v>
      </c>
    </row>
    <row r="3463" spans="1:9" x14ac:dyDescent="0.25">
      <c r="A3463" s="1" t="s">
        <v>14435</v>
      </c>
      <c r="B3463" s="1" t="s">
        <v>10259</v>
      </c>
      <c r="C3463" s="1" t="str">
        <f>IFERROR(VLOOKUP(B3463,'SB1'!$A$2:$B$999999,2,FALSE),"")</f>
        <v>IMPERMEABILIZANTE PARA FRENTES PLAVICON MATE VERDE FORESTA X 12</v>
      </c>
      <c r="D3463" s="1" t="s">
        <v>14458</v>
      </c>
      <c r="E3463" s="3">
        <f>IFERROR(VLOOKUP(B3463,'DA1'!$B$2:$D$999999,3,FALSE),"")</f>
      </c>
      <c r="F3463" s="1" t="str">
        <f>IFERROR(VLOOKUP(B3463,'SB1'!$A$2:$C$999999,3,FALSE),"")</f>
        <v>503</v>
      </c>
      <c r="G3463" s="3" t="e">
        <f t="shared" si="121"/>
        <v>#VALUE!</v>
      </c>
      <c r="H3463" s="3" t="e">
        <f t="shared" si="120"/>
        <v>#VALUE!</v>
      </c>
      <c r="I3463" s="1">
        <v>1</v>
      </c>
    </row>
    <row r="3464" spans="1:9" x14ac:dyDescent="0.25">
      <c r="A3464" s="1" t="s">
        <v>14435</v>
      </c>
      <c r="B3464" s="1" t="s">
        <v>10261</v>
      </c>
      <c r="C3464" s="1" t="str">
        <f>IFERROR(VLOOKUP(B3464,'SB1'!$A$2:$B$999999,2,FALSE),"")</f>
        <v>IMPERMEABILIZANTE PARA FRENTES PLAVICON MATE VERDE FORESTA X 25</v>
      </c>
      <c r="D3464" s="1" t="s">
        <v>14458</v>
      </c>
      <c r="E3464" s="3">
        <f>IFERROR(VLOOKUP(B3464,'DA1'!$B$2:$D$999999,3,FALSE),"")</f>
      </c>
      <c r="F3464" s="1" t="str">
        <f>IFERROR(VLOOKUP(B3464,'SB1'!$A$2:$C$999999,3,FALSE),"")</f>
        <v>503</v>
      </c>
      <c r="G3464" s="3" t="e">
        <f t="shared" si="121"/>
        <v>#VALUE!</v>
      </c>
      <c r="H3464" s="3" t="e">
        <f t="shared" si="120"/>
        <v>#VALUE!</v>
      </c>
      <c r="I3464" s="1">
        <v>1</v>
      </c>
    </row>
    <row r="3465" spans="1:9" x14ac:dyDescent="0.25">
      <c r="A3465" s="1" t="s">
        <v>14435</v>
      </c>
      <c r="B3465" s="1" t="s">
        <v>10263</v>
      </c>
      <c r="C3465" s="1" t="str">
        <f>IFERROR(VLOOKUP(B3465,'SB1'!$A$2:$B$999999,2,FALSE),"")</f>
        <v>IMPERMEABILIZANTE PARA FRENTES PLAVICON MATE VERDE PADDLE X  1,250</v>
      </c>
      <c r="D3465" s="1" t="s">
        <v>14458</v>
      </c>
      <c r="E3465" s="3">
        <f>IFERROR(VLOOKUP(B3465,'DA1'!$B$2:$D$999999,3,FALSE),"")</f>
      </c>
      <c r="F3465" s="1" t="str">
        <f>IFERROR(VLOOKUP(B3465,'SB1'!$A$2:$C$999999,3,FALSE),"")</f>
        <v>503</v>
      </c>
      <c r="G3465" s="3" t="e">
        <f t="shared" si="121"/>
        <v>#VALUE!</v>
      </c>
      <c r="H3465" s="3" t="e">
        <f t="shared" si="120"/>
        <v>#VALUE!</v>
      </c>
      <c r="I3465" s="1">
        <v>1</v>
      </c>
    </row>
    <row r="3466" spans="1:9" x14ac:dyDescent="0.25">
      <c r="A3466" s="1" t="s">
        <v>14435</v>
      </c>
      <c r="B3466" s="1" t="s">
        <v>10265</v>
      </c>
      <c r="C3466" s="1" t="str">
        <f>IFERROR(VLOOKUP(B3466,'SB1'!$A$2:$B$999999,2,FALSE),"")</f>
        <v>IMPERMEABILIZANTE PARA FRENTES PLAVICON MATE VERDE PADDLE X  5</v>
      </c>
      <c r="D3466" s="1" t="s">
        <v>14458</v>
      </c>
      <c r="E3466" s="3">
        <f>IFERROR(VLOOKUP(B3466,'DA1'!$B$2:$D$999999,3,FALSE),"")</f>
      </c>
      <c r="F3466" s="1" t="str">
        <f>IFERROR(VLOOKUP(B3466,'SB1'!$A$2:$C$999999,3,FALSE),"")</f>
        <v>503</v>
      </c>
      <c r="G3466" s="3" t="e">
        <f t="shared" si="121"/>
        <v>#VALUE!</v>
      </c>
      <c r="H3466" s="3" t="e">
        <f t="shared" si="120"/>
        <v>#VALUE!</v>
      </c>
      <c r="I3466" s="1">
        <v>1</v>
      </c>
    </row>
    <row r="3467" spans="1:9" x14ac:dyDescent="0.25">
      <c r="A3467" s="1" t="s">
        <v>14435</v>
      </c>
      <c r="B3467" s="1" t="s">
        <v>10267</v>
      </c>
      <c r="C3467" s="1" t="str">
        <f>IFERROR(VLOOKUP(B3467,'SB1'!$A$2:$B$999999,2,FALSE),"")</f>
        <v>IMPERMEABILIZANTE PARA FRENTES PLAVICON MATE VERDE PADDLE X 12</v>
      </c>
      <c r="D3467" s="1" t="s">
        <v>14458</v>
      </c>
      <c r="E3467" s="3">
        <f>IFERROR(VLOOKUP(B3467,'DA1'!$B$2:$D$999999,3,FALSE),"")</f>
      </c>
      <c r="F3467" s="1" t="str">
        <f>IFERROR(VLOOKUP(B3467,'SB1'!$A$2:$C$999999,3,FALSE),"")</f>
        <v>503</v>
      </c>
      <c r="G3467" s="3" t="e">
        <f t="shared" si="121"/>
        <v>#VALUE!</v>
      </c>
      <c r="H3467" s="3" t="e">
        <f t="shared" si="120"/>
        <v>#VALUE!</v>
      </c>
      <c r="I3467" s="1">
        <v>1</v>
      </c>
    </row>
    <row r="3468" spans="1:9" x14ac:dyDescent="0.25">
      <c r="A3468" s="1" t="s">
        <v>14435</v>
      </c>
      <c r="B3468" s="1" t="s">
        <v>10269</v>
      </c>
      <c r="C3468" s="1" t="str">
        <f>IFERROR(VLOOKUP(B3468,'SB1'!$A$2:$B$999999,2,FALSE),"")</f>
        <v>IMPERMEABILIZANTE PARA FRENTES PLAVICON MATE VERDE PADDLE X 25</v>
      </c>
      <c r="D3468" s="1" t="s">
        <v>14458</v>
      </c>
      <c r="E3468" s="3">
        <f>IFERROR(VLOOKUP(B3468,'DA1'!$B$2:$D$999999,3,FALSE),"")</f>
      </c>
      <c r="F3468" s="1" t="str">
        <f>IFERROR(VLOOKUP(B3468,'SB1'!$A$2:$C$999999,3,FALSE),"")</f>
        <v>503</v>
      </c>
      <c r="G3468" s="3" t="e">
        <f t="shared" si="121"/>
        <v>#VALUE!</v>
      </c>
      <c r="H3468" s="3" t="e">
        <f t="shared" si="120"/>
        <v>#VALUE!</v>
      </c>
      <c r="I3468" s="1">
        <v>1</v>
      </c>
    </row>
    <row r="3469" spans="1:9" x14ac:dyDescent="0.25">
      <c r="A3469" s="1" t="s">
        <v>14435</v>
      </c>
      <c r="B3469" s="1" t="s">
        <v>10271</v>
      </c>
      <c r="C3469" s="1" t="str">
        <f>IFERROR(VLOOKUP(B3469,'SB1'!$A$2:$B$999999,2,FALSE),"")</f>
        <v>IMPERMEABILIZANTE PARA FRENTES PLAVICON MATE AZUL X  1,250</v>
      </c>
      <c r="D3469" s="1" t="s">
        <v>14458</v>
      </c>
      <c r="E3469" s="3">
        <f>IFERROR(VLOOKUP(B3469,'DA1'!$B$2:$D$999999,3,FALSE),"")</f>
      </c>
      <c r="F3469" s="1" t="str">
        <f>IFERROR(VLOOKUP(B3469,'SB1'!$A$2:$C$999999,3,FALSE),"")</f>
        <v>503</v>
      </c>
      <c r="G3469" s="3" t="e">
        <f t="shared" si="121"/>
        <v>#VALUE!</v>
      </c>
      <c r="H3469" s="3" t="e">
        <f t="shared" si="120"/>
        <v>#VALUE!</v>
      </c>
      <c r="I3469" s="1">
        <v>1</v>
      </c>
    </row>
    <row r="3470" spans="1:9" x14ac:dyDescent="0.25">
      <c r="A3470" s="1" t="s">
        <v>14435</v>
      </c>
      <c r="B3470" s="1" t="s">
        <v>10273</v>
      </c>
      <c r="C3470" s="1" t="str">
        <f>IFERROR(VLOOKUP(B3470,'SB1'!$A$2:$B$999999,2,FALSE),"")</f>
        <v>IMPERMEABILIZANTE PARA FRENTES PLAVICON MATE AZUL X  5</v>
      </c>
      <c r="D3470" s="1" t="s">
        <v>14458</v>
      </c>
      <c r="E3470" s="3">
        <f>IFERROR(VLOOKUP(B3470,'DA1'!$B$2:$D$999999,3,FALSE),"")</f>
      </c>
      <c r="F3470" s="1" t="str">
        <f>IFERROR(VLOOKUP(B3470,'SB1'!$A$2:$C$999999,3,FALSE),"")</f>
        <v>503</v>
      </c>
      <c r="G3470" s="3" t="e">
        <f t="shared" si="121"/>
        <v>#VALUE!</v>
      </c>
      <c r="H3470" s="3" t="e">
        <f t="shared" si="120"/>
        <v>#VALUE!</v>
      </c>
      <c r="I3470" s="1">
        <v>1</v>
      </c>
    </row>
    <row r="3471" spans="1:9" x14ac:dyDescent="0.25">
      <c r="A3471" s="1" t="s">
        <v>14435</v>
      </c>
      <c r="B3471" s="1" t="s">
        <v>10275</v>
      </c>
      <c r="C3471" s="1" t="str">
        <f>IFERROR(VLOOKUP(B3471,'SB1'!$A$2:$B$999999,2,FALSE),"")</f>
        <v>IMPERMEABILIZANTE PARA FRENTES PLAVICON MATE AZUL X 12</v>
      </c>
      <c r="D3471" s="1" t="s">
        <v>14458</v>
      </c>
      <c r="E3471" s="3">
        <f>IFERROR(VLOOKUP(B3471,'DA1'!$B$2:$D$999999,3,FALSE),"")</f>
      </c>
      <c r="F3471" s="1" t="str">
        <f>IFERROR(VLOOKUP(B3471,'SB1'!$A$2:$C$999999,3,FALSE),"")</f>
        <v>503</v>
      </c>
      <c r="G3471" s="3" t="e">
        <f t="shared" si="121"/>
        <v>#VALUE!</v>
      </c>
      <c r="H3471" s="3" t="e">
        <f t="shared" si="120"/>
        <v>#VALUE!</v>
      </c>
      <c r="I3471" s="1">
        <v>1</v>
      </c>
    </row>
    <row r="3472" spans="1:9" x14ac:dyDescent="0.25">
      <c r="A3472" s="1" t="s">
        <v>14435</v>
      </c>
      <c r="B3472" s="1" t="s">
        <v>10277</v>
      </c>
      <c r="C3472" s="1" t="str">
        <f>IFERROR(VLOOKUP(B3472,'SB1'!$A$2:$B$999999,2,FALSE),"")</f>
        <v>IMPERMEABILIZANTE PARA FRENTES PLAVICON MATE AZUL X 25</v>
      </c>
      <c r="D3472" s="1" t="s">
        <v>14458</v>
      </c>
      <c r="E3472" s="3">
        <f>IFERROR(VLOOKUP(B3472,'DA1'!$B$2:$D$999999,3,FALSE),"")</f>
      </c>
      <c r="F3472" s="1" t="str">
        <f>IFERROR(VLOOKUP(B3472,'SB1'!$A$2:$C$999999,3,FALSE),"")</f>
        <v>503</v>
      </c>
      <c r="G3472" s="3" t="e">
        <f t="shared" si="121"/>
        <v>#VALUE!</v>
      </c>
      <c r="H3472" s="3" t="e">
        <f t="shared" si="120"/>
        <v>#VALUE!</v>
      </c>
      <c r="I3472" s="1">
        <v>1</v>
      </c>
    </row>
    <row r="3473" spans="1:9" x14ac:dyDescent="0.25">
      <c r="A3473" s="1" t="s">
        <v>14435</v>
      </c>
      <c r="B3473" s="1" t="s">
        <v>10279</v>
      </c>
      <c r="C3473" s="1" t="str">
        <f>IFERROR(VLOOKUP(B3473,'SB1'!$A$2:$B$999999,2,FALSE),"")</f>
        <v>IMPERMEABILIZANTE PARA FRENTES PLAVICON MATE TABACO X  1,250</v>
      </c>
      <c r="D3473" s="1" t="s">
        <v>14458</v>
      </c>
      <c r="E3473" s="3">
        <f>IFERROR(VLOOKUP(B3473,'DA1'!$B$2:$D$999999,3,FALSE),"")</f>
      </c>
      <c r="F3473" s="1" t="str">
        <f>IFERROR(VLOOKUP(B3473,'SB1'!$A$2:$C$999999,3,FALSE),"")</f>
        <v>503</v>
      </c>
      <c r="G3473" s="3" t="e">
        <f t="shared" si="121"/>
        <v>#VALUE!</v>
      </c>
      <c r="H3473" s="3" t="e">
        <f t="shared" si="120"/>
        <v>#VALUE!</v>
      </c>
      <c r="I3473" s="1">
        <v>1</v>
      </c>
    </row>
    <row r="3474" spans="1:9" x14ac:dyDescent="0.25">
      <c r="A3474" s="1" t="s">
        <v>14435</v>
      </c>
      <c r="B3474" s="1" t="s">
        <v>10281</v>
      </c>
      <c r="C3474" s="1" t="str">
        <f>IFERROR(VLOOKUP(B3474,'SB1'!$A$2:$B$999999,2,FALSE),"")</f>
        <v>IMPERMEABILIZANTE PARA FRENTES PLAVICON MATE TABACO X  5</v>
      </c>
      <c r="D3474" s="1" t="s">
        <v>14458</v>
      </c>
      <c r="E3474" s="3">
        <f>IFERROR(VLOOKUP(B3474,'DA1'!$B$2:$D$999999,3,FALSE),"")</f>
      </c>
      <c r="F3474" s="1" t="str">
        <f>IFERROR(VLOOKUP(B3474,'SB1'!$A$2:$C$999999,3,FALSE),"")</f>
        <v>503</v>
      </c>
      <c r="G3474" s="3" t="e">
        <f t="shared" si="121"/>
        <v>#VALUE!</v>
      </c>
      <c r="H3474" s="3" t="e">
        <f t="shared" si="120"/>
        <v>#VALUE!</v>
      </c>
      <c r="I3474" s="1">
        <v>1</v>
      </c>
    </row>
    <row r="3475" spans="1:9" x14ac:dyDescent="0.25">
      <c r="A3475" s="1" t="s">
        <v>14435</v>
      </c>
      <c r="B3475" s="1" t="s">
        <v>10283</v>
      </c>
      <c r="C3475" s="1" t="str">
        <f>IFERROR(VLOOKUP(B3475,'SB1'!$A$2:$B$999999,2,FALSE),"")</f>
        <v>IMPERMEABILIZANTE PARA FRENTES PLAVICON MATE TABACO X 12</v>
      </c>
      <c r="D3475" s="1" t="s">
        <v>14458</v>
      </c>
      <c r="E3475" s="3">
        <f>IFERROR(VLOOKUP(B3475,'DA1'!$B$2:$D$999999,3,FALSE),"")</f>
      </c>
      <c r="F3475" s="1" t="str">
        <f>IFERROR(VLOOKUP(B3475,'SB1'!$A$2:$C$999999,3,FALSE),"")</f>
        <v>503</v>
      </c>
      <c r="G3475" s="3" t="e">
        <f t="shared" si="121"/>
        <v>#VALUE!</v>
      </c>
      <c r="H3475" s="3" t="e">
        <f t="shared" si="120"/>
        <v>#VALUE!</v>
      </c>
      <c r="I3475" s="1">
        <v>1</v>
      </c>
    </row>
    <row r="3476" spans="1:9" x14ac:dyDescent="0.25">
      <c r="A3476" s="1" t="s">
        <v>14435</v>
      </c>
      <c r="B3476" s="1" t="s">
        <v>10285</v>
      </c>
      <c r="C3476" s="1" t="str">
        <f>IFERROR(VLOOKUP(B3476,'SB1'!$A$2:$B$999999,2,FALSE),"")</f>
        <v>IMPERMEABILIZANTE PARA FRENTES PLAVICON MATE TABACO X 25</v>
      </c>
      <c r="D3476" s="1" t="s">
        <v>14458</v>
      </c>
      <c r="E3476" s="3">
        <f>IFERROR(VLOOKUP(B3476,'DA1'!$B$2:$D$999999,3,FALSE),"")</f>
      </c>
      <c r="F3476" s="1" t="str">
        <f>IFERROR(VLOOKUP(B3476,'SB1'!$A$2:$C$999999,3,FALSE),"")</f>
        <v>503</v>
      </c>
      <c r="G3476" s="3" t="e">
        <f t="shared" si="121"/>
        <v>#VALUE!</v>
      </c>
      <c r="H3476" s="3" t="e">
        <f t="shared" si="120"/>
        <v>#VALUE!</v>
      </c>
      <c r="I3476" s="1">
        <v>1</v>
      </c>
    </row>
    <row r="3477" spans="1:9" x14ac:dyDescent="0.25">
      <c r="A3477" s="1" t="s">
        <v>14435</v>
      </c>
      <c r="B3477" s="1" t="s">
        <v>10287</v>
      </c>
      <c r="C3477" s="1" t="str">
        <f>IFERROR(VLOOKUP(B3477,'SB1'!$A$2:$B$999999,2,FALSE),"")</f>
        <v>FONDO ANTIOXIDO TERSUAVE MATE VERDE X  0,250</v>
      </c>
      <c r="D3477" s="1" t="s">
        <v>14437</v>
      </c>
      <c r="E3477" s="3">
        <f>IFERROR(VLOOKUP(B3477,'DA1'!$B$2:$D$999999,3,FALSE),"")</f>
      </c>
      <c r="F3477" s="1" t="str">
        <f>IFERROR(VLOOKUP(B3477,'SB1'!$A$2:$C$999999,3,FALSE),"")</f>
        <v>503</v>
      </c>
      <c r="G3477" s="3" t="e">
        <f t="shared" si="121"/>
        <v>#VALUE!</v>
      </c>
      <c r="H3477" s="3" t="e">
        <f t="shared" si="120"/>
        <v>#VALUE!</v>
      </c>
      <c r="I3477" s="1">
        <v>1</v>
      </c>
    </row>
    <row r="3478" spans="1:9" x14ac:dyDescent="0.25">
      <c r="A3478" s="1" t="s">
        <v>14435</v>
      </c>
      <c r="B3478" s="1" t="s">
        <v>10289</v>
      </c>
      <c r="C3478" s="1" t="str">
        <f>IFERROR(VLOOKUP(B3478,'SB1'!$A$2:$B$999999,2,FALSE),"")</f>
        <v>LATEX INTERIOR PLAVICON HABITAT LISTO PARA USAR MATE CASSIS X 1</v>
      </c>
      <c r="D3478" s="1" t="s">
        <v>14458</v>
      </c>
      <c r="E3478" s="3">
        <f>IFERROR(VLOOKUP(B3478,'DA1'!$B$2:$D$999999,3,FALSE),"")</f>
      </c>
      <c r="F3478" s="1" t="str">
        <f>IFERROR(VLOOKUP(B3478,'SB1'!$A$2:$C$999999,3,FALSE),"")</f>
        <v>503</v>
      </c>
      <c r="G3478" s="3" t="e">
        <f t="shared" si="121"/>
        <v>#VALUE!</v>
      </c>
      <c r="H3478" s="3" t="e">
        <f t="shared" si="120"/>
        <v>#VALUE!</v>
      </c>
      <c r="I3478" s="1">
        <v>1</v>
      </c>
    </row>
    <row r="3479" spans="1:9" x14ac:dyDescent="0.25">
      <c r="A3479" s="1" t="s">
        <v>14435</v>
      </c>
      <c r="B3479" s="1" t="s">
        <v>10291</v>
      </c>
      <c r="C3479" s="1" t="str">
        <f>IFERROR(VLOOKUP(B3479,'SB1'!$A$2:$B$999999,2,FALSE),"")</f>
        <v>LATEX INTERIOR PLAVICON HABITAT LISTO PARA USAR MATE CASSIS X 4</v>
      </c>
      <c r="D3479" s="1" t="s">
        <v>14458</v>
      </c>
      <c r="E3479" s="3">
        <f>IFERROR(VLOOKUP(B3479,'DA1'!$B$2:$D$999999,3,FALSE),"")</f>
      </c>
      <c r="F3479" s="1" t="str">
        <f>IFERROR(VLOOKUP(B3479,'SB1'!$A$2:$C$999999,3,FALSE),"")</f>
        <v>503</v>
      </c>
      <c r="G3479" s="3" t="e">
        <f t="shared" si="121"/>
        <v>#VALUE!</v>
      </c>
      <c r="H3479" s="3" t="e">
        <f t="shared" si="120"/>
        <v>#VALUE!</v>
      </c>
      <c r="I3479" s="1">
        <v>1</v>
      </c>
    </row>
    <row r="3480" spans="1:9" x14ac:dyDescent="0.25">
      <c r="A3480" s="1" t="s">
        <v>14435</v>
      </c>
      <c r="B3480" s="1" t="s">
        <v>10293</v>
      </c>
      <c r="C3480" s="1" t="str">
        <f>IFERROR(VLOOKUP(B3480,'SB1'!$A$2:$B$999999,2,FALSE),"")</f>
        <v>LATEX INTERIOR PLAVICON HABITAT LISTO PARA USAR MATE CORAL X 1</v>
      </c>
      <c r="D3480" s="1" t="s">
        <v>14458</v>
      </c>
      <c r="E3480" s="3">
        <f>IFERROR(VLOOKUP(B3480,'DA1'!$B$2:$D$999999,3,FALSE),"")</f>
      </c>
      <c r="F3480" s="1" t="str">
        <f>IFERROR(VLOOKUP(B3480,'SB1'!$A$2:$C$999999,3,FALSE),"")</f>
        <v>503</v>
      </c>
      <c r="G3480" s="3" t="e">
        <f t="shared" si="121"/>
        <v>#VALUE!</v>
      </c>
      <c r="H3480" s="3" t="e">
        <f t="shared" si="120"/>
        <v>#VALUE!</v>
      </c>
      <c r="I3480" s="1">
        <v>1</v>
      </c>
    </row>
    <row r="3481" spans="1:9" x14ac:dyDescent="0.25">
      <c r="A3481" s="1" t="s">
        <v>14435</v>
      </c>
      <c r="B3481" s="1" t="s">
        <v>10295</v>
      </c>
      <c r="C3481" s="1" t="str">
        <f>IFERROR(VLOOKUP(B3481,'SB1'!$A$2:$B$999999,2,FALSE),"")</f>
        <v>LATEX INTERIOR PLAVICON HABITAT LISTO PARA USAR MATE CORAL X 4</v>
      </c>
      <c r="D3481" s="1" t="s">
        <v>14458</v>
      </c>
      <c r="E3481" s="3">
        <f>IFERROR(VLOOKUP(B3481,'DA1'!$B$2:$D$999999,3,FALSE),"")</f>
      </c>
      <c r="F3481" s="1" t="str">
        <f>IFERROR(VLOOKUP(B3481,'SB1'!$A$2:$C$999999,3,FALSE),"")</f>
        <v>503</v>
      </c>
      <c r="G3481" s="3" t="e">
        <f t="shared" si="121"/>
        <v>#VALUE!</v>
      </c>
      <c r="H3481" s="3" t="e">
        <f t="shared" si="120"/>
        <v>#VALUE!</v>
      </c>
      <c r="I3481" s="1">
        <v>1</v>
      </c>
    </row>
    <row r="3482" spans="1:9" x14ac:dyDescent="0.25">
      <c r="A3482" s="1" t="s">
        <v>14435</v>
      </c>
      <c r="B3482" s="1" t="s">
        <v>10297</v>
      </c>
      <c r="C3482" s="1" t="str">
        <f>IFERROR(VLOOKUP(B3482,'SB1'!$A$2:$B$999999,2,FALSE),"")</f>
        <v>LATEX INTERIOR PLAVICON HABITAT LISTO PARA USAR MATE CURACAO X 1</v>
      </c>
      <c r="D3482" s="1" t="s">
        <v>14458</v>
      </c>
      <c r="E3482" s="3">
        <f>IFERROR(VLOOKUP(B3482,'DA1'!$B$2:$D$999999,3,FALSE),"")</f>
      </c>
      <c r="F3482" s="1" t="str">
        <f>IFERROR(VLOOKUP(B3482,'SB1'!$A$2:$C$999999,3,FALSE),"")</f>
        <v>503</v>
      </c>
      <c r="G3482" s="3" t="e">
        <f t="shared" si="121"/>
        <v>#VALUE!</v>
      </c>
      <c r="H3482" s="3" t="e">
        <f t="shared" si="120"/>
        <v>#VALUE!</v>
      </c>
      <c r="I3482" s="1">
        <v>1</v>
      </c>
    </row>
    <row r="3483" spans="1:9" x14ac:dyDescent="0.25">
      <c r="A3483" s="1" t="s">
        <v>14435</v>
      </c>
      <c r="B3483" s="1" t="s">
        <v>10299</v>
      </c>
      <c r="C3483" s="1" t="str">
        <f>IFERROR(VLOOKUP(B3483,'SB1'!$A$2:$B$999999,2,FALSE),"")</f>
        <v>LATEX INTERIOR PLAVICON HABITAT LISTO PARA USAR MATE CURACAO X 4</v>
      </c>
      <c r="D3483" s="1" t="s">
        <v>14458</v>
      </c>
      <c r="E3483" s="3">
        <f>IFERROR(VLOOKUP(B3483,'DA1'!$B$2:$D$999999,3,FALSE),"")</f>
      </c>
      <c r="F3483" s="1" t="str">
        <f>IFERROR(VLOOKUP(B3483,'SB1'!$A$2:$C$999999,3,FALSE),"")</f>
        <v>503</v>
      </c>
      <c r="G3483" s="3" t="e">
        <f t="shared" si="121"/>
        <v>#VALUE!</v>
      </c>
      <c r="H3483" s="3" t="e">
        <f t="shared" si="120"/>
        <v>#VALUE!</v>
      </c>
      <c r="I3483" s="1">
        <v>1</v>
      </c>
    </row>
    <row r="3484" spans="1:9" x14ac:dyDescent="0.25">
      <c r="A3484" s="1" t="s">
        <v>14435</v>
      </c>
      <c r="B3484" s="1" t="s">
        <v>10301</v>
      </c>
      <c r="C3484" s="1" t="str">
        <f>IFERROR(VLOOKUP(B3484,'SB1'!$A$2:$B$999999,2,FALSE),"")</f>
        <v>LATEX INTERIOR PLAVICON HABITAT LISTO PARA USAR MATE DAMASCO X 1</v>
      </c>
      <c r="D3484" s="1" t="s">
        <v>14458</v>
      </c>
      <c r="E3484" s="3">
        <f>IFERROR(VLOOKUP(B3484,'DA1'!$B$2:$D$999999,3,FALSE),"")</f>
      </c>
      <c r="F3484" s="1" t="str">
        <f>IFERROR(VLOOKUP(B3484,'SB1'!$A$2:$C$999999,3,FALSE),"")</f>
        <v>503</v>
      </c>
      <c r="G3484" s="3" t="e">
        <f t="shared" si="121"/>
        <v>#VALUE!</v>
      </c>
      <c r="H3484" s="3" t="e">
        <f t="shared" si="120"/>
        <v>#VALUE!</v>
      </c>
      <c r="I3484" s="1">
        <v>1</v>
      </c>
    </row>
    <row r="3485" spans="1:9" x14ac:dyDescent="0.25">
      <c r="A3485" s="1" t="s">
        <v>14435</v>
      </c>
      <c r="B3485" s="1" t="s">
        <v>10303</v>
      </c>
      <c r="C3485" s="1" t="str">
        <f>IFERROR(VLOOKUP(B3485,'SB1'!$A$2:$B$999999,2,FALSE),"")</f>
        <v>LATEX INTERIOR PLAVICON HABITAT LISTO PARA USAR MATE DAMASCO X 4</v>
      </c>
      <c r="D3485" s="1" t="s">
        <v>14458</v>
      </c>
      <c r="E3485" s="3">
        <f>IFERROR(VLOOKUP(B3485,'DA1'!$B$2:$D$999999,3,FALSE),"")</f>
      </c>
      <c r="F3485" s="1" t="str">
        <f>IFERROR(VLOOKUP(B3485,'SB1'!$A$2:$C$999999,3,FALSE),"")</f>
        <v>503</v>
      </c>
      <c r="G3485" s="3" t="e">
        <f t="shared" si="121"/>
        <v>#VALUE!</v>
      </c>
      <c r="H3485" s="3" t="e">
        <f t="shared" si="120"/>
        <v>#VALUE!</v>
      </c>
      <c r="I3485" s="1">
        <v>1</v>
      </c>
    </row>
    <row r="3486" spans="1:9" x14ac:dyDescent="0.25">
      <c r="A3486" s="1" t="s">
        <v>14435</v>
      </c>
      <c r="B3486" s="1" t="s">
        <v>10305</v>
      </c>
      <c r="C3486" s="1" t="str">
        <f>IFERROR(VLOOKUP(B3486,'SB1'!$A$2:$B$999999,2,FALSE),"")</f>
        <v>LATEX INTERIOR PLAVICON HABITAT LISTO PARA USAR MATE ESMERALDA X 1</v>
      </c>
      <c r="D3486" s="1" t="s">
        <v>14458</v>
      </c>
      <c r="E3486" s="3">
        <f>IFERROR(VLOOKUP(B3486,'DA1'!$B$2:$D$999999,3,FALSE),"")</f>
      </c>
      <c r="F3486" s="1" t="str">
        <f>IFERROR(VLOOKUP(B3486,'SB1'!$A$2:$C$999999,3,FALSE),"")</f>
        <v>503</v>
      </c>
      <c r="G3486" s="3" t="e">
        <f t="shared" si="121"/>
        <v>#VALUE!</v>
      </c>
      <c r="H3486" s="3" t="e">
        <f t="shared" si="120"/>
        <v>#VALUE!</v>
      </c>
      <c r="I3486" s="1">
        <v>1</v>
      </c>
    </row>
    <row r="3487" spans="1:9" x14ac:dyDescent="0.25">
      <c r="A3487" s="1" t="s">
        <v>14435</v>
      </c>
      <c r="B3487" s="1" t="s">
        <v>10307</v>
      </c>
      <c r="C3487" s="1" t="str">
        <f>IFERROR(VLOOKUP(B3487,'SB1'!$A$2:$B$999999,2,FALSE),"")</f>
        <v>LATEX INTERIOR PLAVICON HABITAT LISTO PARA USAR MATE ESMERALDA X 4</v>
      </c>
      <c r="D3487" s="1" t="s">
        <v>14458</v>
      </c>
      <c r="E3487" s="3">
        <f>IFERROR(VLOOKUP(B3487,'DA1'!$B$2:$D$999999,3,FALSE),"")</f>
      </c>
      <c r="F3487" s="1" t="str">
        <f>IFERROR(VLOOKUP(B3487,'SB1'!$A$2:$C$999999,3,FALSE),"")</f>
        <v>503</v>
      </c>
      <c r="G3487" s="3" t="e">
        <f t="shared" si="121"/>
        <v>#VALUE!</v>
      </c>
      <c r="H3487" s="3" t="e">
        <f t="shared" si="120"/>
        <v>#VALUE!</v>
      </c>
      <c r="I3487" s="1">
        <v>1</v>
      </c>
    </row>
    <row r="3488" spans="1:9" x14ac:dyDescent="0.25">
      <c r="A3488" s="1" t="s">
        <v>14435</v>
      </c>
      <c r="B3488" s="1" t="s">
        <v>10309</v>
      </c>
      <c r="C3488" s="1" t="str">
        <f>IFERROR(VLOOKUP(B3488,'SB1'!$A$2:$B$999999,2,FALSE),"")</f>
        <v>LATEX INTERIOR PLAVICON HABITAT LISTO PARA USAR MATE FRAMBUESA X 1</v>
      </c>
      <c r="D3488" s="1" t="s">
        <v>14458</v>
      </c>
      <c r="E3488" s="3">
        <f>IFERROR(VLOOKUP(B3488,'DA1'!$B$2:$D$999999,3,FALSE),"")</f>
      </c>
      <c r="F3488" s="1" t="str">
        <f>IFERROR(VLOOKUP(B3488,'SB1'!$A$2:$C$999999,3,FALSE),"")</f>
        <v>503</v>
      </c>
      <c r="G3488" s="3" t="e">
        <f t="shared" si="121"/>
        <v>#VALUE!</v>
      </c>
      <c r="H3488" s="3" t="e">
        <f t="shared" si="120"/>
        <v>#VALUE!</v>
      </c>
      <c r="I3488" s="1">
        <v>1</v>
      </c>
    </row>
    <row r="3489" spans="1:9" x14ac:dyDescent="0.25">
      <c r="A3489" s="1" t="s">
        <v>14435</v>
      </c>
      <c r="B3489" s="1" t="s">
        <v>10311</v>
      </c>
      <c r="C3489" s="1" t="str">
        <f>IFERROR(VLOOKUP(B3489,'SB1'!$A$2:$B$999999,2,FALSE),"")</f>
        <v>LATEX INTERIOR PLAVICON HABITAT LISTO PARA USAR MATE FRAMBUESA X 4</v>
      </c>
      <c r="D3489" s="1" t="s">
        <v>14458</v>
      </c>
      <c r="E3489" s="3">
        <f>IFERROR(VLOOKUP(B3489,'DA1'!$B$2:$D$999999,3,FALSE),"")</f>
      </c>
      <c r="F3489" s="1" t="str">
        <f>IFERROR(VLOOKUP(B3489,'SB1'!$A$2:$C$999999,3,FALSE),"")</f>
        <v>503</v>
      </c>
      <c r="G3489" s="3" t="e">
        <f t="shared" si="121"/>
        <v>#VALUE!</v>
      </c>
      <c r="H3489" s="3" t="e">
        <f t="shared" si="120"/>
        <v>#VALUE!</v>
      </c>
      <c r="I3489" s="1">
        <v>1</v>
      </c>
    </row>
    <row r="3490" spans="1:9" x14ac:dyDescent="0.25">
      <c r="A3490" s="1" t="s">
        <v>14435</v>
      </c>
      <c r="B3490" s="1" t="s">
        <v>10313</v>
      </c>
      <c r="C3490" s="1" t="str">
        <f>IFERROR(VLOOKUP(B3490,'SB1'!$A$2:$B$999999,2,FALSE),"")</f>
        <v>LATEX INTERIOR PLAVICON HABITAT LISTO PARA USAR MATE GRANADA X 1</v>
      </c>
      <c r="D3490" s="1" t="s">
        <v>14458</v>
      </c>
      <c r="E3490" s="3">
        <f>IFERROR(VLOOKUP(B3490,'DA1'!$B$2:$D$999999,3,FALSE),"")</f>
      </c>
      <c r="F3490" s="1" t="str">
        <f>IFERROR(VLOOKUP(B3490,'SB1'!$A$2:$C$999999,3,FALSE),"")</f>
        <v>503</v>
      </c>
      <c r="G3490" s="3" t="e">
        <f t="shared" si="121"/>
        <v>#VALUE!</v>
      </c>
      <c r="H3490" s="3" t="e">
        <f t="shared" si="120"/>
        <v>#VALUE!</v>
      </c>
      <c r="I3490" s="1">
        <v>1</v>
      </c>
    </row>
    <row r="3491" spans="1:9" x14ac:dyDescent="0.25">
      <c r="A3491" s="1" t="s">
        <v>14435</v>
      </c>
      <c r="B3491" s="1" t="s">
        <v>10315</v>
      </c>
      <c r="C3491" s="1" t="str">
        <f>IFERROR(VLOOKUP(B3491,'SB1'!$A$2:$B$999999,2,FALSE),"")</f>
        <v>LATEX INTERIOR PLAVICON HABITAT LISTO PARA USAR MATE GRANADA X 4</v>
      </c>
      <c r="D3491" s="1" t="s">
        <v>14458</v>
      </c>
      <c r="E3491" s="3">
        <f>IFERROR(VLOOKUP(B3491,'DA1'!$B$2:$D$999999,3,FALSE),"")</f>
      </c>
      <c r="F3491" s="1" t="str">
        <f>IFERROR(VLOOKUP(B3491,'SB1'!$A$2:$C$999999,3,FALSE),"")</f>
        <v>503</v>
      </c>
      <c r="G3491" s="3" t="e">
        <f t="shared" si="121"/>
        <v>#VALUE!</v>
      </c>
      <c r="H3491" s="3" t="e">
        <f t="shared" si="120"/>
        <v>#VALUE!</v>
      </c>
      <c r="I3491" s="1">
        <v>1</v>
      </c>
    </row>
    <row r="3492" spans="1:9" x14ac:dyDescent="0.25">
      <c r="A3492" s="1" t="s">
        <v>14435</v>
      </c>
      <c r="B3492" s="1" t="s">
        <v>10317</v>
      </c>
      <c r="C3492" s="1" t="str">
        <f>IFERROR(VLOOKUP(B3492,'SB1'!$A$2:$B$999999,2,FALSE),"")</f>
        <v>LATEX INTERIOR PLAVICON HABITAT LISTO PARA USAR MATE MELON X 1</v>
      </c>
      <c r="D3492" s="1" t="s">
        <v>14458</v>
      </c>
      <c r="E3492" s="3">
        <f>IFERROR(VLOOKUP(B3492,'DA1'!$B$2:$D$999999,3,FALSE),"")</f>
      </c>
      <c r="F3492" s="1" t="str">
        <f>IFERROR(VLOOKUP(B3492,'SB1'!$A$2:$C$999999,3,FALSE),"")</f>
        <v>503</v>
      </c>
      <c r="G3492" s="3" t="e">
        <f t="shared" si="121"/>
        <v>#VALUE!</v>
      </c>
      <c r="H3492" s="3" t="e">
        <f t="shared" si="120"/>
        <v>#VALUE!</v>
      </c>
      <c r="I3492" s="1">
        <v>1</v>
      </c>
    </row>
    <row r="3493" spans="1:9" x14ac:dyDescent="0.25">
      <c r="A3493" s="1" t="s">
        <v>14435</v>
      </c>
      <c r="B3493" s="1" t="s">
        <v>10319</v>
      </c>
      <c r="C3493" s="1" t="str">
        <f>IFERROR(VLOOKUP(B3493,'SB1'!$A$2:$B$999999,2,FALSE),"")</f>
        <v>LATEX INTERIOR PLAVICON HABITAT LISTO PARA USAR MATE MELON X 4</v>
      </c>
      <c r="D3493" s="1" t="s">
        <v>14458</v>
      </c>
      <c r="E3493" s="3">
        <f>IFERROR(VLOOKUP(B3493,'DA1'!$B$2:$D$999999,3,FALSE),"")</f>
      </c>
      <c r="F3493" s="1" t="str">
        <f>IFERROR(VLOOKUP(B3493,'SB1'!$A$2:$C$999999,3,FALSE),"")</f>
        <v>503</v>
      </c>
      <c r="G3493" s="3" t="e">
        <f t="shared" si="121"/>
        <v>#VALUE!</v>
      </c>
      <c r="H3493" s="3" t="e">
        <f t="shared" si="120"/>
        <v>#VALUE!</v>
      </c>
      <c r="I3493" s="1">
        <v>1</v>
      </c>
    </row>
    <row r="3494" spans="1:9" x14ac:dyDescent="0.25">
      <c r="A3494" s="1" t="s">
        <v>14435</v>
      </c>
      <c r="B3494" s="1" t="s">
        <v>10321</v>
      </c>
      <c r="C3494" s="1" t="str">
        <f>IFERROR(VLOOKUP(B3494,'SB1'!$A$2:$B$999999,2,FALSE),"")</f>
        <v>LATEX INTERIOR PLAVICON HABITAT LISTO PARA USAR MATE MENTA X 1</v>
      </c>
      <c r="D3494" s="1" t="s">
        <v>14458</v>
      </c>
      <c r="E3494" s="3">
        <f>IFERROR(VLOOKUP(B3494,'DA1'!$B$2:$D$999999,3,FALSE),"")</f>
      </c>
      <c r="F3494" s="1" t="str">
        <f>IFERROR(VLOOKUP(B3494,'SB1'!$A$2:$C$999999,3,FALSE),"")</f>
        <v>503</v>
      </c>
      <c r="G3494" s="3" t="e">
        <f t="shared" si="121"/>
        <v>#VALUE!</v>
      </c>
      <c r="H3494" s="3" t="e">
        <f t="shared" si="120"/>
        <v>#VALUE!</v>
      </c>
      <c r="I3494" s="1">
        <v>1</v>
      </c>
    </row>
    <row r="3495" spans="1:9" x14ac:dyDescent="0.25">
      <c r="A3495" s="1" t="s">
        <v>14435</v>
      </c>
      <c r="B3495" s="1" t="s">
        <v>10323</v>
      </c>
      <c r="C3495" s="1" t="str">
        <f>IFERROR(VLOOKUP(B3495,'SB1'!$A$2:$B$999999,2,FALSE),"")</f>
        <v>LATEX INTERIOR PLAVICON HABITAT LISTO PARA USAR MATE MENTA X 4</v>
      </c>
      <c r="D3495" s="1" t="s">
        <v>14458</v>
      </c>
      <c r="E3495" s="3">
        <f>IFERROR(VLOOKUP(B3495,'DA1'!$B$2:$D$999999,3,FALSE),"")</f>
      </c>
      <c r="F3495" s="1" t="str">
        <f>IFERROR(VLOOKUP(B3495,'SB1'!$A$2:$C$999999,3,FALSE),"")</f>
        <v>503</v>
      </c>
      <c r="G3495" s="3" t="e">
        <f t="shared" si="121"/>
        <v>#VALUE!</v>
      </c>
      <c r="H3495" s="3" t="e">
        <f t="shared" si="120"/>
        <v>#VALUE!</v>
      </c>
      <c r="I3495" s="1">
        <v>1</v>
      </c>
    </row>
    <row r="3496" spans="1:9" x14ac:dyDescent="0.25">
      <c r="A3496" s="1" t="s">
        <v>14435</v>
      </c>
      <c r="B3496" s="1" t="s">
        <v>10325</v>
      </c>
      <c r="C3496" s="1" t="str">
        <f>IFERROR(VLOOKUP(B3496,'SB1'!$A$2:$B$999999,2,FALSE),"")</f>
        <v>LATEX INTERIOR PLAVICON HABITAT LISTO PARA USAR MATE MOSTAZA X 1</v>
      </c>
      <c r="D3496" s="1" t="s">
        <v>14458</v>
      </c>
      <c r="E3496" s="3">
        <f>IFERROR(VLOOKUP(B3496,'DA1'!$B$2:$D$999999,3,FALSE),"")</f>
      </c>
      <c r="F3496" s="1" t="str">
        <f>IFERROR(VLOOKUP(B3496,'SB1'!$A$2:$C$999999,3,FALSE),"")</f>
        <v>503</v>
      </c>
      <c r="G3496" s="3" t="e">
        <f t="shared" si="121"/>
        <v>#VALUE!</v>
      </c>
      <c r="H3496" s="3" t="e">
        <f t="shared" si="120"/>
        <v>#VALUE!</v>
      </c>
      <c r="I3496" s="1">
        <v>1</v>
      </c>
    </row>
    <row r="3497" spans="1:9" x14ac:dyDescent="0.25">
      <c r="A3497" s="1" t="s">
        <v>14435</v>
      </c>
      <c r="B3497" s="1" t="s">
        <v>10327</v>
      </c>
      <c r="C3497" s="1" t="str">
        <f>IFERROR(VLOOKUP(B3497,'SB1'!$A$2:$B$999999,2,FALSE),"")</f>
        <v>LATEX INTERIOR PLAVICON HABITAT LISTO PARA USAR MATE MOSTAZA X 4</v>
      </c>
      <c r="D3497" s="1" t="s">
        <v>14458</v>
      </c>
      <c r="E3497" s="3">
        <f>IFERROR(VLOOKUP(B3497,'DA1'!$B$2:$D$999999,3,FALSE),"")</f>
      </c>
      <c r="F3497" s="1" t="str">
        <f>IFERROR(VLOOKUP(B3497,'SB1'!$A$2:$C$999999,3,FALSE),"")</f>
        <v>503</v>
      </c>
      <c r="G3497" s="3" t="e">
        <f t="shared" si="121"/>
        <v>#VALUE!</v>
      </c>
      <c r="H3497" s="3" t="e">
        <f t="shared" si="120"/>
        <v>#VALUE!</v>
      </c>
      <c r="I3497" s="1">
        <v>1</v>
      </c>
    </row>
    <row r="3498" spans="1:9" x14ac:dyDescent="0.25">
      <c r="A3498" s="1" t="s">
        <v>14435</v>
      </c>
      <c r="B3498" s="1" t="s">
        <v>10329</v>
      </c>
      <c r="C3498" s="1" t="str">
        <f>IFERROR(VLOOKUP(B3498,'SB1'!$A$2:$B$999999,2,FALSE),"")</f>
        <v>LATEX INTERIOR PLAVICON HABITAT LISTO PARA USAR MATE PAPAYA X 1</v>
      </c>
      <c r="D3498" s="1" t="s">
        <v>14458</v>
      </c>
      <c r="E3498" s="3">
        <f>IFERROR(VLOOKUP(B3498,'DA1'!$B$2:$D$999999,3,FALSE),"")</f>
      </c>
      <c r="F3498" s="1" t="str">
        <f>IFERROR(VLOOKUP(B3498,'SB1'!$A$2:$C$999999,3,FALSE),"")</f>
        <v>503</v>
      </c>
      <c r="G3498" s="3" t="e">
        <f t="shared" si="121"/>
        <v>#VALUE!</v>
      </c>
      <c r="H3498" s="3" t="e">
        <f t="shared" si="120"/>
        <v>#VALUE!</v>
      </c>
      <c r="I3498" s="1">
        <v>1</v>
      </c>
    </row>
    <row r="3499" spans="1:9" x14ac:dyDescent="0.25">
      <c r="A3499" s="1" t="s">
        <v>14435</v>
      </c>
      <c r="B3499" s="1" t="s">
        <v>10331</v>
      </c>
      <c r="C3499" s="1" t="str">
        <f>IFERROR(VLOOKUP(B3499,'SB1'!$A$2:$B$999999,2,FALSE),"")</f>
        <v>LATEX INTERIOR PLAVICON HABITAT LISTO PARA USAR MATE PAPAYA X 4</v>
      </c>
      <c r="D3499" s="1" t="s">
        <v>14458</v>
      </c>
      <c r="E3499" s="3">
        <f>IFERROR(VLOOKUP(B3499,'DA1'!$B$2:$D$999999,3,FALSE),"")</f>
      </c>
      <c r="F3499" s="1" t="str">
        <f>IFERROR(VLOOKUP(B3499,'SB1'!$A$2:$C$999999,3,FALSE),"")</f>
        <v>503</v>
      </c>
      <c r="G3499" s="3" t="e">
        <f t="shared" si="121"/>
        <v>#VALUE!</v>
      </c>
      <c r="H3499" s="3" t="e">
        <f t="shared" si="120"/>
        <v>#VALUE!</v>
      </c>
      <c r="I3499" s="1">
        <v>1</v>
      </c>
    </row>
    <row r="3500" spans="1:9" x14ac:dyDescent="0.25">
      <c r="A3500" s="1" t="s">
        <v>14435</v>
      </c>
      <c r="B3500" s="1" t="s">
        <v>10333</v>
      </c>
      <c r="C3500" s="1" t="str">
        <f>IFERROR(VLOOKUP(B3500,'SB1'!$A$2:$B$999999,2,FALSE),"")</f>
        <v>LATEX INTERIOR PLAVICON HABITAT LISTO PARA USAR MATE PINO X 1</v>
      </c>
      <c r="D3500" s="1" t="s">
        <v>14458</v>
      </c>
      <c r="E3500" s="3">
        <f>IFERROR(VLOOKUP(B3500,'DA1'!$B$2:$D$999999,3,FALSE),"")</f>
      </c>
      <c r="F3500" s="1" t="str">
        <f>IFERROR(VLOOKUP(B3500,'SB1'!$A$2:$C$999999,3,FALSE),"")</f>
        <v>503</v>
      </c>
      <c r="G3500" s="3" t="e">
        <f t="shared" si="121"/>
        <v>#VALUE!</v>
      </c>
      <c r="H3500" s="3" t="e">
        <f t="shared" si="120"/>
        <v>#VALUE!</v>
      </c>
      <c r="I3500" s="1">
        <v>1</v>
      </c>
    </row>
    <row r="3501" spans="1:9" x14ac:dyDescent="0.25">
      <c r="A3501" s="1" t="s">
        <v>14435</v>
      </c>
      <c r="B3501" s="1" t="s">
        <v>10335</v>
      </c>
      <c r="C3501" s="1" t="str">
        <f>IFERROR(VLOOKUP(B3501,'SB1'!$A$2:$B$999999,2,FALSE),"")</f>
        <v>LATEX INTERIOR PLAVICON HABITAT LISTO PARA USAR MATE PINO X 4</v>
      </c>
      <c r="D3501" s="1" t="s">
        <v>14458</v>
      </c>
      <c r="E3501" s="3">
        <f>IFERROR(VLOOKUP(B3501,'DA1'!$B$2:$D$999999,3,FALSE),"")</f>
      </c>
      <c r="F3501" s="1" t="str">
        <f>IFERROR(VLOOKUP(B3501,'SB1'!$A$2:$C$999999,3,FALSE),"")</f>
        <v>503</v>
      </c>
      <c r="G3501" s="3" t="e">
        <f t="shared" si="121"/>
        <v>#VALUE!</v>
      </c>
      <c r="H3501" s="3" t="e">
        <f t="shared" si="120"/>
        <v>#VALUE!</v>
      </c>
      <c r="I3501" s="1">
        <v>1</v>
      </c>
    </row>
    <row r="3502" spans="1:9" x14ac:dyDescent="0.25">
      <c r="A3502" s="1" t="s">
        <v>14435</v>
      </c>
      <c r="B3502" s="1" t="s">
        <v>10337</v>
      </c>
      <c r="C3502" s="1" t="str">
        <f>IFERROR(VLOOKUP(B3502,'SB1'!$A$2:$B$999999,2,FALSE),"")</f>
        <v>LATEX INTERIOR PLAVICON HABITAT LISTO PARA USAR MATE PIZARRA X 1</v>
      </c>
      <c r="D3502" s="1" t="s">
        <v>14458</v>
      </c>
      <c r="E3502" s="3">
        <f>IFERROR(VLOOKUP(B3502,'DA1'!$B$2:$D$999999,3,FALSE),"")</f>
      </c>
      <c r="F3502" s="1" t="str">
        <f>IFERROR(VLOOKUP(B3502,'SB1'!$A$2:$C$999999,3,FALSE),"")</f>
        <v>503</v>
      </c>
      <c r="G3502" s="3" t="e">
        <f t="shared" si="121"/>
        <v>#VALUE!</v>
      </c>
      <c r="H3502" s="3" t="e">
        <f t="shared" si="120"/>
        <v>#VALUE!</v>
      </c>
      <c r="I3502" s="1">
        <v>1</v>
      </c>
    </row>
    <row r="3503" spans="1:9" x14ac:dyDescent="0.25">
      <c r="A3503" s="1" t="s">
        <v>14435</v>
      </c>
      <c r="B3503" s="1" t="s">
        <v>10339</v>
      </c>
      <c r="C3503" s="1" t="str">
        <f>IFERROR(VLOOKUP(B3503,'SB1'!$A$2:$B$999999,2,FALSE),"")</f>
        <v>LATEX INTERIOR PLAVICON HABITAT LISTO PARA USAR MATE PIZARRA X 4</v>
      </c>
      <c r="D3503" s="1" t="s">
        <v>14458</v>
      </c>
      <c r="E3503" s="3">
        <f>IFERROR(VLOOKUP(B3503,'DA1'!$B$2:$D$999999,3,FALSE),"")</f>
      </c>
      <c r="F3503" s="1" t="str">
        <f>IFERROR(VLOOKUP(B3503,'SB1'!$A$2:$C$999999,3,FALSE),"")</f>
        <v>503</v>
      </c>
      <c r="G3503" s="3" t="e">
        <f t="shared" si="121"/>
        <v>#VALUE!</v>
      </c>
      <c r="H3503" s="3" t="e">
        <f t="shared" si="120"/>
        <v>#VALUE!</v>
      </c>
      <c r="I3503" s="1">
        <v>1</v>
      </c>
    </row>
    <row r="3504" spans="1:9" x14ac:dyDescent="0.25">
      <c r="A3504" s="1" t="s">
        <v>14435</v>
      </c>
      <c r="B3504" s="1" t="s">
        <v>10347</v>
      </c>
      <c r="C3504" s="1" t="str">
        <f>IFERROR(VLOOKUP(B3504,'SB1'!$A$2:$B$999999,2,FALSE),"")</f>
        <v>EPOXI MASTIC INTERSEAL 670 HS GRIS X 20</v>
      </c>
      <c r="D3504" s="1" t="s">
        <v>14492</v>
      </c>
      <c r="E3504" s="3">
        <f>IFERROR(VLOOKUP(B3504,'DA1'!$B$2:$D$999999,3,FALSE),"")</f>
      </c>
      <c r="F3504" s="1" t="str">
        <f>IFERROR(VLOOKUP(B3504,'SB1'!$A$2:$C$999999,3,FALSE),"")</f>
        <v>503</v>
      </c>
      <c r="G3504" s="3" t="e">
        <f t="shared" si="121"/>
        <v>#VALUE!</v>
      </c>
      <c r="H3504" s="3" t="e">
        <f t="shared" si="120"/>
        <v>#VALUE!</v>
      </c>
      <c r="I3504" s="1">
        <v>2</v>
      </c>
    </row>
    <row r="3505" spans="1:9" x14ac:dyDescent="0.25">
      <c r="A3505" s="1" t="s">
        <v>14435</v>
      </c>
      <c r="B3505" s="1" t="s">
        <v>10351</v>
      </c>
      <c r="C3505" s="1" t="str">
        <f>IFERROR(VLOOKUP(B3505,'SB1'!$A$2:$B$999999,2,FALSE),"")</f>
        <v>CEILCOTE 242 FLAKELINE CINZA X 19,64(110NCA00918)</v>
      </c>
      <c r="D3505" s="1" t="s">
        <v>14492</v>
      </c>
      <c r="E3505" s="3">
        <f>IFERROR(VLOOKUP(B3505,'DA1'!$B$2:$D$999999,3,FALSE),"")</f>
      </c>
      <c r="F3505" s="1" t="str">
        <f>IFERROR(VLOOKUP(B3505,'SB1'!$A$2:$C$999999,3,FALSE),"")</f>
        <v>503</v>
      </c>
      <c r="G3505" s="3" t="e">
        <f t="shared" si="121"/>
        <v>#VALUE!</v>
      </c>
      <c r="H3505" s="3" t="e">
        <f t="shared" si="120"/>
        <v>#VALUE!</v>
      </c>
      <c r="I3505" s="1">
        <v>2</v>
      </c>
    </row>
    <row r="3506" spans="1:9" x14ac:dyDescent="0.25">
      <c r="A3506" s="1" t="s">
        <v>14435</v>
      </c>
      <c r="B3506" s="1" t="s">
        <v>10353</v>
      </c>
      <c r="C3506" s="1" t="str">
        <f>IFERROR(VLOOKUP(B3506,'SB1'!$A$2:$B$999999,2,FALSE),"")</f>
        <v>CEILCOTE #2 HARDENER PART. B X 0,36(110NCA00204)</v>
      </c>
      <c r="D3506" s="1" t="s">
        <v>14492</v>
      </c>
      <c r="E3506" s="3">
        <f>IFERROR(VLOOKUP(B3506,'DA1'!$B$2:$D$999999,3,FALSE),"")</f>
      </c>
      <c r="F3506" s="1" t="str">
        <f>IFERROR(VLOOKUP(B3506,'SB1'!$A$2:$C$999999,3,FALSE),"")</f>
        <v>503</v>
      </c>
      <c r="G3506" s="3" t="e">
        <f t="shared" si="121"/>
        <v>#VALUE!</v>
      </c>
      <c r="H3506" s="3" t="e">
        <f t="shared" si="120"/>
        <v>#VALUE!</v>
      </c>
      <c r="I3506" s="1">
        <v>2</v>
      </c>
    </row>
    <row r="3507" spans="1:9" x14ac:dyDescent="0.25">
      <c r="A3507" s="1" t="s">
        <v>14435</v>
      </c>
      <c r="B3507" s="1" t="s">
        <v>10355</v>
      </c>
      <c r="C3507" s="1" t="str">
        <f>IFERROR(VLOOKUP(B3507,'SB1'!$A$2:$B$999999,2,FALSE),"")</f>
        <v>CEILCOTE 380 PRIMER PART. A X 19,64(110NCA06118)</v>
      </c>
      <c r="D3507" s="1" t="s">
        <v>14492</v>
      </c>
      <c r="E3507" s="3">
        <f>IFERROR(VLOOKUP(B3507,'DA1'!$B$2:$D$999999,3,FALSE),"")</f>
      </c>
      <c r="F3507" s="1" t="str">
        <f>IFERROR(VLOOKUP(B3507,'SB1'!$A$2:$C$999999,3,FALSE),"")</f>
        <v>503</v>
      </c>
      <c r="G3507" s="3" t="e">
        <f t="shared" si="121"/>
        <v>#VALUE!</v>
      </c>
      <c r="H3507" s="3" t="e">
        <f t="shared" si="120"/>
        <v>#VALUE!</v>
      </c>
      <c r="I3507" s="1">
        <v>2</v>
      </c>
    </row>
    <row r="3508" spans="1:9" x14ac:dyDescent="0.25">
      <c r="A3508" s="1" t="s">
        <v>14435</v>
      </c>
      <c r="B3508" s="1" t="s">
        <v>10359</v>
      </c>
      <c r="C3508" s="1" t="str">
        <f>IFERROR(VLOOKUP(B3508,'SB1'!$A$2:$B$999999,2,FALSE),"")</f>
        <v>ESMALTE POLIURETANO ACRILICO ALBAMIX FULL WHITE X  3,7</v>
      </c>
      <c r="D3508" s="1" t="s">
        <v>14497</v>
      </c>
      <c r="E3508" s="3">
        <f>IFERROR(VLOOKUP(B3508,'DA1'!$B$2:$D$999999,3,FALSE),"")</f>
      </c>
      <c r="F3508" s="1" t="str">
        <f>IFERROR(VLOOKUP(B3508,'SB1'!$A$2:$C$999999,3,FALSE),"")</f>
        <v>503</v>
      </c>
      <c r="G3508" s="3" t="e">
        <f t="shared" si="121"/>
        <v>#VALUE!</v>
      </c>
      <c r="H3508" s="3" t="e">
        <f t="shared" si="120"/>
        <v>#VALUE!</v>
      </c>
      <c r="I3508" s="1">
        <v>1</v>
      </c>
    </row>
    <row r="3509" spans="1:9" x14ac:dyDescent="0.25">
      <c r="A3509" s="1" t="s">
        <v>14435</v>
      </c>
      <c r="B3509" s="1" t="s">
        <v>10371</v>
      </c>
      <c r="C3509" s="1" t="str">
        <f>IFERROR(VLOOKUP(B3509,'SB1'!$A$2:$B$999999,2,FALSE),"")</f>
        <v>CONVERTIDOR P/ POLIURETANO 4585006/45701XX ALBAMIX X 1(5188812)</v>
      </c>
      <c r="D3509" s="1" t="s">
        <v>14497</v>
      </c>
      <c r="E3509" s="3">
        <f>IFERROR(VLOOKUP(B3509,'DA1'!$B$2:$D$999999,3,FALSE),"")</f>
      </c>
      <c r="F3509" s="1" t="str">
        <f>IFERROR(VLOOKUP(B3509,'SB1'!$A$2:$C$999999,3,FALSE),"")</f>
        <v>503</v>
      </c>
      <c r="G3509" s="3" t="e">
        <f t="shared" si="121"/>
        <v>#VALUE!</v>
      </c>
      <c r="H3509" s="3" t="e">
        <f t="shared" si="120"/>
        <v>#VALUE!</v>
      </c>
      <c r="I3509" s="1">
        <v>1</v>
      </c>
    </row>
    <row r="3510" spans="1:9" x14ac:dyDescent="0.25">
      <c r="A3510" s="1" t="s">
        <v>14435</v>
      </c>
      <c r="B3510" s="1" t="s">
        <v>10373</v>
      </c>
      <c r="C3510" s="1" t="str">
        <f>IFERROR(VLOOKUP(B3510,'SB1'!$A$2:$B$999999,2,FALSE),"")</f>
        <v>ESMALTE ALTA TEMPERATURA BROCHABLE RUST OLEUM NEGRO MATE  X 0,946(322633)</v>
      </c>
      <c r="D3510" s="1" t="s">
        <v>14475</v>
      </c>
      <c r="E3510" s="3">
        <f>IFERROR(VLOOKUP(B3510,'DA1'!$B$2:$D$999999,3,FALSE),"")</f>
      </c>
      <c r="F3510" s="1" t="str">
        <f>IFERROR(VLOOKUP(B3510,'SB1'!$A$2:$C$999999,3,FALSE),"")</f>
        <v>503</v>
      </c>
      <c r="G3510" s="3" t="e">
        <f t="shared" si="121"/>
        <v>#VALUE!</v>
      </c>
      <c r="H3510" s="3" t="e">
        <f t="shared" si="120"/>
        <v>#VALUE!</v>
      </c>
      <c r="I3510" s="1">
        <v>1</v>
      </c>
    </row>
    <row r="3511" spans="1:9" x14ac:dyDescent="0.25">
      <c r="A3511" s="1" t="s">
        <v>14435</v>
      </c>
      <c r="B3511" s="1" t="s">
        <v>10375</v>
      </c>
      <c r="C3511" s="1" t="str">
        <f>IFERROR(VLOOKUP(B3511,'SB1'!$A$2:$B$999999,2,FALSE),"")</f>
        <v>RODILLO LUMAR SIMIL LANA PARA LATEX BLANCO 50/10(1200/A)</v>
      </c>
      <c r="D3511" s="1" t="s">
        <v>14467</v>
      </c>
      <c r="E3511" s="3">
        <f>IFERROR(VLOOKUP(B3511,'DA1'!$B$2:$D$999999,3,FALSE),"")</f>
      </c>
      <c r="F3511" s="1" t="str">
        <f>IFERROR(VLOOKUP(B3511,'SB1'!$A$2:$C$999999,3,FALSE),"")</f>
        <v>503</v>
      </c>
      <c r="G3511" s="3" t="e">
        <f t="shared" si="121"/>
        <v>#VALUE!</v>
      </c>
      <c r="H3511" s="3" t="e">
        <f t="shared" si="120"/>
        <v>#VALUE!</v>
      </c>
      <c r="I3511" s="1">
        <v>1</v>
      </c>
    </row>
    <row r="3512" spans="1:9" x14ac:dyDescent="0.25">
      <c r="A3512" s="1" t="s">
        <v>14435</v>
      </c>
      <c r="B3512" s="1" t="s">
        <v>10377</v>
      </c>
      <c r="C3512" s="1" t="str">
        <f>IFERROR(VLOOKUP(B3512,'SB1'!$A$2:$B$999999,2,FALSE),"")</f>
        <v>RODILLO LUMAR SIMIL LANA PARA LATEX BLANCO 50/17(1200/B)</v>
      </c>
      <c r="D3512" s="1" t="s">
        <v>14467</v>
      </c>
      <c r="E3512" s="3">
        <f>IFERROR(VLOOKUP(B3512,'DA1'!$B$2:$D$999999,3,FALSE),"")</f>
      </c>
      <c r="F3512" s="1" t="str">
        <f>IFERROR(VLOOKUP(B3512,'SB1'!$A$2:$C$999999,3,FALSE),"")</f>
        <v>503</v>
      </c>
      <c r="G3512" s="3" t="e">
        <f t="shared" si="121"/>
        <v>#VALUE!</v>
      </c>
      <c r="H3512" s="3" t="e">
        <f t="shared" si="120"/>
        <v>#VALUE!</v>
      </c>
      <c r="I3512" s="1">
        <v>1</v>
      </c>
    </row>
    <row r="3513" spans="1:9" x14ac:dyDescent="0.25">
      <c r="A3513" s="1" t="s">
        <v>14435</v>
      </c>
      <c r="B3513" s="1" t="s">
        <v>10381</v>
      </c>
      <c r="C3513" s="1" t="str">
        <f>IFERROR(VLOOKUP(B3513,'SB1'!$A$2:$B$999999,2,FALSE),"")</f>
        <v>REPUESTO LUMAR SIMIL LANA PARA LATEX BLANCO 50/10(1205/A)</v>
      </c>
      <c r="D3513" s="1" t="s">
        <v>14467</v>
      </c>
      <c r="E3513" s="3">
        <f>IFERROR(VLOOKUP(B3513,'DA1'!$B$2:$D$999999,3,FALSE),"")</f>
      </c>
      <c r="F3513" s="1" t="str">
        <f>IFERROR(VLOOKUP(B3513,'SB1'!$A$2:$C$999999,3,FALSE),"")</f>
        <v>503</v>
      </c>
      <c r="G3513" s="3" t="e">
        <f t="shared" si="121"/>
        <v>#VALUE!</v>
      </c>
      <c r="H3513" s="3" t="e">
        <f t="shared" si="120"/>
        <v>#VALUE!</v>
      </c>
      <c r="I3513" s="1">
        <v>1</v>
      </c>
    </row>
    <row r="3514" spans="1:9" x14ac:dyDescent="0.25">
      <c r="A3514" s="1" t="s">
        <v>14435</v>
      </c>
      <c r="B3514" s="1" t="s">
        <v>10383</v>
      </c>
      <c r="C3514" s="1" t="str">
        <f>IFERROR(VLOOKUP(B3514,'SB1'!$A$2:$B$999999,2,FALSE),"")</f>
        <v>REPUESTO LUMAR SIMIL LANA PARA LATEX BLANCO 50/17(1205/B)</v>
      </c>
      <c r="D3514" s="1" t="s">
        <v>14467</v>
      </c>
      <c r="E3514" s="3">
        <f>IFERROR(VLOOKUP(B3514,'DA1'!$B$2:$D$999999,3,FALSE),"")</f>
      </c>
      <c r="F3514" s="1" t="str">
        <f>IFERROR(VLOOKUP(B3514,'SB1'!$A$2:$C$999999,3,FALSE),"")</f>
        <v>503</v>
      </c>
      <c r="G3514" s="3" t="e">
        <f t="shared" si="121"/>
        <v>#VALUE!</v>
      </c>
      <c r="H3514" s="3" t="e">
        <f t="shared" si="120"/>
        <v>#VALUE!</v>
      </c>
      <c r="I3514" s="1">
        <v>1</v>
      </c>
    </row>
    <row r="3515" spans="1:9" x14ac:dyDescent="0.25">
      <c r="A3515" s="1" t="s">
        <v>14435</v>
      </c>
      <c r="B3515" s="1" t="s">
        <v>10385</v>
      </c>
      <c r="C3515" s="1" t="str">
        <f>IFERROR(VLOOKUP(B3515,'SB1'!$A$2:$B$999999,2,FALSE),"")</f>
        <v>REPUESTO LUMAR SIMIL LANA PARA LATEX BLANCO 50/22(1205/C)</v>
      </c>
      <c r="D3515" s="1" t="s">
        <v>14467</v>
      </c>
      <c r="E3515" s="3">
        <f>IFERROR(VLOOKUP(B3515,'DA1'!$B$2:$D$999999,3,FALSE),"")</f>
      </c>
      <c r="F3515" s="1" t="str">
        <f>IFERROR(VLOOKUP(B3515,'SB1'!$A$2:$C$999999,3,FALSE),"")</f>
        <v>503</v>
      </c>
      <c r="G3515" s="3" t="e">
        <f t="shared" si="121"/>
        <v>#VALUE!</v>
      </c>
      <c r="H3515" s="3" t="e">
        <f t="shared" si="120"/>
        <v>#VALUE!</v>
      </c>
      <c r="I3515" s="1">
        <v>1</v>
      </c>
    </row>
    <row r="3516" spans="1:9" x14ac:dyDescent="0.25">
      <c r="A3516" s="1" t="s">
        <v>14435</v>
      </c>
      <c r="B3516" s="1" t="s">
        <v>10397</v>
      </c>
      <c r="C3516" s="1" t="str">
        <f>IFERROR(VLOOKUP(B3516,'SB1'!$A$2:$B$999999,2,FALSE),"")</f>
        <v>FONDO ANTIOXIDO TERSUAVE MATE ROJO X  0,250</v>
      </c>
      <c r="D3516" s="1" t="s">
        <v>14437</v>
      </c>
      <c r="E3516" s="3">
        <f>IFERROR(VLOOKUP(B3516,'DA1'!$B$2:$D$999999,3,FALSE),"")</f>
      </c>
      <c r="F3516" s="1" t="str">
        <f>IFERROR(VLOOKUP(B3516,'SB1'!$A$2:$C$999999,3,FALSE),"")</f>
        <v>503</v>
      </c>
      <c r="G3516" s="3" t="e">
        <f t="shared" si="121"/>
        <v>#VALUE!</v>
      </c>
      <c r="H3516" s="3" t="e">
        <f t="shared" si="120"/>
        <v>#VALUE!</v>
      </c>
      <c r="I3516" s="1">
        <v>1</v>
      </c>
    </row>
    <row r="3517" spans="1:9" x14ac:dyDescent="0.25">
      <c r="A3517" s="1" t="s">
        <v>14435</v>
      </c>
      <c r="B3517" s="1" t="s">
        <v>10399</v>
      </c>
      <c r="C3517" s="1" t="str">
        <f>IFERROR(VLOOKUP(B3517,'SB1'!$A$2:$B$999999,2,FALSE),"")</f>
        <v>MEZCLA DE ASIENTO WEBERMUR MANGA GRIS X 25</v>
      </c>
      <c r="D3517" s="1" t="s">
        <v>14488</v>
      </c>
      <c r="E3517" s="3">
        <f>IFERROR(VLOOKUP(B3517,'DA1'!$B$2:$D$999999,3,FALSE),"")</f>
      </c>
      <c r="F3517" s="1" t="str">
        <f>IFERROR(VLOOKUP(B3517,'SB1'!$A$2:$C$999999,3,FALSE),"")</f>
        <v>503</v>
      </c>
      <c r="G3517" s="3" t="e">
        <f t="shared" si="121"/>
        <v>#VALUE!</v>
      </c>
      <c r="H3517" s="3" t="e">
        <f t="shared" si="120"/>
        <v>#VALUE!</v>
      </c>
      <c r="I3517" s="1">
        <v>1</v>
      </c>
    </row>
    <row r="3518" spans="1:9" x14ac:dyDescent="0.25">
      <c r="A3518" s="1" t="s">
        <v>14435</v>
      </c>
      <c r="B3518" s="1" t="s">
        <v>10401</v>
      </c>
      <c r="C3518" s="1" t="str">
        <f>IFERROR(VLOOKUP(B3518,'SB1'!$A$2:$B$999999,2,FALSE),"")</f>
        <v>ESMALTE ALTA TEMPERATURA BROCHABLE RUST OLEUM NEGRO MATE  X 3,785(233967)</v>
      </c>
      <c r="D3518" s="1" t="s">
        <v>14475</v>
      </c>
      <c r="E3518" s="3">
        <f>IFERROR(VLOOKUP(B3518,'DA1'!$B$2:$D$999999,3,FALSE),"")</f>
      </c>
      <c r="F3518" s="1" t="str">
        <f>IFERROR(VLOOKUP(B3518,'SB1'!$A$2:$C$999999,3,FALSE),"")</f>
        <v>503</v>
      </c>
      <c r="G3518" s="3" t="e">
        <f t="shared" si="121"/>
        <v>#VALUE!</v>
      </c>
      <c r="H3518" s="3" t="e">
        <f t="shared" ref="H3518:H3581" si="122">G3518*1.21</f>
        <v>#VALUE!</v>
      </c>
      <c r="I3518" s="1">
        <v>1</v>
      </c>
    </row>
    <row r="3519" spans="1:9" x14ac:dyDescent="0.25">
      <c r="A3519" s="1" t="s">
        <v>14435</v>
      </c>
      <c r="B3519" s="1" t="s">
        <v>10407</v>
      </c>
      <c r="C3519" s="1" t="str">
        <f>IFERROR(VLOOKUP(B3519,'SB1'!$A$2:$B$999999,2,FALSE),"")</f>
        <v>PEGAMENTO MAX.ADHER.PIEZAS H.80X120 WEBER SUPERFLEX GRIS X 25</v>
      </c>
      <c r="D3519" s="1" t="s">
        <v>14488</v>
      </c>
      <c r="E3519" s="3">
        <f>IFERROR(VLOOKUP(B3519,'DA1'!$B$2:$D$999999,3,FALSE),"")</f>
      </c>
      <c r="F3519" s="1" t="str">
        <f>IFERROR(VLOOKUP(B3519,'SB1'!$A$2:$C$999999,3,FALSE),"")</f>
        <v>503</v>
      </c>
      <c r="G3519" s="3" t="e">
        <f t="shared" si="121"/>
        <v>#VALUE!</v>
      </c>
      <c r="H3519" s="3" t="e">
        <f t="shared" si="122"/>
        <v>#VALUE!</v>
      </c>
      <c r="I3519" s="1">
        <v>1</v>
      </c>
    </row>
    <row r="3520" spans="1:9" x14ac:dyDescent="0.25">
      <c r="A3520" s="1" t="s">
        <v>14435</v>
      </c>
      <c r="B3520" s="1" t="s">
        <v>10409</v>
      </c>
      <c r="C3520" s="1" t="str">
        <f>IFERROR(VLOOKUP(B3520,'SB1'!$A$2:$B$999999,2,FALSE),"")</f>
        <v>ESMALTE SINTETICO TERSILUX FERROMICACEO MATE GRAFITO X 1</v>
      </c>
      <c r="D3520" s="1" t="s">
        <v>14437</v>
      </c>
      <c r="E3520" s="3">
        <f>IFERROR(VLOOKUP(B3520,'DA1'!$B$2:$D$999999,3,FALSE),"")</f>
      </c>
      <c r="F3520" s="1" t="str">
        <f>IFERROR(VLOOKUP(B3520,'SB1'!$A$2:$C$999999,3,FALSE),"")</f>
        <v>503</v>
      </c>
      <c r="G3520" s="3" t="e">
        <f t="shared" si="121"/>
        <v>#VALUE!</v>
      </c>
      <c r="H3520" s="3" t="e">
        <f t="shared" si="122"/>
        <v>#VALUE!</v>
      </c>
      <c r="I3520" s="1">
        <v>1</v>
      </c>
    </row>
    <row r="3521" spans="1:9" x14ac:dyDescent="0.25">
      <c r="A3521" s="1" t="s">
        <v>14435</v>
      </c>
      <c r="B3521" s="1" t="s">
        <v>10411</v>
      </c>
      <c r="C3521" s="1" t="str">
        <f>IFERROR(VLOOKUP(B3521,'SB1'!$A$2:$B$999999,2,FALSE),"")</f>
        <v>ESMALTE SINTETICO TERSILUX FERROMICACEO MATE GRAFITO X 4</v>
      </c>
      <c r="D3521" s="1" t="s">
        <v>14437</v>
      </c>
      <c r="E3521" s="3">
        <f>IFERROR(VLOOKUP(B3521,'DA1'!$B$2:$D$999999,3,FALSE),"")</f>
      </c>
      <c r="F3521" s="1" t="str">
        <f>IFERROR(VLOOKUP(B3521,'SB1'!$A$2:$C$999999,3,FALSE),"")</f>
        <v>503</v>
      </c>
      <c r="G3521" s="3" t="e">
        <f t="shared" si="121"/>
        <v>#VALUE!</v>
      </c>
      <c r="H3521" s="3" t="e">
        <f t="shared" si="122"/>
        <v>#VALUE!</v>
      </c>
      <c r="I3521" s="1">
        <v>1</v>
      </c>
    </row>
    <row r="3522" spans="1:9" x14ac:dyDescent="0.25">
      <c r="A3522" s="1" t="s">
        <v>14435</v>
      </c>
      <c r="B3522" s="1" t="s">
        <v>10413</v>
      </c>
      <c r="C3522" s="1" t="str">
        <f>IFERROR(VLOOKUP(B3522,'SB1'!$A$2:$B$999999,2,FALSE),"")</f>
        <v>ESMALTE SINTETICO TERSILUX FERROMICACEO MATE PLATA X 1</v>
      </c>
      <c r="D3522" s="1" t="s">
        <v>14437</v>
      </c>
      <c r="E3522" s="3">
        <f>IFERROR(VLOOKUP(B3522,'DA1'!$B$2:$D$999999,3,FALSE),"")</f>
      </c>
      <c r="F3522" s="1" t="str">
        <f>IFERROR(VLOOKUP(B3522,'SB1'!$A$2:$C$999999,3,FALSE),"")</f>
        <v>503</v>
      </c>
      <c r="G3522" s="3" t="e">
        <f t="shared" si="121"/>
        <v>#VALUE!</v>
      </c>
      <c r="H3522" s="3" t="e">
        <f t="shared" si="122"/>
        <v>#VALUE!</v>
      </c>
      <c r="I3522" s="1">
        <v>1</v>
      </c>
    </row>
    <row r="3523" spans="1:9" x14ac:dyDescent="0.25">
      <c r="A3523" s="1" t="s">
        <v>14435</v>
      </c>
      <c r="B3523" s="1" t="s">
        <v>10415</v>
      </c>
      <c r="C3523" s="1" t="str">
        <f>IFERROR(VLOOKUP(B3523,'SB1'!$A$2:$B$999999,2,FALSE),"")</f>
        <v>ESMALTE SINTETICO TERSILUX FERROMICACEO MATE PLATA X 4</v>
      </c>
      <c r="D3523" s="1" t="s">
        <v>14437</v>
      </c>
      <c r="E3523" s="3">
        <f>IFERROR(VLOOKUP(B3523,'DA1'!$B$2:$D$999999,3,FALSE),"")</f>
      </c>
      <c r="F3523" s="1" t="str">
        <f>IFERROR(VLOOKUP(B3523,'SB1'!$A$2:$C$999999,3,FALSE),"")</f>
        <v>503</v>
      </c>
      <c r="G3523" s="3" t="e">
        <f t="shared" ref="G3523:G3586" si="123">E3523*1.04</f>
        <v>#VALUE!</v>
      </c>
      <c r="H3523" s="3" t="e">
        <f t="shared" si="122"/>
        <v>#VALUE!</v>
      </c>
      <c r="I3523" s="1">
        <v>1</v>
      </c>
    </row>
    <row r="3524" spans="1:9" x14ac:dyDescent="0.25">
      <c r="A3524" s="1" t="s">
        <v>14435</v>
      </c>
      <c r="B3524" s="1" t="s">
        <v>10417</v>
      </c>
      <c r="C3524" s="1" t="str">
        <f>IFERROR(VLOOKUP(B3524,'SB1'!$A$2:$B$999999,2,FALSE),"")</f>
        <v>D8238/E1 CATALIZADOR P/ D8115/D8117/D8501/D8507(DP4000) X 1</v>
      </c>
      <c r="D3524" s="1" t="s">
        <v>14446</v>
      </c>
      <c r="E3524" s="3">
        <f>IFERROR(VLOOKUP(B3524,'DA1'!$B$2:$D$999999,3,FALSE),"")</f>
      </c>
      <c r="F3524" s="1" t="str">
        <f>IFERROR(VLOOKUP(B3524,'SB1'!$A$2:$C$999999,3,FALSE),"")</f>
        <v>503</v>
      </c>
      <c r="G3524" s="3" t="e">
        <f t="shared" si="123"/>
        <v>#VALUE!</v>
      </c>
      <c r="H3524" s="3" t="e">
        <f t="shared" si="122"/>
        <v>#VALUE!</v>
      </c>
      <c r="I3524" s="1">
        <v>3</v>
      </c>
    </row>
    <row r="3525" spans="1:9" x14ac:dyDescent="0.25">
      <c r="A3525" s="1" t="s">
        <v>14435</v>
      </c>
      <c r="B3525" s="1" t="s">
        <v>10419</v>
      </c>
      <c r="C3525" s="1" t="str">
        <f>IFERROR(VLOOKUP(B3525,'SB1'!$A$2:$B$999999,2,FALSE),"")</f>
        <v>LLANA OVALADA PARA ESTUCADO 12X30(LYOV2-30)</v>
      </c>
      <c r="D3525" s="1" t="s">
        <v>14436</v>
      </c>
      <c r="E3525" s="3">
        <f>IFERROR(VLOOKUP(B3525,'DA1'!$B$2:$D$999999,3,FALSE),"")</f>
      </c>
      <c r="F3525" s="1" t="str">
        <f>IFERROR(VLOOKUP(B3525,'SB1'!$A$2:$C$999999,3,FALSE),"")</f>
        <v>503</v>
      </c>
      <c r="G3525" s="3" t="e">
        <f t="shared" si="123"/>
        <v>#VALUE!</v>
      </c>
      <c r="H3525" s="3" t="e">
        <f t="shared" si="122"/>
        <v>#VALUE!</v>
      </c>
      <c r="I3525" s="1">
        <v>1</v>
      </c>
    </row>
    <row r="3526" spans="1:9" x14ac:dyDescent="0.25">
      <c r="A3526" s="1" t="s">
        <v>14435</v>
      </c>
      <c r="B3526" s="1" t="s">
        <v>10421</v>
      </c>
      <c r="C3526" s="1" t="str">
        <f>IFERROR(VLOOKUP(B3526,'SB1'!$A$2:$B$999999,2,FALSE),"")</f>
        <v>FONDO ANTIOXIDO TERSUAVE MATE MARFIL X  0,500</v>
      </c>
      <c r="D3526" s="1" t="s">
        <v>14437</v>
      </c>
      <c r="E3526" s="3">
        <f>IFERROR(VLOOKUP(B3526,'DA1'!$B$2:$D$999999,3,FALSE),"")</f>
      </c>
      <c r="F3526" s="1" t="str">
        <f>IFERROR(VLOOKUP(B3526,'SB1'!$A$2:$C$999999,3,FALSE),"")</f>
        <v>503</v>
      </c>
      <c r="G3526" s="3" t="e">
        <f t="shared" si="123"/>
        <v>#VALUE!</v>
      </c>
      <c r="H3526" s="3" t="e">
        <f t="shared" si="122"/>
        <v>#VALUE!</v>
      </c>
      <c r="I3526" s="1">
        <v>1</v>
      </c>
    </row>
    <row r="3527" spans="1:9" x14ac:dyDescent="0.25">
      <c r="A3527" s="1" t="s">
        <v>14435</v>
      </c>
      <c r="B3527" s="1" t="s">
        <v>10423</v>
      </c>
      <c r="C3527" s="1" t="str">
        <f>IFERROR(VLOOKUP(B3527,'SB1'!$A$2:$B$999999,2,FALSE),"")</f>
        <v>DC3000.04 BARNIZ RAPIDO DE ALTO SOLIDO X 0,720</v>
      </c>
      <c r="D3527" s="1" t="s">
        <v>14446</v>
      </c>
      <c r="E3527" s="3">
        <f>IFERROR(VLOOKUP(B3527,'DA1'!$B$2:$D$999999,3,FALSE),"")</f>
      </c>
      <c r="F3527" s="1" t="str">
        <f>IFERROR(VLOOKUP(B3527,'SB1'!$A$2:$C$999999,3,FALSE),"")</f>
        <v>503</v>
      </c>
      <c r="G3527" s="3" t="e">
        <f t="shared" si="123"/>
        <v>#VALUE!</v>
      </c>
      <c r="H3527" s="3" t="e">
        <f t="shared" si="122"/>
        <v>#VALUE!</v>
      </c>
      <c r="I3527" s="1">
        <v>3</v>
      </c>
    </row>
    <row r="3528" spans="1:9" x14ac:dyDescent="0.25">
      <c r="A3528" s="1" t="s">
        <v>14435</v>
      </c>
      <c r="B3528" s="1" t="s">
        <v>10425</v>
      </c>
      <c r="C3528" s="1" t="str">
        <f>IFERROR(VLOOKUP(B3528,'SB1'!$A$2:$B$999999,2,FALSE),"")</f>
        <v>DC3000FYL BARNIZ RAPIDO DE ALTO SOLIDO X 3,785</v>
      </c>
      <c r="D3528" s="1" t="s">
        <v>14446</v>
      </c>
      <c r="E3528" s="3">
        <f>IFERROR(VLOOKUP(B3528,'DA1'!$B$2:$D$999999,3,FALSE),"")</f>
      </c>
      <c r="F3528" s="1" t="str">
        <f>IFERROR(VLOOKUP(B3528,'SB1'!$A$2:$C$999999,3,FALSE),"")</f>
        <v>503</v>
      </c>
      <c r="G3528" s="3" t="e">
        <f t="shared" si="123"/>
        <v>#VALUE!</v>
      </c>
      <c r="H3528" s="3" t="e">
        <f t="shared" si="122"/>
        <v>#VALUE!</v>
      </c>
      <c r="I3528" s="1">
        <v>3</v>
      </c>
    </row>
    <row r="3529" spans="1:9" x14ac:dyDescent="0.25">
      <c r="A3529" s="1" t="s">
        <v>14435</v>
      </c>
      <c r="B3529" s="1" t="s">
        <v>10427</v>
      </c>
      <c r="C3529" s="1" t="str">
        <f>IFERROR(VLOOKUP(B3529,'SB1'!$A$2:$B$999999,2,FALSE),"")</f>
        <v>NIVELADOR BAJO SOLADO WEBER CARPETA CON CERESITA X 30KG</v>
      </c>
      <c r="D3529" s="1" t="s">
        <v>14488</v>
      </c>
      <c r="E3529" s="3">
        <f>IFERROR(VLOOKUP(B3529,'DA1'!$B$2:$D$999999,3,FALSE),"")</f>
      </c>
      <c r="F3529" s="1" t="str">
        <f>IFERROR(VLOOKUP(B3529,'SB1'!$A$2:$C$999999,3,FALSE),"")</f>
        <v>503</v>
      </c>
      <c r="G3529" s="3" t="e">
        <f t="shared" si="123"/>
        <v>#VALUE!</v>
      </c>
      <c r="H3529" s="3" t="e">
        <f t="shared" si="122"/>
        <v>#VALUE!</v>
      </c>
      <c r="I3529" s="1">
        <v>1</v>
      </c>
    </row>
    <row r="3530" spans="1:9" x14ac:dyDescent="0.25">
      <c r="A3530" s="1" t="s">
        <v>14435</v>
      </c>
      <c r="B3530" s="1" t="s">
        <v>10429</v>
      </c>
      <c r="C3530" s="1" t="str">
        <f>IFERROR(VLOOKUP(B3530,'SB1'!$A$2:$B$999999,2,FALSE),"")</f>
        <v>FONDO ANTIOXIDO TERSUAVE MATE NEGRO X  0,500</v>
      </c>
      <c r="D3530" s="1" t="s">
        <v>14437</v>
      </c>
      <c r="E3530" s="3">
        <f>IFERROR(VLOOKUP(B3530,'DA1'!$B$2:$D$999999,3,FALSE),"")</f>
      </c>
      <c r="F3530" s="1" t="str">
        <f>IFERROR(VLOOKUP(B3530,'SB1'!$A$2:$C$999999,3,FALSE),"")</f>
        <v>503</v>
      </c>
      <c r="G3530" s="3" t="e">
        <f t="shared" si="123"/>
        <v>#VALUE!</v>
      </c>
      <c r="H3530" s="3" t="e">
        <f t="shared" si="122"/>
        <v>#VALUE!</v>
      </c>
      <c r="I3530" s="1">
        <v>1</v>
      </c>
    </row>
    <row r="3531" spans="1:9" x14ac:dyDescent="0.25">
      <c r="A3531" s="1" t="s">
        <v>14435</v>
      </c>
      <c r="B3531" s="1" t="s">
        <v>10431</v>
      </c>
      <c r="C3531" s="1" t="str">
        <f>IFERROR(VLOOKUP(B3531,'SB1'!$A$2:$B$999999,2,FALSE),"")</f>
        <v>ANCLAJE CEMENTICIO ALTA RESISTENCIA WEBER GROUT GRIS X 30KG</v>
      </c>
      <c r="D3531" s="1" t="s">
        <v>14488</v>
      </c>
      <c r="E3531" s="3">
        <f>IFERROR(VLOOKUP(B3531,'DA1'!$B$2:$D$999999,3,FALSE),"")</f>
      </c>
      <c r="F3531" s="1" t="str">
        <f>IFERROR(VLOOKUP(B3531,'SB1'!$A$2:$C$999999,3,FALSE),"")</f>
        <v>503</v>
      </c>
      <c r="G3531" s="3" t="e">
        <f t="shared" si="123"/>
        <v>#VALUE!</v>
      </c>
      <c r="H3531" s="3" t="e">
        <f t="shared" si="122"/>
        <v>#VALUE!</v>
      </c>
      <c r="I3531" s="1">
        <v>1</v>
      </c>
    </row>
    <row r="3532" spans="1:9" x14ac:dyDescent="0.25">
      <c r="A3532" s="1" t="s">
        <v>14435</v>
      </c>
      <c r="B3532" s="1" t="s">
        <v>10451</v>
      </c>
      <c r="C3532" s="1" t="str">
        <f>IFERROR(VLOOKUP(B3532,'SB1'!$A$2:$B$999999,2,FALSE),"")</f>
        <v>LACA NITROCELULOSICA COLVINIL BRILLANTE X  0,900</v>
      </c>
      <c r="D3532" s="1" t="s">
        <v>14453</v>
      </c>
      <c r="E3532" s="3">
        <f>IFERROR(VLOOKUP(B3532,'DA1'!$B$2:$D$999999,3,FALSE),"")</f>
      </c>
      <c r="F3532" s="1" t="str">
        <f>IFERROR(VLOOKUP(B3532,'SB1'!$A$2:$C$999999,3,FALSE),"")</f>
        <v>503</v>
      </c>
      <c r="G3532" s="3" t="e">
        <f t="shared" si="123"/>
        <v>#VALUE!</v>
      </c>
      <c r="H3532" s="3" t="e">
        <f t="shared" si="122"/>
        <v>#VALUE!</v>
      </c>
      <c r="I3532" s="1">
        <v>1</v>
      </c>
    </row>
    <row r="3533" spans="1:9" x14ac:dyDescent="0.25">
      <c r="A3533" s="1" t="s">
        <v>14435</v>
      </c>
      <c r="B3533" s="1" t="s">
        <v>10453</v>
      </c>
      <c r="C3533" s="1" t="str">
        <f>IFERROR(VLOOKUP(B3533,'SB1'!$A$2:$B$999999,2,FALSE),"")</f>
        <v>FONDO ANTIOXIDO TERSUAVE MATE GRIS X  0,500</v>
      </c>
      <c r="D3533" s="1" t="s">
        <v>14437</v>
      </c>
      <c r="E3533" s="3">
        <f>IFERROR(VLOOKUP(B3533,'DA1'!$B$2:$D$999999,3,FALSE),"")</f>
      </c>
      <c r="F3533" s="1" t="str">
        <f>IFERROR(VLOOKUP(B3533,'SB1'!$A$2:$C$999999,3,FALSE),"")</f>
        <v>503</v>
      </c>
      <c r="G3533" s="3" t="e">
        <f t="shared" si="123"/>
        <v>#VALUE!</v>
      </c>
      <c r="H3533" s="3" t="e">
        <f t="shared" si="122"/>
        <v>#VALUE!</v>
      </c>
      <c r="I3533" s="1">
        <v>1</v>
      </c>
    </row>
    <row r="3534" spans="1:9" x14ac:dyDescent="0.25">
      <c r="A3534" s="1" t="s">
        <v>14435</v>
      </c>
      <c r="B3534" s="1" t="s">
        <v>10455</v>
      </c>
      <c r="C3534" s="1" t="str">
        <f>IFERROR(VLOOKUP(B3534,'SB1'!$A$2:$B$999999,2,FALSE),"")</f>
        <v>LACA NITROCELULOSICA COLVINIL BRILLANTE X  3,600</v>
      </c>
      <c r="D3534" s="1" t="s">
        <v>14453</v>
      </c>
      <c r="E3534" s="3">
        <f>IFERROR(VLOOKUP(B3534,'DA1'!$B$2:$D$999999,3,FALSE),"")</f>
      </c>
      <c r="F3534" s="1" t="str">
        <f>IFERROR(VLOOKUP(B3534,'SB1'!$A$2:$C$999999,3,FALSE),"")</f>
        <v>503</v>
      </c>
      <c r="G3534" s="3" t="e">
        <f t="shared" si="123"/>
        <v>#VALUE!</v>
      </c>
      <c r="H3534" s="3" t="e">
        <f t="shared" si="122"/>
        <v>#VALUE!</v>
      </c>
      <c r="I3534" s="1">
        <v>1</v>
      </c>
    </row>
    <row r="3535" spans="1:9" x14ac:dyDescent="0.25">
      <c r="A3535" s="1" t="s">
        <v>14435</v>
      </c>
      <c r="B3535" s="1" t="s">
        <v>10457</v>
      </c>
      <c r="C3535" s="1" t="str">
        <f>IFERROR(VLOOKUP(B3535,'SB1'!$A$2:$B$999999,2,FALSE),"")</f>
        <v>LACA NITROCELULOSICA COLVINIL BRILLANTE X 18</v>
      </c>
      <c r="D3535" s="1" t="s">
        <v>14453</v>
      </c>
      <c r="E3535" s="3">
        <f>IFERROR(VLOOKUP(B3535,'DA1'!$B$2:$D$999999,3,FALSE),"")</f>
      </c>
      <c r="F3535" s="1" t="str">
        <f>IFERROR(VLOOKUP(B3535,'SB1'!$A$2:$C$999999,3,FALSE),"")</f>
        <v>503</v>
      </c>
      <c r="G3535" s="3" t="e">
        <f t="shared" si="123"/>
        <v>#VALUE!</v>
      </c>
      <c r="H3535" s="3" t="e">
        <f t="shared" si="122"/>
        <v>#VALUE!</v>
      </c>
      <c r="I3535" s="1">
        <v>1</v>
      </c>
    </row>
    <row r="3536" spans="1:9" x14ac:dyDescent="0.25">
      <c r="A3536" s="1" t="s">
        <v>14435</v>
      </c>
      <c r="B3536" s="1" t="s">
        <v>10487</v>
      </c>
      <c r="C3536" s="1" t="str">
        <f>IFERROR(VLOOKUP(B3536,'SB1'!$A$2:$B$999999,2,FALSE),"")</f>
        <v>FONDO ANTIOXIDO TERSUAVE MATE VERDE X  0,500</v>
      </c>
      <c r="D3536" s="1" t="s">
        <v>14437</v>
      </c>
      <c r="E3536" s="3">
        <f>IFERROR(VLOOKUP(B3536,'DA1'!$B$2:$D$999999,3,FALSE),"")</f>
      </c>
      <c r="F3536" s="1" t="str">
        <f>IFERROR(VLOOKUP(B3536,'SB1'!$A$2:$C$999999,3,FALSE),"")</f>
        <v>503</v>
      </c>
      <c r="G3536" s="3" t="e">
        <f t="shared" si="123"/>
        <v>#VALUE!</v>
      </c>
      <c r="H3536" s="3" t="e">
        <f t="shared" si="122"/>
        <v>#VALUE!</v>
      </c>
      <c r="I3536" s="1">
        <v>1</v>
      </c>
    </row>
    <row r="3537" spans="1:9" x14ac:dyDescent="0.25">
      <c r="A3537" s="1" t="s">
        <v>14435</v>
      </c>
      <c r="B3537" s="1" t="s">
        <v>10543</v>
      </c>
      <c r="C3537" s="1" t="str">
        <f>IFERROR(VLOOKUP(B3537,'SB1'!$A$2:$B$999999,2,FALSE),"")</f>
        <v>PERFUME PARA EL AUTOMOTOR LIBELLE COCO Y ALGODON X 0,125</v>
      </c>
      <c r="D3537" s="1" t="s">
        <v>14505</v>
      </c>
      <c r="E3537" s="3">
        <f>IFERROR(VLOOKUP(B3537,'DA1'!$B$2:$D$999999,3,FALSE),"")</f>
      </c>
      <c r="F3537" s="1" t="str">
        <f>IFERROR(VLOOKUP(B3537,'SB1'!$A$2:$C$999999,3,FALSE),"")</f>
        <v>503</v>
      </c>
      <c r="G3537" s="3" t="e">
        <f t="shared" si="123"/>
        <v>#VALUE!</v>
      </c>
      <c r="H3537" s="3" t="e">
        <f t="shared" si="122"/>
        <v>#VALUE!</v>
      </c>
      <c r="I3537" s="1">
        <v>1</v>
      </c>
    </row>
    <row r="3538" spans="1:9" x14ac:dyDescent="0.25">
      <c r="A3538" s="1" t="s">
        <v>14435</v>
      </c>
      <c r="B3538" s="1" t="s">
        <v>10545</v>
      </c>
      <c r="C3538" s="1" t="str">
        <f>IFERROR(VLOOKUP(B3538,'SB1'!$A$2:$B$999999,2,FALSE),"")</f>
        <v>PERFUME PARA EL AUTOMOTOR LIBELLE CEDRO Y SANDALO X 0,125</v>
      </c>
      <c r="D3538" s="1" t="s">
        <v>14505</v>
      </c>
      <c r="E3538" s="3">
        <f>IFERROR(VLOOKUP(B3538,'DA1'!$B$2:$D$999999,3,FALSE),"")</f>
      </c>
      <c r="F3538" s="1" t="str">
        <f>IFERROR(VLOOKUP(B3538,'SB1'!$A$2:$C$999999,3,FALSE),"")</f>
        <v>503</v>
      </c>
      <c r="G3538" s="3" t="e">
        <f t="shared" si="123"/>
        <v>#VALUE!</v>
      </c>
      <c r="H3538" s="3" t="e">
        <f t="shared" si="122"/>
        <v>#VALUE!</v>
      </c>
      <c r="I3538" s="1">
        <v>1</v>
      </c>
    </row>
    <row r="3539" spans="1:9" x14ac:dyDescent="0.25">
      <c r="A3539" s="1" t="s">
        <v>14435</v>
      </c>
      <c r="B3539" s="1" t="s">
        <v>10547</v>
      </c>
      <c r="C3539" s="1" t="str">
        <f>IFERROR(VLOOKUP(B3539,'SB1'!$A$2:$B$999999,2,FALSE),"")</f>
        <v>PERFUME PARA EL AUTOMOTOR LIBELLE TABACO Y BAMBU X 0,125</v>
      </c>
      <c r="D3539" s="1" t="s">
        <v>14505</v>
      </c>
      <c r="E3539" s="3">
        <f>IFERROR(VLOOKUP(B3539,'DA1'!$B$2:$D$999999,3,FALSE),"")</f>
      </c>
      <c r="F3539" s="1" t="str">
        <f>IFERROR(VLOOKUP(B3539,'SB1'!$A$2:$C$999999,3,FALSE),"")</f>
        <v>503</v>
      </c>
      <c r="G3539" s="3" t="e">
        <f t="shared" si="123"/>
        <v>#VALUE!</v>
      </c>
      <c r="H3539" s="3" t="e">
        <f t="shared" si="122"/>
        <v>#VALUE!</v>
      </c>
      <c r="I3539" s="1">
        <v>1</v>
      </c>
    </row>
    <row r="3540" spans="1:9" x14ac:dyDescent="0.25">
      <c r="A3540" s="1" t="s">
        <v>14435</v>
      </c>
      <c r="B3540" s="1" t="s">
        <v>10549</v>
      </c>
      <c r="C3540" s="1" t="str">
        <f>IFERROR(VLOOKUP(B3540,'SB1'!$A$2:$B$999999,2,FALSE),"")</f>
        <v>PERFUME PARA EL AUTOMOTOR LIBELLE SANDALO INTENSO X 0,125</v>
      </c>
      <c r="D3540" s="1" t="s">
        <v>14505</v>
      </c>
      <c r="E3540" s="3">
        <f>IFERROR(VLOOKUP(B3540,'DA1'!$B$2:$D$999999,3,FALSE),"")</f>
      </c>
      <c r="F3540" s="1" t="str">
        <f>IFERROR(VLOOKUP(B3540,'SB1'!$A$2:$C$999999,3,FALSE),"")</f>
        <v>503</v>
      </c>
      <c r="G3540" s="3" t="e">
        <f t="shared" si="123"/>
        <v>#VALUE!</v>
      </c>
      <c r="H3540" s="3" t="e">
        <f t="shared" si="122"/>
        <v>#VALUE!</v>
      </c>
      <c r="I3540" s="1">
        <v>1</v>
      </c>
    </row>
    <row r="3541" spans="1:9" x14ac:dyDescent="0.25">
      <c r="A3541" s="1" t="s">
        <v>14435</v>
      </c>
      <c r="B3541" s="1" t="s">
        <v>10551</v>
      </c>
      <c r="C3541" s="1" t="str">
        <f>IFERROR(VLOOKUP(B3541,'SB1'!$A$2:$B$999999,2,FALSE),"")</f>
        <v>PERFUME PARA EL AUTOMOTOR LIBELLE MADERA Y FLORES  X 0,125</v>
      </c>
      <c r="D3541" s="1" t="s">
        <v>14505</v>
      </c>
      <c r="E3541" s="3">
        <f>IFERROR(VLOOKUP(B3541,'DA1'!$B$2:$D$999999,3,FALSE),"")</f>
      </c>
      <c r="F3541" s="1" t="str">
        <f>IFERROR(VLOOKUP(B3541,'SB1'!$A$2:$C$999999,3,FALSE),"")</f>
        <v>503</v>
      </c>
      <c r="G3541" s="3" t="e">
        <f t="shared" si="123"/>
        <v>#VALUE!</v>
      </c>
      <c r="H3541" s="3" t="e">
        <f t="shared" si="122"/>
        <v>#VALUE!</v>
      </c>
      <c r="I3541" s="1">
        <v>1</v>
      </c>
    </row>
    <row r="3542" spans="1:9" x14ac:dyDescent="0.25">
      <c r="A3542" s="1" t="s">
        <v>14435</v>
      </c>
      <c r="B3542" s="1" t="s">
        <v>10553</v>
      </c>
      <c r="C3542" s="1" t="str">
        <f>IFERROR(VLOOKUP(B3542,'SB1'!$A$2:$B$999999,2,FALSE),"")</f>
        <v>PERFUME PARA EL AUTOMOTOR LIBELLE TE VERDE Y PEPINO X 0,125</v>
      </c>
      <c r="D3542" s="1" t="s">
        <v>14505</v>
      </c>
      <c r="E3542" s="3">
        <f>IFERROR(VLOOKUP(B3542,'DA1'!$B$2:$D$999999,3,FALSE),"")</f>
      </c>
      <c r="F3542" s="1" t="str">
        <f>IFERROR(VLOOKUP(B3542,'SB1'!$A$2:$C$999999,3,FALSE),"")</f>
        <v>503</v>
      </c>
      <c r="G3542" s="3" t="e">
        <f t="shared" si="123"/>
        <v>#VALUE!</v>
      </c>
      <c r="H3542" s="3" t="e">
        <f t="shared" si="122"/>
        <v>#VALUE!</v>
      </c>
      <c r="I3542" s="1">
        <v>1</v>
      </c>
    </row>
    <row r="3543" spans="1:9" x14ac:dyDescent="0.25">
      <c r="A3543" s="1" t="s">
        <v>14435</v>
      </c>
      <c r="B3543" s="1" t="s">
        <v>10555</v>
      </c>
      <c r="C3543" s="1" t="str">
        <f>IFERROR(VLOOKUP(B3543,'SB1'!$A$2:$B$999999,2,FALSE),"")</f>
        <v>PERFUME PARA EL AUTOMOTOR LIBELLE COCO Y MARACUYA X 0,125</v>
      </c>
      <c r="D3543" s="1" t="s">
        <v>14505</v>
      </c>
      <c r="E3543" s="3">
        <f>IFERROR(VLOOKUP(B3543,'DA1'!$B$2:$D$999999,3,FALSE),"")</f>
      </c>
      <c r="F3543" s="1" t="str">
        <f>IFERROR(VLOOKUP(B3543,'SB1'!$A$2:$C$999999,3,FALSE),"")</f>
        <v>503</v>
      </c>
      <c r="G3543" s="3" t="e">
        <f t="shared" si="123"/>
        <v>#VALUE!</v>
      </c>
      <c r="H3543" s="3" t="e">
        <f t="shared" si="122"/>
        <v>#VALUE!</v>
      </c>
      <c r="I3543" s="1">
        <v>1</v>
      </c>
    </row>
    <row r="3544" spans="1:9" x14ac:dyDescent="0.25">
      <c r="A3544" s="1" t="s">
        <v>14435</v>
      </c>
      <c r="B3544" s="1" t="s">
        <v>10557</v>
      </c>
      <c r="C3544" s="1" t="str">
        <f>IFERROR(VLOOKUP(B3544,'SB1'!$A$2:$B$999999,2,FALSE),"")</f>
        <v>PERFUME PARA EL AUTOMOTOR LIBELLE AMBAR FLORAL X 0,125</v>
      </c>
      <c r="D3544" s="1" t="s">
        <v>14505</v>
      </c>
      <c r="E3544" s="3">
        <f>IFERROR(VLOOKUP(B3544,'DA1'!$B$2:$D$999999,3,FALSE),"")</f>
      </c>
      <c r="F3544" s="1" t="str">
        <f>IFERROR(VLOOKUP(B3544,'SB1'!$A$2:$C$999999,3,FALSE),"")</f>
        <v>503</v>
      </c>
      <c r="G3544" s="3" t="e">
        <f t="shared" si="123"/>
        <v>#VALUE!</v>
      </c>
      <c r="H3544" s="3" t="e">
        <f t="shared" si="122"/>
        <v>#VALUE!</v>
      </c>
      <c r="I3544" s="1">
        <v>1</v>
      </c>
    </row>
    <row r="3545" spans="1:9" x14ac:dyDescent="0.25">
      <c r="A3545" s="1" t="s">
        <v>14435</v>
      </c>
      <c r="B3545" s="1" t="s">
        <v>10559</v>
      </c>
      <c r="C3545" s="1" t="str">
        <f>IFERROR(VLOOKUP(B3545,'SB1'!$A$2:$B$999999,2,FALSE),"")</f>
        <v>PERFUME PARA EL AUTOMOTOR LIBELLE CITRICOS Y ALMENDRAS X 0,125</v>
      </c>
      <c r="D3545" s="1" t="s">
        <v>14505</v>
      </c>
      <c r="E3545" s="3">
        <f>IFERROR(VLOOKUP(B3545,'DA1'!$B$2:$D$999999,3,FALSE),"")</f>
      </c>
      <c r="F3545" s="1" t="str">
        <f>IFERROR(VLOOKUP(B3545,'SB1'!$A$2:$C$999999,3,FALSE),"")</f>
        <v>503</v>
      </c>
      <c r="G3545" s="3" t="e">
        <f t="shared" si="123"/>
        <v>#VALUE!</v>
      </c>
      <c r="H3545" s="3" t="e">
        <f t="shared" si="122"/>
        <v>#VALUE!</v>
      </c>
      <c r="I3545" s="1">
        <v>1</v>
      </c>
    </row>
    <row r="3546" spans="1:9" x14ac:dyDescent="0.25">
      <c r="A3546" s="1" t="s">
        <v>14435</v>
      </c>
      <c r="B3546" s="1" t="s">
        <v>10561</v>
      </c>
      <c r="C3546" s="1" t="str">
        <f>IFERROR(VLOOKUP(B3546,'SB1'!$A$2:$B$999999,2,FALSE),"")</f>
        <v>PERFUME PARA EL AUTOMOTOR LIBELLE POMELO Y MELON X 0,125</v>
      </c>
      <c r="D3546" s="1" t="s">
        <v>14505</v>
      </c>
      <c r="E3546" s="3">
        <f>IFERROR(VLOOKUP(B3546,'DA1'!$B$2:$D$999999,3,FALSE),"")</f>
      </c>
      <c r="F3546" s="1" t="str">
        <f>IFERROR(VLOOKUP(B3546,'SB1'!$A$2:$C$999999,3,FALSE),"")</f>
        <v>503</v>
      </c>
      <c r="G3546" s="3" t="e">
        <f t="shared" si="123"/>
        <v>#VALUE!</v>
      </c>
      <c r="H3546" s="3" t="e">
        <f t="shared" si="122"/>
        <v>#VALUE!</v>
      </c>
      <c r="I3546" s="1">
        <v>1</v>
      </c>
    </row>
    <row r="3547" spans="1:9" x14ac:dyDescent="0.25">
      <c r="A3547" s="1" t="s">
        <v>14435</v>
      </c>
      <c r="B3547" s="1" t="s">
        <v>10563</v>
      </c>
      <c r="C3547" s="1" t="str">
        <f>IFERROR(VLOOKUP(B3547,'SB1'!$A$2:$B$999999,2,FALSE),"")</f>
        <v>PERFUME PARA EL AUTOMOTOR LIBELLE CUERO X 0,125</v>
      </c>
      <c r="D3547" s="1" t="s">
        <v>14505</v>
      </c>
      <c r="E3547" s="3">
        <f>IFERROR(VLOOKUP(B3547,'DA1'!$B$2:$D$999999,3,FALSE),"")</f>
      </c>
      <c r="F3547" s="1" t="str">
        <f>IFERROR(VLOOKUP(B3547,'SB1'!$A$2:$C$999999,3,FALSE),"")</f>
        <v>503</v>
      </c>
      <c r="G3547" s="3" t="e">
        <f t="shared" si="123"/>
        <v>#VALUE!</v>
      </c>
      <c r="H3547" s="3" t="e">
        <f t="shared" si="122"/>
        <v>#VALUE!</v>
      </c>
      <c r="I3547" s="1">
        <v>1</v>
      </c>
    </row>
    <row r="3548" spans="1:9" x14ac:dyDescent="0.25">
      <c r="A3548" s="1" t="s">
        <v>14435</v>
      </c>
      <c r="B3548" s="1" t="s">
        <v>10569</v>
      </c>
      <c r="C3548" s="1" t="str">
        <f>IFERROR(VLOOKUP(B3548,'SB1'!$A$2:$B$999999,2,FALSE),"")</f>
        <v>DEMARCACION VIAL ALTO TRANSITO PISOACRIL NEGRO X  4</v>
      </c>
      <c r="D3548" s="1" t="s">
        <v>14458</v>
      </c>
      <c r="E3548" s="3">
        <f>IFERROR(VLOOKUP(B3548,'DA1'!$B$2:$D$999999,3,FALSE),"")</f>
      </c>
      <c r="F3548" s="1" t="str">
        <f>IFERROR(VLOOKUP(B3548,'SB1'!$A$2:$C$999999,3,FALSE),"")</f>
        <v>503</v>
      </c>
      <c r="G3548" s="3" t="e">
        <f t="shared" si="123"/>
        <v>#VALUE!</v>
      </c>
      <c r="H3548" s="3" t="e">
        <f t="shared" si="122"/>
        <v>#VALUE!</v>
      </c>
      <c r="I3548" s="1">
        <v>1</v>
      </c>
    </row>
    <row r="3549" spans="1:9" x14ac:dyDescent="0.25">
      <c r="A3549" s="1" t="s">
        <v>14435</v>
      </c>
      <c r="B3549" s="1" t="s">
        <v>10571</v>
      </c>
      <c r="C3549" s="1" t="str">
        <f>IFERROR(VLOOKUP(B3549,'SB1'!$A$2:$B$999999,2,FALSE),"")</f>
        <v>DEMARCACION VIAL ALTO TRANSITO PISOACRIL NEGRO X 20</v>
      </c>
      <c r="D3549" s="1" t="s">
        <v>14458</v>
      </c>
      <c r="E3549" s="3">
        <f>IFERROR(VLOOKUP(B3549,'DA1'!$B$2:$D$999999,3,FALSE),"")</f>
      </c>
      <c r="F3549" s="1" t="str">
        <f>IFERROR(VLOOKUP(B3549,'SB1'!$A$2:$C$999999,3,FALSE),"")</f>
        <v>503</v>
      </c>
      <c r="G3549" s="3" t="e">
        <f t="shared" si="123"/>
        <v>#VALUE!</v>
      </c>
      <c r="H3549" s="3" t="e">
        <f t="shared" si="122"/>
        <v>#VALUE!</v>
      </c>
      <c r="I3549" s="1">
        <v>1</v>
      </c>
    </row>
    <row r="3550" spans="1:9" x14ac:dyDescent="0.25">
      <c r="A3550" s="1" t="s">
        <v>14435</v>
      </c>
      <c r="B3550" s="1" t="s">
        <v>10597</v>
      </c>
      <c r="C3550" s="1" t="str">
        <f>IFERROR(VLOOKUP(B3550,'SB1'!$A$2:$B$999999,2,FALSE),"")</f>
        <v>FONDO ANTIOXIDO TERSUAVE MATE ROJO X  0,500</v>
      </c>
      <c r="D3550" s="1" t="s">
        <v>14437</v>
      </c>
      <c r="E3550" s="3">
        <f>IFERROR(VLOOKUP(B3550,'DA1'!$B$2:$D$999999,3,FALSE),"")</f>
      </c>
      <c r="F3550" s="1" t="str">
        <f>IFERROR(VLOOKUP(B3550,'SB1'!$A$2:$C$999999,3,FALSE),"")</f>
        <v>503</v>
      </c>
      <c r="G3550" s="3" t="e">
        <f t="shared" si="123"/>
        <v>#VALUE!</v>
      </c>
      <c r="H3550" s="3" t="e">
        <f t="shared" si="122"/>
        <v>#VALUE!</v>
      </c>
      <c r="I3550" s="1">
        <v>1</v>
      </c>
    </row>
    <row r="3551" spans="1:9" x14ac:dyDescent="0.25">
      <c r="A3551" s="1" t="s">
        <v>14435</v>
      </c>
      <c r="B3551" s="1" t="s">
        <v>10599</v>
      </c>
      <c r="C3551" s="1" t="str">
        <f>IFERROR(VLOOKUP(B3551,'SB1'!$A$2:$B$999999,2,FALSE),"")</f>
        <v>MINI DIFUSOR LIBELLE CUERO X 10ML</v>
      </c>
      <c r="D3551" s="1" t="s">
        <v>14505</v>
      </c>
      <c r="E3551" s="3">
        <f>IFERROR(VLOOKUP(B3551,'DA1'!$B$2:$D$999999,3,FALSE),"")</f>
      </c>
      <c r="F3551" s="1" t="str">
        <f>IFERROR(VLOOKUP(B3551,'SB1'!$A$2:$C$999999,3,FALSE),"")</f>
        <v>503</v>
      </c>
      <c r="G3551" s="3" t="e">
        <f t="shared" si="123"/>
        <v>#VALUE!</v>
      </c>
      <c r="H3551" s="3" t="e">
        <f t="shared" si="122"/>
        <v>#VALUE!</v>
      </c>
      <c r="I3551" s="1">
        <v>1</v>
      </c>
    </row>
    <row r="3552" spans="1:9" x14ac:dyDescent="0.25">
      <c r="A3552" s="1" t="s">
        <v>14435</v>
      </c>
      <c r="B3552" s="1" t="s">
        <v>10601</v>
      </c>
      <c r="C3552" s="1" t="str">
        <f>IFERROR(VLOOKUP(B3552,'SB1'!$A$2:$B$999999,2,FALSE),"")</f>
        <v>MINI DIFUSOR LIBELLE POMELO Y MELON X 10ML</v>
      </c>
      <c r="D3552" s="1" t="s">
        <v>14505</v>
      </c>
      <c r="E3552" s="3">
        <f>IFERROR(VLOOKUP(B3552,'DA1'!$B$2:$D$999999,3,FALSE),"")</f>
      </c>
      <c r="F3552" s="1" t="str">
        <f>IFERROR(VLOOKUP(B3552,'SB1'!$A$2:$C$999999,3,FALSE),"")</f>
        <v>503</v>
      </c>
      <c r="G3552" s="3" t="e">
        <f t="shared" si="123"/>
        <v>#VALUE!</v>
      </c>
      <c r="H3552" s="3" t="e">
        <f t="shared" si="122"/>
        <v>#VALUE!</v>
      </c>
      <c r="I3552" s="1">
        <v>1</v>
      </c>
    </row>
    <row r="3553" spans="1:9" x14ac:dyDescent="0.25">
      <c r="A3553" s="1" t="s">
        <v>14435</v>
      </c>
      <c r="B3553" s="1" t="s">
        <v>10603</v>
      </c>
      <c r="C3553" s="1" t="str">
        <f>IFERROR(VLOOKUP(B3553,'SB1'!$A$2:$B$999999,2,FALSE),"")</f>
        <v>MINI DIFUSOR LIBELLE CITRICOS Y ALMENDRAS X 10ML</v>
      </c>
      <c r="D3553" s="1" t="s">
        <v>14505</v>
      </c>
      <c r="E3553" s="3">
        <f>IFERROR(VLOOKUP(B3553,'DA1'!$B$2:$D$999999,3,FALSE),"")</f>
      </c>
      <c r="F3553" s="1" t="str">
        <f>IFERROR(VLOOKUP(B3553,'SB1'!$A$2:$C$999999,3,FALSE),"")</f>
        <v>503</v>
      </c>
      <c r="G3553" s="3" t="e">
        <f t="shared" si="123"/>
        <v>#VALUE!</v>
      </c>
      <c r="H3553" s="3" t="e">
        <f t="shared" si="122"/>
        <v>#VALUE!</v>
      </c>
      <c r="I3553" s="1">
        <v>1</v>
      </c>
    </row>
    <row r="3554" spans="1:9" x14ac:dyDescent="0.25">
      <c r="A3554" s="1" t="s">
        <v>14435</v>
      </c>
      <c r="B3554" s="1" t="s">
        <v>10605</v>
      </c>
      <c r="C3554" s="1" t="str">
        <f>IFERROR(VLOOKUP(B3554,'SB1'!$A$2:$B$999999,2,FALSE),"")</f>
        <v>MINI DIFUSOR LIBELLE AMBAR FLORAL X 10ML</v>
      </c>
      <c r="D3554" s="1" t="s">
        <v>14505</v>
      </c>
      <c r="E3554" s="3">
        <f>IFERROR(VLOOKUP(B3554,'DA1'!$B$2:$D$999999,3,FALSE),"")</f>
      </c>
      <c r="F3554" s="1" t="str">
        <f>IFERROR(VLOOKUP(B3554,'SB1'!$A$2:$C$999999,3,FALSE),"")</f>
        <v>503</v>
      </c>
      <c r="G3554" s="3" t="e">
        <f t="shared" si="123"/>
        <v>#VALUE!</v>
      </c>
      <c r="H3554" s="3" t="e">
        <f t="shared" si="122"/>
        <v>#VALUE!</v>
      </c>
      <c r="I3554" s="1">
        <v>1</v>
      </c>
    </row>
    <row r="3555" spans="1:9" x14ac:dyDescent="0.25">
      <c r="A3555" s="1" t="s">
        <v>14435</v>
      </c>
      <c r="B3555" s="1" t="s">
        <v>10607</v>
      </c>
      <c r="C3555" s="1" t="str">
        <f>IFERROR(VLOOKUP(B3555,'SB1'!$A$2:$B$999999,2,FALSE),"")</f>
        <v>MINI DIFUSOR LIBELLE COCO Y MARACUYA X 10ML</v>
      </c>
      <c r="D3555" s="1" t="s">
        <v>14505</v>
      </c>
      <c r="E3555" s="3">
        <f>IFERROR(VLOOKUP(B3555,'DA1'!$B$2:$D$999999,3,FALSE),"")</f>
      </c>
      <c r="F3555" s="1" t="str">
        <f>IFERROR(VLOOKUP(B3555,'SB1'!$A$2:$C$999999,3,FALSE),"")</f>
        <v>503</v>
      </c>
      <c r="G3555" s="3" t="e">
        <f t="shared" si="123"/>
        <v>#VALUE!</v>
      </c>
      <c r="H3555" s="3" t="e">
        <f t="shared" si="122"/>
        <v>#VALUE!</v>
      </c>
      <c r="I3555" s="1">
        <v>1</v>
      </c>
    </row>
    <row r="3556" spans="1:9" x14ac:dyDescent="0.25">
      <c r="A3556" s="1" t="s">
        <v>14435</v>
      </c>
      <c r="B3556" s="1" t="s">
        <v>10609</v>
      </c>
      <c r="C3556" s="1" t="str">
        <f>IFERROR(VLOOKUP(B3556,'SB1'!$A$2:$B$999999,2,FALSE),"")</f>
        <v>MINI DIFUSOR LIBELLE TE VERDE Y PEPINO X 10ML</v>
      </c>
      <c r="D3556" s="1" t="s">
        <v>14505</v>
      </c>
      <c r="E3556" s="3">
        <f>IFERROR(VLOOKUP(B3556,'DA1'!$B$2:$D$999999,3,FALSE),"")</f>
      </c>
      <c r="F3556" s="1" t="str">
        <f>IFERROR(VLOOKUP(B3556,'SB1'!$A$2:$C$999999,3,FALSE),"")</f>
        <v>503</v>
      </c>
      <c r="G3556" s="3" t="e">
        <f t="shared" si="123"/>
        <v>#VALUE!</v>
      </c>
      <c r="H3556" s="3" t="e">
        <f t="shared" si="122"/>
        <v>#VALUE!</v>
      </c>
      <c r="I3556" s="1">
        <v>1</v>
      </c>
    </row>
    <row r="3557" spans="1:9" x14ac:dyDescent="0.25">
      <c r="A3557" s="1" t="s">
        <v>14435</v>
      </c>
      <c r="B3557" s="1" t="s">
        <v>10611</v>
      </c>
      <c r="C3557" s="1" t="str">
        <f>IFERROR(VLOOKUP(B3557,'SB1'!$A$2:$B$999999,2,FALSE),"")</f>
        <v>MINI DIFUSOR LIBELLE MADERA Y FLORES X 10ML</v>
      </c>
      <c r="D3557" s="1" t="s">
        <v>14505</v>
      </c>
      <c r="E3557" s="3">
        <f>IFERROR(VLOOKUP(B3557,'DA1'!$B$2:$D$999999,3,FALSE),"")</f>
      </c>
      <c r="F3557" s="1" t="str">
        <f>IFERROR(VLOOKUP(B3557,'SB1'!$A$2:$C$999999,3,FALSE),"")</f>
        <v>503</v>
      </c>
      <c r="G3557" s="3" t="e">
        <f t="shared" si="123"/>
        <v>#VALUE!</v>
      </c>
      <c r="H3557" s="3" t="e">
        <f t="shared" si="122"/>
        <v>#VALUE!</v>
      </c>
      <c r="I3557" s="1">
        <v>1</v>
      </c>
    </row>
    <row r="3558" spans="1:9" x14ac:dyDescent="0.25">
      <c r="A3558" s="1" t="s">
        <v>14435</v>
      </c>
      <c r="B3558" s="1" t="s">
        <v>10613</v>
      </c>
      <c r="C3558" s="1" t="str">
        <f>IFERROR(VLOOKUP(B3558,'SB1'!$A$2:$B$999999,2,FALSE),"")</f>
        <v>MINI DIFUSOR LIBELLE SANDALO INTENSO X 10ML</v>
      </c>
      <c r="D3558" s="1" t="s">
        <v>14505</v>
      </c>
      <c r="E3558" s="3">
        <f>IFERROR(VLOOKUP(B3558,'DA1'!$B$2:$D$999999,3,FALSE),"")</f>
      </c>
      <c r="F3558" s="1" t="str">
        <f>IFERROR(VLOOKUP(B3558,'SB1'!$A$2:$C$999999,3,FALSE),"")</f>
        <v>503</v>
      </c>
      <c r="G3558" s="3" t="e">
        <f t="shared" si="123"/>
        <v>#VALUE!</v>
      </c>
      <c r="H3558" s="3" t="e">
        <f t="shared" si="122"/>
        <v>#VALUE!</v>
      </c>
      <c r="I3558" s="1">
        <v>1</v>
      </c>
    </row>
    <row r="3559" spans="1:9" x14ac:dyDescent="0.25">
      <c r="A3559" s="1" t="s">
        <v>14435</v>
      </c>
      <c r="B3559" s="1" t="s">
        <v>10615</v>
      </c>
      <c r="C3559" s="1" t="str">
        <f>IFERROR(VLOOKUP(B3559,'SB1'!$A$2:$B$999999,2,FALSE),"")</f>
        <v>MINI DIFUSOR LIBELLE TABACO Y BAMBU X 10ML</v>
      </c>
      <c r="D3559" s="1" t="s">
        <v>14505</v>
      </c>
      <c r="E3559" s="3">
        <f>IFERROR(VLOOKUP(B3559,'DA1'!$B$2:$D$999999,3,FALSE),"")</f>
      </c>
      <c r="F3559" s="1" t="str">
        <f>IFERROR(VLOOKUP(B3559,'SB1'!$A$2:$C$999999,3,FALSE),"")</f>
        <v>503</v>
      </c>
      <c r="G3559" s="3" t="e">
        <f t="shared" si="123"/>
        <v>#VALUE!</v>
      </c>
      <c r="H3559" s="3" t="e">
        <f t="shared" si="122"/>
        <v>#VALUE!</v>
      </c>
      <c r="I3559" s="1">
        <v>1</v>
      </c>
    </row>
    <row r="3560" spans="1:9" x14ac:dyDescent="0.25">
      <c r="A3560" s="1" t="s">
        <v>14435</v>
      </c>
      <c r="B3560" s="1" t="s">
        <v>10617</v>
      </c>
      <c r="C3560" s="1" t="str">
        <f>IFERROR(VLOOKUP(B3560,'SB1'!$A$2:$B$999999,2,FALSE),"")</f>
        <v>MINI DIFUSOR LIBELLE CEDRO Y SANDALO X 10ML</v>
      </c>
      <c r="D3560" s="1" t="s">
        <v>14505</v>
      </c>
      <c r="E3560" s="3">
        <f>IFERROR(VLOOKUP(B3560,'DA1'!$B$2:$D$999999,3,FALSE),"")</f>
      </c>
      <c r="F3560" s="1" t="str">
        <f>IFERROR(VLOOKUP(B3560,'SB1'!$A$2:$C$999999,3,FALSE),"")</f>
        <v>503</v>
      </c>
      <c r="G3560" s="3" t="e">
        <f t="shared" si="123"/>
        <v>#VALUE!</v>
      </c>
      <c r="H3560" s="3" t="e">
        <f t="shared" si="122"/>
        <v>#VALUE!</v>
      </c>
      <c r="I3560" s="1">
        <v>1</v>
      </c>
    </row>
    <row r="3561" spans="1:9" x14ac:dyDescent="0.25">
      <c r="A3561" s="1" t="s">
        <v>14435</v>
      </c>
      <c r="B3561" s="1" t="s">
        <v>10619</v>
      </c>
      <c r="C3561" s="1" t="str">
        <f>IFERROR(VLOOKUP(B3561,'SB1'!$A$2:$B$999999,2,FALSE),"")</f>
        <v>MINI DIFUSOR LIBELLE COCO Y ALGODON X 10ML</v>
      </c>
      <c r="D3561" s="1" t="s">
        <v>14505</v>
      </c>
      <c r="E3561" s="3">
        <f>IFERROR(VLOOKUP(B3561,'DA1'!$B$2:$D$999999,3,FALSE),"")</f>
      </c>
      <c r="F3561" s="1" t="str">
        <f>IFERROR(VLOOKUP(B3561,'SB1'!$A$2:$C$999999,3,FALSE),"")</f>
        <v>503</v>
      </c>
      <c r="G3561" s="3" t="e">
        <f t="shared" si="123"/>
        <v>#VALUE!</v>
      </c>
      <c r="H3561" s="3" t="e">
        <f t="shared" si="122"/>
        <v>#VALUE!</v>
      </c>
      <c r="I3561" s="1">
        <v>1</v>
      </c>
    </row>
    <row r="3562" spans="1:9" x14ac:dyDescent="0.25">
      <c r="A3562" s="1" t="s">
        <v>14435</v>
      </c>
      <c r="B3562" s="1" t="s">
        <v>10621</v>
      </c>
      <c r="C3562" s="1" t="str">
        <f>IFERROR(VLOOKUP(B3562,'SB1'!$A$2:$B$999999,2,FALSE),"")</f>
        <v>FONDO ANTIOXIDO TERSUAVE MATE MARFIL X  1</v>
      </c>
      <c r="D3562" s="1" t="s">
        <v>14437</v>
      </c>
      <c r="E3562" s="3">
        <f>IFERROR(VLOOKUP(B3562,'DA1'!$B$2:$D$999999,3,FALSE),"")</f>
      </c>
      <c r="F3562" s="1" t="str">
        <f>IFERROR(VLOOKUP(B3562,'SB1'!$A$2:$C$999999,3,FALSE),"")</f>
        <v>503</v>
      </c>
      <c r="G3562" s="3" t="e">
        <f t="shared" si="123"/>
        <v>#VALUE!</v>
      </c>
      <c r="H3562" s="3" t="e">
        <f t="shared" si="122"/>
        <v>#VALUE!</v>
      </c>
      <c r="I3562" s="1">
        <v>1</v>
      </c>
    </row>
    <row r="3563" spans="1:9" x14ac:dyDescent="0.25">
      <c r="A3563" s="1" t="s">
        <v>14435</v>
      </c>
      <c r="B3563" s="1" t="s">
        <v>10623</v>
      </c>
      <c r="C3563" s="1" t="str">
        <f>IFERROR(VLOOKUP(B3563,'SB1'!$A$2:$B$999999,2,FALSE),"")</f>
        <v>ESMALTE SINTETICO TERSUAVE SATINADO BASE W X  0,900</v>
      </c>
      <c r="D3563" s="1" t="s">
        <v>14482</v>
      </c>
      <c r="E3563" s="3">
        <f>IFERROR(VLOOKUP(B3563,'DA1'!$B$2:$D$999999,3,FALSE),"")</f>
      </c>
      <c r="F3563" s="1" t="str">
        <f>IFERROR(VLOOKUP(B3563,'SB1'!$A$2:$C$999999,3,FALSE),"")</f>
        <v>503</v>
      </c>
      <c r="G3563" s="3" t="e">
        <f t="shared" si="123"/>
        <v>#VALUE!</v>
      </c>
      <c r="H3563" s="3" t="e">
        <f t="shared" si="122"/>
        <v>#VALUE!</v>
      </c>
      <c r="I3563" s="1">
        <v>1</v>
      </c>
    </row>
    <row r="3564" spans="1:9" x14ac:dyDescent="0.25">
      <c r="A3564" s="1" t="s">
        <v>14435</v>
      </c>
      <c r="B3564" s="1" t="s">
        <v>10625</v>
      </c>
      <c r="C3564" s="1" t="str">
        <f>IFERROR(VLOOKUP(B3564,'SB1'!$A$2:$B$999999,2,FALSE),"")</f>
        <v>ESMALTE SINTETICO TERSUAVE SATINADO BASE W X  3,600</v>
      </c>
      <c r="D3564" s="1" t="s">
        <v>14482</v>
      </c>
      <c r="E3564" s="3">
        <f>IFERROR(VLOOKUP(B3564,'DA1'!$B$2:$D$999999,3,FALSE),"")</f>
      </c>
      <c r="F3564" s="1" t="str">
        <f>IFERROR(VLOOKUP(B3564,'SB1'!$A$2:$C$999999,3,FALSE),"")</f>
        <v>503</v>
      </c>
      <c r="G3564" s="3" t="e">
        <f t="shared" si="123"/>
        <v>#VALUE!</v>
      </c>
      <c r="H3564" s="3" t="e">
        <f t="shared" si="122"/>
        <v>#VALUE!</v>
      </c>
      <c r="I3564" s="1">
        <v>1</v>
      </c>
    </row>
    <row r="3565" spans="1:9" x14ac:dyDescent="0.25">
      <c r="A3565" s="1" t="s">
        <v>14435</v>
      </c>
      <c r="B3565" s="1" t="s">
        <v>10629</v>
      </c>
      <c r="C3565" s="1" t="str">
        <f>IFERROR(VLOOKUP(B3565,'SB1'!$A$2:$B$999999,2,FALSE),"")</f>
        <v>FONDO ANTIOXIDO TERSUAVE MATE NEGRO X  1</v>
      </c>
      <c r="D3565" s="1" t="s">
        <v>14437</v>
      </c>
      <c r="E3565" s="3">
        <f>IFERROR(VLOOKUP(B3565,'DA1'!$B$2:$D$999999,3,FALSE),"")</f>
      </c>
      <c r="F3565" s="1" t="str">
        <f>IFERROR(VLOOKUP(B3565,'SB1'!$A$2:$C$999999,3,FALSE),"")</f>
        <v>503</v>
      </c>
      <c r="G3565" s="3" t="e">
        <f t="shared" si="123"/>
        <v>#VALUE!</v>
      </c>
      <c r="H3565" s="3" t="e">
        <f t="shared" si="122"/>
        <v>#VALUE!</v>
      </c>
      <c r="I3565" s="1">
        <v>1</v>
      </c>
    </row>
    <row r="3566" spans="1:9" x14ac:dyDescent="0.25">
      <c r="A3566" s="1" t="s">
        <v>14435</v>
      </c>
      <c r="B3566" s="1" t="s">
        <v>10653</v>
      </c>
      <c r="C3566" s="1" t="str">
        <f>IFERROR(VLOOKUP(B3566,'SB1'!$A$2:$B$999999,2,FALSE),"")</f>
        <v>FONDO ANTIOXIDO TERSUAVE MATE GRIS X  1</v>
      </c>
      <c r="D3566" s="1" t="s">
        <v>14437</v>
      </c>
      <c r="E3566" s="3">
        <f>IFERROR(VLOOKUP(B3566,'DA1'!$B$2:$D$999999,3,FALSE),"")</f>
      </c>
      <c r="F3566" s="1" t="str">
        <f>IFERROR(VLOOKUP(B3566,'SB1'!$A$2:$C$999999,3,FALSE),"")</f>
        <v>503</v>
      </c>
      <c r="G3566" s="3" t="e">
        <f t="shared" si="123"/>
        <v>#VALUE!</v>
      </c>
      <c r="H3566" s="3" t="e">
        <f t="shared" si="122"/>
        <v>#VALUE!</v>
      </c>
      <c r="I3566" s="1">
        <v>1</v>
      </c>
    </row>
    <row r="3567" spans="1:9" x14ac:dyDescent="0.25">
      <c r="A3567" s="1" t="s">
        <v>14435</v>
      </c>
      <c r="B3567" s="1" t="s">
        <v>10657</v>
      </c>
      <c r="C3567" s="1" t="str">
        <f>IFERROR(VLOOKUP(B3567,'SB1'!$A$2:$B$999999,2,FALSE),"")</f>
        <v>HP EPOXI 9100 MASTIC AMARILLO SEGURIDAD X 3,785 (357492/9144402)</v>
      </c>
      <c r="D3567" s="1" t="s">
        <v>14498</v>
      </c>
      <c r="E3567" s="3">
        <f>IFERROR(VLOOKUP(B3567,'DA1'!$B$2:$D$999999,3,FALSE),"")</f>
      </c>
      <c r="F3567" s="1" t="str">
        <f>IFERROR(VLOOKUP(B3567,'SB1'!$A$2:$C$999999,3,FALSE),"")</f>
        <v>503</v>
      </c>
      <c r="G3567" s="3" t="e">
        <f t="shared" si="123"/>
        <v>#VALUE!</v>
      </c>
      <c r="H3567" s="3" t="e">
        <f t="shared" si="122"/>
        <v>#VALUE!</v>
      </c>
      <c r="I3567" s="1">
        <v>1</v>
      </c>
    </row>
    <row r="3568" spans="1:9" x14ac:dyDescent="0.25">
      <c r="A3568" s="1" t="s">
        <v>14435</v>
      </c>
      <c r="B3568" s="1" t="s">
        <v>10659</v>
      </c>
      <c r="C3568" s="1" t="str">
        <f>IFERROR(VLOOKUP(B3568,'SB1'!$A$2:$B$999999,2,FALSE),"")</f>
        <v>HP EPOXI 9100 MASTIC GRIS NAVAL X 3,785 (357488)</v>
      </c>
      <c r="D3568" s="1" t="s">
        <v>14498</v>
      </c>
      <c r="E3568" s="3">
        <f>IFERROR(VLOOKUP(B3568,'DA1'!$B$2:$D$999999,3,FALSE),"")</f>
      </c>
      <c r="F3568" s="1" t="str">
        <f>IFERROR(VLOOKUP(B3568,'SB1'!$A$2:$C$999999,3,FALSE),"")</f>
        <v>503</v>
      </c>
      <c r="G3568" s="3" t="e">
        <f t="shared" si="123"/>
        <v>#VALUE!</v>
      </c>
      <c r="H3568" s="3" t="e">
        <f t="shared" si="122"/>
        <v>#VALUE!</v>
      </c>
      <c r="I3568" s="1">
        <v>1</v>
      </c>
    </row>
    <row r="3569" spans="1:9" x14ac:dyDescent="0.25">
      <c r="A3569" s="1" t="s">
        <v>14435</v>
      </c>
      <c r="B3569" s="1" t="s">
        <v>10663</v>
      </c>
      <c r="C3569" s="1" t="str">
        <f>IFERROR(VLOOKUP(B3569,'SB1'!$A$2:$B$999999,2,FALSE),"")</f>
        <v>ESMALTE POLIURETANO FAST-GUARD VANGUARD  TRANSPARENTE X  3</v>
      </c>
      <c r="D3569" s="1" t="s">
        <v>14506</v>
      </c>
      <c r="E3569" s="3">
        <f>IFERROR(VLOOKUP(B3569,'DA1'!$B$2:$D$999999,3,FALSE),"")</f>
      </c>
      <c r="F3569" s="1" t="str">
        <f>IFERROR(VLOOKUP(B3569,'SB1'!$A$2:$C$999999,3,FALSE),"")</f>
        <v>503</v>
      </c>
      <c r="G3569" s="3" t="e">
        <f t="shared" si="123"/>
        <v>#VALUE!</v>
      </c>
      <c r="H3569" s="3" t="e">
        <f t="shared" si="122"/>
        <v>#VALUE!</v>
      </c>
      <c r="I3569" s="1">
        <v>1</v>
      </c>
    </row>
    <row r="3570" spans="1:9" x14ac:dyDescent="0.25">
      <c r="A3570" s="1" t="s">
        <v>14435</v>
      </c>
      <c r="B3570" s="1" t="s">
        <v>10665</v>
      </c>
      <c r="C3570" s="1" t="str">
        <f>IFERROR(VLOOKUP(B3570,'SB1'!$A$2:$B$999999,2,FALSE),"")</f>
        <v>ESMALTE POLIURETANO FAST-GUARD VANGUARD  TRANSPARENTE X 15</v>
      </c>
      <c r="D3570" s="1" t="s">
        <v>14506</v>
      </c>
      <c r="E3570" s="3">
        <f>IFERROR(VLOOKUP(B3570,'DA1'!$B$2:$D$999999,3,FALSE),"")</f>
      </c>
      <c r="F3570" s="1" t="str">
        <f>IFERROR(VLOOKUP(B3570,'SB1'!$A$2:$C$999999,3,FALSE),"")</f>
        <v>503</v>
      </c>
      <c r="G3570" s="3" t="e">
        <f t="shared" si="123"/>
        <v>#VALUE!</v>
      </c>
      <c r="H3570" s="3" t="e">
        <f t="shared" si="122"/>
        <v>#VALUE!</v>
      </c>
      <c r="I3570" s="1">
        <v>1</v>
      </c>
    </row>
    <row r="3571" spans="1:9" x14ac:dyDescent="0.25">
      <c r="A3571" s="1" t="s">
        <v>14435</v>
      </c>
      <c r="B3571" s="1" t="s">
        <v>10667</v>
      </c>
      <c r="C3571" s="1" t="str">
        <f>IFERROR(VLOOKUP(B3571,'SB1'!$A$2:$B$999999,2,FALSE),"")</f>
        <v>ESMALTE POLIURETANO FAST-GUARD VANGUARD  BLANCO X  3,7</v>
      </c>
      <c r="D3571" s="1" t="s">
        <v>14506</v>
      </c>
      <c r="E3571" s="3">
        <f>IFERROR(VLOOKUP(B3571,'DA1'!$B$2:$D$999999,3,FALSE),"")</f>
      </c>
      <c r="F3571" s="1" t="str">
        <f>IFERROR(VLOOKUP(B3571,'SB1'!$A$2:$C$999999,3,FALSE),"")</f>
        <v>503</v>
      </c>
      <c r="G3571" s="3" t="e">
        <f t="shared" si="123"/>
        <v>#VALUE!</v>
      </c>
      <c r="H3571" s="3" t="e">
        <f t="shared" si="122"/>
        <v>#VALUE!</v>
      </c>
      <c r="I3571" s="1">
        <v>1</v>
      </c>
    </row>
    <row r="3572" spans="1:9" x14ac:dyDescent="0.25">
      <c r="A3572" s="1" t="s">
        <v>14435</v>
      </c>
      <c r="B3572" s="1" t="s">
        <v>10669</v>
      </c>
      <c r="C3572" s="1" t="str">
        <f>IFERROR(VLOOKUP(B3572,'SB1'!$A$2:$B$999999,2,FALSE),"")</f>
        <v>ESMALTE POLIURETANO FAST-GUARD VANGUARD  BLANCO X 18,5</v>
      </c>
      <c r="D3572" s="1" t="s">
        <v>14506</v>
      </c>
      <c r="E3572" s="3">
        <f>IFERROR(VLOOKUP(B3572,'DA1'!$B$2:$D$999999,3,FALSE),"")</f>
      </c>
      <c r="F3572" s="1" t="str">
        <f>IFERROR(VLOOKUP(B3572,'SB1'!$A$2:$C$999999,3,FALSE),"")</f>
        <v>503</v>
      </c>
      <c r="G3572" s="3" t="e">
        <f t="shared" si="123"/>
        <v>#VALUE!</v>
      </c>
      <c r="H3572" s="3" t="e">
        <f t="shared" si="122"/>
        <v>#VALUE!</v>
      </c>
      <c r="I3572" s="1">
        <v>1</v>
      </c>
    </row>
    <row r="3573" spans="1:9" x14ac:dyDescent="0.25">
      <c r="A3573" s="1" t="s">
        <v>14435</v>
      </c>
      <c r="B3573" s="1" t="s">
        <v>10671</v>
      </c>
      <c r="C3573" s="1" t="str">
        <f>IFERROR(VLOOKUP(B3573,'SB1'!$A$2:$B$999999,2,FALSE),"")</f>
        <v>ESMALTE POLIURETANO ALTO BRILLO VANGUARD  TRANSPARENTE X  3,2</v>
      </c>
      <c r="D3573" s="1" t="s">
        <v>14506</v>
      </c>
      <c r="E3573" s="3">
        <f>IFERROR(VLOOKUP(B3573,'DA1'!$B$2:$D$999999,3,FALSE),"")</f>
      </c>
      <c r="F3573" s="1" t="str">
        <f>IFERROR(VLOOKUP(B3573,'SB1'!$A$2:$C$999999,3,FALSE),"")</f>
        <v>503</v>
      </c>
      <c r="G3573" s="3" t="e">
        <f t="shared" si="123"/>
        <v>#VALUE!</v>
      </c>
      <c r="H3573" s="3" t="e">
        <f t="shared" si="122"/>
        <v>#VALUE!</v>
      </c>
      <c r="I3573" s="1">
        <v>1</v>
      </c>
    </row>
    <row r="3574" spans="1:9" x14ac:dyDescent="0.25">
      <c r="A3574" s="1" t="s">
        <v>14435</v>
      </c>
      <c r="B3574" s="1" t="s">
        <v>10673</v>
      </c>
      <c r="C3574" s="1" t="str">
        <f>IFERROR(VLOOKUP(B3574,'SB1'!$A$2:$B$999999,2,FALSE),"")</f>
        <v>ESMALTE POLIURETANO ALTO BRILLO VANGUARD  TRANSPARENTE X 16</v>
      </c>
      <c r="D3574" s="1" t="s">
        <v>14506</v>
      </c>
      <c r="E3574" s="3">
        <f>IFERROR(VLOOKUP(B3574,'DA1'!$B$2:$D$999999,3,FALSE),"")</f>
      </c>
      <c r="F3574" s="1" t="str">
        <f>IFERROR(VLOOKUP(B3574,'SB1'!$A$2:$C$999999,3,FALSE),"")</f>
        <v>503</v>
      </c>
      <c r="G3574" s="3" t="e">
        <f t="shared" si="123"/>
        <v>#VALUE!</v>
      </c>
      <c r="H3574" s="3" t="e">
        <f t="shared" si="122"/>
        <v>#VALUE!</v>
      </c>
      <c r="I3574" s="1">
        <v>1</v>
      </c>
    </row>
    <row r="3575" spans="1:9" x14ac:dyDescent="0.25">
      <c r="A3575" s="1" t="s">
        <v>14435</v>
      </c>
      <c r="B3575" s="1" t="s">
        <v>10675</v>
      </c>
      <c r="C3575" s="1" t="str">
        <f>IFERROR(VLOOKUP(B3575,'SB1'!$A$2:$B$999999,2,FALSE),"")</f>
        <v>ESMALTE POLIURETANO ALTO BRILLO VANGUARD  BLANCO X  3,2</v>
      </c>
      <c r="D3575" s="1" t="s">
        <v>14506</v>
      </c>
      <c r="E3575" s="3">
        <f>IFERROR(VLOOKUP(B3575,'DA1'!$B$2:$D$999999,3,FALSE),"")</f>
      </c>
      <c r="F3575" s="1" t="str">
        <f>IFERROR(VLOOKUP(B3575,'SB1'!$A$2:$C$999999,3,FALSE),"")</f>
        <v>503</v>
      </c>
      <c r="G3575" s="3" t="e">
        <f t="shared" si="123"/>
        <v>#VALUE!</v>
      </c>
      <c r="H3575" s="3" t="e">
        <f t="shared" si="122"/>
        <v>#VALUE!</v>
      </c>
      <c r="I3575" s="1">
        <v>1</v>
      </c>
    </row>
    <row r="3576" spans="1:9" x14ac:dyDescent="0.25">
      <c r="A3576" s="1" t="s">
        <v>14435</v>
      </c>
      <c r="B3576" s="1" t="s">
        <v>10677</v>
      </c>
      <c r="C3576" s="1" t="str">
        <f>IFERROR(VLOOKUP(B3576,'SB1'!$A$2:$B$999999,2,FALSE),"")</f>
        <v>ESMALTE POLIURETANO ALTO BRILLO VANGUARD  BLANCO X 16</v>
      </c>
      <c r="D3576" s="1" t="s">
        <v>14506</v>
      </c>
      <c r="E3576" s="3">
        <f>IFERROR(VLOOKUP(B3576,'DA1'!$B$2:$D$999999,3,FALSE),"")</f>
      </c>
      <c r="F3576" s="1" t="str">
        <f>IFERROR(VLOOKUP(B3576,'SB1'!$A$2:$C$999999,3,FALSE),"")</f>
        <v>503</v>
      </c>
      <c r="G3576" s="3" t="e">
        <f t="shared" si="123"/>
        <v>#VALUE!</v>
      </c>
      <c r="H3576" s="3" t="e">
        <f t="shared" si="122"/>
        <v>#VALUE!</v>
      </c>
      <c r="I3576" s="1">
        <v>1</v>
      </c>
    </row>
    <row r="3577" spans="1:9" x14ac:dyDescent="0.25">
      <c r="A3577" s="1" t="s">
        <v>14435</v>
      </c>
      <c r="B3577" s="1" t="s">
        <v>10679</v>
      </c>
      <c r="C3577" s="1" t="str">
        <f>IFERROR(VLOOKUP(B3577,'SB1'!$A$2:$B$999999,2,FALSE),"")</f>
        <v>CONVERTIDOR PARA POLIURETANO VANGUARD X  0,800</v>
      </c>
      <c r="D3577" s="1" t="s">
        <v>14506</v>
      </c>
      <c r="E3577" s="3">
        <f>IFERROR(VLOOKUP(B3577,'DA1'!$B$2:$D$999999,3,FALSE),"")</f>
      </c>
      <c r="F3577" s="1" t="str">
        <f>IFERROR(VLOOKUP(B3577,'SB1'!$A$2:$C$999999,3,FALSE),"")</f>
        <v>503</v>
      </c>
      <c r="G3577" s="3" t="e">
        <f t="shared" si="123"/>
        <v>#VALUE!</v>
      </c>
      <c r="H3577" s="3" t="e">
        <f t="shared" si="122"/>
        <v>#VALUE!</v>
      </c>
      <c r="I3577" s="1">
        <v>1</v>
      </c>
    </row>
    <row r="3578" spans="1:9" x14ac:dyDescent="0.25">
      <c r="A3578" s="1" t="s">
        <v>14435</v>
      </c>
      <c r="B3578" s="1" t="s">
        <v>10681</v>
      </c>
      <c r="C3578" s="1" t="str">
        <f>IFERROR(VLOOKUP(B3578,'SB1'!$A$2:$B$999999,2,FALSE),"")</f>
        <v>CONVERTIDOR PARA POLIURETANO VANGUARD X  1</v>
      </c>
      <c r="D3578" s="1" t="s">
        <v>14506</v>
      </c>
      <c r="E3578" s="3">
        <f>IFERROR(VLOOKUP(B3578,'DA1'!$B$2:$D$999999,3,FALSE),"")</f>
      </c>
      <c r="F3578" s="1" t="str">
        <f>IFERROR(VLOOKUP(B3578,'SB1'!$A$2:$C$999999,3,FALSE),"")</f>
        <v>503</v>
      </c>
      <c r="G3578" s="3" t="e">
        <f t="shared" si="123"/>
        <v>#VALUE!</v>
      </c>
      <c r="H3578" s="3" t="e">
        <f t="shared" si="122"/>
        <v>#VALUE!</v>
      </c>
      <c r="I3578" s="1">
        <v>1</v>
      </c>
    </row>
    <row r="3579" spans="1:9" x14ac:dyDescent="0.25">
      <c r="A3579" s="1" t="s">
        <v>14435</v>
      </c>
      <c r="B3579" s="1" t="s">
        <v>10683</v>
      </c>
      <c r="C3579" s="1" t="str">
        <f>IFERROR(VLOOKUP(B3579,'SB1'!$A$2:$B$999999,2,FALSE),"")</f>
        <v>CONVERTIDOR PARA POLIURETANO VANGUARD X  4</v>
      </c>
      <c r="D3579" s="1" t="s">
        <v>14506</v>
      </c>
      <c r="E3579" s="3">
        <f>IFERROR(VLOOKUP(B3579,'DA1'!$B$2:$D$999999,3,FALSE),"")</f>
      </c>
      <c r="F3579" s="1" t="str">
        <f>IFERROR(VLOOKUP(B3579,'SB1'!$A$2:$C$999999,3,FALSE),"")</f>
        <v>503</v>
      </c>
      <c r="G3579" s="3" t="e">
        <f t="shared" si="123"/>
        <v>#VALUE!</v>
      </c>
      <c r="H3579" s="3" t="e">
        <f t="shared" si="122"/>
        <v>#VALUE!</v>
      </c>
      <c r="I3579" s="1">
        <v>1</v>
      </c>
    </row>
    <row r="3580" spans="1:9" x14ac:dyDescent="0.25">
      <c r="A3580" s="1" t="s">
        <v>14435</v>
      </c>
      <c r="B3580" s="1" t="s">
        <v>10685</v>
      </c>
      <c r="C3580" s="1" t="str">
        <f>IFERROR(VLOOKUP(B3580,'SB1'!$A$2:$B$999999,2,FALSE),"")</f>
        <v>CONVERTIDOR PARA POLIURETANO VANGUARD X 20</v>
      </c>
      <c r="D3580" s="1" t="s">
        <v>14506</v>
      </c>
      <c r="E3580" s="3">
        <f>IFERROR(VLOOKUP(B3580,'DA1'!$B$2:$D$999999,3,FALSE),"")</f>
      </c>
      <c r="F3580" s="1" t="str">
        <f>IFERROR(VLOOKUP(B3580,'SB1'!$A$2:$C$999999,3,FALSE),"")</f>
        <v>503</v>
      </c>
      <c r="G3580" s="3" t="e">
        <f t="shared" si="123"/>
        <v>#VALUE!</v>
      </c>
      <c r="H3580" s="3" t="e">
        <f t="shared" si="122"/>
        <v>#VALUE!</v>
      </c>
      <c r="I3580" s="1">
        <v>1</v>
      </c>
    </row>
    <row r="3581" spans="1:9" x14ac:dyDescent="0.25">
      <c r="A3581" s="1" t="s">
        <v>14435</v>
      </c>
      <c r="B3581" s="1" t="s">
        <v>10687</v>
      </c>
      <c r="C3581" s="1" t="str">
        <f>IFERROR(VLOOKUP(B3581,'SB1'!$A$2:$B$999999,2,FALSE),"")</f>
        <v>FONDO ANTIOXIDO TERSUAVE MATE VERDE X  1</v>
      </c>
      <c r="D3581" s="1" t="s">
        <v>14437</v>
      </c>
      <c r="E3581" s="3">
        <f>IFERROR(VLOOKUP(B3581,'DA1'!$B$2:$D$999999,3,FALSE),"")</f>
      </c>
      <c r="F3581" s="1" t="str">
        <f>IFERROR(VLOOKUP(B3581,'SB1'!$A$2:$C$999999,3,FALSE),"")</f>
        <v>503</v>
      </c>
      <c r="G3581" s="3" t="e">
        <f t="shared" si="123"/>
        <v>#VALUE!</v>
      </c>
      <c r="H3581" s="3" t="e">
        <f t="shared" si="122"/>
        <v>#VALUE!</v>
      </c>
      <c r="I3581" s="1">
        <v>1</v>
      </c>
    </row>
    <row r="3582" spans="1:9" x14ac:dyDescent="0.25">
      <c r="A3582" s="1" t="s">
        <v>14435</v>
      </c>
      <c r="B3582" s="1" t="s">
        <v>10689</v>
      </c>
      <c r="C3582" s="1" t="str">
        <f>IFERROR(VLOOKUP(B3582,'SB1'!$A$2:$B$999999,2,FALSE),"")</f>
        <v>CONCENTRADO VANGUARD BLANCO X 4</v>
      </c>
      <c r="D3582" s="1" t="s">
        <v>14506</v>
      </c>
      <c r="E3582" s="3">
        <f>IFERROR(VLOOKUP(B3582,'DA1'!$B$2:$D$999999,3,FALSE),"")</f>
      </c>
      <c r="F3582" s="1" t="str">
        <f>IFERROR(VLOOKUP(B3582,'SB1'!$A$2:$C$999999,3,FALSE),"")</f>
        <v>503</v>
      </c>
      <c r="G3582" s="3" t="e">
        <f t="shared" si="123"/>
        <v>#VALUE!</v>
      </c>
      <c r="H3582" s="3" t="e">
        <f t="shared" ref="H3582:H3645" si="124">G3582*1.21</f>
        <v>#VALUE!</v>
      </c>
      <c r="I3582" s="1">
        <v>1</v>
      </c>
    </row>
    <row r="3583" spans="1:9" x14ac:dyDescent="0.25">
      <c r="A3583" s="1" t="s">
        <v>14435</v>
      </c>
      <c r="B3583" s="1" t="s">
        <v>10691</v>
      </c>
      <c r="C3583" s="1" t="str">
        <f>IFERROR(VLOOKUP(B3583,'SB1'!$A$2:$B$999999,2,FALSE),"")</f>
        <v>CONCENTRADO VANGUARD AMARILLO OXIDO X 4</v>
      </c>
      <c r="D3583" s="1" t="s">
        <v>14506</v>
      </c>
      <c r="E3583" s="3">
        <f>IFERROR(VLOOKUP(B3583,'DA1'!$B$2:$D$999999,3,FALSE),"")</f>
      </c>
      <c r="F3583" s="1" t="str">
        <f>IFERROR(VLOOKUP(B3583,'SB1'!$A$2:$C$999999,3,FALSE),"")</f>
        <v>503</v>
      </c>
      <c r="G3583" s="3" t="e">
        <f t="shared" si="123"/>
        <v>#VALUE!</v>
      </c>
      <c r="H3583" s="3" t="e">
        <f t="shared" si="124"/>
        <v>#VALUE!</v>
      </c>
      <c r="I3583" s="1">
        <v>1</v>
      </c>
    </row>
    <row r="3584" spans="1:9" x14ac:dyDescent="0.25">
      <c r="A3584" s="1" t="s">
        <v>14435</v>
      </c>
      <c r="B3584" s="1" t="s">
        <v>10693</v>
      </c>
      <c r="C3584" s="1" t="str">
        <f>IFERROR(VLOOKUP(B3584,'SB1'!$A$2:$B$999999,2,FALSE),"")</f>
        <v>CONCENTRADO VANGUARD ROJO OXIDO X 4</v>
      </c>
      <c r="D3584" s="1" t="s">
        <v>14506</v>
      </c>
      <c r="E3584" s="3">
        <f>IFERROR(VLOOKUP(B3584,'DA1'!$B$2:$D$999999,3,FALSE),"")</f>
      </c>
      <c r="F3584" s="1" t="str">
        <f>IFERROR(VLOOKUP(B3584,'SB1'!$A$2:$C$999999,3,FALSE),"")</f>
        <v>503</v>
      </c>
      <c r="G3584" s="3" t="e">
        <f t="shared" si="123"/>
        <v>#VALUE!</v>
      </c>
      <c r="H3584" s="3" t="e">
        <f t="shared" si="124"/>
        <v>#VALUE!</v>
      </c>
      <c r="I3584" s="1">
        <v>1</v>
      </c>
    </row>
    <row r="3585" spans="1:9" x14ac:dyDescent="0.25">
      <c r="A3585" s="1" t="s">
        <v>14435</v>
      </c>
      <c r="B3585" s="1" t="s">
        <v>10695</v>
      </c>
      <c r="C3585" s="1" t="str">
        <f>IFERROR(VLOOKUP(B3585,'SB1'!$A$2:$B$999999,2,FALSE),"")</f>
        <v>CONCENTRADO VANGUARD VERDE FTALO X 4</v>
      </c>
      <c r="D3585" s="1" t="s">
        <v>14506</v>
      </c>
      <c r="E3585" s="3">
        <f>IFERROR(VLOOKUP(B3585,'DA1'!$B$2:$D$999999,3,FALSE),"")</f>
      </c>
      <c r="F3585" s="1" t="str">
        <f>IFERROR(VLOOKUP(B3585,'SB1'!$A$2:$C$999999,3,FALSE),"")</f>
        <v>503</v>
      </c>
      <c r="G3585" s="3" t="e">
        <f t="shared" si="123"/>
        <v>#VALUE!</v>
      </c>
      <c r="H3585" s="3" t="e">
        <f t="shared" si="124"/>
        <v>#VALUE!</v>
      </c>
      <c r="I3585" s="1">
        <v>1</v>
      </c>
    </row>
    <row r="3586" spans="1:9" x14ac:dyDescent="0.25">
      <c r="A3586" s="1" t="s">
        <v>14435</v>
      </c>
      <c r="B3586" s="1" t="s">
        <v>10697</v>
      </c>
      <c r="C3586" s="1" t="str">
        <f>IFERROR(VLOOKUP(B3586,'SB1'!$A$2:$B$999999,2,FALSE),"")</f>
        <v>CONCENTRADO VANGUARD NEGRO X 4</v>
      </c>
      <c r="D3586" s="1" t="s">
        <v>14506</v>
      </c>
      <c r="E3586" s="3">
        <f>IFERROR(VLOOKUP(B3586,'DA1'!$B$2:$D$999999,3,FALSE),"")</f>
      </c>
      <c r="F3586" s="1" t="str">
        <f>IFERROR(VLOOKUP(B3586,'SB1'!$A$2:$C$999999,3,FALSE),"")</f>
        <v>503</v>
      </c>
      <c r="G3586" s="3" t="e">
        <f t="shared" si="123"/>
        <v>#VALUE!</v>
      </c>
      <c r="H3586" s="3" t="e">
        <f t="shared" si="124"/>
        <v>#VALUE!</v>
      </c>
      <c r="I3586" s="1">
        <v>1</v>
      </c>
    </row>
    <row r="3587" spans="1:9" x14ac:dyDescent="0.25">
      <c r="A3587" s="1" t="s">
        <v>14435</v>
      </c>
      <c r="B3587" s="1" t="s">
        <v>10699</v>
      </c>
      <c r="C3587" s="1" t="str">
        <f>IFERROR(VLOOKUP(B3587,'SB1'!$A$2:$B$999999,2,FALSE),"")</f>
        <v>CONCENTRADO VANGUARD NEUTRO X 4</v>
      </c>
      <c r="D3587" s="1" t="s">
        <v>14506</v>
      </c>
      <c r="E3587" s="3">
        <f>IFERROR(VLOOKUP(B3587,'DA1'!$B$2:$D$999999,3,FALSE),"")</f>
      </c>
      <c r="F3587" s="1" t="str">
        <f>IFERROR(VLOOKUP(B3587,'SB1'!$A$2:$C$999999,3,FALSE),"")</f>
        <v>503</v>
      </c>
      <c r="G3587" s="3" t="e">
        <f t="shared" ref="G3587:G3650" si="125">E3587*1.04</f>
        <v>#VALUE!</v>
      </c>
      <c r="H3587" s="3" t="e">
        <f t="shared" si="124"/>
        <v>#VALUE!</v>
      </c>
      <c r="I3587" s="1">
        <v>1</v>
      </c>
    </row>
    <row r="3588" spans="1:9" x14ac:dyDescent="0.25">
      <c r="A3588" s="1" t="s">
        <v>14435</v>
      </c>
      <c r="B3588" s="1" t="s">
        <v>10701</v>
      </c>
      <c r="C3588" s="1" t="str">
        <f>IFERROR(VLOOKUP(B3588,'SB1'!$A$2:$B$999999,2,FALSE),"")</f>
        <v>CONCENTRADO VANGUARD AMARILLO MEDIO X 4</v>
      </c>
      <c r="D3588" s="1" t="s">
        <v>14506</v>
      </c>
      <c r="E3588" s="3">
        <f>IFERROR(VLOOKUP(B3588,'DA1'!$B$2:$D$999999,3,FALSE),"")</f>
      </c>
      <c r="F3588" s="1" t="str">
        <f>IFERROR(VLOOKUP(B3588,'SB1'!$A$2:$C$999999,3,FALSE),"")</f>
        <v>503</v>
      </c>
      <c r="G3588" s="3" t="e">
        <f t="shared" si="125"/>
        <v>#VALUE!</v>
      </c>
      <c r="H3588" s="3" t="e">
        <f t="shared" si="124"/>
        <v>#VALUE!</v>
      </c>
      <c r="I3588" s="1">
        <v>1</v>
      </c>
    </row>
    <row r="3589" spans="1:9" x14ac:dyDescent="0.25">
      <c r="A3589" s="1" t="s">
        <v>14435</v>
      </c>
      <c r="B3589" s="1" t="s">
        <v>10703</v>
      </c>
      <c r="C3589" s="1" t="str">
        <f>IFERROR(VLOOKUP(B3589,'SB1'!$A$2:$B$999999,2,FALSE),"")</f>
        <v>CONCENTRADO VANGUARD ROJO CLARO X 4</v>
      </c>
      <c r="D3589" s="1" t="s">
        <v>14506</v>
      </c>
      <c r="E3589" s="3">
        <f>IFERROR(VLOOKUP(B3589,'DA1'!$B$2:$D$999999,3,FALSE),"")</f>
      </c>
      <c r="F3589" s="1" t="str">
        <f>IFERROR(VLOOKUP(B3589,'SB1'!$A$2:$C$999999,3,FALSE),"")</f>
        <v>503</v>
      </c>
      <c r="G3589" s="3" t="e">
        <f t="shared" si="125"/>
        <v>#VALUE!</v>
      </c>
      <c r="H3589" s="3" t="e">
        <f t="shared" si="124"/>
        <v>#VALUE!</v>
      </c>
      <c r="I3589" s="1">
        <v>1</v>
      </c>
    </row>
    <row r="3590" spans="1:9" x14ac:dyDescent="0.25">
      <c r="A3590" s="1" t="s">
        <v>14435</v>
      </c>
      <c r="B3590" s="1" t="s">
        <v>10705</v>
      </c>
      <c r="C3590" s="1" t="str">
        <f>IFERROR(VLOOKUP(B3590,'SB1'!$A$2:$B$999999,2,FALSE),"")</f>
        <v>CONCENTRADO VANGUARD AZUL FTALO X 4</v>
      </c>
      <c r="D3590" s="1" t="s">
        <v>14506</v>
      </c>
      <c r="E3590" s="3">
        <f>IFERROR(VLOOKUP(B3590,'DA1'!$B$2:$D$999999,3,FALSE),"")</f>
      </c>
      <c r="F3590" s="1" t="str">
        <f>IFERROR(VLOOKUP(B3590,'SB1'!$A$2:$C$999999,3,FALSE),"")</f>
        <v>503</v>
      </c>
      <c r="G3590" s="3" t="e">
        <f t="shared" si="125"/>
        <v>#VALUE!</v>
      </c>
      <c r="H3590" s="3" t="e">
        <f t="shared" si="124"/>
        <v>#VALUE!</v>
      </c>
      <c r="I3590" s="1">
        <v>1</v>
      </c>
    </row>
    <row r="3591" spans="1:9" x14ac:dyDescent="0.25">
      <c r="A3591" s="1" t="s">
        <v>14435</v>
      </c>
      <c r="B3591" s="1" t="s">
        <v>10707</v>
      </c>
      <c r="C3591" s="1" t="str">
        <f>IFERROR(VLOOKUP(B3591,'SB1'!$A$2:$B$999999,2,FALSE),"")</f>
        <v>CONCENTRADO VANGUARD ROJO SOLIDO X 4</v>
      </c>
      <c r="D3591" s="1" t="s">
        <v>14506</v>
      </c>
      <c r="E3591" s="3">
        <f>IFERROR(VLOOKUP(B3591,'DA1'!$B$2:$D$999999,3,FALSE),"")</f>
      </c>
      <c r="F3591" s="1" t="str">
        <f>IFERROR(VLOOKUP(B3591,'SB1'!$A$2:$C$999999,3,FALSE),"")</f>
        <v>503</v>
      </c>
      <c r="G3591" s="3" t="e">
        <f t="shared" si="125"/>
        <v>#VALUE!</v>
      </c>
      <c r="H3591" s="3" t="e">
        <f t="shared" si="124"/>
        <v>#VALUE!</v>
      </c>
      <c r="I3591" s="1">
        <v>1</v>
      </c>
    </row>
    <row r="3592" spans="1:9" x14ac:dyDescent="0.25">
      <c r="A3592" s="1" t="s">
        <v>14435</v>
      </c>
      <c r="B3592" s="1" t="s">
        <v>10709</v>
      </c>
      <c r="C3592" s="1" t="str">
        <f>IFERROR(VLOOKUP(B3592,'SB1'!$A$2:$B$999999,2,FALSE),"")</f>
        <v>CONCENTRADO VANGUARD AMARILLO LIMON X 4</v>
      </c>
      <c r="D3592" s="1" t="s">
        <v>14506</v>
      </c>
      <c r="E3592" s="3">
        <f>IFERROR(VLOOKUP(B3592,'DA1'!$B$2:$D$999999,3,FALSE),"")</f>
      </c>
      <c r="F3592" s="1" t="str">
        <f>IFERROR(VLOOKUP(B3592,'SB1'!$A$2:$C$999999,3,FALSE),"")</f>
        <v>503</v>
      </c>
      <c r="G3592" s="3" t="e">
        <f t="shared" si="125"/>
        <v>#VALUE!</v>
      </c>
      <c r="H3592" s="3" t="e">
        <f t="shared" si="124"/>
        <v>#VALUE!</v>
      </c>
      <c r="I3592" s="1">
        <v>1</v>
      </c>
    </row>
    <row r="3593" spans="1:9" x14ac:dyDescent="0.25">
      <c r="A3593" s="1" t="s">
        <v>14435</v>
      </c>
      <c r="B3593" s="1" t="s">
        <v>10711</v>
      </c>
      <c r="C3593" s="1" t="str">
        <f>IFERROR(VLOOKUP(B3593,'SB1'!$A$2:$B$999999,2,FALSE),"")</f>
        <v>CONCENTRADO VANGUARD ROJO OSCURO X 4</v>
      </c>
      <c r="D3593" s="1" t="s">
        <v>14506</v>
      </c>
      <c r="E3593" s="3">
        <f>IFERROR(VLOOKUP(B3593,'DA1'!$B$2:$D$999999,3,FALSE),"")</f>
      </c>
      <c r="F3593" s="1" t="str">
        <f>IFERROR(VLOOKUP(B3593,'SB1'!$A$2:$C$999999,3,FALSE),"")</f>
        <v>503</v>
      </c>
      <c r="G3593" s="3" t="e">
        <f t="shared" si="125"/>
        <v>#VALUE!</v>
      </c>
      <c r="H3593" s="3" t="e">
        <f t="shared" si="124"/>
        <v>#VALUE!</v>
      </c>
      <c r="I3593" s="1">
        <v>1</v>
      </c>
    </row>
    <row r="3594" spans="1:9" x14ac:dyDescent="0.25">
      <c r="A3594" s="1" t="s">
        <v>14435</v>
      </c>
      <c r="B3594" s="1" t="s">
        <v>10713</v>
      </c>
      <c r="C3594" s="1" t="str">
        <f>IFERROR(VLOOKUP(B3594,'SB1'!$A$2:$B$999999,2,FALSE),"")</f>
        <v>CONCENTRADO VANGUARD NARANJA X 4</v>
      </c>
      <c r="D3594" s="1" t="s">
        <v>14506</v>
      </c>
      <c r="E3594" s="3">
        <f>IFERROR(VLOOKUP(B3594,'DA1'!$B$2:$D$999999,3,FALSE),"")</f>
      </c>
      <c r="F3594" s="1" t="str">
        <f>IFERROR(VLOOKUP(B3594,'SB1'!$A$2:$C$999999,3,FALSE),"")</f>
        <v>503</v>
      </c>
      <c r="G3594" s="3" t="e">
        <f t="shared" si="125"/>
        <v>#VALUE!</v>
      </c>
      <c r="H3594" s="3" t="e">
        <f t="shared" si="124"/>
        <v>#VALUE!</v>
      </c>
      <c r="I3594" s="1">
        <v>1</v>
      </c>
    </row>
    <row r="3595" spans="1:9" x14ac:dyDescent="0.25">
      <c r="A3595" s="1" t="s">
        <v>14435</v>
      </c>
      <c r="B3595" s="1" t="s">
        <v>10715</v>
      </c>
      <c r="C3595" s="1" t="str">
        <f>IFERROR(VLOOKUP(B3595,'SB1'!$A$2:$B$999999,2,FALSE),"")</f>
        <v>CONCENTRADO VANGUARD VIOLETA X 4</v>
      </c>
      <c r="D3595" s="1" t="s">
        <v>14506</v>
      </c>
      <c r="E3595" s="3">
        <f>IFERROR(VLOOKUP(B3595,'DA1'!$B$2:$D$999999,3,FALSE),"")</f>
      </c>
      <c r="F3595" s="1" t="str">
        <f>IFERROR(VLOOKUP(B3595,'SB1'!$A$2:$C$999999,3,FALSE),"")</f>
        <v>503</v>
      </c>
      <c r="G3595" s="3" t="e">
        <f t="shared" si="125"/>
        <v>#VALUE!</v>
      </c>
      <c r="H3595" s="3" t="e">
        <f t="shared" si="124"/>
        <v>#VALUE!</v>
      </c>
      <c r="I3595" s="1">
        <v>1</v>
      </c>
    </row>
    <row r="3596" spans="1:9" x14ac:dyDescent="0.25">
      <c r="A3596" s="1" t="s">
        <v>14435</v>
      </c>
      <c r="B3596" s="1" t="s">
        <v>10717</v>
      </c>
      <c r="C3596" s="1" t="str">
        <f>IFERROR(VLOOKUP(B3596,'SB1'!$A$2:$B$999999,2,FALSE),"")</f>
        <v>ESMALTE SINTETICO EXTRA RAPIDO VANGUARD ALUMINIO X 20</v>
      </c>
      <c r="D3596" s="1" t="s">
        <v>14506</v>
      </c>
      <c r="E3596" s="3">
        <f>IFERROR(VLOOKUP(B3596,'DA1'!$B$2:$D$999999,3,FALSE),"")</f>
      </c>
      <c r="F3596" s="1" t="str">
        <f>IFERROR(VLOOKUP(B3596,'SB1'!$A$2:$C$999999,3,FALSE),"")</f>
        <v>503</v>
      </c>
      <c r="G3596" s="3" t="e">
        <f t="shared" si="125"/>
        <v>#VALUE!</v>
      </c>
      <c r="H3596" s="3" t="e">
        <f t="shared" si="124"/>
        <v>#VALUE!</v>
      </c>
      <c r="I3596" s="1">
        <v>1</v>
      </c>
    </row>
    <row r="3597" spans="1:9" x14ac:dyDescent="0.25">
      <c r="A3597" s="1" t="s">
        <v>14435</v>
      </c>
      <c r="B3597" s="1" t="s">
        <v>10719</v>
      </c>
      <c r="C3597" s="1" t="str">
        <f>IFERROR(VLOOKUP(B3597,'SB1'!$A$2:$B$999999,2,FALSE),"")</f>
        <v>DILUYENTE LIVIANO 08 P/ ESM. PU VANGUARD X 20</v>
      </c>
      <c r="D3597" s="1" t="s">
        <v>14506</v>
      </c>
      <c r="E3597" s="3">
        <f>IFERROR(VLOOKUP(B3597,'DA1'!$B$2:$D$999999,3,FALSE),"")</f>
      </c>
      <c r="F3597" s="1" t="str">
        <f>IFERROR(VLOOKUP(B3597,'SB1'!$A$2:$C$999999,3,FALSE),"")</f>
        <v>503</v>
      </c>
      <c r="G3597" s="3" t="e">
        <f t="shared" si="125"/>
        <v>#VALUE!</v>
      </c>
      <c r="H3597" s="3" t="e">
        <f t="shared" si="124"/>
        <v>#VALUE!</v>
      </c>
      <c r="I3597" s="1">
        <v>1</v>
      </c>
    </row>
    <row r="3598" spans="1:9" x14ac:dyDescent="0.25">
      <c r="A3598" s="1" t="s">
        <v>14435</v>
      </c>
      <c r="B3598" s="1" t="s">
        <v>10721</v>
      </c>
      <c r="C3598" s="1" t="str">
        <f>IFERROR(VLOOKUP(B3598,'SB1'!$A$2:$B$999999,2,FALSE),"")</f>
        <v>SECANTE PARA ESMALTE SINTETICO VANGUARD X 1</v>
      </c>
      <c r="D3598" s="1" t="s">
        <v>14506</v>
      </c>
      <c r="E3598" s="3">
        <f>IFERROR(VLOOKUP(B3598,'DA1'!$B$2:$D$999999,3,FALSE),"")</f>
      </c>
      <c r="F3598" s="1" t="str">
        <f>IFERROR(VLOOKUP(B3598,'SB1'!$A$2:$C$999999,3,FALSE),"")</f>
        <v>503</v>
      </c>
      <c r="G3598" s="3" t="e">
        <f t="shared" si="125"/>
        <v>#VALUE!</v>
      </c>
      <c r="H3598" s="3" t="e">
        <f t="shared" si="124"/>
        <v>#VALUE!</v>
      </c>
      <c r="I3598" s="1">
        <v>1</v>
      </c>
    </row>
    <row r="3599" spans="1:9" x14ac:dyDescent="0.25">
      <c r="A3599" s="1" t="s">
        <v>14435</v>
      </c>
      <c r="B3599" s="1" t="s">
        <v>10723</v>
      </c>
      <c r="C3599" s="1" t="str">
        <f>IFERROR(VLOOKUP(B3599,'SB1'!$A$2:$B$999999,2,FALSE),"")</f>
        <v>FONDO EPOXI VANGUARD GRIS W/W X  4</v>
      </c>
      <c r="D3599" s="1" t="s">
        <v>14506</v>
      </c>
      <c r="E3599" s="3">
        <f>IFERROR(VLOOKUP(B3599,'DA1'!$B$2:$D$999999,3,FALSE),"")</f>
      </c>
      <c r="F3599" s="1" t="str">
        <f>IFERROR(VLOOKUP(B3599,'SB1'!$A$2:$C$999999,3,FALSE),"")</f>
        <v>503</v>
      </c>
      <c r="G3599" s="3" t="e">
        <f t="shared" si="125"/>
        <v>#VALUE!</v>
      </c>
      <c r="H3599" s="3" t="e">
        <f t="shared" si="124"/>
        <v>#VALUE!</v>
      </c>
      <c r="I3599" s="1">
        <v>1</v>
      </c>
    </row>
    <row r="3600" spans="1:9" x14ac:dyDescent="0.25">
      <c r="A3600" s="1" t="s">
        <v>14435</v>
      </c>
      <c r="B3600" s="1" t="s">
        <v>10725</v>
      </c>
      <c r="C3600" s="1" t="str">
        <f>IFERROR(VLOOKUP(B3600,'SB1'!$A$2:$B$999999,2,FALSE),"")</f>
        <v>FONDO EPOXI VANGUARD GRIS W/W X 20</v>
      </c>
      <c r="D3600" s="1" t="s">
        <v>14506</v>
      </c>
      <c r="E3600" s="3">
        <f>IFERROR(VLOOKUP(B3600,'DA1'!$B$2:$D$999999,3,FALSE),"")</f>
      </c>
      <c r="F3600" s="1" t="str">
        <f>IFERROR(VLOOKUP(B3600,'SB1'!$A$2:$C$999999,3,FALSE),"")</f>
        <v>503</v>
      </c>
      <c r="G3600" s="3" t="e">
        <f t="shared" si="125"/>
        <v>#VALUE!</v>
      </c>
      <c r="H3600" s="3" t="e">
        <f t="shared" si="124"/>
        <v>#VALUE!</v>
      </c>
      <c r="I3600" s="1">
        <v>1</v>
      </c>
    </row>
    <row r="3601" spans="1:9" x14ac:dyDescent="0.25">
      <c r="A3601" s="1" t="s">
        <v>14435</v>
      </c>
      <c r="B3601" s="1" t="s">
        <v>10727</v>
      </c>
      <c r="C3601" s="1" t="str">
        <f>IFERROR(VLOOKUP(B3601,'SB1'!$A$2:$B$999999,2,FALSE),"")</f>
        <v>CONVERTIDOR P/ FONDO Y ESMALTE EPOXI VANGUARD X 0,800</v>
      </c>
      <c r="D3601" s="1" t="s">
        <v>14506</v>
      </c>
      <c r="E3601" s="3">
        <f>IFERROR(VLOOKUP(B3601,'DA1'!$B$2:$D$999999,3,FALSE),"")</f>
      </c>
      <c r="F3601" s="1" t="str">
        <f>IFERROR(VLOOKUP(B3601,'SB1'!$A$2:$C$999999,3,FALSE),"")</f>
        <v>503</v>
      </c>
      <c r="G3601" s="3" t="e">
        <f t="shared" si="125"/>
        <v>#VALUE!</v>
      </c>
      <c r="H3601" s="3" t="e">
        <f t="shared" si="124"/>
        <v>#VALUE!</v>
      </c>
      <c r="I3601" s="1">
        <v>1</v>
      </c>
    </row>
    <row r="3602" spans="1:9" x14ac:dyDescent="0.25">
      <c r="A3602" s="1" t="s">
        <v>14435</v>
      </c>
      <c r="B3602" s="1" t="s">
        <v>10729</v>
      </c>
      <c r="C3602" s="1" t="str">
        <f>IFERROR(VLOOKUP(B3602,'SB1'!$A$2:$B$999999,2,FALSE),"")</f>
        <v>CONVERTIDOR P/ FONDO Y ESMALTE EPOXI VANGUARD X 4</v>
      </c>
      <c r="D3602" s="1" t="s">
        <v>14506</v>
      </c>
      <c r="E3602" s="3">
        <f>IFERROR(VLOOKUP(B3602,'DA1'!$B$2:$D$999999,3,FALSE),"")</f>
      </c>
      <c r="F3602" s="1" t="str">
        <f>IFERROR(VLOOKUP(B3602,'SB1'!$A$2:$C$999999,3,FALSE),"")</f>
        <v>503</v>
      </c>
      <c r="G3602" s="3" t="e">
        <f t="shared" si="125"/>
        <v>#VALUE!</v>
      </c>
      <c r="H3602" s="3" t="e">
        <f t="shared" si="124"/>
        <v>#VALUE!</v>
      </c>
      <c r="I3602" s="1">
        <v>1</v>
      </c>
    </row>
    <row r="3603" spans="1:9" x14ac:dyDescent="0.25">
      <c r="A3603" s="1" t="s">
        <v>14435</v>
      </c>
      <c r="B3603" s="1" t="s">
        <v>10731</v>
      </c>
      <c r="C3603" s="1" t="str">
        <f>IFERROR(VLOOKUP(B3603,'SB1'!$A$2:$B$999999,2,FALSE),"")</f>
        <v>BROCHA DOBLE TRAGAMUROS 17X7CM(TM717)</v>
      </c>
      <c r="D3603" s="1" t="s">
        <v>14436</v>
      </c>
      <c r="E3603" s="3">
        <f>IFERROR(VLOOKUP(B3603,'DA1'!$B$2:$D$999999,3,FALSE),"")</f>
      </c>
      <c r="F3603" s="1" t="str">
        <f>IFERROR(VLOOKUP(B3603,'SB1'!$A$2:$C$999999,3,FALSE),"")</f>
        <v>503</v>
      </c>
      <c r="G3603" s="3" t="e">
        <f t="shared" si="125"/>
        <v>#VALUE!</v>
      </c>
      <c r="H3603" s="3" t="e">
        <f t="shared" si="124"/>
        <v>#VALUE!</v>
      </c>
      <c r="I3603" s="1">
        <v>1</v>
      </c>
    </row>
    <row r="3604" spans="1:9" x14ac:dyDescent="0.25">
      <c r="A3604" s="1" t="s">
        <v>14435</v>
      </c>
      <c r="B3604" s="1" t="s">
        <v>10735</v>
      </c>
      <c r="C3604" s="1" t="str">
        <f>IFERROR(VLOOKUP(B3604,'SB1'!$A$2:$B$999999,2,FALSE),"")</f>
        <v>LACA PARA PISO MADERA ROLAC HIDROLACA PETRILAC BRILLANTE X  5</v>
      </c>
      <c r="D3604" s="1" t="s">
        <v>14449</v>
      </c>
      <c r="E3604" s="3">
        <f>IFERROR(VLOOKUP(B3604,'DA1'!$B$2:$D$999999,3,FALSE),"")</f>
      </c>
      <c r="F3604" s="1" t="str">
        <f>IFERROR(VLOOKUP(B3604,'SB1'!$A$2:$C$999999,3,FALSE),"")</f>
        <v>503</v>
      </c>
      <c r="G3604" s="3" t="e">
        <f t="shared" si="125"/>
        <v>#VALUE!</v>
      </c>
      <c r="H3604" s="3" t="e">
        <f t="shared" si="124"/>
        <v>#VALUE!</v>
      </c>
      <c r="I3604" s="1">
        <v>1</v>
      </c>
    </row>
    <row r="3605" spans="1:9" x14ac:dyDescent="0.25">
      <c r="A3605" s="1" t="s">
        <v>14435</v>
      </c>
      <c r="B3605" s="1" t="s">
        <v>10737</v>
      </c>
      <c r="C3605" s="1" t="str">
        <f>IFERROR(VLOOKUP(B3605,'SB1'!$A$2:$B$999999,2,FALSE),"")</f>
        <v>LACA PARA PISO MADERA ROLAC HIDROLACA PETRILAC BRILLANTE X 10</v>
      </c>
      <c r="D3605" s="1" t="s">
        <v>14449</v>
      </c>
      <c r="E3605" s="3">
        <f>IFERROR(VLOOKUP(B3605,'DA1'!$B$2:$D$999999,3,FALSE),"")</f>
      </c>
      <c r="F3605" s="1" t="str">
        <f>IFERROR(VLOOKUP(B3605,'SB1'!$A$2:$C$999999,3,FALSE),"")</f>
        <v>503</v>
      </c>
      <c r="G3605" s="3" t="e">
        <f t="shared" si="125"/>
        <v>#VALUE!</v>
      </c>
      <c r="H3605" s="3" t="e">
        <f t="shared" si="124"/>
        <v>#VALUE!</v>
      </c>
      <c r="I3605" s="1">
        <v>1</v>
      </c>
    </row>
    <row r="3606" spans="1:9" x14ac:dyDescent="0.25">
      <c r="A3606" s="1" t="s">
        <v>14435</v>
      </c>
      <c r="B3606" s="1" t="s">
        <v>10747</v>
      </c>
      <c r="C3606" s="1" t="str">
        <f>IFERROR(VLOOKUP(B3606,'SB1'!$A$2:$B$999999,2,FALSE),"")</f>
        <v>ESMALTE SINTETICO TERSPRAY SECADO RAPIDO BLANCO X 20</v>
      </c>
      <c r="D3606" s="1" t="s">
        <v>14437</v>
      </c>
      <c r="E3606" s="3">
        <f>IFERROR(VLOOKUP(B3606,'DA1'!$B$2:$D$999999,3,FALSE),"")</f>
      </c>
      <c r="F3606" s="1" t="str">
        <f>IFERROR(VLOOKUP(B3606,'SB1'!$A$2:$C$999999,3,FALSE),"")</f>
        <v>503</v>
      </c>
      <c r="G3606" s="3" t="e">
        <f t="shared" si="125"/>
        <v>#VALUE!</v>
      </c>
      <c r="H3606" s="3" t="e">
        <f t="shared" si="124"/>
        <v>#VALUE!</v>
      </c>
      <c r="I3606" s="1">
        <v>1</v>
      </c>
    </row>
    <row r="3607" spans="1:9" x14ac:dyDescent="0.25">
      <c r="A3607" s="1" t="s">
        <v>14435</v>
      </c>
      <c r="B3607" s="1" t="s">
        <v>10765</v>
      </c>
      <c r="C3607" s="1" t="str">
        <f>IFERROR(VLOOKUP(B3607,'SB1'!$A$2:$B$999999,2,FALSE),"")</f>
        <v>LLANA LARGA PARA YESO Y MASILLA  40CM(EI400)</v>
      </c>
      <c r="D3607" s="1" t="s">
        <v>14436</v>
      </c>
      <c r="E3607" s="3">
        <f>IFERROR(VLOOKUP(B3607,'DA1'!$B$2:$D$999999,3,FALSE),"")</f>
      </c>
      <c r="F3607" s="1" t="str">
        <f>IFERROR(VLOOKUP(B3607,'SB1'!$A$2:$C$999999,3,FALSE),"")</f>
        <v>503</v>
      </c>
      <c r="G3607" s="3" t="e">
        <f t="shared" si="125"/>
        <v>#VALUE!</v>
      </c>
      <c r="H3607" s="3" t="e">
        <f t="shared" si="124"/>
        <v>#VALUE!</v>
      </c>
      <c r="I3607" s="1">
        <v>1</v>
      </c>
    </row>
    <row r="3608" spans="1:9" x14ac:dyDescent="0.25">
      <c r="A3608" s="1" t="s">
        <v>14435</v>
      </c>
      <c r="B3608" s="1" t="s">
        <v>10767</v>
      </c>
      <c r="C3608" s="1" t="str">
        <f>IFERROR(VLOOKUP(B3608,'SB1'!$A$2:$B$999999,2,FALSE),"")</f>
        <v>LLANA LARGA PARA YESO Y MASILLA  60CM(EI600)</v>
      </c>
      <c r="D3608" s="1" t="s">
        <v>14436</v>
      </c>
      <c r="E3608" s="3">
        <f>IFERROR(VLOOKUP(B3608,'DA1'!$B$2:$D$999999,3,FALSE),"")</f>
      </c>
      <c r="F3608" s="1" t="str">
        <f>IFERROR(VLOOKUP(B3608,'SB1'!$A$2:$C$999999,3,FALSE),"")</f>
        <v>503</v>
      </c>
      <c r="G3608" s="3" t="e">
        <f t="shared" si="125"/>
        <v>#VALUE!</v>
      </c>
      <c r="H3608" s="3" t="e">
        <f t="shared" si="124"/>
        <v>#VALUE!</v>
      </c>
      <c r="I3608" s="1">
        <v>1</v>
      </c>
    </row>
    <row r="3609" spans="1:9" x14ac:dyDescent="0.25">
      <c r="A3609" s="1" t="s">
        <v>14435</v>
      </c>
      <c r="B3609" s="1" t="s">
        <v>10769</v>
      </c>
      <c r="C3609" s="1" t="str">
        <f>IFERROR(VLOOKUP(B3609,'SB1'!$A$2:$B$999999,2,FALSE),"")</f>
        <v>LLANA LARGA PARA YESO Y MASILLA  80CM(EI800)</v>
      </c>
      <c r="D3609" s="1" t="s">
        <v>14436</v>
      </c>
      <c r="E3609" s="3">
        <f>IFERROR(VLOOKUP(B3609,'DA1'!$B$2:$D$999999,3,FALSE),"")</f>
      </c>
      <c r="F3609" s="1" t="str">
        <f>IFERROR(VLOOKUP(B3609,'SB1'!$A$2:$C$999999,3,FALSE),"")</f>
        <v>503</v>
      </c>
      <c r="G3609" s="3" t="e">
        <f t="shared" si="125"/>
        <v>#VALUE!</v>
      </c>
      <c r="H3609" s="3" t="e">
        <f t="shared" si="124"/>
        <v>#VALUE!</v>
      </c>
      <c r="I3609" s="1">
        <v>1</v>
      </c>
    </row>
    <row r="3610" spans="1:9" x14ac:dyDescent="0.25">
      <c r="A3610" s="1" t="s">
        <v>14435</v>
      </c>
      <c r="B3610" s="1" t="s">
        <v>10771</v>
      </c>
      <c r="C3610" s="1" t="str">
        <f>IFERROR(VLOOKUP(B3610,'SB1'!$A$2:$B$999999,2,FALSE),"")</f>
        <v>LLANA LARGA PARA YESO Y MASILLA 1MT(EI1000)</v>
      </c>
      <c r="D3610" s="1" t="s">
        <v>14436</v>
      </c>
      <c r="E3610" s="3">
        <f>IFERROR(VLOOKUP(B3610,'DA1'!$B$2:$D$999999,3,FALSE),"")</f>
      </c>
      <c r="F3610" s="1" t="str">
        <f>IFERROR(VLOOKUP(B3610,'SB1'!$A$2:$C$999999,3,FALSE),"")</f>
        <v>503</v>
      </c>
      <c r="G3610" s="3" t="e">
        <f t="shared" si="125"/>
        <v>#VALUE!</v>
      </c>
      <c r="H3610" s="3" t="e">
        <f t="shared" si="124"/>
        <v>#VALUE!</v>
      </c>
      <c r="I3610" s="1">
        <v>1</v>
      </c>
    </row>
    <row r="3611" spans="1:9" x14ac:dyDescent="0.25">
      <c r="A3611" s="1" t="s">
        <v>14435</v>
      </c>
      <c r="B3611" s="1" t="s">
        <v>10773</v>
      </c>
      <c r="C3611" s="1" t="str">
        <f>IFERROR(VLOOKUP(B3611,'SB1'!$A$2:$B$999999,2,FALSE),"")</f>
        <v>RODILLO LUMAR ANTIGOTA 10CM(940/A)</v>
      </c>
      <c r="D3611" s="1" t="s">
        <v>14467</v>
      </c>
      <c r="E3611" s="3">
        <f>IFERROR(VLOOKUP(B3611,'DA1'!$B$2:$D$999999,3,FALSE),"")</f>
      </c>
      <c r="F3611" s="1" t="str">
        <f>IFERROR(VLOOKUP(B3611,'SB1'!$A$2:$C$999999,3,FALSE),"")</f>
        <v>503</v>
      </c>
      <c r="G3611" s="3" t="e">
        <f t="shared" si="125"/>
        <v>#VALUE!</v>
      </c>
      <c r="H3611" s="3" t="e">
        <f t="shared" si="124"/>
        <v>#VALUE!</v>
      </c>
      <c r="I3611" s="1">
        <v>1</v>
      </c>
    </row>
    <row r="3612" spans="1:9" x14ac:dyDescent="0.25">
      <c r="A3612" s="1" t="s">
        <v>14435</v>
      </c>
      <c r="B3612" s="1" t="s">
        <v>10775</v>
      </c>
      <c r="C3612" s="1" t="str">
        <f>IFERROR(VLOOKUP(B3612,'SB1'!$A$2:$B$999999,2,FALSE),"")</f>
        <v>RODILLO LUMAR ANTIGOTA 17CM(940/B)</v>
      </c>
      <c r="D3612" s="1" t="s">
        <v>14467</v>
      </c>
      <c r="E3612" s="3">
        <f>IFERROR(VLOOKUP(B3612,'DA1'!$B$2:$D$999999,3,FALSE),"")</f>
      </c>
      <c r="F3612" s="1" t="str">
        <f>IFERROR(VLOOKUP(B3612,'SB1'!$A$2:$C$999999,3,FALSE),"")</f>
        <v>503</v>
      </c>
      <c r="G3612" s="3" t="e">
        <f t="shared" si="125"/>
        <v>#VALUE!</v>
      </c>
      <c r="H3612" s="3" t="e">
        <f t="shared" si="124"/>
        <v>#VALUE!</v>
      </c>
      <c r="I3612" s="1">
        <v>1</v>
      </c>
    </row>
    <row r="3613" spans="1:9" x14ac:dyDescent="0.25">
      <c r="A3613" s="1" t="s">
        <v>14435</v>
      </c>
      <c r="B3613" s="1" t="s">
        <v>10777</v>
      </c>
      <c r="C3613" s="1" t="str">
        <f>IFERROR(VLOOKUP(B3613,'SB1'!$A$2:$B$999999,2,FALSE),"")</f>
        <v>RODILLO LUMAR ANTIGOTA 22CM(940/C)</v>
      </c>
      <c r="D3613" s="1" t="s">
        <v>14467</v>
      </c>
      <c r="E3613" s="3">
        <f>IFERROR(VLOOKUP(B3613,'DA1'!$B$2:$D$999999,3,FALSE),"")</f>
      </c>
      <c r="F3613" s="1" t="str">
        <f>IFERROR(VLOOKUP(B3613,'SB1'!$A$2:$C$999999,3,FALSE),"")</f>
        <v>503</v>
      </c>
      <c r="G3613" s="3" t="e">
        <f t="shared" si="125"/>
        <v>#VALUE!</v>
      </c>
      <c r="H3613" s="3" t="e">
        <f t="shared" si="124"/>
        <v>#VALUE!</v>
      </c>
      <c r="I3613" s="1">
        <v>1</v>
      </c>
    </row>
    <row r="3614" spans="1:9" x14ac:dyDescent="0.25">
      <c r="A3614" s="1" t="s">
        <v>14435</v>
      </c>
      <c r="B3614" s="1" t="s">
        <v>10785</v>
      </c>
      <c r="C3614" s="1" t="str">
        <f>IFERROR(VLOOKUP(B3614,'SB1'!$A$2:$B$999999,2,FALSE),"")</f>
        <v>MEZCLA ADHESIVA LISTA PARA USAR WEBER PASTA BLANCO HUESO X 7</v>
      </c>
      <c r="D3614" s="1" t="s">
        <v>14488</v>
      </c>
      <c r="E3614" s="3">
        <f>IFERROR(VLOOKUP(B3614,'DA1'!$B$2:$D$999999,3,FALSE),"")</f>
      </c>
      <c r="F3614" s="1" t="str">
        <f>IFERROR(VLOOKUP(B3614,'SB1'!$A$2:$C$999999,3,FALSE),"")</f>
        <v>503</v>
      </c>
      <c r="G3614" s="3" t="e">
        <f t="shared" si="125"/>
        <v>#VALUE!</v>
      </c>
      <c r="H3614" s="3" t="e">
        <f t="shared" si="124"/>
        <v>#VALUE!</v>
      </c>
      <c r="I3614" s="1">
        <v>1</v>
      </c>
    </row>
    <row r="3615" spans="1:9" x14ac:dyDescent="0.25">
      <c r="A3615" s="1" t="s">
        <v>14435</v>
      </c>
      <c r="B3615" s="1" t="s">
        <v>10787</v>
      </c>
      <c r="C3615" s="1" t="str">
        <f>IFERROR(VLOOKUP(B3615,'SB1'!$A$2:$B$999999,2,FALSE),"")</f>
        <v>MEZCLA ADHESIVA LISTA PARA USAR WEBER PASTA BLANCO HUESO X 25</v>
      </c>
      <c r="D3615" s="1" t="s">
        <v>14488</v>
      </c>
      <c r="E3615" s="3">
        <f>IFERROR(VLOOKUP(B3615,'DA1'!$B$2:$D$999999,3,FALSE),"")</f>
      </c>
      <c r="F3615" s="1" t="str">
        <f>IFERROR(VLOOKUP(B3615,'SB1'!$A$2:$C$999999,3,FALSE),"")</f>
        <v>503</v>
      </c>
      <c r="G3615" s="3" t="e">
        <f t="shared" si="125"/>
        <v>#VALUE!</v>
      </c>
      <c r="H3615" s="3" t="e">
        <f t="shared" si="124"/>
        <v>#VALUE!</v>
      </c>
      <c r="I3615" s="1">
        <v>1</v>
      </c>
    </row>
    <row r="3616" spans="1:9" x14ac:dyDescent="0.25">
      <c r="A3616" s="1" t="s">
        <v>14435</v>
      </c>
      <c r="B3616" s="1" t="s">
        <v>10791</v>
      </c>
      <c r="C3616" s="1" t="str">
        <f>IFERROR(VLOOKUP(B3616,'SB1'!$A$2:$B$999999,2,FALSE),"")</f>
        <v>ACTIVADOR EPOXY S60 RUST OLEUM X 3,78(248284)</v>
      </c>
      <c r="D3616" s="1" t="s">
        <v>14498</v>
      </c>
      <c r="E3616" s="3">
        <f>IFERROR(VLOOKUP(B3616,'DA1'!$B$2:$D$999999,3,FALSE),"")</f>
      </c>
      <c r="F3616" s="1" t="str">
        <f>IFERROR(VLOOKUP(B3616,'SB1'!$A$2:$C$999999,3,FALSE),"")</f>
        <v>503</v>
      </c>
      <c r="G3616" s="3" t="e">
        <f t="shared" si="125"/>
        <v>#VALUE!</v>
      </c>
      <c r="H3616" s="3" t="e">
        <f t="shared" si="124"/>
        <v>#VALUE!</v>
      </c>
      <c r="I3616" s="1">
        <v>1</v>
      </c>
    </row>
    <row r="3617" spans="1:9" x14ac:dyDescent="0.25">
      <c r="A3617" s="1" t="s">
        <v>14435</v>
      </c>
      <c r="B3617" s="1" t="s">
        <v>10793</v>
      </c>
      <c r="C3617" s="1" t="str">
        <f>IFERROR(VLOOKUP(B3617,'SB1'!$A$2:$B$999999,2,FALSE),"")</f>
        <v>EPOXY S60 RUST OLEUM BRILLANTE BLANCO X 3,78(248273)</v>
      </c>
      <c r="D3617" s="1" t="s">
        <v>14498</v>
      </c>
      <c r="E3617" s="3">
        <f>IFERROR(VLOOKUP(B3617,'DA1'!$B$2:$D$999999,3,FALSE),"")</f>
      </c>
      <c r="F3617" s="1" t="str">
        <f>IFERROR(VLOOKUP(B3617,'SB1'!$A$2:$C$999999,3,FALSE),"")</f>
        <v>503</v>
      </c>
      <c r="G3617" s="3" t="e">
        <f t="shared" si="125"/>
        <v>#VALUE!</v>
      </c>
      <c r="H3617" s="3" t="e">
        <f t="shared" si="124"/>
        <v>#VALUE!</v>
      </c>
      <c r="I3617" s="1">
        <v>1</v>
      </c>
    </row>
    <row r="3618" spans="1:9" x14ac:dyDescent="0.25">
      <c r="A3618" s="1" t="s">
        <v>14435</v>
      </c>
      <c r="B3618" s="1" t="s">
        <v>10795</v>
      </c>
      <c r="C3618" s="1" t="str">
        <f>IFERROR(VLOOKUP(B3618,'SB1'!$A$2:$B$999999,2,FALSE),"")</f>
        <v>SELLADOR PISOS WEBER PROTECTOR BASE INCOLORO X 5</v>
      </c>
      <c r="D3618" s="1" t="s">
        <v>14488</v>
      </c>
      <c r="E3618" s="3">
        <f>IFERROR(VLOOKUP(B3618,'DA1'!$B$2:$D$999999,3,FALSE),"")</f>
      </c>
      <c r="F3618" s="1" t="str">
        <f>IFERROR(VLOOKUP(B3618,'SB1'!$A$2:$C$999999,3,FALSE),"")</f>
        <v>503</v>
      </c>
      <c r="G3618" s="3" t="e">
        <f t="shared" si="125"/>
        <v>#VALUE!</v>
      </c>
      <c r="H3618" s="3" t="e">
        <f t="shared" si="124"/>
        <v>#VALUE!</v>
      </c>
      <c r="I3618" s="1">
        <v>1</v>
      </c>
    </row>
    <row r="3619" spans="1:9" x14ac:dyDescent="0.25">
      <c r="A3619" s="1" t="s">
        <v>14435</v>
      </c>
      <c r="B3619" s="1" t="s">
        <v>10797</v>
      </c>
      <c r="C3619" s="1" t="str">
        <f>IFERROR(VLOOKUP(B3619,'SB1'!$A$2:$B$999999,2,FALSE),"")</f>
        <v>FONDO ANTIOXIDO TERSUAVE MATE ROJO X  1</v>
      </c>
      <c r="D3619" s="1" t="s">
        <v>14437</v>
      </c>
      <c r="E3619" s="3">
        <f>IFERROR(VLOOKUP(B3619,'DA1'!$B$2:$D$999999,3,FALSE),"")</f>
      </c>
      <c r="F3619" s="1" t="str">
        <f>IFERROR(VLOOKUP(B3619,'SB1'!$A$2:$C$999999,3,FALSE),"")</f>
        <v>503</v>
      </c>
      <c r="G3619" s="3" t="e">
        <f t="shared" si="125"/>
        <v>#VALUE!</v>
      </c>
      <c r="H3619" s="3" t="e">
        <f t="shared" si="124"/>
        <v>#VALUE!</v>
      </c>
      <c r="I3619" s="1">
        <v>1</v>
      </c>
    </row>
    <row r="3620" spans="1:9" x14ac:dyDescent="0.25">
      <c r="A3620" s="1" t="s">
        <v>14435</v>
      </c>
      <c r="B3620" s="1" t="s">
        <v>10799</v>
      </c>
      <c r="C3620" s="1" t="str">
        <f>IFERROR(VLOOKUP(B3620,'SB1'!$A$2:$B$999999,2,FALSE),"")</f>
        <v>CERA PARA PISOS WEBER CERA FINISH BLANCO X 5</v>
      </c>
      <c r="D3620" s="1" t="s">
        <v>14488</v>
      </c>
      <c r="E3620" s="3">
        <f>IFERROR(VLOOKUP(B3620,'DA1'!$B$2:$D$999999,3,FALSE),"")</f>
      </c>
      <c r="F3620" s="1" t="str">
        <f>IFERROR(VLOOKUP(B3620,'SB1'!$A$2:$C$999999,3,FALSE),"")</f>
        <v>503</v>
      </c>
      <c r="G3620" s="3" t="e">
        <f t="shared" si="125"/>
        <v>#VALUE!</v>
      </c>
      <c r="H3620" s="3" t="e">
        <f t="shared" si="124"/>
        <v>#VALUE!</v>
      </c>
      <c r="I3620" s="1">
        <v>1</v>
      </c>
    </row>
    <row r="3621" spans="1:9" x14ac:dyDescent="0.25">
      <c r="A3621" s="1" t="s">
        <v>14435</v>
      </c>
      <c r="B3621" s="1" t="s">
        <v>10803</v>
      </c>
      <c r="C3621" s="1" t="str">
        <f>IFERROR(VLOOKUP(B3621,'SB1'!$A$2:$B$999999,2,FALSE),"")</f>
        <v>LATEX INTERIOR/EXTERIOR TERSEN NARANJA X 1</v>
      </c>
      <c r="D3621" s="1" t="s">
        <v>14437</v>
      </c>
      <c r="E3621" s="3">
        <f>IFERROR(VLOOKUP(B3621,'DA1'!$B$2:$D$999999,3,FALSE),"")</f>
      </c>
      <c r="F3621" s="1" t="str">
        <f>IFERROR(VLOOKUP(B3621,'SB1'!$A$2:$C$999999,3,FALSE),"")</f>
        <v>503</v>
      </c>
      <c r="G3621" s="3" t="e">
        <f t="shared" si="125"/>
        <v>#VALUE!</v>
      </c>
      <c r="H3621" s="3" t="e">
        <f t="shared" si="124"/>
        <v>#VALUE!</v>
      </c>
      <c r="I3621" s="1">
        <v>1</v>
      </c>
    </row>
    <row r="3622" spans="1:9" x14ac:dyDescent="0.25">
      <c r="A3622" s="1" t="s">
        <v>14435</v>
      </c>
      <c r="B3622" s="1" t="s">
        <v>10805</v>
      </c>
      <c r="C3622" s="1" t="str">
        <f>IFERROR(VLOOKUP(B3622,'SB1'!$A$2:$B$999999,2,FALSE),"")</f>
        <v>LATEX INTERIOR/EXTERIOR TERSEN AMARILLO X 1</v>
      </c>
      <c r="D3622" s="1" t="s">
        <v>14437</v>
      </c>
      <c r="E3622" s="3">
        <f>IFERROR(VLOOKUP(B3622,'DA1'!$B$2:$D$999999,3,FALSE),"")</f>
      </c>
      <c r="F3622" s="1" t="str">
        <f>IFERROR(VLOOKUP(B3622,'SB1'!$A$2:$C$999999,3,FALSE),"")</f>
        <v>503</v>
      </c>
      <c r="G3622" s="3" t="e">
        <f t="shared" si="125"/>
        <v>#VALUE!</v>
      </c>
      <c r="H3622" s="3" t="e">
        <f t="shared" si="124"/>
        <v>#VALUE!</v>
      </c>
      <c r="I3622" s="1">
        <v>1</v>
      </c>
    </row>
    <row r="3623" spans="1:9" x14ac:dyDescent="0.25">
      <c r="A3623" s="1" t="s">
        <v>14435</v>
      </c>
      <c r="B3623" s="1" t="s">
        <v>10807</v>
      </c>
      <c r="C3623" s="1" t="str">
        <f>IFERROR(VLOOKUP(B3623,'SB1'!$A$2:$B$999999,2,FALSE),"")</f>
        <v>LATEX INTERIOR/EXTERIOR TERSEN AZUL X 1</v>
      </c>
      <c r="D3623" s="1" t="s">
        <v>14437</v>
      </c>
      <c r="E3623" s="3">
        <f>IFERROR(VLOOKUP(B3623,'DA1'!$B$2:$D$999999,3,FALSE),"")</f>
      </c>
      <c r="F3623" s="1" t="str">
        <f>IFERROR(VLOOKUP(B3623,'SB1'!$A$2:$C$999999,3,FALSE),"")</f>
        <v>503</v>
      </c>
      <c r="G3623" s="3" t="e">
        <f t="shared" si="125"/>
        <v>#VALUE!</v>
      </c>
      <c r="H3623" s="3" t="e">
        <f t="shared" si="124"/>
        <v>#VALUE!</v>
      </c>
      <c r="I3623" s="1">
        <v>1</v>
      </c>
    </row>
    <row r="3624" spans="1:9" x14ac:dyDescent="0.25">
      <c r="A3624" s="1" t="s">
        <v>14435</v>
      </c>
      <c r="B3624" s="1" t="s">
        <v>10809</v>
      </c>
      <c r="C3624" s="1" t="str">
        <f>IFERROR(VLOOKUP(B3624,'SB1'!$A$2:$B$999999,2,FALSE),"")</f>
        <v>LATEX INTERIOR/EXTERIOR TERSEN CORAL X 1</v>
      </c>
      <c r="D3624" s="1" t="s">
        <v>14437</v>
      </c>
      <c r="E3624" s="3">
        <f>IFERROR(VLOOKUP(B3624,'DA1'!$B$2:$D$999999,3,FALSE),"")</f>
      </c>
      <c r="F3624" s="1" t="str">
        <f>IFERROR(VLOOKUP(B3624,'SB1'!$A$2:$C$999999,3,FALSE),"")</f>
        <v>503</v>
      </c>
      <c r="G3624" s="3" t="e">
        <f t="shared" si="125"/>
        <v>#VALUE!</v>
      </c>
      <c r="H3624" s="3" t="e">
        <f t="shared" si="124"/>
        <v>#VALUE!</v>
      </c>
      <c r="I3624" s="1">
        <v>1</v>
      </c>
    </row>
    <row r="3625" spans="1:9" x14ac:dyDescent="0.25">
      <c r="A3625" s="1" t="s">
        <v>14435</v>
      </c>
      <c r="B3625" s="1" t="s">
        <v>10811</v>
      </c>
      <c r="C3625" s="1" t="str">
        <f>IFERROR(VLOOKUP(B3625,'SB1'!$A$2:$B$999999,2,FALSE),"")</f>
        <v>LATEX INTERIOR/EXTERIOR TERSEN ROSA X 1</v>
      </c>
      <c r="D3625" s="1" t="s">
        <v>14437</v>
      </c>
      <c r="E3625" s="3">
        <f>IFERROR(VLOOKUP(B3625,'DA1'!$B$2:$D$999999,3,FALSE),"")</f>
      </c>
      <c r="F3625" s="1" t="str">
        <f>IFERROR(VLOOKUP(B3625,'SB1'!$A$2:$C$999999,3,FALSE),"")</f>
        <v>503</v>
      </c>
      <c r="G3625" s="3" t="e">
        <f t="shared" si="125"/>
        <v>#VALUE!</v>
      </c>
      <c r="H3625" s="3" t="e">
        <f t="shared" si="124"/>
        <v>#VALUE!</v>
      </c>
      <c r="I3625" s="1">
        <v>1</v>
      </c>
    </row>
    <row r="3626" spans="1:9" x14ac:dyDescent="0.25">
      <c r="A3626" s="1" t="s">
        <v>14435</v>
      </c>
      <c r="B3626" s="1" t="s">
        <v>10813</v>
      </c>
      <c r="C3626" s="1" t="str">
        <f>IFERROR(VLOOKUP(B3626,'SB1'!$A$2:$B$999999,2,FALSE),"")</f>
        <v>LATEX INTERIOR/EXTERIOR TERSEN TURQUESA X 1</v>
      </c>
      <c r="D3626" s="1" t="s">
        <v>14437</v>
      </c>
      <c r="E3626" s="3">
        <f>IFERROR(VLOOKUP(B3626,'DA1'!$B$2:$D$999999,3,FALSE),"")</f>
      </c>
      <c r="F3626" s="1" t="str">
        <f>IFERROR(VLOOKUP(B3626,'SB1'!$A$2:$C$999999,3,FALSE),"")</f>
        <v>503</v>
      </c>
      <c r="G3626" s="3" t="e">
        <f t="shared" si="125"/>
        <v>#VALUE!</v>
      </c>
      <c r="H3626" s="3" t="e">
        <f t="shared" si="124"/>
        <v>#VALUE!</v>
      </c>
      <c r="I3626" s="1">
        <v>1</v>
      </c>
    </row>
    <row r="3627" spans="1:9" x14ac:dyDescent="0.25">
      <c r="A3627" s="1" t="s">
        <v>14435</v>
      </c>
      <c r="B3627" s="1" t="s">
        <v>10815</v>
      </c>
      <c r="C3627" s="1" t="str">
        <f>IFERROR(VLOOKUP(B3627,'SB1'!$A$2:$B$999999,2,FALSE),"")</f>
        <v>LATEX INTERIOR/EXTERIOR TERSEN VERDE X 1</v>
      </c>
      <c r="D3627" s="1" t="s">
        <v>14437</v>
      </c>
      <c r="E3627" s="3">
        <f>IFERROR(VLOOKUP(B3627,'DA1'!$B$2:$D$999999,3,FALSE),"")</f>
      </c>
      <c r="F3627" s="1" t="str">
        <f>IFERROR(VLOOKUP(B3627,'SB1'!$A$2:$C$999999,3,FALSE),"")</f>
        <v>503</v>
      </c>
      <c r="G3627" s="3" t="e">
        <f t="shared" si="125"/>
        <v>#VALUE!</v>
      </c>
      <c r="H3627" s="3" t="e">
        <f t="shared" si="124"/>
        <v>#VALUE!</v>
      </c>
      <c r="I3627" s="1">
        <v>1</v>
      </c>
    </row>
    <row r="3628" spans="1:9" x14ac:dyDescent="0.25">
      <c r="A3628" s="1" t="s">
        <v>14435</v>
      </c>
      <c r="B3628" s="1" t="s">
        <v>10817</v>
      </c>
      <c r="C3628" s="1" t="str">
        <f>IFERROR(VLOOKUP(B3628,'SB1'!$A$2:$B$999999,2,FALSE),"")</f>
        <v>LATEX INTERIOR/EXTERIOR TERSEN VIOLETA X 1</v>
      </c>
      <c r="D3628" s="1" t="s">
        <v>14437</v>
      </c>
      <c r="E3628" s="3">
        <f>IFERROR(VLOOKUP(B3628,'DA1'!$B$2:$D$999999,3,FALSE),"")</f>
      </c>
      <c r="F3628" s="1" t="str">
        <f>IFERROR(VLOOKUP(B3628,'SB1'!$A$2:$C$999999,3,FALSE),"")</f>
        <v>503</v>
      </c>
      <c r="G3628" s="3" t="e">
        <f t="shared" si="125"/>
        <v>#VALUE!</v>
      </c>
      <c r="H3628" s="3" t="e">
        <f t="shared" si="124"/>
        <v>#VALUE!</v>
      </c>
      <c r="I3628" s="1">
        <v>1</v>
      </c>
    </row>
    <row r="3629" spans="1:9" x14ac:dyDescent="0.25">
      <c r="A3629" s="1" t="s">
        <v>14435</v>
      </c>
      <c r="B3629" s="1" t="s">
        <v>10819</v>
      </c>
      <c r="C3629" s="1" t="str">
        <f>IFERROR(VLOOKUP(B3629,'SB1'!$A$2:$B$999999,2,FALSE),"")</f>
        <v>LATEX INTERIOR/EXTERIOR TERSEN ROJO X 1</v>
      </c>
      <c r="D3629" s="1" t="s">
        <v>14437</v>
      </c>
      <c r="E3629" s="3">
        <f>IFERROR(VLOOKUP(B3629,'DA1'!$B$2:$D$999999,3,FALSE),"")</f>
      </c>
      <c r="F3629" s="1" t="str">
        <f>IFERROR(VLOOKUP(B3629,'SB1'!$A$2:$C$999999,3,FALSE),"")</f>
        <v>503</v>
      </c>
      <c r="G3629" s="3" t="e">
        <f t="shared" si="125"/>
        <v>#VALUE!</v>
      </c>
      <c r="H3629" s="3" t="e">
        <f t="shared" si="124"/>
        <v>#VALUE!</v>
      </c>
      <c r="I3629" s="1">
        <v>1</v>
      </c>
    </row>
    <row r="3630" spans="1:9" x14ac:dyDescent="0.25">
      <c r="A3630" s="1" t="s">
        <v>14435</v>
      </c>
      <c r="B3630" s="1" t="s">
        <v>10821</v>
      </c>
      <c r="C3630" s="1" t="str">
        <f>IFERROR(VLOOKUP(B3630,'SB1'!$A$2:$B$999999,2,FALSE),"")</f>
        <v>ENDUIDO+MASILLA PARA YESO ALBA X  1</v>
      </c>
      <c r="D3630" s="1" t="s">
        <v>14441</v>
      </c>
      <c r="E3630" s="3">
        <f>IFERROR(VLOOKUP(B3630,'DA1'!$B$2:$D$999999,3,FALSE),"")</f>
      </c>
      <c r="F3630" s="1" t="str">
        <f>IFERROR(VLOOKUP(B3630,'SB1'!$A$2:$C$999999,3,FALSE),"")</f>
        <v>503</v>
      </c>
      <c r="G3630" s="3" t="e">
        <f t="shared" si="125"/>
        <v>#VALUE!</v>
      </c>
      <c r="H3630" s="3" t="e">
        <f t="shared" si="124"/>
        <v>#VALUE!</v>
      </c>
      <c r="I3630" s="1">
        <v>1</v>
      </c>
    </row>
    <row r="3631" spans="1:9" x14ac:dyDescent="0.25">
      <c r="A3631" s="1" t="s">
        <v>14435</v>
      </c>
      <c r="B3631" s="1" t="s">
        <v>10823</v>
      </c>
      <c r="C3631" s="1" t="str">
        <f>IFERROR(VLOOKUP(B3631,'SB1'!$A$2:$B$999999,2,FALSE),"")</f>
        <v>ENDUIDO+MASILLA PARA YESO ALBA X  4</v>
      </c>
      <c r="D3631" s="1" t="s">
        <v>14441</v>
      </c>
      <c r="E3631" s="3">
        <f>IFERROR(VLOOKUP(B3631,'DA1'!$B$2:$D$999999,3,FALSE),"")</f>
      </c>
      <c r="F3631" s="1" t="str">
        <f>IFERROR(VLOOKUP(B3631,'SB1'!$A$2:$C$999999,3,FALSE),"")</f>
        <v>503</v>
      </c>
      <c r="G3631" s="3" t="e">
        <f t="shared" si="125"/>
        <v>#VALUE!</v>
      </c>
      <c r="H3631" s="3" t="e">
        <f t="shared" si="124"/>
        <v>#VALUE!</v>
      </c>
      <c r="I3631" s="1">
        <v>1</v>
      </c>
    </row>
    <row r="3632" spans="1:9" x14ac:dyDescent="0.25">
      <c r="A3632" s="1" t="s">
        <v>14435</v>
      </c>
      <c r="B3632" s="1" t="s">
        <v>10825</v>
      </c>
      <c r="C3632" s="1" t="str">
        <f>IFERROR(VLOOKUP(B3632,'SB1'!$A$2:$B$999999,2,FALSE),"")</f>
        <v>ENDUIDO+MASILLA PARA YESO ALBA X 10</v>
      </c>
      <c r="D3632" s="1" t="s">
        <v>14441</v>
      </c>
      <c r="E3632" s="3">
        <f>IFERROR(VLOOKUP(B3632,'DA1'!$B$2:$D$999999,3,FALSE),"")</f>
      </c>
      <c r="F3632" s="1" t="str">
        <f>IFERROR(VLOOKUP(B3632,'SB1'!$A$2:$C$999999,3,FALSE),"")</f>
        <v>503</v>
      </c>
      <c r="G3632" s="3" t="e">
        <f t="shared" si="125"/>
        <v>#VALUE!</v>
      </c>
      <c r="H3632" s="3" t="e">
        <f t="shared" si="124"/>
        <v>#VALUE!</v>
      </c>
      <c r="I3632" s="1">
        <v>1</v>
      </c>
    </row>
    <row r="3633" spans="1:9" x14ac:dyDescent="0.25">
      <c r="A3633" s="1" t="s">
        <v>14435</v>
      </c>
      <c r="B3633" s="1" t="s">
        <v>10827</v>
      </c>
      <c r="C3633" s="1" t="str">
        <f>IFERROR(VLOOKUP(B3633,'SB1'!$A$2:$B$999999,2,FALSE),"")</f>
        <v>ENDUIDO+MASILLA PARA YESO ALBA X 20</v>
      </c>
      <c r="D3633" s="1" t="s">
        <v>14441</v>
      </c>
      <c r="E3633" s="3">
        <f>IFERROR(VLOOKUP(B3633,'DA1'!$B$2:$D$999999,3,FALSE),"")</f>
      </c>
      <c r="F3633" s="1" t="str">
        <f>IFERROR(VLOOKUP(B3633,'SB1'!$A$2:$C$999999,3,FALSE),"")</f>
        <v>503</v>
      </c>
      <c r="G3633" s="3" t="e">
        <f t="shared" si="125"/>
        <v>#VALUE!</v>
      </c>
      <c r="H3633" s="3" t="e">
        <f t="shared" si="124"/>
        <v>#VALUE!</v>
      </c>
      <c r="I3633" s="1">
        <v>1</v>
      </c>
    </row>
    <row r="3634" spans="1:9" x14ac:dyDescent="0.25">
      <c r="A3634" s="1" t="s">
        <v>14435</v>
      </c>
      <c r="B3634" s="1" t="s">
        <v>10831</v>
      </c>
      <c r="C3634" s="1" t="str">
        <f>IFERROR(VLOOKUP(B3634,'SB1'!$A$2:$B$999999,2,FALSE),"")</f>
        <v>LATEX PARA PISO PISOACRIL SPORT AZUL X 20</v>
      </c>
      <c r="D3634" s="1" t="s">
        <v>14458</v>
      </c>
      <c r="E3634" s="3">
        <f>IFERROR(VLOOKUP(B3634,'DA1'!$B$2:$D$999999,3,FALSE),"")</f>
      </c>
      <c r="F3634" s="1" t="str">
        <f>IFERROR(VLOOKUP(B3634,'SB1'!$A$2:$C$999999,3,FALSE),"")</f>
        <v>503</v>
      </c>
      <c r="G3634" s="3" t="e">
        <f t="shared" si="125"/>
        <v>#VALUE!</v>
      </c>
      <c r="H3634" s="3" t="e">
        <f t="shared" si="124"/>
        <v>#VALUE!</v>
      </c>
      <c r="I3634" s="1">
        <v>1</v>
      </c>
    </row>
    <row r="3635" spans="1:9" x14ac:dyDescent="0.25">
      <c r="A3635" s="1" t="s">
        <v>14435</v>
      </c>
      <c r="B3635" s="1" t="s">
        <v>10847</v>
      </c>
      <c r="C3635" s="1" t="str">
        <f>IFERROR(VLOOKUP(B3635,'SB1'!$A$2:$B$999999,2,FALSE),"")</f>
        <v>AUTONIVELANTE CAPA FINA SECADO NORMAL WEBER AUTONIVELA GRIS X 25</v>
      </c>
      <c r="D3635" s="1" t="s">
        <v>14488</v>
      </c>
      <c r="E3635" s="3">
        <f>IFERROR(VLOOKUP(B3635,'DA1'!$B$2:$D$999999,3,FALSE),"")</f>
      </c>
      <c r="F3635" s="1" t="str">
        <f>IFERROR(VLOOKUP(B3635,'SB1'!$A$2:$C$999999,3,FALSE),"")</f>
        <v>503</v>
      </c>
      <c r="G3635" s="3" t="e">
        <f t="shared" si="125"/>
        <v>#VALUE!</v>
      </c>
      <c r="H3635" s="3" t="e">
        <f t="shared" si="124"/>
        <v>#VALUE!</v>
      </c>
      <c r="I3635" s="1">
        <v>1</v>
      </c>
    </row>
    <row r="3636" spans="1:9" x14ac:dyDescent="0.25">
      <c r="A3636" s="1" t="s">
        <v>14435</v>
      </c>
      <c r="B3636" s="1" t="s">
        <v>10849</v>
      </c>
      <c r="C3636" s="1" t="str">
        <f>IFERROR(VLOOKUP(B3636,'SB1'!$A$2:$B$999999,2,FALSE),"")</f>
        <v>DILUYENTE PARA ESMALTE DE SECADO RAPIDO X  1</v>
      </c>
      <c r="D3636" s="1" t="s">
        <v>14472</v>
      </c>
      <c r="E3636" s="3">
        <f>IFERROR(VLOOKUP(B3636,'DA1'!$B$2:$D$999999,3,FALSE),"")</f>
      </c>
      <c r="F3636" s="1" t="str">
        <f>IFERROR(VLOOKUP(B3636,'SB1'!$A$2:$C$999999,3,FALSE),"")</f>
        <v>503</v>
      </c>
      <c r="G3636" s="3" t="e">
        <f t="shared" si="125"/>
        <v>#VALUE!</v>
      </c>
      <c r="H3636" s="3" t="e">
        <f t="shared" si="124"/>
        <v>#VALUE!</v>
      </c>
      <c r="I3636" s="1">
        <v>1</v>
      </c>
    </row>
    <row r="3637" spans="1:9" x14ac:dyDescent="0.25">
      <c r="A3637" s="1" t="s">
        <v>14435</v>
      </c>
      <c r="B3637" s="1" t="s">
        <v>10851</v>
      </c>
      <c r="C3637" s="1" t="str">
        <f>IFERROR(VLOOKUP(B3637,'SB1'!$A$2:$B$999999,2,FALSE),"")</f>
        <v>DILUYENTE PARA ESMALTE DE SECADO RAPIDO X  4</v>
      </c>
      <c r="D3637" s="1" t="s">
        <v>14472</v>
      </c>
      <c r="E3637" s="3">
        <f>IFERROR(VLOOKUP(B3637,'DA1'!$B$2:$D$999999,3,FALSE),"")</f>
      </c>
      <c r="F3637" s="1" t="str">
        <f>IFERROR(VLOOKUP(B3637,'SB1'!$A$2:$C$999999,3,FALSE),"")</f>
        <v>503</v>
      </c>
      <c r="G3637" s="3" t="e">
        <f t="shared" si="125"/>
        <v>#VALUE!</v>
      </c>
      <c r="H3637" s="3" t="e">
        <f t="shared" si="124"/>
        <v>#VALUE!</v>
      </c>
      <c r="I3637" s="1">
        <v>1</v>
      </c>
    </row>
    <row r="3638" spans="1:9" x14ac:dyDescent="0.25">
      <c r="A3638" s="1" t="s">
        <v>14435</v>
      </c>
      <c r="B3638" s="1" t="s">
        <v>10853</v>
      </c>
      <c r="C3638" s="1" t="str">
        <f>IFERROR(VLOOKUP(B3638,'SB1'!$A$2:$B$999999,2,FALSE),"")</f>
        <v>DILUYENTE PARA ESMALTE DE SECADO RAPIDO X 18</v>
      </c>
      <c r="D3638" s="1" t="s">
        <v>14472</v>
      </c>
      <c r="E3638" s="3">
        <f>IFERROR(VLOOKUP(B3638,'DA1'!$B$2:$D$999999,3,FALSE),"")</f>
      </c>
      <c r="F3638" s="1" t="str">
        <f>IFERROR(VLOOKUP(B3638,'SB1'!$A$2:$C$999999,3,FALSE),"")</f>
        <v>503</v>
      </c>
      <c r="G3638" s="3" t="e">
        <f t="shared" si="125"/>
        <v>#VALUE!</v>
      </c>
      <c r="H3638" s="3" t="e">
        <f t="shared" si="124"/>
        <v>#VALUE!</v>
      </c>
      <c r="I3638" s="1">
        <v>1</v>
      </c>
    </row>
    <row r="3639" spans="1:9" x14ac:dyDescent="0.25">
      <c r="A3639" s="1" t="s">
        <v>14435</v>
      </c>
      <c r="B3639" s="1" t="s">
        <v>10855</v>
      </c>
      <c r="C3639" s="1" t="str">
        <f>IFERROR(VLOOKUP(B3639,'SB1'!$A$2:$B$999999,2,FALSE),"")</f>
        <v>DILUYENTE PARA ESMALTE DE SECADO RAPIDO X 200</v>
      </c>
      <c r="D3639" s="1" t="s">
        <v>14472</v>
      </c>
      <c r="E3639" s="3">
        <f>IFERROR(VLOOKUP(B3639,'DA1'!$B$2:$D$999999,3,FALSE),"")</f>
      </c>
      <c r="F3639" s="1" t="str">
        <f>IFERROR(VLOOKUP(B3639,'SB1'!$A$2:$C$999999,3,FALSE),"")</f>
        <v>503</v>
      </c>
      <c r="G3639" s="3" t="e">
        <f t="shared" si="125"/>
        <v>#VALUE!</v>
      </c>
      <c r="H3639" s="3" t="e">
        <f t="shared" si="124"/>
        <v>#VALUE!</v>
      </c>
      <c r="I3639" s="1">
        <v>1</v>
      </c>
    </row>
    <row r="3640" spans="1:9" x14ac:dyDescent="0.25">
      <c r="A3640" s="1" t="s">
        <v>14435</v>
      </c>
      <c r="B3640" s="1" t="s">
        <v>10869</v>
      </c>
      <c r="C3640" s="1" t="str">
        <f>IFERROR(VLOOKUP(B3640,'SB1'!$A$2:$B$999999,2,FALSE),"")</f>
        <v>FONDO SINTETICO ULTRA RAPIDO VANGUARD BLANCO X  4</v>
      </c>
      <c r="D3640" s="1" t="s">
        <v>14506</v>
      </c>
      <c r="E3640" s="3">
        <f>IFERROR(VLOOKUP(B3640,'DA1'!$B$2:$D$999999,3,FALSE),"")</f>
      </c>
      <c r="F3640" s="1" t="str">
        <f>IFERROR(VLOOKUP(B3640,'SB1'!$A$2:$C$999999,3,FALSE),"")</f>
        <v>503</v>
      </c>
      <c r="G3640" s="3" t="e">
        <f t="shared" si="125"/>
        <v>#VALUE!</v>
      </c>
      <c r="H3640" s="3" t="e">
        <f t="shared" si="124"/>
        <v>#VALUE!</v>
      </c>
      <c r="I3640" s="1">
        <v>1</v>
      </c>
    </row>
    <row r="3641" spans="1:9" x14ac:dyDescent="0.25">
      <c r="A3641" s="1" t="s">
        <v>14435</v>
      </c>
      <c r="B3641" s="1" t="s">
        <v>10871</v>
      </c>
      <c r="C3641" s="1" t="str">
        <f>IFERROR(VLOOKUP(B3641,'SB1'!$A$2:$B$999999,2,FALSE),"")</f>
        <v>FONDO SINTETICO ULTRA RAPIDO VANGUARD BLANCO X 20</v>
      </c>
      <c r="D3641" s="1" t="s">
        <v>14506</v>
      </c>
      <c r="E3641" s="3">
        <f>IFERROR(VLOOKUP(B3641,'DA1'!$B$2:$D$999999,3,FALSE),"")</f>
      </c>
      <c r="F3641" s="1" t="str">
        <f>IFERROR(VLOOKUP(B3641,'SB1'!$A$2:$C$999999,3,FALSE),"")</f>
        <v>503</v>
      </c>
      <c r="G3641" s="3" t="e">
        <f t="shared" si="125"/>
        <v>#VALUE!</v>
      </c>
      <c r="H3641" s="3" t="e">
        <f t="shared" si="124"/>
        <v>#VALUE!</v>
      </c>
      <c r="I3641" s="1">
        <v>1</v>
      </c>
    </row>
    <row r="3642" spans="1:9" x14ac:dyDescent="0.25">
      <c r="A3642" s="1" t="s">
        <v>14435</v>
      </c>
      <c r="B3642" s="1" t="s">
        <v>10873</v>
      </c>
      <c r="C3642" s="1" t="str">
        <f>IFERROR(VLOOKUP(B3642,'SB1'!$A$2:$B$999999,2,FALSE),"")</f>
        <v>FONDO SINTETICO SECADO RAPIDO VANGUARD GRIS X  4</v>
      </c>
      <c r="D3642" s="1" t="s">
        <v>14506</v>
      </c>
      <c r="E3642" s="3">
        <f>IFERROR(VLOOKUP(B3642,'DA1'!$B$2:$D$999999,3,FALSE),"")</f>
      </c>
      <c r="F3642" s="1" t="str">
        <f>IFERROR(VLOOKUP(B3642,'SB1'!$A$2:$C$999999,3,FALSE),"")</f>
        <v>503</v>
      </c>
      <c r="G3642" s="3" t="e">
        <f t="shared" si="125"/>
        <v>#VALUE!</v>
      </c>
      <c r="H3642" s="3" t="e">
        <f t="shared" si="124"/>
        <v>#VALUE!</v>
      </c>
      <c r="I3642" s="1">
        <v>1</v>
      </c>
    </row>
    <row r="3643" spans="1:9" x14ac:dyDescent="0.25">
      <c r="A3643" s="1" t="s">
        <v>14435</v>
      </c>
      <c r="B3643" s="1" t="s">
        <v>10875</v>
      </c>
      <c r="C3643" s="1" t="str">
        <f>IFERROR(VLOOKUP(B3643,'SB1'!$A$2:$B$999999,2,FALSE),"")</f>
        <v>FONDO SINTETICO SECADO RAPIDO VANGUARD GRIS X 20</v>
      </c>
      <c r="D3643" s="1" t="s">
        <v>14506</v>
      </c>
      <c r="E3643" s="3">
        <f>IFERROR(VLOOKUP(B3643,'DA1'!$B$2:$D$999999,3,FALSE),"")</f>
      </c>
      <c r="F3643" s="1" t="str">
        <f>IFERROR(VLOOKUP(B3643,'SB1'!$A$2:$C$999999,3,FALSE),"")</f>
        <v>503</v>
      </c>
      <c r="G3643" s="3" t="e">
        <f t="shared" si="125"/>
        <v>#VALUE!</v>
      </c>
      <c r="H3643" s="3" t="e">
        <f t="shared" si="124"/>
        <v>#VALUE!</v>
      </c>
      <c r="I3643" s="1">
        <v>1</v>
      </c>
    </row>
    <row r="3644" spans="1:9" x14ac:dyDescent="0.25">
      <c r="A3644" s="1" t="s">
        <v>14435</v>
      </c>
      <c r="B3644" s="1" t="s">
        <v>10877</v>
      </c>
      <c r="C3644" s="1" t="str">
        <f>IFERROR(VLOOKUP(B3644,'SB1'!$A$2:$B$999999,2,FALSE),"")</f>
        <v>ESMALTE SINTETICO SECADO RAPIDO VANGUARD BLANCO X  4</v>
      </c>
      <c r="D3644" s="1" t="s">
        <v>14506</v>
      </c>
      <c r="E3644" s="3">
        <f>IFERROR(VLOOKUP(B3644,'DA1'!$B$2:$D$999999,3,FALSE),"")</f>
      </c>
      <c r="F3644" s="1" t="str">
        <f>IFERROR(VLOOKUP(B3644,'SB1'!$A$2:$C$999999,3,FALSE),"")</f>
        <v>503</v>
      </c>
      <c r="G3644" s="3" t="e">
        <f t="shared" si="125"/>
        <v>#VALUE!</v>
      </c>
      <c r="H3644" s="3" t="e">
        <f t="shared" si="124"/>
        <v>#VALUE!</v>
      </c>
      <c r="I3644" s="1">
        <v>1</v>
      </c>
    </row>
    <row r="3645" spans="1:9" x14ac:dyDescent="0.25">
      <c r="A3645" s="1" t="s">
        <v>14435</v>
      </c>
      <c r="B3645" s="1" t="s">
        <v>10879</v>
      </c>
      <c r="C3645" s="1" t="str">
        <f>IFERROR(VLOOKUP(B3645,'SB1'!$A$2:$B$999999,2,FALSE),"")</f>
        <v>ESMALTE SINTETICO SECADO RAPIDO VANGUARD BLANCO X 20</v>
      </c>
      <c r="D3645" s="1" t="s">
        <v>14506</v>
      </c>
      <c r="E3645" s="3">
        <f>IFERROR(VLOOKUP(B3645,'DA1'!$B$2:$D$999999,3,FALSE),"")</f>
      </c>
      <c r="F3645" s="1" t="str">
        <f>IFERROR(VLOOKUP(B3645,'SB1'!$A$2:$C$999999,3,FALSE),"")</f>
        <v>503</v>
      </c>
      <c r="G3645" s="3" t="e">
        <f t="shared" si="125"/>
        <v>#VALUE!</v>
      </c>
      <c r="H3645" s="3" t="e">
        <f t="shared" si="124"/>
        <v>#VALUE!</v>
      </c>
      <c r="I3645" s="1">
        <v>1</v>
      </c>
    </row>
    <row r="3646" spans="1:9" x14ac:dyDescent="0.25">
      <c r="A3646" s="1" t="s">
        <v>14435</v>
      </c>
      <c r="B3646" s="1" t="s">
        <v>10881</v>
      </c>
      <c r="C3646" s="1" t="str">
        <f>IFERROR(VLOOKUP(B3646,'SB1'!$A$2:$B$999999,2,FALSE),"")</f>
        <v>ESMALTE SINTETICO SECADO RAPIDO VANGUARD NEGRO X  4</v>
      </c>
      <c r="D3646" s="1" t="s">
        <v>14506</v>
      </c>
      <c r="E3646" s="3">
        <f>IFERROR(VLOOKUP(B3646,'DA1'!$B$2:$D$999999,3,FALSE),"")</f>
      </c>
      <c r="F3646" s="1" t="str">
        <f>IFERROR(VLOOKUP(B3646,'SB1'!$A$2:$C$999999,3,FALSE),"")</f>
        <v>503</v>
      </c>
      <c r="G3646" s="3" t="e">
        <f t="shared" si="125"/>
        <v>#VALUE!</v>
      </c>
      <c r="H3646" s="3" t="e">
        <f t="shared" ref="H3646:H3709" si="126">G3646*1.21</f>
        <v>#VALUE!</v>
      </c>
      <c r="I3646" s="1">
        <v>1</v>
      </c>
    </row>
    <row r="3647" spans="1:9" x14ac:dyDescent="0.25">
      <c r="A3647" s="1" t="s">
        <v>14435</v>
      </c>
      <c r="B3647" s="1" t="s">
        <v>10883</v>
      </c>
      <c r="C3647" s="1" t="str">
        <f>IFERROR(VLOOKUP(B3647,'SB1'!$A$2:$B$999999,2,FALSE),"")</f>
        <v>ESMALTE SINTETICO SECADO RAPIDO VANGUARD NEGRO X 20</v>
      </c>
      <c r="D3647" s="1" t="s">
        <v>14506</v>
      </c>
      <c r="E3647" s="3">
        <f>IFERROR(VLOOKUP(B3647,'DA1'!$B$2:$D$999999,3,FALSE),"")</f>
      </c>
      <c r="F3647" s="1" t="str">
        <f>IFERROR(VLOOKUP(B3647,'SB1'!$A$2:$C$999999,3,FALSE),"")</f>
        <v>503</v>
      </c>
      <c r="G3647" s="3" t="e">
        <f t="shared" si="125"/>
        <v>#VALUE!</v>
      </c>
      <c r="H3647" s="3" t="e">
        <f t="shared" si="126"/>
        <v>#VALUE!</v>
      </c>
      <c r="I3647" s="1">
        <v>1</v>
      </c>
    </row>
    <row r="3648" spans="1:9" x14ac:dyDescent="0.25">
      <c r="A3648" s="1" t="s">
        <v>14435</v>
      </c>
      <c r="B3648" s="1" t="s">
        <v>10885</v>
      </c>
      <c r="C3648" s="1" t="str">
        <f>IFERROR(VLOOKUP(B3648,'SB1'!$A$2:$B$999999,2,FALSE),"")</f>
        <v>ESMALTE SINTETICO SECADO RAPIDO VANGUARD BERMELLON X  4</v>
      </c>
      <c r="D3648" s="1" t="s">
        <v>14506</v>
      </c>
      <c r="E3648" s="3">
        <f>IFERROR(VLOOKUP(B3648,'DA1'!$B$2:$D$999999,3,FALSE),"")</f>
      </c>
      <c r="F3648" s="1" t="str">
        <f>IFERROR(VLOOKUP(B3648,'SB1'!$A$2:$C$999999,3,FALSE),"")</f>
        <v>503</v>
      </c>
      <c r="G3648" s="3" t="e">
        <f t="shared" si="125"/>
        <v>#VALUE!</v>
      </c>
      <c r="H3648" s="3" t="e">
        <f t="shared" si="126"/>
        <v>#VALUE!</v>
      </c>
      <c r="I3648" s="1">
        <v>1</v>
      </c>
    </row>
    <row r="3649" spans="1:9" x14ac:dyDescent="0.25">
      <c r="A3649" s="1" t="s">
        <v>14435</v>
      </c>
      <c r="B3649" s="1" t="s">
        <v>10887</v>
      </c>
      <c r="C3649" s="1" t="str">
        <f>IFERROR(VLOOKUP(B3649,'SB1'!$A$2:$B$999999,2,FALSE),"")</f>
        <v>ESMALTE SINTETICO SECADO RAPIDO VANGUARD BERMELLON X 20</v>
      </c>
      <c r="D3649" s="1" t="s">
        <v>14506</v>
      </c>
      <c r="E3649" s="3">
        <f>IFERROR(VLOOKUP(B3649,'DA1'!$B$2:$D$999999,3,FALSE),"")</f>
      </c>
      <c r="F3649" s="1" t="str">
        <f>IFERROR(VLOOKUP(B3649,'SB1'!$A$2:$C$999999,3,FALSE),"")</f>
        <v>503</v>
      </c>
      <c r="G3649" s="3" t="e">
        <f t="shared" si="125"/>
        <v>#VALUE!</v>
      </c>
      <c r="H3649" s="3" t="e">
        <f t="shared" si="126"/>
        <v>#VALUE!</v>
      </c>
      <c r="I3649" s="1">
        <v>1</v>
      </c>
    </row>
    <row r="3650" spans="1:9" x14ac:dyDescent="0.25">
      <c r="A3650" s="1" t="s">
        <v>14435</v>
      </c>
      <c r="B3650" s="1" t="s">
        <v>10889</v>
      </c>
      <c r="C3650" s="1" t="str">
        <f>IFERROR(VLOOKUP(B3650,'SB1'!$A$2:$B$999999,2,FALSE),"")</f>
        <v>ESMALTE SINTETICO SECADO RAPIDO VANGUARD AMARILLO MEDIO X  4</v>
      </c>
      <c r="D3650" s="1" t="s">
        <v>14506</v>
      </c>
      <c r="E3650" s="3">
        <f>IFERROR(VLOOKUP(B3650,'DA1'!$B$2:$D$999999,3,FALSE),"")</f>
      </c>
      <c r="F3650" s="1" t="str">
        <f>IFERROR(VLOOKUP(B3650,'SB1'!$A$2:$C$999999,3,FALSE),"")</f>
        <v>503</v>
      </c>
      <c r="G3650" s="3" t="e">
        <f t="shared" si="125"/>
        <v>#VALUE!</v>
      </c>
      <c r="H3650" s="3" t="e">
        <f t="shared" si="126"/>
        <v>#VALUE!</v>
      </c>
      <c r="I3650" s="1">
        <v>1</v>
      </c>
    </row>
    <row r="3651" spans="1:9" x14ac:dyDescent="0.25">
      <c r="A3651" s="1" t="s">
        <v>14435</v>
      </c>
      <c r="B3651" s="1" t="s">
        <v>10891</v>
      </c>
      <c r="C3651" s="1" t="str">
        <f>IFERROR(VLOOKUP(B3651,'SB1'!$A$2:$B$999999,2,FALSE),"")</f>
        <v>ESMALTE SINTETICO SECADO RAPIDO VANGUARD AMARILLO MEDIO X 20</v>
      </c>
      <c r="D3651" s="1" t="s">
        <v>14506</v>
      </c>
      <c r="E3651" s="3">
        <f>IFERROR(VLOOKUP(B3651,'DA1'!$B$2:$D$999999,3,FALSE),"")</f>
      </c>
      <c r="F3651" s="1" t="str">
        <f>IFERROR(VLOOKUP(B3651,'SB1'!$A$2:$C$999999,3,FALSE),"")</f>
        <v>503</v>
      </c>
      <c r="G3651" s="3" t="e">
        <f t="shared" ref="G3651:G3714" si="127">E3651*1.04</f>
        <v>#VALUE!</v>
      </c>
      <c r="H3651" s="3" t="e">
        <f t="shared" si="126"/>
        <v>#VALUE!</v>
      </c>
      <c r="I3651" s="1">
        <v>1</v>
      </c>
    </row>
    <row r="3652" spans="1:9" x14ac:dyDescent="0.25">
      <c r="A3652" s="1" t="s">
        <v>14435</v>
      </c>
      <c r="B3652" s="1" t="s">
        <v>10893</v>
      </c>
      <c r="C3652" s="1" t="str">
        <f>IFERROR(VLOOKUP(B3652,'SB1'!$A$2:$B$999999,2,FALSE),"")</f>
        <v>ESMALTE SINTETICO SECADO RAPIDO VANGUARD VERDE INGLES X  4</v>
      </c>
      <c r="D3652" s="1" t="s">
        <v>14506</v>
      </c>
      <c r="E3652" s="3">
        <f>IFERROR(VLOOKUP(B3652,'DA1'!$B$2:$D$999999,3,FALSE),"")</f>
      </c>
      <c r="F3652" s="1" t="str">
        <f>IFERROR(VLOOKUP(B3652,'SB1'!$A$2:$C$999999,3,FALSE),"")</f>
        <v>503</v>
      </c>
      <c r="G3652" s="3" t="e">
        <f t="shared" si="127"/>
        <v>#VALUE!</v>
      </c>
      <c r="H3652" s="3" t="e">
        <f t="shared" si="126"/>
        <v>#VALUE!</v>
      </c>
      <c r="I3652" s="1">
        <v>1</v>
      </c>
    </row>
    <row r="3653" spans="1:9" x14ac:dyDescent="0.25">
      <c r="A3653" s="1" t="s">
        <v>14435</v>
      </c>
      <c r="B3653" s="1" t="s">
        <v>10895</v>
      </c>
      <c r="C3653" s="1" t="str">
        <f>IFERROR(VLOOKUP(B3653,'SB1'!$A$2:$B$999999,2,FALSE),"")</f>
        <v>ESMALTE SINTETICO SECADO RAPIDO VANGUARD VERDE INGLES X 20</v>
      </c>
      <c r="D3653" s="1" t="s">
        <v>14506</v>
      </c>
      <c r="E3653" s="3">
        <f>IFERROR(VLOOKUP(B3653,'DA1'!$B$2:$D$999999,3,FALSE),"")</f>
      </c>
      <c r="F3653" s="1" t="str">
        <f>IFERROR(VLOOKUP(B3653,'SB1'!$A$2:$C$999999,3,FALSE),"")</f>
        <v>503</v>
      </c>
      <c r="G3653" s="3" t="e">
        <f t="shared" si="127"/>
        <v>#VALUE!</v>
      </c>
      <c r="H3653" s="3" t="e">
        <f t="shared" si="126"/>
        <v>#VALUE!</v>
      </c>
      <c r="I3653" s="1">
        <v>1</v>
      </c>
    </row>
    <row r="3654" spans="1:9" x14ac:dyDescent="0.25">
      <c r="A3654" s="1" t="s">
        <v>14435</v>
      </c>
      <c r="B3654" s="1" t="s">
        <v>10897</v>
      </c>
      <c r="C3654" s="1" t="str">
        <f>IFERROR(VLOOKUP(B3654,'SB1'!$A$2:$B$999999,2,FALSE),"")</f>
        <v>ESMALTE SINTETICO SECADO RAPIDO VANGUARD AZULEJO X  4</v>
      </c>
      <c r="D3654" s="1" t="s">
        <v>14506</v>
      </c>
      <c r="E3654" s="3">
        <f>IFERROR(VLOOKUP(B3654,'DA1'!$B$2:$D$999999,3,FALSE),"")</f>
      </c>
      <c r="F3654" s="1" t="str">
        <f>IFERROR(VLOOKUP(B3654,'SB1'!$A$2:$C$999999,3,FALSE),"")</f>
        <v>503</v>
      </c>
      <c r="G3654" s="3" t="e">
        <f t="shared" si="127"/>
        <v>#VALUE!</v>
      </c>
      <c r="H3654" s="3" t="e">
        <f t="shared" si="126"/>
        <v>#VALUE!</v>
      </c>
      <c r="I3654" s="1">
        <v>1</v>
      </c>
    </row>
    <row r="3655" spans="1:9" x14ac:dyDescent="0.25">
      <c r="A3655" s="1" t="s">
        <v>14435</v>
      </c>
      <c r="B3655" s="1" t="s">
        <v>10899</v>
      </c>
      <c r="C3655" s="1" t="str">
        <f>IFERROR(VLOOKUP(B3655,'SB1'!$A$2:$B$999999,2,FALSE),"")</f>
        <v>ESMALTE SINTETICO SECADO RAPIDO VANGUARD AZULEJO X 20</v>
      </c>
      <c r="D3655" s="1" t="s">
        <v>14506</v>
      </c>
      <c r="E3655" s="3">
        <f>IFERROR(VLOOKUP(B3655,'DA1'!$B$2:$D$999999,3,FALSE),"")</f>
      </c>
      <c r="F3655" s="1" t="str">
        <f>IFERROR(VLOOKUP(B3655,'SB1'!$A$2:$C$999999,3,FALSE),"")</f>
        <v>503</v>
      </c>
      <c r="G3655" s="3" t="e">
        <f t="shared" si="127"/>
        <v>#VALUE!</v>
      </c>
      <c r="H3655" s="3" t="e">
        <f t="shared" si="126"/>
        <v>#VALUE!</v>
      </c>
      <c r="I3655" s="1">
        <v>1</v>
      </c>
    </row>
    <row r="3656" spans="1:9" x14ac:dyDescent="0.25">
      <c r="A3656" s="1" t="s">
        <v>14435</v>
      </c>
      <c r="B3656" s="1" t="s">
        <v>10901</v>
      </c>
      <c r="C3656" s="1" t="str">
        <f>IFERROR(VLOOKUP(B3656,'SB1'!$A$2:$B$999999,2,FALSE),"")</f>
        <v>ESMALTE SINTETICO SECADO RAPIDO VANGUARD GRIS 020 X  4</v>
      </c>
      <c r="D3656" s="1" t="s">
        <v>14506</v>
      </c>
      <c r="E3656" s="3">
        <f>IFERROR(VLOOKUP(B3656,'DA1'!$B$2:$D$999999,3,FALSE),"")</f>
      </c>
      <c r="F3656" s="1" t="str">
        <f>IFERROR(VLOOKUP(B3656,'SB1'!$A$2:$C$999999,3,FALSE),"")</f>
        <v>503</v>
      </c>
      <c r="G3656" s="3" t="e">
        <f t="shared" si="127"/>
        <v>#VALUE!</v>
      </c>
      <c r="H3656" s="3" t="e">
        <f t="shared" si="126"/>
        <v>#VALUE!</v>
      </c>
      <c r="I3656" s="1">
        <v>1</v>
      </c>
    </row>
    <row r="3657" spans="1:9" x14ac:dyDescent="0.25">
      <c r="A3657" s="1" t="s">
        <v>14435</v>
      </c>
      <c r="B3657" s="1" t="s">
        <v>10903</v>
      </c>
      <c r="C3657" s="1" t="str">
        <f>IFERROR(VLOOKUP(B3657,'SB1'!$A$2:$B$999999,2,FALSE),"")</f>
        <v>ESMALTE SINTETICO SECADO RAPIDO VANGUARD GRIS 020 X 20</v>
      </c>
      <c r="D3657" s="1" t="s">
        <v>14506</v>
      </c>
      <c r="E3657" s="3">
        <f>IFERROR(VLOOKUP(B3657,'DA1'!$B$2:$D$999999,3,FALSE),"")</f>
      </c>
      <c r="F3657" s="1" t="str">
        <f>IFERROR(VLOOKUP(B3657,'SB1'!$A$2:$C$999999,3,FALSE),"")</f>
        <v>503</v>
      </c>
      <c r="G3657" s="3" t="e">
        <f t="shared" si="127"/>
        <v>#VALUE!</v>
      </c>
      <c r="H3657" s="3" t="e">
        <f t="shared" si="126"/>
        <v>#VALUE!</v>
      </c>
      <c r="I3657" s="1">
        <v>1</v>
      </c>
    </row>
    <row r="3658" spans="1:9" x14ac:dyDescent="0.25">
      <c r="A3658" s="1" t="s">
        <v>14435</v>
      </c>
      <c r="B3658" s="1" t="s">
        <v>10905</v>
      </c>
      <c r="C3658" s="1" t="str">
        <f>IFERROR(VLOOKUP(B3658,'SB1'!$A$2:$B$999999,2,FALSE),"")</f>
        <v>ESMALTE SINTETICO SECADO RAPIDO VANGUARD ALUMINIO X  4</v>
      </c>
      <c r="D3658" s="1" t="s">
        <v>14506</v>
      </c>
      <c r="E3658" s="3">
        <f>IFERROR(VLOOKUP(B3658,'DA1'!$B$2:$D$999999,3,FALSE),"")</f>
      </c>
      <c r="F3658" s="1" t="str">
        <f>IFERROR(VLOOKUP(B3658,'SB1'!$A$2:$C$999999,3,FALSE),"")</f>
        <v>503</v>
      </c>
      <c r="G3658" s="3" t="e">
        <f t="shared" si="127"/>
        <v>#VALUE!</v>
      </c>
      <c r="H3658" s="3" t="e">
        <f t="shared" si="126"/>
        <v>#VALUE!</v>
      </c>
      <c r="I3658" s="1">
        <v>1</v>
      </c>
    </row>
    <row r="3659" spans="1:9" x14ac:dyDescent="0.25">
      <c r="A3659" s="1" t="s">
        <v>14435</v>
      </c>
      <c r="B3659" s="1" t="s">
        <v>10907</v>
      </c>
      <c r="C3659" s="1" t="str">
        <f>IFERROR(VLOOKUP(B3659,'SB1'!$A$2:$B$999999,2,FALSE),"")</f>
        <v>ESMALTE SINTETICO SECADO RAPIDO VANGUARD ALUMINIO X 20</v>
      </c>
      <c r="D3659" s="1" t="s">
        <v>14506</v>
      </c>
      <c r="E3659" s="3">
        <f>IFERROR(VLOOKUP(B3659,'DA1'!$B$2:$D$999999,3,FALSE),"")</f>
      </c>
      <c r="F3659" s="1" t="str">
        <f>IFERROR(VLOOKUP(B3659,'SB1'!$A$2:$C$999999,3,FALSE),"")</f>
        <v>503</v>
      </c>
      <c r="G3659" s="3" t="e">
        <f t="shared" si="127"/>
        <v>#VALUE!</v>
      </c>
      <c r="H3659" s="3" t="e">
        <f t="shared" si="126"/>
        <v>#VALUE!</v>
      </c>
      <c r="I3659" s="1">
        <v>1</v>
      </c>
    </row>
    <row r="3660" spans="1:9" x14ac:dyDescent="0.25">
      <c r="A3660" s="1" t="s">
        <v>14435</v>
      </c>
      <c r="B3660" s="1" t="s">
        <v>10909</v>
      </c>
      <c r="C3660" s="1" t="str">
        <f>IFERROR(VLOOKUP(B3660,'SB1'!$A$2:$B$999999,2,FALSE),"")</f>
        <v>ESMALTE SINTETICO SECADO RAPIDO VANGUARD TRANSPARENTE X  3,2</v>
      </c>
      <c r="D3660" s="1" t="s">
        <v>14506</v>
      </c>
      <c r="E3660" s="3">
        <f>IFERROR(VLOOKUP(B3660,'DA1'!$B$2:$D$999999,3,FALSE),"")</f>
      </c>
      <c r="F3660" s="1" t="str">
        <f>IFERROR(VLOOKUP(B3660,'SB1'!$A$2:$C$999999,3,FALSE),"")</f>
        <v>503</v>
      </c>
      <c r="G3660" s="3" t="e">
        <f t="shared" si="127"/>
        <v>#VALUE!</v>
      </c>
      <c r="H3660" s="3" t="e">
        <f t="shared" si="126"/>
        <v>#VALUE!</v>
      </c>
      <c r="I3660" s="1">
        <v>1</v>
      </c>
    </row>
    <row r="3661" spans="1:9" x14ac:dyDescent="0.25">
      <c r="A3661" s="1" t="s">
        <v>14435</v>
      </c>
      <c r="B3661" s="1" t="s">
        <v>10911</v>
      </c>
      <c r="C3661" s="1" t="str">
        <f>IFERROR(VLOOKUP(B3661,'SB1'!$A$2:$B$999999,2,FALSE),"")</f>
        <v>ESMALTE SINTETICO SECADO RAPIDO VANGUARD TRANSPARENTE X 16</v>
      </c>
      <c r="D3661" s="1" t="s">
        <v>14506</v>
      </c>
      <c r="E3661" s="3">
        <f>IFERROR(VLOOKUP(B3661,'DA1'!$B$2:$D$999999,3,FALSE),"")</f>
      </c>
      <c r="F3661" s="1" t="str">
        <f>IFERROR(VLOOKUP(B3661,'SB1'!$A$2:$C$999999,3,FALSE),"")</f>
        <v>503</v>
      </c>
      <c r="G3661" s="3" t="e">
        <f t="shared" si="127"/>
        <v>#VALUE!</v>
      </c>
      <c r="H3661" s="3" t="e">
        <f t="shared" si="126"/>
        <v>#VALUE!</v>
      </c>
      <c r="I3661" s="1">
        <v>1</v>
      </c>
    </row>
    <row r="3662" spans="1:9" x14ac:dyDescent="0.25">
      <c r="A3662" s="1" t="s">
        <v>14435</v>
      </c>
      <c r="B3662" s="1" t="s">
        <v>10913</v>
      </c>
      <c r="C3662" s="1" t="str">
        <f>IFERROR(VLOOKUP(B3662,'SB1'!$A$2:$B$999999,2,FALSE),"")</f>
        <v>ESMALTE SINTETICO SECADO RAPIDO VANGUARD BLANCO X  3,20</v>
      </c>
      <c r="D3662" s="1" t="s">
        <v>14506</v>
      </c>
      <c r="E3662" s="3">
        <f>IFERROR(VLOOKUP(B3662,'DA1'!$B$2:$D$999999,3,FALSE),"")</f>
      </c>
      <c r="F3662" s="1" t="str">
        <f>IFERROR(VLOOKUP(B3662,'SB1'!$A$2:$C$999999,3,FALSE),"")</f>
        <v>503</v>
      </c>
      <c r="G3662" s="3" t="e">
        <f t="shared" si="127"/>
        <v>#VALUE!</v>
      </c>
      <c r="H3662" s="3" t="e">
        <f t="shared" si="126"/>
        <v>#VALUE!</v>
      </c>
      <c r="I3662" s="1">
        <v>1</v>
      </c>
    </row>
    <row r="3663" spans="1:9" x14ac:dyDescent="0.25">
      <c r="A3663" s="1" t="s">
        <v>14435</v>
      </c>
      <c r="B3663" s="1" t="s">
        <v>10915</v>
      </c>
      <c r="C3663" s="1" t="str">
        <f>IFERROR(VLOOKUP(B3663,'SB1'!$A$2:$B$999999,2,FALSE),"")</f>
        <v>ESMALTE SINTETICO SECADO RAPIDO VANGUARD BLANCO X 16</v>
      </c>
      <c r="D3663" s="1" t="s">
        <v>14506</v>
      </c>
      <c r="E3663" s="3">
        <f>IFERROR(VLOOKUP(B3663,'DA1'!$B$2:$D$999999,3,FALSE),"")</f>
      </c>
      <c r="F3663" s="1" t="str">
        <f>IFERROR(VLOOKUP(B3663,'SB1'!$A$2:$C$999999,3,FALSE),"")</f>
        <v>503</v>
      </c>
      <c r="G3663" s="3" t="e">
        <f t="shared" si="127"/>
        <v>#VALUE!</v>
      </c>
      <c r="H3663" s="3" t="e">
        <f t="shared" si="126"/>
        <v>#VALUE!</v>
      </c>
      <c r="I3663" s="1">
        <v>1</v>
      </c>
    </row>
    <row r="3664" spans="1:9" x14ac:dyDescent="0.25">
      <c r="A3664" s="1" t="s">
        <v>14435</v>
      </c>
      <c r="B3664" s="1" t="s">
        <v>10921</v>
      </c>
      <c r="C3664" s="1" t="str">
        <f>IFERROR(VLOOKUP(B3664,'SB1'!$A$2:$B$999999,2,FALSE),"")</f>
        <v>BALDE DE 11LTS CON ESCURRIDOR BLACK</v>
      </c>
      <c r="D3664" s="1" t="s">
        <v>14452</v>
      </c>
      <c r="E3664" s="3">
        <f>IFERROR(VLOOKUP(B3664,'DA1'!$B$2:$D$999999,3,FALSE),"")</f>
      </c>
      <c r="F3664" s="1" t="str">
        <f>IFERROR(VLOOKUP(B3664,'SB1'!$A$2:$C$999999,3,FALSE),"")</f>
        <v>503</v>
      </c>
      <c r="G3664" s="3" t="e">
        <f t="shared" si="127"/>
        <v>#VALUE!</v>
      </c>
      <c r="H3664" s="3" t="e">
        <f t="shared" si="126"/>
        <v>#VALUE!</v>
      </c>
      <c r="I3664" s="1">
        <v>1</v>
      </c>
    </row>
    <row r="3665" spans="1:9" x14ac:dyDescent="0.25">
      <c r="A3665" s="1" t="s">
        <v>14435</v>
      </c>
      <c r="B3665" s="1" t="s">
        <v>10923</v>
      </c>
      <c r="C3665" s="1" t="str">
        <f>IFERROR(VLOOKUP(B3665,'SB1'!$A$2:$B$999999,2,FALSE),"")</f>
        <v>ESCURRIDOR PARA BALDE (GRANDE)</v>
      </c>
      <c r="D3665" s="1" t="s">
        <v>14452</v>
      </c>
      <c r="E3665" s="3">
        <f>IFERROR(VLOOKUP(B3665,'DA1'!$B$2:$D$999999,3,FALSE),"")</f>
      </c>
      <c r="F3665" s="1" t="str">
        <f>IFERROR(VLOOKUP(B3665,'SB1'!$A$2:$C$999999,3,FALSE),"")</f>
        <v>503</v>
      </c>
      <c r="G3665" s="3" t="e">
        <f t="shared" si="127"/>
        <v>#VALUE!</v>
      </c>
      <c r="H3665" s="3" t="e">
        <f t="shared" si="126"/>
        <v>#VALUE!</v>
      </c>
      <c r="I3665" s="1">
        <v>1</v>
      </c>
    </row>
    <row r="3666" spans="1:9" x14ac:dyDescent="0.25">
      <c r="A3666" s="1" t="s">
        <v>14435</v>
      </c>
      <c r="B3666" s="1" t="s">
        <v>10925</v>
      </c>
      <c r="C3666" s="1" t="str">
        <f>IFERROR(VLOOKUP(B3666,'SB1'!$A$2:$B$999999,2,FALSE),"")</f>
        <v>LATEX INTERIOR ACRILPLAST MATE BLANCO X  1</v>
      </c>
      <c r="D3666" s="1" t="s">
        <v>14463</v>
      </c>
      <c r="E3666" s="3">
        <f>IFERROR(VLOOKUP(B3666,'DA1'!$B$2:$D$999999,3,FALSE),"")</f>
      </c>
      <c r="F3666" s="1" t="str">
        <f>IFERROR(VLOOKUP(B3666,'SB1'!$A$2:$C$999999,3,FALSE),"")</f>
        <v>503</v>
      </c>
      <c r="G3666" s="3" t="e">
        <f t="shared" si="127"/>
        <v>#VALUE!</v>
      </c>
      <c r="H3666" s="3" t="e">
        <f t="shared" si="126"/>
        <v>#VALUE!</v>
      </c>
      <c r="I3666" s="1">
        <v>1</v>
      </c>
    </row>
    <row r="3667" spans="1:9" x14ac:dyDescent="0.25">
      <c r="A3667" s="1" t="s">
        <v>14435</v>
      </c>
      <c r="B3667" s="1" t="s">
        <v>10927</v>
      </c>
      <c r="C3667" s="1" t="str">
        <f>IFERROR(VLOOKUP(B3667,'SB1'!$A$2:$B$999999,2,FALSE),"")</f>
        <v>LATEX INTERIOR ACRILPLAST MATE BLANCO X  4</v>
      </c>
      <c r="D3667" s="1" t="s">
        <v>14463</v>
      </c>
      <c r="E3667" s="3">
        <f>IFERROR(VLOOKUP(B3667,'DA1'!$B$2:$D$999999,3,FALSE),"")</f>
      </c>
      <c r="F3667" s="1" t="str">
        <f>IFERROR(VLOOKUP(B3667,'SB1'!$A$2:$C$999999,3,FALSE),"")</f>
        <v>503</v>
      </c>
      <c r="G3667" s="3" t="e">
        <f t="shared" si="127"/>
        <v>#VALUE!</v>
      </c>
      <c r="H3667" s="3" t="e">
        <f t="shared" si="126"/>
        <v>#VALUE!</v>
      </c>
      <c r="I3667" s="1">
        <v>1</v>
      </c>
    </row>
    <row r="3668" spans="1:9" x14ac:dyDescent="0.25">
      <c r="A3668" s="1" t="s">
        <v>14435</v>
      </c>
      <c r="B3668" s="1" t="s">
        <v>10929</v>
      </c>
      <c r="C3668" s="1" t="str">
        <f>IFERROR(VLOOKUP(B3668,'SB1'!$A$2:$B$999999,2,FALSE),"")</f>
        <v>LATEX INTERIOR ACRILPLAST MATE BLANCO X 10</v>
      </c>
      <c r="D3668" s="1" t="s">
        <v>14463</v>
      </c>
      <c r="E3668" s="3">
        <f>IFERROR(VLOOKUP(B3668,'DA1'!$B$2:$D$999999,3,FALSE),"")</f>
      </c>
      <c r="F3668" s="1" t="str">
        <f>IFERROR(VLOOKUP(B3668,'SB1'!$A$2:$C$999999,3,FALSE),"")</f>
        <v>503</v>
      </c>
      <c r="G3668" s="3" t="e">
        <f t="shared" si="127"/>
        <v>#VALUE!</v>
      </c>
      <c r="H3668" s="3" t="e">
        <f t="shared" si="126"/>
        <v>#VALUE!</v>
      </c>
      <c r="I3668" s="1">
        <v>1</v>
      </c>
    </row>
    <row r="3669" spans="1:9" x14ac:dyDescent="0.25">
      <c r="A3669" s="1" t="s">
        <v>14435</v>
      </c>
      <c r="B3669" s="1" t="s">
        <v>10931</v>
      </c>
      <c r="C3669" s="1" t="str">
        <f>IFERROR(VLOOKUP(B3669,'SB1'!$A$2:$B$999999,2,FALSE),"")</f>
        <v>LATEX INTERIOR ACRILPLAST MATE BLANCO X 20</v>
      </c>
      <c r="D3669" s="1" t="s">
        <v>14463</v>
      </c>
      <c r="E3669" s="3">
        <f>IFERROR(VLOOKUP(B3669,'DA1'!$B$2:$D$999999,3,FALSE),"")</f>
      </c>
      <c r="F3669" s="1" t="str">
        <f>IFERROR(VLOOKUP(B3669,'SB1'!$A$2:$C$999999,3,FALSE),"")</f>
        <v>503</v>
      </c>
      <c r="G3669" s="3" t="e">
        <f t="shared" si="127"/>
        <v>#VALUE!</v>
      </c>
      <c r="H3669" s="3" t="e">
        <f t="shared" si="126"/>
        <v>#VALUE!</v>
      </c>
      <c r="I3669" s="1">
        <v>1</v>
      </c>
    </row>
    <row r="3670" spans="1:9" x14ac:dyDescent="0.25">
      <c r="A3670" s="1" t="s">
        <v>14435</v>
      </c>
      <c r="B3670" s="1" t="s">
        <v>10933</v>
      </c>
      <c r="C3670" s="1" t="str">
        <f>IFERROR(VLOOKUP(B3670,'SB1'!$A$2:$B$999999,2,FALSE),"")</f>
        <v>EPOXI INTERSEAL 1509 GRIS N6,5 X 7,2</v>
      </c>
      <c r="D3670" s="1" t="s">
        <v>14492</v>
      </c>
      <c r="E3670" s="3">
        <f>IFERROR(VLOOKUP(B3670,'DA1'!$B$2:$D$999999,3,FALSE),"")</f>
      </c>
      <c r="F3670" s="1" t="str">
        <f>IFERROR(VLOOKUP(B3670,'SB1'!$A$2:$C$999999,3,FALSE),"")</f>
        <v>503</v>
      </c>
      <c r="G3670" s="3" t="e">
        <f t="shared" si="127"/>
        <v>#VALUE!</v>
      </c>
      <c r="H3670" s="3" t="e">
        <f t="shared" si="126"/>
        <v>#VALUE!</v>
      </c>
      <c r="I3670" s="1">
        <v>2</v>
      </c>
    </row>
    <row r="3671" spans="1:9" x14ac:dyDescent="0.25">
      <c r="A3671" s="1" t="s">
        <v>14435</v>
      </c>
      <c r="B3671" s="1" t="s">
        <v>10935</v>
      </c>
      <c r="C3671" s="1" t="str">
        <f>IFERROR(VLOOKUP(B3671,'SB1'!$A$2:$B$999999,2,FALSE),"")</f>
        <v>EPOXI INTERSEAL 1509 GRIS N6,5 X 40</v>
      </c>
      <c r="D3671" s="1" t="s">
        <v>14492</v>
      </c>
      <c r="E3671" s="3">
        <f>IFERROR(VLOOKUP(B3671,'DA1'!$B$2:$D$999999,3,FALSE),"")</f>
      </c>
      <c r="F3671" s="1" t="str">
        <f>IFERROR(VLOOKUP(B3671,'SB1'!$A$2:$C$999999,3,FALSE),"")</f>
        <v>503</v>
      </c>
      <c r="G3671" s="3" t="e">
        <f t="shared" si="127"/>
        <v>#VALUE!</v>
      </c>
      <c r="H3671" s="3" t="e">
        <f t="shared" si="126"/>
        <v>#VALUE!</v>
      </c>
      <c r="I3671" s="1">
        <v>2</v>
      </c>
    </row>
    <row r="3672" spans="1:9" x14ac:dyDescent="0.25">
      <c r="A3672" s="1" t="s">
        <v>14435</v>
      </c>
      <c r="B3672" s="1" t="s">
        <v>10939</v>
      </c>
      <c r="C3672" s="1" t="str">
        <f>IFERROR(VLOOKUP(B3672,'SB1'!$A$2:$B$999999,2,FALSE),"")</f>
        <v>SPRAY CHALKED AMARILLO X 0,170(307591)</v>
      </c>
      <c r="D3672" s="1" t="s">
        <v>14475</v>
      </c>
      <c r="E3672" s="3">
        <f>IFERROR(VLOOKUP(B3672,'DA1'!$B$2:$D$999999,3,FALSE),"")</f>
      </c>
      <c r="F3672" s="1" t="str">
        <f>IFERROR(VLOOKUP(B3672,'SB1'!$A$2:$C$999999,3,FALSE),"")</f>
        <v>503</v>
      </c>
      <c r="G3672" s="3" t="e">
        <f t="shared" si="127"/>
        <v>#VALUE!</v>
      </c>
      <c r="H3672" s="3" t="e">
        <f t="shared" si="126"/>
        <v>#VALUE!</v>
      </c>
      <c r="I3672" s="1">
        <v>1</v>
      </c>
    </row>
    <row r="3673" spans="1:9" x14ac:dyDescent="0.25">
      <c r="A3673" s="1" t="s">
        <v>14435</v>
      </c>
      <c r="B3673" s="1" t="s">
        <v>10941</v>
      </c>
      <c r="C3673" s="1" t="str">
        <f>IFERROR(VLOOKUP(B3673,'SB1'!$A$2:$B$999999,2,FALSE),"")</f>
        <v>SPRAY CHALKED AZUL X 0,170(307589)</v>
      </c>
      <c r="D3673" s="1" t="s">
        <v>14475</v>
      </c>
      <c r="E3673" s="3">
        <f>IFERROR(VLOOKUP(B3673,'DA1'!$B$2:$D$999999,3,FALSE),"")</f>
      </c>
      <c r="F3673" s="1" t="str">
        <f>IFERROR(VLOOKUP(B3673,'SB1'!$A$2:$C$999999,3,FALSE),"")</f>
        <v>503</v>
      </c>
      <c r="G3673" s="3" t="e">
        <f t="shared" si="127"/>
        <v>#VALUE!</v>
      </c>
      <c r="H3673" s="3" t="e">
        <f t="shared" si="126"/>
        <v>#VALUE!</v>
      </c>
      <c r="I3673" s="1">
        <v>1</v>
      </c>
    </row>
    <row r="3674" spans="1:9" x14ac:dyDescent="0.25">
      <c r="A3674" s="1" t="s">
        <v>14435</v>
      </c>
      <c r="B3674" s="1" t="s">
        <v>10943</v>
      </c>
      <c r="C3674" s="1" t="str">
        <f>IFERROR(VLOOKUP(B3674,'SB1'!$A$2:$B$999999,2,FALSE),"")</f>
        <v>SPRAY CHALKED BLANCO X 0,170(307587)</v>
      </c>
      <c r="D3674" s="1" t="s">
        <v>14475</v>
      </c>
      <c r="E3674" s="3">
        <f>IFERROR(VLOOKUP(B3674,'DA1'!$B$2:$D$999999,3,FALSE),"")</f>
      </c>
      <c r="F3674" s="1" t="str">
        <f>IFERROR(VLOOKUP(B3674,'SB1'!$A$2:$C$999999,3,FALSE),"")</f>
        <v>503</v>
      </c>
      <c r="G3674" s="3" t="e">
        <f t="shared" si="127"/>
        <v>#VALUE!</v>
      </c>
      <c r="H3674" s="3" t="e">
        <f t="shared" si="126"/>
        <v>#VALUE!</v>
      </c>
      <c r="I3674" s="1">
        <v>1</v>
      </c>
    </row>
    <row r="3675" spans="1:9" x14ac:dyDescent="0.25">
      <c r="A3675" s="1" t="s">
        <v>14435</v>
      </c>
      <c r="B3675" s="1" t="s">
        <v>10945</v>
      </c>
      <c r="C3675" s="1" t="str">
        <f>IFERROR(VLOOKUP(B3675,'SB1'!$A$2:$B$999999,2,FALSE),"")</f>
        <v>SPRAY CHALKED ROSA X 0,170(307588)</v>
      </c>
      <c r="D3675" s="1" t="s">
        <v>14475</v>
      </c>
      <c r="E3675" s="3">
        <f>IFERROR(VLOOKUP(B3675,'DA1'!$B$2:$D$999999,3,FALSE),"")</f>
      </c>
      <c r="F3675" s="1" t="str">
        <f>IFERROR(VLOOKUP(B3675,'SB1'!$A$2:$C$999999,3,FALSE),"")</f>
        <v>503</v>
      </c>
      <c r="G3675" s="3" t="e">
        <f t="shared" si="127"/>
        <v>#VALUE!</v>
      </c>
      <c r="H3675" s="3" t="e">
        <f t="shared" si="126"/>
        <v>#VALUE!</v>
      </c>
      <c r="I3675" s="1">
        <v>1</v>
      </c>
    </row>
    <row r="3676" spans="1:9" x14ac:dyDescent="0.25">
      <c r="A3676" s="1" t="s">
        <v>14435</v>
      </c>
      <c r="B3676" s="1" t="s">
        <v>10947</v>
      </c>
      <c r="C3676" s="1" t="str">
        <f>IFERROR(VLOOKUP(B3676,'SB1'!$A$2:$B$999999,2,FALSE),"")</f>
        <v>PINTURA BROCHABLE CHALKED RUST-OLEUM EXTERIOR MATE ANTRACITA X 0,887(365435)</v>
      </c>
      <c r="D3676" s="1" t="s">
        <v>14475</v>
      </c>
      <c r="E3676" s="3">
        <f>IFERROR(VLOOKUP(B3676,'DA1'!$B$2:$D$999999,3,FALSE),"")</f>
      </c>
      <c r="F3676" s="1" t="str">
        <f>IFERROR(VLOOKUP(B3676,'SB1'!$A$2:$C$999999,3,FALSE),"")</f>
        <v>503</v>
      </c>
      <c r="G3676" s="3" t="e">
        <f t="shared" si="127"/>
        <v>#VALUE!</v>
      </c>
      <c r="H3676" s="3" t="e">
        <f t="shared" si="126"/>
        <v>#VALUE!</v>
      </c>
      <c r="I3676" s="1">
        <v>1</v>
      </c>
    </row>
    <row r="3677" spans="1:9" x14ac:dyDescent="0.25">
      <c r="A3677" s="1" t="s">
        <v>14435</v>
      </c>
      <c r="B3677" s="1" t="s">
        <v>10949</v>
      </c>
      <c r="C3677" s="1" t="str">
        <f>IFERROR(VLOOKUP(B3677,'SB1'!$A$2:$B$999999,2,FALSE),"")</f>
        <v>PINTURA BROCHABLE CHALKED RUST-OLEUM EXTERIOR MATE AZUL AMANECER X 0,887(365431)</v>
      </c>
      <c r="D3677" s="1" t="s">
        <v>14475</v>
      </c>
      <c r="E3677" s="3">
        <f>IFERROR(VLOOKUP(B3677,'DA1'!$B$2:$D$999999,3,FALSE),"")</f>
      </c>
      <c r="F3677" s="1" t="str">
        <f>IFERROR(VLOOKUP(B3677,'SB1'!$A$2:$C$999999,3,FALSE),"")</f>
        <v>503</v>
      </c>
      <c r="G3677" s="3" t="e">
        <f t="shared" si="127"/>
        <v>#VALUE!</v>
      </c>
      <c r="H3677" s="3" t="e">
        <f t="shared" si="126"/>
        <v>#VALUE!</v>
      </c>
      <c r="I3677" s="1">
        <v>1</v>
      </c>
    </row>
    <row r="3678" spans="1:9" x14ac:dyDescent="0.25">
      <c r="A3678" s="1" t="s">
        <v>14435</v>
      </c>
      <c r="B3678" s="1" t="s">
        <v>10951</v>
      </c>
      <c r="C3678" s="1" t="str">
        <f>IFERROR(VLOOKUP(B3678,'SB1'!$A$2:$B$999999,2,FALSE),"")</f>
        <v>PINTURA BROCHABLE CHALKED RUST-OLEUM EXTERIOR MATE AZUL PROFUNDO X 0,887(365432)</v>
      </c>
      <c r="D3678" s="1" t="s">
        <v>14475</v>
      </c>
      <c r="E3678" s="3">
        <f>IFERROR(VLOOKUP(B3678,'DA1'!$B$2:$D$999999,3,FALSE),"")</f>
      </c>
      <c r="F3678" s="1" t="str">
        <f>IFERROR(VLOOKUP(B3678,'SB1'!$A$2:$C$999999,3,FALSE),"")</f>
        <v>503</v>
      </c>
      <c r="G3678" s="3" t="e">
        <f t="shared" si="127"/>
        <v>#VALUE!</v>
      </c>
      <c r="H3678" s="3" t="e">
        <f t="shared" si="126"/>
        <v>#VALUE!</v>
      </c>
      <c r="I3678" s="1">
        <v>1</v>
      </c>
    </row>
    <row r="3679" spans="1:9" x14ac:dyDescent="0.25">
      <c r="A3679" s="1" t="s">
        <v>14435</v>
      </c>
      <c r="B3679" s="1" t="s">
        <v>10953</v>
      </c>
      <c r="C3679" s="1" t="str">
        <f>IFERROR(VLOOKUP(B3679,'SB1'!$A$2:$B$999999,2,FALSE),"")</f>
        <v>PINTURA BROCHABLE CHALKED RUST-OLEUM EXTERIOR MATE BLANCO TIZA X 0,887(365427)</v>
      </c>
      <c r="D3679" s="1" t="s">
        <v>14475</v>
      </c>
      <c r="E3679" s="3">
        <f>IFERROR(VLOOKUP(B3679,'DA1'!$B$2:$D$999999,3,FALSE),"")</f>
      </c>
      <c r="F3679" s="1" t="str">
        <f>IFERROR(VLOOKUP(B3679,'SB1'!$A$2:$C$999999,3,FALSE),"")</f>
        <v>503</v>
      </c>
      <c r="G3679" s="3" t="e">
        <f t="shared" si="127"/>
        <v>#VALUE!</v>
      </c>
      <c r="H3679" s="3" t="e">
        <f t="shared" si="126"/>
        <v>#VALUE!</v>
      </c>
      <c r="I3679" s="1">
        <v>1</v>
      </c>
    </row>
    <row r="3680" spans="1:9" x14ac:dyDescent="0.25">
      <c r="A3680" s="1" t="s">
        <v>14435</v>
      </c>
      <c r="B3680" s="1" t="s">
        <v>10955</v>
      </c>
      <c r="C3680" s="1" t="str">
        <f>IFERROR(VLOOKUP(B3680,'SB1'!$A$2:$B$999999,2,FALSE),"")</f>
        <v>PINTURA BROCHABLE CHALKED RUST-OLEUM EXTERIOR MATE BRUMA X 0,887(365434)</v>
      </c>
      <c r="D3680" s="1" t="s">
        <v>14475</v>
      </c>
      <c r="E3680" s="3">
        <f>IFERROR(VLOOKUP(B3680,'DA1'!$B$2:$D$999999,3,FALSE),"")</f>
      </c>
      <c r="F3680" s="1" t="str">
        <f>IFERROR(VLOOKUP(B3680,'SB1'!$A$2:$C$999999,3,FALSE),"")</f>
        <v>503</v>
      </c>
      <c r="G3680" s="3" t="e">
        <f t="shared" si="127"/>
        <v>#VALUE!</v>
      </c>
      <c r="H3680" s="3" t="e">
        <f t="shared" si="126"/>
        <v>#VALUE!</v>
      </c>
      <c r="I3680" s="1">
        <v>1</v>
      </c>
    </row>
    <row r="3681" spans="1:9" x14ac:dyDescent="0.25">
      <c r="A3681" s="1" t="s">
        <v>14435</v>
      </c>
      <c r="B3681" s="1" t="s">
        <v>10957</v>
      </c>
      <c r="C3681" s="1" t="str">
        <f>IFERROR(VLOOKUP(B3681,'SB1'!$A$2:$B$999999,2,FALSE),"")</f>
        <v>PINTURA BROCHABLE CHALKED RUST-OLEUM EXTERIOR MATE CREMA X 0,887(365428)</v>
      </c>
      <c r="D3681" s="1" t="s">
        <v>14475</v>
      </c>
      <c r="E3681" s="3">
        <f>IFERROR(VLOOKUP(B3681,'DA1'!$B$2:$D$999999,3,FALSE),"")</f>
      </c>
      <c r="F3681" s="1" t="str">
        <f>IFERROR(VLOOKUP(B3681,'SB1'!$A$2:$C$999999,3,FALSE),"")</f>
        <v>503</v>
      </c>
      <c r="G3681" s="3" t="e">
        <f t="shared" si="127"/>
        <v>#VALUE!</v>
      </c>
      <c r="H3681" s="3" t="e">
        <f t="shared" si="126"/>
        <v>#VALUE!</v>
      </c>
      <c r="I3681" s="1">
        <v>1</v>
      </c>
    </row>
    <row r="3682" spans="1:9" x14ac:dyDescent="0.25">
      <c r="A3682" s="1" t="s">
        <v>14435</v>
      </c>
      <c r="B3682" s="1" t="s">
        <v>10959</v>
      </c>
      <c r="C3682" s="1" t="str">
        <f>IFERROR(VLOOKUP(B3682,'SB1'!$A$2:$B$999999,2,FALSE),"")</f>
        <v>PINTURA BROCHABLE CHALKED RUST-OLEUM EXTERIOR MATE GRIS PALIDO X 0,887(365429)</v>
      </c>
      <c r="D3682" s="1" t="s">
        <v>14475</v>
      </c>
      <c r="E3682" s="3">
        <f>IFERROR(VLOOKUP(B3682,'DA1'!$B$2:$D$999999,3,FALSE),"")</f>
      </c>
      <c r="F3682" s="1" t="str">
        <f>IFERROR(VLOOKUP(B3682,'SB1'!$A$2:$C$999999,3,FALSE),"")</f>
        <v>503</v>
      </c>
      <c r="G3682" s="3" t="e">
        <f t="shared" si="127"/>
        <v>#VALUE!</v>
      </c>
      <c r="H3682" s="3" t="e">
        <f t="shared" si="126"/>
        <v>#VALUE!</v>
      </c>
      <c r="I3682" s="1">
        <v>1</v>
      </c>
    </row>
    <row r="3683" spans="1:9" x14ac:dyDescent="0.25">
      <c r="A3683" s="1" t="s">
        <v>14435</v>
      </c>
      <c r="B3683" s="1" t="s">
        <v>10961</v>
      </c>
      <c r="C3683" s="1" t="str">
        <f>IFERROR(VLOOKUP(B3683,'SB1'!$A$2:$B$999999,2,FALSE),"")</f>
        <v>PINTURA BROCHABLE CHALKED RUST-OLEUM EXTERIOR MATE VERDE SERENO X 0,887(365433)</v>
      </c>
      <c r="D3683" s="1" t="s">
        <v>14475</v>
      </c>
      <c r="E3683" s="3">
        <f>IFERROR(VLOOKUP(B3683,'DA1'!$B$2:$D$999999,3,FALSE),"")</f>
      </c>
      <c r="F3683" s="1" t="str">
        <f>IFERROR(VLOOKUP(B3683,'SB1'!$A$2:$C$999999,3,FALSE),"")</f>
        <v>503</v>
      </c>
      <c r="G3683" s="3" t="e">
        <f t="shared" si="127"/>
        <v>#VALUE!</v>
      </c>
      <c r="H3683" s="3" t="e">
        <f t="shared" si="126"/>
        <v>#VALUE!</v>
      </c>
      <c r="I3683" s="1">
        <v>1</v>
      </c>
    </row>
    <row r="3684" spans="1:9" x14ac:dyDescent="0.25">
      <c r="A3684" s="1" t="s">
        <v>14435</v>
      </c>
      <c r="B3684" s="1" t="s">
        <v>10975</v>
      </c>
      <c r="C3684" s="1" t="str">
        <f>IFERROR(VLOOKUP(B3684,'SB1'!$A$2:$B$999999,2,FALSE),"")</f>
        <v>ESMALTE POLIURETANO ACRILICO VANGUARD VERDE JOHN DEERE RAL 6001 X 20</v>
      </c>
      <c r="D3684" s="1" t="s">
        <v>14506</v>
      </c>
      <c r="E3684" s="3">
        <f>IFERROR(VLOOKUP(B3684,'DA1'!$B$2:$D$999999,3,FALSE),"")</f>
      </c>
      <c r="F3684" s="1" t="str">
        <f>IFERROR(VLOOKUP(B3684,'SB1'!$A$2:$C$999999,3,FALSE),"")</f>
        <v>503</v>
      </c>
      <c r="G3684" s="3" t="e">
        <f t="shared" si="127"/>
        <v>#VALUE!</v>
      </c>
      <c r="H3684" s="3" t="e">
        <f t="shared" si="126"/>
        <v>#VALUE!</v>
      </c>
      <c r="I3684" s="1">
        <v>1</v>
      </c>
    </row>
    <row r="3685" spans="1:9" x14ac:dyDescent="0.25">
      <c r="A3685" s="1" t="s">
        <v>14435</v>
      </c>
      <c r="B3685" s="1" t="s">
        <v>10977</v>
      </c>
      <c r="C3685" s="1" t="str">
        <f>IFERROR(VLOOKUP(B3685,'SB1'!$A$2:$B$999999,2,FALSE),"")</f>
        <v>ESMALTE POLIURETANO ACRILICO VANGUARD ROJO JOHN DEERE RAL 3020 X 20</v>
      </c>
      <c r="D3685" s="1" t="s">
        <v>14506</v>
      </c>
      <c r="E3685" s="3">
        <f>IFERROR(VLOOKUP(B3685,'DA1'!$B$2:$D$999999,3,FALSE),"")</f>
      </c>
      <c r="F3685" s="1" t="str">
        <f>IFERROR(VLOOKUP(B3685,'SB1'!$A$2:$C$999999,3,FALSE),"")</f>
        <v>503</v>
      </c>
      <c r="G3685" s="3" t="e">
        <f t="shared" si="127"/>
        <v>#VALUE!</v>
      </c>
      <c r="H3685" s="3" t="e">
        <f t="shared" si="126"/>
        <v>#VALUE!</v>
      </c>
      <c r="I3685" s="1">
        <v>1</v>
      </c>
    </row>
    <row r="3686" spans="1:9" x14ac:dyDescent="0.25">
      <c r="A3686" s="1" t="s">
        <v>14435</v>
      </c>
      <c r="B3686" s="1" t="s">
        <v>10979</v>
      </c>
      <c r="C3686" s="1" t="str">
        <f>IFERROR(VLOOKUP(B3686,'SB1'!$A$2:$B$999999,2,FALSE),"")</f>
        <v>ESMALTE POLIURETANO FAST-GUARD VANGUARD VERDE JOHN DEERE RAL 6001 X 20</v>
      </c>
      <c r="D3686" s="1" t="s">
        <v>14506</v>
      </c>
      <c r="E3686" s="3">
        <f>IFERROR(VLOOKUP(B3686,'DA1'!$B$2:$D$999999,3,FALSE),"")</f>
      </c>
      <c r="F3686" s="1" t="str">
        <f>IFERROR(VLOOKUP(B3686,'SB1'!$A$2:$C$999999,3,FALSE),"")</f>
        <v>503</v>
      </c>
      <c r="G3686" s="3" t="e">
        <f t="shared" si="127"/>
        <v>#VALUE!</v>
      </c>
      <c r="H3686" s="3" t="e">
        <f t="shared" si="126"/>
        <v>#VALUE!</v>
      </c>
      <c r="I3686" s="1">
        <v>1</v>
      </c>
    </row>
    <row r="3687" spans="1:9" x14ac:dyDescent="0.25">
      <c r="A3687" s="1" t="s">
        <v>14435</v>
      </c>
      <c r="B3687" s="1" t="s">
        <v>10981</v>
      </c>
      <c r="C3687" s="1" t="str">
        <f>IFERROR(VLOOKUP(B3687,'SB1'!$A$2:$B$999999,2,FALSE),"")</f>
        <v>ESMALTE POLIURETANO FAST-GUARD VANGUARD ROJO JOHN DEERE RAL 3020 X 20</v>
      </c>
      <c r="D3687" s="1" t="s">
        <v>14506</v>
      </c>
      <c r="E3687" s="3">
        <f>IFERROR(VLOOKUP(B3687,'DA1'!$B$2:$D$999999,3,FALSE),"")</f>
      </c>
      <c r="F3687" s="1" t="str">
        <f>IFERROR(VLOOKUP(B3687,'SB1'!$A$2:$C$999999,3,FALSE),"")</f>
        <v>503</v>
      </c>
      <c r="G3687" s="3" t="e">
        <f t="shared" si="127"/>
        <v>#VALUE!</v>
      </c>
      <c r="H3687" s="3" t="e">
        <f t="shared" si="126"/>
        <v>#VALUE!</v>
      </c>
      <c r="I3687" s="1">
        <v>1</v>
      </c>
    </row>
    <row r="3688" spans="1:9" x14ac:dyDescent="0.25">
      <c r="A3688" s="1" t="s">
        <v>14435</v>
      </c>
      <c r="B3688" s="1" t="s">
        <v>10983</v>
      </c>
      <c r="C3688" s="1" t="str">
        <f>IFERROR(VLOOKUP(B3688,'SB1'!$A$2:$B$999999,2,FALSE),"")</f>
        <v>LATEX INTERIOR ALBALATEX DESIGN TOQUE DE LUZ MATE BASE P X  0,900</v>
      </c>
      <c r="D3688" s="1" t="s">
        <v>14480</v>
      </c>
      <c r="E3688" s="3">
        <f>IFERROR(VLOOKUP(B3688,'DA1'!$B$2:$D$999999,3,FALSE),"")</f>
      </c>
      <c r="F3688" s="1" t="str">
        <f>IFERROR(VLOOKUP(B3688,'SB1'!$A$2:$C$999999,3,FALSE),"")</f>
        <v>503</v>
      </c>
      <c r="G3688" s="3" t="e">
        <f t="shared" si="127"/>
        <v>#VALUE!</v>
      </c>
      <c r="H3688" s="3" t="e">
        <f t="shared" si="126"/>
        <v>#VALUE!</v>
      </c>
      <c r="I3688" s="1">
        <v>1</v>
      </c>
    </row>
    <row r="3689" spans="1:9" x14ac:dyDescent="0.25">
      <c r="A3689" s="1" t="s">
        <v>14435</v>
      </c>
      <c r="B3689" s="1" t="s">
        <v>10985</v>
      </c>
      <c r="C3689" s="1" t="str">
        <f>IFERROR(VLOOKUP(B3689,'SB1'!$A$2:$B$999999,2,FALSE),"")</f>
        <v>LATEX INTERIOR ALBALATEX DESIGN TOQUE DE LUZ MATE BASE P X  3,600</v>
      </c>
      <c r="D3689" s="1" t="s">
        <v>14480</v>
      </c>
      <c r="E3689" s="3">
        <f>IFERROR(VLOOKUP(B3689,'DA1'!$B$2:$D$999999,3,FALSE),"")</f>
      </c>
      <c r="F3689" s="1" t="str">
        <f>IFERROR(VLOOKUP(B3689,'SB1'!$A$2:$C$999999,3,FALSE),"")</f>
        <v>503</v>
      </c>
      <c r="G3689" s="3" t="e">
        <f t="shared" si="127"/>
        <v>#VALUE!</v>
      </c>
      <c r="H3689" s="3" t="e">
        <f t="shared" si="126"/>
        <v>#VALUE!</v>
      </c>
      <c r="I3689" s="1">
        <v>1</v>
      </c>
    </row>
    <row r="3690" spans="1:9" x14ac:dyDescent="0.25">
      <c r="A3690" s="1" t="s">
        <v>14435</v>
      </c>
      <c r="B3690" s="1" t="s">
        <v>10987</v>
      </c>
      <c r="C3690" s="1" t="str">
        <f>IFERROR(VLOOKUP(B3690,'SB1'!$A$2:$B$999999,2,FALSE),"")</f>
        <v>LATEX INTERIOR ALBALATEX DESIGN TOQUE DE LUZ MATE BASE P X  8,700</v>
      </c>
      <c r="D3690" s="1" t="s">
        <v>14480</v>
      </c>
      <c r="E3690" s="3">
        <f>IFERROR(VLOOKUP(B3690,'DA1'!$B$2:$D$999999,3,FALSE),"")</f>
      </c>
      <c r="F3690" s="1" t="str">
        <f>IFERROR(VLOOKUP(B3690,'SB1'!$A$2:$C$999999,3,FALSE),"")</f>
        <v>503</v>
      </c>
      <c r="G3690" s="3" t="e">
        <f t="shared" si="127"/>
        <v>#VALUE!</v>
      </c>
      <c r="H3690" s="3" t="e">
        <f t="shared" si="126"/>
        <v>#VALUE!</v>
      </c>
      <c r="I3690" s="1">
        <v>1</v>
      </c>
    </row>
    <row r="3691" spans="1:9" x14ac:dyDescent="0.25">
      <c r="A3691" s="1" t="s">
        <v>14435</v>
      </c>
      <c r="B3691" s="1" t="s">
        <v>10989</v>
      </c>
      <c r="C3691" s="1" t="str">
        <f>IFERROR(VLOOKUP(B3691,'SB1'!$A$2:$B$999999,2,FALSE),"")</f>
        <v>LATEX INTERIOR ALBALATEX DESIGN TOQUE DE LUZ MATE BASE P X 17,400</v>
      </c>
      <c r="D3691" s="1" t="s">
        <v>14480</v>
      </c>
      <c r="E3691" s="3">
        <f>IFERROR(VLOOKUP(B3691,'DA1'!$B$2:$D$999999,3,FALSE),"")</f>
      </c>
      <c r="F3691" s="1" t="str">
        <f>IFERROR(VLOOKUP(B3691,'SB1'!$A$2:$C$999999,3,FALSE),"")</f>
        <v>503</v>
      </c>
      <c r="G3691" s="3" t="e">
        <f t="shared" si="127"/>
        <v>#VALUE!</v>
      </c>
      <c r="H3691" s="3" t="e">
        <f t="shared" si="126"/>
        <v>#VALUE!</v>
      </c>
      <c r="I3691" s="1">
        <v>1</v>
      </c>
    </row>
    <row r="3692" spans="1:9" x14ac:dyDescent="0.25">
      <c r="A3692" s="1" t="s">
        <v>14435</v>
      </c>
      <c r="B3692" s="1" t="s">
        <v>10991</v>
      </c>
      <c r="C3692" s="1" t="str">
        <f>IFERROR(VLOOKUP(B3692,'SB1'!$A$2:$B$999999,2,FALSE),"")</f>
        <v>LATEX INTERIOR ALBALATEX DESIGN TOQUE DE LUZ MATE BASE F X  0,900</v>
      </c>
      <c r="D3692" s="1" t="s">
        <v>14480</v>
      </c>
      <c r="E3692" s="3">
        <f>IFERROR(VLOOKUP(B3692,'DA1'!$B$2:$D$999999,3,FALSE),"")</f>
      </c>
      <c r="F3692" s="1" t="str">
        <f>IFERROR(VLOOKUP(B3692,'SB1'!$A$2:$C$999999,3,FALSE),"")</f>
        <v>503</v>
      </c>
      <c r="G3692" s="3" t="e">
        <f t="shared" si="127"/>
        <v>#VALUE!</v>
      </c>
      <c r="H3692" s="3" t="e">
        <f t="shared" si="126"/>
        <v>#VALUE!</v>
      </c>
      <c r="I3692" s="1">
        <v>1</v>
      </c>
    </row>
    <row r="3693" spans="1:9" x14ac:dyDescent="0.25">
      <c r="A3693" s="1" t="s">
        <v>14435</v>
      </c>
      <c r="B3693" s="1" t="s">
        <v>10993</v>
      </c>
      <c r="C3693" s="1" t="str">
        <f>IFERROR(VLOOKUP(B3693,'SB1'!$A$2:$B$999999,2,FALSE),"")</f>
        <v>LATEX INTERIOR ALBALATEX DESIGN TOQUE DE LUZ MATE BASE F X  3,600</v>
      </c>
      <c r="D3693" s="1" t="s">
        <v>14480</v>
      </c>
      <c r="E3693" s="3">
        <f>IFERROR(VLOOKUP(B3693,'DA1'!$B$2:$D$999999,3,FALSE),"")</f>
      </c>
      <c r="F3693" s="1" t="str">
        <f>IFERROR(VLOOKUP(B3693,'SB1'!$A$2:$C$999999,3,FALSE),"")</f>
        <v>503</v>
      </c>
      <c r="G3693" s="3" t="e">
        <f t="shared" si="127"/>
        <v>#VALUE!</v>
      </c>
      <c r="H3693" s="3" t="e">
        <f t="shared" si="126"/>
        <v>#VALUE!</v>
      </c>
      <c r="I3693" s="1">
        <v>1</v>
      </c>
    </row>
    <row r="3694" spans="1:9" x14ac:dyDescent="0.25">
      <c r="A3694" s="1" t="s">
        <v>14435</v>
      </c>
      <c r="B3694" s="1" t="s">
        <v>10995</v>
      </c>
      <c r="C3694" s="1" t="str">
        <f>IFERROR(VLOOKUP(B3694,'SB1'!$A$2:$B$999999,2,FALSE),"")</f>
        <v>LATEX INTERIOR ALBALATEX DESIGN TOQUE DE LUZ MATE BASE F X 17,400</v>
      </c>
      <c r="D3694" s="1" t="s">
        <v>14480</v>
      </c>
      <c r="E3694" s="3">
        <f>IFERROR(VLOOKUP(B3694,'DA1'!$B$2:$D$999999,3,FALSE),"")</f>
      </c>
      <c r="F3694" s="1" t="str">
        <f>IFERROR(VLOOKUP(B3694,'SB1'!$A$2:$C$999999,3,FALSE),"")</f>
        <v>503</v>
      </c>
      <c r="G3694" s="3" t="e">
        <f t="shared" si="127"/>
        <v>#VALUE!</v>
      </c>
      <c r="H3694" s="3" t="e">
        <f t="shared" si="126"/>
        <v>#VALUE!</v>
      </c>
      <c r="I3694" s="1">
        <v>1</v>
      </c>
    </row>
    <row r="3695" spans="1:9" x14ac:dyDescent="0.25">
      <c r="A3695" s="1" t="s">
        <v>14435</v>
      </c>
      <c r="B3695" s="1" t="s">
        <v>10997</v>
      </c>
      <c r="C3695" s="1" t="str">
        <f>IFERROR(VLOOKUP(B3695,'SB1'!$A$2:$B$999999,2,FALSE),"")</f>
        <v>LATEX INTERIOR ALBALATEX DESIGN TOQUE DE LUZ MATE BASE T X  0,900</v>
      </c>
      <c r="D3695" s="1" t="s">
        <v>14480</v>
      </c>
      <c r="E3695" s="3">
        <f>IFERROR(VLOOKUP(B3695,'DA1'!$B$2:$D$999999,3,FALSE),"")</f>
      </c>
      <c r="F3695" s="1" t="str">
        <f>IFERROR(VLOOKUP(B3695,'SB1'!$A$2:$C$999999,3,FALSE),"")</f>
        <v>503</v>
      </c>
      <c r="G3695" s="3" t="e">
        <f t="shared" si="127"/>
        <v>#VALUE!</v>
      </c>
      <c r="H3695" s="3" t="e">
        <f t="shared" si="126"/>
        <v>#VALUE!</v>
      </c>
      <c r="I3695" s="1">
        <v>1</v>
      </c>
    </row>
    <row r="3696" spans="1:9" x14ac:dyDescent="0.25">
      <c r="A3696" s="1" t="s">
        <v>14435</v>
      </c>
      <c r="B3696" s="1" t="s">
        <v>10999</v>
      </c>
      <c r="C3696" s="1" t="str">
        <f>IFERROR(VLOOKUP(B3696,'SB1'!$A$2:$B$999999,2,FALSE),"")</f>
        <v>LATEX INTERIOR ALBALATEX DESIGN TOQUE DE LUZ MATE BASE T X  3,600</v>
      </c>
      <c r="D3696" s="1" t="s">
        <v>14480</v>
      </c>
      <c r="E3696" s="3">
        <f>IFERROR(VLOOKUP(B3696,'DA1'!$B$2:$D$999999,3,FALSE),"")</f>
      </c>
      <c r="F3696" s="1" t="str">
        <f>IFERROR(VLOOKUP(B3696,'SB1'!$A$2:$C$999999,3,FALSE),"")</f>
        <v>503</v>
      </c>
      <c r="G3696" s="3" t="e">
        <f t="shared" si="127"/>
        <v>#VALUE!</v>
      </c>
      <c r="H3696" s="3" t="e">
        <f t="shared" si="126"/>
        <v>#VALUE!</v>
      </c>
      <c r="I3696" s="1">
        <v>1</v>
      </c>
    </row>
    <row r="3697" spans="1:9" x14ac:dyDescent="0.25">
      <c r="A3697" s="1" t="s">
        <v>14435</v>
      </c>
      <c r="B3697" s="1" t="s">
        <v>11003</v>
      </c>
      <c r="C3697" s="1" t="str">
        <f>IFERROR(VLOOKUP(B3697,'SB1'!$A$2:$B$999999,2,FALSE),"")</f>
        <v>LATEX INTERIOR/EXTERIOR TERSEN NARANJA X 4</v>
      </c>
      <c r="D3697" s="1" t="s">
        <v>14437</v>
      </c>
      <c r="E3697" s="3">
        <f>IFERROR(VLOOKUP(B3697,'DA1'!$B$2:$D$999999,3,FALSE),"")</f>
      </c>
      <c r="F3697" s="1" t="str">
        <f>IFERROR(VLOOKUP(B3697,'SB1'!$A$2:$C$999999,3,FALSE),"")</f>
        <v>503</v>
      </c>
      <c r="G3697" s="3" t="e">
        <f t="shared" si="127"/>
        <v>#VALUE!</v>
      </c>
      <c r="H3697" s="3" t="e">
        <f t="shared" si="126"/>
        <v>#VALUE!</v>
      </c>
      <c r="I3697" s="1">
        <v>1</v>
      </c>
    </row>
    <row r="3698" spans="1:9" x14ac:dyDescent="0.25">
      <c r="A3698" s="1" t="s">
        <v>14435</v>
      </c>
      <c r="B3698" s="1" t="s">
        <v>11005</v>
      </c>
      <c r="C3698" s="1" t="str">
        <f>IFERROR(VLOOKUP(B3698,'SB1'!$A$2:$B$999999,2,FALSE),"")</f>
        <v>LATEX INTERIOR/EXTERIOR TERSEN AMARILLO X 4</v>
      </c>
      <c r="D3698" s="1" t="s">
        <v>14437</v>
      </c>
      <c r="E3698" s="3">
        <f>IFERROR(VLOOKUP(B3698,'DA1'!$B$2:$D$999999,3,FALSE),"")</f>
      </c>
      <c r="F3698" s="1" t="str">
        <f>IFERROR(VLOOKUP(B3698,'SB1'!$A$2:$C$999999,3,FALSE),"")</f>
        <v>503</v>
      </c>
      <c r="G3698" s="3" t="e">
        <f t="shared" si="127"/>
        <v>#VALUE!</v>
      </c>
      <c r="H3698" s="3" t="e">
        <f t="shared" si="126"/>
        <v>#VALUE!</v>
      </c>
      <c r="I3698" s="1">
        <v>1</v>
      </c>
    </row>
    <row r="3699" spans="1:9" x14ac:dyDescent="0.25">
      <c r="A3699" s="1" t="s">
        <v>14435</v>
      </c>
      <c r="B3699" s="1" t="s">
        <v>11007</v>
      </c>
      <c r="C3699" s="1" t="str">
        <f>IFERROR(VLOOKUP(B3699,'SB1'!$A$2:$B$999999,2,FALSE),"")</f>
        <v>LATEX INTERIOR/EXTERIOR TERSEN AZUL X 4</v>
      </c>
      <c r="D3699" s="1" t="s">
        <v>14437</v>
      </c>
      <c r="E3699" s="3">
        <f>IFERROR(VLOOKUP(B3699,'DA1'!$B$2:$D$999999,3,FALSE),"")</f>
      </c>
      <c r="F3699" s="1" t="str">
        <f>IFERROR(VLOOKUP(B3699,'SB1'!$A$2:$C$999999,3,FALSE),"")</f>
        <v>503</v>
      </c>
      <c r="G3699" s="3" t="e">
        <f t="shared" si="127"/>
        <v>#VALUE!</v>
      </c>
      <c r="H3699" s="3" t="e">
        <f t="shared" si="126"/>
        <v>#VALUE!</v>
      </c>
      <c r="I3699" s="1">
        <v>1</v>
      </c>
    </row>
    <row r="3700" spans="1:9" x14ac:dyDescent="0.25">
      <c r="A3700" s="1" t="s">
        <v>14435</v>
      </c>
      <c r="B3700" s="1" t="s">
        <v>11009</v>
      </c>
      <c r="C3700" s="1" t="str">
        <f>IFERROR(VLOOKUP(B3700,'SB1'!$A$2:$B$999999,2,FALSE),"")</f>
        <v>LATEX INTERIOR/EXTERIOR TERSEN CORAL X 4</v>
      </c>
      <c r="D3700" s="1" t="s">
        <v>14437</v>
      </c>
      <c r="E3700" s="3">
        <f>IFERROR(VLOOKUP(B3700,'DA1'!$B$2:$D$999999,3,FALSE),"")</f>
      </c>
      <c r="F3700" s="1" t="str">
        <f>IFERROR(VLOOKUP(B3700,'SB1'!$A$2:$C$999999,3,FALSE),"")</f>
        <v>503</v>
      </c>
      <c r="G3700" s="3" t="e">
        <f t="shared" si="127"/>
        <v>#VALUE!</v>
      </c>
      <c r="H3700" s="3" t="e">
        <f t="shared" si="126"/>
        <v>#VALUE!</v>
      </c>
      <c r="I3700" s="1">
        <v>1</v>
      </c>
    </row>
    <row r="3701" spans="1:9" x14ac:dyDescent="0.25">
      <c r="A3701" s="1" t="s">
        <v>14435</v>
      </c>
      <c r="B3701" s="1" t="s">
        <v>11011</v>
      </c>
      <c r="C3701" s="1" t="str">
        <f>IFERROR(VLOOKUP(B3701,'SB1'!$A$2:$B$999999,2,FALSE),"")</f>
        <v>LATEX INTERIOR/EXTERIOR TERSEN ROSA X 4</v>
      </c>
      <c r="D3701" s="1" t="s">
        <v>14437</v>
      </c>
      <c r="E3701" s="3">
        <f>IFERROR(VLOOKUP(B3701,'DA1'!$B$2:$D$999999,3,FALSE),"")</f>
      </c>
      <c r="F3701" s="1" t="str">
        <f>IFERROR(VLOOKUP(B3701,'SB1'!$A$2:$C$999999,3,FALSE),"")</f>
        <v>503</v>
      </c>
      <c r="G3701" s="3" t="e">
        <f t="shared" si="127"/>
        <v>#VALUE!</v>
      </c>
      <c r="H3701" s="3" t="e">
        <f t="shared" si="126"/>
        <v>#VALUE!</v>
      </c>
      <c r="I3701" s="1">
        <v>1</v>
      </c>
    </row>
    <row r="3702" spans="1:9" x14ac:dyDescent="0.25">
      <c r="A3702" s="1" t="s">
        <v>14435</v>
      </c>
      <c r="B3702" s="1" t="s">
        <v>11013</v>
      </c>
      <c r="C3702" s="1" t="str">
        <f>IFERROR(VLOOKUP(B3702,'SB1'!$A$2:$B$999999,2,FALSE),"")</f>
        <v>LATEX INTERIOR/EXTERIOR TERSEN TURQUESA X 4</v>
      </c>
      <c r="D3702" s="1" t="s">
        <v>14437</v>
      </c>
      <c r="E3702" s="3">
        <f>IFERROR(VLOOKUP(B3702,'DA1'!$B$2:$D$999999,3,FALSE),"")</f>
      </c>
      <c r="F3702" s="1" t="str">
        <f>IFERROR(VLOOKUP(B3702,'SB1'!$A$2:$C$999999,3,FALSE),"")</f>
        <v>503</v>
      </c>
      <c r="G3702" s="3" t="e">
        <f t="shared" si="127"/>
        <v>#VALUE!</v>
      </c>
      <c r="H3702" s="3" t="e">
        <f t="shared" si="126"/>
        <v>#VALUE!</v>
      </c>
      <c r="I3702" s="1">
        <v>1</v>
      </c>
    </row>
    <row r="3703" spans="1:9" x14ac:dyDescent="0.25">
      <c r="A3703" s="1" t="s">
        <v>14435</v>
      </c>
      <c r="B3703" s="1" t="s">
        <v>11015</v>
      </c>
      <c r="C3703" s="1" t="str">
        <f>IFERROR(VLOOKUP(B3703,'SB1'!$A$2:$B$999999,2,FALSE),"")</f>
        <v>LATEX INTERIOR/EXTERIOR TERSEN VERDE X 4</v>
      </c>
      <c r="D3703" s="1" t="s">
        <v>14437</v>
      </c>
      <c r="E3703" s="3">
        <f>IFERROR(VLOOKUP(B3703,'DA1'!$B$2:$D$999999,3,FALSE),"")</f>
      </c>
      <c r="F3703" s="1" t="str">
        <f>IFERROR(VLOOKUP(B3703,'SB1'!$A$2:$C$999999,3,FALSE),"")</f>
        <v>503</v>
      </c>
      <c r="G3703" s="3" t="e">
        <f t="shared" si="127"/>
        <v>#VALUE!</v>
      </c>
      <c r="H3703" s="3" t="e">
        <f t="shared" si="126"/>
        <v>#VALUE!</v>
      </c>
      <c r="I3703" s="1">
        <v>1</v>
      </c>
    </row>
    <row r="3704" spans="1:9" x14ac:dyDescent="0.25">
      <c r="A3704" s="1" t="s">
        <v>14435</v>
      </c>
      <c r="B3704" s="1" t="s">
        <v>11017</v>
      </c>
      <c r="C3704" s="1" t="str">
        <f>IFERROR(VLOOKUP(B3704,'SB1'!$A$2:$B$999999,2,FALSE),"")</f>
        <v>LATEX INTERIOR/EXTERIOR TERSEN VIOLETA X 4</v>
      </c>
      <c r="D3704" s="1" t="s">
        <v>14437</v>
      </c>
      <c r="E3704" s="3">
        <f>IFERROR(VLOOKUP(B3704,'DA1'!$B$2:$D$999999,3,FALSE),"")</f>
      </c>
      <c r="F3704" s="1" t="str">
        <f>IFERROR(VLOOKUP(B3704,'SB1'!$A$2:$C$999999,3,FALSE),"")</f>
        <v>503</v>
      </c>
      <c r="G3704" s="3" t="e">
        <f t="shared" si="127"/>
        <v>#VALUE!</v>
      </c>
      <c r="H3704" s="3" t="e">
        <f t="shared" si="126"/>
        <v>#VALUE!</v>
      </c>
      <c r="I3704" s="1">
        <v>1</v>
      </c>
    </row>
    <row r="3705" spans="1:9" x14ac:dyDescent="0.25">
      <c r="A3705" s="1" t="s">
        <v>14435</v>
      </c>
      <c r="B3705" s="1" t="s">
        <v>11019</v>
      </c>
      <c r="C3705" s="1" t="str">
        <f>IFERROR(VLOOKUP(B3705,'SB1'!$A$2:$B$999999,2,FALSE),"")</f>
        <v>LATEX INTERIOR/EXTERIOR TERSEN ROJO X 4</v>
      </c>
      <c r="D3705" s="1" t="s">
        <v>14437</v>
      </c>
      <c r="E3705" s="3">
        <f>IFERROR(VLOOKUP(B3705,'DA1'!$B$2:$D$999999,3,FALSE),"")</f>
      </c>
      <c r="F3705" s="1" t="str">
        <f>IFERROR(VLOOKUP(B3705,'SB1'!$A$2:$C$999999,3,FALSE),"")</f>
        <v>503</v>
      </c>
      <c r="G3705" s="3" t="e">
        <f t="shared" si="127"/>
        <v>#VALUE!</v>
      </c>
      <c r="H3705" s="3" t="e">
        <f t="shared" si="126"/>
        <v>#VALUE!</v>
      </c>
      <c r="I3705" s="1">
        <v>1</v>
      </c>
    </row>
    <row r="3706" spans="1:9" x14ac:dyDescent="0.25">
      <c r="A3706" s="1" t="s">
        <v>14435</v>
      </c>
      <c r="B3706" s="1" t="s">
        <v>11021</v>
      </c>
      <c r="C3706" s="1" t="str">
        <f>IFERROR(VLOOKUP(B3706,'SB1'!$A$2:$B$999999,2,FALSE),"")</f>
        <v>ARCO NIVELADOR 1,5 MM LINEA PREMIUM (BOLSA X 150U)</v>
      </c>
      <c r="D3706" s="1" t="s">
        <v>14507</v>
      </c>
      <c r="E3706" s="3">
        <f>IFERROR(VLOOKUP(B3706,'DA1'!$B$2:$D$999999,3,FALSE),"")</f>
      </c>
      <c r="F3706" s="1" t="str">
        <f>IFERROR(VLOOKUP(B3706,'SB1'!$A$2:$C$999999,3,FALSE),"")</f>
        <v>503</v>
      </c>
      <c r="G3706" s="3" t="e">
        <f t="shared" si="127"/>
        <v>#VALUE!</v>
      </c>
      <c r="H3706" s="3" t="e">
        <f t="shared" si="126"/>
        <v>#VALUE!</v>
      </c>
      <c r="I3706" s="1">
        <v>1</v>
      </c>
    </row>
    <row r="3707" spans="1:9" x14ac:dyDescent="0.25">
      <c r="A3707" s="1" t="s">
        <v>14435</v>
      </c>
      <c r="B3707" s="1" t="s">
        <v>11023</v>
      </c>
      <c r="C3707" s="1" t="str">
        <f>IFERROR(VLOOKUP(B3707,'SB1'!$A$2:$B$999999,2,FALSE),"")</f>
        <v>ARCO NIVELADOR 2 MM LINEA PREMIUM (BOLSA X 150U)</v>
      </c>
      <c r="D3707" s="1" t="s">
        <v>14507</v>
      </c>
      <c r="E3707" s="3">
        <f>IFERROR(VLOOKUP(B3707,'DA1'!$B$2:$D$999999,3,FALSE),"")</f>
      </c>
      <c r="F3707" s="1" t="str">
        <f>IFERROR(VLOOKUP(B3707,'SB1'!$A$2:$C$999999,3,FALSE),"")</f>
        <v>503</v>
      </c>
      <c r="G3707" s="3" t="e">
        <f t="shared" si="127"/>
        <v>#VALUE!</v>
      </c>
      <c r="H3707" s="3" t="e">
        <f t="shared" si="126"/>
        <v>#VALUE!</v>
      </c>
      <c r="I3707" s="1">
        <v>1</v>
      </c>
    </row>
    <row r="3708" spans="1:9" x14ac:dyDescent="0.25">
      <c r="A3708" s="1" t="s">
        <v>14435</v>
      </c>
      <c r="B3708" s="1" t="s">
        <v>11025</v>
      </c>
      <c r="C3708" s="1" t="str">
        <f>IFERROR(VLOOKUP(B3708,'SB1'!$A$2:$B$999999,2,FALSE),"")</f>
        <v>ARCO NIVELADOR 3 MM LINEA PREMIUM (BOLSA X 150U)</v>
      </c>
      <c r="D3708" s="1" t="s">
        <v>14507</v>
      </c>
      <c r="E3708" s="3">
        <f>IFERROR(VLOOKUP(B3708,'DA1'!$B$2:$D$999999,3,FALSE),"")</f>
      </c>
      <c r="F3708" s="1" t="str">
        <f>IFERROR(VLOOKUP(B3708,'SB1'!$A$2:$C$999999,3,FALSE),"")</f>
        <v>503</v>
      </c>
      <c r="G3708" s="3" t="e">
        <f t="shared" si="127"/>
        <v>#VALUE!</v>
      </c>
      <c r="H3708" s="3" t="e">
        <f t="shared" si="126"/>
        <v>#VALUE!</v>
      </c>
      <c r="I3708" s="1">
        <v>1</v>
      </c>
    </row>
    <row r="3709" spans="1:9" x14ac:dyDescent="0.25">
      <c r="A3709" s="1" t="s">
        <v>14435</v>
      </c>
      <c r="B3709" s="1" t="s">
        <v>11027</v>
      </c>
      <c r="C3709" s="1" t="str">
        <f>IFERROR(VLOOKUP(B3709,'SB1'!$A$2:$B$999999,2,FALSE),"")</f>
        <v>CUÑA NIVELADORA (BOLSA X 150U)</v>
      </c>
      <c r="D3709" s="1" t="s">
        <v>14507</v>
      </c>
      <c r="E3709" s="3">
        <f>IFERROR(VLOOKUP(B3709,'DA1'!$B$2:$D$999999,3,FALSE),"")</f>
      </c>
      <c r="F3709" s="1" t="str">
        <f>IFERROR(VLOOKUP(B3709,'SB1'!$A$2:$C$999999,3,FALSE),"")</f>
        <v>503</v>
      </c>
      <c r="G3709" s="3" t="e">
        <f t="shared" si="127"/>
        <v>#VALUE!</v>
      </c>
      <c r="H3709" s="3" t="e">
        <f t="shared" si="126"/>
        <v>#VALUE!</v>
      </c>
      <c r="I3709" s="1">
        <v>1</v>
      </c>
    </row>
    <row r="3710" spans="1:9" x14ac:dyDescent="0.25">
      <c r="A3710" s="1" t="s">
        <v>14435</v>
      </c>
      <c r="B3710" s="1" t="s">
        <v>11029</v>
      </c>
      <c r="C3710" s="1" t="str">
        <f>IFERROR(VLOOKUP(B3710,'SB1'!$A$2:$B$999999,2,FALSE),"")</f>
        <v>TORNILLO NIVELADOR 2 MM (BOLSA X 100U)</v>
      </c>
      <c r="D3710" s="1" t="s">
        <v>14507</v>
      </c>
      <c r="E3710" s="3">
        <f>IFERROR(VLOOKUP(B3710,'DA1'!$B$2:$D$999999,3,FALSE),"")</f>
      </c>
      <c r="F3710" s="1" t="str">
        <f>IFERROR(VLOOKUP(B3710,'SB1'!$A$2:$C$999999,3,FALSE),"")</f>
        <v>503</v>
      </c>
      <c r="G3710" s="3" t="e">
        <f t="shared" si="127"/>
        <v>#VALUE!</v>
      </c>
      <c r="H3710" s="3" t="e">
        <f t="shared" ref="H3710:H3773" si="128">G3710*1.21</f>
        <v>#VALUE!</v>
      </c>
      <c r="I3710" s="1">
        <v>1</v>
      </c>
    </row>
    <row r="3711" spans="1:9" x14ac:dyDescent="0.25">
      <c r="A3711" s="1" t="s">
        <v>14435</v>
      </c>
      <c r="B3711" s="1" t="s">
        <v>11031</v>
      </c>
      <c r="C3711" s="1" t="str">
        <f>IFERROR(VLOOKUP(B3711,'SB1'!$A$2:$B$999999,2,FALSE),"")</f>
        <v>TUERCA NIVELADORA (BOLSA X 50U)</v>
      </c>
      <c r="D3711" s="1" t="s">
        <v>14507</v>
      </c>
      <c r="E3711" s="3">
        <f>IFERROR(VLOOKUP(B3711,'DA1'!$B$2:$D$999999,3,FALSE),"")</f>
      </c>
      <c r="F3711" s="1" t="str">
        <f>IFERROR(VLOOKUP(B3711,'SB1'!$A$2:$C$999999,3,FALSE),"")</f>
        <v>503</v>
      </c>
      <c r="G3711" s="3" t="e">
        <f t="shared" si="127"/>
        <v>#VALUE!</v>
      </c>
      <c r="H3711" s="3" t="e">
        <f t="shared" si="128"/>
        <v>#VALUE!</v>
      </c>
      <c r="I3711" s="1">
        <v>1</v>
      </c>
    </row>
    <row r="3712" spans="1:9" x14ac:dyDescent="0.25">
      <c r="A3712" s="1" t="s">
        <v>14435</v>
      </c>
      <c r="B3712" s="1" t="s">
        <v>11033</v>
      </c>
      <c r="C3712" s="1" t="str">
        <f>IFERROR(VLOOKUP(B3712,'SB1'!$A$2:$B$999999,2,FALSE),"")</f>
        <v>PINZA NIVELADORA</v>
      </c>
      <c r="D3712" s="1" t="s">
        <v>14507</v>
      </c>
      <c r="E3712" s="3">
        <f>IFERROR(VLOOKUP(B3712,'DA1'!$B$2:$D$999999,3,FALSE),"")</f>
      </c>
      <c r="F3712" s="1" t="str">
        <f>IFERROR(VLOOKUP(B3712,'SB1'!$A$2:$C$999999,3,FALSE),"")</f>
        <v>503</v>
      </c>
      <c r="G3712" s="3" t="e">
        <f t="shared" si="127"/>
        <v>#VALUE!</v>
      </c>
      <c r="H3712" s="3" t="e">
        <f t="shared" si="128"/>
        <v>#VALUE!</v>
      </c>
      <c r="I3712" s="1">
        <v>1</v>
      </c>
    </row>
    <row r="3713" spans="1:9" x14ac:dyDescent="0.25">
      <c r="A3713" s="1" t="s">
        <v>14435</v>
      </c>
      <c r="B3713" s="1" t="s">
        <v>11035</v>
      </c>
      <c r="C3713" s="1" t="str">
        <f>IFERROR(VLOOKUP(B3713,'SB1'!$A$2:$B$999999,2,FALSE),"")</f>
        <v>MAZA DE GOMA 350G</v>
      </c>
      <c r="D3713" s="1" t="s">
        <v>14507</v>
      </c>
      <c r="E3713" s="3">
        <f>IFERROR(VLOOKUP(B3713,'DA1'!$B$2:$D$999999,3,FALSE),"")</f>
      </c>
      <c r="F3713" s="1" t="str">
        <f>IFERROR(VLOOKUP(B3713,'SB1'!$A$2:$C$999999,3,FALSE),"")</f>
        <v>503</v>
      </c>
      <c r="G3713" s="3" t="e">
        <f t="shared" si="127"/>
        <v>#VALUE!</v>
      </c>
      <c r="H3713" s="3" t="e">
        <f t="shared" si="128"/>
        <v>#VALUE!</v>
      </c>
      <c r="I3713" s="1">
        <v>1</v>
      </c>
    </row>
    <row r="3714" spans="1:9" x14ac:dyDescent="0.25">
      <c r="A3714" s="1" t="s">
        <v>14435</v>
      </c>
      <c r="B3714" s="1" t="s">
        <v>11037</v>
      </c>
      <c r="C3714" s="1" t="str">
        <f>IFERROR(VLOOKUP(B3714,'SB1'!$A$2:$B$999999,2,FALSE),"")</f>
        <v>CRUCETAS C-3 MM (BOLSA X 100U)</v>
      </c>
      <c r="D3714" s="1" t="s">
        <v>14507</v>
      </c>
      <c r="E3714" s="3">
        <f>IFERROR(VLOOKUP(B3714,'DA1'!$B$2:$D$999999,3,FALSE),"")</f>
      </c>
      <c r="F3714" s="1" t="str">
        <f>IFERROR(VLOOKUP(B3714,'SB1'!$A$2:$C$999999,3,FALSE),"")</f>
        <v>503</v>
      </c>
      <c r="G3714" s="3" t="e">
        <f t="shared" si="127"/>
        <v>#VALUE!</v>
      </c>
      <c r="H3714" s="3" t="e">
        <f t="shared" si="128"/>
        <v>#VALUE!</v>
      </c>
      <c r="I3714" s="1">
        <v>1</v>
      </c>
    </row>
    <row r="3715" spans="1:9" x14ac:dyDescent="0.25">
      <c r="A3715" s="1" t="s">
        <v>14435</v>
      </c>
      <c r="B3715" s="1" t="s">
        <v>11039</v>
      </c>
      <c r="C3715" s="1" t="str">
        <f>IFERROR(VLOOKUP(B3715,'SB1'!$A$2:$B$999999,2,FALSE),"")</f>
        <v>SOPAPA VENTOSA SIMPLE</v>
      </c>
      <c r="D3715" s="1" t="s">
        <v>14507</v>
      </c>
      <c r="E3715" s="3">
        <f>IFERROR(VLOOKUP(B3715,'DA1'!$B$2:$D$999999,3,FALSE),"")</f>
      </c>
      <c r="F3715" s="1" t="str">
        <f>IFERROR(VLOOKUP(B3715,'SB1'!$A$2:$C$999999,3,FALSE),"")</f>
        <v>503</v>
      </c>
      <c r="G3715" s="3" t="e">
        <f t="shared" ref="G3715:G3778" si="129">E3715*1.04</f>
        <v>#VALUE!</v>
      </c>
      <c r="H3715" s="3" t="e">
        <f t="shared" si="128"/>
        <v>#VALUE!</v>
      </c>
      <c r="I3715" s="1">
        <v>1</v>
      </c>
    </row>
    <row r="3716" spans="1:9" x14ac:dyDescent="0.25">
      <c r="A3716" s="1" t="s">
        <v>14435</v>
      </c>
      <c r="B3716" s="1" t="s">
        <v>11041</v>
      </c>
      <c r="C3716" s="1" t="str">
        <f>IFERROR(VLOOKUP(B3716,'SB1'!$A$2:$B$999999,2,FALSE),"")</f>
        <v>RODILLERA DE TRABAJO/PROTECCION ( POR PAR)</v>
      </c>
      <c r="D3716" s="1" t="s">
        <v>14507</v>
      </c>
      <c r="E3716" s="3">
        <f>IFERROR(VLOOKUP(B3716,'DA1'!$B$2:$D$999999,3,FALSE),"")</f>
      </c>
      <c r="F3716" s="1" t="str">
        <f>IFERROR(VLOOKUP(B3716,'SB1'!$A$2:$C$999999,3,FALSE),"")</f>
        <v>503</v>
      </c>
      <c r="G3716" s="3" t="e">
        <f t="shared" si="129"/>
        <v>#VALUE!</v>
      </c>
      <c r="H3716" s="3" t="e">
        <f t="shared" si="128"/>
        <v>#VALUE!</v>
      </c>
      <c r="I3716" s="1">
        <v>1</v>
      </c>
    </row>
    <row r="3717" spans="1:9" x14ac:dyDescent="0.25">
      <c r="A3717" s="1" t="s">
        <v>14435</v>
      </c>
      <c r="B3717" s="1" t="s">
        <v>11043</v>
      </c>
      <c r="C3717" s="1" t="str">
        <f>IFERROR(VLOOKUP(B3717,'SB1'!$A$2:$B$999999,2,FALSE),"")</f>
        <v>PEINE COPIADOR CONTORNOS / MOLDURAS 6"</v>
      </c>
      <c r="D3717" s="1" t="s">
        <v>14507</v>
      </c>
      <c r="E3717" s="3">
        <f>IFERROR(VLOOKUP(B3717,'DA1'!$B$2:$D$999999,3,FALSE),"")</f>
      </c>
      <c r="F3717" s="1" t="str">
        <f>IFERROR(VLOOKUP(B3717,'SB1'!$A$2:$C$999999,3,FALSE),"")</f>
        <v>503</v>
      </c>
      <c r="G3717" s="3" t="e">
        <f t="shared" si="129"/>
        <v>#VALUE!</v>
      </c>
      <c r="H3717" s="3" t="e">
        <f t="shared" si="128"/>
        <v>#VALUE!</v>
      </c>
      <c r="I3717" s="1">
        <v>1</v>
      </c>
    </row>
    <row r="3718" spans="1:9" x14ac:dyDescent="0.25">
      <c r="A3718" s="1" t="s">
        <v>14435</v>
      </c>
      <c r="B3718" s="1" t="s">
        <v>11059</v>
      </c>
      <c r="C3718" s="1" t="str">
        <f>IFERROR(VLOOKUP(B3718,'SB1'!$A$2:$B$999999,2,FALSE),"")</f>
        <v>CUCHARA WELBY N 6 (CU01)</v>
      </c>
      <c r="D3718" s="1" t="s">
        <v>14443</v>
      </c>
      <c r="E3718" s="3">
        <f>IFERROR(VLOOKUP(B3718,'DA1'!$B$2:$D$999999,3,FALSE),"")</f>
      </c>
      <c r="F3718" s="1" t="str">
        <f>IFERROR(VLOOKUP(B3718,'SB1'!$A$2:$C$999999,3,FALSE),"")</f>
        <v>503</v>
      </c>
      <c r="G3718" s="3" t="e">
        <f t="shared" si="129"/>
        <v>#VALUE!</v>
      </c>
      <c r="H3718" s="3" t="e">
        <f t="shared" si="128"/>
        <v>#VALUE!</v>
      </c>
      <c r="I3718" s="1">
        <v>1</v>
      </c>
    </row>
    <row r="3719" spans="1:9" x14ac:dyDescent="0.25">
      <c r="A3719" s="1" t="s">
        <v>14435</v>
      </c>
      <c r="B3719" s="1" t="s">
        <v>11061</v>
      </c>
      <c r="C3719" s="1" t="str">
        <f>IFERROR(VLOOKUP(B3719,'SB1'!$A$2:$B$999999,2,FALSE),"")</f>
        <v>CUCHARA WELBY N 7 MOCHA (CU03)</v>
      </c>
      <c r="D3719" s="1" t="s">
        <v>14443</v>
      </c>
      <c r="E3719" s="3">
        <f>IFERROR(VLOOKUP(B3719,'DA1'!$B$2:$D$999999,3,FALSE),"")</f>
      </c>
      <c r="F3719" s="1" t="str">
        <f>IFERROR(VLOOKUP(B3719,'SB1'!$A$2:$C$999999,3,FALSE),"")</f>
        <v>503</v>
      </c>
      <c r="G3719" s="3" t="e">
        <f t="shared" si="129"/>
        <v>#VALUE!</v>
      </c>
      <c r="H3719" s="3" t="e">
        <f t="shared" si="128"/>
        <v>#VALUE!</v>
      </c>
      <c r="I3719" s="1">
        <v>1</v>
      </c>
    </row>
    <row r="3720" spans="1:9" x14ac:dyDescent="0.25">
      <c r="A3720" s="1" t="s">
        <v>14435</v>
      </c>
      <c r="B3720" s="1" t="s">
        <v>11063</v>
      </c>
      <c r="C3720" s="1" t="str">
        <f>IFERROR(VLOOKUP(B3720,'SB1'!$A$2:$B$999999,2,FALSE),"")</f>
        <v>CUCHARA WELBY N 8 (CU04)</v>
      </c>
      <c r="D3720" s="1" t="s">
        <v>14443</v>
      </c>
      <c r="E3720" s="3">
        <f>IFERROR(VLOOKUP(B3720,'DA1'!$B$2:$D$999999,3,FALSE),"")</f>
      </c>
      <c r="F3720" s="1" t="str">
        <f>IFERROR(VLOOKUP(B3720,'SB1'!$A$2:$C$999999,3,FALSE),"")</f>
        <v>503</v>
      </c>
      <c r="G3720" s="3" t="e">
        <f t="shared" si="129"/>
        <v>#VALUE!</v>
      </c>
      <c r="H3720" s="3" t="e">
        <f t="shared" si="128"/>
        <v>#VALUE!</v>
      </c>
      <c r="I3720" s="1">
        <v>1</v>
      </c>
    </row>
    <row r="3721" spans="1:9" x14ac:dyDescent="0.25">
      <c r="A3721" s="1" t="s">
        <v>14435</v>
      </c>
      <c r="B3721" s="1" t="s">
        <v>11065</v>
      </c>
      <c r="C3721" s="1" t="str">
        <f>IFERROR(VLOOKUP(B3721,'SB1'!$A$2:$B$999999,2,FALSE),"")</f>
        <v>CUCHARA WELBY N 8 MOCHA (CU05)</v>
      </c>
      <c r="D3721" s="1" t="s">
        <v>14443</v>
      </c>
      <c r="E3721" s="3">
        <f>IFERROR(VLOOKUP(B3721,'DA1'!$B$2:$D$999999,3,FALSE),"")</f>
      </c>
      <c r="F3721" s="1" t="str">
        <f>IFERROR(VLOOKUP(B3721,'SB1'!$A$2:$C$999999,3,FALSE),"")</f>
        <v>503</v>
      </c>
      <c r="G3721" s="3" t="e">
        <f t="shared" si="129"/>
        <v>#VALUE!</v>
      </c>
      <c r="H3721" s="3" t="e">
        <f t="shared" si="128"/>
        <v>#VALUE!</v>
      </c>
      <c r="I3721" s="1">
        <v>1</v>
      </c>
    </row>
    <row r="3722" spans="1:9" x14ac:dyDescent="0.25">
      <c r="A3722" s="1" t="s">
        <v>14435</v>
      </c>
      <c r="B3722" s="1" t="s">
        <v>11067</v>
      </c>
      <c r="C3722" s="1" t="str">
        <f>IFERROR(VLOOKUP(B3722,'SB1'!$A$2:$B$999999,2,FALSE),"")</f>
        <v>CUCHARA WELBY N 9 (CU06)</v>
      </c>
      <c r="D3722" s="1" t="s">
        <v>14443</v>
      </c>
      <c r="E3722" s="3">
        <f>IFERROR(VLOOKUP(B3722,'DA1'!$B$2:$D$999999,3,FALSE),"")</f>
      </c>
      <c r="F3722" s="1" t="str">
        <f>IFERROR(VLOOKUP(B3722,'SB1'!$A$2:$C$999999,3,FALSE),"")</f>
        <v>503</v>
      </c>
      <c r="G3722" s="3" t="e">
        <f t="shared" si="129"/>
        <v>#VALUE!</v>
      </c>
      <c r="H3722" s="3" t="e">
        <f t="shared" si="128"/>
        <v>#VALUE!</v>
      </c>
      <c r="I3722" s="1">
        <v>1</v>
      </c>
    </row>
    <row r="3723" spans="1:9" x14ac:dyDescent="0.25">
      <c r="A3723" s="1" t="s">
        <v>14435</v>
      </c>
      <c r="B3723" s="1" t="s">
        <v>11069</v>
      </c>
      <c r="C3723" s="1" t="str">
        <f>IFERROR(VLOOKUP(B3723,'SB1'!$A$2:$B$999999,2,FALSE),"")</f>
        <v>CUCHARA WELBY CUCHARIN N 5 (CU07)</v>
      </c>
      <c r="D3723" s="1" t="s">
        <v>14443</v>
      </c>
      <c r="E3723" s="3">
        <f>IFERROR(VLOOKUP(B3723,'DA1'!$B$2:$D$999999,3,FALSE),"")</f>
      </c>
      <c r="F3723" s="1" t="str">
        <f>IFERROR(VLOOKUP(B3723,'SB1'!$A$2:$C$999999,3,FALSE),"")</f>
        <v>503</v>
      </c>
      <c r="G3723" s="3" t="e">
        <f t="shared" si="129"/>
        <v>#VALUE!</v>
      </c>
      <c r="H3723" s="3" t="e">
        <f t="shared" si="128"/>
        <v>#VALUE!</v>
      </c>
      <c r="I3723" s="1">
        <v>1</v>
      </c>
    </row>
    <row r="3724" spans="1:9" x14ac:dyDescent="0.25">
      <c r="A3724" s="1" t="s">
        <v>14435</v>
      </c>
      <c r="B3724" s="1" t="s">
        <v>11071</v>
      </c>
      <c r="C3724" s="1" t="str">
        <f>IFERROR(VLOOKUP(B3724,'SB1'!$A$2:$B$999999,2,FALSE),"")</f>
        <v>CUCHARA WELBY CUCHARIN N 6 (CU09)</v>
      </c>
      <c r="D3724" s="1" t="s">
        <v>14443</v>
      </c>
      <c r="E3724" s="3">
        <f>IFERROR(VLOOKUP(B3724,'DA1'!$B$2:$D$999999,3,FALSE),"")</f>
      </c>
      <c r="F3724" s="1" t="str">
        <f>IFERROR(VLOOKUP(B3724,'SB1'!$A$2:$C$999999,3,FALSE),"")</f>
        <v>503</v>
      </c>
      <c r="G3724" s="3" t="e">
        <f t="shared" si="129"/>
        <v>#VALUE!</v>
      </c>
      <c r="H3724" s="3" t="e">
        <f t="shared" si="128"/>
        <v>#VALUE!</v>
      </c>
      <c r="I3724" s="1">
        <v>1</v>
      </c>
    </row>
    <row r="3725" spans="1:9" x14ac:dyDescent="0.25">
      <c r="A3725" s="1" t="s">
        <v>14435</v>
      </c>
      <c r="B3725" s="1" t="s">
        <v>11073</v>
      </c>
      <c r="C3725" s="1" t="str">
        <f>IFERROR(VLOOKUP(B3725,'SB1'!$A$2:$B$999999,2,FALSE),"")</f>
        <v>ESCUADRA 300MM (ES01)</v>
      </c>
      <c r="D3725" s="1" t="s">
        <v>14443</v>
      </c>
      <c r="E3725" s="3">
        <f>IFERROR(VLOOKUP(B3725,'DA1'!$B$2:$D$999999,3,FALSE),"")</f>
      </c>
      <c r="F3725" s="1" t="str">
        <f>IFERROR(VLOOKUP(B3725,'SB1'!$A$2:$C$999999,3,FALSE),"")</f>
        <v>503</v>
      </c>
      <c r="G3725" s="3" t="e">
        <f t="shared" si="129"/>
        <v>#VALUE!</v>
      </c>
      <c r="H3725" s="3" t="e">
        <f t="shared" si="128"/>
        <v>#VALUE!</v>
      </c>
      <c r="I3725" s="1">
        <v>1</v>
      </c>
    </row>
    <row r="3726" spans="1:9" x14ac:dyDescent="0.25">
      <c r="A3726" s="1" t="s">
        <v>14435</v>
      </c>
      <c r="B3726" s="1" t="s">
        <v>11075</v>
      </c>
      <c r="C3726" s="1" t="str">
        <f>IFERROR(VLOOKUP(B3726,'SB1'!$A$2:$B$999999,2,FALSE),"")</f>
        <v>ESCUADRA 400MM (ES02)</v>
      </c>
      <c r="D3726" s="1" t="s">
        <v>14443</v>
      </c>
      <c r="E3726" s="3">
        <f>IFERROR(VLOOKUP(B3726,'DA1'!$B$2:$D$999999,3,FALSE),"")</f>
      </c>
      <c r="F3726" s="1" t="str">
        <f>IFERROR(VLOOKUP(B3726,'SB1'!$A$2:$C$999999,3,FALSE),"")</f>
        <v>503</v>
      </c>
      <c r="G3726" s="3" t="e">
        <f t="shared" si="129"/>
        <v>#VALUE!</v>
      </c>
      <c r="H3726" s="3" t="e">
        <f t="shared" si="128"/>
        <v>#VALUE!</v>
      </c>
      <c r="I3726" s="1">
        <v>1</v>
      </c>
    </row>
    <row r="3727" spans="1:9" x14ac:dyDescent="0.25">
      <c r="A3727" s="1" t="s">
        <v>14435</v>
      </c>
      <c r="B3727" s="1" t="s">
        <v>11077</v>
      </c>
      <c r="C3727" s="1" t="str">
        <f>IFERROR(VLOOKUP(B3727,'SB1'!$A$2:$B$999999,2,FALSE),"")</f>
        <v>ESCUADRA 500MM (ES03)</v>
      </c>
      <c r="D3727" s="1" t="s">
        <v>14443</v>
      </c>
      <c r="E3727" s="3">
        <f>IFERROR(VLOOKUP(B3727,'DA1'!$B$2:$D$999999,3,FALSE),"")</f>
      </c>
      <c r="F3727" s="1" t="str">
        <f>IFERROR(VLOOKUP(B3727,'SB1'!$A$2:$C$999999,3,FALSE),"")</f>
        <v>503</v>
      </c>
      <c r="G3727" s="3" t="e">
        <f t="shared" si="129"/>
        <v>#VALUE!</v>
      </c>
      <c r="H3727" s="3" t="e">
        <f t="shared" si="128"/>
        <v>#VALUE!</v>
      </c>
      <c r="I3727" s="1">
        <v>1</v>
      </c>
    </row>
    <row r="3728" spans="1:9" x14ac:dyDescent="0.25">
      <c r="A3728" s="1" t="s">
        <v>14435</v>
      </c>
      <c r="B3728" s="1" t="s">
        <v>11079</v>
      </c>
      <c r="C3728" s="1" t="str">
        <f>IFERROR(VLOOKUP(B3728,'SB1'!$A$2:$B$999999,2,FALSE),"")</f>
        <v>ESCUADRA 600MM (ES04)</v>
      </c>
      <c r="D3728" s="1" t="s">
        <v>14443</v>
      </c>
      <c r="E3728" s="3">
        <f>IFERROR(VLOOKUP(B3728,'DA1'!$B$2:$D$999999,3,FALSE),"")</f>
      </c>
      <c r="F3728" s="1" t="str">
        <f>IFERROR(VLOOKUP(B3728,'SB1'!$A$2:$C$999999,3,FALSE),"")</f>
        <v>503</v>
      </c>
      <c r="G3728" s="3" t="e">
        <f t="shared" si="129"/>
        <v>#VALUE!</v>
      </c>
      <c r="H3728" s="3" t="e">
        <f t="shared" si="128"/>
        <v>#VALUE!</v>
      </c>
      <c r="I3728" s="1">
        <v>1</v>
      </c>
    </row>
    <row r="3729" spans="1:9" x14ac:dyDescent="0.25">
      <c r="A3729" s="1" t="s">
        <v>14435</v>
      </c>
      <c r="B3729" s="1" t="s">
        <v>11081</v>
      </c>
      <c r="C3729" s="1" t="str">
        <f>IFERROR(VLOOKUP(B3729,'SB1'!$A$2:$B$999999,2,FALSE),"")</f>
        <v>ESCUADRA 700MM (ES05)</v>
      </c>
      <c r="D3729" s="1" t="s">
        <v>14443</v>
      </c>
      <c r="E3729" s="3">
        <f>IFERROR(VLOOKUP(B3729,'DA1'!$B$2:$D$999999,3,FALSE),"")</f>
      </c>
      <c r="F3729" s="1" t="str">
        <f>IFERROR(VLOOKUP(B3729,'SB1'!$A$2:$C$999999,3,FALSE),"")</f>
        <v>503</v>
      </c>
      <c r="G3729" s="3" t="e">
        <f t="shared" si="129"/>
        <v>#VALUE!</v>
      </c>
      <c r="H3729" s="3" t="e">
        <f t="shared" si="128"/>
        <v>#VALUE!</v>
      </c>
      <c r="I3729" s="1">
        <v>1</v>
      </c>
    </row>
    <row r="3730" spans="1:9" x14ac:dyDescent="0.25">
      <c r="A3730" s="1" t="s">
        <v>14435</v>
      </c>
      <c r="B3730" s="1" t="s">
        <v>11083</v>
      </c>
      <c r="C3730" s="1" t="str">
        <f>IFERROR(VLOOKUP(B3730,'SB1'!$A$2:$B$999999,2,FALSE),"")</f>
        <v>FRATACHO PLASTICO 20CM CON GOMA ESPUMA (FR06)</v>
      </c>
      <c r="D3730" s="1" t="s">
        <v>14443</v>
      </c>
      <c r="E3730" s="3">
        <f>IFERROR(VLOOKUP(B3730,'DA1'!$B$2:$D$999999,3,FALSE),"")</f>
      </c>
      <c r="F3730" s="1" t="str">
        <f>IFERROR(VLOOKUP(B3730,'SB1'!$A$2:$C$999999,3,FALSE),"")</f>
        <v>503</v>
      </c>
      <c r="G3730" s="3" t="e">
        <f t="shared" si="129"/>
        <v>#VALUE!</v>
      </c>
      <c r="H3730" s="3" t="e">
        <f t="shared" si="128"/>
        <v>#VALUE!</v>
      </c>
      <c r="I3730" s="1">
        <v>1</v>
      </c>
    </row>
    <row r="3731" spans="1:9" x14ac:dyDescent="0.25">
      <c r="A3731" s="1" t="s">
        <v>14435</v>
      </c>
      <c r="B3731" s="1" t="s">
        <v>11085</v>
      </c>
      <c r="C3731" s="1" t="str">
        <f>IFERROR(VLOOKUP(B3731,'SB1'!$A$2:$B$999999,2,FALSE),"")</f>
        <v>FRATACHO PLASTICO 25CM CON GOMA ESPUMA (FR07)</v>
      </c>
      <c r="D3731" s="1" t="s">
        <v>14443</v>
      </c>
      <c r="E3731" s="3">
        <f>IFERROR(VLOOKUP(B3731,'DA1'!$B$2:$D$999999,3,FALSE),"")</f>
      </c>
      <c r="F3731" s="1" t="str">
        <f>IFERROR(VLOOKUP(B3731,'SB1'!$A$2:$C$999999,3,FALSE),"")</f>
        <v>503</v>
      </c>
      <c r="G3731" s="3" t="e">
        <f t="shared" si="129"/>
        <v>#VALUE!</v>
      </c>
      <c r="H3731" s="3" t="e">
        <f t="shared" si="128"/>
        <v>#VALUE!</v>
      </c>
      <c r="I3731" s="1">
        <v>1</v>
      </c>
    </row>
    <row r="3732" spans="1:9" x14ac:dyDescent="0.25">
      <c r="A3732" s="1" t="s">
        <v>14435</v>
      </c>
      <c r="B3732" s="1" t="s">
        <v>11087</v>
      </c>
      <c r="C3732" s="1" t="str">
        <f>IFERROR(VLOOKUP(B3732,'SB1'!$A$2:$B$999999,2,FALSE),"")</f>
        <v>FRATACHO DE PINO 20CM (FR09)</v>
      </c>
      <c r="D3732" s="1" t="s">
        <v>14443</v>
      </c>
      <c r="E3732" s="3">
        <f>IFERROR(VLOOKUP(B3732,'DA1'!$B$2:$D$999999,3,FALSE),"")</f>
      </c>
      <c r="F3732" s="1" t="str">
        <f>IFERROR(VLOOKUP(B3732,'SB1'!$A$2:$C$999999,3,FALSE),"")</f>
        <v>503</v>
      </c>
      <c r="G3732" s="3" t="e">
        <f t="shared" si="129"/>
        <v>#VALUE!</v>
      </c>
      <c r="H3732" s="3" t="e">
        <f t="shared" si="128"/>
        <v>#VALUE!</v>
      </c>
      <c r="I3732" s="1">
        <v>1</v>
      </c>
    </row>
    <row r="3733" spans="1:9" x14ac:dyDescent="0.25">
      <c r="A3733" s="1" t="s">
        <v>14435</v>
      </c>
      <c r="B3733" s="1" t="s">
        <v>11089</v>
      </c>
      <c r="C3733" s="1" t="str">
        <f>IFERROR(VLOOKUP(B3733,'SB1'!$A$2:$B$999999,2,FALSE),"")</f>
        <v>FRATACHO DE PINO 25CM (FR10)</v>
      </c>
      <c r="D3733" s="1" t="s">
        <v>14443</v>
      </c>
      <c r="E3733" s="3">
        <f>IFERROR(VLOOKUP(B3733,'DA1'!$B$2:$D$999999,3,FALSE),"")</f>
      </c>
      <c r="F3733" s="1" t="str">
        <f>IFERROR(VLOOKUP(B3733,'SB1'!$A$2:$C$999999,3,FALSE),"")</f>
        <v>503</v>
      </c>
      <c r="G3733" s="3" t="e">
        <f t="shared" si="129"/>
        <v>#VALUE!</v>
      </c>
      <c r="H3733" s="3" t="e">
        <f t="shared" si="128"/>
        <v>#VALUE!</v>
      </c>
      <c r="I3733" s="1">
        <v>1</v>
      </c>
    </row>
    <row r="3734" spans="1:9" x14ac:dyDescent="0.25">
      <c r="A3734" s="1" t="s">
        <v>14435</v>
      </c>
      <c r="B3734" s="1" t="s">
        <v>11091</v>
      </c>
      <c r="C3734" s="1" t="str">
        <f>IFERROR(VLOOKUP(B3734,'SB1'!$A$2:$B$999999,2,FALSE),"")</f>
        <v>FRATACHO DE PINO 35CM (FR12)</v>
      </c>
      <c r="D3734" s="1" t="s">
        <v>14443</v>
      </c>
      <c r="E3734" s="3">
        <f>IFERROR(VLOOKUP(B3734,'DA1'!$B$2:$D$999999,3,FALSE),"")</f>
      </c>
      <c r="F3734" s="1" t="str">
        <f>IFERROR(VLOOKUP(B3734,'SB1'!$A$2:$C$999999,3,FALSE),"")</f>
        <v>503</v>
      </c>
      <c r="G3734" s="3" t="e">
        <f t="shared" si="129"/>
        <v>#VALUE!</v>
      </c>
      <c r="H3734" s="3" t="e">
        <f t="shared" si="128"/>
        <v>#VALUE!</v>
      </c>
      <c r="I3734" s="1">
        <v>1</v>
      </c>
    </row>
    <row r="3735" spans="1:9" x14ac:dyDescent="0.25">
      <c r="A3735" s="1" t="s">
        <v>14435</v>
      </c>
      <c r="B3735" s="1" t="s">
        <v>11093</v>
      </c>
      <c r="C3735" s="1" t="str">
        <f>IFERROR(VLOOKUP(B3735,'SB1'!$A$2:$B$999999,2,FALSE),"")</f>
        <v>FRATACHO DE PINO 40CM (FR13)</v>
      </c>
      <c r="D3735" s="1" t="s">
        <v>14443</v>
      </c>
      <c r="E3735" s="3">
        <f>IFERROR(VLOOKUP(B3735,'DA1'!$B$2:$D$999999,3,FALSE),"")</f>
      </c>
      <c r="F3735" s="1" t="str">
        <f>IFERROR(VLOOKUP(B3735,'SB1'!$A$2:$C$999999,3,FALSE),"")</f>
        <v>503</v>
      </c>
      <c r="G3735" s="3" t="e">
        <f t="shared" si="129"/>
        <v>#VALUE!</v>
      </c>
      <c r="H3735" s="3" t="e">
        <f t="shared" si="128"/>
        <v>#VALUE!</v>
      </c>
      <c r="I3735" s="1">
        <v>1</v>
      </c>
    </row>
    <row r="3736" spans="1:9" x14ac:dyDescent="0.25">
      <c r="A3736" s="1" t="s">
        <v>14435</v>
      </c>
      <c r="B3736" s="1" t="s">
        <v>11095</v>
      </c>
      <c r="C3736" s="1" t="str">
        <f>IFERROR(VLOOKUP(B3736,'SB1'!$A$2:$B$999999,2,FALSE),"")</f>
        <v>FRATACHO DE PINO 20CM CON FIELTRO (FR14)</v>
      </c>
      <c r="D3736" s="1" t="s">
        <v>14443</v>
      </c>
      <c r="E3736" s="3">
        <f>IFERROR(VLOOKUP(B3736,'DA1'!$B$2:$D$999999,3,FALSE),"")</f>
      </c>
      <c r="F3736" s="1" t="str">
        <f>IFERROR(VLOOKUP(B3736,'SB1'!$A$2:$C$999999,3,FALSE),"")</f>
        <v>503</v>
      </c>
      <c r="G3736" s="3" t="e">
        <f t="shared" si="129"/>
        <v>#VALUE!</v>
      </c>
      <c r="H3736" s="3" t="e">
        <f t="shared" si="128"/>
        <v>#VALUE!</v>
      </c>
      <c r="I3736" s="1">
        <v>1</v>
      </c>
    </row>
    <row r="3737" spans="1:9" x14ac:dyDescent="0.25">
      <c r="A3737" s="1" t="s">
        <v>14435</v>
      </c>
      <c r="B3737" s="1" t="s">
        <v>11097</v>
      </c>
      <c r="C3737" s="1" t="str">
        <f>IFERROR(VLOOKUP(B3737,'SB1'!$A$2:$B$999999,2,FALSE),"")</f>
        <v>FRATACHO DE PINO 25CM CON FIELTRO (FR15)</v>
      </c>
      <c r="D3737" s="1" t="s">
        <v>14443</v>
      </c>
      <c r="E3737" s="3">
        <f>IFERROR(VLOOKUP(B3737,'DA1'!$B$2:$D$999999,3,FALSE),"")</f>
      </c>
      <c r="F3737" s="1" t="str">
        <f>IFERROR(VLOOKUP(B3737,'SB1'!$A$2:$C$999999,3,FALSE),"")</f>
        <v>503</v>
      </c>
      <c r="G3737" s="3" t="e">
        <f t="shared" si="129"/>
        <v>#VALUE!</v>
      </c>
      <c r="H3737" s="3" t="e">
        <f t="shared" si="128"/>
        <v>#VALUE!</v>
      </c>
      <c r="I3737" s="1">
        <v>1</v>
      </c>
    </row>
    <row r="3738" spans="1:9" x14ac:dyDescent="0.25">
      <c r="A3738" s="1" t="s">
        <v>14435</v>
      </c>
      <c r="B3738" s="1" t="s">
        <v>11099</v>
      </c>
      <c r="C3738" s="1" t="str">
        <f>IFERROR(VLOOKUP(B3738,'SB1'!$A$2:$B$999999,2,FALSE),"")</f>
        <v>FRATACHO DE PINO 35CM CON FIELTRO (FR17)</v>
      </c>
      <c r="D3738" s="1" t="s">
        <v>14443</v>
      </c>
      <c r="E3738" s="3">
        <f>IFERROR(VLOOKUP(B3738,'DA1'!$B$2:$D$999999,3,FALSE),"")</f>
      </c>
      <c r="F3738" s="1" t="str">
        <f>IFERROR(VLOOKUP(B3738,'SB1'!$A$2:$C$999999,3,FALSE),"")</f>
        <v>503</v>
      </c>
      <c r="G3738" s="3" t="e">
        <f t="shared" si="129"/>
        <v>#VALUE!</v>
      </c>
      <c r="H3738" s="3" t="e">
        <f t="shared" si="128"/>
        <v>#VALUE!</v>
      </c>
      <c r="I3738" s="1">
        <v>1</v>
      </c>
    </row>
    <row r="3739" spans="1:9" x14ac:dyDescent="0.25">
      <c r="A3739" s="1" t="s">
        <v>14435</v>
      </c>
      <c r="B3739" s="1" t="s">
        <v>11101</v>
      </c>
      <c r="C3739" s="1" t="str">
        <f>IFERROR(VLOOKUP(B3739,'SB1'!$A$2:$B$999999,2,FALSE),"")</f>
        <v>LLANA DENTADA 130X300 DE  6X6 MGO MADERA (LL08/6)</v>
      </c>
      <c r="D3739" s="1" t="s">
        <v>14443</v>
      </c>
      <c r="E3739" s="3">
        <f>IFERROR(VLOOKUP(B3739,'DA1'!$B$2:$D$999999,3,FALSE),"")</f>
      </c>
      <c r="F3739" s="1" t="str">
        <f>IFERROR(VLOOKUP(B3739,'SB1'!$A$2:$C$999999,3,FALSE),"")</f>
        <v>503</v>
      </c>
      <c r="G3739" s="3" t="e">
        <f t="shared" si="129"/>
        <v>#VALUE!</v>
      </c>
      <c r="H3739" s="3" t="e">
        <f t="shared" si="128"/>
        <v>#VALUE!</v>
      </c>
      <c r="I3739" s="1">
        <v>1</v>
      </c>
    </row>
    <row r="3740" spans="1:9" x14ac:dyDescent="0.25">
      <c r="A3740" s="1" t="s">
        <v>14435</v>
      </c>
      <c r="B3740" s="1" t="s">
        <v>11103</v>
      </c>
      <c r="C3740" s="1" t="str">
        <f>IFERROR(VLOOKUP(B3740,'SB1'!$A$2:$B$999999,2,FALSE),"")</f>
        <v>LLANA DENTADA 130X300 DE  8X8 MGO MADERA (LL08/8)</v>
      </c>
      <c r="D3740" s="1" t="s">
        <v>14443</v>
      </c>
      <c r="E3740" s="3">
        <f>IFERROR(VLOOKUP(B3740,'DA1'!$B$2:$D$999999,3,FALSE),"")</f>
      </c>
      <c r="F3740" s="1" t="str">
        <f>IFERROR(VLOOKUP(B3740,'SB1'!$A$2:$C$999999,3,FALSE),"")</f>
        <v>503</v>
      </c>
      <c r="G3740" s="3" t="e">
        <f t="shared" si="129"/>
        <v>#VALUE!</v>
      </c>
      <c r="H3740" s="3" t="e">
        <f t="shared" si="128"/>
        <v>#VALUE!</v>
      </c>
      <c r="I3740" s="1">
        <v>1</v>
      </c>
    </row>
    <row r="3741" spans="1:9" x14ac:dyDescent="0.25">
      <c r="A3741" s="1" t="s">
        <v>14435</v>
      </c>
      <c r="B3741" s="1" t="s">
        <v>11105</v>
      </c>
      <c r="C3741" s="1" t="str">
        <f>IFERROR(VLOOKUP(B3741,'SB1'!$A$2:$B$999999,2,FALSE),"")</f>
        <v>LLANA DENTADA 130X300 DE 10X10 MGO MADERA (LL08/10)</v>
      </c>
      <c r="D3741" s="1" t="s">
        <v>14443</v>
      </c>
      <c r="E3741" s="3">
        <f>IFERROR(VLOOKUP(B3741,'DA1'!$B$2:$D$999999,3,FALSE),"")</f>
      </c>
      <c r="F3741" s="1" t="str">
        <f>IFERROR(VLOOKUP(B3741,'SB1'!$A$2:$C$999999,3,FALSE),"")</f>
        <v>503</v>
      </c>
      <c r="G3741" s="3" t="e">
        <f t="shared" si="129"/>
        <v>#VALUE!</v>
      </c>
      <c r="H3741" s="3" t="e">
        <f t="shared" si="128"/>
        <v>#VALUE!</v>
      </c>
      <c r="I3741" s="1">
        <v>1</v>
      </c>
    </row>
    <row r="3742" spans="1:9" x14ac:dyDescent="0.25">
      <c r="A3742" s="1" t="s">
        <v>14435</v>
      </c>
      <c r="B3742" s="1" t="s">
        <v>11107</v>
      </c>
      <c r="C3742" s="1" t="str">
        <f>IFERROR(VLOOKUP(B3742,'SB1'!$A$2:$B$999999,2,FALSE),"")</f>
        <v>LLANA DENTADA 130X300 DE 12X12 MGO MADERA (LL08/12)</v>
      </c>
      <c r="D3742" s="1" t="s">
        <v>14443</v>
      </c>
      <c r="E3742" s="3">
        <f>IFERROR(VLOOKUP(B3742,'DA1'!$B$2:$D$999999,3,FALSE),"")</f>
      </c>
      <c r="F3742" s="1" t="str">
        <f>IFERROR(VLOOKUP(B3742,'SB1'!$A$2:$C$999999,3,FALSE),"")</f>
        <v>503</v>
      </c>
      <c r="G3742" s="3" t="e">
        <f t="shared" si="129"/>
        <v>#VALUE!</v>
      </c>
      <c r="H3742" s="3" t="e">
        <f t="shared" si="128"/>
        <v>#VALUE!</v>
      </c>
      <c r="I3742" s="1">
        <v>1</v>
      </c>
    </row>
    <row r="3743" spans="1:9" x14ac:dyDescent="0.25">
      <c r="A3743" s="1" t="s">
        <v>14435</v>
      </c>
      <c r="B3743" s="1" t="s">
        <v>11109</v>
      </c>
      <c r="C3743" s="1" t="str">
        <f>IFERROR(VLOOKUP(B3743,'SB1'!$A$2:$B$999999,2,FALSE),"")</f>
        <v>MARTILLO GALPONERO PROFESIONAL 27MM (MA02E)</v>
      </c>
      <c r="D3743" s="1" t="s">
        <v>14443</v>
      </c>
      <c r="E3743" s="3">
        <f>IFERROR(VLOOKUP(B3743,'DA1'!$B$2:$D$999999,3,FALSE),"")</f>
      </c>
      <c r="F3743" s="1" t="str">
        <f>IFERROR(VLOOKUP(B3743,'SB1'!$A$2:$C$999999,3,FALSE),"")</f>
        <v>503</v>
      </c>
      <c r="G3743" s="3" t="e">
        <f t="shared" si="129"/>
        <v>#VALUE!</v>
      </c>
      <c r="H3743" s="3" t="e">
        <f t="shared" si="128"/>
        <v>#VALUE!</v>
      </c>
      <c r="I3743" s="1">
        <v>1</v>
      </c>
    </row>
    <row r="3744" spans="1:9" x14ac:dyDescent="0.25">
      <c r="A3744" s="1" t="s">
        <v>14435</v>
      </c>
      <c r="B3744" s="1" t="s">
        <v>11111</v>
      </c>
      <c r="C3744" s="1" t="str">
        <f>IFERROR(VLOOKUP(B3744,'SB1'!$A$2:$B$999999,2,FALSE),"")</f>
        <v>PLOMADA 300GRS (PL02)</v>
      </c>
      <c r="D3744" s="1" t="s">
        <v>14443</v>
      </c>
      <c r="E3744" s="3">
        <f>IFERROR(VLOOKUP(B3744,'DA1'!$B$2:$D$999999,3,FALSE),"")</f>
      </c>
      <c r="F3744" s="1" t="str">
        <f>IFERROR(VLOOKUP(B3744,'SB1'!$A$2:$C$999999,3,FALSE),"")</f>
        <v>503</v>
      </c>
      <c r="G3744" s="3" t="e">
        <f t="shared" si="129"/>
        <v>#VALUE!</v>
      </c>
      <c r="H3744" s="3" t="e">
        <f t="shared" si="128"/>
        <v>#VALUE!</v>
      </c>
      <c r="I3744" s="1">
        <v>1</v>
      </c>
    </row>
    <row r="3745" spans="1:9" x14ac:dyDescent="0.25">
      <c r="A3745" s="1" t="s">
        <v>14435</v>
      </c>
      <c r="B3745" s="1" t="s">
        <v>11113</v>
      </c>
      <c r="C3745" s="1" t="str">
        <f>IFERROR(VLOOKUP(B3745,'SB1'!$A$2:$B$999999,2,FALSE),"")</f>
        <v>ESMALTE EPOXI VANGUARD BASE TRANSPARENTE X  3</v>
      </c>
      <c r="D3745" s="1" t="s">
        <v>14506</v>
      </c>
      <c r="E3745" s="3">
        <f>IFERROR(VLOOKUP(B3745,'DA1'!$B$2:$D$999999,3,FALSE),"")</f>
      </c>
      <c r="F3745" s="1" t="str">
        <f>IFERROR(VLOOKUP(B3745,'SB1'!$A$2:$C$999999,3,FALSE),"")</f>
        <v>503</v>
      </c>
      <c r="G3745" s="3" t="e">
        <f t="shared" si="129"/>
        <v>#VALUE!</v>
      </c>
      <c r="H3745" s="3" t="e">
        <f t="shared" si="128"/>
        <v>#VALUE!</v>
      </c>
      <c r="I3745" s="1">
        <v>1</v>
      </c>
    </row>
    <row r="3746" spans="1:9" x14ac:dyDescent="0.25">
      <c r="A3746" s="1" t="s">
        <v>14435</v>
      </c>
      <c r="B3746" s="1" t="s">
        <v>11115</v>
      </c>
      <c r="C3746" s="1" t="str">
        <f>IFERROR(VLOOKUP(B3746,'SB1'!$A$2:$B$999999,2,FALSE),"")</f>
        <v>ESMALTE EPOXI VANGUARD BASE TRANSPARENTE X 15</v>
      </c>
      <c r="D3746" s="1" t="s">
        <v>14506</v>
      </c>
      <c r="E3746" s="3">
        <f>IFERROR(VLOOKUP(B3746,'DA1'!$B$2:$D$999999,3,FALSE),"")</f>
      </c>
      <c r="F3746" s="1" t="str">
        <f>IFERROR(VLOOKUP(B3746,'SB1'!$A$2:$C$999999,3,FALSE),"")</f>
        <v>503</v>
      </c>
      <c r="G3746" s="3" t="e">
        <f t="shared" si="129"/>
        <v>#VALUE!</v>
      </c>
      <c r="H3746" s="3" t="e">
        <f t="shared" si="128"/>
        <v>#VALUE!</v>
      </c>
      <c r="I3746" s="1">
        <v>1</v>
      </c>
    </row>
    <row r="3747" spans="1:9" x14ac:dyDescent="0.25">
      <c r="A3747" s="1" t="s">
        <v>14435</v>
      </c>
      <c r="B3747" s="1" t="s">
        <v>11117</v>
      </c>
      <c r="C3747" s="1" t="str">
        <f>IFERROR(VLOOKUP(B3747,'SB1'!$A$2:$B$999999,2,FALSE),"")</f>
        <v>ESMALTE EPOXI VANGUARD BLANCO X  3</v>
      </c>
      <c r="D3747" s="1" t="s">
        <v>14506</v>
      </c>
      <c r="E3747" s="3">
        <f>IFERROR(VLOOKUP(B3747,'DA1'!$B$2:$D$999999,3,FALSE),"")</f>
      </c>
      <c r="F3747" s="1" t="str">
        <f>IFERROR(VLOOKUP(B3747,'SB1'!$A$2:$C$999999,3,FALSE),"")</f>
        <v>503</v>
      </c>
      <c r="G3747" s="3" t="e">
        <f t="shared" si="129"/>
        <v>#VALUE!</v>
      </c>
      <c r="H3747" s="3" t="e">
        <f t="shared" si="128"/>
        <v>#VALUE!</v>
      </c>
      <c r="I3747" s="1">
        <v>1</v>
      </c>
    </row>
    <row r="3748" spans="1:9" x14ac:dyDescent="0.25">
      <c r="A3748" s="1" t="s">
        <v>14435</v>
      </c>
      <c r="B3748" s="1" t="s">
        <v>11119</v>
      </c>
      <c r="C3748" s="1" t="str">
        <f>IFERROR(VLOOKUP(B3748,'SB1'!$A$2:$B$999999,2,FALSE),"")</f>
        <v>ESMALTE EPOXI VANGUARD BLANCO X 15</v>
      </c>
      <c r="D3748" s="1" t="s">
        <v>14506</v>
      </c>
      <c r="E3748" s="3">
        <f>IFERROR(VLOOKUP(B3748,'DA1'!$B$2:$D$999999,3,FALSE),"")</f>
      </c>
      <c r="F3748" s="1" t="str">
        <f>IFERROR(VLOOKUP(B3748,'SB1'!$A$2:$C$999999,3,FALSE),"")</f>
        <v>503</v>
      </c>
      <c r="G3748" s="3" t="e">
        <f t="shared" si="129"/>
        <v>#VALUE!</v>
      </c>
      <c r="H3748" s="3" t="e">
        <f t="shared" si="128"/>
        <v>#VALUE!</v>
      </c>
      <c r="I3748" s="1">
        <v>1</v>
      </c>
    </row>
    <row r="3749" spans="1:9" x14ac:dyDescent="0.25">
      <c r="A3749" s="1" t="s">
        <v>14435</v>
      </c>
      <c r="B3749" s="1" t="s">
        <v>11121</v>
      </c>
      <c r="C3749" s="1" t="str">
        <f>IFERROR(VLOOKUP(B3749,'SB1'!$A$2:$B$999999,2,FALSE),"")</f>
        <v>BASE NIVELADORA WEBER GRANITEX BASE COAT X 25</v>
      </c>
      <c r="D3749" s="1" t="s">
        <v>14488</v>
      </c>
      <c r="E3749" s="3">
        <f>IFERROR(VLOOKUP(B3749,'DA1'!$B$2:$D$999999,3,FALSE),"")</f>
      </c>
      <c r="F3749" s="1" t="str">
        <f>IFERROR(VLOOKUP(B3749,'SB1'!$A$2:$C$999999,3,FALSE),"")</f>
        <v>503</v>
      </c>
      <c r="G3749" s="3" t="e">
        <f t="shared" si="129"/>
        <v>#VALUE!</v>
      </c>
      <c r="H3749" s="3" t="e">
        <f t="shared" si="128"/>
        <v>#VALUE!</v>
      </c>
      <c r="I3749" s="1">
        <v>1</v>
      </c>
    </row>
    <row r="3750" spans="1:9" x14ac:dyDescent="0.25">
      <c r="A3750" s="1" t="s">
        <v>14435</v>
      </c>
      <c r="B3750" s="1" t="s">
        <v>11123</v>
      </c>
      <c r="C3750" s="1" t="str">
        <f>IFERROR(VLOOKUP(B3750,'SB1'!$A$2:$B$999999,2,FALSE),"")</f>
        <v>MORTERO DE ASIENTO BLOQUES DE HORMIGON WEBER BLOCK GRIS X 30</v>
      </c>
      <c r="D3750" s="1" t="s">
        <v>14488</v>
      </c>
      <c r="E3750" s="3">
        <f>IFERROR(VLOOKUP(B3750,'DA1'!$B$2:$D$999999,3,FALSE),"")</f>
      </c>
      <c r="F3750" s="1" t="str">
        <f>IFERROR(VLOOKUP(B3750,'SB1'!$A$2:$C$999999,3,FALSE),"")</f>
        <v>503</v>
      </c>
      <c r="G3750" s="3" t="e">
        <f t="shared" si="129"/>
        <v>#VALUE!</v>
      </c>
      <c r="H3750" s="3" t="e">
        <f t="shared" si="128"/>
        <v>#VALUE!</v>
      </c>
      <c r="I3750" s="1">
        <v>1</v>
      </c>
    </row>
    <row r="3751" spans="1:9" x14ac:dyDescent="0.25">
      <c r="A3751" s="1" t="s">
        <v>14435</v>
      </c>
      <c r="B3751" s="1" t="s">
        <v>11143</v>
      </c>
      <c r="C3751" s="1" t="str">
        <f>IFERROR(VLOOKUP(B3751,'SB1'!$A$2:$B$999999,2,FALSE),"")</f>
        <v>IMPERMEABILIZANTE PARA TECHOS DURALBA MULTISUPERFICIE BLANCO X  5</v>
      </c>
      <c r="D3751" s="1" t="s">
        <v>14441</v>
      </c>
      <c r="E3751" s="3">
        <f>IFERROR(VLOOKUP(B3751,'DA1'!$B$2:$D$999999,3,FALSE),"")</f>
      </c>
      <c r="F3751" s="1" t="str">
        <f>IFERROR(VLOOKUP(B3751,'SB1'!$A$2:$C$999999,3,FALSE),"")</f>
        <v>503</v>
      </c>
      <c r="G3751" s="3" t="e">
        <f t="shared" si="129"/>
        <v>#VALUE!</v>
      </c>
      <c r="H3751" s="3" t="e">
        <f t="shared" si="128"/>
        <v>#VALUE!</v>
      </c>
      <c r="I3751" s="1">
        <v>1</v>
      </c>
    </row>
    <row r="3752" spans="1:9" x14ac:dyDescent="0.25">
      <c r="A3752" s="1" t="s">
        <v>14435</v>
      </c>
      <c r="B3752" s="1" t="s">
        <v>11145</v>
      </c>
      <c r="C3752" s="1" t="str">
        <f>IFERROR(VLOOKUP(B3752,'SB1'!$A$2:$B$999999,2,FALSE),"")</f>
        <v>IMPERMEABILIZANTE PARA TECHOS DURALBA MULTISUPERFICIE BLANCO X 12</v>
      </c>
      <c r="D3752" s="1" t="s">
        <v>14441</v>
      </c>
      <c r="E3752" s="3">
        <f>IFERROR(VLOOKUP(B3752,'DA1'!$B$2:$D$999999,3,FALSE),"")</f>
      </c>
      <c r="F3752" s="1" t="str">
        <f>IFERROR(VLOOKUP(B3752,'SB1'!$A$2:$C$999999,3,FALSE),"")</f>
        <v>503</v>
      </c>
      <c r="G3752" s="3" t="e">
        <f t="shared" si="129"/>
        <v>#VALUE!</v>
      </c>
      <c r="H3752" s="3" t="e">
        <f t="shared" si="128"/>
        <v>#VALUE!</v>
      </c>
      <c r="I3752" s="1">
        <v>1</v>
      </c>
    </row>
    <row r="3753" spans="1:9" x14ac:dyDescent="0.25">
      <c r="A3753" s="1" t="s">
        <v>14435</v>
      </c>
      <c r="B3753" s="1" t="s">
        <v>11147</v>
      </c>
      <c r="C3753" s="1" t="str">
        <f>IFERROR(VLOOKUP(B3753,'SB1'!$A$2:$B$999999,2,FALSE),"")</f>
        <v>IMPERMEABILIZANTE PARA TECHOS DURALBA MULTISUPERFICIE BLANCO X 24</v>
      </c>
      <c r="D3753" s="1" t="s">
        <v>14441</v>
      </c>
      <c r="E3753" s="3">
        <f>IFERROR(VLOOKUP(B3753,'DA1'!$B$2:$D$999999,3,FALSE),"")</f>
      </c>
      <c r="F3753" s="1" t="str">
        <f>IFERROR(VLOOKUP(B3753,'SB1'!$A$2:$C$999999,3,FALSE),"")</f>
        <v>503</v>
      </c>
      <c r="G3753" s="3" t="e">
        <f t="shared" si="129"/>
        <v>#VALUE!</v>
      </c>
      <c r="H3753" s="3" t="e">
        <f t="shared" si="128"/>
        <v>#VALUE!</v>
      </c>
      <c r="I3753" s="1">
        <v>1</v>
      </c>
    </row>
    <row r="3754" spans="1:9" x14ac:dyDescent="0.25">
      <c r="A3754" s="1" t="s">
        <v>14435</v>
      </c>
      <c r="B3754" s="1" t="s">
        <v>11149</v>
      </c>
      <c r="C3754" s="1" t="str">
        <f>IFERROR(VLOOKUP(B3754,'SB1'!$A$2:$B$999999,2,FALSE),"")</f>
        <v>IMPERMEABILIZANTE PARA TECHOS DURALBA MULTISUPERFICIE TEJA X  5</v>
      </c>
      <c r="D3754" s="1" t="s">
        <v>14441</v>
      </c>
      <c r="E3754" s="3">
        <f>IFERROR(VLOOKUP(B3754,'DA1'!$B$2:$D$999999,3,FALSE),"")</f>
      </c>
      <c r="F3754" s="1" t="str">
        <f>IFERROR(VLOOKUP(B3754,'SB1'!$A$2:$C$999999,3,FALSE),"")</f>
        <v>503</v>
      </c>
      <c r="G3754" s="3" t="e">
        <f t="shared" si="129"/>
        <v>#VALUE!</v>
      </c>
      <c r="H3754" s="3" t="e">
        <f t="shared" si="128"/>
        <v>#VALUE!</v>
      </c>
      <c r="I3754" s="1">
        <v>1</v>
      </c>
    </row>
    <row r="3755" spans="1:9" x14ac:dyDescent="0.25">
      <c r="A3755" s="1" t="s">
        <v>14435</v>
      </c>
      <c r="B3755" s="1" t="s">
        <v>11151</v>
      </c>
      <c r="C3755" s="1" t="str">
        <f>IFERROR(VLOOKUP(B3755,'SB1'!$A$2:$B$999999,2,FALSE),"")</f>
        <v>IMPERMEABILIZANTE PARA TECHOS DURALBA MULTISUPERFICIE TEJA X 12</v>
      </c>
      <c r="D3755" s="1" t="s">
        <v>14441</v>
      </c>
      <c r="E3755" s="3">
        <f>IFERROR(VLOOKUP(B3755,'DA1'!$B$2:$D$999999,3,FALSE),"")</f>
      </c>
      <c r="F3755" s="1" t="str">
        <f>IFERROR(VLOOKUP(B3755,'SB1'!$A$2:$C$999999,3,FALSE),"")</f>
        <v>503</v>
      </c>
      <c r="G3755" s="3" t="e">
        <f t="shared" si="129"/>
        <v>#VALUE!</v>
      </c>
      <c r="H3755" s="3" t="e">
        <f t="shared" si="128"/>
        <v>#VALUE!</v>
      </c>
      <c r="I3755" s="1">
        <v>1</v>
      </c>
    </row>
    <row r="3756" spans="1:9" x14ac:dyDescent="0.25">
      <c r="A3756" s="1" t="s">
        <v>14435</v>
      </c>
      <c r="B3756" s="1" t="s">
        <v>11153</v>
      </c>
      <c r="C3756" s="1" t="str">
        <f>IFERROR(VLOOKUP(B3756,'SB1'!$A$2:$B$999999,2,FALSE),"")</f>
        <v>IMPERMEABILIZANTE PARA TECHOS DURALBA MULTISUPERFICIE TEJA X 24</v>
      </c>
      <c r="D3756" s="1" t="s">
        <v>14441</v>
      </c>
      <c r="E3756" s="3">
        <f>IFERROR(VLOOKUP(B3756,'DA1'!$B$2:$D$999999,3,FALSE),"")</f>
      </c>
      <c r="F3756" s="1" t="str">
        <f>IFERROR(VLOOKUP(B3756,'SB1'!$A$2:$C$999999,3,FALSE),"")</f>
        <v>503</v>
      </c>
      <c r="G3756" s="3" t="e">
        <f t="shared" si="129"/>
        <v>#VALUE!</v>
      </c>
      <c r="H3756" s="3" t="e">
        <f t="shared" si="128"/>
        <v>#VALUE!</v>
      </c>
      <c r="I3756" s="1">
        <v>1</v>
      </c>
    </row>
    <row r="3757" spans="1:9" x14ac:dyDescent="0.25">
      <c r="A3757" s="1" t="s">
        <v>14435</v>
      </c>
      <c r="B3757" s="1" t="s">
        <v>11155</v>
      </c>
      <c r="C3757" s="1" t="str">
        <f>IFERROR(VLOOKUP(B3757,'SB1'!$A$2:$B$999999,2,FALSE),"")</f>
        <v>IMPERMEABILIZANTE PARA TECHOS DURALBA MULTISUPERFICIE GRIS OSCURO X 12</v>
      </c>
      <c r="D3757" s="1" t="s">
        <v>14441</v>
      </c>
      <c r="E3757" s="3">
        <f>IFERROR(VLOOKUP(B3757,'DA1'!$B$2:$D$999999,3,FALSE),"")</f>
      </c>
      <c r="F3757" s="1" t="str">
        <f>IFERROR(VLOOKUP(B3757,'SB1'!$A$2:$C$999999,3,FALSE),"")</f>
        <v>503</v>
      </c>
      <c r="G3757" s="3" t="e">
        <f t="shared" si="129"/>
        <v>#VALUE!</v>
      </c>
      <c r="H3757" s="3" t="e">
        <f t="shared" si="128"/>
        <v>#VALUE!</v>
      </c>
      <c r="I3757" s="1">
        <v>1</v>
      </c>
    </row>
    <row r="3758" spans="1:9" x14ac:dyDescent="0.25">
      <c r="A3758" s="1" t="s">
        <v>14435</v>
      </c>
      <c r="B3758" s="1" t="s">
        <v>11157</v>
      </c>
      <c r="C3758" s="1" t="str">
        <f>IFERROR(VLOOKUP(B3758,'SB1'!$A$2:$B$999999,2,FALSE),"")</f>
        <v>IMPERMEABILIZANTE PARA TECHOS DURALBA MULTISUPERFICIE GRIS OSCURO X 24</v>
      </c>
      <c r="D3758" s="1" t="s">
        <v>14441</v>
      </c>
      <c r="E3758" s="3">
        <f>IFERROR(VLOOKUP(B3758,'DA1'!$B$2:$D$999999,3,FALSE),"")</f>
      </c>
      <c r="F3758" s="1" t="str">
        <f>IFERROR(VLOOKUP(B3758,'SB1'!$A$2:$C$999999,3,FALSE),"")</f>
        <v>503</v>
      </c>
      <c r="G3758" s="3" t="e">
        <f t="shared" si="129"/>
        <v>#VALUE!</v>
      </c>
      <c r="H3758" s="3" t="e">
        <f t="shared" si="128"/>
        <v>#VALUE!</v>
      </c>
      <c r="I3758" s="1">
        <v>1</v>
      </c>
    </row>
    <row r="3759" spans="1:9" x14ac:dyDescent="0.25">
      <c r="A3759" s="1" t="s">
        <v>14435</v>
      </c>
      <c r="B3759" s="1" t="s">
        <v>11159</v>
      </c>
      <c r="C3759" s="1" t="str">
        <f>IFERROR(VLOOKUP(B3759,'SB1'!$A$2:$B$999999,2,FALSE),"")</f>
        <v>IMPERMEABILIZANTE PARA TECHOS DURALBA MULTISUPERFICIE VERDE INGLES X 12</v>
      </c>
      <c r="D3759" s="1" t="s">
        <v>14441</v>
      </c>
      <c r="E3759" s="3">
        <f>IFERROR(VLOOKUP(B3759,'DA1'!$B$2:$D$999999,3,FALSE),"")</f>
      </c>
      <c r="F3759" s="1" t="str">
        <f>IFERROR(VLOOKUP(B3759,'SB1'!$A$2:$C$999999,3,FALSE),"")</f>
        <v>503</v>
      </c>
      <c r="G3759" s="3" t="e">
        <f t="shared" si="129"/>
        <v>#VALUE!</v>
      </c>
      <c r="H3759" s="3" t="e">
        <f t="shared" si="128"/>
        <v>#VALUE!</v>
      </c>
      <c r="I3759" s="1">
        <v>1</v>
      </c>
    </row>
    <row r="3760" spans="1:9" x14ac:dyDescent="0.25">
      <c r="A3760" s="1" t="s">
        <v>14435</v>
      </c>
      <c r="B3760" s="1" t="s">
        <v>11161</v>
      </c>
      <c r="C3760" s="1" t="str">
        <f>IFERROR(VLOOKUP(B3760,'SB1'!$A$2:$B$999999,2,FALSE),"")</f>
        <v>IMPERMEABILIZANTE PARA TECHOS DURALBA MULTISUPERFICIE VERDE INGLES X 24</v>
      </c>
      <c r="D3760" s="1" t="s">
        <v>14441</v>
      </c>
      <c r="E3760" s="3">
        <f>IFERROR(VLOOKUP(B3760,'DA1'!$B$2:$D$999999,3,FALSE),"")</f>
      </c>
      <c r="F3760" s="1" t="str">
        <f>IFERROR(VLOOKUP(B3760,'SB1'!$A$2:$C$999999,3,FALSE),"")</f>
        <v>503</v>
      </c>
      <c r="G3760" s="3" t="e">
        <f t="shared" si="129"/>
        <v>#VALUE!</v>
      </c>
      <c r="H3760" s="3" t="e">
        <f t="shared" si="128"/>
        <v>#VALUE!</v>
      </c>
      <c r="I3760" s="1">
        <v>1</v>
      </c>
    </row>
    <row r="3761" spans="1:9" x14ac:dyDescent="0.25">
      <c r="A3761" s="1" t="s">
        <v>14435</v>
      </c>
      <c r="B3761" s="1" t="s">
        <v>11163</v>
      </c>
      <c r="C3761" s="1" t="str">
        <f>IFERROR(VLOOKUP(B3761,'SB1'!$A$2:$B$999999,2,FALSE),"")</f>
        <v>IMPERMEABILIZANTE PARA TECHOS DURALBA TRANSITABLE BLANCO X   4</v>
      </c>
      <c r="D3761" s="1" t="s">
        <v>14441</v>
      </c>
      <c r="E3761" s="3">
        <f>IFERROR(VLOOKUP(B3761,'DA1'!$B$2:$D$999999,3,FALSE),"")</f>
      </c>
      <c r="F3761" s="1" t="str">
        <f>IFERROR(VLOOKUP(B3761,'SB1'!$A$2:$C$999999,3,FALSE),"")</f>
        <v>503</v>
      </c>
      <c r="G3761" s="3" t="e">
        <f t="shared" si="129"/>
        <v>#VALUE!</v>
      </c>
      <c r="H3761" s="3" t="e">
        <f t="shared" si="128"/>
        <v>#VALUE!</v>
      </c>
      <c r="I3761" s="1">
        <v>1</v>
      </c>
    </row>
    <row r="3762" spans="1:9" x14ac:dyDescent="0.25">
      <c r="A3762" s="1" t="s">
        <v>14435</v>
      </c>
      <c r="B3762" s="1" t="s">
        <v>11165</v>
      </c>
      <c r="C3762" s="1" t="str">
        <f>IFERROR(VLOOKUP(B3762,'SB1'!$A$2:$B$999999,2,FALSE),"")</f>
        <v>IMPERMEABILIZANTE PARA TECHOS DURALBA TRANSITABLE BLANCO X 10</v>
      </c>
      <c r="D3762" s="1" t="s">
        <v>14441</v>
      </c>
      <c r="E3762" s="3">
        <f>IFERROR(VLOOKUP(B3762,'DA1'!$B$2:$D$999999,3,FALSE),"")</f>
      </c>
      <c r="F3762" s="1" t="str">
        <f>IFERROR(VLOOKUP(B3762,'SB1'!$A$2:$C$999999,3,FALSE),"")</f>
        <v>503</v>
      </c>
      <c r="G3762" s="3" t="e">
        <f t="shared" si="129"/>
        <v>#VALUE!</v>
      </c>
      <c r="H3762" s="3" t="e">
        <f t="shared" si="128"/>
        <v>#VALUE!</v>
      </c>
      <c r="I3762" s="1">
        <v>1</v>
      </c>
    </row>
    <row r="3763" spans="1:9" x14ac:dyDescent="0.25">
      <c r="A3763" s="1" t="s">
        <v>14435</v>
      </c>
      <c r="B3763" s="1" t="s">
        <v>11167</v>
      </c>
      <c r="C3763" s="1" t="str">
        <f>IFERROR(VLOOKUP(B3763,'SB1'!$A$2:$B$999999,2,FALSE),"")</f>
        <v>IMPERMEABILIZANTE PARA TECHOS DURALBA TRANSITABLE BLANCO X 20</v>
      </c>
      <c r="D3763" s="1" t="s">
        <v>14441</v>
      </c>
      <c r="E3763" s="3">
        <f>IFERROR(VLOOKUP(B3763,'DA1'!$B$2:$D$999999,3,FALSE),"")</f>
      </c>
      <c r="F3763" s="1" t="str">
        <f>IFERROR(VLOOKUP(B3763,'SB1'!$A$2:$C$999999,3,FALSE),"")</f>
        <v>503</v>
      </c>
      <c r="G3763" s="3" t="e">
        <f t="shared" si="129"/>
        <v>#VALUE!</v>
      </c>
      <c r="H3763" s="3" t="e">
        <f t="shared" si="128"/>
        <v>#VALUE!</v>
      </c>
      <c r="I3763" s="1">
        <v>1</v>
      </c>
    </row>
    <row r="3764" spans="1:9" x14ac:dyDescent="0.25">
      <c r="A3764" s="1" t="s">
        <v>14435</v>
      </c>
      <c r="B3764" s="1" t="s">
        <v>11169</v>
      </c>
      <c r="C3764" s="1" t="str">
        <f>IFERROR(VLOOKUP(B3764,'SB1'!$A$2:$B$999999,2,FALSE),"")</f>
        <v>IMPERMEABILIZANTE PARA TECHOS DURALBA TRANSITABLE TEJA X  4</v>
      </c>
      <c r="D3764" s="1" t="s">
        <v>14441</v>
      </c>
      <c r="E3764" s="3">
        <f>IFERROR(VLOOKUP(B3764,'DA1'!$B$2:$D$999999,3,FALSE),"")</f>
      </c>
      <c r="F3764" s="1" t="str">
        <f>IFERROR(VLOOKUP(B3764,'SB1'!$A$2:$C$999999,3,FALSE),"")</f>
        <v>503</v>
      </c>
      <c r="G3764" s="3" t="e">
        <f t="shared" si="129"/>
        <v>#VALUE!</v>
      </c>
      <c r="H3764" s="3" t="e">
        <f t="shared" si="128"/>
        <v>#VALUE!</v>
      </c>
      <c r="I3764" s="1">
        <v>1</v>
      </c>
    </row>
    <row r="3765" spans="1:9" x14ac:dyDescent="0.25">
      <c r="A3765" s="1" t="s">
        <v>14435</v>
      </c>
      <c r="B3765" s="1" t="s">
        <v>11171</v>
      </c>
      <c r="C3765" s="1" t="str">
        <f>IFERROR(VLOOKUP(B3765,'SB1'!$A$2:$B$999999,2,FALSE),"")</f>
        <v>IMPERMEABILIZANTE PARA TECHOS DURALBA TRANSITABLE TEJA X 10</v>
      </c>
      <c r="D3765" s="1" t="s">
        <v>14441</v>
      </c>
      <c r="E3765" s="3">
        <f>IFERROR(VLOOKUP(B3765,'DA1'!$B$2:$D$999999,3,FALSE),"")</f>
      </c>
      <c r="F3765" s="1" t="str">
        <f>IFERROR(VLOOKUP(B3765,'SB1'!$A$2:$C$999999,3,FALSE),"")</f>
        <v>503</v>
      </c>
      <c r="G3765" s="3" t="e">
        <f t="shared" si="129"/>
        <v>#VALUE!</v>
      </c>
      <c r="H3765" s="3" t="e">
        <f t="shared" si="128"/>
        <v>#VALUE!</v>
      </c>
      <c r="I3765" s="1">
        <v>1</v>
      </c>
    </row>
    <row r="3766" spans="1:9" x14ac:dyDescent="0.25">
      <c r="A3766" s="1" t="s">
        <v>14435</v>
      </c>
      <c r="B3766" s="1" t="s">
        <v>11173</v>
      </c>
      <c r="C3766" s="1" t="str">
        <f>IFERROR(VLOOKUP(B3766,'SB1'!$A$2:$B$999999,2,FALSE),"")</f>
        <v>IMPERMEABILIZANTE PARA TECHOS DURALBA TRANSITABLE TEJA X 20</v>
      </c>
      <c r="D3766" s="1" t="s">
        <v>14441</v>
      </c>
      <c r="E3766" s="3">
        <f>IFERROR(VLOOKUP(B3766,'DA1'!$B$2:$D$999999,3,FALSE),"")</f>
      </c>
      <c r="F3766" s="1" t="str">
        <f>IFERROR(VLOOKUP(B3766,'SB1'!$A$2:$C$999999,3,FALSE),"")</f>
        <v>503</v>
      </c>
      <c r="G3766" s="3" t="e">
        <f t="shared" si="129"/>
        <v>#VALUE!</v>
      </c>
      <c r="H3766" s="3" t="e">
        <f t="shared" si="128"/>
        <v>#VALUE!</v>
      </c>
      <c r="I3766" s="1">
        <v>1</v>
      </c>
    </row>
    <row r="3767" spans="1:9" x14ac:dyDescent="0.25">
      <c r="A3767" s="1" t="s">
        <v>14435</v>
      </c>
      <c r="B3767" s="1" t="s">
        <v>11175</v>
      </c>
      <c r="C3767" s="1" t="str">
        <f>IFERROR(VLOOKUP(B3767,'SB1'!$A$2:$B$999999,2,FALSE),"")</f>
        <v>IMPERMEABILIZANTE PARA TECHOS DURALBA TRANSITABLE VERDE CEMENTO X 10</v>
      </c>
      <c r="D3767" s="1" t="s">
        <v>14441</v>
      </c>
      <c r="E3767" s="3">
        <f>IFERROR(VLOOKUP(B3767,'DA1'!$B$2:$D$999999,3,FALSE),"")</f>
      </c>
      <c r="F3767" s="1" t="str">
        <f>IFERROR(VLOOKUP(B3767,'SB1'!$A$2:$C$999999,3,FALSE),"")</f>
        <v>503</v>
      </c>
      <c r="G3767" s="3" t="e">
        <f t="shared" si="129"/>
        <v>#VALUE!</v>
      </c>
      <c r="H3767" s="3" t="e">
        <f t="shared" si="128"/>
        <v>#VALUE!</v>
      </c>
      <c r="I3767" s="1">
        <v>1</v>
      </c>
    </row>
    <row r="3768" spans="1:9" x14ac:dyDescent="0.25">
      <c r="A3768" s="1" t="s">
        <v>14435</v>
      </c>
      <c r="B3768" s="1" t="s">
        <v>11177</v>
      </c>
      <c r="C3768" s="1" t="str">
        <f>IFERROR(VLOOKUP(B3768,'SB1'!$A$2:$B$999999,2,FALSE),"")</f>
        <v>IMPERMEABILIZANTE PARA TECHOS DURALBA TRANSITABLE VERDE CEMENTO X 20</v>
      </c>
      <c r="D3768" s="1" t="s">
        <v>14441</v>
      </c>
      <c r="E3768" s="3">
        <f>IFERROR(VLOOKUP(B3768,'DA1'!$B$2:$D$999999,3,FALSE),"")</f>
      </c>
      <c r="F3768" s="1" t="str">
        <f>IFERROR(VLOOKUP(B3768,'SB1'!$A$2:$C$999999,3,FALSE),"")</f>
        <v>503</v>
      </c>
      <c r="G3768" s="3" t="e">
        <f t="shared" si="129"/>
        <v>#VALUE!</v>
      </c>
      <c r="H3768" s="3" t="e">
        <f t="shared" si="128"/>
        <v>#VALUE!</v>
      </c>
      <c r="I3768" s="1">
        <v>1</v>
      </c>
    </row>
    <row r="3769" spans="1:9" x14ac:dyDescent="0.25">
      <c r="A3769" s="1" t="s">
        <v>14435</v>
      </c>
      <c r="B3769" s="1" t="s">
        <v>11179</v>
      </c>
      <c r="C3769" s="1" t="str">
        <f>IFERROR(VLOOKUP(B3769,'SB1'!$A$2:$B$999999,2,FALSE),"")</f>
        <v>LATEX INTERIOR/EXTERIOR ALBA CONSTRUCTOR MATE AMARILLO FUEGUINO X 1</v>
      </c>
      <c r="D3769" s="1" t="s">
        <v>14441</v>
      </c>
      <c r="E3769" s="3">
        <f>IFERROR(VLOOKUP(B3769,'DA1'!$B$2:$D$999999,3,FALSE),"")</f>
      </c>
      <c r="F3769" s="1" t="str">
        <f>IFERROR(VLOOKUP(B3769,'SB1'!$A$2:$C$999999,3,FALSE),"")</f>
        <v>503</v>
      </c>
      <c r="G3769" s="3" t="e">
        <f t="shared" si="129"/>
        <v>#VALUE!</v>
      </c>
      <c r="H3769" s="3" t="e">
        <f t="shared" si="128"/>
        <v>#VALUE!</v>
      </c>
      <c r="I3769" s="1">
        <v>1</v>
      </c>
    </row>
    <row r="3770" spans="1:9" x14ac:dyDescent="0.25">
      <c r="A3770" s="1" t="s">
        <v>14435</v>
      </c>
      <c r="B3770" s="1" t="s">
        <v>11181</v>
      </c>
      <c r="C3770" s="1" t="str">
        <f>IFERROR(VLOOKUP(B3770,'SB1'!$A$2:$B$999999,2,FALSE),"")</f>
        <v>LATEX INTERIOR/EXTERIOR ALBA CONSTRUCTOR MATE AMARILLO FUEGUINO X 4</v>
      </c>
      <c r="D3770" s="1" t="s">
        <v>14441</v>
      </c>
      <c r="E3770" s="3">
        <f>IFERROR(VLOOKUP(B3770,'DA1'!$B$2:$D$999999,3,FALSE),"")</f>
      </c>
      <c r="F3770" s="1" t="str">
        <f>IFERROR(VLOOKUP(B3770,'SB1'!$A$2:$C$999999,3,FALSE),"")</f>
        <v>503</v>
      </c>
      <c r="G3770" s="3" t="e">
        <f t="shared" si="129"/>
        <v>#VALUE!</v>
      </c>
      <c r="H3770" s="3" t="e">
        <f t="shared" si="128"/>
        <v>#VALUE!</v>
      </c>
      <c r="I3770" s="1">
        <v>1</v>
      </c>
    </row>
    <row r="3771" spans="1:9" x14ac:dyDescent="0.25">
      <c r="A3771" s="1" t="s">
        <v>14435</v>
      </c>
      <c r="B3771" s="1" t="s">
        <v>11183</v>
      </c>
      <c r="C3771" s="1" t="str">
        <f>IFERROR(VLOOKUP(B3771,'SB1'!$A$2:$B$999999,2,FALSE),"")</f>
        <v>LATEX INTERIOR/EXTERIOR ALBA CONSTRUCTOR MATE AZUL GLACIAR X 1</v>
      </c>
      <c r="D3771" s="1" t="s">
        <v>14441</v>
      </c>
      <c r="E3771" s="3">
        <f>IFERROR(VLOOKUP(B3771,'DA1'!$B$2:$D$999999,3,FALSE),"")</f>
      </c>
      <c r="F3771" s="1" t="str">
        <f>IFERROR(VLOOKUP(B3771,'SB1'!$A$2:$C$999999,3,FALSE),"")</f>
        <v>503</v>
      </c>
      <c r="G3771" s="3" t="e">
        <f t="shared" si="129"/>
        <v>#VALUE!</v>
      </c>
      <c r="H3771" s="3" t="e">
        <f t="shared" si="128"/>
        <v>#VALUE!</v>
      </c>
      <c r="I3771" s="1">
        <v>1</v>
      </c>
    </row>
    <row r="3772" spans="1:9" x14ac:dyDescent="0.25">
      <c r="A3772" s="1" t="s">
        <v>14435</v>
      </c>
      <c r="B3772" s="1" t="s">
        <v>11185</v>
      </c>
      <c r="C3772" s="1" t="str">
        <f>IFERROR(VLOOKUP(B3772,'SB1'!$A$2:$B$999999,2,FALSE),"")</f>
        <v>LATEX INTERIOR/EXTERIOR ALBA CONSTRUCTOR MATE AZUL GLACIAR X 4</v>
      </c>
      <c r="D3772" s="1" t="s">
        <v>14441</v>
      </c>
      <c r="E3772" s="3">
        <f>IFERROR(VLOOKUP(B3772,'DA1'!$B$2:$D$999999,3,FALSE),"")</f>
      </c>
      <c r="F3772" s="1" t="str">
        <f>IFERROR(VLOOKUP(B3772,'SB1'!$A$2:$C$999999,3,FALSE),"")</f>
        <v>503</v>
      </c>
      <c r="G3772" s="3" t="e">
        <f t="shared" si="129"/>
        <v>#VALUE!</v>
      </c>
      <c r="H3772" s="3" t="e">
        <f t="shared" si="128"/>
        <v>#VALUE!</v>
      </c>
      <c r="I3772" s="1">
        <v>1</v>
      </c>
    </row>
    <row r="3773" spans="1:9" x14ac:dyDescent="0.25">
      <c r="A3773" s="1" t="s">
        <v>14435</v>
      </c>
      <c r="B3773" s="1" t="s">
        <v>11187</v>
      </c>
      <c r="C3773" s="1" t="str">
        <f>IFERROR(VLOOKUP(B3773,'SB1'!$A$2:$B$999999,2,FALSE),"")</f>
        <v>LATEX INTERIOR/EXTERIOR ALBA CONSTRUCTOR MATE BEIGE URBANO X 1</v>
      </c>
      <c r="D3773" s="1" t="s">
        <v>14441</v>
      </c>
      <c r="E3773" s="3">
        <f>IFERROR(VLOOKUP(B3773,'DA1'!$B$2:$D$999999,3,FALSE),"")</f>
      </c>
      <c r="F3773" s="1" t="str">
        <f>IFERROR(VLOOKUP(B3773,'SB1'!$A$2:$C$999999,3,FALSE),"")</f>
        <v>503</v>
      </c>
      <c r="G3773" s="3" t="e">
        <f t="shared" si="129"/>
        <v>#VALUE!</v>
      </c>
      <c r="H3773" s="3" t="e">
        <f t="shared" si="128"/>
        <v>#VALUE!</v>
      </c>
      <c r="I3773" s="1">
        <v>1</v>
      </c>
    </row>
    <row r="3774" spans="1:9" x14ac:dyDescent="0.25">
      <c r="A3774" s="1" t="s">
        <v>14435</v>
      </c>
      <c r="B3774" s="1" t="s">
        <v>11189</v>
      </c>
      <c r="C3774" s="1" t="str">
        <f>IFERROR(VLOOKUP(B3774,'SB1'!$A$2:$B$999999,2,FALSE),"")</f>
        <v>LATEX INTERIOR/EXTERIOR ALBA CONSTRUCTOR MATE BEIGE URBANO X 4</v>
      </c>
      <c r="D3774" s="1" t="s">
        <v>14441</v>
      </c>
      <c r="E3774" s="3">
        <f>IFERROR(VLOOKUP(B3774,'DA1'!$B$2:$D$999999,3,FALSE),"")</f>
      </c>
      <c r="F3774" s="1" t="str">
        <f>IFERROR(VLOOKUP(B3774,'SB1'!$A$2:$C$999999,3,FALSE),"")</f>
        <v>503</v>
      </c>
      <c r="G3774" s="3" t="e">
        <f t="shared" si="129"/>
        <v>#VALUE!</v>
      </c>
      <c r="H3774" s="3" t="e">
        <f t="shared" ref="H3774:H3837" si="130">G3774*1.21</f>
        <v>#VALUE!</v>
      </c>
      <c r="I3774" s="1">
        <v>1</v>
      </c>
    </row>
    <row r="3775" spans="1:9" x14ac:dyDescent="0.25">
      <c r="A3775" s="1" t="s">
        <v>14435</v>
      </c>
      <c r="B3775" s="1" t="s">
        <v>11191</v>
      </c>
      <c r="C3775" s="1" t="str">
        <f>IFERROR(VLOOKUP(B3775,'SB1'!$A$2:$B$999999,2,FALSE),"")</f>
        <v>LATEX INTERIOR/EXTERIOR ALBA CONSTRUCTOR MATE GRIS ANDINO X 1</v>
      </c>
      <c r="D3775" s="1" t="s">
        <v>14441</v>
      </c>
      <c r="E3775" s="3">
        <f>IFERROR(VLOOKUP(B3775,'DA1'!$B$2:$D$999999,3,FALSE),"")</f>
      </c>
      <c r="F3775" s="1" t="str">
        <f>IFERROR(VLOOKUP(B3775,'SB1'!$A$2:$C$999999,3,FALSE),"")</f>
        <v>503</v>
      </c>
      <c r="G3775" s="3" t="e">
        <f t="shared" si="129"/>
        <v>#VALUE!</v>
      </c>
      <c r="H3775" s="3" t="e">
        <f t="shared" si="130"/>
        <v>#VALUE!</v>
      </c>
      <c r="I3775" s="1">
        <v>1</v>
      </c>
    </row>
    <row r="3776" spans="1:9" x14ac:dyDescent="0.25">
      <c r="A3776" s="1" t="s">
        <v>14435</v>
      </c>
      <c r="B3776" s="1" t="s">
        <v>11193</v>
      </c>
      <c r="C3776" s="1" t="str">
        <f>IFERROR(VLOOKUP(B3776,'SB1'!$A$2:$B$999999,2,FALSE),"")</f>
        <v>LATEX INTERIOR/EXTERIOR ALBA CONSTRUCTOR MATE GRIS ANDINO X 4</v>
      </c>
      <c r="D3776" s="1" t="s">
        <v>14441</v>
      </c>
      <c r="E3776" s="3">
        <f>IFERROR(VLOOKUP(B3776,'DA1'!$B$2:$D$999999,3,FALSE),"")</f>
      </c>
      <c r="F3776" s="1" t="str">
        <f>IFERROR(VLOOKUP(B3776,'SB1'!$A$2:$C$999999,3,FALSE),"")</f>
        <v>503</v>
      </c>
      <c r="G3776" s="3" t="e">
        <f t="shared" si="129"/>
        <v>#VALUE!</v>
      </c>
      <c r="H3776" s="3" t="e">
        <f t="shared" si="130"/>
        <v>#VALUE!</v>
      </c>
      <c r="I3776" s="1">
        <v>1</v>
      </c>
    </row>
    <row r="3777" spans="1:9" x14ac:dyDescent="0.25">
      <c r="A3777" s="1" t="s">
        <v>14435</v>
      </c>
      <c r="B3777" s="1" t="s">
        <v>11195</v>
      </c>
      <c r="C3777" s="1" t="str">
        <f>IFERROR(VLOOKUP(B3777,'SB1'!$A$2:$B$999999,2,FALSE),"")</f>
        <v>LATEX INTERIOR/EXTERIOR ALBA CONSTRUCTOR MATE GRIS PATAGONICO X 1</v>
      </c>
      <c r="D3777" s="1" t="s">
        <v>14441</v>
      </c>
      <c r="E3777" s="3">
        <f>IFERROR(VLOOKUP(B3777,'DA1'!$B$2:$D$999999,3,FALSE),"")</f>
      </c>
      <c r="F3777" s="1" t="str">
        <f>IFERROR(VLOOKUP(B3777,'SB1'!$A$2:$C$999999,3,FALSE),"")</f>
        <v>503</v>
      </c>
      <c r="G3777" s="3" t="e">
        <f t="shared" si="129"/>
        <v>#VALUE!</v>
      </c>
      <c r="H3777" s="3" t="e">
        <f t="shared" si="130"/>
        <v>#VALUE!</v>
      </c>
      <c r="I3777" s="1">
        <v>1</v>
      </c>
    </row>
    <row r="3778" spans="1:9" x14ac:dyDescent="0.25">
      <c r="A3778" s="1" t="s">
        <v>14435</v>
      </c>
      <c r="B3778" s="1" t="s">
        <v>11197</v>
      </c>
      <c r="C3778" s="1" t="str">
        <f>IFERROR(VLOOKUP(B3778,'SB1'!$A$2:$B$999999,2,FALSE),"")</f>
        <v>LATEX INTERIOR/EXTERIOR ALBA CONSTRUCTOR MATE GRIS PATAGONICO X 4</v>
      </c>
      <c r="D3778" s="1" t="s">
        <v>14441</v>
      </c>
      <c r="E3778" s="3">
        <f>IFERROR(VLOOKUP(B3778,'DA1'!$B$2:$D$999999,3,FALSE),"")</f>
      </c>
      <c r="F3778" s="1" t="str">
        <f>IFERROR(VLOOKUP(B3778,'SB1'!$A$2:$C$999999,3,FALSE),"")</f>
        <v>503</v>
      </c>
      <c r="G3778" s="3" t="e">
        <f t="shared" si="129"/>
        <v>#VALUE!</v>
      </c>
      <c r="H3778" s="3" t="e">
        <f t="shared" si="130"/>
        <v>#VALUE!</v>
      </c>
      <c r="I3778" s="1">
        <v>1</v>
      </c>
    </row>
    <row r="3779" spans="1:9" x14ac:dyDescent="0.25">
      <c r="A3779" s="1" t="s">
        <v>14435</v>
      </c>
      <c r="B3779" s="1" t="s">
        <v>11199</v>
      </c>
      <c r="C3779" s="1" t="str">
        <f>IFERROR(VLOOKUP(B3779,'SB1'!$A$2:$B$999999,2,FALSE),"")</f>
        <v>LATEX INTERIOR/EXTERIOR ALBA CONSTRUCTOR MATE NARANJA CAFAYATE X 1</v>
      </c>
      <c r="D3779" s="1" t="s">
        <v>14441</v>
      </c>
      <c r="E3779" s="3">
        <f>IFERROR(VLOOKUP(B3779,'DA1'!$B$2:$D$999999,3,FALSE),"")</f>
      </c>
      <c r="F3779" s="1" t="str">
        <f>IFERROR(VLOOKUP(B3779,'SB1'!$A$2:$C$999999,3,FALSE),"")</f>
        <v>503</v>
      </c>
      <c r="G3779" s="3" t="e">
        <f t="shared" ref="G3779:G3842" si="131">E3779*1.04</f>
        <v>#VALUE!</v>
      </c>
      <c r="H3779" s="3" t="e">
        <f t="shared" si="130"/>
        <v>#VALUE!</v>
      </c>
      <c r="I3779" s="1">
        <v>1</v>
      </c>
    </row>
    <row r="3780" spans="1:9" x14ac:dyDescent="0.25">
      <c r="A3780" s="1" t="s">
        <v>14435</v>
      </c>
      <c r="B3780" s="1" t="s">
        <v>11201</v>
      </c>
      <c r="C3780" s="1" t="str">
        <f>IFERROR(VLOOKUP(B3780,'SB1'!$A$2:$B$999999,2,FALSE),"")</f>
        <v>LATEX INTERIOR/EXTERIOR ALBA CONSTRUCTOR MATE NARANJA CAFAYATE X 4</v>
      </c>
      <c r="D3780" s="1" t="s">
        <v>14441</v>
      </c>
      <c r="E3780" s="3">
        <f>IFERROR(VLOOKUP(B3780,'DA1'!$B$2:$D$999999,3,FALSE),"")</f>
      </c>
      <c r="F3780" s="1" t="str">
        <f>IFERROR(VLOOKUP(B3780,'SB1'!$A$2:$C$999999,3,FALSE),"")</f>
        <v>503</v>
      </c>
      <c r="G3780" s="3" t="e">
        <f t="shared" si="131"/>
        <v>#VALUE!</v>
      </c>
      <c r="H3780" s="3" t="e">
        <f t="shared" si="130"/>
        <v>#VALUE!</v>
      </c>
      <c r="I3780" s="1">
        <v>1</v>
      </c>
    </row>
    <row r="3781" spans="1:9" x14ac:dyDescent="0.25">
      <c r="A3781" s="1" t="s">
        <v>14435</v>
      </c>
      <c r="B3781" s="1" t="s">
        <v>11203</v>
      </c>
      <c r="C3781" s="1" t="str">
        <f>IFERROR(VLOOKUP(B3781,'SB1'!$A$2:$B$999999,2,FALSE),"")</f>
        <v>LATEX INTERIOR/EXTERIOR ALBA CONSTRUCTOR MATE ROJO CHAQUENO X 1</v>
      </c>
      <c r="D3781" s="1" t="s">
        <v>14441</v>
      </c>
      <c r="E3781" s="3">
        <f>IFERROR(VLOOKUP(B3781,'DA1'!$B$2:$D$999999,3,FALSE),"")</f>
      </c>
      <c r="F3781" s="1" t="str">
        <f>IFERROR(VLOOKUP(B3781,'SB1'!$A$2:$C$999999,3,FALSE),"")</f>
        <v>503</v>
      </c>
      <c r="G3781" s="3" t="e">
        <f t="shared" si="131"/>
        <v>#VALUE!</v>
      </c>
      <c r="H3781" s="3" t="e">
        <f t="shared" si="130"/>
        <v>#VALUE!</v>
      </c>
      <c r="I3781" s="1">
        <v>1</v>
      </c>
    </row>
    <row r="3782" spans="1:9" x14ac:dyDescent="0.25">
      <c r="A3782" s="1" t="s">
        <v>14435</v>
      </c>
      <c r="B3782" s="1" t="s">
        <v>11205</v>
      </c>
      <c r="C3782" s="1" t="str">
        <f>IFERROR(VLOOKUP(B3782,'SB1'!$A$2:$B$999999,2,FALSE),"")</f>
        <v>LATEX INTERIOR/EXTERIOR ALBA CONSTRUCTOR MATE ROJO CHAQUENO X 4</v>
      </c>
      <c r="D3782" s="1" t="s">
        <v>14441</v>
      </c>
      <c r="E3782" s="3">
        <f>IFERROR(VLOOKUP(B3782,'DA1'!$B$2:$D$999999,3,FALSE),"")</f>
      </c>
      <c r="F3782" s="1" t="str">
        <f>IFERROR(VLOOKUP(B3782,'SB1'!$A$2:$C$999999,3,FALSE),"")</f>
        <v>503</v>
      </c>
      <c r="G3782" s="3" t="e">
        <f t="shared" si="131"/>
        <v>#VALUE!</v>
      </c>
      <c r="H3782" s="3" t="e">
        <f t="shared" si="130"/>
        <v>#VALUE!</v>
      </c>
      <c r="I3782" s="1">
        <v>1</v>
      </c>
    </row>
    <row r="3783" spans="1:9" x14ac:dyDescent="0.25">
      <c r="A3783" s="1" t="s">
        <v>14435</v>
      </c>
      <c r="B3783" s="1" t="s">
        <v>11207</v>
      </c>
      <c r="C3783" s="1" t="str">
        <f>IFERROR(VLOOKUP(B3783,'SB1'!$A$2:$B$999999,2,FALSE),"")</f>
        <v>LATEX INTERIOR/EXTERIOR ALBA CONSTRUCTOR MATE VERDE PAMPEANO X 1</v>
      </c>
      <c r="D3783" s="1" t="s">
        <v>14441</v>
      </c>
      <c r="E3783" s="3">
        <f>IFERROR(VLOOKUP(B3783,'DA1'!$B$2:$D$999999,3,FALSE),"")</f>
      </c>
      <c r="F3783" s="1" t="str">
        <f>IFERROR(VLOOKUP(B3783,'SB1'!$A$2:$C$999999,3,FALSE),"")</f>
        <v>503</v>
      </c>
      <c r="G3783" s="3" t="e">
        <f t="shared" si="131"/>
        <v>#VALUE!</v>
      </c>
      <c r="H3783" s="3" t="e">
        <f t="shared" si="130"/>
        <v>#VALUE!</v>
      </c>
      <c r="I3783" s="1">
        <v>1</v>
      </c>
    </row>
    <row r="3784" spans="1:9" x14ac:dyDescent="0.25">
      <c r="A3784" s="1" t="s">
        <v>14435</v>
      </c>
      <c r="B3784" s="1" t="s">
        <v>11209</v>
      </c>
      <c r="C3784" s="1" t="str">
        <f>IFERROR(VLOOKUP(B3784,'SB1'!$A$2:$B$999999,2,FALSE),"")</f>
        <v>LATEX INTERIOR/EXTERIOR ALBA CONSTRUCTOR MATE VERDE PAMPEANO X 4</v>
      </c>
      <c r="D3784" s="1" t="s">
        <v>14441</v>
      </c>
      <c r="E3784" s="3">
        <f>IFERROR(VLOOKUP(B3784,'DA1'!$B$2:$D$999999,3,FALSE),"")</f>
      </c>
      <c r="F3784" s="1" t="str">
        <f>IFERROR(VLOOKUP(B3784,'SB1'!$A$2:$C$999999,3,FALSE),"")</f>
        <v>503</v>
      </c>
      <c r="G3784" s="3" t="e">
        <f t="shared" si="131"/>
        <v>#VALUE!</v>
      </c>
      <c r="H3784" s="3" t="e">
        <f t="shared" si="130"/>
        <v>#VALUE!</v>
      </c>
      <c r="I3784" s="1">
        <v>1</v>
      </c>
    </row>
    <row r="3785" spans="1:9" x14ac:dyDescent="0.25">
      <c r="A3785" s="1" t="s">
        <v>14435</v>
      </c>
      <c r="B3785" s="1" t="s">
        <v>11211</v>
      </c>
      <c r="C3785" s="1" t="str">
        <f>IFERROR(VLOOKUP(B3785,'SB1'!$A$2:$B$999999,2,FALSE),"")</f>
        <v>LATEX INTERIOR/EXTERIOR ALBA CONSTRUCTOR MATE VIOLETA CUYO X 1</v>
      </c>
      <c r="D3785" s="1" t="s">
        <v>14441</v>
      </c>
      <c r="E3785" s="3">
        <f>IFERROR(VLOOKUP(B3785,'DA1'!$B$2:$D$999999,3,FALSE),"")</f>
      </c>
      <c r="F3785" s="1" t="str">
        <f>IFERROR(VLOOKUP(B3785,'SB1'!$A$2:$C$999999,3,FALSE),"")</f>
        <v>503</v>
      </c>
      <c r="G3785" s="3" t="e">
        <f t="shared" si="131"/>
        <v>#VALUE!</v>
      </c>
      <c r="H3785" s="3" t="e">
        <f t="shared" si="130"/>
        <v>#VALUE!</v>
      </c>
      <c r="I3785" s="1">
        <v>1</v>
      </c>
    </row>
    <row r="3786" spans="1:9" x14ac:dyDescent="0.25">
      <c r="A3786" s="1" t="s">
        <v>14435</v>
      </c>
      <c r="B3786" s="1" t="s">
        <v>11213</v>
      </c>
      <c r="C3786" s="1" t="str">
        <f>IFERROR(VLOOKUP(B3786,'SB1'!$A$2:$B$999999,2,FALSE),"")</f>
        <v>LATEX INTERIOR/EXTERIOR ALBA CONSTRUCTOR MATE VIOLETA CUYO X 4</v>
      </c>
      <c r="D3786" s="1" t="s">
        <v>14441</v>
      </c>
      <c r="E3786" s="3">
        <f>IFERROR(VLOOKUP(B3786,'DA1'!$B$2:$D$999999,3,FALSE),"")</f>
      </c>
      <c r="F3786" s="1" t="str">
        <f>IFERROR(VLOOKUP(B3786,'SB1'!$A$2:$C$999999,3,FALSE),"")</f>
        <v>503</v>
      </c>
      <c r="G3786" s="3" t="e">
        <f t="shared" si="131"/>
        <v>#VALUE!</v>
      </c>
      <c r="H3786" s="3" t="e">
        <f t="shared" si="130"/>
        <v>#VALUE!</v>
      </c>
      <c r="I3786" s="1">
        <v>1</v>
      </c>
    </row>
    <row r="3787" spans="1:9" x14ac:dyDescent="0.25">
      <c r="A3787" s="1" t="s">
        <v>14435</v>
      </c>
      <c r="B3787" s="1" t="s">
        <v>11215</v>
      </c>
      <c r="C3787" s="1" t="str">
        <f>IFERROR(VLOOKUP(B3787,'SB1'!$A$2:$B$999999,2,FALSE),"")</f>
        <v>REVESTIMIENTO TEXTURADO TERPLAST REVOQUE ACRILICO BLANCO X  5</v>
      </c>
      <c r="D3787" s="1" t="s">
        <v>14437</v>
      </c>
      <c r="E3787" s="3">
        <f>IFERROR(VLOOKUP(B3787,'DA1'!$B$2:$D$999999,3,FALSE),"")</f>
      </c>
      <c r="F3787" s="1" t="str">
        <f>IFERROR(VLOOKUP(B3787,'SB1'!$A$2:$C$999999,3,FALSE),"")</f>
        <v>503</v>
      </c>
      <c r="G3787" s="3" t="e">
        <f t="shared" si="131"/>
        <v>#VALUE!</v>
      </c>
      <c r="H3787" s="3" t="e">
        <f t="shared" si="130"/>
        <v>#VALUE!</v>
      </c>
      <c r="I3787" s="1">
        <v>1</v>
      </c>
    </row>
    <row r="3788" spans="1:9" x14ac:dyDescent="0.25">
      <c r="A3788" s="1" t="s">
        <v>14435</v>
      </c>
      <c r="B3788" s="1" t="s">
        <v>11217</v>
      </c>
      <c r="C3788" s="1" t="str">
        <f>IFERROR(VLOOKUP(B3788,'SB1'!$A$2:$B$999999,2,FALSE),"")</f>
        <v>REVESTIMIENTO TEXTURADO TERPLAST REVOQUE ACRILICO BLANCO X 25</v>
      </c>
      <c r="D3788" s="1" t="s">
        <v>14437</v>
      </c>
      <c r="E3788" s="3">
        <f>IFERROR(VLOOKUP(B3788,'DA1'!$B$2:$D$999999,3,FALSE),"")</f>
      </c>
      <c r="F3788" s="1" t="str">
        <f>IFERROR(VLOOKUP(B3788,'SB1'!$A$2:$C$999999,3,FALSE),"")</f>
        <v>503</v>
      </c>
      <c r="G3788" s="3" t="e">
        <f t="shared" si="131"/>
        <v>#VALUE!</v>
      </c>
      <c r="H3788" s="3" t="e">
        <f t="shared" si="130"/>
        <v>#VALUE!</v>
      </c>
      <c r="I3788" s="1">
        <v>1</v>
      </c>
    </row>
    <row r="3789" spans="1:9" x14ac:dyDescent="0.25">
      <c r="A3789" s="1" t="s">
        <v>14435</v>
      </c>
      <c r="B3789" s="1" t="s">
        <v>11219</v>
      </c>
      <c r="C3789" s="1" t="str">
        <f>IFERROR(VLOOKUP(B3789,'SB1'!$A$2:$B$999999,2,FALSE),"")</f>
        <v>REVESTIMIENTO TEXTURADO TERPLAST REVOQUE ACRILICO CLEAR X 25</v>
      </c>
      <c r="D3789" s="1" t="s">
        <v>14437</v>
      </c>
      <c r="E3789" s="3">
        <f>IFERROR(VLOOKUP(B3789,'DA1'!$B$2:$D$999999,3,FALSE),"")</f>
      </c>
      <c r="F3789" s="1" t="str">
        <f>IFERROR(VLOOKUP(B3789,'SB1'!$A$2:$C$999999,3,FALSE),"")</f>
        <v>503</v>
      </c>
      <c r="G3789" s="3" t="e">
        <f t="shared" si="131"/>
        <v>#VALUE!</v>
      </c>
      <c r="H3789" s="3" t="e">
        <f t="shared" si="130"/>
        <v>#VALUE!</v>
      </c>
      <c r="I3789" s="1">
        <v>1</v>
      </c>
    </row>
    <row r="3790" spans="1:9" x14ac:dyDescent="0.25">
      <c r="A3790" s="1" t="s">
        <v>14435</v>
      </c>
      <c r="B3790" s="1" t="s">
        <v>11221</v>
      </c>
      <c r="C3790" s="1" t="str">
        <f>IFERROR(VLOOKUP(B3790,'SB1'!$A$2:$B$999999,2,FALSE),"")</f>
        <v>FONDO ANTIOXIDO TERSUAVE MATE MARFIL X  4</v>
      </c>
      <c r="D3790" s="1" t="s">
        <v>14437</v>
      </c>
      <c r="E3790" s="3">
        <f>IFERROR(VLOOKUP(B3790,'DA1'!$B$2:$D$999999,3,FALSE),"")</f>
      </c>
      <c r="F3790" s="1" t="str">
        <f>IFERROR(VLOOKUP(B3790,'SB1'!$A$2:$C$999999,3,FALSE),"")</f>
        <v>503</v>
      </c>
      <c r="G3790" s="3" t="e">
        <f t="shared" si="131"/>
        <v>#VALUE!</v>
      </c>
      <c r="H3790" s="3" t="e">
        <f t="shared" si="130"/>
        <v>#VALUE!</v>
      </c>
      <c r="I3790" s="1">
        <v>1</v>
      </c>
    </row>
    <row r="3791" spans="1:9" x14ac:dyDescent="0.25">
      <c r="A3791" s="1" t="s">
        <v>14435</v>
      </c>
      <c r="B3791" s="1" t="s">
        <v>11223</v>
      </c>
      <c r="C3791" s="1" t="str">
        <f>IFERROR(VLOOKUP(B3791,'SB1'!$A$2:$B$999999,2,FALSE),"")</f>
        <v>ESMALTE EPOXI TERSUAVE INDULAC NEGRO X  1</v>
      </c>
      <c r="D3791" s="1" t="s">
        <v>14437</v>
      </c>
      <c r="E3791" s="3">
        <f>IFERROR(VLOOKUP(B3791,'DA1'!$B$2:$D$999999,3,FALSE),"")</f>
      </c>
      <c r="F3791" s="1" t="str">
        <f>IFERROR(VLOOKUP(B3791,'SB1'!$A$2:$C$999999,3,FALSE),"")</f>
        <v>503</v>
      </c>
      <c r="G3791" s="3" t="e">
        <f t="shared" si="131"/>
        <v>#VALUE!</v>
      </c>
      <c r="H3791" s="3" t="e">
        <f t="shared" si="130"/>
        <v>#VALUE!</v>
      </c>
      <c r="I3791" s="1">
        <v>1</v>
      </c>
    </row>
    <row r="3792" spans="1:9" x14ac:dyDescent="0.25">
      <c r="A3792" s="1" t="s">
        <v>14435</v>
      </c>
      <c r="B3792" s="1" t="s">
        <v>11227</v>
      </c>
      <c r="C3792" s="1" t="str">
        <f>IFERROR(VLOOKUP(B3792,'SB1'!$A$2:$B$999999,2,FALSE),"")</f>
        <v>MEZCLA ADHESIVA CAPA GRUESA WEBER VEREDAS X 30</v>
      </c>
      <c r="D3792" s="1" t="s">
        <v>14488</v>
      </c>
      <c r="E3792" s="3">
        <f>IFERROR(VLOOKUP(B3792,'DA1'!$B$2:$D$999999,3,FALSE),"")</f>
      </c>
      <c r="F3792" s="1" t="str">
        <f>IFERROR(VLOOKUP(B3792,'SB1'!$A$2:$C$999999,3,FALSE),"")</f>
        <v>503</v>
      </c>
      <c r="G3792" s="3" t="e">
        <f t="shared" si="131"/>
        <v>#VALUE!</v>
      </c>
      <c r="H3792" s="3" t="e">
        <f t="shared" si="130"/>
        <v>#VALUE!</v>
      </c>
      <c r="I3792" s="1">
        <v>1</v>
      </c>
    </row>
    <row r="3793" spans="1:9" x14ac:dyDescent="0.25">
      <c r="A3793" s="1" t="s">
        <v>14435</v>
      </c>
      <c r="B3793" s="1" t="s">
        <v>11229</v>
      </c>
      <c r="C3793" s="1" t="str">
        <f>IFERROR(VLOOKUP(B3793,'SB1'!$A$2:$B$999999,2,FALSE),"")</f>
        <v>FONDO ANTIOXIDO TERSUAVE MATE NEGRO X  4</v>
      </c>
      <c r="D3793" s="1" t="s">
        <v>14437</v>
      </c>
      <c r="E3793" s="3">
        <f>IFERROR(VLOOKUP(B3793,'DA1'!$B$2:$D$999999,3,FALSE),"")</f>
      </c>
      <c r="F3793" s="1" t="str">
        <f>IFERROR(VLOOKUP(B3793,'SB1'!$A$2:$C$999999,3,FALSE),"")</f>
        <v>503</v>
      </c>
      <c r="G3793" s="3" t="e">
        <f t="shared" si="131"/>
        <v>#VALUE!</v>
      </c>
      <c r="H3793" s="3" t="e">
        <f t="shared" si="130"/>
        <v>#VALUE!</v>
      </c>
      <c r="I3793" s="1">
        <v>1</v>
      </c>
    </row>
    <row r="3794" spans="1:9" x14ac:dyDescent="0.25">
      <c r="A3794" s="1" t="s">
        <v>14435</v>
      </c>
      <c r="B3794" s="1" t="s">
        <v>11231</v>
      </c>
      <c r="C3794" s="1" t="str">
        <f>IFERROR(VLOOKUP(B3794,'SB1'!$A$2:$B$999999,2,FALSE),"")</f>
        <v>REPARADOR DE HORMIGON VISTO WEBER HORMIESTETIC X 25</v>
      </c>
      <c r="D3794" s="1" t="s">
        <v>14488</v>
      </c>
      <c r="E3794" s="3">
        <f>IFERROR(VLOOKUP(B3794,'DA1'!$B$2:$D$999999,3,FALSE),"")</f>
      </c>
      <c r="F3794" s="1" t="str">
        <f>IFERROR(VLOOKUP(B3794,'SB1'!$A$2:$C$999999,3,FALSE),"")</f>
        <v>503</v>
      </c>
      <c r="G3794" s="3" t="e">
        <f t="shared" si="131"/>
        <v>#VALUE!</v>
      </c>
      <c r="H3794" s="3" t="e">
        <f t="shared" si="130"/>
        <v>#VALUE!</v>
      </c>
      <c r="I3794" s="1">
        <v>1</v>
      </c>
    </row>
    <row r="3795" spans="1:9" x14ac:dyDescent="0.25">
      <c r="A3795" s="1" t="s">
        <v>14435</v>
      </c>
      <c r="B3795" s="1" t="s">
        <v>11233</v>
      </c>
      <c r="C3795" s="1" t="str">
        <f>IFERROR(VLOOKUP(B3795,'SB1'!$A$2:$B$999999,2,FALSE),"")</f>
        <v>LATEX INTERIOR/EXTERIOR TERSEN MATE TOSTADO ARMONIA X 1</v>
      </c>
      <c r="D3795" s="1" t="s">
        <v>14437</v>
      </c>
      <c r="E3795" s="3">
        <f>IFERROR(VLOOKUP(B3795,'DA1'!$B$2:$D$999999,3,FALSE),"")</f>
      </c>
      <c r="F3795" s="1" t="str">
        <f>IFERROR(VLOOKUP(B3795,'SB1'!$A$2:$C$999999,3,FALSE),"")</f>
        <v>503</v>
      </c>
      <c r="G3795" s="3" t="e">
        <f t="shared" si="131"/>
        <v>#VALUE!</v>
      </c>
      <c r="H3795" s="3" t="e">
        <f t="shared" si="130"/>
        <v>#VALUE!</v>
      </c>
      <c r="I3795" s="1">
        <v>1</v>
      </c>
    </row>
    <row r="3796" spans="1:9" x14ac:dyDescent="0.25">
      <c r="A3796" s="1" t="s">
        <v>14435</v>
      </c>
      <c r="B3796" s="1" t="s">
        <v>11235</v>
      </c>
      <c r="C3796" s="1" t="str">
        <f>IFERROR(VLOOKUP(B3796,'SB1'!$A$2:$B$999999,2,FALSE),"")</f>
        <v>LATEX INTERIOR/EXTERIOR TERSEN MATE TOSTADO ARMONIA X 4</v>
      </c>
      <c r="D3796" s="1" t="s">
        <v>14437</v>
      </c>
      <c r="E3796" s="3">
        <f>IFERROR(VLOOKUP(B3796,'DA1'!$B$2:$D$999999,3,FALSE),"")</f>
      </c>
      <c r="F3796" s="1" t="str">
        <f>IFERROR(VLOOKUP(B3796,'SB1'!$A$2:$C$999999,3,FALSE),"")</f>
        <v>503</v>
      </c>
      <c r="G3796" s="3" t="e">
        <f t="shared" si="131"/>
        <v>#VALUE!</v>
      </c>
      <c r="H3796" s="3" t="e">
        <f t="shared" si="130"/>
        <v>#VALUE!</v>
      </c>
      <c r="I3796" s="1">
        <v>1</v>
      </c>
    </row>
    <row r="3797" spans="1:9" x14ac:dyDescent="0.25">
      <c r="A3797" s="1" t="s">
        <v>14435</v>
      </c>
      <c r="B3797" s="1" t="s">
        <v>11237</v>
      </c>
      <c r="C3797" s="1" t="str">
        <f>IFERROR(VLOOKUP(B3797,'SB1'!$A$2:$B$999999,2,FALSE),"")</f>
        <v>LATEX INTERIOR/EXTERIOR TERSEN MATE GRIS MISTERIO X 1</v>
      </c>
      <c r="D3797" s="1" t="s">
        <v>14437</v>
      </c>
      <c r="E3797" s="3">
        <f>IFERROR(VLOOKUP(B3797,'DA1'!$B$2:$D$999999,3,FALSE),"")</f>
      </c>
      <c r="F3797" s="1" t="str">
        <f>IFERROR(VLOOKUP(B3797,'SB1'!$A$2:$C$999999,3,FALSE),"")</f>
        <v>503</v>
      </c>
      <c r="G3797" s="3" t="e">
        <f t="shared" si="131"/>
        <v>#VALUE!</v>
      </c>
      <c r="H3797" s="3" t="e">
        <f t="shared" si="130"/>
        <v>#VALUE!</v>
      </c>
      <c r="I3797" s="1">
        <v>1</v>
      </c>
    </row>
    <row r="3798" spans="1:9" x14ac:dyDescent="0.25">
      <c r="A3798" s="1" t="s">
        <v>14435</v>
      </c>
      <c r="B3798" s="1" t="s">
        <v>11239</v>
      </c>
      <c r="C3798" s="1" t="str">
        <f>IFERROR(VLOOKUP(B3798,'SB1'!$A$2:$B$999999,2,FALSE),"")</f>
        <v>LATEX INTERIOR/EXTERIOR TERSEN MATE GRIS MISTERIO X 4</v>
      </c>
      <c r="D3798" s="1" t="s">
        <v>14437</v>
      </c>
      <c r="E3798" s="3">
        <f>IFERROR(VLOOKUP(B3798,'DA1'!$B$2:$D$999999,3,FALSE),"")</f>
      </c>
      <c r="F3798" s="1" t="str">
        <f>IFERROR(VLOOKUP(B3798,'SB1'!$A$2:$C$999999,3,FALSE),"")</f>
        <v>503</v>
      </c>
      <c r="G3798" s="3" t="e">
        <f t="shared" si="131"/>
        <v>#VALUE!</v>
      </c>
      <c r="H3798" s="3" t="e">
        <f t="shared" si="130"/>
        <v>#VALUE!</v>
      </c>
      <c r="I3798" s="1">
        <v>1</v>
      </c>
    </row>
    <row r="3799" spans="1:9" x14ac:dyDescent="0.25">
      <c r="A3799" s="1" t="s">
        <v>14435</v>
      </c>
      <c r="B3799" s="1" t="s">
        <v>11241</v>
      </c>
      <c r="C3799" s="1" t="str">
        <f>IFERROR(VLOOKUP(B3799,'SB1'!$A$2:$B$999999,2,FALSE),"")</f>
        <v>LATEX INTERIOR/EXTERIOR TERSEN MATE BEIGE SUTIL X 1</v>
      </c>
      <c r="D3799" s="1" t="s">
        <v>14437</v>
      </c>
      <c r="E3799" s="3">
        <f>IFERROR(VLOOKUP(B3799,'DA1'!$B$2:$D$999999,3,FALSE),"")</f>
      </c>
      <c r="F3799" s="1" t="str">
        <f>IFERROR(VLOOKUP(B3799,'SB1'!$A$2:$C$999999,3,FALSE),"")</f>
        <v>503</v>
      </c>
      <c r="G3799" s="3" t="e">
        <f t="shared" si="131"/>
        <v>#VALUE!</v>
      </c>
      <c r="H3799" s="3" t="e">
        <f t="shared" si="130"/>
        <v>#VALUE!</v>
      </c>
      <c r="I3799" s="1">
        <v>1</v>
      </c>
    </row>
    <row r="3800" spans="1:9" x14ac:dyDescent="0.25">
      <c r="A3800" s="1" t="s">
        <v>14435</v>
      </c>
      <c r="B3800" s="1" t="s">
        <v>11243</v>
      </c>
      <c r="C3800" s="1" t="str">
        <f>IFERROR(VLOOKUP(B3800,'SB1'!$A$2:$B$999999,2,FALSE),"")</f>
        <v>LATEX INTERIOR/EXTERIOR TERSEN MATE BEIGE SUTIL X 4</v>
      </c>
      <c r="D3800" s="1" t="s">
        <v>14437</v>
      </c>
      <c r="E3800" s="3">
        <f>IFERROR(VLOOKUP(B3800,'DA1'!$B$2:$D$999999,3,FALSE),"")</f>
      </c>
      <c r="F3800" s="1" t="str">
        <f>IFERROR(VLOOKUP(B3800,'SB1'!$A$2:$C$999999,3,FALSE),"")</f>
        <v>503</v>
      </c>
      <c r="G3800" s="3" t="e">
        <f t="shared" si="131"/>
        <v>#VALUE!</v>
      </c>
      <c r="H3800" s="3" t="e">
        <f t="shared" si="130"/>
        <v>#VALUE!</v>
      </c>
      <c r="I3800" s="1">
        <v>1</v>
      </c>
    </row>
    <row r="3801" spans="1:9" x14ac:dyDescent="0.25">
      <c r="A3801" s="1" t="s">
        <v>14435</v>
      </c>
      <c r="B3801" s="1" t="s">
        <v>11253</v>
      </c>
      <c r="C3801" s="1" t="str">
        <f>IFERROR(VLOOKUP(B3801,'SB1'!$A$2:$B$999999,2,FALSE),"")</f>
        <v>FONDO ANTIOXIDO TERSUAVE MATE GRIS X  4</v>
      </c>
      <c r="D3801" s="1" t="s">
        <v>14437</v>
      </c>
      <c r="E3801" s="3">
        <f>IFERROR(VLOOKUP(B3801,'DA1'!$B$2:$D$999999,3,FALSE),"")</f>
      </c>
      <c r="F3801" s="1" t="str">
        <f>IFERROR(VLOOKUP(B3801,'SB1'!$A$2:$C$999999,3,FALSE),"")</f>
        <v>503</v>
      </c>
      <c r="G3801" s="3" t="e">
        <f t="shared" si="131"/>
        <v>#VALUE!</v>
      </c>
      <c r="H3801" s="3" t="e">
        <f t="shared" si="130"/>
        <v>#VALUE!</v>
      </c>
      <c r="I3801" s="1">
        <v>1</v>
      </c>
    </row>
    <row r="3802" spans="1:9" x14ac:dyDescent="0.25">
      <c r="A3802" s="1" t="s">
        <v>14435</v>
      </c>
      <c r="B3802" s="1" t="s">
        <v>11255</v>
      </c>
      <c r="C3802" s="1" t="str">
        <f>IFERROR(VLOOKUP(B3802,'SB1'!$A$2:$B$999999,2,FALSE),"")</f>
        <v>DISCO LIJA DOBLE A BX94 MASTER PLUMA  AUF6P 152X  40</v>
      </c>
      <c r="D3802" s="1" t="s">
        <v>14451</v>
      </c>
      <c r="E3802" s="3">
        <f>IFERROR(VLOOKUP(B3802,'DA1'!$B$2:$D$999999,3,FALSE),"")</f>
      </c>
      <c r="F3802" s="1" t="str">
        <f>IFERROR(VLOOKUP(B3802,'SB1'!$A$2:$C$999999,3,FALSE),"")</f>
        <v>503</v>
      </c>
      <c r="G3802" s="3" t="e">
        <f t="shared" si="131"/>
        <v>#VALUE!</v>
      </c>
      <c r="H3802" s="3" t="e">
        <f t="shared" si="130"/>
        <v>#VALUE!</v>
      </c>
      <c r="I3802" s="1">
        <v>1</v>
      </c>
    </row>
    <row r="3803" spans="1:9" x14ac:dyDescent="0.25">
      <c r="A3803" s="1" t="s">
        <v>14435</v>
      </c>
      <c r="B3803" s="1" t="s">
        <v>11257</v>
      </c>
      <c r="C3803" s="1" t="str">
        <f>IFERROR(VLOOKUP(B3803,'SB1'!$A$2:$B$999999,2,FALSE),"")</f>
        <v>DISCO LIJA DOBLE A BX94 MASTER PLUMA  AUF6P 152X  60</v>
      </c>
      <c r="D3803" s="1" t="s">
        <v>14451</v>
      </c>
      <c r="E3803" s="3">
        <f>IFERROR(VLOOKUP(B3803,'DA1'!$B$2:$D$999999,3,FALSE),"")</f>
      </c>
      <c r="F3803" s="1" t="str">
        <f>IFERROR(VLOOKUP(B3803,'SB1'!$A$2:$C$999999,3,FALSE),"")</f>
        <v>503</v>
      </c>
      <c r="G3803" s="3" t="e">
        <f t="shared" si="131"/>
        <v>#VALUE!</v>
      </c>
      <c r="H3803" s="3" t="e">
        <f t="shared" si="130"/>
        <v>#VALUE!</v>
      </c>
      <c r="I3803" s="1">
        <v>1</v>
      </c>
    </row>
    <row r="3804" spans="1:9" x14ac:dyDescent="0.25">
      <c r="A3804" s="1" t="s">
        <v>14435</v>
      </c>
      <c r="B3804" s="1" t="s">
        <v>11259</v>
      </c>
      <c r="C3804" s="1" t="str">
        <f>IFERROR(VLOOKUP(B3804,'SB1'!$A$2:$B$999999,2,FALSE),"")</f>
        <v>DISCO LIJA DOBLE A BX94 MASTER PLUMA  AUF6P 152X  80</v>
      </c>
      <c r="D3804" s="1" t="s">
        <v>14451</v>
      </c>
      <c r="E3804" s="3">
        <f>IFERROR(VLOOKUP(B3804,'DA1'!$B$2:$D$999999,3,FALSE),"")</f>
      </c>
      <c r="F3804" s="1" t="str">
        <f>IFERROR(VLOOKUP(B3804,'SB1'!$A$2:$C$999999,3,FALSE),"")</f>
        <v>503</v>
      </c>
      <c r="G3804" s="3" t="e">
        <f t="shared" si="131"/>
        <v>#VALUE!</v>
      </c>
      <c r="H3804" s="3" t="e">
        <f t="shared" si="130"/>
        <v>#VALUE!</v>
      </c>
      <c r="I3804" s="1">
        <v>1</v>
      </c>
    </row>
    <row r="3805" spans="1:9" x14ac:dyDescent="0.25">
      <c r="A3805" s="1" t="s">
        <v>14435</v>
      </c>
      <c r="B3805" s="1" t="s">
        <v>11261</v>
      </c>
      <c r="C3805" s="1" t="str">
        <f>IFERROR(VLOOKUP(B3805,'SB1'!$A$2:$B$999999,2,FALSE),"")</f>
        <v>DISCO LIJA DOBLE A BX94 MASTER PLUMA  AUF6P 152X 100</v>
      </c>
      <c r="D3805" s="1" t="s">
        <v>14451</v>
      </c>
      <c r="E3805" s="3">
        <f>IFERROR(VLOOKUP(B3805,'DA1'!$B$2:$D$999999,3,FALSE),"")</f>
      </c>
      <c r="F3805" s="1" t="str">
        <f>IFERROR(VLOOKUP(B3805,'SB1'!$A$2:$C$999999,3,FALSE),"")</f>
        <v>503</v>
      </c>
      <c r="G3805" s="3" t="e">
        <f t="shared" si="131"/>
        <v>#VALUE!</v>
      </c>
      <c r="H3805" s="3" t="e">
        <f t="shared" si="130"/>
        <v>#VALUE!</v>
      </c>
      <c r="I3805" s="1">
        <v>1</v>
      </c>
    </row>
    <row r="3806" spans="1:9" x14ac:dyDescent="0.25">
      <c r="A3806" s="1" t="s">
        <v>14435</v>
      </c>
      <c r="B3806" s="1" t="s">
        <v>11263</v>
      </c>
      <c r="C3806" s="1" t="str">
        <f>IFERROR(VLOOKUP(B3806,'SB1'!$A$2:$B$999999,2,FALSE),"")</f>
        <v>DISCO LIJA DOBLE A BX94 MASTER PLUMA  AUF6P 152X 120</v>
      </c>
      <c r="D3806" s="1" t="s">
        <v>14451</v>
      </c>
      <c r="E3806" s="3">
        <f>IFERROR(VLOOKUP(B3806,'DA1'!$B$2:$D$999999,3,FALSE),"")</f>
      </c>
      <c r="F3806" s="1" t="str">
        <f>IFERROR(VLOOKUP(B3806,'SB1'!$A$2:$C$999999,3,FALSE),"")</f>
        <v>503</v>
      </c>
      <c r="G3806" s="3" t="e">
        <f t="shared" si="131"/>
        <v>#VALUE!</v>
      </c>
      <c r="H3806" s="3" t="e">
        <f t="shared" si="130"/>
        <v>#VALUE!</v>
      </c>
      <c r="I3806" s="1">
        <v>1</v>
      </c>
    </row>
    <row r="3807" spans="1:9" x14ac:dyDescent="0.25">
      <c r="A3807" s="1" t="s">
        <v>14435</v>
      </c>
      <c r="B3807" s="1" t="s">
        <v>11265</v>
      </c>
      <c r="C3807" s="1" t="str">
        <f>IFERROR(VLOOKUP(B3807,'SB1'!$A$2:$B$999999,2,FALSE),"")</f>
        <v>DISCO LIJA DOBLE A BX94 MASTER PLUMA  AUF6P 152X 150</v>
      </c>
      <c r="D3807" s="1" t="s">
        <v>14451</v>
      </c>
      <c r="E3807" s="3">
        <f>IFERROR(VLOOKUP(B3807,'DA1'!$B$2:$D$999999,3,FALSE),"")</f>
      </c>
      <c r="F3807" s="1" t="str">
        <f>IFERROR(VLOOKUP(B3807,'SB1'!$A$2:$C$999999,3,FALSE),"")</f>
        <v>503</v>
      </c>
      <c r="G3807" s="3" t="e">
        <f t="shared" si="131"/>
        <v>#VALUE!</v>
      </c>
      <c r="H3807" s="3" t="e">
        <f t="shared" si="130"/>
        <v>#VALUE!</v>
      </c>
      <c r="I3807" s="1">
        <v>1</v>
      </c>
    </row>
    <row r="3808" spans="1:9" x14ac:dyDescent="0.25">
      <c r="A3808" s="1" t="s">
        <v>14435</v>
      </c>
      <c r="B3808" s="1" t="s">
        <v>11267</v>
      </c>
      <c r="C3808" s="1" t="str">
        <f>IFERROR(VLOOKUP(B3808,'SB1'!$A$2:$B$999999,2,FALSE),"")</f>
        <v>DISCO LIJA DOBLE A BX94 MASTER PLUMA  AUF6P 152X 180</v>
      </c>
      <c r="D3808" s="1" t="s">
        <v>14451</v>
      </c>
      <c r="E3808" s="3">
        <f>IFERROR(VLOOKUP(B3808,'DA1'!$B$2:$D$999999,3,FALSE),"")</f>
      </c>
      <c r="F3808" s="1" t="str">
        <f>IFERROR(VLOOKUP(B3808,'SB1'!$A$2:$C$999999,3,FALSE),"")</f>
        <v>503</v>
      </c>
      <c r="G3808" s="3" t="e">
        <f t="shared" si="131"/>
        <v>#VALUE!</v>
      </c>
      <c r="H3808" s="3" t="e">
        <f t="shared" si="130"/>
        <v>#VALUE!</v>
      </c>
      <c r="I3808" s="1">
        <v>1</v>
      </c>
    </row>
    <row r="3809" spans="1:9" x14ac:dyDescent="0.25">
      <c r="A3809" s="1" t="s">
        <v>14435</v>
      </c>
      <c r="B3809" s="1" t="s">
        <v>11269</v>
      </c>
      <c r="C3809" s="1" t="str">
        <f>IFERROR(VLOOKUP(B3809,'SB1'!$A$2:$B$999999,2,FALSE),"")</f>
        <v>DISCO LIJA DOBLE A BX94 MASTER PLUMA  AUF6P 152X 220</v>
      </c>
      <c r="D3809" s="1" t="s">
        <v>14451</v>
      </c>
      <c r="E3809" s="3">
        <f>IFERROR(VLOOKUP(B3809,'DA1'!$B$2:$D$999999,3,FALSE),"")</f>
      </c>
      <c r="F3809" s="1" t="str">
        <f>IFERROR(VLOOKUP(B3809,'SB1'!$A$2:$C$999999,3,FALSE),"")</f>
        <v>503</v>
      </c>
      <c r="G3809" s="3" t="e">
        <f t="shared" si="131"/>
        <v>#VALUE!</v>
      </c>
      <c r="H3809" s="3" t="e">
        <f t="shared" si="130"/>
        <v>#VALUE!</v>
      </c>
      <c r="I3809" s="1">
        <v>1</v>
      </c>
    </row>
    <row r="3810" spans="1:9" x14ac:dyDescent="0.25">
      <c r="A3810" s="1" t="s">
        <v>14435</v>
      </c>
      <c r="B3810" s="1" t="s">
        <v>11271</v>
      </c>
      <c r="C3810" s="1" t="str">
        <f>IFERROR(VLOOKUP(B3810,'SB1'!$A$2:$B$999999,2,FALSE),"")</f>
        <v>DISCO LIJA DOBLE A BX94 MASTER PLUMA  AUF6P 152X 240</v>
      </c>
      <c r="D3810" s="1" t="s">
        <v>14451</v>
      </c>
      <c r="E3810" s="3">
        <f>IFERROR(VLOOKUP(B3810,'DA1'!$B$2:$D$999999,3,FALSE),"")</f>
      </c>
      <c r="F3810" s="1" t="str">
        <f>IFERROR(VLOOKUP(B3810,'SB1'!$A$2:$C$999999,3,FALSE),"")</f>
        <v>503</v>
      </c>
      <c r="G3810" s="3" t="e">
        <f t="shared" si="131"/>
        <v>#VALUE!</v>
      </c>
      <c r="H3810" s="3" t="e">
        <f t="shared" si="130"/>
        <v>#VALUE!</v>
      </c>
      <c r="I3810" s="1">
        <v>1</v>
      </c>
    </row>
    <row r="3811" spans="1:9" x14ac:dyDescent="0.25">
      <c r="A3811" s="1" t="s">
        <v>14435</v>
      </c>
      <c r="B3811" s="1" t="s">
        <v>11273</v>
      </c>
      <c r="C3811" s="1" t="str">
        <f>IFERROR(VLOOKUP(B3811,'SB1'!$A$2:$B$999999,2,FALSE),"")</f>
        <v>DISCO LIJA DOBLE A BX94 MASTER PLUMA  AUF6P 152X 280</v>
      </c>
      <c r="D3811" s="1" t="s">
        <v>14451</v>
      </c>
      <c r="E3811" s="3">
        <f>IFERROR(VLOOKUP(B3811,'DA1'!$B$2:$D$999999,3,FALSE),"")</f>
      </c>
      <c r="F3811" s="1" t="str">
        <f>IFERROR(VLOOKUP(B3811,'SB1'!$A$2:$C$999999,3,FALSE),"")</f>
        <v>503</v>
      </c>
      <c r="G3811" s="3" t="e">
        <f t="shared" si="131"/>
        <v>#VALUE!</v>
      </c>
      <c r="H3811" s="3" t="e">
        <f t="shared" si="130"/>
        <v>#VALUE!</v>
      </c>
      <c r="I3811" s="1">
        <v>1</v>
      </c>
    </row>
    <row r="3812" spans="1:9" x14ac:dyDescent="0.25">
      <c r="A3812" s="1" t="s">
        <v>14435</v>
      </c>
      <c r="B3812" s="1" t="s">
        <v>11275</v>
      </c>
      <c r="C3812" s="1" t="str">
        <f>IFERROR(VLOOKUP(B3812,'SB1'!$A$2:$B$999999,2,FALSE),"")</f>
        <v>DISCO LIJA DOBLE A BX94 MASTER PLUMA  AUF6P 152X 320</v>
      </c>
      <c r="D3812" s="1" t="s">
        <v>14451</v>
      </c>
      <c r="E3812" s="3">
        <f>IFERROR(VLOOKUP(B3812,'DA1'!$B$2:$D$999999,3,FALSE),"")</f>
      </c>
      <c r="F3812" s="1" t="str">
        <f>IFERROR(VLOOKUP(B3812,'SB1'!$A$2:$C$999999,3,FALSE),"")</f>
        <v>503</v>
      </c>
      <c r="G3812" s="3" t="e">
        <f t="shared" si="131"/>
        <v>#VALUE!</v>
      </c>
      <c r="H3812" s="3" t="e">
        <f t="shared" si="130"/>
        <v>#VALUE!</v>
      </c>
      <c r="I3812" s="1">
        <v>1</v>
      </c>
    </row>
    <row r="3813" spans="1:9" x14ac:dyDescent="0.25">
      <c r="A3813" s="1" t="s">
        <v>14435</v>
      </c>
      <c r="B3813" s="1" t="s">
        <v>11277</v>
      </c>
      <c r="C3813" s="1" t="str">
        <f>IFERROR(VLOOKUP(B3813,'SB1'!$A$2:$B$999999,2,FALSE),"")</f>
        <v>DISCO LIJA DOBLE A BX94 MASTER PLUMA  AUF6P 152X 360</v>
      </c>
      <c r="D3813" s="1" t="s">
        <v>14451</v>
      </c>
      <c r="E3813" s="3">
        <f>IFERROR(VLOOKUP(B3813,'DA1'!$B$2:$D$999999,3,FALSE),"")</f>
      </c>
      <c r="F3813" s="1" t="str">
        <f>IFERROR(VLOOKUP(B3813,'SB1'!$A$2:$C$999999,3,FALSE),"")</f>
        <v>503</v>
      </c>
      <c r="G3813" s="3" t="e">
        <f t="shared" si="131"/>
        <v>#VALUE!</v>
      </c>
      <c r="H3813" s="3" t="e">
        <f t="shared" si="130"/>
        <v>#VALUE!</v>
      </c>
      <c r="I3813" s="1">
        <v>1</v>
      </c>
    </row>
    <row r="3814" spans="1:9" x14ac:dyDescent="0.25">
      <c r="A3814" s="1" t="s">
        <v>14435</v>
      </c>
      <c r="B3814" s="1" t="s">
        <v>11279</v>
      </c>
      <c r="C3814" s="1" t="str">
        <f>IFERROR(VLOOKUP(B3814,'SB1'!$A$2:$B$999999,2,FALSE),"")</f>
        <v>DISCO LIJA DOBLE A BX94 MASTER PLUMA  AUF6P 152X 400</v>
      </c>
      <c r="D3814" s="1" t="s">
        <v>14451</v>
      </c>
      <c r="E3814" s="3">
        <f>IFERROR(VLOOKUP(B3814,'DA1'!$B$2:$D$999999,3,FALSE),"")</f>
      </c>
      <c r="F3814" s="1" t="str">
        <f>IFERROR(VLOOKUP(B3814,'SB1'!$A$2:$C$999999,3,FALSE),"")</f>
        <v>503</v>
      </c>
      <c r="G3814" s="3" t="e">
        <f t="shared" si="131"/>
        <v>#VALUE!</v>
      </c>
      <c r="H3814" s="3" t="e">
        <f t="shared" si="130"/>
        <v>#VALUE!</v>
      </c>
      <c r="I3814" s="1">
        <v>1</v>
      </c>
    </row>
    <row r="3815" spans="1:9" x14ac:dyDescent="0.25">
      <c r="A3815" s="1" t="s">
        <v>14435</v>
      </c>
      <c r="B3815" s="1" t="s">
        <v>11281</v>
      </c>
      <c r="C3815" s="1" t="str">
        <f>IFERROR(VLOOKUP(B3815,'SB1'!$A$2:$B$999999,2,FALSE),"")</f>
        <v>DISCO LIJA DOBLE A BX94 MASTER PLUMA  AUF6P 152X 600</v>
      </c>
      <c r="D3815" s="1" t="s">
        <v>14451</v>
      </c>
      <c r="E3815" s="3">
        <f>IFERROR(VLOOKUP(B3815,'DA1'!$B$2:$D$999999,3,FALSE),"")</f>
      </c>
      <c r="F3815" s="1" t="str">
        <f>IFERROR(VLOOKUP(B3815,'SB1'!$A$2:$C$999999,3,FALSE),"")</f>
        <v>503</v>
      </c>
      <c r="G3815" s="3" t="e">
        <f t="shared" si="131"/>
        <v>#VALUE!</v>
      </c>
      <c r="H3815" s="3" t="e">
        <f t="shared" si="130"/>
        <v>#VALUE!</v>
      </c>
      <c r="I3815" s="1">
        <v>1</v>
      </c>
    </row>
    <row r="3816" spans="1:9" x14ac:dyDescent="0.25">
      <c r="A3816" s="1" t="s">
        <v>14435</v>
      </c>
      <c r="B3816" s="1" t="s">
        <v>11283</v>
      </c>
      <c r="C3816" s="1" t="str">
        <f>IFERROR(VLOOKUP(B3816,'SB1'!$A$2:$B$999999,2,FALSE),"")</f>
        <v>DISCO LIJA DOBLE A BX94 MASTER PLUMA  AUF6P 152X 800</v>
      </c>
      <c r="D3816" s="1" t="s">
        <v>14451</v>
      </c>
      <c r="E3816" s="3">
        <f>IFERROR(VLOOKUP(B3816,'DA1'!$B$2:$D$999999,3,FALSE),"")</f>
      </c>
      <c r="F3816" s="1" t="str">
        <f>IFERROR(VLOOKUP(B3816,'SB1'!$A$2:$C$999999,3,FALSE),"")</f>
        <v>503</v>
      </c>
      <c r="G3816" s="3" t="e">
        <f t="shared" si="131"/>
        <v>#VALUE!</v>
      </c>
      <c r="H3816" s="3" t="e">
        <f t="shared" si="130"/>
        <v>#VALUE!</v>
      </c>
      <c r="I3816" s="1">
        <v>1</v>
      </c>
    </row>
    <row r="3817" spans="1:9" x14ac:dyDescent="0.25">
      <c r="A3817" s="1" t="s">
        <v>14435</v>
      </c>
      <c r="B3817" s="1" t="s">
        <v>11285</v>
      </c>
      <c r="C3817" s="1" t="str">
        <f>IFERROR(VLOOKUP(B3817,'SB1'!$A$2:$B$999999,2,FALSE),"")</f>
        <v>RODILLO ESQUINERO DE ESPUMA 10CM X 25MM(REE)</v>
      </c>
      <c r="D3817" s="1" t="s">
        <v>14436</v>
      </c>
      <c r="E3817" s="3">
        <f>IFERROR(VLOOKUP(B3817,'DA1'!$B$2:$D$999999,3,FALSE),"")</f>
      </c>
      <c r="F3817" s="1" t="str">
        <f>IFERROR(VLOOKUP(B3817,'SB1'!$A$2:$C$999999,3,FALSE),"")</f>
        <v>503</v>
      </c>
      <c r="G3817" s="3" t="e">
        <f t="shared" si="131"/>
        <v>#VALUE!</v>
      </c>
      <c r="H3817" s="3" t="e">
        <f t="shared" si="130"/>
        <v>#VALUE!</v>
      </c>
      <c r="I3817" s="1">
        <v>1</v>
      </c>
    </row>
    <row r="3818" spans="1:9" x14ac:dyDescent="0.25">
      <c r="A3818" s="1" t="s">
        <v>14435</v>
      </c>
      <c r="B3818" s="1" t="s">
        <v>11287</v>
      </c>
      <c r="C3818" s="1" t="str">
        <f>IFERROR(VLOOKUP(B3818,'SB1'!$A$2:$B$999999,2,FALSE),"")</f>
        <v>FONDO ANTIOXIDO TERSUAVE MATE VERDE X  4</v>
      </c>
      <c r="D3818" s="1" t="s">
        <v>14437</v>
      </c>
      <c r="E3818" s="3">
        <f>IFERROR(VLOOKUP(B3818,'DA1'!$B$2:$D$999999,3,FALSE),"")</f>
      </c>
      <c r="F3818" s="1" t="str">
        <f>IFERROR(VLOOKUP(B3818,'SB1'!$A$2:$C$999999,3,FALSE),"")</f>
        <v>503</v>
      </c>
      <c r="G3818" s="3" t="e">
        <f t="shared" si="131"/>
        <v>#VALUE!</v>
      </c>
      <c r="H3818" s="3" t="e">
        <f t="shared" si="130"/>
        <v>#VALUE!</v>
      </c>
      <c r="I3818" s="1">
        <v>1</v>
      </c>
    </row>
    <row r="3819" spans="1:9" x14ac:dyDescent="0.25">
      <c r="A3819" s="1" t="s">
        <v>14435</v>
      </c>
      <c r="B3819" s="1" t="s">
        <v>11289</v>
      </c>
      <c r="C3819" s="1" t="str">
        <f>IFERROR(VLOOKUP(B3819,'SB1'!$A$2:$B$999999,2,FALSE),"")</f>
        <v>PINTURA ASFALTICA SOLVENTE SUPERFLEX X  1</v>
      </c>
      <c r="D3819" s="1" t="s">
        <v>14508</v>
      </c>
      <c r="E3819" s="3">
        <f>IFERROR(VLOOKUP(B3819,'DA1'!$B$2:$D$999999,3,FALSE),"")</f>
      </c>
      <c r="F3819" s="1" t="str">
        <f>IFERROR(VLOOKUP(B3819,'SB1'!$A$2:$C$999999,3,FALSE),"")</f>
        <v>503</v>
      </c>
      <c r="G3819" s="3" t="e">
        <f t="shared" si="131"/>
        <v>#VALUE!</v>
      </c>
      <c r="H3819" s="3" t="e">
        <f t="shared" si="130"/>
        <v>#VALUE!</v>
      </c>
      <c r="I3819" s="1">
        <v>1</v>
      </c>
    </row>
    <row r="3820" spans="1:9" x14ac:dyDescent="0.25">
      <c r="A3820" s="1" t="s">
        <v>14435</v>
      </c>
      <c r="B3820" s="1" t="s">
        <v>11291</v>
      </c>
      <c r="C3820" s="1" t="str">
        <f>IFERROR(VLOOKUP(B3820,'SB1'!$A$2:$B$999999,2,FALSE),"")</f>
        <v>PINTURA ASFALTICA SOLVENTE SUPERFLEX X  4</v>
      </c>
      <c r="D3820" s="1" t="s">
        <v>14508</v>
      </c>
      <c r="E3820" s="3">
        <f>IFERROR(VLOOKUP(B3820,'DA1'!$B$2:$D$999999,3,FALSE),"")</f>
      </c>
      <c r="F3820" s="1" t="str">
        <f>IFERROR(VLOOKUP(B3820,'SB1'!$A$2:$C$999999,3,FALSE),"")</f>
        <v>503</v>
      </c>
      <c r="G3820" s="3" t="e">
        <f t="shared" si="131"/>
        <v>#VALUE!</v>
      </c>
      <c r="H3820" s="3" t="e">
        <f t="shared" si="130"/>
        <v>#VALUE!</v>
      </c>
      <c r="I3820" s="1">
        <v>1</v>
      </c>
    </row>
    <row r="3821" spans="1:9" x14ac:dyDescent="0.25">
      <c r="A3821" s="1" t="s">
        <v>14435</v>
      </c>
      <c r="B3821" s="1" t="s">
        <v>11293</v>
      </c>
      <c r="C3821" s="1" t="str">
        <f>IFERROR(VLOOKUP(B3821,'SB1'!$A$2:$B$999999,2,FALSE),"")</f>
        <v>PINTURA ASFALTICA SOLVENTE SUPERFLEX X 18</v>
      </c>
      <c r="D3821" s="1" t="s">
        <v>14508</v>
      </c>
      <c r="E3821" s="3">
        <f>IFERROR(VLOOKUP(B3821,'DA1'!$B$2:$D$999999,3,FALSE),"")</f>
      </c>
      <c r="F3821" s="1" t="str">
        <f>IFERROR(VLOOKUP(B3821,'SB1'!$A$2:$C$999999,3,FALSE),"")</f>
        <v>503</v>
      </c>
      <c r="G3821" s="3" t="e">
        <f t="shared" si="131"/>
        <v>#VALUE!</v>
      </c>
      <c r="H3821" s="3" t="e">
        <f t="shared" si="130"/>
        <v>#VALUE!</v>
      </c>
      <c r="I3821" s="1">
        <v>1</v>
      </c>
    </row>
    <row r="3822" spans="1:9" x14ac:dyDescent="0.25">
      <c r="A3822" s="1" t="s">
        <v>14435</v>
      </c>
      <c r="B3822" s="1" t="s">
        <v>11295</v>
      </c>
      <c r="C3822" s="1" t="str">
        <f>IFERROR(VLOOKUP(B3822,'SB1'!$A$2:$B$999999,2,FALSE),"")</f>
        <v>MEMBRANA ASFALTICA EMAPI D 400 AL 35KG</v>
      </c>
      <c r="D3822" s="1" t="s">
        <v>14508</v>
      </c>
      <c r="E3822" s="3">
        <f>IFERROR(VLOOKUP(B3822,'DA1'!$B$2:$D$999999,3,FALSE),"")</f>
      </c>
      <c r="F3822" s="1" t="str">
        <f>IFERROR(VLOOKUP(B3822,'SB1'!$A$2:$C$999999,3,FALSE),"")</f>
        <v>503</v>
      </c>
      <c r="G3822" s="3" t="e">
        <f t="shared" si="131"/>
        <v>#VALUE!</v>
      </c>
      <c r="H3822" s="3" t="e">
        <f t="shared" si="130"/>
        <v>#VALUE!</v>
      </c>
      <c r="I3822" s="1">
        <v>1</v>
      </c>
    </row>
    <row r="3823" spans="1:9" x14ac:dyDescent="0.25">
      <c r="A3823" s="1" t="s">
        <v>14435</v>
      </c>
      <c r="B3823" s="1" t="s">
        <v>11299</v>
      </c>
      <c r="C3823" s="1" t="str">
        <f>IFERROR(VLOOKUP(B3823,'SB1'!$A$2:$B$999999,2,FALSE),"")</f>
        <v>ACOPLE RAPIDO H25 1" RI PLASTICO</v>
      </c>
      <c r="D3823" s="1" t="s">
        <v>14488</v>
      </c>
      <c r="E3823" s="3">
        <f>IFERROR(VLOOKUP(B3823,'DA1'!$B$2:$D$999999,3,FALSE),"")</f>
      </c>
      <c r="F3823" s="1" t="str">
        <f>IFERROR(VLOOKUP(B3823,'SB1'!$A$2:$C$999999,3,FALSE),"")</f>
        <v>503</v>
      </c>
      <c r="G3823" s="3" t="e">
        <f t="shared" si="131"/>
        <v>#VALUE!</v>
      </c>
      <c r="H3823" s="3" t="e">
        <f t="shared" si="130"/>
        <v>#VALUE!</v>
      </c>
      <c r="I3823" s="1">
        <v>1</v>
      </c>
    </row>
    <row r="3824" spans="1:9" x14ac:dyDescent="0.25">
      <c r="A3824" s="1" t="s">
        <v>14435</v>
      </c>
      <c r="B3824" s="1" t="s">
        <v>11301</v>
      </c>
      <c r="C3824" s="1" t="str">
        <f>IFERROR(VLOOKUP(B3824,'SB1'!$A$2:$B$999999,2,FALSE),"")</f>
        <v>ACOPLAMIENTO GEKA CON BOQUILLA 3/4</v>
      </c>
      <c r="D3824" s="1" t="s">
        <v>14488</v>
      </c>
      <c r="E3824" s="3">
        <f>IFERROR(VLOOKUP(B3824,'DA1'!$B$2:$D$999999,3,FALSE),"")</f>
      </c>
      <c r="F3824" s="1" t="str">
        <f>IFERROR(VLOOKUP(B3824,'SB1'!$A$2:$C$999999,3,FALSE),"")</f>
        <v>503</v>
      </c>
      <c r="G3824" s="3" t="e">
        <f t="shared" si="131"/>
        <v>#VALUE!</v>
      </c>
      <c r="H3824" s="3" t="e">
        <f t="shared" si="130"/>
        <v>#VALUE!</v>
      </c>
      <c r="I3824" s="1">
        <v>1</v>
      </c>
    </row>
    <row r="3825" spans="1:9" x14ac:dyDescent="0.25">
      <c r="A3825" s="1" t="s">
        <v>14435</v>
      </c>
      <c r="B3825" s="1" t="s">
        <v>11303</v>
      </c>
      <c r="C3825" s="1" t="str">
        <f>IFERROR(VLOOKUP(B3825,'SB1'!$A$2:$B$999999,2,FALSE),"")</f>
        <v>ACOPLE GEKA RI 1"</v>
      </c>
      <c r="D3825" s="1" t="s">
        <v>14488</v>
      </c>
      <c r="E3825" s="3">
        <f>IFERROR(VLOOKUP(B3825,'DA1'!$B$2:$D$999999,3,FALSE),"")</f>
      </c>
      <c r="F3825" s="1" t="str">
        <f>IFERROR(VLOOKUP(B3825,'SB1'!$A$2:$C$999999,3,FALSE),"")</f>
        <v>503</v>
      </c>
      <c r="G3825" s="3" t="e">
        <f t="shared" si="131"/>
        <v>#VALUE!</v>
      </c>
      <c r="H3825" s="3" t="e">
        <f t="shared" si="130"/>
        <v>#VALUE!</v>
      </c>
      <c r="I3825" s="1">
        <v>1</v>
      </c>
    </row>
    <row r="3826" spans="1:9" x14ac:dyDescent="0.25">
      <c r="A3826" s="1" t="s">
        <v>14435</v>
      </c>
      <c r="B3826" s="1" t="s">
        <v>11305</v>
      </c>
      <c r="C3826" s="1" t="str">
        <f>IFERROR(VLOOKUP(B3826,'SB1'!$A$2:$B$999999,2,FALSE),"")</f>
        <v>MAGUERA MORTERO 25MM</v>
      </c>
      <c r="D3826" s="1" t="s">
        <v>14488</v>
      </c>
      <c r="E3826" s="3">
        <f>IFERROR(VLOOKUP(B3826,'DA1'!$B$2:$D$999999,3,FALSE),"")</f>
      </c>
      <c r="F3826" s="1" t="str">
        <f>IFERROR(VLOOKUP(B3826,'SB1'!$A$2:$C$999999,3,FALSE),"")</f>
        <v>503</v>
      </c>
      <c r="G3826" s="3" t="e">
        <f t="shared" si="131"/>
        <v>#VALUE!</v>
      </c>
      <c r="H3826" s="3" t="e">
        <f t="shared" si="130"/>
        <v>#VALUE!</v>
      </c>
      <c r="I3826" s="1">
        <v>1</v>
      </c>
    </row>
    <row r="3827" spans="1:9" x14ac:dyDescent="0.25">
      <c r="A3827" s="1" t="s">
        <v>14435</v>
      </c>
      <c r="B3827" s="1" t="s">
        <v>11307</v>
      </c>
      <c r="C3827" s="1" t="str">
        <f>IFERROR(VLOOKUP(B3827,'SB1'!$A$2:$B$999999,2,FALSE),"")</f>
        <v>ROTOR MONOMIX LILA REGULABLE</v>
      </c>
      <c r="D3827" s="1" t="s">
        <v>14488</v>
      </c>
      <c r="E3827" s="3">
        <f>IFERROR(VLOOKUP(B3827,'DA1'!$B$2:$D$999999,3,FALSE),"")</f>
      </c>
      <c r="F3827" s="1" t="str">
        <f>IFERROR(VLOOKUP(B3827,'SB1'!$A$2:$C$999999,3,FALSE),"")</f>
        <v>503</v>
      </c>
      <c r="G3827" s="3" t="e">
        <f t="shared" si="131"/>
        <v>#VALUE!</v>
      </c>
      <c r="H3827" s="3" t="e">
        <f t="shared" si="130"/>
        <v>#VALUE!</v>
      </c>
      <c r="I3827" s="1">
        <v>1</v>
      </c>
    </row>
    <row r="3828" spans="1:9" x14ac:dyDescent="0.25">
      <c r="A3828" s="1" t="s">
        <v>14435</v>
      </c>
      <c r="B3828" s="1" t="s">
        <v>11309</v>
      </c>
      <c r="C3828" s="1" t="str">
        <f>IFERROR(VLOOKUP(B3828,'SB1'!$A$2:$B$999999,2,FALSE),"")</f>
        <v>STATOR MONOMIX LILA</v>
      </c>
      <c r="D3828" s="1" t="s">
        <v>14488</v>
      </c>
      <c r="E3828" s="3">
        <f>IFERROR(VLOOKUP(B3828,'DA1'!$B$2:$D$999999,3,FALSE),"")</f>
      </c>
      <c r="F3828" s="1" t="str">
        <f>IFERROR(VLOOKUP(B3828,'SB1'!$A$2:$C$999999,3,FALSE),"")</f>
        <v>503</v>
      </c>
      <c r="G3828" s="3" t="e">
        <f t="shared" si="131"/>
        <v>#VALUE!</v>
      </c>
      <c r="H3828" s="3" t="e">
        <f t="shared" si="130"/>
        <v>#VALUE!</v>
      </c>
      <c r="I3828" s="1">
        <v>1</v>
      </c>
    </row>
    <row r="3829" spans="1:9" x14ac:dyDescent="0.25">
      <c r="A3829" s="1" t="s">
        <v>14435</v>
      </c>
      <c r="B3829" s="1" t="s">
        <v>11311</v>
      </c>
      <c r="C3829" s="1" t="str">
        <f>IFERROR(VLOOKUP(B3829,'SB1'!$A$2:$B$999999,2,FALSE),"")</f>
        <v>STATOR UE 45 / 7 AMARILLO REGULABLE 35MM</v>
      </c>
      <c r="D3829" s="1" t="s">
        <v>14488</v>
      </c>
      <c r="E3829" s="3">
        <f>IFERROR(VLOOKUP(B3829,'DA1'!$B$2:$D$999999,3,FALSE),"")</f>
      </c>
      <c r="F3829" s="1" t="str">
        <f>IFERROR(VLOOKUP(B3829,'SB1'!$A$2:$C$999999,3,FALSE),"")</f>
        <v>503</v>
      </c>
      <c r="G3829" s="3" t="e">
        <f t="shared" si="131"/>
        <v>#VALUE!</v>
      </c>
      <c r="H3829" s="3" t="e">
        <f t="shared" si="130"/>
        <v>#VALUE!</v>
      </c>
      <c r="I3829" s="1">
        <v>1</v>
      </c>
    </row>
    <row r="3830" spans="1:9" x14ac:dyDescent="0.25">
      <c r="A3830" s="1" t="s">
        <v>14435</v>
      </c>
      <c r="B3830" s="1" t="s">
        <v>11313</v>
      </c>
      <c r="C3830" s="1" t="str">
        <f>IFERROR(VLOOKUP(B3830,'SB1'!$A$2:$B$999999,2,FALSE),"")</f>
        <v>ROTOR UE 45 / 7 AMARILLO 35MM</v>
      </c>
      <c r="D3830" s="1" t="s">
        <v>14488</v>
      </c>
      <c r="E3830" s="3">
        <f>IFERROR(VLOOKUP(B3830,'DA1'!$B$2:$D$999999,3,FALSE),"")</f>
      </c>
      <c r="F3830" s="1" t="str">
        <f>IFERROR(VLOOKUP(B3830,'SB1'!$A$2:$C$999999,3,FALSE),"")</f>
        <v>503</v>
      </c>
      <c r="G3830" s="3" t="e">
        <f t="shared" si="131"/>
        <v>#VALUE!</v>
      </c>
      <c r="H3830" s="3" t="e">
        <f t="shared" si="130"/>
        <v>#VALUE!</v>
      </c>
      <c r="I3830" s="1">
        <v>1</v>
      </c>
    </row>
    <row r="3831" spans="1:9" x14ac:dyDescent="0.25">
      <c r="A3831" s="1" t="s">
        <v>14435</v>
      </c>
      <c r="B3831" s="1" t="s">
        <v>11315</v>
      </c>
      <c r="C3831" s="1" t="str">
        <f>IFERROR(VLOOKUP(B3831,'SB1'!$A$2:$B$999999,2,FALSE),"")</f>
        <v>STATOR AUTOAJUSTABLE GRIS D4</v>
      </c>
      <c r="D3831" s="1" t="s">
        <v>14488</v>
      </c>
      <c r="E3831" s="3">
        <f>IFERROR(VLOOKUP(B3831,'DA1'!$B$2:$D$999999,3,FALSE),"")</f>
      </c>
      <c r="F3831" s="1" t="str">
        <f>IFERROR(VLOOKUP(B3831,'SB1'!$A$2:$C$999999,3,FALSE),"")</f>
        <v>503</v>
      </c>
      <c r="G3831" s="3" t="e">
        <f t="shared" si="131"/>
        <v>#VALUE!</v>
      </c>
      <c r="H3831" s="3" t="e">
        <f t="shared" si="130"/>
        <v>#VALUE!</v>
      </c>
      <c r="I3831" s="1">
        <v>1</v>
      </c>
    </row>
    <row r="3832" spans="1:9" x14ac:dyDescent="0.25">
      <c r="A3832" s="1" t="s">
        <v>14435</v>
      </c>
      <c r="B3832" s="1" t="s">
        <v>11317</v>
      </c>
      <c r="C3832" s="1" t="str">
        <f>IFERROR(VLOOKUP(B3832,'SB1'!$A$2:$B$999999,2,FALSE),"")</f>
        <v>ROTOR D4</v>
      </c>
      <c r="D3832" s="1" t="s">
        <v>14488</v>
      </c>
      <c r="E3832" s="3">
        <f>IFERROR(VLOOKUP(B3832,'DA1'!$B$2:$D$999999,3,FALSE),"")</f>
      </c>
      <c r="F3832" s="1" t="str">
        <f>IFERROR(VLOOKUP(B3832,'SB1'!$A$2:$C$999999,3,FALSE),"")</f>
        <v>503</v>
      </c>
      <c r="G3832" s="3" t="e">
        <f t="shared" si="131"/>
        <v>#VALUE!</v>
      </c>
      <c r="H3832" s="3" t="e">
        <f t="shared" si="130"/>
        <v>#VALUE!</v>
      </c>
      <c r="I3832" s="1">
        <v>1</v>
      </c>
    </row>
    <row r="3833" spans="1:9" x14ac:dyDescent="0.25">
      <c r="A3833" s="1" t="s">
        <v>14435</v>
      </c>
      <c r="B3833" s="1" t="s">
        <v>11319</v>
      </c>
      <c r="C3833" s="1" t="str">
        <f>IFERROR(VLOOKUP(B3833,'SB1'!$A$2:$B$999999,2,FALSE),"")</f>
        <v>MANGO RODILLO MINI FF  8CM(MRM8)</v>
      </c>
      <c r="D3833" s="1" t="s">
        <v>14436</v>
      </c>
      <c r="E3833" s="3">
        <f>IFERROR(VLOOKUP(B3833,'DA1'!$B$2:$D$999999,3,FALSE),"")</f>
      </c>
      <c r="F3833" s="1" t="str">
        <f>IFERROR(VLOOKUP(B3833,'SB1'!$A$2:$C$999999,3,FALSE),"")</f>
        <v>503</v>
      </c>
      <c r="G3833" s="3" t="e">
        <f t="shared" si="131"/>
        <v>#VALUE!</v>
      </c>
      <c r="H3833" s="3" t="e">
        <f t="shared" si="130"/>
        <v>#VALUE!</v>
      </c>
      <c r="I3833" s="1">
        <v>1</v>
      </c>
    </row>
    <row r="3834" spans="1:9" x14ac:dyDescent="0.25">
      <c r="A3834" s="1" t="s">
        <v>14435</v>
      </c>
      <c r="B3834" s="1" t="s">
        <v>11321</v>
      </c>
      <c r="C3834" s="1" t="str">
        <f>IFERROR(VLOOKUP(B3834,'SB1'!$A$2:$B$999999,2,FALSE),"")</f>
        <v>MANGO RODILLO MINI FF 10CM(MRM10)</v>
      </c>
      <c r="D3834" s="1" t="s">
        <v>14436</v>
      </c>
      <c r="E3834" s="3">
        <f>IFERROR(VLOOKUP(B3834,'DA1'!$B$2:$D$999999,3,FALSE),"")</f>
      </c>
      <c r="F3834" s="1" t="str">
        <f>IFERROR(VLOOKUP(B3834,'SB1'!$A$2:$C$999999,3,FALSE),"")</f>
        <v>503</v>
      </c>
      <c r="G3834" s="3" t="e">
        <f t="shared" si="131"/>
        <v>#VALUE!</v>
      </c>
      <c r="H3834" s="3" t="e">
        <f t="shared" si="130"/>
        <v>#VALUE!</v>
      </c>
      <c r="I3834" s="1">
        <v>1</v>
      </c>
    </row>
    <row r="3835" spans="1:9" x14ac:dyDescent="0.25">
      <c r="A3835" s="1" t="s">
        <v>14435</v>
      </c>
      <c r="B3835" s="1" t="s">
        <v>11323</v>
      </c>
      <c r="C3835" s="1" t="str">
        <f>IFERROR(VLOOKUP(B3835,'SB1'!$A$2:$B$999999,2,FALSE),"")</f>
        <v>MANGO RODILLO MINI FF 15CM(MRM15)</v>
      </c>
      <c r="D3835" s="1" t="s">
        <v>14436</v>
      </c>
      <c r="E3835" s="3">
        <f>IFERROR(VLOOKUP(B3835,'DA1'!$B$2:$D$999999,3,FALSE),"")</f>
      </c>
      <c r="F3835" s="1" t="str">
        <f>IFERROR(VLOOKUP(B3835,'SB1'!$A$2:$C$999999,3,FALSE),"")</f>
        <v>503</v>
      </c>
      <c r="G3835" s="3" t="e">
        <f t="shared" si="131"/>
        <v>#VALUE!</v>
      </c>
      <c r="H3835" s="3" t="e">
        <f t="shared" si="130"/>
        <v>#VALUE!</v>
      </c>
      <c r="I3835" s="1">
        <v>1</v>
      </c>
    </row>
    <row r="3836" spans="1:9" x14ac:dyDescent="0.25">
      <c r="A3836" s="1" t="s">
        <v>14435</v>
      </c>
      <c r="B3836" s="1" t="s">
        <v>11325</v>
      </c>
      <c r="C3836" s="1" t="str">
        <f>IFERROR(VLOOKUP(B3836,'SB1'!$A$2:$B$999999,2,FALSE),"")</f>
        <v>PINCEL REDONDO N 15(PRE15)</v>
      </c>
      <c r="D3836" s="1" t="s">
        <v>14436</v>
      </c>
      <c r="E3836" s="3">
        <f>IFERROR(VLOOKUP(B3836,'DA1'!$B$2:$D$999999,3,FALSE),"")</f>
      </c>
      <c r="F3836" s="1" t="str">
        <f>IFERROR(VLOOKUP(B3836,'SB1'!$A$2:$C$999999,3,FALSE),"")</f>
        <v>503</v>
      </c>
      <c r="G3836" s="3" t="e">
        <f t="shared" si="131"/>
        <v>#VALUE!</v>
      </c>
      <c r="H3836" s="3" t="e">
        <f t="shared" si="130"/>
        <v>#VALUE!</v>
      </c>
      <c r="I3836" s="1">
        <v>1</v>
      </c>
    </row>
    <row r="3837" spans="1:9" x14ac:dyDescent="0.25">
      <c r="A3837" s="1" t="s">
        <v>14435</v>
      </c>
      <c r="B3837" s="1" t="s">
        <v>11327</v>
      </c>
      <c r="C3837" s="1" t="str">
        <f>IFERROR(VLOOKUP(B3837,'SB1'!$A$2:$B$999999,2,FALSE),"")</f>
        <v>PINCEL REDONDO N 18(PRE18)</v>
      </c>
      <c r="D3837" s="1" t="s">
        <v>14436</v>
      </c>
      <c r="E3837" s="3">
        <f>IFERROR(VLOOKUP(B3837,'DA1'!$B$2:$D$999999,3,FALSE),"")</f>
      </c>
      <c r="F3837" s="1" t="str">
        <f>IFERROR(VLOOKUP(B3837,'SB1'!$A$2:$C$999999,3,FALSE),"")</f>
        <v>503</v>
      </c>
      <c r="G3837" s="3" t="e">
        <f t="shared" si="131"/>
        <v>#VALUE!</v>
      </c>
      <c r="H3837" s="3" t="e">
        <f t="shared" si="130"/>
        <v>#VALUE!</v>
      </c>
      <c r="I3837" s="1">
        <v>1</v>
      </c>
    </row>
    <row r="3838" spans="1:9" x14ac:dyDescent="0.25">
      <c r="A3838" s="1" t="s">
        <v>14435</v>
      </c>
      <c r="B3838" s="1" t="s">
        <v>11329</v>
      </c>
      <c r="C3838" s="1" t="str">
        <f>IFERROR(VLOOKUP(B3838,'SB1'!$A$2:$B$999999,2,FALSE),"")</f>
        <v>PINCEL REDONDO N 25(PRE25)</v>
      </c>
      <c r="D3838" s="1" t="s">
        <v>14436</v>
      </c>
      <c r="E3838" s="3">
        <f>IFERROR(VLOOKUP(B3838,'DA1'!$B$2:$D$999999,3,FALSE),"")</f>
      </c>
      <c r="F3838" s="1" t="str">
        <f>IFERROR(VLOOKUP(B3838,'SB1'!$A$2:$C$999999,3,FALSE),"")</f>
        <v>503</v>
      </c>
      <c r="G3838" s="3" t="e">
        <f t="shared" si="131"/>
        <v>#VALUE!</v>
      </c>
      <c r="H3838" s="3" t="e">
        <f t="shared" ref="H3838:H3842" si="132">G3838*1.21</f>
        <v>#VALUE!</v>
      </c>
      <c r="I3838" s="1">
        <v>1</v>
      </c>
    </row>
    <row r="3839" spans="1:9" x14ac:dyDescent="0.25">
      <c r="A3839" s="1" t="s">
        <v>14435</v>
      </c>
      <c r="B3839" s="1" t="s">
        <v>11331</v>
      </c>
      <c r="C3839" s="1" t="str">
        <f>IFERROR(VLOOKUP(B3839,'SB1'!$A$2:$B$999999,2,FALSE),"")</f>
        <v>RODILLO PARA TEXTURA RUSTICA 22CM(RO100)</v>
      </c>
      <c r="D3839" s="1" t="s">
        <v>14436</v>
      </c>
      <c r="E3839" s="3">
        <f>IFERROR(VLOOKUP(B3839,'DA1'!$B$2:$D$999999,3,FALSE),"")</f>
      </c>
      <c r="F3839" s="1" t="str">
        <f>IFERROR(VLOOKUP(B3839,'SB1'!$A$2:$C$999999,3,FALSE),"")</f>
        <v>503</v>
      </c>
      <c r="G3839" s="3" t="e">
        <f t="shared" si="131"/>
        <v>#VALUE!</v>
      </c>
      <c r="H3839" s="3" t="e">
        <f t="shared" si="132"/>
        <v>#VALUE!</v>
      </c>
      <c r="I3839" s="1">
        <v>1</v>
      </c>
    </row>
    <row r="3840" spans="1:9" x14ac:dyDescent="0.25">
      <c r="A3840" s="1" t="s">
        <v>14435</v>
      </c>
      <c r="B3840" s="1" t="s">
        <v>11333</v>
      </c>
      <c r="C3840" s="1" t="str">
        <f>IFERROR(VLOOKUP(B3840,'SB1'!$A$2:$B$999999,2,FALSE),"")</f>
        <v>RODILLO PARA TEXTURA RUSTICA 10CM(RO101)</v>
      </c>
      <c r="D3840" s="1" t="s">
        <v>14436</v>
      </c>
      <c r="E3840" s="3">
        <f>IFERROR(VLOOKUP(B3840,'DA1'!$B$2:$D$999999,3,FALSE),"")</f>
      </c>
      <c r="F3840" s="1" t="str">
        <f>IFERROR(VLOOKUP(B3840,'SB1'!$A$2:$C$999999,3,FALSE),"")</f>
        <v>503</v>
      </c>
      <c r="G3840" s="3" t="e">
        <f t="shared" si="131"/>
        <v>#VALUE!</v>
      </c>
      <c r="H3840" s="3" t="e">
        <f t="shared" si="132"/>
        <v>#VALUE!</v>
      </c>
      <c r="I3840" s="1">
        <v>1</v>
      </c>
    </row>
    <row r="3841" spans="1:9" x14ac:dyDescent="0.25">
      <c r="A3841" s="1" t="s">
        <v>14435</v>
      </c>
      <c r="B3841" s="1" t="s">
        <v>11335</v>
      </c>
      <c r="C3841" s="1" t="str">
        <f>IFERROR(VLOOKUP(B3841,'SB1'!$A$2:$B$999999,2,FALSE),"")</f>
        <v>APLICADOR ESQUINERO PREMIUM(A15MA)</v>
      </c>
      <c r="D3841" s="1" t="s">
        <v>14436</v>
      </c>
      <c r="E3841" s="3">
        <f>IFERROR(VLOOKUP(B3841,'DA1'!$B$2:$D$999999,3,FALSE),"")</f>
      </c>
      <c r="F3841" s="1" t="str">
        <f>IFERROR(VLOOKUP(B3841,'SB1'!$A$2:$C$999999,3,FALSE),"")</f>
        <v>503</v>
      </c>
      <c r="G3841" s="3" t="e">
        <f t="shared" si="131"/>
        <v>#VALUE!</v>
      </c>
      <c r="H3841" s="3" t="e">
        <f t="shared" si="132"/>
        <v>#VALUE!</v>
      </c>
      <c r="I3841" s="1">
        <v>1</v>
      </c>
    </row>
    <row r="3842" spans="1:9" x14ac:dyDescent="0.25">
      <c r="A3842" s="1" t="s">
        <v>14435</v>
      </c>
      <c r="B3842" s="1" t="s">
        <v>11339</v>
      </c>
      <c r="C3842" s="1" t="str">
        <f>IFERROR(VLOOKUP(B3842,'SB1'!$A$2:$B$999999,2,FALSE),"")</f>
        <v>D807P.48 DILUYENTE MEDIO PU/POLIESTER PPG X 200</v>
      </c>
      <c r="D3842" s="1" t="s">
        <v>14446</v>
      </c>
      <c r="E3842" s="3">
        <f>IFERROR(VLOOKUP(B3842,'DA1'!$B$2:$D$999999,3,FALSE),"")</f>
      </c>
      <c r="F3842" s="1" t="str">
        <f>IFERROR(VLOOKUP(B3842,'SB1'!$A$2:$C$999999,3,FALSE),"")</f>
        <v>503</v>
      </c>
      <c r="G3842" s="3" t="e">
        <f t="shared" si="131"/>
        <v>#VALUE!</v>
      </c>
      <c r="H3842" s="3" t="e">
        <f t="shared" si="132"/>
        <v>#VALUE!</v>
      </c>
      <c r="I3842" s="1">
        <v>3</v>
      </c>
    </row>
    <row r="3843" spans="1:9" x14ac:dyDescent="0.25">
      <c r="A3843" s="1" t="s">
        <v>14435</v>
      </c>
      <c r="B3843" s="1" t="s">
        <v>11341</v>
      </c>
      <c r="C3843" s="1" t="str">
        <f>IFERROR(VLOOKUP(B3843,'SB1'!$A$2:$B$999999,2,FALSE),"")</f>
        <v>MAQUINA DUO MIX (98-0015 )</v>
      </c>
      <c r="D3843" s="1" t="s">
        <v>14488</v>
      </c>
      <c r="E3843" s="3">
        <f>IFERROR(VLOOKUP(B3843,'DA1'!$B$2:$D$999999,3,FALSE),"")</f>
      </c>
      <c r="F3843" s="1" t="str">
        <f>IFERROR(VLOOKUP(B3843,'SB1'!$A$2:$C$999999,3,FALSE),"")</f>
        <v>501</v>
      </c>
      <c r="G3843" s="3" t="e">
        <f t="shared" ref="G3843:G3906" si="133">E3843*1.04</f>
        <v>#VALUE!</v>
      </c>
      <c r="H3843" s="3" t="e">
        <f>G3843*1.105</f>
        <v>#VALUE!</v>
      </c>
      <c r="I3843" s="1">
        <v>1</v>
      </c>
    </row>
    <row r="3844" spans="1:9" x14ac:dyDescent="0.25">
      <c r="A3844" s="1" t="s">
        <v>14435</v>
      </c>
      <c r="B3844" s="1" t="s">
        <v>11343</v>
      </c>
      <c r="C3844" s="1" t="str">
        <f>IFERROR(VLOOKUP(B3844,'SB1'!$A$2:$B$999999,2,FALSE),"")</f>
        <v>MATEANTE EN POLVO VANGUARD X 4 KG</v>
      </c>
      <c r="D3844" s="1" t="s">
        <v>14506</v>
      </c>
      <c r="E3844" s="3">
        <f>IFERROR(VLOOKUP(B3844,'DA1'!$B$2:$D$999999,3,FALSE),"")</f>
      </c>
      <c r="F3844" s="1" t="str">
        <f>IFERROR(VLOOKUP(B3844,'SB1'!$A$2:$C$999999,3,FALSE),"")</f>
        <v>503</v>
      </c>
      <c r="G3844" s="3" t="e">
        <f t="shared" si="133"/>
        <v>#VALUE!</v>
      </c>
      <c r="H3844" s="3" t="e">
        <f t="shared" ref="H3844:H3907" si="134">G3844*1.21</f>
        <v>#VALUE!</v>
      </c>
      <c r="I3844" s="1">
        <v>1</v>
      </c>
    </row>
    <row r="3845" spans="1:9" x14ac:dyDescent="0.25">
      <c r="A3845" s="1" t="s">
        <v>14435</v>
      </c>
      <c r="B3845" s="1" t="s">
        <v>11351</v>
      </c>
      <c r="C3845" s="1" t="str">
        <f>IFERROR(VLOOKUP(B3845,'SB1'!$A$2:$B$999999,2,FALSE),"")</f>
        <v>DISCO LIJA OXIDO ALUMINIO RAPIFIX 6A AMARILLO 150MM   #80</v>
      </c>
      <c r="D3845" s="1" t="s">
        <v>14486</v>
      </c>
      <c r="E3845" s="3">
        <f>IFERROR(VLOOKUP(B3845,'DA1'!$B$2:$D$999999,3,FALSE),"")</f>
      </c>
      <c r="F3845" s="1" t="str">
        <f>IFERROR(VLOOKUP(B3845,'SB1'!$A$2:$C$999999,3,FALSE),"")</f>
        <v>503</v>
      </c>
      <c r="G3845" s="3" t="e">
        <f t="shared" si="133"/>
        <v>#VALUE!</v>
      </c>
      <c r="H3845" s="3" t="e">
        <f t="shared" si="134"/>
        <v>#VALUE!</v>
      </c>
      <c r="I3845" s="1">
        <v>2</v>
      </c>
    </row>
    <row r="3846" spans="1:9" x14ac:dyDescent="0.25">
      <c r="A3846" s="1" t="s">
        <v>14435</v>
      </c>
      <c r="B3846" s="1" t="s">
        <v>11353</v>
      </c>
      <c r="C3846" s="1" t="str">
        <f>IFERROR(VLOOKUP(B3846,'SB1'!$A$2:$B$999999,2,FALSE),"")</f>
        <v>DISCO LIJA OXIDO ALUMINIO RAPIFIX 6A AMARILLO 150MM  #120</v>
      </c>
      <c r="D3846" s="1" t="s">
        <v>14486</v>
      </c>
      <c r="E3846" s="3">
        <f>IFERROR(VLOOKUP(B3846,'DA1'!$B$2:$D$999999,3,FALSE),"")</f>
      </c>
      <c r="F3846" s="1" t="str">
        <f>IFERROR(VLOOKUP(B3846,'SB1'!$A$2:$C$999999,3,FALSE),"")</f>
        <v>503</v>
      </c>
      <c r="G3846" s="3" t="e">
        <f t="shared" si="133"/>
        <v>#VALUE!</v>
      </c>
      <c r="H3846" s="3" t="e">
        <f t="shared" si="134"/>
        <v>#VALUE!</v>
      </c>
      <c r="I3846" s="1">
        <v>2</v>
      </c>
    </row>
    <row r="3847" spans="1:9" x14ac:dyDescent="0.25">
      <c r="A3847" s="1" t="s">
        <v>14435</v>
      </c>
      <c r="B3847" s="1" t="s">
        <v>11355</v>
      </c>
      <c r="C3847" s="1" t="str">
        <f>IFERROR(VLOOKUP(B3847,'SB1'!$A$2:$B$999999,2,FALSE),"")</f>
        <v>DISCO LIJA OXIDO ALUMINIO RAPIFIX 6A AMARILLO 150MM  #150</v>
      </c>
      <c r="D3847" s="1" t="s">
        <v>14486</v>
      </c>
      <c r="E3847" s="3">
        <f>IFERROR(VLOOKUP(B3847,'DA1'!$B$2:$D$999999,3,FALSE),"")</f>
      </c>
      <c r="F3847" s="1" t="str">
        <f>IFERROR(VLOOKUP(B3847,'SB1'!$A$2:$C$999999,3,FALSE),"")</f>
        <v>503</v>
      </c>
      <c r="G3847" s="3" t="e">
        <f t="shared" si="133"/>
        <v>#VALUE!</v>
      </c>
      <c r="H3847" s="3" t="e">
        <f t="shared" si="134"/>
        <v>#VALUE!</v>
      </c>
      <c r="I3847" s="1">
        <v>2</v>
      </c>
    </row>
    <row r="3848" spans="1:9" x14ac:dyDescent="0.25">
      <c r="A3848" s="1" t="s">
        <v>14435</v>
      </c>
      <c r="B3848" s="1" t="s">
        <v>11357</v>
      </c>
      <c r="C3848" s="1" t="str">
        <f>IFERROR(VLOOKUP(B3848,'SB1'!$A$2:$B$999999,2,FALSE),"")</f>
        <v>DISCO LIJA OXIDO ALUMINIO RAPIFIX 6A AMARILLO 150MM  #180</v>
      </c>
      <c r="D3848" s="1" t="s">
        <v>14486</v>
      </c>
      <c r="E3848" s="3">
        <f>IFERROR(VLOOKUP(B3848,'DA1'!$B$2:$D$999999,3,FALSE),"")</f>
      </c>
      <c r="F3848" s="1" t="str">
        <f>IFERROR(VLOOKUP(B3848,'SB1'!$A$2:$C$999999,3,FALSE),"")</f>
        <v>503</v>
      </c>
      <c r="G3848" s="3" t="e">
        <f t="shared" si="133"/>
        <v>#VALUE!</v>
      </c>
      <c r="H3848" s="3" t="e">
        <f t="shared" si="134"/>
        <v>#VALUE!</v>
      </c>
      <c r="I3848" s="1">
        <v>2</v>
      </c>
    </row>
    <row r="3849" spans="1:9" x14ac:dyDescent="0.25">
      <c r="A3849" s="1" t="s">
        <v>14435</v>
      </c>
      <c r="B3849" s="1" t="s">
        <v>11359</v>
      </c>
      <c r="C3849" s="1" t="str">
        <f>IFERROR(VLOOKUP(B3849,'SB1'!$A$2:$B$999999,2,FALSE),"")</f>
        <v>DISCO LIJA OXIDO ALUMINIO RAPIFIX 6A AMARILLO 150MM  #220</v>
      </c>
      <c r="D3849" s="1" t="s">
        <v>14486</v>
      </c>
      <c r="E3849" s="3">
        <f>IFERROR(VLOOKUP(B3849,'DA1'!$B$2:$D$999999,3,FALSE),"")</f>
      </c>
      <c r="F3849" s="1" t="str">
        <f>IFERROR(VLOOKUP(B3849,'SB1'!$A$2:$C$999999,3,FALSE),"")</f>
        <v>503</v>
      </c>
      <c r="G3849" s="3" t="e">
        <f t="shared" si="133"/>
        <v>#VALUE!</v>
      </c>
      <c r="H3849" s="3" t="e">
        <f t="shared" si="134"/>
        <v>#VALUE!</v>
      </c>
      <c r="I3849" s="1">
        <v>2</v>
      </c>
    </row>
    <row r="3850" spans="1:9" x14ac:dyDescent="0.25">
      <c r="A3850" s="1" t="s">
        <v>14435</v>
      </c>
      <c r="B3850" s="1" t="s">
        <v>11361</v>
      </c>
      <c r="C3850" s="1" t="str">
        <f>IFERROR(VLOOKUP(B3850,'SB1'!$A$2:$B$999999,2,FALSE),"")</f>
        <v>DISCO LIJA OXIDO ALUMINIO RAPIFIX 6A AMARILLO 150MM  #240</v>
      </c>
      <c r="D3850" s="1" t="s">
        <v>14486</v>
      </c>
      <c r="E3850" s="3">
        <f>IFERROR(VLOOKUP(B3850,'DA1'!$B$2:$D$999999,3,FALSE),"")</f>
      </c>
      <c r="F3850" s="1" t="str">
        <f>IFERROR(VLOOKUP(B3850,'SB1'!$A$2:$C$999999,3,FALSE),"")</f>
        <v>503</v>
      </c>
      <c r="G3850" s="3" t="e">
        <f t="shared" si="133"/>
        <v>#VALUE!</v>
      </c>
      <c r="H3850" s="3" t="e">
        <f t="shared" si="134"/>
        <v>#VALUE!</v>
      </c>
      <c r="I3850" s="1">
        <v>2</v>
      </c>
    </row>
    <row r="3851" spans="1:9" x14ac:dyDescent="0.25">
      <c r="A3851" s="1" t="s">
        <v>14435</v>
      </c>
      <c r="B3851" s="1" t="s">
        <v>11397</v>
      </c>
      <c r="C3851" s="1" t="str">
        <f>IFERROR(VLOOKUP(B3851,'SB1'!$A$2:$B$999999,2,FALSE),"")</f>
        <v>FONDO ANTIOXIDO TERSUAVE MATE ROJO X  4</v>
      </c>
      <c r="D3851" s="1" t="s">
        <v>14437</v>
      </c>
      <c r="E3851" s="3">
        <f>IFERROR(VLOOKUP(B3851,'DA1'!$B$2:$D$999999,3,FALSE),"")</f>
      </c>
      <c r="F3851" s="1" t="str">
        <f>IFERROR(VLOOKUP(B3851,'SB1'!$A$2:$C$999999,3,FALSE),"")</f>
        <v>503</v>
      </c>
      <c r="G3851" s="3" t="e">
        <f t="shared" si="133"/>
        <v>#VALUE!</v>
      </c>
      <c r="H3851" s="3" t="e">
        <f t="shared" si="134"/>
        <v>#VALUE!</v>
      </c>
      <c r="I3851" s="1">
        <v>1</v>
      </c>
    </row>
    <row r="3852" spans="1:9" x14ac:dyDescent="0.25">
      <c r="A3852" s="1" t="s">
        <v>14435</v>
      </c>
      <c r="B3852" s="1" t="s">
        <v>11399</v>
      </c>
      <c r="C3852" s="1" t="str">
        <f>IFERROR(VLOOKUP(B3852,'SB1'!$A$2:$B$999999,2,FALSE),"")</f>
        <v>KIT DE 5 PINCELES DE POLI ESPUMA(KITP1)</v>
      </c>
      <c r="D3852" s="1" t="s">
        <v>14436</v>
      </c>
      <c r="E3852" s="3">
        <f>IFERROR(VLOOKUP(B3852,'DA1'!$B$2:$D$999999,3,FALSE),"")</f>
      </c>
      <c r="F3852" s="1" t="str">
        <f>IFERROR(VLOOKUP(B3852,'SB1'!$A$2:$C$999999,3,FALSE),"")</f>
        <v>503</v>
      </c>
      <c r="G3852" s="3" t="e">
        <f t="shared" si="133"/>
        <v>#VALUE!</v>
      </c>
      <c r="H3852" s="3" t="e">
        <f t="shared" si="134"/>
        <v>#VALUE!</v>
      </c>
      <c r="I3852" s="1">
        <v>1</v>
      </c>
    </row>
    <row r="3853" spans="1:9" x14ac:dyDescent="0.25">
      <c r="A3853" s="1" t="s">
        <v>14435</v>
      </c>
      <c r="B3853" s="1" t="s">
        <v>11403</v>
      </c>
      <c r="C3853" s="1" t="str">
        <f>IFERROR(VLOOKUP(B3853,'SB1'!$A$2:$B$999999,2,FALSE),"")</f>
        <v>D740/E3.5 BLACK X 3,5</v>
      </c>
      <c r="D3853" s="1" t="s">
        <v>14446</v>
      </c>
      <c r="E3853" s="3">
        <f>IFERROR(VLOOKUP(B3853,'DA1'!$B$2:$D$999999,3,FALSE),"")</f>
      </c>
      <c r="F3853" s="1" t="str">
        <f>IFERROR(VLOOKUP(B3853,'SB1'!$A$2:$C$999999,3,FALSE),"")</f>
        <v>503</v>
      </c>
      <c r="G3853" s="3" t="e">
        <f t="shared" si="133"/>
        <v>#VALUE!</v>
      </c>
      <c r="H3853" s="3" t="e">
        <f t="shared" si="134"/>
        <v>#VALUE!</v>
      </c>
      <c r="I3853" s="1">
        <v>3</v>
      </c>
    </row>
    <row r="3854" spans="1:9" x14ac:dyDescent="0.25">
      <c r="A3854" s="1" t="s">
        <v>14435</v>
      </c>
      <c r="B3854" s="1" t="s">
        <v>11405</v>
      </c>
      <c r="C3854" s="1" t="str">
        <f>IFERROR(VLOOKUP(B3854,'SB1'!$A$2:$B$999999,2,FALSE),"")</f>
        <v>D7410AL DELTRON BC BRIGHT BLUE X 1</v>
      </c>
      <c r="D3854" s="1" t="s">
        <v>14446</v>
      </c>
      <c r="E3854" s="3">
        <f>IFERROR(VLOOKUP(B3854,'DA1'!$B$2:$D$999999,3,FALSE),"")</f>
      </c>
      <c r="F3854" s="1" t="str">
        <f>IFERROR(VLOOKUP(B3854,'SB1'!$A$2:$C$999999,3,FALSE),"")</f>
        <v>503</v>
      </c>
      <c r="G3854" s="3" t="e">
        <f t="shared" si="133"/>
        <v>#VALUE!</v>
      </c>
      <c r="H3854" s="3" t="e">
        <f t="shared" si="134"/>
        <v>#VALUE!</v>
      </c>
      <c r="I3854" s="1">
        <v>3</v>
      </c>
    </row>
    <row r="3855" spans="1:9" x14ac:dyDescent="0.25">
      <c r="A3855" s="1" t="s">
        <v>14435</v>
      </c>
      <c r="B3855" s="1" t="s">
        <v>11407</v>
      </c>
      <c r="C3855" s="1" t="str">
        <f>IFERROR(VLOOKUP(B3855,'SB1'!$A$2:$B$999999,2,FALSE),"")</f>
        <v>D7440AL WARM YELLOW X 1</v>
      </c>
      <c r="D3855" s="1" t="s">
        <v>14446</v>
      </c>
      <c r="E3855" s="3">
        <f>IFERROR(VLOOKUP(B3855,'DA1'!$B$2:$D$999999,3,FALSE),"")</f>
      </c>
      <c r="F3855" s="1" t="str">
        <f>IFERROR(VLOOKUP(B3855,'SB1'!$A$2:$C$999999,3,FALSE),"")</f>
        <v>503</v>
      </c>
      <c r="G3855" s="3" t="e">
        <f t="shared" si="133"/>
        <v>#VALUE!</v>
      </c>
      <c r="H3855" s="3" t="e">
        <f t="shared" si="134"/>
        <v>#VALUE!</v>
      </c>
      <c r="I3855" s="1">
        <v>3</v>
      </c>
    </row>
    <row r="3856" spans="1:9" x14ac:dyDescent="0.25">
      <c r="A3856" s="1" t="s">
        <v>14435</v>
      </c>
      <c r="B3856" s="1" t="s">
        <v>11409</v>
      </c>
      <c r="C3856" s="1" t="str">
        <f>IFERROR(VLOOKUP(B3856,'SB1'!$A$2:$B$999999,2,FALSE),"")</f>
        <v>D7460AL DELTRON BC MAGENTA X 1</v>
      </c>
      <c r="D3856" s="1" t="s">
        <v>14446</v>
      </c>
      <c r="E3856" s="3">
        <f>IFERROR(VLOOKUP(B3856,'DA1'!$B$2:$D$999999,3,FALSE),"")</f>
      </c>
      <c r="F3856" s="1" t="str">
        <f>IFERROR(VLOOKUP(B3856,'SB1'!$A$2:$C$999999,3,FALSE),"")</f>
        <v>503</v>
      </c>
      <c r="G3856" s="3" t="e">
        <f t="shared" si="133"/>
        <v>#VALUE!</v>
      </c>
      <c r="H3856" s="3" t="e">
        <f t="shared" si="134"/>
        <v>#VALUE!</v>
      </c>
      <c r="I3856" s="1">
        <v>3</v>
      </c>
    </row>
    <row r="3857" spans="1:9" x14ac:dyDescent="0.25">
      <c r="A3857" s="1" t="s">
        <v>14435</v>
      </c>
      <c r="B3857" s="1" t="s">
        <v>11411</v>
      </c>
      <c r="C3857" s="1" t="str">
        <f>IFERROR(VLOOKUP(B3857,'SB1'!$A$2:$B$999999,2,FALSE),"")</f>
        <v>D7480AL DELTRON BC TRANSPARENT MAROON X 1</v>
      </c>
      <c r="D3857" s="1" t="s">
        <v>14446</v>
      </c>
      <c r="E3857" s="3">
        <f>IFERROR(VLOOKUP(B3857,'DA1'!$B$2:$D$999999,3,FALSE),"")</f>
      </c>
      <c r="F3857" s="1" t="str">
        <f>IFERROR(VLOOKUP(B3857,'SB1'!$A$2:$C$999999,3,FALSE),"")</f>
        <v>503</v>
      </c>
      <c r="G3857" s="3" t="e">
        <f t="shared" si="133"/>
        <v>#VALUE!</v>
      </c>
      <c r="H3857" s="3" t="e">
        <f t="shared" si="134"/>
        <v>#VALUE!</v>
      </c>
      <c r="I3857" s="1">
        <v>3</v>
      </c>
    </row>
    <row r="3858" spans="1:9" x14ac:dyDescent="0.25">
      <c r="A3858" s="1" t="s">
        <v>14435</v>
      </c>
      <c r="B3858" s="1" t="s">
        <v>11413</v>
      </c>
      <c r="C3858" s="1" t="str">
        <f>IFERROR(VLOOKUP(B3858,'SB1'!$A$2:$B$999999,2,FALSE),"")</f>
        <v>D7490AL DELTRON BC MARRON X 1</v>
      </c>
      <c r="D3858" s="1" t="s">
        <v>14446</v>
      </c>
      <c r="E3858" s="3">
        <f>IFERROR(VLOOKUP(B3858,'DA1'!$B$2:$D$999999,3,FALSE),"")</f>
      </c>
      <c r="F3858" s="1" t="str">
        <f>IFERROR(VLOOKUP(B3858,'SB1'!$A$2:$C$999999,3,FALSE),"")</f>
        <v>503</v>
      </c>
      <c r="G3858" s="3" t="e">
        <f t="shared" si="133"/>
        <v>#VALUE!</v>
      </c>
      <c r="H3858" s="3" t="e">
        <f t="shared" si="134"/>
        <v>#VALUE!</v>
      </c>
      <c r="I3858" s="1">
        <v>3</v>
      </c>
    </row>
    <row r="3859" spans="1:9" x14ac:dyDescent="0.25">
      <c r="A3859" s="1" t="s">
        <v>14435</v>
      </c>
      <c r="B3859" s="1" t="s">
        <v>11415</v>
      </c>
      <c r="C3859" s="1" t="str">
        <f>IFERROR(VLOOKUP(B3859,'SB1'!$A$2:$B$999999,2,FALSE),"")</f>
        <v>D7500AL DELTRON BC OLIVE X 1</v>
      </c>
      <c r="D3859" s="1" t="s">
        <v>14446</v>
      </c>
      <c r="E3859" s="3">
        <f>IFERROR(VLOOKUP(B3859,'DA1'!$B$2:$D$999999,3,FALSE),"")</f>
      </c>
      <c r="F3859" s="1" t="str">
        <f>IFERROR(VLOOKUP(B3859,'SB1'!$A$2:$C$999999,3,FALSE),"")</f>
        <v>503</v>
      </c>
      <c r="G3859" s="3" t="e">
        <f t="shared" si="133"/>
        <v>#VALUE!</v>
      </c>
      <c r="H3859" s="3" t="e">
        <f t="shared" si="134"/>
        <v>#VALUE!</v>
      </c>
      <c r="I3859" s="1">
        <v>3</v>
      </c>
    </row>
    <row r="3860" spans="1:9" x14ac:dyDescent="0.25">
      <c r="A3860" s="1" t="s">
        <v>14435</v>
      </c>
      <c r="B3860" s="1" t="s">
        <v>11417</v>
      </c>
      <c r="C3860" s="1" t="str">
        <f>IFERROR(VLOOKUP(B3860,'SB1'!$A$2:$B$999999,2,FALSE),"")</f>
        <v>D751/E1 DELTRON BC PERLA BLANCA X 1</v>
      </c>
      <c r="D3860" s="1" t="s">
        <v>14446</v>
      </c>
      <c r="E3860" s="3">
        <f>IFERROR(VLOOKUP(B3860,'DA1'!$B$2:$D$999999,3,FALSE),"")</f>
      </c>
      <c r="F3860" s="1" t="str">
        <f>IFERROR(VLOOKUP(B3860,'SB1'!$A$2:$C$999999,3,FALSE),"")</f>
        <v>503</v>
      </c>
      <c r="G3860" s="3" t="e">
        <f t="shared" si="133"/>
        <v>#VALUE!</v>
      </c>
      <c r="H3860" s="3" t="e">
        <f t="shared" si="134"/>
        <v>#VALUE!</v>
      </c>
      <c r="I3860" s="1">
        <v>3</v>
      </c>
    </row>
    <row r="3861" spans="1:9" x14ac:dyDescent="0.25">
      <c r="A3861" s="1" t="s">
        <v>14435</v>
      </c>
      <c r="B3861" s="1" t="s">
        <v>11419</v>
      </c>
      <c r="C3861" s="1" t="str">
        <f>IFERROR(VLOOKUP(B3861,'SB1'!$A$2:$B$999999,2,FALSE),"")</f>
        <v>D752/E1 DELTRON BC ROJO X 1</v>
      </c>
      <c r="D3861" s="1" t="s">
        <v>14446</v>
      </c>
      <c r="E3861" s="3">
        <f>IFERROR(VLOOKUP(B3861,'DA1'!$B$2:$D$999999,3,FALSE),"")</f>
      </c>
      <c r="F3861" s="1" t="str">
        <f>IFERROR(VLOOKUP(B3861,'SB1'!$A$2:$C$999999,3,FALSE),"")</f>
        <v>503</v>
      </c>
      <c r="G3861" s="3" t="e">
        <f t="shared" si="133"/>
        <v>#VALUE!</v>
      </c>
      <c r="H3861" s="3" t="e">
        <f t="shared" si="134"/>
        <v>#VALUE!</v>
      </c>
      <c r="I3861" s="1">
        <v>3</v>
      </c>
    </row>
    <row r="3862" spans="1:9" x14ac:dyDescent="0.25">
      <c r="A3862" s="1" t="s">
        <v>14435</v>
      </c>
      <c r="B3862" s="1" t="s">
        <v>11421</v>
      </c>
      <c r="C3862" s="1" t="str">
        <f>IFERROR(VLOOKUP(B3862,'SB1'!$A$2:$B$999999,2,FALSE),"")</f>
        <v>D753/E3.5 DELTRON BC BASECOAT WHITE X 3,5</v>
      </c>
      <c r="D3862" s="1" t="s">
        <v>14446</v>
      </c>
      <c r="E3862" s="3">
        <f>IFERROR(VLOOKUP(B3862,'DA1'!$B$2:$D$999999,3,FALSE),"")</f>
      </c>
      <c r="F3862" s="1" t="str">
        <f>IFERROR(VLOOKUP(B3862,'SB1'!$A$2:$C$999999,3,FALSE),"")</f>
        <v>503</v>
      </c>
      <c r="G3862" s="3" t="e">
        <f t="shared" si="133"/>
        <v>#VALUE!</v>
      </c>
      <c r="H3862" s="3" t="e">
        <f t="shared" si="134"/>
        <v>#VALUE!</v>
      </c>
      <c r="I3862" s="1">
        <v>3</v>
      </c>
    </row>
    <row r="3863" spans="1:9" x14ac:dyDescent="0.25">
      <c r="A3863" s="1" t="s">
        <v>14435</v>
      </c>
      <c r="B3863" s="1" t="s">
        <v>11423</v>
      </c>
      <c r="C3863" s="1" t="str">
        <f>IFERROR(VLOOKUP(B3863,'SB1'!$A$2:$B$999999,2,FALSE),"")</f>
        <v>D754/E1 DELTRON BC AZUL TRANSPARENTE X 1</v>
      </c>
      <c r="D3863" s="1" t="s">
        <v>14446</v>
      </c>
      <c r="E3863" s="3">
        <f>IFERROR(VLOOKUP(B3863,'DA1'!$B$2:$D$999999,3,FALSE),"")</f>
      </c>
      <c r="F3863" s="1" t="str">
        <f>IFERROR(VLOOKUP(B3863,'SB1'!$A$2:$C$999999,3,FALSE),"")</f>
        <v>503</v>
      </c>
      <c r="G3863" s="3" t="e">
        <f t="shared" si="133"/>
        <v>#VALUE!</v>
      </c>
      <c r="H3863" s="3" t="e">
        <f t="shared" si="134"/>
        <v>#VALUE!</v>
      </c>
      <c r="I3863" s="1">
        <v>3</v>
      </c>
    </row>
    <row r="3864" spans="1:9" x14ac:dyDescent="0.25">
      <c r="A3864" s="1" t="s">
        <v>14435</v>
      </c>
      <c r="B3864" s="1" t="s">
        <v>11425</v>
      </c>
      <c r="C3864" s="1" t="str">
        <f>IFERROR(VLOOKUP(B3864,'SB1'!$A$2:$B$999999,2,FALSE),"")</f>
        <v>D756/E1 DELTRON BC BLUE BLACK X 1</v>
      </c>
      <c r="D3864" s="1" t="s">
        <v>14446</v>
      </c>
      <c r="E3864" s="3">
        <f>IFERROR(VLOOKUP(B3864,'DA1'!$B$2:$D$999999,3,FALSE),"")</f>
      </c>
      <c r="F3864" s="1" t="str">
        <f>IFERROR(VLOOKUP(B3864,'SB1'!$A$2:$C$999999,3,FALSE),"")</f>
        <v>503</v>
      </c>
      <c r="G3864" s="3" t="e">
        <f t="shared" si="133"/>
        <v>#VALUE!</v>
      </c>
      <c r="H3864" s="3" t="e">
        <f t="shared" si="134"/>
        <v>#VALUE!</v>
      </c>
      <c r="I3864" s="1">
        <v>3</v>
      </c>
    </row>
    <row r="3865" spans="1:9" x14ac:dyDescent="0.25">
      <c r="A3865" s="1" t="s">
        <v>14435</v>
      </c>
      <c r="B3865" s="1" t="s">
        <v>11427</v>
      </c>
      <c r="C3865" s="1" t="str">
        <f>IFERROR(VLOOKUP(B3865,'SB1'!$A$2:$B$999999,2,FALSE),"")</f>
        <v>D7570AL DELTRON BC RUBY X 1</v>
      </c>
      <c r="D3865" s="1" t="s">
        <v>14446</v>
      </c>
      <c r="E3865" s="3">
        <f>IFERROR(VLOOKUP(B3865,'DA1'!$B$2:$D$999999,3,FALSE),"")</f>
      </c>
      <c r="F3865" s="1" t="str">
        <f>IFERROR(VLOOKUP(B3865,'SB1'!$A$2:$C$999999,3,FALSE),"")</f>
        <v>503</v>
      </c>
      <c r="G3865" s="3" t="e">
        <f t="shared" si="133"/>
        <v>#VALUE!</v>
      </c>
      <c r="H3865" s="3" t="e">
        <f t="shared" si="134"/>
        <v>#VALUE!</v>
      </c>
      <c r="I3865" s="1">
        <v>3</v>
      </c>
    </row>
    <row r="3866" spans="1:9" x14ac:dyDescent="0.25">
      <c r="A3866" s="1" t="s">
        <v>14435</v>
      </c>
      <c r="B3866" s="1" t="s">
        <v>11429</v>
      </c>
      <c r="C3866" s="1" t="str">
        <f>IFERROR(VLOOKUP(B3866,'SB1'!$A$2:$B$999999,2,FALSE),"")</f>
        <v>D759/E1 DELTRON BC BASE MATEANTE X 1</v>
      </c>
      <c r="D3866" s="1" t="s">
        <v>14446</v>
      </c>
      <c r="E3866" s="3">
        <f>IFERROR(VLOOKUP(B3866,'DA1'!$B$2:$D$999999,3,FALSE),"")</f>
      </c>
      <c r="F3866" s="1" t="str">
        <f>IFERROR(VLOOKUP(B3866,'SB1'!$A$2:$C$999999,3,FALSE),"")</f>
        <v>503</v>
      </c>
      <c r="G3866" s="3" t="e">
        <f t="shared" si="133"/>
        <v>#VALUE!</v>
      </c>
      <c r="H3866" s="3" t="e">
        <f t="shared" si="134"/>
        <v>#VALUE!</v>
      </c>
      <c r="I3866" s="1">
        <v>3</v>
      </c>
    </row>
    <row r="3867" spans="1:9" x14ac:dyDescent="0.25">
      <c r="A3867" s="1" t="s">
        <v>14435</v>
      </c>
      <c r="B3867" s="1" t="s">
        <v>11431</v>
      </c>
      <c r="C3867" s="1" t="str">
        <f>IFERROR(VLOOKUP(B3867,'SB1'!$A$2:$B$999999,2,FALSE),"")</f>
        <v>D760/E1 TRANSPARENT MID SHADE BLUE X 1</v>
      </c>
      <c r="D3867" s="1" t="s">
        <v>14446</v>
      </c>
      <c r="E3867" s="3">
        <f>IFERROR(VLOOKUP(B3867,'DA1'!$B$2:$D$999999,3,FALSE),"")</f>
      </c>
      <c r="F3867" s="1" t="str">
        <f>IFERROR(VLOOKUP(B3867,'SB1'!$A$2:$C$999999,3,FALSE),"")</f>
        <v>503</v>
      </c>
      <c r="G3867" s="3" t="e">
        <f t="shared" si="133"/>
        <v>#VALUE!</v>
      </c>
      <c r="H3867" s="3" t="e">
        <f t="shared" si="134"/>
        <v>#VALUE!</v>
      </c>
      <c r="I3867" s="1">
        <v>3</v>
      </c>
    </row>
    <row r="3868" spans="1:9" x14ac:dyDescent="0.25">
      <c r="A3868" s="1" t="s">
        <v>14435</v>
      </c>
      <c r="B3868" s="1" t="s">
        <v>11433</v>
      </c>
      <c r="C3868" s="1" t="str">
        <f>IFERROR(VLOOKUP(B3868,'SB1'!$A$2:$B$999999,2,FALSE),"")</f>
        <v>D761/E1 RICH RED BLUE X 1</v>
      </c>
      <c r="D3868" s="1" t="s">
        <v>14446</v>
      </c>
      <c r="E3868" s="3">
        <f>IFERROR(VLOOKUP(B3868,'DA1'!$B$2:$D$999999,3,FALSE),"")</f>
      </c>
      <c r="F3868" s="1" t="str">
        <f>IFERROR(VLOOKUP(B3868,'SB1'!$A$2:$C$999999,3,FALSE),"")</f>
        <v>503</v>
      </c>
      <c r="G3868" s="3" t="e">
        <f t="shared" si="133"/>
        <v>#VALUE!</v>
      </c>
      <c r="H3868" s="3" t="e">
        <f t="shared" si="134"/>
        <v>#VALUE!</v>
      </c>
      <c r="I3868" s="1">
        <v>3</v>
      </c>
    </row>
    <row r="3869" spans="1:9" x14ac:dyDescent="0.25">
      <c r="A3869" s="1" t="s">
        <v>14435</v>
      </c>
      <c r="B3869" s="1" t="s">
        <v>11435</v>
      </c>
      <c r="C3869" s="1" t="str">
        <f>IFERROR(VLOOKUP(B3869,'SB1'!$A$2:$B$999999,2,FALSE),"")</f>
        <v>D762/E1 DELTRON BC VIOLET BLUE X 1</v>
      </c>
      <c r="D3869" s="1" t="s">
        <v>14446</v>
      </c>
      <c r="E3869" s="3">
        <f>IFERROR(VLOOKUP(B3869,'DA1'!$B$2:$D$999999,3,FALSE),"")</f>
      </c>
      <c r="F3869" s="1" t="str">
        <f>IFERROR(VLOOKUP(B3869,'SB1'!$A$2:$C$999999,3,FALSE),"")</f>
        <v>503</v>
      </c>
      <c r="G3869" s="3" t="e">
        <f t="shared" si="133"/>
        <v>#VALUE!</v>
      </c>
      <c r="H3869" s="3" t="e">
        <f t="shared" si="134"/>
        <v>#VALUE!</v>
      </c>
      <c r="I3869" s="1">
        <v>3</v>
      </c>
    </row>
    <row r="3870" spans="1:9" x14ac:dyDescent="0.25">
      <c r="A3870" s="1" t="s">
        <v>14435</v>
      </c>
      <c r="B3870" s="1" t="s">
        <v>11437</v>
      </c>
      <c r="C3870" s="1" t="str">
        <f>IFERROR(VLOOKUP(B3870,'SB1'!$A$2:$B$999999,2,FALSE),"")</f>
        <v>D763/E1 DELTRON BC BLUE PEARL X 1</v>
      </c>
      <c r="D3870" s="1" t="s">
        <v>14446</v>
      </c>
      <c r="E3870" s="3">
        <f>IFERROR(VLOOKUP(B3870,'DA1'!$B$2:$D$999999,3,FALSE),"")</f>
      </c>
      <c r="F3870" s="1" t="str">
        <f>IFERROR(VLOOKUP(B3870,'SB1'!$A$2:$C$999999,3,FALSE),"")</f>
        <v>503</v>
      </c>
      <c r="G3870" s="3" t="e">
        <f t="shared" si="133"/>
        <v>#VALUE!</v>
      </c>
      <c r="H3870" s="3" t="e">
        <f t="shared" si="134"/>
        <v>#VALUE!</v>
      </c>
      <c r="I3870" s="1">
        <v>3</v>
      </c>
    </row>
    <row r="3871" spans="1:9" x14ac:dyDescent="0.25">
      <c r="A3871" s="1" t="s">
        <v>14435</v>
      </c>
      <c r="B3871" s="1" t="s">
        <v>11439</v>
      </c>
      <c r="C3871" s="1" t="str">
        <f>IFERROR(VLOOKUP(B3871,'SB1'!$A$2:$B$999999,2,FALSE),"")</f>
        <v>D7640AL DELTRON BC RED VIOLET X 1</v>
      </c>
      <c r="D3871" s="1" t="s">
        <v>14446</v>
      </c>
      <c r="E3871" s="3">
        <f>IFERROR(VLOOKUP(B3871,'DA1'!$B$2:$D$999999,3,FALSE),"")</f>
      </c>
      <c r="F3871" s="1" t="str">
        <f>IFERROR(VLOOKUP(B3871,'SB1'!$A$2:$C$999999,3,FALSE),"")</f>
        <v>503</v>
      </c>
      <c r="G3871" s="3" t="e">
        <f t="shared" si="133"/>
        <v>#VALUE!</v>
      </c>
      <c r="H3871" s="3" t="e">
        <f t="shared" si="134"/>
        <v>#VALUE!</v>
      </c>
      <c r="I3871" s="1">
        <v>3</v>
      </c>
    </row>
    <row r="3872" spans="1:9" x14ac:dyDescent="0.25">
      <c r="A3872" s="1" t="s">
        <v>14435</v>
      </c>
      <c r="B3872" s="1" t="s">
        <v>11441</v>
      </c>
      <c r="C3872" s="1" t="str">
        <f>IFERROR(VLOOKUP(B3872,'SB1'!$A$2:$B$999999,2,FALSE),"")</f>
        <v>D7650AL DELTRON BC FINE RED PEARL X 1</v>
      </c>
      <c r="D3872" s="1" t="s">
        <v>14446</v>
      </c>
      <c r="E3872" s="3">
        <f>IFERROR(VLOOKUP(B3872,'DA1'!$B$2:$D$999999,3,FALSE),"")</f>
      </c>
      <c r="F3872" s="1" t="str">
        <f>IFERROR(VLOOKUP(B3872,'SB1'!$A$2:$C$999999,3,FALSE),"")</f>
        <v>503</v>
      </c>
      <c r="G3872" s="3" t="e">
        <f t="shared" si="133"/>
        <v>#VALUE!</v>
      </c>
      <c r="H3872" s="3" t="e">
        <f t="shared" si="134"/>
        <v>#VALUE!</v>
      </c>
      <c r="I3872" s="1">
        <v>3</v>
      </c>
    </row>
    <row r="3873" spans="1:9" x14ac:dyDescent="0.25">
      <c r="A3873" s="1" t="s">
        <v>14435</v>
      </c>
      <c r="B3873" s="1" t="s">
        <v>11443</v>
      </c>
      <c r="C3873" s="1" t="str">
        <f>IFERROR(VLOOKUP(B3873,'SB1'!$A$2:$B$999999,2,FALSE),"")</f>
        <v>D7670AL DELTRON BC FINE SATIN ALUMINIUM X 1</v>
      </c>
      <c r="D3873" s="1" t="s">
        <v>14446</v>
      </c>
      <c r="E3873" s="3">
        <f>IFERROR(VLOOKUP(B3873,'DA1'!$B$2:$D$999999,3,FALSE),"")</f>
      </c>
      <c r="F3873" s="1" t="str">
        <f>IFERROR(VLOOKUP(B3873,'SB1'!$A$2:$C$999999,3,FALSE),"")</f>
        <v>503</v>
      </c>
      <c r="G3873" s="3" t="e">
        <f t="shared" si="133"/>
        <v>#VALUE!</v>
      </c>
      <c r="H3873" s="3" t="e">
        <f t="shared" si="134"/>
        <v>#VALUE!</v>
      </c>
      <c r="I3873" s="1">
        <v>3</v>
      </c>
    </row>
    <row r="3874" spans="1:9" x14ac:dyDescent="0.25">
      <c r="A3874" s="1" t="s">
        <v>14435</v>
      </c>
      <c r="B3874" s="1" t="s">
        <v>11445</v>
      </c>
      <c r="C3874" s="1" t="str">
        <f>IFERROR(VLOOKUP(B3874,'SB1'!$A$2:$B$999999,2,FALSE),"")</f>
        <v>D768/E1 DELTRON BC MEDIUM SATIN ALUMINIUM X 1</v>
      </c>
      <c r="D3874" s="1" t="s">
        <v>14446</v>
      </c>
      <c r="E3874" s="3">
        <f>IFERROR(VLOOKUP(B3874,'DA1'!$B$2:$D$999999,3,FALSE),"")</f>
      </c>
      <c r="F3874" s="1" t="str">
        <f>IFERROR(VLOOKUP(B3874,'SB1'!$A$2:$C$999999,3,FALSE),"")</f>
        <v>503</v>
      </c>
      <c r="G3874" s="3" t="e">
        <f t="shared" si="133"/>
        <v>#VALUE!</v>
      </c>
      <c r="H3874" s="3" t="e">
        <f t="shared" si="134"/>
        <v>#VALUE!</v>
      </c>
      <c r="I3874" s="1">
        <v>3</v>
      </c>
    </row>
    <row r="3875" spans="1:9" x14ac:dyDescent="0.25">
      <c r="A3875" s="1" t="s">
        <v>14435</v>
      </c>
      <c r="B3875" s="1" t="s">
        <v>11447</v>
      </c>
      <c r="C3875" s="1" t="str">
        <f>IFERROR(VLOOKUP(B3875,'SB1'!$A$2:$B$999999,2,FALSE),"")</f>
        <v>D769/E1 D769 DELTRON BC SILVER EXTRA FINE X 1</v>
      </c>
      <c r="D3875" s="1" t="s">
        <v>14446</v>
      </c>
      <c r="E3875" s="3">
        <f>IFERROR(VLOOKUP(B3875,'DA1'!$B$2:$D$999999,3,FALSE),"")</f>
      </c>
      <c r="F3875" s="1" t="str">
        <f>IFERROR(VLOOKUP(B3875,'SB1'!$A$2:$C$999999,3,FALSE),"")</f>
        <v>503</v>
      </c>
      <c r="G3875" s="3" t="e">
        <f t="shared" si="133"/>
        <v>#VALUE!</v>
      </c>
      <c r="H3875" s="3" t="e">
        <f t="shared" si="134"/>
        <v>#VALUE!</v>
      </c>
      <c r="I3875" s="1">
        <v>3</v>
      </c>
    </row>
    <row r="3876" spans="1:9" x14ac:dyDescent="0.25">
      <c r="A3876" s="1" t="s">
        <v>14435</v>
      </c>
      <c r="B3876" s="1" t="s">
        <v>11449</v>
      </c>
      <c r="C3876" s="1" t="str">
        <f>IFERROR(VLOOKUP(B3876,'SB1'!$A$2:$B$999999,2,FALSE),"")</f>
        <v>D770/E3.5 DELTRON BC ALUMINIO FINO X 3,5</v>
      </c>
      <c r="D3876" s="1" t="s">
        <v>14446</v>
      </c>
      <c r="E3876" s="3">
        <f>IFERROR(VLOOKUP(B3876,'DA1'!$B$2:$D$999999,3,FALSE),"")</f>
      </c>
      <c r="F3876" s="1" t="str">
        <f>IFERROR(VLOOKUP(B3876,'SB1'!$A$2:$C$999999,3,FALSE),"")</f>
        <v>503</v>
      </c>
      <c r="G3876" s="3" t="e">
        <f t="shared" si="133"/>
        <v>#VALUE!</v>
      </c>
      <c r="H3876" s="3" t="e">
        <f t="shared" si="134"/>
        <v>#VALUE!</v>
      </c>
      <c r="I3876" s="1">
        <v>3</v>
      </c>
    </row>
    <row r="3877" spans="1:9" x14ac:dyDescent="0.25">
      <c r="A3877" s="1" t="s">
        <v>14435</v>
      </c>
      <c r="B3877" s="1" t="s">
        <v>11451</v>
      </c>
      <c r="C3877" s="1" t="str">
        <f>IFERROR(VLOOKUP(B3877,'SB1'!$A$2:$B$999999,2,FALSE),"")</f>
        <v>D771/E3.5 DELTRON BC ALUMINIO MEDIO X 3,5</v>
      </c>
      <c r="D3877" s="1" t="s">
        <v>14446</v>
      </c>
      <c r="E3877" s="3">
        <f>IFERROR(VLOOKUP(B3877,'DA1'!$B$2:$D$999999,3,FALSE),"")</f>
      </c>
      <c r="F3877" s="1" t="str">
        <f>IFERROR(VLOOKUP(B3877,'SB1'!$A$2:$C$999999,3,FALSE),"")</f>
        <v>503</v>
      </c>
      <c r="G3877" s="3" t="e">
        <f t="shared" si="133"/>
        <v>#VALUE!</v>
      </c>
      <c r="H3877" s="3" t="e">
        <f t="shared" si="134"/>
        <v>#VALUE!</v>
      </c>
      <c r="I3877" s="1">
        <v>3</v>
      </c>
    </row>
    <row r="3878" spans="1:9" x14ac:dyDescent="0.25">
      <c r="A3878" s="1" t="s">
        <v>14435</v>
      </c>
      <c r="B3878" s="1" t="s">
        <v>11453</v>
      </c>
      <c r="C3878" s="1" t="str">
        <f>IFERROR(VLOOKUP(B3878,'SB1'!$A$2:$B$999999,2,FALSE),"")</f>
        <v>D772/E3.5 DELTRON BC ALUMINIO GRUESO X 3,5</v>
      </c>
      <c r="D3878" s="1" t="s">
        <v>14446</v>
      </c>
      <c r="E3878" s="3">
        <f>IFERROR(VLOOKUP(B3878,'DA1'!$B$2:$D$999999,3,FALSE),"")</f>
      </c>
      <c r="F3878" s="1" t="str">
        <f>IFERROR(VLOOKUP(B3878,'SB1'!$A$2:$C$999999,3,FALSE),"")</f>
        <v>503</v>
      </c>
      <c r="G3878" s="3" t="e">
        <f t="shared" si="133"/>
        <v>#VALUE!</v>
      </c>
      <c r="H3878" s="3" t="e">
        <f t="shared" si="134"/>
        <v>#VALUE!</v>
      </c>
      <c r="I3878" s="1">
        <v>3</v>
      </c>
    </row>
    <row r="3879" spans="1:9" x14ac:dyDescent="0.25">
      <c r="A3879" s="1" t="s">
        <v>14435</v>
      </c>
      <c r="B3879" s="1" t="s">
        <v>11455</v>
      </c>
      <c r="C3879" s="1" t="str">
        <f>IFERROR(VLOOKUP(B3879,'SB1'!$A$2:$B$999999,2,FALSE),"")</f>
        <v>D7760AL DELTRON BC AZUL X 1</v>
      </c>
      <c r="D3879" s="1" t="s">
        <v>14446</v>
      </c>
      <c r="E3879" s="3">
        <f>IFERROR(VLOOKUP(B3879,'DA1'!$B$2:$D$999999,3,FALSE),"")</f>
      </c>
      <c r="F3879" s="1" t="str">
        <f>IFERROR(VLOOKUP(B3879,'SB1'!$A$2:$C$999999,3,FALSE),"")</f>
        <v>503</v>
      </c>
      <c r="G3879" s="3" t="e">
        <f t="shared" si="133"/>
        <v>#VALUE!</v>
      </c>
      <c r="H3879" s="3" t="e">
        <f t="shared" si="134"/>
        <v>#VALUE!</v>
      </c>
      <c r="I3879" s="1">
        <v>3</v>
      </c>
    </row>
    <row r="3880" spans="1:9" x14ac:dyDescent="0.25">
      <c r="A3880" s="1" t="s">
        <v>14435</v>
      </c>
      <c r="B3880" s="1" t="s">
        <v>11457</v>
      </c>
      <c r="C3880" s="1" t="str">
        <f>IFERROR(VLOOKUP(B3880,'SB1'!$A$2:$B$999999,2,FALSE),"")</f>
        <v>D7770AL DELTRON BC VERDE TRANSPARENTE X 1</v>
      </c>
      <c r="D3880" s="1" t="s">
        <v>14446</v>
      </c>
      <c r="E3880" s="3">
        <f>IFERROR(VLOOKUP(B3880,'DA1'!$B$2:$D$999999,3,FALSE),"")</f>
      </c>
      <c r="F3880" s="1" t="str">
        <f>IFERROR(VLOOKUP(B3880,'SB1'!$A$2:$C$999999,3,FALSE),"")</f>
        <v>503</v>
      </c>
      <c r="G3880" s="3" t="e">
        <f t="shared" si="133"/>
        <v>#VALUE!</v>
      </c>
      <c r="H3880" s="3" t="e">
        <f t="shared" si="134"/>
        <v>#VALUE!</v>
      </c>
      <c r="I3880" s="1">
        <v>3</v>
      </c>
    </row>
    <row r="3881" spans="1:9" x14ac:dyDescent="0.25">
      <c r="A3881" s="1" t="s">
        <v>14435</v>
      </c>
      <c r="B3881" s="1" t="s">
        <v>11459</v>
      </c>
      <c r="C3881" s="1" t="str">
        <f>IFERROR(VLOOKUP(B3881,'SB1'!$A$2:$B$999999,2,FALSE),"")</f>
        <v>D7780AL YELLOW OXIDE X 1</v>
      </c>
      <c r="D3881" s="1" t="s">
        <v>14446</v>
      </c>
      <c r="E3881" s="3">
        <f>IFERROR(VLOOKUP(B3881,'DA1'!$B$2:$D$999999,3,FALSE),"")</f>
      </c>
      <c r="F3881" s="1" t="str">
        <f>IFERROR(VLOOKUP(B3881,'SB1'!$A$2:$C$999999,3,FALSE),"")</f>
        <v>503</v>
      </c>
      <c r="G3881" s="3" t="e">
        <f t="shared" si="133"/>
        <v>#VALUE!</v>
      </c>
      <c r="H3881" s="3" t="e">
        <f t="shared" si="134"/>
        <v>#VALUE!</v>
      </c>
      <c r="I3881" s="1">
        <v>3</v>
      </c>
    </row>
    <row r="3882" spans="1:9" x14ac:dyDescent="0.25">
      <c r="A3882" s="1" t="s">
        <v>14435</v>
      </c>
      <c r="B3882" s="1" t="s">
        <v>11461</v>
      </c>
      <c r="C3882" s="1" t="str">
        <f>IFERROR(VLOOKUP(B3882,'SB1'!$A$2:$B$999999,2,FALSE),"")</f>
        <v>D7790AL DELTRON BC ROJO OXIDO X 1</v>
      </c>
      <c r="D3882" s="1" t="s">
        <v>14446</v>
      </c>
      <c r="E3882" s="3">
        <f>IFERROR(VLOOKUP(B3882,'DA1'!$B$2:$D$999999,3,FALSE),"")</f>
      </c>
      <c r="F3882" s="1" t="str">
        <f>IFERROR(VLOOKUP(B3882,'SB1'!$A$2:$C$999999,3,FALSE),"")</f>
        <v>503</v>
      </c>
      <c r="G3882" s="3" t="e">
        <f t="shared" si="133"/>
        <v>#VALUE!</v>
      </c>
      <c r="H3882" s="3" t="e">
        <f t="shared" si="134"/>
        <v>#VALUE!</v>
      </c>
      <c r="I3882" s="1">
        <v>3</v>
      </c>
    </row>
    <row r="3883" spans="1:9" x14ac:dyDescent="0.25">
      <c r="A3883" s="1" t="s">
        <v>14435</v>
      </c>
      <c r="B3883" s="1" t="s">
        <v>11463</v>
      </c>
      <c r="C3883" s="1" t="str">
        <f>IFERROR(VLOOKUP(B3883,'SB1'!$A$2:$B$999999,2,FALSE),"")</f>
        <v>D7800AL DELTRON BC AMARILLO BRILLANTE X 1</v>
      </c>
      <c r="D3883" s="1" t="s">
        <v>14446</v>
      </c>
      <c r="E3883" s="3">
        <f>IFERROR(VLOOKUP(B3883,'DA1'!$B$2:$D$999999,3,FALSE),"")</f>
      </c>
      <c r="F3883" s="1" t="str">
        <f>IFERROR(VLOOKUP(B3883,'SB1'!$A$2:$C$999999,3,FALSE),"")</f>
        <v>503</v>
      </c>
      <c r="G3883" s="3" t="e">
        <f t="shared" si="133"/>
        <v>#VALUE!</v>
      </c>
      <c r="H3883" s="3" t="e">
        <f t="shared" si="134"/>
        <v>#VALUE!</v>
      </c>
      <c r="I3883" s="1">
        <v>3</v>
      </c>
    </row>
    <row r="3884" spans="1:9" x14ac:dyDescent="0.25">
      <c r="A3884" s="1" t="s">
        <v>14435</v>
      </c>
      <c r="B3884" s="1" t="s">
        <v>11465</v>
      </c>
      <c r="C3884" s="1" t="str">
        <f>IFERROR(VLOOKUP(B3884,'SB1'!$A$2:$B$999999,2,FALSE),"")</f>
        <v>D789/E3.5 DELTRON BC JET BLACK X 3,5</v>
      </c>
      <c r="D3884" s="1" t="s">
        <v>14446</v>
      </c>
      <c r="E3884" s="3">
        <f>IFERROR(VLOOKUP(B3884,'DA1'!$B$2:$D$999999,3,FALSE),"")</f>
      </c>
      <c r="F3884" s="1" t="str">
        <f>IFERROR(VLOOKUP(B3884,'SB1'!$A$2:$C$999999,3,FALSE),"")</f>
        <v>503</v>
      </c>
      <c r="G3884" s="3" t="e">
        <f t="shared" si="133"/>
        <v>#VALUE!</v>
      </c>
      <c r="H3884" s="3" t="e">
        <f t="shared" si="134"/>
        <v>#VALUE!</v>
      </c>
      <c r="I3884" s="1">
        <v>3</v>
      </c>
    </row>
    <row r="3885" spans="1:9" x14ac:dyDescent="0.25">
      <c r="A3885" s="1" t="s">
        <v>14435</v>
      </c>
      <c r="B3885" s="1" t="s">
        <v>11467</v>
      </c>
      <c r="C3885" s="1" t="str">
        <f>IFERROR(VLOOKUP(B3885,'SB1'!$A$2:$B$999999,2,FALSE),"")</f>
        <v>D7900AL DELTRON BC TRANSPARENT ORANGE X 1</v>
      </c>
      <c r="D3885" s="1" t="s">
        <v>14446</v>
      </c>
      <c r="E3885" s="3">
        <f>IFERROR(VLOOKUP(B3885,'DA1'!$B$2:$D$999999,3,FALSE),"")</f>
      </c>
      <c r="F3885" s="1" t="str">
        <f>IFERROR(VLOOKUP(B3885,'SB1'!$A$2:$C$999999,3,FALSE),"")</f>
        <v>503</v>
      </c>
      <c r="G3885" s="3" t="e">
        <f t="shared" si="133"/>
        <v>#VALUE!</v>
      </c>
      <c r="H3885" s="3" t="e">
        <f t="shared" si="134"/>
        <v>#VALUE!</v>
      </c>
      <c r="I3885" s="1">
        <v>3</v>
      </c>
    </row>
    <row r="3886" spans="1:9" x14ac:dyDescent="0.25">
      <c r="A3886" s="1" t="s">
        <v>14435</v>
      </c>
      <c r="B3886" s="1" t="s">
        <v>11469</v>
      </c>
      <c r="C3886" s="1" t="str">
        <f>IFERROR(VLOOKUP(B3886,'SB1'!$A$2:$B$999999,2,FALSE),"")</f>
        <v>D7920AL DELTRON BC NARANJA LUMINOSO X 1</v>
      </c>
      <c r="D3886" s="1" t="s">
        <v>14446</v>
      </c>
      <c r="E3886" s="3">
        <f>IFERROR(VLOOKUP(B3886,'DA1'!$B$2:$D$999999,3,FALSE),"")</f>
      </c>
      <c r="F3886" s="1" t="str">
        <f>IFERROR(VLOOKUP(B3886,'SB1'!$A$2:$C$999999,3,FALSE),"")</f>
        <v>503</v>
      </c>
      <c r="G3886" s="3" t="e">
        <f t="shared" si="133"/>
        <v>#VALUE!</v>
      </c>
      <c r="H3886" s="3" t="e">
        <f t="shared" si="134"/>
        <v>#VALUE!</v>
      </c>
      <c r="I3886" s="1">
        <v>3</v>
      </c>
    </row>
    <row r="3887" spans="1:9" x14ac:dyDescent="0.25">
      <c r="A3887" s="1" t="s">
        <v>14435</v>
      </c>
      <c r="B3887" s="1" t="s">
        <v>11471</v>
      </c>
      <c r="C3887" s="1" t="str">
        <f>IFERROR(VLOOKUP(B3887,'SB1'!$A$2:$B$999999,2,FALSE),"")</f>
        <v>D7930AL DELTRON BC BRIGHT RED PEARL X 1</v>
      </c>
      <c r="D3887" s="1" t="s">
        <v>14446</v>
      </c>
      <c r="E3887" s="3">
        <f>IFERROR(VLOOKUP(B3887,'DA1'!$B$2:$D$999999,3,FALSE),"")</f>
      </c>
      <c r="F3887" s="1" t="str">
        <f>IFERROR(VLOOKUP(B3887,'SB1'!$A$2:$C$999999,3,FALSE),"")</f>
        <v>503</v>
      </c>
      <c r="G3887" s="3" t="e">
        <f t="shared" si="133"/>
        <v>#VALUE!</v>
      </c>
      <c r="H3887" s="3" t="e">
        <f t="shared" si="134"/>
        <v>#VALUE!</v>
      </c>
      <c r="I3887" s="1">
        <v>3</v>
      </c>
    </row>
    <row r="3888" spans="1:9" x14ac:dyDescent="0.25">
      <c r="A3888" s="1" t="s">
        <v>14435</v>
      </c>
      <c r="B3888" s="1" t="s">
        <v>11473</v>
      </c>
      <c r="C3888" s="1" t="str">
        <f>IFERROR(VLOOKUP(B3888,'SB1'!$A$2:$B$999999,2,FALSE),"")</f>
        <v>D7940AL DELTRON BC VERDANT YELLOW X 1</v>
      </c>
      <c r="D3888" s="1" t="s">
        <v>14446</v>
      </c>
      <c r="E3888" s="3">
        <f>IFERROR(VLOOKUP(B3888,'DA1'!$B$2:$D$999999,3,FALSE),"")</f>
      </c>
      <c r="F3888" s="1" t="str">
        <f>IFERROR(VLOOKUP(B3888,'SB1'!$A$2:$C$999999,3,FALSE),"")</f>
        <v>503</v>
      </c>
      <c r="G3888" s="3" t="e">
        <f t="shared" si="133"/>
        <v>#VALUE!</v>
      </c>
      <c r="H3888" s="3" t="e">
        <f t="shared" si="134"/>
        <v>#VALUE!</v>
      </c>
      <c r="I3888" s="1">
        <v>3</v>
      </c>
    </row>
    <row r="3889" spans="1:9" x14ac:dyDescent="0.25">
      <c r="A3889" s="1" t="s">
        <v>14435</v>
      </c>
      <c r="B3889" s="1" t="s">
        <v>11475</v>
      </c>
      <c r="C3889" s="1" t="str">
        <f>IFERROR(VLOOKUP(B3889,'SB1'!$A$2:$B$999999,2,FALSE),"")</f>
        <v>D7970AL DELTRON BC VERDE PTHALO X 1</v>
      </c>
      <c r="D3889" s="1" t="s">
        <v>14446</v>
      </c>
      <c r="E3889" s="3">
        <f>IFERROR(VLOOKUP(B3889,'DA1'!$B$2:$D$999999,3,FALSE),"")</f>
      </c>
      <c r="F3889" s="1" t="str">
        <f>IFERROR(VLOOKUP(B3889,'SB1'!$A$2:$C$999999,3,FALSE),"")</f>
        <v>503</v>
      </c>
      <c r="G3889" s="3" t="e">
        <f t="shared" si="133"/>
        <v>#VALUE!</v>
      </c>
      <c r="H3889" s="3" t="e">
        <f t="shared" si="134"/>
        <v>#VALUE!</v>
      </c>
      <c r="I3889" s="1">
        <v>3</v>
      </c>
    </row>
    <row r="3890" spans="1:9" x14ac:dyDescent="0.25">
      <c r="A3890" s="1" t="s">
        <v>14435</v>
      </c>
      <c r="B3890" s="1" t="s">
        <v>11477</v>
      </c>
      <c r="C3890" s="1" t="str">
        <f>IFERROR(VLOOKUP(B3890,'SB1'!$A$2:$B$999999,2,FALSE),"")</f>
        <v>D8950AL DELTRON BC COLOR BLENDER X 1</v>
      </c>
      <c r="D3890" s="1" t="s">
        <v>14446</v>
      </c>
      <c r="E3890" s="3">
        <f>IFERROR(VLOOKUP(B3890,'DA1'!$B$2:$D$999999,3,FALSE),"")</f>
      </c>
      <c r="F3890" s="1" t="str">
        <f>IFERROR(VLOOKUP(B3890,'SB1'!$A$2:$C$999999,3,FALSE),"")</f>
        <v>503</v>
      </c>
      <c r="G3890" s="3" t="e">
        <f t="shared" si="133"/>
        <v>#VALUE!</v>
      </c>
      <c r="H3890" s="3" t="e">
        <f t="shared" si="134"/>
        <v>#VALUE!</v>
      </c>
      <c r="I3890" s="1">
        <v>3</v>
      </c>
    </row>
    <row r="3891" spans="1:9" x14ac:dyDescent="0.25">
      <c r="A3891" s="1" t="s">
        <v>14435</v>
      </c>
      <c r="B3891" s="1" t="s">
        <v>11479</v>
      </c>
      <c r="C3891" s="1" t="str">
        <f>IFERROR(VLOOKUP(B3891,'SB1'!$A$2:$B$999999,2,FALSE),"")</f>
        <v>D9021/E0.35 DELTRON BC VIOLA FANTASY X 0,350</v>
      </c>
      <c r="D3891" s="1" t="s">
        <v>14446</v>
      </c>
      <c r="E3891" s="3">
        <f>IFERROR(VLOOKUP(B3891,'DA1'!$B$2:$D$999999,3,FALSE),"")</f>
      </c>
      <c r="F3891" s="1" t="str">
        <f>IFERROR(VLOOKUP(B3891,'SB1'!$A$2:$C$999999,3,FALSE),"")</f>
        <v>503</v>
      </c>
      <c r="G3891" s="3" t="e">
        <f t="shared" si="133"/>
        <v>#VALUE!</v>
      </c>
      <c r="H3891" s="3" t="e">
        <f t="shared" si="134"/>
        <v>#VALUE!</v>
      </c>
      <c r="I3891" s="1">
        <v>3</v>
      </c>
    </row>
    <row r="3892" spans="1:9" x14ac:dyDescent="0.25">
      <c r="A3892" s="1" t="s">
        <v>14435</v>
      </c>
      <c r="B3892" s="1" t="s">
        <v>11481</v>
      </c>
      <c r="C3892" s="1" t="str">
        <f>IFERROR(VLOOKUP(B3892,'SB1'!$A$2:$B$999999,2,FALSE),"")</f>
        <v>D9037/E0.35 DELTRON BC TROPIC SUNRISE X 0,350</v>
      </c>
      <c r="D3892" s="1" t="s">
        <v>14446</v>
      </c>
      <c r="E3892" s="3">
        <f>IFERROR(VLOOKUP(B3892,'DA1'!$B$2:$D$999999,3,FALSE),"")</f>
      </c>
      <c r="F3892" s="1" t="str">
        <f>IFERROR(VLOOKUP(B3892,'SB1'!$A$2:$C$999999,3,FALSE),"")</f>
        <v>503</v>
      </c>
      <c r="G3892" s="3" t="e">
        <f t="shared" si="133"/>
        <v>#VALUE!</v>
      </c>
      <c r="H3892" s="3" t="e">
        <f t="shared" si="134"/>
        <v>#VALUE!</v>
      </c>
      <c r="I3892" s="1">
        <v>3</v>
      </c>
    </row>
    <row r="3893" spans="1:9" x14ac:dyDescent="0.25">
      <c r="A3893" s="1" t="s">
        <v>14435</v>
      </c>
      <c r="B3893" s="1" t="s">
        <v>11483</v>
      </c>
      <c r="C3893" s="1" t="str">
        <f>IFERROR(VLOOKUP(B3893,'SB1'!$A$2:$B$999999,2,FALSE),"")</f>
        <v>D9420AL DELTRON BC GRAPHITE BLACK X 1</v>
      </c>
      <c r="D3893" s="1" t="s">
        <v>14446</v>
      </c>
      <c r="E3893" s="3">
        <f>IFERROR(VLOOKUP(B3893,'DA1'!$B$2:$D$999999,3,FALSE),"")</f>
      </c>
      <c r="F3893" s="1" t="str">
        <f>IFERROR(VLOOKUP(B3893,'SB1'!$A$2:$C$999999,3,FALSE),"")</f>
        <v>503</v>
      </c>
      <c r="G3893" s="3" t="e">
        <f t="shared" si="133"/>
        <v>#VALUE!</v>
      </c>
      <c r="H3893" s="3" t="e">
        <f t="shared" si="134"/>
        <v>#VALUE!</v>
      </c>
      <c r="I3893" s="1">
        <v>3</v>
      </c>
    </row>
    <row r="3894" spans="1:9" x14ac:dyDescent="0.25">
      <c r="A3894" s="1" t="s">
        <v>14435</v>
      </c>
      <c r="B3894" s="1" t="s">
        <v>11485</v>
      </c>
      <c r="C3894" s="1" t="str">
        <f>IFERROR(VLOOKUP(B3894,'SB1'!$A$2:$B$999999,2,FALSE),"")</f>
        <v>D9430AL DELTRON BC FINE BLUE PEARL X 1</v>
      </c>
      <c r="D3894" s="1" t="s">
        <v>14446</v>
      </c>
      <c r="E3894" s="3">
        <f>IFERROR(VLOOKUP(B3894,'DA1'!$B$2:$D$999999,3,FALSE),"")</f>
      </c>
      <c r="F3894" s="1" t="str">
        <f>IFERROR(VLOOKUP(B3894,'SB1'!$A$2:$C$999999,3,FALSE),"")</f>
        <v>503</v>
      </c>
      <c r="G3894" s="3" t="e">
        <f t="shared" si="133"/>
        <v>#VALUE!</v>
      </c>
      <c r="H3894" s="3" t="e">
        <f t="shared" si="134"/>
        <v>#VALUE!</v>
      </c>
      <c r="I3894" s="1">
        <v>3</v>
      </c>
    </row>
    <row r="3895" spans="1:9" x14ac:dyDescent="0.25">
      <c r="A3895" s="1" t="s">
        <v>14435</v>
      </c>
      <c r="B3895" s="1" t="s">
        <v>11487</v>
      </c>
      <c r="C3895" s="1" t="str">
        <f>IFERROR(VLOOKUP(B3895,'SB1'!$A$2:$B$999999,2,FALSE),"")</f>
        <v>D9440AL DELTRON BC ALUM. DORADO GRANO MEDIO X 1</v>
      </c>
      <c r="D3895" s="1" t="s">
        <v>14446</v>
      </c>
      <c r="E3895" s="3">
        <f>IFERROR(VLOOKUP(B3895,'DA1'!$B$2:$D$999999,3,FALSE),"")</f>
      </c>
      <c r="F3895" s="1" t="str">
        <f>IFERROR(VLOOKUP(B3895,'SB1'!$A$2:$C$999999,3,FALSE),"")</f>
        <v>503</v>
      </c>
      <c r="G3895" s="3" t="e">
        <f t="shared" si="133"/>
        <v>#VALUE!</v>
      </c>
      <c r="H3895" s="3" t="e">
        <f t="shared" si="134"/>
        <v>#VALUE!</v>
      </c>
      <c r="I3895" s="1">
        <v>3</v>
      </c>
    </row>
    <row r="3896" spans="1:9" x14ac:dyDescent="0.25">
      <c r="A3896" s="1" t="s">
        <v>14435</v>
      </c>
      <c r="B3896" s="1" t="s">
        <v>11489</v>
      </c>
      <c r="C3896" s="1" t="str">
        <f>IFERROR(VLOOKUP(B3896,'SB1'!$A$2:$B$999999,2,FALSE),"")</f>
        <v>D945/E1 DELTRON BC PERLA AMARILLO ORO X 1</v>
      </c>
      <c r="D3896" s="1" t="s">
        <v>14446</v>
      </c>
      <c r="E3896" s="3">
        <f>IFERROR(VLOOKUP(B3896,'DA1'!$B$2:$D$999999,3,FALSE),"")</f>
      </c>
      <c r="F3896" s="1" t="str">
        <f>IFERROR(VLOOKUP(B3896,'SB1'!$A$2:$C$999999,3,FALSE),"")</f>
        <v>503</v>
      </c>
      <c r="G3896" s="3" t="e">
        <f t="shared" si="133"/>
        <v>#VALUE!</v>
      </c>
      <c r="H3896" s="3" t="e">
        <f t="shared" si="134"/>
        <v>#VALUE!</v>
      </c>
      <c r="I3896" s="1">
        <v>3</v>
      </c>
    </row>
    <row r="3897" spans="1:9" x14ac:dyDescent="0.25">
      <c r="A3897" s="1" t="s">
        <v>14435</v>
      </c>
      <c r="B3897" s="1" t="s">
        <v>11491</v>
      </c>
      <c r="C3897" s="1" t="str">
        <f>IFERROR(VLOOKUP(B3897,'SB1'!$A$2:$B$999999,2,FALSE),"")</f>
        <v>D946/E3.5 DELTRON BC ALUM.LENTIC.  EXTRA FINO X 3,5</v>
      </c>
      <c r="D3897" s="1" t="s">
        <v>14446</v>
      </c>
      <c r="E3897" s="3">
        <f>IFERROR(VLOOKUP(B3897,'DA1'!$B$2:$D$999999,3,FALSE),"")</f>
      </c>
      <c r="F3897" s="1" t="str">
        <f>IFERROR(VLOOKUP(B3897,'SB1'!$A$2:$C$999999,3,FALSE),"")</f>
        <v>503</v>
      </c>
      <c r="G3897" s="3" t="e">
        <f t="shared" si="133"/>
        <v>#VALUE!</v>
      </c>
      <c r="H3897" s="3" t="e">
        <f t="shared" si="134"/>
        <v>#VALUE!</v>
      </c>
      <c r="I3897" s="1">
        <v>3</v>
      </c>
    </row>
    <row r="3898" spans="1:9" x14ac:dyDescent="0.25">
      <c r="A3898" s="1" t="s">
        <v>14435</v>
      </c>
      <c r="B3898" s="1" t="s">
        <v>11493</v>
      </c>
      <c r="C3898" s="1" t="str">
        <f>IFERROR(VLOOKUP(B3898,'SB1'!$A$2:$B$999999,2,FALSE),"")</f>
        <v>D952/E3.5 DELTRON BC ALUM. LENTICULAR FINO X 3,5</v>
      </c>
      <c r="D3898" s="1" t="s">
        <v>14446</v>
      </c>
      <c r="E3898" s="3">
        <f>IFERROR(VLOOKUP(B3898,'DA1'!$B$2:$D$999999,3,FALSE),"")</f>
      </c>
      <c r="F3898" s="1" t="str">
        <f>IFERROR(VLOOKUP(B3898,'SB1'!$A$2:$C$999999,3,FALSE),"")</f>
        <v>503</v>
      </c>
      <c r="G3898" s="3" t="e">
        <f t="shared" si="133"/>
        <v>#VALUE!</v>
      </c>
      <c r="H3898" s="3" t="e">
        <f t="shared" si="134"/>
        <v>#VALUE!</v>
      </c>
      <c r="I3898" s="1">
        <v>3</v>
      </c>
    </row>
    <row r="3899" spans="1:9" x14ac:dyDescent="0.25">
      <c r="A3899" s="1" t="s">
        <v>14435</v>
      </c>
      <c r="B3899" s="1" t="s">
        <v>11495</v>
      </c>
      <c r="C3899" s="1" t="str">
        <f>IFERROR(VLOOKUP(B3899,'SB1'!$A$2:$B$999999,2,FALSE),"")</f>
        <v>D953/E1 DELTRON BC ALUM. LENTICULAR GRUESO X 1</v>
      </c>
      <c r="D3899" s="1" t="s">
        <v>14446</v>
      </c>
      <c r="E3899" s="3">
        <f>IFERROR(VLOOKUP(B3899,'DA1'!$B$2:$D$999999,3,FALSE),"")</f>
      </c>
      <c r="F3899" s="1" t="str">
        <f>IFERROR(VLOOKUP(B3899,'SB1'!$A$2:$C$999999,3,FALSE),"")</f>
        <v>503</v>
      </c>
      <c r="G3899" s="3" t="e">
        <f t="shared" si="133"/>
        <v>#VALUE!</v>
      </c>
      <c r="H3899" s="3" t="e">
        <f t="shared" si="134"/>
        <v>#VALUE!</v>
      </c>
      <c r="I3899" s="1">
        <v>3</v>
      </c>
    </row>
    <row r="3900" spans="1:9" x14ac:dyDescent="0.25">
      <c r="A3900" s="1" t="s">
        <v>14435</v>
      </c>
      <c r="B3900" s="1" t="s">
        <v>11497</v>
      </c>
      <c r="C3900" s="1" t="str">
        <f>IFERROR(VLOOKUP(B3900,'SB1'!$A$2:$B$999999,2,FALSE),"")</f>
        <v>D9540AL DELTRON BC EXTRA FINE WHITE PEARL X 1</v>
      </c>
      <c r="D3900" s="1" t="s">
        <v>14446</v>
      </c>
      <c r="E3900" s="3">
        <f>IFERROR(VLOOKUP(B3900,'DA1'!$B$2:$D$999999,3,FALSE),"")</f>
      </c>
      <c r="F3900" s="1" t="str">
        <f>IFERROR(VLOOKUP(B3900,'SB1'!$A$2:$C$999999,3,FALSE),"")</f>
        <v>503</v>
      </c>
      <c r="G3900" s="3" t="e">
        <f t="shared" si="133"/>
        <v>#VALUE!</v>
      </c>
      <c r="H3900" s="3" t="e">
        <f t="shared" si="134"/>
        <v>#VALUE!</v>
      </c>
      <c r="I3900" s="1">
        <v>3</v>
      </c>
    </row>
    <row r="3901" spans="1:9" x14ac:dyDescent="0.25">
      <c r="A3901" s="1" t="s">
        <v>14435</v>
      </c>
      <c r="B3901" s="1" t="s">
        <v>11499</v>
      </c>
      <c r="C3901" s="1" t="str">
        <f>IFERROR(VLOOKUP(B3901,'SB1'!$A$2:$B$999999,2,FALSE),"")</f>
        <v>D9550AL DELTRON BC PERLA COBRE X 1</v>
      </c>
      <c r="D3901" s="1" t="s">
        <v>14446</v>
      </c>
      <c r="E3901" s="3">
        <f>IFERROR(VLOOKUP(B3901,'DA1'!$B$2:$D$999999,3,FALSE),"")</f>
      </c>
      <c r="F3901" s="1" t="str">
        <f>IFERROR(VLOOKUP(B3901,'SB1'!$A$2:$C$999999,3,FALSE),"")</f>
        <v>503</v>
      </c>
      <c r="G3901" s="3" t="e">
        <f t="shared" si="133"/>
        <v>#VALUE!</v>
      </c>
      <c r="H3901" s="3" t="e">
        <f t="shared" si="134"/>
        <v>#VALUE!</v>
      </c>
      <c r="I3901" s="1">
        <v>3</v>
      </c>
    </row>
    <row r="3902" spans="1:9" x14ac:dyDescent="0.25">
      <c r="A3902" s="1" t="s">
        <v>14435</v>
      </c>
      <c r="B3902" s="1" t="s">
        <v>11501</v>
      </c>
      <c r="C3902" s="1" t="str">
        <f>IFERROR(VLOOKUP(B3902,'SB1'!$A$2:$B$999999,2,FALSE),"")</f>
        <v>D9560AL DELTRON BC PERLA AMARILLA X 1</v>
      </c>
      <c r="D3902" s="1" t="s">
        <v>14446</v>
      </c>
      <c r="E3902" s="3">
        <f>IFERROR(VLOOKUP(B3902,'DA1'!$B$2:$D$999999,3,FALSE),"")</f>
      </c>
      <c r="F3902" s="1" t="str">
        <f>IFERROR(VLOOKUP(B3902,'SB1'!$A$2:$C$999999,3,FALSE),"")</f>
        <v>503</v>
      </c>
      <c r="G3902" s="3" t="e">
        <f t="shared" si="133"/>
        <v>#VALUE!</v>
      </c>
      <c r="H3902" s="3" t="e">
        <f t="shared" si="134"/>
        <v>#VALUE!</v>
      </c>
      <c r="I3902" s="1">
        <v>3</v>
      </c>
    </row>
    <row r="3903" spans="1:9" x14ac:dyDescent="0.25">
      <c r="A3903" s="1" t="s">
        <v>14435</v>
      </c>
      <c r="B3903" s="1" t="s">
        <v>11503</v>
      </c>
      <c r="C3903" s="1" t="str">
        <f>IFERROR(VLOOKUP(B3903,'SB1'!$A$2:$B$999999,2,FALSE),"")</f>
        <v>D9570AL DELTRON BC PERLA VERDE X 1</v>
      </c>
      <c r="D3903" s="1" t="s">
        <v>14446</v>
      </c>
      <c r="E3903" s="3">
        <f>IFERROR(VLOOKUP(B3903,'DA1'!$B$2:$D$999999,3,FALSE),"")</f>
      </c>
      <c r="F3903" s="1" t="str">
        <f>IFERROR(VLOOKUP(B3903,'SB1'!$A$2:$C$999999,3,FALSE),"")</f>
        <v>503</v>
      </c>
      <c r="G3903" s="3" t="e">
        <f t="shared" si="133"/>
        <v>#VALUE!</v>
      </c>
      <c r="H3903" s="3" t="e">
        <f t="shared" si="134"/>
        <v>#VALUE!</v>
      </c>
      <c r="I3903" s="1">
        <v>3</v>
      </c>
    </row>
    <row r="3904" spans="1:9" x14ac:dyDescent="0.25">
      <c r="A3904" s="1" t="s">
        <v>14435</v>
      </c>
      <c r="B3904" s="1" t="s">
        <v>11505</v>
      </c>
      <c r="C3904" s="1" t="str">
        <f>IFERROR(VLOOKUP(B3904,'SB1'!$A$2:$B$999999,2,FALSE),"")</f>
        <v>D9580AL DELTRON BC PERLA VIOLETA X 1</v>
      </c>
      <c r="D3904" s="1" t="s">
        <v>14446</v>
      </c>
      <c r="E3904" s="3">
        <f>IFERROR(VLOOKUP(B3904,'DA1'!$B$2:$D$999999,3,FALSE),"")</f>
      </c>
      <c r="F3904" s="1" t="str">
        <f>IFERROR(VLOOKUP(B3904,'SB1'!$A$2:$C$999999,3,FALSE),"")</f>
        <v>503</v>
      </c>
      <c r="G3904" s="3" t="e">
        <f t="shared" si="133"/>
        <v>#VALUE!</v>
      </c>
      <c r="H3904" s="3" t="e">
        <f t="shared" si="134"/>
        <v>#VALUE!</v>
      </c>
      <c r="I3904" s="1">
        <v>3</v>
      </c>
    </row>
    <row r="3905" spans="1:9" x14ac:dyDescent="0.25">
      <c r="A3905" s="1" t="s">
        <v>14435</v>
      </c>
      <c r="B3905" s="1" t="s">
        <v>11507</v>
      </c>
      <c r="C3905" s="1" t="str">
        <f>IFERROR(VLOOKUP(B3905,'SB1'!$A$2:$B$999999,2,FALSE),"")</f>
        <v>D9590AL DELTRON BC ULTRA FINE WHITE X 1</v>
      </c>
      <c r="D3905" s="1" t="s">
        <v>14446</v>
      </c>
      <c r="E3905" s="3">
        <f>IFERROR(VLOOKUP(B3905,'DA1'!$B$2:$D$999999,3,FALSE),"")</f>
      </c>
      <c r="F3905" s="1" t="str">
        <f>IFERROR(VLOOKUP(B3905,'SB1'!$A$2:$C$999999,3,FALSE),"")</f>
        <v>503</v>
      </c>
      <c r="G3905" s="3" t="e">
        <f t="shared" si="133"/>
        <v>#VALUE!</v>
      </c>
      <c r="H3905" s="3" t="e">
        <f t="shared" si="134"/>
        <v>#VALUE!</v>
      </c>
      <c r="I3905" s="1">
        <v>3</v>
      </c>
    </row>
    <row r="3906" spans="1:9" x14ac:dyDescent="0.25">
      <c r="A3906" s="1" t="s">
        <v>14435</v>
      </c>
      <c r="B3906" s="1" t="s">
        <v>11509</v>
      </c>
      <c r="C3906" s="1" t="str">
        <f>IFERROR(VLOOKUP(B3906,'SB1'!$A$2:$B$999999,2,FALSE),"")</f>
        <v>D9600AL DELTRON BC PERLA ROJA X 1</v>
      </c>
      <c r="D3906" s="1" t="s">
        <v>14446</v>
      </c>
      <c r="E3906" s="3">
        <f>IFERROR(VLOOKUP(B3906,'DA1'!$B$2:$D$999999,3,FALSE),"")</f>
      </c>
      <c r="F3906" s="1" t="str">
        <f>IFERROR(VLOOKUP(B3906,'SB1'!$A$2:$C$999999,3,FALSE),"")</f>
        <v>503</v>
      </c>
      <c r="G3906" s="3" t="e">
        <f t="shared" si="133"/>
        <v>#VALUE!</v>
      </c>
      <c r="H3906" s="3" t="e">
        <f t="shared" si="134"/>
        <v>#VALUE!</v>
      </c>
      <c r="I3906" s="1">
        <v>3</v>
      </c>
    </row>
    <row r="3907" spans="1:9" x14ac:dyDescent="0.25">
      <c r="A3907" s="1" t="s">
        <v>14435</v>
      </c>
      <c r="B3907" s="1" t="s">
        <v>11511</v>
      </c>
      <c r="C3907" s="1" t="str">
        <f>IFERROR(VLOOKUP(B3907,'SB1'!$A$2:$B$999999,2,FALSE),"")</f>
        <v>D9640AL AMARILLO LUMINOSO X 1</v>
      </c>
      <c r="D3907" s="1" t="s">
        <v>14446</v>
      </c>
      <c r="E3907" s="3">
        <f>IFERROR(VLOOKUP(B3907,'DA1'!$B$2:$D$999999,3,FALSE),"")</f>
      </c>
      <c r="F3907" s="1" t="str">
        <f>IFERROR(VLOOKUP(B3907,'SB1'!$A$2:$C$999999,3,FALSE),"")</f>
        <v>503</v>
      </c>
      <c r="G3907" s="3" t="e">
        <f t="shared" ref="G3907:G3970" si="135">E3907*1.04</f>
        <v>#VALUE!</v>
      </c>
      <c r="H3907" s="3" t="e">
        <f t="shared" si="134"/>
        <v>#VALUE!</v>
      </c>
      <c r="I3907" s="1">
        <v>3</v>
      </c>
    </row>
    <row r="3908" spans="1:9" x14ac:dyDescent="0.25">
      <c r="A3908" s="1" t="s">
        <v>14435</v>
      </c>
      <c r="B3908" s="1" t="s">
        <v>11513</v>
      </c>
      <c r="C3908" s="1" t="str">
        <f>IFERROR(VLOOKUP(B3908,'SB1'!$A$2:$B$999999,2,FALSE),"")</f>
        <v>D9650AL BC ORANGE PEARL X 1</v>
      </c>
      <c r="D3908" s="1" t="s">
        <v>14446</v>
      </c>
      <c r="E3908" s="3">
        <f>IFERROR(VLOOKUP(B3908,'DA1'!$B$2:$D$999999,3,FALSE),"")</f>
      </c>
      <c r="F3908" s="1" t="str">
        <f>IFERROR(VLOOKUP(B3908,'SB1'!$A$2:$C$999999,3,FALSE),"")</f>
        <v>503</v>
      </c>
      <c r="G3908" s="3" t="e">
        <f t="shared" si="135"/>
        <v>#VALUE!</v>
      </c>
      <c r="H3908" s="3" t="e">
        <f t="shared" ref="H3908:H3971" si="136">G3908*1.21</f>
        <v>#VALUE!</v>
      </c>
      <c r="I3908" s="1">
        <v>3</v>
      </c>
    </row>
    <row r="3909" spans="1:9" x14ac:dyDescent="0.25">
      <c r="A3909" s="1" t="s">
        <v>14435</v>
      </c>
      <c r="B3909" s="1" t="s">
        <v>11515</v>
      </c>
      <c r="C3909" s="1" t="str">
        <f>IFERROR(VLOOKUP(B3909,'SB1'!$A$2:$B$999999,2,FALSE),"")</f>
        <v>D9660AL DELTRON BC TRACE WHITE X 1</v>
      </c>
      <c r="D3909" s="1" t="s">
        <v>14446</v>
      </c>
      <c r="E3909" s="3">
        <f>IFERROR(VLOOKUP(B3909,'DA1'!$B$2:$D$999999,3,FALSE),"")</f>
      </c>
      <c r="F3909" s="1" t="str">
        <f>IFERROR(VLOOKUP(B3909,'SB1'!$A$2:$C$999999,3,FALSE),"")</f>
        <v>503</v>
      </c>
      <c r="G3909" s="3" t="e">
        <f t="shared" si="135"/>
        <v>#VALUE!</v>
      </c>
      <c r="H3909" s="3" t="e">
        <f t="shared" si="136"/>
        <v>#VALUE!</v>
      </c>
      <c r="I3909" s="1">
        <v>3</v>
      </c>
    </row>
    <row r="3910" spans="1:9" x14ac:dyDescent="0.25">
      <c r="A3910" s="1" t="s">
        <v>14435</v>
      </c>
      <c r="B3910" s="1" t="s">
        <v>11517</v>
      </c>
      <c r="C3910" s="1" t="str">
        <f>IFERROR(VLOOKUP(B3910,'SB1'!$A$2:$B$999999,2,FALSE),"")</f>
        <v>D9670AL DELTRON BC TRACE BLACK X 1</v>
      </c>
      <c r="D3910" s="1" t="s">
        <v>14446</v>
      </c>
      <c r="E3910" s="3">
        <f>IFERROR(VLOOKUP(B3910,'DA1'!$B$2:$D$999999,3,FALSE),"")</f>
      </c>
      <c r="F3910" s="1" t="str">
        <f>IFERROR(VLOOKUP(B3910,'SB1'!$A$2:$C$999999,3,FALSE),"")</f>
        <v>503</v>
      </c>
      <c r="G3910" s="3" t="e">
        <f t="shared" si="135"/>
        <v>#VALUE!</v>
      </c>
      <c r="H3910" s="3" t="e">
        <f t="shared" si="136"/>
        <v>#VALUE!</v>
      </c>
      <c r="I3910" s="1">
        <v>3</v>
      </c>
    </row>
    <row r="3911" spans="1:9" x14ac:dyDescent="0.25">
      <c r="A3911" s="1" t="s">
        <v>14435</v>
      </c>
      <c r="B3911" s="1" t="s">
        <v>11519</v>
      </c>
      <c r="C3911" s="1" t="str">
        <f>IFERROR(VLOOKUP(B3911,'SB1'!$A$2:$B$999999,2,FALSE),"")</f>
        <v>D9680AL DELTRON BC TRACE RED X 1</v>
      </c>
      <c r="D3911" s="1" t="s">
        <v>14446</v>
      </c>
      <c r="E3911" s="3">
        <f>IFERROR(VLOOKUP(B3911,'DA1'!$B$2:$D$999999,3,FALSE),"")</f>
      </c>
      <c r="F3911" s="1" t="str">
        <f>IFERROR(VLOOKUP(B3911,'SB1'!$A$2:$C$999999,3,FALSE),"")</f>
        <v>503</v>
      </c>
      <c r="G3911" s="3" t="e">
        <f t="shared" si="135"/>
        <v>#VALUE!</v>
      </c>
      <c r="H3911" s="3" t="e">
        <f t="shared" si="136"/>
        <v>#VALUE!</v>
      </c>
      <c r="I3911" s="1">
        <v>3</v>
      </c>
    </row>
    <row r="3912" spans="1:9" x14ac:dyDescent="0.25">
      <c r="A3912" s="1" t="s">
        <v>14435</v>
      </c>
      <c r="B3912" s="1" t="s">
        <v>11521</v>
      </c>
      <c r="C3912" s="1" t="str">
        <f>IFERROR(VLOOKUP(B3912,'SB1'!$A$2:$B$999999,2,FALSE),"")</f>
        <v>D9690AL DELTRON BC TRACE YELLOW X 1</v>
      </c>
      <c r="D3912" s="1" t="s">
        <v>14446</v>
      </c>
      <c r="E3912" s="3">
        <f>IFERROR(VLOOKUP(B3912,'DA1'!$B$2:$D$999999,3,FALSE),"")</f>
      </c>
      <c r="F3912" s="1" t="str">
        <f>IFERROR(VLOOKUP(B3912,'SB1'!$A$2:$C$999999,3,FALSE),"")</f>
        <v>503</v>
      </c>
      <c r="G3912" s="3" t="e">
        <f t="shared" si="135"/>
        <v>#VALUE!</v>
      </c>
      <c r="H3912" s="3" t="e">
        <f t="shared" si="136"/>
        <v>#VALUE!</v>
      </c>
      <c r="I3912" s="1">
        <v>3</v>
      </c>
    </row>
    <row r="3913" spans="1:9" x14ac:dyDescent="0.25">
      <c r="A3913" s="1" t="s">
        <v>14435</v>
      </c>
      <c r="B3913" s="1" t="s">
        <v>11523</v>
      </c>
      <c r="C3913" s="1" t="str">
        <f>IFERROR(VLOOKUP(B3913,'SB1'!$A$2:$B$999999,2,FALSE),"")</f>
        <v>D9700AL DELTRON BC TRACE BLUE X 1</v>
      </c>
      <c r="D3913" s="1" t="s">
        <v>14446</v>
      </c>
      <c r="E3913" s="3">
        <f>IFERROR(VLOOKUP(B3913,'DA1'!$B$2:$D$999999,3,FALSE),"")</f>
      </c>
      <c r="F3913" s="1" t="str">
        <f>IFERROR(VLOOKUP(B3913,'SB1'!$A$2:$C$999999,3,FALSE),"")</f>
        <v>503</v>
      </c>
      <c r="G3913" s="3" t="e">
        <f t="shared" si="135"/>
        <v>#VALUE!</v>
      </c>
      <c r="H3913" s="3" t="e">
        <f t="shared" si="136"/>
        <v>#VALUE!</v>
      </c>
      <c r="I3913" s="1">
        <v>3</v>
      </c>
    </row>
    <row r="3914" spans="1:9" x14ac:dyDescent="0.25">
      <c r="A3914" s="1" t="s">
        <v>14435</v>
      </c>
      <c r="B3914" s="1" t="s">
        <v>11525</v>
      </c>
      <c r="C3914" s="1" t="str">
        <f>IFERROR(VLOOKUP(B3914,'SB1'!$A$2:$B$999999,2,FALSE),"")</f>
        <v>D9710AL DELTRON TRACE GREEN BC X 1</v>
      </c>
      <c r="D3914" s="1" t="s">
        <v>14446</v>
      </c>
      <c r="E3914" s="3">
        <f>IFERROR(VLOOKUP(B3914,'DA1'!$B$2:$D$999999,3,FALSE),"")</f>
      </c>
      <c r="F3914" s="1" t="str">
        <f>IFERROR(VLOOKUP(B3914,'SB1'!$A$2:$C$999999,3,FALSE),"")</f>
        <v>503</v>
      </c>
      <c r="G3914" s="3" t="e">
        <f t="shared" si="135"/>
        <v>#VALUE!</v>
      </c>
      <c r="H3914" s="3" t="e">
        <f t="shared" si="136"/>
        <v>#VALUE!</v>
      </c>
      <c r="I3914" s="1">
        <v>3</v>
      </c>
    </row>
    <row r="3915" spans="1:9" x14ac:dyDescent="0.25">
      <c r="A3915" s="1" t="s">
        <v>14435</v>
      </c>
      <c r="B3915" s="1" t="s">
        <v>11527</v>
      </c>
      <c r="C3915" s="1" t="str">
        <f>IFERROR(VLOOKUP(B3915,'SB1'!$A$2:$B$999999,2,FALSE),"")</f>
        <v>D973/E1 DELTRON BC RED GREEN PEARL X 1</v>
      </c>
      <c r="D3915" s="1" t="s">
        <v>14446</v>
      </c>
      <c r="E3915" s="3">
        <f>IFERROR(VLOOKUP(B3915,'DA1'!$B$2:$D$999999,3,FALSE),"")</f>
      </c>
      <c r="F3915" s="1" t="str">
        <f>IFERROR(VLOOKUP(B3915,'SB1'!$A$2:$C$999999,3,FALSE),"")</f>
        <v>503</v>
      </c>
      <c r="G3915" s="3" t="e">
        <f t="shared" si="135"/>
        <v>#VALUE!</v>
      </c>
      <c r="H3915" s="3" t="e">
        <f t="shared" si="136"/>
        <v>#VALUE!</v>
      </c>
      <c r="I3915" s="1">
        <v>3</v>
      </c>
    </row>
    <row r="3916" spans="1:9" x14ac:dyDescent="0.25">
      <c r="A3916" s="1" t="s">
        <v>14435</v>
      </c>
      <c r="B3916" s="1" t="s">
        <v>11529</v>
      </c>
      <c r="C3916" s="1" t="str">
        <f>IFERROR(VLOOKUP(B3916,'SB1'!$A$2:$B$999999,2,FALSE),"")</f>
        <v>D9760AL DELTRON BC MAGENTA X 1</v>
      </c>
      <c r="D3916" s="1" t="s">
        <v>14446</v>
      </c>
      <c r="E3916" s="3">
        <f>IFERROR(VLOOKUP(B3916,'DA1'!$B$2:$D$999999,3,FALSE),"")</f>
      </c>
      <c r="F3916" s="1" t="str">
        <f>IFERROR(VLOOKUP(B3916,'SB1'!$A$2:$C$999999,3,FALSE),"")</f>
        <v>503</v>
      </c>
      <c r="G3916" s="3" t="e">
        <f t="shared" si="135"/>
        <v>#VALUE!</v>
      </c>
      <c r="H3916" s="3" t="e">
        <f t="shared" si="136"/>
        <v>#VALUE!</v>
      </c>
      <c r="I3916" s="1">
        <v>3</v>
      </c>
    </row>
    <row r="3917" spans="1:9" x14ac:dyDescent="0.25">
      <c r="A3917" s="1" t="s">
        <v>14435</v>
      </c>
      <c r="B3917" s="1" t="s">
        <v>11531</v>
      </c>
      <c r="C3917" s="1" t="str">
        <f>IFERROR(VLOOKUP(B3917,'SB1'!$A$2:$B$999999,2,FALSE),"")</f>
        <v>D9770AL DELTRON BC RED SHADE BLUE X 1</v>
      </c>
      <c r="D3917" s="1" t="s">
        <v>14446</v>
      </c>
      <c r="E3917" s="3">
        <f>IFERROR(VLOOKUP(B3917,'DA1'!$B$2:$D$999999,3,FALSE),"")</f>
      </c>
      <c r="F3917" s="1" t="str">
        <f>IFERROR(VLOOKUP(B3917,'SB1'!$A$2:$C$999999,3,FALSE),"")</f>
        <v>503</v>
      </c>
      <c r="G3917" s="3" t="e">
        <f t="shared" si="135"/>
        <v>#VALUE!</v>
      </c>
      <c r="H3917" s="3" t="e">
        <f t="shared" si="136"/>
        <v>#VALUE!</v>
      </c>
      <c r="I3917" s="1">
        <v>3</v>
      </c>
    </row>
    <row r="3918" spans="1:9" x14ac:dyDescent="0.25">
      <c r="A3918" s="1" t="s">
        <v>14435</v>
      </c>
      <c r="B3918" s="1" t="s">
        <v>11533</v>
      </c>
      <c r="C3918" s="1" t="str">
        <f>IFERROR(VLOOKUP(B3918,'SB1'!$A$2:$B$999999,2,FALSE),"")</f>
        <v>D9780AL DELTRON BC SCARLET X 1</v>
      </c>
      <c r="D3918" s="1" t="s">
        <v>14446</v>
      </c>
      <c r="E3918" s="3">
        <f>IFERROR(VLOOKUP(B3918,'DA1'!$B$2:$D$999999,3,FALSE),"")</f>
      </c>
      <c r="F3918" s="1" t="str">
        <f>IFERROR(VLOOKUP(B3918,'SB1'!$A$2:$C$999999,3,FALSE),"")</f>
        <v>503</v>
      </c>
      <c r="G3918" s="3" t="e">
        <f t="shared" si="135"/>
        <v>#VALUE!</v>
      </c>
      <c r="H3918" s="3" t="e">
        <f t="shared" si="136"/>
        <v>#VALUE!</v>
      </c>
      <c r="I3918" s="1">
        <v>3</v>
      </c>
    </row>
    <row r="3919" spans="1:9" x14ac:dyDescent="0.25">
      <c r="A3919" s="1" t="s">
        <v>14435</v>
      </c>
      <c r="B3919" s="1" t="s">
        <v>11535</v>
      </c>
      <c r="C3919" s="1" t="str">
        <f>IFERROR(VLOOKUP(B3919,'SB1'!$A$2:$B$999999,2,FALSE),"")</f>
        <v>D9790AL DELTRON BC TRANSPARENT VIOLET X 1</v>
      </c>
      <c r="D3919" s="1" t="s">
        <v>14446</v>
      </c>
      <c r="E3919" s="3">
        <f>IFERROR(VLOOKUP(B3919,'DA1'!$B$2:$D$999999,3,FALSE),"")</f>
      </c>
      <c r="F3919" s="1" t="str">
        <f>IFERROR(VLOOKUP(B3919,'SB1'!$A$2:$C$999999,3,FALSE),"")</f>
        <v>503</v>
      </c>
      <c r="G3919" s="3" t="e">
        <f t="shared" si="135"/>
        <v>#VALUE!</v>
      </c>
      <c r="H3919" s="3" t="e">
        <f t="shared" si="136"/>
        <v>#VALUE!</v>
      </c>
      <c r="I3919" s="1">
        <v>3</v>
      </c>
    </row>
    <row r="3920" spans="1:9" x14ac:dyDescent="0.25">
      <c r="A3920" s="1" t="s">
        <v>14435</v>
      </c>
      <c r="B3920" s="1" t="s">
        <v>11537</v>
      </c>
      <c r="C3920" s="1" t="str">
        <f>IFERROR(VLOOKUP(B3920,'SB1'!$A$2:$B$999999,2,FALSE),"")</f>
        <v>D9800AL DELTRON BC TRANSPARENT GOLD X 1</v>
      </c>
      <c r="D3920" s="1" t="s">
        <v>14446</v>
      </c>
      <c r="E3920" s="3">
        <f>IFERROR(VLOOKUP(B3920,'DA1'!$B$2:$D$999999,3,FALSE),"")</f>
      </c>
      <c r="F3920" s="1" t="str">
        <f>IFERROR(VLOOKUP(B3920,'SB1'!$A$2:$C$999999,3,FALSE),"")</f>
        <v>503</v>
      </c>
      <c r="G3920" s="3" t="e">
        <f t="shared" si="135"/>
        <v>#VALUE!</v>
      </c>
      <c r="H3920" s="3" t="e">
        <f t="shared" si="136"/>
        <v>#VALUE!</v>
      </c>
      <c r="I3920" s="1">
        <v>3</v>
      </c>
    </row>
    <row r="3921" spans="1:9" x14ac:dyDescent="0.25">
      <c r="A3921" s="1" t="s">
        <v>14435</v>
      </c>
      <c r="B3921" s="1" t="s">
        <v>11539</v>
      </c>
      <c r="C3921" s="1" t="str">
        <f>IFERROR(VLOOKUP(B3921,'SB1'!$A$2:$B$999999,2,FALSE),"")</f>
        <v>D9810AL DELTRON BC INTENSE VIOLET X 1</v>
      </c>
      <c r="D3921" s="1" t="s">
        <v>14446</v>
      </c>
      <c r="E3921" s="3">
        <f>IFERROR(VLOOKUP(B3921,'DA1'!$B$2:$D$999999,3,FALSE),"")</f>
      </c>
      <c r="F3921" s="1" t="str">
        <f>IFERROR(VLOOKUP(B3921,'SB1'!$A$2:$C$999999,3,FALSE),"")</f>
        <v>503</v>
      </c>
      <c r="G3921" s="3" t="e">
        <f t="shared" si="135"/>
        <v>#VALUE!</v>
      </c>
      <c r="H3921" s="3" t="e">
        <f t="shared" si="136"/>
        <v>#VALUE!</v>
      </c>
      <c r="I3921" s="1">
        <v>3</v>
      </c>
    </row>
    <row r="3922" spans="1:9" x14ac:dyDescent="0.25">
      <c r="A3922" s="1" t="s">
        <v>14435</v>
      </c>
      <c r="B3922" s="1" t="s">
        <v>11541</v>
      </c>
      <c r="C3922" s="1" t="str">
        <f>IFERROR(VLOOKUP(B3922,'SB1'!$A$2:$B$999999,2,FALSE),"")</f>
        <v>D9830AL DELTRON BC ORANGE ALUMINIUM X 1</v>
      </c>
      <c r="D3922" s="1" t="s">
        <v>14446</v>
      </c>
      <c r="E3922" s="3">
        <f>IFERROR(VLOOKUP(B3922,'DA1'!$B$2:$D$999999,3,FALSE),"")</f>
      </c>
      <c r="F3922" s="1" t="str">
        <f>IFERROR(VLOOKUP(B3922,'SB1'!$A$2:$C$999999,3,FALSE),"")</f>
        <v>503</v>
      </c>
      <c r="G3922" s="3" t="e">
        <f t="shared" si="135"/>
        <v>#VALUE!</v>
      </c>
      <c r="H3922" s="3" t="e">
        <f t="shared" si="136"/>
        <v>#VALUE!</v>
      </c>
      <c r="I3922" s="1">
        <v>3</v>
      </c>
    </row>
    <row r="3923" spans="1:9" x14ac:dyDescent="0.25">
      <c r="A3923" s="1" t="s">
        <v>14435</v>
      </c>
      <c r="B3923" s="1" t="s">
        <v>11543</v>
      </c>
      <c r="C3923" s="1" t="str">
        <f>IFERROR(VLOOKUP(B3923,'SB1'!$A$2:$B$999999,2,FALSE),"")</f>
        <v>D985/E1 DELTRON BC BLUE ALUMINIUM X 1</v>
      </c>
      <c r="D3923" s="1" t="s">
        <v>14446</v>
      </c>
      <c r="E3923" s="3">
        <f>IFERROR(VLOOKUP(B3923,'DA1'!$B$2:$D$999999,3,FALSE),"")</f>
      </c>
      <c r="F3923" s="1" t="str">
        <f>IFERROR(VLOOKUP(B3923,'SB1'!$A$2:$C$999999,3,FALSE),"")</f>
        <v>503</v>
      </c>
      <c r="G3923" s="3" t="e">
        <f t="shared" si="135"/>
        <v>#VALUE!</v>
      </c>
      <c r="H3923" s="3" t="e">
        <f t="shared" si="136"/>
        <v>#VALUE!</v>
      </c>
      <c r="I3923" s="1">
        <v>3</v>
      </c>
    </row>
    <row r="3924" spans="1:9" x14ac:dyDescent="0.25">
      <c r="A3924" s="1" t="s">
        <v>14435</v>
      </c>
      <c r="B3924" s="1" t="s">
        <v>11545</v>
      </c>
      <c r="C3924" s="1" t="str">
        <f>IFERROR(VLOOKUP(B3924,'SB1'!$A$2:$B$999999,2,FALSE),"")</f>
        <v>D9890AL DELTRON BC COARSE SILVER DOLLAR ALUMINIUM X 1</v>
      </c>
      <c r="D3924" s="1" t="s">
        <v>14446</v>
      </c>
      <c r="E3924" s="3">
        <f>IFERROR(VLOOKUP(B3924,'DA1'!$B$2:$D$999999,3,FALSE),"")</f>
      </c>
      <c r="F3924" s="1" t="str">
        <f>IFERROR(VLOOKUP(B3924,'SB1'!$A$2:$C$999999,3,FALSE),"")</f>
        <v>503</v>
      </c>
      <c r="G3924" s="3" t="e">
        <f t="shared" si="135"/>
        <v>#VALUE!</v>
      </c>
      <c r="H3924" s="3" t="e">
        <f t="shared" si="136"/>
        <v>#VALUE!</v>
      </c>
      <c r="I3924" s="1">
        <v>3</v>
      </c>
    </row>
    <row r="3925" spans="1:9" x14ac:dyDescent="0.25">
      <c r="A3925" s="1" t="s">
        <v>14435</v>
      </c>
      <c r="B3925" s="1" t="s">
        <v>11547</v>
      </c>
      <c r="C3925" s="1" t="str">
        <f>IFERROR(VLOOKUP(B3925,'SB1'!$A$2:$B$999999,2,FALSE),"")</f>
        <v>D990/E1 DELTRON BC FINE GLACIER WHITE X 1</v>
      </c>
      <c r="D3925" s="1" t="s">
        <v>14446</v>
      </c>
      <c r="E3925" s="3">
        <f>IFERROR(VLOOKUP(B3925,'DA1'!$B$2:$D$999999,3,FALSE),"")</f>
      </c>
      <c r="F3925" s="1" t="str">
        <f>IFERROR(VLOOKUP(B3925,'SB1'!$A$2:$C$999999,3,FALSE),"")</f>
        <v>503</v>
      </c>
      <c r="G3925" s="3" t="e">
        <f t="shared" si="135"/>
        <v>#VALUE!</v>
      </c>
      <c r="H3925" s="3" t="e">
        <f t="shared" si="136"/>
        <v>#VALUE!</v>
      </c>
      <c r="I3925" s="1">
        <v>3</v>
      </c>
    </row>
    <row r="3926" spans="1:9" x14ac:dyDescent="0.25">
      <c r="A3926" s="1" t="s">
        <v>14435</v>
      </c>
      <c r="B3926" s="1" t="s">
        <v>11549</v>
      </c>
      <c r="C3926" s="1" t="str">
        <f>IFERROR(VLOOKUP(B3926,'SB1'!$A$2:$B$999999,2,FALSE),"")</f>
        <v>D991/E1 DELTRON BC RUBINE X 1</v>
      </c>
      <c r="D3926" s="1" t="s">
        <v>14446</v>
      </c>
      <c r="E3926" s="3">
        <f>IFERROR(VLOOKUP(B3926,'DA1'!$B$2:$D$999999,3,FALSE),"")</f>
      </c>
      <c r="F3926" s="1" t="str">
        <f>IFERROR(VLOOKUP(B3926,'SB1'!$A$2:$C$999999,3,FALSE),"")</f>
        <v>503</v>
      </c>
      <c r="G3926" s="3" t="e">
        <f t="shared" si="135"/>
        <v>#VALUE!</v>
      </c>
      <c r="H3926" s="3" t="e">
        <f t="shared" si="136"/>
        <v>#VALUE!</v>
      </c>
      <c r="I3926" s="1">
        <v>3</v>
      </c>
    </row>
    <row r="3927" spans="1:9" x14ac:dyDescent="0.25">
      <c r="A3927" s="1" t="s">
        <v>14435</v>
      </c>
      <c r="B3927" s="1" t="s">
        <v>11551</v>
      </c>
      <c r="C3927" s="1" t="str">
        <f>IFERROR(VLOOKUP(B3927,'SB1'!$A$2:$B$999999,2,FALSE),"")</f>
        <v>PRLX1KAAH DELTRON BC CRYSTAL RED PEARL X 0,113</v>
      </c>
      <c r="D3927" s="1" t="s">
        <v>14446</v>
      </c>
      <c r="E3927" s="3">
        <f>IFERROR(VLOOKUP(B3927,'DA1'!$B$2:$D$999999,3,FALSE),"")</f>
      </c>
      <c r="F3927" s="1" t="str">
        <f>IFERROR(VLOOKUP(B3927,'SB1'!$A$2:$C$999999,3,FALSE),"")</f>
        <v>503</v>
      </c>
      <c r="G3927" s="3" t="e">
        <f t="shared" si="135"/>
        <v>#VALUE!</v>
      </c>
      <c r="H3927" s="3" t="e">
        <f t="shared" si="136"/>
        <v>#VALUE!</v>
      </c>
      <c r="I3927" s="1">
        <v>3</v>
      </c>
    </row>
    <row r="3928" spans="1:9" x14ac:dyDescent="0.25">
      <c r="A3928" s="1" t="s">
        <v>14435</v>
      </c>
      <c r="B3928" s="1" t="s">
        <v>11553</v>
      </c>
      <c r="C3928" s="1" t="str">
        <f>IFERROR(VLOOKUP(B3928,'SB1'!$A$2:$B$999999,2,FALSE),"")</f>
        <v>PRLX2KAAH DELTRON BC CRYSTAL SILVER PEARL X 0,113</v>
      </c>
      <c r="D3928" s="1" t="s">
        <v>14446</v>
      </c>
      <c r="E3928" s="3">
        <f>IFERROR(VLOOKUP(B3928,'DA1'!$B$2:$D$999999,3,FALSE),"")</f>
      </c>
      <c r="F3928" s="1" t="str">
        <f>IFERROR(VLOOKUP(B3928,'SB1'!$A$2:$C$999999,3,FALSE),"")</f>
        <v>503</v>
      </c>
      <c r="G3928" s="3" t="e">
        <f t="shared" si="135"/>
        <v>#VALUE!</v>
      </c>
      <c r="H3928" s="3" t="e">
        <f t="shared" si="136"/>
        <v>#VALUE!</v>
      </c>
      <c r="I3928" s="1">
        <v>3</v>
      </c>
    </row>
    <row r="3929" spans="1:9" x14ac:dyDescent="0.25">
      <c r="A3929" s="1" t="s">
        <v>14435</v>
      </c>
      <c r="B3929" s="1" t="s">
        <v>11555</v>
      </c>
      <c r="C3929" s="1" t="str">
        <f>IFERROR(VLOOKUP(B3929,'SB1'!$A$2:$B$999999,2,FALSE),"")</f>
        <v>PRLX3KAAH CRYSTAL GOLD PEARL X 0,133</v>
      </c>
      <c r="D3929" s="1" t="s">
        <v>14446</v>
      </c>
      <c r="E3929" s="3">
        <f>IFERROR(VLOOKUP(B3929,'DA1'!$B$2:$D$999999,3,FALSE),"")</f>
      </c>
      <c r="F3929" s="1" t="str">
        <f>IFERROR(VLOOKUP(B3929,'SB1'!$A$2:$C$999999,3,FALSE),"")</f>
        <v>503</v>
      </c>
      <c r="G3929" s="3" t="e">
        <f t="shared" si="135"/>
        <v>#VALUE!</v>
      </c>
      <c r="H3929" s="3" t="e">
        <f t="shared" si="136"/>
        <v>#VALUE!</v>
      </c>
      <c r="I3929" s="1">
        <v>3</v>
      </c>
    </row>
    <row r="3930" spans="1:9" x14ac:dyDescent="0.25">
      <c r="A3930" s="1" t="s">
        <v>14435</v>
      </c>
      <c r="B3930" s="1" t="s">
        <v>11557</v>
      </c>
      <c r="C3930" s="1" t="str">
        <f>IFERROR(VLOOKUP(B3930,'SB1'!$A$2:$B$999999,2,FALSE),"")</f>
        <v>PRLX4KAAH DELTRON BC CRYSTAL BLUE PEARL X 0,113</v>
      </c>
      <c r="D3930" s="1" t="s">
        <v>14446</v>
      </c>
      <c r="E3930" s="3">
        <f>IFERROR(VLOOKUP(B3930,'DA1'!$B$2:$D$999999,3,FALSE),"")</f>
      </c>
      <c r="F3930" s="1" t="str">
        <f>IFERROR(VLOOKUP(B3930,'SB1'!$A$2:$C$999999,3,FALSE),"")</f>
        <v>503</v>
      </c>
      <c r="G3930" s="3" t="e">
        <f t="shared" si="135"/>
        <v>#VALUE!</v>
      </c>
      <c r="H3930" s="3" t="e">
        <f t="shared" si="136"/>
        <v>#VALUE!</v>
      </c>
      <c r="I3930" s="1">
        <v>3</v>
      </c>
    </row>
    <row r="3931" spans="1:9" x14ac:dyDescent="0.25">
      <c r="A3931" s="1" t="s">
        <v>14435</v>
      </c>
      <c r="B3931" s="1" t="s">
        <v>11559</v>
      </c>
      <c r="C3931" s="1" t="str">
        <f>IFERROR(VLOOKUP(B3931,'SB1'!$A$2:$B$999999,2,FALSE),"")</f>
        <v>PRLX5KAAH DELTRON BC STELLAR GREEN PEARL X 0,113</v>
      </c>
      <c r="D3931" s="1" t="s">
        <v>14446</v>
      </c>
      <c r="E3931" s="3">
        <f>IFERROR(VLOOKUP(B3931,'DA1'!$B$2:$D$999999,3,FALSE),"")</f>
      </c>
      <c r="F3931" s="1" t="str">
        <f>IFERROR(VLOOKUP(B3931,'SB1'!$A$2:$C$999999,3,FALSE),"")</f>
        <v>503</v>
      </c>
      <c r="G3931" s="3" t="e">
        <f t="shared" si="135"/>
        <v>#VALUE!</v>
      </c>
      <c r="H3931" s="3" t="e">
        <f t="shared" si="136"/>
        <v>#VALUE!</v>
      </c>
      <c r="I3931" s="1">
        <v>3</v>
      </c>
    </row>
    <row r="3932" spans="1:9" x14ac:dyDescent="0.25">
      <c r="A3932" s="1" t="s">
        <v>14435</v>
      </c>
      <c r="B3932" s="1" t="s">
        <v>11561</v>
      </c>
      <c r="C3932" s="1" t="str">
        <f>IFERROR(VLOOKUP(B3932,'SB1'!$A$2:$B$999999,2,FALSE),"")</f>
        <v>PRLX6KAAH SOLARIS RED PEARL X 0,113</v>
      </c>
      <c r="D3932" s="1" t="s">
        <v>14446</v>
      </c>
      <c r="E3932" s="3">
        <f>IFERROR(VLOOKUP(B3932,'DA1'!$B$2:$D$999999,3,FALSE),"")</f>
      </c>
      <c r="F3932" s="1" t="str">
        <f>IFERROR(VLOOKUP(B3932,'SB1'!$A$2:$C$999999,3,FALSE),"")</f>
        <v>503</v>
      </c>
      <c r="G3932" s="3" t="e">
        <f t="shared" si="135"/>
        <v>#VALUE!</v>
      </c>
      <c r="H3932" s="3" t="e">
        <f t="shared" si="136"/>
        <v>#VALUE!</v>
      </c>
      <c r="I3932" s="1">
        <v>3</v>
      </c>
    </row>
    <row r="3933" spans="1:9" x14ac:dyDescent="0.25">
      <c r="A3933" s="1" t="s">
        <v>14435</v>
      </c>
      <c r="B3933" s="1" t="s">
        <v>11563</v>
      </c>
      <c r="C3933" s="1" t="str">
        <f>IFERROR(VLOOKUP(B3933,'SB1'!$A$2:$B$999999,2,FALSE),"")</f>
        <v>PRLX7KAAH DELTRON BC FIRESIDE COPPER PEARL X 0,113</v>
      </c>
      <c r="D3933" s="1" t="s">
        <v>14446</v>
      </c>
      <c r="E3933" s="3">
        <f>IFERROR(VLOOKUP(B3933,'DA1'!$B$2:$D$999999,3,FALSE),"")</f>
      </c>
      <c r="F3933" s="1" t="str">
        <f>IFERROR(VLOOKUP(B3933,'SB1'!$A$2:$C$999999,3,FALSE),"")</f>
        <v>503</v>
      </c>
      <c r="G3933" s="3" t="e">
        <f t="shared" si="135"/>
        <v>#VALUE!</v>
      </c>
      <c r="H3933" s="3" t="e">
        <f t="shared" si="136"/>
        <v>#VALUE!</v>
      </c>
      <c r="I3933" s="1">
        <v>3</v>
      </c>
    </row>
    <row r="3934" spans="1:9" x14ac:dyDescent="0.25">
      <c r="A3934" s="1" t="s">
        <v>14435</v>
      </c>
      <c r="B3934" s="1" t="s">
        <v>11565</v>
      </c>
      <c r="C3934" s="1" t="str">
        <f>IFERROR(VLOOKUP(B3934,'SB1'!$A$2:$B$999999,2,FALSE),"")</f>
        <v>PRLX8KAAH DELTRON BC COSMIC TURQUOISE PEARL X 0,113</v>
      </c>
      <c r="D3934" s="1" t="s">
        <v>14446</v>
      </c>
      <c r="E3934" s="3">
        <f>IFERROR(VLOOKUP(B3934,'DA1'!$B$2:$D$999999,3,FALSE),"")</f>
      </c>
      <c r="F3934" s="1" t="str">
        <f>IFERROR(VLOOKUP(B3934,'SB1'!$A$2:$C$999999,3,FALSE),"")</f>
        <v>503</v>
      </c>
      <c r="G3934" s="3" t="e">
        <f t="shared" si="135"/>
        <v>#VALUE!</v>
      </c>
      <c r="H3934" s="3" t="e">
        <f t="shared" si="136"/>
        <v>#VALUE!</v>
      </c>
      <c r="I3934" s="1">
        <v>3</v>
      </c>
    </row>
    <row r="3935" spans="1:9" x14ac:dyDescent="0.25">
      <c r="A3935" s="1" t="s">
        <v>14435</v>
      </c>
      <c r="B3935" s="1" t="s">
        <v>11567</v>
      </c>
      <c r="C3935" s="1" t="str">
        <f>IFERROR(VLOOKUP(B3935,'SB1'!$A$2:$B$999999,2,FALSE),"")</f>
        <v>PRLX9KAAH DELTRON BC AMETHYST DREAM PEARL X X 0,113</v>
      </c>
      <c r="D3935" s="1" t="s">
        <v>14446</v>
      </c>
      <c r="E3935" s="3">
        <f>IFERROR(VLOOKUP(B3935,'DA1'!$B$2:$D$999999,3,FALSE),"")</f>
      </c>
      <c r="F3935" s="1" t="str">
        <f>IFERROR(VLOOKUP(B3935,'SB1'!$A$2:$C$999999,3,FALSE),"")</f>
        <v>503</v>
      </c>
      <c r="G3935" s="3" t="e">
        <f t="shared" si="135"/>
        <v>#VALUE!</v>
      </c>
      <c r="H3935" s="3" t="e">
        <f t="shared" si="136"/>
        <v>#VALUE!</v>
      </c>
      <c r="I3935" s="1">
        <v>3</v>
      </c>
    </row>
    <row r="3936" spans="1:9" x14ac:dyDescent="0.25">
      <c r="A3936" s="1" t="s">
        <v>14435</v>
      </c>
      <c r="B3936" s="1" t="s">
        <v>11569</v>
      </c>
      <c r="C3936" s="1" t="str">
        <f>IFERROR(VLOOKUP(B3936,'SB1'!$A$2:$B$999999,2,FALSE),"")</f>
        <v>ROTOR AZUL</v>
      </c>
      <c r="D3936" s="1" t="s">
        <v>14488</v>
      </c>
      <c r="E3936" s="3">
        <f>IFERROR(VLOOKUP(B3936,'DA1'!$B$2:$D$999999,3,FALSE),"")</f>
      </c>
      <c r="F3936" s="1" t="str">
        <f>IFERROR(VLOOKUP(B3936,'SB1'!$A$2:$C$999999,3,FALSE),"")</f>
        <v>503</v>
      </c>
      <c r="G3936" s="3" t="e">
        <f t="shared" si="135"/>
        <v>#VALUE!</v>
      </c>
      <c r="H3936" s="3" t="e">
        <f t="shared" si="136"/>
        <v>#VALUE!</v>
      </c>
      <c r="I3936" s="1">
        <v>1</v>
      </c>
    </row>
    <row r="3937" spans="1:9" x14ac:dyDescent="0.25">
      <c r="A3937" s="1" t="s">
        <v>14435</v>
      </c>
      <c r="B3937" s="1" t="s">
        <v>11571</v>
      </c>
      <c r="C3937" s="1" t="str">
        <f>IFERROR(VLOOKUP(B3937,'SB1'!$A$2:$B$999999,2,FALSE),"")</f>
        <v>STATOR AZUL AUTORREGULABLE</v>
      </c>
      <c r="D3937" s="1" t="s">
        <v>14488</v>
      </c>
      <c r="E3937" s="3">
        <f>IFERROR(VLOOKUP(B3937,'DA1'!$B$2:$D$999999,3,FALSE),"")</f>
      </c>
      <c r="F3937" s="1" t="str">
        <f>IFERROR(VLOOKUP(B3937,'SB1'!$A$2:$C$999999,3,FALSE),"")</f>
        <v>503</v>
      </c>
      <c r="G3937" s="3" t="e">
        <f t="shared" si="135"/>
        <v>#VALUE!</v>
      </c>
      <c r="H3937" s="3" t="e">
        <f t="shared" si="136"/>
        <v>#VALUE!</v>
      </c>
      <c r="I3937" s="1">
        <v>1</v>
      </c>
    </row>
    <row r="3938" spans="1:9" x14ac:dyDescent="0.25">
      <c r="A3938" s="1" t="s">
        <v>14435</v>
      </c>
      <c r="B3938" s="1" t="s">
        <v>11573</v>
      </c>
      <c r="C3938" s="1" t="str">
        <f>IFERROR(VLOOKUP(B3938,'SB1'!$A$2:$B$999999,2,FALSE),"")</f>
        <v>IMPERMEABILIZANTE PARA FRENTES REVECAUCHO NEGRO X 11</v>
      </c>
      <c r="D3938" s="1" t="s">
        <v>14460</v>
      </c>
      <c r="E3938" s="3">
        <f>IFERROR(VLOOKUP(B3938,'DA1'!$B$2:$D$999999,3,FALSE),"")</f>
      </c>
      <c r="F3938" s="1" t="str">
        <f>IFERROR(VLOOKUP(B3938,'SB1'!$A$2:$C$999999,3,FALSE),"")</f>
        <v>503</v>
      </c>
      <c r="G3938" s="3" t="e">
        <f t="shared" si="135"/>
        <v>#VALUE!</v>
      </c>
      <c r="H3938" s="3" t="e">
        <f t="shared" si="136"/>
        <v>#VALUE!</v>
      </c>
      <c r="I3938" s="1">
        <v>1</v>
      </c>
    </row>
    <row r="3939" spans="1:9" x14ac:dyDescent="0.25">
      <c r="A3939" s="1" t="s">
        <v>14435</v>
      </c>
      <c r="B3939" s="1" t="s">
        <v>11575</v>
      </c>
      <c r="C3939" s="1" t="str">
        <f>IFERROR(VLOOKUP(B3939,'SB1'!$A$2:$B$999999,2,FALSE),"")</f>
        <v>IMPERMEABILIZANTE PARA FRENTES REVECAUCHO NEGRO X 22</v>
      </c>
      <c r="D3939" s="1" t="s">
        <v>14460</v>
      </c>
      <c r="E3939" s="3">
        <f>IFERROR(VLOOKUP(B3939,'DA1'!$B$2:$D$999999,3,FALSE),"")</f>
      </c>
      <c r="F3939" s="1" t="str">
        <f>IFERROR(VLOOKUP(B3939,'SB1'!$A$2:$C$999999,3,FALSE),"")</f>
        <v>503</v>
      </c>
      <c r="G3939" s="3" t="e">
        <f t="shared" si="135"/>
        <v>#VALUE!</v>
      </c>
      <c r="H3939" s="3" t="e">
        <f t="shared" si="136"/>
        <v>#VALUE!</v>
      </c>
      <c r="I3939" s="1">
        <v>1</v>
      </c>
    </row>
    <row r="3940" spans="1:9" x14ac:dyDescent="0.25">
      <c r="A3940" s="1" t="s">
        <v>14435</v>
      </c>
      <c r="B3940" s="1" t="s">
        <v>11577</v>
      </c>
      <c r="C3940" s="1" t="str">
        <f>IFERROR(VLOOKUP(B3940,'SB1'!$A$2:$B$999999,2,FALSE),"")</f>
        <v>IMPERMEABILIZANTE PARA FRENTES REVECAUCHO ROJO X 11</v>
      </c>
      <c r="D3940" s="1" t="s">
        <v>14460</v>
      </c>
      <c r="E3940" s="3">
        <f>IFERROR(VLOOKUP(B3940,'DA1'!$B$2:$D$999999,3,FALSE),"")</f>
      </c>
      <c r="F3940" s="1" t="str">
        <f>IFERROR(VLOOKUP(B3940,'SB1'!$A$2:$C$999999,3,FALSE),"")</f>
        <v>503</v>
      </c>
      <c r="G3940" s="3" t="e">
        <f t="shared" si="135"/>
        <v>#VALUE!</v>
      </c>
      <c r="H3940" s="3" t="e">
        <f t="shared" si="136"/>
        <v>#VALUE!</v>
      </c>
      <c r="I3940" s="1">
        <v>1</v>
      </c>
    </row>
    <row r="3941" spans="1:9" x14ac:dyDescent="0.25">
      <c r="A3941" s="1" t="s">
        <v>14435</v>
      </c>
      <c r="B3941" s="1" t="s">
        <v>11579</v>
      </c>
      <c r="C3941" s="1" t="str">
        <f>IFERROR(VLOOKUP(B3941,'SB1'!$A$2:$B$999999,2,FALSE),"")</f>
        <v>IMPERMEABILIZANTE PARA FRENTES REVECAUCHO ROJO X 22</v>
      </c>
      <c r="D3941" s="1" t="s">
        <v>14460</v>
      </c>
      <c r="E3941" s="3">
        <f>IFERROR(VLOOKUP(B3941,'DA1'!$B$2:$D$999999,3,FALSE),"")</f>
      </c>
      <c r="F3941" s="1" t="str">
        <f>IFERROR(VLOOKUP(B3941,'SB1'!$A$2:$C$999999,3,FALSE),"")</f>
        <v>503</v>
      </c>
      <c r="G3941" s="3" t="e">
        <f t="shared" si="135"/>
        <v>#VALUE!</v>
      </c>
      <c r="H3941" s="3" t="e">
        <f t="shared" si="136"/>
        <v>#VALUE!</v>
      </c>
      <c r="I3941" s="1">
        <v>1</v>
      </c>
    </row>
    <row r="3942" spans="1:9" x14ac:dyDescent="0.25">
      <c r="A3942" s="1" t="s">
        <v>14435</v>
      </c>
      <c r="B3942" s="1" t="s">
        <v>11581</v>
      </c>
      <c r="C3942" s="1" t="str">
        <f>IFERROR(VLOOKUP(B3942,'SB1'!$A$2:$B$999999,2,FALSE),"")</f>
        <v>IMPERMEABILIZANTE PARA FRENTES REVECAUCHO VERDE X 11</v>
      </c>
      <c r="D3942" s="1" t="s">
        <v>14460</v>
      </c>
      <c r="E3942" s="3">
        <f>IFERROR(VLOOKUP(B3942,'DA1'!$B$2:$D$999999,3,FALSE),"")</f>
      </c>
      <c r="F3942" s="1" t="str">
        <f>IFERROR(VLOOKUP(B3942,'SB1'!$A$2:$C$999999,3,FALSE),"")</f>
        <v>503</v>
      </c>
      <c r="G3942" s="3" t="e">
        <f t="shared" si="135"/>
        <v>#VALUE!</v>
      </c>
      <c r="H3942" s="3" t="e">
        <f t="shared" si="136"/>
        <v>#VALUE!</v>
      </c>
      <c r="I3942" s="1">
        <v>1</v>
      </c>
    </row>
    <row r="3943" spans="1:9" x14ac:dyDescent="0.25">
      <c r="A3943" s="1" t="s">
        <v>14435</v>
      </c>
      <c r="B3943" s="1" t="s">
        <v>11583</v>
      </c>
      <c r="C3943" s="1" t="str">
        <f>IFERROR(VLOOKUP(B3943,'SB1'!$A$2:$B$999999,2,FALSE),"")</f>
        <v>IMPERMEABILIZANTE PARA FRENTES REVECAUCHO VERDE X 22</v>
      </c>
      <c r="D3943" s="1" t="s">
        <v>14460</v>
      </c>
      <c r="E3943" s="3">
        <f>IFERROR(VLOOKUP(B3943,'DA1'!$B$2:$D$999999,3,FALSE),"")</f>
      </c>
      <c r="F3943" s="1" t="str">
        <f>IFERROR(VLOOKUP(B3943,'SB1'!$A$2:$C$999999,3,FALSE),"")</f>
        <v>503</v>
      </c>
      <c r="G3943" s="3" t="e">
        <f t="shared" si="135"/>
        <v>#VALUE!</v>
      </c>
      <c r="H3943" s="3" t="e">
        <f t="shared" si="136"/>
        <v>#VALUE!</v>
      </c>
      <c r="I3943" s="1">
        <v>1</v>
      </c>
    </row>
    <row r="3944" spans="1:9" x14ac:dyDescent="0.25">
      <c r="A3944" s="1" t="s">
        <v>14435</v>
      </c>
      <c r="B3944" s="1" t="s">
        <v>11585</v>
      </c>
      <c r="C3944" s="1" t="str">
        <f>IFERROR(VLOOKUP(B3944,'SB1'!$A$2:$B$999999,2,FALSE),"")</f>
        <v>IMPERMEABILIZANTE PARA FRENTES PLAVICON CAUCHO SUPERGOMA GRIS X  4</v>
      </c>
      <c r="D3944" s="1" t="s">
        <v>14460</v>
      </c>
      <c r="E3944" s="3">
        <f>IFERROR(VLOOKUP(B3944,'DA1'!$B$2:$D$999999,3,FALSE),"")</f>
      </c>
      <c r="F3944" s="1" t="str">
        <f>IFERROR(VLOOKUP(B3944,'SB1'!$A$2:$C$999999,3,FALSE),"")</f>
        <v>503</v>
      </c>
      <c r="G3944" s="3" t="e">
        <f t="shared" si="135"/>
        <v>#VALUE!</v>
      </c>
      <c r="H3944" s="3" t="e">
        <f t="shared" si="136"/>
        <v>#VALUE!</v>
      </c>
      <c r="I3944" s="1">
        <v>1</v>
      </c>
    </row>
    <row r="3945" spans="1:9" x14ac:dyDescent="0.25">
      <c r="A3945" s="1" t="s">
        <v>14435</v>
      </c>
      <c r="B3945" s="1" t="s">
        <v>11587</v>
      </c>
      <c r="C3945" s="1" t="str">
        <f>IFERROR(VLOOKUP(B3945,'SB1'!$A$2:$B$999999,2,FALSE),"")</f>
        <v>IMPERMEABILIZANTE PARA FRENTES PLAVICON CAUCHO SUPERGOMA GRIS X 20</v>
      </c>
      <c r="D3945" s="1" t="s">
        <v>14460</v>
      </c>
      <c r="E3945" s="3">
        <f>IFERROR(VLOOKUP(B3945,'DA1'!$B$2:$D$999999,3,FALSE),"")</f>
      </c>
      <c r="F3945" s="1" t="str">
        <f>IFERROR(VLOOKUP(B3945,'SB1'!$A$2:$C$999999,3,FALSE),"")</f>
        <v>503</v>
      </c>
      <c r="G3945" s="3" t="e">
        <f t="shared" si="135"/>
        <v>#VALUE!</v>
      </c>
      <c r="H3945" s="3" t="e">
        <f t="shared" si="136"/>
        <v>#VALUE!</v>
      </c>
      <c r="I3945" s="1">
        <v>1</v>
      </c>
    </row>
    <row r="3946" spans="1:9" x14ac:dyDescent="0.25">
      <c r="A3946" s="1" t="s">
        <v>14435</v>
      </c>
      <c r="B3946" s="1" t="s">
        <v>11605</v>
      </c>
      <c r="C3946" s="1" t="str">
        <f>IFERROR(VLOOKUP(B3946,'SB1'!$A$2:$B$999999,2,FALSE),"")</f>
        <v>FONDO ANTIOXIDO TERSUAVE MATE MARFIL X 20</v>
      </c>
      <c r="D3946" s="1" t="s">
        <v>14437</v>
      </c>
      <c r="E3946" s="3">
        <f>IFERROR(VLOOKUP(B3946,'DA1'!$B$2:$D$999999,3,FALSE),"")</f>
      </c>
      <c r="F3946" s="1" t="str">
        <f>IFERROR(VLOOKUP(B3946,'SB1'!$A$2:$C$999999,3,FALSE),"")</f>
        <v>503</v>
      </c>
      <c r="G3946" s="3" t="e">
        <f t="shared" si="135"/>
        <v>#VALUE!</v>
      </c>
      <c r="H3946" s="3" t="e">
        <f t="shared" si="136"/>
        <v>#VALUE!</v>
      </c>
      <c r="I3946" s="1">
        <v>1</v>
      </c>
    </row>
    <row r="3947" spans="1:9" x14ac:dyDescent="0.25">
      <c r="A3947" s="1" t="s">
        <v>14435</v>
      </c>
      <c r="B3947" s="1" t="s">
        <v>11613</v>
      </c>
      <c r="C3947" s="1" t="str">
        <f>IFERROR(VLOOKUP(B3947,'SB1'!$A$2:$B$999999,2,FALSE),"")</f>
        <v>FONDO ANTIOXIDO TERSUAVE MATE NEGRO X 20</v>
      </c>
      <c r="D3947" s="1" t="s">
        <v>14437</v>
      </c>
      <c r="E3947" s="3">
        <f>IFERROR(VLOOKUP(B3947,'DA1'!$B$2:$D$999999,3,FALSE),"")</f>
      </c>
      <c r="F3947" s="1" t="str">
        <f>IFERROR(VLOOKUP(B3947,'SB1'!$A$2:$C$999999,3,FALSE),"")</f>
        <v>503</v>
      </c>
      <c r="G3947" s="3" t="e">
        <f t="shared" si="135"/>
        <v>#VALUE!</v>
      </c>
      <c r="H3947" s="3" t="e">
        <f t="shared" si="136"/>
        <v>#VALUE!</v>
      </c>
      <c r="I3947" s="1">
        <v>1</v>
      </c>
    </row>
    <row r="3948" spans="1:9" x14ac:dyDescent="0.25">
      <c r="A3948" s="1" t="s">
        <v>14435</v>
      </c>
      <c r="B3948" s="1" t="s">
        <v>11619</v>
      </c>
      <c r="C3948" s="1" t="str">
        <f>IFERROR(VLOOKUP(B3948,'SB1'!$A$2:$B$999999,2,FALSE),"")</f>
        <v>LATEX INTERIOR/EXTERIOR TERSUAVE DECO MATE BLANCO X 20</v>
      </c>
      <c r="D3948" s="1" t="s">
        <v>14437</v>
      </c>
      <c r="E3948" s="3">
        <f>IFERROR(VLOOKUP(B3948,'DA1'!$B$2:$D$999999,3,FALSE),"")</f>
      </c>
      <c r="F3948" s="1" t="str">
        <f>IFERROR(VLOOKUP(B3948,'SB1'!$A$2:$C$999999,3,FALSE),"")</f>
        <v>503</v>
      </c>
      <c r="G3948" s="3" t="e">
        <f t="shared" si="135"/>
        <v>#VALUE!</v>
      </c>
      <c r="H3948" s="3" t="e">
        <f t="shared" si="136"/>
        <v>#VALUE!</v>
      </c>
      <c r="I3948" s="1">
        <v>1</v>
      </c>
    </row>
    <row r="3949" spans="1:9" x14ac:dyDescent="0.25">
      <c r="A3949" s="1" t="s">
        <v>14435</v>
      </c>
      <c r="B3949" s="1" t="s">
        <v>11627</v>
      </c>
      <c r="C3949" s="1" t="str">
        <f>IFERROR(VLOOKUP(B3949,'SB1'!$A$2:$B$999999,2,FALSE),"")</f>
        <v>COMPUESTO DE PULIDO Y SELLADO SIN SILICONA 3D 505 AAT CORRECTION GLAZE X 0,500(505OZ16)</v>
      </c>
      <c r="D3949" s="1" t="s">
        <v>14499</v>
      </c>
      <c r="E3949" s="3">
        <f>IFERROR(VLOOKUP(B3949,'DA1'!$B$2:$D$999999,3,FALSE),"")</f>
      </c>
      <c r="F3949" s="1" t="str">
        <f>IFERROR(VLOOKUP(B3949,'SB1'!$A$2:$C$999999,3,FALSE),"")</f>
        <v>503</v>
      </c>
      <c r="G3949" s="3" t="e">
        <f t="shared" si="135"/>
        <v>#VALUE!</v>
      </c>
      <c r="H3949" s="3" t="e">
        <f t="shared" si="136"/>
        <v>#VALUE!</v>
      </c>
      <c r="I3949" s="1">
        <v>1</v>
      </c>
    </row>
    <row r="3950" spans="1:9" x14ac:dyDescent="0.25">
      <c r="A3950" s="1" t="s">
        <v>14435</v>
      </c>
      <c r="B3950" s="1" t="s">
        <v>11629</v>
      </c>
      <c r="C3950" s="1" t="str">
        <f>IFERROR(VLOOKUP(B3950,'SB1'!$A$2:$B$999999,2,FALSE),"")</f>
        <v>CREMA DE PULIDO 3D 520 ACA FINISHING POLISH X 0,500 (520OZ16)</v>
      </c>
      <c r="D3950" s="1" t="s">
        <v>14499</v>
      </c>
      <c r="E3950" s="3">
        <f>IFERROR(VLOOKUP(B3950,'DA1'!$B$2:$D$999999,3,FALSE),"")</f>
      </c>
      <c r="F3950" s="1" t="str">
        <f>IFERROR(VLOOKUP(B3950,'SB1'!$A$2:$C$999999,3,FALSE),"")</f>
        <v>503</v>
      </c>
      <c r="G3950" s="3" t="e">
        <f t="shared" si="135"/>
        <v>#VALUE!</v>
      </c>
      <c r="H3950" s="3" t="e">
        <f t="shared" si="136"/>
        <v>#VALUE!</v>
      </c>
      <c r="I3950" s="1">
        <v>1</v>
      </c>
    </row>
    <row r="3951" spans="1:9" x14ac:dyDescent="0.25">
      <c r="A3951" s="1" t="s">
        <v>14435</v>
      </c>
      <c r="B3951" s="1" t="s">
        <v>11631</v>
      </c>
      <c r="C3951" s="1" t="str">
        <f>IFERROR(VLOOKUP(B3951,'SB1'!$A$2:$B$999999,2,FALSE),"")</f>
        <v>PINTURA PARA MELAMINA RUST OLEUM MATE VERDE PACIFICO X 0,887(PA000003)</v>
      </c>
      <c r="D3951" s="1" t="s">
        <v>14475</v>
      </c>
      <c r="E3951" s="3">
        <f>IFERROR(VLOOKUP(B3951,'DA1'!$B$2:$D$999999,3,FALSE),"")</f>
      </c>
      <c r="F3951" s="1" t="str">
        <f>IFERROR(VLOOKUP(B3951,'SB1'!$A$2:$C$999999,3,FALSE),"")</f>
        <v>503</v>
      </c>
      <c r="G3951" s="3" t="e">
        <f t="shared" si="135"/>
        <v>#VALUE!</v>
      </c>
      <c r="H3951" s="3" t="e">
        <f t="shared" si="136"/>
        <v>#VALUE!</v>
      </c>
      <c r="I3951" s="1">
        <v>1</v>
      </c>
    </row>
    <row r="3952" spans="1:9" x14ac:dyDescent="0.25">
      <c r="A3952" s="1" t="s">
        <v>14435</v>
      </c>
      <c r="B3952" s="1" t="s">
        <v>11633</v>
      </c>
      <c r="C3952" s="1" t="str">
        <f>IFERROR(VLOOKUP(B3952,'SB1'!$A$2:$B$999999,2,FALSE),"")</f>
        <v>PINTURA PARA MELAMINA RUST OLEUM MATE BLANCO CRUDO X 0,887(PA000004)</v>
      </c>
      <c r="D3952" s="1" t="s">
        <v>14475</v>
      </c>
      <c r="E3952" s="3">
        <f>IFERROR(VLOOKUP(B3952,'DA1'!$B$2:$D$999999,3,FALSE),"")</f>
      </c>
      <c r="F3952" s="1" t="str">
        <f>IFERROR(VLOOKUP(B3952,'SB1'!$A$2:$C$999999,3,FALSE),"")</f>
        <v>503</v>
      </c>
      <c r="G3952" s="3" t="e">
        <f t="shared" si="135"/>
        <v>#VALUE!</v>
      </c>
      <c r="H3952" s="3" t="e">
        <f t="shared" si="136"/>
        <v>#VALUE!</v>
      </c>
      <c r="I3952" s="1">
        <v>1</v>
      </c>
    </row>
    <row r="3953" spans="1:9" x14ac:dyDescent="0.25">
      <c r="A3953" s="1" t="s">
        <v>14435</v>
      </c>
      <c r="B3953" s="1" t="s">
        <v>11635</v>
      </c>
      <c r="C3953" s="1" t="str">
        <f>IFERROR(VLOOKUP(B3953,'SB1'!$A$2:$B$999999,2,FALSE),"")</f>
        <v>PINTURA PARA MELAMINA RUST OLEUM MATE GRIS PALIDO X 0,887(PA000005)</v>
      </c>
      <c r="D3953" s="1" t="s">
        <v>14475</v>
      </c>
      <c r="E3953" s="3">
        <f>IFERROR(VLOOKUP(B3953,'DA1'!$B$2:$D$999999,3,FALSE),"")</f>
      </c>
      <c r="F3953" s="1" t="str">
        <f>IFERROR(VLOOKUP(B3953,'SB1'!$A$2:$C$999999,3,FALSE),"")</f>
        <v>503</v>
      </c>
      <c r="G3953" s="3" t="e">
        <f t="shared" si="135"/>
        <v>#VALUE!</v>
      </c>
      <c r="H3953" s="3" t="e">
        <f t="shared" si="136"/>
        <v>#VALUE!</v>
      </c>
      <c r="I3953" s="1">
        <v>1</v>
      </c>
    </row>
    <row r="3954" spans="1:9" x14ac:dyDescent="0.25">
      <c r="A3954" s="1" t="s">
        <v>14435</v>
      </c>
      <c r="B3954" s="1" t="s">
        <v>11637</v>
      </c>
      <c r="C3954" s="1" t="str">
        <f>IFERROR(VLOOKUP(B3954,'SB1'!$A$2:$B$999999,2,FALSE),"")</f>
        <v>FONDO ANTIOXIDO TERSUAVE MATE GRIS X 20</v>
      </c>
      <c r="D3954" s="1" t="s">
        <v>14437</v>
      </c>
      <c r="E3954" s="3">
        <f>IFERROR(VLOOKUP(B3954,'DA1'!$B$2:$D$999999,3,FALSE),"")</f>
      </c>
      <c r="F3954" s="1" t="str">
        <f>IFERROR(VLOOKUP(B3954,'SB1'!$A$2:$C$999999,3,FALSE),"")</f>
        <v>503</v>
      </c>
      <c r="G3954" s="3" t="e">
        <f t="shared" si="135"/>
        <v>#VALUE!</v>
      </c>
      <c r="H3954" s="3" t="e">
        <f t="shared" si="136"/>
        <v>#VALUE!</v>
      </c>
      <c r="I3954" s="1">
        <v>1</v>
      </c>
    </row>
    <row r="3955" spans="1:9" x14ac:dyDescent="0.25">
      <c r="A3955" s="1" t="s">
        <v>14435</v>
      </c>
      <c r="B3955" s="1" t="s">
        <v>11639</v>
      </c>
      <c r="C3955" s="1" t="str">
        <f>IFERROR(VLOOKUP(B3955,'SB1'!$A$2:$B$999999,2,FALSE),"")</f>
        <v>IMPERMEABILIZANTE PARA MUROS Y TECHOS TECHESCO BLANCO X  4</v>
      </c>
      <c r="D3955" s="1" t="s">
        <v>14449</v>
      </c>
      <c r="E3955" s="3">
        <f>IFERROR(VLOOKUP(B3955,'DA1'!$B$2:$D$999999,3,FALSE),"")</f>
      </c>
      <c r="F3955" s="1" t="str">
        <f>IFERROR(VLOOKUP(B3955,'SB1'!$A$2:$C$999999,3,FALSE),"")</f>
        <v>503</v>
      </c>
      <c r="G3955" s="3" t="e">
        <f t="shared" si="135"/>
        <v>#VALUE!</v>
      </c>
      <c r="H3955" s="3" t="e">
        <f t="shared" si="136"/>
        <v>#VALUE!</v>
      </c>
      <c r="I3955" s="1">
        <v>1</v>
      </c>
    </row>
    <row r="3956" spans="1:9" x14ac:dyDescent="0.25">
      <c r="A3956" s="1" t="s">
        <v>14435</v>
      </c>
      <c r="B3956" s="1" t="s">
        <v>11641</v>
      </c>
      <c r="C3956" s="1" t="str">
        <f>IFERROR(VLOOKUP(B3956,'SB1'!$A$2:$B$999999,2,FALSE),"")</f>
        <v>IMPERMEABILIZANTE PARA MUROS Y TECHOS TECHESCO BLANCO X 20</v>
      </c>
      <c r="D3956" s="1" t="s">
        <v>14449</v>
      </c>
      <c r="E3956" s="3">
        <f>IFERROR(VLOOKUP(B3956,'DA1'!$B$2:$D$999999,3,FALSE),"")</f>
      </c>
      <c r="F3956" s="1" t="str">
        <f>IFERROR(VLOOKUP(B3956,'SB1'!$A$2:$C$999999,3,FALSE),"")</f>
        <v>503</v>
      </c>
      <c r="G3956" s="3" t="e">
        <f t="shared" si="135"/>
        <v>#VALUE!</v>
      </c>
      <c r="H3956" s="3" t="e">
        <f t="shared" si="136"/>
        <v>#VALUE!</v>
      </c>
      <c r="I3956" s="1">
        <v>1</v>
      </c>
    </row>
    <row r="3957" spans="1:9" x14ac:dyDescent="0.25">
      <c r="A3957" s="1" t="s">
        <v>14435</v>
      </c>
      <c r="B3957" s="1" t="s">
        <v>11643</v>
      </c>
      <c r="C3957" s="1" t="str">
        <f>IFERROR(VLOOKUP(B3957,'SB1'!$A$2:$B$999999,2,FALSE),"")</f>
        <v>IMPERMEABILIZANTE PARA MUROS Y TECHOS TECHESCO GRIS X  4</v>
      </c>
      <c r="D3957" s="1" t="s">
        <v>14449</v>
      </c>
      <c r="E3957" s="3">
        <f>IFERROR(VLOOKUP(B3957,'DA1'!$B$2:$D$999999,3,FALSE),"")</f>
      </c>
      <c r="F3957" s="1" t="str">
        <f>IFERROR(VLOOKUP(B3957,'SB1'!$A$2:$C$999999,3,FALSE),"")</f>
        <v>503</v>
      </c>
      <c r="G3957" s="3" t="e">
        <f t="shared" si="135"/>
        <v>#VALUE!</v>
      </c>
      <c r="H3957" s="3" t="e">
        <f t="shared" si="136"/>
        <v>#VALUE!</v>
      </c>
      <c r="I3957" s="1">
        <v>1</v>
      </c>
    </row>
    <row r="3958" spans="1:9" x14ac:dyDescent="0.25">
      <c r="A3958" s="1" t="s">
        <v>14435</v>
      </c>
      <c r="B3958" s="1" t="s">
        <v>11645</v>
      </c>
      <c r="C3958" s="1" t="str">
        <f>IFERROR(VLOOKUP(B3958,'SB1'!$A$2:$B$999999,2,FALSE),"")</f>
        <v>IMPERMEABILIZANTE PARA MUROS Y TECHOS TECHESCO GRIS X 20</v>
      </c>
      <c r="D3958" s="1" t="s">
        <v>14449</v>
      </c>
      <c r="E3958" s="3">
        <f>IFERROR(VLOOKUP(B3958,'DA1'!$B$2:$D$999999,3,FALSE),"")</f>
      </c>
      <c r="F3958" s="1" t="str">
        <f>IFERROR(VLOOKUP(B3958,'SB1'!$A$2:$C$999999,3,FALSE),"")</f>
        <v>503</v>
      </c>
      <c r="G3958" s="3" t="e">
        <f t="shared" si="135"/>
        <v>#VALUE!</v>
      </c>
      <c r="H3958" s="3" t="e">
        <f t="shared" si="136"/>
        <v>#VALUE!</v>
      </c>
      <c r="I3958" s="1">
        <v>1</v>
      </c>
    </row>
    <row r="3959" spans="1:9" x14ac:dyDescent="0.25">
      <c r="A3959" s="1" t="s">
        <v>14435</v>
      </c>
      <c r="B3959" s="1" t="s">
        <v>11647</v>
      </c>
      <c r="C3959" s="1" t="str">
        <f>IFERROR(VLOOKUP(B3959,'SB1'!$A$2:$B$999999,2,FALSE),"")</f>
        <v>IMPERMEABILIZANTE PARA MUROS Y TECHOS TECHESCO GRIS OSCURO X  4</v>
      </c>
      <c r="D3959" s="1" t="s">
        <v>14449</v>
      </c>
      <c r="E3959" s="3">
        <f>IFERROR(VLOOKUP(B3959,'DA1'!$B$2:$D$999999,3,FALSE),"")</f>
      </c>
      <c r="F3959" s="1" t="str">
        <f>IFERROR(VLOOKUP(B3959,'SB1'!$A$2:$C$999999,3,FALSE),"")</f>
        <v>503</v>
      </c>
      <c r="G3959" s="3" t="e">
        <f t="shared" si="135"/>
        <v>#VALUE!</v>
      </c>
      <c r="H3959" s="3" t="e">
        <f t="shared" si="136"/>
        <v>#VALUE!</v>
      </c>
      <c r="I3959" s="1">
        <v>1</v>
      </c>
    </row>
    <row r="3960" spans="1:9" x14ac:dyDescent="0.25">
      <c r="A3960" s="1" t="s">
        <v>14435</v>
      </c>
      <c r="B3960" s="1" t="s">
        <v>11649</v>
      </c>
      <c r="C3960" s="1" t="str">
        <f>IFERROR(VLOOKUP(B3960,'SB1'!$A$2:$B$999999,2,FALSE),"")</f>
        <v>IMPERMEABILIZANTE PARA MUROS Y TECHOS TECHESCO GRIS OSCURO X 20</v>
      </c>
      <c r="D3960" s="1" t="s">
        <v>14449</v>
      </c>
      <c r="E3960" s="3">
        <f>IFERROR(VLOOKUP(B3960,'DA1'!$B$2:$D$999999,3,FALSE),"")</f>
      </c>
      <c r="F3960" s="1" t="str">
        <f>IFERROR(VLOOKUP(B3960,'SB1'!$A$2:$C$999999,3,FALSE),"")</f>
        <v>503</v>
      </c>
      <c r="G3960" s="3" t="e">
        <f t="shared" si="135"/>
        <v>#VALUE!</v>
      </c>
      <c r="H3960" s="3" t="e">
        <f t="shared" si="136"/>
        <v>#VALUE!</v>
      </c>
      <c r="I3960" s="1">
        <v>1</v>
      </c>
    </row>
    <row r="3961" spans="1:9" x14ac:dyDescent="0.25">
      <c r="A3961" s="1" t="s">
        <v>14435</v>
      </c>
      <c r="B3961" s="1" t="s">
        <v>11651</v>
      </c>
      <c r="C3961" s="1" t="str">
        <f>IFERROR(VLOOKUP(B3961,'SB1'!$A$2:$B$999999,2,FALSE),"")</f>
        <v>IMPERMEABILIZANTE PARA MUROS Y TECHOS TECHESCO ROJO X  4</v>
      </c>
      <c r="D3961" s="1" t="s">
        <v>14449</v>
      </c>
      <c r="E3961" s="3">
        <f>IFERROR(VLOOKUP(B3961,'DA1'!$B$2:$D$999999,3,FALSE),"")</f>
      </c>
      <c r="F3961" s="1" t="str">
        <f>IFERROR(VLOOKUP(B3961,'SB1'!$A$2:$C$999999,3,FALSE),"")</f>
        <v>503</v>
      </c>
      <c r="G3961" s="3" t="e">
        <f t="shared" si="135"/>
        <v>#VALUE!</v>
      </c>
      <c r="H3961" s="3" t="e">
        <f t="shared" si="136"/>
        <v>#VALUE!</v>
      </c>
      <c r="I3961" s="1">
        <v>1</v>
      </c>
    </row>
    <row r="3962" spans="1:9" x14ac:dyDescent="0.25">
      <c r="A3962" s="1" t="s">
        <v>14435</v>
      </c>
      <c r="B3962" s="1" t="s">
        <v>11653</v>
      </c>
      <c r="C3962" s="1" t="str">
        <f>IFERROR(VLOOKUP(B3962,'SB1'!$A$2:$B$999999,2,FALSE),"")</f>
        <v>IMPERMEABILIZANTE PARA MUROS Y TECHOS TECHESCO ROJO X 20</v>
      </c>
      <c r="D3962" s="1" t="s">
        <v>14449</v>
      </c>
      <c r="E3962" s="3">
        <f>IFERROR(VLOOKUP(B3962,'DA1'!$B$2:$D$999999,3,FALSE),"")</f>
      </c>
      <c r="F3962" s="1" t="str">
        <f>IFERROR(VLOOKUP(B3962,'SB1'!$A$2:$C$999999,3,FALSE),"")</f>
        <v>503</v>
      </c>
      <c r="G3962" s="3" t="e">
        <f t="shared" si="135"/>
        <v>#VALUE!</v>
      </c>
      <c r="H3962" s="3" t="e">
        <f t="shared" si="136"/>
        <v>#VALUE!</v>
      </c>
      <c r="I3962" s="1">
        <v>1</v>
      </c>
    </row>
    <row r="3963" spans="1:9" x14ac:dyDescent="0.25">
      <c r="A3963" s="1" t="s">
        <v>14435</v>
      </c>
      <c r="B3963" s="1" t="s">
        <v>11655</v>
      </c>
      <c r="C3963" s="1" t="str">
        <f>IFERROR(VLOOKUP(B3963,'SB1'!$A$2:$B$999999,2,FALSE),"")</f>
        <v>LATEX INTERIOR/EXTERIOR MULTICOLOR BLANCO X 25</v>
      </c>
      <c r="D3963" s="1" t="s">
        <v>14437</v>
      </c>
      <c r="E3963" s="3">
        <f>IFERROR(VLOOKUP(B3963,'DA1'!$B$2:$D$999999,3,FALSE),"")</f>
      </c>
      <c r="F3963" s="1" t="str">
        <f>IFERROR(VLOOKUP(B3963,'SB1'!$A$2:$C$999999,3,FALSE),"")</f>
        <v>503</v>
      </c>
      <c r="G3963" s="3" t="e">
        <f t="shared" si="135"/>
        <v>#VALUE!</v>
      </c>
      <c r="H3963" s="3" t="e">
        <f t="shared" si="136"/>
        <v>#VALUE!</v>
      </c>
      <c r="I3963" s="1">
        <v>1</v>
      </c>
    </row>
    <row r="3964" spans="1:9" x14ac:dyDescent="0.25">
      <c r="A3964" s="1" t="s">
        <v>14435</v>
      </c>
      <c r="B3964" s="1" t="s">
        <v>11657</v>
      </c>
      <c r="C3964" s="1" t="str">
        <f>IFERROR(VLOOKUP(B3964,'SB1'!$A$2:$B$999999,2,FALSE),"")</f>
        <v>LATEX INTERIOR TERSUAVE LAVABLE ANTIMANCHAS MATE BLANCO X  1</v>
      </c>
      <c r="D3964" s="1" t="s">
        <v>14437</v>
      </c>
      <c r="E3964" s="3">
        <f>IFERROR(VLOOKUP(B3964,'DA1'!$B$2:$D$999999,3,FALSE),"")</f>
      </c>
      <c r="F3964" s="1" t="str">
        <f>IFERROR(VLOOKUP(B3964,'SB1'!$A$2:$C$999999,3,FALSE),"")</f>
        <v>503</v>
      </c>
      <c r="G3964" s="3" t="e">
        <f t="shared" si="135"/>
        <v>#VALUE!</v>
      </c>
      <c r="H3964" s="3" t="e">
        <f t="shared" si="136"/>
        <v>#VALUE!</v>
      </c>
      <c r="I3964" s="1">
        <v>1</v>
      </c>
    </row>
    <row r="3965" spans="1:9" x14ac:dyDescent="0.25">
      <c r="A3965" s="1" t="s">
        <v>14435</v>
      </c>
      <c r="B3965" s="1" t="s">
        <v>11659</v>
      </c>
      <c r="C3965" s="1" t="str">
        <f>IFERROR(VLOOKUP(B3965,'SB1'!$A$2:$B$999999,2,FALSE),"")</f>
        <v>LATEX INTERIOR TERSUAVE LAVABLE ANTIMANCHAS MATE BLANCO X  4</v>
      </c>
      <c r="D3965" s="1" t="s">
        <v>14437</v>
      </c>
      <c r="E3965" s="3">
        <f>IFERROR(VLOOKUP(B3965,'DA1'!$B$2:$D$999999,3,FALSE),"")</f>
      </c>
      <c r="F3965" s="1" t="str">
        <f>IFERROR(VLOOKUP(B3965,'SB1'!$A$2:$C$999999,3,FALSE),"")</f>
        <v>503</v>
      </c>
      <c r="G3965" s="3" t="e">
        <f t="shared" si="135"/>
        <v>#VALUE!</v>
      </c>
      <c r="H3965" s="3" t="e">
        <f t="shared" si="136"/>
        <v>#VALUE!</v>
      </c>
      <c r="I3965" s="1">
        <v>1</v>
      </c>
    </row>
    <row r="3966" spans="1:9" x14ac:dyDescent="0.25">
      <c r="A3966" s="1" t="s">
        <v>14435</v>
      </c>
      <c r="B3966" s="1" t="s">
        <v>11661</v>
      </c>
      <c r="C3966" s="1" t="str">
        <f>IFERROR(VLOOKUP(B3966,'SB1'!$A$2:$B$999999,2,FALSE),"")</f>
        <v>LATEX INTERIOR TERSUAVE LAVABLE ANTIMANCHAS MATE BLANCO X 10</v>
      </c>
      <c r="D3966" s="1" t="s">
        <v>14437</v>
      </c>
      <c r="E3966" s="3">
        <f>IFERROR(VLOOKUP(B3966,'DA1'!$B$2:$D$999999,3,FALSE),"")</f>
      </c>
      <c r="F3966" s="1" t="str">
        <f>IFERROR(VLOOKUP(B3966,'SB1'!$A$2:$C$999999,3,FALSE),"")</f>
        <v>503</v>
      </c>
      <c r="G3966" s="3" t="e">
        <f t="shared" si="135"/>
        <v>#VALUE!</v>
      </c>
      <c r="H3966" s="3" t="e">
        <f t="shared" si="136"/>
        <v>#VALUE!</v>
      </c>
      <c r="I3966" s="1">
        <v>1</v>
      </c>
    </row>
    <row r="3967" spans="1:9" x14ac:dyDescent="0.25">
      <c r="A3967" s="1" t="s">
        <v>14435</v>
      </c>
      <c r="B3967" s="1" t="s">
        <v>11663</v>
      </c>
      <c r="C3967" s="1" t="str">
        <f>IFERROR(VLOOKUP(B3967,'SB1'!$A$2:$B$999999,2,FALSE),"")</f>
        <v>LATEX INTERIOR TERSUAVE LAVABLE ANTIMANCHAS MATE BLANCO X 20</v>
      </c>
      <c r="D3967" s="1" t="s">
        <v>14437</v>
      </c>
      <c r="E3967" s="3">
        <f>IFERROR(VLOOKUP(B3967,'DA1'!$B$2:$D$999999,3,FALSE),"")</f>
      </c>
      <c r="F3967" s="1" t="str">
        <f>IFERROR(VLOOKUP(B3967,'SB1'!$A$2:$C$999999,3,FALSE),"")</f>
        <v>503</v>
      </c>
      <c r="G3967" s="3" t="e">
        <f t="shared" si="135"/>
        <v>#VALUE!</v>
      </c>
      <c r="H3967" s="3" t="e">
        <f t="shared" si="136"/>
        <v>#VALUE!</v>
      </c>
      <c r="I3967" s="1">
        <v>1</v>
      </c>
    </row>
    <row r="3968" spans="1:9" x14ac:dyDescent="0.25">
      <c r="A3968" s="1" t="s">
        <v>14435</v>
      </c>
      <c r="B3968" s="1" t="s">
        <v>11671</v>
      </c>
      <c r="C3968" s="1" t="str">
        <f>IFERROR(VLOOKUP(B3968,'SB1'!$A$2:$B$999999,2,FALSE),"")</f>
        <v>FONDO ANTIOXIDO TERSUAVE MATE VERDE X 20</v>
      </c>
      <c r="D3968" s="1" t="s">
        <v>14437</v>
      </c>
      <c r="E3968" s="3">
        <f>IFERROR(VLOOKUP(B3968,'DA1'!$B$2:$D$999999,3,FALSE),"")</f>
      </c>
      <c r="F3968" s="1" t="str">
        <f>IFERROR(VLOOKUP(B3968,'SB1'!$A$2:$C$999999,3,FALSE),"")</f>
        <v>503</v>
      </c>
      <c r="G3968" s="3" t="e">
        <f t="shared" si="135"/>
        <v>#VALUE!</v>
      </c>
      <c r="H3968" s="3" t="e">
        <f t="shared" si="136"/>
        <v>#VALUE!</v>
      </c>
      <c r="I3968" s="1">
        <v>1</v>
      </c>
    </row>
    <row r="3969" spans="1:9" x14ac:dyDescent="0.25">
      <c r="A3969" s="1" t="s">
        <v>14435</v>
      </c>
      <c r="B3969" s="1" t="s">
        <v>11673</v>
      </c>
      <c r="C3969" s="1" t="str">
        <f>IFERROR(VLOOKUP(B3969,'SB1'!$A$2:$B$999999,2,FALSE),"")</f>
        <v>MEMBRANA LIQUIDA PARA TECHOS TECHESCO BLANCO X  5</v>
      </c>
      <c r="D3969" s="1" t="s">
        <v>14449</v>
      </c>
      <c r="E3969" s="3">
        <f>IFERROR(VLOOKUP(B3969,'DA1'!$B$2:$D$999999,3,FALSE),"")</f>
      </c>
      <c r="F3969" s="1" t="str">
        <f>IFERROR(VLOOKUP(B3969,'SB1'!$A$2:$C$999999,3,FALSE),"")</f>
        <v>503</v>
      </c>
      <c r="G3969" s="3" t="e">
        <f t="shared" si="135"/>
        <v>#VALUE!</v>
      </c>
      <c r="H3969" s="3" t="e">
        <f t="shared" si="136"/>
        <v>#VALUE!</v>
      </c>
      <c r="I3969" s="1">
        <v>1</v>
      </c>
    </row>
    <row r="3970" spans="1:9" x14ac:dyDescent="0.25">
      <c r="A3970" s="1" t="s">
        <v>14435</v>
      </c>
      <c r="B3970" s="1" t="s">
        <v>11675</v>
      </c>
      <c r="C3970" s="1" t="str">
        <f>IFERROR(VLOOKUP(B3970,'SB1'!$A$2:$B$999999,2,FALSE),"")</f>
        <v>MEMBRANA LIQUIDA PARA TECHOS TECHESCO BLANCO X 10</v>
      </c>
      <c r="D3970" s="1" t="s">
        <v>14449</v>
      </c>
      <c r="E3970" s="3">
        <f>IFERROR(VLOOKUP(B3970,'DA1'!$B$2:$D$999999,3,FALSE),"")</f>
      </c>
      <c r="F3970" s="1" t="str">
        <f>IFERROR(VLOOKUP(B3970,'SB1'!$A$2:$C$999999,3,FALSE),"")</f>
        <v>503</v>
      </c>
      <c r="G3970" s="3" t="e">
        <f t="shared" si="135"/>
        <v>#VALUE!</v>
      </c>
      <c r="H3970" s="3" t="e">
        <f t="shared" si="136"/>
        <v>#VALUE!</v>
      </c>
      <c r="I3970" s="1">
        <v>1</v>
      </c>
    </row>
    <row r="3971" spans="1:9" x14ac:dyDescent="0.25">
      <c r="A3971" s="1" t="s">
        <v>14435</v>
      </c>
      <c r="B3971" s="1" t="s">
        <v>11677</v>
      </c>
      <c r="C3971" s="1" t="str">
        <f>IFERROR(VLOOKUP(B3971,'SB1'!$A$2:$B$999999,2,FALSE),"")</f>
        <v>MEMBRANA LIQUIDA PARA TECHOS TECHESCO BLANCO X 20</v>
      </c>
      <c r="D3971" s="1" t="s">
        <v>14449</v>
      </c>
      <c r="E3971" s="3">
        <f>IFERROR(VLOOKUP(B3971,'DA1'!$B$2:$D$999999,3,FALSE),"")</f>
      </c>
      <c r="F3971" s="1" t="str">
        <f>IFERROR(VLOOKUP(B3971,'SB1'!$A$2:$C$999999,3,FALSE),"")</f>
        <v>503</v>
      </c>
      <c r="G3971" s="3" t="e">
        <f t="shared" ref="G3971:G4034" si="137">E3971*1.04</f>
        <v>#VALUE!</v>
      </c>
      <c r="H3971" s="3" t="e">
        <f t="shared" si="136"/>
        <v>#VALUE!</v>
      </c>
      <c r="I3971" s="1">
        <v>1</v>
      </c>
    </row>
    <row r="3972" spans="1:9" x14ac:dyDescent="0.25">
      <c r="A3972" s="1" t="s">
        <v>14435</v>
      </c>
      <c r="B3972" s="1" t="s">
        <v>11679</v>
      </c>
      <c r="C3972" s="1" t="str">
        <f>IFERROR(VLOOKUP(B3972,'SB1'!$A$2:$B$999999,2,FALSE),"")</f>
        <v>MEMBRANA LIQUIDA PARA TECHOS TECHESCO NEGRO X  5</v>
      </c>
      <c r="D3972" s="1" t="s">
        <v>14449</v>
      </c>
      <c r="E3972" s="3">
        <f>IFERROR(VLOOKUP(B3972,'DA1'!$B$2:$D$999999,3,FALSE),"")</f>
      </c>
      <c r="F3972" s="1" t="str">
        <f>IFERROR(VLOOKUP(B3972,'SB1'!$A$2:$C$999999,3,FALSE),"")</f>
        <v>503</v>
      </c>
      <c r="G3972" s="3" t="e">
        <f t="shared" si="137"/>
        <v>#VALUE!</v>
      </c>
      <c r="H3972" s="3" t="e">
        <f t="shared" ref="H3972:H4035" si="138">G3972*1.21</f>
        <v>#VALUE!</v>
      </c>
      <c r="I3972" s="1">
        <v>1</v>
      </c>
    </row>
    <row r="3973" spans="1:9" x14ac:dyDescent="0.25">
      <c r="A3973" s="1" t="s">
        <v>14435</v>
      </c>
      <c r="B3973" s="1" t="s">
        <v>11681</v>
      </c>
      <c r="C3973" s="1" t="str">
        <f>IFERROR(VLOOKUP(B3973,'SB1'!$A$2:$B$999999,2,FALSE),"")</f>
        <v>MEMBRANA LIQUIDA PARA TECHOS TECHESCO NEGRO X 10</v>
      </c>
      <c r="D3973" s="1" t="s">
        <v>14449</v>
      </c>
      <c r="E3973" s="3">
        <f>IFERROR(VLOOKUP(B3973,'DA1'!$B$2:$D$999999,3,FALSE),"")</f>
      </c>
      <c r="F3973" s="1" t="str">
        <f>IFERROR(VLOOKUP(B3973,'SB1'!$A$2:$C$999999,3,FALSE),"")</f>
        <v>503</v>
      </c>
      <c r="G3973" s="3" t="e">
        <f t="shared" si="137"/>
        <v>#VALUE!</v>
      </c>
      <c r="H3973" s="3" t="e">
        <f t="shared" si="138"/>
        <v>#VALUE!</v>
      </c>
      <c r="I3973" s="1">
        <v>1</v>
      </c>
    </row>
    <row r="3974" spans="1:9" x14ac:dyDescent="0.25">
      <c r="A3974" s="1" t="s">
        <v>14435</v>
      </c>
      <c r="B3974" s="1" t="s">
        <v>11683</v>
      </c>
      <c r="C3974" s="1" t="str">
        <f>IFERROR(VLOOKUP(B3974,'SB1'!$A$2:$B$999999,2,FALSE),"")</f>
        <v>MEMBRANA LIQUIDA PARA TECHOS TECHESCO NEGRO X 20</v>
      </c>
      <c r="D3974" s="1" t="s">
        <v>14449</v>
      </c>
      <c r="E3974" s="3">
        <f>IFERROR(VLOOKUP(B3974,'DA1'!$B$2:$D$999999,3,FALSE),"")</f>
      </c>
      <c r="F3974" s="1" t="str">
        <f>IFERROR(VLOOKUP(B3974,'SB1'!$A$2:$C$999999,3,FALSE),"")</f>
        <v>503</v>
      </c>
      <c r="G3974" s="3" t="e">
        <f t="shared" si="137"/>
        <v>#VALUE!</v>
      </c>
      <c r="H3974" s="3" t="e">
        <f t="shared" si="138"/>
        <v>#VALUE!</v>
      </c>
      <c r="I3974" s="1">
        <v>1</v>
      </c>
    </row>
    <row r="3975" spans="1:9" x14ac:dyDescent="0.25">
      <c r="A3975" s="1" t="s">
        <v>14435</v>
      </c>
      <c r="B3975" s="1" t="s">
        <v>11685</v>
      </c>
      <c r="C3975" s="1" t="str">
        <f>IFERROR(VLOOKUP(B3975,'SB1'!$A$2:$B$999999,2,FALSE),"")</f>
        <v>MEMBRANA LIQUIDA PARA TECHOS TECHESCO ROJO X  5</v>
      </c>
      <c r="D3975" s="1" t="s">
        <v>14449</v>
      </c>
      <c r="E3975" s="3">
        <f>IFERROR(VLOOKUP(B3975,'DA1'!$B$2:$D$999999,3,FALSE),"")</f>
      </c>
      <c r="F3975" s="1" t="str">
        <f>IFERROR(VLOOKUP(B3975,'SB1'!$A$2:$C$999999,3,FALSE),"")</f>
        <v>503</v>
      </c>
      <c r="G3975" s="3" t="e">
        <f t="shared" si="137"/>
        <v>#VALUE!</v>
      </c>
      <c r="H3975" s="3" t="e">
        <f t="shared" si="138"/>
        <v>#VALUE!</v>
      </c>
      <c r="I3975" s="1">
        <v>1</v>
      </c>
    </row>
    <row r="3976" spans="1:9" x14ac:dyDescent="0.25">
      <c r="A3976" s="1" t="s">
        <v>14435</v>
      </c>
      <c r="B3976" s="1" t="s">
        <v>11687</v>
      </c>
      <c r="C3976" s="1" t="str">
        <f>IFERROR(VLOOKUP(B3976,'SB1'!$A$2:$B$999999,2,FALSE),"")</f>
        <v>MEMBRANA LIQUIDA PARA TECHOS TECHESCO ROJO X 10</v>
      </c>
      <c r="D3976" s="1" t="s">
        <v>14449</v>
      </c>
      <c r="E3976" s="3">
        <f>IFERROR(VLOOKUP(B3976,'DA1'!$B$2:$D$999999,3,FALSE),"")</f>
      </c>
      <c r="F3976" s="1" t="str">
        <f>IFERROR(VLOOKUP(B3976,'SB1'!$A$2:$C$999999,3,FALSE),"")</f>
        <v>503</v>
      </c>
      <c r="G3976" s="3" t="e">
        <f t="shared" si="137"/>
        <v>#VALUE!</v>
      </c>
      <c r="H3976" s="3" t="e">
        <f t="shared" si="138"/>
        <v>#VALUE!</v>
      </c>
      <c r="I3976" s="1">
        <v>1</v>
      </c>
    </row>
    <row r="3977" spans="1:9" x14ac:dyDescent="0.25">
      <c r="A3977" s="1" t="s">
        <v>14435</v>
      </c>
      <c r="B3977" s="1" t="s">
        <v>11689</v>
      </c>
      <c r="C3977" s="1" t="str">
        <f>IFERROR(VLOOKUP(B3977,'SB1'!$A$2:$B$999999,2,FALSE),"")</f>
        <v>MEMBRANA LIQUIDA PARA TECHOS TECHESCO ROJO X 20</v>
      </c>
      <c r="D3977" s="1" t="s">
        <v>14449</v>
      </c>
      <c r="E3977" s="3">
        <f>IFERROR(VLOOKUP(B3977,'DA1'!$B$2:$D$999999,3,FALSE),"")</f>
      </c>
      <c r="F3977" s="1" t="str">
        <f>IFERROR(VLOOKUP(B3977,'SB1'!$A$2:$C$999999,3,FALSE),"")</f>
        <v>503</v>
      </c>
      <c r="G3977" s="3" t="e">
        <f t="shared" si="137"/>
        <v>#VALUE!</v>
      </c>
      <c r="H3977" s="3" t="e">
        <f t="shared" si="138"/>
        <v>#VALUE!</v>
      </c>
      <c r="I3977" s="1">
        <v>1</v>
      </c>
    </row>
    <row r="3978" spans="1:9" x14ac:dyDescent="0.25">
      <c r="A3978" s="1" t="s">
        <v>14435</v>
      </c>
      <c r="B3978" s="1" t="s">
        <v>11697</v>
      </c>
      <c r="C3978" s="1" t="str">
        <f>IFERROR(VLOOKUP(B3978,'SB1'!$A$2:$B$999999,2,FALSE),"")</f>
        <v>FONDO EPOXI MASTIC VANGUARD GRIS 72% X  4</v>
      </c>
      <c r="D3978" s="1" t="s">
        <v>14506</v>
      </c>
      <c r="E3978" s="3">
        <f>IFERROR(VLOOKUP(B3978,'DA1'!$B$2:$D$999999,3,FALSE),"")</f>
      </c>
      <c r="F3978" s="1" t="str">
        <f>IFERROR(VLOOKUP(B3978,'SB1'!$A$2:$C$999999,3,FALSE),"")</f>
        <v>503</v>
      </c>
      <c r="G3978" s="3" t="e">
        <f t="shared" si="137"/>
        <v>#VALUE!</v>
      </c>
      <c r="H3978" s="3" t="e">
        <f t="shared" si="138"/>
        <v>#VALUE!</v>
      </c>
      <c r="I3978" s="1">
        <v>1</v>
      </c>
    </row>
    <row r="3979" spans="1:9" x14ac:dyDescent="0.25">
      <c r="A3979" s="1" t="s">
        <v>14435</v>
      </c>
      <c r="B3979" s="1" t="s">
        <v>11701</v>
      </c>
      <c r="C3979" s="1" t="str">
        <f>IFERROR(VLOOKUP(B3979,'SB1'!$A$2:$B$999999,2,FALSE),"")</f>
        <v>CATALIZADOR PARA FONDO EPOXI MASTIC VANGUARD X  4</v>
      </c>
      <c r="D3979" s="1" t="s">
        <v>14506</v>
      </c>
      <c r="E3979" s="3">
        <f>IFERROR(VLOOKUP(B3979,'DA1'!$B$2:$D$999999,3,FALSE),"")</f>
      </c>
      <c r="F3979" s="1" t="str">
        <f>IFERROR(VLOOKUP(B3979,'SB1'!$A$2:$C$999999,3,FALSE),"")</f>
        <v>503</v>
      </c>
      <c r="G3979" s="3" t="e">
        <f t="shared" si="137"/>
        <v>#VALUE!</v>
      </c>
      <c r="H3979" s="3" t="e">
        <f t="shared" si="138"/>
        <v>#VALUE!</v>
      </c>
      <c r="I3979" s="1">
        <v>1</v>
      </c>
    </row>
    <row r="3980" spans="1:9" x14ac:dyDescent="0.25">
      <c r="A3980" s="1" t="s">
        <v>14435</v>
      </c>
      <c r="B3980" s="1" t="s">
        <v>11715</v>
      </c>
      <c r="C3980" s="1" t="str">
        <f>IFERROR(VLOOKUP(B3980,'SB1'!$A$2:$B$999999,2,FALSE),"")</f>
        <v>REVOQUE TERMOAISLANTE WEBERTHERM CLIMAMUR GRIS X 7</v>
      </c>
      <c r="D3980" s="1" t="s">
        <v>14488</v>
      </c>
      <c r="E3980" s="3">
        <f>IFERROR(VLOOKUP(B3980,'DA1'!$B$2:$D$999999,3,FALSE),"")</f>
      </c>
      <c r="F3980" s="1" t="str">
        <f>IFERROR(VLOOKUP(B3980,'SB1'!$A$2:$C$999999,3,FALSE),"")</f>
        <v>503</v>
      </c>
      <c r="G3980" s="3" t="e">
        <f t="shared" si="137"/>
        <v>#VALUE!</v>
      </c>
      <c r="H3980" s="3" t="e">
        <f t="shared" si="138"/>
        <v>#VALUE!</v>
      </c>
      <c r="I3980" s="1">
        <v>1</v>
      </c>
    </row>
    <row r="3981" spans="1:9" x14ac:dyDescent="0.25">
      <c r="A3981" s="1" t="s">
        <v>14435</v>
      </c>
      <c r="B3981" s="1" t="s">
        <v>11719</v>
      </c>
      <c r="C3981" s="1" t="str">
        <f>IFERROR(VLOOKUP(B3981,'SB1'!$A$2:$B$999999,2,FALSE),"")</f>
        <v>ACOPLE SINTETICO DUO MIX(98-0075)</v>
      </c>
      <c r="D3981" s="1" t="s">
        <v>14488</v>
      </c>
      <c r="E3981" s="3">
        <f>IFERROR(VLOOKUP(B3981,'DA1'!$B$2:$D$999999,3,FALSE),"")</f>
      </c>
      <c r="F3981" s="1" t="str">
        <f>IFERROR(VLOOKUP(B3981,'SB1'!$A$2:$C$999999,3,FALSE),"")</f>
        <v>503</v>
      </c>
      <c r="G3981" s="3" t="e">
        <f t="shared" si="137"/>
        <v>#VALUE!</v>
      </c>
      <c r="H3981" s="3" t="e">
        <f t="shared" si="138"/>
        <v>#VALUE!</v>
      </c>
      <c r="I3981" s="1">
        <v>1</v>
      </c>
    </row>
    <row r="3982" spans="1:9" x14ac:dyDescent="0.25">
      <c r="A3982" s="1" t="s">
        <v>14435</v>
      </c>
      <c r="B3982" s="1" t="s">
        <v>11735</v>
      </c>
      <c r="C3982" s="1" t="str">
        <f>IFERROR(VLOOKUP(B3982,'SB1'!$A$2:$B$999999,2,FALSE),"")</f>
        <v>LATEX INTERIOR ALBALATEX ULTRALAVABLE ANTIMARCAS MATE BASE F X  0,900</v>
      </c>
      <c r="D3982" s="1" t="s">
        <v>14480</v>
      </c>
      <c r="E3982" s="3">
        <f>IFERROR(VLOOKUP(B3982,'DA1'!$B$2:$D$999999,3,FALSE),"")</f>
      </c>
      <c r="F3982" s="1" t="str">
        <f>IFERROR(VLOOKUP(B3982,'SB1'!$A$2:$C$999999,3,FALSE),"")</f>
        <v>503</v>
      </c>
      <c r="G3982" s="3" t="e">
        <f t="shared" si="137"/>
        <v>#VALUE!</v>
      </c>
      <c r="H3982" s="3" t="e">
        <f t="shared" si="138"/>
        <v>#VALUE!</v>
      </c>
      <c r="I3982" s="1">
        <v>1</v>
      </c>
    </row>
    <row r="3983" spans="1:9" x14ac:dyDescent="0.25">
      <c r="A3983" s="1" t="s">
        <v>14435</v>
      </c>
      <c r="B3983" s="1" t="s">
        <v>11737</v>
      </c>
      <c r="C3983" s="1" t="str">
        <f>IFERROR(VLOOKUP(B3983,'SB1'!$A$2:$B$999999,2,FALSE),"")</f>
        <v>LATEX INTERIOR ALBALATEX ULTRALAVABLE ANTIMARCAS MATE BASE F X  3,600</v>
      </c>
      <c r="D3983" s="1" t="s">
        <v>14480</v>
      </c>
      <c r="E3983" s="3">
        <f>IFERROR(VLOOKUP(B3983,'DA1'!$B$2:$D$999999,3,FALSE),"")</f>
      </c>
      <c r="F3983" s="1" t="str">
        <f>IFERROR(VLOOKUP(B3983,'SB1'!$A$2:$C$999999,3,FALSE),"")</f>
        <v>503</v>
      </c>
      <c r="G3983" s="3" t="e">
        <f t="shared" si="137"/>
        <v>#VALUE!</v>
      </c>
      <c r="H3983" s="3" t="e">
        <f t="shared" si="138"/>
        <v>#VALUE!</v>
      </c>
      <c r="I3983" s="1">
        <v>1</v>
      </c>
    </row>
    <row r="3984" spans="1:9" x14ac:dyDescent="0.25">
      <c r="A3984" s="1" t="s">
        <v>14435</v>
      </c>
      <c r="B3984" s="1" t="s">
        <v>11739</v>
      </c>
      <c r="C3984" s="1" t="str">
        <f>IFERROR(VLOOKUP(B3984,'SB1'!$A$2:$B$999999,2,FALSE),"")</f>
        <v>LATEX INTERIOR ALBALATEX ULTRALAVABLE ANTIMARCAS MATE BASE F X 17,400</v>
      </c>
      <c r="D3984" s="1" t="s">
        <v>14480</v>
      </c>
      <c r="E3984" s="3">
        <f>IFERROR(VLOOKUP(B3984,'DA1'!$B$2:$D$999999,3,FALSE),"")</f>
      </c>
      <c r="F3984" s="1" t="str">
        <f>IFERROR(VLOOKUP(B3984,'SB1'!$A$2:$C$999999,3,FALSE),"")</f>
        <v>503</v>
      </c>
      <c r="G3984" s="3" t="e">
        <f t="shared" si="137"/>
        <v>#VALUE!</v>
      </c>
      <c r="H3984" s="3" t="e">
        <f t="shared" si="138"/>
        <v>#VALUE!</v>
      </c>
      <c r="I3984" s="1">
        <v>1</v>
      </c>
    </row>
    <row r="3985" spans="1:9" x14ac:dyDescent="0.25">
      <c r="A3985" s="1" t="s">
        <v>14435</v>
      </c>
      <c r="B3985" s="1" t="s">
        <v>11741</v>
      </c>
      <c r="C3985" s="1" t="str">
        <f>IFERROR(VLOOKUP(B3985,'SB1'!$A$2:$B$999999,2,FALSE),"")</f>
        <v>LATEX INTERIOR ALBALATEX ULTRALAVABLE ANTIMARCAS MATE BASE P X  0,900</v>
      </c>
      <c r="D3985" s="1" t="s">
        <v>14480</v>
      </c>
      <c r="E3985" s="3">
        <f>IFERROR(VLOOKUP(B3985,'DA1'!$B$2:$D$999999,3,FALSE),"")</f>
      </c>
      <c r="F3985" s="1" t="str">
        <f>IFERROR(VLOOKUP(B3985,'SB1'!$A$2:$C$999999,3,FALSE),"")</f>
        <v>503</v>
      </c>
      <c r="G3985" s="3" t="e">
        <f t="shared" si="137"/>
        <v>#VALUE!</v>
      </c>
      <c r="H3985" s="3" t="e">
        <f t="shared" si="138"/>
        <v>#VALUE!</v>
      </c>
      <c r="I3985" s="1">
        <v>1</v>
      </c>
    </row>
    <row r="3986" spans="1:9" x14ac:dyDescent="0.25">
      <c r="A3986" s="1" t="s">
        <v>14435</v>
      </c>
      <c r="B3986" s="1" t="s">
        <v>11743</v>
      </c>
      <c r="C3986" s="1" t="str">
        <f>IFERROR(VLOOKUP(B3986,'SB1'!$A$2:$B$999999,2,FALSE),"")</f>
        <v>LATEX INTERIOR ALBALATEX ULTRALAVABLE ANTIMARCAS MATE BASE P X  3,600</v>
      </c>
      <c r="D3986" s="1" t="s">
        <v>14480</v>
      </c>
      <c r="E3986" s="3">
        <f>IFERROR(VLOOKUP(B3986,'DA1'!$B$2:$D$999999,3,FALSE),"")</f>
      </c>
      <c r="F3986" s="1" t="str">
        <f>IFERROR(VLOOKUP(B3986,'SB1'!$A$2:$C$999999,3,FALSE),"")</f>
        <v>503</v>
      </c>
      <c r="G3986" s="3" t="e">
        <f t="shared" si="137"/>
        <v>#VALUE!</v>
      </c>
      <c r="H3986" s="3" t="e">
        <f t="shared" si="138"/>
        <v>#VALUE!</v>
      </c>
      <c r="I3986" s="1">
        <v>1</v>
      </c>
    </row>
    <row r="3987" spans="1:9" x14ac:dyDescent="0.25">
      <c r="A3987" s="1" t="s">
        <v>14435</v>
      </c>
      <c r="B3987" s="1" t="s">
        <v>11745</v>
      </c>
      <c r="C3987" s="1" t="str">
        <f>IFERROR(VLOOKUP(B3987,'SB1'!$A$2:$B$999999,2,FALSE),"")</f>
        <v>LATEX INTERIOR ALBALATEX ULTRALAVABLE ANTIMARCAS MATE BASE P X  8,700</v>
      </c>
      <c r="D3987" s="1" t="s">
        <v>14480</v>
      </c>
      <c r="E3987" s="3">
        <f>IFERROR(VLOOKUP(B3987,'DA1'!$B$2:$D$999999,3,FALSE),"")</f>
      </c>
      <c r="F3987" s="1" t="str">
        <f>IFERROR(VLOOKUP(B3987,'SB1'!$A$2:$C$999999,3,FALSE),"")</f>
        <v>503</v>
      </c>
      <c r="G3987" s="3" t="e">
        <f t="shared" si="137"/>
        <v>#VALUE!</v>
      </c>
      <c r="H3987" s="3" t="e">
        <f t="shared" si="138"/>
        <v>#VALUE!</v>
      </c>
      <c r="I3987" s="1">
        <v>1</v>
      </c>
    </row>
    <row r="3988" spans="1:9" x14ac:dyDescent="0.25">
      <c r="A3988" s="1" t="s">
        <v>14435</v>
      </c>
      <c r="B3988" s="1" t="s">
        <v>11747</v>
      </c>
      <c r="C3988" s="1" t="str">
        <f>IFERROR(VLOOKUP(B3988,'SB1'!$A$2:$B$999999,2,FALSE),"")</f>
        <v>LATEX INTERIOR ALBALATEX ULTRALAVABLE ANTIMARCAS MATE BASE P X 17,400</v>
      </c>
      <c r="D3988" s="1" t="s">
        <v>14480</v>
      </c>
      <c r="E3988" s="3">
        <f>IFERROR(VLOOKUP(B3988,'DA1'!$B$2:$D$999999,3,FALSE),"")</f>
      </c>
      <c r="F3988" s="1" t="str">
        <f>IFERROR(VLOOKUP(B3988,'SB1'!$A$2:$C$999999,3,FALSE),"")</f>
        <v>503</v>
      </c>
      <c r="G3988" s="3" t="e">
        <f t="shared" si="137"/>
        <v>#VALUE!</v>
      </c>
      <c r="H3988" s="3" t="e">
        <f t="shared" si="138"/>
        <v>#VALUE!</v>
      </c>
      <c r="I3988" s="1">
        <v>1</v>
      </c>
    </row>
    <row r="3989" spans="1:9" x14ac:dyDescent="0.25">
      <c r="A3989" s="1" t="s">
        <v>14435</v>
      </c>
      <c r="B3989" s="1" t="s">
        <v>11749</v>
      </c>
      <c r="C3989" s="1" t="str">
        <f>IFERROR(VLOOKUP(B3989,'SB1'!$A$2:$B$999999,2,FALSE),"")</f>
        <v>LATEX INTERIOR ALBALATEX ULTRALAVABLE ANTIMARCAS MATE BASE T X  0,900</v>
      </c>
      <c r="D3989" s="1" t="s">
        <v>14480</v>
      </c>
      <c r="E3989" s="3">
        <f>IFERROR(VLOOKUP(B3989,'DA1'!$B$2:$D$999999,3,FALSE),"")</f>
      </c>
      <c r="F3989" s="1" t="str">
        <f>IFERROR(VLOOKUP(B3989,'SB1'!$A$2:$C$999999,3,FALSE),"")</f>
        <v>503</v>
      </c>
      <c r="G3989" s="3" t="e">
        <f t="shared" si="137"/>
        <v>#VALUE!</v>
      </c>
      <c r="H3989" s="3" t="e">
        <f t="shared" si="138"/>
        <v>#VALUE!</v>
      </c>
      <c r="I3989" s="1">
        <v>1</v>
      </c>
    </row>
    <row r="3990" spans="1:9" x14ac:dyDescent="0.25">
      <c r="A3990" s="1" t="s">
        <v>14435</v>
      </c>
      <c r="B3990" s="1" t="s">
        <v>11751</v>
      </c>
      <c r="C3990" s="1" t="str">
        <f>IFERROR(VLOOKUP(B3990,'SB1'!$A$2:$B$999999,2,FALSE),"")</f>
        <v>LATEX INTERIOR ALBALATEX ULTRALAVABLE ANTIMARCAS MATE BASE T X  3,600</v>
      </c>
      <c r="D3990" s="1" t="s">
        <v>14480</v>
      </c>
      <c r="E3990" s="3">
        <f>IFERROR(VLOOKUP(B3990,'DA1'!$B$2:$D$999999,3,FALSE),"")</f>
      </c>
      <c r="F3990" s="1" t="str">
        <f>IFERROR(VLOOKUP(B3990,'SB1'!$A$2:$C$999999,3,FALSE),"")</f>
        <v>503</v>
      </c>
      <c r="G3990" s="3" t="e">
        <f t="shared" si="137"/>
        <v>#VALUE!</v>
      </c>
      <c r="H3990" s="3" t="e">
        <f t="shared" si="138"/>
        <v>#VALUE!</v>
      </c>
      <c r="I3990" s="1">
        <v>1</v>
      </c>
    </row>
    <row r="3991" spans="1:9" x14ac:dyDescent="0.25">
      <c r="A3991" s="1" t="s">
        <v>14435</v>
      </c>
      <c r="B3991" s="1" t="s">
        <v>11753</v>
      </c>
      <c r="C3991" s="1" t="str">
        <f>IFERROR(VLOOKUP(B3991,'SB1'!$A$2:$B$999999,2,FALSE),"")</f>
        <v>LATEX INTERIOR ALBALATEX ULTRALAVABLE ANTIMARCAS MATE BLANCO X  1</v>
      </c>
      <c r="D3991" s="1" t="s">
        <v>14441</v>
      </c>
      <c r="E3991" s="3">
        <f>IFERROR(VLOOKUP(B3991,'DA1'!$B$2:$D$999999,3,FALSE),"")</f>
      </c>
      <c r="F3991" s="1" t="str">
        <f>IFERROR(VLOOKUP(B3991,'SB1'!$A$2:$C$999999,3,FALSE),"")</f>
        <v>503</v>
      </c>
      <c r="G3991" s="3" t="e">
        <f t="shared" si="137"/>
        <v>#VALUE!</v>
      </c>
      <c r="H3991" s="3" t="e">
        <f t="shared" si="138"/>
        <v>#VALUE!</v>
      </c>
      <c r="I3991" s="1">
        <v>1</v>
      </c>
    </row>
    <row r="3992" spans="1:9" x14ac:dyDescent="0.25">
      <c r="A3992" s="1" t="s">
        <v>14435</v>
      </c>
      <c r="B3992" s="1" t="s">
        <v>11755</v>
      </c>
      <c r="C3992" s="1" t="str">
        <f>IFERROR(VLOOKUP(B3992,'SB1'!$A$2:$B$999999,2,FALSE),"")</f>
        <v>LATEX INTERIOR ALBALATEX ULTRALAVABLE ANTIMARCAS MATE BLANCO X  4</v>
      </c>
      <c r="D3992" s="1" t="s">
        <v>14441</v>
      </c>
      <c r="E3992" s="3">
        <f>IFERROR(VLOOKUP(B3992,'DA1'!$B$2:$D$999999,3,FALSE),"")</f>
      </c>
      <c r="F3992" s="1" t="str">
        <f>IFERROR(VLOOKUP(B3992,'SB1'!$A$2:$C$999999,3,FALSE),"")</f>
        <v>503</v>
      </c>
      <c r="G3992" s="3" t="e">
        <f t="shared" si="137"/>
        <v>#VALUE!</v>
      </c>
      <c r="H3992" s="3" t="e">
        <f t="shared" si="138"/>
        <v>#VALUE!</v>
      </c>
      <c r="I3992" s="1">
        <v>1</v>
      </c>
    </row>
    <row r="3993" spans="1:9" x14ac:dyDescent="0.25">
      <c r="A3993" s="1" t="s">
        <v>14435</v>
      </c>
      <c r="B3993" s="1" t="s">
        <v>11757</v>
      </c>
      <c r="C3993" s="1" t="str">
        <f>IFERROR(VLOOKUP(B3993,'SB1'!$A$2:$B$999999,2,FALSE),"")</f>
        <v>LATEX INTERIOR ALBALATEX ULTRALAVABLE ANTIMARCAS MATE BLANCO X 10</v>
      </c>
      <c r="D3993" s="1" t="s">
        <v>14441</v>
      </c>
      <c r="E3993" s="3">
        <f>IFERROR(VLOOKUP(B3993,'DA1'!$B$2:$D$999999,3,FALSE),"")</f>
      </c>
      <c r="F3993" s="1" t="str">
        <f>IFERROR(VLOOKUP(B3993,'SB1'!$A$2:$C$999999,3,FALSE),"")</f>
        <v>503</v>
      </c>
      <c r="G3993" s="3" t="e">
        <f t="shared" si="137"/>
        <v>#VALUE!</v>
      </c>
      <c r="H3993" s="3" t="e">
        <f t="shared" si="138"/>
        <v>#VALUE!</v>
      </c>
      <c r="I3993" s="1">
        <v>1</v>
      </c>
    </row>
    <row r="3994" spans="1:9" x14ac:dyDescent="0.25">
      <c r="A3994" s="1" t="s">
        <v>14435</v>
      </c>
      <c r="B3994" s="1" t="s">
        <v>11759</v>
      </c>
      <c r="C3994" s="1" t="str">
        <f>IFERROR(VLOOKUP(B3994,'SB1'!$A$2:$B$999999,2,FALSE),"")</f>
        <v>LATEX INTERIOR ALBALATEX ULTRALAVABLE ANTIMARCAS MATE BLANCO X 20</v>
      </c>
      <c r="D3994" s="1" t="s">
        <v>14441</v>
      </c>
      <c r="E3994" s="3">
        <f>IFERROR(VLOOKUP(B3994,'DA1'!$B$2:$D$999999,3,FALSE),"")</f>
      </c>
      <c r="F3994" s="1" t="str">
        <f>IFERROR(VLOOKUP(B3994,'SB1'!$A$2:$C$999999,3,FALSE),"")</f>
        <v>503</v>
      </c>
      <c r="G3994" s="3" t="e">
        <f t="shared" si="137"/>
        <v>#VALUE!</v>
      </c>
      <c r="H3994" s="3" t="e">
        <f t="shared" si="138"/>
        <v>#VALUE!</v>
      </c>
      <c r="I3994" s="1">
        <v>1</v>
      </c>
    </row>
    <row r="3995" spans="1:9" x14ac:dyDescent="0.25">
      <c r="A3995" s="1" t="s">
        <v>14435</v>
      </c>
      <c r="B3995" s="1" t="s">
        <v>11761</v>
      </c>
      <c r="C3995" s="1" t="str">
        <f>IFERROR(VLOOKUP(B3995,'SB1'!$A$2:$B$999999,2,FALSE),"")</f>
        <v>IMPERMEABILIZANTE PARA FRENTES Y MUROS ALBAFRENT MATE BASE P X  3,600</v>
      </c>
      <c r="D3995" s="1" t="s">
        <v>14480</v>
      </c>
      <c r="E3995" s="3">
        <f>IFERROR(VLOOKUP(B3995,'DA1'!$B$2:$D$999999,3,FALSE),"")</f>
      </c>
      <c r="F3995" s="1" t="str">
        <f>IFERROR(VLOOKUP(B3995,'SB1'!$A$2:$C$999999,3,FALSE),"")</f>
        <v>503</v>
      </c>
      <c r="G3995" s="3" t="e">
        <f t="shared" si="137"/>
        <v>#VALUE!</v>
      </c>
      <c r="H3995" s="3" t="e">
        <f t="shared" si="138"/>
        <v>#VALUE!</v>
      </c>
      <c r="I3995" s="1">
        <v>1</v>
      </c>
    </row>
    <row r="3996" spans="1:9" x14ac:dyDescent="0.25">
      <c r="A3996" s="1" t="s">
        <v>14435</v>
      </c>
      <c r="B3996" s="1" t="s">
        <v>11763</v>
      </c>
      <c r="C3996" s="1" t="str">
        <f>IFERROR(VLOOKUP(B3996,'SB1'!$A$2:$B$999999,2,FALSE),"")</f>
        <v>IMPERMEABILIZANTE PARA FRENTES Y MUROS ALBAFRENT MATE BASE P X 17,400</v>
      </c>
      <c r="D3996" s="1" t="s">
        <v>14480</v>
      </c>
      <c r="E3996" s="3">
        <f>IFERROR(VLOOKUP(B3996,'DA1'!$B$2:$D$999999,3,FALSE),"")</f>
      </c>
      <c r="F3996" s="1" t="str">
        <f>IFERROR(VLOOKUP(B3996,'SB1'!$A$2:$C$999999,3,FALSE),"")</f>
        <v>503</v>
      </c>
      <c r="G3996" s="3" t="e">
        <f t="shared" si="137"/>
        <v>#VALUE!</v>
      </c>
      <c r="H3996" s="3" t="e">
        <f t="shared" si="138"/>
        <v>#VALUE!</v>
      </c>
      <c r="I3996" s="1">
        <v>1</v>
      </c>
    </row>
    <row r="3997" spans="1:9" x14ac:dyDescent="0.25">
      <c r="A3997" s="1" t="s">
        <v>14435</v>
      </c>
      <c r="B3997" s="1" t="s">
        <v>11781</v>
      </c>
      <c r="C3997" s="1" t="str">
        <f>IFERROR(VLOOKUP(B3997,'SB1'!$A$2:$B$999999,2,FALSE),"")</f>
        <v>FONDO ANTIOXIDO TERSUAVE MATE ROJO X 20</v>
      </c>
      <c r="D3997" s="1" t="s">
        <v>14437</v>
      </c>
      <c r="E3997" s="3">
        <f>IFERROR(VLOOKUP(B3997,'DA1'!$B$2:$D$999999,3,FALSE),"")</f>
      </c>
      <c r="F3997" s="1" t="str">
        <f>IFERROR(VLOOKUP(B3997,'SB1'!$A$2:$C$999999,3,FALSE),"")</f>
        <v>503</v>
      </c>
      <c r="G3997" s="3" t="e">
        <f t="shared" si="137"/>
        <v>#VALUE!</v>
      </c>
      <c r="H3997" s="3" t="e">
        <f t="shared" si="138"/>
        <v>#VALUE!</v>
      </c>
      <c r="I3997" s="1">
        <v>1</v>
      </c>
    </row>
    <row r="3998" spans="1:9" x14ac:dyDescent="0.25">
      <c r="A3998" s="1" t="s">
        <v>14435</v>
      </c>
      <c r="B3998" s="1" t="s">
        <v>11783</v>
      </c>
      <c r="C3998" s="1" t="str">
        <f>IFERROR(VLOOKUP(B3998,'SB1'!$A$2:$B$999999,2,FALSE),"")</f>
        <v>SELLADOR PARA CABAÑAS NODULO MARRON X 0,420</v>
      </c>
      <c r="D3998" s="1" t="s">
        <v>14462</v>
      </c>
      <c r="E3998" s="3">
        <f>IFERROR(VLOOKUP(B3998,'DA1'!$B$2:$D$999999,3,FALSE),"")</f>
      </c>
      <c r="F3998" s="1" t="str">
        <f>IFERROR(VLOOKUP(B3998,'SB1'!$A$2:$C$999999,3,FALSE),"")</f>
        <v>503</v>
      </c>
      <c r="G3998" s="3" t="e">
        <f t="shared" si="137"/>
        <v>#VALUE!</v>
      </c>
      <c r="H3998" s="3" t="e">
        <f t="shared" si="138"/>
        <v>#VALUE!</v>
      </c>
      <c r="I3998" s="1">
        <v>1</v>
      </c>
    </row>
    <row r="3999" spans="1:9" x14ac:dyDescent="0.25">
      <c r="A3999" s="1" t="s">
        <v>14435</v>
      </c>
      <c r="B3999" s="1" t="s">
        <v>11787</v>
      </c>
      <c r="C3999" s="1" t="str">
        <f>IFERROR(VLOOKUP(B3999,'SB1'!$A$2:$B$999999,2,FALSE),"")</f>
        <v>ESMALTE SINTETICO TERSUAVE TRIPLE ACCION DECOLUX BRILLANTE GRIS X  1</v>
      </c>
      <c r="D3999" s="1" t="s">
        <v>14437</v>
      </c>
      <c r="E3999" s="3">
        <f>IFERROR(VLOOKUP(B3999,'DA1'!$B$2:$D$999999,3,FALSE),"")</f>
      </c>
      <c r="F3999" s="1" t="str">
        <f>IFERROR(VLOOKUP(B3999,'SB1'!$A$2:$C$999999,3,FALSE),"")</f>
        <v>503</v>
      </c>
      <c r="G3999" s="3" t="e">
        <f t="shared" si="137"/>
        <v>#VALUE!</v>
      </c>
      <c r="H3999" s="3" t="e">
        <f t="shared" si="138"/>
        <v>#VALUE!</v>
      </c>
      <c r="I3999" s="1">
        <v>1</v>
      </c>
    </row>
    <row r="4000" spans="1:9" x14ac:dyDescent="0.25">
      <c r="A4000" s="1" t="s">
        <v>14435</v>
      </c>
      <c r="B4000" s="1" t="s">
        <v>11789</v>
      </c>
      <c r="C4000" s="1" t="str">
        <f>IFERROR(VLOOKUP(B4000,'SB1'!$A$2:$B$999999,2,FALSE),"")</f>
        <v>ESMALTE SINTETICO TERSUAVE TRIPLE ACCION DECOLUX BRILLANTE GRIS X  4</v>
      </c>
      <c r="D4000" s="1" t="s">
        <v>14437</v>
      </c>
      <c r="E4000" s="3">
        <f>IFERROR(VLOOKUP(B4000,'DA1'!$B$2:$D$999999,3,FALSE),"")</f>
      </c>
      <c r="F4000" s="1" t="str">
        <f>IFERROR(VLOOKUP(B4000,'SB1'!$A$2:$C$999999,3,FALSE),"")</f>
        <v>503</v>
      </c>
      <c r="G4000" s="3" t="e">
        <f t="shared" si="137"/>
        <v>#VALUE!</v>
      </c>
      <c r="H4000" s="3" t="e">
        <f t="shared" si="138"/>
        <v>#VALUE!</v>
      </c>
      <c r="I4000" s="1">
        <v>1</v>
      </c>
    </row>
    <row r="4001" spans="1:9" x14ac:dyDescent="0.25">
      <c r="A4001" s="1" t="s">
        <v>14435</v>
      </c>
      <c r="B4001" s="1" t="s">
        <v>11791</v>
      </c>
      <c r="C4001" s="1" t="str">
        <f>IFERROR(VLOOKUP(B4001,'SB1'!$A$2:$B$999999,2,FALSE),"")</f>
        <v>ESMALTE SINTETICO TERSUAVE TRIPLE ACCION DECOLUX BRILLANTE GRIS X 20</v>
      </c>
      <c r="D4001" s="1" t="s">
        <v>14437</v>
      </c>
      <c r="E4001" s="3">
        <f>IFERROR(VLOOKUP(B4001,'DA1'!$B$2:$D$999999,3,FALSE),"")</f>
      </c>
      <c r="F4001" s="1" t="str">
        <f>IFERROR(VLOOKUP(B4001,'SB1'!$A$2:$C$999999,3,FALSE),"")</f>
        <v>503</v>
      </c>
      <c r="G4001" s="3" t="e">
        <f t="shared" si="137"/>
        <v>#VALUE!</v>
      </c>
      <c r="H4001" s="3" t="e">
        <f t="shared" si="138"/>
        <v>#VALUE!</v>
      </c>
      <c r="I4001" s="1">
        <v>1</v>
      </c>
    </row>
    <row r="4002" spans="1:9" x14ac:dyDescent="0.25">
      <c r="A4002" s="1" t="s">
        <v>14435</v>
      </c>
      <c r="B4002" s="1" t="s">
        <v>11879</v>
      </c>
      <c r="C4002" s="1" t="str">
        <f>IFERROR(VLOOKUP(B4002,'SB1'!$A$2:$B$999999,2,FALSE),"")</f>
        <v>SIGMACOVER 350 (BAS16+HRD4) X 20</v>
      </c>
      <c r="D4002" s="1" t="s">
        <v>14484</v>
      </c>
      <c r="E4002" s="3">
        <f>IFERROR(VLOOKUP(B4002,'DA1'!$B$2:$D$999999,3,FALSE),"")</f>
      </c>
      <c r="F4002" s="1" t="str">
        <f>IFERROR(VLOOKUP(B4002,'SB1'!$A$2:$C$999999,3,FALSE),"")</f>
        <v>503</v>
      </c>
      <c r="G4002" s="3" t="e">
        <f t="shared" si="137"/>
        <v>#VALUE!</v>
      </c>
      <c r="H4002" s="3" t="e">
        <f t="shared" si="138"/>
        <v>#VALUE!</v>
      </c>
      <c r="I4002" s="1">
        <v>3</v>
      </c>
    </row>
    <row r="4003" spans="1:9" x14ac:dyDescent="0.25">
      <c r="A4003" s="1" t="s">
        <v>14435</v>
      </c>
      <c r="B4003" s="1" t="s">
        <v>11931</v>
      </c>
      <c r="C4003" s="1" t="str">
        <f>IFERROR(VLOOKUP(B4003,'SB1'!$A$2:$B$999999,2,FALSE),"")</f>
        <v>MOLDURA DE TERGOPOL ATTENEAS CORNIZA AT 30 X 2 MTS.</v>
      </c>
      <c r="D4003" s="1" t="s">
        <v>14509</v>
      </c>
      <c r="E4003" s="3">
        <f>IFERROR(VLOOKUP(B4003,'DA1'!$B$2:$D$999999,3,FALSE),"")</f>
      </c>
      <c r="F4003" s="1" t="str">
        <f>IFERROR(VLOOKUP(B4003,'SB1'!$A$2:$C$999999,3,FALSE),"")</f>
        <v>503</v>
      </c>
      <c r="G4003" s="3" t="e">
        <f t="shared" si="137"/>
        <v>#VALUE!</v>
      </c>
      <c r="H4003" s="3" t="e">
        <f t="shared" si="138"/>
        <v>#VALUE!</v>
      </c>
      <c r="I4003" s="1">
        <v>1</v>
      </c>
    </row>
    <row r="4004" spans="1:9" x14ac:dyDescent="0.25">
      <c r="A4004" s="1" t="s">
        <v>14435</v>
      </c>
      <c r="B4004" s="1" t="s">
        <v>11933</v>
      </c>
      <c r="C4004" s="1" t="str">
        <f>IFERROR(VLOOKUP(B4004,'SB1'!$A$2:$B$999999,2,FALSE),"")</f>
        <v>MOLDURA DE TERGOPOL ATTENEAS CORNIZA AT 35 X 2 MTS.</v>
      </c>
      <c r="D4004" s="1" t="s">
        <v>14509</v>
      </c>
      <c r="E4004" s="3">
        <f>IFERROR(VLOOKUP(B4004,'DA1'!$B$2:$D$999999,3,FALSE),"")</f>
      </c>
      <c r="F4004" s="1" t="str">
        <f>IFERROR(VLOOKUP(B4004,'SB1'!$A$2:$C$999999,3,FALSE),"")</f>
        <v>503</v>
      </c>
      <c r="G4004" s="3" t="e">
        <f t="shared" si="137"/>
        <v>#VALUE!</v>
      </c>
      <c r="H4004" s="3" t="e">
        <f t="shared" si="138"/>
        <v>#VALUE!</v>
      </c>
      <c r="I4004" s="1">
        <v>1</v>
      </c>
    </row>
    <row r="4005" spans="1:9" x14ac:dyDescent="0.25">
      <c r="A4005" s="1" t="s">
        <v>14435</v>
      </c>
      <c r="B4005" s="1" t="s">
        <v>11935</v>
      </c>
      <c r="C4005" s="1" t="str">
        <f>IFERROR(VLOOKUP(B4005,'SB1'!$A$2:$B$999999,2,FALSE),"")</f>
        <v>MOLDURA DE TERGOPOL ATTENEAS CORNIZA AT 36 X 2 MTS.</v>
      </c>
      <c r="D4005" s="1" t="s">
        <v>14509</v>
      </c>
      <c r="E4005" s="3">
        <f>IFERROR(VLOOKUP(B4005,'DA1'!$B$2:$D$999999,3,FALSE),"")</f>
      </c>
      <c r="F4005" s="1" t="str">
        <f>IFERROR(VLOOKUP(B4005,'SB1'!$A$2:$C$999999,3,FALSE),"")</f>
        <v>503</v>
      </c>
      <c r="G4005" s="3" t="e">
        <f t="shared" si="137"/>
        <v>#VALUE!</v>
      </c>
      <c r="H4005" s="3" t="e">
        <f t="shared" si="138"/>
        <v>#VALUE!</v>
      </c>
      <c r="I4005" s="1">
        <v>1</v>
      </c>
    </row>
    <row r="4006" spans="1:9" x14ac:dyDescent="0.25">
      <c r="A4006" s="1" t="s">
        <v>14435</v>
      </c>
      <c r="B4006" s="1" t="s">
        <v>11937</v>
      </c>
      <c r="C4006" s="1" t="str">
        <f>IFERROR(VLOOKUP(B4006,'SB1'!$A$2:$B$999999,2,FALSE),"")</f>
        <v>MOLDURA DE TERGOPOL ATTENEAS CORNIZA AT 40 X 2 MTS.</v>
      </c>
      <c r="D4006" s="1" t="s">
        <v>14509</v>
      </c>
      <c r="E4006" s="3">
        <f>IFERROR(VLOOKUP(B4006,'DA1'!$B$2:$D$999999,3,FALSE),"")</f>
      </c>
      <c r="F4006" s="1" t="str">
        <f>IFERROR(VLOOKUP(B4006,'SB1'!$A$2:$C$999999,3,FALSE),"")</f>
        <v>503</v>
      </c>
      <c r="G4006" s="3" t="e">
        <f t="shared" si="137"/>
        <v>#VALUE!</v>
      </c>
      <c r="H4006" s="3" t="e">
        <f t="shared" si="138"/>
        <v>#VALUE!</v>
      </c>
      <c r="I4006" s="1">
        <v>1</v>
      </c>
    </row>
    <row r="4007" spans="1:9" x14ac:dyDescent="0.25">
      <c r="A4007" s="1" t="s">
        <v>14435</v>
      </c>
      <c r="B4007" s="1" t="s">
        <v>11939</v>
      </c>
      <c r="C4007" s="1" t="str">
        <f>IFERROR(VLOOKUP(B4007,'SB1'!$A$2:$B$999999,2,FALSE),"")</f>
        <v>MOLDURA DE TERGOPOL ATTENEAS CORNIZA AT 46 X 2 MTS.</v>
      </c>
      <c r="D4007" s="1" t="s">
        <v>14509</v>
      </c>
      <c r="E4007" s="3">
        <f>IFERROR(VLOOKUP(B4007,'DA1'!$B$2:$D$999999,3,FALSE),"")</f>
      </c>
      <c r="F4007" s="1" t="str">
        <f>IFERROR(VLOOKUP(B4007,'SB1'!$A$2:$C$999999,3,FALSE),"")</f>
        <v>503</v>
      </c>
      <c r="G4007" s="3" t="e">
        <f t="shared" si="137"/>
        <v>#VALUE!</v>
      </c>
      <c r="H4007" s="3" t="e">
        <f t="shared" si="138"/>
        <v>#VALUE!</v>
      </c>
      <c r="I4007" s="1">
        <v>1</v>
      </c>
    </row>
    <row r="4008" spans="1:9" x14ac:dyDescent="0.25">
      <c r="A4008" s="1" t="s">
        <v>14435</v>
      </c>
      <c r="B4008" s="1" t="s">
        <v>11941</v>
      </c>
      <c r="C4008" s="1" t="str">
        <f>IFERROR(VLOOKUP(B4008,'SB1'!$A$2:$B$999999,2,FALSE),"")</f>
        <v>MOLDURA DE TERGOPOL ATTENEAS CORNIZA AT 49 X 2 MTS.</v>
      </c>
      <c r="D4008" s="1" t="s">
        <v>14509</v>
      </c>
      <c r="E4008" s="3">
        <f>IFERROR(VLOOKUP(B4008,'DA1'!$B$2:$D$999999,3,FALSE),"")</f>
      </c>
      <c r="F4008" s="1" t="str">
        <f>IFERROR(VLOOKUP(B4008,'SB1'!$A$2:$C$999999,3,FALSE),"")</f>
        <v>503</v>
      </c>
      <c r="G4008" s="3" t="e">
        <f t="shared" si="137"/>
        <v>#VALUE!</v>
      </c>
      <c r="H4008" s="3" t="e">
        <f t="shared" si="138"/>
        <v>#VALUE!</v>
      </c>
      <c r="I4008" s="1">
        <v>1</v>
      </c>
    </row>
    <row r="4009" spans="1:9" x14ac:dyDescent="0.25">
      <c r="A4009" s="1" t="s">
        <v>14435</v>
      </c>
      <c r="B4009" s="1" t="s">
        <v>11943</v>
      </c>
      <c r="C4009" s="1" t="str">
        <f>IFERROR(VLOOKUP(B4009,'SB1'!$A$2:$B$999999,2,FALSE),"")</f>
        <v>MOLDURA DE TERGOPOL ATTENEAS CORNIZA AT 52 X 2 MTS.</v>
      </c>
      <c r="D4009" s="1" t="s">
        <v>14509</v>
      </c>
      <c r="E4009" s="3">
        <f>IFERROR(VLOOKUP(B4009,'DA1'!$B$2:$D$999999,3,FALSE),"")</f>
      </c>
      <c r="F4009" s="1" t="str">
        <f>IFERROR(VLOOKUP(B4009,'SB1'!$A$2:$C$999999,3,FALSE),"")</f>
        <v>503</v>
      </c>
      <c r="G4009" s="3" t="e">
        <f t="shared" si="137"/>
        <v>#VALUE!</v>
      </c>
      <c r="H4009" s="3" t="e">
        <f t="shared" si="138"/>
        <v>#VALUE!</v>
      </c>
      <c r="I4009" s="1">
        <v>1</v>
      </c>
    </row>
    <row r="4010" spans="1:9" x14ac:dyDescent="0.25">
      <c r="A4010" s="1" t="s">
        <v>14435</v>
      </c>
      <c r="B4010" s="1" t="s">
        <v>11945</v>
      </c>
      <c r="C4010" s="1" t="str">
        <f>IFERROR(VLOOKUP(B4010,'SB1'!$A$2:$B$999999,2,FALSE),"")</f>
        <v>MOLDURA DE TERGOPOL ATTENEAS CORNIZA AT 58 X 2 MTS.</v>
      </c>
      <c r="D4010" s="1" t="s">
        <v>14509</v>
      </c>
      <c r="E4010" s="3">
        <f>IFERROR(VLOOKUP(B4010,'DA1'!$B$2:$D$999999,3,FALSE),"")</f>
      </c>
      <c r="F4010" s="1" t="str">
        <f>IFERROR(VLOOKUP(B4010,'SB1'!$A$2:$C$999999,3,FALSE),"")</f>
        <v>503</v>
      </c>
      <c r="G4010" s="3" t="e">
        <f t="shared" si="137"/>
        <v>#VALUE!</v>
      </c>
      <c r="H4010" s="3" t="e">
        <f t="shared" si="138"/>
        <v>#VALUE!</v>
      </c>
      <c r="I4010" s="1">
        <v>1</v>
      </c>
    </row>
    <row r="4011" spans="1:9" x14ac:dyDescent="0.25">
      <c r="A4011" s="1" t="s">
        <v>14435</v>
      </c>
      <c r="B4011" s="1" t="s">
        <v>11947</v>
      </c>
      <c r="C4011" s="1" t="str">
        <f>IFERROR(VLOOKUP(B4011,'SB1'!$A$2:$B$999999,2,FALSE),"")</f>
        <v>MOLDURA DE TERGOPOL ATTENEAS CORNIZA AT 70 X 2 MTS.</v>
      </c>
      <c r="D4011" s="1" t="s">
        <v>14509</v>
      </c>
      <c r="E4011" s="3">
        <f>IFERROR(VLOOKUP(B4011,'DA1'!$B$2:$D$999999,3,FALSE),"")</f>
      </c>
      <c r="F4011" s="1" t="str">
        <f>IFERROR(VLOOKUP(B4011,'SB1'!$A$2:$C$999999,3,FALSE),"")</f>
        <v>503</v>
      </c>
      <c r="G4011" s="3" t="e">
        <f t="shared" si="137"/>
        <v>#VALUE!</v>
      </c>
      <c r="H4011" s="3" t="e">
        <f t="shared" si="138"/>
        <v>#VALUE!</v>
      </c>
      <c r="I4011" s="1">
        <v>1</v>
      </c>
    </row>
    <row r="4012" spans="1:9" x14ac:dyDescent="0.25">
      <c r="A4012" s="1" t="s">
        <v>14435</v>
      </c>
      <c r="B4012" s="1" t="s">
        <v>11949</v>
      </c>
      <c r="C4012" s="1" t="str">
        <f>IFERROR(VLOOKUP(B4012,'SB1'!$A$2:$B$999999,2,FALSE),"")</f>
        <v>MOLDURA DE TERGOPOL ATTENEAS CORNIZA AT 76 X 2 MTS.</v>
      </c>
      <c r="D4012" s="1" t="s">
        <v>14509</v>
      </c>
      <c r="E4012" s="3">
        <f>IFERROR(VLOOKUP(B4012,'DA1'!$B$2:$D$999999,3,FALSE),"")</f>
      </c>
      <c r="F4012" s="1" t="str">
        <f>IFERROR(VLOOKUP(B4012,'SB1'!$A$2:$C$999999,3,FALSE),"")</f>
        <v>503</v>
      </c>
      <c r="G4012" s="3" t="e">
        <f t="shared" si="137"/>
        <v>#VALUE!</v>
      </c>
      <c r="H4012" s="3" t="e">
        <f t="shared" si="138"/>
        <v>#VALUE!</v>
      </c>
      <c r="I4012" s="1">
        <v>1</v>
      </c>
    </row>
    <row r="4013" spans="1:9" x14ac:dyDescent="0.25">
      <c r="A4013" s="1" t="s">
        <v>14435</v>
      </c>
      <c r="B4013" s="1" t="s">
        <v>11951</v>
      </c>
      <c r="C4013" s="1" t="str">
        <f>IFERROR(VLOOKUP(B4013,'SB1'!$A$2:$B$999999,2,FALSE),"")</f>
        <v>MOLDURA DE TERGOPOL ATTENEAS CORNIZA AT 85 X 2 MTS.</v>
      </c>
      <c r="D4013" s="1" t="s">
        <v>14509</v>
      </c>
      <c r="E4013" s="3">
        <f>IFERROR(VLOOKUP(B4013,'DA1'!$B$2:$D$999999,3,FALSE),"")</f>
      </c>
      <c r="F4013" s="1" t="str">
        <f>IFERROR(VLOOKUP(B4013,'SB1'!$A$2:$C$999999,3,FALSE),"")</f>
        <v>503</v>
      </c>
      <c r="G4013" s="3" t="e">
        <f t="shared" si="137"/>
        <v>#VALUE!</v>
      </c>
      <c r="H4013" s="3" t="e">
        <f t="shared" si="138"/>
        <v>#VALUE!</v>
      </c>
      <c r="I4013" s="1">
        <v>1</v>
      </c>
    </row>
    <row r="4014" spans="1:9" x14ac:dyDescent="0.25">
      <c r="A4014" s="1" t="s">
        <v>14435</v>
      </c>
      <c r="B4014" s="1" t="s">
        <v>11953</v>
      </c>
      <c r="C4014" s="1" t="str">
        <f>IFERROR(VLOOKUP(B4014,'SB1'!$A$2:$B$999999,2,FALSE),"")</f>
        <v>MOLDURA DE TERGOPOL ATTENEAS CORNIZA AT 90 X 2 MTS.</v>
      </c>
      <c r="D4014" s="1" t="s">
        <v>14509</v>
      </c>
      <c r="E4014" s="3">
        <f>IFERROR(VLOOKUP(B4014,'DA1'!$B$2:$D$999999,3,FALSE),"")</f>
      </c>
      <c r="F4014" s="1" t="str">
        <f>IFERROR(VLOOKUP(B4014,'SB1'!$A$2:$C$999999,3,FALSE),"")</f>
        <v>503</v>
      </c>
      <c r="G4014" s="3" t="e">
        <f t="shared" si="137"/>
        <v>#VALUE!</v>
      </c>
      <c r="H4014" s="3" t="e">
        <f t="shared" si="138"/>
        <v>#VALUE!</v>
      </c>
      <c r="I4014" s="1">
        <v>1</v>
      </c>
    </row>
    <row r="4015" spans="1:9" x14ac:dyDescent="0.25">
      <c r="A4015" s="1" t="s">
        <v>14435</v>
      </c>
      <c r="B4015" s="1" t="s">
        <v>11955</v>
      </c>
      <c r="C4015" s="1" t="str">
        <f>IFERROR(VLOOKUP(B4015,'SB1'!$A$2:$B$999999,2,FALSE),"")</f>
        <v>MOLDURA DE TERGOPOL ATTENEAS CORNIZA AT105 X 2 MTS.</v>
      </c>
      <c r="D4015" s="1" t="s">
        <v>14509</v>
      </c>
      <c r="E4015" s="3">
        <f>IFERROR(VLOOKUP(B4015,'DA1'!$B$2:$D$999999,3,FALSE),"")</f>
      </c>
      <c r="F4015" s="1" t="str">
        <f>IFERROR(VLOOKUP(B4015,'SB1'!$A$2:$C$999999,3,FALSE),"")</f>
        <v>503</v>
      </c>
      <c r="G4015" s="3" t="e">
        <f t="shared" si="137"/>
        <v>#VALUE!</v>
      </c>
      <c r="H4015" s="3" t="e">
        <f t="shared" si="138"/>
        <v>#VALUE!</v>
      </c>
      <c r="I4015" s="1">
        <v>1</v>
      </c>
    </row>
    <row r="4016" spans="1:9" x14ac:dyDescent="0.25">
      <c r="A4016" s="1" t="s">
        <v>14435</v>
      </c>
      <c r="B4016" s="1" t="s">
        <v>11957</v>
      </c>
      <c r="C4016" s="1" t="str">
        <f>IFERROR(VLOOKUP(B4016,'SB1'!$A$2:$B$999999,2,FALSE),"")</f>
        <v>MOLDURA DE TERGOPOL ATTENEAS GUARDA AT 04 X 2 MTS.</v>
      </c>
      <c r="D4016" s="1" t="s">
        <v>14509</v>
      </c>
      <c r="E4016" s="3">
        <f>IFERROR(VLOOKUP(B4016,'DA1'!$B$2:$D$999999,3,FALSE),"")</f>
      </c>
      <c r="F4016" s="1" t="str">
        <f>IFERROR(VLOOKUP(B4016,'SB1'!$A$2:$C$999999,3,FALSE),"")</f>
        <v>503</v>
      </c>
      <c r="G4016" s="3" t="e">
        <f t="shared" si="137"/>
        <v>#VALUE!</v>
      </c>
      <c r="H4016" s="3" t="e">
        <f t="shared" si="138"/>
        <v>#VALUE!</v>
      </c>
      <c r="I4016" s="1">
        <v>1</v>
      </c>
    </row>
    <row r="4017" spans="1:9" x14ac:dyDescent="0.25">
      <c r="A4017" s="1" t="s">
        <v>14435</v>
      </c>
      <c r="B4017" s="1" t="s">
        <v>11959</v>
      </c>
      <c r="C4017" s="1" t="str">
        <f>IFERROR(VLOOKUP(B4017,'SB1'!$A$2:$B$999999,2,FALSE),"")</f>
        <v>MOLDURA DE TERGOPOL ATTENEAS GUARDA AT 05 X 2 MTS.</v>
      </c>
      <c r="D4017" s="1" t="s">
        <v>14509</v>
      </c>
      <c r="E4017" s="3">
        <f>IFERROR(VLOOKUP(B4017,'DA1'!$B$2:$D$999999,3,FALSE),"")</f>
      </c>
      <c r="F4017" s="1" t="str">
        <f>IFERROR(VLOOKUP(B4017,'SB1'!$A$2:$C$999999,3,FALSE),"")</f>
        <v>503</v>
      </c>
      <c r="G4017" s="3" t="e">
        <f t="shared" si="137"/>
        <v>#VALUE!</v>
      </c>
      <c r="H4017" s="3" t="e">
        <f t="shared" si="138"/>
        <v>#VALUE!</v>
      </c>
      <c r="I4017" s="1">
        <v>1</v>
      </c>
    </row>
    <row r="4018" spans="1:9" x14ac:dyDescent="0.25">
      <c r="A4018" s="1" t="s">
        <v>14435</v>
      </c>
      <c r="B4018" s="1" t="s">
        <v>11961</v>
      </c>
      <c r="C4018" s="1" t="str">
        <f>IFERROR(VLOOKUP(B4018,'SB1'!$A$2:$B$999999,2,FALSE),"")</f>
        <v>MOLDURA DE TERGOPOL ATTENEAS GUARDA AT 06 X 2 MTS.</v>
      </c>
      <c r="D4018" s="1" t="s">
        <v>14509</v>
      </c>
      <c r="E4018" s="3">
        <f>IFERROR(VLOOKUP(B4018,'DA1'!$B$2:$D$999999,3,FALSE),"")</f>
      </c>
      <c r="F4018" s="1" t="str">
        <f>IFERROR(VLOOKUP(B4018,'SB1'!$A$2:$C$999999,3,FALSE),"")</f>
        <v>503</v>
      </c>
      <c r="G4018" s="3" t="e">
        <f t="shared" si="137"/>
        <v>#VALUE!</v>
      </c>
      <c r="H4018" s="3" t="e">
        <f t="shared" si="138"/>
        <v>#VALUE!</v>
      </c>
      <c r="I4018" s="1">
        <v>1</v>
      </c>
    </row>
    <row r="4019" spans="1:9" x14ac:dyDescent="0.25">
      <c r="A4019" s="1" t="s">
        <v>14435</v>
      </c>
      <c r="B4019" s="1" t="s">
        <v>11963</v>
      </c>
      <c r="C4019" s="1" t="str">
        <f>IFERROR(VLOOKUP(B4019,'SB1'!$A$2:$B$999999,2,FALSE),"")</f>
        <v>MOLDURA DE TERGOPOL ATTENEAS GUARDA AT 07 X 2 MTS.</v>
      </c>
      <c r="D4019" s="1" t="s">
        <v>14509</v>
      </c>
      <c r="E4019" s="3">
        <f>IFERROR(VLOOKUP(B4019,'DA1'!$B$2:$D$999999,3,FALSE),"")</f>
      </c>
      <c r="F4019" s="1" t="str">
        <f>IFERROR(VLOOKUP(B4019,'SB1'!$A$2:$C$999999,3,FALSE),"")</f>
        <v>503</v>
      </c>
      <c r="G4019" s="3" t="e">
        <f t="shared" si="137"/>
        <v>#VALUE!</v>
      </c>
      <c r="H4019" s="3" t="e">
        <f t="shared" si="138"/>
        <v>#VALUE!</v>
      </c>
      <c r="I4019" s="1">
        <v>1</v>
      </c>
    </row>
    <row r="4020" spans="1:9" x14ac:dyDescent="0.25">
      <c r="A4020" s="1" t="s">
        <v>14435</v>
      </c>
      <c r="B4020" s="1" t="s">
        <v>11993</v>
      </c>
      <c r="C4020" s="1" t="str">
        <f>IFERROR(VLOOKUP(B4020,'SB1'!$A$2:$B$999999,2,FALSE),"")</f>
        <v>IMPREGNANTE PARA MADERA CETOL CLASSIC SATINADO CAOBA X 20</v>
      </c>
      <c r="D4020" s="1" t="s">
        <v>14445</v>
      </c>
      <c r="E4020" s="3">
        <f>IFERROR(VLOOKUP(B4020,'DA1'!$B$2:$D$999999,3,FALSE),"")</f>
      </c>
      <c r="F4020" s="1" t="str">
        <f>IFERROR(VLOOKUP(B4020,'SB1'!$A$2:$C$999999,3,FALSE),"")</f>
        <v>503</v>
      </c>
      <c r="G4020" s="3" t="e">
        <f t="shared" si="137"/>
        <v>#VALUE!</v>
      </c>
      <c r="H4020" s="3" t="e">
        <f t="shared" si="138"/>
        <v>#VALUE!</v>
      </c>
      <c r="I4020" s="1">
        <v>1</v>
      </c>
    </row>
    <row r="4021" spans="1:9" x14ac:dyDescent="0.25">
      <c r="A4021" s="1" t="s">
        <v>14435</v>
      </c>
      <c r="B4021" s="1" t="s">
        <v>11995</v>
      </c>
      <c r="C4021" s="1" t="str">
        <f>IFERROR(VLOOKUP(B4021,'SB1'!$A$2:$B$999999,2,FALSE),"")</f>
        <v>IMPREGNANTE PARA MADERA CETOL CLASSIC SATINADO CEDRO X 20</v>
      </c>
      <c r="D4021" s="1" t="s">
        <v>14445</v>
      </c>
      <c r="E4021" s="3">
        <f>IFERROR(VLOOKUP(B4021,'DA1'!$B$2:$D$999999,3,FALSE),"")</f>
      </c>
      <c r="F4021" s="1" t="str">
        <f>IFERROR(VLOOKUP(B4021,'SB1'!$A$2:$C$999999,3,FALSE),"")</f>
        <v>503</v>
      </c>
      <c r="G4021" s="3" t="e">
        <f t="shared" si="137"/>
        <v>#VALUE!</v>
      </c>
      <c r="H4021" s="3" t="e">
        <f t="shared" si="138"/>
        <v>#VALUE!</v>
      </c>
      <c r="I4021" s="1">
        <v>1</v>
      </c>
    </row>
    <row r="4022" spans="1:9" x14ac:dyDescent="0.25">
      <c r="A4022" s="1" t="s">
        <v>14435</v>
      </c>
      <c r="B4022" s="1" t="s">
        <v>11997</v>
      </c>
      <c r="C4022" s="1" t="str">
        <f>IFERROR(VLOOKUP(B4022,'SB1'!$A$2:$B$999999,2,FALSE),"")</f>
        <v>IMPREGNANTE PARA MADERA CETOL CLASSIC SATINADO CRISTAL X 20</v>
      </c>
      <c r="D4022" s="1" t="s">
        <v>14445</v>
      </c>
      <c r="E4022" s="3">
        <f>IFERROR(VLOOKUP(B4022,'DA1'!$B$2:$D$999999,3,FALSE),"")</f>
      </c>
      <c r="F4022" s="1" t="str">
        <f>IFERROR(VLOOKUP(B4022,'SB1'!$A$2:$C$999999,3,FALSE),"")</f>
        <v>503</v>
      </c>
      <c r="G4022" s="3" t="e">
        <f t="shared" si="137"/>
        <v>#VALUE!</v>
      </c>
      <c r="H4022" s="3" t="e">
        <f t="shared" si="138"/>
        <v>#VALUE!</v>
      </c>
      <c r="I4022" s="1">
        <v>1</v>
      </c>
    </row>
    <row r="4023" spans="1:9" x14ac:dyDescent="0.25">
      <c r="A4023" s="1" t="s">
        <v>14435</v>
      </c>
      <c r="B4023" s="1" t="s">
        <v>11999</v>
      </c>
      <c r="C4023" s="1" t="str">
        <f>IFERROR(VLOOKUP(B4023,'SB1'!$A$2:$B$999999,2,FALSE),"")</f>
        <v>IMPREGNANTE PARA MADERA CETOL CLASSIC SATINADO NATURAL X 20</v>
      </c>
      <c r="D4023" s="1" t="s">
        <v>14445</v>
      </c>
      <c r="E4023" s="3">
        <f>IFERROR(VLOOKUP(B4023,'DA1'!$B$2:$D$999999,3,FALSE),"")</f>
      </c>
      <c r="F4023" s="1" t="str">
        <f>IFERROR(VLOOKUP(B4023,'SB1'!$A$2:$C$999999,3,FALSE),"")</f>
        <v>503</v>
      </c>
      <c r="G4023" s="3" t="e">
        <f t="shared" si="137"/>
        <v>#VALUE!</v>
      </c>
      <c r="H4023" s="3" t="e">
        <f t="shared" si="138"/>
        <v>#VALUE!</v>
      </c>
      <c r="I4023" s="1">
        <v>1</v>
      </c>
    </row>
    <row r="4024" spans="1:9" x14ac:dyDescent="0.25">
      <c r="A4024" s="1" t="s">
        <v>14435</v>
      </c>
      <c r="B4024" s="1" t="s">
        <v>12001</v>
      </c>
      <c r="C4024" s="1" t="str">
        <f>IFERROR(VLOOKUP(B4024,'SB1'!$A$2:$B$999999,2,FALSE),"")</f>
        <v>IMPREGNANTE PARA MADERA CETOL CLASSIC SATINADO NOGAL X 20</v>
      </c>
      <c r="D4024" s="1" t="s">
        <v>14445</v>
      </c>
      <c r="E4024" s="3">
        <f>IFERROR(VLOOKUP(B4024,'DA1'!$B$2:$D$999999,3,FALSE),"")</f>
      </c>
      <c r="F4024" s="1" t="str">
        <f>IFERROR(VLOOKUP(B4024,'SB1'!$A$2:$C$999999,3,FALSE),"")</f>
        <v>503</v>
      </c>
      <c r="G4024" s="3" t="e">
        <f t="shared" si="137"/>
        <v>#VALUE!</v>
      </c>
      <c r="H4024" s="3" t="e">
        <f t="shared" si="138"/>
        <v>#VALUE!</v>
      </c>
      <c r="I4024" s="1">
        <v>1</v>
      </c>
    </row>
    <row r="4025" spans="1:9" x14ac:dyDescent="0.25">
      <c r="A4025" s="1" t="s">
        <v>14435</v>
      </c>
      <c r="B4025" s="1" t="s">
        <v>12003</v>
      </c>
      <c r="C4025" s="1" t="str">
        <f>IFERROR(VLOOKUP(B4025,'SB1'!$A$2:$B$999999,2,FALSE),"")</f>
        <v>IMPREGNANTE PARA MADERA CETOL CLASSIC SATINADO ROBLE X 20</v>
      </c>
      <c r="D4025" s="1" t="s">
        <v>14445</v>
      </c>
      <c r="E4025" s="3">
        <f>IFERROR(VLOOKUP(B4025,'DA1'!$B$2:$D$999999,3,FALSE),"")</f>
      </c>
      <c r="F4025" s="1" t="str">
        <f>IFERROR(VLOOKUP(B4025,'SB1'!$A$2:$C$999999,3,FALSE),"")</f>
        <v>503</v>
      </c>
      <c r="G4025" s="3" t="e">
        <f t="shared" si="137"/>
        <v>#VALUE!</v>
      </c>
      <c r="H4025" s="3" t="e">
        <f t="shared" si="138"/>
        <v>#VALUE!</v>
      </c>
      <c r="I4025" s="1">
        <v>1</v>
      </c>
    </row>
    <row r="4026" spans="1:9" x14ac:dyDescent="0.25">
      <c r="A4026" s="1" t="s">
        <v>14435</v>
      </c>
      <c r="B4026" s="1" t="s">
        <v>12005</v>
      </c>
      <c r="C4026" s="1" t="str">
        <f>IFERROR(VLOOKUP(B4026,'SB1'!$A$2:$B$999999,2,FALSE),"")</f>
        <v>ESMALTE SINTETICO PARA PISO BRIKOL ALTO TRANSITO AMARILLO X 1</v>
      </c>
      <c r="D4026" s="1" t="s">
        <v>14491</v>
      </c>
      <c r="E4026" s="3">
        <f>IFERROR(VLOOKUP(B4026,'DA1'!$B$2:$D$999999,3,FALSE),"")</f>
      </c>
      <c r="F4026" s="1" t="str">
        <f>IFERROR(VLOOKUP(B4026,'SB1'!$A$2:$C$999999,3,FALSE),"")</f>
        <v>503</v>
      </c>
      <c r="G4026" s="3" t="e">
        <f t="shared" si="137"/>
        <v>#VALUE!</v>
      </c>
      <c r="H4026" s="3" t="e">
        <f t="shared" si="138"/>
        <v>#VALUE!</v>
      </c>
      <c r="I4026" s="1">
        <v>1</v>
      </c>
    </row>
    <row r="4027" spans="1:9" x14ac:dyDescent="0.25">
      <c r="A4027" s="1" t="s">
        <v>14435</v>
      </c>
      <c r="B4027" s="1" t="s">
        <v>12007</v>
      </c>
      <c r="C4027" s="1" t="str">
        <f>IFERROR(VLOOKUP(B4027,'SB1'!$A$2:$B$999999,2,FALSE),"")</f>
        <v>ESMALTE SINTETICO PARA PISO BRIKOL ALTO TRANSITO AMARILLO X 4</v>
      </c>
      <c r="D4027" s="1" t="s">
        <v>14491</v>
      </c>
      <c r="E4027" s="3">
        <f>IFERROR(VLOOKUP(B4027,'DA1'!$B$2:$D$999999,3,FALSE),"")</f>
      </c>
      <c r="F4027" s="1" t="str">
        <f>IFERROR(VLOOKUP(B4027,'SB1'!$A$2:$C$999999,3,FALSE),"")</f>
        <v>503</v>
      </c>
      <c r="G4027" s="3" t="e">
        <f t="shared" si="137"/>
        <v>#VALUE!</v>
      </c>
      <c r="H4027" s="3" t="e">
        <f t="shared" si="138"/>
        <v>#VALUE!</v>
      </c>
      <c r="I4027" s="1">
        <v>1</v>
      </c>
    </row>
    <row r="4028" spans="1:9" x14ac:dyDescent="0.25">
      <c r="A4028" s="1" t="s">
        <v>14435</v>
      </c>
      <c r="B4028" s="1" t="s">
        <v>12009</v>
      </c>
      <c r="C4028" s="1" t="str">
        <f>IFERROR(VLOOKUP(B4028,'SB1'!$A$2:$B$999999,2,FALSE),"")</f>
        <v>ESMALTE SINTETICO PARA PISO BRIKOL ALTO TRANSITO BLANCO X 1</v>
      </c>
      <c r="D4028" s="1" t="s">
        <v>14491</v>
      </c>
      <c r="E4028" s="3">
        <f>IFERROR(VLOOKUP(B4028,'DA1'!$B$2:$D$999999,3,FALSE),"")</f>
      </c>
      <c r="F4028" s="1" t="str">
        <f>IFERROR(VLOOKUP(B4028,'SB1'!$A$2:$C$999999,3,FALSE),"")</f>
        <v>503</v>
      </c>
      <c r="G4028" s="3" t="e">
        <f t="shared" si="137"/>
        <v>#VALUE!</v>
      </c>
      <c r="H4028" s="3" t="e">
        <f t="shared" si="138"/>
        <v>#VALUE!</v>
      </c>
      <c r="I4028" s="1">
        <v>1</v>
      </c>
    </row>
    <row r="4029" spans="1:9" x14ac:dyDescent="0.25">
      <c r="A4029" s="1" t="s">
        <v>14435</v>
      </c>
      <c r="B4029" s="1" t="s">
        <v>12011</v>
      </c>
      <c r="C4029" s="1" t="str">
        <f>IFERROR(VLOOKUP(B4029,'SB1'!$A$2:$B$999999,2,FALSE),"")</f>
        <v>ESMALTE SINTETICO PARA PISO BRIKOL ALTO TRANSITO BLANCO X 4</v>
      </c>
      <c r="D4029" s="1" t="s">
        <v>14491</v>
      </c>
      <c r="E4029" s="3">
        <f>IFERROR(VLOOKUP(B4029,'DA1'!$B$2:$D$999999,3,FALSE),"")</f>
      </c>
      <c r="F4029" s="1" t="str">
        <f>IFERROR(VLOOKUP(B4029,'SB1'!$A$2:$C$999999,3,FALSE),"")</f>
        <v>503</v>
      </c>
      <c r="G4029" s="3" t="e">
        <f t="shared" si="137"/>
        <v>#VALUE!</v>
      </c>
      <c r="H4029" s="3" t="e">
        <f t="shared" si="138"/>
        <v>#VALUE!</v>
      </c>
      <c r="I4029" s="1">
        <v>1</v>
      </c>
    </row>
    <row r="4030" spans="1:9" x14ac:dyDescent="0.25">
      <c r="A4030" s="1" t="s">
        <v>14435</v>
      </c>
      <c r="B4030" s="1" t="s">
        <v>12013</v>
      </c>
      <c r="C4030" s="1" t="str">
        <f>IFERROR(VLOOKUP(B4030,'SB1'!$A$2:$B$999999,2,FALSE),"")</f>
        <v>ESMALTE SINTETICO PARA PISO BRIKOL ALTO TRANSITO GRIS X  1</v>
      </c>
      <c r="D4030" s="1" t="s">
        <v>14491</v>
      </c>
      <c r="E4030" s="3">
        <f>IFERROR(VLOOKUP(B4030,'DA1'!$B$2:$D$999999,3,FALSE),"")</f>
      </c>
      <c r="F4030" s="1" t="str">
        <f>IFERROR(VLOOKUP(B4030,'SB1'!$A$2:$C$999999,3,FALSE),"")</f>
        <v>503</v>
      </c>
      <c r="G4030" s="3" t="e">
        <f t="shared" si="137"/>
        <v>#VALUE!</v>
      </c>
      <c r="H4030" s="3" t="e">
        <f t="shared" si="138"/>
        <v>#VALUE!</v>
      </c>
      <c r="I4030" s="1">
        <v>1</v>
      </c>
    </row>
    <row r="4031" spans="1:9" x14ac:dyDescent="0.25">
      <c r="A4031" s="1" t="s">
        <v>14435</v>
      </c>
      <c r="B4031" s="1" t="s">
        <v>12015</v>
      </c>
      <c r="C4031" s="1" t="str">
        <f>IFERROR(VLOOKUP(B4031,'SB1'!$A$2:$B$999999,2,FALSE),"")</f>
        <v>ESMALTE SINTETICO PARA PISO BRIKOL ALTO TRANSITO GRIS X  4</v>
      </c>
      <c r="D4031" s="1" t="s">
        <v>14491</v>
      </c>
      <c r="E4031" s="3">
        <f>IFERROR(VLOOKUP(B4031,'DA1'!$B$2:$D$999999,3,FALSE),"")</f>
      </c>
      <c r="F4031" s="1" t="str">
        <f>IFERROR(VLOOKUP(B4031,'SB1'!$A$2:$C$999999,3,FALSE),"")</f>
        <v>503</v>
      </c>
      <c r="G4031" s="3" t="e">
        <f t="shared" si="137"/>
        <v>#VALUE!</v>
      </c>
      <c r="H4031" s="3" t="e">
        <f t="shared" si="138"/>
        <v>#VALUE!</v>
      </c>
      <c r="I4031" s="1">
        <v>1</v>
      </c>
    </row>
    <row r="4032" spans="1:9" x14ac:dyDescent="0.25">
      <c r="A4032" s="1" t="s">
        <v>14435</v>
      </c>
      <c r="B4032" s="1" t="s">
        <v>12017</v>
      </c>
      <c r="C4032" s="1" t="str">
        <f>IFERROR(VLOOKUP(B4032,'SB1'!$A$2:$B$999999,2,FALSE),"")</f>
        <v>ESMALTE SINTETICO PARA PISO BRIKOL ALTO TRANSITO NEGRO X  1</v>
      </c>
      <c r="D4032" s="1" t="s">
        <v>14491</v>
      </c>
      <c r="E4032" s="3">
        <f>IFERROR(VLOOKUP(B4032,'DA1'!$B$2:$D$999999,3,FALSE),"")</f>
      </c>
      <c r="F4032" s="1" t="str">
        <f>IFERROR(VLOOKUP(B4032,'SB1'!$A$2:$C$999999,3,FALSE),"")</f>
        <v>503</v>
      </c>
      <c r="G4032" s="3" t="e">
        <f t="shared" si="137"/>
        <v>#VALUE!</v>
      </c>
      <c r="H4032" s="3" t="e">
        <f t="shared" si="138"/>
        <v>#VALUE!</v>
      </c>
      <c r="I4032" s="1">
        <v>1</v>
      </c>
    </row>
    <row r="4033" spans="1:9" x14ac:dyDescent="0.25">
      <c r="A4033" s="1" t="s">
        <v>14435</v>
      </c>
      <c r="B4033" s="1" t="s">
        <v>12019</v>
      </c>
      <c r="C4033" s="1" t="str">
        <f>IFERROR(VLOOKUP(B4033,'SB1'!$A$2:$B$999999,2,FALSE),"")</f>
        <v>ESMALTE SINTETICO PARA PISO BRIKOL ALTO TRANSITO NEGRO X  4</v>
      </c>
      <c r="D4033" s="1" t="s">
        <v>14491</v>
      </c>
      <c r="E4033" s="3">
        <f>IFERROR(VLOOKUP(B4033,'DA1'!$B$2:$D$999999,3,FALSE),"")</f>
      </c>
      <c r="F4033" s="1" t="str">
        <f>IFERROR(VLOOKUP(B4033,'SB1'!$A$2:$C$999999,3,FALSE),"")</f>
        <v>503</v>
      </c>
      <c r="G4033" s="3" t="e">
        <f t="shared" si="137"/>
        <v>#VALUE!</v>
      </c>
      <c r="H4033" s="3" t="e">
        <f t="shared" si="138"/>
        <v>#VALUE!</v>
      </c>
      <c r="I4033" s="1">
        <v>1</v>
      </c>
    </row>
    <row r="4034" spans="1:9" x14ac:dyDescent="0.25">
      <c r="A4034" s="1" t="s">
        <v>14435</v>
      </c>
      <c r="B4034" s="1" t="s">
        <v>12021</v>
      </c>
      <c r="C4034" s="1" t="str">
        <f>IFERROR(VLOOKUP(B4034,'SB1'!$A$2:$B$999999,2,FALSE),"")</f>
        <v>ESMALTE SINTETICO PARA PISO BRIKOL ALTO TRANSITO ROJO X  1</v>
      </c>
      <c r="D4034" s="1" t="s">
        <v>14491</v>
      </c>
      <c r="E4034" s="3">
        <f>IFERROR(VLOOKUP(B4034,'DA1'!$B$2:$D$999999,3,FALSE),"")</f>
      </c>
      <c r="F4034" s="1" t="str">
        <f>IFERROR(VLOOKUP(B4034,'SB1'!$A$2:$C$999999,3,FALSE),"")</f>
        <v>503</v>
      </c>
      <c r="G4034" s="3" t="e">
        <f t="shared" si="137"/>
        <v>#VALUE!</v>
      </c>
      <c r="H4034" s="3" t="e">
        <f t="shared" si="138"/>
        <v>#VALUE!</v>
      </c>
      <c r="I4034" s="1">
        <v>1</v>
      </c>
    </row>
    <row r="4035" spans="1:9" x14ac:dyDescent="0.25">
      <c r="A4035" s="1" t="s">
        <v>14435</v>
      </c>
      <c r="B4035" s="1" t="s">
        <v>12023</v>
      </c>
      <c r="C4035" s="1" t="str">
        <f>IFERROR(VLOOKUP(B4035,'SB1'!$A$2:$B$999999,2,FALSE),"")</f>
        <v>ESMALTE SINTETICO PARA PISO BRIKOL ALTO TRANSITO ROJO X  4</v>
      </c>
      <c r="D4035" s="1" t="s">
        <v>14491</v>
      </c>
      <c r="E4035" s="3">
        <f>IFERROR(VLOOKUP(B4035,'DA1'!$B$2:$D$999999,3,FALSE),"")</f>
      </c>
      <c r="F4035" s="1" t="str">
        <f>IFERROR(VLOOKUP(B4035,'SB1'!$A$2:$C$999999,3,FALSE),"")</f>
        <v>503</v>
      </c>
      <c r="G4035" s="3" t="e">
        <f t="shared" ref="G4035:G4098" si="139">E4035*1.04</f>
        <v>#VALUE!</v>
      </c>
      <c r="H4035" s="3" t="e">
        <f t="shared" si="138"/>
        <v>#VALUE!</v>
      </c>
      <c r="I4035" s="1">
        <v>1</v>
      </c>
    </row>
    <row r="4036" spans="1:9" x14ac:dyDescent="0.25">
      <c r="A4036" s="1" t="s">
        <v>14435</v>
      </c>
      <c r="B4036" s="1" t="s">
        <v>12025</v>
      </c>
      <c r="C4036" s="1" t="str">
        <f>IFERROR(VLOOKUP(B4036,'SB1'!$A$2:$B$999999,2,FALSE),"")</f>
        <v>ESMALTE SINTETICO PARA PISO BRIKOL ALTO TRANSITO VERDE X  1</v>
      </c>
      <c r="D4036" s="1" t="s">
        <v>14491</v>
      </c>
      <c r="E4036" s="3">
        <f>IFERROR(VLOOKUP(B4036,'DA1'!$B$2:$D$999999,3,FALSE),"")</f>
      </c>
      <c r="F4036" s="1" t="str">
        <f>IFERROR(VLOOKUP(B4036,'SB1'!$A$2:$C$999999,3,FALSE),"")</f>
        <v>503</v>
      </c>
      <c r="G4036" s="3" t="e">
        <f t="shared" si="139"/>
        <v>#VALUE!</v>
      </c>
      <c r="H4036" s="3" t="e">
        <f t="shared" ref="H4036:H4099" si="140">G4036*1.21</f>
        <v>#VALUE!</v>
      </c>
      <c r="I4036" s="1">
        <v>1</v>
      </c>
    </row>
    <row r="4037" spans="1:9" x14ac:dyDescent="0.25">
      <c r="A4037" s="1" t="s">
        <v>14435</v>
      </c>
      <c r="B4037" s="1" t="s">
        <v>12027</v>
      </c>
      <c r="C4037" s="1" t="str">
        <f>IFERROR(VLOOKUP(B4037,'SB1'!$A$2:$B$999999,2,FALSE),"")</f>
        <v>ESMALTE SINTETICO PARA PISO BRIKOL ALTO TRANSITO VERDE X  4</v>
      </c>
      <c r="D4037" s="1" t="s">
        <v>14491</v>
      </c>
      <c r="E4037" s="3">
        <f>IFERROR(VLOOKUP(B4037,'DA1'!$B$2:$D$999999,3,FALSE),"")</f>
      </c>
      <c r="F4037" s="1" t="str">
        <f>IFERROR(VLOOKUP(B4037,'SB1'!$A$2:$C$999999,3,FALSE),"")</f>
        <v>503</v>
      </c>
      <c r="G4037" s="3" t="e">
        <f t="shared" si="139"/>
        <v>#VALUE!</v>
      </c>
      <c r="H4037" s="3" t="e">
        <f t="shared" si="140"/>
        <v>#VALUE!</v>
      </c>
      <c r="I4037" s="1">
        <v>1</v>
      </c>
    </row>
    <row r="4038" spans="1:9" x14ac:dyDescent="0.25">
      <c r="A4038" s="1" t="s">
        <v>14435</v>
      </c>
      <c r="B4038" s="1" t="s">
        <v>12029</v>
      </c>
      <c r="C4038" s="1" t="str">
        <f>IFERROR(VLOOKUP(B4038,'SB1'!$A$2:$B$999999,2,FALSE),"")</f>
        <v>IMPREGNANTE PARA MADERA CETOL BALANCE CLASSIC BRILLANTE CAOBA X  1</v>
      </c>
      <c r="D4038" s="1" t="s">
        <v>14445</v>
      </c>
      <c r="E4038" s="3">
        <f>IFERROR(VLOOKUP(B4038,'DA1'!$B$2:$D$999999,3,FALSE),"")</f>
      </c>
      <c r="F4038" s="1" t="str">
        <f>IFERROR(VLOOKUP(B4038,'SB1'!$A$2:$C$999999,3,FALSE),"")</f>
        <v>503</v>
      </c>
      <c r="G4038" s="3" t="e">
        <f t="shared" si="139"/>
        <v>#VALUE!</v>
      </c>
      <c r="H4038" s="3" t="e">
        <f t="shared" si="140"/>
        <v>#VALUE!</v>
      </c>
      <c r="I4038" s="1">
        <v>1</v>
      </c>
    </row>
    <row r="4039" spans="1:9" x14ac:dyDescent="0.25">
      <c r="A4039" s="1" t="s">
        <v>14435</v>
      </c>
      <c r="B4039" s="1" t="s">
        <v>12031</v>
      </c>
      <c r="C4039" s="1" t="str">
        <f>IFERROR(VLOOKUP(B4039,'SB1'!$A$2:$B$999999,2,FALSE),"")</f>
        <v>IMPREGNANTE PARA MADERA CETOL BALANCE CLASSIC BRILLANTE CAOBA X  4</v>
      </c>
      <c r="D4039" s="1" t="s">
        <v>14445</v>
      </c>
      <c r="E4039" s="3">
        <f>IFERROR(VLOOKUP(B4039,'DA1'!$B$2:$D$999999,3,FALSE),"")</f>
      </c>
      <c r="F4039" s="1" t="str">
        <f>IFERROR(VLOOKUP(B4039,'SB1'!$A$2:$C$999999,3,FALSE),"")</f>
        <v>503</v>
      </c>
      <c r="G4039" s="3" t="e">
        <f t="shared" si="139"/>
        <v>#VALUE!</v>
      </c>
      <c r="H4039" s="3" t="e">
        <f t="shared" si="140"/>
        <v>#VALUE!</v>
      </c>
      <c r="I4039" s="1">
        <v>1</v>
      </c>
    </row>
    <row r="4040" spans="1:9" x14ac:dyDescent="0.25">
      <c r="A4040" s="1" t="s">
        <v>14435</v>
      </c>
      <c r="B4040" s="1" t="s">
        <v>12033</v>
      </c>
      <c r="C4040" s="1" t="str">
        <f>IFERROR(VLOOKUP(B4040,'SB1'!$A$2:$B$999999,2,FALSE),"")</f>
        <v>IMPREGNANTE PARA MADERA CETOL BALANCE CLASSIC BRILLANTE CRISTAL X  1</v>
      </c>
      <c r="D4040" s="1" t="s">
        <v>14445</v>
      </c>
      <c r="E4040" s="3">
        <f>IFERROR(VLOOKUP(B4040,'DA1'!$B$2:$D$999999,3,FALSE),"")</f>
      </c>
      <c r="F4040" s="1" t="str">
        <f>IFERROR(VLOOKUP(B4040,'SB1'!$A$2:$C$999999,3,FALSE),"")</f>
        <v>503</v>
      </c>
      <c r="G4040" s="3" t="e">
        <f t="shared" si="139"/>
        <v>#VALUE!</v>
      </c>
      <c r="H4040" s="3" t="e">
        <f t="shared" si="140"/>
        <v>#VALUE!</v>
      </c>
      <c r="I4040" s="1">
        <v>1</v>
      </c>
    </row>
    <row r="4041" spans="1:9" x14ac:dyDescent="0.25">
      <c r="A4041" s="1" t="s">
        <v>14435</v>
      </c>
      <c r="B4041" s="1" t="s">
        <v>12035</v>
      </c>
      <c r="C4041" s="1" t="str">
        <f>IFERROR(VLOOKUP(B4041,'SB1'!$A$2:$B$999999,2,FALSE),"")</f>
        <v>IMPREGNANTE PARA MADERA CETOL BALANCE CLASSIC BRILLANTE CRISTAL X  4</v>
      </c>
      <c r="D4041" s="1" t="s">
        <v>14445</v>
      </c>
      <c r="E4041" s="3">
        <f>IFERROR(VLOOKUP(B4041,'DA1'!$B$2:$D$999999,3,FALSE),"")</f>
      </c>
      <c r="F4041" s="1" t="str">
        <f>IFERROR(VLOOKUP(B4041,'SB1'!$A$2:$C$999999,3,FALSE),"")</f>
        <v>503</v>
      </c>
      <c r="G4041" s="3" t="e">
        <f t="shared" si="139"/>
        <v>#VALUE!</v>
      </c>
      <c r="H4041" s="3" t="e">
        <f t="shared" si="140"/>
        <v>#VALUE!</v>
      </c>
      <c r="I4041" s="1">
        <v>1</v>
      </c>
    </row>
    <row r="4042" spans="1:9" x14ac:dyDescent="0.25">
      <c r="A4042" s="1" t="s">
        <v>14435</v>
      </c>
      <c r="B4042" s="1" t="s">
        <v>12037</v>
      </c>
      <c r="C4042" s="1" t="str">
        <f>IFERROR(VLOOKUP(B4042,'SB1'!$A$2:$B$999999,2,FALSE),"")</f>
        <v>IMPREGNANTE PARA MADERA CETOL BALANCE CLASSIC BRILLANTE NATURAL X  1</v>
      </c>
      <c r="D4042" s="1" t="s">
        <v>14445</v>
      </c>
      <c r="E4042" s="3">
        <f>IFERROR(VLOOKUP(B4042,'DA1'!$B$2:$D$999999,3,FALSE),"")</f>
      </c>
      <c r="F4042" s="1" t="str">
        <f>IFERROR(VLOOKUP(B4042,'SB1'!$A$2:$C$999999,3,FALSE),"")</f>
        <v>503</v>
      </c>
      <c r="G4042" s="3" t="e">
        <f t="shared" si="139"/>
        <v>#VALUE!</v>
      </c>
      <c r="H4042" s="3" t="e">
        <f t="shared" si="140"/>
        <v>#VALUE!</v>
      </c>
      <c r="I4042" s="1">
        <v>1</v>
      </c>
    </row>
    <row r="4043" spans="1:9" x14ac:dyDescent="0.25">
      <c r="A4043" s="1" t="s">
        <v>14435</v>
      </c>
      <c r="B4043" s="1" t="s">
        <v>12039</v>
      </c>
      <c r="C4043" s="1" t="str">
        <f>IFERROR(VLOOKUP(B4043,'SB1'!$A$2:$B$999999,2,FALSE),"")</f>
        <v>IMPREGNANTE PARA MADERA CETOL BALANCE CLASSIC BRILLANTE NATURAL X  4</v>
      </c>
      <c r="D4043" s="1" t="s">
        <v>14445</v>
      </c>
      <c r="E4043" s="3">
        <f>IFERROR(VLOOKUP(B4043,'DA1'!$B$2:$D$999999,3,FALSE),"")</f>
      </c>
      <c r="F4043" s="1" t="str">
        <f>IFERROR(VLOOKUP(B4043,'SB1'!$A$2:$C$999999,3,FALSE),"")</f>
        <v>503</v>
      </c>
      <c r="G4043" s="3" t="e">
        <f t="shared" si="139"/>
        <v>#VALUE!</v>
      </c>
      <c r="H4043" s="3" t="e">
        <f t="shared" si="140"/>
        <v>#VALUE!</v>
      </c>
      <c r="I4043" s="1">
        <v>1</v>
      </c>
    </row>
    <row r="4044" spans="1:9" x14ac:dyDescent="0.25">
      <c r="A4044" s="1" t="s">
        <v>14435</v>
      </c>
      <c r="B4044" s="1" t="s">
        <v>12041</v>
      </c>
      <c r="C4044" s="1" t="str">
        <f>IFERROR(VLOOKUP(B4044,'SB1'!$A$2:$B$999999,2,FALSE),"")</f>
        <v>IMPREGNANTE PARA MADERA CETOL BALANCE CLASSIC BRILLANTE ROBLE X  1</v>
      </c>
      <c r="D4044" s="1" t="s">
        <v>14445</v>
      </c>
      <c r="E4044" s="3">
        <f>IFERROR(VLOOKUP(B4044,'DA1'!$B$2:$D$999999,3,FALSE),"")</f>
      </c>
      <c r="F4044" s="1" t="str">
        <f>IFERROR(VLOOKUP(B4044,'SB1'!$A$2:$C$999999,3,FALSE),"")</f>
        <v>503</v>
      </c>
      <c r="G4044" s="3" t="e">
        <f t="shared" si="139"/>
        <v>#VALUE!</v>
      </c>
      <c r="H4044" s="3" t="e">
        <f t="shared" si="140"/>
        <v>#VALUE!</v>
      </c>
      <c r="I4044" s="1">
        <v>1</v>
      </c>
    </row>
    <row r="4045" spans="1:9" x14ac:dyDescent="0.25">
      <c r="A4045" s="1" t="s">
        <v>14435</v>
      </c>
      <c r="B4045" s="1" t="s">
        <v>12043</v>
      </c>
      <c r="C4045" s="1" t="str">
        <f>IFERROR(VLOOKUP(B4045,'SB1'!$A$2:$B$999999,2,FALSE),"")</f>
        <v>IMPREGNANTE PARA MADERA CETOL BALANCE CLASSIC BRILLANTE ROBLE X  4</v>
      </c>
      <c r="D4045" s="1" t="s">
        <v>14445</v>
      </c>
      <c r="E4045" s="3">
        <f>IFERROR(VLOOKUP(B4045,'DA1'!$B$2:$D$999999,3,FALSE),"")</f>
      </c>
      <c r="F4045" s="1" t="str">
        <f>IFERROR(VLOOKUP(B4045,'SB1'!$A$2:$C$999999,3,FALSE),"")</f>
        <v>503</v>
      </c>
      <c r="G4045" s="3" t="e">
        <f t="shared" si="139"/>
        <v>#VALUE!</v>
      </c>
      <c r="H4045" s="3" t="e">
        <f t="shared" si="140"/>
        <v>#VALUE!</v>
      </c>
      <c r="I4045" s="1">
        <v>1</v>
      </c>
    </row>
    <row r="4046" spans="1:9" x14ac:dyDescent="0.25">
      <c r="A4046" s="1" t="s">
        <v>14435</v>
      </c>
      <c r="B4046" s="1" t="s">
        <v>12045</v>
      </c>
      <c r="C4046" s="1" t="str">
        <f>IFERROR(VLOOKUP(B4046,'SB1'!$A$2:$B$999999,2,FALSE),"")</f>
        <v>IMPREGNANTE PARA MADERA CETOL BALANCE CLASSIC SATINADO CAOBA X  1</v>
      </c>
      <c r="D4046" s="1" t="s">
        <v>14445</v>
      </c>
      <c r="E4046" s="3">
        <f>IFERROR(VLOOKUP(B4046,'DA1'!$B$2:$D$999999,3,FALSE),"")</f>
      </c>
      <c r="F4046" s="1" t="str">
        <f>IFERROR(VLOOKUP(B4046,'SB1'!$A$2:$C$999999,3,FALSE),"")</f>
        <v>503</v>
      </c>
      <c r="G4046" s="3" t="e">
        <f t="shared" si="139"/>
        <v>#VALUE!</v>
      </c>
      <c r="H4046" s="3" t="e">
        <f t="shared" si="140"/>
        <v>#VALUE!</v>
      </c>
      <c r="I4046" s="1">
        <v>1</v>
      </c>
    </row>
    <row r="4047" spans="1:9" x14ac:dyDescent="0.25">
      <c r="A4047" s="1" t="s">
        <v>14435</v>
      </c>
      <c r="B4047" s="1" t="s">
        <v>12047</v>
      </c>
      <c r="C4047" s="1" t="str">
        <f>IFERROR(VLOOKUP(B4047,'SB1'!$A$2:$B$999999,2,FALSE),"")</f>
        <v>IMPREGNANTE PARA MADERA CETOL BALANCE CLASSIC SATINADO CAOBA X  4</v>
      </c>
      <c r="D4047" s="1" t="s">
        <v>14445</v>
      </c>
      <c r="E4047" s="3">
        <f>IFERROR(VLOOKUP(B4047,'DA1'!$B$2:$D$999999,3,FALSE),"")</f>
      </c>
      <c r="F4047" s="1" t="str">
        <f>IFERROR(VLOOKUP(B4047,'SB1'!$A$2:$C$999999,3,FALSE),"")</f>
        <v>503</v>
      </c>
      <c r="G4047" s="3" t="e">
        <f t="shared" si="139"/>
        <v>#VALUE!</v>
      </c>
      <c r="H4047" s="3" t="e">
        <f t="shared" si="140"/>
        <v>#VALUE!</v>
      </c>
      <c r="I4047" s="1">
        <v>1</v>
      </c>
    </row>
    <row r="4048" spans="1:9" x14ac:dyDescent="0.25">
      <c r="A4048" s="1" t="s">
        <v>14435</v>
      </c>
      <c r="B4048" s="1" t="s">
        <v>12049</v>
      </c>
      <c r="C4048" s="1" t="str">
        <f>IFERROR(VLOOKUP(B4048,'SB1'!$A$2:$B$999999,2,FALSE),"")</f>
        <v>IMPREGNANTE PARA MADERA CETOL BALANCE CLASSIC SATINADO CRISTAL X  1</v>
      </c>
      <c r="D4048" s="1" t="s">
        <v>14445</v>
      </c>
      <c r="E4048" s="3">
        <f>IFERROR(VLOOKUP(B4048,'DA1'!$B$2:$D$999999,3,FALSE),"")</f>
      </c>
      <c r="F4048" s="1" t="str">
        <f>IFERROR(VLOOKUP(B4048,'SB1'!$A$2:$C$999999,3,FALSE),"")</f>
        <v>503</v>
      </c>
      <c r="G4048" s="3" t="e">
        <f t="shared" si="139"/>
        <v>#VALUE!</v>
      </c>
      <c r="H4048" s="3" t="e">
        <f t="shared" si="140"/>
        <v>#VALUE!</v>
      </c>
      <c r="I4048" s="1">
        <v>1</v>
      </c>
    </row>
    <row r="4049" spans="1:9" x14ac:dyDescent="0.25">
      <c r="A4049" s="1" t="s">
        <v>14435</v>
      </c>
      <c r="B4049" s="1" t="s">
        <v>12051</v>
      </c>
      <c r="C4049" s="1" t="str">
        <f>IFERROR(VLOOKUP(B4049,'SB1'!$A$2:$B$999999,2,FALSE),"")</f>
        <v>IMPREGNANTE PARA MADERA CETOL BALANCE CLASSIC SATINADO CRISTAL X  4</v>
      </c>
      <c r="D4049" s="1" t="s">
        <v>14445</v>
      </c>
      <c r="E4049" s="3">
        <f>IFERROR(VLOOKUP(B4049,'DA1'!$B$2:$D$999999,3,FALSE),"")</f>
      </c>
      <c r="F4049" s="1" t="str">
        <f>IFERROR(VLOOKUP(B4049,'SB1'!$A$2:$C$999999,3,FALSE),"")</f>
        <v>503</v>
      </c>
      <c r="G4049" s="3" t="e">
        <f t="shared" si="139"/>
        <v>#VALUE!</v>
      </c>
      <c r="H4049" s="3" t="e">
        <f t="shared" si="140"/>
        <v>#VALUE!</v>
      </c>
      <c r="I4049" s="1">
        <v>1</v>
      </c>
    </row>
    <row r="4050" spans="1:9" x14ac:dyDescent="0.25">
      <c r="A4050" s="1" t="s">
        <v>14435</v>
      </c>
      <c r="B4050" s="1" t="s">
        <v>12053</v>
      </c>
      <c r="C4050" s="1" t="str">
        <f>IFERROR(VLOOKUP(B4050,'SB1'!$A$2:$B$999999,2,FALSE),"")</f>
        <v>IMPREGNANTE PARA MADERA CETOL BALANCE CLASSIC SATINADO NATURAL X  1</v>
      </c>
      <c r="D4050" s="1" t="s">
        <v>14445</v>
      </c>
      <c r="E4050" s="3">
        <f>IFERROR(VLOOKUP(B4050,'DA1'!$B$2:$D$999999,3,FALSE),"")</f>
      </c>
      <c r="F4050" s="1" t="str">
        <f>IFERROR(VLOOKUP(B4050,'SB1'!$A$2:$C$999999,3,FALSE),"")</f>
        <v>503</v>
      </c>
      <c r="G4050" s="3" t="e">
        <f t="shared" si="139"/>
        <v>#VALUE!</v>
      </c>
      <c r="H4050" s="3" t="e">
        <f t="shared" si="140"/>
        <v>#VALUE!</v>
      </c>
      <c r="I4050" s="1">
        <v>1</v>
      </c>
    </row>
    <row r="4051" spans="1:9" x14ac:dyDescent="0.25">
      <c r="A4051" s="1" t="s">
        <v>14435</v>
      </c>
      <c r="B4051" s="1" t="s">
        <v>12055</v>
      </c>
      <c r="C4051" s="1" t="str">
        <f>IFERROR(VLOOKUP(B4051,'SB1'!$A$2:$B$999999,2,FALSE),"")</f>
        <v>IMPREGNANTE PARA MADERA CETOL BALANCE CLASSIC SATINADO NATURAL X  4</v>
      </c>
      <c r="D4051" s="1" t="s">
        <v>14445</v>
      </c>
      <c r="E4051" s="3">
        <f>IFERROR(VLOOKUP(B4051,'DA1'!$B$2:$D$999999,3,FALSE),"")</f>
      </c>
      <c r="F4051" s="1" t="str">
        <f>IFERROR(VLOOKUP(B4051,'SB1'!$A$2:$C$999999,3,FALSE),"")</f>
        <v>503</v>
      </c>
      <c r="G4051" s="3" t="e">
        <f t="shared" si="139"/>
        <v>#VALUE!</v>
      </c>
      <c r="H4051" s="3" t="e">
        <f t="shared" si="140"/>
        <v>#VALUE!</v>
      </c>
      <c r="I4051" s="1">
        <v>1</v>
      </c>
    </row>
    <row r="4052" spans="1:9" x14ac:dyDescent="0.25">
      <c r="A4052" s="1" t="s">
        <v>14435</v>
      </c>
      <c r="B4052" s="1" t="s">
        <v>12057</v>
      </c>
      <c r="C4052" s="1" t="str">
        <f>IFERROR(VLOOKUP(B4052,'SB1'!$A$2:$B$999999,2,FALSE),"")</f>
        <v>IMPREGNANTE PARA MADERA CETOL BALANCE CLASSIC SATINADO ROBLE X  1</v>
      </c>
      <c r="D4052" s="1" t="s">
        <v>14445</v>
      </c>
      <c r="E4052" s="3">
        <f>IFERROR(VLOOKUP(B4052,'DA1'!$B$2:$D$999999,3,FALSE),"")</f>
      </c>
      <c r="F4052" s="1" t="str">
        <f>IFERROR(VLOOKUP(B4052,'SB1'!$A$2:$C$999999,3,FALSE),"")</f>
        <v>503</v>
      </c>
      <c r="G4052" s="3" t="e">
        <f t="shared" si="139"/>
        <v>#VALUE!</v>
      </c>
      <c r="H4052" s="3" t="e">
        <f t="shared" si="140"/>
        <v>#VALUE!</v>
      </c>
      <c r="I4052" s="1">
        <v>1</v>
      </c>
    </row>
    <row r="4053" spans="1:9" x14ac:dyDescent="0.25">
      <c r="A4053" s="1" t="s">
        <v>14435</v>
      </c>
      <c r="B4053" s="1" t="s">
        <v>12059</v>
      </c>
      <c r="C4053" s="1" t="str">
        <f>IFERROR(VLOOKUP(B4053,'SB1'!$A$2:$B$999999,2,FALSE),"")</f>
        <v>IMPREGNANTE PARA MADERA CETOL BALANCE CLASSIC SATINADO ROBLE X  4</v>
      </c>
      <c r="D4053" s="1" t="s">
        <v>14445</v>
      </c>
      <c r="E4053" s="3">
        <f>IFERROR(VLOOKUP(B4053,'DA1'!$B$2:$D$999999,3,FALSE),"")</f>
      </c>
      <c r="F4053" s="1" t="str">
        <f>IFERROR(VLOOKUP(B4053,'SB1'!$A$2:$C$999999,3,FALSE),"")</f>
        <v>503</v>
      </c>
      <c r="G4053" s="3" t="e">
        <f t="shared" si="139"/>
        <v>#VALUE!</v>
      </c>
      <c r="H4053" s="3" t="e">
        <f t="shared" si="140"/>
        <v>#VALUE!</v>
      </c>
      <c r="I4053" s="1">
        <v>1</v>
      </c>
    </row>
    <row r="4054" spans="1:9" x14ac:dyDescent="0.25">
      <c r="A4054" s="1" t="s">
        <v>14435</v>
      </c>
      <c r="B4054" s="1" t="s">
        <v>12061</v>
      </c>
      <c r="C4054" s="1" t="str">
        <f>IFERROR(VLOOKUP(B4054,'SB1'!$A$2:$B$999999,2,FALSE),"")</f>
        <v>ESMALTE SINTETICO PARA PISO BRIKOL ALTO TRANSITO GRIS X 10</v>
      </c>
      <c r="D4054" s="1" t="s">
        <v>14491</v>
      </c>
      <c r="E4054" s="3">
        <f>IFERROR(VLOOKUP(B4054,'DA1'!$B$2:$D$999999,3,FALSE),"")</f>
      </c>
      <c r="F4054" s="1" t="str">
        <f>IFERROR(VLOOKUP(B4054,'SB1'!$A$2:$C$999999,3,FALSE),"")</f>
        <v>503</v>
      </c>
      <c r="G4054" s="3" t="e">
        <f t="shared" si="139"/>
        <v>#VALUE!</v>
      </c>
      <c r="H4054" s="3" t="e">
        <f t="shared" si="140"/>
        <v>#VALUE!</v>
      </c>
      <c r="I4054" s="1">
        <v>1</v>
      </c>
    </row>
    <row r="4055" spans="1:9" x14ac:dyDescent="0.25">
      <c r="A4055" s="1" t="s">
        <v>14435</v>
      </c>
      <c r="B4055" s="1" t="s">
        <v>12063</v>
      </c>
      <c r="C4055" s="1" t="str">
        <f>IFERROR(VLOOKUP(B4055,'SB1'!$A$2:$B$999999,2,FALSE),"")</f>
        <v>ESMALTE SINTETICO PARA PISO BRIKOL ALTO TRANSITO NEGRO X 10</v>
      </c>
      <c r="D4055" s="1" t="s">
        <v>14491</v>
      </c>
      <c r="E4055" s="3">
        <f>IFERROR(VLOOKUP(B4055,'DA1'!$B$2:$D$999999,3,FALSE),"")</f>
      </c>
      <c r="F4055" s="1" t="str">
        <f>IFERROR(VLOOKUP(B4055,'SB1'!$A$2:$C$999999,3,FALSE),"")</f>
        <v>503</v>
      </c>
      <c r="G4055" s="3" t="e">
        <f t="shared" si="139"/>
        <v>#VALUE!</v>
      </c>
      <c r="H4055" s="3" t="e">
        <f t="shared" si="140"/>
        <v>#VALUE!</v>
      </c>
      <c r="I4055" s="1">
        <v>1</v>
      </c>
    </row>
    <row r="4056" spans="1:9" x14ac:dyDescent="0.25">
      <c r="A4056" s="1" t="s">
        <v>14435</v>
      </c>
      <c r="B4056" s="1" t="s">
        <v>12065</v>
      </c>
      <c r="C4056" s="1" t="str">
        <f>IFERROR(VLOOKUP(B4056,'SB1'!$A$2:$B$999999,2,FALSE),"")</f>
        <v>ESMALTE SINTETICO PARA PISO BRIKOL ALTO TRANSITO ROJO X 10</v>
      </c>
      <c r="D4056" s="1" t="s">
        <v>14491</v>
      </c>
      <c r="E4056" s="3">
        <f>IFERROR(VLOOKUP(B4056,'DA1'!$B$2:$D$999999,3,FALSE),"")</f>
      </c>
      <c r="F4056" s="1" t="str">
        <f>IFERROR(VLOOKUP(B4056,'SB1'!$A$2:$C$999999,3,FALSE),"")</f>
        <v>503</v>
      </c>
      <c r="G4056" s="3" t="e">
        <f t="shared" si="139"/>
        <v>#VALUE!</v>
      </c>
      <c r="H4056" s="3" t="e">
        <f t="shared" si="140"/>
        <v>#VALUE!</v>
      </c>
      <c r="I4056" s="1">
        <v>1</v>
      </c>
    </row>
    <row r="4057" spans="1:9" x14ac:dyDescent="0.25">
      <c r="A4057" s="1" t="s">
        <v>14435</v>
      </c>
      <c r="B4057" s="1" t="s">
        <v>12069</v>
      </c>
      <c r="C4057" s="1" t="str">
        <f>IFERROR(VLOOKUP(B4057,'SB1'!$A$2:$B$999999,2,FALSE),"")</f>
        <v>ESMALTE SINTETICO PARA PISO BRIKOL ALTO TRANSITO VERDE X 10</v>
      </c>
      <c r="D4057" s="1" t="s">
        <v>14491</v>
      </c>
      <c r="E4057" s="3">
        <f>IFERROR(VLOOKUP(B4057,'DA1'!$B$2:$D$999999,3,FALSE),"")</f>
      </c>
      <c r="F4057" s="1" t="str">
        <f>IFERROR(VLOOKUP(B4057,'SB1'!$A$2:$C$999999,3,FALSE),"")</f>
        <v>503</v>
      </c>
      <c r="G4057" s="3" t="e">
        <f t="shared" si="139"/>
        <v>#VALUE!</v>
      </c>
      <c r="H4057" s="3" t="e">
        <f t="shared" si="140"/>
        <v>#VALUE!</v>
      </c>
      <c r="I4057" s="1">
        <v>1</v>
      </c>
    </row>
    <row r="4058" spans="1:9" x14ac:dyDescent="0.25">
      <c r="A4058" s="1" t="s">
        <v>14435</v>
      </c>
      <c r="B4058" s="1" t="s">
        <v>12075</v>
      </c>
      <c r="C4058" s="1" t="str">
        <f>IFERROR(VLOOKUP(B4058,'SB1'!$A$2:$B$999999,2,FALSE),"")</f>
        <v>IMPREGNANTE PARA PISO CETOL BALANCE DECK SATINADO NATURAL X 1</v>
      </c>
      <c r="D4058" s="1" t="s">
        <v>14445</v>
      </c>
      <c r="E4058" s="3">
        <f>IFERROR(VLOOKUP(B4058,'DA1'!$B$2:$D$999999,3,FALSE),"")</f>
      </c>
      <c r="F4058" s="1" t="str">
        <f>IFERROR(VLOOKUP(B4058,'SB1'!$A$2:$C$999999,3,FALSE),"")</f>
        <v>503</v>
      </c>
      <c r="G4058" s="3" t="e">
        <f t="shared" si="139"/>
        <v>#VALUE!</v>
      </c>
      <c r="H4058" s="3" t="e">
        <f t="shared" si="140"/>
        <v>#VALUE!</v>
      </c>
      <c r="I4058" s="1">
        <v>1</v>
      </c>
    </row>
    <row r="4059" spans="1:9" x14ac:dyDescent="0.25">
      <c r="A4059" s="1" t="s">
        <v>14435</v>
      </c>
      <c r="B4059" s="1" t="s">
        <v>12077</v>
      </c>
      <c r="C4059" s="1" t="str">
        <f>IFERROR(VLOOKUP(B4059,'SB1'!$A$2:$B$999999,2,FALSE),"")</f>
        <v>IMPREGNANTE PARA PISO CETOL BALANCE DECK SATINADO NATURAL X 4</v>
      </c>
      <c r="D4059" s="1" t="s">
        <v>14445</v>
      </c>
      <c r="E4059" s="3">
        <f>IFERROR(VLOOKUP(B4059,'DA1'!$B$2:$D$999999,3,FALSE),"")</f>
      </c>
      <c r="F4059" s="1" t="str">
        <f>IFERROR(VLOOKUP(B4059,'SB1'!$A$2:$C$999999,3,FALSE),"")</f>
        <v>503</v>
      </c>
      <c r="G4059" s="3" t="e">
        <f t="shared" si="139"/>
        <v>#VALUE!</v>
      </c>
      <c r="H4059" s="3" t="e">
        <f t="shared" si="140"/>
        <v>#VALUE!</v>
      </c>
      <c r="I4059" s="1">
        <v>1</v>
      </c>
    </row>
    <row r="4060" spans="1:9" x14ac:dyDescent="0.25">
      <c r="A4060" s="1" t="s">
        <v>14435</v>
      </c>
      <c r="B4060" s="1" t="s">
        <v>12083</v>
      </c>
      <c r="C4060" s="1" t="str">
        <f>IFERROR(VLOOKUP(B4060,'SB1'!$A$2:$B$999999,2,FALSE),"")</f>
        <v>IMPREGNANTE PARA MADERA CETOL BALANCE DURACION EXTREMA BRILLANTE CAOBA X 1</v>
      </c>
      <c r="D4060" s="1" t="s">
        <v>14439</v>
      </c>
      <c r="E4060" s="3">
        <f>IFERROR(VLOOKUP(B4060,'DA1'!$B$2:$D$999999,3,FALSE),"")</f>
      </c>
      <c r="F4060" s="1" t="str">
        <f>IFERROR(VLOOKUP(B4060,'SB1'!$A$2:$C$999999,3,FALSE),"")</f>
        <v>503</v>
      </c>
      <c r="G4060" s="3" t="e">
        <f t="shared" si="139"/>
        <v>#VALUE!</v>
      </c>
      <c r="H4060" s="3" t="e">
        <f t="shared" si="140"/>
        <v>#VALUE!</v>
      </c>
      <c r="I4060" s="1">
        <v>1</v>
      </c>
    </row>
    <row r="4061" spans="1:9" x14ac:dyDescent="0.25">
      <c r="A4061" s="1" t="s">
        <v>14435</v>
      </c>
      <c r="B4061" s="1" t="s">
        <v>12085</v>
      </c>
      <c r="C4061" s="1" t="str">
        <f>IFERROR(VLOOKUP(B4061,'SB1'!$A$2:$B$999999,2,FALSE),"")</f>
        <v>IMPREGNANTE PARA MADERA CETOL BALANCE DURACION EXTREMA BRILLANTE CAOBA X 4</v>
      </c>
      <c r="D4061" s="1" t="s">
        <v>14445</v>
      </c>
      <c r="E4061" s="3">
        <f>IFERROR(VLOOKUP(B4061,'DA1'!$B$2:$D$999999,3,FALSE),"")</f>
      </c>
      <c r="F4061" s="1" t="str">
        <f>IFERROR(VLOOKUP(B4061,'SB1'!$A$2:$C$999999,3,FALSE),"")</f>
        <v>503</v>
      </c>
      <c r="G4061" s="3" t="e">
        <f t="shared" si="139"/>
        <v>#VALUE!</v>
      </c>
      <c r="H4061" s="3" t="e">
        <f t="shared" si="140"/>
        <v>#VALUE!</v>
      </c>
      <c r="I4061" s="1">
        <v>1</v>
      </c>
    </row>
    <row r="4062" spans="1:9" x14ac:dyDescent="0.25">
      <c r="A4062" s="1" t="s">
        <v>14435</v>
      </c>
      <c r="B4062" s="1" t="s">
        <v>12087</v>
      </c>
      <c r="C4062" s="1" t="str">
        <f>IFERROR(VLOOKUP(B4062,'SB1'!$A$2:$B$999999,2,FALSE),"")</f>
        <v>IMPREGNANTE PARA MADERA CETOL BALANCE DURACION EXTREMA BRILLANTE CRISTAL X 1</v>
      </c>
      <c r="D4062" s="1" t="s">
        <v>14445</v>
      </c>
      <c r="E4062" s="3">
        <f>IFERROR(VLOOKUP(B4062,'DA1'!$B$2:$D$999999,3,FALSE),"")</f>
      </c>
      <c r="F4062" s="1" t="str">
        <f>IFERROR(VLOOKUP(B4062,'SB1'!$A$2:$C$999999,3,FALSE),"")</f>
        <v>503</v>
      </c>
      <c r="G4062" s="3" t="e">
        <f t="shared" si="139"/>
        <v>#VALUE!</v>
      </c>
      <c r="H4062" s="3" t="e">
        <f t="shared" si="140"/>
        <v>#VALUE!</v>
      </c>
      <c r="I4062" s="1">
        <v>1</v>
      </c>
    </row>
    <row r="4063" spans="1:9" x14ac:dyDescent="0.25">
      <c r="A4063" s="1" t="s">
        <v>14435</v>
      </c>
      <c r="B4063" s="1" t="s">
        <v>12089</v>
      </c>
      <c r="C4063" s="1" t="str">
        <f>IFERROR(VLOOKUP(B4063,'SB1'!$A$2:$B$999999,2,FALSE),"")</f>
        <v>IMPREGNANTE PARA MADERA CETOL BALANCE DURACION EXTREMA BRILLANTE CRISTAL X 4</v>
      </c>
      <c r="D4063" s="1" t="s">
        <v>14439</v>
      </c>
      <c r="E4063" s="3">
        <f>IFERROR(VLOOKUP(B4063,'DA1'!$B$2:$D$999999,3,FALSE),"")</f>
      </c>
      <c r="F4063" s="1" t="str">
        <f>IFERROR(VLOOKUP(B4063,'SB1'!$A$2:$C$999999,3,FALSE),"")</f>
        <v>503</v>
      </c>
      <c r="G4063" s="3" t="e">
        <f t="shared" si="139"/>
        <v>#VALUE!</v>
      </c>
      <c r="H4063" s="3" t="e">
        <f t="shared" si="140"/>
        <v>#VALUE!</v>
      </c>
      <c r="I4063" s="1">
        <v>1</v>
      </c>
    </row>
    <row r="4064" spans="1:9" x14ac:dyDescent="0.25">
      <c r="A4064" s="1" t="s">
        <v>14435</v>
      </c>
      <c r="B4064" s="1" t="s">
        <v>12091</v>
      </c>
      <c r="C4064" s="1" t="str">
        <f>IFERROR(VLOOKUP(B4064,'SB1'!$A$2:$B$999999,2,FALSE),"")</f>
        <v>IMPREGNANTE PARA MADERA CETOL BALANCE DURACION EXTREMA BRILLANTE NATURAL X 1</v>
      </c>
      <c r="D4064" s="1" t="s">
        <v>14445</v>
      </c>
      <c r="E4064" s="3">
        <f>IFERROR(VLOOKUP(B4064,'DA1'!$B$2:$D$999999,3,FALSE),"")</f>
      </c>
      <c r="F4064" s="1" t="str">
        <f>IFERROR(VLOOKUP(B4064,'SB1'!$A$2:$C$999999,3,FALSE),"")</f>
        <v>503</v>
      </c>
      <c r="G4064" s="3" t="e">
        <f t="shared" si="139"/>
        <v>#VALUE!</v>
      </c>
      <c r="H4064" s="3" t="e">
        <f t="shared" si="140"/>
        <v>#VALUE!</v>
      </c>
      <c r="I4064" s="1">
        <v>1</v>
      </c>
    </row>
    <row r="4065" spans="1:9" x14ac:dyDescent="0.25">
      <c r="A4065" s="1" t="s">
        <v>14435</v>
      </c>
      <c r="B4065" s="1" t="s">
        <v>12093</v>
      </c>
      <c r="C4065" s="1" t="str">
        <f>IFERROR(VLOOKUP(B4065,'SB1'!$A$2:$B$999999,2,FALSE),"")</f>
        <v>IMPREGNANTE PARA MADERA CETOL BALANCE DURACION EXTREMA BRILLANTE NATURAL X 4</v>
      </c>
      <c r="D4065" s="1" t="s">
        <v>14445</v>
      </c>
      <c r="E4065" s="3">
        <f>IFERROR(VLOOKUP(B4065,'DA1'!$B$2:$D$999999,3,FALSE),"")</f>
      </c>
      <c r="F4065" s="1" t="str">
        <f>IFERROR(VLOOKUP(B4065,'SB1'!$A$2:$C$999999,3,FALSE),"")</f>
        <v>503</v>
      </c>
      <c r="G4065" s="3" t="e">
        <f t="shared" si="139"/>
        <v>#VALUE!</v>
      </c>
      <c r="H4065" s="3" t="e">
        <f t="shared" si="140"/>
        <v>#VALUE!</v>
      </c>
      <c r="I4065" s="1">
        <v>1</v>
      </c>
    </row>
    <row r="4066" spans="1:9" x14ac:dyDescent="0.25">
      <c r="A4066" s="1" t="s">
        <v>14435</v>
      </c>
      <c r="B4066" s="1" t="s">
        <v>12095</v>
      </c>
      <c r="C4066" s="1" t="str">
        <f>IFERROR(VLOOKUP(B4066,'SB1'!$A$2:$B$999999,2,FALSE),"")</f>
        <v>IMPREGNANTE PARA MADERA CETOL BALANCE DURACION EXTREMA BRILLANTE ROBLE X 1</v>
      </c>
      <c r="D4066" s="1" t="s">
        <v>14445</v>
      </c>
      <c r="E4066" s="3">
        <f>IFERROR(VLOOKUP(B4066,'DA1'!$B$2:$D$999999,3,FALSE),"")</f>
      </c>
      <c r="F4066" s="1" t="str">
        <f>IFERROR(VLOOKUP(B4066,'SB1'!$A$2:$C$999999,3,FALSE),"")</f>
        <v>503</v>
      </c>
      <c r="G4066" s="3" t="e">
        <f t="shared" si="139"/>
        <v>#VALUE!</v>
      </c>
      <c r="H4066" s="3" t="e">
        <f t="shared" si="140"/>
        <v>#VALUE!</v>
      </c>
      <c r="I4066" s="1">
        <v>1</v>
      </c>
    </row>
    <row r="4067" spans="1:9" x14ac:dyDescent="0.25">
      <c r="A4067" s="1" t="s">
        <v>14435</v>
      </c>
      <c r="B4067" s="1" t="s">
        <v>12097</v>
      </c>
      <c r="C4067" s="1" t="str">
        <f>IFERROR(VLOOKUP(B4067,'SB1'!$A$2:$B$999999,2,FALSE),"")</f>
        <v>IMPREGNANTE PARA MADERA CETOL BALANCE DURACION EXTREMA BRILLANTE ROBLE X 4</v>
      </c>
      <c r="D4067" s="1" t="s">
        <v>14445</v>
      </c>
      <c r="E4067" s="3">
        <f>IFERROR(VLOOKUP(B4067,'DA1'!$B$2:$D$999999,3,FALSE),"")</f>
      </c>
      <c r="F4067" s="1" t="str">
        <f>IFERROR(VLOOKUP(B4067,'SB1'!$A$2:$C$999999,3,FALSE),"")</f>
        <v>503</v>
      </c>
      <c r="G4067" s="3" t="e">
        <f t="shared" si="139"/>
        <v>#VALUE!</v>
      </c>
      <c r="H4067" s="3" t="e">
        <f t="shared" si="140"/>
        <v>#VALUE!</v>
      </c>
      <c r="I4067" s="1">
        <v>1</v>
      </c>
    </row>
    <row r="4068" spans="1:9" x14ac:dyDescent="0.25">
      <c r="A4068" s="1" t="s">
        <v>14435</v>
      </c>
      <c r="B4068" s="1" t="s">
        <v>12099</v>
      </c>
      <c r="C4068" s="1" t="str">
        <f>IFERROR(VLOOKUP(B4068,'SB1'!$A$2:$B$999999,2,FALSE),"")</f>
        <v>IMPREGNANTE PARA MADERA CETOL BALANCE DURACION EXTREMA BRILLANTE NOGAL X 1</v>
      </c>
      <c r="D4068" s="1" t="s">
        <v>14445</v>
      </c>
      <c r="E4068" s="3">
        <f>IFERROR(VLOOKUP(B4068,'DA1'!$B$2:$D$999999,3,FALSE),"")</f>
      </c>
      <c r="F4068" s="1" t="str">
        <f>IFERROR(VLOOKUP(B4068,'SB1'!$A$2:$C$999999,3,FALSE),"")</f>
        <v>503</v>
      </c>
      <c r="G4068" s="3" t="e">
        <f t="shared" si="139"/>
        <v>#VALUE!</v>
      </c>
      <c r="H4068" s="3" t="e">
        <f t="shared" si="140"/>
        <v>#VALUE!</v>
      </c>
      <c r="I4068" s="1">
        <v>1</v>
      </c>
    </row>
    <row r="4069" spans="1:9" x14ac:dyDescent="0.25">
      <c r="A4069" s="1" t="s">
        <v>14435</v>
      </c>
      <c r="B4069" s="1" t="s">
        <v>12101</v>
      </c>
      <c r="C4069" s="1" t="str">
        <f>IFERROR(VLOOKUP(B4069,'SB1'!$A$2:$B$999999,2,FALSE),"")</f>
        <v>IMPREGNANTE PARA MADERA CETOL BALANCE DURACION EXTREMA BRILLANTE NOGAL X 4</v>
      </c>
      <c r="D4069" s="1" t="s">
        <v>14445</v>
      </c>
      <c r="E4069" s="3">
        <f>IFERROR(VLOOKUP(B4069,'DA1'!$B$2:$D$999999,3,FALSE),"")</f>
      </c>
      <c r="F4069" s="1" t="str">
        <f>IFERROR(VLOOKUP(B4069,'SB1'!$A$2:$C$999999,3,FALSE),"")</f>
        <v>503</v>
      </c>
      <c r="G4069" s="3" t="e">
        <f t="shared" si="139"/>
        <v>#VALUE!</v>
      </c>
      <c r="H4069" s="3" t="e">
        <f t="shared" si="140"/>
        <v>#VALUE!</v>
      </c>
      <c r="I4069" s="1">
        <v>1</v>
      </c>
    </row>
    <row r="4070" spans="1:9" x14ac:dyDescent="0.25">
      <c r="A4070" s="1" t="s">
        <v>14435</v>
      </c>
      <c r="B4070" s="1" t="s">
        <v>12103</v>
      </c>
      <c r="C4070" s="1" t="str">
        <f>IFERROR(VLOOKUP(B4070,'SB1'!$A$2:$B$999999,2,FALSE),"")</f>
        <v>IMPREGNANTE PARA MADERA CETOL BALANCE DURACION EXTREMA SATINADO CAOBA X 1</v>
      </c>
      <c r="D4070" s="1" t="s">
        <v>14445</v>
      </c>
      <c r="E4070" s="3">
        <f>IFERROR(VLOOKUP(B4070,'DA1'!$B$2:$D$999999,3,FALSE),"")</f>
      </c>
      <c r="F4070" s="1" t="str">
        <f>IFERROR(VLOOKUP(B4070,'SB1'!$A$2:$C$999999,3,FALSE),"")</f>
        <v>503</v>
      </c>
      <c r="G4070" s="3" t="e">
        <f t="shared" si="139"/>
        <v>#VALUE!</v>
      </c>
      <c r="H4070" s="3" t="e">
        <f t="shared" si="140"/>
        <v>#VALUE!</v>
      </c>
      <c r="I4070" s="1">
        <v>1</v>
      </c>
    </row>
    <row r="4071" spans="1:9" x14ac:dyDescent="0.25">
      <c r="A4071" s="1" t="s">
        <v>14435</v>
      </c>
      <c r="B4071" s="1" t="s">
        <v>12105</v>
      </c>
      <c r="C4071" s="1" t="str">
        <f>IFERROR(VLOOKUP(B4071,'SB1'!$A$2:$B$999999,2,FALSE),"")</f>
        <v>IMPREGNANTE PARA MADERA CETOL BALANCE DURACION EXTREMA SATINADO CAOBA X 4</v>
      </c>
      <c r="D4071" s="1" t="s">
        <v>14445</v>
      </c>
      <c r="E4071" s="3">
        <f>IFERROR(VLOOKUP(B4071,'DA1'!$B$2:$D$999999,3,FALSE),"")</f>
      </c>
      <c r="F4071" s="1" t="str">
        <f>IFERROR(VLOOKUP(B4071,'SB1'!$A$2:$C$999999,3,FALSE),"")</f>
        <v>503</v>
      </c>
      <c r="G4071" s="3" t="e">
        <f t="shared" si="139"/>
        <v>#VALUE!</v>
      </c>
      <c r="H4071" s="3" t="e">
        <f t="shared" si="140"/>
        <v>#VALUE!</v>
      </c>
      <c r="I4071" s="1">
        <v>1</v>
      </c>
    </row>
    <row r="4072" spans="1:9" x14ac:dyDescent="0.25">
      <c r="A4072" s="1" t="s">
        <v>14435</v>
      </c>
      <c r="B4072" s="1" t="s">
        <v>12107</v>
      </c>
      <c r="C4072" s="1" t="str">
        <f>IFERROR(VLOOKUP(B4072,'SB1'!$A$2:$B$999999,2,FALSE),"")</f>
        <v>IMPREGNANTE PARA MADERA CETOL BALANCE DURACION EXTREMA SATINADO CRISTAL X 1</v>
      </c>
      <c r="D4072" s="1" t="s">
        <v>14445</v>
      </c>
      <c r="E4072" s="3">
        <f>IFERROR(VLOOKUP(B4072,'DA1'!$B$2:$D$999999,3,FALSE),"")</f>
      </c>
      <c r="F4072" s="1" t="str">
        <f>IFERROR(VLOOKUP(B4072,'SB1'!$A$2:$C$999999,3,FALSE),"")</f>
        <v>503</v>
      </c>
      <c r="G4072" s="3" t="e">
        <f t="shared" si="139"/>
        <v>#VALUE!</v>
      </c>
      <c r="H4072" s="3" t="e">
        <f t="shared" si="140"/>
        <v>#VALUE!</v>
      </c>
      <c r="I4072" s="1">
        <v>1</v>
      </c>
    </row>
    <row r="4073" spans="1:9" x14ac:dyDescent="0.25">
      <c r="A4073" s="1" t="s">
        <v>14435</v>
      </c>
      <c r="B4073" s="1" t="s">
        <v>12109</v>
      </c>
      <c r="C4073" s="1" t="str">
        <f>IFERROR(VLOOKUP(B4073,'SB1'!$A$2:$B$999999,2,FALSE),"")</f>
        <v>IMPREGNANTE PARA MADERA CETOL BALANCE DURACION EXTREMA SATINADO CRISTAL X 4</v>
      </c>
      <c r="D4073" s="1" t="s">
        <v>14445</v>
      </c>
      <c r="E4073" s="3">
        <f>IFERROR(VLOOKUP(B4073,'DA1'!$B$2:$D$999999,3,FALSE),"")</f>
      </c>
      <c r="F4073" s="1" t="str">
        <f>IFERROR(VLOOKUP(B4073,'SB1'!$A$2:$C$999999,3,FALSE),"")</f>
        <v>503</v>
      </c>
      <c r="G4073" s="3" t="e">
        <f t="shared" si="139"/>
        <v>#VALUE!</v>
      </c>
      <c r="H4073" s="3" t="e">
        <f t="shared" si="140"/>
        <v>#VALUE!</v>
      </c>
      <c r="I4073" s="1">
        <v>1</v>
      </c>
    </row>
    <row r="4074" spans="1:9" x14ac:dyDescent="0.25">
      <c r="A4074" s="1" t="s">
        <v>14435</v>
      </c>
      <c r="B4074" s="1" t="s">
        <v>12111</v>
      </c>
      <c r="C4074" s="1" t="str">
        <f>IFERROR(VLOOKUP(B4074,'SB1'!$A$2:$B$999999,2,FALSE),"")</f>
        <v>IMPREGNANTE PARA MADERA CETOL BALANCE DURACION EXTREMA SATINADO NATURAL X 1</v>
      </c>
      <c r="D4074" s="1" t="s">
        <v>14445</v>
      </c>
      <c r="E4074" s="3">
        <f>IFERROR(VLOOKUP(B4074,'DA1'!$B$2:$D$999999,3,FALSE),"")</f>
      </c>
      <c r="F4074" s="1" t="str">
        <f>IFERROR(VLOOKUP(B4074,'SB1'!$A$2:$C$999999,3,FALSE),"")</f>
        <v>503</v>
      </c>
      <c r="G4074" s="3" t="e">
        <f t="shared" si="139"/>
        <v>#VALUE!</v>
      </c>
      <c r="H4074" s="3" t="e">
        <f t="shared" si="140"/>
        <v>#VALUE!</v>
      </c>
      <c r="I4074" s="1">
        <v>1</v>
      </c>
    </row>
    <row r="4075" spans="1:9" x14ac:dyDescent="0.25">
      <c r="A4075" s="1" t="s">
        <v>14435</v>
      </c>
      <c r="B4075" s="1" t="s">
        <v>12113</v>
      </c>
      <c r="C4075" s="1" t="str">
        <f>IFERROR(VLOOKUP(B4075,'SB1'!$A$2:$B$999999,2,FALSE),"")</f>
        <v>IMPREGNANTE PARA MADERA CETOL BALANCE DURACION EXTREMA SATINADO NATURAL X 4</v>
      </c>
      <c r="D4075" s="1" t="s">
        <v>14445</v>
      </c>
      <c r="E4075" s="3">
        <f>IFERROR(VLOOKUP(B4075,'DA1'!$B$2:$D$999999,3,FALSE),"")</f>
      </c>
      <c r="F4075" s="1" t="str">
        <f>IFERROR(VLOOKUP(B4075,'SB1'!$A$2:$C$999999,3,FALSE),"")</f>
        <v>503</v>
      </c>
      <c r="G4075" s="3" t="e">
        <f t="shared" si="139"/>
        <v>#VALUE!</v>
      </c>
      <c r="H4075" s="3" t="e">
        <f t="shared" si="140"/>
        <v>#VALUE!</v>
      </c>
      <c r="I4075" s="1">
        <v>1</v>
      </c>
    </row>
    <row r="4076" spans="1:9" x14ac:dyDescent="0.25">
      <c r="A4076" s="1" t="s">
        <v>14435</v>
      </c>
      <c r="B4076" s="1" t="s">
        <v>12115</v>
      </c>
      <c r="C4076" s="1" t="str">
        <f>IFERROR(VLOOKUP(B4076,'SB1'!$A$2:$B$999999,2,FALSE),"")</f>
        <v>IMPREGNANTE PARA MADERA CETOL BALANCE DURACION EXTREMA SATINADO ROBLE X 1</v>
      </c>
      <c r="D4076" s="1" t="s">
        <v>14445</v>
      </c>
      <c r="E4076" s="3">
        <f>IFERROR(VLOOKUP(B4076,'DA1'!$B$2:$D$999999,3,FALSE),"")</f>
      </c>
      <c r="F4076" s="1" t="str">
        <f>IFERROR(VLOOKUP(B4076,'SB1'!$A$2:$C$999999,3,FALSE),"")</f>
        <v>503</v>
      </c>
      <c r="G4076" s="3" t="e">
        <f t="shared" si="139"/>
        <v>#VALUE!</v>
      </c>
      <c r="H4076" s="3" t="e">
        <f t="shared" si="140"/>
        <v>#VALUE!</v>
      </c>
      <c r="I4076" s="1">
        <v>1</v>
      </c>
    </row>
    <row r="4077" spans="1:9" x14ac:dyDescent="0.25">
      <c r="A4077" s="1" t="s">
        <v>14435</v>
      </c>
      <c r="B4077" s="1" t="s">
        <v>12117</v>
      </c>
      <c r="C4077" s="1" t="str">
        <f>IFERROR(VLOOKUP(B4077,'SB1'!$A$2:$B$999999,2,FALSE),"")</f>
        <v>IMPREGNANTE PARA MADERA CETOL BALANCE DURACION EXTREMA SATINADO ROBLE X 4</v>
      </c>
      <c r="D4077" s="1" t="s">
        <v>14445</v>
      </c>
      <c r="E4077" s="3">
        <f>IFERROR(VLOOKUP(B4077,'DA1'!$B$2:$D$999999,3,FALSE),"")</f>
      </c>
      <c r="F4077" s="1" t="str">
        <f>IFERROR(VLOOKUP(B4077,'SB1'!$A$2:$C$999999,3,FALSE),"")</f>
        <v>503</v>
      </c>
      <c r="G4077" s="3" t="e">
        <f t="shared" si="139"/>
        <v>#VALUE!</v>
      </c>
      <c r="H4077" s="3" t="e">
        <f t="shared" si="140"/>
        <v>#VALUE!</v>
      </c>
      <c r="I4077" s="1">
        <v>1</v>
      </c>
    </row>
    <row r="4078" spans="1:9" x14ac:dyDescent="0.25">
      <c r="A4078" s="1" t="s">
        <v>14435</v>
      </c>
      <c r="B4078" s="1" t="s">
        <v>12119</v>
      </c>
      <c r="C4078" s="1" t="str">
        <f>IFERROR(VLOOKUP(B4078,'SB1'!$A$2:$B$999999,2,FALSE),"")</f>
        <v>IMPREGNANTE PARA MADERA CETOL BALANCE DURACION EXTREMA SATINADO NOGAL X 1</v>
      </c>
      <c r="D4078" s="1" t="s">
        <v>14445</v>
      </c>
      <c r="E4078" s="3">
        <f>IFERROR(VLOOKUP(B4078,'DA1'!$B$2:$D$999999,3,FALSE),"")</f>
      </c>
      <c r="F4078" s="1" t="str">
        <f>IFERROR(VLOOKUP(B4078,'SB1'!$A$2:$C$999999,3,FALSE),"")</f>
        <v>503</v>
      </c>
      <c r="G4078" s="3" t="e">
        <f t="shared" si="139"/>
        <v>#VALUE!</v>
      </c>
      <c r="H4078" s="3" t="e">
        <f t="shared" si="140"/>
        <v>#VALUE!</v>
      </c>
      <c r="I4078" s="1">
        <v>1</v>
      </c>
    </row>
    <row r="4079" spans="1:9" x14ac:dyDescent="0.25">
      <c r="A4079" s="1" t="s">
        <v>14435</v>
      </c>
      <c r="B4079" s="1" t="s">
        <v>12121</v>
      </c>
      <c r="C4079" s="1" t="str">
        <f>IFERROR(VLOOKUP(B4079,'SB1'!$A$2:$B$999999,2,FALSE),"")</f>
        <v>IMPREGNANTE PARA MADERA CETOL BALANCE DURACION EXTREMA SATINADO NOGAL X 4</v>
      </c>
      <c r="D4079" s="1" t="s">
        <v>14445</v>
      </c>
      <c r="E4079" s="3">
        <f>IFERROR(VLOOKUP(B4079,'DA1'!$B$2:$D$999999,3,FALSE),"")</f>
      </c>
      <c r="F4079" s="1" t="str">
        <f>IFERROR(VLOOKUP(B4079,'SB1'!$A$2:$C$999999,3,FALSE),"")</f>
        <v>503</v>
      </c>
      <c r="G4079" s="3" t="e">
        <f t="shared" si="139"/>
        <v>#VALUE!</v>
      </c>
      <c r="H4079" s="3" t="e">
        <f t="shared" si="140"/>
        <v>#VALUE!</v>
      </c>
      <c r="I4079" s="1">
        <v>1</v>
      </c>
    </row>
    <row r="4080" spans="1:9" x14ac:dyDescent="0.25">
      <c r="A4080" s="1" t="s">
        <v>14435</v>
      </c>
      <c r="B4080" s="1" t="s">
        <v>12123</v>
      </c>
      <c r="C4080" s="1" t="str">
        <f>IFERROR(VLOOKUP(B4080,'SB1'!$A$2:$B$999999,2,FALSE),"")</f>
        <v>LIMPIADOR PARA MADERA CETOL X 1</v>
      </c>
      <c r="D4080" s="1" t="s">
        <v>14445</v>
      </c>
      <c r="E4080" s="3">
        <f>IFERROR(VLOOKUP(B4080,'DA1'!$B$2:$D$999999,3,FALSE),"")</f>
      </c>
      <c r="F4080" s="1" t="str">
        <f>IFERROR(VLOOKUP(B4080,'SB1'!$A$2:$C$999999,3,FALSE),"")</f>
        <v>503</v>
      </c>
      <c r="G4080" s="3" t="e">
        <f t="shared" si="139"/>
        <v>#VALUE!</v>
      </c>
      <c r="H4080" s="3" t="e">
        <f t="shared" si="140"/>
        <v>#VALUE!</v>
      </c>
      <c r="I4080" s="1">
        <v>1</v>
      </c>
    </row>
    <row r="4081" spans="1:9" x14ac:dyDescent="0.25">
      <c r="A4081" s="1" t="s">
        <v>14435</v>
      </c>
      <c r="B4081" s="1" t="s">
        <v>12125</v>
      </c>
      <c r="C4081" s="1" t="str">
        <f>IFERROR(VLOOKUP(B4081,'SB1'!$A$2:$B$999999,2,FALSE),"")</f>
        <v>PROTECTOR PARA PISO BRIKOL INCOLORO X 1</v>
      </c>
      <c r="D4081" s="1" t="s">
        <v>14491</v>
      </c>
      <c r="E4081" s="3">
        <f>IFERROR(VLOOKUP(B4081,'DA1'!$B$2:$D$999999,3,FALSE),"")</f>
      </c>
      <c r="F4081" s="1" t="str">
        <f>IFERROR(VLOOKUP(B4081,'SB1'!$A$2:$C$999999,3,FALSE),"")</f>
        <v>503</v>
      </c>
      <c r="G4081" s="3" t="e">
        <f t="shared" si="139"/>
        <v>#VALUE!</v>
      </c>
      <c r="H4081" s="3" t="e">
        <f t="shared" si="140"/>
        <v>#VALUE!</v>
      </c>
      <c r="I4081" s="1">
        <v>1</v>
      </c>
    </row>
    <row r="4082" spans="1:9" x14ac:dyDescent="0.25">
      <c r="A4082" s="1" t="s">
        <v>14435</v>
      </c>
      <c r="B4082" s="1" t="s">
        <v>12127</v>
      </c>
      <c r="C4082" s="1" t="str">
        <f>IFERROR(VLOOKUP(B4082,'SB1'!$A$2:$B$999999,2,FALSE),"")</f>
        <v>PROTECTOR PARA PISO BRIKOL INCOLORO X 4</v>
      </c>
      <c r="D4082" s="1" t="s">
        <v>14491</v>
      </c>
      <c r="E4082" s="3">
        <f>IFERROR(VLOOKUP(B4082,'DA1'!$B$2:$D$999999,3,FALSE),"")</f>
      </c>
      <c r="F4082" s="1" t="str">
        <f>IFERROR(VLOOKUP(B4082,'SB1'!$A$2:$C$999999,3,FALSE),"")</f>
        <v>503</v>
      </c>
      <c r="G4082" s="3" t="e">
        <f t="shared" si="139"/>
        <v>#VALUE!</v>
      </c>
      <c r="H4082" s="3" t="e">
        <f t="shared" si="140"/>
        <v>#VALUE!</v>
      </c>
      <c r="I4082" s="1">
        <v>1</v>
      </c>
    </row>
    <row r="4083" spans="1:9" x14ac:dyDescent="0.25">
      <c r="A4083" s="1" t="s">
        <v>14435</v>
      </c>
      <c r="B4083" s="1" t="s">
        <v>12129</v>
      </c>
      <c r="C4083" s="1" t="str">
        <f>IFERROR(VLOOKUP(B4083,'SB1'!$A$2:$B$999999,2,FALSE),"")</f>
        <v>PROTECTOR PARA PISO BRIKOL NEGRO X 1</v>
      </c>
      <c r="D4083" s="1" t="s">
        <v>14491</v>
      </c>
      <c r="E4083" s="3">
        <f>IFERROR(VLOOKUP(B4083,'DA1'!$B$2:$D$999999,3,FALSE),"")</f>
      </c>
      <c r="F4083" s="1" t="str">
        <f>IFERROR(VLOOKUP(B4083,'SB1'!$A$2:$C$999999,3,FALSE),"")</f>
        <v>503</v>
      </c>
      <c r="G4083" s="3" t="e">
        <f t="shared" si="139"/>
        <v>#VALUE!</v>
      </c>
      <c r="H4083" s="3" t="e">
        <f t="shared" si="140"/>
        <v>#VALUE!</v>
      </c>
      <c r="I4083" s="1">
        <v>1</v>
      </c>
    </row>
    <row r="4084" spans="1:9" x14ac:dyDescent="0.25">
      <c r="A4084" s="1" t="s">
        <v>14435</v>
      </c>
      <c r="B4084" s="1" t="s">
        <v>12131</v>
      </c>
      <c r="C4084" s="1" t="str">
        <f>IFERROR(VLOOKUP(B4084,'SB1'!$A$2:$B$999999,2,FALSE),"")</f>
        <v>PROTECTOR PARA PISO BRIKOL NEGRO X 4</v>
      </c>
      <c r="D4084" s="1" t="s">
        <v>14491</v>
      </c>
      <c r="E4084" s="3">
        <f>IFERROR(VLOOKUP(B4084,'DA1'!$B$2:$D$999999,3,FALSE),"")</f>
      </c>
      <c r="F4084" s="1" t="str">
        <f>IFERROR(VLOOKUP(B4084,'SB1'!$A$2:$C$999999,3,FALSE),"")</f>
        <v>503</v>
      </c>
      <c r="G4084" s="3" t="e">
        <f t="shared" si="139"/>
        <v>#VALUE!</v>
      </c>
      <c r="H4084" s="3" t="e">
        <f t="shared" si="140"/>
        <v>#VALUE!</v>
      </c>
      <c r="I4084" s="1">
        <v>1</v>
      </c>
    </row>
    <row r="4085" spans="1:9" x14ac:dyDescent="0.25">
      <c r="A4085" s="1" t="s">
        <v>14435</v>
      </c>
      <c r="B4085" s="1" t="s">
        <v>12133</v>
      </c>
      <c r="C4085" s="1" t="str">
        <f>IFERROR(VLOOKUP(B4085,'SB1'!$A$2:$B$999999,2,FALSE),"")</f>
        <v>PROTECTOR PARA PISO BRIKOL ROJO X 1</v>
      </c>
      <c r="D4085" s="1" t="s">
        <v>14491</v>
      </c>
      <c r="E4085" s="3">
        <f>IFERROR(VLOOKUP(B4085,'DA1'!$B$2:$D$999999,3,FALSE),"")</f>
      </c>
      <c r="F4085" s="1" t="str">
        <f>IFERROR(VLOOKUP(B4085,'SB1'!$A$2:$C$999999,3,FALSE),"")</f>
        <v>503</v>
      </c>
      <c r="G4085" s="3" t="e">
        <f t="shared" si="139"/>
        <v>#VALUE!</v>
      </c>
      <c r="H4085" s="3" t="e">
        <f t="shared" si="140"/>
        <v>#VALUE!</v>
      </c>
      <c r="I4085" s="1">
        <v>1</v>
      </c>
    </row>
    <row r="4086" spans="1:9" x14ac:dyDescent="0.25">
      <c r="A4086" s="1" t="s">
        <v>14435</v>
      </c>
      <c r="B4086" s="1" t="s">
        <v>12135</v>
      </c>
      <c r="C4086" s="1" t="str">
        <f>IFERROR(VLOOKUP(B4086,'SB1'!$A$2:$B$999999,2,FALSE),"")</f>
        <v>PROTECTOR PARA PISO BRIKOL ROJO X 4</v>
      </c>
      <c r="D4086" s="1" t="s">
        <v>14491</v>
      </c>
      <c r="E4086" s="3">
        <f>IFERROR(VLOOKUP(B4086,'DA1'!$B$2:$D$999999,3,FALSE),"")</f>
      </c>
      <c r="F4086" s="1" t="str">
        <f>IFERROR(VLOOKUP(B4086,'SB1'!$A$2:$C$999999,3,FALSE),"")</f>
        <v>503</v>
      </c>
      <c r="G4086" s="3" t="e">
        <f t="shared" si="139"/>
        <v>#VALUE!</v>
      </c>
      <c r="H4086" s="3" t="e">
        <f t="shared" si="140"/>
        <v>#VALUE!</v>
      </c>
      <c r="I4086" s="1">
        <v>1</v>
      </c>
    </row>
    <row r="4087" spans="1:9" x14ac:dyDescent="0.25">
      <c r="A4087" s="1" t="s">
        <v>14435</v>
      </c>
      <c r="B4087" s="1" t="s">
        <v>12137</v>
      </c>
      <c r="C4087" s="1" t="str">
        <f>IFERROR(VLOOKUP(B4087,'SB1'!$A$2:$B$999999,2,FALSE),"")</f>
        <v>IMPREGNANTE PARA PISO CETOL DECK PLUS NATURAL X 1</v>
      </c>
      <c r="D4087" s="1" t="s">
        <v>14445</v>
      </c>
      <c r="E4087" s="3">
        <f>IFERROR(VLOOKUP(B4087,'DA1'!$B$2:$D$999999,3,FALSE),"")</f>
      </c>
      <c r="F4087" s="1" t="str">
        <f>IFERROR(VLOOKUP(B4087,'SB1'!$A$2:$C$999999,3,FALSE),"")</f>
        <v>503</v>
      </c>
      <c r="G4087" s="3" t="e">
        <f t="shared" si="139"/>
        <v>#VALUE!</v>
      </c>
      <c r="H4087" s="3" t="e">
        <f t="shared" si="140"/>
        <v>#VALUE!</v>
      </c>
      <c r="I4087" s="1">
        <v>1</v>
      </c>
    </row>
    <row r="4088" spans="1:9" x14ac:dyDescent="0.25">
      <c r="A4088" s="1" t="s">
        <v>14435</v>
      </c>
      <c r="B4088" s="1" t="s">
        <v>12139</v>
      </c>
      <c r="C4088" s="1" t="str">
        <f>IFERROR(VLOOKUP(B4088,'SB1'!$A$2:$B$999999,2,FALSE),"")</f>
        <v>IMPREGNANTE PARA PISO CETOL DECK PLUS NATURAL X 4</v>
      </c>
      <c r="D4088" s="1" t="s">
        <v>14445</v>
      </c>
      <c r="E4088" s="3">
        <f>IFERROR(VLOOKUP(B4088,'DA1'!$B$2:$D$999999,3,FALSE),"")</f>
      </c>
      <c r="F4088" s="1" t="str">
        <f>IFERROR(VLOOKUP(B4088,'SB1'!$A$2:$C$999999,3,FALSE),"")</f>
        <v>503</v>
      </c>
      <c r="G4088" s="3" t="e">
        <f t="shared" si="139"/>
        <v>#VALUE!</v>
      </c>
      <c r="H4088" s="3" t="e">
        <f t="shared" si="140"/>
        <v>#VALUE!</v>
      </c>
      <c r="I4088" s="1">
        <v>1</v>
      </c>
    </row>
    <row r="4089" spans="1:9" x14ac:dyDescent="0.25">
      <c r="A4089" s="1" t="s">
        <v>14435</v>
      </c>
      <c r="B4089" s="1" t="s">
        <v>12145</v>
      </c>
      <c r="C4089" s="1" t="str">
        <f>IFERROR(VLOOKUP(B4089,'SB1'!$A$2:$B$999999,2,FALSE),"")</f>
        <v>IMPREGNANTE PARA MADERA CETOL BALANCE CLASSIC SATINADO CEDRO X  1</v>
      </c>
      <c r="D4089" s="1" t="s">
        <v>14445</v>
      </c>
      <c r="E4089" s="3">
        <f>IFERROR(VLOOKUP(B4089,'DA1'!$B$2:$D$999999,3,FALSE),"")</f>
      </c>
      <c r="F4089" s="1" t="str">
        <f>IFERROR(VLOOKUP(B4089,'SB1'!$A$2:$C$999999,3,FALSE),"")</f>
        <v>503</v>
      </c>
      <c r="G4089" s="3" t="e">
        <f t="shared" si="139"/>
        <v>#VALUE!</v>
      </c>
      <c r="H4089" s="3" t="e">
        <f t="shared" si="140"/>
        <v>#VALUE!</v>
      </c>
      <c r="I4089" s="1">
        <v>1</v>
      </c>
    </row>
    <row r="4090" spans="1:9" x14ac:dyDescent="0.25">
      <c r="A4090" s="1" t="s">
        <v>14435</v>
      </c>
      <c r="B4090" s="1" t="s">
        <v>12149</v>
      </c>
      <c r="C4090" s="1" t="str">
        <f>IFERROR(VLOOKUP(B4090,'SB1'!$A$2:$B$999999,2,FALSE),"")</f>
        <v>IMPREGNANTE PARA MADERA CETOL BALANCE CLASSIC SATINADO CEDRO X  4</v>
      </c>
      <c r="D4090" s="1" t="s">
        <v>14445</v>
      </c>
      <c r="E4090" s="3">
        <f>IFERROR(VLOOKUP(B4090,'DA1'!$B$2:$D$999999,3,FALSE),"")</f>
      </c>
      <c r="F4090" s="1" t="str">
        <f>IFERROR(VLOOKUP(B4090,'SB1'!$A$2:$C$999999,3,FALSE),"")</f>
        <v>503</v>
      </c>
      <c r="G4090" s="3" t="e">
        <f t="shared" si="139"/>
        <v>#VALUE!</v>
      </c>
      <c r="H4090" s="3" t="e">
        <f t="shared" si="140"/>
        <v>#VALUE!</v>
      </c>
      <c r="I4090" s="1">
        <v>1</v>
      </c>
    </row>
    <row r="4091" spans="1:9" x14ac:dyDescent="0.25">
      <c r="A4091" s="1" t="s">
        <v>14435</v>
      </c>
      <c r="B4091" s="1" t="s">
        <v>12153</v>
      </c>
      <c r="C4091" s="1" t="str">
        <f>IFERROR(VLOOKUP(B4091,'SB1'!$A$2:$B$999999,2,FALSE),"")</f>
        <v>IMPREGNANTE PARA MADERA CETOL BALANCE INTERIOR BRILLANTE CRISTAL X 1</v>
      </c>
      <c r="D4091" s="1" t="s">
        <v>14445</v>
      </c>
      <c r="E4091" s="3">
        <f>IFERROR(VLOOKUP(B4091,'DA1'!$B$2:$D$999999,3,FALSE),"")</f>
      </c>
      <c r="F4091" s="1" t="str">
        <f>IFERROR(VLOOKUP(B4091,'SB1'!$A$2:$C$999999,3,FALSE),"")</f>
        <v>503</v>
      </c>
      <c r="G4091" s="3" t="e">
        <f t="shared" si="139"/>
        <v>#VALUE!</v>
      </c>
      <c r="H4091" s="3" t="e">
        <f t="shared" si="140"/>
        <v>#VALUE!</v>
      </c>
      <c r="I4091" s="1">
        <v>1</v>
      </c>
    </row>
    <row r="4092" spans="1:9" x14ac:dyDescent="0.25">
      <c r="A4092" s="1" t="s">
        <v>14435</v>
      </c>
      <c r="B4092" s="1" t="s">
        <v>12155</v>
      </c>
      <c r="C4092" s="1" t="str">
        <f>IFERROR(VLOOKUP(B4092,'SB1'!$A$2:$B$999999,2,FALSE),"")</f>
        <v>IMPREGNANTE PARA MADERA CETOL BALANCE INTERIOR BRILLANTE CRISTAL X 4</v>
      </c>
      <c r="D4092" s="1" t="s">
        <v>14445</v>
      </c>
      <c r="E4092" s="3">
        <f>IFERROR(VLOOKUP(B4092,'DA1'!$B$2:$D$999999,3,FALSE),"")</f>
      </c>
      <c r="F4092" s="1" t="str">
        <f>IFERROR(VLOOKUP(B4092,'SB1'!$A$2:$C$999999,3,FALSE),"")</f>
        <v>503</v>
      </c>
      <c r="G4092" s="3" t="e">
        <f t="shared" si="139"/>
        <v>#VALUE!</v>
      </c>
      <c r="H4092" s="3" t="e">
        <f t="shared" si="140"/>
        <v>#VALUE!</v>
      </c>
      <c r="I4092" s="1">
        <v>1</v>
      </c>
    </row>
    <row r="4093" spans="1:9" x14ac:dyDescent="0.25">
      <c r="A4093" s="1" t="s">
        <v>14435</v>
      </c>
      <c r="B4093" s="1" t="s">
        <v>12157</v>
      </c>
      <c r="C4093" s="1" t="str">
        <f>IFERROR(VLOOKUP(B4093,'SB1'!$A$2:$B$999999,2,FALSE),"")</f>
        <v>IMPREGNANTE PARA MADERA CETOL BALANCE INTERIOR SATINADO CRISTAL X 1</v>
      </c>
      <c r="D4093" s="1" t="s">
        <v>14445</v>
      </c>
      <c r="E4093" s="3">
        <f>IFERROR(VLOOKUP(B4093,'DA1'!$B$2:$D$999999,3,FALSE),"")</f>
      </c>
      <c r="F4093" s="1" t="str">
        <f>IFERROR(VLOOKUP(B4093,'SB1'!$A$2:$C$999999,3,FALSE),"")</f>
        <v>503</v>
      </c>
      <c r="G4093" s="3" t="e">
        <f t="shared" si="139"/>
        <v>#VALUE!</v>
      </c>
      <c r="H4093" s="3" t="e">
        <f t="shared" si="140"/>
        <v>#VALUE!</v>
      </c>
      <c r="I4093" s="1">
        <v>1</v>
      </c>
    </row>
    <row r="4094" spans="1:9" x14ac:dyDescent="0.25">
      <c r="A4094" s="1" t="s">
        <v>14435</v>
      </c>
      <c r="B4094" s="1" t="s">
        <v>12159</v>
      </c>
      <c r="C4094" s="1" t="str">
        <f>IFERROR(VLOOKUP(B4094,'SB1'!$A$2:$B$999999,2,FALSE),"")</f>
        <v>IMPREGNANTE PARA MADERA CETOL BALANCE INTERIOR SATINADO CRISTAL X 4</v>
      </c>
      <c r="D4094" s="1" t="s">
        <v>14445</v>
      </c>
      <c r="E4094" s="3">
        <f>IFERROR(VLOOKUP(B4094,'DA1'!$B$2:$D$999999,3,FALSE),"")</f>
      </c>
      <c r="F4094" s="1" t="str">
        <f>IFERROR(VLOOKUP(B4094,'SB1'!$A$2:$C$999999,3,FALSE),"")</f>
        <v>503</v>
      </c>
      <c r="G4094" s="3" t="e">
        <f t="shared" si="139"/>
        <v>#VALUE!</v>
      </c>
      <c r="H4094" s="3" t="e">
        <f t="shared" si="140"/>
        <v>#VALUE!</v>
      </c>
      <c r="I4094" s="1">
        <v>1</v>
      </c>
    </row>
    <row r="4095" spans="1:9" x14ac:dyDescent="0.25">
      <c r="A4095" s="1" t="s">
        <v>14435</v>
      </c>
      <c r="B4095" s="1" t="s">
        <v>12161</v>
      </c>
      <c r="C4095" s="1" t="str">
        <f>IFERROR(VLOOKUP(B4095,'SB1'!$A$2:$B$999999,2,FALSE),"")</f>
        <v>AEROSOL RUST-OLEUM REMOVIBLE PEEL COAT MATE NEGRO X 0,312 (313529)</v>
      </c>
      <c r="D4095" s="1" t="s">
        <v>14450</v>
      </c>
      <c r="E4095" s="3">
        <f>IFERROR(VLOOKUP(B4095,'DA1'!$B$2:$D$999999,3,FALSE),"")</f>
      </c>
      <c r="F4095" s="1" t="str">
        <f>IFERROR(VLOOKUP(B4095,'SB1'!$A$2:$C$999999,3,FALSE),"")</f>
        <v>503</v>
      </c>
      <c r="G4095" s="3" t="e">
        <f t="shared" si="139"/>
        <v>#VALUE!</v>
      </c>
      <c r="H4095" s="3" t="e">
        <f t="shared" si="140"/>
        <v>#VALUE!</v>
      </c>
      <c r="I4095" s="1">
        <v>1</v>
      </c>
    </row>
    <row r="4096" spans="1:9" x14ac:dyDescent="0.25">
      <c r="A4096" s="1" t="s">
        <v>14435</v>
      </c>
      <c r="B4096" s="1" t="s">
        <v>12163</v>
      </c>
      <c r="C4096" s="1" t="str">
        <f>IFERROR(VLOOKUP(B4096,'SB1'!$A$2:$B$999999,2,FALSE),"")</f>
        <v>AEROSOL RUST-OLEUM REMOVIBLE PEEL COAT PLATA X 0,312 (276802/313530)</v>
      </c>
      <c r="D4096" s="1" t="s">
        <v>14450</v>
      </c>
      <c r="E4096" s="3">
        <f>IFERROR(VLOOKUP(B4096,'DA1'!$B$2:$D$999999,3,FALSE),"")</f>
      </c>
      <c r="F4096" s="1" t="str">
        <f>IFERROR(VLOOKUP(B4096,'SB1'!$A$2:$C$999999,3,FALSE),"")</f>
        <v>503</v>
      </c>
      <c r="G4096" s="3" t="e">
        <f t="shared" si="139"/>
        <v>#VALUE!</v>
      </c>
      <c r="H4096" s="3" t="e">
        <f t="shared" si="140"/>
        <v>#VALUE!</v>
      </c>
      <c r="I4096" s="1">
        <v>1</v>
      </c>
    </row>
    <row r="4097" spans="1:9" x14ac:dyDescent="0.25">
      <c r="A4097" s="1" t="s">
        <v>14435</v>
      </c>
      <c r="B4097" s="1" t="s">
        <v>12165</v>
      </c>
      <c r="C4097" s="1" t="str">
        <f>IFERROR(VLOOKUP(B4097,'SB1'!$A$2:$B$999999,2,FALSE),"")</f>
        <v>AEROSOL RUST-OLEUM REMOVIBLE PEEL COAT MATE ROJO X 0,312 (284314)</v>
      </c>
      <c r="D4097" s="1" t="s">
        <v>14439</v>
      </c>
      <c r="E4097" s="3">
        <f>IFERROR(VLOOKUP(B4097,'DA1'!$B$2:$D$999999,3,FALSE),"")</f>
      </c>
      <c r="F4097" s="1" t="str">
        <f>IFERROR(VLOOKUP(B4097,'SB1'!$A$2:$C$999999,3,FALSE),"")</f>
        <v>503</v>
      </c>
      <c r="G4097" s="3" t="e">
        <f t="shared" si="139"/>
        <v>#VALUE!</v>
      </c>
      <c r="H4097" s="3" t="e">
        <f t="shared" si="140"/>
        <v>#VALUE!</v>
      </c>
      <c r="I4097" s="1">
        <v>1</v>
      </c>
    </row>
    <row r="4098" spans="1:9" x14ac:dyDescent="0.25">
      <c r="A4098" s="1" t="s">
        <v>14435</v>
      </c>
      <c r="B4098" s="1" t="s">
        <v>12167</v>
      </c>
      <c r="C4098" s="1" t="str">
        <f>IFERROR(VLOOKUP(B4098,'SB1'!$A$2:$B$999999,2,FALSE),"")</f>
        <v>AEROSOL RUST-OLEUM REMOVIBLE PEEL COAT MATE BLANCO X 0,312 (276800)</v>
      </c>
      <c r="D4098" s="1" t="s">
        <v>14439</v>
      </c>
      <c r="E4098" s="3">
        <f>IFERROR(VLOOKUP(B4098,'DA1'!$B$2:$D$999999,3,FALSE),"")</f>
      </c>
      <c r="F4098" s="1" t="str">
        <f>IFERROR(VLOOKUP(B4098,'SB1'!$A$2:$C$999999,3,FALSE),"")</f>
        <v>503</v>
      </c>
      <c r="G4098" s="3" t="e">
        <f t="shared" si="139"/>
        <v>#VALUE!</v>
      </c>
      <c r="H4098" s="3" t="e">
        <f t="shared" si="140"/>
        <v>#VALUE!</v>
      </c>
      <c r="I4098" s="1">
        <v>1</v>
      </c>
    </row>
    <row r="4099" spans="1:9" x14ac:dyDescent="0.25">
      <c r="A4099" s="1" t="s">
        <v>14435</v>
      </c>
      <c r="B4099" s="1" t="s">
        <v>12169</v>
      </c>
      <c r="C4099" s="1" t="str">
        <f>IFERROR(VLOOKUP(B4099,'SB1'!$A$2:$B$999999,2,FALSE),"")</f>
        <v>AEROSOL RUST-OLEUM REMOVIBLE PEEL COAT GRAFITO X 0,312 (284320 / 313533)</v>
      </c>
      <c r="D4099" s="1" t="s">
        <v>14450</v>
      </c>
      <c r="E4099" s="3">
        <f>IFERROR(VLOOKUP(B4099,'DA1'!$B$2:$D$999999,3,FALSE),"")</f>
      </c>
      <c r="F4099" s="1" t="str">
        <f>IFERROR(VLOOKUP(B4099,'SB1'!$A$2:$C$999999,3,FALSE),"")</f>
        <v>503</v>
      </c>
      <c r="G4099" s="3" t="e">
        <f t="shared" ref="G4099:G4162" si="141">E4099*1.04</f>
        <v>#VALUE!</v>
      </c>
      <c r="H4099" s="3" t="e">
        <f t="shared" si="140"/>
        <v>#VALUE!</v>
      </c>
      <c r="I4099" s="1">
        <v>1</v>
      </c>
    </row>
    <row r="4100" spans="1:9" x14ac:dyDescent="0.25">
      <c r="A4100" s="1" t="s">
        <v>14435</v>
      </c>
      <c r="B4100" s="1" t="s">
        <v>12171</v>
      </c>
      <c r="C4100" s="1" t="str">
        <f>IFERROR(VLOOKUP(B4100,'SB1'!$A$2:$B$999999,2,FALSE),"")</f>
        <v>AEROSOL RUST-OLEUM REMOVIBLE PEEL COAT BRILLANTE AZUL X 0,312 (284315)</v>
      </c>
      <c r="D4100" s="1" t="s">
        <v>14439</v>
      </c>
      <c r="E4100" s="3">
        <f>IFERROR(VLOOKUP(B4100,'DA1'!$B$2:$D$999999,3,FALSE),"")</f>
      </c>
      <c r="F4100" s="1" t="str">
        <f>IFERROR(VLOOKUP(B4100,'SB1'!$A$2:$C$999999,3,FALSE),"")</f>
        <v>503</v>
      </c>
      <c r="G4100" s="3" t="e">
        <f t="shared" si="141"/>
        <v>#VALUE!</v>
      </c>
      <c r="H4100" s="3" t="e">
        <f t="shared" ref="H4100:H4163" si="142">G4100*1.21</f>
        <v>#VALUE!</v>
      </c>
      <c r="I4100" s="1">
        <v>1</v>
      </c>
    </row>
    <row r="4101" spans="1:9" x14ac:dyDescent="0.25">
      <c r="A4101" s="1" t="s">
        <v>14435</v>
      </c>
      <c r="B4101" s="1" t="s">
        <v>12173</v>
      </c>
      <c r="C4101" s="1" t="str">
        <f>IFERROR(VLOOKUP(B4101,'SB1'!$A$2:$B$999999,2,FALSE),"")</f>
        <v>AEROSOL RUST-OLEUM REMOVIBLE PEEL COAT MATE ROSA X 0,312 (284317)</v>
      </c>
      <c r="D4101" s="1" t="s">
        <v>14439</v>
      </c>
      <c r="E4101" s="3">
        <f>IFERROR(VLOOKUP(B4101,'DA1'!$B$2:$D$999999,3,FALSE),"")</f>
      </c>
      <c r="F4101" s="1" t="str">
        <f>IFERROR(VLOOKUP(B4101,'SB1'!$A$2:$C$999999,3,FALSE),"")</f>
        <v>503</v>
      </c>
      <c r="G4101" s="3" t="e">
        <f t="shared" si="141"/>
        <v>#VALUE!</v>
      </c>
      <c r="H4101" s="3" t="e">
        <f t="shared" si="142"/>
        <v>#VALUE!</v>
      </c>
      <c r="I4101" s="1">
        <v>1</v>
      </c>
    </row>
    <row r="4102" spans="1:9" x14ac:dyDescent="0.25">
      <c r="A4102" s="1" t="s">
        <v>14435</v>
      </c>
      <c r="B4102" s="1" t="s">
        <v>12175</v>
      </c>
      <c r="C4102" s="1" t="str">
        <f>IFERROR(VLOOKUP(B4102,'SB1'!$A$2:$B$999999,2,FALSE),"")</f>
        <v>AEROSOL RUST-OLEUM REMOVIBLE PEEL COAT BRILLANTE NEGRO X 0,312 (297383/315099)</v>
      </c>
      <c r="D4102" s="1" t="s">
        <v>14450</v>
      </c>
      <c r="E4102" s="3">
        <f>IFERROR(VLOOKUP(B4102,'DA1'!$B$2:$D$999999,3,FALSE),"")</f>
      </c>
      <c r="F4102" s="1" t="str">
        <f>IFERROR(VLOOKUP(B4102,'SB1'!$A$2:$C$999999,3,FALSE),"")</f>
        <v>503</v>
      </c>
      <c r="G4102" s="3" t="e">
        <f t="shared" si="141"/>
        <v>#VALUE!</v>
      </c>
      <c r="H4102" s="3" t="e">
        <f t="shared" si="142"/>
        <v>#VALUE!</v>
      </c>
      <c r="I4102" s="1">
        <v>1</v>
      </c>
    </row>
    <row r="4103" spans="1:8" x14ac:dyDescent="0.25">
      <c r="A4103" s="1" t="s">
        <v>14435</v>
      </c>
      <c r="B4103" s="1" t="s">
        <v>12177</v>
      </c>
      <c r="C4103" s="1" t="str">
        <f>IFERROR(VLOOKUP(B4103,'SB1'!$A$2:$B$999999,2,FALSE),"")</f>
        <v>AEROSOL RUST-OLEUM REMOVIBLE PEEL COAT MATE NEGRO X 3,780 (283824)</v>
      </c>
      <c r="D4103" s="1" t="s">
        <v>14439</v>
      </c>
      <c r="E4103" s="3">
        <f>IFERROR(VLOOKUP(B4103,'DA1'!$B$2:$D$999999,3,FALSE),"")</f>
      </c>
      <c r="F4103" s="1" t="str">
        <f>IFERROR(VLOOKUP(B4103,'SB1'!$A$2:$C$999999,3,FALSE),"")</f>
        <v>503</v>
      </c>
      <c r="G4103" s="3" t="e">
        <f t="shared" si="141"/>
        <v>#VALUE!</v>
      </c>
      <c r="H4103" s="3" t="e">
        <f t="shared" si="142"/>
        <v>#VALUE!</v>
      </c>
    </row>
    <row r="4104" spans="1:9" x14ac:dyDescent="0.25">
      <c r="A4104" s="1" t="s">
        <v>14435</v>
      </c>
      <c r="B4104" s="1" t="s">
        <v>12179</v>
      </c>
      <c r="C4104" s="1" t="str">
        <f>IFERROR(VLOOKUP(B4104,'SB1'!$A$2:$B$999999,2,FALSE),"")</f>
        <v>AEROSOL RUST-OLEUM PARA CAJA DE CAMIONETA NEGRO X 0,425 (248914/313500</v>
      </c>
      <c r="D4104" s="1" t="s">
        <v>14450</v>
      </c>
      <c r="E4104" s="3">
        <f>IFERROR(VLOOKUP(B4104,'DA1'!$B$2:$D$999999,3,FALSE),"")</f>
      </c>
      <c r="F4104" s="1" t="str">
        <f>IFERROR(VLOOKUP(B4104,'SB1'!$A$2:$C$999999,3,FALSE),"")</f>
        <v>503</v>
      </c>
      <c r="G4104" s="3" t="e">
        <f t="shared" si="141"/>
        <v>#VALUE!</v>
      </c>
      <c r="H4104" s="3" t="e">
        <f t="shared" si="142"/>
        <v>#VALUE!</v>
      </c>
      <c r="I4104" s="1">
        <v>1</v>
      </c>
    </row>
    <row r="4105" spans="1:9" x14ac:dyDescent="0.25">
      <c r="A4105" s="1" t="s">
        <v>14435</v>
      </c>
      <c r="B4105" s="1" t="s">
        <v>12181</v>
      </c>
      <c r="C4105" s="1" t="str">
        <f>IFERROR(VLOOKUP(B4105,'SB1'!$A$2:$B$999999,2,FALSE),"")</f>
        <v>IMPREGNANTE PARA MADERA CETOL BALANCE DURACION EXTREMA BRILLANTE CEDRO X 1</v>
      </c>
      <c r="D4105" s="1" t="s">
        <v>14439</v>
      </c>
      <c r="E4105" s="3">
        <f>IFERROR(VLOOKUP(B4105,'DA1'!$B$2:$D$999999,3,FALSE),"")</f>
      </c>
      <c r="F4105" s="1" t="str">
        <f>IFERROR(VLOOKUP(B4105,'SB1'!$A$2:$C$999999,3,FALSE),"")</f>
        <v>503</v>
      </c>
      <c r="G4105" s="3" t="e">
        <f t="shared" si="141"/>
        <v>#VALUE!</v>
      </c>
      <c r="H4105" s="3" t="e">
        <f t="shared" si="142"/>
        <v>#VALUE!</v>
      </c>
      <c r="I4105" s="1">
        <v>1</v>
      </c>
    </row>
    <row r="4106" spans="1:9" x14ac:dyDescent="0.25">
      <c r="A4106" s="1" t="s">
        <v>14435</v>
      </c>
      <c r="B4106" s="1" t="s">
        <v>12183</v>
      </c>
      <c r="C4106" s="1" t="str">
        <f>IFERROR(VLOOKUP(B4106,'SB1'!$A$2:$B$999999,2,FALSE),"")</f>
        <v>IMPREGNANTE PARA MADERA CETOL BALANCE DURACION EXTREMA BRILLANTE CEDRO X 4</v>
      </c>
      <c r="D4106" s="1" t="s">
        <v>14445</v>
      </c>
      <c r="E4106" s="3">
        <f>IFERROR(VLOOKUP(B4106,'DA1'!$B$2:$D$999999,3,FALSE),"")</f>
      </c>
      <c r="F4106" s="1" t="str">
        <f>IFERROR(VLOOKUP(B4106,'SB1'!$A$2:$C$999999,3,FALSE),"")</f>
        <v>503</v>
      </c>
      <c r="G4106" s="3" t="e">
        <f t="shared" si="141"/>
        <v>#VALUE!</v>
      </c>
      <c r="H4106" s="3" t="e">
        <f t="shared" si="142"/>
        <v>#VALUE!</v>
      </c>
      <c r="I4106" s="1">
        <v>1</v>
      </c>
    </row>
    <row r="4107" spans="1:9" x14ac:dyDescent="0.25">
      <c r="A4107" s="1" t="s">
        <v>14435</v>
      </c>
      <c r="B4107" s="1" t="s">
        <v>12185</v>
      </c>
      <c r="C4107" s="1" t="str">
        <f>IFERROR(VLOOKUP(B4107,'SB1'!$A$2:$B$999999,2,FALSE),"")</f>
        <v>IMPREGNANTE PARA MADERA CETOL BALANCE DURACION EXTREMA SATINADO CEDRO X 1</v>
      </c>
      <c r="D4107" s="1" t="s">
        <v>14445</v>
      </c>
      <c r="E4107" s="3">
        <f>IFERROR(VLOOKUP(B4107,'DA1'!$B$2:$D$999999,3,FALSE),"")</f>
      </c>
      <c r="F4107" s="1" t="str">
        <f>IFERROR(VLOOKUP(B4107,'SB1'!$A$2:$C$999999,3,FALSE),"")</f>
        <v>503</v>
      </c>
      <c r="G4107" s="3" t="e">
        <f t="shared" si="141"/>
        <v>#VALUE!</v>
      </c>
      <c r="H4107" s="3" t="e">
        <f t="shared" si="142"/>
        <v>#VALUE!</v>
      </c>
      <c r="I4107" s="1">
        <v>1</v>
      </c>
    </row>
    <row r="4108" spans="1:9" x14ac:dyDescent="0.25">
      <c r="A4108" s="1" t="s">
        <v>14435</v>
      </c>
      <c r="B4108" s="1" t="s">
        <v>12187</v>
      </c>
      <c r="C4108" s="1" t="str">
        <f>IFERROR(VLOOKUP(B4108,'SB1'!$A$2:$B$999999,2,FALSE),"")</f>
        <v>IMPREGNANTE PARA MADERA CETOL BALANCE DURACION EXTREMA SATINADO CEDRO X 4</v>
      </c>
      <c r="D4108" s="1" t="s">
        <v>14445</v>
      </c>
      <c r="E4108" s="3">
        <f>IFERROR(VLOOKUP(B4108,'DA1'!$B$2:$D$999999,3,FALSE),"")</f>
      </c>
      <c r="F4108" s="1" t="str">
        <f>IFERROR(VLOOKUP(B4108,'SB1'!$A$2:$C$999999,3,FALSE),"")</f>
        <v>503</v>
      </c>
      <c r="G4108" s="3" t="e">
        <f t="shared" si="141"/>
        <v>#VALUE!</v>
      </c>
      <c r="H4108" s="3" t="e">
        <f t="shared" si="142"/>
        <v>#VALUE!</v>
      </c>
      <c r="I4108" s="1">
        <v>1</v>
      </c>
    </row>
    <row r="4109" spans="1:9" x14ac:dyDescent="0.25">
      <c r="A4109" s="1" t="s">
        <v>14435</v>
      </c>
      <c r="B4109" s="1" t="s">
        <v>12189</v>
      </c>
      <c r="C4109" s="1" t="str">
        <f>IFERROR(VLOOKUP(B4109,'SB1'!$A$2:$B$999999,2,FALSE),"")</f>
        <v>AEROSOL RUST-OLEUM LACA ACRILICA BLANCO X 0,340 (253364)</v>
      </c>
      <c r="D4109" s="1" t="s">
        <v>14450</v>
      </c>
      <c r="E4109" s="3">
        <f>IFERROR(VLOOKUP(B4109,'DA1'!$B$2:$D$999999,3,FALSE),"")</f>
      </c>
      <c r="F4109" s="1" t="str">
        <f>IFERROR(VLOOKUP(B4109,'SB1'!$A$2:$C$999999,3,FALSE),"")</f>
        <v>503</v>
      </c>
      <c r="G4109" s="3" t="e">
        <f t="shared" si="141"/>
        <v>#VALUE!</v>
      </c>
      <c r="H4109" s="3" t="e">
        <f t="shared" si="142"/>
        <v>#VALUE!</v>
      </c>
      <c r="I4109" s="1">
        <v>1</v>
      </c>
    </row>
    <row r="4110" spans="1:9" x14ac:dyDescent="0.25">
      <c r="A4110" s="1" t="s">
        <v>14435</v>
      </c>
      <c r="B4110" s="1" t="s">
        <v>12191</v>
      </c>
      <c r="C4110" s="1" t="str">
        <f>IFERROR(VLOOKUP(B4110,'SB1'!$A$2:$B$999999,2,FALSE),"")</f>
        <v>AEROSOL RUST-OLEUM LACA ACRILICA NEGRO X 0,340 (253365)</v>
      </c>
      <c r="D4110" s="1" t="s">
        <v>14450</v>
      </c>
      <c r="E4110" s="3">
        <f>IFERROR(VLOOKUP(B4110,'DA1'!$B$2:$D$999999,3,FALSE),"")</f>
      </c>
      <c r="F4110" s="1" t="str">
        <f>IFERROR(VLOOKUP(B4110,'SB1'!$A$2:$C$999999,3,FALSE),"")</f>
        <v>503</v>
      </c>
      <c r="G4110" s="3" t="e">
        <f t="shared" si="141"/>
        <v>#VALUE!</v>
      </c>
      <c r="H4110" s="3" t="e">
        <f t="shared" si="142"/>
        <v>#VALUE!</v>
      </c>
      <c r="I4110" s="1">
        <v>1</v>
      </c>
    </row>
    <row r="4111" spans="1:9" x14ac:dyDescent="0.25">
      <c r="A4111" s="1" t="s">
        <v>14435</v>
      </c>
      <c r="B4111" s="1" t="s">
        <v>12193</v>
      </c>
      <c r="C4111" s="1" t="str">
        <f>IFERROR(VLOOKUP(B4111,'SB1'!$A$2:$B$999999,2,FALSE),"")</f>
        <v>SELLADOR PARA PARQUET CETOL BALANCE X 1</v>
      </c>
      <c r="D4111" s="1" t="s">
        <v>14445</v>
      </c>
      <c r="E4111" s="3">
        <f>IFERROR(VLOOKUP(B4111,'DA1'!$B$2:$D$999999,3,FALSE),"")</f>
      </c>
      <c r="F4111" s="1" t="str">
        <f>IFERROR(VLOOKUP(B4111,'SB1'!$A$2:$C$999999,3,FALSE),"")</f>
        <v>503</v>
      </c>
      <c r="G4111" s="3" t="e">
        <f t="shared" si="141"/>
        <v>#VALUE!</v>
      </c>
      <c r="H4111" s="3" t="e">
        <f t="shared" si="142"/>
        <v>#VALUE!</v>
      </c>
      <c r="I4111" s="1">
        <v>1</v>
      </c>
    </row>
    <row r="4112" spans="1:9" x14ac:dyDescent="0.25">
      <c r="A4112" s="1" t="s">
        <v>14435</v>
      </c>
      <c r="B4112" s="1" t="s">
        <v>12195</v>
      </c>
      <c r="C4112" s="1" t="str">
        <f>IFERROR(VLOOKUP(B4112,'SB1'!$A$2:$B$999999,2,FALSE),"")</f>
        <v>AEROSOL RUST-OLEUM LACA ACRILICA TRANSPARENTE X 0,340 (253366/371259)</v>
      </c>
      <c r="D4112" s="1" t="s">
        <v>14450</v>
      </c>
      <c r="E4112" s="3">
        <f>IFERROR(VLOOKUP(B4112,'DA1'!$B$2:$D$999999,3,FALSE),"")</f>
      </c>
      <c r="F4112" s="1" t="str">
        <f>IFERROR(VLOOKUP(B4112,'SB1'!$A$2:$C$999999,3,FALSE),"")</f>
        <v>503</v>
      </c>
      <c r="G4112" s="3" t="e">
        <f t="shared" si="141"/>
        <v>#VALUE!</v>
      </c>
      <c r="H4112" s="3" t="e">
        <f t="shared" si="142"/>
        <v>#VALUE!</v>
      </c>
      <c r="I4112" s="1">
        <v>1</v>
      </c>
    </row>
    <row r="4113" spans="1:9" x14ac:dyDescent="0.25">
      <c r="A4113" s="1" t="s">
        <v>14435</v>
      </c>
      <c r="B4113" s="1" t="s">
        <v>12197</v>
      </c>
      <c r="C4113" s="1" t="str">
        <f>IFERROR(VLOOKUP(B4113,'SB1'!$A$2:$B$999999,2,FALSE),"")</f>
        <v>IMPREGNANTE PARA PARQUET CETOL BALANCE BRILLANTE NATURAL X 1</v>
      </c>
      <c r="D4113" s="1" t="s">
        <v>14445</v>
      </c>
      <c r="E4113" s="3">
        <f>IFERROR(VLOOKUP(B4113,'DA1'!$B$2:$D$999999,3,FALSE),"")</f>
      </c>
      <c r="F4113" s="1" t="str">
        <f>IFERROR(VLOOKUP(B4113,'SB1'!$A$2:$C$999999,3,FALSE),"")</f>
        <v>503</v>
      </c>
      <c r="G4113" s="3" t="e">
        <f t="shared" si="141"/>
        <v>#VALUE!</v>
      </c>
      <c r="H4113" s="3" t="e">
        <f t="shared" si="142"/>
        <v>#VALUE!</v>
      </c>
      <c r="I4113" s="1">
        <v>1</v>
      </c>
    </row>
    <row r="4114" spans="1:9" x14ac:dyDescent="0.25">
      <c r="A4114" s="1" t="s">
        <v>14435</v>
      </c>
      <c r="B4114" s="1" t="s">
        <v>12199</v>
      </c>
      <c r="C4114" s="1" t="str">
        <f>IFERROR(VLOOKUP(B4114,'SB1'!$A$2:$B$999999,2,FALSE),"")</f>
        <v>IMPREGNANTE PARA PARQUET CETOL BALANCE BRILLANTE NATURAL X 4</v>
      </c>
      <c r="D4114" s="1" t="s">
        <v>14445</v>
      </c>
      <c r="E4114" s="3">
        <f>IFERROR(VLOOKUP(B4114,'DA1'!$B$2:$D$999999,3,FALSE),"")</f>
      </c>
      <c r="F4114" s="1" t="str">
        <f>IFERROR(VLOOKUP(B4114,'SB1'!$A$2:$C$999999,3,FALSE),"")</f>
        <v>503</v>
      </c>
      <c r="G4114" s="3" t="e">
        <f t="shared" si="141"/>
        <v>#VALUE!</v>
      </c>
      <c r="H4114" s="3" t="e">
        <f t="shared" si="142"/>
        <v>#VALUE!</v>
      </c>
      <c r="I4114" s="1">
        <v>1</v>
      </c>
    </row>
    <row r="4115" spans="1:9" x14ac:dyDescent="0.25">
      <c r="A4115" s="1" t="s">
        <v>14435</v>
      </c>
      <c r="B4115" s="1" t="s">
        <v>12201</v>
      </c>
      <c r="C4115" s="1" t="str">
        <f>IFERROR(VLOOKUP(B4115,'SB1'!$A$2:$B$999999,2,FALSE),"")</f>
        <v>IMPREGNANTE PARA PARQUET CETOL VITRO BRILLANTE NATURAL X 1</v>
      </c>
      <c r="D4115" s="1" t="s">
        <v>14445</v>
      </c>
      <c r="E4115" s="3">
        <f>IFERROR(VLOOKUP(B4115,'DA1'!$B$2:$D$999999,3,FALSE),"")</f>
      </c>
      <c r="F4115" s="1" t="str">
        <f>IFERROR(VLOOKUP(B4115,'SB1'!$A$2:$C$999999,3,FALSE),"")</f>
        <v>503</v>
      </c>
      <c r="G4115" s="3" t="e">
        <f t="shared" si="141"/>
        <v>#VALUE!</v>
      </c>
      <c r="H4115" s="3" t="e">
        <f t="shared" si="142"/>
        <v>#VALUE!</v>
      </c>
      <c r="I4115" s="1">
        <v>1</v>
      </c>
    </row>
    <row r="4116" spans="1:9" x14ac:dyDescent="0.25">
      <c r="A4116" s="1" t="s">
        <v>14435</v>
      </c>
      <c r="B4116" s="1" t="s">
        <v>12203</v>
      </c>
      <c r="C4116" s="1" t="str">
        <f>IFERROR(VLOOKUP(B4116,'SB1'!$A$2:$B$999999,2,FALSE),"")</f>
        <v>IMPREGNANTE PARA PARQUET CETOL VITRO BRILLANTE NATURAL X 4</v>
      </c>
      <c r="D4116" s="1" t="s">
        <v>14445</v>
      </c>
      <c r="E4116" s="3">
        <f>IFERROR(VLOOKUP(B4116,'DA1'!$B$2:$D$999999,3,FALSE),"")</f>
      </c>
      <c r="F4116" s="1" t="str">
        <f>IFERROR(VLOOKUP(B4116,'SB1'!$A$2:$C$999999,3,FALSE),"")</f>
        <v>503</v>
      </c>
      <c r="G4116" s="3" t="e">
        <f t="shared" si="141"/>
        <v>#VALUE!</v>
      </c>
      <c r="H4116" s="3" t="e">
        <f t="shared" si="142"/>
        <v>#VALUE!</v>
      </c>
      <c r="I4116" s="1">
        <v>1</v>
      </c>
    </row>
    <row r="4117" spans="1:9" x14ac:dyDescent="0.25">
      <c r="A4117" s="1" t="s">
        <v>14435</v>
      </c>
      <c r="B4117" s="1" t="s">
        <v>12207</v>
      </c>
      <c r="C4117" s="1" t="str">
        <f>IFERROR(VLOOKUP(B4117,'SB1'!$A$2:$B$999999,2,FALSE),"")</f>
        <v>IMPREGNANTE PARA MADERA CETOL BALANCE CLASSIC SATINADO NOGAL X  1</v>
      </c>
      <c r="D4117" s="1" t="s">
        <v>14445</v>
      </c>
      <c r="E4117" s="3">
        <f>IFERROR(VLOOKUP(B4117,'DA1'!$B$2:$D$999999,3,FALSE),"")</f>
      </c>
      <c r="F4117" s="1" t="str">
        <f>IFERROR(VLOOKUP(B4117,'SB1'!$A$2:$C$999999,3,FALSE),"")</f>
        <v>503</v>
      </c>
      <c r="G4117" s="3" t="e">
        <f t="shared" si="141"/>
        <v>#VALUE!</v>
      </c>
      <c r="H4117" s="3" t="e">
        <f t="shared" si="142"/>
        <v>#VALUE!</v>
      </c>
      <c r="I4117" s="1">
        <v>1</v>
      </c>
    </row>
    <row r="4118" spans="1:9" x14ac:dyDescent="0.25">
      <c r="A4118" s="1" t="s">
        <v>14435</v>
      </c>
      <c r="B4118" s="1" t="s">
        <v>12209</v>
      </c>
      <c r="C4118" s="1" t="str">
        <f>IFERROR(VLOOKUP(B4118,'SB1'!$A$2:$B$999999,2,FALSE),"")</f>
        <v>IMPREGNANTE PARA MADERA CETOL BALANCE CLASSIC SATINADO NOGAL X  4</v>
      </c>
      <c r="D4118" s="1" t="s">
        <v>14445</v>
      </c>
      <c r="E4118" s="3">
        <f>IFERROR(VLOOKUP(B4118,'DA1'!$B$2:$D$999999,3,FALSE),"")</f>
      </c>
      <c r="F4118" s="1" t="str">
        <f>IFERROR(VLOOKUP(B4118,'SB1'!$A$2:$C$999999,3,FALSE),"")</f>
        <v>503</v>
      </c>
      <c r="G4118" s="3" t="e">
        <f t="shared" si="141"/>
        <v>#VALUE!</v>
      </c>
      <c r="H4118" s="3" t="e">
        <f t="shared" si="142"/>
        <v>#VALUE!</v>
      </c>
      <c r="I4118" s="1">
        <v>1</v>
      </c>
    </row>
    <row r="4119" spans="1:9" x14ac:dyDescent="0.25">
      <c r="A4119" s="1" t="s">
        <v>14435</v>
      </c>
      <c r="B4119" s="1" t="s">
        <v>12211</v>
      </c>
      <c r="C4119" s="1" t="str">
        <f>IFERROR(VLOOKUP(B4119,'SB1'!$A$2:$B$999999,2,FALSE),"")</f>
        <v>IMPREGNANTE PARA MADERA CETOL BALANCE CLASSIC BRILLANTE CEDRO X  1</v>
      </c>
      <c r="D4119" s="1" t="s">
        <v>14445</v>
      </c>
      <c r="E4119" s="3">
        <f>IFERROR(VLOOKUP(B4119,'DA1'!$B$2:$D$999999,3,FALSE),"")</f>
      </c>
      <c r="F4119" s="1" t="str">
        <f>IFERROR(VLOOKUP(B4119,'SB1'!$A$2:$C$999999,3,FALSE),"")</f>
        <v>503</v>
      </c>
      <c r="G4119" s="3" t="e">
        <f t="shared" si="141"/>
        <v>#VALUE!</v>
      </c>
      <c r="H4119" s="3" t="e">
        <f t="shared" si="142"/>
        <v>#VALUE!</v>
      </c>
      <c r="I4119" s="1">
        <v>1</v>
      </c>
    </row>
    <row r="4120" spans="1:9" x14ac:dyDescent="0.25">
      <c r="A4120" s="1" t="s">
        <v>14435</v>
      </c>
      <c r="B4120" s="1" t="s">
        <v>12213</v>
      </c>
      <c r="C4120" s="1" t="str">
        <f>IFERROR(VLOOKUP(B4120,'SB1'!$A$2:$B$999999,2,FALSE),"")</f>
        <v>IMPREGNANTE PARA MADERA CETOL BALANCE CLASSIC BRILLANTE CEDRO X  4</v>
      </c>
      <c r="D4120" s="1" t="s">
        <v>14445</v>
      </c>
      <c r="E4120" s="3">
        <f>IFERROR(VLOOKUP(B4120,'DA1'!$B$2:$D$999999,3,FALSE),"")</f>
      </c>
      <c r="F4120" s="1" t="str">
        <f>IFERROR(VLOOKUP(B4120,'SB1'!$A$2:$C$999999,3,FALSE),"")</f>
        <v>503</v>
      </c>
      <c r="G4120" s="3" t="e">
        <f t="shared" si="141"/>
        <v>#VALUE!</v>
      </c>
      <c r="H4120" s="3" t="e">
        <f t="shared" si="142"/>
        <v>#VALUE!</v>
      </c>
      <c r="I4120" s="1">
        <v>1</v>
      </c>
    </row>
    <row r="4121" spans="1:9" x14ac:dyDescent="0.25">
      <c r="A4121" s="1" t="s">
        <v>14435</v>
      </c>
      <c r="B4121" s="1" t="s">
        <v>12215</v>
      </c>
      <c r="C4121" s="1" t="str">
        <f>IFERROR(VLOOKUP(B4121,'SB1'!$A$2:$B$999999,2,FALSE),"")</f>
        <v>IMPREGNANTE PARA MADERA CETOL BALANCE CLASSIC BRILLANTE NOGAL X  1</v>
      </c>
      <c r="D4121" s="1" t="s">
        <v>14445</v>
      </c>
      <c r="E4121" s="3">
        <f>IFERROR(VLOOKUP(B4121,'DA1'!$B$2:$D$999999,3,FALSE),"")</f>
      </c>
      <c r="F4121" s="1" t="str">
        <f>IFERROR(VLOOKUP(B4121,'SB1'!$A$2:$C$999999,3,FALSE),"")</f>
        <v>503</v>
      </c>
      <c r="G4121" s="3" t="e">
        <f t="shared" si="141"/>
        <v>#VALUE!</v>
      </c>
      <c r="H4121" s="3" t="e">
        <f t="shared" si="142"/>
        <v>#VALUE!</v>
      </c>
      <c r="I4121" s="1">
        <v>1</v>
      </c>
    </row>
    <row r="4122" spans="1:9" x14ac:dyDescent="0.25">
      <c r="A4122" s="1" t="s">
        <v>14435</v>
      </c>
      <c r="B4122" s="1" t="s">
        <v>12217</v>
      </c>
      <c r="C4122" s="1" t="str">
        <f>IFERROR(VLOOKUP(B4122,'SB1'!$A$2:$B$999999,2,FALSE),"")</f>
        <v>IMPREGNANTE PARA MADERA CETOL BALANCE CLASSIC BRILLANTE NOGAL X  4</v>
      </c>
      <c r="D4122" s="1" t="s">
        <v>14445</v>
      </c>
      <c r="E4122" s="3">
        <f>IFERROR(VLOOKUP(B4122,'DA1'!$B$2:$D$999999,3,FALSE),"")</f>
      </c>
      <c r="F4122" s="1" t="str">
        <f>IFERROR(VLOOKUP(B4122,'SB1'!$A$2:$C$999999,3,FALSE),"")</f>
        <v>503</v>
      </c>
      <c r="G4122" s="3" t="e">
        <f t="shared" si="141"/>
        <v>#VALUE!</v>
      </c>
      <c r="H4122" s="3" t="e">
        <f t="shared" si="142"/>
        <v>#VALUE!</v>
      </c>
      <c r="I4122" s="1">
        <v>1</v>
      </c>
    </row>
    <row r="4123" spans="1:9" x14ac:dyDescent="0.25">
      <c r="A4123" s="1" t="s">
        <v>14435</v>
      </c>
      <c r="B4123" s="1" t="s">
        <v>12221</v>
      </c>
      <c r="C4123" s="1" t="str">
        <f>IFERROR(VLOOKUP(B4123,'SB1'!$A$2:$B$999999,2,FALSE),"")</f>
        <v>PROTECTOR PARA LADRILLO BRIKOL INCOLORO X 20</v>
      </c>
      <c r="D4123" s="1" t="s">
        <v>14491</v>
      </c>
      <c r="E4123" s="3">
        <f>IFERROR(VLOOKUP(B4123,'DA1'!$B$2:$D$999999,3,FALSE),"")</f>
      </c>
      <c r="F4123" s="1" t="str">
        <f>IFERROR(VLOOKUP(B4123,'SB1'!$A$2:$C$999999,3,FALSE),"")</f>
        <v>503</v>
      </c>
      <c r="G4123" s="3" t="e">
        <f t="shared" si="141"/>
        <v>#VALUE!</v>
      </c>
      <c r="H4123" s="3" t="e">
        <f t="shared" si="142"/>
        <v>#VALUE!</v>
      </c>
      <c r="I4123" s="1">
        <v>1</v>
      </c>
    </row>
    <row r="4124" spans="1:9" x14ac:dyDescent="0.25">
      <c r="A4124" s="1" t="s">
        <v>14435</v>
      </c>
      <c r="B4124" s="1" t="s">
        <v>12223</v>
      </c>
      <c r="C4124" s="1" t="str">
        <f>IFERROR(VLOOKUP(B4124,'SB1'!$A$2:$B$999999,2,FALSE),"")</f>
        <v>PROTECTOR PARA LADRILLO BRIKOL NATURAL X 20</v>
      </c>
      <c r="D4124" s="1" t="s">
        <v>14491</v>
      </c>
      <c r="E4124" s="3">
        <f>IFERROR(VLOOKUP(B4124,'DA1'!$B$2:$D$999999,3,FALSE),"")</f>
      </c>
      <c r="F4124" s="1" t="str">
        <f>IFERROR(VLOOKUP(B4124,'SB1'!$A$2:$C$999999,3,FALSE),"")</f>
        <v>503</v>
      </c>
      <c r="G4124" s="3" t="e">
        <f t="shared" si="141"/>
        <v>#VALUE!</v>
      </c>
      <c r="H4124" s="3" t="e">
        <f t="shared" si="142"/>
        <v>#VALUE!</v>
      </c>
      <c r="I4124" s="1">
        <v>1</v>
      </c>
    </row>
    <row r="4125" spans="1:9" x14ac:dyDescent="0.25">
      <c r="A4125" s="1" t="s">
        <v>14435</v>
      </c>
      <c r="B4125" s="1" t="s">
        <v>12225</v>
      </c>
      <c r="C4125" s="1" t="str">
        <f>IFERROR(VLOOKUP(B4125,'SB1'!$A$2:$B$999999,2,FALSE),"")</f>
        <v>PROTECTOR PARA LADRILLO BRIKOL CERAMICO X 20</v>
      </c>
      <c r="D4125" s="1" t="s">
        <v>14491</v>
      </c>
      <c r="E4125" s="3">
        <f>IFERROR(VLOOKUP(B4125,'DA1'!$B$2:$D$999999,3,FALSE),"")</f>
      </c>
      <c r="F4125" s="1" t="str">
        <f>IFERROR(VLOOKUP(B4125,'SB1'!$A$2:$C$999999,3,FALSE),"")</f>
        <v>503</v>
      </c>
      <c r="G4125" s="3" t="e">
        <f t="shared" si="141"/>
        <v>#VALUE!</v>
      </c>
      <c r="H4125" s="3" t="e">
        <f t="shared" si="142"/>
        <v>#VALUE!</v>
      </c>
      <c r="I4125" s="1">
        <v>1</v>
      </c>
    </row>
    <row r="4126" spans="1:9" x14ac:dyDescent="0.25">
      <c r="A4126" s="1" t="s">
        <v>14435</v>
      </c>
      <c r="B4126" s="1" t="s">
        <v>12227</v>
      </c>
      <c r="C4126" s="1" t="str">
        <f>IFERROR(VLOOKUP(B4126,'SB1'!$A$2:$B$999999,2,FALSE),"")</f>
        <v>PROTECTOR PARA LADRILLO BRIKOL INCOLORO X  1</v>
      </c>
      <c r="D4126" s="1" t="s">
        <v>14491</v>
      </c>
      <c r="E4126" s="3">
        <f>IFERROR(VLOOKUP(B4126,'DA1'!$B$2:$D$999999,3,FALSE),"")</f>
      </c>
      <c r="F4126" s="1" t="str">
        <f>IFERROR(VLOOKUP(B4126,'SB1'!$A$2:$C$999999,3,FALSE),"")</f>
        <v>503</v>
      </c>
      <c r="G4126" s="3" t="e">
        <f t="shared" si="141"/>
        <v>#VALUE!</v>
      </c>
      <c r="H4126" s="3" t="e">
        <f t="shared" si="142"/>
        <v>#VALUE!</v>
      </c>
      <c r="I4126" s="1">
        <v>1</v>
      </c>
    </row>
    <row r="4127" spans="1:9" x14ac:dyDescent="0.25">
      <c r="A4127" s="1" t="s">
        <v>14435</v>
      </c>
      <c r="B4127" s="1" t="s">
        <v>12231</v>
      </c>
      <c r="C4127" s="1" t="str">
        <f>IFERROR(VLOOKUP(B4127,'SB1'!$A$2:$B$999999,2,FALSE),"")</f>
        <v>PROTECTOR PARA LADRILLO BRIKOL NATURAL X  1</v>
      </c>
      <c r="D4127" s="1" t="s">
        <v>14491</v>
      </c>
      <c r="E4127" s="3">
        <f>IFERROR(VLOOKUP(B4127,'DA1'!$B$2:$D$999999,3,FALSE),"")</f>
      </c>
      <c r="F4127" s="1" t="str">
        <f>IFERROR(VLOOKUP(B4127,'SB1'!$A$2:$C$999999,3,FALSE),"")</f>
        <v>503</v>
      </c>
      <c r="G4127" s="3" t="e">
        <f t="shared" si="141"/>
        <v>#VALUE!</v>
      </c>
      <c r="H4127" s="3" t="e">
        <f t="shared" si="142"/>
        <v>#VALUE!</v>
      </c>
      <c r="I4127" s="1">
        <v>1</v>
      </c>
    </row>
    <row r="4128" spans="1:9" x14ac:dyDescent="0.25">
      <c r="A4128" s="1" t="s">
        <v>14435</v>
      </c>
      <c r="B4128" s="1" t="s">
        <v>12233</v>
      </c>
      <c r="C4128" s="1" t="str">
        <f>IFERROR(VLOOKUP(B4128,'SB1'!$A$2:$B$999999,2,FALSE),"")</f>
        <v>PROTECTOR PARA LADRILLO BRIKOL CERAMICO X  1</v>
      </c>
      <c r="D4128" s="1" t="s">
        <v>14491</v>
      </c>
      <c r="E4128" s="3">
        <f>IFERROR(VLOOKUP(B4128,'DA1'!$B$2:$D$999999,3,FALSE),"")</f>
      </c>
      <c r="F4128" s="1" t="str">
        <f>IFERROR(VLOOKUP(B4128,'SB1'!$A$2:$C$999999,3,FALSE),"")</f>
        <v>503</v>
      </c>
      <c r="G4128" s="3" t="e">
        <f t="shared" si="141"/>
        <v>#VALUE!</v>
      </c>
      <c r="H4128" s="3" t="e">
        <f t="shared" si="142"/>
        <v>#VALUE!</v>
      </c>
      <c r="I4128" s="1">
        <v>1</v>
      </c>
    </row>
    <row r="4129" spans="1:9" x14ac:dyDescent="0.25">
      <c r="A4129" s="1" t="s">
        <v>14435</v>
      </c>
      <c r="B4129" s="1" t="s">
        <v>12235</v>
      </c>
      <c r="C4129" s="1" t="str">
        <f>IFERROR(VLOOKUP(B4129,'SB1'!$A$2:$B$999999,2,FALSE),"")</f>
        <v>PROTECTOR PARA LADRILLO BRIKOL INCOLORO X  4</v>
      </c>
      <c r="D4129" s="1" t="s">
        <v>14491</v>
      </c>
      <c r="E4129" s="3">
        <f>IFERROR(VLOOKUP(B4129,'DA1'!$B$2:$D$999999,3,FALSE),"")</f>
      </c>
      <c r="F4129" s="1" t="str">
        <f>IFERROR(VLOOKUP(B4129,'SB1'!$A$2:$C$999999,3,FALSE),"")</f>
        <v>503</v>
      </c>
      <c r="G4129" s="3" t="e">
        <f t="shared" si="141"/>
        <v>#VALUE!</v>
      </c>
      <c r="H4129" s="3" t="e">
        <f t="shared" si="142"/>
        <v>#VALUE!</v>
      </c>
      <c r="I4129" s="1">
        <v>1</v>
      </c>
    </row>
    <row r="4130" spans="1:9" x14ac:dyDescent="0.25">
      <c r="A4130" s="1" t="s">
        <v>14435</v>
      </c>
      <c r="B4130" s="1" t="s">
        <v>12237</v>
      </c>
      <c r="C4130" s="1" t="str">
        <f>IFERROR(VLOOKUP(B4130,'SB1'!$A$2:$B$999999,2,FALSE),"")</f>
        <v>PROTECTOR PARA LADRILLO BRIKOL NATURAL X  4</v>
      </c>
      <c r="D4130" s="1" t="s">
        <v>14491</v>
      </c>
      <c r="E4130" s="3">
        <f>IFERROR(VLOOKUP(B4130,'DA1'!$B$2:$D$999999,3,FALSE),"")</f>
      </c>
      <c r="F4130" s="1" t="str">
        <f>IFERROR(VLOOKUP(B4130,'SB1'!$A$2:$C$999999,3,FALSE),"")</f>
        <v>503</v>
      </c>
      <c r="G4130" s="3" t="e">
        <f t="shared" si="141"/>
        <v>#VALUE!</v>
      </c>
      <c r="H4130" s="3" t="e">
        <f t="shared" si="142"/>
        <v>#VALUE!</v>
      </c>
      <c r="I4130" s="1">
        <v>1</v>
      </c>
    </row>
    <row r="4131" spans="1:9" x14ac:dyDescent="0.25">
      <c r="A4131" s="1" t="s">
        <v>14435</v>
      </c>
      <c r="B4131" s="1" t="s">
        <v>12239</v>
      </c>
      <c r="C4131" s="1" t="str">
        <f>IFERROR(VLOOKUP(B4131,'SB1'!$A$2:$B$999999,2,FALSE),"")</f>
        <v>PROTECTOR PARA LADRILLO BRIKOL CERAMICO X  4</v>
      </c>
      <c r="D4131" s="1" t="s">
        <v>14491</v>
      </c>
      <c r="E4131" s="3">
        <f>IFERROR(VLOOKUP(B4131,'DA1'!$B$2:$D$999999,3,FALSE),"")</f>
      </c>
      <c r="F4131" s="1" t="str">
        <f>IFERROR(VLOOKUP(B4131,'SB1'!$A$2:$C$999999,3,FALSE),"")</f>
        <v>503</v>
      </c>
      <c r="G4131" s="3" t="e">
        <f t="shared" si="141"/>
        <v>#VALUE!</v>
      </c>
      <c r="H4131" s="3" t="e">
        <f t="shared" si="142"/>
        <v>#VALUE!</v>
      </c>
      <c r="I4131" s="1">
        <v>1</v>
      </c>
    </row>
    <row r="4132" spans="1:9" x14ac:dyDescent="0.25">
      <c r="A4132" s="1" t="s">
        <v>14435</v>
      </c>
      <c r="B4132" s="1" t="s">
        <v>12241</v>
      </c>
      <c r="C4132" s="1" t="str">
        <f>IFERROR(VLOOKUP(B4132,'SB1'!$A$2:$B$999999,2,FALSE),"")</f>
        <v>PROTECTOR PARA LADRILLO BRIKOL INCOLORO X 10</v>
      </c>
      <c r="D4132" s="1" t="s">
        <v>14491</v>
      </c>
      <c r="E4132" s="3">
        <f>IFERROR(VLOOKUP(B4132,'DA1'!$B$2:$D$999999,3,FALSE),"")</f>
      </c>
      <c r="F4132" s="1" t="str">
        <f>IFERROR(VLOOKUP(B4132,'SB1'!$A$2:$C$999999,3,FALSE),"")</f>
        <v>503</v>
      </c>
      <c r="G4132" s="3" t="e">
        <f t="shared" si="141"/>
        <v>#VALUE!</v>
      </c>
      <c r="H4132" s="3" t="e">
        <f t="shared" si="142"/>
        <v>#VALUE!</v>
      </c>
      <c r="I4132" s="1">
        <v>1</v>
      </c>
    </row>
    <row r="4133" spans="1:9" x14ac:dyDescent="0.25">
      <c r="A4133" s="1" t="s">
        <v>14435</v>
      </c>
      <c r="B4133" s="1" t="s">
        <v>12243</v>
      </c>
      <c r="C4133" s="1" t="str">
        <f>IFERROR(VLOOKUP(B4133,'SB1'!$A$2:$B$999999,2,FALSE),"")</f>
        <v>PROTECTOR PARA LADRILLO BRIKOL NATURAL X 10</v>
      </c>
      <c r="D4133" s="1" t="s">
        <v>14491</v>
      </c>
      <c r="E4133" s="3">
        <f>IFERROR(VLOOKUP(B4133,'DA1'!$B$2:$D$999999,3,FALSE),"")</f>
      </c>
      <c r="F4133" s="1" t="str">
        <f>IFERROR(VLOOKUP(B4133,'SB1'!$A$2:$C$999999,3,FALSE),"")</f>
        <v>503</v>
      </c>
      <c r="G4133" s="3" t="e">
        <f t="shared" si="141"/>
        <v>#VALUE!</v>
      </c>
      <c r="H4133" s="3" t="e">
        <f t="shared" si="142"/>
        <v>#VALUE!</v>
      </c>
      <c r="I4133" s="1">
        <v>1</v>
      </c>
    </row>
    <row r="4134" spans="1:9" x14ac:dyDescent="0.25">
      <c r="A4134" s="1" t="s">
        <v>14435</v>
      </c>
      <c r="B4134" s="1" t="s">
        <v>12245</v>
      </c>
      <c r="C4134" s="1" t="str">
        <f>IFERROR(VLOOKUP(B4134,'SB1'!$A$2:$B$999999,2,FALSE),"")</f>
        <v>PROTECTOR PARA LADRILLO BRIKOL CERAMICO X 10</v>
      </c>
      <c r="D4134" s="1" t="s">
        <v>14491</v>
      </c>
      <c r="E4134" s="3">
        <f>IFERROR(VLOOKUP(B4134,'DA1'!$B$2:$D$999999,3,FALSE),"")</f>
      </c>
      <c r="F4134" s="1" t="str">
        <f>IFERROR(VLOOKUP(B4134,'SB1'!$A$2:$C$999999,3,FALSE),"")</f>
        <v>503</v>
      </c>
      <c r="G4134" s="3" t="e">
        <f t="shared" si="141"/>
        <v>#VALUE!</v>
      </c>
      <c r="H4134" s="3" t="e">
        <f t="shared" si="142"/>
        <v>#VALUE!</v>
      </c>
      <c r="I4134" s="1">
        <v>1</v>
      </c>
    </row>
    <row r="4135" spans="1:9" x14ac:dyDescent="0.25">
      <c r="A4135" s="1" t="s">
        <v>14435</v>
      </c>
      <c r="B4135" s="1" t="s">
        <v>12247</v>
      </c>
      <c r="C4135" s="1" t="str">
        <f>IFERROR(VLOOKUP(B4135,'SB1'!$A$2:$B$999999,2,FALSE),"")</f>
        <v>F300 BCO X 3,5</v>
      </c>
      <c r="D4135" s="1" t="s">
        <v>14455</v>
      </c>
      <c r="E4135" s="3">
        <f>IFERROR(VLOOKUP(B4135,'DA1'!$B$2:$D$999999,3,FALSE),"")</f>
      </c>
      <c r="F4135" s="1" t="str">
        <f>IFERROR(VLOOKUP(B4135,'SB1'!$A$2:$C$999999,3,FALSE),"")</f>
        <v>503</v>
      </c>
      <c r="G4135" s="3" t="e">
        <f t="shared" si="141"/>
        <v>#VALUE!</v>
      </c>
      <c r="H4135" s="3" t="e">
        <f t="shared" si="142"/>
        <v>#VALUE!</v>
      </c>
      <c r="I4135" s="1">
        <v>3</v>
      </c>
    </row>
    <row r="4136" spans="1:9" x14ac:dyDescent="0.25">
      <c r="A4136" s="1" t="s">
        <v>14435</v>
      </c>
      <c r="B4136" s="1" t="s">
        <v>12249</v>
      </c>
      <c r="C4136" s="1" t="str">
        <f>IFERROR(VLOOKUP(B4136,'SB1'!$A$2:$B$999999,2,FALSE),"")</f>
        <v>F301 RUBI X 3,5</v>
      </c>
      <c r="D4136" s="1" t="s">
        <v>14455</v>
      </c>
      <c r="E4136" s="3">
        <f>IFERROR(VLOOKUP(B4136,'DA1'!$B$2:$D$999999,3,FALSE),"")</f>
      </c>
      <c r="F4136" s="1" t="str">
        <f>IFERROR(VLOOKUP(B4136,'SB1'!$A$2:$C$999999,3,FALSE),"")</f>
        <v>503</v>
      </c>
      <c r="G4136" s="3" t="e">
        <f t="shared" si="141"/>
        <v>#VALUE!</v>
      </c>
      <c r="H4136" s="3" t="e">
        <f t="shared" si="142"/>
        <v>#VALUE!</v>
      </c>
      <c r="I4136" s="1">
        <v>3</v>
      </c>
    </row>
    <row r="4137" spans="1:9" x14ac:dyDescent="0.25">
      <c r="A4137" s="1" t="s">
        <v>14435</v>
      </c>
      <c r="B4137" s="1" t="s">
        <v>12251</v>
      </c>
      <c r="C4137" s="1" t="str">
        <f>IFERROR(VLOOKUP(B4137,'SB1'!$A$2:$B$999999,2,FALSE),"")</f>
        <v>F302 VIOLETA X 3,5</v>
      </c>
      <c r="D4137" s="1" t="s">
        <v>14455</v>
      </c>
      <c r="E4137" s="3">
        <f>IFERROR(VLOOKUP(B4137,'DA1'!$B$2:$D$999999,3,FALSE),"")</f>
      </c>
      <c r="F4137" s="1" t="str">
        <f>IFERROR(VLOOKUP(B4137,'SB1'!$A$2:$C$999999,3,FALSE),"")</f>
        <v>503</v>
      </c>
      <c r="G4137" s="3" t="e">
        <f t="shared" si="141"/>
        <v>#VALUE!</v>
      </c>
      <c r="H4137" s="3" t="e">
        <f t="shared" si="142"/>
        <v>#VALUE!</v>
      </c>
      <c r="I4137" s="1">
        <v>3</v>
      </c>
    </row>
    <row r="4138" spans="1:9" x14ac:dyDescent="0.25">
      <c r="A4138" s="1" t="s">
        <v>14435</v>
      </c>
      <c r="B4138" s="1" t="s">
        <v>12253</v>
      </c>
      <c r="C4138" s="1" t="str">
        <f>IFERROR(VLOOKUP(B4138,'SB1'!$A$2:$B$999999,2,FALSE),"")</f>
        <v>F304 ROJO X 3,5</v>
      </c>
      <c r="D4138" s="1" t="s">
        <v>14455</v>
      </c>
      <c r="E4138" s="3">
        <f>IFERROR(VLOOKUP(B4138,'DA1'!$B$2:$D$999999,3,FALSE),"")</f>
      </c>
      <c r="F4138" s="1" t="str">
        <f>IFERROR(VLOOKUP(B4138,'SB1'!$A$2:$C$999999,3,FALSE),"")</f>
        <v>503</v>
      </c>
      <c r="G4138" s="3" t="e">
        <f t="shared" si="141"/>
        <v>#VALUE!</v>
      </c>
      <c r="H4138" s="3" t="e">
        <f t="shared" si="142"/>
        <v>#VALUE!</v>
      </c>
      <c r="I4138" s="1">
        <v>3</v>
      </c>
    </row>
    <row r="4139" spans="1:9" x14ac:dyDescent="0.25">
      <c r="A4139" s="1" t="s">
        <v>14435</v>
      </c>
      <c r="B4139" s="1" t="s">
        <v>12255</v>
      </c>
      <c r="C4139" s="1" t="str">
        <f>IFERROR(VLOOKUP(B4139,'SB1'!$A$2:$B$999999,2,FALSE),"")</f>
        <v>F305 ROJO ESCARLATA X 3,5</v>
      </c>
      <c r="D4139" s="1" t="s">
        <v>14455</v>
      </c>
      <c r="E4139" s="3">
        <f>IFERROR(VLOOKUP(B4139,'DA1'!$B$2:$D$999999,3,FALSE),"")</f>
      </c>
      <c r="F4139" s="1" t="str">
        <f>IFERROR(VLOOKUP(B4139,'SB1'!$A$2:$C$999999,3,FALSE),"")</f>
        <v>503</v>
      </c>
      <c r="G4139" s="3" t="e">
        <f t="shared" si="141"/>
        <v>#VALUE!</v>
      </c>
      <c r="H4139" s="3" t="e">
        <f t="shared" si="142"/>
        <v>#VALUE!</v>
      </c>
      <c r="I4139" s="1">
        <v>3</v>
      </c>
    </row>
    <row r="4140" spans="1:9" x14ac:dyDescent="0.25">
      <c r="A4140" s="1" t="s">
        <v>14435</v>
      </c>
      <c r="B4140" s="1" t="s">
        <v>12257</v>
      </c>
      <c r="C4140" s="1" t="str">
        <f>IFERROR(VLOOKUP(B4140,'SB1'!$A$2:$B$999999,2,FALSE),"")</f>
        <v>F306 AMARILLO ESPLENDIDO X 3,5</v>
      </c>
      <c r="D4140" s="1" t="s">
        <v>14455</v>
      </c>
      <c r="E4140" s="3">
        <f>IFERROR(VLOOKUP(B4140,'DA1'!$B$2:$D$999999,3,FALSE),"")</f>
      </c>
      <c r="F4140" s="1" t="str">
        <f>IFERROR(VLOOKUP(B4140,'SB1'!$A$2:$C$999999,3,FALSE),"")</f>
        <v>503</v>
      </c>
      <c r="G4140" s="3" t="e">
        <f t="shared" si="141"/>
        <v>#VALUE!</v>
      </c>
      <c r="H4140" s="3" t="e">
        <f t="shared" si="142"/>
        <v>#VALUE!</v>
      </c>
      <c r="I4140" s="1">
        <v>3</v>
      </c>
    </row>
    <row r="4141" spans="1:9" x14ac:dyDescent="0.25">
      <c r="A4141" s="1" t="s">
        <v>14435</v>
      </c>
      <c r="B4141" s="1" t="s">
        <v>12259</v>
      </c>
      <c r="C4141" s="1" t="str">
        <f>IFERROR(VLOOKUP(B4141,'SB1'!$A$2:$B$999999,2,FALSE),"")</f>
        <v>F308 AMARILLO ORGANICO CLARO X 3,5</v>
      </c>
      <c r="D4141" s="1" t="s">
        <v>14455</v>
      </c>
      <c r="E4141" s="3">
        <f>IFERROR(VLOOKUP(B4141,'DA1'!$B$2:$D$999999,3,FALSE),"")</f>
      </c>
      <c r="F4141" s="1" t="str">
        <f>IFERROR(VLOOKUP(B4141,'SB1'!$A$2:$C$999999,3,FALSE),"")</f>
        <v>503</v>
      </c>
      <c r="G4141" s="3" t="e">
        <f t="shared" si="141"/>
        <v>#VALUE!</v>
      </c>
      <c r="H4141" s="3" t="e">
        <f t="shared" si="142"/>
        <v>#VALUE!</v>
      </c>
      <c r="I4141" s="1">
        <v>3</v>
      </c>
    </row>
    <row r="4142" spans="1:9" x14ac:dyDescent="0.25">
      <c r="A4142" s="1" t="s">
        <v>14435</v>
      </c>
      <c r="B4142" s="1" t="s">
        <v>12261</v>
      </c>
      <c r="C4142" s="1" t="str">
        <f>IFERROR(VLOOKUP(B4142,'SB1'!$A$2:$B$999999,2,FALSE),"")</f>
        <v>F309 NARANJA ORGANICO CLARO X 3,5</v>
      </c>
      <c r="D4142" s="1" t="s">
        <v>14455</v>
      </c>
      <c r="E4142" s="3">
        <f>IFERROR(VLOOKUP(B4142,'DA1'!$B$2:$D$999999,3,FALSE),"")</f>
      </c>
      <c r="F4142" s="1" t="str">
        <f>IFERROR(VLOOKUP(B4142,'SB1'!$A$2:$C$999999,3,FALSE),"")</f>
        <v>503</v>
      </c>
      <c r="G4142" s="3" t="e">
        <f t="shared" si="141"/>
        <v>#VALUE!</v>
      </c>
      <c r="H4142" s="3" t="e">
        <f t="shared" si="142"/>
        <v>#VALUE!</v>
      </c>
      <c r="I4142" s="1">
        <v>3</v>
      </c>
    </row>
    <row r="4143" spans="1:9" x14ac:dyDescent="0.25">
      <c r="A4143" s="1" t="s">
        <v>14435</v>
      </c>
      <c r="B4143" s="1" t="s">
        <v>12265</v>
      </c>
      <c r="C4143" s="1" t="str">
        <f>IFERROR(VLOOKUP(B4143,'SB1'!$A$2:$B$999999,2,FALSE),"")</f>
        <v>F311 AMARILLO CROMO X 3,5 (DISCONTINUADO)</v>
      </c>
      <c r="D4143" s="1" t="s">
        <v>14455</v>
      </c>
      <c r="E4143" s="3">
        <f>IFERROR(VLOOKUP(B4143,'DA1'!$B$2:$D$999999,3,FALSE),"")</f>
      </c>
      <c r="F4143" s="1" t="str">
        <f>IFERROR(VLOOKUP(B4143,'SB1'!$A$2:$C$999999,3,FALSE),"")</f>
        <v>503</v>
      </c>
      <c r="G4143" s="3" t="e">
        <f t="shared" si="141"/>
        <v>#VALUE!</v>
      </c>
      <c r="H4143" s="3" t="e">
        <f t="shared" si="142"/>
        <v>#VALUE!</v>
      </c>
      <c r="I4143" s="1">
        <v>1</v>
      </c>
    </row>
    <row r="4144" spans="1:9" x14ac:dyDescent="0.25">
      <c r="A4144" s="1" t="s">
        <v>14435</v>
      </c>
      <c r="B4144" s="1" t="s">
        <v>12267</v>
      </c>
      <c r="C4144" s="1" t="str">
        <f>IFERROR(VLOOKUP(B4144,'SB1'!$A$2:$B$999999,2,FALSE),"")</f>
        <v>F312 NARANJA X 3,5 (DISCONTINUADO)</v>
      </c>
      <c r="D4144" s="1" t="s">
        <v>14455</v>
      </c>
      <c r="E4144" s="3">
        <f>IFERROR(VLOOKUP(B4144,'DA1'!$B$2:$D$999999,3,FALSE),"")</f>
      </c>
      <c r="F4144" s="1" t="str">
        <f>IFERROR(VLOOKUP(B4144,'SB1'!$A$2:$C$999999,3,FALSE),"")</f>
        <v>503</v>
      </c>
      <c r="G4144" s="3" t="e">
        <f t="shared" si="141"/>
        <v>#VALUE!</v>
      </c>
      <c r="H4144" s="3" t="e">
        <f t="shared" si="142"/>
        <v>#VALUE!</v>
      </c>
      <c r="I4144" s="1">
        <v>3</v>
      </c>
    </row>
    <row r="4145" spans="1:9" x14ac:dyDescent="0.25">
      <c r="A4145" s="1" t="s">
        <v>14435</v>
      </c>
      <c r="B4145" s="1" t="s">
        <v>12269</v>
      </c>
      <c r="C4145" s="1" t="str">
        <f>IFERROR(VLOOKUP(B4145,'SB1'!$A$2:$B$999999,2,FALSE),"")</f>
        <v>F313 AMARILLO ORGANICO X 3,5</v>
      </c>
      <c r="D4145" s="1" t="s">
        <v>14455</v>
      </c>
      <c r="E4145" s="3">
        <f>IFERROR(VLOOKUP(B4145,'DA1'!$B$2:$D$999999,3,FALSE),"")</f>
      </c>
      <c r="F4145" s="1" t="str">
        <f>IFERROR(VLOOKUP(B4145,'SB1'!$A$2:$C$999999,3,FALSE),"")</f>
        <v>503</v>
      </c>
      <c r="G4145" s="3" t="e">
        <f t="shared" si="141"/>
        <v>#VALUE!</v>
      </c>
      <c r="H4145" s="3" t="e">
        <f t="shared" si="142"/>
        <v>#VALUE!</v>
      </c>
      <c r="I4145" s="1">
        <v>3</v>
      </c>
    </row>
    <row r="4146" spans="1:9" x14ac:dyDescent="0.25">
      <c r="A4146" s="1" t="s">
        <v>14435</v>
      </c>
      <c r="B4146" s="1" t="s">
        <v>12271</v>
      </c>
      <c r="C4146" s="1" t="str">
        <f>IFERROR(VLOOKUP(B4146,'SB1'!$A$2:$B$999999,2,FALSE),"")</f>
        <v>F314 VERDE MEDIO X 3,5</v>
      </c>
      <c r="D4146" s="1" t="s">
        <v>14455</v>
      </c>
      <c r="E4146" s="3">
        <f>IFERROR(VLOOKUP(B4146,'DA1'!$B$2:$D$999999,3,FALSE),"")</f>
      </c>
      <c r="F4146" s="1" t="str">
        <f>IFERROR(VLOOKUP(B4146,'SB1'!$A$2:$C$999999,3,FALSE),"")</f>
        <v>503</v>
      </c>
      <c r="G4146" s="3" t="e">
        <f t="shared" si="141"/>
        <v>#VALUE!</v>
      </c>
      <c r="H4146" s="3" t="e">
        <f t="shared" si="142"/>
        <v>#VALUE!</v>
      </c>
      <c r="I4146" s="1">
        <v>3</v>
      </c>
    </row>
    <row r="4147" spans="1:9" x14ac:dyDescent="0.25">
      <c r="A4147" s="1" t="s">
        <v>14435</v>
      </c>
      <c r="B4147" s="1" t="s">
        <v>12273</v>
      </c>
      <c r="C4147" s="1" t="str">
        <f>IFERROR(VLOOKUP(B4147,'SB1'!$A$2:$B$999999,2,FALSE),"")</f>
        <v>F315 VERDE ORGANICO OSCURO X 3,5</v>
      </c>
      <c r="D4147" s="1" t="s">
        <v>14455</v>
      </c>
      <c r="E4147" s="3">
        <f>IFERROR(VLOOKUP(B4147,'DA1'!$B$2:$D$999999,3,FALSE),"")</f>
      </c>
      <c r="F4147" s="1" t="str">
        <f>IFERROR(VLOOKUP(B4147,'SB1'!$A$2:$C$999999,3,FALSE),"")</f>
        <v>503</v>
      </c>
      <c r="G4147" s="3" t="e">
        <f t="shared" si="141"/>
        <v>#VALUE!</v>
      </c>
      <c r="H4147" s="3" t="e">
        <f t="shared" si="142"/>
        <v>#VALUE!</v>
      </c>
      <c r="I4147" s="1">
        <v>3</v>
      </c>
    </row>
    <row r="4148" spans="1:9" x14ac:dyDescent="0.25">
      <c r="A4148" s="1" t="s">
        <v>14435</v>
      </c>
      <c r="B4148" s="1" t="s">
        <v>12275</v>
      </c>
      <c r="C4148" s="1" t="str">
        <f>IFERROR(VLOOKUP(B4148,'SB1'!$A$2:$B$999999,2,FALSE),"")</f>
        <v>FBR029.01 ALUMINIO FINO X 3,5(EX F3160GL)</v>
      </c>
      <c r="D4148" s="1" t="s">
        <v>14455</v>
      </c>
      <c r="E4148" s="3">
        <f>IFERROR(VLOOKUP(B4148,'DA1'!$B$2:$D$999999,3,FALSE),"")</f>
      </c>
      <c r="F4148" s="1" t="str">
        <f>IFERROR(VLOOKUP(B4148,'SB1'!$A$2:$C$999999,3,FALSE),"")</f>
        <v>503</v>
      </c>
      <c r="G4148" s="3" t="e">
        <f t="shared" si="141"/>
        <v>#VALUE!</v>
      </c>
      <c r="H4148" s="3" t="e">
        <f t="shared" si="142"/>
        <v>#VALUE!</v>
      </c>
      <c r="I4148" s="1">
        <v>3</v>
      </c>
    </row>
    <row r="4149" spans="1:9" x14ac:dyDescent="0.25">
      <c r="A4149" s="1" t="s">
        <v>14435</v>
      </c>
      <c r="B4149" s="1" t="s">
        <v>12277</v>
      </c>
      <c r="C4149" s="1" t="str">
        <f>IFERROR(VLOOKUP(B4149,'SB1'!$A$2:$B$999999,2,FALSE),"")</f>
        <v>F317.01 OXIDO AMARILLO X 3,5</v>
      </c>
      <c r="D4149" s="1" t="s">
        <v>14455</v>
      </c>
      <c r="E4149" s="3">
        <f>IFERROR(VLOOKUP(B4149,'DA1'!$B$2:$D$999999,3,FALSE),"")</f>
      </c>
      <c r="F4149" s="1" t="str">
        <f>IFERROR(VLOOKUP(B4149,'SB1'!$A$2:$C$999999,3,FALSE),"")</f>
        <v>503</v>
      </c>
      <c r="G4149" s="3" t="e">
        <f t="shared" si="141"/>
        <v>#VALUE!</v>
      </c>
      <c r="H4149" s="3" t="e">
        <f t="shared" si="142"/>
        <v>#VALUE!</v>
      </c>
      <c r="I4149" s="1">
        <v>3</v>
      </c>
    </row>
    <row r="4150" spans="1:9" x14ac:dyDescent="0.25">
      <c r="A4150" s="1" t="s">
        <v>14435</v>
      </c>
      <c r="B4150" s="1" t="s">
        <v>12279</v>
      </c>
      <c r="C4150" s="1" t="str">
        <f>IFERROR(VLOOKUP(B4150,'SB1'!$A$2:$B$999999,2,FALSE),"")</f>
        <v>F318.01 NEGRO X 3,5</v>
      </c>
      <c r="D4150" s="1" t="s">
        <v>14455</v>
      </c>
      <c r="E4150" s="3">
        <f>IFERROR(VLOOKUP(B4150,'DA1'!$B$2:$D$999999,3,FALSE),"")</f>
      </c>
      <c r="F4150" s="1" t="str">
        <f>IFERROR(VLOOKUP(B4150,'SB1'!$A$2:$C$999999,3,FALSE),"")</f>
        <v>503</v>
      </c>
      <c r="G4150" s="3" t="e">
        <f t="shared" si="141"/>
        <v>#VALUE!</v>
      </c>
      <c r="H4150" s="3" t="e">
        <f t="shared" si="142"/>
        <v>#VALUE!</v>
      </c>
      <c r="I4150" s="1">
        <v>3</v>
      </c>
    </row>
    <row r="4151" spans="1:9" x14ac:dyDescent="0.25">
      <c r="A4151" s="1" t="s">
        <v>14435</v>
      </c>
      <c r="B4151" s="1" t="s">
        <v>12281</v>
      </c>
      <c r="C4151" s="1" t="str">
        <f>IFERROR(VLOOKUP(B4151,'SB1'!$A$2:$B$999999,2,FALSE),"")</f>
        <v>F319 OXIDO ROJO X 3,5</v>
      </c>
      <c r="D4151" s="1" t="s">
        <v>14455</v>
      </c>
      <c r="E4151" s="3">
        <f>IFERROR(VLOOKUP(B4151,'DA1'!$B$2:$D$999999,3,FALSE),"")</f>
      </c>
      <c r="F4151" s="1" t="str">
        <f>IFERROR(VLOOKUP(B4151,'SB1'!$A$2:$C$999999,3,FALSE),"")</f>
        <v>503</v>
      </c>
      <c r="G4151" s="3" t="e">
        <f t="shared" si="141"/>
        <v>#VALUE!</v>
      </c>
      <c r="H4151" s="3" t="e">
        <f t="shared" si="142"/>
        <v>#VALUE!</v>
      </c>
      <c r="I4151" s="1">
        <v>3</v>
      </c>
    </row>
    <row r="4152" spans="1:9" x14ac:dyDescent="0.25">
      <c r="A4152" s="1" t="s">
        <v>14435</v>
      </c>
      <c r="B4152" s="1" t="s">
        <v>12283</v>
      </c>
      <c r="C4152" s="1" t="str">
        <f>IFERROR(VLOOKUP(B4152,'SB1'!$A$2:$B$999999,2,FALSE),"")</f>
        <v>F320.01 AZUL ORGANICO X 3,5</v>
      </c>
      <c r="D4152" s="1" t="s">
        <v>14455</v>
      </c>
      <c r="E4152" s="3">
        <f>IFERROR(VLOOKUP(B4152,'DA1'!$B$2:$D$999999,3,FALSE),"")</f>
      </c>
      <c r="F4152" s="1" t="str">
        <f>IFERROR(VLOOKUP(B4152,'SB1'!$A$2:$C$999999,3,FALSE),"")</f>
        <v>503</v>
      </c>
      <c r="G4152" s="3" t="e">
        <f t="shared" si="141"/>
        <v>#VALUE!</v>
      </c>
      <c r="H4152" s="3" t="e">
        <f t="shared" si="142"/>
        <v>#VALUE!</v>
      </c>
      <c r="I4152" s="1">
        <v>3</v>
      </c>
    </row>
    <row r="4153" spans="1:9" x14ac:dyDescent="0.25">
      <c r="A4153" s="1" t="s">
        <v>14435</v>
      </c>
      <c r="B4153" s="1" t="s">
        <v>12285</v>
      </c>
      <c r="C4153" s="1" t="str">
        <f>IFERROR(VLOOKUP(B4153,'SB1'!$A$2:$B$999999,2,FALSE),"")</f>
        <v>F321.01 AZUL NOCHE X 3,5</v>
      </c>
      <c r="D4153" s="1" t="s">
        <v>14455</v>
      </c>
      <c r="E4153" s="3">
        <f>IFERROR(VLOOKUP(B4153,'DA1'!$B$2:$D$999999,3,FALSE),"")</f>
      </c>
      <c r="F4153" s="1" t="str">
        <f>IFERROR(VLOOKUP(B4153,'SB1'!$A$2:$C$999999,3,FALSE),"")</f>
        <v>503</v>
      </c>
      <c r="G4153" s="3" t="e">
        <f t="shared" si="141"/>
        <v>#VALUE!</v>
      </c>
      <c r="H4153" s="3" t="e">
        <f t="shared" si="142"/>
        <v>#VALUE!</v>
      </c>
      <c r="I4153" s="1">
        <v>3</v>
      </c>
    </row>
    <row r="4154" spans="1:9" x14ac:dyDescent="0.25">
      <c r="A4154" s="1" t="s">
        <v>14435</v>
      </c>
      <c r="B4154" s="1" t="s">
        <v>12287</v>
      </c>
      <c r="C4154" s="1" t="str">
        <f>IFERROR(VLOOKUP(B4154,'SB1'!$A$2:$B$999999,2,FALSE),"")</f>
        <v>F323 ROJO VIVO X 3,5</v>
      </c>
      <c r="D4154" s="1" t="s">
        <v>14455</v>
      </c>
      <c r="E4154" s="3">
        <f>IFERROR(VLOOKUP(B4154,'DA1'!$B$2:$D$999999,3,FALSE),"")</f>
      </c>
      <c r="F4154" s="1" t="str">
        <f>IFERROR(VLOOKUP(B4154,'SB1'!$A$2:$C$999999,3,FALSE),"")</f>
        <v>503</v>
      </c>
      <c r="G4154" s="3" t="e">
        <f t="shared" si="141"/>
        <v>#VALUE!</v>
      </c>
      <c r="H4154" s="3" t="e">
        <f t="shared" si="142"/>
        <v>#VALUE!</v>
      </c>
      <c r="I4154" s="1">
        <v>3</v>
      </c>
    </row>
    <row r="4155" spans="1:9" x14ac:dyDescent="0.25">
      <c r="A4155" s="1" t="s">
        <v>14435</v>
      </c>
      <c r="B4155" s="1" t="s">
        <v>12289</v>
      </c>
      <c r="C4155" s="1" t="str">
        <f>IFERROR(VLOOKUP(B4155,'SB1'!$A$2:$B$999999,2,FALSE),"")</f>
        <v>F324 NEGRO INT X 3,5</v>
      </c>
      <c r="D4155" s="1" t="s">
        <v>14455</v>
      </c>
      <c r="E4155" s="3">
        <f>IFERROR(VLOOKUP(B4155,'DA1'!$B$2:$D$999999,3,FALSE),"")</f>
      </c>
      <c r="F4155" s="1" t="str">
        <f>IFERROR(VLOOKUP(B4155,'SB1'!$A$2:$C$999999,3,FALSE),"")</f>
        <v>503</v>
      </c>
      <c r="G4155" s="3" t="e">
        <f t="shared" si="141"/>
        <v>#VALUE!</v>
      </c>
      <c r="H4155" s="3" t="e">
        <f t="shared" si="142"/>
        <v>#VALUE!</v>
      </c>
      <c r="I4155" s="1">
        <v>3</v>
      </c>
    </row>
    <row r="4156" spans="1:9" x14ac:dyDescent="0.25">
      <c r="A4156" s="1" t="s">
        <v>14435</v>
      </c>
      <c r="B4156" s="1" t="s">
        <v>12291</v>
      </c>
      <c r="C4156" s="1" t="str">
        <f>IFERROR(VLOOKUP(B4156,'SB1'!$A$2:$B$999999,2,FALSE),"")</f>
        <v>F325.01 NARANJA PERMANENTE X 3,5</v>
      </c>
      <c r="D4156" s="1" t="s">
        <v>14455</v>
      </c>
      <c r="E4156" s="3">
        <f>IFERROR(VLOOKUP(B4156,'DA1'!$B$2:$D$999999,3,FALSE),"")</f>
      </c>
      <c r="F4156" s="1" t="str">
        <f>IFERROR(VLOOKUP(B4156,'SB1'!$A$2:$C$999999,3,FALSE),"")</f>
        <v>503</v>
      </c>
      <c r="G4156" s="3" t="e">
        <f t="shared" si="141"/>
        <v>#VALUE!</v>
      </c>
      <c r="H4156" s="3" t="e">
        <f t="shared" si="142"/>
        <v>#VALUE!</v>
      </c>
      <c r="I4156" s="1">
        <v>3</v>
      </c>
    </row>
    <row r="4157" spans="1:9" x14ac:dyDescent="0.25">
      <c r="A4157" s="1" t="s">
        <v>14435</v>
      </c>
      <c r="B4157" s="1" t="s">
        <v>12293</v>
      </c>
      <c r="C4157" s="1" t="str">
        <f>IFERROR(VLOOKUP(B4157,'SB1'!$A$2:$B$999999,2,FALSE),"")</f>
        <v>F328 NARANJA ORGANICO X 3,5</v>
      </c>
      <c r="D4157" s="1" t="s">
        <v>14455</v>
      </c>
      <c r="E4157" s="3">
        <f>IFERROR(VLOOKUP(B4157,'DA1'!$B$2:$D$999999,3,FALSE),"")</f>
      </c>
      <c r="F4157" s="1" t="str">
        <f>IFERROR(VLOOKUP(B4157,'SB1'!$A$2:$C$999999,3,FALSE),"")</f>
        <v>503</v>
      </c>
      <c r="G4157" s="3" t="e">
        <f t="shared" si="141"/>
        <v>#VALUE!</v>
      </c>
      <c r="H4157" s="3" t="e">
        <f t="shared" si="142"/>
        <v>#VALUE!</v>
      </c>
      <c r="I4157" s="1">
        <v>3</v>
      </c>
    </row>
    <row r="4158" spans="1:9" x14ac:dyDescent="0.25">
      <c r="A4158" s="1" t="s">
        <v>14435</v>
      </c>
      <c r="B4158" s="1" t="s">
        <v>12295</v>
      </c>
      <c r="C4158" s="1" t="str">
        <f>IFERROR(VLOOKUP(B4158,'SB1'!$A$2:$B$999999,2,FALSE),"")</f>
        <v>F341.20 RESINA PU LINEA 350 X 20</v>
      </c>
      <c r="D4158" s="1" t="s">
        <v>14455</v>
      </c>
      <c r="E4158" s="3">
        <f>IFERROR(VLOOKUP(B4158,'DA1'!$B$2:$D$999999,3,FALSE),"")</f>
      </c>
      <c r="F4158" s="1" t="str">
        <f>IFERROR(VLOOKUP(B4158,'SB1'!$A$2:$C$999999,3,FALSE),"")</f>
        <v>503</v>
      </c>
      <c r="G4158" s="3" t="e">
        <f t="shared" si="141"/>
        <v>#VALUE!</v>
      </c>
      <c r="H4158" s="3" t="e">
        <f t="shared" si="142"/>
        <v>#VALUE!</v>
      </c>
      <c r="I4158" s="1">
        <v>3</v>
      </c>
    </row>
    <row r="4159" spans="1:9" x14ac:dyDescent="0.25">
      <c r="A4159" s="1" t="s">
        <v>14435</v>
      </c>
      <c r="B4159" s="1" t="s">
        <v>12297</v>
      </c>
      <c r="C4159" s="1" t="str">
        <f>IFERROR(VLOOKUP(B4159,'SB1'!$A$2:$B$999999,2,FALSE),"")</f>
        <v>FBR197.01 RESINA ACRILICA MATE X 3,5 (F342)</v>
      </c>
      <c r="D4159" s="1" t="s">
        <v>14455</v>
      </c>
      <c r="E4159" s="3">
        <f>IFERROR(VLOOKUP(B4159,'DA1'!$B$2:$D$999999,3,FALSE),"")</f>
      </c>
      <c r="F4159" s="1" t="str">
        <f>IFERROR(VLOOKUP(B4159,'SB1'!$A$2:$C$999999,3,FALSE),"")</f>
        <v>503</v>
      </c>
      <c r="G4159" s="3" t="e">
        <f t="shared" si="141"/>
        <v>#VALUE!</v>
      </c>
      <c r="H4159" s="3" t="e">
        <f t="shared" si="142"/>
        <v>#VALUE!</v>
      </c>
      <c r="I4159" s="1">
        <v>3</v>
      </c>
    </row>
    <row r="4160" spans="1:9" x14ac:dyDescent="0.25">
      <c r="A4160" s="1" t="s">
        <v>14435</v>
      </c>
      <c r="B4160" s="1" t="s">
        <v>12301</v>
      </c>
      <c r="C4160" s="1" t="str">
        <f>IFERROR(VLOOKUP(B4160,'SB1'!$A$2:$B$999999,2,FALSE),"")</f>
        <v>F3460JL RESINA NITRO ACRILICA- NA X 5 (DISCONTINUADO)</v>
      </c>
      <c r="D4160" s="1" t="s">
        <v>14455</v>
      </c>
      <c r="E4160" s="3">
        <f>IFERROR(VLOOKUP(B4160,'DA1'!$B$2:$D$999999,3,FALSE),"")</f>
      </c>
      <c r="F4160" s="1" t="str">
        <f>IFERROR(VLOOKUP(B4160,'SB1'!$A$2:$C$999999,3,FALSE),"")</f>
        <v>503</v>
      </c>
      <c r="G4160" s="3" t="e">
        <f t="shared" si="141"/>
        <v>#VALUE!</v>
      </c>
      <c r="H4160" s="3" t="e">
        <f t="shared" si="142"/>
        <v>#VALUE!</v>
      </c>
      <c r="I4160" s="1">
        <v>3</v>
      </c>
    </row>
    <row r="4161" spans="1:9" x14ac:dyDescent="0.25">
      <c r="A4161" s="1" t="s">
        <v>14435</v>
      </c>
      <c r="B4161" s="1" t="s">
        <v>12307</v>
      </c>
      <c r="C4161" s="1" t="str">
        <f>IFERROR(VLOOKUP(B4161,'SB1'!$A$2:$B$999999,2,FALSE),"")</f>
        <v>BS-02 ADITIVO SEC X 1</v>
      </c>
      <c r="D4161" s="1" t="s">
        <v>14455</v>
      </c>
      <c r="E4161" s="3">
        <f>IFERROR(VLOOKUP(B4161,'DA1'!$B$2:$D$999999,3,FALSE),"")</f>
      </c>
      <c r="F4161" s="1" t="str">
        <f>IFERROR(VLOOKUP(B4161,'SB1'!$A$2:$C$999999,3,FALSE),"")</f>
        <v>503</v>
      </c>
      <c r="G4161" s="3" t="e">
        <f t="shared" si="141"/>
        <v>#VALUE!</v>
      </c>
      <c r="H4161" s="3" t="e">
        <f t="shared" si="142"/>
        <v>#VALUE!</v>
      </c>
      <c r="I4161" s="1">
        <v>3</v>
      </c>
    </row>
    <row r="4162" spans="1:9" x14ac:dyDescent="0.25">
      <c r="A4162" s="1" t="s">
        <v>14435</v>
      </c>
      <c r="B4162" s="1" t="s">
        <v>12309</v>
      </c>
      <c r="C4162" s="1" t="str">
        <f>IFERROR(VLOOKUP(B4162,'SB1'!$A$2:$B$999999,2,FALSE),"")</f>
        <v>F351.10 RESINA EPOXI X 5</v>
      </c>
      <c r="D4162" s="1" t="s">
        <v>14455</v>
      </c>
      <c r="E4162" s="3">
        <f>IFERROR(VLOOKUP(B4162,'DA1'!$B$2:$D$999999,3,FALSE),"")</f>
      </c>
      <c r="F4162" s="1" t="str">
        <f>IFERROR(VLOOKUP(B4162,'SB1'!$A$2:$C$999999,3,FALSE),"")</f>
        <v>503</v>
      </c>
      <c r="G4162" s="3" t="e">
        <f t="shared" si="141"/>
        <v>#VALUE!</v>
      </c>
      <c r="H4162" s="3" t="e">
        <f t="shared" si="142"/>
        <v>#VALUE!</v>
      </c>
      <c r="I4162" s="1">
        <v>3</v>
      </c>
    </row>
    <row r="4163" spans="1:9" x14ac:dyDescent="0.25">
      <c r="A4163" s="1" t="s">
        <v>14435</v>
      </c>
      <c r="B4163" s="1" t="s">
        <v>12311</v>
      </c>
      <c r="C4163" s="1" t="str">
        <f>IFERROR(VLOOKUP(B4163,'SB1'!$A$2:$B$999999,2,FALSE),"")</f>
        <v>F359 CATALIZADOR EPOXI X 1</v>
      </c>
      <c r="D4163" s="1" t="s">
        <v>14455</v>
      </c>
      <c r="E4163" s="3">
        <f>IFERROR(VLOOKUP(B4163,'DA1'!$B$2:$D$999999,3,FALSE),"")</f>
      </c>
      <c r="F4163" s="1" t="str">
        <f>IFERROR(VLOOKUP(B4163,'SB1'!$A$2:$C$999999,3,FALSE),"")</f>
        <v>503</v>
      </c>
      <c r="G4163" s="3" t="e">
        <f t="shared" ref="G4163:G4226" si="143">E4163*1.04</f>
        <v>#VALUE!</v>
      </c>
      <c r="H4163" s="3" t="e">
        <f t="shared" si="142"/>
        <v>#VALUE!</v>
      </c>
      <c r="I4163" s="1">
        <v>3</v>
      </c>
    </row>
    <row r="4164" spans="1:9" x14ac:dyDescent="0.25">
      <c r="A4164" s="1" t="s">
        <v>14435</v>
      </c>
      <c r="B4164" s="1" t="s">
        <v>12313</v>
      </c>
      <c r="C4164" s="1" t="str">
        <f>IFERROR(VLOOKUP(B4164,'SB1'!$A$2:$B$999999,2,FALSE),"")</f>
        <v>END010.10 CATALIZADOR NORMAL ACS X 5</v>
      </c>
      <c r="D4164" s="1" t="s">
        <v>14454</v>
      </c>
      <c r="E4164" s="3">
        <f>IFERROR(VLOOKUP(B4164,'DA1'!$B$2:$D$999999,3,FALSE),"")</f>
      </c>
      <c r="F4164" s="1" t="str">
        <f>IFERROR(VLOOKUP(B4164,'SB1'!$A$2:$C$999999,3,FALSE),"")</f>
        <v>503</v>
      </c>
      <c r="G4164" s="3" t="e">
        <f t="shared" si="143"/>
        <v>#VALUE!</v>
      </c>
      <c r="H4164" s="3" t="e">
        <f t="shared" ref="H4164:H4227" si="144">G4164*1.21</f>
        <v>#VALUE!</v>
      </c>
      <c r="I4164" s="1">
        <v>3</v>
      </c>
    </row>
    <row r="4165" spans="1:9" x14ac:dyDescent="0.25">
      <c r="A4165" s="1" t="s">
        <v>14435</v>
      </c>
      <c r="B4165" s="1" t="s">
        <v>12315</v>
      </c>
      <c r="C4165" s="1" t="str">
        <f>IFERROR(VLOOKUP(B4165,'SB1'!$A$2:$B$999999,2,FALSE),"")</f>
        <v>F362 CATALIZADOR MS RAPIDO X 1 (DISCONTINUADO)</v>
      </c>
      <c r="D4165" s="1" t="s">
        <v>14455</v>
      </c>
      <c r="E4165" s="3">
        <f>IFERROR(VLOOKUP(B4165,'DA1'!$B$2:$D$999999,3,FALSE),"")</f>
      </c>
      <c r="F4165" s="1" t="str">
        <f>IFERROR(VLOOKUP(B4165,'SB1'!$A$2:$C$999999,3,FALSE),"")</f>
        <v>503</v>
      </c>
      <c r="G4165" s="3" t="e">
        <f t="shared" si="143"/>
        <v>#VALUE!</v>
      </c>
      <c r="H4165" s="3" t="e">
        <f t="shared" si="144"/>
        <v>#VALUE!</v>
      </c>
      <c r="I4165" s="1">
        <v>3</v>
      </c>
    </row>
    <row r="4166" spans="1:9" x14ac:dyDescent="0.25">
      <c r="A4166" s="1" t="s">
        <v>14435</v>
      </c>
      <c r="B4166" s="1" t="s">
        <v>12317</v>
      </c>
      <c r="C4166" s="1" t="str">
        <f>IFERROR(VLOOKUP(B4166,'SB1'!$A$2:$B$999999,2,FALSE),"")</f>
        <v>F365 CATALIZADOR WASH PRIMER X 2 (DISCONTINUADO)</v>
      </c>
      <c r="D4166" s="1" t="s">
        <v>14455</v>
      </c>
      <c r="E4166" s="3">
        <f>IFERROR(VLOOKUP(B4166,'DA1'!$B$2:$D$999999,3,FALSE),"")</f>
      </c>
      <c r="F4166" s="1" t="str">
        <f>IFERROR(VLOOKUP(B4166,'SB1'!$A$2:$C$999999,3,FALSE),"")</f>
        <v>503</v>
      </c>
      <c r="G4166" s="3" t="e">
        <f t="shared" si="143"/>
        <v>#VALUE!</v>
      </c>
      <c r="H4166" s="3" t="e">
        <f t="shared" si="144"/>
        <v>#VALUE!</v>
      </c>
      <c r="I4166" s="1">
        <v>1</v>
      </c>
    </row>
    <row r="4167" spans="1:9" x14ac:dyDescent="0.25">
      <c r="A4167" s="1" t="s">
        <v>14435</v>
      </c>
      <c r="B4167" s="1" t="s">
        <v>12319</v>
      </c>
      <c r="C4167" s="1" t="str">
        <f>IFERROR(VLOOKUP(B4167,'SB1'!$A$2:$B$999999,2,FALSE),"")</f>
        <v>F369 CATALIZADOR MS CLEAR F380 DU 1001 X 5</v>
      </c>
      <c r="D4167" s="1" t="s">
        <v>14455</v>
      </c>
      <c r="E4167" s="3">
        <f>IFERROR(VLOOKUP(B4167,'DA1'!$B$2:$D$999999,3,FALSE),"")</f>
      </c>
      <c r="F4167" s="1" t="str">
        <f>IFERROR(VLOOKUP(B4167,'SB1'!$A$2:$C$999999,3,FALSE),"")</f>
        <v>503</v>
      </c>
      <c r="G4167" s="3" t="e">
        <f t="shared" si="143"/>
        <v>#VALUE!</v>
      </c>
      <c r="H4167" s="3" t="e">
        <f t="shared" si="144"/>
        <v>#VALUE!</v>
      </c>
      <c r="I4167" s="1">
        <v>3</v>
      </c>
    </row>
    <row r="4168" spans="1:9" x14ac:dyDescent="0.25">
      <c r="A4168" s="1" t="s">
        <v>14435</v>
      </c>
      <c r="B4168" s="1" t="s">
        <v>12321</v>
      </c>
      <c r="C4168" s="1" t="str">
        <f>IFERROR(VLOOKUP(B4168,'SB1'!$A$2:$B$999999,2,FALSE),"")</f>
        <v>BTC-1000.01 CLEARS PARA TRICAPAS ACS X 3.500</v>
      </c>
      <c r="D4168" s="1" t="s">
        <v>14454</v>
      </c>
      <c r="E4168" s="3">
        <f>IFERROR(VLOOKUP(B4168,'DA1'!$B$2:$D$999999,3,FALSE),"")</f>
      </c>
      <c r="F4168" s="1" t="str">
        <f>IFERROR(VLOOKUP(B4168,'SB1'!$A$2:$C$999999,3,FALSE),"")</f>
        <v>503</v>
      </c>
      <c r="G4168" s="3" t="e">
        <f t="shared" si="143"/>
        <v>#VALUE!</v>
      </c>
      <c r="H4168" s="3" t="e">
        <f t="shared" si="144"/>
        <v>#VALUE!</v>
      </c>
      <c r="I4168" s="1">
        <v>3</v>
      </c>
    </row>
    <row r="4169" spans="1:9" x14ac:dyDescent="0.25">
      <c r="A4169" s="1" t="s">
        <v>14435</v>
      </c>
      <c r="B4169" s="1" t="s">
        <v>12323</v>
      </c>
      <c r="C4169" s="1" t="str">
        <f>IFERROR(VLOOKUP(B4169,'SB1'!$A$2:$B$999999,2,FALSE),"")</f>
        <v>BN-01P CLEAR NITROCELULOSICO ACS X 4 (DISCONTINUADO)</v>
      </c>
      <c r="D4169" s="1" t="s">
        <v>14454</v>
      </c>
      <c r="E4169" s="3">
        <f>IFERROR(VLOOKUP(B4169,'DA1'!$B$2:$D$999999,3,FALSE),"")</f>
      </c>
      <c r="F4169" s="1" t="str">
        <f>IFERROR(VLOOKUP(B4169,'SB1'!$A$2:$C$999999,3,FALSE),"")</f>
        <v>503</v>
      </c>
      <c r="G4169" s="3" t="e">
        <f t="shared" si="143"/>
        <v>#VALUE!</v>
      </c>
      <c r="H4169" s="3" t="e">
        <f t="shared" si="144"/>
        <v>#VALUE!</v>
      </c>
      <c r="I4169" s="1">
        <v>1</v>
      </c>
    </row>
    <row r="4170" spans="1:9" x14ac:dyDescent="0.25">
      <c r="A4170" s="1" t="s">
        <v>14435</v>
      </c>
      <c r="B4170" s="1" t="s">
        <v>12325</v>
      </c>
      <c r="C4170" s="1" t="str">
        <f>IFERROR(VLOOKUP(B4170,'SB1'!$A$2:$B$999999,2,FALSE),"")</f>
        <v>F3800JL 2K ANTIGRAFITI X 5</v>
      </c>
      <c r="D4170" s="1" t="s">
        <v>14455</v>
      </c>
      <c r="E4170" s="3">
        <f>IFERROR(VLOOKUP(B4170,'DA1'!$B$2:$D$999999,3,FALSE),"")</f>
      </c>
      <c r="F4170" s="1" t="str">
        <f>IFERROR(VLOOKUP(B4170,'SB1'!$A$2:$C$999999,3,FALSE),"")</f>
        <v>503</v>
      </c>
      <c r="G4170" s="3" t="e">
        <f t="shared" si="143"/>
        <v>#VALUE!</v>
      </c>
      <c r="H4170" s="3" t="e">
        <f t="shared" si="144"/>
        <v>#VALUE!</v>
      </c>
      <c r="I4170" s="1">
        <v>3</v>
      </c>
    </row>
    <row r="4171" spans="1:9" x14ac:dyDescent="0.25">
      <c r="A4171" s="1" t="s">
        <v>14435</v>
      </c>
      <c r="B4171" s="1" t="s">
        <v>12327</v>
      </c>
      <c r="C4171" s="1" t="str">
        <f>IFERROR(VLOOKUP(B4171,'SB1'!$A$2:$B$999999,2,FALSE),"")</f>
        <v>F385.04 MATEANTE PARA QD SINTETICO 1K X 0,900</v>
      </c>
      <c r="D4171" s="1" t="s">
        <v>14455</v>
      </c>
      <c r="E4171" s="3">
        <f>IFERROR(VLOOKUP(B4171,'DA1'!$B$2:$D$999999,3,FALSE),"")</f>
      </c>
      <c r="F4171" s="1" t="str">
        <f>IFERROR(VLOOKUP(B4171,'SB1'!$A$2:$C$999999,3,FALSE),"")</f>
        <v>503</v>
      </c>
      <c r="G4171" s="3" t="e">
        <f t="shared" si="143"/>
        <v>#VALUE!</v>
      </c>
      <c r="H4171" s="3" t="e">
        <f t="shared" si="144"/>
        <v>#VALUE!</v>
      </c>
      <c r="I4171" s="1">
        <v>3</v>
      </c>
    </row>
    <row r="4172" spans="1:9" x14ac:dyDescent="0.25">
      <c r="A4172" s="1" t="s">
        <v>14435</v>
      </c>
      <c r="B4172" s="1" t="s">
        <v>12329</v>
      </c>
      <c r="C4172" s="1" t="str">
        <f>IFERROR(VLOOKUP(B4172,'SB1'!$A$2:$B$999999,2,FALSE),"")</f>
        <v>F392.01 FONDO 2K HS RELLENO X 3.500</v>
      </c>
      <c r="D4172" s="1" t="s">
        <v>14455</v>
      </c>
      <c r="E4172" s="3">
        <f>IFERROR(VLOOKUP(B4172,'DA1'!$B$2:$D$999999,3,FALSE),"")</f>
      </c>
      <c r="F4172" s="1" t="str">
        <f>IFERROR(VLOOKUP(B4172,'SB1'!$A$2:$C$999999,3,FALSE),"")</f>
        <v>503</v>
      </c>
      <c r="G4172" s="3" t="e">
        <f t="shared" si="143"/>
        <v>#VALUE!</v>
      </c>
      <c r="H4172" s="3" t="e">
        <f t="shared" si="144"/>
        <v>#VALUE!</v>
      </c>
      <c r="I4172" s="1">
        <v>3</v>
      </c>
    </row>
    <row r="4173" spans="1:9" x14ac:dyDescent="0.25">
      <c r="A4173" s="1" t="s">
        <v>14435</v>
      </c>
      <c r="B4173" s="1" t="s">
        <v>12331</v>
      </c>
      <c r="C4173" s="1" t="str">
        <f>IFERROR(VLOOKUP(B4173,'SB1'!$A$2:$B$999999,2,FALSE),"")</f>
        <v>F3930HL WASH PRIMER BASE SIN CROMATOS X 4</v>
      </c>
      <c r="D4173" s="1" t="s">
        <v>14455</v>
      </c>
      <c r="E4173" s="3">
        <f>IFERROR(VLOOKUP(B4173,'DA1'!$B$2:$D$999999,3,FALSE),"")</f>
      </c>
      <c r="F4173" s="1" t="str">
        <f>IFERROR(VLOOKUP(B4173,'SB1'!$A$2:$C$999999,3,FALSE),"")</f>
        <v>503</v>
      </c>
      <c r="G4173" s="3" t="e">
        <f t="shared" si="143"/>
        <v>#VALUE!</v>
      </c>
      <c r="H4173" s="3" t="e">
        <f t="shared" si="144"/>
        <v>#VALUE!</v>
      </c>
      <c r="I4173" s="1">
        <v>3</v>
      </c>
    </row>
    <row r="4174" spans="1:9" x14ac:dyDescent="0.25">
      <c r="A4174" s="1" t="s">
        <v>14435</v>
      </c>
      <c r="B4174" s="1" t="s">
        <v>12333</v>
      </c>
      <c r="C4174" s="1" t="str">
        <f>IFERROR(VLOOKUP(B4174,'SB1'!$A$2:$B$999999,2,FALSE),"")</f>
        <v>A400 BASE SINT. EXT. RAP. X 20</v>
      </c>
      <c r="D4174" s="1" t="s">
        <v>14455</v>
      </c>
      <c r="E4174" s="3">
        <f>IFERROR(VLOOKUP(B4174,'DA1'!$B$2:$D$999999,3,FALSE),"")</f>
      </c>
      <c r="F4174" s="1" t="str">
        <f>IFERROR(VLOOKUP(B4174,'SB1'!$A$2:$C$999999,3,FALSE),"")</f>
        <v>503</v>
      </c>
      <c r="G4174" s="3" t="e">
        <f t="shared" si="143"/>
        <v>#VALUE!</v>
      </c>
      <c r="H4174" s="3" t="e">
        <f t="shared" si="144"/>
        <v>#VALUE!</v>
      </c>
      <c r="I4174" s="1">
        <v>3</v>
      </c>
    </row>
    <row r="4175" spans="1:9" x14ac:dyDescent="0.25">
      <c r="A4175" s="1" t="s">
        <v>14435</v>
      </c>
      <c r="B4175" s="1" t="s">
        <v>12335</v>
      </c>
      <c r="C4175" s="1" t="str">
        <f>IFERROR(VLOOKUP(B4175,'SB1'!$A$2:$B$999999,2,FALSE),"")</f>
        <v>DP402LF CATALIZADOR RAPIDO P/DP40LF X 0,473</v>
      </c>
      <c r="D4175" s="1" t="s">
        <v>14455</v>
      </c>
      <c r="E4175" s="3">
        <f>IFERROR(VLOOKUP(B4175,'DA1'!$B$2:$D$999999,3,FALSE),"")</f>
      </c>
      <c r="F4175" s="1" t="str">
        <f>IFERROR(VLOOKUP(B4175,'SB1'!$A$2:$C$999999,3,FALSE),"")</f>
        <v>503</v>
      </c>
      <c r="G4175" s="3" t="e">
        <f t="shared" si="143"/>
        <v>#VALUE!</v>
      </c>
      <c r="H4175" s="3" t="e">
        <f t="shared" si="144"/>
        <v>#VALUE!</v>
      </c>
      <c r="I4175" s="1">
        <v>3</v>
      </c>
    </row>
    <row r="4176" spans="1:9" x14ac:dyDescent="0.25">
      <c r="A4176" s="1" t="s">
        <v>14435</v>
      </c>
      <c r="B4176" s="1" t="s">
        <v>12337</v>
      </c>
      <c r="C4176" s="1" t="str">
        <f>IFERROR(VLOOKUP(B4176,'SB1'!$A$2:$B$999999,2,FALSE),"")</f>
        <v>F420.20 RESINA PU LINEA 290 X 20</v>
      </c>
      <c r="D4176" s="1" t="s">
        <v>14455</v>
      </c>
      <c r="E4176" s="3">
        <f>IFERROR(VLOOKUP(B4176,'DA1'!$B$2:$D$999999,3,FALSE),"")</f>
      </c>
      <c r="F4176" s="1" t="str">
        <f>IFERROR(VLOOKUP(B4176,'SB1'!$A$2:$C$999999,3,FALSE),"")</f>
        <v>503</v>
      </c>
      <c r="G4176" s="3" t="e">
        <f t="shared" si="143"/>
        <v>#VALUE!</v>
      </c>
      <c r="H4176" s="3" t="e">
        <f t="shared" si="144"/>
        <v>#VALUE!</v>
      </c>
      <c r="I4176" s="1">
        <v>3</v>
      </c>
    </row>
    <row r="4177" spans="1:9" x14ac:dyDescent="0.25">
      <c r="A4177" s="1" t="s">
        <v>14435</v>
      </c>
      <c r="B4177" s="1" t="s">
        <v>12339</v>
      </c>
      <c r="C4177" s="1" t="str">
        <f>IFERROR(VLOOKUP(B4177,'SB1'!$A$2:$B$999999,2,FALSE),"")</f>
        <v>F421.01 BLANCA LINEA 290 X 3,5</v>
      </c>
      <c r="D4177" s="1" t="s">
        <v>14455</v>
      </c>
      <c r="E4177" s="3">
        <f>IFERROR(VLOOKUP(B4177,'DA1'!$B$2:$D$999999,3,FALSE),"")</f>
      </c>
      <c r="F4177" s="1" t="str">
        <f>IFERROR(VLOOKUP(B4177,'SB1'!$A$2:$C$999999,3,FALSE),"")</f>
        <v>503</v>
      </c>
      <c r="G4177" s="3" t="e">
        <f t="shared" si="143"/>
        <v>#VALUE!</v>
      </c>
      <c r="H4177" s="3" t="e">
        <f t="shared" si="144"/>
        <v>#VALUE!</v>
      </c>
      <c r="I4177" s="1">
        <v>3</v>
      </c>
    </row>
    <row r="4178" spans="1:9" x14ac:dyDescent="0.25">
      <c r="A4178" s="1" t="s">
        <v>14435</v>
      </c>
      <c r="B4178" s="1" t="s">
        <v>12341</v>
      </c>
      <c r="C4178" s="1" t="str">
        <f>IFERROR(VLOOKUP(B4178,'SB1'!$A$2:$B$999999,2,FALSE),"")</f>
        <v>DP50LF/04 FONDO EPOXI X 0,946(EX DP40LF)</v>
      </c>
      <c r="D4178" s="1" t="s">
        <v>14455</v>
      </c>
      <c r="E4178" s="3">
        <f>IFERROR(VLOOKUP(B4178,'DA1'!$B$2:$D$999999,3,FALSE),"")</f>
      </c>
      <c r="F4178" s="1" t="str">
        <f>IFERROR(VLOOKUP(B4178,'SB1'!$A$2:$C$999999,3,FALSE),"")</f>
        <v>503</v>
      </c>
      <c r="G4178" s="3" t="e">
        <f t="shared" si="143"/>
        <v>#VALUE!</v>
      </c>
      <c r="H4178" s="3" t="e">
        <f t="shared" si="144"/>
        <v>#VALUE!</v>
      </c>
      <c r="I4178" s="1">
        <v>3</v>
      </c>
    </row>
    <row r="4179" spans="1:9" x14ac:dyDescent="0.25">
      <c r="A4179" s="1" t="s">
        <v>14435</v>
      </c>
      <c r="B4179" s="1" t="s">
        <v>12343</v>
      </c>
      <c r="C4179" s="1" t="str">
        <f>IFERROR(VLOOKUP(B4179,'SB1'!$A$2:$B$999999,2,FALSE),"")</f>
        <v>AEROSOL RUST-OLEUM PARA LLANTAS ACERO X 0,340 (248927 / 313522)</v>
      </c>
      <c r="D4179" s="1" t="s">
        <v>14450</v>
      </c>
      <c r="E4179" s="3">
        <f>IFERROR(VLOOKUP(B4179,'DA1'!$B$2:$D$999999,3,FALSE),"")</f>
      </c>
      <c r="F4179" s="1" t="str">
        <f>IFERROR(VLOOKUP(B4179,'SB1'!$A$2:$C$999999,3,FALSE),"")</f>
        <v>503</v>
      </c>
      <c r="G4179" s="3" t="e">
        <f t="shared" si="143"/>
        <v>#VALUE!</v>
      </c>
      <c r="H4179" s="3" t="e">
        <f t="shared" si="144"/>
        <v>#VALUE!</v>
      </c>
      <c r="I4179" s="1">
        <v>1</v>
      </c>
    </row>
    <row r="4180" spans="1:9" x14ac:dyDescent="0.25">
      <c r="A4180" s="1" t="s">
        <v>14435</v>
      </c>
      <c r="B4180" s="1" t="s">
        <v>12345</v>
      </c>
      <c r="C4180" s="1" t="str">
        <f>IFERROR(VLOOKUP(B4180,'SB1'!$A$2:$B$999999,2,FALSE),"")</f>
        <v>AEROSOL RUST-OLEUM PARA LLANTAS MATE NEGRO X 0,340 (248928 / 313547)</v>
      </c>
      <c r="D4180" s="1" t="s">
        <v>14450</v>
      </c>
      <c r="E4180" s="3">
        <f>IFERROR(VLOOKUP(B4180,'DA1'!$B$2:$D$999999,3,FALSE),"")</f>
      </c>
      <c r="F4180" s="1" t="str">
        <f>IFERROR(VLOOKUP(B4180,'SB1'!$A$2:$C$999999,3,FALSE),"")</f>
        <v>503</v>
      </c>
      <c r="G4180" s="3" t="e">
        <f t="shared" si="143"/>
        <v>#VALUE!</v>
      </c>
      <c r="H4180" s="3" t="e">
        <f t="shared" si="144"/>
        <v>#VALUE!</v>
      </c>
      <c r="I4180" s="1">
        <v>1</v>
      </c>
    </row>
    <row r="4181" spans="1:9" x14ac:dyDescent="0.25">
      <c r="A4181" s="1" t="s">
        <v>14435</v>
      </c>
      <c r="B4181" s="1" t="s">
        <v>12347</v>
      </c>
      <c r="C4181" s="1" t="str">
        <f>IFERROR(VLOOKUP(B4181,'SB1'!$A$2:$B$999999,2,FALSE),"")</f>
        <v>AEROSOL RUST-OLEUM PARA LLANTAS TRANSPARENTE X 0,340 (248929/313548)</v>
      </c>
      <c r="D4181" s="1" t="s">
        <v>14450</v>
      </c>
      <c r="E4181" s="3">
        <f>IFERROR(VLOOKUP(B4181,'DA1'!$B$2:$D$999999,3,FALSE),"")</f>
      </c>
      <c r="F4181" s="1" t="str">
        <f>IFERROR(VLOOKUP(B4181,'SB1'!$A$2:$C$999999,3,FALSE),"")</f>
        <v>503</v>
      </c>
      <c r="G4181" s="3" t="e">
        <f t="shared" si="143"/>
        <v>#VALUE!</v>
      </c>
      <c r="H4181" s="3" t="e">
        <f t="shared" si="144"/>
        <v>#VALUE!</v>
      </c>
      <c r="I4181" s="1">
        <v>1</v>
      </c>
    </row>
    <row r="4182" spans="1:9" x14ac:dyDescent="0.25">
      <c r="A4182" s="1" t="s">
        <v>14435</v>
      </c>
      <c r="B4182" s="1" t="s">
        <v>12349</v>
      </c>
      <c r="C4182" s="1" t="str">
        <f>IFERROR(VLOOKUP(B4182,'SB1'!$A$2:$B$999999,2,FALSE),"")</f>
        <v>AEROSOL RUST-OLEUM PARA LLANTAS GRAFITO X 0,340 (248930 / 313523)</v>
      </c>
      <c r="D4182" s="1" t="s">
        <v>14450</v>
      </c>
      <c r="E4182" s="3">
        <f>IFERROR(VLOOKUP(B4182,'DA1'!$B$2:$D$999999,3,FALSE),"")</f>
      </c>
      <c r="F4182" s="1" t="str">
        <f>IFERROR(VLOOKUP(B4182,'SB1'!$A$2:$C$999999,3,FALSE),"")</f>
        <v>503</v>
      </c>
      <c r="G4182" s="3" t="e">
        <f t="shared" si="143"/>
        <v>#VALUE!</v>
      </c>
      <c r="H4182" s="3" t="e">
        <f t="shared" si="144"/>
        <v>#VALUE!</v>
      </c>
      <c r="I4182" s="1">
        <v>1</v>
      </c>
    </row>
    <row r="4183" spans="1:9" x14ac:dyDescent="0.25">
      <c r="A4183" s="1" t="s">
        <v>14435</v>
      </c>
      <c r="B4183" s="1" t="s">
        <v>12351</v>
      </c>
      <c r="C4183" s="1" t="str">
        <f>IFERROR(VLOOKUP(B4183,'SB1'!$A$2:$B$999999,2,FALSE),"")</f>
        <v>AEROSOL RUST-OLEUM PROTECTOR DE CAUCHO NEGRO X 0,425 (248657 / 313552)</v>
      </c>
      <c r="D4183" s="1" t="s">
        <v>14450</v>
      </c>
      <c r="E4183" s="3">
        <f>IFERROR(VLOOKUP(B4183,'DA1'!$B$2:$D$999999,3,FALSE),"")</f>
      </c>
      <c r="F4183" s="1" t="str">
        <f>IFERROR(VLOOKUP(B4183,'SB1'!$A$2:$C$999999,3,FALSE),"")</f>
        <v>503</v>
      </c>
      <c r="G4183" s="3" t="e">
        <f t="shared" si="143"/>
        <v>#VALUE!</v>
      </c>
      <c r="H4183" s="3" t="e">
        <f t="shared" si="144"/>
        <v>#VALUE!</v>
      </c>
      <c r="I4183" s="1">
        <v>1</v>
      </c>
    </row>
    <row r="4184" spans="1:9" x14ac:dyDescent="0.25">
      <c r="A4184" s="1" t="s">
        <v>14435</v>
      </c>
      <c r="B4184" s="1" t="s">
        <v>12353</v>
      </c>
      <c r="C4184" s="1" t="str">
        <f>IFERROR(VLOOKUP(B4184,'SB1'!$A$2:$B$999999,2,FALSE),"")</f>
        <v>AEROSOL RUST-OLEUM PARA FARO TRASLUCIDO NEGRO X 0,340 (253256-371262)</v>
      </c>
      <c r="D4184" s="1" t="s">
        <v>14450</v>
      </c>
      <c r="E4184" s="3">
        <f>IFERROR(VLOOKUP(B4184,'DA1'!$B$2:$D$999999,3,FALSE),"")</f>
      </c>
      <c r="F4184" s="1" t="str">
        <f>IFERROR(VLOOKUP(B4184,'SB1'!$A$2:$C$999999,3,FALSE),"")</f>
        <v>503</v>
      </c>
      <c r="G4184" s="3" t="e">
        <f t="shared" si="143"/>
        <v>#VALUE!</v>
      </c>
      <c r="H4184" s="3" t="e">
        <f t="shared" si="144"/>
        <v>#VALUE!</v>
      </c>
      <c r="I4184" s="1">
        <v>1</v>
      </c>
    </row>
    <row r="4185" spans="1:9" x14ac:dyDescent="0.25">
      <c r="A4185" s="1" t="s">
        <v>14435</v>
      </c>
      <c r="B4185" s="1" t="s">
        <v>12355</v>
      </c>
      <c r="C4185" s="1" t="str">
        <f>IFERROR(VLOOKUP(B4185,'SB1'!$A$2:$B$999999,2,FALSE),"")</f>
        <v>AEROSOL RUST-OLEUM PROTECTOR TEMPORAL TRANSPARENTE X 0,396 (263420)</v>
      </c>
      <c r="D4185" s="1" t="s">
        <v>14439</v>
      </c>
      <c r="E4185" s="3">
        <f>IFERROR(VLOOKUP(B4185,'DA1'!$B$2:$D$999999,3,FALSE),"")</f>
      </c>
      <c r="F4185" s="1" t="str">
        <f>IFERROR(VLOOKUP(B4185,'SB1'!$A$2:$C$999999,3,FALSE),"")</f>
        <v>503</v>
      </c>
      <c r="G4185" s="3" t="e">
        <f t="shared" si="143"/>
        <v>#VALUE!</v>
      </c>
      <c r="H4185" s="3" t="e">
        <f t="shared" si="144"/>
        <v>#VALUE!</v>
      </c>
      <c r="I4185" s="1">
        <v>1</v>
      </c>
    </row>
    <row r="4186" spans="1:9" x14ac:dyDescent="0.25">
      <c r="A4186" s="1" t="s">
        <v>14435</v>
      </c>
      <c r="B4186" s="1" t="s">
        <v>12357</v>
      </c>
      <c r="C4186" s="1" t="str">
        <f>IFERROR(VLOOKUP(B4186,'SB1'!$A$2:$B$999999,2,FALSE),"")</f>
        <v>AEROSOL RUST-OLEUM SELLADOR LEAKSEAL NEGRO X 0,340(265494)</v>
      </c>
      <c r="D4186" s="1" t="s">
        <v>14475</v>
      </c>
      <c r="E4186" s="3">
        <f>IFERROR(VLOOKUP(B4186,'DA1'!$B$2:$D$999999,3,FALSE),"")</f>
      </c>
      <c r="F4186" s="1" t="str">
        <f>IFERROR(VLOOKUP(B4186,'SB1'!$A$2:$C$999999,3,FALSE),"")</f>
        <v>503</v>
      </c>
      <c r="G4186" s="3" t="e">
        <f t="shared" si="143"/>
        <v>#VALUE!</v>
      </c>
      <c r="H4186" s="3" t="e">
        <f t="shared" si="144"/>
        <v>#VALUE!</v>
      </c>
      <c r="I4186" s="1">
        <v>1</v>
      </c>
    </row>
    <row r="4187" spans="1:9" x14ac:dyDescent="0.25">
      <c r="A4187" s="1" t="s">
        <v>14435</v>
      </c>
      <c r="B4187" s="1" t="s">
        <v>12359</v>
      </c>
      <c r="C4187" s="1" t="str">
        <f>IFERROR(VLOOKUP(B4187,'SB1'!$A$2:$B$999999,2,FALSE),"")</f>
        <v>AEROSOL RUST-OLEUM SELLADOR LEAKSEAL TRANSPARENTE X 0,340(265495)</v>
      </c>
      <c r="D4187" s="1" t="s">
        <v>14439</v>
      </c>
      <c r="E4187" s="3">
        <f>IFERROR(VLOOKUP(B4187,'DA1'!$B$2:$D$999999,3,FALSE),"")</f>
      </c>
      <c r="F4187" s="1" t="str">
        <f>IFERROR(VLOOKUP(B4187,'SB1'!$A$2:$C$999999,3,FALSE),"")</f>
        <v>503</v>
      </c>
      <c r="G4187" s="3" t="e">
        <f t="shared" si="143"/>
        <v>#VALUE!</v>
      </c>
      <c r="H4187" s="3" t="e">
        <f t="shared" si="144"/>
        <v>#VALUE!</v>
      </c>
      <c r="I4187" s="1">
        <v>1</v>
      </c>
    </row>
    <row r="4188" spans="1:9" x14ac:dyDescent="0.25">
      <c r="A4188" s="1" t="s">
        <v>14435</v>
      </c>
      <c r="B4188" s="1" t="s">
        <v>12361</v>
      </c>
      <c r="C4188" s="1" t="str">
        <f>IFERROR(VLOOKUP(B4188,'SB1'!$A$2:$B$999999,2,FALSE),"")</f>
        <v>AEROSOL RUST-OLEUM SELLADOR LEAKSEAL BLANCO X 0,340(270786/267970)</v>
      </c>
      <c r="D4188" s="1" t="s">
        <v>14475</v>
      </c>
      <c r="E4188" s="3">
        <f>IFERROR(VLOOKUP(B4188,'DA1'!$B$2:$D$999999,3,FALSE),"")</f>
      </c>
      <c r="F4188" s="1" t="str">
        <f>IFERROR(VLOOKUP(B4188,'SB1'!$A$2:$C$999999,3,FALSE),"")</f>
        <v>503</v>
      </c>
      <c r="G4188" s="3" t="e">
        <f t="shared" si="143"/>
        <v>#VALUE!</v>
      </c>
      <c r="H4188" s="3" t="e">
        <f t="shared" si="144"/>
        <v>#VALUE!</v>
      </c>
      <c r="I4188" s="1">
        <v>1</v>
      </c>
    </row>
    <row r="4189" spans="1:9" x14ac:dyDescent="0.25">
      <c r="A4189" s="1" t="s">
        <v>14435</v>
      </c>
      <c r="B4189" s="1" t="s">
        <v>12363</v>
      </c>
      <c r="C4189" s="1" t="str">
        <f>IFERROR(VLOOKUP(B4189,'SB1'!$A$2:$B$999999,2,FALSE),"")</f>
        <v>AEROSOL RUST-OLEUM SELLADOR LEAKSEAL ALUMINIO X 0,340(267972)</v>
      </c>
      <c r="D4189" s="1" t="s">
        <v>14439</v>
      </c>
      <c r="E4189" s="3">
        <f>IFERROR(VLOOKUP(B4189,'DA1'!$B$2:$D$999999,3,FALSE),"")</f>
      </c>
      <c r="F4189" s="1" t="str">
        <f>IFERROR(VLOOKUP(B4189,'SB1'!$A$2:$C$999999,3,FALSE),"")</f>
        <v>503</v>
      </c>
      <c r="G4189" s="3" t="e">
        <f t="shared" si="143"/>
        <v>#VALUE!</v>
      </c>
      <c r="H4189" s="3" t="e">
        <f t="shared" si="144"/>
        <v>#VALUE!</v>
      </c>
      <c r="I4189" s="1">
        <v>1</v>
      </c>
    </row>
    <row r="4190" spans="1:9" x14ac:dyDescent="0.25">
      <c r="A4190" s="1" t="s">
        <v>14435</v>
      </c>
      <c r="B4190" s="1" t="s">
        <v>12365</v>
      </c>
      <c r="C4190" s="1" t="str">
        <f>IFERROR(VLOOKUP(B4190,'SB1'!$A$2:$B$999999,2,FALSE),"")</f>
        <v>GATILLO APLICADOR RUST-OLEUM(241526)</v>
      </c>
      <c r="D4190" s="1" t="s">
        <v>14475</v>
      </c>
      <c r="E4190" s="3">
        <f>IFERROR(VLOOKUP(B4190,'DA1'!$B$2:$D$999999,3,FALSE),"")</f>
      </c>
      <c r="F4190" s="1" t="str">
        <f>IFERROR(VLOOKUP(B4190,'SB1'!$A$2:$C$999999,3,FALSE),"")</f>
        <v>503</v>
      </c>
      <c r="G4190" s="3" t="e">
        <f t="shared" si="143"/>
        <v>#VALUE!</v>
      </c>
      <c r="H4190" s="3" t="e">
        <f t="shared" si="144"/>
        <v>#VALUE!</v>
      </c>
      <c r="I4190" s="1">
        <v>1</v>
      </c>
    </row>
    <row r="4191" spans="1:9" x14ac:dyDescent="0.25">
      <c r="A4191" s="1" t="s">
        <v>14435</v>
      </c>
      <c r="B4191" s="1" t="s">
        <v>12367</v>
      </c>
      <c r="C4191" s="1" t="str">
        <f>IFERROR(VLOOKUP(B4191,'SB1'!$A$2:$B$999999,2,FALSE),"")</f>
        <v>AEROSOL RUST-OLEUM PARA CALIPERS ROJO X 0,340 (251591 / 313516)</v>
      </c>
      <c r="D4191" s="1" t="s">
        <v>14450</v>
      </c>
      <c r="E4191" s="3">
        <f>IFERROR(VLOOKUP(B4191,'DA1'!$B$2:$D$999999,3,FALSE),"")</f>
      </c>
      <c r="F4191" s="1" t="str">
        <f>IFERROR(VLOOKUP(B4191,'SB1'!$A$2:$C$999999,3,FALSE),"")</f>
        <v>503</v>
      </c>
      <c r="G4191" s="3" t="e">
        <f t="shared" si="143"/>
        <v>#VALUE!</v>
      </c>
      <c r="H4191" s="3" t="e">
        <f t="shared" si="144"/>
        <v>#VALUE!</v>
      </c>
      <c r="I4191" s="1">
        <v>1</v>
      </c>
    </row>
    <row r="4192" spans="1:9" x14ac:dyDescent="0.25">
      <c r="A4192" s="1" t="s">
        <v>14435</v>
      </c>
      <c r="B4192" s="1" t="s">
        <v>12369</v>
      </c>
      <c r="C4192" s="1" t="str">
        <f>IFERROR(VLOOKUP(B4192,'SB1'!$A$2:$B$999999,2,FALSE),"")</f>
        <v>AEROSOL RUST-OLEUM PARA CALIPERS NEGRO X 0,340 (313544/358862)</v>
      </c>
      <c r="D4192" s="1" t="s">
        <v>14450</v>
      </c>
      <c r="E4192" s="3">
        <f>IFERROR(VLOOKUP(B4192,'DA1'!$B$2:$D$999999,3,FALSE),"")</f>
      </c>
      <c r="F4192" s="1" t="str">
        <f>IFERROR(VLOOKUP(B4192,'SB1'!$A$2:$C$999999,3,FALSE),"")</f>
        <v>503</v>
      </c>
      <c r="G4192" s="3" t="e">
        <f t="shared" si="143"/>
        <v>#VALUE!</v>
      </c>
      <c r="H4192" s="3" t="e">
        <f t="shared" si="144"/>
        <v>#VALUE!</v>
      </c>
      <c r="I4192" s="1">
        <v>1</v>
      </c>
    </row>
    <row r="4193" spans="1:9" x14ac:dyDescent="0.25">
      <c r="A4193" s="1" t="s">
        <v>14435</v>
      </c>
      <c r="B4193" s="1" t="s">
        <v>12371</v>
      </c>
      <c r="C4193" s="1" t="str">
        <f>IFERROR(VLOOKUP(B4193,'SB1'!$A$2:$B$999999,2,FALSE),"")</f>
        <v>DESENCOFRANTE WEBER AMBAR X 20</v>
      </c>
      <c r="D4193" s="1" t="s">
        <v>14488</v>
      </c>
      <c r="E4193" s="3">
        <f>IFERROR(VLOOKUP(B4193,'DA1'!$B$2:$D$999999,3,FALSE),"")</f>
      </c>
      <c r="F4193" s="1" t="str">
        <f>IFERROR(VLOOKUP(B4193,'SB1'!$A$2:$C$999999,3,FALSE),"")</f>
        <v>503</v>
      </c>
      <c r="G4193" s="3" t="e">
        <f t="shared" si="143"/>
        <v>#VALUE!</v>
      </c>
      <c r="H4193" s="3" t="e">
        <f t="shared" si="144"/>
        <v>#VALUE!</v>
      </c>
      <c r="I4193" s="1">
        <v>1</v>
      </c>
    </row>
    <row r="4194" spans="1:9" x14ac:dyDescent="0.25">
      <c r="A4194" s="1" t="s">
        <v>14435</v>
      </c>
      <c r="B4194" s="1" t="s">
        <v>12373</v>
      </c>
      <c r="C4194" s="1" t="str">
        <f>IFERROR(VLOOKUP(B4194,'SB1'!$A$2:$B$999999,2,FALSE),"")</f>
        <v>DESENCOFRANTE WEBER AMBAR X 200</v>
      </c>
      <c r="D4194" s="1" t="s">
        <v>14488</v>
      </c>
      <c r="E4194" s="3">
        <f>IFERROR(VLOOKUP(B4194,'DA1'!$B$2:$D$999999,3,FALSE),"")</f>
      </c>
      <c r="F4194" s="1" t="str">
        <f>IFERROR(VLOOKUP(B4194,'SB1'!$A$2:$C$999999,3,FALSE),"")</f>
        <v>503</v>
      </c>
      <c r="G4194" s="3" t="e">
        <f t="shared" si="143"/>
        <v>#VALUE!</v>
      </c>
      <c r="H4194" s="3" t="e">
        <f t="shared" si="144"/>
        <v>#VALUE!</v>
      </c>
      <c r="I4194" s="1">
        <v>1</v>
      </c>
    </row>
    <row r="4195" spans="1:9" x14ac:dyDescent="0.25">
      <c r="A4195" s="1" t="s">
        <v>14435</v>
      </c>
      <c r="B4195" s="1" t="s">
        <v>12407</v>
      </c>
      <c r="C4195" s="1" t="str">
        <f>IFERROR(VLOOKUP(B4195,'SB1'!$A$2:$B$999999,2,FALSE),"")</f>
        <v>D800.04 BARNIZ CONCEPT 2020 DELTRON X 0,675</v>
      </c>
      <c r="D4195" s="1" t="s">
        <v>14446</v>
      </c>
      <c r="E4195" s="3">
        <f>IFERROR(VLOOKUP(B4195,'DA1'!$B$2:$D$999999,3,FALSE),"")</f>
      </c>
      <c r="F4195" s="1" t="str">
        <f>IFERROR(VLOOKUP(B4195,'SB1'!$A$2:$C$999999,3,FALSE),"")</f>
        <v>503</v>
      </c>
      <c r="G4195" s="3" t="e">
        <f t="shared" si="143"/>
        <v>#VALUE!</v>
      </c>
      <c r="H4195" s="3" t="e">
        <f t="shared" si="144"/>
        <v>#VALUE!</v>
      </c>
      <c r="I4195" s="1">
        <v>3</v>
      </c>
    </row>
    <row r="4196" spans="1:9" x14ac:dyDescent="0.25">
      <c r="A4196" s="1" t="s">
        <v>14435</v>
      </c>
      <c r="B4196" s="1" t="s">
        <v>12409</v>
      </c>
      <c r="C4196" s="1" t="str">
        <f>IFERROR(VLOOKUP(B4196,'SB1'!$A$2:$B$999999,2,FALSE),"")</f>
        <v>D803.11 CATALIZADOR RAPIDO DELTRON X 1</v>
      </c>
      <c r="D4196" s="1" t="s">
        <v>14446</v>
      </c>
      <c r="E4196" s="3">
        <f>IFERROR(VLOOKUP(B4196,'DA1'!$B$2:$D$999999,3,FALSE),"")</f>
      </c>
      <c r="F4196" s="1" t="str">
        <f>IFERROR(VLOOKUP(B4196,'SB1'!$A$2:$C$999999,3,FALSE),"")</f>
        <v>503</v>
      </c>
      <c r="G4196" s="3" t="e">
        <f t="shared" si="143"/>
        <v>#VALUE!</v>
      </c>
      <c r="H4196" s="3" t="e">
        <f t="shared" si="144"/>
        <v>#VALUE!</v>
      </c>
      <c r="I4196" s="1">
        <v>3</v>
      </c>
    </row>
    <row r="4197" spans="1:9" x14ac:dyDescent="0.25">
      <c r="A4197" s="1" t="s">
        <v>14435</v>
      </c>
      <c r="B4197" s="1" t="s">
        <v>12411</v>
      </c>
      <c r="C4197" s="1" t="str">
        <f>IFERROR(VLOOKUP(B4197,'SB1'!$A$2:$B$999999,2,FALSE),"")</f>
        <v>D812 DILUYENTE LENTO PPG X 18</v>
      </c>
      <c r="D4197" s="1" t="s">
        <v>14446</v>
      </c>
      <c r="E4197" s="3">
        <f>IFERROR(VLOOKUP(B4197,'DA1'!$B$2:$D$999999,3,FALSE),"")</f>
      </c>
      <c r="F4197" s="1" t="str">
        <f>IFERROR(VLOOKUP(B4197,'SB1'!$A$2:$C$999999,3,FALSE),"")</f>
        <v>503</v>
      </c>
      <c r="G4197" s="3" t="e">
        <f t="shared" si="143"/>
        <v>#VALUE!</v>
      </c>
      <c r="H4197" s="3" t="e">
        <f t="shared" si="144"/>
        <v>#VALUE!</v>
      </c>
      <c r="I4197" s="1">
        <v>3</v>
      </c>
    </row>
    <row r="4198" spans="1:9" x14ac:dyDescent="0.25">
      <c r="A4198" s="1" t="s">
        <v>14435</v>
      </c>
      <c r="B4198" s="1" t="s">
        <v>12415</v>
      </c>
      <c r="C4198" s="1" t="str">
        <f>IFERROR(VLOOKUP(B4198,'SB1'!$A$2:$B$999999,2,FALSE),"")</f>
        <v>D841.11 CATALIZADOR MEDIO DELTRON X 1.0</v>
      </c>
      <c r="D4198" s="1" t="s">
        <v>14446</v>
      </c>
      <c r="E4198" s="3">
        <f>IFERROR(VLOOKUP(B4198,'DA1'!$B$2:$D$999999,3,FALSE),"")</f>
      </c>
      <c r="F4198" s="1" t="str">
        <f>IFERROR(VLOOKUP(B4198,'SB1'!$A$2:$C$999999,3,FALSE),"")</f>
        <v>503</v>
      </c>
      <c r="G4198" s="3" t="e">
        <f t="shared" si="143"/>
        <v>#VALUE!</v>
      </c>
      <c r="H4198" s="3" t="e">
        <f t="shared" si="144"/>
        <v>#VALUE!</v>
      </c>
      <c r="I4198" s="1">
        <v>3</v>
      </c>
    </row>
    <row r="4199" spans="1:9" x14ac:dyDescent="0.25">
      <c r="A4199" s="1" t="s">
        <v>14435</v>
      </c>
      <c r="B4199" s="1" t="s">
        <v>12417</v>
      </c>
      <c r="C4199" s="1" t="str">
        <f>IFERROR(VLOOKUP(B4199,'SB1'!$A$2:$B$999999,2,FALSE),"")</f>
        <v>IMPREGNANTE PARA MADERA CETOL CLASSIC SATINADO CAOBA X  1</v>
      </c>
      <c r="D4199" s="1" t="s">
        <v>14445</v>
      </c>
      <c r="E4199" s="3">
        <f>IFERROR(VLOOKUP(B4199,'DA1'!$B$2:$D$999999,3,FALSE),"")</f>
      </c>
      <c r="F4199" s="1" t="str">
        <f>IFERROR(VLOOKUP(B4199,'SB1'!$A$2:$C$999999,3,FALSE),"")</f>
        <v>503</v>
      </c>
      <c r="G4199" s="3" t="e">
        <f t="shared" si="143"/>
        <v>#VALUE!</v>
      </c>
      <c r="H4199" s="3" t="e">
        <f t="shared" si="144"/>
        <v>#VALUE!</v>
      </c>
      <c r="I4199" s="1">
        <v>1</v>
      </c>
    </row>
    <row r="4200" spans="1:9" x14ac:dyDescent="0.25">
      <c r="A4200" s="1" t="s">
        <v>14435</v>
      </c>
      <c r="B4200" s="1" t="s">
        <v>12419</v>
      </c>
      <c r="C4200" s="1" t="str">
        <f>IFERROR(VLOOKUP(B4200,'SB1'!$A$2:$B$999999,2,FALSE),"")</f>
        <v>IMPREGNANTE PARA MADERA CETOL CLASSIC SATINADO CEDRO X  1</v>
      </c>
      <c r="D4200" s="1" t="s">
        <v>14445</v>
      </c>
      <c r="E4200" s="3">
        <f>IFERROR(VLOOKUP(B4200,'DA1'!$B$2:$D$999999,3,FALSE),"")</f>
      </c>
      <c r="F4200" s="1" t="str">
        <f>IFERROR(VLOOKUP(B4200,'SB1'!$A$2:$C$999999,3,FALSE),"")</f>
        <v>503</v>
      </c>
      <c r="G4200" s="3" t="e">
        <f t="shared" si="143"/>
        <v>#VALUE!</v>
      </c>
      <c r="H4200" s="3" t="e">
        <f t="shared" si="144"/>
        <v>#VALUE!</v>
      </c>
      <c r="I4200" s="1">
        <v>1</v>
      </c>
    </row>
    <row r="4201" spans="1:9" x14ac:dyDescent="0.25">
      <c r="A4201" s="1" t="s">
        <v>14435</v>
      </c>
      <c r="B4201" s="1" t="s">
        <v>12421</v>
      </c>
      <c r="C4201" s="1" t="str">
        <f>IFERROR(VLOOKUP(B4201,'SB1'!$A$2:$B$999999,2,FALSE),"")</f>
        <v>IMPREGNANTE PARA MADERA CETOL CLASSIC SATINADO CRISTAL X  1</v>
      </c>
      <c r="D4201" s="1" t="s">
        <v>14445</v>
      </c>
      <c r="E4201" s="3">
        <f>IFERROR(VLOOKUP(B4201,'DA1'!$B$2:$D$999999,3,FALSE),"")</f>
      </c>
      <c r="F4201" s="1" t="str">
        <f>IFERROR(VLOOKUP(B4201,'SB1'!$A$2:$C$999999,3,FALSE),"")</f>
        <v>503</v>
      </c>
      <c r="G4201" s="3" t="e">
        <f t="shared" si="143"/>
        <v>#VALUE!</v>
      </c>
      <c r="H4201" s="3" t="e">
        <f t="shared" si="144"/>
        <v>#VALUE!</v>
      </c>
      <c r="I4201" s="1">
        <v>1</v>
      </c>
    </row>
    <row r="4202" spans="1:9" x14ac:dyDescent="0.25">
      <c r="A4202" s="1" t="s">
        <v>14435</v>
      </c>
      <c r="B4202" s="1" t="s">
        <v>12423</v>
      </c>
      <c r="C4202" s="1" t="str">
        <f>IFERROR(VLOOKUP(B4202,'SB1'!$A$2:$B$999999,2,FALSE),"")</f>
        <v>IMPREGNANTE PARA MADERA CETOL CLASSIC SATINADO NATURAL X  1</v>
      </c>
      <c r="D4202" s="1" t="s">
        <v>14445</v>
      </c>
      <c r="E4202" s="3">
        <f>IFERROR(VLOOKUP(B4202,'DA1'!$B$2:$D$999999,3,FALSE),"")</f>
      </c>
      <c r="F4202" s="1" t="str">
        <f>IFERROR(VLOOKUP(B4202,'SB1'!$A$2:$C$999999,3,FALSE),"")</f>
        <v>503</v>
      </c>
      <c r="G4202" s="3" t="e">
        <f t="shared" si="143"/>
        <v>#VALUE!</v>
      </c>
      <c r="H4202" s="3" t="e">
        <f t="shared" si="144"/>
        <v>#VALUE!</v>
      </c>
      <c r="I4202" s="1">
        <v>1</v>
      </c>
    </row>
    <row r="4203" spans="1:9" x14ac:dyDescent="0.25">
      <c r="A4203" s="1" t="s">
        <v>14435</v>
      </c>
      <c r="B4203" s="1" t="s">
        <v>12425</v>
      </c>
      <c r="C4203" s="1" t="str">
        <f>IFERROR(VLOOKUP(B4203,'SB1'!$A$2:$B$999999,2,FALSE),"")</f>
        <v>IMPREGNANTE PARA MADERA CETOL CLASSIC SATINADO NOGAL X  1</v>
      </c>
      <c r="D4203" s="1" t="s">
        <v>14445</v>
      </c>
      <c r="E4203" s="3">
        <f>IFERROR(VLOOKUP(B4203,'DA1'!$B$2:$D$999999,3,FALSE),"")</f>
      </c>
      <c r="F4203" s="1" t="str">
        <f>IFERROR(VLOOKUP(B4203,'SB1'!$A$2:$C$999999,3,FALSE),"")</f>
        <v>503</v>
      </c>
      <c r="G4203" s="3" t="e">
        <f t="shared" si="143"/>
        <v>#VALUE!</v>
      </c>
      <c r="H4203" s="3" t="e">
        <f t="shared" si="144"/>
        <v>#VALUE!</v>
      </c>
      <c r="I4203" s="1">
        <v>1</v>
      </c>
    </row>
    <row r="4204" spans="1:9" x14ac:dyDescent="0.25">
      <c r="A4204" s="1" t="s">
        <v>14435</v>
      </c>
      <c r="B4204" s="1" t="s">
        <v>12427</v>
      </c>
      <c r="C4204" s="1" t="str">
        <f>IFERROR(VLOOKUP(B4204,'SB1'!$A$2:$B$999999,2,FALSE),"")</f>
        <v>IMPREGNANTE PARA MADERA CETOL CLASSIC SATINADO ROBLE X  1</v>
      </c>
      <c r="D4204" s="1" t="s">
        <v>14445</v>
      </c>
      <c r="E4204" s="3">
        <f>IFERROR(VLOOKUP(B4204,'DA1'!$B$2:$D$999999,3,FALSE),"")</f>
      </c>
      <c r="F4204" s="1" t="str">
        <f>IFERROR(VLOOKUP(B4204,'SB1'!$A$2:$C$999999,3,FALSE),"")</f>
        <v>503</v>
      </c>
      <c r="G4204" s="3" t="e">
        <f t="shared" si="143"/>
        <v>#VALUE!</v>
      </c>
      <c r="H4204" s="3" t="e">
        <f t="shared" si="144"/>
        <v>#VALUE!</v>
      </c>
      <c r="I4204" s="1">
        <v>1</v>
      </c>
    </row>
    <row r="4205" spans="1:9" x14ac:dyDescent="0.25">
      <c r="A4205" s="1" t="s">
        <v>14435</v>
      </c>
      <c r="B4205" s="1" t="s">
        <v>12429</v>
      </c>
      <c r="C4205" s="1" t="str">
        <f>IFERROR(VLOOKUP(B4205,'SB1'!$A$2:$B$999999,2,FALSE),"")</f>
        <v>IMPREGNANTE PARA MADERA CETOL CLASSIC SATINADO CAOBA X  4</v>
      </c>
      <c r="D4205" s="1" t="s">
        <v>14445</v>
      </c>
      <c r="E4205" s="3">
        <f>IFERROR(VLOOKUP(B4205,'DA1'!$B$2:$D$999999,3,FALSE),"")</f>
      </c>
      <c r="F4205" s="1" t="str">
        <f>IFERROR(VLOOKUP(B4205,'SB1'!$A$2:$C$999999,3,FALSE),"")</f>
        <v>503</v>
      </c>
      <c r="G4205" s="3" t="e">
        <f t="shared" si="143"/>
        <v>#VALUE!</v>
      </c>
      <c r="H4205" s="3" t="e">
        <f t="shared" si="144"/>
        <v>#VALUE!</v>
      </c>
      <c r="I4205" s="1">
        <v>1</v>
      </c>
    </row>
    <row r="4206" spans="1:9" x14ac:dyDescent="0.25">
      <c r="A4206" s="1" t="s">
        <v>14435</v>
      </c>
      <c r="B4206" s="1" t="s">
        <v>12431</v>
      </c>
      <c r="C4206" s="1" t="str">
        <f>IFERROR(VLOOKUP(B4206,'SB1'!$A$2:$B$999999,2,FALSE),"")</f>
        <v>IMPREGNANTE PARA MADERA CETOL CLASSIC SATINADO CEDRO X  4</v>
      </c>
      <c r="D4206" s="1" t="s">
        <v>14445</v>
      </c>
      <c r="E4206" s="3">
        <f>IFERROR(VLOOKUP(B4206,'DA1'!$B$2:$D$999999,3,FALSE),"")</f>
      </c>
      <c r="F4206" s="1" t="str">
        <f>IFERROR(VLOOKUP(B4206,'SB1'!$A$2:$C$999999,3,FALSE),"")</f>
        <v>503</v>
      </c>
      <c r="G4206" s="3" t="e">
        <f t="shared" si="143"/>
        <v>#VALUE!</v>
      </c>
      <c r="H4206" s="3" t="e">
        <f t="shared" si="144"/>
        <v>#VALUE!</v>
      </c>
      <c r="I4206" s="1">
        <v>1</v>
      </c>
    </row>
    <row r="4207" spans="1:9" x14ac:dyDescent="0.25">
      <c r="A4207" s="1" t="s">
        <v>14435</v>
      </c>
      <c r="B4207" s="1" t="s">
        <v>12433</v>
      </c>
      <c r="C4207" s="1" t="str">
        <f>IFERROR(VLOOKUP(B4207,'SB1'!$A$2:$B$999999,2,FALSE),"")</f>
        <v>IMPREGNANTE PARA MADERA CETOL CLASSIC SATINADO CRISTAL X  4</v>
      </c>
      <c r="D4207" s="1" t="s">
        <v>14445</v>
      </c>
      <c r="E4207" s="3">
        <f>IFERROR(VLOOKUP(B4207,'DA1'!$B$2:$D$999999,3,FALSE),"")</f>
      </c>
      <c r="F4207" s="1" t="str">
        <f>IFERROR(VLOOKUP(B4207,'SB1'!$A$2:$C$999999,3,FALSE),"")</f>
        <v>503</v>
      </c>
      <c r="G4207" s="3" t="e">
        <f t="shared" si="143"/>
        <v>#VALUE!</v>
      </c>
      <c r="H4207" s="3" t="e">
        <f t="shared" si="144"/>
        <v>#VALUE!</v>
      </c>
      <c r="I4207" s="1">
        <v>1</v>
      </c>
    </row>
    <row r="4208" spans="1:9" x14ac:dyDescent="0.25">
      <c r="A4208" s="1" t="s">
        <v>14435</v>
      </c>
      <c r="B4208" s="1" t="s">
        <v>12435</v>
      </c>
      <c r="C4208" s="1" t="str">
        <f>IFERROR(VLOOKUP(B4208,'SB1'!$A$2:$B$999999,2,FALSE),"")</f>
        <v>IMPREGNANTE PARA MADERA CETOL CLASSIC SATINADO NATURAL X  4</v>
      </c>
      <c r="D4208" s="1" t="s">
        <v>14445</v>
      </c>
      <c r="E4208" s="3">
        <f>IFERROR(VLOOKUP(B4208,'DA1'!$B$2:$D$999999,3,FALSE),"")</f>
      </c>
      <c r="F4208" s="1" t="str">
        <f>IFERROR(VLOOKUP(B4208,'SB1'!$A$2:$C$999999,3,FALSE),"")</f>
        <v>503</v>
      </c>
      <c r="G4208" s="3" t="e">
        <f t="shared" si="143"/>
        <v>#VALUE!</v>
      </c>
      <c r="H4208" s="3" t="e">
        <f t="shared" si="144"/>
        <v>#VALUE!</v>
      </c>
      <c r="I4208" s="1">
        <v>1</v>
      </c>
    </row>
    <row r="4209" spans="1:9" x14ac:dyDescent="0.25">
      <c r="A4209" s="1" t="s">
        <v>14435</v>
      </c>
      <c r="B4209" s="1" t="s">
        <v>12437</v>
      </c>
      <c r="C4209" s="1" t="str">
        <f>IFERROR(VLOOKUP(B4209,'SB1'!$A$2:$B$999999,2,FALSE),"")</f>
        <v>IMPREGNANTE PARA MADERA CETOL CLASSIC SATINADO NOGAL X  4</v>
      </c>
      <c r="D4209" s="1" t="s">
        <v>14445</v>
      </c>
      <c r="E4209" s="3">
        <f>IFERROR(VLOOKUP(B4209,'DA1'!$B$2:$D$999999,3,FALSE),"")</f>
      </c>
      <c r="F4209" s="1" t="str">
        <f>IFERROR(VLOOKUP(B4209,'SB1'!$A$2:$C$999999,3,FALSE),"")</f>
        <v>503</v>
      </c>
      <c r="G4209" s="3" t="e">
        <f t="shared" si="143"/>
        <v>#VALUE!</v>
      </c>
      <c r="H4209" s="3" t="e">
        <f t="shared" si="144"/>
        <v>#VALUE!</v>
      </c>
      <c r="I4209" s="1">
        <v>1</v>
      </c>
    </row>
    <row r="4210" spans="1:9" x14ac:dyDescent="0.25">
      <c r="A4210" s="1" t="s">
        <v>14435</v>
      </c>
      <c r="B4210" s="1" t="s">
        <v>12439</v>
      </c>
      <c r="C4210" s="1" t="str">
        <f>IFERROR(VLOOKUP(B4210,'SB1'!$A$2:$B$999999,2,FALSE),"")</f>
        <v>IMPREGNANTE PARA MADERA CETOL CLASSIC SATINADO ROBLE X  4</v>
      </c>
      <c r="D4210" s="1" t="s">
        <v>14445</v>
      </c>
      <c r="E4210" s="3">
        <f>IFERROR(VLOOKUP(B4210,'DA1'!$B$2:$D$999999,3,FALSE),"")</f>
      </c>
      <c r="F4210" s="1" t="str">
        <f>IFERROR(VLOOKUP(B4210,'SB1'!$A$2:$C$999999,3,FALSE),"")</f>
        <v>503</v>
      </c>
      <c r="G4210" s="3" t="e">
        <f t="shared" si="143"/>
        <v>#VALUE!</v>
      </c>
      <c r="H4210" s="3" t="e">
        <f t="shared" si="144"/>
        <v>#VALUE!</v>
      </c>
      <c r="I4210" s="1">
        <v>1</v>
      </c>
    </row>
    <row r="4211" spans="1:9" x14ac:dyDescent="0.25">
      <c r="A4211" s="1" t="s">
        <v>14435</v>
      </c>
      <c r="B4211" s="1" t="s">
        <v>12441</v>
      </c>
      <c r="C4211" s="1" t="str">
        <f>IFERROR(VLOOKUP(B4211,'SB1'!$A$2:$B$999999,2,FALSE),"")</f>
        <v>TINTA PARA MADERA CETOL ROBLE CLARO X 0,060</v>
      </c>
      <c r="D4211" s="1" t="s">
        <v>14445</v>
      </c>
      <c r="E4211" s="3">
        <f>IFERROR(VLOOKUP(B4211,'DA1'!$B$2:$D$999999,3,FALSE),"")</f>
      </c>
      <c r="F4211" s="1" t="str">
        <f>IFERROR(VLOOKUP(B4211,'SB1'!$A$2:$C$999999,3,FALSE),"")</f>
        <v>503</v>
      </c>
      <c r="G4211" s="3" t="e">
        <f t="shared" si="143"/>
        <v>#VALUE!</v>
      </c>
      <c r="H4211" s="3" t="e">
        <f t="shared" si="144"/>
        <v>#VALUE!</v>
      </c>
      <c r="I4211" s="1">
        <v>1</v>
      </c>
    </row>
    <row r="4212" spans="1:9" x14ac:dyDescent="0.25">
      <c r="A4212" s="1" t="s">
        <v>14435</v>
      </c>
      <c r="B4212" s="1" t="s">
        <v>12443</v>
      </c>
      <c r="C4212" s="1" t="str">
        <f>IFERROR(VLOOKUP(B4212,'SB1'!$A$2:$B$999999,2,FALSE),"")</f>
        <v>TINTA PARA MADERA CETOL ROBLE OSCURO X 0,060</v>
      </c>
      <c r="D4212" s="1" t="s">
        <v>14445</v>
      </c>
      <c r="E4212" s="3">
        <f>IFERROR(VLOOKUP(B4212,'DA1'!$B$2:$D$999999,3,FALSE),"")</f>
      </c>
      <c r="F4212" s="1" t="str">
        <f>IFERROR(VLOOKUP(B4212,'SB1'!$A$2:$C$999999,3,FALSE),"")</f>
        <v>503</v>
      </c>
      <c r="G4212" s="3" t="e">
        <f t="shared" si="143"/>
        <v>#VALUE!</v>
      </c>
      <c r="H4212" s="3" t="e">
        <f t="shared" si="144"/>
        <v>#VALUE!</v>
      </c>
      <c r="I4212" s="1">
        <v>1</v>
      </c>
    </row>
    <row r="4213" spans="1:9" x14ac:dyDescent="0.25">
      <c r="A4213" s="1" t="s">
        <v>14435</v>
      </c>
      <c r="B4213" s="1" t="s">
        <v>12445</v>
      </c>
      <c r="C4213" s="1" t="str">
        <f>IFERROR(VLOOKUP(B4213,'SB1'!$A$2:$B$999999,2,FALSE),"")</f>
        <v>TINTA PARA MADERA CETOL CEDRO X 0,060</v>
      </c>
      <c r="D4213" s="1" t="s">
        <v>14445</v>
      </c>
      <c r="E4213" s="3">
        <f>IFERROR(VLOOKUP(B4213,'DA1'!$B$2:$D$999999,3,FALSE),"")</f>
      </c>
      <c r="F4213" s="1" t="str">
        <f>IFERROR(VLOOKUP(B4213,'SB1'!$A$2:$C$999999,3,FALSE),"")</f>
        <v>503</v>
      </c>
      <c r="G4213" s="3" t="e">
        <f t="shared" si="143"/>
        <v>#VALUE!</v>
      </c>
      <c r="H4213" s="3" t="e">
        <f t="shared" si="144"/>
        <v>#VALUE!</v>
      </c>
      <c r="I4213" s="1">
        <v>1</v>
      </c>
    </row>
    <row r="4214" spans="1:9" x14ac:dyDescent="0.25">
      <c r="A4214" s="1" t="s">
        <v>14435</v>
      </c>
      <c r="B4214" s="1" t="s">
        <v>12447</v>
      </c>
      <c r="C4214" s="1" t="str">
        <f>IFERROR(VLOOKUP(B4214,'SB1'!$A$2:$B$999999,2,FALSE),"")</f>
        <v>TINTA PARA MADERA CETOL CAOBA X 0,060</v>
      </c>
      <c r="D4214" s="1" t="s">
        <v>14445</v>
      </c>
      <c r="E4214" s="3">
        <f>IFERROR(VLOOKUP(B4214,'DA1'!$B$2:$D$999999,3,FALSE),"")</f>
      </c>
      <c r="F4214" s="1" t="str">
        <f>IFERROR(VLOOKUP(B4214,'SB1'!$A$2:$C$999999,3,FALSE),"")</f>
        <v>503</v>
      </c>
      <c r="G4214" s="3" t="e">
        <f t="shared" si="143"/>
        <v>#VALUE!</v>
      </c>
      <c r="H4214" s="3" t="e">
        <f t="shared" si="144"/>
        <v>#VALUE!</v>
      </c>
      <c r="I4214" s="1">
        <v>1</v>
      </c>
    </row>
    <row r="4215" spans="1:9" x14ac:dyDescent="0.25">
      <c r="A4215" s="1" t="s">
        <v>14435</v>
      </c>
      <c r="B4215" s="1" t="s">
        <v>12449</v>
      </c>
      <c r="C4215" s="1" t="str">
        <f>IFERROR(VLOOKUP(B4215,'SB1'!$A$2:$B$999999,2,FALSE),"")</f>
        <v>TINTA PARA MADERA CETOL NOGAL X 0,060</v>
      </c>
      <c r="D4215" s="1" t="s">
        <v>14445</v>
      </c>
      <c r="E4215" s="3">
        <f>IFERROR(VLOOKUP(B4215,'DA1'!$B$2:$D$999999,3,FALSE),"")</f>
      </c>
      <c r="F4215" s="1" t="str">
        <f>IFERROR(VLOOKUP(B4215,'SB1'!$A$2:$C$999999,3,FALSE),"")</f>
        <v>503</v>
      </c>
      <c r="G4215" s="3" t="e">
        <f t="shared" si="143"/>
        <v>#VALUE!</v>
      </c>
      <c r="H4215" s="3" t="e">
        <f t="shared" si="144"/>
        <v>#VALUE!</v>
      </c>
      <c r="I4215" s="1">
        <v>1</v>
      </c>
    </row>
    <row r="4216" spans="1:9" x14ac:dyDescent="0.25">
      <c r="A4216" s="1" t="s">
        <v>14435</v>
      </c>
      <c r="B4216" s="1" t="s">
        <v>12451</v>
      </c>
      <c r="C4216" s="1" t="str">
        <f>IFERROR(VLOOKUP(B4216,'SB1'!$A$2:$B$999999,2,FALSE),"")</f>
        <v>TINTA PARA MADERA CETOL VIRARO X 0,060</v>
      </c>
      <c r="D4216" s="1" t="s">
        <v>14445</v>
      </c>
      <c r="E4216" s="3">
        <f>IFERROR(VLOOKUP(B4216,'DA1'!$B$2:$D$999999,3,FALSE),"")</f>
      </c>
      <c r="F4216" s="1" t="str">
        <f>IFERROR(VLOOKUP(B4216,'SB1'!$A$2:$C$999999,3,FALSE),"")</f>
        <v>503</v>
      </c>
      <c r="G4216" s="3" t="e">
        <f t="shared" si="143"/>
        <v>#VALUE!</v>
      </c>
      <c r="H4216" s="3" t="e">
        <f t="shared" si="144"/>
        <v>#VALUE!</v>
      </c>
      <c r="I4216" s="1">
        <v>1</v>
      </c>
    </row>
    <row r="4217" spans="1:9" x14ac:dyDescent="0.25">
      <c r="A4217" s="1" t="s">
        <v>14435</v>
      </c>
      <c r="B4217" s="1" t="s">
        <v>12453</v>
      </c>
      <c r="C4217" s="1" t="str">
        <f>IFERROR(VLOOKUP(B4217,'SB1'!$A$2:$B$999999,2,FALSE),"")</f>
        <v>TINTA PARA MADERA CETOL PETIRIBI X 0,060</v>
      </c>
      <c r="D4217" s="1" t="s">
        <v>14445</v>
      </c>
      <c r="E4217" s="3">
        <f>IFERROR(VLOOKUP(B4217,'DA1'!$B$2:$D$999999,3,FALSE),"")</f>
      </c>
      <c r="F4217" s="1" t="str">
        <f>IFERROR(VLOOKUP(B4217,'SB1'!$A$2:$C$999999,3,FALSE),"")</f>
        <v>503</v>
      </c>
      <c r="G4217" s="3" t="e">
        <f t="shared" si="143"/>
        <v>#VALUE!</v>
      </c>
      <c r="H4217" s="3" t="e">
        <f t="shared" si="144"/>
        <v>#VALUE!</v>
      </c>
      <c r="I4217" s="1">
        <v>1</v>
      </c>
    </row>
    <row r="4218" spans="1:9" x14ac:dyDescent="0.25">
      <c r="A4218" s="1" t="s">
        <v>14435</v>
      </c>
      <c r="B4218" s="1" t="s">
        <v>12455</v>
      </c>
      <c r="C4218" s="1" t="str">
        <f>IFERROR(VLOOKUP(B4218,'SB1'!$A$2:$B$999999,2,FALSE),"")</f>
        <v>TINTA PARA MADERA CETOL ALGARROBO X 0,060</v>
      </c>
      <c r="D4218" s="1" t="s">
        <v>14445</v>
      </c>
      <c r="E4218" s="3">
        <f>IFERROR(VLOOKUP(B4218,'DA1'!$B$2:$D$999999,3,FALSE),"")</f>
      </c>
      <c r="F4218" s="1" t="str">
        <f>IFERROR(VLOOKUP(B4218,'SB1'!$A$2:$C$999999,3,FALSE),"")</f>
        <v>503</v>
      </c>
      <c r="G4218" s="3" t="e">
        <f t="shared" si="143"/>
        <v>#VALUE!</v>
      </c>
      <c r="H4218" s="3" t="e">
        <f t="shared" si="144"/>
        <v>#VALUE!</v>
      </c>
      <c r="I4218" s="1">
        <v>1</v>
      </c>
    </row>
    <row r="4219" spans="1:9" x14ac:dyDescent="0.25">
      <c r="A4219" s="1" t="s">
        <v>14435</v>
      </c>
      <c r="B4219" s="1" t="s">
        <v>12457</v>
      </c>
      <c r="C4219" s="1" t="str">
        <f>IFERROR(VLOOKUP(B4219,'SB1'!$A$2:$B$999999,2,FALSE),"")</f>
        <v>TINTA PARA MADERA CETOL WENGE X 0,060</v>
      </c>
      <c r="D4219" s="1" t="s">
        <v>14445</v>
      </c>
      <c r="E4219" s="3">
        <f>IFERROR(VLOOKUP(B4219,'DA1'!$B$2:$D$999999,3,FALSE),"")</f>
      </c>
      <c r="F4219" s="1" t="str">
        <f>IFERROR(VLOOKUP(B4219,'SB1'!$A$2:$C$999999,3,FALSE),"")</f>
        <v>503</v>
      </c>
      <c r="G4219" s="3" t="e">
        <f t="shared" si="143"/>
        <v>#VALUE!</v>
      </c>
      <c r="H4219" s="3" t="e">
        <f t="shared" si="144"/>
        <v>#VALUE!</v>
      </c>
      <c r="I4219" s="1">
        <v>1</v>
      </c>
    </row>
    <row r="4220" spans="1:9" x14ac:dyDescent="0.25">
      <c r="A4220" s="1" t="s">
        <v>14435</v>
      </c>
      <c r="B4220" s="1" t="s">
        <v>12463</v>
      </c>
      <c r="C4220" s="1" t="str">
        <f>IFERROR(VLOOKUP(B4220,'SB1'!$A$2:$B$999999,2,FALSE),"")</f>
        <v>D8125/E1 RAPID PERFORMANCE CLEARCOAT X 1</v>
      </c>
      <c r="D4220" s="1" t="s">
        <v>14446</v>
      </c>
      <c r="E4220" s="3">
        <f>IFERROR(VLOOKUP(B4220,'DA1'!$B$2:$D$999999,3,FALSE),"")</f>
      </c>
      <c r="F4220" s="1" t="str">
        <f>IFERROR(VLOOKUP(B4220,'SB1'!$A$2:$C$999999,3,FALSE),"")</f>
        <v>503</v>
      </c>
      <c r="G4220" s="3" t="e">
        <f t="shared" si="143"/>
        <v>#VALUE!</v>
      </c>
      <c r="H4220" s="3" t="e">
        <f t="shared" si="144"/>
        <v>#VALUE!</v>
      </c>
      <c r="I4220" s="1">
        <v>3</v>
      </c>
    </row>
    <row r="4221" spans="1:9" x14ac:dyDescent="0.25">
      <c r="A4221" s="1" t="s">
        <v>14435</v>
      </c>
      <c r="B4221" s="1" t="s">
        <v>12465</v>
      </c>
      <c r="C4221" s="1" t="str">
        <f>IFERROR(VLOOKUP(B4221,'SB1'!$A$2:$B$999999,2,FALSE),"")</f>
        <v>D8125/E5 RAPID PERFORMANCE CLEARCOAT X 5</v>
      </c>
      <c r="D4221" s="1" t="s">
        <v>14446</v>
      </c>
      <c r="E4221" s="3">
        <f>IFERROR(VLOOKUP(B4221,'DA1'!$B$2:$D$999999,3,FALSE),"")</f>
      </c>
      <c r="F4221" s="1" t="str">
        <f>IFERROR(VLOOKUP(B4221,'SB1'!$A$2:$C$999999,3,FALSE),"")</f>
        <v>503</v>
      </c>
      <c r="G4221" s="3" t="e">
        <f t="shared" si="143"/>
        <v>#VALUE!</v>
      </c>
      <c r="H4221" s="3" t="e">
        <f t="shared" si="144"/>
        <v>#VALUE!</v>
      </c>
      <c r="I4221" s="1">
        <v>3</v>
      </c>
    </row>
    <row r="4222" spans="1:9" x14ac:dyDescent="0.25">
      <c r="A4222" s="1" t="s">
        <v>14435</v>
      </c>
      <c r="B4222" s="1" t="s">
        <v>12473</v>
      </c>
      <c r="C4222" s="1" t="str">
        <f>IFERROR(VLOOKUP(B4222,'SB1'!$A$2:$B$999999,2,FALSE),"")</f>
        <v>D8260/E0.5 ACTIVADDOR P/T510 (B.ACUOSA) X 0,500</v>
      </c>
      <c r="D4222" s="1" t="s">
        <v>14457</v>
      </c>
      <c r="E4222" s="3">
        <f>IFERROR(VLOOKUP(B4222,'DA1'!$B$2:$D$999999,3,FALSE),"")</f>
      </c>
      <c r="F4222" s="1" t="str">
        <f>IFERROR(VLOOKUP(B4222,'SB1'!$A$2:$C$999999,3,FALSE),"")</f>
        <v>503</v>
      </c>
      <c r="G4222" s="3" t="e">
        <f t="shared" si="143"/>
        <v>#VALUE!</v>
      </c>
      <c r="H4222" s="3" t="e">
        <f t="shared" si="144"/>
        <v>#VALUE!</v>
      </c>
      <c r="I4222" s="1">
        <v>3</v>
      </c>
    </row>
    <row r="4223" spans="1:9" x14ac:dyDescent="0.25">
      <c r="A4223" s="1" t="s">
        <v>14435</v>
      </c>
      <c r="B4223" s="1" t="s">
        <v>12479</v>
      </c>
      <c r="C4223" s="1" t="str">
        <f>IFERROR(VLOOKUP(B4223,'SB1'!$A$2:$B$999999,2,FALSE),"")</f>
        <v>D8263/E0.5 CATALIZADOR MEDIO P/BZ. D8125 X 0,500</v>
      </c>
      <c r="D4223" s="1" t="s">
        <v>14446</v>
      </c>
      <c r="E4223" s="3">
        <f>IFERROR(VLOOKUP(B4223,'DA1'!$B$2:$D$999999,3,FALSE),"")</f>
      </c>
      <c r="F4223" s="1" t="str">
        <f>IFERROR(VLOOKUP(B4223,'SB1'!$A$2:$C$999999,3,FALSE),"")</f>
        <v>503</v>
      </c>
      <c r="G4223" s="3" t="e">
        <f t="shared" si="143"/>
        <v>#VALUE!</v>
      </c>
      <c r="H4223" s="3" t="e">
        <f t="shared" si="144"/>
        <v>#VALUE!</v>
      </c>
      <c r="I4223" s="1">
        <v>3</v>
      </c>
    </row>
    <row r="4224" spans="1:9" x14ac:dyDescent="0.25">
      <c r="A4224" s="1" t="s">
        <v>14435</v>
      </c>
      <c r="B4224" s="1" t="s">
        <v>12481</v>
      </c>
      <c r="C4224" s="1" t="str">
        <f>IFERROR(VLOOKUP(B4224,'SB1'!$A$2:$B$999999,2,FALSE),"")</f>
        <v>D8263/E2.5 CATALIZADOR MEDIO D8125 X 2,500</v>
      </c>
      <c r="D4224" s="1" t="s">
        <v>14446</v>
      </c>
      <c r="E4224" s="3">
        <f>IFERROR(VLOOKUP(B4224,'DA1'!$B$2:$D$999999,3,FALSE),"")</f>
      </c>
      <c r="F4224" s="1" t="str">
        <f>IFERROR(VLOOKUP(B4224,'SB1'!$A$2:$C$999999,3,FALSE),"")</f>
        <v>503</v>
      </c>
      <c r="G4224" s="3" t="e">
        <f t="shared" si="143"/>
        <v>#VALUE!</v>
      </c>
      <c r="H4224" s="3" t="e">
        <f t="shared" si="144"/>
        <v>#VALUE!</v>
      </c>
      <c r="I4224" s="1">
        <v>3</v>
      </c>
    </row>
    <row r="4225" spans="1:9" x14ac:dyDescent="0.25">
      <c r="A4225" s="1" t="s">
        <v>14435</v>
      </c>
      <c r="B4225" s="1" t="s">
        <v>12487</v>
      </c>
      <c r="C4225" s="1" t="str">
        <f>IFERROR(VLOOKUP(B4225,'SB1'!$A$2:$B$999999,2,FALSE),"")</f>
        <v>ESMALTE AL AGUA ALBALUX BRILLANTE BERMELLON X 0,500</v>
      </c>
      <c r="D4225" s="1" t="s">
        <v>14441</v>
      </c>
      <c r="E4225" s="3">
        <f>IFERROR(VLOOKUP(B4225,'DA1'!$B$2:$D$999999,3,FALSE),"")</f>
      </c>
      <c r="F4225" s="1" t="str">
        <f>IFERROR(VLOOKUP(B4225,'SB1'!$A$2:$C$999999,3,FALSE),"")</f>
        <v>503</v>
      </c>
      <c r="G4225" s="3" t="e">
        <f t="shared" si="143"/>
        <v>#VALUE!</v>
      </c>
      <c r="H4225" s="3" t="e">
        <f t="shared" si="144"/>
        <v>#VALUE!</v>
      </c>
      <c r="I4225" s="1">
        <v>1</v>
      </c>
    </row>
    <row r="4226" spans="1:9" x14ac:dyDescent="0.25">
      <c r="A4226" s="1" t="s">
        <v>14435</v>
      </c>
      <c r="B4226" s="1" t="s">
        <v>12489</v>
      </c>
      <c r="C4226" s="1" t="str">
        <f>IFERROR(VLOOKUP(B4226,'SB1'!$A$2:$B$999999,2,FALSE),"")</f>
        <v>ESMALTE AL AGUA ALBALUX BRILLANTE AMARILLO X 0,500</v>
      </c>
      <c r="D4226" s="1" t="s">
        <v>14441</v>
      </c>
      <c r="E4226" s="3">
        <f>IFERROR(VLOOKUP(B4226,'DA1'!$B$2:$D$999999,3,FALSE),"")</f>
      </c>
      <c r="F4226" s="1" t="str">
        <f>IFERROR(VLOOKUP(B4226,'SB1'!$A$2:$C$999999,3,FALSE),"")</f>
        <v>503</v>
      </c>
      <c r="G4226" s="3" t="e">
        <f t="shared" si="143"/>
        <v>#VALUE!</v>
      </c>
      <c r="H4226" s="3" t="e">
        <f t="shared" si="144"/>
        <v>#VALUE!</v>
      </c>
      <c r="I4226" s="1">
        <v>1</v>
      </c>
    </row>
    <row r="4227" spans="1:9" x14ac:dyDescent="0.25">
      <c r="A4227" s="1" t="s">
        <v>14435</v>
      </c>
      <c r="B4227" s="1" t="s">
        <v>12491</v>
      </c>
      <c r="C4227" s="1" t="str">
        <f>IFERROR(VLOOKUP(B4227,'SB1'!$A$2:$B$999999,2,FALSE),"")</f>
        <v>ESMALTE AL AGUA ALBALUX BRILLANTE MARRON X 0,500</v>
      </c>
      <c r="D4227" s="1" t="s">
        <v>14441</v>
      </c>
      <c r="E4227" s="3">
        <f>IFERROR(VLOOKUP(B4227,'DA1'!$B$2:$D$999999,3,FALSE),"")</f>
      </c>
      <c r="F4227" s="1" t="str">
        <f>IFERROR(VLOOKUP(B4227,'SB1'!$A$2:$C$999999,3,FALSE),"")</f>
        <v>503</v>
      </c>
      <c r="G4227" s="3" t="e">
        <f t="shared" ref="G4227:G4290" si="145">E4227*1.04</f>
        <v>#VALUE!</v>
      </c>
      <c r="H4227" s="3" t="e">
        <f t="shared" si="144"/>
        <v>#VALUE!</v>
      </c>
      <c r="I4227" s="1">
        <v>1</v>
      </c>
    </row>
    <row r="4228" spans="1:9" x14ac:dyDescent="0.25">
      <c r="A4228" s="1" t="s">
        <v>14435</v>
      </c>
      <c r="B4228" s="1" t="s">
        <v>12493</v>
      </c>
      <c r="C4228" s="1" t="str">
        <f>IFERROR(VLOOKUP(B4228,'SB1'!$A$2:$B$999999,2,FALSE),"")</f>
        <v>ESMALTE AL AGUA ALBALUX BRILLANTE GRIS X 0,500</v>
      </c>
      <c r="D4228" s="1" t="s">
        <v>14441</v>
      </c>
      <c r="E4228" s="3">
        <f>IFERROR(VLOOKUP(B4228,'DA1'!$B$2:$D$999999,3,FALSE),"")</f>
      </c>
      <c r="F4228" s="1" t="str">
        <f>IFERROR(VLOOKUP(B4228,'SB1'!$A$2:$C$999999,3,FALSE),"")</f>
        <v>503</v>
      </c>
      <c r="G4228" s="3" t="e">
        <f t="shared" si="145"/>
        <v>#VALUE!</v>
      </c>
      <c r="H4228" s="3" t="e">
        <f t="shared" ref="H4228:H4291" si="146">G4228*1.21</f>
        <v>#VALUE!</v>
      </c>
      <c r="I4228" s="1">
        <v>1</v>
      </c>
    </row>
    <row r="4229" spans="1:9" x14ac:dyDescent="0.25">
      <c r="A4229" s="1" t="s">
        <v>14435</v>
      </c>
      <c r="B4229" s="1" t="s">
        <v>12495</v>
      </c>
      <c r="C4229" s="1" t="str">
        <f>IFERROR(VLOOKUP(B4229,'SB1'!$A$2:$B$999999,2,FALSE),"")</f>
        <v>ESMALTE AL AGUA ALBALUX BRILLANTE GRIS HIELO X 0,500</v>
      </c>
      <c r="D4229" s="1" t="s">
        <v>14441</v>
      </c>
      <c r="E4229" s="3">
        <f>IFERROR(VLOOKUP(B4229,'DA1'!$B$2:$D$999999,3,FALSE),"")</f>
      </c>
      <c r="F4229" s="1" t="str">
        <f>IFERROR(VLOOKUP(B4229,'SB1'!$A$2:$C$999999,3,FALSE),"")</f>
        <v>503</v>
      </c>
      <c r="G4229" s="3" t="e">
        <f t="shared" si="145"/>
        <v>#VALUE!</v>
      </c>
      <c r="H4229" s="3" t="e">
        <f t="shared" si="146"/>
        <v>#VALUE!</v>
      </c>
      <c r="I4229" s="1">
        <v>1</v>
      </c>
    </row>
    <row r="4230" spans="1:9" x14ac:dyDescent="0.25">
      <c r="A4230" s="1" t="s">
        <v>14435</v>
      </c>
      <c r="B4230" s="1" t="s">
        <v>12497</v>
      </c>
      <c r="C4230" s="1" t="str">
        <f>IFERROR(VLOOKUP(B4230,'SB1'!$A$2:$B$999999,2,FALSE),"")</f>
        <v>ESMALTE AL AGUA ALBALUX BRILLANTE VERDE INGLES X 0,500</v>
      </c>
      <c r="D4230" s="1" t="s">
        <v>14441</v>
      </c>
      <c r="E4230" s="3">
        <f>IFERROR(VLOOKUP(B4230,'DA1'!$B$2:$D$999999,3,FALSE),"")</f>
      </c>
      <c r="F4230" s="1" t="str">
        <f>IFERROR(VLOOKUP(B4230,'SB1'!$A$2:$C$999999,3,FALSE),"")</f>
        <v>503</v>
      </c>
      <c r="G4230" s="3" t="e">
        <f t="shared" si="145"/>
        <v>#VALUE!</v>
      </c>
      <c r="H4230" s="3" t="e">
        <f t="shared" si="146"/>
        <v>#VALUE!</v>
      </c>
      <c r="I4230" s="1">
        <v>1</v>
      </c>
    </row>
    <row r="4231" spans="1:9" x14ac:dyDescent="0.25">
      <c r="A4231" s="1" t="s">
        <v>14435</v>
      </c>
      <c r="B4231" s="1" t="s">
        <v>12499</v>
      </c>
      <c r="C4231" s="1" t="str">
        <f>IFERROR(VLOOKUP(B4231,'SB1'!$A$2:$B$999999,2,FALSE),"")</f>
        <v>ESMALTE AL AGUA ALBALUX BRILLANTE VERDE NOCHE X 0,500</v>
      </c>
      <c r="D4231" s="1" t="s">
        <v>14441</v>
      </c>
      <c r="E4231" s="3">
        <f>IFERROR(VLOOKUP(B4231,'DA1'!$B$2:$D$999999,3,FALSE),"")</f>
      </c>
      <c r="F4231" s="1" t="str">
        <f>IFERROR(VLOOKUP(B4231,'SB1'!$A$2:$C$999999,3,FALSE),"")</f>
        <v>503</v>
      </c>
      <c r="G4231" s="3" t="e">
        <f t="shared" si="145"/>
        <v>#VALUE!</v>
      </c>
      <c r="H4231" s="3" t="e">
        <f t="shared" si="146"/>
        <v>#VALUE!</v>
      </c>
      <c r="I4231" s="1">
        <v>1</v>
      </c>
    </row>
    <row r="4232" spans="1:9" x14ac:dyDescent="0.25">
      <c r="A4232" s="1" t="s">
        <v>14435</v>
      </c>
      <c r="B4232" s="1" t="s">
        <v>12501</v>
      </c>
      <c r="C4232" s="1" t="str">
        <f>IFERROR(VLOOKUP(B4232,'SB1'!$A$2:$B$999999,2,FALSE),"")</f>
        <v>ESMALTE AL AGUA ALBALUX BRILLANTE TRAFUL X 0,500</v>
      </c>
      <c r="D4232" s="1" t="s">
        <v>14441</v>
      </c>
      <c r="E4232" s="3">
        <f>IFERROR(VLOOKUP(B4232,'DA1'!$B$2:$D$999999,3,FALSE),"")</f>
      </c>
      <c r="F4232" s="1" t="str">
        <f>IFERROR(VLOOKUP(B4232,'SB1'!$A$2:$C$999999,3,FALSE),"")</f>
        <v>503</v>
      </c>
      <c r="G4232" s="3" t="e">
        <f t="shared" si="145"/>
        <v>#VALUE!</v>
      </c>
      <c r="H4232" s="3" t="e">
        <f t="shared" si="146"/>
        <v>#VALUE!</v>
      </c>
      <c r="I4232" s="1">
        <v>1</v>
      </c>
    </row>
    <row r="4233" spans="1:9" x14ac:dyDescent="0.25">
      <c r="A4233" s="1" t="s">
        <v>14435</v>
      </c>
      <c r="B4233" s="1" t="s">
        <v>12503</v>
      </c>
      <c r="C4233" s="1" t="str">
        <f>IFERROR(VLOOKUP(B4233,'SB1'!$A$2:$B$999999,2,FALSE),"")</f>
        <v>ESMALTE AL AGUA ALBALUX BRILLANTE AZUL MARINO X 0,500</v>
      </c>
      <c r="D4233" s="1" t="s">
        <v>14441</v>
      </c>
      <c r="E4233" s="3">
        <f>IFERROR(VLOOKUP(B4233,'DA1'!$B$2:$D$999999,3,FALSE),"")</f>
      </c>
      <c r="F4233" s="1" t="str">
        <f>IFERROR(VLOOKUP(B4233,'SB1'!$A$2:$C$999999,3,FALSE),"")</f>
        <v>503</v>
      </c>
      <c r="G4233" s="3" t="e">
        <f t="shared" si="145"/>
        <v>#VALUE!</v>
      </c>
      <c r="H4233" s="3" t="e">
        <f t="shared" si="146"/>
        <v>#VALUE!</v>
      </c>
      <c r="I4233" s="1">
        <v>1</v>
      </c>
    </row>
    <row r="4234" spans="1:9" x14ac:dyDescent="0.25">
      <c r="A4234" s="1" t="s">
        <v>14435</v>
      </c>
      <c r="B4234" s="1" t="s">
        <v>12505</v>
      </c>
      <c r="C4234" s="1" t="str">
        <f>IFERROR(VLOOKUP(B4234,'SB1'!$A$2:$B$999999,2,FALSE),"")</f>
        <v>ESMALTE SINTETICO SATINOL SATINADO BLANCO X  0,500</v>
      </c>
      <c r="D4234" s="1" t="s">
        <v>14441</v>
      </c>
      <c r="E4234" s="3">
        <f>IFERROR(VLOOKUP(B4234,'DA1'!$B$2:$D$999999,3,FALSE),"")</f>
      </c>
      <c r="F4234" s="1" t="str">
        <f>IFERROR(VLOOKUP(B4234,'SB1'!$A$2:$C$999999,3,FALSE),"")</f>
        <v>503</v>
      </c>
      <c r="G4234" s="3" t="e">
        <f t="shared" si="145"/>
        <v>#VALUE!</v>
      </c>
      <c r="H4234" s="3" t="e">
        <f t="shared" si="146"/>
        <v>#VALUE!</v>
      </c>
      <c r="I4234" s="1">
        <v>1</v>
      </c>
    </row>
    <row r="4235" spans="1:9" x14ac:dyDescent="0.25">
      <c r="A4235" s="1" t="s">
        <v>14435</v>
      </c>
      <c r="B4235" s="1" t="s">
        <v>12507</v>
      </c>
      <c r="C4235" s="1" t="str">
        <f>IFERROR(VLOOKUP(B4235,'SB1'!$A$2:$B$999999,2,FALSE),"")</f>
        <v>ESMALTE AL AGUA ALBALUX BRILLANTE BERMELLON X 1</v>
      </c>
      <c r="D4235" s="1" t="s">
        <v>14441</v>
      </c>
      <c r="E4235" s="3">
        <f>IFERROR(VLOOKUP(B4235,'DA1'!$B$2:$D$999999,3,FALSE),"")</f>
      </c>
      <c r="F4235" s="1" t="str">
        <f>IFERROR(VLOOKUP(B4235,'SB1'!$A$2:$C$999999,3,FALSE),"")</f>
        <v>503</v>
      </c>
      <c r="G4235" s="3" t="e">
        <f t="shared" si="145"/>
        <v>#VALUE!</v>
      </c>
      <c r="H4235" s="3" t="e">
        <f t="shared" si="146"/>
        <v>#VALUE!</v>
      </c>
      <c r="I4235" s="1">
        <v>1</v>
      </c>
    </row>
    <row r="4236" spans="1:9" x14ac:dyDescent="0.25">
      <c r="A4236" s="1" t="s">
        <v>14435</v>
      </c>
      <c r="B4236" s="1" t="s">
        <v>12509</v>
      </c>
      <c r="C4236" s="1" t="str">
        <f>IFERROR(VLOOKUP(B4236,'SB1'!$A$2:$B$999999,2,FALSE),"")</f>
        <v>ESMALTE AL AGUA ALBALUX BRILLANTE AMARILLO X 1</v>
      </c>
      <c r="D4236" s="1" t="s">
        <v>14441</v>
      </c>
      <c r="E4236" s="3">
        <f>IFERROR(VLOOKUP(B4236,'DA1'!$B$2:$D$999999,3,FALSE),"")</f>
      </c>
      <c r="F4236" s="1" t="str">
        <f>IFERROR(VLOOKUP(B4236,'SB1'!$A$2:$C$999999,3,FALSE),"")</f>
        <v>503</v>
      </c>
      <c r="G4236" s="3" t="e">
        <f t="shared" si="145"/>
        <v>#VALUE!</v>
      </c>
      <c r="H4236" s="3" t="e">
        <f t="shared" si="146"/>
        <v>#VALUE!</v>
      </c>
      <c r="I4236" s="1">
        <v>1</v>
      </c>
    </row>
    <row r="4237" spans="1:9" x14ac:dyDescent="0.25">
      <c r="A4237" s="1" t="s">
        <v>14435</v>
      </c>
      <c r="B4237" s="1" t="s">
        <v>12511</v>
      </c>
      <c r="C4237" s="1" t="str">
        <f>IFERROR(VLOOKUP(B4237,'SB1'!$A$2:$B$999999,2,FALSE),"")</f>
        <v>ESMALTE AL AGUA ALBALUX BRILLANTE MARRON X 1</v>
      </c>
      <c r="D4237" s="1" t="s">
        <v>14441</v>
      </c>
      <c r="E4237" s="3">
        <f>IFERROR(VLOOKUP(B4237,'DA1'!$B$2:$D$999999,3,FALSE),"")</f>
      </c>
      <c r="F4237" s="1" t="str">
        <f>IFERROR(VLOOKUP(B4237,'SB1'!$A$2:$C$999999,3,FALSE),"")</f>
        <v>503</v>
      </c>
      <c r="G4237" s="3" t="e">
        <f t="shared" si="145"/>
        <v>#VALUE!</v>
      </c>
      <c r="H4237" s="3" t="e">
        <f t="shared" si="146"/>
        <v>#VALUE!</v>
      </c>
      <c r="I4237" s="1">
        <v>1</v>
      </c>
    </row>
    <row r="4238" spans="1:9" x14ac:dyDescent="0.25">
      <c r="A4238" s="1" t="s">
        <v>14435</v>
      </c>
      <c r="B4238" s="1" t="s">
        <v>12513</v>
      </c>
      <c r="C4238" s="1" t="str">
        <f>IFERROR(VLOOKUP(B4238,'SB1'!$A$2:$B$999999,2,FALSE),"")</f>
        <v>ESMALTE AL AGUA ALBALUX BRILLANTE GRIS X 1</v>
      </c>
      <c r="D4238" s="1" t="s">
        <v>14441</v>
      </c>
      <c r="E4238" s="3">
        <f>IFERROR(VLOOKUP(B4238,'DA1'!$B$2:$D$999999,3,FALSE),"")</f>
      </c>
      <c r="F4238" s="1" t="str">
        <f>IFERROR(VLOOKUP(B4238,'SB1'!$A$2:$C$999999,3,FALSE),"")</f>
        <v>503</v>
      </c>
      <c r="G4238" s="3" t="e">
        <f t="shared" si="145"/>
        <v>#VALUE!</v>
      </c>
      <c r="H4238" s="3" t="e">
        <f t="shared" si="146"/>
        <v>#VALUE!</v>
      </c>
      <c r="I4238" s="1">
        <v>1</v>
      </c>
    </row>
    <row r="4239" spans="1:9" x14ac:dyDescent="0.25">
      <c r="A4239" s="1" t="s">
        <v>14435</v>
      </c>
      <c r="B4239" s="1" t="s">
        <v>12515</v>
      </c>
      <c r="C4239" s="1" t="str">
        <f>IFERROR(VLOOKUP(B4239,'SB1'!$A$2:$B$999999,2,FALSE),"")</f>
        <v>ESMALTE AL AGUA ALBALUX BRILLANTE GRIS HIELO X 1</v>
      </c>
      <c r="D4239" s="1" t="s">
        <v>14441</v>
      </c>
      <c r="E4239" s="3">
        <f>IFERROR(VLOOKUP(B4239,'DA1'!$B$2:$D$999999,3,FALSE),"")</f>
      </c>
      <c r="F4239" s="1" t="str">
        <f>IFERROR(VLOOKUP(B4239,'SB1'!$A$2:$C$999999,3,FALSE),"")</f>
        <v>503</v>
      </c>
      <c r="G4239" s="3" t="e">
        <f t="shared" si="145"/>
        <v>#VALUE!</v>
      </c>
      <c r="H4239" s="3" t="e">
        <f t="shared" si="146"/>
        <v>#VALUE!</v>
      </c>
      <c r="I4239" s="1">
        <v>1</v>
      </c>
    </row>
    <row r="4240" spans="1:9" x14ac:dyDescent="0.25">
      <c r="A4240" s="1" t="s">
        <v>14435</v>
      </c>
      <c r="B4240" s="1" t="s">
        <v>12517</v>
      </c>
      <c r="C4240" s="1" t="str">
        <f>IFERROR(VLOOKUP(B4240,'SB1'!$A$2:$B$999999,2,FALSE),"")</f>
        <v>ESMALTE AL AGUA ALBALUX BRILLANTE VERDE INGLES X 1</v>
      </c>
      <c r="D4240" s="1" t="s">
        <v>14441</v>
      </c>
      <c r="E4240" s="3">
        <f>IFERROR(VLOOKUP(B4240,'DA1'!$B$2:$D$999999,3,FALSE),"")</f>
      </c>
      <c r="F4240" s="1" t="str">
        <f>IFERROR(VLOOKUP(B4240,'SB1'!$A$2:$C$999999,3,FALSE),"")</f>
        <v>503</v>
      </c>
      <c r="G4240" s="3" t="e">
        <f t="shared" si="145"/>
        <v>#VALUE!</v>
      </c>
      <c r="H4240" s="3" t="e">
        <f t="shared" si="146"/>
        <v>#VALUE!</v>
      </c>
      <c r="I4240" s="1">
        <v>1</v>
      </c>
    </row>
    <row r="4241" spans="1:9" x14ac:dyDescent="0.25">
      <c r="A4241" s="1" t="s">
        <v>14435</v>
      </c>
      <c r="B4241" s="1" t="s">
        <v>12519</v>
      </c>
      <c r="C4241" s="1" t="str">
        <f>IFERROR(VLOOKUP(B4241,'SB1'!$A$2:$B$999999,2,FALSE),"")</f>
        <v>ESMALTE AL AGUA ALBALUX BRILLANTE VERDE NOCHE X 1</v>
      </c>
      <c r="D4241" s="1" t="s">
        <v>14441</v>
      </c>
      <c r="E4241" s="3">
        <f>IFERROR(VLOOKUP(B4241,'DA1'!$B$2:$D$999999,3,FALSE),"")</f>
      </c>
      <c r="F4241" s="1" t="str">
        <f>IFERROR(VLOOKUP(B4241,'SB1'!$A$2:$C$999999,3,FALSE),"")</f>
        <v>503</v>
      </c>
      <c r="G4241" s="3" t="e">
        <f t="shared" si="145"/>
        <v>#VALUE!</v>
      </c>
      <c r="H4241" s="3" t="e">
        <f t="shared" si="146"/>
        <v>#VALUE!</v>
      </c>
      <c r="I4241" s="1">
        <v>1</v>
      </c>
    </row>
    <row r="4242" spans="1:9" x14ac:dyDescent="0.25">
      <c r="A4242" s="1" t="s">
        <v>14435</v>
      </c>
      <c r="B4242" s="1" t="s">
        <v>12521</v>
      </c>
      <c r="C4242" s="1" t="str">
        <f>IFERROR(VLOOKUP(B4242,'SB1'!$A$2:$B$999999,2,FALSE),"")</f>
        <v>ESMALTE AL AGUA ALBALUX BRILLANTE TRAFUL X 1</v>
      </c>
      <c r="D4242" s="1" t="s">
        <v>14441</v>
      </c>
      <c r="E4242" s="3">
        <f>IFERROR(VLOOKUP(B4242,'DA1'!$B$2:$D$999999,3,FALSE),"")</f>
      </c>
      <c r="F4242" s="1" t="str">
        <f>IFERROR(VLOOKUP(B4242,'SB1'!$A$2:$C$999999,3,FALSE),"")</f>
        <v>503</v>
      </c>
      <c r="G4242" s="3" t="e">
        <f t="shared" si="145"/>
        <v>#VALUE!</v>
      </c>
      <c r="H4242" s="3" t="e">
        <f t="shared" si="146"/>
        <v>#VALUE!</v>
      </c>
      <c r="I4242" s="1">
        <v>1</v>
      </c>
    </row>
    <row r="4243" spans="1:9" x14ac:dyDescent="0.25">
      <c r="A4243" s="1" t="s">
        <v>14435</v>
      </c>
      <c r="B4243" s="1" t="s">
        <v>12523</v>
      </c>
      <c r="C4243" s="1" t="str">
        <f>IFERROR(VLOOKUP(B4243,'SB1'!$A$2:$B$999999,2,FALSE),"")</f>
        <v>ESMALTE AL AGUA ALBALUX BRILLANTE AZUL MARINO X 1</v>
      </c>
      <c r="D4243" s="1" t="s">
        <v>14441</v>
      </c>
      <c r="E4243" s="3">
        <f>IFERROR(VLOOKUP(B4243,'DA1'!$B$2:$D$999999,3,FALSE),"")</f>
      </c>
      <c r="F4243" s="1" t="str">
        <f>IFERROR(VLOOKUP(B4243,'SB1'!$A$2:$C$999999,3,FALSE),"")</f>
        <v>503</v>
      </c>
      <c r="G4243" s="3" t="e">
        <f t="shared" si="145"/>
        <v>#VALUE!</v>
      </c>
      <c r="H4243" s="3" t="e">
        <f t="shared" si="146"/>
        <v>#VALUE!</v>
      </c>
      <c r="I4243" s="1">
        <v>1</v>
      </c>
    </row>
    <row r="4244" spans="1:9" x14ac:dyDescent="0.25">
      <c r="A4244" s="1" t="s">
        <v>14435</v>
      </c>
      <c r="B4244" s="1" t="s">
        <v>12527</v>
      </c>
      <c r="C4244" s="1" t="str">
        <f>IFERROR(VLOOKUP(B4244,'SB1'!$A$2:$B$999999,2,FALSE),"")</f>
        <v>ESMALTE AL AGUA ALBALUX BRILLANTE BERMELLON X 4</v>
      </c>
      <c r="D4244" s="1" t="s">
        <v>14441</v>
      </c>
      <c r="E4244" s="3">
        <f>IFERROR(VLOOKUP(B4244,'DA1'!$B$2:$D$999999,3,FALSE),"")</f>
      </c>
      <c r="F4244" s="1" t="str">
        <f>IFERROR(VLOOKUP(B4244,'SB1'!$A$2:$C$999999,3,FALSE),"")</f>
        <v>503</v>
      </c>
      <c r="G4244" s="3" t="e">
        <f t="shared" si="145"/>
        <v>#VALUE!</v>
      </c>
      <c r="H4244" s="3" t="e">
        <f t="shared" si="146"/>
        <v>#VALUE!</v>
      </c>
      <c r="I4244" s="1">
        <v>1</v>
      </c>
    </row>
    <row r="4245" spans="1:9" x14ac:dyDescent="0.25">
      <c r="A4245" s="1" t="s">
        <v>14435</v>
      </c>
      <c r="B4245" s="1" t="s">
        <v>12529</v>
      </c>
      <c r="C4245" s="1" t="str">
        <f>IFERROR(VLOOKUP(B4245,'SB1'!$A$2:$B$999999,2,FALSE),"")</f>
        <v>ESMALTE AL AGUA ALBALUX BRILLANTE AMARILLO X 4</v>
      </c>
      <c r="D4245" s="1" t="s">
        <v>14441</v>
      </c>
      <c r="E4245" s="3">
        <f>IFERROR(VLOOKUP(B4245,'DA1'!$B$2:$D$999999,3,FALSE),"")</f>
      </c>
      <c r="F4245" s="1" t="str">
        <f>IFERROR(VLOOKUP(B4245,'SB1'!$A$2:$C$999999,3,FALSE),"")</f>
        <v>503</v>
      </c>
      <c r="G4245" s="3" t="e">
        <f t="shared" si="145"/>
        <v>#VALUE!</v>
      </c>
      <c r="H4245" s="3" t="e">
        <f t="shared" si="146"/>
        <v>#VALUE!</v>
      </c>
      <c r="I4245" s="1">
        <v>1</v>
      </c>
    </row>
    <row r="4246" spans="1:9" x14ac:dyDescent="0.25">
      <c r="A4246" s="1" t="s">
        <v>14435</v>
      </c>
      <c r="B4246" s="1" t="s">
        <v>12531</v>
      </c>
      <c r="C4246" s="1" t="str">
        <f>IFERROR(VLOOKUP(B4246,'SB1'!$A$2:$B$999999,2,FALSE),"")</f>
        <v>ESMALTE AL AGUA ALBALUX BRILLANTE MARRON X 4</v>
      </c>
      <c r="D4246" s="1" t="s">
        <v>14441</v>
      </c>
      <c r="E4246" s="3">
        <f>IFERROR(VLOOKUP(B4246,'DA1'!$B$2:$D$999999,3,FALSE),"")</f>
      </c>
      <c r="F4246" s="1" t="str">
        <f>IFERROR(VLOOKUP(B4246,'SB1'!$A$2:$C$999999,3,FALSE),"")</f>
        <v>503</v>
      </c>
      <c r="G4246" s="3" t="e">
        <f t="shared" si="145"/>
        <v>#VALUE!</v>
      </c>
      <c r="H4246" s="3" t="e">
        <f t="shared" si="146"/>
        <v>#VALUE!</v>
      </c>
      <c r="I4246" s="1">
        <v>1</v>
      </c>
    </row>
    <row r="4247" spans="1:9" x14ac:dyDescent="0.25">
      <c r="A4247" s="1" t="s">
        <v>14435</v>
      </c>
      <c r="B4247" s="1" t="s">
        <v>12533</v>
      </c>
      <c r="C4247" s="1" t="str">
        <f>IFERROR(VLOOKUP(B4247,'SB1'!$A$2:$B$999999,2,FALSE),"")</f>
        <v>ESMALTE AL AGUA ALBALUX BRILLANTE GRIS X 4</v>
      </c>
      <c r="D4247" s="1" t="s">
        <v>14441</v>
      </c>
      <c r="E4247" s="3">
        <f>IFERROR(VLOOKUP(B4247,'DA1'!$B$2:$D$999999,3,FALSE),"")</f>
      </c>
      <c r="F4247" s="1" t="str">
        <f>IFERROR(VLOOKUP(B4247,'SB1'!$A$2:$C$999999,3,FALSE),"")</f>
        <v>503</v>
      </c>
      <c r="G4247" s="3" t="e">
        <f t="shared" si="145"/>
        <v>#VALUE!</v>
      </c>
      <c r="H4247" s="3" t="e">
        <f t="shared" si="146"/>
        <v>#VALUE!</v>
      </c>
      <c r="I4247" s="1">
        <v>1</v>
      </c>
    </row>
    <row r="4248" spans="1:9" x14ac:dyDescent="0.25">
      <c r="A4248" s="1" t="s">
        <v>14435</v>
      </c>
      <c r="B4248" s="1" t="s">
        <v>12535</v>
      </c>
      <c r="C4248" s="1" t="str">
        <f>IFERROR(VLOOKUP(B4248,'SB1'!$A$2:$B$999999,2,FALSE),"")</f>
        <v>ESMALTE AL AGUA ALBALUX BRILLANTE GRIS HIELO X 4</v>
      </c>
      <c r="D4248" s="1" t="s">
        <v>14439</v>
      </c>
      <c r="E4248" s="3">
        <f>IFERROR(VLOOKUP(B4248,'DA1'!$B$2:$D$999999,3,FALSE),"")</f>
      </c>
      <c r="F4248" s="1" t="str">
        <f>IFERROR(VLOOKUP(B4248,'SB1'!$A$2:$C$999999,3,FALSE),"")</f>
        <v>503</v>
      </c>
      <c r="G4248" s="3" t="e">
        <f t="shared" si="145"/>
        <v>#VALUE!</v>
      </c>
      <c r="H4248" s="3" t="e">
        <f t="shared" si="146"/>
        <v>#VALUE!</v>
      </c>
      <c r="I4248" s="1">
        <v>1</v>
      </c>
    </row>
    <row r="4249" spans="1:9" x14ac:dyDescent="0.25">
      <c r="A4249" s="1" t="s">
        <v>14435</v>
      </c>
      <c r="B4249" s="1" t="s">
        <v>12537</v>
      </c>
      <c r="C4249" s="1" t="str">
        <f>IFERROR(VLOOKUP(B4249,'SB1'!$A$2:$B$999999,2,FALSE),"")</f>
        <v>ESMALTE AL AGUA ALBALUX BRILLANTE VERDE INGLES X 4</v>
      </c>
      <c r="D4249" s="1" t="s">
        <v>14441</v>
      </c>
      <c r="E4249" s="3">
        <f>IFERROR(VLOOKUP(B4249,'DA1'!$B$2:$D$999999,3,FALSE),"")</f>
      </c>
      <c r="F4249" s="1" t="str">
        <f>IFERROR(VLOOKUP(B4249,'SB1'!$A$2:$C$999999,3,FALSE),"")</f>
        <v>503</v>
      </c>
      <c r="G4249" s="3" t="e">
        <f t="shared" si="145"/>
        <v>#VALUE!</v>
      </c>
      <c r="H4249" s="3" t="e">
        <f t="shared" si="146"/>
        <v>#VALUE!</v>
      </c>
      <c r="I4249" s="1">
        <v>1</v>
      </c>
    </row>
    <row r="4250" spans="1:9" x14ac:dyDescent="0.25">
      <c r="A4250" s="1" t="s">
        <v>14435</v>
      </c>
      <c r="B4250" s="1" t="s">
        <v>12539</v>
      </c>
      <c r="C4250" s="1" t="str">
        <f>IFERROR(VLOOKUP(B4250,'SB1'!$A$2:$B$999999,2,FALSE),"")</f>
        <v>ESMALTE AL AGUA ALBALUX BRILLANTE VERDE NOCHE X 4</v>
      </c>
      <c r="D4250" s="1" t="s">
        <v>14441</v>
      </c>
      <c r="E4250" s="3">
        <f>IFERROR(VLOOKUP(B4250,'DA1'!$B$2:$D$999999,3,FALSE),"")</f>
      </c>
      <c r="F4250" s="1" t="str">
        <f>IFERROR(VLOOKUP(B4250,'SB1'!$A$2:$C$999999,3,FALSE),"")</f>
        <v>503</v>
      </c>
      <c r="G4250" s="3" t="e">
        <f t="shared" si="145"/>
        <v>#VALUE!</v>
      </c>
      <c r="H4250" s="3" t="e">
        <f t="shared" si="146"/>
        <v>#VALUE!</v>
      </c>
      <c r="I4250" s="1">
        <v>1</v>
      </c>
    </row>
    <row r="4251" spans="1:9" x14ac:dyDescent="0.25">
      <c r="A4251" s="1" t="s">
        <v>14435</v>
      </c>
      <c r="B4251" s="1" t="s">
        <v>12541</v>
      </c>
      <c r="C4251" s="1" t="str">
        <f>IFERROR(VLOOKUP(B4251,'SB1'!$A$2:$B$999999,2,FALSE),"")</f>
        <v>ESMALTE AL AGUA ALBALUX BRILLANTE TRAFUL X 4</v>
      </c>
      <c r="D4251" s="1" t="s">
        <v>14441</v>
      </c>
      <c r="E4251" s="3">
        <f>IFERROR(VLOOKUP(B4251,'DA1'!$B$2:$D$999999,3,FALSE),"")</f>
      </c>
      <c r="F4251" s="1" t="str">
        <f>IFERROR(VLOOKUP(B4251,'SB1'!$A$2:$C$999999,3,FALSE),"")</f>
        <v>503</v>
      </c>
      <c r="G4251" s="3" t="e">
        <f t="shared" si="145"/>
        <v>#VALUE!</v>
      </c>
      <c r="H4251" s="3" t="e">
        <f t="shared" si="146"/>
        <v>#VALUE!</v>
      </c>
      <c r="I4251" s="1">
        <v>1</v>
      </c>
    </row>
    <row r="4252" spans="1:9" x14ac:dyDescent="0.25">
      <c r="A4252" s="1" t="s">
        <v>14435</v>
      </c>
      <c r="B4252" s="1" t="s">
        <v>12543</v>
      </c>
      <c r="C4252" s="1" t="str">
        <f>IFERROR(VLOOKUP(B4252,'SB1'!$A$2:$B$999999,2,FALSE),"")</f>
        <v>ESMALTE AL AGUA ALBALUX BRILLANTE AZUL MARINO X 4</v>
      </c>
      <c r="D4252" s="1" t="s">
        <v>14441</v>
      </c>
      <c r="E4252" s="3">
        <f>IFERROR(VLOOKUP(B4252,'DA1'!$B$2:$D$999999,3,FALSE),"")</f>
      </c>
      <c r="F4252" s="1" t="str">
        <f>IFERROR(VLOOKUP(B4252,'SB1'!$A$2:$C$999999,3,FALSE),"")</f>
        <v>503</v>
      </c>
      <c r="G4252" s="3" t="e">
        <f t="shared" si="145"/>
        <v>#VALUE!</v>
      </c>
      <c r="H4252" s="3" t="e">
        <f t="shared" si="146"/>
        <v>#VALUE!</v>
      </c>
      <c r="I4252" s="1">
        <v>1</v>
      </c>
    </row>
    <row r="4253" spans="1:9" x14ac:dyDescent="0.25">
      <c r="A4253" s="1" t="s">
        <v>14435</v>
      </c>
      <c r="B4253" s="1" t="s">
        <v>12545</v>
      </c>
      <c r="C4253" s="1" t="str">
        <f>IFERROR(VLOOKUP(B4253,'SB1'!$A$2:$B$999999,2,FALSE),"")</f>
        <v>TINTA PARA MADERA CETOL ROBLE CLARO X 0,240</v>
      </c>
      <c r="D4253" s="1" t="s">
        <v>14445</v>
      </c>
      <c r="E4253" s="3">
        <f>IFERROR(VLOOKUP(B4253,'DA1'!$B$2:$D$999999,3,FALSE),"")</f>
      </c>
      <c r="F4253" s="1" t="str">
        <f>IFERROR(VLOOKUP(B4253,'SB1'!$A$2:$C$999999,3,FALSE),"")</f>
        <v>503</v>
      </c>
      <c r="G4253" s="3" t="e">
        <f t="shared" si="145"/>
        <v>#VALUE!</v>
      </c>
      <c r="H4253" s="3" t="e">
        <f t="shared" si="146"/>
        <v>#VALUE!</v>
      </c>
      <c r="I4253" s="1">
        <v>1</v>
      </c>
    </row>
    <row r="4254" spans="1:9" x14ac:dyDescent="0.25">
      <c r="A4254" s="1" t="s">
        <v>14435</v>
      </c>
      <c r="B4254" s="1" t="s">
        <v>12547</v>
      </c>
      <c r="C4254" s="1" t="str">
        <f>IFERROR(VLOOKUP(B4254,'SB1'!$A$2:$B$999999,2,FALSE),"")</f>
        <v>TINTA PARA MADERA CETOL ROBLE OSCURO X 0,240</v>
      </c>
      <c r="D4254" s="1" t="s">
        <v>14445</v>
      </c>
      <c r="E4254" s="3">
        <f>IFERROR(VLOOKUP(B4254,'DA1'!$B$2:$D$999999,3,FALSE),"")</f>
      </c>
      <c r="F4254" s="1" t="str">
        <f>IFERROR(VLOOKUP(B4254,'SB1'!$A$2:$C$999999,3,FALSE),"")</f>
        <v>503</v>
      </c>
      <c r="G4254" s="3" t="e">
        <f t="shared" si="145"/>
        <v>#VALUE!</v>
      </c>
      <c r="H4254" s="3" t="e">
        <f t="shared" si="146"/>
        <v>#VALUE!</v>
      </c>
      <c r="I4254" s="1">
        <v>1</v>
      </c>
    </row>
    <row r="4255" spans="1:9" x14ac:dyDescent="0.25">
      <c r="A4255" s="1" t="s">
        <v>14435</v>
      </c>
      <c r="B4255" s="1" t="s">
        <v>12549</v>
      </c>
      <c r="C4255" s="1" t="str">
        <f>IFERROR(VLOOKUP(B4255,'SB1'!$A$2:$B$999999,2,FALSE),"")</f>
        <v>TINTA PARA MADERA CETOL CEDRO X 0,240</v>
      </c>
      <c r="D4255" s="1" t="s">
        <v>14445</v>
      </c>
      <c r="E4255" s="3">
        <f>IFERROR(VLOOKUP(B4255,'DA1'!$B$2:$D$999999,3,FALSE),"")</f>
      </c>
      <c r="F4255" s="1" t="str">
        <f>IFERROR(VLOOKUP(B4255,'SB1'!$A$2:$C$999999,3,FALSE),"")</f>
        <v>503</v>
      </c>
      <c r="G4255" s="3" t="e">
        <f t="shared" si="145"/>
        <v>#VALUE!</v>
      </c>
      <c r="H4255" s="3" t="e">
        <f t="shared" si="146"/>
        <v>#VALUE!</v>
      </c>
      <c r="I4255" s="1">
        <v>1</v>
      </c>
    </row>
    <row r="4256" spans="1:9" x14ac:dyDescent="0.25">
      <c r="A4256" s="1" t="s">
        <v>14435</v>
      </c>
      <c r="B4256" s="1" t="s">
        <v>12551</v>
      </c>
      <c r="C4256" s="1" t="str">
        <f>IFERROR(VLOOKUP(B4256,'SB1'!$A$2:$B$999999,2,FALSE),"")</f>
        <v>TINTA PARA MADERA CETOL CAOBA X 0,240</v>
      </c>
      <c r="D4256" s="1" t="s">
        <v>14445</v>
      </c>
      <c r="E4256" s="3">
        <f>IFERROR(VLOOKUP(B4256,'DA1'!$B$2:$D$999999,3,FALSE),"")</f>
      </c>
      <c r="F4256" s="1" t="str">
        <f>IFERROR(VLOOKUP(B4256,'SB1'!$A$2:$C$999999,3,FALSE),"")</f>
        <v>503</v>
      </c>
      <c r="G4256" s="3" t="e">
        <f t="shared" si="145"/>
        <v>#VALUE!</v>
      </c>
      <c r="H4256" s="3" t="e">
        <f t="shared" si="146"/>
        <v>#VALUE!</v>
      </c>
      <c r="I4256" s="1">
        <v>1</v>
      </c>
    </row>
    <row r="4257" spans="1:9" x14ac:dyDescent="0.25">
      <c r="A4257" s="1" t="s">
        <v>14435</v>
      </c>
      <c r="B4257" s="1" t="s">
        <v>12553</v>
      </c>
      <c r="C4257" s="1" t="str">
        <f>IFERROR(VLOOKUP(B4257,'SB1'!$A$2:$B$999999,2,FALSE),"")</f>
        <v>TINTA PARA MADERA CETOL NOGAL X 0,240</v>
      </c>
      <c r="D4257" s="1" t="s">
        <v>14445</v>
      </c>
      <c r="E4257" s="3">
        <f>IFERROR(VLOOKUP(B4257,'DA1'!$B$2:$D$999999,3,FALSE),"")</f>
      </c>
      <c r="F4257" s="1" t="str">
        <f>IFERROR(VLOOKUP(B4257,'SB1'!$A$2:$C$999999,3,FALSE),"")</f>
        <v>503</v>
      </c>
      <c r="G4257" s="3" t="e">
        <f t="shared" si="145"/>
        <v>#VALUE!</v>
      </c>
      <c r="H4257" s="3" t="e">
        <f t="shared" si="146"/>
        <v>#VALUE!</v>
      </c>
      <c r="I4257" s="1">
        <v>1</v>
      </c>
    </row>
    <row r="4258" spans="1:9" x14ac:dyDescent="0.25">
      <c r="A4258" s="1" t="s">
        <v>14435</v>
      </c>
      <c r="B4258" s="1" t="s">
        <v>12555</v>
      </c>
      <c r="C4258" s="1" t="str">
        <f>IFERROR(VLOOKUP(B4258,'SB1'!$A$2:$B$999999,2,FALSE),"")</f>
        <v>TINTA PARA MADERA CETOL VIRARO X 0,240</v>
      </c>
      <c r="D4258" s="1" t="s">
        <v>14445</v>
      </c>
      <c r="E4258" s="3">
        <f>IFERROR(VLOOKUP(B4258,'DA1'!$B$2:$D$999999,3,FALSE),"")</f>
      </c>
      <c r="F4258" s="1" t="str">
        <f>IFERROR(VLOOKUP(B4258,'SB1'!$A$2:$C$999999,3,FALSE),"")</f>
        <v>503</v>
      </c>
      <c r="G4258" s="3" t="e">
        <f t="shared" si="145"/>
        <v>#VALUE!</v>
      </c>
      <c r="H4258" s="3" t="e">
        <f t="shared" si="146"/>
        <v>#VALUE!</v>
      </c>
      <c r="I4258" s="1">
        <v>1</v>
      </c>
    </row>
    <row r="4259" spans="1:9" x14ac:dyDescent="0.25">
      <c r="A4259" s="1" t="s">
        <v>14435</v>
      </c>
      <c r="B4259" s="1" t="s">
        <v>12557</v>
      </c>
      <c r="C4259" s="1" t="str">
        <f>IFERROR(VLOOKUP(B4259,'SB1'!$A$2:$B$999999,2,FALSE),"")</f>
        <v>TINTA PARA MADERA CETOL PETIRIBI X 0,240</v>
      </c>
      <c r="D4259" s="1" t="s">
        <v>14445</v>
      </c>
      <c r="E4259" s="3">
        <f>IFERROR(VLOOKUP(B4259,'DA1'!$B$2:$D$999999,3,FALSE),"")</f>
      </c>
      <c r="F4259" s="1" t="str">
        <f>IFERROR(VLOOKUP(B4259,'SB1'!$A$2:$C$999999,3,FALSE),"")</f>
        <v>503</v>
      </c>
      <c r="G4259" s="3" t="e">
        <f t="shared" si="145"/>
        <v>#VALUE!</v>
      </c>
      <c r="H4259" s="3" t="e">
        <f t="shared" si="146"/>
        <v>#VALUE!</v>
      </c>
      <c r="I4259" s="1">
        <v>1</v>
      </c>
    </row>
    <row r="4260" spans="1:9" x14ac:dyDescent="0.25">
      <c r="A4260" s="1" t="s">
        <v>14435</v>
      </c>
      <c r="B4260" s="1" t="s">
        <v>12559</v>
      </c>
      <c r="C4260" s="1" t="str">
        <f>IFERROR(VLOOKUP(B4260,'SB1'!$A$2:$B$999999,2,FALSE),"")</f>
        <v>TINTA PARA MADERA CETOL ALGARROBO X 0,240</v>
      </c>
      <c r="D4260" s="1" t="s">
        <v>14445</v>
      </c>
      <c r="E4260" s="3">
        <f>IFERROR(VLOOKUP(B4260,'DA1'!$B$2:$D$999999,3,FALSE),"")</f>
      </c>
      <c r="F4260" s="1" t="str">
        <f>IFERROR(VLOOKUP(B4260,'SB1'!$A$2:$C$999999,3,FALSE),"")</f>
        <v>503</v>
      </c>
      <c r="G4260" s="3" t="e">
        <f t="shared" si="145"/>
        <v>#VALUE!</v>
      </c>
      <c r="H4260" s="3" t="e">
        <f t="shared" si="146"/>
        <v>#VALUE!</v>
      </c>
      <c r="I4260" s="1">
        <v>1</v>
      </c>
    </row>
    <row r="4261" spans="1:9" x14ac:dyDescent="0.25">
      <c r="A4261" s="1" t="s">
        <v>14435</v>
      </c>
      <c r="B4261" s="1" t="s">
        <v>12561</v>
      </c>
      <c r="C4261" s="1" t="str">
        <f>IFERROR(VLOOKUP(B4261,'SB1'!$A$2:$B$999999,2,FALSE),"")</f>
        <v>TINTA PARA MADERA CETOL WENGE X 0,240</v>
      </c>
      <c r="D4261" s="1" t="s">
        <v>14445</v>
      </c>
      <c r="E4261" s="3">
        <f>IFERROR(VLOOKUP(B4261,'DA1'!$B$2:$D$999999,3,FALSE),"")</f>
      </c>
      <c r="F4261" s="1" t="str">
        <f>IFERROR(VLOOKUP(B4261,'SB1'!$A$2:$C$999999,3,FALSE),"")</f>
        <v>503</v>
      </c>
      <c r="G4261" s="3" t="e">
        <f t="shared" si="145"/>
        <v>#VALUE!</v>
      </c>
      <c r="H4261" s="3" t="e">
        <f t="shared" si="146"/>
        <v>#VALUE!</v>
      </c>
      <c r="I4261" s="1">
        <v>1</v>
      </c>
    </row>
    <row r="4262" spans="1:9" x14ac:dyDescent="0.25">
      <c r="A4262" s="1" t="s">
        <v>14435</v>
      </c>
      <c r="B4262" s="1" t="s">
        <v>12569</v>
      </c>
      <c r="C4262" s="1" t="str">
        <f>IFERROR(VLOOKUP(B4262,'SB1'!$A$2:$B$999999,2,FALSE),"")</f>
        <v>COLORANTE CONCENTRADO INDUSTRIAL TERSUAVE AMARILLO LIMON X 4</v>
      </c>
      <c r="D4262" s="1" t="s">
        <v>14487</v>
      </c>
      <c r="E4262" s="3">
        <f>IFERROR(VLOOKUP(B4262,'DA1'!$B$2:$D$999999,3,FALSE),"")</f>
      </c>
      <c r="F4262" s="1" t="str">
        <f>IFERROR(VLOOKUP(B4262,'SB1'!$A$2:$C$999999,3,FALSE),"")</f>
        <v>503</v>
      </c>
      <c r="G4262" s="3" t="e">
        <f t="shared" si="145"/>
        <v>#VALUE!</v>
      </c>
      <c r="H4262" s="3" t="e">
        <f t="shared" si="146"/>
        <v>#VALUE!</v>
      </c>
      <c r="I4262" s="1">
        <v>1</v>
      </c>
    </row>
    <row r="4263" spans="1:9" x14ac:dyDescent="0.25">
      <c r="A4263" s="1" t="s">
        <v>14435</v>
      </c>
      <c r="B4263" s="1" t="s">
        <v>12573</v>
      </c>
      <c r="C4263" s="1" t="str">
        <f>IFERROR(VLOOKUP(B4263,'SB1'!$A$2:$B$999999,2,FALSE),"")</f>
        <v>COLORANTE CONCENTRADO INDUSTRIAL TERSUAVE AMARILLO MEDIO X 4</v>
      </c>
      <c r="D4263" s="1" t="s">
        <v>14487</v>
      </c>
      <c r="E4263" s="3">
        <f>IFERROR(VLOOKUP(B4263,'DA1'!$B$2:$D$999999,3,FALSE),"")</f>
      </c>
      <c r="F4263" s="1" t="str">
        <f>IFERROR(VLOOKUP(B4263,'SB1'!$A$2:$C$999999,3,FALSE),"")</f>
        <v>503</v>
      </c>
      <c r="G4263" s="3" t="e">
        <f t="shared" si="145"/>
        <v>#VALUE!</v>
      </c>
      <c r="H4263" s="3" t="e">
        <f t="shared" si="146"/>
        <v>#VALUE!</v>
      </c>
      <c r="I4263" s="1">
        <v>1</v>
      </c>
    </row>
    <row r="4264" spans="1:9" x14ac:dyDescent="0.25">
      <c r="A4264" s="1" t="s">
        <v>14435</v>
      </c>
      <c r="B4264" s="1" t="s">
        <v>12577</v>
      </c>
      <c r="C4264" s="1" t="str">
        <f>IFERROR(VLOOKUP(B4264,'SB1'!$A$2:$B$999999,2,FALSE),"")</f>
        <v>COLORANTE CONCENTRADO INDUSTRIAL TERSUAVE AZUL FTALO X 4</v>
      </c>
      <c r="D4264" s="1" t="s">
        <v>14487</v>
      </c>
      <c r="E4264" s="3">
        <f>IFERROR(VLOOKUP(B4264,'DA1'!$B$2:$D$999999,3,FALSE),"")</f>
      </c>
      <c r="F4264" s="1" t="str">
        <f>IFERROR(VLOOKUP(B4264,'SB1'!$A$2:$C$999999,3,FALSE),"")</f>
        <v>503</v>
      </c>
      <c r="G4264" s="3" t="e">
        <f t="shared" si="145"/>
        <v>#VALUE!</v>
      </c>
      <c r="H4264" s="3" t="e">
        <f t="shared" si="146"/>
        <v>#VALUE!</v>
      </c>
      <c r="I4264" s="1">
        <v>1</v>
      </c>
    </row>
    <row r="4265" spans="1:9" x14ac:dyDescent="0.25">
      <c r="A4265" s="1" t="s">
        <v>14435</v>
      </c>
      <c r="B4265" s="1" t="s">
        <v>12581</v>
      </c>
      <c r="C4265" s="1" t="str">
        <f>IFERROR(VLOOKUP(B4265,'SB1'!$A$2:$B$999999,2,FALSE),"")</f>
        <v>COLORANTE CONCENTRADO INDUSTRIAL TERSUAVE BLANCO X 4</v>
      </c>
      <c r="D4265" s="1" t="s">
        <v>14487</v>
      </c>
      <c r="E4265" s="3">
        <f>IFERROR(VLOOKUP(B4265,'DA1'!$B$2:$D$999999,3,FALSE),"")</f>
      </c>
      <c r="F4265" s="1" t="str">
        <f>IFERROR(VLOOKUP(B4265,'SB1'!$A$2:$C$999999,3,FALSE),"")</f>
        <v>503</v>
      </c>
      <c r="G4265" s="3" t="e">
        <f t="shared" si="145"/>
        <v>#VALUE!</v>
      </c>
      <c r="H4265" s="3" t="e">
        <f t="shared" si="146"/>
        <v>#VALUE!</v>
      </c>
      <c r="I4265" s="1">
        <v>1</v>
      </c>
    </row>
    <row r="4266" spans="1:9" x14ac:dyDescent="0.25">
      <c r="A4266" s="1" t="s">
        <v>14435</v>
      </c>
      <c r="B4266" s="1" t="s">
        <v>12585</v>
      </c>
      <c r="C4266" s="1" t="str">
        <f>IFERROR(VLOOKUP(B4266,'SB1'!$A$2:$B$999999,2,FALSE),"")</f>
        <v>COLORANTE CONCENTRADO INDUSTRIAL TERSUAVE FERRITE AMARILLO X 4</v>
      </c>
      <c r="D4266" s="1" t="s">
        <v>14487</v>
      </c>
      <c r="E4266" s="3">
        <f>IFERROR(VLOOKUP(B4266,'DA1'!$B$2:$D$999999,3,FALSE),"")</f>
      </c>
      <c r="F4266" s="1" t="str">
        <f>IFERROR(VLOOKUP(B4266,'SB1'!$A$2:$C$999999,3,FALSE),"")</f>
        <v>503</v>
      </c>
      <c r="G4266" s="3" t="e">
        <f t="shared" si="145"/>
        <v>#VALUE!</v>
      </c>
      <c r="H4266" s="3" t="e">
        <f t="shared" si="146"/>
        <v>#VALUE!</v>
      </c>
      <c r="I4266" s="1">
        <v>1</v>
      </c>
    </row>
    <row r="4267" spans="1:9" x14ac:dyDescent="0.25">
      <c r="A4267" s="1" t="s">
        <v>14435</v>
      </c>
      <c r="B4267" s="1" t="s">
        <v>12589</v>
      </c>
      <c r="C4267" s="1" t="str">
        <f>IFERROR(VLOOKUP(B4267,'SB1'!$A$2:$B$999999,2,FALSE),"")</f>
        <v>COLORANTE CONCENTRADO INDUSTRIAL TERSUAVE FERRITE ROJO X 4</v>
      </c>
      <c r="D4267" s="1" t="s">
        <v>14487</v>
      </c>
      <c r="E4267" s="3">
        <f>IFERROR(VLOOKUP(B4267,'DA1'!$B$2:$D$999999,3,FALSE),"")</f>
      </c>
      <c r="F4267" s="1" t="str">
        <f>IFERROR(VLOOKUP(B4267,'SB1'!$A$2:$C$999999,3,FALSE),"")</f>
        <v>503</v>
      </c>
      <c r="G4267" s="3" t="e">
        <f t="shared" si="145"/>
        <v>#VALUE!</v>
      </c>
      <c r="H4267" s="3" t="e">
        <f t="shared" si="146"/>
        <v>#VALUE!</v>
      </c>
      <c r="I4267" s="1">
        <v>1</v>
      </c>
    </row>
    <row r="4268" spans="1:9" x14ac:dyDescent="0.25">
      <c r="A4268" s="1" t="s">
        <v>14435</v>
      </c>
      <c r="B4268" s="1" t="s">
        <v>12593</v>
      </c>
      <c r="C4268" s="1" t="str">
        <f>IFERROR(VLOOKUP(B4268,'SB1'!$A$2:$B$999999,2,FALSE),"")</f>
        <v>COLORANTE CONCENTRADO INDUSTRIAL TERSUAVE NARANJA X 4</v>
      </c>
      <c r="D4268" s="1" t="s">
        <v>14487</v>
      </c>
      <c r="E4268" s="3">
        <f>IFERROR(VLOOKUP(B4268,'DA1'!$B$2:$D$999999,3,FALSE),"")</f>
      </c>
      <c r="F4268" s="1" t="str">
        <f>IFERROR(VLOOKUP(B4268,'SB1'!$A$2:$C$999999,3,FALSE),"")</f>
        <v>503</v>
      </c>
      <c r="G4268" s="3" t="e">
        <f t="shared" si="145"/>
        <v>#VALUE!</v>
      </c>
      <c r="H4268" s="3" t="e">
        <f t="shared" si="146"/>
        <v>#VALUE!</v>
      </c>
      <c r="I4268" s="1">
        <v>1</v>
      </c>
    </row>
    <row r="4269" spans="1:9" x14ac:dyDescent="0.25">
      <c r="A4269" s="1" t="s">
        <v>14435</v>
      </c>
      <c r="B4269" s="1" t="s">
        <v>12597</v>
      </c>
      <c r="C4269" s="1" t="str">
        <f>IFERROR(VLOOKUP(B4269,'SB1'!$A$2:$B$999999,2,FALSE),"")</f>
        <v>COLORANTE CONCENTRADO INDUSTRIAL TERSUAVE NEGRO X 4</v>
      </c>
      <c r="D4269" s="1" t="s">
        <v>14487</v>
      </c>
      <c r="E4269" s="3">
        <f>IFERROR(VLOOKUP(B4269,'DA1'!$B$2:$D$999999,3,FALSE),"")</f>
      </c>
      <c r="F4269" s="1" t="str">
        <f>IFERROR(VLOOKUP(B4269,'SB1'!$A$2:$C$999999,3,FALSE),"")</f>
        <v>503</v>
      </c>
      <c r="G4269" s="3" t="e">
        <f t="shared" si="145"/>
        <v>#VALUE!</v>
      </c>
      <c r="H4269" s="3" t="e">
        <f t="shared" si="146"/>
        <v>#VALUE!</v>
      </c>
      <c r="I4269" s="1">
        <v>1</v>
      </c>
    </row>
    <row r="4270" spans="1:9" x14ac:dyDescent="0.25">
      <c r="A4270" s="1" t="s">
        <v>14435</v>
      </c>
      <c r="B4270" s="1" t="s">
        <v>12601</v>
      </c>
      <c r="C4270" s="1" t="str">
        <f>IFERROR(VLOOKUP(B4270,'SB1'!$A$2:$B$999999,2,FALSE),"")</f>
        <v>COLORANTE CONCENTRADO INDUSTRIAL TERSUAVE ROJO X 4</v>
      </c>
      <c r="D4270" s="1" t="s">
        <v>14487</v>
      </c>
      <c r="E4270" s="3">
        <f>IFERROR(VLOOKUP(B4270,'DA1'!$B$2:$D$999999,3,FALSE),"")</f>
      </c>
      <c r="F4270" s="1" t="str">
        <f>IFERROR(VLOOKUP(B4270,'SB1'!$A$2:$C$999999,3,FALSE),"")</f>
        <v>503</v>
      </c>
      <c r="G4270" s="3" t="e">
        <f t="shared" si="145"/>
        <v>#VALUE!</v>
      </c>
      <c r="H4270" s="3" t="e">
        <f t="shared" si="146"/>
        <v>#VALUE!</v>
      </c>
      <c r="I4270" s="1">
        <v>1</v>
      </c>
    </row>
    <row r="4271" spans="1:9" x14ac:dyDescent="0.25">
      <c r="A4271" s="1" t="s">
        <v>14435</v>
      </c>
      <c r="B4271" s="1" t="s">
        <v>12607</v>
      </c>
      <c r="C4271" s="1" t="str">
        <f>IFERROR(VLOOKUP(B4271,'SB1'!$A$2:$B$999999,2,FALSE),"")</f>
        <v>COLORANTE CONCENTRADO INDUSTRIAL TERSUAVE VERDE FTALO X 1</v>
      </c>
      <c r="D4271" s="1" t="s">
        <v>14487</v>
      </c>
      <c r="E4271" s="3">
        <f>IFERROR(VLOOKUP(B4271,'DA1'!$B$2:$D$999999,3,FALSE),"")</f>
      </c>
      <c r="F4271" s="1" t="str">
        <f>IFERROR(VLOOKUP(B4271,'SB1'!$A$2:$C$999999,3,FALSE),"")</f>
        <v>503</v>
      </c>
      <c r="G4271" s="3" t="e">
        <f t="shared" si="145"/>
        <v>#VALUE!</v>
      </c>
      <c r="H4271" s="3" t="e">
        <f t="shared" si="146"/>
        <v>#VALUE!</v>
      </c>
      <c r="I4271" s="1">
        <v>1</v>
      </c>
    </row>
    <row r="4272" spans="1:9" x14ac:dyDescent="0.25">
      <c r="A4272" s="1" t="s">
        <v>14435</v>
      </c>
      <c r="B4272" s="1" t="s">
        <v>12611</v>
      </c>
      <c r="C4272" s="1" t="str">
        <f>IFERROR(VLOOKUP(B4272,'SB1'!$A$2:$B$999999,2,FALSE),"")</f>
        <v>COLORANTE CONCENTRADO INDUSTRIAL TERSUAVE VIOLETA X 1</v>
      </c>
      <c r="D4272" s="1" t="s">
        <v>14487</v>
      </c>
      <c r="E4272" s="3">
        <f>IFERROR(VLOOKUP(B4272,'DA1'!$B$2:$D$999999,3,FALSE),"")</f>
      </c>
      <c r="F4272" s="1" t="str">
        <f>IFERROR(VLOOKUP(B4272,'SB1'!$A$2:$C$999999,3,FALSE),"")</f>
        <v>503</v>
      </c>
      <c r="G4272" s="3" t="e">
        <f t="shared" si="145"/>
        <v>#VALUE!</v>
      </c>
      <c r="H4272" s="3" t="e">
        <f t="shared" si="146"/>
        <v>#VALUE!</v>
      </c>
      <c r="I4272" s="1">
        <v>1</v>
      </c>
    </row>
    <row r="4273" spans="1:9" x14ac:dyDescent="0.25">
      <c r="A4273" s="1" t="s">
        <v>14435</v>
      </c>
      <c r="B4273" s="1" t="s">
        <v>12613</v>
      </c>
      <c r="C4273" s="1" t="str">
        <f>IFERROR(VLOOKUP(B4273,'SB1'!$A$2:$B$999999,2,FALSE),"")</f>
        <v>COLORANTE CONCENTRADO INDUSTRIAL TERSUAVE PASTA ST25 ALUMINIO X 20</v>
      </c>
      <c r="D4273" s="1" t="s">
        <v>14487</v>
      </c>
      <c r="E4273" s="3">
        <f>IFERROR(VLOOKUP(B4273,'DA1'!$B$2:$D$999999,3,FALSE),"")</f>
      </c>
      <c r="F4273" s="1" t="str">
        <f>IFERROR(VLOOKUP(B4273,'SB1'!$A$2:$C$999999,3,FALSE),"")</f>
        <v>503</v>
      </c>
      <c r="G4273" s="3" t="e">
        <f t="shared" si="145"/>
        <v>#VALUE!</v>
      </c>
      <c r="H4273" s="3" t="e">
        <f t="shared" si="146"/>
        <v>#VALUE!</v>
      </c>
      <c r="I4273" s="1">
        <v>1</v>
      </c>
    </row>
    <row r="4274" spans="1:9" x14ac:dyDescent="0.25">
      <c r="A4274" s="1" t="s">
        <v>14435</v>
      </c>
      <c r="B4274" s="1" t="s">
        <v>12615</v>
      </c>
      <c r="C4274" s="1" t="str">
        <f>IFERROR(VLOOKUP(B4274,'SB1'!$A$2:$B$999999,2,FALSE),"")</f>
        <v>COLORANTE CONCENTRADO INDUSTRIAL TERSUAVE PASTA ST25 N ALUMINIO X 20</v>
      </c>
      <c r="D4274" s="1" t="s">
        <v>14487</v>
      </c>
      <c r="E4274" s="3">
        <f>IFERROR(VLOOKUP(B4274,'DA1'!$B$2:$D$999999,3,FALSE),"")</f>
      </c>
      <c r="F4274" s="1" t="str">
        <f>IFERROR(VLOOKUP(B4274,'SB1'!$A$2:$C$999999,3,FALSE),"")</f>
        <v>503</v>
      </c>
      <c r="G4274" s="3" t="e">
        <f t="shared" si="145"/>
        <v>#VALUE!</v>
      </c>
      <c r="H4274" s="3" t="e">
        <f t="shared" si="146"/>
        <v>#VALUE!</v>
      </c>
      <c r="I4274" s="1">
        <v>1</v>
      </c>
    </row>
    <row r="4275" spans="1:9" x14ac:dyDescent="0.25">
      <c r="A4275" s="1" t="s">
        <v>14435</v>
      </c>
      <c r="B4275" s="1" t="s">
        <v>12617</v>
      </c>
      <c r="C4275" s="1" t="str">
        <f>IFERROR(VLOOKUP(B4275,'SB1'!$A$2:$B$999999,2,FALSE),"")</f>
        <v>COLORANTE CONCENTRADO INDUSTRIAL TERSUAVE PASTA FR SUPER ORO X 4</v>
      </c>
      <c r="D4275" s="1" t="s">
        <v>14487</v>
      </c>
      <c r="E4275" s="3">
        <f>IFERROR(VLOOKUP(B4275,'DA1'!$B$2:$D$999999,3,FALSE),"")</f>
      </c>
      <c r="F4275" s="1" t="str">
        <f>IFERROR(VLOOKUP(B4275,'SB1'!$A$2:$C$999999,3,FALSE),"")</f>
        <v>503</v>
      </c>
      <c r="G4275" s="3" t="e">
        <f t="shared" si="145"/>
        <v>#VALUE!</v>
      </c>
      <c r="H4275" s="3" t="e">
        <f t="shared" si="146"/>
        <v>#VALUE!</v>
      </c>
      <c r="I4275" s="1">
        <v>1</v>
      </c>
    </row>
    <row r="4276" spans="1:9" x14ac:dyDescent="0.25">
      <c r="A4276" s="1" t="s">
        <v>14435</v>
      </c>
      <c r="B4276" s="1" t="s">
        <v>12631</v>
      </c>
      <c r="C4276" s="1" t="str">
        <f>IFERROR(VLOOKUP(B4276,'SB1'!$A$2:$B$999999,2,FALSE),"")</f>
        <v>D8951.51 BASE TRANSPARENTE X 18</v>
      </c>
      <c r="D4276" s="1" t="s">
        <v>14446</v>
      </c>
      <c r="E4276" s="3">
        <f>IFERROR(VLOOKUP(B4276,'DA1'!$B$2:$D$999999,3,FALSE),"")</f>
      </c>
      <c r="F4276" s="1" t="str">
        <f>IFERROR(VLOOKUP(B4276,'SB1'!$A$2:$C$999999,3,FALSE),"")</f>
        <v>503</v>
      </c>
      <c r="G4276" s="3" t="e">
        <f t="shared" si="145"/>
        <v>#VALUE!</v>
      </c>
      <c r="H4276" s="3" t="e">
        <f t="shared" si="146"/>
        <v>#VALUE!</v>
      </c>
      <c r="I4276" s="1">
        <v>3</v>
      </c>
    </row>
    <row r="4277" spans="1:9" x14ac:dyDescent="0.25">
      <c r="A4277" s="1" t="s">
        <v>14435</v>
      </c>
      <c r="B4277" s="1" t="s">
        <v>12635</v>
      </c>
      <c r="C4277" s="1" t="str">
        <f>IFERROR(VLOOKUP(B4277,'SB1'!$A$2:$B$999999,2,FALSE),"")</f>
        <v>SELLADOR SILICONA NODULO NODUFIX ACETICO TRANSPARENTE X 0,050</v>
      </c>
      <c r="D4277" s="1" t="s">
        <v>14462</v>
      </c>
      <c r="E4277" s="3">
        <f>IFERROR(VLOOKUP(B4277,'DA1'!$B$2:$D$999999,3,FALSE),"")</f>
      </c>
      <c r="F4277" s="1" t="str">
        <f>IFERROR(VLOOKUP(B4277,'SB1'!$A$2:$C$999999,3,FALSE),"")</f>
        <v>503</v>
      </c>
      <c r="G4277" s="3" t="e">
        <f t="shared" si="145"/>
        <v>#VALUE!</v>
      </c>
      <c r="H4277" s="3" t="e">
        <f t="shared" si="146"/>
        <v>#VALUE!</v>
      </c>
      <c r="I4277" s="1">
        <v>2</v>
      </c>
    </row>
    <row r="4278" spans="1:9" x14ac:dyDescent="0.25">
      <c r="A4278" s="1" t="s">
        <v>14435</v>
      </c>
      <c r="B4278" s="1" t="s">
        <v>12751</v>
      </c>
      <c r="C4278" s="1" t="str">
        <f>IFERROR(VLOOKUP(B4278,'SB1'!$A$2:$B$999999,2,FALSE),"")</f>
        <v>SELLADOR SILICONA NODULO NODULASTIC 415 NEUTRO TRANSPARENTE X 0,280</v>
      </c>
      <c r="D4278" s="1" t="s">
        <v>14462</v>
      </c>
      <c r="E4278" s="3">
        <f>IFERROR(VLOOKUP(B4278,'DA1'!$B$2:$D$999999,3,FALSE),"")</f>
      </c>
      <c r="F4278" s="1" t="str">
        <f>IFERROR(VLOOKUP(B4278,'SB1'!$A$2:$C$999999,3,FALSE),"")</f>
        <v>503</v>
      </c>
      <c r="G4278" s="3" t="e">
        <f t="shared" si="145"/>
        <v>#VALUE!</v>
      </c>
      <c r="H4278" s="3" t="e">
        <f t="shared" si="146"/>
        <v>#VALUE!</v>
      </c>
      <c r="I4278" s="1">
        <v>2</v>
      </c>
    </row>
    <row r="4279" spans="1:9" x14ac:dyDescent="0.25">
      <c r="A4279" s="1" t="s">
        <v>14435</v>
      </c>
      <c r="B4279" s="1" t="s">
        <v>12755</v>
      </c>
      <c r="C4279" s="1" t="str">
        <f>IFERROR(VLOOKUP(B4279,'SB1'!$A$2:$B$999999,2,FALSE),"")</f>
        <v>SELLADOR SILICONA NODULO NODULASTIC 415 NEUTRO BLANCO X 0,280</v>
      </c>
      <c r="D4279" s="1" t="s">
        <v>14462</v>
      </c>
      <c r="E4279" s="3">
        <f>IFERROR(VLOOKUP(B4279,'DA1'!$B$2:$D$999999,3,FALSE),"")</f>
      </c>
      <c r="F4279" s="1" t="str">
        <f>IFERROR(VLOOKUP(B4279,'SB1'!$A$2:$C$999999,3,FALSE),"")</f>
        <v>503</v>
      </c>
      <c r="G4279" s="3" t="e">
        <f t="shared" si="145"/>
        <v>#VALUE!</v>
      </c>
      <c r="H4279" s="3" t="e">
        <f t="shared" si="146"/>
        <v>#VALUE!</v>
      </c>
      <c r="I4279" s="1">
        <v>2</v>
      </c>
    </row>
    <row r="4280" spans="1:9" x14ac:dyDescent="0.25">
      <c r="A4280" s="1" t="s">
        <v>14435</v>
      </c>
      <c r="B4280" s="1" t="s">
        <v>12757</v>
      </c>
      <c r="C4280" s="1" t="str">
        <f>IFERROR(VLOOKUP(B4280,'SB1'!$A$2:$B$999999,2,FALSE),"")</f>
        <v>SELLADOR PARA CHAPA NODULO ZINKGOTA SOLDADURA PLASTICA GRIS X 0,280</v>
      </c>
      <c r="D4280" s="1" t="s">
        <v>14462</v>
      </c>
      <c r="E4280" s="3">
        <f>IFERROR(VLOOKUP(B4280,'DA1'!$B$2:$D$999999,3,FALSE),"")</f>
      </c>
      <c r="F4280" s="1" t="str">
        <f>IFERROR(VLOOKUP(B4280,'SB1'!$A$2:$C$999999,3,FALSE),"")</f>
        <v>503</v>
      </c>
      <c r="G4280" s="3" t="e">
        <f t="shared" si="145"/>
        <v>#VALUE!</v>
      </c>
      <c r="H4280" s="3" t="e">
        <f t="shared" si="146"/>
        <v>#VALUE!</v>
      </c>
      <c r="I4280" s="1">
        <v>1</v>
      </c>
    </row>
    <row r="4281" spans="1:9" x14ac:dyDescent="0.25">
      <c r="A4281" s="1" t="s">
        <v>14435</v>
      </c>
      <c r="B4281" s="1" t="s">
        <v>12759</v>
      </c>
      <c r="C4281" s="1" t="str">
        <f>IFERROR(VLOOKUP(B4281,'SB1'!$A$2:$B$999999,2,FALSE),"")</f>
        <v>SELLADOR CARROCERIAS NODULO PINCELABLE BLANCO X 0,280</v>
      </c>
      <c r="D4281" s="1" t="s">
        <v>14462</v>
      </c>
      <c r="E4281" s="3">
        <f>IFERROR(VLOOKUP(B4281,'DA1'!$B$2:$D$999999,3,FALSE),"")</f>
      </c>
      <c r="F4281" s="1" t="str">
        <f>IFERROR(VLOOKUP(B4281,'SB1'!$A$2:$C$999999,3,FALSE),"")</f>
        <v>503</v>
      </c>
      <c r="G4281" s="3" t="e">
        <f t="shared" si="145"/>
        <v>#VALUE!</v>
      </c>
      <c r="H4281" s="3" t="e">
        <f t="shared" si="146"/>
        <v>#VALUE!</v>
      </c>
      <c r="I4281" s="1">
        <v>1</v>
      </c>
    </row>
    <row r="4282" spans="1:9" x14ac:dyDescent="0.25">
      <c r="A4282" s="1" t="s">
        <v>14435</v>
      </c>
      <c r="B4282" s="1" t="s">
        <v>12761</v>
      </c>
      <c r="C4282" s="1" t="str">
        <f>IFERROR(VLOOKUP(B4282,'SB1'!$A$2:$B$999999,2,FALSE),"")</f>
        <v>ESMALTE AL AGUA ALBALUX BRILLANTE BLANCO X  0,500</v>
      </c>
      <c r="D4282" s="1" t="s">
        <v>14441</v>
      </c>
      <c r="E4282" s="3">
        <f>IFERROR(VLOOKUP(B4282,'DA1'!$B$2:$D$999999,3,FALSE),"")</f>
      </c>
      <c r="F4282" s="1" t="str">
        <f>IFERROR(VLOOKUP(B4282,'SB1'!$A$2:$C$999999,3,FALSE),"")</f>
        <v>503</v>
      </c>
      <c r="G4282" s="3" t="e">
        <f t="shared" si="145"/>
        <v>#VALUE!</v>
      </c>
      <c r="H4282" s="3" t="e">
        <f t="shared" si="146"/>
        <v>#VALUE!</v>
      </c>
      <c r="I4282" s="1">
        <v>1</v>
      </c>
    </row>
    <row r="4283" spans="1:9" x14ac:dyDescent="0.25">
      <c r="A4283" s="1" t="s">
        <v>14435</v>
      </c>
      <c r="B4283" s="1" t="s">
        <v>12767</v>
      </c>
      <c r="C4283" s="1" t="str">
        <f>IFERROR(VLOOKUP(B4283,'SB1'!$A$2:$B$999999,2,FALSE),"")</f>
        <v>ESMALTE AL AGUA ALBALUX BRILLANTE NEGRO X 0,500</v>
      </c>
      <c r="D4283" s="1" t="s">
        <v>14441</v>
      </c>
      <c r="E4283" s="3">
        <f>IFERROR(VLOOKUP(B4283,'DA1'!$B$2:$D$999999,3,FALSE),"")</f>
      </c>
      <c r="F4283" s="1" t="str">
        <f>IFERROR(VLOOKUP(B4283,'SB1'!$A$2:$C$999999,3,FALSE),"")</f>
        <v>503</v>
      </c>
      <c r="G4283" s="3" t="e">
        <f t="shared" si="145"/>
        <v>#VALUE!</v>
      </c>
      <c r="H4283" s="3" t="e">
        <f t="shared" si="146"/>
        <v>#VALUE!</v>
      </c>
      <c r="I4283" s="1">
        <v>1</v>
      </c>
    </row>
    <row r="4284" spans="1:9" x14ac:dyDescent="0.25">
      <c r="A4284" s="1" t="s">
        <v>14435</v>
      </c>
      <c r="B4284" s="1" t="s">
        <v>12777</v>
      </c>
      <c r="C4284" s="1" t="str">
        <f>IFERROR(VLOOKUP(B4284,'SB1'!$A$2:$B$999999,2,FALSE),"")</f>
        <v>SELLADOR CARROCERIAS NODULO PINCELABLE GRIS X 0,500</v>
      </c>
      <c r="D4284" s="1" t="s">
        <v>14462</v>
      </c>
      <c r="E4284" s="3">
        <f>IFERROR(VLOOKUP(B4284,'DA1'!$B$2:$D$999999,3,FALSE),"")</f>
      </c>
      <c r="F4284" s="1" t="str">
        <f>IFERROR(VLOOKUP(B4284,'SB1'!$A$2:$C$999999,3,FALSE),"")</f>
        <v>503</v>
      </c>
      <c r="G4284" s="3" t="e">
        <f t="shared" si="145"/>
        <v>#VALUE!</v>
      </c>
      <c r="H4284" s="3" t="e">
        <f t="shared" si="146"/>
        <v>#VALUE!</v>
      </c>
      <c r="I4284" s="1">
        <v>1</v>
      </c>
    </row>
    <row r="4285" spans="1:9" x14ac:dyDescent="0.25">
      <c r="A4285" s="1" t="s">
        <v>14435</v>
      </c>
      <c r="B4285" s="1" t="s">
        <v>12827</v>
      </c>
      <c r="C4285" s="1" t="str">
        <f>IFERROR(VLOOKUP(B4285,'SB1'!$A$2:$B$999999,2,FALSE),"")</f>
        <v>ESMALTE AL AGUA ALBALUX BRILLANTE BLANCO X  1</v>
      </c>
      <c r="D4285" s="1" t="s">
        <v>14441</v>
      </c>
      <c r="E4285" s="3">
        <f>IFERROR(VLOOKUP(B4285,'DA1'!$B$2:$D$999999,3,FALSE),"")</f>
      </c>
      <c r="F4285" s="1" t="str">
        <f>IFERROR(VLOOKUP(B4285,'SB1'!$A$2:$C$999999,3,FALSE),"")</f>
        <v>503</v>
      </c>
      <c r="G4285" s="3" t="e">
        <f t="shared" si="145"/>
        <v>#VALUE!</v>
      </c>
      <c r="H4285" s="3" t="e">
        <f t="shared" si="146"/>
        <v>#VALUE!</v>
      </c>
      <c r="I4285" s="1">
        <v>1</v>
      </c>
    </row>
    <row r="4286" spans="1:9" x14ac:dyDescent="0.25">
      <c r="A4286" s="1" t="s">
        <v>14435</v>
      </c>
      <c r="B4286" s="1" t="s">
        <v>12833</v>
      </c>
      <c r="C4286" s="1" t="str">
        <f>IFERROR(VLOOKUP(B4286,'SB1'!$A$2:$B$999999,2,FALSE),"")</f>
        <v>ESMALTE AL AGUA ALBALUX BRILLANTE NEGRO X 1</v>
      </c>
      <c r="D4286" s="1" t="s">
        <v>14441</v>
      </c>
      <c r="E4286" s="3">
        <f>IFERROR(VLOOKUP(B4286,'DA1'!$B$2:$D$999999,3,FALSE),"")</f>
      </c>
      <c r="F4286" s="1" t="str">
        <f>IFERROR(VLOOKUP(B4286,'SB1'!$A$2:$C$999999,3,FALSE),"")</f>
        <v>503</v>
      </c>
      <c r="G4286" s="3" t="e">
        <f t="shared" si="145"/>
        <v>#VALUE!</v>
      </c>
      <c r="H4286" s="3" t="e">
        <f t="shared" si="146"/>
        <v>#VALUE!</v>
      </c>
      <c r="I4286" s="1">
        <v>1</v>
      </c>
    </row>
    <row r="4287" spans="1:9" x14ac:dyDescent="0.25">
      <c r="A4287" s="1" t="s">
        <v>14435</v>
      </c>
      <c r="B4287" s="1" t="s">
        <v>12843</v>
      </c>
      <c r="C4287" s="1" t="str">
        <f>IFERROR(VLOOKUP(B4287,'SB1'!$A$2:$B$999999,2,FALSE),"")</f>
        <v>SELLADOR DE ABERTURAS NODULO BLANCO X 0,420</v>
      </c>
      <c r="D4287" s="1" t="s">
        <v>14462</v>
      </c>
      <c r="E4287" s="3">
        <f>IFERROR(VLOOKUP(B4287,'DA1'!$B$2:$D$999999,3,FALSE),"")</f>
      </c>
      <c r="F4287" s="1" t="str">
        <f>IFERROR(VLOOKUP(B4287,'SB1'!$A$2:$C$999999,3,FALSE),"")</f>
        <v>503</v>
      </c>
      <c r="G4287" s="3" t="e">
        <f t="shared" si="145"/>
        <v>#VALUE!</v>
      </c>
      <c r="H4287" s="3" t="e">
        <f t="shared" si="146"/>
        <v>#VALUE!</v>
      </c>
      <c r="I4287" s="1">
        <v>1</v>
      </c>
    </row>
    <row r="4288" spans="1:9" x14ac:dyDescent="0.25">
      <c r="A4288" s="1" t="s">
        <v>14435</v>
      </c>
      <c r="B4288" s="1" t="s">
        <v>12859</v>
      </c>
      <c r="C4288" s="1" t="str">
        <f>IFERROR(VLOOKUP(B4288,'SB1'!$A$2:$B$999999,2,FALSE),"")</f>
        <v>PROTECTOR SUBCARROCERIA NODULO UNDERLASTIC ANTIRRUIDO/SUBCARROC SECADO RAPIDO NEGRO X 1</v>
      </c>
      <c r="D4288" s="1" t="s">
        <v>14462</v>
      </c>
      <c r="E4288" s="3">
        <f>IFERROR(VLOOKUP(B4288,'DA1'!$B$2:$D$999999,3,FALSE),"")</f>
      </c>
      <c r="F4288" s="1" t="str">
        <f>IFERROR(VLOOKUP(B4288,'SB1'!$A$2:$C$999999,3,FALSE),"")</f>
        <v>503</v>
      </c>
      <c r="G4288" s="3" t="e">
        <f t="shared" si="145"/>
        <v>#VALUE!</v>
      </c>
      <c r="H4288" s="3" t="e">
        <f t="shared" si="146"/>
        <v>#VALUE!</v>
      </c>
      <c r="I4288" s="1">
        <v>1</v>
      </c>
    </row>
    <row r="4289" spans="1:9" x14ac:dyDescent="0.25">
      <c r="A4289" s="1" t="s">
        <v>14435</v>
      </c>
      <c r="B4289" s="1" t="s">
        <v>12861</v>
      </c>
      <c r="C4289" s="1" t="str">
        <f>IFERROR(VLOOKUP(B4289,'SB1'!$A$2:$B$999999,2,FALSE),"")</f>
        <v>ESMALTE AL AGUA ALBALUX BRILLANTE BLANCO X  4</v>
      </c>
      <c r="D4289" s="1" t="s">
        <v>14441</v>
      </c>
      <c r="E4289" s="3">
        <f>IFERROR(VLOOKUP(B4289,'DA1'!$B$2:$D$999999,3,FALSE),"")</f>
      </c>
      <c r="F4289" s="1" t="str">
        <f>IFERROR(VLOOKUP(B4289,'SB1'!$A$2:$C$999999,3,FALSE),"")</f>
        <v>503</v>
      </c>
      <c r="G4289" s="3" t="e">
        <f t="shared" si="145"/>
        <v>#VALUE!</v>
      </c>
      <c r="H4289" s="3" t="e">
        <f t="shared" si="146"/>
        <v>#VALUE!</v>
      </c>
      <c r="I4289" s="1">
        <v>1</v>
      </c>
    </row>
    <row r="4290" spans="1:9" x14ac:dyDescent="0.25">
      <c r="A4290" s="1" t="s">
        <v>14435</v>
      </c>
      <c r="B4290" s="1" t="s">
        <v>12867</v>
      </c>
      <c r="C4290" s="1" t="str">
        <f>IFERROR(VLOOKUP(B4290,'SB1'!$A$2:$B$999999,2,FALSE),"")</f>
        <v>ESMALTE AL AGUA ALBALUX BRILLANTE NEGRO X 4</v>
      </c>
      <c r="D4290" s="1" t="s">
        <v>14441</v>
      </c>
      <c r="E4290" s="3">
        <f>IFERROR(VLOOKUP(B4290,'DA1'!$B$2:$D$999999,3,FALSE),"")</f>
      </c>
      <c r="F4290" s="1" t="str">
        <f>IFERROR(VLOOKUP(B4290,'SB1'!$A$2:$C$999999,3,FALSE),"")</f>
        <v>503</v>
      </c>
      <c r="G4290" s="3" t="e">
        <f t="shared" si="145"/>
        <v>#VALUE!</v>
      </c>
      <c r="H4290" s="3" t="e">
        <f t="shared" si="146"/>
        <v>#VALUE!</v>
      </c>
      <c r="I4290" s="1">
        <v>1</v>
      </c>
    </row>
    <row r="4291" spans="1:9" x14ac:dyDescent="0.25">
      <c r="A4291" s="1" t="s">
        <v>14435</v>
      </c>
      <c r="B4291" s="1" t="s">
        <v>12875</v>
      </c>
      <c r="C4291" s="1" t="str">
        <f>IFERROR(VLOOKUP(B4291,'SB1'!$A$2:$B$999999,2,FALSE),"")</f>
        <v>SELLADOR SILICONA NODULO NODUFIX ACETICO TRANSPARENTE X 0,280</v>
      </c>
      <c r="D4291" s="1" t="s">
        <v>14462</v>
      </c>
      <c r="E4291" s="3">
        <f>IFERROR(VLOOKUP(B4291,'DA1'!$B$2:$D$999999,3,FALSE),"")</f>
      </c>
      <c r="F4291" s="1" t="str">
        <f>IFERROR(VLOOKUP(B4291,'SB1'!$A$2:$C$999999,3,FALSE),"")</f>
        <v>503</v>
      </c>
      <c r="G4291" s="3" t="e">
        <f t="shared" ref="G4291:G4354" si="147">E4291*1.04</f>
        <v>#VALUE!</v>
      </c>
      <c r="H4291" s="3" t="e">
        <f t="shared" si="146"/>
        <v>#VALUE!</v>
      </c>
      <c r="I4291" s="1">
        <v>2</v>
      </c>
    </row>
    <row r="4292" spans="1:9" x14ac:dyDescent="0.25">
      <c r="A4292" s="1" t="s">
        <v>14435</v>
      </c>
      <c r="B4292" s="1" t="s">
        <v>12880</v>
      </c>
      <c r="C4292" s="1" t="str">
        <f>IFERROR(VLOOKUP(B4292,'SB1'!$A$2:$B$999999,2,FALSE),"")</f>
        <v>ESMALTE EPOXI ALBA BCO X 1</v>
      </c>
      <c r="D4292" s="1" t="s">
        <v>14489</v>
      </c>
      <c r="E4292" s="3">
        <f>IFERROR(VLOOKUP(B4292,'DA1'!$B$2:$D$999999,3,FALSE),"")</f>
      </c>
      <c r="F4292" s="1" t="str">
        <f>IFERROR(VLOOKUP(B4292,'SB1'!$A$2:$C$999999,3,FALSE),"")</f>
        <v>503</v>
      </c>
      <c r="G4292" s="3" t="e">
        <f t="shared" si="147"/>
        <v>#VALUE!</v>
      </c>
      <c r="H4292" s="3" t="e">
        <f t="shared" ref="H4292:H4355" si="148">G4292*1.21</f>
        <v>#VALUE!</v>
      </c>
      <c r="I4292" s="1">
        <v>1</v>
      </c>
    </row>
    <row r="4293" spans="1:9" x14ac:dyDescent="0.25">
      <c r="A4293" s="1" t="s">
        <v>14435</v>
      </c>
      <c r="B4293" s="1" t="s">
        <v>12882</v>
      </c>
      <c r="C4293" s="1" t="str">
        <f>IFERROR(VLOOKUP(B4293,'SB1'!$A$2:$B$999999,2,FALSE),"")</f>
        <v>ESMALTE AL AGUA ALBALUX BRILLANTE BLANCO X 20</v>
      </c>
      <c r="D4293" s="1" t="s">
        <v>14441</v>
      </c>
      <c r="E4293" s="3">
        <f>IFERROR(VLOOKUP(B4293,'DA1'!$B$2:$D$999999,3,FALSE),"")</f>
      </c>
      <c r="F4293" s="1" t="str">
        <f>IFERROR(VLOOKUP(B4293,'SB1'!$A$2:$C$999999,3,FALSE),"")</f>
        <v>503</v>
      </c>
      <c r="G4293" s="3" t="e">
        <f t="shared" si="147"/>
        <v>#VALUE!</v>
      </c>
      <c r="H4293" s="3" t="e">
        <f t="shared" si="148"/>
        <v>#VALUE!</v>
      </c>
      <c r="I4293" s="1">
        <v>1</v>
      </c>
    </row>
    <row r="4294" spans="1:9" x14ac:dyDescent="0.25">
      <c r="A4294" s="1" t="s">
        <v>14435</v>
      </c>
      <c r="B4294" s="1" t="s">
        <v>12888</v>
      </c>
      <c r="C4294" s="1" t="str">
        <f>IFERROR(VLOOKUP(B4294,'SB1'!$A$2:$B$999999,2,FALSE),"")</f>
        <v>DILUYENTE AGUARRAS PARA ESMALTE X   0,900 (PET)</v>
      </c>
      <c r="D4294" s="1" t="s">
        <v>14472</v>
      </c>
      <c r="E4294" s="3">
        <f>IFERROR(VLOOKUP(B4294,'DA1'!$B$2:$D$999999,3,FALSE),"")</f>
      </c>
      <c r="F4294" s="1" t="str">
        <f>IFERROR(VLOOKUP(B4294,'SB1'!$A$2:$C$999999,3,FALSE),"")</f>
        <v>503</v>
      </c>
      <c r="G4294" s="3" t="e">
        <f t="shared" si="147"/>
        <v>#VALUE!</v>
      </c>
      <c r="H4294" s="3" t="e">
        <f t="shared" si="148"/>
        <v>#VALUE!</v>
      </c>
      <c r="I4294" s="1">
        <v>1</v>
      </c>
    </row>
    <row r="4295" spans="1:9" x14ac:dyDescent="0.25">
      <c r="A4295" s="1" t="s">
        <v>14435</v>
      </c>
      <c r="B4295" s="1" t="s">
        <v>12904</v>
      </c>
      <c r="C4295" s="1" t="str">
        <f>IFERROR(VLOOKUP(B4295,'SB1'!$A$2:$B$999999,2,FALSE),"")</f>
        <v>DILUYENTE AGUARRAS PARA ESMALTE X 200</v>
      </c>
      <c r="D4295" s="1" t="s">
        <v>14472</v>
      </c>
      <c r="E4295" s="3">
        <f>IFERROR(VLOOKUP(B4295,'DA1'!$B$2:$D$999999,3,FALSE),"")</f>
      </c>
      <c r="F4295" s="1" t="str">
        <f>IFERROR(VLOOKUP(B4295,'SB1'!$A$2:$C$999999,3,FALSE),"")</f>
        <v>503</v>
      </c>
      <c r="G4295" s="3" t="e">
        <f t="shared" si="147"/>
        <v>#VALUE!</v>
      </c>
      <c r="H4295" s="3" t="e">
        <f t="shared" si="148"/>
        <v>#VALUE!</v>
      </c>
      <c r="I4295" s="1">
        <v>1</v>
      </c>
    </row>
    <row r="4296" spans="1:9" x14ac:dyDescent="0.25">
      <c r="A4296" s="1" t="s">
        <v>14435</v>
      </c>
      <c r="B4296" s="1" t="s">
        <v>12908</v>
      </c>
      <c r="C4296" s="1" t="str">
        <f>IFERROR(VLOOKUP(B4296,'SB1'!$A$2:$B$999999,2,FALSE),"")</f>
        <v>THINNER DIXILINA VERTIENTE UNIVERSAL 702 X 18</v>
      </c>
      <c r="D4296" s="1" t="s">
        <v>14510</v>
      </c>
      <c r="E4296" s="3">
        <f>IFERROR(VLOOKUP(B4296,'DA1'!$B$2:$D$999999,3,FALSE),"")</f>
      </c>
      <c r="F4296" s="1" t="str">
        <f>IFERROR(VLOOKUP(B4296,'SB1'!$A$2:$C$999999,3,FALSE),"")</f>
        <v>503</v>
      </c>
      <c r="G4296" s="3" t="e">
        <f t="shared" si="147"/>
        <v>#VALUE!</v>
      </c>
      <c r="H4296" s="3" t="e">
        <f t="shared" si="148"/>
        <v>#VALUE!</v>
      </c>
      <c r="I4296" s="1">
        <v>1</v>
      </c>
    </row>
    <row r="4297" spans="1:9" x14ac:dyDescent="0.25">
      <c r="A4297" s="1" t="s">
        <v>14435</v>
      </c>
      <c r="B4297" s="1" t="s">
        <v>12910</v>
      </c>
      <c r="C4297" s="1" t="str">
        <f>IFERROR(VLOOKUP(B4297,'SB1'!$A$2:$B$999999,2,FALSE),"")</f>
        <v>THINNER STANDARD X   0,900 (PET)</v>
      </c>
      <c r="D4297" s="1" t="s">
        <v>14472</v>
      </c>
      <c r="E4297" s="3">
        <f>IFERROR(VLOOKUP(B4297,'DA1'!$B$2:$D$999999,3,FALSE),"")</f>
      </c>
      <c r="F4297" s="1" t="str">
        <f>IFERROR(VLOOKUP(B4297,'SB1'!$A$2:$C$999999,3,FALSE),"")</f>
        <v>503</v>
      </c>
      <c r="G4297" s="3" t="e">
        <f t="shared" si="147"/>
        <v>#VALUE!</v>
      </c>
      <c r="H4297" s="3" t="e">
        <f t="shared" si="148"/>
        <v>#VALUE!</v>
      </c>
      <c r="I4297" s="1">
        <v>1</v>
      </c>
    </row>
    <row r="4298" spans="1:9" x14ac:dyDescent="0.25">
      <c r="A4298" s="1" t="s">
        <v>14435</v>
      </c>
      <c r="B4298" s="1" t="s">
        <v>12912</v>
      </c>
      <c r="C4298" s="1" t="str">
        <f>IFERROR(VLOOKUP(B4298,'SB1'!$A$2:$B$999999,2,FALSE),"")</f>
        <v>THINNER SELLO DE ORO X   0,900 (PET)</v>
      </c>
      <c r="D4298" s="1" t="s">
        <v>14472</v>
      </c>
      <c r="E4298" s="3">
        <f>IFERROR(VLOOKUP(B4298,'DA1'!$B$2:$D$999999,3,FALSE),"")</f>
      </c>
      <c r="F4298" s="1" t="str">
        <f>IFERROR(VLOOKUP(B4298,'SB1'!$A$2:$C$999999,3,FALSE),"")</f>
        <v>503</v>
      </c>
      <c r="G4298" s="3" t="e">
        <f t="shared" si="147"/>
        <v>#VALUE!</v>
      </c>
      <c r="H4298" s="3" t="e">
        <f t="shared" si="148"/>
        <v>#VALUE!</v>
      </c>
      <c r="I4298" s="1">
        <v>1</v>
      </c>
    </row>
    <row r="4299" spans="1:9" x14ac:dyDescent="0.25">
      <c r="A4299" s="1" t="s">
        <v>14435</v>
      </c>
      <c r="B4299" s="1" t="s">
        <v>12916</v>
      </c>
      <c r="C4299" s="1" t="str">
        <f>IFERROR(VLOOKUP(B4299,'SB1'!$A$2:$B$999999,2,FALSE),"")</f>
        <v>IMPREGNANTE PARA MADERA CETOL CLASSIC BRILLANTE CAOBA X  1</v>
      </c>
      <c r="D4299" s="1" t="s">
        <v>14445</v>
      </c>
      <c r="E4299" s="3">
        <f>IFERROR(VLOOKUP(B4299,'DA1'!$B$2:$D$999999,3,FALSE),"")</f>
      </c>
      <c r="F4299" s="1" t="str">
        <f>IFERROR(VLOOKUP(B4299,'SB1'!$A$2:$C$999999,3,FALSE),"")</f>
        <v>503</v>
      </c>
      <c r="G4299" s="3" t="e">
        <f t="shared" si="147"/>
        <v>#VALUE!</v>
      </c>
      <c r="H4299" s="3" t="e">
        <f t="shared" si="148"/>
        <v>#VALUE!</v>
      </c>
      <c r="I4299" s="1">
        <v>1</v>
      </c>
    </row>
    <row r="4300" spans="1:9" x14ac:dyDescent="0.25">
      <c r="A4300" s="1" t="s">
        <v>14435</v>
      </c>
      <c r="B4300" s="1" t="s">
        <v>12918</v>
      </c>
      <c r="C4300" s="1" t="str">
        <f>IFERROR(VLOOKUP(B4300,'SB1'!$A$2:$B$999999,2,FALSE),"")</f>
        <v>IMPREGNANTE PARA MADERA CETOL CLASSIC BRILLANTE CEDRO X  1</v>
      </c>
      <c r="D4300" s="1" t="s">
        <v>14445</v>
      </c>
      <c r="E4300" s="3">
        <f>IFERROR(VLOOKUP(B4300,'DA1'!$B$2:$D$999999,3,FALSE),"")</f>
      </c>
      <c r="F4300" s="1" t="str">
        <f>IFERROR(VLOOKUP(B4300,'SB1'!$A$2:$C$999999,3,FALSE),"")</f>
        <v>503</v>
      </c>
      <c r="G4300" s="3" t="e">
        <f t="shared" si="147"/>
        <v>#VALUE!</v>
      </c>
      <c r="H4300" s="3" t="e">
        <f t="shared" si="148"/>
        <v>#VALUE!</v>
      </c>
      <c r="I4300" s="1">
        <v>1</v>
      </c>
    </row>
    <row r="4301" spans="1:9" x14ac:dyDescent="0.25">
      <c r="A4301" s="1" t="s">
        <v>14435</v>
      </c>
      <c r="B4301" s="1" t="s">
        <v>12920</v>
      </c>
      <c r="C4301" s="1" t="str">
        <f>IFERROR(VLOOKUP(B4301,'SB1'!$A$2:$B$999999,2,FALSE),"")</f>
        <v>IMPREGNANTE PARA MADERA CETOL CLASSIC BRILLANTE CRISTAL X  1</v>
      </c>
      <c r="D4301" s="1" t="s">
        <v>14445</v>
      </c>
      <c r="E4301" s="3">
        <f>IFERROR(VLOOKUP(B4301,'DA1'!$B$2:$D$999999,3,FALSE),"")</f>
      </c>
      <c r="F4301" s="1" t="str">
        <f>IFERROR(VLOOKUP(B4301,'SB1'!$A$2:$C$999999,3,FALSE),"")</f>
        <v>503</v>
      </c>
      <c r="G4301" s="3" t="e">
        <f t="shared" si="147"/>
        <v>#VALUE!</v>
      </c>
      <c r="H4301" s="3" t="e">
        <f t="shared" si="148"/>
        <v>#VALUE!</v>
      </c>
      <c r="I4301" s="1">
        <v>1</v>
      </c>
    </row>
    <row r="4302" spans="1:9" x14ac:dyDescent="0.25">
      <c r="A4302" s="1" t="s">
        <v>14435</v>
      </c>
      <c r="B4302" s="1" t="s">
        <v>12922</v>
      </c>
      <c r="C4302" s="1" t="str">
        <f>IFERROR(VLOOKUP(B4302,'SB1'!$A$2:$B$999999,2,FALSE),"")</f>
        <v>IMPREGNANTE PARA MADERA CETOL CLASSIC BRILLANTE NATURAL X  1</v>
      </c>
      <c r="D4302" s="1" t="s">
        <v>14445</v>
      </c>
      <c r="E4302" s="3">
        <f>IFERROR(VLOOKUP(B4302,'DA1'!$B$2:$D$999999,3,FALSE),"")</f>
      </c>
      <c r="F4302" s="1" t="str">
        <f>IFERROR(VLOOKUP(B4302,'SB1'!$A$2:$C$999999,3,FALSE),"")</f>
        <v>503</v>
      </c>
      <c r="G4302" s="3" t="e">
        <f t="shared" si="147"/>
        <v>#VALUE!</v>
      </c>
      <c r="H4302" s="3" t="e">
        <f t="shared" si="148"/>
        <v>#VALUE!</v>
      </c>
      <c r="I4302" s="1">
        <v>1</v>
      </c>
    </row>
    <row r="4303" spans="1:9" x14ac:dyDescent="0.25">
      <c r="A4303" s="1" t="s">
        <v>14435</v>
      </c>
      <c r="B4303" s="1" t="s">
        <v>12924</v>
      </c>
      <c r="C4303" s="1" t="str">
        <f>IFERROR(VLOOKUP(B4303,'SB1'!$A$2:$B$999999,2,FALSE),"")</f>
        <v>IMPREGNANTE PARA MADERA CETOL CLASSIC BRILLANTE NOGAL X  1</v>
      </c>
      <c r="D4303" s="1" t="s">
        <v>14445</v>
      </c>
      <c r="E4303" s="3">
        <f>IFERROR(VLOOKUP(B4303,'DA1'!$B$2:$D$999999,3,FALSE),"")</f>
      </c>
      <c r="F4303" s="1" t="str">
        <f>IFERROR(VLOOKUP(B4303,'SB1'!$A$2:$C$999999,3,FALSE),"")</f>
        <v>503</v>
      </c>
      <c r="G4303" s="3" t="e">
        <f t="shared" si="147"/>
        <v>#VALUE!</v>
      </c>
      <c r="H4303" s="3" t="e">
        <f t="shared" si="148"/>
        <v>#VALUE!</v>
      </c>
      <c r="I4303" s="1">
        <v>1</v>
      </c>
    </row>
    <row r="4304" spans="1:9" x14ac:dyDescent="0.25">
      <c r="A4304" s="1" t="s">
        <v>14435</v>
      </c>
      <c r="B4304" s="1" t="s">
        <v>12926</v>
      </c>
      <c r="C4304" s="1" t="str">
        <f>IFERROR(VLOOKUP(B4304,'SB1'!$A$2:$B$999999,2,FALSE),"")</f>
        <v>IMPREGNANTE PARA MADERA CETOL CLASSIC BRILLANTE ROBLE X  1</v>
      </c>
      <c r="D4304" s="1" t="s">
        <v>14445</v>
      </c>
      <c r="E4304" s="3">
        <f>IFERROR(VLOOKUP(B4304,'DA1'!$B$2:$D$999999,3,FALSE),"")</f>
      </c>
      <c r="F4304" s="1" t="str">
        <f>IFERROR(VLOOKUP(B4304,'SB1'!$A$2:$C$999999,3,FALSE),"")</f>
        <v>503</v>
      </c>
      <c r="G4304" s="3" t="e">
        <f t="shared" si="147"/>
        <v>#VALUE!</v>
      </c>
      <c r="H4304" s="3" t="e">
        <f t="shared" si="148"/>
        <v>#VALUE!</v>
      </c>
      <c r="I4304" s="1">
        <v>1</v>
      </c>
    </row>
    <row r="4305" spans="1:9" x14ac:dyDescent="0.25">
      <c r="A4305" s="1" t="s">
        <v>14435</v>
      </c>
      <c r="B4305" s="1" t="s">
        <v>12930</v>
      </c>
      <c r="C4305" s="1" t="str">
        <f>IFERROR(VLOOKUP(B4305,'SB1'!$A$2:$B$999999,2,FALSE),"")</f>
        <v>IMPREGNANTE PARA MADERA CETOL CLASSIC BRILLANTE CAOBA X  4</v>
      </c>
      <c r="D4305" s="1" t="s">
        <v>14445</v>
      </c>
      <c r="E4305" s="3">
        <f>IFERROR(VLOOKUP(B4305,'DA1'!$B$2:$D$999999,3,FALSE),"")</f>
      </c>
      <c r="F4305" s="1" t="str">
        <f>IFERROR(VLOOKUP(B4305,'SB1'!$A$2:$C$999999,3,FALSE),"")</f>
        <v>503</v>
      </c>
      <c r="G4305" s="3" t="e">
        <f t="shared" si="147"/>
        <v>#VALUE!</v>
      </c>
      <c r="H4305" s="3" t="e">
        <f t="shared" si="148"/>
        <v>#VALUE!</v>
      </c>
      <c r="I4305" s="1">
        <v>1</v>
      </c>
    </row>
    <row r="4306" spans="1:9" x14ac:dyDescent="0.25">
      <c r="A4306" s="1" t="s">
        <v>14435</v>
      </c>
      <c r="B4306" s="1" t="s">
        <v>12932</v>
      </c>
      <c r="C4306" s="1" t="str">
        <f>IFERROR(VLOOKUP(B4306,'SB1'!$A$2:$B$999999,2,FALSE),"")</f>
        <v>IMPREGNANTE PARA MADERA CETOL CLASSIC BRILLANTE CEDRO X  4</v>
      </c>
      <c r="D4306" s="1" t="s">
        <v>14445</v>
      </c>
      <c r="E4306" s="3">
        <f>IFERROR(VLOOKUP(B4306,'DA1'!$B$2:$D$999999,3,FALSE),"")</f>
      </c>
      <c r="F4306" s="1" t="str">
        <f>IFERROR(VLOOKUP(B4306,'SB1'!$A$2:$C$999999,3,FALSE),"")</f>
        <v>503</v>
      </c>
      <c r="G4306" s="3" t="e">
        <f t="shared" si="147"/>
        <v>#VALUE!</v>
      </c>
      <c r="H4306" s="3" t="e">
        <f t="shared" si="148"/>
        <v>#VALUE!</v>
      </c>
      <c r="I4306" s="1">
        <v>1</v>
      </c>
    </row>
    <row r="4307" spans="1:9" x14ac:dyDescent="0.25">
      <c r="A4307" s="1" t="s">
        <v>14435</v>
      </c>
      <c r="B4307" s="1" t="s">
        <v>12934</v>
      </c>
      <c r="C4307" s="1" t="str">
        <f>IFERROR(VLOOKUP(B4307,'SB1'!$A$2:$B$999999,2,FALSE),"")</f>
        <v>IMPREGNANTE PARA MADERA CETOL CLASSIC BRILLANTE CRISTAL X  4</v>
      </c>
      <c r="D4307" s="1" t="s">
        <v>14445</v>
      </c>
      <c r="E4307" s="3">
        <f>IFERROR(VLOOKUP(B4307,'DA1'!$B$2:$D$999999,3,FALSE),"")</f>
      </c>
      <c r="F4307" s="1" t="str">
        <f>IFERROR(VLOOKUP(B4307,'SB1'!$A$2:$C$999999,3,FALSE),"")</f>
        <v>503</v>
      </c>
      <c r="G4307" s="3" t="e">
        <f t="shared" si="147"/>
        <v>#VALUE!</v>
      </c>
      <c r="H4307" s="3" t="e">
        <f t="shared" si="148"/>
        <v>#VALUE!</v>
      </c>
      <c r="I4307" s="1">
        <v>1</v>
      </c>
    </row>
    <row r="4308" spans="1:9" x14ac:dyDescent="0.25">
      <c r="A4308" s="1" t="s">
        <v>14435</v>
      </c>
      <c r="B4308" s="1" t="s">
        <v>12936</v>
      </c>
      <c r="C4308" s="1" t="str">
        <f>IFERROR(VLOOKUP(B4308,'SB1'!$A$2:$B$999999,2,FALSE),"")</f>
        <v>IMPREGNANTE PARA MADERA CETOL CLASSIC BRILLANTE NATURAL X  4</v>
      </c>
      <c r="D4308" s="1" t="s">
        <v>14445</v>
      </c>
      <c r="E4308" s="3">
        <f>IFERROR(VLOOKUP(B4308,'DA1'!$B$2:$D$999999,3,FALSE),"")</f>
      </c>
      <c r="F4308" s="1" t="str">
        <f>IFERROR(VLOOKUP(B4308,'SB1'!$A$2:$C$999999,3,FALSE),"")</f>
        <v>503</v>
      </c>
      <c r="G4308" s="3" t="e">
        <f t="shared" si="147"/>
        <v>#VALUE!</v>
      </c>
      <c r="H4308" s="3" t="e">
        <f t="shared" si="148"/>
        <v>#VALUE!</v>
      </c>
      <c r="I4308" s="1">
        <v>1</v>
      </c>
    </row>
    <row r="4309" spans="1:9" x14ac:dyDescent="0.25">
      <c r="A4309" s="1" t="s">
        <v>14435</v>
      </c>
      <c r="B4309" s="1" t="s">
        <v>12938</v>
      </c>
      <c r="C4309" s="1" t="str">
        <f>IFERROR(VLOOKUP(B4309,'SB1'!$A$2:$B$999999,2,FALSE),"")</f>
        <v>IMPREGNANTE PARA MADERA CETOL CLASSIC BRILLANTE NOGAL X  4</v>
      </c>
      <c r="D4309" s="1" t="s">
        <v>14445</v>
      </c>
      <c r="E4309" s="3">
        <f>IFERROR(VLOOKUP(B4309,'DA1'!$B$2:$D$999999,3,FALSE),"")</f>
      </c>
      <c r="F4309" s="1" t="str">
        <f>IFERROR(VLOOKUP(B4309,'SB1'!$A$2:$C$999999,3,FALSE),"")</f>
        <v>503</v>
      </c>
      <c r="G4309" s="3" t="e">
        <f t="shared" si="147"/>
        <v>#VALUE!</v>
      </c>
      <c r="H4309" s="3" t="e">
        <f t="shared" si="148"/>
        <v>#VALUE!</v>
      </c>
      <c r="I4309" s="1">
        <v>1</v>
      </c>
    </row>
    <row r="4310" spans="1:9" x14ac:dyDescent="0.25">
      <c r="A4310" s="1" t="s">
        <v>14435</v>
      </c>
      <c r="B4310" s="1" t="s">
        <v>12940</v>
      </c>
      <c r="C4310" s="1" t="str">
        <f>IFERROR(VLOOKUP(B4310,'SB1'!$A$2:$B$999999,2,FALSE),"")</f>
        <v>IMPREGNANTE PARA MADERA CETOL CLASSIC BRILLANTE ROBLE X  4</v>
      </c>
      <c r="D4310" s="1" t="s">
        <v>14445</v>
      </c>
      <c r="E4310" s="3">
        <f>IFERROR(VLOOKUP(B4310,'DA1'!$B$2:$D$999999,3,FALSE),"")</f>
      </c>
      <c r="F4310" s="1" t="str">
        <f>IFERROR(VLOOKUP(B4310,'SB1'!$A$2:$C$999999,3,FALSE),"")</f>
        <v>503</v>
      </c>
      <c r="G4310" s="3" t="e">
        <f t="shared" si="147"/>
        <v>#VALUE!</v>
      </c>
      <c r="H4310" s="3" t="e">
        <f t="shared" si="148"/>
        <v>#VALUE!</v>
      </c>
      <c r="I4310" s="1">
        <v>1</v>
      </c>
    </row>
    <row r="4311" spans="1:9" x14ac:dyDescent="0.25">
      <c r="A4311" s="1" t="s">
        <v>14435</v>
      </c>
      <c r="B4311" s="1" t="s">
        <v>12942</v>
      </c>
      <c r="C4311" s="1" t="str">
        <f>IFERROR(VLOOKUP(B4311,'SB1'!$A$2:$B$999999,2,FALSE),"")</f>
        <v>IMPREGNANTE PARA MADERA CETOL CLASSIC BRILLANTE CAOBA X 10</v>
      </c>
      <c r="D4311" s="1" t="s">
        <v>14445</v>
      </c>
      <c r="E4311" s="3">
        <f>IFERROR(VLOOKUP(B4311,'DA1'!$B$2:$D$999999,3,FALSE),"")</f>
      </c>
      <c r="F4311" s="1" t="str">
        <f>IFERROR(VLOOKUP(B4311,'SB1'!$A$2:$C$999999,3,FALSE),"")</f>
        <v>503</v>
      </c>
      <c r="G4311" s="3" t="e">
        <f t="shared" si="147"/>
        <v>#VALUE!</v>
      </c>
      <c r="H4311" s="3" t="e">
        <f t="shared" si="148"/>
        <v>#VALUE!</v>
      </c>
      <c r="I4311" s="1">
        <v>1</v>
      </c>
    </row>
    <row r="4312" spans="1:9" x14ac:dyDescent="0.25">
      <c r="A4312" s="1" t="s">
        <v>14435</v>
      </c>
      <c r="B4312" s="1" t="s">
        <v>12944</v>
      </c>
      <c r="C4312" s="1" t="str">
        <f>IFERROR(VLOOKUP(B4312,'SB1'!$A$2:$B$999999,2,FALSE),"")</f>
        <v>IMPREGNANTE PARA MADERA CETOL CLASSIC BRILLANTE CEDRO X 10</v>
      </c>
      <c r="D4312" s="1" t="s">
        <v>14445</v>
      </c>
      <c r="E4312" s="3">
        <f>IFERROR(VLOOKUP(B4312,'DA1'!$B$2:$D$999999,3,FALSE),"")</f>
      </c>
      <c r="F4312" s="1" t="str">
        <f>IFERROR(VLOOKUP(B4312,'SB1'!$A$2:$C$999999,3,FALSE),"")</f>
        <v>503</v>
      </c>
      <c r="G4312" s="3" t="e">
        <f t="shared" si="147"/>
        <v>#VALUE!</v>
      </c>
      <c r="H4312" s="3" t="e">
        <f t="shared" si="148"/>
        <v>#VALUE!</v>
      </c>
      <c r="I4312" s="1">
        <v>1</v>
      </c>
    </row>
    <row r="4313" spans="1:9" x14ac:dyDescent="0.25">
      <c r="A4313" s="1" t="s">
        <v>14435</v>
      </c>
      <c r="B4313" s="1" t="s">
        <v>12946</v>
      </c>
      <c r="C4313" s="1" t="str">
        <f>IFERROR(VLOOKUP(B4313,'SB1'!$A$2:$B$999999,2,FALSE),"")</f>
        <v>IMPREGNANTE PARA MADERA CETOL CLASSIC BRILLANTE CRISTAL X 10</v>
      </c>
      <c r="D4313" s="1" t="s">
        <v>14445</v>
      </c>
      <c r="E4313" s="3">
        <f>IFERROR(VLOOKUP(B4313,'DA1'!$B$2:$D$999999,3,FALSE),"")</f>
      </c>
      <c r="F4313" s="1" t="str">
        <f>IFERROR(VLOOKUP(B4313,'SB1'!$A$2:$C$999999,3,FALSE),"")</f>
        <v>503</v>
      </c>
      <c r="G4313" s="3" t="e">
        <f t="shared" si="147"/>
        <v>#VALUE!</v>
      </c>
      <c r="H4313" s="3" t="e">
        <f t="shared" si="148"/>
        <v>#VALUE!</v>
      </c>
      <c r="I4313" s="1">
        <v>1</v>
      </c>
    </row>
    <row r="4314" spans="1:9" x14ac:dyDescent="0.25">
      <c r="A4314" s="1" t="s">
        <v>14435</v>
      </c>
      <c r="B4314" s="1" t="s">
        <v>12948</v>
      </c>
      <c r="C4314" s="1" t="str">
        <f>IFERROR(VLOOKUP(B4314,'SB1'!$A$2:$B$999999,2,FALSE),"")</f>
        <v>IMPREGNANTE PARA MADERA CETOL CLASSIC BRILLANTE NATURAL X 10</v>
      </c>
      <c r="D4314" s="1" t="s">
        <v>14445</v>
      </c>
      <c r="E4314" s="3">
        <f>IFERROR(VLOOKUP(B4314,'DA1'!$B$2:$D$999999,3,FALSE),"")</f>
      </c>
      <c r="F4314" s="1" t="str">
        <f>IFERROR(VLOOKUP(B4314,'SB1'!$A$2:$C$999999,3,FALSE),"")</f>
        <v>503</v>
      </c>
      <c r="G4314" s="3" t="e">
        <f t="shared" si="147"/>
        <v>#VALUE!</v>
      </c>
      <c r="H4314" s="3" t="e">
        <f t="shared" si="148"/>
        <v>#VALUE!</v>
      </c>
      <c r="I4314" s="1">
        <v>1</v>
      </c>
    </row>
    <row r="4315" spans="1:9" x14ac:dyDescent="0.25">
      <c r="A4315" s="1" t="s">
        <v>14435</v>
      </c>
      <c r="B4315" s="1" t="s">
        <v>12950</v>
      </c>
      <c r="C4315" s="1" t="str">
        <f>IFERROR(VLOOKUP(B4315,'SB1'!$A$2:$B$999999,2,FALSE),"")</f>
        <v>IMPREGNANTE PARA MADERA CETOL CLASSIC BRILLANTE NOGAL X 10</v>
      </c>
      <c r="D4315" s="1" t="s">
        <v>14445</v>
      </c>
      <c r="E4315" s="3">
        <f>IFERROR(VLOOKUP(B4315,'DA1'!$B$2:$D$999999,3,FALSE),"")</f>
      </c>
      <c r="F4315" s="1" t="str">
        <f>IFERROR(VLOOKUP(B4315,'SB1'!$A$2:$C$999999,3,FALSE),"")</f>
        <v>503</v>
      </c>
      <c r="G4315" s="3" t="e">
        <f t="shared" si="147"/>
        <v>#VALUE!</v>
      </c>
      <c r="H4315" s="3" t="e">
        <f t="shared" si="148"/>
        <v>#VALUE!</v>
      </c>
      <c r="I4315" s="1">
        <v>1</v>
      </c>
    </row>
    <row r="4316" spans="1:9" x14ac:dyDescent="0.25">
      <c r="A4316" s="1" t="s">
        <v>14435</v>
      </c>
      <c r="B4316" s="1" t="s">
        <v>12952</v>
      </c>
      <c r="C4316" s="1" t="str">
        <f>IFERROR(VLOOKUP(B4316,'SB1'!$A$2:$B$999999,2,FALSE),"")</f>
        <v>IMPREGNANTE PARA MADERA CETOL CLASSIC BRILLANTE ROBLE X 10</v>
      </c>
      <c r="D4316" s="1" t="s">
        <v>14445</v>
      </c>
      <c r="E4316" s="3">
        <f>IFERROR(VLOOKUP(B4316,'DA1'!$B$2:$D$999999,3,FALSE),"")</f>
      </c>
      <c r="F4316" s="1" t="str">
        <f>IFERROR(VLOOKUP(B4316,'SB1'!$A$2:$C$999999,3,FALSE),"")</f>
        <v>503</v>
      </c>
      <c r="G4316" s="3" t="e">
        <f t="shared" si="147"/>
        <v>#VALUE!</v>
      </c>
      <c r="H4316" s="3" t="e">
        <f t="shared" si="148"/>
        <v>#VALUE!</v>
      </c>
      <c r="I4316" s="1">
        <v>1</v>
      </c>
    </row>
    <row r="4317" spans="1:9" x14ac:dyDescent="0.25">
      <c r="A4317" s="1" t="s">
        <v>14435</v>
      </c>
      <c r="B4317" s="1" t="s">
        <v>12954</v>
      </c>
      <c r="C4317" s="1" t="str">
        <f>IFERROR(VLOOKUP(B4317,'SB1'!$A$2:$B$999999,2,FALSE),"")</f>
        <v>THINNER DIXILINA ORO E X 18</v>
      </c>
      <c r="D4317" s="1" t="s">
        <v>14477</v>
      </c>
      <c r="E4317" s="3">
        <f>IFERROR(VLOOKUP(B4317,'DA1'!$B$2:$D$999999,3,FALSE),"")</f>
      </c>
      <c r="F4317" s="1" t="str">
        <f>IFERROR(VLOOKUP(B4317,'SB1'!$A$2:$C$999999,3,FALSE),"")</f>
        <v>503</v>
      </c>
      <c r="G4317" s="3" t="e">
        <f t="shared" si="147"/>
        <v>#VALUE!</v>
      </c>
      <c r="H4317" s="3" t="e">
        <f t="shared" si="148"/>
        <v>#VALUE!</v>
      </c>
      <c r="I4317" s="1">
        <v>1</v>
      </c>
    </row>
    <row r="4318" spans="1:9" x14ac:dyDescent="0.25">
      <c r="A4318" s="1" t="s">
        <v>14435</v>
      </c>
      <c r="B4318" s="1" t="s">
        <v>12956</v>
      </c>
      <c r="C4318" s="1" t="str">
        <f>IFERROR(VLOOKUP(B4318,'SB1'!$A$2:$B$999999,2,FALSE),"")</f>
        <v>DILUYENTE PARA CEMENTO DE CONTACTO X 18</v>
      </c>
      <c r="D4318" s="1" t="s">
        <v>14472</v>
      </c>
      <c r="E4318" s="3">
        <f>IFERROR(VLOOKUP(B4318,'DA1'!$B$2:$D$999999,3,FALSE),"")</f>
      </c>
      <c r="F4318" s="1" t="str">
        <f>IFERROR(VLOOKUP(B4318,'SB1'!$A$2:$C$999999,3,FALSE),"")</f>
        <v>503</v>
      </c>
      <c r="G4318" s="3" t="e">
        <f t="shared" si="147"/>
        <v>#VALUE!</v>
      </c>
      <c r="H4318" s="3" t="e">
        <f t="shared" si="148"/>
        <v>#VALUE!</v>
      </c>
      <c r="I4318" s="1">
        <v>1</v>
      </c>
    </row>
    <row r="4319" spans="1:9" x14ac:dyDescent="0.25">
      <c r="A4319" s="1" t="s">
        <v>14435</v>
      </c>
      <c r="B4319" s="1" t="s">
        <v>12958</v>
      </c>
      <c r="C4319" s="1" t="str">
        <f>IFERROR(VLOOKUP(B4319,'SB1'!$A$2:$B$999999,2,FALSE),"")</f>
        <v>DILUYENTE PARA PILETA Y DEMARCACION VIAL X   1</v>
      </c>
      <c r="D4319" s="1" t="s">
        <v>14472</v>
      </c>
      <c r="E4319" s="3">
        <f>IFERROR(VLOOKUP(B4319,'DA1'!$B$2:$D$999999,3,FALSE),"")</f>
      </c>
      <c r="F4319" s="1" t="str">
        <f>IFERROR(VLOOKUP(B4319,'SB1'!$A$2:$C$999999,3,FALSE),"")</f>
        <v>503</v>
      </c>
      <c r="G4319" s="3" t="e">
        <f t="shared" si="147"/>
        <v>#VALUE!</v>
      </c>
      <c r="H4319" s="3" t="e">
        <f t="shared" si="148"/>
        <v>#VALUE!</v>
      </c>
      <c r="I4319" s="1">
        <v>1</v>
      </c>
    </row>
    <row r="4320" spans="1:9" x14ac:dyDescent="0.25">
      <c r="A4320" s="1" t="s">
        <v>14435</v>
      </c>
      <c r="B4320" s="1" t="s">
        <v>12960</v>
      </c>
      <c r="C4320" s="1" t="str">
        <f>IFERROR(VLOOKUP(B4320,'SB1'!$A$2:$B$999999,2,FALSE),"")</f>
        <v>ESMALTE EPOXI ALBA NEGRO X 1</v>
      </c>
      <c r="D4320" s="1" t="s">
        <v>14489</v>
      </c>
      <c r="E4320" s="3">
        <f>IFERROR(VLOOKUP(B4320,'DA1'!$B$2:$D$999999,3,FALSE),"")</f>
      </c>
      <c r="F4320" s="1" t="str">
        <f>IFERROR(VLOOKUP(B4320,'SB1'!$A$2:$C$999999,3,FALSE),"")</f>
        <v>503</v>
      </c>
      <c r="G4320" s="3" t="e">
        <f t="shared" si="147"/>
        <v>#VALUE!</v>
      </c>
      <c r="H4320" s="3" t="e">
        <f t="shared" si="148"/>
        <v>#VALUE!</v>
      </c>
      <c r="I4320" s="1">
        <v>1</v>
      </c>
    </row>
    <row r="4321" spans="1:9" x14ac:dyDescent="0.25">
      <c r="A4321" s="1" t="s">
        <v>14435</v>
      </c>
      <c r="B4321" s="1" t="s">
        <v>12962</v>
      </c>
      <c r="C4321" s="1" t="str">
        <f>IFERROR(VLOOKUP(B4321,'SB1'!$A$2:$B$999999,2,FALSE),"")</f>
        <v>SOLVENTE INDUSTRIAL X 18</v>
      </c>
      <c r="D4321" s="1" t="s">
        <v>14472</v>
      </c>
      <c r="E4321" s="3">
        <f>IFERROR(VLOOKUP(B4321,'DA1'!$B$2:$D$999999,3,FALSE),"")</f>
      </c>
      <c r="F4321" s="1" t="str">
        <f>IFERROR(VLOOKUP(B4321,'SB1'!$A$2:$C$999999,3,FALSE),"")</f>
        <v>503</v>
      </c>
      <c r="G4321" s="3" t="e">
        <f t="shared" si="147"/>
        <v>#VALUE!</v>
      </c>
      <c r="H4321" s="3" t="e">
        <f t="shared" si="148"/>
        <v>#VALUE!</v>
      </c>
      <c r="I4321" s="1">
        <v>1</v>
      </c>
    </row>
    <row r="4322" spans="1:9" x14ac:dyDescent="0.25">
      <c r="A4322" s="1" t="s">
        <v>14435</v>
      </c>
      <c r="B4322" s="1" t="s">
        <v>12966</v>
      </c>
      <c r="C4322" s="1" t="str">
        <f>IFERROR(VLOOKUP(B4322,'SB1'!$A$2:$B$999999,2,FALSE),"")</f>
        <v>DILUYENTE PARA EPOXI PLUS X  18</v>
      </c>
      <c r="D4322" s="1" t="s">
        <v>14472</v>
      </c>
      <c r="E4322" s="3">
        <f>IFERROR(VLOOKUP(B4322,'DA1'!$B$2:$D$999999,3,FALSE),"")</f>
      </c>
      <c r="F4322" s="1" t="str">
        <f>IFERROR(VLOOKUP(B4322,'SB1'!$A$2:$C$999999,3,FALSE),"")</f>
        <v>503</v>
      </c>
      <c r="G4322" s="3" t="e">
        <f t="shared" si="147"/>
        <v>#VALUE!</v>
      </c>
      <c r="H4322" s="3" t="e">
        <f t="shared" si="148"/>
        <v>#VALUE!</v>
      </c>
      <c r="I4322" s="1">
        <v>1</v>
      </c>
    </row>
    <row r="4323" spans="1:9" x14ac:dyDescent="0.25">
      <c r="A4323" s="1" t="s">
        <v>14435</v>
      </c>
      <c r="B4323" s="1" t="s">
        <v>12968</v>
      </c>
      <c r="C4323" s="1" t="str">
        <f>IFERROR(VLOOKUP(B4323,'SB1'!$A$2:$B$999999,2,FALSE),"")</f>
        <v>DILUYENTE POLIURETANICO PLUS X  18</v>
      </c>
      <c r="D4323" s="1" t="s">
        <v>14472</v>
      </c>
      <c r="E4323" s="3">
        <f>IFERROR(VLOOKUP(B4323,'DA1'!$B$2:$D$999999,3,FALSE),"")</f>
      </c>
      <c r="F4323" s="1" t="str">
        <f>IFERROR(VLOOKUP(B4323,'SB1'!$A$2:$C$999999,3,FALSE),"")</f>
        <v>503</v>
      </c>
      <c r="G4323" s="3" t="e">
        <f t="shared" si="147"/>
        <v>#VALUE!</v>
      </c>
      <c r="H4323" s="3" t="e">
        <f t="shared" si="148"/>
        <v>#VALUE!</v>
      </c>
      <c r="I4323" s="1">
        <v>1</v>
      </c>
    </row>
    <row r="4324" spans="1:9" x14ac:dyDescent="0.25">
      <c r="A4324" s="1" t="s">
        <v>14435</v>
      </c>
      <c r="B4324" s="1" t="s">
        <v>13001</v>
      </c>
      <c r="C4324" s="1" t="str">
        <f>IFERROR(VLOOKUP(B4324,'SB1'!$A$2:$B$999999,2,FALSE),"")</f>
        <v>ESMALTE EPOXI ALBA GRIS HIELO X 1</v>
      </c>
      <c r="D4324" s="1" t="s">
        <v>14489</v>
      </c>
      <c r="E4324" s="3">
        <f>IFERROR(VLOOKUP(B4324,'DA1'!$B$2:$D$999999,3,FALSE),"")</f>
      </c>
      <c r="F4324" s="1" t="str">
        <f>IFERROR(VLOOKUP(B4324,'SB1'!$A$2:$C$999999,3,FALSE),"")</f>
        <v>503</v>
      </c>
      <c r="G4324" s="3" t="e">
        <f t="shared" si="147"/>
        <v>#VALUE!</v>
      </c>
      <c r="H4324" s="3" t="e">
        <f t="shared" si="148"/>
        <v>#VALUE!</v>
      </c>
      <c r="I4324" s="1">
        <v>1</v>
      </c>
    </row>
    <row r="4325" spans="1:9" x14ac:dyDescent="0.25">
      <c r="A4325" s="1" t="s">
        <v>14435</v>
      </c>
      <c r="B4325" s="1" t="s">
        <v>13011</v>
      </c>
      <c r="C4325" s="1" t="str">
        <f>IFERROR(VLOOKUP(B4325,'SB1'!$A$2:$B$999999,2,FALSE),"")</f>
        <v>FONDO EPOXI ALBA GRIS X 1</v>
      </c>
      <c r="D4325" s="1" t="s">
        <v>14489</v>
      </c>
      <c r="E4325" s="3">
        <f>IFERROR(VLOOKUP(B4325,'DA1'!$B$2:$D$999999,3,FALSE),"")</f>
      </c>
      <c r="F4325" s="1" t="str">
        <f>IFERROR(VLOOKUP(B4325,'SB1'!$A$2:$C$999999,3,FALSE),"")</f>
        <v>503</v>
      </c>
      <c r="G4325" s="3" t="e">
        <f t="shared" si="147"/>
        <v>#VALUE!</v>
      </c>
      <c r="H4325" s="3" t="e">
        <f t="shared" si="148"/>
        <v>#VALUE!</v>
      </c>
      <c r="I4325" s="1">
        <v>1</v>
      </c>
    </row>
    <row r="4326" spans="1:9" x14ac:dyDescent="0.25">
      <c r="A4326" s="1" t="s">
        <v>14435</v>
      </c>
      <c r="B4326" s="1" t="s">
        <v>13013</v>
      </c>
      <c r="C4326" s="1" t="str">
        <f>IFERROR(VLOOKUP(B4326,'SB1'!$A$2:$B$999999,2,FALSE),"")</f>
        <v>FONDO CONVERTIDOR DE OXIDO ALBA MATE BLANCO X 0,500</v>
      </c>
      <c r="D4326" s="1" t="s">
        <v>14439</v>
      </c>
      <c r="E4326" s="3">
        <f>IFERROR(VLOOKUP(B4326,'DA1'!$B$2:$D$999999,3,FALSE),"")</f>
      </c>
      <c r="F4326" s="1" t="str">
        <f>IFERROR(VLOOKUP(B4326,'SB1'!$A$2:$C$999999,3,FALSE),"")</f>
        <v>503</v>
      </c>
      <c r="G4326" s="3" t="e">
        <f t="shared" si="147"/>
        <v>#VALUE!</v>
      </c>
      <c r="H4326" s="3" t="e">
        <f t="shared" si="148"/>
        <v>#VALUE!</v>
      </c>
      <c r="I4326" s="1">
        <v>1</v>
      </c>
    </row>
    <row r="4327" spans="1:9" x14ac:dyDescent="0.25">
      <c r="A4327" s="1" t="s">
        <v>14435</v>
      </c>
      <c r="B4327" s="1" t="s">
        <v>13015</v>
      </c>
      <c r="C4327" s="1" t="str">
        <f>IFERROR(VLOOKUP(B4327,'SB1'!$A$2:$B$999999,2,FALSE),"")</f>
        <v>FONDO CONVERTIDOR DE OXIDO ALBA MATE NEGRO X 0,500</v>
      </c>
      <c r="D4327" s="1" t="s">
        <v>14439</v>
      </c>
      <c r="E4327" s="3">
        <f>IFERROR(VLOOKUP(B4327,'DA1'!$B$2:$D$999999,3,FALSE),"")</f>
      </c>
      <c r="F4327" s="1" t="str">
        <f>IFERROR(VLOOKUP(B4327,'SB1'!$A$2:$C$999999,3,FALSE),"")</f>
        <v>503</v>
      </c>
      <c r="G4327" s="3" t="e">
        <f t="shared" si="147"/>
        <v>#VALUE!</v>
      </c>
      <c r="H4327" s="3" t="e">
        <f t="shared" si="148"/>
        <v>#VALUE!</v>
      </c>
      <c r="I4327" s="1">
        <v>1</v>
      </c>
    </row>
    <row r="4328" spans="1:8" x14ac:dyDescent="0.25">
      <c r="A4328" s="1" t="s">
        <v>14435</v>
      </c>
      <c r="B4328" s="1" t="s">
        <v>13017</v>
      </c>
      <c r="C4328" s="1" t="str">
        <f>IFERROR(VLOOKUP(B4328,'SB1'!$A$2:$B$999999,2,FALSE),"")</f>
        <v>FONDO CONVERTIDOR DE OXIDO ALBA MATE GRIS X 0,500</v>
      </c>
      <c r="D4328" s="1" t="s">
        <v>14439</v>
      </c>
      <c r="E4328" s="3">
        <f>IFERROR(VLOOKUP(B4328,'DA1'!$B$2:$D$999999,3,FALSE),"")</f>
      </c>
      <c r="F4328" s="1" t="str">
        <f>IFERROR(VLOOKUP(B4328,'SB1'!$A$2:$C$999999,3,FALSE),"")</f>
        <v>503</v>
      </c>
      <c r="G4328" s="3" t="e">
        <f t="shared" si="147"/>
        <v>#VALUE!</v>
      </c>
      <c r="H4328" s="3" t="e">
        <f t="shared" si="148"/>
        <v>#VALUE!</v>
      </c>
    </row>
    <row r="4329" spans="1:8" x14ac:dyDescent="0.25">
      <c r="A4329" s="1" t="s">
        <v>14435</v>
      </c>
      <c r="B4329" s="1" t="s">
        <v>13023</v>
      </c>
      <c r="C4329" s="1" t="str">
        <f>IFERROR(VLOOKUP(B4329,'SB1'!$A$2:$B$999999,2,FALSE),"")</f>
        <v>FONDO CONVERTIDOR DE OXIDO ALBA MATE ROJO X 0,500</v>
      </c>
      <c r="D4329" s="1" t="s">
        <v>14439</v>
      </c>
      <c r="E4329" s="3">
        <f>IFERROR(VLOOKUP(B4329,'DA1'!$B$2:$D$999999,3,FALSE),"")</f>
      </c>
      <c r="F4329" s="1" t="str">
        <f>IFERROR(VLOOKUP(B4329,'SB1'!$A$2:$C$999999,3,FALSE),"")</f>
        <v>503</v>
      </c>
      <c r="G4329" s="3" t="e">
        <f t="shared" si="147"/>
        <v>#VALUE!</v>
      </c>
      <c r="H4329" s="3" t="e">
        <f t="shared" si="148"/>
        <v>#VALUE!</v>
      </c>
    </row>
    <row r="4330" spans="1:9" x14ac:dyDescent="0.25">
      <c r="A4330" s="1" t="s">
        <v>14435</v>
      </c>
      <c r="B4330" s="1" t="s">
        <v>13025</v>
      </c>
      <c r="C4330" s="1" t="str">
        <f>IFERROR(VLOOKUP(B4330,'SB1'!$A$2:$B$999999,2,FALSE),"")</f>
        <v>FONDO CONVERTIDOR DE OXIDO ALBA MATE BLANCO X 1</v>
      </c>
      <c r="D4330" s="1" t="s">
        <v>14441</v>
      </c>
      <c r="E4330" s="3">
        <f>IFERROR(VLOOKUP(B4330,'DA1'!$B$2:$D$999999,3,FALSE),"")</f>
      </c>
      <c r="F4330" s="1" t="str">
        <f>IFERROR(VLOOKUP(B4330,'SB1'!$A$2:$C$999999,3,FALSE),"")</f>
        <v>503</v>
      </c>
      <c r="G4330" s="3" t="e">
        <f t="shared" si="147"/>
        <v>#VALUE!</v>
      </c>
      <c r="H4330" s="3" t="e">
        <f t="shared" si="148"/>
        <v>#VALUE!</v>
      </c>
      <c r="I4330" s="1">
        <v>1</v>
      </c>
    </row>
    <row r="4331" spans="1:9" x14ac:dyDescent="0.25">
      <c r="A4331" s="1" t="s">
        <v>14435</v>
      </c>
      <c r="B4331" s="1" t="s">
        <v>13027</v>
      </c>
      <c r="C4331" s="1" t="str">
        <f>IFERROR(VLOOKUP(B4331,'SB1'!$A$2:$B$999999,2,FALSE),"")</f>
        <v>FONDO CONVERTIDOR DE OXIDO ALBA MATE NEGRO X 1</v>
      </c>
      <c r="D4331" s="1" t="s">
        <v>14441</v>
      </c>
      <c r="E4331" s="3">
        <f>IFERROR(VLOOKUP(B4331,'DA1'!$B$2:$D$999999,3,FALSE),"")</f>
      </c>
      <c r="F4331" s="1" t="str">
        <f>IFERROR(VLOOKUP(B4331,'SB1'!$A$2:$C$999999,3,FALSE),"")</f>
        <v>503</v>
      </c>
      <c r="G4331" s="3" t="e">
        <f t="shared" si="147"/>
        <v>#VALUE!</v>
      </c>
      <c r="H4331" s="3" t="e">
        <f t="shared" si="148"/>
        <v>#VALUE!</v>
      </c>
      <c r="I4331" s="1">
        <v>1</v>
      </c>
    </row>
    <row r="4332" spans="1:9" x14ac:dyDescent="0.25">
      <c r="A4332" s="1" t="s">
        <v>14435</v>
      </c>
      <c r="B4332" s="1" t="s">
        <v>13029</v>
      </c>
      <c r="C4332" s="1" t="str">
        <f>IFERROR(VLOOKUP(B4332,'SB1'!$A$2:$B$999999,2,FALSE),"")</f>
        <v>FONDO CONVERTIDOR DE OXIDO ALBA MATE GRIS X 1</v>
      </c>
      <c r="D4332" s="1" t="s">
        <v>14441</v>
      </c>
      <c r="E4332" s="3">
        <f>IFERROR(VLOOKUP(B4332,'DA1'!$B$2:$D$999999,3,FALSE),"")</f>
      </c>
      <c r="F4332" s="1" t="str">
        <f>IFERROR(VLOOKUP(B4332,'SB1'!$A$2:$C$999999,3,FALSE),"")</f>
        <v>503</v>
      </c>
      <c r="G4332" s="3" t="e">
        <f t="shared" si="147"/>
        <v>#VALUE!</v>
      </c>
      <c r="H4332" s="3" t="e">
        <f t="shared" si="148"/>
        <v>#VALUE!</v>
      </c>
      <c r="I4332" s="1">
        <v>1</v>
      </c>
    </row>
    <row r="4333" spans="1:9" x14ac:dyDescent="0.25">
      <c r="A4333" s="1" t="s">
        <v>14435</v>
      </c>
      <c r="B4333" s="1" t="s">
        <v>13031</v>
      </c>
      <c r="C4333" s="1" t="str">
        <f>IFERROR(VLOOKUP(B4333,'SB1'!$A$2:$B$999999,2,FALSE),"")</f>
        <v>FONDO CONVERTIDOR DE OXIDO ALBA MATE ROJO X 1  (DISC)</v>
      </c>
      <c r="D4333" s="1" t="s">
        <v>14439</v>
      </c>
      <c r="E4333" s="3">
        <f>IFERROR(VLOOKUP(B4333,'DA1'!$B$2:$D$999999,3,FALSE),"")</f>
      </c>
      <c r="F4333" s="1" t="str">
        <f>IFERROR(VLOOKUP(B4333,'SB1'!$A$2:$C$999999,3,FALSE),"")</f>
        <v>503</v>
      </c>
      <c r="G4333" s="3" t="e">
        <f t="shared" si="147"/>
        <v>#VALUE!</v>
      </c>
      <c r="H4333" s="3" t="e">
        <f t="shared" si="148"/>
        <v>#VALUE!</v>
      </c>
      <c r="I4333" s="1">
        <v>1</v>
      </c>
    </row>
    <row r="4334" spans="1:9" x14ac:dyDescent="0.25">
      <c r="A4334" s="1" t="s">
        <v>14435</v>
      </c>
      <c r="B4334" s="1" t="s">
        <v>13033</v>
      </c>
      <c r="C4334" s="1" t="str">
        <f>IFERROR(VLOOKUP(B4334,'SB1'!$A$2:$B$999999,2,FALSE),"")</f>
        <v>FONDO CONVERTIDOR DE OXIDO ALBA MATE BLANCO X 4</v>
      </c>
      <c r="D4334" s="1" t="s">
        <v>14441</v>
      </c>
      <c r="E4334" s="3">
        <f>IFERROR(VLOOKUP(B4334,'DA1'!$B$2:$D$999999,3,FALSE),"")</f>
      </c>
      <c r="F4334" s="1" t="str">
        <f>IFERROR(VLOOKUP(B4334,'SB1'!$A$2:$C$999999,3,FALSE),"")</f>
        <v>503</v>
      </c>
      <c r="G4334" s="3" t="e">
        <f t="shared" si="147"/>
        <v>#VALUE!</v>
      </c>
      <c r="H4334" s="3" t="e">
        <f t="shared" si="148"/>
        <v>#VALUE!</v>
      </c>
      <c r="I4334" s="1">
        <v>1</v>
      </c>
    </row>
    <row r="4335" spans="1:9" x14ac:dyDescent="0.25">
      <c r="A4335" s="1" t="s">
        <v>14435</v>
      </c>
      <c r="B4335" s="1" t="s">
        <v>13035</v>
      </c>
      <c r="C4335" s="1" t="str">
        <f>IFERROR(VLOOKUP(B4335,'SB1'!$A$2:$B$999999,2,FALSE),"")</f>
        <v>FONDO CONVERTIDOR DE OXIDO ALBA MATE NEGRO X 4</v>
      </c>
      <c r="D4335" s="1" t="s">
        <v>14441</v>
      </c>
      <c r="E4335" s="3">
        <f>IFERROR(VLOOKUP(B4335,'DA1'!$B$2:$D$999999,3,FALSE),"")</f>
      </c>
      <c r="F4335" s="1" t="str">
        <f>IFERROR(VLOOKUP(B4335,'SB1'!$A$2:$C$999999,3,FALSE),"")</f>
        <v>503</v>
      </c>
      <c r="G4335" s="3" t="e">
        <f t="shared" si="147"/>
        <v>#VALUE!</v>
      </c>
      <c r="H4335" s="3" t="e">
        <f t="shared" si="148"/>
        <v>#VALUE!</v>
      </c>
      <c r="I4335" s="1">
        <v>1</v>
      </c>
    </row>
    <row r="4336" spans="1:9" x14ac:dyDescent="0.25">
      <c r="A4336" s="1" t="s">
        <v>14435</v>
      </c>
      <c r="B4336" s="1" t="s">
        <v>13037</v>
      </c>
      <c r="C4336" s="1" t="str">
        <f>IFERROR(VLOOKUP(B4336,'SB1'!$A$2:$B$999999,2,FALSE),"")</f>
        <v>FONDO CONVERTIDOR DE OXIDO ALBA MATE GRIS X 4</v>
      </c>
      <c r="D4336" s="1" t="s">
        <v>14441</v>
      </c>
      <c r="E4336" s="3">
        <f>IFERROR(VLOOKUP(B4336,'DA1'!$B$2:$D$999999,3,FALSE),"")</f>
      </c>
      <c r="F4336" s="1" t="str">
        <f>IFERROR(VLOOKUP(B4336,'SB1'!$A$2:$C$999999,3,FALSE),"")</f>
        <v>503</v>
      </c>
      <c r="G4336" s="3" t="e">
        <f t="shared" si="147"/>
        <v>#VALUE!</v>
      </c>
      <c r="H4336" s="3" t="e">
        <f t="shared" si="148"/>
        <v>#VALUE!</v>
      </c>
      <c r="I4336" s="1">
        <v>1</v>
      </c>
    </row>
    <row r="4337" spans="1:9" x14ac:dyDescent="0.25">
      <c r="A4337" s="1" t="s">
        <v>14435</v>
      </c>
      <c r="B4337" s="1" t="s">
        <v>13075</v>
      </c>
      <c r="C4337" s="1" t="str">
        <f>IFERROR(VLOOKUP(B4337,'SB1'!$A$2:$B$999999,2,FALSE),"")</f>
        <v>ESMALTE EPOXI ALBA BERMELLON X 1</v>
      </c>
      <c r="D4337" s="1" t="s">
        <v>14489</v>
      </c>
      <c r="E4337" s="3">
        <f>IFERROR(VLOOKUP(B4337,'DA1'!$B$2:$D$999999,3,FALSE),"")</f>
      </c>
      <c r="F4337" s="1" t="str">
        <f>IFERROR(VLOOKUP(B4337,'SB1'!$A$2:$C$999999,3,FALSE),"")</f>
        <v>503</v>
      </c>
      <c r="G4337" s="3" t="e">
        <f t="shared" si="147"/>
        <v>#VALUE!</v>
      </c>
      <c r="H4337" s="3" t="e">
        <f t="shared" si="148"/>
        <v>#VALUE!</v>
      </c>
      <c r="I4337" s="1">
        <v>1</v>
      </c>
    </row>
    <row r="4338" spans="1:9" x14ac:dyDescent="0.25">
      <c r="A4338" s="1" t="s">
        <v>14435</v>
      </c>
      <c r="B4338" s="1" t="s">
        <v>13081</v>
      </c>
      <c r="C4338" s="1" t="str">
        <f>IFERROR(VLOOKUP(B4338,'SB1'!$A$2:$B$999999,2,FALSE),"")</f>
        <v>ESMALTE EPOXI ALBA V.INGLES X 1</v>
      </c>
      <c r="D4338" s="1" t="s">
        <v>14489</v>
      </c>
      <c r="E4338" s="3">
        <f>IFERROR(VLOOKUP(B4338,'DA1'!$B$2:$D$999999,3,FALSE),"")</f>
      </c>
      <c r="F4338" s="1" t="str">
        <f>IFERROR(VLOOKUP(B4338,'SB1'!$A$2:$C$999999,3,FALSE),"")</f>
        <v>503</v>
      </c>
      <c r="G4338" s="3" t="e">
        <f t="shared" si="147"/>
        <v>#VALUE!</v>
      </c>
      <c r="H4338" s="3" t="e">
        <f t="shared" si="148"/>
        <v>#VALUE!</v>
      </c>
      <c r="I4338" s="1">
        <v>1</v>
      </c>
    </row>
    <row r="4339" spans="1:9" x14ac:dyDescent="0.25">
      <c r="A4339" s="1" t="s">
        <v>14435</v>
      </c>
      <c r="B4339" s="1" t="s">
        <v>13083</v>
      </c>
      <c r="C4339" s="1" t="str">
        <f>IFERROR(VLOOKUP(B4339,'SB1'!$A$2:$B$999999,2,FALSE),"")</f>
        <v>PINTURA PARA PILETA ALBA EPOXI TANQUES Y PILETAS GRIS X 1</v>
      </c>
      <c r="D4339" s="1" t="s">
        <v>14489</v>
      </c>
      <c r="E4339" s="3">
        <f>IFERROR(VLOOKUP(B4339,'DA1'!$B$2:$D$999999,3,FALSE),"")</f>
      </c>
      <c r="F4339" s="1" t="str">
        <f>IFERROR(VLOOKUP(B4339,'SB1'!$A$2:$C$999999,3,FALSE),"")</f>
        <v>503</v>
      </c>
      <c r="G4339" s="3" t="e">
        <f t="shared" si="147"/>
        <v>#VALUE!</v>
      </c>
      <c r="H4339" s="3" t="e">
        <f t="shared" si="148"/>
        <v>#VALUE!</v>
      </c>
      <c r="I4339" s="1">
        <v>1</v>
      </c>
    </row>
    <row r="4340" spans="1:9" x14ac:dyDescent="0.25">
      <c r="A4340" s="1" t="s">
        <v>14435</v>
      </c>
      <c r="B4340" s="1" t="s">
        <v>13085</v>
      </c>
      <c r="C4340" s="1" t="str">
        <f>IFERROR(VLOOKUP(B4340,'SB1'!$A$2:$B$999999,2,FALSE),"")</f>
        <v>PINTURA PARA PILETA ALBA EPOXI TANQUES Y PILETAS BLANCO X 1</v>
      </c>
      <c r="D4340" s="1" t="s">
        <v>14489</v>
      </c>
      <c r="E4340" s="3">
        <f>IFERROR(VLOOKUP(B4340,'DA1'!$B$2:$D$999999,3,FALSE),"")</f>
      </c>
      <c r="F4340" s="1" t="str">
        <f>IFERROR(VLOOKUP(B4340,'SB1'!$A$2:$C$999999,3,FALSE),"")</f>
        <v>503</v>
      </c>
      <c r="G4340" s="3" t="e">
        <f t="shared" si="147"/>
        <v>#VALUE!</v>
      </c>
      <c r="H4340" s="3" t="e">
        <f t="shared" si="148"/>
        <v>#VALUE!</v>
      </c>
      <c r="I4340" s="1">
        <v>1</v>
      </c>
    </row>
    <row r="4341" spans="1:9" x14ac:dyDescent="0.25">
      <c r="A4341" s="1" t="s">
        <v>14435</v>
      </c>
      <c r="B4341" s="1" t="s">
        <v>13087</v>
      </c>
      <c r="C4341" s="1" t="str">
        <f>IFERROR(VLOOKUP(B4341,'SB1'!$A$2:$B$999999,2,FALSE),"")</f>
        <v>ESMALTE SINTETICO ALBALUX BRILLANTE NEGRO X 20</v>
      </c>
      <c r="D4341" s="1" t="s">
        <v>14441</v>
      </c>
      <c r="E4341" s="3">
        <f>IFERROR(VLOOKUP(B4341,'DA1'!$B$2:$D$999999,3,FALSE),"")</f>
      </c>
      <c r="F4341" s="1" t="str">
        <f>IFERROR(VLOOKUP(B4341,'SB1'!$A$2:$C$999999,3,FALSE),"")</f>
        <v>503</v>
      </c>
      <c r="G4341" s="3" t="e">
        <f t="shared" si="147"/>
        <v>#VALUE!</v>
      </c>
      <c r="H4341" s="3" t="e">
        <f t="shared" si="148"/>
        <v>#VALUE!</v>
      </c>
      <c r="I4341" s="1">
        <v>1</v>
      </c>
    </row>
    <row r="4342" spans="1:8" x14ac:dyDescent="0.25">
      <c r="A4342" s="1" t="s">
        <v>14435</v>
      </c>
      <c r="B4342" s="1" t="s">
        <v>13093</v>
      </c>
      <c r="C4342" s="1" t="str">
        <f>IFERROR(VLOOKUP(B4342,'SB1'!$A$2:$B$999999,2,FALSE),"")</f>
        <v>ESMALTE SINTETICO ALBALUX BRILLANTE V. NOCHE X 20</v>
      </c>
      <c r="D4342" s="1" t="s">
        <v>14439</v>
      </c>
      <c r="E4342" s="3">
        <f>IFERROR(VLOOKUP(B4342,'DA1'!$B$2:$D$999999,3,FALSE),"")</f>
      </c>
      <c r="F4342" s="1" t="str">
        <f>IFERROR(VLOOKUP(B4342,'SB1'!$A$2:$C$999999,3,FALSE),"")</f>
        <v>503</v>
      </c>
      <c r="G4342" s="3" t="e">
        <f t="shared" si="147"/>
        <v>#VALUE!</v>
      </c>
      <c r="H4342" s="3" t="e">
        <f t="shared" si="148"/>
        <v>#VALUE!</v>
      </c>
    </row>
    <row r="4343" spans="1:8" x14ac:dyDescent="0.25">
      <c r="A4343" s="1" t="s">
        <v>14435</v>
      </c>
      <c r="B4343" s="1" t="s">
        <v>13095</v>
      </c>
      <c r="C4343" s="1" t="str">
        <f>IFERROR(VLOOKUP(B4343,'SB1'!$A$2:$B$999999,2,FALSE),"")</f>
        <v>ESMALTE SINTETICO ALBALUX BRILLANTE A. MARINO X 20</v>
      </c>
      <c r="D4343" s="1" t="s">
        <v>14439</v>
      </c>
      <c r="E4343" s="3">
        <f>IFERROR(VLOOKUP(B4343,'DA1'!$B$2:$D$999999,3,FALSE),"")</f>
      </c>
      <c r="F4343" s="1" t="str">
        <f>IFERROR(VLOOKUP(B4343,'SB1'!$A$2:$C$999999,3,FALSE),"")</f>
        <v>503</v>
      </c>
      <c r="G4343" s="3" t="e">
        <f t="shared" si="147"/>
        <v>#VALUE!</v>
      </c>
      <c r="H4343" s="3" t="e">
        <f t="shared" si="148"/>
        <v>#VALUE!</v>
      </c>
    </row>
    <row r="4344" spans="1:9" x14ac:dyDescent="0.25">
      <c r="A4344" s="1" t="s">
        <v>14435</v>
      </c>
      <c r="B4344" s="1" t="s">
        <v>13097</v>
      </c>
      <c r="C4344" s="1" t="str">
        <f>IFERROR(VLOOKUP(B4344,'SB1'!$A$2:$B$999999,2,FALSE),"")</f>
        <v>PINTURA PARA PILETA ALBA EPOXI TANQUES Y PILETAS CELESTE INTENSO X 1</v>
      </c>
      <c r="D4344" s="1" t="s">
        <v>14489</v>
      </c>
      <c r="E4344" s="3">
        <f>IFERROR(VLOOKUP(B4344,'DA1'!$B$2:$D$999999,3,FALSE),"")</f>
      </c>
      <c r="F4344" s="1" t="str">
        <f>IFERROR(VLOOKUP(B4344,'SB1'!$A$2:$C$999999,3,FALSE),"")</f>
        <v>503</v>
      </c>
      <c r="G4344" s="3" t="e">
        <f t="shared" si="147"/>
        <v>#VALUE!</v>
      </c>
      <c r="H4344" s="3" t="e">
        <f t="shared" si="148"/>
        <v>#VALUE!</v>
      </c>
      <c r="I4344" s="1">
        <v>1</v>
      </c>
    </row>
    <row r="4345" spans="1:9" x14ac:dyDescent="0.25">
      <c r="A4345" s="1" t="s">
        <v>14435</v>
      </c>
      <c r="B4345" s="1" t="s">
        <v>13119</v>
      </c>
      <c r="C4345" s="1" t="str">
        <f>IFERROR(VLOOKUP(B4345,'SB1'!$A$2:$B$999999,2,FALSE),"")</f>
        <v>ESMALTE SINTETICO ALBALUX BRILLANTE BERMELLON X  0,250</v>
      </c>
      <c r="D4345" s="1" t="s">
        <v>14439</v>
      </c>
      <c r="E4345" s="3">
        <f>IFERROR(VLOOKUP(B4345,'DA1'!$B$2:$D$999999,3,FALSE),"")</f>
      </c>
      <c r="F4345" s="1" t="str">
        <f>IFERROR(VLOOKUP(B4345,'SB1'!$A$2:$C$999999,3,FALSE),"")</f>
        <v>503</v>
      </c>
      <c r="G4345" s="3" t="e">
        <f t="shared" si="147"/>
        <v>#VALUE!</v>
      </c>
      <c r="H4345" s="3" t="e">
        <f t="shared" si="148"/>
        <v>#VALUE!</v>
      </c>
      <c r="I4345" s="1">
        <v>1</v>
      </c>
    </row>
    <row r="4346" spans="1:9" x14ac:dyDescent="0.25">
      <c r="A4346" s="1" t="s">
        <v>14435</v>
      </c>
      <c r="B4346" s="1" t="s">
        <v>13121</v>
      </c>
      <c r="C4346" s="1" t="str">
        <f>IFERROR(VLOOKUP(B4346,'SB1'!$A$2:$B$999999,2,FALSE),"")</f>
        <v>ESMALTE SINTETICO ALBALUX BRILLANTE AMARILLO X  0,250</v>
      </c>
      <c r="D4346" s="1" t="s">
        <v>14439</v>
      </c>
      <c r="E4346" s="3">
        <f>IFERROR(VLOOKUP(B4346,'DA1'!$B$2:$D$999999,3,FALSE),"")</f>
      </c>
      <c r="F4346" s="1" t="str">
        <f>IFERROR(VLOOKUP(B4346,'SB1'!$A$2:$C$999999,3,FALSE),"")</f>
        <v>503</v>
      </c>
      <c r="G4346" s="3" t="e">
        <f t="shared" si="147"/>
        <v>#VALUE!</v>
      </c>
      <c r="H4346" s="3" t="e">
        <f t="shared" si="148"/>
        <v>#VALUE!</v>
      </c>
      <c r="I4346" s="1">
        <v>1</v>
      </c>
    </row>
    <row r="4347" spans="1:9" x14ac:dyDescent="0.25">
      <c r="A4347" s="1" t="s">
        <v>14435</v>
      </c>
      <c r="B4347" s="1" t="s">
        <v>13123</v>
      </c>
      <c r="C4347" s="1" t="str">
        <f>IFERROR(VLOOKUP(B4347,'SB1'!$A$2:$B$999999,2,FALSE),"")</f>
        <v>ESMALTE SINTETICO ALBALUX BRILLANTE ALUMINIIO X  0,250</v>
      </c>
      <c r="D4347" s="1" t="s">
        <v>14439</v>
      </c>
      <c r="E4347" s="3">
        <f>IFERROR(VLOOKUP(B4347,'DA1'!$B$2:$D$999999,3,FALSE),"")</f>
      </c>
      <c r="F4347" s="1" t="str">
        <f>IFERROR(VLOOKUP(B4347,'SB1'!$A$2:$C$999999,3,FALSE),"")</f>
        <v>503</v>
      </c>
      <c r="G4347" s="3" t="e">
        <f t="shared" si="147"/>
        <v>#VALUE!</v>
      </c>
      <c r="H4347" s="3" t="e">
        <f t="shared" si="148"/>
        <v>#VALUE!</v>
      </c>
      <c r="I4347" s="1">
        <v>1</v>
      </c>
    </row>
    <row r="4348" spans="1:9" x14ac:dyDescent="0.25">
      <c r="A4348" s="1" t="s">
        <v>14435</v>
      </c>
      <c r="B4348" s="1" t="s">
        <v>13125</v>
      </c>
      <c r="C4348" s="1" t="str">
        <f>IFERROR(VLOOKUP(B4348,'SB1'!$A$2:$B$999999,2,FALSE),"")</f>
        <v>ESMALTE SINTETICO ALBALUX BRILLANTE BERMELLON X  0,500</v>
      </c>
      <c r="D4348" s="1" t="s">
        <v>14441</v>
      </c>
      <c r="E4348" s="3">
        <f>IFERROR(VLOOKUP(B4348,'DA1'!$B$2:$D$999999,3,FALSE),"")</f>
      </c>
      <c r="F4348" s="1" t="str">
        <f>IFERROR(VLOOKUP(B4348,'SB1'!$A$2:$C$999999,3,FALSE),"")</f>
        <v>503</v>
      </c>
      <c r="G4348" s="3" t="e">
        <f t="shared" si="147"/>
        <v>#VALUE!</v>
      </c>
      <c r="H4348" s="3" t="e">
        <f t="shared" si="148"/>
        <v>#VALUE!</v>
      </c>
      <c r="I4348" s="1">
        <v>1</v>
      </c>
    </row>
    <row r="4349" spans="1:9" x14ac:dyDescent="0.25">
      <c r="A4349" s="1" t="s">
        <v>14435</v>
      </c>
      <c r="B4349" s="1" t="s">
        <v>13127</v>
      </c>
      <c r="C4349" s="1" t="str">
        <f>IFERROR(VLOOKUP(B4349,'SB1'!$A$2:$B$999999,2,FALSE),"")</f>
        <v>ESMALTE SINTETICO ALBALUX BRILLANTE AMARILLO X  0,500</v>
      </c>
      <c r="D4349" s="1" t="s">
        <v>14441</v>
      </c>
      <c r="E4349" s="3">
        <f>IFERROR(VLOOKUP(B4349,'DA1'!$B$2:$D$999999,3,FALSE),"")</f>
      </c>
      <c r="F4349" s="1" t="str">
        <f>IFERROR(VLOOKUP(B4349,'SB1'!$A$2:$C$999999,3,FALSE),"")</f>
        <v>503</v>
      </c>
      <c r="G4349" s="3" t="e">
        <f t="shared" si="147"/>
        <v>#VALUE!</v>
      </c>
      <c r="H4349" s="3" t="e">
        <f t="shared" si="148"/>
        <v>#VALUE!</v>
      </c>
      <c r="I4349" s="1">
        <v>1</v>
      </c>
    </row>
    <row r="4350" spans="1:9" x14ac:dyDescent="0.25">
      <c r="A4350" s="1" t="s">
        <v>14435</v>
      </c>
      <c r="B4350" s="1" t="s">
        <v>13129</v>
      </c>
      <c r="C4350" s="1" t="str">
        <f>IFERROR(VLOOKUP(B4350,'SB1'!$A$2:$B$999999,2,FALSE),"")</f>
        <v>ESMALTE SINTETICO ALBALUX BRILLANTE CARMIN X 0,500</v>
      </c>
      <c r="D4350" s="1" t="s">
        <v>14439</v>
      </c>
      <c r="E4350" s="3">
        <f>IFERROR(VLOOKUP(B4350,'DA1'!$B$2:$D$999999,3,FALSE),"")</f>
      </c>
      <c r="F4350" s="1" t="str">
        <f>IFERROR(VLOOKUP(B4350,'SB1'!$A$2:$C$999999,3,FALSE),"")</f>
        <v>503</v>
      </c>
      <c r="G4350" s="3" t="e">
        <f t="shared" si="147"/>
        <v>#VALUE!</v>
      </c>
      <c r="H4350" s="3" t="e">
        <f t="shared" si="148"/>
        <v>#VALUE!</v>
      </c>
      <c r="I4350" s="1">
        <v>1</v>
      </c>
    </row>
    <row r="4351" spans="1:9" x14ac:dyDescent="0.25">
      <c r="A4351" s="1" t="s">
        <v>14435</v>
      </c>
      <c r="B4351" s="1" t="s">
        <v>13131</v>
      </c>
      <c r="C4351" s="1" t="str">
        <f>IFERROR(VLOOKUP(B4351,'SB1'!$A$2:$B$999999,2,FALSE),"")</f>
        <v>ESMALTE SINTETICO ALBALUX BRILLANTE ALUMINIIO X  0,500</v>
      </c>
      <c r="D4351" s="1" t="s">
        <v>14441</v>
      </c>
      <c r="E4351" s="3">
        <f>IFERROR(VLOOKUP(B4351,'DA1'!$B$2:$D$999999,3,FALSE),"")</f>
      </c>
      <c r="F4351" s="1" t="str">
        <f>IFERROR(VLOOKUP(B4351,'SB1'!$A$2:$C$999999,3,FALSE),"")</f>
        <v>503</v>
      </c>
      <c r="G4351" s="3" t="e">
        <f t="shared" si="147"/>
        <v>#VALUE!</v>
      </c>
      <c r="H4351" s="3" t="e">
        <f t="shared" si="148"/>
        <v>#VALUE!</v>
      </c>
      <c r="I4351" s="1">
        <v>1</v>
      </c>
    </row>
    <row r="4352" spans="1:9" x14ac:dyDescent="0.25">
      <c r="A4352" s="1" t="s">
        <v>14435</v>
      </c>
      <c r="B4352" s="1" t="s">
        <v>13133</v>
      </c>
      <c r="C4352" s="1" t="str">
        <f>IFERROR(VLOOKUP(B4352,'SB1'!$A$2:$B$999999,2,FALSE),"")</f>
        <v>ESMALTE SINTETICO ALBALUX BRILLANTE AM. MEDIO X  0,500</v>
      </c>
      <c r="D4352" s="1" t="s">
        <v>14439</v>
      </c>
      <c r="E4352" s="3">
        <f>IFERROR(VLOOKUP(B4352,'DA1'!$B$2:$D$999999,3,FALSE),"")</f>
      </c>
      <c r="F4352" s="1" t="str">
        <f>IFERROR(VLOOKUP(B4352,'SB1'!$A$2:$C$999999,3,FALSE),"")</f>
        <v>503</v>
      </c>
      <c r="G4352" s="3" t="e">
        <f t="shared" si="147"/>
        <v>#VALUE!</v>
      </c>
      <c r="H4352" s="3" t="e">
        <f t="shared" si="148"/>
        <v>#VALUE!</v>
      </c>
      <c r="I4352" s="1">
        <v>1</v>
      </c>
    </row>
    <row r="4353" spans="1:9" x14ac:dyDescent="0.25">
      <c r="A4353" s="1" t="s">
        <v>14435</v>
      </c>
      <c r="B4353" s="1" t="s">
        <v>13135</v>
      </c>
      <c r="C4353" s="1" t="str">
        <f>IFERROR(VLOOKUP(B4353,'SB1'!$A$2:$B$999999,2,FALSE),"")</f>
        <v>ESMALTE SINTETICO ALBALUX BRILLANTE BERMELLON X  1</v>
      </c>
      <c r="D4353" s="1" t="s">
        <v>14441</v>
      </c>
      <c r="E4353" s="3">
        <f>IFERROR(VLOOKUP(B4353,'DA1'!$B$2:$D$999999,3,FALSE),"")</f>
      </c>
      <c r="F4353" s="1" t="str">
        <f>IFERROR(VLOOKUP(B4353,'SB1'!$A$2:$C$999999,3,FALSE),"")</f>
        <v>503</v>
      </c>
      <c r="G4353" s="3" t="e">
        <f t="shared" si="147"/>
        <v>#VALUE!</v>
      </c>
      <c r="H4353" s="3" t="e">
        <f t="shared" si="148"/>
        <v>#VALUE!</v>
      </c>
      <c r="I4353" s="1">
        <v>1</v>
      </c>
    </row>
    <row r="4354" spans="1:9" x14ac:dyDescent="0.25">
      <c r="A4354" s="1" t="s">
        <v>14435</v>
      </c>
      <c r="B4354" s="1" t="s">
        <v>13137</v>
      </c>
      <c r="C4354" s="1" t="str">
        <f>IFERROR(VLOOKUP(B4354,'SB1'!$A$2:$B$999999,2,FALSE),"")</f>
        <v>ESMALTE SINTETICO ALBALUX BRILLANTE NARANJA X  1</v>
      </c>
      <c r="D4354" s="1" t="s">
        <v>14441</v>
      </c>
      <c r="E4354" s="3">
        <f>IFERROR(VLOOKUP(B4354,'DA1'!$B$2:$D$999999,3,FALSE),"")</f>
      </c>
      <c r="F4354" s="1" t="str">
        <f>IFERROR(VLOOKUP(B4354,'SB1'!$A$2:$C$999999,3,FALSE),"")</f>
        <v>503</v>
      </c>
      <c r="G4354" s="3" t="e">
        <f t="shared" si="147"/>
        <v>#VALUE!</v>
      </c>
      <c r="H4354" s="3" t="e">
        <f t="shared" si="148"/>
        <v>#VALUE!</v>
      </c>
      <c r="I4354" s="1">
        <v>1</v>
      </c>
    </row>
    <row r="4355" spans="1:9" x14ac:dyDescent="0.25">
      <c r="A4355" s="1" t="s">
        <v>14435</v>
      </c>
      <c r="B4355" s="1" t="s">
        <v>13139</v>
      </c>
      <c r="C4355" s="1" t="str">
        <f>IFERROR(VLOOKUP(B4355,'SB1'!$A$2:$B$999999,2,FALSE),"")</f>
        <v>ESMALTE SINTETICO ALBALUX BRILLANTE AMARILLO X  1</v>
      </c>
      <c r="D4355" s="1" t="s">
        <v>14441</v>
      </c>
      <c r="E4355" s="3">
        <f>IFERROR(VLOOKUP(B4355,'DA1'!$B$2:$D$999999,3,FALSE),"")</f>
      </c>
      <c r="F4355" s="1" t="str">
        <f>IFERROR(VLOOKUP(B4355,'SB1'!$A$2:$C$999999,3,FALSE),"")</f>
        <v>503</v>
      </c>
      <c r="G4355" s="3" t="e">
        <f t="shared" ref="G4355:G4418" si="149">E4355*1.04</f>
        <v>#VALUE!</v>
      </c>
      <c r="H4355" s="3" t="e">
        <f t="shared" si="148"/>
        <v>#VALUE!</v>
      </c>
      <c r="I4355" s="1">
        <v>1</v>
      </c>
    </row>
    <row r="4356" spans="1:9" x14ac:dyDescent="0.25">
      <c r="A4356" s="1" t="s">
        <v>14435</v>
      </c>
      <c r="B4356" s="1" t="s">
        <v>13141</v>
      </c>
      <c r="C4356" s="1" t="str">
        <f>IFERROR(VLOOKUP(B4356,'SB1'!$A$2:$B$999999,2,FALSE),"")</f>
        <v>ESMALTE SINTETICO ALBALUX BRILLANTE CARMIN X 1</v>
      </c>
      <c r="D4356" s="1" t="s">
        <v>14441</v>
      </c>
      <c r="E4356" s="3">
        <f>IFERROR(VLOOKUP(B4356,'DA1'!$B$2:$D$999999,3,FALSE),"")</f>
      </c>
      <c r="F4356" s="1" t="str">
        <f>IFERROR(VLOOKUP(B4356,'SB1'!$A$2:$C$999999,3,FALSE),"")</f>
        <v>503</v>
      </c>
      <c r="G4356" s="3" t="e">
        <f t="shared" si="149"/>
        <v>#VALUE!</v>
      </c>
      <c r="H4356" s="3" t="e">
        <f t="shared" ref="H4356:H4419" si="150">G4356*1.21</f>
        <v>#VALUE!</v>
      </c>
      <c r="I4356" s="1">
        <v>1</v>
      </c>
    </row>
    <row r="4357" spans="1:9" x14ac:dyDescent="0.25">
      <c r="A4357" s="1" t="s">
        <v>14435</v>
      </c>
      <c r="B4357" s="1" t="s">
        <v>13143</v>
      </c>
      <c r="C4357" s="1" t="str">
        <f>IFERROR(VLOOKUP(B4357,'SB1'!$A$2:$B$999999,2,FALSE),"")</f>
        <v>ESMALTE SINTETICO ALBALUX BRILLANTE ALUMINIIO X  1</v>
      </c>
      <c r="D4357" s="1" t="s">
        <v>14441</v>
      </c>
      <c r="E4357" s="3">
        <f>IFERROR(VLOOKUP(B4357,'DA1'!$B$2:$D$999999,3,FALSE),"")</f>
      </c>
      <c r="F4357" s="1" t="str">
        <f>IFERROR(VLOOKUP(B4357,'SB1'!$A$2:$C$999999,3,FALSE),"")</f>
        <v>503</v>
      </c>
      <c r="G4357" s="3" t="e">
        <f t="shared" si="149"/>
        <v>#VALUE!</v>
      </c>
      <c r="H4357" s="3" t="e">
        <f t="shared" si="150"/>
        <v>#VALUE!</v>
      </c>
      <c r="I4357" s="1">
        <v>1</v>
      </c>
    </row>
    <row r="4358" spans="1:9" x14ac:dyDescent="0.25">
      <c r="A4358" s="1" t="s">
        <v>14435</v>
      </c>
      <c r="B4358" s="1" t="s">
        <v>13145</v>
      </c>
      <c r="C4358" s="1" t="str">
        <f>IFERROR(VLOOKUP(B4358,'SB1'!$A$2:$B$999999,2,FALSE),"")</f>
        <v>ESMALTE SINTETICO ALBALUX BRILLANTE AM. MEDIO X  1</v>
      </c>
      <c r="D4358" s="1" t="s">
        <v>14441</v>
      </c>
      <c r="E4358" s="3">
        <f>IFERROR(VLOOKUP(B4358,'DA1'!$B$2:$D$999999,3,FALSE),"")</f>
      </c>
      <c r="F4358" s="1" t="str">
        <f>IFERROR(VLOOKUP(B4358,'SB1'!$A$2:$C$999999,3,FALSE),"")</f>
        <v>503</v>
      </c>
      <c r="G4358" s="3" t="e">
        <f t="shared" si="149"/>
        <v>#VALUE!</v>
      </c>
      <c r="H4358" s="3" t="e">
        <f t="shared" si="150"/>
        <v>#VALUE!</v>
      </c>
      <c r="I4358" s="1">
        <v>1</v>
      </c>
    </row>
    <row r="4359" spans="1:9" x14ac:dyDescent="0.25">
      <c r="A4359" s="1" t="s">
        <v>14435</v>
      </c>
      <c r="B4359" s="1" t="s">
        <v>13147</v>
      </c>
      <c r="C4359" s="1" t="str">
        <f>IFERROR(VLOOKUP(B4359,'SB1'!$A$2:$B$999999,2,FALSE),"")</f>
        <v>ESMALTE SINTETICO ALBALUX BRILLANTE BERMELLON X  4</v>
      </c>
      <c r="D4359" s="1" t="s">
        <v>14441</v>
      </c>
      <c r="E4359" s="3">
        <f>IFERROR(VLOOKUP(B4359,'DA1'!$B$2:$D$999999,3,FALSE),"")</f>
      </c>
      <c r="F4359" s="1" t="str">
        <f>IFERROR(VLOOKUP(B4359,'SB1'!$A$2:$C$999999,3,FALSE),"")</f>
        <v>503</v>
      </c>
      <c r="G4359" s="3" t="e">
        <f t="shared" si="149"/>
        <v>#VALUE!</v>
      </c>
      <c r="H4359" s="3" t="e">
        <f t="shared" si="150"/>
        <v>#VALUE!</v>
      </c>
      <c r="I4359" s="1">
        <v>1</v>
      </c>
    </row>
    <row r="4360" spans="1:9" x14ac:dyDescent="0.25">
      <c r="A4360" s="1" t="s">
        <v>14435</v>
      </c>
      <c r="B4360" s="1" t="s">
        <v>13149</v>
      </c>
      <c r="C4360" s="1" t="str">
        <f>IFERROR(VLOOKUP(B4360,'SB1'!$A$2:$B$999999,2,FALSE),"")</f>
        <v>ESMALTE SINTETICO ALBALUX BRILLANTE NARANJA X  4</v>
      </c>
      <c r="D4360" s="1" t="s">
        <v>14441</v>
      </c>
      <c r="E4360" s="3">
        <f>IFERROR(VLOOKUP(B4360,'DA1'!$B$2:$D$999999,3,FALSE),"")</f>
      </c>
      <c r="F4360" s="1" t="str">
        <f>IFERROR(VLOOKUP(B4360,'SB1'!$A$2:$C$999999,3,FALSE),"")</f>
        <v>503</v>
      </c>
      <c r="G4360" s="3" t="e">
        <f t="shared" si="149"/>
        <v>#VALUE!</v>
      </c>
      <c r="H4360" s="3" t="e">
        <f t="shared" si="150"/>
        <v>#VALUE!</v>
      </c>
      <c r="I4360" s="1">
        <v>1</v>
      </c>
    </row>
    <row r="4361" spans="1:9" x14ac:dyDescent="0.25">
      <c r="A4361" s="1" t="s">
        <v>14435</v>
      </c>
      <c r="B4361" s="1" t="s">
        <v>13151</v>
      </c>
      <c r="C4361" s="1" t="str">
        <f>IFERROR(VLOOKUP(B4361,'SB1'!$A$2:$B$999999,2,FALSE),"")</f>
        <v>ESMALTE SINTETICO ALBALUX BRILLANTE AMARILLO X  4</v>
      </c>
      <c r="D4361" s="1" t="s">
        <v>14441</v>
      </c>
      <c r="E4361" s="3">
        <f>IFERROR(VLOOKUP(B4361,'DA1'!$B$2:$D$999999,3,FALSE),"")</f>
      </c>
      <c r="F4361" s="1" t="str">
        <f>IFERROR(VLOOKUP(B4361,'SB1'!$A$2:$C$999999,3,FALSE),"")</f>
        <v>503</v>
      </c>
      <c r="G4361" s="3" t="e">
        <f t="shared" si="149"/>
        <v>#VALUE!</v>
      </c>
      <c r="H4361" s="3" t="e">
        <f t="shared" si="150"/>
        <v>#VALUE!</v>
      </c>
      <c r="I4361" s="1">
        <v>1</v>
      </c>
    </row>
    <row r="4362" spans="1:9" x14ac:dyDescent="0.25">
      <c r="A4362" s="1" t="s">
        <v>14435</v>
      </c>
      <c r="B4362" s="1" t="s">
        <v>13153</v>
      </c>
      <c r="C4362" s="1" t="str">
        <f>IFERROR(VLOOKUP(B4362,'SB1'!$A$2:$B$999999,2,FALSE),"")</f>
        <v>ESMALTE SINTETICO ALBALUX BRILLANTE CARMIN X 4</v>
      </c>
      <c r="D4362" s="1" t="s">
        <v>14441</v>
      </c>
      <c r="E4362" s="3">
        <f>IFERROR(VLOOKUP(B4362,'DA1'!$B$2:$D$999999,3,FALSE),"")</f>
      </c>
      <c r="F4362" s="1" t="str">
        <f>IFERROR(VLOOKUP(B4362,'SB1'!$A$2:$C$999999,3,FALSE),"")</f>
        <v>503</v>
      </c>
      <c r="G4362" s="3" t="e">
        <f t="shared" si="149"/>
        <v>#VALUE!</v>
      </c>
      <c r="H4362" s="3" t="e">
        <f t="shared" si="150"/>
        <v>#VALUE!</v>
      </c>
      <c r="I4362" s="1">
        <v>1</v>
      </c>
    </row>
    <row r="4363" spans="1:9" x14ac:dyDescent="0.25">
      <c r="A4363" s="1" t="s">
        <v>14435</v>
      </c>
      <c r="B4363" s="1" t="s">
        <v>13155</v>
      </c>
      <c r="C4363" s="1" t="str">
        <f>IFERROR(VLOOKUP(B4363,'SB1'!$A$2:$B$999999,2,FALSE),"")</f>
        <v>ESMALTE SINTETICO ALBALUX BRILLANTE ALUMINIIO X  4</v>
      </c>
      <c r="D4363" s="1" t="s">
        <v>14441</v>
      </c>
      <c r="E4363" s="3">
        <f>IFERROR(VLOOKUP(B4363,'DA1'!$B$2:$D$999999,3,FALSE),"")</f>
      </c>
      <c r="F4363" s="1" t="str">
        <f>IFERROR(VLOOKUP(B4363,'SB1'!$A$2:$C$999999,3,FALSE),"")</f>
        <v>503</v>
      </c>
      <c r="G4363" s="3" t="e">
        <f t="shared" si="149"/>
        <v>#VALUE!</v>
      </c>
      <c r="H4363" s="3" t="e">
        <f t="shared" si="150"/>
        <v>#VALUE!</v>
      </c>
      <c r="I4363" s="1">
        <v>1</v>
      </c>
    </row>
    <row r="4364" spans="1:9" x14ac:dyDescent="0.25">
      <c r="A4364" s="1" t="s">
        <v>14435</v>
      </c>
      <c r="B4364" s="1" t="s">
        <v>13157</v>
      </c>
      <c r="C4364" s="1" t="str">
        <f>IFERROR(VLOOKUP(B4364,'SB1'!$A$2:$B$999999,2,FALSE),"")</f>
        <v>ESMALTE SINTETICO ALBALUX BRILLANTE AM. MEDIO X  4</v>
      </c>
      <c r="D4364" s="1" t="s">
        <v>14441</v>
      </c>
      <c r="E4364" s="3">
        <f>IFERROR(VLOOKUP(B4364,'DA1'!$B$2:$D$999999,3,FALSE),"")</f>
      </c>
      <c r="F4364" s="1" t="str">
        <f>IFERROR(VLOOKUP(B4364,'SB1'!$A$2:$C$999999,3,FALSE),"")</f>
        <v>503</v>
      </c>
      <c r="G4364" s="3" t="e">
        <f t="shared" si="149"/>
        <v>#VALUE!</v>
      </c>
      <c r="H4364" s="3" t="e">
        <f t="shared" si="150"/>
        <v>#VALUE!</v>
      </c>
      <c r="I4364" s="1">
        <v>1</v>
      </c>
    </row>
    <row r="4365" spans="1:8" x14ac:dyDescent="0.25">
      <c r="A4365" s="1" t="s">
        <v>14435</v>
      </c>
      <c r="B4365" s="1" t="s">
        <v>13159</v>
      </c>
      <c r="C4365" s="1" t="str">
        <f>IFERROR(VLOOKUP(B4365,'SB1'!$A$2:$B$999999,2,FALSE),"")</f>
        <v>ESMALTE SINTETICO ALBALUX BRILLANTE BERMELLON X 20</v>
      </c>
      <c r="D4365" s="1" t="s">
        <v>14439</v>
      </c>
      <c r="E4365" s="3">
        <f>IFERROR(VLOOKUP(B4365,'DA1'!$B$2:$D$999999,3,FALSE),"")</f>
      </c>
      <c r="F4365" s="1" t="str">
        <f>IFERROR(VLOOKUP(B4365,'SB1'!$A$2:$C$999999,3,FALSE),"")</f>
        <v>503</v>
      </c>
      <c r="G4365" s="3" t="e">
        <f t="shared" si="149"/>
        <v>#VALUE!</v>
      </c>
      <c r="H4365" s="3" t="e">
        <f t="shared" si="150"/>
        <v>#VALUE!</v>
      </c>
    </row>
    <row r="4366" spans="1:8" x14ac:dyDescent="0.25">
      <c r="A4366" s="1" t="s">
        <v>14435</v>
      </c>
      <c r="B4366" s="1" t="s">
        <v>13161</v>
      </c>
      <c r="C4366" s="1" t="str">
        <f>IFERROR(VLOOKUP(B4366,'SB1'!$A$2:$B$999999,2,FALSE),"")</f>
        <v>ESMALTE SINTETICO ALBALUX BRILLANTE NARANJA X 20</v>
      </c>
      <c r="D4366" s="1" t="s">
        <v>14439</v>
      </c>
      <c r="E4366" s="3">
        <f>IFERROR(VLOOKUP(B4366,'DA1'!$B$2:$D$999999,3,FALSE),"")</f>
      </c>
      <c r="F4366" s="1" t="str">
        <f>IFERROR(VLOOKUP(B4366,'SB1'!$A$2:$C$999999,3,FALSE),"")</f>
        <v>503</v>
      </c>
      <c r="G4366" s="3" t="e">
        <f t="shared" si="149"/>
        <v>#VALUE!</v>
      </c>
      <c r="H4366" s="3" t="e">
        <f t="shared" si="150"/>
        <v>#VALUE!</v>
      </c>
    </row>
    <row r="4367" spans="1:9" x14ac:dyDescent="0.25">
      <c r="A4367" s="1" t="s">
        <v>14435</v>
      </c>
      <c r="B4367" s="1" t="s">
        <v>13163</v>
      </c>
      <c r="C4367" s="1" t="str">
        <f>IFERROR(VLOOKUP(B4367,'SB1'!$A$2:$B$999999,2,FALSE),"")</f>
        <v>ESMALTE SINTETICO ALBALUX BRILLANTE ALUMINIIO X 20</v>
      </c>
      <c r="D4367" s="1" t="s">
        <v>14441</v>
      </c>
      <c r="E4367" s="3">
        <f>IFERROR(VLOOKUP(B4367,'DA1'!$B$2:$D$999999,3,FALSE),"")</f>
      </c>
      <c r="F4367" s="1" t="str">
        <f>IFERROR(VLOOKUP(B4367,'SB1'!$A$2:$C$999999,3,FALSE),"")</f>
        <v>503</v>
      </c>
      <c r="G4367" s="3" t="e">
        <f t="shared" si="149"/>
        <v>#VALUE!</v>
      </c>
      <c r="H4367" s="3" t="e">
        <f t="shared" si="150"/>
        <v>#VALUE!</v>
      </c>
      <c r="I4367" s="1">
        <v>1</v>
      </c>
    </row>
    <row r="4368" spans="1:8" x14ac:dyDescent="0.25">
      <c r="A4368" s="1" t="s">
        <v>14435</v>
      </c>
      <c r="B4368" s="1" t="s">
        <v>13165</v>
      </c>
      <c r="C4368" s="1" t="str">
        <f>IFERROR(VLOOKUP(B4368,'SB1'!$A$2:$B$999999,2,FALSE),"")</f>
        <v>ESMALTE SINTETICO ALBALUX BRILLANTE AM. MEDIO X 20</v>
      </c>
      <c r="D4368" s="1" t="s">
        <v>14439</v>
      </c>
      <c r="E4368" s="3">
        <f>IFERROR(VLOOKUP(B4368,'DA1'!$B$2:$D$999999,3,FALSE),"")</f>
      </c>
      <c r="F4368" s="1" t="str">
        <f>IFERROR(VLOOKUP(B4368,'SB1'!$A$2:$C$999999,3,FALSE),"")</f>
        <v>503</v>
      </c>
      <c r="G4368" s="3" t="e">
        <f t="shared" si="149"/>
        <v>#VALUE!</v>
      </c>
      <c r="H4368" s="3" t="e">
        <f t="shared" si="150"/>
        <v>#VALUE!</v>
      </c>
    </row>
    <row r="4369" spans="1:9" x14ac:dyDescent="0.25">
      <c r="A4369" s="1" t="s">
        <v>14435</v>
      </c>
      <c r="B4369" s="1" t="s">
        <v>13167</v>
      </c>
      <c r="C4369" s="1" t="str">
        <f>IFERROR(VLOOKUP(B4369,'SB1'!$A$2:$B$999999,2,FALSE),"")</f>
        <v>ESMALTE SINTETICO ALBALUX BRILLANTE NEGRO X  0,250</v>
      </c>
      <c r="D4369" s="1" t="s">
        <v>14441</v>
      </c>
      <c r="E4369" s="3">
        <f>IFERROR(VLOOKUP(B4369,'DA1'!$B$2:$D$999999,3,FALSE),"")</f>
      </c>
      <c r="F4369" s="1" t="str">
        <f>IFERROR(VLOOKUP(B4369,'SB1'!$A$2:$C$999999,3,FALSE),"")</f>
        <v>503</v>
      </c>
      <c r="G4369" s="3" t="e">
        <f t="shared" si="149"/>
        <v>#VALUE!</v>
      </c>
      <c r="H4369" s="3" t="e">
        <f t="shared" si="150"/>
        <v>#VALUE!</v>
      </c>
      <c r="I4369" s="1">
        <v>1</v>
      </c>
    </row>
    <row r="4370" spans="1:9" x14ac:dyDescent="0.25">
      <c r="A4370" s="1" t="s">
        <v>14435</v>
      </c>
      <c r="B4370" s="1" t="s">
        <v>13169</v>
      </c>
      <c r="C4370" s="1" t="str">
        <f>IFERROR(VLOOKUP(B4370,'SB1'!$A$2:$B$999999,2,FALSE),"")</f>
        <v>ESMALTE SINTETICO ALBALUX BRILLANTE MARRON X 0,250</v>
      </c>
      <c r="D4370" s="1" t="s">
        <v>14439</v>
      </c>
      <c r="E4370" s="3">
        <f>IFERROR(VLOOKUP(B4370,'DA1'!$B$2:$D$999999,3,FALSE),"")</f>
      </c>
      <c r="F4370" s="1" t="str">
        <f>IFERROR(VLOOKUP(B4370,'SB1'!$A$2:$C$999999,3,FALSE),"")</f>
        <v>503</v>
      </c>
      <c r="G4370" s="3" t="e">
        <f t="shared" si="149"/>
        <v>#VALUE!</v>
      </c>
      <c r="H4370" s="3" t="e">
        <f t="shared" si="150"/>
        <v>#VALUE!</v>
      </c>
      <c r="I4370" s="1">
        <v>1</v>
      </c>
    </row>
    <row r="4371" spans="1:9" x14ac:dyDescent="0.25">
      <c r="A4371" s="1" t="s">
        <v>14435</v>
      </c>
      <c r="B4371" s="1" t="s">
        <v>13171</v>
      </c>
      <c r="C4371" s="1" t="str">
        <f>IFERROR(VLOOKUP(B4371,'SB1'!$A$2:$B$999999,2,FALSE),"")</f>
        <v>ESMALTE SINTETICO ALBALUX BRILLANTE V. INGLES X  0,250</v>
      </c>
      <c r="D4371" s="1" t="s">
        <v>14439</v>
      </c>
      <c r="E4371" s="3">
        <f>IFERROR(VLOOKUP(B4371,'DA1'!$B$2:$D$999999,3,FALSE),"")</f>
      </c>
      <c r="F4371" s="1" t="str">
        <f>IFERROR(VLOOKUP(B4371,'SB1'!$A$2:$C$999999,3,FALSE),"")</f>
        <v>503</v>
      </c>
      <c r="G4371" s="3" t="e">
        <f t="shared" si="149"/>
        <v>#VALUE!</v>
      </c>
      <c r="H4371" s="3" t="e">
        <f t="shared" si="150"/>
        <v>#VALUE!</v>
      </c>
      <c r="I4371" s="1">
        <v>1</v>
      </c>
    </row>
    <row r="4372" spans="1:9" x14ac:dyDescent="0.25">
      <c r="A4372" s="1" t="s">
        <v>14435</v>
      </c>
      <c r="B4372" s="1" t="s">
        <v>13173</v>
      </c>
      <c r="C4372" s="1" t="str">
        <f>IFERROR(VLOOKUP(B4372,'SB1'!$A$2:$B$999999,2,FALSE),"")</f>
        <v>ESMALTE SINTETICO ALBALUX BRILLANTE A. MARINO X  0,250</v>
      </c>
      <c r="D4372" s="1" t="s">
        <v>14439</v>
      </c>
      <c r="E4372" s="3">
        <f>IFERROR(VLOOKUP(B4372,'DA1'!$B$2:$D$999999,3,FALSE),"")</f>
      </c>
      <c r="F4372" s="1" t="str">
        <f>IFERROR(VLOOKUP(B4372,'SB1'!$A$2:$C$999999,3,FALSE),"")</f>
        <v>503</v>
      </c>
      <c r="G4372" s="3" t="e">
        <f t="shared" si="149"/>
        <v>#VALUE!</v>
      </c>
      <c r="H4372" s="3" t="e">
        <f t="shared" si="150"/>
        <v>#VALUE!</v>
      </c>
      <c r="I4372" s="1">
        <v>1</v>
      </c>
    </row>
    <row r="4373" spans="1:8" x14ac:dyDescent="0.25">
      <c r="A4373" s="1" t="s">
        <v>14435</v>
      </c>
      <c r="B4373" s="1" t="s">
        <v>13175</v>
      </c>
      <c r="C4373" s="1" t="str">
        <f>IFERROR(VLOOKUP(B4373,'SB1'!$A$2:$B$999999,2,FALSE),"")</f>
        <v>ESMALTE SINTETICO ALBALUX BRILLANTE BEIGE X 0,500</v>
      </c>
      <c r="D4373" s="1" t="s">
        <v>14439</v>
      </c>
      <c r="E4373" s="3">
        <f>IFERROR(VLOOKUP(B4373,'DA1'!$B$2:$D$999999,3,FALSE),"")</f>
      </c>
      <c r="F4373" s="1" t="str">
        <f>IFERROR(VLOOKUP(B4373,'SB1'!$A$2:$C$999999,3,FALSE),"")</f>
        <v>503</v>
      </c>
      <c r="G4373" s="3" t="e">
        <f t="shared" si="149"/>
        <v>#VALUE!</v>
      </c>
      <c r="H4373" s="3" t="e">
        <f t="shared" si="150"/>
        <v>#VALUE!</v>
      </c>
    </row>
    <row r="4374" spans="1:9" x14ac:dyDescent="0.25">
      <c r="A4374" s="1" t="s">
        <v>14435</v>
      </c>
      <c r="B4374" s="1" t="s">
        <v>13177</v>
      </c>
      <c r="C4374" s="1" t="str">
        <f>IFERROR(VLOOKUP(B4374,'SB1'!$A$2:$B$999999,2,FALSE),"")</f>
        <v>ESMALTE SINTETICO ALBALUX BRILLANTE CEDRO X 0,500</v>
      </c>
      <c r="D4374" s="1" t="s">
        <v>14441</v>
      </c>
      <c r="E4374" s="3">
        <f>IFERROR(VLOOKUP(B4374,'DA1'!$B$2:$D$999999,3,FALSE),"")</f>
      </c>
      <c r="F4374" s="1" t="str">
        <f>IFERROR(VLOOKUP(B4374,'SB1'!$A$2:$C$999999,3,FALSE),"")</f>
        <v>503</v>
      </c>
      <c r="G4374" s="3" t="e">
        <f t="shared" si="149"/>
        <v>#VALUE!</v>
      </c>
      <c r="H4374" s="3" t="e">
        <f t="shared" si="150"/>
        <v>#VALUE!</v>
      </c>
      <c r="I4374" s="1">
        <v>1</v>
      </c>
    </row>
    <row r="4375" spans="1:9" x14ac:dyDescent="0.25">
      <c r="A4375" s="1" t="s">
        <v>14435</v>
      </c>
      <c r="B4375" s="1" t="s">
        <v>13179</v>
      </c>
      <c r="C4375" s="1" t="str">
        <f>IFERROR(VLOOKUP(B4375,'SB1'!$A$2:$B$999999,2,FALSE),"")</f>
        <v>ESMALTE SINTETICO ALBALUX BRILLANTE NEGRO X  0,500</v>
      </c>
      <c r="D4375" s="1" t="s">
        <v>14441</v>
      </c>
      <c r="E4375" s="3">
        <f>IFERROR(VLOOKUP(B4375,'DA1'!$B$2:$D$999999,3,FALSE),"")</f>
      </c>
      <c r="F4375" s="1" t="str">
        <f>IFERROR(VLOOKUP(B4375,'SB1'!$A$2:$C$999999,3,FALSE),"")</f>
        <v>503</v>
      </c>
      <c r="G4375" s="3" t="e">
        <f t="shared" si="149"/>
        <v>#VALUE!</v>
      </c>
      <c r="H4375" s="3" t="e">
        <f t="shared" si="150"/>
        <v>#VALUE!</v>
      </c>
      <c r="I4375" s="1">
        <v>1</v>
      </c>
    </row>
    <row r="4376" spans="1:9" x14ac:dyDescent="0.25">
      <c r="A4376" s="1" t="s">
        <v>14435</v>
      </c>
      <c r="B4376" s="1" t="s">
        <v>13181</v>
      </c>
      <c r="C4376" s="1" t="str">
        <f>IFERROR(VLOOKUP(B4376,'SB1'!$A$2:$B$999999,2,FALSE),"")</f>
        <v>ESMALTE SINTETICO ALBALUX BRILLANTE MARRON X 0,500</v>
      </c>
      <c r="D4376" s="1" t="s">
        <v>14441</v>
      </c>
      <c r="E4376" s="3">
        <f>IFERROR(VLOOKUP(B4376,'DA1'!$B$2:$D$999999,3,FALSE),"")</f>
      </c>
      <c r="F4376" s="1" t="str">
        <f>IFERROR(VLOOKUP(B4376,'SB1'!$A$2:$C$999999,3,FALSE),"")</f>
        <v>503</v>
      </c>
      <c r="G4376" s="3" t="e">
        <f t="shared" si="149"/>
        <v>#VALUE!</v>
      </c>
      <c r="H4376" s="3" t="e">
        <f t="shared" si="150"/>
        <v>#VALUE!</v>
      </c>
      <c r="I4376" s="1">
        <v>1</v>
      </c>
    </row>
    <row r="4377" spans="1:9" x14ac:dyDescent="0.25">
      <c r="A4377" s="1" t="s">
        <v>14435</v>
      </c>
      <c r="B4377" s="1" t="s">
        <v>13185</v>
      </c>
      <c r="C4377" s="1" t="str">
        <f>IFERROR(VLOOKUP(B4377,'SB1'!$A$2:$B$999999,2,FALSE),"")</f>
        <v>ESMALTE SINTETICO ALBALUX BRILLANTE GRIS X 0,500</v>
      </c>
      <c r="D4377" s="1" t="s">
        <v>14441</v>
      </c>
      <c r="E4377" s="3">
        <f>IFERROR(VLOOKUP(B4377,'DA1'!$B$2:$D$999999,3,FALSE),"")</f>
      </c>
      <c r="F4377" s="1" t="str">
        <f>IFERROR(VLOOKUP(B4377,'SB1'!$A$2:$C$999999,3,FALSE),"")</f>
        <v>503</v>
      </c>
      <c r="G4377" s="3" t="e">
        <f t="shared" si="149"/>
        <v>#VALUE!</v>
      </c>
      <c r="H4377" s="3" t="e">
        <f t="shared" si="150"/>
        <v>#VALUE!</v>
      </c>
      <c r="I4377" s="1">
        <v>1</v>
      </c>
    </row>
    <row r="4378" spans="1:8" x14ac:dyDescent="0.25">
      <c r="A4378" s="1" t="s">
        <v>14435</v>
      </c>
      <c r="B4378" s="1" t="s">
        <v>13187</v>
      </c>
      <c r="C4378" s="1" t="str">
        <f>IFERROR(VLOOKUP(B4378,'SB1'!$A$2:$B$999999,2,FALSE),"")</f>
        <v>ESMALTE SINTETICO ALBALUX BRILLANTE G. VISON X 0,500</v>
      </c>
      <c r="D4378" s="1" t="s">
        <v>14439</v>
      </c>
      <c r="E4378" s="3">
        <f>IFERROR(VLOOKUP(B4378,'DA1'!$B$2:$D$999999,3,FALSE),"")</f>
      </c>
      <c r="F4378" s="1" t="str">
        <f>IFERROR(VLOOKUP(B4378,'SB1'!$A$2:$C$999999,3,FALSE),"")</f>
        <v>503</v>
      </c>
      <c r="G4378" s="3" t="e">
        <f t="shared" si="149"/>
        <v>#VALUE!</v>
      </c>
      <c r="H4378" s="3" t="e">
        <f t="shared" si="150"/>
        <v>#VALUE!</v>
      </c>
    </row>
    <row r="4379" spans="1:9" x14ac:dyDescent="0.25">
      <c r="A4379" s="1" t="s">
        <v>14435</v>
      </c>
      <c r="B4379" s="1" t="s">
        <v>13189</v>
      </c>
      <c r="C4379" s="1" t="str">
        <f>IFERROR(VLOOKUP(B4379,'SB1'!$A$2:$B$999999,2,FALSE),"")</f>
        <v>ESMALTE SINTETICO ALBALUX BRILLANTE CELESTE X 0,500</v>
      </c>
      <c r="D4379" s="1" t="s">
        <v>14439</v>
      </c>
      <c r="E4379" s="3">
        <f>IFERROR(VLOOKUP(B4379,'DA1'!$B$2:$D$999999,3,FALSE),"")</f>
      </c>
      <c r="F4379" s="1" t="str">
        <f>IFERROR(VLOOKUP(B4379,'SB1'!$A$2:$C$999999,3,FALSE),"")</f>
        <v>503</v>
      </c>
      <c r="G4379" s="3" t="e">
        <f t="shared" si="149"/>
        <v>#VALUE!</v>
      </c>
      <c r="H4379" s="3" t="e">
        <f t="shared" si="150"/>
        <v>#VALUE!</v>
      </c>
      <c r="I4379" s="1">
        <v>1</v>
      </c>
    </row>
    <row r="4380" spans="1:9" x14ac:dyDescent="0.25">
      <c r="A4380" s="1" t="s">
        <v>14435</v>
      </c>
      <c r="B4380" s="1" t="s">
        <v>13197</v>
      </c>
      <c r="C4380" s="1" t="str">
        <f>IFERROR(VLOOKUP(B4380,'SB1'!$A$2:$B$999999,2,FALSE),"")</f>
        <v>ESMALTE SINTETICO ALBALUX BRILLANTE G. HIELO X 0,500</v>
      </c>
      <c r="D4380" s="1" t="s">
        <v>14439</v>
      </c>
      <c r="E4380" s="3">
        <f>IFERROR(VLOOKUP(B4380,'DA1'!$B$2:$D$999999,3,FALSE),"")</f>
      </c>
      <c r="F4380" s="1" t="str">
        <f>IFERROR(VLOOKUP(B4380,'SB1'!$A$2:$C$999999,3,FALSE),"")</f>
        <v>503</v>
      </c>
      <c r="G4380" s="3" t="e">
        <f t="shared" si="149"/>
        <v>#VALUE!</v>
      </c>
      <c r="H4380" s="3" t="e">
        <f t="shared" si="150"/>
        <v>#VALUE!</v>
      </c>
      <c r="I4380" s="1">
        <v>1</v>
      </c>
    </row>
    <row r="4381" spans="1:9" x14ac:dyDescent="0.25">
      <c r="A4381" s="1" t="s">
        <v>14435</v>
      </c>
      <c r="B4381" s="1" t="s">
        <v>13199</v>
      </c>
      <c r="C4381" s="1" t="str">
        <f>IFERROR(VLOOKUP(B4381,'SB1'!$A$2:$B$999999,2,FALSE),"")</f>
        <v>ESMALTE SINTETICO ALBALUX BRILLANTE V. INGLES X  0,500</v>
      </c>
      <c r="D4381" s="1" t="s">
        <v>14441</v>
      </c>
      <c r="E4381" s="3">
        <f>IFERROR(VLOOKUP(B4381,'DA1'!$B$2:$D$999999,3,FALSE),"")</f>
      </c>
      <c r="F4381" s="1" t="str">
        <f>IFERROR(VLOOKUP(B4381,'SB1'!$A$2:$C$999999,3,FALSE),"")</f>
        <v>503</v>
      </c>
      <c r="G4381" s="3" t="e">
        <f t="shared" si="149"/>
        <v>#VALUE!</v>
      </c>
      <c r="H4381" s="3" t="e">
        <f t="shared" si="150"/>
        <v>#VALUE!</v>
      </c>
      <c r="I4381" s="1">
        <v>1</v>
      </c>
    </row>
    <row r="4382" spans="1:8" x14ac:dyDescent="0.25">
      <c r="A4382" s="1" t="s">
        <v>14435</v>
      </c>
      <c r="B4382" s="1" t="s">
        <v>13203</v>
      </c>
      <c r="C4382" s="1" t="str">
        <f>IFERROR(VLOOKUP(B4382,'SB1'!$A$2:$B$999999,2,FALSE),"")</f>
        <v>ESMALTE SINTETICO ALBALUX BRILLANTE M. CHAMPAGNE (CASTOR) X 0,500</v>
      </c>
      <c r="D4382" s="1" t="s">
        <v>14439</v>
      </c>
      <c r="E4382" s="3">
        <f>IFERROR(VLOOKUP(B4382,'DA1'!$B$2:$D$999999,3,FALSE),"")</f>
      </c>
      <c r="F4382" s="1" t="str">
        <f>IFERROR(VLOOKUP(B4382,'SB1'!$A$2:$C$999999,3,FALSE),"")</f>
        <v>503</v>
      </c>
      <c r="G4382" s="3" t="e">
        <f t="shared" si="149"/>
        <v>#VALUE!</v>
      </c>
      <c r="H4382" s="3" t="e">
        <f t="shared" si="150"/>
        <v>#VALUE!</v>
      </c>
    </row>
    <row r="4383" spans="1:9" x14ac:dyDescent="0.25">
      <c r="A4383" s="1" t="s">
        <v>14435</v>
      </c>
      <c r="B4383" s="1" t="s">
        <v>13205</v>
      </c>
      <c r="C4383" s="1" t="str">
        <f>IFERROR(VLOOKUP(B4383,'SB1'!$A$2:$B$999999,2,FALSE),"")</f>
        <v>ESMALTE SINTETICO ALBALUX BRILLANTE VICUNA X 0,500</v>
      </c>
      <c r="D4383" s="1" t="s">
        <v>14439</v>
      </c>
      <c r="E4383" s="3">
        <f>IFERROR(VLOOKUP(B4383,'DA1'!$B$2:$D$999999,3,FALSE),"")</f>
      </c>
      <c r="F4383" s="1" t="str">
        <f>IFERROR(VLOOKUP(B4383,'SB1'!$A$2:$C$999999,3,FALSE),"")</f>
        <v>503</v>
      </c>
      <c r="G4383" s="3" t="e">
        <f t="shared" si="149"/>
        <v>#VALUE!</v>
      </c>
      <c r="H4383" s="3" t="e">
        <f t="shared" si="150"/>
        <v>#VALUE!</v>
      </c>
      <c r="I4383" s="1">
        <v>1</v>
      </c>
    </row>
    <row r="4384" spans="1:9" x14ac:dyDescent="0.25">
      <c r="A4384" s="1" t="s">
        <v>14435</v>
      </c>
      <c r="B4384" s="1" t="s">
        <v>13207</v>
      </c>
      <c r="C4384" s="1" t="str">
        <f>IFERROR(VLOOKUP(B4384,'SB1'!$A$2:$B$999999,2,FALSE),"")</f>
        <v>ESMALTE SINTETICO ALBALUX BRILLANTE CASTANO X 0,500</v>
      </c>
      <c r="D4384" s="1" t="s">
        <v>14439</v>
      </c>
      <c r="E4384" s="3">
        <f>IFERROR(VLOOKUP(B4384,'DA1'!$B$2:$D$999999,3,FALSE),"")</f>
      </c>
      <c r="F4384" s="1" t="str">
        <f>IFERROR(VLOOKUP(B4384,'SB1'!$A$2:$C$999999,3,FALSE),"")</f>
        <v>503</v>
      </c>
      <c r="G4384" s="3" t="e">
        <f t="shared" si="149"/>
        <v>#VALUE!</v>
      </c>
      <c r="H4384" s="3" t="e">
        <f t="shared" si="150"/>
        <v>#VALUE!</v>
      </c>
      <c r="I4384" s="1">
        <v>1</v>
      </c>
    </row>
    <row r="4385" spans="1:9" x14ac:dyDescent="0.25">
      <c r="A4385" s="1" t="s">
        <v>14435</v>
      </c>
      <c r="B4385" s="1" t="s">
        <v>13209</v>
      </c>
      <c r="C4385" s="1" t="str">
        <f>IFERROR(VLOOKUP(B4385,'SB1'!$A$2:$B$999999,2,FALSE),"")</f>
        <v>ESMALTE SINTETICO ALBALUX BRILLANTE V. NOCHE X  0,500</v>
      </c>
      <c r="D4385" s="1" t="s">
        <v>14439</v>
      </c>
      <c r="E4385" s="3">
        <f>IFERROR(VLOOKUP(B4385,'DA1'!$B$2:$D$999999,3,FALSE),"")</f>
      </c>
      <c r="F4385" s="1" t="str">
        <f>IFERROR(VLOOKUP(B4385,'SB1'!$A$2:$C$999999,3,FALSE),"")</f>
        <v>503</v>
      </c>
      <c r="G4385" s="3" t="e">
        <f t="shared" si="149"/>
        <v>#VALUE!</v>
      </c>
      <c r="H4385" s="3" t="e">
        <f t="shared" si="150"/>
        <v>#VALUE!</v>
      </c>
      <c r="I4385" s="1">
        <v>1</v>
      </c>
    </row>
    <row r="4386" spans="1:9" x14ac:dyDescent="0.25">
      <c r="A4386" s="1" t="s">
        <v>14435</v>
      </c>
      <c r="B4386" s="1" t="s">
        <v>13211</v>
      </c>
      <c r="C4386" s="1" t="str">
        <f>IFERROR(VLOOKUP(B4386,'SB1'!$A$2:$B$999999,2,FALSE),"")</f>
        <v>ESMALTE SINTETICO ALBALUX BRILLANTE TRAFUL X 0,500</v>
      </c>
      <c r="D4386" s="1" t="s">
        <v>14441</v>
      </c>
      <c r="E4386" s="3">
        <f>IFERROR(VLOOKUP(B4386,'DA1'!$B$2:$D$999999,3,FALSE),"")</f>
      </c>
      <c r="F4386" s="1" t="str">
        <f>IFERROR(VLOOKUP(B4386,'SB1'!$A$2:$C$999999,3,FALSE),"")</f>
        <v>503</v>
      </c>
      <c r="G4386" s="3" t="e">
        <f t="shared" si="149"/>
        <v>#VALUE!</v>
      </c>
      <c r="H4386" s="3" t="e">
        <f t="shared" si="150"/>
        <v>#VALUE!</v>
      </c>
      <c r="I4386" s="1">
        <v>1</v>
      </c>
    </row>
    <row r="4387" spans="1:9" x14ac:dyDescent="0.25">
      <c r="A4387" s="1" t="s">
        <v>14435</v>
      </c>
      <c r="B4387" s="1" t="s">
        <v>13213</v>
      </c>
      <c r="C4387" s="1" t="str">
        <f>IFERROR(VLOOKUP(B4387,'SB1'!$A$2:$B$999999,2,FALSE),"")</f>
        <v>ESMALTE SINTETICO ALBALUX BRILLANTE A. MARINO X  0,500</v>
      </c>
      <c r="D4387" s="1" t="s">
        <v>14441</v>
      </c>
      <c r="E4387" s="3">
        <f>IFERROR(VLOOKUP(B4387,'DA1'!$B$2:$D$999999,3,FALSE),"")</f>
      </c>
      <c r="F4387" s="1" t="str">
        <f>IFERROR(VLOOKUP(B4387,'SB1'!$A$2:$C$999999,3,FALSE),"")</f>
        <v>503</v>
      </c>
      <c r="G4387" s="3" t="e">
        <f t="shared" si="149"/>
        <v>#VALUE!</v>
      </c>
      <c r="H4387" s="3" t="e">
        <f t="shared" si="150"/>
        <v>#VALUE!</v>
      </c>
      <c r="I4387" s="1">
        <v>1</v>
      </c>
    </row>
    <row r="4388" spans="1:9" x14ac:dyDescent="0.25">
      <c r="A4388" s="1" t="s">
        <v>14435</v>
      </c>
      <c r="B4388" s="1" t="s">
        <v>13215</v>
      </c>
      <c r="C4388" s="1" t="str">
        <f>IFERROR(VLOOKUP(B4388,'SB1'!$A$2:$B$999999,2,FALSE),"")</f>
        <v>ESMALTE SINTETICO ALBALUX BRILLANTE TABACO X 0,500</v>
      </c>
      <c r="D4388" s="1" t="s">
        <v>14441</v>
      </c>
      <c r="E4388" s="3">
        <f>IFERROR(VLOOKUP(B4388,'DA1'!$B$2:$D$999999,3,FALSE),"")</f>
      </c>
      <c r="F4388" s="1" t="str">
        <f>IFERROR(VLOOKUP(B4388,'SB1'!$A$2:$C$999999,3,FALSE),"")</f>
        <v>503</v>
      </c>
      <c r="G4388" s="3" t="e">
        <f t="shared" si="149"/>
        <v>#VALUE!</v>
      </c>
      <c r="H4388" s="3" t="e">
        <f t="shared" si="150"/>
        <v>#VALUE!</v>
      </c>
      <c r="I4388" s="1">
        <v>1</v>
      </c>
    </row>
    <row r="4389" spans="1:9" x14ac:dyDescent="0.25">
      <c r="A4389" s="1" t="s">
        <v>14435</v>
      </c>
      <c r="B4389" s="1" t="s">
        <v>13217</v>
      </c>
      <c r="C4389" s="1" t="str">
        <f>IFERROR(VLOOKUP(B4389,'SB1'!$A$2:$B$999999,2,FALSE),"")</f>
        <v>ESMALTE SINTETICO ALBALUX BRILLANTE BEIGE X 1</v>
      </c>
      <c r="D4389" s="1" t="s">
        <v>14441</v>
      </c>
      <c r="E4389" s="3">
        <f>IFERROR(VLOOKUP(B4389,'DA1'!$B$2:$D$999999,3,FALSE),"")</f>
      </c>
      <c r="F4389" s="1" t="str">
        <f>IFERROR(VLOOKUP(B4389,'SB1'!$A$2:$C$999999,3,FALSE),"")</f>
        <v>503</v>
      </c>
      <c r="G4389" s="3" t="e">
        <f t="shared" si="149"/>
        <v>#VALUE!</v>
      </c>
      <c r="H4389" s="3" t="e">
        <f t="shared" si="150"/>
        <v>#VALUE!</v>
      </c>
      <c r="I4389" s="1">
        <v>1</v>
      </c>
    </row>
    <row r="4390" spans="1:9" x14ac:dyDescent="0.25">
      <c r="A4390" s="1" t="s">
        <v>14435</v>
      </c>
      <c r="B4390" s="1" t="s">
        <v>13221</v>
      </c>
      <c r="C4390" s="1" t="str">
        <f>IFERROR(VLOOKUP(B4390,'SB1'!$A$2:$B$999999,2,FALSE),"")</f>
        <v>ESMALTE SINTETICO ALBALUX BRILLANTE CEDRO X 1</v>
      </c>
      <c r="D4390" s="1" t="s">
        <v>14441</v>
      </c>
      <c r="E4390" s="3">
        <f>IFERROR(VLOOKUP(B4390,'DA1'!$B$2:$D$999999,3,FALSE),"")</f>
      </c>
      <c r="F4390" s="1" t="str">
        <f>IFERROR(VLOOKUP(B4390,'SB1'!$A$2:$C$999999,3,FALSE),"")</f>
        <v>503</v>
      </c>
      <c r="G4390" s="3" t="e">
        <f t="shared" si="149"/>
        <v>#VALUE!</v>
      </c>
      <c r="H4390" s="3" t="e">
        <f t="shared" si="150"/>
        <v>#VALUE!</v>
      </c>
      <c r="I4390" s="1">
        <v>1</v>
      </c>
    </row>
    <row r="4391" spans="1:9" x14ac:dyDescent="0.25">
      <c r="A4391" s="1" t="s">
        <v>14435</v>
      </c>
      <c r="B4391" s="1" t="s">
        <v>13223</v>
      </c>
      <c r="C4391" s="1" t="str">
        <f>IFERROR(VLOOKUP(B4391,'SB1'!$A$2:$B$999999,2,FALSE),"")</f>
        <v>ESMALTE SINTETICO ALBALUX BRILLANTE NEGRO X  1</v>
      </c>
      <c r="D4391" s="1" t="s">
        <v>14441</v>
      </c>
      <c r="E4391" s="3">
        <f>IFERROR(VLOOKUP(B4391,'DA1'!$B$2:$D$999999,3,FALSE),"")</f>
      </c>
      <c r="F4391" s="1" t="str">
        <f>IFERROR(VLOOKUP(B4391,'SB1'!$A$2:$C$999999,3,FALSE),"")</f>
        <v>503</v>
      </c>
      <c r="G4391" s="3" t="e">
        <f t="shared" si="149"/>
        <v>#VALUE!</v>
      </c>
      <c r="H4391" s="3" t="e">
        <f t="shared" si="150"/>
        <v>#VALUE!</v>
      </c>
      <c r="I4391" s="1">
        <v>1</v>
      </c>
    </row>
    <row r="4392" spans="1:9" x14ac:dyDescent="0.25">
      <c r="A4392" s="1" t="s">
        <v>14435</v>
      </c>
      <c r="B4392" s="1" t="s">
        <v>13225</v>
      </c>
      <c r="C4392" s="1" t="str">
        <f>IFERROR(VLOOKUP(B4392,'SB1'!$A$2:$B$999999,2,FALSE),"")</f>
        <v>ESMALTE SINTETICO ALBALUX BRILLANTE MARRON X 1</v>
      </c>
      <c r="D4392" s="1" t="s">
        <v>14441</v>
      </c>
      <c r="E4392" s="3">
        <f>IFERROR(VLOOKUP(B4392,'DA1'!$B$2:$D$999999,3,FALSE),"")</f>
      </c>
      <c r="F4392" s="1" t="str">
        <f>IFERROR(VLOOKUP(B4392,'SB1'!$A$2:$C$999999,3,FALSE),"")</f>
        <v>503</v>
      </c>
      <c r="G4392" s="3" t="e">
        <f t="shared" si="149"/>
        <v>#VALUE!</v>
      </c>
      <c r="H4392" s="3" t="e">
        <f t="shared" si="150"/>
        <v>#VALUE!</v>
      </c>
      <c r="I4392" s="1">
        <v>1</v>
      </c>
    </row>
    <row r="4393" spans="1:9" x14ac:dyDescent="0.25">
      <c r="A4393" s="1" t="s">
        <v>14435</v>
      </c>
      <c r="B4393" s="1" t="s">
        <v>13227</v>
      </c>
      <c r="C4393" s="1" t="str">
        <f>IFERROR(VLOOKUP(B4393,'SB1'!$A$2:$B$999999,2,FALSE),"")</f>
        <v>ESMALTE SINTETICO ALBALUX BRILLANTE V. CLARO X 1</v>
      </c>
      <c r="D4393" s="1" t="s">
        <v>14441</v>
      </c>
      <c r="E4393" s="3">
        <f>IFERROR(VLOOKUP(B4393,'DA1'!$B$2:$D$999999,3,FALSE),"")</f>
      </c>
      <c r="F4393" s="1" t="str">
        <f>IFERROR(VLOOKUP(B4393,'SB1'!$A$2:$C$999999,3,FALSE),"")</f>
        <v>503</v>
      </c>
      <c r="G4393" s="3" t="e">
        <f t="shared" si="149"/>
        <v>#VALUE!</v>
      </c>
      <c r="H4393" s="3" t="e">
        <f t="shared" si="150"/>
        <v>#VALUE!</v>
      </c>
      <c r="I4393" s="1">
        <v>1</v>
      </c>
    </row>
    <row r="4394" spans="1:9" x14ac:dyDescent="0.25">
      <c r="A4394" s="1" t="s">
        <v>14435</v>
      </c>
      <c r="B4394" s="1" t="s">
        <v>13229</v>
      </c>
      <c r="C4394" s="1" t="str">
        <f>IFERROR(VLOOKUP(B4394,'SB1'!$A$2:$B$999999,2,FALSE),"")</f>
        <v>ESMALTE SINTETICO ALBALUX BRILLANTE GRIS X 1</v>
      </c>
      <c r="D4394" s="1" t="s">
        <v>14441</v>
      </c>
      <c r="E4394" s="3">
        <f>IFERROR(VLOOKUP(B4394,'DA1'!$B$2:$D$999999,3,FALSE),"")</f>
      </c>
      <c r="F4394" s="1" t="str">
        <f>IFERROR(VLOOKUP(B4394,'SB1'!$A$2:$C$999999,3,FALSE),"")</f>
        <v>503</v>
      </c>
      <c r="G4394" s="3" t="e">
        <f t="shared" si="149"/>
        <v>#VALUE!</v>
      </c>
      <c r="H4394" s="3" t="e">
        <f t="shared" si="150"/>
        <v>#VALUE!</v>
      </c>
      <c r="I4394" s="1">
        <v>1</v>
      </c>
    </row>
    <row r="4395" spans="1:8" x14ac:dyDescent="0.25">
      <c r="A4395" s="1" t="s">
        <v>14435</v>
      </c>
      <c r="B4395" s="1" t="s">
        <v>13231</v>
      </c>
      <c r="C4395" s="1" t="str">
        <f>IFERROR(VLOOKUP(B4395,'SB1'!$A$2:$B$999999,2,FALSE),"")</f>
        <v>ESMALTE SINTETICO ALBALUX BRILLANTE G. VISON X 1</v>
      </c>
      <c r="D4395" s="1" t="s">
        <v>14439</v>
      </c>
      <c r="E4395" s="3">
        <f>IFERROR(VLOOKUP(B4395,'DA1'!$B$2:$D$999999,3,FALSE),"")</f>
      </c>
      <c r="F4395" s="1" t="str">
        <f>IFERROR(VLOOKUP(B4395,'SB1'!$A$2:$C$999999,3,FALSE),"")</f>
        <v>503</v>
      </c>
      <c r="G4395" s="3" t="e">
        <f t="shared" si="149"/>
        <v>#VALUE!</v>
      </c>
      <c r="H4395" s="3" t="e">
        <f t="shared" si="150"/>
        <v>#VALUE!</v>
      </c>
    </row>
    <row r="4396" spans="1:9" x14ac:dyDescent="0.25">
      <c r="A4396" s="1" t="s">
        <v>14435</v>
      </c>
      <c r="B4396" s="1" t="s">
        <v>13233</v>
      </c>
      <c r="C4396" s="1" t="str">
        <f>IFERROR(VLOOKUP(B4396,'SB1'!$A$2:$B$999999,2,FALSE),"")</f>
        <v>ESMALTE SINTETICO ALBALUX BRILLANTE ESMERALDA X 1</v>
      </c>
      <c r="D4396" s="1" t="s">
        <v>14441</v>
      </c>
      <c r="E4396" s="3">
        <f>IFERROR(VLOOKUP(B4396,'DA1'!$B$2:$D$999999,3,FALSE),"")</f>
      </c>
      <c r="F4396" s="1" t="str">
        <f>IFERROR(VLOOKUP(B4396,'SB1'!$A$2:$C$999999,3,FALSE),"")</f>
        <v>503</v>
      </c>
      <c r="G4396" s="3" t="e">
        <f t="shared" si="149"/>
        <v>#VALUE!</v>
      </c>
      <c r="H4396" s="3" t="e">
        <f t="shared" si="150"/>
        <v>#VALUE!</v>
      </c>
      <c r="I4396" s="1">
        <v>1</v>
      </c>
    </row>
    <row r="4397" spans="1:9" x14ac:dyDescent="0.25">
      <c r="A4397" s="1" t="s">
        <v>14435</v>
      </c>
      <c r="B4397" s="1" t="s">
        <v>13235</v>
      </c>
      <c r="C4397" s="1" t="str">
        <f>IFERROR(VLOOKUP(B4397,'SB1'!$A$2:$B$999999,2,FALSE),"")</f>
        <v>ESMALTE SINTETICO ALBALUX BRILLANTE CELESTE X 1</v>
      </c>
      <c r="D4397" s="1" t="s">
        <v>14439</v>
      </c>
      <c r="E4397" s="3">
        <f>IFERROR(VLOOKUP(B4397,'DA1'!$B$2:$D$999999,3,FALSE),"")</f>
      </c>
      <c r="F4397" s="1" t="str">
        <f>IFERROR(VLOOKUP(B4397,'SB1'!$A$2:$C$999999,3,FALSE),"")</f>
        <v>503</v>
      </c>
      <c r="G4397" s="3" t="e">
        <f t="shared" si="149"/>
        <v>#VALUE!</v>
      </c>
      <c r="H4397" s="3" t="e">
        <f t="shared" si="150"/>
        <v>#VALUE!</v>
      </c>
      <c r="I4397" s="1">
        <v>1</v>
      </c>
    </row>
    <row r="4398" spans="1:9" x14ac:dyDescent="0.25">
      <c r="A4398" s="1" t="s">
        <v>14435</v>
      </c>
      <c r="B4398" s="1" t="s">
        <v>13237</v>
      </c>
      <c r="C4398" s="1" t="str">
        <f>IFERROR(VLOOKUP(B4398,'SB1'!$A$2:$B$999999,2,FALSE),"")</f>
        <v>ESMALTE SINTETICO ALBALUX BRILLANTE M. SEDA X 1</v>
      </c>
      <c r="D4398" s="1" t="s">
        <v>14441</v>
      </c>
      <c r="E4398" s="3">
        <f>IFERROR(VLOOKUP(B4398,'DA1'!$B$2:$D$999999,3,FALSE),"")</f>
      </c>
      <c r="F4398" s="1" t="str">
        <f>IFERROR(VLOOKUP(B4398,'SB1'!$A$2:$C$999999,3,FALSE),"")</f>
        <v>503</v>
      </c>
      <c r="G4398" s="3" t="e">
        <f t="shared" si="149"/>
        <v>#VALUE!</v>
      </c>
      <c r="H4398" s="3" t="e">
        <f t="shared" si="150"/>
        <v>#VALUE!</v>
      </c>
      <c r="I4398" s="1">
        <v>1</v>
      </c>
    </row>
    <row r="4399" spans="1:9" x14ac:dyDescent="0.25">
      <c r="A4399" s="1" t="s">
        <v>14435</v>
      </c>
      <c r="B4399" s="1" t="s">
        <v>13239</v>
      </c>
      <c r="C4399" s="1" t="str">
        <f>IFERROR(VLOOKUP(B4399,'SB1'!$A$2:$B$999999,2,FALSE),"")</f>
        <v>ESMALTE SINTETICO ALBALUX BRILLANTE G. ESPACIAL X 1</v>
      </c>
      <c r="D4399" s="1" t="s">
        <v>14441</v>
      </c>
      <c r="E4399" s="3">
        <f>IFERROR(VLOOKUP(B4399,'DA1'!$B$2:$D$999999,3,FALSE),"")</f>
      </c>
      <c r="F4399" s="1" t="str">
        <f>IFERROR(VLOOKUP(B4399,'SB1'!$A$2:$C$999999,3,FALSE),"")</f>
        <v>503</v>
      </c>
      <c r="G4399" s="3" t="e">
        <f t="shared" si="149"/>
        <v>#VALUE!</v>
      </c>
      <c r="H4399" s="3" t="e">
        <f t="shared" si="150"/>
        <v>#VALUE!</v>
      </c>
      <c r="I4399" s="1">
        <v>1</v>
      </c>
    </row>
    <row r="4400" spans="1:9" x14ac:dyDescent="0.25">
      <c r="A4400" s="1" t="s">
        <v>14435</v>
      </c>
      <c r="B4400" s="1" t="s">
        <v>13241</v>
      </c>
      <c r="C4400" s="1" t="str">
        <f>IFERROR(VLOOKUP(B4400,'SB1'!$A$2:$B$999999,2,FALSE),"")</f>
        <v>ESMALTE SINTETICO ALBALUX BRILLANTE PERLA X  1</v>
      </c>
      <c r="D4400" s="1" t="s">
        <v>14441</v>
      </c>
      <c r="E4400" s="3">
        <f>IFERROR(VLOOKUP(B4400,'DA1'!$B$2:$D$999999,3,FALSE),"")</f>
      </c>
      <c r="F4400" s="1" t="str">
        <f>IFERROR(VLOOKUP(B4400,'SB1'!$A$2:$C$999999,3,FALSE),"")</f>
        <v>503</v>
      </c>
      <c r="G4400" s="3" t="e">
        <f t="shared" si="149"/>
        <v>#VALUE!</v>
      </c>
      <c r="H4400" s="3" t="e">
        <f t="shared" si="150"/>
        <v>#VALUE!</v>
      </c>
      <c r="I4400" s="1">
        <v>1</v>
      </c>
    </row>
    <row r="4401" spans="1:9" x14ac:dyDescent="0.25">
      <c r="A4401" s="1" t="s">
        <v>14435</v>
      </c>
      <c r="B4401" s="1" t="s">
        <v>13243</v>
      </c>
      <c r="C4401" s="1" t="str">
        <f>IFERROR(VLOOKUP(B4401,'SB1'!$A$2:$B$999999,2,FALSE),"")</f>
        <v>ESMALTE SINTETICO ALBALUX BRILLANTE G. HIELO X 1</v>
      </c>
      <c r="D4401" s="1" t="s">
        <v>14441</v>
      </c>
      <c r="E4401" s="3">
        <f>IFERROR(VLOOKUP(B4401,'DA1'!$B$2:$D$999999,3,FALSE),"")</f>
      </c>
      <c r="F4401" s="1" t="str">
        <f>IFERROR(VLOOKUP(B4401,'SB1'!$A$2:$C$999999,3,FALSE),"")</f>
        <v>503</v>
      </c>
      <c r="G4401" s="3" t="e">
        <f t="shared" si="149"/>
        <v>#VALUE!</v>
      </c>
      <c r="H4401" s="3" t="e">
        <f t="shared" si="150"/>
        <v>#VALUE!</v>
      </c>
      <c r="I4401" s="1">
        <v>1</v>
      </c>
    </row>
    <row r="4402" spans="1:9" x14ac:dyDescent="0.25">
      <c r="A4402" s="1" t="s">
        <v>14435</v>
      </c>
      <c r="B4402" s="1" t="s">
        <v>13245</v>
      </c>
      <c r="C4402" s="1" t="str">
        <f>IFERROR(VLOOKUP(B4402,'SB1'!$A$2:$B$999999,2,FALSE),"")</f>
        <v>ESMALTE SINTETICO ALBALUX BRILLANTE V. INGLES X  1</v>
      </c>
      <c r="D4402" s="1" t="s">
        <v>14441</v>
      </c>
      <c r="E4402" s="3">
        <f>IFERROR(VLOOKUP(B4402,'DA1'!$B$2:$D$999999,3,FALSE),"")</f>
      </c>
      <c r="F4402" s="1" t="str">
        <f>IFERROR(VLOOKUP(B4402,'SB1'!$A$2:$C$999999,3,FALSE),"")</f>
        <v>503</v>
      </c>
      <c r="G4402" s="3" t="e">
        <f t="shared" si="149"/>
        <v>#VALUE!</v>
      </c>
      <c r="H4402" s="3" t="e">
        <f t="shared" si="150"/>
        <v>#VALUE!</v>
      </c>
      <c r="I4402" s="1">
        <v>1</v>
      </c>
    </row>
    <row r="4403" spans="1:9" x14ac:dyDescent="0.25">
      <c r="A4403" s="1" t="s">
        <v>14435</v>
      </c>
      <c r="B4403" s="1" t="s">
        <v>13247</v>
      </c>
      <c r="C4403" s="1" t="str">
        <f>IFERROR(VLOOKUP(B4403,'SB1'!$A$2:$B$999999,2,FALSE),"")</f>
        <v>ESMALTE SINTETICO ALBALUX BRILLANTE AZULEJO X 1</v>
      </c>
      <c r="D4403" s="1" t="s">
        <v>14441</v>
      </c>
      <c r="E4403" s="3">
        <f>IFERROR(VLOOKUP(B4403,'DA1'!$B$2:$D$999999,3,FALSE),"")</f>
      </c>
      <c r="F4403" s="1" t="str">
        <f>IFERROR(VLOOKUP(B4403,'SB1'!$A$2:$C$999999,3,FALSE),"")</f>
        <v>503</v>
      </c>
      <c r="G4403" s="3" t="e">
        <f t="shared" si="149"/>
        <v>#VALUE!</v>
      </c>
      <c r="H4403" s="3" t="e">
        <f t="shared" si="150"/>
        <v>#VALUE!</v>
      </c>
      <c r="I4403" s="1">
        <v>1</v>
      </c>
    </row>
    <row r="4404" spans="1:9" x14ac:dyDescent="0.25">
      <c r="A4404" s="1" t="s">
        <v>14435</v>
      </c>
      <c r="B4404" s="1" t="s">
        <v>13249</v>
      </c>
      <c r="C4404" s="1" t="str">
        <f>IFERROR(VLOOKUP(B4404,'SB1'!$A$2:$B$999999,2,FALSE),"")</f>
        <v>ESMALTE SINTETICO ALBALUX BRILLANTE M. CHAMPAGNE (CASTOR) X 1</v>
      </c>
      <c r="D4404" s="1" t="s">
        <v>14441</v>
      </c>
      <c r="E4404" s="3">
        <f>IFERROR(VLOOKUP(B4404,'DA1'!$B$2:$D$999999,3,FALSE),"")</f>
      </c>
      <c r="F4404" s="1" t="str">
        <f>IFERROR(VLOOKUP(B4404,'SB1'!$A$2:$C$999999,3,FALSE),"")</f>
        <v>503</v>
      </c>
      <c r="G4404" s="3" t="e">
        <f t="shared" si="149"/>
        <v>#VALUE!</v>
      </c>
      <c r="H4404" s="3" t="e">
        <f t="shared" si="150"/>
        <v>#VALUE!</v>
      </c>
      <c r="I4404" s="1">
        <v>1</v>
      </c>
    </row>
    <row r="4405" spans="1:9" x14ac:dyDescent="0.25">
      <c r="A4405" s="1" t="s">
        <v>14435</v>
      </c>
      <c r="B4405" s="1" t="s">
        <v>13251</v>
      </c>
      <c r="C4405" s="1" t="str">
        <f>IFERROR(VLOOKUP(B4405,'SB1'!$A$2:$B$999999,2,FALSE),"")</f>
        <v>ESMALTE SINTETICO ALBALUX BRILLANTE V. ILUSION X 1</v>
      </c>
      <c r="D4405" s="1" t="s">
        <v>14441</v>
      </c>
      <c r="E4405" s="3">
        <f>IFERROR(VLOOKUP(B4405,'DA1'!$B$2:$D$999999,3,FALSE),"")</f>
      </c>
      <c r="F4405" s="1" t="str">
        <f>IFERROR(VLOOKUP(B4405,'SB1'!$A$2:$C$999999,3,FALSE),"")</f>
        <v>503</v>
      </c>
      <c r="G4405" s="3" t="e">
        <f t="shared" si="149"/>
        <v>#VALUE!</v>
      </c>
      <c r="H4405" s="3" t="e">
        <f t="shared" si="150"/>
        <v>#VALUE!</v>
      </c>
      <c r="I4405" s="1">
        <v>1</v>
      </c>
    </row>
    <row r="4406" spans="1:9" x14ac:dyDescent="0.25">
      <c r="A4406" s="1" t="s">
        <v>14435</v>
      </c>
      <c r="B4406" s="1" t="s">
        <v>13253</v>
      </c>
      <c r="C4406" s="1" t="str">
        <f>IFERROR(VLOOKUP(B4406,'SB1'!$A$2:$B$999999,2,FALSE),"")</f>
        <v>ESMALTE SINTETICO ALBALUX BRILLANTE VICUNA X 1</v>
      </c>
      <c r="D4406" s="1" t="s">
        <v>14439</v>
      </c>
      <c r="E4406" s="3">
        <f>IFERROR(VLOOKUP(B4406,'DA1'!$B$2:$D$999999,3,FALSE),"")</f>
      </c>
      <c r="F4406" s="1" t="str">
        <f>IFERROR(VLOOKUP(B4406,'SB1'!$A$2:$C$999999,3,FALSE),"")</f>
        <v>503</v>
      </c>
      <c r="G4406" s="3" t="e">
        <f t="shared" si="149"/>
        <v>#VALUE!</v>
      </c>
      <c r="H4406" s="3" t="e">
        <f t="shared" si="150"/>
        <v>#VALUE!</v>
      </c>
      <c r="I4406" s="1">
        <v>1</v>
      </c>
    </row>
    <row r="4407" spans="1:9" x14ac:dyDescent="0.25">
      <c r="A4407" s="1" t="s">
        <v>14435</v>
      </c>
      <c r="B4407" s="1" t="s">
        <v>13255</v>
      </c>
      <c r="C4407" s="1" t="str">
        <f>IFERROR(VLOOKUP(B4407,'SB1'!$A$2:$B$999999,2,FALSE),"")</f>
        <v>ESMALTE SINTETICO ALBALUX BRILLANTE CREMA X 1</v>
      </c>
      <c r="D4407" s="1" t="s">
        <v>14439</v>
      </c>
      <c r="E4407" s="3">
        <f>IFERROR(VLOOKUP(B4407,'DA1'!$B$2:$D$999999,3,FALSE),"")</f>
      </c>
      <c r="F4407" s="1" t="str">
        <f>IFERROR(VLOOKUP(B4407,'SB1'!$A$2:$C$999999,3,FALSE),"")</f>
        <v>503</v>
      </c>
      <c r="G4407" s="3" t="e">
        <f t="shared" si="149"/>
        <v>#VALUE!</v>
      </c>
      <c r="H4407" s="3" t="e">
        <f t="shared" si="150"/>
        <v>#VALUE!</v>
      </c>
      <c r="I4407" s="1">
        <v>1</v>
      </c>
    </row>
    <row r="4408" spans="1:8" x14ac:dyDescent="0.25">
      <c r="A4408" s="1" t="s">
        <v>14435</v>
      </c>
      <c r="B4408" s="1" t="s">
        <v>13257</v>
      </c>
      <c r="C4408" s="1" t="str">
        <f>IFERROR(VLOOKUP(B4408,'SB1'!$A$2:$B$999999,2,FALSE),"")</f>
        <v>ESMALTE SINTETICO ALBALUX BRILLANTE CASTANO X 1</v>
      </c>
      <c r="D4408" s="1" t="s">
        <v>14439</v>
      </c>
      <c r="E4408" s="3">
        <f>IFERROR(VLOOKUP(B4408,'DA1'!$B$2:$D$999999,3,FALSE),"")</f>
      </c>
      <c r="F4408" s="1" t="str">
        <f>IFERROR(VLOOKUP(B4408,'SB1'!$A$2:$C$999999,3,FALSE),"")</f>
        <v>503</v>
      </c>
      <c r="G4408" s="3" t="e">
        <f t="shared" si="149"/>
        <v>#VALUE!</v>
      </c>
      <c r="H4408" s="3" t="e">
        <f t="shared" si="150"/>
        <v>#VALUE!</v>
      </c>
    </row>
    <row r="4409" spans="1:9" x14ac:dyDescent="0.25">
      <c r="A4409" s="1" t="s">
        <v>14435</v>
      </c>
      <c r="B4409" s="1" t="s">
        <v>13259</v>
      </c>
      <c r="C4409" s="1" t="str">
        <f>IFERROR(VLOOKUP(B4409,'SB1'!$A$2:$B$999999,2,FALSE),"")</f>
        <v>ESMALTE SINTETICO ALBALUX BRILLANTE V. NOCHE X  1</v>
      </c>
      <c r="D4409" s="1" t="s">
        <v>14441</v>
      </c>
      <c r="E4409" s="3">
        <f>IFERROR(VLOOKUP(B4409,'DA1'!$B$2:$D$999999,3,FALSE),"")</f>
      </c>
      <c r="F4409" s="1" t="str">
        <f>IFERROR(VLOOKUP(B4409,'SB1'!$A$2:$C$999999,3,FALSE),"")</f>
        <v>503</v>
      </c>
      <c r="G4409" s="3" t="e">
        <f t="shared" si="149"/>
        <v>#VALUE!</v>
      </c>
      <c r="H4409" s="3" t="e">
        <f t="shared" si="150"/>
        <v>#VALUE!</v>
      </c>
      <c r="I4409" s="1">
        <v>1</v>
      </c>
    </row>
    <row r="4410" spans="1:9" x14ac:dyDescent="0.25">
      <c r="A4410" s="1" t="s">
        <v>14435</v>
      </c>
      <c r="B4410" s="1" t="s">
        <v>13261</v>
      </c>
      <c r="C4410" s="1" t="str">
        <f>IFERROR(VLOOKUP(B4410,'SB1'!$A$2:$B$999999,2,FALSE),"")</f>
        <v>ESMALTE SINTETICO ALBALUX BRILLANTE TRAFUL X 1</v>
      </c>
      <c r="D4410" s="1" t="s">
        <v>14441</v>
      </c>
      <c r="E4410" s="3">
        <f>IFERROR(VLOOKUP(B4410,'DA1'!$B$2:$D$999999,3,FALSE),"")</f>
      </c>
      <c r="F4410" s="1" t="str">
        <f>IFERROR(VLOOKUP(B4410,'SB1'!$A$2:$C$999999,3,FALSE),"")</f>
        <v>503</v>
      </c>
      <c r="G4410" s="3" t="e">
        <f t="shared" si="149"/>
        <v>#VALUE!</v>
      </c>
      <c r="H4410" s="3" t="e">
        <f t="shared" si="150"/>
        <v>#VALUE!</v>
      </c>
      <c r="I4410" s="1">
        <v>1</v>
      </c>
    </row>
    <row r="4411" spans="1:9" x14ac:dyDescent="0.25">
      <c r="A4411" s="1" t="s">
        <v>14435</v>
      </c>
      <c r="B4411" s="1" t="s">
        <v>13263</v>
      </c>
      <c r="C4411" s="1" t="str">
        <f>IFERROR(VLOOKUP(B4411,'SB1'!$A$2:$B$999999,2,FALSE),"")</f>
        <v>ESMALTE SINTETICO ALBALUX BRILLANTE A. MARINO X  1</v>
      </c>
      <c r="D4411" s="1" t="s">
        <v>14441</v>
      </c>
      <c r="E4411" s="3">
        <f>IFERROR(VLOOKUP(B4411,'DA1'!$B$2:$D$999999,3,FALSE),"")</f>
      </c>
      <c r="F4411" s="1" t="str">
        <f>IFERROR(VLOOKUP(B4411,'SB1'!$A$2:$C$999999,3,FALSE),"")</f>
        <v>503</v>
      </c>
      <c r="G4411" s="3" t="e">
        <f t="shared" si="149"/>
        <v>#VALUE!</v>
      </c>
      <c r="H4411" s="3" t="e">
        <f t="shared" si="150"/>
        <v>#VALUE!</v>
      </c>
      <c r="I4411" s="1">
        <v>1</v>
      </c>
    </row>
    <row r="4412" spans="1:9" x14ac:dyDescent="0.25">
      <c r="A4412" s="1" t="s">
        <v>14435</v>
      </c>
      <c r="B4412" s="1" t="s">
        <v>13265</v>
      </c>
      <c r="C4412" s="1" t="str">
        <f>IFERROR(VLOOKUP(B4412,'SB1'!$A$2:$B$999999,2,FALSE),"")</f>
        <v>ESMALTE SINTETICO ALBALUX BRILLANTE OCRE X 1</v>
      </c>
      <c r="D4412" s="1" t="s">
        <v>14441</v>
      </c>
      <c r="E4412" s="3">
        <f>IFERROR(VLOOKUP(B4412,'DA1'!$B$2:$D$999999,3,FALSE),"")</f>
      </c>
      <c r="F4412" s="1" t="str">
        <f>IFERROR(VLOOKUP(B4412,'SB1'!$A$2:$C$999999,3,FALSE),"")</f>
        <v>503</v>
      </c>
      <c r="G4412" s="3" t="e">
        <f t="shared" si="149"/>
        <v>#VALUE!</v>
      </c>
      <c r="H4412" s="3" t="e">
        <f t="shared" si="150"/>
        <v>#VALUE!</v>
      </c>
      <c r="I4412" s="1">
        <v>1</v>
      </c>
    </row>
    <row r="4413" spans="1:9" x14ac:dyDescent="0.25">
      <c r="A4413" s="1" t="s">
        <v>14435</v>
      </c>
      <c r="B4413" s="1" t="s">
        <v>13267</v>
      </c>
      <c r="C4413" s="1" t="str">
        <f>IFERROR(VLOOKUP(B4413,'SB1'!$A$2:$B$999999,2,FALSE),"")</f>
        <v>ESMALTE SINTETICO ALBALUX BRILLANTE TABACO X 1</v>
      </c>
      <c r="D4413" s="1" t="s">
        <v>14441</v>
      </c>
      <c r="E4413" s="3">
        <f>IFERROR(VLOOKUP(B4413,'DA1'!$B$2:$D$999999,3,FALSE),"")</f>
      </c>
      <c r="F4413" s="1" t="str">
        <f>IFERROR(VLOOKUP(B4413,'SB1'!$A$2:$C$999999,3,FALSE),"")</f>
        <v>503</v>
      </c>
      <c r="G4413" s="3" t="e">
        <f t="shared" si="149"/>
        <v>#VALUE!</v>
      </c>
      <c r="H4413" s="3" t="e">
        <f t="shared" si="150"/>
        <v>#VALUE!</v>
      </c>
      <c r="I4413" s="1">
        <v>1</v>
      </c>
    </row>
    <row r="4414" spans="1:9" x14ac:dyDescent="0.25">
      <c r="A4414" s="1" t="s">
        <v>14435</v>
      </c>
      <c r="B4414" s="1" t="s">
        <v>13269</v>
      </c>
      <c r="C4414" s="1" t="str">
        <f>IFERROR(VLOOKUP(B4414,'SB1'!$A$2:$B$999999,2,FALSE),"")</f>
        <v>ESMALTE SINTETICO ALBALUX BRILLANTE BEIGE X 4</v>
      </c>
      <c r="D4414" s="1" t="s">
        <v>14441</v>
      </c>
      <c r="E4414" s="3">
        <f>IFERROR(VLOOKUP(B4414,'DA1'!$B$2:$D$999999,3,FALSE),"")</f>
      </c>
      <c r="F4414" s="1" t="str">
        <f>IFERROR(VLOOKUP(B4414,'SB1'!$A$2:$C$999999,3,FALSE),"")</f>
        <v>503</v>
      </c>
      <c r="G4414" s="3" t="e">
        <f t="shared" si="149"/>
        <v>#VALUE!</v>
      </c>
      <c r="H4414" s="3" t="e">
        <f t="shared" si="150"/>
        <v>#VALUE!</v>
      </c>
      <c r="I4414" s="1">
        <v>1</v>
      </c>
    </row>
    <row r="4415" spans="1:9" x14ac:dyDescent="0.25">
      <c r="A4415" s="1" t="s">
        <v>14435</v>
      </c>
      <c r="B4415" s="1" t="s">
        <v>13271</v>
      </c>
      <c r="C4415" s="1" t="str">
        <f>IFERROR(VLOOKUP(B4415,'SB1'!$A$2:$B$999999,2,FALSE),"")</f>
        <v>ESMALTE SINTETICO ALBALUX BRILLANTE MARFIL X 4</v>
      </c>
      <c r="D4415" s="1" t="s">
        <v>14439</v>
      </c>
      <c r="E4415" s="3">
        <f>IFERROR(VLOOKUP(B4415,'DA1'!$B$2:$D$999999,3,FALSE),"")</f>
      </c>
      <c r="F4415" s="1" t="str">
        <f>IFERROR(VLOOKUP(B4415,'SB1'!$A$2:$C$999999,3,FALSE),"")</f>
        <v>503</v>
      </c>
      <c r="G4415" s="3" t="e">
        <f t="shared" si="149"/>
        <v>#VALUE!</v>
      </c>
      <c r="H4415" s="3" t="e">
        <f t="shared" si="150"/>
        <v>#VALUE!</v>
      </c>
      <c r="I4415" s="1">
        <v>1</v>
      </c>
    </row>
    <row r="4416" spans="1:9" x14ac:dyDescent="0.25">
      <c r="A4416" s="1" t="s">
        <v>14435</v>
      </c>
      <c r="B4416" s="1" t="s">
        <v>13273</v>
      </c>
      <c r="C4416" s="1" t="str">
        <f>IFERROR(VLOOKUP(B4416,'SB1'!$A$2:$B$999999,2,FALSE),"")</f>
        <v>ESMALTE SINTETICO ALBALUX BRILLANTE CEDRO X 4</v>
      </c>
      <c r="D4416" s="1" t="s">
        <v>14441</v>
      </c>
      <c r="E4416" s="3">
        <f>IFERROR(VLOOKUP(B4416,'DA1'!$B$2:$D$999999,3,FALSE),"")</f>
      </c>
      <c r="F4416" s="1" t="str">
        <f>IFERROR(VLOOKUP(B4416,'SB1'!$A$2:$C$999999,3,FALSE),"")</f>
        <v>503</v>
      </c>
      <c r="G4416" s="3" t="e">
        <f t="shared" si="149"/>
        <v>#VALUE!</v>
      </c>
      <c r="H4416" s="3" t="e">
        <f t="shared" si="150"/>
        <v>#VALUE!</v>
      </c>
      <c r="I4416" s="1">
        <v>1</v>
      </c>
    </row>
    <row r="4417" spans="1:9" x14ac:dyDescent="0.25">
      <c r="A4417" s="1" t="s">
        <v>14435</v>
      </c>
      <c r="B4417" s="1" t="s">
        <v>13275</v>
      </c>
      <c r="C4417" s="1" t="str">
        <f>IFERROR(VLOOKUP(B4417,'SB1'!$A$2:$B$999999,2,FALSE),"")</f>
        <v>ESMALTE SINTETICO ALBALUX BRILLANTE NEGRO X  4</v>
      </c>
      <c r="D4417" s="1" t="s">
        <v>14441</v>
      </c>
      <c r="E4417" s="3">
        <f>IFERROR(VLOOKUP(B4417,'DA1'!$B$2:$D$999999,3,FALSE),"")</f>
      </c>
      <c r="F4417" s="1" t="str">
        <f>IFERROR(VLOOKUP(B4417,'SB1'!$A$2:$C$999999,3,FALSE),"")</f>
        <v>503</v>
      </c>
      <c r="G4417" s="3" t="e">
        <f t="shared" si="149"/>
        <v>#VALUE!</v>
      </c>
      <c r="H4417" s="3" t="e">
        <f t="shared" si="150"/>
        <v>#VALUE!</v>
      </c>
      <c r="I4417" s="1">
        <v>1</v>
      </c>
    </row>
    <row r="4418" spans="1:9" x14ac:dyDescent="0.25">
      <c r="A4418" s="1" t="s">
        <v>14435</v>
      </c>
      <c r="B4418" s="1" t="s">
        <v>13277</v>
      </c>
      <c r="C4418" s="1" t="str">
        <f>IFERROR(VLOOKUP(B4418,'SB1'!$A$2:$B$999999,2,FALSE),"")</f>
        <v>ESMALTE SINTETICO ALBALUX BRILLANTE MARRON X 4</v>
      </c>
      <c r="D4418" s="1" t="s">
        <v>14441</v>
      </c>
      <c r="E4418" s="3">
        <f>IFERROR(VLOOKUP(B4418,'DA1'!$B$2:$D$999999,3,FALSE),"")</f>
      </c>
      <c r="F4418" s="1" t="str">
        <f>IFERROR(VLOOKUP(B4418,'SB1'!$A$2:$C$999999,3,FALSE),"")</f>
        <v>503</v>
      </c>
      <c r="G4418" s="3" t="e">
        <f t="shared" si="149"/>
        <v>#VALUE!</v>
      </c>
      <c r="H4418" s="3" t="e">
        <f t="shared" si="150"/>
        <v>#VALUE!</v>
      </c>
      <c r="I4418" s="1">
        <v>1</v>
      </c>
    </row>
    <row r="4419" spans="1:9" x14ac:dyDescent="0.25">
      <c r="A4419" s="1" t="s">
        <v>14435</v>
      </c>
      <c r="B4419" s="1" t="s">
        <v>13279</v>
      </c>
      <c r="C4419" s="1" t="str">
        <f>IFERROR(VLOOKUP(B4419,'SB1'!$A$2:$B$999999,2,FALSE),"")</f>
        <v>ESMALTE SINTETICO ALBALUX BRILLANTE V. CLARO X 4</v>
      </c>
      <c r="D4419" s="1" t="s">
        <v>14441</v>
      </c>
      <c r="E4419" s="3">
        <f>IFERROR(VLOOKUP(B4419,'DA1'!$B$2:$D$999999,3,FALSE),"")</f>
      </c>
      <c r="F4419" s="1" t="str">
        <f>IFERROR(VLOOKUP(B4419,'SB1'!$A$2:$C$999999,3,FALSE),"")</f>
        <v>503</v>
      </c>
      <c r="G4419" s="3" t="e">
        <f t="shared" ref="G4419:G4482" si="151">E4419*1.04</f>
        <v>#VALUE!</v>
      </c>
      <c r="H4419" s="3" t="e">
        <f t="shared" si="150"/>
        <v>#VALUE!</v>
      </c>
      <c r="I4419" s="1">
        <v>1</v>
      </c>
    </row>
    <row r="4420" spans="1:9" x14ac:dyDescent="0.25">
      <c r="A4420" s="1" t="s">
        <v>14435</v>
      </c>
      <c r="B4420" s="1" t="s">
        <v>13281</v>
      </c>
      <c r="C4420" s="1" t="str">
        <f>IFERROR(VLOOKUP(B4420,'SB1'!$A$2:$B$999999,2,FALSE),"")</f>
        <v>ESMALTE SINTETICO ALBALUX BRILLANTE GRIS X 4</v>
      </c>
      <c r="D4420" s="1" t="s">
        <v>14441</v>
      </c>
      <c r="E4420" s="3">
        <f>IFERROR(VLOOKUP(B4420,'DA1'!$B$2:$D$999999,3,FALSE),"")</f>
      </c>
      <c r="F4420" s="1" t="str">
        <f>IFERROR(VLOOKUP(B4420,'SB1'!$A$2:$C$999999,3,FALSE),"")</f>
        <v>503</v>
      </c>
      <c r="G4420" s="3" t="e">
        <f t="shared" si="151"/>
        <v>#VALUE!</v>
      </c>
      <c r="H4420" s="3" t="e">
        <f t="shared" ref="H4420:H4483" si="152">G4420*1.21</f>
        <v>#VALUE!</v>
      </c>
      <c r="I4420" s="1">
        <v>1</v>
      </c>
    </row>
    <row r="4421" spans="1:9" x14ac:dyDescent="0.25">
      <c r="A4421" s="1" t="s">
        <v>14435</v>
      </c>
      <c r="B4421" s="1" t="s">
        <v>13283</v>
      </c>
      <c r="C4421" s="1" t="str">
        <f>IFERROR(VLOOKUP(B4421,'SB1'!$A$2:$B$999999,2,FALSE),"")</f>
        <v>ESMALTE SINTETICO ALBALUX BRILLANTE G. VISON X 4</v>
      </c>
      <c r="D4421" s="1" t="s">
        <v>14439</v>
      </c>
      <c r="E4421" s="3">
        <f>IFERROR(VLOOKUP(B4421,'DA1'!$B$2:$D$999999,3,FALSE),"")</f>
      </c>
      <c r="F4421" s="1" t="str">
        <f>IFERROR(VLOOKUP(B4421,'SB1'!$A$2:$C$999999,3,FALSE),"")</f>
        <v>503</v>
      </c>
      <c r="G4421" s="3" t="e">
        <f t="shared" si="151"/>
        <v>#VALUE!</v>
      </c>
      <c r="H4421" s="3" t="e">
        <f t="shared" si="152"/>
        <v>#VALUE!</v>
      </c>
      <c r="I4421" s="1">
        <v>1</v>
      </c>
    </row>
    <row r="4422" spans="1:9" x14ac:dyDescent="0.25">
      <c r="A4422" s="1" t="s">
        <v>14435</v>
      </c>
      <c r="B4422" s="1" t="s">
        <v>13285</v>
      </c>
      <c r="C4422" s="1" t="str">
        <f>IFERROR(VLOOKUP(B4422,'SB1'!$A$2:$B$999999,2,FALSE),"")</f>
        <v>ESMALTE SINTETICO ALBALUX BRILLANTE ESMERALDA X 4</v>
      </c>
      <c r="D4422" s="1" t="s">
        <v>14441</v>
      </c>
      <c r="E4422" s="3">
        <f>IFERROR(VLOOKUP(B4422,'DA1'!$B$2:$D$999999,3,FALSE),"")</f>
      </c>
      <c r="F4422" s="1" t="str">
        <f>IFERROR(VLOOKUP(B4422,'SB1'!$A$2:$C$999999,3,FALSE),"")</f>
        <v>503</v>
      </c>
      <c r="G4422" s="3" t="e">
        <f t="shared" si="151"/>
        <v>#VALUE!</v>
      </c>
      <c r="H4422" s="3" t="e">
        <f t="shared" si="152"/>
        <v>#VALUE!</v>
      </c>
      <c r="I4422" s="1">
        <v>1</v>
      </c>
    </row>
    <row r="4423" spans="1:9" x14ac:dyDescent="0.25">
      <c r="A4423" s="1" t="s">
        <v>14435</v>
      </c>
      <c r="B4423" s="1" t="s">
        <v>13287</v>
      </c>
      <c r="C4423" s="1" t="str">
        <f>IFERROR(VLOOKUP(B4423,'SB1'!$A$2:$B$999999,2,FALSE),"")</f>
        <v>ESMALTE SINTETICO ALBALUX BRILLANTE CELESTE X 4</v>
      </c>
      <c r="D4423" s="1" t="s">
        <v>14439</v>
      </c>
      <c r="E4423" s="3">
        <f>IFERROR(VLOOKUP(B4423,'DA1'!$B$2:$D$999999,3,FALSE),"")</f>
      </c>
      <c r="F4423" s="1" t="str">
        <f>IFERROR(VLOOKUP(B4423,'SB1'!$A$2:$C$999999,3,FALSE),"")</f>
        <v>503</v>
      </c>
      <c r="G4423" s="3" t="e">
        <f t="shared" si="151"/>
        <v>#VALUE!</v>
      </c>
      <c r="H4423" s="3" t="e">
        <f t="shared" si="152"/>
        <v>#VALUE!</v>
      </c>
      <c r="I4423" s="1">
        <v>1</v>
      </c>
    </row>
    <row r="4424" spans="1:9" x14ac:dyDescent="0.25">
      <c r="A4424" s="1" t="s">
        <v>14435</v>
      </c>
      <c r="B4424" s="1" t="s">
        <v>13289</v>
      </c>
      <c r="C4424" s="1" t="str">
        <f>IFERROR(VLOOKUP(B4424,'SB1'!$A$2:$B$999999,2,FALSE),"")</f>
        <v>ESMALTE SINTETICO ALBALUX BRILLANTE M. SEDA X 4</v>
      </c>
      <c r="D4424" s="1" t="s">
        <v>14441</v>
      </c>
      <c r="E4424" s="3">
        <f>IFERROR(VLOOKUP(B4424,'DA1'!$B$2:$D$999999,3,FALSE),"")</f>
      </c>
      <c r="F4424" s="1" t="str">
        <f>IFERROR(VLOOKUP(B4424,'SB1'!$A$2:$C$999999,3,FALSE),"")</f>
        <v>503</v>
      </c>
      <c r="G4424" s="3" t="e">
        <f t="shared" si="151"/>
        <v>#VALUE!</v>
      </c>
      <c r="H4424" s="3" t="e">
        <f t="shared" si="152"/>
        <v>#VALUE!</v>
      </c>
      <c r="I4424" s="1">
        <v>1</v>
      </c>
    </row>
    <row r="4425" spans="1:9" x14ac:dyDescent="0.25">
      <c r="A4425" s="1" t="s">
        <v>14435</v>
      </c>
      <c r="B4425" s="1" t="s">
        <v>13291</v>
      </c>
      <c r="C4425" s="1" t="str">
        <f>IFERROR(VLOOKUP(B4425,'SB1'!$A$2:$B$999999,2,FALSE),"")</f>
        <v>ESMALTE SINTETICO ALBALUX BRILLANTE G. ESPACIAL X 4</v>
      </c>
      <c r="D4425" s="1" t="s">
        <v>14441</v>
      </c>
      <c r="E4425" s="3">
        <f>IFERROR(VLOOKUP(B4425,'DA1'!$B$2:$D$999999,3,FALSE),"")</f>
      </c>
      <c r="F4425" s="1" t="str">
        <f>IFERROR(VLOOKUP(B4425,'SB1'!$A$2:$C$999999,3,FALSE),"")</f>
        <v>503</v>
      </c>
      <c r="G4425" s="3" t="e">
        <f t="shared" si="151"/>
        <v>#VALUE!</v>
      </c>
      <c r="H4425" s="3" t="e">
        <f t="shared" si="152"/>
        <v>#VALUE!</v>
      </c>
      <c r="I4425" s="1">
        <v>1</v>
      </c>
    </row>
    <row r="4426" spans="1:9" x14ac:dyDescent="0.25">
      <c r="A4426" s="1" t="s">
        <v>14435</v>
      </c>
      <c r="B4426" s="1" t="s">
        <v>13293</v>
      </c>
      <c r="C4426" s="1" t="str">
        <f>IFERROR(VLOOKUP(B4426,'SB1'!$A$2:$B$999999,2,FALSE),"")</f>
        <v>ESMALTE SINTETICO ALBALUX BRILLANTE PERLA X  4</v>
      </c>
      <c r="D4426" s="1" t="s">
        <v>14441</v>
      </c>
      <c r="E4426" s="3">
        <f>IFERROR(VLOOKUP(B4426,'DA1'!$B$2:$D$999999,3,FALSE),"")</f>
      </c>
      <c r="F4426" s="1" t="str">
        <f>IFERROR(VLOOKUP(B4426,'SB1'!$A$2:$C$999999,3,FALSE),"")</f>
        <v>503</v>
      </c>
      <c r="G4426" s="3" t="e">
        <f t="shared" si="151"/>
        <v>#VALUE!</v>
      </c>
      <c r="H4426" s="3" t="e">
        <f t="shared" si="152"/>
        <v>#VALUE!</v>
      </c>
      <c r="I4426" s="1">
        <v>1</v>
      </c>
    </row>
    <row r="4427" spans="1:9" x14ac:dyDescent="0.25">
      <c r="A4427" s="1" t="s">
        <v>14435</v>
      </c>
      <c r="B4427" s="1" t="s">
        <v>13295</v>
      </c>
      <c r="C4427" s="1" t="str">
        <f>IFERROR(VLOOKUP(B4427,'SB1'!$A$2:$B$999999,2,FALSE),"")</f>
        <v>ESMALTE SINTETICO ALBALUX BRILLANTE G. HIELO X 4</v>
      </c>
      <c r="D4427" s="1" t="s">
        <v>14441</v>
      </c>
      <c r="E4427" s="3">
        <f>IFERROR(VLOOKUP(B4427,'DA1'!$B$2:$D$999999,3,FALSE),"")</f>
      </c>
      <c r="F4427" s="1" t="str">
        <f>IFERROR(VLOOKUP(B4427,'SB1'!$A$2:$C$999999,3,FALSE),"")</f>
        <v>503</v>
      </c>
      <c r="G4427" s="3" t="e">
        <f t="shared" si="151"/>
        <v>#VALUE!</v>
      </c>
      <c r="H4427" s="3" t="e">
        <f t="shared" si="152"/>
        <v>#VALUE!</v>
      </c>
      <c r="I4427" s="1">
        <v>1</v>
      </c>
    </row>
    <row r="4428" spans="1:9" x14ac:dyDescent="0.25">
      <c r="A4428" s="1" t="s">
        <v>14435</v>
      </c>
      <c r="B4428" s="1" t="s">
        <v>13297</v>
      </c>
      <c r="C4428" s="1" t="str">
        <f>IFERROR(VLOOKUP(B4428,'SB1'!$A$2:$B$999999,2,FALSE),"")</f>
        <v>ESMALTE SINTETICO ALBALUX BRILLANTE V. INGLES X  4</v>
      </c>
      <c r="D4428" s="1" t="s">
        <v>14441</v>
      </c>
      <c r="E4428" s="3">
        <f>IFERROR(VLOOKUP(B4428,'DA1'!$B$2:$D$999999,3,FALSE),"")</f>
      </c>
      <c r="F4428" s="1" t="str">
        <f>IFERROR(VLOOKUP(B4428,'SB1'!$A$2:$C$999999,3,FALSE),"")</f>
        <v>503</v>
      </c>
      <c r="G4428" s="3" t="e">
        <f t="shared" si="151"/>
        <v>#VALUE!</v>
      </c>
      <c r="H4428" s="3" t="e">
        <f t="shared" si="152"/>
        <v>#VALUE!</v>
      </c>
      <c r="I4428" s="1">
        <v>1</v>
      </c>
    </row>
    <row r="4429" spans="1:9" x14ac:dyDescent="0.25">
      <c r="A4429" s="1" t="s">
        <v>14435</v>
      </c>
      <c r="B4429" s="1" t="s">
        <v>13299</v>
      </c>
      <c r="C4429" s="1" t="str">
        <f>IFERROR(VLOOKUP(B4429,'SB1'!$A$2:$B$999999,2,FALSE),"")</f>
        <v>ESMALTE SINTETICO ALBALUX BRILLANTE AZULEJO X 4</v>
      </c>
      <c r="D4429" s="1" t="s">
        <v>14441</v>
      </c>
      <c r="E4429" s="3">
        <f>IFERROR(VLOOKUP(B4429,'DA1'!$B$2:$D$999999,3,FALSE),"")</f>
      </c>
      <c r="F4429" s="1" t="str">
        <f>IFERROR(VLOOKUP(B4429,'SB1'!$A$2:$C$999999,3,FALSE),"")</f>
        <v>503</v>
      </c>
      <c r="G4429" s="3" t="e">
        <f t="shared" si="151"/>
        <v>#VALUE!</v>
      </c>
      <c r="H4429" s="3" t="e">
        <f t="shared" si="152"/>
        <v>#VALUE!</v>
      </c>
      <c r="I4429" s="1">
        <v>1</v>
      </c>
    </row>
    <row r="4430" spans="1:9" x14ac:dyDescent="0.25">
      <c r="A4430" s="1" t="s">
        <v>14435</v>
      </c>
      <c r="B4430" s="1" t="s">
        <v>13301</v>
      </c>
      <c r="C4430" s="1" t="str">
        <f>IFERROR(VLOOKUP(B4430,'SB1'!$A$2:$B$999999,2,FALSE),"")</f>
        <v>ESMALTE SINTETICO ALBALUX BRILLANTE M. CHAMPAGNE (CASTOR) X 4</v>
      </c>
      <c r="D4430" s="1" t="s">
        <v>14441</v>
      </c>
      <c r="E4430" s="3">
        <f>IFERROR(VLOOKUP(B4430,'DA1'!$B$2:$D$999999,3,FALSE),"")</f>
      </c>
      <c r="F4430" s="1" t="str">
        <f>IFERROR(VLOOKUP(B4430,'SB1'!$A$2:$C$999999,3,FALSE),"")</f>
        <v>503</v>
      </c>
      <c r="G4430" s="3" t="e">
        <f t="shared" si="151"/>
        <v>#VALUE!</v>
      </c>
      <c r="H4430" s="3" t="e">
        <f t="shared" si="152"/>
        <v>#VALUE!</v>
      </c>
      <c r="I4430" s="1">
        <v>1</v>
      </c>
    </row>
    <row r="4431" spans="1:9" x14ac:dyDescent="0.25">
      <c r="A4431" s="1" t="s">
        <v>14435</v>
      </c>
      <c r="B4431" s="1" t="s">
        <v>13303</v>
      </c>
      <c r="C4431" s="1" t="str">
        <f>IFERROR(VLOOKUP(B4431,'SB1'!$A$2:$B$999999,2,FALSE),"")</f>
        <v>ESMALTE SINTETICO ALBALUX BRILLANTE V. ILUSION X 4</v>
      </c>
      <c r="D4431" s="1" t="s">
        <v>14441</v>
      </c>
      <c r="E4431" s="3">
        <f>IFERROR(VLOOKUP(B4431,'DA1'!$B$2:$D$999999,3,FALSE),"")</f>
      </c>
      <c r="F4431" s="1" t="str">
        <f>IFERROR(VLOOKUP(B4431,'SB1'!$A$2:$C$999999,3,FALSE),"")</f>
        <v>503</v>
      </c>
      <c r="G4431" s="3" t="e">
        <f t="shared" si="151"/>
        <v>#VALUE!</v>
      </c>
      <c r="H4431" s="3" t="e">
        <f t="shared" si="152"/>
        <v>#VALUE!</v>
      </c>
      <c r="I4431" s="1">
        <v>1</v>
      </c>
    </row>
    <row r="4432" spans="1:9" x14ac:dyDescent="0.25">
      <c r="A4432" s="1" t="s">
        <v>14435</v>
      </c>
      <c r="B4432" s="1" t="s">
        <v>13307</v>
      </c>
      <c r="C4432" s="1" t="str">
        <f>IFERROR(VLOOKUP(B4432,'SB1'!$A$2:$B$999999,2,FALSE),"")</f>
        <v>ESMALTE SINTETICO ALBALUX BRILLANTE CREMA X 4</v>
      </c>
      <c r="D4432" s="1" t="s">
        <v>14439</v>
      </c>
      <c r="E4432" s="3">
        <f>IFERROR(VLOOKUP(B4432,'DA1'!$B$2:$D$999999,3,FALSE),"")</f>
      </c>
      <c r="F4432" s="1" t="str">
        <f>IFERROR(VLOOKUP(B4432,'SB1'!$A$2:$C$999999,3,FALSE),"")</f>
        <v>503</v>
      </c>
      <c r="G4432" s="3" t="e">
        <f t="shared" si="151"/>
        <v>#VALUE!</v>
      </c>
      <c r="H4432" s="3" t="e">
        <f t="shared" si="152"/>
        <v>#VALUE!</v>
      </c>
      <c r="I4432" s="1">
        <v>1</v>
      </c>
    </row>
    <row r="4433" spans="1:9" x14ac:dyDescent="0.25">
      <c r="A4433" s="1" t="s">
        <v>14435</v>
      </c>
      <c r="B4433" s="1" t="s">
        <v>13309</v>
      </c>
      <c r="C4433" s="1" t="str">
        <f>IFERROR(VLOOKUP(B4433,'SB1'!$A$2:$B$999999,2,FALSE),"")</f>
        <v>ESMALTE SINTETICO ALBALUX BRILLANTE CASTANO X 4</v>
      </c>
      <c r="D4433" s="1" t="s">
        <v>14439</v>
      </c>
      <c r="E4433" s="3">
        <f>IFERROR(VLOOKUP(B4433,'DA1'!$B$2:$D$999999,3,FALSE),"")</f>
      </c>
      <c r="F4433" s="1" t="str">
        <f>IFERROR(VLOOKUP(B4433,'SB1'!$A$2:$C$999999,3,FALSE),"")</f>
        <v>503</v>
      </c>
      <c r="G4433" s="3" t="e">
        <f t="shared" si="151"/>
        <v>#VALUE!</v>
      </c>
      <c r="H4433" s="3" t="e">
        <f t="shared" si="152"/>
        <v>#VALUE!</v>
      </c>
      <c r="I4433" s="1">
        <v>1</v>
      </c>
    </row>
    <row r="4434" spans="1:9" x14ac:dyDescent="0.25">
      <c r="A4434" s="1" t="s">
        <v>14435</v>
      </c>
      <c r="B4434" s="1" t="s">
        <v>13311</v>
      </c>
      <c r="C4434" s="1" t="str">
        <f>IFERROR(VLOOKUP(B4434,'SB1'!$A$2:$B$999999,2,FALSE),"")</f>
        <v>ESMALTE SINTETICO ALBALUX BRILLANTE V. NOCHE X  4</v>
      </c>
      <c r="D4434" s="1" t="s">
        <v>14441</v>
      </c>
      <c r="E4434" s="3">
        <f>IFERROR(VLOOKUP(B4434,'DA1'!$B$2:$D$999999,3,FALSE),"")</f>
      </c>
      <c r="F4434" s="1" t="str">
        <f>IFERROR(VLOOKUP(B4434,'SB1'!$A$2:$C$999999,3,FALSE),"")</f>
        <v>503</v>
      </c>
      <c r="G4434" s="3" t="e">
        <f t="shared" si="151"/>
        <v>#VALUE!</v>
      </c>
      <c r="H4434" s="3" t="e">
        <f t="shared" si="152"/>
        <v>#VALUE!</v>
      </c>
      <c r="I4434" s="1">
        <v>1</v>
      </c>
    </row>
    <row r="4435" spans="1:9" x14ac:dyDescent="0.25">
      <c r="A4435" s="1" t="s">
        <v>14435</v>
      </c>
      <c r="B4435" s="1" t="s">
        <v>13313</v>
      </c>
      <c r="C4435" s="1" t="str">
        <f>IFERROR(VLOOKUP(B4435,'SB1'!$A$2:$B$999999,2,FALSE),"")</f>
        <v>ESMALTE SINTETICO ALBALUX BRILLANTE TRAFUL X 4</v>
      </c>
      <c r="D4435" s="1" t="s">
        <v>14441</v>
      </c>
      <c r="E4435" s="3">
        <f>IFERROR(VLOOKUP(B4435,'DA1'!$B$2:$D$999999,3,FALSE),"")</f>
      </c>
      <c r="F4435" s="1" t="str">
        <f>IFERROR(VLOOKUP(B4435,'SB1'!$A$2:$C$999999,3,FALSE),"")</f>
        <v>503</v>
      </c>
      <c r="G4435" s="3" t="e">
        <f t="shared" si="151"/>
        <v>#VALUE!</v>
      </c>
      <c r="H4435" s="3" t="e">
        <f t="shared" si="152"/>
        <v>#VALUE!</v>
      </c>
      <c r="I4435" s="1">
        <v>1</v>
      </c>
    </row>
    <row r="4436" spans="1:9" x14ac:dyDescent="0.25">
      <c r="A4436" s="1" t="s">
        <v>14435</v>
      </c>
      <c r="B4436" s="1" t="s">
        <v>13315</v>
      </c>
      <c r="C4436" s="1" t="str">
        <f>IFERROR(VLOOKUP(B4436,'SB1'!$A$2:$B$999999,2,FALSE),"")</f>
        <v>ESMALTE SINTETICO ALBALUX BRILLANTE A. MARINO X  4</v>
      </c>
      <c r="D4436" s="1" t="s">
        <v>14441</v>
      </c>
      <c r="E4436" s="3">
        <f>IFERROR(VLOOKUP(B4436,'DA1'!$B$2:$D$999999,3,FALSE),"")</f>
      </c>
      <c r="F4436" s="1" t="str">
        <f>IFERROR(VLOOKUP(B4436,'SB1'!$A$2:$C$999999,3,FALSE),"")</f>
        <v>503</v>
      </c>
      <c r="G4436" s="3" t="e">
        <f t="shared" si="151"/>
        <v>#VALUE!</v>
      </c>
      <c r="H4436" s="3" t="e">
        <f t="shared" si="152"/>
        <v>#VALUE!</v>
      </c>
      <c r="I4436" s="1">
        <v>1</v>
      </c>
    </row>
    <row r="4437" spans="1:9" x14ac:dyDescent="0.25">
      <c r="A4437" s="1" t="s">
        <v>14435</v>
      </c>
      <c r="B4437" s="1" t="s">
        <v>13317</v>
      </c>
      <c r="C4437" s="1" t="str">
        <f>IFERROR(VLOOKUP(B4437,'SB1'!$A$2:$B$999999,2,FALSE),"")</f>
        <v>ESMALTE SINTETICO ALBALUX BRILLANTE OCRE X 4</v>
      </c>
      <c r="D4437" s="1" t="s">
        <v>14441</v>
      </c>
      <c r="E4437" s="3">
        <f>IFERROR(VLOOKUP(B4437,'DA1'!$B$2:$D$999999,3,FALSE),"")</f>
      </c>
      <c r="F4437" s="1" t="str">
        <f>IFERROR(VLOOKUP(B4437,'SB1'!$A$2:$C$999999,3,FALSE),"")</f>
        <v>503</v>
      </c>
      <c r="G4437" s="3" t="e">
        <f t="shared" si="151"/>
        <v>#VALUE!</v>
      </c>
      <c r="H4437" s="3" t="e">
        <f t="shared" si="152"/>
        <v>#VALUE!</v>
      </c>
      <c r="I4437" s="1">
        <v>1</v>
      </c>
    </row>
    <row r="4438" spans="1:9" x14ac:dyDescent="0.25">
      <c r="A4438" s="1" t="s">
        <v>14435</v>
      </c>
      <c r="B4438" s="1" t="s">
        <v>13319</v>
      </c>
      <c r="C4438" s="1" t="str">
        <f>IFERROR(VLOOKUP(B4438,'SB1'!$A$2:$B$999999,2,FALSE),"")</f>
        <v>ESMALTE SINTETICO ALBALUX BRILLANTE TABACO X 4</v>
      </c>
      <c r="D4438" s="1" t="s">
        <v>14441</v>
      </c>
      <c r="E4438" s="3">
        <f>IFERROR(VLOOKUP(B4438,'DA1'!$B$2:$D$999999,3,FALSE),"")</f>
      </c>
      <c r="F4438" s="1" t="str">
        <f>IFERROR(VLOOKUP(B4438,'SB1'!$A$2:$C$999999,3,FALSE),"")</f>
        <v>503</v>
      </c>
      <c r="G4438" s="3" t="e">
        <f t="shared" si="151"/>
        <v>#VALUE!</v>
      </c>
      <c r="H4438" s="3" t="e">
        <f t="shared" si="152"/>
        <v>#VALUE!</v>
      </c>
      <c r="I4438" s="1">
        <v>1</v>
      </c>
    </row>
    <row r="4439" spans="1:9" x14ac:dyDescent="0.25">
      <c r="A4439" s="1" t="s">
        <v>14435</v>
      </c>
      <c r="B4439" s="1" t="s">
        <v>13321</v>
      </c>
      <c r="C4439" s="1" t="str">
        <f>IFERROR(VLOOKUP(B4439,'SB1'!$A$2:$B$999999,2,FALSE),"")</f>
        <v>DILUYENTE AGUARRAS PARA ESMALTE X   4 (PET)</v>
      </c>
      <c r="D4439" s="1" t="s">
        <v>14472</v>
      </c>
      <c r="E4439" s="3">
        <f>IFERROR(VLOOKUP(B4439,'DA1'!$B$2:$D$999999,3,FALSE),"")</f>
      </c>
      <c r="F4439" s="1" t="str">
        <f>IFERROR(VLOOKUP(B4439,'SB1'!$A$2:$C$999999,3,FALSE),"")</f>
        <v>503</v>
      </c>
      <c r="G4439" s="3" t="e">
        <f t="shared" si="151"/>
        <v>#VALUE!</v>
      </c>
      <c r="H4439" s="3" t="e">
        <f t="shared" si="152"/>
        <v>#VALUE!</v>
      </c>
      <c r="I4439" s="1">
        <v>1</v>
      </c>
    </row>
    <row r="4440" spans="1:9" x14ac:dyDescent="0.25">
      <c r="A4440" s="1" t="s">
        <v>14435</v>
      </c>
      <c r="B4440" s="1" t="s">
        <v>13323</v>
      </c>
      <c r="C4440" s="1" t="str">
        <f>IFERROR(VLOOKUP(B4440,'SB1'!$A$2:$B$999999,2,FALSE),"")</f>
        <v>DILUYENTE AGUARRAS PARA ESMALTE X 18</v>
      </c>
      <c r="D4440" s="1" t="s">
        <v>14472</v>
      </c>
      <c r="E4440" s="3">
        <f>IFERROR(VLOOKUP(B4440,'DA1'!$B$2:$D$999999,3,FALSE),"")</f>
      </c>
      <c r="F4440" s="1" t="str">
        <f>IFERROR(VLOOKUP(B4440,'SB1'!$A$2:$C$999999,3,FALSE),"")</f>
        <v>503</v>
      </c>
      <c r="G4440" s="3" t="e">
        <f t="shared" si="151"/>
        <v>#VALUE!</v>
      </c>
      <c r="H4440" s="3" t="e">
        <f t="shared" si="152"/>
        <v>#VALUE!</v>
      </c>
      <c r="I4440" s="1">
        <v>1</v>
      </c>
    </row>
    <row r="4441" spans="1:9" x14ac:dyDescent="0.25">
      <c r="A4441" s="1" t="s">
        <v>14435</v>
      </c>
      <c r="B4441" s="1" t="s">
        <v>13327</v>
      </c>
      <c r="C4441" s="1" t="str">
        <f>IFERROR(VLOOKUP(B4441,'SB1'!$A$2:$B$999999,2,FALSE),"")</f>
        <v>THINNER STANDARD X   4 (PET)</v>
      </c>
      <c r="D4441" s="1" t="s">
        <v>14472</v>
      </c>
      <c r="E4441" s="3">
        <f>IFERROR(VLOOKUP(B4441,'DA1'!$B$2:$D$999999,3,FALSE),"")</f>
      </c>
      <c r="F4441" s="1" t="str">
        <f>IFERROR(VLOOKUP(B4441,'SB1'!$A$2:$C$999999,3,FALSE),"")</f>
        <v>503</v>
      </c>
      <c r="G4441" s="3" t="e">
        <f t="shared" si="151"/>
        <v>#VALUE!</v>
      </c>
      <c r="H4441" s="3" t="e">
        <f t="shared" si="152"/>
        <v>#VALUE!</v>
      </c>
      <c r="I4441" s="1">
        <v>1</v>
      </c>
    </row>
    <row r="4442" spans="1:9" x14ac:dyDescent="0.25">
      <c r="A4442" s="1" t="s">
        <v>14435</v>
      </c>
      <c r="B4442" s="1" t="s">
        <v>13329</v>
      </c>
      <c r="C4442" s="1" t="str">
        <f>IFERROR(VLOOKUP(B4442,'SB1'!$A$2:$B$999999,2,FALSE),"")</f>
        <v>THINNER SELLO DE ORO X   4 (PET)</v>
      </c>
      <c r="D4442" s="1" t="s">
        <v>14472</v>
      </c>
      <c r="E4442" s="3">
        <f>IFERROR(VLOOKUP(B4442,'DA1'!$B$2:$D$999999,3,FALSE),"")</f>
      </c>
      <c r="F4442" s="1" t="str">
        <f>IFERROR(VLOOKUP(B4442,'SB1'!$A$2:$C$999999,3,FALSE),"")</f>
        <v>503</v>
      </c>
      <c r="G4442" s="3" t="e">
        <f t="shared" si="151"/>
        <v>#VALUE!</v>
      </c>
      <c r="H4442" s="3" t="e">
        <f t="shared" si="152"/>
        <v>#VALUE!</v>
      </c>
      <c r="I4442" s="1">
        <v>1</v>
      </c>
    </row>
    <row r="4443" spans="1:9" x14ac:dyDescent="0.25">
      <c r="A4443" s="1" t="s">
        <v>14435</v>
      </c>
      <c r="B4443" s="1" t="s">
        <v>13331</v>
      </c>
      <c r="C4443" s="1" t="str">
        <f>IFERROR(VLOOKUP(B4443,'SB1'!$A$2:$B$999999,2,FALSE),"")</f>
        <v>THINNER DIXILINA ORO E X  4</v>
      </c>
      <c r="D4443" s="1" t="s">
        <v>14477</v>
      </c>
      <c r="E4443" s="3">
        <f>IFERROR(VLOOKUP(B4443,'DA1'!$B$2:$D$999999,3,FALSE),"")</f>
      </c>
      <c r="F4443" s="1" t="str">
        <f>IFERROR(VLOOKUP(B4443,'SB1'!$A$2:$C$999999,3,FALSE),"")</f>
        <v>503</v>
      </c>
      <c r="G4443" s="3" t="e">
        <f t="shared" si="151"/>
        <v>#VALUE!</v>
      </c>
      <c r="H4443" s="3" t="e">
        <f t="shared" si="152"/>
        <v>#VALUE!</v>
      </c>
      <c r="I4443" s="1">
        <v>1</v>
      </c>
    </row>
    <row r="4444" spans="1:9" x14ac:dyDescent="0.25">
      <c r="A4444" s="1" t="s">
        <v>14435</v>
      </c>
      <c r="B4444" s="1" t="s">
        <v>13333</v>
      </c>
      <c r="C4444" s="1" t="str">
        <f>IFERROR(VLOOKUP(B4444,'SB1'!$A$2:$B$999999,2,FALSE),"")</f>
        <v>DILUYENTE PARA CEMENTO DE CONTACTO X   4</v>
      </c>
      <c r="D4444" s="1" t="s">
        <v>14472</v>
      </c>
      <c r="E4444" s="3">
        <f>IFERROR(VLOOKUP(B4444,'DA1'!$B$2:$D$999999,3,FALSE),"")</f>
      </c>
      <c r="F4444" s="1" t="str">
        <f>IFERROR(VLOOKUP(B4444,'SB1'!$A$2:$C$999999,3,FALSE),"")</f>
        <v>503</v>
      </c>
      <c r="G4444" s="3" t="e">
        <f t="shared" si="151"/>
        <v>#VALUE!</v>
      </c>
      <c r="H4444" s="3" t="e">
        <f t="shared" si="152"/>
        <v>#VALUE!</v>
      </c>
      <c r="I4444" s="1">
        <v>1</v>
      </c>
    </row>
    <row r="4445" spans="1:9" x14ac:dyDescent="0.25">
      <c r="A4445" s="1" t="s">
        <v>14435</v>
      </c>
      <c r="B4445" s="1" t="s">
        <v>13335</v>
      </c>
      <c r="C4445" s="1" t="str">
        <f>IFERROR(VLOOKUP(B4445,'SB1'!$A$2:$B$999999,2,FALSE),"")</f>
        <v>DILUYENTE PARA PILETA Y DEMARCACION VIAL X   4</v>
      </c>
      <c r="D4445" s="1" t="s">
        <v>14472</v>
      </c>
      <c r="E4445" s="3">
        <f>IFERROR(VLOOKUP(B4445,'DA1'!$B$2:$D$999999,3,FALSE),"")</f>
      </c>
      <c r="F4445" s="1" t="str">
        <f>IFERROR(VLOOKUP(B4445,'SB1'!$A$2:$C$999999,3,FALSE),"")</f>
        <v>503</v>
      </c>
      <c r="G4445" s="3" t="e">
        <f t="shared" si="151"/>
        <v>#VALUE!</v>
      </c>
      <c r="H4445" s="3" t="e">
        <f t="shared" si="152"/>
        <v>#VALUE!</v>
      </c>
      <c r="I4445" s="1">
        <v>1</v>
      </c>
    </row>
    <row r="4446" spans="1:9" x14ac:dyDescent="0.25">
      <c r="A4446" s="1" t="s">
        <v>14435</v>
      </c>
      <c r="B4446" s="1" t="s">
        <v>13337</v>
      </c>
      <c r="C4446" s="1" t="str">
        <f>IFERROR(VLOOKUP(B4446,'SB1'!$A$2:$B$999999,2,FALSE),"")</f>
        <v>SOLVENTE INDUSTRIAL X   4</v>
      </c>
      <c r="D4446" s="1" t="s">
        <v>14472</v>
      </c>
      <c r="E4446" s="3">
        <f>IFERROR(VLOOKUP(B4446,'DA1'!$B$2:$D$999999,3,FALSE),"")</f>
      </c>
      <c r="F4446" s="1" t="str">
        <f>IFERROR(VLOOKUP(B4446,'SB1'!$A$2:$C$999999,3,FALSE),"")</f>
        <v>503</v>
      </c>
      <c r="G4446" s="3" t="e">
        <f t="shared" si="151"/>
        <v>#VALUE!</v>
      </c>
      <c r="H4446" s="3" t="e">
        <f t="shared" si="152"/>
        <v>#VALUE!</v>
      </c>
      <c r="I4446" s="1">
        <v>1</v>
      </c>
    </row>
    <row r="4447" spans="1:9" x14ac:dyDescent="0.25">
      <c r="A4447" s="1" t="s">
        <v>14435</v>
      </c>
      <c r="B4447" s="1" t="s">
        <v>13345</v>
      </c>
      <c r="C4447" s="1" t="str">
        <f>IFERROR(VLOOKUP(B4447,'SB1'!$A$2:$B$999999,2,FALSE),"")</f>
        <v>BARNIZ PARA MADERA EXTERIOR ALBATROS BRILLANTE DOBLE VIDA NOGAL X 0,500</v>
      </c>
      <c r="D4447" s="1" t="s">
        <v>14439</v>
      </c>
      <c r="E4447" s="3">
        <f>IFERROR(VLOOKUP(B4447,'DA1'!$B$2:$D$999999,3,FALSE),"")</f>
      </c>
      <c r="F4447" s="1" t="str">
        <f>IFERROR(VLOOKUP(B4447,'SB1'!$A$2:$C$999999,3,FALSE),"")</f>
        <v>503</v>
      </c>
      <c r="G4447" s="3" t="e">
        <f t="shared" si="151"/>
        <v>#VALUE!</v>
      </c>
      <c r="H4447" s="3" t="e">
        <f t="shared" si="152"/>
        <v>#VALUE!</v>
      </c>
      <c r="I4447" s="1">
        <v>1</v>
      </c>
    </row>
    <row r="4448" spans="1:9" x14ac:dyDescent="0.25">
      <c r="A4448" s="1" t="s">
        <v>14435</v>
      </c>
      <c r="B4448" s="1" t="s">
        <v>13347</v>
      </c>
      <c r="C4448" s="1" t="str">
        <f>IFERROR(VLOOKUP(B4448,'SB1'!$A$2:$B$999999,2,FALSE),"")</f>
        <v>DILUYENTE PARA EPOXI PLUS X   4</v>
      </c>
      <c r="D4448" s="1" t="s">
        <v>14472</v>
      </c>
      <c r="E4448" s="3">
        <f>IFERROR(VLOOKUP(B4448,'DA1'!$B$2:$D$999999,3,FALSE),"")</f>
      </c>
      <c r="F4448" s="1" t="str">
        <f>IFERROR(VLOOKUP(B4448,'SB1'!$A$2:$C$999999,3,FALSE),"")</f>
        <v>503</v>
      </c>
      <c r="G4448" s="3" t="e">
        <f t="shared" si="151"/>
        <v>#VALUE!</v>
      </c>
      <c r="H4448" s="3" t="e">
        <f t="shared" si="152"/>
        <v>#VALUE!</v>
      </c>
      <c r="I4448" s="1">
        <v>1</v>
      </c>
    </row>
    <row r="4449" spans="1:9" x14ac:dyDescent="0.25">
      <c r="A4449" s="1" t="s">
        <v>14435</v>
      </c>
      <c r="B4449" s="1" t="s">
        <v>13349</v>
      </c>
      <c r="C4449" s="1" t="str">
        <f>IFERROR(VLOOKUP(B4449,'SB1'!$A$2:$B$999999,2,FALSE),"")</f>
        <v>DILUYENTE POLIURETANICO PLUS X   4</v>
      </c>
      <c r="D4449" s="1" t="s">
        <v>14472</v>
      </c>
      <c r="E4449" s="3">
        <f>IFERROR(VLOOKUP(B4449,'DA1'!$B$2:$D$999999,3,FALSE),"")</f>
      </c>
      <c r="F4449" s="1" t="str">
        <f>IFERROR(VLOOKUP(B4449,'SB1'!$A$2:$C$999999,3,FALSE),"")</f>
        <v>503</v>
      </c>
      <c r="G4449" s="3" t="e">
        <f t="shared" si="151"/>
        <v>#VALUE!</v>
      </c>
      <c r="H4449" s="3" t="e">
        <f t="shared" si="152"/>
        <v>#VALUE!</v>
      </c>
      <c r="I4449" s="1">
        <v>1</v>
      </c>
    </row>
    <row r="4450" spans="1:9" x14ac:dyDescent="0.25">
      <c r="A4450" s="1" t="s">
        <v>14435</v>
      </c>
      <c r="B4450" s="1" t="s">
        <v>13351</v>
      </c>
      <c r="C4450" s="1" t="str">
        <f>IFERROR(VLOOKUP(B4450,'SB1'!$A$2:$B$999999,2,FALSE),"")</f>
        <v>PINTURA PARA PILETA ALBA AL CAUCHO MATE CELESTE PROFUNDO X  1</v>
      </c>
      <c r="D4450" s="1" t="s">
        <v>14441</v>
      </c>
      <c r="E4450" s="3">
        <f>IFERROR(VLOOKUP(B4450,'DA1'!$B$2:$D$999999,3,FALSE),"")</f>
      </c>
      <c r="F4450" s="1" t="str">
        <f>IFERROR(VLOOKUP(B4450,'SB1'!$A$2:$C$999999,3,FALSE),"")</f>
        <v>503</v>
      </c>
      <c r="G4450" s="3" t="e">
        <f t="shared" si="151"/>
        <v>#VALUE!</v>
      </c>
      <c r="H4450" s="3" t="e">
        <f t="shared" si="152"/>
        <v>#VALUE!</v>
      </c>
      <c r="I4450" s="1">
        <v>1</v>
      </c>
    </row>
    <row r="4451" spans="1:9" x14ac:dyDescent="0.25">
      <c r="A4451" s="1" t="s">
        <v>14435</v>
      </c>
      <c r="B4451" s="1" t="s">
        <v>13353</v>
      </c>
      <c r="C4451" s="1" t="str">
        <f>IFERROR(VLOOKUP(B4451,'SB1'!$A$2:$B$999999,2,FALSE),"")</f>
        <v>PINTURA PARA PILETA ALBA AL CAUCHO MATE BLANCO X 4</v>
      </c>
      <c r="D4451" s="1" t="s">
        <v>14441</v>
      </c>
      <c r="E4451" s="3">
        <f>IFERROR(VLOOKUP(B4451,'DA1'!$B$2:$D$999999,3,FALSE),"")</f>
      </c>
      <c r="F4451" s="1" t="str">
        <f>IFERROR(VLOOKUP(B4451,'SB1'!$A$2:$C$999999,3,FALSE),"")</f>
        <v>503</v>
      </c>
      <c r="G4451" s="3" t="e">
        <f t="shared" si="151"/>
        <v>#VALUE!</v>
      </c>
      <c r="H4451" s="3" t="e">
        <f t="shared" si="152"/>
        <v>#VALUE!</v>
      </c>
      <c r="I4451" s="1">
        <v>1</v>
      </c>
    </row>
    <row r="4452" spans="1:9" x14ac:dyDescent="0.25">
      <c r="A4452" s="1" t="s">
        <v>14435</v>
      </c>
      <c r="B4452" s="1" t="s">
        <v>13355</v>
      </c>
      <c r="C4452" s="1" t="str">
        <f>IFERROR(VLOOKUP(B4452,'SB1'!$A$2:$B$999999,2,FALSE),"")</f>
        <v>PINTURA PARA PILETA ALBA AL CAUCHO MATE CELESTE X 4</v>
      </c>
      <c r="D4452" s="1" t="s">
        <v>14441</v>
      </c>
      <c r="E4452" s="3">
        <f>IFERROR(VLOOKUP(B4452,'DA1'!$B$2:$D$999999,3,FALSE),"")</f>
      </c>
      <c r="F4452" s="1" t="str">
        <f>IFERROR(VLOOKUP(B4452,'SB1'!$A$2:$C$999999,3,FALSE),"")</f>
        <v>503</v>
      </c>
      <c r="G4452" s="3" t="e">
        <f t="shared" si="151"/>
        <v>#VALUE!</v>
      </c>
      <c r="H4452" s="3" t="e">
        <f t="shared" si="152"/>
        <v>#VALUE!</v>
      </c>
      <c r="I4452" s="1">
        <v>1</v>
      </c>
    </row>
    <row r="4453" spans="1:9" x14ac:dyDescent="0.25">
      <c r="A4453" s="1" t="s">
        <v>14435</v>
      </c>
      <c r="B4453" s="1" t="s">
        <v>13357</v>
      </c>
      <c r="C4453" s="1" t="str">
        <f>IFERROR(VLOOKUP(B4453,'SB1'!$A$2:$B$999999,2,FALSE),"")</f>
        <v>PINTURA PARA PILETA ALBA AL CAUCHO MATE CELESTE PROFUNDO X  4</v>
      </c>
      <c r="D4453" s="1" t="s">
        <v>14441</v>
      </c>
      <c r="E4453" s="3">
        <f>IFERROR(VLOOKUP(B4453,'DA1'!$B$2:$D$999999,3,FALSE),"")</f>
      </c>
      <c r="F4453" s="1" t="str">
        <f>IFERROR(VLOOKUP(B4453,'SB1'!$A$2:$C$999999,3,FALSE),"")</f>
        <v>503</v>
      </c>
      <c r="G4453" s="3" t="e">
        <f t="shared" si="151"/>
        <v>#VALUE!</v>
      </c>
      <c r="H4453" s="3" t="e">
        <f t="shared" si="152"/>
        <v>#VALUE!</v>
      </c>
      <c r="I4453" s="1">
        <v>1</v>
      </c>
    </row>
    <row r="4454" spans="1:9" x14ac:dyDescent="0.25">
      <c r="A4454" s="1" t="s">
        <v>14435</v>
      </c>
      <c r="B4454" s="1" t="s">
        <v>13359</v>
      </c>
      <c r="C4454" s="1" t="str">
        <f>IFERROR(VLOOKUP(B4454,'SB1'!$A$2:$B$999999,2,FALSE),"")</f>
        <v>ESMALTE SINTETICO TERSUAVE 2EN1 BRILLANTE VERDE CLARO X 20</v>
      </c>
      <c r="D4454" s="1" t="s">
        <v>14437</v>
      </c>
      <c r="E4454" s="3">
        <f>IFERROR(VLOOKUP(B4454,'DA1'!$B$2:$D$999999,3,FALSE),"")</f>
      </c>
      <c r="F4454" s="1" t="str">
        <f>IFERROR(VLOOKUP(B4454,'SB1'!$A$2:$C$999999,3,FALSE),"")</f>
        <v>503</v>
      </c>
      <c r="G4454" s="3" t="e">
        <f t="shared" si="151"/>
        <v>#VALUE!</v>
      </c>
      <c r="H4454" s="3" t="e">
        <f t="shared" si="152"/>
        <v>#VALUE!</v>
      </c>
      <c r="I4454" s="1">
        <v>1</v>
      </c>
    </row>
    <row r="4455" spans="1:9" x14ac:dyDescent="0.25">
      <c r="A4455" s="1" t="s">
        <v>14435</v>
      </c>
      <c r="B4455" s="1" t="s">
        <v>13369</v>
      </c>
      <c r="C4455" s="1" t="str">
        <f>IFERROR(VLOOKUP(B4455,'SB1'!$A$2:$B$999999,2,FALSE),"")</f>
        <v>BARNIZ PARA MADERA EXTERIOR ALBATROS BRILLANTE DOBLE VIDA NATURAL X 1</v>
      </c>
      <c r="D4455" s="1" t="s">
        <v>14439</v>
      </c>
      <c r="E4455" s="3">
        <f>IFERROR(VLOOKUP(B4455,'DA1'!$B$2:$D$999999,3,FALSE),"")</f>
      </c>
      <c r="F4455" s="1" t="str">
        <f>IFERROR(VLOOKUP(B4455,'SB1'!$A$2:$C$999999,3,FALSE),"")</f>
        <v>503</v>
      </c>
      <c r="G4455" s="3" t="e">
        <f t="shared" si="151"/>
        <v>#VALUE!</v>
      </c>
      <c r="H4455" s="3" t="e">
        <f t="shared" si="152"/>
        <v>#VALUE!</v>
      </c>
      <c r="I4455" s="1">
        <v>1</v>
      </c>
    </row>
    <row r="4456" spans="1:9" x14ac:dyDescent="0.25">
      <c r="A4456" s="1" t="s">
        <v>14435</v>
      </c>
      <c r="B4456" s="1" t="s">
        <v>13371</v>
      </c>
      <c r="C4456" s="1" t="str">
        <f>IFERROR(VLOOKUP(B4456,'SB1'!$A$2:$B$999999,2,FALSE),"")</f>
        <v>BARNIZ PARA MADERA EXTERIOR ALBATROS BRILLANTE DOBLE VIDA CEDRO X 1</v>
      </c>
      <c r="D4456" s="1" t="s">
        <v>14439</v>
      </c>
      <c r="E4456" s="3">
        <f>IFERROR(VLOOKUP(B4456,'DA1'!$B$2:$D$999999,3,FALSE),"")</f>
      </c>
      <c r="F4456" s="1" t="str">
        <f>IFERROR(VLOOKUP(B4456,'SB1'!$A$2:$C$999999,3,FALSE),"")</f>
        <v>503</v>
      </c>
      <c r="G4456" s="3" t="e">
        <f t="shared" si="151"/>
        <v>#VALUE!</v>
      </c>
      <c r="H4456" s="3" t="e">
        <f t="shared" si="152"/>
        <v>#VALUE!</v>
      </c>
      <c r="I4456" s="1">
        <v>1</v>
      </c>
    </row>
    <row r="4457" spans="1:8" x14ac:dyDescent="0.25">
      <c r="A4457" s="1" t="s">
        <v>14435</v>
      </c>
      <c r="B4457" s="1" t="s">
        <v>13373</v>
      </c>
      <c r="C4457" s="1" t="str">
        <f>IFERROR(VLOOKUP(B4457,'SB1'!$A$2:$B$999999,2,FALSE),"")</f>
        <v>BARNIZ PARA MADERA EXTERIOR ALBATROS BRILLANTE DOBLE VIDA CAOBA X 1</v>
      </c>
      <c r="D4457" s="1" t="s">
        <v>14439</v>
      </c>
      <c r="E4457" s="3">
        <f>IFERROR(VLOOKUP(B4457,'DA1'!$B$2:$D$999999,3,FALSE),"")</f>
      </c>
      <c r="F4457" s="1" t="str">
        <f>IFERROR(VLOOKUP(B4457,'SB1'!$A$2:$C$999999,3,FALSE),"")</f>
        <v>503</v>
      </c>
      <c r="G4457" s="3" t="e">
        <f t="shared" si="151"/>
        <v>#VALUE!</v>
      </c>
      <c r="H4457" s="3" t="e">
        <f t="shared" si="152"/>
        <v>#VALUE!</v>
      </c>
    </row>
    <row r="4458" spans="1:9" x14ac:dyDescent="0.25">
      <c r="A4458" s="1" t="s">
        <v>14435</v>
      </c>
      <c r="B4458" s="1" t="s">
        <v>13375</v>
      </c>
      <c r="C4458" s="1" t="str">
        <f>IFERROR(VLOOKUP(B4458,'SB1'!$A$2:$B$999999,2,FALSE),"")</f>
        <v>BARNIZ PARA MADERA EXTERIOR ALBATROS BRILLANTE DOBLE VIDA NOGAL X 1</v>
      </c>
      <c r="D4458" s="1" t="s">
        <v>14439</v>
      </c>
      <c r="E4458" s="3">
        <f>IFERROR(VLOOKUP(B4458,'DA1'!$B$2:$D$999999,3,FALSE),"")</f>
      </c>
      <c r="F4458" s="1" t="str">
        <f>IFERROR(VLOOKUP(B4458,'SB1'!$A$2:$C$999999,3,FALSE),"")</f>
        <v>503</v>
      </c>
      <c r="G4458" s="3" t="e">
        <f t="shared" si="151"/>
        <v>#VALUE!</v>
      </c>
      <c r="H4458" s="3" t="e">
        <f t="shared" si="152"/>
        <v>#VALUE!</v>
      </c>
      <c r="I4458" s="1">
        <v>1</v>
      </c>
    </row>
    <row r="4459" spans="1:9" x14ac:dyDescent="0.25">
      <c r="A4459" s="1" t="s">
        <v>14435</v>
      </c>
      <c r="B4459" s="1" t="s">
        <v>13389</v>
      </c>
      <c r="C4459" s="1" t="str">
        <f>IFERROR(VLOOKUP(B4459,'SB1'!$A$2:$B$999999,2,FALSE),"")</f>
        <v>ESMALTE SINTETICO ALBA ALTA TEMPERATURA NEGRO X 1</v>
      </c>
      <c r="D4459" s="1" t="s">
        <v>14439</v>
      </c>
      <c r="E4459" s="3">
        <f>IFERROR(VLOOKUP(B4459,'DA1'!$B$2:$D$999999,3,FALSE),"")</f>
      </c>
      <c r="F4459" s="1" t="str">
        <f>IFERROR(VLOOKUP(B4459,'SB1'!$A$2:$C$999999,3,FALSE),"")</f>
        <v>503</v>
      </c>
      <c r="G4459" s="3" t="e">
        <f t="shared" si="151"/>
        <v>#VALUE!</v>
      </c>
      <c r="H4459" s="3" t="e">
        <f t="shared" si="152"/>
        <v>#VALUE!</v>
      </c>
      <c r="I4459" s="1">
        <v>1</v>
      </c>
    </row>
    <row r="4460" spans="1:9" x14ac:dyDescent="0.25">
      <c r="A4460" s="1" t="s">
        <v>14435</v>
      </c>
      <c r="B4460" s="1" t="s">
        <v>13391</v>
      </c>
      <c r="C4460" s="1" t="str">
        <f>IFERROR(VLOOKUP(B4460,'SB1'!$A$2:$B$999999,2,FALSE),"")</f>
        <v>ESMALTE SINTETICO ALBA ALTA TEMPERATURA ALUMINIO X 1</v>
      </c>
      <c r="D4460" s="1" t="s">
        <v>14441</v>
      </c>
      <c r="E4460" s="3">
        <f>IFERROR(VLOOKUP(B4460,'DA1'!$B$2:$D$999999,3,FALSE),"")</f>
      </c>
      <c r="F4460" s="1" t="str">
        <f>IFERROR(VLOOKUP(B4460,'SB1'!$A$2:$C$999999,3,FALSE),"")</f>
        <v>503</v>
      </c>
      <c r="G4460" s="3" t="e">
        <f t="shared" si="151"/>
        <v>#VALUE!</v>
      </c>
      <c r="H4460" s="3" t="e">
        <f t="shared" si="152"/>
        <v>#VALUE!</v>
      </c>
      <c r="I4460" s="1">
        <v>1</v>
      </c>
    </row>
    <row r="4461" spans="1:9" x14ac:dyDescent="0.25">
      <c r="A4461" s="1" t="s">
        <v>14435</v>
      </c>
      <c r="B4461" s="1" t="s">
        <v>13393</v>
      </c>
      <c r="C4461" s="1" t="str">
        <f>IFERROR(VLOOKUP(B4461,'SB1'!$A$2:$B$999999,2,FALSE),"")</f>
        <v>LATEX EXTERIOR DURALBA MATE GRIS CEMENTO X  1</v>
      </c>
      <c r="D4461" s="1" t="s">
        <v>14441</v>
      </c>
      <c r="E4461" s="3">
        <f>IFERROR(VLOOKUP(B4461,'DA1'!$B$2:$D$999999,3,FALSE),"")</f>
      </c>
      <c r="F4461" s="1" t="str">
        <f>IFERROR(VLOOKUP(B4461,'SB1'!$A$2:$C$999999,3,FALSE),"")</f>
        <v>503</v>
      </c>
      <c r="G4461" s="3" t="e">
        <f t="shared" si="151"/>
        <v>#VALUE!</v>
      </c>
      <c r="H4461" s="3" t="e">
        <f t="shared" si="152"/>
        <v>#VALUE!</v>
      </c>
      <c r="I4461" s="1">
        <v>1</v>
      </c>
    </row>
    <row r="4462" spans="1:9" x14ac:dyDescent="0.25">
      <c r="A4462" s="1" t="s">
        <v>14435</v>
      </c>
      <c r="B4462" s="1" t="s">
        <v>13395</v>
      </c>
      <c r="C4462" s="1" t="str">
        <f>IFERROR(VLOOKUP(B4462,'SB1'!$A$2:$B$999999,2,FALSE),"")</f>
        <v>LATEX EXTERIOR DURALBA MATE MARRON X  1</v>
      </c>
      <c r="D4462" s="1" t="s">
        <v>14441</v>
      </c>
      <c r="E4462" s="3">
        <f>IFERROR(VLOOKUP(B4462,'DA1'!$B$2:$D$999999,3,FALSE),"")</f>
      </c>
      <c r="F4462" s="1" t="str">
        <f>IFERROR(VLOOKUP(B4462,'SB1'!$A$2:$C$999999,3,FALSE),"")</f>
        <v>503</v>
      </c>
      <c r="G4462" s="3" t="e">
        <f t="shared" si="151"/>
        <v>#VALUE!</v>
      </c>
      <c r="H4462" s="3" t="e">
        <f t="shared" si="152"/>
        <v>#VALUE!</v>
      </c>
      <c r="I4462" s="1">
        <v>1</v>
      </c>
    </row>
    <row r="4463" spans="1:9" x14ac:dyDescent="0.25">
      <c r="A4463" s="1" t="s">
        <v>14435</v>
      </c>
      <c r="B4463" s="1" t="s">
        <v>13397</v>
      </c>
      <c r="C4463" s="1" t="str">
        <f>IFERROR(VLOOKUP(B4463,'SB1'!$A$2:$B$999999,2,FALSE),"")</f>
        <v>LATEX EXTERIOR DURALBA MATE OCRE X  1</v>
      </c>
      <c r="D4463" s="1" t="s">
        <v>14441</v>
      </c>
      <c r="E4463" s="3">
        <f>IFERROR(VLOOKUP(B4463,'DA1'!$B$2:$D$999999,3,FALSE),"")</f>
      </c>
      <c r="F4463" s="1" t="str">
        <f>IFERROR(VLOOKUP(B4463,'SB1'!$A$2:$C$999999,3,FALSE),"")</f>
        <v>503</v>
      </c>
      <c r="G4463" s="3" t="e">
        <f t="shared" si="151"/>
        <v>#VALUE!</v>
      </c>
      <c r="H4463" s="3" t="e">
        <f t="shared" si="152"/>
        <v>#VALUE!</v>
      </c>
      <c r="I4463" s="1">
        <v>1</v>
      </c>
    </row>
    <row r="4464" spans="1:9" x14ac:dyDescent="0.25">
      <c r="A4464" s="1" t="s">
        <v>14435</v>
      </c>
      <c r="B4464" s="1" t="s">
        <v>13399</v>
      </c>
      <c r="C4464" s="1" t="str">
        <f>IFERROR(VLOOKUP(B4464,'SB1'!$A$2:$B$999999,2,FALSE),"")</f>
        <v>LATEX EXTERIOR DURALBA MATE AZUL X  1</v>
      </c>
      <c r="D4464" s="1" t="s">
        <v>14441</v>
      </c>
      <c r="E4464" s="3">
        <f>IFERROR(VLOOKUP(B4464,'DA1'!$B$2:$D$999999,3,FALSE),"")</f>
      </c>
      <c r="F4464" s="1" t="str">
        <f>IFERROR(VLOOKUP(B4464,'SB1'!$A$2:$C$999999,3,FALSE),"")</f>
        <v>503</v>
      </c>
      <c r="G4464" s="3" t="e">
        <f t="shared" si="151"/>
        <v>#VALUE!</v>
      </c>
      <c r="H4464" s="3" t="e">
        <f t="shared" si="152"/>
        <v>#VALUE!</v>
      </c>
      <c r="I4464" s="1">
        <v>1</v>
      </c>
    </row>
    <row r="4465" spans="1:9" x14ac:dyDescent="0.25">
      <c r="A4465" s="1" t="s">
        <v>14435</v>
      </c>
      <c r="B4465" s="1" t="s">
        <v>13401</v>
      </c>
      <c r="C4465" s="1" t="str">
        <f>IFERROR(VLOOKUP(B4465,'SB1'!$A$2:$B$999999,2,FALSE),"")</f>
        <v>LATEX EXTERIOR DURALBA MATE VERDE MUSGO X  1</v>
      </c>
      <c r="D4465" s="1" t="s">
        <v>14441</v>
      </c>
      <c r="E4465" s="3">
        <f>IFERROR(VLOOKUP(B4465,'DA1'!$B$2:$D$999999,3,FALSE),"")</f>
      </c>
      <c r="F4465" s="1" t="str">
        <f>IFERROR(VLOOKUP(B4465,'SB1'!$A$2:$C$999999,3,FALSE),"")</f>
        <v>503</v>
      </c>
      <c r="G4465" s="3" t="e">
        <f t="shared" si="151"/>
        <v>#VALUE!</v>
      </c>
      <c r="H4465" s="3" t="e">
        <f t="shared" si="152"/>
        <v>#VALUE!</v>
      </c>
      <c r="I4465" s="1">
        <v>1</v>
      </c>
    </row>
    <row r="4466" spans="1:9" x14ac:dyDescent="0.25">
      <c r="A4466" s="1" t="s">
        <v>14435</v>
      </c>
      <c r="B4466" s="1" t="s">
        <v>13403</v>
      </c>
      <c r="C4466" s="1" t="str">
        <f>IFERROR(VLOOKUP(B4466,'SB1'!$A$2:$B$999999,2,FALSE),"")</f>
        <v>LATEX EXTERIOR DURALBA MATE TEJA X  1</v>
      </c>
      <c r="D4466" s="1" t="s">
        <v>14441</v>
      </c>
      <c r="E4466" s="3">
        <f>IFERROR(VLOOKUP(B4466,'DA1'!$B$2:$D$999999,3,FALSE),"")</f>
      </c>
      <c r="F4466" s="1" t="str">
        <f>IFERROR(VLOOKUP(B4466,'SB1'!$A$2:$C$999999,3,FALSE),"")</f>
        <v>503</v>
      </c>
      <c r="G4466" s="3" t="e">
        <f t="shared" si="151"/>
        <v>#VALUE!</v>
      </c>
      <c r="H4466" s="3" t="e">
        <f t="shared" si="152"/>
        <v>#VALUE!</v>
      </c>
      <c r="I4466" s="1">
        <v>1</v>
      </c>
    </row>
    <row r="4467" spans="1:9" x14ac:dyDescent="0.25">
      <c r="A4467" s="1" t="s">
        <v>14435</v>
      </c>
      <c r="B4467" s="1" t="s">
        <v>13405</v>
      </c>
      <c r="C4467" s="1" t="str">
        <f>IFERROR(VLOOKUP(B4467,'SB1'!$A$2:$B$999999,2,FALSE),"")</f>
        <v>LATEX EXTERIOR DURALBA MATE ROJO TANINO X  1</v>
      </c>
      <c r="D4467" s="1" t="s">
        <v>14441</v>
      </c>
      <c r="E4467" s="3">
        <f>IFERROR(VLOOKUP(B4467,'DA1'!$B$2:$D$999999,3,FALSE),"")</f>
      </c>
      <c r="F4467" s="1" t="str">
        <f>IFERROR(VLOOKUP(B4467,'SB1'!$A$2:$C$999999,3,FALSE),"")</f>
        <v>503</v>
      </c>
      <c r="G4467" s="3" t="e">
        <f t="shared" si="151"/>
        <v>#VALUE!</v>
      </c>
      <c r="H4467" s="3" t="e">
        <f t="shared" si="152"/>
        <v>#VALUE!</v>
      </c>
      <c r="I4467" s="1">
        <v>1</v>
      </c>
    </row>
    <row r="4468" spans="1:9" x14ac:dyDescent="0.25">
      <c r="A4468" s="1" t="s">
        <v>14435</v>
      </c>
      <c r="B4468" s="1" t="s">
        <v>13409</v>
      </c>
      <c r="C4468" s="1" t="str">
        <f>IFERROR(VLOOKUP(B4468,'SB1'!$A$2:$B$999999,2,FALSE),"")</f>
        <v>LATEX EXTERIOR DURALBA MATE NEGRO X  1</v>
      </c>
      <c r="D4468" s="1" t="s">
        <v>14441</v>
      </c>
      <c r="E4468" s="3">
        <f>IFERROR(VLOOKUP(B4468,'DA1'!$B$2:$D$999999,3,FALSE),"")</f>
      </c>
      <c r="F4468" s="1" t="str">
        <f>IFERROR(VLOOKUP(B4468,'SB1'!$A$2:$C$999999,3,FALSE),"")</f>
        <v>503</v>
      </c>
      <c r="G4468" s="3" t="e">
        <f t="shared" si="151"/>
        <v>#VALUE!</v>
      </c>
      <c r="H4468" s="3" t="e">
        <f t="shared" si="152"/>
        <v>#VALUE!</v>
      </c>
      <c r="I4468" s="1">
        <v>1</v>
      </c>
    </row>
    <row r="4469" spans="1:9" x14ac:dyDescent="0.25">
      <c r="A4469" s="1" t="s">
        <v>14435</v>
      </c>
      <c r="B4469" s="1" t="s">
        <v>13411</v>
      </c>
      <c r="C4469" s="1" t="str">
        <f>IFERROR(VLOOKUP(B4469,'SB1'!$A$2:$B$999999,2,FALSE),"")</f>
        <v>LATEX EXTERIOR DURALBA MATE VERDE TENIS X  1</v>
      </c>
      <c r="D4469" s="1" t="s">
        <v>14441</v>
      </c>
      <c r="E4469" s="3">
        <f>IFERROR(VLOOKUP(B4469,'DA1'!$B$2:$D$999999,3,FALSE),"")</f>
      </c>
      <c r="F4469" s="1" t="str">
        <f>IFERROR(VLOOKUP(B4469,'SB1'!$A$2:$C$999999,3,FALSE),"")</f>
        <v>503</v>
      </c>
      <c r="G4469" s="3" t="e">
        <f t="shared" si="151"/>
        <v>#VALUE!</v>
      </c>
      <c r="H4469" s="3" t="e">
        <f t="shared" si="152"/>
        <v>#VALUE!</v>
      </c>
      <c r="I4469" s="1">
        <v>1</v>
      </c>
    </row>
    <row r="4470" spans="1:9" x14ac:dyDescent="0.25">
      <c r="A4470" s="1" t="s">
        <v>14435</v>
      </c>
      <c r="B4470" s="1" t="s">
        <v>13413</v>
      </c>
      <c r="C4470" s="1" t="str">
        <f>IFERROR(VLOOKUP(B4470,'SB1'!$A$2:$B$999999,2,FALSE),"")</f>
        <v>LATEX EXTERIOR DURALBA MATE AMARILLO X  1</v>
      </c>
      <c r="D4470" s="1" t="s">
        <v>14439</v>
      </c>
      <c r="E4470" s="3">
        <f>IFERROR(VLOOKUP(B4470,'DA1'!$B$2:$D$999999,3,FALSE),"")</f>
      </c>
      <c r="F4470" s="1" t="str">
        <f>IFERROR(VLOOKUP(B4470,'SB1'!$A$2:$C$999999,3,FALSE),"")</f>
        <v>503</v>
      </c>
      <c r="G4470" s="3" t="e">
        <f t="shared" si="151"/>
        <v>#VALUE!</v>
      </c>
      <c r="H4470" s="3" t="e">
        <f t="shared" si="152"/>
        <v>#VALUE!</v>
      </c>
      <c r="I4470" s="1">
        <v>1</v>
      </c>
    </row>
    <row r="4471" spans="1:9" x14ac:dyDescent="0.25">
      <c r="A4471" s="1" t="s">
        <v>14435</v>
      </c>
      <c r="B4471" s="1" t="s">
        <v>13415</v>
      </c>
      <c r="C4471" s="1" t="str">
        <f>IFERROR(VLOOKUP(B4471,'SB1'!$A$2:$B$999999,2,FALSE),"")</f>
        <v>IMPERMEABILIZANTE PARA TECHOS DURALBA SATINADO BLANCO X  1</v>
      </c>
      <c r="D4471" s="1" t="s">
        <v>14439</v>
      </c>
      <c r="E4471" s="3">
        <f>IFERROR(VLOOKUP(B4471,'DA1'!$B$2:$D$999999,3,FALSE),"")</f>
      </c>
      <c r="F4471" s="1" t="str">
        <f>IFERROR(VLOOKUP(B4471,'SB1'!$A$2:$C$999999,3,FALSE),"")</f>
        <v>503</v>
      </c>
      <c r="G4471" s="3" t="e">
        <f t="shared" si="151"/>
        <v>#VALUE!</v>
      </c>
      <c r="H4471" s="3" t="e">
        <f t="shared" si="152"/>
        <v>#VALUE!</v>
      </c>
      <c r="I4471" s="1">
        <v>1</v>
      </c>
    </row>
    <row r="4472" spans="1:9" x14ac:dyDescent="0.25">
      <c r="A4472" s="1" t="s">
        <v>14435</v>
      </c>
      <c r="B4472" s="1" t="s">
        <v>13417</v>
      </c>
      <c r="C4472" s="1" t="str">
        <f>IFERROR(VLOOKUP(B4472,'SB1'!$A$2:$B$999999,2,FALSE),"")</f>
        <v>IMPERMEABILIZANTE PARA TECHOS DURALBA SATINADO BLANCO X  4</v>
      </c>
      <c r="D4472" s="1" t="s">
        <v>14439</v>
      </c>
      <c r="E4472" s="3">
        <f>IFERROR(VLOOKUP(B4472,'DA1'!$B$2:$D$999999,3,FALSE),"")</f>
      </c>
      <c r="F4472" s="1" t="str">
        <f>IFERROR(VLOOKUP(B4472,'SB1'!$A$2:$C$999999,3,FALSE),"")</f>
        <v>503</v>
      </c>
      <c r="G4472" s="3" t="e">
        <f t="shared" si="151"/>
        <v>#VALUE!</v>
      </c>
      <c r="H4472" s="3" t="e">
        <f t="shared" si="152"/>
        <v>#VALUE!</v>
      </c>
      <c r="I4472" s="1">
        <v>1</v>
      </c>
    </row>
    <row r="4473" spans="1:9" x14ac:dyDescent="0.25">
      <c r="A4473" s="1" t="s">
        <v>14435</v>
      </c>
      <c r="B4473" s="1" t="s">
        <v>13419</v>
      </c>
      <c r="C4473" s="1" t="str">
        <f>IFERROR(VLOOKUP(B4473,'SB1'!$A$2:$B$999999,2,FALSE),"")</f>
        <v>IMPERMEABILIZANTE PARA TECHOS DURALBA SATINADO TEJA X  4</v>
      </c>
      <c r="D4473" s="1" t="s">
        <v>14439</v>
      </c>
      <c r="E4473" s="3">
        <f>IFERROR(VLOOKUP(B4473,'DA1'!$B$2:$D$999999,3,FALSE),"")</f>
      </c>
      <c r="F4473" s="1" t="str">
        <f>IFERROR(VLOOKUP(B4473,'SB1'!$A$2:$C$999999,3,FALSE),"")</f>
        <v>503</v>
      </c>
      <c r="G4473" s="3" t="e">
        <f t="shared" si="151"/>
        <v>#VALUE!</v>
      </c>
      <c r="H4473" s="3" t="e">
        <f t="shared" si="152"/>
        <v>#VALUE!</v>
      </c>
      <c r="I4473" s="1">
        <v>1</v>
      </c>
    </row>
    <row r="4474" spans="1:9" x14ac:dyDescent="0.25">
      <c r="A4474" s="1" t="s">
        <v>14435</v>
      </c>
      <c r="B4474" s="1" t="s">
        <v>13421</v>
      </c>
      <c r="C4474" s="1" t="str">
        <f>IFERROR(VLOOKUP(B4474,'SB1'!$A$2:$B$999999,2,FALSE),"")</f>
        <v>IMPERMEABILIZANTE PARA TECHOS DURALBA SATINADO BLANCO X 10</v>
      </c>
      <c r="D4474" s="1" t="s">
        <v>14439</v>
      </c>
      <c r="E4474" s="3">
        <f>IFERROR(VLOOKUP(B4474,'DA1'!$B$2:$D$999999,3,FALSE),"")</f>
      </c>
      <c r="F4474" s="1" t="str">
        <f>IFERROR(VLOOKUP(B4474,'SB1'!$A$2:$C$999999,3,FALSE),"")</f>
        <v>503</v>
      </c>
      <c r="G4474" s="3" t="e">
        <f t="shared" si="151"/>
        <v>#VALUE!</v>
      </c>
      <c r="H4474" s="3" t="e">
        <f t="shared" si="152"/>
        <v>#VALUE!</v>
      </c>
      <c r="I4474" s="1">
        <v>1</v>
      </c>
    </row>
    <row r="4475" spans="1:9" x14ac:dyDescent="0.25">
      <c r="A4475" s="1" t="s">
        <v>14435</v>
      </c>
      <c r="B4475" s="1" t="s">
        <v>13423</v>
      </c>
      <c r="C4475" s="1" t="str">
        <f>IFERROR(VLOOKUP(B4475,'SB1'!$A$2:$B$999999,2,FALSE),"")</f>
        <v>IMPERMEABILIZANTE PARA TECHOS DURALBA SATINADO TEJA X 10</v>
      </c>
      <c r="D4475" s="1" t="s">
        <v>14439</v>
      </c>
      <c r="E4475" s="3">
        <f>IFERROR(VLOOKUP(B4475,'DA1'!$B$2:$D$999999,3,FALSE),"")</f>
      </c>
      <c r="F4475" s="1" t="str">
        <f>IFERROR(VLOOKUP(B4475,'SB1'!$A$2:$C$999999,3,FALSE),"")</f>
        <v>503</v>
      </c>
      <c r="G4475" s="3" t="e">
        <f t="shared" si="151"/>
        <v>#VALUE!</v>
      </c>
      <c r="H4475" s="3" t="e">
        <f t="shared" si="152"/>
        <v>#VALUE!</v>
      </c>
      <c r="I4475" s="1">
        <v>1</v>
      </c>
    </row>
    <row r="4476" spans="1:9" x14ac:dyDescent="0.25">
      <c r="A4476" s="1" t="s">
        <v>14435</v>
      </c>
      <c r="B4476" s="1" t="s">
        <v>13425</v>
      </c>
      <c r="C4476" s="1" t="str">
        <f>IFERROR(VLOOKUP(B4476,'SB1'!$A$2:$B$999999,2,FALSE),"")</f>
        <v>IMPERMEABILIZANTE PARA TECHOS DURALBA SATINADO BLANCO X 20</v>
      </c>
      <c r="D4476" s="1" t="s">
        <v>14439</v>
      </c>
      <c r="E4476" s="3">
        <f>IFERROR(VLOOKUP(B4476,'DA1'!$B$2:$D$999999,3,FALSE),"")</f>
      </c>
      <c r="F4476" s="1" t="str">
        <f>IFERROR(VLOOKUP(B4476,'SB1'!$A$2:$C$999999,3,FALSE),"")</f>
        <v>503</v>
      </c>
      <c r="G4476" s="3" t="e">
        <f t="shared" si="151"/>
        <v>#VALUE!</v>
      </c>
      <c r="H4476" s="3" t="e">
        <f t="shared" si="152"/>
        <v>#VALUE!</v>
      </c>
      <c r="I4476" s="1">
        <v>1</v>
      </c>
    </row>
    <row r="4477" spans="1:9" x14ac:dyDescent="0.25">
      <c r="A4477" s="1" t="s">
        <v>14435</v>
      </c>
      <c r="B4477" s="1" t="s">
        <v>13427</v>
      </c>
      <c r="C4477" s="1" t="str">
        <f>IFERROR(VLOOKUP(B4477,'SB1'!$A$2:$B$999999,2,FALSE),"")</f>
        <v>IMPERMEABILIZANTE PARA TECHOS DURALBA SATINADO TEJA X 20</v>
      </c>
      <c r="D4477" s="1" t="s">
        <v>14439</v>
      </c>
      <c r="E4477" s="3">
        <f>IFERROR(VLOOKUP(B4477,'DA1'!$B$2:$D$999999,3,FALSE),"")</f>
      </c>
      <c r="F4477" s="1" t="str">
        <f>IFERROR(VLOOKUP(B4477,'SB1'!$A$2:$C$999999,3,FALSE),"")</f>
        <v>503</v>
      </c>
      <c r="G4477" s="3" t="e">
        <f t="shared" si="151"/>
        <v>#VALUE!</v>
      </c>
      <c r="H4477" s="3" t="e">
        <f t="shared" si="152"/>
        <v>#VALUE!</v>
      </c>
      <c r="I4477" s="1">
        <v>1</v>
      </c>
    </row>
    <row r="4478" spans="1:9" x14ac:dyDescent="0.25">
      <c r="A4478" s="1" t="s">
        <v>14435</v>
      </c>
      <c r="B4478" s="1" t="s">
        <v>13437</v>
      </c>
      <c r="C4478" s="1" t="str">
        <f>IFERROR(VLOOKUP(B4478,'SB1'!$A$2:$B$999999,2,FALSE),"")</f>
        <v>ESMALTE SINTETICO ALBA ALTA TEMPERATURA NEGRO X 0,500</v>
      </c>
      <c r="D4478" s="1" t="s">
        <v>14441</v>
      </c>
      <c r="E4478" s="3">
        <f>IFERROR(VLOOKUP(B4478,'DA1'!$B$2:$D$999999,3,FALSE),"")</f>
      </c>
      <c r="F4478" s="1" t="str">
        <f>IFERROR(VLOOKUP(B4478,'SB1'!$A$2:$C$999999,3,FALSE),"")</f>
        <v>503</v>
      </c>
      <c r="G4478" s="3" t="e">
        <f t="shared" si="151"/>
        <v>#VALUE!</v>
      </c>
      <c r="H4478" s="3" t="e">
        <f t="shared" si="152"/>
        <v>#VALUE!</v>
      </c>
      <c r="I4478" s="1">
        <v>1</v>
      </c>
    </row>
    <row r="4479" spans="1:9" x14ac:dyDescent="0.25">
      <c r="A4479" s="1" t="s">
        <v>14435</v>
      </c>
      <c r="B4479" s="1" t="s">
        <v>13439</v>
      </c>
      <c r="C4479" s="1" t="str">
        <f>IFERROR(VLOOKUP(B4479,'SB1'!$A$2:$B$999999,2,FALSE),"")</f>
        <v>ESMALTE SINTETICO ALBA ALTA TEMPERATURA ALUMINIO X 0,500</v>
      </c>
      <c r="D4479" s="1" t="s">
        <v>14439</v>
      </c>
      <c r="E4479" s="3">
        <f>IFERROR(VLOOKUP(B4479,'DA1'!$B$2:$D$999999,3,FALSE),"")</f>
      </c>
      <c r="F4479" s="1" t="str">
        <f>IFERROR(VLOOKUP(B4479,'SB1'!$A$2:$C$999999,3,FALSE),"")</f>
        <v>503</v>
      </c>
      <c r="G4479" s="3" t="e">
        <f t="shared" si="151"/>
        <v>#VALUE!</v>
      </c>
      <c r="H4479" s="3" t="e">
        <f t="shared" si="152"/>
        <v>#VALUE!</v>
      </c>
      <c r="I4479" s="1">
        <v>1</v>
      </c>
    </row>
    <row r="4480" spans="1:9" x14ac:dyDescent="0.25">
      <c r="A4480" s="1" t="s">
        <v>14435</v>
      </c>
      <c r="B4480" s="1" t="s">
        <v>13441</v>
      </c>
      <c r="C4480" s="1" t="str">
        <f>IFERROR(VLOOKUP(B4480,'SB1'!$A$2:$B$999999,2,FALSE),"")</f>
        <v>ESMALTE EPOXI ALBA NEGRO X 4</v>
      </c>
      <c r="D4480" s="1" t="s">
        <v>14489</v>
      </c>
      <c r="E4480" s="3">
        <f>IFERROR(VLOOKUP(B4480,'DA1'!$B$2:$D$999999,3,FALSE),"")</f>
      </c>
      <c r="F4480" s="1" t="str">
        <f>IFERROR(VLOOKUP(B4480,'SB1'!$A$2:$C$999999,3,FALSE),"")</f>
        <v>503</v>
      </c>
      <c r="G4480" s="3" t="e">
        <f t="shared" si="151"/>
        <v>#VALUE!</v>
      </c>
      <c r="H4480" s="3" t="e">
        <f t="shared" si="152"/>
        <v>#VALUE!</v>
      </c>
      <c r="I4480" s="1">
        <v>1</v>
      </c>
    </row>
    <row r="4481" spans="1:9" x14ac:dyDescent="0.25">
      <c r="A4481" s="1" t="s">
        <v>14435</v>
      </c>
      <c r="B4481" s="1" t="s">
        <v>13443</v>
      </c>
      <c r="C4481" s="1" t="str">
        <f>IFERROR(VLOOKUP(B4481,'SB1'!$A$2:$B$999999,2,FALSE),"")</f>
        <v>SOLVENTE INDUSTRIAL X   1</v>
      </c>
      <c r="D4481" s="1" t="s">
        <v>14472</v>
      </c>
      <c r="E4481" s="3">
        <f>IFERROR(VLOOKUP(B4481,'DA1'!$B$2:$D$999999,3,FALSE),"")</f>
      </c>
      <c r="F4481" s="1" t="str">
        <f>IFERROR(VLOOKUP(B4481,'SB1'!$A$2:$C$999999,3,FALSE),"")</f>
        <v>503</v>
      </c>
      <c r="G4481" s="3" t="e">
        <f t="shared" si="151"/>
        <v>#VALUE!</v>
      </c>
      <c r="H4481" s="3" t="e">
        <f t="shared" si="152"/>
        <v>#VALUE!</v>
      </c>
      <c r="I4481" s="1">
        <v>1</v>
      </c>
    </row>
    <row r="4482" spans="1:9" x14ac:dyDescent="0.25">
      <c r="A4482" s="1" t="s">
        <v>14435</v>
      </c>
      <c r="B4482" s="1" t="s">
        <v>13445</v>
      </c>
      <c r="C4482" s="1" t="str">
        <f>IFERROR(VLOOKUP(B4482,'SB1'!$A$2:$B$999999,2,FALSE),"")</f>
        <v>ESMALTE SINTETICO ALBA ALTA TEMPERATURA ALUMINIO X 4</v>
      </c>
      <c r="D4482" s="1" t="s">
        <v>14441</v>
      </c>
      <c r="E4482" s="3">
        <f>IFERROR(VLOOKUP(B4482,'DA1'!$B$2:$D$999999,3,FALSE),"")</f>
      </c>
      <c r="F4482" s="1" t="str">
        <f>IFERROR(VLOOKUP(B4482,'SB1'!$A$2:$C$999999,3,FALSE),"")</f>
        <v>503</v>
      </c>
      <c r="G4482" s="3" t="e">
        <f t="shared" si="151"/>
        <v>#VALUE!</v>
      </c>
      <c r="H4482" s="3" t="e">
        <f t="shared" si="152"/>
        <v>#VALUE!</v>
      </c>
      <c r="I4482" s="1">
        <v>1</v>
      </c>
    </row>
    <row r="4483" spans="1:9" x14ac:dyDescent="0.25">
      <c r="A4483" s="1" t="s">
        <v>14435</v>
      </c>
      <c r="B4483" s="1" t="s">
        <v>13447</v>
      </c>
      <c r="C4483" s="1" t="str">
        <f>IFERROR(VLOOKUP(B4483,'SB1'!$A$2:$B$999999,2,FALSE),"")</f>
        <v>DILUYENTE PARA EPOXI PLUS X   1</v>
      </c>
      <c r="D4483" s="1" t="s">
        <v>14472</v>
      </c>
      <c r="E4483" s="3">
        <f>IFERROR(VLOOKUP(B4483,'DA1'!$B$2:$D$999999,3,FALSE),"")</f>
      </c>
      <c r="F4483" s="1" t="str">
        <f>IFERROR(VLOOKUP(B4483,'SB1'!$A$2:$C$999999,3,FALSE),"")</f>
        <v>503</v>
      </c>
      <c r="G4483" s="3" t="e">
        <f t="shared" ref="G4483:G4546" si="153">E4483*1.04</f>
        <v>#VALUE!</v>
      </c>
      <c r="H4483" s="3" t="e">
        <f t="shared" si="152"/>
        <v>#VALUE!</v>
      </c>
      <c r="I4483" s="1">
        <v>1</v>
      </c>
    </row>
    <row r="4484" spans="1:9" x14ac:dyDescent="0.25">
      <c r="A4484" s="1" t="s">
        <v>14435</v>
      </c>
      <c r="B4484" s="1" t="s">
        <v>13449</v>
      </c>
      <c r="C4484" s="1" t="str">
        <f>IFERROR(VLOOKUP(B4484,'SB1'!$A$2:$B$999999,2,FALSE),"")</f>
        <v>DILUYENTE POLIURETANICO PLUS X   1</v>
      </c>
      <c r="D4484" s="1" t="s">
        <v>14472</v>
      </c>
      <c r="E4484" s="3">
        <f>IFERROR(VLOOKUP(B4484,'DA1'!$B$2:$D$999999,3,FALSE),"")</f>
      </c>
      <c r="F4484" s="1" t="str">
        <f>IFERROR(VLOOKUP(B4484,'SB1'!$A$2:$C$999999,3,FALSE),"")</f>
        <v>503</v>
      </c>
      <c r="G4484" s="3" t="e">
        <f t="shared" si="153"/>
        <v>#VALUE!</v>
      </c>
      <c r="H4484" s="3" t="e">
        <f t="shared" ref="H4484:H4547" si="154">G4484*1.21</f>
        <v>#VALUE!</v>
      </c>
      <c r="I4484" s="1">
        <v>1</v>
      </c>
    </row>
    <row r="4485" spans="1:9" x14ac:dyDescent="0.25">
      <c r="A4485" s="1" t="s">
        <v>14435</v>
      </c>
      <c r="B4485" s="1" t="s">
        <v>13461</v>
      </c>
      <c r="C4485" s="1" t="str">
        <f>IFERROR(VLOOKUP(B4485,'SB1'!$A$2:$B$999999,2,FALSE),"")</f>
        <v>ESMALTE SINTETICO INDUSTRIAL INDALBA BCO X  4</v>
      </c>
      <c r="D4485" s="1" t="s">
        <v>14479</v>
      </c>
      <c r="E4485" s="3">
        <f>IFERROR(VLOOKUP(B4485,'DA1'!$B$2:$D$999999,3,FALSE),"")</f>
      </c>
      <c r="F4485" s="1" t="str">
        <f>IFERROR(VLOOKUP(B4485,'SB1'!$A$2:$C$999999,3,FALSE),"")</f>
        <v>503</v>
      </c>
      <c r="G4485" s="3" t="e">
        <f t="shared" si="153"/>
        <v>#VALUE!</v>
      </c>
      <c r="H4485" s="3" t="e">
        <f t="shared" si="154"/>
        <v>#VALUE!</v>
      </c>
      <c r="I4485" s="1">
        <v>1</v>
      </c>
    </row>
    <row r="4486" spans="1:9" x14ac:dyDescent="0.25">
      <c r="A4486" s="1" t="s">
        <v>14435</v>
      </c>
      <c r="B4486" s="1" t="s">
        <v>13473</v>
      </c>
      <c r="C4486" s="1" t="str">
        <f>IFERROR(VLOOKUP(B4486,'SB1'!$A$2:$B$999999,2,FALSE),"")</f>
        <v>ESMALTE SINTETICO INDUSTRIAL INDALBA BCO X 20</v>
      </c>
      <c r="D4486" s="1" t="s">
        <v>14479</v>
      </c>
      <c r="E4486" s="3">
        <f>IFERROR(VLOOKUP(B4486,'DA1'!$B$2:$D$999999,3,FALSE),"")</f>
      </c>
      <c r="F4486" s="1" t="str">
        <f>IFERROR(VLOOKUP(B4486,'SB1'!$A$2:$C$999999,3,FALSE),"")</f>
        <v>503</v>
      </c>
      <c r="G4486" s="3" t="e">
        <f t="shared" si="153"/>
        <v>#VALUE!</v>
      </c>
      <c r="H4486" s="3" t="e">
        <f t="shared" si="154"/>
        <v>#VALUE!</v>
      </c>
      <c r="I4486" s="1">
        <v>1</v>
      </c>
    </row>
    <row r="4487" spans="1:9" x14ac:dyDescent="0.25">
      <c r="A4487" s="1" t="s">
        <v>14435</v>
      </c>
      <c r="B4487" s="1" t="s">
        <v>13489</v>
      </c>
      <c r="C4487" s="1" t="str">
        <f>IFERROR(VLOOKUP(B4487,'SB1'!$A$2:$B$999999,2,FALSE),"")</f>
        <v>INDALBA NEGRO X 20</v>
      </c>
      <c r="D4487" s="1" t="s">
        <v>14479</v>
      </c>
      <c r="E4487" s="3">
        <f>IFERROR(VLOOKUP(B4487,'DA1'!$B$2:$D$999999,3,FALSE),"")</f>
      </c>
      <c r="F4487" s="1" t="str">
        <f>IFERROR(VLOOKUP(B4487,'SB1'!$A$2:$C$999999,3,FALSE),"")</f>
        <v>503</v>
      </c>
      <c r="G4487" s="3" t="e">
        <f t="shared" si="153"/>
        <v>#VALUE!</v>
      </c>
      <c r="H4487" s="3" t="e">
        <f t="shared" si="154"/>
        <v>#VALUE!</v>
      </c>
      <c r="I4487" s="1">
        <v>1</v>
      </c>
    </row>
    <row r="4488" spans="1:9" x14ac:dyDescent="0.25">
      <c r="A4488" s="1" t="s">
        <v>14435</v>
      </c>
      <c r="B4488" s="1" t="s">
        <v>13491</v>
      </c>
      <c r="C4488" s="1" t="str">
        <f>IFERROR(VLOOKUP(B4488,'SB1'!$A$2:$B$999999,2,FALSE),"")</f>
        <v>SELLADOR GRIETAS&amp;FISURAS NODULO X 0,320</v>
      </c>
      <c r="D4488" s="1" t="s">
        <v>14462</v>
      </c>
      <c r="E4488" s="3">
        <f>IFERROR(VLOOKUP(B4488,'DA1'!$B$2:$D$999999,3,FALSE),"")</f>
      </c>
      <c r="F4488" s="1" t="str">
        <f>IFERROR(VLOOKUP(B4488,'SB1'!$A$2:$C$999999,3,FALSE),"")</f>
        <v>503</v>
      </c>
      <c r="G4488" s="3" t="e">
        <f t="shared" si="153"/>
        <v>#VALUE!</v>
      </c>
      <c r="H4488" s="3" t="e">
        <f t="shared" si="154"/>
        <v>#VALUE!</v>
      </c>
      <c r="I4488" s="1">
        <v>1</v>
      </c>
    </row>
    <row r="4489" spans="1:9" x14ac:dyDescent="0.25">
      <c r="A4489" s="1" t="s">
        <v>14435</v>
      </c>
      <c r="B4489" s="1" t="s">
        <v>13493</v>
      </c>
      <c r="C4489" s="1" t="str">
        <f>IFERROR(VLOOKUP(B4489,'SB1'!$A$2:$B$999999,2,FALSE),"")</f>
        <v>SELLADOR GRIETAS&amp;FISURAS NODULO X 0,420</v>
      </c>
      <c r="D4489" s="1" t="s">
        <v>14462</v>
      </c>
      <c r="E4489" s="3">
        <f>IFERROR(VLOOKUP(B4489,'DA1'!$B$2:$D$999999,3,FALSE),"")</f>
      </c>
      <c r="F4489" s="1" t="str">
        <f>IFERROR(VLOOKUP(B4489,'SB1'!$A$2:$C$999999,3,FALSE),"")</f>
        <v>503</v>
      </c>
      <c r="G4489" s="3" t="e">
        <f t="shared" si="153"/>
        <v>#VALUE!</v>
      </c>
      <c r="H4489" s="3" t="e">
        <f t="shared" si="154"/>
        <v>#VALUE!</v>
      </c>
      <c r="I4489" s="1">
        <v>1</v>
      </c>
    </row>
    <row r="4490" spans="1:9" x14ac:dyDescent="0.25">
      <c r="A4490" s="1" t="s">
        <v>14435</v>
      </c>
      <c r="B4490" s="1" t="s">
        <v>13495</v>
      </c>
      <c r="C4490" s="1" t="str">
        <f>IFERROR(VLOOKUP(B4490,'SB1'!$A$2:$B$999999,2,FALSE),"")</f>
        <v>SELLADOR GRIETAS&amp;FISURAS NODULO X 1</v>
      </c>
      <c r="D4490" s="1" t="s">
        <v>14462</v>
      </c>
      <c r="E4490" s="3">
        <f>IFERROR(VLOOKUP(B4490,'DA1'!$B$2:$D$999999,3,FALSE),"")</f>
      </c>
      <c r="F4490" s="1" t="str">
        <f>IFERROR(VLOOKUP(B4490,'SB1'!$A$2:$C$999999,3,FALSE),"")</f>
        <v>503</v>
      </c>
      <c r="G4490" s="3" t="e">
        <f t="shared" si="153"/>
        <v>#VALUE!</v>
      </c>
      <c r="H4490" s="3" t="e">
        <f t="shared" si="154"/>
        <v>#VALUE!</v>
      </c>
      <c r="I4490" s="1">
        <v>1</v>
      </c>
    </row>
    <row r="4491" spans="1:9" x14ac:dyDescent="0.25">
      <c r="A4491" s="1" t="s">
        <v>14435</v>
      </c>
      <c r="B4491" s="1" t="s">
        <v>13497</v>
      </c>
      <c r="C4491" s="1" t="str">
        <f>IFERROR(VLOOKUP(B4491,'SB1'!$A$2:$B$999999,2,FALSE),"")</f>
        <v>SELLADOR GRIETAS&amp;FISURAS NODULO X 5</v>
      </c>
      <c r="D4491" s="1" t="s">
        <v>14462</v>
      </c>
      <c r="E4491" s="3">
        <f>IFERROR(VLOOKUP(B4491,'DA1'!$B$2:$D$999999,3,FALSE),"")</f>
      </c>
      <c r="F4491" s="1" t="str">
        <f>IFERROR(VLOOKUP(B4491,'SB1'!$A$2:$C$999999,3,FALSE),"")</f>
        <v>503</v>
      </c>
      <c r="G4491" s="3" t="e">
        <f t="shared" si="153"/>
        <v>#VALUE!</v>
      </c>
      <c r="H4491" s="3" t="e">
        <f t="shared" si="154"/>
        <v>#VALUE!</v>
      </c>
      <c r="I4491" s="1">
        <v>1</v>
      </c>
    </row>
    <row r="4492" spans="1:9" x14ac:dyDescent="0.25">
      <c r="A4492" s="1" t="s">
        <v>14435</v>
      </c>
      <c r="B4492" s="1" t="s">
        <v>13511</v>
      </c>
      <c r="C4492" s="1" t="str">
        <f>IFERROR(VLOOKUP(B4492,'SB1'!$A$2:$B$999999,2,FALSE),"")</f>
        <v>IMPERMEABILIZANTE PARA FRENTES Y MUROS DURALBA MATE GRIS CEMENTO X  4</v>
      </c>
      <c r="D4492" s="1" t="s">
        <v>14441</v>
      </c>
      <c r="E4492" s="3">
        <f>IFERROR(VLOOKUP(B4492,'DA1'!$B$2:$D$999999,3,FALSE),"")</f>
      </c>
      <c r="F4492" s="1" t="str">
        <f>IFERROR(VLOOKUP(B4492,'SB1'!$A$2:$C$999999,3,FALSE),"")</f>
        <v>503</v>
      </c>
      <c r="G4492" s="3" t="e">
        <f t="shared" si="153"/>
        <v>#VALUE!</v>
      </c>
      <c r="H4492" s="3" t="e">
        <f t="shared" si="154"/>
        <v>#VALUE!</v>
      </c>
      <c r="I4492" s="1">
        <v>1</v>
      </c>
    </row>
    <row r="4493" spans="1:8" x14ac:dyDescent="0.25">
      <c r="A4493" s="1" t="s">
        <v>14435</v>
      </c>
      <c r="B4493" s="1" t="s">
        <v>13513</v>
      </c>
      <c r="C4493" s="1" t="str">
        <f>IFERROR(VLOOKUP(B4493,'SB1'!$A$2:$B$999999,2,FALSE),"")</f>
        <v>IMPERMEABILIZANTE PARA FRENTES Y MUROS DURALBA MATE BERMELLON X  4</v>
      </c>
      <c r="D4493" s="1" t="s">
        <v>14441</v>
      </c>
      <c r="E4493" s="3">
        <f>IFERROR(VLOOKUP(B4493,'DA1'!$B$2:$D$999999,3,FALSE),"")</f>
      </c>
      <c r="F4493" s="1" t="str">
        <f>IFERROR(VLOOKUP(B4493,'SB1'!$A$2:$C$999999,3,FALSE),"")</f>
        <v>503</v>
      </c>
      <c r="G4493" s="3" t="e">
        <f t="shared" si="153"/>
        <v>#VALUE!</v>
      </c>
      <c r="H4493" s="3" t="e">
        <f t="shared" si="154"/>
        <v>#VALUE!</v>
      </c>
    </row>
    <row r="4494" spans="1:9" x14ac:dyDescent="0.25">
      <c r="A4494" s="1" t="s">
        <v>14435</v>
      </c>
      <c r="B4494" s="1" t="s">
        <v>13515</v>
      </c>
      <c r="C4494" s="1" t="str">
        <f>IFERROR(VLOOKUP(B4494,'SB1'!$A$2:$B$999999,2,FALSE),"")</f>
        <v>IMPERMEABILIZANTE PARA FRENTES Y MUROS DURALBA MATE EGGSH NEGRO X  4</v>
      </c>
      <c r="D4494" s="1" t="s">
        <v>14441</v>
      </c>
      <c r="E4494" s="3">
        <f>IFERROR(VLOOKUP(B4494,'DA1'!$B$2:$D$999999,3,FALSE),"")</f>
      </c>
      <c r="F4494" s="1" t="str">
        <f>IFERROR(VLOOKUP(B4494,'SB1'!$A$2:$C$999999,3,FALSE),"")</f>
        <v>503</v>
      </c>
      <c r="G4494" s="3" t="e">
        <f t="shared" si="153"/>
        <v>#VALUE!</v>
      </c>
      <c r="H4494" s="3" t="e">
        <f t="shared" si="154"/>
        <v>#VALUE!</v>
      </c>
      <c r="I4494" s="1">
        <v>1</v>
      </c>
    </row>
    <row r="4495" spans="1:8" x14ac:dyDescent="0.25">
      <c r="A4495" s="1" t="s">
        <v>14435</v>
      </c>
      <c r="B4495" s="1" t="s">
        <v>13517</v>
      </c>
      <c r="C4495" s="1" t="str">
        <f>IFERROR(VLOOKUP(B4495,'SB1'!$A$2:$B$999999,2,FALSE),"")</f>
        <v>IMPERMEABILIZANTE PARA FRENTES Y MUROS DURALBA MATE AZUL TRAFUL X  4</v>
      </c>
      <c r="D4495" s="1" t="s">
        <v>14441</v>
      </c>
      <c r="E4495" s="3">
        <f>IFERROR(VLOOKUP(B4495,'DA1'!$B$2:$D$999999,3,FALSE),"")</f>
      </c>
      <c r="F4495" s="1" t="str">
        <f>IFERROR(VLOOKUP(B4495,'SB1'!$A$2:$C$999999,3,FALSE),"")</f>
        <v>503</v>
      </c>
      <c r="G4495" s="3" t="e">
        <f t="shared" si="153"/>
        <v>#VALUE!</v>
      </c>
      <c r="H4495" s="3" t="e">
        <f t="shared" si="154"/>
        <v>#VALUE!</v>
      </c>
    </row>
    <row r="4496" spans="1:9" x14ac:dyDescent="0.25">
      <c r="A4496" s="1" t="s">
        <v>14435</v>
      </c>
      <c r="B4496" s="1" t="s">
        <v>13519</v>
      </c>
      <c r="C4496" s="1" t="str">
        <f>IFERROR(VLOOKUP(B4496,'SB1'!$A$2:$B$999999,2,FALSE),"")</f>
        <v>IMPERMEABILIZANTE PARA FRENTES Y MUROS DURALBA MATE TEJA X  4</v>
      </c>
      <c r="D4496" s="1" t="s">
        <v>14441</v>
      </c>
      <c r="E4496" s="3">
        <f>IFERROR(VLOOKUP(B4496,'DA1'!$B$2:$D$999999,3,FALSE),"")</f>
      </c>
      <c r="F4496" s="1" t="str">
        <f>IFERROR(VLOOKUP(B4496,'SB1'!$A$2:$C$999999,3,FALSE),"")</f>
        <v>503</v>
      </c>
      <c r="G4496" s="3" t="e">
        <f t="shared" si="153"/>
        <v>#VALUE!</v>
      </c>
      <c r="H4496" s="3" t="e">
        <f t="shared" si="154"/>
        <v>#VALUE!</v>
      </c>
      <c r="I4496" s="1">
        <v>1</v>
      </c>
    </row>
    <row r="4497" spans="1:8" x14ac:dyDescent="0.25">
      <c r="A4497" s="1" t="s">
        <v>14435</v>
      </c>
      <c r="B4497" s="1" t="s">
        <v>13521</v>
      </c>
      <c r="C4497" s="1" t="str">
        <f>IFERROR(VLOOKUP(B4497,'SB1'!$A$2:$B$999999,2,FALSE),"")</f>
        <v>IMPERMEABILIZANTE PARA FRENTES Y MUROS DURALBA MATE AMARILLO X  4</v>
      </c>
      <c r="D4497" s="1" t="s">
        <v>14441</v>
      </c>
      <c r="E4497" s="3">
        <f>IFERROR(VLOOKUP(B4497,'DA1'!$B$2:$D$999999,3,FALSE),"")</f>
      </c>
      <c r="F4497" s="1" t="str">
        <f>IFERROR(VLOOKUP(B4497,'SB1'!$A$2:$C$999999,3,FALSE),"")</f>
        <v>503</v>
      </c>
      <c r="G4497" s="3" t="e">
        <f t="shared" si="153"/>
        <v>#VALUE!</v>
      </c>
      <c r="H4497" s="3" t="e">
        <f t="shared" si="154"/>
        <v>#VALUE!</v>
      </c>
    </row>
    <row r="4498" spans="1:9" x14ac:dyDescent="0.25">
      <c r="A4498" s="1" t="s">
        <v>14435</v>
      </c>
      <c r="B4498" s="1" t="s">
        <v>13523</v>
      </c>
      <c r="C4498" s="1" t="str">
        <f>IFERROR(VLOOKUP(B4498,'SB1'!$A$2:$B$999999,2,FALSE),"")</f>
        <v>IMPERMEABILIZANTE PARA FRENTES Y MUROS DURALBA MATE GRIS CEMENTO X  1</v>
      </c>
      <c r="D4498" s="1" t="s">
        <v>14441</v>
      </c>
      <c r="E4498" s="3">
        <f>IFERROR(VLOOKUP(B4498,'DA1'!$B$2:$D$999999,3,FALSE),"")</f>
      </c>
      <c r="F4498" s="1" t="str">
        <f>IFERROR(VLOOKUP(B4498,'SB1'!$A$2:$C$999999,3,FALSE),"")</f>
        <v>503</v>
      </c>
      <c r="G4498" s="3" t="e">
        <f t="shared" si="153"/>
        <v>#VALUE!</v>
      </c>
      <c r="H4498" s="3" t="e">
        <f t="shared" si="154"/>
        <v>#VALUE!</v>
      </c>
      <c r="I4498" s="1">
        <v>1</v>
      </c>
    </row>
    <row r="4499" spans="1:8" x14ac:dyDescent="0.25">
      <c r="A4499" s="1" t="s">
        <v>14435</v>
      </c>
      <c r="B4499" s="1" t="s">
        <v>13525</v>
      </c>
      <c r="C4499" s="1" t="str">
        <f>IFERROR(VLOOKUP(B4499,'SB1'!$A$2:$B$999999,2,FALSE),"")</f>
        <v>IMPERMEABILIZANTE PARA FRENTES Y MUROS DURALBA MATE BERMELLON X  1</v>
      </c>
      <c r="D4499" s="1" t="s">
        <v>14441</v>
      </c>
      <c r="E4499" s="3">
        <f>IFERROR(VLOOKUP(B4499,'DA1'!$B$2:$D$999999,3,FALSE),"")</f>
      </c>
      <c r="F4499" s="1" t="str">
        <f>IFERROR(VLOOKUP(B4499,'SB1'!$A$2:$C$999999,3,FALSE),"")</f>
        <v>503</v>
      </c>
      <c r="G4499" s="3" t="e">
        <f t="shared" si="153"/>
        <v>#VALUE!</v>
      </c>
      <c r="H4499" s="3" t="e">
        <f t="shared" si="154"/>
        <v>#VALUE!</v>
      </c>
    </row>
    <row r="4500" spans="1:9" x14ac:dyDescent="0.25">
      <c r="A4500" s="1" t="s">
        <v>14435</v>
      </c>
      <c r="B4500" s="1" t="s">
        <v>13527</v>
      </c>
      <c r="C4500" s="1" t="str">
        <f>IFERROR(VLOOKUP(B4500,'SB1'!$A$2:$B$999999,2,FALSE),"")</f>
        <v>IMPERMEABILIZANTE PARA FRENTES Y MUROS DURALBA MATE EGGSH NEGRO X  1</v>
      </c>
      <c r="D4500" s="1" t="s">
        <v>14441</v>
      </c>
      <c r="E4500" s="3">
        <f>IFERROR(VLOOKUP(B4500,'DA1'!$B$2:$D$999999,3,FALSE),"")</f>
      </c>
      <c r="F4500" s="1" t="str">
        <f>IFERROR(VLOOKUP(B4500,'SB1'!$A$2:$C$999999,3,FALSE),"")</f>
        <v>503</v>
      </c>
      <c r="G4500" s="3" t="e">
        <f t="shared" si="153"/>
        <v>#VALUE!</v>
      </c>
      <c r="H4500" s="3" t="e">
        <f t="shared" si="154"/>
        <v>#VALUE!</v>
      </c>
      <c r="I4500" s="1">
        <v>1</v>
      </c>
    </row>
    <row r="4501" spans="1:9" x14ac:dyDescent="0.25">
      <c r="A4501" s="1" t="s">
        <v>14435</v>
      </c>
      <c r="B4501" s="1" t="s">
        <v>13529</v>
      </c>
      <c r="C4501" s="1" t="str">
        <f>IFERROR(VLOOKUP(B4501,'SB1'!$A$2:$B$999999,2,FALSE),"")</f>
        <v>IMPERMEABILIZANTE PARA FRENTES Y MUROS DURALBA MATE AZUL TRAFUL X  1</v>
      </c>
      <c r="D4501" s="1" t="s">
        <v>14441</v>
      </c>
      <c r="E4501" s="3">
        <f>IFERROR(VLOOKUP(B4501,'DA1'!$B$2:$D$999999,3,FALSE),"")</f>
      </c>
      <c r="F4501" s="1" t="str">
        <f>IFERROR(VLOOKUP(B4501,'SB1'!$A$2:$C$999999,3,FALSE),"")</f>
        <v>503</v>
      </c>
      <c r="G4501" s="3" t="e">
        <f t="shared" si="153"/>
        <v>#VALUE!</v>
      </c>
      <c r="H4501" s="3" t="e">
        <f t="shared" si="154"/>
        <v>#VALUE!</v>
      </c>
      <c r="I4501" s="1">
        <v>1</v>
      </c>
    </row>
    <row r="4502" spans="1:9" x14ac:dyDescent="0.25">
      <c r="A4502" s="1" t="s">
        <v>14435</v>
      </c>
      <c r="B4502" s="1" t="s">
        <v>13531</v>
      </c>
      <c r="C4502" s="1" t="str">
        <f>IFERROR(VLOOKUP(B4502,'SB1'!$A$2:$B$999999,2,FALSE),"")</f>
        <v>IMPERMEABILIZANTE PARA FRENTES Y MUROS DURALBA MATE TEJA X  1</v>
      </c>
      <c r="D4502" s="1" t="s">
        <v>14441</v>
      </c>
      <c r="E4502" s="3">
        <f>IFERROR(VLOOKUP(B4502,'DA1'!$B$2:$D$999999,3,FALSE),"")</f>
      </c>
      <c r="F4502" s="1" t="str">
        <f>IFERROR(VLOOKUP(B4502,'SB1'!$A$2:$C$999999,3,FALSE),"")</f>
        <v>503</v>
      </c>
      <c r="G4502" s="3" t="e">
        <f t="shared" si="153"/>
        <v>#VALUE!</v>
      </c>
      <c r="H4502" s="3" t="e">
        <f t="shared" si="154"/>
        <v>#VALUE!</v>
      </c>
      <c r="I4502" s="1">
        <v>1</v>
      </c>
    </row>
    <row r="4503" spans="1:9" x14ac:dyDescent="0.25">
      <c r="A4503" s="1" t="s">
        <v>14435</v>
      </c>
      <c r="B4503" s="1" t="s">
        <v>13533</v>
      </c>
      <c r="C4503" s="1" t="str">
        <f>IFERROR(VLOOKUP(B4503,'SB1'!$A$2:$B$999999,2,FALSE),"")</f>
        <v>IMPERMEABILIZANTE PARA FRENTES Y MUROS DURALBA MATE AMARILLO X  1</v>
      </c>
      <c r="D4503" s="1" t="s">
        <v>14441</v>
      </c>
      <c r="E4503" s="3">
        <f>IFERROR(VLOOKUP(B4503,'DA1'!$B$2:$D$999999,3,FALSE),"")</f>
      </c>
      <c r="F4503" s="1" t="str">
        <f>IFERROR(VLOOKUP(B4503,'SB1'!$A$2:$C$999999,3,FALSE),"")</f>
        <v>503</v>
      </c>
      <c r="G4503" s="3" t="e">
        <f t="shared" si="153"/>
        <v>#VALUE!</v>
      </c>
      <c r="H4503" s="3" t="e">
        <f t="shared" si="154"/>
        <v>#VALUE!</v>
      </c>
      <c r="I4503" s="1">
        <v>1</v>
      </c>
    </row>
    <row r="4504" spans="1:9" x14ac:dyDescent="0.25">
      <c r="A4504" s="1" t="s">
        <v>14435</v>
      </c>
      <c r="B4504" s="1" t="s">
        <v>13535</v>
      </c>
      <c r="C4504" s="1" t="str">
        <f>IFERROR(VLOOKUP(B4504,'SB1'!$A$2:$B$999999,2,FALSE),"")</f>
        <v>IMPERMEABILIZANTE PARA FRENTES Y MUROS DURALBA MATE GRIS CEMENTO X 20</v>
      </c>
      <c r="D4504" s="1" t="s">
        <v>14441</v>
      </c>
      <c r="E4504" s="3">
        <f>IFERROR(VLOOKUP(B4504,'DA1'!$B$2:$D$999999,3,FALSE),"")</f>
      </c>
      <c r="F4504" s="1" t="str">
        <f>IFERROR(VLOOKUP(B4504,'SB1'!$A$2:$C$999999,3,FALSE),"")</f>
        <v>503</v>
      </c>
      <c r="G4504" s="3" t="e">
        <f t="shared" si="153"/>
        <v>#VALUE!</v>
      </c>
      <c r="H4504" s="3" t="e">
        <f t="shared" si="154"/>
        <v>#VALUE!</v>
      </c>
      <c r="I4504" s="1">
        <v>1</v>
      </c>
    </row>
    <row r="4505" spans="1:8" x14ac:dyDescent="0.25">
      <c r="A4505" s="1" t="s">
        <v>14435</v>
      </c>
      <c r="B4505" s="1" t="s">
        <v>13537</v>
      </c>
      <c r="C4505" s="1" t="str">
        <f>IFERROR(VLOOKUP(B4505,'SB1'!$A$2:$B$999999,2,FALSE),"")</f>
        <v>IMPERMEABILIZANTE PARA FRENTES Y MUROS DURALBA MATE BERMELLON X 20</v>
      </c>
      <c r="D4505" s="1" t="s">
        <v>14441</v>
      </c>
      <c r="E4505" s="3">
        <f>IFERROR(VLOOKUP(B4505,'DA1'!$B$2:$D$999999,3,FALSE),"")</f>
      </c>
      <c r="F4505" s="1" t="str">
        <f>IFERROR(VLOOKUP(B4505,'SB1'!$A$2:$C$999999,3,FALSE),"")</f>
        <v>503</v>
      </c>
      <c r="G4505" s="3" t="e">
        <f t="shared" si="153"/>
        <v>#VALUE!</v>
      </c>
      <c r="H4505" s="3" t="e">
        <f t="shared" si="154"/>
        <v>#VALUE!</v>
      </c>
    </row>
    <row r="4506" spans="1:9" x14ac:dyDescent="0.25">
      <c r="A4506" s="1" t="s">
        <v>14435</v>
      </c>
      <c r="B4506" s="1" t="s">
        <v>13539</v>
      </c>
      <c r="C4506" s="1" t="str">
        <f>IFERROR(VLOOKUP(B4506,'SB1'!$A$2:$B$999999,2,FALSE),"")</f>
        <v>IMPERMEABILIZANTE PARA FRENTES Y MUROS DURALBA MATE EGGSH NEGRO X 20</v>
      </c>
      <c r="D4506" s="1" t="s">
        <v>14441</v>
      </c>
      <c r="E4506" s="3">
        <f>IFERROR(VLOOKUP(B4506,'DA1'!$B$2:$D$999999,3,FALSE),"")</f>
      </c>
      <c r="F4506" s="1" t="str">
        <f>IFERROR(VLOOKUP(B4506,'SB1'!$A$2:$C$999999,3,FALSE),"")</f>
        <v>503</v>
      </c>
      <c r="G4506" s="3" t="e">
        <f t="shared" si="153"/>
        <v>#VALUE!</v>
      </c>
      <c r="H4506" s="3" t="e">
        <f t="shared" si="154"/>
        <v>#VALUE!</v>
      </c>
      <c r="I4506" s="1">
        <v>1</v>
      </c>
    </row>
    <row r="4507" spans="1:8" x14ac:dyDescent="0.25">
      <c r="A4507" s="1" t="s">
        <v>14435</v>
      </c>
      <c r="B4507" s="1" t="s">
        <v>13541</v>
      </c>
      <c r="C4507" s="1" t="str">
        <f>IFERROR(VLOOKUP(B4507,'SB1'!$A$2:$B$999999,2,FALSE),"")</f>
        <v>IMPERMEABILIZANTE PARA FRENTES Y MUROS DURALBA MATE AZUL TRAFUL X 20</v>
      </c>
      <c r="D4507" s="1" t="s">
        <v>14441</v>
      </c>
      <c r="E4507" s="3">
        <f>IFERROR(VLOOKUP(B4507,'DA1'!$B$2:$D$999999,3,FALSE),"")</f>
      </c>
      <c r="F4507" s="1" t="str">
        <f>IFERROR(VLOOKUP(B4507,'SB1'!$A$2:$C$999999,3,FALSE),"")</f>
        <v>503</v>
      </c>
      <c r="G4507" s="3" t="e">
        <f t="shared" si="153"/>
        <v>#VALUE!</v>
      </c>
      <c r="H4507" s="3" t="e">
        <f t="shared" si="154"/>
        <v>#VALUE!</v>
      </c>
    </row>
    <row r="4508" spans="1:9" x14ac:dyDescent="0.25">
      <c r="A4508" s="1" t="s">
        <v>14435</v>
      </c>
      <c r="B4508" s="1" t="s">
        <v>13543</v>
      </c>
      <c r="C4508" s="1" t="str">
        <f>IFERROR(VLOOKUP(B4508,'SB1'!$A$2:$B$999999,2,FALSE),"")</f>
        <v>IMPERMEABILIZANTE PARA FRENTES Y MUROS DURALBA MATE TEJA X 20</v>
      </c>
      <c r="D4508" s="1" t="s">
        <v>14441</v>
      </c>
      <c r="E4508" s="3">
        <f>IFERROR(VLOOKUP(B4508,'DA1'!$B$2:$D$999999,3,FALSE),"")</f>
      </c>
      <c r="F4508" s="1" t="str">
        <f>IFERROR(VLOOKUP(B4508,'SB1'!$A$2:$C$999999,3,FALSE),"")</f>
        <v>503</v>
      </c>
      <c r="G4508" s="3" t="e">
        <f t="shared" si="153"/>
        <v>#VALUE!</v>
      </c>
      <c r="H4508" s="3" t="e">
        <f t="shared" si="154"/>
        <v>#VALUE!</v>
      </c>
      <c r="I4508" s="1">
        <v>1</v>
      </c>
    </row>
    <row r="4509" spans="1:8" x14ac:dyDescent="0.25">
      <c r="A4509" s="1" t="s">
        <v>14435</v>
      </c>
      <c r="B4509" s="1" t="s">
        <v>13545</v>
      </c>
      <c r="C4509" s="1" t="str">
        <f>IFERROR(VLOOKUP(B4509,'SB1'!$A$2:$B$999999,2,FALSE),"")</f>
        <v>IMPERMEABILIZANTE PARA FRENTES Y MUROS DURALBA MATE AMARILLO X 20</v>
      </c>
      <c r="D4509" s="1" t="s">
        <v>14441</v>
      </c>
      <c r="E4509" s="3">
        <f>IFERROR(VLOOKUP(B4509,'DA1'!$B$2:$D$999999,3,FALSE),"")</f>
      </c>
      <c r="F4509" s="1" t="str">
        <f>IFERROR(VLOOKUP(B4509,'SB1'!$A$2:$C$999999,3,FALSE),"")</f>
        <v>503</v>
      </c>
      <c r="G4509" s="3" t="e">
        <f t="shared" si="153"/>
        <v>#VALUE!</v>
      </c>
      <c r="H4509" s="3" t="e">
        <f t="shared" si="154"/>
        <v>#VALUE!</v>
      </c>
    </row>
    <row r="4510" spans="1:9" x14ac:dyDescent="0.25">
      <c r="A4510" s="1" t="s">
        <v>14435</v>
      </c>
      <c r="B4510" s="1" t="s">
        <v>13547</v>
      </c>
      <c r="C4510" s="1" t="str">
        <f>IFERROR(VLOOKUP(B4510,'SB1'!$A$2:$B$999999,2,FALSE),"")</f>
        <v>ESMALTE SINTETICO ALBALUX 2EN1 BRILLANTE BLANCO X 0,500</v>
      </c>
      <c r="D4510" s="1" t="s">
        <v>14439</v>
      </c>
      <c r="E4510" s="3">
        <f>IFERROR(VLOOKUP(B4510,'DA1'!$B$2:$D$999999,3,FALSE),"")</f>
      </c>
      <c r="F4510" s="1" t="str">
        <f>IFERROR(VLOOKUP(B4510,'SB1'!$A$2:$C$999999,3,FALSE),"")</f>
        <v>503</v>
      </c>
      <c r="G4510" s="3" t="e">
        <f t="shared" si="153"/>
        <v>#VALUE!</v>
      </c>
      <c r="H4510" s="3" t="e">
        <f t="shared" si="154"/>
        <v>#VALUE!</v>
      </c>
      <c r="I4510" s="1">
        <v>1</v>
      </c>
    </row>
    <row r="4511" spans="1:9" x14ac:dyDescent="0.25">
      <c r="A4511" s="1" t="s">
        <v>14435</v>
      </c>
      <c r="B4511" s="1" t="s">
        <v>13549</v>
      </c>
      <c r="C4511" s="1" t="str">
        <f>IFERROR(VLOOKUP(B4511,'SB1'!$A$2:$B$999999,2,FALSE),"")</f>
        <v>ESMALTE SINTETICO ALBALUX 2EN1 BRILLANTE BERMELLON X 0,500</v>
      </c>
      <c r="D4511" s="1" t="s">
        <v>14439</v>
      </c>
      <c r="E4511" s="3">
        <f>IFERROR(VLOOKUP(B4511,'DA1'!$B$2:$D$999999,3,FALSE),"")</f>
      </c>
      <c r="F4511" s="1" t="str">
        <f>IFERROR(VLOOKUP(B4511,'SB1'!$A$2:$C$999999,3,FALSE),"")</f>
        <v>503</v>
      </c>
      <c r="G4511" s="3" t="e">
        <f t="shared" si="153"/>
        <v>#VALUE!</v>
      </c>
      <c r="H4511" s="3" t="e">
        <f t="shared" si="154"/>
        <v>#VALUE!</v>
      </c>
      <c r="I4511" s="1">
        <v>1</v>
      </c>
    </row>
    <row r="4512" spans="1:9" x14ac:dyDescent="0.25">
      <c r="A4512" s="1" t="s">
        <v>14435</v>
      </c>
      <c r="B4512" s="1" t="s">
        <v>13551</v>
      </c>
      <c r="C4512" s="1" t="str">
        <f>IFERROR(VLOOKUP(B4512,'SB1'!$A$2:$B$999999,2,FALSE),"")</f>
        <v>ESMALTE SINTETICO ALBALUX 2EN1 BRILLANTE AMARILLO X 0,500</v>
      </c>
      <c r="D4512" s="1" t="s">
        <v>14439</v>
      </c>
      <c r="E4512" s="3">
        <f>IFERROR(VLOOKUP(B4512,'DA1'!$B$2:$D$999999,3,FALSE),"")</f>
      </c>
      <c r="F4512" s="1" t="str">
        <f>IFERROR(VLOOKUP(B4512,'SB1'!$A$2:$C$999999,3,FALSE),"")</f>
        <v>503</v>
      </c>
      <c r="G4512" s="3" t="e">
        <f t="shared" si="153"/>
        <v>#VALUE!</v>
      </c>
      <c r="H4512" s="3" t="e">
        <f t="shared" si="154"/>
        <v>#VALUE!</v>
      </c>
      <c r="I4512" s="1">
        <v>1</v>
      </c>
    </row>
    <row r="4513" spans="1:9" x14ac:dyDescent="0.25">
      <c r="A4513" s="1" t="s">
        <v>14435</v>
      </c>
      <c r="B4513" s="1" t="s">
        <v>13553</v>
      </c>
      <c r="C4513" s="1" t="str">
        <f>IFERROR(VLOOKUP(B4513,'SB1'!$A$2:$B$999999,2,FALSE),"")</f>
        <v>ESMALTE SINTETICO ALBALUX 2EN1 BRILLANTE BLANCO X 1</v>
      </c>
      <c r="D4513" s="1" t="s">
        <v>14439</v>
      </c>
      <c r="E4513" s="3">
        <f>IFERROR(VLOOKUP(B4513,'DA1'!$B$2:$D$999999,3,FALSE),"")</f>
      </c>
      <c r="F4513" s="1" t="str">
        <f>IFERROR(VLOOKUP(B4513,'SB1'!$A$2:$C$999999,3,FALSE),"")</f>
        <v>503</v>
      </c>
      <c r="G4513" s="3" t="e">
        <f t="shared" si="153"/>
        <v>#VALUE!</v>
      </c>
      <c r="H4513" s="3" t="e">
        <f t="shared" si="154"/>
        <v>#VALUE!</v>
      </c>
      <c r="I4513" s="1">
        <v>1</v>
      </c>
    </row>
    <row r="4514" spans="1:9" x14ac:dyDescent="0.25">
      <c r="A4514" s="1" t="s">
        <v>14435</v>
      </c>
      <c r="B4514" s="1" t="s">
        <v>13555</v>
      </c>
      <c r="C4514" s="1" t="str">
        <f>IFERROR(VLOOKUP(B4514,'SB1'!$A$2:$B$999999,2,FALSE),"")</f>
        <v>ESMALTE SINTETICO ALBALUX 2EN1 BRILLANTE BERMELLON X 1</v>
      </c>
      <c r="D4514" s="1" t="s">
        <v>14439</v>
      </c>
      <c r="E4514" s="3">
        <f>IFERROR(VLOOKUP(B4514,'DA1'!$B$2:$D$999999,3,FALSE),"")</f>
      </c>
      <c r="F4514" s="1" t="str">
        <f>IFERROR(VLOOKUP(B4514,'SB1'!$A$2:$C$999999,3,FALSE),"")</f>
        <v>503</v>
      </c>
      <c r="G4514" s="3" t="e">
        <f t="shared" si="153"/>
        <v>#VALUE!</v>
      </c>
      <c r="H4514" s="3" t="e">
        <f t="shared" si="154"/>
        <v>#VALUE!</v>
      </c>
      <c r="I4514" s="1">
        <v>1</v>
      </c>
    </row>
    <row r="4515" spans="1:9" x14ac:dyDescent="0.25">
      <c r="A4515" s="1" t="s">
        <v>14435</v>
      </c>
      <c r="B4515" s="1" t="s">
        <v>13557</v>
      </c>
      <c r="C4515" s="1" t="str">
        <f>IFERROR(VLOOKUP(B4515,'SB1'!$A$2:$B$999999,2,FALSE),"")</f>
        <v>ESMALTE SINTETICO ALBALUX 2EN1 BRILLANTE AMARILLO X 1</v>
      </c>
      <c r="D4515" s="1" t="s">
        <v>14439</v>
      </c>
      <c r="E4515" s="3">
        <f>IFERROR(VLOOKUP(B4515,'DA1'!$B$2:$D$999999,3,FALSE),"")</f>
      </c>
      <c r="F4515" s="1" t="str">
        <f>IFERROR(VLOOKUP(B4515,'SB1'!$A$2:$C$999999,3,FALSE),"")</f>
        <v>503</v>
      </c>
      <c r="G4515" s="3" t="e">
        <f t="shared" si="153"/>
        <v>#VALUE!</v>
      </c>
      <c r="H4515" s="3" t="e">
        <f t="shared" si="154"/>
        <v>#VALUE!</v>
      </c>
      <c r="I4515" s="1">
        <v>1</v>
      </c>
    </row>
    <row r="4516" spans="1:9" x14ac:dyDescent="0.25">
      <c r="A4516" s="1" t="s">
        <v>14435</v>
      </c>
      <c r="B4516" s="1" t="s">
        <v>13559</v>
      </c>
      <c r="C4516" s="1" t="str">
        <f>IFERROR(VLOOKUP(B4516,'SB1'!$A$2:$B$999999,2,FALSE),"")</f>
        <v>ESMALTE SINTETICO ALBALUX 2EN1 BRILLANTE BLANCO X 4</v>
      </c>
      <c r="D4516" s="1" t="s">
        <v>14439</v>
      </c>
      <c r="E4516" s="3">
        <f>IFERROR(VLOOKUP(B4516,'DA1'!$B$2:$D$999999,3,FALSE),"")</f>
      </c>
      <c r="F4516" s="1" t="str">
        <f>IFERROR(VLOOKUP(B4516,'SB1'!$A$2:$C$999999,3,FALSE),"")</f>
        <v>503</v>
      </c>
      <c r="G4516" s="3" t="e">
        <f t="shared" si="153"/>
        <v>#VALUE!</v>
      </c>
      <c r="H4516" s="3" t="e">
        <f t="shared" si="154"/>
        <v>#VALUE!</v>
      </c>
      <c r="I4516" s="1">
        <v>1</v>
      </c>
    </row>
    <row r="4517" spans="1:9" x14ac:dyDescent="0.25">
      <c r="A4517" s="1" t="s">
        <v>14435</v>
      </c>
      <c r="B4517" s="1" t="s">
        <v>13561</v>
      </c>
      <c r="C4517" s="1" t="str">
        <f>IFERROR(VLOOKUP(B4517,'SB1'!$A$2:$B$999999,2,FALSE),"")</f>
        <v>ESMALTE SINTETICO ALBALUX 2EN1 BRILLANTE BERMELLON X 4</v>
      </c>
      <c r="D4517" s="1" t="s">
        <v>14439</v>
      </c>
      <c r="E4517" s="3">
        <f>IFERROR(VLOOKUP(B4517,'DA1'!$B$2:$D$999999,3,FALSE),"")</f>
      </c>
      <c r="F4517" s="1" t="str">
        <f>IFERROR(VLOOKUP(B4517,'SB1'!$A$2:$C$999999,3,FALSE),"")</f>
        <v>503</v>
      </c>
      <c r="G4517" s="3" t="e">
        <f t="shared" si="153"/>
        <v>#VALUE!</v>
      </c>
      <c r="H4517" s="3" t="e">
        <f t="shared" si="154"/>
        <v>#VALUE!</v>
      </c>
      <c r="I4517" s="1">
        <v>1</v>
      </c>
    </row>
    <row r="4518" spans="1:9" x14ac:dyDescent="0.25">
      <c r="A4518" s="1" t="s">
        <v>14435</v>
      </c>
      <c r="B4518" s="1" t="s">
        <v>13563</v>
      </c>
      <c r="C4518" s="1" t="str">
        <f>IFERROR(VLOOKUP(B4518,'SB1'!$A$2:$B$999999,2,FALSE),"")</f>
        <v>ESMALTE SINTETICO ALBALUX 2EN1 BRILLANTE AMARILLO X 4</v>
      </c>
      <c r="D4518" s="1" t="s">
        <v>14439</v>
      </c>
      <c r="E4518" s="3">
        <f>IFERROR(VLOOKUP(B4518,'DA1'!$B$2:$D$999999,3,FALSE),"")</f>
      </c>
      <c r="F4518" s="1" t="str">
        <f>IFERROR(VLOOKUP(B4518,'SB1'!$A$2:$C$999999,3,FALSE),"")</f>
        <v>503</v>
      </c>
      <c r="G4518" s="3" t="e">
        <f t="shared" si="153"/>
        <v>#VALUE!</v>
      </c>
      <c r="H4518" s="3" t="e">
        <f t="shared" si="154"/>
        <v>#VALUE!</v>
      </c>
      <c r="I4518" s="1">
        <v>1</v>
      </c>
    </row>
    <row r="4519" spans="1:9" x14ac:dyDescent="0.25">
      <c r="A4519" s="1" t="s">
        <v>14435</v>
      </c>
      <c r="B4519" s="1" t="s">
        <v>13565</v>
      </c>
      <c r="C4519" s="1" t="str">
        <f>IFERROR(VLOOKUP(B4519,'SB1'!$A$2:$B$999999,2,FALSE),"")</f>
        <v>ESMALTE EPOXI ALBA BCO X 4</v>
      </c>
      <c r="D4519" s="1" t="s">
        <v>14489</v>
      </c>
      <c r="E4519" s="3">
        <f>IFERROR(VLOOKUP(B4519,'DA1'!$B$2:$D$999999,3,FALSE),"")</f>
      </c>
      <c r="F4519" s="1" t="str">
        <f>IFERROR(VLOOKUP(B4519,'SB1'!$A$2:$C$999999,3,FALSE),"")</f>
        <v>503</v>
      </c>
      <c r="G4519" s="3" t="e">
        <f t="shared" si="153"/>
        <v>#VALUE!</v>
      </c>
      <c r="H4519" s="3" t="e">
        <f t="shared" si="154"/>
        <v>#VALUE!</v>
      </c>
      <c r="I4519" s="1">
        <v>1</v>
      </c>
    </row>
    <row r="4520" spans="1:9" x14ac:dyDescent="0.25">
      <c r="A4520" s="1" t="s">
        <v>14435</v>
      </c>
      <c r="B4520" s="1" t="s">
        <v>13567</v>
      </c>
      <c r="C4520" s="1" t="str">
        <f>IFERROR(VLOOKUP(B4520,'SB1'!$A$2:$B$999999,2,FALSE),"")</f>
        <v>LATEX EXTERIOR DURALBA MATE GRIS CEMENTO X  4</v>
      </c>
      <c r="D4520" s="1" t="s">
        <v>14441</v>
      </c>
      <c r="E4520" s="3">
        <f>IFERROR(VLOOKUP(B4520,'DA1'!$B$2:$D$999999,3,FALSE),"")</f>
      </c>
      <c r="F4520" s="1" t="str">
        <f>IFERROR(VLOOKUP(B4520,'SB1'!$A$2:$C$999999,3,FALSE),"")</f>
        <v>503</v>
      </c>
      <c r="G4520" s="3" t="e">
        <f t="shared" si="153"/>
        <v>#VALUE!</v>
      </c>
      <c r="H4520" s="3" t="e">
        <f t="shared" si="154"/>
        <v>#VALUE!</v>
      </c>
      <c r="I4520" s="1">
        <v>1</v>
      </c>
    </row>
    <row r="4521" spans="1:9" x14ac:dyDescent="0.25">
      <c r="A4521" s="1" t="s">
        <v>14435</v>
      </c>
      <c r="B4521" s="1" t="s">
        <v>13569</v>
      </c>
      <c r="C4521" s="1" t="str">
        <f>IFERROR(VLOOKUP(B4521,'SB1'!$A$2:$B$999999,2,FALSE),"")</f>
        <v>LATEX EXTERIOR DURALBA MATE MARRON X  4</v>
      </c>
      <c r="D4521" s="1" t="s">
        <v>14441</v>
      </c>
      <c r="E4521" s="3">
        <f>IFERROR(VLOOKUP(B4521,'DA1'!$B$2:$D$999999,3,FALSE),"")</f>
      </c>
      <c r="F4521" s="1" t="str">
        <f>IFERROR(VLOOKUP(B4521,'SB1'!$A$2:$C$999999,3,FALSE),"")</f>
        <v>503</v>
      </c>
      <c r="G4521" s="3" t="e">
        <f t="shared" si="153"/>
        <v>#VALUE!</v>
      </c>
      <c r="H4521" s="3" t="e">
        <f t="shared" si="154"/>
        <v>#VALUE!</v>
      </c>
      <c r="I4521" s="1">
        <v>1</v>
      </c>
    </row>
    <row r="4522" spans="1:9" x14ac:dyDescent="0.25">
      <c r="A4522" s="1" t="s">
        <v>14435</v>
      </c>
      <c r="B4522" s="1" t="s">
        <v>13571</v>
      </c>
      <c r="C4522" s="1" t="str">
        <f>IFERROR(VLOOKUP(B4522,'SB1'!$A$2:$B$999999,2,FALSE),"")</f>
        <v>LATEX EXTERIOR DURALBA MATE OCRE X  4</v>
      </c>
      <c r="D4522" s="1" t="s">
        <v>14441</v>
      </c>
      <c r="E4522" s="3">
        <f>IFERROR(VLOOKUP(B4522,'DA1'!$B$2:$D$999999,3,FALSE),"")</f>
      </c>
      <c r="F4522" s="1" t="str">
        <f>IFERROR(VLOOKUP(B4522,'SB1'!$A$2:$C$999999,3,FALSE),"")</f>
        <v>503</v>
      </c>
      <c r="G4522" s="3" t="e">
        <f t="shared" si="153"/>
        <v>#VALUE!</v>
      </c>
      <c r="H4522" s="3" t="e">
        <f t="shared" si="154"/>
        <v>#VALUE!</v>
      </c>
      <c r="I4522" s="1">
        <v>1</v>
      </c>
    </row>
    <row r="4523" spans="1:9" x14ac:dyDescent="0.25">
      <c r="A4523" s="1" t="s">
        <v>14435</v>
      </c>
      <c r="B4523" s="1" t="s">
        <v>13573</v>
      </c>
      <c r="C4523" s="1" t="str">
        <f>IFERROR(VLOOKUP(B4523,'SB1'!$A$2:$B$999999,2,FALSE),"")</f>
        <v>LATEX EXTERIOR DURALBA MATE AZUL X  4</v>
      </c>
      <c r="D4523" s="1" t="s">
        <v>14441</v>
      </c>
      <c r="E4523" s="3">
        <f>IFERROR(VLOOKUP(B4523,'DA1'!$B$2:$D$999999,3,FALSE),"")</f>
      </c>
      <c r="F4523" s="1" t="str">
        <f>IFERROR(VLOOKUP(B4523,'SB1'!$A$2:$C$999999,3,FALSE),"")</f>
        <v>503</v>
      </c>
      <c r="G4523" s="3" t="e">
        <f t="shared" si="153"/>
        <v>#VALUE!</v>
      </c>
      <c r="H4523" s="3" t="e">
        <f t="shared" si="154"/>
        <v>#VALUE!</v>
      </c>
      <c r="I4523" s="1">
        <v>1</v>
      </c>
    </row>
    <row r="4524" spans="1:9" x14ac:dyDescent="0.25">
      <c r="A4524" s="1" t="s">
        <v>14435</v>
      </c>
      <c r="B4524" s="1" t="s">
        <v>13575</v>
      </c>
      <c r="C4524" s="1" t="str">
        <f>IFERROR(VLOOKUP(B4524,'SB1'!$A$2:$B$999999,2,FALSE),"")</f>
        <v>LATEX EXTERIOR DURALBA MATE VERDE MUSGO X  4</v>
      </c>
      <c r="D4524" s="1" t="s">
        <v>14441</v>
      </c>
      <c r="E4524" s="3">
        <f>IFERROR(VLOOKUP(B4524,'DA1'!$B$2:$D$999999,3,FALSE),"")</f>
      </c>
      <c r="F4524" s="1" t="str">
        <f>IFERROR(VLOOKUP(B4524,'SB1'!$A$2:$C$999999,3,FALSE),"")</f>
        <v>503</v>
      </c>
      <c r="G4524" s="3" t="e">
        <f t="shared" si="153"/>
        <v>#VALUE!</v>
      </c>
      <c r="H4524" s="3" t="e">
        <f t="shared" si="154"/>
        <v>#VALUE!</v>
      </c>
      <c r="I4524" s="1">
        <v>1</v>
      </c>
    </row>
    <row r="4525" spans="1:9" x14ac:dyDescent="0.25">
      <c r="A4525" s="1" t="s">
        <v>14435</v>
      </c>
      <c r="B4525" s="1" t="s">
        <v>13577</v>
      </c>
      <c r="C4525" s="1" t="str">
        <f>IFERROR(VLOOKUP(B4525,'SB1'!$A$2:$B$999999,2,FALSE),"")</f>
        <v>LATEX EXTERIOR DURALBA MATE TEJA X  4</v>
      </c>
      <c r="D4525" s="1" t="s">
        <v>14441</v>
      </c>
      <c r="E4525" s="3">
        <f>IFERROR(VLOOKUP(B4525,'DA1'!$B$2:$D$999999,3,FALSE),"")</f>
      </c>
      <c r="F4525" s="1" t="str">
        <f>IFERROR(VLOOKUP(B4525,'SB1'!$A$2:$C$999999,3,FALSE),"")</f>
        <v>503</v>
      </c>
      <c r="G4525" s="3" t="e">
        <f t="shared" si="153"/>
        <v>#VALUE!</v>
      </c>
      <c r="H4525" s="3" t="e">
        <f t="shared" si="154"/>
        <v>#VALUE!</v>
      </c>
      <c r="I4525" s="1">
        <v>1</v>
      </c>
    </row>
    <row r="4526" spans="1:9" x14ac:dyDescent="0.25">
      <c r="A4526" s="1" t="s">
        <v>14435</v>
      </c>
      <c r="B4526" s="1" t="s">
        <v>13579</v>
      </c>
      <c r="C4526" s="1" t="str">
        <f>IFERROR(VLOOKUP(B4526,'SB1'!$A$2:$B$999999,2,FALSE),"")</f>
        <v>LATEX EXTERIOR DURALBA MATE ROJO TANINO X  4</v>
      </c>
      <c r="D4526" s="1" t="s">
        <v>14441</v>
      </c>
      <c r="E4526" s="3">
        <f>IFERROR(VLOOKUP(B4526,'DA1'!$B$2:$D$999999,3,FALSE),"")</f>
      </c>
      <c r="F4526" s="1" t="str">
        <f>IFERROR(VLOOKUP(B4526,'SB1'!$A$2:$C$999999,3,FALSE),"")</f>
        <v>503</v>
      </c>
      <c r="G4526" s="3" t="e">
        <f t="shared" si="153"/>
        <v>#VALUE!</v>
      </c>
      <c r="H4526" s="3" t="e">
        <f t="shared" si="154"/>
        <v>#VALUE!</v>
      </c>
      <c r="I4526" s="1">
        <v>1</v>
      </c>
    </row>
    <row r="4527" spans="1:9" x14ac:dyDescent="0.25">
      <c r="A4527" s="1" t="s">
        <v>14435</v>
      </c>
      <c r="B4527" s="1" t="s">
        <v>13583</v>
      </c>
      <c r="C4527" s="1" t="str">
        <f>IFERROR(VLOOKUP(B4527,'SB1'!$A$2:$B$999999,2,FALSE),"")</f>
        <v>LATEX EXTERIOR DURALBA MATE NEGRO X  4</v>
      </c>
      <c r="D4527" s="1" t="s">
        <v>14441</v>
      </c>
      <c r="E4527" s="3">
        <f>IFERROR(VLOOKUP(B4527,'DA1'!$B$2:$D$999999,3,FALSE),"")</f>
      </c>
      <c r="F4527" s="1" t="str">
        <f>IFERROR(VLOOKUP(B4527,'SB1'!$A$2:$C$999999,3,FALSE),"")</f>
        <v>503</v>
      </c>
      <c r="G4527" s="3" t="e">
        <f t="shared" si="153"/>
        <v>#VALUE!</v>
      </c>
      <c r="H4527" s="3" t="e">
        <f t="shared" si="154"/>
        <v>#VALUE!</v>
      </c>
      <c r="I4527" s="1">
        <v>1</v>
      </c>
    </row>
    <row r="4528" spans="1:9" x14ac:dyDescent="0.25">
      <c r="A4528" s="1" t="s">
        <v>14435</v>
      </c>
      <c r="B4528" s="1" t="s">
        <v>13585</v>
      </c>
      <c r="C4528" s="1" t="str">
        <f>IFERROR(VLOOKUP(B4528,'SB1'!$A$2:$B$999999,2,FALSE),"")</f>
        <v>LATEX EXTERIOR DURALBA MATE VERDE TENIS X  4</v>
      </c>
      <c r="D4528" s="1" t="s">
        <v>14441</v>
      </c>
      <c r="E4528" s="3">
        <f>IFERROR(VLOOKUP(B4528,'DA1'!$B$2:$D$999999,3,FALSE),"")</f>
      </c>
      <c r="F4528" s="1" t="str">
        <f>IFERROR(VLOOKUP(B4528,'SB1'!$A$2:$C$999999,3,FALSE),"")</f>
        <v>503</v>
      </c>
      <c r="G4528" s="3" t="e">
        <f t="shared" si="153"/>
        <v>#VALUE!</v>
      </c>
      <c r="H4528" s="3" t="e">
        <f t="shared" si="154"/>
        <v>#VALUE!</v>
      </c>
      <c r="I4528" s="1">
        <v>1</v>
      </c>
    </row>
    <row r="4529" spans="1:9" x14ac:dyDescent="0.25">
      <c r="A4529" s="1" t="s">
        <v>14435</v>
      </c>
      <c r="B4529" s="1" t="s">
        <v>13589</v>
      </c>
      <c r="C4529" s="1" t="str">
        <f>IFERROR(VLOOKUP(B4529,'SB1'!$A$2:$B$999999,2,FALSE),"")</f>
        <v>LATEX EXTERIOR DURALBA MATE GRIS CEMENTO X 20</v>
      </c>
      <c r="D4529" s="1" t="s">
        <v>14441</v>
      </c>
      <c r="E4529" s="3">
        <f>IFERROR(VLOOKUP(B4529,'DA1'!$B$2:$D$999999,3,FALSE),"")</f>
      </c>
      <c r="F4529" s="1" t="str">
        <f>IFERROR(VLOOKUP(B4529,'SB1'!$A$2:$C$999999,3,FALSE),"")</f>
        <v>503</v>
      </c>
      <c r="G4529" s="3" t="e">
        <f t="shared" si="153"/>
        <v>#VALUE!</v>
      </c>
      <c r="H4529" s="3" t="e">
        <f t="shared" si="154"/>
        <v>#VALUE!</v>
      </c>
      <c r="I4529" s="1">
        <v>1</v>
      </c>
    </row>
    <row r="4530" spans="1:9" x14ac:dyDescent="0.25">
      <c r="A4530" s="1" t="s">
        <v>14435</v>
      </c>
      <c r="B4530" s="1" t="s">
        <v>13591</v>
      </c>
      <c r="C4530" s="1" t="str">
        <f>IFERROR(VLOOKUP(B4530,'SB1'!$A$2:$B$999999,2,FALSE),"")</f>
        <v>LATEX EXTERIOR DURALBA MATE MARRON X 20</v>
      </c>
      <c r="D4530" s="1" t="s">
        <v>14441</v>
      </c>
      <c r="E4530" s="3">
        <f>IFERROR(VLOOKUP(B4530,'DA1'!$B$2:$D$999999,3,FALSE),"")</f>
      </c>
      <c r="F4530" s="1" t="str">
        <f>IFERROR(VLOOKUP(B4530,'SB1'!$A$2:$C$999999,3,FALSE),"")</f>
        <v>503</v>
      </c>
      <c r="G4530" s="3" t="e">
        <f t="shared" si="153"/>
        <v>#VALUE!</v>
      </c>
      <c r="H4530" s="3" t="e">
        <f t="shared" si="154"/>
        <v>#VALUE!</v>
      </c>
      <c r="I4530" s="1">
        <v>1</v>
      </c>
    </row>
    <row r="4531" spans="1:9" x14ac:dyDescent="0.25">
      <c r="A4531" s="1" t="s">
        <v>14435</v>
      </c>
      <c r="B4531" s="1" t="s">
        <v>13593</v>
      </c>
      <c r="C4531" s="1" t="str">
        <f>IFERROR(VLOOKUP(B4531,'SB1'!$A$2:$B$999999,2,FALSE),"")</f>
        <v>LATEX EXTERIOR DURALBA MATE OCRE X 20</v>
      </c>
      <c r="D4531" s="1" t="s">
        <v>14441</v>
      </c>
      <c r="E4531" s="3">
        <f>IFERROR(VLOOKUP(B4531,'DA1'!$B$2:$D$999999,3,FALSE),"")</f>
      </c>
      <c r="F4531" s="1" t="str">
        <f>IFERROR(VLOOKUP(B4531,'SB1'!$A$2:$C$999999,3,FALSE),"")</f>
        <v>503</v>
      </c>
      <c r="G4531" s="3" t="e">
        <f t="shared" si="153"/>
        <v>#VALUE!</v>
      </c>
      <c r="H4531" s="3" t="e">
        <f t="shared" si="154"/>
        <v>#VALUE!</v>
      </c>
      <c r="I4531" s="1">
        <v>1</v>
      </c>
    </row>
    <row r="4532" spans="1:9" x14ac:dyDescent="0.25">
      <c r="A4532" s="1" t="s">
        <v>14435</v>
      </c>
      <c r="B4532" s="1" t="s">
        <v>13595</v>
      </c>
      <c r="C4532" s="1" t="str">
        <f>IFERROR(VLOOKUP(B4532,'SB1'!$A$2:$B$999999,2,FALSE),"")</f>
        <v>LATEX EXTERIOR DURALBA MATE AZUL X 20</v>
      </c>
      <c r="D4532" s="1" t="s">
        <v>14441</v>
      </c>
      <c r="E4532" s="3">
        <f>IFERROR(VLOOKUP(B4532,'DA1'!$B$2:$D$999999,3,FALSE),"")</f>
      </c>
      <c r="F4532" s="1" t="str">
        <f>IFERROR(VLOOKUP(B4532,'SB1'!$A$2:$C$999999,3,FALSE),"")</f>
        <v>503</v>
      </c>
      <c r="G4532" s="3" t="e">
        <f t="shared" si="153"/>
        <v>#VALUE!</v>
      </c>
      <c r="H4532" s="3" t="e">
        <f t="shared" si="154"/>
        <v>#VALUE!</v>
      </c>
      <c r="I4532" s="1">
        <v>1</v>
      </c>
    </row>
    <row r="4533" spans="1:9" x14ac:dyDescent="0.25">
      <c r="A4533" s="1" t="s">
        <v>14435</v>
      </c>
      <c r="B4533" s="1" t="s">
        <v>13597</v>
      </c>
      <c r="C4533" s="1" t="str">
        <f>IFERROR(VLOOKUP(B4533,'SB1'!$A$2:$B$999999,2,FALSE),"")</f>
        <v>LATEX EXTERIOR DURALBA MATE VERDE MUSGO X 20</v>
      </c>
      <c r="D4533" s="1" t="s">
        <v>14441</v>
      </c>
      <c r="E4533" s="3">
        <f>IFERROR(VLOOKUP(B4533,'DA1'!$B$2:$D$999999,3,FALSE),"")</f>
      </c>
      <c r="F4533" s="1" t="str">
        <f>IFERROR(VLOOKUP(B4533,'SB1'!$A$2:$C$999999,3,FALSE),"")</f>
        <v>503</v>
      </c>
      <c r="G4533" s="3" t="e">
        <f t="shared" si="153"/>
        <v>#VALUE!</v>
      </c>
      <c r="H4533" s="3" t="e">
        <f t="shared" si="154"/>
        <v>#VALUE!</v>
      </c>
      <c r="I4533" s="1">
        <v>1</v>
      </c>
    </row>
    <row r="4534" spans="1:9" x14ac:dyDescent="0.25">
      <c r="A4534" s="1" t="s">
        <v>14435</v>
      </c>
      <c r="B4534" s="1" t="s">
        <v>13599</v>
      </c>
      <c r="C4534" s="1" t="str">
        <f>IFERROR(VLOOKUP(B4534,'SB1'!$A$2:$B$999999,2,FALSE),"")</f>
        <v>LATEX EXTERIOR DURALBA MATE TEJA X 20</v>
      </c>
      <c r="D4534" s="1" t="s">
        <v>14441</v>
      </c>
      <c r="E4534" s="3">
        <f>IFERROR(VLOOKUP(B4534,'DA1'!$B$2:$D$999999,3,FALSE),"")</f>
      </c>
      <c r="F4534" s="1" t="str">
        <f>IFERROR(VLOOKUP(B4534,'SB1'!$A$2:$C$999999,3,FALSE),"")</f>
        <v>503</v>
      </c>
      <c r="G4534" s="3" t="e">
        <f t="shared" si="153"/>
        <v>#VALUE!</v>
      </c>
      <c r="H4534" s="3" t="e">
        <f t="shared" si="154"/>
        <v>#VALUE!</v>
      </c>
      <c r="I4534" s="1">
        <v>1</v>
      </c>
    </row>
    <row r="4535" spans="1:9" x14ac:dyDescent="0.25">
      <c r="A4535" s="1" t="s">
        <v>14435</v>
      </c>
      <c r="B4535" s="1" t="s">
        <v>13601</v>
      </c>
      <c r="C4535" s="1" t="str">
        <f>IFERROR(VLOOKUP(B4535,'SB1'!$A$2:$B$999999,2,FALSE),"")</f>
        <v>LATEX EXTERIOR DURALBA MATE ROJO TANINO X 20</v>
      </c>
      <c r="D4535" s="1" t="s">
        <v>14441</v>
      </c>
      <c r="E4535" s="3">
        <f>IFERROR(VLOOKUP(B4535,'DA1'!$B$2:$D$999999,3,FALSE),"")</f>
      </c>
      <c r="F4535" s="1" t="str">
        <f>IFERROR(VLOOKUP(B4535,'SB1'!$A$2:$C$999999,3,FALSE),"")</f>
        <v>503</v>
      </c>
      <c r="G4535" s="3" t="e">
        <f t="shared" si="153"/>
        <v>#VALUE!</v>
      </c>
      <c r="H4535" s="3" t="e">
        <f t="shared" si="154"/>
        <v>#VALUE!</v>
      </c>
      <c r="I4535" s="1">
        <v>1</v>
      </c>
    </row>
    <row r="4536" spans="1:8" x14ac:dyDescent="0.25">
      <c r="A4536" s="1" t="s">
        <v>14435</v>
      </c>
      <c r="B4536" s="1" t="s">
        <v>13603</v>
      </c>
      <c r="C4536" s="1" t="str">
        <f>IFERROR(VLOOKUP(B4536,'SB1'!$A$2:$B$999999,2,FALSE),"")</f>
        <v>LATEX EXTERIOR DURALBA MATE BERMELLON X 20</v>
      </c>
      <c r="D4536" s="1" t="s">
        <v>14439</v>
      </c>
      <c r="E4536" s="3">
        <f>IFERROR(VLOOKUP(B4536,'DA1'!$B$2:$D$999999,3,FALSE),"")</f>
      </c>
      <c r="F4536" s="1" t="str">
        <f>IFERROR(VLOOKUP(B4536,'SB1'!$A$2:$C$999999,3,FALSE),"")</f>
        <v>503</v>
      </c>
      <c r="G4536" s="3" t="e">
        <f t="shared" si="153"/>
        <v>#VALUE!</v>
      </c>
      <c r="H4536" s="3" t="e">
        <f t="shared" si="154"/>
        <v>#VALUE!</v>
      </c>
    </row>
    <row r="4537" spans="1:9" x14ac:dyDescent="0.25">
      <c r="A4537" s="1" t="s">
        <v>14435</v>
      </c>
      <c r="B4537" s="1" t="s">
        <v>13605</v>
      </c>
      <c r="C4537" s="1" t="str">
        <f>IFERROR(VLOOKUP(B4537,'SB1'!$A$2:$B$999999,2,FALSE),"")</f>
        <v>LATEX EXTERIOR DURALBA MATE VERDE TENIS X 20</v>
      </c>
      <c r="D4537" s="1" t="s">
        <v>14441</v>
      </c>
      <c r="E4537" s="3">
        <f>IFERROR(VLOOKUP(B4537,'DA1'!$B$2:$D$999999,3,FALSE),"")</f>
      </c>
      <c r="F4537" s="1" t="str">
        <f>IFERROR(VLOOKUP(B4537,'SB1'!$A$2:$C$999999,3,FALSE),"")</f>
        <v>503</v>
      </c>
      <c r="G4537" s="3" t="e">
        <f t="shared" si="153"/>
        <v>#VALUE!</v>
      </c>
      <c r="H4537" s="3" t="e">
        <f t="shared" si="154"/>
        <v>#VALUE!</v>
      </c>
      <c r="I4537" s="1">
        <v>1</v>
      </c>
    </row>
    <row r="4538" spans="1:9" x14ac:dyDescent="0.25">
      <c r="A4538" s="1" t="s">
        <v>14435</v>
      </c>
      <c r="B4538" s="1" t="s">
        <v>13609</v>
      </c>
      <c r="C4538" s="1" t="str">
        <f>IFERROR(VLOOKUP(B4538,'SB1'!$A$2:$B$999999,2,FALSE),"")</f>
        <v>SOLVENTE INDUSTRIAL X 200</v>
      </c>
      <c r="D4538" s="1" t="s">
        <v>14472</v>
      </c>
      <c r="E4538" s="3">
        <f>IFERROR(VLOOKUP(B4538,'DA1'!$B$2:$D$999999,3,FALSE),"")</f>
      </c>
      <c r="F4538" s="1" t="str">
        <f>IFERROR(VLOOKUP(B4538,'SB1'!$A$2:$C$999999,3,FALSE),"")</f>
        <v>503</v>
      </c>
      <c r="G4538" s="3" t="e">
        <f t="shared" si="153"/>
        <v>#VALUE!</v>
      </c>
      <c r="H4538" s="3" t="e">
        <f t="shared" si="154"/>
        <v>#VALUE!</v>
      </c>
      <c r="I4538" s="1">
        <v>1</v>
      </c>
    </row>
    <row r="4539" spans="1:9" x14ac:dyDescent="0.25">
      <c r="A4539" s="1" t="s">
        <v>14435</v>
      </c>
      <c r="B4539" s="1" t="s">
        <v>13611</v>
      </c>
      <c r="C4539" s="1" t="str">
        <f>IFERROR(VLOOKUP(B4539,'SB1'!$A$2:$B$999999,2,FALSE),"")</f>
        <v>DILUYENTE PARA EPOXI PLUS X 200</v>
      </c>
      <c r="D4539" s="1" t="s">
        <v>14472</v>
      </c>
      <c r="E4539" s="3">
        <f>IFERROR(VLOOKUP(B4539,'DA1'!$B$2:$D$999999,3,FALSE),"")</f>
      </c>
      <c r="F4539" s="1" t="str">
        <f>IFERROR(VLOOKUP(B4539,'SB1'!$A$2:$C$999999,3,FALSE),"")</f>
        <v>503</v>
      </c>
      <c r="G4539" s="3" t="e">
        <f t="shared" si="153"/>
        <v>#VALUE!</v>
      </c>
      <c r="H4539" s="3" t="e">
        <f t="shared" si="154"/>
        <v>#VALUE!</v>
      </c>
      <c r="I4539" s="1">
        <v>1</v>
      </c>
    </row>
    <row r="4540" spans="1:9" x14ac:dyDescent="0.25">
      <c r="A4540" s="1" t="s">
        <v>14435</v>
      </c>
      <c r="B4540" s="1" t="s">
        <v>13613</v>
      </c>
      <c r="C4540" s="1" t="str">
        <f>IFERROR(VLOOKUP(B4540,'SB1'!$A$2:$B$999999,2,FALSE),"")</f>
        <v>DILUYENTE POLIURETANICO PLUS X 200</v>
      </c>
      <c r="D4540" s="1" t="s">
        <v>14472</v>
      </c>
      <c r="E4540" s="3">
        <f>IFERROR(VLOOKUP(B4540,'DA1'!$B$2:$D$999999,3,FALSE),"")</f>
      </c>
      <c r="F4540" s="1" t="str">
        <f>IFERROR(VLOOKUP(B4540,'SB1'!$A$2:$C$999999,3,FALSE),"")</f>
        <v>503</v>
      </c>
      <c r="G4540" s="3" t="e">
        <f t="shared" si="153"/>
        <v>#VALUE!</v>
      </c>
      <c r="H4540" s="3" t="e">
        <f t="shared" si="154"/>
        <v>#VALUE!</v>
      </c>
      <c r="I4540" s="1">
        <v>1</v>
      </c>
    </row>
    <row r="4541" spans="1:9" x14ac:dyDescent="0.25">
      <c r="A4541" s="1" t="s">
        <v>14435</v>
      </c>
      <c r="B4541" s="1" t="s">
        <v>13615</v>
      </c>
      <c r="C4541" s="1" t="str">
        <f>IFERROR(VLOOKUP(B4541,'SB1'!$A$2:$B$999999,2,FALSE),"")</f>
        <v>ESMALTE EPOXI ALBA GRIS HIELO X 4</v>
      </c>
      <c r="D4541" s="1" t="s">
        <v>14489</v>
      </c>
      <c r="E4541" s="3">
        <f>IFERROR(VLOOKUP(B4541,'DA1'!$B$2:$D$999999,3,FALSE),"")</f>
      </c>
      <c r="F4541" s="1" t="str">
        <f>IFERROR(VLOOKUP(B4541,'SB1'!$A$2:$C$999999,3,FALSE),"")</f>
        <v>503</v>
      </c>
      <c r="G4541" s="3" t="e">
        <f t="shared" si="153"/>
        <v>#VALUE!</v>
      </c>
      <c r="H4541" s="3" t="e">
        <f t="shared" si="154"/>
        <v>#VALUE!</v>
      </c>
      <c r="I4541" s="1">
        <v>1</v>
      </c>
    </row>
    <row r="4542" spans="1:9" x14ac:dyDescent="0.25">
      <c r="A4542" s="1" t="s">
        <v>14435</v>
      </c>
      <c r="B4542" s="1" t="s">
        <v>13617</v>
      </c>
      <c r="C4542" s="1" t="str">
        <f>IFERROR(VLOOKUP(B4542,'SB1'!$A$2:$B$999999,2,FALSE),"")</f>
        <v>FONDO EPOXI ALBA GRIS X 4</v>
      </c>
      <c r="D4542" s="1" t="s">
        <v>14489</v>
      </c>
      <c r="E4542" s="3">
        <f>IFERROR(VLOOKUP(B4542,'DA1'!$B$2:$D$999999,3,FALSE),"")</f>
      </c>
      <c r="F4542" s="1" t="str">
        <f>IFERROR(VLOOKUP(B4542,'SB1'!$A$2:$C$999999,3,FALSE),"")</f>
        <v>503</v>
      </c>
      <c r="G4542" s="3" t="e">
        <f t="shared" si="153"/>
        <v>#VALUE!</v>
      </c>
      <c r="H4542" s="3" t="e">
        <f t="shared" si="154"/>
        <v>#VALUE!</v>
      </c>
      <c r="I4542" s="1">
        <v>1</v>
      </c>
    </row>
    <row r="4543" spans="1:9" x14ac:dyDescent="0.25">
      <c r="A4543" s="1" t="s">
        <v>14435</v>
      </c>
      <c r="B4543" s="1" t="s">
        <v>13621</v>
      </c>
      <c r="C4543" s="1" t="str">
        <f>IFERROR(VLOOKUP(B4543,'SB1'!$A$2:$B$999999,2,FALSE),"")</f>
        <v>ESMALTE EPOXI ALBA BERMELLON X 4</v>
      </c>
      <c r="D4543" s="1" t="s">
        <v>14489</v>
      </c>
      <c r="E4543" s="3">
        <f>IFERROR(VLOOKUP(B4543,'DA1'!$B$2:$D$999999,3,FALSE),"")</f>
      </c>
      <c r="F4543" s="1" t="str">
        <f>IFERROR(VLOOKUP(B4543,'SB1'!$A$2:$C$999999,3,FALSE),"")</f>
        <v>503</v>
      </c>
      <c r="G4543" s="3" t="e">
        <f t="shared" si="153"/>
        <v>#VALUE!</v>
      </c>
      <c r="H4543" s="3" t="e">
        <f t="shared" si="154"/>
        <v>#VALUE!</v>
      </c>
      <c r="I4543" s="1">
        <v>1</v>
      </c>
    </row>
    <row r="4544" spans="1:8" x14ac:dyDescent="0.25">
      <c r="A4544" s="1" t="s">
        <v>14435</v>
      </c>
      <c r="B4544" s="1" t="s">
        <v>13623</v>
      </c>
      <c r="C4544" s="1" t="str">
        <f>IFERROR(VLOOKUP(B4544,'SB1'!$A$2:$B$999999,2,FALSE),"")</f>
        <v>ESMALTE EPOXI ALBA AMARILLO X 4</v>
      </c>
      <c r="D4544" s="1" t="s">
        <v>14439</v>
      </c>
      <c r="E4544" s="3">
        <f>IFERROR(VLOOKUP(B4544,'DA1'!$B$2:$D$999999,3,FALSE),"")</f>
      </c>
      <c r="F4544" s="1" t="str">
        <f>IFERROR(VLOOKUP(B4544,'SB1'!$A$2:$C$999999,3,FALSE),"")</f>
        <v>503</v>
      </c>
      <c r="G4544" s="3" t="e">
        <f t="shared" si="153"/>
        <v>#VALUE!</v>
      </c>
      <c r="H4544" s="3" t="e">
        <f t="shared" si="154"/>
        <v>#VALUE!</v>
      </c>
    </row>
    <row r="4545" spans="1:9" x14ac:dyDescent="0.25">
      <c r="A4545" s="1" t="s">
        <v>14435</v>
      </c>
      <c r="B4545" s="1" t="s">
        <v>13625</v>
      </c>
      <c r="C4545" s="1" t="str">
        <f>IFERROR(VLOOKUP(B4545,'SB1'!$A$2:$B$999999,2,FALSE),"")</f>
        <v>ESMALTE EPOXI ALBA V.INGLES X 4</v>
      </c>
      <c r="D4545" s="1" t="s">
        <v>14489</v>
      </c>
      <c r="E4545" s="3">
        <f>IFERROR(VLOOKUP(B4545,'DA1'!$B$2:$D$999999,3,FALSE),"")</f>
      </c>
      <c r="F4545" s="1" t="str">
        <f>IFERROR(VLOOKUP(B4545,'SB1'!$A$2:$C$999999,3,FALSE),"")</f>
        <v>503</v>
      </c>
      <c r="G4545" s="3" t="e">
        <f t="shared" si="153"/>
        <v>#VALUE!</v>
      </c>
      <c r="H4545" s="3" t="e">
        <f t="shared" si="154"/>
        <v>#VALUE!</v>
      </c>
      <c r="I4545" s="1">
        <v>1</v>
      </c>
    </row>
    <row r="4546" spans="1:9" x14ac:dyDescent="0.25">
      <c r="A4546" s="1" t="s">
        <v>14435</v>
      </c>
      <c r="B4546" s="1" t="s">
        <v>13627</v>
      </c>
      <c r="C4546" s="1" t="str">
        <f>IFERROR(VLOOKUP(B4546,'SB1'!$A$2:$B$999999,2,FALSE),"")</f>
        <v>PINTURA PARA PILETA ALBA EPOXI TANQUES Y PILETAS GRIS X 4</v>
      </c>
      <c r="D4546" s="1" t="s">
        <v>14489</v>
      </c>
      <c r="E4546" s="3">
        <f>IFERROR(VLOOKUP(B4546,'DA1'!$B$2:$D$999999,3,FALSE),"")</f>
      </c>
      <c r="F4546" s="1" t="str">
        <f>IFERROR(VLOOKUP(B4546,'SB1'!$A$2:$C$999999,3,FALSE),"")</f>
        <v>503</v>
      </c>
      <c r="G4546" s="3" t="e">
        <f t="shared" si="153"/>
        <v>#VALUE!</v>
      </c>
      <c r="H4546" s="3" t="e">
        <f t="shared" si="154"/>
        <v>#VALUE!</v>
      </c>
      <c r="I4546" s="1">
        <v>1</v>
      </c>
    </row>
    <row r="4547" spans="1:9" x14ac:dyDescent="0.25">
      <c r="A4547" s="1" t="s">
        <v>14435</v>
      </c>
      <c r="B4547" s="1" t="s">
        <v>13629</v>
      </c>
      <c r="C4547" s="1" t="str">
        <f>IFERROR(VLOOKUP(B4547,'SB1'!$A$2:$B$999999,2,FALSE),"")</f>
        <v>PINTURA PARA PILETA ALBA EPOXI TANQUES Y PILETAS BLANCO X 4</v>
      </c>
      <c r="D4547" s="1" t="s">
        <v>14489</v>
      </c>
      <c r="E4547" s="3">
        <f>IFERROR(VLOOKUP(B4547,'DA1'!$B$2:$D$999999,3,FALSE),"")</f>
      </c>
      <c r="F4547" s="1" t="str">
        <f>IFERROR(VLOOKUP(B4547,'SB1'!$A$2:$C$999999,3,FALSE),"")</f>
        <v>503</v>
      </c>
      <c r="G4547" s="3" t="e">
        <f t="shared" ref="G4547:G4610" si="155">E4547*1.04</f>
        <v>#VALUE!</v>
      </c>
      <c r="H4547" s="3" t="e">
        <f t="shared" si="154"/>
        <v>#VALUE!</v>
      </c>
      <c r="I4547" s="1">
        <v>1</v>
      </c>
    </row>
    <row r="4548" spans="1:9" x14ac:dyDescent="0.25">
      <c r="A4548" s="1" t="s">
        <v>14435</v>
      </c>
      <c r="B4548" s="1" t="s">
        <v>13631</v>
      </c>
      <c r="C4548" s="1" t="str">
        <f>IFERROR(VLOOKUP(B4548,'SB1'!$A$2:$B$999999,2,FALSE),"")</f>
        <v>PINTURA PARA PILETA ALBA EPOXI TANQUES Y PILETAS CELESTE INTENSO X 4</v>
      </c>
      <c r="D4548" s="1" t="s">
        <v>14489</v>
      </c>
      <c r="E4548" s="3">
        <f>IFERROR(VLOOKUP(B4548,'DA1'!$B$2:$D$999999,3,FALSE),"")</f>
      </c>
      <c r="F4548" s="1" t="str">
        <f>IFERROR(VLOOKUP(B4548,'SB1'!$A$2:$C$999999,3,FALSE),"")</f>
        <v>503</v>
      </c>
      <c r="G4548" s="3" t="e">
        <f t="shared" si="155"/>
        <v>#VALUE!</v>
      </c>
      <c r="H4548" s="3" t="e">
        <f t="shared" ref="H4548:H4611" si="156">G4548*1.21</f>
        <v>#VALUE!</v>
      </c>
      <c r="I4548" s="1">
        <v>1</v>
      </c>
    </row>
    <row r="4549" spans="1:9" x14ac:dyDescent="0.25">
      <c r="A4549" s="1" t="s">
        <v>14435</v>
      </c>
      <c r="B4549" s="1" t="s">
        <v>13635</v>
      </c>
      <c r="C4549" s="1" t="str">
        <f>IFERROR(VLOOKUP(B4549,'SB1'!$A$2:$B$999999,2,FALSE),"")</f>
        <v>LATEX PARA PISO ALBA MATE AZUL X  4</v>
      </c>
      <c r="D4549" s="1" t="s">
        <v>14441</v>
      </c>
      <c r="E4549" s="3">
        <f>IFERROR(VLOOKUP(B4549,'DA1'!$B$2:$D$999999,3,FALSE),"")</f>
      </c>
      <c r="F4549" s="1" t="str">
        <f>IFERROR(VLOOKUP(B4549,'SB1'!$A$2:$C$999999,3,FALSE),"")</f>
        <v>503</v>
      </c>
      <c r="G4549" s="3" t="e">
        <f t="shared" si="155"/>
        <v>#VALUE!</v>
      </c>
      <c r="H4549" s="3" t="e">
        <f t="shared" si="156"/>
        <v>#VALUE!</v>
      </c>
      <c r="I4549" s="1">
        <v>1</v>
      </c>
    </row>
    <row r="4550" spans="1:9" x14ac:dyDescent="0.25">
      <c r="A4550" s="1" t="s">
        <v>14435</v>
      </c>
      <c r="B4550" s="1" t="s">
        <v>13637</v>
      </c>
      <c r="C4550" s="1" t="str">
        <f>IFERROR(VLOOKUP(B4550,'SB1'!$A$2:$B$999999,2,FALSE),"")</f>
        <v>LATEX PARA PISO ALBA MATE GRAFITO X  4</v>
      </c>
      <c r="D4550" s="1" t="s">
        <v>14441</v>
      </c>
      <c r="E4550" s="3">
        <f>IFERROR(VLOOKUP(B4550,'DA1'!$B$2:$D$999999,3,FALSE),"")</f>
      </c>
      <c r="F4550" s="1" t="str">
        <f>IFERROR(VLOOKUP(B4550,'SB1'!$A$2:$C$999999,3,FALSE),"")</f>
        <v>503</v>
      </c>
      <c r="G4550" s="3" t="e">
        <f t="shared" si="155"/>
        <v>#VALUE!</v>
      </c>
      <c r="H4550" s="3" t="e">
        <f t="shared" si="156"/>
        <v>#VALUE!</v>
      </c>
      <c r="I4550" s="1">
        <v>1</v>
      </c>
    </row>
    <row r="4551" spans="1:9" x14ac:dyDescent="0.25">
      <c r="A4551" s="1" t="s">
        <v>14435</v>
      </c>
      <c r="B4551" s="1" t="s">
        <v>13639</v>
      </c>
      <c r="C4551" s="1" t="str">
        <f>IFERROR(VLOOKUP(B4551,'SB1'!$A$2:$B$999999,2,FALSE),"")</f>
        <v>LATEX PARA PISO ALBA MATE ROJO COLONIAL X  4</v>
      </c>
      <c r="D4551" s="1" t="s">
        <v>14441</v>
      </c>
      <c r="E4551" s="3">
        <f>IFERROR(VLOOKUP(B4551,'DA1'!$B$2:$D$999999,3,FALSE),"")</f>
      </c>
      <c r="F4551" s="1" t="str">
        <f>IFERROR(VLOOKUP(B4551,'SB1'!$A$2:$C$999999,3,FALSE),"")</f>
        <v>503</v>
      </c>
      <c r="G4551" s="3" t="e">
        <f t="shared" si="155"/>
        <v>#VALUE!</v>
      </c>
      <c r="H4551" s="3" t="e">
        <f t="shared" si="156"/>
        <v>#VALUE!</v>
      </c>
      <c r="I4551" s="1">
        <v>1</v>
      </c>
    </row>
    <row r="4552" spans="1:9" x14ac:dyDescent="0.25">
      <c r="A4552" s="1" t="s">
        <v>14435</v>
      </c>
      <c r="B4552" s="1" t="s">
        <v>13641</v>
      </c>
      <c r="C4552" s="1" t="str">
        <f>IFERROR(VLOOKUP(B4552,'SB1'!$A$2:$B$999999,2,FALSE),"")</f>
        <v>LATEX PARA PISO ALBA MATE CENIZA X  4</v>
      </c>
      <c r="D4552" s="1" t="s">
        <v>14441</v>
      </c>
      <c r="E4552" s="3">
        <f>IFERROR(VLOOKUP(B4552,'DA1'!$B$2:$D$999999,3,FALSE),"")</f>
      </c>
      <c r="F4552" s="1" t="str">
        <f>IFERROR(VLOOKUP(B4552,'SB1'!$A$2:$C$999999,3,FALSE),"")</f>
        <v>503</v>
      </c>
      <c r="G4552" s="3" t="e">
        <f t="shared" si="155"/>
        <v>#VALUE!</v>
      </c>
      <c r="H4552" s="3" t="e">
        <f t="shared" si="156"/>
        <v>#VALUE!</v>
      </c>
      <c r="I4552" s="1">
        <v>1</v>
      </c>
    </row>
    <row r="4553" spans="1:9" x14ac:dyDescent="0.25">
      <c r="A4553" s="1" t="s">
        <v>14435</v>
      </c>
      <c r="B4553" s="1" t="s">
        <v>13643</v>
      </c>
      <c r="C4553" s="1" t="str">
        <f>IFERROR(VLOOKUP(B4553,'SB1'!$A$2:$B$999999,2,FALSE),"")</f>
        <v>LATEX PARA PISO ALBA MATE NEGRO X 4</v>
      </c>
      <c r="D4553" s="1" t="s">
        <v>14441</v>
      </c>
      <c r="E4553" s="3">
        <f>IFERROR(VLOOKUP(B4553,'DA1'!$B$2:$D$999999,3,FALSE),"")</f>
      </c>
      <c r="F4553" s="1" t="str">
        <f>IFERROR(VLOOKUP(B4553,'SB1'!$A$2:$C$999999,3,FALSE),"")</f>
        <v>503</v>
      </c>
      <c r="G4553" s="3" t="e">
        <f t="shared" si="155"/>
        <v>#VALUE!</v>
      </c>
      <c r="H4553" s="3" t="e">
        <f t="shared" si="156"/>
        <v>#VALUE!</v>
      </c>
      <c r="I4553" s="1">
        <v>1</v>
      </c>
    </row>
    <row r="4554" spans="1:9" x14ac:dyDescent="0.25">
      <c r="A4554" s="1" t="s">
        <v>14435</v>
      </c>
      <c r="B4554" s="1" t="s">
        <v>13645</v>
      </c>
      <c r="C4554" s="1" t="str">
        <f>IFERROR(VLOOKUP(B4554,'SB1'!$A$2:$B$999999,2,FALSE),"")</f>
        <v>LATEX PARA PISO ALBA MATE VERDE TENIS X  4</v>
      </c>
      <c r="D4554" s="1" t="s">
        <v>14441</v>
      </c>
      <c r="E4554" s="3">
        <f>IFERROR(VLOOKUP(B4554,'DA1'!$B$2:$D$999999,3,FALSE),"")</f>
      </c>
      <c r="F4554" s="1" t="str">
        <f>IFERROR(VLOOKUP(B4554,'SB1'!$A$2:$C$999999,3,FALSE),"")</f>
        <v>503</v>
      </c>
      <c r="G4554" s="3" t="e">
        <f t="shared" si="155"/>
        <v>#VALUE!</v>
      </c>
      <c r="H4554" s="3" t="e">
        <f t="shared" si="156"/>
        <v>#VALUE!</v>
      </c>
      <c r="I4554" s="1">
        <v>1</v>
      </c>
    </row>
    <row r="4555" spans="1:9" x14ac:dyDescent="0.25">
      <c r="A4555" s="1" t="s">
        <v>14435</v>
      </c>
      <c r="B4555" s="1" t="s">
        <v>13647</v>
      </c>
      <c r="C4555" s="1" t="str">
        <f>IFERROR(VLOOKUP(B4555,'SB1'!$A$2:$B$999999,2,FALSE),"")</f>
        <v>LATEX PARA PISO ALBA MATE AZUL X 20</v>
      </c>
      <c r="D4555" s="1" t="s">
        <v>14441</v>
      </c>
      <c r="E4555" s="3">
        <f>IFERROR(VLOOKUP(B4555,'DA1'!$B$2:$D$999999,3,FALSE),"")</f>
      </c>
      <c r="F4555" s="1" t="str">
        <f>IFERROR(VLOOKUP(B4555,'SB1'!$A$2:$C$999999,3,FALSE),"")</f>
        <v>503</v>
      </c>
      <c r="G4555" s="3" t="e">
        <f t="shared" si="155"/>
        <v>#VALUE!</v>
      </c>
      <c r="H4555" s="3" t="e">
        <f t="shared" si="156"/>
        <v>#VALUE!</v>
      </c>
      <c r="I4555" s="1">
        <v>1</v>
      </c>
    </row>
    <row r="4556" spans="1:9" x14ac:dyDescent="0.25">
      <c r="A4556" s="1" t="s">
        <v>14435</v>
      </c>
      <c r="B4556" s="1" t="s">
        <v>13649</v>
      </c>
      <c r="C4556" s="1" t="str">
        <f>IFERROR(VLOOKUP(B4556,'SB1'!$A$2:$B$999999,2,FALSE),"")</f>
        <v>LATEX PARA PISO ALBA MATE GRAFITO X 20</v>
      </c>
      <c r="D4556" s="1" t="s">
        <v>14441</v>
      </c>
      <c r="E4556" s="3">
        <f>IFERROR(VLOOKUP(B4556,'DA1'!$B$2:$D$999999,3,FALSE),"")</f>
      </c>
      <c r="F4556" s="1" t="str">
        <f>IFERROR(VLOOKUP(B4556,'SB1'!$A$2:$C$999999,3,FALSE),"")</f>
        <v>503</v>
      </c>
      <c r="G4556" s="3" t="e">
        <f t="shared" si="155"/>
        <v>#VALUE!</v>
      </c>
      <c r="H4556" s="3" t="e">
        <f t="shared" si="156"/>
        <v>#VALUE!</v>
      </c>
      <c r="I4556" s="1">
        <v>1</v>
      </c>
    </row>
    <row r="4557" spans="1:9" x14ac:dyDescent="0.25">
      <c r="A4557" s="1" t="s">
        <v>14435</v>
      </c>
      <c r="B4557" s="1" t="s">
        <v>13651</v>
      </c>
      <c r="C4557" s="1" t="str">
        <f>IFERROR(VLOOKUP(B4557,'SB1'!$A$2:$B$999999,2,FALSE),"")</f>
        <v>LATEX PARA PISO ALBA MATE ROJO COLONIAL X 20</v>
      </c>
      <c r="D4557" s="1" t="s">
        <v>14441</v>
      </c>
      <c r="E4557" s="3">
        <f>IFERROR(VLOOKUP(B4557,'DA1'!$B$2:$D$999999,3,FALSE),"")</f>
      </c>
      <c r="F4557" s="1" t="str">
        <f>IFERROR(VLOOKUP(B4557,'SB1'!$A$2:$C$999999,3,FALSE),"")</f>
        <v>503</v>
      </c>
      <c r="G4557" s="3" t="e">
        <f t="shared" si="155"/>
        <v>#VALUE!</v>
      </c>
      <c r="H4557" s="3" t="e">
        <f t="shared" si="156"/>
        <v>#VALUE!</v>
      </c>
      <c r="I4557" s="1">
        <v>1</v>
      </c>
    </row>
    <row r="4558" spans="1:9" x14ac:dyDescent="0.25">
      <c r="A4558" s="1" t="s">
        <v>14435</v>
      </c>
      <c r="B4558" s="1" t="s">
        <v>13653</v>
      </c>
      <c r="C4558" s="1" t="str">
        <f>IFERROR(VLOOKUP(B4558,'SB1'!$A$2:$B$999999,2,FALSE),"")</f>
        <v>LATEX PARA PISO ALBA MATE CENIZA X 20</v>
      </c>
      <c r="D4558" s="1" t="s">
        <v>14441</v>
      </c>
      <c r="E4558" s="3">
        <f>IFERROR(VLOOKUP(B4558,'DA1'!$B$2:$D$999999,3,FALSE),"")</f>
      </c>
      <c r="F4558" s="1" t="str">
        <f>IFERROR(VLOOKUP(B4558,'SB1'!$A$2:$C$999999,3,FALSE),"")</f>
        <v>503</v>
      </c>
      <c r="G4558" s="3" t="e">
        <f t="shared" si="155"/>
        <v>#VALUE!</v>
      </c>
      <c r="H4558" s="3" t="e">
        <f t="shared" si="156"/>
        <v>#VALUE!</v>
      </c>
      <c r="I4558" s="1">
        <v>1</v>
      </c>
    </row>
    <row r="4559" spans="1:9" x14ac:dyDescent="0.25">
      <c r="A4559" s="1" t="s">
        <v>14435</v>
      </c>
      <c r="B4559" s="1" t="s">
        <v>13655</v>
      </c>
      <c r="C4559" s="1" t="str">
        <f>IFERROR(VLOOKUP(B4559,'SB1'!$A$2:$B$999999,2,FALSE),"")</f>
        <v>LATEX PARA PISO ALBA MATE VERDE TENIS X 20</v>
      </c>
      <c r="D4559" s="1" t="s">
        <v>14441</v>
      </c>
      <c r="E4559" s="3">
        <f>IFERROR(VLOOKUP(B4559,'DA1'!$B$2:$D$999999,3,FALSE),"")</f>
      </c>
      <c r="F4559" s="1" t="str">
        <f>IFERROR(VLOOKUP(B4559,'SB1'!$A$2:$C$999999,3,FALSE),"")</f>
        <v>503</v>
      </c>
      <c r="G4559" s="3" t="e">
        <f t="shared" si="155"/>
        <v>#VALUE!</v>
      </c>
      <c r="H4559" s="3" t="e">
        <f t="shared" si="156"/>
        <v>#VALUE!</v>
      </c>
      <c r="I4559" s="1">
        <v>1</v>
      </c>
    </row>
    <row r="4560" spans="1:9" x14ac:dyDescent="0.25">
      <c r="A4560" s="1" t="s">
        <v>14435</v>
      </c>
      <c r="B4560" s="1" t="s">
        <v>13661</v>
      </c>
      <c r="C4560" s="1" t="str">
        <f>IFERROR(VLOOKUP(B4560,'SB1'!$A$2:$B$999999,2,FALSE),"")</f>
        <v>PROTECTOR ALBA RENOVA CHALK MATE TRANSPARENTE X 1</v>
      </c>
      <c r="D4560" s="1" t="s">
        <v>14439</v>
      </c>
      <c r="E4560" s="3">
        <f>IFERROR(VLOOKUP(B4560,'DA1'!$B$2:$D$999999,3,FALSE),"")</f>
      </c>
      <c r="F4560" s="1" t="str">
        <f>IFERROR(VLOOKUP(B4560,'SB1'!$A$2:$C$999999,3,FALSE),"")</f>
        <v>503</v>
      </c>
      <c r="G4560" s="3" t="e">
        <f t="shared" si="155"/>
        <v>#VALUE!</v>
      </c>
      <c r="H4560" s="3" t="e">
        <f t="shared" si="156"/>
        <v>#VALUE!</v>
      </c>
      <c r="I4560" s="1">
        <v>1</v>
      </c>
    </row>
    <row r="4561" spans="1:9" x14ac:dyDescent="0.25">
      <c r="A4561" s="1" t="s">
        <v>14435</v>
      </c>
      <c r="B4561" s="1" t="s">
        <v>13663</v>
      </c>
      <c r="C4561" s="1" t="str">
        <f>IFERROR(VLOOKUP(B4561,'SB1'!$A$2:$B$999999,2,FALSE),"")</f>
        <v>PINTURA A LA TIZA ALBA RENOVA CHALK MATE SENSACION FELIZ X 1</v>
      </c>
      <c r="D4561" s="1" t="s">
        <v>14439</v>
      </c>
      <c r="E4561" s="3">
        <f>IFERROR(VLOOKUP(B4561,'DA1'!$B$2:$D$999999,3,FALSE),"")</f>
      </c>
      <c r="F4561" s="1" t="str">
        <f>IFERROR(VLOOKUP(B4561,'SB1'!$A$2:$C$999999,3,FALSE),"")</f>
        <v>503</v>
      </c>
      <c r="G4561" s="3" t="e">
        <f t="shared" si="155"/>
        <v>#VALUE!</v>
      </c>
      <c r="H4561" s="3" t="e">
        <f t="shared" si="156"/>
        <v>#VALUE!</v>
      </c>
      <c r="I4561" s="1">
        <v>1</v>
      </c>
    </row>
    <row r="4562" spans="1:9" x14ac:dyDescent="0.25">
      <c r="A4562" s="1" t="s">
        <v>14435</v>
      </c>
      <c r="B4562" s="1" t="s">
        <v>13665</v>
      </c>
      <c r="C4562" s="1" t="str">
        <f>IFERROR(VLOOKUP(B4562,'SB1'!$A$2:$B$999999,2,FALSE),"")</f>
        <v>PINTURA A LA TIZA ALBA RENOVA CHALK MATE GRIS NOBLE X 1</v>
      </c>
      <c r="D4562" s="1" t="s">
        <v>14439</v>
      </c>
      <c r="E4562" s="3">
        <f>IFERROR(VLOOKUP(B4562,'DA1'!$B$2:$D$999999,3,FALSE),"")</f>
      </c>
      <c r="F4562" s="1" t="str">
        <f>IFERROR(VLOOKUP(B4562,'SB1'!$A$2:$C$999999,3,FALSE),"")</f>
        <v>503</v>
      </c>
      <c r="G4562" s="3" t="e">
        <f t="shared" si="155"/>
        <v>#VALUE!</v>
      </c>
      <c r="H4562" s="3" t="e">
        <f t="shared" si="156"/>
        <v>#VALUE!</v>
      </c>
      <c r="I4562" s="1">
        <v>1</v>
      </c>
    </row>
    <row r="4563" spans="1:9" x14ac:dyDescent="0.25">
      <c r="A4563" s="1" t="s">
        <v>14435</v>
      </c>
      <c r="B4563" s="1" t="s">
        <v>13667</v>
      </c>
      <c r="C4563" s="1" t="str">
        <f>IFERROR(VLOOKUP(B4563,'SB1'!$A$2:$B$999999,2,FALSE),"")</f>
        <v>PINTURA A LA TIZA ALBA RENOVA CHALK MATE BIZCOCHO ENCANTADO X 1</v>
      </c>
      <c r="D4563" s="1" t="s">
        <v>14439</v>
      </c>
      <c r="E4563" s="3">
        <f>IFERROR(VLOOKUP(B4563,'DA1'!$B$2:$D$999999,3,FALSE),"")</f>
      </c>
      <c r="F4563" s="1" t="str">
        <f>IFERROR(VLOOKUP(B4563,'SB1'!$A$2:$C$999999,3,FALSE),"")</f>
        <v>503</v>
      </c>
      <c r="G4563" s="3" t="e">
        <f t="shared" si="155"/>
        <v>#VALUE!</v>
      </c>
      <c r="H4563" s="3" t="e">
        <f t="shared" si="156"/>
        <v>#VALUE!</v>
      </c>
      <c r="I4563" s="1">
        <v>1</v>
      </c>
    </row>
    <row r="4564" spans="1:9" x14ac:dyDescent="0.25">
      <c r="A4564" s="1" t="s">
        <v>14435</v>
      </c>
      <c r="B4564" s="1" t="s">
        <v>13669</v>
      </c>
      <c r="C4564" s="1" t="str">
        <f>IFERROR(VLOOKUP(B4564,'SB1'!$A$2:$B$999999,2,FALSE),"")</f>
        <v>PINTURA A LA TIZA ALBA RENOVA CHALK MATE CAMINO URBANO X 1</v>
      </c>
      <c r="D4564" s="1" t="s">
        <v>14439</v>
      </c>
      <c r="E4564" s="3">
        <f>IFERROR(VLOOKUP(B4564,'DA1'!$B$2:$D$999999,3,FALSE),"")</f>
      </c>
      <c r="F4564" s="1" t="str">
        <f>IFERROR(VLOOKUP(B4564,'SB1'!$A$2:$C$999999,3,FALSE),"")</f>
        <v>503</v>
      </c>
      <c r="G4564" s="3" t="e">
        <f t="shared" si="155"/>
        <v>#VALUE!</v>
      </c>
      <c r="H4564" s="3" t="e">
        <f t="shared" si="156"/>
        <v>#VALUE!</v>
      </c>
      <c r="I4564" s="1">
        <v>1</v>
      </c>
    </row>
    <row r="4565" spans="1:9" x14ac:dyDescent="0.25">
      <c r="A4565" s="1" t="s">
        <v>14435</v>
      </c>
      <c r="B4565" s="1" t="s">
        <v>13671</v>
      </c>
      <c r="C4565" s="1" t="str">
        <f>IFERROR(VLOOKUP(B4565,'SB1'!$A$2:$B$999999,2,FALSE),"")</f>
        <v>PINTURA A LA TIZA ALBA RENOVA CHALK MATE MARFIL ELOCUENTE X 1</v>
      </c>
      <c r="D4565" s="1" t="s">
        <v>14439</v>
      </c>
      <c r="E4565" s="3">
        <f>IFERROR(VLOOKUP(B4565,'DA1'!$B$2:$D$999999,3,FALSE),"")</f>
      </c>
      <c r="F4565" s="1" t="str">
        <f>IFERROR(VLOOKUP(B4565,'SB1'!$A$2:$C$999999,3,FALSE),"")</f>
        <v>503</v>
      </c>
      <c r="G4565" s="3" t="e">
        <f t="shared" si="155"/>
        <v>#VALUE!</v>
      </c>
      <c r="H4565" s="3" t="e">
        <f t="shared" si="156"/>
        <v>#VALUE!</v>
      </c>
      <c r="I4565" s="1">
        <v>1</v>
      </c>
    </row>
    <row r="4566" spans="1:9" x14ac:dyDescent="0.25">
      <c r="A4566" s="1" t="s">
        <v>14435</v>
      </c>
      <c r="B4566" s="1" t="s">
        <v>13673</v>
      </c>
      <c r="C4566" s="1" t="str">
        <f>IFERROR(VLOOKUP(B4566,'SB1'!$A$2:$B$999999,2,FALSE),"")</f>
        <v>PINTURA A LA TIZA ALBA RENOVA CHALK MATE TROFEO DE PLATA X 1</v>
      </c>
      <c r="D4566" s="1" t="s">
        <v>14439</v>
      </c>
      <c r="E4566" s="3">
        <f>IFERROR(VLOOKUP(B4566,'DA1'!$B$2:$D$999999,3,FALSE),"")</f>
      </c>
      <c r="F4566" s="1" t="str">
        <f>IFERROR(VLOOKUP(B4566,'SB1'!$A$2:$C$999999,3,FALSE),"")</f>
        <v>503</v>
      </c>
      <c r="G4566" s="3" t="e">
        <f t="shared" si="155"/>
        <v>#VALUE!</v>
      </c>
      <c r="H4566" s="3" t="e">
        <f t="shared" si="156"/>
        <v>#VALUE!</v>
      </c>
      <c r="I4566" s="1">
        <v>1</v>
      </c>
    </row>
    <row r="4567" spans="1:9" x14ac:dyDescent="0.25">
      <c r="A4567" s="1" t="s">
        <v>14435</v>
      </c>
      <c r="B4567" s="1" t="s">
        <v>13675</v>
      </c>
      <c r="C4567" s="1" t="str">
        <f>IFERROR(VLOOKUP(B4567,'SB1'!$A$2:$B$999999,2,FALSE),"")</f>
        <v>PINTURA A LA TIZA ALBA RENOVA CHALK MATE ESCONDITE SILENCIOSO X 1</v>
      </c>
      <c r="D4567" s="1" t="s">
        <v>14439</v>
      </c>
      <c r="E4567" s="3">
        <f>IFERROR(VLOOKUP(B4567,'DA1'!$B$2:$D$999999,3,FALSE),"")</f>
      </c>
      <c r="F4567" s="1" t="str">
        <f>IFERROR(VLOOKUP(B4567,'SB1'!$A$2:$C$999999,3,FALSE),"")</f>
        <v>503</v>
      </c>
      <c r="G4567" s="3" t="e">
        <f t="shared" si="155"/>
        <v>#VALUE!</v>
      </c>
      <c r="H4567" s="3" t="e">
        <f t="shared" si="156"/>
        <v>#VALUE!</v>
      </c>
      <c r="I4567" s="1">
        <v>1</v>
      </c>
    </row>
    <row r="4568" spans="1:9" x14ac:dyDescent="0.25">
      <c r="A4568" s="1" t="s">
        <v>14435</v>
      </c>
      <c r="B4568" s="1" t="s">
        <v>13819</v>
      </c>
      <c r="C4568" s="1" t="str">
        <f>IFERROR(VLOOKUP(B4568,'SB1'!$A$2:$B$999999,2,FALSE),"")</f>
        <v>TINTA PARA MADERA PETRILAC R.CLARO X 0,060</v>
      </c>
      <c r="D4568" s="1" t="s">
        <v>14449</v>
      </c>
      <c r="E4568" s="3">
        <f>IFERROR(VLOOKUP(B4568,'DA1'!$B$2:$D$999999,3,FALSE),"")</f>
      </c>
      <c r="F4568" s="1" t="str">
        <f>IFERROR(VLOOKUP(B4568,'SB1'!$A$2:$C$999999,3,FALSE),"")</f>
        <v>503</v>
      </c>
      <c r="G4568" s="3" t="e">
        <f t="shared" si="155"/>
        <v>#VALUE!</v>
      </c>
      <c r="H4568" s="3" t="e">
        <f t="shared" si="156"/>
        <v>#VALUE!</v>
      </c>
      <c r="I4568" s="1">
        <v>1</v>
      </c>
    </row>
    <row r="4569" spans="1:9" x14ac:dyDescent="0.25">
      <c r="A4569" s="1" t="s">
        <v>14435</v>
      </c>
      <c r="B4569" s="1" t="s">
        <v>13821</v>
      </c>
      <c r="C4569" s="1" t="str">
        <f>IFERROR(VLOOKUP(B4569,'SB1'!$A$2:$B$999999,2,FALSE),"")</f>
        <v>TINTA PARA MADERA PETRILAC R.OSCURO X 0,060</v>
      </c>
      <c r="D4569" s="1" t="s">
        <v>14449</v>
      </c>
      <c r="E4569" s="3">
        <f>IFERROR(VLOOKUP(B4569,'DA1'!$B$2:$D$999999,3,FALSE),"")</f>
      </c>
      <c r="F4569" s="1" t="str">
        <f>IFERROR(VLOOKUP(B4569,'SB1'!$A$2:$C$999999,3,FALSE),"")</f>
        <v>503</v>
      </c>
      <c r="G4569" s="3" t="e">
        <f t="shared" si="155"/>
        <v>#VALUE!</v>
      </c>
      <c r="H4569" s="3" t="e">
        <f t="shared" si="156"/>
        <v>#VALUE!</v>
      </c>
      <c r="I4569" s="1">
        <v>1</v>
      </c>
    </row>
    <row r="4570" spans="1:9" x14ac:dyDescent="0.25">
      <c r="A4570" s="1" t="s">
        <v>14435</v>
      </c>
      <c r="B4570" s="1" t="s">
        <v>13823</v>
      </c>
      <c r="C4570" s="1" t="str">
        <f>IFERROR(VLOOKUP(B4570,'SB1'!$A$2:$B$999999,2,FALSE),"")</f>
        <v>TINTA PARA MADERA PETRILAC CAOBA X 0,060</v>
      </c>
      <c r="D4570" s="1" t="s">
        <v>14449</v>
      </c>
      <c r="E4570" s="3">
        <f>IFERROR(VLOOKUP(B4570,'DA1'!$B$2:$D$999999,3,FALSE),"")</f>
      </c>
      <c r="F4570" s="1" t="str">
        <f>IFERROR(VLOOKUP(B4570,'SB1'!$A$2:$C$999999,3,FALSE),"")</f>
        <v>503</v>
      </c>
      <c r="G4570" s="3" t="e">
        <f t="shared" si="155"/>
        <v>#VALUE!</v>
      </c>
      <c r="H4570" s="3" t="e">
        <f t="shared" si="156"/>
        <v>#VALUE!</v>
      </c>
      <c r="I4570" s="1">
        <v>1</v>
      </c>
    </row>
    <row r="4571" spans="1:9" x14ac:dyDescent="0.25">
      <c r="A4571" s="1" t="s">
        <v>14435</v>
      </c>
      <c r="B4571" s="1" t="s">
        <v>13825</v>
      </c>
      <c r="C4571" s="1" t="str">
        <f>IFERROR(VLOOKUP(B4571,'SB1'!$A$2:$B$999999,2,FALSE),"")</f>
        <v>TINTA PARA MADERA PETRILAC PETERIBI X 0,060</v>
      </c>
      <c r="D4571" s="1" t="s">
        <v>14449</v>
      </c>
      <c r="E4571" s="3">
        <f>IFERROR(VLOOKUP(B4571,'DA1'!$B$2:$D$999999,3,FALSE),"")</f>
      </c>
      <c r="F4571" s="1" t="str">
        <f>IFERROR(VLOOKUP(B4571,'SB1'!$A$2:$C$999999,3,FALSE),"")</f>
        <v>503</v>
      </c>
      <c r="G4571" s="3" t="e">
        <f t="shared" si="155"/>
        <v>#VALUE!</v>
      </c>
      <c r="H4571" s="3" t="e">
        <f t="shared" si="156"/>
        <v>#VALUE!</v>
      </c>
      <c r="I4571" s="1">
        <v>1</v>
      </c>
    </row>
    <row r="4572" spans="1:9" x14ac:dyDescent="0.25">
      <c r="A4572" s="1" t="s">
        <v>14435</v>
      </c>
      <c r="B4572" s="1" t="s">
        <v>13827</v>
      </c>
      <c r="C4572" s="1" t="str">
        <f>IFERROR(VLOOKUP(B4572,'SB1'!$A$2:$B$999999,2,FALSE),"")</f>
        <v>TINTA PARA MADERA PETRILAC NOGAL X 0,060</v>
      </c>
      <c r="D4572" s="1" t="s">
        <v>14449</v>
      </c>
      <c r="E4572" s="3">
        <f>IFERROR(VLOOKUP(B4572,'DA1'!$B$2:$D$999999,3,FALSE),"")</f>
      </c>
      <c r="F4572" s="1" t="str">
        <f>IFERROR(VLOOKUP(B4572,'SB1'!$A$2:$C$999999,3,FALSE),"")</f>
        <v>503</v>
      </c>
      <c r="G4572" s="3" t="e">
        <f t="shared" si="155"/>
        <v>#VALUE!</v>
      </c>
      <c r="H4572" s="3" t="e">
        <f t="shared" si="156"/>
        <v>#VALUE!</v>
      </c>
      <c r="I4572" s="1">
        <v>1</v>
      </c>
    </row>
    <row r="4573" spans="1:9" x14ac:dyDescent="0.25">
      <c r="A4573" s="1" t="s">
        <v>14435</v>
      </c>
      <c r="B4573" s="1" t="s">
        <v>13829</v>
      </c>
      <c r="C4573" s="1" t="str">
        <f>IFERROR(VLOOKUP(B4573,'SB1'!$A$2:$B$999999,2,FALSE),"")</f>
        <v>TINTA PARA MADERA PETRILAC CEDRO X 0,060</v>
      </c>
      <c r="D4573" s="1" t="s">
        <v>14449</v>
      </c>
      <c r="E4573" s="3">
        <f>IFERROR(VLOOKUP(B4573,'DA1'!$B$2:$D$999999,3,FALSE),"")</f>
      </c>
      <c r="F4573" s="1" t="str">
        <f>IFERROR(VLOOKUP(B4573,'SB1'!$A$2:$C$999999,3,FALSE),"")</f>
        <v>503</v>
      </c>
      <c r="G4573" s="3" t="e">
        <f t="shared" si="155"/>
        <v>#VALUE!</v>
      </c>
      <c r="H4573" s="3" t="e">
        <f t="shared" si="156"/>
        <v>#VALUE!</v>
      </c>
      <c r="I4573" s="1">
        <v>1</v>
      </c>
    </row>
    <row r="4574" spans="1:9" x14ac:dyDescent="0.25">
      <c r="A4574" s="1" t="s">
        <v>14435</v>
      </c>
      <c r="B4574" s="1" t="s">
        <v>13831</v>
      </c>
      <c r="C4574" s="1" t="str">
        <f>IFERROR(VLOOKUP(B4574,'SB1'!$A$2:$B$999999,2,FALSE),"")</f>
        <v>TINTA PARA MADERA PETRILAC VIRARO X 0,060</v>
      </c>
      <c r="D4574" s="1" t="s">
        <v>14449</v>
      </c>
      <c r="E4574" s="3">
        <f>IFERROR(VLOOKUP(B4574,'DA1'!$B$2:$D$999999,3,FALSE),"")</f>
      </c>
      <c r="F4574" s="1" t="str">
        <f>IFERROR(VLOOKUP(B4574,'SB1'!$A$2:$C$999999,3,FALSE),"")</f>
        <v>503</v>
      </c>
      <c r="G4574" s="3" t="e">
        <f t="shared" si="155"/>
        <v>#VALUE!</v>
      </c>
      <c r="H4574" s="3" t="e">
        <f t="shared" si="156"/>
        <v>#VALUE!</v>
      </c>
      <c r="I4574" s="1">
        <v>1</v>
      </c>
    </row>
    <row r="4575" spans="1:9" x14ac:dyDescent="0.25">
      <c r="A4575" s="1" t="s">
        <v>14435</v>
      </c>
      <c r="B4575" s="1" t="s">
        <v>13833</v>
      </c>
      <c r="C4575" s="1" t="str">
        <f>IFERROR(VLOOKUP(B4575,'SB1'!$A$2:$B$999999,2,FALSE),"")</f>
        <v>TINTA PARA MADERA PETRILAC WENGE X 0,060</v>
      </c>
      <c r="D4575" s="1" t="s">
        <v>14449</v>
      </c>
      <c r="E4575" s="3">
        <f>IFERROR(VLOOKUP(B4575,'DA1'!$B$2:$D$999999,3,FALSE),"")</f>
      </c>
      <c r="F4575" s="1" t="str">
        <f>IFERROR(VLOOKUP(B4575,'SB1'!$A$2:$C$999999,3,FALSE),"")</f>
        <v>503</v>
      </c>
      <c r="G4575" s="3" t="e">
        <f t="shared" si="155"/>
        <v>#VALUE!</v>
      </c>
      <c r="H4575" s="3" t="e">
        <f t="shared" si="156"/>
        <v>#VALUE!</v>
      </c>
      <c r="I4575" s="1">
        <v>1</v>
      </c>
    </row>
    <row r="4576" spans="1:9" x14ac:dyDescent="0.25">
      <c r="A4576" s="1" t="s">
        <v>14435</v>
      </c>
      <c r="B4576" s="1" t="s">
        <v>13835</v>
      </c>
      <c r="C4576" s="1" t="str">
        <f>IFERROR(VLOOKUP(B4576,'SB1'!$A$2:$B$999999,2,FALSE),"")</f>
        <v>TINTA PARA MADERA PETRILAC ALGARROBO X 0,060</v>
      </c>
      <c r="D4576" s="1" t="s">
        <v>14449</v>
      </c>
      <c r="E4576" s="3">
        <f>IFERROR(VLOOKUP(B4576,'DA1'!$B$2:$D$999999,3,FALSE),"")</f>
      </c>
      <c r="F4576" s="1" t="str">
        <f>IFERROR(VLOOKUP(B4576,'SB1'!$A$2:$C$999999,3,FALSE),"")</f>
        <v>503</v>
      </c>
      <c r="G4576" s="3" t="e">
        <f t="shared" si="155"/>
        <v>#VALUE!</v>
      </c>
      <c r="H4576" s="3" t="e">
        <f t="shared" si="156"/>
        <v>#VALUE!</v>
      </c>
      <c r="I4576" s="1">
        <v>1</v>
      </c>
    </row>
    <row r="4577" spans="1:9" x14ac:dyDescent="0.25">
      <c r="A4577" s="1" t="s">
        <v>14435</v>
      </c>
      <c r="B4577" s="1" t="s">
        <v>13837</v>
      </c>
      <c r="C4577" s="1" t="str">
        <f>IFERROR(VLOOKUP(B4577,'SB1'!$A$2:$B$999999,2,FALSE),"")</f>
        <v>TINTA PARA MADERA PETRILAC R.CLARO X 0,240</v>
      </c>
      <c r="D4577" s="1" t="s">
        <v>14449</v>
      </c>
      <c r="E4577" s="3">
        <f>IFERROR(VLOOKUP(B4577,'DA1'!$B$2:$D$999999,3,FALSE),"")</f>
      </c>
      <c r="F4577" s="1" t="str">
        <f>IFERROR(VLOOKUP(B4577,'SB1'!$A$2:$C$999999,3,FALSE),"")</f>
        <v>503</v>
      </c>
      <c r="G4577" s="3" t="e">
        <f t="shared" si="155"/>
        <v>#VALUE!</v>
      </c>
      <c r="H4577" s="3" t="e">
        <f t="shared" si="156"/>
        <v>#VALUE!</v>
      </c>
      <c r="I4577" s="1">
        <v>1</v>
      </c>
    </row>
    <row r="4578" spans="1:9" x14ac:dyDescent="0.25">
      <c r="A4578" s="1" t="s">
        <v>14435</v>
      </c>
      <c r="B4578" s="1" t="s">
        <v>13839</v>
      </c>
      <c r="C4578" s="1" t="str">
        <f>IFERROR(VLOOKUP(B4578,'SB1'!$A$2:$B$999999,2,FALSE),"")</f>
        <v>TINTA PARA MADERA PETRILAC R.OSCURO X 0,240</v>
      </c>
      <c r="D4578" s="1" t="s">
        <v>14449</v>
      </c>
      <c r="E4578" s="3">
        <f>IFERROR(VLOOKUP(B4578,'DA1'!$B$2:$D$999999,3,FALSE),"")</f>
      </c>
      <c r="F4578" s="1" t="str">
        <f>IFERROR(VLOOKUP(B4578,'SB1'!$A$2:$C$999999,3,FALSE),"")</f>
        <v>503</v>
      </c>
      <c r="G4578" s="3" t="e">
        <f t="shared" si="155"/>
        <v>#VALUE!</v>
      </c>
      <c r="H4578" s="3" t="e">
        <f t="shared" si="156"/>
        <v>#VALUE!</v>
      </c>
      <c r="I4578" s="1">
        <v>1</v>
      </c>
    </row>
    <row r="4579" spans="1:9" x14ac:dyDescent="0.25">
      <c r="A4579" s="1" t="s">
        <v>14435</v>
      </c>
      <c r="B4579" s="1" t="s">
        <v>13841</v>
      </c>
      <c r="C4579" s="1" t="str">
        <f>IFERROR(VLOOKUP(B4579,'SB1'!$A$2:$B$999999,2,FALSE),"")</f>
        <v>TINTA PARA MADERA PETRILAC CAOBA X 0,240</v>
      </c>
      <c r="D4579" s="1" t="s">
        <v>14449</v>
      </c>
      <c r="E4579" s="3">
        <f>IFERROR(VLOOKUP(B4579,'DA1'!$B$2:$D$999999,3,FALSE),"")</f>
      </c>
      <c r="F4579" s="1" t="str">
        <f>IFERROR(VLOOKUP(B4579,'SB1'!$A$2:$C$999999,3,FALSE),"")</f>
        <v>503</v>
      </c>
      <c r="G4579" s="3" t="e">
        <f t="shared" si="155"/>
        <v>#VALUE!</v>
      </c>
      <c r="H4579" s="3" t="e">
        <f t="shared" si="156"/>
        <v>#VALUE!</v>
      </c>
      <c r="I4579" s="1">
        <v>1</v>
      </c>
    </row>
    <row r="4580" spans="1:9" x14ac:dyDescent="0.25">
      <c r="A4580" s="1" t="s">
        <v>14435</v>
      </c>
      <c r="B4580" s="1" t="s">
        <v>13843</v>
      </c>
      <c r="C4580" s="1" t="str">
        <f>IFERROR(VLOOKUP(B4580,'SB1'!$A$2:$B$999999,2,FALSE),"")</f>
        <v>TINTA PARA MADERA PETRILAC PETERIBI X 0,240</v>
      </c>
      <c r="D4580" s="1" t="s">
        <v>14449</v>
      </c>
      <c r="E4580" s="3">
        <f>IFERROR(VLOOKUP(B4580,'DA1'!$B$2:$D$999999,3,FALSE),"")</f>
      </c>
      <c r="F4580" s="1" t="str">
        <f>IFERROR(VLOOKUP(B4580,'SB1'!$A$2:$C$999999,3,FALSE),"")</f>
        <v>503</v>
      </c>
      <c r="G4580" s="3" t="e">
        <f t="shared" si="155"/>
        <v>#VALUE!</v>
      </c>
      <c r="H4580" s="3" t="e">
        <f t="shared" si="156"/>
        <v>#VALUE!</v>
      </c>
      <c r="I4580" s="1">
        <v>1</v>
      </c>
    </row>
    <row r="4581" spans="1:9" x14ac:dyDescent="0.25">
      <c r="A4581" s="1" t="s">
        <v>14435</v>
      </c>
      <c r="B4581" s="1" t="s">
        <v>13845</v>
      </c>
      <c r="C4581" s="1" t="str">
        <f>IFERROR(VLOOKUP(B4581,'SB1'!$A$2:$B$999999,2,FALSE),"")</f>
        <v>TINTA PARA MADERA PETRILAC NOGAL X 0,240</v>
      </c>
      <c r="D4581" s="1" t="s">
        <v>14449</v>
      </c>
      <c r="E4581" s="3">
        <f>IFERROR(VLOOKUP(B4581,'DA1'!$B$2:$D$999999,3,FALSE),"")</f>
      </c>
      <c r="F4581" s="1" t="str">
        <f>IFERROR(VLOOKUP(B4581,'SB1'!$A$2:$C$999999,3,FALSE),"")</f>
        <v>503</v>
      </c>
      <c r="G4581" s="3" t="e">
        <f t="shared" si="155"/>
        <v>#VALUE!</v>
      </c>
      <c r="H4581" s="3" t="e">
        <f t="shared" si="156"/>
        <v>#VALUE!</v>
      </c>
      <c r="I4581" s="1">
        <v>1</v>
      </c>
    </row>
    <row r="4582" spans="1:9" x14ac:dyDescent="0.25">
      <c r="A4582" s="1" t="s">
        <v>14435</v>
      </c>
      <c r="B4582" s="1" t="s">
        <v>13847</v>
      </c>
      <c r="C4582" s="1" t="str">
        <f>IFERROR(VLOOKUP(B4582,'SB1'!$A$2:$B$999999,2,FALSE),"")</f>
        <v>TINTA PARA MADERA PETRILAC CEDRO X 0,240</v>
      </c>
      <c r="D4582" s="1" t="s">
        <v>14449</v>
      </c>
      <c r="E4582" s="3">
        <f>IFERROR(VLOOKUP(B4582,'DA1'!$B$2:$D$999999,3,FALSE),"")</f>
      </c>
      <c r="F4582" s="1" t="str">
        <f>IFERROR(VLOOKUP(B4582,'SB1'!$A$2:$C$999999,3,FALSE),"")</f>
        <v>503</v>
      </c>
      <c r="G4582" s="3" t="e">
        <f t="shared" si="155"/>
        <v>#VALUE!</v>
      </c>
      <c r="H4582" s="3" t="e">
        <f t="shared" si="156"/>
        <v>#VALUE!</v>
      </c>
      <c r="I4582" s="1">
        <v>1</v>
      </c>
    </row>
    <row r="4583" spans="1:9" x14ac:dyDescent="0.25">
      <c r="A4583" s="1" t="s">
        <v>14435</v>
      </c>
      <c r="B4583" s="1" t="s">
        <v>13849</v>
      </c>
      <c r="C4583" s="1" t="str">
        <f>IFERROR(VLOOKUP(B4583,'SB1'!$A$2:$B$999999,2,FALSE),"")</f>
        <v>TINTA PARA MADERA PETRILAC VIRARO X 0,240</v>
      </c>
      <c r="D4583" s="1" t="s">
        <v>14449</v>
      </c>
      <c r="E4583" s="3">
        <f>IFERROR(VLOOKUP(B4583,'DA1'!$B$2:$D$999999,3,FALSE),"")</f>
      </c>
      <c r="F4583" s="1" t="str">
        <f>IFERROR(VLOOKUP(B4583,'SB1'!$A$2:$C$999999,3,FALSE),"")</f>
        <v>503</v>
      </c>
      <c r="G4583" s="3" t="e">
        <f t="shared" si="155"/>
        <v>#VALUE!</v>
      </c>
      <c r="H4583" s="3" t="e">
        <f t="shared" si="156"/>
        <v>#VALUE!</v>
      </c>
      <c r="I4583" s="1">
        <v>1</v>
      </c>
    </row>
    <row r="4584" spans="1:9" x14ac:dyDescent="0.25">
      <c r="A4584" s="1" t="s">
        <v>14435</v>
      </c>
      <c r="B4584" s="1" t="s">
        <v>13851</v>
      </c>
      <c r="C4584" s="1" t="str">
        <f>IFERROR(VLOOKUP(B4584,'SB1'!$A$2:$B$999999,2,FALSE),"")</f>
        <v>TINTA PARA MADERA PETRILAC WENGE X 0,240</v>
      </c>
      <c r="D4584" s="1" t="s">
        <v>14449</v>
      </c>
      <c r="E4584" s="3">
        <f>IFERROR(VLOOKUP(B4584,'DA1'!$B$2:$D$999999,3,FALSE),"")</f>
      </c>
      <c r="F4584" s="1" t="str">
        <f>IFERROR(VLOOKUP(B4584,'SB1'!$A$2:$C$999999,3,FALSE),"")</f>
        <v>503</v>
      </c>
      <c r="G4584" s="3" t="e">
        <f t="shared" si="155"/>
        <v>#VALUE!</v>
      </c>
      <c r="H4584" s="3" t="e">
        <f t="shared" si="156"/>
        <v>#VALUE!</v>
      </c>
      <c r="I4584" s="1">
        <v>1</v>
      </c>
    </row>
    <row r="4585" spans="1:9" x14ac:dyDescent="0.25">
      <c r="A4585" s="1" t="s">
        <v>14435</v>
      </c>
      <c r="B4585" s="1" t="s">
        <v>13853</v>
      </c>
      <c r="C4585" s="1" t="str">
        <f>IFERROR(VLOOKUP(B4585,'SB1'!$A$2:$B$999999,2,FALSE),"")</f>
        <v>TINTA PARA MADERA PETRILAC ALGARROBO X 0,240</v>
      </c>
      <c r="D4585" s="1" t="s">
        <v>14449</v>
      </c>
      <c r="E4585" s="3">
        <f>IFERROR(VLOOKUP(B4585,'DA1'!$B$2:$D$999999,3,FALSE),"")</f>
      </c>
      <c r="F4585" s="1" t="str">
        <f>IFERROR(VLOOKUP(B4585,'SB1'!$A$2:$C$999999,3,FALSE),"")</f>
        <v>503</v>
      </c>
      <c r="G4585" s="3" t="e">
        <f t="shared" si="155"/>
        <v>#VALUE!</v>
      </c>
      <c r="H4585" s="3" t="e">
        <f t="shared" si="156"/>
        <v>#VALUE!</v>
      </c>
      <c r="I4585" s="1">
        <v>1</v>
      </c>
    </row>
    <row r="4586" spans="1:9" x14ac:dyDescent="0.25">
      <c r="A4586" s="1" t="s">
        <v>14435</v>
      </c>
      <c r="B4586" s="1" t="s">
        <v>13923</v>
      </c>
      <c r="C4586" s="1" t="str">
        <f>IFERROR(VLOOKUP(B4586,'SB1'!$A$2:$B$999999,2,FALSE),"")</f>
        <v>PASTA PULIR MMB GRUESA X 1</v>
      </c>
      <c r="D4586" s="1" t="s">
        <v>14444</v>
      </c>
      <c r="E4586" s="3">
        <f>IFERROR(VLOOKUP(B4586,'DA1'!$B$2:$D$999999,3,FALSE),"")</f>
      </c>
      <c r="F4586" s="1" t="str">
        <f>IFERROR(VLOOKUP(B4586,'SB1'!$A$2:$C$999999,3,FALSE),"")</f>
        <v>503</v>
      </c>
      <c r="G4586" s="3" t="e">
        <f t="shared" si="155"/>
        <v>#VALUE!</v>
      </c>
      <c r="H4586" s="3" t="e">
        <f t="shared" si="156"/>
        <v>#VALUE!</v>
      </c>
      <c r="I4586" s="1">
        <v>1</v>
      </c>
    </row>
    <row r="4587" spans="1:9" x14ac:dyDescent="0.25">
      <c r="A4587" s="1" t="s">
        <v>14435</v>
      </c>
      <c r="B4587" s="1" t="s">
        <v>13925</v>
      </c>
      <c r="C4587" s="1" t="str">
        <f>IFERROR(VLOOKUP(B4587,'SB1'!$A$2:$B$999999,2,FALSE),"")</f>
        <v>PASTA PULIR MMB FINA X 1</v>
      </c>
      <c r="D4587" s="1" t="s">
        <v>14444</v>
      </c>
      <c r="E4587" s="3">
        <f>IFERROR(VLOOKUP(B4587,'DA1'!$B$2:$D$999999,3,FALSE),"")</f>
      </c>
      <c r="F4587" s="1" t="str">
        <f>IFERROR(VLOOKUP(B4587,'SB1'!$A$2:$C$999999,3,FALSE),"")</f>
        <v>503</v>
      </c>
      <c r="G4587" s="3" t="e">
        <f t="shared" si="155"/>
        <v>#VALUE!</v>
      </c>
      <c r="H4587" s="3" t="e">
        <f t="shared" si="156"/>
        <v>#VALUE!</v>
      </c>
      <c r="I4587" s="1">
        <v>1</v>
      </c>
    </row>
    <row r="4588" spans="1:9" x14ac:dyDescent="0.25">
      <c r="A4588" s="1" t="s">
        <v>14435</v>
      </c>
      <c r="B4588" s="1" t="s">
        <v>13933</v>
      </c>
      <c r="C4588" s="1" t="str">
        <f>IFERROR(VLOOKUP(B4588,'SB1'!$A$2:$B$999999,2,FALSE),"")</f>
        <v>ESMALTE SINTETICO ALBALUX 2EN1 BRILLANTE NEGRO X 0,500</v>
      </c>
      <c r="D4588" s="1" t="s">
        <v>14439</v>
      </c>
      <c r="E4588" s="3">
        <f>IFERROR(VLOOKUP(B4588,'DA1'!$B$2:$D$999999,3,FALSE),"")</f>
      </c>
      <c r="F4588" s="1" t="str">
        <f>IFERROR(VLOOKUP(B4588,'SB1'!$A$2:$C$999999,3,FALSE),"")</f>
        <v>503</v>
      </c>
      <c r="G4588" s="3" t="e">
        <f t="shared" si="155"/>
        <v>#VALUE!</v>
      </c>
      <c r="H4588" s="3" t="e">
        <f t="shared" si="156"/>
        <v>#VALUE!</v>
      </c>
      <c r="I4588" s="1">
        <v>1</v>
      </c>
    </row>
    <row r="4589" spans="1:9" x14ac:dyDescent="0.25">
      <c r="A4589" s="1" t="s">
        <v>14435</v>
      </c>
      <c r="B4589" s="1" t="s">
        <v>13935</v>
      </c>
      <c r="C4589" s="1" t="str">
        <f>IFERROR(VLOOKUP(B4589,'SB1'!$A$2:$B$999999,2,FALSE),"")</f>
        <v>ESMALTE SINTETICO ALBALUX 2EN1 BRILLANTE MARRON X 0,500</v>
      </c>
      <c r="D4589" s="1" t="s">
        <v>14439</v>
      </c>
      <c r="E4589" s="3">
        <f>IFERROR(VLOOKUP(B4589,'DA1'!$B$2:$D$999999,3,FALSE),"")</f>
      </c>
      <c r="F4589" s="1" t="str">
        <f>IFERROR(VLOOKUP(B4589,'SB1'!$A$2:$C$999999,3,FALSE),"")</f>
        <v>503</v>
      </c>
      <c r="G4589" s="3" t="e">
        <f t="shared" si="155"/>
        <v>#VALUE!</v>
      </c>
      <c r="H4589" s="3" t="e">
        <f t="shared" si="156"/>
        <v>#VALUE!</v>
      </c>
      <c r="I4589" s="1">
        <v>1</v>
      </c>
    </row>
    <row r="4590" spans="1:9" x14ac:dyDescent="0.25">
      <c r="A4590" s="1" t="s">
        <v>14435</v>
      </c>
      <c r="B4590" s="1" t="s">
        <v>13937</v>
      </c>
      <c r="C4590" s="1" t="str">
        <f>IFERROR(VLOOKUP(B4590,'SB1'!$A$2:$B$999999,2,FALSE),"")</f>
        <v>ESMALTE SINTETICO ALBALUX 2EN1 BRILLANTE GRIS ESPACIAL X 0,500</v>
      </c>
      <c r="D4590" s="1" t="s">
        <v>14439</v>
      </c>
      <c r="E4590" s="3">
        <f>IFERROR(VLOOKUP(B4590,'DA1'!$B$2:$D$999999,3,FALSE),"")</f>
      </c>
      <c r="F4590" s="1" t="str">
        <f>IFERROR(VLOOKUP(B4590,'SB1'!$A$2:$C$999999,3,FALSE),"")</f>
        <v>503</v>
      </c>
      <c r="G4590" s="3" t="e">
        <f t="shared" si="155"/>
        <v>#VALUE!</v>
      </c>
      <c r="H4590" s="3" t="e">
        <f t="shared" si="156"/>
        <v>#VALUE!</v>
      </c>
      <c r="I4590" s="1">
        <v>1</v>
      </c>
    </row>
    <row r="4591" spans="1:9" x14ac:dyDescent="0.25">
      <c r="A4591" s="1" t="s">
        <v>14435</v>
      </c>
      <c r="B4591" s="1" t="s">
        <v>13939</v>
      </c>
      <c r="C4591" s="1" t="str">
        <f>IFERROR(VLOOKUP(B4591,'SB1'!$A$2:$B$999999,2,FALSE),"")</f>
        <v>ESMALTE SINTETICO ALBALUX 2EN1 BRILLANTE VERDE INGLES X 0,500</v>
      </c>
      <c r="D4591" s="1" t="s">
        <v>14439</v>
      </c>
      <c r="E4591" s="3">
        <f>IFERROR(VLOOKUP(B4591,'DA1'!$B$2:$D$999999,3,FALSE),"")</f>
      </c>
      <c r="F4591" s="1" t="str">
        <f>IFERROR(VLOOKUP(B4591,'SB1'!$A$2:$C$999999,3,FALSE),"")</f>
        <v>503</v>
      </c>
      <c r="G4591" s="3" t="e">
        <f t="shared" si="155"/>
        <v>#VALUE!</v>
      </c>
      <c r="H4591" s="3" t="e">
        <f t="shared" si="156"/>
        <v>#VALUE!</v>
      </c>
      <c r="I4591" s="1">
        <v>1</v>
      </c>
    </row>
    <row r="4592" spans="1:9" x14ac:dyDescent="0.25">
      <c r="A4592" s="1" t="s">
        <v>14435</v>
      </c>
      <c r="B4592" s="1" t="s">
        <v>13941</v>
      </c>
      <c r="C4592" s="1" t="str">
        <f>IFERROR(VLOOKUP(B4592,'SB1'!$A$2:$B$999999,2,FALSE),"")</f>
        <v>ESMALTE SINTETICO ALBALUX 2EN1 BRILLANTE MARFIL CHAMPAGNE X 0,500</v>
      </c>
      <c r="D4592" s="1" t="s">
        <v>14439</v>
      </c>
      <c r="E4592" s="3">
        <f>IFERROR(VLOOKUP(B4592,'DA1'!$B$2:$D$999999,3,FALSE),"")</f>
      </c>
      <c r="F4592" s="1" t="str">
        <f>IFERROR(VLOOKUP(B4592,'SB1'!$A$2:$C$999999,3,FALSE),"")</f>
        <v>503</v>
      </c>
      <c r="G4592" s="3" t="e">
        <f t="shared" si="155"/>
        <v>#VALUE!</v>
      </c>
      <c r="H4592" s="3" t="e">
        <f t="shared" si="156"/>
        <v>#VALUE!</v>
      </c>
      <c r="I4592" s="1">
        <v>1</v>
      </c>
    </row>
    <row r="4593" spans="1:9" x14ac:dyDescent="0.25">
      <c r="A4593" s="1" t="s">
        <v>14435</v>
      </c>
      <c r="B4593" s="1" t="s">
        <v>13943</v>
      </c>
      <c r="C4593" s="1" t="str">
        <f>IFERROR(VLOOKUP(B4593,'SB1'!$A$2:$B$999999,2,FALSE),"")</f>
        <v>ESMALTE SINTETICO ALBALUX 2EN1 BRILLANTE VERDE NOCHE X 0,500</v>
      </c>
      <c r="D4593" s="1" t="s">
        <v>14439</v>
      </c>
      <c r="E4593" s="3">
        <f>IFERROR(VLOOKUP(B4593,'DA1'!$B$2:$D$999999,3,FALSE),"")</f>
      </c>
      <c r="F4593" s="1" t="str">
        <f>IFERROR(VLOOKUP(B4593,'SB1'!$A$2:$C$999999,3,FALSE),"")</f>
        <v>503</v>
      </c>
      <c r="G4593" s="3" t="e">
        <f t="shared" si="155"/>
        <v>#VALUE!</v>
      </c>
      <c r="H4593" s="3" t="e">
        <f t="shared" si="156"/>
        <v>#VALUE!</v>
      </c>
      <c r="I4593" s="1">
        <v>1</v>
      </c>
    </row>
    <row r="4594" spans="1:9" x14ac:dyDescent="0.25">
      <c r="A4594" s="1" t="s">
        <v>14435</v>
      </c>
      <c r="B4594" s="1" t="s">
        <v>13945</v>
      </c>
      <c r="C4594" s="1" t="str">
        <f>IFERROR(VLOOKUP(B4594,'SB1'!$A$2:$B$999999,2,FALSE),"")</f>
        <v>ESMALTE SINTETICO ALBALUX 2EN1 BRILLANTE TRAFUL X 0,500</v>
      </c>
      <c r="D4594" s="1" t="s">
        <v>14439</v>
      </c>
      <c r="E4594" s="3">
        <f>IFERROR(VLOOKUP(B4594,'DA1'!$B$2:$D$999999,3,FALSE),"")</f>
      </c>
      <c r="F4594" s="1" t="str">
        <f>IFERROR(VLOOKUP(B4594,'SB1'!$A$2:$C$999999,3,FALSE),"")</f>
        <v>503</v>
      </c>
      <c r="G4594" s="3" t="e">
        <f t="shared" si="155"/>
        <v>#VALUE!</v>
      </c>
      <c r="H4594" s="3" t="e">
        <f t="shared" si="156"/>
        <v>#VALUE!</v>
      </c>
      <c r="I4594" s="1">
        <v>1</v>
      </c>
    </row>
    <row r="4595" spans="1:9" x14ac:dyDescent="0.25">
      <c r="A4595" s="1" t="s">
        <v>14435</v>
      </c>
      <c r="B4595" s="1" t="s">
        <v>13947</v>
      </c>
      <c r="C4595" s="1" t="str">
        <f>IFERROR(VLOOKUP(B4595,'SB1'!$A$2:$B$999999,2,FALSE),"")</f>
        <v>ESMALTE SINTETICO ALBALUX 2EN1 BRILLANTE AZUL MARINO X 0,500</v>
      </c>
      <c r="D4595" s="1" t="s">
        <v>14439</v>
      </c>
      <c r="E4595" s="3">
        <f>IFERROR(VLOOKUP(B4595,'DA1'!$B$2:$D$999999,3,FALSE),"")</f>
      </c>
      <c r="F4595" s="1" t="str">
        <f>IFERROR(VLOOKUP(B4595,'SB1'!$A$2:$C$999999,3,FALSE),"")</f>
        <v>503</v>
      </c>
      <c r="G4595" s="3" t="e">
        <f t="shared" si="155"/>
        <v>#VALUE!</v>
      </c>
      <c r="H4595" s="3" t="e">
        <f t="shared" si="156"/>
        <v>#VALUE!</v>
      </c>
      <c r="I4595" s="1">
        <v>1</v>
      </c>
    </row>
    <row r="4596" spans="1:9" x14ac:dyDescent="0.25">
      <c r="A4596" s="1" t="s">
        <v>14435</v>
      </c>
      <c r="B4596" s="1" t="s">
        <v>13949</v>
      </c>
      <c r="C4596" s="1" t="str">
        <f>IFERROR(VLOOKUP(B4596,'SB1'!$A$2:$B$999999,2,FALSE),"")</f>
        <v>ESMALTE SINTETICO ALBALUX 2EN1 BRILLANTE NEGRO X 1</v>
      </c>
      <c r="D4596" s="1" t="s">
        <v>14439</v>
      </c>
      <c r="E4596" s="3">
        <f>IFERROR(VLOOKUP(B4596,'DA1'!$B$2:$D$999999,3,FALSE),"")</f>
      </c>
      <c r="F4596" s="1" t="str">
        <f>IFERROR(VLOOKUP(B4596,'SB1'!$A$2:$C$999999,3,FALSE),"")</f>
        <v>503</v>
      </c>
      <c r="G4596" s="3" t="e">
        <f t="shared" si="155"/>
        <v>#VALUE!</v>
      </c>
      <c r="H4596" s="3" t="e">
        <f t="shared" si="156"/>
        <v>#VALUE!</v>
      </c>
      <c r="I4596" s="1">
        <v>1</v>
      </c>
    </row>
    <row r="4597" spans="1:9" x14ac:dyDescent="0.25">
      <c r="A4597" s="1" t="s">
        <v>14435</v>
      </c>
      <c r="B4597" s="1" t="s">
        <v>13951</v>
      </c>
      <c r="C4597" s="1" t="str">
        <f>IFERROR(VLOOKUP(B4597,'SB1'!$A$2:$B$999999,2,FALSE),"")</f>
        <v>ESMALTE SINTETICO ALBALUX 2EN1 BRILLANTE MARRON X 1</v>
      </c>
      <c r="D4597" s="1" t="s">
        <v>14439</v>
      </c>
      <c r="E4597" s="3">
        <f>IFERROR(VLOOKUP(B4597,'DA1'!$B$2:$D$999999,3,FALSE),"")</f>
      </c>
      <c r="F4597" s="1" t="str">
        <f>IFERROR(VLOOKUP(B4597,'SB1'!$A$2:$C$999999,3,FALSE),"")</f>
        <v>503</v>
      </c>
      <c r="G4597" s="3" t="e">
        <f t="shared" si="155"/>
        <v>#VALUE!</v>
      </c>
      <c r="H4597" s="3" t="e">
        <f t="shared" si="156"/>
        <v>#VALUE!</v>
      </c>
      <c r="I4597" s="1">
        <v>1</v>
      </c>
    </row>
    <row r="4598" spans="1:9" x14ac:dyDescent="0.25">
      <c r="A4598" s="1" t="s">
        <v>14435</v>
      </c>
      <c r="B4598" s="1" t="s">
        <v>13953</v>
      </c>
      <c r="C4598" s="1" t="str">
        <f>IFERROR(VLOOKUP(B4598,'SB1'!$A$2:$B$999999,2,FALSE),"")</f>
        <v>ESMALTE SINTETICO ALBALUX 2EN1 BRILLANTE GRIS ESPACIAL X 1</v>
      </c>
      <c r="D4598" s="1" t="s">
        <v>14439</v>
      </c>
      <c r="E4598" s="3">
        <f>IFERROR(VLOOKUP(B4598,'DA1'!$B$2:$D$999999,3,FALSE),"")</f>
      </c>
      <c r="F4598" s="1" t="str">
        <f>IFERROR(VLOOKUP(B4598,'SB1'!$A$2:$C$999999,3,FALSE),"")</f>
        <v>503</v>
      </c>
      <c r="G4598" s="3" t="e">
        <f t="shared" si="155"/>
        <v>#VALUE!</v>
      </c>
      <c r="H4598" s="3" t="e">
        <f t="shared" si="156"/>
        <v>#VALUE!</v>
      </c>
      <c r="I4598" s="1">
        <v>1</v>
      </c>
    </row>
    <row r="4599" spans="1:9" x14ac:dyDescent="0.25">
      <c r="A4599" s="1" t="s">
        <v>14435</v>
      </c>
      <c r="B4599" s="1" t="s">
        <v>13955</v>
      </c>
      <c r="C4599" s="1" t="str">
        <f>IFERROR(VLOOKUP(B4599,'SB1'!$A$2:$B$999999,2,FALSE),"")</f>
        <v>ESMALTE SINTETICO ALBALUX 2EN1 BRILLANTE VERDE INGLES X 1</v>
      </c>
      <c r="D4599" s="1" t="s">
        <v>14439</v>
      </c>
      <c r="E4599" s="3">
        <f>IFERROR(VLOOKUP(B4599,'DA1'!$B$2:$D$999999,3,FALSE),"")</f>
      </c>
      <c r="F4599" s="1" t="str">
        <f>IFERROR(VLOOKUP(B4599,'SB1'!$A$2:$C$999999,3,FALSE),"")</f>
        <v>503</v>
      </c>
      <c r="G4599" s="3" t="e">
        <f t="shared" si="155"/>
        <v>#VALUE!</v>
      </c>
      <c r="H4599" s="3" t="e">
        <f t="shared" si="156"/>
        <v>#VALUE!</v>
      </c>
      <c r="I4599" s="1">
        <v>1</v>
      </c>
    </row>
    <row r="4600" spans="1:9" x14ac:dyDescent="0.25">
      <c r="A4600" s="1" t="s">
        <v>14435</v>
      </c>
      <c r="B4600" s="1" t="s">
        <v>13957</v>
      </c>
      <c r="C4600" s="1" t="str">
        <f>IFERROR(VLOOKUP(B4600,'SB1'!$A$2:$B$999999,2,FALSE),"")</f>
        <v>ESMALTE SINTETICO ALBALUX 2EN1 BRILLANTE MARFIL CHAMPAGNE X 1</v>
      </c>
      <c r="D4600" s="1" t="s">
        <v>14439</v>
      </c>
      <c r="E4600" s="3">
        <f>IFERROR(VLOOKUP(B4600,'DA1'!$B$2:$D$999999,3,FALSE),"")</f>
      </c>
      <c r="F4600" s="1" t="str">
        <f>IFERROR(VLOOKUP(B4600,'SB1'!$A$2:$C$999999,3,FALSE),"")</f>
        <v>503</v>
      </c>
      <c r="G4600" s="3" t="e">
        <f t="shared" si="155"/>
        <v>#VALUE!</v>
      </c>
      <c r="H4600" s="3" t="e">
        <f t="shared" si="156"/>
        <v>#VALUE!</v>
      </c>
      <c r="I4600" s="1">
        <v>1</v>
      </c>
    </row>
    <row r="4601" spans="1:9" x14ac:dyDescent="0.25">
      <c r="A4601" s="1" t="s">
        <v>14435</v>
      </c>
      <c r="B4601" s="1" t="s">
        <v>13959</v>
      </c>
      <c r="C4601" s="1" t="str">
        <f>IFERROR(VLOOKUP(B4601,'SB1'!$A$2:$B$999999,2,FALSE),"")</f>
        <v>ESMALTE SINTETICO ALBALUX 2EN1 BRILLANTE VERDE NOCHE X 1</v>
      </c>
      <c r="D4601" s="1" t="s">
        <v>14439</v>
      </c>
      <c r="E4601" s="3">
        <f>IFERROR(VLOOKUP(B4601,'DA1'!$B$2:$D$999999,3,FALSE),"")</f>
      </c>
      <c r="F4601" s="1" t="str">
        <f>IFERROR(VLOOKUP(B4601,'SB1'!$A$2:$C$999999,3,FALSE),"")</f>
        <v>503</v>
      </c>
      <c r="G4601" s="3" t="e">
        <f t="shared" si="155"/>
        <v>#VALUE!</v>
      </c>
      <c r="H4601" s="3" t="e">
        <f t="shared" si="156"/>
        <v>#VALUE!</v>
      </c>
      <c r="I4601" s="1">
        <v>1</v>
      </c>
    </row>
    <row r="4602" spans="1:9" x14ac:dyDescent="0.25">
      <c r="A4602" s="1" t="s">
        <v>14435</v>
      </c>
      <c r="B4602" s="1" t="s">
        <v>13961</v>
      </c>
      <c r="C4602" s="1" t="str">
        <f>IFERROR(VLOOKUP(B4602,'SB1'!$A$2:$B$999999,2,FALSE),"")</f>
        <v>ESMALTE SINTETICO ALBALUX 2EN1 BRILLANTE TRAFUL X 1</v>
      </c>
      <c r="D4602" s="1" t="s">
        <v>14439</v>
      </c>
      <c r="E4602" s="3">
        <f>IFERROR(VLOOKUP(B4602,'DA1'!$B$2:$D$999999,3,FALSE),"")</f>
      </c>
      <c r="F4602" s="1" t="str">
        <f>IFERROR(VLOOKUP(B4602,'SB1'!$A$2:$C$999999,3,FALSE),"")</f>
        <v>503</v>
      </c>
      <c r="G4602" s="3" t="e">
        <f t="shared" si="155"/>
        <v>#VALUE!</v>
      </c>
      <c r="H4602" s="3" t="e">
        <f t="shared" si="156"/>
        <v>#VALUE!</v>
      </c>
      <c r="I4602" s="1">
        <v>1</v>
      </c>
    </row>
    <row r="4603" spans="1:9" x14ac:dyDescent="0.25">
      <c r="A4603" s="1" t="s">
        <v>14435</v>
      </c>
      <c r="B4603" s="1" t="s">
        <v>13963</v>
      </c>
      <c r="C4603" s="1" t="str">
        <f>IFERROR(VLOOKUP(B4603,'SB1'!$A$2:$B$999999,2,FALSE),"")</f>
        <v>ESMALTE SINTETICO ALBALUX 2EN1 BRILLANTE AZUL MARINO X 1</v>
      </c>
      <c r="D4603" s="1" t="s">
        <v>14439</v>
      </c>
      <c r="E4603" s="3">
        <f>IFERROR(VLOOKUP(B4603,'DA1'!$B$2:$D$999999,3,FALSE),"")</f>
      </c>
      <c r="F4603" s="1" t="str">
        <f>IFERROR(VLOOKUP(B4603,'SB1'!$A$2:$C$999999,3,FALSE),"")</f>
        <v>503</v>
      </c>
      <c r="G4603" s="3" t="e">
        <f t="shared" si="155"/>
        <v>#VALUE!</v>
      </c>
      <c r="H4603" s="3" t="e">
        <f t="shared" si="156"/>
        <v>#VALUE!</v>
      </c>
      <c r="I4603" s="1">
        <v>1</v>
      </c>
    </row>
    <row r="4604" spans="1:9" x14ac:dyDescent="0.25">
      <c r="A4604" s="1" t="s">
        <v>14435</v>
      </c>
      <c r="B4604" s="1" t="s">
        <v>13967</v>
      </c>
      <c r="C4604" s="1" t="str">
        <f>IFERROR(VLOOKUP(B4604,'SB1'!$A$2:$B$999999,2,FALSE),"")</f>
        <v>ESMALTE SINTETICO ALBALUX 2EN1 BRILLANTE MARRON X 4</v>
      </c>
      <c r="D4604" s="1" t="s">
        <v>14439</v>
      </c>
      <c r="E4604" s="3">
        <f>IFERROR(VLOOKUP(B4604,'DA1'!$B$2:$D$999999,3,FALSE),"")</f>
      </c>
      <c r="F4604" s="1" t="str">
        <f>IFERROR(VLOOKUP(B4604,'SB1'!$A$2:$C$999999,3,FALSE),"")</f>
        <v>503</v>
      </c>
      <c r="G4604" s="3" t="e">
        <f t="shared" si="155"/>
        <v>#VALUE!</v>
      </c>
      <c r="H4604" s="3" t="e">
        <f t="shared" si="156"/>
        <v>#VALUE!</v>
      </c>
      <c r="I4604" s="1">
        <v>1</v>
      </c>
    </row>
    <row r="4605" spans="1:9" x14ac:dyDescent="0.25">
      <c r="A4605" s="1" t="s">
        <v>14435</v>
      </c>
      <c r="B4605" s="1" t="s">
        <v>13969</v>
      </c>
      <c r="C4605" s="1" t="str">
        <f>IFERROR(VLOOKUP(B4605,'SB1'!$A$2:$B$999999,2,FALSE),"")</f>
        <v>ESMALTE SINTETICO ALBALUX 2EN1 BRILLANTE GRIS ESPACIAL X 4</v>
      </c>
      <c r="D4605" s="1" t="s">
        <v>14439</v>
      </c>
      <c r="E4605" s="3">
        <f>IFERROR(VLOOKUP(B4605,'DA1'!$B$2:$D$999999,3,FALSE),"")</f>
      </c>
      <c r="F4605" s="1" t="str">
        <f>IFERROR(VLOOKUP(B4605,'SB1'!$A$2:$C$999999,3,FALSE),"")</f>
        <v>503</v>
      </c>
      <c r="G4605" s="3" t="e">
        <f t="shared" si="155"/>
        <v>#VALUE!</v>
      </c>
      <c r="H4605" s="3" t="e">
        <f t="shared" si="156"/>
        <v>#VALUE!</v>
      </c>
      <c r="I4605" s="1">
        <v>1</v>
      </c>
    </row>
    <row r="4606" spans="1:9" x14ac:dyDescent="0.25">
      <c r="A4606" s="1" t="s">
        <v>14435</v>
      </c>
      <c r="B4606" s="1" t="s">
        <v>13971</v>
      </c>
      <c r="C4606" s="1" t="str">
        <f>IFERROR(VLOOKUP(B4606,'SB1'!$A$2:$B$999999,2,FALSE),"")</f>
        <v>ESMALTE SINTETICO ALBALUX 2EN1 BRILLANTE VERDE INGLES X 4</v>
      </c>
      <c r="D4606" s="1" t="s">
        <v>14439</v>
      </c>
      <c r="E4606" s="3">
        <f>IFERROR(VLOOKUP(B4606,'DA1'!$B$2:$D$999999,3,FALSE),"")</f>
      </c>
      <c r="F4606" s="1" t="str">
        <f>IFERROR(VLOOKUP(B4606,'SB1'!$A$2:$C$999999,3,FALSE),"")</f>
        <v>503</v>
      </c>
      <c r="G4606" s="3" t="e">
        <f t="shared" si="155"/>
        <v>#VALUE!</v>
      </c>
      <c r="H4606" s="3" t="e">
        <f t="shared" si="156"/>
        <v>#VALUE!</v>
      </c>
      <c r="I4606" s="1">
        <v>1</v>
      </c>
    </row>
    <row r="4607" spans="1:9" x14ac:dyDescent="0.25">
      <c r="A4607" s="1" t="s">
        <v>14435</v>
      </c>
      <c r="B4607" s="1" t="s">
        <v>13973</v>
      </c>
      <c r="C4607" s="1" t="str">
        <f>IFERROR(VLOOKUP(B4607,'SB1'!$A$2:$B$999999,2,FALSE),"")</f>
        <v>ESMALTE SINTETICO ALBALUX 2EN1 BRILLANTE MARFIL CHAMPAGNE X 4</v>
      </c>
      <c r="D4607" s="1" t="s">
        <v>14439</v>
      </c>
      <c r="E4607" s="3">
        <f>IFERROR(VLOOKUP(B4607,'DA1'!$B$2:$D$999999,3,FALSE),"")</f>
      </c>
      <c r="F4607" s="1" t="str">
        <f>IFERROR(VLOOKUP(B4607,'SB1'!$A$2:$C$999999,3,FALSE),"")</f>
        <v>503</v>
      </c>
      <c r="G4607" s="3" t="e">
        <f t="shared" si="155"/>
        <v>#VALUE!</v>
      </c>
      <c r="H4607" s="3" t="e">
        <f t="shared" si="156"/>
        <v>#VALUE!</v>
      </c>
      <c r="I4607" s="1">
        <v>1</v>
      </c>
    </row>
    <row r="4608" spans="1:9" x14ac:dyDescent="0.25">
      <c r="A4608" s="1" t="s">
        <v>14435</v>
      </c>
      <c r="B4608" s="1" t="s">
        <v>13975</v>
      </c>
      <c r="C4608" s="1" t="str">
        <f>IFERROR(VLOOKUP(B4608,'SB1'!$A$2:$B$999999,2,FALSE),"")</f>
        <v>ESMALTE SINTETICO ALBALUX 2EN1 BRILLANTE VERDE NOCHE X 4</v>
      </c>
      <c r="D4608" s="1" t="s">
        <v>14439</v>
      </c>
      <c r="E4608" s="3">
        <f>IFERROR(VLOOKUP(B4608,'DA1'!$B$2:$D$999999,3,FALSE),"")</f>
      </c>
      <c r="F4608" s="1" t="str">
        <f>IFERROR(VLOOKUP(B4608,'SB1'!$A$2:$C$999999,3,FALSE),"")</f>
        <v>503</v>
      </c>
      <c r="G4608" s="3" t="e">
        <f t="shared" si="155"/>
        <v>#VALUE!</v>
      </c>
      <c r="H4608" s="3" t="e">
        <f t="shared" si="156"/>
        <v>#VALUE!</v>
      </c>
      <c r="I4608" s="1">
        <v>1</v>
      </c>
    </row>
    <row r="4609" spans="1:9" x14ac:dyDescent="0.25">
      <c r="A4609" s="1" t="s">
        <v>14435</v>
      </c>
      <c r="B4609" s="1" t="s">
        <v>13977</v>
      </c>
      <c r="C4609" s="1" t="str">
        <f>IFERROR(VLOOKUP(B4609,'SB1'!$A$2:$B$999999,2,FALSE),"")</f>
        <v>ESMALTE SINTETICO ALBALUX 2EN1 BRILLANTE TRAFUL X 4</v>
      </c>
      <c r="D4609" s="1" t="s">
        <v>14439</v>
      </c>
      <c r="E4609" s="3">
        <f>IFERROR(VLOOKUP(B4609,'DA1'!$B$2:$D$999999,3,FALSE),"")</f>
      </c>
      <c r="F4609" s="1" t="str">
        <f>IFERROR(VLOOKUP(B4609,'SB1'!$A$2:$C$999999,3,FALSE),"")</f>
        <v>503</v>
      </c>
      <c r="G4609" s="3" t="e">
        <f t="shared" si="155"/>
        <v>#VALUE!</v>
      </c>
      <c r="H4609" s="3" t="e">
        <f t="shared" si="156"/>
        <v>#VALUE!</v>
      </c>
      <c r="I4609" s="1">
        <v>1</v>
      </c>
    </row>
    <row r="4610" spans="1:9" x14ac:dyDescent="0.25">
      <c r="A4610" s="1" t="s">
        <v>14435</v>
      </c>
      <c r="B4610" s="1" t="s">
        <v>13979</v>
      </c>
      <c r="C4610" s="1" t="str">
        <f>IFERROR(VLOOKUP(B4610,'SB1'!$A$2:$B$999999,2,FALSE),"")</f>
        <v>ESMALTE SINTETICO ALBALUX 2EN1 BRILLANTE AZUL MARINO X 4</v>
      </c>
      <c r="D4610" s="1" t="s">
        <v>14439</v>
      </c>
      <c r="E4610" s="3">
        <f>IFERROR(VLOOKUP(B4610,'DA1'!$B$2:$D$999999,3,FALSE),"")</f>
      </c>
      <c r="F4610" s="1" t="str">
        <f>IFERROR(VLOOKUP(B4610,'SB1'!$A$2:$C$999999,3,FALSE),"")</f>
        <v>503</v>
      </c>
      <c r="G4610" s="3" t="e">
        <f t="shared" si="155"/>
        <v>#VALUE!</v>
      </c>
      <c r="H4610" s="3" t="e">
        <f t="shared" si="156"/>
        <v>#VALUE!</v>
      </c>
      <c r="I4610" s="1">
        <v>1</v>
      </c>
    </row>
    <row r="4611" spans="1:9" x14ac:dyDescent="0.25">
      <c r="A4611" s="1" t="s">
        <v>14435</v>
      </c>
      <c r="B4611" s="1" t="s">
        <v>13999</v>
      </c>
      <c r="C4611" s="1" t="str">
        <f>IFERROR(VLOOKUP(B4611,'SB1'!$A$2:$B$999999,2,FALSE),"")</f>
        <v>DILUYENTE DEMARCACION VIAL TERSUAVE X  4</v>
      </c>
      <c r="D4611" s="1" t="s">
        <v>14511</v>
      </c>
      <c r="E4611" s="3">
        <f>IFERROR(VLOOKUP(B4611,'DA1'!$B$2:$D$999999,3,FALSE),"")</f>
      </c>
      <c r="F4611" s="1" t="str">
        <f>IFERROR(VLOOKUP(B4611,'SB1'!$A$2:$C$999999,3,FALSE),"")</f>
        <v>503</v>
      </c>
      <c r="G4611" s="3" t="e">
        <f t="shared" ref="G4611:G4628" si="157">E4611*1.04</f>
        <v>#VALUE!</v>
      </c>
      <c r="H4611" s="3" t="e">
        <f t="shared" si="156"/>
        <v>#VALUE!</v>
      </c>
      <c r="I4611" s="1">
        <v>1</v>
      </c>
    </row>
    <row r="4612" spans="1:9" x14ac:dyDescent="0.25">
      <c r="A4612" s="1" t="s">
        <v>14435</v>
      </c>
      <c r="B4612" s="1" t="s">
        <v>14001</v>
      </c>
      <c r="C4612" s="1" t="str">
        <f>IFERROR(VLOOKUP(B4612,'SB1'!$A$2:$B$999999,2,FALSE),"")</f>
        <v>CREMA DE PULIDO 3D 502 AAT FINISHING POLISH X 1(502OZ32)</v>
      </c>
      <c r="D4612" s="1" t="s">
        <v>14499</v>
      </c>
      <c r="E4612" s="3">
        <f>IFERROR(VLOOKUP(B4612,'DA1'!$B$2:$D$999999,3,FALSE),"")</f>
      </c>
      <c r="F4612" s="1" t="str">
        <f>IFERROR(VLOOKUP(B4612,'SB1'!$A$2:$C$999999,3,FALSE),"")</f>
        <v>503</v>
      </c>
      <c r="G4612" s="3" t="e">
        <f t="shared" si="157"/>
        <v>#VALUE!</v>
      </c>
      <c r="H4612" s="3" t="e">
        <f t="shared" ref="H4612:H4628" si="158">G4612*1.21</f>
        <v>#VALUE!</v>
      </c>
      <c r="I4612" s="1">
        <v>1</v>
      </c>
    </row>
    <row r="4613" spans="1:9" x14ac:dyDescent="0.25">
      <c r="A4613" s="1" t="s">
        <v>14435</v>
      </c>
      <c r="B4613" s="1" t="s">
        <v>14003</v>
      </c>
      <c r="C4613" s="1" t="str">
        <f>IFERROR(VLOOKUP(B4613,'SB1'!$A$2:$B$999999,2,FALSE),"")</f>
        <v>COMPUESTO DE PULIDO Y SELLADO SIN SILICONA 3D 505 AAT CORRECTION GLAZE X 1(505OZ32)</v>
      </c>
      <c r="D4613" s="1" t="s">
        <v>14499</v>
      </c>
      <c r="E4613" s="3">
        <f>IFERROR(VLOOKUP(B4613,'DA1'!$B$2:$D$999999,3,FALSE),"")</f>
      </c>
      <c r="F4613" s="1" t="str">
        <f>IFERROR(VLOOKUP(B4613,'SB1'!$A$2:$C$999999,3,FALSE),"")</f>
        <v>503</v>
      </c>
      <c r="G4613" s="3" t="e">
        <f t="shared" si="157"/>
        <v>#VALUE!</v>
      </c>
      <c r="H4613" s="3" t="e">
        <f t="shared" si="158"/>
        <v>#VALUE!</v>
      </c>
      <c r="I4613" s="1">
        <v>1</v>
      </c>
    </row>
    <row r="4614" spans="1:9" x14ac:dyDescent="0.25">
      <c r="A4614" s="1" t="s">
        <v>14435</v>
      </c>
      <c r="B4614" s="1" t="s">
        <v>14005</v>
      </c>
      <c r="C4614" s="1" t="str">
        <f>IFERROR(VLOOKUP(B4614,'SB1'!$A$2:$B$999999,2,FALSE),"")</f>
        <v>COMPUESTO DE CORTE AGRESIVO 3D 500 ACA X-TRA CUT COMPUND X 1(500OZ32)</v>
      </c>
      <c r="D4614" s="1" t="s">
        <v>14499</v>
      </c>
      <c r="E4614" s="3">
        <f>IFERROR(VLOOKUP(B4614,'DA1'!$B$2:$D$999999,3,FALSE),"")</f>
      </c>
      <c r="F4614" s="1" t="str">
        <f>IFERROR(VLOOKUP(B4614,'SB1'!$A$2:$C$999999,3,FALSE),"")</f>
        <v>503</v>
      </c>
      <c r="G4614" s="3" t="e">
        <f t="shared" si="157"/>
        <v>#VALUE!</v>
      </c>
      <c r="H4614" s="3" t="e">
        <f t="shared" si="158"/>
        <v>#VALUE!</v>
      </c>
      <c r="I4614" s="1">
        <v>1</v>
      </c>
    </row>
    <row r="4615" spans="1:9" x14ac:dyDescent="0.25">
      <c r="A4615" s="1" t="s">
        <v>14435</v>
      </c>
      <c r="B4615" s="1" t="s">
        <v>14007</v>
      </c>
      <c r="C4615" s="1" t="str">
        <f>IFERROR(VLOOKUP(B4615,'SB1'!$A$2:$B$999999,2,FALSE),"")</f>
        <v>CREMA DE CORTE 3D 501 AAT RUBBING COMPOUND X 1(501OZ32)</v>
      </c>
      <c r="D4615" s="1" t="s">
        <v>14499</v>
      </c>
      <c r="E4615" s="3">
        <f>IFERROR(VLOOKUP(B4615,'DA1'!$B$2:$D$999999,3,FALSE),"")</f>
      </c>
      <c r="F4615" s="1" t="str">
        <f>IFERROR(VLOOKUP(B4615,'SB1'!$A$2:$C$999999,3,FALSE),"")</f>
        <v>503</v>
      </c>
      <c r="G4615" s="3" t="e">
        <f t="shared" si="157"/>
        <v>#VALUE!</v>
      </c>
      <c r="H4615" s="3" t="e">
        <f t="shared" si="158"/>
        <v>#VALUE!</v>
      </c>
      <c r="I4615" s="1">
        <v>1</v>
      </c>
    </row>
    <row r="4616" spans="1:9" x14ac:dyDescent="0.25">
      <c r="A4616" s="1" t="s">
        <v>14435</v>
      </c>
      <c r="B4616" s="1" t="s">
        <v>14009</v>
      </c>
      <c r="C4616" s="1" t="str">
        <f>IFERROR(VLOOKUP(B4616,'SB1'!$A$2:$B$999999,2,FALSE),"")</f>
        <v>CREMA DE PULIDO 3D 520 ACA FINISHING POLISH X 1(520OZ32)</v>
      </c>
      <c r="D4616" s="1" t="s">
        <v>14499</v>
      </c>
      <c r="E4616" s="3">
        <f>IFERROR(VLOOKUP(B4616,'DA1'!$B$2:$D$999999,3,FALSE),"")</f>
      </c>
      <c r="F4616" s="1" t="str">
        <f>IFERROR(VLOOKUP(B4616,'SB1'!$A$2:$C$999999,3,FALSE),"")</f>
        <v>503</v>
      </c>
      <c r="G4616" s="3" t="e">
        <f t="shared" si="157"/>
        <v>#VALUE!</v>
      </c>
      <c r="H4616" s="3" t="e">
        <f t="shared" si="158"/>
        <v>#VALUE!</v>
      </c>
      <c r="I4616" s="1">
        <v>1</v>
      </c>
    </row>
    <row r="4617" spans="1:9" x14ac:dyDescent="0.25">
      <c r="A4617" s="1" t="s">
        <v>14435</v>
      </c>
      <c r="B4617" s="1" t="s">
        <v>14015</v>
      </c>
      <c r="C4617" s="1" t="str">
        <f>IFERROR(VLOOKUP(B4617,'SB1'!$A$2:$B$999999,2,FALSE),"")</f>
        <v>CLAY BAR/ DESCONTAMINANTE 3D CLAY BAR (G-09HD)</v>
      </c>
      <c r="D4617" s="1" t="s">
        <v>14499</v>
      </c>
      <c r="E4617" s="3">
        <f>IFERROR(VLOOKUP(B4617,'DA1'!$B$2:$D$999999,3,FALSE),"")</f>
      </c>
      <c r="F4617" s="1" t="str">
        <f>IFERROR(VLOOKUP(B4617,'SB1'!$A$2:$C$999999,3,FALSE),"")</f>
        <v>503</v>
      </c>
      <c r="G4617" s="3" t="e">
        <f t="shared" si="157"/>
        <v>#VALUE!</v>
      </c>
      <c r="H4617" s="3" t="e">
        <f t="shared" si="158"/>
        <v>#VALUE!</v>
      </c>
      <c r="I4617" s="1">
        <v>1</v>
      </c>
    </row>
    <row r="4618" spans="1:9" x14ac:dyDescent="0.25">
      <c r="A4618" s="1" t="s">
        <v>14435</v>
      </c>
      <c r="B4618" s="1" t="s">
        <v>14017</v>
      </c>
      <c r="C4618" s="1" t="str">
        <f>IFERROR(VLOOKUP(B4618,'SB1'!$A$2:$B$999999,2,FALSE),"")</f>
        <v>DILUYENTE DEMARCACION VIAL TERSUAVE X 18</v>
      </c>
      <c r="D4618" s="1" t="s">
        <v>14511</v>
      </c>
      <c r="E4618" s="3">
        <f>IFERROR(VLOOKUP(B4618,'DA1'!$B$2:$D$999999,3,FALSE),"")</f>
      </c>
      <c r="F4618" s="1" t="str">
        <f>IFERROR(VLOOKUP(B4618,'SB1'!$A$2:$C$999999,3,FALSE),"")</f>
        <v>503</v>
      </c>
      <c r="G4618" s="3" t="e">
        <f t="shared" si="157"/>
        <v>#VALUE!</v>
      </c>
      <c r="H4618" s="3" t="e">
        <f t="shared" si="158"/>
        <v>#VALUE!</v>
      </c>
      <c r="I4618" s="1">
        <v>1</v>
      </c>
    </row>
    <row r="4619" spans="1:9" x14ac:dyDescent="0.25">
      <c r="A4619" s="1" t="s">
        <v>14435</v>
      </c>
      <c r="B4619" s="1" t="s">
        <v>14019</v>
      </c>
      <c r="C4619" s="1" t="str">
        <f>IFERROR(VLOOKUP(B4619,'SB1'!$A$2:$B$999999,2,FALSE),"")</f>
        <v>COMPUESTO DE CORTE AGRESIVO 3D 500 ACA X-TRA CUT COMPUND X 0,500(500OZ16)</v>
      </c>
      <c r="D4619" s="1" t="s">
        <v>14499</v>
      </c>
      <c r="E4619" s="3">
        <f>IFERROR(VLOOKUP(B4619,'DA1'!$B$2:$D$999999,3,FALSE),"")</f>
      </c>
      <c r="F4619" s="1" t="str">
        <f>IFERROR(VLOOKUP(B4619,'SB1'!$A$2:$C$999999,3,FALSE),"")</f>
        <v>503</v>
      </c>
      <c r="G4619" s="3" t="e">
        <f t="shared" si="157"/>
        <v>#VALUE!</v>
      </c>
      <c r="H4619" s="3" t="e">
        <f t="shared" si="158"/>
        <v>#VALUE!</v>
      </c>
      <c r="I4619" s="1">
        <v>1</v>
      </c>
    </row>
    <row r="4620" spans="1:9" x14ac:dyDescent="0.25">
      <c r="A4620" s="1" t="s">
        <v>14435</v>
      </c>
      <c r="B4620" s="1" t="s">
        <v>14027</v>
      </c>
      <c r="C4620" s="1" t="str">
        <f>IFERROR(VLOOKUP(B4620,'SB1'!$A$2:$B$999999,2,FALSE),"")</f>
        <v>LATEX PARA PISO ALBA MATE AZUL X  1</v>
      </c>
      <c r="D4620" s="1" t="s">
        <v>14441</v>
      </c>
      <c r="E4620" s="3">
        <f>IFERROR(VLOOKUP(B4620,'DA1'!$B$2:$D$999999,3,FALSE),"")</f>
      </c>
      <c r="F4620" s="1" t="str">
        <f>IFERROR(VLOOKUP(B4620,'SB1'!$A$2:$C$999999,3,FALSE),"")</f>
        <v>503</v>
      </c>
      <c r="G4620" s="3" t="e">
        <f t="shared" si="157"/>
        <v>#VALUE!</v>
      </c>
      <c r="H4620" s="3" t="e">
        <f t="shared" si="158"/>
        <v>#VALUE!</v>
      </c>
      <c r="I4620" s="1">
        <v>1</v>
      </c>
    </row>
    <row r="4621" spans="1:9" x14ac:dyDescent="0.25">
      <c r="A4621" s="1" t="s">
        <v>14435</v>
      </c>
      <c r="B4621" s="1" t="s">
        <v>14029</v>
      </c>
      <c r="C4621" s="1" t="str">
        <f>IFERROR(VLOOKUP(B4621,'SB1'!$A$2:$B$999999,2,FALSE),"")</f>
        <v>LATEX PARA PISO ALBA MATE GRAFITO X  1</v>
      </c>
      <c r="D4621" s="1" t="s">
        <v>14441</v>
      </c>
      <c r="E4621" s="3">
        <f>IFERROR(VLOOKUP(B4621,'DA1'!$B$2:$D$999999,3,FALSE),"")</f>
      </c>
      <c r="F4621" s="1" t="str">
        <f>IFERROR(VLOOKUP(B4621,'SB1'!$A$2:$C$999999,3,FALSE),"")</f>
        <v>503</v>
      </c>
      <c r="G4621" s="3" t="e">
        <f t="shared" si="157"/>
        <v>#VALUE!</v>
      </c>
      <c r="H4621" s="3" t="e">
        <f t="shared" si="158"/>
        <v>#VALUE!</v>
      </c>
      <c r="I4621" s="1">
        <v>1</v>
      </c>
    </row>
    <row r="4622" spans="1:9" x14ac:dyDescent="0.25">
      <c r="A4622" s="1" t="s">
        <v>14435</v>
      </c>
      <c r="B4622" s="1" t="s">
        <v>14031</v>
      </c>
      <c r="C4622" s="1" t="str">
        <f>IFERROR(VLOOKUP(B4622,'SB1'!$A$2:$B$999999,2,FALSE),"")</f>
        <v>LATEX PARA PISO ALBA MATE ROJO COLONIAL X  1</v>
      </c>
      <c r="D4622" s="1" t="s">
        <v>14441</v>
      </c>
      <c r="E4622" s="3">
        <f>IFERROR(VLOOKUP(B4622,'DA1'!$B$2:$D$999999,3,FALSE),"")</f>
      </c>
      <c r="F4622" s="1" t="str">
        <f>IFERROR(VLOOKUP(B4622,'SB1'!$A$2:$C$999999,3,FALSE),"")</f>
        <v>503</v>
      </c>
      <c r="G4622" s="3" t="e">
        <f t="shared" si="157"/>
        <v>#VALUE!</v>
      </c>
      <c r="H4622" s="3" t="e">
        <f t="shared" si="158"/>
        <v>#VALUE!</v>
      </c>
      <c r="I4622" s="1">
        <v>1</v>
      </c>
    </row>
    <row r="4623" spans="1:9" x14ac:dyDescent="0.25">
      <c r="A4623" s="1" t="s">
        <v>14435</v>
      </c>
      <c r="B4623" s="1" t="s">
        <v>14033</v>
      </c>
      <c r="C4623" s="1" t="str">
        <f>IFERROR(VLOOKUP(B4623,'SB1'!$A$2:$B$999999,2,FALSE),"")</f>
        <v>LATEX PARA PISO ALBA MATE CENIZA X  1</v>
      </c>
      <c r="D4623" s="1" t="s">
        <v>14441</v>
      </c>
      <c r="E4623" s="3">
        <f>IFERROR(VLOOKUP(B4623,'DA1'!$B$2:$D$999999,3,FALSE),"")</f>
      </c>
      <c r="F4623" s="1" t="str">
        <f>IFERROR(VLOOKUP(B4623,'SB1'!$A$2:$C$999999,3,FALSE),"")</f>
        <v>503</v>
      </c>
      <c r="G4623" s="3" t="e">
        <f t="shared" si="157"/>
        <v>#VALUE!</v>
      </c>
      <c r="H4623" s="3" t="e">
        <f t="shared" si="158"/>
        <v>#VALUE!</v>
      </c>
      <c r="I4623" s="1">
        <v>1</v>
      </c>
    </row>
    <row r="4624" spans="1:9" x14ac:dyDescent="0.25">
      <c r="A4624" s="1" t="s">
        <v>14435</v>
      </c>
      <c r="B4624" s="1" t="s">
        <v>14035</v>
      </c>
      <c r="C4624" s="1" t="str">
        <f>IFERROR(VLOOKUP(B4624,'SB1'!$A$2:$B$999999,2,FALSE),"")</f>
        <v>LATEX PARA PISO ALBA MATE NEGRO X 1</v>
      </c>
      <c r="D4624" s="1" t="s">
        <v>14441</v>
      </c>
      <c r="E4624" s="3">
        <f>IFERROR(VLOOKUP(B4624,'DA1'!$B$2:$D$999999,3,FALSE),"")</f>
      </c>
      <c r="F4624" s="1" t="str">
        <f>IFERROR(VLOOKUP(B4624,'SB1'!$A$2:$C$999999,3,FALSE),"")</f>
        <v>503</v>
      </c>
      <c r="G4624" s="3" t="e">
        <f t="shared" si="157"/>
        <v>#VALUE!</v>
      </c>
      <c r="H4624" s="3" t="e">
        <f t="shared" si="158"/>
        <v>#VALUE!</v>
      </c>
      <c r="I4624" s="1">
        <v>1</v>
      </c>
    </row>
    <row r="4625" spans="1:9" x14ac:dyDescent="0.25">
      <c r="A4625" s="1" t="s">
        <v>14435</v>
      </c>
      <c r="B4625" s="1" t="s">
        <v>14037</v>
      </c>
      <c r="C4625" s="1" t="str">
        <f>IFERROR(VLOOKUP(B4625,'SB1'!$A$2:$B$999999,2,FALSE),"")</f>
        <v>LATEX PARA PISO ALBA MATE VERDE TENIS X  1</v>
      </c>
      <c r="D4625" s="1" t="s">
        <v>14441</v>
      </c>
      <c r="E4625" s="3">
        <f>IFERROR(VLOOKUP(B4625,'DA1'!$B$2:$D$999999,3,FALSE),"")</f>
      </c>
      <c r="F4625" s="1" t="str">
        <f>IFERROR(VLOOKUP(B4625,'SB1'!$A$2:$C$999999,3,FALSE),"")</f>
        <v>503</v>
      </c>
      <c r="G4625" s="3" t="e">
        <f t="shared" si="157"/>
        <v>#VALUE!</v>
      </c>
      <c r="H4625" s="3" t="e">
        <f t="shared" si="158"/>
        <v>#VALUE!</v>
      </c>
      <c r="I4625" s="1">
        <v>1</v>
      </c>
    </row>
    <row r="4626" spans="1:9" x14ac:dyDescent="0.25">
      <c r="A4626" s="1" t="s">
        <v>14435</v>
      </c>
      <c r="B4626" s="1" t="s">
        <v>14041</v>
      </c>
      <c r="C4626" s="1" t="str">
        <f>IFERROR(VLOOKUP(B4626,'SB1'!$A$2:$B$999999,2,FALSE),"")</f>
        <v>COLORES AUTOMOTOR PU X 1</v>
      </c>
      <c r="D4626" s="1" t="s">
        <v>14512</v>
      </c>
      <c r="E4626" s="3">
        <f>IFERROR(VLOOKUP(B4626,'DA1'!$B$2:$D$999999,3,FALSE),"")</f>
      </c>
      <c r="F4626" s="1" t="str">
        <f>IFERROR(VLOOKUP(B4626,'SB1'!$A$2:$C$999999,3,FALSE),"")</f>
        <v>503</v>
      </c>
      <c r="G4626" s="3" t="e">
        <f t="shared" si="157"/>
        <v>#VALUE!</v>
      </c>
      <c r="H4626" s="3" t="e">
        <f t="shared" si="158"/>
        <v>#VALUE!</v>
      </c>
      <c r="I4626" s="1">
        <v>3</v>
      </c>
    </row>
    <row r="4627" spans="1:9" x14ac:dyDescent="0.25">
      <c r="A4627" s="1" t="s">
        <v>14435</v>
      </c>
      <c r="B4627" s="1" t="s">
        <v>14043</v>
      </c>
      <c r="C4627" s="1" t="str">
        <f>IFERROR(VLOOKUP(B4627,'SB1'!$A$2:$B$999999,2,FALSE),"")</f>
        <v>COLORES AUTOMOTOR BICAPA X 1</v>
      </c>
      <c r="D4627" s="1" t="s">
        <v>14512</v>
      </c>
      <c r="E4627" s="3">
        <f>IFERROR(VLOOKUP(B4627,'DA1'!$B$2:$D$999999,3,FALSE),"")</f>
      </c>
      <c r="F4627" s="1" t="str">
        <f>IFERROR(VLOOKUP(B4627,'SB1'!$A$2:$C$999999,3,FALSE),"")</f>
        <v>503</v>
      </c>
      <c r="G4627" s="3" t="e">
        <f t="shared" si="157"/>
        <v>#VALUE!</v>
      </c>
      <c r="H4627" s="3" t="e">
        <f t="shared" si="158"/>
        <v>#VALUE!</v>
      </c>
      <c r="I4627" s="1">
        <v>3</v>
      </c>
    </row>
    <row r="4628" spans="1:9" x14ac:dyDescent="0.25">
      <c r="A4628" s="1" t="s">
        <v>14435</v>
      </c>
      <c r="B4628" s="1" t="s">
        <v>14047</v>
      </c>
      <c r="C4628" s="1" t="str">
        <f>IFERROR(VLOOKUP(B4628,'SB1'!$A$2:$B$999999,2,FALSE),"")</f>
        <v>DILUYENTE SECADO A AIRE DIXILINA NRO.3 X 200</v>
      </c>
      <c r="D4628" s="1" t="s">
        <v>14477</v>
      </c>
      <c r="E4628" s="3">
        <v>219056.08</v>
      </c>
      <c r="F4628" s="1" t="str">
        <f>IFERROR(VLOOKUP(B4628,'SB1'!$A$2:$C$999999,3,FALSE),"")</f>
        <v>503</v>
      </c>
      <c r="G4628" s="3" t="e">
        <f t="shared" si="157"/>
        <v>#VALUE!</v>
      </c>
      <c r="H4628" s="3" t="e">
        <f t="shared" si="158"/>
        <v>#VALUE!</v>
      </c>
      <c r="I4628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28"/>
  <sheetViews>
    <sheetView workbookViewId="0" zoomScale="100" zoomScaleNormal="100">
      <selection activeCell="D9" sqref="D9"/>
    </sheetView>
  </sheetViews>
  <sheetFormatPr defaultRowHeight="12" outlineLevelRow="0" outlineLevelCol="0" x14ac:dyDescent="0.25" defaultColWidth="11.5703125" customHeight="1"/>
  <cols>
    <col min="1" max="1" width="10.140625" style="1" customWidth="1"/>
    <col min="2" max="2" width="74.28515625" style="1" customWidth="1"/>
    <col min="3" max="3" width="7.28515625" style="1" customWidth="1"/>
    <col min="4" max="4" width="12.140625" style="3" customWidth="1"/>
    <col min="5" max="16384" width="11.5703125" style="1" customWidth="1"/>
  </cols>
  <sheetData>
    <row r="1" spans="1:5" s="2" customFormat="1" x14ac:dyDescent="0.25">
      <c r="A1" s="2" t="s">
        <v>14427</v>
      </c>
      <c r="B1" s="2" t="s">
        <v>14428</v>
      </c>
      <c r="C1" s="2" t="s">
        <v>14429</v>
      </c>
      <c r="D1" s="4" t="s">
        <v>14433</v>
      </c>
      <c r="E1" s="2" t="s">
        <v>14434</v>
      </c>
    </row>
    <row r="2" spans="1:4" x14ac:dyDescent="0.25">
      <c r="A2" s="1" t="str">
        <f>'001'!B2</f>
        <v>000002</v>
      </c>
      <c r="B2" s="1" t="str">
        <f>'001'!C2</f>
        <v>CINTA PELIGRO X 100 MTS DOBLE FAZ(CP100)</v>
      </c>
      <c r="C2" s="1" t="str">
        <f>'001'!D2</f>
        <v>0165</v>
      </c>
      <c r="D2" s="3" t="e">
        <f>'001'!H2</f>
        <v>#VALUE!</v>
      </c>
    </row>
    <row r="3" spans="1:4" x14ac:dyDescent="0.25">
      <c r="A3" s="1" t="str">
        <f>'001'!B3</f>
        <v>000003</v>
      </c>
      <c r="B3" s="1" t="str">
        <f>'001'!C3</f>
        <v>CINTA PELIGRO X 200 MTS DOBLE FAZ(CP200)</v>
      </c>
      <c r="C3" s="1" t="str">
        <f>'001'!D3</f>
        <v>0165</v>
      </c>
      <c r="D3" s="3" t="e">
        <f>'001'!H3</f>
        <v>#VALUE!</v>
      </c>
    </row>
    <row r="4" spans="1:4" x14ac:dyDescent="0.25">
      <c r="A4" s="1" t="str">
        <f>'001'!B4</f>
        <v>000004</v>
      </c>
      <c r="B4" s="1" t="str">
        <f>'001'!C4</f>
        <v>PISTOLA APLICADORA SKELETOR REFORZADA</v>
      </c>
      <c r="C4" s="1" t="str">
        <f>'001'!D4</f>
        <v>0165</v>
      </c>
      <c r="D4" s="3" t="e">
        <f>'001'!H4</f>
        <v>#VALUE!</v>
      </c>
    </row>
    <row r="5" spans="1:4" x14ac:dyDescent="0.25">
      <c r="A5" s="1" t="str">
        <f>'001'!B5</f>
        <v>000005</v>
      </c>
      <c r="B5" s="1" t="str">
        <f>'001'!C5</f>
        <v>PORTA PINCEL MAGNETICO</v>
      </c>
      <c r="C5" s="1" t="str">
        <f>'001'!D5</f>
        <v>0165</v>
      </c>
      <c r="D5" s="3" t="e">
        <f>'001'!H5</f>
        <v>#VALUE!</v>
      </c>
    </row>
    <row r="6" spans="1:4" x14ac:dyDescent="0.25">
      <c r="A6" s="1" t="str">
        <f>'001'!B6</f>
        <v>000006</v>
      </c>
      <c r="B6" s="1" t="str">
        <f>'001'!C6</f>
        <v>COBERTURA PLASTICA MULTIUSO 3X3MTS.(AC315)</v>
      </c>
      <c r="C6" s="1" t="str">
        <f>'001'!D6</f>
        <v>0165</v>
      </c>
      <c r="D6" s="3" t="e">
        <f>'001'!H6</f>
        <v>#VALUE!</v>
      </c>
    </row>
    <row r="7" spans="1:4" x14ac:dyDescent="0.25">
      <c r="A7" s="1" t="str">
        <f>'001'!B7</f>
        <v>000007</v>
      </c>
      <c r="B7" s="1" t="str">
        <f>'001'!C7</f>
        <v>COBERTURA PLASTICA MULTIUSO 3X4MTS.(AC316)</v>
      </c>
      <c r="C7" s="1" t="str">
        <f>'001'!D7</f>
        <v>0165</v>
      </c>
      <c r="D7" s="3" t="e">
        <f>'001'!H7</f>
        <v>#VALUE!</v>
      </c>
    </row>
    <row r="8" spans="1:4" x14ac:dyDescent="0.25">
      <c r="A8" s="1" t="str">
        <f>'001'!B8</f>
        <v>000008</v>
      </c>
      <c r="B8" s="1" t="str">
        <f>'001'!C8</f>
        <v>COBERTURA PLASTICA MULTIUSO 3X5MTS.(AC317)</v>
      </c>
      <c r="C8" s="1" t="str">
        <f>'001'!D8</f>
        <v>0165</v>
      </c>
      <c r="D8" s="3" t="e">
        <f>'001'!H8</f>
        <v>#VALUE!</v>
      </c>
    </row>
    <row r="9" spans="1:4" x14ac:dyDescent="0.25">
      <c r="A9" s="1" t="str">
        <f>'001'!B9</f>
        <v>000010</v>
      </c>
      <c r="B9" s="1" t="str">
        <f>'001'!C9</f>
        <v>ESMALTE SINTETICO TERSUAVE 2EN1 MATE NEGRO X  0,500</v>
      </c>
      <c r="C9" s="1" t="str">
        <f>'001'!D9</f>
        <v>0152</v>
      </c>
      <c r="D9" s="3" t="e">
        <f>'001'!H9</f>
        <v>#VALUE!</v>
      </c>
    </row>
    <row r="10" spans="1:4" x14ac:dyDescent="0.25">
      <c r="A10" s="1" t="str">
        <f>'001'!B10</f>
        <v>000011</v>
      </c>
      <c r="B10" s="1" t="str">
        <f>'001'!C10</f>
        <v>ESMALTE SINTETICO TERSUAVE 2EN1 MATE NEGRO X  1</v>
      </c>
      <c r="C10" s="1" t="str">
        <f>'001'!D10</f>
        <v>0152</v>
      </c>
      <c r="D10" s="3" t="e">
        <f>'001'!H10</f>
        <v>#VALUE!</v>
      </c>
    </row>
    <row r="11" spans="1:4" x14ac:dyDescent="0.25">
      <c r="A11" s="1" t="str">
        <f>'001'!B11</f>
        <v>000012</v>
      </c>
      <c r="B11" s="1" t="str">
        <f>'001'!C11</f>
        <v>ESMALTE SINTETICO TERSUAVE 2EN1 MATE NEGRO X  4</v>
      </c>
      <c r="C11" s="1" t="str">
        <f>'001'!D11</f>
        <v>0152</v>
      </c>
      <c r="D11" s="3" t="e">
        <f>'001'!H11</f>
        <v>#VALUE!</v>
      </c>
    </row>
    <row r="12" spans="1:4" x14ac:dyDescent="0.25">
      <c r="A12" s="1" t="str">
        <f>'001'!B12</f>
        <v>000013</v>
      </c>
      <c r="B12" s="1" t="str">
        <f>'001'!C12</f>
        <v>ESMALTE SINTETICO TERSUAVE 2EN1 MATE BLANCO X  0,500</v>
      </c>
      <c r="C12" s="1" t="str">
        <f>'001'!D12</f>
        <v>0152</v>
      </c>
      <c r="D12" s="3" t="e">
        <f>'001'!H12</f>
        <v>#VALUE!</v>
      </c>
    </row>
    <row r="13" spans="1:4" x14ac:dyDescent="0.25">
      <c r="A13" s="1" t="str">
        <f>'001'!B13</f>
        <v>000014</v>
      </c>
      <c r="B13" s="1" t="str">
        <f>'001'!C13</f>
        <v>ESMALTE SINTETICO TERSUAVE 2EN1 MATE BLANCO X  1</v>
      </c>
      <c r="C13" s="1" t="str">
        <f>'001'!D13</f>
        <v>0152</v>
      </c>
      <c r="D13" s="3" t="e">
        <f>'001'!H13</f>
        <v>#VALUE!</v>
      </c>
    </row>
    <row r="14" spans="1:4" x14ac:dyDescent="0.25">
      <c r="A14" s="1" t="str">
        <f>'001'!B14</f>
        <v>000015</v>
      </c>
      <c r="B14" s="1" t="str">
        <f>'001'!C14</f>
        <v>ESMALTE SINTETICO TERSUAVE 2EN1 MATE BLANCO X  4</v>
      </c>
      <c r="C14" s="1" t="str">
        <f>'001'!D14</f>
        <v>0152</v>
      </c>
      <c r="D14" s="3" t="e">
        <f>'001'!H14</f>
        <v>#VALUE!</v>
      </c>
    </row>
    <row r="15" spans="1:4" x14ac:dyDescent="0.25">
      <c r="A15" s="1" t="str">
        <f>'001'!B15</f>
        <v>000024</v>
      </c>
      <c r="B15" s="1" t="str">
        <f>'001'!C15</f>
        <v>AUTOPOLISH COLORIN AUTOCERA X 0,450</v>
      </c>
      <c r="C15" s="1" t="str">
        <f>'001'!D15</f>
        <v>0166</v>
      </c>
      <c r="D15" s="3" t="e">
        <f>'001'!H15</f>
        <v>#VALUE!</v>
      </c>
    </row>
    <row r="16" spans="1:4" x14ac:dyDescent="0.25">
      <c r="A16" s="1" t="str">
        <f>'001'!B16</f>
        <v>000025</v>
      </c>
      <c r="B16" s="1" t="str">
        <f>'001'!C16</f>
        <v>AUTOPOLISH COLORIN BICAPA X 0,450</v>
      </c>
      <c r="C16" s="1" t="str">
        <f>'001'!D16</f>
        <v>0166</v>
      </c>
      <c r="D16" s="3" t="e">
        <f>'001'!H16</f>
        <v>#VALUE!</v>
      </c>
    </row>
    <row r="17" spans="1:4" x14ac:dyDescent="0.25">
      <c r="A17" s="1" t="str">
        <f>'001'!B17</f>
        <v>000026</v>
      </c>
      <c r="B17" s="1" t="str">
        <f>'001'!C17</f>
        <v>BARNIZ PARA MADERA EXTERIOR ALBATROS AL AGUA BRILLANTE INCOLORO X 1</v>
      </c>
      <c r="C17" s="1" t="str">
        <f>'001'!D17</f>
        <v>0902</v>
      </c>
      <c r="D17" s="3" t="e">
        <f>'001'!H17</f>
        <v>#VALUE!</v>
      </c>
    </row>
    <row r="18" spans="1:4" x14ac:dyDescent="0.25">
      <c r="A18" s="1" t="str">
        <f>'001'!B18</f>
        <v>000027</v>
      </c>
      <c r="B18" s="1" t="str">
        <f>'001'!C18</f>
        <v>BARNIZ PARA MADERA EXTERIOR ALBATROS AL AGUA BRILLANTE INCOLORO X 4</v>
      </c>
      <c r="C18" s="1" t="str">
        <f>'001'!D18</f>
        <v>0902</v>
      </c>
      <c r="D18" s="3" t="e">
        <f>'001'!H18</f>
        <v>#VALUE!</v>
      </c>
    </row>
    <row r="19" spans="1:4" x14ac:dyDescent="0.25">
      <c r="A19" s="1" t="str">
        <f>'001'!B19</f>
        <v>000028</v>
      </c>
      <c r="B19" s="1" t="str">
        <f>'001'!C19</f>
        <v>REMOVEDOR GEL PETRILAC X 4</v>
      </c>
      <c r="C19" s="1" t="str">
        <f>'001'!D19</f>
        <v>0902</v>
      </c>
      <c r="D19" s="3" t="e">
        <f>'001'!H19</f>
        <v>#VALUE!</v>
      </c>
    </row>
    <row r="20" spans="1:4" x14ac:dyDescent="0.25">
      <c r="A20" s="1" t="str">
        <f>'001'!B20</f>
        <v>000034</v>
      </c>
      <c r="B20" s="1" t="str">
        <f>'001'!C20</f>
        <v>LATEX PARA CIELORRASOS COLORIN MATE BLANCO X 20</v>
      </c>
      <c r="C20" s="1" t="str">
        <f>'001'!D20</f>
        <v>0116</v>
      </c>
      <c r="D20" s="3" t="e">
        <f>'001'!H20</f>
        <v>#VALUE!</v>
      </c>
    </row>
    <row r="21" spans="1:4" x14ac:dyDescent="0.25">
      <c r="A21" s="1" t="str">
        <f>'001'!B21</f>
        <v>000041</v>
      </c>
      <c r="B21" s="1" t="str">
        <f>'001'!C21</f>
        <v>BARNIZ PARA MADERA INTERIOR CRISTALBA PU MATE NATURAL X 1</v>
      </c>
      <c r="C21" s="1" t="str">
        <f>'001'!D21</f>
        <v>0107</v>
      </c>
      <c r="D21" s="3" t="e">
        <f>'001'!H21</f>
        <v>#VALUE!</v>
      </c>
    </row>
    <row r="22" spans="1:4" x14ac:dyDescent="0.25">
      <c r="A22" s="1" t="str">
        <f>'001'!B22</f>
        <v>000042</v>
      </c>
      <c r="B22" s="1" t="str">
        <f>'001'!C22</f>
        <v>BARNIZ PARA MADERA INTERIOR CRISTALBA PU MATE NATURAL X 4</v>
      </c>
      <c r="C22" s="1" t="str">
        <f>'001'!D22</f>
        <v>0107</v>
      </c>
      <c r="D22" s="3" t="e">
        <f>'001'!H22</f>
        <v>#VALUE!</v>
      </c>
    </row>
    <row r="23" spans="1:4" x14ac:dyDescent="0.25">
      <c r="A23" s="1" t="str">
        <f>'001'!B23</f>
        <v>000043</v>
      </c>
      <c r="B23" s="1" t="str">
        <f>'001'!C23</f>
        <v>MEZCLADOR PROFESIONAL(MIXER) Ø8CMX40CM</v>
      </c>
      <c r="C23" s="1" t="str">
        <f>'001'!D23</f>
        <v>0165</v>
      </c>
      <c r="D23" s="3" t="e">
        <f>'001'!H23</f>
        <v>#VALUE!</v>
      </c>
    </row>
    <row r="24" spans="1:4" x14ac:dyDescent="0.25">
      <c r="A24" s="1" t="str">
        <f>'001'!B24</f>
        <v>000044</v>
      </c>
      <c r="B24" s="1" t="str">
        <f>'001'!C24</f>
        <v>PALETA ABRELATA 30CM</v>
      </c>
      <c r="C24" s="1" t="str">
        <f>'001'!D24</f>
        <v>0165</v>
      </c>
      <c r="D24" s="3" t="e">
        <f>'001'!H24</f>
        <v>#VALUE!</v>
      </c>
    </row>
    <row r="25" spans="1:4" x14ac:dyDescent="0.25">
      <c r="A25" s="1" t="str">
        <f>'001'!B25</f>
        <v>000046</v>
      </c>
      <c r="B25" s="1" t="str">
        <f>'001'!C25</f>
        <v>JUEGO DE LAMINAS DE MASILLAR (5-8-10-12)</v>
      </c>
      <c r="C25" s="1" t="str">
        <f>'001'!D25</f>
        <v>0165</v>
      </c>
      <c r="D25" s="3" t="e">
        <f>'001'!H25</f>
        <v>#VALUE!</v>
      </c>
    </row>
    <row r="26" spans="1:4" x14ac:dyDescent="0.25">
      <c r="A26" s="1" t="str">
        <f>'001'!B26</f>
        <v>000050</v>
      </c>
      <c r="B26" s="1" t="str">
        <f>'001'!C26</f>
        <v>TRINCHETA-CUTTER PRO GUIA METAL USO PESADO</v>
      </c>
      <c r="C26" s="1" t="str">
        <f>'001'!D26</f>
        <v>0165</v>
      </c>
      <c r="D26" s="3" t="e">
        <f>'001'!H26</f>
        <v>#VALUE!</v>
      </c>
    </row>
    <row r="27" spans="1:4" x14ac:dyDescent="0.25">
      <c r="A27" s="1" t="str">
        <f>'001'!B27</f>
        <v>000051</v>
      </c>
      <c r="B27" s="1" t="str">
        <f>'001'!C27</f>
        <v>GUANTE NITRILO SOFT NEGRO S/P #XL MEDIGLOVE X 100</v>
      </c>
      <c r="C27" s="1" t="str">
        <f>'001'!D27</f>
        <v>0177</v>
      </c>
      <c r="D27" s="3" t="e">
        <f>'001'!H27</f>
        <v>#VALUE!</v>
      </c>
    </row>
    <row r="28" spans="1:4" x14ac:dyDescent="0.25">
      <c r="A28" s="1" t="str">
        <f>'001'!B28</f>
        <v>000052</v>
      </c>
      <c r="B28" s="1" t="str">
        <f>'001'!C28</f>
        <v>BALDE PLASTICO REFORZADO 8LTS. (BC01)</v>
      </c>
      <c r="C28" s="1" t="str">
        <f>'001'!D28</f>
        <v>0176</v>
      </c>
      <c r="D28" s="3" t="e">
        <f>'001'!H28</f>
        <v>#VALUE!</v>
      </c>
    </row>
    <row r="29" spans="1:4" x14ac:dyDescent="0.25">
      <c r="A29" s="1" t="str">
        <f>'001'!B29</f>
        <v>000054</v>
      </c>
      <c r="B29" s="1" t="str">
        <f>'001'!C29</f>
        <v>BASE ACRILICA-UNIVERSAL MMB X 0,875</v>
      </c>
      <c r="C29" s="1" t="str">
        <f>'001'!D29</f>
        <v>0137</v>
      </c>
      <c r="D29" s="3" t="e">
        <f>'001'!H29</f>
        <v>#VALUE!</v>
      </c>
    </row>
    <row r="30" spans="1:4" x14ac:dyDescent="0.25">
      <c r="A30" s="1" t="str">
        <f>'001'!B30</f>
        <v>000055</v>
      </c>
      <c r="B30" s="1" t="str">
        <f>'001'!C30</f>
        <v>BASE ACRILICA-UNIVERSAL MMB X 3,500</v>
      </c>
      <c r="C30" s="1" t="str">
        <f>'001'!D30</f>
        <v>0137</v>
      </c>
      <c r="D30" s="3" t="e">
        <f>'001'!H30</f>
        <v>#VALUE!</v>
      </c>
    </row>
    <row r="31" spans="1:4" x14ac:dyDescent="0.25">
      <c r="A31" s="1" t="str">
        <f>'001'!B31</f>
        <v>000057</v>
      </c>
      <c r="B31" s="1" t="str">
        <f>'001'!C31</f>
        <v>FONDO ANTIOXIDO UNIVERSAL MMB X 1</v>
      </c>
      <c r="C31" s="1" t="str">
        <f>'001'!D31</f>
        <v>0137</v>
      </c>
      <c r="D31" s="3" t="e">
        <f>'001'!H31</f>
        <v>#VALUE!</v>
      </c>
    </row>
    <row r="32" spans="1:4" x14ac:dyDescent="0.25">
      <c r="A32" s="1" t="str">
        <f>'001'!B32</f>
        <v>000058</v>
      </c>
      <c r="B32" s="1" t="str">
        <f>'001'!C32</f>
        <v>FONDO ANTIOXIDO UNIVERSAL MMB X 4</v>
      </c>
      <c r="C32" s="1" t="str">
        <f>'001'!D32</f>
        <v>0137</v>
      </c>
      <c r="D32" s="3" t="e">
        <f>'001'!H32</f>
        <v>#VALUE!</v>
      </c>
    </row>
    <row r="33" spans="1:4" x14ac:dyDescent="0.25">
      <c r="A33" s="1" t="str">
        <f>'001'!B33</f>
        <v>000059</v>
      </c>
      <c r="B33" s="1" t="str">
        <f>'001'!C33</f>
        <v>MASILLA UNIVERSAL MMB X 1</v>
      </c>
      <c r="C33" s="1" t="str">
        <f>'001'!D33</f>
        <v>0137</v>
      </c>
      <c r="D33" s="3" t="e">
        <f>'001'!H33</f>
        <v>#VALUE!</v>
      </c>
    </row>
    <row r="34" spans="1:4" x14ac:dyDescent="0.25">
      <c r="A34" s="1" t="str">
        <f>'001'!B34</f>
        <v>000060</v>
      </c>
      <c r="B34" s="1" t="str">
        <f>'001'!C34</f>
        <v>MASILLA UNIVERSAL MMB X 4</v>
      </c>
      <c r="C34" s="1" t="str">
        <f>'001'!D34</f>
        <v>0902</v>
      </c>
      <c r="D34" s="3" t="e">
        <f>'001'!H34</f>
        <v>#VALUE!</v>
      </c>
    </row>
    <row r="35" spans="1:4" x14ac:dyDescent="0.25">
      <c r="A35" s="1" t="str">
        <f>'001'!B35</f>
        <v>000065</v>
      </c>
      <c r="B35" s="1" t="str">
        <f>'001'!C35</f>
        <v>LATEX EXTERIOR COLORIN TITANIO PRO BLANCO X 10</v>
      </c>
      <c r="C35" s="1" t="str">
        <f>'001'!D35</f>
        <v>0116</v>
      </c>
      <c r="D35" s="3" t="e">
        <f>'001'!H35</f>
        <v>#VALUE!</v>
      </c>
    </row>
    <row r="36" spans="1:4" x14ac:dyDescent="0.25">
      <c r="A36" s="1" t="str">
        <f>'001'!B36</f>
        <v>000067</v>
      </c>
      <c r="B36" s="1" t="str">
        <f>'001'!C36</f>
        <v>PROTECTOR PARA MADERA CETOL BELLEZA NATURAL MATE INCOLORO X 1</v>
      </c>
      <c r="C36" s="1" t="str">
        <f>'001'!D36</f>
        <v>0105</v>
      </c>
      <c r="D36" s="3" t="e">
        <f>'001'!H36</f>
        <v>#VALUE!</v>
      </c>
    </row>
    <row r="37" spans="1:4" x14ac:dyDescent="0.25">
      <c r="A37" s="1" t="str">
        <f>'001'!B37</f>
        <v>000068</v>
      </c>
      <c r="B37" s="1" t="str">
        <f>'001'!C37</f>
        <v>PROTECTOR PARA MADERA CETOL BELLEZA NATURAL MATE INCOLORO X 4</v>
      </c>
      <c r="C37" s="1" t="str">
        <f>'001'!D37</f>
        <v>0105</v>
      </c>
      <c r="D37" s="3" t="e">
        <f>'001'!H37</f>
        <v>#VALUE!</v>
      </c>
    </row>
    <row r="38" spans="1:4" x14ac:dyDescent="0.25">
      <c r="A38" s="1" t="str">
        <f>'001'!B38</f>
        <v>000071</v>
      </c>
      <c r="B38" s="1" t="str">
        <f>'001'!C38</f>
        <v>CUCHARA WELBY N 7 (CU02)</v>
      </c>
      <c r="C38" s="1" t="str">
        <f>'001'!D38</f>
        <v>0176</v>
      </c>
      <c r="D38" s="3" t="e">
        <f>'001'!H38</f>
        <v>#VALUE!</v>
      </c>
    </row>
    <row r="39" spans="1:4" x14ac:dyDescent="0.25">
      <c r="A39" s="1" t="str">
        <f>'001'!B39</f>
        <v>000072</v>
      </c>
      <c r="B39" s="1" t="str">
        <f>'001'!C39</f>
        <v>ESMALTE SINTETICO TERSUAVE 2EN1 MATE NEGRO X 20</v>
      </c>
      <c r="C39" s="1" t="str">
        <f>'001'!D39</f>
        <v>0152</v>
      </c>
      <c r="D39" s="3" t="e">
        <f>'001'!H39</f>
        <v>#VALUE!</v>
      </c>
    </row>
    <row r="40" spans="1:4" x14ac:dyDescent="0.25">
      <c r="A40" s="1" t="str">
        <f>'001'!B40</f>
        <v>000073</v>
      </c>
      <c r="B40" s="1" t="str">
        <f>'001'!C40</f>
        <v>D8501 PRIMER 2K DP4000 BLANCO AUTONIVELANTE (G1) X 1</v>
      </c>
      <c r="C40" s="1" t="str">
        <f>'001'!D40</f>
        <v>0134</v>
      </c>
      <c r="D40" s="3" t="e">
        <f>'001'!H40</f>
        <v>#VALUE!</v>
      </c>
    </row>
    <row r="41" spans="1:4" x14ac:dyDescent="0.25">
      <c r="A41" s="1" t="str">
        <f>'001'!B41</f>
        <v>000074</v>
      </c>
      <c r="B41" s="1" t="str">
        <f>'001'!C41</f>
        <v>D8507 PRIMER 2K DP4000 GRIS  AUTONIVELANTE (G7) X 1</v>
      </c>
      <c r="C41" s="1" t="str">
        <f>'001'!D41</f>
        <v>0134</v>
      </c>
      <c r="D41" s="3" t="e">
        <f>'001'!H41</f>
        <v>#VALUE!</v>
      </c>
    </row>
    <row r="42" spans="1:4" x14ac:dyDescent="0.25">
      <c r="A42" s="1" t="str">
        <f>'001'!B42</f>
        <v>000075</v>
      </c>
      <c r="B42" s="1" t="str">
        <f>'001'!C42</f>
        <v>D8238 CATALIZADOR P/ D8115 / D8117 / D8501/D8507 (DP4000) X 0,500 "DISCONTINUADO"</v>
      </c>
      <c r="C42" s="1" t="str">
        <f>'001'!D42</f>
        <v>0902</v>
      </c>
      <c r="D42" s="3" t="e">
        <f>'001'!H42</f>
        <v>#VALUE!</v>
      </c>
    </row>
    <row r="43" spans="1:4" x14ac:dyDescent="0.25">
      <c r="A43" s="1" t="str">
        <f>'001'!B43</f>
        <v>000078</v>
      </c>
      <c r="B43" s="1" t="str">
        <f>'001'!C43</f>
        <v>LATEX PARA CIELORRASOS COLORIN MATE BLANCO X 10</v>
      </c>
      <c r="C43" s="1" t="str">
        <f>'001'!D43</f>
        <v>0116</v>
      </c>
      <c r="D43" s="3" t="e">
        <f>'001'!H43</f>
        <v>#VALUE!</v>
      </c>
    </row>
    <row r="44" spans="1:4" x14ac:dyDescent="0.25">
      <c r="A44" s="1" t="str">
        <f>'001'!B44</f>
        <v>000082</v>
      </c>
      <c r="B44" s="1" t="str">
        <f>'001'!C44</f>
        <v>ENDUIDO INTERIOR COLORIN SUPER LIVIANO X 20</v>
      </c>
      <c r="C44" s="1" t="str">
        <f>'001'!D44</f>
        <v>0116</v>
      </c>
      <c r="D44" s="3" t="e">
        <f>'001'!H44</f>
        <v>#VALUE!</v>
      </c>
    </row>
    <row r="45" spans="1:4" x14ac:dyDescent="0.25">
      <c r="A45" s="1" t="str">
        <f>'001'!B45</f>
        <v>000083</v>
      </c>
      <c r="B45" s="1" t="str">
        <f>'001'!C45</f>
        <v>PROTECTOR SUBCARROCERIA MMB ACUOSA NEGRO X 1</v>
      </c>
      <c r="C45" s="1" t="str">
        <f>'001'!D45</f>
        <v>0137</v>
      </c>
      <c r="D45" s="3" t="e">
        <f>'001'!H45</f>
        <v>#VALUE!</v>
      </c>
    </row>
    <row r="46" spans="1:4" x14ac:dyDescent="0.25">
      <c r="A46" s="1" t="str">
        <f>'001'!B46</f>
        <v>000084</v>
      </c>
      <c r="B46" s="1" t="str">
        <f>'001'!C46</f>
        <v>PROTECTOR SUBCARROCERIA MMB ACUOSA BLANCO X 1</v>
      </c>
      <c r="C46" s="1" t="str">
        <f>'001'!D46</f>
        <v>0137</v>
      </c>
      <c r="D46" s="3" t="e">
        <f>'001'!H46</f>
        <v>#VALUE!</v>
      </c>
    </row>
    <row r="47" spans="1:4" x14ac:dyDescent="0.25">
      <c r="A47" s="1" t="str">
        <f>'001'!B47</f>
        <v>000085</v>
      </c>
      <c r="B47" s="1" t="str">
        <f>'001'!C47</f>
        <v>MAGIPLAST ANTI-HONGO X 0,200</v>
      </c>
      <c r="C47" s="1" t="str">
        <f>'001'!D47</f>
        <v>0129</v>
      </c>
      <c r="D47" s="3" t="e">
        <f>'001'!H47</f>
        <v>#VALUE!</v>
      </c>
    </row>
    <row r="48" spans="1:4" x14ac:dyDescent="0.25">
      <c r="A48" s="1" t="str">
        <f>'001'!B48</f>
        <v>000086</v>
      </c>
      <c r="B48" s="1" t="str">
        <f>'001'!C48</f>
        <v>PASTA PULIR MMB FINA X 0,500</v>
      </c>
      <c r="C48" s="1" t="str">
        <f>'001'!D48</f>
        <v>0137</v>
      </c>
      <c r="D48" s="3" t="e">
        <f>'001'!H48</f>
        <v>#VALUE!</v>
      </c>
    </row>
    <row r="49" spans="1:4" x14ac:dyDescent="0.25">
      <c r="A49" s="1" t="str">
        <f>'001'!B49</f>
        <v>000087</v>
      </c>
      <c r="B49" s="1" t="str">
        <f>'001'!C49</f>
        <v>AUTOPOLISH COLORIN CLASICO X 0,450</v>
      </c>
      <c r="C49" s="1" t="str">
        <f>'001'!D49</f>
        <v>0166</v>
      </c>
      <c r="D49" s="3" t="e">
        <f>'001'!H49</f>
        <v>#VALUE!</v>
      </c>
    </row>
    <row r="50" spans="1:4" x14ac:dyDescent="0.25">
      <c r="A50" s="1" t="str">
        <f>'001'!B50</f>
        <v>000088</v>
      </c>
      <c r="B50" s="1" t="str">
        <f>'001'!C50</f>
        <v>REMOVEDOR GEL PETRILAC X 1</v>
      </c>
      <c r="C50" s="1" t="str">
        <f>'001'!D50</f>
        <v>0902</v>
      </c>
      <c r="D50" s="3" t="e">
        <f>'001'!H50</f>
        <v>#VALUE!</v>
      </c>
    </row>
    <row r="51" spans="1:4" x14ac:dyDescent="0.25">
      <c r="A51" s="1" t="str">
        <f>'001'!B51</f>
        <v>000089</v>
      </c>
      <c r="B51" s="1" t="str">
        <f>'001'!C51</f>
        <v>ESMALTE SINTETICO TERSUAVE 2EN1 MATE NEGRO X  0,250</v>
      </c>
      <c r="C51" s="1" t="str">
        <f>'001'!D51</f>
        <v>0152</v>
      </c>
      <c r="D51" s="3" t="e">
        <f>'001'!H51</f>
        <v>#VALUE!</v>
      </c>
    </row>
    <row r="52" spans="1:4" x14ac:dyDescent="0.25">
      <c r="A52" s="1" t="str">
        <f>'001'!B52</f>
        <v>000097</v>
      </c>
      <c r="B52" s="1" t="str">
        <f>'001'!C52</f>
        <v>FIJADOR PARA PARED ALBA AL AGUARRAS X 20</v>
      </c>
      <c r="C52" s="1" t="str">
        <f>'001'!D52</f>
        <v>0107</v>
      </c>
      <c r="D52" s="3" t="e">
        <f>'001'!H52</f>
        <v>#VALUE!</v>
      </c>
    </row>
    <row r="53" spans="1:4" x14ac:dyDescent="0.25">
      <c r="A53" s="1" t="str">
        <f>'001'!B53</f>
        <v>000098</v>
      </c>
      <c r="B53" s="1" t="str">
        <f>'001'!C53</f>
        <v>PROTECTOR SUBCARROCERIAS ACUOSA TERSUAVE NEGRO X 1</v>
      </c>
      <c r="C53" s="1" t="str">
        <f>'001'!D53</f>
        <v>0902</v>
      </c>
      <c r="D53" s="3" t="e">
        <f>'001'!H53</f>
        <v>#VALUE!</v>
      </c>
    </row>
    <row r="54" spans="1:4" x14ac:dyDescent="0.25">
      <c r="A54" s="1" t="str">
        <f>'001'!B54</f>
        <v>000100</v>
      </c>
      <c r="B54" s="1" t="str">
        <f>'001'!C54</f>
        <v>IMPERMEABILIZANTE PARA FRENTES Y MUROS ALBAFRENT MATE BLANCO X 10</v>
      </c>
      <c r="C54" s="1" t="str">
        <f>'001'!D54</f>
        <v>0107</v>
      </c>
      <c r="D54" s="3" t="e">
        <f>'001'!H54</f>
        <v>#VALUE!</v>
      </c>
    </row>
    <row r="55" spans="1:4" x14ac:dyDescent="0.25">
      <c r="A55" s="1" t="str">
        <f>'001'!B55</f>
        <v>000102</v>
      </c>
      <c r="B55" s="1" t="str">
        <f>'001'!C55</f>
        <v>PROMOTOR ADHESION PARA PLASTICO MMB X 1</v>
      </c>
      <c r="C55" s="1" t="str">
        <f>'001'!D55</f>
        <v>0137</v>
      </c>
      <c r="D55" s="3" t="e">
        <f>'001'!H55</f>
        <v>#VALUE!</v>
      </c>
    </row>
    <row r="56" spans="1:4" x14ac:dyDescent="0.25">
      <c r="A56" s="1" t="str">
        <f>'001'!B56</f>
        <v>000103</v>
      </c>
      <c r="B56" s="1" t="str">
        <f>'001'!C56</f>
        <v>LLANA DENTADA SANTA JUANA 30 4X4</v>
      </c>
      <c r="C56" s="1" t="str">
        <f>'001'!D56</f>
        <v>0148</v>
      </c>
      <c r="D56" s="3" t="e">
        <f>'001'!H56</f>
        <v>#VALUE!</v>
      </c>
    </row>
    <row r="57" spans="1:4" x14ac:dyDescent="0.25">
      <c r="A57" s="1" t="str">
        <f>'001'!B57</f>
        <v>000105</v>
      </c>
      <c r="B57" s="1" t="str">
        <f>'001'!C57</f>
        <v>ESMALTE PARA AZULEJOS ALBA AL AGUA BRILLANTE X 0,900</v>
      </c>
      <c r="C57" s="1" t="str">
        <f>'001'!D57</f>
        <v>0107</v>
      </c>
      <c r="D57" s="3" t="e">
        <f>'001'!H57</f>
        <v>#VALUE!</v>
      </c>
    </row>
    <row r="58" spans="1:4" x14ac:dyDescent="0.25">
      <c r="A58" s="1" t="str">
        <f>'001'!B58</f>
        <v>000106</v>
      </c>
      <c r="B58" s="1" t="str">
        <f>'001'!C58</f>
        <v>ESMALTE PARA AZULEJOS ALBA AL AGUA BRILLANTE X 3,600</v>
      </c>
      <c r="C58" s="1" t="str">
        <f>'001'!D58</f>
        <v>0107</v>
      </c>
      <c r="D58" s="3" t="e">
        <f>'001'!H58</f>
        <v>#VALUE!</v>
      </c>
    </row>
    <row r="59" spans="1:4" x14ac:dyDescent="0.25">
      <c r="A59" s="1" t="str">
        <f>'001'!B59</f>
        <v>000108</v>
      </c>
      <c r="B59" s="1" t="str">
        <f>'001'!C59</f>
        <v>CUCHARA WELBY CUCHARIN N 5 1/2 (CU08)</v>
      </c>
      <c r="C59" s="1" t="str">
        <f>'001'!D59</f>
        <v>0176</v>
      </c>
      <c r="D59" s="3" t="e">
        <f>'001'!H59</f>
        <v>#VALUE!</v>
      </c>
    </row>
    <row r="60" spans="1:4" x14ac:dyDescent="0.25">
      <c r="A60" s="1" t="str">
        <f>'001'!B60</f>
        <v>000110</v>
      </c>
      <c r="B60" s="1" t="str">
        <f>'001'!C60</f>
        <v>LATEX INTERIOR ALBALATEX MATE BLANCO X  1</v>
      </c>
      <c r="C60" s="1" t="str">
        <f>'001'!D60</f>
        <v>0107</v>
      </c>
      <c r="D60" s="3" t="e">
        <f>'001'!H60</f>
        <v>#VALUE!</v>
      </c>
    </row>
    <row r="61" spans="1:4" x14ac:dyDescent="0.25">
      <c r="A61" s="1" t="str">
        <f>'001'!B61</f>
        <v>000111</v>
      </c>
      <c r="B61" s="1" t="str">
        <f>'001'!C61</f>
        <v>LATEX INTERIOR ALBALATEX MATE BLANCO X  4</v>
      </c>
      <c r="C61" s="1" t="str">
        <f>'001'!D61</f>
        <v>0107</v>
      </c>
      <c r="D61" s="3" t="e">
        <f>'001'!H61</f>
        <v>#VALUE!</v>
      </c>
    </row>
    <row r="62" spans="1:4" x14ac:dyDescent="0.25">
      <c r="A62" s="1" t="str">
        <f>'001'!B62</f>
        <v>000112</v>
      </c>
      <c r="B62" s="1" t="str">
        <f>'001'!C62</f>
        <v>FRATACHO PLASTICO 30CM CON GOMA ESPUMA (FR08)</v>
      </c>
      <c r="C62" s="1" t="str">
        <f>'001'!D62</f>
        <v>0176</v>
      </c>
      <c r="D62" s="3" t="e">
        <f>'001'!H62</f>
        <v>#VALUE!</v>
      </c>
    </row>
    <row r="63" spans="1:4" x14ac:dyDescent="0.25">
      <c r="A63" s="1" t="str">
        <f>'001'!B63</f>
        <v>000113</v>
      </c>
      <c r="B63" s="1" t="str">
        <f>'001'!C63</f>
        <v>LATEX INTERIOR ALBALATEX MATE BLANCO X 20</v>
      </c>
      <c r="C63" s="1" t="str">
        <f>'001'!D63</f>
        <v>0107</v>
      </c>
      <c r="D63" s="3" t="e">
        <f>'001'!H63</f>
        <v>#VALUE!</v>
      </c>
    </row>
    <row r="64" spans="1:4" x14ac:dyDescent="0.25">
      <c r="A64" s="1" t="str">
        <f>'001'!B64</f>
        <v>000114</v>
      </c>
      <c r="B64" s="1" t="str">
        <f>'001'!C64</f>
        <v>LATEX INTERIOR ALBALATEX DESIGN SATINADO BLANCO X  1</v>
      </c>
      <c r="C64" s="1" t="str">
        <f>'001'!D64</f>
        <v>0107</v>
      </c>
      <c r="D64" s="3" t="e">
        <f>'001'!H64</f>
        <v>#VALUE!</v>
      </c>
    </row>
    <row r="65" spans="1:4" x14ac:dyDescent="0.25">
      <c r="A65" s="1" t="str">
        <f>'001'!B65</f>
        <v>000115</v>
      </c>
      <c r="B65" s="1" t="str">
        <f>'001'!C65</f>
        <v>LATEX INTERIOR ALBALATEX DESIGN SATINADO BLANCO X  4</v>
      </c>
      <c r="C65" s="1" t="str">
        <f>'001'!D65</f>
        <v>0107</v>
      </c>
      <c r="D65" s="3" t="e">
        <f>'001'!H65</f>
        <v>#VALUE!</v>
      </c>
    </row>
    <row r="66" spans="1:4" x14ac:dyDescent="0.25">
      <c r="A66" s="1" t="str">
        <f>'001'!B66</f>
        <v>000116</v>
      </c>
      <c r="B66" s="1" t="str">
        <f>'001'!C66</f>
        <v>LATEX INTERIOR ALBALATEX DESIGN SATINADO BLANCO X 10</v>
      </c>
      <c r="C66" s="1" t="str">
        <f>'001'!D66</f>
        <v>0107</v>
      </c>
      <c r="D66" s="3" t="e">
        <f>'001'!H66</f>
        <v>#VALUE!</v>
      </c>
    </row>
    <row r="67" spans="1:4" x14ac:dyDescent="0.25">
      <c r="A67" s="1" t="str">
        <f>'001'!B67</f>
        <v>000117</v>
      </c>
      <c r="B67" s="1" t="str">
        <f>'001'!C67</f>
        <v>LATEX INTERIOR ALBALATEX DESIGN SATINADO BLANCO X 20</v>
      </c>
      <c r="C67" s="1" t="str">
        <f>'001'!D67</f>
        <v>0107</v>
      </c>
      <c r="D67" s="3" t="e">
        <f>'001'!H67</f>
        <v>#VALUE!</v>
      </c>
    </row>
    <row r="68" spans="1:4" x14ac:dyDescent="0.25">
      <c r="A68" s="1" t="str">
        <f>'001'!B68</f>
        <v>000118</v>
      </c>
      <c r="B68" s="1" t="str">
        <f>'001'!C68</f>
        <v>LATEX PARA CIELORRASOS ALBA MATE BLANCO X  1</v>
      </c>
      <c r="C68" s="1" t="str">
        <f>'001'!D68</f>
        <v>0107</v>
      </c>
      <c r="D68" s="3" t="e">
        <f>'001'!H68</f>
        <v>#VALUE!</v>
      </c>
    </row>
    <row r="69" spans="1:4" x14ac:dyDescent="0.25">
      <c r="A69" s="1" t="str">
        <f>'001'!B69</f>
        <v>000119</v>
      </c>
      <c r="B69" s="1" t="str">
        <f>'001'!C69</f>
        <v>LATEX PARA CIELORRASOS ALBA MATE BLANCO X  4</v>
      </c>
      <c r="C69" s="1" t="str">
        <f>'001'!D69</f>
        <v>0107</v>
      </c>
      <c r="D69" s="3" t="e">
        <f>'001'!H69</f>
        <v>#VALUE!</v>
      </c>
    </row>
    <row r="70" spans="1:4" x14ac:dyDescent="0.25">
      <c r="A70" s="1" t="str">
        <f>'001'!B70</f>
        <v>000120</v>
      </c>
      <c r="B70" s="1" t="str">
        <f>'001'!C70</f>
        <v>FRATACHO DE PINO 30CM (FR11)</v>
      </c>
      <c r="C70" s="1" t="str">
        <f>'001'!D70</f>
        <v>0176</v>
      </c>
      <c r="D70" s="3" t="e">
        <f>'001'!H70</f>
        <v>#VALUE!</v>
      </c>
    </row>
    <row r="71" spans="1:4" x14ac:dyDescent="0.25">
      <c r="A71" s="1" t="str">
        <f>'001'!B71</f>
        <v>000121</v>
      </c>
      <c r="B71" s="1" t="str">
        <f>'001'!C71</f>
        <v>LATEX PARA CIELORRASOS ALBA MATE BLANCO X 20</v>
      </c>
      <c r="C71" s="1" t="str">
        <f>'001'!D71</f>
        <v>0107</v>
      </c>
      <c r="D71" s="3" t="e">
        <f>'001'!H71</f>
        <v>#VALUE!</v>
      </c>
    </row>
    <row r="72" spans="1:4" x14ac:dyDescent="0.25">
      <c r="A72" s="1" t="str">
        <f>'001'!B72</f>
        <v>000124</v>
      </c>
      <c r="B72" s="1" t="str">
        <f>'001'!C72</f>
        <v>AEROSOL RUST-OLEUM IMPRIMANTE PLASTICO PRIMER GRIS X 0,340 (252472/371258)</v>
      </c>
      <c r="C72" s="1" t="str">
        <f>'001'!D72</f>
        <v>0902</v>
      </c>
      <c r="D72" s="3" t="e">
        <f>'001'!H72</f>
        <v>#VALUE!</v>
      </c>
    </row>
    <row r="73" spans="1:4" x14ac:dyDescent="0.25">
      <c r="A73" s="1" t="str">
        <f>'001'!B73</f>
        <v>000128</v>
      </c>
      <c r="B73" s="1" t="str">
        <f>'001'!C73</f>
        <v>LACA PARA PISO PETRILAC PLASTILAC X 1</v>
      </c>
      <c r="C73" s="1" t="str">
        <f>'001'!D73</f>
        <v>0138</v>
      </c>
      <c r="D73" s="3" t="e">
        <f>'001'!H73</f>
        <v>#VALUE!</v>
      </c>
    </row>
    <row r="74" spans="1:4" x14ac:dyDescent="0.25">
      <c r="A74" s="1" t="str">
        <f>'001'!B74</f>
        <v>000129</v>
      </c>
      <c r="B74" s="1" t="str">
        <f>'001'!C74</f>
        <v>LACA PARA PISO PETRILAC PLASTILAC X 4</v>
      </c>
      <c r="C74" s="1" t="str">
        <f>'001'!D74</f>
        <v>0138</v>
      </c>
      <c r="D74" s="3" t="e">
        <f>'001'!H74</f>
        <v>#VALUE!</v>
      </c>
    </row>
    <row r="75" spans="1:4" x14ac:dyDescent="0.25">
      <c r="A75" s="1" t="str">
        <f>'001'!B75</f>
        <v>000130</v>
      </c>
      <c r="B75" s="1" t="str">
        <f>'001'!C75</f>
        <v>ESMALTE SINTETICO TERSUAVE 2EN1 MATE BLANCO X  0,250</v>
      </c>
      <c r="C75" s="1" t="str">
        <f>'001'!D75</f>
        <v>0152</v>
      </c>
      <c r="D75" s="3" t="e">
        <f>'001'!H75</f>
        <v>#VALUE!</v>
      </c>
    </row>
    <row r="76" spans="1:4" x14ac:dyDescent="0.25">
      <c r="A76" s="1" t="str">
        <f>'001'!B76</f>
        <v>000131</v>
      </c>
      <c r="B76" s="1" t="str">
        <f>'001'!C76</f>
        <v>ESMALTE SINTETICO TERSUAVE 2EN1 MATE BLANCO X 20</v>
      </c>
      <c r="C76" s="1" t="str">
        <f>'001'!D76</f>
        <v>0152</v>
      </c>
      <c r="D76" s="3" t="e">
        <f>'001'!H76</f>
        <v>#VALUE!</v>
      </c>
    </row>
    <row r="77" spans="1:4" x14ac:dyDescent="0.25">
      <c r="A77" s="1" t="str">
        <f>'001'!B77</f>
        <v>000132</v>
      </c>
      <c r="B77" s="1" t="str">
        <f>'001'!C77</f>
        <v>LATEX PARA CIELORRASOS ALBA MATE BLANCO X 10</v>
      </c>
      <c r="C77" s="1" t="str">
        <f>'001'!D77</f>
        <v>0107</v>
      </c>
      <c r="D77" s="3" t="e">
        <f>'001'!H77</f>
        <v>#VALUE!</v>
      </c>
    </row>
    <row r="78" spans="1:4" x14ac:dyDescent="0.25">
      <c r="A78" s="1" t="str">
        <f>'001'!B78</f>
        <v>000133</v>
      </c>
      <c r="B78" s="1" t="str">
        <f>'001'!C78</f>
        <v>ENTONADOR UNIVERSAL TONALBA 001 AMARILLO X 0,030</v>
      </c>
      <c r="C78" s="1" t="str">
        <f>'001'!D78</f>
        <v>0107</v>
      </c>
      <c r="D78" s="3" t="e">
        <f>'001'!H78</f>
        <v>#VALUE!</v>
      </c>
    </row>
    <row r="79" spans="1:4" x14ac:dyDescent="0.25">
      <c r="A79" s="1" t="str">
        <f>'001'!B79</f>
        <v>000134</v>
      </c>
      <c r="B79" s="1" t="str">
        <f>'001'!C79</f>
        <v>ENTONADOR UNIVERSAL TONALBA 002 BERMELLON X 0,030</v>
      </c>
      <c r="C79" s="1" t="str">
        <f>'001'!D79</f>
        <v>0107</v>
      </c>
      <c r="D79" s="3" t="e">
        <f>'001'!H79</f>
        <v>#VALUE!</v>
      </c>
    </row>
    <row r="80" spans="1:4" x14ac:dyDescent="0.25">
      <c r="A80" s="1" t="str">
        <f>'001'!B80</f>
        <v>000135</v>
      </c>
      <c r="B80" s="1" t="str">
        <f>'001'!C80</f>
        <v>ENTONADOR UNIVERSAL TONALBA 003 OCRE X 0,030</v>
      </c>
      <c r="C80" s="1" t="str">
        <f>'001'!D80</f>
        <v>0107</v>
      </c>
      <c r="D80" s="3" t="e">
        <f>'001'!H80</f>
        <v>#VALUE!</v>
      </c>
    </row>
    <row r="81" spans="1:4" x14ac:dyDescent="0.25">
      <c r="A81" s="1" t="str">
        <f>'001'!B81</f>
        <v>000136</v>
      </c>
      <c r="B81" s="1" t="str">
        <f>'001'!C81</f>
        <v>ENTONADOR UNIVERSAL TONALBA 004 VERDE CLARO X 0,030</v>
      </c>
      <c r="C81" s="1" t="str">
        <f>'001'!D81</f>
        <v>0107</v>
      </c>
      <c r="D81" s="3" t="e">
        <f>'001'!H81</f>
        <v>#VALUE!</v>
      </c>
    </row>
    <row r="82" spans="1:4" x14ac:dyDescent="0.25">
      <c r="A82" s="1" t="str">
        <f>'001'!B82</f>
        <v>000137</v>
      </c>
      <c r="B82" s="1" t="str">
        <f>'001'!C82</f>
        <v>ENTONADOR UNIVERSAL TONALBA 005 VERDE OSCURO X 0,030</v>
      </c>
      <c r="C82" s="1" t="str">
        <f>'001'!D82</f>
        <v>0107</v>
      </c>
      <c r="D82" s="3" t="e">
        <f>'001'!H82</f>
        <v>#VALUE!</v>
      </c>
    </row>
    <row r="83" spans="1:4" x14ac:dyDescent="0.25">
      <c r="A83" s="1" t="str">
        <f>'001'!B83</f>
        <v>000138</v>
      </c>
      <c r="B83" s="1" t="str">
        <f>'001'!C83</f>
        <v>ENTONADOR UNIVERSAL TONALBA 006 AZUL X 0,030</v>
      </c>
      <c r="C83" s="1" t="str">
        <f>'001'!D83</f>
        <v>0107</v>
      </c>
      <c r="D83" s="3" t="e">
        <f>'001'!H83</f>
        <v>#VALUE!</v>
      </c>
    </row>
    <row r="84" spans="1:4" x14ac:dyDescent="0.25">
      <c r="A84" s="1" t="str">
        <f>'001'!B84</f>
        <v>000139</v>
      </c>
      <c r="B84" s="1" t="str">
        <f>'001'!C84</f>
        <v>ENTONADOR UNIVERSAL TONALBA 007 CEDRO X 0,030</v>
      </c>
      <c r="C84" s="1" t="str">
        <f>'001'!D84</f>
        <v>0107</v>
      </c>
      <c r="D84" s="3" t="e">
        <f>'001'!H84</f>
        <v>#VALUE!</v>
      </c>
    </row>
    <row r="85" spans="1:4" x14ac:dyDescent="0.25">
      <c r="A85" s="1" t="str">
        <f>'001'!B85</f>
        <v>000140</v>
      </c>
      <c r="B85" s="1" t="str">
        <f>'001'!C85</f>
        <v>ENTONADOR UNIVERSAL TONALBA 008 SIENA X 0,030</v>
      </c>
      <c r="C85" s="1" t="str">
        <f>'001'!D85</f>
        <v>0107</v>
      </c>
      <c r="D85" s="3" t="e">
        <f>'001'!H85</f>
        <v>#VALUE!</v>
      </c>
    </row>
    <row r="86" spans="1:4" x14ac:dyDescent="0.25">
      <c r="A86" s="1" t="str">
        <f>'001'!B86</f>
        <v>000141</v>
      </c>
      <c r="B86" s="1" t="str">
        <f>'001'!C86</f>
        <v>ENTONADOR UNIVERSAL TONALBA 009 NEGRO X 0,030</v>
      </c>
      <c r="C86" s="1" t="str">
        <f>'001'!D86</f>
        <v>0107</v>
      </c>
      <c r="D86" s="3" t="e">
        <f>'001'!H86</f>
        <v>#VALUE!</v>
      </c>
    </row>
    <row r="87" spans="1:4" x14ac:dyDescent="0.25">
      <c r="A87" s="1" t="str">
        <f>'001'!B87</f>
        <v>000142</v>
      </c>
      <c r="B87" s="1" t="str">
        <f>'001'!C87</f>
        <v>ENTONADOR UNIVERSAL TONALBA 010 NARANJA X 0,030</v>
      </c>
      <c r="C87" s="1" t="str">
        <f>'001'!D87</f>
        <v>0107</v>
      </c>
      <c r="D87" s="3" t="e">
        <f>'001'!H87</f>
        <v>#VALUE!</v>
      </c>
    </row>
    <row r="88" spans="1:4" x14ac:dyDescent="0.25">
      <c r="A88" s="1" t="str">
        <f>'001'!B88</f>
        <v>000143</v>
      </c>
      <c r="B88" s="1" t="str">
        <f>'001'!C88</f>
        <v>ENTONADOR UNIVERSAL TONALBA 011 VIOLETA X 0,030</v>
      </c>
      <c r="C88" s="1" t="str">
        <f>'001'!D88</f>
        <v>0107</v>
      </c>
      <c r="D88" s="3" t="e">
        <f>'001'!H88</f>
        <v>#VALUE!</v>
      </c>
    </row>
    <row r="89" spans="1:4" x14ac:dyDescent="0.25">
      <c r="A89" s="1" t="str">
        <f>'001'!B89</f>
        <v>000144</v>
      </c>
      <c r="B89" s="1" t="str">
        <f>'001'!C89</f>
        <v>ENTONADOR UNIVERSAL TONALBA 001 AMARILLO X 0,120</v>
      </c>
      <c r="C89" s="1" t="str">
        <f>'001'!D89</f>
        <v>0107</v>
      </c>
      <c r="D89" s="3" t="e">
        <f>'001'!H89</f>
        <v>#VALUE!</v>
      </c>
    </row>
    <row r="90" spans="1:4" x14ac:dyDescent="0.25">
      <c r="A90" s="1" t="str">
        <f>'001'!B90</f>
        <v>000145</v>
      </c>
      <c r="B90" s="1" t="str">
        <f>'001'!C90</f>
        <v>ENTONADOR UNIVERSAL TONALBA 002 BERMELLON X 0,120</v>
      </c>
      <c r="C90" s="1" t="str">
        <f>'001'!D90</f>
        <v>0107</v>
      </c>
      <c r="D90" s="3" t="e">
        <f>'001'!H90</f>
        <v>#VALUE!</v>
      </c>
    </row>
    <row r="91" spans="1:4" x14ac:dyDescent="0.25">
      <c r="A91" s="1" t="str">
        <f>'001'!B91</f>
        <v>000146</v>
      </c>
      <c r="B91" s="1" t="str">
        <f>'001'!C91</f>
        <v>ENTONADOR UNIVERSAL TONALBA 003 OCRE X 0,120</v>
      </c>
      <c r="C91" s="1" t="str">
        <f>'001'!D91</f>
        <v>0107</v>
      </c>
      <c r="D91" s="3" t="e">
        <f>'001'!H91</f>
        <v>#VALUE!</v>
      </c>
    </row>
    <row r="92" spans="1:4" x14ac:dyDescent="0.25">
      <c r="A92" s="1" t="str">
        <f>'001'!B92</f>
        <v>000147</v>
      </c>
      <c r="B92" s="1" t="str">
        <f>'001'!C92</f>
        <v>ENTONADOR UNIVERSAL TONALBA 004 VERDE CLARO X 0,120</v>
      </c>
      <c r="C92" s="1" t="str">
        <f>'001'!D92</f>
        <v>0107</v>
      </c>
      <c r="D92" s="3" t="e">
        <f>'001'!H92</f>
        <v>#VALUE!</v>
      </c>
    </row>
    <row r="93" spans="1:4" x14ac:dyDescent="0.25">
      <c r="A93" s="1" t="str">
        <f>'001'!B93</f>
        <v>000148</v>
      </c>
      <c r="B93" s="1" t="str">
        <f>'001'!C93</f>
        <v>ENTONADOR UNIVERSAL TONALBA 005 VERDE OSCURO X 0,120</v>
      </c>
      <c r="C93" s="1" t="str">
        <f>'001'!D93</f>
        <v>0107</v>
      </c>
      <c r="D93" s="3" t="e">
        <f>'001'!H93</f>
        <v>#VALUE!</v>
      </c>
    </row>
    <row r="94" spans="1:4" x14ac:dyDescent="0.25">
      <c r="A94" s="1" t="str">
        <f>'001'!B94</f>
        <v>000149</v>
      </c>
      <c r="B94" s="1" t="str">
        <f>'001'!C94</f>
        <v>ENTONADOR UNIVERSAL TONALBA 006 AZUL X 0,120</v>
      </c>
      <c r="C94" s="1" t="str">
        <f>'001'!D94</f>
        <v>0107</v>
      </c>
      <c r="D94" s="3" t="e">
        <f>'001'!H94</f>
        <v>#VALUE!</v>
      </c>
    </row>
    <row r="95" spans="1:4" x14ac:dyDescent="0.25">
      <c r="A95" s="1" t="str">
        <f>'001'!B95</f>
        <v>000150</v>
      </c>
      <c r="B95" s="1" t="str">
        <f>'001'!C95</f>
        <v>ENTONADOR UNIVERSAL TONALBA 007 CEDRO X 0,120</v>
      </c>
      <c r="C95" s="1" t="str">
        <f>'001'!D95</f>
        <v>0107</v>
      </c>
      <c r="D95" s="3" t="e">
        <f>'001'!H95</f>
        <v>#VALUE!</v>
      </c>
    </row>
    <row r="96" spans="1:4" x14ac:dyDescent="0.25">
      <c r="A96" s="1" t="str">
        <f>'001'!B96</f>
        <v>000151</v>
      </c>
      <c r="B96" s="1" t="str">
        <f>'001'!C96</f>
        <v>ENTONADOR UNIVERSAL TONALBA 008 SIENA X 0,120</v>
      </c>
      <c r="C96" s="1" t="str">
        <f>'001'!D96</f>
        <v>0107</v>
      </c>
      <c r="D96" s="3" t="e">
        <f>'001'!H96</f>
        <v>#VALUE!</v>
      </c>
    </row>
    <row r="97" spans="1:4" x14ac:dyDescent="0.25">
      <c r="A97" s="1" t="str">
        <f>'001'!B97</f>
        <v>000152</v>
      </c>
      <c r="B97" s="1" t="str">
        <f>'001'!C97</f>
        <v>ENTONADOR UNIVERSAL TONALBA 009 NEGRO X 0,120</v>
      </c>
      <c r="C97" s="1" t="str">
        <f>'001'!D97</f>
        <v>0107</v>
      </c>
      <c r="D97" s="3" t="e">
        <f>'001'!H97</f>
        <v>#VALUE!</v>
      </c>
    </row>
    <row r="98" spans="1:4" x14ac:dyDescent="0.25">
      <c r="A98" s="1" t="str">
        <f>'001'!B98</f>
        <v>000153</v>
      </c>
      <c r="B98" s="1" t="str">
        <f>'001'!C98</f>
        <v>ENTONADOR UNIVERSAL TONALBA 010 NARANJA X 0,120</v>
      </c>
      <c r="C98" s="1" t="str">
        <f>'001'!D98</f>
        <v>0107</v>
      </c>
      <c r="D98" s="3" t="e">
        <f>'001'!H98</f>
        <v>#VALUE!</v>
      </c>
    </row>
    <row r="99" spans="1:4" x14ac:dyDescent="0.25">
      <c r="A99" s="1" t="str">
        <f>'001'!B99</f>
        <v>000154</v>
      </c>
      <c r="B99" s="1" t="str">
        <f>'001'!C99</f>
        <v>ENTONADOR UNIVERSAL TONALBA 011 VIOLETA X 0,120</v>
      </c>
      <c r="C99" s="1" t="str">
        <f>'001'!D99</f>
        <v>0107</v>
      </c>
      <c r="D99" s="3" t="e">
        <f>'001'!H99</f>
        <v>#VALUE!</v>
      </c>
    </row>
    <row r="100" spans="1:4" x14ac:dyDescent="0.25">
      <c r="A100" s="1" t="str">
        <f>'001'!B100</f>
        <v>000158</v>
      </c>
      <c r="B100" s="1" t="str">
        <f>'001'!C100</f>
        <v>ESMALTE SINTETICO SATINOL SATINADO BLANCO X  1</v>
      </c>
      <c r="C100" s="1" t="str">
        <f>'001'!D100</f>
        <v>0107</v>
      </c>
      <c r="D100" s="3" t="e">
        <f>'001'!H100</f>
        <v>#VALUE!</v>
      </c>
    </row>
    <row r="101" spans="1:4" x14ac:dyDescent="0.25">
      <c r="A101" s="1" t="str">
        <f>'001'!B101</f>
        <v>000159</v>
      </c>
      <c r="B101" s="1" t="str">
        <f>'001'!C101</f>
        <v>ESMALTE SINTETICO SATINOL SATINADO BLANCO X  4</v>
      </c>
      <c r="C101" s="1" t="str">
        <f>'001'!D101</f>
        <v>0107</v>
      </c>
      <c r="D101" s="3" t="e">
        <f>'001'!H101</f>
        <v>#VALUE!</v>
      </c>
    </row>
    <row r="102" spans="1:4" x14ac:dyDescent="0.25">
      <c r="A102" s="1" t="str">
        <f>'001'!B102</f>
        <v>000160</v>
      </c>
      <c r="B102" s="1" t="str">
        <f>'001'!C102</f>
        <v>ESMALTE SINTETICO SATINOL SATINADO NEGRO X  0,500</v>
      </c>
      <c r="C102" s="1" t="str">
        <f>'001'!D102</f>
        <v>0107</v>
      </c>
      <c r="D102" s="3" t="e">
        <f>'001'!H102</f>
        <v>#VALUE!</v>
      </c>
    </row>
    <row r="103" spans="1:4" x14ac:dyDescent="0.25">
      <c r="A103" s="1" t="str">
        <f>'001'!B103</f>
        <v>000161</v>
      </c>
      <c r="B103" s="1" t="str">
        <f>'001'!C103</f>
        <v>ESMALTE SINTETICO SATINOL SATINADO NEGRO X  1</v>
      </c>
      <c r="C103" s="1" t="str">
        <f>'001'!D103</f>
        <v>0107</v>
      </c>
      <c r="D103" s="3" t="e">
        <f>'001'!H103</f>
        <v>#VALUE!</v>
      </c>
    </row>
    <row r="104" spans="1:4" x14ac:dyDescent="0.25">
      <c r="A104" s="1" t="str">
        <f>'001'!B104</f>
        <v>000162</v>
      </c>
      <c r="B104" s="1" t="str">
        <f>'001'!C104</f>
        <v>ESMALTE SINTETICO SATINOL SATINADO NEGRO X  4</v>
      </c>
      <c r="C104" s="1" t="str">
        <f>'001'!D104</f>
        <v>0107</v>
      </c>
      <c r="D104" s="3" t="e">
        <f>'001'!H104</f>
        <v>#VALUE!</v>
      </c>
    </row>
    <row r="105" spans="1:4" x14ac:dyDescent="0.25">
      <c r="A105" s="1" t="str">
        <f>'001'!B105</f>
        <v>000163</v>
      </c>
      <c r="B105" s="1" t="str">
        <f>'001'!C105</f>
        <v>AEROSOL RUST-OLEUM PARA PARACHOQUES NEGRO MATE X 0,340 (251574/313551)</v>
      </c>
      <c r="C105" s="1" t="str">
        <f>'001'!D105</f>
        <v>0145</v>
      </c>
      <c r="D105" s="3" t="e">
        <f>'001'!H105</f>
        <v>#VALUE!</v>
      </c>
    </row>
    <row r="106" spans="1:4" x14ac:dyDescent="0.25">
      <c r="A106" s="1" t="str">
        <f>'001'!B106</f>
        <v>000164</v>
      </c>
      <c r="B106" s="1" t="str">
        <f>'001'!C106</f>
        <v>PINTURA PARA PILETA ALBA AL AGUA MATE CELESTE X 10</v>
      </c>
      <c r="C106" s="1" t="str">
        <f>'001'!D106</f>
        <v>0107</v>
      </c>
      <c r="D106" s="3" t="e">
        <f>'001'!H106</f>
        <v>#VALUE!</v>
      </c>
    </row>
    <row r="107" spans="1:4" x14ac:dyDescent="0.25">
      <c r="A107" s="1" t="str">
        <f>'001'!B107</f>
        <v>000165</v>
      </c>
      <c r="B107" s="1" t="str">
        <f>'001'!C107</f>
        <v>LATEX INTERIOR ALBALATEX MATE BLANCO X 10</v>
      </c>
      <c r="C107" s="1" t="str">
        <f>'001'!D107</f>
        <v>0107</v>
      </c>
      <c r="D107" s="3" t="e">
        <f>'001'!H107</f>
        <v>#VALUE!</v>
      </c>
    </row>
    <row r="108" spans="1:4" x14ac:dyDescent="0.25">
      <c r="A108" s="1" t="str">
        <f>'001'!B108</f>
        <v>000167</v>
      </c>
      <c r="B108" s="1" t="str">
        <f>'001'!C108</f>
        <v>BARNIZ PARA MADERA INTERIOR CRISTALBA PU SATINADO NATURAL X 1</v>
      </c>
      <c r="C108" s="1" t="str">
        <f>'001'!D108</f>
        <v>0107</v>
      </c>
      <c r="D108" s="3" t="e">
        <f>'001'!H108</f>
        <v>#VALUE!</v>
      </c>
    </row>
    <row r="109" spans="1:4" x14ac:dyDescent="0.25">
      <c r="A109" s="1" t="str">
        <f>'001'!B109</f>
        <v>000168</v>
      </c>
      <c r="B109" s="1" t="str">
        <f>'001'!C109</f>
        <v>BARNIZ PARA MADERA INTERIOR CRISTALBA PU SATINADO NATURAL X 4</v>
      </c>
      <c r="C109" s="1" t="str">
        <f>'001'!D109</f>
        <v>0107</v>
      </c>
      <c r="D109" s="3" t="e">
        <f>'001'!H109</f>
        <v>#VALUE!</v>
      </c>
    </row>
    <row r="110" spans="1:4" x14ac:dyDescent="0.25">
      <c r="A110" s="1" t="str">
        <f>'001'!B110</f>
        <v>000169</v>
      </c>
      <c r="B110" s="1" t="str">
        <f>'001'!C110</f>
        <v>ESMALTE SINTETICO ALBALUX BRILLANTE BLANCO X  0,250</v>
      </c>
      <c r="C110" s="1" t="str">
        <f>'001'!D110</f>
        <v>0107</v>
      </c>
      <c r="D110" s="3" t="e">
        <f>'001'!H110</f>
        <v>#VALUE!</v>
      </c>
    </row>
    <row r="111" spans="1:4" x14ac:dyDescent="0.25">
      <c r="A111" s="1" t="str">
        <f>'001'!B111</f>
        <v>000170</v>
      </c>
      <c r="B111" s="1" t="str">
        <f>'001'!C111</f>
        <v>ESMALTE SINTETICO ALBALUX BRILLANTE BLANCO X  0,500</v>
      </c>
      <c r="C111" s="1" t="str">
        <f>'001'!D111</f>
        <v>0107</v>
      </c>
      <c r="D111" s="3" t="e">
        <f>'001'!H111</f>
        <v>#VALUE!</v>
      </c>
    </row>
    <row r="112" spans="1:4" x14ac:dyDescent="0.25">
      <c r="A112" s="1" t="str">
        <f>'001'!B112</f>
        <v>000171</v>
      </c>
      <c r="B112" s="1" t="str">
        <f>'001'!C112</f>
        <v>ESMALTE SINTETICO ALBALUX BRILLANTE BLANCO X  1</v>
      </c>
      <c r="C112" s="1" t="str">
        <f>'001'!D112</f>
        <v>0107</v>
      </c>
      <c r="D112" s="3" t="e">
        <f>'001'!H112</f>
        <v>#VALUE!</v>
      </c>
    </row>
    <row r="113" spans="1:4" x14ac:dyDescent="0.25">
      <c r="A113" s="1" t="str">
        <f>'001'!B113</f>
        <v>000172</v>
      </c>
      <c r="B113" s="1" t="str">
        <f>'001'!C113</f>
        <v>ESMALTE SINTETICO ALBALUX BRILLANTE BLANCO X  4</v>
      </c>
      <c r="C113" s="1" t="str">
        <f>'001'!D113</f>
        <v>0107</v>
      </c>
      <c r="D113" s="3" t="e">
        <f>'001'!H113</f>
        <v>#VALUE!</v>
      </c>
    </row>
    <row r="114" spans="1:4" x14ac:dyDescent="0.25">
      <c r="A114" s="1" t="str">
        <f>'001'!B114</f>
        <v>000173</v>
      </c>
      <c r="B114" s="1" t="str">
        <f>'001'!C114</f>
        <v>ESMALTE SINTETICO ALBALUX BRILLANTE BLANCO X 20</v>
      </c>
      <c r="C114" s="1" t="str">
        <f>'001'!D114</f>
        <v>0107</v>
      </c>
      <c r="D114" s="3" t="e">
        <f>'001'!H114</f>
        <v>#VALUE!</v>
      </c>
    </row>
    <row r="115" spans="1:4" x14ac:dyDescent="0.25">
      <c r="A115" s="1" t="str">
        <f>'001'!B115</f>
        <v>000174</v>
      </c>
      <c r="B115" s="1" t="str">
        <f>'001'!C115</f>
        <v>AEROSOL RUST-OLEUM TERMINACION MATE NEGRO X 0,340 (263422)</v>
      </c>
      <c r="C115" s="1" t="str">
        <f>'001'!D115</f>
        <v>0145</v>
      </c>
      <c r="D115" s="3" t="e">
        <f>'001'!H115</f>
        <v>#VALUE!</v>
      </c>
    </row>
    <row r="116" spans="1:4" x14ac:dyDescent="0.25">
      <c r="A116" s="1" t="str">
        <f>'001'!B116</f>
        <v>000176</v>
      </c>
      <c r="B116" s="1" t="str">
        <f>'001'!C116</f>
        <v>LATEX INTERIOR ALBA ANTIHONGO BANO/COCINA BLANCO X 1</v>
      </c>
      <c r="C116" s="1" t="str">
        <f>'001'!D116</f>
        <v>0107</v>
      </c>
      <c r="D116" s="3" t="e">
        <f>'001'!H116</f>
        <v>#VALUE!</v>
      </c>
    </row>
    <row r="117" spans="1:4" x14ac:dyDescent="0.25">
      <c r="A117" s="1" t="str">
        <f>'001'!B117</f>
        <v>000177</v>
      </c>
      <c r="B117" s="1" t="str">
        <f>'001'!C117</f>
        <v>LATEX INTERIOR ALBA ANTIHONGO BANO/COCINA BLANCO X 4</v>
      </c>
      <c r="C117" s="1" t="str">
        <f>'001'!D117</f>
        <v>0107</v>
      </c>
      <c r="D117" s="3" t="e">
        <f>'001'!H117</f>
        <v>#VALUE!</v>
      </c>
    </row>
    <row r="118" spans="1:4" x14ac:dyDescent="0.25">
      <c r="A118" s="1" t="str">
        <f>'001'!B118</f>
        <v>000178</v>
      </c>
      <c r="B118" s="1" t="str">
        <f>'001'!C118</f>
        <v>FIJADOR PARA PARED ALBA AL AGUARRAS X  1</v>
      </c>
      <c r="C118" s="1" t="str">
        <f>'001'!D118</f>
        <v>0107</v>
      </c>
      <c r="D118" s="3" t="e">
        <f>'001'!H118</f>
        <v>#VALUE!</v>
      </c>
    </row>
    <row r="119" spans="1:4" x14ac:dyDescent="0.25">
      <c r="A119" s="1" t="str">
        <f>'001'!B119</f>
        <v>000179</v>
      </c>
      <c r="B119" s="1" t="str">
        <f>'001'!C119</f>
        <v>FIJADOR PARA PARED ALBA AL AGUARRAS X  4</v>
      </c>
      <c r="C119" s="1" t="str">
        <f>'001'!D119</f>
        <v>0107</v>
      </c>
      <c r="D119" s="3" t="e">
        <f>'001'!H119</f>
        <v>#VALUE!</v>
      </c>
    </row>
    <row r="120" spans="1:4" x14ac:dyDescent="0.25">
      <c r="A120" s="1" t="str">
        <f>'001'!B120</f>
        <v>000180</v>
      </c>
      <c r="B120" s="1" t="str">
        <f>'001'!C120</f>
        <v>ENDUIDO INTERIOR ALBAPLAST X  1</v>
      </c>
      <c r="C120" s="1" t="str">
        <f>'001'!D120</f>
        <v>0107</v>
      </c>
      <c r="D120" s="3" t="e">
        <f>'001'!H120</f>
        <v>#VALUE!</v>
      </c>
    </row>
    <row r="121" spans="1:4" x14ac:dyDescent="0.25">
      <c r="A121" s="1" t="str">
        <f>'001'!B121</f>
        <v>000181</v>
      </c>
      <c r="B121" s="1" t="str">
        <f>'001'!C121</f>
        <v>ENDUIDO INTERIOR ALBAPLAST X  4</v>
      </c>
      <c r="C121" s="1" t="str">
        <f>'001'!D121</f>
        <v>0107</v>
      </c>
      <c r="D121" s="3" t="e">
        <f>'001'!H121</f>
        <v>#VALUE!</v>
      </c>
    </row>
    <row r="122" spans="1:4" x14ac:dyDescent="0.25">
      <c r="A122" s="1" t="str">
        <f>'001'!B122</f>
        <v>000182</v>
      </c>
      <c r="B122" s="1" t="str">
        <f>'001'!C122</f>
        <v>ENDUIDO EXTERIOR ALBA X  1</v>
      </c>
      <c r="C122" s="1" t="str">
        <f>'001'!D122</f>
        <v>0107</v>
      </c>
      <c r="D122" s="3" t="e">
        <f>'001'!H122</f>
        <v>#VALUE!</v>
      </c>
    </row>
    <row r="123" spans="1:4" x14ac:dyDescent="0.25">
      <c r="A123" s="1" t="str">
        <f>'001'!B123</f>
        <v>000183</v>
      </c>
      <c r="B123" s="1" t="str">
        <f>'001'!C123</f>
        <v>ENDUIDO EXTERIOR ALBA X  4</v>
      </c>
      <c r="C123" s="1" t="str">
        <f>'001'!D123</f>
        <v>0107</v>
      </c>
      <c r="D123" s="3" t="e">
        <f>'001'!H123</f>
        <v>#VALUE!</v>
      </c>
    </row>
    <row r="124" spans="1:4" x14ac:dyDescent="0.25">
      <c r="A124" s="1" t="str">
        <f>'001'!B124</f>
        <v>000185</v>
      </c>
      <c r="B124" s="1" t="str">
        <f>'001'!C124</f>
        <v>AEROSOL RUST-OLEUM PARA PLASTICO BRILLANTE NEGRO X 0,340 (248649)</v>
      </c>
      <c r="C124" s="1" t="str">
        <f>'001'!D124</f>
        <v>0145</v>
      </c>
      <c r="D124" s="3" t="e">
        <f>'001'!H124</f>
        <v>#VALUE!</v>
      </c>
    </row>
    <row r="125" spans="1:4" x14ac:dyDescent="0.25">
      <c r="A125" s="1" t="str">
        <f>'001'!B125</f>
        <v>000189</v>
      </c>
      <c r="B125" s="1" t="str">
        <f>'001'!C125</f>
        <v>AEROSOL RUST-OLEUM PARA PLASTICO BRILLANTE ROJO X 0,340 (248651)</v>
      </c>
      <c r="C125" s="1" t="str">
        <f>'001'!D125</f>
        <v>0902</v>
      </c>
      <c r="D125" s="3" t="e">
        <f>'001'!H125</f>
        <v>#VALUE!</v>
      </c>
    </row>
    <row r="126" spans="1:4" x14ac:dyDescent="0.25">
      <c r="A126" s="1" t="str">
        <f>'001'!B126</f>
        <v>000193</v>
      </c>
      <c r="B126" s="1" t="str">
        <f>'001'!C126</f>
        <v>FONDO PARA MADERA ALBA BLANCO X 20</v>
      </c>
      <c r="C126" s="1" t="str">
        <f>'001'!D126</f>
        <v>0107</v>
      </c>
      <c r="D126" s="3" t="e">
        <f>'001'!H126</f>
        <v>#VALUE!</v>
      </c>
    </row>
    <row r="127" spans="1:4" x14ac:dyDescent="0.25">
      <c r="A127" s="1" t="str">
        <f>'001'!B127</f>
        <v>000194</v>
      </c>
      <c r="B127" s="1" t="str">
        <f>'001'!C127</f>
        <v>FRATACHO DE PINO 30CM CON FIELTRO (FR16)</v>
      </c>
      <c r="C127" s="1" t="str">
        <f>'001'!D127</f>
        <v>0176</v>
      </c>
      <c r="D127" s="3" t="e">
        <f>'001'!H127</f>
        <v>#VALUE!</v>
      </c>
    </row>
    <row r="128" spans="1:4" x14ac:dyDescent="0.25">
      <c r="A128" s="1" t="str">
        <f>'001'!B128</f>
        <v>000195</v>
      </c>
      <c r="B128" s="1" t="str">
        <f>'001'!C128</f>
        <v>FONDO ANTIOXIDO ALBA ROJO X  0,500</v>
      </c>
      <c r="C128" s="1" t="str">
        <f>'001'!D128</f>
        <v>0107</v>
      </c>
      <c r="D128" s="3" t="e">
        <f>'001'!H128</f>
        <v>#VALUE!</v>
      </c>
    </row>
    <row r="129" spans="1:4" x14ac:dyDescent="0.25">
      <c r="A129" s="1" t="str">
        <f>'001'!B129</f>
        <v>000196</v>
      </c>
      <c r="B129" s="1" t="str">
        <f>'001'!C129</f>
        <v>FONDO ANTIOXIDO ALBA ROJO X  1</v>
      </c>
      <c r="C129" s="1" t="str">
        <f>'001'!D129</f>
        <v>0902</v>
      </c>
      <c r="D129" s="3" t="e">
        <f>'001'!H129</f>
        <v>#VALUE!</v>
      </c>
    </row>
    <row r="130" spans="1:4" x14ac:dyDescent="0.25">
      <c r="A130" s="1" t="str">
        <f>'001'!B130</f>
        <v>000197</v>
      </c>
      <c r="B130" s="1" t="str">
        <f>'001'!C130</f>
        <v>FONDO ANTIOXIDO ALBA ROJO X  4</v>
      </c>
      <c r="C130" s="1" t="str">
        <f>'001'!D130</f>
        <v>0902</v>
      </c>
      <c r="D130" s="3" t="e">
        <f>'001'!H130</f>
        <v>#VALUE!</v>
      </c>
    </row>
    <row r="131" spans="1:4" x14ac:dyDescent="0.25">
      <c r="A131" s="1" t="str">
        <f>'001'!B131</f>
        <v>000198</v>
      </c>
      <c r="B131" s="1" t="str">
        <f>'001'!C131</f>
        <v>FONDO ANTIOXIDO ALBA ROJO X 20</v>
      </c>
      <c r="C131" s="1" t="str">
        <f>'001'!D131</f>
        <v>0107</v>
      </c>
      <c r="D131" s="3" t="e">
        <f>'001'!H131</f>
        <v>#VALUE!</v>
      </c>
    </row>
    <row r="132" spans="1:4" x14ac:dyDescent="0.25">
      <c r="A132" s="1" t="str">
        <f>'001'!B132</f>
        <v>000199</v>
      </c>
      <c r="B132" s="1" t="str">
        <f>'001'!C132</f>
        <v>FONDO PARA MADERA ALBA BLANCO X  0,500</v>
      </c>
      <c r="C132" s="1" t="str">
        <f>'001'!D132</f>
        <v>0107</v>
      </c>
      <c r="D132" s="3" t="e">
        <f>'001'!H132</f>
        <v>#VALUE!</v>
      </c>
    </row>
    <row r="133" spans="1:4" x14ac:dyDescent="0.25">
      <c r="A133" s="1" t="str">
        <f>'001'!B133</f>
        <v>000200</v>
      </c>
      <c r="B133" s="1" t="str">
        <f>'001'!C133</f>
        <v>FONDO PARA MADERA ALBA BLANCO X  1</v>
      </c>
      <c r="C133" s="1" t="str">
        <f>'001'!D133</f>
        <v>0107</v>
      </c>
      <c r="D133" s="3" t="e">
        <f>'001'!H133</f>
        <v>#VALUE!</v>
      </c>
    </row>
    <row r="134" spans="1:4" x14ac:dyDescent="0.25">
      <c r="A134" s="1" t="str">
        <f>'001'!B134</f>
        <v>000201</v>
      </c>
      <c r="B134" s="1" t="str">
        <f>'001'!C134</f>
        <v>FONDO PARA MADERA ALBA BLANCO X  4</v>
      </c>
      <c r="C134" s="1" t="str">
        <f>'001'!D134</f>
        <v>0107</v>
      </c>
      <c r="D134" s="3" t="e">
        <f>'001'!H134</f>
        <v>#VALUE!</v>
      </c>
    </row>
    <row r="135" spans="1:4" x14ac:dyDescent="0.25">
      <c r="A135" s="1" t="str">
        <f>'001'!B135</f>
        <v>000203</v>
      </c>
      <c r="B135" s="1" t="str">
        <f>'001'!C135</f>
        <v>BARNIZ PARA MADERA EXTERIOR ALBATROS BRILLANTE DOBLE VIDA INCOLORO X 0,500</v>
      </c>
      <c r="C135" s="1" t="str">
        <f>'001'!D135</f>
        <v>0902</v>
      </c>
      <c r="D135" s="3" t="e">
        <f>'001'!H135</f>
        <v>#VALUE!</v>
      </c>
    </row>
    <row r="136" spans="1:4" x14ac:dyDescent="0.25">
      <c r="A136" s="1" t="str">
        <f>'001'!B136</f>
        <v>000204</v>
      </c>
      <c r="B136" s="1" t="str">
        <f>'001'!C136</f>
        <v>BARNIZ PARA MADERA EXTERIOR ALBATROS BRILLANTE NATURAL X  1</v>
      </c>
      <c r="C136" s="1" t="str">
        <f>'001'!D136</f>
        <v>0107</v>
      </c>
      <c r="D136" s="3" t="e">
        <f>'001'!H136</f>
        <v>#VALUE!</v>
      </c>
    </row>
    <row r="137" spans="1:4" x14ac:dyDescent="0.25">
      <c r="A137" s="1" t="str">
        <f>'001'!B137</f>
        <v>000205</v>
      </c>
      <c r="B137" s="1" t="str">
        <f>'001'!C137</f>
        <v>BARNIZ PARA MADERA EXTERIOR ALBATROS BRILLANTE NATURAL X  4</v>
      </c>
      <c r="C137" s="1" t="str">
        <f>'001'!D137</f>
        <v>0107</v>
      </c>
      <c r="D137" s="3" t="e">
        <f>'001'!H137</f>
        <v>#VALUE!</v>
      </c>
    </row>
    <row r="138" spans="1:4" x14ac:dyDescent="0.25">
      <c r="A138" s="1" t="str">
        <f>'001'!B138</f>
        <v>000208</v>
      </c>
      <c r="B138" s="1" t="str">
        <f>'001'!C138</f>
        <v>BARNIZ PARA MADERA INTERIOR CRISTALBA PU BRILLANTE NATURAL X  1</v>
      </c>
      <c r="C138" s="1" t="str">
        <f>'001'!D138</f>
        <v>0107</v>
      </c>
      <c r="D138" s="3" t="e">
        <f>'001'!H138</f>
        <v>#VALUE!</v>
      </c>
    </row>
    <row r="139" spans="1:4" x14ac:dyDescent="0.25">
      <c r="A139" s="1" t="str">
        <f>'001'!B139</f>
        <v>000209</v>
      </c>
      <c r="B139" s="1" t="str">
        <f>'001'!C139</f>
        <v>BARNIZ PARA MADERA INTERIOR CRISTALBA PU BRILLANTE NATURAL X  4</v>
      </c>
      <c r="C139" s="1" t="str">
        <f>'001'!D139</f>
        <v>0107</v>
      </c>
      <c r="D139" s="3" t="e">
        <f>'001'!H139</f>
        <v>#VALUE!</v>
      </c>
    </row>
    <row r="140" spans="1:4" x14ac:dyDescent="0.25">
      <c r="A140" s="1" t="str">
        <f>'001'!B140</f>
        <v>000211</v>
      </c>
      <c r="B140" s="1" t="str">
        <f>'001'!C140</f>
        <v>DISCO REMOVEDOR DE ADHESIVO 89X</v>
      </c>
      <c r="C140" s="1" t="str">
        <f>'001'!D140</f>
        <v>0102</v>
      </c>
      <c r="D140" s="3" t="e">
        <f>'001'!H140</f>
        <v>#VALUE!</v>
      </c>
    </row>
    <row r="141" spans="1:4" x14ac:dyDescent="0.25">
      <c r="A141" s="1" t="str">
        <f>'001'!B141</f>
        <v>000216</v>
      </c>
      <c r="B141" s="1" t="str">
        <f>'001'!C141</f>
        <v>AGITADOR MANUAL PARA PINTURAS</v>
      </c>
      <c r="C141" s="1" t="str">
        <f>'001'!D141</f>
        <v>0103</v>
      </c>
      <c r="D141" s="3" t="e">
        <f>'001'!H141</f>
        <v>#VALUE!</v>
      </c>
    </row>
    <row r="142" spans="1:4" x14ac:dyDescent="0.25">
      <c r="A142" s="1" t="str">
        <f>'001'!B142</f>
        <v>000217</v>
      </c>
      <c r="B142" s="1" t="str">
        <f>'001'!C142</f>
        <v>COLA PAPEL COLVINIL X 0,250</v>
      </c>
      <c r="C142" s="1" t="str">
        <f>'001'!D142</f>
        <v>0119</v>
      </c>
      <c r="D142" s="3" t="e">
        <f>'001'!H142</f>
        <v>#VALUE!</v>
      </c>
    </row>
    <row r="143" spans="1:4" x14ac:dyDescent="0.25">
      <c r="A143" s="1" t="str">
        <f>'001'!B143</f>
        <v>000218</v>
      </c>
      <c r="B143" s="1" t="str">
        <f>'001'!C143</f>
        <v>PM01.04 PRIMER MULTIFILLER 1K ACS X 0.900</v>
      </c>
      <c r="C143" s="1" t="str">
        <f>'001'!D143</f>
        <v>0132</v>
      </c>
      <c r="D143" s="3" t="e">
        <f>'001'!H143</f>
        <v>#VALUE!</v>
      </c>
    </row>
    <row r="144" spans="1:4" x14ac:dyDescent="0.25">
      <c r="A144" s="1" t="str">
        <f>'001'!B144</f>
        <v>000219</v>
      </c>
      <c r="B144" s="1" t="str">
        <f>'001'!C144</f>
        <v>COLA PAPEL COLVINIL X 0,500</v>
      </c>
      <c r="C144" s="1" t="str">
        <f>'001'!D144</f>
        <v>0119</v>
      </c>
      <c r="D144" s="3" t="e">
        <f>'001'!H144</f>
        <v>#VALUE!</v>
      </c>
    </row>
    <row r="145" spans="1:4" x14ac:dyDescent="0.25">
      <c r="A145" s="1" t="str">
        <f>'001'!B145</f>
        <v>000220</v>
      </c>
      <c r="B145" s="1" t="str">
        <f>'001'!C145</f>
        <v>FBR551 CLEAR EPOXI MAXIPISO X 20</v>
      </c>
      <c r="C145" s="1" t="str">
        <f>'001'!D145</f>
        <v>0133</v>
      </c>
      <c r="D145" s="3" t="e">
        <f>'001'!H145</f>
        <v>#VALUE!</v>
      </c>
    </row>
    <row r="146" spans="1:4" x14ac:dyDescent="0.25">
      <c r="A146" s="1" t="str">
        <f>'001'!B146</f>
        <v>000221</v>
      </c>
      <c r="B146" s="1" t="str">
        <f>'001'!C146</f>
        <v>FBR560 ENDURECEDOR EPOXI MAXIPISO X 0,600</v>
      </c>
      <c r="C146" s="1" t="str">
        <f>'001'!D146</f>
        <v>0133</v>
      </c>
      <c r="D146" s="3" t="e">
        <f>'001'!H146</f>
        <v>#VALUE!</v>
      </c>
    </row>
    <row r="147" spans="1:4" x14ac:dyDescent="0.25">
      <c r="A147" s="1" t="str">
        <f>'001'!B147</f>
        <v>000222</v>
      </c>
      <c r="B147" s="1" t="str">
        <f>'001'!C147</f>
        <v>FBR100 PRIMER PU DIRECTO METAL X 20</v>
      </c>
      <c r="C147" s="1" t="str">
        <f>'001'!D147</f>
        <v>0133</v>
      </c>
      <c r="D147" s="3" t="e">
        <f>'001'!H147</f>
        <v>#VALUE!</v>
      </c>
    </row>
    <row r="148" spans="1:4" x14ac:dyDescent="0.25">
      <c r="A148" s="1" t="str">
        <f>'001'!B148</f>
        <v>000223</v>
      </c>
      <c r="B148" s="1" t="str">
        <f>'001'!C148</f>
        <v>PISTOLA PARA PINTAR EXPERTO SISTEMA HVLP 600 PICO 1.4 (383058)</v>
      </c>
      <c r="C148" s="1" t="str">
        <f>'001'!D148</f>
        <v>0180</v>
      </c>
      <c r="D148" s="3" t="e">
        <f>'001'!H148</f>
        <v>#VALUE!</v>
      </c>
    </row>
    <row r="149" spans="1:4" x14ac:dyDescent="0.25">
      <c r="A149" s="1" t="str">
        <f>'001'!B149</f>
        <v>000224</v>
      </c>
      <c r="B149" s="1" t="str">
        <f>'001'!C149</f>
        <v>PISTOLA PARA PINTAR EXPERTO SISTEMA HVLP 2EN1 PREMIUM 600 PICO 1.3 (383147)</v>
      </c>
      <c r="C149" s="1" t="str">
        <f>'001'!D149</f>
        <v>0180</v>
      </c>
      <c r="D149" s="3" t="e">
        <f>'001'!H149</f>
        <v>#VALUE!</v>
      </c>
    </row>
    <row r="150" spans="1:4" x14ac:dyDescent="0.25">
      <c r="A150" s="1" t="str">
        <f>'001'!B150</f>
        <v>000225</v>
      </c>
      <c r="B150" s="1" t="str">
        <f>'001'!C150</f>
        <v>PM01.01 PRIMER MULTIFILLER 1K ACS X 3.500</v>
      </c>
      <c r="C150" s="1" t="str">
        <f>'001'!D150</f>
        <v>0132</v>
      </c>
      <c r="D150" s="3" t="e">
        <f>'001'!H150</f>
        <v>#VALUE!</v>
      </c>
    </row>
    <row r="151" spans="1:4" x14ac:dyDescent="0.25">
      <c r="A151" s="1" t="str">
        <f>'001'!B151</f>
        <v>000226</v>
      </c>
      <c r="B151" s="1" t="str">
        <f>'001'!C151</f>
        <v>PISTOLA PARA SUBCARROCERIA EXPERTO 50MM (387711)</v>
      </c>
      <c r="C151" s="1" t="str">
        <f>'001'!D151</f>
        <v>0180</v>
      </c>
      <c r="D151" s="3" t="e">
        <f>'001'!H151</f>
        <v>#VALUE!</v>
      </c>
    </row>
    <row r="152" spans="1:4" x14ac:dyDescent="0.25">
      <c r="A152" s="1" t="str">
        <f>'001'!B152</f>
        <v>000227</v>
      </c>
      <c r="B152" s="1" t="str">
        <f>'001'!C152</f>
        <v>V21.08 BARNIZ HS ACS EVOLUTION X 4</v>
      </c>
      <c r="C152" s="1" t="str">
        <f>'001'!D152</f>
        <v>0132</v>
      </c>
      <c r="D152" s="3" t="e">
        <f>'001'!H152</f>
        <v>#VALUE!</v>
      </c>
    </row>
    <row r="153" spans="1:4" x14ac:dyDescent="0.25">
      <c r="A153" s="1" t="str">
        <f>'001'!B153</f>
        <v>000228</v>
      </c>
      <c r="B153" s="1" t="str">
        <f>'001'!C153</f>
        <v>EC800.01 BARNIZ DE SECADO ULTRA RAPIDO EHP X 3.785</v>
      </c>
      <c r="C153" s="1" t="str">
        <f>'001'!D153</f>
        <v>0169</v>
      </c>
      <c r="D153" s="3" t="e">
        <f>'001'!H153</f>
        <v>#VALUE!</v>
      </c>
    </row>
    <row r="154" spans="1:4" x14ac:dyDescent="0.25">
      <c r="A154" s="1" t="str">
        <f>'001'!B154</f>
        <v>000229</v>
      </c>
      <c r="B154" s="1" t="str">
        <f>'001'!C154</f>
        <v>ECH8075.900 CATALIZADOR PARA BARNIZ EC800 EHP X 0.946</v>
      </c>
      <c r="C154" s="1" t="str">
        <f>'001'!D154</f>
        <v>0169</v>
      </c>
      <c r="D154" s="3" t="e">
        <f>'001'!H154</f>
        <v>#VALUE!</v>
      </c>
    </row>
    <row r="155" spans="1:4" x14ac:dyDescent="0.25">
      <c r="A155" s="1" t="str">
        <f>'001'!B155</f>
        <v>000230</v>
      </c>
      <c r="B155" s="1" t="str">
        <f>'001'!C155</f>
        <v>REGULADOR DE AIRE EXPERTO CON MANOMETRO (383074)</v>
      </c>
      <c r="C155" s="1" t="str">
        <f>'001'!D155</f>
        <v>0180</v>
      </c>
      <c r="D155" s="3" t="e">
        <f>'001'!H155</f>
        <v>#VALUE!</v>
      </c>
    </row>
    <row r="156" spans="1:4" x14ac:dyDescent="0.25">
      <c r="A156" s="1" t="str">
        <f>'001'!B156</f>
        <v>000234</v>
      </c>
      <c r="B156" s="1" t="str">
        <f>'001'!C156</f>
        <v>AUTOPOLISH COLORIN AUTOCERA EXPRESS X 0,450</v>
      </c>
      <c r="C156" s="1" t="str">
        <f>'001'!D156</f>
        <v>0166</v>
      </c>
      <c r="D156" s="3" t="e">
        <f>'001'!H156</f>
        <v>#VALUE!</v>
      </c>
    </row>
    <row r="157" spans="1:4" x14ac:dyDescent="0.25">
      <c r="A157" s="1" t="str">
        <f>'001'!B157</f>
        <v>000235</v>
      </c>
      <c r="B157" s="1" t="str">
        <f>'001'!C157</f>
        <v>PAPEL DAMERO - DOXG1G7</v>
      </c>
      <c r="C157" s="1" t="str">
        <f>'001'!D157</f>
        <v>0134</v>
      </c>
      <c r="D157" s="3" t="e">
        <f>'001'!H157</f>
        <v>#VALUE!</v>
      </c>
    </row>
    <row r="158" spans="1:4" x14ac:dyDescent="0.25">
      <c r="A158" s="1" t="str">
        <f>'001'!B158</f>
        <v>000237</v>
      </c>
      <c r="B158" s="1" t="str">
        <f>'001'!C158</f>
        <v>IMPERMEABILIZANTE PARA TECHOS PLAVICON TAPATODO MEMBRANA BLANCO X  5</v>
      </c>
      <c r="C158" s="1" t="str">
        <f>'001'!D158</f>
        <v>0139</v>
      </c>
      <c r="D158" s="3" t="e">
        <f>'001'!H158</f>
        <v>#VALUE!</v>
      </c>
    </row>
    <row r="159" spans="1:4" x14ac:dyDescent="0.25">
      <c r="A159" s="1" t="str">
        <f>'001'!B159</f>
        <v>000239</v>
      </c>
      <c r="B159" s="1" t="str">
        <f>'001'!C159</f>
        <v>IMPERMEABILIZANTE PARA TECHOS PLAVICON TAPATODO MEMBRANA BLANCO X 20</v>
      </c>
      <c r="C159" s="1" t="str">
        <f>'001'!D159</f>
        <v>0139</v>
      </c>
      <c r="D159" s="3" t="e">
        <f>'001'!H159</f>
        <v>#VALUE!</v>
      </c>
    </row>
    <row r="160" spans="1:4" x14ac:dyDescent="0.25">
      <c r="A160" s="1" t="str">
        <f>'001'!B160</f>
        <v>000240</v>
      </c>
      <c r="B160" s="1" t="str">
        <f>'001'!C160</f>
        <v>MADERALBA SATINADA X 4</v>
      </c>
      <c r="C160" s="1" t="str">
        <f>'001'!D160</f>
        <v>0902</v>
      </c>
      <c r="D160" s="3" t="e">
        <f>'001'!H160</f>
        <v>#VALUE!</v>
      </c>
    </row>
    <row r="161" spans="1:4" x14ac:dyDescent="0.25">
      <c r="A161" s="1" t="str">
        <f>'001'!B161</f>
        <v>000241</v>
      </c>
      <c r="B161" s="1" t="str">
        <f>'001'!C161</f>
        <v>SILICONA FASTIX NEGRO X 280</v>
      </c>
      <c r="C161" s="1" t="str">
        <f>'001'!D161</f>
        <v>0140</v>
      </c>
      <c r="D161" s="3" t="e">
        <f>'001'!H161</f>
        <v>#VALUE!</v>
      </c>
    </row>
    <row r="162" spans="1:4" x14ac:dyDescent="0.25">
      <c r="A162" s="1" t="str">
        <f>'001'!B162</f>
        <v>000242</v>
      </c>
      <c r="B162" s="1" t="str">
        <f>'001'!C162</f>
        <v>BARNIZ PARA MADERA EXTERIOR ALBATROS BRILLANTE DOBLE VIDA INCOLORO X 1</v>
      </c>
      <c r="C162" s="1" t="str">
        <f>'001'!D162</f>
        <v>0107</v>
      </c>
      <c r="D162" s="3" t="e">
        <f>'001'!H162</f>
        <v>#VALUE!</v>
      </c>
    </row>
    <row r="163" spans="1:4" x14ac:dyDescent="0.25">
      <c r="A163" s="1" t="str">
        <f>'001'!B163</f>
        <v>000243</v>
      </c>
      <c r="B163" s="1" t="str">
        <f>'001'!C163</f>
        <v>BARNIZ PARA MADERA EXTERIOR ALBATROS BRILLANTE DOBLE VIDA INCOLORO X 4</v>
      </c>
      <c r="C163" s="1" t="str">
        <f>'001'!D163</f>
        <v>0107</v>
      </c>
      <c r="D163" s="3" t="e">
        <f>'001'!H163</f>
        <v>#VALUE!</v>
      </c>
    </row>
    <row r="164" spans="1:4" x14ac:dyDescent="0.25">
      <c r="A164" s="1" t="str">
        <f>'001'!B164</f>
        <v>000244</v>
      </c>
      <c r="B164" s="1" t="str">
        <f>'001'!C164</f>
        <v>PINTURA PARA PILETA ALBA AL AGUA MATE CELESTE X  4</v>
      </c>
      <c r="C164" s="1" t="str">
        <f>'001'!D164</f>
        <v>0107</v>
      </c>
      <c r="D164" s="3" t="e">
        <f>'001'!H164</f>
        <v>#VALUE!</v>
      </c>
    </row>
    <row r="165" spans="1:4" x14ac:dyDescent="0.25">
      <c r="A165" s="1" t="str">
        <f>'001'!B165</f>
        <v>000245</v>
      </c>
      <c r="B165" s="1" t="str">
        <f>'001'!C165</f>
        <v>PINCEL ROSARPIN 190 V2 CCH.10</v>
      </c>
      <c r="C165" s="1" t="str">
        <f>'001'!D165</f>
        <v>0144</v>
      </c>
      <c r="D165" s="3" t="e">
        <f>'001'!H165</f>
        <v>#VALUE!</v>
      </c>
    </row>
    <row r="166" spans="1:4" x14ac:dyDescent="0.25">
      <c r="A166" s="1" t="str">
        <f>'001'!B166</f>
        <v>000246</v>
      </c>
      <c r="B166" s="1" t="str">
        <f>'001'!C166</f>
        <v>PINCEL ROSARPIN 190 V2 CCH.15</v>
      </c>
      <c r="C166" s="1" t="str">
        <f>'001'!D166</f>
        <v>0144</v>
      </c>
      <c r="D166" s="3" t="e">
        <f>'001'!H166</f>
        <v>#VALUE!</v>
      </c>
    </row>
    <row r="167" spans="1:4" x14ac:dyDescent="0.25">
      <c r="A167" s="1" t="str">
        <f>'001'!B167</f>
        <v>000247</v>
      </c>
      <c r="B167" s="1" t="str">
        <f>'001'!C167</f>
        <v>PINTURA PARA PILETA ALBA AL AGUA MATE BLANCO X 4</v>
      </c>
      <c r="C167" s="1" t="str">
        <f>'001'!D167</f>
        <v>0107</v>
      </c>
      <c r="D167" s="3" t="e">
        <f>'001'!H167</f>
        <v>#VALUE!</v>
      </c>
    </row>
    <row r="168" spans="1:4" x14ac:dyDescent="0.25">
      <c r="A168" s="1" t="str">
        <f>'001'!B168</f>
        <v>000248</v>
      </c>
      <c r="B168" s="1" t="str">
        <f>'001'!C168</f>
        <v>PINCEL ROSARPIN 190 V2 CCH.20</v>
      </c>
      <c r="C168" s="1" t="str">
        <f>'001'!D168</f>
        <v>0144</v>
      </c>
      <c r="D168" s="3" t="e">
        <f>'001'!H168</f>
        <v>#VALUE!</v>
      </c>
    </row>
    <row r="169" spans="1:4" x14ac:dyDescent="0.25">
      <c r="A169" s="1" t="str">
        <f>'001'!B169</f>
        <v>000249</v>
      </c>
      <c r="B169" s="1" t="str">
        <f>'001'!C169</f>
        <v>PINCEL ROSARPIN 190 V2 CCH.25</v>
      </c>
      <c r="C169" s="1" t="str">
        <f>'001'!D169</f>
        <v>0144</v>
      </c>
      <c r="D169" s="3" t="e">
        <f>'001'!H169</f>
        <v>#VALUE!</v>
      </c>
    </row>
    <row r="170" spans="1:4" x14ac:dyDescent="0.25">
      <c r="A170" s="1" t="str">
        <f>'001'!B170</f>
        <v>000250</v>
      </c>
      <c r="B170" s="1" t="str">
        <f>'001'!C170</f>
        <v>PINCEL ROSARPIN 190 V2 CCH.30</v>
      </c>
      <c r="C170" s="1" t="str">
        <f>'001'!D170</f>
        <v>0144</v>
      </c>
      <c r="D170" s="3" t="e">
        <f>'001'!H170</f>
        <v>#VALUE!</v>
      </c>
    </row>
    <row r="171" spans="1:4" x14ac:dyDescent="0.25">
      <c r="A171" s="1" t="str">
        <f>'001'!B171</f>
        <v>000253</v>
      </c>
      <c r="B171" s="1" t="str">
        <f>'001'!C171</f>
        <v>ESMALTE SINTETICO SATINOL SATINADO BLANCO X 20</v>
      </c>
      <c r="C171" s="1" t="str">
        <f>'001'!D171</f>
        <v>0107</v>
      </c>
      <c r="D171" s="3" t="e">
        <f>'001'!H171</f>
        <v>#VALUE!</v>
      </c>
    </row>
    <row r="172" spans="1:4" x14ac:dyDescent="0.25">
      <c r="A172" s="1" t="str">
        <f>'001'!B172</f>
        <v>000254</v>
      </c>
      <c r="B172" s="1" t="str">
        <f>'001'!C172</f>
        <v>ENTONADOR UNIVERSAL TONALBA 012 MARRON X 0,030</v>
      </c>
      <c r="C172" s="1" t="str">
        <f>'001'!D172</f>
        <v>0107</v>
      </c>
      <c r="D172" s="3" t="e">
        <f>'001'!H172</f>
        <v>#VALUE!</v>
      </c>
    </row>
    <row r="173" spans="1:4" x14ac:dyDescent="0.25">
      <c r="A173" s="1" t="str">
        <f>'001'!B173</f>
        <v>000255</v>
      </c>
      <c r="B173" s="1" t="str">
        <f>'001'!C173</f>
        <v>ENTONADOR UNIVERSAL TONALBA 012 MARRON X 0,120</v>
      </c>
      <c r="C173" s="1" t="str">
        <f>'001'!D173</f>
        <v>0107</v>
      </c>
      <c r="D173" s="3" t="e">
        <f>'001'!H173</f>
        <v>#VALUE!</v>
      </c>
    </row>
    <row r="174" spans="1:4" x14ac:dyDescent="0.25">
      <c r="A174" s="1" t="str">
        <f>'001'!B174</f>
        <v>000256</v>
      </c>
      <c r="B174" s="1" t="str">
        <f>'001'!C174</f>
        <v>SILICONA FASTIX TRANSPARENTE X 280</v>
      </c>
      <c r="C174" s="1" t="str">
        <f>'001'!D174</f>
        <v>0140</v>
      </c>
      <c r="D174" s="3" t="e">
        <f>'001'!H174</f>
        <v>#VALUE!</v>
      </c>
    </row>
    <row r="175" spans="1:4" x14ac:dyDescent="0.25">
      <c r="A175" s="1" t="str">
        <f>'001'!B175</f>
        <v>000257</v>
      </c>
      <c r="B175" s="1" t="str">
        <f>'001'!C175</f>
        <v>SILICONA FASTIX BLANCO X 290</v>
      </c>
      <c r="C175" s="1" t="str">
        <f>'001'!D175</f>
        <v>0140</v>
      </c>
      <c r="D175" s="3" t="e">
        <f>'001'!H175</f>
        <v>#VALUE!</v>
      </c>
    </row>
    <row r="176" spans="1:4" x14ac:dyDescent="0.25">
      <c r="A176" s="1" t="str">
        <f>'001'!B176</f>
        <v>000258</v>
      </c>
      <c r="B176" s="1" t="str">
        <f>'001'!C176</f>
        <v>ESMALTE SINTETICO PARA PIZARRON ALBA MATE NEGRO X 0,500</v>
      </c>
      <c r="C176" s="1" t="str">
        <f>'001'!D176</f>
        <v>0107</v>
      </c>
      <c r="D176" s="3" t="e">
        <f>'001'!H176</f>
        <v>#VALUE!</v>
      </c>
    </row>
    <row r="177" spans="1:4" x14ac:dyDescent="0.25">
      <c r="A177" s="1" t="str">
        <f>'001'!B177</f>
        <v>000259</v>
      </c>
      <c r="B177" s="1" t="str">
        <f>'001'!C177</f>
        <v>ESMALTE SINTETICO PARA PIZARRON ALBA MATE NEGRO X 1</v>
      </c>
      <c r="C177" s="1" t="str">
        <f>'001'!D177</f>
        <v>0107</v>
      </c>
      <c r="D177" s="3" t="e">
        <f>'001'!H177</f>
        <v>#VALUE!</v>
      </c>
    </row>
    <row r="178" spans="1:4" x14ac:dyDescent="0.25">
      <c r="A178" s="1" t="str">
        <f>'001'!B178</f>
        <v>000261</v>
      </c>
      <c r="B178" s="1" t="str">
        <f>'001'!C178</f>
        <v>ESMALTE SINTETICO PARA PIZARRON ALBA MATE VERDE X 1</v>
      </c>
      <c r="C178" s="1" t="str">
        <f>'001'!D178</f>
        <v>0107</v>
      </c>
      <c r="D178" s="3" t="e">
        <f>'001'!H178</f>
        <v>#VALUE!</v>
      </c>
    </row>
    <row r="179" spans="1:4" x14ac:dyDescent="0.25">
      <c r="A179" s="1" t="str">
        <f>'001'!B179</f>
        <v>000264</v>
      </c>
      <c r="B179" s="1" t="str">
        <f>'001'!C179</f>
        <v>COLA PAPEL COLVINIL X 1</v>
      </c>
      <c r="C179" s="1" t="str">
        <f>'001'!D179</f>
        <v>0119</v>
      </c>
      <c r="D179" s="3" t="e">
        <f>'001'!H179</f>
        <v>#VALUE!</v>
      </c>
    </row>
    <row r="180" spans="1:4" x14ac:dyDescent="0.25">
      <c r="A180" s="1" t="str">
        <f>'001'!B180</f>
        <v>000265</v>
      </c>
      <c r="B180" s="1" t="str">
        <f>'001'!C180</f>
        <v>COLA PAPEL COLVINIL X 4</v>
      </c>
      <c r="C180" s="1" t="str">
        <f>'001'!D180</f>
        <v>0119</v>
      </c>
      <c r="D180" s="3" t="e">
        <f>'001'!H180</f>
        <v>#VALUE!</v>
      </c>
    </row>
    <row r="181" spans="1:4" x14ac:dyDescent="0.25">
      <c r="A181" s="1" t="str">
        <f>'001'!B181</f>
        <v>000266</v>
      </c>
      <c r="B181" s="1" t="str">
        <f>'001'!C181</f>
        <v>COLA VINILICA COLVINIL 04 X 10</v>
      </c>
      <c r="C181" s="1" t="str">
        <f>'001'!D181</f>
        <v>0119</v>
      </c>
      <c r="D181" s="3" t="e">
        <f>'001'!H181</f>
        <v>#VALUE!</v>
      </c>
    </row>
    <row r="182" spans="1:4" x14ac:dyDescent="0.25">
      <c r="A182" s="1" t="str">
        <f>'001'!B182</f>
        <v>000267</v>
      </c>
      <c r="B182" s="1" t="str">
        <f>'001'!C182</f>
        <v>COLA VINILICA COLVINIL 04 X 22</v>
      </c>
      <c r="C182" s="1" t="str">
        <f>'001'!D182</f>
        <v>0119</v>
      </c>
      <c r="D182" s="3" t="e">
        <f>'001'!H182</f>
        <v>#VALUE!</v>
      </c>
    </row>
    <row r="183" spans="1:4" x14ac:dyDescent="0.25">
      <c r="A183" s="1" t="str">
        <f>'001'!B183</f>
        <v>000268</v>
      </c>
      <c r="B183" s="1" t="str">
        <f>'001'!C183</f>
        <v>AUTOPOLISH COLORIN ECOLOGIO X 0,450</v>
      </c>
      <c r="C183" s="1" t="str">
        <f>'001'!D183</f>
        <v>0166</v>
      </c>
      <c r="D183" s="3" t="e">
        <f>'001'!H183</f>
        <v>#VALUE!</v>
      </c>
    </row>
    <row r="184" spans="1:4" x14ac:dyDescent="0.25">
      <c r="A184" s="1" t="str">
        <f>'001'!B184</f>
        <v>000269</v>
      </c>
      <c r="B184" s="1" t="str">
        <f>'001'!C184</f>
        <v>AUTOPOLISH COLORIN LIMPIADOR DESENGRASANTE X 0,500</v>
      </c>
      <c r="C184" s="1" t="str">
        <f>'001'!D184</f>
        <v>0166</v>
      </c>
      <c r="D184" s="3" t="e">
        <f>'001'!H184</f>
        <v>#VALUE!</v>
      </c>
    </row>
    <row r="185" spans="1:4" x14ac:dyDescent="0.25">
      <c r="A185" s="1" t="str">
        <f>'001'!B185</f>
        <v>000272</v>
      </c>
      <c r="B185" s="1" t="str">
        <f>'001'!C185</f>
        <v>ESMALTE SINTETICO PLAVICON 3EN1 BRILLANTE NEGRO X  0,250</v>
      </c>
      <c r="C185" s="1" t="str">
        <f>'001'!D185</f>
        <v>0902</v>
      </c>
      <c r="D185" s="3" t="e">
        <f>'001'!H185</f>
        <v>#VALUE!</v>
      </c>
    </row>
    <row r="186" spans="1:4" x14ac:dyDescent="0.25">
      <c r="A186" s="1" t="str">
        <f>'001'!B186</f>
        <v>000274</v>
      </c>
      <c r="B186" s="1" t="str">
        <f>'001'!C186</f>
        <v>ESMALTE SINTETICO PLAVICON 3EN1 BRILLANTE NEGRO X  0,500</v>
      </c>
      <c r="C186" s="1" t="str">
        <f>'001'!D186</f>
        <v>0139</v>
      </c>
      <c r="D186" s="3" t="e">
        <f>'001'!H186</f>
        <v>#VALUE!</v>
      </c>
    </row>
    <row r="187" spans="1:4" x14ac:dyDescent="0.25">
      <c r="A187" s="1" t="str">
        <f>'001'!B187</f>
        <v>000275</v>
      </c>
      <c r="B187" s="1" t="str">
        <f>'001'!C187</f>
        <v>V21.11 BARNIZ HS ACS EVOLUTION X 0.900</v>
      </c>
      <c r="C187" s="1" t="str">
        <f>'001'!D187</f>
        <v>0132</v>
      </c>
      <c r="D187" s="3" t="e">
        <f>'001'!H187</f>
        <v>#VALUE!</v>
      </c>
    </row>
    <row r="188" spans="1:4" x14ac:dyDescent="0.25">
      <c r="A188" s="1" t="str">
        <f>'001'!B188</f>
        <v>000276</v>
      </c>
      <c r="B188" s="1" t="str">
        <f>'001'!C188</f>
        <v>REPUESTO MINI FOAM  8CM(RO1108)</v>
      </c>
      <c r="C188" s="1" t="str">
        <f>'001'!D188</f>
        <v>0165</v>
      </c>
      <c r="D188" s="3" t="e">
        <f>'001'!H188</f>
        <v>#VALUE!</v>
      </c>
    </row>
    <row r="189" spans="1:4" x14ac:dyDescent="0.25">
      <c r="A189" s="1" t="str">
        <f>'001'!B189</f>
        <v>000277</v>
      </c>
      <c r="B189" s="1" t="str">
        <f>'001'!C189</f>
        <v>REPUESTO MINI FOAM 10CM(RO110)</v>
      </c>
      <c r="C189" s="1" t="str">
        <f>'001'!D189</f>
        <v>0165</v>
      </c>
      <c r="D189" s="3" t="e">
        <f>'001'!H189</f>
        <v>#VALUE!</v>
      </c>
    </row>
    <row r="190" spans="1:4" x14ac:dyDescent="0.25">
      <c r="A190" s="1" t="str">
        <f>'001'!B190</f>
        <v>000278</v>
      </c>
      <c r="B190" s="1" t="str">
        <f>'001'!C190</f>
        <v>ESMALTE SINTETICO PLAVICON 3EN1 BRILLANTE NEGRO X  1</v>
      </c>
      <c r="C190" s="1" t="str">
        <f>'001'!D190</f>
        <v>0139</v>
      </c>
      <c r="D190" s="3" t="e">
        <f>'001'!H190</f>
        <v>#VALUE!</v>
      </c>
    </row>
    <row r="191" spans="1:4" x14ac:dyDescent="0.25">
      <c r="A191" s="1" t="str">
        <f>'001'!B191</f>
        <v>000279</v>
      </c>
      <c r="B191" s="1" t="str">
        <f>'001'!C191</f>
        <v>IMPRIMACION FIJADORA ALBA AL AGUA X  1</v>
      </c>
      <c r="C191" s="1" t="str">
        <f>'001'!D191</f>
        <v>0107</v>
      </c>
      <c r="D191" s="3" t="e">
        <f>'001'!H191</f>
        <v>#VALUE!</v>
      </c>
    </row>
    <row r="192" spans="1:4" x14ac:dyDescent="0.25">
      <c r="A192" s="1" t="str">
        <f>'001'!B192</f>
        <v>000280</v>
      </c>
      <c r="B192" s="1" t="str">
        <f>'001'!C192</f>
        <v>IMPRIMACION FIJADORA ALBA AL AGUA X  4</v>
      </c>
      <c r="C192" s="1" t="str">
        <f>'001'!D192</f>
        <v>0107</v>
      </c>
      <c r="D192" s="3" t="e">
        <f>'001'!H192</f>
        <v>#VALUE!</v>
      </c>
    </row>
    <row r="193" spans="1:4" x14ac:dyDescent="0.25">
      <c r="A193" s="1" t="str">
        <f>'001'!B193</f>
        <v>000281</v>
      </c>
      <c r="B193" s="1" t="str">
        <f>'001'!C193</f>
        <v>IMPRIMACION FIJADORA ALBA AL AGUA X 10</v>
      </c>
      <c r="C193" s="1" t="str">
        <f>'001'!D193</f>
        <v>0107</v>
      </c>
      <c r="D193" s="3" t="e">
        <f>'001'!H193</f>
        <v>#VALUE!</v>
      </c>
    </row>
    <row r="194" spans="1:4" x14ac:dyDescent="0.25">
      <c r="A194" s="1" t="str">
        <f>'001'!B194</f>
        <v>000282</v>
      </c>
      <c r="B194" s="1" t="str">
        <f>'001'!C194</f>
        <v>IMPRIMACION FIJADORA ALBA AL AGUA X 20</v>
      </c>
      <c r="C194" s="1" t="str">
        <f>'001'!D194</f>
        <v>0107</v>
      </c>
      <c r="D194" s="3" t="e">
        <f>'001'!H194</f>
        <v>#VALUE!</v>
      </c>
    </row>
    <row r="195" spans="1:4" x14ac:dyDescent="0.25">
      <c r="A195" s="1" t="str">
        <f>'001'!B195</f>
        <v>000283</v>
      </c>
      <c r="B195" s="1" t="str">
        <f>'001'!C195</f>
        <v>ESMALTE SINTETICO PLAVICON 3EN1 BRILLANTE NEGRO X  4</v>
      </c>
      <c r="C195" s="1" t="str">
        <f>'001'!D195</f>
        <v>0139</v>
      </c>
      <c r="D195" s="3" t="e">
        <f>'001'!H195</f>
        <v>#VALUE!</v>
      </c>
    </row>
    <row r="196" spans="1:4" x14ac:dyDescent="0.25">
      <c r="A196" s="1" t="str">
        <f>'001'!B196</f>
        <v>000285</v>
      </c>
      <c r="B196" s="1" t="str">
        <f>'001'!C196</f>
        <v>ESMALTE SINTETICO PLAVICON 3EN1 BRILLANTE NEGRO X 20</v>
      </c>
      <c r="C196" s="1" t="str">
        <f>'001'!D196</f>
        <v>0139</v>
      </c>
      <c r="D196" s="3" t="e">
        <f>'001'!H196</f>
        <v>#VALUE!</v>
      </c>
    </row>
    <row r="197" spans="1:4" x14ac:dyDescent="0.25">
      <c r="A197" s="1" t="str">
        <f>'001'!B197</f>
        <v>000286</v>
      </c>
      <c r="B197" s="1" t="str">
        <f>'001'!C197</f>
        <v>PRIMER RELLENADOR ONE SHOT MMB BEIGE X 1</v>
      </c>
      <c r="C197" s="1" t="str">
        <f>'001'!D197</f>
        <v>0137</v>
      </c>
      <c r="D197" s="3" t="e">
        <f>'001'!H197</f>
        <v>#VALUE!</v>
      </c>
    </row>
    <row r="198" spans="1:4" x14ac:dyDescent="0.25">
      <c r="A198" s="1" t="str">
        <f>'001'!B198</f>
        <v>000287</v>
      </c>
      <c r="B198" s="1" t="str">
        <f>'001'!C198</f>
        <v>PRIMER RELLENADOR ONE SHOT MMB BEIGE X 4</v>
      </c>
      <c r="C198" s="1" t="str">
        <f>'001'!D198</f>
        <v>0137</v>
      </c>
      <c r="D198" s="3" t="e">
        <f>'001'!H198</f>
        <v>#VALUE!</v>
      </c>
    </row>
    <row r="199" spans="1:4" x14ac:dyDescent="0.25">
      <c r="A199" s="1" t="str">
        <f>'001'!B199</f>
        <v>000288</v>
      </c>
      <c r="B199" s="1" t="str">
        <f>'001'!C199</f>
        <v>FONDO PARA MADERA ALBA AL AGUA BLANCO X 0,500</v>
      </c>
      <c r="C199" s="1" t="str">
        <f>'001'!D199</f>
        <v>0107</v>
      </c>
      <c r="D199" s="3" t="e">
        <f>'001'!H199</f>
        <v>#VALUE!</v>
      </c>
    </row>
    <row r="200" spans="1:4" x14ac:dyDescent="0.25">
      <c r="A200" s="1" t="str">
        <f>'001'!B200</f>
        <v>000289</v>
      </c>
      <c r="B200" s="1" t="str">
        <f>'001'!C200</f>
        <v>FONDO PARA MADERA ALBA AL AGUA BLANCO X 1</v>
      </c>
      <c r="C200" s="1" t="str">
        <f>'001'!D200</f>
        <v>0107</v>
      </c>
      <c r="D200" s="3" t="e">
        <f>'001'!H200</f>
        <v>#VALUE!</v>
      </c>
    </row>
    <row r="201" spans="1:4" x14ac:dyDescent="0.25">
      <c r="A201" s="1" t="str">
        <f>'001'!B201</f>
        <v>000297</v>
      </c>
      <c r="B201" s="1" t="str">
        <f>'001'!C201</f>
        <v>ESMALTE SINTETICO PLAVICON 3EN1 BRILLANTE AMARILLO X  0,250</v>
      </c>
      <c r="C201" s="1" t="str">
        <f>'001'!D201</f>
        <v>0902</v>
      </c>
      <c r="D201" s="3" t="e">
        <f>'001'!H201</f>
        <v>#VALUE!</v>
      </c>
    </row>
    <row r="202" spans="1:4" x14ac:dyDescent="0.25">
      <c r="A202" s="1" t="str">
        <f>'001'!B202</f>
        <v>000299</v>
      </c>
      <c r="B202" s="1" t="str">
        <f>'001'!C202</f>
        <v>ESMALTE SINTETICO PLAVICON 3EN1 BRILLANTE AMARILLO X  0,500</v>
      </c>
      <c r="C202" s="1" t="str">
        <f>'001'!D202</f>
        <v>0139</v>
      </c>
      <c r="D202" s="3" t="e">
        <f>'001'!H202</f>
        <v>#VALUE!</v>
      </c>
    </row>
    <row r="203" spans="1:4" x14ac:dyDescent="0.25">
      <c r="A203" s="1" t="str">
        <f>'001'!B203</f>
        <v>000300</v>
      </c>
      <c r="B203" s="1" t="str">
        <f>'001'!C203</f>
        <v>ESMALTE SINTETICO PLAVICON 3EN1 BRILLANTE AMARILLO X  1</v>
      </c>
      <c r="C203" s="1" t="str">
        <f>'001'!D203</f>
        <v>0139</v>
      </c>
      <c r="D203" s="3" t="e">
        <f>'001'!H203</f>
        <v>#VALUE!</v>
      </c>
    </row>
    <row r="204" spans="1:4" x14ac:dyDescent="0.25">
      <c r="A204" s="1" t="str">
        <f>'001'!B204</f>
        <v>000301</v>
      </c>
      <c r="B204" s="1" t="str">
        <f>'001'!C204</f>
        <v>SILICONA FASTIX BLANCO X  25</v>
      </c>
      <c r="C204" s="1" t="str">
        <f>'001'!D204</f>
        <v>0140</v>
      </c>
      <c r="D204" s="3" t="e">
        <f>'001'!H204</f>
        <v>#VALUE!</v>
      </c>
    </row>
    <row r="205" spans="1:4" x14ac:dyDescent="0.25">
      <c r="A205" s="1" t="str">
        <f>'001'!B205</f>
        <v>000302</v>
      </c>
      <c r="B205" s="1" t="str">
        <f>'001'!C205</f>
        <v>SILICONA FASTIX NEGRO X  25</v>
      </c>
      <c r="C205" s="1" t="str">
        <f>'001'!D205</f>
        <v>0140</v>
      </c>
      <c r="D205" s="3" t="e">
        <f>'001'!H205</f>
        <v>#VALUE!</v>
      </c>
    </row>
    <row r="206" spans="1:4" x14ac:dyDescent="0.25">
      <c r="A206" s="1" t="str">
        <f>'001'!B206</f>
        <v>000303</v>
      </c>
      <c r="B206" s="1" t="str">
        <f>'001'!C206</f>
        <v>ESMALTE SINTETICO PLAVICON 3EN1 BRILLANTE AMARILLO X  4</v>
      </c>
      <c r="C206" s="1" t="str">
        <f>'001'!D206</f>
        <v>0139</v>
      </c>
      <c r="D206" s="3" t="e">
        <f>'001'!H206</f>
        <v>#VALUE!</v>
      </c>
    </row>
    <row r="207" spans="1:4" x14ac:dyDescent="0.25">
      <c r="A207" s="1" t="str">
        <f>'001'!B207</f>
        <v>000304</v>
      </c>
      <c r="B207" s="1" t="str">
        <f>'001'!C207</f>
        <v>IMPRESION UNIVERSAL MMB GRIS X 1</v>
      </c>
      <c r="C207" s="1" t="str">
        <f>'001'!D207</f>
        <v>0137</v>
      </c>
      <c r="D207" s="3" t="e">
        <f>'001'!H207</f>
        <v>#VALUE!</v>
      </c>
    </row>
    <row r="208" spans="1:4" x14ac:dyDescent="0.25">
      <c r="A208" s="1" t="str">
        <f>'001'!B208</f>
        <v>000305</v>
      </c>
      <c r="B208" s="1" t="str">
        <f>'001'!C208</f>
        <v>IMPRESION UNIVERSAL MMB GRIS X 4</v>
      </c>
      <c r="C208" s="1" t="str">
        <f>'001'!D208</f>
        <v>0137</v>
      </c>
      <c r="D208" s="3" t="e">
        <f>'001'!H208</f>
        <v>#VALUE!</v>
      </c>
    </row>
    <row r="209" spans="1:4" x14ac:dyDescent="0.25">
      <c r="A209" s="1" t="str">
        <f>'001'!B209</f>
        <v>000306</v>
      </c>
      <c r="B209" s="1" t="str">
        <f>'001'!C209</f>
        <v>ESMALTE SINTETICO PLAVICON 3EN1 BRILLANTE AMARILLO X 20</v>
      </c>
      <c r="C209" s="1" t="str">
        <f>'001'!D209</f>
        <v>0139</v>
      </c>
      <c r="D209" s="3" t="e">
        <f>'001'!H209</f>
        <v>#VALUE!</v>
      </c>
    </row>
    <row r="210" spans="1:4" x14ac:dyDescent="0.25">
      <c r="A210" s="1" t="str">
        <f>'001'!B210</f>
        <v>000308</v>
      </c>
      <c r="B210" s="1" t="str">
        <f>'001'!C210</f>
        <v>AUTOPOLISH COLORIN SILICONA C/ESP.450</v>
      </c>
      <c r="C210" s="1" t="str">
        <f>'001'!D210</f>
        <v>0166</v>
      </c>
      <c r="D210" s="3" t="e">
        <f>'001'!H210</f>
        <v>#VALUE!</v>
      </c>
    </row>
    <row r="211" spans="1:4" x14ac:dyDescent="0.25">
      <c r="A211" s="1" t="str">
        <f>'001'!B211</f>
        <v>000309</v>
      </c>
      <c r="B211" s="1" t="str">
        <f>'001'!C211</f>
        <v>PASTA PULIR MMB GRUESA X 0,500</v>
      </c>
      <c r="C211" s="1" t="str">
        <f>'001'!D211</f>
        <v>0137</v>
      </c>
      <c r="D211" s="3" t="e">
        <f>'001'!H211</f>
        <v>#VALUE!</v>
      </c>
    </row>
    <row r="212" spans="1:4" x14ac:dyDescent="0.25">
      <c r="A212" s="1" t="str">
        <f>'001'!B212</f>
        <v>000310</v>
      </c>
      <c r="B212" s="1" t="str">
        <f>'001'!C212</f>
        <v>ESMALTE SINTETICO PLAVICON 3EN1 BRILLANTE AMARILLO MEDIANO X  0,500</v>
      </c>
      <c r="C212" s="1" t="str">
        <f>'001'!D212</f>
        <v>0139</v>
      </c>
      <c r="D212" s="3" t="e">
        <f>'001'!H212</f>
        <v>#VALUE!</v>
      </c>
    </row>
    <row r="213" spans="1:4" x14ac:dyDescent="0.25">
      <c r="A213" s="1" t="str">
        <f>'001'!B213</f>
        <v>000311</v>
      </c>
      <c r="B213" s="1" t="str">
        <f>'001'!C213</f>
        <v>ESMALTE SINTETICO PLAVICON 3EN1 BRILLANTE AMARILLO MEDIANO X  1</v>
      </c>
      <c r="C213" s="1" t="str">
        <f>'001'!D213</f>
        <v>0139</v>
      </c>
      <c r="D213" s="3" t="e">
        <f>'001'!H213</f>
        <v>#VALUE!</v>
      </c>
    </row>
    <row r="214" spans="1:4" x14ac:dyDescent="0.25">
      <c r="A214" s="1" t="str">
        <f>'001'!B214</f>
        <v>000312</v>
      </c>
      <c r="B214" s="1" t="str">
        <f>'001'!C214</f>
        <v>REPUESTO MINI FOAM 15CM(RO111)</v>
      </c>
      <c r="C214" s="1" t="str">
        <f>'001'!D214</f>
        <v>0165</v>
      </c>
      <c r="D214" s="3" t="e">
        <f>'001'!H214</f>
        <v>#VALUE!</v>
      </c>
    </row>
    <row r="215" spans="1:4" x14ac:dyDescent="0.25">
      <c r="A215" s="1" t="str">
        <f>'001'!B215</f>
        <v>000313</v>
      </c>
      <c r="B215" s="1" t="str">
        <f>'001'!C215</f>
        <v>ESMALTE SINTETICO PLAVICON 3EN1 BRILLANTE AMARILLO MEDIANO X  4</v>
      </c>
      <c r="C215" s="1" t="str">
        <f>'001'!D215</f>
        <v>0139</v>
      </c>
      <c r="D215" s="3" t="e">
        <f>'001'!H215</f>
        <v>#VALUE!</v>
      </c>
    </row>
    <row r="216" spans="1:4" x14ac:dyDescent="0.25">
      <c r="A216" s="1" t="str">
        <f>'001'!B216</f>
        <v>000314</v>
      </c>
      <c r="B216" s="1" t="str">
        <f>'001'!C216</f>
        <v>ESMALTE SINTETICO PLAVICON 3EN1 BRILLANTE AMARILLO MEDIANO X 20</v>
      </c>
      <c r="C216" s="1" t="str">
        <f>'001'!D216</f>
        <v>0139</v>
      </c>
      <c r="D216" s="3" t="e">
        <f>'001'!H216</f>
        <v>#VALUE!</v>
      </c>
    </row>
    <row r="217" spans="1:4" x14ac:dyDescent="0.25">
      <c r="A217" s="1" t="str">
        <f>'001'!B217</f>
        <v>000315</v>
      </c>
      <c r="B217" s="1" t="str">
        <f>'001'!C217</f>
        <v>LLANA LISA LH 12X25</v>
      </c>
      <c r="C217" s="1" t="str">
        <f>'001'!D217</f>
        <v>0126</v>
      </c>
      <c r="D217" s="3" t="e">
        <f>'001'!H217</f>
        <v>#VALUE!</v>
      </c>
    </row>
    <row r="218" spans="1:4" x14ac:dyDescent="0.25">
      <c r="A218" s="1" t="str">
        <f>'001'!B218</f>
        <v>000316</v>
      </c>
      <c r="B218" s="1" t="str">
        <f>'001'!C218</f>
        <v>ESPUMA POLIURETANO NODUPOL X 0,250</v>
      </c>
      <c r="C218" s="1" t="str">
        <f>'001'!D218</f>
        <v>0136</v>
      </c>
      <c r="D218" s="3" t="e">
        <f>'001'!H218</f>
        <v>#VALUE!</v>
      </c>
    </row>
    <row r="219" spans="1:4" x14ac:dyDescent="0.25">
      <c r="A219" s="1" t="str">
        <f>'001'!B219</f>
        <v>000317</v>
      </c>
      <c r="B219" s="1" t="str">
        <f>'001'!C219</f>
        <v>ESPUMA POLIURETANO NODUPOL X 0,500</v>
      </c>
      <c r="C219" s="1" t="str">
        <f>'001'!D219</f>
        <v>0136</v>
      </c>
      <c r="D219" s="3" t="e">
        <f>'001'!H219</f>
        <v>#VALUE!</v>
      </c>
    </row>
    <row r="220" spans="1:4" x14ac:dyDescent="0.25">
      <c r="A220" s="1" t="str">
        <f>'001'!B220</f>
        <v>000318</v>
      </c>
      <c r="B220" s="1" t="str">
        <f>'001'!C220</f>
        <v>ESPUMA POLIURETANO NODUPOL X 0,750</v>
      </c>
      <c r="C220" s="1" t="str">
        <f>'001'!D220</f>
        <v>0136</v>
      </c>
      <c r="D220" s="3" t="e">
        <f>'001'!H220</f>
        <v>#VALUE!</v>
      </c>
    </row>
    <row r="221" spans="1:4" x14ac:dyDescent="0.25">
      <c r="A221" s="1" t="str">
        <f>'001'!B221</f>
        <v>000321</v>
      </c>
      <c r="B221" s="1" t="str">
        <f>'001'!C221</f>
        <v>ENDUIDO EXTERIOR TERSUAVE X 10</v>
      </c>
      <c r="C221" s="1" t="str">
        <f>'001'!D221</f>
        <v>0152</v>
      </c>
      <c r="D221" s="3" t="e">
        <f>'001'!H221</f>
        <v>#VALUE!</v>
      </c>
    </row>
    <row r="222" spans="1:4" x14ac:dyDescent="0.25">
      <c r="A222" s="1" t="str">
        <f>'001'!B222</f>
        <v>000322</v>
      </c>
      <c r="B222" s="1" t="str">
        <f>'001'!C222</f>
        <v>ESMALTE SINTETICO PLAVICON 3EN1 BRILLANTE NARANJA X  0,500</v>
      </c>
      <c r="C222" s="1" t="str">
        <f>'001'!D222</f>
        <v>0139</v>
      </c>
      <c r="D222" s="3" t="e">
        <f>'001'!H222</f>
        <v>#VALUE!</v>
      </c>
    </row>
    <row r="223" spans="1:4" x14ac:dyDescent="0.25">
      <c r="A223" s="1" t="str">
        <f>'001'!B223</f>
        <v>000323</v>
      </c>
      <c r="B223" s="1" t="str">
        <f>'001'!C223</f>
        <v>ENDUIDO EXTERIOR TERSUAVE X 20</v>
      </c>
      <c r="C223" s="1" t="str">
        <f>'001'!D223</f>
        <v>0152</v>
      </c>
      <c r="D223" s="3" t="e">
        <f>'001'!H223</f>
        <v>#VALUE!</v>
      </c>
    </row>
    <row r="224" spans="1:4" x14ac:dyDescent="0.25">
      <c r="A224" s="1" t="str">
        <f>'001'!B224</f>
        <v>000324</v>
      </c>
      <c r="B224" s="1" t="str">
        <f>'001'!C224</f>
        <v>ESMALTE SINTETICO PLAVICON 3EN1 BRILLANTE NARANJA X  1</v>
      </c>
      <c r="C224" s="1" t="str">
        <f>'001'!D224</f>
        <v>0139</v>
      </c>
      <c r="D224" s="3" t="e">
        <f>'001'!H224</f>
        <v>#VALUE!</v>
      </c>
    </row>
    <row r="225" spans="1:4" x14ac:dyDescent="0.25">
      <c r="A225" s="1" t="str">
        <f>'001'!B225</f>
        <v>000325</v>
      </c>
      <c r="B225" s="1" t="str">
        <f>'001'!C225</f>
        <v>FILTRO DE PAPEL PARA BASE AGUA DOX125V</v>
      </c>
      <c r="C225" s="1" t="str">
        <f>'001'!D225</f>
        <v>0134</v>
      </c>
      <c r="D225" s="3" t="e">
        <f>'001'!H225</f>
        <v>#VALUE!</v>
      </c>
    </row>
    <row r="226" spans="1:4" x14ac:dyDescent="0.25">
      <c r="A226" s="1" t="str">
        <f>'001'!B226</f>
        <v>000326</v>
      </c>
      <c r="B226" s="1" t="str">
        <f>'001'!C226</f>
        <v>ESMALTE SINTETICO PLAVICON 3EN1 BRILLANTE NARANJA X  4</v>
      </c>
      <c r="C226" s="1" t="str">
        <f>'001'!D226</f>
        <v>0139</v>
      </c>
      <c r="D226" s="3" t="e">
        <f>'001'!H226</f>
        <v>#VALUE!</v>
      </c>
    </row>
    <row r="227" spans="1:4" x14ac:dyDescent="0.25">
      <c r="A227" s="1" t="str">
        <f>'001'!B227</f>
        <v>000327</v>
      </c>
      <c r="B227" s="1" t="str">
        <f>'001'!C227</f>
        <v>ESMALTE SINTETICO PLAVICON 3EN1 BRILLANTE NARANJA X 20</v>
      </c>
      <c r="C227" s="1" t="str">
        <f>'001'!D227</f>
        <v>0139</v>
      </c>
      <c r="D227" s="3" t="e">
        <f>'001'!H227</f>
        <v>#VALUE!</v>
      </c>
    </row>
    <row r="228" spans="1:4" x14ac:dyDescent="0.25">
      <c r="A228" s="1" t="str">
        <f>'001'!B228</f>
        <v>000328</v>
      </c>
      <c r="B228" s="1" t="str">
        <f>'001'!C228</f>
        <v>FONDO PARA MADERA ALBA AL AGUA BLANCO X 4</v>
      </c>
      <c r="C228" s="1" t="str">
        <f>'001'!D228</f>
        <v>0107</v>
      </c>
      <c r="D228" s="3" t="e">
        <f>'001'!H228</f>
        <v>#VALUE!</v>
      </c>
    </row>
    <row r="229" spans="1:4" x14ac:dyDescent="0.25">
      <c r="A229" s="1" t="str">
        <f>'001'!B229</f>
        <v>000330</v>
      </c>
      <c r="B229" s="1" t="str">
        <f>'001'!C229</f>
        <v>FILTRO DE PAPEL PARA BASE SOLVENTE DOX113V</v>
      </c>
      <c r="C229" s="1" t="str">
        <f>'001'!D229</f>
        <v>0134</v>
      </c>
      <c r="D229" s="3" t="e">
        <f>'001'!H229</f>
        <v>#VALUE!</v>
      </c>
    </row>
    <row r="230" spans="1:4" x14ac:dyDescent="0.25">
      <c r="A230" s="1" t="str">
        <f>'001'!B230</f>
        <v>000334</v>
      </c>
      <c r="B230" s="1" t="str">
        <f>'001'!C230</f>
        <v>LATEX PARA CIELORRASOS SINTEPLAST MATE BLANCO X 20</v>
      </c>
      <c r="C230" s="1" t="str">
        <f>'001'!D230</f>
        <v>0150</v>
      </c>
      <c r="D230" s="3" t="e">
        <f>'001'!H230</f>
        <v>#VALUE!</v>
      </c>
    </row>
    <row r="231" spans="1:4" x14ac:dyDescent="0.25">
      <c r="A231" s="1" t="str">
        <f>'001'!B231</f>
        <v>000335</v>
      </c>
      <c r="B231" s="1" t="str">
        <f>'001'!C231</f>
        <v>LATEX INTERIOR ALBACRYL MATE BLANCO X 10</v>
      </c>
      <c r="C231" s="1" t="str">
        <f>'001'!D231</f>
        <v>0107</v>
      </c>
      <c r="D231" s="3" t="e">
        <f>'001'!H231</f>
        <v>#VALUE!</v>
      </c>
    </row>
    <row r="232" spans="1:4" x14ac:dyDescent="0.25">
      <c r="A232" s="1" t="str">
        <f>'001'!B232</f>
        <v>000336</v>
      </c>
      <c r="B232" s="1" t="str">
        <f>'001'!C232</f>
        <v>LATEX INTERIOR ALBACRYL MATE BLANCO X  4</v>
      </c>
      <c r="C232" s="1" t="str">
        <f>'001'!D232</f>
        <v>0107</v>
      </c>
      <c r="D232" s="3" t="e">
        <f>'001'!H232</f>
        <v>#VALUE!</v>
      </c>
    </row>
    <row r="233" spans="1:4" x14ac:dyDescent="0.25">
      <c r="A233" s="1" t="str">
        <f>'001'!B233</f>
        <v>000337</v>
      </c>
      <c r="B233" s="1" t="str">
        <f>'001'!C233</f>
        <v>ESMALTE SINTETICO PLAVICON 3EN1 BRILLANTE BERMELLON X  0,250</v>
      </c>
      <c r="C233" s="1" t="str">
        <f>'001'!D233</f>
        <v>0902</v>
      </c>
      <c r="D233" s="3" t="e">
        <f>'001'!H233</f>
        <v>#VALUE!</v>
      </c>
    </row>
    <row r="234" spans="1:4" x14ac:dyDescent="0.25">
      <c r="A234" s="1" t="str">
        <f>'001'!B234</f>
        <v>000338</v>
      </c>
      <c r="B234" s="1" t="str">
        <f>'001'!C234</f>
        <v>LATEX INTERIOR ALBACRYL MATE BLANCO X 20</v>
      </c>
      <c r="C234" s="1" t="str">
        <f>'001'!D234</f>
        <v>0107</v>
      </c>
      <c r="D234" s="3" t="e">
        <f>'001'!H234</f>
        <v>#VALUE!</v>
      </c>
    </row>
    <row r="235" spans="1:4" x14ac:dyDescent="0.25">
      <c r="A235" s="1" t="str">
        <f>'001'!B235</f>
        <v>000339</v>
      </c>
      <c r="B235" s="1" t="str">
        <f>'001'!C235</f>
        <v>ESMALTE SINTETICO PLAVICON 3EN1 BRILLANTE BERMELLON X  0,500</v>
      </c>
      <c r="C235" s="1" t="str">
        <f>'001'!D235</f>
        <v>0139</v>
      </c>
      <c r="D235" s="3" t="e">
        <f>'001'!H235</f>
        <v>#VALUE!</v>
      </c>
    </row>
    <row r="236" spans="1:4" x14ac:dyDescent="0.25">
      <c r="A236" s="1" t="str">
        <f>'001'!B236</f>
        <v>000340</v>
      </c>
      <c r="B236" s="1" t="str">
        <f>'001'!C236</f>
        <v>LACA UREICA COLVINIL BRILLANTE TRANSPARENTE C/CAT. X  0,900</v>
      </c>
      <c r="C236" s="1" t="str">
        <f>'001'!D236</f>
        <v>0119</v>
      </c>
      <c r="D236" s="3" t="e">
        <f>'001'!H236</f>
        <v>#VALUE!</v>
      </c>
    </row>
    <row r="237" spans="1:4" x14ac:dyDescent="0.25">
      <c r="A237" s="1" t="str">
        <f>'001'!B237</f>
        <v>000341</v>
      </c>
      <c r="B237" s="1" t="str">
        <f>'001'!C237</f>
        <v>LACA UREICA COLVINIL BRILLANTE TRANSPARENTE C/CAT. X  3,600</v>
      </c>
      <c r="C237" s="1" t="str">
        <f>'001'!D237</f>
        <v>0119</v>
      </c>
      <c r="D237" s="3" t="e">
        <f>'001'!H237</f>
        <v>#VALUE!</v>
      </c>
    </row>
    <row r="238" spans="1:4" x14ac:dyDescent="0.25">
      <c r="A238" s="1" t="str">
        <f>'001'!B238</f>
        <v>000342</v>
      </c>
      <c r="B238" s="1" t="str">
        <f>'001'!C238</f>
        <v>LACA UREICA COLVINIL BRILLANTE TRANSPARENTE C/CAT. X 18</v>
      </c>
      <c r="C238" s="1" t="str">
        <f>'001'!D238</f>
        <v>0119</v>
      </c>
      <c r="D238" s="3" t="e">
        <f>'001'!H238</f>
        <v>#VALUE!</v>
      </c>
    </row>
    <row r="239" spans="1:4" x14ac:dyDescent="0.25">
      <c r="A239" s="1" t="str">
        <f>'001'!B239</f>
        <v>000343</v>
      </c>
      <c r="B239" s="1" t="str">
        <f>'001'!C239</f>
        <v>LACA UREICA COLVINIL SATINADA TRANSPARENTE C/CAT. X  0,900</v>
      </c>
      <c r="C239" s="1" t="str">
        <f>'001'!D239</f>
        <v>0119</v>
      </c>
      <c r="D239" s="3" t="e">
        <f>'001'!H239</f>
        <v>#VALUE!</v>
      </c>
    </row>
    <row r="240" spans="1:4" x14ac:dyDescent="0.25">
      <c r="A240" s="1" t="str">
        <f>'001'!B240</f>
        <v>000344</v>
      </c>
      <c r="B240" s="1" t="str">
        <f>'001'!C240</f>
        <v>LACA UREICA COLVINIL SATINADA TRANSPARENTE C/CAT. X  3,600</v>
      </c>
      <c r="C240" s="1" t="str">
        <f>'001'!D240</f>
        <v>0119</v>
      </c>
      <c r="D240" s="3" t="e">
        <f>'001'!H240</f>
        <v>#VALUE!</v>
      </c>
    </row>
    <row r="241" spans="1:4" x14ac:dyDescent="0.25">
      <c r="A241" s="1" t="str">
        <f>'001'!B241</f>
        <v>000345</v>
      </c>
      <c r="B241" s="1" t="str">
        <f>'001'!C241</f>
        <v>LACA UREICA COLVINIL SATINADA TRANSPARENTE C/CAT. X 18</v>
      </c>
      <c r="C241" s="1" t="str">
        <f>'001'!D241</f>
        <v>0119</v>
      </c>
      <c r="D241" s="3" t="e">
        <f>'001'!H241</f>
        <v>#VALUE!</v>
      </c>
    </row>
    <row r="242" spans="1:4" x14ac:dyDescent="0.25">
      <c r="A242" s="1" t="str">
        <f>'001'!B242</f>
        <v>000346</v>
      </c>
      <c r="B242" s="1" t="str">
        <f>'001'!C242</f>
        <v>ESMALTE SINTETICO PLAVICON 3EN1 BRILLANTE BERMELLON X  1</v>
      </c>
      <c r="C242" s="1" t="str">
        <f>'001'!D242</f>
        <v>0139</v>
      </c>
      <c r="D242" s="3" t="e">
        <f>'001'!H242</f>
        <v>#VALUE!</v>
      </c>
    </row>
    <row r="243" spans="1:4" x14ac:dyDescent="0.25">
      <c r="A243" s="1" t="str">
        <f>'001'!B243</f>
        <v>000347</v>
      </c>
      <c r="B243" s="1" t="str">
        <f>'001'!C243</f>
        <v>ESMALTE SINTETICO PLAVICON 3EN1 BRILLANTE BERMELLON X  4</v>
      </c>
      <c r="C243" s="1" t="str">
        <f>'001'!D243</f>
        <v>0139</v>
      </c>
      <c r="D243" s="3" t="e">
        <f>'001'!H243</f>
        <v>#VALUE!</v>
      </c>
    </row>
    <row r="244" spans="1:4" x14ac:dyDescent="0.25">
      <c r="A244" s="1" t="str">
        <f>'001'!B244</f>
        <v>000348</v>
      </c>
      <c r="B244" s="1" t="str">
        <f>'001'!C244</f>
        <v>ESMALTE SINTETICO PLAVICON 3EN1 BRILLANTE BERMELLON X 20</v>
      </c>
      <c r="C244" s="1" t="str">
        <f>'001'!D244</f>
        <v>0139</v>
      </c>
      <c r="D244" s="3" t="e">
        <f>'001'!H244</f>
        <v>#VALUE!</v>
      </c>
    </row>
    <row r="245" spans="1:4" x14ac:dyDescent="0.25">
      <c r="A245" s="1" t="str">
        <f>'001'!B245</f>
        <v>000350</v>
      </c>
      <c r="B245" s="1" t="str">
        <f>'001'!C245</f>
        <v>ESMALTE SINTETICO PLAVICON 3EN1 BRILLANTE ALUMINIO X  0,500</v>
      </c>
      <c r="C245" s="1" t="str">
        <f>'001'!D245</f>
        <v>0139</v>
      </c>
      <c r="D245" s="3" t="e">
        <f>'001'!H245</f>
        <v>#VALUE!</v>
      </c>
    </row>
    <row r="246" spans="1:4" x14ac:dyDescent="0.25">
      <c r="A246" s="1" t="str">
        <f>'001'!B246</f>
        <v>000351</v>
      </c>
      <c r="B246" s="1" t="str">
        <f>'001'!C246</f>
        <v>ESMALTE SINTETICO PLAVICON 3EN1 BRILLANTE ALUMINIO X  1</v>
      </c>
      <c r="C246" s="1" t="str">
        <f>'001'!D246</f>
        <v>0139</v>
      </c>
      <c r="D246" s="3" t="e">
        <f>'001'!H246</f>
        <v>#VALUE!</v>
      </c>
    </row>
    <row r="247" spans="1:4" x14ac:dyDescent="0.25">
      <c r="A247" s="1" t="str">
        <f>'001'!B247</f>
        <v>000352</v>
      </c>
      <c r="B247" s="1" t="str">
        <f>'001'!C247</f>
        <v>ESMALTE SINTETICO PLAVICON 3EN1 BRILLANTE ALUMINIO X  4</v>
      </c>
      <c r="C247" s="1" t="str">
        <f>'001'!D247</f>
        <v>0139</v>
      </c>
      <c r="D247" s="3" t="e">
        <f>'001'!H247</f>
        <v>#VALUE!</v>
      </c>
    </row>
    <row r="248" spans="1:4" x14ac:dyDescent="0.25">
      <c r="A248" s="1" t="str">
        <f>'001'!B248</f>
        <v>000353</v>
      </c>
      <c r="B248" s="1" t="str">
        <f>'001'!C248</f>
        <v>ESMALTE SINTETICO PLAVICON 3EN1 BRILLANTE ALUMINIO X 20</v>
      </c>
      <c r="C248" s="1" t="str">
        <f>'001'!D248</f>
        <v>0139</v>
      </c>
      <c r="D248" s="3" t="e">
        <f>'001'!H248</f>
        <v>#VALUE!</v>
      </c>
    </row>
    <row r="249" spans="1:4" x14ac:dyDescent="0.25">
      <c r="A249" s="1" t="str">
        <f>'001'!B249</f>
        <v>000355</v>
      </c>
      <c r="B249" s="1" t="str">
        <f>'001'!C249</f>
        <v>ESMALTE SINTETICO PLAVICON 3EN1 BRILLANTE MARFIL X  0,500</v>
      </c>
      <c r="C249" s="1" t="str">
        <f>'001'!D249</f>
        <v>0902</v>
      </c>
      <c r="D249" s="3" t="e">
        <f>'001'!H249</f>
        <v>#VALUE!</v>
      </c>
    </row>
    <row r="250" spans="1:4" x14ac:dyDescent="0.25">
      <c r="A250" s="1" t="str">
        <f>'001'!B250</f>
        <v>000356</v>
      </c>
      <c r="B250" s="1" t="str">
        <f>'001'!C250</f>
        <v>LIJA RUBI FLEX DOBLE A N  80/100 M.</v>
      </c>
      <c r="C250" s="1" t="str">
        <f>'001'!D250</f>
        <v>0102</v>
      </c>
      <c r="D250" s="3" t="e">
        <f>'001'!H250</f>
        <v>#VALUE!</v>
      </c>
    </row>
    <row r="251" spans="1:4" x14ac:dyDescent="0.25">
      <c r="A251" s="1" t="str">
        <f>'001'!B251</f>
        <v>000357</v>
      </c>
      <c r="B251" s="1" t="str">
        <f>'001'!C251</f>
        <v>ESMALTE SINTETICO PLAVICON 3EN1 BRILLANTE MARFIL X  1</v>
      </c>
      <c r="C251" s="1" t="str">
        <f>'001'!D251</f>
        <v>0902</v>
      </c>
      <c r="D251" s="3" t="e">
        <f>'001'!H251</f>
        <v>#VALUE!</v>
      </c>
    </row>
    <row r="252" spans="1:4" x14ac:dyDescent="0.25">
      <c r="A252" s="1" t="str">
        <f>'001'!B252</f>
        <v>000358</v>
      </c>
      <c r="B252" s="1" t="str">
        <f>'001'!C252</f>
        <v>ESPATULA PLASTICA NORTON</v>
      </c>
      <c r="C252" s="1" t="str">
        <f>'001'!D252</f>
        <v>0167</v>
      </c>
      <c r="D252" s="3" t="e">
        <f>'001'!H252</f>
        <v>#VALUE!</v>
      </c>
    </row>
    <row r="253" spans="1:4" x14ac:dyDescent="0.25">
      <c r="A253" s="1" t="str">
        <f>'001'!B253</f>
        <v>000359</v>
      </c>
      <c r="B253" s="1" t="str">
        <f>'001'!C253</f>
        <v>ESMALTE SINTETICO PLAVICON 3EN1 BRILLANTE MARFIL X  4</v>
      </c>
      <c r="C253" s="1" t="str">
        <f>'001'!D253</f>
        <v>0902</v>
      </c>
      <c r="D253" s="3" t="e">
        <f>'001'!H253</f>
        <v>#VALUE!</v>
      </c>
    </row>
    <row r="254" spans="1:4" x14ac:dyDescent="0.25">
      <c r="A254" s="1" t="str">
        <f>'001'!B254</f>
        <v>000361</v>
      </c>
      <c r="B254" s="1" t="str">
        <f>'001'!C254</f>
        <v>TAMBOR X 200</v>
      </c>
      <c r="C254" s="1" t="str">
        <f>'001'!D254</f>
        <v>0122</v>
      </c>
      <c r="D254" s="3" t="e">
        <f>'001'!H254</f>
        <v>#VALUE!</v>
      </c>
    </row>
    <row r="255" spans="1:4" x14ac:dyDescent="0.25">
      <c r="A255" s="1" t="str">
        <f>'001'!B255</f>
        <v>000370</v>
      </c>
      <c r="B255" s="1" t="str">
        <f>'001'!C255</f>
        <v>MATEANTE PETRILAC X 100</v>
      </c>
      <c r="C255" s="1" t="str">
        <f>'001'!D255</f>
        <v>0138</v>
      </c>
      <c r="D255" s="3" t="e">
        <f>'001'!H255</f>
        <v>#VALUE!</v>
      </c>
    </row>
    <row r="256" spans="1:4" x14ac:dyDescent="0.25">
      <c r="A256" s="1" t="str">
        <f>'001'!B256</f>
        <v>000371</v>
      </c>
      <c r="B256" s="1" t="str">
        <f>'001'!C256</f>
        <v>ESTOPA DE LUSTRE APELES BLANCA X 0,350</v>
      </c>
      <c r="C256" s="1" t="str">
        <f>'001'!D256</f>
        <v>0103</v>
      </c>
      <c r="D256" s="3" t="e">
        <f>'001'!H256</f>
        <v>#VALUE!</v>
      </c>
    </row>
    <row r="257" spans="1:4" x14ac:dyDescent="0.25">
      <c r="A257" s="1" t="str">
        <f>'001'!B257</f>
        <v>000373</v>
      </c>
      <c r="B257" s="1" t="str">
        <f>'001'!C257</f>
        <v>ESMALTE SINTETICO PLAVICON 3EN1 BRILLANTE MARFIL SEDA X  0,500</v>
      </c>
      <c r="C257" s="1" t="str">
        <f>'001'!D257</f>
        <v>0139</v>
      </c>
      <c r="D257" s="3" t="e">
        <f>'001'!H257</f>
        <v>#VALUE!</v>
      </c>
    </row>
    <row r="258" spans="1:4" x14ac:dyDescent="0.25">
      <c r="A258" s="1" t="str">
        <f>'001'!B258</f>
        <v>000374</v>
      </c>
      <c r="B258" s="1" t="str">
        <f>'001'!C258</f>
        <v>MEMBRANA  AUTOADHESIVA NC MEGAFACIL ALUMINIO 25CM X25MT</v>
      </c>
      <c r="C258" s="1" t="str">
        <f>'001'!D258</f>
        <v>0130</v>
      </c>
      <c r="D258" s="3" t="e">
        <f>'001'!H258</f>
        <v>#VALUE!</v>
      </c>
    </row>
    <row r="259" spans="1:4" x14ac:dyDescent="0.25">
      <c r="A259" s="1" t="str">
        <f>'001'!B259</f>
        <v>000375</v>
      </c>
      <c r="B259" s="1" t="str">
        <f>'001'!C259</f>
        <v>PROTECTOR PARA LADRILLO DURALBA SATINADO CON PELICULA TRANSPARENTE X  1</v>
      </c>
      <c r="C259" s="1" t="str">
        <f>'001'!D259</f>
        <v>0107</v>
      </c>
      <c r="D259" s="3" t="e">
        <f>'001'!H259</f>
        <v>#VALUE!</v>
      </c>
    </row>
    <row r="260" spans="1:4" x14ac:dyDescent="0.25">
      <c r="A260" s="1" t="str">
        <f>'001'!B260</f>
        <v>000376</v>
      </c>
      <c r="B260" s="1" t="str">
        <f>'001'!C260</f>
        <v>PROTECTOR PARA LADRILLO DURALBA SATINADO CON PELICULA TRANSPARENTE X  4</v>
      </c>
      <c r="C260" s="1" t="str">
        <f>'001'!D260</f>
        <v>0107</v>
      </c>
      <c r="D260" s="3" t="e">
        <f>'001'!H260</f>
        <v>#VALUE!</v>
      </c>
    </row>
    <row r="261" spans="1:4" x14ac:dyDescent="0.25">
      <c r="A261" s="1" t="str">
        <f>'001'!B261</f>
        <v>000377</v>
      </c>
      <c r="B261" s="1" t="str">
        <f>'001'!C261</f>
        <v>PROTECTOR PARA LADRILLO DURALBA SATINADO CON PELICULA TRANSPARENTE X 10</v>
      </c>
      <c r="C261" s="1" t="str">
        <f>'001'!D261</f>
        <v>0107</v>
      </c>
      <c r="D261" s="3" t="e">
        <f>'001'!H261</f>
        <v>#VALUE!</v>
      </c>
    </row>
    <row r="262" spans="1:4" x14ac:dyDescent="0.25">
      <c r="A262" s="1" t="str">
        <f>'001'!B262</f>
        <v>000378</v>
      </c>
      <c r="B262" s="1" t="str">
        <f>'001'!C262</f>
        <v>PROTECTOR PARA LADRILLO DURALBA SATINADO CON PELICULA TRANSPARENTE X 20</v>
      </c>
      <c r="C262" s="1" t="str">
        <f>'001'!D262</f>
        <v>0107</v>
      </c>
      <c r="D262" s="3" t="e">
        <f>'001'!H262</f>
        <v>#VALUE!</v>
      </c>
    </row>
    <row r="263" spans="1:4" x14ac:dyDescent="0.25">
      <c r="A263" s="1" t="str">
        <f>'001'!B263</f>
        <v>000379</v>
      </c>
      <c r="B263" s="1" t="str">
        <f>'001'!C263</f>
        <v>ESMALTE SINTETICO PLAVICON 3EN1 BRILLANTE MARFIL SEDA X  1</v>
      </c>
      <c r="C263" s="1" t="str">
        <f>'001'!D263</f>
        <v>0139</v>
      </c>
      <c r="D263" s="3" t="e">
        <f>'001'!H263</f>
        <v>#VALUE!</v>
      </c>
    </row>
    <row r="264" spans="1:4" x14ac:dyDescent="0.25">
      <c r="A264" s="1" t="str">
        <f>'001'!B264</f>
        <v>000380</v>
      </c>
      <c r="B264" s="1" t="str">
        <f>'001'!C264</f>
        <v>DISCO PIEL CHICO PARA KIT (57)</v>
      </c>
      <c r="C264" s="1" t="str">
        <f>'001'!D264</f>
        <v>0128</v>
      </c>
      <c r="D264" s="3" t="e">
        <f>'001'!H264</f>
        <v>#VALUE!</v>
      </c>
    </row>
    <row r="265" spans="1:4" x14ac:dyDescent="0.25">
      <c r="A265" s="1" t="str">
        <f>'001'!B265</f>
        <v>000381</v>
      </c>
      <c r="B265" s="1" t="str">
        <f>'001'!C265</f>
        <v>AEROSOL RUST-OLEUM IMPRIMANTE PARA MOTOR GRIS X 0,340 (249410)</v>
      </c>
      <c r="C265" s="1" t="str">
        <f>'001'!D265</f>
        <v>0902</v>
      </c>
      <c r="D265" s="3" t="e">
        <f>'001'!H265</f>
        <v>#VALUE!</v>
      </c>
    </row>
    <row r="266" spans="1:4" x14ac:dyDescent="0.25">
      <c r="A266" s="1" t="str">
        <f>'001'!B266</f>
        <v>000382</v>
      </c>
      <c r="B266" s="1" t="str">
        <f>'001'!C266</f>
        <v>AEROSOL RUST-OLEUM PARA MOTOR NEGRO X 0,340 (313545/358864)</v>
      </c>
      <c r="C266" s="1" t="str">
        <f>'001'!D266</f>
        <v>0145</v>
      </c>
      <c r="D266" s="3" t="e">
        <f>'001'!H266</f>
        <v>#VALUE!</v>
      </c>
    </row>
    <row r="267" spans="1:4" x14ac:dyDescent="0.25">
      <c r="A267" s="1" t="str">
        <f>'001'!B267</f>
        <v>000384</v>
      </c>
      <c r="B267" s="1" t="str">
        <f>'001'!C267</f>
        <v>LATEX INTERIOR ALBACRYL MATE BLANCO X  1</v>
      </c>
      <c r="C267" s="1" t="str">
        <f>'001'!D267</f>
        <v>0107</v>
      </c>
      <c r="D267" s="3" t="e">
        <f>'001'!H267</f>
        <v>#VALUE!</v>
      </c>
    </row>
    <row r="268" spans="1:4" x14ac:dyDescent="0.25">
      <c r="A268" s="1" t="str">
        <f>'001'!B268</f>
        <v>000385</v>
      </c>
      <c r="B268" s="1" t="str">
        <f>'001'!C268</f>
        <v>LATEX INTERIOR ALBACRYL RINDE MAS MATE BLANCO X  1</v>
      </c>
      <c r="C268" s="1" t="str">
        <f>'001'!D268</f>
        <v>0107</v>
      </c>
      <c r="D268" s="3" t="e">
        <f>'001'!H268</f>
        <v>#VALUE!</v>
      </c>
    </row>
    <row r="269" spans="1:4" x14ac:dyDescent="0.25">
      <c r="A269" s="1" t="str">
        <f>'001'!B269</f>
        <v>000386</v>
      </c>
      <c r="B269" s="1" t="str">
        <f>'001'!C269</f>
        <v>LATEX INTERIOR ALBACRYL RINDE MAS MATE BLANCO X  4</v>
      </c>
      <c r="C269" s="1" t="str">
        <f>'001'!D269</f>
        <v>0107</v>
      </c>
      <c r="D269" s="3" t="e">
        <f>'001'!H269</f>
        <v>#VALUE!</v>
      </c>
    </row>
    <row r="270" spans="1:4" x14ac:dyDescent="0.25">
      <c r="A270" s="1" t="str">
        <f>'001'!B270</f>
        <v>000387</v>
      </c>
      <c r="B270" s="1" t="str">
        <f>'001'!C270</f>
        <v>MASCARILLA DESCARTABLE(B502)</v>
      </c>
      <c r="C270" s="1" t="str">
        <f>'001'!D270</f>
        <v>0165</v>
      </c>
      <c r="D270" s="3" t="e">
        <f>'001'!H270</f>
        <v>#VALUE!</v>
      </c>
    </row>
    <row r="271" spans="1:4" x14ac:dyDescent="0.25">
      <c r="A271" s="1" t="str">
        <f>'001'!B271</f>
        <v>000391</v>
      </c>
      <c r="B271" s="1" t="str">
        <f>'001'!C271</f>
        <v>IMPERMEABILIZANTE PARA FRENTES Y MUROS DURALBA MATE BLANCO X  4</v>
      </c>
      <c r="C271" s="1" t="str">
        <f>'001'!D271</f>
        <v>0107</v>
      </c>
      <c r="D271" s="3" t="e">
        <f>'001'!H271</f>
        <v>#VALUE!</v>
      </c>
    </row>
    <row r="272" spans="1:4" x14ac:dyDescent="0.25">
      <c r="A272" s="1" t="str">
        <f>'001'!B272</f>
        <v>000392</v>
      </c>
      <c r="B272" s="1" t="str">
        <f>'001'!C272</f>
        <v>IMPERMEABILIZANTE PARA FRENTES Y MUROS DURALBA MATE BLANCO X 10</v>
      </c>
      <c r="C272" s="1" t="str">
        <f>'001'!D272</f>
        <v>0107</v>
      </c>
      <c r="D272" s="3" t="e">
        <f>'001'!H272</f>
        <v>#VALUE!</v>
      </c>
    </row>
    <row r="273" spans="1:4" x14ac:dyDescent="0.25">
      <c r="A273" s="1" t="str">
        <f>'001'!B273</f>
        <v>000393</v>
      </c>
      <c r="B273" s="1" t="str">
        <f>'001'!C273</f>
        <v>IMPERMEABILIZANTE PARA FRENTES Y MUROS DURALBA MATE BLANCO X  1</v>
      </c>
      <c r="C273" s="1" t="str">
        <f>'001'!D273</f>
        <v>0107</v>
      </c>
      <c r="D273" s="3" t="e">
        <f>'001'!H273</f>
        <v>#VALUE!</v>
      </c>
    </row>
    <row r="274" spans="1:4" x14ac:dyDescent="0.25">
      <c r="A274" s="1" t="str">
        <f>'001'!B274</f>
        <v>000394</v>
      </c>
      <c r="B274" s="1" t="str">
        <f>'001'!C274</f>
        <v>IMPERMEABILIZANTE PARA FRENTES Y MUROS DURALBA MATE BLANCO X 20</v>
      </c>
      <c r="C274" s="1" t="str">
        <f>'001'!D274</f>
        <v>0107</v>
      </c>
      <c r="D274" s="3" t="e">
        <f>'001'!H274</f>
        <v>#VALUE!</v>
      </c>
    </row>
    <row r="275" spans="1:4" x14ac:dyDescent="0.25">
      <c r="A275" s="1" t="str">
        <f>'001'!B275</f>
        <v>000395</v>
      </c>
      <c r="B275" s="1" t="str">
        <f>'001'!C275</f>
        <v>LATEX INTERIOR ALBACRYL RINDE MAS MATE BLANCO X 10</v>
      </c>
      <c r="C275" s="1" t="str">
        <f>'001'!D275</f>
        <v>0107</v>
      </c>
      <c r="D275" s="3" t="e">
        <f>'001'!H275</f>
        <v>#VALUE!</v>
      </c>
    </row>
    <row r="276" spans="1:4" x14ac:dyDescent="0.25">
      <c r="A276" s="1" t="str">
        <f>'001'!B276</f>
        <v>000396</v>
      </c>
      <c r="B276" s="1" t="str">
        <f>'001'!C276</f>
        <v>LATEX INTERIOR ALBACRYL RINDE MAS MATE BLANCO X 20</v>
      </c>
      <c r="C276" s="1" t="str">
        <f>'001'!D276</f>
        <v>0107</v>
      </c>
      <c r="D276" s="3" t="e">
        <f>'001'!H276</f>
        <v>#VALUE!</v>
      </c>
    </row>
    <row r="277" spans="1:4" x14ac:dyDescent="0.25">
      <c r="A277" s="1" t="str">
        <f>'001'!B277</f>
        <v>000397</v>
      </c>
      <c r="B277" s="1" t="str">
        <f>'001'!C277</f>
        <v>ESMALTE SINTETICO PLAVICON 3EN1 BRILLANTE MARFIL SEDA X  4</v>
      </c>
      <c r="C277" s="1" t="str">
        <f>'001'!D277</f>
        <v>0139</v>
      </c>
      <c r="D277" s="3" t="e">
        <f>'001'!H277</f>
        <v>#VALUE!</v>
      </c>
    </row>
    <row r="278" spans="1:4" x14ac:dyDescent="0.25">
      <c r="A278" s="1" t="str">
        <f>'001'!B278</f>
        <v>000398</v>
      </c>
      <c r="B278" s="1" t="str">
        <f>'001'!C278</f>
        <v>ESMALTE SINTETICO PLAVICON 3EN1 BRILLANTE MARFIL SEDA X 20</v>
      </c>
      <c r="C278" s="1" t="str">
        <f>'001'!D278</f>
        <v>0139</v>
      </c>
      <c r="D278" s="3" t="e">
        <f>'001'!H278</f>
        <v>#VALUE!</v>
      </c>
    </row>
    <row r="279" spans="1:4" x14ac:dyDescent="0.25">
      <c r="A279" s="1" t="str">
        <f>'001'!B279</f>
        <v>000404</v>
      </c>
      <c r="B279" s="1" t="str">
        <f>'001'!C279</f>
        <v>LATEX EXTERIOR DURALBA MATE BLANCO X  1</v>
      </c>
      <c r="C279" s="1" t="str">
        <f>'001'!D279</f>
        <v>0107</v>
      </c>
      <c r="D279" s="3" t="e">
        <f>'001'!H279</f>
        <v>#VALUE!</v>
      </c>
    </row>
    <row r="280" spans="1:4" x14ac:dyDescent="0.25">
      <c r="A280" s="1" t="str">
        <f>'001'!B280</f>
        <v>000406</v>
      </c>
      <c r="B280" s="1" t="str">
        <f>'001'!C280</f>
        <v>LATEX EXTERIOR DURALBA MATE BLANCO X  4</v>
      </c>
      <c r="C280" s="1" t="str">
        <f>'001'!D280</f>
        <v>0107</v>
      </c>
      <c r="D280" s="3" t="e">
        <f>'001'!H280</f>
        <v>#VALUE!</v>
      </c>
    </row>
    <row r="281" spans="1:4" x14ac:dyDescent="0.25">
      <c r="A281" s="1" t="str">
        <f>'001'!B281</f>
        <v>000407</v>
      </c>
      <c r="B281" s="1" t="str">
        <f>'001'!C281</f>
        <v>GASA BARNIZADA PPG (SX1070X)</v>
      </c>
      <c r="C281" s="1" t="str">
        <f>'001'!D281</f>
        <v>0134</v>
      </c>
      <c r="D281" s="3" t="e">
        <f>'001'!H281</f>
        <v>#VALUE!</v>
      </c>
    </row>
    <row r="282" spans="1:4" x14ac:dyDescent="0.25">
      <c r="A282" s="1" t="str">
        <f>'001'!B282</f>
        <v>000408</v>
      </c>
      <c r="B282" s="1" t="str">
        <f>'001'!C282</f>
        <v>LATEX EXTERIOR DURALBA MATE BLANCO X 20</v>
      </c>
      <c r="C282" s="1" t="str">
        <f>'001'!D282</f>
        <v>0107</v>
      </c>
      <c r="D282" s="3" t="e">
        <f>'001'!H282</f>
        <v>#VALUE!</v>
      </c>
    </row>
    <row r="283" spans="1:4" x14ac:dyDescent="0.25">
      <c r="A283" s="1" t="str">
        <f>'001'!B283</f>
        <v>000411</v>
      </c>
      <c r="B283" s="1" t="str">
        <f>'001'!C283</f>
        <v>ACEITE DE LINO MAGIPLAST X  1</v>
      </c>
      <c r="C283" s="1" t="str">
        <f>'001'!D283</f>
        <v>0129</v>
      </c>
      <c r="D283" s="3" t="e">
        <f>'001'!H283</f>
        <v>#VALUE!</v>
      </c>
    </row>
    <row r="284" spans="1:4" x14ac:dyDescent="0.25">
      <c r="A284" s="1" t="str">
        <f>'001'!B284</f>
        <v>000412</v>
      </c>
      <c r="B284" s="1" t="str">
        <f>'001'!C284</f>
        <v>ACEITE DE LINO MAGIPLAST X  4</v>
      </c>
      <c r="C284" s="1" t="str">
        <f>'001'!D284</f>
        <v>0129</v>
      </c>
      <c r="D284" s="3" t="e">
        <f>'001'!H284</f>
        <v>#VALUE!</v>
      </c>
    </row>
    <row r="285" spans="1:4" x14ac:dyDescent="0.25">
      <c r="A285" s="1" t="str">
        <f>'001'!B285</f>
        <v>000414</v>
      </c>
      <c r="B285" s="1" t="str">
        <f>'001'!C285</f>
        <v>LATEX EXTERIOR DURALBA MATE BLANCO X 10</v>
      </c>
      <c r="C285" s="1" t="str">
        <f>'001'!D285</f>
        <v>0107</v>
      </c>
      <c r="D285" s="3" t="e">
        <f>'001'!H285</f>
        <v>#VALUE!</v>
      </c>
    </row>
    <row r="286" spans="1:4" x14ac:dyDescent="0.25">
      <c r="A286" s="1" t="str">
        <f>'001'!B286</f>
        <v>000422</v>
      </c>
      <c r="B286" s="1" t="str">
        <f>'001'!C286</f>
        <v>LATEX EXTERIOR ALBAFRENT MATE BLANCO X  1</v>
      </c>
      <c r="C286" s="1" t="str">
        <f>'001'!D286</f>
        <v>0902</v>
      </c>
      <c r="D286" s="3" t="e">
        <f>'001'!H286</f>
        <v>#VALUE!</v>
      </c>
    </row>
    <row r="287" spans="1:4" x14ac:dyDescent="0.25">
      <c r="A287" s="1" t="str">
        <f>'001'!B287</f>
        <v>000423</v>
      </c>
      <c r="B287" s="1" t="str">
        <f>'001'!C287</f>
        <v>LATEX EXTERIOR ALBAFRENT MATE BLANCO X  4</v>
      </c>
      <c r="C287" s="1" t="str">
        <f>'001'!D287</f>
        <v>0107</v>
      </c>
      <c r="D287" s="3" t="e">
        <f>'001'!H287</f>
        <v>#VALUE!</v>
      </c>
    </row>
    <row r="288" spans="1:4" x14ac:dyDescent="0.25">
      <c r="A288" s="1" t="str">
        <f>'001'!B288</f>
        <v>000424</v>
      </c>
      <c r="B288" s="1" t="str">
        <f>'001'!C288</f>
        <v>LATEX EXTERIOR ALBAFRENT MATE BLANCO X 10</v>
      </c>
      <c r="C288" s="1" t="str">
        <f>'001'!D288</f>
        <v>0107</v>
      </c>
      <c r="D288" s="3" t="e">
        <f>'001'!H288</f>
        <v>#VALUE!</v>
      </c>
    </row>
    <row r="289" spans="1:4" x14ac:dyDescent="0.25">
      <c r="A289" s="1" t="str">
        <f>'001'!B289</f>
        <v>000425</v>
      </c>
      <c r="B289" s="1" t="str">
        <f>'001'!C289</f>
        <v>LATEX EXTERIOR ALBAFRENT MATE BLANCO X 20</v>
      </c>
      <c r="C289" s="1" t="str">
        <f>'001'!D289</f>
        <v>0107</v>
      </c>
      <c r="D289" s="3" t="e">
        <f>'001'!H289</f>
        <v>#VALUE!</v>
      </c>
    </row>
    <row r="290" spans="1:4" x14ac:dyDescent="0.25">
      <c r="A290" s="1" t="str">
        <f>'001'!B290</f>
        <v>000426</v>
      </c>
      <c r="B290" s="1" t="str">
        <f>'001'!C290</f>
        <v>ESMALTE SINTETICO PLAVICON 3EN1 BRILLANTE MARFIL CHAMPAGNE X  0,500</v>
      </c>
      <c r="C290" s="1" t="str">
        <f>'001'!D290</f>
        <v>0902</v>
      </c>
      <c r="D290" s="3" t="e">
        <f>'001'!H290</f>
        <v>#VALUE!</v>
      </c>
    </row>
    <row r="291" spans="1:4" x14ac:dyDescent="0.25">
      <c r="A291" s="1" t="str">
        <f>'001'!B291</f>
        <v>000427</v>
      </c>
      <c r="B291" s="1" t="str">
        <f>'001'!C291</f>
        <v>PLAQUETA PARA PULIR VERDE</v>
      </c>
      <c r="C291" s="1" t="str">
        <f>'001'!D291</f>
        <v>0127</v>
      </c>
      <c r="D291" s="3" t="e">
        <f>'001'!H291</f>
        <v>#VALUE!</v>
      </c>
    </row>
    <row r="292" spans="1:4" x14ac:dyDescent="0.25">
      <c r="A292" s="1" t="str">
        <f>'001'!B292</f>
        <v>000430</v>
      </c>
      <c r="B292" s="1" t="str">
        <f>'001'!C292</f>
        <v>DISCO DE FIBRA DOBLE A 178X22HY-71 G.A.#120</v>
      </c>
      <c r="C292" s="1" t="str">
        <f>'001'!D292</f>
        <v>0102</v>
      </c>
      <c r="D292" s="3" t="e">
        <f>'001'!H292</f>
        <v>#VALUE!</v>
      </c>
    </row>
    <row r="293" spans="1:4" x14ac:dyDescent="0.25">
      <c r="A293" s="1" t="str">
        <f>'001'!B293</f>
        <v>000431</v>
      </c>
      <c r="B293" s="1" t="str">
        <f>'001'!C293</f>
        <v>BASE POLIURETANO 2K 2703 X 0,625</v>
      </c>
      <c r="C293" s="1" t="str">
        <f>'001'!D293</f>
        <v>0137</v>
      </c>
      <c r="D293" s="3" t="e">
        <f>'001'!H293</f>
        <v>#VALUE!</v>
      </c>
    </row>
    <row r="294" spans="1:4" x14ac:dyDescent="0.25">
      <c r="A294" s="1" t="str">
        <f>'001'!B294</f>
        <v>000432</v>
      </c>
      <c r="B294" s="1" t="str">
        <f>'001'!C294</f>
        <v>LIJA RUBI FLEX DOBLE A N 180/220 E.F.</v>
      </c>
      <c r="C294" s="1" t="str">
        <f>'001'!D294</f>
        <v>0102</v>
      </c>
      <c r="D294" s="3" t="e">
        <f>'001'!H294</f>
        <v>#VALUE!</v>
      </c>
    </row>
    <row r="295" spans="1:4" x14ac:dyDescent="0.25">
      <c r="A295" s="1" t="str">
        <f>'001'!B295</f>
        <v>000433</v>
      </c>
      <c r="B295" s="1" t="str">
        <f>'001'!C295</f>
        <v>ESMALTE SINTETICO PLAVICON 3EN1 BRILLANTE MARFIL CHAMPAGNE X  1</v>
      </c>
      <c r="C295" s="1" t="str">
        <f>'001'!D295</f>
        <v>0902</v>
      </c>
      <c r="D295" s="3" t="e">
        <f>'001'!H295</f>
        <v>#VALUE!</v>
      </c>
    </row>
    <row r="296" spans="1:4" x14ac:dyDescent="0.25">
      <c r="A296" s="1" t="str">
        <f>'001'!B296</f>
        <v>000435</v>
      </c>
      <c r="B296" s="1" t="str">
        <f>'001'!C296</f>
        <v>SELLADOR JUNTAFLEX X 300</v>
      </c>
      <c r="C296" s="1" t="str">
        <f>'001'!D296</f>
        <v>0140</v>
      </c>
      <c r="D296" s="3" t="e">
        <f>'001'!H296</f>
        <v>#VALUE!</v>
      </c>
    </row>
    <row r="297" spans="1:4" x14ac:dyDescent="0.25">
      <c r="A297" s="1" t="str">
        <f>'001'!B297</f>
        <v>000436</v>
      </c>
      <c r="B297" s="1" t="str">
        <f>'001'!C297</f>
        <v>CINTA DE PAPEL DOBLE A (988AA)  6MM</v>
      </c>
      <c r="C297" s="1" t="str">
        <f>'001'!D297</f>
        <v>0102</v>
      </c>
      <c r="D297" s="3" t="e">
        <f>'001'!H297</f>
        <v>#VALUE!</v>
      </c>
    </row>
    <row r="298" spans="1:4" x14ac:dyDescent="0.25">
      <c r="A298" s="1" t="str">
        <f>'001'!B298</f>
        <v>000437</v>
      </c>
      <c r="B298" s="1" t="str">
        <f>'001'!C298</f>
        <v>CLEAR BICAPA 2K 2733 X 0,750</v>
      </c>
      <c r="C298" s="1" t="str">
        <f>'001'!D298</f>
        <v>0137</v>
      </c>
      <c r="D298" s="3" t="e">
        <f>'001'!H298</f>
        <v>#VALUE!</v>
      </c>
    </row>
    <row r="299" spans="1:4" x14ac:dyDescent="0.25">
      <c r="A299" s="1" t="str">
        <f>'001'!B299</f>
        <v>000438</v>
      </c>
      <c r="B299" s="1" t="str">
        <f>'001'!C299</f>
        <v>CINTA DE PAPEL DOBLE A (988AA) 10MM</v>
      </c>
      <c r="C299" s="1" t="str">
        <f>'001'!D299</f>
        <v>0102</v>
      </c>
      <c r="D299" s="3" t="e">
        <f>'001'!H299</f>
        <v>#VALUE!</v>
      </c>
    </row>
    <row r="300" spans="1:4" x14ac:dyDescent="0.25">
      <c r="A300" s="1" t="str">
        <f>'001'!B300</f>
        <v>000439</v>
      </c>
      <c r="B300" s="1" t="str">
        <f>'001'!C300</f>
        <v>CINTA DE PAPEL DOBLE A (988AA) 12MM</v>
      </c>
      <c r="C300" s="1" t="str">
        <f>'001'!D300</f>
        <v>0102</v>
      </c>
      <c r="D300" s="3" t="e">
        <f>'001'!H300</f>
        <v>#VALUE!</v>
      </c>
    </row>
    <row r="301" spans="1:4" x14ac:dyDescent="0.25">
      <c r="A301" s="1" t="str">
        <f>'001'!B301</f>
        <v>000440</v>
      </c>
      <c r="B301" s="1" t="str">
        <f>'001'!C301</f>
        <v>CINTA DE PAPEL DOBLE A (988AA) 15MM</v>
      </c>
      <c r="C301" s="1" t="str">
        <f>'001'!D301</f>
        <v>0102</v>
      </c>
      <c r="D301" s="3" t="e">
        <f>'001'!H301</f>
        <v>#VALUE!</v>
      </c>
    </row>
    <row r="302" spans="1:4" x14ac:dyDescent="0.25">
      <c r="A302" s="1" t="str">
        <f>'001'!B302</f>
        <v>000441</v>
      </c>
      <c r="B302" s="1" t="str">
        <f>'001'!C302</f>
        <v>CINTA DE PAPEL DOBLE A (988AA) 18MM</v>
      </c>
      <c r="C302" s="1" t="str">
        <f>'001'!D302</f>
        <v>0102</v>
      </c>
      <c r="D302" s="3" t="e">
        <f>'001'!H302</f>
        <v>#VALUE!</v>
      </c>
    </row>
    <row r="303" spans="1:4" x14ac:dyDescent="0.25">
      <c r="A303" s="1" t="str">
        <f>'001'!B303</f>
        <v>000442</v>
      </c>
      <c r="B303" s="1" t="str">
        <f>'001'!C303</f>
        <v>CINTA DE PAPEL DOBLE A (988AA) 24MM</v>
      </c>
      <c r="C303" s="1" t="str">
        <f>'001'!D303</f>
        <v>0102</v>
      </c>
      <c r="D303" s="3" t="e">
        <f>'001'!H303</f>
        <v>#VALUE!</v>
      </c>
    </row>
    <row r="304" spans="1:4" x14ac:dyDescent="0.25">
      <c r="A304" s="1" t="str">
        <f>'001'!B304</f>
        <v>000443</v>
      </c>
      <c r="B304" s="1" t="str">
        <f>'001'!C304</f>
        <v>DISCO DE FIBRA DOBLE A 178X22HX-73 G.A.#14</v>
      </c>
      <c r="C304" s="1" t="str">
        <f>'001'!D304</f>
        <v>0102</v>
      </c>
      <c r="D304" s="3" t="e">
        <f>'001'!H304</f>
        <v>#VALUE!</v>
      </c>
    </row>
    <row r="305" spans="1:4" x14ac:dyDescent="0.25">
      <c r="A305" s="1" t="str">
        <f>'001'!B305</f>
        <v>000444</v>
      </c>
      <c r="B305" s="1" t="str">
        <f>'001'!C305</f>
        <v>DISCO DE FIBRA DOBLE A 178X22HX-73 G.A.#16</v>
      </c>
      <c r="C305" s="1" t="str">
        <f>'001'!D305</f>
        <v>0902</v>
      </c>
      <c r="D305" s="3" t="e">
        <f>'001'!H305</f>
        <v>#VALUE!</v>
      </c>
    </row>
    <row r="306" spans="1:4" x14ac:dyDescent="0.25">
      <c r="A306" s="1" t="str">
        <f>'001'!B306</f>
        <v>000445</v>
      </c>
      <c r="B306" s="1" t="str">
        <f>'001'!C306</f>
        <v>DISCO DE FIBRA DOBLE A 178X22HX-73 G.A.#24</v>
      </c>
      <c r="C306" s="1" t="str">
        <f>'001'!D306</f>
        <v>0102</v>
      </c>
      <c r="D306" s="3" t="e">
        <f>'001'!H306</f>
        <v>#VALUE!</v>
      </c>
    </row>
    <row r="307" spans="1:4" x14ac:dyDescent="0.25">
      <c r="A307" s="1" t="str">
        <f>'001'!B307</f>
        <v>000446</v>
      </c>
      <c r="B307" s="1" t="str">
        <f>'001'!C307</f>
        <v>DISCO DE FIBRA DOBLE A 178X22HX-73 G.A.#36</v>
      </c>
      <c r="C307" s="1" t="str">
        <f>'001'!D307</f>
        <v>0102</v>
      </c>
      <c r="D307" s="3" t="e">
        <f>'001'!H307</f>
        <v>#VALUE!</v>
      </c>
    </row>
    <row r="308" spans="1:4" x14ac:dyDescent="0.25">
      <c r="A308" s="1" t="str">
        <f>'001'!B308</f>
        <v>000447</v>
      </c>
      <c r="B308" s="1" t="str">
        <f>'001'!C308</f>
        <v>DISCO DE FIBRA DOBLE A 178X22HY-71 G.A. #50</v>
      </c>
      <c r="C308" s="1" t="str">
        <f>'001'!D308</f>
        <v>0102</v>
      </c>
      <c r="D308" s="3" t="e">
        <f>'001'!H308</f>
        <v>#VALUE!</v>
      </c>
    </row>
    <row r="309" spans="1:4" x14ac:dyDescent="0.25">
      <c r="A309" s="1" t="str">
        <f>'001'!B309</f>
        <v>000448</v>
      </c>
      <c r="B309" s="1" t="str">
        <f>'001'!C309</f>
        <v>DISCO PIEL LUDAMAR/WOOLLY (51)</v>
      </c>
      <c r="C309" s="1" t="str">
        <f>'001'!D309</f>
        <v>0128</v>
      </c>
      <c r="D309" s="3" t="e">
        <f>'001'!H309</f>
        <v>#VALUE!</v>
      </c>
    </row>
    <row r="310" spans="1:4" x14ac:dyDescent="0.25">
      <c r="A310" s="1" t="str">
        <f>'001'!B310</f>
        <v>000449</v>
      </c>
      <c r="B310" s="1" t="str">
        <f>'001'!C310</f>
        <v>CINTA DE PAPEL DOBLE A (988AA) 36MM</v>
      </c>
      <c r="C310" s="1" t="str">
        <f>'001'!D310</f>
        <v>0102</v>
      </c>
      <c r="D310" s="3" t="e">
        <f>'001'!H310</f>
        <v>#VALUE!</v>
      </c>
    </row>
    <row r="311" spans="1:4" x14ac:dyDescent="0.25">
      <c r="A311" s="1" t="str">
        <f>'001'!B311</f>
        <v>000450</v>
      </c>
      <c r="B311" s="1" t="str">
        <f>'001'!C311</f>
        <v>LIJA RUBI FLEX DOBLE A N  36/40 E.G.</v>
      </c>
      <c r="C311" s="1" t="str">
        <f>'001'!D311</f>
        <v>0102</v>
      </c>
      <c r="D311" s="3" t="e">
        <f>'001'!H311</f>
        <v>#VALUE!</v>
      </c>
    </row>
    <row r="312" spans="1:4" x14ac:dyDescent="0.25">
      <c r="A312" s="1" t="str">
        <f>'001'!B312</f>
        <v>000451</v>
      </c>
      <c r="B312" s="1" t="str">
        <f>'001'!C312</f>
        <v>LLANA LISA LH 12X30</v>
      </c>
      <c r="C312" s="1" t="str">
        <f>'001'!D312</f>
        <v>0126</v>
      </c>
      <c r="D312" s="3" t="e">
        <f>'001'!H312</f>
        <v>#VALUE!</v>
      </c>
    </row>
    <row r="313" spans="1:4" x14ac:dyDescent="0.25">
      <c r="A313" s="1" t="str">
        <f>'001'!B313</f>
        <v>000452</v>
      </c>
      <c r="B313" s="1" t="str">
        <f>'001'!C313</f>
        <v>ESTOPA PARA LUSTRE LUMAR BLANCA X 0,300 (31/A)</v>
      </c>
      <c r="C313" s="1" t="str">
        <f>'001'!D313</f>
        <v>0128</v>
      </c>
      <c r="D313" s="3" t="e">
        <f>'001'!H313</f>
        <v>#VALUE!</v>
      </c>
    </row>
    <row r="314" spans="1:4" x14ac:dyDescent="0.25">
      <c r="A314" s="1" t="str">
        <f>'001'!B314</f>
        <v>000453</v>
      </c>
      <c r="B314" s="1" t="str">
        <f>'001'!C314</f>
        <v>CINTA DE PAPEL DOBLE A (988AA) 48MM</v>
      </c>
      <c r="C314" s="1" t="str">
        <f>'001'!D314</f>
        <v>0102</v>
      </c>
      <c r="D314" s="3" t="e">
        <f>'001'!H314</f>
        <v>#VALUE!</v>
      </c>
    </row>
    <row r="315" spans="1:4" x14ac:dyDescent="0.25">
      <c r="A315" s="1" t="str">
        <f>'001'!B315</f>
        <v>000454</v>
      </c>
      <c r="B315" s="1" t="str">
        <f>'001'!C315</f>
        <v>DISCO DE FIBRA DOBLE A 178X22HY-71 G.A. #60</v>
      </c>
      <c r="C315" s="1" t="str">
        <f>'001'!D315</f>
        <v>0102</v>
      </c>
      <c r="D315" s="3" t="e">
        <f>'001'!H315</f>
        <v>#VALUE!</v>
      </c>
    </row>
    <row r="316" spans="1:4" x14ac:dyDescent="0.25">
      <c r="A316" s="1" t="str">
        <f>'001'!B316</f>
        <v>000455</v>
      </c>
      <c r="B316" s="1" t="str">
        <f>'001'!C316</f>
        <v>ESPATULA PINTOR SANTA JUANA RECTIFICADA BI MATERIAL 30</v>
      </c>
      <c r="C316" s="1" t="str">
        <f>'001'!D316</f>
        <v>0148</v>
      </c>
      <c r="D316" s="3" t="e">
        <f>'001'!H316</f>
        <v>#VALUE!</v>
      </c>
    </row>
    <row r="317" spans="1:4" x14ac:dyDescent="0.25">
      <c r="A317" s="1" t="str">
        <f>'001'!B317</f>
        <v>000456</v>
      </c>
      <c r="B317" s="1" t="str">
        <f>'001'!C317</f>
        <v>ESPATULA PINTOR SANTA JUANA RECTIFICADA BI MATERIAL 40</v>
      </c>
      <c r="C317" s="1" t="str">
        <f>'001'!D317</f>
        <v>0148</v>
      </c>
      <c r="D317" s="3" t="e">
        <f>'001'!H317</f>
        <v>#VALUE!</v>
      </c>
    </row>
    <row r="318" spans="1:4" x14ac:dyDescent="0.25">
      <c r="A318" s="1" t="str">
        <f>'001'!B318</f>
        <v>000457</v>
      </c>
      <c r="B318" s="1" t="str">
        <f>'001'!C318</f>
        <v>ESPATULA PINTOR SANTA JUANA RECTIFICADA BI MATERIAL 50</v>
      </c>
      <c r="C318" s="1" t="str">
        <f>'001'!D318</f>
        <v>0148</v>
      </c>
      <c r="D318" s="3" t="e">
        <f>'001'!H318</f>
        <v>#VALUE!</v>
      </c>
    </row>
    <row r="319" spans="1:4" x14ac:dyDescent="0.25">
      <c r="A319" s="1" t="str">
        <f>'001'!B319</f>
        <v>000458</v>
      </c>
      <c r="B319" s="1" t="str">
        <f>'001'!C319</f>
        <v>ESPATULA PINTOR SANTA JUANA RECTIFICADA BI MATERIAL 60</v>
      </c>
      <c r="C319" s="1" t="str">
        <f>'001'!D319</f>
        <v>0148</v>
      </c>
      <c r="D319" s="3" t="e">
        <f>'001'!H319</f>
        <v>#VALUE!</v>
      </c>
    </row>
    <row r="320" spans="1:4" x14ac:dyDescent="0.25">
      <c r="A320" s="1" t="str">
        <f>'001'!B320</f>
        <v>000459</v>
      </c>
      <c r="B320" s="1" t="str">
        <f>'001'!C320</f>
        <v>ESPATULA PINTOR SANTA JUANA RECTIFICADA BI MATERIAL 70</v>
      </c>
      <c r="C320" s="1" t="str">
        <f>'001'!D320</f>
        <v>0148</v>
      </c>
      <c r="D320" s="3" t="e">
        <f>'001'!H320</f>
        <v>#VALUE!</v>
      </c>
    </row>
    <row r="321" spans="1:4" x14ac:dyDescent="0.25">
      <c r="A321" s="1" t="str">
        <f>'001'!B321</f>
        <v>000460</v>
      </c>
      <c r="B321" s="1" t="str">
        <f>'001'!C321</f>
        <v>ESPATULA PINTOR SANTA JUANA RECTIFICADA BI MATERIAL 80</v>
      </c>
      <c r="C321" s="1" t="str">
        <f>'001'!D321</f>
        <v>0148</v>
      </c>
      <c r="D321" s="3" t="e">
        <f>'001'!H321</f>
        <v>#VALUE!</v>
      </c>
    </row>
    <row r="322" spans="1:4" x14ac:dyDescent="0.25">
      <c r="A322" s="1" t="str">
        <f>'001'!B322</f>
        <v>000461</v>
      </c>
      <c r="B322" s="1" t="str">
        <f>'001'!C322</f>
        <v>DISCO DE FIBRA DOBLE A 178X22HY-71 G.A. #80</v>
      </c>
      <c r="C322" s="1" t="str">
        <f>'001'!D322</f>
        <v>0102</v>
      </c>
      <c r="D322" s="3" t="e">
        <f>'001'!H322</f>
        <v>#VALUE!</v>
      </c>
    </row>
    <row r="323" spans="1:4" x14ac:dyDescent="0.25">
      <c r="A323" s="1" t="str">
        <f>'001'!B323</f>
        <v>000462</v>
      </c>
      <c r="B323" s="1" t="str">
        <f>'001'!C323</f>
        <v>SILICONA FASTIX BLANCO X 100</v>
      </c>
      <c r="C323" s="1" t="str">
        <f>'001'!D323</f>
        <v>0140</v>
      </c>
      <c r="D323" s="3" t="e">
        <f>'001'!H323</f>
        <v>#VALUE!</v>
      </c>
    </row>
    <row r="324" spans="1:4" x14ac:dyDescent="0.25">
      <c r="A324" s="1" t="str">
        <f>'001'!B324</f>
        <v>000463</v>
      </c>
      <c r="B324" s="1" t="str">
        <f>'001'!C324</f>
        <v>SILICONA FASTIX NEGRO X 100</v>
      </c>
      <c r="C324" s="1" t="str">
        <f>'001'!D324</f>
        <v>0140</v>
      </c>
      <c r="D324" s="3" t="e">
        <f>'001'!H324</f>
        <v>#VALUE!</v>
      </c>
    </row>
    <row r="325" spans="1:4" x14ac:dyDescent="0.25">
      <c r="A325" s="1" t="str">
        <f>'001'!B325</f>
        <v>000464</v>
      </c>
      <c r="B325" s="1" t="str">
        <f>'001'!C325</f>
        <v>IMPERMEABILIZANTE PARA FRENTES Y MUROS ALBAFRENT MATE BLANCO X  4</v>
      </c>
      <c r="C325" s="1" t="str">
        <f>'001'!D325</f>
        <v>0107</v>
      </c>
      <c r="D325" s="3" t="e">
        <f>'001'!H325</f>
        <v>#VALUE!</v>
      </c>
    </row>
    <row r="326" spans="1:4" x14ac:dyDescent="0.25">
      <c r="A326" s="1" t="str">
        <f>'001'!B326</f>
        <v>000465</v>
      </c>
      <c r="B326" s="1" t="str">
        <f>'001'!C326</f>
        <v>IMPERMEABILIZANTE PARA FRENTES Y MUROS ALBAFRENT MATE BLANCO X 20</v>
      </c>
      <c r="C326" s="1" t="str">
        <f>'001'!D326</f>
        <v>0107</v>
      </c>
      <c r="D326" s="3" t="e">
        <f>'001'!H326</f>
        <v>#VALUE!</v>
      </c>
    </row>
    <row r="327" spans="1:4" x14ac:dyDescent="0.25">
      <c r="A327" s="1" t="str">
        <f>'001'!B327</f>
        <v>000466</v>
      </c>
      <c r="B327" s="1" t="str">
        <f>'001'!C327</f>
        <v>DISCO DE FIBRA DOBLE A 178X22HY-71 G.A.#100</v>
      </c>
      <c r="C327" s="1" t="str">
        <f>'001'!D327</f>
        <v>0102</v>
      </c>
      <c r="D327" s="3" t="e">
        <f>'001'!H327</f>
        <v>#VALUE!</v>
      </c>
    </row>
    <row r="328" spans="1:4" x14ac:dyDescent="0.25">
      <c r="A328" s="1" t="str">
        <f>'001'!B328</f>
        <v>000467</v>
      </c>
      <c r="B328" s="1" t="str">
        <f>'001'!C328</f>
        <v>MASILLA UNIVERSAL MMB X 0,340</v>
      </c>
      <c r="C328" s="1" t="str">
        <f>'001'!D328</f>
        <v>0137</v>
      </c>
      <c r="D328" s="3" t="e">
        <f>'001'!H328</f>
        <v>#VALUE!</v>
      </c>
    </row>
    <row r="329" spans="1:4" x14ac:dyDescent="0.25">
      <c r="A329" s="1" t="str">
        <f>'001'!B329</f>
        <v>000468</v>
      </c>
      <c r="B329" s="1" t="str">
        <f>'001'!C329</f>
        <v>ESPATULA PINTOR SANTA JUANA RECTIFICADA BI MATERIAL INOXIDABLE 150</v>
      </c>
      <c r="C329" s="1" t="str">
        <f>'001'!D329</f>
        <v>0148</v>
      </c>
      <c r="D329" s="3" t="e">
        <f>'001'!H329</f>
        <v>#VALUE!</v>
      </c>
    </row>
    <row r="330" spans="1:4" x14ac:dyDescent="0.25">
      <c r="A330" s="1" t="str">
        <f>'001'!B330</f>
        <v>000469</v>
      </c>
      <c r="B330" s="1" t="str">
        <f>'001'!C330</f>
        <v>LAMINA PARA MASILLAR  6 X 10</v>
      </c>
      <c r="C330" s="1" t="str">
        <f>'001'!D330</f>
        <v>0179</v>
      </c>
      <c r="D330" s="3" t="e">
        <f>'001'!H330</f>
        <v>#VALUE!</v>
      </c>
    </row>
    <row r="331" spans="1:4" x14ac:dyDescent="0.25">
      <c r="A331" s="1" t="str">
        <f>'001'!B331</f>
        <v>000471</v>
      </c>
      <c r="B331" s="1" t="str">
        <f>'001'!C331</f>
        <v>LAMINA PARA MASILLAR 10 X 12</v>
      </c>
      <c r="C331" s="1" t="str">
        <f>'001'!D331</f>
        <v>0179</v>
      </c>
      <c r="D331" s="3" t="e">
        <f>'001'!H331</f>
        <v>#VALUE!</v>
      </c>
    </row>
    <row r="332" spans="1:4" x14ac:dyDescent="0.25">
      <c r="A332" s="1" t="str">
        <f>'001'!B332</f>
        <v>000472</v>
      </c>
      <c r="B332" s="1" t="str">
        <f>'001'!C332</f>
        <v>ESMALTE SINTETICO PLAVICON 3EN1 BRILLANTE MARFIL CHAMPAGNE X  4</v>
      </c>
      <c r="C332" s="1" t="str">
        <f>'001'!D332</f>
        <v>0902</v>
      </c>
      <c r="D332" s="3" t="e">
        <f>'001'!H332</f>
        <v>#VALUE!</v>
      </c>
    </row>
    <row r="333" spans="1:4" x14ac:dyDescent="0.25">
      <c r="A333" s="1" t="str">
        <f>'001'!B333</f>
        <v>000473</v>
      </c>
      <c r="B333" s="1" t="str">
        <f>'001'!C333</f>
        <v>IMPREGNANTE PARA PISO CETOL DECK NATURAL X 1</v>
      </c>
      <c r="C333" s="1" t="str">
        <f>'001'!D333</f>
        <v>0105</v>
      </c>
      <c r="D333" s="3" t="e">
        <f>'001'!H333</f>
        <v>#VALUE!</v>
      </c>
    </row>
    <row r="334" spans="1:4" x14ac:dyDescent="0.25">
      <c r="A334" s="1" t="str">
        <f>'001'!B334</f>
        <v>000474</v>
      </c>
      <c r="B334" s="1" t="str">
        <f>'001'!C334</f>
        <v>IMPREGNANTE PARA PISO CETOL DECK NATURAL X 4</v>
      </c>
      <c r="C334" s="1" t="str">
        <f>'001'!D334</f>
        <v>0105</v>
      </c>
      <c r="D334" s="3" t="e">
        <f>'001'!H334</f>
        <v>#VALUE!</v>
      </c>
    </row>
    <row r="335" spans="1:4" x14ac:dyDescent="0.25">
      <c r="A335" s="1" t="str">
        <f>'001'!B335</f>
        <v>000475</v>
      </c>
      <c r="B335" s="1" t="str">
        <f>'001'!C335</f>
        <v>ESPATULA PINTOR SANTA JUANA RECTIFICADA BI MATERIAL 90</v>
      </c>
      <c r="C335" s="1" t="str">
        <f>'001'!D335</f>
        <v>0148</v>
      </c>
      <c r="D335" s="3" t="e">
        <f>'001'!H335</f>
        <v>#VALUE!</v>
      </c>
    </row>
    <row r="336" spans="1:4" x14ac:dyDescent="0.25">
      <c r="A336" s="1" t="str">
        <f>'001'!B336</f>
        <v>000478</v>
      </c>
      <c r="B336" s="1" t="str">
        <f>'001'!C336</f>
        <v>ESMALTE SINTETICO PLAVICON 3EN1 BRILLANTE CREMA X  0,500</v>
      </c>
      <c r="C336" s="1" t="str">
        <f>'001'!D336</f>
        <v>0902</v>
      </c>
      <c r="D336" s="3" t="e">
        <f>'001'!H336</f>
        <v>#VALUE!</v>
      </c>
    </row>
    <row r="337" spans="1:4" x14ac:dyDescent="0.25">
      <c r="A337" s="1" t="str">
        <f>'001'!B337</f>
        <v>000479</v>
      </c>
      <c r="B337" s="1" t="str">
        <f>'001'!C337</f>
        <v>ESMALTE SINTETICO PLAVICON 3EN1 BRILLANTE CREMA X  1</v>
      </c>
      <c r="C337" s="1" t="str">
        <f>'001'!D337</f>
        <v>0902</v>
      </c>
      <c r="D337" s="3" t="e">
        <f>'001'!H337</f>
        <v>#VALUE!</v>
      </c>
    </row>
    <row r="338" spans="1:4" x14ac:dyDescent="0.25">
      <c r="A338" s="1" t="str">
        <f>'001'!B338</f>
        <v>000480</v>
      </c>
      <c r="B338" s="1" t="str">
        <f>'001'!C338</f>
        <v>ESMALTE SINTETICO PLAVICON 3EN1 BRILLANTE CREMA X  4</v>
      </c>
      <c r="C338" s="1" t="str">
        <f>'001'!D338</f>
        <v>0902</v>
      </c>
      <c r="D338" s="3" t="e">
        <f>'001'!H338</f>
        <v>#VALUE!</v>
      </c>
    </row>
    <row r="339" spans="1:4" x14ac:dyDescent="0.25">
      <c r="A339" s="1" t="str">
        <f>'001'!B339</f>
        <v>000483</v>
      </c>
      <c r="B339" s="1" t="str">
        <f>'001'!C339</f>
        <v>PINTURA PARA PILETA RESOL CRISTAFLEX CELESTE X 20</v>
      </c>
      <c r="C339" s="1" t="str">
        <f>'001'!D339</f>
        <v>0141</v>
      </c>
      <c r="D339" s="3" t="e">
        <f>'001'!H339</f>
        <v>#VALUE!</v>
      </c>
    </row>
    <row r="340" spans="1:4" x14ac:dyDescent="0.25">
      <c r="A340" s="1" t="str">
        <f>'001'!B340</f>
        <v>000486</v>
      </c>
      <c r="B340" s="1" t="str">
        <f>'001'!C340</f>
        <v>RODILLO LUMAR LATEX SATINADO PELO MEDIO 17(920B)</v>
      </c>
      <c r="C340" s="1" t="str">
        <f>'001'!D340</f>
        <v>0128</v>
      </c>
      <c r="D340" s="3" t="e">
        <f>'001'!H340</f>
        <v>#VALUE!</v>
      </c>
    </row>
    <row r="341" spans="1:4" x14ac:dyDescent="0.25">
      <c r="A341" s="1" t="str">
        <f>'001'!B341</f>
        <v>000487</v>
      </c>
      <c r="B341" s="1" t="str">
        <f>'001'!C341</f>
        <v>RODILLO LUMAR LATEX SATINADO PELO MEDIO 22(920C)</v>
      </c>
      <c r="C341" s="1" t="str">
        <f>'001'!D341</f>
        <v>0128</v>
      </c>
      <c r="D341" s="3" t="e">
        <f>'001'!H341</f>
        <v>#VALUE!</v>
      </c>
    </row>
    <row r="342" spans="1:4" x14ac:dyDescent="0.25">
      <c r="A342" s="1" t="str">
        <f>'001'!B342</f>
        <v>000488</v>
      </c>
      <c r="B342" s="1" t="str">
        <f>'001'!C342</f>
        <v>ESMALTE SINTETICO PLAVICON 3EN1 BRILLANTE GRIS PERLA  X  0,250</v>
      </c>
      <c r="C342" s="1" t="str">
        <f>'001'!D342</f>
        <v>0902</v>
      </c>
      <c r="D342" s="3" t="e">
        <f>'001'!H342</f>
        <v>#VALUE!</v>
      </c>
    </row>
    <row r="343" spans="1:4" x14ac:dyDescent="0.25">
      <c r="A343" s="1" t="str">
        <f>'001'!B343</f>
        <v>000489</v>
      </c>
      <c r="B343" s="1" t="str">
        <f>'001'!C343</f>
        <v>ESMALTE SINTETICO PLAVICON 3EN1 BRILLANTE GRIS PERLA X  0,500</v>
      </c>
      <c r="C343" s="1" t="str">
        <f>'001'!D343</f>
        <v>0139</v>
      </c>
      <c r="D343" s="3" t="e">
        <f>'001'!H343</f>
        <v>#VALUE!</v>
      </c>
    </row>
    <row r="344" spans="1:4" x14ac:dyDescent="0.25">
      <c r="A344" s="1" t="str">
        <f>'001'!B344</f>
        <v>000490</v>
      </c>
      <c r="B344" s="1" t="str">
        <f>'001'!C344</f>
        <v>HOJA DE APOYO SIN FIN 7</v>
      </c>
      <c r="C344" s="1" t="str">
        <f>'001'!D344</f>
        <v>0149</v>
      </c>
      <c r="D344" s="3" t="e">
        <f>'001'!H344</f>
        <v>#VALUE!</v>
      </c>
    </row>
    <row r="345" spans="1:4" x14ac:dyDescent="0.25">
      <c r="A345" s="1" t="str">
        <f>'001'!B345</f>
        <v>000491</v>
      </c>
      <c r="B345" s="1" t="str">
        <f>'001'!C345</f>
        <v>HOJA DE APOYO SIN FIN 8</v>
      </c>
      <c r="C345" s="1" t="str">
        <f>'001'!D345</f>
        <v>0149</v>
      </c>
      <c r="D345" s="3" t="e">
        <f>'001'!H345</f>
        <v>#VALUE!</v>
      </c>
    </row>
    <row r="346" spans="1:4" x14ac:dyDescent="0.25">
      <c r="A346" s="1" t="str">
        <f>'001'!B346</f>
        <v>000492</v>
      </c>
      <c r="B346" s="1" t="str">
        <f>'001'!C346</f>
        <v>HOJA DE APOYO SIN FIN 9</v>
      </c>
      <c r="C346" s="1" t="str">
        <f>'001'!D346</f>
        <v>0149</v>
      </c>
      <c r="D346" s="3" t="e">
        <f>'001'!H346</f>
        <v>#VALUE!</v>
      </c>
    </row>
    <row r="347" spans="1:4" x14ac:dyDescent="0.25">
      <c r="A347" s="1" t="str">
        <f>'001'!B347</f>
        <v>000493</v>
      </c>
      <c r="B347" s="1" t="str">
        <f>'001'!C347</f>
        <v>HOJA DE APOYO SIN FIN 10</v>
      </c>
      <c r="C347" s="1" t="str">
        <f>'001'!D347</f>
        <v>0149</v>
      </c>
      <c r="D347" s="3" t="e">
        <f>'001'!H347</f>
        <v>#VALUE!</v>
      </c>
    </row>
    <row r="348" spans="1:4" x14ac:dyDescent="0.25">
      <c r="A348" s="1" t="str">
        <f>'001'!B348</f>
        <v>000494</v>
      </c>
      <c r="B348" s="1" t="str">
        <f>'001'!C348</f>
        <v>HOJA DE APOYO SIN FIN 11</v>
      </c>
      <c r="C348" s="1" t="str">
        <f>'001'!D348</f>
        <v>0149</v>
      </c>
      <c r="D348" s="3" t="e">
        <f>'001'!H348</f>
        <v>#VALUE!</v>
      </c>
    </row>
    <row r="349" spans="1:4" x14ac:dyDescent="0.25">
      <c r="A349" s="1" t="str">
        <f>'001'!B349</f>
        <v>000495</v>
      </c>
      <c r="B349" s="1" t="str">
        <f>'001'!C349</f>
        <v>HOJA DE APOYO SIN FIN 12</v>
      </c>
      <c r="C349" s="1" t="str">
        <f>'001'!D349</f>
        <v>0149</v>
      </c>
      <c r="D349" s="3" t="e">
        <f>'001'!H349</f>
        <v>#VALUE!</v>
      </c>
    </row>
    <row r="350" spans="1:4" x14ac:dyDescent="0.25">
      <c r="A350" s="1" t="str">
        <f>'001'!B350</f>
        <v>000496</v>
      </c>
      <c r="B350" s="1" t="str">
        <f>'001'!C350</f>
        <v>ESMALTE SINTETICO PLAVICON 3EN1 BRILLANTE GRIS PERLA X  1</v>
      </c>
      <c r="C350" s="1" t="str">
        <f>'001'!D350</f>
        <v>0139</v>
      </c>
      <c r="D350" s="3" t="e">
        <f>'001'!H350</f>
        <v>#VALUE!</v>
      </c>
    </row>
    <row r="351" spans="1:4" x14ac:dyDescent="0.25">
      <c r="A351" s="1" t="str">
        <f>'001'!B351</f>
        <v>000497</v>
      </c>
      <c r="B351" s="1" t="str">
        <f>'001'!C351</f>
        <v>ESMALTE SINTETICO PLAVICON 3EN1 BRILLANTE GRIS PERLA X  4</v>
      </c>
      <c r="C351" s="1" t="str">
        <f>'001'!D351</f>
        <v>0139</v>
      </c>
      <c r="D351" s="3" t="e">
        <f>'001'!H351</f>
        <v>#VALUE!</v>
      </c>
    </row>
    <row r="352" spans="1:4" x14ac:dyDescent="0.25">
      <c r="A352" s="1" t="str">
        <f>'001'!B352</f>
        <v>000498</v>
      </c>
      <c r="B352" s="1" t="str">
        <f>'001'!C352</f>
        <v>MEZCLA ADHESIVA PLASTICA POXIMIX INTERIOR X 5,000 (129)</v>
      </c>
      <c r="C352" s="1" t="str">
        <f>'001'!D352</f>
        <v>0140</v>
      </c>
      <c r="D352" s="3" t="e">
        <f>'001'!H352</f>
        <v>#VALUE!</v>
      </c>
    </row>
    <row r="353" spans="1:4" x14ac:dyDescent="0.25">
      <c r="A353" s="1" t="str">
        <f>'001'!B353</f>
        <v>000499</v>
      </c>
      <c r="B353" s="1" t="str">
        <f>'001'!C353</f>
        <v>MEZCLA ADHESIVA PLASTICA POXIMIX EXTERIOR X 5,000 (521)</v>
      </c>
      <c r="C353" s="1" t="str">
        <f>'001'!D353</f>
        <v>0140</v>
      </c>
      <c r="D353" s="3" t="e">
        <f>'001'!H353</f>
        <v>#VALUE!</v>
      </c>
    </row>
    <row r="354" spans="1:4" x14ac:dyDescent="0.25">
      <c r="A354" s="1" t="str">
        <f>'001'!B354</f>
        <v>000500</v>
      </c>
      <c r="B354" s="1" t="str">
        <f>'001'!C354</f>
        <v>AUTOPOLISH COLORIN SILICONA AUTONUEVO 450</v>
      </c>
      <c r="C354" s="1" t="str">
        <f>'001'!D354</f>
        <v>0166</v>
      </c>
      <c r="D354" s="3" t="e">
        <f>'001'!H354</f>
        <v>#VALUE!</v>
      </c>
    </row>
    <row r="355" spans="1:4" x14ac:dyDescent="0.25">
      <c r="A355" s="1" t="str">
        <f>'001'!B355</f>
        <v>000504</v>
      </c>
      <c r="B355" s="1" t="str">
        <f>'001'!C355</f>
        <v>MEZCLA ADHESIVA PLASTICA POXIMIX EXTERIOR X 3,000 (...)</v>
      </c>
      <c r="C355" s="1" t="str">
        <f>'001'!D355</f>
        <v>0140</v>
      </c>
      <c r="D355" s="3" t="e">
        <f>'001'!H355</f>
        <v>#VALUE!</v>
      </c>
    </row>
    <row r="356" spans="1:4" x14ac:dyDescent="0.25">
      <c r="A356" s="1" t="str">
        <f>'001'!B356</f>
        <v>000505</v>
      </c>
      <c r="B356" s="1" t="str">
        <f>'001'!C356</f>
        <v>BANDEJA PARA PINTAR PLASTICA PLANA (013)</v>
      </c>
      <c r="C356" s="1" t="str">
        <f>'001'!D356</f>
        <v>0144</v>
      </c>
      <c r="D356" s="3" t="e">
        <f>'001'!H356</f>
        <v>#VALUE!</v>
      </c>
    </row>
    <row r="357" spans="1:4" x14ac:dyDescent="0.25">
      <c r="A357" s="1" t="str">
        <f>'001'!B357</f>
        <v>000506</v>
      </c>
      <c r="B357" s="1" t="str">
        <f>'001'!C357</f>
        <v>MEZCLA ADHESIVA PLASTICA POXIMIX INTERIOR X 3,000 (...)</v>
      </c>
      <c r="C357" s="1" t="str">
        <f>'001'!D357</f>
        <v>0140</v>
      </c>
      <c r="D357" s="3" t="e">
        <f>'001'!H357</f>
        <v>#VALUE!</v>
      </c>
    </row>
    <row r="358" spans="1:4" x14ac:dyDescent="0.25">
      <c r="A358" s="1" t="str">
        <f>'001'!B358</f>
        <v>000507</v>
      </c>
      <c r="B358" s="1" t="str">
        <f>'001'!C358</f>
        <v>PEGAMENTO LA GOTITA X 2</v>
      </c>
      <c r="C358" s="1" t="str">
        <f>'001'!D358</f>
        <v>0140</v>
      </c>
      <c r="D358" s="3" t="e">
        <f>'001'!H358</f>
        <v>#VALUE!</v>
      </c>
    </row>
    <row r="359" spans="1:4" x14ac:dyDescent="0.25">
      <c r="A359" s="1" t="str">
        <f>'001'!B359</f>
        <v>000508</v>
      </c>
      <c r="B359" s="1" t="str">
        <f>'001'!C359</f>
        <v>SILICONA FASTIX TRANSPARENTE X  25</v>
      </c>
      <c r="C359" s="1" t="str">
        <f>'001'!D359</f>
        <v>0140</v>
      </c>
      <c r="D359" s="3" t="e">
        <f>'001'!H359</f>
        <v>#VALUE!</v>
      </c>
    </row>
    <row r="360" spans="1:4" x14ac:dyDescent="0.25">
      <c r="A360" s="1" t="str">
        <f>'001'!B360</f>
        <v>000509</v>
      </c>
      <c r="B360" s="1" t="str">
        <f>'001'!C360</f>
        <v>ESMALTE SINTETICO PLAVICON 3EN1 BRILLANTE GRIS PERLA X 20</v>
      </c>
      <c r="C360" s="1" t="str">
        <f>'001'!D360</f>
        <v>0139</v>
      </c>
      <c r="D360" s="3" t="e">
        <f>'001'!H360</f>
        <v>#VALUE!</v>
      </c>
    </row>
    <row r="361" spans="1:4" x14ac:dyDescent="0.25">
      <c r="A361" s="1" t="str">
        <f>'001'!B361</f>
        <v>000510</v>
      </c>
      <c r="B361" s="1" t="str">
        <f>'001'!C361</f>
        <v>REMOVEDOR GEL X 1</v>
      </c>
      <c r="C361" s="1" t="str">
        <f>'001'!D361</f>
        <v>0186</v>
      </c>
      <c r="D361" s="3" t="e">
        <f>'001'!H361</f>
        <v>#VALUE!</v>
      </c>
    </row>
    <row r="362" spans="1:4" x14ac:dyDescent="0.25">
      <c r="A362" s="1" t="str">
        <f>'001'!B362</f>
        <v>000511</v>
      </c>
      <c r="B362" s="1" t="str">
        <f>'001'!C362</f>
        <v>LIJA AL AGUA DOBLE A #   80</v>
      </c>
      <c r="C362" s="1" t="str">
        <f>'001'!D362</f>
        <v>0102</v>
      </c>
      <c r="D362" s="3" t="e">
        <f>'001'!H362</f>
        <v>#VALUE!</v>
      </c>
    </row>
    <row r="363" spans="1:4" x14ac:dyDescent="0.25">
      <c r="A363" s="1" t="str">
        <f>'001'!B363</f>
        <v>000512</v>
      </c>
      <c r="B363" s="1" t="str">
        <f>'001'!C363</f>
        <v>LIJA AL AGUA DOBLE A #  100</v>
      </c>
      <c r="C363" s="1" t="str">
        <f>'001'!D363</f>
        <v>0102</v>
      </c>
      <c r="D363" s="3" t="e">
        <f>'001'!H363</f>
        <v>#VALUE!</v>
      </c>
    </row>
    <row r="364" spans="1:4" x14ac:dyDescent="0.25">
      <c r="A364" s="1" t="str">
        <f>'001'!B364</f>
        <v>000513</v>
      </c>
      <c r="B364" s="1" t="str">
        <f>'001'!C364</f>
        <v>LIJA AL AGUA DOBLE A #  120</v>
      </c>
      <c r="C364" s="1" t="str">
        <f>'001'!D364</f>
        <v>0102</v>
      </c>
      <c r="D364" s="3" t="e">
        <f>'001'!H364</f>
        <v>#VALUE!</v>
      </c>
    </row>
    <row r="365" spans="1:4" x14ac:dyDescent="0.25">
      <c r="A365" s="1" t="str">
        <f>'001'!B365</f>
        <v>000514</v>
      </c>
      <c r="B365" s="1" t="str">
        <f>'001'!C365</f>
        <v>LIJA AL AGUA DOBLE A #  150</v>
      </c>
      <c r="C365" s="1" t="str">
        <f>'001'!D365</f>
        <v>0102</v>
      </c>
      <c r="D365" s="3" t="e">
        <f>'001'!H365</f>
        <v>#VALUE!</v>
      </c>
    </row>
    <row r="366" spans="1:4" x14ac:dyDescent="0.25">
      <c r="A366" s="1" t="str">
        <f>'001'!B366</f>
        <v>000515</v>
      </c>
      <c r="B366" s="1" t="str">
        <f>'001'!C366</f>
        <v>LIJA AL AGUA DOBLE A #  180</v>
      </c>
      <c r="C366" s="1" t="str">
        <f>'001'!D366</f>
        <v>0102</v>
      </c>
      <c r="D366" s="3" t="e">
        <f>'001'!H366</f>
        <v>#VALUE!</v>
      </c>
    </row>
    <row r="367" spans="1:4" x14ac:dyDescent="0.25">
      <c r="A367" s="1" t="str">
        <f>'001'!B367</f>
        <v>000516</v>
      </c>
      <c r="B367" s="1" t="str">
        <f>'001'!C367</f>
        <v>LIJA AL AGUA DOBLE A #  220</v>
      </c>
      <c r="C367" s="1" t="str">
        <f>'001'!D367</f>
        <v>0102</v>
      </c>
      <c r="D367" s="3" t="e">
        <f>'001'!H367</f>
        <v>#VALUE!</v>
      </c>
    </row>
    <row r="368" spans="1:4" x14ac:dyDescent="0.25">
      <c r="A368" s="1" t="str">
        <f>'001'!B368</f>
        <v>000517</v>
      </c>
      <c r="B368" s="1" t="str">
        <f>'001'!C368</f>
        <v>LIJA AL AGUA DOBLE A #  240</v>
      </c>
      <c r="C368" s="1" t="str">
        <f>'001'!D368</f>
        <v>0102</v>
      </c>
      <c r="D368" s="3" t="e">
        <f>'001'!H368</f>
        <v>#VALUE!</v>
      </c>
    </row>
    <row r="369" spans="1:4" x14ac:dyDescent="0.25">
      <c r="A369" s="1" t="str">
        <f>'001'!B369</f>
        <v>000518</v>
      </c>
      <c r="B369" s="1" t="str">
        <f>'001'!C369</f>
        <v>LIJA AL AGUA DOBLE A #  280</v>
      </c>
      <c r="C369" s="1" t="str">
        <f>'001'!D369</f>
        <v>0102</v>
      </c>
      <c r="D369" s="3" t="e">
        <f>'001'!H369</f>
        <v>#VALUE!</v>
      </c>
    </row>
    <row r="370" spans="1:4" x14ac:dyDescent="0.25">
      <c r="A370" s="1" t="str">
        <f>'001'!B370</f>
        <v>000519</v>
      </c>
      <c r="B370" s="1" t="str">
        <f>'001'!C370</f>
        <v>LIJA AL AGUA DOBLE A #  320</v>
      </c>
      <c r="C370" s="1" t="str">
        <f>'001'!D370</f>
        <v>0102</v>
      </c>
      <c r="D370" s="3" t="e">
        <f>'001'!H370</f>
        <v>#VALUE!</v>
      </c>
    </row>
    <row r="371" spans="1:4" x14ac:dyDescent="0.25">
      <c r="A371" s="1" t="str">
        <f>'001'!B371</f>
        <v>000520</v>
      </c>
      <c r="B371" s="1" t="str">
        <f>'001'!C371</f>
        <v>LIJA AL AGUA DOBLE A #  360</v>
      </c>
      <c r="C371" s="1" t="str">
        <f>'001'!D371</f>
        <v>0102</v>
      </c>
      <c r="D371" s="3" t="e">
        <f>'001'!H371</f>
        <v>#VALUE!</v>
      </c>
    </row>
    <row r="372" spans="1:4" x14ac:dyDescent="0.25">
      <c r="A372" s="1" t="str">
        <f>'001'!B372</f>
        <v>000521</v>
      </c>
      <c r="B372" s="1" t="str">
        <f>'001'!C372</f>
        <v>LIJA AL AGUA DOBLE A #  400</v>
      </c>
      <c r="C372" s="1" t="str">
        <f>'001'!D372</f>
        <v>0102</v>
      </c>
      <c r="D372" s="3" t="e">
        <f>'001'!H372</f>
        <v>#VALUE!</v>
      </c>
    </row>
    <row r="373" spans="1:4" x14ac:dyDescent="0.25">
      <c r="A373" s="1" t="str">
        <f>'001'!B373</f>
        <v>000522</v>
      </c>
      <c r="B373" s="1" t="str">
        <f>'001'!C373</f>
        <v>LIJA AL AGUA DOBLE A #  500</v>
      </c>
      <c r="C373" s="1" t="str">
        <f>'001'!D373</f>
        <v>0102</v>
      </c>
      <c r="D373" s="3" t="e">
        <f>'001'!H373</f>
        <v>#VALUE!</v>
      </c>
    </row>
    <row r="374" spans="1:4" x14ac:dyDescent="0.25">
      <c r="A374" s="1" t="str">
        <f>'001'!B374</f>
        <v>000523</v>
      </c>
      <c r="B374" s="1" t="str">
        <f>'001'!C374</f>
        <v>LIJA AL AGUA DOBLE A #  600</v>
      </c>
      <c r="C374" s="1" t="str">
        <f>'001'!D374</f>
        <v>0102</v>
      </c>
      <c r="D374" s="3" t="e">
        <f>'001'!H374</f>
        <v>#VALUE!</v>
      </c>
    </row>
    <row r="375" spans="1:4" x14ac:dyDescent="0.25">
      <c r="A375" s="1" t="str">
        <f>'001'!B375</f>
        <v>000524</v>
      </c>
      <c r="B375" s="1" t="str">
        <f>'001'!C375</f>
        <v>LIJA PARA MASILLA PLATICA DOBLE A 36</v>
      </c>
      <c r="C375" s="1" t="str">
        <f>'001'!D375</f>
        <v>0102</v>
      </c>
      <c r="D375" s="3" t="e">
        <f>'001'!H375</f>
        <v>#VALUE!</v>
      </c>
    </row>
    <row r="376" spans="1:4" x14ac:dyDescent="0.25">
      <c r="A376" s="1" t="str">
        <f>'001'!B376</f>
        <v>000528</v>
      </c>
      <c r="B376" s="1" t="str">
        <f>'001'!C376</f>
        <v>ESMALTE SINTETICO PLAVICON 3EN1 BRILLANTE GRIS HIELO X  0,500</v>
      </c>
      <c r="C376" s="1" t="str">
        <f>'001'!D376</f>
        <v>0139</v>
      </c>
      <c r="D376" s="3" t="e">
        <f>'001'!H376</f>
        <v>#VALUE!</v>
      </c>
    </row>
    <row r="377" spans="1:4" x14ac:dyDescent="0.25">
      <c r="A377" s="1" t="str">
        <f>'001'!B377</f>
        <v>000529</v>
      </c>
      <c r="B377" s="1" t="str">
        <f>'001'!C377</f>
        <v>MASILLA PLASTICA ZEOCAR FINISH X 1 (47)</v>
      </c>
      <c r="C377" s="1" t="str">
        <f>'001'!D377</f>
        <v>0157</v>
      </c>
      <c r="D377" s="3" t="e">
        <f>'001'!H377</f>
        <v>#VALUE!</v>
      </c>
    </row>
    <row r="378" spans="1:4" x14ac:dyDescent="0.25">
      <c r="A378" s="1" t="str">
        <f>'001'!B378</f>
        <v>000530</v>
      </c>
      <c r="B378" s="1" t="str">
        <f>'001'!C378</f>
        <v>ESMALTE SINTETICO PLAVICON 3EN1 BRILLANTE GRIS HIELO X  1</v>
      </c>
      <c r="C378" s="1" t="str">
        <f>'001'!D378</f>
        <v>0139</v>
      </c>
      <c r="D378" s="3" t="e">
        <f>'001'!H378</f>
        <v>#VALUE!</v>
      </c>
    </row>
    <row r="379" spans="1:4" x14ac:dyDescent="0.25">
      <c r="A379" s="1" t="str">
        <f>'001'!B379</f>
        <v>000532</v>
      </c>
      <c r="B379" s="1" t="str">
        <f>'001'!C379</f>
        <v>ENDUIDO INTERIOR ALBAPLAST X 10</v>
      </c>
      <c r="C379" s="1" t="str">
        <f>'001'!D379</f>
        <v>0107</v>
      </c>
      <c r="D379" s="3" t="e">
        <f>'001'!H379</f>
        <v>#VALUE!</v>
      </c>
    </row>
    <row r="380" spans="1:4" x14ac:dyDescent="0.25">
      <c r="A380" s="1" t="str">
        <f>'001'!B380</f>
        <v>000533</v>
      </c>
      <c r="B380" s="1" t="str">
        <f>'001'!C380</f>
        <v>MASILLA PLASTICA ZEOCAR FINISH X 4 (48)</v>
      </c>
      <c r="C380" s="1" t="str">
        <f>'001'!D380</f>
        <v>0157</v>
      </c>
      <c r="D380" s="3" t="e">
        <f>'001'!H380</f>
        <v>#VALUE!</v>
      </c>
    </row>
    <row r="381" spans="1:4" x14ac:dyDescent="0.25">
      <c r="A381" s="1" t="str">
        <f>'001'!B381</f>
        <v>000534</v>
      </c>
      <c r="B381" s="1" t="str">
        <f>'001'!C381</f>
        <v>MASILLA PLASTICA MMB X 0,500</v>
      </c>
      <c r="C381" s="1" t="str">
        <f>'001'!D381</f>
        <v>0137</v>
      </c>
      <c r="D381" s="3" t="e">
        <f>'001'!H381</f>
        <v>#VALUE!</v>
      </c>
    </row>
    <row r="382" spans="1:4" x14ac:dyDescent="0.25">
      <c r="A382" s="1" t="str">
        <f>'001'!B382</f>
        <v>000535</v>
      </c>
      <c r="B382" s="1" t="str">
        <f>'001'!C382</f>
        <v>MASILLA PLASTICA MMB X 1</v>
      </c>
      <c r="C382" s="1" t="str">
        <f>'001'!D382</f>
        <v>0137</v>
      </c>
      <c r="D382" s="3" t="e">
        <f>'001'!H382</f>
        <v>#VALUE!</v>
      </c>
    </row>
    <row r="383" spans="1:4" x14ac:dyDescent="0.25">
      <c r="A383" s="1" t="str">
        <f>'001'!B383</f>
        <v>000536</v>
      </c>
      <c r="B383" s="1" t="str">
        <f>'001'!C383</f>
        <v>MASILLA PLASTICA MMB X 4</v>
      </c>
      <c r="C383" s="1" t="str">
        <f>'001'!D383</f>
        <v>0137</v>
      </c>
      <c r="D383" s="3" t="e">
        <f>'001'!H383</f>
        <v>#VALUE!</v>
      </c>
    </row>
    <row r="384" spans="1:4" x14ac:dyDescent="0.25">
      <c r="A384" s="1" t="str">
        <f>'001'!B384</f>
        <v>000537</v>
      </c>
      <c r="B384" s="1" t="str">
        <f>'001'!C384</f>
        <v>PINCEL ROSARPIN 1700 V1 C.CH 7</v>
      </c>
      <c r="C384" s="1" t="str">
        <f>'001'!D384</f>
        <v>0144</v>
      </c>
      <c r="D384" s="3" t="e">
        <f>'001'!H384</f>
        <v>#VALUE!</v>
      </c>
    </row>
    <row r="385" spans="1:4" x14ac:dyDescent="0.25">
      <c r="A385" s="1" t="str">
        <f>'001'!B385</f>
        <v>000538</v>
      </c>
      <c r="B385" s="1" t="str">
        <f>'001'!C385</f>
        <v>ESMALTE SINTETICO PLAVICON 3EN1 BRILLANTE GRIS HIELO X  4</v>
      </c>
      <c r="C385" s="1" t="str">
        <f>'001'!D385</f>
        <v>0139</v>
      </c>
      <c r="D385" s="3" t="e">
        <f>'001'!H385</f>
        <v>#VALUE!</v>
      </c>
    </row>
    <row r="386" spans="1:4" x14ac:dyDescent="0.25">
      <c r="A386" s="1" t="str">
        <f>'001'!B386</f>
        <v>000540</v>
      </c>
      <c r="B386" s="1" t="str">
        <f>'001'!C386</f>
        <v>ESMALTE SINTETICO PLAVICON 3EN1 BRILLANTE GRIS HIELO X 20</v>
      </c>
      <c r="C386" s="1" t="str">
        <f>'001'!D386</f>
        <v>0139</v>
      </c>
      <c r="D386" s="3" t="e">
        <f>'001'!H386</f>
        <v>#VALUE!</v>
      </c>
    </row>
    <row r="387" spans="1:4" x14ac:dyDescent="0.25">
      <c r="A387" s="1" t="str">
        <f>'001'!B387</f>
        <v>000541</v>
      </c>
      <c r="B387" s="1" t="str">
        <f>'001'!C387</f>
        <v>ESMALTE SINTETICO PLAVICON 3EN1 BRILLANTE GRIS ESPACIAL X  0,250</v>
      </c>
      <c r="C387" s="1" t="str">
        <f>'001'!D387</f>
        <v>0902</v>
      </c>
      <c r="D387" s="3" t="e">
        <f>'001'!H387</f>
        <v>#VALUE!</v>
      </c>
    </row>
    <row r="388" spans="1:4" x14ac:dyDescent="0.25">
      <c r="A388" s="1" t="str">
        <f>'001'!B388</f>
        <v>000542</v>
      </c>
      <c r="B388" s="1" t="str">
        <f>'001'!C388</f>
        <v>ESMALTE SINTETICO PLAVICON 3EN1 BRILLANTE GRIS ESPACIAL X  0,500</v>
      </c>
      <c r="C388" s="1" t="str">
        <f>'001'!D388</f>
        <v>0139</v>
      </c>
      <c r="D388" s="3" t="e">
        <f>'001'!H388</f>
        <v>#VALUE!</v>
      </c>
    </row>
    <row r="389" spans="1:4" x14ac:dyDescent="0.25">
      <c r="A389" s="1" t="str">
        <f>'001'!B389</f>
        <v>000543</v>
      </c>
      <c r="B389" s="1" t="str">
        <f>'001'!C389</f>
        <v>SOLDURA PLASTICA POXIPOL TRANSPARENTE X 14</v>
      </c>
      <c r="C389" s="1" t="str">
        <f>'001'!D389</f>
        <v>0140</v>
      </c>
      <c r="D389" s="3" t="e">
        <f>'001'!H389</f>
        <v>#VALUE!</v>
      </c>
    </row>
    <row r="390" spans="1:4" x14ac:dyDescent="0.25">
      <c r="A390" s="1" t="str">
        <f>'001'!B390</f>
        <v>000544</v>
      </c>
      <c r="B390" s="1" t="str">
        <f>'001'!C390</f>
        <v>PINCEL ROSARPIN 170 V1 NO. 7</v>
      </c>
      <c r="C390" s="1" t="str">
        <f>'001'!D390</f>
        <v>0144</v>
      </c>
      <c r="D390" s="3" t="e">
        <f>'001'!H390</f>
        <v>#VALUE!</v>
      </c>
    </row>
    <row r="391" spans="1:4" x14ac:dyDescent="0.25">
      <c r="A391" s="1" t="str">
        <f>'001'!B391</f>
        <v>000545</v>
      </c>
      <c r="B391" s="1" t="str">
        <f>'001'!C391</f>
        <v>MEZCLA ADHESIVA PLASTICA POXIMIX INTERIOR X 0,500 (126)</v>
      </c>
      <c r="C391" s="1" t="str">
        <f>'001'!D391</f>
        <v>0140</v>
      </c>
      <c r="D391" s="3" t="e">
        <f>'001'!H391</f>
        <v>#VALUE!</v>
      </c>
    </row>
    <row r="392" spans="1:4" x14ac:dyDescent="0.25">
      <c r="A392" s="1" t="str">
        <f>'001'!B392</f>
        <v>000546</v>
      </c>
      <c r="B392" s="1" t="str">
        <f>'001'!C392</f>
        <v>MEZCLA ADHESIVA PLASTICA POXIMIX INTERIOR X 1,250 (518)</v>
      </c>
      <c r="C392" s="1" t="str">
        <f>'001'!D392</f>
        <v>0140</v>
      </c>
      <c r="D392" s="3" t="e">
        <f>'001'!H392</f>
        <v>#VALUE!</v>
      </c>
    </row>
    <row r="393" spans="1:4" x14ac:dyDescent="0.25">
      <c r="A393" s="1" t="str">
        <f>'001'!B393</f>
        <v>000547</v>
      </c>
      <c r="B393" s="1" t="str">
        <f>'001'!C393</f>
        <v>MEZCLA ADHESIVA PLASTICA POXIMIX EXTERIOR X 0,500 (519)</v>
      </c>
      <c r="C393" s="1" t="str">
        <f>'001'!D393</f>
        <v>0140</v>
      </c>
      <c r="D393" s="3" t="e">
        <f>'001'!H393</f>
        <v>#VALUE!</v>
      </c>
    </row>
    <row r="394" spans="1:4" x14ac:dyDescent="0.25">
      <c r="A394" s="1" t="str">
        <f>'001'!B394</f>
        <v>000548</v>
      </c>
      <c r="B394" s="1" t="str">
        <f>'001'!C394</f>
        <v>ADHESIVO DE CONTACTO POXIRRAN X 0,050</v>
      </c>
      <c r="C394" s="1" t="str">
        <f>'001'!D394</f>
        <v>0140</v>
      </c>
      <c r="D394" s="3" t="e">
        <f>'001'!H394</f>
        <v>#VALUE!</v>
      </c>
    </row>
    <row r="395" spans="1:4" x14ac:dyDescent="0.25">
      <c r="A395" s="1" t="str">
        <f>'001'!B395</f>
        <v>000549</v>
      </c>
      <c r="B395" s="1" t="str">
        <f>'001'!C395</f>
        <v>ESMALTE SINTETICO PLAVICON 3EN1 BRILLANTE GRIS ESPACIAL X  1</v>
      </c>
      <c r="C395" s="1" t="str">
        <f>'001'!D395</f>
        <v>0139</v>
      </c>
      <c r="D395" s="3" t="e">
        <f>'001'!H395</f>
        <v>#VALUE!</v>
      </c>
    </row>
    <row r="396" spans="1:4" x14ac:dyDescent="0.25">
      <c r="A396" s="1" t="str">
        <f>'001'!B396</f>
        <v>000550</v>
      </c>
      <c r="B396" s="1" t="str">
        <f>'001'!C396</f>
        <v>ESTOPA PARA LIMPIEZA LUMAR X 0,300 (33/A)</v>
      </c>
      <c r="C396" s="1" t="str">
        <f>'001'!D396</f>
        <v>0128</v>
      </c>
      <c r="D396" s="3" t="e">
        <f>'001'!H396</f>
        <v>#VALUE!</v>
      </c>
    </row>
    <row r="397" spans="1:4" x14ac:dyDescent="0.25">
      <c r="A397" s="1" t="str">
        <f>'001'!B397</f>
        <v>000551</v>
      </c>
      <c r="B397" s="1" t="str">
        <f>'001'!C397</f>
        <v>LIJA TELA ESMERIL DOBLE A N  36</v>
      </c>
      <c r="C397" s="1" t="str">
        <f>'001'!D397</f>
        <v>0102</v>
      </c>
      <c r="D397" s="3" t="e">
        <f>'001'!H397</f>
        <v>#VALUE!</v>
      </c>
    </row>
    <row r="398" spans="1:4" x14ac:dyDescent="0.25">
      <c r="A398" s="1" t="str">
        <f>'001'!B398</f>
        <v>000552</v>
      </c>
      <c r="B398" s="1" t="str">
        <f>'001'!C398</f>
        <v>SILICONA FASTIX TRANSPARENTE X 100</v>
      </c>
      <c r="C398" s="1" t="str">
        <f>'001'!D398</f>
        <v>0140</v>
      </c>
      <c r="D398" s="3" t="e">
        <f>'001'!H398</f>
        <v>#VALUE!</v>
      </c>
    </row>
    <row r="399" spans="1:4" x14ac:dyDescent="0.25">
      <c r="A399" s="1" t="str">
        <f>'001'!B399</f>
        <v>000553</v>
      </c>
      <c r="B399" s="1" t="str">
        <f>'001'!C399</f>
        <v>PINCELETA ROSARPIN 9000 C.CH.40</v>
      </c>
      <c r="C399" s="1" t="str">
        <f>'001'!D399</f>
        <v>0144</v>
      </c>
      <c r="D399" s="3" t="e">
        <f>'001'!H399</f>
        <v>#VALUE!</v>
      </c>
    </row>
    <row r="400" spans="1:4" x14ac:dyDescent="0.25">
      <c r="A400" s="1" t="str">
        <f>'001'!B400</f>
        <v>000554</v>
      </c>
      <c r="B400" s="1" t="str">
        <f>'001'!C400</f>
        <v>MEZCLA ADHESIVA PLASTICA POXIMIX EXTERIOR X 1,250 (520)</v>
      </c>
      <c r="C400" s="1" t="str">
        <f>'001'!D400</f>
        <v>0140</v>
      </c>
      <c r="D400" s="3" t="e">
        <f>'001'!H400</f>
        <v>#VALUE!</v>
      </c>
    </row>
    <row r="401" spans="1:4" x14ac:dyDescent="0.25">
      <c r="A401" s="1" t="str">
        <f>'001'!B401</f>
        <v>000555</v>
      </c>
      <c r="B401" s="1" t="str">
        <f>'001'!C401</f>
        <v>PINCELETA ROSARPIN 50 STAN.40</v>
      </c>
      <c r="C401" s="1" t="str">
        <f>'001'!D401</f>
        <v>0144</v>
      </c>
      <c r="D401" s="3" t="e">
        <f>'001'!H401</f>
        <v>#VALUE!</v>
      </c>
    </row>
    <row r="402" spans="1:4" x14ac:dyDescent="0.25">
      <c r="A402" s="1" t="str">
        <f>'001'!B402</f>
        <v>000556</v>
      </c>
      <c r="B402" s="1" t="str">
        <f>'001'!C402</f>
        <v>PANO DE CORDERO ZEOCAR CON ABROJO 8 (120)</v>
      </c>
      <c r="C402" s="1" t="str">
        <f>'001'!D402</f>
        <v>0157</v>
      </c>
      <c r="D402" s="3" t="e">
        <f>'001'!H402</f>
        <v>#VALUE!</v>
      </c>
    </row>
    <row r="403" spans="1:4" x14ac:dyDescent="0.25">
      <c r="A403" s="1" t="str">
        <f>'001'!B403</f>
        <v>000557</v>
      </c>
      <c r="B403" s="1" t="str">
        <f>'001'!C403</f>
        <v>PANO DE CORDERO DOBLE ZEOCAR CON ABROJO 8 (121)</v>
      </c>
      <c r="C403" s="1" t="str">
        <f>'001'!D403</f>
        <v>0157</v>
      </c>
      <c r="D403" s="3" t="e">
        <f>'001'!H403</f>
        <v>#VALUE!</v>
      </c>
    </row>
    <row r="404" spans="1:4" x14ac:dyDescent="0.25">
      <c r="A404" s="1" t="str">
        <f>'001'!B404</f>
        <v>000558</v>
      </c>
      <c r="B404" s="1" t="str">
        <f>'001'!C404</f>
        <v>PANO DE GOMA ESPUMA ZEOCAR CON ABROJO 8 NEGRO (130)</v>
      </c>
      <c r="C404" s="1" t="str">
        <f>'001'!D404</f>
        <v>0157</v>
      </c>
      <c r="D404" s="3" t="e">
        <f>'001'!H404</f>
        <v>#VALUE!</v>
      </c>
    </row>
    <row r="405" spans="1:4" x14ac:dyDescent="0.25">
      <c r="A405" s="1" t="str">
        <f>'001'!B405</f>
        <v>000559</v>
      </c>
      <c r="B405" s="1" t="str">
        <f>'001'!C405</f>
        <v>PANO DE GOMA ESPUMA ZEOCAR DOBLE 8 (131)</v>
      </c>
      <c r="C405" s="1" t="str">
        <f>'001'!D405</f>
        <v>0157</v>
      </c>
      <c r="D405" s="3" t="e">
        <f>'001'!H405</f>
        <v>#VALUE!</v>
      </c>
    </row>
    <row r="406" spans="1:4" x14ac:dyDescent="0.25">
      <c r="A406" s="1" t="str">
        <f>'001'!B406</f>
        <v>000560</v>
      </c>
      <c r="B406" s="1" t="str">
        <f>'001'!C406</f>
        <v>ADAPTADOR ZEOCAR DE M14 A 5/8 (100)</v>
      </c>
      <c r="C406" s="1" t="str">
        <f>'001'!D406</f>
        <v>0157</v>
      </c>
      <c r="D406" s="3" t="e">
        <f>'001'!H406</f>
        <v>#VALUE!</v>
      </c>
    </row>
    <row r="407" spans="1:4" x14ac:dyDescent="0.25">
      <c r="A407" s="1" t="str">
        <f>'001'!B407</f>
        <v>000561</v>
      </c>
      <c r="B407" s="1" t="str">
        <f>'001'!C407</f>
        <v>LIJA TELA ESMERIL DOBLE A N 120</v>
      </c>
      <c r="C407" s="1" t="str">
        <f>'001'!D407</f>
        <v>0102</v>
      </c>
      <c r="D407" s="3" t="e">
        <f>'001'!H407</f>
        <v>#VALUE!</v>
      </c>
    </row>
    <row r="408" spans="1:4" x14ac:dyDescent="0.25">
      <c r="A408" s="1" t="str">
        <f>'001'!B408</f>
        <v>000562</v>
      </c>
      <c r="B408" s="1" t="str">
        <f>'001'!C408</f>
        <v>LIJA TELA ESMERIL DOBLE A N  80</v>
      </c>
      <c r="C408" s="1" t="str">
        <f>'001'!D408</f>
        <v>0102</v>
      </c>
      <c r="D408" s="3" t="e">
        <f>'001'!H408</f>
        <v>#VALUE!</v>
      </c>
    </row>
    <row r="409" spans="1:4" x14ac:dyDescent="0.25">
      <c r="A409" s="1" t="str">
        <f>'001'!B409</f>
        <v>000563</v>
      </c>
      <c r="B409" s="1" t="str">
        <f>'001'!C409</f>
        <v>LIJA TELA ESMERIL DOBLE A N  50</v>
      </c>
      <c r="C409" s="1" t="str">
        <f>'001'!D409</f>
        <v>0102</v>
      </c>
      <c r="D409" s="3" t="e">
        <f>'001'!H409</f>
        <v>#VALUE!</v>
      </c>
    </row>
    <row r="410" spans="1:4" x14ac:dyDescent="0.25">
      <c r="A410" s="1" t="str">
        <f>'001'!B410</f>
        <v>000564</v>
      </c>
      <c r="B410" s="1" t="str">
        <f>'001'!C410</f>
        <v>PINCELETA ROSARPIN 150 P.S 40</v>
      </c>
      <c r="C410" s="1" t="str">
        <f>'001'!D410</f>
        <v>0144</v>
      </c>
      <c r="D410" s="3" t="e">
        <f>'001'!H410</f>
        <v>#VALUE!</v>
      </c>
    </row>
    <row r="411" spans="1:4" x14ac:dyDescent="0.25">
      <c r="A411" s="1" t="str">
        <f>'001'!B411</f>
        <v>000565</v>
      </c>
      <c r="B411" s="1" t="str">
        <f>'001'!C411</f>
        <v>LIJA TELA ESMERIL DOBLE A N 180</v>
      </c>
      <c r="C411" s="1" t="str">
        <f>'001'!D411</f>
        <v>0102</v>
      </c>
      <c r="D411" s="3" t="e">
        <f>'001'!H411</f>
        <v>#VALUE!</v>
      </c>
    </row>
    <row r="412" spans="1:4" x14ac:dyDescent="0.25">
      <c r="A412" s="1" t="str">
        <f>'001'!B412</f>
        <v>000566</v>
      </c>
      <c r="B412" s="1" t="str">
        <f>'001'!C412</f>
        <v>PINCEL ROSARPIN 170 V1 NO.10</v>
      </c>
      <c r="C412" s="1" t="str">
        <f>'001'!D412</f>
        <v>0144</v>
      </c>
      <c r="D412" s="3" t="e">
        <f>'001'!H412</f>
        <v>#VALUE!</v>
      </c>
    </row>
    <row r="413" spans="1:4" x14ac:dyDescent="0.25">
      <c r="A413" s="1" t="str">
        <f>'001'!B413</f>
        <v>000567</v>
      </c>
      <c r="B413" s="1" t="str">
        <f>'001'!C413</f>
        <v>PINCEL ROSARPIN 170 V1 NO.15</v>
      </c>
      <c r="C413" s="1" t="str">
        <f>'001'!D413</f>
        <v>0144</v>
      </c>
      <c r="D413" s="3" t="e">
        <f>'001'!H413</f>
        <v>#VALUE!</v>
      </c>
    </row>
    <row r="414" spans="1:4" x14ac:dyDescent="0.25">
      <c r="A414" s="1" t="str">
        <f>'001'!B414</f>
        <v>000568</v>
      </c>
      <c r="B414" s="1" t="str">
        <f>'001'!C414</f>
        <v>PINCEL ROSARPIN 170 V1 NO.20</v>
      </c>
      <c r="C414" s="1" t="str">
        <f>'001'!D414</f>
        <v>0144</v>
      </c>
      <c r="D414" s="3" t="e">
        <f>'001'!H414</f>
        <v>#VALUE!</v>
      </c>
    </row>
    <row r="415" spans="1:4" x14ac:dyDescent="0.25">
      <c r="A415" s="1" t="str">
        <f>'001'!B415</f>
        <v>000569</v>
      </c>
      <c r="B415" s="1" t="str">
        <f>'001'!C415</f>
        <v>PINCEL ROSARPIN 170 V1 NO.25</v>
      </c>
      <c r="C415" s="1" t="str">
        <f>'001'!D415</f>
        <v>0144</v>
      </c>
      <c r="D415" s="3" t="e">
        <f>'001'!H415</f>
        <v>#VALUE!</v>
      </c>
    </row>
    <row r="416" spans="1:4" x14ac:dyDescent="0.25">
      <c r="A416" s="1" t="str">
        <f>'001'!B416</f>
        <v>000570</v>
      </c>
      <c r="B416" s="1" t="str">
        <f>'001'!C416</f>
        <v>PINCEL ROSARPIN 170 V1 NO.30</v>
      </c>
      <c r="C416" s="1" t="str">
        <f>'001'!D416</f>
        <v>0144</v>
      </c>
      <c r="D416" s="3" t="e">
        <f>'001'!H416</f>
        <v>#VALUE!</v>
      </c>
    </row>
    <row r="417" spans="1:4" x14ac:dyDescent="0.25">
      <c r="A417" s="1" t="str">
        <f>'001'!B417</f>
        <v>000571</v>
      </c>
      <c r="B417" s="1" t="str">
        <f>'001'!C417</f>
        <v>ESMALTE SINTETICO PLAVICON 3EN1 BRILLANTE GRIS ESPACIAL X  4</v>
      </c>
      <c r="C417" s="1" t="str">
        <f>'001'!D417</f>
        <v>0139</v>
      </c>
      <c r="D417" s="3" t="e">
        <f>'001'!H417</f>
        <v>#VALUE!</v>
      </c>
    </row>
    <row r="418" spans="1:4" x14ac:dyDescent="0.25">
      <c r="A418" s="1" t="str">
        <f>'001'!B418</f>
        <v>000572</v>
      </c>
      <c r="B418" s="1" t="str">
        <f>'001'!C418</f>
        <v>ESMALTE SINTETICO PLAVICON 3EN1 BRILLANTE GRIS ESPACIAL X 20</v>
      </c>
      <c r="C418" s="1" t="str">
        <f>'001'!D418</f>
        <v>0139</v>
      </c>
      <c r="D418" s="3" t="e">
        <f>'001'!H418</f>
        <v>#VALUE!</v>
      </c>
    </row>
    <row r="419" spans="1:4" x14ac:dyDescent="0.25">
      <c r="A419" s="1" t="str">
        <f>'001'!B419</f>
        <v>000573</v>
      </c>
      <c r="B419" s="1" t="str">
        <f>'001'!C419</f>
        <v>ESMALTE SINTETICO PLAVICON 3EN1 BRILLANTE VERDE NOCHE X  0,250</v>
      </c>
      <c r="C419" s="1" t="str">
        <f>'001'!D419</f>
        <v>0902</v>
      </c>
      <c r="D419" s="3" t="e">
        <f>'001'!H419</f>
        <v>#VALUE!</v>
      </c>
    </row>
    <row r="420" spans="1:4" x14ac:dyDescent="0.25">
      <c r="A420" s="1" t="str">
        <f>'001'!B420</f>
        <v>000574</v>
      </c>
      <c r="B420" s="1" t="str">
        <f>'001'!C420</f>
        <v>ESMALTE SINTETICO PLAVICON 3EN1 BRILLANTE VERDE NOCHE X  0,500</v>
      </c>
      <c r="C420" s="1" t="str">
        <f>'001'!D420</f>
        <v>0139</v>
      </c>
      <c r="D420" s="3" t="e">
        <f>'001'!H420</f>
        <v>#VALUE!</v>
      </c>
    </row>
    <row r="421" spans="1:4" x14ac:dyDescent="0.25">
      <c r="A421" s="1" t="str">
        <f>'001'!B421</f>
        <v>000575</v>
      </c>
      <c r="B421" s="1" t="str">
        <f>'001'!C421</f>
        <v>ESMALTE SINTETICO PLAVICON 3EN1 BRILLANTE VERDE NOCHE X  1</v>
      </c>
      <c r="C421" s="1" t="str">
        <f>'001'!D421</f>
        <v>0139</v>
      </c>
      <c r="D421" s="3" t="e">
        <f>'001'!H421</f>
        <v>#VALUE!</v>
      </c>
    </row>
    <row r="422" spans="1:4" x14ac:dyDescent="0.25">
      <c r="A422" s="1" t="str">
        <f>'001'!B422</f>
        <v>000576</v>
      </c>
      <c r="B422" s="1" t="str">
        <f>'001'!C422</f>
        <v>LIJA AL AGUA DOBLE A #   60</v>
      </c>
      <c r="C422" s="1" t="str">
        <f>'001'!D422</f>
        <v>0102</v>
      </c>
      <c r="D422" s="3" t="e">
        <f>'001'!H422</f>
        <v>#VALUE!</v>
      </c>
    </row>
    <row r="423" spans="1:4" x14ac:dyDescent="0.25">
      <c r="A423" s="1" t="str">
        <f>'001'!B423</f>
        <v>000577</v>
      </c>
      <c r="B423" s="1" t="str">
        <f>'001'!C423</f>
        <v>LIJA AL AGUA DOBLE A # 1000 (MG)</v>
      </c>
      <c r="C423" s="1" t="str">
        <f>'001'!D423</f>
        <v>0102</v>
      </c>
      <c r="D423" s="3" t="e">
        <f>'001'!H423</f>
        <v>#VALUE!</v>
      </c>
    </row>
    <row r="424" spans="1:4" x14ac:dyDescent="0.25">
      <c r="A424" s="1" t="str">
        <f>'001'!B424</f>
        <v>000578</v>
      </c>
      <c r="B424" s="1" t="str">
        <f>'001'!C424</f>
        <v>LIJA AL AGUA DOBLE A # 1200 (MG)</v>
      </c>
      <c r="C424" s="1" t="str">
        <f>'001'!D424</f>
        <v>0102</v>
      </c>
      <c r="D424" s="3" t="e">
        <f>'001'!H424</f>
        <v>#VALUE!</v>
      </c>
    </row>
    <row r="425" spans="1:4" x14ac:dyDescent="0.25">
      <c r="A425" s="1" t="str">
        <f>'001'!B425</f>
        <v>000579</v>
      </c>
      <c r="B425" s="1" t="str">
        <f>'001'!C425</f>
        <v>ESMALTE SINTETICO PLAVICON 3EN1 BRILLANTE VERDE NOCHE X  4</v>
      </c>
      <c r="C425" s="1" t="str">
        <f>'001'!D425</f>
        <v>0139</v>
      </c>
      <c r="D425" s="3" t="e">
        <f>'001'!H425</f>
        <v>#VALUE!</v>
      </c>
    </row>
    <row r="426" spans="1:4" x14ac:dyDescent="0.25">
      <c r="A426" s="1" t="str">
        <f>'001'!B426</f>
        <v>000580</v>
      </c>
      <c r="B426" s="1" t="str">
        <f>'001'!C426</f>
        <v>ESMALTE SINTETICO PLAVICON 3EN1 BRILLANTE VERDE NOCHE X 20</v>
      </c>
      <c r="C426" s="1" t="str">
        <f>'001'!D426</f>
        <v>0139</v>
      </c>
      <c r="D426" s="3" t="e">
        <f>'001'!H426</f>
        <v>#VALUE!</v>
      </c>
    </row>
    <row r="427" spans="1:4" x14ac:dyDescent="0.25">
      <c r="A427" s="1" t="str">
        <f>'001'!B427</f>
        <v>000581</v>
      </c>
      <c r="B427" s="1" t="str">
        <f>'001'!C427</f>
        <v>PINCEL ROSARPIN 1700 V1 C.CH.10</v>
      </c>
      <c r="C427" s="1" t="str">
        <f>'001'!D427</f>
        <v>0144</v>
      </c>
      <c r="D427" s="3" t="e">
        <f>'001'!H427</f>
        <v>#VALUE!</v>
      </c>
    </row>
    <row r="428" spans="1:4" x14ac:dyDescent="0.25">
      <c r="A428" s="1" t="str">
        <f>'001'!B428</f>
        <v>000582</v>
      </c>
      <c r="B428" s="1" t="str">
        <f>'001'!C428</f>
        <v>PINCEL ROSARPIN 1700 V1 C.CH.15</v>
      </c>
      <c r="C428" s="1" t="str">
        <f>'001'!D428</f>
        <v>0144</v>
      </c>
      <c r="D428" s="3" t="e">
        <f>'001'!H428</f>
        <v>#VALUE!</v>
      </c>
    </row>
    <row r="429" spans="1:4" x14ac:dyDescent="0.25">
      <c r="A429" s="1" t="str">
        <f>'001'!B429</f>
        <v>000583</v>
      </c>
      <c r="B429" s="1" t="str">
        <f>'001'!C429</f>
        <v>PINCEL ROSARPIN 1700 V1 C.CH.20</v>
      </c>
      <c r="C429" s="1" t="str">
        <f>'001'!D429</f>
        <v>0144</v>
      </c>
      <c r="D429" s="3" t="e">
        <f>'001'!H429</f>
        <v>#VALUE!</v>
      </c>
    </row>
    <row r="430" spans="1:4" x14ac:dyDescent="0.25">
      <c r="A430" s="1" t="str">
        <f>'001'!B430</f>
        <v>000584</v>
      </c>
      <c r="B430" s="1" t="str">
        <f>'001'!C430</f>
        <v>PINCEL ROSARPIN 1700 V1 C.CH.30</v>
      </c>
      <c r="C430" s="1" t="str">
        <f>'001'!D430</f>
        <v>0144</v>
      </c>
      <c r="D430" s="3" t="e">
        <f>'001'!H430</f>
        <v>#VALUE!</v>
      </c>
    </row>
    <row r="431" spans="1:4" x14ac:dyDescent="0.25">
      <c r="A431" s="1" t="str">
        <f>'001'!B431</f>
        <v>000585</v>
      </c>
      <c r="B431" s="1" t="str">
        <f>'001'!C431</f>
        <v>REMOVEDOR GEL X 4</v>
      </c>
      <c r="C431" s="1" t="str">
        <f>'001'!D431</f>
        <v>0186</v>
      </c>
      <c r="D431" s="3" t="e">
        <f>'001'!H431</f>
        <v>#VALUE!</v>
      </c>
    </row>
    <row r="432" spans="1:4" x14ac:dyDescent="0.25">
      <c r="A432" s="1" t="str">
        <f>'001'!B432</f>
        <v>000586</v>
      </c>
      <c r="B432" s="1" t="str">
        <f>'001'!C432</f>
        <v>PINCEL ROSARPIN 1462 V2 C.CH.10</v>
      </c>
      <c r="C432" s="1" t="str">
        <f>'001'!D432</f>
        <v>0144</v>
      </c>
      <c r="D432" s="3" t="e">
        <f>'001'!H432</f>
        <v>#VALUE!</v>
      </c>
    </row>
    <row r="433" spans="1:4" x14ac:dyDescent="0.25">
      <c r="A433" s="1" t="str">
        <f>'001'!B433</f>
        <v>000587</v>
      </c>
      <c r="B433" s="1" t="str">
        <f>'001'!C433</f>
        <v>PINCEL ROSARPIN 1462 V2 C.CH.15</v>
      </c>
      <c r="C433" s="1" t="str">
        <f>'001'!D433</f>
        <v>0144</v>
      </c>
      <c r="D433" s="3" t="e">
        <f>'001'!H433</f>
        <v>#VALUE!</v>
      </c>
    </row>
    <row r="434" spans="1:4" x14ac:dyDescent="0.25">
      <c r="A434" s="1" t="str">
        <f>'001'!B434</f>
        <v>000588</v>
      </c>
      <c r="B434" s="1" t="str">
        <f>'001'!C434</f>
        <v>PINCEL ROSARPIN 1462 V2 C.CH.20</v>
      </c>
      <c r="C434" s="1" t="str">
        <f>'001'!D434</f>
        <v>0144</v>
      </c>
      <c r="D434" s="3" t="e">
        <f>'001'!H434</f>
        <v>#VALUE!</v>
      </c>
    </row>
    <row r="435" spans="1:4" x14ac:dyDescent="0.25">
      <c r="A435" s="1" t="str">
        <f>'001'!B435</f>
        <v>000589</v>
      </c>
      <c r="B435" s="1" t="str">
        <f>'001'!C435</f>
        <v>PINCEL ROSARPIN 1462 V2 C.CH.25</v>
      </c>
      <c r="C435" s="1" t="str">
        <f>'001'!D435</f>
        <v>0144</v>
      </c>
      <c r="D435" s="3" t="e">
        <f>'001'!H435</f>
        <v>#VALUE!</v>
      </c>
    </row>
    <row r="436" spans="1:4" x14ac:dyDescent="0.25">
      <c r="A436" s="1" t="str">
        <f>'001'!B436</f>
        <v>000590</v>
      </c>
      <c r="B436" s="1" t="str">
        <f>'001'!C436</f>
        <v>PINCEL ROSARPIN 1462 V2 C.CH.30</v>
      </c>
      <c r="C436" s="1" t="str">
        <f>'001'!D436</f>
        <v>0144</v>
      </c>
      <c r="D436" s="3" t="e">
        <f>'001'!H436</f>
        <v>#VALUE!</v>
      </c>
    </row>
    <row r="437" spans="1:4" x14ac:dyDescent="0.25">
      <c r="A437" s="1" t="str">
        <f>'001'!B437</f>
        <v>000591</v>
      </c>
      <c r="B437" s="1" t="str">
        <f>'001'!C437</f>
        <v>ESMALTE SINTETICO PLAVICON 3EN1 BRILLANTE VERDE INGLES X  0,250</v>
      </c>
      <c r="C437" s="1" t="str">
        <f>'001'!D437</f>
        <v>0902</v>
      </c>
      <c r="D437" s="3" t="e">
        <f>'001'!H437</f>
        <v>#VALUE!</v>
      </c>
    </row>
    <row r="438" spans="1:4" x14ac:dyDescent="0.25">
      <c r="A438" s="1" t="str">
        <f>'001'!B438</f>
        <v>000592</v>
      </c>
      <c r="B438" s="1" t="str">
        <f>'001'!C438</f>
        <v>ESMALTE SINTETICO PLAVICON 3EN1 BRILLANTE VERDE INGLES X  0,500</v>
      </c>
      <c r="C438" s="1" t="str">
        <f>'001'!D438</f>
        <v>0139</v>
      </c>
      <c r="D438" s="3" t="e">
        <f>'001'!H438</f>
        <v>#VALUE!</v>
      </c>
    </row>
    <row r="439" spans="1:4" x14ac:dyDescent="0.25">
      <c r="A439" s="1" t="str">
        <f>'001'!B439</f>
        <v>000593</v>
      </c>
      <c r="B439" s="1" t="str">
        <f>'001'!C439</f>
        <v>RODILLO LUMAR EPOXI PELO CORTO FINO  5(44/A)</v>
      </c>
      <c r="C439" s="1" t="str">
        <f>'001'!D439</f>
        <v>0128</v>
      </c>
      <c r="D439" s="3" t="e">
        <f>'001'!H439</f>
        <v>#VALUE!</v>
      </c>
    </row>
    <row r="440" spans="1:4" x14ac:dyDescent="0.25">
      <c r="A440" s="1" t="str">
        <f>'001'!B440</f>
        <v>000594</v>
      </c>
      <c r="B440" s="1" t="str">
        <f>'001'!C440</f>
        <v>RODILLO LUMAR EPOXI PELO CORTO FINO  8(44/B)</v>
      </c>
      <c r="C440" s="1" t="str">
        <f>'001'!D440</f>
        <v>0128</v>
      </c>
      <c r="D440" s="3" t="e">
        <f>'001'!H440</f>
        <v>#VALUE!</v>
      </c>
    </row>
    <row r="441" spans="1:4" x14ac:dyDescent="0.25">
      <c r="A441" s="1" t="str">
        <f>'001'!B441</f>
        <v>000595</v>
      </c>
      <c r="B441" s="1" t="str">
        <f>'001'!C441</f>
        <v>RODILLO LUMAR EPOXI PELO CORTO FINO 10(44/C)</v>
      </c>
      <c r="C441" s="1" t="str">
        <f>'001'!D441</f>
        <v>0128</v>
      </c>
      <c r="D441" s="3" t="e">
        <f>'001'!H441</f>
        <v>#VALUE!</v>
      </c>
    </row>
    <row r="442" spans="1:4" x14ac:dyDescent="0.25">
      <c r="A442" s="1" t="str">
        <f>'001'!B442</f>
        <v>000596</v>
      </c>
      <c r="B442" s="1" t="str">
        <f>'001'!C442</f>
        <v>PINCEL ROSARPIN 1700 V1 C.CH.25</v>
      </c>
      <c r="C442" s="1" t="str">
        <f>'001'!D442</f>
        <v>0144</v>
      </c>
      <c r="D442" s="3" t="e">
        <f>'001'!H442</f>
        <v>#VALUE!</v>
      </c>
    </row>
    <row r="443" spans="1:4" x14ac:dyDescent="0.25">
      <c r="A443" s="1" t="str">
        <f>'001'!B443</f>
        <v>000597</v>
      </c>
      <c r="B443" s="1" t="str">
        <f>'001'!C443</f>
        <v>BARNIZ PARA MADERA INTERIOR CRISTALBA AL AGUA BRILLANTE NATURAL X 4</v>
      </c>
      <c r="C443" s="1" t="str">
        <f>'001'!D443</f>
        <v>0107</v>
      </c>
      <c r="D443" s="3" t="e">
        <f>'001'!H443</f>
        <v>#VALUE!</v>
      </c>
    </row>
    <row r="444" spans="1:4" x14ac:dyDescent="0.25">
      <c r="A444" s="1" t="str">
        <f>'001'!B444</f>
        <v>000599</v>
      </c>
      <c r="B444" s="1" t="str">
        <f>'001'!C444</f>
        <v>ESMALTE SINTETICO PLAVICON 3EN1 BRILLANTE VERDE INGLES X  1</v>
      </c>
      <c r="C444" s="1" t="str">
        <f>'001'!D444</f>
        <v>0139</v>
      </c>
      <c r="D444" s="3" t="e">
        <f>'001'!H444</f>
        <v>#VALUE!</v>
      </c>
    </row>
    <row r="445" spans="1:4" x14ac:dyDescent="0.25">
      <c r="A445" s="1" t="str">
        <f>'001'!B445</f>
        <v>000600</v>
      </c>
      <c r="B445" s="1" t="str">
        <f>'001'!C445</f>
        <v>ESMALTE SINTETICO PLAVICON 3EN1 BRILLANTE VERDE INGLES X  4</v>
      </c>
      <c r="C445" s="1" t="str">
        <f>'001'!D445</f>
        <v>0139</v>
      </c>
      <c r="D445" s="3" t="e">
        <f>'001'!H445</f>
        <v>#VALUE!</v>
      </c>
    </row>
    <row r="446" spans="1:4" x14ac:dyDescent="0.25">
      <c r="A446" s="1" t="str">
        <f>'001'!B446</f>
        <v>000601</v>
      </c>
      <c r="B446" s="1" t="str">
        <f>'001'!C446</f>
        <v>ESMALTE SINTETICO PLAVICON 3EN1 BRILLANTE VERDE INGLES X 20</v>
      </c>
      <c r="C446" s="1" t="str">
        <f>'001'!D446</f>
        <v>0139</v>
      </c>
      <c r="D446" s="3" t="e">
        <f>'001'!H446</f>
        <v>#VALUE!</v>
      </c>
    </row>
    <row r="447" spans="1:4" x14ac:dyDescent="0.25">
      <c r="A447" s="1" t="str">
        <f>'001'!B447</f>
        <v>000603</v>
      </c>
      <c r="B447" s="1" t="str">
        <f>'001'!C447</f>
        <v>ESMALTE SINTETICO PLAVICON 3EN1 BRILLANTE VERDE CLARO X  0,500</v>
      </c>
      <c r="C447" s="1" t="str">
        <f>'001'!D447</f>
        <v>0139</v>
      </c>
      <c r="D447" s="3" t="e">
        <f>'001'!H447</f>
        <v>#VALUE!</v>
      </c>
    </row>
    <row r="448" spans="1:4" x14ac:dyDescent="0.25">
      <c r="A448" s="1" t="str">
        <f>'001'!B448</f>
        <v>000604</v>
      </c>
      <c r="B448" s="1" t="str">
        <f>'001'!C448</f>
        <v>ESMALTE SINTETICO PLAVICON 3EN1 BRILLANTE VERDE CLARO X  1</v>
      </c>
      <c r="C448" s="1" t="str">
        <f>'001'!D448</f>
        <v>0139</v>
      </c>
      <c r="D448" s="3" t="e">
        <f>'001'!H448</f>
        <v>#VALUE!</v>
      </c>
    </row>
    <row r="449" spans="1:4" x14ac:dyDescent="0.25">
      <c r="A449" s="1" t="str">
        <f>'001'!B449</f>
        <v>000605</v>
      </c>
      <c r="B449" s="1" t="str">
        <f>'001'!C449</f>
        <v>DETAILING KAC ZEOCAR (140)</v>
      </c>
      <c r="C449" s="1" t="str">
        <f>'001'!D449</f>
        <v>0157</v>
      </c>
      <c r="D449" s="3" t="e">
        <f>'001'!H449</f>
        <v>#VALUE!</v>
      </c>
    </row>
    <row r="450" spans="1:4" x14ac:dyDescent="0.25">
      <c r="A450" s="1" t="str">
        <f>'001'!B450</f>
        <v>000606</v>
      </c>
      <c r="B450" s="1" t="str">
        <f>'001'!C450</f>
        <v>PLATO SOPORTE M14 ZEOCAR (110)</v>
      </c>
      <c r="C450" s="1" t="str">
        <f>'001'!D450</f>
        <v>0157</v>
      </c>
      <c r="D450" s="3" t="e">
        <f>'001'!H450</f>
        <v>#VALUE!</v>
      </c>
    </row>
    <row r="451" spans="1:4" x14ac:dyDescent="0.25">
      <c r="A451" s="1" t="str">
        <f>'001'!B451</f>
        <v>000607</v>
      </c>
      <c r="B451" s="1" t="str">
        <f>'001'!C451</f>
        <v>LIJA PARA MASILLA PLATICA DOBLE A 50</v>
      </c>
      <c r="C451" s="1" t="str">
        <f>'001'!D451</f>
        <v>0102</v>
      </c>
      <c r="D451" s="3" t="e">
        <f>'001'!H451</f>
        <v>#VALUE!</v>
      </c>
    </row>
    <row r="452" spans="1:4" x14ac:dyDescent="0.25">
      <c r="A452" s="1" t="str">
        <f>'001'!B452</f>
        <v>000608</v>
      </c>
      <c r="B452" s="1" t="str">
        <f>'001'!C452</f>
        <v>BARNIZ PARA MADERA INTERIOR CRISTALBA AL AGUA BRILLANTE NATURAL X 1</v>
      </c>
      <c r="C452" s="1" t="str">
        <f>'001'!D452</f>
        <v>0107</v>
      </c>
      <c r="D452" s="3" t="e">
        <f>'001'!H452</f>
        <v>#VALUE!</v>
      </c>
    </row>
    <row r="453" spans="1:4" x14ac:dyDescent="0.25">
      <c r="A453" s="1" t="str">
        <f>'001'!B453</f>
        <v>000609</v>
      </c>
      <c r="B453" s="1" t="str">
        <f>'001'!C453</f>
        <v>PANO DE MICROFIBRA ZEOCAR 40X50MM (90)</v>
      </c>
      <c r="C453" s="1" t="str">
        <f>'001'!D453</f>
        <v>0157</v>
      </c>
      <c r="D453" s="3" t="e">
        <f>'001'!H453</f>
        <v>#VALUE!</v>
      </c>
    </row>
    <row r="454" spans="1:4" x14ac:dyDescent="0.25">
      <c r="A454" s="1" t="str">
        <f>'001'!B454</f>
        <v>000617</v>
      </c>
      <c r="B454" s="1" t="str">
        <f>'001'!C454</f>
        <v>ENDUIDO INTERIOR ALBAPLAST X 20</v>
      </c>
      <c r="C454" s="1" t="str">
        <f>'001'!D454</f>
        <v>0107</v>
      </c>
      <c r="D454" s="3" t="e">
        <f>'001'!H454</f>
        <v>#VALUE!</v>
      </c>
    </row>
    <row r="455" spans="1:4" x14ac:dyDescent="0.25">
      <c r="A455" s="1" t="str">
        <f>'001'!B455</f>
        <v>000624</v>
      </c>
      <c r="B455" s="1" t="str">
        <f>'001'!C455</f>
        <v>FIJADOR PARA PARED ALBA AL AGUA X  1</v>
      </c>
      <c r="C455" s="1" t="str">
        <f>'001'!D455</f>
        <v>0107</v>
      </c>
      <c r="D455" s="3" t="e">
        <f>'001'!H455</f>
        <v>#VALUE!</v>
      </c>
    </row>
    <row r="456" spans="1:4" x14ac:dyDescent="0.25">
      <c r="A456" s="1" t="str">
        <f>'001'!B456</f>
        <v>000625</v>
      </c>
      <c r="B456" s="1" t="str">
        <f>'001'!C456</f>
        <v>FIJADOR PARA PARED ALBA AL AGUA X  4</v>
      </c>
      <c r="C456" s="1" t="str">
        <f>'001'!D456</f>
        <v>0107</v>
      </c>
      <c r="D456" s="3" t="e">
        <f>'001'!H456</f>
        <v>#VALUE!</v>
      </c>
    </row>
    <row r="457" spans="1:4" x14ac:dyDescent="0.25">
      <c r="A457" s="1" t="str">
        <f>'001'!B457</f>
        <v>000626</v>
      </c>
      <c r="B457" s="1" t="str">
        <f>'001'!C457</f>
        <v>FIJADOR PARA PARED ALBA AL AGUA X 10</v>
      </c>
      <c r="C457" s="1" t="str">
        <f>'001'!D457</f>
        <v>0107</v>
      </c>
      <c r="D457" s="3" t="e">
        <f>'001'!H457</f>
        <v>#VALUE!</v>
      </c>
    </row>
    <row r="458" spans="1:4" x14ac:dyDescent="0.25">
      <c r="A458" s="1" t="str">
        <f>'001'!B458</f>
        <v>000627</v>
      </c>
      <c r="B458" s="1" t="str">
        <f>'001'!C458</f>
        <v>FIJADOR PARA PARED ALBA AL AGUA X 20</v>
      </c>
      <c r="C458" s="1" t="str">
        <f>'001'!D458</f>
        <v>0107</v>
      </c>
      <c r="D458" s="3" t="e">
        <f>'001'!H458</f>
        <v>#VALUE!</v>
      </c>
    </row>
    <row r="459" spans="1:4" x14ac:dyDescent="0.25">
      <c r="A459" s="1" t="str">
        <f>'001'!B459</f>
        <v>000628</v>
      </c>
      <c r="B459" s="1" t="str">
        <f>'001'!C459</f>
        <v>PINCEL ROSARPIN FILETEAR CH/R.14</v>
      </c>
      <c r="C459" s="1" t="str">
        <f>'001'!D459</f>
        <v>0144</v>
      </c>
      <c r="D459" s="3" t="e">
        <f>'001'!H459</f>
        <v>#VALUE!</v>
      </c>
    </row>
    <row r="460" spans="1:4" x14ac:dyDescent="0.25">
      <c r="A460" s="1" t="str">
        <f>'001'!B460</f>
        <v>000629</v>
      </c>
      <c r="B460" s="1" t="str">
        <f>'001'!C460</f>
        <v>PINCEL ROSARPIN FILETEAR CH/R.16</v>
      </c>
      <c r="C460" s="1" t="str">
        <f>'001'!D460</f>
        <v>0144</v>
      </c>
      <c r="D460" s="3" t="e">
        <f>'001'!H460</f>
        <v>#VALUE!</v>
      </c>
    </row>
    <row r="461" spans="1:4" x14ac:dyDescent="0.25">
      <c r="A461" s="1" t="str">
        <f>'001'!B461</f>
        <v>000630</v>
      </c>
      <c r="B461" s="1" t="str">
        <f>'001'!C461</f>
        <v>PASTA PARA PULIR FINA ZEOCAR X 0,480 (01)</v>
      </c>
      <c r="C461" s="1" t="str">
        <f>'001'!D461</f>
        <v>0157</v>
      </c>
      <c r="D461" s="3" t="e">
        <f>'001'!H461</f>
        <v>#VALUE!</v>
      </c>
    </row>
    <row r="462" spans="1:4" x14ac:dyDescent="0.25">
      <c r="A462" s="1" t="str">
        <f>'001'!B462</f>
        <v>000631</v>
      </c>
      <c r="B462" s="1" t="str">
        <f>'001'!C462</f>
        <v>PASTA PARA PULIR FINA ZEOCAR X 1 (02)</v>
      </c>
      <c r="C462" s="1" t="str">
        <f>'001'!D462</f>
        <v>0157</v>
      </c>
      <c r="D462" s="3" t="e">
        <f>'001'!H462</f>
        <v>#VALUE!</v>
      </c>
    </row>
    <row r="463" spans="1:4" x14ac:dyDescent="0.25">
      <c r="A463" s="1" t="str">
        <f>'001'!B463</f>
        <v>000632</v>
      </c>
      <c r="B463" s="1" t="str">
        <f>'001'!C463</f>
        <v>PASTA PARA PULIR GRUESA ZEOCAR X 0,480 (04)</v>
      </c>
      <c r="C463" s="1" t="str">
        <f>'001'!D463</f>
        <v>0157</v>
      </c>
      <c r="D463" s="3" t="e">
        <f>'001'!H463</f>
        <v>#VALUE!</v>
      </c>
    </row>
    <row r="464" spans="1:4" x14ac:dyDescent="0.25">
      <c r="A464" s="1" t="str">
        <f>'001'!B464</f>
        <v>000634</v>
      </c>
      <c r="B464" s="1" t="str">
        <f>'001'!C464</f>
        <v>MASILLA PLASTICA ZEOCAR FINISH X 2,5 (46)</v>
      </c>
      <c r="C464" s="1" t="str">
        <f>'001'!D464</f>
        <v>0157</v>
      </c>
      <c r="D464" s="3" t="e">
        <f>'001'!H464</f>
        <v>#VALUE!</v>
      </c>
    </row>
    <row r="465" spans="1:4" x14ac:dyDescent="0.25">
      <c r="A465" s="1" t="str">
        <f>'001'!B465</f>
        <v>000639</v>
      </c>
      <c r="B465" s="1" t="str">
        <f>'001'!C465</f>
        <v>ESMALTE SINTETICO PLAVICON 3EN1 BRILLANTE VERDE CLARO X  4</v>
      </c>
      <c r="C465" s="1" t="str">
        <f>'001'!D465</f>
        <v>0139</v>
      </c>
      <c r="D465" s="3" t="e">
        <f>'001'!H465</f>
        <v>#VALUE!</v>
      </c>
    </row>
    <row r="466" spans="1:4" x14ac:dyDescent="0.25">
      <c r="A466" s="1" t="str">
        <f>'001'!B466</f>
        <v>000640</v>
      </c>
      <c r="B466" s="1" t="str">
        <f>'001'!C466</f>
        <v>PASTA AL AGUA ZEOCAR FINE PASTE X 0,500 (76)</v>
      </c>
      <c r="C466" s="1" t="str">
        <f>'001'!D466</f>
        <v>0157</v>
      </c>
      <c r="D466" s="3" t="e">
        <f>'001'!H466</f>
        <v>#VALUE!</v>
      </c>
    </row>
    <row r="467" spans="1:4" x14ac:dyDescent="0.25">
      <c r="A467" s="1" t="str">
        <f>'001'!B467</f>
        <v>000641</v>
      </c>
      <c r="B467" s="1" t="str">
        <f>'001'!C467</f>
        <v>MORTERO ANTIHUMEDAD RECUBLOCK CIMIENTOS SINTEPLAST X  5</v>
      </c>
      <c r="C467" s="1" t="str">
        <f>'001'!D467</f>
        <v>0150</v>
      </c>
      <c r="D467" s="3" t="e">
        <f>'001'!H467</f>
        <v>#VALUE!</v>
      </c>
    </row>
    <row r="468" spans="1:4" x14ac:dyDescent="0.25">
      <c r="A468" s="1" t="str">
        <f>'001'!B468</f>
        <v>000642</v>
      </c>
      <c r="B468" s="1" t="str">
        <f>'001'!C468</f>
        <v>MORTERO ANTIHUMEDAD RECUBLOCK CIMIENTOS SINTEPLAST X 12</v>
      </c>
      <c r="C468" s="1" t="str">
        <f>'001'!D468</f>
        <v>0150</v>
      </c>
      <c r="D468" s="3" t="e">
        <f>'001'!H468</f>
        <v>#VALUE!</v>
      </c>
    </row>
    <row r="469" spans="1:4" x14ac:dyDescent="0.25">
      <c r="A469" s="1" t="str">
        <f>'001'!B469</f>
        <v>000645</v>
      </c>
      <c r="B469" s="1" t="str">
        <f>'001'!C469</f>
        <v>PASTA AL AGUA ZEOCAR FINE PASTE X 0,200 (74)</v>
      </c>
      <c r="C469" s="1" t="str">
        <f>'001'!D469</f>
        <v>0157</v>
      </c>
      <c r="D469" s="3" t="e">
        <f>'001'!H469</f>
        <v>#VALUE!</v>
      </c>
    </row>
    <row r="470" spans="1:4" x14ac:dyDescent="0.25">
      <c r="A470" s="1" t="str">
        <f>'001'!B470</f>
        <v>000646</v>
      </c>
      <c r="B470" s="1" t="str">
        <f>'001'!C470</f>
        <v>PASTA AL AGUA ZEOCAR FINE PASTE X 1 (75)</v>
      </c>
      <c r="C470" s="1" t="str">
        <f>'001'!D470</f>
        <v>0157</v>
      </c>
      <c r="D470" s="3" t="e">
        <f>'001'!H470</f>
        <v>#VALUE!</v>
      </c>
    </row>
    <row r="471" spans="1:4" x14ac:dyDescent="0.25">
      <c r="A471" s="1" t="str">
        <f>'001'!B471</f>
        <v>000647</v>
      </c>
      <c r="B471" s="1" t="str">
        <f>'001'!C471</f>
        <v>PASTA PARA PULIR A MAQUINA ZEOCAR MACHINE GLAZE X 0,200 (77)</v>
      </c>
      <c r="C471" s="1" t="str">
        <f>'001'!D471</f>
        <v>0157</v>
      </c>
      <c r="D471" s="3" t="e">
        <f>'001'!H471</f>
        <v>#VALUE!</v>
      </c>
    </row>
    <row r="472" spans="1:4" x14ac:dyDescent="0.25">
      <c r="A472" s="1" t="str">
        <f>'001'!B472</f>
        <v>000648</v>
      </c>
      <c r="B472" s="1" t="str">
        <f>'001'!C472</f>
        <v>PASTA PARA PULIR A MAQUINA ZEOCAR MACHINE GLAZE X 1 (78)</v>
      </c>
      <c r="C472" s="1" t="str">
        <f>'001'!D472</f>
        <v>0157</v>
      </c>
      <c r="D472" s="3" t="e">
        <f>'001'!H472</f>
        <v>#VALUE!</v>
      </c>
    </row>
    <row r="473" spans="1:4" x14ac:dyDescent="0.25">
      <c r="A473" s="1" t="str">
        <f>'001'!B473</f>
        <v>000649</v>
      </c>
      <c r="B473" s="1" t="str">
        <f>'001'!C473</f>
        <v>PINTURA ASFALTICA SECADO RAPIDO MEGAFLEX X  1</v>
      </c>
      <c r="C473" s="1" t="str">
        <f>'001'!D473</f>
        <v>0130</v>
      </c>
      <c r="D473" s="3" t="e">
        <f>'001'!H473</f>
        <v>#VALUE!</v>
      </c>
    </row>
    <row r="474" spans="1:4" x14ac:dyDescent="0.25">
      <c r="A474" s="1" t="str">
        <f>'001'!B474</f>
        <v>000650</v>
      </c>
      <c r="B474" s="1" t="str">
        <f>'001'!C474</f>
        <v>PINTURA ASFALTICA SECADO RAPIDO MEGAFLEX X  4</v>
      </c>
      <c r="C474" s="1" t="str">
        <f>'001'!D474</f>
        <v>0130</v>
      </c>
      <c r="D474" s="3" t="e">
        <f>'001'!H474</f>
        <v>#VALUE!</v>
      </c>
    </row>
    <row r="475" spans="1:4" x14ac:dyDescent="0.25">
      <c r="A475" s="1" t="str">
        <f>'001'!B475</f>
        <v>000651</v>
      </c>
      <c r="B475" s="1" t="str">
        <f>'001'!C475</f>
        <v>PINTURA ASFALTICA SECADO RAPIDO MEGAFLEX X 18</v>
      </c>
      <c r="C475" s="1" t="str">
        <f>'001'!D475</f>
        <v>0130</v>
      </c>
      <c r="D475" s="3" t="e">
        <f>'001'!H475</f>
        <v>#VALUE!</v>
      </c>
    </row>
    <row r="476" spans="1:4" x14ac:dyDescent="0.25">
      <c r="A476" s="1" t="str">
        <f>'001'!B476</f>
        <v>000652</v>
      </c>
      <c r="B476" s="1" t="str">
        <f>'001'!C476</f>
        <v>MASILLA POLIESTER ZEOCAR X 0,300 (66)</v>
      </c>
      <c r="C476" s="1" t="str">
        <f>'001'!D476</f>
        <v>0157</v>
      </c>
      <c r="D476" s="3" t="e">
        <f>'001'!H476</f>
        <v>#VALUE!</v>
      </c>
    </row>
    <row r="477" spans="1:4" x14ac:dyDescent="0.25">
      <c r="A477" s="1" t="str">
        <f>'001'!B477</f>
        <v>000653</v>
      </c>
      <c r="B477" s="1" t="str">
        <f>'001'!C477</f>
        <v>MASILLA POLIESTER ZEOCAR X 0,500 (34)</v>
      </c>
      <c r="C477" s="1" t="str">
        <f>'001'!D477</f>
        <v>0157</v>
      </c>
      <c r="D477" s="3" t="e">
        <f>'001'!H477</f>
        <v>#VALUE!</v>
      </c>
    </row>
    <row r="478" spans="1:4" x14ac:dyDescent="0.25">
      <c r="A478" s="1" t="str">
        <f>'001'!B478</f>
        <v>000654</v>
      </c>
      <c r="B478" s="1" t="str">
        <f>'001'!C478</f>
        <v>CERA CARNAUBA ZEOCAR ZEOWAX X 0,290 (83)</v>
      </c>
      <c r="C478" s="1" t="str">
        <f>'001'!D478</f>
        <v>0157</v>
      </c>
      <c r="D478" s="3" t="e">
        <f>'001'!H478</f>
        <v>#VALUE!</v>
      </c>
    </row>
    <row r="479" spans="1:4" x14ac:dyDescent="0.25">
      <c r="A479" s="1" t="str">
        <f>'001'!B479</f>
        <v>000655</v>
      </c>
      <c r="B479" s="1" t="str">
        <f>'001'!C479</f>
        <v>MASILLA POLIESTER ZEOCAR X 1 (35)</v>
      </c>
      <c r="C479" s="1" t="str">
        <f>'001'!D479</f>
        <v>0157</v>
      </c>
      <c r="D479" s="3" t="e">
        <f>'001'!H479</f>
        <v>#VALUE!</v>
      </c>
    </row>
    <row r="480" spans="1:4" x14ac:dyDescent="0.25">
      <c r="A480" s="1" t="str">
        <f>'001'!B480</f>
        <v>000656</v>
      </c>
      <c r="B480" s="1" t="str">
        <f>'001'!C480</f>
        <v>MASILLA POLIESTER ZEOCAR X 2,50 (38)</v>
      </c>
      <c r="C480" s="1" t="str">
        <f>'001'!D480</f>
        <v>0902</v>
      </c>
      <c r="D480" s="3" t="e">
        <f>'001'!H480</f>
        <v>#VALUE!</v>
      </c>
    </row>
    <row r="481" spans="1:4" x14ac:dyDescent="0.25">
      <c r="A481" s="1" t="str">
        <f>'001'!B481</f>
        <v>000657</v>
      </c>
      <c r="B481" s="1" t="str">
        <f>'001'!C481</f>
        <v>MASILLA POLIESTER ZEOCAR X 3,25 (33)</v>
      </c>
      <c r="C481" s="1" t="str">
        <f>'001'!D481</f>
        <v>0157</v>
      </c>
      <c r="D481" s="3" t="e">
        <f>'001'!H481</f>
        <v>#VALUE!</v>
      </c>
    </row>
    <row r="482" spans="1:4" x14ac:dyDescent="0.25">
      <c r="A482" s="1" t="str">
        <f>'001'!B482</f>
        <v>000659</v>
      </c>
      <c r="B482" s="1" t="str">
        <f>'001'!C482</f>
        <v>PISTOLA PARA PINTAR CANE A.L 150</v>
      </c>
      <c r="C482" s="1" t="str">
        <f>'001'!D482</f>
        <v>0115</v>
      </c>
      <c r="D482" s="3" t="e">
        <f>'001'!H482</f>
        <v>#VALUE!</v>
      </c>
    </row>
    <row r="483" spans="1:4" x14ac:dyDescent="0.25">
      <c r="A483" s="1" t="str">
        <f>'001'!B483</f>
        <v>000660</v>
      </c>
      <c r="B483" s="1" t="str">
        <f>'001'!C483</f>
        <v>PISTOLA PARA PINTAR CANE  A.L 700</v>
      </c>
      <c r="C483" s="1" t="str">
        <f>'001'!D483</f>
        <v>0115</v>
      </c>
      <c r="D483" s="3" t="e">
        <f>'001'!H483</f>
        <v>#VALUE!</v>
      </c>
    </row>
    <row r="484" spans="1:4" x14ac:dyDescent="0.25">
      <c r="A484" s="1" t="str">
        <f>'001'!B484</f>
        <v>000661</v>
      </c>
      <c r="B484" s="1" t="str">
        <f>'001'!C484</f>
        <v>AEROSOL RUST-OLEUM SP BANERAS Y AZULEJOS X 0,340(280882 / 358949)</v>
      </c>
      <c r="C484" s="1" t="str">
        <f>'001'!D484</f>
        <v>0146</v>
      </c>
      <c r="D484" s="3" t="e">
        <f>'001'!H484</f>
        <v>#VALUE!</v>
      </c>
    </row>
    <row r="485" spans="1:4" x14ac:dyDescent="0.25">
      <c r="A485" s="1" t="str">
        <f>'001'!B485</f>
        <v>000663</v>
      </c>
      <c r="B485" s="1" t="str">
        <f>'001'!C485</f>
        <v>PISTOLA PARA PINTAR CANE S.K.P.</v>
      </c>
      <c r="C485" s="1" t="str">
        <f>'001'!D485</f>
        <v>0115</v>
      </c>
      <c r="D485" s="3" t="e">
        <f>'001'!H485</f>
        <v>#VALUE!</v>
      </c>
    </row>
    <row r="486" spans="1:4" x14ac:dyDescent="0.25">
      <c r="A486" s="1" t="str">
        <f>'001'!B486</f>
        <v>000664</v>
      </c>
      <c r="B486" s="1" t="str">
        <f>'001'!C486</f>
        <v>RODILLO LUMAR LANA MARRON ESPECIAL 17 (510B)</v>
      </c>
      <c r="C486" s="1" t="str">
        <f>'001'!D486</f>
        <v>0128</v>
      </c>
      <c r="D486" s="3" t="e">
        <f>'001'!H486</f>
        <v>#VALUE!</v>
      </c>
    </row>
    <row r="487" spans="1:4" x14ac:dyDescent="0.25">
      <c r="A487" s="1" t="str">
        <f>'001'!B487</f>
        <v>000665</v>
      </c>
      <c r="B487" s="1" t="str">
        <f>'001'!C487</f>
        <v>RODILLO LUMAR LANA MARRON ESPECIAL 22 (510C)</v>
      </c>
      <c r="C487" s="1" t="str">
        <f>'001'!D487</f>
        <v>0128</v>
      </c>
      <c r="D487" s="3" t="e">
        <f>'001'!H487</f>
        <v>#VALUE!</v>
      </c>
    </row>
    <row r="488" spans="1:4" x14ac:dyDescent="0.25">
      <c r="A488" s="1" t="str">
        <f>'001'!B488</f>
        <v>000666</v>
      </c>
      <c r="B488" s="1" t="str">
        <f>'001'!C488</f>
        <v>PISTOLA PARA PINTAR CANE H.V.G.</v>
      </c>
      <c r="C488" s="1" t="str">
        <f>'001'!D488</f>
        <v>0115</v>
      </c>
      <c r="D488" s="3" t="e">
        <f>'001'!H488</f>
        <v>#VALUE!</v>
      </c>
    </row>
    <row r="489" spans="1:4" x14ac:dyDescent="0.25">
      <c r="A489" s="1" t="str">
        <f>'001'!B489</f>
        <v>000667</v>
      </c>
      <c r="B489" s="1" t="str">
        <f>'001'!C489</f>
        <v>PASTA PARA PULIR A MAQUINA ZEOCAR MACHINE GLAZE X 0,500 (79)</v>
      </c>
      <c r="C489" s="1" t="str">
        <f>'001'!D489</f>
        <v>0157</v>
      </c>
      <c r="D489" s="3" t="e">
        <f>'001'!H489</f>
        <v>#VALUE!</v>
      </c>
    </row>
    <row r="490" spans="1:4" x14ac:dyDescent="0.25">
      <c r="A490" s="1" t="str">
        <f>'001'!B490</f>
        <v>000668</v>
      </c>
      <c r="B490" s="1" t="str">
        <f>'001'!C490</f>
        <v>MASILLA POLIESTER PARA PLASTICOS ZEOFLEX X 0,700 (65)</v>
      </c>
      <c r="C490" s="1" t="str">
        <f>'001'!D490</f>
        <v>0157</v>
      </c>
      <c r="D490" s="3" t="e">
        <f>'001'!H490</f>
        <v>#VALUE!</v>
      </c>
    </row>
    <row r="491" spans="1:4" x14ac:dyDescent="0.25">
      <c r="A491" s="1" t="str">
        <f>'001'!B491</f>
        <v>000669</v>
      </c>
      <c r="B491" s="1" t="str">
        <f>'001'!C491</f>
        <v>PARCHE PLASTICO ZEOCAR FIBRADA X 0,535 (20)</v>
      </c>
      <c r="C491" s="1" t="str">
        <f>'001'!D491</f>
        <v>0157</v>
      </c>
      <c r="D491" s="3" t="e">
        <f>'001'!H491</f>
        <v>#VALUE!</v>
      </c>
    </row>
    <row r="492" spans="1:4" x14ac:dyDescent="0.25">
      <c r="A492" s="1" t="str">
        <f>'001'!B492</f>
        <v>000670</v>
      </c>
      <c r="B492" s="1" t="str">
        <f>'001'!C492</f>
        <v>PARCHE PLASTICO ZEOCAR FIBRADA X 1,5 (21)</v>
      </c>
      <c r="C492" s="1" t="str">
        <f>'001'!D492</f>
        <v>0157</v>
      </c>
      <c r="D492" s="3" t="e">
        <f>'001'!H492</f>
        <v>#VALUE!</v>
      </c>
    </row>
    <row r="493" spans="1:4" x14ac:dyDescent="0.25">
      <c r="A493" s="1" t="str">
        <f>'001'!B493</f>
        <v>000671</v>
      </c>
      <c r="B493" s="1" t="str">
        <f>'001'!C493</f>
        <v>ESMALTE SINTETICO PLAVICON 3EN1 BRILLANTE VERDE CLARO X 20</v>
      </c>
      <c r="C493" s="1" t="str">
        <f>'001'!D493</f>
        <v>0139</v>
      </c>
      <c r="D493" s="3" t="e">
        <f>'001'!H493</f>
        <v>#VALUE!</v>
      </c>
    </row>
    <row r="494" spans="1:4" x14ac:dyDescent="0.25">
      <c r="A494" s="1" t="str">
        <f>'001'!B494</f>
        <v>000672</v>
      </c>
      <c r="B494" s="1" t="str">
        <f>'001'!C494</f>
        <v>DILUYENTE DESENGRASANTE X  1</v>
      </c>
      <c r="C494" s="1" t="str">
        <f>'001'!D494</f>
        <v>0186</v>
      </c>
      <c r="D494" s="3" t="e">
        <f>'001'!H494</f>
        <v>#VALUE!</v>
      </c>
    </row>
    <row r="495" spans="1:4" x14ac:dyDescent="0.25">
      <c r="A495" s="1" t="str">
        <f>'001'!B495</f>
        <v>000673</v>
      </c>
      <c r="B495" s="1" t="str">
        <f>'001'!C495</f>
        <v>DILUYENTE DESENGRASANTE X  4</v>
      </c>
      <c r="C495" s="1" t="str">
        <f>'001'!D495</f>
        <v>0186</v>
      </c>
      <c r="D495" s="3" t="e">
        <f>'001'!H495</f>
        <v>#VALUE!</v>
      </c>
    </row>
    <row r="496" spans="1:4" x14ac:dyDescent="0.25">
      <c r="A496" s="1" t="str">
        <f>'001'!B496</f>
        <v>000676</v>
      </c>
      <c r="B496" s="1" t="str">
        <f>'001'!C496</f>
        <v>ADHESIVO MOLDURA COLVINIL CARTUCHO X 0,500</v>
      </c>
      <c r="C496" s="1" t="str">
        <f>'001'!D496</f>
        <v>0119</v>
      </c>
      <c r="D496" s="3" t="e">
        <f>'001'!H496</f>
        <v>#VALUE!</v>
      </c>
    </row>
    <row r="497" spans="1:4" x14ac:dyDescent="0.25">
      <c r="A497" s="1" t="str">
        <f>'001'!B497</f>
        <v>000677</v>
      </c>
      <c r="B497" s="1" t="str">
        <f>'001'!C497</f>
        <v>ADHESIVO MOLDURA COLVINIL X 1,200</v>
      </c>
      <c r="C497" s="1" t="str">
        <f>'001'!D497</f>
        <v>0119</v>
      </c>
      <c r="D497" s="3" t="e">
        <f>'001'!H497</f>
        <v>#VALUE!</v>
      </c>
    </row>
    <row r="498" spans="1:4" x14ac:dyDescent="0.25">
      <c r="A498" s="1" t="str">
        <f>'001'!B498</f>
        <v>000678</v>
      </c>
      <c r="B498" s="1" t="str">
        <f>'001'!C498</f>
        <v>RODILLO LUMAR MINI COMUN  5 CM (40A)</v>
      </c>
      <c r="C498" s="1" t="str">
        <f>'001'!D498</f>
        <v>0128</v>
      </c>
      <c r="D498" s="3" t="e">
        <f>'001'!H498</f>
        <v>#VALUE!</v>
      </c>
    </row>
    <row r="499" spans="1:4" x14ac:dyDescent="0.25">
      <c r="A499" s="1" t="str">
        <f>'001'!B499</f>
        <v>000679</v>
      </c>
      <c r="B499" s="1" t="str">
        <f>'001'!C499</f>
        <v>RODILLO LUMAR MINI COMUN  8 CM (40B)</v>
      </c>
      <c r="C499" s="1" t="str">
        <f>'001'!D499</f>
        <v>0128</v>
      </c>
      <c r="D499" s="3" t="e">
        <f>'001'!H499</f>
        <v>#VALUE!</v>
      </c>
    </row>
    <row r="500" spans="1:4" x14ac:dyDescent="0.25">
      <c r="A500" s="1" t="str">
        <f>'001'!B500</f>
        <v>000680</v>
      </c>
      <c r="B500" s="1" t="str">
        <f>'001'!C500</f>
        <v>RODILLO LUMAR MINI COMUN 10 CM (40C)</v>
      </c>
      <c r="C500" s="1" t="str">
        <f>'001'!D500</f>
        <v>0128</v>
      </c>
      <c r="D500" s="3" t="e">
        <f>'001'!H500</f>
        <v>#VALUE!</v>
      </c>
    </row>
    <row r="501" spans="1:4" x14ac:dyDescent="0.25">
      <c r="A501" s="1" t="str">
        <f>'001'!B501</f>
        <v>000683</v>
      </c>
      <c r="B501" s="1" t="str">
        <f>'001'!C501</f>
        <v>PROTECTOR PARA LADRILLO DURALBA SATINADO CON PELICULA CERAMICO  X  1</v>
      </c>
      <c r="C501" s="1" t="str">
        <f>'001'!D501</f>
        <v>0107</v>
      </c>
      <c r="D501" s="3" t="e">
        <f>'001'!H501</f>
        <v>#VALUE!</v>
      </c>
    </row>
    <row r="502" spans="1:4" x14ac:dyDescent="0.25">
      <c r="A502" s="1" t="str">
        <f>'001'!B502</f>
        <v>000684</v>
      </c>
      <c r="B502" s="1" t="str">
        <f>'001'!C502</f>
        <v>PROTECTOR PARA LADRILLO DURALBA SATINADO CON PELICULA CERAMICO  X  4</v>
      </c>
      <c r="C502" s="1" t="str">
        <f>'001'!D502</f>
        <v>0107</v>
      </c>
      <c r="D502" s="3" t="e">
        <f>'001'!H502</f>
        <v>#VALUE!</v>
      </c>
    </row>
    <row r="503" spans="1:4" x14ac:dyDescent="0.25">
      <c r="A503" s="1" t="str">
        <f>'001'!B503</f>
        <v>000685</v>
      </c>
      <c r="B503" s="1" t="str">
        <f>'001'!C503</f>
        <v>THINNER STANDARD X 18</v>
      </c>
      <c r="C503" s="1" t="str">
        <f>'001'!D503</f>
        <v>0186</v>
      </c>
      <c r="D503" s="3" t="e">
        <f>'001'!H503</f>
        <v>#VALUE!</v>
      </c>
    </row>
    <row r="504" spans="1:4" x14ac:dyDescent="0.25">
      <c r="A504" s="1" t="str">
        <f>'001'!B504</f>
        <v>000686</v>
      </c>
      <c r="B504" s="1" t="str">
        <f>'001'!C504</f>
        <v>PROTECTOR PARA LADRILLO DURALBA SATINADO CON PELICULA CERAMICO  X 20</v>
      </c>
      <c r="C504" s="1" t="str">
        <f>'001'!D504</f>
        <v>0107</v>
      </c>
      <c r="D504" s="3" t="e">
        <f>'001'!H504</f>
        <v>#VALUE!</v>
      </c>
    </row>
    <row r="505" spans="1:4" x14ac:dyDescent="0.25">
      <c r="A505" s="1" t="str">
        <f>'001'!B505</f>
        <v>000689</v>
      </c>
      <c r="B505" s="1" t="str">
        <f>'001'!C505</f>
        <v>THINNER STANDARD X 200</v>
      </c>
      <c r="C505" s="1" t="str">
        <f>'001'!D505</f>
        <v>0186</v>
      </c>
      <c r="D505" s="3" t="e">
        <f>'001'!H505</f>
        <v>#VALUE!</v>
      </c>
    </row>
    <row r="506" spans="1:4" x14ac:dyDescent="0.25">
      <c r="A506" s="1" t="str">
        <f>'001'!B506</f>
        <v>000691</v>
      </c>
      <c r="B506" s="1" t="str">
        <f>'001'!C506</f>
        <v>TRAPO REJILLA (40X50)</v>
      </c>
      <c r="C506" s="1" t="str">
        <f>'001'!D506</f>
        <v>0124</v>
      </c>
      <c r="D506" s="3" t="e">
        <f>'001'!H506</f>
        <v>#VALUE!</v>
      </c>
    </row>
    <row r="507" spans="1:4" x14ac:dyDescent="0.25">
      <c r="A507" s="1" t="str">
        <f>'001'!B507</f>
        <v>000693</v>
      </c>
      <c r="B507" s="1" t="str">
        <f>'001'!C507</f>
        <v>TRAPO FRANELA (50X50)</v>
      </c>
      <c r="C507" s="1" t="str">
        <f>'001'!D507</f>
        <v>0124</v>
      </c>
      <c r="D507" s="3" t="e">
        <f>'001'!H507</f>
        <v>#VALUE!</v>
      </c>
    </row>
    <row r="508" spans="1:4" x14ac:dyDescent="0.25">
      <c r="A508" s="1" t="str">
        <f>'001'!B508</f>
        <v>000694</v>
      </c>
      <c r="B508" s="1" t="str">
        <f>'001'!C508</f>
        <v>AUTOPOLISH COLORIN CLASICO PROFES.X 0,900</v>
      </c>
      <c r="C508" s="1" t="str">
        <f>'001'!D508</f>
        <v>0166</v>
      </c>
      <c r="D508" s="3" t="e">
        <f>'001'!H508</f>
        <v>#VALUE!</v>
      </c>
    </row>
    <row r="509" spans="1:4" x14ac:dyDescent="0.25">
      <c r="A509" s="1" t="str">
        <f>'001'!B509</f>
        <v>000698</v>
      </c>
      <c r="B509" s="1" t="str">
        <f>'001'!C509</f>
        <v>DILUYENTE DESENGRASANTE X 18</v>
      </c>
      <c r="C509" s="1" t="str">
        <f>'001'!D509</f>
        <v>0186</v>
      </c>
      <c r="D509" s="3" t="e">
        <f>'001'!H509</f>
        <v>#VALUE!</v>
      </c>
    </row>
    <row r="510" spans="1:4" x14ac:dyDescent="0.25">
      <c r="A510" s="1" t="str">
        <f>'001'!B510</f>
        <v>000700</v>
      </c>
      <c r="B510" s="1" t="str">
        <f>'001'!C510</f>
        <v>THINNER DIXILINA S/ORO X  0,900</v>
      </c>
      <c r="C510" s="1" t="str">
        <f>'001'!D510</f>
        <v>0120</v>
      </c>
      <c r="D510" s="3" t="e">
        <f>'001'!H510</f>
        <v>#VALUE!</v>
      </c>
    </row>
    <row r="511" spans="1:4" x14ac:dyDescent="0.25">
      <c r="A511" s="1" t="str">
        <f>'001'!B511</f>
        <v>000701</v>
      </c>
      <c r="B511" s="1" t="str">
        <f>'001'!C511</f>
        <v>THINNER DIXILINA S/ORO X  3,600</v>
      </c>
      <c r="C511" s="1" t="str">
        <f>'001'!D511</f>
        <v>0120</v>
      </c>
      <c r="D511" s="3" t="e">
        <f>'001'!H511</f>
        <v>#VALUE!</v>
      </c>
    </row>
    <row r="512" spans="1:4" x14ac:dyDescent="0.25">
      <c r="A512" s="1" t="str">
        <f>'001'!B512</f>
        <v>000702</v>
      </c>
      <c r="B512" s="1" t="str">
        <f>'001'!C512</f>
        <v>DILUYENTE DESENGRASANTE DIXILINA ANTISILICONA X 200</v>
      </c>
      <c r="C512" s="1" t="str">
        <f>'001'!D512</f>
        <v>0120</v>
      </c>
      <c r="D512" s="3" t="e">
        <f>'001'!H512</f>
        <v>#VALUE!</v>
      </c>
    </row>
    <row r="513" spans="1:4" x14ac:dyDescent="0.25">
      <c r="A513" s="1" t="str">
        <f>'001'!B513</f>
        <v>000705</v>
      </c>
      <c r="B513" s="1" t="str">
        <f>'001'!C513</f>
        <v>PASTA PARA PULIR MANUAL ZEOCAR HAND GLAZE X 0,200 (80)</v>
      </c>
      <c r="C513" s="1" t="str">
        <f>'001'!D513</f>
        <v>0157</v>
      </c>
      <c r="D513" s="3" t="e">
        <f>'001'!H513</f>
        <v>#VALUE!</v>
      </c>
    </row>
    <row r="514" spans="1:4" x14ac:dyDescent="0.25">
      <c r="A514" s="1" t="str">
        <f>'001'!B514</f>
        <v>000706</v>
      </c>
      <c r="B514" s="1" t="str">
        <f>'001'!C514</f>
        <v>THINNER DIXILINA S/ORO X 18</v>
      </c>
      <c r="C514" s="1" t="str">
        <f>'001'!D514</f>
        <v>0120</v>
      </c>
      <c r="D514" s="3" t="e">
        <f>'001'!H514</f>
        <v>#VALUE!</v>
      </c>
    </row>
    <row r="515" spans="1:4" x14ac:dyDescent="0.25">
      <c r="A515" s="1" t="str">
        <f>'001'!B515</f>
        <v>000708</v>
      </c>
      <c r="B515" s="1" t="str">
        <f>'001'!C515</f>
        <v>PASTA PARA PULIR MANUAL ZEOCAR HAND GLAZE X 0,500 (82)</v>
      </c>
      <c r="C515" s="1" t="str">
        <f>'001'!D515</f>
        <v>0157</v>
      </c>
      <c r="D515" s="3" t="e">
        <f>'001'!H515</f>
        <v>#VALUE!</v>
      </c>
    </row>
    <row r="516" spans="1:4" x14ac:dyDescent="0.25">
      <c r="A516" s="1" t="str">
        <f>'001'!B516</f>
        <v>000709</v>
      </c>
      <c r="B516" s="1" t="str">
        <f>'001'!C516</f>
        <v>PASTA PARA PULIR MANUAL ZEOCAR HAND GLAZE X 1 (81)</v>
      </c>
      <c r="C516" s="1" t="str">
        <f>'001'!D516</f>
        <v>0157</v>
      </c>
      <c r="D516" s="3" t="e">
        <f>'001'!H516</f>
        <v>#VALUE!</v>
      </c>
    </row>
    <row r="517" spans="1:4" x14ac:dyDescent="0.25">
      <c r="A517" s="1" t="str">
        <f>'001'!B517</f>
        <v>000710</v>
      </c>
      <c r="B517" s="1" t="str">
        <f>'001'!C517</f>
        <v>PLAQUETA PARA PULIR ROJA</v>
      </c>
      <c r="C517" s="1" t="str">
        <f>'001'!D517</f>
        <v>0127</v>
      </c>
      <c r="D517" s="3" t="e">
        <f>'001'!H517</f>
        <v>#VALUE!</v>
      </c>
    </row>
    <row r="518" spans="1:4" x14ac:dyDescent="0.25">
      <c r="A518" s="1" t="str">
        <f>'001'!B518</f>
        <v>000711</v>
      </c>
      <c r="B518" s="1" t="str">
        <f>'001'!C518</f>
        <v>ENDUIDO EXTERIOR ALBA X 10</v>
      </c>
      <c r="C518" s="1" t="str">
        <f>'001'!D518</f>
        <v>0107</v>
      </c>
      <c r="D518" s="3" t="e">
        <f>'001'!H518</f>
        <v>#VALUE!</v>
      </c>
    </row>
    <row r="519" spans="1:4" x14ac:dyDescent="0.25">
      <c r="A519" s="1" t="str">
        <f>'001'!B519</f>
        <v>000713</v>
      </c>
      <c r="B519" s="1" t="str">
        <f>'001'!C519</f>
        <v>THINNER SELLO DE ORO X 18</v>
      </c>
      <c r="C519" s="1" t="str">
        <f>'001'!D519</f>
        <v>0186</v>
      </c>
      <c r="D519" s="3" t="e">
        <f>'001'!H519</f>
        <v>#VALUE!</v>
      </c>
    </row>
    <row r="520" spans="1:4" x14ac:dyDescent="0.25">
      <c r="A520" s="1" t="str">
        <f>'001'!B520</f>
        <v>000714</v>
      </c>
      <c r="B520" s="1" t="str">
        <f>'001'!C520</f>
        <v>THINNER SELLO DE ORO X 200</v>
      </c>
      <c r="C520" s="1" t="str">
        <f>'001'!D520</f>
        <v>0186</v>
      </c>
      <c r="D520" s="3" t="e">
        <f>'001'!H520</f>
        <v>#VALUE!</v>
      </c>
    </row>
    <row r="521" spans="1:4" x14ac:dyDescent="0.25">
      <c r="A521" s="1" t="str">
        <f>'001'!B521</f>
        <v>000715</v>
      </c>
      <c r="B521" s="1" t="str">
        <f>'001'!C521</f>
        <v>VIRUTA DE ACERO LA HACENDOSA GRUESA X 330</v>
      </c>
      <c r="C521" s="1" t="str">
        <f>'001'!D521</f>
        <v>0126</v>
      </c>
      <c r="D521" s="3" t="e">
        <f>'001'!H521</f>
        <v>#VALUE!</v>
      </c>
    </row>
    <row r="522" spans="1:4" x14ac:dyDescent="0.25">
      <c r="A522" s="1" t="str">
        <f>'001'!B522</f>
        <v>000716</v>
      </c>
      <c r="B522" s="1" t="str">
        <f>'001'!C522</f>
        <v>VIRUTA DE ACERO LA HACENDOSA MEDIANA X 330</v>
      </c>
      <c r="C522" s="1" t="str">
        <f>'001'!D522</f>
        <v>0126</v>
      </c>
      <c r="D522" s="3" t="e">
        <f>'001'!H522</f>
        <v>#VALUE!</v>
      </c>
    </row>
    <row r="523" spans="1:4" x14ac:dyDescent="0.25">
      <c r="A523" s="1" t="str">
        <f>'001'!B523</f>
        <v>000717</v>
      </c>
      <c r="B523" s="1" t="str">
        <f>'001'!C523</f>
        <v>VIRUTA DE ACERO LA HACENDOSA FINA X 330</v>
      </c>
      <c r="C523" s="1" t="str">
        <f>'001'!D523</f>
        <v>0126</v>
      </c>
      <c r="D523" s="3" t="e">
        <f>'001'!H523</f>
        <v>#VALUE!</v>
      </c>
    </row>
    <row r="524" spans="1:4" x14ac:dyDescent="0.25">
      <c r="A524" s="1" t="str">
        <f>'001'!B524</f>
        <v>000718</v>
      </c>
      <c r="B524" s="1" t="str">
        <f>'001'!C524</f>
        <v>YESO TRADICIONAL TUYANGO BLANCO X 1</v>
      </c>
      <c r="C524" s="1" t="str">
        <f>'001'!D524</f>
        <v>0187</v>
      </c>
      <c r="D524" s="3" t="e">
        <f>'001'!H524</f>
        <v>#VALUE!</v>
      </c>
    </row>
    <row r="525" spans="1:4" x14ac:dyDescent="0.25">
      <c r="A525" s="1" t="str">
        <f>'001'!B525</f>
        <v>000721</v>
      </c>
      <c r="B525" s="1" t="str">
        <f>'001'!C525</f>
        <v>YESO TRADICIONAL TUYANGO BLANCO X 3,500</v>
      </c>
      <c r="C525" s="1" t="str">
        <f>'001'!D525</f>
        <v>0187</v>
      </c>
      <c r="D525" s="3" t="e">
        <f>'001'!H525</f>
        <v>#VALUE!</v>
      </c>
    </row>
    <row r="526" spans="1:4" x14ac:dyDescent="0.25">
      <c r="A526" s="1" t="str">
        <f>'001'!B526</f>
        <v>000722</v>
      </c>
      <c r="B526" s="1" t="str">
        <f>'001'!C526</f>
        <v>LUBRICANTE ANTIOXIDANTE WD-40 X  155</v>
      </c>
      <c r="C526" s="1" t="str">
        <f>'001'!D526</f>
        <v>0140</v>
      </c>
      <c r="D526" s="3" t="e">
        <f>'001'!H526</f>
        <v>#VALUE!</v>
      </c>
    </row>
    <row r="527" spans="1:4" x14ac:dyDescent="0.25">
      <c r="A527" s="1" t="str">
        <f>'001'!B527</f>
        <v>000723</v>
      </c>
      <c r="B527" s="1" t="str">
        <f>'001'!C527</f>
        <v>PROMOTOR ADHESION PARA PLASTICO MMB X 0,500</v>
      </c>
      <c r="C527" s="1" t="str">
        <f>'001'!D527</f>
        <v>0137</v>
      </c>
      <c r="D527" s="3" t="e">
        <f>'001'!H527</f>
        <v>#VALUE!</v>
      </c>
    </row>
    <row r="528" spans="1:4" x14ac:dyDescent="0.25">
      <c r="A528" s="1" t="str">
        <f>'001'!B528</f>
        <v>000724</v>
      </c>
      <c r="B528" s="1" t="str">
        <f>'001'!C528</f>
        <v>LIJA DOBLE A MASTER N 400</v>
      </c>
      <c r="C528" s="1" t="str">
        <f>'001'!D528</f>
        <v>0102</v>
      </c>
      <c r="D528" s="3" t="e">
        <f>'001'!H528</f>
        <v>#VALUE!</v>
      </c>
    </row>
    <row r="529" spans="1:4" x14ac:dyDescent="0.25">
      <c r="A529" s="1" t="str">
        <f>'001'!B529</f>
        <v>000725</v>
      </c>
      <c r="B529" s="1" t="str">
        <f>'001'!C529</f>
        <v>IMPREGNANTE PARA MADERA CETOL BALANCE VINTAGE X 1</v>
      </c>
      <c r="C529" s="1" t="str">
        <f>'001'!D529</f>
        <v>0105</v>
      </c>
      <c r="D529" s="3" t="e">
        <f>'001'!H529</f>
        <v>#VALUE!</v>
      </c>
    </row>
    <row r="530" spans="1:4" x14ac:dyDescent="0.25">
      <c r="A530" s="1" t="str">
        <f>'001'!B530</f>
        <v>000726</v>
      </c>
      <c r="B530" s="1" t="str">
        <f>'001'!C530</f>
        <v>IMPREGNANTE PARA MADERA CETOL BALANCE VINTAGE X 4</v>
      </c>
      <c r="C530" s="1" t="str">
        <f>'001'!D530</f>
        <v>0105</v>
      </c>
      <c r="D530" s="3" t="e">
        <f>'001'!H530</f>
        <v>#VALUE!</v>
      </c>
    </row>
    <row r="531" spans="1:4" x14ac:dyDescent="0.25">
      <c r="A531" s="1" t="str">
        <f>'001'!B531</f>
        <v>000727</v>
      </c>
      <c r="B531" s="1" t="str">
        <f>'001'!C531</f>
        <v>SILICONA FASTIX ALTA TEMPERATURA X 25</v>
      </c>
      <c r="C531" s="1" t="str">
        <f>'001'!D531</f>
        <v>0140</v>
      </c>
      <c r="D531" s="3" t="e">
        <f>'001'!H531</f>
        <v>#VALUE!</v>
      </c>
    </row>
    <row r="532" spans="1:4" x14ac:dyDescent="0.25">
      <c r="A532" s="1" t="str">
        <f>'001'!B532</f>
        <v>000728</v>
      </c>
      <c r="B532" s="1" t="str">
        <f>'001'!C532</f>
        <v>ESCALERA DE MADERA SIN FIN PINTOR  4</v>
      </c>
      <c r="C532" s="1" t="str">
        <f>'001'!D532</f>
        <v>0149</v>
      </c>
      <c r="D532" s="3" t="e">
        <f>'001'!H532</f>
        <v>#VALUE!</v>
      </c>
    </row>
    <row r="533" spans="1:4" x14ac:dyDescent="0.25">
      <c r="A533" s="1" t="str">
        <f>'001'!B533</f>
        <v>000729</v>
      </c>
      <c r="B533" s="1" t="str">
        <f>'001'!C533</f>
        <v>LIJA DOBLE A MASTER N 600</v>
      </c>
      <c r="C533" s="1" t="str">
        <f>'001'!D533</f>
        <v>0102</v>
      </c>
      <c r="D533" s="3" t="e">
        <f>'001'!H533</f>
        <v>#VALUE!</v>
      </c>
    </row>
    <row r="534" spans="1:4" x14ac:dyDescent="0.25">
      <c r="A534" s="1" t="str">
        <f>'001'!B534</f>
        <v>000730</v>
      </c>
      <c r="B534" s="1" t="str">
        <f>'001'!C534</f>
        <v>EXTENSOR DE ALUMINIO ROSARPIN 1,50-4,50 M</v>
      </c>
      <c r="C534" s="1" t="str">
        <f>'001'!D534</f>
        <v>0144</v>
      </c>
      <c r="D534" s="3" t="e">
        <f>'001'!H534</f>
        <v>#VALUE!</v>
      </c>
    </row>
    <row r="535" spans="1:4" x14ac:dyDescent="0.25">
      <c r="A535" s="1" t="str">
        <f>'001'!B535</f>
        <v>000731</v>
      </c>
      <c r="B535" s="1" t="str">
        <f>'001'!C535</f>
        <v>LIJA DOBLE A MASTER N 800</v>
      </c>
      <c r="C535" s="1" t="str">
        <f>'001'!D535</f>
        <v>0102</v>
      </c>
      <c r="D535" s="3" t="e">
        <f>'001'!H535</f>
        <v>#VALUE!</v>
      </c>
    </row>
    <row r="536" spans="1:4" x14ac:dyDescent="0.25">
      <c r="A536" s="1" t="str">
        <f>'001'!B536</f>
        <v>000733</v>
      </c>
      <c r="B536" s="1" t="str">
        <f>'001'!C536</f>
        <v>EXTENSOR DE ALUMINIO ROSARPIN 1,00-2,00 M</v>
      </c>
      <c r="C536" s="1" t="str">
        <f>'001'!D536</f>
        <v>0144</v>
      </c>
      <c r="D536" s="3" t="e">
        <f>'001'!H536</f>
        <v>#VALUE!</v>
      </c>
    </row>
    <row r="537" spans="1:4" x14ac:dyDescent="0.25">
      <c r="A537" s="1" t="str">
        <f>'001'!B537</f>
        <v>000734</v>
      </c>
      <c r="B537" s="1" t="str">
        <f>'001'!C537</f>
        <v>EXTENSOR DE ALUMINIO ROSARPIN 1,50-3,00 M</v>
      </c>
      <c r="C537" s="1" t="str">
        <f>'001'!D537</f>
        <v>0144</v>
      </c>
      <c r="D537" s="3" t="e">
        <f>'001'!H537</f>
        <v>#VALUE!</v>
      </c>
    </row>
    <row r="538" spans="1:4" x14ac:dyDescent="0.25">
      <c r="A538" s="1" t="str">
        <f>'001'!B538</f>
        <v>000735</v>
      </c>
      <c r="B538" s="1" t="str">
        <f>'001'!C538</f>
        <v>EXTENSOR DE ALUMINIO ROSARPIN 1,60-6,00 M</v>
      </c>
      <c r="C538" s="1" t="str">
        <f>'001'!D538</f>
        <v>0144</v>
      </c>
      <c r="D538" s="3" t="e">
        <f>'001'!H538</f>
        <v>#VALUE!</v>
      </c>
    </row>
    <row r="539" spans="1:4" x14ac:dyDescent="0.25">
      <c r="A539" s="1" t="str">
        <f>'001'!B539</f>
        <v>000736</v>
      </c>
      <c r="B539" s="1" t="str">
        <f>'001'!C539</f>
        <v>FONDO ANTIOXIDO ALBA INDUSTRIAL GRIS X  4</v>
      </c>
      <c r="C539" s="1" t="str">
        <f>'001'!D539</f>
        <v>0110</v>
      </c>
      <c r="D539" s="3" t="e">
        <f>'001'!H539</f>
        <v>#VALUE!</v>
      </c>
    </row>
    <row r="540" spans="1:4" x14ac:dyDescent="0.25">
      <c r="A540" s="1" t="str">
        <f>'001'!B540</f>
        <v>000737</v>
      </c>
      <c r="B540" s="1" t="str">
        <f>'001'!C540</f>
        <v>CABALLETE MADERA SIN FIN</v>
      </c>
      <c r="C540" s="1" t="str">
        <f>'001'!D540</f>
        <v>0149</v>
      </c>
      <c r="D540" s="3" t="e">
        <f>'001'!H540</f>
        <v>#VALUE!</v>
      </c>
    </row>
    <row r="541" spans="1:4" x14ac:dyDescent="0.25">
      <c r="A541" s="1" t="str">
        <f>'001'!B541</f>
        <v>000738</v>
      </c>
      <c r="B541" s="1" t="str">
        <f>'001'!C541</f>
        <v>SOLDURA PLASTICA POXIPOL GRIS X 14</v>
      </c>
      <c r="C541" s="1" t="str">
        <f>'001'!D541</f>
        <v>0140</v>
      </c>
      <c r="D541" s="3" t="e">
        <f>'001'!H541</f>
        <v>#VALUE!</v>
      </c>
    </row>
    <row r="542" spans="1:4" x14ac:dyDescent="0.25">
      <c r="A542" s="1" t="str">
        <f>'001'!B542</f>
        <v>000740</v>
      </c>
      <c r="B542" s="1" t="str">
        <f>'001'!C542</f>
        <v>LUBRICANTE ANTIOXIDANTE WD-40 X  311</v>
      </c>
      <c r="C542" s="1" t="str">
        <f>'001'!D542</f>
        <v>0140</v>
      </c>
      <c r="D542" s="3" t="e">
        <f>'001'!H542</f>
        <v>#VALUE!</v>
      </c>
    </row>
    <row r="543" spans="1:4" x14ac:dyDescent="0.25">
      <c r="A543" s="1" t="str">
        <f>'001'!B543</f>
        <v>000741</v>
      </c>
      <c r="B543" s="1" t="str">
        <f>'001'!C543</f>
        <v>LIJA DOBLE A MASTER N 240</v>
      </c>
      <c r="C543" s="1" t="str">
        <f>'001'!D543</f>
        <v>0102</v>
      </c>
      <c r="D543" s="3" t="e">
        <f>'001'!H543</f>
        <v>#VALUE!</v>
      </c>
    </row>
    <row r="544" spans="1:4" x14ac:dyDescent="0.25">
      <c r="A544" s="1" t="str">
        <f>'001'!B544</f>
        <v>000742</v>
      </c>
      <c r="B544" s="1" t="str">
        <f>'001'!C544</f>
        <v>LIJA DOBLE A MASTER N 360</v>
      </c>
      <c r="C544" s="1" t="str">
        <f>'001'!D544</f>
        <v>0102</v>
      </c>
      <c r="D544" s="3" t="e">
        <f>'001'!H544</f>
        <v>#VALUE!</v>
      </c>
    </row>
    <row r="545" spans="1:4" x14ac:dyDescent="0.25">
      <c r="A545" s="1" t="str">
        <f>'001'!B545</f>
        <v>000743</v>
      </c>
      <c r="B545" s="1" t="str">
        <f>'001'!C545</f>
        <v>PINCELETA ROSARPIN 180 CCH.40</v>
      </c>
      <c r="C545" s="1" t="str">
        <f>'001'!D545</f>
        <v>0144</v>
      </c>
      <c r="D545" s="3" t="e">
        <f>'001'!H545</f>
        <v>#VALUE!</v>
      </c>
    </row>
    <row r="546" spans="1:4" x14ac:dyDescent="0.25">
      <c r="A546" s="1" t="str">
        <f>'001'!B546</f>
        <v>000744</v>
      </c>
      <c r="B546" s="1" t="str">
        <f>'001'!C546</f>
        <v>ESCALERA DE MADERA SIN FIN FAMILIAR SIMPLE 5</v>
      </c>
      <c r="C546" s="1" t="str">
        <f>'001'!D546</f>
        <v>0149</v>
      </c>
      <c r="D546" s="3" t="e">
        <f>'001'!H546</f>
        <v>#VALUE!</v>
      </c>
    </row>
    <row r="547" spans="1:4" x14ac:dyDescent="0.25">
      <c r="A547" s="1" t="str">
        <f>'001'!B547</f>
        <v>000745</v>
      </c>
      <c r="B547" s="1" t="str">
        <f>'001'!C547</f>
        <v>ESCALERA DE MADERA SIN FIN FAMILIAR SIMPLE 6</v>
      </c>
      <c r="C547" s="1" t="str">
        <f>'001'!D547</f>
        <v>0149</v>
      </c>
      <c r="D547" s="3" t="e">
        <f>'001'!H547</f>
        <v>#VALUE!</v>
      </c>
    </row>
    <row r="548" spans="1:4" x14ac:dyDescent="0.25">
      <c r="A548" s="1" t="str">
        <f>'001'!B548</f>
        <v>000746</v>
      </c>
      <c r="B548" s="1" t="str">
        <f>'001'!C548</f>
        <v>ESCALERA DE MADERA SIN FIN FAMILIAR SIMPLE 7</v>
      </c>
      <c r="C548" s="1" t="str">
        <f>'001'!D548</f>
        <v>0149</v>
      </c>
      <c r="D548" s="3" t="e">
        <f>'001'!H548</f>
        <v>#VALUE!</v>
      </c>
    </row>
    <row r="549" spans="1:4" x14ac:dyDescent="0.25">
      <c r="A549" s="1" t="str">
        <f>'001'!B549</f>
        <v>000747</v>
      </c>
      <c r="B549" s="1" t="str">
        <f>'001'!C549</f>
        <v>ESCALERA DE MADERA SIN FIN FAMILIAR SIMPLE 8</v>
      </c>
      <c r="C549" s="1" t="str">
        <f>'001'!D549</f>
        <v>0149</v>
      </c>
      <c r="D549" s="3" t="e">
        <f>'001'!H549</f>
        <v>#VALUE!</v>
      </c>
    </row>
    <row r="550" spans="1:4" x14ac:dyDescent="0.25">
      <c r="A550" s="1" t="str">
        <f>'001'!B550</f>
        <v>000748</v>
      </c>
      <c r="B550" s="1" t="str">
        <f>'001'!C550</f>
        <v>ESCALERA DE MADERA SIN FIN FAMILIAR SIMPLE 9</v>
      </c>
      <c r="C550" s="1" t="str">
        <f>'001'!D550</f>
        <v>0149</v>
      </c>
      <c r="D550" s="3" t="e">
        <f>'001'!H550</f>
        <v>#VALUE!</v>
      </c>
    </row>
    <row r="551" spans="1:4" x14ac:dyDescent="0.25">
      <c r="A551" s="1" t="str">
        <f>'001'!B551</f>
        <v>000749</v>
      </c>
      <c r="B551" s="1" t="str">
        <f>'001'!C551</f>
        <v>ESCALERA DE MADERA SIN FIN FAMILIAR SIMPLE10</v>
      </c>
      <c r="C551" s="1" t="str">
        <f>'001'!D551</f>
        <v>0149</v>
      </c>
      <c r="D551" s="3" t="e">
        <f>'001'!H551</f>
        <v>#VALUE!</v>
      </c>
    </row>
    <row r="552" spans="1:4" x14ac:dyDescent="0.25">
      <c r="A552" s="1" t="str">
        <f>'001'!B552</f>
        <v>000750</v>
      </c>
      <c r="B552" s="1" t="str">
        <f>'001'!C552</f>
        <v>ESCALERA DE MADERA SIN FIN PINTOR  5</v>
      </c>
      <c r="C552" s="1" t="str">
        <f>'001'!D552</f>
        <v>0149</v>
      </c>
      <c r="D552" s="3" t="e">
        <f>'001'!H552</f>
        <v>#VALUE!</v>
      </c>
    </row>
    <row r="553" spans="1:4" x14ac:dyDescent="0.25">
      <c r="A553" s="1" t="str">
        <f>'001'!B553</f>
        <v>000751</v>
      </c>
      <c r="B553" s="1" t="str">
        <f>'001'!C553</f>
        <v>ESCALERA DE MADERA SIN FIN PINTOR  6</v>
      </c>
      <c r="C553" s="1" t="str">
        <f>'001'!D553</f>
        <v>0149</v>
      </c>
      <c r="D553" s="3" t="e">
        <f>'001'!H553</f>
        <v>#VALUE!</v>
      </c>
    </row>
    <row r="554" spans="1:4" x14ac:dyDescent="0.25">
      <c r="A554" s="1" t="str">
        <f>'001'!B554</f>
        <v>000752</v>
      </c>
      <c r="B554" s="1" t="str">
        <f>'001'!C554</f>
        <v>ESCALERA DE MADERA SIN FIN PINTOR  7</v>
      </c>
      <c r="C554" s="1" t="str">
        <f>'001'!D554</f>
        <v>0149</v>
      </c>
      <c r="D554" s="3" t="e">
        <f>'001'!H554</f>
        <v>#VALUE!</v>
      </c>
    </row>
    <row r="555" spans="1:4" x14ac:dyDescent="0.25">
      <c r="A555" s="1" t="str">
        <f>'001'!B555</f>
        <v>000753</v>
      </c>
      <c r="B555" s="1" t="str">
        <f>'001'!C555</f>
        <v>ESCALERA DE MADERA SIN FIN PINTOR  8</v>
      </c>
      <c r="C555" s="1" t="str">
        <f>'001'!D555</f>
        <v>0149</v>
      </c>
      <c r="D555" s="3" t="e">
        <f>'001'!H555</f>
        <v>#VALUE!</v>
      </c>
    </row>
    <row r="556" spans="1:4" x14ac:dyDescent="0.25">
      <c r="A556" s="1" t="str">
        <f>'001'!B556</f>
        <v>000754</v>
      </c>
      <c r="B556" s="1" t="str">
        <f>'001'!C556</f>
        <v>ESCALERA DE MADERA SIN FIN PINTOR  9</v>
      </c>
      <c r="C556" s="1" t="str">
        <f>'001'!D556</f>
        <v>0149</v>
      </c>
      <c r="D556" s="3" t="e">
        <f>'001'!H556</f>
        <v>#VALUE!</v>
      </c>
    </row>
    <row r="557" spans="1:4" x14ac:dyDescent="0.25">
      <c r="A557" s="1" t="str">
        <f>'001'!B557</f>
        <v>000755</v>
      </c>
      <c r="B557" s="1" t="str">
        <f>'001'!C557</f>
        <v>ESCALERA DE MADERA SIN FIN PINTOR 10</v>
      </c>
      <c r="C557" s="1" t="str">
        <f>'001'!D557</f>
        <v>0149</v>
      </c>
      <c r="D557" s="3" t="e">
        <f>'001'!H557</f>
        <v>#VALUE!</v>
      </c>
    </row>
    <row r="558" spans="1:4" x14ac:dyDescent="0.25">
      <c r="A558" s="1" t="str">
        <f>'001'!B558</f>
        <v>000756</v>
      </c>
      <c r="B558" s="1" t="str">
        <f>'001'!C558</f>
        <v>ESCALERA DE MADERA SIN FIN PINTOR 11</v>
      </c>
      <c r="C558" s="1" t="str">
        <f>'001'!D558</f>
        <v>0149</v>
      </c>
      <c r="D558" s="3" t="e">
        <f>'001'!H558</f>
        <v>#VALUE!</v>
      </c>
    </row>
    <row r="559" spans="1:4" x14ac:dyDescent="0.25">
      <c r="A559" s="1" t="str">
        <f>'001'!B559</f>
        <v>000757</v>
      </c>
      <c r="B559" s="1" t="str">
        <f>'001'!C559</f>
        <v>ESCALERA DE MADERA SIN FIN PINTOR 12</v>
      </c>
      <c r="C559" s="1" t="str">
        <f>'001'!D559</f>
        <v>0149</v>
      </c>
      <c r="D559" s="3" t="e">
        <f>'001'!H559</f>
        <v>#VALUE!</v>
      </c>
    </row>
    <row r="560" spans="1:4" x14ac:dyDescent="0.25">
      <c r="A560" s="1" t="str">
        <f>'001'!B560</f>
        <v>000758</v>
      </c>
      <c r="B560" s="1" t="str">
        <f>'001'!C560</f>
        <v>ADHESIVO MOLDURA COLVINIL X 0,300</v>
      </c>
      <c r="C560" s="1" t="str">
        <f>'001'!D560</f>
        <v>0119</v>
      </c>
      <c r="D560" s="3" t="e">
        <f>'001'!H560</f>
        <v>#VALUE!</v>
      </c>
    </row>
    <row r="561" spans="1:4" x14ac:dyDescent="0.25">
      <c r="A561" s="1" t="str">
        <f>'001'!B561</f>
        <v>000759</v>
      </c>
      <c r="B561" s="1" t="str">
        <f>'001'!C561</f>
        <v>ADHESIVO MOLDURA COLVINIL X 0,600</v>
      </c>
      <c r="C561" s="1" t="str">
        <f>'001'!D561</f>
        <v>0119</v>
      </c>
      <c r="D561" s="3" t="e">
        <f>'001'!H561</f>
        <v>#VALUE!</v>
      </c>
    </row>
    <row r="562" spans="1:4" x14ac:dyDescent="0.25">
      <c r="A562" s="1" t="str">
        <f>'001'!B562</f>
        <v>000763</v>
      </c>
      <c r="B562" s="1" t="str">
        <f>'001'!C562</f>
        <v>RODILLO ROSARPIN DE PUAS T.40 - 10 CM</v>
      </c>
      <c r="C562" s="1" t="str">
        <f>'001'!D562</f>
        <v>0144</v>
      </c>
      <c r="D562" s="3" t="e">
        <f>'001'!H562</f>
        <v>#VALUE!</v>
      </c>
    </row>
    <row r="563" spans="1:4" x14ac:dyDescent="0.25">
      <c r="A563" s="1" t="str">
        <f>'001'!B563</f>
        <v>000764</v>
      </c>
      <c r="B563" s="1" t="str">
        <f>'001'!C563</f>
        <v>RODILLO ROSARPIN DE PUAS T.40 - 22 CM</v>
      </c>
      <c r="C563" s="1" t="str">
        <f>'001'!D563</f>
        <v>0144</v>
      </c>
      <c r="D563" s="3" t="e">
        <f>'001'!H563</f>
        <v>#VALUE!</v>
      </c>
    </row>
    <row r="564" spans="1:4" x14ac:dyDescent="0.25">
      <c r="A564" s="1" t="str">
        <f>'001'!B564</f>
        <v>000768</v>
      </c>
      <c r="B564" s="1" t="str">
        <f>'001'!C564</f>
        <v>FIJADOR PARA PARED SELLAPLAST SINTEPLAST AL AGUA X 20</v>
      </c>
      <c r="C564" s="1" t="str">
        <f>'001'!D564</f>
        <v>0150</v>
      </c>
      <c r="D564" s="3" t="e">
        <f>'001'!H564</f>
        <v>#VALUE!</v>
      </c>
    </row>
    <row r="565" spans="1:4" x14ac:dyDescent="0.25">
      <c r="A565" s="1" t="str">
        <f>'001'!B565</f>
        <v>000769</v>
      </c>
      <c r="B565" s="1" t="str">
        <f>'001'!C565</f>
        <v>RASQUETA LIMPIA VIDRIOS-SCRAPPER</v>
      </c>
      <c r="C565" s="1" t="str">
        <f>'001'!D565</f>
        <v>0902</v>
      </c>
      <c r="D565" s="3" t="e">
        <f>'001'!H565</f>
        <v>#VALUE!</v>
      </c>
    </row>
    <row r="566" spans="1:4" x14ac:dyDescent="0.25">
      <c r="A566" s="1" t="str">
        <f>'001'!B566</f>
        <v>000770</v>
      </c>
      <c r="B566" s="1" t="str">
        <f>'001'!C566</f>
        <v>ESMALTE SINTETICO PLAVICON 3EN1 BRILLANTE AZUL MARINO X  0,250</v>
      </c>
      <c r="C566" s="1" t="str">
        <f>'001'!D566</f>
        <v>0902</v>
      </c>
      <c r="D566" s="3" t="e">
        <f>'001'!H566</f>
        <v>#VALUE!</v>
      </c>
    </row>
    <row r="567" spans="1:4" x14ac:dyDescent="0.25">
      <c r="A567" s="1" t="str">
        <f>'001'!B567</f>
        <v>000771</v>
      </c>
      <c r="B567" s="1" t="str">
        <f>'001'!C567</f>
        <v>ESMALTE SINTETICO PLAVICON 3EN1 BRILLANTE AZUL MARINO X  0,500</v>
      </c>
      <c r="C567" s="1" t="str">
        <f>'001'!D567</f>
        <v>0139</v>
      </c>
      <c r="D567" s="3" t="e">
        <f>'001'!H567</f>
        <v>#VALUE!</v>
      </c>
    </row>
    <row r="568" spans="1:4" x14ac:dyDescent="0.25">
      <c r="A568" s="1" t="str">
        <f>'001'!B568</f>
        <v>000772</v>
      </c>
      <c r="B568" s="1" t="str">
        <f>'001'!C568</f>
        <v>ESMALTE SINTETICO PLAVICON 3EN1 BRILLANTE AZUL MARINO X  1</v>
      </c>
      <c r="C568" s="1" t="str">
        <f>'001'!D568</f>
        <v>0139</v>
      </c>
      <c r="D568" s="3" t="e">
        <f>'001'!H568</f>
        <v>#VALUE!</v>
      </c>
    </row>
    <row r="569" spans="1:4" x14ac:dyDescent="0.25">
      <c r="A569" s="1" t="str">
        <f>'001'!B569</f>
        <v>000773</v>
      </c>
      <c r="B569" s="1" t="str">
        <f>'001'!C569</f>
        <v>CABALLETE METALICO SIN FIN</v>
      </c>
      <c r="C569" s="1" t="str">
        <f>'001'!D569</f>
        <v>0149</v>
      </c>
      <c r="D569" s="3" t="e">
        <f>'001'!H569</f>
        <v>#VALUE!</v>
      </c>
    </row>
    <row r="570" spans="1:4" x14ac:dyDescent="0.25">
      <c r="A570" s="1" t="str">
        <f>'001'!B570</f>
        <v>000775</v>
      </c>
      <c r="B570" s="1" t="str">
        <f>'001'!C570</f>
        <v>ESMALTE SINTETICO SATINOL 2EN1 SATINADO BLANCO X  1</v>
      </c>
      <c r="C570" s="1" t="str">
        <f>'001'!D570</f>
        <v>0107</v>
      </c>
      <c r="D570" s="3" t="e">
        <f>'001'!H570</f>
        <v>#VALUE!</v>
      </c>
    </row>
    <row r="571" spans="1:4" x14ac:dyDescent="0.25">
      <c r="A571" s="1" t="str">
        <f>'001'!B571</f>
        <v>000776</v>
      </c>
      <c r="B571" s="1" t="str">
        <f>'001'!C571</f>
        <v>ESMALTE SINTETICO SATINOL 2EN1 SATINADO BLANCO X  4</v>
      </c>
      <c r="C571" s="1" t="str">
        <f>'001'!D571</f>
        <v>0107</v>
      </c>
      <c r="D571" s="3" t="e">
        <f>'001'!H571</f>
        <v>#VALUE!</v>
      </c>
    </row>
    <row r="572" spans="1:4" x14ac:dyDescent="0.25">
      <c r="A572" s="1" t="str">
        <f>'001'!B572</f>
        <v>000777</v>
      </c>
      <c r="B572" s="1" t="str">
        <f>'001'!C572</f>
        <v>LACA MELACRILICA PETRILAC BRILLANTE X 0,500</v>
      </c>
      <c r="C572" s="1" t="str">
        <f>'001'!D572</f>
        <v>0138</v>
      </c>
      <c r="D572" s="3" t="e">
        <f>'001'!H572</f>
        <v>#VALUE!</v>
      </c>
    </row>
    <row r="573" spans="1:4" x14ac:dyDescent="0.25">
      <c r="A573" s="1" t="str">
        <f>'001'!B573</f>
        <v>000778</v>
      </c>
      <c r="B573" s="1" t="str">
        <f>'001'!C573</f>
        <v>LACA MELACRILICA PETRILAC SEMIMATE X 0,500</v>
      </c>
      <c r="C573" s="1" t="str">
        <f>'001'!D573</f>
        <v>0138</v>
      </c>
      <c r="D573" s="3" t="e">
        <f>'001'!H573</f>
        <v>#VALUE!</v>
      </c>
    </row>
    <row r="574" spans="1:4" x14ac:dyDescent="0.25">
      <c r="A574" s="1" t="str">
        <f>'001'!B574</f>
        <v>000779</v>
      </c>
      <c r="B574" s="1" t="str">
        <f>'001'!C574</f>
        <v>MATEANTE PETRILAC X 500</v>
      </c>
      <c r="C574" s="1" t="str">
        <f>'001'!D574</f>
        <v>0138</v>
      </c>
      <c r="D574" s="3" t="e">
        <f>'001'!H574</f>
        <v>#VALUE!</v>
      </c>
    </row>
    <row r="575" spans="1:4" x14ac:dyDescent="0.25">
      <c r="A575" s="1" t="str">
        <f>'001'!B575</f>
        <v>000780</v>
      </c>
      <c r="B575" s="1" t="str">
        <f>'001'!C575</f>
        <v>LIJA RUBI FLEX DOBLE A N 120/150 F.</v>
      </c>
      <c r="C575" s="1" t="str">
        <f>'001'!D575</f>
        <v>0102</v>
      </c>
      <c r="D575" s="3" t="e">
        <f>'001'!H575</f>
        <v>#VALUE!</v>
      </c>
    </row>
    <row r="576" spans="1:4" x14ac:dyDescent="0.25">
      <c r="A576" s="1" t="str">
        <f>'001'!B576</f>
        <v>000781</v>
      </c>
      <c r="B576" s="1" t="str">
        <f>'001'!C576</f>
        <v>ESMALTE SINTETICO PLAVICON 3EN1 BRILLANTE AZUL MARINO X  4</v>
      </c>
      <c r="C576" s="1" t="str">
        <f>'001'!D576</f>
        <v>0139</v>
      </c>
      <c r="D576" s="3" t="e">
        <f>'001'!H576</f>
        <v>#VALUE!</v>
      </c>
    </row>
    <row r="577" spans="1:4" x14ac:dyDescent="0.25">
      <c r="A577" s="1" t="str">
        <f>'001'!B577</f>
        <v>000782</v>
      </c>
      <c r="B577" s="1" t="str">
        <f>'001'!C577</f>
        <v>LIJA RUBI FLEX DOBLE A N  50/60 G.</v>
      </c>
      <c r="C577" s="1" t="str">
        <f>'001'!D577</f>
        <v>0102</v>
      </c>
      <c r="D577" s="3" t="e">
        <f>'001'!H577</f>
        <v>#VALUE!</v>
      </c>
    </row>
    <row r="578" spans="1:4" x14ac:dyDescent="0.25">
      <c r="A578" s="1" t="str">
        <f>'001'!B578</f>
        <v>000783</v>
      </c>
      <c r="B578" s="1" t="str">
        <f>'001'!C578</f>
        <v>LIJA DOBLE A MASTER N 150</v>
      </c>
      <c r="C578" s="1" t="str">
        <f>'001'!D578</f>
        <v>0102</v>
      </c>
      <c r="D578" s="3" t="e">
        <f>'001'!H578</f>
        <v>#VALUE!</v>
      </c>
    </row>
    <row r="579" spans="1:4" x14ac:dyDescent="0.25">
      <c r="A579" s="1" t="str">
        <f>'001'!B579</f>
        <v>000784</v>
      </c>
      <c r="B579" s="1" t="str">
        <f>'001'!C579</f>
        <v>LIJA DOBLE A MASTER N 180</v>
      </c>
      <c r="C579" s="1" t="str">
        <f>'001'!D579</f>
        <v>0102</v>
      </c>
      <c r="D579" s="3" t="e">
        <f>'001'!H579</f>
        <v>#VALUE!</v>
      </c>
    </row>
    <row r="580" spans="1:4" x14ac:dyDescent="0.25">
      <c r="A580" s="1" t="str">
        <f>'001'!B580</f>
        <v>000785</v>
      </c>
      <c r="B580" s="1" t="str">
        <f>'001'!C580</f>
        <v>LIJA DOBLE A MASTER N 220</v>
      </c>
      <c r="C580" s="1" t="str">
        <f>'001'!D580</f>
        <v>0102</v>
      </c>
      <c r="D580" s="3" t="e">
        <f>'001'!H580</f>
        <v>#VALUE!</v>
      </c>
    </row>
    <row r="581" spans="1:4" x14ac:dyDescent="0.25">
      <c r="A581" s="1" t="str">
        <f>'001'!B581</f>
        <v>000786</v>
      </c>
      <c r="B581" s="1" t="str">
        <f>'001'!C581</f>
        <v>LACA MELACRILICA PETRILAC SEMIMATE X 1</v>
      </c>
      <c r="C581" s="1" t="str">
        <f>'001'!D581</f>
        <v>0138</v>
      </c>
      <c r="D581" s="3" t="e">
        <f>'001'!H581</f>
        <v>#VALUE!</v>
      </c>
    </row>
    <row r="582" spans="1:4" x14ac:dyDescent="0.25">
      <c r="A582" s="1" t="str">
        <f>'001'!B582</f>
        <v>000787</v>
      </c>
      <c r="B582" s="1" t="str">
        <f>'001'!C582</f>
        <v>LACA MELACRILICA PETRILAC SEMIMATE X 4</v>
      </c>
      <c r="C582" s="1" t="str">
        <f>'001'!D582</f>
        <v>0138</v>
      </c>
      <c r="D582" s="3" t="e">
        <f>'001'!H582</f>
        <v>#VALUE!</v>
      </c>
    </row>
    <row r="583" spans="1:4" x14ac:dyDescent="0.25">
      <c r="A583" s="1" t="str">
        <f>'001'!B583</f>
        <v>000788</v>
      </c>
      <c r="B583" s="1" t="str">
        <f>'001'!C583</f>
        <v>ESCALERA MULTIPROPOSITO ALUMINIO 12 ESC</v>
      </c>
      <c r="C583" s="1" t="str">
        <f>'001'!D583</f>
        <v>0149</v>
      </c>
      <c r="D583" s="3" t="e">
        <f>'001'!H583</f>
        <v>#VALUE!</v>
      </c>
    </row>
    <row r="584" spans="1:4" x14ac:dyDescent="0.25">
      <c r="A584" s="1" t="str">
        <f>'001'!B584</f>
        <v>000789</v>
      </c>
      <c r="B584" s="1" t="str">
        <f>'001'!C584</f>
        <v>ESCALERA MULTIPROPOSITO ALUMINIO 16 ESC.</v>
      </c>
      <c r="C584" s="1" t="str">
        <f>'001'!D584</f>
        <v>0149</v>
      </c>
      <c r="D584" s="3" t="e">
        <f>'001'!H584</f>
        <v>#VALUE!</v>
      </c>
    </row>
    <row r="585" spans="1:4" x14ac:dyDescent="0.25">
      <c r="A585" s="1" t="str">
        <f>'001'!B585</f>
        <v>000790</v>
      </c>
      <c r="B585" s="1" t="str">
        <f>'001'!C585</f>
        <v>LIJA DOBLE A MASTER N 120</v>
      </c>
      <c r="C585" s="1" t="str">
        <f>'001'!D585</f>
        <v>0102</v>
      </c>
      <c r="D585" s="3" t="e">
        <f>'001'!H585</f>
        <v>#VALUE!</v>
      </c>
    </row>
    <row r="586" spans="1:4" x14ac:dyDescent="0.25">
      <c r="A586" s="1" t="str">
        <f>'001'!B586</f>
        <v>000791</v>
      </c>
      <c r="B586" s="1" t="str">
        <f>'001'!C586</f>
        <v>LIJA DOBLE A MASTER N 280</v>
      </c>
      <c r="C586" s="1" t="str">
        <f>'001'!D586</f>
        <v>0102</v>
      </c>
      <c r="D586" s="3" t="e">
        <f>'001'!H586</f>
        <v>#VALUE!</v>
      </c>
    </row>
    <row r="587" spans="1:4" x14ac:dyDescent="0.25">
      <c r="A587" s="1" t="str">
        <f>'001'!B587</f>
        <v>000792</v>
      </c>
      <c r="B587" s="1" t="str">
        <f>'001'!C587</f>
        <v>ESMALTE SINTETICO PLAVICON 3EN1 BRILLANTE AZUL MARINO X 20</v>
      </c>
      <c r="C587" s="1" t="str">
        <f>'001'!D587</f>
        <v>0139</v>
      </c>
      <c r="D587" s="3" t="e">
        <f>'001'!H587</f>
        <v>#VALUE!</v>
      </c>
    </row>
    <row r="588" spans="1:4" x14ac:dyDescent="0.25">
      <c r="A588" s="1" t="str">
        <f>'001'!B588</f>
        <v>000794</v>
      </c>
      <c r="B588" s="1" t="str">
        <f>'001'!C588</f>
        <v>LACA MELACRILICA PETRILAC BRILLANTE X 1</v>
      </c>
      <c r="C588" s="1" t="str">
        <f>'001'!D588</f>
        <v>0138</v>
      </c>
      <c r="D588" s="3" t="e">
        <f>'001'!H588</f>
        <v>#VALUE!</v>
      </c>
    </row>
    <row r="589" spans="1:4" x14ac:dyDescent="0.25">
      <c r="A589" s="1" t="str">
        <f>'001'!B589</f>
        <v>000795</v>
      </c>
      <c r="B589" s="1" t="str">
        <f>'001'!C589</f>
        <v>LACA MELACRILICA PETRILAC BRILLANTE X 4</v>
      </c>
      <c r="C589" s="1" t="str">
        <f>'001'!D589</f>
        <v>0138</v>
      </c>
      <c r="D589" s="3" t="e">
        <f>'001'!H589</f>
        <v>#VALUE!</v>
      </c>
    </row>
    <row r="590" spans="1:4" x14ac:dyDescent="0.25">
      <c r="A590" s="1" t="str">
        <f>'001'!B590</f>
        <v>000796</v>
      </c>
      <c r="B590" s="1" t="str">
        <f>'001'!C590</f>
        <v>DILUYENTE PARA LACAS Y BARNICES PETRILAC X 0,500</v>
      </c>
      <c r="C590" s="1" t="str">
        <f>'001'!D590</f>
        <v>0138</v>
      </c>
      <c r="D590" s="3" t="e">
        <f>'001'!H590</f>
        <v>#VALUE!</v>
      </c>
    </row>
    <row r="591" spans="1:4" x14ac:dyDescent="0.25">
      <c r="A591" s="1" t="str">
        <f>'001'!B591</f>
        <v>000797</v>
      </c>
      <c r="B591" s="1" t="str">
        <f>'001'!C591</f>
        <v>DILUYENTE PARA LACAS Y BARNICES PETRILAC X 1</v>
      </c>
      <c r="C591" s="1" t="str">
        <f>'001'!D591</f>
        <v>0138</v>
      </c>
      <c r="D591" s="3" t="e">
        <f>'001'!H591</f>
        <v>#VALUE!</v>
      </c>
    </row>
    <row r="592" spans="1:4" x14ac:dyDescent="0.25">
      <c r="A592" s="1" t="str">
        <f>'001'!B592</f>
        <v>000798</v>
      </c>
      <c r="B592" s="1" t="str">
        <f>'001'!C592</f>
        <v>DILUYENTE PARA LACAS Y BARNICES PETRILAC X 4</v>
      </c>
      <c r="C592" s="1" t="str">
        <f>'001'!D592</f>
        <v>0138</v>
      </c>
      <c r="D592" s="3" t="e">
        <f>'001'!H592</f>
        <v>#VALUE!</v>
      </c>
    </row>
    <row r="593" spans="1:4" x14ac:dyDescent="0.25">
      <c r="A593" s="1" t="str">
        <f>'001'!B593</f>
        <v>000799</v>
      </c>
      <c r="B593" s="1" t="str">
        <f>'001'!C593</f>
        <v>COLA VINILICA COLVINIL 04 X  0,250</v>
      </c>
      <c r="C593" s="1" t="str">
        <f>'001'!D593</f>
        <v>0119</v>
      </c>
      <c r="D593" s="3" t="e">
        <f>'001'!H593</f>
        <v>#VALUE!</v>
      </c>
    </row>
    <row r="594" spans="1:4" x14ac:dyDescent="0.25">
      <c r="A594" s="1" t="str">
        <f>'001'!B594</f>
        <v>000804</v>
      </c>
      <c r="B594" s="1" t="str">
        <f>'001'!C594</f>
        <v>DEMARCACION VIAL ALBAVIAL BLANCO X 4</v>
      </c>
      <c r="C594" s="1" t="str">
        <f>'001'!D594</f>
        <v>0110</v>
      </c>
      <c r="D594" s="3" t="e">
        <f>'001'!H594</f>
        <v>#VALUE!</v>
      </c>
    </row>
    <row r="595" spans="1:4" x14ac:dyDescent="0.25">
      <c r="A595" s="1" t="str">
        <f>'001'!B595</f>
        <v>000805</v>
      </c>
      <c r="B595" s="1" t="str">
        <f>'001'!C595</f>
        <v>DEMARCACION VIAL ALBAVIAL AMARILLO X 4</v>
      </c>
      <c r="C595" s="1" t="str">
        <f>'001'!D595</f>
        <v>0110</v>
      </c>
      <c r="D595" s="3" t="e">
        <f>'001'!H595</f>
        <v>#VALUE!</v>
      </c>
    </row>
    <row r="596" spans="1:4" x14ac:dyDescent="0.25">
      <c r="A596" s="1" t="str">
        <f>'001'!B596</f>
        <v>000806</v>
      </c>
      <c r="B596" s="1" t="str">
        <f>'001'!C596</f>
        <v>PINCEL ROSARPIN FILETEAR CH/R.20</v>
      </c>
      <c r="C596" s="1" t="str">
        <f>'001'!D596</f>
        <v>0144</v>
      </c>
      <c r="D596" s="3" t="e">
        <f>'001'!H596</f>
        <v>#VALUE!</v>
      </c>
    </row>
    <row r="597" spans="1:4" x14ac:dyDescent="0.25">
      <c r="A597" s="1" t="str">
        <f>'001'!B597</f>
        <v>000808</v>
      </c>
      <c r="B597" s="1" t="str">
        <f>'001'!C597</f>
        <v>CEMENTO DE CONTACTO COLVINIL 50 X  0,250</v>
      </c>
      <c r="C597" s="1" t="str">
        <f>'001'!D597</f>
        <v>0119</v>
      </c>
      <c r="D597" s="3" t="e">
        <f>'001'!H597</f>
        <v>#VALUE!</v>
      </c>
    </row>
    <row r="598" spans="1:4" x14ac:dyDescent="0.25">
      <c r="A598" s="1" t="str">
        <f>'001'!B598</f>
        <v>000809</v>
      </c>
      <c r="B598" s="1" t="str">
        <f>'001'!C598</f>
        <v>CEMENTO DE CONTACTO COLVINIL 50 X  0,500</v>
      </c>
      <c r="C598" s="1" t="str">
        <f>'001'!D598</f>
        <v>0119</v>
      </c>
      <c r="D598" s="3" t="e">
        <f>'001'!H598</f>
        <v>#VALUE!</v>
      </c>
    </row>
    <row r="599" spans="1:4" x14ac:dyDescent="0.25">
      <c r="A599" s="1" t="str">
        <f>'001'!B599</f>
        <v>000810</v>
      </c>
      <c r="B599" s="1" t="str">
        <f>'001'!C599</f>
        <v>CEMENTO DE CONTACTO COLVINIL 50 X  0,750 (1 LT)</v>
      </c>
      <c r="C599" s="1" t="str">
        <f>'001'!D599</f>
        <v>0119</v>
      </c>
      <c r="D599" s="3" t="e">
        <f>'001'!H599</f>
        <v>#VALUE!</v>
      </c>
    </row>
    <row r="600" spans="1:4" x14ac:dyDescent="0.25">
      <c r="A600" s="1" t="str">
        <f>'001'!B600</f>
        <v>000811</v>
      </c>
      <c r="B600" s="1" t="str">
        <f>'001'!C600</f>
        <v>CEMENTO DE CONTACTO COLVINIL 50 X  2,800 (4 LTS)</v>
      </c>
      <c r="C600" s="1" t="str">
        <f>'001'!D600</f>
        <v>0119</v>
      </c>
      <c r="D600" s="3" t="e">
        <f>'001'!H600</f>
        <v>#VALUE!</v>
      </c>
    </row>
    <row r="601" spans="1:4" x14ac:dyDescent="0.25">
      <c r="A601" s="1" t="str">
        <f>'001'!B601</f>
        <v>000812</v>
      </c>
      <c r="B601" s="1" t="str">
        <f>'001'!C601</f>
        <v>COLA VINILICA COLVINIL 04 X  1</v>
      </c>
      <c r="C601" s="1" t="str">
        <f>'001'!D601</f>
        <v>0119</v>
      </c>
      <c r="D601" s="3" t="e">
        <f>'001'!H601</f>
        <v>#VALUE!</v>
      </c>
    </row>
    <row r="602" spans="1:4" x14ac:dyDescent="0.25">
      <c r="A602" s="1" t="str">
        <f>'001'!B602</f>
        <v>000813</v>
      </c>
      <c r="B602" s="1" t="str">
        <f>'001'!C602</f>
        <v>COLA VINILICA COLVINIL 04 X  5</v>
      </c>
      <c r="C602" s="1" t="str">
        <f>'001'!D602</f>
        <v>0119</v>
      </c>
      <c r="D602" s="3" t="e">
        <f>'001'!H602</f>
        <v>#VALUE!</v>
      </c>
    </row>
    <row r="603" spans="1:4" x14ac:dyDescent="0.25">
      <c r="A603" s="1" t="str">
        <f>'001'!B603</f>
        <v>000814</v>
      </c>
      <c r="B603" s="1" t="str">
        <f>'001'!C603</f>
        <v>ESPATULA DE GOMA CHICA</v>
      </c>
      <c r="C603" s="1" t="str">
        <f>'001'!D603</f>
        <v>0127</v>
      </c>
      <c r="D603" s="3" t="e">
        <f>'001'!H603</f>
        <v>#VALUE!</v>
      </c>
    </row>
    <row r="604" spans="1:4" x14ac:dyDescent="0.25">
      <c r="A604" s="1" t="str">
        <f>'001'!B604</f>
        <v>000817</v>
      </c>
      <c r="B604" s="1" t="str">
        <f>'001'!C604</f>
        <v>GUANTES DE JERSEY MOTEADOS X2</v>
      </c>
      <c r="C604" s="1" t="str">
        <f>'001'!D604</f>
        <v>0124</v>
      </c>
      <c r="D604" s="3" t="e">
        <f>'001'!H604</f>
        <v>#VALUE!</v>
      </c>
    </row>
    <row r="605" spans="1:4" x14ac:dyDescent="0.25">
      <c r="A605" s="1" t="str">
        <f>'001'!B605</f>
        <v>000820</v>
      </c>
      <c r="B605" s="1" t="str">
        <f>'001'!C605</f>
        <v>ABRE BALDES X10 / X20</v>
      </c>
      <c r="C605" s="1" t="str">
        <f>'001'!D605</f>
        <v>0103</v>
      </c>
      <c r="D605" s="3" t="e">
        <f>'001'!H605</f>
        <v>#VALUE!</v>
      </c>
    </row>
    <row r="606" spans="1:4" x14ac:dyDescent="0.25">
      <c r="A606" s="1" t="str">
        <f>'001'!B606</f>
        <v>000821</v>
      </c>
      <c r="B606" s="1" t="str">
        <f>'001'!C606</f>
        <v>LIJA DOBLE A MASTER N  80</v>
      </c>
      <c r="C606" s="1" t="str">
        <f>'001'!D606</f>
        <v>0102</v>
      </c>
      <c r="D606" s="3" t="e">
        <f>'001'!H606</f>
        <v>#VALUE!</v>
      </c>
    </row>
    <row r="607" spans="1:4" x14ac:dyDescent="0.25">
      <c r="A607" s="1" t="str">
        <f>'001'!B607</f>
        <v>000822</v>
      </c>
      <c r="B607" s="1" t="str">
        <f>'001'!C607</f>
        <v>ESMALTE SINTETICO PLAVICON 3EN1 BRILLANTE AZUL TRAFUL X  0,500</v>
      </c>
      <c r="C607" s="1" t="str">
        <f>'001'!D607</f>
        <v>0139</v>
      </c>
      <c r="D607" s="3" t="e">
        <f>'001'!H607</f>
        <v>#VALUE!</v>
      </c>
    </row>
    <row r="608" spans="1:4" x14ac:dyDescent="0.25">
      <c r="A608" s="1" t="str">
        <f>'001'!B608</f>
        <v>000823</v>
      </c>
      <c r="B608" s="1" t="str">
        <f>'001'!C608</f>
        <v>ESMALTE SINTETICO PLAVICON 3EN1 BRILLANTE AZUL TRAFUL X  1</v>
      </c>
      <c r="C608" s="1" t="str">
        <f>'001'!D608</f>
        <v>0139</v>
      </c>
      <c r="D608" s="3" t="e">
        <f>'001'!H608</f>
        <v>#VALUE!</v>
      </c>
    </row>
    <row r="609" spans="1:4" x14ac:dyDescent="0.25">
      <c r="A609" s="1" t="str">
        <f>'001'!B609</f>
        <v>000824</v>
      </c>
      <c r="B609" s="1" t="str">
        <f>'001'!C609</f>
        <v>ENDUIDO INTERIOR ENDUPLAST SINTEPLAST X 25</v>
      </c>
      <c r="C609" s="1" t="str">
        <f>'001'!D609</f>
        <v>0150</v>
      </c>
      <c r="D609" s="3" t="e">
        <f>'001'!H609</f>
        <v>#VALUE!</v>
      </c>
    </row>
    <row r="610" spans="1:4" x14ac:dyDescent="0.25">
      <c r="A610" s="1" t="str">
        <f>'001'!B610</f>
        <v>000825</v>
      </c>
      <c r="B610" s="1" t="str">
        <f>'001'!C610</f>
        <v>LATIZADOR MAGIPLAST 095 X 0,250</v>
      </c>
      <c r="C610" s="1" t="str">
        <f>'001'!D610</f>
        <v>0129</v>
      </c>
      <c r="D610" s="3" t="e">
        <f>'001'!H610</f>
        <v>#VALUE!</v>
      </c>
    </row>
    <row r="611" spans="1:4" x14ac:dyDescent="0.25">
      <c r="A611" s="1" t="str">
        <f>'001'!B611</f>
        <v>000827</v>
      </c>
      <c r="B611" s="1" t="str">
        <f>'001'!C611</f>
        <v>PINTURA EN POLVO TERSUAVE BLANCO X 4</v>
      </c>
      <c r="C611" s="1" t="str">
        <f>'001'!D611</f>
        <v>0152</v>
      </c>
      <c r="D611" s="3" t="e">
        <f>'001'!H611</f>
        <v>#VALUE!</v>
      </c>
    </row>
    <row r="612" spans="1:4" x14ac:dyDescent="0.25">
      <c r="A612" s="1" t="str">
        <f>'001'!B612</f>
        <v>000828</v>
      </c>
      <c r="B612" s="1" t="str">
        <f>'001'!C612</f>
        <v>C210-3087 END.P/COL.POLIUR.X0,450 (DISCONTINUADO)</v>
      </c>
      <c r="C612" s="1" t="str">
        <f>'001'!D612</f>
        <v>0132</v>
      </c>
      <c r="D612" s="3" t="e">
        <f>'001'!H612</f>
        <v>#VALUE!</v>
      </c>
    </row>
    <row r="613" spans="1:4" x14ac:dyDescent="0.25">
      <c r="A613" s="1" t="str">
        <f>'001'!B613</f>
        <v>000830</v>
      </c>
      <c r="B613" s="1" t="str">
        <f>'001'!C613</f>
        <v>ESMALTE SINTETICO PLAVICON 3EN1 BRILLANTE BLANCO X  0,250</v>
      </c>
      <c r="C613" s="1" t="str">
        <f>'001'!D613</f>
        <v>0902</v>
      </c>
      <c r="D613" s="3" t="e">
        <f>'001'!H613</f>
        <v>#VALUE!</v>
      </c>
    </row>
    <row r="614" spans="1:4" x14ac:dyDescent="0.25">
      <c r="A614" s="1" t="str">
        <f>'001'!B614</f>
        <v>000831</v>
      </c>
      <c r="B614" s="1" t="str">
        <f>'001'!C614</f>
        <v>ESMALTE SINTETICO PLAVICON 3EN1 BRILLANTE BLANCO X  0,500</v>
      </c>
      <c r="C614" s="1" t="str">
        <f>'001'!D614</f>
        <v>0139</v>
      </c>
      <c r="D614" s="3" t="e">
        <f>'001'!H614</f>
        <v>#VALUE!</v>
      </c>
    </row>
    <row r="615" spans="1:4" x14ac:dyDescent="0.25">
      <c r="A615" s="1" t="str">
        <f>'001'!B615</f>
        <v>000832</v>
      </c>
      <c r="B615" s="1" t="str">
        <f>'001'!C615</f>
        <v>ESMALTE SINTETICO PLAVICON 3EN1 BRILLANTE BLANCO X  1</v>
      </c>
      <c r="C615" s="1" t="str">
        <f>'001'!D615</f>
        <v>0139</v>
      </c>
      <c r="D615" s="3" t="e">
        <f>'001'!H615</f>
        <v>#VALUE!</v>
      </c>
    </row>
    <row r="616" spans="1:4" x14ac:dyDescent="0.25">
      <c r="A616" s="1" t="str">
        <f>'001'!B616</f>
        <v>000833</v>
      </c>
      <c r="B616" s="1" t="str">
        <f>'001'!C616</f>
        <v>ESMALTE SINTETICO PLAVICON 3EN1 BRILLANTE BLANCO X  4</v>
      </c>
      <c r="C616" s="1" t="str">
        <f>'001'!D616</f>
        <v>0139</v>
      </c>
      <c r="D616" s="3" t="e">
        <f>'001'!H616</f>
        <v>#VALUE!</v>
      </c>
    </row>
    <row r="617" spans="1:4" x14ac:dyDescent="0.25">
      <c r="A617" s="1" t="str">
        <f>'001'!B617</f>
        <v>000834</v>
      </c>
      <c r="B617" s="1" t="str">
        <f>'001'!C617</f>
        <v>ESMALTE SINTETICO PLAVICON 3EN1 BRILLANTE BLANCO X 20</v>
      </c>
      <c r="C617" s="1" t="str">
        <f>'001'!D617</f>
        <v>0139</v>
      </c>
      <c r="D617" s="3" t="e">
        <f>'001'!H617</f>
        <v>#VALUE!</v>
      </c>
    </row>
    <row r="618" spans="1:4" x14ac:dyDescent="0.25">
      <c r="A618" s="1" t="str">
        <f>'001'!B618</f>
        <v>000835</v>
      </c>
      <c r="B618" s="1" t="str">
        <f>'001'!C618</f>
        <v>PROTECTOR SUBCARROCERIA MMB ACUOSA NEGRO X 3,600</v>
      </c>
      <c r="C618" s="1" t="str">
        <f>'001'!D618</f>
        <v>0137</v>
      </c>
      <c r="D618" s="3" t="e">
        <f>'001'!H618</f>
        <v>#VALUE!</v>
      </c>
    </row>
    <row r="619" spans="1:4" x14ac:dyDescent="0.25">
      <c r="A619" s="1" t="str">
        <f>'001'!B619</f>
        <v>000836</v>
      </c>
      <c r="B619" s="1" t="str">
        <f>'001'!C619</f>
        <v>PROTECTOR PARA LADRILLO DURALBA NATURAL SIN PELICULA X  4</v>
      </c>
      <c r="C619" s="1" t="str">
        <f>'001'!D619</f>
        <v>0107</v>
      </c>
      <c r="D619" s="3" t="e">
        <f>'001'!H619</f>
        <v>#VALUE!</v>
      </c>
    </row>
    <row r="620" spans="1:4" x14ac:dyDescent="0.25">
      <c r="A620" s="1" t="str">
        <f>'001'!B620</f>
        <v>000837</v>
      </c>
      <c r="B620" s="1" t="str">
        <f>'001'!C620</f>
        <v>PROTECTOR PARA LADRILLO DURALBA NATURAL SIN PELICULA X 20</v>
      </c>
      <c r="C620" s="1" t="str">
        <f>'001'!D620</f>
        <v>0107</v>
      </c>
      <c r="D620" s="3" t="e">
        <f>'001'!H620</f>
        <v>#VALUE!</v>
      </c>
    </row>
    <row r="621" spans="1:4" x14ac:dyDescent="0.25">
      <c r="A621" s="1" t="str">
        <f>'001'!B621</f>
        <v>000838</v>
      </c>
      <c r="B621" s="1" t="str">
        <f>'001'!C621</f>
        <v>BASE BICAPA MMB X 0,875</v>
      </c>
      <c r="C621" s="1" t="str">
        <f>'001'!D621</f>
        <v>0137</v>
      </c>
      <c r="D621" s="3" t="e">
        <f>'001'!H621</f>
        <v>#VALUE!</v>
      </c>
    </row>
    <row r="622" spans="1:4" x14ac:dyDescent="0.25">
      <c r="A622" s="1" t="str">
        <f>'001'!B622</f>
        <v>000840</v>
      </c>
      <c r="B622" s="1" t="str">
        <f>'001'!C622</f>
        <v>ESMALTE SINTETICO SATINOL 2EN1 SATINADO NEGRO X  1</v>
      </c>
      <c r="C622" s="1" t="str">
        <f>'001'!D622</f>
        <v>0107</v>
      </c>
      <c r="D622" s="3" t="e">
        <f>'001'!H622</f>
        <v>#VALUE!</v>
      </c>
    </row>
    <row r="623" spans="1:4" x14ac:dyDescent="0.25">
      <c r="A623" s="1" t="str">
        <f>'001'!B623</f>
        <v>000841</v>
      </c>
      <c r="B623" s="1" t="str">
        <f>'001'!C623</f>
        <v>ESMALTE SINTETICO SATINOL 2EN1 SATINADO NEGRO X  4</v>
      </c>
      <c r="C623" s="1" t="str">
        <f>'001'!D623</f>
        <v>0107</v>
      </c>
      <c r="D623" s="3" t="e">
        <f>'001'!H623</f>
        <v>#VALUE!</v>
      </c>
    </row>
    <row r="624" spans="1:4" x14ac:dyDescent="0.25">
      <c r="A624" s="1" t="str">
        <f>'001'!B624</f>
        <v>000844</v>
      </c>
      <c r="B624" s="1" t="str">
        <f>'001'!C624</f>
        <v>ESMALTE SINTETICO PLAVICON 3EN1 BRILLANTE AZUL TRAFUL X  4</v>
      </c>
      <c r="C624" s="1" t="str">
        <f>'001'!D624</f>
        <v>0139</v>
      </c>
      <c r="D624" s="3" t="e">
        <f>'001'!H624</f>
        <v>#VALUE!</v>
      </c>
    </row>
    <row r="625" spans="1:4" x14ac:dyDescent="0.25">
      <c r="A625" s="1" t="str">
        <f>'001'!B625</f>
        <v>000846</v>
      </c>
      <c r="B625" s="1" t="str">
        <f>'001'!C625</f>
        <v>ESPATULA DE GOMA GRANDE</v>
      </c>
      <c r="C625" s="1" t="str">
        <f>'001'!D625</f>
        <v>0127</v>
      </c>
      <c r="D625" s="3" t="e">
        <f>'001'!H625</f>
        <v>#VALUE!</v>
      </c>
    </row>
    <row r="626" spans="1:4" x14ac:dyDescent="0.25">
      <c r="A626" s="1" t="str">
        <f>'001'!B626</f>
        <v>000849</v>
      </c>
      <c r="B626" s="1" t="str">
        <f>'001'!C626</f>
        <v>PINCEL ROSARPIN FILETEAR CH/R 2</v>
      </c>
      <c r="C626" s="1" t="str">
        <f>'001'!D626</f>
        <v>0144</v>
      </c>
      <c r="D626" s="3" t="e">
        <f>'001'!H626</f>
        <v>#VALUE!</v>
      </c>
    </row>
    <row r="627" spans="1:4" x14ac:dyDescent="0.25">
      <c r="A627" s="1" t="str">
        <f>'001'!B627</f>
        <v>000850</v>
      </c>
      <c r="B627" s="1" t="str">
        <f>'001'!C627</f>
        <v>PINCEL ROSARPIN FILETEAR CH/R 4</v>
      </c>
      <c r="C627" s="1" t="str">
        <f>'001'!D627</f>
        <v>0144</v>
      </c>
      <c r="D627" s="3" t="e">
        <f>'001'!H627</f>
        <v>#VALUE!</v>
      </c>
    </row>
    <row r="628" spans="1:4" x14ac:dyDescent="0.25">
      <c r="A628" s="1" t="str">
        <f>'001'!B628</f>
        <v>000851</v>
      </c>
      <c r="B628" s="1" t="str">
        <f>'001'!C628</f>
        <v>PINCEL ROSARPIN FILETEAR CH/R 6</v>
      </c>
      <c r="C628" s="1" t="str">
        <f>'001'!D628</f>
        <v>0144</v>
      </c>
      <c r="D628" s="3" t="e">
        <f>'001'!H628</f>
        <v>#VALUE!</v>
      </c>
    </row>
    <row r="629" spans="1:4" x14ac:dyDescent="0.25">
      <c r="A629" s="1" t="str">
        <f>'001'!B629</f>
        <v>000852</v>
      </c>
      <c r="B629" s="1" t="str">
        <f>'001'!C629</f>
        <v>PINCEL ROSARPIN FILETEAR CH/R 8</v>
      </c>
      <c r="C629" s="1" t="str">
        <f>'001'!D629</f>
        <v>0144</v>
      </c>
      <c r="D629" s="3" t="e">
        <f>'001'!H629</f>
        <v>#VALUE!</v>
      </c>
    </row>
    <row r="630" spans="1:4" x14ac:dyDescent="0.25">
      <c r="A630" s="1" t="str">
        <f>'001'!B630</f>
        <v>000853</v>
      </c>
      <c r="B630" s="1" t="str">
        <f>'001'!C630</f>
        <v>PINCEL ROSARPIN FILETEAR CH/R.10</v>
      </c>
      <c r="C630" s="1" t="str">
        <f>'001'!D630</f>
        <v>0144</v>
      </c>
      <c r="D630" s="3" t="e">
        <f>'001'!H630</f>
        <v>#VALUE!</v>
      </c>
    </row>
    <row r="631" spans="1:4" x14ac:dyDescent="0.25">
      <c r="A631" s="1" t="str">
        <f>'001'!B631</f>
        <v>000854</v>
      </c>
      <c r="B631" s="1" t="str">
        <f>'001'!C631</f>
        <v>PINCEL ROSARPIN FILETEAR CH/R.12</v>
      </c>
      <c r="C631" s="1" t="str">
        <f>'001'!D631</f>
        <v>0144</v>
      </c>
      <c r="D631" s="3" t="e">
        <f>'001'!H631</f>
        <v>#VALUE!</v>
      </c>
    </row>
    <row r="632" spans="1:4" x14ac:dyDescent="0.25">
      <c r="A632" s="1" t="str">
        <f>'001'!B632</f>
        <v>000858</v>
      </c>
      <c r="B632" s="1" t="str">
        <f>'001'!C632</f>
        <v>PAD APLICADOR PLANO PARA PINTURA (A13M)</v>
      </c>
      <c r="C632" s="1" t="str">
        <f>'001'!D632</f>
        <v>0165</v>
      </c>
      <c r="D632" s="3" t="e">
        <f>'001'!H632</f>
        <v>#VALUE!</v>
      </c>
    </row>
    <row r="633" spans="1:4" x14ac:dyDescent="0.25">
      <c r="A633" s="1" t="str">
        <f>'001'!B633</f>
        <v>000859</v>
      </c>
      <c r="B633" s="1" t="str">
        <f>'001'!C633</f>
        <v>BASE POLIURETANO 2K 2702 X 0,875</v>
      </c>
      <c r="C633" s="1" t="str">
        <f>'001'!D633</f>
        <v>0137</v>
      </c>
      <c r="D633" s="3" t="e">
        <f>'001'!H633</f>
        <v>#VALUE!</v>
      </c>
    </row>
    <row r="634" spans="1:4" x14ac:dyDescent="0.25">
      <c r="A634" s="1" t="str">
        <f>'001'!B634</f>
        <v>000860</v>
      </c>
      <c r="B634" s="1" t="str">
        <f>'001'!C634</f>
        <v>CATALIZADOR 2K C-2721 X 0,500</v>
      </c>
      <c r="C634" s="1" t="str">
        <f>'001'!D634</f>
        <v>0137</v>
      </c>
      <c r="D634" s="3" t="e">
        <f>'001'!H634</f>
        <v>#VALUE!</v>
      </c>
    </row>
    <row r="635" spans="1:4" x14ac:dyDescent="0.25">
      <c r="A635" s="1" t="str">
        <f>'001'!B635</f>
        <v>000861</v>
      </c>
      <c r="B635" s="1" t="str">
        <f>'001'!C635</f>
        <v>CINTA DE PINTOR DOBLE A AZUL (C900) 18MM X 40M</v>
      </c>
      <c r="C635" s="1" t="str">
        <f>'001'!D635</f>
        <v>0102</v>
      </c>
      <c r="D635" s="3" t="e">
        <f>'001'!H635</f>
        <v>#VALUE!</v>
      </c>
    </row>
    <row r="636" spans="1:4" x14ac:dyDescent="0.25">
      <c r="A636" s="1" t="str">
        <f>'001'!B636</f>
        <v>000862</v>
      </c>
      <c r="B636" s="1" t="str">
        <f>'001'!C636</f>
        <v>LIJA DOBLE A MASTER N 100</v>
      </c>
      <c r="C636" s="1" t="str">
        <f>'001'!D636</f>
        <v>0102</v>
      </c>
      <c r="D636" s="3" t="e">
        <f>'001'!H636</f>
        <v>#VALUE!</v>
      </c>
    </row>
    <row r="637" spans="1:4" x14ac:dyDescent="0.25">
      <c r="A637" s="1" t="str">
        <f>'001'!B637</f>
        <v>000863</v>
      </c>
      <c r="B637" s="1" t="str">
        <f>'001'!C637</f>
        <v>ESMALTE SINTETICO PLAVICON 3EN1 BRILLANTE AZUL TRAFUL X 20</v>
      </c>
      <c r="C637" s="1" t="str">
        <f>'001'!D637</f>
        <v>0139</v>
      </c>
      <c r="D637" s="3" t="e">
        <f>'001'!H637</f>
        <v>#VALUE!</v>
      </c>
    </row>
    <row r="638" spans="1:4" x14ac:dyDescent="0.25">
      <c r="A638" s="1" t="str">
        <f>'001'!B638</f>
        <v>000865</v>
      </c>
      <c r="B638" s="1" t="str">
        <f>'001'!C638</f>
        <v>PINCEL ROSARPIN FILETEAR CH/R.18</v>
      </c>
      <c r="C638" s="1" t="str">
        <f>'001'!D638</f>
        <v>0144</v>
      </c>
      <c r="D638" s="3" t="e">
        <f>'001'!H638</f>
        <v>#VALUE!</v>
      </c>
    </row>
    <row r="639" spans="1:4" x14ac:dyDescent="0.25">
      <c r="A639" s="1" t="str">
        <f>'001'!B639</f>
        <v>000866</v>
      </c>
      <c r="B639" s="1" t="str">
        <f>'001'!C639</f>
        <v>PINTURA PARA PILETA ALBA AL AGUA MATE CELESTE PROFUNDO X 4</v>
      </c>
      <c r="C639" s="1" t="str">
        <f>'001'!D639</f>
        <v>0107</v>
      </c>
      <c r="D639" s="3" t="e">
        <f>'001'!H639</f>
        <v>#VALUE!</v>
      </c>
    </row>
    <row r="640" spans="1:4" x14ac:dyDescent="0.25">
      <c r="A640" s="1" t="str">
        <f>'001'!B640</f>
        <v>000867</v>
      </c>
      <c r="B640" s="1" t="str">
        <f>'001'!C640</f>
        <v>ESMALTE SINTETICO PLAVICON 3EN1 BRILLANTE AZULEJO X  0,500</v>
      </c>
      <c r="C640" s="1" t="str">
        <f>'001'!D640</f>
        <v>0902</v>
      </c>
      <c r="D640" s="3" t="e">
        <f>'001'!H640</f>
        <v>#VALUE!</v>
      </c>
    </row>
    <row r="641" spans="1:4" x14ac:dyDescent="0.25">
      <c r="A641" s="1" t="str">
        <f>'001'!B641</f>
        <v>000868</v>
      </c>
      <c r="B641" s="1" t="str">
        <f>'001'!C641</f>
        <v>AUTOPOLISH COLORIN AUTOKLIN LPU X 0,900</v>
      </c>
      <c r="C641" s="1" t="str">
        <f>'001'!D641</f>
        <v>0166</v>
      </c>
      <c r="D641" s="3" t="e">
        <f>'001'!H641</f>
        <v>#VALUE!</v>
      </c>
    </row>
    <row r="642" spans="1:4" x14ac:dyDescent="0.25">
      <c r="A642" s="1" t="str">
        <f>'001'!B642</f>
        <v>000869</v>
      </c>
      <c r="B642" s="1" t="str">
        <f>'001'!C642</f>
        <v>CINTA DE PINTOR DOBLE A AZUL (C900) 24MM X 40M</v>
      </c>
      <c r="C642" s="1" t="str">
        <f>'001'!D642</f>
        <v>0102</v>
      </c>
      <c r="D642" s="3" t="e">
        <f>'001'!H642</f>
        <v>#VALUE!</v>
      </c>
    </row>
    <row r="643" spans="1:4" x14ac:dyDescent="0.25">
      <c r="A643" s="1" t="str">
        <f>'001'!B643</f>
        <v>000870</v>
      </c>
      <c r="B643" s="1" t="str">
        <f>'001'!C643</f>
        <v>CINTA DE PINTOR DOBLE A AZUL (C900) 36MM X 40M</v>
      </c>
      <c r="C643" s="1" t="str">
        <f>'001'!D643</f>
        <v>0102</v>
      </c>
      <c r="D643" s="3" t="e">
        <f>'001'!H643</f>
        <v>#VALUE!</v>
      </c>
    </row>
    <row r="644" spans="1:4" x14ac:dyDescent="0.25">
      <c r="A644" s="1" t="str">
        <f>'001'!B644</f>
        <v>000871</v>
      </c>
      <c r="B644" s="1" t="str">
        <f>'001'!C644</f>
        <v>ESMALTE SINTETICO PLAVICON 3EN1 BRILLANTE AZULEJO X  1</v>
      </c>
      <c r="C644" s="1" t="str">
        <f>'001'!D644</f>
        <v>0902</v>
      </c>
      <c r="D644" s="3" t="e">
        <f>'001'!H644</f>
        <v>#VALUE!</v>
      </c>
    </row>
    <row r="645" spans="1:4" x14ac:dyDescent="0.25">
      <c r="A645" s="1" t="str">
        <f>'001'!B645</f>
        <v>000872</v>
      </c>
      <c r="B645" s="1" t="str">
        <f>'001'!C645</f>
        <v>ESMALTE SINTETICO PLAVICON 3EN1 BRILLANTE AZULEJO X  4</v>
      </c>
      <c r="C645" s="1" t="str">
        <f>'001'!D645</f>
        <v>0902</v>
      </c>
      <c r="D645" s="3" t="e">
        <f>'001'!H645</f>
        <v>#VALUE!</v>
      </c>
    </row>
    <row r="646" spans="1:4" x14ac:dyDescent="0.25">
      <c r="A646" s="1" t="str">
        <f>'001'!B646</f>
        <v>000874</v>
      </c>
      <c r="B646" s="1" t="str">
        <f>'001'!C646</f>
        <v>LUBRICANTE ANTIOXIDANTE WD-40 X  220</v>
      </c>
      <c r="C646" s="1" t="str">
        <f>'001'!D646</f>
        <v>0140</v>
      </c>
      <c r="D646" s="3" t="e">
        <f>'001'!H646</f>
        <v>#VALUE!</v>
      </c>
    </row>
    <row r="647" spans="1:4" x14ac:dyDescent="0.25">
      <c r="A647" s="1" t="str">
        <f>'001'!B647</f>
        <v>000875</v>
      </c>
      <c r="B647" s="1" t="str">
        <f>'001'!C647</f>
        <v>CINTA DE PINTOR DOBLE A AZUL (C900) 48MM X 40M</v>
      </c>
      <c r="C647" s="1" t="str">
        <f>'001'!D647</f>
        <v>0102</v>
      </c>
      <c r="D647" s="3" t="e">
        <f>'001'!H647</f>
        <v>#VALUE!</v>
      </c>
    </row>
    <row r="648" spans="1:4" x14ac:dyDescent="0.25">
      <c r="A648" s="1" t="str">
        <f>'001'!B648</f>
        <v>000877</v>
      </c>
      <c r="B648" s="1" t="str">
        <f>'001'!C648</f>
        <v>AUTOPOLISH COLORIN AUTOKLIN CRISTALES C/BOMBA X 0,500</v>
      </c>
      <c r="C648" s="1" t="str">
        <f>'001'!D648</f>
        <v>0166</v>
      </c>
      <c r="D648" s="3" t="e">
        <f>'001'!H648</f>
        <v>#VALUE!</v>
      </c>
    </row>
    <row r="649" spans="1:4" x14ac:dyDescent="0.25">
      <c r="A649" s="1" t="str">
        <f>'001'!B649</f>
        <v>000878</v>
      </c>
      <c r="B649" s="1" t="str">
        <f>'001'!C649</f>
        <v>AUTOPOLISH COLORIN SHAMPOO X 0,500</v>
      </c>
      <c r="C649" s="1" t="str">
        <f>'001'!D649</f>
        <v>0166</v>
      </c>
      <c r="D649" s="3" t="e">
        <f>'001'!H649</f>
        <v>#VALUE!</v>
      </c>
    </row>
    <row r="650" spans="1:4" x14ac:dyDescent="0.25">
      <c r="A650" s="1" t="str">
        <f>'001'!B650</f>
        <v>000879</v>
      </c>
      <c r="B650" s="1" t="str">
        <f>'001'!C650</f>
        <v>ESMALTE SINTETICO PLAVICON 3EN1 BRILLANTE CEDRO X  0,500</v>
      </c>
      <c r="C650" s="1" t="str">
        <f>'001'!D650</f>
        <v>0139</v>
      </c>
      <c r="D650" s="3" t="e">
        <f>'001'!H650</f>
        <v>#VALUE!</v>
      </c>
    </row>
    <row r="651" spans="1:4" x14ac:dyDescent="0.25">
      <c r="A651" s="1" t="str">
        <f>'001'!B651</f>
        <v>000880</v>
      </c>
      <c r="B651" s="1" t="str">
        <f>'001'!C651</f>
        <v>ESMALTE SINTETICO PLAVICON 3EN1 BRILLANTE CEDRO X  1</v>
      </c>
      <c r="C651" s="1" t="str">
        <f>'001'!D651</f>
        <v>0139</v>
      </c>
      <c r="D651" s="3" t="e">
        <f>'001'!H651</f>
        <v>#VALUE!</v>
      </c>
    </row>
    <row r="652" spans="1:4" x14ac:dyDescent="0.25">
      <c r="A652" s="1" t="str">
        <f>'001'!B652</f>
        <v>000881</v>
      </c>
      <c r="B652" s="1" t="str">
        <f>'001'!C652</f>
        <v>THINNER DIXILINA ORO E X  1</v>
      </c>
      <c r="C652" s="1" t="str">
        <f>'001'!D652</f>
        <v>0120</v>
      </c>
      <c r="D652" s="3" t="e">
        <f>'001'!H652</f>
        <v>#VALUE!</v>
      </c>
    </row>
    <row r="653" spans="1:4" x14ac:dyDescent="0.25">
      <c r="A653" s="1" t="str">
        <f>'001'!B653</f>
        <v>000882</v>
      </c>
      <c r="B653" s="1" t="str">
        <f>'001'!C653</f>
        <v>ESMALTE SINTETICO PLAVICON 3EN1 BRILLANTE CEDRO X  4</v>
      </c>
      <c r="C653" s="1" t="str">
        <f>'001'!D653</f>
        <v>0139</v>
      </c>
      <c r="D653" s="3" t="e">
        <f>'001'!H653</f>
        <v>#VALUE!</v>
      </c>
    </row>
    <row r="654" spans="1:4" x14ac:dyDescent="0.25">
      <c r="A654" s="1" t="str">
        <f>'001'!B654</f>
        <v>000883</v>
      </c>
      <c r="B654" s="1" t="str">
        <f>'001'!C654</f>
        <v>AUTOPOLISH COLORIN EXPRESS X 0,450</v>
      </c>
      <c r="C654" s="1" t="str">
        <f>'001'!D654</f>
        <v>0166</v>
      </c>
      <c r="D654" s="3" t="e">
        <f>'001'!H654</f>
        <v>#VALUE!</v>
      </c>
    </row>
    <row r="655" spans="1:4" x14ac:dyDescent="0.25">
      <c r="A655" s="1" t="str">
        <f>'001'!B655</f>
        <v>000884</v>
      </c>
      <c r="B655" s="1" t="str">
        <f>'001'!C655</f>
        <v>AUTOPOLISH COLORIN SILICONA C/GAT.450</v>
      </c>
      <c r="C655" s="1" t="str">
        <f>'001'!D655</f>
        <v>0166</v>
      </c>
      <c r="D655" s="3" t="e">
        <f>'001'!H655</f>
        <v>#VALUE!</v>
      </c>
    </row>
    <row r="656" spans="1:4" x14ac:dyDescent="0.25">
      <c r="A656" s="1" t="str">
        <f>'001'!B656</f>
        <v>000887</v>
      </c>
      <c r="B656" s="1" t="str">
        <f>'001'!C656</f>
        <v>DILUYENTE PARA CEMENTO DE CONTACTO X 200</v>
      </c>
      <c r="C656" s="1" t="str">
        <f>'001'!D656</f>
        <v>0186</v>
      </c>
      <c r="D656" s="3" t="e">
        <f>'001'!H656</f>
        <v>#VALUE!</v>
      </c>
    </row>
    <row r="657" spans="1:4" x14ac:dyDescent="0.25">
      <c r="A657" s="1" t="str">
        <f>'001'!B657</f>
        <v>000888</v>
      </c>
      <c r="B657" s="1" t="str">
        <f>'001'!C657</f>
        <v>FILTRO CANE C.10</v>
      </c>
      <c r="C657" s="1" t="str">
        <f>'001'!D657</f>
        <v>0115</v>
      </c>
      <c r="D657" s="3" t="e">
        <f>'001'!H657</f>
        <v>#VALUE!</v>
      </c>
    </row>
    <row r="658" spans="1:4" x14ac:dyDescent="0.25">
      <c r="A658" s="1" t="str">
        <f>'001'!B658</f>
        <v>000890</v>
      </c>
      <c r="B658" s="1" t="str">
        <f>'001'!C658</f>
        <v>ESMALTE SINTETICO PLAVICON 3EN1 BRILLANTE CEDRO X 20</v>
      </c>
      <c r="C658" s="1" t="str">
        <f>'001'!D658</f>
        <v>0139</v>
      </c>
      <c r="D658" s="3" t="e">
        <f>'001'!H658</f>
        <v>#VALUE!</v>
      </c>
    </row>
    <row r="659" spans="1:4" x14ac:dyDescent="0.25">
      <c r="A659" s="1" t="str">
        <f>'001'!B659</f>
        <v>000892</v>
      </c>
      <c r="B659" s="1" t="str">
        <f>'001'!C659</f>
        <v>CINTA AUTOMOTOR DOBLE A PREMIUM (C995) 18MM X 40M</v>
      </c>
      <c r="C659" s="1" t="str">
        <f>'001'!D659</f>
        <v>0102</v>
      </c>
      <c r="D659" s="3" t="e">
        <f>'001'!H659</f>
        <v>#VALUE!</v>
      </c>
    </row>
    <row r="660" spans="1:4" x14ac:dyDescent="0.25">
      <c r="A660" s="1" t="str">
        <f>'001'!B660</f>
        <v>000893</v>
      </c>
      <c r="B660" s="1" t="str">
        <f>'001'!C660</f>
        <v>CINTA AUTOMOTOR DOBLE A PREMIUM (C995) 48MM X 40M</v>
      </c>
      <c r="C660" s="1" t="str">
        <f>'001'!D660</f>
        <v>0102</v>
      </c>
      <c r="D660" s="3" t="e">
        <f>'001'!H660</f>
        <v>#VALUE!</v>
      </c>
    </row>
    <row r="661" spans="1:4" x14ac:dyDescent="0.25">
      <c r="A661" s="1" t="str">
        <f>'001'!B661</f>
        <v>000895</v>
      </c>
      <c r="B661" s="1" t="str">
        <f>'001'!C661</f>
        <v>GUANTE NITRILO SOFT NEGRO S/P #L MEDIGLOVE X 100</v>
      </c>
      <c r="C661" s="1" t="str">
        <f>'001'!D661</f>
        <v>0177</v>
      </c>
      <c r="D661" s="3" t="e">
        <f>'001'!H661</f>
        <v>#VALUE!</v>
      </c>
    </row>
    <row r="662" spans="1:4" x14ac:dyDescent="0.25">
      <c r="A662" s="1" t="str">
        <f>'001'!B662</f>
        <v>000896</v>
      </c>
      <c r="B662" s="1" t="str">
        <f>'001'!C662</f>
        <v>ESMALTE SINTETICO PLAVICON 3EN1 BRILLANTE TABACO X  0,500</v>
      </c>
      <c r="C662" s="1" t="str">
        <f>'001'!D662</f>
        <v>0139</v>
      </c>
      <c r="D662" s="3" t="e">
        <f>'001'!H662</f>
        <v>#VALUE!</v>
      </c>
    </row>
    <row r="663" spans="1:4" x14ac:dyDescent="0.25">
      <c r="A663" s="1" t="str">
        <f>'001'!B663</f>
        <v>000897</v>
      </c>
      <c r="B663" s="1" t="str">
        <f>'001'!C663</f>
        <v>ESPONJA ABRASIVA DOBLE A SIMPLE 115X140X5 #180</v>
      </c>
      <c r="C663" s="1" t="str">
        <f>'001'!D663</f>
        <v>0102</v>
      </c>
      <c r="D663" s="3" t="e">
        <f>'001'!H663</f>
        <v>#VALUE!</v>
      </c>
    </row>
    <row r="664" spans="1:4" x14ac:dyDescent="0.25">
      <c r="A664" s="1" t="str">
        <f>'001'!B664</f>
        <v>000898</v>
      </c>
      <c r="B664" s="1" t="str">
        <f>'001'!C664</f>
        <v>ESPONJA ABRASIVA DOBLE A SIMPLE 115X140X5 #100</v>
      </c>
      <c r="C664" s="1" t="str">
        <f>'001'!D664</f>
        <v>0102</v>
      </c>
      <c r="D664" s="3" t="e">
        <f>'001'!H664</f>
        <v>#VALUE!</v>
      </c>
    </row>
    <row r="665" spans="1:4" x14ac:dyDescent="0.25">
      <c r="A665" s="1" t="str">
        <f>'001'!B665</f>
        <v>000899</v>
      </c>
      <c r="B665" s="1" t="str">
        <f>'001'!C665</f>
        <v>ESPONJA ABRASIVA DOBLE A SIMPLE 115X140X5 # 60</v>
      </c>
      <c r="C665" s="1" t="str">
        <f>'001'!D665</f>
        <v>0102</v>
      </c>
      <c r="D665" s="3" t="e">
        <f>'001'!H665</f>
        <v>#VALUE!</v>
      </c>
    </row>
    <row r="666" spans="1:4" x14ac:dyDescent="0.25">
      <c r="A666" s="1" t="str">
        <f>'001'!B666</f>
        <v>000900</v>
      </c>
      <c r="B666" s="1" t="str">
        <f>'001'!C666</f>
        <v>ESPONJA ABRASIVA DOBLE A SIMPLE 115X140X5 #280</v>
      </c>
      <c r="C666" s="1" t="str">
        <f>'001'!D666</f>
        <v>0102</v>
      </c>
      <c r="D666" s="3" t="e">
        <f>'001'!H666</f>
        <v>#VALUE!</v>
      </c>
    </row>
    <row r="667" spans="1:4" x14ac:dyDescent="0.25">
      <c r="A667" s="1" t="str">
        <f>'001'!B667</f>
        <v>000903</v>
      </c>
      <c r="B667" s="1" t="str">
        <f>'001'!C667</f>
        <v>V51.04 BARNIZ BI COMPONENTE ACS X 0.750</v>
      </c>
      <c r="C667" s="1" t="str">
        <f>'001'!D667</f>
        <v>0132</v>
      </c>
      <c r="D667" s="3" t="e">
        <f>'001'!H667</f>
        <v>#VALUE!</v>
      </c>
    </row>
    <row r="668" spans="1:4" x14ac:dyDescent="0.25">
      <c r="A668" s="1" t="str">
        <f>'001'!B668</f>
        <v>000904</v>
      </c>
      <c r="B668" s="1" t="str">
        <f>'001'!C668</f>
        <v>SOLDURA PLASTICA POXIPOL GRIS X 700</v>
      </c>
      <c r="C668" s="1" t="str">
        <f>'001'!D668</f>
        <v>0140</v>
      </c>
      <c r="D668" s="3" t="e">
        <f>'001'!H668</f>
        <v>#VALUE!</v>
      </c>
    </row>
    <row r="669" spans="1:4" x14ac:dyDescent="0.25">
      <c r="A669" s="1" t="str">
        <f>'001'!B669</f>
        <v>000905</v>
      </c>
      <c r="B669" s="1" t="str">
        <f>'001'!C669</f>
        <v>P51.04 PRIMER PU 5:1 ACS X 0.750</v>
      </c>
      <c r="C669" s="1" t="str">
        <f>'001'!D669</f>
        <v>0132</v>
      </c>
      <c r="D669" s="3" t="e">
        <f>'001'!H669</f>
        <v>#VALUE!</v>
      </c>
    </row>
    <row r="670" spans="1:4" x14ac:dyDescent="0.25">
      <c r="A670" s="1" t="str">
        <f>'001'!B670</f>
        <v>000906</v>
      </c>
      <c r="B670" s="1" t="str">
        <f>'001'!C670</f>
        <v>ENDUIDO EXTERIOR ALBA X 20</v>
      </c>
      <c r="C670" s="1" t="str">
        <f>'001'!D670</f>
        <v>0107</v>
      </c>
      <c r="D670" s="3" t="e">
        <f>'001'!H670</f>
        <v>#VALUE!</v>
      </c>
    </row>
    <row r="671" spans="1:4" x14ac:dyDescent="0.25">
      <c r="A671" s="1" t="str">
        <f>'001'!B671</f>
        <v>000907</v>
      </c>
      <c r="B671" s="1" t="str">
        <f>'001'!C671</f>
        <v>ESMALTE SINTETICO PLAVICON 3EN1 BRILLANTE TABACO X  1</v>
      </c>
      <c r="C671" s="1" t="str">
        <f>'001'!D671</f>
        <v>0139</v>
      </c>
      <c r="D671" s="3" t="e">
        <f>'001'!H671</f>
        <v>#VALUE!</v>
      </c>
    </row>
    <row r="672" spans="1:4" x14ac:dyDescent="0.25">
      <c r="A672" s="1" t="str">
        <f>'001'!B672</f>
        <v>000908</v>
      </c>
      <c r="B672" s="1" t="str">
        <f>'001'!C672</f>
        <v>ESMALTE SINTETICO PLAVICON 3EN1 BRILLANTE TABACO X  4</v>
      </c>
      <c r="C672" s="1" t="str">
        <f>'001'!D672</f>
        <v>0139</v>
      </c>
      <c r="D672" s="3" t="e">
        <f>'001'!H672</f>
        <v>#VALUE!</v>
      </c>
    </row>
    <row r="673" spans="1:4" x14ac:dyDescent="0.25">
      <c r="A673" s="1" t="str">
        <f>'001'!B673</f>
        <v>000909</v>
      </c>
      <c r="B673" s="1" t="str">
        <f>'001'!C673</f>
        <v>PU01.04 PRIMER UNIVERSAL 1K ACS X 0.900</v>
      </c>
      <c r="C673" s="1" t="str">
        <f>'001'!D673</f>
        <v>0132</v>
      </c>
      <c r="D673" s="3" t="e">
        <f>'001'!H673</f>
        <v>#VALUE!</v>
      </c>
    </row>
    <row r="674" spans="1:4" x14ac:dyDescent="0.25">
      <c r="A674" s="1" t="str">
        <f>'001'!B674</f>
        <v>000910</v>
      </c>
      <c r="B674" s="1" t="str">
        <f>'001'!C674</f>
        <v>PISTOLA PARA PINTAR CANE C.S 150</v>
      </c>
      <c r="C674" s="1" t="str">
        <f>'001'!D674</f>
        <v>0115</v>
      </c>
      <c r="D674" s="3" t="e">
        <f>'001'!H674</f>
        <v>#VALUE!</v>
      </c>
    </row>
    <row r="675" spans="1:4" x14ac:dyDescent="0.25">
      <c r="A675" s="1" t="str">
        <f>'001'!B675</f>
        <v>000911</v>
      </c>
      <c r="B675" s="1" t="str">
        <f>'001'!C675</f>
        <v>CEMENTO DE CONTACTO COLVINIL 50 X 14,000 (18 LTS)</v>
      </c>
      <c r="C675" s="1" t="str">
        <f>'001'!D675</f>
        <v>0119</v>
      </c>
      <c r="D675" s="3" t="e">
        <f>'001'!H675</f>
        <v>#VALUE!</v>
      </c>
    </row>
    <row r="676" spans="1:4" x14ac:dyDescent="0.25">
      <c r="A676" s="1" t="str">
        <f>'001'!B676</f>
        <v>000912</v>
      </c>
      <c r="B676" s="1" t="str">
        <f>'001'!C676</f>
        <v>RODILLO LUMAR MINI FORRADO  5 CM (41A)</v>
      </c>
      <c r="C676" s="1" t="str">
        <f>'001'!D676</f>
        <v>0128</v>
      </c>
      <c r="D676" s="3" t="e">
        <f>'001'!H676</f>
        <v>#VALUE!</v>
      </c>
    </row>
    <row r="677" spans="1:4" x14ac:dyDescent="0.25">
      <c r="A677" s="1" t="str">
        <f>'001'!B677</f>
        <v>000913</v>
      </c>
      <c r="B677" s="1" t="str">
        <f>'001'!C677</f>
        <v>RODILLO LUMAR MINI FORRADO  8 CM (41B)</v>
      </c>
      <c r="C677" s="1" t="str">
        <f>'001'!D677</f>
        <v>0128</v>
      </c>
      <c r="D677" s="3" t="e">
        <f>'001'!H677</f>
        <v>#VALUE!</v>
      </c>
    </row>
    <row r="678" spans="1:4" x14ac:dyDescent="0.25">
      <c r="A678" s="1" t="str">
        <f>'001'!B678</f>
        <v>000914</v>
      </c>
      <c r="B678" s="1" t="str">
        <f>'001'!C678</f>
        <v>RODILLO LUMAR MINI FORRADO 10 CM (41C)</v>
      </c>
      <c r="C678" s="1" t="str">
        <f>'001'!D678</f>
        <v>0128</v>
      </c>
      <c r="D678" s="3" t="e">
        <f>'001'!H678</f>
        <v>#VALUE!</v>
      </c>
    </row>
    <row r="679" spans="1:4" x14ac:dyDescent="0.25">
      <c r="A679" s="1" t="str">
        <f>'001'!B679</f>
        <v>000915</v>
      </c>
      <c r="B679" s="1" t="str">
        <f>'001'!C679</f>
        <v>MEMBRANA  AUTOADHESIVA NC MEGAFACIL ALUMINIO 10CM X25MT</v>
      </c>
      <c r="C679" s="1" t="str">
        <f>'001'!D679</f>
        <v>0130</v>
      </c>
      <c r="D679" s="3" t="e">
        <f>'001'!H679</f>
        <v>#VALUE!</v>
      </c>
    </row>
    <row r="680" spans="1:4" x14ac:dyDescent="0.25">
      <c r="A680" s="1" t="str">
        <f>'001'!B680</f>
        <v>000916</v>
      </c>
      <c r="B680" s="1" t="str">
        <f>'001'!C680</f>
        <v>MEMBRANA  AUTOADHESIVA NC MEGAFACIL ALUMINIO 15CM X25MT</v>
      </c>
      <c r="C680" s="1" t="str">
        <f>'001'!D680</f>
        <v>0130</v>
      </c>
      <c r="D680" s="3" t="e">
        <f>'001'!H680</f>
        <v>#VALUE!</v>
      </c>
    </row>
    <row r="681" spans="1:4" x14ac:dyDescent="0.25">
      <c r="A681" s="1" t="str">
        <f>'001'!B681</f>
        <v>000920</v>
      </c>
      <c r="B681" s="1" t="str">
        <f>'001'!C681</f>
        <v>PINTURA ASFALTICA MEGAFLEX ALUMINIZADA X  1</v>
      </c>
      <c r="C681" s="1" t="str">
        <f>'001'!D681</f>
        <v>0130</v>
      </c>
      <c r="D681" s="3" t="e">
        <f>'001'!H681</f>
        <v>#VALUE!</v>
      </c>
    </row>
    <row r="682" spans="1:4" x14ac:dyDescent="0.25">
      <c r="A682" s="1" t="str">
        <f>'001'!B682</f>
        <v>000921</v>
      </c>
      <c r="B682" s="1" t="str">
        <f>'001'!C682</f>
        <v>PINTURA ASFALTICA MEGAFLEX ALUMINIZADA X  4</v>
      </c>
      <c r="C682" s="1" t="str">
        <f>'001'!D682</f>
        <v>0130</v>
      </c>
      <c r="D682" s="3" t="e">
        <f>'001'!H682</f>
        <v>#VALUE!</v>
      </c>
    </row>
    <row r="683" spans="1:4" x14ac:dyDescent="0.25">
      <c r="A683" s="1" t="str">
        <f>'001'!B683</f>
        <v>000922</v>
      </c>
      <c r="B683" s="1" t="str">
        <f>'001'!C683</f>
        <v>PINTURA ASFALTICA MEGAFLEX ALUMINIZADA X 18</v>
      </c>
      <c r="C683" s="1" t="str">
        <f>'001'!D683</f>
        <v>0130</v>
      </c>
      <c r="D683" s="3" t="e">
        <f>'001'!H683</f>
        <v>#VALUE!</v>
      </c>
    </row>
    <row r="684" spans="1:4" x14ac:dyDescent="0.25">
      <c r="A684" s="1" t="str">
        <f>'001'!B684</f>
        <v>000924</v>
      </c>
      <c r="B684" s="1" t="str">
        <f>'001'!C684</f>
        <v>FONDO ANTIOXIDO PLAVICON CONVEROX ROJO X  0,500</v>
      </c>
      <c r="C684" s="1" t="str">
        <f>'001'!D684</f>
        <v>0139</v>
      </c>
      <c r="D684" s="3" t="e">
        <f>'001'!H684</f>
        <v>#VALUE!</v>
      </c>
    </row>
    <row r="685" spans="1:4" x14ac:dyDescent="0.25">
      <c r="A685" s="1" t="str">
        <f>'001'!B685</f>
        <v>000925</v>
      </c>
      <c r="B685" s="1" t="str">
        <f>'001'!C685</f>
        <v>IMPERMEABILIZANTE PARA FRENTES Y MUROS RECUPLAST PERDURA BLANCO X  4</v>
      </c>
      <c r="C685" s="1" t="str">
        <f>'001'!D685</f>
        <v>0150</v>
      </c>
      <c r="D685" s="3" t="e">
        <f>'001'!H685</f>
        <v>#VALUE!</v>
      </c>
    </row>
    <row r="686" spans="1:4" x14ac:dyDescent="0.25">
      <c r="A686" s="1" t="str">
        <f>'001'!B686</f>
        <v>000926</v>
      </c>
      <c r="B686" s="1" t="str">
        <f>'001'!C686</f>
        <v>IMPERMEABILIZANTE PARA FRENTES Y MUROS RECUPLAST PERDURA BLANCO X 20</v>
      </c>
      <c r="C686" s="1" t="str">
        <f>'001'!D686</f>
        <v>0150</v>
      </c>
      <c r="D686" s="3" t="e">
        <f>'001'!H686</f>
        <v>#VALUE!</v>
      </c>
    </row>
    <row r="687" spans="1:4" x14ac:dyDescent="0.25">
      <c r="A687" s="1" t="str">
        <f>'001'!B687</f>
        <v>000927</v>
      </c>
      <c r="B687" s="1" t="str">
        <f>'001'!C687</f>
        <v>MASILLA EPOXI POXILINA X 38.000</v>
      </c>
      <c r="C687" s="1" t="str">
        <f>'001'!D687</f>
        <v>0140</v>
      </c>
      <c r="D687" s="3" t="e">
        <f>'001'!H687</f>
        <v>#VALUE!</v>
      </c>
    </row>
    <row r="688" spans="1:4" x14ac:dyDescent="0.25">
      <c r="A688" s="1" t="str">
        <f>'001'!B688</f>
        <v>000928</v>
      </c>
      <c r="B688" s="1" t="str">
        <f>'001'!C688</f>
        <v>RODILLO LUMAR POLIESTER ESPECIAL 17 (410B)</v>
      </c>
      <c r="C688" s="1" t="str">
        <f>'001'!D688</f>
        <v>0128</v>
      </c>
      <c r="D688" s="3" t="e">
        <f>'001'!H688</f>
        <v>#VALUE!</v>
      </c>
    </row>
    <row r="689" spans="1:4" x14ac:dyDescent="0.25">
      <c r="A689" s="1" t="str">
        <f>'001'!B689</f>
        <v>000929</v>
      </c>
      <c r="B689" s="1" t="str">
        <f>'001'!C689</f>
        <v>RODILLO LUMAR POLIESTER ESPECIAL 22 (410C)</v>
      </c>
      <c r="C689" s="1" t="str">
        <f>'001'!D689</f>
        <v>0128</v>
      </c>
      <c r="D689" s="3" t="e">
        <f>'001'!H689</f>
        <v>#VALUE!</v>
      </c>
    </row>
    <row r="690" spans="1:4" x14ac:dyDescent="0.25">
      <c r="A690" s="1" t="str">
        <f>'001'!B690</f>
        <v>000930</v>
      </c>
      <c r="B690" s="1" t="str">
        <f>'001'!C690</f>
        <v>FONDO ANTIOXIDO PLAVICON CONVEROX ROJO X  1</v>
      </c>
      <c r="C690" s="1" t="str">
        <f>'001'!D690</f>
        <v>0139</v>
      </c>
      <c r="D690" s="3" t="e">
        <f>'001'!H690</f>
        <v>#VALUE!</v>
      </c>
    </row>
    <row r="691" spans="1:4" x14ac:dyDescent="0.25">
      <c r="A691" s="1" t="str">
        <f>'001'!B691</f>
        <v>000931</v>
      </c>
      <c r="B691" s="1" t="str">
        <f>'001'!C691</f>
        <v>FONDO ANTIOXIDO PLAVICON CONVEROX ROJO X  4</v>
      </c>
      <c r="C691" s="1" t="str">
        <f>'001'!D691</f>
        <v>0139</v>
      </c>
      <c r="D691" s="3" t="e">
        <f>'001'!H691</f>
        <v>#VALUE!</v>
      </c>
    </row>
    <row r="692" spans="1:4" x14ac:dyDescent="0.25">
      <c r="A692" s="1" t="str">
        <f>'001'!B692</f>
        <v>000933</v>
      </c>
      <c r="B692" s="1" t="str">
        <f>'001'!C692</f>
        <v>LACA UREICA COLVINIL BRILLANTE BLANCA C/CAT. X  0,900</v>
      </c>
      <c r="C692" s="1" t="str">
        <f>'001'!D692</f>
        <v>0119</v>
      </c>
      <c r="D692" s="3" t="e">
        <f>'001'!H692</f>
        <v>#VALUE!</v>
      </c>
    </row>
    <row r="693" spans="1:4" x14ac:dyDescent="0.25">
      <c r="A693" s="1" t="str">
        <f>'001'!B693</f>
        <v>000934</v>
      </c>
      <c r="B693" s="1" t="str">
        <f>'001'!C693</f>
        <v>LACA UREICA COLVINIL BRILLANTE BLANCA C/CAT. X  3,600</v>
      </c>
      <c r="C693" s="1" t="str">
        <f>'001'!D693</f>
        <v>0119</v>
      </c>
      <c r="D693" s="3" t="e">
        <f>'001'!H693</f>
        <v>#VALUE!</v>
      </c>
    </row>
    <row r="694" spans="1:4" x14ac:dyDescent="0.25">
      <c r="A694" s="1" t="str">
        <f>'001'!B694</f>
        <v>000935</v>
      </c>
      <c r="B694" s="1" t="str">
        <f>'001'!C694</f>
        <v>LACA UREICA COLVINIL SATINADA BLANCA C/CAT. X  0,900</v>
      </c>
      <c r="C694" s="1" t="str">
        <f>'001'!D694</f>
        <v>0119</v>
      </c>
      <c r="D694" s="3" t="e">
        <f>'001'!H694</f>
        <v>#VALUE!</v>
      </c>
    </row>
    <row r="695" spans="1:4" x14ac:dyDescent="0.25">
      <c r="A695" s="1" t="str">
        <f>'001'!B695</f>
        <v>000936</v>
      </c>
      <c r="B695" s="1" t="str">
        <f>'001'!C695</f>
        <v>LACA UREICA COLVINIL SATINADA BLANCA C/CAT. X  3,600</v>
      </c>
      <c r="C695" s="1" t="str">
        <f>'001'!D695</f>
        <v>0119</v>
      </c>
      <c r="D695" s="3" t="e">
        <f>'001'!H695</f>
        <v>#VALUE!</v>
      </c>
    </row>
    <row r="696" spans="1:4" x14ac:dyDescent="0.25">
      <c r="A696" s="1" t="str">
        <f>'001'!B696</f>
        <v>000937</v>
      </c>
      <c r="B696" s="1" t="str">
        <f>'001'!C696</f>
        <v>IMPERMEABLIZANTE PARA TECHOS RECUPLAST TECHOS BLANCO X  1,200</v>
      </c>
      <c r="C696" s="1" t="str">
        <f>'001'!D696</f>
        <v>0150</v>
      </c>
      <c r="D696" s="3" t="e">
        <f>'001'!H696</f>
        <v>#VALUE!</v>
      </c>
    </row>
    <row r="697" spans="1:4" x14ac:dyDescent="0.25">
      <c r="A697" s="1" t="str">
        <f>'001'!B697</f>
        <v>000938</v>
      </c>
      <c r="B697" s="1" t="str">
        <f>'001'!C697</f>
        <v>IMPERMEABLIZANTE PARA TECHOS RECUPLAST TECHOS BLANCO X  5</v>
      </c>
      <c r="C697" s="1" t="str">
        <f>'001'!D697</f>
        <v>0150</v>
      </c>
      <c r="D697" s="3" t="e">
        <f>'001'!H697</f>
        <v>#VALUE!</v>
      </c>
    </row>
    <row r="698" spans="1:4" x14ac:dyDescent="0.25">
      <c r="A698" s="1" t="str">
        <f>'001'!B698</f>
        <v>000939</v>
      </c>
      <c r="B698" s="1" t="str">
        <f>'001'!C698</f>
        <v>IMPERMEABLIZANTE PARA TECHOS RECUPLAST TECHOS BLANCO X 12</v>
      </c>
      <c r="C698" s="1" t="str">
        <f>'001'!D698</f>
        <v>0150</v>
      </c>
      <c r="D698" s="3" t="e">
        <f>'001'!H698</f>
        <v>#VALUE!</v>
      </c>
    </row>
    <row r="699" spans="1:4" x14ac:dyDescent="0.25">
      <c r="A699" s="1" t="str">
        <f>'001'!B699</f>
        <v>000940</v>
      </c>
      <c r="B699" s="1" t="str">
        <f>'001'!C699</f>
        <v>IMPERMEABLIZANTE PARA TECHOS RECUPLAST TECHOS BLANCO X 20</v>
      </c>
      <c r="C699" s="1" t="str">
        <f>'001'!D699</f>
        <v>0150</v>
      </c>
      <c r="D699" s="3" t="e">
        <f>'001'!H699</f>
        <v>#VALUE!</v>
      </c>
    </row>
    <row r="700" spans="1:4" x14ac:dyDescent="0.25">
      <c r="A700" s="1" t="str">
        <f>'001'!B700</f>
        <v>000942</v>
      </c>
      <c r="B700" s="1" t="str">
        <f>'001'!C700</f>
        <v>IMPERMEABILIZANTE PARA TECHOS ALBAFRENT FIBRADO SATINADO BLANCO X  4</v>
      </c>
      <c r="C700" s="1" t="str">
        <f>'001'!D700</f>
        <v>0107</v>
      </c>
      <c r="D700" s="3" t="e">
        <f>'001'!H700</f>
        <v>#VALUE!</v>
      </c>
    </row>
    <row r="701" spans="1:4" x14ac:dyDescent="0.25">
      <c r="A701" s="1" t="str">
        <f>'001'!B701</f>
        <v>000943</v>
      </c>
      <c r="B701" s="1" t="str">
        <f>'001'!C701</f>
        <v>IMPERMEABILIZANTE PARA TECHOS ALBAFRENT FIBRADO SATINADO BLANCO X 10</v>
      </c>
      <c r="C701" s="1" t="str">
        <f>'001'!D701</f>
        <v>0107</v>
      </c>
      <c r="D701" s="3" t="e">
        <f>'001'!H701</f>
        <v>#VALUE!</v>
      </c>
    </row>
    <row r="702" spans="1:4" x14ac:dyDescent="0.25">
      <c r="A702" s="1" t="str">
        <f>'001'!B702</f>
        <v>000944</v>
      </c>
      <c r="B702" s="1" t="str">
        <f>'001'!C702</f>
        <v>IMPERMEABILIZANTE PARA TECHOS ALBAFRENT FIBRADO SATINADO BLANCO X 20</v>
      </c>
      <c r="C702" s="1" t="str">
        <f>'001'!D702</f>
        <v>0107</v>
      </c>
      <c r="D702" s="3" t="e">
        <f>'001'!H702</f>
        <v>#VALUE!</v>
      </c>
    </row>
    <row r="703" spans="1:4" x14ac:dyDescent="0.25">
      <c r="A703" s="1" t="str">
        <f>'001'!B703</f>
        <v>000945</v>
      </c>
      <c r="B703" s="1" t="str">
        <f>'001'!C703</f>
        <v>ESCALERA DE MADERA SIN FIN FAMILIAR DOBLE 3</v>
      </c>
      <c r="C703" s="1" t="str">
        <f>'001'!D703</f>
        <v>0149</v>
      </c>
      <c r="D703" s="3" t="e">
        <f>'001'!H703</f>
        <v>#VALUE!</v>
      </c>
    </row>
    <row r="704" spans="1:4" x14ac:dyDescent="0.25">
      <c r="A704" s="1" t="str">
        <f>'001'!B704</f>
        <v>000946</v>
      </c>
      <c r="B704" s="1" t="str">
        <f>'001'!C704</f>
        <v>ESCALERA DE MADERA SIN FIN FAMILIAR DOBLE 4</v>
      </c>
      <c r="C704" s="1" t="str">
        <f>'001'!D704</f>
        <v>0149</v>
      </c>
      <c r="D704" s="3" t="e">
        <f>'001'!H704</f>
        <v>#VALUE!</v>
      </c>
    </row>
    <row r="705" spans="1:4" x14ac:dyDescent="0.25">
      <c r="A705" s="1" t="str">
        <f>'001'!B705</f>
        <v>000947</v>
      </c>
      <c r="B705" s="1" t="str">
        <f>'001'!C705</f>
        <v>ESCALERA DE MADERA SIN FIN FAMILIAR DOBLE 5</v>
      </c>
      <c r="C705" s="1" t="str">
        <f>'001'!D705</f>
        <v>0149</v>
      </c>
      <c r="D705" s="3" t="e">
        <f>'001'!H705</f>
        <v>#VALUE!</v>
      </c>
    </row>
    <row r="706" spans="1:4" x14ac:dyDescent="0.25">
      <c r="A706" s="1" t="str">
        <f>'001'!B706</f>
        <v>000948</v>
      </c>
      <c r="B706" s="1" t="str">
        <f>'001'!C706</f>
        <v>FIJADOR PARA PARED ALBA 2EN1 AL AGUARRAS BLANCO X  1</v>
      </c>
      <c r="C706" s="1" t="str">
        <f>'001'!D706</f>
        <v>0107</v>
      </c>
      <c r="D706" s="3" t="e">
        <f>'001'!H706</f>
        <v>#VALUE!</v>
      </c>
    </row>
    <row r="707" spans="1:4" x14ac:dyDescent="0.25">
      <c r="A707" s="1" t="str">
        <f>'001'!B707</f>
        <v>000949</v>
      </c>
      <c r="B707" s="1" t="str">
        <f>'001'!C707</f>
        <v>FIJADOR PARA PARED ALBA 2EN1 AL AGUARRAS BLANCO X  4</v>
      </c>
      <c r="C707" s="1" t="str">
        <f>'001'!D707</f>
        <v>0107</v>
      </c>
      <c r="D707" s="3" t="e">
        <f>'001'!H707</f>
        <v>#VALUE!</v>
      </c>
    </row>
    <row r="708" spans="1:4" x14ac:dyDescent="0.25">
      <c r="A708" s="1" t="str">
        <f>'001'!B708</f>
        <v>000950</v>
      </c>
      <c r="B708" s="1" t="str">
        <f>'001'!C708</f>
        <v>FIJADOR PARA PARED ALBA 2EN1 AL AGUARRAS BLANCO X 20</v>
      </c>
      <c r="C708" s="1" t="str">
        <f>'001'!D708</f>
        <v>0107</v>
      </c>
      <c r="D708" s="3" t="e">
        <f>'001'!H708</f>
        <v>#VALUE!</v>
      </c>
    </row>
    <row r="709" spans="1:4" x14ac:dyDescent="0.25">
      <c r="A709" s="1" t="str">
        <f>'001'!B709</f>
        <v>000951</v>
      </c>
      <c r="B709" s="1" t="str">
        <f>'001'!C709</f>
        <v>ESCALERA DE ALUMINIO SIN FIN BOMBERO 8 ESC.</v>
      </c>
      <c r="C709" s="1" t="str">
        <f>'001'!D709</f>
        <v>0149</v>
      </c>
      <c r="D709" s="3" t="e">
        <f>'001'!H709</f>
        <v>#VALUE!</v>
      </c>
    </row>
    <row r="710" spans="1:4" x14ac:dyDescent="0.25">
      <c r="A710" s="1" t="str">
        <f>'001'!B710</f>
        <v>000953</v>
      </c>
      <c r="B710" s="1" t="str">
        <f>'001'!C710</f>
        <v>ESCALERA DE ALUMINIO SIN FIN BOMBERO 10 ESC.</v>
      </c>
      <c r="C710" s="1" t="str">
        <f>'001'!D710</f>
        <v>0149</v>
      </c>
      <c r="D710" s="3" t="e">
        <f>'001'!H710</f>
        <v>#VALUE!</v>
      </c>
    </row>
    <row r="711" spans="1:4" x14ac:dyDescent="0.25">
      <c r="A711" s="1" t="str">
        <f>'001'!B711</f>
        <v>000954</v>
      </c>
      <c r="B711" s="1" t="str">
        <f>'001'!C711</f>
        <v>ESCALERA DE ALUMINIO SIN FIN BOMBERO 12 ESC.</v>
      </c>
      <c r="C711" s="1" t="str">
        <f>'001'!D711</f>
        <v>0149</v>
      </c>
      <c r="D711" s="3" t="e">
        <f>'001'!H711</f>
        <v>#VALUE!</v>
      </c>
    </row>
    <row r="712" spans="1:4" x14ac:dyDescent="0.25">
      <c r="A712" s="1" t="str">
        <f>'001'!B712</f>
        <v>000955</v>
      </c>
      <c r="B712" s="1" t="str">
        <f>'001'!C712</f>
        <v>ESCALERA DE ALUMINIO SIN FIN BOMBERO 14 ESC.</v>
      </c>
      <c r="C712" s="1" t="str">
        <f>'001'!D712</f>
        <v>0149</v>
      </c>
      <c r="D712" s="3" t="e">
        <f>'001'!H712</f>
        <v>#VALUE!</v>
      </c>
    </row>
    <row r="713" spans="1:4" x14ac:dyDescent="0.25">
      <c r="A713" s="1" t="str">
        <f>'001'!B713</f>
        <v>000956</v>
      </c>
      <c r="B713" s="1" t="str">
        <f>'001'!C713</f>
        <v>ESCALERA DE ALUMINIO SIN FIN BOMBERO 16 ESC.</v>
      </c>
      <c r="C713" s="1" t="str">
        <f>'001'!D713</f>
        <v>0149</v>
      </c>
      <c r="D713" s="3" t="e">
        <f>'001'!H713</f>
        <v>#VALUE!</v>
      </c>
    </row>
    <row r="714" spans="1:4" x14ac:dyDescent="0.25">
      <c r="A714" s="1" t="str">
        <f>'001'!B714</f>
        <v>000957</v>
      </c>
      <c r="B714" s="1" t="str">
        <f>'001'!C714</f>
        <v>ESCALERA DE ALUMINIO SIN FIN BOMBERO 18 ESC.</v>
      </c>
      <c r="C714" s="1" t="str">
        <f>'001'!D714</f>
        <v>0149</v>
      </c>
      <c r="D714" s="3" t="e">
        <f>'001'!H714</f>
        <v>#VALUE!</v>
      </c>
    </row>
    <row r="715" spans="1:4" x14ac:dyDescent="0.25">
      <c r="A715" s="1" t="str">
        <f>'001'!B715</f>
        <v>000958</v>
      </c>
      <c r="B715" s="1" t="str">
        <f>'001'!C715</f>
        <v>ESCALERA DE ALUMINIO SIN FIN BOMBERO 20 ESC.</v>
      </c>
      <c r="C715" s="1" t="str">
        <f>'001'!D715</f>
        <v>0149</v>
      </c>
      <c r="D715" s="3" t="e">
        <f>'001'!H715</f>
        <v>#VALUE!</v>
      </c>
    </row>
    <row r="716" spans="1:4" x14ac:dyDescent="0.25">
      <c r="A716" s="1" t="str">
        <f>'001'!B716</f>
        <v>000959</v>
      </c>
      <c r="B716" s="1" t="str">
        <f>'001'!C716</f>
        <v>LACA UREICA COLVINIL BRILLANTE BLANCA C/CAT. X 18</v>
      </c>
      <c r="C716" s="1" t="str">
        <f>'001'!D716</f>
        <v>0119</v>
      </c>
      <c r="D716" s="3" t="e">
        <f>'001'!H716</f>
        <v>#VALUE!</v>
      </c>
    </row>
    <row r="717" spans="1:4" x14ac:dyDescent="0.25">
      <c r="A717" s="1" t="str">
        <f>'001'!B717</f>
        <v>000960</v>
      </c>
      <c r="B717" s="1" t="str">
        <f>'001'!C717</f>
        <v>ESCALERA DE MADERA SIN FIN FAMILIAR DOBLE 6</v>
      </c>
      <c r="C717" s="1" t="str">
        <f>'001'!D717</f>
        <v>0149</v>
      </c>
      <c r="D717" s="3" t="e">
        <f>'001'!H717</f>
        <v>#VALUE!</v>
      </c>
    </row>
    <row r="718" spans="1:4" x14ac:dyDescent="0.25">
      <c r="A718" s="1" t="str">
        <f>'001'!B718</f>
        <v>000961</v>
      </c>
      <c r="B718" s="1" t="str">
        <f>'001'!C718</f>
        <v>ESCALERA DE MADERA SIN FIN FAMILIAR DOBLE 7</v>
      </c>
      <c r="C718" s="1" t="str">
        <f>'001'!D718</f>
        <v>0149</v>
      </c>
      <c r="D718" s="3" t="e">
        <f>'001'!H718</f>
        <v>#VALUE!</v>
      </c>
    </row>
    <row r="719" spans="1:4" x14ac:dyDescent="0.25">
      <c r="A719" s="1" t="str">
        <f>'001'!B719</f>
        <v>000962</v>
      </c>
      <c r="B719" s="1" t="str">
        <f>'001'!C719</f>
        <v>ESCALERA DE MADERA SIN FIN FAMILIAR DOBLE 8</v>
      </c>
      <c r="C719" s="1" t="str">
        <f>'001'!D719</f>
        <v>0149</v>
      </c>
      <c r="D719" s="3" t="e">
        <f>'001'!H719</f>
        <v>#VALUE!</v>
      </c>
    </row>
    <row r="720" spans="1:4" x14ac:dyDescent="0.25">
      <c r="A720" s="1" t="str">
        <f>'001'!B720</f>
        <v>000963</v>
      </c>
      <c r="B720" s="1" t="str">
        <f>'001'!C720</f>
        <v>LACA UREICA COLVINIL SATINADA BLANCA C/CAT. X 18</v>
      </c>
      <c r="C720" s="1" t="str">
        <f>'001'!D720</f>
        <v>0119</v>
      </c>
      <c r="D720" s="3" t="e">
        <f>'001'!H720</f>
        <v>#VALUE!</v>
      </c>
    </row>
    <row r="721" spans="1:4" x14ac:dyDescent="0.25">
      <c r="A721" s="1" t="str">
        <f>'001'!B721</f>
        <v>000968</v>
      </c>
      <c r="B721" s="1" t="str">
        <f>'001'!C721</f>
        <v>LLANA PLASTICA LH 12X25</v>
      </c>
      <c r="C721" s="1" t="str">
        <f>'001'!D721</f>
        <v>0126</v>
      </c>
      <c r="D721" s="3" t="e">
        <f>'001'!H721</f>
        <v>#VALUE!</v>
      </c>
    </row>
    <row r="722" spans="1:4" x14ac:dyDescent="0.25">
      <c r="A722" s="1" t="str">
        <f>'001'!B722</f>
        <v>000969</v>
      </c>
      <c r="B722" s="1" t="str">
        <f>'001'!C722</f>
        <v>LLANA PLASTICA LH 14X30</v>
      </c>
      <c r="C722" s="1" t="str">
        <f>'001'!D722</f>
        <v>0126</v>
      </c>
      <c r="D722" s="3" t="e">
        <f>'001'!H722</f>
        <v>#VALUE!</v>
      </c>
    </row>
    <row r="723" spans="1:4" x14ac:dyDescent="0.25">
      <c r="A723" s="1" t="str">
        <f>'001'!B723</f>
        <v>000974</v>
      </c>
      <c r="B723" s="1" t="str">
        <f>'001'!C723</f>
        <v>LATEX INTERIOR ALBALATEX DESIGN TOQUE DE LUZ MATE BLANCO X  1</v>
      </c>
      <c r="C723" s="1" t="str">
        <f>'001'!D723</f>
        <v>0107</v>
      </c>
      <c r="D723" s="3" t="e">
        <f>'001'!H723</f>
        <v>#VALUE!</v>
      </c>
    </row>
    <row r="724" spans="1:4" x14ac:dyDescent="0.25">
      <c r="A724" s="1" t="str">
        <f>'001'!B724</f>
        <v>000975</v>
      </c>
      <c r="B724" s="1" t="str">
        <f>'001'!C724</f>
        <v>LATEX INTERIOR ALBALATEX DESIGN TOQUE DE LUZ MATE BLANCO X  4</v>
      </c>
      <c r="C724" s="1" t="str">
        <f>'001'!D724</f>
        <v>0107</v>
      </c>
      <c r="D724" s="3" t="e">
        <f>'001'!H724</f>
        <v>#VALUE!</v>
      </c>
    </row>
    <row r="725" spans="1:4" x14ac:dyDescent="0.25">
      <c r="A725" s="1" t="str">
        <f>'001'!B725</f>
        <v>000976</v>
      </c>
      <c r="B725" s="1" t="str">
        <f>'001'!C725</f>
        <v>LATEX INTERIOR ALBALATEX DESIGN TOQUE DE LUZ MATE BLANCO X 10</v>
      </c>
      <c r="C725" s="1" t="str">
        <f>'001'!D725</f>
        <v>0107</v>
      </c>
      <c r="D725" s="3" t="e">
        <f>'001'!H725</f>
        <v>#VALUE!</v>
      </c>
    </row>
    <row r="726" spans="1:4" x14ac:dyDescent="0.25">
      <c r="A726" s="1" t="str">
        <f>'001'!B726</f>
        <v>000977</v>
      </c>
      <c r="B726" s="1" t="str">
        <f>'001'!C726</f>
        <v>LATEX INTERIOR ALBALATEX DESIGN TOQUE DE LUZ MATE BLANCO X 20</v>
      </c>
      <c r="C726" s="1" t="str">
        <f>'001'!D726</f>
        <v>0107</v>
      </c>
      <c r="D726" s="3" t="e">
        <f>'001'!H726</f>
        <v>#VALUE!</v>
      </c>
    </row>
    <row r="727" spans="1:4" x14ac:dyDescent="0.25">
      <c r="A727" s="1" t="str">
        <f>'001'!B727</f>
        <v>000978</v>
      </c>
      <c r="B727" s="1" t="str">
        <f>'001'!C727</f>
        <v>RODILLO LUMAR EPOXI PELO CORTO ANCHO  5(70/A)</v>
      </c>
      <c r="C727" s="1" t="str">
        <f>'001'!D727</f>
        <v>0128</v>
      </c>
      <c r="D727" s="3" t="e">
        <f>'001'!H727</f>
        <v>#VALUE!</v>
      </c>
    </row>
    <row r="728" spans="1:4" x14ac:dyDescent="0.25">
      <c r="A728" s="1" t="str">
        <f>'001'!B728</f>
        <v>000979</v>
      </c>
      <c r="B728" s="1" t="str">
        <f>'001'!C728</f>
        <v>RODILLO LUMAR EPOXI PELO CORTO ANCHO  8(70/B)</v>
      </c>
      <c r="C728" s="1" t="str">
        <f>'001'!D728</f>
        <v>0128</v>
      </c>
      <c r="D728" s="3" t="e">
        <f>'001'!H728</f>
        <v>#VALUE!</v>
      </c>
    </row>
    <row r="729" spans="1:4" x14ac:dyDescent="0.25">
      <c r="A729" s="1" t="str">
        <f>'001'!B729</f>
        <v>000980</v>
      </c>
      <c r="B729" s="1" t="str">
        <f>'001'!C729</f>
        <v>RODILLO LUMAR EPOXI PELO CORTO ANCHO 10(70/C)</v>
      </c>
      <c r="C729" s="1" t="str">
        <f>'001'!D729</f>
        <v>0128</v>
      </c>
      <c r="D729" s="3" t="e">
        <f>'001'!H729</f>
        <v>#VALUE!</v>
      </c>
    </row>
    <row r="730" spans="1:4" x14ac:dyDescent="0.25">
      <c r="A730" s="1" t="str">
        <f>'001'!B730</f>
        <v>000981</v>
      </c>
      <c r="B730" s="1" t="str">
        <f>'001'!C730</f>
        <v>LATEX PARA CIELORRASOS PLAVICON MATE BLANCO X  1</v>
      </c>
      <c r="C730" s="1" t="str">
        <f>'001'!D730</f>
        <v>0139</v>
      </c>
      <c r="D730" s="3" t="e">
        <f>'001'!H730</f>
        <v>#VALUE!</v>
      </c>
    </row>
    <row r="731" spans="1:4" x14ac:dyDescent="0.25">
      <c r="A731" s="1" t="str">
        <f>'001'!B731</f>
        <v>000982</v>
      </c>
      <c r="B731" s="1" t="str">
        <f>'001'!C731</f>
        <v>LATEX PARA CIELORRASOS PLAVICON MATE BLANCO X  4</v>
      </c>
      <c r="C731" s="1" t="str">
        <f>'001'!D731</f>
        <v>0139</v>
      </c>
      <c r="D731" s="3" t="e">
        <f>'001'!H731</f>
        <v>#VALUE!</v>
      </c>
    </row>
    <row r="732" spans="1:4" x14ac:dyDescent="0.25">
      <c r="A732" s="1" t="str">
        <f>'001'!B732</f>
        <v>000983</v>
      </c>
      <c r="B732" s="1" t="str">
        <f>'001'!C732</f>
        <v>PINCELETA ROSARPIN 8000 C.CH.40</v>
      </c>
      <c r="C732" s="1" t="str">
        <f>'001'!D732</f>
        <v>0144</v>
      </c>
      <c r="D732" s="3" t="e">
        <f>'001'!H732</f>
        <v>#VALUE!</v>
      </c>
    </row>
    <row r="733" spans="1:4" x14ac:dyDescent="0.25">
      <c r="A733" s="1" t="str">
        <f>'001'!B733</f>
        <v>000984</v>
      </c>
      <c r="B733" s="1" t="str">
        <f>'001'!C733</f>
        <v>PEGAMENTO LA GOTITA GEL X 3</v>
      </c>
      <c r="C733" s="1" t="str">
        <f>'001'!D733</f>
        <v>0140</v>
      </c>
      <c r="D733" s="3" t="e">
        <f>'001'!H733</f>
        <v>#VALUE!</v>
      </c>
    </row>
    <row r="734" spans="1:4" x14ac:dyDescent="0.25">
      <c r="A734" s="1" t="str">
        <f>'001'!B734</f>
        <v>000985</v>
      </c>
      <c r="B734" s="1" t="str">
        <f>'001'!C734</f>
        <v>RODILLO LUMAR EPOXI PELO CORTO 18(910B)</v>
      </c>
      <c r="C734" s="1" t="str">
        <f>'001'!D734</f>
        <v>0128</v>
      </c>
      <c r="D734" s="3" t="e">
        <f>'001'!H734</f>
        <v>#VALUE!</v>
      </c>
    </row>
    <row r="735" spans="1:4" x14ac:dyDescent="0.25">
      <c r="A735" s="1" t="str">
        <f>'001'!B735</f>
        <v>000986</v>
      </c>
      <c r="B735" s="1" t="str">
        <f>'001'!C735</f>
        <v>RODILLO LUMAR EPOXI PELO CORTO 22(910C)</v>
      </c>
      <c r="C735" s="1" t="str">
        <f>'001'!D735</f>
        <v>0128</v>
      </c>
      <c r="D735" s="3" t="e">
        <f>'001'!H735</f>
        <v>#VALUE!</v>
      </c>
    </row>
    <row r="736" spans="1:4" x14ac:dyDescent="0.25">
      <c r="A736" s="1" t="str">
        <f>'001'!B736</f>
        <v>000987</v>
      </c>
      <c r="B736" s="1" t="str">
        <f>'001'!C736</f>
        <v>RODILLO LUMAR LUDAMAR LANA MARRON 17 (110B)</v>
      </c>
      <c r="C736" s="1" t="str">
        <f>'001'!D736</f>
        <v>0128</v>
      </c>
      <c r="D736" s="3" t="e">
        <f>'001'!H736</f>
        <v>#VALUE!</v>
      </c>
    </row>
    <row r="737" spans="1:4" x14ac:dyDescent="0.25">
      <c r="A737" s="1" t="str">
        <f>'001'!B737</f>
        <v>000988</v>
      </c>
      <c r="B737" s="1" t="str">
        <f>'001'!C737</f>
        <v>RODILLO LUMAR LUDAMAR LANA MARRON 22 (110C)</v>
      </c>
      <c r="C737" s="1" t="str">
        <f>'001'!D737</f>
        <v>0128</v>
      </c>
      <c r="D737" s="3" t="e">
        <f>'001'!H737</f>
        <v>#VALUE!</v>
      </c>
    </row>
    <row r="738" spans="1:4" x14ac:dyDescent="0.25">
      <c r="A738" s="1" t="str">
        <f>'001'!B738</f>
        <v>000989</v>
      </c>
      <c r="B738" s="1" t="str">
        <f>'001'!C738</f>
        <v>DISCO PIEL LUMAR ESPECIAL (50)</v>
      </c>
      <c r="C738" s="1" t="str">
        <f>'001'!D738</f>
        <v>0128</v>
      </c>
      <c r="D738" s="3" t="e">
        <f>'001'!H738</f>
        <v>#VALUE!</v>
      </c>
    </row>
    <row r="739" spans="1:4" x14ac:dyDescent="0.25">
      <c r="A739" s="1" t="str">
        <f>'001'!B739</f>
        <v>000990</v>
      </c>
      <c r="B739" s="1" t="str">
        <f>'001'!C739</f>
        <v>DISCO PIEL COMUN X 2 (55)</v>
      </c>
      <c r="C739" s="1" t="str">
        <f>'001'!D739</f>
        <v>0128</v>
      </c>
      <c r="D739" s="3" t="e">
        <f>'001'!H739</f>
        <v>#VALUE!</v>
      </c>
    </row>
    <row r="740" spans="1:4" x14ac:dyDescent="0.25">
      <c r="A740" s="1" t="str">
        <f>'001'!B740</f>
        <v>000991</v>
      </c>
      <c r="B740" s="1" t="str">
        <f>'001'!C740</f>
        <v>RODILLO LUMAR POLIESTER ESPECIAL 10 (410A)</v>
      </c>
      <c r="C740" s="1" t="str">
        <f>'001'!D740</f>
        <v>0128</v>
      </c>
      <c r="D740" s="3" t="e">
        <f>'001'!H740</f>
        <v>#VALUE!</v>
      </c>
    </row>
    <row r="741" spans="1:4" x14ac:dyDescent="0.25">
      <c r="A741" s="1" t="str">
        <f>'001'!B741</f>
        <v>000992</v>
      </c>
      <c r="B741" s="1" t="str">
        <f>'001'!C741</f>
        <v>LIJA DOBLE A MASTER N 320</v>
      </c>
      <c r="C741" s="1" t="str">
        <f>'001'!D741</f>
        <v>0102</v>
      </c>
      <c r="D741" s="3" t="e">
        <f>'001'!H741</f>
        <v>#VALUE!</v>
      </c>
    </row>
    <row r="742" spans="1:4" x14ac:dyDescent="0.25">
      <c r="A742" s="1" t="str">
        <f>'001'!B742</f>
        <v>000993</v>
      </c>
      <c r="B742" s="1" t="str">
        <f>'001'!C742</f>
        <v>PINCELETA ROSARPIN 9000 C.CH.35</v>
      </c>
      <c r="C742" s="1" t="str">
        <f>'001'!D742</f>
        <v>0144</v>
      </c>
      <c r="D742" s="3" t="e">
        <f>'001'!H742</f>
        <v>#VALUE!</v>
      </c>
    </row>
    <row r="743" spans="1:4" x14ac:dyDescent="0.25">
      <c r="A743" s="1" t="str">
        <f>'001'!B743</f>
        <v>000994</v>
      </c>
      <c r="B743" s="1" t="str">
        <f>'001'!C743</f>
        <v>DISCO DE GOMA CON ROSCA</v>
      </c>
      <c r="C743" s="1" t="str">
        <f>'001'!D743</f>
        <v>0127</v>
      </c>
      <c r="D743" s="3" t="e">
        <f>'001'!H743</f>
        <v>#VALUE!</v>
      </c>
    </row>
    <row r="744" spans="1:4" x14ac:dyDescent="0.25">
      <c r="A744" s="1" t="str">
        <f>'001'!B744</f>
        <v>000995</v>
      </c>
      <c r="B744" s="1" t="str">
        <f>'001'!C744</f>
        <v>LATEX PARA CIELORRASOS PLAVICON MATE BLANCO X 10</v>
      </c>
      <c r="C744" s="1" t="str">
        <f>'001'!D744</f>
        <v>0139</v>
      </c>
      <c r="D744" s="3" t="e">
        <f>'001'!H744</f>
        <v>#VALUE!</v>
      </c>
    </row>
    <row r="745" spans="1:4" x14ac:dyDescent="0.25">
      <c r="A745" s="1" t="str">
        <f>'001'!B745</f>
        <v>000996</v>
      </c>
      <c r="B745" s="1" t="str">
        <f>'001'!C745</f>
        <v>LATEX PARA CIELORRASOS PLAVICON MATE BLANCO X 20</v>
      </c>
      <c r="C745" s="1" t="str">
        <f>'001'!D745</f>
        <v>0139</v>
      </c>
      <c r="D745" s="3" t="e">
        <f>'001'!H745</f>
        <v>#VALUE!</v>
      </c>
    </row>
    <row r="746" spans="1:4" x14ac:dyDescent="0.25">
      <c r="A746" s="1" t="str">
        <f>'001'!B746</f>
        <v>000999</v>
      </c>
      <c r="B746" s="1" t="str">
        <f>'001'!C746</f>
        <v>LIJA AL AGUA DOBLE A # 1500 (MG)</v>
      </c>
      <c r="C746" s="1" t="str">
        <f>'001'!D746</f>
        <v>0102</v>
      </c>
      <c r="D746" s="3" t="e">
        <f>'001'!H746</f>
        <v>#VALUE!</v>
      </c>
    </row>
    <row r="747" spans="1:4" x14ac:dyDescent="0.25">
      <c r="A747" s="1" t="str">
        <f>'001'!B747</f>
        <v>001000</v>
      </c>
      <c r="B747" s="1" t="str">
        <f>'001'!C747</f>
        <v>CLEAR BICAPA MMB X 1</v>
      </c>
      <c r="C747" s="1" t="str">
        <f>'001'!D747</f>
        <v>0137</v>
      </c>
      <c r="D747" s="3" t="e">
        <f>'001'!H747</f>
        <v>#VALUE!</v>
      </c>
    </row>
    <row r="748" spans="1:4" x14ac:dyDescent="0.25">
      <c r="A748" s="1" t="str">
        <f>'001'!B748</f>
        <v>001001</v>
      </c>
      <c r="B748" s="1" t="str">
        <f>'001'!C748</f>
        <v>COLORANTE CONCENTRADO ACOTONE MA1 MAGENTA X 0,720</v>
      </c>
      <c r="C748" s="1" t="str">
        <f>'001'!D748</f>
        <v>0108</v>
      </c>
      <c r="D748" s="3" t="e">
        <f>'001'!H748</f>
        <v>#VALUE!</v>
      </c>
    </row>
    <row r="749" spans="1:4" x14ac:dyDescent="0.25">
      <c r="A749" s="1" t="str">
        <f>'001'!B749</f>
        <v>001002</v>
      </c>
      <c r="B749" s="1" t="str">
        <f>'001'!C749</f>
        <v>COLORANTE CONCENTRADO ACOTONE UM1 TIERRA SOMBRA X 0,720</v>
      </c>
      <c r="C749" s="1" t="str">
        <f>'001'!D749</f>
        <v>0108</v>
      </c>
      <c r="D749" s="3" t="e">
        <f>'001'!H749</f>
        <v>#VALUE!</v>
      </c>
    </row>
    <row r="750" spans="1:4" x14ac:dyDescent="0.25">
      <c r="A750" s="1" t="str">
        <f>'001'!B750</f>
        <v>001003</v>
      </c>
      <c r="B750" s="1" t="str">
        <f>'001'!C750</f>
        <v>COLORANTE CONCENTRADO ACOTONE XR1 ROJO OXIDO X 0,720</v>
      </c>
      <c r="C750" s="1" t="str">
        <f>'001'!D750</f>
        <v>0108</v>
      </c>
      <c r="D750" s="3" t="e">
        <f>'001'!H750</f>
        <v>#VALUE!</v>
      </c>
    </row>
    <row r="751" spans="1:4" x14ac:dyDescent="0.25">
      <c r="A751" s="1" t="str">
        <f>'001'!B751</f>
        <v>001004</v>
      </c>
      <c r="B751" s="1" t="str">
        <f>'001'!C751</f>
        <v>ACEITE DE LINO MAGIPLAST X 20</v>
      </c>
      <c r="C751" s="1" t="str">
        <f>'001'!D751</f>
        <v>0129</v>
      </c>
      <c r="D751" s="3" t="e">
        <f>'001'!H751</f>
        <v>#VALUE!</v>
      </c>
    </row>
    <row r="752" spans="1:4" x14ac:dyDescent="0.25">
      <c r="A752" s="1" t="str">
        <f>'001'!B752</f>
        <v>001005</v>
      </c>
      <c r="B752" s="1" t="str">
        <f>'001'!C752</f>
        <v>LATIZADOR TERSUAVE X 0,250</v>
      </c>
      <c r="C752" s="1" t="str">
        <f>'001'!D752</f>
        <v>0152</v>
      </c>
      <c r="D752" s="3" t="e">
        <f>'001'!H752</f>
        <v>#VALUE!</v>
      </c>
    </row>
    <row r="753" spans="1:4" x14ac:dyDescent="0.25">
      <c r="A753" s="1" t="str">
        <f>'001'!B753</f>
        <v>001006</v>
      </c>
      <c r="B753" s="1" t="str">
        <f>'001'!C753</f>
        <v>ACIDO MURIATICO INDUQUIMICA X 1</v>
      </c>
      <c r="C753" s="1" t="str">
        <f>'001'!D753</f>
        <v>0124</v>
      </c>
      <c r="D753" s="3" t="e">
        <f>'001'!H753</f>
        <v>#VALUE!</v>
      </c>
    </row>
    <row r="754" spans="1:4" x14ac:dyDescent="0.25">
      <c r="A754" s="1" t="str">
        <f>'001'!B754</f>
        <v>001007</v>
      </c>
      <c r="B754" s="1" t="str">
        <f>'001'!C754</f>
        <v>ACIDO MURIATICO INDUQUIMICA X 5</v>
      </c>
      <c r="C754" s="1" t="str">
        <f>'001'!D754</f>
        <v>0124</v>
      </c>
      <c r="D754" s="3" t="e">
        <f>'001'!H754</f>
        <v>#VALUE!</v>
      </c>
    </row>
    <row r="755" spans="1:4" x14ac:dyDescent="0.25">
      <c r="A755" s="1" t="str">
        <f>'001'!B755</f>
        <v>001008</v>
      </c>
      <c r="B755" s="1" t="str">
        <f>'001'!C755</f>
        <v>CEPILLO DE CERDA EMPAPELAR 25CM</v>
      </c>
      <c r="C755" s="1" t="str">
        <f>'001'!D755</f>
        <v>0165</v>
      </c>
      <c r="D755" s="3" t="e">
        <f>'001'!H755</f>
        <v>#VALUE!</v>
      </c>
    </row>
    <row r="756" spans="1:4" x14ac:dyDescent="0.25">
      <c r="A756" s="1" t="str">
        <f>'001'!B756</f>
        <v>001009</v>
      </c>
      <c r="B756" s="1" t="str">
        <f>'001'!C756</f>
        <v>CINTA DE ALUMINIO DOBLE A 48MM X 3MTS.</v>
      </c>
      <c r="C756" s="1" t="str">
        <f>'001'!D756</f>
        <v>0102</v>
      </c>
      <c r="D756" s="3" t="e">
        <f>'001'!H756</f>
        <v>#VALUE!</v>
      </c>
    </row>
    <row r="757" spans="1:4" x14ac:dyDescent="0.25">
      <c r="A757" s="1" t="str">
        <f>'001'!B757</f>
        <v>001010</v>
      </c>
      <c r="B757" s="1" t="str">
        <f>'001'!C757</f>
        <v>COLA VINILICA COLVINIL 04 X  0,500</v>
      </c>
      <c r="C757" s="1" t="str">
        <f>'001'!D757</f>
        <v>0119</v>
      </c>
      <c r="D757" s="3" t="e">
        <f>'001'!H757</f>
        <v>#VALUE!</v>
      </c>
    </row>
    <row r="758" spans="1:4" x14ac:dyDescent="0.25">
      <c r="A758" s="1" t="str">
        <f>'001'!B758</f>
        <v>001011</v>
      </c>
      <c r="B758" s="1" t="str">
        <f>'001'!C758</f>
        <v>CINTA POLI DOBLE A TRANSPARENTE (293) 48MM X 50MTS.</v>
      </c>
      <c r="C758" s="1" t="str">
        <f>'001'!D758</f>
        <v>0102</v>
      </c>
      <c r="D758" s="3" t="e">
        <f>'001'!H758</f>
        <v>#VALUE!</v>
      </c>
    </row>
    <row r="759" spans="1:4" x14ac:dyDescent="0.25">
      <c r="A759" s="1" t="str">
        <f>'001'!B759</f>
        <v>001012</v>
      </c>
      <c r="B759" s="1" t="str">
        <f>'001'!C759</f>
        <v>COLORANTE CONCENTRADO ACOTONE WH1 BLANCO X 0,720</v>
      </c>
      <c r="C759" s="1" t="str">
        <f>'001'!D759</f>
        <v>0108</v>
      </c>
      <c r="D759" s="3" t="e">
        <f>'001'!H759</f>
        <v>#VALUE!</v>
      </c>
    </row>
    <row r="760" spans="1:4" x14ac:dyDescent="0.25">
      <c r="A760" s="1" t="str">
        <f>'001'!B760</f>
        <v>001013</v>
      </c>
      <c r="B760" s="1" t="str">
        <f>'001'!C760</f>
        <v>COLORANTE CONCENTRADO ACOTONE XY1 AMARILLO OXIDO X 0,720</v>
      </c>
      <c r="C760" s="1" t="str">
        <f>'001'!D760</f>
        <v>0108</v>
      </c>
      <c r="D760" s="3" t="e">
        <f>'001'!H760</f>
        <v>#VALUE!</v>
      </c>
    </row>
    <row r="761" spans="1:4" x14ac:dyDescent="0.25">
      <c r="A761" s="1" t="str">
        <f>'001'!B761</f>
        <v>001014</v>
      </c>
      <c r="B761" s="1" t="str">
        <f>'001'!C761</f>
        <v>COLORANTE CONCENTRADO ACOTONE YE1 AMARILLO X 0,720</v>
      </c>
      <c r="C761" s="1" t="str">
        <f>'001'!D761</f>
        <v>0108</v>
      </c>
      <c r="D761" s="3" t="e">
        <f>'001'!H761</f>
        <v>#VALUE!</v>
      </c>
    </row>
    <row r="762" spans="1:4" x14ac:dyDescent="0.25">
      <c r="A762" s="1" t="str">
        <f>'001'!B762</f>
        <v>001016</v>
      </c>
      <c r="B762" s="1" t="str">
        <f>'001'!C762</f>
        <v>ESPATULA DE GOMA MEDIANA</v>
      </c>
      <c r="C762" s="1" t="str">
        <f>'001'!D762</f>
        <v>0127</v>
      </c>
      <c r="D762" s="3" t="e">
        <f>'001'!H762</f>
        <v>#VALUE!</v>
      </c>
    </row>
    <row r="763" spans="1:4" x14ac:dyDescent="0.25">
      <c r="A763" s="1" t="str">
        <f>'001'!B763</f>
        <v>001017</v>
      </c>
      <c r="B763" s="1" t="str">
        <f>'001'!C763</f>
        <v>LIJA AL AGUA DOBLE A # 2000 (MG)</v>
      </c>
      <c r="C763" s="1" t="str">
        <f>'001'!D763</f>
        <v>0102</v>
      </c>
      <c r="D763" s="3" t="e">
        <f>'001'!H763</f>
        <v>#VALUE!</v>
      </c>
    </row>
    <row r="764" spans="1:4" x14ac:dyDescent="0.25">
      <c r="A764" s="1" t="str">
        <f>'001'!B764</f>
        <v>001018</v>
      </c>
      <c r="B764" s="1" t="str">
        <f>'001'!C764</f>
        <v>COLORANTE CONCENTRADO ACOTONE BU1 AZUL INTENSO X 0,720</v>
      </c>
      <c r="C764" s="1" t="str">
        <f>'001'!D764</f>
        <v>0108</v>
      </c>
      <c r="D764" s="3" t="e">
        <f>'001'!H764</f>
        <v>#VALUE!</v>
      </c>
    </row>
    <row r="765" spans="1:4" x14ac:dyDescent="0.25">
      <c r="A765" s="1" t="str">
        <f>'001'!B765</f>
        <v>001019</v>
      </c>
      <c r="B765" s="1" t="str">
        <f>'001'!C765</f>
        <v>COLORANTE CONCENTRADO ACOTONE GR1 VERDE X 0,720</v>
      </c>
      <c r="C765" s="1" t="str">
        <f>'001'!D765</f>
        <v>0108</v>
      </c>
      <c r="D765" s="3" t="e">
        <f>'001'!H765</f>
        <v>#VALUE!</v>
      </c>
    </row>
    <row r="766" spans="1:4" x14ac:dyDescent="0.25">
      <c r="A766" s="1" t="str">
        <f>'001'!B766</f>
        <v>001020</v>
      </c>
      <c r="B766" s="1" t="str">
        <f>'001'!C766</f>
        <v>COLORANTE CONCENTRADO ACOTONE YE2 AMARILLO VERDOSO X 0,720</v>
      </c>
      <c r="C766" s="1" t="str">
        <f>'001'!D766</f>
        <v>0108</v>
      </c>
      <c r="D766" s="3" t="e">
        <f>'001'!H766</f>
        <v>#VALUE!</v>
      </c>
    </row>
    <row r="767" spans="1:4" x14ac:dyDescent="0.25">
      <c r="A767" s="1" t="str">
        <f>'001'!B767</f>
        <v>001021</v>
      </c>
      <c r="B767" s="1" t="str">
        <f>'001'!C767</f>
        <v>PINCEL 40 ANOS MERCURIO</v>
      </c>
      <c r="C767" s="1" t="str">
        <f>'001'!D767</f>
        <v>0144</v>
      </c>
      <c r="D767" s="3" t="e">
        <f>'001'!H767</f>
        <v>#VALUE!</v>
      </c>
    </row>
    <row r="768" spans="1:4" x14ac:dyDescent="0.25">
      <c r="A768" s="1" t="str">
        <f>'001'!B768</f>
        <v>001022</v>
      </c>
      <c r="B768" s="1" t="str">
        <f>'001'!C768</f>
        <v>COLORANTE CONCENTRADO ACOTONE OR1 NARANJA X 0,720</v>
      </c>
      <c r="C768" s="1" t="str">
        <f>'001'!D768</f>
        <v>0108</v>
      </c>
      <c r="D768" s="3" t="e">
        <f>'001'!H768</f>
        <v>#VALUE!</v>
      </c>
    </row>
    <row r="769" spans="1:4" x14ac:dyDescent="0.25">
      <c r="A769" s="1" t="str">
        <f>'001'!B769</f>
        <v>001023</v>
      </c>
      <c r="B769" s="1" t="str">
        <f>'001'!C769</f>
        <v>COLORANTE CONCENTRADO ACOTONE RE1 ROJO INTENSO X 0,720</v>
      </c>
      <c r="C769" s="1" t="str">
        <f>'001'!D769</f>
        <v>0108</v>
      </c>
      <c r="D769" s="3" t="e">
        <f>'001'!H769</f>
        <v>#VALUE!</v>
      </c>
    </row>
    <row r="770" spans="1:4" x14ac:dyDescent="0.25">
      <c r="A770" s="1" t="str">
        <f>'001'!B770</f>
        <v>001024</v>
      </c>
      <c r="B770" s="1" t="str">
        <f>'001'!C770</f>
        <v>COLORANTE CONCENTRADO ACOTONE BU2 AZUL CLARO X 0,720</v>
      </c>
      <c r="C770" s="1" t="str">
        <f>'001'!D770</f>
        <v>0108</v>
      </c>
      <c r="D770" s="3" t="e">
        <f>'001'!H770</f>
        <v>#VALUE!</v>
      </c>
    </row>
    <row r="771" spans="1:4" x14ac:dyDescent="0.25">
      <c r="A771" s="1" t="str">
        <f>'001'!B771</f>
        <v>001025</v>
      </c>
      <c r="B771" s="1" t="str">
        <f>'001'!C771</f>
        <v>COLORANTE CONCENTRADO ACOTONE NO1 NEGRO  X 0,720</v>
      </c>
      <c r="C771" s="1" t="str">
        <f>'001'!D771</f>
        <v>0108</v>
      </c>
      <c r="D771" s="3" t="e">
        <f>'001'!H771</f>
        <v>#VALUE!</v>
      </c>
    </row>
    <row r="772" spans="1:4" x14ac:dyDescent="0.25">
      <c r="A772" s="1" t="str">
        <f>'001'!B772</f>
        <v>001026</v>
      </c>
      <c r="B772" s="1" t="str">
        <f>'001'!C772</f>
        <v>IMPERMEABILIZANTE MAGIPLAST 295 TRANSPARENTE X 0,500</v>
      </c>
      <c r="C772" s="1" t="str">
        <f>'001'!D772</f>
        <v>0129</v>
      </c>
      <c r="D772" s="3" t="e">
        <f>'001'!H772</f>
        <v>#VALUE!</v>
      </c>
    </row>
    <row r="773" spans="1:4" x14ac:dyDescent="0.25">
      <c r="A773" s="1" t="str">
        <f>'001'!B773</f>
        <v>001027</v>
      </c>
      <c r="B773" s="1" t="str">
        <f>'001'!C773</f>
        <v>IMPERMEABILIZANTE MAGIPLAST 295 TRANSPARENTE X 1</v>
      </c>
      <c r="C773" s="1" t="str">
        <f>'001'!D773</f>
        <v>0129</v>
      </c>
      <c r="D773" s="3" t="e">
        <f>'001'!H773</f>
        <v>#VALUE!</v>
      </c>
    </row>
    <row r="774" spans="1:4" x14ac:dyDescent="0.25">
      <c r="A774" s="1" t="str">
        <f>'001'!B774</f>
        <v>001028</v>
      </c>
      <c r="B774" s="1" t="str">
        <f>'001'!C774</f>
        <v>IMPERMEABILIZANTE MAGIPLAST 295 TRANSPARENTE X 5</v>
      </c>
      <c r="C774" s="1" t="str">
        <f>'001'!D774</f>
        <v>0129</v>
      </c>
      <c r="D774" s="3" t="e">
        <f>'001'!H774</f>
        <v>#VALUE!</v>
      </c>
    </row>
    <row r="775" spans="1:4" x14ac:dyDescent="0.25">
      <c r="A775" s="1" t="str">
        <f>'001'!B775</f>
        <v>001029</v>
      </c>
      <c r="B775" s="1" t="str">
        <f>'001'!C775</f>
        <v>TACO DE GOMA MEDIANA</v>
      </c>
      <c r="C775" s="1" t="str">
        <f>'001'!D775</f>
        <v>0127</v>
      </c>
      <c r="D775" s="3" t="e">
        <f>'001'!H775</f>
        <v>#VALUE!</v>
      </c>
    </row>
    <row r="776" spans="1:4" x14ac:dyDescent="0.25">
      <c r="A776" s="1" t="str">
        <f>'001'!B776</f>
        <v>001030</v>
      </c>
      <c r="B776" s="1" t="str">
        <f>'001'!C776</f>
        <v>CINTA PARA MOLDURA DOBLE A 12 MM X 10M</v>
      </c>
      <c r="C776" s="1" t="str">
        <f>'001'!D776</f>
        <v>0102</v>
      </c>
      <c r="D776" s="3" t="e">
        <f>'001'!H776</f>
        <v>#VALUE!</v>
      </c>
    </row>
    <row r="777" spans="1:4" x14ac:dyDescent="0.25">
      <c r="A777" s="1" t="str">
        <f>'001'!B777</f>
        <v>001031</v>
      </c>
      <c r="B777" s="1" t="str">
        <f>'001'!C777</f>
        <v>BANDEJA PARA PINTAR PLASTICA MINI (003)</v>
      </c>
      <c r="C777" s="1" t="str">
        <f>'001'!D777</f>
        <v>0144</v>
      </c>
      <c r="D777" s="3" t="e">
        <f>'001'!H777</f>
        <v>#VALUE!</v>
      </c>
    </row>
    <row r="778" spans="1:4" x14ac:dyDescent="0.25">
      <c r="A778" s="1" t="str">
        <f>'001'!B778</f>
        <v>001033</v>
      </c>
      <c r="B778" s="1" t="str">
        <f>'001'!C778</f>
        <v>BARNIZ SINTETICO PARA MADERA INTERIOR PLAVICON BRILLANTE INCOLORO X  0,250</v>
      </c>
      <c r="C778" s="1" t="str">
        <f>'001'!D778</f>
        <v>0139</v>
      </c>
      <c r="D778" s="3" t="e">
        <f>'001'!H778</f>
        <v>#VALUE!</v>
      </c>
    </row>
    <row r="779" spans="1:4" x14ac:dyDescent="0.25">
      <c r="A779" s="1" t="str">
        <f>'001'!B779</f>
        <v>001034</v>
      </c>
      <c r="B779" s="1" t="str">
        <f>'001'!C779</f>
        <v>BARNIZ SINTETICO PARA MADERA INTERIOR PLAVICON BRILLANTE INCOLORO X  0,500</v>
      </c>
      <c r="C779" s="1" t="str">
        <f>'001'!D779</f>
        <v>0139</v>
      </c>
      <c r="D779" s="3" t="e">
        <f>'001'!H779</f>
        <v>#VALUE!</v>
      </c>
    </row>
    <row r="780" spans="1:4" x14ac:dyDescent="0.25">
      <c r="A780" s="1" t="str">
        <f>'001'!B780</f>
        <v>001035</v>
      </c>
      <c r="B780" s="1" t="str">
        <f>'001'!C780</f>
        <v>BARNIZ SINTETICO PARA MADERA INTERIOR PLAVICON BRILLANTE INCOLORO X  1</v>
      </c>
      <c r="C780" s="1" t="str">
        <f>'001'!D780</f>
        <v>0139</v>
      </c>
      <c r="D780" s="3" t="e">
        <f>'001'!H780</f>
        <v>#VALUE!</v>
      </c>
    </row>
    <row r="781" spans="1:4" x14ac:dyDescent="0.25">
      <c r="A781" s="1" t="str">
        <f>'001'!B781</f>
        <v>001036</v>
      </c>
      <c r="B781" s="1" t="str">
        <f>'001'!C781</f>
        <v>BARNIZ SINTETICO PARA MADERA INTERIOR PLAVICON BRILLANTE INCOLORO X  4</v>
      </c>
      <c r="C781" s="1" t="str">
        <f>'001'!D781</f>
        <v>0139</v>
      </c>
      <c r="D781" s="3" t="e">
        <f>'001'!H781</f>
        <v>#VALUE!</v>
      </c>
    </row>
    <row r="782" spans="1:4" x14ac:dyDescent="0.25">
      <c r="A782" s="1" t="str">
        <f>'001'!B782</f>
        <v>001037</v>
      </c>
      <c r="B782" s="1" t="str">
        <f>'001'!C782</f>
        <v>BARNIZ SINTETICO PARA MADERA INTERIOR PLAVICON BRILLANTE INCOLORO X 20</v>
      </c>
      <c r="C782" s="1" t="str">
        <f>'001'!D782</f>
        <v>0139</v>
      </c>
      <c r="D782" s="3" t="e">
        <f>'001'!H782</f>
        <v>#VALUE!</v>
      </c>
    </row>
    <row r="783" spans="1:4" x14ac:dyDescent="0.25">
      <c r="A783" s="1" t="str">
        <f>'001'!B783</f>
        <v>001038</v>
      </c>
      <c r="B783" s="1" t="str">
        <f>'001'!C783</f>
        <v>PINCELETA ROSARPIN 2008 C.CH.40</v>
      </c>
      <c r="C783" s="1" t="str">
        <f>'001'!D783</f>
        <v>0144</v>
      </c>
      <c r="D783" s="3" t="e">
        <f>'001'!H783</f>
        <v>#VALUE!</v>
      </c>
    </row>
    <row r="784" spans="1:4" x14ac:dyDescent="0.25">
      <c r="A784" s="1" t="str">
        <f>'001'!B784</f>
        <v>001039</v>
      </c>
      <c r="B784" s="1" t="str">
        <f>'001'!C784</f>
        <v>CINTA PARA MOLDURA DOBLE A 18 MM X 10M</v>
      </c>
      <c r="C784" s="1" t="str">
        <f>'001'!D784</f>
        <v>0102</v>
      </c>
      <c r="D784" s="3" t="e">
        <f>'001'!H784</f>
        <v>#VALUE!</v>
      </c>
    </row>
    <row r="785" spans="1:4" x14ac:dyDescent="0.25">
      <c r="A785" s="1" t="str">
        <f>'001'!B785</f>
        <v>001040</v>
      </c>
      <c r="B785" s="1" t="str">
        <f>'001'!C785</f>
        <v>CINTA PARA MOLDURA DOBLE A 24MM X 10M</v>
      </c>
      <c r="C785" s="1" t="str">
        <f>'001'!D785</f>
        <v>0102</v>
      </c>
      <c r="D785" s="3" t="e">
        <f>'001'!H785</f>
        <v>#VALUE!</v>
      </c>
    </row>
    <row r="786" spans="1:4" x14ac:dyDescent="0.25">
      <c r="A786" s="1" t="str">
        <f>'001'!B786</f>
        <v>001042</v>
      </c>
      <c r="B786" s="1" t="str">
        <f>'001'!C786</f>
        <v>RODILLO LUMAR LANA BLANCO 10 (210A)</v>
      </c>
      <c r="C786" s="1" t="str">
        <f>'001'!D786</f>
        <v>0128</v>
      </c>
      <c r="D786" s="3" t="e">
        <f>'001'!H786</f>
        <v>#VALUE!</v>
      </c>
    </row>
    <row r="787" spans="1:4" x14ac:dyDescent="0.25">
      <c r="A787" s="1" t="str">
        <f>'001'!B787</f>
        <v>001044</v>
      </c>
      <c r="B787" s="1" t="str">
        <f>'001'!C787</f>
        <v>BARNIZ ULTRAMARINO PARA MADERA EXTERIOR PLAVICON BRILLANTE INCOLORO X  0,500</v>
      </c>
      <c r="C787" s="1" t="str">
        <f>'001'!D787</f>
        <v>0139</v>
      </c>
      <c r="D787" s="3" t="e">
        <f>'001'!H787</f>
        <v>#VALUE!</v>
      </c>
    </row>
    <row r="788" spans="1:4" x14ac:dyDescent="0.25">
      <c r="A788" s="1" t="str">
        <f>'001'!B788</f>
        <v>001045</v>
      </c>
      <c r="B788" s="1" t="str">
        <f>'001'!C788</f>
        <v>BARNIZ ULTRAMARINO PARA MADERA EXTERIOR PLAVICON BRILLANTE INCOLORO X  1</v>
      </c>
      <c r="C788" s="1" t="str">
        <f>'001'!D788</f>
        <v>0139</v>
      </c>
      <c r="D788" s="3" t="e">
        <f>'001'!H788</f>
        <v>#VALUE!</v>
      </c>
    </row>
    <row r="789" spans="1:4" x14ac:dyDescent="0.25">
      <c r="A789" s="1" t="str">
        <f>'001'!B789</f>
        <v>001047</v>
      </c>
      <c r="B789" s="1" t="str">
        <f>'001'!C789</f>
        <v>BURLETE T PERFECT FOAM ESP X MT</v>
      </c>
      <c r="C789" s="1" t="str">
        <f>'001'!D789</f>
        <v>0156</v>
      </c>
      <c r="D789" s="3" t="e">
        <f>'001'!H789</f>
        <v>#VALUE!</v>
      </c>
    </row>
    <row r="790" spans="1:4" x14ac:dyDescent="0.25">
      <c r="A790" s="1" t="str">
        <f>'001'!B790</f>
        <v>001052</v>
      </c>
      <c r="B790" s="1" t="str">
        <f>'001'!C790</f>
        <v>CINTA POLI DOBLE A MARRON (293) 48MM X 50MTS.</v>
      </c>
      <c r="C790" s="1" t="str">
        <f>'001'!D790</f>
        <v>0102</v>
      </c>
      <c r="D790" s="3" t="e">
        <f>'001'!H790</f>
        <v>#VALUE!</v>
      </c>
    </row>
    <row r="791" spans="1:4" x14ac:dyDescent="0.25">
      <c r="A791" s="1" t="str">
        <f>'001'!B791</f>
        <v>001053</v>
      </c>
      <c r="B791" s="1" t="str">
        <f>'001'!C791</f>
        <v>TACO DE GOMA GRANDE</v>
      </c>
      <c r="C791" s="1" t="str">
        <f>'001'!D791</f>
        <v>0127</v>
      </c>
      <c r="D791" s="3" t="e">
        <f>'001'!H791</f>
        <v>#VALUE!</v>
      </c>
    </row>
    <row r="792" spans="1:4" x14ac:dyDescent="0.25">
      <c r="A792" s="1" t="str">
        <f>'001'!B792</f>
        <v>001054</v>
      </c>
      <c r="B792" s="1" t="str">
        <f>'001'!C792</f>
        <v>AUTOPOLISH COLORIN AUTOCERA PROFESIONAL X 0,900</v>
      </c>
      <c r="C792" s="1" t="str">
        <f>'001'!D792</f>
        <v>0166</v>
      </c>
      <c r="D792" s="3" t="e">
        <f>'001'!H792</f>
        <v>#VALUE!</v>
      </c>
    </row>
    <row r="793" spans="1:4" x14ac:dyDescent="0.25">
      <c r="A793" s="1" t="str">
        <f>'001'!B793</f>
        <v>001055</v>
      </c>
      <c r="B793" s="1" t="str">
        <f>'001'!C793</f>
        <v>AEROSOL TERSUAVE ESMALTE SINTETICO ALTA TEMPERATURA BLANCO X 0,250</v>
      </c>
      <c r="C793" s="1" t="str">
        <f>'001'!D793</f>
        <v>0152</v>
      </c>
      <c r="D793" s="3" t="e">
        <f>'001'!H793</f>
        <v>#VALUE!</v>
      </c>
    </row>
    <row r="794" spans="1:4" x14ac:dyDescent="0.25">
      <c r="A794" s="1" t="str">
        <f>'001'!B794</f>
        <v>001056</v>
      </c>
      <c r="B794" s="1" t="str">
        <f>'001'!C794</f>
        <v>BARNIZ ULTRAMARINO PARA MADERA EXTERIOR PLAVICON BRILLANTE INCOLORO X  4</v>
      </c>
      <c r="C794" s="1" t="str">
        <f>'001'!D794</f>
        <v>0139</v>
      </c>
      <c r="D794" s="3" t="e">
        <f>'001'!H794</f>
        <v>#VALUE!</v>
      </c>
    </row>
    <row r="795" spans="1:4" x14ac:dyDescent="0.25">
      <c r="A795" s="1" t="str">
        <f>'001'!B795</f>
        <v>001057</v>
      </c>
      <c r="B795" s="1" t="str">
        <f>'001'!C795</f>
        <v>BARNIZ ULTRAMARINO PARA MADERA EXTERIOR PLAVICON BRILLANTE INCOLORO X 20</v>
      </c>
      <c r="C795" s="1" t="str">
        <f>'001'!D795</f>
        <v>0139</v>
      </c>
      <c r="D795" s="3" t="e">
        <f>'001'!H795</f>
        <v>#VALUE!</v>
      </c>
    </row>
    <row r="796" spans="1:4" x14ac:dyDescent="0.25">
      <c r="A796" s="1" t="str">
        <f>'001'!B796</f>
        <v>001059</v>
      </c>
      <c r="B796" s="1" t="str">
        <f>'001'!C796</f>
        <v>BARNIZ MARINO PARA MADERA EXTERIOR PLAVICON BRILLANTE INCOLORO X  0,500</v>
      </c>
      <c r="C796" s="1" t="str">
        <f>'001'!D796</f>
        <v>0139</v>
      </c>
      <c r="D796" s="3" t="e">
        <f>'001'!H796</f>
        <v>#VALUE!</v>
      </c>
    </row>
    <row r="797" spans="1:4" x14ac:dyDescent="0.25">
      <c r="A797" s="1" t="str">
        <f>'001'!B797</f>
        <v>001060</v>
      </c>
      <c r="B797" s="1" t="str">
        <f>'001'!C797</f>
        <v>LAMINA PARA MASILLAR  8 X 10</v>
      </c>
      <c r="C797" s="1" t="str">
        <f>'001'!D797</f>
        <v>0179</v>
      </c>
      <c r="D797" s="3" t="e">
        <f>'001'!H797</f>
        <v>#VALUE!</v>
      </c>
    </row>
    <row r="798" spans="1:4" x14ac:dyDescent="0.25">
      <c r="A798" s="1" t="str">
        <f>'001'!B798</f>
        <v>001061</v>
      </c>
      <c r="B798" s="1" t="str">
        <f>'001'!C798</f>
        <v>LAMINA PARA MASILLAR 10 X 14</v>
      </c>
      <c r="C798" s="1" t="str">
        <f>'001'!D798</f>
        <v>0179</v>
      </c>
      <c r="D798" s="3" t="e">
        <f>'001'!H798</f>
        <v>#VALUE!</v>
      </c>
    </row>
    <row r="799" spans="1:4" x14ac:dyDescent="0.25">
      <c r="A799" s="1" t="str">
        <f>'001'!B799</f>
        <v>001065</v>
      </c>
      <c r="B799" s="1" t="str">
        <f>'001'!C799</f>
        <v>BARNIZ MARINO PARA MADERA EXTERIOR PLAVICON BRILLANTE INCOLORO X  1</v>
      </c>
      <c r="C799" s="1" t="str">
        <f>'001'!D799</f>
        <v>0139</v>
      </c>
      <c r="D799" s="3" t="e">
        <f>'001'!H799</f>
        <v>#VALUE!</v>
      </c>
    </row>
    <row r="800" spans="1:4" x14ac:dyDescent="0.25">
      <c r="A800" s="1" t="str">
        <f>'001'!B800</f>
        <v>001066</v>
      </c>
      <c r="B800" s="1" t="str">
        <f>'001'!C800</f>
        <v>BARNIZ MARINO PARA MADERA EXTERIOR PLAVICON BRILLANTE INCOLORO X  4</v>
      </c>
      <c r="C800" s="1" t="str">
        <f>'001'!D800</f>
        <v>0139</v>
      </c>
      <c r="D800" s="3" t="e">
        <f>'001'!H800</f>
        <v>#VALUE!</v>
      </c>
    </row>
    <row r="801" spans="1:4" x14ac:dyDescent="0.25">
      <c r="A801" s="1" t="str">
        <f>'001'!B801</f>
        <v>001067</v>
      </c>
      <c r="B801" s="1" t="str">
        <f>'001'!C801</f>
        <v>BARNIZ MARINO PARA MADERA EXTERIOR PLAVICON BRILLANTE INCOLORO X 20</v>
      </c>
      <c r="C801" s="1" t="str">
        <f>'001'!D801</f>
        <v>0139</v>
      </c>
      <c r="D801" s="3" t="e">
        <f>'001'!H801</f>
        <v>#VALUE!</v>
      </c>
    </row>
    <row r="802" spans="1:4" x14ac:dyDescent="0.25">
      <c r="A802" s="1" t="str">
        <f>'001'!B802</f>
        <v>001074</v>
      </c>
      <c r="B802" s="1" t="str">
        <f>'001'!C802</f>
        <v>IMPREGNANTE PARA MADERA PLAVICON LASUR BRILLANTE ROBLE X  1</v>
      </c>
      <c r="C802" s="1" t="str">
        <f>'001'!D802</f>
        <v>0139</v>
      </c>
      <c r="D802" s="3" t="e">
        <f>'001'!H802</f>
        <v>#VALUE!</v>
      </c>
    </row>
    <row r="803" spans="1:4" x14ac:dyDescent="0.25">
      <c r="A803" s="1" t="str">
        <f>'001'!B803</f>
        <v>001075</v>
      </c>
      <c r="B803" s="1" t="str">
        <f>'001'!C803</f>
        <v>IMPREGNANTE PARA MADERA PLAVICON LASUR BRILLANTE ROBLE X  4</v>
      </c>
      <c r="C803" s="1" t="str">
        <f>'001'!D803</f>
        <v>0139</v>
      </c>
      <c r="D803" s="3" t="e">
        <f>'001'!H803</f>
        <v>#VALUE!</v>
      </c>
    </row>
    <row r="804" spans="1:4" x14ac:dyDescent="0.25">
      <c r="A804" s="1" t="str">
        <f>'001'!B804</f>
        <v>001076</v>
      </c>
      <c r="B804" s="1" t="str">
        <f>'001'!C804</f>
        <v>AEROSOL TERSUAVE ESMALTE SINTETICO ALTA TEMPERATURA ALUMINIO X 0,250</v>
      </c>
      <c r="C804" s="1" t="str">
        <f>'001'!D804</f>
        <v>0152</v>
      </c>
      <c r="D804" s="3" t="e">
        <f>'001'!H804</f>
        <v>#VALUE!</v>
      </c>
    </row>
    <row r="805" spans="1:4" x14ac:dyDescent="0.25">
      <c r="A805" s="1" t="str">
        <f>'001'!B805</f>
        <v>001077</v>
      </c>
      <c r="B805" s="1" t="str">
        <f>'001'!C805</f>
        <v>AEROSOL RUST-OLEUM SP METALICO ORO X 0,312(272071)</v>
      </c>
      <c r="C805" s="1" t="str">
        <f>'001'!D805</f>
        <v>0146</v>
      </c>
      <c r="D805" s="3" t="e">
        <f>'001'!H805</f>
        <v>#VALUE!</v>
      </c>
    </row>
    <row r="806" spans="1:4" x14ac:dyDescent="0.25">
      <c r="A806" s="1" t="str">
        <f>'001'!B806</f>
        <v>001078</v>
      </c>
      <c r="B806" s="1" t="str">
        <f>'001'!C806</f>
        <v>AEROSOL RUST-OLEUM SP METALICO PLATA X 0,312 (272073)</v>
      </c>
      <c r="C806" s="1" t="str">
        <f>'001'!D806</f>
        <v>0146</v>
      </c>
      <c r="D806" s="3" t="e">
        <f>'001'!H806</f>
        <v>#VALUE!</v>
      </c>
    </row>
    <row r="807" spans="1:4" x14ac:dyDescent="0.25">
      <c r="A807" s="1" t="str">
        <f>'001'!B807</f>
        <v>001079</v>
      </c>
      <c r="B807" s="1" t="str">
        <f>'001'!C807</f>
        <v>AEROSOL TERSUAVE ESMALTE SINTETICO ALTA TEMPERATURA NEGRO X 0,250</v>
      </c>
      <c r="C807" s="1" t="str">
        <f>'001'!D807</f>
        <v>0152</v>
      </c>
      <c r="D807" s="3" t="e">
        <f>'001'!H807</f>
        <v>#VALUE!</v>
      </c>
    </row>
    <row r="808" spans="1:4" x14ac:dyDescent="0.25">
      <c r="A808" s="1" t="str">
        <f>'001'!B808</f>
        <v>001080</v>
      </c>
      <c r="B808" s="1" t="str">
        <f>'001'!C808</f>
        <v>AEROSOL RUST-OLEUM SP METALICO COBRE X 0,312(272075)</v>
      </c>
      <c r="C808" s="1" t="str">
        <f>'001'!D808</f>
        <v>0146</v>
      </c>
      <c r="D808" s="3" t="e">
        <f>'001'!H808</f>
        <v>#VALUE!</v>
      </c>
    </row>
    <row r="809" spans="1:4" x14ac:dyDescent="0.25">
      <c r="A809" s="1" t="str">
        <f>'001'!B809</f>
        <v>001081</v>
      </c>
      <c r="B809" s="1" t="str">
        <f>'001'!C809</f>
        <v>AEROSOL RUST-OLEUM SP METALICO BRONCE X 0,312 (272074)</v>
      </c>
      <c r="C809" s="1" t="str">
        <f>'001'!D809</f>
        <v>0146</v>
      </c>
      <c r="D809" s="3" t="e">
        <f>'001'!H809</f>
        <v>#VALUE!</v>
      </c>
    </row>
    <row r="810" spans="1:4" x14ac:dyDescent="0.25">
      <c r="A810" s="1" t="str">
        <f>'001'!B810</f>
        <v>001082</v>
      </c>
      <c r="B810" s="1" t="str">
        <f>'001'!C810</f>
        <v>AEROSOL RUST-OLEUM UC BRILLANTE OCEANO X 0,340(201017)</v>
      </c>
      <c r="C810" s="1" t="str">
        <f>'001'!D810</f>
        <v>0146</v>
      </c>
      <c r="D810" s="3" t="e">
        <f>'001'!H810</f>
        <v>#VALUE!</v>
      </c>
    </row>
    <row r="811" spans="1:4" x14ac:dyDescent="0.25">
      <c r="A811" s="1" t="str">
        <f>'001'!B811</f>
        <v>001083</v>
      </c>
      <c r="B811" s="1" t="str">
        <f>'001'!C811</f>
        <v>AEROSOL RUST-OLEUM UC BRILLANTE CORAL X 0,340(292323)</v>
      </c>
      <c r="C811" s="1" t="str">
        <f>'001'!D811</f>
        <v>0146</v>
      </c>
      <c r="D811" s="3" t="e">
        <f>'001'!H811</f>
        <v>#VALUE!</v>
      </c>
    </row>
    <row r="812" spans="1:4" x14ac:dyDescent="0.25">
      <c r="A812" s="1" t="str">
        <f>'001'!B812</f>
        <v>001093</v>
      </c>
      <c r="B812" s="1" t="str">
        <f>'001'!C812</f>
        <v>AEROSOL RUST-OLEUM UC BRILLANTE TURQUESA X 0,340(279247)</v>
      </c>
      <c r="C812" s="1" t="str">
        <f>'001'!D812</f>
        <v>0146</v>
      </c>
      <c r="D812" s="3" t="e">
        <f>'001'!H812</f>
        <v>#VALUE!</v>
      </c>
    </row>
    <row r="813" spans="1:4" x14ac:dyDescent="0.25">
      <c r="A813" s="1" t="str">
        <f>'001'!B813</f>
        <v>001094</v>
      </c>
      <c r="B813" s="1" t="str">
        <f>'001'!C813</f>
        <v>CEPILLO ACERO CON MANGO 4X19</v>
      </c>
      <c r="C813" s="1" t="str">
        <f>'001'!D813</f>
        <v>0144</v>
      </c>
      <c r="D813" s="3" t="e">
        <f>'001'!H813</f>
        <v>#VALUE!</v>
      </c>
    </row>
    <row r="814" spans="1:4" x14ac:dyDescent="0.25">
      <c r="A814" s="1" t="str">
        <f>'001'!B814</f>
        <v>001095</v>
      </c>
      <c r="B814" s="1" t="str">
        <f>'001'!C814</f>
        <v>CEPILLO ACERO SIN MANGO 6X19</v>
      </c>
      <c r="C814" s="1" t="str">
        <f>'001'!D814</f>
        <v>0144</v>
      </c>
      <c r="D814" s="3" t="e">
        <f>'001'!H814</f>
        <v>#VALUE!</v>
      </c>
    </row>
    <row r="815" spans="1:4" x14ac:dyDescent="0.25">
      <c r="A815" s="1" t="str">
        <f>'001'!B815</f>
        <v>001096</v>
      </c>
      <c r="B815" s="1" t="str">
        <f>'001'!C815</f>
        <v>AEROSOL RUST-OLEUM UC BRILLANTE PURPURA X 0,340(313391)</v>
      </c>
      <c r="C815" s="1" t="str">
        <f>'001'!D815</f>
        <v>0146</v>
      </c>
      <c r="D815" s="3" t="e">
        <f>'001'!H815</f>
        <v>#VALUE!</v>
      </c>
    </row>
    <row r="816" spans="1:4" x14ac:dyDescent="0.25">
      <c r="A816" s="1" t="str">
        <f>'001'!B816</f>
        <v>001097</v>
      </c>
      <c r="B816" s="1" t="str">
        <f>'001'!C816</f>
        <v>CINTA DE ALUMINIO DOBLE A 48MM X 25MTS.</v>
      </c>
      <c r="C816" s="1" t="str">
        <f>'001'!D816</f>
        <v>0102</v>
      </c>
      <c r="D816" s="3" t="e">
        <f>'001'!H816</f>
        <v>#VALUE!</v>
      </c>
    </row>
    <row r="817" spans="1:4" x14ac:dyDescent="0.25">
      <c r="A817" s="1" t="str">
        <f>'001'!B817</f>
        <v>001099</v>
      </c>
      <c r="B817" s="1" t="str">
        <f>'001'!C817</f>
        <v>AEROSOL RUST-OLEUM UC BRILLANTE BLANCO NARANJO X 0,340(262200)</v>
      </c>
      <c r="C817" s="1" t="str">
        <f>'001'!D817</f>
        <v>0902</v>
      </c>
      <c r="D817" s="3" t="e">
        <f>'001'!H817</f>
        <v>#VALUE!</v>
      </c>
    </row>
    <row r="818" spans="1:4" x14ac:dyDescent="0.25">
      <c r="A818" s="1" t="str">
        <f>'001'!B818</f>
        <v>001100</v>
      </c>
      <c r="B818" s="1" t="str">
        <f>'001'!C818</f>
        <v>MEMBRANA ASFALTICA MEGAFLEX NO CRACK PLUS ALUMINIO 40KG X 10MTS</v>
      </c>
      <c r="C818" s="1" t="str">
        <f>'001'!D818</f>
        <v>0130</v>
      </c>
      <c r="D818" s="3" t="e">
        <f>'001'!H818</f>
        <v>#VALUE!</v>
      </c>
    </row>
    <row r="819" spans="1:4" x14ac:dyDescent="0.25">
      <c r="A819" s="1" t="str">
        <f>'001'!B819</f>
        <v>001103</v>
      </c>
      <c r="B819" s="1" t="str">
        <f>'001'!C819</f>
        <v>PASTA PULIR MMB MEDIANA X 1</v>
      </c>
      <c r="C819" s="1" t="str">
        <f>'001'!D819</f>
        <v>0902</v>
      </c>
      <c r="D819" s="3" t="e">
        <f>'001'!H819</f>
        <v>#VALUE!</v>
      </c>
    </row>
    <row r="820" spans="1:4" x14ac:dyDescent="0.25">
      <c r="A820" s="1" t="str">
        <f>'001'!B820</f>
        <v>001109</v>
      </c>
      <c r="B820" s="1" t="str">
        <f>'001'!C820</f>
        <v>CEPILLO BRONCE CURVO</v>
      </c>
      <c r="C820" s="1" t="str">
        <f>'001'!D820</f>
        <v>0144</v>
      </c>
      <c r="D820" s="3" t="e">
        <f>'001'!H820</f>
        <v>#VALUE!</v>
      </c>
    </row>
    <row r="821" spans="1:4" x14ac:dyDescent="0.25">
      <c r="A821" s="1" t="str">
        <f>'001'!B821</f>
        <v>001110</v>
      </c>
      <c r="B821" s="1" t="str">
        <f>'001'!C821</f>
        <v>LIJA AL AGUA DOBLE A # 2500 (MG)</v>
      </c>
      <c r="C821" s="1" t="str">
        <f>'001'!D821</f>
        <v>0102</v>
      </c>
      <c r="D821" s="3" t="e">
        <f>'001'!H821</f>
        <v>#VALUE!</v>
      </c>
    </row>
    <row r="822" spans="1:4" x14ac:dyDescent="0.25">
      <c r="A822" s="1" t="str">
        <f>'001'!B822</f>
        <v>001111</v>
      </c>
      <c r="B822" s="1" t="str">
        <f>'001'!C822</f>
        <v>BANDEJA PARA PINTAR PLASTICA PARA COLGAR (012)</v>
      </c>
      <c r="C822" s="1" t="str">
        <f>'001'!D822</f>
        <v>0144</v>
      </c>
      <c r="D822" s="3" t="e">
        <f>'001'!H822</f>
        <v>#VALUE!</v>
      </c>
    </row>
    <row r="823" spans="1:4" x14ac:dyDescent="0.25">
      <c r="A823" s="1" t="str">
        <f>'001'!B823</f>
        <v>001112</v>
      </c>
      <c r="B823" s="1" t="str">
        <f>'001'!C823</f>
        <v>LATEX INTERIOR PLAVIPINT MATE BLANCO X  1</v>
      </c>
      <c r="C823" s="1" t="str">
        <f>'001'!D823</f>
        <v>0139</v>
      </c>
      <c r="D823" s="3" t="e">
        <f>'001'!H823</f>
        <v>#VALUE!</v>
      </c>
    </row>
    <row r="824" spans="1:4" x14ac:dyDescent="0.25">
      <c r="A824" s="1" t="str">
        <f>'001'!B824</f>
        <v>001113</v>
      </c>
      <c r="B824" s="1" t="str">
        <f>'001'!C824</f>
        <v>LATEX INTERIOR PLAVIPINT MATE BLANCO X  4</v>
      </c>
      <c r="C824" s="1" t="str">
        <f>'001'!D824</f>
        <v>0139</v>
      </c>
      <c r="D824" s="3" t="e">
        <f>'001'!H824</f>
        <v>#VALUE!</v>
      </c>
    </row>
    <row r="825" spans="1:4" x14ac:dyDescent="0.25">
      <c r="A825" s="1" t="str">
        <f>'001'!B825</f>
        <v>001128</v>
      </c>
      <c r="B825" s="1" t="str">
        <f>'001'!C825</f>
        <v>IMPERMEABILIZANTE PARA TECHOS PU PLAVICON BLANCO X  5</v>
      </c>
      <c r="C825" s="1" t="str">
        <f>'001'!D825</f>
        <v>0139</v>
      </c>
      <c r="D825" s="3" t="e">
        <f>'001'!H825</f>
        <v>#VALUE!</v>
      </c>
    </row>
    <row r="826" spans="1:4" x14ac:dyDescent="0.25">
      <c r="A826" s="1" t="str">
        <f>'001'!B826</f>
        <v>001129</v>
      </c>
      <c r="B826" s="1" t="str">
        <f>'001'!C826</f>
        <v>IMPERMEABILIZANTE PARA TECHOS PU PLAVICON BLANCO X 12</v>
      </c>
      <c r="C826" s="1" t="str">
        <f>'001'!D826</f>
        <v>0139</v>
      </c>
      <c r="D826" s="3" t="e">
        <f>'001'!H826</f>
        <v>#VALUE!</v>
      </c>
    </row>
    <row r="827" spans="1:4" x14ac:dyDescent="0.25">
      <c r="A827" s="1" t="str">
        <f>'001'!B827</f>
        <v>001130</v>
      </c>
      <c r="B827" s="1" t="str">
        <f>'001'!C827</f>
        <v>IMPERMEABILIZANTE PARA TECHOS PU PLAVICON BLANCO X 25</v>
      </c>
      <c r="C827" s="1" t="str">
        <f>'001'!D827</f>
        <v>0139</v>
      </c>
      <c r="D827" s="3" t="e">
        <f>'001'!H827</f>
        <v>#VALUE!</v>
      </c>
    </row>
    <row r="828" spans="1:4" x14ac:dyDescent="0.25">
      <c r="A828" s="1" t="str">
        <f>'001'!B828</f>
        <v>001144</v>
      </c>
      <c r="B828" s="1" t="str">
        <f>'001'!C828</f>
        <v>ESCALERA DE MADERA SIN FIN FAMILIAR SIMPLE 3</v>
      </c>
      <c r="C828" s="1" t="str">
        <f>'001'!D828</f>
        <v>0149</v>
      </c>
      <c r="D828" s="3" t="e">
        <f>'001'!H828</f>
        <v>#VALUE!</v>
      </c>
    </row>
    <row r="829" spans="1:4" x14ac:dyDescent="0.25">
      <c r="A829" s="1" t="str">
        <f>'001'!B829</f>
        <v>001145</v>
      </c>
      <c r="B829" s="1" t="str">
        <f>'001'!C829</f>
        <v>ESCALERA DE MADERA SIN FIN FAMILIAR SIMPLE 4</v>
      </c>
      <c r="C829" s="1" t="str">
        <f>'001'!D829</f>
        <v>0149</v>
      </c>
      <c r="D829" s="3" t="e">
        <f>'001'!H829</f>
        <v>#VALUE!</v>
      </c>
    </row>
    <row r="830" spans="1:4" x14ac:dyDescent="0.25">
      <c r="A830" s="1" t="str">
        <f>'001'!B830</f>
        <v>001146</v>
      </c>
      <c r="B830" s="1" t="str">
        <f>'001'!C830</f>
        <v>LATEX INTERIOR PLAVIPINT MATE BLANCO X 10</v>
      </c>
      <c r="C830" s="1" t="str">
        <f>'001'!D830</f>
        <v>0139</v>
      </c>
      <c r="D830" s="3" t="e">
        <f>'001'!H830</f>
        <v>#VALUE!</v>
      </c>
    </row>
    <row r="831" spans="1:4" x14ac:dyDescent="0.25">
      <c r="A831" s="1" t="str">
        <f>'001'!B831</f>
        <v>001147</v>
      </c>
      <c r="B831" s="1" t="str">
        <f>'001'!C831</f>
        <v>LATEX INTERIOR PLAVIPINT MATE BLANCO X 20</v>
      </c>
      <c r="C831" s="1" t="str">
        <f>'001'!D831</f>
        <v>0139</v>
      </c>
      <c r="D831" s="3" t="e">
        <f>'001'!H831</f>
        <v>#VALUE!</v>
      </c>
    </row>
    <row r="832" spans="1:4" x14ac:dyDescent="0.25">
      <c r="A832" s="1" t="str">
        <f>'001'!B832</f>
        <v>001149</v>
      </c>
      <c r="B832" s="1" t="str">
        <f>'001'!C832</f>
        <v>LATEX INTERIOR/EXTERIOR PLAVIPINT MATE BLANCO X  1</v>
      </c>
      <c r="C832" s="1" t="str">
        <f>'001'!D832</f>
        <v>0139</v>
      </c>
      <c r="D832" s="3" t="e">
        <f>'001'!H832</f>
        <v>#VALUE!</v>
      </c>
    </row>
    <row r="833" spans="1:4" x14ac:dyDescent="0.25">
      <c r="A833" s="1" t="str">
        <f>'001'!B833</f>
        <v>001151</v>
      </c>
      <c r="B833" s="1" t="str">
        <f>'001'!C833</f>
        <v>LATEX INTERIOR/EXTERIOR PLAVIPINT MATE BLANCO X  4</v>
      </c>
      <c r="C833" s="1" t="str">
        <f>'001'!D833</f>
        <v>0139</v>
      </c>
      <c r="D833" s="3" t="e">
        <f>'001'!H833</f>
        <v>#VALUE!</v>
      </c>
    </row>
    <row r="834" spans="1:4" x14ac:dyDescent="0.25">
      <c r="A834" s="1" t="str">
        <f>'001'!B834</f>
        <v>001152</v>
      </c>
      <c r="B834" s="1" t="str">
        <f>'001'!C834</f>
        <v>LATEX INTERIOR/EXTERIOR PLAVIPINT MATE BLANCO X 10</v>
      </c>
      <c r="C834" s="1" t="str">
        <f>'001'!D834</f>
        <v>0139</v>
      </c>
      <c r="D834" s="3" t="e">
        <f>'001'!H834</f>
        <v>#VALUE!</v>
      </c>
    </row>
    <row r="835" spans="1:4" x14ac:dyDescent="0.25">
      <c r="A835" s="1" t="str">
        <f>'001'!B835</f>
        <v>001153</v>
      </c>
      <c r="B835" s="1" t="str">
        <f>'001'!C835</f>
        <v>LATEX INTERIOR/EXTERIOR PLAVIPINT MATE BLANCO X 20</v>
      </c>
      <c r="C835" s="1" t="str">
        <f>'001'!D835</f>
        <v>0139</v>
      </c>
      <c r="D835" s="3" t="e">
        <f>'001'!H835</f>
        <v>#VALUE!</v>
      </c>
    </row>
    <row r="836" spans="1:4" x14ac:dyDescent="0.25">
      <c r="A836" s="1" t="str">
        <f>'001'!B836</f>
        <v>001154</v>
      </c>
      <c r="B836" s="1" t="str">
        <f>'001'!C836</f>
        <v>MASILLA POLIESTER ZEOCAR UNICA X 1,45 (60)</v>
      </c>
      <c r="C836" s="1" t="str">
        <f>'001'!D836</f>
        <v>0157</v>
      </c>
      <c r="D836" s="3" t="e">
        <f>'001'!H836</f>
        <v>#VALUE!</v>
      </c>
    </row>
    <row r="837" spans="1:4" x14ac:dyDescent="0.25">
      <c r="A837" s="1" t="str">
        <f>'001'!B837</f>
        <v>001157</v>
      </c>
      <c r="B837" s="1" t="str">
        <f>'001'!C837</f>
        <v>AEROSOL RUST-OLEUM SP LACA BRILLANTE TRANSPARENTE X 0,312(272121)</v>
      </c>
      <c r="C837" s="1" t="str">
        <f>'001'!D837</f>
        <v>0146</v>
      </c>
      <c r="D837" s="3" t="e">
        <f>'001'!H837</f>
        <v>#VALUE!</v>
      </c>
    </row>
    <row r="838" spans="1:4" x14ac:dyDescent="0.25">
      <c r="A838" s="1" t="str">
        <f>'001'!B838</f>
        <v>001158</v>
      </c>
      <c r="B838" s="1" t="str">
        <f>'001'!C838</f>
        <v>EXTENSOR DE ACERO ROSARPIN1,50-3,00 M.</v>
      </c>
      <c r="C838" s="1" t="str">
        <f>'001'!D838</f>
        <v>0144</v>
      </c>
      <c r="D838" s="3" t="e">
        <f>'001'!H838</f>
        <v>#VALUE!</v>
      </c>
    </row>
    <row r="839" spans="1:4" x14ac:dyDescent="0.25">
      <c r="A839" s="1" t="str">
        <f>'001'!B839</f>
        <v>001159</v>
      </c>
      <c r="B839" s="1" t="str">
        <f>'001'!C839</f>
        <v>AUTOPOLISH COLORIN PASTA AL AGUA X 1,000</v>
      </c>
      <c r="C839" s="1" t="str">
        <f>'001'!D839</f>
        <v>0166</v>
      </c>
      <c r="D839" s="3" t="e">
        <f>'001'!H839</f>
        <v>#VALUE!</v>
      </c>
    </row>
    <row r="840" spans="1:4" x14ac:dyDescent="0.25">
      <c r="A840" s="1" t="str">
        <f>'001'!B840</f>
        <v>001160</v>
      </c>
      <c r="B840" s="1" t="str">
        <f>'001'!C840</f>
        <v>IMPREGNANTE PARA MADERA PLAVICON LASUR BRILLANTE ROBLE X 20</v>
      </c>
      <c r="C840" s="1" t="str">
        <f>'001'!D840</f>
        <v>0139</v>
      </c>
      <c r="D840" s="3" t="e">
        <f>'001'!H840</f>
        <v>#VALUE!</v>
      </c>
    </row>
    <row r="841" spans="1:4" x14ac:dyDescent="0.25">
      <c r="A841" s="1" t="str">
        <f>'001'!B841</f>
        <v>001162</v>
      </c>
      <c r="B841" s="1" t="str">
        <f>'001'!C841</f>
        <v>PROTECTOR SUBCARROCERIA NODULO UNDERLASTIC ANTIRRUIDO/SUBCARROC X  1</v>
      </c>
      <c r="C841" s="1" t="str">
        <f>'001'!D841</f>
        <v>0136</v>
      </c>
      <c r="D841" s="3" t="e">
        <f>'001'!H841</f>
        <v>#VALUE!</v>
      </c>
    </row>
    <row r="842" spans="1:4" x14ac:dyDescent="0.25">
      <c r="A842" s="1" t="str">
        <f>'001'!B842</f>
        <v>001163</v>
      </c>
      <c r="B842" s="1" t="str">
        <f>'001'!C842</f>
        <v>PROTECTOR SUBCARROCERIA NODULO UNDERLASTIC ANTIRRUIDO/SUBCARROC X  4</v>
      </c>
      <c r="C842" s="1" t="str">
        <f>'001'!D842</f>
        <v>0136</v>
      </c>
      <c r="D842" s="3" t="e">
        <f>'001'!H842</f>
        <v>#VALUE!</v>
      </c>
    </row>
    <row r="843" spans="1:4" x14ac:dyDescent="0.25">
      <c r="A843" s="1" t="str">
        <f>'001'!B843</f>
        <v>001164</v>
      </c>
      <c r="B843" s="1" t="str">
        <f>'001'!C843</f>
        <v>PROTECTOR SUBCARROCERIA NODULO UNDERLASTIC ANTIRRUIDO/SUBCARROC X 25</v>
      </c>
      <c r="C843" s="1" t="str">
        <f>'001'!D843</f>
        <v>0136</v>
      </c>
      <c r="D843" s="3" t="e">
        <f>'001'!H843</f>
        <v>#VALUE!</v>
      </c>
    </row>
    <row r="844" spans="1:4" x14ac:dyDescent="0.25">
      <c r="A844" s="1" t="str">
        <f>'001'!B844</f>
        <v>001166</v>
      </c>
      <c r="B844" s="1" t="str">
        <f>'001'!C844</f>
        <v>LIJA EN ROLLO DOBLE A #  36 X 1 MT</v>
      </c>
      <c r="C844" s="1" t="str">
        <f>'001'!D844</f>
        <v>0102</v>
      </c>
      <c r="D844" s="3" t="e">
        <f>'001'!H844</f>
        <v>#VALUE!</v>
      </c>
    </row>
    <row r="845" spans="1:4" x14ac:dyDescent="0.25">
      <c r="A845" s="1" t="str">
        <f>'001'!B845</f>
        <v>001168</v>
      </c>
      <c r="B845" s="1" t="str">
        <f>'001'!C845</f>
        <v>COLORANTE CONCENTRADO TERSUAVE AXX AMARILLO X 946</v>
      </c>
      <c r="C845" s="1" t="str">
        <f>'001'!D845</f>
        <v>0154</v>
      </c>
      <c r="D845" s="3" t="e">
        <f>'001'!H845</f>
        <v>#VALUE!</v>
      </c>
    </row>
    <row r="846" spans="1:4" x14ac:dyDescent="0.25">
      <c r="A846" s="1" t="str">
        <f>'001'!B846</f>
        <v>001169</v>
      </c>
      <c r="B846" s="1" t="str">
        <f>'001'!C846</f>
        <v>COLORANTE CONCENTRADO TERSUAVE B NEGRO X 0,946</v>
      </c>
      <c r="C846" s="1" t="str">
        <f>'001'!D846</f>
        <v>0154</v>
      </c>
      <c r="D846" s="3" t="e">
        <f>'001'!H846</f>
        <v>#VALUE!</v>
      </c>
    </row>
    <row r="847" spans="1:4" x14ac:dyDescent="0.25">
      <c r="A847" s="1" t="str">
        <f>'001'!B847</f>
        <v>001170</v>
      </c>
      <c r="B847" s="1" t="str">
        <f>'001'!C847</f>
        <v>COLORANTE CONCENTRADO TERSUAVE C AMARILLO OXIDO X 0,946</v>
      </c>
      <c r="C847" s="1" t="str">
        <f>'001'!D847</f>
        <v>0154</v>
      </c>
      <c r="D847" s="3" t="e">
        <f>'001'!H847</f>
        <v>#VALUE!</v>
      </c>
    </row>
    <row r="848" spans="1:4" x14ac:dyDescent="0.25">
      <c r="A848" s="1" t="str">
        <f>'001'!B848</f>
        <v>001171</v>
      </c>
      <c r="B848" s="1" t="str">
        <f>'001'!C848</f>
        <v>COLORANTE CONCENTRADO TERSUAVE D VERDE THALO X 0,946</v>
      </c>
      <c r="C848" s="1" t="str">
        <f>'001'!D848</f>
        <v>0154</v>
      </c>
      <c r="D848" s="3" t="e">
        <f>'001'!H848</f>
        <v>#VALUE!</v>
      </c>
    </row>
    <row r="849" spans="1:4" x14ac:dyDescent="0.25">
      <c r="A849" s="1" t="str">
        <f>'001'!B849</f>
        <v>001172</v>
      </c>
      <c r="B849" s="1" t="str">
        <f>'001'!C849</f>
        <v>COLORANTE CONCENTRADO TERSUAVE E AZUL THALO X 0,946</v>
      </c>
      <c r="C849" s="1" t="str">
        <f>'001'!D849</f>
        <v>0154</v>
      </c>
      <c r="D849" s="3" t="e">
        <f>'001'!H849</f>
        <v>#VALUE!</v>
      </c>
    </row>
    <row r="850" spans="1:4" x14ac:dyDescent="0.25">
      <c r="A850" s="1" t="str">
        <f>'001'!B850</f>
        <v>001173</v>
      </c>
      <c r="B850" s="1" t="str">
        <f>'001'!C850</f>
        <v>COLORANTE CONCENTRADO TERSUAVE F ROJO OXIDO X 0,946</v>
      </c>
      <c r="C850" s="1" t="str">
        <f>'001'!D850</f>
        <v>0154</v>
      </c>
      <c r="D850" s="3" t="e">
        <f>'001'!H850</f>
        <v>#VALUE!</v>
      </c>
    </row>
    <row r="851" spans="1:4" x14ac:dyDescent="0.25">
      <c r="A851" s="1" t="str">
        <f>'001'!B851</f>
        <v>001174</v>
      </c>
      <c r="B851" s="1" t="str">
        <f>'001'!C851</f>
        <v>COLORANTE CONCENTRADO TERSUAVE I MARRON OXIDO X 0,946</v>
      </c>
      <c r="C851" s="1" t="str">
        <f>'001'!D851</f>
        <v>0154</v>
      </c>
      <c r="D851" s="3" t="e">
        <f>'001'!H851</f>
        <v>#VALUE!</v>
      </c>
    </row>
    <row r="852" spans="1:4" x14ac:dyDescent="0.25">
      <c r="A852" s="1" t="str">
        <f>'001'!B852</f>
        <v>001175</v>
      </c>
      <c r="B852" s="1" t="str">
        <f>'001'!C852</f>
        <v>COLORANTE CONCENTRADO TERSUAVE KX BLANCO X 0,946</v>
      </c>
      <c r="C852" s="1" t="str">
        <f>'001'!D852</f>
        <v>0154</v>
      </c>
      <c r="D852" s="3" t="e">
        <f>'001'!H852</f>
        <v>#VALUE!</v>
      </c>
    </row>
    <row r="853" spans="1:4" x14ac:dyDescent="0.25">
      <c r="A853" s="1" t="str">
        <f>'001'!B853</f>
        <v>001176</v>
      </c>
      <c r="B853" s="1" t="str">
        <f>'001'!C853</f>
        <v>COLORANTE CONCENTRADO TERSUAVE L TIERRA SOMBRA X 0,946</v>
      </c>
      <c r="C853" s="1" t="str">
        <f>'001'!D853</f>
        <v>0154</v>
      </c>
      <c r="D853" s="3" t="e">
        <f>'001'!H853</f>
        <v>#VALUE!</v>
      </c>
    </row>
    <row r="854" spans="1:4" x14ac:dyDescent="0.25">
      <c r="A854" s="1" t="str">
        <f>'001'!B854</f>
        <v>001177</v>
      </c>
      <c r="B854" s="1" t="str">
        <f>'001'!C854</f>
        <v>COLORANTE CONCENTRADO TERSUAVE R ROJO X 0,946</v>
      </c>
      <c r="C854" s="1" t="str">
        <f>'001'!D854</f>
        <v>0154</v>
      </c>
      <c r="D854" s="3" t="e">
        <f>'001'!H854</f>
        <v>#VALUE!</v>
      </c>
    </row>
    <row r="855" spans="1:4" x14ac:dyDescent="0.25">
      <c r="A855" s="1" t="str">
        <f>'001'!B855</f>
        <v>001178</v>
      </c>
      <c r="B855" s="1" t="str">
        <f>'001'!C855</f>
        <v>COLORANTE CONCENTRADO TERSUAVE T AMAR.MEDIO X 0,946</v>
      </c>
      <c r="C855" s="1" t="str">
        <f>'001'!D855</f>
        <v>0154</v>
      </c>
      <c r="D855" s="3" t="e">
        <f>'001'!H855</f>
        <v>#VALUE!</v>
      </c>
    </row>
    <row r="856" spans="1:4" x14ac:dyDescent="0.25">
      <c r="A856" s="1" t="str">
        <f>'001'!B856</f>
        <v>001179</v>
      </c>
      <c r="B856" s="1" t="str">
        <f>'001'!C856</f>
        <v>COLORANTE CONCENTRADO TERSUAVE V MAGENTA X 0,946</v>
      </c>
      <c r="C856" s="1" t="str">
        <f>'001'!D856</f>
        <v>0154</v>
      </c>
      <c r="D856" s="3" t="e">
        <f>'001'!H856</f>
        <v>#VALUE!</v>
      </c>
    </row>
    <row r="857" spans="1:4" x14ac:dyDescent="0.25">
      <c r="A857" s="1" t="str">
        <f>'001'!B857</f>
        <v>001180</v>
      </c>
      <c r="B857" s="1" t="str">
        <f>'001'!C857</f>
        <v>IMPERMEABILIZANTE PARA FRENTES PLAVICON TAPATODO BLANCO X   5</v>
      </c>
      <c r="C857" s="1" t="str">
        <f>'001'!D857</f>
        <v>0139</v>
      </c>
      <c r="D857" s="3" t="e">
        <f>'001'!H857</f>
        <v>#VALUE!</v>
      </c>
    </row>
    <row r="858" spans="1:4" x14ac:dyDescent="0.25">
      <c r="A858" s="1" t="str">
        <f>'001'!B858</f>
        <v>001181</v>
      </c>
      <c r="B858" s="1" t="str">
        <f>'001'!C858</f>
        <v>IMPERMEABILIZANTE PARA FRENTES PLAVICON TAPATODO BLANCO X 25</v>
      </c>
      <c r="C858" s="1" t="str">
        <f>'001'!D858</f>
        <v>0139</v>
      </c>
      <c r="D858" s="3" t="e">
        <f>'001'!H858</f>
        <v>#VALUE!</v>
      </c>
    </row>
    <row r="859" spans="1:4" x14ac:dyDescent="0.25">
      <c r="A859" s="1" t="str">
        <f>'001'!B859</f>
        <v>001182</v>
      </c>
      <c r="B859" s="1" t="str">
        <f>'001'!C859</f>
        <v>CARTUCHO FILTRO G01AA X 2</v>
      </c>
      <c r="C859" s="1" t="str">
        <f>'001'!D859</f>
        <v>0102</v>
      </c>
      <c r="D859" s="3" t="e">
        <f>'001'!H859</f>
        <v>#VALUE!</v>
      </c>
    </row>
    <row r="860" spans="1:4" x14ac:dyDescent="0.25">
      <c r="A860" s="1" t="str">
        <f>'001'!B860</f>
        <v>001183</v>
      </c>
      <c r="B860" s="1" t="str">
        <f>'001'!C860</f>
        <v>IMPREGNANTE PARA MADERA PLAVICON LASUR BRILLANTE NATURAL X  1</v>
      </c>
      <c r="C860" s="1" t="str">
        <f>'001'!D860</f>
        <v>0139</v>
      </c>
      <c r="D860" s="3" t="e">
        <f>'001'!H860</f>
        <v>#VALUE!</v>
      </c>
    </row>
    <row r="861" spans="1:4" x14ac:dyDescent="0.25">
      <c r="A861" s="1" t="str">
        <f>'001'!B861</f>
        <v>001184</v>
      </c>
      <c r="B861" s="1" t="str">
        <f>'001'!C861</f>
        <v>FILTRO PARA PINTURA 10A20L X 5U</v>
      </c>
      <c r="C861" s="1" t="str">
        <f>'001'!D861</f>
        <v>0103</v>
      </c>
      <c r="D861" s="3" t="e">
        <f>'001'!H861</f>
        <v>#VALUE!</v>
      </c>
    </row>
    <row r="862" spans="1:4" x14ac:dyDescent="0.25">
      <c r="A862" s="1" t="str">
        <f>'001'!B862</f>
        <v>001185</v>
      </c>
      <c r="B862" s="1" t="str">
        <f>'001'!C862</f>
        <v>EXTENSOR DE ACERO ROSARPIN 1,00-2,00 M.</v>
      </c>
      <c r="C862" s="1" t="str">
        <f>'001'!D862</f>
        <v>0144</v>
      </c>
      <c r="D862" s="3" t="e">
        <f>'001'!H862</f>
        <v>#VALUE!</v>
      </c>
    </row>
    <row r="863" spans="1:4" x14ac:dyDescent="0.25">
      <c r="A863" s="1" t="str">
        <f>'001'!B863</f>
        <v>001195</v>
      </c>
      <c r="B863" s="1" t="str">
        <f>'001'!C863</f>
        <v>SOLDURA PLASTICA POXIPOL TRANSPARENTE X 700</v>
      </c>
      <c r="C863" s="1" t="str">
        <f>'001'!D863</f>
        <v>0140</v>
      </c>
      <c r="D863" s="3" t="e">
        <f>'001'!H863</f>
        <v>#VALUE!</v>
      </c>
    </row>
    <row r="864" spans="1:4" x14ac:dyDescent="0.25">
      <c r="A864" s="1" t="str">
        <f>'001'!B864</f>
        <v>001196</v>
      </c>
      <c r="B864" s="1" t="str">
        <f>'001'!C864</f>
        <v>SELLADOR NITROCELULOSICO PARA MADERA COLVINIL X 200</v>
      </c>
      <c r="C864" s="1" t="str">
        <f>'001'!D864</f>
        <v>0119</v>
      </c>
      <c r="D864" s="3" t="e">
        <f>'001'!H864</f>
        <v>#VALUE!</v>
      </c>
    </row>
    <row r="865" spans="1:4" x14ac:dyDescent="0.25">
      <c r="A865" s="1" t="str">
        <f>'001'!B865</f>
        <v>001200</v>
      </c>
      <c r="B865" s="1" t="str">
        <f>'001'!C865</f>
        <v>SELLADOR NITROCELULOSICO PARA MADERA COLVINIL X  0,500</v>
      </c>
      <c r="C865" s="1" t="str">
        <f>'001'!D865</f>
        <v>0119</v>
      </c>
      <c r="D865" s="3" t="e">
        <f>'001'!H865</f>
        <v>#VALUE!</v>
      </c>
    </row>
    <row r="866" spans="1:4" x14ac:dyDescent="0.25">
      <c r="A866" s="1" t="str">
        <f>'001'!B866</f>
        <v>001201</v>
      </c>
      <c r="B866" s="1" t="str">
        <f>'001'!C866</f>
        <v>SELLADOR NITROCELULOSICO PARA MADERA COLVINIL X  0,900</v>
      </c>
      <c r="C866" s="1" t="str">
        <f>'001'!D866</f>
        <v>0119</v>
      </c>
      <c r="D866" s="3" t="e">
        <f>'001'!H866</f>
        <v>#VALUE!</v>
      </c>
    </row>
    <row r="867" spans="1:4" x14ac:dyDescent="0.25">
      <c r="A867" s="1" t="str">
        <f>'001'!B867</f>
        <v>001202</v>
      </c>
      <c r="B867" s="1" t="str">
        <f>'001'!C867</f>
        <v>SELLADOR NITROCELULOSICO PARA MADERA COLVINIL X  3.600</v>
      </c>
      <c r="C867" s="1" t="str">
        <f>'001'!D867</f>
        <v>0119</v>
      </c>
      <c r="D867" s="3" t="e">
        <f>'001'!H867</f>
        <v>#VALUE!</v>
      </c>
    </row>
    <row r="868" spans="1:4" x14ac:dyDescent="0.25">
      <c r="A868" s="1" t="str">
        <f>'001'!B868</f>
        <v>001203</v>
      </c>
      <c r="B868" s="1" t="str">
        <f>'001'!C868</f>
        <v>SELLADOR NITROCELULOSICO PARA MADERA COLVINIL X 18</v>
      </c>
      <c r="C868" s="1" t="str">
        <f>'001'!D868</f>
        <v>0119</v>
      </c>
      <c r="D868" s="3" t="e">
        <f>'001'!H868</f>
        <v>#VALUE!</v>
      </c>
    </row>
    <row r="869" spans="1:4" x14ac:dyDescent="0.25">
      <c r="A869" s="1" t="str">
        <f>'001'!B869</f>
        <v>001204</v>
      </c>
      <c r="B869" s="1" t="str">
        <f>'001'!C869</f>
        <v>AEROSOL RUST-OLEUM SP EPOXI BLANCO X 0,340(2720571)</v>
      </c>
      <c r="C869" s="1" t="str">
        <f>'001'!D869</f>
        <v>0146</v>
      </c>
      <c r="D869" s="3" t="e">
        <f>'001'!H869</f>
        <v>#VALUE!</v>
      </c>
    </row>
    <row r="870" spans="1:4" x14ac:dyDescent="0.25">
      <c r="A870" s="1" t="str">
        <f>'001'!B870</f>
        <v>001205</v>
      </c>
      <c r="B870" s="1" t="str">
        <f>'001'!C870</f>
        <v>AEROSOL RUST-OLEUM SP EPOXI NEGRO X 0,340(2720581)</v>
      </c>
      <c r="C870" s="1" t="str">
        <f>'001'!D870</f>
        <v>0146</v>
      </c>
      <c r="D870" s="3" t="e">
        <f>'001'!H870</f>
        <v>#VALUE!</v>
      </c>
    </row>
    <row r="871" spans="1:4" x14ac:dyDescent="0.25">
      <c r="A871" s="1" t="str">
        <f>'001'!B871</f>
        <v>001206</v>
      </c>
      <c r="B871" s="1" t="str">
        <f>'001'!C871</f>
        <v>AEROSOL RUST-OLEUM SP EPOXI ACERO INOXIDABLE GRIS X 0,340(2720631)</v>
      </c>
      <c r="C871" s="1" t="str">
        <f>'001'!D871</f>
        <v>0146</v>
      </c>
      <c r="D871" s="3" t="e">
        <f>'001'!H871</f>
        <v>#VALUE!</v>
      </c>
    </row>
    <row r="872" spans="1:4" x14ac:dyDescent="0.25">
      <c r="A872" s="1" t="str">
        <f>'001'!B872</f>
        <v>001207</v>
      </c>
      <c r="B872" s="1" t="str">
        <f>'001'!C872</f>
        <v>AEROSOL RUST-OLEUM SP EPOXI ALMENDRA X 0,340(272062)</v>
      </c>
      <c r="C872" s="1" t="str">
        <f>'001'!D872</f>
        <v>0146</v>
      </c>
      <c r="D872" s="3" t="e">
        <f>'001'!H872</f>
        <v>#VALUE!</v>
      </c>
    </row>
    <row r="873" spans="1:4" x14ac:dyDescent="0.25">
      <c r="A873" s="1" t="str">
        <f>'001'!B873</f>
        <v>001208</v>
      </c>
      <c r="B873" s="1" t="str">
        <f>'001'!C873</f>
        <v>LATEX EXTERIOR DURALBA MATE BASE T X  0,900</v>
      </c>
      <c r="C873" s="1" t="str">
        <f>'001'!D873</f>
        <v>0108</v>
      </c>
      <c r="D873" s="3" t="e">
        <f>'001'!H873</f>
        <v>#VALUE!</v>
      </c>
    </row>
    <row r="874" spans="1:4" x14ac:dyDescent="0.25">
      <c r="A874" s="1" t="str">
        <f>'001'!B874</f>
        <v>001209</v>
      </c>
      <c r="B874" s="1" t="str">
        <f>'001'!C874</f>
        <v>LATEX EXTERIOR DURALBA MATE BASE T X  3,600</v>
      </c>
      <c r="C874" s="1" t="str">
        <f>'001'!D874</f>
        <v>0108</v>
      </c>
      <c r="D874" s="3" t="e">
        <f>'001'!H874</f>
        <v>#VALUE!</v>
      </c>
    </row>
    <row r="875" spans="1:4" x14ac:dyDescent="0.25">
      <c r="A875" s="1" t="str">
        <f>'001'!B875</f>
        <v>001210</v>
      </c>
      <c r="B875" s="1" t="str">
        <f>'001'!C875</f>
        <v>LATEX INTERIOR PLAVICON HABITAT LISTO PARA USAR MATE APPLE X  1</v>
      </c>
      <c r="C875" s="1" t="str">
        <f>'001'!D875</f>
        <v>0139</v>
      </c>
      <c r="D875" s="3" t="e">
        <f>'001'!H875</f>
        <v>#VALUE!</v>
      </c>
    </row>
    <row r="876" spans="1:4" x14ac:dyDescent="0.25">
      <c r="A876" s="1" t="str">
        <f>'001'!B876</f>
        <v>001211</v>
      </c>
      <c r="B876" s="1" t="str">
        <f>'001'!C876</f>
        <v>LATEX INTERIOR PLAVICON HABITAT LISTO PARA USAR MATE APPLE X 4</v>
      </c>
      <c r="C876" s="1" t="str">
        <f>'001'!D876</f>
        <v>0139</v>
      </c>
      <c r="D876" s="3" t="e">
        <f>'001'!H876</f>
        <v>#VALUE!</v>
      </c>
    </row>
    <row r="877" spans="1:4" x14ac:dyDescent="0.25">
      <c r="A877" s="1" t="str">
        <f>'001'!B877</f>
        <v>001212</v>
      </c>
      <c r="B877" s="1" t="str">
        <f>'001'!C877</f>
        <v>LATEX EXTERIOR DURALBA MATE BASE F X  0,900</v>
      </c>
      <c r="C877" s="1" t="str">
        <f>'001'!D877</f>
        <v>0108</v>
      </c>
      <c r="D877" s="3" t="e">
        <f>'001'!H877</f>
        <v>#VALUE!</v>
      </c>
    </row>
    <row r="878" spans="1:4" x14ac:dyDescent="0.25">
      <c r="A878" s="1" t="str">
        <f>'001'!B878</f>
        <v>001213</v>
      </c>
      <c r="B878" s="1" t="str">
        <f>'001'!C878</f>
        <v>LATEX EXTERIOR DURALBA MATE BASE F X  3,600</v>
      </c>
      <c r="C878" s="1" t="str">
        <f>'001'!D878</f>
        <v>0108</v>
      </c>
      <c r="D878" s="3" t="e">
        <f>'001'!H878</f>
        <v>#VALUE!</v>
      </c>
    </row>
    <row r="879" spans="1:4" x14ac:dyDescent="0.25">
      <c r="A879" s="1" t="str">
        <f>'001'!B879</f>
        <v>001214</v>
      </c>
      <c r="B879" s="1" t="str">
        <f>'001'!C879</f>
        <v>LATEX EXTERIOR DURALBA MATE BASE F X  8,700</v>
      </c>
      <c r="C879" s="1" t="str">
        <f>'001'!D879</f>
        <v>0108</v>
      </c>
      <c r="D879" s="3" t="e">
        <f>'001'!H879</f>
        <v>#VALUE!</v>
      </c>
    </row>
    <row r="880" spans="1:4" x14ac:dyDescent="0.25">
      <c r="A880" s="1" t="str">
        <f>'001'!B880</f>
        <v>001215</v>
      </c>
      <c r="B880" s="1" t="str">
        <f>'001'!C880</f>
        <v>LATEX EXTERIOR DURALBA MATE BASE F X 17,400</v>
      </c>
      <c r="C880" s="1" t="str">
        <f>'001'!D880</f>
        <v>0108</v>
      </c>
      <c r="D880" s="3" t="e">
        <f>'001'!H880</f>
        <v>#VALUE!</v>
      </c>
    </row>
    <row r="881" spans="1:4" x14ac:dyDescent="0.25">
      <c r="A881" s="1" t="str">
        <f>'001'!B881</f>
        <v>001220</v>
      </c>
      <c r="B881" s="1" t="str">
        <f>'001'!C881</f>
        <v>LATEX EXTERIOR DURALBA MATE BASE P X  0,900</v>
      </c>
      <c r="C881" s="1" t="str">
        <f>'001'!D881</f>
        <v>0108</v>
      </c>
      <c r="D881" s="3" t="e">
        <f>'001'!H881</f>
        <v>#VALUE!</v>
      </c>
    </row>
    <row r="882" spans="1:4" x14ac:dyDescent="0.25">
      <c r="A882" s="1" t="str">
        <f>'001'!B882</f>
        <v>001221</v>
      </c>
      <c r="B882" s="1" t="str">
        <f>'001'!C882</f>
        <v>LATEX EXTERIOR DURALBA MATE BASE P X  3,600</v>
      </c>
      <c r="C882" s="1" t="str">
        <f>'001'!D882</f>
        <v>0108</v>
      </c>
      <c r="D882" s="3" t="e">
        <f>'001'!H882</f>
        <v>#VALUE!</v>
      </c>
    </row>
    <row r="883" spans="1:4" x14ac:dyDescent="0.25">
      <c r="A883" s="1" t="str">
        <f>'001'!B883</f>
        <v>001222</v>
      </c>
      <c r="B883" s="1" t="str">
        <f>'001'!C883</f>
        <v>LATEX EXTERIOR DURALBA MATE BASE P X  8,700</v>
      </c>
      <c r="C883" s="1" t="str">
        <f>'001'!D883</f>
        <v>0108</v>
      </c>
      <c r="D883" s="3" t="e">
        <f>'001'!H883</f>
        <v>#VALUE!</v>
      </c>
    </row>
    <row r="884" spans="1:4" x14ac:dyDescent="0.25">
      <c r="A884" s="1" t="str">
        <f>'001'!B884</f>
        <v>001223</v>
      </c>
      <c r="B884" s="1" t="str">
        <f>'001'!C884</f>
        <v>LATEX EXTERIOR DURALBA MATE BASE P X 17,400</v>
      </c>
      <c r="C884" s="1" t="str">
        <f>'001'!D884</f>
        <v>0108</v>
      </c>
      <c r="D884" s="3" t="e">
        <f>'001'!H884</f>
        <v>#VALUE!</v>
      </c>
    </row>
    <row r="885" spans="1:4" x14ac:dyDescent="0.25">
      <c r="A885" s="1" t="str">
        <f>'001'!B885</f>
        <v>001224</v>
      </c>
      <c r="B885" s="1" t="str">
        <f>'001'!C885</f>
        <v>LATEX EXTERIOR PLAVIPINT MATE BLANCO X  1</v>
      </c>
      <c r="C885" s="1" t="str">
        <f>'001'!D885</f>
        <v>0139</v>
      </c>
      <c r="D885" s="3" t="e">
        <f>'001'!H885</f>
        <v>#VALUE!</v>
      </c>
    </row>
    <row r="886" spans="1:4" x14ac:dyDescent="0.25">
      <c r="A886" s="1" t="str">
        <f>'001'!B886</f>
        <v>001225</v>
      </c>
      <c r="B886" s="1" t="str">
        <f>'001'!C886</f>
        <v>MR.04 MASILLA RAPIDA UNIVERSAL (GRIS) X 0.900</v>
      </c>
      <c r="C886" s="1" t="str">
        <f>'001'!D886</f>
        <v>0132</v>
      </c>
      <c r="D886" s="3" t="e">
        <f>'001'!H886</f>
        <v>#VALUE!</v>
      </c>
    </row>
    <row r="887" spans="1:4" x14ac:dyDescent="0.25">
      <c r="A887" s="1" t="str">
        <f>'001'!B887</f>
        <v>001226</v>
      </c>
      <c r="B887" s="1" t="str">
        <f>'001'!C887</f>
        <v>END020.32 CATALIZADOR RAPIDO ACS X 0.180</v>
      </c>
      <c r="C887" s="1" t="str">
        <f>'001'!D887</f>
        <v>0132</v>
      </c>
      <c r="D887" s="3" t="e">
        <f>'001'!H887</f>
        <v>#VALUE!</v>
      </c>
    </row>
    <row r="888" spans="1:4" x14ac:dyDescent="0.25">
      <c r="A888" s="1" t="str">
        <f>'001'!B888</f>
        <v>001227</v>
      </c>
      <c r="B888" s="1" t="str">
        <f>'001'!C888</f>
        <v>LATEX EXTERIOR PLAVIPINT MATE BLANCO X  4</v>
      </c>
      <c r="C888" s="1" t="str">
        <f>'001'!D888</f>
        <v>0139</v>
      </c>
      <c r="D888" s="3" t="e">
        <f>'001'!H888</f>
        <v>#VALUE!</v>
      </c>
    </row>
    <row r="889" spans="1:4" x14ac:dyDescent="0.25">
      <c r="A889" s="1" t="str">
        <f>'001'!B889</f>
        <v>001228</v>
      </c>
      <c r="B889" s="1" t="str">
        <f>'001'!C889</f>
        <v>LATEX EXTERIOR PLAVIPINT MATE BLANCO X 10</v>
      </c>
      <c r="C889" s="1" t="str">
        <f>'001'!D889</f>
        <v>0139</v>
      </c>
      <c r="D889" s="3" t="e">
        <f>'001'!H889</f>
        <v>#VALUE!</v>
      </c>
    </row>
    <row r="890" spans="1:4" x14ac:dyDescent="0.25">
      <c r="A890" s="1" t="str">
        <f>'001'!B890</f>
        <v>001229</v>
      </c>
      <c r="B890" s="1" t="str">
        <f>'001'!C890</f>
        <v>LATEX EXTERIOR PLAVIPINT MATE BLANCO X 20</v>
      </c>
      <c r="C890" s="1" t="str">
        <f>'001'!D890</f>
        <v>0139</v>
      </c>
      <c r="D890" s="3" t="e">
        <f>'001'!H890</f>
        <v>#VALUE!</v>
      </c>
    </row>
    <row r="891" spans="1:4" x14ac:dyDescent="0.25">
      <c r="A891" s="1" t="str">
        <f>'001'!B891</f>
        <v>001230</v>
      </c>
      <c r="B891" s="1" t="str">
        <f>'001'!C891</f>
        <v>C100-3402 FLEXIB.P/PLAST.X 0,250 (DISCONTINUADO)</v>
      </c>
      <c r="C891" s="1" t="str">
        <f>'001'!D891</f>
        <v>0132</v>
      </c>
      <c r="D891" s="3" t="e">
        <f>'001'!H891</f>
        <v>#VALUE!</v>
      </c>
    </row>
    <row r="892" spans="1:4" x14ac:dyDescent="0.25">
      <c r="A892" s="1" t="str">
        <f>'001'!B892</f>
        <v>001232</v>
      </c>
      <c r="B892" s="1" t="str">
        <f>'001'!C892</f>
        <v>LATEX INTERIOR ALBALATEX MATE BASE T X  0,900</v>
      </c>
      <c r="C892" s="1" t="str">
        <f>'001'!D892</f>
        <v>0108</v>
      </c>
      <c r="D892" s="3" t="e">
        <f>'001'!H892</f>
        <v>#VALUE!</v>
      </c>
    </row>
    <row r="893" spans="1:4" x14ac:dyDescent="0.25">
      <c r="A893" s="1" t="str">
        <f>'001'!B893</f>
        <v>001233</v>
      </c>
      <c r="B893" s="1" t="str">
        <f>'001'!C893</f>
        <v>LATEX INTERIOR ALBALATEX MATE BASE T X  3,600</v>
      </c>
      <c r="C893" s="1" t="str">
        <f>'001'!D893</f>
        <v>0108</v>
      </c>
      <c r="D893" s="3" t="e">
        <f>'001'!H893</f>
        <v>#VALUE!</v>
      </c>
    </row>
    <row r="894" spans="1:4" x14ac:dyDescent="0.25">
      <c r="A894" s="1" t="str">
        <f>'001'!B894</f>
        <v>001234</v>
      </c>
      <c r="B894" s="1" t="str">
        <f>'001'!C894</f>
        <v>LATEX INTERIOR ALBALATEX DESIGN SATINADO BASE T X  0,900</v>
      </c>
      <c r="C894" s="1" t="str">
        <f>'001'!D894</f>
        <v>0108</v>
      </c>
      <c r="D894" s="3" t="e">
        <f>'001'!H894</f>
        <v>#VALUE!</v>
      </c>
    </row>
    <row r="895" spans="1:4" x14ac:dyDescent="0.25">
      <c r="A895" s="1" t="str">
        <f>'001'!B895</f>
        <v>001235</v>
      </c>
      <c r="B895" s="1" t="str">
        <f>'001'!C895</f>
        <v>LATEX INTERIOR ALBALATEX DESIGN SATINADO BASE T X  3,600</v>
      </c>
      <c r="C895" s="1" t="str">
        <f>'001'!D895</f>
        <v>0108</v>
      </c>
      <c r="D895" s="3" t="e">
        <f>'001'!H895</f>
        <v>#VALUE!</v>
      </c>
    </row>
    <row r="896" spans="1:4" x14ac:dyDescent="0.25">
      <c r="A896" s="1" t="str">
        <f>'001'!B896</f>
        <v>001236</v>
      </c>
      <c r="B896" s="1" t="str">
        <f>'001'!C896</f>
        <v>LATEX INTERIOR ALBALATEX MATE BASE F X  0,900</v>
      </c>
      <c r="C896" s="1" t="str">
        <f>'001'!D896</f>
        <v>0108</v>
      </c>
      <c r="D896" s="3" t="e">
        <f>'001'!H896</f>
        <v>#VALUE!</v>
      </c>
    </row>
    <row r="897" spans="1:4" x14ac:dyDescent="0.25">
      <c r="A897" s="1" t="str">
        <f>'001'!B897</f>
        <v>001237</v>
      </c>
      <c r="B897" s="1" t="str">
        <f>'001'!C897</f>
        <v>LATEX INTERIOR ALBALATEX MATE BASE F X  3,600</v>
      </c>
      <c r="C897" s="1" t="str">
        <f>'001'!D897</f>
        <v>0108</v>
      </c>
      <c r="D897" s="3" t="e">
        <f>'001'!H897</f>
        <v>#VALUE!</v>
      </c>
    </row>
    <row r="898" spans="1:4" x14ac:dyDescent="0.25">
      <c r="A898" s="1" t="str">
        <f>'001'!B898</f>
        <v>001238</v>
      </c>
      <c r="B898" s="1" t="str">
        <f>'001'!C898</f>
        <v>LATEX INTERIOR ALBALATEX MATE BASE F X  8,700</v>
      </c>
      <c r="C898" s="1" t="str">
        <f>'001'!D898</f>
        <v>0108</v>
      </c>
      <c r="D898" s="3" t="e">
        <f>'001'!H898</f>
        <v>#VALUE!</v>
      </c>
    </row>
    <row r="899" spans="1:4" x14ac:dyDescent="0.25">
      <c r="A899" s="1" t="str">
        <f>'001'!B899</f>
        <v>001239</v>
      </c>
      <c r="B899" s="1" t="str">
        <f>'001'!C899</f>
        <v>LATEX INTERIOR ALBALATEX MATE BASE F X 17,400</v>
      </c>
      <c r="C899" s="1" t="str">
        <f>'001'!D899</f>
        <v>0108</v>
      </c>
      <c r="D899" s="3" t="e">
        <f>'001'!H899</f>
        <v>#VALUE!</v>
      </c>
    </row>
    <row r="900" spans="1:4" x14ac:dyDescent="0.25">
      <c r="A900" s="1" t="str">
        <f>'001'!B900</f>
        <v>001244</v>
      </c>
      <c r="B900" s="1" t="str">
        <f>'001'!C900</f>
        <v>LATEX INTERIOR ALBALATEX MATE BASE P X  0,900</v>
      </c>
      <c r="C900" s="1" t="str">
        <f>'001'!D900</f>
        <v>0108</v>
      </c>
      <c r="D900" s="3" t="e">
        <f>'001'!H900</f>
        <v>#VALUE!</v>
      </c>
    </row>
    <row r="901" spans="1:4" x14ac:dyDescent="0.25">
      <c r="A901" s="1" t="str">
        <f>'001'!B901</f>
        <v>001245</v>
      </c>
      <c r="B901" s="1" t="str">
        <f>'001'!C901</f>
        <v>LATEX INTERIOR ALBALATEX MATE BASE P X  3,600</v>
      </c>
      <c r="C901" s="1" t="str">
        <f>'001'!D901</f>
        <v>0108</v>
      </c>
      <c r="D901" s="3" t="e">
        <f>'001'!H901</f>
        <v>#VALUE!</v>
      </c>
    </row>
    <row r="902" spans="1:4" x14ac:dyDescent="0.25">
      <c r="A902" s="1" t="str">
        <f>'001'!B902</f>
        <v>001246</v>
      </c>
      <c r="B902" s="1" t="str">
        <f>'001'!C902</f>
        <v>LATEX INTERIOR ALBALATEX MATE BASE P X  8,700</v>
      </c>
      <c r="C902" s="1" t="str">
        <f>'001'!D902</f>
        <v>0108</v>
      </c>
      <c r="D902" s="3" t="e">
        <f>'001'!H902</f>
        <v>#VALUE!</v>
      </c>
    </row>
    <row r="903" spans="1:4" x14ac:dyDescent="0.25">
      <c r="A903" s="1" t="str">
        <f>'001'!B903</f>
        <v>001247</v>
      </c>
      <c r="B903" s="1" t="str">
        <f>'001'!C903</f>
        <v>LATEX INTERIOR ALBALATEX MATE BASE P X 17,400</v>
      </c>
      <c r="C903" s="1" t="str">
        <f>'001'!D903</f>
        <v>0108</v>
      </c>
      <c r="D903" s="3" t="e">
        <f>'001'!H903</f>
        <v>#VALUE!</v>
      </c>
    </row>
    <row r="904" spans="1:4" x14ac:dyDescent="0.25">
      <c r="A904" s="1" t="str">
        <f>'001'!B904</f>
        <v>001248</v>
      </c>
      <c r="B904" s="1" t="str">
        <f>'001'!C904</f>
        <v>LATEX INTERIOR ALBALATEX DESIGN SATINADO BASE P X  0,900</v>
      </c>
      <c r="C904" s="1" t="str">
        <f>'001'!D904</f>
        <v>0108</v>
      </c>
      <c r="D904" s="3" t="e">
        <f>'001'!H904</f>
        <v>#VALUE!</v>
      </c>
    </row>
    <row r="905" spans="1:4" x14ac:dyDescent="0.25">
      <c r="A905" s="1" t="str">
        <f>'001'!B905</f>
        <v>001249</v>
      </c>
      <c r="B905" s="1" t="str">
        <f>'001'!C905</f>
        <v>LATEX INTERIOR ALBALATEX DESIGN SATINADO BASE P X  3,600</v>
      </c>
      <c r="C905" s="1" t="str">
        <f>'001'!D905</f>
        <v>0108</v>
      </c>
      <c r="D905" s="3" t="e">
        <f>'001'!H905</f>
        <v>#VALUE!</v>
      </c>
    </row>
    <row r="906" spans="1:4" x14ac:dyDescent="0.25">
      <c r="A906" s="1" t="str">
        <f>'001'!B906</f>
        <v>001250</v>
      </c>
      <c r="B906" s="1" t="str">
        <f>'001'!C906</f>
        <v>LATEX INTERIOR ALBALATEX DESIGN SATINADO BASE P X  8,700</v>
      </c>
      <c r="C906" s="1" t="str">
        <f>'001'!D906</f>
        <v>0108</v>
      </c>
      <c r="D906" s="3" t="e">
        <f>'001'!H906</f>
        <v>#VALUE!</v>
      </c>
    </row>
    <row r="907" spans="1:4" x14ac:dyDescent="0.25">
      <c r="A907" s="1" t="str">
        <f>'001'!B907</f>
        <v>001251</v>
      </c>
      <c r="B907" s="1" t="str">
        <f>'001'!C907</f>
        <v>LATEX INTERIOR ALBALATEX DESIGN SATINADO BASE P X 17,400</v>
      </c>
      <c r="C907" s="1" t="str">
        <f>'001'!D907</f>
        <v>0108</v>
      </c>
      <c r="D907" s="3" t="e">
        <f>'001'!H907</f>
        <v>#VALUE!</v>
      </c>
    </row>
    <row r="908" spans="1:4" x14ac:dyDescent="0.25">
      <c r="A908" s="1" t="str">
        <f>'001'!B908</f>
        <v>001253</v>
      </c>
      <c r="B908" s="1" t="str">
        <f>'001'!C908</f>
        <v>IMPREGNANTE PARA MADERA PLAVICON LASUR BRILLANTE CEDRO X  1</v>
      </c>
      <c r="C908" s="1" t="str">
        <f>'001'!D908</f>
        <v>0139</v>
      </c>
      <c r="D908" s="3" t="e">
        <f>'001'!H908</f>
        <v>#VALUE!</v>
      </c>
    </row>
    <row r="909" spans="1:4" x14ac:dyDescent="0.25">
      <c r="A909" s="1" t="str">
        <f>'001'!B909</f>
        <v>001254</v>
      </c>
      <c r="B909" s="1" t="str">
        <f>'001'!C909</f>
        <v>IMPREGNANTE PARA MADERA PLAVICON LASUR BRILLANTE CEDRO X  4</v>
      </c>
      <c r="C909" s="1" t="str">
        <f>'001'!D909</f>
        <v>0139</v>
      </c>
      <c r="D909" s="3" t="e">
        <f>'001'!H909</f>
        <v>#VALUE!</v>
      </c>
    </row>
    <row r="910" spans="1:4" x14ac:dyDescent="0.25">
      <c r="A910" s="1" t="str">
        <f>'001'!B910</f>
        <v>001255</v>
      </c>
      <c r="B910" s="1" t="str">
        <f>'001'!C910</f>
        <v>IMPREGNANTE PARA MADERA PLAVICON LASUR BRILLANTE CEDRO X 20</v>
      </c>
      <c r="C910" s="1" t="str">
        <f>'001'!D910</f>
        <v>0139</v>
      </c>
      <c r="D910" s="3" t="e">
        <f>'001'!H910</f>
        <v>#VALUE!</v>
      </c>
    </row>
    <row r="911" spans="1:4" x14ac:dyDescent="0.25">
      <c r="A911" s="1" t="str">
        <f>'001'!B911</f>
        <v>001256</v>
      </c>
      <c r="B911" s="1" t="str">
        <f>'001'!C911</f>
        <v>LATEX INTERIOR ALBALATEX DESIGN SATINADO BASE F X  0,900</v>
      </c>
      <c r="C911" s="1" t="str">
        <f>'001'!D911</f>
        <v>0108</v>
      </c>
      <c r="D911" s="3" t="e">
        <f>'001'!H911</f>
        <v>#VALUE!</v>
      </c>
    </row>
    <row r="912" spans="1:4" x14ac:dyDescent="0.25">
      <c r="A912" s="1" t="str">
        <f>'001'!B912</f>
        <v>001257</v>
      </c>
      <c r="B912" s="1" t="str">
        <f>'001'!C912</f>
        <v>LATEX INTERIOR ALBALATEX DESIGN SATINADO BASE F X  3,600</v>
      </c>
      <c r="C912" s="1" t="str">
        <f>'001'!D912</f>
        <v>0108</v>
      </c>
      <c r="D912" s="3" t="e">
        <f>'001'!H912</f>
        <v>#VALUE!</v>
      </c>
    </row>
    <row r="913" spans="1:4" x14ac:dyDescent="0.25">
      <c r="A913" s="1" t="str">
        <f>'001'!B913</f>
        <v>001258</v>
      </c>
      <c r="B913" s="1" t="str">
        <f>'001'!C913</f>
        <v>LATEX INTERIOR ALBALATEX DESIGN SATINADO BASE F X  8,700</v>
      </c>
      <c r="C913" s="1" t="str">
        <f>'001'!D913</f>
        <v>0108</v>
      </c>
      <c r="D913" s="3" t="e">
        <f>'001'!H913</f>
        <v>#VALUE!</v>
      </c>
    </row>
    <row r="914" spans="1:4" x14ac:dyDescent="0.25">
      <c r="A914" s="1" t="str">
        <f>'001'!B914</f>
        <v>001259</v>
      </c>
      <c r="B914" s="1" t="str">
        <f>'001'!C914</f>
        <v>LATEX INTERIOR ALBALATEX DESIGN SATINADO BASE F X 17,400</v>
      </c>
      <c r="C914" s="1" t="str">
        <f>'001'!D914</f>
        <v>0108</v>
      </c>
      <c r="D914" s="3" t="e">
        <f>'001'!H914</f>
        <v>#VALUE!</v>
      </c>
    </row>
    <row r="915" spans="1:4" x14ac:dyDescent="0.25">
      <c r="A915" s="1" t="str">
        <f>'001'!B915</f>
        <v>001260</v>
      </c>
      <c r="B915" s="1" t="str">
        <f>'001'!C915</f>
        <v>ESM.ALTA TEMP.300C ALUMINIO X 20</v>
      </c>
      <c r="C915" s="1" t="str">
        <f>'001'!D915</f>
        <v>0110</v>
      </c>
      <c r="D915" s="3" t="e">
        <f>'001'!H915</f>
        <v>#VALUE!</v>
      </c>
    </row>
    <row r="916" spans="1:4" x14ac:dyDescent="0.25">
      <c r="A916" s="1" t="str">
        <f>'001'!B916</f>
        <v>001261</v>
      </c>
      <c r="B916" s="1" t="str">
        <f>'001'!C916</f>
        <v>LATEX INTERIOR ALBACRYL MATE BASE F X  3,600</v>
      </c>
      <c r="C916" s="1" t="str">
        <f>'001'!D916</f>
        <v>0108</v>
      </c>
      <c r="D916" s="3" t="e">
        <f>'001'!H916</f>
        <v>#VALUE!</v>
      </c>
    </row>
    <row r="917" spans="1:4" x14ac:dyDescent="0.25">
      <c r="A917" s="1" t="str">
        <f>'001'!B917</f>
        <v>001262</v>
      </c>
      <c r="B917" s="1" t="str">
        <f>'001'!C917</f>
        <v>LATEX INTERIOR ALBACRYL MATE BASE F X  8,700</v>
      </c>
      <c r="C917" s="1" t="str">
        <f>'001'!D917</f>
        <v>0902</v>
      </c>
      <c r="D917" s="3" t="e">
        <f>'001'!H917</f>
        <v>#VALUE!</v>
      </c>
    </row>
    <row r="918" spans="1:4" x14ac:dyDescent="0.25">
      <c r="A918" s="1" t="str">
        <f>'001'!B918</f>
        <v>001263</v>
      </c>
      <c r="B918" s="1" t="str">
        <f>'001'!C918</f>
        <v>LATEX INTERIOR ALBACRYL MATE BASE F X 17,400</v>
      </c>
      <c r="C918" s="1" t="str">
        <f>'001'!D918</f>
        <v>0108</v>
      </c>
      <c r="D918" s="3" t="e">
        <f>'001'!H918</f>
        <v>#VALUE!</v>
      </c>
    </row>
    <row r="919" spans="1:4" x14ac:dyDescent="0.25">
      <c r="A919" s="1" t="str">
        <f>'001'!B919</f>
        <v>001264</v>
      </c>
      <c r="B919" s="1" t="str">
        <f>'001'!C919</f>
        <v>IMPREGNANTE PARA MADERA PLAVICON LASUR BRILLANTE CAOBA X  1</v>
      </c>
      <c r="C919" s="1" t="str">
        <f>'001'!D919</f>
        <v>0139</v>
      </c>
      <c r="D919" s="3" t="e">
        <f>'001'!H919</f>
        <v>#VALUE!</v>
      </c>
    </row>
    <row r="920" spans="1:4" x14ac:dyDescent="0.25">
      <c r="A920" s="1" t="str">
        <f>'001'!B920</f>
        <v>001265</v>
      </c>
      <c r="B920" s="1" t="str">
        <f>'001'!C920</f>
        <v>IMPREGNANTE PARA MADERA PLAVICON LASUR BRILLANTE CAOBA X  4</v>
      </c>
      <c r="C920" s="1" t="str">
        <f>'001'!D920</f>
        <v>0139</v>
      </c>
      <c r="D920" s="3" t="e">
        <f>'001'!H920</f>
        <v>#VALUE!</v>
      </c>
    </row>
    <row r="921" spans="1:4" x14ac:dyDescent="0.25">
      <c r="A921" s="1" t="str">
        <f>'001'!B921</f>
        <v>001266</v>
      </c>
      <c r="B921" s="1" t="str">
        <f>'001'!C921</f>
        <v>IMPREGNANTE PARA MADERA PLAVICON LASUR BRILLANTE CAOBA X 20</v>
      </c>
      <c r="C921" s="1" t="str">
        <f>'001'!D921</f>
        <v>0139</v>
      </c>
      <c r="D921" s="3" t="e">
        <f>'001'!H921</f>
        <v>#VALUE!</v>
      </c>
    </row>
    <row r="922" spans="1:4" x14ac:dyDescent="0.25">
      <c r="A922" s="1" t="str">
        <f>'001'!B922</f>
        <v>001267</v>
      </c>
      <c r="B922" s="1" t="str">
        <f>'001'!C922</f>
        <v>LATEX INTERIOR ALBACRYL MATE BASE P X  3,600</v>
      </c>
      <c r="C922" s="1" t="str">
        <f>'001'!D922</f>
        <v>0108</v>
      </c>
      <c r="D922" s="3" t="e">
        <f>'001'!H922</f>
        <v>#VALUE!</v>
      </c>
    </row>
    <row r="923" spans="1:4" x14ac:dyDescent="0.25">
      <c r="A923" s="1" t="str">
        <f>'001'!B923</f>
        <v>001268</v>
      </c>
      <c r="B923" s="1" t="str">
        <f>'001'!C923</f>
        <v>LATEX INTERIOR ALBACRYL MATE BASE P X  8,700</v>
      </c>
      <c r="C923" s="1" t="str">
        <f>'001'!D923</f>
        <v>0108</v>
      </c>
      <c r="D923" s="3" t="e">
        <f>'001'!H923</f>
        <v>#VALUE!</v>
      </c>
    </row>
    <row r="924" spans="1:4" x14ac:dyDescent="0.25">
      <c r="A924" s="1" t="str">
        <f>'001'!B924</f>
        <v>001269</v>
      </c>
      <c r="B924" s="1" t="str">
        <f>'001'!C924</f>
        <v>LATEX INTERIOR ALBACRYL MATE BASE P X 17,400</v>
      </c>
      <c r="C924" s="1" t="str">
        <f>'001'!D924</f>
        <v>0108</v>
      </c>
      <c r="D924" s="3" t="e">
        <f>'001'!H924</f>
        <v>#VALUE!</v>
      </c>
    </row>
    <row r="925" spans="1:4" x14ac:dyDescent="0.25">
      <c r="A925" s="1" t="str">
        <f>'001'!B925</f>
        <v>001270</v>
      </c>
      <c r="B925" s="1" t="str">
        <f>'001'!C925</f>
        <v>ESMALTE SINTETICO ALBALUX BRILLANTE BASE P X  0,900</v>
      </c>
      <c r="C925" s="1" t="str">
        <f>'001'!D925</f>
        <v>0108</v>
      </c>
      <c r="D925" s="3" t="e">
        <f>'001'!H925</f>
        <v>#VALUE!</v>
      </c>
    </row>
    <row r="926" spans="1:4" x14ac:dyDescent="0.25">
      <c r="A926" s="1" t="str">
        <f>'001'!B926</f>
        <v>001271</v>
      </c>
      <c r="B926" s="1" t="str">
        <f>'001'!C926</f>
        <v>ESMALTE SINTETICO ALBALUX BRILLANTE BASE P X  3,600</v>
      </c>
      <c r="C926" s="1" t="str">
        <f>'001'!D926</f>
        <v>0108</v>
      </c>
      <c r="D926" s="3" t="e">
        <f>'001'!H926</f>
        <v>#VALUE!</v>
      </c>
    </row>
    <row r="927" spans="1:4" x14ac:dyDescent="0.25">
      <c r="A927" s="1" t="str">
        <f>'001'!B927</f>
        <v>001272</v>
      </c>
      <c r="B927" s="1" t="str">
        <f>'001'!C927</f>
        <v>ESMALTE SINTETICO ALBALUX BRILLANTE BASE P X 17,400</v>
      </c>
      <c r="C927" s="1" t="str">
        <f>'001'!D927</f>
        <v>0108</v>
      </c>
      <c r="D927" s="3" t="e">
        <f>'001'!H927</f>
        <v>#VALUE!</v>
      </c>
    </row>
    <row r="928" spans="1:4" x14ac:dyDescent="0.25">
      <c r="A928" s="1" t="str">
        <f>'001'!B928</f>
        <v>001275</v>
      </c>
      <c r="B928" s="1" t="str">
        <f>'001'!C928</f>
        <v>IMPREGNANTE PARA MADERA PLAVICON LASUR BRILLANTE NATURAL X  4</v>
      </c>
      <c r="C928" s="1" t="str">
        <f>'001'!D928</f>
        <v>0139</v>
      </c>
      <c r="D928" s="3" t="e">
        <f>'001'!H928</f>
        <v>#VALUE!</v>
      </c>
    </row>
    <row r="929" spans="1:4" x14ac:dyDescent="0.25">
      <c r="A929" s="1" t="str">
        <f>'001'!B929</f>
        <v>001279</v>
      </c>
      <c r="B929" s="1" t="str">
        <f>'001'!C929</f>
        <v>ESMALTE SINTETICO ALBALUX BRILLANTE BASE T X 0,900</v>
      </c>
      <c r="C929" s="1" t="str">
        <f>'001'!D929</f>
        <v>0108</v>
      </c>
      <c r="D929" s="3" t="e">
        <f>'001'!H929</f>
        <v>#VALUE!</v>
      </c>
    </row>
    <row r="930" spans="1:4" x14ac:dyDescent="0.25">
      <c r="A930" s="1" t="str">
        <f>'001'!B930</f>
        <v>001280</v>
      </c>
      <c r="B930" s="1" t="str">
        <f>'001'!C930</f>
        <v>ESMALTE SINTETICO ALBALUX BRILLANTE BASE T X 3,600</v>
      </c>
      <c r="C930" s="1" t="str">
        <f>'001'!D930</f>
        <v>0108</v>
      </c>
      <c r="D930" s="3" t="e">
        <f>'001'!H930</f>
        <v>#VALUE!</v>
      </c>
    </row>
    <row r="931" spans="1:4" x14ac:dyDescent="0.25">
      <c r="A931" s="1" t="str">
        <f>'001'!B931</f>
        <v>001281</v>
      </c>
      <c r="B931" s="1" t="str">
        <f>'001'!C931</f>
        <v>LIJA EN ROLLO DOBLE A # 120 X 1 MT</v>
      </c>
      <c r="C931" s="1" t="str">
        <f>'001'!D931</f>
        <v>0102</v>
      </c>
      <c r="D931" s="3" t="e">
        <f>'001'!H931</f>
        <v>#VALUE!</v>
      </c>
    </row>
    <row r="932" spans="1:4" x14ac:dyDescent="0.25">
      <c r="A932" s="1" t="str">
        <f>'001'!B932</f>
        <v>001282</v>
      </c>
      <c r="B932" s="1" t="str">
        <f>'001'!C932</f>
        <v>ESMALTE SINTETICO ALBALUX BRILLANTE BASE F X  0,900</v>
      </c>
      <c r="C932" s="1" t="str">
        <f>'001'!D932</f>
        <v>0108</v>
      </c>
      <c r="D932" s="3" t="e">
        <f>'001'!H932</f>
        <v>#VALUE!</v>
      </c>
    </row>
    <row r="933" spans="1:4" x14ac:dyDescent="0.25">
      <c r="A933" s="1" t="str">
        <f>'001'!B933</f>
        <v>001283</v>
      </c>
      <c r="B933" s="1" t="str">
        <f>'001'!C933</f>
        <v>ESMALTE SINTETICO ALBALUX BRILLANTE BASE F X  3,600</v>
      </c>
      <c r="C933" s="1" t="str">
        <f>'001'!D933</f>
        <v>0108</v>
      </c>
      <c r="D933" s="3" t="e">
        <f>'001'!H933</f>
        <v>#VALUE!</v>
      </c>
    </row>
    <row r="934" spans="1:4" x14ac:dyDescent="0.25">
      <c r="A934" s="1" t="str">
        <f>'001'!B934</f>
        <v>001284</v>
      </c>
      <c r="B934" s="1" t="str">
        <f>'001'!C934</f>
        <v>ESMALTE SINTETICO ALBALUX BRILLANTE BASE F X 17,400</v>
      </c>
      <c r="C934" s="1" t="str">
        <f>'001'!D934</f>
        <v>0108</v>
      </c>
      <c r="D934" s="3" t="e">
        <f>'001'!H934</f>
        <v>#VALUE!</v>
      </c>
    </row>
    <row r="935" spans="1:4" x14ac:dyDescent="0.25">
      <c r="A935" s="1" t="str">
        <f>'001'!B935</f>
        <v>001285</v>
      </c>
      <c r="B935" s="1" t="str">
        <f>'001'!C935</f>
        <v>ESMALTE SINTETICO SATINOL SATINADO BASE P X  0,900</v>
      </c>
      <c r="C935" s="1" t="str">
        <f>'001'!D935</f>
        <v>0108</v>
      </c>
      <c r="D935" s="3" t="e">
        <f>'001'!H935</f>
        <v>#VALUE!</v>
      </c>
    </row>
    <row r="936" spans="1:4" x14ac:dyDescent="0.25">
      <c r="A936" s="1" t="str">
        <f>'001'!B936</f>
        <v>001286</v>
      </c>
      <c r="B936" s="1" t="str">
        <f>'001'!C936</f>
        <v>ESMALTE SINTETICO SATINOL SATINADO BASE P X  3,600</v>
      </c>
      <c r="C936" s="1" t="str">
        <f>'001'!D936</f>
        <v>0108</v>
      </c>
      <c r="D936" s="3" t="e">
        <f>'001'!H936</f>
        <v>#VALUE!</v>
      </c>
    </row>
    <row r="937" spans="1:4" x14ac:dyDescent="0.25">
      <c r="A937" s="1" t="str">
        <f>'001'!B937</f>
        <v>001287</v>
      </c>
      <c r="B937" s="1" t="str">
        <f>'001'!C937</f>
        <v>ESMALTE SINTETICO SATINOL SATINADO BASE P X 17,400</v>
      </c>
      <c r="C937" s="1" t="str">
        <f>'001'!D937</f>
        <v>0108</v>
      </c>
      <c r="D937" s="3" t="e">
        <f>'001'!H937</f>
        <v>#VALUE!</v>
      </c>
    </row>
    <row r="938" spans="1:4" x14ac:dyDescent="0.25">
      <c r="A938" s="1" t="str">
        <f>'001'!B938</f>
        <v>001290</v>
      </c>
      <c r="B938" s="1" t="str">
        <f>'001'!C938</f>
        <v>IMPREGNANTE PARA MADERA PLAVICON LASUR BRILLANTE NATURAL X 20</v>
      </c>
      <c r="C938" s="1" t="str">
        <f>'001'!D938</f>
        <v>0139</v>
      </c>
      <c r="D938" s="3" t="e">
        <f>'001'!H938</f>
        <v>#VALUE!</v>
      </c>
    </row>
    <row r="939" spans="1:4" x14ac:dyDescent="0.25">
      <c r="A939" s="1" t="str">
        <f>'001'!B939</f>
        <v>001291</v>
      </c>
      <c r="B939" s="1" t="str">
        <f>'001'!C939</f>
        <v>ESMALTE SINTETICO SATINOL SATINADO BASE T X 0,900</v>
      </c>
      <c r="C939" s="1" t="str">
        <f>'001'!D939</f>
        <v>0108</v>
      </c>
      <c r="D939" s="3" t="e">
        <f>'001'!H939</f>
        <v>#VALUE!</v>
      </c>
    </row>
    <row r="940" spans="1:4" x14ac:dyDescent="0.25">
      <c r="A940" s="1" t="str">
        <f>'001'!B940</f>
        <v>001292</v>
      </c>
      <c r="B940" s="1" t="str">
        <f>'001'!C940</f>
        <v>ESMALTE SINTETICO SATINOL SATINADO BASE T X 3,600</v>
      </c>
      <c r="C940" s="1" t="str">
        <f>'001'!D940</f>
        <v>0108</v>
      </c>
      <c r="D940" s="3" t="e">
        <f>'001'!H940</f>
        <v>#VALUE!</v>
      </c>
    </row>
    <row r="941" spans="1:4" x14ac:dyDescent="0.25">
      <c r="A941" s="1" t="str">
        <f>'001'!B941</f>
        <v>001293</v>
      </c>
      <c r="B941" s="1" t="str">
        <f>'001'!C941</f>
        <v>ESMALTE SINTETICO SATINOL SATINADO BASE F X  0,900</v>
      </c>
      <c r="C941" s="1" t="str">
        <f>'001'!D941</f>
        <v>0108</v>
      </c>
      <c r="D941" s="3" t="e">
        <f>'001'!H941</f>
        <v>#VALUE!</v>
      </c>
    </row>
    <row r="942" spans="1:4" x14ac:dyDescent="0.25">
      <c r="A942" s="1" t="str">
        <f>'001'!B942</f>
        <v>001294</v>
      </c>
      <c r="B942" s="1" t="str">
        <f>'001'!C942</f>
        <v>ESMALTE SINTETICO SATINOL SATINADO BASE F X  3,600</v>
      </c>
      <c r="C942" s="1" t="str">
        <f>'001'!D942</f>
        <v>0108</v>
      </c>
      <c r="D942" s="3" t="e">
        <f>'001'!H942</f>
        <v>#VALUE!</v>
      </c>
    </row>
    <row r="943" spans="1:4" x14ac:dyDescent="0.25">
      <c r="A943" s="1" t="str">
        <f>'001'!B943</f>
        <v>001295</v>
      </c>
      <c r="B943" s="1" t="str">
        <f>'001'!C943</f>
        <v>ESMALTE SINTETICO SATINOL SATINADO BASE F X 17,400</v>
      </c>
      <c r="C943" s="1" t="str">
        <f>'001'!D943</f>
        <v>0108</v>
      </c>
      <c r="D943" s="3" t="e">
        <f>'001'!H943</f>
        <v>#VALUE!</v>
      </c>
    </row>
    <row r="944" spans="1:4" x14ac:dyDescent="0.25">
      <c r="A944" s="1" t="str">
        <f>'001'!B944</f>
        <v>001296</v>
      </c>
      <c r="B944" s="1" t="str">
        <f>'001'!C944</f>
        <v>LIJA EN ROLLO DOBLE A #  80 X 1 MT</v>
      </c>
      <c r="C944" s="1" t="str">
        <f>'001'!D944</f>
        <v>0102</v>
      </c>
      <c r="D944" s="3" t="e">
        <f>'001'!H944</f>
        <v>#VALUE!</v>
      </c>
    </row>
    <row r="945" spans="1:4" x14ac:dyDescent="0.25">
      <c r="A945" s="1" t="str">
        <f>'001'!B945</f>
        <v>001297</v>
      </c>
      <c r="B945" s="1" t="str">
        <f>'001'!C945</f>
        <v>IMPREGNANTE PARA MADERA PLAVICON LASUR BRILLANTE NOGAL X  1</v>
      </c>
      <c r="C945" s="1" t="str">
        <f>'001'!D945</f>
        <v>0139</v>
      </c>
      <c r="D945" s="3" t="e">
        <f>'001'!H945</f>
        <v>#VALUE!</v>
      </c>
    </row>
    <row r="946" spans="1:4" x14ac:dyDescent="0.25">
      <c r="A946" s="1" t="str">
        <f>'001'!B946</f>
        <v>001298</v>
      </c>
      <c r="B946" s="1" t="str">
        <f>'001'!C946</f>
        <v>IMPREGNANTE PARA MADERA PLAVICON LASUR BRILLANTE NOGAL X  4</v>
      </c>
      <c r="C946" s="1" t="str">
        <f>'001'!D946</f>
        <v>0139</v>
      </c>
      <c r="D946" s="3" t="e">
        <f>'001'!H946</f>
        <v>#VALUE!</v>
      </c>
    </row>
    <row r="947" spans="1:4" x14ac:dyDescent="0.25">
      <c r="A947" s="1" t="str">
        <f>'001'!B947</f>
        <v>001299</v>
      </c>
      <c r="B947" s="1" t="str">
        <f>'001'!C947</f>
        <v>IMPREGNANTE PARA MADERA PLAVICON LASUR BRILLANTE NOGAL X 20</v>
      </c>
      <c r="C947" s="1" t="str">
        <f>'001'!D947</f>
        <v>0139</v>
      </c>
      <c r="D947" s="3" t="e">
        <f>'001'!H947</f>
        <v>#VALUE!</v>
      </c>
    </row>
    <row r="948" spans="1:4" x14ac:dyDescent="0.25">
      <c r="A948" s="1" t="str">
        <f>'001'!B948</f>
        <v>001300</v>
      </c>
      <c r="B948" s="1" t="str">
        <f>'001'!C948</f>
        <v>IMPREGNANTE PARA MADERA PLAVICON LASUR BRILLANTE CRISTAL X  1</v>
      </c>
      <c r="C948" s="1" t="str">
        <f>'001'!D948</f>
        <v>0139</v>
      </c>
      <c r="D948" s="3" t="e">
        <f>'001'!H948</f>
        <v>#VALUE!</v>
      </c>
    </row>
    <row r="949" spans="1:4" x14ac:dyDescent="0.25">
      <c r="A949" s="1" t="str">
        <f>'001'!B949</f>
        <v>001301</v>
      </c>
      <c r="B949" s="1" t="str">
        <f>'001'!C949</f>
        <v>IMPREGNANTE PARA MADERA PLAVICON LASUR BRILLANTE CRISTAL X  4</v>
      </c>
      <c r="C949" s="1" t="str">
        <f>'001'!D949</f>
        <v>0139</v>
      </c>
      <c r="D949" s="3" t="e">
        <f>'001'!H949</f>
        <v>#VALUE!</v>
      </c>
    </row>
    <row r="950" spans="1:4" x14ac:dyDescent="0.25">
      <c r="A950" s="1" t="str">
        <f>'001'!B950</f>
        <v>001302</v>
      </c>
      <c r="B950" s="1" t="str">
        <f>'001'!C950</f>
        <v>IMPREGNANTE PARA MADERA PLAVICON LASUR BRILLANTE CRISTAL X 20</v>
      </c>
      <c r="C950" s="1" t="str">
        <f>'001'!D950</f>
        <v>0139</v>
      </c>
      <c r="D950" s="3" t="e">
        <f>'001'!H950</f>
        <v>#VALUE!</v>
      </c>
    </row>
    <row r="951" spans="1:4" x14ac:dyDescent="0.25">
      <c r="A951" s="1" t="str">
        <f>'001'!B951</f>
        <v>001304</v>
      </c>
      <c r="B951" s="1" t="str">
        <f>'001'!C951</f>
        <v>IMPREGNANTE PARA MADERA PLAVICON LASUR SATINADO ROBLE X  1</v>
      </c>
      <c r="C951" s="1" t="str">
        <f>'001'!D951</f>
        <v>0139</v>
      </c>
      <c r="D951" s="3" t="e">
        <f>'001'!H951</f>
        <v>#VALUE!</v>
      </c>
    </row>
    <row r="952" spans="1:4" x14ac:dyDescent="0.25">
      <c r="A952" s="1" t="str">
        <f>'001'!B952</f>
        <v>001307</v>
      </c>
      <c r="B952" s="1" t="str">
        <f>'001'!C952</f>
        <v>IMPREGNANTE PARA MADERA PLAVICON LASUR SATINADO ROBLE X  4</v>
      </c>
      <c r="C952" s="1" t="str">
        <f>'001'!D952</f>
        <v>0139</v>
      </c>
      <c r="D952" s="3" t="e">
        <f>'001'!H952</f>
        <v>#VALUE!</v>
      </c>
    </row>
    <row r="953" spans="1:4" x14ac:dyDescent="0.25">
      <c r="A953" s="1" t="str">
        <f>'001'!B953</f>
        <v>001317</v>
      </c>
      <c r="B953" s="1" t="str">
        <f>'001'!C953</f>
        <v>LATEX INTERIOR ALBALATEX MATE BASE T X 17,400</v>
      </c>
      <c r="C953" s="1" t="str">
        <f>'001'!D953</f>
        <v>0108</v>
      </c>
      <c r="D953" s="3" t="e">
        <f>'001'!H953</f>
        <v>#VALUE!</v>
      </c>
    </row>
    <row r="954" spans="1:4" x14ac:dyDescent="0.25">
      <c r="A954" s="1" t="str">
        <f>'001'!B954</f>
        <v>001318</v>
      </c>
      <c r="B954" s="1" t="str">
        <f>'001'!C954</f>
        <v>LATEX EXTERIOR DURALBA MATE BASE T X 17,400</v>
      </c>
      <c r="C954" s="1" t="str">
        <f>'001'!D954</f>
        <v>0108</v>
      </c>
      <c r="D954" s="3" t="e">
        <f>'001'!H954</f>
        <v>#VALUE!</v>
      </c>
    </row>
    <row r="955" spans="1:4" x14ac:dyDescent="0.25">
      <c r="A955" s="1" t="str">
        <f>'001'!B955</f>
        <v>001319</v>
      </c>
      <c r="B955" s="1" t="str">
        <f>'001'!C955</f>
        <v>PEGAMENTO PARA ZAPATILLAS ECCOLE X 0,09</v>
      </c>
      <c r="C955" s="1" t="str">
        <f>'001'!D955</f>
        <v>0140</v>
      </c>
      <c r="D955" s="3" t="e">
        <f>'001'!H955</f>
        <v>#VALUE!</v>
      </c>
    </row>
    <row r="956" spans="1:4" x14ac:dyDescent="0.25">
      <c r="A956" s="1" t="str">
        <f>'001'!B956</f>
        <v>001320</v>
      </c>
      <c r="B956" s="1" t="str">
        <f>'001'!C956</f>
        <v>RODILLO FUCO SATINADO BLANCO 17/50</v>
      </c>
      <c r="C956" s="1" t="str">
        <f>'001'!D956</f>
        <v>0125</v>
      </c>
      <c r="D956" s="3" t="e">
        <f>'001'!H956</f>
        <v>#VALUE!</v>
      </c>
    </row>
    <row r="957" spans="1:4" x14ac:dyDescent="0.25">
      <c r="A957" s="1" t="str">
        <f>'001'!B957</f>
        <v>001321</v>
      </c>
      <c r="B957" s="1" t="str">
        <f>'001'!C957</f>
        <v>RODILLO FUCO SATINADO BLANCO 22/50</v>
      </c>
      <c r="C957" s="1" t="str">
        <f>'001'!D957</f>
        <v>0125</v>
      </c>
      <c r="D957" s="3" t="e">
        <f>'001'!H957</f>
        <v>#VALUE!</v>
      </c>
    </row>
    <row r="958" spans="1:4" x14ac:dyDescent="0.25">
      <c r="A958" s="1" t="str">
        <f>'001'!B958</f>
        <v>001322</v>
      </c>
      <c r="B958" s="1" t="str">
        <f>'001'!C958</f>
        <v>RODILLO FUCO BLANCO 10/50</v>
      </c>
      <c r="C958" s="1" t="str">
        <f>'001'!D958</f>
        <v>0125</v>
      </c>
      <c r="D958" s="3" t="e">
        <f>'001'!H958</f>
        <v>#VALUE!</v>
      </c>
    </row>
    <row r="959" spans="1:4" x14ac:dyDescent="0.25">
      <c r="A959" s="1" t="str">
        <f>'001'!B959</f>
        <v>001323</v>
      </c>
      <c r="B959" s="1" t="str">
        <f>'001'!C959</f>
        <v>RODILLO FUCO BLANCO 17/50</v>
      </c>
      <c r="C959" s="1" t="str">
        <f>'001'!D959</f>
        <v>0125</v>
      </c>
      <c r="D959" s="3" t="e">
        <f>'001'!H959</f>
        <v>#VALUE!</v>
      </c>
    </row>
    <row r="960" spans="1:4" x14ac:dyDescent="0.25">
      <c r="A960" s="1" t="str">
        <f>'001'!B960</f>
        <v>001324</v>
      </c>
      <c r="B960" s="1" t="str">
        <f>'001'!C960</f>
        <v>RODILLO FUCO BLANCO 22/50</v>
      </c>
      <c r="C960" s="1" t="str">
        <f>'001'!D960</f>
        <v>0125</v>
      </c>
      <c r="D960" s="3" t="e">
        <f>'001'!H960</f>
        <v>#VALUE!</v>
      </c>
    </row>
    <row r="961" spans="1:4" x14ac:dyDescent="0.25">
      <c r="A961" s="1" t="str">
        <f>'001'!B961</f>
        <v>001325</v>
      </c>
      <c r="B961" s="1" t="str">
        <f>'001'!C961</f>
        <v>RODILLO FUCO ORO 10/50</v>
      </c>
      <c r="C961" s="1" t="str">
        <f>'001'!D961</f>
        <v>0125</v>
      </c>
      <c r="D961" s="3" t="e">
        <f>'001'!H961</f>
        <v>#VALUE!</v>
      </c>
    </row>
    <row r="962" spans="1:4" x14ac:dyDescent="0.25">
      <c r="A962" s="1" t="str">
        <f>'001'!B962</f>
        <v>001326</v>
      </c>
      <c r="B962" s="1" t="str">
        <f>'001'!C962</f>
        <v>RODILLO FUCO ORO 17/50</v>
      </c>
      <c r="C962" s="1" t="str">
        <f>'001'!D962</f>
        <v>0125</v>
      </c>
      <c r="D962" s="3" t="e">
        <f>'001'!H962</f>
        <v>#VALUE!</v>
      </c>
    </row>
    <row r="963" spans="1:4" x14ac:dyDescent="0.25">
      <c r="A963" s="1" t="str">
        <f>'001'!B963</f>
        <v>001327</v>
      </c>
      <c r="B963" s="1" t="str">
        <f>'001'!C963</f>
        <v>RODILLO FUCO ORO 22/50</v>
      </c>
      <c r="C963" s="1" t="str">
        <f>'001'!D963</f>
        <v>0125</v>
      </c>
      <c r="D963" s="3" t="e">
        <f>'001'!H963</f>
        <v>#VALUE!</v>
      </c>
    </row>
    <row r="964" spans="1:4" x14ac:dyDescent="0.25">
      <c r="A964" s="1" t="str">
        <f>'001'!B964</f>
        <v>001332</v>
      </c>
      <c r="B964" s="1" t="str">
        <f>'001'!C964</f>
        <v>IMPREGNANTE PARA MADERA PLAVICON LASUR SATINADO NATURAL X  1</v>
      </c>
      <c r="C964" s="1" t="str">
        <f>'001'!D964</f>
        <v>0139</v>
      </c>
      <c r="D964" s="3" t="e">
        <f>'001'!H964</f>
        <v>#VALUE!</v>
      </c>
    </row>
    <row r="965" spans="1:4" x14ac:dyDescent="0.25">
      <c r="A965" s="1" t="str">
        <f>'001'!B965</f>
        <v>001333</v>
      </c>
      <c r="B965" s="1" t="str">
        <f>'001'!C965</f>
        <v>IMPREGNANTE PARA MADERA PLAVICON LASUR SATINADO NATURAL X  4</v>
      </c>
      <c r="C965" s="1" t="str">
        <f>'001'!D965</f>
        <v>0139</v>
      </c>
      <c r="D965" s="3" t="e">
        <f>'001'!H965</f>
        <v>#VALUE!</v>
      </c>
    </row>
    <row r="966" spans="1:4" x14ac:dyDescent="0.25">
      <c r="A966" s="1" t="str">
        <f>'001'!B966</f>
        <v>001334</v>
      </c>
      <c r="B966" s="1" t="str">
        <f>'001'!C966</f>
        <v>IMPREGNANTE PARA MADERA PLAVICON LASUR SATINADO NATURAL X 20</v>
      </c>
      <c r="C966" s="1" t="str">
        <f>'001'!D966</f>
        <v>0139</v>
      </c>
      <c r="D966" s="3" t="e">
        <f>'001'!H966</f>
        <v>#VALUE!</v>
      </c>
    </row>
    <row r="967" spans="1:4" x14ac:dyDescent="0.25">
      <c r="A967" s="1" t="str">
        <f>'001'!B967</f>
        <v>001335</v>
      </c>
      <c r="B967" s="1" t="str">
        <f>'001'!C967</f>
        <v>IMPREGNANTE PARA MADERA PLAVICON LASUR SATINADO CEDRO X  1</v>
      </c>
      <c r="C967" s="1" t="str">
        <f>'001'!D967</f>
        <v>0139</v>
      </c>
      <c r="D967" s="3" t="e">
        <f>'001'!H967</f>
        <v>#VALUE!</v>
      </c>
    </row>
    <row r="968" spans="1:4" x14ac:dyDescent="0.25">
      <c r="A968" s="1" t="str">
        <f>'001'!B968</f>
        <v>001336</v>
      </c>
      <c r="B968" s="1" t="str">
        <f>'001'!C968</f>
        <v>IMPREGNANTE PARA MADERA PLAVICON LASUR SATINADO CEDRO X  4</v>
      </c>
      <c r="C968" s="1" t="str">
        <f>'001'!D968</f>
        <v>0139</v>
      </c>
      <c r="D968" s="3" t="e">
        <f>'001'!H968</f>
        <v>#VALUE!</v>
      </c>
    </row>
    <row r="969" spans="1:4" x14ac:dyDescent="0.25">
      <c r="A969" s="1" t="str">
        <f>'001'!B969</f>
        <v>001337</v>
      </c>
      <c r="B969" s="1" t="str">
        <f>'001'!C969</f>
        <v>IMPREGNANTE PARA MADERA PLAVICON LASUR SATINADO CEDRO X 20</v>
      </c>
      <c r="C969" s="1" t="str">
        <f>'001'!D969</f>
        <v>0139</v>
      </c>
      <c r="D969" s="3" t="e">
        <f>'001'!H969</f>
        <v>#VALUE!</v>
      </c>
    </row>
    <row r="970" spans="1:4" x14ac:dyDescent="0.25">
      <c r="A970" s="1" t="str">
        <f>'001'!B970</f>
        <v>001338</v>
      </c>
      <c r="B970" s="1" t="str">
        <f>'001'!C970</f>
        <v>LATEX INTERIOR TERSUAVE LAVABLE MATE BLANCO X  1</v>
      </c>
      <c r="C970" s="1" t="str">
        <f>'001'!D970</f>
        <v>0152</v>
      </c>
      <c r="D970" s="3" t="e">
        <f>'001'!H970</f>
        <v>#VALUE!</v>
      </c>
    </row>
    <row r="971" spans="1:4" x14ac:dyDescent="0.25">
      <c r="A971" s="1" t="str">
        <f>'001'!B971</f>
        <v>001339</v>
      </c>
      <c r="B971" s="1" t="str">
        <f>'001'!C971</f>
        <v>LATEX INTERIOR TERSUAVE LAVABLE MATE BLANCO X  4</v>
      </c>
      <c r="C971" s="1" t="str">
        <f>'001'!D971</f>
        <v>0152</v>
      </c>
      <c r="D971" s="3" t="e">
        <f>'001'!H971</f>
        <v>#VALUE!</v>
      </c>
    </row>
    <row r="972" spans="1:4" x14ac:dyDescent="0.25">
      <c r="A972" s="1" t="str">
        <f>'001'!B972</f>
        <v>001340</v>
      </c>
      <c r="B972" s="1" t="str">
        <f>'001'!C972</f>
        <v>LATEX INTERIOR TERSUAVE LAVABLE MATE BLANCO X 10</v>
      </c>
      <c r="C972" s="1" t="str">
        <f>'001'!D972</f>
        <v>0152</v>
      </c>
      <c r="D972" s="3" t="e">
        <f>'001'!H972</f>
        <v>#VALUE!</v>
      </c>
    </row>
    <row r="973" spans="1:4" x14ac:dyDescent="0.25">
      <c r="A973" s="1" t="str">
        <f>'001'!B973</f>
        <v>001341</v>
      </c>
      <c r="B973" s="1" t="str">
        <f>'001'!C973</f>
        <v>LATEX INTERIOR TERSUAVE LAVABLE MATE BLANCO X 20</v>
      </c>
      <c r="C973" s="1" t="str">
        <f>'001'!D973</f>
        <v>0152</v>
      </c>
      <c r="D973" s="3" t="e">
        <f>'001'!H973</f>
        <v>#VALUE!</v>
      </c>
    </row>
    <row r="974" spans="1:4" x14ac:dyDescent="0.25">
      <c r="A974" s="1" t="str">
        <f>'001'!B974</f>
        <v>001342</v>
      </c>
      <c r="B974" s="1" t="str">
        <f>'001'!C974</f>
        <v>LATEX INTERIOR TERSINOL BLANCO X  4</v>
      </c>
      <c r="C974" s="1" t="str">
        <f>'001'!D974</f>
        <v>0152</v>
      </c>
      <c r="D974" s="3" t="e">
        <f>'001'!H974</f>
        <v>#VALUE!</v>
      </c>
    </row>
    <row r="975" spans="1:4" x14ac:dyDescent="0.25">
      <c r="A975" s="1" t="str">
        <f>'001'!B975</f>
        <v>001343</v>
      </c>
      <c r="B975" s="1" t="str">
        <f>'001'!C975</f>
        <v>LATEX INTERIOR TERSINOL BLANCO X 10</v>
      </c>
      <c r="C975" s="1" t="str">
        <f>'001'!D975</f>
        <v>0152</v>
      </c>
      <c r="D975" s="3" t="e">
        <f>'001'!H975</f>
        <v>#VALUE!</v>
      </c>
    </row>
    <row r="976" spans="1:4" x14ac:dyDescent="0.25">
      <c r="A976" s="1" t="str">
        <f>'001'!B976</f>
        <v>001344</v>
      </c>
      <c r="B976" s="1" t="str">
        <f>'001'!C976</f>
        <v>LATEX INTERIOR TERSINOL BLANCO X 20</v>
      </c>
      <c r="C976" s="1" t="str">
        <f>'001'!D976</f>
        <v>0152</v>
      </c>
      <c r="D976" s="3" t="e">
        <f>'001'!H976</f>
        <v>#VALUE!</v>
      </c>
    </row>
    <row r="977" spans="1:4" x14ac:dyDescent="0.25">
      <c r="A977" s="1" t="str">
        <f>'001'!B977</f>
        <v>001345</v>
      </c>
      <c r="B977" s="1" t="str">
        <f>'001'!C977</f>
        <v>LATEX PARA CIELORRASOS TERSEN MATE BLANCO X  1</v>
      </c>
      <c r="C977" s="1" t="str">
        <f>'001'!D977</f>
        <v>0152</v>
      </c>
      <c r="D977" s="3" t="e">
        <f>'001'!H977</f>
        <v>#VALUE!</v>
      </c>
    </row>
    <row r="978" spans="1:4" x14ac:dyDescent="0.25">
      <c r="A978" s="1" t="str">
        <f>'001'!B978</f>
        <v>001346</v>
      </c>
      <c r="B978" s="1" t="str">
        <f>'001'!C978</f>
        <v>LATEX PARA CIELORRASOS TERSEN MATE BLANCO X  4</v>
      </c>
      <c r="C978" s="1" t="str">
        <f>'001'!D978</f>
        <v>0152</v>
      </c>
      <c r="D978" s="3" t="e">
        <f>'001'!H978</f>
        <v>#VALUE!</v>
      </c>
    </row>
    <row r="979" spans="1:4" x14ac:dyDescent="0.25">
      <c r="A979" s="1" t="str">
        <f>'001'!B979</f>
        <v>001347</v>
      </c>
      <c r="B979" s="1" t="str">
        <f>'001'!C979</f>
        <v>LATEX PARA CIELORRASOS TERSEN MATE BLANCO X 10</v>
      </c>
      <c r="C979" s="1" t="str">
        <f>'001'!D979</f>
        <v>0152</v>
      </c>
      <c r="D979" s="3" t="e">
        <f>'001'!H979</f>
        <v>#VALUE!</v>
      </c>
    </row>
    <row r="980" spans="1:4" x14ac:dyDescent="0.25">
      <c r="A980" s="1" t="str">
        <f>'001'!B980</f>
        <v>001348</v>
      </c>
      <c r="B980" s="1" t="str">
        <f>'001'!C980</f>
        <v>LATEX PARA CIELORRASOS TERSEN MATE BLANCO X 20</v>
      </c>
      <c r="C980" s="1" t="str">
        <f>'001'!D980</f>
        <v>0152</v>
      </c>
      <c r="D980" s="3" t="e">
        <f>'001'!H980</f>
        <v>#VALUE!</v>
      </c>
    </row>
    <row r="981" spans="1:4" x14ac:dyDescent="0.25">
      <c r="A981" s="1" t="str">
        <f>'001'!B981</f>
        <v>001353</v>
      </c>
      <c r="B981" s="1" t="str">
        <f>'001'!C981</f>
        <v>ENDUIDO INTERIOR TERSUAVE X  1</v>
      </c>
      <c r="C981" s="1" t="str">
        <f>'001'!D981</f>
        <v>0152</v>
      </c>
      <c r="D981" s="3" t="e">
        <f>'001'!H981</f>
        <v>#VALUE!</v>
      </c>
    </row>
    <row r="982" spans="1:4" x14ac:dyDescent="0.25">
      <c r="A982" s="1" t="str">
        <f>'001'!B982</f>
        <v>001354</v>
      </c>
      <c r="B982" s="1" t="str">
        <f>'001'!C982</f>
        <v>ENDUIDO INTERIOR TERSUAVE X  4</v>
      </c>
      <c r="C982" s="1" t="str">
        <f>'001'!D982</f>
        <v>0152</v>
      </c>
      <c r="D982" s="3" t="e">
        <f>'001'!H982</f>
        <v>#VALUE!</v>
      </c>
    </row>
    <row r="983" spans="1:4" x14ac:dyDescent="0.25">
      <c r="A983" s="1" t="str">
        <f>'001'!B983</f>
        <v>001355</v>
      </c>
      <c r="B983" s="1" t="str">
        <f>'001'!C983</f>
        <v>ENDUIDO INTERIOR TERSUAVE X 10</v>
      </c>
      <c r="C983" s="1" t="str">
        <f>'001'!D983</f>
        <v>0152</v>
      </c>
      <c r="D983" s="3" t="e">
        <f>'001'!H983</f>
        <v>#VALUE!</v>
      </c>
    </row>
    <row r="984" spans="1:4" x14ac:dyDescent="0.25">
      <c r="A984" s="1" t="str">
        <f>'001'!B984</f>
        <v>001356</v>
      </c>
      <c r="B984" s="1" t="str">
        <f>'001'!C984</f>
        <v>ENDUIDO INTERIOR TERSUAVE X 20</v>
      </c>
      <c r="C984" s="1" t="str">
        <f>'001'!D984</f>
        <v>0152</v>
      </c>
      <c r="D984" s="3" t="e">
        <f>'001'!H984</f>
        <v>#VALUE!</v>
      </c>
    </row>
    <row r="985" spans="1:4" x14ac:dyDescent="0.25">
      <c r="A985" s="1" t="str">
        <f>'001'!B985</f>
        <v>001359</v>
      </c>
      <c r="B985" s="1" t="str">
        <f>'001'!C985</f>
        <v>IMPREGNANTE PARA MADERA PLAVICON LASUR SATINADO ROBLE X 20</v>
      </c>
      <c r="C985" s="1" t="str">
        <f>'001'!D985</f>
        <v>0139</v>
      </c>
      <c r="D985" s="3" t="e">
        <f>'001'!H985</f>
        <v>#VALUE!</v>
      </c>
    </row>
    <row r="986" spans="1:4" x14ac:dyDescent="0.25">
      <c r="A986" s="1" t="str">
        <f>'001'!B986</f>
        <v>001360</v>
      </c>
      <c r="B986" s="1" t="str">
        <f>'001'!C986</f>
        <v>END010.11 CATALIZADOR NORMAL ACS X 1</v>
      </c>
      <c r="C986" s="1" t="str">
        <f>'001'!D986</f>
        <v>0132</v>
      </c>
      <c r="D986" s="3" t="e">
        <f>'001'!H986</f>
        <v>#VALUE!</v>
      </c>
    </row>
    <row r="987" spans="1:4" x14ac:dyDescent="0.25">
      <c r="A987" s="1" t="str">
        <f>'001'!B987</f>
        <v>001361</v>
      </c>
      <c r="B987" s="1" t="str">
        <f>'001'!C987</f>
        <v>IMPREGNANTE PARA MADERA PLAVICON LASUR SATINADO CAOBA  X  1</v>
      </c>
      <c r="C987" s="1" t="str">
        <f>'001'!D987</f>
        <v>0139</v>
      </c>
      <c r="D987" s="3" t="e">
        <f>'001'!H987</f>
        <v>#VALUE!</v>
      </c>
    </row>
    <row r="988" spans="1:4" x14ac:dyDescent="0.25">
      <c r="A988" s="1" t="str">
        <f>'001'!B988</f>
        <v>001362</v>
      </c>
      <c r="B988" s="1" t="str">
        <f>'001'!C988</f>
        <v>IMPREGNANTE PARA MADERA PLAVICON LASUR SATINADO CAOBA X  4</v>
      </c>
      <c r="C988" s="1" t="str">
        <f>'001'!D988</f>
        <v>0139</v>
      </c>
      <c r="D988" s="3" t="e">
        <f>'001'!H988</f>
        <v>#VALUE!</v>
      </c>
    </row>
    <row r="989" spans="1:4" x14ac:dyDescent="0.25">
      <c r="A989" s="1" t="str">
        <f>'001'!B989</f>
        <v>001363</v>
      </c>
      <c r="B989" s="1" t="str">
        <f>'001'!C989</f>
        <v>IMPREGNANTE PARA MADERA PLAVICON LASUR SATINADO CAOBA X 20</v>
      </c>
      <c r="C989" s="1" t="str">
        <f>'001'!D989</f>
        <v>0139</v>
      </c>
      <c r="D989" s="3" t="e">
        <f>'001'!H989</f>
        <v>#VALUE!</v>
      </c>
    </row>
    <row r="990" spans="1:4" x14ac:dyDescent="0.25">
      <c r="A990" s="1" t="str">
        <f>'001'!B990</f>
        <v>001364</v>
      </c>
      <c r="B990" s="1" t="str">
        <f>'001'!C990</f>
        <v>IMPREGNANTE PARA MADERA PLAVICON LASUR SATINADO NOGAL X  1</v>
      </c>
      <c r="C990" s="1" t="str">
        <f>'001'!D990</f>
        <v>0139</v>
      </c>
      <c r="D990" s="3" t="e">
        <f>'001'!H990</f>
        <v>#VALUE!</v>
      </c>
    </row>
    <row r="991" spans="1:4" x14ac:dyDescent="0.25">
      <c r="A991" s="1" t="str">
        <f>'001'!B991</f>
        <v>001365</v>
      </c>
      <c r="B991" s="1" t="str">
        <f>'001'!C991</f>
        <v>IMPREGNANTE PARA MADERA PLAVICON LASUR SATINADO NOGAL X  4</v>
      </c>
      <c r="C991" s="1" t="str">
        <f>'001'!D991</f>
        <v>0139</v>
      </c>
      <c r="D991" s="3" t="e">
        <f>'001'!H991</f>
        <v>#VALUE!</v>
      </c>
    </row>
    <row r="992" spans="1:4" x14ac:dyDescent="0.25">
      <c r="A992" s="1" t="str">
        <f>'001'!B992</f>
        <v>001366</v>
      </c>
      <c r="B992" s="1" t="str">
        <f>'001'!C992</f>
        <v>IMPREGNANTE PARA MADERA PLAVICON LASUR SATINADO NOGAL X 20</v>
      </c>
      <c r="C992" s="1" t="str">
        <f>'001'!D992</f>
        <v>0139</v>
      </c>
      <c r="D992" s="3" t="e">
        <f>'001'!H992</f>
        <v>#VALUE!</v>
      </c>
    </row>
    <row r="993" spans="1:4" x14ac:dyDescent="0.25">
      <c r="A993" s="1" t="str">
        <f>'001'!B993</f>
        <v>001367</v>
      </c>
      <c r="B993" s="1" t="str">
        <f>'001'!C993</f>
        <v>IMPREGNANTE PARA MADERA PLAVICON LASUR SATINADO CRISTAL X  1</v>
      </c>
      <c r="C993" s="1" t="str">
        <f>'001'!D993</f>
        <v>0139</v>
      </c>
      <c r="D993" s="3" t="e">
        <f>'001'!H993</f>
        <v>#VALUE!</v>
      </c>
    </row>
    <row r="994" spans="1:4" x14ac:dyDescent="0.25">
      <c r="A994" s="1" t="str">
        <f>'001'!B994</f>
        <v>001373</v>
      </c>
      <c r="B994" s="1" t="str">
        <f>'001'!C994</f>
        <v>MASILLA PARA MADERA COLVINIL NATURAL X 0,250</v>
      </c>
      <c r="C994" s="1" t="str">
        <f>'001'!D994</f>
        <v>0119</v>
      </c>
      <c r="D994" s="3" t="e">
        <f>'001'!H994</f>
        <v>#VALUE!</v>
      </c>
    </row>
    <row r="995" spans="1:4" x14ac:dyDescent="0.25">
      <c r="A995" s="1" t="str">
        <f>'001'!B995</f>
        <v>001374</v>
      </c>
      <c r="B995" s="1" t="str">
        <f>'001'!C995</f>
        <v>MASILLA PARA MADERA COLVINIL CAOBA X 0,250</v>
      </c>
      <c r="C995" s="1" t="str">
        <f>'001'!D995</f>
        <v>0119</v>
      </c>
      <c r="D995" s="3" t="e">
        <f>'001'!H995</f>
        <v>#VALUE!</v>
      </c>
    </row>
    <row r="996" spans="1:4" x14ac:dyDescent="0.25">
      <c r="A996" s="1" t="str">
        <f>'001'!B996</f>
        <v>001375</v>
      </c>
      <c r="B996" s="1" t="str">
        <f>'001'!C996</f>
        <v>MASILLA PARA MADERA COLVINIL ROBLE X 0,250</v>
      </c>
      <c r="C996" s="1" t="str">
        <f>'001'!D996</f>
        <v>0119</v>
      </c>
      <c r="D996" s="3" t="e">
        <f>'001'!H996</f>
        <v>#VALUE!</v>
      </c>
    </row>
    <row r="997" spans="1:4" x14ac:dyDescent="0.25">
      <c r="A997" s="1" t="str">
        <f>'001'!B997</f>
        <v>001376</v>
      </c>
      <c r="B997" s="1" t="str">
        <f>'001'!C997</f>
        <v>MASILLA PARA MADERA COLVINIL CEDRO X 0,250</v>
      </c>
      <c r="C997" s="1" t="str">
        <f>'001'!D997</f>
        <v>0119</v>
      </c>
      <c r="D997" s="3" t="e">
        <f>'001'!H997</f>
        <v>#VALUE!</v>
      </c>
    </row>
    <row r="998" spans="1:4" x14ac:dyDescent="0.25">
      <c r="A998" s="1" t="str">
        <f>'001'!B998</f>
        <v>001377</v>
      </c>
      <c r="B998" s="1" t="str">
        <f>'001'!C998</f>
        <v>MASILLA PARA MADERA COLVINIL ALGARROBO X 0,250</v>
      </c>
      <c r="C998" s="1" t="str">
        <f>'001'!D998</f>
        <v>0119</v>
      </c>
      <c r="D998" s="3" t="e">
        <f>'001'!H998</f>
        <v>#VALUE!</v>
      </c>
    </row>
    <row r="999" spans="1:4" x14ac:dyDescent="0.25">
      <c r="A999" s="1" t="str">
        <f>'001'!B999</f>
        <v>001379</v>
      </c>
      <c r="B999" s="1" t="str">
        <f>'001'!C999</f>
        <v>IMPREGNANTE PARA MADERA PLAVICON LASUR SATINADO CRISTAL X  4</v>
      </c>
      <c r="C999" s="1" t="str">
        <f>'001'!D999</f>
        <v>0139</v>
      </c>
      <c r="D999" s="3" t="e">
        <f>'001'!H999</f>
        <v>#VALUE!</v>
      </c>
    </row>
    <row r="1000" spans="1:4" x14ac:dyDescent="0.25">
      <c r="A1000" s="1" t="str">
        <f>'001'!B1000</f>
        <v>001380</v>
      </c>
      <c r="B1000" s="1" t="str">
        <f>'001'!C1000</f>
        <v>BURLETE ADHESIVO 13MM X 50MTS</v>
      </c>
      <c r="C1000" s="1" t="str">
        <f>'001'!D1000</f>
        <v>0167</v>
      </c>
      <c r="D1000" s="3" t="e">
        <f>'001'!H1000</f>
        <v>#VALUE!</v>
      </c>
    </row>
    <row r="1001" spans="1:4" x14ac:dyDescent="0.25">
      <c r="A1001" s="1" t="str">
        <f>'001'!B1001</f>
        <v>001382</v>
      </c>
      <c r="B1001" s="1" t="str">
        <f>'001'!C1001</f>
        <v>ESMALTE SINTETICO TERSUAVE 2EN1 SATINADO BLANCO X  0,500</v>
      </c>
      <c r="C1001" s="1" t="str">
        <f>'001'!D1001</f>
        <v>0152</v>
      </c>
      <c r="D1001" s="3" t="e">
        <f>'001'!H1001</f>
        <v>#VALUE!</v>
      </c>
    </row>
    <row r="1002" spans="1:4" x14ac:dyDescent="0.25">
      <c r="A1002" s="1" t="str">
        <f>'001'!B1002</f>
        <v>001383</v>
      </c>
      <c r="B1002" s="1" t="str">
        <f>'001'!C1002</f>
        <v>ESMALTE SINTETICO TERSUAVE 2EN1 SATINADO BLANCO X  1</v>
      </c>
      <c r="C1002" s="1" t="str">
        <f>'001'!D1002</f>
        <v>0152</v>
      </c>
      <c r="D1002" s="3" t="e">
        <f>'001'!H1002</f>
        <v>#VALUE!</v>
      </c>
    </row>
    <row r="1003" spans="1:4" x14ac:dyDescent="0.25">
      <c r="A1003" s="1" t="str">
        <f>'001'!B1003</f>
        <v>001384</v>
      </c>
      <c r="B1003" s="1" t="str">
        <f>'001'!C1003</f>
        <v>ESMALTE SINTETICO TERSUAVE 2EN1 SATINADO BLANCO X  4</v>
      </c>
      <c r="C1003" s="1" t="str">
        <f>'001'!D1003</f>
        <v>0152</v>
      </c>
      <c r="D1003" s="3" t="e">
        <f>'001'!H1003</f>
        <v>#VALUE!</v>
      </c>
    </row>
    <row r="1004" spans="1:4" x14ac:dyDescent="0.25">
      <c r="A1004" s="1" t="str">
        <f>'001'!B1004</f>
        <v>001385</v>
      </c>
      <c r="B1004" s="1" t="str">
        <f>'001'!C1004</f>
        <v>ESMALTE SINTETICO TERSUAVE 2EN1 SATINADO NEGRO X  0,500</v>
      </c>
      <c r="C1004" s="1" t="str">
        <f>'001'!D1004</f>
        <v>0152</v>
      </c>
      <c r="D1004" s="3" t="e">
        <f>'001'!H1004</f>
        <v>#VALUE!</v>
      </c>
    </row>
    <row r="1005" spans="1:4" x14ac:dyDescent="0.25">
      <c r="A1005" s="1" t="str">
        <f>'001'!B1005</f>
        <v>001386</v>
      </c>
      <c r="B1005" s="1" t="str">
        <f>'001'!C1005</f>
        <v>ESMALTE SINTETICO TERSUAVE 2EN1 SATINADO BLANCO X 20</v>
      </c>
      <c r="C1005" s="1" t="str">
        <f>'001'!D1005</f>
        <v>0152</v>
      </c>
      <c r="D1005" s="3" t="e">
        <f>'001'!H1005</f>
        <v>#VALUE!</v>
      </c>
    </row>
    <row r="1006" spans="1:4" x14ac:dyDescent="0.25">
      <c r="A1006" s="1" t="str">
        <f>'001'!B1006</f>
        <v>001387</v>
      </c>
      <c r="B1006" s="1" t="str">
        <f>'001'!C1006</f>
        <v>M01.17 MASILLA POLIESTER ACS EVOLUTION X 1.000</v>
      </c>
      <c r="C1006" s="1" t="str">
        <f>'001'!D1006</f>
        <v>0132</v>
      </c>
      <c r="D1006" s="3" t="e">
        <f>'001'!H1006</f>
        <v>#VALUE!</v>
      </c>
    </row>
    <row r="1007" spans="1:4" x14ac:dyDescent="0.25">
      <c r="A1007" s="1" t="str">
        <f>'001'!B1007</f>
        <v>001389</v>
      </c>
      <c r="B1007" s="1" t="str">
        <f>'001'!C1007</f>
        <v>ESMALTE SINTETICO TERSUAVE 2EN1 SATINADO NEGRO X  1</v>
      </c>
      <c r="C1007" s="1" t="str">
        <f>'001'!D1007</f>
        <v>0152</v>
      </c>
      <c r="D1007" s="3" t="e">
        <f>'001'!H1007</f>
        <v>#VALUE!</v>
      </c>
    </row>
    <row r="1008" spans="1:4" x14ac:dyDescent="0.25">
      <c r="A1008" s="1" t="str">
        <f>'001'!B1008</f>
        <v>001391</v>
      </c>
      <c r="B1008" s="1" t="str">
        <f>'001'!C1008</f>
        <v>IMPREGNANTE PARA MADERA PLAVICON LASUR SATINADO CRISTAL X 20</v>
      </c>
      <c r="C1008" s="1" t="str">
        <f>'001'!D1008</f>
        <v>0139</v>
      </c>
      <c r="D1008" s="3" t="e">
        <f>'001'!H1008</f>
        <v>#VALUE!</v>
      </c>
    </row>
    <row r="1009" spans="1:4" x14ac:dyDescent="0.25">
      <c r="A1009" s="1" t="str">
        <f>'001'!B1009</f>
        <v>001392</v>
      </c>
      <c r="B1009" s="1" t="str">
        <f>'001'!C1009</f>
        <v>ESMALTE SINTETICO TERSUAVE 2EN1 SATINADO NEGRO X 20</v>
      </c>
      <c r="C1009" s="1" t="str">
        <f>'001'!D1009</f>
        <v>0152</v>
      </c>
      <c r="D1009" s="3" t="e">
        <f>'001'!H1009</f>
        <v>#VALUE!</v>
      </c>
    </row>
    <row r="1010" spans="1:4" x14ac:dyDescent="0.25">
      <c r="A1010" s="1" t="str">
        <f>'001'!B1010</f>
        <v>001396</v>
      </c>
      <c r="B1010" s="1" t="str">
        <f>'001'!C1010</f>
        <v>ESMALTE SINTETICO TERSUAVE 2EN1 SATINADO NEGRO X  4</v>
      </c>
      <c r="C1010" s="1" t="str">
        <f>'001'!D1010</f>
        <v>0152</v>
      </c>
      <c r="D1010" s="3" t="e">
        <f>'001'!H1010</f>
        <v>#VALUE!</v>
      </c>
    </row>
    <row r="1011" spans="1:4" x14ac:dyDescent="0.25">
      <c r="A1011" s="1" t="str">
        <f>'001'!B1011</f>
        <v>001397</v>
      </c>
      <c r="B1011" s="1" t="str">
        <f>'001'!C1011</f>
        <v>ESMALTE SINTETICO PLAVICON 3EN1 BRILLANTE TABACO X 20</v>
      </c>
      <c r="C1011" s="1" t="str">
        <f>'001'!D1011</f>
        <v>0139</v>
      </c>
      <c r="D1011" s="3" t="e">
        <f>'001'!H1011</f>
        <v>#VALUE!</v>
      </c>
    </row>
    <row r="1012" spans="1:4" x14ac:dyDescent="0.25">
      <c r="A1012" s="1" t="str">
        <f>'001'!B1012</f>
        <v>001398</v>
      </c>
      <c r="B1012" s="1" t="str">
        <f>'001'!C1012</f>
        <v>AEROSOL RUST-OLEUM ESMALTE SINTETICO PARA MOTOR AZUL FORD X 0,340 (248945)</v>
      </c>
      <c r="C1012" s="1" t="str">
        <f>'001'!D1012</f>
        <v>0902</v>
      </c>
      <c r="D1012" s="3" t="e">
        <f>'001'!H1012</f>
        <v>#VALUE!</v>
      </c>
    </row>
    <row r="1013" spans="1:4" x14ac:dyDescent="0.25">
      <c r="A1013" s="1" t="str">
        <f>'001'!B1013</f>
        <v>001399</v>
      </c>
      <c r="B1013" s="1" t="str">
        <f>'001'!C1013</f>
        <v>AEROSOL RUST-OLEUM ESMALTE SINTETICO PARA MOTOR ALUMINIO X 0,340 (248949/371260)</v>
      </c>
      <c r="C1013" s="1" t="str">
        <f>'001'!D1013</f>
        <v>0145</v>
      </c>
      <c r="D1013" s="3" t="e">
        <f>'001'!H1013</f>
        <v>#VALUE!</v>
      </c>
    </row>
    <row r="1014" spans="1:4" x14ac:dyDescent="0.25">
      <c r="A1014" s="1" t="str">
        <f>'001'!B1014</f>
        <v>001400</v>
      </c>
      <c r="B1014" s="1" t="str">
        <f>'001'!C1014</f>
        <v>LACA PARA MADERA 7 VIDAS EXTERIOR NATURAL X 0,500</v>
      </c>
      <c r="C1014" s="1" t="str">
        <f>'001'!D1014</f>
        <v>0138</v>
      </c>
      <c r="D1014" s="3" t="e">
        <f>'001'!H1014</f>
        <v>#VALUE!</v>
      </c>
    </row>
    <row r="1015" spans="1:4" x14ac:dyDescent="0.25">
      <c r="A1015" s="1" t="str">
        <f>'001'!B1015</f>
        <v>001401</v>
      </c>
      <c r="B1015" s="1" t="str">
        <f>'001'!C1015</f>
        <v>LACA PARA MADERA 7 VIDAS EXTERIOR NATURAL X 1</v>
      </c>
      <c r="C1015" s="1" t="str">
        <f>'001'!D1015</f>
        <v>0138</v>
      </c>
      <c r="D1015" s="3" t="e">
        <f>'001'!H1015</f>
        <v>#VALUE!</v>
      </c>
    </row>
    <row r="1016" spans="1:4" x14ac:dyDescent="0.25">
      <c r="A1016" s="1" t="str">
        <f>'001'!B1016</f>
        <v>001402</v>
      </c>
      <c r="B1016" s="1" t="str">
        <f>'001'!C1016</f>
        <v>LACA PARA MADERA 7 VIDAS EXTERIOR NATURAL X 4</v>
      </c>
      <c r="C1016" s="1" t="str">
        <f>'001'!D1016</f>
        <v>0138</v>
      </c>
      <c r="D1016" s="3" t="e">
        <f>'001'!H1016</f>
        <v>#VALUE!</v>
      </c>
    </row>
    <row r="1017" spans="1:4" x14ac:dyDescent="0.25">
      <c r="A1017" s="1" t="str">
        <f>'001'!B1017</f>
        <v>001409</v>
      </c>
      <c r="B1017" s="1" t="str">
        <f>'001'!C1017</f>
        <v>LACA PARA MADERA 7 VIDAS EXTERIOR CEDRO X 0,500</v>
      </c>
      <c r="C1017" s="1" t="str">
        <f>'001'!D1017</f>
        <v>0138</v>
      </c>
      <c r="D1017" s="3" t="e">
        <f>'001'!H1017</f>
        <v>#VALUE!</v>
      </c>
    </row>
    <row r="1018" spans="1:4" x14ac:dyDescent="0.25">
      <c r="A1018" s="1" t="str">
        <f>'001'!B1018</f>
        <v>001410</v>
      </c>
      <c r="B1018" s="1" t="str">
        <f>'001'!C1018</f>
        <v>LACA PARA MADERA 7 VIDAS EXTERIOR CEDRO X 1</v>
      </c>
      <c r="C1018" s="1" t="str">
        <f>'001'!D1018</f>
        <v>0138</v>
      </c>
      <c r="D1018" s="3" t="e">
        <f>'001'!H1018</f>
        <v>#VALUE!</v>
      </c>
    </row>
    <row r="1019" spans="1:4" x14ac:dyDescent="0.25">
      <c r="A1019" s="1" t="str">
        <f>'001'!B1019</f>
        <v>001411</v>
      </c>
      <c r="B1019" s="1" t="str">
        <f>'001'!C1019</f>
        <v>LACA PARA MADERA 7 VIDAS EXTERIOR CEDRO X 4</v>
      </c>
      <c r="C1019" s="1" t="str">
        <f>'001'!D1019</f>
        <v>0138</v>
      </c>
      <c r="D1019" s="3" t="e">
        <f>'001'!H1019</f>
        <v>#VALUE!</v>
      </c>
    </row>
    <row r="1020" spans="1:4" x14ac:dyDescent="0.25">
      <c r="A1020" s="1" t="str">
        <f>'001'!B1020</f>
        <v>001412</v>
      </c>
      <c r="B1020" s="1" t="str">
        <f>'001'!C1020</f>
        <v>LACA PARA MADERA 7 VIDAS EXTERIOR ROBLE X 0,500</v>
      </c>
      <c r="C1020" s="1" t="str">
        <f>'001'!D1020</f>
        <v>0138</v>
      </c>
      <c r="D1020" s="3" t="e">
        <f>'001'!H1020</f>
        <v>#VALUE!</v>
      </c>
    </row>
    <row r="1021" spans="1:4" x14ac:dyDescent="0.25">
      <c r="A1021" s="1" t="str">
        <f>'001'!B1021</f>
        <v>001413</v>
      </c>
      <c r="B1021" s="1" t="str">
        <f>'001'!C1021</f>
        <v>LACA PARA MADERA 7 VIDAS EXTERIOR ROBLE X 1</v>
      </c>
      <c r="C1021" s="1" t="str">
        <f>'001'!D1021</f>
        <v>0138</v>
      </c>
      <c r="D1021" s="3" t="e">
        <f>'001'!H1021</f>
        <v>#VALUE!</v>
      </c>
    </row>
    <row r="1022" spans="1:4" x14ac:dyDescent="0.25">
      <c r="A1022" s="1" t="str">
        <f>'001'!B1022</f>
        <v>001414</v>
      </c>
      <c r="B1022" s="1" t="str">
        <f>'001'!C1022</f>
        <v>LACA PARA MADERA 7 VIDAS EXTERIOR ROBLE X 4</v>
      </c>
      <c r="C1022" s="1" t="str">
        <f>'001'!D1022</f>
        <v>0138</v>
      </c>
      <c r="D1022" s="3" t="e">
        <f>'001'!H1022</f>
        <v>#VALUE!</v>
      </c>
    </row>
    <row r="1023" spans="1:4" x14ac:dyDescent="0.25">
      <c r="A1023" s="1" t="str">
        <f>'001'!B1023</f>
        <v>001421</v>
      </c>
      <c r="B1023" s="1" t="str">
        <f>'001'!C1023</f>
        <v>END010.31 CATALIZADOR NORMAL ACS X 0.150</v>
      </c>
      <c r="C1023" s="1" t="str">
        <f>'001'!D1023</f>
        <v>0132</v>
      </c>
      <c r="D1023" s="3" t="e">
        <f>'001'!H1023</f>
        <v>#VALUE!</v>
      </c>
    </row>
    <row r="1024" spans="1:4" x14ac:dyDescent="0.25">
      <c r="A1024" s="1" t="str">
        <f>'001'!B1024</f>
        <v>001422</v>
      </c>
      <c r="B1024" s="1" t="str">
        <f>'001'!C1024</f>
        <v>END020.02 CATALIZADOR RAPIDO ACS X 0.450</v>
      </c>
      <c r="C1024" s="1" t="str">
        <f>'001'!D1024</f>
        <v>0132</v>
      </c>
      <c r="D1024" s="3" t="e">
        <f>'001'!H1024</f>
        <v>#VALUE!</v>
      </c>
    </row>
    <row r="1025" spans="1:4" x14ac:dyDescent="0.25">
      <c r="A1025" s="1" t="str">
        <f>'001'!B1025</f>
        <v>001423</v>
      </c>
      <c r="B1025" s="1" t="str">
        <f>'001'!C1025</f>
        <v>END020.11 CATALIZADOR RAPIDO ACS X 1</v>
      </c>
      <c r="C1025" s="1" t="str">
        <f>'001'!D1025</f>
        <v>0132</v>
      </c>
      <c r="D1025" s="3" t="e">
        <f>'001'!H1025</f>
        <v>#VALUE!</v>
      </c>
    </row>
    <row r="1026" spans="1:4" x14ac:dyDescent="0.25">
      <c r="A1026" s="1" t="str">
        <f>'001'!B1026</f>
        <v>001424</v>
      </c>
      <c r="B1026" s="1" t="str">
        <f>'001'!C1026</f>
        <v>END010.02 CATALIZADOR NORMAL ACS X 0.450</v>
      </c>
      <c r="C1026" s="1" t="str">
        <f>'001'!D1026</f>
        <v>0132</v>
      </c>
      <c r="D1026" s="3" t="e">
        <f>'001'!H1026</f>
        <v>#VALUE!</v>
      </c>
    </row>
    <row r="1027" spans="1:4" x14ac:dyDescent="0.25">
      <c r="A1027" s="1" t="str">
        <f>'001'!B1027</f>
        <v>001427</v>
      </c>
      <c r="B1027" s="1" t="str">
        <f>'001'!C1027</f>
        <v>ESMALTE SINTETICO PLAVICON 3EN1 BRILLANTE MARRON X  0,250</v>
      </c>
      <c r="C1027" s="1" t="str">
        <f>'001'!D1027</f>
        <v>0902</v>
      </c>
      <c r="D1027" s="3" t="e">
        <f>'001'!H1027</f>
        <v>#VALUE!</v>
      </c>
    </row>
    <row r="1028" spans="1:4" x14ac:dyDescent="0.25">
      <c r="A1028" s="1" t="str">
        <f>'001'!B1028</f>
        <v>001429</v>
      </c>
      <c r="B1028" s="1" t="str">
        <f>'001'!C1028</f>
        <v>ESMALTE SINTETICO PLAVICON 3EN1 BRILLANTE MARRON X  0,500</v>
      </c>
      <c r="C1028" s="1" t="str">
        <f>'001'!D1028</f>
        <v>0139</v>
      </c>
      <c r="D1028" s="3" t="e">
        <f>'001'!H1028</f>
        <v>#VALUE!</v>
      </c>
    </row>
    <row r="1029" spans="1:4" x14ac:dyDescent="0.25">
      <c r="A1029" s="1" t="str">
        <f>'001'!B1029</f>
        <v>001432</v>
      </c>
      <c r="B1029" s="1" t="str">
        <f>'001'!C1029</f>
        <v>SIGMATHERM 540 X 20</v>
      </c>
      <c r="C1029" s="1" t="str">
        <f>'001'!D1029</f>
        <v>0162</v>
      </c>
      <c r="D1029" s="3" t="e">
        <f>'001'!H1029</f>
        <v>#VALUE!</v>
      </c>
    </row>
    <row r="1030" spans="1:4" x14ac:dyDescent="0.25">
      <c r="A1030" s="1" t="str">
        <f>'001'!B1030</f>
        <v>001433</v>
      </c>
      <c r="B1030" s="1" t="str">
        <f>'001'!C1030</f>
        <v>D807P.04 DILUYENTE MEDIO PU/POLIESTER PPG X  1</v>
      </c>
      <c r="C1030" s="1" t="str">
        <f>'001'!D1030</f>
        <v>0134</v>
      </c>
      <c r="D1030" s="3" t="e">
        <f>'001'!H1030</f>
        <v>#VALUE!</v>
      </c>
    </row>
    <row r="1031" spans="1:4" x14ac:dyDescent="0.25">
      <c r="A1031" s="1" t="str">
        <f>'001'!B1031</f>
        <v>001434</v>
      </c>
      <c r="B1031" s="1" t="str">
        <f>'001'!C1031</f>
        <v>D807P-10 DILUYENTE MEDIO PU/POLIESTER PPG X  5</v>
      </c>
      <c r="C1031" s="1" t="str">
        <f>'001'!D1031</f>
        <v>0134</v>
      </c>
      <c r="D1031" s="3" t="e">
        <f>'001'!H1031</f>
        <v>#VALUE!</v>
      </c>
    </row>
    <row r="1032" spans="1:4" x14ac:dyDescent="0.25">
      <c r="A1032" s="1" t="str">
        <f>'001'!B1032</f>
        <v>001435</v>
      </c>
      <c r="B1032" s="1" t="str">
        <f>'001'!C1032</f>
        <v>D807P.20 DILUYENTE MEDIO PU/POLIESTER PPG X 20</v>
      </c>
      <c r="C1032" s="1" t="str">
        <f>'001'!D1032</f>
        <v>0134</v>
      </c>
      <c r="D1032" s="3" t="e">
        <f>'001'!H1032</f>
        <v>#VALUE!</v>
      </c>
    </row>
    <row r="1033" spans="1:4" x14ac:dyDescent="0.25">
      <c r="A1033" s="1" t="str">
        <f>'001'!B1033</f>
        <v>001436</v>
      </c>
      <c r="B1033" s="1" t="str">
        <f>'001'!C1033</f>
        <v>ESMALTE SINTETICO PLAVICON 3EN1 BRILLANTE MARRON X  1</v>
      </c>
      <c r="C1033" s="1" t="str">
        <f>'001'!D1033</f>
        <v>0139</v>
      </c>
      <c r="D1033" s="3" t="e">
        <f>'001'!H1033</f>
        <v>#VALUE!</v>
      </c>
    </row>
    <row r="1034" spans="1:4" x14ac:dyDescent="0.25">
      <c r="A1034" s="1" t="str">
        <f>'001'!B1034</f>
        <v>001439</v>
      </c>
      <c r="B1034" s="1" t="str">
        <f>'001'!C1034</f>
        <v>AEROSOL RUST-OLEUM SP LACA BRILLANTE BLANCO X 0,312(272076)</v>
      </c>
      <c r="C1034" s="1" t="str">
        <f>'001'!D1034</f>
        <v>0146</v>
      </c>
      <c r="D1034" s="3" t="e">
        <f>'001'!H1034</f>
        <v>#VALUE!</v>
      </c>
    </row>
    <row r="1035" spans="1:4" x14ac:dyDescent="0.25">
      <c r="A1035" s="1" t="str">
        <f>'001'!B1035</f>
        <v>001440</v>
      </c>
      <c r="B1035" s="1" t="str">
        <f>'001'!C1035</f>
        <v>ESMALTE SINTETICO PLAVICON 3EN1 BRILLANTE MARRON X  4</v>
      </c>
      <c r="C1035" s="1" t="str">
        <f>'001'!D1035</f>
        <v>0139</v>
      </c>
      <c r="D1035" s="3" t="e">
        <f>'001'!H1035</f>
        <v>#VALUE!</v>
      </c>
    </row>
    <row r="1036" spans="1:4" x14ac:dyDescent="0.25">
      <c r="A1036" s="1" t="str">
        <f>'001'!B1036</f>
        <v>001441</v>
      </c>
      <c r="B1036" s="1" t="str">
        <f>'001'!C1036</f>
        <v>ESMALTE SINTETICO PLAVICON 3EN1 BRILLANTE MARRON X 20</v>
      </c>
      <c r="C1036" s="1" t="str">
        <f>'001'!D1036</f>
        <v>0139</v>
      </c>
      <c r="D1036" s="3" t="e">
        <f>'001'!H1036</f>
        <v>#VALUE!</v>
      </c>
    </row>
    <row r="1037" spans="1:4" x14ac:dyDescent="0.25">
      <c r="A1037" s="1" t="str">
        <f>'001'!B1037</f>
        <v>001443</v>
      </c>
      <c r="B1037" s="1" t="str">
        <f>'001'!C1037</f>
        <v>ESMALTE SINTETICO PLAVICON 3EN1 BRILLANTE GRIS X  0,250</v>
      </c>
      <c r="C1037" s="1" t="str">
        <f>'001'!D1037</f>
        <v>0902</v>
      </c>
      <c r="D1037" s="3" t="e">
        <f>'001'!H1037</f>
        <v>#VALUE!</v>
      </c>
    </row>
    <row r="1038" spans="1:4" x14ac:dyDescent="0.25">
      <c r="A1038" s="1" t="str">
        <f>'001'!B1038</f>
        <v>001445</v>
      </c>
      <c r="B1038" s="1" t="str">
        <f>'001'!C1038</f>
        <v>ESMALTE SINTETICO PLAVICON 3EN1 BRILLANTE GRIS X  0,500</v>
      </c>
      <c r="C1038" s="1" t="str">
        <f>'001'!D1038</f>
        <v>0139</v>
      </c>
      <c r="D1038" s="3" t="e">
        <f>'001'!H1038</f>
        <v>#VALUE!</v>
      </c>
    </row>
    <row r="1039" spans="1:4" x14ac:dyDescent="0.25">
      <c r="A1039" s="1" t="str">
        <f>'001'!B1039</f>
        <v>001446</v>
      </c>
      <c r="B1039" s="1" t="str">
        <f>'001'!C1039</f>
        <v>ESMALTE SINTETICO PLAVICON 3EN1 BRILLANTE GRIS X  1</v>
      </c>
      <c r="C1039" s="1" t="str">
        <f>'001'!D1039</f>
        <v>0139</v>
      </c>
      <c r="D1039" s="3" t="e">
        <f>'001'!H1039</f>
        <v>#VALUE!</v>
      </c>
    </row>
    <row r="1040" spans="1:4" x14ac:dyDescent="0.25">
      <c r="A1040" s="1" t="str">
        <f>'001'!B1040</f>
        <v>001452</v>
      </c>
      <c r="B1040" s="1" t="str">
        <f>'001'!C1040</f>
        <v>P426-HE03 GRAPHITE FLAKE X 1</v>
      </c>
      <c r="C1040" s="1" t="str">
        <f>'001'!D1040</f>
        <v>0902</v>
      </c>
      <c r="D1040" s="3" t="e">
        <f>'001'!H1040</f>
        <v>#VALUE!</v>
      </c>
    </row>
    <row r="1041" spans="1:4" x14ac:dyDescent="0.25">
      <c r="A1041" s="1" t="str">
        <f>'001'!B1041</f>
        <v>001453</v>
      </c>
      <c r="B1041" s="1" t="str">
        <f>'001'!C1041</f>
        <v>P426-HE04 GOLD FLASH X 1</v>
      </c>
      <c r="C1041" s="1" t="str">
        <f>'001'!D1041</f>
        <v>0131</v>
      </c>
      <c r="D1041" s="3" t="e">
        <f>'001'!H1041</f>
        <v>#VALUE!</v>
      </c>
    </row>
    <row r="1042" spans="1:4" x14ac:dyDescent="0.25">
      <c r="A1042" s="1" t="str">
        <f>'001'!B1042</f>
        <v>001454</v>
      </c>
      <c r="B1042" s="1" t="str">
        <f>'001'!C1042</f>
        <v>P426-PP05 PEARL WHITE X 1</v>
      </c>
      <c r="C1042" s="1" t="str">
        <f>'001'!D1042</f>
        <v>0131</v>
      </c>
      <c r="D1042" s="3" t="e">
        <f>'001'!H1042</f>
        <v>#VALUE!</v>
      </c>
    </row>
    <row r="1043" spans="1:4" x14ac:dyDescent="0.25">
      <c r="A1043" s="1" t="str">
        <f>'001'!B1043</f>
        <v>001455</v>
      </c>
      <c r="B1043" s="1" t="str">
        <f>'001'!C1043</f>
        <v>P426-PP06 FINE PEARL WHITE X 1</v>
      </c>
      <c r="C1043" s="1" t="str">
        <f>'001'!D1043</f>
        <v>0131</v>
      </c>
      <c r="D1043" s="3" t="e">
        <f>'001'!H1043</f>
        <v>#VALUE!</v>
      </c>
    </row>
    <row r="1044" spans="1:4" x14ac:dyDescent="0.25">
      <c r="A1044" s="1" t="str">
        <f>'001'!B1044</f>
        <v>001456</v>
      </c>
      <c r="B1044" s="1" t="str">
        <f>'001'!C1044</f>
        <v>P426-PP07-E1C PEARL BLUE X 1</v>
      </c>
      <c r="C1044" s="1" t="str">
        <f>'001'!D1044</f>
        <v>0131</v>
      </c>
      <c r="D1044" s="3" t="e">
        <f>'001'!H1044</f>
        <v>#VALUE!</v>
      </c>
    </row>
    <row r="1045" spans="1:4" x14ac:dyDescent="0.25">
      <c r="A1045" s="1" t="str">
        <f>'001'!B1045</f>
        <v>001457</v>
      </c>
      <c r="B1045" s="1" t="str">
        <f>'001'!C1045</f>
        <v>P426-PP08-E1C RED PEARL X 1</v>
      </c>
      <c r="C1045" s="1" t="str">
        <f>'001'!D1045</f>
        <v>0131</v>
      </c>
      <c r="D1045" s="3" t="e">
        <f>'001'!H1045</f>
        <v>#VALUE!</v>
      </c>
    </row>
    <row r="1046" spans="1:4" x14ac:dyDescent="0.25">
      <c r="A1046" s="1" t="str">
        <f>'001'!B1046</f>
        <v>001458</v>
      </c>
      <c r="B1046" s="1" t="str">
        <f>'001'!C1046</f>
        <v>P426-PP09 PEARL GOLD X 1</v>
      </c>
      <c r="C1046" s="1" t="str">
        <f>'001'!D1046</f>
        <v>0131</v>
      </c>
      <c r="D1046" s="3" t="e">
        <f>'001'!H1046</f>
        <v>#VALUE!</v>
      </c>
    </row>
    <row r="1047" spans="1:4" x14ac:dyDescent="0.25">
      <c r="A1047" s="1" t="str">
        <f>'001'!B1047</f>
        <v>001459</v>
      </c>
      <c r="B1047" s="1" t="str">
        <f>'001'!C1047</f>
        <v>P426-PP10 COPPER PEARL X 1</v>
      </c>
      <c r="C1047" s="1" t="str">
        <f>'001'!D1047</f>
        <v>0131</v>
      </c>
      <c r="D1047" s="3" t="e">
        <f>'001'!H1047</f>
        <v>#VALUE!</v>
      </c>
    </row>
    <row r="1048" spans="1:4" x14ac:dyDescent="0.25">
      <c r="A1048" s="1" t="str">
        <f>'001'!B1048</f>
        <v>001460</v>
      </c>
      <c r="B1048" s="1" t="str">
        <f>'001'!C1048</f>
        <v>P426-PP60 PEARL WHITE ULTRAFINE X 1</v>
      </c>
      <c r="C1048" s="1" t="str">
        <f>'001'!D1048</f>
        <v>0131</v>
      </c>
      <c r="D1048" s="3" t="e">
        <f>'001'!H1048</f>
        <v>#VALUE!</v>
      </c>
    </row>
    <row r="1049" spans="1:4" x14ac:dyDescent="0.25">
      <c r="A1049" s="1" t="str">
        <f>'001'!B1049</f>
        <v>001461</v>
      </c>
      <c r="B1049" s="1" t="str">
        <f>'001'!C1049</f>
        <v>P426-PP61 PEARL RED FINE X 1</v>
      </c>
      <c r="C1049" s="1" t="str">
        <f>'001'!D1049</f>
        <v>0131</v>
      </c>
      <c r="D1049" s="3" t="e">
        <f>'001'!H1049</f>
        <v>#VALUE!</v>
      </c>
    </row>
    <row r="1050" spans="1:4" x14ac:dyDescent="0.25">
      <c r="A1050" s="1" t="str">
        <f>'001'!B1050</f>
        <v>001462</v>
      </c>
      <c r="B1050" s="1" t="str">
        <f>'001'!C1050</f>
        <v>P426-PP62 RUSSET PEARL FINE X 1</v>
      </c>
      <c r="C1050" s="1" t="str">
        <f>'001'!D1050</f>
        <v>0131</v>
      </c>
      <c r="D1050" s="3" t="e">
        <f>'001'!H1050</f>
        <v>#VALUE!</v>
      </c>
    </row>
    <row r="1051" spans="1:4" x14ac:dyDescent="0.25">
      <c r="A1051" s="1" t="str">
        <f>'001'!B1051</f>
        <v>001463</v>
      </c>
      <c r="B1051" s="1" t="str">
        <f>'001'!C1051</f>
        <v>P426-PP63 PEARL BLUE FINE X 1</v>
      </c>
      <c r="C1051" s="1" t="str">
        <f>'001'!D1051</f>
        <v>0131</v>
      </c>
      <c r="D1051" s="3" t="e">
        <f>'001'!H1051</f>
        <v>#VALUE!</v>
      </c>
    </row>
    <row r="1052" spans="1:4" x14ac:dyDescent="0.25">
      <c r="A1052" s="1" t="str">
        <f>'001'!B1052</f>
        <v>001464</v>
      </c>
      <c r="B1052" s="1" t="str">
        <f>'001'!C1052</f>
        <v>P426-PP64 PEARL VIOLET MEDIUM X 1</v>
      </c>
      <c r="C1052" s="1" t="str">
        <f>'001'!D1052</f>
        <v>0131</v>
      </c>
      <c r="D1052" s="3" t="e">
        <f>'001'!H1052</f>
        <v>#VALUE!</v>
      </c>
    </row>
    <row r="1053" spans="1:4" x14ac:dyDescent="0.25">
      <c r="A1053" s="1" t="str">
        <f>'001'!B1053</f>
        <v>001465</v>
      </c>
      <c r="B1053" s="1" t="str">
        <f>'001'!C1053</f>
        <v>P426-PP65 PEARL GREEN MEDIUM X 1</v>
      </c>
      <c r="C1053" s="1" t="str">
        <f>'001'!D1053</f>
        <v>0131</v>
      </c>
      <c r="D1053" s="3" t="e">
        <f>'001'!H1053</f>
        <v>#VALUE!</v>
      </c>
    </row>
    <row r="1054" spans="1:4" x14ac:dyDescent="0.25">
      <c r="A1054" s="1" t="str">
        <f>'001'!B1054</f>
        <v>001466</v>
      </c>
      <c r="B1054" s="1" t="str">
        <f>'001'!C1054</f>
        <v>AEROSOL RUST-OLEUM UC BRILLANTE ALUMINIO METALIZADO X 0,312(2621711-358909-249128)</v>
      </c>
      <c r="C1054" s="1" t="str">
        <f>'001'!D1054</f>
        <v>0146</v>
      </c>
      <c r="D1054" s="3" t="e">
        <f>'001'!H1054</f>
        <v>#VALUE!</v>
      </c>
    </row>
    <row r="1055" spans="1:4" x14ac:dyDescent="0.25">
      <c r="A1055" s="1" t="str">
        <f>'001'!B1055</f>
        <v>001467</v>
      </c>
      <c r="B1055" s="1" t="str">
        <f>'001'!C1055</f>
        <v>AEROSOL RUST-OLEUM UC BRILLANTE ROJO MANZANA X 0,340(262151/358898)</v>
      </c>
      <c r="C1055" s="1" t="str">
        <f>'001'!D1055</f>
        <v>0146</v>
      </c>
      <c r="D1055" s="3" t="e">
        <f>'001'!H1055</f>
        <v>#VALUE!</v>
      </c>
    </row>
    <row r="1056" spans="1:4" x14ac:dyDescent="0.25">
      <c r="A1056" s="1" t="str">
        <f>'001'!B1056</f>
        <v>001468</v>
      </c>
      <c r="B1056" s="1" t="str">
        <f>'001'!C1056</f>
        <v>AEROSOL RUST-OLEUM UC BRILLANTE MARRON X 0,340(262153)</v>
      </c>
      <c r="C1056" s="1" t="str">
        <f>'001'!D1056</f>
        <v>0146</v>
      </c>
      <c r="D1056" s="3" t="e">
        <f>'001'!H1056</f>
        <v>#VALUE!</v>
      </c>
    </row>
    <row r="1057" spans="1:4" x14ac:dyDescent="0.25">
      <c r="A1057" s="1" t="str">
        <f>'001'!B1057</f>
        <v>001469</v>
      </c>
      <c r="B1057" s="1" t="str">
        <f>'001'!C1057</f>
        <v>AEROSOL RUST-OLEUM UC BRILLANTE ROJO COLONIAL X 0,340(262205)</v>
      </c>
      <c r="C1057" s="1" t="str">
        <f>'001'!D1057</f>
        <v>0146</v>
      </c>
      <c r="D1057" s="3" t="e">
        <f>'001'!H1057</f>
        <v>#VALUE!</v>
      </c>
    </row>
    <row r="1058" spans="1:4" x14ac:dyDescent="0.25">
      <c r="A1058" s="1" t="str">
        <f>'001'!B1058</f>
        <v>001470</v>
      </c>
      <c r="B1058" s="1" t="str">
        <f>'001'!C1058</f>
        <v>AEROSOL RUST-OLEUM UC BRILLANTE NARANJA X 0,340(262161)</v>
      </c>
      <c r="C1058" s="1" t="str">
        <f>'001'!D1058</f>
        <v>0146</v>
      </c>
      <c r="D1058" s="3" t="e">
        <f>'001'!H1058</f>
        <v>#VALUE!</v>
      </c>
    </row>
    <row r="1059" spans="1:4" x14ac:dyDescent="0.25">
      <c r="A1059" s="1" t="str">
        <f>'001'!B1059</f>
        <v>001471</v>
      </c>
      <c r="B1059" s="1" t="str">
        <f>'001'!C1059</f>
        <v>AEROSOL RUST-OLEUM UC BRILLANTE ROSA INTENSO X 0,340(2621601)</v>
      </c>
      <c r="C1059" s="1" t="str">
        <f>'001'!D1059</f>
        <v>0146</v>
      </c>
      <c r="D1059" s="3" t="e">
        <f>'001'!H1059</f>
        <v>#VALUE!</v>
      </c>
    </row>
    <row r="1060" spans="1:4" x14ac:dyDescent="0.25">
      <c r="A1060" s="1" t="str">
        <f>'001'!B1060</f>
        <v>001472</v>
      </c>
      <c r="B1060" s="1" t="str">
        <f>'001'!C1060</f>
        <v>AEROSOL RUST-OLEUM UC BRILLANTE AMARILLO SOL X 0,340(2621581)</v>
      </c>
      <c r="C1060" s="1" t="str">
        <f>'001'!D1060</f>
        <v>0146</v>
      </c>
      <c r="D1060" s="3" t="e">
        <f>'001'!H1060</f>
        <v>#VALUE!</v>
      </c>
    </row>
    <row r="1061" spans="1:4" x14ac:dyDescent="0.25">
      <c r="A1061" s="1" t="str">
        <f>'001'!B1061</f>
        <v>001473</v>
      </c>
      <c r="B1061" s="1" t="str">
        <f>'001'!C1061</f>
        <v>AEROSOL RUST-OLEUM UC BRILLANTE AZUL MARINO X 0,340(262168)</v>
      </c>
      <c r="C1061" s="1" t="str">
        <f>'001'!D1061</f>
        <v>0146</v>
      </c>
      <c r="D1061" s="3" t="e">
        <f>'001'!H1061</f>
        <v>#VALUE!</v>
      </c>
    </row>
    <row r="1062" spans="1:4" x14ac:dyDescent="0.25">
      <c r="A1062" s="1" t="str">
        <f>'001'!B1062</f>
        <v>001474</v>
      </c>
      <c r="B1062" s="1" t="str">
        <f>'001'!C1062</f>
        <v>AEROSOL RUST-OLEUM UC BRILLANTE AZUL X 0,340(262156)</v>
      </c>
      <c r="C1062" s="1" t="str">
        <f>'001'!D1062</f>
        <v>0146</v>
      </c>
      <c r="D1062" s="3" t="e">
        <f>'001'!H1062</f>
        <v>#VALUE!</v>
      </c>
    </row>
    <row r="1063" spans="1:4" x14ac:dyDescent="0.25">
      <c r="A1063" s="1" t="str">
        <f>'001'!B1063</f>
        <v>001475</v>
      </c>
      <c r="B1063" s="1" t="str">
        <f>'001'!C1063</f>
        <v>AEROSOL RUST-OLEUM UC BRILLANTE TRANSPARENTE X 0,340(2621541)</v>
      </c>
      <c r="C1063" s="1" t="str">
        <f>'001'!D1063</f>
        <v>0146</v>
      </c>
      <c r="D1063" s="3" t="e">
        <f>'001'!H1063</f>
        <v>#VALUE!</v>
      </c>
    </row>
    <row r="1064" spans="1:4" x14ac:dyDescent="0.25">
      <c r="A1064" s="1" t="str">
        <f>'001'!B1064</f>
        <v>001476</v>
      </c>
      <c r="B1064" s="1" t="str">
        <f>'001'!C1064</f>
        <v>AEROSOL RUST-OLEUM UC BRILLANTE VERDE OSCURO X 0,340(262174)</v>
      </c>
      <c r="C1064" s="1" t="str">
        <f>'001'!D1064</f>
        <v>0146</v>
      </c>
      <c r="D1064" s="3" t="e">
        <f>'001'!H1064</f>
        <v>#VALUE!</v>
      </c>
    </row>
    <row r="1065" spans="1:4" x14ac:dyDescent="0.25">
      <c r="A1065" s="1" t="str">
        <f>'001'!B1065</f>
        <v>001477</v>
      </c>
      <c r="B1065" s="1" t="str">
        <f>'001'!C1065</f>
        <v>AEROSOL RUST-OLEUM UC BRILLANTE AMARILLO ORO X 0,340(262190)</v>
      </c>
      <c r="C1065" s="1" t="str">
        <f>'001'!D1065</f>
        <v>0146</v>
      </c>
      <c r="D1065" s="3" t="e">
        <f>'001'!H1065</f>
        <v>#VALUE!</v>
      </c>
    </row>
    <row r="1066" spans="1:4" x14ac:dyDescent="0.25">
      <c r="A1066" s="1" t="str">
        <f>'001'!B1066</f>
        <v>001478</v>
      </c>
      <c r="B1066" s="1" t="str">
        <f>'001'!C1066</f>
        <v>AEROSOL RUST-OLEUM UC BRILLANTE GRIS OSCURO X 0,340(2621731)</v>
      </c>
      <c r="C1066" s="1" t="str">
        <f>'001'!D1066</f>
        <v>0146</v>
      </c>
      <c r="D1066" s="3" t="e">
        <f>'001'!H1066</f>
        <v>#VALUE!</v>
      </c>
    </row>
    <row r="1067" spans="1:4" x14ac:dyDescent="0.25">
      <c r="A1067" s="1" t="str">
        <f>'001'!B1067</f>
        <v>001479</v>
      </c>
      <c r="B1067" s="1" t="str">
        <f>'001'!C1067</f>
        <v>AEROSOL RUST-OLEUM UC BRILLANTE ALMENDRA X 0,340(262195)</v>
      </c>
      <c r="C1067" s="1" t="str">
        <f>'001'!D1067</f>
        <v>0146</v>
      </c>
      <c r="D1067" s="3" t="e">
        <f>'001'!H1067</f>
        <v>#VALUE!</v>
      </c>
    </row>
    <row r="1068" spans="1:4" x14ac:dyDescent="0.25">
      <c r="A1068" s="1" t="str">
        <f>'001'!B1068</f>
        <v>001480</v>
      </c>
      <c r="B1068" s="1" t="str">
        <f>'001'!C1068</f>
        <v>AEROSOL RUST-OLEUM UC BRILLANTE BLANCO X 0,340(2620981/313957/351550)</v>
      </c>
      <c r="C1068" s="1" t="str">
        <f>'001'!D1068</f>
        <v>0146</v>
      </c>
      <c r="D1068" s="3" t="e">
        <f>'001'!H1068</f>
        <v>#VALUE!</v>
      </c>
    </row>
    <row r="1069" spans="1:4" x14ac:dyDescent="0.25">
      <c r="A1069" s="1" t="str">
        <f>'001'!B1069</f>
        <v>001481</v>
      </c>
      <c r="B1069" s="1" t="str">
        <f>'001'!C1069</f>
        <v>AEROSOL RUST-OLEUM UC SATINADO BLANCO X 0,340(2621551)</v>
      </c>
      <c r="C1069" s="1" t="str">
        <f>'001'!D1069</f>
        <v>0146</v>
      </c>
      <c r="D1069" s="3" t="e">
        <f>'001'!H1069</f>
        <v>#VALUE!</v>
      </c>
    </row>
    <row r="1070" spans="1:4" x14ac:dyDescent="0.25">
      <c r="A1070" s="1" t="str">
        <f>'001'!B1070</f>
        <v>001482</v>
      </c>
      <c r="B1070" s="1" t="str">
        <f>'001'!C1070</f>
        <v>AEROSOL RUST-OLEUM UC MATE BLANCO X 0,340(2621521)</v>
      </c>
      <c r="C1070" s="1" t="str">
        <f>'001'!D1070</f>
        <v>0146</v>
      </c>
      <c r="D1070" s="3" t="e">
        <f>'001'!H1070</f>
        <v>#VALUE!</v>
      </c>
    </row>
    <row r="1071" spans="1:4" x14ac:dyDescent="0.25">
      <c r="A1071" s="1" t="str">
        <f>'001'!B1071</f>
        <v>001483</v>
      </c>
      <c r="B1071" s="1" t="str">
        <f>'001'!C1071</f>
        <v>AEROSOL RUST-OLEUM UC BRILLANTE NEGRO X 0,340(262097/313956)</v>
      </c>
      <c r="C1071" s="1" t="str">
        <f>'001'!D1071</f>
        <v>0146</v>
      </c>
      <c r="D1071" s="3" t="e">
        <f>'001'!H1071</f>
        <v>#VALUE!</v>
      </c>
    </row>
    <row r="1072" spans="1:4" x14ac:dyDescent="0.25">
      <c r="A1072" s="1" t="str">
        <f>'001'!B1072</f>
        <v>001484</v>
      </c>
      <c r="B1072" s="1" t="str">
        <f>'001'!C1072</f>
        <v>AEROSOL RUST-OLEUM UC MATE TRASNPARENTE X 0,340(262167/358910)</v>
      </c>
      <c r="C1072" s="1" t="str">
        <f>'001'!D1072</f>
        <v>0146</v>
      </c>
      <c r="D1072" s="3" t="e">
        <f>'001'!H1072</f>
        <v>#VALUE!</v>
      </c>
    </row>
    <row r="1073" spans="1:4" x14ac:dyDescent="0.25">
      <c r="A1073" s="1" t="str">
        <f>'001'!B1073</f>
        <v>001485</v>
      </c>
      <c r="B1073" s="1" t="str">
        <f>'001'!C1073</f>
        <v>PINCELETA ROSARPIN 6000 V2 CH.40</v>
      </c>
      <c r="C1073" s="1" t="str">
        <f>'001'!D1073</f>
        <v>0144</v>
      </c>
      <c r="D1073" s="3" t="e">
        <f>'001'!H1073</f>
        <v>#VALUE!</v>
      </c>
    </row>
    <row r="1074" spans="1:4" x14ac:dyDescent="0.25">
      <c r="A1074" s="1" t="str">
        <f>'001'!B1074</f>
        <v>001486</v>
      </c>
      <c r="B1074" s="1" t="str">
        <f>'001'!C1074</f>
        <v>TABLON DE MADERA SIN FIN 2,30 X 0,68</v>
      </c>
      <c r="C1074" s="1" t="str">
        <f>'001'!D1074</f>
        <v>0149</v>
      </c>
      <c r="D1074" s="3" t="e">
        <f>'001'!H1074</f>
        <v>#VALUE!</v>
      </c>
    </row>
    <row r="1075" spans="1:4" x14ac:dyDescent="0.25">
      <c r="A1075" s="1" t="str">
        <f>'001'!B1075</f>
        <v>001487</v>
      </c>
      <c r="B1075" s="1" t="str">
        <f>'001'!C1075</f>
        <v>BUTACA ESCALERA SIN FIN CON ASIENTO</v>
      </c>
      <c r="C1075" s="1" t="str">
        <f>'001'!D1075</f>
        <v>0149</v>
      </c>
      <c r="D1075" s="3" t="e">
        <f>'001'!H1075</f>
        <v>#VALUE!</v>
      </c>
    </row>
    <row r="1076" spans="1:4" x14ac:dyDescent="0.25">
      <c r="A1076" s="1" t="str">
        <f>'001'!B1076</f>
        <v>001493</v>
      </c>
      <c r="B1076" s="1" t="str">
        <f>'001'!C1076</f>
        <v>EXTENSIBLE 3 HOJAS 1,5X3 13</v>
      </c>
      <c r="C1076" s="1" t="str">
        <f>'001'!D1076</f>
        <v>0149</v>
      </c>
      <c r="D1076" s="3" t="e">
        <f>'001'!H1076</f>
        <v>#VALUE!</v>
      </c>
    </row>
    <row r="1077" spans="1:4" x14ac:dyDescent="0.25">
      <c r="A1077" s="1" t="str">
        <f>'001'!B1077</f>
        <v>001494</v>
      </c>
      <c r="B1077" s="1" t="str">
        <f>'001'!C1077</f>
        <v>EXTENSIBLE 3 HOJAS 1,5X3 14</v>
      </c>
      <c r="C1077" s="1" t="str">
        <f>'001'!D1077</f>
        <v>0149</v>
      </c>
      <c r="D1077" s="3" t="e">
        <f>'001'!H1077</f>
        <v>#VALUE!</v>
      </c>
    </row>
    <row r="1078" spans="1:4" x14ac:dyDescent="0.25">
      <c r="A1078" s="1" t="str">
        <f>'001'!B1078</f>
        <v>001495</v>
      </c>
      <c r="B1078" s="1" t="str">
        <f>'001'!C1078</f>
        <v>EXTENSIBLE 3 HOJAS 1,5X3 15</v>
      </c>
      <c r="C1078" s="1" t="str">
        <f>'001'!D1078</f>
        <v>0149</v>
      </c>
      <c r="D1078" s="3" t="e">
        <f>'001'!H1078</f>
        <v>#VALUE!</v>
      </c>
    </row>
    <row r="1079" spans="1:4" x14ac:dyDescent="0.25">
      <c r="A1079" s="1" t="str">
        <f>'001'!B1079</f>
        <v>001496</v>
      </c>
      <c r="B1079" s="1" t="str">
        <f>'001'!C1079</f>
        <v>EXTENSIBLE 3 HOJAS 1,5X3 16</v>
      </c>
      <c r="C1079" s="1" t="str">
        <f>'001'!D1079</f>
        <v>0149</v>
      </c>
      <c r="D1079" s="3" t="e">
        <f>'001'!H1079</f>
        <v>#VALUE!</v>
      </c>
    </row>
    <row r="1080" spans="1:4" x14ac:dyDescent="0.25">
      <c r="A1080" s="1" t="str">
        <f>'001'!B1080</f>
        <v>001497</v>
      </c>
      <c r="B1080" s="1" t="str">
        <f>'001'!C1080</f>
        <v>EXTENSIBLE 3 HOJAS 1,5X3 17</v>
      </c>
      <c r="C1080" s="1" t="str">
        <f>'001'!D1080</f>
        <v>0149</v>
      </c>
      <c r="D1080" s="3" t="e">
        <f>'001'!H1080</f>
        <v>#VALUE!</v>
      </c>
    </row>
    <row r="1081" spans="1:4" x14ac:dyDescent="0.25">
      <c r="A1081" s="1" t="str">
        <f>'001'!B1081</f>
        <v>001498</v>
      </c>
      <c r="B1081" s="1" t="str">
        <f>'001'!C1081</f>
        <v>LIJA EN ROLLO DOBLE A #  50 X 1 MT</v>
      </c>
      <c r="C1081" s="1" t="str">
        <f>'001'!D1081</f>
        <v>0102</v>
      </c>
      <c r="D1081" s="3" t="e">
        <f>'001'!H1081</f>
        <v>#VALUE!</v>
      </c>
    </row>
    <row r="1082" spans="1:4" x14ac:dyDescent="0.25">
      <c r="A1082" s="1" t="str">
        <f>'001'!B1082</f>
        <v>001499</v>
      </c>
      <c r="B1082" s="1" t="str">
        <f>'001'!C1082</f>
        <v>AEROSOL RUST-OLEUM UC SATINADO TRASNPARENTE X 0,340(262170)</v>
      </c>
      <c r="C1082" s="1" t="str">
        <f>'001'!D1082</f>
        <v>0146</v>
      </c>
      <c r="D1082" s="3" t="e">
        <f>'001'!H1082</f>
        <v>#VALUE!</v>
      </c>
    </row>
    <row r="1083" spans="1:4" x14ac:dyDescent="0.25">
      <c r="A1083" s="1" t="str">
        <f>'001'!B1083</f>
        <v>001500</v>
      </c>
      <c r="B1083" s="1" t="str">
        <f>'001'!C1083</f>
        <v>ESMALTE SINTETICO TERSUAVE BRILLANTE BASE W X  0,900</v>
      </c>
      <c r="C1083" s="1" t="str">
        <f>'001'!D1083</f>
        <v>0154</v>
      </c>
      <c r="D1083" s="3" t="e">
        <f>'001'!H1083</f>
        <v>#VALUE!</v>
      </c>
    </row>
    <row r="1084" spans="1:4" x14ac:dyDescent="0.25">
      <c r="A1084" s="1" t="str">
        <f>'001'!B1084</f>
        <v>001501</v>
      </c>
      <c r="B1084" s="1" t="str">
        <f>'001'!C1084</f>
        <v>ESMALTE SINTETICO TERSUAVE BRILLANTE BASE W X  3,840</v>
      </c>
      <c r="C1084" s="1" t="str">
        <f>'001'!D1084</f>
        <v>0154</v>
      </c>
      <c r="D1084" s="3" t="e">
        <f>'001'!H1084</f>
        <v>#VALUE!</v>
      </c>
    </row>
    <row r="1085" spans="1:4" x14ac:dyDescent="0.25">
      <c r="A1085" s="1" t="str">
        <f>'001'!B1085</f>
        <v>001502</v>
      </c>
      <c r="B1085" s="1" t="str">
        <f>'001'!C1085</f>
        <v>ESMALTE SINTETICO PLAVICON 3EN1 BRILLANTE GRIS X  4</v>
      </c>
      <c r="C1085" s="1" t="str">
        <f>'001'!D1085</f>
        <v>0139</v>
      </c>
      <c r="D1085" s="3" t="e">
        <f>'001'!H1085</f>
        <v>#VALUE!</v>
      </c>
    </row>
    <row r="1086" spans="1:4" x14ac:dyDescent="0.25">
      <c r="A1086" s="1" t="str">
        <f>'001'!B1086</f>
        <v>001503</v>
      </c>
      <c r="B1086" s="1" t="str">
        <f>'001'!C1086</f>
        <v>ESMALTE SINTETICO TERSUAVE BRILLANTE BASE W X 19,200</v>
      </c>
      <c r="C1086" s="1" t="str">
        <f>'001'!D1086</f>
        <v>0154</v>
      </c>
      <c r="D1086" s="3" t="e">
        <f>'001'!H1086</f>
        <v>#VALUE!</v>
      </c>
    </row>
    <row r="1087" spans="1:4" x14ac:dyDescent="0.25">
      <c r="A1087" s="1" t="str">
        <f>'001'!B1087</f>
        <v>001504</v>
      </c>
      <c r="B1087" s="1" t="str">
        <f>'001'!C1087</f>
        <v>ESMALTE SINTETICO TERSUAVE BRILLANTE BASE M X  0,940</v>
      </c>
      <c r="C1087" s="1" t="str">
        <f>'001'!D1087</f>
        <v>0154</v>
      </c>
      <c r="D1087" s="3" t="e">
        <f>'001'!H1087</f>
        <v>#VALUE!</v>
      </c>
    </row>
    <row r="1088" spans="1:4" x14ac:dyDescent="0.25">
      <c r="A1088" s="1" t="str">
        <f>'001'!B1088</f>
        <v>001505</v>
      </c>
      <c r="B1088" s="1" t="str">
        <f>'001'!C1088</f>
        <v>ESMALTE SINTETICO TERSUAVE BRILLANTE BASE M X  3,760</v>
      </c>
      <c r="C1088" s="1" t="str">
        <f>'001'!D1088</f>
        <v>0154</v>
      </c>
      <c r="D1088" s="3" t="e">
        <f>'001'!H1088</f>
        <v>#VALUE!</v>
      </c>
    </row>
    <row r="1089" spans="1:4" x14ac:dyDescent="0.25">
      <c r="A1089" s="1" t="str">
        <f>'001'!B1089</f>
        <v>001506</v>
      </c>
      <c r="B1089" s="1" t="str">
        <f>'001'!C1089</f>
        <v>ESMALTE SINTETICO PLAVICON 3EN1 BRILLANTE GRIS X 20</v>
      </c>
      <c r="C1089" s="1" t="str">
        <f>'001'!D1089</f>
        <v>0139</v>
      </c>
      <c r="D1089" s="3" t="e">
        <f>'001'!H1089</f>
        <v>#VALUE!</v>
      </c>
    </row>
    <row r="1090" spans="1:4" x14ac:dyDescent="0.25">
      <c r="A1090" s="1" t="str">
        <f>'001'!B1090</f>
        <v>001507</v>
      </c>
      <c r="B1090" s="1" t="str">
        <f>'001'!C1090</f>
        <v>ESMALTE SINTETICO TERSUAVE BRILLANTE BASE M X 18,800</v>
      </c>
      <c r="C1090" s="1" t="str">
        <f>'001'!D1090</f>
        <v>0154</v>
      </c>
      <c r="D1090" s="3" t="e">
        <f>'001'!H1090</f>
        <v>#VALUE!</v>
      </c>
    </row>
    <row r="1091" spans="1:4" x14ac:dyDescent="0.25">
      <c r="A1091" s="1" t="str">
        <f>'001'!B1091</f>
        <v>001508</v>
      </c>
      <c r="B1091" s="1" t="str">
        <f>'001'!C1091</f>
        <v>ESMALTE SINTETICO TERSUAVE BRILLANTE BASE D X  0,930</v>
      </c>
      <c r="C1091" s="1" t="str">
        <f>'001'!D1091</f>
        <v>0154</v>
      </c>
      <c r="D1091" s="3" t="e">
        <f>'001'!H1091</f>
        <v>#VALUE!</v>
      </c>
    </row>
    <row r="1092" spans="1:4" x14ac:dyDescent="0.25">
      <c r="A1092" s="1" t="str">
        <f>'001'!B1092</f>
        <v>001509</v>
      </c>
      <c r="B1092" s="1" t="str">
        <f>'001'!C1092</f>
        <v>ESMALTE SINTETICO TERSUAVE BRILLANTE BASE D X  3,720</v>
      </c>
      <c r="C1092" s="1" t="str">
        <f>'001'!D1092</f>
        <v>0154</v>
      </c>
      <c r="D1092" s="3" t="e">
        <f>'001'!H1092</f>
        <v>#VALUE!</v>
      </c>
    </row>
    <row r="1093" spans="1:4" x14ac:dyDescent="0.25">
      <c r="A1093" s="1" t="str">
        <f>'001'!B1093</f>
        <v>001511</v>
      </c>
      <c r="B1093" s="1" t="str">
        <f>'001'!C1093</f>
        <v>ESMALTE SINTETICO TERSUAVE BRILLANTE BASE D X 18,600</v>
      </c>
      <c r="C1093" s="1" t="str">
        <f>'001'!D1093</f>
        <v>0154</v>
      </c>
      <c r="D1093" s="3" t="e">
        <f>'001'!H1093</f>
        <v>#VALUE!</v>
      </c>
    </row>
    <row r="1094" spans="1:4" x14ac:dyDescent="0.25">
      <c r="A1094" s="1" t="str">
        <f>'001'!B1094</f>
        <v>001512</v>
      </c>
      <c r="B1094" s="1" t="str">
        <f>'001'!C1094</f>
        <v>ESMALTE SINTETICO TERSUAVE BRILLANTE BASE C X  0,900</v>
      </c>
      <c r="C1094" s="1" t="str">
        <f>'001'!D1094</f>
        <v>0154</v>
      </c>
      <c r="D1094" s="3" t="e">
        <f>'001'!H1094</f>
        <v>#VALUE!</v>
      </c>
    </row>
    <row r="1095" spans="1:4" x14ac:dyDescent="0.25">
      <c r="A1095" s="1" t="str">
        <f>'001'!B1095</f>
        <v>001513</v>
      </c>
      <c r="B1095" s="1" t="str">
        <f>'001'!C1095</f>
        <v>ESMALTE SINTETICO TERSUAVE BRILLANTE BASE C X  3,600</v>
      </c>
      <c r="C1095" s="1" t="str">
        <f>'001'!D1095</f>
        <v>0154</v>
      </c>
      <c r="D1095" s="3" t="e">
        <f>'001'!H1095</f>
        <v>#VALUE!</v>
      </c>
    </row>
    <row r="1096" spans="1:4" x14ac:dyDescent="0.25">
      <c r="A1096" s="1" t="str">
        <f>'001'!B1096</f>
        <v>001514</v>
      </c>
      <c r="B1096" s="1" t="str">
        <f>'001'!C1096</f>
        <v>ESMALTE SINTETICO PLAVICON 3EN1 BRILLANTE VIOLETA X  0,500</v>
      </c>
      <c r="C1096" s="1" t="str">
        <f>'001'!D1096</f>
        <v>0139</v>
      </c>
      <c r="D1096" s="3" t="e">
        <f>'001'!H1096</f>
        <v>#VALUE!</v>
      </c>
    </row>
    <row r="1097" spans="1:4" x14ac:dyDescent="0.25">
      <c r="A1097" s="1" t="str">
        <f>'001'!B1097</f>
        <v>001515</v>
      </c>
      <c r="B1097" s="1" t="str">
        <f>'001'!C1097</f>
        <v>ESMALTE SINTETICO TERSUAVE BRILLANTE BASE C X 18,000</v>
      </c>
      <c r="C1097" s="1" t="str">
        <f>'001'!D1097</f>
        <v>0154</v>
      </c>
      <c r="D1097" s="3" t="e">
        <f>'001'!H1097</f>
        <v>#VALUE!</v>
      </c>
    </row>
    <row r="1098" spans="1:4" x14ac:dyDescent="0.25">
      <c r="A1098" s="1" t="str">
        <f>'001'!B1098</f>
        <v>001516</v>
      </c>
      <c r="B1098" s="1" t="str">
        <f>'001'!C1098</f>
        <v>ESMALTE SINTETICO PLAVICON 3EN1 BRILLANTE VIOLETA X  1</v>
      </c>
      <c r="C1098" s="1" t="str">
        <f>'001'!D1098</f>
        <v>0139</v>
      </c>
      <c r="D1098" s="3" t="e">
        <f>'001'!H1098</f>
        <v>#VALUE!</v>
      </c>
    </row>
    <row r="1099" spans="1:4" x14ac:dyDescent="0.25">
      <c r="A1099" s="1" t="str">
        <f>'001'!B1099</f>
        <v>001517</v>
      </c>
      <c r="B1099" s="1" t="str">
        <f>'001'!C1099</f>
        <v>ESMALTE SINTETICO PLAVICON 3EN1 BRILLANTE VIOLETA X  4</v>
      </c>
      <c r="C1099" s="1" t="str">
        <f>'001'!D1099</f>
        <v>0139</v>
      </c>
      <c r="D1099" s="3" t="e">
        <f>'001'!H1099</f>
        <v>#VALUE!</v>
      </c>
    </row>
    <row r="1100" spans="1:4" x14ac:dyDescent="0.25">
      <c r="A1100" s="1" t="str">
        <f>'001'!B1100</f>
        <v>001518</v>
      </c>
      <c r="B1100" s="1" t="str">
        <f>'001'!C1100</f>
        <v>ESMALTE SINTETICO TERSUAVE SATINADO BASE M X 0,940</v>
      </c>
      <c r="C1100" s="1" t="str">
        <f>'001'!D1100</f>
        <v>0154</v>
      </c>
      <c r="D1100" s="3" t="e">
        <f>'001'!H1100</f>
        <v>#VALUE!</v>
      </c>
    </row>
    <row r="1101" spans="1:4" x14ac:dyDescent="0.25">
      <c r="A1101" s="1" t="str">
        <f>'001'!B1101</f>
        <v>001519</v>
      </c>
      <c r="B1101" s="1" t="str">
        <f>'001'!C1101</f>
        <v>ESMALTE SINTETICO TERSUAVE SATINADO BASE M X 3,600</v>
      </c>
      <c r="C1101" s="1" t="str">
        <f>'001'!D1101</f>
        <v>0154</v>
      </c>
      <c r="D1101" s="3" t="e">
        <f>'001'!H1101</f>
        <v>#VALUE!</v>
      </c>
    </row>
    <row r="1102" spans="1:4" x14ac:dyDescent="0.25">
      <c r="A1102" s="1" t="str">
        <f>'001'!B1102</f>
        <v>001520</v>
      </c>
      <c r="B1102" s="1" t="str">
        <f>'001'!C1102</f>
        <v>ESMALTE SINTETICO TERSUAVE SATINADO BASE D X 0,900</v>
      </c>
      <c r="C1102" s="1" t="str">
        <f>'001'!D1102</f>
        <v>0154</v>
      </c>
      <c r="D1102" s="3" t="e">
        <f>'001'!H1102</f>
        <v>#VALUE!</v>
      </c>
    </row>
    <row r="1103" spans="1:4" x14ac:dyDescent="0.25">
      <c r="A1103" s="1" t="str">
        <f>'001'!B1103</f>
        <v>001521</v>
      </c>
      <c r="B1103" s="1" t="str">
        <f>'001'!C1103</f>
        <v>ESMALTE SINTETICO TERSUAVE SATINADO BASE D X 3,600</v>
      </c>
      <c r="C1103" s="1" t="str">
        <f>'001'!D1103</f>
        <v>0154</v>
      </c>
      <c r="D1103" s="3" t="e">
        <f>'001'!H1103</f>
        <v>#VALUE!</v>
      </c>
    </row>
    <row r="1104" spans="1:4" x14ac:dyDescent="0.25">
      <c r="A1104" s="1" t="str">
        <f>'001'!B1104</f>
        <v>001522</v>
      </c>
      <c r="B1104" s="1" t="str">
        <f>'001'!C1104</f>
        <v>ESMALTE SINTETICO TERSUAVE SATINADO BASE C X  0,900</v>
      </c>
      <c r="C1104" s="1" t="str">
        <f>'001'!D1104</f>
        <v>0154</v>
      </c>
      <c r="D1104" s="3" t="e">
        <f>'001'!H1104</f>
        <v>#VALUE!</v>
      </c>
    </row>
    <row r="1105" spans="1:4" x14ac:dyDescent="0.25">
      <c r="A1105" s="1" t="str">
        <f>'001'!B1105</f>
        <v>001523</v>
      </c>
      <c r="B1105" s="1" t="str">
        <f>'001'!C1105</f>
        <v>ESMALTE SINTETICO TERSUAVE SATINADO BASE C X 3,600</v>
      </c>
      <c r="C1105" s="1" t="str">
        <f>'001'!D1105</f>
        <v>0154</v>
      </c>
      <c r="D1105" s="3" t="e">
        <f>'001'!H1105</f>
        <v>#VALUE!</v>
      </c>
    </row>
    <row r="1106" spans="1:4" x14ac:dyDescent="0.25">
      <c r="A1106" s="1" t="str">
        <f>'001'!B1106</f>
        <v>001524</v>
      </c>
      <c r="B1106" s="1" t="str">
        <f>'001'!C1106</f>
        <v>LATEX INTERIOR TERSUAVE LAVABLE BASE W X  0,900</v>
      </c>
      <c r="C1106" s="1" t="str">
        <f>'001'!D1106</f>
        <v>0154</v>
      </c>
      <c r="D1106" s="3" t="e">
        <f>'001'!H1106</f>
        <v>#VALUE!</v>
      </c>
    </row>
    <row r="1107" spans="1:4" x14ac:dyDescent="0.25">
      <c r="A1107" s="1" t="str">
        <f>'001'!B1107</f>
        <v>001525</v>
      </c>
      <c r="B1107" s="1" t="str">
        <f>'001'!C1107</f>
        <v>LATEX INTERIOR TERSUAVE LAVABLE BASE W X  3,600</v>
      </c>
      <c r="C1107" s="1" t="str">
        <f>'001'!D1107</f>
        <v>0154</v>
      </c>
      <c r="D1107" s="3" t="e">
        <f>'001'!H1107</f>
        <v>#VALUE!</v>
      </c>
    </row>
    <row r="1108" spans="1:4" x14ac:dyDescent="0.25">
      <c r="A1108" s="1" t="str">
        <f>'001'!B1108</f>
        <v>001526</v>
      </c>
      <c r="B1108" s="1" t="str">
        <f>'001'!C1108</f>
        <v>LATEX INTERIOR TERSUAVE LAVABLE BASE W X  9,000</v>
      </c>
      <c r="C1108" s="1" t="str">
        <f>'001'!D1108</f>
        <v>0154</v>
      </c>
      <c r="D1108" s="3" t="e">
        <f>'001'!H1108</f>
        <v>#VALUE!</v>
      </c>
    </row>
    <row r="1109" spans="1:4" x14ac:dyDescent="0.25">
      <c r="A1109" s="1" t="str">
        <f>'001'!B1109</f>
        <v>001527</v>
      </c>
      <c r="B1109" s="1" t="str">
        <f>'001'!C1109</f>
        <v>LATEX INTERIOR TERSUAVE LAVABLE BASE W X 18,000</v>
      </c>
      <c r="C1109" s="1" t="str">
        <f>'001'!D1109</f>
        <v>0154</v>
      </c>
      <c r="D1109" s="3" t="e">
        <f>'001'!H1109</f>
        <v>#VALUE!</v>
      </c>
    </row>
    <row r="1110" spans="1:4" x14ac:dyDescent="0.25">
      <c r="A1110" s="1" t="str">
        <f>'001'!B1110</f>
        <v>001528</v>
      </c>
      <c r="B1110" s="1" t="str">
        <f>'001'!C1110</f>
        <v>LATEX INTERIOR TERSUAVE LAVABLE BASE M X  0,900</v>
      </c>
      <c r="C1110" s="1" t="str">
        <f>'001'!D1110</f>
        <v>0154</v>
      </c>
      <c r="D1110" s="3" t="e">
        <f>'001'!H1110</f>
        <v>#VALUE!</v>
      </c>
    </row>
    <row r="1111" spans="1:4" x14ac:dyDescent="0.25">
      <c r="A1111" s="1" t="str">
        <f>'001'!B1111</f>
        <v>001529</v>
      </c>
      <c r="B1111" s="1" t="str">
        <f>'001'!C1111</f>
        <v>LATEX INTERIOR TERSUAVE LAVABLE BASE M X  3,600</v>
      </c>
      <c r="C1111" s="1" t="str">
        <f>'001'!D1111</f>
        <v>0154</v>
      </c>
      <c r="D1111" s="3" t="e">
        <f>'001'!H1111</f>
        <v>#VALUE!</v>
      </c>
    </row>
    <row r="1112" spans="1:4" x14ac:dyDescent="0.25">
      <c r="A1112" s="1" t="str">
        <f>'001'!B1112</f>
        <v>001530</v>
      </c>
      <c r="B1112" s="1" t="str">
        <f>'001'!C1112</f>
        <v>LATEX INTERIOR TERSUAVE LAVABLE BASE M X  9,000</v>
      </c>
      <c r="C1112" s="1" t="str">
        <f>'001'!D1112</f>
        <v>0154</v>
      </c>
      <c r="D1112" s="3" t="e">
        <f>'001'!H1112</f>
        <v>#VALUE!</v>
      </c>
    </row>
    <row r="1113" spans="1:4" x14ac:dyDescent="0.25">
      <c r="A1113" s="1" t="str">
        <f>'001'!B1113</f>
        <v>001531</v>
      </c>
      <c r="B1113" s="1" t="str">
        <f>'001'!C1113</f>
        <v>LATEX INTERIOR TERSUAVE LAVABLE BASE M X 18</v>
      </c>
      <c r="C1113" s="1" t="str">
        <f>'001'!D1113</f>
        <v>0154</v>
      </c>
      <c r="D1113" s="3" t="e">
        <f>'001'!H1113</f>
        <v>#VALUE!</v>
      </c>
    </row>
    <row r="1114" spans="1:4" x14ac:dyDescent="0.25">
      <c r="A1114" s="1" t="str">
        <f>'001'!B1114</f>
        <v>001532</v>
      </c>
      <c r="B1114" s="1" t="str">
        <f>'001'!C1114</f>
        <v>LATEX INTERIOR TERSUAVE LAVABLE BASE D X  0,900</v>
      </c>
      <c r="C1114" s="1" t="str">
        <f>'001'!D1114</f>
        <v>0154</v>
      </c>
      <c r="D1114" s="3" t="e">
        <f>'001'!H1114</f>
        <v>#VALUE!</v>
      </c>
    </row>
    <row r="1115" spans="1:4" x14ac:dyDescent="0.25">
      <c r="A1115" s="1" t="str">
        <f>'001'!B1115</f>
        <v>001533</v>
      </c>
      <c r="B1115" s="1" t="str">
        <f>'001'!C1115</f>
        <v>LATEX INTERIOR TERSUAVE LAVABLE BASE D X  3,600</v>
      </c>
      <c r="C1115" s="1" t="str">
        <f>'001'!D1115</f>
        <v>0154</v>
      </c>
      <c r="D1115" s="3" t="e">
        <f>'001'!H1115</f>
        <v>#VALUE!</v>
      </c>
    </row>
    <row r="1116" spans="1:4" x14ac:dyDescent="0.25">
      <c r="A1116" s="1" t="str">
        <f>'001'!B1116</f>
        <v>001534</v>
      </c>
      <c r="B1116" s="1" t="str">
        <f>'001'!C1116</f>
        <v>LATEX INTERIOR TERSUAVE LAVABLE BASE D X  9,000</v>
      </c>
      <c r="C1116" s="1" t="str">
        <f>'001'!D1116</f>
        <v>0154</v>
      </c>
      <c r="D1116" s="3" t="e">
        <f>'001'!H1116</f>
        <v>#VALUE!</v>
      </c>
    </row>
    <row r="1117" spans="1:4" x14ac:dyDescent="0.25">
      <c r="A1117" s="1" t="str">
        <f>'001'!B1117</f>
        <v>001535</v>
      </c>
      <c r="B1117" s="1" t="str">
        <f>'001'!C1117</f>
        <v>LATEX INTERIOR TERSUAVE LAVABLE BASE D X 18</v>
      </c>
      <c r="C1117" s="1" t="str">
        <f>'001'!D1117</f>
        <v>0154</v>
      </c>
      <c r="D1117" s="3" t="e">
        <f>'001'!H1117</f>
        <v>#VALUE!</v>
      </c>
    </row>
    <row r="1118" spans="1:4" x14ac:dyDescent="0.25">
      <c r="A1118" s="1" t="str">
        <f>'001'!B1118</f>
        <v>001536</v>
      </c>
      <c r="B1118" s="1" t="str">
        <f>'001'!C1118</f>
        <v>LATEX INTERIOR TERSUAVE LAVABLE BASE C X  0,900</v>
      </c>
      <c r="C1118" s="1" t="str">
        <f>'001'!D1118</f>
        <v>0154</v>
      </c>
      <c r="D1118" s="3" t="e">
        <f>'001'!H1118</f>
        <v>#VALUE!</v>
      </c>
    </row>
    <row r="1119" spans="1:4" x14ac:dyDescent="0.25">
      <c r="A1119" s="1" t="str">
        <f>'001'!B1119</f>
        <v>001537</v>
      </c>
      <c r="B1119" s="1" t="str">
        <f>'001'!C1119</f>
        <v>LATEX INTERIOR TERSUAVE LAVABLE BASE C X  3,600</v>
      </c>
      <c r="C1119" s="1" t="str">
        <f>'001'!D1119</f>
        <v>0154</v>
      </c>
      <c r="D1119" s="3" t="e">
        <f>'001'!H1119</f>
        <v>#VALUE!</v>
      </c>
    </row>
    <row r="1120" spans="1:4" x14ac:dyDescent="0.25">
      <c r="A1120" s="1" t="str">
        <f>'001'!B1120</f>
        <v>001538</v>
      </c>
      <c r="B1120" s="1" t="str">
        <f>'001'!C1120</f>
        <v>LATEX INTERIOR TERSUAVE LAVABLE BASE C X  9,000</v>
      </c>
      <c r="C1120" s="1" t="str">
        <f>'001'!D1120</f>
        <v>0154</v>
      </c>
      <c r="D1120" s="3" t="e">
        <f>'001'!H1120</f>
        <v>#VALUE!</v>
      </c>
    </row>
    <row r="1121" spans="1:4" x14ac:dyDescent="0.25">
      <c r="A1121" s="1" t="str">
        <f>'001'!B1121</f>
        <v>001539</v>
      </c>
      <c r="B1121" s="1" t="str">
        <f>'001'!C1121</f>
        <v>LATEX INTERIOR TERSUAVE LAVABLE BASE C X 18,000</v>
      </c>
      <c r="C1121" s="1" t="str">
        <f>'001'!D1121</f>
        <v>0154</v>
      </c>
      <c r="D1121" s="3" t="e">
        <f>'001'!H1121</f>
        <v>#VALUE!</v>
      </c>
    </row>
    <row r="1122" spans="1:4" x14ac:dyDescent="0.25">
      <c r="A1122" s="1" t="str">
        <f>'001'!B1122</f>
        <v>001542</v>
      </c>
      <c r="B1122" s="1" t="str">
        <f>'001'!C1122</f>
        <v>ESMALTE SINTETICO PLAVICON 3EN1 BRILLANTE VIOLETA X 20</v>
      </c>
      <c r="C1122" s="1" t="str">
        <f>'001'!D1122</f>
        <v>0139</v>
      </c>
      <c r="D1122" s="3" t="e">
        <f>'001'!H1122</f>
        <v>#VALUE!</v>
      </c>
    </row>
    <row r="1123" spans="1:4" x14ac:dyDescent="0.25">
      <c r="A1123" s="1" t="str">
        <f>'001'!B1123</f>
        <v>001544</v>
      </c>
      <c r="B1123" s="1" t="str">
        <f>'001'!C1123</f>
        <v>IMPERMEABILIZANTE PARA FRENTES Y MUROS TERSUAVE BASE M X  0,900</v>
      </c>
      <c r="C1123" s="1" t="str">
        <f>'001'!D1123</f>
        <v>0154</v>
      </c>
      <c r="D1123" s="3" t="e">
        <f>'001'!H1123</f>
        <v>#VALUE!</v>
      </c>
    </row>
    <row r="1124" spans="1:4" x14ac:dyDescent="0.25">
      <c r="A1124" s="1" t="str">
        <f>'001'!B1124</f>
        <v>001545</v>
      </c>
      <c r="B1124" s="1" t="str">
        <f>'001'!C1124</f>
        <v>IMPERMEABILIZANTE PARA FRENTES Y MUROS TERSUAVE BASE M X  3,600</v>
      </c>
      <c r="C1124" s="1" t="str">
        <f>'001'!D1124</f>
        <v>0154</v>
      </c>
      <c r="D1124" s="3" t="e">
        <f>'001'!H1124</f>
        <v>#VALUE!</v>
      </c>
    </row>
    <row r="1125" spans="1:4" x14ac:dyDescent="0.25">
      <c r="A1125" s="1" t="str">
        <f>'001'!B1125</f>
        <v>001546</v>
      </c>
      <c r="B1125" s="1" t="str">
        <f>'001'!C1125</f>
        <v>IMPERMEABILIZANTE PARA FRENTES Y MUROS TERSUAVE BASE M X  9</v>
      </c>
      <c r="C1125" s="1" t="str">
        <f>'001'!D1125</f>
        <v>0154</v>
      </c>
      <c r="D1125" s="3" t="e">
        <f>'001'!H1125</f>
        <v>#VALUE!</v>
      </c>
    </row>
    <row r="1126" spans="1:4" x14ac:dyDescent="0.25">
      <c r="A1126" s="1" t="str">
        <f>'001'!B1126</f>
        <v>001547</v>
      </c>
      <c r="B1126" s="1" t="str">
        <f>'001'!C1126</f>
        <v>IMPERMEABILIZANTE PARA FRENTES Y MUROS TERSUAVE BASE M X 18</v>
      </c>
      <c r="C1126" s="1" t="str">
        <f>'001'!D1126</f>
        <v>0154</v>
      </c>
      <c r="D1126" s="3" t="e">
        <f>'001'!H1126</f>
        <v>#VALUE!</v>
      </c>
    </row>
    <row r="1127" spans="1:4" x14ac:dyDescent="0.25">
      <c r="A1127" s="1" t="str">
        <f>'001'!B1127</f>
        <v>001548</v>
      </c>
      <c r="B1127" s="1" t="str">
        <f>'001'!C1127</f>
        <v>IMPERMEABILIZANTE PARA FRENTES Y MUROS TERSUAVE BASE D X  0,900</v>
      </c>
      <c r="C1127" s="1" t="str">
        <f>'001'!D1127</f>
        <v>0154</v>
      </c>
      <c r="D1127" s="3" t="e">
        <f>'001'!H1127</f>
        <v>#VALUE!</v>
      </c>
    </row>
    <row r="1128" spans="1:4" x14ac:dyDescent="0.25">
      <c r="A1128" s="1" t="str">
        <f>'001'!B1128</f>
        <v>001549</v>
      </c>
      <c r="B1128" s="1" t="str">
        <f>'001'!C1128</f>
        <v>IMPERMEABILIZANTE PARA FRENTES Y MUROS TERSUAVE BASE D X  3,600</v>
      </c>
      <c r="C1128" s="1" t="str">
        <f>'001'!D1128</f>
        <v>0154</v>
      </c>
      <c r="D1128" s="3" t="e">
        <f>'001'!H1128</f>
        <v>#VALUE!</v>
      </c>
    </row>
    <row r="1129" spans="1:4" x14ac:dyDescent="0.25">
      <c r="A1129" s="1" t="str">
        <f>'001'!B1129</f>
        <v>001550</v>
      </c>
      <c r="B1129" s="1" t="str">
        <f>'001'!C1129</f>
        <v>IMPERMEABILIZANTE PARA FRENTES Y MUROS TERSUAVE BASE D X  9</v>
      </c>
      <c r="C1129" s="1" t="str">
        <f>'001'!D1129</f>
        <v>0154</v>
      </c>
      <c r="D1129" s="3" t="e">
        <f>'001'!H1129</f>
        <v>#VALUE!</v>
      </c>
    </row>
    <row r="1130" spans="1:4" x14ac:dyDescent="0.25">
      <c r="A1130" s="1" t="str">
        <f>'001'!B1130</f>
        <v>001551</v>
      </c>
      <c r="B1130" s="1" t="str">
        <f>'001'!C1130</f>
        <v>IMPERMEABILIZANTE PARA FRENTES Y MUROS TERSUAVE BASE D X 18</v>
      </c>
      <c r="C1130" s="1" t="str">
        <f>'001'!D1130</f>
        <v>0154</v>
      </c>
      <c r="D1130" s="3" t="e">
        <f>'001'!H1130</f>
        <v>#VALUE!</v>
      </c>
    </row>
    <row r="1131" spans="1:4" x14ac:dyDescent="0.25">
      <c r="A1131" s="1" t="str">
        <f>'001'!B1131</f>
        <v>001552</v>
      </c>
      <c r="B1131" s="1" t="str">
        <f>'001'!C1131</f>
        <v>IMPERMEABILIZANTE PARA FRENTES Y MUROS TERSUAVE BASE C X  0,900</v>
      </c>
      <c r="C1131" s="1" t="str">
        <f>'001'!D1131</f>
        <v>0154</v>
      </c>
      <c r="D1131" s="3" t="e">
        <f>'001'!H1131</f>
        <v>#VALUE!</v>
      </c>
    </row>
    <row r="1132" spans="1:4" x14ac:dyDescent="0.25">
      <c r="A1132" s="1" t="str">
        <f>'001'!B1132</f>
        <v>001553</v>
      </c>
      <c r="B1132" s="1" t="str">
        <f>'001'!C1132</f>
        <v>IMPERMEABILIZANTE PARA FRENTES Y MUROS TERSUAVE BASE C X  3,600</v>
      </c>
      <c r="C1132" s="1" t="str">
        <f>'001'!D1132</f>
        <v>0154</v>
      </c>
      <c r="D1132" s="3" t="e">
        <f>'001'!H1132</f>
        <v>#VALUE!</v>
      </c>
    </row>
    <row r="1133" spans="1:4" x14ac:dyDescent="0.25">
      <c r="A1133" s="1" t="str">
        <f>'001'!B1133</f>
        <v>001554</v>
      </c>
      <c r="B1133" s="1" t="str">
        <f>'001'!C1133</f>
        <v>IMPERMEABILIZANTE PARA FRENTES Y MUROS TERSUAVE BASE C X  9,000</v>
      </c>
      <c r="C1133" s="1" t="str">
        <f>'001'!D1133</f>
        <v>0154</v>
      </c>
      <c r="D1133" s="3" t="e">
        <f>'001'!H1133</f>
        <v>#VALUE!</v>
      </c>
    </row>
    <row r="1134" spans="1:4" x14ac:dyDescent="0.25">
      <c r="A1134" s="1" t="str">
        <f>'001'!B1134</f>
        <v>001555</v>
      </c>
      <c r="B1134" s="1" t="str">
        <f>'001'!C1134</f>
        <v>IMPERMEABILIZANTE PARA FRENTES Y MUROS TERSUAVE BASE C X 18,000</v>
      </c>
      <c r="C1134" s="1" t="str">
        <f>'001'!D1134</f>
        <v>0154</v>
      </c>
      <c r="D1134" s="3" t="e">
        <f>'001'!H1134</f>
        <v>#VALUE!</v>
      </c>
    </row>
    <row r="1135" spans="1:4" x14ac:dyDescent="0.25">
      <c r="A1135" s="1" t="str">
        <f>'001'!B1135</f>
        <v>001559</v>
      </c>
      <c r="B1135" s="1" t="str">
        <f>'001'!C1135</f>
        <v>ESMALTE SINTETICO PLAVICON 3EN1 BRILLANTE CASTANO X  0,500</v>
      </c>
      <c r="C1135" s="1" t="str">
        <f>'001'!D1135</f>
        <v>0902</v>
      </c>
      <c r="D1135" s="3" t="e">
        <f>'001'!H1135</f>
        <v>#VALUE!</v>
      </c>
    </row>
    <row r="1136" spans="1:4" x14ac:dyDescent="0.25">
      <c r="A1136" s="1" t="str">
        <f>'001'!B1136</f>
        <v>001560</v>
      </c>
      <c r="B1136" s="1" t="str">
        <f>'001'!C1136</f>
        <v>ESCALERA DE MADERA SIN FIN PINTOR 13</v>
      </c>
      <c r="C1136" s="1" t="str">
        <f>'001'!D1136</f>
        <v>0149</v>
      </c>
      <c r="D1136" s="3" t="e">
        <f>'001'!H1136</f>
        <v>#VALUE!</v>
      </c>
    </row>
    <row r="1137" spans="1:4" x14ac:dyDescent="0.25">
      <c r="A1137" s="1" t="str">
        <f>'001'!B1137</f>
        <v>001561</v>
      </c>
      <c r="B1137" s="1" t="str">
        <f>'001'!C1137</f>
        <v>ESCALERA DE MADERA SIN FIN PINTOR 14</v>
      </c>
      <c r="C1137" s="1" t="str">
        <f>'001'!D1137</f>
        <v>0149</v>
      </c>
      <c r="D1137" s="3" t="e">
        <f>'001'!H1137</f>
        <v>#VALUE!</v>
      </c>
    </row>
    <row r="1138" spans="1:4" x14ac:dyDescent="0.25">
      <c r="A1138" s="1" t="str">
        <f>'001'!B1138</f>
        <v>001562</v>
      </c>
      <c r="B1138" s="1" t="str">
        <f>'001'!C1138</f>
        <v>ESCALERA DE MADERA SIN FIN PINTOR 15</v>
      </c>
      <c r="C1138" s="1" t="str">
        <f>'001'!D1138</f>
        <v>0149</v>
      </c>
      <c r="D1138" s="3" t="e">
        <f>'001'!H1138</f>
        <v>#VALUE!</v>
      </c>
    </row>
    <row r="1139" spans="1:4" x14ac:dyDescent="0.25">
      <c r="A1139" s="1" t="str">
        <f>'001'!B1139</f>
        <v>001563</v>
      </c>
      <c r="B1139" s="1" t="str">
        <f>'001'!C1139</f>
        <v>ESCALERA DE MADERA SIN FIN PINTOR 16</v>
      </c>
      <c r="C1139" s="1" t="str">
        <f>'001'!D1139</f>
        <v>0149</v>
      </c>
      <c r="D1139" s="3" t="e">
        <f>'001'!H1139</f>
        <v>#VALUE!</v>
      </c>
    </row>
    <row r="1140" spans="1:4" x14ac:dyDescent="0.25">
      <c r="A1140" s="1" t="str">
        <f>'001'!B1140</f>
        <v>001564</v>
      </c>
      <c r="B1140" s="1" t="str">
        <f>'001'!C1140</f>
        <v>ESCALERA DE MADERA SIN FIN PINTOR 17</v>
      </c>
      <c r="C1140" s="1" t="str">
        <f>'001'!D1140</f>
        <v>0149</v>
      </c>
      <c r="D1140" s="3" t="e">
        <f>'001'!H1140</f>
        <v>#VALUE!</v>
      </c>
    </row>
    <row r="1141" spans="1:4" x14ac:dyDescent="0.25">
      <c r="A1141" s="1" t="str">
        <f>'001'!B1141</f>
        <v>001565</v>
      </c>
      <c r="B1141" s="1" t="str">
        <f>'001'!C1141</f>
        <v>ESMALTE SINTETICO PLAVICON 3EN1 BRILLANTE CASTANO X  1</v>
      </c>
      <c r="C1141" s="1" t="str">
        <f>'001'!D1141</f>
        <v>0902</v>
      </c>
      <c r="D1141" s="3" t="e">
        <f>'001'!H1141</f>
        <v>#VALUE!</v>
      </c>
    </row>
    <row r="1142" spans="1:4" x14ac:dyDescent="0.25">
      <c r="A1142" s="1" t="str">
        <f>'001'!B1142</f>
        <v>001566</v>
      </c>
      <c r="B1142" s="1" t="str">
        <f>'001'!C1142</f>
        <v>ESMALTE SINTETICO PLAVICON 3EN1 BRILLANTE CASTANO X  4</v>
      </c>
      <c r="C1142" s="1" t="str">
        <f>'001'!D1142</f>
        <v>0902</v>
      </c>
      <c r="D1142" s="3" t="e">
        <f>'001'!H1142</f>
        <v>#VALUE!</v>
      </c>
    </row>
    <row r="1143" spans="1:4" x14ac:dyDescent="0.25">
      <c r="A1143" s="1" t="str">
        <f>'001'!B1143</f>
        <v>001569</v>
      </c>
      <c r="B1143" s="1" t="str">
        <f>'001'!C1143</f>
        <v>ESMALTE SINTETICO PLAVICON 3EN1 BRILLANTE OCRE X  0,500</v>
      </c>
      <c r="C1143" s="1" t="str">
        <f>'001'!D1143</f>
        <v>0139</v>
      </c>
      <c r="D1143" s="3" t="e">
        <f>'001'!H1143</f>
        <v>#VALUE!</v>
      </c>
    </row>
    <row r="1144" spans="1:4" x14ac:dyDescent="0.25">
      <c r="A1144" s="1" t="str">
        <f>'001'!B1144</f>
        <v>001570</v>
      </c>
      <c r="B1144" s="1" t="str">
        <f>'001'!C1144</f>
        <v>ESMALTE SINTETICO PLAVICON 3EN1 BRILLANTE OCRE X  1</v>
      </c>
      <c r="C1144" s="1" t="str">
        <f>'001'!D1144</f>
        <v>0139</v>
      </c>
      <c r="D1144" s="3" t="e">
        <f>'001'!H1144</f>
        <v>#VALUE!</v>
      </c>
    </row>
    <row r="1145" spans="1:4" x14ac:dyDescent="0.25">
      <c r="A1145" s="1" t="str">
        <f>'001'!B1145</f>
        <v>001571</v>
      </c>
      <c r="B1145" s="1" t="str">
        <f>'001'!C1145</f>
        <v>ESMALTE SINTETICO PLAVICON 3EN1 BRILLANTE OCRE X  4</v>
      </c>
      <c r="C1145" s="1" t="str">
        <f>'001'!D1145</f>
        <v>0139</v>
      </c>
      <c r="D1145" s="3" t="e">
        <f>'001'!H1145</f>
        <v>#VALUE!</v>
      </c>
    </row>
    <row r="1146" spans="1:4" x14ac:dyDescent="0.25">
      <c r="A1146" s="1" t="str">
        <f>'001'!B1146</f>
        <v>001572</v>
      </c>
      <c r="B1146" s="1" t="str">
        <f>'001'!C1146</f>
        <v>ESMALTE SINTETICO PLAVICON 3EN1 BRILLANTE OCRE X 20</v>
      </c>
      <c r="C1146" s="1" t="str">
        <f>'001'!D1146</f>
        <v>0139</v>
      </c>
      <c r="D1146" s="3" t="e">
        <f>'001'!H1146</f>
        <v>#VALUE!</v>
      </c>
    </row>
    <row r="1147" spans="1:4" x14ac:dyDescent="0.25">
      <c r="A1147" s="1" t="str">
        <f>'001'!B1147</f>
        <v>001573</v>
      </c>
      <c r="B1147" s="1" t="str">
        <f>'001'!C1147</f>
        <v>ESMALTE SINTETICO PLAVICON 3EN1 BRILLANTE BEIGE X  0,250</v>
      </c>
      <c r="C1147" s="1" t="str">
        <f>'001'!D1147</f>
        <v>0902</v>
      </c>
      <c r="D1147" s="3" t="e">
        <f>'001'!H1147</f>
        <v>#VALUE!</v>
      </c>
    </row>
    <row r="1148" spans="1:4" x14ac:dyDescent="0.25">
      <c r="A1148" s="1" t="str">
        <f>'001'!B1148</f>
        <v>001574</v>
      </c>
      <c r="B1148" s="1" t="str">
        <f>'001'!C1148</f>
        <v>ESMALTE SINTETICO PLAVICON 3EN1 BRILLANTE BEIGE X  0,500</v>
      </c>
      <c r="C1148" s="1" t="str">
        <f>'001'!D1148</f>
        <v>0902</v>
      </c>
      <c r="D1148" s="3" t="e">
        <f>'001'!H1148</f>
        <v>#VALUE!</v>
      </c>
    </row>
    <row r="1149" spans="1:4" x14ac:dyDescent="0.25">
      <c r="A1149" s="1" t="str">
        <f>'001'!B1149</f>
        <v>001577</v>
      </c>
      <c r="B1149" s="1" t="str">
        <f>'001'!C1149</f>
        <v>ESMALTE SINTETICO PLAVICON 3EN1 BRILLANTE BEIGE X  1</v>
      </c>
      <c r="C1149" s="1" t="str">
        <f>'001'!D1149</f>
        <v>0902</v>
      </c>
      <c r="D1149" s="3" t="e">
        <f>'001'!H1149</f>
        <v>#VALUE!</v>
      </c>
    </row>
    <row r="1150" spans="1:4" x14ac:dyDescent="0.25">
      <c r="A1150" s="1" t="str">
        <f>'001'!B1150</f>
        <v>001578</v>
      </c>
      <c r="B1150" s="1" t="str">
        <f>'001'!C1150</f>
        <v>ESMALTE SINTETICO PLAVICON 3EN1 BRILLANTE BEIGE X  4</v>
      </c>
      <c r="C1150" s="1" t="str">
        <f>'001'!D1150</f>
        <v>0902</v>
      </c>
      <c r="D1150" s="3" t="e">
        <f>'001'!H1150</f>
        <v>#VALUE!</v>
      </c>
    </row>
    <row r="1151" spans="1:4" x14ac:dyDescent="0.25">
      <c r="A1151" s="1" t="str">
        <f>'001'!B1151</f>
        <v>001581</v>
      </c>
      <c r="B1151" s="1" t="str">
        <f>'001'!C1151</f>
        <v>ESMALTE SINTETICO PLAVICON 3EN1 BRILLANTE CELESTE X  0,500</v>
      </c>
      <c r="C1151" s="1" t="str">
        <f>'001'!D1151</f>
        <v>0902</v>
      </c>
      <c r="D1151" s="3" t="e">
        <f>'001'!H1151</f>
        <v>#VALUE!</v>
      </c>
    </row>
    <row r="1152" spans="1:4" x14ac:dyDescent="0.25">
      <c r="A1152" s="1" t="str">
        <f>'001'!B1152</f>
        <v>001582</v>
      </c>
      <c r="B1152" s="1" t="str">
        <f>'001'!C1152</f>
        <v>ESMALTE SINTETICO PLAVICON 3EN1 BRILLANTE CELESTE X  1</v>
      </c>
      <c r="C1152" s="1" t="str">
        <f>'001'!D1152</f>
        <v>0902</v>
      </c>
      <c r="D1152" s="3" t="e">
        <f>'001'!H1152</f>
        <v>#VALUE!</v>
      </c>
    </row>
    <row r="1153" spans="1:4" x14ac:dyDescent="0.25">
      <c r="A1153" s="1" t="str">
        <f>'001'!B1153</f>
        <v>001583</v>
      </c>
      <c r="B1153" s="1" t="str">
        <f>'001'!C1153</f>
        <v>ESMALTE SINTETICO PLAVICON 3EN1 BRILLANTE CELESTE X  4</v>
      </c>
      <c r="C1153" s="1" t="str">
        <f>'001'!D1153</f>
        <v>0902</v>
      </c>
      <c r="D1153" s="3" t="e">
        <f>'001'!H1153</f>
        <v>#VALUE!</v>
      </c>
    </row>
    <row r="1154" spans="1:4" x14ac:dyDescent="0.25">
      <c r="A1154" s="1" t="str">
        <f>'001'!B1154</f>
        <v>001591</v>
      </c>
      <c r="B1154" s="1" t="str">
        <f>'001'!C1154</f>
        <v>CINTA DE PAPEL RAPIFIX USO GENERAL NEGRO (520) 36MM</v>
      </c>
      <c r="C1154" s="1" t="str">
        <f>'001'!D1154</f>
        <v>0181</v>
      </c>
      <c r="D1154" s="3" t="e">
        <f>'001'!H1154</f>
        <v>#VALUE!</v>
      </c>
    </row>
    <row r="1155" spans="1:4" x14ac:dyDescent="0.25">
      <c r="A1155" s="1" t="str">
        <f>'001'!B1155</f>
        <v>001595</v>
      </c>
      <c r="B1155" s="1" t="str">
        <f>'001'!C1155</f>
        <v>CINTA DE PAPEL RAPIFIX OBRA PREMIUM AZUL (550) 36MM</v>
      </c>
      <c r="C1155" s="1" t="str">
        <f>'001'!D1155</f>
        <v>0181</v>
      </c>
      <c r="D1155" s="3" t="e">
        <f>'001'!H1155</f>
        <v>#VALUE!</v>
      </c>
    </row>
    <row r="1156" spans="1:4" x14ac:dyDescent="0.25">
      <c r="A1156" s="1" t="str">
        <f>'001'!B1156</f>
        <v>001596</v>
      </c>
      <c r="B1156" s="1" t="str">
        <f>'001'!C1156</f>
        <v>CINTA DE PAPEL RAPIFIX OBRA PREMIUM AZUL (550) 48MM</v>
      </c>
      <c r="C1156" s="1" t="str">
        <f>'001'!D1156</f>
        <v>0181</v>
      </c>
      <c r="D1156" s="3" t="e">
        <f>'001'!H1156</f>
        <v>#VALUE!</v>
      </c>
    </row>
    <row r="1157" spans="1:4" x14ac:dyDescent="0.25">
      <c r="A1157" s="1" t="str">
        <f>'001'!B1157</f>
        <v>001598</v>
      </c>
      <c r="B1157" s="1" t="str">
        <f>'001'!C1157</f>
        <v>PANO DE FIBRA ABRASIVA DOBLE A  ABRATEX 150X230 #100 ESTUCHE X 1 (MARRON)</v>
      </c>
      <c r="C1157" s="1" t="str">
        <f>'001'!D1157</f>
        <v>0102</v>
      </c>
      <c r="D1157" s="3" t="e">
        <f>'001'!H1157</f>
        <v>#VALUE!</v>
      </c>
    </row>
    <row r="1158" spans="1:4" x14ac:dyDescent="0.25">
      <c r="A1158" s="1" t="str">
        <f>'001'!B1158</f>
        <v>001599</v>
      </c>
      <c r="B1158" s="1" t="str">
        <f>'001'!C1158</f>
        <v>PANO DE FIBRA ABRASIVA DOBLE A  ABRATEX 150X230 #220 ESTUCHE X 2 (MARRON)</v>
      </c>
      <c r="C1158" s="1" t="str">
        <f>'001'!D1158</f>
        <v>0102</v>
      </c>
      <c r="D1158" s="3" t="e">
        <f>'001'!H1158</f>
        <v>#VALUE!</v>
      </c>
    </row>
    <row r="1159" spans="1:4" x14ac:dyDescent="0.25">
      <c r="A1159" s="1" t="str">
        <f>'001'!B1159</f>
        <v>001600</v>
      </c>
      <c r="B1159" s="1" t="str">
        <f>'001'!C1159</f>
        <v>PANO DE FIBRA ABRASIVA DOBLE A  ABRATEX 150X230 #320 ESTUCHE X 2 (VERDE)</v>
      </c>
      <c r="C1159" s="1" t="str">
        <f>'001'!D1159</f>
        <v>0102</v>
      </c>
      <c r="D1159" s="3" t="e">
        <f>'001'!H1159</f>
        <v>#VALUE!</v>
      </c>
    </row>
    <row r="1160" spans="1:4" x14ac:dyDescent="0.25">
      <c r="A1160" s="1" t="str">
        <f>'001'!B1160</f>
        <v>001601</v>
      </c>
      <c r="B1160" s="1" t="str">
        <f>'001'!C1160</f>
        <v>PANO DE FIBRA ABRASIVA DOBLE A  ABRATEX 150X230 #400 ESTUCHE X 2 (BORDO)</v>
      </c>
      <c r="C1160" s="1" t="str">
        <f>'001'!D1160</f>
        <v>0102</v>
      </c>
      <c r="D1160" s="3" t="e">
        <f>'001'!H1160</f>
        <v>#VALUE!</v>
      </c>
    </row>
    <row r="1161" spans="1:4" x14ac:dyDescent="0.25">
      <c r="A1161" s="1" t="str">
        <f>'001'!B1161</f>
        <v>001602</v>
      </c>
      <c r="B1161" s="1" t="str">
        <f>'001'!C1161</f>
        <v>PANO DE FIBRA ABRASIVA DOBLE A  ABRATEX 150X230 #600 ESTUCHE X 2 (GRIS)</v>
      </c>
      <c r="C1161" s="1" t="str">
        <f>'001'!D1161</f>
        <v>0102</v>
      </c>
      <c r="D1161" s="3" t="e">
        <f>'001'!H1161</f>
        <v>#VALUE!</v>
      </c>
    </row>
    <row r="1162" spans="1:4" x14ac:dyDescent="0.25">
      <c r="A1162" s="1" t="str">
        <f>'001'!B1162</f>
        <v>001603</v>
      </c>
      <c r="B1162" s="1" t="str">
        <f>'001'!C1162</f>
        <v>TAPAGOTERAS MAGIPLAST X 1</v>
      </c>
      <c r="C1162" s="1" t="str">
        <f>'001'!D1162</f>
        <v>0129</v>
      </c>
      <c r="D1162" s="3" t="e">
        <f>'001'!H1162</f>
        <v>#VALUE!</v>
      </c>
    </row>
    <row r="1163" spans="1:4" x14ac:dyDescent="0.25">
      <c r="A1163" s="1" t="str">
        <f>'001'!B1163</f>
        <v>001604</v>
      </c>
      <c r="B1163" s="1" t="str">
        <f>'001'!C1163</f>
        <v>TAPAGOTERAS MAGIPLAST X 5</v>
      </c>
      <c r="C1163" s="1" t="str">
        <f>'001'!D1163</f>
        <v>0129</v>
      </c>
      <c r="D1163" s="3" t="e">
        <f>'001'!H1163</f>
        <v>#VALUE!</v>
      </c>
    </row>
    <row r="1164" spans="1:4" x14ac:dyDescent="0.25">
      <c r="A1164" s="1" t="str">
        <f>'001'!B1164</f>
        <v>001605</v>
      </c>
      <c r="B1164" s="1" t="str">
        <f>'001'!C1164</f>
        <v>AEROSOL RUST-OLEUM UC SATINADO GRANITO X 0,340(358903)</v>
      </c>
      <c r="C1164" s="1" t="str">
        <f>'001'!D1164</f>
        <v>0146</v>
      </c>
      <c r="D1164" s="3" t="e">
        <f>'001'!H1164</f>
        <v>#VALUE!</v>
      </c>
    </row>
    <row r="1165" spans="1:4" x14ac:dyDescent="0.25">
      <c r="A1165" s="1" t="str">
        <f>'001'!B1165</f>
        <v>001607</v>
      </c>
      <c r="B1165" s="1" t="str">
        <f>'001'!C1165</f>
        <v>MASILLA POLIESTER ZEOCAR UNICA X 2,25 (61)</v>
      </c>
      <c r="C1165" s="1" t="str">
        <f>'001'!D1165</f>
        <v>0157</v>
      </c>
      <c r="D1165" s="3" t="e">
        <f>'001'!H1165</f>
        <v>#VALUE!</v>
      </c>
    </row>
    <row r="1166" spans="1:4" x14ac:dyDescent="0.25">
      <c r="A1166" s="1" t="str">
        <f>'001'!B1166</f>
        <v>001608</v>
      </c>
      <c r="B1166" s="1" t="str">
        <f>'001'!C1166</f>
        <v>AEROSOL RUST-OLEUM UC IMPRIMANTE MATE GRIS X 0,340(262159)</v>
      </c>
      <c r="C1166" s="1" t="str">
        <f>'001'!D1166</f>
        <v>0146</v>
      </c>
      <c r="D1166" s="3" t="e">
        <f>'001'!H1166</f>
        <v>#VALUE!</v>
      </c>
    </row>
    <row r="1167" spans="1:4" x14ac:dyDescent="0.25">
      <c r="A1167" s="1" t="str">
        <f>'001'!B1167</f>
        <v>001609</v>
      </c>
      <c r="B1167" s="1" t="str">
        <f>'001'!C1167</f>
        <v>AEROSOL RUST-OLEUM UC IMPRIMANTE MATE BLANCO X 0,340(262193)</v>
      </c>
      <c r="C1167" s="1" t="str">
        <f>'001'!D1167</f>
        <v>0902</v>
      </c>
      <c r="D1167" s="3" t="e">
        <f>'001'!H1167</f>
        <v>#VALUE!</v>
      </c>
    </row>
    <row r="1168" spans="1:4" x14ac:dyDescent="0.25">
      <c r="A1168" s="1" t="str">
        <f>'001'!B1168</f>
        <v>001610</v>
      </c>
      <c r="B1168" s="1" t="str">
        <f>'001'!C1168</f>
        <v>D839.04 PRIMER 2K PRIMA X 0,750</v>
      </c>
      <c r="C1168" s="1" t="str">
        <f>'001'!D1168</f>
        <v>0134</v>
      </c>
      <c r="D1168" s="3" t="e">
        <f>'001'!H1168</f>
        <v>#VALUE!</v>
      </c>
    </row>
    <row r="1169" spans="1:4" x14ac:dyDescent="0.25">
      <c r="A1169" s="1" t="str">
        <f>'001'!B1169</f>
        <v>001611</v>
      </c>
      <c r="B1169" s="1" t="str">
        <f>'001'!C1169</f>
        <v>D839.01 PRIMER 2K PRIMA X 3</v>
      </c>
      <c r="C1169" s="1" t="str">
        <f>'001'!D1169</f>
        <v>0134</v>
      </c>
      <c r="D1169" s="3" t="e">
        <f>'001'!H1169</f>
        <v>#VALUE!</v>
      </c>
    </row>
    <row r="1170" spans="1:4" x14ac:dyDescent="0.25">
      <c r="A1170" s="1" t="str">
        <f>'001'!B1170</f>
        <v>001612</v>
      </c>
      <c r="B1170" s="1" t="str">
        <f>'001'!C1170</f>
        <v>IMPERMEABILIZANTE PARA FRENTES Y MUROS TERSITECH SEMIMATE BLANCO X  1</v>
      </c>
      <c r="C1170" s="1" t="str">
        <f>'001'!D1170</f>
        <v>0152</v>
      </c>
      <c r="D1170" s="3" t="e">
        <f>'001'!H1170</f>
        <v>#VALUE!</v>
      </c>
    </row>
    <row r="1171" spans="1:4" x14ac:dyDescent="0.25">
      <c r="A1171" s="1" t="str">
        <f>'001'!B1171</f>
        <v>001613</v>
      </c>
      <c r="B1171" s="1" t="str">
        <f>'001'!C1171</f>
        <v>IMPERMEABILIZANTE PARA FRENTES Y MUROS TERSITECH SEMIMATE BLANCO X  4</v>
      </c>
      <c r="C1171" s="1" t="str">
        <f>'001'!D1171</f>
        <v>0152</v>
      </c>
      <c r="D1171" s="3" t="e">
        <f>'001'!H1171</f>
        <v>#VALUE!</v>
      </c>
    </row>
    <row r="1172" spans="1:4" x14ac:dyDescent="0.25">
      <c r="A1172" s="1" t="str">
        <f>'001'!B1172</f>
        <v>001614</v>
      </c>
      <c r="B1172" s="1" t="str">
        <f>'001'!C1172</f>
        <v>IMPERMEABILIZANTE PARA FRENTES Y MUROS TERSITECH SEMIMATE BLANCO X 10</v>
      </c>
      <c r="C1172" s="1" t="str">
        <f>'001'!D1172</f>
        <v>0152</v>
      </c>
      <c r="D1172" s="3" t="e">
        <f>'001'!H1172</f>
        <v>#VALUE!</v>
      </c>
    </row>
    <row r="1173" spans="1:4" x14ac:dyDescent="0.25">
      <c r="A1173" s="1" t="str">
        <f>'001'!B1173</f>
        <v>001615</v>
      </c>
      <c r="B1173" s="1" t="str">
        <f>'001'!C1173</f>
        <v>IMPERMEABILIZANTE PARA FRENTES Y MUROS TERSITECH SEMIMATE BLANCO X 20</v>
      </c>
      <c r="C1173" s="1" t="str">
        <f>'001'!D1173</f>
        <v>0152</v>
      </c>
      <c r="D1173" s="3" t="e">
        <f>'001'!H1173</f>
        <v>#VALUE!</v>
      </c>
    </row>
    <row r="1174" spans="1:4" x14ac:dyDescent="0.25">
      <c r="A1174" s="1" t="str">
        <f>'001'!B1174</f>
        <v>001616</v>
      </c>
      <c r="B1174" s="1" t="str">
        <f>'001'!C1174</f>
        <v>AEROSOL TERSUAVE ESMALTE SINTETICO METALIZADO BRILLANTE BRONCE X 0,440</v>
      </c>
      <c r="C1174" s="1" t="str">
        <f>'001'!D1174</f>
        <v>0152</v>
      </c>
      <c r="D1174" s="3" t="e">
        <f>'001'!H1174</f>
        <v>#VALUE!</v>
      </c>
    </row>
    <row r="1175" spans="1:4" x14ac:dyDescent="0.25">
      <c r="A1175" s="1" t="str">
        <f>'001'!B1175</f>
        <v>001617</v>
      </c>
      <c r="B1175" s="1" t="str">
        <f>'001'!C1175</f>
        <v>AEROSOL TERSUAVE ESMALTE SINTETICO METALIZADO BRILLANTE PLATA X 0,440</v>
      </c>
      <c r="C1175" s="1" t="str">
        <f>'001'!D1175</f>
        <v>0152</v>
      </c>
      <c r="D1175" s="3" t="e">
        <f>'001'!H1175</f>
        <v>#VALUE!</v>
      </c>
    </row>
    <row r="1176" spans="1:4" x14ac:dyDescent="0.25">
      <c r="A1176" s="1" t="str">
        <f>'001'!B1176</f>
        <v>001618</v>
      </c>
      <c r="B1176" s="1" t="str">
        <f>'001'!C1176</f>
        <v>AEROSOL TERSUAVE ESMALTE SINTETICO METALIZADO BRILLANTE COBRE X 0,440</v>
      </c>
      <c r="C1176" s="1" t="str">
        <f>'001'!D1176</f>
        <v>0152</v>
      </c>
      <c r="D1176" s="3" t="e">
        <f>'001'!H1176</f>
        <v>#VALUE!</v>
      </c>
    </row>
    <row r="1177" spans="1:4" x14ac:dyDescent="0.25">
      <c r="A1177" s="1" t="str">
        <f>'001'!B1177</f>
        <v>001619</v>
      </c>
      <c r="B1177" s="1" t="str">
        <f>'001'!C1177</f>
        <v>AEROSOL TERSUAVE ESMALTE SINTETICO METALIZADO BRILLANTE ORO X 0,440</v>
      </c>
      <c r="C1177" s="1" t="str">
        <f>'001'!D1177</f>
        <v>0152</v>
      </c>
      <c r="D1177" s="3" t="e">
        <f>'001'!H1177</f>
        <v>#VALUE!</v>
      </c>
    </row>
    <row r="1178" spans="1:4" x14ac:dyDescent="0.25">
      <c r="A1178" s="1" t="str">
        <f>'001'!B1178</f>
        <v>001620</v>
      </c>
      <c r="B1178" s="1" t="str">
        <f>'001'!C1178</f>
        <v>AEROSOL RUST-OLEUM UC BRILLANTE ROSA CLARO X 0,340(262191)</v>
      </c>
      <c r="C1178" s="1" t="str">
        <f>'001'!D1178</f>
        <v>0146</v>
      </c>
      <c r="D1178" s="3" t="e">
        <f>'001'!H1178</f>
        <v>#VALUE!</v>
      </c>
    </row>
    <row r="1179" spans="1:4" x14ac:dyDescent="0.25">
      <c r="A1179" s="1" t="str">
        <f>'001'!B1179</f>
        <v>001621</v>
      </c>
      <c r="B1179" s="1" t="str">
        <f>'001'!C1179</f>
        <v>AEROSOL RUST-OLEUM UC BRILLANTE GRIS INVIERNO X 0,340(262175)</v>
      </c>
      <c r="C1179" s="1" t="str">
        <f>'001'!D1179</f>
        <v>0146</v>
      </c>
      <c r="D1179" s="3" t="e">
        <f>'001'!H1179</f>
        <v>#VALUE!</v>
      </c>
    </row>
    <row r="1180" spans="1:4" x14ac:dyDescent="0.25">
      <c r="A1180" s="1" t="str">
        <f>'001'!B1180</f>
        <v>001622</v>
      </c>
      <c r="B1180" s="1" t="str">
        <f>'001'!C1180</f>
        <v>AEROSOL RUST-OLEUM UC BRILLANTE UVA X 0,340(262172)</v>
      </c>
      <c r="C1180" s="1" t="str">
        <f>'001'!D1180</f>
        <v>0146</v>
      </c>
      <c r="D1180" s="3" t="e">
        <f>'001'!H1180</f>
        <v>#VALUE!</v>
      </c>
    </row>
    <row r="1181" spans="1:4" x14ac:dyDescent="0.25">
      <c r="A1181" s="1" t="str">
        <f>'001'!B1181</f>
        <v>001628</v>
      </c>
      <c r="B1181" s="1" t="str">
        <f>'001'!C1181</f>
        <v>RESTAURADOR LUSTRELAC MEDIO X 0,250</v>
      </c>
      <c r="C1181" s="1" t="str">
        <f>'001'!D1181</f>
        <v>0138</v>
      </c>
      <c r="D1181" s="3" t="e">
        <f>'001'!H1181</f>
        <v>#VALUE!</v>
      </c>
    </row>
    <row r="1182" spans="1:4" x14ac:dyDescent="0.25">
      <c r="A1182" s="1" t="str">
        <f>'001'!B1182</f>
        <v>001629</v>
      </c>
      <c r="B1182" s="1" t="str">
        <f>'001'!C1182</f>
        <v>RESTAURADOR LUSTRELAC OSCURO X 0,250</v>
      </c>
      <c r="C1182" s="1" t="str">
        <f>'001'!D1182</f>
        <v>0138</v>
      </c>
      <c r="D1182" s="3" t="e">
        <f>'001'!H1182</f>
        <v>#VALUE!</v>
      </c>
    </row>
    <row r="1183" spans="1:4" x14ac:dyDescent="0.25">
      <c r="A1183" s="1" t="str">
        <f>'001'!B1183</f>
        <v>001630</v>
      </c>
      <c r="B1183" s="1" t="str">
        <f>'001'!C1183</f>
        <v>ADHESIVO DE MONTAJE EL PULPITO X 0,050</v>
      </c>
      <c r="C1183" s="1" t="str">
        <f>'001'!D1183</f>
        <v>0140</v>
      </c>
      <c r="D1183" s="3" t="e">
        <f>'001'!H1183</f>
        <v>#VALUE!</v>
      </c>
    </row>
    <row r="1184" spans="1:4" x14ac:dyDescent="0.25">
      <c r="A1184" s="1" t="str">
        <f>'001'!B1184</f>
        <v>001631</v>
      </c>
      <c r="B1184" s="1" t="str">
        <f>'001'!C1184</f>
        <v>FONDO PARA MADERA PLAVICON BLANCO X  0,500</v>
      </c>
      <c r="C1184" s="1" t="str">
        <f>'001'!D1184</f>
        <v>0139</v>
      </c>
      <c r="D1184" s="3" t="e">
        <f>'001'!H1184</f>
        <v>#VALUE!</v>
      </c>
    </row>
    <row r="1185" spans="1:4" x14ac:dyDescent="0.25">
      <c r="A1185" s="1" t="str">
        <f>'001'!B1185</f>
        <v>001632</v>
      </c>
      <c r="B1185" s="1" t="str">
        <f>'001'!C1185</f>
        <v>FONDO PARA MADERA PLAVICON BLANCO X  1</v>
      </c>
      <c r="C1185" s="1" t="str">
        <f>'001'!D1185</f>
        <v>0139</v>
      </c>
      <c r="D1185" s="3" t="e">
        <f>'001'!H1185</f>
        <v>#VALUE!</v>
      </c>
    </row>
    <row r="1186" spans="1:4" x14ac:dyDescent="0.25">
      <c r="A1186" s="1" t="str">
        <f>'001'!B1186</f>
        <v>001633</v>
      </c>
      <c r="B1186" s="1" t="str">
        <f>'001'!C1186</f>
        <v>ADHESIVO DE MONTAJE EL PULPITO X 0,120</v>
      </c>
      <c r="C1186" s="1" t="str">
        <f>'001'!D1186</f>
        <v>0140</v>
      </c>
      <c r="D1186" s="3" t="e">
        <f>'001'!H1186</f>
        <v>#VALUE!</v>
      </c>
    </row>
    <row r="1187" spans="1:4" x14ac:dyDescent="0.25">
      <c r="A1187" s="1" t="str">
        <f>'001'!B1187</f>
        <v>001634</v>
      </c>
      <c r="B1187" s="1" t="str">
        <f>'001'!C1187</f>
        <v>P425-992/E1 SHINING COARSE ALUMINIUM X 1</v>
      </c>
      <c r="C1187" s="1" t="str">
        <f>'001'!D1187</f>
        <v>0131</v>
      </c>
      <c r="D1187" s="3" t="e">
        <f>'001'!H1187</f>
        <v>#VALUE!</v>
      </c>
    </row>
    <row r="1188" spans="1:4" x14ac:dyDescent="0.25">
      <c r="A1188" s="1" t="str">
        <f>'001'!B1188</f>
        <v>001635</v>
      </c>
      <c r="B1188" s="1" t="str">
        <f>'001'!C1188</f>
        <v>AEROSOL RUST-OLEUM SP FLUORESCENTE ROJO/NARANJA X 0,312(2721281)</v>
      </c>
      <c r="C1188" s="1" t="str">
        <f>'001'!D1188</f>
        <v>0146</v>
      </c>
      <c r="D1188" s="3" t="e">
        <f>'001'!H1188</f>
        <v>#VALUE!</v>
      </c>
    </row>
    <row r="1189" spans="1:4" x14ac:dyDescent="0.25">
      <c r="A1189" s="1" t="str">
        <f>'001'!B1189</f>
        <v>001636</v>
      </c>
      <c r="B1189" s="1" t="str">
        <f>'001'!C1189</f>
        <v>FONDO PARA MADERA PLAVICON BLANCO X  4</v>
      </c>
      <c r="C1189" s="1" t="str">
        <f>'001'!D1189</f>
        <v>0139</v>
      </c>
      <c r="D1189" s="3" t="e">
        <f>'001'!H1189</f>
        <v>#VALUE!</v>
      </c>
    </row>
    <row r="1190" spans="1:4" x14ac:dyDescent="0.25">
      <c r="A1190" s="1" t="str">
        <f>'001'!B1190</f>
        <v>001638</v>
      </c>
      <c r="B1190" s="1" t="str">
        <f>'001'!C1190</f>
        <v>MP03.04 PASTA DE PULIR BASE AGUA X 1.000</v>
      </c>
      <c r="C1190" s="1" t="str">
        <f>'001'!D1190</f>
        <v>0132</v>
      </c>
      <c r="D1190" s="3" t="e">
        <f>'001'!H1190</f>
        <v>#VALUE!</v>
      </c>
    </row>
    <row r="1191" spans="1:4" x14ac:dyDescent="0.25">
      <c r="A1191" s="1" t="str">
        <f>'001'!B1191</f>
        <v>001640</v>
      </c>
      <c r="B1191" s="1" t="str">
        <f>'001'!C1191</f>
        <v>P425-956 HS SUPER BLUE X 1</v>
      </c>
      <c r="C1191" s="1" t="str">
        <f>'001'!D1191</f>
        <v>0131</v>
      </c>
      <c r="D1191" s="3" t="e">
        <f>'001'!H1191</f>
        <v>#VALUE!</v>
      </c>
    </row>
    <row r="1192" spans="1:4" x14ac:dyDescent="0.25">
      <c r="A1192" s="1" t="str">
        <f>'001'!B1192</f>
        <v>001641</v>
      </c>
      <c r="B1192" s="1" t="str">
        <f>'001'!C1192</f>
        <v>P426-HE02/E1 ULTRA FINE WHITE X 1</v>
      </c>
      <c r="C1192" s="1" t="str">
        <f>'001'!D1192</f>
        <v>0131</v>
      </c>
      <c r="D1192" s="3" t="e">
        <f>'001'!H1192</f>
        <v>#VALUE!</v>
      </c>
    </row>
    <row r="1193" spans="1:4" x14ac:dyDescent="0.25">
      <c r="A1193" s="1" t="str">
        <f>'001'!B1193</f>
        <v>001642</v>
      </c>
      <c r="B1193" s="1" t="str">
        <f>'001'!C1193</f>
        <v>P425-941 H S STRONG RED X 1</v>
      </c>
      <c r="C1193" s="1" t="str">
        <f>'001'!D1193</f>
        <v>0131</v>
      </c>
      <c r="D1193" s="3" t="e">
        <f>'001'!H1193</f>
        <v>#VALUE!</v>
      </c>
    </row>
    <row r="1194" spans="1:4" x14ac:dyDescent="0.25">
      <c r="A1194" s="1" t="str">
        <f>'001'!B1194</f>
        <v>001643</v>
      </c>
      <c r="B1194" s="1" t="str">
        <f>'001'!C1194</f>
        <v>AEROSOL RUST-OLEUM SP FLUORESCENTE VERDE X 0,312(2721301)</v>
      </c>
      <c r="C1194" s="1" t="str">
        <f>'001'!D1194</f>
        <v>0146</v>
      </c>
      <c r="D1194" s="3" t="e">
        <f>'001'!H1194</f>
        <v>#VALUE!</v>
      </c>
    </row>
    <row r="1195" spans="1:4" x14ac:dyDescent="0.25">
      <c r="A1195" s="1" t="str">
        <f>'001'!B1195</f>
        <v>001644</v>
      </c>
      <c r="B1195" s="1" t="str">
        <f>'001'!C1195</f>
        <v>ENVASE DE HOJALATA VACIO X 0,500</v>
      </c>
      <c r="C1195" s="1" t="str">
        <f>'001'!D1195</f>
        <v>0122</v>
      </c>
      <c r="D1195" s="3" t="e">
        <f>'001'!H1195</f>
        <v>#VALUE!</v>
      </c>
    </row>
    <row r="1196" spans="1:4" x14ac:dyDescent="0.25">
      <c r="A1196" s="1" t="str">
        <f>'001'!B1196</f>
        <v>001645</v>
      </c>
      <c r="B1196" s="1" t="str">
        <f>'001'!C1196</f>
        <v>ENVASE DE HOJALATA VACIO X 1</v>
      </c>
      <c r="C1196" s="1" t="str">
        <f>'001'!D1196</f>
        <v>0122</v>
      </c>
      <c r="D1196" s="3" t="e">
        <f>'001'!H1196</f>
        <v>#VALUE!</v>
      </c>
    </row>
    <row r="1197" spans="1:4" x14ac:dyDescent="0.25">
      <c r="A1197" s="1" t="str">
        <f>'001'!B1197</f>
        <v>001646</v>
      </c>
      <c r="B1197" s="1" t="str">
        <f>'001'!C1197</f>
        <v>ENVASE DE HOJALATA VACIO X 4</v>
      </c>
      <c r="C1197" s="1" t="str">
        <f>'001'!D1197</f>
        <v>0122</v>
      </c>
      <c r="D1197" s="3" t="e">
        <f>'001'!H1197</f>
        <v>#VALUE!</v>
      </c>
    </row>
    <row r="1198" spans="1:4" x14ac:dyDescent="0.25">
      <c r="A1198" s="1" t="str">
        <f>'001'!B1198</f>
        <v>001647</v>
      </c>
      <c r="B1198" s="1" t="str">
        <f>'001'!C1198</f>
        <v>P192-475/E1 CLEARS BICAPA COLORES SOLIDOS X 1</v>
      </c>
      <c r="C1198" s="1" t="str">
        <f>'001'!D1198</f>
        <v>0131</v>
      </c>
      <c r="D1198" s="3" t="e">
        <f>'001'!H1198</f>
        <v>#VALUE!</v>
      </c>
    </row>
    <row r="1199" spans="1:4" x14ac:dyDescent="0.25">
      <c r="A1199" s="1" t="str">
        <f>'001'!B1199</f>
        <v>001648</v>
      </c>
      <c r="B1199" s="1" t="str">
        <f>'001'!C1199</f>
        <v>P192-5600/E2.5 CLEARS BICAPA PERLADOS/METALIZADOS X 2.500</v>
      </c>
      <c r="C1199" s="1" t="str">
        <f>'001'!D1199</f>
        <v>0131</v>
      </c>
      <c r="D1199" s="3" t="e">
        <f>'001'!H1199</f>
        <v>#VALUE!</v>
      </c>
    </row>
    <row r="1200" spans="1:4" x14ac:dyDescent="0.25">
      <c r="A1200" s="1" t="str">
        <f>'001'!B1200</f>
        <v>001649</v>
      </c>
      <c r="B1200" s="1" t="str">
        <f>'001'!C1200</f>
        <v>P192-528 CLEARS BICAPA ALUMINIOS X 2,500</v>
      </c>
      <c r="C1200" s="1" t="str">
        <f>'001'!D1200</f>
        <v>0131</v>
      </c>
      <c r="D1200" s="3" t="e">
        <f>'001'!H1200</f>
        <v>#VALUE!</v>
      </c>
    </row>
    <row r="1201" spans="1:4" x14ac:dyDescent="0.25">
      <c r="A1201" s="1" t="str">
        <f>'001'!B1201</f>
        <v>001650</v>
      </c>
      <c r="B1201" s="1" t="str">
        <f>'001'!C1201</f>
        <v>P565-554 MATIZANTE X 1</v>
      </c>
      <c r="C1201" s="1" t="str">
        <f>'001'!D1201</f>
        <v>0131</v>
      </c>
      <c r="D1201" s="3" t="e">
        <f>'001'!H1201</f>
        <v>#VALUE!</v>
      </c>
    </row>
    <row r="1202" spans="1:4" x14ac:dyDescent="0.25">
      <c r="A1202" s="1" t="str">
        <f>'001'!B1202</f>
        <v>001651</v>
      </c>
      <c r="B1202" s="1" t="str">
        <f>'001'!C1202</f>
        <v>P420-902 R/T PALE WHITE X 1</v>
      </c>
      <c r="C1202" s="1" t="str">
        <f>'001'!D1202</f>
        <v>0131</v>
      </c>
      <c r="D1202" s="3" t="e">
        <f>'001'!H1202</f>
        <v>#VALUE!</v>
      </c>
    </row>
    <row r="1203" spans="1:4" x14ac:dyDescent="0.25">
      <c r="A1203" s="1" t="str">
        <f>'001'!B1203</f>
        <v>001652</v>
      </c>
      <c r="B1203" s="1" t="str">
        <f>'001'!C1203</f>
        <v>P420-904 TRANSPARENT BLACK X 1</v>
      </c>
      <c r="C1203" s="1" t="str">
        <f>'001'!D1203</f>
        <v>0131</v>
      </c>
      <c r="D1203" s="3" t="e">
        <f>'001'!H1203</f>
        <v>#VALUE!</v>
      </c>
    </row>
    <row r="1204" spans="1:4" x14ac:dyDescent="0.25">
      <c r="A1204" s="1" t="str">
        <f>'001'!B1204</f>
        <v>001653</v>
      </c>
      <c r="B1204" s="1" t="str">
        <f>'001'!C1204</f>
        <v>P420-905 YELLOW OXIDE X 2,5</v>
      </c>
      <c r="C1204" s="1" t="str">
        <f>'001'!D1204</f>
        <v>0131</v>
      </c>
      <c r="D1204" s="3" t="e">
        <f>'001'!H1204</f>
        <v>#VALUE!</v>
      </c>
    </row>
    <row r="1205" spans="1:4" x14ac:dyDescent="0.25">
      <c r="A1205" s="1" t="str">
        <f>'001'!B1205</f>
        <v>001654</v>
      </c>
      <c r="B1205" s="1" t="str">
        <f>'001'!C1205</f>
        <v>P420-907 RED OXIDE X 1</v>
      </c>
      <c r="C1205" s="1" t="str">
        <f>'001'!D1205</f>
        <v>0131</v>
      </c>
      <c r="D1205" s="3" t="e">
        <f>'001'!H1205</f>
        <v>#VALUE!</v>
      </c>
    </row>
    <row r="1206" spans="1:4" x14ac:dyDescent="0.25">
      <c r="A1206" s="1" t="str">
        <f>'001'!B1206</f>
        <v>001655</v>
      </c>
      <c r="B1206" s="1" t="str">
        <f>'001'!C1206</f>
        <v>P420-908 R/T RUSSET X 1</v>
      </c>
      <c r="C1206" s="1" t="str">
        <f>'001'!D1206</f>
        <v>0131</v>
      </c>
      <c r="D1206" s="3" t="e">
        <f>'001'!H1206</f>
        <v>#VALUE!</v>
      </c>
    </row>
    <row r="1207" spans="1:4" x14ac:dyDescent="0.25">
      <c r="A1207" s="1" t="str">
        <f>'001'!B1207</f>
        <v>001656</v>
      </c>
      <c r="B1207" s="1" t="str">
        <f>'001'!C1207</f>
        <v>P420-910 R/T DEEP BLUE X 1</v>
      </c>
      <c r="C1207" s="1" t="str">
        <f>'001'!D1207</f>
        <v>0131</v>
      </c>
      <c r="D1207" s="3" t="e">
        <f>'001'!H1207</f>
        <v>#VALUE!</v>
      </c>
    </row>
    <row r="1208" spans="1:4" x14ac:dyDescent="0.25">
      <c r="A1208" s="1" t="str">
        <f>'001'!B1208</f>
        <v>001657</v>
      </c>
      <c r="B1208" s="1" t="str">
        <f>'001'!C1208</f>
        <v>P420-918 R/T MEDIUM YELLOW X 1</v>
      </c>
      <c r="C1208" s="1" t="str">
        <f>'001'!D1208</f>
        <v>0131</v>
      </c>
      <c r="D1208" s="3" t="e">
        <f>'001'!H1208</f>
        <v>#VALUE!</v>
      </c>
    </row>
    <row r="1209" spans="1:4" x14ac:dyDescent="0.25">
      <c r="A1209" s="1" t="str">
        <f>'001'!B1209</f>
        <v>001658</v>
      </c>
      <c r="B1209" s="1" t="str">
        <f>'001'!C1209</f>
        <v>P420-920 VIOLET X 1</v>
      </c>
      <c r="C1209" s="1" t="str">
        <f>'001'!D1209</f>
        <v>0131</v>
      </c>
      <c r="D1209" s="3" t="e">
        <f>'001'!H1209</f>
        <v>#VALUE!</v>
      </c>
    </row>
    <row r="1210" spans="1:4" x14ac:dyDescent="0.25">
      <c r="A1210" s="1" t="str">
        <f>'001'!B1210</f>
        <v>001659</v>
      </c>
      <c r="B1210" s="1" t="str">
        <f>'001'!C1210</f>
        <v>P420-926 SUPER RED X 3,5 (DISCONTINUADO)</v>
      </c>
      <c r="C1210" s="1" t="str">
        <f>'001'!D1210</f>
        <v>0131</v>
      </c>
      <c r="D1210" s="3" t="e">
        <f>'001'!H1210</f>
        <v>#VALUE!</v>
      </c>
    </row>
    <row r="1211" spans="1:4" x14ac:dyDescent="0.25">
      <c r="A1211" s="1" t="str">
        <f>'001'!B1211</f>
        <v>001660</v>
      </c>
      <c r="B1211" s="1" t="str">
        <f>'001'!C1211</f>
        <v>P420-930 BLUE LAKE X 1</v>
      </c>
      <c r="C1211" s="1" t="str">
        <f>'001'!D1211</f>
        <v>0131</v>
      </c>
      <c r="D1211" s="3" t="e">
        <f>'001'!H1211</f>
        <v>#VALUE!</v>
      </c>
    </row>
    <row r="1212" spans="1:4" x14ac:dyDescent="0.25">
      <c r="A1212" s="1" t="str">
        <f>'001'!B1212</f>
        <v>001661</v>
      </c>
      <c r="B1212" s="1" t="str">
        <f>'001'!C1212</f>
        <v>P420-933 BLUE BLACK X 3,5</v>
      </c>
      <c r="C1212" s="1" t="str">
        <f>'001'!D1212</f>
        <v>0131</v>
      </c>
      <c r="D1212" s="3" t="e">
        <f>'001'!H1212</f>
        <v>#VALUE!</v>
      </c>
    </row>
    <row r="1213" spans="1:4" x14ac:dyDescent="0.25">
      <c r="A1213" s="1" t="str">
        <f>'001'!B1213</f>
        <v>001662</v>
      </c>
      <c r="B1213" s="1" t="str">
        <f>'001'!C1213</f>
        <v>P420-938 TONE CONTROLLER X 1</v>
      </c>
      <c r="C1213" s="1" t="str">
        <f>'001'!D1213</f>
        <v>0131</v>
      </c>
      <c r="D1213" s="3" t="e">
        <f>'001'!H1213</f>
        <v>#VALUE!</v>
      </c>
    </row>
    <row r="1214" spans="1:4" x14ac:dyDescent="0.25">
      <c r="A1214" s="1" t="str">
        <f>'001'!B1214</f>
        <v>001663</v>
      </c>
      <c r="B1214" s="1" t="str">
        <f>'001'!C1214</f>
        <v>P420-942 TRANSOXIDE RED X 1</v>
      </c>
      <c r="C1214" s="1" t="str">
        <f>'001'!D1214</f>
        <v>0131</v>
      </c>
      <c r="D1214" s="3" t="e">
        <f>'001'!H1214</f>
        <v>#VALUE!</v>
      </c>
    </row>
    <row r="1215" spans="1:4" x14ac:dyDescent="0.25">
      <c r="A1215" s="1" t="str">
        <f>'001'!B1215</f>
        <v>001664</v>
      </c>
      <c r="B1215" s="1" t="str">
        <f>'001'!C1215</f>
        <v>P420-952 FAST BLUE X 1</v>
      </c>
      <c r="C1215" s="1" t="str">
        <f>'001'!D1215</f>
        <v>0131</v>
      </c>
      <c r="D1215" s="3" t="e">
        <f>'001'!H1215</f>
        <v>#VALUE!</v>
      </c>
    </row>
    <row r="1216" spans="1:4" x14ac:dyDescent="0.25">
      <c r="A1216" s="1" t="str">
        <f>'001'!B1216</f>
        <v>001665</v>
      </c>
      <c r="B1216" s="1" t="str">
        <f>'001'!C1216</f>
        <v>P420-960 R/T BURGUNDY X 1</v>
      </c>
      <c r="C1216" s="1" t="str">
        <f>'001'!D1216</f>
        <v>0131</v>
      </c>
      <c r="D1216" s="3" t="e">
        <f>'001'!H1216</f>
        <v>#VALUE!</v>
      </c>
    </row>
    <row r="1217" spans="1:4" x14ac:dyDescent="0.25">
      <c r="A1217" s="1" t="str">
        <f>'001'!B1217</f>
        <v>001666</v>
      </c>
      <c r="B1217" s="1" t="str">
        <f>'001'!C1217</f>
        <v>P420-966 WINE RED X 1 (DISCONTINUADO)</v>
      </c>
      <c r="C1217" s="1" t="str">
        <f>'001'!D1217</f>
        <v>0131</v>
      </c>
      <c r="D1217" s="3" t="e">
        <f>'001'!H1217</f>
        <v>#VALUE!</v>
      </c>
    </row>
    <row r="1218" spans="1:4" x14ac:dyDescent="0.25">
      <c r="A1218" s="1" t="str">
        <f>'001'!B1218</f>
        <v>001667</v>
      </c>
      <c r="B1218" s="1" t="str">
        <f>'001'!C1218</f>
        <v>P420-974 CYAN BLUE X 1 (DISCONTINUADO)</v>
      </c>
      <c r="C1218" s="1" t="str">
        <f>'001'!D1218</f>
        <v>0131</v>
      </c>
      <c r="D1218" s="3" t="e">
        <f>'001'!H1218</f>
        <v>#VALUE!</v>
      </c>
    </row>
    <row r="1219" spans="1:4" x14ac:dyDescent="0.25">
      <c r="A1219" s="1" t="str">
        <f>'001'!B1219</f>
        <v>001668</v>
      </c>
      <c r="B1219" s="1" t="str">
        <f>'001'!C1219</f>
        <v>P420-975 BRONZE GREEN X 1</v>
      </c>
      <c r="C1219" s="1" t="str">
        <f>'001'!D1219</f>
        <v>0131</v>
      </c>
      <c r="D1219" s="3" t="e">
        <f>'001'!H1219</f>
        <v>#VALUE!</v>
      </c>
    </row>
    <row r="1220" spans="1:4" x14ac:dyDescent="0.25">
      <c r="A1220" s="1" t="str">
        <f>'001'!B1220</f>
        <v>001669</v>
      </c>
      <c r="B1220" s="1" t="str">
        <f>'001'!C1220</f>
        <v>P420-977 STRONG MAROON X 1 (DISCONTINUADO)</v>
      </c>
      <c r="C1220" s="1" t="str">
        <f>'001'!D1220</f>
        <v>0131</v>
      </c>
      <c r="D1220" s="3" t="e">
        <f>'001'!H1220</f>
        <v>#VALUE!</v>
      </c>
    </row>
    <row r="1221" spans="1:4" x14ac:dyDescent="0.25">
      <c r="A1221" s="1" t="str">
        <f>'001'!B1221</f>
        <v>001670</v>
      </c>
      <c r="B1221" s="1" t="str">
        <f>'001'!C1221</f>
        <v>P420-978 BROWN X 1</v>
      </c>
      <c r="C1221" s="1" t="str">
        <f>'001'!D1221</f>
        <v>0131</v>
      </c>
      <c r="D1221" s="3" t="e">
        <f>'001'!H1221</f>
        <v>#VALUE!</v>
      </c>
    </row>
    <row r="1222" spans="1:4" x14ac:dyDescent="0.25">
      <c r="A1222" s="1" t="str">
        <f>'001'!B1222</f>
        <v>001671</v>
      </c>
      <c r="B1222" s="1" t="str">
        <f>'001'!C1222</f>
        <v>P420-903 MEDIUM PALE YELLOW X 1</v>
      </c>
      <c r="C1222" s="1" t="str">
        <f>'001'!D1222</f>
        <v>0131</v>
      </c>
      <c r="D1222" s="3" t="e">
        <f>'001'!H1222</f>
        <v>#VALUE!</v>
      </c>
    </row>
    <row r="1223" spans="1:4" x14ac:dyDescent="0.25">
      <c r="A1223" s="1" t="str">
        <f>'001'!B1223</f>
        <v>001672</v>
      </c>
      <c r="B1223" s="1" t="str">
        <f>'001'!C1223</f>
        <v>P420-982-E1C TRANSOXIDE YELLOW X 1(DISCONTINUADO)</v>
      </c>
      <c r="C1223" s="1" t="str">
        <f>'001'!D1223</f>
        <v>0902</v>
      </c>
      <c r="D1223" s="3" t="e">
        <f>'001'!H1223</f>
        <v>#VALUE!</v>
      </c>
    </row>
    <row r="1224" spans="1:4" x14ac:dyDescent="0.25">
      <c r="A1224" s="1" t="str">
        <f>'001'!B1224</f>
        <v>001673</v>
      </c>
      <c r="B1224" s="1" t="str">
        <f>'001'!C1224</f>
        <v>P420-983 STRONG YELLOW X 1</v>
      </c>
      <c r="C1224" s="1" t="str">
        <f>'001'!D1224</f>
        <v>0131</v>
      </c>
      <c r="D1224" s="3" t="e">
        <f>'001'!H1224</f>
        <v>#VALUE!</v>
      </c>
    </row>
    <row r="1225" spans="1:4" x14ac:dyDescent="0.25">
      <c r="A1225" s="1" t="str">
        <f>'001'!B1225</f>
        <v>001674</v>
      </c>
      <c r="B1225" s="1" t="str">
        <f>'001'!C1225</f>
        <v>P425-900-E3 SUPER WHITE X 3,5</v>
      </c>
      <c r="C1225" s="1" t="str">
        <f>'001'!D1225</f>
        <v>0131</v>
      </c>
      <c r="D1225" s="3" t="e">
        <f>'001'!H1225</f>
        <v>#VALUE!</v>
      </c>
    </row>
    <row r="1226" spans="1:4" x14ac:dyDescent="0.25">
      <c r="A1226" s="1" t="str">
        <f>'001'!B1226</f>
        <v>001675</v>
      </c>
      <c r="B1226" s="1" t="str">
        <f>'001'!C1226</f>
        <v>P425-921 H S CLARET X 1</v>
      </c>
      <c r="C1226" s="1" t="str">
        <f>'001'!D1226</f>
        <v>0131</v>
      </c>
      <c r="D1226" s="3" t="e">
        <f>'001'!H1226</f>
        <v>#VALUE!</v>
      </c>
    </row>
    <row r="1227" spans="1:4" x14ac:dyDescent="0.25">
      <c r="A1227" s="1" t="str">
        <f>'001'!B1227</f>
        <v>001676</v>
      </c>
      <c r="B1227" s="1" t="str">
        <f>'001'!C1227</f>
        <v>P425-922 H S LAGOON BLUE X 1</v>
      </c>
      <c r="C1227" s="1" t="str">
        <f>'001'!D1227</f>
        <v>0131</v>
      </c>
      <c r="D1227" s="3" t="e">
        <f>'001'!H1227</f>
        <v>#VALUE!</v>
      </c>
    </row>
    <row r="1228" spans="1:4" x14ac:dyDescent="0.25">
      <c r="A1228" s="1" t="str">
        <f>'001'!B1228</f>
        <v>001677</v>
      </c>
      <c r="B1228" s="1" t="str">
        <f>'001'!C1228</f>
        <v>P426-HE05 ORANGE FLASH X 1</v>
      </c>
      <c r="C1228" s="1" t="str">
        <f>'001'!D1228</f>
        <v>0131</v>
      </c>
      <c r="D1228" s="3" t="e">
        <f>'001'!H1228</f>
        <v>#VALUE!</v>
      </c>
    </row>
    <row r="1229" spans="1:4" x14ac:dyDescent="0.25">
      <c r="A1229" s="1" t="str">
        <f>'001'!B1229</f>
        <v>001679</v>
      </c>
      <c r="B1229" s="1" t="str">
        <f>'001'!C1229</f>
        <v>P425-928 H S SUN YELLOW X 1 (DISCONTIINUADO)</v>
      </c>
      <c r="C1229" s="1" t="str">
        <f>'001'!D1229</f>
        <v>0131</v>
      </c>
      <c r="D1229" s="3" t="e">
        <f>'001'!H1229</f>
        <v>#VALUE!</v>
      </c>
    </row>
    <row r="1230" spans="1:4" x14ac:dyDescent="0.25">
      <c r="A1230" s="1" t="str">
        <f>'001'!B1230</f>
        <v>001680</v>
      </c>
      <c r="B1230" s="1" t="str">
        <f>'001'!C1230</f>
        <v>P425-941 H S STRONG RED X 2,5 (DISCONTINUADO)</v>
      </c>
      <c r="C1230" s="1" t="str">
        <f>'001'!D1230</f>
        <v>0131</v>
      </c>
      <c r="D1230" s="3" t="e">
        <f>'001'!H1230</f>
        <v>#VALUE!</v>
      </c>
    </row>
    <row r="1231" spans="1:4" x14ac:dyDescent="0.25">
      <c r="A1231" s="1" t="str">
        <f>'001'!B1231</f>
        <v>001681</v>
      </c>
      <c r="B1231" s="1" t="str">
        <f>'001'!C1231</f>
        <v>P425-948/E1 H S BLACK X 1</v>
      </c>
      <c r="C1231" s="1" t="str">
        <f>'001'!D1231</f>
        <v>0131</v>
      </c>
      <c r="D1231" s="3" t="e">
        <f>'001'!H1231</f>
        <v>#VALUE!</v>
      </c>
    </row>
    <row r="1232" spans="1:4" x14ac:dyDescent="0.25">
      <c r="A1232" s="1" t="str">
        <f>'001'!B1232</f>
        <v>001682</v>
      </c>
      <c r="B1232" s="1" t="str">
        <f>'001'!C1232</f>
        <v>P425-950 H S JET BLACK X 1</v>
      </c>
      <c r="C1232" s="1" t="str">
        <f>'001'!D1232</f>
        <v>0131</v>
      </c>
      <c r="D1232" s="3" t="e">
        <f>'001'!H1232</f>
        <v>#VALUE!</v>
      </c>
    </row>
    <row r="1233" spans="1:4" x14ac:dyDescent="0.25">
      <c r="A1233" s="1" t="str">
        <f>'001'!B1233</f>
        <v>001683</v>
      </c>
      <c r="B1233" s="1" t="str">
        <f>'001'!C1233</f>
        <v>P425-954 H S BLUE GREEN X 1</v>
      </c>
      <c r="C1233" s="1" t="str">
        <f>'001'!D1233</f>
        <v>0131</v>
      </c>
      <c r="D1233" s="3" t="e">
        <f>'001'!H1233</f>
        <v>#VALUE!</v>
      </c>
    </row>
    <row r="1234" spans="1:4" x14ac:dyDescent="0.25">
      <c r="A1234" s="1" t="str">
        <f>'001'!B1234</f>
        <v>001684</v>
      </c>
      <c r="B1234" s="1" t="str">
        <f>'001'!C1234</f>
        <v>P425-957 H S FAST BLUE X 1</v>
      </c>
      <c r="C1234" s="1" t="str">
        <f>'001'!D1234</f>
        <v>0131</v>
      </c>
      <c r="D1234" s="3" t="e">
        <f>'001'!H1234</f>
        <v>#VALUE!</v>
      </c>
    </row>
    <row r="1235" spans="1:4" x14ac:dyDescent="0.25">
      <c r="A1235" s="1" t="str">
        <f>'001'!B1235</f>
        <v>001685</v>
      </c>
      <c r="B1235" s="1" t="str">
        <f>'001'!C1235</f>
        <v>P425-971 H S BRILLANT RED X 1</v>
      </c>
      <c r="C1235" s="1" t="str">
        <f>'001'!D1235</f>
        <v>0131</v>
      </c>
      <c r="D1235" s="3" t="e">
        <f>'001'!H1235</f>
        <v>#VALUE!</v>
      </c>
    </row>
    <row r="1236" spans="1:4" x14ac:dyDescent="0.25">
      <c r="A1236" s="1" t="str">
        <f>'001'!B1236</f>
        <v>001686</v>
      </c>
      <c r="B1236" s="1" t="str">
        <f>'001'!C1236</f>
        <v>P425-984/E1 H S BRIGHT ALUMINIUM X 1</v>
      </c>
      <c r="C1236" s="1" t="str">
        <f>'001'!D1236</f>
        <v>0131</v>
      </c>
      <c r="D1236" s="3" t="e">
        <f>'001'!H1236</f>
        <v>#VALUE!</v>
      </c>
    </row>
    <row r="1237" spans="1:4" x14ac:dyDescent="0.25">
      <c r="A1237" s="1" t="str">
        <f>'001'!B1237</f>
        <v>001687</v>
      </c>
      <c r="B1237" s="1" t="str">
        <f>'001'!C1237</f>
        <v>P425-985 ALUMINIUM FINE X 1</v>
      </c>
      <c r="C1237" s="1" t="str">
        <f>'001'!D1237</f>
        <v>0131</v>
      </c>
      <c r="D1237" s="3" t="e">
        <f>'001'!H1237</f>
        <v>#VALUE!</v>
      </c>
    </row>
    <row r="1238" spans="1:4" x14ac:dyDescent="0.25">
      <c r="A1238" s="1" t="str">
        <f>'001'!B1238</f>
        <v>001688</v>
      </c>
      <c r="B1238" s="1" t="str">
        <f>'001'!C1238</f>
        <v>P425-986 ALUMINIUM MEDIUM X 3,5</v>
      </c>
      <c r="C1238" s="1" t="str">
        <f>'001'!D1238</f>
        <v>0131</v>
      </c>
      <c r="D1238" s="3" t="e">
        <f>'001'!H1238</f>
        <v>#VALUE!</v>
      </c>
    </row>
    <row r="1239" spans="1:4" x14ac:dyDescent="0.25">
      <c r="A1239" s="1" t="str">
        <f>'001'!B1239</f>
        <v>001689</v>
      </c>
      <c r="B1239" s="1" t="str">
        <f>'001'!C1239</f>
        <v>P425-987 MEDIUM COARSE X 2,5</v>
      </c>
      <c r="C1239" s="1" t="str">
        <f>'001'!D1239</f>
        <v>0131</v>
      </c>
      <c r="D1239" s="3" t="e">
        <f>'001'!H1239</f>
        <v>#VALUE!</v>
      </c>
    </row>
    <row r="1240" spans="1:4" x14ac:dyDescent="0.25">
      <c r="A1240" s="1" t="str">
        <f>'001'!B1240</f>
        <v>001690</v>
      </c>
      <c r="B1240" s="1" t="str">
        <f>'001'!C1240</f>
        <v>P425-988 ALUMINIUM CAORSE X 1</v>
      </c>
      <c r="C1240" s="1" t="str">
        <f>'001'!D1240</f>
        <v>0131</v>
      </c>
      <c r="D1240" s="3" t="e">
        <f>'001'!H1240</f>
        <v>#VALUE!</v>
      </c>
    </row>
    <row r="1241" spans="1:4" x14ac:dyDescent="0.25">
      <c r="A1241" s="1" t="str">
        <f>'001'!B1241</f>
        <v>001691</v>
      </c>
      <c r="B1241" s="1" t="str">
        <f>'001'!C1241</f>
        <v>P425-989 ALUMINIUM VERY COARSE X 1</v>
      </c>
      <c r="C1241" s="1" t="str">
        <f>'001'!D1241</f>
        <v>0131</v>
      </c>
      <c r="D1241" s="3" t="e">
        <f>'001'!H1241</f>
        <v>#VALUE!</v>
      </c>
    </row>
    <row r="1242" spans="1:4" x14ac:dyDescent="0.25">
      <c r="A1242" s="1" t="str">
        <f>'001'!B1242</f>
        <v>001692</v>
      </c>
      <c r="B1242" s="1" t="str">
        <f>'001'!C1242</f>
        <v>P425-998 H S COARSE SILVER DOLLAR ALUMINIUM X 1</v>
      </c>
      <c r="C1242" s="1" t="str">
        <f>'001'!D1242</f>
        <v>0131</v>
      </c>
      <c r="D1242" s="3" t="e">
        <f>'001'!H1242</f>
        <v>#VALUE!</v>
      </c>
    </row>
    <row r="1243" spans="1:4" x14ac:dyDescent="0.25">
      <c r="A1243" s="1" t="str">
        <f>'001'!B1243</f>
        <v>001693</v>
      </c>
      <c r="B1243" s="1" t="str">
        <f>'001'!C1243</f>
        <v>P429-923 BRIGHT MAROON X 1</v>
      </c>
      <c r="C1243" s="1" t="str">
        <f>'001'!D1243</f>
        <v>0131</v>
      </c>
      <c r="D1243" s="3" t="e">
        <f>'001'!H1243</f>
        <v>#VALUE!</v>
      </c>
    </row>
    <row r="1244" spans="1:4" x14ac:dyDescent="0.25">
      <c r="A1244" s="1" t="str">
        <f>'001'!B1244</f>
        <v>001694</v>
      </c>
      <c r="B1244" s="1" t="str">
        <f>'001'!C1244</f>
        <v>P429-937 PALE YELOW X 1</v>
      </c>
      <c r="C1244" s="1" t="str">
        <f>'001'!D1244</f>
        <v>0131</v>
      </c>
      <c r="D1244" s="3" t="e">
        <f>'001'!H1244</f>
        <v>#VALUE!</v>
      </c>
    </row>
    <row r="1245" spans="1:4" x14ac:dyDescent="0.25">
      <c r="A1245" s="1" t="str">
        <f>'001'!B1245</f>
        <v>001695</v>
      </c>
      <c r="B1245" s="1" t="str">
        <f>'001'!C1245</f>
        <v>P429-976 H S RED VIOLET X 1</v>
      </c>
      <c r="C1245" s="1" t="str">
        <f>'001'!D1245</f>
        <v>0131</v>
      </c>
      <c r="D1245" s="3" t="e">
        <f>'001'!H1245</f>
        <v>#VALUE!</v>
      </c>
    </row>
    <row r="1246" spans="1:4" x14ac:dyDescent="0.25">
      <c r="A1246" s="1" t="str">
        <f>'001'!B1246</f>
        <v>001696</v>
      </c>
      <c r="B1246" s="1" t="str">
        <f>'001'!C1246</f>
        <v>P190-376-E2 B INCOLORA DE MEZCLA X 2,5</v>
      </c>
      <c r="C1246" s="1" t="str">
        <f>'001'!D1246</f>
        <v>0131</v>
      </c>
      <c r="D1246" s="3" t="e">
        <f>'001'!H1246</f>
        <v>#VALUE!</v>
      </c>
    </row>
    <row r="1247" spans="1:4" x14ac:dyDescent="0.25">
      <c r="A1247" s="1" t="str">
        <f>'001'!B1247</f>
        <v>001697</v>
      </c>
      <c r="B1247" s="1" t="str">
        <f>'001'!C1247</f>
        <v>AEROSOL RUST-OLEUM UC BRILLANTE MARFIL X 0,340(262169)</v>
      </c>
      <c r="C1247" s="1" t="str">
        <f>'001'!D1247</f>
        <v>0146</v>
      </c>
      <c r="D1247" s="3" t="e">
        <f>'001'!H1247</f>
        <v>#VALUE!</v>
      </c>
    </row>
    <row r="1248" spans="1:4" x14ac:dyDescent="0.25">
      <c r="A1248" s="1" t="str">
        <f>'001'!B1248</f>
        <v>001698</v>
      </c>
      <c r="B1248" s="1" t="str">
        <f>'001'!C1248</f>
        <v>AEROSOL RUST-OLEUM UC BRILLANTE VERDE CLARO X 0,340(262166)</v>
      </c>
      <c r="C1248" s="1" t="str">
        <f>'001'!D1248</f>
        <v>0146</v>
      </c>
      <c r="D1248" s="3" t="e">
        <f>'001'!H1248</f>
        <v>#VALUE!</v>
      </c>
    </row>
    <row r="1249" spans="1:4" x14ac:dyDescent="0.25">
      <c r="A1249" s="1" t="str">
        <f>'001'!B1249</f>
        <v>001699</v>
      </c>
      <c r="B1249" s="1" t="str">
        <f>'001'!C1249</f>
        <v>AEROSOL RUST-OLEUM UC BRILLANTE AZUL PROFUNDO X 0,340(262165)</v>
      </c>
      <c r="C1249" s="1" t="str">
        <f>'001'!D1249</f>
        <v>0146</v>
      </c>
      <c r="D1249" s="3" t="e">
        <f>'001'!H1249</f>
        <v>#VALUE!</v>
      </c>
    </row>
    <row r="1250" spans="1:4" x14ac:dyDescent="0.25">
      <c r="A1250" s="1" t="str">
        <f>'001'!B1250</f>
        <v>001701</v>
      </c>
      <c r="B1250" s="1" t="str">
        <f>'001'!C1250</f>
        <v>ENVASE DE HOJALATA VACIO X20</v>
      </c>
      <c r="C1250" s="1" t="str">
        <f>'001'!D1250</f>
        <v>0122</v>
      </c>
      <c r="D1250" s="3" t="e">
        <f>'001'!H1250</f>
        <v>#VALUE!</v>
      </c>
    </row>
    <row r="1251" spans="1:4" x14ac:dyDescent="0.25">
      <c r="A1251" s="1" t="str">
        <f>'001'!B1251</f>
        <v>001703</v>
      </c>
      <c r="B1251" s="1" t="str">
        <f>'001'!C1251</f>
        <v>P429-961 HS CLEAN MAGENTA X 1</v>
      </c>
      <c r="C1251" s="1" t="str">
        <f>'001'!D1251</f>
        <v>0131</v>
      </c>
      <c r="D1251" s="3" t="e">
        <f>'001'!H1251</f>
        <v>#VALUE!</v>
      </c>
    </row>
    <row r="1252" spans="1:4" x14ac:dyDescent="0.25">
      <c r="A1252" s="1" t="str">
        <f>'001'!B1252</f>
        <v>001705</v>
      </c>
      <c r="B1252" s="1" t="str">
        <f>'001'!C1252</f>
        <v>IMPERMEABILIZANTE PARA TECHOS PLAVICON SOBREMEMBRANA BLANCO X 20</v>
      </c>
      <c r="C1252" s="1" t="str">
        <f>'001'!D1252</f>
        <v>0139</v>
      </c>
      <c r="D1252" s="3" t="e">
        <f>'001'!H1252</f>
        <v>#VALUE!</v>
      </c>
    </row>
    <row r="1253" spans="1:4" x14ac:dyDescent="0.25">
      <c r="A1253" s="1" t="str">
        <f>'001'!B1253</f>
        <v>001707</v>
      </c>
      <c r="B1253" s="1" t="str">
        <f>'001'!C1253</f>
        <v>AEROSOL RUST-OLEUM UC BRILLANTE VERDE LIMA X 0,340(262162)</v>
      </c>
      <c r="C1253" s="1" t="str">
        <f>'001'!D1253</f>
        <v>0146</v>
      </c>
      <c r="D1253" s="3" t="e">
        <f>'001'!H1253</f>
        <v>#VALUE!</v>
      </c>
    </row>
    <row r="1254" spans="1:4" x14ac:dyDescent="0.25">
      <c r="A1254" s="1" t="str">
        <f>'001'!B1254</f>
        <v>001708</v>
      </c>
      <c r="B1254" s="1" t="str">
        <f>'001'!C1254</f>
        <v>AEROSOL RUST-OLEUM SP FLUORESCENTE NARANJA X 0,312(2721311)</v>
      </c>
      <c r="C1254" s="1" t="str">
        <f>'001'!D1254</f>
        <v>0902</v>
      </c>
      <c r="D1254" s="3" t="e">
        <f>'001'!H1254</f>
        <v>#VALUE!</v>
      </c>
    </row>
    <row r="1255" spans="1:4" x14ac:dyDescent="0.25">
      <c r="A1255" s="1" t="str">
        <f>'001'!B1255</f>
        <v>001709</v>
      </c>
      <c r="B1255" s="1" t="str">
        <f>'001'!C1255</f>
        <v>AEROSOL RUST-OLEUM SP FLUORESCENTE ROSA X 0,312(272132)</v>
      </c>
      <c r="C1255" s="1" t="str">
        <f>'001'!D1255</f>
        <v>0146</v>
      </c>
      <c r="D1255" s="3" t="e">
        <f>'001'!H1255</f>
        <v>#VALUE!</v>
      </c>
    </row>
    <row r="1256" spans="1:4" x14ac:dyDescent="0.25">
      <c r="A1256" s="1" t="str">
        <f>'001'!B1256</f>
        <v>001710</v>
      </c>
      <c r="B1256" s="1" t="str">
        <f>'001'!C1256</f>
        <v>AEROSOL RUST-OLEUM SP FLUORESCENTE AMARILLO X 0,312(2721331)</v>
      </c>
      <c r="C1256" s="1" t="str">
        <f>'001'!D1256</f>
        <v>0146</v>
      </c>
      <c r="D1256" s="3" t="e">
        <f>'001'!H1256</f>
        <v>#VALUE!</v>
      </c>
    </row>
    <row r="1257" spans="1:4" x14ac:dyDescent="0.25">
      <c r="A1257" s="1" t="str">
        <f>'001'!B1257</f>
        <v>001716</v>
      </c>
      <c r="B1257" s="1" t="str">
        <f>'001'!C1257</f>
        <v>CINTA  AUTOMOTOR RAPIFIX (570) 12MM</v>
      </c>
      <c r="C1257" s="1" t="str">
        <f>'001'!D1257</f>
        <v>0181</v>
      </c>
      <c r="D1257" s="3" t="e">
        <f>'001'!H1257</f>
        <v>#VALUE!</v>
      </c>
    </row>
    <row r="1258" spans="1:4" x14ac:dyDescent="0.25">
      <c r="A1258" s="1" t="str">
        <f>'001'!B1258</f>
        <v>001717</v>
      </c>
      <c r="B1258" s="1" t="str">
        <f>'001'!C1258</f>
        <v>CINTA  AUTOMOTOR RAPIFIX (570) 15MM</v>
      </c>
      <c r="C1258" s="1" t="str">
        <f>'001'!D1258</f>
        <v>0181</v>
      </c>
      <c r="D1258" s="3" t="e">
        <f>'001'!H1258</f>
        <v>#VALUE!</v>
      </c>
    </row>
    <row r="1259" spans="1:4" x14ac:dyDescent="0.25">
      <c r="A1259" s="1" t="str">
        <f>'001'!B1259</f>
        <v>001718</v>
      </c>
      <c r="B1259" s="1" t="str">
        <f>'001'!C1259</f>
        <v>CINTA  AUTOMOTOR RAPIFIX (570) 18MM</v>
      </c>
      <c r="C1259" s="1" t="str">
        <f>'001'!D1259</f>
        <v>0181</v>
      </c>
      <c r="D1259" s="3" t="e">
        <f>'001'!H1259</f>
        <v>#VALUE!</v>
      </c>
    </row>
    <row r="1260" spans="1:4" x14ac:dyDescent="0.25">
      <c r="A1260" s="1" t="str">
        <f>'001'!B1260</f>
        <v>001719</v>
      </c>
      <c r="B1260" s="1" t="str">
        <f>'001'!C1260</f>
        <v>CINTA  AUTOMOTOR RAPIFIX (570) 24MM</v>
      </c>
      <c r="C1260" s="1" t="str">
        <f>'001'!D1260</f>
        <v>0181</v>
      </c>
      <c r="D1260" s="3" t="e">
        <f>'001'!H1260</f>
        <v>#VALUE!</v>
      </c>
    </row>
    <row r="1261" spans="1:4" x14ac:dyDescent="0.25">
      <c r="A1261" s="1" t="str">
        <f>'001'!B1261</f>
        <v>001720</v>
      </c>
      <c r="B1261" s="1" t="str">
        <f>'001'!C1261</f>
        <v>CINTA  AUTOMOTOR RAPIFIX (570) 36MM</v>
      </c>
      <c r="C1261" s="1" t="str">
        <f>'001'!D1261</f>
        <v>0181</v>
      </c>
      <c r="D1261" s="3" t="e">
        <f>'001'!H1261</f>
        <v>#VALUE!</v>
      </c>
    </row>
    <row r="1262" spans="1:4" x14ac:dyDescent="0.25">
      <c r="A1262" s="1" t="str">
        <f>'001'!B1262</f>
        <v>001721</v>
      </c>
      <c r="B1262" s="1" t="str">
        <f>'001'!C1262</f>
        <v>CINTA  AUTOMOTOR RAPIFIX (570) 48MM</v>
      </c>
      <c r="C1262" s="1" t="str">
        <f>'001'!D1262</f>
        <v>0181</v>
      </c>
      <c r="D1262" s="3" t="e">
        <f>'001'!H1262</f>
        <v>#VALUE!</v>
      </c>
    </row>
    <row r="1263" spans="1:4" x14ac:dyDescent="0.25">
      <c r="A1263" s="1" t="str">
        <f>'001'!B1263</f>
        <v>001722</v>
      </c>
      <c r="B1263" s="1" t="str">
        <f>'001'!C1263</f>
        <v>CINTA  AUTOMOTOR RAPIFIX PREMIUM VERDE (560) 18MM</v>
      </c>
      <c r="C1263" s="1" t="str">
        <f>'001'!D1263</f>
        <v>0181</v>
      </c>
      <c r="D1263" s="3" t="e">
        <f>'001'!H1263</f>
        <v>#VALUE!</v>
      </c>
    </row>
    <row r="1264" spans="1:4" x14ac:dyDescent="0.25">
      <c r="A1264" s="1" t="str">
        <f>'001'!B1264</f>
        <v>001723</v>
      </c>
      <c r="B1264" s="1" t="str">
        <f>'001'!C1264</f>
        <v>CINTA  AUTOMOTOR RAPIFIX PREMIUM VERDE (560) 48MM</v>
      </c>
      <c r="C1264" s="1" t="str">
        <f>'001'!D1264</f>
        <v>0181</v>
      </c>
      <c r="D1264" s="3" t="e">
        <f>'001'!H1264</f>
        <v>#VALUE!</v>
      </c>
    </row>
    <row r="1265" spans="1:4" x14ac:dyDescent="0.25">
      <c r="A1265" s="1" t="str">
        <f>'001'!B1265</f>
        <v>001724</v>
      </c>
      <c r="B1265" s="1" t="str">
        <f>'001'!C1265</f>
        <v>IMPERMEABILIZANTE PARA FRENTES Y MUROS DURALBA MATE BASE P X  8,700</v>
      </c>
      <c r="C1265" s="1" t="str">
        <f>'001'!D1265</f>
        <v>0108</v>
      </c>
      <c r="D1265" s="3" t="e">
        <f>'001'!H1265</f>
        <v>#VALUE!</v>
      </c>
    </row>
    <row r="1266" spans="1:4" x14ac:dyDescent="0.25">
      <c r="A1266" s="1" t="str">
        <f>'001'!B1266</f>
        <v>001725</v>
      </c>
      <c r="B1266" s="1" t="str">
        <f>'001'!C1266</f>
        <v>IMPERMEABILIZANTE PARA FRENTES Y MUROS DURALBA MATE BASE F X  8,700</v>
      </c>
      <c r="C1266" s="1" t="str">
        <f>'001'!D1266</f>
        <v>0108</v>
      </c>
      <c r="D1266" s="3" t="e">
        <f>'001'!H1266</f>
        <v>#VALUE!</v>
      </c>
    </row>
    <row r="1267" spans="1:4" x14ac:dyDescent="0.25">
      <c r="A1267" s="1" t="str">
        <f>'001'!B1267</f>
        <v>001730</v>
      </c>
      <c r="B1267" s="1" t="str">
        <f>'001'!C1267</f>
        <v>IMPERMEABILIZANTE PARA FRENTES Y MUROS DURALBA MATE BASE P X  3,600</v>
      </c>
      <c r="C1267" s="1" t="str">
        <f>'001'!D1267</f>
        <v>0108</v>
      </c>
      <c r="D1267" s="3" t="e">
        <f>'001'!H1267</f>
        <v>#VALUE!</v>
      </c>
    </row>
    <row r="1268" spans="1:4" x14ac:dyDescent="0.25">
      <c r="A1268" s="1" t="str">
        <f>'001'!B1268</f>
        <v>001731</v>
      </c>
      <c r="B1268" s="1" t="str">
        <f>'001'!C1268</f>
        <v>IMPERMEABILIZANTE PARA FRENTES Y MUROS DURALBA MATE BASE P X 17,400</v>
      </c>
      <c r="C1268" s="1" t="str">
        <f>'001'!D1268</f>
        <v>0108</v>
      </c>
      <c r="D1268" s="3" t="e">
        <f>'001'!H1268</f>
        <v>#VALUE!</v>
      </c>
    </row>
    <row r="1269" spans="1:4" x14ac:dyDescent="0.25">
      <c r="A1269" s="1" t="str">
        <f>'001'!B1269</f>
        <v>001734</v>
      </c>
      <c r="B1269" s="1" t="str">
        <f>'001'!C1269</f>
        <v>IMPERMEABILIZANTE PARA FRENTES Y MUROS DURALBA MATE BASE F X  3,600</v>
      </c>
      <c r="C1269" s="1" t="str">
        <f>'001'!D1269</f>
        <v>0108</v>
      </c>
      <c r="D1269" s="3" t="e">
        <f>'001'!H1269</f>
        <v>#VALUE!</v>
      </c>
    </row>
    <row r="1270" spans="1:4" x14ac:dyDescent="0.25">
      <c r="A1270" s="1" t="str">
        <f>'001'!B1270</f>
        <v>001735</v>
      </c>
      <c r="B1270" s="1" t="str">
        <f>'001'!C1270</f>
        <v>IMPERMEABILIZANTE PARA FRENTES Y MUROS DURALBA MATE BASE F X 17,400</v>
      </c>
      <c r="C1270" s="1" t="str">
        <f>'001'!D1270</f>
        <v>0108</v>
      </c>
      <c r="D1270" s="3" t="e">
        <f>'001'!H1270</f>
        <v>#VALUE!</v>
      </c>
    </row>
    <row r="1271" spans="1:4" x14ac:dyDescent="0.25">
      <c r="A1271" s="1" t="str">
        <f>'001'!B1271</f>
        <v>001736</v>
      </c>
      <c r="B1271" s="1" t="str">
        <f>'001'!C1271</f>
        <v>IMPERMEABILIZANTE PARA FRENTES Y MUROS DURALBA MATE BASE T X  3,600</v>
      </c>
      <c r="C1271" s="1" t="str">
        <f>'001'!D1271</f>
        <v>0108</v>
      </c>
      <c r="D1271" s="3" t="e">
        <f>'001'!H1271</f>
        <v>#VALUE!</v>
      </c>
    </row>
    <row r="1272" spans="1:4" x14ac:dyDescent="0.25">
      <c r="A1272" s="1" t="str">
        <f>'001'!B1272</f>
        <v>001737</v>
      </c>
      <c r="B1272" s="1" t="str">
        <f>'001'!C1272</f>
        <v>IMPERMEABILIZANTE PARA FRENTES Y MUROS DURALBA MATE BASE T X 17,400</v>
      </c>
      <c r="C1272" s="1" t="str">
        <f>'001'!D1272</f>
        <v>0108</v>
      </c>
      <c r="D1272" s="3" t="e">
        <f>'001'!H1272</f>
        <v>#VALUE!</v>
      </c>
    </row>
    <row r="1273" spans="1:4" x14ac:dyDescent="0.25">
      <c r="A1273" s="1" t="str">
        <f>'001'!B1273</f>
        <v>001738</v>
      </c>
      <c r="B1273" s="1" t="str">
        <f>'001'!C1273</f>
        <v>ADHESIVO DE MONTAJE EL PULPITO X 0,240</v>
      </c>
      <c r="C1273" s="1" t="str">
        <f>'001'!D1273</f>
        <v>0140</v>
      </c>
      <c r="D1273" s="3" t="e">
        <f>'001'!H1273</f>
        <v>#VALUE!</v>
      </c>
    </row>
    <row r="1274" spans="1:4" x14ac:dyDescent="0.25">
      <c r="A1274" s="1" t="str">
        <f>'001'!B1274</f>
        <v>001739</v>
      </c>
      <c r="B1274" s="1" t="str">
        <f>'001'!C1274</f>
        <v>ADHESIVO DE MONTAJE EL PULPITO X 0,400</v>
      </c>
      <c r="C1274" s="1" t="str">
        <f>'001'!D1274</f>
        <v>0140</v>
      </c>
      <c r="D1274" s="3" t="e">
        <f>'001'!H1274</f>
        <v>#VALUE!</v>
      </c>
    </row>
    <row r="1275" spans="1:4" x14ac:dyDescent="0.25">
      <c r="A1275" s="1" t="str">
        <f>'001'!B1275</f>
        <v>001741</v>
      </c>
      <c r="B1275" s="1" t="str">
        <f>'001'!C1275</f>
        <v>FONDO ANTIOXIDO ALBA INDUSTRIAL GRIS X 20</v>
      </c>
      <c r="C1275" s="1" t="str">
        <f>'001'!D1275</f>
        <v>0110</v>
      </c>
      <c r="D1275" s="3" t="e">
        <f>'001'!H1275</f>
        <v>#VALUE!</v>
      </c>
    </row>
    <row r="1276" spans="1:4" x14ac:dyDescent="0.25">
      <c r="A1276" s="1" t="str">
        <f>'001'!B1276</f>
        <v>001744</v>
      </c>
      <c r="B1276" s="1" t="str">
        <f>'001'!C1276</f>
        <v>IMPERMEABILIZANTE PARA TECHOS DURALBA FIBRADO SATINADO TEJA X  4</v>
      </c>
      <c r="C1276" s="1" t="str">
        <f>'001'!D1276</f>
        <v>0902</v>
      </c>
      <c r="D1276" s="3" t="e">
        <f>'001'!H1276</f>
        <v>#VALUE!</v>
      </c>
    </row>
    <row r="1277" spans="1:4" x14ac:dyDescent="0.25">
      <c r="A1277" s="1" t="str">
        <f>'001'!B1277</f>
        <v>001745</v>
      </c>
      <c r="B1277" s="1" t="str">
        <f>'001'!C1277</f>
        <v>IMPERMEABILIZANTE PARA TECHOS DURALBA FIBRADO SATINADO TEJA X 10</v>
      </c>
      <c r="C1277" s="1" t="str">
        <f>'001'!D1277</f>
        <v>0902</v>
      </c>
      <c r="D1277" s="3" t="e">
        <f>'001'!H1277</f>
        <v>#VALUE!</v>
      </c>
    </row>
    <row r="1278" spans="1:4" x14ac:dyDescent="0.25">
      <c r="A1278" s="1" t="str">
        <f>'001'!B1278</f>
        <v>001746</v>
      </c>
      <c r="B1278" s="1" t="str">
        <f>'001'!C1278</f>
        <v>IMPERMEABILIZANTE PARA TECHOS DURALBA FIBRADO SATINADO TEJA X 20</v>
      </c>
      <c r="C1278" s="1" t="str">
        <f>'001'!D1278</f>
        <v>0902</v>
      </c>
      <c r="D1278" s="3" t="e">
        <f>'001'!H1278</f>
        <v>#VALUE!</v>
      </c>
    </row>
    <row r="1279" spans="1:4" x14ac:dyDescent="0.25">
      <c r="A1279" s="1" t="str">
        <f>'001'!B1279</f>
        <v>001747</v>
      </c>
      <c r="B1279" s="1" t="str">
        <f>'001'!C1279</f>
        <v>PROTECTOR PARA PISO PETRILAC CLINSY TRANSPARENTE X 1</v>
      </c>
      <c r="C1279" s="1" t="str">
        <f>'001'!D1279</f>
        <v>0138</v>
      </c>
      <c r="D1279" s="3" t="e">
        <f>'001'!H1279</f>
        <v>#VALUE!</v>
      </c>
    </row>
    <row r="1280" spans="1:4" x14ac:dyDescent="0.25">
      <c r="A1280" s="1" t="str">
        <f>'001'!B1280</f>
        <v>001748</v>
      </c>
      <c r="B1280" s="1" t="str">
        <f>'001'!C1280</f>
        <v>PROTECTOR PARA PISO PETRILAC CLINSY NEGRO X 1</v>
      </c>
      <c r="C1280" s="1" t="str">
        <f>'001'!D1280</f>
        <v>0138</v>
      </c>
      <c r="D1280" s="3" t="e">
        <f>'001'!H1280</f>
        <v>#VALUE!</v>
      </c>
    </row>
    <row r="1281" spans="1:4" x14ac:dyDescent="0.25">
      <c r="A1281" s="1" t="str">
        <f>'001'!B1281</f>
        <v>001749</v>
      </c>
      <c r="B1281" s="1" t="str">
        <f>'001'!C1281</f>
        <v>PROTECTOR PARA PISO PETRILAC CLINSY ROJO X 1</v>
      </c>
      <c r="C1281" s="1" t="str">
        <f>'001'!D1281</f>
        <v>0138</v>
      </c>
      <c r="D1281" s="3" t="e">
        <f>'001'!H1281</f>
        <v>#VALUE!</v>
      </c>
    </row>
    <row r="1282" spans="1:4" x14ac:dyDescent="0.25">
      <c r="A1282" s="1" t="str">
        <f>'001'!B1282</f>
        <v>001750</v>
      </c>
      <c r="B1282" s="1" t="str">
        <f>'001'!C1282</f>
        <v>REMOVEDOR PETRILAC AUTOBRILLO X 1</v>
      </c>
      <c r="C1282" s="1" t="str">
        <f>'001'!D1282</f>
        <v>0138</v>
      </c>
      <c r="D1282" s="3" t="e">
        <f>'001'!H1282</f>
        <v>#VALUE!</v>
      </c>
    </row>
    <row r="1283" spans="1:4" x14ac:dyDescent="0.25">
      <c r="A1283" s="1" t="str">
        <f>'001'!B1283</f>
        <v>001751</v>
      </c>
      <c r="B1283" s="1" t="str">
        <f>'001'!C1283</f>
        <v>FIJADOR PARA PARED TERSUAVE AL AGUA X  1</v>
      </c>
      <c r="C1283" s="1" t="str">
        <f>'001'!D1283</f>
        <v>0152</v>
      </c>
      <c r="D1283" s="3" t="e">
        <f>'001'!H1283</f>
        <v>#VALUE!</v>
      </c>
    </row>
    <row r="1284" spans="1:4" x14ac:dyDescent="0.25">
      <c r="A1284" s="1" t="str">
        <f>'001'!B1284</f>
        <v>001752</v>
      </c>
      <c r="B1284" s="1" t="str">
        <f>'001'!C1284</f>
        <v>FIJADOR PARA PARED TERSUAVE AL AGUA X  4</v>
      </c>
      <c r="C1284" s="1" t="str">
        <f>'001'!D1284</f>
        <v>0152</v>
      </c>
      <c r="D1284" s="3" t="e">
        <f>'001'!H1284</f>
        <v>#VALUE!</v>
      </c>
    </row>
    <row r="1285" spans="1:4" x14ac:dyDescent="0.25">
      <c r="A1285" s="1" t="str">
        <f>'001'!B1285</f>
        <v>001753</v>
      </c>
      <c r="B1285" s="1" t="str">
        <f>'001'!C1285</f>
        <v>FIJADOR PARA PARED TERSUAVE AL AGUA X 10</v>
      </c>
      <c r="C1285" s="1" t="str">
        <f>'001'!D1285</f>
        <v>0152</v>
      </c>
      <c r="D1285" s="3" t="e">
        <f>'001'!H1285</f>
        <v>#VALUE!</v>
      </c>
    </row>
    <row r="1286" spans="1:4" x14ac:dyDescent="0.25">
      <c r="A1286" s="1" t="str">
        <f>'001'!B1286</f>
        <v>001754</v>
      </c>
      <c r="B1286" s="1" t="str">
        <f>'001'!C1286</f>
        <v>FIJADOR PARA PARED TERSUAVE AL AGUA X 20</v>
      </c>
      <c r="C1286" s="1" t="str">
        <f>'001'!D1286</f>
        <v>0152</v>
      </c>
      <c r="D1286" s="3" t="e">
        <f>'001'!H1286</f>
        <v>#VALUE!</v>
      </c>
    </row>
    <row r="1287" spans="1:4" x14ac:dyDescent="0.25">
      <c r="A1287" s="1" t="str">
        <f>'001'!B1287</f>
        <v>001758</v>
      </c>
      <c r="B1287" s="1" t="str">
        <f>'001'!C1287</f>
        <v>LIJA ULTRA DOBLE A N 100</v>
      </c>
      <c r="C1287" s="1" t="str">
        <f>'001'!D1287</f>
        <v>0102</v>
      </c>
      <c r="D1287" s="3" t="e">
        <f>'001'!H1287</f>
        <v>#VALUE!</v>
      </c>
    </row>
    <row r="1288" spans="1:4" x14ac:dyDescent="0.25">
      <c r="A1288" s="1" t="str">
        <f>'001'!B1288</f>
        <v>001760</v>
      </c>
      <c r="B1288" s="1" t="str">
        <f>'001'!C1288</f>
        <v>LIJA ULTRA DOBLE A N 150</v>
      </c>
      <c r="C1288" s="1" t="str">
        <f>'001'!D1288</f>
        <v>0102</v>
      </c>
      <c r="D1288" s="3" t="e">
        <f>'001'!H1288</f>
        <v>#VALUE!</v>
      </c>
    </row>
    <row r="1289" spans="1:4" x14ac:dyDescent="0.25">
      <c r="A1289" s="1" t="str">
        <f>'001'!B1289</f>
        <v>001761</v>
      </c>
      <c r="B1289" s="1" t="str">
        <f>'001'!C1289</f>
        <v>LIJA ULTRA DOBLE A N 180</v>
      </c>
      <c r="C1289" s="1" t="str">
        <f>'001'!D1289</f>
        <v>0102</v>
      </c>
      <c r="D1289" s="3" t="e">
        <f>'001'!H1289</f>
        <v>#VALUE!</v>
      </c>
    </row>
    <row r="1290" spans="1:4" x14ac:dyDescent="0.25">
      <c r="A1290" s="1" t="str">
        <f>'001'!B1290</f>
        <v>001762</v>
      </c>
      <c r="B1290" s="1" t="str">
        <f>'001'!C1290</f>
        <v>LIJA ULTRA DOBLE A N 220</v>
      </c>
      <c r="C1290" s="1" t="str">
        <f>'001'!D1290</f>
        <v>0102</v>
      </c>
      <c r="D1290" s="3" t="e">
        <f>'001'!H1290</f>
        <v>#VALUE!</v>
      </c>
    </row>
    <row r="1291" spans="1:4" x14ac:dyDescent="0.25">
      <c r="A1291" s="1" t="str">
        <f>'001'!B1291</f>
        <v>001763</v>
      </c>
      <c r="B1291" s="1" t="str">
        <f>'001'!C1291</f>
        <v>LIJA ULTRA DOBLE A N 240</v>
      </c>
      <c r="C1291" s="1" t="str">
        <f>'001'!D1291</f>
        <v>0102</v>
      </c>
      <c r="D1291" s="3" t="e">
        <f>'001'!H1291</f>
        <v>#VALUE!</v>
      </c>
    </row>
    <row r="1292" spans="1:4" x14ac:dyDescent="0.25">
      <c r="A1292" s="1" t="str">
        <f>'001'!B1292</f>
        <v>001764</v>
      </c>
      <c r="B1292" s="1" t="str">
        <f>'001'!C1292</f>
        <v>LIJA ULTRA DOBLE A N 280</v>
      </c>
      <c r="C1292" s="1" t="str">
        <f>'001'!D1292</f>
        <v>0102</v>
      </c>
      <c r="D1292" s="3" t="e">
        <f>'001'!H1292</f>
        <v>#VALUE!</v>
      </c>
    </row>
    <row r="1293" spans="1:4" x14ac:dyDescent="0.25">
      <c r="A1293" s="1" t="str">
        <f>'001'!B1293</f>
        <v>001765</v>
      </c>
      <c r="B1293" s="1" t="str">
        <f>'001'!C1293</f>
        <v>LIJA ULTRA DOBLE A N 320</v>
      </c>
      <c r="C1293" s="1" t="str">
        <f>'001'!D1293</f>
        <v>0102</v>
      </c>
      <c r="D1293" s="3" t="e">
        <f>'001'!H1293</f>
        <v>#VALUE!</v>
      </c>
    </row>
    <row r="1294" spans="1:4" x14ac:dyDescent="0.25">
      <c r="A1294" s="1" t="str">
        <f>'001'!B1294</f>
        <v>001766</v>
      </c>
      <c r="B1294" s="1" t="str">
        <f>'001'!C1294</f>
        <v>LIJA ULTRA DOBLE A N 360</v>
      </c>
      <c r="C1294" s="1" t="str">
        <f>'001'!D1294</f>
        <v>0102</v>
      </c>
      <c r="D1294" s="3" t="e">
        <f>'001'!H1294</f>
        <v>#VALUE!</v>
      </c>
    </row>
    <row r="1295" spans="1:4" x14ac:dyDescent="0.25">
      <c r="A1295" s="1" t="str">
        <f>'001'!B1295</f>
        <v>001767</v>
      </c>
      <c r="B1295" s="1" t="str">
        <f>'001'!C1295</f>
        <v>LIJA ULTRA DOBLE A N 400</v>
      </c>
      <c r="C1295" s="1" t="str">
        <f>'001'!D1295</f>
        <v>0102</v>
      </c>
      <c r="D1295" s="3" t="e">
        <f>'001'!H1295</f>
        <v>#VALUE!</v>
      </c>
    </row>
    <row r="1296" spans="1:4" x14ac:dyDescent="0.25">
      <c r="A1296" s="1" t="str">
        <f>'001'!B1296</f>
        <v>001768</v>
      </c>
      <c r="B1296" s="1" t="str">
        <f>'001'!C1296</f>
        <v>LIJA ULTRA DOBLE A N 500</v>
      </c>
      <c r="C1296" s="1" t="str">
        <f>'001'!D1296</f>
        <v>0102</v>
      </c>
      <c r="D1296" s="3" t="e">
        <f>'001'!H1296</f>
        <v>#VALUE!</v>
      </c>
    </row>
    <row r="1297" spans="1:4" x14ac:dyDescent="0.25">
      <c r="A1297" s="1" t="str">
        <f>'001'!B1297</f>
        <v>001769</v>
      </c>
      <c r="B1297" s="1" t="str">
        <f>'001'!C1297</f>
        <v>LIJA ULTRA DOBLE A N 600</v>
      </c>
      <c r="C1297" s="1" t="str">
        <f>'001'!D1297</f>
        <v>0102</v>
      </c>
      <c r="D1297" s="3" t="e">
        <f>'001'!H1297</f>
        <v>#VALUE!</v>
      </c>
    </row>
    <row r="1298" spans="1:4" x14ac:dyDescent="0.25">
      <c r="A1298" s="1" t="str">
        <f>'001'!B1298</f>
        <v>001770</v>
      </c>
      <c r="B1298" s="1" t="str">
        <f>'001'!C1298</f>
        <v>LIJA ULTRA DOBLE A N 800</v>
      </c>
      <c r="C1298" s="1" t="str">
        <f>'001'!D1298</f>
        <v>0102</v>
      </c>
      <c r="D1298" s="3" t="e">
        <f>'001'!H1298</f>
        <v>#VALUE!</v>
      </c>
    </row>
    <row r="1299" spans="1:4" x14ac:dyDescent="0.25">
      <c r="A1299" s="1" t="str">
        <f>'001'!B1299</f>
        <v>001779</v>
      </c>
      <c r="B1299" s="1" t="str">
        <f>'001'!C1299</f>
        <v>LATEX INTERIOR RECUPLAST MATE BLANCO X  1</v>
      </c>
      <c r="C1299" s="1" t="str">
        <f>'001'!D1299</f>
        <v>0150</v>
      </c>
      <c r="D1299" s="3" t="e">
        <f>'001'!H1299</f>
        <v>#VALUE!</v>
      </c>
    </row>
    <row r="1300" spans="1:4" x14ac:dyDescent="0.25">
      <c r="A1300" s="1" t="str">
        <f>'001'!B1300</f>
        <v>001780</v>
      </c>
      <c r="B1300" s="1" t="str">
        <f>'001'!C1300</f>
        <v>LATEX INTERIOR RECUPLAST MATE BLANCO X  4</v>
      </c>
      <c r="C1300" s="1" t="str">
        <f>'001'!D1300</f>
        <v>0150</v>
      </c>
      <c r="D1300" s="3" t="e">
        <f>'001'!H1300</f>
        <v>#VALUE!</v>
      </c>
    </row>
    <row r="1301" spans="1:4" x14ac:dyDescent="0.25">
      <c r="A1301" s="1" t="str">
        <f>'001'!B1301</f>
        <v>001781</v>
      </c>
      <c r="B1301" s="1" t="str">
        <f>'001'!C1301</f>
        <v>LATEX INTERIOR RECUPLAST MATE BLANCO X 10</v>
      </c>
      <c r="C1301" s="1" t="str">
        <f>'001'!D1301</f>
        <v>0150</v>
      </c>
      <c r="D1301" s="3" t="e">
        <f>'001'!H1301</f>
        <v>#VALUE!</v>
      </c>
    </row>
    <row r="1302" spans="1:4" x14ac:dyDescent="0.25">
      <c r="A1302" s="1" t="str">
        <f>'001'!B1302</f>
        <v>001782</v>
      </c>
      <c r="B1302" s="1" t="str">
        <f>'001'!C1302</f>
        <v>LATEX INTERIOR RECUPLAST MATE BLANCO X 20</v>
      </c>
      <c r="C1302" s="1" t="str">
        <f>'001'!D1302</f>
        <v>0150</v>
      </c>
      <c r="D1302" s="3" t="e">
        <f>'001'!H1302</f>
        <v>#VALUE!</v>
      </c>
    </row>
    <row r="1303" spans="1:4" x14ac:dyDescent="0.25">
      <c r="A1303" s="1" t="str">
        <f>'001'!B1303</f>
        <v>001783</v>
      </c>
      <c r="B1303" s="1" t="str">
        <f>'001'!C1303</f>
        <v>IMPERMEABILIZANTE PARA FRENTES Y MUROS RECUPLAST BLANCO X  1</v>
      </c>
      <c r="C1303" s="1" t="str">
        <f>'001'!D1303</f>
        <v>0150</v>
      </c>
      <c r="D1303" s="3" t="e">
        <f>'001'!H1303</f>
        <v>#VALUE!</v>
      </c>
    </row>
    <row r="1304" spans="1:4" x14ac:dyDescent="0.25">
      <c r="A1304" s="1" t="str">
        <f>'001'!B1304</f>
        <v>001784</v>
      </c>
      <c r="B1304" s="1" t="str">
        <f>'001'!C1304</f>
        <v>IMPERMEABILIZANTE PARA FRENTES Y MUROS RECUPLAST BLANCO X  4</v>
      </c>
      <c r="C1304" s="1" t="str">
        <f>'001'!D1304</f>
        <v>0150</v>
      </c>
      <c r="D1304" s="3" t="e">
        <f>'001'!H1304</f>
        <v>#VALUE!</v>
      </c>
    </row>
    <row r="1305" spans="1:4" x14ac:dyDescent="0.25">
      <c r="A1305" s="1" t="str">
        <f>'001'!B1305</f>
        <v>001785</v>
      </c>
      <c r="B1305" s="1" t="str">
        <f>'001'!C1305</f>
        <v>IMPERMEABILIZANTE PARA FRENTES Y MUROS RECUPLAST BLANCO X 10</v>
      </c>
      <c r="C1305" s="1" t="str">
        <f>'001'!D1305</f>
        <v>0150</v>
      </c>
      <c r="D1305" s="3" t="e">
        <f>'001'!H1305</f>
        <v>#VALUE!</v>
      </c>
    </row>
    <row r="1306" spans="1:4" x14ac:dyDescent="0.25">
      <c r="A1306" s="1" t="str">
        <f>'001'!B1306</f>
        <v>001786</v>
      </c>
      <c r="B1306" s="1" t="str">
        <f>'001'!C1306</f>
        <v>IMPERMEABILIZANTE PARA FRENTES Y MUROS RECUPLAST BLANCO X 20</v>
      </c>
      <c r="C1306" s="1" t="str">
        <f>'001'!D1306</f>
        <v>0150</v>
      </c>
      <c r="D1306" s="3" t="e">
        <f>'001'!H1306</f>
        <v>#VALUE!</v>
      </c>
    </row>
    <row r="1307" spans="1:4" x14ac:dyDescent="0.25">
      <c r="A1307" s="1" t="str">
        <f>'001'!B1307</f>
        <v>001794</v>
      </c>
      <c r="B1307" s="1" t="str">
        <f>'001'!C1307</f>
        <v>LATEX INTERIOR SINTEPLAST PROFESIONAL BLANCO X 20</v>
      </c>
      <c r="C1307" s="1" t="str">
        <f>'001'!D1307</f>
        <v>0150</v>
      </c>
      <c r="D1307" s="3" t="e">
        <f>'001'!H1307</f>
        <v>#VALUE!</v>
      </c>
    </row>
    <row r="1308" spans="1:4" x14ac:dyDescent="0.25">
      <c r="A1308" s="1" t="str">
        <f>'001'!B1308</f>
        <v>001806</v>
      </c>
      <c r="B1308" s="1" t="str">
        <f>'001'!C1308</f>
        <v>LATEX INTERIOR/EXTERIOR TERSINOL BLANCO X  4</v>
      </c>
      <c r="C1308" s="1" t="str">
        <f>'001'!D1308</f>
        <v>0152</v>
      </c>
      <c r="D1308" s="3" t="e">
        <f>'001'!H1308</f>
        <v>#VALUE!</v>
      </c>
    </row>
    <row r="1309" spans="1:4" x14ac:dyDescent="0.25">
      <c r="A1309" s="1" t="str">
        <f>'001'!B1309</f>
        <v>001807</v>
      </c>
      <c r="B1309" s="1" t="str">
        <f>'001'!C1309</f>
        <v>LATEX INTERIOR/EXTERIOR TERSINOL BLANCO X 10</v>
      </c>
      <c r="C1309" s="1" t="str">
        <f>'001'!D1309</f>
        <v>0152</v>
      </c>
      <c r="D1309" s="3" t="e">
        <f>'001'!H1309</f>
        <v>#VALUE!</v>
      </c>
    </row>
    <row r="1310" spans="1:4" x14ac:dyDescent="0.25">
      <c r="A1310" s="1" t="str">
        <f>'001'!B1310</f>
        <v>001808</v>
      </c>
      <c r="B1310" s="1" t="str">
        <f>'001'!C1310</f>
        <v>LATEX INTERIOR/EXTERIOR TERSINOL BLANCO X 20</v>
      </c>
      <c r="C1310" s="1" t="str">
        <f>'001'!D1310</f>
        <v>0152</v>
      </c>
      <c r="D1310" s="3" t="e">
        <f>'001'!H1310</f>
        <v>#VALUE!</v>
      </c>
    </row>
    <row r="1311" spans="1:4" x14ac:dyDescent="0.25">
      <c r="A1311" s="1" t="str">
        <f>'001'!B1311</f>
        <v>001830</v>
      </c>
      <c r="B1311" s="1" t="str">
        <f>'001'!C1311</f>
        <v>PROTECTOR PARA LADRILLO TERSIDRYL AL AGUA SEMI MATE CON PELICULA X  1</v>
      </c>
      <c r="C1311" s="1" t="str">
        <f>'001'!D1311</f>
        <v>0152</v>
      </c>
      <c r="D1311" s="3" t="e">
        <f>'001'!H1311</f>
        <v>#VALUE!</v>
      </c>
    </row>
    <row r="1312" spans="1:4" x14ac:dyDescent="0.25">
      <c r="A1312" s="1" t="str">
        <f>'001'!B1312</f>
        <v>001831</v>
      </c>
      <c r="B1312" s="1" t="str">
        <f>'001'!C1312</f>
        <v>PROTECTOR PARA LADRILLO TERSIDRYL AL AGUA SEMI MATE CON PELICULA X  4</v>
      </c>
      <c r="C1312" s="1" t="str">
        <f>'001'!D1312</f>
        <v>0152</v>
      </c>
      <c r="D1312" s="3" t="e">
        <f>'001'!H1312</f>
        <v>#VALUE!</v>
      </c>
    </row>
    <row r="1313" spans="1:4" x14ac:dyDescent="0.25">
      <c r="A1313" s="1" t="str">
        <f>'001'!B1313</f>
        <v>001832</v>
      </c>
      <c r="B1313" s="1" t="str">
        <f>'001'!C1313</f>
        <v>PROTECTOR PARA LADRILLO TERSIDRYL AL AGUA SEMI MATE CON PELICULA X 10</v>
      </c>
      <c r="C1313" s="1" t="str">
        <f>'001'!D1313</f>
        <v>0152</v>
      </c>
      <c r="D1313" s="3" t="e">
        <f>'001'!H1313</f>
        <v>#VALUE!</v>
      </c>
    </row>
    <row r="1314" spans="1:4" x14ac:dyDescent="0.25">
      <c r="A1314" s="1" t="str">
        <f>'001'!B1314</f>
        <v>001833</v>
      </c>
      <c r="B1314" s="1" t="str">
        <f>'001'!C1314</f>
        <v>PROTECTOR PARA LADRILLO TERSIDRYL AL AGUA SEMI MATE CON PELICULA X 20</v>
      </c>
      <c r="C1314" s="1" t="str">
        <f>'001'!D1314</f>
        <v>0152</v>
      </c>
      <c r="D1314" s="3" t="e">
        <f>'001'!H1314</f>
        <v>#VALUE!</v>
      </c>
    </row>
    <row r="1315" spans="1:4" x14ac:dyDescent="0.25">
      <c r="A1315" s="1" t="str">
        <f>'001'!B1315</f>
        <v>001837</v>
      </c>
      <c r="B1315" s="1" t="str">
        <f>'001'!C1315</f>
        <v>LATEX INTERIOR TERSUAVE LAVABLE SATINADO BLANCO X 20</v>
      </c>
      <c r="C1315" s="1" t="str">
        <f>'001'!D1315</f>
        <v>0152</v>
      </c>
      <c r="D1315" s="3" t="e">
        <f>'001'!H1315</f>
        <v>#VALUE!</v>
      </c>
    </row>
    <row r="1316" spans="1:4" x14ac:dyDescent="0.25">
      <c r="A1316" s="1" t="str">
        <f>'001'!B1316</f>
        <v>001840</v>
      </c>
      <c r="B1316" s="1" t="str">
        <f>'001'!C1316</f>
        <v>FIJADOR PARA PARED TERSUAVE AL AGUARRAS X 20</v>
      </c>
      <c r="C1316" s="1" t="str">
        <f>'001'!D1316</f>
        <v>0152</v>
      </c>
      <c r="D1316" s="3" t="e">
        <f>'001'!H1316</f>
        <v>#VALUE!</v>
      </c>
    </row>
    <row r="1317" spans="1:4" x14ac:dyDescent="0.25">
      <c r="A1317" s="1" t="str">
        <f>'001'!B1317</f>
        <v>001841</v>
      </c>
      <c r="B1317" s="1" t="str">
        <f>'001'!C1317</f>
        <v>LATEX INTERIOR TERSUAVE PROFESIONAL BLANCO X  1</v>
      </c>
      <c r="C1317" s="1" t="str">
        <f>'001'!D1317</f>
        <v>0152</v>
      </c>
      <c r="D1317" s="3" t="e">
        <f>'001'!H1317</f>
        <v>#VALUE!</v>
      </c>
    </row>
    <row r="1318" spans="1:4" x14ac:dyDescent="0.25">
      <c r="A1318" s="1" t="str">
        <f>'001'!B1318</f>
        <v>001842</v>
      </c>
      <c r="B1318" s="1" t="str">
        <f>'001'!C1318</f>
        <v>LATEX INTERIOR TERSUAVE PROFESIONAL BLANCO X  4</v>
      </c>
      <c r="C1318" s="1" t="str">
        <f>'001'!D1318</f>
        <v>0152</v>
      </c>
      <c r="D1318" s="3" t="e">
        <f>'001'!H1318</f>
        <v>#VALUE!</v>
      </c>
    </row>
    <row r="1319" spans="1:4" x14ac:dyDescent="0.25">
      <c r="A1319" s="1" t="str">
        <f>'001'!B1319</f>
        <v>001843</v>
      </c>
      <c r="B1319" s="1" t="str">
        <f>'001'!C1319</f>
        <v>LATEX INTERIOR TERSUAVE PROFESIONAL BLANCO X 10</v>
      </c>
      <c r="C1319" s="1" t="str">
        <f>'001'!D1319</f>
        <v>0152</v>
      </c>
      <c r="D1319" s="3" t="e">
        <f>'001'!H1319</f>
        <v>#VALUE!</v>
      </c>
    </row>
    <row r="1320" spans="1:4" x14ac:dyDescent="0.25">
      <c r="A1320" s="1" t="str">
        <f>'001'!B1320</f>
        <v>001844</v>
      </c>
      <c r="B1320" s="1" t="str">
        <f>'001'!C1320</f>
        <v>LATEX INTERIOR TERSUAVE PROFESIONAL BLANCO X 20</v>
      </c>
      <c r="C1320" s="1" t="str">
        <f>'001'!D1320</f>
        <v>0152</v>
      </c>
      <c r="D1320" s="3" t="e">
        <f>'001'!H1320</f>
        <v>#VALUE!</v>
      </c>
    </row>
    <row r="1321" spans="1:4" x14ac:dyDescent="0.25">
      <c r="A1321" s="1" t="str">
        <f>'001'!B1321</f>
        <v>001845</v>
      </c>
      <c r="B1321" s="1" t="str">
        <f>'001'!C1321</f>
        <v>FONDO PARA GALVANIZADO TERSUAVE GALVANIC GRIS X 1</v>
      </c>
      <c r="C1321" s="1" t="str">
        <f>'001'!D1321</f>
        <v>0153</v>
      </c>
      <c r="D1321" s="3" t="e">
        <f>'001'!H1321</f>
        <v>#VALUE!</v>
      </c>
    </row>
    <row r="1322" spans="1:4" x14ac:dyDescent="0.25">
      <c r="A1322" s="1" t="str">
        <f>'001'!B1322</f>
        <v>001846</v>
      </c>
      <c r="B1322" s="1" t="str">
        <f>'001'!C1322</f>
        <v>FONDO PARA GALVANIZADO TERSUAVE GALVANIC GRIS X 4</v>
      </c>
      <c r="C1322" s="1" t="str">
        <f>'001'!D1322</f>
        <v>0153</v>
      </c>
      <c r="D1322" s="3" t="e">
        <f>'001'!H1322</f>
        <v>#VALUE!</v>
      </c>
    </row>
    <row r="1323" spans="1:4" x14ac:dyDescent="0.25">
      <c r="A1323" s="1" t="str">
        <f>'001'!B1323</f>
        <v>001847</v>
      </c>
      <c r="B1323" s="1" t="str">
        <f>'001'!C1323</f>
        <v>ESMALTE EPOXI TERSUAVE INDULAC BITUMINOSO X  1</v>
      </c>
      <c r="C1323" s="1" t="str">
        <f>'001'!D1323</f>
        <v>0153</v>
      </c>
      <c r="D1323" s="3" t="e">
        <f>'001'!H1323</f>
        <v>#VALUE!</v>
      </c>
    </row>
    <row r="1324" spans="1:4" x14ac:dyDescent="0.25">
      <c r="A1324" s="1" t="str">
        <f>'001'!B1324</f>
        <v>001848</v>
      </c>
      <c r="B1324" s="1" t="str">
        <f>'001'!C1324</f>
        <v>ESMALTE EPOXI TERSUAVE INDULAC BITUMINOSO X  4</v>
      </c>
      <c r="C1324" s="1" t="str">
        <f>'001'!D1324</f>
        <v>0153</v>
      </c>
      <c r="D1324" s="3" t="e">
        <f>'001'!H1324</f>
        <v>#VALUE!</v>
      </c>
    </row>
    <row r="1325" spans="1:4" x14ac:dyDescent="0.25">
      <c r="A1325" s="1" t="str">
        <f>'001'!B1325</f>
        <v>001849</v>
      </c>
      <c r="B1325" s="1" t="str">
        <f>'001'!C1325</f>
        <v>ESMALTE EPOXI TERSUAVE INDULAC BITUMINOSO X 20</v>
      </c>
      <c r="C1325" s="1" t="str">
        <f>'001'!D1325</f>
        <v>0153</v>
      </c>
      <c r="D1325" s="3" t="e">
        <f>'001'!H1325</f>
        <v>#VALUE!</v>
      </c>
    </row>
    <row r="1326" spans="1:4" x14ac:dyDescent="0.25">
      <c r="A1326" s="1" t="str">
        <f>'001'!B1326</f>
        <v>001853</v>
      </c>
      <c r="B1326" s="1" t="str">
        <f>'001'!C1326</f>
        <v>IMPERMEABILIZANTE PARA FRENTES TERSINOL BLANCO X 25</v>
      </c>
      <c r="C1326" s="1" t="str">
        <f>'001'!D1326</f>
        <v>0152</v>
      </c>
      <c r="D1326" s="3" t="e">
        <f>'001'!H1326</f>
        <v>#VALUE!</v>
      </c>
    </row>
    <row r="1327" spans="1:4" x14ac:dyDescent="0.25">
      <c r="A1327" s="1" t="str">
        <f>'001'!B1327</f>
        <v>001854</v>
      </c>
      <c r="B1327" s="1" t="str">
        <f>'001'!C1327</f>
        <v>PRESERVADOR MADERAS TERSUAVE LISTO PARA USAR X  1</v>
      </c>
      <c r="C1327" s="1" t="str">
        <f>'001'!D1327</f>
        <v>0152</v>
      </c>
      <c r="D1327" s="3" t="e">
        <f>'001'!H1327</f>
        <v>#VALUE!</v>
      </c>
    </row>
    <row r="1328" spans="1:4" x14ac:dyDescent="0.25">
      <c r="A1328" s="1" t="str">
        <f>'001'!B1328</f>
        <v>001855</v>
      </c>
      <c r="B1328" s="1" t="str">
        <f>'001'!C1328</f>
        <v>PRESERVADOR MADERAS TERSUAVE LISTO PARA USAR X  4</v>
      </c>
      <c r="C1328" s="1" t="str">
        <f>'001'!D1328</f>
        <v>0152</v>
      </c>
      <c r="D1328" s="3" t="e">
        <f>'001'!H1328</f>
        <v>#VALUE!</v>
      </c>
    </row>
    <row r="1329" spans="1:4" x14ac:dyDescent="0.25">
      <c r="A1329" s="1" t="str">
        <f>'001'!B1329</f>
        <v>001856</v>
      </c>
      <c r="B1329" s="1" t="str">
        <f>'001'!C1329</f>
        <v>PRESERVADOR MADERAS TERSUAVE LISTO PARA USAR X 20</v>
      </c>
      <c r="C1329" s="1" t="str">
        <f>'001'!D1329</f>
        <v>0152</v>
      </c>
      <c r="D1329" s="3" t="e">
        <f>'001'!H1329</f>
        <v>#VALUE!</v>
      </c>
    </row>
    <row r="1330" spans="1:4" x14ac:dyDescent="0.25">
      <c r="A1330" s="1" t="str">
        <f>'001'!B1330</f>
        <v>001869</v>
      </c>
      <c r="B1330" s="1" t="str">
        <f>'001'!C1330</f>
        <v>LATEX INTERIOR ALBA CONSTRUCTOR MATE BLANCO X  1</v>
      </c>
      <c r="C1330" s="1" t="str">
        <f>'001'!D1330</f>
        <v>0107</v>
      </c>
      <c r="D1330" s="3" t="e">
        <f>'001'!H1330</f>
        <v>#VALUE!</v>
      </c>
    </row>
    <row r="1331" spans="1:4" x14ac:dyDescent="0.25">
      <c r="A1331" s="1" t="str">
        <f>'001'!B1331</f>
        <v>001870</v>
      </c>
      <c r="B1331" s="1" t="str">
        <f>'001'!C1331</f>
        <v>LATEX INTERIOR ALBA CONSTRUCTOR MATE BLANCO X  4</v>
      </c>
      <c r="C1331" s="1" t="str">
        <f>'001'!D1331</f>
        <v>0107</v>
      </c>
      <c r="D1331" s="3" t="e">
        <f>'001'!H1331</f>
        <v>#VALUE!</v>
      </c>
    </row>
    <row r="1332" spans="1:4" x14ac:dyDescent="0.25">
      <c r="A1332" s="1" t="str">
        <f>'001'!B1332</f>
        <v>001871</v>
      </c>
      <c r="B1332" s="1" t="str">
        <f>'001'!C1332</f>
        <v>LATEX INTERIOR ALBA CONSTRUCTOR MATE BLANCO X 10</v>
      </c>
      <c r="C1332" s="1" t="str">
        <f>'001'!D1332</f>
        <v>0107</v>
      </c>
      <c r="D1332" s="3" t="e">
        <f>'001'!H1332</f>
        <v>#VALUE!</v>
      </c>
    </row>
    <row r="1333" spans="1:4" x14ac:dyDescent="0.25">
      <c r="A1333" s="1" t="str">
        <f>'001'!B1333</f>
        <v>001872</v>
      </c>
      <c r="B1333" s="1" t="str">
        <f>'001'!C1333</f>
        <v>LATEX INTERIOR ALBA CONSTRUCTOR MATE BLANCO X 20</v>
      </c>
      <c r="C1333" s="1" t="str">
        <f>'001'!D1333</f>
        <v>0107</v>
      </c>
      <c r="D1333" s="3" t="e">
        <f>'001'!H1333</f>
        <v>#VALUE!</v>
      </c>
    </row>
    <row r="1334" spans="1:4" x14ac:dyDescent="0.25">
      <c r="A1334" s="1" t="str">
        <f>'001'!B1334</f>
        <v>001879</v>
      </c>
      <c r="B1334" s="1" t="str">
        <f>'001'!C1334</f>
        <v>REVESTIMIENTO INTERNO PARA CHAPAS PLAVICON ANTICONDENSANTE X  4</v>
      </c>
      <c r="C1334" s="1" t="str">
        <f>'001'!D1334</f>
        <v>0139</v>
      </c>
      <c r="D1334" s="3" t="e">
        <f>'001'!H1334</f>
        <v>#VALUE!</v>
      </c>
    </row>
    <row r="1335" spans="1:4" x14ac:dyDescent="0.25">
      <c r="A1335" s="1" t="str">
        <f>'001'!B1335</f>
        <v>001880</v>
      </c>
      <c r="B1335" s="1" t="str">
        <f>'001'!C1335</f>
        <v>REVESTIMIENTO INTERNO PARA CHAPAS PLAVICON ANTICONDENSANTE X 20</v>
      </c>
      <c r="C1335" s="1" t="str">
        <f>'001'!D1335</f>
        <v>0139</v>
      </c>
      <c r="D1335" s="3" t="e">
        <f>'001'!H1335</f>
        <v>#VALUE!</v>
      </c>
    </row>
    <row r="1336" spans="1:4" x14ac:dyDescent="0.25">
      <c r="A1336" s="1" t="str">
        <f>'001'!B1336</f>
        <v>001889</v>
      </c>
      <c r="B1336" s="1" t="str">
        <f>'001'!C1336</f>
        <v>IMPRIMACION EPOXI TERSUAVE X 4</v>
      </c>
      <c r="C1336" s="1" t="str">
        <f>'001'!D1336</f>
        <v>0153</v>
      </c>
      <c r="D1336" s="3" t="e">
        <f>'001'!H1336</f>
        <v>#VALUE!</v>
      </c>
    </row>
    <row r="1337" spans="1:4" x14ac:dyDescent="0.25">
      <c r="A1337" s="1" t="str">
        <f>'001'!B1337</f>
        <v>001890</v>
      </c>
      <c r="B1337" s="1" t="str">
        <f>'001'!C1337</f>
        <v>IMPRIMACION EPOXI TERSUAVE X20</v>
      </c>
      <c r="C1337" s="1" t="str">
        <f>'001'!D1337</f>
        <v>0153</v>
      </c>
      <c r="D1337" s="3" t="e">
        <f>'001'!H1337</f>
        <v>#VALUE!</v>
      </c>
    </row>
    <row r="1338" spans="1:4" x14ac:dyDescent="0.25">
      <c r="A1338" s="1" t="str">
        <f>'001'!B1338</f>
        <v>001894</v>
      </c>
      <c r="B1338" s="1" t="str">
        <f>'001'!C1338</f>
        <v>LIJA ANTIEMPASTE OXIDO ALUMINIO RAPIFIX # 120</v>
      </c>
      <c r="C1338" s="1" t="str">
        <f>'001'!D1338</f>
        <v>0181</v>
      </c>
      <c r="D1338" s="3" t="e">
        <f>'001'!H1338</f>
        <v>#VALUE!</v>
      </c>
    </row>
    <row r="1339" spans="1:4" x14ac:dyDescent="0.25">
      <c r="A1339" s="1" t="str">
        <f>'001'!B1339</f>
        <v>001900</v>
      </c>
      <c r="B1339" s="1" t="str">
        <f>'001'!C1339</f>
        <v>IMPERMEABILIZANTE PARA TECHOS PLAVICON FIBRADO ROJO X  0,320</v>
      </c>
      <c r="C1339" s="1" t="str">
        <f>'001'!D1339</f>
        <v>0139</v>
      </c>
      <c r="D1339" s="3" t="e">
        <f>'001'!H1339</f>
        <v>#VALUE!</v>
      </c>
    </row>
    <row r="1340" spans="1:4" x14ac:dyDescent="0.25">
      <c r="A1340" s="1" t="str">
        <f>'001'!B1340</f>
        <v>001901</v>
      </c>
      <c r="B1340" s="1" t="str">
        <f>'001'!C1340</f>
        <v>IMPERMEABILIZANTE PARA TECHOS PLAVICON FIBRADO ROJO X  1,250</v>
      </c>
      <c r="C1340" s="1" t="str">
        <f>'001'!D1340</f>
        <v>0139</v>
      </c>
      <c r="D1340" s="3" t="e">
        <f>'001'!H1340</f>
        <v>#VALUE!</v>
      </c>
    </row>
    <row r="1341" spans="1:4" x14ac:dyDescent="0.25">
      <c r="A1341" s="1" t="str">
        <f>'001'!B1341</f>
        <v>001902</v>
      </c>
      <c r="B1341" s="1" t="str">
        <f>'001'!C1341</f>
        <v>IMPERMEABILIZANTE PARA TECHOS PLAVICON FIBRADO ROJO X  5</v>
      </c>
      <c r="C1341" s="1" t="str">
        <f>'001'!D1341</f>
        <v>0139</v>
      </c>
      <c r="D1341" s="3" t="e">
        <f>'001'!H1341</f>
        <v>#VALUE!</v>
      </c>
    </row>
    <row r="1342" spans="1:4" x14ac:dyDescent="0.25">
      <c r="A1342" s="1" t="str">
        <f>'001'!B1342</f>
        <v>001903</v>
      </c>
      <c r="B1342" s="1" t="str">
        <f>'001'!C1342</f>
        <v>IMPERMEABILIZANTE PARA TECHOS PLAVICON FIBRADO ROJO X 12</v>
      </c>
      <c r="C1342" s="1" t="str">
        <f>'001'!D1342</f>
        <v>0139</v>
      </c>
      <c r="D1342" s="3" t="e">
        <f>'001'!H1342</f>
        <v>#VALUE!</v>
      </c>
    </row>
    <row r="1343" spans="1:4" x14ac:dyDescent="0.25">
      <c r="A1343" s="1" t="str">
        <f>'001'!B1343</f>
        <v>001904</v>
      </c>
      <c r="B1343" s="1" t="str">
        <f>'001'!C1343</f>
        <v>IMPERMEABILIZANTE PARA TECHOS PLAVICON FIBRADO ROJO X 25</v>
      </c>
      <c r="C1343" s="1" t="str">
        <f>'001'!D1343</f>
        <v>0139</v>
      </c>
      <c r="D1343" s="3" t="e">
        <f>'001'!H1343</f>
        <v>#VALUE!</v>
      </c>
    </row>
    <row r="1344" spans="1:4" x14ac:dyDescent="0.25">
      <c r="A1344" s="1" t="str">
        <f>'001'!B1344</f>
        <v>001909</v>
      </c>
      <c r="B1344" s="1" t="str">
        <f>'001'!C1344</f>
        <v>SELLADOR MULTIUSO PLAVICON SELLADOR PRO BLANCO X  5</v>
      </c>
      <c r="C1344" s="1" t="str">
        <f>'001'!D1344</f>
        <v>0139</v>
      </c>
      <c r="D1344" s="3" t="e">
        <f>'001'!H1344</f>
        <v>#VALUE!</v>
      </c>
    </row>
    <row r="1345" spans="1:4" x14ac:dyDescent="0.25">
      <c r="A1345" s="1" t="str">
        <f>'001'!B1345</f>
        <v>001910</v>
      </c>
      <c r="B1345" s="1" t="str">
        <f>'001'!C1345</f>
        <v>IMPERMEABILIZANTE PARA TECHOS PLAVICON TAPAGOTERAS X  1</v>
      </c>
      <c r="C1345" s="1" t="str">
        <f>'001'!D1345</f>
        <v>0139</v>
      </c>
      <c r="D1345" s="3" t="e">
        <f>'001'!H1345</f>
        <v>#VALUE!</v>
      </c>
    </row>
    <row r="1346" spans="1:4" x14ac:dyDescent="0.25">
      <c r="A1346" s="1" t="str">
        <f>'001'!B1346</f>
        <v>001911</v>
      </c>
      <c r="B1346" s="1" t="str">
        <f>'001'!C1346</f>
        <v>IMPERMEABILIZANTE PARA TECHOS PLAVICON TAPAGOTERAS X  5</v>
      </c>
      <c r="C1346" s="1" t="str">
        <f>'001'!D1346</f>
        <v>0139</v>
      </c>
      <c r="D1346" s="3" t="e">
        <f>'001'!H1346</f>
        <v>#VALUE!</v>
      </c>
    </row>
    <row r="1347" spans="1:4" x14ac:dyDescent="0.25">
      <c r="A1347" s="1" t="str">
        <f>'001'!B1347</f>
        <v>001912</v>
      </c>
      <c r="B1347" s="1" t="str">
        <f>'001'!C1347</f>
        <v>IMPERMEABILIZANTE PARA TECHOS PLAVICON TAPAGOTERAS X 20</v>
      </c>
      <c r="C1347" s="1" t="str">
        <f>'001'!D1347</f>
        <v>0139</v>
      </c>
      <c r="D1347" s="3" t="e">
        <f>'001'!H1347</f>
        <v>#VALUE!</v>
      </c>
    </row>
    <row r="1348" spans="1:4" x14ac:dyDescent="0.25">
      <c r="A1348" s="1" t="str">
        <f>'001'!B1348</f>
        <v>001913</v>
      </c>
      <c r="B1348" s="1" t="str">
        <f>'001'!C1348</f>
        <v>SELLADOR MULTIUSO PLAVICON SELLADOR PRO BLANCO X  0,450</v>
      </c>
      <c r="C1348" s="1" t="str">
        <f>'001'!D1348</f>
        <v>0139</v>
      </c>
      <c r="D1348" s="3" t="e">
        <f>'001'!H1348</f>
        <v>#VALUE!</v>
      </c>
    </row>
    <row r="1349" spans="1:4" x14ac:dyDescent="0.25">
      <c r="A1349" s="1" t="str">
        <f>'001'!B1349</f>
        <v>001916</v>
      </c>
      <c r="B1349" s="1" t="str">
        <f>'001'!C1349</f>
        <v>SELLADOR MULTIUSO PLAVICON SELLADOR PRO BLANCO X  0,350</v>
      </c>
      <c r="C1349" s="1" t="str">
        <f>'001'!D1349</f>
        <v>0139</v>
      </c>
      <c r="D1349" s="3" t="e">
        <f>'001'!H1349</f>
        <v>#VALUE!</v>
      </c>
    </row>
    <row r="1350" spans="1:4" x14ac:dyDescent="0.25">
      <c r="A1350" s="1" t="str">
        <f>'001'!B1350</f>
        <v>001917</v>
      </c>
      <c r="B1350" s="1" t="str">
        <f>'001'!C1350</f>
        <v>SELLADOR MULTIUSO PLAVICON SELLADOR PRO BLANCO X  1</v>
      </c>
      <c r="C1350" s="1" t="str">
        <f>'001'!D1350</f>
        <v>0139</v>
      </c>
      <c r="D1350" s="3" t="e">
        <f>'001'!H1350</f>
        <v>#VALUE!</v>
      </c>
    </row>
    <row r="1351" spans="1:4" x14ac:dyDescent="0.25">
      <c r="A1351" s="1" t="str">
        <f>'001'!B1351</f>
        <v>001918</v>
      </c>
      <c r="B1351" s="1" t="str">
        <f>'001'!C1351</f>
        <v>SELLADOR SINTETICO PARA FISURAS Y GRIETAS PLAVICON SELLADOR PILETAS X 0,450</v>
      </c>
      <c r="C1351" s="1" t="str">
        <f>'001'!D1351</f>
        <v>0139</v>
      </c>
      <c r="D1351" s="3" t="e">
        <f>'001'!H1351</f>
        <v>#VALUE!</v>
      </c>
    </row>
    <row r="1352" spans="1:4" x14ac:dyDescent="0.25">
      <c r="A1352" s="1" t="str">
        <f>'001'!B1352</f>
        <v>001919</v>
      </c>
      <c r="B1352" s="1" t="str">
        <f>'001'!C1352</f>
        <v>SELLADOR SINTETICO PARA FISURAS Y GRIETAS PLAVICON SELLADOR PILETAS X 1,250</v>
      </c>
      <c r="C1352" s="1" t="str">
        <f>'001'!D1352</f>
        <v>0139</v>
      </c>
      <c r="D1352" s="3" t="e">
        <f>'001'!H1352</f>
        <v>#VALUE!</v>
      </c>
    </row>
    <row r="1353" spans="1:4" x14ac:dyDescent="0.25">
      <c r="A1353" s="1" t="str">
        <f>'001'!B1353</f>
        <v>001920</v>
      </c>
      <c r="B1353" s="1" t="str">
        <f>'001'!C1353</f>
        <v>LACA PARA PISO PLAVICON PISOACRIL TRANSPARENTE X  1</v>
      </c>
      <c r="C1353" s="1" t="str">
        <f>'001'!D1353</f>
        <v>0139</v>
      </c>
      <c r="D1353" s="3" t="e">
        <f>'001'!H1353</f>
        <v>#VALUE!</v>
      </c>
    </row>
    <row r="1354" spans="1:4" x14ac:dyDescent="0.25">
      <c r="A1354" s="1" t="str">
        <f>'001'!B1354</f>
        <v>001921</v>
      </c>
      <c r="B1354" s="1" t="str">
        <f>'001'!C1354</f>
        <v>LACA PARA PISO PLAVICON PISOACRIL TRANSPARENTE X  4</v>
      </c>
      <c r="C1354" s="1" t="str">
        <f>'001'!D1354</f>
        <v>0139</v>
      </c>
      <c r="D1354" s="3" t="e">
        <f>'001'!H1354</f>
        <v>#VALUE!</v>
      </c>
    </row>
    <row r="1355" spans="1:4" x14ac:dyDescent="0.25">
      <c r="A1355" s="1" t="str">
        <f>'001'!B1355</f>
        <v>001922</v>
      </c>
      <c r="B1355" s="1" t="str">
        <f>'001'!C1355</f>
        <v>IMPERMEABILIZANTE PARA FRENTES PLAVICON MATE BLANCO X  1,250</v>
      </c>
      <c r="C1355" s="1" t="str">
        <f>'001'!D1355</f>
        <v>0139</v>
      </c>
      <c r="D1355" s="3" t="e">
        <f>'001'!H1355</f>
        <v>#VALUE!</v>
      </c>
    </row>
    <row r="1356" spans="1:4" x14ac:dyDescent="0.25">
      <c r="A1356" s="1" t="str">
        <f>'001'!B1356</f>
        <v>001923</v>
      </c>
      <c r="B1356" s="1" t="str">
        <f>'001'!C1356</f>
        <v>IMPERMEABILIZANTE PARA FRENTES PLAVICON MATE BLANCO X  5</v>
      </c>
      <c r="C1356" s="1" t="str">
        <f>'001'!D1356</f>
        <v>0139</v>
      </c>
      <c r="D1356" s="3" t="e">
        <f>'001'!H1356</f>
        <v>#VALUE!</v>
      </c>
    </row>
    <row r="1357" spans="1:4" x14ac:dyDescent="0.25">
      <c r="A1357" s="1" t="str">
        <f>'001'!B1357</f>
        <v>001924</v>
      </c>
      <c r="B1357" s="1" t="str">
        <f>'001'!C1357</f>
        <v>IMPERMEABILIZANTE PARA FRENTES PLAVICON MATE BLANCO X 12</v>
      </c>
      <c r="C1357" s="1" t="str">
        <f>'001'!D1357</f>
        <v>0139</v>
      </c>
      <c r="D1357" s="3" t="e">
        <f>'001'!H1357</f>
        <v>#VALUE!</v>
      </c>
    </row>
    <row r="1358" spans="1:4" x14ac:dyDescent="0.25">
      <c r="A1358" s="1" t="str">
        <f>'001'!B1358</f>
        <v>001925</v>
      </c>
      <c r="B1358" s="1" t="str">
        <f>'001'!C1358</f>
        <v>IMPERMEABILIZANTE PARA FRENTES PLAVICON MATE BLANCO X 25</v>
      </c>
      <c r="C1358" s="1" t="str">
        <f>'001'!D1358</f>
        <v>0139</v>
      </c>
      <c r="D1358" s="3" t="e">
        <f>'001'!H1358</f>
        <v>#VALUE!</v>
      </c>
    </row>
    <row r="1359" spans="1:4" x14ac:dyDescent="0.25">
      <c r="A1359" s="1" t="str">
        <f>'001'!B1359</f>
        <v>001926</v>
      </c>
      <c r="B1359" s="1" t="str">
        <f>'001'!C1359</f>
        <v>IMPERMEABLIZANTE ANTIHUMEDAD TERSEC X 1</v>
      </c>
      <c r="C1359" s="1" t="str">
        <f>'001'!D1359</f>
        <v>0152</v>
      </c>
      <c r="D1359" s="3" t="e">
        <f>'001'!H1359</f>
        <v>#VALUE!</v>
      </c>
    </row>
    <row r="1360" spans="1:4" x14ac:dyDescent="0.25">
      <c r="A1360" s="1" t="str">
        <f>'001'!B1360</f>
        <v>001927</v>
      </c>
      <c r="B1360" s="1" t="str">
        <f>'001'!C1360</f>
        <v>IMPERMEABLIZANTE ANTIHUMEDAD TERSEC X 4</v>
      </c>
      <c r="C1360" s="1" t="str">
        <f>'001'!D1360</f>
        <v>0902</v>
      </c>
      <c r="D1360" s="3" t="e">
        <f>'001'!H1360</f>
        <v>#VALUE!</v>
      </c>
    </row>
    <row r="1361" spans="1:4" x14ac:dyDescent="0.25">
      <c r="A1361" s="1" t="str">
        <f>'001'!B1361</f>
        <v>001928</v>
      </c>
      <c r="B1361" s="1" t="str">
        <f>'001'!C1361</f>
        <v>IMPERMEABILIZANTE PARA FRENTES PLAVICON MATE ROJO X  1,250</v>
      </c>
      <c r="C1361" s="1" t="str">
        <f>'001'!D1361</f>
        <v>0139</v>
      </c>
      <c r="D1361" s="3" t="e">
        <f>'001'!H1361</f>
        <v>#VALUE!</v>
      </c>
    </row>
    <row r="1362" spans="1:4" x14ac:dyDescent="0.25">
      <c r="A1362" s="1" t="str">
        <f>'001'!B1362</f>
        <v>001929</v>
      </c>
      <c r="B1362" s="1" t="str">
        <f>'001'!C1362</f>
        <v>IMPERMEABILIZANTE PARA FRENTES PLAVICON MATE ROJO X  5</v>
      </c>
      <c r="C1362" s="1" t="str">
        <f>'001'!D1362</f>
        <v>0139</v>
      </c>
      <c r="D1362" s="3" t="e">
        <f>'001'!H1362</f>
        <v>#VALUE!</v>
      </c>
    </row>
    <row r="1363" spans="1:4" x14ac:dyDescent="0.25">
      <c r="A1363" s="1" t="str">
        <f>'001'!B1363</f>
        <v>001930</v>
      </c>
      <c r="B1363" s="1" t="str">
        <f>'001'!C1363</f>
        <v>IMPERMEABILIZANTE PARA FRENTES PLAVICON MATE ROJO X 12</v>
      </c>
      <c r="C1363" s="1" t="str">
        <f>'001'!D1363</f>
        <v>0139</v>
      </c>
      <c r="D1363" s="3" t="e">
        <f>'001'!H1363</f>
        <v>#VALUE!</v>
      </c>
    </row>
    <row r="1364" spans="1:4" x14ac:dyDescent="0.25">
      <c r="A1364" s="1" t="str">
        <f>'001'!B1364</f>
        <v>001931</v>
      </c>
      <c r="B1364" s="1" t="str">
        <f>'001'!C1364</f>
        <v>IMPERMEABILIZANTE PARA FRENTES PLAVICON MATE ROJO X 25</v>
      </c>
      <c r="C1364" s="1" t="str">
        <f>'001'!D1364</f>
        <v>0139</v>
      </c>
      <c r="D1364" s="3" t="e">
        <f>'001'!H1364</f>
        <v>#VALUE!</v>
      </c>
    </row>
    <row r="1365" spans="1:4" x14ac:dyDescent="0.25">
      <c r="A1365" s="1" t="str">
        <f>'001'!B1365</f>
        <v>001932</v>
      </c>
      <c r="B1365" s="1" t="str">
        <f>'001'!C1365</f>
        <v>MEMBRANA ASFALTICA MEGAFLEX ALUMINIO MGX 35KG.X 10MTS</v>
      </c>
      <c r="C1365" s="1" t="str">
        <f>'001'!D1365</f>
        <v>0130</v>
      </c>
      <c r="D1365" s="3" t="e">
        <f>'001'!H1365</f>
        <v>#VALUE!</v>
      </c>
    </row>
    <row r="1366" spans="1:4" x14ac:dyDescent="0.25">
      <c r="A1366" s="1" t="str">
        <f>'001'!B1366</f>
        <v>001933</v>
      </c>
      <c r="B1366" s="1" t="str">
        <f>'001'!C1366</f>
        <v>SELLADOR MULTIUSO PLAVICON SELLADOR PRO BLANCO X 25</v>
      </c>
      <c r="C1366" s="1" t="str">
        <f>'001'!D1366</f>
        <v>0139</v>
      </c>
      <c r="D1366" s="3" t="e">
        <f>'001'!H1366</f>
        <v>#VALUE!</v>
      </c>
    </row>
    <row r="1367" spans="1:4" x14ac:dyDescent="0.25">
      <c r="A1367" s="1" t="str">
        <f>'001'!B1367</f>
        <v>001934</v>
      </c>
      <c r="B1367" s="1" t="str">
        <f>'001'!C1367</f>
        <v>MORTERO REPARACION HORMIGON WEBER DUR GRIS CLARO X 25</v>
      </c>
      <c r="C1367" s="1" t="str">
        <f>'001'!D1367</f>
        <v>0163</v>
      </c>
      <c r="D1367" s="3" t="e">
        <f>'001'!H1367</f>
        <v>#VALUE!</v>
      </c>
    </row>
    <row r="1368" spans="1:4" x14ac:dyDescent="0.25">
      <c r="A1368" s="1" t="str">
        <f>'001'!B1368</f>
        <v>001936</v>
      </c>
      <c r="B1368" s="1" t="str">
        <f>'001'!C1368</f>
        <v>IMPERMEABILIZANTE PARA TECHOS PLAVICON TAPAGOTERAS X 10</v>
      </c>
      <c r="C1368" s="1" t="str">
        <f>'001'!D1368</f>
        <v>0139</v>
      </c>
      <c r="D1368" s="3" t="e">
        <f>'001'!H1368</f>
        <v>#VALUE!</v>
      </c>
    </row>
    <row r="1369" spans="1:4" x14ac:dyDescent="0.25">
      <c r="A1369" s="1" t="str">
        <f>'001'!B1369</f>
        <v>001938</v>
      </c>
      <c r="B1369" s="1" t="str">
        <f>'001'!C1369</f>
        <v>PROTECTOR PARA PISO ATERMICO PLAVICON ARENA X 4</v>
      </c>
      <c r="C1369" s="1" t="str">
        <f>'001'!D1369</f>
        <v>0139</v>
      </c>
      <c r="D1369" s="3" t="e">
        <f>'001'!H1369</f>
        <v>#VALUE!</v>
      </c>
    </row>
    <row r="1370" spans="1:4" x14ac:dyDescent="0.25">
      <c r="A1370" s="1" t="str">
        <f>'001'!B1370</f>
        <v>001939</v>
      </c>
      <c r="B1370" s="1" t="str">
        <f>'001'!C1370</f>
        <v>FILTRO PARA PINTURA   1A4L X 10U</v>
      </c>
      <c r="C1370" s="1" t="str">
        <f>'001'!D1370</f>
        <v>0103</v>
      </c>
      <c r="D1370" s="3" t="e">
        <f>'001'!H1370</f>
        <v>#VALUE!</v>
      </c>
    </row>
    <row r="1371" spans="1:4" x14ac:dyDescent="0.25">
      <c r="A1371" s="1" t="str">
        <f>'001'!B1371</f>
        <v>001940</v>
      </c>
      <c r="B1371" s="1" t="str">
        <f>'001'!C1371</f>
        <v>IMPERMEABILIZANTE PARA TECHOS PLAVICON FIBRADO BLANCO X  0,320</v>
      </c>
      <c r="C1371" s="1" t="str">
        <f>'001'!D1371</f>
        <v>0139</v>
      </c>
      <c r="D1371" s="3" t="e">
        <f>'001'!H1371</f>
        <v>#VALUE!</v>
      </c>
    </row>
    <row r="1372" spans="1:4" x14ac:dyDescent="0.25">
      <c r="A1372" s="1" t="str">
        <f>'001'!B1372</f>
        <v>001941</v>
      </c>
      <c r="B1372" s="1" t="str">
        <f>'001'!C1372</f>
        <v>IMPERMEABILIZANTE PARA TECHOS PLAVICON FIBRADO BLANCO X  1,250</v>
      </c>
      <c r="C1372" s="1" t="str">
        <f>'001'!D1372</f>
        <v>0139</v>
      </c>
      <c r="D1372" s="3" t="e">
        <f>'001'!H1372</f>
        <v>#VALUE!</v>
      </c>
    </row>
    <row r="1373" spans="1:4" x14ac:dyDescent="0.25">
      <c r="A1373" s="1" t="str">
        <f>'001'!B1373</f>
        <v>001942</v>
      </c>
      <c r="B1373" s="1" t="str">
        <f>'001'!C1373</f>
        <v>LACA PARA PISO PLAVICON PISOACRIL TRANSPARENTE X 20</v>
      </c>
      <c r="C1373" s="1" t="str">
        <f>'001'!D1373</f>
        <v>0139</v>
      </c>
      <c r="D1373" s="3" t="e">
        <f>'001'!H1373</f>
        <v>#VALUE!</v>
      </c>
    </row>
    <row r="1374" spans="1:4" x14ac:dyDescent="0.25">
      <c r="A1374" s="1" t="str">
        <f>'001'!B1374</f>
        <v>001943</v>
      </c>
      <c r="B1374" s="1" t="str">
        <f>'001'!C1374</f>
        <v>IMPERMEABILIZANTE PARA TECHOS PLAVICON FIBRADO BLANCO X  5</v>
      </c>
      <c r="C1374" s="1" t="str">
        <f>'001'!D1374</f>
        <v>0139</v>
      </c>
      <c r="D1374" s="3" t="e">
        <f>'001'!H1374</f>
        <v>#VALUE!</v>
      </c>
    </row>
    <row r="1375" spans="1:4" x14ac:dyDescent="0.25">
      <c r="A1375" s="1" t="str">
        <f>'001'!B1375</f>
        <v>001944</v>
      </c>
      <c r="B1375" s="1" t="str">
        <f>'001'!C1375</f>
        <v>IMPERMEABILIZANTE PARA TECHOS PLAVICON FIBRADO BLANCO X 12</v>
      </c>
      <c r="C1375" s="1" t="str">
        <f>'001'!D1375</f>
        <v>0139</v>
      </c>
      <c r="D1375" s="3" t="e">
        <f>'001'!H1375</f>
        <v>#VALUE!</v>
      </c>
    </row>
    <row r="1376" spans="1:4" x14ac:dyDescent="0.25">
      <c r="A1376" s="1" t="str">
        <f>'001'!B1376</f>
        <v>001945</v>
      </c>
      <c r="B1376" s="1" t="str">
        <f>'001'!C1376</f>
        <v>IMPERMEABILIZANTE PARA TECHOS PLAVICON FIBRADO BLANCO X 25</v>
      </c>
      <c r="C1376" s="1" t="str">
        <f>'001'!D1376</f>
        <v>0139</v>
      </c>
      <c r="D1376" s="3" t="e">
        <f>'001'!H1376</f>
        <v>#VALUE!</v>
      </c>
    </row>
    <row r="1377" spans="1:4" x14ac:dyDescent="0.25">
      <c r="A1377" s="1" t="str">
        <f>'001'!B1377</f>
        <v>001946</v>
      </c>
      <c r="B1377" s="1" t="str">
        <f>'001'!C1377</f>
        <v>IMPERMEABILIZANTE PARA MUROS PLAVICON MATE BLANCO X  1,250</v>
      </c>
      <c r="C1377" s="1" t="str">
        <f>'001'!D1377</f>
        <v>0139</v>
      </c>
      <c r="D1377" s="3" t="e">
        <f>'001'!H1377</f>
        <v>#VALUE!</v>
      </c>
    </row>
    <row r="1378" spans="1:4" x14ac:dyDescent="0.25">
      <c r="A1378" s="1" t="str">
        <f>'001'!B1378</f>
        <v>001947</v>
      </c>
      <c r="B1378" s="1" t="str">
        <f>'001'!C1378</f>
        <v>IMPERMEABILIZANTE PARA MUROS PLAVICON MATE BLANCO X  5</v>
      </c>
      <c r="C1378" s="1" t="str">
        <f>'001'!D1378</f>
        <v>0139</v>
      </c>
      <c r="D1378" s="3" t="e">
        <f>'001'!H1378</f>
        <v>#VALUE!</v>
      </c>
    </row>
    <row r="1379" spans="1:4" x14ac:dyDescent="0.25">
      <c r="A1379" s="1" t="str">
        <f>'001'!B1379</f>
        <v>001948</v>
      </c>
      <c r="B1379" s="1" t="str">
        <f>'001'!C1379</f>
        <v>IMPERMEABILIZANTE PARA MUROS PLAVICON MATE BLANCO X 12</v>
      </c>
      <c r="C1379" s="1" t="str">
        <f>'001'!D1379</f>
        <v>0139</v>
      </c>
      <c r="D1379" s="3" t="e">
        <f>'001'!H1379</f>
        <v>#VALUE!</v>
      </c>
    </row>
    <row r="1380" spans="1:4" x14ac:dyDescent="0.25">
      <c r="A1380" s="1" t="str">
        <f>'001'!B1380</f>
        <v>001949</v>
      </c>
      <c r="B1380" s="1" t="str">
        <f>'001'!C1380</f>
        <v>IMPERMEABILIZANTE PARA MUROS PLAVICON MATE BLANCO X 25</v>
      </c>
      <c r="C1380" s="1" t="str">
        <f>'001'!D1380</f>
        <v>0139</v>
      </c>
      <c r="D1380" s="3" t="e">
        <f>'001'!H1380</f>
        <v>#VALUE!</v>
      </c>
    </row>
    <row r="1381" spans="1:4" x14ac:dyDescent="0.25">
      <c r="A1381" s="1" t="str">
        <f>'001'!B1381</f>
        <v>001950</v>
      </c>
      <c r="B1381" s="1" t="str">
        <f>'001'!C1381</f>
        <v>IMPERMEABILIZANTE PARA TANQUES PLAVICON BLANCO X  1</v>
      </c>
      <c r="C1381" s="1" t="str">
        <f>'001'!D1381</f>
        <v>0139</v>
      </c>
      <c r="D1381" s="3" t="e">
        <f>'001'!H1381</f>
        <v>#VALUE!</v>
      </c>
    </row>
    <row r="1382" spans="1:4" x14ac:dyDescent="0.25">
      <c r="A1382" s="1" t="str">
        <f>'001'!B1382</f>
        <v>001951</v>
      </c>
      <c r="B1382" s="1" t="str">
        <f>'001'!C1382</f>
        <v>IMPERMEABILIZANTE PARA TANQUES PLAVICON BLANCO X  4</v>
      </c>
      <c r="C1382" s="1" t="str">
        <f>'001'!D1382</f>
        <v>0139</v>
      </c>
      <c r="D1382" s="3" t="e">
        <f>'001'!H1382</f>
        <v>#VALUE!</v>
      </c>
    </row>
    <row r="1383" spans="1:4" x14ac:dyDescent="0.25">
      <c r="A1383" s="1" t="str">
        <f>'001'!B1383</f>
        <v>001952</v>
      </c>
      <c r="B1383" s="1" t="str">
        <f>'001'!C1383</f>
        <v>IMPERMEABILIZANTE PARA TANQUES PLAVICON BLANCO X 20</v>
      </c>
      <c r="C1383" s="1" t="str">
        <f>'001'!D1383</f>
        <v>0139</v>
      </c>
      <c r="D1383" s="3" t="e">
        <f>'001'!H1383</f>
        <v>#VALUE!</v>
      </c>
    </row>
    <row r="1384" spans="1:4" x14ac:dyDescent="0.25">
      <c r="A1384" s="1" t="str">
        <f>'001'!B1384</f>
        <v>001953</v>
      </c>
      <c r="B1384" s="1" t="str">
        <f>'001'!C1384</f>
        <v>LATEX INTERIOR LAVABLE PLAVICON MATE BLANCO X  1</v>
      </c>
      <c r="C1384" s="1" t="str">
        <f>'001'!D1384</f>
        <v>0139</v>
      </c>
      <c r="D1384" s="3" t="e">
        <f>'001'!H1384</f>
        <v>#VALUE!</v>
      </c>
    </row>
    <row r="1385" spans="1:4" x14ac:dyDescent="0.25">
      <c r="A1385" s="1" t="str">
        <f>'001'!B1385</f>
        <v>001954</v>
      </c>
      <c r="B1385" s="1" t="str">
        <f>'001'!C1385</f>
        <v>LATEX INTERIOR LAVABLE PLAVICON MATE BLANCO X  4</v>
      </c>
      <c r="C1385" s="1" t="str">
        <f>'001'!D1385</f>
        <v>0139</v>
      </c>
      <c r="D1385" s="3" t="e">
        <f>'001'!H1385</f>
        <v>#VALUE!</v>
      </c>
    </row>
    <row r="1386" spans="1:4" x14ac:dyDescent="0.25">
      <c r="A1386" s="1" t="str">
        <f>'001'!B1386</f>
        <v>001955</v>
      </c>
      <c r="B1386" s="1" t="str">
        <f>'001'!C1386</f>
        <v>LATEX INTERIOR LAVABLE PLAVICON MATE BLANCO X 10</v>
      </c>
      <c r="C1386" s="1" t="str">
        <f>'001'!D1386</f>
        <v>0139</v>
      </c>
      <c r="D1386" s="3" t="e">
        <f>'001'!H1386</f>
        <v>#VALUE!</v>
      </c>
    </row>
    <row r="1387" spans="1:4" x14ac:dyDescent="0.25">
      <c r="A1387" s="1" t="str">
        <f>'001'!B1387</f>
        <v>001956</v>
      </c>
      <c r="B1387" s="1" t="str">
        <f>'001'!C1387</f>
        <v>LATEX INTERIOR LAVABLE PLAVICON MATE BLANCO X 20</v>
      </c>
      <c r="C1387" s="1" t="str">
        <f>'001'!D1387</f>
        <v>0139</v>
      </c>
      <c r="D1387" s="3" t="e">
        <f>'001'!H1387</f>
        <v>#VALUE!</v>
      </c>
    </row>
    <row r="1388" spans="1:4" x14ac:dyDescent="0.25">
      <c r="A1388" s="1" t="str">
        <f>'001'!B1388</f>
        <v>001957</v>
      </c>
      <c r="B1388" s="1" t="str">
        <f>'001'!C1388</f>
        <v>FIJADOR PARA PARED PLAVICON AL AGUA X  1</v>
      </c>
      <c r="C1388" s="1" t="str">
        <f>'001'!D1388</f>
        <v>0139</v>
      </c>
      <c r="D1388" s="3" t="e">
        <f>'001'!H1388</f>
        <v>#VALUE!</v>
      </c>
    </row>
    <row r="1389" spans="1:4" x14ac:dyDescent="0.25">
      <c r="A1389" s="1" t="str">
        <f>'001'!B1389</f>
        <v>001958</v>
      </c>
      <c r="B1389" s="1" t="str">
        <f>'001'!C1389</f>
        <v>FIJADOR PARA PARED PLAVICON AL AGUA X  4</v>
      </c>
      <c r="C1389" s="1" t="str">
        <f>'001'!D1389</f>
        <v>0139</v>
      </c>
      <c r="D1389" s="3" t="e">
        <f>'001'!H1389</f>
        <v>#VALUE!</v>
      </c>
    </row>
    <row r="1390" spans="1:4" x14ac:dyDescent="0.25">
      <c r="A1390" s="1" t="str">
        <f>'001'!B1390</f>
        <v>001959</v>
      </c>
      <c r="B1390" s="1" t="str">
        <f>'001'!C1390</f>
        <v>FIJADOR PARA PARED PLAVICON AL AGUA X 10</v>
      </c>
      <c r="C1390" s="1" t="str">
        <f>'001'!D1390</f>
        <v>0139</v>
      </c>
      <c r="D1390" s="3" t="e">
        <f>'001'!H1390</f>
        <v>#VALUE!</v>
      </c>
    </row>
    <row r="1391" spans="1:4" x14ac:dyDescent="0.25">
      <c r="A1391" s="1" t="str">
        <f>'001'!B1391</f>
        <v>001960</v>
      </c>
      <c r="B1391" s="1" t="str">
        <f>'001'!C1391</f>
        <v>FIJADOR PARA PARED PLAVICON AL AGUA X 20</v>
      </c>
      <c r="C1391" s="1" t="str">
        <f>'001'!D1391</f>
        <v>0139</v>
      </c>
      <c r="D1391" s="3" t="e">
        <f>'001'!H1391</f>
        <v>#VALUE!</v>
      </c>
    </row>
    <row r="1392" spans="1:4" x14ac:dyDescent="0.25">
      <c r="A1392" s="1" t="str">
        <f>'001'!B1392</f>
        <v>001961</v>
      </c>
      <c r="B1392" s="1" t="str">
        <f>'001'!C1392</f>
        <v>ENDUIDO INTERIOR PLAVICON X  0,400</v>
      </c>
      <c r="C1392" s="1" t="str">
        <f>'001'!D1392</f>
        <v>0139</v>
      </c>
      <c r="D1392" s="3" t="e">
        <f>'001'!H1392</f>
        <v>#VALUE!</v>
      </c>
    </row>
    <row r="1393" spans="1:4" x14ac:dyDescent="0.25">
      <c r="A1393" s="1" t="str">
        <f>'001'!B1393</f>
        <v>001962</v>
      </c>
      <c r="B1393" s="1" t="str">
        <f>'001'!C1393</f>
        <v>ENDUIDO INTERIOR PLAVICON X  1</v>
      </c>
      <c r="C1393" s="1" t="str">
        <f>'001'!D1393</f>
        <v>0139</v>
      </c>
      <c r="D1393" s="3" t="e">
        <f>'001'!H1393</f>
        <v>#VALUE!</v>
      </c>
    </row>
    <row r="1394" spans="1:4" x14ac:dyDescent="0.25">
      <c r="A1394" s="1" t="str">
        <f>'001'!B1394</f>
        <v>001963</v>
      </c>
      <c r="B1394" s="1" t="str">
        <f>'001'!C1394</f>
        <v>ENDUIDO INTERIOR PLAVICON X  4</v>
      </c>
      <c r="C1394" s="1" t="str">
        <f>'001'!D1394</f>
        <v>0139</v>
      </c>
      <c r="D1394" s="3" t="e">
        <f>'001'!H1394</f>
        <v>#VALUE!</v>
      </c>
    </row>
    <row r="1395" spans="1:4" x14ac:dyDescent="0.25">
      <c r="A1395" s="1" t="str">
        <f>'001'!B1395</f>
        <v>001964</v>
      </c>
      <c r="B1395" s="1" t="str">
        <f>'001'!C1395</f>
        <v>ENDUIDO INTERIOR PLAVICON X 20</v>
      </c>
      <c r="C1395" s="1" t="str">
        <f>'001'!D1395</f>
        <v>0139</v>
      </c>
      <c r="D1395" s="3" t="e">
        <f>'001'!H1395</f>
        <v>#VALUE!</v>
      </c>
    </row>
    <row r="1396" spans="1:4" x14ac:dyDescent="0.25">
      <c r="A1396" s="1" t="str">
        <f>'001'!B1396</f>
        <v>001965</v>
      </c>
      <c r="B1396" s="1" t="str">
        <f>'001'!C1396</f>
        <v>PROTECTOR PARA LADRILLO TERSIDRYL AL AGUA MATE SIN PELICULA X  1</v>
      </c>
      <c r="C1396" s="1" t="str">
        <f>'001'!D1396</f>
        <v>0152</v>
      </c>
      <c r="D1396" s="3" t="e">
        <f>'001'!H1396</f>
        <v>#VALUE!</v>
      </c>
    </row>
    <row r="1397" spans="1:4" x14ac:dyDescent="0.25">
      <c r="A1397" s="1" t="str">
        <f>'001'!B1397</f>
        <v>001966</v>
      </c>
      <c r="B1397" s="1" t="str">
        <f>'001'!C1397</f>
        <v>PROTECTOR PARA LADRILLO TERSIDRYL AL AGUA MATE SIN PELICULA X  4</v>
      </c>
      <c r="C1397" s="1" t="str">
        <f>'001'!D1397</f>
        <v>0152</v>
      </c>
      <c r="D1397" s="3" t="e">
        <f>'001'!H1397</f>
        <v>#VALUE!</v>
      </c>
    </row>
    <row r="1398" spans="1:4" x14ac:dyDescent="0.25">
      <c r="A1398" s="1" t="str">
        <f>'001'!B1398</f>
        <v>001967</v>
      </c>
      <c r="B1398" s="1" t="str">
        <f>'001'!C1398</f>
        <v>PROTECTOR PARA LADRILLO TERSIDRYL AL AGUA MATE SIN PELICULA X 10</v>
      </c>
      <c r="C1398" s="1" t="str">
        <f>'001'!D1398</f>
        <v>0152</v>
      </c>
      <c r="D1398" s="3" t="e">
        <f>'001'!H1398</f>
        <v>#VALUE!</v>
      </c>
    </row>
    <row r="1399" spans="1:4" x14ac:dyDescent="0.25">
      <c r="A1399" s="1" t="str">
        <f>'001'!B1399</f>
        <v>001968</v>
      </c>
      <c r="B1399" s="1" t="str">
        <f>'001'!C1399</f>
        <v>PROTECTOR PARA LADRILLO TERSIDRYL AL AGUA MATE SIN PELICULA X 20</v>
      </c>
      <c r="C1399" s="1" t="str">
        <f>'001'!D1399</f>
        <v>0152</v>
      </c>
      <c r="D1399" s="3" t="e">
        <f>'001'!H1399</f>
        <v>#VALUE!</v>
      </c>
    </row>
    <row r="1400" spans="1:4" x14ac:dyDescent="0.25">
      <c r="A1400" s="1" t="str">
        <f>'001'!B1400</f>
        <v>001969</v>
      </c>
      <c r="B1400" s="1" t="str">
        <f>'001'!C1400</f>
        <v>YESO PROYECTABLE SG TUYANGO X 30KG</v>
      </c>
      <c r="C1400" s="1" t="str">
        <f>'001'!D1400</f>
        <v>0187</v>
      </c>
      <c r="D1400" s="3" t="e">
        <f>'001'!H1400</f>
        <v>#VALUE!</v>
      </c>
    </row>
    <row r="1401" spans="1:4" x14ac:dyDescent="0.25">
      <c r="A1401" s="1" t="str">
        <f>'001'!B1401</f>
        <v>001970</v>
      </c>
      <c r="B1401" s="1" t="str">
        <f>'001'!C1401</f>
        <v>REPARADOR DE PAREDES PLACOMIX INTERIOR X 1KG</v>
      </c>
      <c r="C1401" s="1" t="str">
        <f>'001'!D1401</f>
        <v>0187</v>
      </c>
      <c r="D1401" s="3" t="e">
        <f>'001'!H1401</f>
        <v>#VALUE!</v>
      </c>
    </row>
    <row r="1402" spans="1:4" x14ac:dyDescent="0.25">
      <c r="A1402" s="1" t="str">
        <f>'001'!B1402</f>
        <v>001971</v>
      </c>
      <c r="B1402" s="1" t="str">
        <f>'001'!C1402</f>
        <v>REPARADOR DE PAREDES PLACOMIX INTERIOR X 3,500KG</v>
      </c>
      <c r="C1402" s="1" t="str">
        <f>'001'!D1402</f>
        <v>0187</v>
      </c>
      <c r="D1402" s="3" t="e">
        <f>'001'!H1402</f>
        <v>#VALUE!</v>
      </c>
    </row>
    <row r="1403" spans="1:4" x14ac:dyDescent="0.25">
      <c r="A1403" s="1" t="str">
        <f>'001'!B1403</f>
        <v>001972</v>
      </c>
      <c r="B1403" s="1" t="str">
        <f>'001'!C1403</f>
        <v>REPARADOR DE PAREDES PLACOMIX EXTERIOR X 1KG</v>
      </c>
      <c r="C1403" s="1" t="str">
        <f>'001'!D1403</f>
        <v>0187</v>
      </c>
      <c r="D1403" s="3" t="e">
        <f>'001'!H1403</f>
        <v>#VALUE!</v>
      </c>
    </row>
    <row r="1404" spans="1:4" x14ac:dyDescent="0.25">
      <c r="A1404" s="1" t="str">
        <f>'001'!B1404</f>
        <v>001973</v>
      </c>
      <c r="B1404" s="1" t="str">
        <f>'001'!C1404</f>
        <v>REPARADOR DE PAREDES PLACOMIX EXTERIOR X 3,500KG</v>
      </c>
      <c r="C1404" s="1" t="str">
        <f>'001'!D1404</f>
        <v>0187</v>
      </c>
      <c r="D1404" s="3" t="e">
        <f>'001'!H1404</f>
        <v>#VALUE!</v>
      </c>
    </row>
    <row r="1405" spans="1:4" x14ac:dyDescent="0.25">
      <c r="A1405" s="1" t="str">
        <f>'001'!B1405</f>
        <v>001976</v>
      </c>
      <c r="B1405" s="1" t="str">
        <f>'001'!C1405</f>
        <v>IMPERMEABILIZANTE PARA FRENTES Y MUROS SINTEPLAST PROFESIONAL BLANCO X 25</v>
      </c>
      <c r="C1405" s="1" t="str">
        <f>'001'!D1405</f>
        <v>0150</v>
      </c>
      <c r="D1405" s="3" t="e">
        <f>'001'!H1405</f>
        <v>#VALUE!</v>
      </c>
    </row>
    <row r="1406" spans="1:4" x14ac:dyDescent="0.25">
      <c r="A1406" s="1" t="str">
        <f>'001'!B1406</f>
        <v>001981</v>
      </c>
      <c r="B1406" s="1" t="str">
        <f>'001'!C1406</f>
        <v>PROTECTOR PARA LADRILLO PLAVIPINT SEMIMATE CON PELICULA INCOLORO X  1</v>
      </c>
      <c r="C1406" s="1" t="str">
        <f>'001'!D1406</f>
        <v>0139</v>
      </c>
      <c r="D1406" s="3" t="e">
        <f>'001'!H1406</f>
        <v>#VALUE!</v>
      </c>
    </row>
    <row r="1407" spans="1:4" x14ac:dyDescent="0.25">
      <c r="A1407" s="1" t="str">
        <f>'001'!B1407</f>
        <v>001982</v>
      </c>
      <c r="B1407" s="1" t="str">
        <f>'001'!C1407</f>
        <v>PROTECTOR PARA LADRILLO PLAVIPINT SEMIMATE CON PELICULA INCOLORO X  4</v>
      </c>
      <c r="C1407" s="1" t="str">
        <f>'001'!D1407</f>
        <v>0139</v>
      </c>
      <c r="D1407" s="3" t="e">
        <f>'001'!H1407</f>
        <v>#VALUE!</v>
      </c>
    </row>
    <row r="1408" spans="1:4" x14ac:dyDescent="0.25">
      <c r="A1408" s="1" t="str">
        <f>'001'!B1408</f>
        <v>001983</v>
      </c>
      <c r="B1408" s="1" t="str">
        <f>'001'!C1408</f>
        <v>PROTECTOR PARA LADRILLO PLAVIPINT SEMIMATE CON PELICULA INCOLORO X 10</v>
      </c>
      <c r="C1408" s="1" t="str">
        <f>'001'!D1408</f>
        <v>0139</v>
      </c>
      <c r="D1408" s="3" t="e">
        <f>'001'!H1408</f>
        <v>#VALUE!</v>
      </c>
    </row>
    <row r="1409" spans="1:4" x14ac:dyDescent="0.25">
      <c r="A1409" s="1" t="str">
        <f>'001'!B1409</f>
        <v>001984</v>
      </c>
      <c r="B1409" s="1" t="str">
        <f>'001'!C1409</f>
        <v>PROTECTOR PARA LADRILLO PLAVIPINT SEMIMATE CON PELICULA INCOLORO X 20</v>
      </c>
      <c r="C1409" s="1" t="str">
        <f>'001'!D1409</f>
        <v>0139</v>
      </c>
      <c r="D1409" s="3" t="e">
        <f>'001'!H1409</f>
        <v>#VALUE!</v>
      </c>
    </row>
    <row r="1410" spans="1:4" x14ac:dyDescent="0.25">
      <c r="A1410" s="1" t="str">
        <f>'001'!B1410</f>
        <v>001988</v>
      </c>
      <c r="B1410" s="1" t="str">
        <f>'001'!C1410</f>
        <v>DISCO LIJA DOBLE A GOLD 24K AUF6P P150</v>
      </c>
      <c r="C1410" s="1" t="str">
        <f>'001'!D1410</f>
        <v>0102</v>
      </c>
      <c r="D1410" s="3" t="e">
        <f>'001'!H1410</f>
        <v>#VALUE!</v>
      </c>
    </row>
    <row r="1411" spans="1:4" x14ac:dyDescent="0.25">
      <c r="A1411" s="1" t="str">
        <f>'001'!B1411</f>
        <v>001992</v>
      </c>
      <c r="B1411" s="1" t="str">
        <f>'001'!C1411</f>
        <v>DISCO LIJA DOBLE A GOLD 24K AUF6P P280</v>
      </c>
      <c r="C1411" s="1" t="str">
        <f>'001'!D1411</f>
        <v>0902</v>
      </c>
      <c r="D1411" s="3" t="e">
        <f>'001'!H1411</f>
        <v>#VALUE!</v>
      </c>
    </row>
    <row r="1412" spans="1:4" x14ac:dyDescent="0.25">
      <c r="A1412" s="1" t="str">
        <f>'001'!B1412</f>
        <v>001993</v>
      </c>
      <c r="B1412" s="1" t="str">
        <f>'001'!C1412</f>
        <v>DISCO LIJA DOBLE A GOLD 24K AUF6P P320</v>
      </c>
      <c r="C1412" s="1" t="str">
        <f>'001'!D1412</f>
        <v>0902</v>
      </c>
      <c r="D1412" s="3" t="e">
        <f>'001'!H1412</f>
        <v>#VALUE!</v>
      </c>
    </row>
    <row r="1413" spans="1:4" x14ac:dyDescent="0.25">
      <c r="A1413" s="1" t="str">
        <f>'001'!B1413</f>
        <v>001994</v>
      </c>
      <c r="B1413" s="1" t="str">
        <f>'001'!C1413</f>
        <v>DISCO LIJA DOBLE A GOLD 24K AUF6P P360</v>
      </c>
      <c r="C1413" s="1" t="str">
        <f>'001'!D1413</f>
        <v>0902</v>
      </c>
      <c r="D1413" s="3" t="e">
        <f>'001'!H1413</f>
        <v>#VALUE!</v>
      </c>
    </row>
    <row r="1414" spans="1:4" x14ac:dyDescent="0.25">
      <c r="A1414" s="1" t="str">
        <f>'001'!B1414</f>
        <v>001995</v>
      </c>
      <c r="B1414" s="1" t="str">
        <f>'001'!C1414</f>
        <v>DISCO LIJA DOBLE A GOLD 24K AUF6P P400</v>
      </c>
      <c r="C1414" s="1" t="str">
        <f>'001'!D1414</f>
        <v>0902</v>
      </c>
      <c r="D1414" s="3" t="e">
        <f>'001'!H1414</f>
        <v>#VALUE!</v>
      </c>
    </row>
    <row r="1415" spans="1:4" x14ac:dyDescent="0.25">
      <c r="A1415" s="1" t="str">
        <f>'001'!B1415</f>
        <v>001996</v>
      </c>
      <c r="B1415" s="1" t="str">
        <f>'001'!C1415</f>
        <v>DISCO ULTRA STRIP DOBLE A 115X22</v>
      </c>
      <c r="C1415" s="1" t="str">
        <f>'001'!D1415</f>
        <v>0102</v>
      </c>
      <c r="D1415" s="3" t="e">
        <f>'001'!H1415</f>
        <v>#VALUE!</v>
      </c>
    </row>
    <row r="1416" spans="1:4" x14ac:dyDescent="0.25">
      <c r="A1416" s="1" t="str">
        <f>'001'!B1416</f>
        <v>001997</v>
      </c>
      <c r="B1416" s="1" t="str">
        <f>'001'!C1416</f>
        <v>DISCO LIJA DOBLE A GOLD 24K AUF6P P600</v>
      </c>
      <c r="C1416" s="1" t="str">
        <f>'001'!D1416</f>
        <v>0902</v>
      </c>
      <c r="D1416" s="3" t="e">
        <f>'001'!H1416</f>
        <v>#VALUE!</v>
      </c>
    </row>
    <row r="1417" spans="1:4" x14ac:dyDescent="0.25">
      <c r="A1417" s="1" t="str">
        <f>'001'!B1417</f>
        <v>001998</v>
      </c>
      <c r="B1417" s="1" t="str">
        <f>'001'!C1417</f>
        <v>IMPERMEABILIZANTE PARA MUROS PLAVICON MATE BEIGE X 25</v>
      </c>
      <c r="C1417" s="1" t="str">
        <f>'001'!D1417</f>
        <v>0139</v>
      </c>
      <c r="D1417" s="3" t="e">
        <f>'001'!H1417</f>
        <v>#VALUE!</v>
      </c>
    </row>
    <row r="1418" spans="1:4" x14ac:dyDescent="0.25">
      <c r="A1418" s="1" t="str">
        <f>'001'!B1418</f>
        <v>002000</v>
      </c>
      <c r="B1418" s="1" t="str">
        <f>'001'!C1418</f>
        <v>CL-500 BCO PLENO X 3,5</v>
      </c>
      <c r="C1418" s="1" t="str">
        <f>'001'!D1418</f>
        <v>0132</v>
      </c>
      <c r="D1418" s="3" t="e">
        <f>'001'!H1418</f>
        <v>#VALUE!</v>
      </c>
    </row>
    <row r="1419" spans="1:4" x14ac:dyDescent="0.25">
      <c r="A1419" s="1" t="str">
        <f>'001'!B1419</f>
        <v>002001</v>
      </c>
      <c r="B1419" s="1" t="str">
        <f>'001'!C1419</f>
        <v>CL-502 NEGRO PLENO X 1</v>
      </c>
      <c r="C1419" s="1" t="str">
        <f>'001'!D1419</f>
        <v>0132</v>
      </c>
      <c r="D1419" s="3" t="e">
        <f>'001'!H1419</f>
        <v>#VALUE!</v>
      </c>
    </row>
    <row r="1420" spans="1:4" x14ac:dyDescent="0.25">
      <c r="A1420" s="1" t="str">
        <f>'001'!B1420</f>
        <v>002002</v>
      </c>
      <c r="B1420" s="1" t="str">
        <f>'001'!C1420</f>
        <v>CL-510 AZUL INT X 1</v>
      </c>
      <c r="C1420" s="1" t="str">
        <f>'001'!D1420</f>
        <v>0132</v>
      </c>
      <c r="D1420" s="3" t="e">
        <f>'001'!H1420</f>
        <v>#VALUE!</v>
      </c>
    </row>
    <row r="1421" spans="1:4" x14ac:dyDescent="0.25">
      <c r="A1421" s="1" t="str">
        <f>'001'!B1421</f>
        <v>002003</v>
      </c>
      <c r="B1421" s="1" t="str">
        <f>'001'!C1421</f>
        <v>CL-512 AZUL VERDOSO X 1</v>
      </c>
      <c r="C1421" s="1" t="str">
        <f>'001'!D1421</f>
        <v>0132</v>
      </c>
      <c r="D1421" s="3" t="e">
        <f>'001'!H1421</f>
        <v>#VALUE!</v>
      </c>
    </row>
    <row r="1422" spans="1:4" x14ac:dyDescent="0.25">
      <c r="A1422" s="1" t="str">
        <f>'001'!B1422</f>
        <v>002004</v>
      </c>
      <c r="B1422" s="1" t="str">
        <f>'001'!C1422</f>
        <v>CL-513 VERDE PROFUNDO X 1</v>
      </c>
      <c r="C1422" s="1" t="str">
        <f>'001'!D1422</f>
        <v>0902</v>
      </c>
      <c r="D1422" s="3" t="e">
        <f>'001'!H1422</f>
        <v>#VALUE!</v>
      </c>
    </row>
    <row r="1423" spans="1:4" x14ac:dyDescent="0.25">
      <c r="A1423" s="1" t="str">
        <f>'001'!B1423</f>
        <v>002005</v>
      </c>
      <c r="B1423" s="1" t="str">
        <f>'001'!C1423</f>
        <v>CL-517 VIOLETA PURO X 1</v>
      </c>
      <c r="C1423" s="1" t="str">
        <f>'001'!D1423</f>
        <v>0132</v>
      </c>
      <c r="D1423" s="3" t="e">
        <f>'001'!H1423</f>
        <v>#VALUE!</v>
      </c>
    </row>
    <row r="1424" spans="1:4" x14ac:dyDescent="0.25">
      <c r="A1424" s="1" t="str">
        <f>'001'!B1424</f>
        <v>002006</v>
      </c>
      <c r="B1424" s="1" t="str">
        <f>'001'!C1424</f>
        <v>CL-530 AMARILLO OCRE X 1</v>
      </c>
      <c r="C1424" s="1" t="str">
        <f>'001'!D1424</f>
        <v>0132</v>
      </c>
      <c r="D1424" s="3" t="e">
        <f>'001'!H1424</f>
        <v>#VALUE!</v>
      </c>
    </row>
    <row r="1425" spans="1:4" x14ac:dyDescent="0.25">
      <c r="A1425" s="1" t="str">
        <f>'001'!B1425</f>
        <v>002007</v>
      </c>
      <c r="B1425" s="1" t="str">
        <f>'001'!C1425</f>
        <v>CL-531 ROJO COLORADO X 1</v>
      </c>
      <c r="C1425" s="1" t="str">
        <f>'001'!D1425</f>
        <v>0132</v>
      </c>
      <c r="D1425" s="3" t="e">
        <f>'001'!H1425</f>
        <v>#VALUE!</v>
      </c>
    </row>
    <row r="1426" spans="1:4" x14ac:dyDescent="0.25">
      <c r="A1426" s="1" t="str">
        <f>'001'!B1426</f>
        <v>002008</v>
      </c>
      <c r="B1426" s="1" t="str">
        <f>'001'!C1426</f>
        <v>CL-533 AMARILLO SOL X 1 (DISCONTINUADO)</v>
      </c>
      <c r="C1426" s="1" t="str">
        <f>'001'!D1426</f>
        <v>0132</v>
      </c>
      <c r="D1426" s="3" t="e">
        <f>'001'!H1426</f>
        <v>#VALUE!</v>
      </c>
    </row>
    <row r="1427" spans="1:4" x14ac:dyDescent="0.25">
      <c r="A1427" s="1" t="str">
        <f>'001'!B1427</f>
        <v>002009</v>
      </c>
      <c r="B1427" s="1" t="str">
        <f>'001'!C1427</f>
        <v>CL-535 AMARILLO CITRICO X 1 (DISCONTINUADO)</v>
      </c>
      <c r="C1427" s="1" t="str">
        <f>'001'!D1427</f>
        <v>0132</v>
      </c>
      <c r="D1427" s="3" t="e">
        <f>'001'!H1427</f>
        <v>#VALUE!</v>
      </c>
    </row>
    <row r="1428" spans="1:4" x14ac:dyDescent="0.25">
      <c r="A1428" s="1" t="str">
        <f>'001'!B1428</f>
        <v>002010</v>
      </c>
      <c r="B1428" s="1" t="str">
        <f>'001'!C1428</f>
        <v>CL-537 ROJO FUERTE X 1</v>
      </c>
      <c r="C1428" s="1" t="str">
        <f>'001'!D1428</f>
        <v>0902</v>
      </c>
      <c r="D1428" s="3" t="e">
        <f>'001'!H1428</f>
        <v>#VALUE!</v>
      </c>
    </row>
    <row r="1429" spans="1:4" x14ac:dyDescent="0.25">
      <c r="A1429" s="1" t="str">
        <f>'001'!B1429</f>
        <v>002011</v>
      </c>
      <c r="B1429" s="1" t="str">
        <f>'001'!C1429</f>
        <v>CL-539 ROJO PALIDO X 1</v>
      </c>
      <c r="C1429" s="1" t="str">
        <f>'001'!D1429</f>
        <v>0132</v>
      </c>
      <c r="D1429" s="3" t="e">
        <f>'001'!H1429</f>
        <v>#VALUE!</v>
      </c>
    </row>
    <row r="1430" spans="1:4" x14ac:dyDescent="0.25">
      <c r="A1430" s="1" t="str">
        <f>'001'!B1430</f>
        <v>002012</v>
      </c>
      <c r="B1430" s="1" t="str">
        <f>'001'!C1430</f>
        <v>CL-542 NARANJA FUEGO X 1  (DISCONTINUADO)</v>
      </c>
      <c r="C1430" s="1" t="str">
        <f>'001'!D1430</f>
        <v>0132</v>
      </c>
      <c r="D1430" s="3" t="e">
        <f>'001'!H1430</f>
        <v>#VALUE!</v>
      </c>
    </row>
    <row r="1431" spans="1:4" x14ac:dyDescent="0.25">
      <c r="A1431" s="1" t="str">
        <f>'001'!B1431</f>
        <v>002013</v>
      </c>
      <c r="B1431" s="1" t="str">
        <f>'001'!C1431</f>
        <v>CL-544 AMARILLO MEDIO X 1 (DISCONTINUADO)</v>
      </c>
      <c r="C1431" s="1" t="str">
        <f>'001'!D1431</f>
        <v>0132</v>
      </c>
      <c r="D1431" s="3" t="e">
        <f>'001'!H1431</f>
        <v>#VALUE!</v>
      </c>
    </row>
    <row r="1432" spans="1:4" x14ac:dyDescent="0.25">
      <c r="A1432" s="1" t="str">
        <f>'001'!B1432</f>
        <v>002014</v>
      </c>
      <c r="B1432" s="1" t="str">
        <f>'001'!C1432</f>
        <v>CL-546 BORDO X 1</v>
      </c>
      <c r="C1432" s="1" t="str">
        <f>'001'!D1432</f>
        <v>0132</v>
      </c>
      <c r="D1432" s="3" t="e">
        <f>'001'!H1432</f>
        <v>#VALUE!</v>
      </c>
    </row>
    <row r="1433" spans="1:4" x14ac:dyDescent="0.25">
      <c r="A1433" s="1" t="str">
        <f>'001'!B1433</f>
        <v>002015</v>
      </c>
      <c r="B1433" s="1" t="str">
        <f>'001'!C1433</f>
        <v>CL-548 ROJO INT X 1</v>
      </c>
      <c r="C1433" s="1" t="str">
        <f>'001'!D1433</f>
        <v>0132</v>
      </c>
      <c r="D1433" s="3" t="e">
        <f>'001'!H1433</f>
        <v>#VALUE!</v>
      </c>
    </row>
    <row r="1434" spans="1:4" x14ac:dyDescent="0.25">
      <c r="A1434" s="1" t="str">
        <f>'001'!B1434</f>
        <v>002016</v>
      </c>
      <c r="B1434" s="1" t="str">
        <f>'001'!C1434</f>
        <v>CL-549 ROSA X 1</v>
      </c>
      <c r="C1434" s="1" t="str">
        <f>'001'!D1434</f>
        <v>0132</v>
      </c>
      <c r="D1434" s="3" t="e">
        <f>'001'!H1434</f>
        <v>#VALUE!</v>
      </c>
    </row>
    <row r="1435" spans="1:4" x14ac:dyDescent="0.25">
      <c r="A1435" s="1" t="str">
        <f>'001'!B1435</f>
        <v>002017</v>
      </c>
      <c r="B1435" s="1" t="str">
        <f>'001'!C1435</f>
        <v>CL-550 AZUL PURO X 1</v>
      </c>
      <c r="C1435" s="1" t="str">
        <f>'001'!D1435</f>
        <v>0132</v>
      </c>
      <c r="D1435" s="3" t="e">
        <f>'001'!H1435</f>
        <v>#VALUE!</v>
      </c>
    </row>
    <row r="1436" spans="1:4" x14ac:dyDescent="0.25">
      <c r="A1436" s="1" t="str">
        <f>'001'!B1436</f>
        <v>002018</v>
      </c>
      <c r="B1436" s="1" t="str">
        <f>'001'!C1436</f>
        <v>CL-551 NARANJA SOL X 1 (DISCONTINUADO)</v>
      </c>
      <c r="C1436" s="1" t="str">
        <f>'001'!D1436</f>
        <v>0132</v>
      </c>
      <c r="D1436" s="3" t="e">
        <f>'001'!H1436</f>
        <v>#VALUE!</v>
      </c>
    </row>
    <row r="1437" spans="1:4" x14ac:dyDescent="0.25">
      <c r="A1437" s="1" t="str">
        <f>'001'!B1437</f>
        <v>002019</v>
      </c>
      <c r="B1437" s="1" t="str">
        <f>'001'!C1437</f>
        <v>CL-553 VERDE PURO X 1</v>
      </c>
      <c r="C1437" s="1" t="str">
        <f>'001'!D1437</f>
        <v>0132</v>
      </c>
      <c r="D1437" s="3" t="e">
        <f>'001'!H1437</f>
        <v>#VALUE!</v>
      </c>
    </row>
    <row r="1438" spans="1:4" x14ac:dyDescent="0.25">
      <c r="A1438" s="1" t="str">
        <f>'001'!B1438</f>
        <v>002020</v>
      </c>
      <c r="B1438" s="1" t="str">
        <f>'001'!C1438</f>
        <v>CL-554 ROJO CORAL X 1</v>
      </c>
      <c r="C1438" s="1" t="str">
        <f>'001'!D1438</f>
        <v>0132</v>
      </c>
      <c r="D1438" s="3" t="e">
        <f>'001'!H1438</f>
        <v>#VALUE!</v>
      </c>
    </row>
    <row r="1439" spans="1:4" x14ac:dyDescent="0.25">
      <c r="A1439" s="1" t="str">
        <f>'001'!B1439</f>
        <v>002021</v>
      </c>
      <c r="B1439" s="1" t="str">
        <f>'001'!C1439</f>
        <v>CL-555 ROJO FUEGO X 1</v>
      </c>
      <c r="C1439" s="1" t="str">
        <f>'001'!D1439</f>
        <v>0132</v>
      </c>
      <c r="D1439" s="3" t="e">
        <f>'001'!H1439</f>
        <v>#VALUE!</v>
      </c>
    </row>
    <row r="1440" spans="1:4" x14ac:dyDescent="0.25">
      <c r="A1440" s="1" t="str">
        <f>'001'!B1440</f>
        <v>002022</v>
      </c>
      <c r="B1440" s="1" t="str">
        <f>'001'!C1440</f>
        <v>CL-556 AMARILLO LIMON X 1</v>
      </c>
      <c r="C1440" s="1" t="str">
        <f>'001'!D1440</f>
        <v>0132</v>
      </c>
      <c r="D1440" s="3" t="e">
        <f>'001'!H1440</f>
        <v>#VALUE!</v>
      </c>
    </row>
    <row r="1441" spans="1:4" x14ac:dyDescent="0.25">
      <c r="A1441" s="1" t="str">
        <f>'001'!B1441</f>
        <v>002023</v>
      </c>
      <c r="B1441" s="1" t="str">
        <f>'001'!C1441</f>
        <v>CM-007 NEGRO INT X 1</v>
      </c>
      <c r="C1441" s="1" t="str">
        <f>'001'!D1441</f>
        <v>0132</v>
      </c>
      <c r="D1441" s="3" t="e">
        <f>'001'!H1441</f>
        <v>#VALUE!</v>
      </c>
    </row>
    <row r="1442" spans="1:4" x14ac:dyDescent="0.25">
      <c r="A1442" s="1" t="str">
        <f>'001'!B1442</f>
        <v>002024</v>
      </c>
      <c r="B1442" s="1" t="str">
        <f>'001'!C1442</f>
        <v>CM-105 ALUMINIO MEDIO BRILL X 1</v>
      </c>
      <c r="C1442" s="1" t="str">
        <f>'001'!D1442</f>
        <v>0132</v>
      </c>
      <c r="D1442" s="3" t="e">
        <f>'001'!H1442</f>
        <v>#VALUE!</v>
      </c>
    </row>
    <row r="1443" spans="1:4" x14ac:dyDescent="0.25">
      <c r="A1443" s="1" t="str">
        <f>'001'!B1443</f>
        <v>002025</v>
      </c>
      <c r="B1443" s="1" t="str">
        <f>'001'!C1443</f>
        <v>CM-016 AZUL LUMINOSO BRILL X 1 (DISCONTINUADO)</v>
      </c>
      <c r="C1443" s="1" t="str">
        <f>'001'!D1443</f>
        <v>0132</v>
      </c>
      <c r="D1443" s="3" t="e">
        <f>'001'!H1443</f>
        <v>#VALUE!</v>
      </c>
    </row>
    <row r="1444" spans="1:4" x14ac:dyDescent="0.25">
      <c r="A1444" s="1" t="str">
        <f>'001'!B1444</f>
        <v>002026</v>
      </c>
      <c r="B1444" s="1" t="str">
        <f>'001'!C1444</f>
        <v>CM-019 AZUL OSCURO PROFUNDO X 1</v>
      </c>
      <c r="C1444" s="1" t="str">
        <f>'001'!D1444</f>
        <v>0132</v>
      </c>
      <c r="D1444" s="3" t="e">
        <f>'001'!H1444</f>
        <v>#VALUE!</v>
      </c>
    </row>
    <row r="1445" spans="1:4" x14ac:dyDescent="0.25">
      <c r="A1445" s="1" t="str">
        <f>'001'!B1445</f>
        <v>002027</v>
      </c>
      <c r="B1445" s="1" t="str">
        <f>'001'!C1445</f>
        <v>CM-202 PERLADO BCO FINO X 1</v>
      </c>
      <c r="C1445" s="1" t="str">
        <f>'001'!D1445</f>
        <v>0132</v>
      </c>
      <c r="D1445" s="3" t="e">
        <f>'001'!H1445</f>
        <v>#VALUE!</v>
      </c>
    </row>
    <row r="1446" spans="1:4" x14ac:dyDescent="0.25">
      <c r="A1446" s="1" t="str">
        <f>'001'!B1446</f>
        <v>002028</v>
      </c>
      <c r="B1446" s="1" t="str">
        <f>'001'!C1446</f>
        <v>CM-203 PERLADO PLATA LUMINOSO X 1</v>
      </c>
      <c r="C1446" s="1" t="str">
        <f>'001'!D1446</f>
        <v>0132</v>
      </c>
      <c r="D1446" s="3" t="e">
        <f>'001'!H1446</f>
        <v>#VALUE!</v>
      </c>
    </row>
    <row r="1447" spans="1:4" x14ac:dyDescent="0.25">
      <c r="A1447" s="1" t="str">
        <f>'001'!B1447</f>
        <v>002029</v>
      </c>
      <c r="B1447" s="1" t="str">
        <f>'001'!C1447</f>
        <v>CM-100 ALUMINIO EXTRA FINO X 3,5</v>
      </c>
      <c r="C1447" s="1" t="str">
        <f>'001'!D1447</f>
        <v>0132</v>
      </c>
      <c r="D1447" s="3" t="e">
        <f>'001'!H1447</f>
        <v>#VALUE!</v>
      </c>
    </row>
    <row r="1448" spans="1:4" x14ac:dyDescent="0.25">
      <c r="A1448" s="1" t="str">
        <f>'001'!B1448</f>
        <v>002030</v>
      </c>
      <c r="B1448" s="1" t="str">
        <f>'001'!C1448</f>
        <v>CM-106 ALUMINIO MEDIO LUMINOSO X 1</v>
      </c>
      <c r="C1448" s="1" t="str">
        <f>'001'!D1448</f>
        <v>0132</v>
      </c>
      <c r="D1448" s="3" t="e">
        <f>'001'!H1448</f>
        <v>#VALUE!</v>
      </c>
    </row>
    <row r="1449" spans="1:4" x14ac:dyDescent="0.25">
      <c r="A1449" s="1" t="str">
        <f>'001'!B1449</f>
        <v>002031</v>
      </c>
      <c r="B1449" s="1" t="str">
        <f>'001'!C1449</f>
        <v>CM-103 ALUMINIO GRUESO LUMINOSO X 1</v>
      </c>
      <c r="C1449" s="1" t="str">
        <f>'001'!D1449</f>
        <v>0132</v>
      </c>
      <c r="D1449" s="3" t="e">
        <f>'001'!H1449</f>
        <v>#VALUE!</v>
      </c>
    </row>
    <row r="1450" spans="1:4" x14ac:dyDescent="0.25">
      <c r="A1450" s="1" t="str">
        <f>'001'!B1450</f>
        <v>002032</v>
      </c>
      <c r="B1450" s="1" t="str">
        <f>'001'!C1450</f>
        <v>CM-102 ALUMINIO GRUESO X 3,5</v>
      </c>
      <c r="C1450" s="1" t="str">
        <f>'001'!D1450</f>
        <v>0132</v>
      </c>
      <c r="D1450" s="3" t="e">
        <f>'001'!H1450</f>
        <v>#VALUE!</v>
      </c>
    </row>
    <row r="1451" spans="1:4" x14ac:dyDescent="0.25">
      <c r="A1451" s="1" t="str">
        <f>'001'!B1451</f>
        <v>002033</v>
      </c>
      <c r="B1451" s="1" t="str">
        <f>'001'!C1451</f>
        <v>CM-002 NEGRO X 3,5</v>
      </c>
      <c r="C1451" s="1" t="str">
        <f>'001'!D1451</f>
        <v>0132</v>
      </c>
      <c r="D1451" s="3" t="e">
        <f>'001'!H1451</f>
        <v>#VALUE!</v>
      </c>
    </row>
    <row r="1452" spans="1:4" x14ac:dyDescent="0.25">
      <c r="A1452" s="1" t="str">
        <f>'001'!B1452</f>
        <v>002034</v>
      </c>
      <c r="B1452" s="1" t="str">
        <f>'001'!C1452</f>
        <v>CM-062 VERDE OSCURO X 1</v>
      </c>
      <c r="C1452" s="1" t="str">
        <f>'001'!D1452</f>
        <v>0132</v>
      </c>
      <c r="D1452" s="3" t="e">
        <f>'001'!H1452</f>
        <v>#VALUE!</v>
      </c>
    </row>
    <row r="1453" spans="1:4" x14ac:dyDescent="0.25">
      <c r="A1453" s="1" t="str">
        <f>'001'!B1453</f>
        <v>002035</v>
      </c>
      <c r="B1453" s="1" t="str">
        <f>'001'!C1453</f>
        <v>CM-063 AMARILLO ESVERDEADO X 1</v>
      </c>
      <c r="C1453" s="1" t="str">
        <f>'001'!D1453</f>
        <v>0132</v>
      </c>
      <c r="D1453" s="3" t="e">
        <f>'001'!H1453</f>
        <v>#VALUE!</v>
      </c>
    </row>
    <row r="1454" spans="1:4" x14ac:dyDescent="0.25">
      <c r="A1454" s="1" t="str">
        <f>'001'!B1454</f>
        <v>002036</v>
      </c>
      <c r="B1454" s="1" t="str">
        <f>'001'!C1454</f>
        <v>CM-064 ROJO X 1 (DISCONTINUADO)</v>
      </c>
      <c r="C1454" s="1" t="str">
        <f>'001'!D1454</f>
        <v>0132</v>
      </c>
      <c r="D1454" s="3" t="e">
        <f>'001'!H1454</f>
        <v>#VALUE!</v>
      </c>
    </row>
    <row r="1455" spans="1:4" x14ac:dyDescent="0.25">
      <c r="A1455" s="1" t="str">
        <f>'001'!B1455</f>
        <v>002037</v>
      </c>
      <c r="B1455" s="1" t="str">
        <f>'001'!C1455</f>
        <v>CM-065 AZUL BRILL X 1</v>
      </c>
      <c r="C1455" s="1" t="str">
        <f>'001'!D1455</f>
        <v>0132</v>
      </c>
      <c r="D1455" s="3" t="e">
        <f>'001'!H1455</f>
        <v>#VALUE!</v>
      </c>
    </row>
    <row r="1456" spans="1:4" x14ac:dyDescent="0.25">
      <c r="A1456" s="1" t="str">
        <f>'001'!B1456</f>
        <v>002039</v>
      </c>
      <c r="B1456" s="1" t="str">
        <f>'001'!C1456</f>
        <v>CM-068 MAGENTA OSCURO X 1</v>
      </c>
      <c r="C1456" s="1" t="str">
        <f>'001'!D1456</f>
        <v>0132</v>
      </c>
      <c r="D1456" s="3" t="e">
        <f>'001'!H1456</f>
        <v>#VALUE!</v>
      </c>
    </row>
    <row r="1457" spans="1:4" x14ac:dyDescent="0.25">
      <c r="A1457" s="1" t="str">
        <f>'001'!B1457</f>
        <v>002040</v>
      </c>
      <c r="B1457" s="1" t="str">
        <f>'001'!C1457</f>
        <v>CM-107 ALUMINIO FINO BRILL X 1</v>
      </c>
      <c r="C1457" s="1" t="str">
        <f>'001'!D1457</f>
        <v>0132</v>
      </c>
      <c r="D1457" s="3" t="e">
        <f>'001'!H1457</f>
        <v>#VALUE!</v>
      </c>
    </row>
    <row r="1458" spans="1:4" x14ac:dyDescent="0.25">
      <c r="A1458" s="1" t="str">
        <f>'001'!B1458</f>
        <v>002041</v>
      </c>
      <c r="B1458" s="1" t="str">
        <f>'001'!C1458</f>
        <v>CM-206 PERLADO VIOLEA X 1</v>
      </c>
      <c r="C1458" s="1" t="str">
        <f>'001'!D1458</f>
        <v>0132</v>
      </c>
      <c r="D1458" s="3" t="e">
        <f>'001'!H1458</f>
        <v>#VALUE!</v>
      </c>
    </row>
    <row r="1459" spans="1:4" x14ac:dyDescent="0.25">
      <c r="A1459" s="1" t="str">
        <f>'001'!B1459</f>
        <v>002042</v>
      </c>
      <c r="B1459" s="1" t="str">
        <f>'001'!C1459</f>
        <v>CM-207 B MATIZANTE X 1</v>
      </c>
      <c r="C1459" s="1" t="str">
        <f>'001'!D1459</f>
        <v>0132</v>
      </c>
      <c r="D1459" s="3" t="e">
        <f>'001'!H1459</f>
        <v>#VALUE!</v>
      </c>
    </row>
    <row r="1460" spans="1:4" x14ac:dyDescent="0.25">
      <c r="A1460" s="1" t="str">
        <f>'001'!B1460</f>
        <v>002043</v>
      </c>
      <c r="B1460" s="1" t="str">
        <f>'001'!C1460</f>
        <v>CM-011 AZUL FTALO X 1</v>
      </c>
      <c r="C1460" s="1" t="str">
        <f>'001'!D1460</f>
        <v>0132</v>
      </c>
      <c r="D1460" s="3" t="e">
        <f>'001'!H1460</f>
        <v>#VALUE!</v>
      </c>
    </row>
    <row r="1461" spans="1:4" x14ac:dyDescent="0.25">
      <c r="A1461" s="1" t="str">
        <f>'001'!B1461</f>
        <v>002044</v>
      </c>
      <c r="B1461" s="1" t="str">
        <f>'001'!C1461</f>
        <v>CM-010 AZUL ROJIZO X 1</v>
      </c>
      <c r="C1461" s="1" t="str">
        <f>'001'!D1461</f>
        <v>0132</v>
      </c>
      <c r="D1461" s="3" t="e">
        <f>'001'!H1461</f>
        <v>#VALUE!</v>
      </c>
    </row>
    <row r="1462" spans="1:4" x14ac:dyDescent="0.25">
      <c r="A1462" s="1" t="str">
        <f>'001'!B1462</f>
        <v>002045</v>
      </c>
      <c r="B1462" s="1" t="str">
        <f>'001'!C1462</f>
        <v>CM-015 VIOLETA X 1</v>
      </c>
      <c r="C1462" s="1" t="str">
        <f>'001'!D1462</f>
        <v>0132</v>
      </c>
      <c r="D1462" s="3" t="e">
        <f>'001'!H1462</f>
        <v>#VALUE!</v>
      </c>
    </row>
    <row r="1463" spans="1:4" x14ac:dyDescent="0.25">
      <c r="A1463" s="1" t="str">
        <f>'001'!B1463</f>
        <v>002046</v>
      </c>
      <c r="B1463" s="1" t="str">
        <f>'001'!C1463</f>
        <v>CM-209 DORADO PERLADO X 1</v>
      </c>
      <c r="C1463" s="1" t="str">
        <f>'001'!D1463</f>
        <v>0132</v>
      </c>
      <c r="D1463" s="3" t="e">
        <f>'001'!H1463</f>
        <v>#VALUE!</v>
      </c>
    </row>
    <row r="1464" spans="1:4" x14ac:dyDescent="0.25">
      <c r="A1464" s="1" t="str">
        <f>'001'!B1464</f>
        <v>002047</v>
      </c>
      <c r="B1464" s="1" t="str">
        <f>'001'!C1464</f>
        <v>CM-200 PERLADO AZUL FINO X 1</v>
      </c>
      <c r="C1464" s="1" t="str">
        <f>'001'!D1464</f>
        <v>0132</v>
      </c>
      <c r="D1464" s="3" t="e">
        <f>'001'!H1464</f>
        <v>#VALUE!</v>
      </c>
    </row>
    <row r="1465" spans="1:4" x14ac:dyDescent="0.25">
      <c r="A1465" s="1" t="str">
        <f>'001'!B1465</f>
        <v>002048</v>
      </c>
      <c r="B1465" s="1" t="str">
        <f>'001'!C1465</f>
        <v>CM-201 PERLADO AZUL SUPER X 1</v>
      </c>
      <c r="C1465" s="1" t="str">
        <f>'001'!D1465</f>
        <v>0132</v>
      </c>
      <c r="D1465" s="3" t="e">
        <f>'001'!H1465</f>
        <v>#VALUE!</v>
      </c>
    </row>
    <row r="1466" spans="1:4" x14ac:dyDescent="0.25">
      <c r="A1466" s="1" t="str">
        <f>'001'!B1466</f>
        <v>002049</v>
      </c>
      <c r="B1466" s="1" t="str">
        <f>'001'!C1466</f>
        <v>CM-212 DORADO SUPER PERLADO X 1</v>
      </c>
      <c r="C1466" s="1" t="str">
        <f>'001'!D1466</f>
        <v>0132</v>
      </c>
      <c r="D1466" s="3" t="e">
        <f>'001'!H1466</f>
        <v>#VALUE!</v>
      </c>
    </row>
    <row r="1467" spans="1:4" x14ac:dyDescent="0.25">
      <c r="A1467" s="1" t="str">
        <f>'001'!B1467</f>
        <v>002050</v>
      </c>
      <c r="B1467" s="1" t="str">
        <f>'001'!C1467</f>
        <v>CM-213 PERLADO AMARILLO X 1</v>
      </c>
      <c r="C1467" s="1" t="str">
        <f>'001'!D1467</f>
        <v>0132</v>
      </c>
      <c r="D1467" s="3" t="e">
        <f>'001'!H1467</f>
        <v>#VALUE!</v>
      </c>
    </row>
    <row r="1468" spans="1:4" x14ac:dyDescent="0.25">
      <c r="A1468" s="1" t="str">
        <f>'001'!B1468</f>
        <v>002051</v>
      </c>
      <c r="B1468" s="1" t="str">
        <f>'001'!C1468</f>
        <v>CM-214 VERDE PERLADO X 1</v>
      </c>
      <c r="C1468" s="1" t="str">
        <f>'001'!D1468</f>
        <v>0132</v>
      </c>
      <c r="D1468" s="3" t="e">
        <f>'001'!H1468</f>
        <v>#VALUE!</v>
      </c>
    </row>
    <row r="1469" spans="1:4" x14ac:dyDescent="0.25">
      <c r="A1469" s="1" t="str">
        <f>'001'!B1469</f>
        <v>002052</v>
      </c>
      <c r="B1469" s="1" t="str">
        <f>'001'!C1469</f>
        <v>CM-060 BORDO X 1</v>
      </c>
      <c r="C1469" s="1" t="str">
        <f>'001'!D1469</f>
        <v>0132</v>
      </c>
      <c r="D1469" s="3" t="e">
        <f>'001'!H1469</f>
        <v>#VALUE!</v>
      </c>
    </row>
    <row r="1470" spans="1:4" x14ac:dyDescent="0.25">
      <c r="A1470" s="1" t="str">
        <f>'001'!B1470</f>
        <v>002053</v>
      </c>
      <c r="B1470" s="1" t="str">
        <f>'001'!C1470</f>
        <v>CM-204 PERLADO ROJO FINO X 1</v>
      </c>
      <c r="C1470" s="1" t="str">
        <f>'001'!D1470</f>
        <v>0132</v>
      </c>
      <c r="D1470" s="3" t="e">
        <f>'001'!H1470</f>
        <v>#VALUE!</v>
      </c>
    </row>
    <row r="1471" spans="1:4" x14ac:dyDescent="0.25">
      <c r="A1471" s="1" t="str">
        <f>'001'!B1471</f>
        <v>002054</v>
      </c>
      <c r="B1471" s="1" t="str">
        <f>'001'!C1471</f>
        <v>CM-205 PERLADO ROJO SUPER X 1</v>
      </c>
      <c r="C1471" s="1" t="str">
        <f>'001'!D1471</f>
        <v>0132</v>
      </c>
      <c r="D1471" s="3" t="e">
        <f>'001'!H1471</f>
        <v>#VALUE!</v>
      </c>
    </row>
    <row r="1472" spans="1:4" x14ac:dyDescent="0.25">
      <c r="A1472" s="1" t="str">
        <f>'001'!B1472</f>
        <v>002055</v>
      </c>
      <c r="B1472" s="1" t="str">
        <f>'001'!C1472</f>
        <v>CM-001 BCO X 1</v>
      </c>
      <c r="C1472" s="1" t="str">
        <f>'001'!D1472</f>
        <v>0132</v>
      </c>
      <c r="D1472" s="3" t="e">
        <f>'001'!H1472</f>
        <v>#VALUE!</v>
      </c>
    </row>
    <row r="1473" spans="1:4" x14ac:dyDescent="0.25">
      <c r="A1473" s="1" t="str">
        <f>'001'!B1473</f>
        <v>002056</v>
      </c>
      <c r="B1473" s="1" t="str">
        <f>'001'!C1473</f>
        <v>CM-042 ROJO TRANSP X 1</v>
      </c>
      <c r="C1473" s="1" t="str">
        <f>'001'!D1473</f>
        <v>0132</v>
      </c>
      <c r="D1473" s="3" t="e">
        <f>'001'!H1473</f>
        <v>#VALUE!</v>
      </c>
    </row>
    <row r="1474" spans="1:4" x14ac:dyDescent="0.25">
      <c r="A1474" s="1" t="str">
        <f>'001'!B1474</f>
        <v>002057</v>
      </c>
      <c r="B1474" s="1" t="str">
        <f>'001'!C1474</f>
        <v>CM-040 ROJO RUBI X 1 (DISCONTINUADO)</v>
      </c>
      <c r="C1474" s="1" t="str">
        <f>'001'!D1474</f>
        <v>0132</v>
      </c>
      <c r="D1474" s="3" t="e">
        <f>'001'!H1474</f>
        <v>#VALUE!</v>
      </c>
    </row>
    <row r="1475" spans="1:4" x14ac:dyDescent="0.25">
      <c r="A1475" s="1" t="str">
        <f>'001'!B1475</f>
        <v>002058</v>
      </c>
      <c r="B1475" s="1" t="str">
        <f>'001'!C1475</f>
        <v>CM-074 ROJO FUERTE X 1</v>
      </c>
      <c r="C1475" s="1" t="str">
        <f>'001'!D1475</f>
        <v>0132</v>
      </c>
      <c r="D1475" s="3" t="e">
        <f>'001'!H1475</f>
        <v>#VALUE!</v>
      </c>
    </row>
    <row r="1476" spans="1:4" x14ac:dyDescent="0.25">
      <c r="A1476" s="1" t="str">
        <f>'001'!B1476</f>
        <v>002059</v>
      </c>
      <c r="B1476" s="1" t="str">
        <f>'001'!C1476</f>
        <v>CM-043 ROJO VIVO X 1</v>
      </c>
      <c r="C1476" s="1" t="str">
        <f>'001'!D1476</f>
        <v>0132</v>
      </c>
      <c r="D1476" s="3" t="e">
        <f>'001'!H1476</f>
        <v>#VALUE!</v>
      </c>
    </row>
    <row r="1477" spans="1:4" x14ac:dyDescent="0.25">
      <c r="A1477" s="1" t="str">
        <f>'001'!B1477</f>
        <v>002060</v>
      </c>
      <c r="B1477" s="1" t="str">
        <f>'001'!C1477</f>
        <v>CM-003 BCO NIEVE X 1</v>
      </c>
      <c r="C1477" s="1" t="str">
        <f>'001'!D1477</f>
        <v>0132</v>
      </c>
      <c r="D1477" s="3" t="e">
        <f>'001'!H1477</f>
        <v>#VALUE!</v>
      </c>
    </row>
    <row r="1478" spans="1:4" x14ac:dyDescent="0.25">
      <c r="A1478" s="1" t="str">
        <f>'001'!B1478</f>
        <v>002061</v>
      </c>
      <c r="B1478" s="1" t="str">
        <f>'001'!C1478</f>
        <v>CM-038 ROJO OXIDO X 1</v>
      </c>
      <c r="C1478" s="1" t="str">
        <f>'001'!D1478</f>
        <v>0132</v>
      </c>
      <c r="D1478" s="3" t="e">
        <f>'001'!H1478</f>
        <v>#VALUE!</v>
      </c>
    </row>
    <row r="1479" spans="1:4" x14ac:dyDescent="0.25">
      <c r="A1479" s="1" t="str">
        <f>'001'!B1479</f>
        <v>002062</v>
      </c>
      <c r="B1479" s="1" t="str">
        <f>'001'!C1479</f>
        <v>CM-073 MARRON PERMANENTE X 1 (DISCONTINUADO)</v>
      </c>
      <c r="C1479" s="1" t="str">
        <f>'001'!D1479</f>
        <v>0132</v>
      </c>
      <c r="D1479" s="3" t="e">
        <f>'001'!H1479</f>
        <v>#VALUE!</v>
      </c>
    </row>
    <row r="1480" spans="1:4" x14ac:dyDescent="0.25">
      <c r="A1480" s="1" t="str">
        <f>'001'!B1480</f>
        <v>002063</v>
      </c>
      <c r="B1480" s="1" t="str">
        <f>'001'!C1480</f>
        <v>CM-033 AMARILLO TRANSP X 1</v>
      </c>
      <c r="C1480" s="1" t="str">
        <f>'001'!D1480</f>
        <v>0132</v>
      </c>
      <c r="D1480" s="3" t="e">
        <f>'001'!H1480</f>
        <v>#VALUE!</v>
      </c>
    </row>
    <row r="1481" spans="1:4" x14ac:dyDescent="0.25">
      <c r="A1481" s="1" t="str">
        <f>'001'!B1481</f>
        <v>002064</v>
      </c>
      <c r="B1481" s="1" t="str">
        <f>'001'!C1481</f>
        <v>CM-031 AMARILLO ORO X 1</v>
      </c>
      <c r="C1481" s="1" t="str">
        <f>'001'!D1481</f>
        <v>0132</v>
      </c>
      <c r="D1481" s="3" t="e">
        <f>'001'!H1481</f>
        <v>#VALUE!</v>
      </c>
    </row>
    <row r="1482" spans="1:4" x14ac:dyDescent="0.25">
      <c r="A1482" s="1" t="str">
        <f>'001'!B1482</f>
        <v>002065</v>
      </c>
      <c r="B1482" s="1" t="str">
        <f>'001'!C1482</f>
        <v>CR-600 NEGRO REDUCIDO X 1</v>
      </c>
      <c r="C1482" s="1" t="str">
        <f>'001'!D1482</f>
        <v>0132</v>
      </c>
      <c r="D1482" s="3" t="e">
        <f>'001'!H1482</f>
        <v>#VALUE!</v>
      </c>
    </row>
    <row r="1483" spans="1:4" x14ac:dyDescent="0.25">
      <c r="A1483" s="1" t="str">
        <f>'001'!B1483</f>
        <v>002066</v>
      </c>
      <c r="B1483" s="1" t="str">
        <f>'001'!C1483</f>
        <v>CR-601 AZUL REDUCIDO X 1 (DISCONTINUADO)</v>
      </c>
      <c r="C1483" s="1" t="str">
        <f>'001'!D1483</f>
        <v>0132</v>
      </c>
      <c r="D1483" s="3" t="e">
        <f>'001'!H1483</f>
        <v>#VALUE!</v>
      </c>
    </row>
    <row r="1484" spans="1:4" x14ac:dyDescent="0.25">
      <c r="A1484" s="1" t="str">
        <f>'001'!B1484</f>
        <v>002067</v>
      </c>
      <c r="B1484" s="1" t="str">
        <f>'001'!C1484</f>
        <v>CR-602 ROJO REDUCIDO X 1 (DISCONTINUADO)</v>
      </c>
      <c r="C1484" s="1" t="str">
        <f>'001'!D1484</f>
        <v>0132</v>
      </c>
      <c r="D1484" s="3" t="e">
        <f>'001'!H1484</f>
        <v>#VALUE!</v>
      </c>
    </row>
    <row r="1485" spans="1:4" x14ac:dyDescent="0.25">
      <c r="A1485" s="1" t="str">
        <f>'001'!B1485</f>
        <v>002068</v>
      </c>
      <c r="B1485" s="1" t="str">
        <f>'001'!C1485</f>
        <v>CR-603 AMARILLO REDUCIDO X 1 (DISCONTINUADO)</v>
      </c>
      <c r="C1485" s="1" t="str">
        <f>'001'!D1485</f>
        <v>0132</v>
      </c>
      <c r="D1485" s="3" t="e">
        <f>'001'!H1485</f>
        <v>#VALUE!</v>
      </c>
    </row>
    <row r="1486" spans="1:4" x14ac:dyDescent="0.25">
      <c r="A1486" s="1" t="str">
        <f>'001'!B1486</f>
        <v>002069</v>
      </c>
      <c r="B1486" s="1" t="str">
        <f>'001'!C1486</f>
        <v>CM-017 VERDE BRILL X 1</v>
      </c>
      <c r="C1486" s="1" t="str">
        <f>'001'!D1486</f>
        <v>0132</v>
      </c>
      <c r="D1486" s="3" t="e">
        <f>'001'!H1486</f>
        <v>#VALUE!</v>
      </c>
    </row>
    <row r="1487" spans="1:4" x14ac:dyDescent="0.25">
      <c r="A1487" s="1" t="str">
        <f>'001'!B1487</f>
        <v>002070</v>
      </c>
      <c r="B1487" s="1" t="str">
        <f>'001'!C1487</f>
        <v>CM-035 ROJO BRILL X 1</v>
      </c>
      <c r="C1487" s="1" t="str">
        <f>'001'!D1487</f>
        <v>0132</v>
      </c>
      <c r="D1487" s="3" t="e">
        <f>'001'!H1487</f>
        <v>#VALUE!</v>
      </c>
    </row>
    <row r="1488" spans="1:4" x14ac:dyDescent="0.25">
      <c r="A1488" s="1" t="str">
        <f>'001'!B1488</f>
        <v>002071</v>
      </c>
      <c r="B1488" s="1" t="str">
        <f>'001'!C1488</f>
        <v>CM-050 CASTANO X 1 (DISCONTINUADO)</v>
      </c>
      <c r="C1488" s="1" t="str">
        <f>'001'!D1488</f>
        <v>0132</v>
      </c>
      <c r="D1488" s="3" t="e">
        <f>'001'!H1488</f>
        <v>#VALUE!</v>
      </c>
    </row>
    <row r="1489" spans="1:4" x14ac:dyDescent="0.25">
      <c r="A1489" s="1" t="str">
        <f>'001'!B1489</f>
        <v>002072</v>
      </c>
      <c r="B1489" s="1" t="str">
        <f>'001'!C1489</f>
        <v>BP-04.01 CLEAR POLISTER BICAPA ACS X 3.500</v>
      </c>
      <c r="C1489" s="1" t="str">
        <f>'001'!D1489</f>
        <v>0132</v>
      </c>
      <c r="D1489" s="3" t="e">
        <f>'001'!H1489</f>
        <v>#VALUE!</v>
      </c>
    </row>
    <row r="1490" spans="1:4" x14ac:dyDescent="0.25">
      <c r="A1490" s="1" t="str">
        <f>'001'!B1490</f>
        <v>002073</v>
      </c>
      <c r="B1490" s="1" t="str">
        <f>'001'!C1490</f>
        <v>BP-05 BARNIZ DE MEZCLA BICAPA P/AJUSTE X 3,5 (DISCONTINUADO)</v>
      </c>
      <c r="C1490" s="1" t="str">
        <f>'001'!D1490</f>
        <v>0132</v>
      </c>
      <c r="D1490" s="3" t="e">
        <f>'001'!H1490</f>
        <v>#VALUE!</v>
      </c>
    </row>
    <row r="1491" spans="1:4" x14ac:dyDescent="0.25">
      <c r="A1491" s="1" t="str">
        <f>'001'!B1491</f>
        <v>002074</v>
      </c>
      <c r="B1491" s="1" t="str">
        <f>'001'!C1491</f>
        <v>BU-02.01 CLEARS BASE BLANCA P/PU ACS X 3.500</v>
      </c>
      <c r="C1491" s="1" t="str">
        <f>'001'!D1491</f>
        <v>0132</v>
      </c>
      <c r="D1491" s="3" t="e">
        <f>'001'!H1491</f>
        <v>#VALUE!</v>
      </c>
    </row>
    <row r="1492" spans="1:4" x14ac:dyDescent="0.25">
      <c r="A1492" s="1" t="str">
        <f>'001'!B1492</f>
        <v>002075</v>
      </c>
      <c r="B1492" s="1" t="str">
        <f>'001'!C1492</f>
        <v>BU-01 CLEARS DE MEZCLA PU ACS X 3,5 (DISCONTINUADO)</v>
      </c>
      <c r="C1492" s="1" t="str">
        <f>'001'!D1492</f>
        <v>0132</v>
      </c>
      <c r="D1492" s="3" t="e">
        <f>'001'!H1492</f>
        <v>#VALUE!</v>
      </c>
    </row>
    <row r="1493" spans="1:4" x14ac:dyDescent="0.25">
      <c r="A1493" s="1" t="str">
        <f>'001'!B1493</f>
        <v>002076</v>
      </c>
      <c r="B1493" s="1" t="str">
        <f>'001'!C1493</f>
        <v>BU-03 CLEARS DE AJUSTE P/PU ACS X3,5 (DISCONTINUADO)</v>
      </c>
      <c r="C1493" s="1" t="str">
        <f>'001'!D1493</f>
        <v>0132</v>
      </c>
      <c r="D1493" s="3" t="e">
        <f>'001'!H1493</f>
        <v>#VALUE!</v>
      </c>
    </row>
    <row r="1494" spans="1:4" x14ac:dyDescent="0.25">
      <c r="A1494" s="1" t="str">
        <f>'001'!B1494</f>
        <v>002079</v>
      </c>
      <c r="B1494" s="1" t="str">
        <f>'001'!C1494</f>
        <v>AEROSOL RUST-OLEUM UC SATINADO NEGRO X 0,340(2620991)</v>
      </c>
      <c r="C1494" s="1" t="str">
        <f>'001'!D1494</f>
        <v>0146</v>
      </c>
      <c r="D1494" s="3" t="e">
        <f>'001'!H1494</f>
        <v>#VALUE!</v>
      </c>
    </row>
    <row r="1495" spans="1:4" x14ac:dyDescent="0.25">
      <c r="A1495" s="1" t="str">
        <f>'001'!B1495</f>
        <v>002080</v>
      </c>
      <c r="B1495" s="1" t="str">
        <f>'001'!C1495</f>
        <v>AEROSOL RUST-OLEUM UC MATE NEGRO X 0,340(2621501)</v>
      </c>
      <c r="C1495" s="1" t="str">
        <f>'001'!D1495</f>
        <v>0146</v>
      </c>
      <c r="D1495" s="3" t="e">
        <f>'001'!H1495</f>
        <v>#VALUE!</v>
      </c>
    </row>
    <row r="1496" spans="1:4" x14ac:dyDescent="0.25">
      <c r="A1496" s="1" t="str">
        <f>'001'!B1496</f>
        <v>002081</v>
      </c>
      <c r="B1496" s="1" t="str">
        <f>'001'!C1496</f>
        <v>BARNIZ MARINO PARA MADERA TERSUAVE BRILLANTE CON FILTRO SOLAR X 1</v>
      </c>
      <c r="C1496" s="1" t="str">
        <f>'001'!D1496</f>
        <v>0152</v>
      </c>
      <c r="D1496" s="3" t="e">
        <f>'001'!H1496</f>
        <v>#VALUE!</v>
      </c>
    </row>
    <row r="1497" spans="1:4" x14ac:dyDescent="0.25">
      <c r="A1497" s="1" t="str">
        <f>'001'!B1497</f>
        <v>002082</v>
      </c>
      <c r="B1497" s="1" t="str">
        <f>'001'!C1497</f>
        <v>BARNIZ MARINO PARA MADERA TERSUAVE BRILLANTE CON FILTRO SOLAR X 4</v>
      </c>
      <c r="C1497" s="1" t="str">
        <f>'001'!D1497</f>
        <v>0152</v>
      </c>
      <c r="D1497" s="3" t="e">
        <f>'001'!H1497</f>
        <v>#VALUE!</v>
      </c>
    </row>
    <row r="1498" spans="1:4" x14ac:dyDescent="0.25">
      <c r="A1498" s="1" t="str">
        <f>'001'!B1498</f>
        <v>002083</v>
      </c>
      <c r="B1498" s="1" t="str">
        <f>'001'!C1498</f>
        <v>P425-941/E3,5 H S STRONG RED X 3</v>
      </c>
      <c r="C1498" s="1" t="str">
        <f>'001'!D1498</f>
        <v>0131</v>
      </c>
      <c r="D1498" s="3" t="e">
        <f>'001'!H1498</f>
        <v>#VALUE!</v>
      </c>
    </row>
    <row r="1499" spans="1:4" x14ac:dyDescent="0.25">
      <c r="A1499" s="1" t="str">
        <f>'001'!B1499</f>
        <v>002084</v>
      </c>
      <c r="B1499" s="1" t="str">
        <f>'001'!C1499</f>
        <v>BARNIZ PARA MADERA INTERIOR TERSUAVE MATE X 0,500</v>
      </c>
      <c r="C1499" s="1" t="str">
        <f>'001'!D1499</f>
        <v>0152</v>
      </c>
      <c r="D1499" s="3" t="e">
        <f>'001'!H1499</f>
        <v>#VALUE!</v>
      </c>
    </row>
    <row r="1500" spans="1:4" x14ac:dyDescent="0.25">
      <c r="A1500" s="1" t="str">
        <f>'001'!B1500</f>
        <v>002085</v>
      </c>
      <c r="B1500" s="1" t="str">
        <f>'001'!C1500</f>
        <v>BARNIZ PARA MADERA INTERIOR TERSUAVE MATE X 1</v>
      </c>
      <c r="C1500" s="1" t="str">
        <f>'001'!D1500</f>
        <v>0152</v>
      </c>
      <c r="D1500" s="3" t="e">
        <f>'001'!H1500</f>
        <v>#VALUE!</v>
      </c>
    </row>
    <row r="1501" spans="1:4" x14ac:dyDescent="0.25">
      <c r="A1501" s="1" t="str">
        <f>'001'!B1501</f>
        <v>002086</v>
      </c>
      <c r="B1501" s="1" t="str">
        <f>'001'!C1501</f>
        <v>BARNIZ PARA MADERA INTERIOR TERSUAVE MATE X 4</v>
      </c>
      <c r="C1501" s="1" t="str">
        <f>'001'!D1501</f>
        <v>0152</v>
      </c>
      <c r="D1501" s="3" t="e">
        <f>'001'!H1501</f>
        <v>#VALUE!</v>
      </c>
    </row>
    <row r="1502" spans="1:4" x14ac:dyDescent="0.25">
      <c r="A1502" s="1" t="str">
        <f>'001'!B1502</f>
        <v>002087</v>
      </c>
      <c r="B1502" s="1" t="str">
        <f>'001'!C1502</f>
        <v>BARNIZ PARA MADERA INTERIOR TERSUAVE SATINADO X  0,500</v>
      </c>
      <c r="C1502" s="1" t="str">
        <f>'001'!D1502</f>
        <v>0152</v>
      </c>
      <c r="D1502" s="3" t="e">
        <f>'001'!H1502</f>
        <v>#VALUE!</v>
      </c>
    </row>
    <row r="1503" spans="1:4" x14ac:dyDescent="0.25">
      <c r="A1503" s="1" t="str">
        <f>'001'!B1503</f>
        <v>002088</v>
      </c>
      <c r="B1503" s="1" t="str">
        <f>'001'!C1503</f>
        <v>BARNIZ PARA MADERA INTERIOR TERSUAVE SATINADO X  1</v>
      </c>
      <c r="C1503" s="1" t="str">
        <f>'001'!D1503</f>
        <v>0152</v>
      </c>
      <c r="D1503" s="3" t="e">
        <f>'001'!H1503</f>
        <v>#VALUE!</v>
      </c>
    </row>
    <row r="1504" spans="1:4" x14ac:dyDescent="0.25">
      <c r="A1504" s="1" t="str">
        <f>'001'!B1504</f>
        <v>002089</v>
      </c>
      <c r="B1504" s="1" t="str">
        <f>'001'!C1504</f>
        <v>BARNIZ PARA MADERA INTERIOR TERSUAVE SATINADO X  4</v>
      </c>
      <c r="C1504" s="1" t="str">
        <f>'001'!D1504</f>
        <v>0152</v>
      </c>
      <c r="D1504" s="3" t="e">
        <f>'001'!H1504</f>
        <v>#VALUE!</v>
      </c>
    </row>
    <row r="1505" spans="1:4" x14ac:dyDescent="0.25">
      <c r="A1505" s="1" t="str">
        <f>'001'!B1505</f>
        <v>002090</v>
      </c>
      <c r="B1505" s="1" t="str">
        <f>'001'!C1505</f>
        <v>BARNIZ PARA MADERA INTERIOR TERSUAVE SATINADO X 20</v>
      </c>
      <c r="C1505" s="1" t="str">
        <f>'001'!D1505</f>
        <v>0152</v>
      </c>
      <c r="D1505" s="3" t="e">
        <f>'001'!H1505</f>
        <v>#VALUE!</v>
      </c>
    </row>
    <row r="1506" spans="1:4" x14ac:dyDescent="0.25">
      <c r="A1506" s="1" t="str">
        <f>'001'!B1506</f>
        <v>002091</v>
      </c>
      <c r="B1506" s="1" t="str">
        <f>'001'!C1506</f>
        <v>LACA NITROSINTETICA TERSUAVE BLANCO PURO X 0,500</v>
      </c>
      <c r="C1506" s="1" t="str">
        <f>'001'!D1506</f>
        <v>0902</v>
      </c>
      <c r="D1506" s="3" t="e">
        <f>'001'!H1506</f>
        <v>#VALUE!</v>
      </c>
    </row>
    <row r="1507" spans="1:4" x14ac:dyDescent="0.25">
      <c r="A1507" s="1" t="str">
        <f>'001'!B1507</f>
        <v>002092</v>
      </c>
      <c r="B1507" s="1" t="str">
        <f>'001'!C1507</f>
        <v>LACA NITROSINTETICA TERSUAVE AMARILLO TAXI X 0,500</v>
      </c>
      <c r="C1507" s="1" t="str">
        <f>'001'!D1507</f>
        <v>0902</v>
      </c>
      <c r="D1507" s="3" t="e">
        <f>'001'!H1507</f>
        <v>#VALUE!</v>
      </c>
    </row>
    <row r="1508" spans="1:4" x14ac:dyDescent="0.25">
      <c r="A1508" s="1" t="str">
        <f>'001'!B1508</f>
        <v>002093</v>
      </c>
      <c r="B1508" s="1" t="str">
        <f>'001'!C1508</f>
        <v>LACA NITROSINTETICA TERSUAVE NARANJA ESC.X 0,500</v>
      </c>
      <c r="C1508" s="1" t="str">
        <f>'001'!D1508</f>
        <v>0902</v>
      </c>
      <c r="D1508" s="3" t="e">
        <f>'001'!H1508</f>
        <v>#VALUE!</v>
      </c>
    </row>
    <row r="1509" spans="1:4" x14ac:dyDescent="0.25">
      <c r="A1509" s="1" t="str">
        <f>'001'!B1509</f>
        <v>002094</v>
      </c>
      <c r="B1509" s="1" t="str">
        <f>'001'!C1509</f>
        <v>LACA NITROSINTETICA TERSUAVE NEGRO AZABACHE X 0,500</v>
      </c>
      <c r="C1509" s="1" t="str">
        <f>'001'!D1509</f>
        <v>0902</v>
      </c>
      <c r="D1509" s="3" t="e">
        <f>'001'!H1509</f>
        <v>#VALUE!</v>
      </c>
    </row>
    <row r="1510" spans="1:4" x14ac:dyDescent="0.25">
      <c r="A1510" s="1" t="str">
        <f>'001'!B1510</f>
        <v>002095</v>
      </c>
      <c r="B1510" s="1" t="str">
        <f>'001'!C1510</f>
        <v>LACA NITROSINTETICA TERSUAVE NEGRO SATINADO X 0,500</v>
      </c>
      <c r="C1510" s="1" t="str">
        <f>'001'!D1510</f>
        <v>0902</v>
      </c>
      <c r="D1510" s="3" t="e">
        <f>'001'!H1510</f>
        <v>#VALUE!</v>
      </c>
    </row>
    <row r="1511" spans="1:4" x14ac:dyDescent="0.25">
      <c r="A1511" s="1" t="str">
        <f>'001'!B1511</f>
        <v>002096</v>
      </c>
      <c r="B1511" s="1" t="str">
        <f>'001'!C1511</f>
        <v>LACA NITROSINTETICA TERSUAVE ALUMINIO PARA LLANTAS X 0,500</v>
      </c>
      <c r="C1511" s="1" t="str">
        <f>'001'!D1511</f>
        <v>0902</v>
      </c>
      <c r="D1511" s="3" t="e">
        <f>'001'!H1511</f>
        <v>#VALUE!</v>
      </c>
    </row>
    <row r="1512" spans="1:4" x14ac:dyDescent="0.25">
      <c r="A1512" s="1" t="str">
        <f>'001'!B1512</f>
        <v>002097</v>
      </c>
      <c r="B1512" s="1" t="str">
        <f>'001'!C1512</f>
        <v>P420-905 YELLOW OXIDE X 1</v>
      </c>
      <c r="C1512" s="1" t="str">
        <f>'001'!D1512</f>
        <v>0131</v>
      </c>
      <c r="D1512" s="3" t="e">
        <f>'001'!H1512</f>
        <v>#VALUE!</v>
      </c>
    </row>
    <row r="1513" spans="1:4" x14ac:dyDescent="0.25">
      <c r="A1513" s="1" t="str">
        <f>'001'!B1513</f>
        <v>002100</v>
      </c>
      <c r="B1513" s="1" t="str">
        <f>'001'!C1513</f>
        <v>ESMALTE SINTETICO PARA PIZARRON TERSUAVE MATE VERDE X 0,250</v>
      </c>
      <c r="C1513" s="1" t="str">
        <f>'001'!D1513</f>
        <v>0152</v>
      </c>
      <c r="D1513" s="3" t="e">
        <f>'001'!H1513</f>
        <v>#VALUE!</v>
      </c>
    </row>
    <row r="1514" spans="1:4" x14ac:dyDescent="0.25">
      <c r="A1514" s="1" t="str">
        <f>'001'!B1514</f>
        <v>002101</v>
      </c>
      <c r="B1514" s="1" t="str">
        <f>'001'!C1514</f>
        <v>ESMALTE SINTETICO TERSUAVE 2EN1 BRILLANTE BLANCO X  0,250</v>
      </c>
      <c r="C1514" s="1" t="str">
        <f>'001'!D1514</f>
        <v>0152</v>
      </c>
      <c r="D1514" s="3" t="e">
        <f>'001'!H1514</f>
        <v>#VALUE!</v>
      </c>
    </row>
    <row r="1515" spans="1:4" x14ac:dyDescent="0.25">
      <c r="A1515" s="1" t="str">
        <f>'001'!B1515</f>
        <v>002102</v>
      </c>
      <c r="B1515" s="1" t="str">
        <f>'001'!C1515</f>
        <v>ESMALTE SINTETICO TERSUAVE 2EN1 BRILLANTE BERMELLON X  0,250</v>
      </c>
      <c r="C1515" s="1" t="str">
        <f>'001'!D1515</f>
        <v>0152</v>
      </c>
      <c r="D1515" s="3" t="e">
        <f>'001'!H1515</f>
        <v>#VALUE!</v>
      </c>
    </row>
    <row r="1516" spans="1:4" x14ac:dyDescent="0.25">
      <c r="A1516" s="1" t="str">
        <f>'001'!B1516</f>
        <v>002103</v>
      </c>
      <c r="B1516" s="1" t="str">
        <f>'001'!C1516</f>
        <v>ESMALTE SINTETICO TERSUAVE 2EN1 BRILLANTE NARANJA X  0,250</v>
      </c>
      <c r="C1516" s="1" t="str">
        <f>'001'!D1516</f>
        <v>0152</v>
      </c>
      <c r="D1516" s="3" t="e">
        <f>'001'!H1516</f>
        <v>#VALUE!</v>
      </c>
    </row>
    <row r="1517" spans="1:4" x14ac:dyDescent="0.25">
      <c r="A1517" s="1" t="str">
        <f>'001'!B1517</f>
        <v>002104</v>
      </c>
      <c r="B1517" s="1" t="str">
        <f>'001'!C1517</f>
        <v>ESMALTE SINTETICO TERSUAVE 2EN1 BRILLANTE AMARILLO X  0,250</v>
      </c>
      <c r="C1517" s="1" t="str">
        <f>'001'!D1517</f>
        <v>0152</v>
      </c>
      <c r="D1517" s="3" t="e">
        <f>'001'!H1517</f>
        <v>#VALUE!</v>
      </c>
    </row>
    <row r="1518" spans="1:4" x14ac:dyDescent="0.25">
      <c r="A1518" s="1" t="str">
        <f>'001'!B1518</f>
        <v>002105</v>
      </c>
      <c r="B1518" s="1" t="str">
        <f>'001'!C1518</f>
        <v>FONDO PARA MADERA TERSUAVE BLANCO X  0,250</v>
      </c>
      <c r="C1518" s="1" t="str">
        <f>'001'!D1518</f>
        <v>0152</v>
      </c>
      <c r="D1518" s="3" t="e">
        <f>'001'!H1518</f>
        <v>#VALUE!</v>
      </c>
    </row>
    <row r="1519" spans="1:4" x14ac:dyDescent="0.25">
      <c r="A1519" s="1" t="str">
        <f>'001'!B1519</f>
        <v>002106</v>
      </c>
      <c r="B1519" s="1" t="str">
        <f>'001'!C1519</f>
        <v>BARNIZ MARINO PARA MADERA TERSUAVE BRILLANTE X  0,250</v>
      </c>
      <c r="C1519" s="1" t="str">
        <f>'001'!D1519</f>
        <v>0152</v>
      </c>
      <c r="D1519" s="3" t="e">
        <f>'001'!H1519</f>
        <v>#VALUE!</v>
      </c>
    </row>
    <row r="1520" spans="1:4" x14ac:dyDescent="0.25">
      <c r="A1520" s="1" t="str">
        <f>'001'!B1520</f>
        <v>002107</v>
      </c>
      <c r="B1520" s="1" t="str">
        <f>'001'!C1520</f>
        <v>ESMALTE SINTETICO TERSUAVE ALTA TEMPERATURA ALUMINIO X 0,250</v>
      </c>
      <c r="C1520" s="1" t="str">
        <f>'001'!D1520</f>
        <v>0153</v>
      </c>
      <c r="D1520" s="3" t="e">
        <f>'001'!H1520</f>
        <v>#VALUE!</v>
      </c>
    </row>
    <row r="1521" spans="1:4" x14ac:dyDescent="0.25">
      <c r="A1521" s="1" t="str">
        <f>'001'!B1521</f>
        <v>002109</v>
      </c>
      <c r="B1521" s="1" t="str">
        <f>'001'!C1521</f>
        <v>ESMALTE SINTETICO TERSUAVE 2EN1 BRILLANTE BEIGE X  0,250</v>
      </c>
      <c r="C1521" s="1" t="str">
        <f>'001'!D1521</f>
        <v>0152</v>
      </c>
      <c r="D1521" s="3" t="e">
        <f>'001'!H1521</f>
        <v>#VALUE!</v>
      </c>
    </row>
    <row r="1522" spans="1:4" x14ac:dyDescent="0.25">
      <c r="A1522" s="1" t="str">
        <f>'001'!B1522</f>
        <v>002110</v>
      </c>
      <c r="B1522" s="1" t="str">
        <f>'001'!C1522</f>
        <v>ESMALTE SINTETICO PARA PIZARRON TERSUAVE MATE NEGRO X 0,250</v>
      </c>
      <c r="C1522" s="1" t="str">
        <f>'001'!D1522</f>
        <v>0152</v>
      </c>
      <c r="D1522" s="3" t="e">
        <f>'001'!H1522</f>
        <v>#VALUE!</v>
      </c>
    </row>
    <row r="1523" spans="1:4" x14ac:dyDescent="0.25">
      <c r="A1523" s="1" t="str">
        <f>'001'!B1523</f>
        <v>002111</v>
      </c>
      <c r="B1523" s="1" t="str">
        <f>'001'!C1523</f>
        <v>ESMALTE SINTETICO TERSUAVE ALTA TEMPERATURA BLANCO X 0,250</v>
      </c>
      <c r="C1523" s="1" t="str">
        <f>'001'!D1523</f>
        <v>0902</v>
      </c>
      <c r="D1523" s="3" t="e">
        <f>'001'!H1523</f>
        <v>#VALUE!</v>
      </c>
    </row>
    <row r="1524" spans="1:4" x14ac:dyDescent="0.25">
      <c r="A1524" s="1" t="str">
        <f>'001'!B1524</f>
        <v>002112</v>
      </c>
      <c r="B1524" s="1" t="str">
        <f>'001'!C1524</f>
        <v>ESMALTE POLIURETANO ALBA BLANCO X 1</v>
      </c>
      <c r="C1524" s="1" t="str">
        <f>'001'!D1524</f>
        <v>0112</v>
      </c>
      <c r="D1524" s="3" t="e">
        <f>'001'!H1524</f>
        <v>#VALUE!</v>
      </c>
    </row>
    <row r="1525" spans="1:4" x14ac:dyDescent="0.25">
      <c r="A1525" s="1" t="str">
        <f>'001'!B1525</f>
        <v>002113</v>
      </c>
      <c r="B1525" s="1" t="str">
        <f>'001'!C1525</f>
        <v>ESMALTE SINTETICO TERSUAVE 2EN1 BRILLANTE CEDRO X  0,250</v>
      </c>
      <c r="C1525" s="1" t="str">
        <f>'001'!D1525</f>
        <v>0152</v>
      </c>
      <c r="D1525" s="3" t="e">
        <f>'001'!H1525</f>
        <v>#VALUE!</v>
      </c>
    </row>
    <row r="1526" spans="1:4" x14ac:dyDescent="0.25">
      <c r="A1526" s="1" t="str">
        <f>'001'!B1526</f>
        <v>002115</v>
      </c>
      <c r="B1526" s="1" t="str">
        <f>'001'!C1526</f>
        <v>ESMALTE SINTETICO TERSUAVE 2EN1 BRILLANTE NEGRO X  0,250</v>
      </c>
      <c r="C1526" s="1" t="str">
        <f>'001'!D1526</f>
        <v>0152</v>
      </c>
      <c r="D1526" s="3" t="e">
        <f>'001'!H1526</f>
        <v>#VALUE!</v>
      </c>
    </row>
    <row r="1527" spans="1:4" x14ac:dyDescent="0.25">
      <c r="A1527" s="1" t="str">
        <f>'001'!B1527</f>
        <v>002116</v>
      </c>
      <c r="B1527" s="1" t="str">
        <f>'001'!C1527</f>
        <v>ESMALTE SINTETICO TERSUAVE 2EN1 BRILLANTE ORO X 0,250</v>
      </c>
      <c r="C1527" s="1" t="str">
        <f>'001'!D1527</f>
        <v>0152</v>
      </c>
      <c r="D1527" s="3" t="e">
        <f>'001'!H1527</f>
        <v>#VALUE!</v>
      </c>
    </row>
    <row r="1528" spans="1:4" x14ac:dyDescent="0.25">
      <c r="A1528" s="1" t="str">
        <f>'001'!B1528</f>
        <v>002117</v>
      </c>
      <c r="B1528" s="1" t="str">
        <f>'001'!C1528</f>
        <v>ESMALTE SINTETICO TERSUAVE 2EN1 BRILLANTE ALUMINIO X  0,250</v>
      </c>
      <c r="C1528" s="1" t="str">
        <f>'001'!D1528</f>
        <v>0152</v>
      </c>
      <c r="D1528" s="3" t="e">
        <f>'001'!H1528</f>
        <v>#VALUE!</v>
      </c>
    </row>
    <row r="1529" spans="1:4" x14ac:dyDescent="0.25">
      <c r="A1529" s="1" t="str">
        <f>'001'!B1529</f>
        <v>002118</v>
      </c>
      <c r="B1529" s="1" t="str">
        <f>'001'!C1529</f>
        <v>ESMALTE SINTETICO TERSUAVE 2EN1 BRILLANTE MARRON X  0,250</v>
      </c>
      <c r="C1529" s="1" t="str">
        <f>'001'!D1529</f>
        <v>0152</v>
      </c>
      <c r="D1529" s="3" t="e">
        <f>'001'!H1529</f>
        <v>#VALUE!</v>
      </c>
    </row>
    <row r="1530" spans="1:4" x14ac:dyDescent="0.25">
      <c r="A1530" s="1" t="str">
        <f>'001'!B1530</f>
        <v>002119</v>
      </c>
      <c r="B1530" s="1" t="str">
        <f>'001'!C1530</f>
        <v>ESMALTE SINTETICO TERSUAVE 2EN1 BRILLANTE VERDE CLARO X  0,250</v>
      </c>
      <c r="C1530" s="1" t="str">
        <f>'001'!D1530</f>
        <v>0152</v>
      </c>
      <c r="D1530" s="3" t="e">
        <f>'001'!H1530</f>
        <v>#VALUE!</v>
      </c>
    </row>
    <row r="1531" spans="1:4" x14ac:dyDescent="0.25">
      <c r="A1531" s="1" t="str">
        <f>'001'!B1531</f>
        <v>002120</v>
      </c>
      <c r="B1531" s="1" t="str">
        <f>'001'!C1531</f>
        <v>ESMALTE SINTETICO TERSUAVE 2EN1 BRILLANTE GRIS OSCURO X  0,250</v>
      </c>
      <c r="C1531" s="1" t="str">
        <f>'001'!D1531</f>
        <v>0152</v>
      </c>
      <c r="D1531" s="3" t="e">
        <f>'001'!H1531</f>
        <v>#VALUE!</v>
      </c>
    </row>
    <row r="1532" spans="1:4" x14ac:dyDescent="0.25">
      <c r="A1532" s="1" t="str">
        <f>'001'!B1532</f>
        <v>002123</v>
      </c>
      <c r="B1532" s="1" t="str">
        <f>'001'!C1532</f>
        <v>ESMALTE SINTETICO TERSUAVE 2EN1 BRILLANTE CELESTE X  0,250</v>
      </c>
      <c r="C1532" s="1" t="str">
        <f>'001'!D1532</f>
        <v>0152</v>
      </c>
      <c r="D1532" s="3" t="e">
        <f>'001'!H1532</f>
        <v>#VALUE!</v>
      </c>
    </row>
    <row r="1533" spans="1:4" x14ac:dyDescent="0.25">
      <c r="A1533" s="1" t="str">
        <f>'001'!B1533</f>
        <v>002124</v>
      </c>
      <c r="B1533" s="1" t="str">
        <f>'001'!C1533</f>
        <v>ESMALTE SINTETICO TERSUAVE 2EN1 BRILLANTE MARFIL SEDA X  0,250</v>
      </c>
      <c r="C1533" s="1" t="str">
        <f>'001'!D1533</f>
        <v>0152</v>
      </c>
      <c r="D1533" s="3" t="e">
        <f>'001'!H1533</f>
        <v>#VALUE!</v>
      </c>
    </row>
    <row r="1534" spans="1:4" x14ac:dyDescent="0.25">
      <c r="A1534" s="1" t="str">
        <f>'001'!B1534</f>
        <v>002126</v>
      </c>
      <c r="B1534" s="1" t="str">
        <f>'001'!C1534</f>
        <v>ESMALTE SINTETICO TERSUAVE 2EN1 BRILLANTE GRIS ESPACIAL X  0,250</v>
      </c>
      <c r="C1534" s="1" t="str">
        <f>'001'!D1534</f>
        <v>0152</v>
      </c>
      <c r="D1534" s="3" t="e">
        <f>'001'!H1534</f>
        <v>#VALUE!</v>
      </c>
    </row>
    <row r="1535" spans="1:4" x14ac:dyDescent="0.25">
      <c r="A1535" s="1" t="str">
        <f>'001'!B1535</f>
        <v>002128</v>
      </c>
      <c r="B1535" s="1" t="str">
        <f>'001'!C1535</f>
        <v>ESMALTE SINTETICO TERSUAVE 2EN1 BRILLANTE GRIS PERLA X  0,250</v>
      </c>
      <c r="C1535" s="1" t="str">
        <f>'001'!D1535</f>
        <v>0152</v>
      </c>
      <c r="D1535" s="3" t="e">
        <f>'001'!H1535</f>
        <v>#VALUE!</v>
      </c>
    </row>
    <row r="1536" spans="1:4" x14ac:dyDescent="0.25">
      <c r="A1536" s="1" t="str">
        <f>'001'!B1536</f>
        <v>002129</v>
      </c>
      <c r="B1536" s="1" t="str">
        <f>'001'!C1536</f>
        <v>ESMALTE SINTETICO TERSUAVE 2EN1 BRILLANTE GRIS HIELO X  0,250</v>
      </c>
      <c r="C1536" s="1" t="str">
        <f>'001'!D1536</f>
        <v>0152</v>
      </c>
      <c r="D1536" s="3" t="e">
        <f>'001'!H1536</f>
        <v>#VALUE!</v>
      </c>
    </row>
    <row r="1537" spans="1:4" x14ac:dyDescent="0.25">
      <c r="A1537" s="1" t="str">
        <f>'001'!B1537</f>
        <v>002130</v>
      </c>
      <c r="B1537" s="1" t="str">
        <f>'001'!C1537</f>
        <v>ESMALTE SINTETICO TERSUAVE 2EN1 BRILLANTE VERDE INGLES X  0,250</v>
      </c>
      <c r="C1537" s="1" t="str">
        <f>'001'!D1537</f>
        <v>0152</v>
      </c>
      <c r="D1537" s="3" t="e">
        <f>'001'!H1537</f>
        <v>#VALUE!</v>
      </c>
    </row>
    <row r="1538" spans="1:4" x14ac:dyDescent="0.25">
      <c r="A1538" s="1" t="str">
        <f>'001'!B1538</f>
        <v>002131</v>
      </c>
      <c r="B1538" s="1" t="str">
        <f>'001'!C1538</f>
        <v>ESMALTE POLIURETANO ALBA NEGRO X 1</v>
      </c>
      <c r="C1538" s="1" t="str">
        <f>'001'!D1538</f>
        <v>0112</v>
      </c>
      <c r="D1538" s="3" t="e">
        <f>'001'!H1538</f>
        <v>#VALUE!</v>
      </c>
    </row>
    <row r="1539" spans="1:4" x14ac:dyDescent="0.25">
      <c r="A1539" s="1" t="str">
        <f>'001'!B1539</f>
        <v>002132</v>
      </c>
      <c r="B1539" s="1" t="str">
        <f>'001'!C1539</f>
        <v>ESMALTE SINTETICO TERSUAVE 2EN1 BRILLANTE AZULEJO X  0,250</v>
      </c>
      <c r="C1539" s="1" t="str">
        <f>'001'!D1539</f>
        <v>0152</v>
      </c>
      <c r="D1539" s="3" t="e">
        <f>'001'!H1539</f>
        <v>#VALUE!</v>
      </c>
    </row>
    <row r="1540" spans="1:4" x14ac:dyDescent="0.25">
      <c r="A1540" s="1" t="str">
        <f>'001'!B1540</f>
        <v>002133</v>
      </c>
      <c r="B1540" s="1" t="str">
        <f>'001'!C1540</f>
        <v>ESMALTE SINTETICO TERSUAVE 2EN1 BRILLANTE MARFIL CHAMPAGNE X  0,250</v>
      </c>
      <c r="C1540" s="1" t="str">
        <f>'001'!D1540</f>
        <v>0152</v>
      </c>
      <c r="D1540" s="3" t="e">
        <f>'001'!H1540</f>
        <v>#VALUE!</v>
      </c>
    </row>
    <row r="1541" spans="1:4" x14ac:dyDescent="0.25">
      <c r="A1541" s="1" t="str">
        <f>'001'!B1541</f>
        <v>002134</v>
      </c>
      <c r="B1541" s="1" t="str">
        <f>'001'!C1541</f>
        <v>ESMALTE SINTETICO TERSUAVE 2EN1 BRILLANTE VERDE ILUSION X  0,250</v>
      </c>
      <c r="C1541" s="1" t="str">
        <f>'001'!D1541</f>
        <v>0152</v>
      </c>
      <c r="D1541" s="3" t="e">
        <f>'001'!H1541</f>
        <v>#VALUE!</v>
      </c>
    </row>
    <row r="1542" spans="1:4" x14ac:dyDescent="0.25">
      <c r="A1542" s="1" t="str">
        <f>'001'!B1542</f>
        <v>002135</v>
      </c>
      <c r="B1542" s="1" t="str">
        <f>'001'!C1542</f>
        <v>ESMALTE POLIURETANO ALBA GRIS HIELO X 1</v>
      </c>
      <c r="C1542" s="1" t="str">
        <f>'001'!D1542</f>
        <v>0112</v>
      </c>
      <c r="D1542" s="3" t="e">
        <f>'001'!H1542</f>
        <v>#VALUE!</v>
      </c>
    </row>
    <row r="1543" spans="1:4" x14ac:dyDescent="0.25">
      <c r="A1543" s="1" t="str">
        <f>'001'!B1543</f>
        <v>002136</v>
      </c>
      <c r="B1543" s="1" t="str">
        <f>'001'!C1543</f>
        <v>ESMALTE SINTETICO TERSUAVE 2EN1 BRILLANTE CREMA X  0,250</v>
      </c>
      <c r="C1543" s="1" t="str">
        <f>'001'!D1543</f>
        <v>0152</v>
      </c>
      <c r="D1543" s="3" t="e">
        <f>'001'!H1543</f>
        <v>#VALUE!</v>
      </c>
    </row>
    <row r="1544" spans="1:4" x14ac:dyDescent="0.25">
      <c r="A1544" s="1" t="str">
        <f>'001'!B1544</f>
        <v>002137</v>
      </c>
      <c r="B1544" s="1" t="str">
        <f>'001'!C1544</f>
        <v>ESMALTE SINTETICO TERSUAVE 2EN1 BRILLANTE CASTANO X  0,250</v>
      </c>
      <c r="C1544" s="1" t="str">
        <f>'001'!D1544</f>
        <v>0152</v>
      </c>
      <c r="D1544" s="3" t="e">
        <f>'001'!H1544</f>
        <v>#VALUE!</v>
      </c>
    </row>
    <row r="1545" spans="1:4" x14ac:dyDescent="0.25">
      <c r="A1545" s="1" t="str">
        <f>'001'!B1545</f>
        <v>002138</v>
      </c>
      <c r="B1545" s="1" t="str">
        <f>'001'!C1545</f>
        <v>ESMALTE SINTETICO TERSUAVE 2EN1 BRILLANTE VERDE NOCHE X  0,250</v>
      </c>
      <c r="C1545" s="1" t="str">
        <f>'001'!D1545</f>
        <v>0152</v>
      </c>
      <c r="D1545" s="3" t="e">
        <f>'001'!H1545</f>
        <v>#VALUE!</v>
      </c>
    </row>
    <row r="1546" spans="1:4" x14ac:dyDescent="0.25">
      <c r="A1546" s="1" t="str">
        <f>'001'!B1546</f>
        <v>002141</v>
      </c>
      <c r="B1546" s="1" t="str">
        <f>'001'!C1546</f>
        <v>ESMALTE SINTETICO TERSUAVE 2EN1 BRILLANTE TRAFUL X  0,250</v>
      </c>
      <c r="C1546" s="1" t="str">
        <f>'001'!D1546</f>
        <v>0152</v>
      </c>
      <c r="D1546" s="3" t="e">
        <f>'001'!H1546</f>
        <v>#VALUE!</v>
      </c>
    </row>
    <row r="1547" spans="1:4" x14ac:dyDescent="0.25">
      <c r="A1547" s="1" t="str">
        <f>'001'!B1547</f>
        <v>002142</v>
      </c>
      <c r="B1547" s="1" t="str">
        <f>'001'!C1547</f>
        <v>ESMALTE POLIURETANO ALBA VERDE INGLES X 1</v>
      </c>
      <c r="C1547" s="1" t="str">
        <f>'001'!D1547</f>
        <v>0112</v>
      </c>
      <c r="D1547" s="3" t="e">
        <f>'001'!H1547</f>
        <v>#VALUE!</v>
      </c>
    </row>
    <row r="1548" spans="1:4" x14ac:dyDescent="0.25">
      <c r="A1548" s="1" t="str">
        <f>'001'!B1548</f>
        <v>002143</v>
      </c>
      <c r="B1548" s="1" t="str">
        <f>'001'!C1548</f>
        <v>ESMALTE SINTETICO TERSUAVE 2EN1 BRILLANTE AZUL X  0,250</v>
      </c>
      <c r="C1548" s="1" t="str">
        <f>'001'!D1548</f>
        <v>0152</v>
      </c>
      <c r="D1548" s="3" t="e">
        <f>'001'!H1548</f>
        <v>#VALUE!</v>
      </c>
    </row>
    <row r="1549" spans="1:4" x14ac:dyDescent="0.25">
      <c r="A1549" s="1" t="str">
        <f>'001'!B1549</f>
        <v>002145</v>
      </c>
      <c r="B1549" s="1" t="str">
        <f>'001'!C1549</f>
        <v>ESMALTE POLIURETANO ALBA BERMELLON X 1</v>
      </c>
      <c r="C1549" s="1" t="str">
        <f>'001'!D1549</f>
        <v>0112</v>
      </c>
      <c r="D1549" s="3" t="e">
        <f>'001'!H1549</f>
        <v>#VALUE!</v>
      </c>
    </row>
    <row r="1550" spans="1:4" x14ac:dyDescent="0.25">
      <c r="A1550" s="1" t="str">
        <f>'001'!B1550</f>
        <v>002146</v>
      </c>
      <c r="B1550" s="1" t="str">
        <f>'001'!C1550</f>
        <v>ESMALTE POLIURETANO ALBA AMARILLO X  1</v>
      </c>
      <c r="C1550" s="1" t="str">
        <f>'001'!D1550</f>
        <v>0112</v>
      </c>
      <c r="D1550" s="3" t="e">
        <f>'001'!H1550</f>
        <v>#VALUE!</v>
      </c>
    </row>
    <row r="1551" spans="1:4" x14ac:dyDescent="0.25">
      <c r="A1551" s="1" t="str">
        <f>'001'!B1551</f>
        <v>002147</v>
      </c>
      <c r="B1551" s="1" t="str">
        <f>'001'!C1551</f>
        <v>ESMALTE SINTETICO TERSUAVE 2EN1 BRILLANTE TABACO X  0,250</v>
      </c>
      <c r="C1551" s="1" t="str">
        <f>'001'!D1551</f>
        <v>0152</v>
      </c>
      <c r="D1551" s="3" t="e">
        <f>'001'!H1551</f>
        <v>#VALUE!</v>
      </c>
    </row>
    <row r="1552" spans="1:4" x14ac:dyDescent="0.25">
      <c r="A1552" s="1" t="str">
        <f>'001'!B1552</f>
        <v>002150</v>
      </c>
      <c r="B1552" s="1" t="str">
        <f>'001'!C1552</f>
        <v>ESMALTE SINTETICO TERSUAVE 2EN1 BRILLANTE VIOLETA X 0,250</v>
      </c>
      <c r="C1552" s="1" t="str">
        <f>'001'!D1552</f>
        <v>0152</v>
      </c>
      <c r="D1552" s="3" t="e">
        <f>'001'!H1552</f>
        <v>#VALUE!</v>
      </c>
    </row>
    <row r="1553" spans="1:4" x14ac:dyDescent="0.25">
      <c r="A1553" s="1" t="str">
        <f>'001'!B1553</f>
        <v>002156</v>
      </c>
      <c r="B1553" s="1" t="str">
        <f>'001'!C1553</f>
        <v>ESMALTE SINTETICO TERSUAVE 2EN1 BRILLANTE AMAR.MED. X  0,250</v>
      </c>
      <c r="C1553" s="1" t="str">
        <f>'001'!D1553</f>
        <v>0152</v>
      </c>
      <c r="D1553" s="3" t="e">
        <f>'001'!H1553</f>
        <v>#VALUE!</v>
      </c>
    </row>
    <row r="1554" spans="1:4" x14ac:dyDescent="0.25">
      <c r="A1554" s="1" t="str">
        <f>'001'!B1554</f>
        <v>002162</v>
      </c>
      <c r="B1554" s="1" t="str">
        <f>'001'!C1554</f>
        <v>LATEX INTERIOR/EXTERIOR ALBA CONSTRUCTOR MATE BLANCO X  1</v>
      </c>
      <c r="C1554" s="1" t="str">
        <f>'001'!D1554</f>
        <v>0107</v>
      </c>
      <c r="D1554" s="3" t="e">
        <f>'001'!H1554</f>
        <v>#VALUE!</v>
      </c>
    </row>
    <row r="1555" spans="1:4" x14ac:dyDescent="0.25">
      <c r="A1555" s="1" t="str">
        <f>'001'!B1555</f>
        <v>002163</v>
      </c>
      <c r="B1555" s="1" t="str">
        <f>'001'!C1555</f>
        <v>LATEX INTERIOR/EXTERIOR ALBA CONSTRUCTOR MATE BLANCO X  4</v>
      </c>
      <c r="C1555" s="1" t="str">
        <f>'001'!D1555</f>
        <v>0107</v>
      </c>
      <c r="D1555" s="3" t="e">
        <f>'001'!H1555</f>
        <v>#VALUE!</v>
      </c>
    </row>
    <row r="1556" spans="1:4" x14ac:dyDescent="0.25">
      <c r="A1556" s="1" t="str">
        <f>'001'!B1556</f>
        <v>002164</v>
      </c>
      <c r="B1556" s="1" t="str">
        <f>'001'!C1556</f>
        <v>LATEX INTERIOR/EXTERIOR ALBA CONSTRUCTOR MATE BLANCO X 10</v>
      </c>
      <c r="C1556" s="1" t="str">
        <f>'001'!D1556</f>
        <v>0107</v>
      </c>
      <c r="D1556" s="3" t="e">
        <f>'001'!H1556</f>
        <v>#VALUE!</v>
      </c>
    </row>
    <row r="1557" spans="1:4" x14ac:dyDescent="0.25">
      <c r="A1557" s="1" t="str">
        <f>'001'!B1557</f>
        <v>002165</v>
      </c>
      <c r="B1557" s="1" t="str">
        <f>'001'!C1557</f>
        <v>LATEX INTERIOR/EXTERIOR ALBA CONSTRUCTOR MATE BLANCO X 20</v>
      </c>
      <c r="C1557" s="1" t="str">
        <f>'001'!D1557</f>
        <v>0107</v>
      </c>
      <c r="D1557" s="3" t="e">
        <f>'001'!H1557</f>
        <v>#VALUE!</v>
      </c>
    </row>
    <row r="1558" spans="1:4" x14ac:dyDescent="0.25">
      <c r="A1558" s="1" t="str">
        <f>'001'!B1558</f>
        <v>002169</v>
      </c>
      <c r="B1558" s="1" t="str">
        <f>'001'!C1558</f>
        <v>ESCALERA DE ALUMINIO SIN FIN FAMILIAR 3</v>
      </c>
      <c r="C1558" s="1" t="str">
        <f>'001'!D1558</f>
        <v>0149</v>
      </c>
      <c r="D1558" s="3" t="e">
        <f>'001'!H1558</f>
        <v>#VALUE!</v>
      </c>
    </row>
    <row r="1559" spans="1:4" x14ac:dyDescent="0.25">
      <c r="A1559" s="1" t="str">
        <f>'001'!B1559</f>
        <v>002170</v>
      </c>
      <c r="B1559" s="1" t="str">
        <f>'001'!C1559</f>
        <v>ESCALERA DE ALUMINIO SIN FIN FAMILIAR 4</v>
      </c>
      <c r="C1559" s="1" t="str">
        <f>'001'!D1559</f>
        <v>0149</v>
      </c>
      <c r="D1559" s="3" t="e">
        <f>'001'!H1559</f>
        <v>#VALUE!</v>
      </c>
    </row>
    <row r="1560" spans="1:4" x14ac:dyDescent="0.25">
      <c r="A1560" s="1" t="str">
        <f>'001'!B1560</f>
        <v>002171</v>
      </c>
      <c r="B1560" s="1" t="str">
        <f>'001'!C1560</f>
        <v>ESCALERA DE ALUMINIO SIN FIN FAMILIAR 5</v>
      </c>
      <c r="C1560" s="1" t="str">
        <f>'001'!D1560</f>
        <v>0149</v>
      </c>
      <c r="D1560" s="3" t="e">
        <f>'001'!H1560</f>
        <v>#VALUE!</v>
      </c>
    </row>
    <row r="1561" spans="1:4" x14ac:dyDescent="0.25">
      <c r="A1561" s="1" t="str">
        <f>'001'!B1561</f>
        <v>002172</v>
      </c>
      <c r="B1561" s="1" t="str">
        <f>'001'!C1561</f>
        <v>ESCALERA DE ALUMINIO SIN FIN FAMILIAR 6</v>
      </c>
      <c r="C1561" s="1" t="str">
        <f>'001'!D1561</f>
        <v>0149</v>
      </c>
      <c r="D1561" s="3" t="e">
        <f>'001'!H1561</f>
        <v>#VALUE!</v>
      </c>
    </row>
    <row r="1562" spans="1:4" x14ac:dyDescent="0.25">
      <c r="A1562" s="1" t="str">
        <f>'001'!B1562</f>
        <v>002173</v>
      </c>
      <c r="B1562" s="1" t="str">
        <f>'001'!C1562</f>
        <v>ESCALERA DE ALUMINIO SIN FIN FAMILIAR 7</v>
      </c>
      <c r="C1562" s="1" t="str">
        <f>'001'!D1562</f>
        <v>0149</v>
      </c>
      <c r="D1562" s="3" t="e">
        <f>'001'!H1562</f>
        <v>#VALUE!</v>
      </c>
    </row>
    <row r="1563" spans="1:4" x14ac:dyDescent="0.25">
      <c r="A1563" s="1" t="str">
        <f>'001'!B1563</f>
        <v>002174</v>
      </c>
      <c r="B1563" s="1" t="str">
        <f>'001'!C1563</f>
        <v>ESCALERA DE ALUMINIO SIN FIN FAMILIAR 8</v>
      </c>
      <c r="C1563" s="1" t="str">
        <f>'001'!D1563</f>
        <v>0149</v>
      </c>
      <c r="D1563" s="3" t="e">
        <f>'001'!H1563</f>
        <v>#VALUE!</v>
      </c>
    </row>
    <row r="1564" spans="1:4" x14ac:dyDescent="0.25">
      <c r="A1564" s="1" t="str">
        <f>'001'!B1564</f>
        <v>002175</v>
      </c>
      <c r="B1564" s="1" t="str">
        <f>'001'!C1564</f>
        <v>ESCALERA DE ALUMINIO SIN FIN FAMILIAR 9</v>
      </c>
      <c r="C1564" s="1" t="str">
        <f>'001'!D1564</f>
        <v>0149</v>
      </c>
      <c r="D1564" s="3" t="e">
        <f>'001'!H1564</f>
        <v>#VALUE!</v>
      </c>
    </row>
    <row r="1565" spans="1:4" x14ac:dyDescent="0.25">
      <c r="A1565" s="1" t="str">
        <f>'001'!B1565</f>
        <v>002176</v>
      </c>
      <c r="B1565" s="1" t="str">
        <f>'001'!C1565</f>
        <v>ESCALERA DE ALUMINIO SIN FIN FAMILIAR 10</v>
      </c>
      <c r="C1565" s="1" t="str">
        <f>'001'!D1565</f>
        <v>0149</v>
      </c>
      <c r="D1565" s="3" t="e">
        <f>'001'!H1565</f>
        <v>#VALUE!</v>
      </c>
    </row>
    <row r="1566" spans="1:4" x14ac:dyDescent="0.25">
      <c r="A1566" s="1" t="str">
        <f>'001'!B1566</f>
        <v>002182</v>
      </c>
      <c r="B1566" s="1" t="str">
        <f>'001'!C1566</f>
        <v>ESMALTE AL AGUA SATINOL SATINADO BLANCO X  0,500</v>
      </c>
      <c r="C1566" s="1" t="str">
        <f>'001'!D1566</f>
        <v>0107</v>
      </c>
      <c r="D1566" s="3" t="e">
        <f>'001'!H1566</f>
        <v>#VALUE!</v>
      </c>
    </row>
    <row r="1567" spans="1:4" x14ac:dyDescent="0.25">
      <c r="A1567" s="1" t="str">
        <f>'001'!B1567</f>
        <v>002183</v>
      </c>
      <c r="B1567" s="1" t="str">
        <f>'001'!C1567</f>
        <v>ESMALTE AL AGUA SATINOL SATINADO BLANCO X  1</v>
      </c>
      <c r="C1567" s="1" t="str">
        <f>'001'!D1567</f>
        <v>0107</v>
      </c>
      <c r="D1567" s="3" t="e">
        <f>'001'!H1567</f>
        <v>#VALUE!</v>
      </c>
    </row>
    <row r="1568" spans="1:4" x14ac:dyDescent="0.25">
      <c r="A1568" s="1" t="str">
        <f>'001'!B1568</f>
        <v>002184</v>
      </c>
      <c r="B1568" s="1" t="str">
        <f>'001'!C1568</f>
        <v>ESMALTE AL AGUA SATINOL SATINADO BLANCO X  4</v>
      </c>
      <c r="C1568" s="1" t="str">
        <f>'001'!D1568</f>
        <v>0107</v>
      </c>
      <c r="D1568" s="3" t="e">
        <f>'001'!H1568</f>
        <v>#VALUE!</v>
      </c>
    </row>
    <row r="1569" spans="1:4" x14ac:dyDescent="0.25">
      <c r="A1569" s="1" t="str">
        <f>'001'!B1569</f>
        <v>002186</v>
      </c>
      <c r="B1569" s="1" t="str">
        <f>'001'!C1569</f>
        <v>ESMALTE AL AGUA SATINOL SATINADO NEGRO X  0,500</v>
      </c>
      <c r="C1569" s="1" t="str">
        <f>'001'!D1569</f>
        <v>0107</v>
      </c>
      <c r="D1569" s="3" t="e">
        <f>'001'!H1569</f>
        <v>#VALUE!</v>
      </c>
    </row>
    <row r="1570" spans="1:4" x14ac:dyDescent="0.25">
      <c r="A1570" s="1" t="str">
        <f>'001'!B1570</f>
        <v>002187</v>
      </c>
      <c r="B1570" s="1" t="str">
        <f>'001'!C1570</f>
        <v>ESMALTE AL AGUA SATINOL SATINADO NEGRO X  1</v>
      </c>
      <c r="C1570" s="1" t="str">
        <f>'001'!D1570</f>
        <v>0107</v>
      </c>
      <c r="D1570" s="3" t="e">
        <f>'001'!H1570</f>
        <v>#VALUE!</v>
      </c>
    </row>
    <row r="1571" spans="1:4" x14ac:dyDescent="0.25">
      <c r="A1571" s="1" t="str">
        <f>'001'!B1571</f>
        <v>002188</v>
      </c>
      <c r="B1571" s="1" t="str">
        <f>'001'!C1571</f>
        <v>ESMALTE AL AGUA SATINOL SATINADO NEGRO X  4</v>
      </c>
      <c r="C1571" s="1" t="str">
        <f>'001'!D1571</f>
        <v>0107</v>
      </c>
      <c r="D1571" s="3" t="e">
        <f>'001'!H1571</f>
        <v>#VALUE!</v>
      </c>
    </row>
    <row r="1572" spans="1:4" x14ac:dyDescent="0.25">
      <c r="A1572" s="1" t="str">
        <f>'001'!B1572</f>
        <v>002190</v>
      </c>
      <c r="B1572" s="1" t="str">
        <f>'001'!C1572</f>
        <v>ESMALTE AL AGUA SATINOL SATINADO BLANCO X 20</v>
      </c>
      <c r="C1572" s="1" t="str">
        <f>'001'!D1572</f>
        <v>0107</v>
      </c>
      <c r="D1572" s="3" t="e">
        <f>'001'!H1572</f>
        <v>#VALUE!</v>
      </c>
    </row>
    <row r="1573" spans="1:4" x14ac:dyDescent="0.25">
      <c r="A1573" s="1" t="str">
        <f>'001'!B1573</f>
        <v>002191</v>
      </c>
      <c r="B1573" s="1" t="str">
        <f>'001'!C1573</f>
        <v>LACA NITROSINTETICA MMB BLANCO PURO X 1</v>
      </c>
      <c r="C1573" s="1" t="str">
        <f>'001'!D1573</f>
        <v>0137</v>
      </c>
      <c r="D1573" s="3" t="e">
        <f>'001'!H1573</f>
        <v>#VALUE!</v>
      </c>
    </row>
    <row r="1574" spans="1:4" x14ac:dyDescent="0.25">
      <c r="A1574" s="1" t="str">
        <f>'001'!B1574</f>
        <v>002192</v>
      </c>
      <c r="B1574" s="1" t="str">
        <f>'001'!C1574</f>
        <v>LACA NITROSINTETICA TERSUAVE AMARILLO TAXI X 1</v>
      </c>
      <c r="C1574" s="1" t="str">
        <f>'001'!D1574</f>
        <v>0902</v>
      </c>
      <c r="D1574" s="3" t="e">
        <f>'001'!H1574</f>
        <v>#VALUE!</v>
      </c>
    </row>
    <row r="1575" spans="1:4" x14ac:dyDescent="0.25">
      <c r="A1575" s="1" t="str">
        <f>'001'!B1575</f>
        <v>002193</v>
      </c>
      <c r="B1575" s="1" t="str">
        <f>'001'!C1575</f>
        <v>LACA NITROSINTETICA TERSUAVE NARANJA ESC.X 1</v>
      </c>
      <c r="C1575" s="1" t="str">
        <f>'001'!D1575</f>
        <v>0902</v>
      </c>
      <c r="D1575" s="3" t="e">
        <f>'001'!H1575</f>
        <v>#VALUE!</v>
      </c>
    </row>
    <row r="1576" spans="1:4" x14ac:dyDescent="0.25">
      <c r="A1576" s="1" t="str">
        <f>'001'!B1576</f>
        <v>002194</v>
      </c>
      <c r="B1576" s="1" t="str">
        <f>'001'!C1576</f>
        <v>LACA NITROSINTETICA TERSUAVE NEGRO AZABACHE X 1</v>
      </c>
      <c r="C1576" s="1" t="str">
        <f>'001'!D1576</f>
        <v>0902</v>
      </c>
      <c r="D1576" s="3" t="e">
        <f>'001'!H1576</f>
        <v>#VALUE!</v>
      </c>
    </row>
    <row r="1577" spans="1:4" x14ac:dyDescent="0.25">
      <c r="A1577" s="1" t="str">
        <f>'001'!B1577</f>
        <v>002195</v>
      </c>
      <c r="B1577" s="1" t="str">
        <f>'001'!C1577</f>
        <v>LACA NITROSINTETICA MMB NEGRO SATINADO X 1</v>
      </c>
      <c r="C1577" s="1" t="str">
        <f>'001'!D1577</f>
        <v>0137</v>
      </c>
      <c r="D1577" s="3" t="e">
        <f>'001'!H1577</f>
        <v>#VALUE!</v>
      </c>
    </row>
    <row r="1578" spans="1:4" x14ac:dyDescent="0.25">
      <c r="A1578" s="1" t="str">
        <f>'001'!B1578</f>
        <v>002196</v>
      </c>
      <c r="B1578" s="1" t="str">
        <f>'001'!C1578</f>
        <v>LACA NITROSINTETICA MMB ALUMINIO PARA LLANTAS X 1</v>
      </c>
      <c r="C1578" s="1" t="str">
        <f>'001'!D1578</f>
        <v>0137</v>
      </c>
      <c r="D1578" s="3" t="e">
        <f>'001'!H1578</f>
        <v>#VALUE!</v>
      </c>
    </row>
    <row r="1579" spans="1:4" x14ac:dyDescent="0.25">
      <c r="A1579" s="1" t="str">
        <f>'001'!B1579</f>
        <v>002197</v>
      </c>
      <c r="B1579" s="1" t="str">
        <f>'001'!C1579</f>
        <v>REVOQUE PROYECTABLE 2EN1 WEBER PROMEX INTERIOR GRIS X 30</v>
      </c>
      <c r="C1579" s="1" t="str">
        <f>'001'!D1579</f>
        <v>0163</v>
      </c>
      <c r="D1579" s="3" t="e">
        <f>'001'!H1579</f>
        <v>#VALUE!</v>
      </c>
    </row>
    <row r="1580" spans="1:4" x14ac:dyDescent="0.25">
      <c r="A1580" s="1" t="str">
        <f>'001'!B1580</f>
        <v>002200</v>
      </c>
      <c r="B1580" s="1" t="str">
        <f>'001'!C1580</f>
        <v>ESMALTE SINTETICO PARA PIZARRON TERSUAVE MATE VERDE X 0,500</v>
      </c>
      <c r="C1580" s="1" t="str">
        <f>'001'!D1580</f>
        <v>0152</v>
      </c>
      <c r="D1580" s="3" t="e">
        <f>'001'!H1580</f>
        <v>#VALUE!</v>
      </c>
    </row>
    <row r="1581" spans="1:4" x14ac:dyDescent="0.25">
      <c r="A1581" s="1" t="str">
        <f>'001'!B1581</f>
        <v>002201</v>
      </c>
      <c r="B1581" s="1" t="str">
        <f>'001'!C1581</f>
        <v>ESMALTE SINTETICO TERSUAVE 2EN1 BRILLANTE BLANCO X  0,500</v>
      </c>
      <c r="C1581" s="1" t="str">
        <f>'001'!D1581</f>
        <v>0152</v>
      </c>
      <c r="D1581" s="3" t="e">
        <f>'001'!H1581</f>
        <v>#VALUE!</v>
      </c>
    </row>
    <row r="1582" spans="1:4" x14ac:dyDescent="0.25">
      <c r="A1582" s="1" t="str">
        <f>'001'!B1582</f>
        <v>002202</v>
      </c>
      <c r="B1582" s="1" t="str">
        <f>'001'!C1582</f>
        <v>ESMALTE SINTETICO TERSUAVE 2EN1 BRILLANTE BERMELLON X  0,500</v>
      </c>
      <c r="C1582" s="1" t="str">
        <f>'001'!D1582</f>
        <v>0152</v>
      </c>
      <c r="D1582" s="3" t="e">
        <f>'001'!H1582</f>
        <v>#VALUE!</v>
      </c>
    </row>
    <row r="1583" spans="1:4" x14ac:dyDescent="0.25">
      <c r="A1583" s="1" t="str">
        <f>'001'!B1583</f>
        <v>002203</v>
      </c>
      <c r="B1583" s="1" t="str">
        <f>'001'!C1583</f>
        <v>ESMALTE SINTETICO TERSUAVE 2EN1 BRILLANTE NARANJA X  0,500</v>
      </c>
      <c r="C1583" s="1" t="str">
        <f>'001'!D1583</f>
        <v>0152</v>
      </c>
      <c r="D1583" s="3" t="e">
        <f>'001'!H1583</f>
        <v>#VALUE!</v>
      </c>
    </row>
    <row r="1584" spans="1:4" x14ac:dyDescent="0.25">
      <c r="A1584" s="1" t="str">
        <f>'001'!B1584</f>
        <v>002204</v>
      </c>
      <c r="B1584" s="1" t="str">
        <f>'001'!C1584</f>
        <v>ESMALTE SINTETICO TERSUAVE 2EN1 BRILLANTE AMARILLO X  0,500</v>
      </c>
      <c r="C1584" s="1" t="str">
        <f>'001'!D1584</f>
        <v>0152</v>
      </c>
      <c r="D1584" s="3" t="e">
        <f>'001'!H1584</f>
        <v>#VALUE!</v>
      </c>
    </row>
    <row r="1585" spans="1:4" x14ac:dyDescent="0.25">
      <c r="A1585" s="1" t="str">
        <f>'001'!B1585</f>
        <v>002205</v>
      </c>
      <c r="B1585" s="1" t="str">
        <f>'001'!C1585</f>
        <v>FONDO PARA MADERA TERSUAVE BLANCO X  0,500</v>
      </c>
      <c r="C1585" s="1" t="str">
        <f>'001'!D1585</f>
        <v>0152</v>
      </c>
      <c r="D1585" s="3" t="e">
        <f>'001'!H1585</f>
        <v>#VALUE!</v>
      </c>
    </row>
    <row r="1586" spans="1:4" x14ac:dyDescent="0.25">
      <c r="A1586" s="1" t="str">
        <f>'001'!B1586</f>
        <v>002206</v>
      </c>
      <c r="B1586" s="1" t="str">
        <f>'001'!C1586</f>
        <v>BARNIZ MARINO PARA MADERA TERSUAVE BRILLANTE X  0,500</v>
      </c>
      <c r="C1586" s="1" t="str">
        <f>'001'!D1586</f>
        <v>0152</v>
      </c>
      <c r="D1586" s="3" t="e">
        <f>'001'!H1586</f>
        <v>#VALUE!</v>
      </c>
    </row>
    <row r="1587" spans="1:4" x14ac:dyDescent="0.25">
      <c r="A1587" s="1" t="str">
        <f>'001'!B1587</f>
        <v>002207</v>
      </c>
      <c r="B1587" s="1" t="str">
        <f>'001'!C1587</f>
        <v>ESMALTE SINTETICO TERSUAVE ALTA TEMPERATURA ALUMINIO X 0,500</v>
      </c>
      <c r="C1587" s="1" t="str">
        <f>'001'!D1587</f>
        <v>0153</v>
      </c>
      <c r="D1587" s="3" t="e">
        <f>'001'!H1587</f>
        <v>#VALUE!</v>
      </c>
    </row>
    <row r="1588" spans="1:4" x14ac:dyDescent="0.25">
      <c r="A1588" s="1" t="str">
        <f>'001'!B1588</f>
        <v>002208</v>
      </c>
      <c r="B1588" s="1" t="str">
        <f>'001'!C1588</f>
        <v>ESMALTE SINTETICO TERSUAVE ALTA TEMPERATURA NEGRO X 0,500</v>
      </c>
      <c r="C1588" s="1" t="str">
        <f>'001'!D1588</f>
        <v>0153</v>
      </c>
      <c r="D1588" s="3" t="e">
        <f>'001'!H1588</f>
        <v>#VALUE!</v>
      </c>
    </row>
    <row r="1589" spans="1:4" x14ac:dyDescent="0.25">
      <c r="A1589" s="1" t="str">
        <f>'001'!B1589</f>
        <v>002209</v>
      </c>
      <c r="B1589" s="1" t="str">
        <f>'001'!C1589</f>
        <v>ESMALTE SINTETICO TERSUAVE 2EN1 BRILLANTE BEIGE X  0,500</v>
      </c>
      <c r="C1589" s="1" t="str">
        <f>'001'!D1589</f>
        <v>0152</v>
      </c>
      <c r="D1589" s="3" t="e">
        <f>'001'!H1589</f>
        <v>#VALUE!</v>
      </c>
    </row>
    <row r="1590" spans="1:4" x14ac:dyDescent="0.25">
      <c r="A1590" s="1" t="str">
        <f>'001'!B1590</f>
        <v>002210</v>
      </c>
      <c r="B1590" s="1" t="str">
        <f>'001'!C1590</f>
        <v>ESMALTE SINTETICO PARA PIZARRON TERSUAVE MATE NEGRO X 0,500</v>
      </c>
      <c r="C1590" s="1" t="str">
        <f>'001'!D1590</f>
        <v>0152</v>
      </c>
      <c r="D1590" s="3" t="e">
        <f>'001'!H1590</f>
        <v>#VALUE!</v>
      </c>
    </row>
    <row r="1591" spans="1:4" x14ac:dyDescent="0.25">
      <c r="A1591" s="1" t="str">
        <f>'001'!B1591</f>
        <v>002211</v>
      </c>
      <c r="B1591" s="1" t="str">
        <f>'001'!C1591</f>
        <v>ESMALTE SINTETICO TERSUAVE ALTA TEMPERATURA BLANCO X 0,500</v>
      </c>
      <c r="C1591" s="1" t="str">
        <f>'001'!D1591</f>
        <v>0153</v>
      </c>
      <c r="D1591" s="3" t="e">
        <f>'001'!H1591</f>
        <v>#VALUE!</v>
      </c>
    </row>
    <row r="1592" spans="1:4" x14ac:dyDescent="0.25">
      <c r="A1592" s="1" t="str">
        <f>'001'!B1592</f>
        <v>002212</v>
      </c>
      <c r="B1592" s="1" t="str">
        <f>'001'!C1592</f>
        <v>ESMALTE POLIURETANO ALBA BLANCO X 4</v>
      </c>
      <c r="C1592" s="1" t="str">
        <f>'001'!D1592</f>
        <v>0112</v>
      </c>
      <c r="D1592" s="3" t="e">
        <f>'001'!H1592</f>
        <v>#VALUE!</v>
      </c>
    </row>
    <row r="1593" spans="1:4" x14ac:dyDescent="0.25">
      <c r="A1593" s="1" t="str">
        <f>'001'!B1593</f>
        <v>002213</v>
      </c>
      <c r="B1593" s="1" t="str">
        <f>'001'!C1593</f>
        <v>ESMALTE SINTETICO TERSUAVE 2EN1 BRILLANTE CEDRO X  0,500</v>
      </c>
      <c r="C1593" s="1" t="str">
        <f>'001'!D1593</f>
        <v>0152</v>
      </c>
      <c r="D1593" s="3" t="e">
        <f>'001'!H1593</f>
        <v>#VALUE!</v>
      </c>
    </row>
    <row r="1594" spans="1:4" x14ac:dyDescent="0.25">
      <c r="A1594" s="1" t="str">
        <f>'001'!B1594</f>
        <v>002215</v>
      </c>
      <c r="B1594" s="1" t="str">
        <f>'001'!C1594</f>
        <v>ESMALTE SINTETICO TERSUAVE 2EN1 BRILLANTE NEGRO X  0,500</v>
      </c>
      <c r="C1594" s="1" t="str">
        <f>'001'!D1594</f>
        <v>0152</v>
      </c>
      <c r="D1594" s="3" t="e">
        <f>'001'!H1594</f>
        <v>#VALUE!</v>
      </c>
    </row>
    <row r="1595" spans="1:4" x14ac:dyDescent="0.25">
      <c r="A1595" s="1" t="str">
        <f>'001'!B1595</f>
        <v>002216</v>
      </c>
      <c r="B1595" s="1" t="str">
        <f>'001'!C1595</f>
        <v>DISCO CORTE DOBLE A T42 MASTER ACERO 180X3,0X22,2</v>
      </c>
      <c r="C1595" s="1" t="str">
        <f>'001'!D1595</f>
        <v>0102</v>
      </c>
      <c r="D1595" s="3" t="e">
        <f>'001'!H1595</f>
        <v>#VALUE!</v>
      </c>
    </row>
    <row r="1596" spans="1:4" x14ac:dyDescent="0.25">
      <c r="A1596" s="1" t="str">
        <f>'001'!B1596</f>
        <v>002217</v>
      </c>
      <c r="B1596" s="1" t="str">
        <f>'001'!C1596</f>
        <v>ESMALTE SINTETICO TERSUAVE 2EN1 BRILLANTE ALUMINIO X  0,500</v>
      </c>
      <c r="C1596" s="1" t="str">
        <f>'001'!D1596</f>
        <v>0152</v>
      </c>
      <c r="D1596" s="3" t="e">
        <f>'001'!H1596</f>
        <v>#VALUE!</v>
      </c>
    </row>
    <row r="1597" spans="1:4" x14ac:dyDescent="0.25">
      <c r="A1597" s="1" t="str">
        <f>'001'!B1597</f>
        <v>002218</v>
      </c>
      <c r="B1597" s="1" t="str">
        <f>'001'!C1597</f>
        <v>ESMALTE SINTETICO TERSUAVE 2EN1 BRILLANTE MARRON X  0,500</v>
      </c>
      <c r="C1597" s="1" t="str">
        <f>'001'!D1597</f>
        <v>0152</v>
      </c>
      <c r="D1597" s="3" t="e">
        <f>'001'!H1597</f>
        <v>#VALUE!</v>
      </c>
    </row>
    <row r="1598" spans="1:4" x14ac:dyDescent="0.25">
      <c r="A1598" s="1" t="str">
        <f>'001'!B1598</f>
        <v>002219</v>
      </c>
      <c r="B1598" s="1" t="str">
        <f>'001'!C1598</f>
        <v>ESMALTE SINTETICO TERSUAVE 2EN1 BRILLANTE VERDE CLARO X  0,500</v>
      </c>
      <c r="C1598" s="1" t="str">
        <f>'001'!D1598</f>
        <v>0152</v>
      </c>
      <c r="D1598" s="3" t="e">
        <f>'001'!H1598</f>
        <v>#VALUE!</v>
      </c>
    </row>
    <row r="1599" spans="1:4" x14ac:dyDescent="0.25">
      <c r="A1599" s="1" t="str">
        <f>'001'!B1599</f>
        <v>002220</v>
      </c>
      <c r="B1599" s="1" t="str">
        <f>'001'!C1599</f>
        <v>ESMALTE SINTETICO TERSUAVE 2EN1 BRILLANTE GRIS OSCURO X  0,500</v>
      </c>
      <c r="C1599" s="1" t="str">
        <f>'001'!D1599</f>
        <v>0152</v>
      </c>
      <c r="D1599" s="3" t="e">
        <f>'001'!H1599</f>
        <v>#VALUE!</v>
      </c>
    </row>
    <row r="1600" spans="1:4" x14ac:dyDescent="0.25">
      <c r="A1600" s="1" t="str">
        <f>'001'!B1600</f>
        <v>002223</v>
      </c>
      <c r="B1600" s="1" t="str">
        <f>'001'!C1600</f>
        <v>ESMALTE SINTETICO TERSUAVE 2EN1 BRILLANTE CELESTE X  0,500</v>
      </c>
      <c r="C1600" s="1" t="str">
        <f>'001'!D1600</f>
        <v>0152</v>
      </c>
      <c r="D1600" s="3" t="e">
        <f>'001'!H1600</f>
        <v>#VALUE!</v>
      </c>
    </row>
    <row r="1601" spans="1:4" x14ac:dyDescent="0.25">
      <c r="A1601" s="1" t="str">
        <f>'001'!B1601</f>
        <v>002224</v>
      </c>
      <c r="B1601" s="1" t="str">
        <f>'001'!C1601</f>
        <v>ESMALTE SINTETICO TERSUAVE 2EN1 BRILLANTE MARFIL SEDA X  0,500</v>
      </c>
      <c r="C1601" s="1" t="str">
        <f>'001'!D1601</f>
        <v>0152</v>
      </c>
      <c r="D1601" s="3" t="e">
        <f>'001'!H1601</f>
        <v>#VALUE!</v>
      </c>
    </row>
    <row r="1602" spans="1:4" x14ac:dyDescent="0.25">
      <c r="A1602" s="1" t="str">
        <f>'001'!B1602</f>
        <v>002226</v>
      </c>
      <c r="B1602" s="1" t="str">
        <f>'001'!C1602</f>
        <v>ESMALTE SINTETICO TERSUAVE 2EN1 BRILLANTE GRIS ESPACIAL X  0,500</v>
      </c>
      <c r="C1602" s="1" t="str">
        <f>'001'!D1602</f>
        <v>0152</v>
      </c>
      <c r="D1602" s="3" t="e">
        <f>'001'!H1602</f>
        <v>#VALUE!</v>
      </c>
    </row>
    <row r="1603" spans="1:4" x14ac:dyDescent="0.25">
      <c r="A1603" s="1" t="str">
        <f>'001'!B1603</f>
        <v>002228</v>
      </c>
      <c r="B1603" s="1" t="str">
        <f>'001'!C1603</f>
        <v>ESMALTE SINTETICO TERSUAVE 2EN1 BRILLANTE GRIS PERLA X  0,500</v>
      </c>
      <c r="C1603" s="1" t="str">
        <f>'001'!D1603</f>
        <v>0152</v>
      </c>
      <c r="D1603" s="3" t="e">
        <f>'001'!H1603</f>
        <v>#VALUE!</v>
      </c>
    </row>
    <row r="1604" spans="1:4" x14ac:dyDescent="0.25">
      <c r="A1604" s="1" t="str">
        <f>'001'!B1604</f>
        <v>002229</v>
      </c>
      <c r="B1604" s="1" t="str">
        <f>'001'!C1604</f>
        <v>ESMALTE SINTETICO TERSUAVE 2EN1 BRILLANTE GRIS HIELO X  0,500</v>
      </c>
      <c r="C1604" s="1" t="str">
        <f>'001'!D1604</f>
        <v>0152</v>
      </c>
      <c r="D1604" s="3" t="e">
        <f>'001'!H1604</f>
        <v>#VALUE!</v>
      </c>
    </row>
    <row r="1605" spans="1:4" x14ac:dyDescent="0.25">
      <c r="A1605" s="1" t="str">
        <f>'001'!B1605</f>
        <v>002230</v>
      </c>
      <c r="B1605" s="1" t="str">
        <f>'001'!C1605</f>
        <v>ESMALTE SINTETICO TERSUAVE 2EN1 BRILLANTE VERDE INGLES X  0,500</v>
      </c>
      <c r="C1605" s="1" t="str">
        <f>'001'!D1605</f>
        <v>0152</v>
      </c>
      <c r="D1605" s="3" t="e">
        <f>'001'!H1605</f>
        <v>#VALUE!</v>
      </c>
    </row>
    <row r="1606" spans="1:4" x14ac:dyDescent="0.25">
      <c r="A1606" s="1" t="str">
        <f>'001'!B1606</f>
        <v>002231</v>
      </c>
      <c r="B1606" s="1" t="str">
        <f>'001'!C1606</f>
        <v>ESMALTE POLIURETANO ALBA NEGRO X 4</v>
      </c>
      <c r="C1606" s="1" t="str">
        <f>'001'!D1606</f>
        <v>0112</v>
      </c>
      <c r="D1606" s="3" t="e">
        <f>'001'!H1606</f>
        <v>#VALUE!</v>
      </c>
    </row>
    <row r="1607" spans="1:4" x14ac:dyDescent="0.25">
      <c r="A1607" s="1" t="str">
        <f>'001'!B1607</f>
        <v>002232</v>
      </c>
      <c r="B1607" s="1" t="str">
        <f>'001'!C1607</f>
        <v>ESMALTE SINTETICO TERSUAVE 2EN1 BRILLANTE AZULEJO X  0,500</v>
      </c>
      <c r="C1607" s="1" t="str">
        <f>'001'!D1607</f>
        <v>0152</v>
      </c>
      <c r="D1607" s="3" t="e">
        <f>'001'!H1607</f>
        <v>#VALUE!</v>
      </c>
    </row>
    <row r="1608" spans="1:4" x14ac:dyDescent="0.25">
      <c r="A1608" s="1" t="str">
        <f>'001'!B1608</f>
        <v>002233</v>
      </c>
      <c r="B1608" s="1" t="str">
        <f>'001'!C1608</f>
        <v>ESMALTE SINTETICO TERSUAVE 2EN1 BRILLANTE MARFIL CHAMPAGNE X  0,500</v>
      </c>
      <c r="C1608" s="1" t="str">
        <f>'001'!D1608</f>
        <v>0152</v>
      </c>
      <c r="D1608" s="3" t="e">
        <f>'001'!H1608</f>
        <v>#VALUE!</v>
      </c>
    </row>
    <row r="1609" spans="1:4" x14ac:dyDescent="0.25">
      <c r="A1609" s="1" t="str">
        <f>'001'!B1609</f>
        <v>002234</v>
      </c>
      <c r="B1609" s="1" t="str">
        <f>'001'!C1609</f>
        <v>ESMALTE SINTETICO TERSUAVE 2EN1 BRILLANTE VERDE ILUSION X  0,500</v>
      </c>
      <c r="C1609" s="1" t="str">
        <f>'001'!D1609</f>
        <v>0152</v>
      </c>
      <c r="D1609" s="3" t="e">
        <f>'001'!H1609</f>
        <v>#VALUE!</v>
      </c>
    </row>
    <row r="1610" spans="1:4" x14ac:dyDescent="0.25">
      <c r="A1610" s="1" t="str">
        <f>'001'!B1610</f>
        <v>002235</v>
      </c>
      <c r="B1610" s="1" t="str">
        <f>'001'!C1610</f>
        <v>ESMALTE POLIURETANO ALBA GRIS HIELO X 4</v>
      </c>
      <c r="C1610" s="1" t="str">
        <f>'001'!D1610</f>
        <v>0112</v>
      </c>
      <c r="D1610" s="3" t="e">
        <f>'001'!H1610</f>
        <v>#VALUE!</v>
      </c>
    </row>
    <row r="1611" spans="1:4" x14ac:dyDescent="0.25">
      <c r="A1611" s="1" t="str">
        <f>'001'!B1611</f>
        <v>002236</v>
      </c>
      <c r="B1611" s="1" t="str">
        <f>'001'!C1611</f>
        <v>ESMALTE SINTETICO TERSUAVE 2EN1 BRILLANTE CREMA X  0,500</v>
      </c>
      <c r="C1611" s="1" t="str">
        <f>'001'!D1611</f>
        <v>0152</v>
      </c>
      <c r="D1611" s="3" t="e">
        <f>'001'!H1611</f>
        <v>#VALUE!</v>
      </c>
    </row>
    <row r="1612" spans="1:4" x14ac:dyDescent="0.25">
      <c r="A1612" s="1" t="str">
        <f>'001'!B1612</f>
        <v>002237</v>
      </c>
      <c r="B1612" s="1" t="str">
        <f>'001'!C1612</f>
        <v>ESMALTE SINTETICO TERSUAVE 2EN1 BRILLANTE CASTANO X  0,500</v>
      </c>
      <c r="C1612" s="1" t="str">
        <f>'001'!D1612</f>
        <v>0152</v>
      </c>
      <c r="D1612" s="3" t="e">
        <f>'001'!H1612</f>
        <v>#VALUE!</v>
      </c>
    </row>
    <row r="1613" spans="1:4" x14ac:dyDescent="0.25">
      <c r="A1613" s="1" t="str">
        <f>'001'!B1613</f>
        <v>002238</v>
      </c>
      <c r="B1613" s="1" t="str">
        <f>'001'!C1613</f>
        <v>ESMALTE SINTETICO TERSUAVE 2EN1 BRILLANTE VERDE NOCHE X  0,500</v>
      </c>
      <c r="C1613" s="1" t="str">
        <f>'001'!D1613</f>
        <v>0152</v>
      </c>
      <c r="D1613" s="3" t="e">
        <f>'001'!H1613</f>
        <v>#VALUE!</v>
      </c>
    </row>
    <row r="1614" spans="1:4" x14ac:dyDescent="0.25">
      <c r="A1614" s="1" t="str">
        <f>'001'!B1614</f>
        <v>002241</v>
      </c>
      <c r="B1614" s="1" t="str">
        <f>'001'!C1614</f>
        <v>ESMALTE SINTETICO TERSUAVE 2EN1 BRILLANTE TRAFUL X  0,500</v>
      </c>
      <c r="C1614" s="1" t="str">
        <f>'001'!D1614</f>
        <v>0152</v>
      </c>
      <c r="D1614" s="3" t="e">
        <f>'001'!H1614</f>
        <v>#VALUE!</v>
      </c>
    </row>
    <row r="1615" spans="1:4" x14ac:dyDescent="0.25">
      <c r="A1615" s="1" t="str">
        <f>'001'!B1615</f>
        <v>002242</v>
      </c>
      <c r="B1615" s="1" t="str">
        <f>'001'!C1615</f>
        <v>ESMALTE POLIURETANO ALBA VERDE INGLES X 4</v>
      </c>
      <c r="C1615" s="1" t="str">
        <f>'001'!D1615</f>
        <v>0112</v>
      </c>
      <c r="D1615" s="3" t="e">
        <f>'001'!H1615</f>
        <v>#VALUE!</v>
      </c>
    </row>
    <row r="1616" spans="1:4" x14ac:dyDescent="0.25">
      <c r="A1616" s="1" t="str">
        <f>'001'!B1616</f>
        <v>002243</v>
      </c>
      <c r="B1616" s="1" t="str">
        <f>'001'!C1616</f>
        <v>ESMALTE SINTETICO TERSUAVE 2EN1 BRILLANTE AZUL X  0,500</v>
      </c>
      <c r="C1616" s="1" t="str">
        <f>'001'!D1616</f>
        <v>0152</v>
      </c>
      <c r="D1616" s="3" t="e">
        <f>'001'!H1616</f>
        <v>#VALUE!</v>
      </c>
    </row>
    <row r="1617" spans="1:4" x14ac:dyDescent="0.25">
      <c r="A1617" s="1" t="str">
        <f>'001'!B1617</f>
        <v>002244</v>
      </c>
      <c r="B1617" s="1" t="str">
        <f>'001'!C1617</f>
        <v>DISCO CORTE DOBLE A T41 MASTER ACERO 115X1,6X22,2</v>
      </c>
      <c r="C1617" s="1" t="str">
        <f>'001'!D1617</f>
        <v>0102</v>
      </c>
      <c r="D1617" s="3" t="e">
        <f>'001'!H1617</f>
        <v>#VALUE!</v>
      </c>
    </row>
    <row r="1618" spans="1:4" x14ac:dyDescent="0.25">
      <c r="A1618" s="1" t="str">
        <f>'001'!B1618</f>
        <v>002245</v>
      </c>
      <c r="B1618" s="1" t="str">
        <f>'001'!C1618</f>
        <v>ESMALTE POLIURETANO ALBA BERMELLON X 4</v>
      </c>
      <c r="C1618" s="1" t="str">
        <f>'001'!D1618</f>
        <v>0112</v>
      </c>
      <c r="D1618" s="3" t="e">
        <f>'001'!H1618</f>
        <v>#VALUE!</v>
      </c>
    </row>
    <row r="1619" spans="1:4" x14ac:dyDescent="0.25">
      <c r="A1619" s="1" t="str">
        <f>'001'!B1619</f>
        <v>002246</v>
      </c>
      <c r="B1619" s="1" t="str">
        <f>'001'!C1619</f>
        <v>ESMALTE POLIURETANO ALBA AMARILLO X  4</v>
      </c>
      <c r="C1619" s="1" t="str">
        <f>'001'!D1619</f>
        <v>0112</v>
      </c>
      <c r="D1619" s="3" t="e">
        <f>'001'!H1619</f>
        <v>#VALUE!</v>
      </c>
    </row>
    <row r="1620" spans="1:4" x14ac:dyDescent="0.25">
      <c r="A1620" s="1" t="str">
        <f>'001'!B1620</f>
        <v>002247</v>
      </c>
      <c r="B1620" s="1" t="str">
        <f>'001'!C1620</f>
        <v>ESMALTE SINTETICO TERSUAVE 2EN1 BRILLANTE TABACO X  0,500</v>
      </c>
      <c r="C1620" s="1" t="str">
        <f>'001'!D1620</f>
        <v>0152</v>
      </c>
      <c r="D1620" s="3" t="e">
        <f>'001'!H1620</f>
        <v>#VALUE!</v>
      </c>
    </row>
    <row r="1621" spans="1:4" x14ac:dyDescent="0.25">
      <c r="A1621" s="1" t="str">
        <f>'001'!B1621</f>
        <v>002248</v>
      </c>
      <c r="B1621" s="1" t="str">
        <f>'001'!C1621</f>
        <v>ESMALTE EPOXI TERSUAVE INDULAC BLANCO X  1</v>
      </c>
      <c r="C1621" s="1" t="str">
        <f>'001'!D1621</f>
        <v>0153</v>
      </c>
      <c r="D1621" s="3" t="e">
        <f>'001'!H1621</f>
        <v>#VALUE!</v>
      </c>
    </row>
    <row r="1622" spans="1:4" x14ac:dyDescent="0.25">
      <c r="A1622" s="1" t="str">
        <f>'001'!B1622</f>
        <v>002249</v>
      </c>
      <c r="B1622" s="1" t="str">
        <f>'001'!C1622</f>
        <v>PROTECTOR PARA LADRILLO TERSUAVE IMPRECOL SATINADO NATURAL X  1</v>
      </c>
      <c r="C1622" s="1" t="str">
        <f>'001'!D1622</f>
        <v>0152</v>
      </c>
      <c r="D1622" s="3" t="e">
        <f>'001'!H1622</f>
        <v>#VALUE!</v>
      </c>
    </row>
    <row r="1623" spans="1:4" x14ac:dyDescent="0.25">
      <c r="A1623" s="1" t="str">
        <f>'001'!B1623</f>
        <v>002250</v>
      </c>
      <c r="B1623" s="1" t="str">
        <f>'001'!C1623</f>
        <v>ESMALTE SINTETICO TERSUAVE 2EN1 BRILLANTE VIOLETA X 0,500</v>
      </c>
      <c r="C1623" s="1" t="str">
        <f>'001'!D1623</f>
        <v>0152</v>
      </c>
      <c r="D1623" s="3" t="e">
        <f>'001'!H1623</f>
        <v>#VALUE!</v>
      </c>
    </row>
    <row r="1624" spans="1:4" x14ac:dyDescent="0.25">
      <c r="A1624" s="1" t="str">
        <f>'001'!B1624</f>
        <v>002251</v>
      </c>
      <c r="B1624" s="1" t="str">
        <f>'001'!C1624</f>
        <v>PROTECTOR PARA LADRILLO TERSUAVE IMPRECOL SATINADO CERAMICO X  1</v>
      </c>
      <c r="C1624" s="1" t="str">
        <f>'001'!D1624</f>
        <v>0152</v>
      </c>
      <c r="D1624" s="3" t="e">
        <f>'001'!H1624</f>
        <v>#VALUE!</v>
      </c>
    </row>
    <row r="1625" spans="1:4" x14ac:dyDescent="0.25">
      <c r="A1625" s="1" t="str">
        <f>'001'!B1625</f>
        <v>002254</v>
      </c>
      <c r="B1625" s="1" t="str">
        <f>'001'!C1625</f>
        <v>IMPERMEABLIZANTE PARA TECHOS RECUPLAST FIBRADO BLANCO X 10</v>
      </c>
      <c r="C1625" s="1" t="str">
        <f>'001'!D1625</f>
        <v>0150</v>
      </c>
      <c r="D1625" s="3" t="e">
        <f>'001'!H1625</f>
        <v>#VALUE!</v>
      </c>
    </row>
    <row r="1626" spans="1:4" x14ac:dyDescent="0.25">
      <c r="A1626" s="1" t="str">
        <f>'001'!B1626</f>
        <v>002256</v>
      </c>
      <c r="B1626" s="1" t="str">
        <f>'001'!C1626</f>
        <v>ESMALTE SINTETICO TERSUAVE 2EN1 BRILLANTE AMAR.MED. X  0,500</v>
      </c>
      <c r="C1626" s="1" t="str">
        <f>'001'!D1626</f>
        <v>0152</v>
      </c>
      <c r="D1626" s="3" t="e">
        <f>'001'!H1626</f>
        <v>#VALUE!</v>
      </c>
    </row>
    <row r="1627" spans="1:4" x14ac:dyDescent="0.25">
      <c r="A1627" s="1" t="str">
        <f>'001'!B1627</f>
        <v>002266</v>
      </c>
      <c r="B1627" s="1" t="str">
        <f>'001'!C1627</f>
        <v>HOJA RECTA ALUMINIO SIN FIN 8 ESC</v>
      </c>
      <c r="C1627" s="1" t="str">
        <f>'001'!D1627</f>
        <v>0149</v>
      </c>
      <c r="D1627" s="3" t="e">
        <f>'001'!H1627</f>
        <v>#VALUE!</v>
      </c>
    </row>
    <row r="1628" spans="1:4" x14ac:dyDescent="0.25">
      <c r="A1628" s="1" t="str">
        <f>'001'!B1628</f>
        <v>002267</v>
      </c>
      <c r="B1628" s="1" t="str">
        <f>'001'!C1628</f>
        <v>HOJA RECTA ALUMINIO SIN FIN 10 ESC</v>
      </c>
      <c r="C1628" s="1" t="str">
        <f>'001'!D1628</f>
        <v>0149</v>
      </c>
      <c r="D1628" s="3" t="e">
        <f>'001'!H1628</f>
        <v>#VALUE!</v>
      </c>
    </row>
    <row r="1629" spans="1:4" x14ac:dyDescent="0.25">
      <c r="A1629" s="1" t="str">
        <f>'001'!B1629</f>
        <v>002268</v>
      </c>
      <c r="B1629" s="1" t="str">
        <f>'001'!C1629</f>
        <v>HOJA RECTA ALUMINIO SIN FIN 12 ESC</v>
      </c>
      <c r="C1629" s="1" t="str">
        <f>'001'!D1629</f>
        <v>0149</v>
      </c>
      <c r="D1629" s="3" t="e">
        <f>'001'!H1629</f>
        <v>#VALUE!</v>
      </c>
    </row>
    <row r="1630" spans="1:4" x14ac:dyDescent="0.25">
      <c r="A1630" s="1" t="str">
        <f>'001'!B1630</f>
        <v>002269</v>
      </c>
      <c r="B1630" s="1" t="str">
        <f>'001'!C1630</f>
        <v>HOJA RECTA ALUMINIO SIN FIN 14 ESC</v>
      </c>
      <c r="C1630" s="1" t="str">
        <f>'001'!D1630</f>
        <v>0149</v>
      </c>
      <c r="D1630" s="3" t="e">
        <f>'001'!H1630</f>
        <v>#VALUE!</v>
      </c>
    </row>
    <row r="1631" spans="1:4" x14ac:dyDescent="0.25">
      <c r="A1631" s="1" t="str">
        <f>'001'!B1631</f>
        <v>002270</v>
      </c>
      <c r="B1631" s="1" t="str">
        <f>'001'!C1631</f>
        <v>HOJA RECTA ALUMINIO SIN FIN 16 ESC</v>
      </c>
      <c r="C1631" s="1" t="str">
        <f>'001'!D1631</f>
        <v>0149</v>
      </c>
      <c r="D1631" s="3" t="e">
        <f>'001'!H1631</f>
        <v>#VALUE!</v>
      </c>
    </row>
    <row r="1632" spans="1:4" x14ac:dyDescent="0.25">
      <c r="A1632" s="1" t="str">
        <f>'001'!B1632</f>
        <v>002271</v>
      </c>
      <c r="B1632" s="1" t="str">
        <f>'001'!C1632</f>
        <v>HOJA RECTA ALUMINIO SIN FIN 18 ESC</v>
      </c>
      <c r="C1632" s="1" t="str">
        <f>'001'!D1632</f>
        <v>0149</v>
      </c>
      <c r="D1632" s="3" t="e">
        <f>'001'!H1632</f>
        <v>#VALUE!</v>
      </c>
    </row>
    <row r="1633" spans="1:4" x14ac:dyDescent="0.25">
      <c r="A1633" s="1" t="str">
        <f>'001'!B1633</f>
        <v>002272</v>
      </c>
      <c r="B1633" s="1" t="str">
        <f>'001'!C1633</f>
        <v>HOJA RECTA ALUMINIO SIN FIN 20 ESC</v>
      </c>
      <c r="C1633" s="1" t="str">
        <f>'001'!D1633</f>
        <v>0149</v>
      </c>
      <c r="D1633" s="3" t="e">
        <f>'001'!H1633</f>
        <v>#VALUE!</v>
      </c>
    </row>
    <row r="1634" spans="1:4" x14ac:dyDescent="0.25">
      <c r="A1634" s="1" t="str">
        <f>'001'!B1634</f>
        <v>002273</v>
      </c>
      <c r="B1634" s="1" t="str">
        <f>'001'!C1634</f>
        <v>HOJA RECTA ALUMINIO SIN FIN 22 ESC</v>
      </c>
      <c r="C1634" s="1" t="str">
        <f>'001'!D1634</f>
        <v>0149</v>
      </c>
      <c r="D1634" s="3" t="e">
        <f>'001'!H1634</f>
        <v>#VALUE!</v>
      </c>
    </row>
    <row r="1635" spans="1:4" x14ac:dyDescent="0.25">
      <c r="A1635" s="1" t="str">
        <f>'001'!B1635</f>
        <v>002274</v>
      </c>
      <c r="B1635" s="1" t="str">
        <f>'001'!C1635</f>
        <v>DISCO LIJA DOBLE A MASTER PLUMA AUF8P 127X- 80</v>
      </c>
      <c r="C1635" s="1" t="str">
        <f>'001'!D1635</f>
        <v>0102</v>
      </c>
      <c r="D1635" s="3" t="e">
        <f>'001'!H1635</f>
        <v>#VALUE!</v>
      </c>
    </row>
    <row r="1636" spans="1:4" x14ac:dyDescent="0.25">
      <c r="A1636" s="1" t="str">
        <f>'001'!B1636</f>
        <v>002275</v>
      </c>
      <c r="B1636" s="1" t="str">
        <f>'001'!C1636</f>
        <v>DISCO LIJA DOBLE A MASTER PLUMA AUF8P 127X-100</v>
      </c>
      <c r="C1636" s="1" t="str">
        <f>'001'!D1636</f>
        <v>0102</v>
      </c>
      <c r="D1636" s="3" t="e">
        <f>'001'!H1636</f>
        <v>#VALUE!</v>
      </c>
    </row>
    <row r="1637" spans="1:4" x14ac:dyDescent="0.25">
      <c r="A1637" s="1" t="str">
        <f>'001'!B1637</f>
        <v>002276</v>
      </c>
      <c r="B1637" s="1" t="str">
        <f>'001'!C1637</f>
        <v>DISCO LIJA DOBLE A MASTER PLUMA AUF8P 127X-120</v>
      </c>
      <c r="C1637" s="1" t="str">
        <f>'001'!D1637</f>
        <v>0102</v>
      </c>
      <c r="D1637" s="3" t="e">
        <f>'001'!H1637</f>
        <v>#VALUE!</v>
      </c>
    </row>
    <row r="1638" spans="1:4" x14ac:dyDescent="0.25">
      <c r="A1638" s="1" t="str">
        <f>'001'!B1638</f>
        <v>002277</v>
      </c>
      <c r="B1638" s="1" t="str">
        <f>'001'!C1638</f>
        <v>DISCO LIJA DOBLE A MASTER PLUMA AUF8P 127X-150</v>
      </c>
      <c r="C1638" s="1" t="str">
        <f>'001'!D1638</f>
        <v>0102</v>
      </c>
      <c r="D1638" s="3" t="e">
        <f>'001'!H1638</f>
        <v>#VALUE!</v>
      </c>
    </row>
    <row r="1639" spans="1:4" x14ac:dyDescent="0.25">
      <c r="A1639" s="1" t="str">
        <f>'001'!B1639</f>
        <v>002278</v>
      </c>
      <c r="B1639" s="1" t="str">
        <f>'001'!C1639</f>
        <v>DISCO LIJA DOBLE A MASTER PLUMA AUF8P 127X-180</v>
      </c>
      <c r="C1639" s="1" t="str">
        <f>'001'!D1639</f>
        <v>0102</v>
      </c>
      <c r="D1639" s="3" t="e">
        <f>'001'!H1639</f>
        <v>#VALUE!</v>
      </c>
    </row>
    <row r="1640" spans="1:4" x14ac:dyDescent="0.25">
      <c r="A1640" s="1" t="str">
        <f>'001'!B1640</f>
        <v>002279</v>
      </c>
      <c r="B1640" s="1" t="str">
        <f>'001'!C1640</f>
        <v>DISCO LIJA DOBLE A MASTER PLUMA AUF8P 127X-220</v>
      </c>
      <c r="C1640" s="1" t="str">
        <f>'001'!D1640</f>
        <v>0102</v>
      </c>
      <c r="D1640" s="3" t="e">
        <f>'001'!H1640</f>
        <v>#VALUE!</v>
      </c>
    </row>
    <row r="1641" spans="1:4" x14ac:dyDescent="0.25">
      <c r="A1641" s="1" t="str">
        <f>'001'!B1641</f>
        <v>002280</v>
      </c>
      <c r="B1641" s="1" t="str">
        <f>'001'!C1641</f>
        <v>DISCO LIJA DOBLE A MASTER PLUMA AUF8P 127X-240</v>
      </c>
      <c r="C1641" s="1" t="str">
        <f>'001'!D1641</f>
        <v>0102</v>
      </c>
      <c r="D1641" s="3" t="e">
        <f>'001'!H1641</f>
        <v>#VALUE!</v>
      </c>
    </row>
    <row r="1642" spans="1:4" x14ac:dyDescent="0.25">
      <c r="A1642" s="1" t="str">
        <f>'001'!B1642</f>
        <v>002281</v>
      </c>
      <c r="B1642" s="1" t="str">
        <f>'001'!C1642</f>
        <v>DISCO LIJA DOBLE A MASTER PLUMA AUF8P 127X-280</v>
      </c>
      <c r="C1642" s="1" t="str">
        <f>'001'!D1642</f>
        <v>0102</v>
      </c>
      <c r="D1642" s="3" t="e">
        <f>'001'!H1642</f>
        <v>#VALUE!</v>
      </c>
    </row>
    <row r="1643" spans="1:4" x14ac:dyDescent="0.25">
      <c r="A1643" s="1" t="str">
        <f>'001'!B1643</f>
        <v>002282</v>
      </c>
      <c r="B1643" s="1" t="str">
        <f>'001'!C1643</f>
        <v>DISCO LIJA DOBLE A MASTER PLUMA AUF8P 127X-320</v>
      </c>
      <c r="C1643" s="1" t="str">
        <f>'001'!D1643</f>
        <v>0102</v>
      </c>
      <c r="D1643" s="3" t="e">
        <f>'001'!H1643</f>
        <v>#VALUE!</v>
      </c>
    </row>
    <row r="1644" spans="1:4" x14ac:dyDescent="0.25">
      <c r="A1644" s="1" t="str">
        <f>'001'!B1644</f>
        <v>002283</v>
      </c>
      <c r="B1644" s="1" t="str">
        <f>'001'!C1644</f>
        <v>DISCO LIJA DOBLE A MASTER PLUMA AUF8P 127X-360</v>
      </c>
      <c r="C1644" s="1" t="str">
        <f>'001'!D1644</f>
        <v>0102</v>
      </c>
      <c r="D1644" s="3" t="e">
        <f>'001'!H1644</f>
        <v>#VALUE!</v>
      </c>
    </row>
    <row r="1645" spans="1:4" x14ac:dyDescent="0.25">
      <c r="A1645" s="1" t="str">
        <f>'001'!B1645</f>
        <v>002284</v>
      </c>
      <c r="B1645" s="1" t="str">
        <f>'001'!C1645</f>
        <v>DISCO LIJA DOBLE A MASTER AUF8P 127X-400</v>
      </c>
      <c r="C1645" s="1" t="str">
        <f>'001'!D1645</f>
        <v>0102</v>
      </c>
      <c r="D1645" s="3" t="e">
        <f>'001'!H1645</f>
        <v>#VALUE!</v>
      </c>
    </row>
    <row r="1646" spans="1:4" x14ac:dyDescent="0.25">
      <c r="A1646" s="1" t="str">
        <f>'001'!B1646</f>
        <v>002285</v>
      </c>
      <c r="B1646" s="1" t="str">
        <f>'001'!C1646</f>
        <v>DISCO LIJA DOBLE A MASTER AUF8P 127X-600</v>
      </c>
      <c r="C1646" s="1" t="str">
        <f>'001'!D1646</f>
        <v>0102</v>
      </c>
      <c r="D1646" s="3" t="e">
        <f>'001'!H1646</f>
        <v>#VALUE!</v>
      </c>
    </row>
    <row r="1647" spans="1:4" x14ac:dyDescent="0.25">
      <c r="A1647" s="1" t="str">
        <f>'001'!B1647</f>
        <v>002286</v>
      </c>
      <c r="B1647" s="1" t="str">
        <f>'001'!C1647</f>
        <v>PANO DE FIBRA ABRASIVA DOBLE A ABRATEX 150X225 #100 (MARRON)</v>
      </c>
      <c r="C1647" s="1" t="str">
        <f>'001'!D1647</f>
        <v>0102</v>
      </c>
      <c r="D1647" s="3" t="e">
        <f>'001'!H1647</f>
        <v>#VALUE!</v>
      </c>
    </row>
    <row r="1648" spans="1:4" x14ac:dyDescent="0.25">
      <c r="A1648" s="1" t="str">
        <f>'001'!B1648</f>
        <v>002287</v>
      </c>
      <c r="B1648" s="1" t="str">
        <f>'001'!C1648</f>
        <v>PANO DE FIBRA ABRASIVA DOBLE A ABRATEX 150X225 #220 (MARRON)</v>
      </c>
      <c r="C1648" s="1" t="str">
        <f>'001'!D1648</f>
        <v>0102</v>
      </c>
      <c r="D1648" s="3" t="e">
        <f>'001'!H1648</f>
        <v>#VALUE!</v>
      </c>
    </row>
    <row r="1649" spans="1:4" x14ac:dyDescent="0.25">
      <c r="A1649" s="1" t="str">
        <f>'001'!B1649</f>
        <v>002288</v>
      </c>
      <c r="B1649" s="1" t="str">
        <f>'001'!C1649</f>
        <v>PANO DE FIBRA ABRASIVA DOBLE A ABRATEX 150X225 #320 (VERDE)</v>
      </c>
      <c r="C1649" s="1" t="str">
        <f>'001'!D1649</f>
        <v>0102</v>
      </c>
      <c r="D1649" s="3" t="e">
        <f>'001'!H1649</f>
        <v>#VALUE!</v>
      </c>
    </row>
    <row r="1650" spans="1:4" x14ac:dyDescent="0.25">
      <c r="A1650" s="1" t="str">
        <f>'001'!B1650</f>
        <v>002289</v>
      </c>
      <c r="B1650" s="1" t="str">
        <f>'001'!C1650</f>
        <v>PANO DE FIBRA ABRASIVA DOBLE A ABRATEX 150X225 #400 (BORDO)</v>
      </c>
      <c r="C1650" s="1" t="str">
        <f>'001'!D1650</f>
        <v>0102</v>
      </c>
      <c r="D1650" s="3" t="e">
        <f>'001'!H1650</f>
        <v>#VALUE!</v>
      </c>
    </row>
    <row r="1651" spans="1:4" x14ac:dyDescent="0.25">
      <c r="A1651" s="1" t="str">
        <f>'001'!B1651</f>
        <v>002290</v>
      </c>
      <c r="B1651" s="1" t="str">
        <f>'001'!C1651</f>
        <v>PANO DE FIBRA ABRASIVA DOBLE A ABRATEX 150X225 #600 (GRIS)</v>
      </c>
      <c r="C1651" s="1" t="str">
        <f>'001'!D1651</f>
        <v>0902</v>
      </c>
      <c r="D1651" s="3" t="e">
        <f>'001'!H1651</f>
        <v>#VALUE!</v>
      </c>
    </row>
    <row r="1652" spans="1:4" x14ac:dyDescent="0.25">
      <c r="A1652" s="1" t="str">
        <f>'001'!B1652</f>
        <v>002291</v>
      </c>
      <c r="B1652" s="1" t="str">
        <f>'001'!C1652</f>
        <v>LACA NITROSINTETICA TERSUAVE BLANCO PURO X 4</v>
      </c>
      <c r="C1652" s="1" t="str">
        <f>'001'!D1652</f>
        <v>0902</v>
      </c>
      <c r="D1652" s="3" t="e">
        <f>'001'!H1652</f>
        <v>#VALUE!</v>
      </c>
    </row>
    <row r="1653" spans="1:4" x14ac:dyDescent="0.25">
      <c r="A1653" s="1" t="str">
        <f>'001'!B1653</f>
        <v>002292</v>
      </c>
      <c r="B1653" s="1" t="str">
        <f>'001'!C1653</f>
        <v>LACA NITROSINTETICA TERSUAVE AMARILLO TAXI X 4</v>
      </c>
      <c r="C1653" s="1" t="str">
        <f>'001'!D1653</f>
        <v>0902</v>
      </c>
      <c r="D1653" s="3" t="e">
        <f>'001'!H1653</f>
        <v>#VALUE!</v>
      </c>
    </row>
    <row r="1654" spans="1:4" x14ac:dyDescent="0.25">
      <c r="A1654" s="1" t="str">
        <f>'001'!B1654</f>
        <v>002293</v>
      </c>
      <c r="B1654" s="1" t="str">
        <f>'001'!C1654</f>
        <v>LACA NITROSINTETICA TERSUAVE NARANJA ESC.X 4</v>
      </c>
      <c r="C1654" s="1" t="str">
        <f>'001'!D1654</f>
        <v>0902</v>
      </c>
      <c r="D1654" s="3" t="e">
        <f>'001'!H1654</f>
        <v>#VALUE!</v>
      </c>
    </row>
    <row r="1655" spans="1:4" x14ac:dyDescent="0.25">
      <c r="A1655" s="1" t="str">
        <f>'001'!B1655</f>
        <v>002294</v>
      </c>
      <c r="B1655" s="1" t="str">
        <f>'001'!C1655</f>
        <v>LACA NITROSINTETICA TERSUAVE NEGRO AZABACHE X 4</v>
      </c>
      <c r="C1655" s="1" t="str">
        <f>'001'!D1655</f>
        <v>0902</v>
      </c>
      <c r="D1655" s="3" t="e">
        <f>'001'!H1655</f>
        <v>#VALUE!</v>
      </c>
    </row>
    <row r="1656" spans="1:4" x14ac:dyDescent="0.25">
      <c r="A1656" s="1" t="str">
        <f>'001'!B1656</f>
        <v>002295</v>
      </c>
      <c r="B1656" s="1" t="str">
        <f>'001'!C1656</f>
        <v>LACA NITROSINTETICA TERSUAVE NEGRO SATINADO X 4</v>
      </c>
      <c r="C1656" s="1" t="str">
        <f>'001'!D1656</f>
        <v>0902</v>
      </c>
      <c r="D1656" s="3" t="e">
        <f>'001'!H1656</f>
        <v>#VALUE!</v>
      </c>
    </row>
    <row r="1657" spans="1:4" x14ac:dyDescent="0.25">
      <c r="A1657" s="1" t="str">
        <f>'001'!B1657</f>
        <v>002296</v>
      </c>
      <c r="B1657" s="1" t="str">
        <f>'001'!C1657</f>
        <v>LACA NITROSINTETICA TERSUAVE ALUMINIO PARA LLANTAS X 4</v>
      </c>
      <c r="C1657" s="1" t="str">
        <f>'001'!D1657</f>
        <v>0902</v>
      </c>
      <c r="D1657" s="3" t="e">
        <f>'001'!H1657</f>
        <v>#VALUE!</v>
      </c>
    </row>
    <row r="1658" spans="1:4" x14ac:dyDescent="0.25">
      <c r="A1658" s="1" t="str">
        <f>'001'!B1658</f>
        <v>002300</v>
      </c>
      <c r="B1658" s="1" t="str">
        <f>'001'!C1658</f>
        <v>ESMALTE SINTETICO PARA PIZARRON TERSUAVE MATE VERDE X 1</v>
      </c>
      <c r="C1658" s="1" t="str">
        <f>'001'!D1658</f>
        <v>0152</v>
      </c>
      <c r="D1658" s="3" t="e">
        <f>'001'!H1658</f>
        <v>#VALUE!</v>
      </c>
    </row>
    <row r="1659" spans="1:4" x14ac:dyDescent="0.25">
      <c r="A1659" s="1" t="str">
        <f>'001'!B1659</f>
        <v>002301</v>
      </c>
      <c r="B1659" s="1" t="str">
        <f>'001'!C1659</f>
        <v>ESMALTE SINTETICO TERSUAVE 2EN1 BRILLANTE BLANCO X  1</v>
      </c>
      <c r="C1659" s="1" t="str">
        <f>'001'!D1659</f>
        <v>0152</v>
      </c>
      <c r="D1659" s="3" t="e">
        <f>'001'!H1659</f>
        <v>#VALUE!</v>
      </c>
    </row>
    <row r="1660" spans="1:4" x14ac:dyDescent="0.25">
      <c r="A1660" s="1" t="str">
        <f>'001'!B1660</f>
        <v>002302</v>
      </c>
      <c r="B1660" s="1" t="str">
        <f>'001'!C1660</f>
        <v>ESMALTE SINTETICO TERSUAVE 2EN1 BRILLANTE BERMELLON X  1</v>
      </c>
      <c r="C1660" s="1" t="str">
        <f>'001'!D1660</f>
        <v>0152</v>
      </c>
      <c r="D1660" s="3" t="e">
        <f>'001'!H1660</f>
        <v>#VALUE!</v>
      </c>
    </row>
    <row r="1661" spans="1:4" x14ac:dyDescent="0.25">
      <c r="A1661" s="1" t="str">
        <f>'001'!B1661</f>
        <v>002303</v>
      </c>
      <c r="B1661" s="1" t="str">
        <f>'001'!C1661</f>
        <v>ESMALTE SINTETICO TERSUAVE 2EN1 BRILLANTE NARANJA X  1</v>
      </c>
      <c r="C1661" s="1" t="str">
        <f>'001'!D1661</f>
        <v>0152</v>
      </c>
      <c r="D1661" s="3" t="e">
        <f>'001'!H1661</f>
        <v>#VALUE!</v>
      </c>
    </row>
    <row r="1662" spans="1:4" x14ac:dyDescent="0.25">
      <c r="A1662" s="1" t="str">
        <f>'001'!B1662</f>
        <v>002304</v>
      </c>
      <c r="B1662" s="1" t="str">
        <f>'001'!C1662</f>
        <v>ESMALTE SINTETICO TERSUAVE 2EN1 BRILLANTE AMARILLO X  1</v>
      </c>
      <c r="C1662" s="1" t="str">
        <f>'001'!D1662</f>
        <v>0152</v>
      </c>
      <c r="D1662" s="3" t="e">
        <f>'001'!H1662</f>
        <v>#VALUE!</v>
      </c>
    </row>
    <row r="1663" spans="1:4" x14ac:dyDescent="0.25">
      <c r="A1663" s="1" t="str">
        <f>'001'!B1663</f>
        <v>002305</v>
      </c>
      <c r="B1663" s="1" t="str">
        <f>'001'!C1663</f>
        <v>FONDO PARA MADERA TERSUAVE BLANCO X  1</v>
      </c>
      <c r="C1663" s="1" t="str">
        <f>'001'!D1663</f>
        <v>0152</v>
      </c>
      <c r="D1663" s="3" t="e">
        <f>'001'!H1663</f>
        <v>#VALUE!</v>
      </c>
    </row>
    <row r="1664" spans="1:4" x14ac:dyDescent="0.25">
      <c r="A1664" s="1" t="str">
        <f>'001'!B1664</f>
        <v>002306</v>
      </c>
      <c r="B1664" s="1" t="str">
        <f>'001'!C1664</f>
        <v>BARNIZ MARINO PARA MADERA TERSUAVE BRILLANTE X  1</v>
      </c>
      <c r="C1664" s="1" t="str">
        <f>'001'!D1664</f>
        <v>0152</v>
      </c>
      <c r="D1664" s="3" t="e">
        <f>'001'!H1664</f>
        <v>#VALUE!</v>
      </c>
    </row>
    <row r="1665" spans="1:4" x14ac:dyDescent="0.25">
      <c r="A1665" s="1" t="str">
        <f>'001'!B1665</f>
        <v>002307</v>
      </c>
      <c r="B1665" s="1" t="str">
        <f>'001'!C1665</f>
        <v>ESMALTE SINTETICO TERSUAVE ALTA TEMPERATURA ALUMINIO X 1</v>
      </c>
      <c r="C1665" s="1" t="str">
        <f>'001'!D1665</f>
        <v>0153</v>
      </c>
      <c r="D1665" s="3" t="e">
        <f>'001'!H1665</f>
        <v>#VALUE!</v>
      </c>
    </row>
    <row r="1666" spans="1:4" x14ac:dyDescent="0.25">
      <c r="A1666" s="1" t="str">
        <f>'001'!B1666</f>
        <v>002308</v>
      </c>
      <c r="B1666" s="1" t="str">
        <f>'001'!C1666</f>
        <v>ESMALTE SINTETICO TERSUAVE ALTA TEMPERATURA NEGRO X 1</v>
      </c>
      <c r="C1666" s="1" t="str">
        <f>'001'!D1666</f>
        <v>0153</v>
      </c>
      <c r="D1666" s="3" t="e">
        <f>'001'!H1666</f>
        <v>#VALUE!</v>
      </c>
    </row>
    <row r="1667" spans="1:4" x14ac:dyDescent="0.25">
      <c r="A1667" s="1" t="str">
        <f>'001'!B1667</f>
        <v>002309</v>
      </c>
      <c r="B1667" s="1" t="str">
        <f>'001'!C1667</f>
        <v>ESMALTE SINTETICO TERSUAVE 2EN1 BRILLANTE BEIGE X  1</v>
      </c>
      <c r="C1667" s="1" t="str">
        <f>'001'!D1667</f>
        <v>0152</v>
      </c>
      <c r="D1667" s="3" t="e">
        <f>'001'!H1667</f>
        <v>#VALUE!</v>
      </c>
    </row>
    <row r="1668" spans="1:4" x14ac:dyDescent="0.25">
      <c r="A1668" s="1" t="str">
        <f>'001'!B1668</f>
        <v>002310</v>
      </c>
      <c r="B1668" s="1" t="str">
        <f>'001'!C1668</f>
        <v>ESMALTE SINTETICO PARA PIZARRON TERSUAVE MATE NEGRO X 1</v>
      </c>
      <c r="C1668" s="1" t="str">
        <f>'001'!D1668</f>
        <v>0152</v>
      </c>
      <c r="D1668" s="3" t="e">
        <f>'001'!H1668</f>
        <v>#VALUE!</v>
      </c>
    </row>
    <row r="1669" spans="1:4" x14ac:dyDescent="0.25">
      <c r="A1669" s="1" t="str">
        <f>'001'!B1669</f>
        <v>002311</v>
      </c>
      <c r="B1669" s="1" t="str">
        <f>'001'!C1669</f>
        <v>ESMALTE SINTETICO TERSUAVE ALTA TEMPERATURA BLANCO X 1</v>
      </c>
      <c r="C1669" s="1" t="str">
        <f>'001'!D1669</f>
        <v>0153</v>
      </c>
      <c r="D1669" s="3" t="e">
        <f>'001'!H1669</f>
        <v>#VALUE!</v>
      </c>
    </row>
    <row r="1670" spans="1:4" x14ac:dyDescent="0.25">
      <c r="A1670" s="1" t="str">
        <f>'001'!B1670</f>
        <v>002312</v>
      </c>
      <c r="B1670" s="1" t="str">
        <f>'001'!C1670</f>
        <v>DEMARCACION VIAL TERSUAVE BLANCO X  4</v>
      </c>
      <c r="C1670" s="1" t="str">
        <f>'001'!D1670</f>
        <v>0153</v>
      </c>
      <c r="D1670" s="3" t="e">
        <f>'001'!H1670</f>
        <v>#VALUE!</v>
      </c>
    </row>
    <row r="1671" spans="1:4" x14ac:dyDescent="0.25">
      <c r="A1671" s="1" t="str">
        <f>'001'!B1671</f>
        <v>002313</v>
      </c>
      <c r="B1671" s="1" t="str">
        <f>'001'!C1671</f>
        <v>ESMALTE SINTETICO TERSUAVE 2EN1 BRILLANTE CEDRO X  1</v>
      </c>
      <c r="C1671" s="1" t="str">
        <f>'001'!D1671</f>
        <v>0152</v>
      </c>
      <c r="D1671" s="3" t="e">
        <f>'001'!H1671</f>
        <v>#VALUE!</v>
      </c>
    </row>
    <row r="1672" spans="1:4" x14ac:dyDescent="0.25">
      <c r="A1672" s="1" t="str">
        <f>'001'!B1672</f>
        <v>002315</v>
      </c>
      <c r="B1672" s="1" t="str">
        <f>'001'!C1672</f>
        <v>ESMALTE SINTETICO TERSUAVE 2EN1 BRILLANTE NEGRO X  1</v>
      </c>
      <c r="C1672" s="1" t="str">
        <f>'001'!D1672</f>
        <v>0152</v>
      </c>
      <c r="D1672" s="3" t="e">
        <f>'001'!H1672</f>
        <v>#VALUE!</v>
      </c>
    </row>
    <row r="1673" spans="1:4" x14ac:dyDescent="0.25">
      <c r="A1673" s="1" t="str">
        <f>'001'!B1673</f>
        <v>002316</v>
      </c>
      <c r="B1673" s="1" t="str">
        <f>'001'!C1673</f>
        <v>ESMALTE SINTETICO TERSUAVE 2EN1 BRILLANTE ORO X 1</v>
      </c>
      <c r="C1673" s="1" t="str">
        <f>'001'!D1673</f>
        <v>0152</v>
      </c>
      <c r="D1673" s="3" t="e">
        <f>'001'!H1673</f>
        <v>#VALUE!</v>
      </c>
    </row>
    <row r="1674" spans="1:4" x14ac:dyDescent="0.25">
      <c r="A1674" s="1" t="str">
        <f>'001'!B1674</f>
        <v>002317</v>
      </c>
      <c r="B1674" s="1" t="str">
        <f>'001'!C1674</f>
        <v>ESMALTE SINTETICO TERSUAVE 2EN1 BRILLANTE ALUMINIO X  1</v>
      </c>
      <c r="C1674" s="1" t="str">
        <f>'001'!D1674</f>
        <v>0152</v>
      </c>
      <c r="D1674" s="3" t="e">
        <f>'001'!H1674</f>
        <v>#VALUE!</v>
      </c>
    </row>
    <row r="1675" spans="1:4" x14ac:dyDescent="0.25">
      <c r="A1675" s="1" t="str">
        <f>'001'!B1675</f>
        <v>002318</v>
      </c>
      <c r="B1675" s="1" t="str">
        <f>'001'!C1675</f>
        <v>ESMALTE SINTETICO TERSUAVE 2EN1 BRILLANTE MARRON X  1</v>
      </c>
      <c r="C1675" s="1" t="str">
        <f>'001'!D1675</f>
        <v>0152</v>
      </c>
      <c r="D1675" s="3" t="e">
        <f>'001'!H1675</f>
        <v>#VALUE!</v>
      </c>
    </row>
    <row r="1676" spans="1:4" x14ac:dyDescent="0.25">
      <c r="A1676" s="1" t="str">
        <f>'001'!B1676</f>
        <v>002319</v>
      </c>
      <c r="B1676" s="1" t="str">
        <f>'001'!C1676</f>
        <v>ESMALTE SINTETICO TERSUAVE 2EN1 BRILLANTE VERDE CLARO X  1</v>
      </c>
      <c r="C1676" s="1" t="str">
        <f>'001'!D1676</f>
        <v>0152</v>
      </c>
      <c r="D1676" s="3" t="e">
        <f>'001'!H1676</f>
        <v>#VALUE!</v>
      </c>
    </row>
    <row r="1677" spans="1:4" x14ac:dyDescent="0.25">
      <c r="A1677" s="1" t="str">
        <f>'001'!B1677</f>
        <v>002320</v>
      </c>
      <c r="B1677" s="1" t="str">
        <f>'001'!C1677</f>
        <v>ESMALTE SINTETICO TERSUAVE 2EN1 BRILLANTE GRIS OSCURO X  1</v>
      </c>
      <c r="C1677" s="1" t="str">
        <f>'001'!D1677</f>
        <v>0152</v>
      </c>
      <c r="D1677" s="3" t="e">
        <f>'001'!H1677</f>
        <v>#VALUE!</v>
      </c>
    </row>
    <row r="1678" spans="1:4" x14ac:dyDescent="0.25">
      <c r="A1678" s="1" t="str">
        <f>'001'!B1678</f>
        <v>002321</v>
      </c>
      <c r="B1678" s="1" t="str">
        <f>'001'!C1678</f>
        <v>DISCO CORTE DOBLE A T41 MASTER ACERO 115X1,0X22,2</v>
      </c>
      <c r="C1678" s="1" t="str">
        <f>'001'!D1678</f>
        <v>0102</v>
      </c>
      <c r="D1678" s="3" t="e">
        <f>'001'!H1678</f>
        <v>#VALUE!</v>
      </c>
    </row>
    <row r="1679" spans="1:4" x14ac:dyDescent="0.25">
      <c r="A1679" s="1" t="str">
        <f>'001'!B1679</f>
        <v>002322</v>
      </c>
      <c r="B1679" s="1" t="str">
        <f>'001'!C1679</f>
        <v>DISCO DESBASTE DOBLE A T27 MASTER ACERO 115X6,4X22,2</v>
      </c>
      <c r="C1679" s="1" t="str">
        <f>'001'!D1679</f>
        <v>0102</v>
      </c>
      <c r="D1679" s="3" t="e">
        <f>'001'!H1679</f>
        <v>#VALUE!</v>
      </c>
    </row>
    <row r="1680" spans="1:4" x14ac:dyDescent="0.25">
      <c r="A1680" s="1" t="str">
        <f>'001'!B1680</f>
        <v>002323</v>
      </c>
      <c r="B1680" s="1" t="str">
        <f>'001'!C1680</f>
        <v>ESMALTE SINTETICO TERSUAVE 2EN1 BRILLANTE CELESTE X  1</v>
      </c>
      <c r="C1680" s="1" t="str">
        <f>'001'!D1680</f>
        <v>0152</v>
      </c>
      <c r="D1680" s="3" t="e">
        <f>'001'!H1680</f>
        <v>#VALUE!</v>
      </c>
    </row>
    <row r="1681" spans="1:4" x14ac:dyDescent="0.25">
      <c r="A1681" s="1" t="str">
        <f>'001'!B1681</f>
        <v>002324</v>
      </c>
      <c r="B1681" s="1" t="str">
        <f>'001'!C1681</f>
        <v>ESMALTE SINTETICO TERSUAVE 2EN1 BRILLANTE MARFIL SEDA X  1</v>
      </c>
      <c r="C1681" s="1" t="str">
        <f>'001'!D1681</f>
        <v>0152</v>
      </c>
      <c r="D1681" s="3" t="e">
        <f>'001'!H1681</f>
        <v>#VALUE!</v>
      </c>
    </row>
    <row r="1682" spans="1:4" x14ac:dyDescent="0.25">
      <c r="A1682" s="1" t="str">
        <f>'001'!B1682</f>
        <v>002325</v>
      </c>
      <c r="B1682" s="1" t="str">
        <f>'001'!C1682</f>
        <v>DISCO DESBASTE DOBLE A T27 MASTER ACERO 180X6,4X22,2</v>
      </c>
      <c r="C1682" s="1" t="str">
        <f>'001'!D1682</f>
        <v>0102</v>
      </c>
      <c r="D1682" s="3" t="e">
        <f>'001'!H1682</f>
        <v>#VALUE!</v>
      </c>
    </row>
    <row r="1683" spans="1:4" x14ac:dyDescent="0.25">
      <c r="A1683" s="1" t="str">
        <f>'001'!B1683</f>
        <v>002326</v>
      </c>
      <c r="B1683" s="1" t="str">
        <f>'001'!C1683</f>
        <v>ESMALTE SINTETICO TERSUAVE 2EN1 BRILLANTE GRIS ESPACIAL X  1</v>
      </c>
      <c r="C1683" s="1" t="str">
        <f>'001'!D1683</f>
        <v>0152</v>
      </c>
      <c r="D1683" s="3" t="e">
        <f>'001'!H1683</f>
        <v>#VALUE!</v>
      </c>
    </row>
    <row r="1684" spans="1:4" x14ac:dyDescent="0.25">
      <c r="A1684" s="1" t="str">
        <f>'001'!B1684</f>
        <v>002327</v>
      </c>
      <c r="B1684" s="1" t="str">
        <f>'001'!C1684</f>
        <v>FILM PARA AUTOMOTOR/OBRA RAPIFIX 4000MMX100M (795)</v>
      </c>
      <c r="C1684" s="1" t="str">
        <f>'001'!D1684</f>
        <v>0181</v>
      </c>
      <c r="D1684" s="3" t="e">
        <f>'001'!H1684</f>
        <v>#VALUE!</v>
      </c>
    </row>
    <row r="1685" spans="1:4" x14ac:dyDescent="0.25">
      <c r="A1685" s="1" t="str">
        <f>'001'!B1685</f>
        <v>002328</v>
      </c>
      <c r="B1685" s="1" t="str">
        <f>'001'!C1685</f>
        <v>ESMALTE SINTETICO TERSUAVE 2EN1 BRILLANTE GRIS PERLA X  1</v>
      </c>
      <c r="C1685" s="1" t="str">
        <f>'001'!D1685</f>
        <v>0152</v>
      </c>
      <c r="D1685" s="3" t="e">
        <f>'001'!H1685</f>
        <v>#VALUE!</v>
      </c>
    </row>
    <row r="1686" spans="1:4" x14ac:dyDescent="0.25">
      <c r="A1686" s="1" t="str">
        <f>'001'!B1686</f>
        <v>002329</v>
      </c>
      <c r="B1686" s="1" t="str">
        <f>'001'!C1686</f>
        <v>ESMALTE SINTETICO TERSUAVE 2EN1 BRILLANTE GRIS HIELO X  1</v>
      </c>
      <c r="C1686" s="1" t="str">
        <f>'001'!D1686</f>
        <v>0152</v>
      </c>
      <c r="D1686" s="3" t="e">
        <f>'001'!H1686</f>
        <v>#VALUE!</v>
      </c>
    </row>
    <row r="1687" spans="1:4" x14ac:dyDescent="0.25">
      <c r="A1687" s="1" t="str">
        <f>'001'!B1687</f>
        <v>002330</v>
      </c>
      <c r="B1687" s="1" t="str">
        <f>'001'!C1687</f>
        <v>ESMALTE SINTETICO TERSUAVE 2EN1 BRILLANTE VERDE INGLES X  1</v>
      </c>
      <c r="C1687" s="1" t="str">
        <f>'001'!D1687</f>
        <v>0152</v>
      </c>
      <c r="D1687" s="3" t="e">
        <f>'001'!H1687</f>
        <v>#VALUE!</v>
      </c>
    </row>
    <row r="1688" spans="1:4" x14ac:dyDescent="0.25">
      <c r="A1688" s="1" t="str">
        <f>'001'!B1688</f>
        <v>002331</v>
      </c>
      <c r="B1688" s="1" t="str">
        <f>'001'!C1688</f>
        <v>ESMALTE EPOXI TERSUAVE INDULAC NEGRO X  4</v>
      </c>
      <c r="C1688" s="1" t="str">
        <f>'001'!D1688</f>
        <v>0153</v>
      </c>
      <c r="D1688" s="3" t="e">
        <f>'001'!H1688</f>
        <v>#VALUE!</v>
      </c>
    </row>
    <row r="1689" spans="1:4" x14ac:dyDescent="0.25">
      <c r="A1689" s="1" t="str">
        <f>'001'!B1689</f>
        <v>002332</v>
      </c>
      <c r="B1689" s="1" t="str">
        <f>'001'!C1689</f>
        <v>ESMALTE SINTETICO TERSUAVE 2EN1 BRILLANTE AZULEJO X  1</v>
      </c>
      <c r="C1689" s="1" t="str">
        <f>'001'!D1689</f>
        <v>0152</v>
      </c>
      <c r="D1689" s="3" t="e">
        <f>'001'!H1689</f>
        <v>#VALUE!</v>
      </c>
    </row>
    <row r="1690" spans="1:4" x14ac:dyDescent="0.25">
      <c r="A1690" s="1" t="str">
        <f>'001'!B1690</f>
        <v>002333</v>
      </c>
      <c r="B1690" s="1" t="str">
        <f>'001'!C1690</f>
        <v>ESMALTE SINTETICO TERSUAVE 2EN1 BRILLANTE MARFIL CHAMPAGNE X  1</v>
      </c>
      <c r="C1690" s="1" t="str">
        <f>'001'!D1690</f>
        <v>0152</v>
      </c>
      <c r="D1690" s="3" t="e">
        <f>'001'!H1690</f>
        <v>#VALUE!</v>
      </c>
    </row>
    <row r="1691" spans="1:4" x14ac:dyDescent="0.25">
      <c r="A1691" s="1" t="str">
        <f>'001'!B1691</f>
        <v>002334</v>
      </c>
      <c r="B1691" s="1" t="str">
        <f>'001'!C1691</f>
        <v>ESMALTE SINTETICO TERSUAVE 2EN1 BRILLANTE VERDE ILUSION X  1</v>
      </c>
      <c r="C1691" s="1" t="str">
        <f>'001'!D1691</f>
        <v>0152</v>
      </c>
      <c r="D1691" s="3" t="e">
        <f>'001'!H1691</f>
        <v>#VALUE!</v>
      </c>
    </row>
    <row r="1692" spans="1:4" x14ac:dyDescent="0.25">
      <c r="A1692" s="1" t="str">
        <f>'001'!B1692</f>
        <v>002335</v>
      </c>
      <c r="B1692" s="1" t="str">
        <f>'001'!C1692</f>
        <v>FONDO EPOXI TERSUAVE INDULAC ANTICORROSIVO AMARILLO X  4</v>
      </c>
      <c r="C1692" s="1" t="str">
        <f>'001'!D1692</f>
        <v>0153</v>
      </c>
      <c r="D1692" s="3" t="e">
        <f>'001'!H1692</f>
        <v>#VALUE!</v>
      </c>
    </row>
    <row r="1693" spans="1:4" x14ac:dyDescent="0.25">
      <c r="A1693" s="1" t="str">
        <f>'001'!B1693</f>
        <v>002336</v>
      </c>
      <c r="B1693" s="1" t="str">
        <f>'001'!C1693</f>
        <v>ESMALTE SINTETICO TERSUAVE 2EN1 BRILLANTE CREMA X  1</v>
      </c>
      <c r="C1693" s="1" t="str">
        <f>'001'!D1693</f>
        <v>0152</v>
      </c>
      <c r="D1693" s="3" t="e">
        <f>'001'!H1693</f>
        <v>#VALUE!</v>
      </c>
    </row>
    <row r="1694" spans="1:4" x14ac:dyDescent="0.25">
      <c r="A1694" s="1" t="str">
        <f>'001'!B1694</f>
        <v>002337</v>
      </c>
      <c r="B1694" s="1" t="str">
        <f>'001'!C1694</f>
        <v>ESMALTE SINTETICO TERSUAVE 2EN1 BRILLANTE CASTANO X  1</v>
      </c>
      <c r="C1694" s="1" t="str">
        <f>'001'!D1694</f>
        <v>0152</v>
      </c>
      <c r="D1694" s="3" t="e">
        <f>'001'!H1694</f>
        <v>#VALUE!</v>
      </c>
    </row>
    <row r="1695" spans="1:4" x14ac:dyDescent="0.25">
      <c r="A1695" s="1" t="str">
        <f>'001'!B1695</f>
        <v>002338</v>
      </c>
      <c r="B1695" s="1" t="str">
        <f>'001'!C1695</f>
        <v>ESMALTE SINTETICO TERSUAVE 2EN1 BRILLANTE VERDE NOCHE X  1</v>
      </c>
      <c r="C1695" s="1" t="str">
        <f>'001'!D1695</f>
        <v>0152</v>
      </c>
      <c r="D1695" s="3" t="e">
        <f>'001'!H1695</f>
        <v>#VALUE!</v>
      </c>
    </row>
    <row r="1696" spans="1:4" x14ac:dyDescent="0.25">
      <c r="A1696" s="1" t="str">
        <f>'001'!B1696</f>
        <v>002339</v>
      </c>
      <c r="B1696" s="1" t="str">
        <f>'001'!C1696</f>
        <v>CINTA  AUTOMOTOR RAPIFIX AMARILLO (590) 18MM</v>
      </c>
      <c r="C1696" s="1" t="str">
        <f>'001'!D1696</f>
        <v>0181</v>
      </c>
      <c r="D1696" s="3" t="e">
        <f>'001'!H1696</f>
        <v>#VALUE!</v>
      </c>
    </row>
    <row r="1697" spans="1:4" x14ac:dyDescent="0.25">
      <c r="A1697" s="1" t="str">
        <f>'001'!B1697</f>
        <v>002340</v>
      </c>
      <c r="B1697" s="1" t="str">
        <f>'001'!C1697</f>
        <v>CINTA  AUTOMOTOR RAPIFIX AMARILLO (590) 48MM</v>
      </c>
      <c r="C1697" s="1" t="str">
        <f>'001'!D1697</f>
        <v>0181</v>
      </c>
      <c r="D1697" s="3" t="e">
        <f>'001'!H1697</f>
        <v>#VALUE!</v>
      </c>
    </row>
    <row r="1698" spans="1:4" x14ac:dyDescent="0.25">
      <c r="A1698" s="1" t="str">
        <f>'001'!B1698</f>
        <v>002341</v>
      </c>
      <c r="B1698" s="1" t="str">
        <f>'001'!C1698</f>
        <v>ESMALTE SINTETICO TERSUAVE 2EN1 BRILLANTE TRAFUL X  1</v>
      </c>
      <c r="C1698" s="1" t="str">
        <f>'001'!D1698</f>
        <v>0152</v>
      </c>
      <c r="D1698" s="3" t="e">
        <f>'001'!H1698</f>
        <v>#VALUE!</v>
      </c>
    </row>
    <row r="1699" spans="1:4" x14ac:dyDescent="0.25">
      <c r="A1699" s="1" t="str">
        <f>'001'!B1699</f>
        <v>002343</v>
      </c>
      <c r="B1699" s="1" t="str">
        <f>'001'!C1699</f>
        <v>ESMALTE SINTETICO TERSUAVE 2EN1 BRILLANTE AZUL X  1</v>
      </c>
      <c r="C1699" s="1" t="str">
        <f>'001'!D1699</f>
        <v>0152</v>
      </c>
      <c r="D1699" s="3" t="e">
        <f>'001'!H1699</f>
        <v>#VALUE!</v>
      </c>
    </row>
    <row r="1700" spans="1:4" x14ac:dyDescent="0.25">
      <c r="A1700" s="1" t="str">
        <f>'001'!B1700</f>
        <v>002344</v>
      </c>
      <c r="B1700" s="1" t="str">
        <f>'001'!C1700</f>
        <v>DISCO CORTE DOBLE A T41 ULTRA ACERO 180X1,6X22,2</v>
      </c>
      <c r="C1700" s="1" t="str">
        <f>'001'!D1700</f>
        <v>0102</v>
      </c>
      <c r="D1700" s="3" t="e">
        <f>'001'!H1700</f>
        <v>#VALUE!</v>
      </c>
    </row>
    <row r="1701" spans="1:4" x14ac:dyDescent="0.25">
      <c r="A1701" s="1" t="str">
        <f>'001'!B1701</f>
        <v>002345</v>
      </c>
      <c r="B1701" s="1" t="str">
        <f>'001'!C1701</f>
        <v>ESMALTE EPOXI TERSUAVE INDULAC AMARILLO X  4</v>
      </c>
      <c r="C1701" s="1" t="str">
        <f>'001'!D1701</f>
        <v>0153</v>
      </c>
      <c r="D1701" s="3" t="e">
        <f>'001'!H1701</f>
        <v>#VALUE!</v>
      </c>
    </row>
    <row r="1702" spans="1:4" x14ac:dyDescent="0.25">
      <c r="A1702" s="1" t="str">
        <f>'001'!B1702</f>
        <v>002346</v>
      </c>
      <c r="B1702" s="1" t="str">
        <f>'001'!C1702</f>
        <v>DEMARCACION VIAL TERSUAVE AMARILLO X  4</v>
      </c>
      <c r="C1702" s="1" t="str">
        <f>'001'!D1702</f>
        <v>0153</v>
      </c>
      <c r="D1702" s="3" t="e">
        <f>'001'!H1702</f>
        <v>#VALUE!</v>
      </c>
    </row>
    <row r="1703" spans="1:4" x14ac:dyDescent="0.25">
      <c r="A1703" s="1" t="str">
        <f>'001'!B1703</f>
        <v>002347</v>
      </c>
      <c r="B1703" s="1" t="str">
        <f>'001'!C1703</f>
        <v>ESMALTE SINTETICO TERSUAVE 2EN1 BRILLANTE TABACO X  1</v>
      </c>
      <c r="C1703" s="1" t="str">
        <f>'001'!D1703</f>
        <v>0152</v>
      </c>
      <c r="D1703" s="3" t="e">
        <f>'001'!H1703</f>
        <v>#VALUE!</v>
      </c>
    </row>
    <row r="1704" spans="1:4" x14ac:dyDescent="0.25">
      <c r="A1704" s="1" t="str">
        <f>'001'!B1704</f>
        <v>002348</v>
      </c>
      <c r="B1704" s="1" t="str">
        <f>'001'!C1704</f>
        <v>ESMALTE EPOXI TERSUAVE INDULAC BLANCO X  4</v>
      </c>
      <c r="C1704" s="1" t="str">
        <f>'001'!D1704</f>
        <v>0153</v>
      </c>
      <c r="D1704" s="3" t="e">
        <f>'001'!H1704</f>
        <v>#VALUE!</v>
      </c>
    </row>
    <row r="1705" spans="1:4" x14ac:dyDescent="0.25">
      <c r="A1705" s="1" t="str">
        <f>'001'!B1705</f>
        <v>002349</v>
      </c>
      <c r="B1705" s="1" t="str">
        <f>'001'!C1705</f>
        <v>PROTECTOR PARA LADRILLO TERSUAVE IMPRECOL SATINADO NATURAL X  4</v>
      </c>
      <c r="C1705" s="1" t="str">
        <f>'001'!D1705</f>
        <v>0152</v>
      </c>
      <c r="D1705" s="3" t="e">
        <f>'001'!H1705</f>
        <v>#VALUE!</v>
      </c>
    </row>
    <row r="1706" spans="1:4" x14ac:dyDescent="0.25">
      <c r="A1706" s="1" t="str">
        <f>'001'!B1706</f>
        <v>002350</v>
      </c>
      <c r="B1706" s="1" t="str">
        <f>'001'!C1706</f>
        <v>ESMALTE SINTETICO TERSUAVE 2EN1 BRILLANTE VIOLETA X 1</v>
      </c>
      <c r="C1706" s="1" t="str">
        <f>'001'!D1706</f>
        <v>0152</v>
      </c>
      <c r="D1706" s="3" t="e">
        <f>'001'!H1706</f>
        <v>#VALUE!</v>
      </c>
    </row>
    <row r="1707" spans="1:4" x14ac:dyDescent="0.25">
      <c r="A1707" s="1" t="str">
        <f>'001'!B1707</f>
        <v>002351</v>
      </c>
      <c r="B1707" s="1" t="str">
        <f>'001'!C1707</f>
        <v>PROTECTOR PARA LADRILLO TERSUAVE IMPRECOL SATINADO CERAMICO X  4</v>
      </c>
      <c r="C1707" s="1" t="str">
        <f>'001'!D1707</f>
        <v>0152</v>
      </c>
      <c r="D1707" s="3" t="e">
        <f>'001'!H1707</f>
        <v>#VALUE!</v>
      </c>
    </row>
    <row r="1708" spans="1:4" x14ac:dyDescent="0.25">
      <c r="A1708" s="1" t="str">
        <f>'001'!B1708</f>
        <v>002352</v>
      </c>
      <c r="B1708" s="1" t="str">
        <f>'001'!C1708</f>
        <v>ESMALTE AL AGUA ALBALUX BRILLANTE BASE MF X 0,900</v>
      </c>
      <c r="C1708" s="1" t="str">
        <f>'001'!D1708</f>
        <v>0108</v>
      </c>
      <c r="D1708" s="3" t="e">
        <f>'001'!H1708</f>
        <v>#VALUE!</v>
      </c>
    </row>
    <row r="1709" spans="1:4" x14ac:dyDescent="0.25">
      <c r="A1709" s="1" t="str">
        <f>'001'!B1709</f>
        <v>002353</v>
      </c>
      <c r="B1709" s="1" t="str">
        <f>'001'!C1709</f>
        <v>ESMALTE AL AGUA ALBALUX BRILLANTE BASE MF X 3,600</v>
      </c>
      <c r="C1709" s="1" t="str">
        <f>'001'!D1709</f>
        <v>0108</v>
      </c>
      <c r="D1709" s="3" t="e">
        <f>'001'!H1709</f>
        <v>#VALUE!</v>
      </c>
    </row>
    <row r="1710" spans="1:4" x14ac:dyDescent="0.25">
      <c r="A1710" s="1" t="str">
        <f>'001'!B1710</f>
        <v>002354</v>
      </c>
      <c r="B1710" s="1" t="str">
        <f>'001'!C1710</f>
        <v>ESMALTE AL AGUA ALBALUX BRILLANTE BASE T X 0,900</v>
      </c>
      <c r="C1710" s="1" t="str">
        <f>'001'!D1710</f>
        <v>0108</v>
      </c>
      <c r="D1710" s="3" t="e">
        <f>'001'!H1710</f>
        <v>#VALUE!</v>
      </c>
    </row>
    <row r="1711" spans="1:4" x14ac:dyDescent="0.25">
      <c r="A1711" s="1" t="str">
        <f>'001'!B1711</f>
        <v>002355</v>
      </c>
      <c r="B1711" s="1" t="str">
        <f>'001'!C1711</f>
        <v>ESMALTE AL AGUA ALBALUX BRILLANTE BASE T X 3,600</v>
      </c>
      <c r="C1711" s="1" t="str">
        <f>'001'!D1711</f>
        <v>0108</v>
      </c>
      <c r="D1711" s="3" t="e">
        <f>'001'!H1711</f>
        <v>#VALUE!</v>
      </c>
    </row>
    <row r="1712" spans="1:4" x14ac:dyDescent="0.25">
      <c r="A1712" s="1" t="str">
        <f>'001'!B1712</f>
        <v>002356</v>
      </c>
      <c r="B1712" s="1" t="str">
        <f>'001'!C1712</f>
        <v>ESMALTE SINTETICO TERSUAVE 2EN1 BRILLANTE AMAR.MED. X  1</v>
      </c>
      <c r="C1712" s="1" t="str">
        <f>'001'!D1712</f>
        <v>0152</v>
      </c>
      <c r="D1712" s="3" t="e">
        <f>'001'!H1712</f>
        <v>#VALUE!</v>
      </c>
    </row>
    <row r="1713" spans="1:4" x14ac:dyDescent="0.25">
      <c r="A1713" s="1" t="str">
        <f>'001'!B1713</f>
        <v>002359</v>
      </c>
      <c r="B1713" s="1" t="str">
        <f>'001'!C1713</f>
        <v>PROTECTOR PARA LADRILLO RECUBRICK AL AGUA INCOLORO X 10</v>
      </c>
      <c r="C1713" s="1" t="str">
        <f>'001'!D1713</f>
        <v>0150</v>
      </c>
      <c r="D1713" s="3" t="e">
        <f>'001'!H1713</f>
        <v>#VALUE!</v>
      </c>
    </row>
    <row r="1714" spans="1:4" x14ac:dyDescent="0.25">
      <c r="A1714" s="1" t="str">
        <f>'001'!B1714</f>
        <v>002360</v>
      </c>
      <c r="B1714" s="1" t="str">
        <f>'001'!C1714</f>
        <v>PROTECTOR PARA LADRILLO RECUBRICK AL AGUA INCOLORO X 20</v>
      </c>
      <c r="C1714" s="1" t="str">
        <f>'001'!D1714</f>
        <v>0150</v>
      </c>
      <c r="D1714" s="3" t="e">
        <f>'001'!H1714</f>
        <v>#VALUE!</v>
      </c>
    </row>
    <row r="1715" spans="1:4" x14ac:dyDescent="0.25">
      <c r="A1715" s="1" t="str">
        <f>'001'!B1715</f>
        <v>002361</v>
      </c>
      <c r="B1715" s="1" t="str">
        <f>'001'!C1715</f>
        <v>LIJA AL AGUA CS RAPIFIX #   60</v>
      </c>
      <c r="C1715" s="1" t="str">
        <f>'001'!D1715</f>
        <v>0181</v>
      </c>
      <c r="D1715" s="3" t="e">
        <f>'001'!H1715</f>
        <v>#VALUE!</v>
      </c>
    </row>
    <row r="1716" spans="1:4" x14ac:dyDescent="0.25">
      <c r="A1716" s="1" t="str">
        <f>'001'!B1716</f>
        <v>002362</v>
      </c>
      <c r="B1716" s="1" t="str">
        <f>'001'!C1716</f>
        <v>LIJA AL AGUA CS RAPIFIX #   80</v>
      </c>
      <c r="C1716" s="1" t="str">
        <f>'001'!D1716</f>
        <v>0181</v>
      </c>
      <c r="D1716" s="3" t="e">
        <f>'001'!H1716</f>
        <v>#VALUE!</v>
      </c>
    </row>
    <row r="1717" spans="1:4" x14ac:dyDescent="0.25">
      <c r="A1717" s="1" t="str">
        <f>'001'!B1717</f>
        <v>002363</v>
      </c>
      <c r="B1717" s="1" t="str">
        <f>'001'!C1717</f>
        <v>LIJA AL AGUA CS RAPIFIX #  100</v>
      </c>
      <c r="C1717" s="1" t="str">
        <f>'001'!D1717</f>
        <v>0181</v>
      </c>
      <c r="D1717" s="3" t="e">
        <f>'001'!H1717</f>
        <v>#VALUE!</v>
      </c>
    </row>
    <row r="1718" spans="1:4" x14ac:dyDescent="0.25">
      <c r="A1718" s="1" t="str">
        <f>'001'!B1718</f>
        <v>002364</v>
      </c>
      <c r="B1718" s="1" t="str">
        <f>'001'!C1718</f>
        <v>LIJA AL AGUA CS RAPIFIX #  120</v>
      </c>
      <c r="C1718" s="1" t="str">
        <f>'001'!D1718</f>
        <v>0181</v>
      </c>
      <c r="D1718" s="3" t="e">
        <f>'001'!H1718</f>
        <v>#VALUE!</v>
      </c>
    </row>
    <row r="1719" spans="1:4" x14ac:dyDescent="0.25">
      <c r="A1719" s="1" t="str">
        <f>'001'!B1719</f>
        <v>002365</v>
      </c>
      <c r="B1719" s="1" t="str">
        <f>'001'!C1719</f>
        <v>LIJA AL AGUA CS RAPIFIX #  150</v>
      </c>
      <c r="C1719" s="1" t="str">
        <f>'001'!D1719</f>
        <v>0181</v>
      </c>
      <c r="D1719" s="3" t="e">
        <f>'001'!H1719</f>
        <v>#VALUE!</v>
      </c>
    </row>
    <row r="1720" spans="1:4" x14ac:dyDescent="0.25">
      <c r="A1720" s="1" t="str">
        <f>'001'!B1720</f>
        <v>002366</v>
      </c>
      <c r="B1720" s="1" t="str">
        <f>'001'!C1720</f>
        <v>LIJA AL AGUA CS RAPIFIX #  180</v>
      </c>
      <c r="C1720" s="1" t="str">
        <f>'001'!D1720</f>
        <v>0181</v>
      </c>
      <c r="D1720" s="3" t="e">
        <f>'001'!H1720</f>
        <v>#VALUE!</v>
      </c>
    </row>
    <row r="1721" spans="1:4" x14ac:dyDescent="0.25">
      <c r="A1721" s="1" t="str">
        <f>'001'!B1721</f>
        <v>002367</v>
      </c>
      <c r="B1721" s="1" t="str">
        <f>'001'!C1721</f>
        <v>LIJA AL AGUA CS RAPIFIX #  220</v>
      </c>
      <c r="C1721" s="1" t="str">
        <f>'001'!D1721</f>
        <v>0181</v>
      </c>
      <c r="D1721" s="3" t="e">
        <f>'001'!H1721</f>
        <v>#VALUE!</v>
      </c>
    </row>
    <row r="1722" spans="1:4" x14ac:dyDescent="0.25">
      <c r="A1722" s="1" t="str">
        <f>'001'!B1722</f>
        <v>002368</v>
      </c>
      <c r="B1722" s="1" t="str">
        <f>'001'!C1722</f>
        <v>LIJA AL AGUA CS RAPIFIX #  240</v>
      </c>
      <c r="C1722" s="1" t="str">
        <f>'001'!D1722</f>
        <v>0181</v>
      </c>
      <c r="D1722" s="3" t="e">
        <f>'001'!H1722</f>
        <v>#VALUE!</v>
      </c>
    </row>
    <row r="1723" spans="1:4" x14ac:dyDescent="0.25">
      <c r="A1723" s="1" t="str">
        <f>'001'!B1723</f>
        <v>002369</v>
      </c>
      <c r="B1723" s="1" t="str">
        <f>'001'!C1723</f>
        <v>LIJA AL AGUA CS RAPIFIX #  320</v>
      </c>
      <c r="C1723" s="1" t="str">
        <f>'001'!D1723</f>
        <v>0181</v>
      </c>
      <c r="D1723" s="3" t="e">
        <f>'001'!H1723</f>
        <v>#VALUE!</v>
      </c>
    </row>
    <row r="1724" spans="1:4" x14ac:dyDescent="0.25">
      <c r="A1724" s="1" t="str">
        <f>'001'!B1724</f>
        <v>002370</v>
      </c>
      <c r="B1724" s="1" t="str">
        <f>'001'!C1724</f>
        <v>LIJA AL AGUA CS RAPIFIX #  360</v>
      </c>
      <c r="C1724" s="1" t="str">
        <f>'001'!D1724</f>
        <v>0181</v>
      </c>
      <c r="D1724" s="3" t="e">
        <f>'001'!H1724</f>
        <v>#VALUE!</v>
      </c>
    </row>
    <row r="1725" spans="1:4" x14ac:dyDescent="0.25">
      <c r="A1725" s="1" t="str">
        <f>'001'!B1725</f>
        <v>002371</v>
      </c>
      <c r="B1725" s="1" t="str">
        <f>'001'!C1725</f>
        <v>LIJA AL AGUA CS RAPIFIX #  400</v>
      </c>
      <c r="C1725" s="1" t="str">
        <f>'001'!D1725</f>
        <v>0181</v>
      </c>
      <c r="D1725" s="3" t="e">
        <f>'001'!H1725</f>
        <v>#VALUE!</v>
      </c>
    </row>
    <row r="1726" spans="1:4" x14ac:dyDescent="0.25">
      <c r="A1726" s="1" t="str">
        <f>'001'!B1726</f>
        <v>002372</v>
      </c>
      <c r="B1726" s="1" t="str">
        <f>'001'!C1726</f>
        <v>LIJA AL AGUA CS RAPIFIX #  600</v>
      </c>
      <c r="C1726" s="1" t="str">
        <f>'001'!D1726</f>
        <v>0181</v>
      </c>
      <c r="D1726" s="3" t="e">
        <f>'001'!H1726</f>
        <v>#VALUE!</v>
      </c>
    </row>
    <row r="1727" spans="1:4" x14ac:dyDescent="0.25">
      <c r="A1727" s="1" t="str">
        <f>'001'!B1727</f>
        <v>002373</v>
      </c>
      <c r="B1727" s="1" t="str">
        <f>'001'!C1727</f>
        <v>LIJA AL AGUA CS RAPIFIX # 1000</v>
      </c>
      <c r="C1727" s="1" t="str">
        <f>'001'!D1727</f>
        <v>0181</v>
      </c>
      <c r="D1727" s="3" t="e">
        <f>'001'!H1727</f>
        <v>#VALUE!</v>
      </c>
    </row>
    <row r="1728" spans="1:4" x14ac:dyDescent="0.25">
      <c r="A1728" s="1" t="str">
        <f>'001'!B1728</f>
        <v>002374</v>
      </c>
      <c r="B1728" s="1" t="str">
        <f>'001'!C1728</f>
        <v>LIJA AL AGUA CS RAPIFIX # 1500</v>
      </c>
      <c r="C1728" s="1" t="str">
        <f>'001'!D1728</f>
        <v>0181</v>
      </c>
      <c r="D1728" s="3" t="e">
        <f>'001'!H1728</f>
        <v>#VALUE!</v>
      </c>
    </row>
    <row r="1729" spans="1:4" x14ac:dyDescent="0.25">
      <c r="A1729" s="1" t="str">
        <f>'001'!B1729</f>
        <v>002375</v>
      </c>
      <c r="B1729" s="1" t="str">
        <f>'001'!C1729</f>
        <v>LIJA AL AGUA CS RAPIFIX # 2000</v>
      </c>
      <c r="C1729" s="1" t="str">
        <f>'001'!D1729</f>
        <v>0181</v>
      </c>
      <c r="D1729" s="3" t="e">
        <f>'001'!H1729</f>
        <v>#VALUE!</v>
      </c>
    </row>
    <row r="1730" spans="1:4" x14ac:dyDescent="0.25">
      <c r="A1730" s="1" t="str">
        <f>'001'!B1730</f>
        <v>002376</v>
      </c>
      <c r="B1730" s="1" t="str">
        <f>'001'!C1730</f>
        <v>LIJA AL AGUA CS RAPIFIX # 2500</v>
      </c>
      <c r="C1730" s="1" t="str">
        <f>'001'!D1730</f>
        <v>0181</v>
      </c>
      <c r="D1730" s="3" t="e">
        <f>'001'!H1730</f>
        <v>#VALUE!</v>
      </c>
    </row>
    <row r="1731" spans="1:4" x14ac:dyDescent="0.25">
      <c r="A1731" s="1" t="str">
        <f>'001'!B1731</f>
        <v>002396</v>
      </c>
      <c r="B1731" s="1" t="str">
        <f>'001'!C1731</f>
        <v>ESPATULA PINTOR SANTA JUANA CABO PLASTICO 30</v>
      </c>
      <c r="C1731" s="1" t="str">
        <f>'001'!D1731</f>
        <v>0148</v>
      </c>
      <c r="D1731" s="3" t="e">
        <f>'001'!H1731</f>
        <v>#VALUE!</v>
      </c>
    </row>
    <row r="1732" spans="1:4" x14ac:dyDescent="0.25">
      <c r="A1732" s="1" t="str">
        <f>'001'!B1732</f>
        <v>002397</v>
      </c>
      <c r="B1732" s="1" t="str">
        <f>'001'!C1732</f>
        <v>ESPATULA PINTOR SANTA JUANA CABO PLASTICO 40</v>
      </c>
      <c r="C1732" s="1" t="str">
        <f>'001'!D1732</f>
        <v>0148</v>
      </c>
      <c r="D1732" s="3" t="e">
        <f>'001'!H1732</f>
        <v>#VALUE!</v>
      </c>
    </row>
    <row r="1733" spans="1:4" x14ac:dyDescent="0.25">
      <c r="A1733" s="1" t="str">
        <f>'001'!B1733</f>
        <v>002398</v>
      </c>
      <c r="B1733" s="1" t="str">
        <f>'001'!C1733</f>
        <v>ESPATULA PINTOR SANTA JUANA CABO PLASTICO 50</v>
      </c>
      <c r="C1733" s="1" t="str">
        <f>'001'!D1733</f>
        <v>0148</v>
      </c>
      <c r="D1733" s="3" t="e">
        <f>'001'!H1733</f>
        <v>#VALUE!</v>
      </c>
    </row>
    <row r="1734" spans="1:4" x14ac:dyDescent="0.25">
      <c r="A1734" s="1" t="str">
        <f>'001'!B1734</f>
        <v>002399</v>
      </c>
      <c r="B1734" s="1" t="str">
        <f>'001'!C1734</f>
        <v>ESPATULA PINTOR SANTA JUANA CABO PLASTICO 60</v>
      </c>
      <c r="C1734" s="1" t="str">
        <f>'001'!D1734</f>
        <v>0148</v>
      </c>
      <c r="D1734" s="3" t="e">
        <f>'001'!H1734</f>
        <v>#VALUE!</v>
      </c>
    </row>
    <row r="1735" spans="1:4" x14ac:dyDescent="0.25">
      <c r="A1735" s="1" t="str">
        <f>'001'!B1735</f>
        <v>002412</v>
      </c>
      <c r="B1735" s="1" t="str">
        <f>'001'!C1735</f>
        <v>DEMARCACION VIAL TERSUAVE BLANCO X 20</v>
      </c>
      <c r="C1735" s="1" t="str">
        <f>'001'!D1735</f>
        <v>0153</v>
      </c>
      <c r="D1735" s="3" t="e">
        <f>'001'!H1735</f>
        <v>#VALUE!</v>
      </c>
    </row>
    <row r="1736" spans="1:4" x14ac:dyDescent="0.25">
      <c r="A1736" s="1" t="str">
        <f>'001'!B1736</f>
        <v>002420</v>
      </c>
      <c r="B1736" s="1" t="str">
        <f>'001'!C1736</f>
        <v>DISCO CORTE DOBLE A T41 ULTRA ACERO 230X2X22,2</v>
      </c>
      <c r="C1736" s="1" t="str">
        <f>'001'!D1736</f>
        <v>0102</v>
      </c>
      <c r="D1736" s="3" t="e">
        <f>'001'!H1736</f>
        <v>#VALUE!</v>
      </c>
    </row>
    <row r="1737" spans="1:4" x14ac:dyDescent="0.25">
      <c r="A1737" s="1" t="str">
        <f>'001'!B1737</f>
        <v>002431</v>
      </c>
      <c r="B1737" s="1" t="str">
        <f>'001'!C1737</f>
        <v>ESMALTE EPOXI TERSUAVE INDULAC NEGRO X 20</v>
      </c>
      <c r="C1737" s="1" t="str">
        <f>'001'!D1737</f>
        <v>0153</v>
      </c>
      <c r="D1737" s="3" t="e">
        <f>'001'!H1737</f>
        <v>#VALUE!</v>
      </c>
    </row>
    <row r="1738" spans="1:4" x14ac:dyDescent="0.25">
      <c r="A1738" s="1" t="str">
        <f>'001'!B1738</f>
        <v>002435</v>
      </c>
      <c r="B1738" s="1" t="str">
        <f>'001'!C1738</f>
        <v>FONDO EPOXI TERSUAVE INDULAC ANTICORROSIVO AMARILLO X 20</v>
      </c>
      <c r="C1738" s="1" t="str">
        <f>'001'!D1738</f>
        <v>0153</v>
      </c>
      <c r="D1738" s="3" t="e">
        <f>'001'!H1738</f>
        <v>#VALUE!</v>
      </c>
    </row>
    <row r="1739" spans="1:4" x14ac:dyDescent="0.25">
      <c r="A1739" s="1" t="str">
        <f>'001'!B1739</f>
        <v>002441</v>
      </c>
      <c r="B1739" s="1" t="str">
        <f>'001'!C1739</f>
        <v>CINTA POLI DOBLE A TRANSPARENTE (293) 24MM X 50MTS.</v>
      </c>
      <c r="C1739" s="1" t="str">
        <f>'001'!D1739</f>
        <v>0102</v>
      </c>
      <c r="D1739" s="3" t="e">
        <f>'001'!H1739</f>
        <v>#VALUE!</v>
      </c>
    </row>
    <row r="1740" spans="1:4" x14ac:dyDescent="0.25">
      <c r="A1740" s="1" t="str">
        <f>'001'!B1740</f>
        <v>002442</v>
      </c>
      <c r="B1740" s="1" t="str">
        <f>'001'!C1740</f>
        <v>ESMALTE EPOXI TERSUAVE INDULAC VERDE CLARO X 20</v>
      </c>
      <c r="C1740" s="1" t="str">
        <f>'001'!D1740</f>
        <v>0153</v>
      </c>
      <c r="D1740" s="3" t="e">
        <f>'001'!H1740</f>
        <v>#VALUE!</v>
      </c>
    </row>
    <row r="1741" spans="1:4" x14ac:dyDescent="0.25">
      <c r="A1741" s="1" t="str">
        <f>'001'!B1741</f>
        <v>002443</v>
      </c>
      <c r="B1741" s="1" t="str">
        <f>'001'!C1741</f>
        <v>CINTA POLI DOBLE A TRANSPARENTE (293) 36MM X 50MTS.</v>
      </c>
      <c r="C1741" s="1" t="str">
        <f>'001'!D1741</f>
        <v>0102</v>
      </c>
      <c r="D1741" s="3" t="e">
        <f>'001'!H1741</f>
        <v>#VALUE!</v>
      </c>
    </row>
    <row r="1742" spans="1:4" x14ac:dyDescent="0.25">
      <c r="A1742" s="1" t="str">
        <f>'001'!B1742</f>
        <v>002445</v>
      </c>
      <c r="B1742" s="1" t="str">
        <f>'001'!C1742</f>
        <v>ESMALTE EPOXI TERSUAVE INDULAC AMARILLO X 20</v>
      </c>
      <c r="C1742" s="1" t="str">
        <f>'001'!D1742</f>
        <v>0153</v>
      </c>
      <c r="D1742" s="3" t="e">
        <f>'001'!H1742</f>
        <v>#VALUE!</v>
      </c>
    </row>
    <row r="1743" spans="1:4" x14ac:dyDescent="0.25">
      <c r="A1743" s="1" t="str">
        <f>'001'!B1743</f>
        <v>002446</v>
      </c>
      <c r="B1743" s="1" t="str">
        <f>'001'!C1743</f>
        <v>DEMARCACION VIAL TERSUAVE AMARILLO X 20</v>
      </c>
      <c r="C1743" s="1" t="str">
        <f>'001'!D1743</f>
        <v>0153</v>
      </c>
      <c r="D1743" s="3" t="e">
        <f>'001'!H1743</f>
        <v>#VALUE!</v>
      </c>
    </row>
    <row r="1744" spans="1:4" x14ac:dyDescent="0.25">
      <c r="A1744" s="1" t="str">
        <f>'001'!B1744</f>
        <v>002447</v>
      </c>
      <c r="B1744" s="1" t="str">
        <f>'001'!C1744</f>
        <v>DISCO CORTE DOBLE A T42 MASTER ACERO 115X3,0X22,2</v>
      </c>
      <c r="C1744" s="1" t="str">
        <f>'001'!D1744</f>
        <v>0102</v>
      </c>
      <c r="D1744" s="3" t="e">
        <f>'001'!H1744</f>
        <v>#VALUE!</v>
      </c>
    </row>
    <row r="1745" spans="1:4" x14ac:dyDescent="0.25">
      <c r="A1745" s="1" t="str">
        <f>'001'!B1745</f>
        <v>002448</v>
      </c>
      <c r="B1745" s="1" t="str">
        <f>'001'!C1745</f>
        <v>ESMALTE EPOXI TERSUAVE INDULAC BLANCO X 20</v>
      </c>
      <c r="C1745" s="1" t="str">
        <f>'001'!D1745</f>
        <v>0153</v>
      </c>
      <c r="D1745" s="3" t="e">
        <f>'001'!H1745</f>
        <v>#VALUE!</v>
      </c>
    </row>
    <row r="1746" spans="1:4" x14ac:dyDescent="0.25">
      <c r="A1746" s="1" t="str">
        <f>'001'!B1746</f>
        <v>002449</v>
      </c>
      <c r="B1746" s="1" t="str">
        <f>'001'!C1746</f>
        <v>PROTECTOR PARA LADRILLO TERSUAVE IMPRECOL SATINADO NATURAL X 20</v>
      </c>
      <c r="C1746" s="1" t="str">
        <f>'001'!D1746</f>
        <v>0152</v>
      </c>
      <c r="D1746" s="3" t="e">
        <f>'001'!H1746</f>
        <v>#VALUE!</v>
      </c>
    </row>
    <row r="1747" spans="1:4" x14ac:dyDescent="0.25">
      <c r="A1747" s="1" t="str">
        <f>'001'!B1747</f>
        <v>002450</v>
      </c>
      <c r="B1747" s="1" t="str">
        <f>'001'!C1747</f>
        <v>DISCO DESBASTE DOBLE A T27 MASTER ACERO 230X6,4X22,2</v>
      </c>
      <c r="C1747" s="1" t="str">
        <f>'001'!D1747</f>
        <v>0102</v>
      </c>
      <c r="D1747" s="3" t="e">
        <f>'001'!H1747</f>
        <v>#VALUE!</v>
      </c>
    </row>
    <row r="1748" spans="1:4" x14ac:dyDescent="0.25">
      <c r="A1748" s="1" t="str">
        <f>'001'!B1748</f>
        <v>002451</v>
      </c>
      <c r="B1748" s="1" t="str">
        <f>'001'!C1748</f>
        <v>PROTECTOR PARA LADRILLO TERSUAVE IMPRECOL SATINADO CERAMICO X 20</v>
      </c>
      <c r="C1748" s="1" t="str">
        <f>'001'!D1748</f>
        <v>0152</v>
      </c>
      <c r="D1748" s="3" t="e">
        <f>'001'!H1748</f>
        <v>#VALUE!</v>
      </c>
    </row>
    <row r="1749" spans="1:4" x14ac:dyDescent="0.25">
      <c r="A1749" s="1" t="str">
        <f>'001'!B1749</f>
        <v>002452</v>
      </c>
      <c r="B1749" s="1" t="str">
        <f>'001'!C1749</f>
        <v>DISCO DIAMANTADO DOBLE A MASTER 230X22,23 SEG</v>
      </c>
      <c r="C1749" s="1" t="str">
        <f>'001'!D1749</f>
        <v>0102</v>
      </c>
      <c r="D1749" s="3" t="e">
        <f>'001'!H1749</f>
        <v>#VALUE!</v>
      </c>
    </row>
    <row r="1750" spans="1:4" x14ac:dyDescent="0.25">
      <c r="A1750" s="1" t="str">
        <f>'001'!B1750</f>
        <v>002453</v>
      </c>
      <c r="B1750" s="1" t="str">
        <f>'001'!C1750</f>
        <v>DISCO DIAMANTADO DOBLE A MASTER 230X22,23 TURBO</v>
      </c>
      <c r="C1750" s="1" t="str">
        <f>'001'!D1750</f>
        <v>0102</v>
      </c>
      <c r="D1750" s="3" t="e">
        <f>'001'!H1750</f>
        <v>#VALUE!</v>
      </c>
    </row>
    <row r="1751" spans="1:4" x14ac:dyDescent="0.25">
      <c r="A1751" s="1" t="str">
        <f>'001'!B1751</f>
        <v>002454</v>
      </c>
      <c r="B1751" s="1" t="str">
        <f>'001'!C1751</f>
        <v>ESPATULA PARA ENDUIR SANTA JUANA CABO PLASTICO 100</v>
      </c>
      <c r="C1751" s="1" t="str">
        <f>'001'!D1751</f>
        <v>0148</v>
      </c>
      <c r="D1751" s="3" t="e">
        <f>'001'!H1751</f>
        <v>#VALUE!</v>
      </c>
    </row>
    <row r="1752" spans="1:4" x14ac:dyDescent="0.25">
      <c r="A1752" s="1" t="str">
        <f>'001'!B1752</f>
        <v>002455</v>
      </c>
      <c r="B1752" s="1" t="str">
        <f>'001'!C1752</f>
        <v>ESPATULA PARA ENDUIR SANTA JUANA CABO PLASTICO 120</v>
      </c>
      <c r="C1752" s="1" t="str">
        <f>'001'!D1752</f>
        <v>0148</v>
      </c>
      <c r="D1752" s="3" t="e">
        <f>'001'!H1752</f>
        <v>#VALUE!</v>
      </c>
    </row>
    <row r="1753" spans="1:4" x14ac:dyDescent="0.25">
      <c r="A1753" s="1" t="str">
        <f>'001'!B1753</f>
        <v>002456</v>
      </c>
      <c r="B1753" s="1" t="str">
        <f>'001'!C1753</f>
        <v>ESPATULA PARA ENDUIR SANTA JUANA CABO PLASTICO 140</v>
      </c>
      <c r="C1753" s="1" t="str">
        <f>'001'!D1753</f>
        <v>0148</v>
      </c>
      <c r="D1753" s="3" t="e">
        <f>'001'!H1753</f>
        <v>#VALUE!</v>
      </c>
    </row>
    <row r="1754" spans="1:4" x14ac:dyDescent="0.25">
      <c r="A1754" s="1" t="str">
        <f>'001'!B1754</f>
        <v>002457</v>
      </c>
      <c r="B1754" s="1" t="str">
        <f>'001'!C1754</f>
        <v>ESPATULA PARA ENDUIR SANTA JUANA CABO PLASTICO 160</v>
      </c>
      <c r="C1754" s="1" t="str">
        <f>'001'!D1754</f>
        <v>0148</v>
      </c>
      <c r="D1754" s="3" t="e">
        <f>'001'!H1754</f>
        <v>#VALUE!</v>
      </c>
    </row>
    <row r="1755" spans="1:4" x14ac:dyDescent="0.25">
      <c r="A1755" s="1" t="str">
        <f>'001'!B1755</f>
        <v>002458</v>
      </c>
      <c r="B1755" s="1" t="str">
        <f>'001'!C1755</f>
        <v>ESPATULA PARA ENDUIR SANTA JUANA CABO PLASTICO 180</v>
      </c>
      <c r="C1755" s="1" t="str">
        <f>'001'!D1755</f>
        <v>0148</v>
      </c>
      <c r="D1755" s="3" t="e">
        <f>'001'!H1755</f>
        <v>#VALUE!</v>
      </c>
    </row>
    <row r="1756" spans="1:4" x14ac:dyDescent="0.25">
      <c r="A1756" s="1" t="str">
        <f>'001'!B1756</f>
        <v>002459</v>
      </c>
      <c r="B1756" s="1" t="str">
        <f>'001'!C1756</f>
        <v>FRATACHO LIJADOR SANTA JUANA CABO PLASTICO</v>
      </c>
      <c r="C1756" s="1" t="str">
        <f>'001'!D1756</f>
        <v>0148</v>
      </c>
      <c r="D1756" s="3" t="e">
        <f>'001'!H1756</f>
        <v>#VALUE!</v>
      </c>
    </row>
    <row r="1757" spans="1:4" x14ac:dyDescent="0.25">
      <c r="A1757" s="1" t="str">
        <f>'001'!B1757</f>
        <v>002461</v>
      </c>
      <c r="B1757" s="1" t="str">
        <f>'001'!C1757</f>
        <v>DISCO LIJA DOBLE A MASTER AUF6P  80</v>
      </c>
      <c r="C1757" s="1" t="str">
        <f>'001'!D1757</f>
        <v>0902</v>
      </c>
      <c r="D1757" s="3" t="e">
        <f>'001'!H1757</f>
        <v>#VALUE!</v>
      </c>
    </row>
    <row r="1758" spans="1:4" x14ac:dyDescent="0.25">
      <c r="A1758" s="1" t="str">
        <f>'001'!B1758</f>
        <v>002462</v>
      </c>
      <c r="B1758" s="1" t="str">
        <f>'001'!C1758</f>
        <v>DISCO LIJA DOBLE A MASTER AUF6P 100</v>
      </c>
      <c r="C1758" s="1" t="str">
        <f>'001'!D1758</f>
        <v>0902</v>
      </c>
      <c r="D1758" s="3" t="e">
        <f>'001'!H1758</f>
        <v>#VALUE!</v>
      </c>
    </row>
    <row r="1759" spans="1:4" x14ac:dyDescent="0.25">
      <c r="A1759" s="1" t="str">
        <f>'001'!B1759</f>
        <v>002463</v>
      </c>
      <c r="B1759" s="1" t="str">
        <f>'001'!C1759</f>
        <v>DISCO LIJA DOBLE A MASTER AUF6P 120</v>
      </c>
      <c r="C1759" s="1" t="str">
        <f>'001'!D1759</f>
        <v>0902</v>
      </c>
      <c r="D1759" s="3" t="e">
        <f>'001'!H1759</f>
        <v>#VALUE!</v>
      </c>
    </row>
    <row r="1760" spans="1:4" x14ac:dyDescent="0.25">
      <c r="A1760" s="1" t="str">
        <f>'001'!B1760</f>
        <v>002464</v>
      </c>
      <c r="B1760" s="1" t="str">
        <f>'001'!C1760</f>
        <v>DISCO LIJA DOBLE A MASTER AUF6P 150</v>
      </c>
      <c r="C1760" s="1" t="str">
        <f>'001'!D1760</f>
        <v>0902</v>
      </c>
      <c r="D1760" s="3" t="e">
        <f>'001'!H1760</f>
        <v>#VALUE!</v>
      </c>
    </row>
    <row r="1761" spans="1:4" x14ac:dyDescent="0.25">
      <c r="A1761" s="1" t="str">
        <f>'001'!B1761</f>
        <v>002465</v>
      </c>
      <c r="B1761" s="1" t="str">
        <f>'001'!C1761</f>
        <v>DISCO LIJA DOBLE A MASTER AUF6P 180</v>
      </c>
      <c r="C1761" s="1" t="str">
        <f>'001'!D1761</f>
        <v>0902</v>
      </c>
      <c r="D1761" s="3" t="e">
        <f>'001'!H1761</f>
        <v>#VALUE!</v>
      </c>
    </row>
    <row r="1762" spans="1:4" x14ac:dyDescent="0.25">
      <c r="A1762" s="1" t="str">
        <f>'001'!B1762</f>
        <v>002466</v>
      </c>
      <c r="B1762" s="1" t="str">
        <f>'001'!C1762</f>
        <v>DISCO LIJA DOBLE A MASTER AUF6P 220</v>
      </c>
      <c r="C1762" s="1" t="str">
        <f>'001'!D1762</f>
        <v>0902</v>
      </c>
      <c r="D1762" s="3" t="e">
        <f>'001'!H1762</f>
        <v>#VALUE!</v>
      </c>
    </row>
    <row r="1763" spans="1:4" x14ac:dyDescent="0.25">
      <c r="A1763" s="1" t="str">
        <f>'001'!B1763</f>
        <v>002467</v>
      </c>
      <c r="B1763" s="1" t="str">
        <f>'001'!C1763</f>
        <v>DISCO LIJA DOBLE A MASTER AUF6P 240</v>
      </c>
      <c r="C1763" s="1" t="str">
        <f>'001'!D1763</f>
        <v>0902</v>
      </c>
      <c r="D1763" s="3" t="e">
        <f>'001'!H1763</f>
        <v>#VALUE!</v>
      </c>
    </row>
    <row r="1764" spans="1:4" x14ac:dyDescent="0.25">
      <c r="A1764" s="1" t="str">
        <f>'001'!B1764</f>
        <v>002468</v>
      </c>
      <c r="B1764" s="1" t="str">
        <f>'001'!C1764</f>
        <v>DISCO LIJA DOBLE A MASTER AUF6P 280</v>
      </c>
      <c r="C1764" s="1" t="str">
        <f>'001'!D1764</f>
        <v>0902</v>
      </c>
      <c r="D1764" s="3" t="e">
        <f>'001'!H1764</f>
        <v>#VALUE!</v>
      </c>
    </row>
    <row r="1765" spans="1:4" x14ac:dyDescent="0.25">
      <c r="A1765" s="1" t="str">
        <f>'001'!B1765</f>
        <v>002469</v>
      </c>
      <c r="B1765" s="1" t="str">
        <f>'001'!C1765</f>
        <v>DISCO LIJA DOBLE A MASTER AUF6P 320</v>
      </c>
      <c r="C1765" s="1" t="str">
        <f>'001'!D1765</f>
        <v>0902</v>
      </c>
      <c r="D1765" s="3" t="e">
        <f>'001'!H1765</f>
        <v>#VALUE!</v>
      </c>
    </row>
    <row r="1766" spans="1:4" x14ac:dyDescent="0.25">
      <c r="A1766" s="1" t="str">
        <f>'001'!B1766</f>
        <v>002470</v>
      </c>
      <c r="B1766" s="1" t="str">
        <f>'001'!C1766</f>
        <v>DISCO LIJA DOBLE A MASTER AUF6P 360</v>
      </c>
      <c r="C1766" s="1" t="str">
        <f>'001'!D1766</f>
        <v>0902</v>
      </c>
      <c r="D1766" s="3" t="e">
        <f>'001'!H1766</f>
        <v>#VALUE!</v>
      </c>
    </row>
    <row r="1767" spans="1:4" x14ac:dyDescent="0.25">
      <c r="A1767" s="1" t="str">
        <f>'001'!B1767</f>
        <v>002471</v>
      </c>
      <c r="B1767" s="1" t="str">
        <f>'001'!C1767</f>
        <v>DISCO LIJA DOBLE A MASTER AUF6P 400</v>
      </c>
      <c r="C1767" s="1" t="str">
        <f>'001'!D1767</f>
        <v>0902</v>
      </c>
      <c r="D1767" s="3" t="e">
        <f>'001'!H1767</f>
        <v>#VALUE!</v>
      </c>
    </row>
    <row r="1768" spans="1:4" x14ac:dyDescent="0.25">
      <c r="A1768" s="1" t="str">
        <f>'001'!B1768</f>
        <v>002472</v>
      </c>
      <c r="B1768" s="1" t="str">
        <f>'001'!C1768</f>
        <v>DISCO LIJA DOBLE A MASTER AUF6P 600</v>
      </c>
      <c r="C1768" s="1" t="str">
        <f>'001'!D1768</f>
        <v>0902</v>
      </c>
      <c r="D1768" s="3" t="e">
        <f>'001'!H1768</f>
        <v>#VALUE!</v>
      </c>
    </row>
    <row r="1769" spans="1:4" x14ac:dyDescent="0.25">
      <c r="A1769" s="1" t="str">
        <f>'001'!B1769</f>
        <v>002481</v>
      </c>
      <c r="B1769" s="1" t="str">
        <f>'001'!C1769</f>
        <v>LATEX EXTERIOR TERSUAVE LAVABLE AMARILLO X  1</v>
      </c>
      <c r="C1769" s="1" t="str">
        <f>'001'!D1769</f>
        <v>0152</v>
      </c>
      <c r="D1769" s="3" t="e">
        <f>'001'!H1769</f>
        <v>#VALUE!</v>
      </c>
    </row>
    <row r="1770" spans="1:4" x14ac:dyDescent="0.25">
      <c r="A1770" s="1" t="str">
        <f>'001'!B1770</f>
        <v>002482</v>
      </c>
      <c r="B1770" s="1" t="str">
        <f>'001'!C1770</f>
        <v>LATEX EXTERIOR TERSUAVE LAVABLE AZUL CIELO X  1</v>
      </c>
      <c r="C1770" s="1" t="str">
        <f>'001'!D1770</f>
        <v>0152</v>
      </c>
      <c r="D1770" s="3" t="e">
        <f>'001'!H1770</f>
        <v>#VALUE!</v>
      </c>
    </row>
    <row r="1771" spans="1:4" x14ac:dyDescent="0.25">
      <c r="A1771" s="1" t="str">
        <f>'001'!B1771</f>
        <v>002483</v>
      </c>
      <c r="B1771" s="1" t="str">
        <f>'001'!C1771</f>
        <v>LATEX EXTERIOR TERSUAVE LAVABLE AZUL TRAFUL X  1</v>
      </c>
      <c r="C1771" s="1" t="str">
        <f>'001'!D1771</f>
        <v>0152</v>
      </c>
      <c r="D1771" s="3" t="e">
        <f>'001'!H1771</f>
        <v>#VALUE!</v>
      </c>
    </row>
    <row r="1772" spans="1:4" x14ac:dyDescent="0.25">
      <c r="A1772" s="1" t="str">
        <f>'001'!B1772</f>
        <v>002484</v>
      </c>
      <c r="B1772" s="1" t="str">
        <f>'001'!C1772</f>
        <v>LATEX EXTERIOR TERSUAVE LAVABLE BERMELLON X  1</v>
      </c>
      <c r="C1772" s="1" t="str">
        <f>'001'!D1772</f>
        <v>0152</v>
      </c>
      <c r="D1772" s="3" t="e">
        <f>'001'!H1772</f>
        <v>#VALUE!</v>
      </c>
    </row>
    <row r="1773" spans="1:4" x14ac:dyDescent="0.25">
      <c r="A1773" s="1" t="str">
        <f>'001'!B1773</f>
        <v>002485</v>
      </c>
      <c r="B1773" s="1" t="str">
        <f>'001'!C1773</f>
        <v>LATEX EXTERIOR TERSUAVE LAVABLE CHOCOLATE X  1</v>
      </c>
      <c r="C1773" s="1" t="str">
        <f>'001'!D1773</f>
        <v>0152</v>
      </c>
      <c r="D1773" s="3" t="e">
        <f>'001'!H1773</f>
        <v>#VALUE!</v>
      </c>
    </row>
    <row r="1774" spans="1:4" x14ac:dyDescent="0.25">
      <c r="A1774" s="1" t="str">
        <f>'001'!B1774</f>
        <v>002486</v>
      </c>
      <c r="B1774" s="1" t="str">
        <f>'001'!C1774</f>
        <v>LATEX EXTERIOR TERSUAVE LAVABLE GRIS ACERO X  1</v>
      </c>
      <c r="C1774" s="1" t="str">
        <f>'001'!D1774</f>
        <v>0152</v>
      </c>
      <c r="D1774" s="3" t="e">
        <f>'001'!H1774</f>
        <v>#VALUE!</v>
      </c>
    </row>
    <row r="1775" spans="1:4" x14ac:dyDescent="0.25">
      <c r="A1775" s="1" t="str">
        <f>'001'!B1775</f>
        <v>002487</v>
      </c>
      <c r="B1775" s="1" t="str">
        <f>'001'!C1775</f>
        <v>LATEX EXTERIOR TERSUAVE LAVABLE GRIS CEMENTO X  1</v>
      </c>
      <c r="C1775" s="1" t="str">
        <f>'001'!D1775</f>
        <v>0152</v>
      </c>
      <c r="D1775" s="3" t="e">
        <f>'001'!H1775</f>
        <v>#VALUE!</v>
      </c>
    </row>
    <row r="1776" spans="1:4" x14ac:dyDescent="0.25">
      <c r="A1776" s="1" t="str">
        <f>'001'!B1776</f>
        <v>002488</v>
      </c>
      <c r="B1776" s="1" t="str">
        <f>'001'!C1776</f>
        <v>LATEX EXTERIOR TERSUAVE LAVABLE MARRON AFRICANO X  1</v>
      </c>
      <c r="C1776" s="1" t="str">
        <f>'001'!D1776</f>
        <v>0152</v>
      </c>
      <c r="D1776" s="3" t="e">
        <f>'001'!H1776</f>
        <v>#VALUE!</v>
      </c>
    </row>
    <row r="1777" spans="1:4" x14ac:dyDescent="0.25">
      <c r="A1777" s="1" t="str">
        <f>'001'!B1777</f>
        <v>002489</v>
      </c>
      <c r="B1777" s="1" t="str">
        <f>'001'!C1777</f>
        <v>LATEX EXTERIOR TERSUAVE LAVABLE NEGRO EBANO X  1</v>
      </c>
      <c r="C1777" s="1" t="str">
        <f>'001'!D1777</f>
        <v>0152</v>
      </c>
      <c r="D1777" s="3" t="e">
        <f>'001'!H1777</f>
        <v>#VALUE!</v>
      </c>
    </row>
    <row r="1778" spans="1:4" x14ac:dyDescent="0.25">
      <c r="A1778" s="1" t="str">
        <f>'001'!B1778</f>
        <v>002490</v>
      </c>
      <c r="B1778" s="1" t="str">
        <f>'001'!C1778</f>
        <v>LATEX EXTERIOR TERSUAVE LAVABLE OCRE X  1</v>
      </c>
      <c r="C1778" s="1" t="str">
        <f>'001'!D1778</f>
        <v>0152</v>
      </c>
      <c r="D1778" s="3" t="e">
        <f>'001'!H1778</f>
        <v>#VALUE!</v>
      </c>
    </row>
    <row r="1779" spans="1:4" x14ac:dyDescent="0.25">
      <c r="A1779" s="1" t="str">
        <f>'001'!B1779</f>
        <v>002491</v>
      </c>
      <c r="B1779" s="1" t="str">
        <f>'001'!C1779</f>
        <v>LATEX EXTERIOR TERSUAVE LAVABLE ROJO BORGOGNA X  1</v>
      </c>
      <c r="C1779" s="1" t="str">
        <f>'001'!D1779</f>
        <v>0152</v>
      </c>
      <c r="D1779" s="3" t="e">
        <f>'001'!H1779</f>
        <v>#VALUE!</v>
      </c>
    </row>
    <row r="1780" spans="1:4" x14ac:dyDescent="0.25">
      <c r="A1780" s="1" t="str">
        <f>'001'!B1780</f>
        <v>002492</v>
      </c>
      <c r="B1780" s="1" t="str">
        <f>'001'!C1780</f>
        <v>LATEX EXTERIOR TERSUAVE LAVABLE ROJO TEJA X  1</v>
      </c>
      <c r="C1780" s="1" t="str">
        <f>'001'!D1780</f>
        <v>0152</v>
      </c>
      <c r="D1780" s="3" t="e">
        <f>'001'!H1780</f>
        <v>#VALUE!</v>
      </c>
    </row>
    <row r="1781" spans="1:4" x14ac:dyDescent="0.25">
      <c r="A1781" s="1" t="str">
        <f>'001'!B1781</f>
        <v>002493</v>
      </c>
      <c r="B1781" s="1" t="str">
        <f>'001'!C1781</f>
        <v>LATEX EXTERIOR TERSUAVE LAVABLE ROSA VIEJO X  1</v>
      </c>
      <c r="C1781" s="1" t="str">
        <f>'001'!D1781</f>
        <v>0152</v>
      </c>
      <c r="D1781" s="3" t="e">
        <f>'001'!H1781</f>
        <v>#VALUE!</v>
      </c>
    </row>
    <row r="1782" spans="1:4" x14ac:dyDescent="0.25">
      <c r="A1782" s="1" t="str">
        <f>'001'!B1782</f>
        <v>002494</v>
      </c>
      <c r="B1782" s="1" t="str">
        <f>'001'!C1782</f>
        <v>LATEX EXTERIOR TERSUAVE LAVABLE VERDE FORESTA X  1</v>
      </c>
      <c r="C1782" s="1" t="str">
        <f>'001'!D1782</f>
        <v>0152</v>
      </c>
      <c r="D1782" s="3" t="e">
        <f>'001'!H1782</f>
        <v>#VALUE!</v>
      </c>
    </row>
    <row r="1783" spans="1:4" x14ac:dyDescent="0.25">
      <c r="A1783" s="1" t="str">
        <f>'001'!B1783</f>
        <v>002495</v>
      </c>
      <c r="B1783" s="1" t="str">
        <f>'001'!C1783</f>
        <v>LATEX EXTERIOR TERSUAVE LAVABLE VERDE SAFARI X  1</v>
      </c>
      <c r="C1783" s="1" t="str">
        <f>'001'!D1783</f>
        <v>0152</v>
      </c>
      <c r="D1783" s="3" t="e">
        <f>'001'!H1783</f>
        <v>#VALUE!</v>
      </c>
    </row>
    <row r="1784" spans="1:4" x14ac:dyDescent="0.25">
      <c r="A1784" s="1" t="str">
        <f>'001'!B1784</f>
        <v>002496</v>
      </c>
      <c r="B1784" s="1" t="str">
        <f>'001'!C1784</f>
        <v>LATEX EXTERIOR TERSUAVE LAVABLE VIOLETA DEL SUR X  1</v>
      </c>
      <c r="C1784" s="1" t="str">
        <f>'001'!D1784</f>
        <v>0152</v>
      </c>
      <c r="D1784" s="3" t="e">
        <f>'001'!H1784</f>
        <v>#VALUE!</v>
      </c>
    </row>
    <row r="1785" spans="1:4" x14ac:dyDescent="0.25">
      <c r="A1785" s="1" t="str">
        <f>'001'!B1785</f>
        <v>002499</v>
      </c>
      <c r="B1785" s="1" t="str">
        <f>'001'!C1785</f>
        <v>IMPERMEABLIZANTE PARA TECHOS RECUPLAST TECHOS VERDE INGLES X 20</v>
      </c>
      <c r="C1785" s="1" t="str">
        <f>'001'!D1785</f>
        <v>0150</v>
      </c>
      <c r="D1785" s="3" t="e">
        <f>'001'!H1785</f>
        <v>#VALUE!</v>
      </c>
    </row>
    <row r="1786" spans="1:4" x14ac:dyDescent="0.25">
      <c r="A1786" s="1" t="str">
        <f>'001'!B1786</f>
        <v>002502</v>
      </c>
      <c r="B1786" s="1" t="str">
        <f>'001'!C1786</f>
        <v>ESMALTE SINTETICO TERSUAVE FERRO MICACEO PLATA INCAICA X 0,750</v>
      </c>
      <c r="C1786" s="1" t="str">
        <f>'001'!D1786</f>
        <v>0902</v>
      </c>
      <c r="D1786" s="3" t="e">
        <f>'001'!H1786</f>
        <v>#VALUE!</v>
      </c>
    </row>
    <row r="1787" spans="1:4" x14ac:dyDescent="0.25">
      <c r="A1787" s="1" t="str">
        <f>'001'!B1787</f>
        <v>002503</v>
      </c>
      <c r="B1787" s="1" t="str">
        <f>'001'!C1787</f>
        <v>ESMALTE SINTETICO TERSUAVE FERRO MICACEO GRAFITO X 0,750</v>
      </c>
      <c r="C1787" s="1" t="str">
        <f>'001'!D1787</f>
        <v>0902</v>
      </c>
      <c r="D1787" s="3" t="e">
        <f>'001'!H1787</f>
        <v>#VALUE!</v>
      </c>
    </row>
    <row r="1788" spans="1:4" x14ac:dyDescent="0.25">
      <c r="A1788" s="1" t="str">
        <f>'001'!B1788</f>
        <v>002508</v>
      </c>
      <c r="B1788" s="1" t="str">
        <f>'001'!C1788</f>
        <v>ESMALTE AL AGUA SATINOL SATINADO BASE MF X 0,900</v>
      </c>
      <c r="C1788" s="1" t="str">
        <f>'001'!D1788</f>
        <v>0108</v>
      </c>
      <c r="D1788" s="3" t="e">
        <f>'001'!H1788</f>
        <v>#VALUE!</v>
      </c>
    </row>
    <row r="1789" spans="1:4" x14ac:dyDescent="0.25">
      <c r="A1789" s="1" t="str">
        <f>'001'!B1789</f>
        <v>002509</v>
      </c>
      <c r="B1789" s="1" t="str">
        <f>'001'!C1789</f>
        <v>ESMALTE AL AGUA SATINOL SATINADO BASE MF X 3,600</v>
      </c>
      <c r="C1789" s="1" t="str">
        <f>'001'!D1789</f>
        <v>0108</v>
      </c>
      <c r="D1789" s="3" t="e">
        <f>'001'!H1789</f>
        <v>#VALUE!</v>
      </c>
    </row>
    <row r="1790" spans="1:4" x14ac:dyDescent="0.25">
      <c r="A1790" s="1" t="str">
        <f>'001'!B1790</f>
        <v>002510</v>
      </c>
      <c r="B1790" s="1" t="str">
        <f>'001'!C1790</f>
        <v>ESMALTE AL AGUA SATINOL SATINADO BASE T X 0,900</v>
      </c>
      <c r="C1790" s="1" t="str">
        <f>'001'!D1790</f>
        <v>0108</v>
      </c>
      <c r="D1790" s="3" t="e">
        <f>'001'!H1790</f>
        <v>#VALUE!</v>
      </c>
    </row>
    <row r="1791" spans="1:4" x14ac:dyDescent="0.25">
      <c r="A1791" s="1" t="str">
        <f>'001'!B1791</f>
        <v>002511</v>
      </c>
      <c r="B1791" s="1" t="str">
        <f>'001'!C1791</f>
        <v>ESMALTE AL AGUA SATINOL SATINADO BASE T X 3,600</v>
      </c>
      <c r="C1791" s="1" t="str">
        <f>'001'!D1791</f>
        <v>0108</v>
      </c>
      <c r="D1791" s="3" t="e">
        <f>'001'!H1791</f>
        <v>#VALUE!</v>
      </c>
    </row>
    <row r="1792" spans="1:4" x14ac:dyDescent="0.25">
      <c r="A1792" s="1" t="str">
        <f>'001'!B1792</f>
        <v>002512</v>
      </c>
      <c r="B1792" s="1" t="str">
        <f>'001'!C1792</f>
        <v>ESMALTE SINTETICO TERSUAVE FERRO MICACEO PLATA INCAICA X 2,500</v>
      </c>
      <c r="C1792" s="1" t="str">
        <f>'001'!D1792</f>
        <v>0902</v>
      </c>
      <c r="D1792" s="3" t="e">
        <f>'001'!H1792</f>
        <v>#VALUE!</v>
      </c>
    </row>
    <row r="1793" spans="1:4" x14ac:dyDescent="0.25">
      <c r="A1793" s="1" t="str">
        <f>'001'!B1793</f>
        <v>002513</v>
      </c>
      <c r="B1793" s="1" t="str">
        <f>'001'!C1793</f>
        <v>ESMALTE SINTETICO TERSUAVE FERRO MICACEO GRAFITO X 2,500</v>
      </c>
      <c r="C1793" s="1" t="str">
        <f>'001'!D1793</f>
        <v>0902</v>
      </c>
      <c r="D1793" s="3" t="e">
        <f>'001'!H1793</f>
        <v>#VALUE!</v>
      </c>
    </row>
    <row r="1794" spans="1:4" x14ac:dyDescent="0.25">
      <c r="A1794" s="1" t="str">
        <f>'001'!B1794</f>
        <v>002524</v>
      </c>
      <c r="B1794" s="1" t="str">
        <f>'001'!C1794</f>
        <v>DISCO CORTE DOBLE A T42 MASTER ACERO 180X2X22,2</v>
      </c>
      <c r="C1794" s="1" t="str">
        <f>'001'!D1794</f>
        <v>0102</v>
      </c>
      <c r="D1794" s="3" t="e">
        <f>'001'!H1794</f>
        <v>#VALUE!</v>
      </c>
    </row>
    <row r="1795" spans="1:4" x14ac:dyDescent="0.25">
      <c r="A1795" s="1" t="str">
        <f>'001'!B1795</f>
        <v>002526</v>
      </c>
      <c r="B1795" s="1" t="str">
        <f>'001'!C1795</f>
        <v>DISCO CORTE DOBLE A T42 MASTER ACERO 230X3,0X22,2</v>
      </c>
      <c r="C1795" s="1" t="str">
        <f>'001'!D1795</f>
        <v>0102</v>
      </c>
      <c r="D1795" s="3" t="e">
        <f>'001'!H1795</f>
        <v>#VALUE!</v>
      </c>
    </row>
    <row r="1796" spans="1:4" x14ac:dyDescent="0.25">
      <c r="A1796" s="1" t="str">
        <f>'001'!B1796</f>
        <v>002530</v>
      </c>
      <c r="B1796" s="1" t="str">
        <f>'001'!C1796</f>
        <v>IMPERMEABLIZANTE PARA TECHOS RECUPLAST TECHOS NEGRO X 20</v>
      </c>
      <c r="C1796" s="1" t="str">
        <f>'001'!D1796</f>
        <v>0150</v>
      </c>
      <c r="D1796" s="3" t="e">
        <f>'001'!H1796</f>
        <v>#VALUE!</v>
      </c>
    </row>
    <row r="1797" spans="1:4" x14ac:dyDescent="0.25">
      <c r="A1797" s="1" t="str">
        <f>'001'!B1797</f>
        <v>002533</v>
      </c>
      <c r="B1797" s="1" t="str">
        <f>'001'!C1797</f>
        <v>IMPERMEABLIZANTE PARA TECHOS RECUPLAST TECHOS AZUL X 20</v>
      </c>
      <c r="C1797" s="1" t="str">
        <f>'001'!D1797</f>
        <v>0150</v>
      </c>
      <c r="D1797" s="3" t="e">
        <f>'001'!H1797</f>
        <v>#VALUE!</v>
      </c>
    </row>
    <row r="1798" spans="1:4" x14ac:dyDescent="0.25">
      <c r="A1798" s="1" t="str">
        <f>'001'!B1798</f>
        <v>002536</v>
      </c>
      <c r="B1798" s="1" t="str">
        <f>'001'!C1798</f>
        <v>IMPERMEABLIZANTE PARA TECHOS RECUPLAST TECHOS GRIS X 20</v>
      </c>
      <c r="C1798" s="1" t="str">
        <f>'001'!D1798</f>
        <v>0150</v>
      </c>
      <c r="D1798" s="3" t="e">
        <f>'001'!H1798</f>
        <v>#VALUE!</v>
      </c>
    </row>
    <row r="1799" spans="1:4" x14ac:dyDescent="0.25">
      <c r="A1799" s="1" t="str">
        <f>'001'!B1799</f>
        <v>002537</v>
      </c>
      <c r="B1799" s="1" t="str">
        <f>'001'!C1799</f>
        <v>ESMALTE SINTETICO PLAVICON BRILLANTE BASE PASTEL X  0,900</v>
      </c>
      <c r="C1799" s="1" t="str">
        <f>'001'!D1799</f>
        <v>0175</v>
      </c>
      <c r="D1799" s="3" t="e">
        <f>'001'!H1799</f>
        <v>#VALUE!</v>
      </c>
    </row>
    <row r="1800" spans="1:4" x14ac:dyDescent="0.25">
      <c r="A1800" s="1" t="str">
        <f>'001'!B1800</f>
        <v>002538</v>
      </c>
      <c r="B1800" s="1" t="str">
        <f>'001'!C1800</f>
        <v>ESMALTE SINTETICO PLAVICON BRILLANTE BASE PASTEL X  3,600</v>
      </c>
      <c r="C1800" s="1" t="str">
        <f>'001'!D1800</f>
        <v>0175</v>
      </c>
      <c r="D1800" s="3" t="e">
        <f>'001'!H1800</f>
        <v>#VALUE!</v>
      </c>
    </row>
    <row r="1801" spans="1:4" x14ac:dyDescent="0.25">
      <c r="A1801" s="1" t="str">
        <f>'001'!B1801</f>
        <v>002539</v>
      </c>
      <c r="B1801" s="1" t="str">
        <f>'001'!C1801</f>
        <v>ESMALTE SINTETICO PLAVICON BRILLANTE BASE PASTEL X 18</v>
      </c>
      <c r="C1801" s="1" t="str">
        <f>'001'!D1801</f>
        <v>0175</v>
      </c>
      <c r="D1801" s="3" t="e">
        <f>'001'!H1801</f>
        <v>#VALUE!</v>
      </c>
    </row>
    <row r="1802" spans="1:4" x14ac:dyDescent="0.25">
      <c r="A1802" s="1" t="str">
        <f>'001'!B1802</f>
        <v>002540</v>
      </c>
      <c r="B1802" s="1" t="str">
        <f>'001'!C1802</f>
        <v>ESMALTE SINTETICO PLAVICON BRILLANTE BASE MEDIANO X  0,900</v>
      </c>
      <c r="C1802" s="1" t="str">
        <f>'001'!D1802</f>
        <v>0175</v>
      </c>
      <c r="D1802" s="3" t="e">
        <f>'001'!H1802</f>
        <v>#VALUE!</v>
      </c>
    </row>
    <row r="1803" spans="1:4" x14ac:dyDescent="0.25">
      <c r="A1803" s="1" t="str">
        <f>'001'!B1803</f>
        <v>002541</v>
      </c>
      <c r="B1803" s="1" t="str">
        <f>'001'!C1803</f>
        <v>ESMALTE SINTETICO PLAVICON BRILLANTE BASE MEDIANO X  3,600</v>
      </c>
      <c r="C1803" s="1" t="str">
        <f>'001'!D1803</f>
        <v>0175</v>
      </c>
      <c r="D1803" s="3" t="e">
        <f>'001'!H1803</f>
        <v>#VALUE!</v>
      </c>
    </row>
    <row r="1804" spans="1:4" x14ac:dyDescent="0.25">
      <c r="A1804" s="1" t="str">
        <f>'001'!B1804</f>
        <v>002542</v>
      </c>
      <c r="B1804" s="1" t="str">
        <f>'001'!C1804</f>
        <v>ESMALTE SINTETICO PLAVICON BRILLANTE BASE MEDIANO X 18</v>
      </c>
      <c r="C1804" s="1" t="str">
        <f>'001'!D1804</f>
        <v>0175</v>
      </c>
      <c r="D1804" s="3" t="e">
        <f>'001'!H1804</f>
        <v>#VALUE!</v>
      </c>
    </row>
    <row r="1805" spans="1:4" x14ac:dyDescent="0.25">
      <c r="A1805" s="1" t="str">
        <f>'001'!B1805</f>
        <v>002543</v>
      </c>
      <c r="B1805" s="1" t="str">
        <f>'001'!C1805</f>
        <v>ESMALTE SINTETICO PLAVICON BRILLANTE BASE INTENSO X  0,900</v>
      </c>
      <c r="C1805" s="1" t="str">
        <f>'001'!D1805</f>
        <v>0175</v>
      </c>
      <c r="D1805" s="3" t="e">
        <f>'001'!H1805</f>
        <v>#VALUE!</v>
      </c>
    </row>
    <row r="1806" spans="1:4" x14ac:dyDescent="0.25">
      <c r="A1806" s="1" t="str">
        <f>'001'!B1806</f>
        <v>002544</v>
      </c>
      <c r="B1806" s="1" t="str">
        <f>'001'!C1806</f>
        <v>ESMALTE SINTETICO PLAVICON BRILLANTE BASE INTENSO X  3,600</v>
      </c>
      <c r="C1806" s="1" t="str">
        <f>'001'!D1806</f>
        <v>0175</v>
      </c>
      <c r="D1806" s="3" t="e">
        <f>'001'!H1806</f>
        <v>#VALUE!</v>
      </c>
    </row>
    <row r="1807" spans="1:4" x14ac:dyDescent="0.25">
      <c r="A1807" s="1" t="str">
        <f>'001'!B1807</f>
        <v>002545</v>
      </c>
      <c r="B1807" s="1" t="str">
        <f>'001'!C1807</f>
        <v>ESMALTE SINTETICO PLAVICON BRILLANTE BASE INTENSO X 18</v>
      </c>
      <c r="C1807" s="1" t="str">
        <f>'001'!D1807</f>
        <v>0175</v>
      </c>
      <c r="D1807" s="3" t="e">
        <f>'001'!H1807</f>
        <v>#VALUE!</v>
      </c>
    </row>
    <row r="1808" spans="1:4" x14ac:dyDescent="0.25">
      <c r="A1808" s="1" t="str">
        <f>'001'!B1808</f>
        <v>002546</v>
      </c>
      <c r="B1808" s="1" t="str">
        <f>'001'!C1808</f>
        <v>ESMALTE SINTETICO PLAVICON SATINADO BASE PASTEL X  0,900</v>
      </c>
      <c r="C1808" s="1" t="str">
        <f>'001'!D1808</f>
        <v>0175</v>
      </c>
      <c r="D1808" s="3" t="e">
        <f>'001'!H1808</f>
        <v>#VALUE!</v>
      </c>
    </row>
    <row r="1809" spans="1:4" x14ac:dyDescent="0.25">
      <c r="A1809" s="1" t="str">
        <f>'001'!B1809</f>
        <v>002547</v>
      </c>
      <c r="B1809" s="1" t="str">
        <f>'001'!C1809</f>
        <v>ESMALTE SINTETICO PLAVICON SATINADO BASE PASTEL X  3,600</v>
      </c>
      <c r="C1809" s="1" t="str">
        <f>'001'!D1809</f>
        <v>0175</v>
      </c>
      <c r="D1809" s="3" t="e">
        <f>'001'!H1809</f>
        <v>#VALUE!</v>
      </c>
    </row>
    <row r="1810" spans="1:4" x14ac:dyDescent="0.25">
      <c r="A1810" s="1" t="str">
        <f>'001'!B1810</f>
        <v>002548</v>
      </c>
      <c r="B1810" s="1" t="str">
        <f>'001'!C1810</f>
        <v>ESMALTE SINTETICO PLAVICON SATINADO BASE PASTEL X 18</v>
      </c>
      <c r="C1810" s="1" t="str">
        <f>'001'!D1810</f>
        <v>0175</v>
      </c>
      <c r="D1810" s="3" t="e">
        <f>'001'!H1810</f>
        <v>#VALUE!</v>
      </c>
    </row>
    <row r="1811" spans="1:4" x14ac:dyDescent="0.25">
      <c r="A1811" s="1" t="str">
        <f>'001'!B1811</f>
        <v>002549</v>
      </c>
      <c r="B1811" s="1" t="str">
        <f>'001'!C1811</f>
        <v>ESMALTE SINTETICO PLAVICON SATINADO BASE MEDIANO X  0,900</v>
      </c>
      <c r="C1811" s="1" t="str">
        <f>'001'!D1811</f>
        <v>0175</v>
      </c>
      <c r="D1811" s="3" t="e">
        <f>'001'!H1811</f>
        <v>#VALUE!</v>
      </c>
    </row>
    <row r="1812" spans="1:4" x14ac:dyDescent="0.25">
      <c r="A1812" s="1" t="str">
        <f>'001'!B1812</f>
        <v>002550</v>
      </c>
      <c r="B1812" s="1" t="str">
        <f>'001'!C1812</f>
        <v>ESMALTE SINTETICO PLAVICON SATINADO BASE MEDIANO X  3,600</v>
      </c>
      <c r="C1812" s="1" t="str">
        <f>'001'!D1812</f>
        <v>0175</v>
      </c>
      <c r="D1812" s="3" t="e">
        <f>'001'!H1812</f>
        <v>#VALUE!</v>
      </c>
    </row>
    <row r="1813" spans="1:4" x14ac:dyDescent="0.25">
      <c r="A1813" s="1" t="str">
        <f>'001'!B1813</f>
        <v>002551</v>
      </c>
      <c r="B1813" s="1" t="str">
        <f>'001'!C1813</f>
        <v>ESMALTE SINTETICO PLAVICON SATINADO BASE MEDIANO X 18</v>
      </c>
      <c r="C1813" s="1" t="str">
        <f>'001'!D1813</f>
        <v>0175</v>
      </c>
      <c r="D1813" s="3" t="e">
        <f>'001'!H1813</f>
        <v>#VALUE!</v>
      </c>
    </row>
    <row r="1814" spans="1:4" x14ac:dyDescent="0.25">
      <c r="A1814" s="1" t="str">
        <f>'001'!B1814</f>
        <v>002552</v>
      </c>
      <c r="B1814" s="1" t="str">
        <f>'001'!C1814</f>
        <v>ESMALTE SINTETICO PLAVICON SATINADO BASE INTENSO X  0,900</v>
      </c>
      <c r="C1814" s="1" t="str">
        <f>'001'!D1814</f>
        <v>0175</v>
      </c>
      <c r="D1814" s="3" t="e">
        <f>'001'!H1814</f>
        <v>#VALUE!</v>
      </c>
    </row>
    <row r="1815" spans="1:4" x14ac:dyDescent="0.25">
      <c r="A1815" s="1" t="str">
        <f>'001'!B1815</f>
        <v>002553</v>
      </c>
      <c r="B1815" s="1" t="str">
        <f>'001'!C1815</f>
        <v>ESMALTE SINTETICO PLAVICON SATINADO BASE INTENSO X  3,600</v>
      </c>
      <c r="C1815" s="1" t="str">
        <f>'001'!D1815</f>
        <v>0175</v>
      </c>
      <c r="D1815" s="3" t="e">
        <f>'001'!H1815</f>
        <v>#VALUE!</v>
      </c>
    </row>
    <row r="1816" spans="1:4" x14ac:dyDescent="0.25">
      <c r="A1816" s="1" t="str">
        <f>'001'!B1816</f>
        <v>002554</v>
      </c>
      <c r="B1816" s="1" t="str">
        <f>'001'!C1816</f>
        <v>ESMALTE SINTETICO PLAVICON SATINADO BASE INTENSO X 18</v>
      </c>
      <c r="C1816" s="1" t="str">
        <f>'001'!D1816</f>
        <v>0175</v>
      </c>
      <c r="D1816" s="3" t="e">
        <f>'001'!H1816</f>
        <v>#VALUE!</v>
      </c>
    </row>
    <row r="1817" spans="1:4" x14ac:dyDescent="0.25">
      <c r="A1817" s="1" t="str">
        <f>'001'!B1817</f>
        <v>002555</v>
      </c>
      <c r="B1817" s="1" t="str">
        <f>'001'!C1817</f>
        <v>ESPATULA PARA ENDUIR SANTA JUANA CABO CORTO MADERA 100</v>
      </c>
      <c r="C1817" s="1" t="str">
        <f>'001'!D1817</f>
        <v>0148</v>
      </c>
      <c r="D1817" s="3" t="e">
        <f>'001'!H1817</f>
        <v>#VALUE!</v>
      </c>
    </row>
    <row r="1818" spans="1:4" x14ac:dyDescent="0.25">
      <c r="A1818" s="1" t="str">
        <f>'001'!B1818</f>
        <v>002556</v>
      </c>
      <c r="B1818" s="1" t="str">
        <f>'001'!C1818</f>
        <v>ESPATULA PARA ENDUIR SANTA JUANA CABO CORTO MADERA 120</v>
      </c>
      <c r="C1818" s="1" t="str">
        <f>'001'!D1818</f>
        <v>0148</v>
      </c>
      <c r="D1818" s="3" t="e">
        <f>'001'!H1818</f>
        <v>#VALUE!</v>
      </c>
    </row>
    <row r="1819" spans="1:4" x14ac:dyDescent="0.25">
      <c r="A1819" s="1" t="str">
        <f>'001'!B1819</f>
        <v>002557</v>
      </c>
      <c r="B1819" s="1" t="str">
        <f>'001'!C1819</f>
        <v>ESPATULA PARA ENDUIR SANTA JUANA CABO CORTO MADERA 140</v>
      </c>
      <c r="C1819" s="1" t="str">
        <f>'001'!D1819</f>
        <v>0148</v>
      </c>
      <c r="D1819" s="3" t="e">
        <f>'001'!H1819</f>
        <v>#VALUE!</v>
      </c>
    </row>
    <row r="1820" spans="1:4" x14ac:dyDescent="0.25">
      <c r="A1820" s="1" t="str">
        <f>'001'!B1820</f>
        <v>002558</v>
      </c>
      <c r="B1820" s="1" t="str">
        <f>'001'!C1820</f>
        <v>ESPATULA PARA ENDUIR SANTA JUANA CABO CORTO MADERA 160</v>
      </c>
      <c r="C1820" s="1" t="str">
        <f>'001'!D1820</f>
        <v>0148</v>
      </c>
      <c r="D1820" s="3" t="e">
        <f>'001'!H1820</f>
        <v>#VALUE!</v>
      </c>
    </row>
    <row r="1821" spans="1:4" x14ac:dyDescent="0.25">
      <c r="A1821" s="1" t="str">
        <f>'001'!B1821</f>
        <v>002559</v>
      </c>
      <c r="B1821" s="1" t="str">
        <f>'001'!C1821</f>
        <v>ESPATULA PARA ENDUIR SANTA JUANA CABO CORTO MADERA 180</v>
      </c>
      <c r="C1821" s="1" t="str">
        <f>'001'!D1821</f>
        <v>0148</v>
      </c>
      <c r="D1821" s="3" t="e">
        <f>'001'!H1821</f>
        <v>#VALUE!</v>
      </c>
    </row>
    <row r="1822" spans="1:4" x14ac:dyDescent="0.25">
      <c r="A1822" s="1" t="str">
        <f>'001'!B1822</f>
        <v>002560</v>
      </c>
      <c r="B1822" s="1" t="str">
        <f>'001'!C1822</f>
        <v>ESPATULA PARA ENDUIR SANTA JUANA CABO CORTO MADERA 200</v>
      </c>
      <c r="C1822" s="1" t="str">
        <f>'001'!D1822</f>
        <v>0148</v>
      </c>
      <c r="D1822" s="3" t="e">
        <f>'001'!H1822</f>
        <v>#VALUE!</v>
      </c>
    </row>
    <row r="1823" spans="1:4" x14ac:dyDescent="0.25">
      <c r="A1823" s="1" t="str">
        <f>'001'!B1823</f>
        <v>002561</v>
      </c>
      <c r="B1823" s="1" t="str">
        <f>'001'!C1823</f>
        <v>ESPATULA PARA ENDUIR SANTA JUANA CABO CORTO MADERA 220</v>
      </c>
      <c r="C1823" s="1" t="str">
        <f>'001'!D1823</f>
        <v>0148</v>
      </c>
      <c r="D1823" s="3" t="e">
        <f>'001'!H1823</f>
        <v>#VALUE!</v>
      </c>
    </row>
    <row r="1824" spans="1:4" x14ac:dyDescent="0.25">
      <c r="A1824" s="1" t="str">
        <f>'001'!B1824</f>
        <v>002562</v>
      </c>
      <c r="B1824" s="1" t="str">
        <f>'001'!C1824</f>
        <v>ESPATULA PARA ENDUIR SANTA JUANA CABO CORTO MADERA 240</v>
      </c>
      <c r="C1824" s="1" t="str">
        <f>'001'!D1824</f>
        <v>0148</v>
      </c>
      <c r="D1824" s="3" t="e">
        <f>'001'!H1824</f>
        <v>#VALUE!</v>
      </c>
    </row>
    <row r="1825" spans="1:4" x14ac:dyDescent="0.25">
      <c r="A1825" s="1" t="str">
        <f>'001'!B1825</f>
        <v>002563</v>
      </c>
      <c r="B1825" s="1" t="str">
        <f>'001'!C1825</f>
        <v>ESPATULA PARA ENDUIR SANTA JUANA CABO LARGO MADERA 100</v>
      </c>
      <c r="C1825" s="1" t="str">
        <f>'001'!D1825</f>
        <v>0148</v>
      </c>
      <c r="D1825" s="3" t="e">
        <f>'001'!H1825</f>
        <v>#VALUE!</v>
      </c>
    </row>
    <row r="1826" spans="1:4" x14ac:dyDescent="0.25">
      <c r="A1826" s="1" t="str">
        <f>'001'!B1826</f>
        <v>002564</v>
      </c>
      <c r="B1826" s="1" t="str">
        <f>'001'!C1826</f>
        <v>ESPATULA PARA ENDUIR SANTA JUANA CABO LARGO MADERA 120</v>
      </c>
      <c r="C1826" s="1" t="str">
        <f>'001'!D1826</f>
        <v>0148</v>
      </c>
      <c r="D1826" s="3" t="e">
        <f>'001'!H1826</f>
        <v>#VALUE!</v>
      </c>
    </row>
    <row r="1827" spans="1:4" x14ac:dyDescent="0.25">
      <c r="A1827" s="1" t="str">
        <f>'001'!B1827</f>
        <v>002565</v>
      </c>
      <c r="B1827" s="1" t="str">
        <f>'001'!C1827</f>
        <v>ESPATULA PARA ENDUIR SANTA JUANA CABO LARGO MADERA 140</v>
      </c>
      <c r="C1827" s="1" t="str">
        <f>'001'!D1827</f>
        <v>0148</v>
      </c>
      <c r="D1827" s="3" t="e">
        <f>'001'!H1827</f>
        <v>#VALUE!</v>
      </c>
    </row>
    <row r="1828" spans="1:4" x14ac:dyDescent="0.25">
      <c r="A1828" s="1" t="str">
        <f>'001'!B1828</f>
        <v>002566</v>
      </c>
      <c r="B1828" s="1" t="str">
        <f>'001'!C1828</f>
        <v>ESPATULA PARA ENDUIR SANTA JUANA CABO LARGO MADERA 160</v>
      </c>
      <c r="C1828" s="1" t="str">
        <f>'001'!D1828</f>
        <v>0148</v>
      </c>
      <c r="D1828" s="3" t="e">
        <f>'001'!H1828</f>
        <v>#VALUE!</v>
      </c>
    </row>
    <row r="1829" spans="1:4" x14ac:dyDescent="0.25">
      <c r="A1829" s="1" t="str">
        <f>'001'!B1829</f>
        <v>002567</v>
      </c>
      <c r="B1829" s="1" t="str">
        <f>'001'!C1829</f>
        <v>ESPATULA PARA ENDUIR SANTA JUANA CABO LARGO MADERA 180</v>
      </c>
      <c r="C1829" s="1" t="str">
        <f>'001'!D1829</f>
        <v>0148</v>
      </c>
      <c r="D1829" s="3" t="e">
        <f>'001'!H1829</f>
        <v>#VALUE!</v>
      </c>
    </row>
    <row r="1830" spans="1:4" x14ac:dyDescent="0.25">
      <c r="A1830" s="1" t="str">
        <f>'001'!B1830</f>
        <v>002568</v>
      </c>
      <c r="B1830" s="1" t="str">
        <f>'001'!C1830</f>
        <v>ESPATULA PARA ENDUIR SANTA JUANA CABO LARGO MADERA 200</v>
      </c>
      <c r="C1830" s="1" t="str">
        <f>'001'!D1830</f>
        <v>0148</v>
      </c>
      <c r="D1830" s="3" t="e">
        <f>'001'!H1830</f>
        <v>#VALUE!</v>
      </c>
    </row>
    <row r="1831" spans="1:4" x14ac:dyDescent="0.25">
      <c r="A1831" s="1" t="str">
        <f>'001'!B1831</f>
        <v>002569</v>
      </c>
      <c r="B1831" s="1" t="str">
        <f>'001'!C1831</f>
        <v>ESPATULA PARA ENDUIR SANTA JUANA CABO LARGO MADERA 220</v>
      </c>
      <c r="C1831" s="1" t="str">
        <f>'001'!D1831</f>
        <v>0148</v>
      </c>
      <c r="D1831" s="3" t="e">
        <f>'001'!H1831</f>
        <v>#VALUE!</v>
      </c>
    </row>
    <row r="1832" spans="1:4" x14ac:dyDescent="0.25">
      <c r="A1832" s="1" t="str">
        <f>'001'!B1832</f>
        <v>002570</v>
      </c>
      <c r="B1832" s="1" t="str">
        <f>'001'!C1832</f>
        <v>ESPATULA PARA ENDUIR SANTA JUANA CABO LARGO MADERA 240</v>
      </c>
      <c r="C1832" s="1" t="str">
        <f>'001'!D1832</f>
        <v>0148</v>
      </c>
      <c r="D1832" s="3" t="e">
        <f>'001'!H1832</f>
        <v>#VALUE!</v>
      </c>
    </row>
    <row r="1833" spans="1:4" x14ac:dyDescent="0.25">
      <c r="A1833" s="1" t="str">
        <f>'001'!B1833</f>
        <v>002571</v>
      </c>
      <c r="B1833" s="1" t="str">
        <f>'001'!C1833</f>
        <v>LLANA DURA SANTA JUANA CABO PLASTICO 12X25</v>
      </c>
      <c r="C1833" s="1" t="str">
        <f>'001'!D1833</f>
        <v>0148</v>
      </c>
      <c r="D1833" s="3" t="e">
        <f>'001'!H1833</f>
        <v>#VALUE!</v>
      </c>
    </row>
    <row r="1834" spans="1:4" x14ac:dyDescent="0.25">
      <c r="A1834" s="1" t="str">
        <f>'001'!B1834</f>
        <v>002572</v>
      </c>
      <c r="B1834" s="1" t="str">
        <f>'001'!C1834</f>
        <v>LLANA DURA SANTA JUANA CABO PLASTICO 12X30</v>
      </c>
      <c r="C1834" s="1" t="str">
        <f>'001'!D1834</f>
        <v>0148</v>
      </c>
      <c r="D1834" s="3" t="e">
        <f>'001'!H1834</f>
        <v>#VALUE!</v>
      </c>
    </row>
    <row r="1835" spans="1:4" x14ac:dyDescent="0.25">
      <c r="A1835" s="1" t="str">
        <f>'001'!B1835</f>
        <v>002573</v>
      </c>
      <c r="B1835" s="1" t="str">
        <f>'001'!C1835</f>
        <v>CINTA PARA DEMARCACION DOBLE A AMARILLA/NEGRA 48MM X 33M</v>
      </c>
      <c r="C1835" s="1" t="str">
        <f>'001'!D1835</f>
        <v>0102</v>
      </c>
      <c r="D1835" s="3" t="e">
        <f>'001'!H1835</f>
        <v>#VALUE!</v>
      </c>
    </row>
    <row r="1836" spans="1:4" x14ac:dyDescent="0.25">
      <c r="A1836" s="1" t="str">
        <f>'001'!B1836</f>
        <v>002574</v>
      </c>
      <c r="B1836" s="1" t="str">
        <f>'001'!C1836</f>
        <v>CINTA PARA DEMARCACION DOBLE A ROJO/BLANCO 48MM X 33M</v>
      </c>
      <c r="C1836" s="1" t="str">
        <f>'001'!D1836</f>
        <v>0102</v>
      </c>
      <c r="D1836" s="3" t="e">
        <f>'001'!H1836</f>
        <v>#VALUE!</v>
      </c>
    </row>
    <row r="1837" spans="1:4" x14ac:dyDescent="0.25">
      <c r="A1837" s="1" t="str">
        <f>'001'!B1837</f>
        <v>002575</v>
      </c>
      <c r="B1837" s="1" t="str">
        <f>'001'!C1837</f>
        <v>CINTA PARA DEMARCACION DOBLE A AMARILLO 48MM X 33M</v>
      </c>
      <c r="C1837" s="1" t="str">
        <f>'001'!D1837</f>
        <v>0102</v>
      </c>
      <c r="D1837" s="3" t="e">
        <f>'001'!H1837</f>
        <v>#VALUE!</v>
      </c>
    </row>
    <row r="1838" spans="1:4" x14ac:dyDescent="0.25">
      <c r="A1838" s="1" t="str">
        <f>'001'!B1838</f>
        <v>002576</v>
      </c>
      <c r="B1838" s="1" t="str">
        <f>'001'!C1838</f>
        <v>CINTA PARA DEMARCACION DOBLE A AZUL 48MM X 33M</v>
      </c>
      <c r="C1838" s="1" t="str">
        <f>'001'!D1838</f>
        <v>0102</v>
      </c>
      <c r="D1838" s="3" t="e">
        <f>'001'!H1838</f>
        <v>#VALUE!</v>
      </c>
    </row>
    <row r="1839" spans="1:4" x14ac:dyDescent="0.25">
      <c r="A1839" s="1" t="str">
        <f>'001'!B1839</f>
        <v>002577</v>
      </c>
      <c r="B1839" s="1" t="str">
        <f>'001'!C1839</f>
        <v>CINTA PARA DEMARCACION DOBLE A ROJO 48MM X 33M</v>
      </c>
      <c r="C1839" s="1" t="str">
        <f>'001'!D1839</f>
        <v>0102</v>
      </c>
      <c r="D1839" s="3" t="e">
        <f>'001'!H1839</f>
        <v>#VALUE!</v>
      </c>
    </row>
    <row r="1840" spans="1:4" x14ac:dyDescent="0.25">
      <c r="A1840" s="1" t="str">
        <f>'001'!B1840</f>
        <v>002578</v>
      </c>
      <c r="B1840" s="1" t="str">
        <f>'001'!C1840</f>
        <v>CINTA PARA DEMARCACION DOBLE A VERDE 48MM X 33M</v>
      </c>
      <c r="C1840" s="1" t="str">
        <f>'001'!D1840</f>
        <v>0102</v>
      </c>
      <c r="D1840" s="3" t="e">
        <f>'001'!H1840</f>
        <v>#VALUE!</v>
      </c>
    </row>
    <row r="1841" spans="1:4" x14ac:dyDescent="0.25">
      <c r="A1841" s="1" t="str">
        <f>'001'!B1841</f>
        <v>002579</v>
      </c>
      <c r="B1841" s="1" t="str">
        <f>'001'!C1841</f>
        <v>CINTA PARA DEMARCACION DOBLE A BLANCO 48MM X 33M</v>
      </c>
      <c r="C1841" s="1" t="str">
        <f>'001'!D1841</f>
        <v>0102</v>
      </c>
      <c r="D1841" s="3" t="e">
        <f>'001'!H1841</f>
        <v>#VALUE!</v>
      </c>
    </row>
    <row r="1842" spans="1:4" x14ac:dyDescent="0.25">
      <c r="A1842" s="1" t="str">
        <f>'001'!B1842</f>
        <v>002581</v>
      </c>
      <c r="B1842" s="1" t="str">
        <f>'001'!C1842</f>
        <v>LATEX EXTERIOR TERSUAVE LAVABLE AMARILLO X  4</v>
      </c>
      <c r="C1842" s="1" t="str">
        <f>'001'!D1842</f>
        <v>0152</v>
      </c>
      <c r="D1842" s="3" t="e">
        <f>'001'!H1842</f>
        <v>#VALUE!</v>
      </c>
    </row>
    <row r="1843" spans="1:4" x14ac:dyDescent="0.25">
      <c r="A1843" s="1" t="str">
        <f>'001'!B1843</f>
        <v>002582</v>
      </c>
      <c r="B1843" s="1" t="str">
        <f>'001'!C1843</f>
        <v>LATEX EXTERIOR TERSUAVE LAVABLE AZUL CIELO X  4</v>
      </c>
      <c r="C1843" s="1" t="str">
        <f>'001'!D1843</f>
        <v>0152</v>
      </c>
      <c r="D1843" s="3" t="e">
        <f>'001'!H1843</f>
        <v>#VALUE!</v>
      </c>
    </row>
    <row r="1844" spans="1:4" x14ac:dyDescent="0.25">
      <c r="A1844" s="1" t="str">
        <f>'001'!B1844</f>
        <v>002583</v>
      </c>
      <c r="B1844" s="1" t="str">
        <f>'001'!C1844</f>
        <v>LATEX EXTERIOR TERSUAVE LAVABLE AZUL TRAFUL X  4</v>
      </c>
      <c r="C1844" s="1" t="str">
        <f>'001'!D1844</f>
        <v>0152</v>
      </c>
      <c r="D1844" s="3" t="e">
        <f>'001'!H1844</f>
        <v>#VALUE!</v>
      </c>
    </row>
    <row r="1845" spans="1:4" x14ac:dyDescent="0.25">
      <c r="A1845" s="1" t="str">
        <f>'001'!B1845</f>
        <v>002584</v>
      </c>
      <c r="B1845" s="1" t="str">
        <f>'001'!C1845</f>
        <v>LATEX EXTERIOR TERSUAVE LAVABLE BERMELLON X  4</v>
      </c>
      <c r="C1845" s="1" t="str">
        <f>'001'!D1845</f>
        <v>0152</v>
      </c>
      <c r="D1845" s="3" t="e">
        <f>'001'!H1845</f>
        <v>#VALUE!</v>
      </c>
    </row>
    <row r="1846" spans="1:4" x14ac:dyDescent="0.25">
      <c r="A1846" s="1" t="str">
        <f>'001'!B1846</f>
        <v>002585</v>
      </c>
      <c r="B1846" s="1" t="str">
        <f>'001'!C1846</f>
        <v>LATEX EXTERIOR TERSUAVE LAVABLE CHOCOLATE X  4</v>
      </c>
      <c r="C1846" s="1" t="str">
        <f>'001'!D1846</f>
        <v>0152</v>
      </c>
      <c r="D1846" s="3" t="e">
        <f>'001'!H1846</f>
        <v>#VALUE!</v>
      </c>
    </row>
    <row r="1847" spans="1:4" x14ac:dyDescent="0.25">
      <c r="A1847" s="1" t="str">
        <f>'001'!B1847</f>
        <v>002586</v>
      </c>
      <c r="B1847" s="1" t="str">
        <f>'001'!C1847</f>
        <v>LATEX EXTERIOR TERSUAVE LAVABLE GRIS ACERO X  4</v>
      </c>
      <c r="C1847" s="1" t="str">
        <f>'001'!D1847</f>
        <v>0152</v>
      </c>
      <c r="D1847" s="3" t="e">
        <f>'001'!H1847</f>
        <v>#VALUE!</v>
      </c>
    </row>
    <row r="1848" spans="1:4" x14ac:dyDescent="0.25">
      <c r="A1848" s="1" t="str">
        <f>'001'!B1848</f>
        <v>002587</v>
      </c>
      <c r="B1848" s="1" t="str">
        <f>'001'!C1848</f>
        <v>LATEX EXTERIOR TERSUAVE LAVABLE GRIS CEMENTO X  4</v>
      </c>
      <c r="C1848" s="1" t="str">
        <f>'001'!D1848</f>
        <v>0152</v>
      </c>
      <c r="D1848" s="3" t="e">
        <f>'001'!H1848</f>
        <v>#VALUE!</v>
      </c>
    </row>
    <row r="1849" spans="1:4" x14ac:dyDescent="0.25">
      <c r="A1849" s="1" t="str">
        <f>'001'!B1849</f>
        <v>002588</v>
      </c>
      <c r="B1849" s="1" t="str">
        <f>'001'!C1849</f>
        <v>LATEX EXTERIOR TERSUAVE LAVABLE MARRON AFRICANO X  4</v>
      </c>
      <c r="C1849" s="1" t="str">
        <f>'001'!D1849</f>
        <v>0152</v>
      </c>
      <c r="D1849" s="3" t="e">
        <f>'001'!H1849</f>
        <v>#VALUE!</v>
      </c>
    </row>
    <row r="1850" spans="1:4" x14ac:dyDescent="0.25">
      <c r="A1850" s="1" t="str">
        <f>'001'!B1850</f>
        <v>002589</v>
      </c>
      <c r="B1850" s="1" t="str">
        <f>'001'!C1850</f>
        <v>LATEX EXTERIOR TERSUAVE LAVABLE NEGRO EBANO X  4</v>
      </c>
      <c r="C1850" s="1" t="str">
        <f>'001'!D1850</f>
        <v>0152</v>
      </c>
      <c r="D1850" s="3" t="e">
        <f>'001'!H1850</f>
        <v>#VALUE!</v>
      </c>
    </row>
    <row r="1851" spans="1:4" x14ac:dyDescent="0.25">
      <c r="A1851" s="1" t="str">
        <f>'001'!B1851</f>
        <v>002590</v>
      </c>
      <c r="B1851" s="1" t="str">
        <f>'001'!C1851</f>
        <v>LATEX EXTERIOR TERSUAVE LAVABLE OCRE X  4</v>
      </c>
      <c r="C1851" s="1" t="str">
        <f>'001'!D1851</f>
        <v>0152</v>
      </c>
      <c r="D1851" s="3" t="e">
        <f>'001'!H1851</f>
        <v>#VALUE!</v>
      </c>
    </row>
    <row r="1852" spans="1:4" x14ac:dyDescent="0.25">
      <c r="A1852" s="1" t="str">
        <f>'001'!B1852</f>
        <v>002591</v>
      </c>
      <c r="B1852" s="1" t="str">
        <f>'001'!C1852</f>
        <v>LATEX EXTERIOR TERSUAVE LAVABLE ROJO BORGOGNA X  4</v>
      </c>
      <c r="C1852" s="1" t="str">
        <f>'001'!D1852</f>
        <v>0152</v>
      </c>
      <c r="D1852" s="3" t="e">
        <f>'001'!H1852</f>
        <v>#VALUE!</v>
      </c>
    </row>
    <row r="1853" spans="1:4" x14ac:dyDescent="0.25">
      <c r="A1853" s="1" t="str">
        <f>'001'!B1853</f>
        <v>002592</v>
      </c>
      <c r="B1853" s="1" t="str">
        <f>'001'!C1853</f>
        <v>LATEX EXTERIOR TERSUAVE LAVABLE ROJO TEJA X  4</v>
      </c>
      <c r="C1853" s="1" t="str">
        <f>'001'!D1853</f>
        <v>0152</v>
      </c>
      <c r="D1853" s="3" t="e">
        <f>'001'!H1853</f>
        <v>#VALUE!</v>
      </c>
    </row>
    <row r="1854" spans="1:4" x14ac:dyDescent="0.25">
      <c r="A1854" s="1" t="str">
        <f>'001'!B1854</f>
        <v>002593</v>
      </c>
      <c r="B1854" s="1" t="str">
        <f>'001'!C1854</f>
        <v>LATEX EXTERIOR TERSUAVE LAVABLE ROSA VIEJO X  4</v>
      </c>
      <c r="C1854" s="1" t="str">
        <f>'001'!D1854</f>
        <v>0152</v>
      </c>
      <c r="D1854" s="3" t="e">
        <f>'001'!H1854</f>
        <v>#VALUE!</v>
      </c>
    </row>
    <row r="1855" spans="1:4" x14ac:dyDescent="0.25">
      <c r="A1855" s="1" t="str">
        <f>'001'!B1855</f>
        <v>002594</v>
      </c>
      <c r="B1855" s="1" t="str">
        <f>'001'!C1855</f>
        <v>LATEX EXTERIOR TERSUAVE LAVABLE VERDE FORESTA X  4</v>
      </c>
      <c r="C1855" s="1" t="str">
        <f>'001'!D1855</f>
        <v>0152</v>
      </c>
      <c r="D1855" s="3" t="e">
        <f>'001'!H1855</f>
        <v>#VALUE!</v>
      </c>
    </row>
    <row r="1856" spans="1:4" x14ac:dyDescent="0.25">
      <c r="A1856" s="1" t="str">
        <f>'001'!B1856</f>
        <v>002595</v>
      </c>
      <c r="B1856" s="1" t="str">
        <f>'001'!C1856</f>
        <v>LATEX EXTERIOR TERSUAVE LAVABLE VERDE SAFARI X  4</v>
      </c>
      <c r="C1856" s="1" t="str">
        <f>'001'!D1856</f>
        <v>0152</v>
      </c>
      <c r="D1856" s="3" t="e">
        <f>'001'!H1856</f>
        <v>#VALUE!</v>
      </c>
    </row>
    <row r="1857" spans="1:4" x14ac:dyDescent="0.25">
      <c r="A1857" s="1" t="str">
        <f>'001'!B1857</f>
        <v>002596</v>
      </c>
      <c r="B1857" s="1" t="str">
        <f>'001'!C1857</f>
        <v>LATEX EXTERIOR TERSUAVE LAVABLE VIOLETA DEL SUR X  4</v>
      </c>
      <c r="C1857" s="1" t="str">
        <f>'001'!D1857</f>
        <v>0152</v>
      </c>
      <c r="D1857" s="3" t="e">
        <f>'001'!H1857</f>
        <v>#VALUE!</v>
      </c>
    </row>
    <row r="1858" spans="1:4" x14ac:dyDescent="0.25">
      <c r="A1858" s="1" t="str">
        <f>'001'!B1858</f>
        <v>002597</v>
      </c>
      <c r="B1858" s="1" t="str">
        <f>'001'!C1858</f>
        <v>DISCO FLAP DOBLE A ULTRA OX ZIRCONIO 115X22 P 40</v>
      </c>
      <c r="C1858" s="1" t="str">
        <f>'001'!D1858</f>
        <v>0102</v>
      </c>
      <c r="D1858" s="3" t="e">
        <f>'001'!H1858</f>
        <v>#VALUE!</v>
      </c>
    </row>
    <row r="1859" spans="1:4" x14ac:dyDescent="0.25">
      <c r="A1859" s="1" t="str">
        <f>'001'!B1859</f>
        <v>002598</v>
      </c>
      <c r="B1859" s="1" t="str">
        <f>'001'!C1859</f>
        <v>DISCO FLAP DOBLE A ULTRA OX ZIRCONIO 115X22 P 80</v>
      </c>
      <c r="C1859" s="1" t="str">
        <f>'001'!D1859</f>
        <v>0102</v>
      </c>
      <c r="D1859" s="3" t="e">
        <f>'001'!H1859</f>
        <v>#VALUE!</v>
      </c>
    </row>
    <row r="1860" spans="1:4" x14ac:dyDescent="0.25">
      <c r="A1860" s="1" t="str">
        <f>'001'!B1860</f>
        <v>002599</v>
      </c>
      <c r="B1860" s="1" t="str">
        <f>'001'!C1860</f>
        <v>DISCO FLAP DOBLE A ULTRA OX ZIRCONIO 115X22 P120</v>
      </c>
      <c r="C1860" s="1" t="str">
        <f>'001'!D1860</f>
        <v>0102</v>
      </c>
      <c r="D1860" s="3" t="e">
        <f>'001'!H1860</f>
        <v>#VALUE!</v>
      </c>
    </row>
    <row r="1861" spans="1:4" x14ac:dyDescent="0.25">
      <c r="A1861" s="1" t="str">
        <f>'001'!B1861</f>
        <v>002600</v>
      </c>
      <c r="B1861" s="1" t="str">
        <f>'001'!C1861</f>
        <v>ESMALTE SINTETICO PARA PIZARRON TERSUAVE MATE VERDE X 4</v>
      </c>
      <c r="C1861" s="1" t="str">
        <f>'001'!D1861</f>
        <v>0152</v>
      </c>
      <c r="D1861" s="3" t="e">
        <f>'001'!H1861</f>
        <v>#VALUE!</v>
      </c>
    </row>
    <row r="1862" spans="1:4" x14ac:dyDescent="0.25">
      <c r="A1862" s="1" t="str">
        <f>'001'!B1862</f>
        <v>002601</v>
      </c>
      <c r="B1862" s="1" t="str">
        <f>'001'!C1862</f>
        <v>ESMALTE SINTETICO TERSUAVE 2EN1 BRILLANTE BLANCO X  4</v>
      </c>
      <c r="C1862" s="1" t="str">
        <f>'001'!D1862</f>
        <v>0152</v>
      </c>
      <c r="D1862" s="3" t="e">
        <f>'001'!H1862</f>
        <v>#VALUE!</v>
      </c>
    </row>
    <row r="1863" spans="1:4" x14ac:dyDescent="0.25">
      <c r="A1863" s="1" t="str">
        <f>'001'!B1863</f>
        <v>002602</v>
      </c>
      <c r="B1863" s="1" t="str">
        <f>'001'!C1863</f>
        <v>ESMALTE SINTETICO TERSUAVE 2EN1 BRILLANTE BERMELLON X  4</v>
      </c>
      <c r="C1863" s="1" t="str">
        <f>'001'!D1863</f>
        <v>0152</v>
      </c>
      <c r="D1863" s="3" t="e">
        <f>'001'!H1863</f>
        <v>#VALUE!</v>
      </c>
    </row>
    <row r="1864" spans="1:4" x14ac:dyDescent="0.25">
      <c r="A1864" s="1" t="str">
        <f>'001'!B1864</f>
        <v>002603</v>
      </c>
      <c r="B1864" s="1" t="str">
        <f>'001'!C1864</f>
        <v>ESMALTE SINTETICO TERSUAVE 2EN1 BRILLANTE NARANJA X  4</v>
      </c>
      <c r="C1864" s="1" t="str">
        <f>'001'!D1864</f>
        <v>0152</v>
      </c>
      <c r="D1864" s="3" t="e">
        <f>'001'!H1864</f>
        <v>#VALUE!</v>
      </c>
    </row>
    <row r="1865" spans="1:4" x14ac:dyDescent="0.25">
      <c r="A1865" s="1" t="str">
        <f>'001'!B1865</f>
        <v>002604</v>
      </c>
      <c r="B1865" s="1" t="str">
        <f>'001'!C1865</f>
        <v>ESMALTE SINTETICO TERSUAVE 2EN1 BRILLANTE AMARILLO X  4</v>
      </c>
      <c r="C1865" s="1" t="str">
        <f>'001'!D1865</f>
        <v>0152</v>
      </c>
      <c r="D1865" s="3" t="e">
        <f>'001'!H1865</f>
        <v>#VALUE!</v>
      </c>
    </row>
    <row r="1866" spans="1:4" x14ac:dyDescent="0.25">
      <c r="A1866" s="1" t="str">
        <f>'001'!B1866</f>
        <v>002605</v>
      </c>
      <c r="B1866" s="1" t="str">
        <f>'001'!C1866</f>
        <v>FONDO PARA MADERA TERSUAVE BLANCO X  4</v>
      </c>
      <c r="C1866" s="1" t="str">
        <f>'001'!D1866</f>
        <v>0152</v>
      </c>
      <c r="D1866" s="3" t="e">
        <f>'001'!H1866</f>
        <v>#VALUE!</v>
      </c>
    </row>
    <row r="1867" spans="1:4" x14ac:dyDescent="0.25">
      <c r="A1867" s="1" t="str">
        <f>'001'!B1867</f>
        <v>002606</v>
      </c>
      <c r="B1867" s="1" t="str">
        <f>'001'!C1867</f>
        <v>BARNIZ MARINO PARA MADERA TERSUAVE BRILLANTE X  4</v>
      </c>
      <c r="C1867" s="1" t="str">
        <f>'001'!D1867</f>
        <v>0152</v>
      </c>
      <c r="D1867" s="3" t="e">
        <f>'001'!H1867</f>
        <v>#VALUE!</v>
      </c>
    </row>
    <row r="1868" spans="1:4" x14ac:dyDescent="0.25">
      <c r="A1868" s="1" t="str">
        <f>'001'!B1868</f>
        <v>002607</v>
      </c>
      <c r="B1868" s="1" t="str">
        <f>'001'!C1868</f>
        <v>ESMALTE SINTETICO TERSUAVE ALTA TEMPERATURA ALUMINIO X 4</v>
      </c>
      <c r="C1868" s="1" t="str">
        <f>'001'!D1868</f>
        <v>0153</v>
      </c>
      <c r="D1868" s="3" t="e">
        <f>'001'!H1868</f>
        <v>#VALUE!</v>
      </c>
    </row>
    <row r="1869" spans="1:4" x14ac:dyDescent="0.25">
      <c r="A1869" s="1" t="str">
        <f>'001'!B1869</f>
        <v>002608</v>
      </c>
      <c r="B1869" s="1" t="str">
        <f>'001'!C1869</f>
        <v>ESMALTE SINTETICO TERSUAVE ALTA TEMPERATURA NEGRO X 4</v>
      </c>
      <c r="C1869" s="1" t="str">
        <f>'001'!D1869</f>
        <v>0153</v>
      </c>
      <c r="D1869" s="3" t="e">
        <f>'001'!H1869</f>
        <v>#VALUE!</v>
      </c>
    </row>
    <row r="1870" spans="1:4" x14ac:dyDescent="0.25">
      <c r="A1870" s="1" t="str">
        <f>'001'!B1870</f>
        <v>002609</v>
      </c>
      <c r="B1870" s="1" t="str">
        <f>'001'!C1870</f>
        <v>ESMALTE SINTETICO TERSUAVE 2EN1 BRILLANTE BEIGE X  4</v>
      </c>
      <c r="C1870" s="1" t="str">
        <f>'001'!D1870</f>
        <v>0152</v>
      </c>
      <c r="D1870" s="3" t="e">
        <f>'001'!H1870</f>
        <v>#VALUE!</v>
      </c>
    </row>
    <row r="1871" spans="1:4" x14ac:dyDescent="0.25">
      <c r="A1871" s="1" t="str">
        <f>'001'!B1871</f>
        <v>002610</v>
      </c>
      <c r="B1871" s="1" t="str">
        <f>'001'!C1871</f>
        <v>ESMALTE SINTETICO PARA PIZARRON TERSUAVE MATE NEGRO X 4</v>
      </c>
      <c r="C1871" s="1" t="str">
        <f>'001'!D1871</f>
        <v>0152</v>
      </c>
      <c r="D1871" s="3" t="e">
        <f>'001'!H1871</f>
        <v>#VALUE!</v>
      </c>
    </row>
    <row r="1872" spans="1:4" x14ac:dyDescent="0.25">
      <c r="A1872" s="1" t="str">
        <f>'001'!B1872</f>
        <v>002611</v>
      </c>
      <c r="B1872" s="1" t="str">
        <f>'001'!C1872</f>
        <v>ESMALTE SINTETICO TERSUAVE ALTA TEMPERATURA BLANCO X 4</v>
      </c>
      <c r="C1872" s="1" t="str">
        <f>'001'!D1872</f>
        <v>0153</v>
      </c>
      <c r="D1872" s="3" t="e">
        <f>'001'!H1872</f>
        <v>#VALUE!</v>
      </c>
    </row>
    <row r="1873" spans="1:4" x14ac:dyDescent="0.25">
      <c r="A1873" s="1" t="str">
        <f>'001'!B1873</f>
        <v>002612</v>
      </c>
      <c r="B1873" s="1" t="str">
        <f>'001'!C1873</f>
        <v>CM-108 ALUMINIO BRILL X 1</v>
      </c>
      <c r="C1873" s="1" t="str">
        <f>'001'!D1873</f>
        <v>0132</v>
      </c>
      <c r="D1873" s="3" t="e">
        <f>'001'!H1873</f>
        <v>#VALUE!</v>
      </c>
    </row>
    <row r="1874" spans="1:4" x14ac:dyDescent="0.25">
      <c r="A1874" s="1" t="str">
        <f>'001'!B1874</f>
        <v>002613</v>
      </c>
      <c r="B1874" s="1" t="str">
        <f>'001'!C1874</f>
        <v>ESMALTE SINTETICO TERSUAVE 2EN1 BRILLANTE CEDRO X  4</v>
      </c>
      <c r="C1874" s="1" t="str">
        <f>'001'!D1874</f>
        <v>0152</v>
      </c>
      <c r="D1874" s="3" t="e">
        <f>'001'!H1874</f>
        <v>#VALUE!</v>
      </c>
    </row>
    <row r="1875" spans="1:4" x14ac:dyDescent="0.25">
      <c r="A1875" s="1" t="str">
        <f>'001'!B1875</f>
        <v>002614</v>
      </c>
      <c r="B1875" s="1" t="str">
        <f>'001'!C1875</f>
        <v>AEROSOL RUST-OLEUM SP IMPRIMACION PLASTICO BLANCO X 0,340(272127/209460)</v>
      </c>
      <c r="C1875" s="1" t="str">
        <f>'001'!D1875</f>
        <v>0146</v>
      </c>
      <c r="D1875" s="3" t="e">
        <f>'001'!H1875</f>
        <v>#VALUE!</v>
      </c>
    </row>
    <row r="1876" spans="1:4" x14ac:dyDescent="0.25">
      <c r="A1876" s="1" t="str">
        <f>'001'!B1876</f>
        <v>002615</v>
      </c>
      <c r="B1876" s="1" t="str">
        <f>'001'!C1876</f>
        <v>ESMALTE SINTETICO TERSUAVE 2EN1 BRILLANTE NEGRO X  4</v>
      </c>
      <c r="C1876" s="1" t="str">
        <f>'001'!D1876</f>
        <v>0152</v>
      </c>
      <c r="D1876" s="3" t="e">
        <f>'001'!H1876</f>
        <v>#VALUE!</v>
      </c>
    </row>
    <row r="1877" spans="1:4" x14ac:dyDescent="0.25">
      <c r="A1877" s="1" t="str">
        <f>'001'!B1877</f>
        <v>002616</v>
      </c>
      <c r="B1877" s="1" t="str">
        <f>'001'!C1877</f>
        <v>ESMALTE SINTETICO TERSUAVE 2EN1 BRILLANTE ORO X 4</v>
      </c>
      <c r="C1877" s="1" t="str">
        <f>'001'!D1877</f>
        <v>0152</v>
      </c>
      <c r="D1877" s="3" t="e">
        <f>'001'!H1877</f>
        <v>#VALUE!</v>
      </c>
    </row>
    <row r="1878" spans="1:4" x14ac:dyDescent="0.25">
      <c r="A1878" s="1" t="str">
        <f>'001'!B1878</f>
        <v>002617</v>
      </c>
      <c r="B1878" s="1" t="str">
        <f>'001'!C1878</f>
        <v>ESMALTE SINTETICO TERSUAVE 2EN1 BRILLANTE ALUMINIO X  4</v>
      </c>
      <c r="C1878" s="1" t="str">
        <f>'001'!D1878</f>
        <v>0152</v>
      </c>
      <c r="D1878" s="3" t="e">
        <f>'001'!H1878</f>
        <v>#VALUE!</v>
      </c>
    </row>
    <row r="1879" spans="1:4" x14ac:dyDescent="0.25">
      <c r="A1879" s="1" t="str">
        <f>'001'!B1879</f>
        <v>002618</v>
      </c>
      <c r="B1879" s="1" t="str">
        <f>'001'!C1879</f>
        <v>ESMALTE SINTETICO TERSUAVE 2EN1 BRILLANTE MARRON X  4</v>
      </c>
      <c r="C1879" s="1" t="str">
        <f>'001'!D1879</f>
        <v>0152</v>
      </c>
      <c r="D1879" s="3" t="e">
        <f>'001'!H1879</f>
        <v>#VALUE!</v>
      </c>
    </row>
    <row r="1880" spans="1:4" x14ac:dyDescent="0.25">
      <c r="A1880" s="1" t="str">
        <f>'001'!B1880</f>
        <v>002619</v>
      </c>
      <c r="B1880" s="1" t="str">
        <f>'001'!C1880</f>
        <v>ESMALTE SINTETICO TERSUAVE 2EN1 BRILLANTE VERDE CLARO X  4</v>
      </c>
      <c r="C1880" s="1" t="str">
        <f>'001'!D1880</f>
        <v>0152</v>
      </c>
      <c r="D1880" s="3" t="e">
        <f>'001'!H1880</f>
        <v>#VALUE!</v>
      </c>
    </row>
    <row r="1881" spans="1:4" x14ac:dyDescent="0.25">
      <c r="A1881" s="1" t="str">
        <f>'001'!B1881</f>
        <v>002620</v>
      </c>
      <c r="B1881" s="1" t="str">
        <f>'001'!C1881</f>
        <v>ESMALTE SINTETICO TERSUAVE 2EN1 BRILLANTE GRIS OSCURO X  4</v>
      </c>
      <c r="C1881" s="1" t="str">
        <f>'001'!D1881</f>
        <v>0152</v>
      </c>
      <c r="D1881" s="3" t="e">
        <f>'001'!H1881</f>
        <v>#VALUE!</v>
      </c>
    </row>
    <row r="1882" spans="1:4" x14ac:dyDescent="0.25">
      <c r="A1882" s="1" t="str">
        <f>'001'!B1882</f>
        <v>002622</v>
      </c>
      <c r="B1882" s="1" t="str">
        <f>'001'!C1882</f>
        <v>REVOQUE PROYECTABLE 3EN1 WEBER PROMEX EXTERIOR GRIS X 30</v>
      </c>
      <c r="C1882" s="1" t="str">
        <f>'001'!D1882</f>
        <v>0163</v>
      </c>
      <c r="D1882" s="3" t="e">
        <f>'001'!H1882</f>
        <v>#VALUE!</v>
      </c>
    </row>
    <row r="1883" spans="1:4" x14ac:dyDescent="0.25">
      <c r="A1883" s="1" t="str">
        <f>'001'!B1883</f>
        <v>002623</v>
      </c>
      <c r="B1883" s="1" t="str">
        <f>'001'!C1883</f>
        <v>ESMALTE SINTETICO TERSUAVE 2EN1 BRILLANTE CELESTE X  4</v>
      </c>
      <c r="C1883" s="1" t="str">
        <f>'001'!D1883</f>
        <v>0152</v>
      </c>
      <c r="D1883" s="3" t="e">
        <f>'001'!H1883</f>
        <v>#VALUE!</v>
      </c>
    </row>
    <row r="1884" spans="1:4" x14ac:dyDescent="0.25">
      <c r="A1884" s="1" t="str">
        <f>'001'!B1884</f>
        <v>002624</v>
      </c>
      <c r="B1884" s="1" t="str">
        <f>'001'!C1884</f>
        <v>ESMALTE SINTETICO TERSUAVE 2EN1 BRILLANTE MARFIL SEDA X  4</v>
      </c>
      <c r="C1884" s="1" t="str">
        <f>'001'!D1884</f>
        <v>0152</v>
      </c>
      <c r="D1884" s="3" t="e">
        <f>'001'!H1884</f>
        <v>#VALUE!</v>
      </c>
    </row>
    <row r="1885" spans="1:4" x14ac:dyDescent="0.25">
      <c r="A1885" s="1" t="str">
        <f>'001'!B1885</f>
        <v>002625</v>
      </c>
      <c r="B1885" s="1" t="str">
        <f>'001'!C1885</f>
        <v>MORTERO DE ASIENTO Y PUENTE DE ADHERENCIA BLOQUES DE HORMIGON WEBER CELUBLOCK GRIS X 30</v>
      </c>
      <c r="C1885" s="1" t="str">
        <f>'001'!D1885</f>
        <v>0163</v>
      </c>
      <c r="D1885" s="3" t="e">
        <f>'001'!H1885</f>
        <v>#VALUE!</v>
      </c>
    </row>
    <row r="1886" spans="1:4" x14ac:dyDescent="0.25">
      <c r="A1886" s="1" t="str">
        <f>'001'!B1886</f>
        <v>002626</v>
      </c>
      <c r="B1886" s="1" t="str">
        <f>'001'!C1886</f>
        <v>ESMALTE SINTETICO TERSUAVE 2EN1 BRILLANTE GRIS ESPACIAL X  4</v>
      </c>
      <c r="C1886" s="1" t="str">
        <f>'001'!D1886</f>
        <v>0152</v>
      </c>
      <c r="D1886" s="3" t="e">
        <f>'001'!H1886</f>
        <v>#VALUE!</v>
      </c>
    </row>
    <row r="1887" spans="1:4" x14ac:dyDescent="0.25">
      <c r="A1887" s="1" t="str">
        <f>'001'!B1887</f>
        <v>002628</v>
      </c>
      <c r="B1887" s="1" t="str">
        <f>'001'!C1887</f>
        <v>ESMALTE SINTETICO TERSUAVE 2EN1 BRILLANTE GRIS PERLA X  4</v>
      </c>
      <c r="C1887" s="1" t="str">
        <f>'001'!D1887</f>
        <v>0152</v>
      </c>
      <c r="D1887" s="3" t="e">
        <f>'001'!H1887</f>
        <v>#VALUE!</v>
      </c>
    </row>
    <row r="1888" spans="1:4" x14ac:dyDescent="0.25">
      <c r="A1888" s="1" t="str">
        <f>'001'!B1888</f>
        <v>002629</v>
      </c>
      <c r="B1888" s="1" t="str">
        <f>'001'!C1888</f>
        <v>ESMALTE SINTETICO TERSUAVE 2EN1 BRILLANTE GRIS HIELO X  4</v>
      </c>
      <c r="C1888" s="1" t="str">
        <f>'001'!D1888</f>
        <v>0152</v>
      </c>
      <c r="D1888" s="3" t="e">
        <f>'001'!H1888</f>
        <v>#VALUE!</v>
      </c>
    </row>
    <row r="1889" spans="1:4" x14ac:dyDescent="0.25">
      <c r="A1889" s="1" t="str">
        <f>'001'!B1889</f>
        <v>002630</v>
      </c>
      <c r="B1889" s="1" t="str">
        <f>'001'!C1889</f>
        <v>ESMALTE SINTETICO TERSUAVE 2EN1 BRILLANTE VERDE INGLES X  4</v>
      </c>
      <c r="C1889" s="1" t="str">
        <f>'001'!D1889</f>
        <v>0152</v>
      </c>
      <c r="D1889" s="3" t="e">
        <f>'001'!H1889</f>
        <v>#VALUE!</v>
      </c>
    </row>
    <row r="1890" spans="1:4" x14ac:dyDescent="0.25">
      <c r="A1890" s="1" t="str">
        <f>'001'!B1890</f>
        <v>002631</v>
      </c>
      <c r="B1890" s="1" t="str">
        <f>'001'!C1890</f>
        <v>DISCO FLAP DOBLE A ULTRA OX ZIRCONIO 115X22 P 60</v>
      </c>
      <c r="C1890" s="1" t="str">
        <f>'001'!D1890</f>
        <v>0102</v>
      </c>
      <c r="D1890" s="3" t="e">
        <f>'001'!H1890</f>
        <v>#VALUE!</v>
      </c>
    </row>
    <row r="1891" spans="1:4" x14ac:dyDescent="0.25">
      <c r="A1891" s="1" t="str">
        <f>'001'!B1891</f>
        <v>002632</v>
      </c>
      <c r="B1891" s="1" t="str">
        <f>'001'!C1891</f>
        <v>ESMALTE SINTETICO TERSUAVE 2EN1 BRILLANTE AZULEJO X  4</v>
      </c>
      <c r="C1891" s="1" t="str">
        <f>'001'!D1891</f>
        <v>0152</v>
      </c>
      <c r="D1891" s="3" t="e">
        <f>'001'!H1891</f>
        <v>#VALUE!</v>
      </c>
    </row>
    <row r="1892" spans="1:4" x14ac:dyDescent="0.25">
      <c r="A1892" s="1" t="str">
        <f>'001'!B1892</f>
        <v>002633</v>
      </c>
      <c r="B1892" s="1" t="str">
        <f>'001'!C1892</f>
        <v>ESMALTE SINTETICO TERSUAVE 2EN1 BRILLANTE MARFIL CHAMPAGNE X  4</v>
      </c>
      <c r="C1892" s="1" t="str">
        <f>'001'!D1892</f>
        <v>0152</v>
      </c>
      <c r="D1892" s="3" t="e">
        <f>'001'!H1892</f>
        <v>#VALUE!</v>
      </c>
    </row>
    <row r="1893" spans="1:4" x14ac:dyDescent="0.25">
      <c r="A1893" s="1" t="str">
        <f>'001'!B1893</f>
        <v>002634</v>
      </c>
      <c r="B1893" s="1" t="str">
        <f>'001'!C1893</f>
        <v>ESMALTE SINTETICO TERSUAVE 2EN1 BRILLANTE VERDE ILUSION X  4</v>
      </c>
      <c r="C1893" s="1" t="str">
        <f>'001'!D1893</f>
        <v>0152</v>
      </c>
      <c r="D1893" s="3" t="e">
        <f>'001'!H1893</f>
        <v>#VALUE!</v>
      </c>
    </row>
    <row r="1894" spans="1:4" x14ac:dyDescent="0.25">
      <c r="A1894" s="1" t="str">
        <f>'001'!B1894</f>
        <v>002635</v>
      </c>
      <c r="B1894" s="1" t="str">
        <f>'001'!C1894</f>
        <v>DISCO LIJA DOBLE A MASTER AUF6P 800</v>
      </c>
      <c r="C1894" s="1" t="str">
        <f>'001'!D1894</f>
        <v>0902</v>
      </c>
      <c r="D1894" s="3" t="e">
        <f>'001'!H1894</f>
        <v>#VALUE!</v>
      </c>
    </row>
    <row r="1895" spans="1:4" x14ac:dyDescent="0.25">
      <c r="A1895" s="1" t="str">
        <f>'001'!B1895</f>
        <v>002636</v>
      </c>
      <c r="B1895" s="1" t="str">
        <f>'001'!C1895</f>
        <v>ESMALTE SINTETICO TERSUAVE 2EN1 BRILLANTE CREMA X  4</v>
      </c>
      <c r="C1895" s="1" t="str">
        <f>'001'!D1895</f>
        <v>0152</v>
      </c>
      <c r="D1895" s="3" t="e">
        <f>'001'!H1895</f>
        <v>#VALUE!</v>
      </c>
    </row>
    <row r="1896" spans="1:4" x14ac:dyDescent="0.25">
      <c r="A1896" s="1" t="str">
        <f>'001'!B1896</f>
        <v>002637</v>
      </c>
      <c r="B1896" s="1" t="str">
        <f>'001'!C1896</f>
        <v>ESMALTE SINTETICO TERSUAVE 2EN1 BRILLANTE CASTANO X  4</v>
      </c>
      <c r="C1896" s="1" t="str">
        <f>'001'!D1896</f>
        <v>0152</v>
      </c>
      <c r="D1896" s="3" t="e">
        <f>'001'!H1896</f>
        <v>#VALUE!</v>
      </c>
    </row>
    <row r="1897" spans="1:4" x14ac:dyDescent="0.25">
      <c r="A1897" s="1" t="str">
        <f>'001'!B1897</f>
        <v>002638</v>
      </c>
      <c r="B1897" s="1" t="str">
        <f>'001'!C1897</f>
        <v>ESMALTE SINTETICO TERSUAVE 2EN1 BRILLANTE VERDE NOCHE X  4</v>
      </c>
      <c r="C1897" s="1" t="str">
        <f>'001'!D1897</f>
        <v>0152</v>
      </c>
      <c r="D1897" s="3" t="e">
        <f>'001'!H1897</f>
        <v>#VALUE!</v>
      </c>
    </row>
    <row r="1898" spans="1:4" x14ac:dyDescent="0.25">
      <c r="A1898" s="1" t="str">
        <f>'001'!B1898</f>
        <v>002639</v>
      </c>
      <c r="B1898" s="1" t="str">
        <f>'001'!C1898</f>
        <v>PROTECTOR PARA LADRILLO BRIKOL SILICONA PROFESIONAL INCOLORO X  4</v>
      </c>
      <c r="C1898" s="1" t="str">
        <f>'001'!D1898</f>
        <v>0106</v>
      </c>
      <c r="D1898" s="3" t="e">
        <f>'001'!H1898</f>
        <v>#VALUE!</v>
      </c>
    </row>
    <row r="1899" spans="1:4" x14ac:dyDescent="0.25">
      <c r="A1899" s="1" t="str">
        <f>'001'!B1899</f>
        <v>002640</v>
      </c>
      <c r="B1899" s="1" t="str">
        <f>'001'!C1899</f>
        <v>PROTECTOR PARA LADRILLO BRIKOL SILICONA PROFESIONAL INCOLORO X 20</v>
      </c>
      <c r="C1899" s="1" t="str">
        <f>'001'!D1899</f>
        <v>0106</v>
      </c>
      <c r="D1899" s="3" t="e">
        <f>'001'!H1899</f>
        <v>#VALUE!</v>
      </c>
    </row>
    <row r="1900" spans="1:4" x14ac:dyDescent="0.25">
      <c r="A1900" s="1" t="str">
        <f>'001'!B1900</f>
        <v>002641</v>
      </c>
      <c r="B1900" s="1" t="str">
        <f>'001'!C1900</f>
        <v>ESMALTE SINTETICO TERSUAVE 2EN1 BRILLANTE TRAFUL X  4</v>
      </c>
      <c r="C1900" s="1" t="str">
        <f>'001'!D1900</f>
        <v>0152</v>
      </c>
      <c r="D1900" s="3" t="e">
        <f>'001'!H1900</f>
        <v>#VALUE!</v>
      </c>
    </row>
    <row r="1901" spans="1:4" x14ac:dyDescent="0.25">
      <c r="A1901" s="1" t="str">
        <f>'001'!B1901</f>
        <v>002642</v>
      </c>
      <c r="B1901" s="1" t="str">
        <f>'001'!C1901</f>
        <v>PEGAMENTO PARA PIEZAS DE CERAMICA WEBER BASIC INTERIOR X 25</v>
      </c>
      <c r="C1901" s="1" t="str">
        <f>'001'!D1901</f>
        <v>0163</v>
      </c>
      <c r="D1901" s="3" t="e">
        <f>'001'!H1901</f>
        <v>#VALUE!</v>
      </c>
    </row>
    <row r="1902" spans="1:4" x14ac:dyDescent="0.25">
      <c r="A1902" s="1" t="str">
        <f>'001'!B1902</f>
        <v>002643</v>
      </c>
      <c r="B1902" s="1" t="str">
        <f>'001'!C1902</f>
        <v>ESMALTE SINTETICO TERSUAVE 2EN1 BRILLANTE AZUL X  4</v>
      </c>
      <c r="C1902" s="1" t="str">
        <f>'001'!D1902</f>
        <v>0152</v>
      </c>
      <c r="D1902" s="3" t="e">
        <f>'001'!H1902</f>
        <v>#VALUE!</v>
      </c>
    </row>
    <row r="1903" spans="1:4" x14ac:dyDescent="0.25">
      <c r="A1903" s="1" t="str">
        <f>'001'!B1903</f>
        <v>002644</v>
      </c>
      <c r="B1903" s="1" t="str">
        <f>'001'!C1903</f>
        <v>ESMALTE SINTETICO ALBA ANTIGRAFITTI X 1</v>
      </c>
      <c r="C1903" s="1" t="str">
        <f>'001'!D1903</f>
        <v>0112</v>
      </c>
      <c r="D1903" s="3" t="e">
        <f>'001'!H1903</f>
        <v>#VALUE!</v>
      </c>
    </row>
    <row r="1904" spans="1:4" x14ac:dyDescent="0.25">
      <c r="A1904" s="1" t="str">
        <f>'001'!B1904</f>
        <v>002645</v>
      </c>
      <c r="B1904" s="1" t="str">
        <f>'001'!C1904</f>
        <v>ESMALTE SINTETICO ALBA ANTIGRAFITTI X 4</v>
      </c>
      <c r="C1904" s="1" t="str">
        <f>'001'!D1904</f>
        <v>0112</v>
      </c>
      <c r="D1904" s="3" t="e">
        <f>'001'!H1904</f>
        <v>#VALUE!</v>
      </c>
    </row>
    <row r="1905" spans="1:4" x14ac:dyDescent="0.25">
      <c r="A1905" s="1" t="str">
        <f>'001'!B1905</f>
        <v>002646</v>
      </c>
      <c r="B1905" s="1" t="str">
        <f>'001'!C1905</f>
        <v>ESMALTE SINTETICO ALBA ALTA TEMPERATURA 540OC ALUMINIO X 1</v>
      </c>
      <c r="C1905" s="1" t="str">
        <f>'001'!D1905</f>
        <v>0112</v>
      </c>
      <c r="D1905" s="3" t="e">
        <f>'001'!H1905</f>
        <v>#VALUE!</v>
      </c>
    </row>
    <row r="1906" spans="1:4" x14ac:dyDescent="0.25">
      <c r="A1906" s="1" t="str">
        <f>'001'!B1906</f>
        <v>002647</v>
      </c>
      <c r="B1906" s="1" t="str">
        <f>'001'!C1906</f>
        <v>ESMALTE SINTETICO TERSUAVE 2EN1 BRILLANTE TABACO X  4</v>
      </c>
      <c r="C1906" s="1" t="str">
        <f>'001'!D1906</f>
        <v>0152</v>
      </c>
      <c r="D1906" s="3" t="e">
        <f>'001'!H1906</f>
        <v>#VALUE!</v>
      </c>
    </row>
    <row r="1907" spans="1:4" x14ac:dyDescent="0.25">
      <c r="A1907" s="1" t="str">
        <f>'001'!B1907</f>
        <v>002649</v>
      </c>
      <c r="B1907" s="1" t="str">
        <f>'001'!C1907</f>
        <v>FONDO ALQUIDICO INTERPRIME 222 GRIS X 20</v>
      </c>
      <c r="C1907" s="1" t="str">
        <f>'001'!D1907</f>
        <v>0111</v>
      </c>
      <c r="D1907" s="3" t="e">
        <f>'001'!H1907</f>
        <v>#VALUE!</v>
      </c>
    </row>
    <row r="1908" spans="1:4" x14ac:dyDescent="0.25">
      <c r="A1908" s="1" t="str">
        <f>'001'!B1908</f>
        <v>002650</v>
      </c>
      <c r="B1908" s="1" t="str">
        <f>'001'!C1908</f>
        <v>ESMALTE SINTETICO TERSUAVE 2EN1 BRILLANTE VIOLETA X 4</v>
      </c>
      <c r="C1908" s="1" t="str">
        <f>'001'!D1908</f>
        <v>0152</v>
      </c>
      <c r="D1908" s="3" t="e">
        <f>'001'!H1908</f>
        <v>#VALUE!</v>
      </c>
    </row>
    <row r="1909" spans="1:4" x14ac:dyDescent="0.25">
      <c r="A1909" s="1" t="str">
        <f>'001'!B1909</f>
        <v>002653</v>
      </c>
      <c r="B1909" s="1" t="str">
        <f>'001'!C1909</f>
        <v>DISCO CORTE DOBLE A T42 MASTER ACERO 115X0,8X22,2</v>
      </c>
      <c r="C1909" s="1" t="str">
        <f>'001'!D1909</f>
        <v>0102</v>
      </c>
      <c r="D1909" s="3" t="e">
        <f>'001'!H1909</f>
        <v>#VALUE!</v>
      </c>
    </row>
    <row r="1910" spans="1:4" x14ac:dyDescent="0.25">
      <c r="A1910" s="1" t="str">
        <f>'001'!B1910</f>
        <v>002655</v>
      </c>
      <c r="B1910" s="1" t="str">
        <f>'001'!C1910</f>
        <v>P426-PP68-E033 ORANGE PEARL. X 0,330</v>
      </c>
      <c r="C1910" s="1" t="str">
        <f>'001'!D1910</f>
        <v>0131</v>
      </c>
      <c r="D1910" s="3" t="e">
        <f>'001'!H1910</f>
        <v>#VALUE!</v>
      </c>
    </row>
    <row r="1911" spans="1:4" x14ac:dyDescent="0.25">
      <c r="A1911" s="1" t="str">
        <f>'001'!B1911</f>
        <v>002656</v>
      </c>
      <c r="B1911" s="1" t="str">
        <f>'001'!C1911</f>
        <v>ESMALTE SINTETICO TERSUAVE 2EN1 BRILLANTE AMAR.MED. X  4</v>
      </c>
      <c r="C1911" s="1" t="str">
        <f>'001'!D1911</f>
        <v>0152</v>
      </c>
      <c r="D1911" s="3" t="e">
        <f>'001'!H1911</f>
        <v>#VALUE!</v>
      </c>
    </row>
    <row r="1912" spans="1:4" x14ac:dyDescent="0.25">
      <c r="A1912" s="1" t="str">
        <f>'001'!B1912</f>
        <v>002658</v>
      </c>
      <c r="B1912" s="1" t="str">
        <f>'001'!C1912</f>
        <v>ESM SINT IND ALUMINIO X 20</v>
      </c>
      <c r="C1912" s="1" t="str">
        <f>'001'!D1912</f>
        <v>0110</v>
      </c>
      <c r="D1912" s="3" t="e">
        <f>'001'!H1912</f>
        <v>#VALUE!</v>
      </c>
    </row>
    <row r="1913" spans="1:4" x14ac:dyDescent="0.25">
      <c r="A1913" s="1" t="str">
        <f>'001'!B1913</f>
        <v>002666</v>
      </c>
      <c r="B1913" s="1" t="str">
        <f>'001'!C1913</f>
        <v>ESM SINT IND AZUL MARINO 043 X 20</v>
      </c>
      <c r="C1913" s="1" t="str">
        <f>'001'!D1913</f>
        <v>0110</v>
      </c>
      <c r="D1913" s="3" t="e">
        <f>'001'!H1913</f>
        <v>#VALUE!</v>
      </c>
    </row>
    <row r="1914" spans="1:4" x14ac:dyDescent="0.25">
      <c r="A1914" s="1" t="str">
        <f>'001'!B1914</f>
        <v>002670</v>
      </c>
      <c r="B1914" s="1" t="str">
        <f>'001'!C1914</f>
        <v>ESM SINT IND AZULEJO 032 X 20</v>
      </c>
      <c r="C1914" s="1" t="str">
        <f>'001'!D1914</f>
        <v>0110</v>
      </c>
      <c r="D1914" s="3" t="e">
        <f>'001'!H1914</f>
        <v>#VALUE!</v>
      </c>
    </row>
    <row r="1915" spans="1:4" x14ac:dyDescent="0.25">
      <c r="A1915" s="1" t="str">
        <f>'001'!B1915</f>
        <v>002672</v>
      </c>
      <c r="B1915" s="1" t="str">
        <f>'001'!C1915</f>
        <v>ESM SINT IND AMARILLO MED 056 X 20</v>
      </c>
      <c r="C1915" s="1" t="str">
        <f>'001'!D1915</f>
        <v>0110</v>
      </c>
      <c r="D1915" s="3" t="e">
        <f>'001'!H1915</f>
        <v>#VALUE!</v>
      </c>
    </row>
    <row r="1916" spans="1:4" x14ac:dyDescent="0.25">
      <c r="A1916" s="1" t="str">
        <f>'001'!B1916</f>
        <v>002688</v>
      </c>
      <c r="B1916" s="1" t="str">
        <f>'001'!C1916</f>
        <v>P429-967-E1C DEEP ANGLE BLACK X 1</v>
      </c>
      <c r="C1916" s="1" t="str">
        <f>'001'!D1916</f>
        <v>0131</v>
      </c>
      <c r="D1916" s="3" t="e">
        <f>'001'!H1916</f>
        <v>#VALUE!</v>
      </c>
    </row>
    <row r="1917" spans="1:4" x14ac:dyDescent="0.25">
      <c r="A1917" s="1" t="str">
        <f>'001'!B1917</f>
        <v>002696</v>
      </c>
      <c r="B1917" s="1" t="str">
        <f>'001'!C1917</f>
        <v>P429-972-E1C BRIGHT AMBER X 1</v>
      </c>
      <c r="C1917" s="1" t="str">
        <f>'001'!D1917</f>
        <v>0131</v>
      </c>
      <c r="D1917" s="3" t="e">
        <f>'001'!H1917</f>
        <v>#VALUE!</v>
      </c>
    </row>
    <row r="1918" spans="1:4" x14ac:dyDescent="0.25">
      <c r="A1918" s="1" t="str">
        <f>'001'!B1918</f>
        <v>002698</v>
      </c>
      <c r="B1918" s="1" t="str">
        <f>'001'!C1918</f>
        <v>P429-973-E1C HS BRIGHT ORANGE X 1</v>
      </c>
      <c r="C1918" s="1" t="str">
        <f>'001'!D1918</f>
        <v>0131</v>
      </c>
      <c r="D1918" s="3" t="e">
        <f>'001'!H1918</f>
        <v>#VALUE!</v>
      </c>
    </row>
    <row r="1919" spans="1:4" x14ac:dyDescent="0.25">
      <c r="A1919" s="1" t="str">
        <f>'001'!B1919</f>
        <v>002700</v>
      </c>
      <c r="B1919" s="1" t="str">
        <f>'001'!C1919</f>
        <v>ROLLO CARTON CORRUGADO 1X30MT</v>
      </c>
      <c r="C1919" s="1" t="str">
        <f>'001'!D1919</f>
        <v>0103</v>
      </c>
      <c r="D1919" s="3" t="e">
        <f>'001'!H1919</f>
        <v>#VALUE!</v>
      </c>
    </row>
    <row r="1920" spans="1:4" x14ac:dyDescent="0.25">
      <c r="A1920" s="1" t="str">
        <f>'001'!B1920</f>
        <v>002703</v>
      </c>
      <c r="B1920" s="1" t="str">
        <f>'001'!C1920</f>
        <v>RODILLO LANA BLANCO 22/50</v>
      </c>
      <c r="C1920" s="1" t="str">
        <f>'001'!D1920</f>
        <v>0125</v>
      </c>
      <c r="D1920" s="3" t="e">
        <f>'001'!H1920</f>
        <v>#VALUE!</v>
      </c>
    </row>
    <row r="1921" spans="1:4" x14ac:dyDescent="0.25">
      <c r="A1921" s="1" t="str">
        <f>'001'!B1921</f>
        <v>002704</v>
      </c>
      <c r="B1921" s="1" t="str">
        <f>'001'!C1921</f>
        <v>RODILLO LANA ORO 22/50</v>
      </c>
      <c r="C1921" s="1" t="str">
        <f>'001'!D1921</f>
        <v>0125</v>
      </c>
      <c r="D1921" s="3" t="e">
        <f>'001'!H1921</f>
        <v>#VALUE!</v>
      </c>
    </row>
    <row r="1922" spans="1:4" x14ac:dyDescent="0.25">
      <c r="A1922" s="1" t="str">
        <f>'001'!B1922</f>
        <v>002705</v>
      </c>
      <c r="B1922" s="1" t="str">
        <f>'001'!C1922</f>
        <v>ESPATULA PINTOR SANTA JUANA CABO MADERA 30</v>
      </c>
      <c r="C1922" s="1" t="str">
        <f>'001'!D1922</f>
        <v>0148</v>
      </c>
      <c r="D1922" s="3" t="e">
        <f>'001'!H1922</f>
        <v>#VALUE!</v>
      </c>
    </row>
    <row r="1923" spans="1:4" x14ac:dyDescent="0.25">
      <c r="A1923" s="1" t="str">
        <f>'001'!B1923</f>
        <v>002706</v>
      </c>
      <c r="B1923" s="1" t="str">
        <f>'001'!C1923</f>
        <v>ESPATULA PINTOR SANTA JUANA CABO MADERA 40</v>
      </c>
      <c r="C1923" s="1" t="str">
        <f>'001'!D1923</f>
        <v>0148</v>
      </c>
      <c r="D1923" s="3" t="e">
        <f>'001'!H1923</f>
        <v>#VALUE!</v>
      </c>
    </row>
    <row r="1924" spans="1:4" x14ac:dyDescent="0.25">
      <c r="A1924" s="1" t="str">
        <f>'001'!B1924</f>
        <v>002707</v>
      </c>
      <c r="B1924" s="1" t="str">
        <f>'001'!C1924</f>
        <v>ESPATULA PINTOR SANTA JUANA CABO MADERA 50</v>
      </c>
      <c r="C1924" s="1" t="str">
        <f>'001'!D1924</f>
        <v>0148</v>
      </c>
      <c r="D1924" s="3" t="e">
        <f>'001'!H1924</f>
        <v>#VALUE!</v>
      </c>
    </row>
    <row r="1925" spans="1:4" x14ac:dyDescent="0.25">
      <c r="A1925" s="1" t="str">
        <f>'001'!B1925</f>
        <v>002708</v>
      </c>
      <c r="B1925" s="1" t="str">
        <f>'001'!C1925</f>
        <v>ESPATULA PINTOR SANTA JUANA CABO MADERA 60</v>
      </c>
      <c r="C1925" s="1" t="str">
        <f>'001'!D1925</f>
        <v>0148</v>
      </c>
      <c r="D1925" s="3" t="e">
        <f>'001'!H1925</f>
        <v>#VALUE!</v>
      </c>
    </row>
    <row r="1926" spans="1:4" x14ac:dyDescent="0.25">
      <c r="A1926" s="1" t="str">
        <f>'001'!B1926</f>
        <v>002709</v>
      </c>
      <c r="B1926" s="1" t="str">
        <f>'001'!C1926</f>
        <v>ESPATULA PINTOR SANTA JUANA CABO MADERA 70</v>
      </c>
      <c r="C1926" s="1" t="str">
        <f>'001'!D1926</f>
        <v>0148</v>
      </c>
      <c r="D1926" s="3" t="e">
        <f>'001'!H1926</f>
        <v>#VALUE!</v>
      </c>
    </row>
    <row r="1927" spans="1:4" x14ac:dyDescent="0.25">
      <c r="A1927" s="1" t="str">
        <f>'001'!B1927</f>
        <v>002710</v>
      </c>
      <c r="B1927" s="1" t="str">
        <f>'001'!C1927</f>
        <v>ESPATULA PINTOR SANTA JUANA CABO MADERA 80</v>
      </c>
      <c r="C1927" s="1" t="str">
        <f>'001'!D1927</f>
        <v>0148</v>
      </c>
      <c r="D1927" s="3" t="e">
        <f>'001'!H1927</f>
        <v>#VALUE!</v>
      </c>
    </row>
    <row r="1928" spans="1:4" x14ac:dyDescent="0.25">
      <c r="A1928" s="1" t="str">
        <f>'001'!B1928</f>
        <v>002711</v>
      </c>
      <c r="B1928" s="1" t="str">
        <f>'001'!C1928</f>
        <v>ESPATULA PINTOR SANTA JUANA CABO MADERA 90</v>
      </c>
      <c r="C1928" s="1" t="str">
        <f>'001'!D1928</f>
        <v>0148</v>
      </c>
      <c r="D1928" s="3" t="e">
        <f>'001'!H1928</f>
        <v>#VALUE!</v>
      </c>
    </row>
    <row r="1929" spans="1:4" x14ac:dyDescent="0.25">
      <c r="A1929" s="1" t="str">
        <f>'001'!B1929</f>
        <v>002713</v>
      </c>
      <c r="B1929" s="1" t="str">
        <f>'001'!C1929</f>
        <v>ESPATULA PLASTICA COMUNES LH 10CM</v>
      </c>
      <c r="C1929" s="1" t="str">
        <f>'001'!D1929</f>
        <v>0126</v>
      </c>
      <c r="D1929" s="3" t="e">
        <f>'001'!H1929</f>
        <v>#VALUE!</v>
      </c>
    </row>
    <row r="1930" spans="1:4" x14ac:dyDescent="0.25">
      <c r="A1930" s="1" t="str">
        <f>'001'!B1930</f>
        <v>002714</v>
      </c>
      <c r="B1930" s="1" t="str">
        <f>'001'!C1930</f>
        <v>ESPATULA PLASTICA COMUNES LH 12,5CM</v>
      </c>
      <c r="C1930" s="1" t="str">
        <f>'001'!D1930</f>
        <v>0126</v>
      </c>
      <c r="D1930" s="3" t="e">
        <f>'001'!H1930</f>
        <v>#VALUE!</v>
      </c>
    </row>
    <row r="1931" spans="1:4" x14ac:dyDescent="0.25">
      <c r="A1931" s="1" t="str">
        <f>'001'!B1931</f>
        <v>002715</v>
      </c>
      <c r="B1931" s="1" t="str">
        <f>'001'!C1931</f>
        <v>ESPATULA PLASTICA COMUNES LH 15CM</v>
      </c>
      <c r="C1931" s="1" t="str">
        <f>'001'!D1931</f>
        <v>0126</v>
      </c>
      <c r="D1931" s="3" t="e">
        <f>'001'!H1931</f>
        <v>#VALUE!</v>
      </c>
    </row>
    <row r="1932" spans="1:4" x14ac:dyDescent="0.25">
      <c r="A1932" s="1" t="str">
        <f>'001'!B1932</f>
        <v>002725</v>
      </c>
      <c r="B1932" s="1" t="str">
        <f>'001'!C1932</f>
        <v>ESMALTE SINTETICO BRILLOPLAST BRILLANTE BLANCO X 20</v>
      </c>
      <c r="C1932" s="1" t="str">
        <f>'001'!D1932</f>
        <v>0150</v>
      </c>
      <c r="D1932" s="3" t="e">
        <f>'001'!H1932</f>
        <v>#VALUE!</v>
      </c>
    </row>
    <row r="1933" spans="1:4" x14ac:dyDescent="0.25">
      <c r="A1933" s="1" t="str">
        <f>'001'!B1933</f>
        <v>002731</v>
      </c>
      <c r="B1933" s="1" t="str">
        <f>'001'!C1933</f>
        <v>IMPREGNANTE PARA MADERA TERSUAVE SATINADO CAOBA X  1</v>
      </c>
      <c r="C1933" s="1" t="str">
        <f>'001'!D1933</f>
        <v>0152</v>
      </c>
      <c r="D1933" s="3" t="e">
        <f>'001'!H1933</f>
        <v>#VALUE!</v>
      </c>
    </row>
    <row r="1934" spans="1:4" x14ac:dyDescent="0.25">
      <c r="A1934" s="1" t="str">
        <f>'001'!B1934</f>
        <v>002732</v>
      </c>
      <c r="B1934" s="1" t="str">
        <f>'001'!C1934</f>
        <v>IMPREGNANTE PARA MADERA TERSUAVE SATINADO CEDRO X  1</v>
      </c>
      <c r="C1934" s="1" t="str">
        <f>'001'!D1934</f>
        <v>0152</v>
      </c>
      <c r="D1934" s="3" t="e">
        <f>'001'!H1934</f>
        <v>#VALUE!</v>
      </c>
    </row>
    <row r="1935" spans="1:4" x14ac:dyDescent="0.25">
      <c r="A1935" s="1" t="str">
        <f>'001'!B1935</f>
        <v>002733</v>
      </c>
      <c r="B1935" s="1" t="str">
        <f>'001'!C1935</f>
        <v>IMPREGNANTE PARA MADERA TERSUAVE SATINADO CRISTAL X  1</v>
      </c>
      <c r="C1935" s="1" t="str">
        <f>'001'!D1935</f>
        <v>0152</v>
      </c>
      <c r="D1935" s="3" t="e">
        <f>'001'!H1935</f>
        <v>#VALUE!</v>
      </c>
    </row>
    <row r="1936" spans="1:4" x14ac:dyDescent="0.25">
      <c r="A1936" s="1" t="str">
        <f>'001'!B1936</f>
        <v>002734</v>
      </c>
      <c r="B1936" s="1" t="str">
        <f>'001'!C1936</f>
        <v>IMPREGNANTE PARA MADERA TERSUAVE SATINADO NATURAL X  1</v>
      </c>
      <c r="C1936" s="1" t="str">
        <f>'001'!D1936</f>
        <v>0152</v>
      </c>
      <c r="D1936" s="3" t="e">
        <f>'001'!H1936</f>
        <v>#VALUE!</v>
      </c>
    </row>
    <row r="1937" spans="1:4" x14ac:dyDescent="0.25">
      <c r="A1937" s="1" t="str">
        <f>'001'!B1937</f>
        <v>002735</v>
      </c>
      <c r="B1937" s="1" t="str">
        <f>'001'!C1937</f>
        <v>IMPREGNANTE PARA MADERA TERSUAVE SATINADO NOGAL X  1</v>
      </c>
      <c r="C1937" s="1" t="str">
        <f>'001'!D1937</f>
        <v>0152</v>
      </c>
      <c r="D1937" s="3" t="e">
        <f>'001'!H1937</f>
        <v>#VALUE!</v>
      </c>
    </row>
    <row r="1938" spans="1:4" x14ac:dyDescent="0.25">
      <c r="A1938" s="1" t="str">
        <f>'001'!B1938</f>
        <v>002736</v>
      </c>
      <c r="B1938" s="1" t="str">
        <f>'001'!C1938</f>
        <v>IMPREGNANTE PARA MADERA TERSUAVE SATINADO ROBLE CLARO X  1</v>
      </c>
      <c r="C1938" s="1" t="str">
        <f>'001'!D1938</f>
        <v>0152</v>
      </c>
      <c r="D1938" s="3" t="e">
        <f>'001'!H1938</f>
        <v>#VALUE!</v>
      </c>
    </row>
    <row r="1939" spans="1:4" x14ac:dyDescent="0.25">
      <c r="A1939" s="1" t="str">
        <f>'001'!B1939</f>
        <v>002740</v>
      </c>
      <c r="B1939" s="1" t="str">
        <f>'001'!C1939</f>
        <v>IMPERMEABILIZANTE PARA TECHOS TERSITECH FIBRADO BLANCO X  1</v>
      </c>
      <c r="C1939" s="1" t="str">
        <f>'001'!D1939</f>
        <v>0152</v>
      </c>
      <c r="D1939" s="3" t="e">
        <f>'001'!H1939</f>
        <v>#VALUE!</v>
      </c>
    </row>
    <row r="1940" spans="1:4" x14ac:dyDescent="0.25">
      <c r="A1940" s="1" t="str">
        <f>'001'!B1940</f>
        <v>002741</v>
      </c>
      <c r="B1940" s="1" t="str">
        <f>'001'!C1940</f>
        <v>IMPERMEABILIZANTE PARA TECHOS TERSITECH BLANCO X  1</v>
      </c>
      <c r="C1940" s="1" t="str">
        <f>'001'!D1940</f>
        <v>0152</v>
      </c>
      <c r="D1940" s="3" t="e">
        <f>'001'!H1940</f>
        <v>#VALUE!</v>
      </c>
    </row>
    <row r="1941" spans="1:4" x14ac:dyDescent="0.25">
      <c r="A1941" s="1" t="str">
        <f>'001'!B1941</f>
        <v>002742</v>
      </c>
      <c r="B1941" s="1" t="str">
        <f>'001'!C1941</f>
        <v>ESPATULA PINTOR SANTA JUANA CABO PLASTICO 70</v>
      </c>
      <c r="C1941" s="1" t="str">
        <f>'001'!D1941</f>
        <v>0148</v>
      </c>
      <c r="D1941" s="3" t="e">
        <f>'001'!H1941</f>
        <v>#VALUE!</v>
      </c>
    </row>
    <row r="1942" spans="1:4" x14ac:dyDescent="0.25">
      <c r="A1942" s="1" t="str">
        <f>'001'!B1942</f>
        <v>002743</v>
      </c>
      <c r="B1942" s="1" t="str">
        <f>'001'!C1942</f>
        <v>ESPATULA PINTOR SANTA JUANA CABO PLASTICO 80</v>
      </c>
      <c r="C1942" s="1" t="str">
        <f>'001'!D1942</f>
        <v>0148</v>
      </c>
      <c r="D1942" s="3" t="e">
        <f>'001'!H1942</f>
        <v>#VALUE!</v>
      </c>
    </row>
    <row r="1943" spans="1:4" x14ac:dyDescent="0.25">
      <c r="A1943" s="1" t="str">
        <f>'001'!B1943</f>
        <v>002744</v>
      </c>
      <c r="B1943" s="1" t="str">
        <f>'001'!C1943</f>
        <v>ESPATULA PINTOR SANTA JUANA CABO PLASTICO 90</v>
      </c>
      <c r="C1943" s="1" t="str">
        <f>'001'!D1943</f>
        <v>0148</v>
      </c>
      <c r="D1943" s="3" t="e">
        <f>'001'!H1943</f>
        <v>#VALUE!</v>
      </c>
    </row>
    <row r="1944" spans="1:4" x14ac:dyDescent="0.25">
      <c r="A1944" s="1" t="str">
        <f>'001'!B1944</f>
        <v>002745</v>
      </c>
      <c r="B1944" s="1" t="str">
        <f>'001'!C1944</f>
        <v>IMPERMEABILIZANTE PARA TECHOS TERSITECH ROJO X  1</v>
      </c>
      <c r="C1944" s="1" t="str">
        <f>'001'!D1944</f>
        <v>0152</v>
      </c>
      <c r="D1944" s="3" t="e">
        <f>'001'!H1944</f>
        <v>#VALUE!</v>
      </c>
    </row>
    <row r="1945" spans="1:4" x14ac:dyDescent="0.25">
      <c r="A1945" s="1" t="str">
        <f>'001'!B1945</f>
        <v>002746</v>
      </c>
      <c r="B1945" s="1" t="str">
        <f>'001'!C1945</f>
        <v>IMPERMEABILIZANTE PARA TECHOS TERSITECH VERDE X  1</v>
      </c>
      <c r="C1945" s="1" t="str">
        <f>'001'!D1945</f>
        <v>0152</v>
      </c>
      <c r="D1945" s="3" t="e">
        <f>'001'!H1945</f>
        <v>#VALUE!</v>
      </c>
    </row>
    <row r="1946" spans="1:4" x14ac:dyDescent="0.25">
      <c r="A1946" s="1" t="str">
        <f>'001'!B1946</f>
        <v>002747</v>
      </c>
      <c r="B1946" s="1" t="str">
        <f>'001'!C1946</f>
        <v>IMPERMEABILIZANTE PARA TECHOS TERSITECH FIBRADO TEJA X  1</v>
      </c>
      <c r="C1946" s="1" t="str">
        <f>'001'!D1946</f>
        <v>0152</v>
      </c>
      <c r="D1946" s="3" t="e">
        <f>'001'!H1946</f>
        <v>#VALUE!</v>
      </c>
    </row>
    <row r="1947" spans="1:4" x14ac:dyDescent="0.25">
      <c r="A1947" s="1" t="str">
        <f>'001'!B1947</f>
        <v>002748</v>
      </c>
      <c r="B1947" s="1" t="str">
        <f>'001'!C1947</f>
        <v>IMPERMEABILIZANTE PARA TECHOS DURALBA TECHOS TOTAL SATINADO BLANCO X  4</v>
      </c>
      <c r="C1947" s="1" t="str">
        <f>'001'!D1947</f>
        <v>0107</v>
      </c>
      <c r="D1947" s="3" t="e">
        <f>'001'!H1947</f>
        <v>#VALUE!</v>
      </c>
    </row>
    <row r="1948" spans="1:4" x14ac:dyDescent="0.25">
      <c r="A1948" s="1" t="str">
        <f>'001'!B1948</f>
        <v>002749</v>
      </c>
      <c r="B1948" s="1" t="str">
        <f>'001'!C1948</f>
        <v>IMPERMEABILIZANTE PARA TECHOS DURALBA TECHOS TOTAL SATINADO BLANCO X 20</v>
      </c>
      <c r="C1948" s="1" t="str">
        <f>'001'!D1948</f>
        <v>0107</v>
      </c>
      <c r="D1948" s="3" t="e">
        <f>'001'!H1948</f>
        <v>#VALUE!</v>
      </c>
    </row>
    <row r="1949" spans="1:4" x14ac:dyDescent="0.25">
      <c r="A1949" s="1" t="str">
        <f>'001'!B1949</f>
        <v>002750</v>
      </c>
      <c r="B1949" s="1" t="str">
        <f>'001'!C1949</f>
        <v>IMPERMEABILIZANTE PARA TECHOS TERSITECH FIBRADO BLANCO X  4</v>
      </c>
      <c r="C1949" s="1" t="str">
        <f>'001'!D1949</f>
        <v>0152</v>
      </c>
      <c r="D1949" s="3" t="e">
        <f>'001'!H1949</f>
        <v>#VALUE!</v>
      </c>
    </row>
    <row r="1950" spans="1:4" x14ac:dyDescent="0.25">
      <c r="A1950" s="1" t="str">
        <f>'001'!B1950</f>
        <v>002751</v>
      </c>
      <c r="B1950" s="1" t="str">
        <f>'001'!C1950</f>
        <v>IMPERMEABILIZANTE PARA TECHOS TERSITECH BLANCO X  4</v>
      </c>
      <c r="C1950" s="1" t="str">
        <f>'001'!D1950</f>
        <v>0152</v>
      </c>
      <c r="D1950" s="3" t="e">
        <f>'001'!H1950</f>
        <v>#VALUE!</v>
      </c>
    </row>
    <row r="1951" spans="1:4" x14ac:dyDescent="0.25">
      <c r="A1951" s="1" t="str">
        <f>'001'!B1951</f>
        <v>002753</v>
      </c>
      <c r="B1951" s="1" t="str">
        <f>'001'!C1951</f>
        <v>LATEX PARA PISO TERSPORT ROJO X  4</v>
      </c>
      <c r="C1951" s="1" t="str">
        <f>'001'!D1951</f>
        <v>0152</v>
      </c>
      <c r="D1951" s="3" t="e">
        <f>'001'!H1951</f>
        <v>#VALUE!</v>
      </c>
    </row>
    <row r="1952" spans="1:4" x14ac:dyDescent="0.25">
      <c r="A1952" s="1" t="str">
        <f>'001'!B1952</f>
        <v>002755</v>
      </c>
      <c r="B1952" s="1" t="str">
        <f>'001'!C1952</f>
        <v>IMPERMEABILIZANTE PARA TECHOS TERSITECH ROJO X  4</v>
      </c>
      <c r="C1952" s="1" t="str">
        <f>'001'!D1952</f>
        <v>0152</v>
      </c>
      <c r="D1952" s="3" t="e">
        <f>'001'!H1952</f>
        <v>#VALUE!</v>
      </c>
    </row>
    <row r="1953" spans="1:4" x14ac:dyDescent="0.25">
      <c r="A1953" s="1" t="str">
        <f>'001'!B1953</f>
        <v>002756</v>
      </c>
      <c r="B1953" s="1" t="str">
        <f>'001'!C1953</f>
        <v>IMPERMEABILIZANTE PARA TECHOS TERSITECH VERDE X  4</v>
      </c>
      <c r="C1953" s="1" t="str">
        <f>'001'!D1953</f>
        <v>0152</v>
      </c>
      <c r="D1953" s="3" t="e">
        <f>'001'!H1953</f>
        <v>#VALUE!</v>
      </c>
    </row>
    <row r="1954" spans="1:4" x14ac:dyDescent="0.25">
      <c r="A1954" s="1" t="str">
        <f>'001'!B1954</f>
        <v>002757</v>
      </c>
      <c r="B1954" s="1" t="str">
        <f>'001'!C1954</f>
        <v>IMPERMEABILIZANTE PARA TECHOS TERSITECH FIBRADO TEJA X  4</v>
      </c>
      <c r="C1954" s="1" t="str">
        <f>'001'!D1954</f>
        <v>0152</v>
      </c>
      <c r="D1954" s="3" t="e">
        <f>'001'!H1954</f>
        <v>#VALUE!</v>
      </c>
    </row>
    <row r="1955" spans="1:4" x14ac:dyDescent="0.25">
      <c r="A1955" s="1" t="str">
        <f>'001'!B1955</f>
        <v>002758</v>
      </c>
      <c r="B1955" s="1" t="str">
        <f>'001'!C1955</f>
        <v>IMPREGNATE IGNIFUGO TERSUAVE TEXTILES Y MADERAS X  1</v>
      </c>
      <c r="C1955" s="1" t="str">
        <f>'001'!D1955</f>
        <v>0153</v>
      </c>
      <c r="D1955" s="3" t="e">
        <f>'001'!H1955</f>
        <v>#VALUE!</v>
      </c>
    </row>
    <row r="1956" spans="1:4" x14ac:dyDescent="0.25">
      <c r="A1956" s="1" t="str">
        <f>'001'!B1956</f>
        <v>002759</v>
      </c>
      <c r="B1956" s="1" t="str">
        <f>'001'!C1956</f>
        <v>IMPREGNATE IGNIFUGO TERSUAVE TEXTILES Y MADERAS X  5</v>
      </c>
      <c r="C1956" s="1" t="str">
        <f>'001'!D1956</f>
        <v>0153</v>
      </c>
      <c r="D1956" s="3" t="e">
        <f>'001'!H1956</f>
        <v>#VALUE!</v>
      </c>
    </row>
    <row r="1957" spans="1:4" x14ac:dyDescent="0.25">
      <c r="A1957" s="1" t="str">
        <f>'001'!B1957</f>
        <v>002760</v>
      </c>
      <c r="B1957" s="1" t="str">
        <f>'001'!C1957</f>
        <v>IMPREGNATE IGNIFUGO TERSUAVE TEXTILES Y MADERAS X 20</v>
      </c>
      <c r="C1957" s="1" t="str">
        <f>'001'!D1957</f>
        <v>0153</v>
      </c>
      <c r="D1957" s="3" t="e">
        <f>'001'!H1957</f>
        <v>#VALUE!</v>
      </c>
    </row>
    <row r="1958" spans="1:4" x14ac:dyDescent="0.25">
      <c r="A1958" s="1" t="str">
        <f>'001'!B1958</f>
        <v>002761</v>
      </c>
      <c r="B1958" s="1" t="str">
        <f>'001'!C1958</f>
        <v>IMPREGNANTE PARA MADERA TERSUAVE SATINADO CAOBA X  4</v>
      </c>
      <c r="C1958" s="1" t="str">
        <f>'001'!D1958</f>
        <v>0152</v>
      </c>
      <c r="D1958" s="3" t="e">
        <f>'001'!H1958</f>
        <v>#VALUE!</v>
      </c>
    </row>
    <row r="1959" spans="1:4" x14ac:dyDescent="0.25">
      <c r="A1959" s="1" t="str">
        <f>'001'!B1959</f>
        <v>002762</v>
      </c>
      <c r="B1959" s="1" t="str">
        <f>'001'!C1959</f>
        <v>IMPREGNANTE PARA MADERA TERSUAVE SATINADO CEDRO X  4</v>
      </c>
      <c r="C1959" s="1" t="str">
        <f>'001'!D1959</f>
        <v>0152</v>
      </c>
      <c r="D1959" s="3" t="e">
        <f>'001'!H1959</f>
        <v>#VALUE!</v>
      </c>
    </row>
    <row r="1960" spans="1:4" x14ac:dyDescent="0.25">
      <c r="A1960" s="1" t="str">
        <f>'001'!B1960</f>
        <v>002763</v>
      </c>
      <c r="B1960" s="1" t="str">
        <f>'001'!C1960</f>
        <v>IMPREGNANTE PARA MADERA TERSUAVE SATINADO CRISTAL X  4</v>
      </c>
      <c r="C1960" s="1" t="str">
        <f>'001'!D1960</f>
        <v>0152</v>
      </c>
      <c r="D1960" s="3" t="e">
        <f>'001'!H1960</f>
        <v>#VALUE!</v>
      </c>
    </row>
    <row r="1961" spans="1:4" x14ac:dyDescent="0.25">
      <c r="A1961" s="1" t="str">
        <f>'001'!B1961</f>
        <v>002764</v>
      </c>
      <c r="B1961" s="1" t="str">
        <f>'001'!C1961</f>
        <v>IMPREGNANTE PARA MADERA TERSUAVE SATINADO NATURAL X  4</v>
      </c>
      <c r="C1961" s="1" t="str">
        <f>'001'!D1961</f>
        <v>0152</v>
      </c>
      <c r="D1961" s="3" t="e">
        <f>'001'!H1961</f>
        <v>#VALUE!</v>
      </c>
    </row>
    <row r="1962" spans="1:4" x14ac:dyDescent="0.25">
      <c r="A1962" s="1" t="str">
        <f>'001'!B1962</f>
        <v>002765</v>
      </c>
      <c r="B1962" s="1" t="str">
        <f>'001'!C1962</f>
        <v>IMPREGNANTE PARA MADERA TERSUAVE SATINADO NOGAL X  4</v>
      </c>
      <c r="C1962" s="1" t="str">
        <f>'001'!D1962</f>
        <v>0152</v>
      </c>
      <c r="D1962" s="3" t="e">
        <f>'001'!H1962</f>
        <v>#VALUE!</v>
      </c>
    </row>
    <row r="1963" spans="1:4" x14ac:dyDescent="0.25">
      <c r="A1963" s="1" t="str">
        <f>'001'!B1963</f>
        <v>002766</v>
      </c>
      <c r="B1963" s="1" t="str">
        <f>'001'!C1963</f>
        <v>IMPREGNANTE PARA MADERA TERSUAVE SATINADO ROBLE CLARO X  4</v>
      </c>
      <c r="C1963" s="1" t="str">
        <f>'001'!D1963</f>
        <v>0152</v>
      </c>
      <c r="D1963" s="3" t="e">
        <f>'001'!H1963</f>
        <v>#VALUE!</v>
      </c>
    </row>
    <row r="1964" spans="1:4" x14ac:dyDescent="0.25">
      <c r="A1964" s="1" t="str">
        <f>'001'!B1964</f>
        <v>002770</v>
      </c>
      <c r="B1964" s="1" t="str">
        <f>'001'!C1964</f>
        <v>IMPERMEABILIZANTE PARA TECHOS TERSITECH FIBRADO BLANCO X 10</v>
      </c>
      <c r="C1964" s="1" t="str">
        <f>'001'!D1964</f>
        <v>0152</v>
      </c>
      <c r="D1964" s="3" t="e">
        <f>'001'!H1964</f>
        <v>#VALUE!</v>
      </c>
    </row>
    <row r="1965" spans="1:4" x14ac:dyDescent="0.25">
      <c r="A1965" s="1" t="str">
        <f>'001'!B1965</f>
        <v>002771</v>
      </c>
      <c r="B1965" s="1" t="str">
        <f>'001'!C1965</f>
        <v>IMPERMEABILIZANTE PARA TECHOS TERSITECH BLANCO X 10</v>
      </c>
      <c r="C1965" s="1" t="str">
        <f>'001'!D1965</f>
        <v>0152</v>
      </c>
      <c r="D1965" s="3" t="e">
        <f>'001'!H1965</f>
        <v>#VALUE!</v>
      </c>
    </row>
    <row r="1966" spans="1:4" x14ac:dyDescent="0.25">
      <c r="A1966" s="1" t="str">
        <f>'001'!B1966</f>
        <v>002772</v>
      </c>
      <c r="B1966" s="1" t="str">
        <f>'001'!C1966</f>
        <v>DISCO DIAMANTADO DOBLE A MASTER 180X22,23 SEG</v>
      </c>
      <c r="C1966" s="1" t="str">
        <f>'001'!D1966</f>
        <v>0102</v>
      </c>
      <c r="D1966" s="3" t="e">
        <f>'001'!H1966</f>
        <v>#VALUE!</v>
      </c>
    </row>
    <row r="1967" spans="1:4" x14ac:dyDescent="0.25">
      <c r="A1967" s="1" t="str">
        <f>'001'!B1967</f>
        <v>002773</v>
      </c>
      <c r="B1967" s="1" t="str">
        <f>'001'!C1967</f>
        <v>DISCO DIAMANTADO DOBLE A MASTER 180X22,23 TURBO</v>
      </c>
      <c r="C1967" s="1" t="str">
        <f>'001'!D1967</f>
        <v>0102</v>
      </c>
      <c r="D1967" s="3" t="e">
        <f>'001'!H1967</f>
        <v>#VALUE!</v>
      </c>
    </row>
    <row r="1968" spans="1:4" x14ac:dyDescent="0.25">
      <c r="A1968" s="1" t="str">
        <f>'001'!B1968</f>
        <v>002774</v>
      </c>
      <c r="B1968" s="1" t="str">
        <f>'001'!C1968</f>
        <v>DYL06P SINTETICO ALUMINIO X 20</v>
      </c>
      <c r="C1968" s="1" t="str">
        <f>'001'!D1968</f>
        <v>0133</v>
      </c>
      <c r="D1968" s="3" t="e">
        <f>'001'!H1968</f>
        <v>#VALUE!</v>
      </c>
    </row>
    <row r="1969" spans="1:4" x14ac:dyDescent="0.25">
      <c r="A1969" s="1" t="str">
        <f>'001'!B1969</f>
        <v>002775</v>
      </c>
      <c r="B1969" s="1" t="str">
        <f>'001'!C1969</f>
        <v>IMPERMEABILIZANTE PARA TECHOS TERSITECH ROJO X 10</v>
      </c>
      <c r="C1969" s="1" t="str">
        <f>'001'!D1969</f>
        <v>0152</v>
      </c>
      <c r="D1969" s="3" t="e">
        <f>'001'!H1969</f>
        <v>#VALUE!</v>
      </c>
    </row>
    <row r="1970" spans="1:4" x14ac:dyDescent="0.25">
      <c r="A1970" s="1" t="str">
        <f>'001'!B1970</f>
        <v>002776</v>
      </c>
      <c r="B1970" s="1" t="str">
        <f>'001'!C1970</f>
        <v>IMPERMEABILIZANTE PARA TECHOS TERSITECH VERDE X 10</v>
      </c>
      <c r="C1970" s="1" t="str">
        <f>'001'!D1970</f>
        <v>0152</v>
      </c>
      <c r="D1970" s="3" t="e">
        <f>'001'!H1970</f>
        <v>#VALUE!</v>
      </c>
    </row>
    <row r="1971" spans="1:4" x14ac:dyDescent="0.25">
      <c r="A1971" s="1" t="str">
        <f>'001'!B1971</f>
        <v>002777</v>
      </c>
      <c r="B1971" s="1" t="str">
        <f>'001'!C1971</f>
        <v>IMPERMEABILIZANTE PARA TECHOS TERSITECH FIBRADO TEJA X 10</v>
      </c>
      <c r="C1971" s="1" t="str">
        <f>'001'!D1971</f>
        <v>0152</v>
      </c>
      <c r="D1971" s="3" t="e">
        <f>'001'!H1971</f>
        <v>#VALUE!</v>
      </c>
    </row>
    <row r="1972" spans="1:4" x14ac:dyDescent="0.25">
      <c r="A1972" s="1" t="str">
        <f>'001'!B1972</f>
        <v>002781</v>
      </c>
      <c r="B1972" s="1" t="str">
        <f>'001'!C1972</f>
        <v>IMPREGNANTE PARA MADERA TERSUAVE SATINADO CAOBA X 20</v>
      </c>
      <c r="C1972" s="1" t="str">
        <f>'001'!D1972</f>
        <v>0152</v>
      </c>
      <c r="D1972" s="3" t="e">
        <f>'001'!H1972</f>
        <v>#VALUE!</v>
      </c>
    </row>
    <row r="1973" spans="1:4" x14ac:dyDescent="0.25">
      <c r="A1973" s="1" t="str">
        <f>'001'!B1973</f>
        <v>002782</v>
      </c>
      <c r="B1973" s="1" t="str">
        <f>'001'!C1973</f>
        <v>IMPREGNANTE PARA MADERA TERSUAVE SATINADO CEDRO X 20</v>
      </c>
      <c r="C1973" s="1" t="str">
        <f>'001'!D1973</f>
        <v>0152</v>
      </c>
      <c r="D1973" s="3" t="e">
        <f>'001'!H1973</f>
        <v>#VALUE!</v>
      </c>
    </row>
    <row r="1974" spans="1:4" x14ac:dyDescent="0.25">
      <c r="A1974" s="1" t="str">
        <f>'001'!B1974</f>
        <v>002783</v>
      </c>
      <c r="B1974" s="1" t="str">
        <f>'001'!C1974</f>
        <v>IMPREGNANTE PARA MADERA TERSUAVE SATINADO CRISTAL X 20</v>
      </c>
      <c r="C1974" s="1" t="str">
        <f>'001'!D1974</f>
        <v>0152</v>
      </c>
      <c r="D1974" s="3" t="e">
        <f>'001'!H1974</f>
        <v>#VALUE!</v>
      </c>
    </row>
    <row r="1975" spans="1:4" x14ac:dyDescent="0.25">
      <c r="A1975" s="1" t="str">
        <f>'001'!B1975</f>
        <v>002784</v>
      </c>
      <c r="B1975" s="1" t="str">
        <f>'001'!C1975</f>
        <v>IMPREGNANTE PARA MADERA TERSUAVE SATINADO NATURAL X 20</v>
      </c>
      <c r="C1975" s="1" t="str">
        <f>'001'!D1975</f>
        <v>0152</v>
      </c>
      <c r="D1975" s="3" t="e">
        <f>'001'!H1975</f>
        <v>#VALUE!</v>
      </c>
    </row>
    <row r="1976" spans="1:4" x14ac:dyDescent="0.25">
      <c r="A1976" s="1" t="str">
        <f>'001'!B1976</f>
        <v>002785</v>
      </c>
      <c r="B1976" s="1" t="str">
        <f>'001'!C1976</f>
        <v>IMPREGNANTE PARA MADERA TERSUAVE SATINADO NOGAL X 20</v>
      </c>
      <c r="C1976" s="1" t="str">
        <f>'001'!D1976</f>
        <v>0152</v>
      </c>
      <c r="D1976" s="3" t="e">
        <f>'001'!H1976</f>
        <v>#VALUE!</v>
      </c>
    </row>
    <row r="1977" spans="1:4" x14ac:dyDescent="0.25">
      <c r="A1977" s="1" t="str">
        <f>'001'!B1977</f>
        <v>002786</v>
      </c>
      <c r="B1977" s="1" t="str">
        <f>'001'!C1977</f>
        <v>IMPREGNANTE PARA MADERA TERSUAVE SATINADO ROBLE CLARO X 20</v>
      </c>
      <c r="C1977" s="1" t="str">
        <f>'001'!D1977</f>
        <v>0152</v>
      </c>
      <c r="D1977" s="3" t="e">
        <f>'001'!H1977</f>
        <v>#VALUE!</v>
      </c>
    </row>
    <row r="1978" spans="1:4" x14ac:dyDescent="0.25">
      <c r="A1978" s="1" t="str">
        <f>'001'!B1978</f>
        <v>002790</v>
      </c>
      <c r="B1978" s="1" t="str">
        <f>'001'!C1978</f>
        <v>IMPERMEABILIZANTE PARA TECHOS TERSITECH FIBRADO BLANCO X 20</v>
      </c>
      <c r="C1978" s="1" t="str">
        <f>'001'!D1978</f>
        <v>0152</v>
      </c>
      <c r="D1978" s="3" t="e">
        <f>'001'!H1978</f>
        <v>#VALUE!</v>
      </c>
    </row>
    <row r="1979" spans="1:4" x14ac:dyDescent="0.25">
      <c r="A1979" s="1" t="str">
        <f>'001'!B1979</f>
        <v>002791</v>
      </c>
      <c r="B1979" s="1" t="str">
        <f>'001'!C1979</f>
        <v>IMPERMEABILIZANTE PARA TECHOS TERSITECH BLANCO X 20</v>
      </c>
      <c r="C1979" s="1" t="str">
        <f>'001'!D1979</f>
        <v>0152</v>
      </c>
      <c r="D1979" s="3" t="e">
        <f>'001'!H1979</f>
        <v>#VALUE!</v>
      </c>
    </row>
    <row r="1980" spans="1:4" x14ac:dyDescent="0.25">
      <c r="A1980" s="1" t="str">
        <f>'001'!B1980</f>
        <v>002792</v>
      </c>
      <c r="B1980" s="1" t="str">
        <f>'001'!C1980</f>
        <v>LATEX PARA PISO TERSPORT AZUL X 20</v>
      </c>
      <c r="C1980" s="1" t="str">
        <f>'001'!D1980</f>
        <v>0152</v>
      </c>
      <c r="D1980" s="3" t="e">
        <f>'001'!H1980</f>
        <v>#VALUE!</v>
      </c>
    </row>
    <row r="1981" spans="1:4" x14ac:dyDescent="0.25">
      <c r="A1981" s="1" t="str">
        <f>'001'!B1981</f>
        <v>002793</v>
      </c>
      <c r="B1981" s="1" t="str">
        <f>'001'!C1981</f>
        <v>LATEX PARA PISO TERSPORT ROJO X 20</v>
      </c>
      <c r="C1981" s="1" t="str">
        <f>'001'!D1981</f>
        <v>0152</v>
      </c>
      <c r="D1981" s="3" t="e">
        <f>'001'!H1981</f>
        <v>#VALUE!</v>
      </c>
    </row>
    <row r="1982" spans="1:4" x14ac:dyDescent="0.25">
      <c r="A1982" s="1" t="str">
        <f>'001'!B1982</f>
        <v>002794</v>
      </c>
      <c r="B1982" s="1" t="str">
        <f>'001'!C1982</f>
        <v>LATEX PARA PISO TERSPORT VERDE X 20</v>
      </c>
      <c r="C1982" s="1" t="str">
        <f>'001'!D1982</f>
        <v>0152</v>
      </c>
      <c r="D1982" s="3" t="e">
        <f>'001'!H1982</f>
        <v>#VALUE!</v>
      </c>
    </row>
    <row r="1983" spans="1:4" x14ac:dyDescent="0.25">
      <c r="A1983" s="1" t="str">
        <f>'001'!B1983</f>
        <v>002795</v>
      </c>
      <c r="B1983" s="1" t="str">
        <f>'001'!C1983</f>
        <v>IMPERMEABILIZANTE PARA TECHOS TERSITECH ROJO X 20</v>
      </c>
      <c r="C1983" s="1" t="str">
        <f>'001'!D1983</f>
        <v>0152</v>
      </c>
      <c r="D1983" s="3" t="e">
        <f>'001'!H1983</f>
        <v>#VALUE!</v>
      </c>
    </row>
    <row r="1984" spans="1:4" x14ac:dyDescent="0.25">
      <c r="A1984" s="1" t="str">
        <f>'001'!B1984</f>
        <v>002796</v>
      </c>
      <c r="B1984" s="1" t="str">
        <f>'001'!C1984</f>
        <v>IMPERMEABILIZANTE PARA TECHOS TERSITECH VERDE X 20</v>
      </c>
      <c r="C1984" s="1" t="str">
        <f>'001'!D1984</f>
        <v>0152</v>
      </c>
      <c r="D1984" s="3" t="e">
        <f>'001'!H1984</f>
        <v>#VALUE!</v>
      </c>
    </row>
    <row r="1985" spans="1:4" x14ac:dyDescent="0.25">
      <c r="A1985" s="1" t="str">
        <f>'001'!B1985</f>
        <v>002797</v>
      </c>
      <c r="B1985" s="1" t="str">
        <f>'001'!C1985</f>
        <v>IMPERMEABILIZANTE PARA TECHOS TERSITECH FIBRADO TEJA X 20</v>
      </c>
      <c r="C1985" s="1" t="str">
        <f>'001'!D1985</f>
        <v>0152</v>
      </c>
      <c r="D1985" s="3" t="e">
        <f>'001'!H1985</f>
        <v>#VALUE!</v>
      </c>
    </row>
    <row r="1986" spans="1:4" x14ac:dyDescent="0.25">
      <c r="A1986" s="1" t="str">
        <f>'001'!B1986</f>
        <v>002798</v>
      </c>
      <c r="B1986" s="1" t="str">
        <f>'001'!C1986</f>
        <v>DYL01.11  ESMALTE PU BLANCO PLENO DELFLEET X 1</v>
      </c>
      <c r="C1986" s="1" t="str">
        <f>'001'!D1986</f>
        <v>0133</v>
      </c>
      <c r="D1986" s="3" t="e">
        <f>'001'!H1986</f>
        <v>#VALUE!</v>
      </c>
    </row>
    <row r="1987" spans="1:4" x14ac:dyDescent="0.25">
      <c r="A1987" s="1" t="str">
        <f>'001'!B1987</f>
        <v>002799</v>
      </c>
      <c r="B1987" s="1" t="str">
        <f>'001'!C1987</f>
        <v>DYL01P.01 ESMALTE PU BLANCO PLENO DELFLEET X 3,500</v>
      </c>
      <c r="C1987" s="1" t="str">
        <f>'001'!D1987</f>
        <v>0133</v>
      </c>
      <c r="D1987" s="3" t="e">
        <f>'001'!H1987</f>
        <v>#VALUE!</v>
      </c>
    </row>
    <row r="1988" spans="1:4" x14ac:dyDescent="0.25">
      <c r="A1988" s="1" t="str">
        <f>'001'!B1988</f>
        <v>002801</v>
      </c>
      <c r="B1988" s="1" t="str">
        <f>'001'!C1988</f>
        <v>ESMALTE SINTETICO TERSUAVE 2EN1 BRILLANTE BLANCO X 20</v>
      </c>
      <c r="C1988" s="1" t="str">
        <f>'001'!D1988</f>
        <v>0152</v>
      </c>
      <c r="D1988" s="3" t="e">
        <f>'001'!H1988</f>
        <v>#VALUE!</v>
      </c>
    </row>
    <row r="1989" spans="1:4" x14ac:dyDescent="0.25">
      <c r="A1989" s="1" t="str">
        <f>'001'!B1989</f>
        <v>002802</v>
      </c>
      <c r="B1989" s="1" t="str">
        <f>'001'!C1989</f>
        <v>ESMALTE SINTETICO TERSUAVE 2EN1 BRILLANTE BERMELLON X 20</v>
      </c>
      <c r="C1989" s="1" t="str">
        <f>'001'!D1989</f>
        <v>0152</v>
      </c>
      <c r="D1989" s="3" t="e">
        <f>'001'!H1989</f>
        <v>#VALUE!</v>
      </c>
    </row>
    <row r="1990" spans="1:4" x14ac:dyDescent="0.25">
      <c r="A1990" s="1" t="str">
        <f>'001'!B1990</f>
        <v>002803</v>
      </c>
      <c r="B1990" s="1" t="str">
        <f>'001'!C1990</f>
        <v>ESMALTE SINTETICO TERSUAVE 2EN1 BRILLANTE NARANJA X 20</v>
      </c>
      <c r="C1990" s="1" t="str">
        <f>'001'!D1990</f>
        <v>0152</v>
      </c>
      <c r="D1990" s="3" t="e">
        <f>'001'!H1990</f>
        <v>#VALUE!</v>
      </c>
    </row>
    <row r="1991" spans="1:4" x14ac:dyDescent="0.25">
      <c r="A1991" s="1" t="str">
        <f>'001'!B1991</f>
        <v>002804</v>
      </c>
      <c r="B1991" s="1" t="str">
        <f>'001'!C1991</f>
        <v>ESMALTE SINTETICO TERSUAVE 2EN1 BRILLANTE AMARILLO X 20</v>
      </c>
      <c r="C1991" s="1" t="str">
        <f>'001'!D1991</f>
        <v>0152</v>
      </c>
      <c r="D1991" s="3" t="e">
        <f>'001'!H1991</f>
        <v>#VALUE!</v>
      </c>
    </row>
    <row r="1992" spans="1:4" x14ac:dyDescent="0.25">
      <c r="A1992" s="1" t="str">
        <f>'001'!B1992</f>
        <v>002805</v>
      </c>
      <c r="B1992" s="1" t="str">
        <f>'001'!C1992</f>
        <v>FONDO PARA MADERA TERSUAVE BLANCO X 20</v>
      </c>
      <c r="C1992" s="1" t="str">
        <f>'001'!D1992</f>
        <v>0152</v>
      </c>
      <c r="D1992" s="3" t="e">
        <f>'001'!H1992</f>
        <v>#VALUE!</v>
      </c>
    </row>
    <row r="1993" spans="1:4" x14ac:dyDescent="0.25">
      <c r="A1993" s="1" t="str">
        <f>'001'!B1993</f>
        <v>002806</v>
      </c>
      <c r="B1993" s="1" t="str">
        <f>'001'!C1993</f>
        <v>BARNIZ MARINO PARA MADERA TERSUAVE BRILLANTE X 20</v>
      </c>
      <c r="C1993" s="1" t="str">
        <f>'001'!D1993</f>
        <v>0152</v>
      </c>
      <c r="D1993" s="3" t="e">
        <f>'001'!H1993</f>
        <v>#VALUE!</v>
      </c>
    </row>
    <row r="1994" spans="1:4" x14ac:dyDescent="0.25">
      <c r="A1994" s="1" t="str">
        <f>'001'!B1994</f>
        <v>002808</v>
      </c>
      <c r="B1994" s="1" t="str">
        <f>'001'!C1994</f>
        <v>P429-980-E1C SPEED RED X 1</v>
      </c>
      <c r="C1994" s="1" t="str">
        <f>'001'!D1994</f>
        <v>0131</v>
      </c>
      <c r="D1994" s="3" t="e">
        <f>'001'!H1994</f>
        <v>#VALUE!</v>
      </c>
    </row>
    <row r="1995" spans="1:4" x14ac:dyDescent="0.25">
      <c r="A1995" s="1" t="str">
        <f>'001'!B1995</f>
        <v>002809</v>
      </c>
      <c r="B1995" s="1" t="str">
        <f>'001'!C1995</f>
        <v>ESMALTE SINTETICO TERSUAVE 2EN1 BRILLANTE BEIGE X 20</v>
      </c>
      <c r="C1995" s="1" t="str">
        <f>'001'!D1995</f>
        <v>0152</v>
      </c>
      <c r="D1995" s="3" t="e">
        <f>'001'!H1995</f>
        <v>#VALUE!</v>
      </c>
    </row>
    <row r="1996" spans="1:4" x14ac:dyDescent="0.25">
      <c r="A1996" s="1" t="str">
        <f>'001'!B1996</f>
        <v>002810</v>
      </c>
      <c r="B1996" s="1" t="str">
        <f>'001'!C1996</f>
        <v>P433-XR18-E033 AMETHIST DREAM X 0,330</v>
      </c>
      <c r="C1996" s="1" t="str">
        <f>'001'!D1996</f>
        <v>0131</v>
      </c>
      <c r="D1996" s="3" t="e">
        <f>'001'!H1996</f>
        <v>#VALUE!</v>
      </c>
    </row>
    <row r="1997" spans="1:4" x14ac:dyDescent="0.25">
      <c r="A1997" s="1" t="str">
        <f>'001'!B1997</f>
        <v>002813</v>
      </c>
      <c r="B1997" s="1" t="str">
        <f>'001'!C1997</f>
        <v>ESMALTE SINTETICO TERSUAVE 2EN1 BRILLANTE CEDRO X 20</v>
      </c>
      <c r="C1997" s="1" t="str">
        <f>'001'!D1997</f>
        <v>0152</v>
      </c>
      <c r="D1997" s="3" t="e">
        <f>'001'!H1997</f>
        <v>#VALUE!</v>
      </c>
    </row>
    <row r="1998" spans="1:4" x14ac:dyDescent="0.25">
      <c r="A1998" s="1" t="str">
        <f>'001'!B1998</f>
        <v>002815</v>
      </c>
      <c r="B1998" s="1" t="str">
        <f>'001'!C1998</f>
        <v>ESMALTE SINTETICO TERSUAVE 2EN1 BRILLANTE NEGRO X 20</v>
      </c>
      <c r="C1998" s="1" t="str">
        <f>'001'!D1998</f>
        <v>0152</v>
      </c>
      <c r="D1998" s="3" t="e">
        <f>'001'!H1998</f>
        <v>#VALUE!</v>
      </c>
    </row>
    <row r="1999" spans="1:4" x14ac:dyDescent="0.25">
      <c r="A1999" s="1" t="str">
        <f>'001'!B1999</f>
        <v>002817</v>
      </c>
      <c r="B1999" s="1" t="str">
        <f>'001'!C1999</f>
        <v>ESMALTE SINTETICO TERSUAVE 2EN1 BRILLANTE ALUMINIO X 20</v>
      </c>
      <c r="C1999" s="1" t="str">
        <f>'001'!D1999</f>
        <v>0152</v>
      </c>
      <c r="D1999" s="3" t="e">
        <f>'001'!H1999</f>
        <v>#VALUE!</v>
      </c>
    </row>
    <row r="2000" spans="1:4" x14ac:dyDescent="0.25">
      <c r="A2000" s="1" t="str">
        <f>'001'!B2000</f>
        <v>002818</v>
      </c>
      <c r="B2000" s="1" t="str">
        <f>'001'!C2000</f>
        <v>ESMALTE SINTETICO TERSUAVE 2EN1 BRILLANTE MARRON X 20</v>
      </c>
      <c r="C2000" s="1" t="str">
        <f>'001'!D2000</f>
        <v>0152</v>
      </c>
      <c r="D2000" s="3" t="e">
        <f>'001'!H2000</f>
        <v>#VALUE!</v>
      </c>
    </row>
    <row r="2001" spans="1:4" x14ac:dyDescent="0.25">
      <c r="A2001" s="1" t="str">
        <f>'001'!B2001</f>
        <v>002819</v>
      </c>
      <c r="B2001" s="1" t="str">
        <f>'001'!C2001</f>
        <v>AEROSOL RUST-OLEUM ALTA TEMPERATURA NEGRO MATE X 0,340 (358859 / 313518)</v>
      </c>
      <c r="C2001" s="1" t="str">
        <f>'001'!D2001</f>
        <v>0145</v>
      </c>
      <c r="D2001" s="3" t="e">
        <f>'001'!H2001</f>
        <v>#VALUE!</v>
      </c>
    </row>
    <row r="2002" spans="1:4" x14ac:dyDescent="0.25">
      <c r="A2002" s="1" t="str">
        <f>'001'!B2002</f>
        <v>002820</v>
      </c>
      <c r="B2002" s="1" t="str">
        <f>'001'!C2002</f>
        <v>ESMALTE SINTETICO TERSUAVE 2EN1 BRILLANTE GRIS OSCURO X 20</v>
      </c>
      <c r="C2002" s="1" t="str">
        <f>'001'!D2002</f>
        <v>0152</v>
      </c>
      <c r="D2002" s="3" t="e">
        <f>'001'!H2002</f>
        <v>#VALUE!</v>
      </c>
    </row>
    <row r="2003" spans="1:4" x14ac:dyDescent="0.25">
      <c r="A2003" s="1" t="str">
        <f>'001'!B2003</f>
        <v>002821</v>
      </c>
      <c r="B2003" s="1" t="str">
        <f>'001'!C2003</f>
        <v>AEROSOL RUST-OLEUM SP ALTA TEMPERATURA NEGRO X 0,340(358919)</v>
      </c>
      <c r="C2003" s="1" t="str">
        <f>'001'!D2003</f>
        <v>0146</v>
      </c>
      <c r="D2003" s="3" t="e">
        <f>'001'!H2003</f>
        <v>#VALUE!</v>
      </c>
    </row>
    <row r="2004" spans="1:4" x14ac:dyDescent="0.25">
      <c r="A2004" s="1" t="str">
        <f>'001'!B2004</f>
        <v>002822</v>
      </c>
      <c r="B2004" s="1" t="str">
        <f>'001'!C2004</f>
        <v>DISCO CORTE DOBLE A T41 MASTER ACERO 178X1,6X22,2</v>
      </c>
      <c r="C2004" s="1" t="str">
        <f>'001'!D2004</f>
        <v>0102</v>
      </c>
      <c r="D2004" s="3" t="e">
        <f>'001'!H2004</f>
        <v>#VALUE!</v>
      </c>
    </row>
    <row r="2005" spans="1:4" x14ac:dyDescent="0.25">
      <c r="A2005" s="1" t="str">
        <f>'001'!B2005</f>
        <v>002823</v>
      </c>
      <c r="B2005" s="1" t="str">
        <f>'001'!C2005</f>
        <v>ESMALTE SINTETICO TERSUAVE 2EN1 BRILLANTE CELESTE X 20</v>
      </c>
      <c r="C2005" s="1" t="str">
        <f>'001'!D2005</f>
        <v>0152</v>
      </c>
      <c r="D2005" s="3" t="e">
        <f>'001'!H2005</f>
        <v>#VALUE!</v>
      </c>
    </row>
    <row r="2006" spans="1:4" x14ac:dyDescent="0.25">
      <c r="A2006" s="1" t="str">
        <f>'001'!B2006</f>
        <v>002824</v>
      </c>
      <c r="B2006" s="1" t="str">
        <f>'001'!C2006</f>
        <v>ESMALTE SINTETICO TERSUAVE 2EN1 BRILLANTE MARFIL SEDA X 20</v>
      </c>
      <c r="C2006" s="1" t="str">
        <f>'001'!D2006</f>
        <v>0152</v>
      </c>
      <c r="D2006" s="3" t="e">
        <f>'001'!H2006</f>
        <v>#VALUE!</v>
      </c>
    </row>
    <row r="2007" spans="1:4" x14ac:dyDescent="0.25">
      <c r="A2007" s="1" t="str">
        <f>'001'!B2007</f>
        <v>002826</v>
      </c>
      <c r="B2007" s="1" t="str">
        <f>'001'!C2007</f>
        <v>ESMALTE SINTETICO TERSUAVE 2EN1 BRILLANTE GRIS ESPACIAL X 20</v>
      </c>
      <c r="C2007" s="1" t="str">
        <f>'001'!D2007</f>
        <v>0152</v>
      </c>
      <c r="D2007" s="3" t="e">
        <f>'001'!H2007</f>
        <v>#VALUE!</v>
      </c>
    </row>
    <row r="2008" spans="1:4" x14ac:dyDescent="0.25">
      <c r="A2008" s="1" t="str">
        <f>'001'!B2008</f>
        <v>002828</v>
      </c>
      <c r="B2008" s="1" t="str">
        <f>'001'!C2008</f>
        <v>ESMALTE SINTETICO TERSUAVE 2EN1 BRILLANTE GRIS PERLA X 20</v>
      </c>
      <c r="C2008" s="1" t="str">
        <f>'001'!D2008</f>
        <v>0152</v>
      </c>
      <c r="D2008" s="3" t="e">
        <f>'001'!H2008</f>
        <v>#VALUE!</v>
      </c>
    </row>
    <row r="2009" spans="1:4" x14ac:dyDescent="0.25">
      <c r="A2009" s="1" t="str">
        <f>'001'!B2009</f>
        <v>002829</v>
      </c>
      <c r="B2009" s="1" t="str">
        <f>'001'!C2009</f>
        <v>ESMALTE SINTETICO TERSUAVE 2EN1 BRILLANTE GRIS HIELO X 20</v>
      </c>
      <c r="C2009" s="1" t="str">
        <f>'001'!D2009</f>
        <v>0152</v>
      </c>
      <c r="D2009" s="3" t="e">
        <f>'001'!H2009</f>
        <v>#VALUE!</v>
      </c>
    </row>
    <row r="2010" spans="1:4" x14ac:dyDescent="0.25">
      <c r="A2010" s="1" t="str">
        <f>'001'!B2010</f>
        <v>002830</v>
      </c>
      <c r="B2010" s="1" t="str">
        <f>'001'!C2010</f>
        <v>ESMALTE SINTETICO TERSUAVE 2EN1 BRILLANTE VERDE INGLES X 20</v>
      </c>
      <c r="C2010" s="1" t="str">
        <f>'001'!D2010</f>
        <v>0152</v>
      </c>
      <c r="D2010" s="3" t="e">
        <f>'001'!H2010</f>
        <v>#VALUE!</v>
      </c>
    </row>
    <row r="2011" spans="1:4" x14ac:dyDescent="0.25">
      <c r="A2011" s="1" t="str">
        <f>'001'!B2011</f>
        <v>002832</v>
      </c>
      <c r="B2011" s="1" t="str">
        <f>'001'!C2011</f>
        <v>ESMALTE SINTETICO TERSUAVE 2EN1 BRILLANTE AZULEJO X 20</v>
      </c>
      <c r="C2011" s="1" t="str">
        <f>'001'!D2011</f>
        <v>0152</v>
      </c>
      <c r="D2011" s="3" t="e">
        <f>'001'!H2011</f>
        <v>#VALUE!</v>
      </c>
    </row>
    <row r="2012" spans="1:4" x14ac:dyDescent="0.25">
      <c r="A2012" s="1" t="str">
        <f>'001'!B2012</f>
        <v>002833</v>
      </c>
      <c r="B2012" s="1" t="str">
        <f>'001'!C2012</f>
        <v>ESMALTE SINTETICO TERSUAVE 2EN1 BRILLANTE MARFIL CHAMPAGNE X 20</v>
      </c>
      <c r="C2012" s="1" t="str">
        <f>'001'!D2012</f>
        <v>0152</v>
      </c>
      <c r="D2012" s="3" t="e">
        <f>'001'!H2012</f>
        <v>#VALUE!</v>
      </c>
    </row>
    <row r="2013" spans="1:4" x14ac:dyDescent="0.25">
      <c r="A2013" s="1" t="str">
        <f>'001'!B2013</f>
        <v>002834</v>
      </c>
      <c r="B2013" s="1" t="str">
        <f>'001'!C2013</f>
        <v>ESMALTE SINTETICO TERSUAVE 2EN1 BRILLANTE VERDE ILUSION X 20</v>
      </c>
      <c r="C2013" s="1" t="str">
        <f>'001'!D2013</f>
        <v>0152</v>
      </c>
      <c r="D2013" s="3" t="e">
        <f>'001'!H2013</f>
        <v>#VALUE!</v>
      </c>
    </row>
    <row r="2014" spans="1:4" x14ac:dyDescent="0.25">
      <c r="A2014" s="1" t="str">
        <f>'001'!B2014</f>
        <v>002835</v>
      </c>
      <c r="B2014" s="1" t="str">
        <f>'001'!C2014</f>
        <v>DISCO DESBASTE DOBLE A T27 MASTER ACERO 115X5,0X22,2</v>
      </c>
      <c r="C2014" s="1" t="str">
        <f>'001'!D2014</f>
        <v>0102</v>
      </c>
      <c r="D2014" s="3" t="e">
        <f>'001'!H2014</f>
        <v>#VALUE!</v>
      </c>
    </row>
    <row r="2015" spans="1:4" x14ac:dyDescent="0.25">
      <c r="A2015" s="1" t="str">
        <f>'001'!B2015</f>
        <v>002836</v>
      </c>
      <c r="B2015" s="1" t="str">
        <f>'001'!C2015</f>
        <v>ESMALTE SINTETICO TERSUAVE 2EN1 BRILLANTE CREMA X 20</v>
      </c>
      <c r="C2015" s="1" t="str">
        <f>'001'!D2015</f>
        <v>0152</v>
      </c>
      <c r="D2015" s="3" t="e">
        <f>'001'!H2015</f>
        <v>#VALUE!</v>
      </c>
    </row>
    <row r="2016" spans="1:4" x14ac:dyDescent="0.25">
      <c r="A2016" s="1" t="str">
        <f>'001'!B2016</f>
        <v>002837</v>
      </c>
      <c r="B2016" s="1" t="str">
        <f>'001'!C2016</f>
        <v>ESMALTE SINTETICO TERSUAVE 2EN1 BRILLANTE CASTANO X 20</v>
      </c>
      <c r="C2016" s="1" t="str">
        <f>'001'!D2016</f>
        <v>0152</v>
      </c>
      <c r="D2016" s="3" t="e">
        <f>'001'!H2016</f>
        <v>#VALUE!</v>
      </c>
    </row>
    <row r="2017" spans="1:4" x14ac:dyDescent="0.25">
      <c r="A2017" s="1" t="str">
        <f>'001'!B2017</f>
        <v>002838</v>
      </c>
      <c r="B2017" s="1" t="str">
        <f>'001'!C2017</f>
        <v>ESMALTE SINTETICO TERSUAVE 2EN1 BRILLANTE VERDE NOCHE X 20</v>
      </c>
      <c r="C2017" s="1" t="str">
        <f>'001'!D2017</f>
        <v>0152</v>
      </c>
      <c r="D2017" s="3" t="e">
        <f>'001'!H2017</f>
        <v>#VALUE!</v>
      </c>
    </row>
    <row r="2018" spans="1:4" x14ac:dyDescent="0.25">
      <c r="A2018" s="1" t="str">
        <f>'001'!B2018</f>
        <v>002841</v>
      </c>
      <c r="B2018" s="1" t="str">
        <f>'001'!C2018</f>
        <v>ESMALTE SINTETICO TERSUAVE 2EN1 BRILLANTE TRAFUL X 20</v>
      </c>
      <c r="C2018" s="1" t="str">
        <f>'001'!D2018</f>
        <v>0152</v>
      </c>
      <c r="D2018" s="3" t="e">
        <f>'001'!H2018</f>
        <v>#VALUE!</v>
      </c>
    </row>
    <row r="2019" spans="1:4" x14ac:dyDescent="0.25">
      <c r="A2019" s="1" t="str">
        <f>'001'!B2019</f>
        <v>002843</v>
      </c>
      <c r="B2019" s="1" t="str">
        <f>'001'!C2019</f>
        <v>ESMALTE SINTETICO TERSUAVE 2EN1 BRILLANTE AZUL X 20</v>
      </c>
      <c r="C2019" s="1" t="str">
        <f>'001'!D2019</f>
        <v>0152</v>
      </c>
      <c r="D2019" s="3" t="e">
        <f>'001'!H2019</f>
        <v>#VALUE!</v>
      </c>
    </row>
    <row r="2020" spans="1:4" x14ac:dyDescent="0.25">
      <c r="A2020" s="1" t="str">
        <f>'001'!B2020</f>
        <v>002844</v>
      </c>
      <c r="B2020" s="1" t="str">
        <f>'001'!C2020</f>
        <v>AEROSOL RUST-OLEUM ALTA TEMPERATURA ALUMINIO X 0,340 (313519/358858)</v>
      </c>
      <c r="C2020" s="1" t="str">
        <f>'001'!D2020</f>
        <v>0145</v>
      </c>
      <c r="D2020" s="3" t="e">
        <f>'001'!H2020</f>
        <v>#VALUE!</v>
      </c>
    </row>
    <row r="2021" spans="1:4" x14ac:dyDescent="0.25">
      <c r="A2021" s="1" t="str">
        <f>'001'!B2021</f>
        <v>002847</v>
      </c>
      <c r="B2021" s="1" t="str">
        <f>'001'!C2021</f>
        <v>ESMALTE SINTETICO TERSUAVE 2EN1 BRILLANTE TABACO X 20</v>
      </c>
      <c r="C2021" s="1" t="str">
        <f>'001'!D2021</f>
        <v>0152</v>
      </c>
      <c r="D2021" s="3" t="e">
        <f>'001'!H2021</f>
        <v>#VALUE!</v>
      </c>
    </row>
    <row r="2022" spans="1:4" x14ac:dyDescent="0.25">
      <c r="A2022" s="1" t="str">
        <f>'001'!B2022</f>
        <v>002848</v>
      </c>
      <c r="B2022" s="1" t="str">
        <f>'001'!C2022</f>
        <v>ANDAMIO 1.85 MULTIUSO EQUUS</v>
      </c>
      <c r="C2022" s="1" t="str">
        <f>'001'!D2022</f>
        <v>0161</v>
      </c>
      <c r="D2022" s="3" t="e">
        <f>'001'!H2022</f>
        <v>#VALUE!</v>
      </c>
    </row>
    <row r="2023" spans="1:4" x14ac:dyDescent="0.25">
      <c r="A2023" s="1" t="str">
        <f>'001'!B2023</f>
        <v>002849</v>
      </c>
      <c r="B2023" s="1" t="str">
        <f>'001'!C2023</f>
        <v>GUANTES TACTIL POLI 21-103 -T09 X 2</v>
      </c>
      <c r="C2023" s="1" t="str">
        <f>'001'!D2023</f>
        <v>0143</v>
      </c>
      <c r="D2023" s="3" t="e">
        <f>'001'!H2023</f>
        <v>#VALUE!</v>
      </c>
    </row>
    <row r="2024" spans="1:4" x14ac:dyDescent="0.25">
      <c r="A2024" s="1" t="str">
        <f>'001'!B2024</f>
        <v>002850</v>
      </c>
      <c r="B2024" s="1" t="str">
        <f>'001'!C2024</f>
        <v>GUANTES TACTIL POLI 21-103 -T10 X 2</v>
      </c>
      <c r="C2024" s="1" t="str">
        <f>'001'!D2024</f>
        <v>0143</v>
      </c>
      <c r="D2024" s="3" t="e">
        <f>'001'!H2024</f>
        <v>#VALUE!</v>
      </c>
    </row>
    <row r="2025" spans="1:4" x14ac:dyDescent="0.25">
      <c r="A2025" s="1" t="str">
        <f>'001'!B2025</f>
        <v>002851</v>
      </c>
      <c r="B2025" s="1" t="str">
        <f>'001'!C2025</f>
        <v>AEROSOL RUST-OLEUM ALTA TEMPERATURA ROJO MATE X 0,340 (358860/313520)</v>
      </c>
      <c r="C2025" s="1" t="str">
        <f>'001'!D2025</f>
        <v>0902</v>
      </c>
      <c r="D2025" s="3" t="e">
        <f>'001'!H2025</f>
        <v>#VALUE!</v>
      </c>
    </row>
    <row r="2026" spans="1:4" x14ac:dyDescent="0.25">
      <c r="A2026" s="1" t="str">
        <f>'001'!B2026</f>
        <v>002852</v>
      </c>
      <c r="B2026" s="1" t="str">
        <f>'001'!C2026</f>
        <v>AEROSOL RUST-OLEUM SP ALTA TEMPERATURA PLATA X 0,340(358918)</v>
      </c>
      <c r="C2026" s="1" t="str">
        <f>'001'!D2026</f>
        <v>0146</v>
      </c>
      <c r="D2026" s="3" t="e">
        <f>'001'!H2026</f>
        <v>#VALUE!</v>
      </c>
    </row>
    <row r="2027" spans="1:4" x14ac:dyDescent="0.25">
      <c r="A2027" s="1" t="str">
        <f>'001'!B2027</f>
        <v>002856</v>
      </c>
      <c r="B2027" s="1" t="str">
        <f>'001'!C2027</f>
        <v>ESMALTE SINTETICO TERSUAVE 2EN1 BRILLANTE AMAR.MED. X 20</v>
      </c>
      <c r="C2027" s="1" t="str">
        <f>'001'!D2027</f>
        <v>0152</v>
      </c>
      <c r="D2027" s="3" t="e">
        <f>'001'!H2027</f>
        <v>#VALUE!</v>
      </c>
    </row>
    <row r="2028" spans="1:4" x14ac:dyDescent="0.25">
      <c r="A2028" s="1" t="str">
        <f>'001'!B2028</f>
        <v>002857</v>
      </c>
      <c r="B2028" s="1" t="str">
        <f>'001'!C2028</f>
        <v>IMPERMEABILIZANTE PARA TECHOS TERSINOL BLANCO X  1</v>
      </c>
      <c r="C2028" s="1" t="str">
        <f>'001'!D2028</f>
        <v>0152</v>
      </c>
      <c r="D2028" s="3" t="e">
        <f>'001'!H2028</f>
        <v>#VALUE!</v>
      </c>
    </row>
    <row r="2029" spans="1:4" x14ac:dyDescent="0.25">
      <c r="A2029" s="1" t="str">
        <f>'001'!B2029</f>
        <v>002858</v>
      </c>
      <c r="B2029" s="1" t="str">
        <f>'001'!C2029</f>
        <v>IMPERMEABILIZANTE PARA TECHOS TERSINOL BLANCO X  4</v>
      </c>
      <c r="C2029" s="1" t="str">
        <f>'001'!D2029</f>
        <v>0152</v>
      </c>
      <c r="D2029" s="3" t="e">
        <f>'001'!H2029</f>
        <v>#VALUE!</v>
      </c>
    </row>
    <row r="2030" spans="1:4" x14ac:dyDescent="0.25">
      <c r="A2030" s="1" t="str">
        <f>'001'!B2030</f>
        <v>002859</v>
      </c>
      <c r="B2030" s="1" t="str">
        <f>'001'!C2030</f>
        <v>IMPERMEABILIZANTE PARA TECHOS TERSINOL BLANCO X 10</v>
      </c>
      <c r="C2030" s="1" t="str">
        <f>'001'!D2030</f>
        <v>0152</v>
      </c>
      <c r="D2030" s="3" t="e">
        <f>'001'!H2030</f>
        <v>#VALUE!</v>
      </c>
    </row>
    <row r="2031" spans="1:4" x14ac:dyDescent="0.25">
      <c r="A2031" s="1" t="str">
        <f>'001'!B2031</f>
        <v>002860</v>
      </c>
      <c r="B2031" s="1" t="str">
        <f>'001'!C2031</f>
        <v>ESMALTE SINTETICO TERSPRAY SECADO RAPIDO BLANCO X  1</v>
      </c>
      <c r="C2031" s="1" t="str">
        <f>'001'!D2031</f>
        <v>0153</v>
      </c>
      <c r="D2031" s="3" t="e">
        <f>'001'!H2031</f>
        <v>#VALUE!</v>
      </c>
    </row>
    <row r="2032" spans="1:4" x14ac:dyDescent="0.25">
      <c r="A2032" s="1" t="str">
        <f>'001'!B2032</f>
        <v>002861</v>
      </c>
      <c r="B2032" s="1" t="str">
        <f>'001'!C2032</f>
        <v>ESMALTE SINTETICO TERSPRAY SECADO RAPIDO BERMELLON X 1</v>
      </c>
      <c r="C2032" s="1" t="str">
        <f>'001'!D2032</f>
        <v>0153</v>
      </c>
      <c r="D2032" s="3" t="e">
        <f>'001'!H2032</f>
        <v>#VALUE!</v>
      </c>
    </row>
    <row r="2033" spans="1:4" x14ac:dyDescent="0.25">
      <c r="A2033" s="1" t="str">
        <f>'001'!B2033</f>
        <v>002862</v>
      </c>
      <c r="B2033" s="1" t="str">
        <f>'001'!C2033</f>
        <v>ESMALTE SINTETICO TERSPRAY SECADO RAPIDO NARANJA FIAT X 1</v>
      </c>
      <c r="C2033" s="1" t="str">
        <f>'001'!D2033</f>
        <v>0153</v>
      </c>
      <c r="D2033" s="3" t="e">
        <f>'001'!H2033</f>
        <v>#VALUE!</v>
      </c>
    </row>
    <row r="2034" spans="1:4" x14ac:dyDescent="0.25">
      <c r="A2034" s="1" t="str">
        <f>'001'!B2034</f>
        <v>002863</v>
      </c>
      <c r="B2034" s="1" t="str">
        <f>'001'!C2034</f>
        <v>ESMALTE SINTETICO TERSPRAY SECADO RAPIDO AMAR.CROM. X 1</v>
      </c>
      <c r="C2034" s="1" t="str">
        <f>'001'!D2034</f>
        <v>0153</v>
      </c>
      <c r="D2034" s="3" t="e">
        <f>'001'!H2034</f>
        <v>#VALUE!</v>
      </c>
    </row>
    <row r="2035" spans="1:4" x14ac:dyDescent="0.25">
      <c r="A2035" s="1" t="str">
        <f>'001'!B2035</f>
        <v>002864</v>
      </c>
      <c r="B2035" s="1" t="str">
        <f>'001'!C2035</f>
        <v>ESMALTE SINTETICO TERSPRAY SECADO RAPIDO NEGRO X 1</v>
      </c>
      <c r="C2035" s="1" t="str">
        <f>'001'!D2035</f>
        <v>0153</v>
      </c>
      <c r="D2035" s="3" t="e">
        <f>'001'!H2035</f>
        <v>#VALUE!</v>
      </c>
    </row>
    <row r="2036" spans="1:4" x14ac:dyDescent="0.25">
      <c r="A2036" s="1" t="str">
        <f>'001'!B2036</f>
        <v>002866</v>
      </c>
      <c r="B2036" s="1" t="str">
        <f>'001'!C2036</f>
        <v>SELLADOR SILICONA ACETICA WEBER S TRANSPARENTE X 0,300</v>
      </c>
      <c r="C2036" s="1" t="str">
        <f>'001'!D2036</f>
        <v>0185</v>
      </c>
      <c r="D2036" s="3" t="e">
        <f>'001'!H2036</f>
        <v>#VALUE!</v>
      </c>
    </row>
    <row r="2037" spans="1:4" x14ac:dyDescent="0.25">
      <c r="A2037" s="1" t="str">
        <f>'001'!B2037</f>
        <v>002867</v>
      </c>
      <c r="B2037" s="1" t="str">
        <f>'001'!C2037</f>
        <v>ESMALTE SINTETICO TERSPRAY SECADO RAPIDO AZUL BANDERA X 1</v>
      </c>
      <c r="C2037" s="1" t="str">
        <f>'001'!D2037</f>
        <v>0153</v>
      </c>
      <c r="D2037" s="3" t="e">
        <f>'001'!H2037</f>
        <v>#VALUE!</v>
      </c>
    </row>
    <row r="2038" spans="1:4" x14ac:dyDescent="0.25">
      <c r="A2038" s="1" t="str">
        <f>'001'!B2038</f>
        <v>002868</v>
      </c>
      <c r="B2038" s="1" t="str">
        <f>'001'!C2038</f>
        <v>AEROSOL RUST-OLEUM ALTA TEMPERATURA NARANJA MATE X 0,340 (248905)</v>
      </c>
      <c r="C2038" s="1" t="str">
        <f>'001'!D2038</f>
        <v>0902</v>
      </c>
      <c r="D2038" s="3" t="e">
        <f>'001'!H2038</f>
        <v>#VALUE!</v>
      </c>
    </row>
    <row r="2039" spans="1:4" x14ac:dyDescent="0.25">
      <c r="A2039" s="1" t="str">
        <f>'001'!B2039</f>
        <v>002869</v>
      </c>
      <c r="B2039" s="1" t="str">
        <f>'001'!C2039</f>
        <v>ESMALTE SINTETICO TERSPRAY SECADO RAPIDO VERDE J.D X 1</v>
      </c>
      <c r="C2039" s="1" t="str">
        <f>'001'!D2039</f>
        <v>0153</v>
      </c>
      <c r="D2039" s="3" t="e">
        <f>'001'!H2039</f>
        <v>#VALUE!</v>
      </c>
    </row>
    <row r="2040" spans="1:4" x14ac:dyDescent="0.25">
      <c r="A2040" s="1" t="str">
        <f>'001'!B2040</f>
        <v>002870</v>
      </c>
      <c r="B2040" s="1" t="str">
        <f>'001'!C2040</f>
        <v>ESMALTE SINTETICO TERSPRAY SECADO RAPIDO BLANCO X  4</v>
      </c>
      <c r="C2040" s="1" t="str">
        <f>'001'!D2040</f>
        <v>0153</v>
      </c>
      <c r="D2040" s="3" t="e">
        <f>'001'!H2040</f>
        <v>#VALUE!</v>
      </c>
    </row>
    <row r="2041" spans="1:4" x14ac:dyDescent="0.25">
      <c r="A2041" s="1" t="str">
        <f>'001'!B2041</f>
        <v>002871</v>
      </c>
      <c r="B2041" s="1" t="str">
        <f>'001'!C2041</f>
        <v>ESMALTE SINTETICO TERSPRAY SECADO RAPIDO BERMELLON X 4</v>
      </c>
      <c r="C2041" s="1" t="str">
        <f>'001'!D2041</f>
        <v>0153</v>
      </c>
      <c r="D2041" s="3" t="e">
        <f>'001'!H2041</f>
        <v>#VALUE!</v>
      </c>
    </row>
    <row r="2042" spans="1:4" x14ac:dyDescent="0.25">
      <c r="A2042" s="1" t="str">
        <f>'001'!B2042</f>
        <v>002872</v>
      </c>
      <c r="B2042" s="1" t="str">
        <f>'001'!C2042</f>
        <v>ESMALTE SINTETICO TERSPRAY SECADO RAPIDO NARANJA FIAT X 4</v>
      </c>
      <c r="C2042" s="1" t="str">
        <f>'001'!D2042</f>
        <v>0153</v>
      </c>
      <c r="D2042" s="3" t="e">
        <f>'001'!H2042</f>
        <v>#VALUE!</v>
      </c>
    </row>
    <row r="2043" spans="1:4" x14ac:dyDescent="0.25">
      <c r="A2043" s="1" t="str">
        <f>'001'!B2043</f>
        <v>002873</v>
      </c>
      <c r="B2043" s="1" t="str">
        <f>'001'!C2043</f>
        <v>ESMALTE SINTETICO TERSPRAY SECADO RAPIDO AMAR.CROM.X 4</v>
      </c>
      <c r="C2043" s="1" t="str">
        <f>'001'!D2043</f>
        <v>0153</v>
      </c>
      <c r="D2043" s="3" t="e">
        <f>'001'!H2043</f>
        <v>#VALUE!</v>
      </c>
    </row>
    <row r="2044" spans="1:4" x14ac:dyDescent="0.25">
      <c r="A2044" s="1" t="str">
        <f>'001'!B2044</f>
        <v>002874</v>
      </c>
      <c r="B2044" s="1" t="str">
        <f>'001'!C2044</f>
        <v>ESMALTE SINTETICO TERSPRAY SECADO RAPIDO NEGRO X 4</v>
      </c>
      <c r="C2044" s="1" t="str">
        <f>'001'!D2044</f>
        <v>0153</v>
      </c>
      <c r="D2044" s="3" t="e">
        <f>'001'!H2044</f>
        <v>#VALUE!</v>
      </c>
    </row>
    <row r="2045" spans="1:4" x14ac:dyDescent="0.25">
      <c r="A2045" s="1" t="str">
        <f>'001'!B2045</f>
        <v>002875</v>
      </c>
      <c r="B2045" s="1" t="str">
        <f>'001'!C2045</f>
        <v>AEROSOL RUST-OLEUM SP ALTA TEMPERATURA BLANCO MATE X 0,340(358920/7751830)</v>
      </c>
      <c r="C2045" s="1" t="str">
        <f>'001'!D2045</f>
        <v>0146</v>
      </c>
      <c r="D2045" s="3" t="e">
        <f>'001'!H2045</f>
        <v>#VALUE!</v>
      </c>
    </row>
    <row r="2046" spans="1:4" x14ac:dyDescent="0.25">
      <c r="A2046" s="1" t="str">
        <f>'001'!B2046</f>
        <v>002877</v>
      </c>
      <c r="B2046" s="1" t="str">
        <f>'001'!C2046</f>
        <v>ESMALTE SINTETICO TERSPRAY SECADO RAPIDO AZUL BANDERA X 4</v>
      </c>
      <c r="C2046" s="1" t="str">
        <f>'001'!D2046</f>
        <v>0153</v>
      </c>
      <c r="D2046" s="3" t="e">
        <f>'001'!H2046</f>
        <v>#VALUE!</v>
      </c>
    </row>
    <row r="2047" spans="1:4" x14ac:dyDescent="0.25">
      <c r="A2047" s="1" t="str">
        <f>'001'!B2047</f>
        <v>002878</v>
      </c>
      <c r="B2047" s="1" t="str">
        <f>'001'!C2047</f>
        <v>IMPERMEABILIZANTE PARA TECHOS TERSINOL BLANCO X 20</v>
      </c>
      <c r="C2047" s="1" t="str">
        <f>'001'!D2047</f>
        <v>0152</v>
      </c>
      <c r="D2047" s="3" t="e">
        <f>'001'!H2047</f>
        <v>#VALUE!</v>
      </c>
    </row>
    <row r="2048" spans="1:4" x14ac:dyDescent="0.25">
      <c r="A2048" s="1" t="str">
        <f>'001'!B2048</f>
        <v>002879</v>
      </c>
      <c r="B2048" s="1" t="str">
        <f>'001'!C2048</f>
        <v>ESMALTE SINTETICO TERSPRAY SECADO RAPIDO VERDE J.D X 4</v>
      </c>
      <c r="C2048" s="1" t="str">
        <f>'001'!D2048</f>
        <v>0153</v>
      </c>
      <c r="D2048" s="3" t="e">
        <f>'001'!H2048</f>
        <v>#VALUE!</v>
      </c>
    </row>
    <row r="2049" spans="1:4" x14ac:dyDescent="0.25">
      <c r="A2049" s="1" t="str">
        <f>'001'!B2049</f>
        <v>002880</v>
      </c>
      <c r="B2049" s="1" t="str">
        <f>'001'!C2049</f>
        <v>IMPERMEABILIZANTE PARA TECHOS TERSITECH NEGRO X  1</v>
      </c>
      <c r="C2049" s="1" t="str">
        <f>'001'!D2049</f>
        <v>0152</v>
      </c>
      <c r="D2049" s="3" t="e">
        <f>'001'!H2049</f>
        <v>#VALUE!</v>
      </c>
    </row>
    <row r="2050" spans="1:4" x14ac:dyDescent="0.25">
      <c r="A2050" s="1" t="str">
        <f>'001'!B2050</f>
        <v>002881</v>
      </c>
      <c r="B2050" s="1" t="str">
        <f>'001'!C2050</f>
        <v>IMPERMEABILIZANTE PARA TECHOS TERSITECH NEGRO X  4</v>
      </c>
      <c r="C2050" s="1" t="str">
        <f>'001'!D2050</f>
        <v>0152</v>
      </c>
      <c r="D2050" s="3" t="e">
        <f>'001'!H2050</f>
        <v>#VALUE!</v>
      </c>
    </row>
    <row r="2051" spans="1:4" x14ac:dyDescent="0.25">
      <c r="A2051" s="1" t="str">
        <f>'001'!B2051</f>
        <v>002882</v>
      </c>
      <c r="B2051" s="1" t="str">
        <f>'001'!C2051</f>
        <v>IMPERMEABILIZANTE PARA TECHOS TERSITECH NEGRO X 10</v>
      </c>
      <c r="C2051" s="1" t="str">
        <f>'001'!D2051</f>
        <v>0152</v>
      </c>
      <c r="D2051" s="3" t="e">
        <f>'001'!H2051</f>
        <v>#VALUE!</v>
      </c>
    </row>
    <row r="2052" spans="1:4" x14ac:dyDescent="0.25">
      <c r="A2052" s="1" t="str">
        <f>'001'!B2052</f>
        <v>002883</v>
      </c>
      <c r="B2052" s="1" t="str">
        <f>'001'!C2052</f>
        <v>IMPERMEABILIZANTE PARA TECHOS TERSITECH NEGRO X 20</v>
      </c>
      <c r="C2052" s="1" t="str">
        <f>'001'!D2052</f>
        <v>0152</v>
      </c>
      <c r="D2052" s="3" t="e">
        <f>'001'!H2052</f>
        <v>#VALUE!</v>
      </c>
    </row>
    <row r="2053" spans="1:4" x14ac:dyDescent="0.25">
      <c r="A2053" s="1" t="str">
        <f>'001'!B2053</f>
        <v>002885</v>
      </c>
      <c r="B2053" s="1" t="str">
        <f>'001'!C2053</f>
        <v>DISCO CORTE DOBLE A T41 MASTER ACERO 350X3,2X25,4 2MALLA</v>
      </c>
      <c r="C2053" s="1" t="str">
        <f>'001'!D2053</f>
        <v>0102</v>
      </c>
      <c r="D2053" s="3" t="e">
        <f>'001'!H2053</f>
        <v>#VALUE!</v>
      </c>
    </row>
    <row r="2054" spans="1:4" x14ac:dyDescent="0.25">
      <c r="A2054" s="1" t="str">
        <f>'001'!B2054</f>
        <v>002888</v>
      </c>
      <c r="B2054" s="1" t="str">
        <f>'001'!C2054</f>
        <v>IMPRIMACION EPOXI TERSUAVE X 1</v>
      </c>
      <c r="C2054" s="1" t="str">
        <f>'001'!D2054</f>
        <v>0153</v>
      </c>
      <c r="D2054" s="3" t="e">
        <f>'001'!H2054</f>
        <v>#VALUE!</v>
      </c>
    </row>
    <row r="2055" spans="1:4" x14ac:dyDescent="0.25">
      <c r="A2055" s="1" t="str">
        <f>'001'!B2055</f>
        <v>002890</v>
      </c>
      <c r="B2055" s="1" t="str">
        <f>'001'!C2055</f>
        <v>FILTRO ESPUMA P/TAPA ADIABATIC (1218DLPO)</v>
      </c>
      <c r="C2055" s="1" t="str">
        <f>'001'!D2055</f>
        <v>0104</v>
      </c>
      <c r="D2055" s="3" t="e">
        <f>'001'!H2055</f>
        <v>#VALUE!</v>
      </c>
    </row>
    <row r="2056" spans="1:4" x14ac:dyDescent="0.25">
      <c r="A2056" s="1" t="str">
        <f>'001'!B2056</f>
        <v>002891</v>
      </c>
      <c r="B2056" s="1" t="str">
        <f>'001'!C2056</f>
        <v>CARBON DE 9X9 JUEGOX2 ADIABATIC (1481K2)</v>
      </c>
      <c r="C2056" s="1" t="str">
        <f>'001'!D2056</f>
        <v>0104</v>
      </c>
      <c r="D2056" s="3" t="e">
        <f>'001'!H2056</f>
        <v>#VALUE!</v>
      </c>
    </row>
    <row r="2057" spans="1:4" x14ac:dyDescent="0.25">
      <c r="A2057" s="1" t="str">
        <f>'001'!B2057</f>
        <v>002892</v>
      </c>
      <c r="B2057" s="1" t="str">
        <f>'001'!C2057</f>
        <v>PICO 0,75 MM DIFU PLASTICO ADIABATIC (1523CLLO)</v>
      </c>
      <c r="C2057" s="1" t="str">
        <f>'001'!D2057</f>
        <v>0104</v>
      </c>
      <c r="D2057" s="3" t="e">
        <f>'001'!H2057</f>
        <v>#VALUE!</v>
      </c>
    </row>
    <row r="2058" spans="1:4" x14ac:dyDescent="0.25">
      <c r="A2058" s="1" t="str">
        <f>'001'!B2058</f>
        <v>002893</v>
      </c>
      <c r="B2058" s="1" t="str">
        <f>'001'!C2058</f>
        <v>PICO 1 MM DIFU PLASTICO ADIABATIC (1524CLLO)</v>
      </c>
      <c r="C2058" s="1" t="str">
        <f>'001'!D2058</f>
        <v>0104</v>
      </c>
      <c r="D2058" s="3" t="e">
        <f>'001'!H2058</f>
        <v>#VALUE!</v>
      </c>
    </row>
    <row r="2059" spans="1:4" x14ac:dyDescent="0.25">
      <c r="A2059" s="1" t="str">
        <f>'001'!B2059</f>
        <v>002894</v>
      </c>
      <c r="B2059" s="1" t="str">
        <f>'001'!C2059</f>
        <v>PICO 1,5 MM DIFU PLASTICO ADIABATIC (1525CLLO)</v>
      </c>
      <c r="C2059" s="1" t="str">
        <f>'001'!D2059</f>
        <v>0104</v>
      </c>
      <c r="D2059" s="3" t="e">
        <f>'001'!H2059</f>
        <v>#VALUE!</v>
      </c>
    </row>
    <row r="2060" spans="1:4" x14ac:dyDescent="0.25">
      <c r="A2060" s="1" t="str">
        <f>'001'!B2060</f>
        <v>002895</v>
      </c>
      <c r="B2060" s="1" t="str">
        <f>'001'!C2060</f>
        <v>PICO 2 MM DIFU PLASTICO ADIABATIC ( 1526CLLO)</v>
      </c>
      <c r="C2060" s="1" t="str">
        <f>'001'!D2060</f>
        <v>0104</v>
      </c>
      <c r="D2060" s="3" t="e">
        <f>'001'!H2060</f>
        <v>#VALUE!</v>
      </c>
    </row>
    <row r="2061" spans="1:4" x14ac:dyDescent="0.25">
      <c r="A2061" s="1" t="str">
        <f>'001'!B2061</f>
        <v>002896</v>
      </c>
      <c r="B2061" s="1" t="str">
        <f>'001'!C2061</f>
        <v>AGUJA INOXIDABLE PARA PISTOLA C2C5 (7113DLLO)</v>
      </c>
      <c r="C2061" s="1" t="str">
        <f>'001'!D2061</f>
        <v>0104</v>
      </c>
      <c r="D2061" s="3" t="e">
        <f>'001'!H2061</f>
        <v>#VALUE!</v>
      </c>
    </row>
    <row r="2062" spans="1:4" x14ac:dyDescent="0.25">
      <c r="A2062" s="1" t="str">
        <f>'001'!B2062</f>
        <v>002897</v>
      </c>
      <c r="B2062" s="1" t="str">
        <f>'001'!C2062</f>
        <v>JUNTA UNIVERSAL P/TAZAS ADIABATIC (0269CNPO)</v>
      </c>
      <c r="C2062" s="1" t="str">
        <f>'001'!D2062</f>
        <v>0104</v>
      </c>
      <c r="D2062" s="3" t="e">
        <f>'001'!H2062</f>
        <v>#VALUE!</v>
      </c>
    </row>
    <row r="2063" spans="1:4" x14ac:dyDescent="0.25">
      <c r="A2063" s="1" t="str">
        <f>'001'!B2063</f>
        <v>002898</v>
      </c>
      <c r="B2063" s="1" t="str">
        <f>'001'!C2063</f>
        <v>JUNTA PRENSA ESTOPA DE TEFLON ADIABATIC (0143DLXO)</v>
      </c>
      <c r="C2063" s="1" t="str">
        <f>'001'!D2063</f>
        <v>0104</v>
      </c>
      <c r="D2063" s="3" t="e">
        <f>'001'!H2063</f>
        <v>#VALUE!</v>
      </c>
    </row>
    <row r="2064" spans="1:4" x14ac:dyDescent="0.25">
      <c r="A2064" s="1" t="str">
        <f>'001'!B2064</f>
        <v>002899</v>
      </c>
      <c r="B2064" s="1" t="str">
        <f>'001'!C2064</f>
        <v>AEROSOL RUST-OLEUM ALTA TEMPERATURA GRIS X 0,340 (249340/371549)</v>
      </c>
      <c r="C2064" s="1" t="str">
        <f>'001'!D2064</f>
        <v>0145</v>
      </c>
      <c r="D2064" s="3" t="e">
        <f>'001'!H2064</f>
        <v>#VALUE!</v>
      </c>
    </row>
    <row r="2065" spans="1:4" x14ac:dyDescent="0.25">
      <c r="A2065" s="1" t="str">
        <f>'001'!B2065</f>
        <v>002900</v>
      </c>
      <c r="B2065" s="1" t="str">
        <f>'001'!C2065</f>
        <v>REVESTIMIENTO TEXTURADO TERPLAST REVOQUE PLASTICO BLANCO X 25</v>
      </c>
      <c r="C2065" s="1" t="str">
        <f>'001'!D2065</f>
        <v>0152</v>
      </c>
      <c r="D2065" s="3" t="e">
        <f>'001'!H2065</f>
        <v>#VALUE!</v>
      </c>
    </row>
    <row r="2066" spans="1:4" x14ac:dyDescent="0.25">
      <c r="A2066" s="1" t="str">
        <f>'001'!B2066</f>
        <v>002914</v>
      </c>
      <c r="B2066" s="1" t="str">
        <f>'001'!C2066</f>
        <v>PROTECTOR PARA PISO ATERMICO PLAVICON CUARZO X 4</v>
      </c>
      <c r="C2066" s="1" t="str">
        <f>'001'!D2066</f>
        <v>0139</v>
      </c>
      <c r="D2066" s="3" t="e">
        <f>'001'!H2066</f>
        <v>#VALUE!</v>
      </c>
    </row>
    <row r="2067" spans="1:4" x14ac:dyDescent="0.25">
      <c r="A2067" s="1" t="str">
        <f>'001'!B2067</f>
        <v>002915</v>
      </c>
      <c r="B2067" s="1" t="str">
        <f>'001'!C2067</f>
        <v>DISCO FLAP DOBLE A MASTER OX ALUMINIO 115X22  36</v>
      </c>
      <c r="C2067" s="1" t="str">
        <f>'001'!D2067</f>
        <v>0102</v>
      </c>
      <c r="D2067" s="3" t="e">
        <f>'001'!H2067</f>
        <v>#VALUE!</v>
      </c>
    </row>
    <row r="2068" spans="1:4" x14ac:dyDescent="0.25">
      <c r="A2068" s="1" t="str">
        <f>'001'!B2068</f>
        <v>002916</v>
      </c>
      <c r="B2068" s="1" t="str">
        <f>'001'!C2068</f>
        <v>DISCO FLAP DOBLE A MASTER OX ALUMINIO 115X22  60</v>
      </c>
      <c r="C2068" s="1" t="str">
        <f>'001'!D2068</f>
        <v>0102</v>
      </c>
      <c r="D2068" s="3" t="e">
        <f>'001'!H2068</f>
        <v>#VALUE!</v>
      </c>
    </row>
    <row r="2069" spans="1:4" x14ac:dyDescent="0.25">
      <c r="A2069" s="1" t="str">
        <f>'001'!B2069</f>
        <v>002917</v>
      </c>
      <c r="B2069" s="1" t="str">
        <f>'001'!C2069</f>
        <v>DISCO FLAP DOBLE A ULTRA OX.ZIRCONIO 180X22 P 40</v>
      </c>
      <c r="C2069" s="1" t="str">
        <f>'001'!D2069</f>
        <v>0102</v>
      </c>
      <c r="D2069" s="3" t="e">
        <f>'001'!H2069</f>
        <v>#VALUE!</v>
      </c>
    </row>
    <row r="2070" spans="1:4" x14ac:dyDescent="0.25">
      <c r="A2070" s="1" t="str">
        <f>'001'!B2070</f>
        <v>002918</v>
      </c>
      <c r="B2070" s="1" t="str">
        <f>'001'!C2070</f>
        <v>DISCO FLAP DOBLE A ULTRA OX.ZIRCONIO 180X22 P 60</v>
      </c>
      <c r="C2070" s="1" t="str">
        <f>'001'!D2070</f>
        <v>0102</v>
      </c>
      <c r="D2070" s="3" t="e">
        <f>'001'!H2070</f>
        <v>#VALUE!</v>
      </c>
    </row>
    <row r="2071" spans="1:4" x14ac:dyDescent="0.25">
      <c r="A2071" s="1" t="str">
        <f>'001'!B2071</f>
        <v>002919</v>
      </c>
      <c r="B2071" s="1" t="str">
        <f>'001'!C2071</f>
        <v>DISCO FLAP DOBLE A ULTRA OX.ZIRCONIO 180X22 P 80</v>
      </c>
      <c r="C2071" s="1" t="str">
        <f>'001'!D2071</f>
        <v>0102</v>
      </c>
      <c r="D2071" s="3" t="e">
        <f>'001'!H2071</f>
        <v>#VALUE!</v>
      </c>
    </row>
    <row r="2072" spans="1:4" x14ac:dyDescent="0.25">
      <c r="A2072" s="1" t="str">
        <f>'001'!B2072</f>
        <v>002920</v>
      </c>
      <c r="B2072" s="1" t="str">
        <f>'001'!C2072</f>
        <v>DISCO FLAP DOBLE A ULTRA OX.ZIRCONIO 180X22 P120</v>
      </c>
      <c r="C2072" s="1" t="str">
        <f>'001'!D2072</f>
        <v>0102</v>
      </c>
      <c r="D2072" s="3" t="e">
        <f>'001'!H2072</f>
        <v>#VALUE!</v>
      </c>
    </row>
    <row r="2073" spans="1:4" x14ac:dyDescent="0.25">
      <c r="A2073" s="1" t="str">
        <f>'001'!B2073</f>
        <v>002921</v>
      </c>
      <c r="B2073" s="1" t="str">
        <f>'001'!C2073</f>
        <v>DISCO FLAP DOBLE A MASTER OX ALUMINIO 115X22  80</v>
      </c>
      <c r="C2073" s="1" t="str">
        <f>'001'!D2073</f>
        <v>0102</v>
      </c>
      <c r="D2073" s="3" t="e">
        <f>'001'!H2073</f>
        <v>#VALUE!</v>
      </c>
    </row>
    <row r="2074" spans="1:4" x14ac:dyDescent="0.25">
      <c r="A2074" s="1" t="str">
        <f>'001'!B2074</f>
        <v>002922</v>
      </c>
      <c r="B2074" s="1" t="str">
        <f>'001'!C2074</f>
        <v>DISCO DIAMANTADO DOBLE A MASTER 110X22,23 SEG</v>
      </c>
      <c r="C2074" s="1" t="str">
        <f>'001'!D2074</f>
        <v>0102</v>
      </c>
      <c r="D2074" s="3" t="e">
        <f>'001'!H2074</f>
        <v>#VALUE!</v>
      </c>
    </row>
    <row r="2075" spans="1:4" x14ac:dyDescent="0.25">
      <c r="A2075" s="1" t="str">
        <f>'001'!B2075</f>
        <v>002923</v>
      </c>
      <c r="B2075" s="1" t="str">
        <f>'001'!C2075</f>
        <v>DISCO DIAMANTADO DOBLE A MASTER 110X22,23 TURBO</v>
      </c>
      <c r="C2075" s="1" t="str">
        <f>'001'!D2075</f>
        <v>0102</v>
      </c>
      <c r="D2075" s="3" t="e">
        <f>'001'!H2075</f>
        <v>#VALUE!</v>
      </c>
    </row>
    <row r="2076" spans="1:4" x14ac:dyDescent="0.25">
      <c r="A2076" s="1" t="str">
        <f>'001'!B2076</f>
        <v>002924</v>
      </c>
      <c r="B2076" s="1" t="str">
        <f>'001'!C2076</f>
        <v>FILTRO DE PINTURA P/PISTOLA ADIABATIC (1247DLXO)</v>
      </c>
      <c r="C2076" s="1" t="str">
        <f>'001'!D2076</f>
        <v>0104</v>
      </c>
      <c r="D2076" s="3" t="e">
        <f>'001'!H2076</f>
        <v>#VALUE!</v>
      </c>
    </row>
    <row r="2077" spans="1:4" x14ac:dyDescent="0.25">
      <c r="A2077" s="1" t="str">
        <f>'001'!B2077</f>
        <v>002925</v>
      </c>
      <c r="B2077" s="1" t="str">
        <f>'001'!C2077</f>
        <v>DISCO FLAP DOBLE A MASTER OX ALUMINIO 115X22 120</v>
      </c>
      <c r="C2077" s="1" t="str">
        <f>'001'!D2077</f>
        <v>0102</v>
      </c>
      <c r="D2077" s="3" t="e">
        <f>'001'!H2077</f>
        <v>#VALUE!</v>
      </c>
    </row>
    <row r="2078" spans="1:4" x14ac:dyDescent="0.25">
      <c r="A2078" s="1" t="str">
        <f>'001'!B2078</f>
        <v>002926</v>
      </c>
      <c r="B2078" s="1" t="str">
        <f>'001'!C2078</f>
        <v>DISCO CORTE DOBLE A T41 MASTER ACERO 300X3,2X25,4 2MALLA</v>
      </c>
      <c r="C2078" s="1" t="str">
        <f>'001'!D2078</f>
        <v>0102</v>
      </c>
      <c r="D2078" s="3" t="e">
        <f>'001'!H2078</f>
        <v>#VALUE!</v>
      </c>
    </row>
    <row r="2079" spans="1:4" x14ac:dyDescent="0.25">
      <c r="A2079" s="1" t="str">
        <f>'001'!B2079</f>
        <v>002927</v>
      </c>
      <c r="B2079" s="1" t="str">
        <f>'001'!C2079</f>
        <v>GUANTES ANSELL NEOPRENO 29-865 T.10 X 2</v>
      </c>
      <c r="C2079" s="1" t="str">
        <f>'001'!D2079</f>
        <v>0143</v>
      </c>
      <c r="D2079" s="3" t="e">
        <f>'001'!H2079</f>
        <v>#VALUE!</v>
      </c>
    </row>
    <row r="2080" spans="1:4" x14ac:dyDescent="0.25">
      <c r="A2080" s="1" t="str">
        <f>'001'!B2080</f>
        <v>002928</v>
      </c>
      <c r="B2080" s="1" t="str">
        <f>'001'!C2080</f>
        <v>TUBO DE PESCA PISTOLA C4 ADIABATIC (1039DLPO)</v>
      </c>
      <c r="C2080" s="1" t="str">
        <f>'001'!D2080</f>
        <v>0104</v>
      </c>
      <c r="D2080" s="3" t="e">
        <f>'001'!H2080</f>
        <v>#VALUE!</v>
      </c>
    </row>
    <row r="2081" spans="1:4" x14ac:dyDescent="0.25">
      <c r="A2081" s="1" t="str">
        <f>'001'!B2081</f>
        <v>002929</v>
      </c>
      <c r="B2081" s="1" t="str">
        <f>'001'!C2081</f>
        <v>GUANTES TACTIL FOAM 20-102/PONY 22-102 -T09 X 2</v>
      </c>
      <c r="C2081" s="1" t="str">
        <f>'001'!D2081</f>
        <v>0143</v>
      </c>
      <c r="D2081" s="3" t="e">
        <f>'001'!H2081</f>
        <v>#VALUE!</v>
      </c>
    </row>
    <row r="2082" spans="1:4" x14ac:dyDescent="0.25">
      <c r="A2082" s="1" t="str">
        <f>'001'!B2082</f>
        <v>002930</v>
      </c>
      <c r="B2082" s="1" t="str">
        <f>'001'!C2082</f>
        <v>GUANTES TACTIL FOAM 20-102/PONY 22-102 -T10 X 2</v>
      </c>
      <c r="C2082" s="1" t="str">
        <f>'001'!D2082</f>
        <v>0143</v>
      </c>
      <c r="D2082" s="3" t="e">
        <f>'001'!H2082</f>
        <v>#VALUE!</v>
      </c>
    </row>
    <row r="2083" spans="1:4" x14ac:dyDescent="0.25">
      <c r="A2083" s="1" t="str">
        <f>'001'!B2083</f>
        <v>002931</v>
      </c>
      <c r="B2083" s="1" t="str">
        <f>'001'!C2083</f>
        <v>GUANTES ANSELL NEOPRENO 29-865 T.11 X 2</v>
      </c>
      <c r="C2083" s="1" t="str">
        <f>'001'!D2083</f>
        <v>0143</v>
      </c>
      <c r="D2083" s="3" t="e">
        <f>'001'!H2083</f>
        <v>#VALUE!</v>
      </c>
    </row>
    <row r="2084" spans="1:4" x14ac:dyDescent="0.25">
      <c r="A2084" s="1" t="str">
        <f>'001'!B2084</f>
        <v>002932</v>
      </c>
      <c r="B2084" s="1" t="str">
        <f>'001'!C2084</f>
        <v>REPUESTO CANE BOQUILLA (107503)</v>
      </c>
      <c r="C2084" s="1" t="str">
        <f>'001'!D2084</f>
        <v>0115</v>
      </c>
      <c r="D2084" s="3" t="e">
        <f>'001'!H2084</f>
        <v>#VALUE!</v>
      </c>
    </row>
    <row r="2085" spans="1:4" x14ac:dyDescent="0.25">
      <c r="A2085" s="1" t="str">
        <f>'001'!B2085</f>
        <v>002933</v>
      </c>
      <c r="B2085" s="1" t="str">
        <f>'001'!C2085</f>
        <v>REPUESTO CANE ARANDELA SELLO (121023)</v>
      </c>
      <c r="C2085" s="1" t="str">
        <f>'001'!D2085</f>
        <v>0115</v>
      </c>
      <c r="D2085" s="3" t="e">
        <f>'001'!H2085</f>
        <v>#VALUE!</v>
      </c>
    </row>
    <row r="2086" spans="1:4" x14ac:dyDescent="0.25">
      <c r="A2086" s="1" t="str">
        <f>'001'!B2086</f>
        <v>002934</v>
      </c>
      <c r="B2086" s="1" t="str">
        <f>'001'!C2086</f>
        <v>REPUESTO CANE PICO 1,8 MM (107502)</v>
      </c>
      <c r="C2086" s="1" t="str">
        <f>'001'!D2086</f>
        <v>0115</v>
      </c>
      <c r="D2086" s="3" t="e">
        <f>'001'!H2086</f>
        <v>#VALUE!</v>
      </c>
    </row>
    <row r="2087" spans="1:4" x14ac:dyDescent="0.25">
      <c r="A2087" s="1" t="str">
        <f>'001'!B2087</f>
        <v>002935</v>
      </c>
      <c r="B2087" s="1" t="str">
        <f>'001'!C2087</f>
        <v>REPUESTO CANE DIFUSOR DE AIRE (121022)</v>
      </c>
      <c r="C2087" s="1" t="str">
        <f>'001'!D2087</f>
        <v>0115</v>
      </c>
      <c r="D2087" s="3" t="e">
        <f>'001'!H2087</f>
        <v>#VALUE!</v>
      </c>
    </row>
    <row r="2088" spans="1:4" x14ac:dyDescent="0.25">
      <c r="A2088" s="1" t="str">
        <f>'001'!B2088</f>
        <v>002936</v>
      </c>
      <c r="B2088" s="1" t="str">
        <f>'001'!C2088</f>
        <v>REPUESTO CANE CUERPO (108501)</v>
      </c>
      <c r="C2088" s="1" t="str">
        <f>'001'!D2088</f>
        <v>0115</v>
      </c>
      <c r="D2088" s="3" t="e">
        <f>'001'!H2088</f>
        <v>#VALUE!</v>
      </c>
    </row>
    <row r="2089" spans="1:4" x14ac:dyDescent="0.25">
      <c r="A2089" s="1" t="str">
        <f>'001'!B2089</f>
        <v>002937</v>
      </c>
      <c r="B2089" s="1" t="str">
        <f>'001'!C2089</f>
        <v>REPUESTO CANE CUERPO REG.AIRE (121065)</v>
      </c>
      <c r="C2089" s="1" t="str">
        <f>'001'!D2089</f>
        <v>0115</v>
      </c>
      <c r="D2089" s="3" t="e">
        <f>'001'!H2089</f>
        <v>#VALUE!</v>
      </c>
    </row>
    <row r="2090" spans="1:4" x14ac:dyDescent="0.25">
      <c r="A2090" s="1" t="str">
        <f>'001'!B2090</f>
        <v>002938</v>
      </c>
      <c r="B2090" s="1" t="str">
        <f>'001'!C2090</f>
        <v>REPUESTO CANE PERILLA REG.AIRE (121058)</v>
      </c>
      <c r="C2090" s="1" t="str">
        <f>'001'!D2090</f>
        <v>0115</v>
      </c>
      <c r="D2090" s="3" t="e">
        <f>'001'!H2090</f>
        <v>#VALUE!</v>
      </c>
    </row>
    <row r="2091" spans="1:4" x14ac:dyDescent="0.25">
      <c r="A2091" s="1" t="str">
        <f>'001'!B2091</f>
        <v>002939</v>
      </c>
      <c r="B2091" s="1" t="str">
        <f>'001'!C2091</f>
        <v>REPUESTO CANE ANILLOSEEGER RS5X0,7 (121107)</v>
      </c>
      <c r="C2091" s="1" t="str">
        <f>'001'!D2091</f>
        <v>0115</v>
      </c>
      <c r="D2091" s="3" t="e">
        <f>'001'!H2091</f>
        <v>#VALUE!</v>
      </c>
    </row>
    <row r="2092" spans="1:4" x14ac:dyDescent="0.25">
      <c r="A2092" s="1" t="str">
        <f>'001'!B2092</f>
        <v>002940</v>
      </c>
      <c r="B2092" s="1" t="str">
        <f>'001'!C2092</f>
        <v>REPUESTO CANE EMPAQUETADURA (18017)</v>
      </c>
      <c r="C2092" s="1" t="str">
        <f>'001'!D2092</f>
        <v>0115</v>
      </c>
      <c r="D2092" s="3" t="e">
        <f>'001'!H2092</f>
        <v>#VALUE!</v>
      </c>
    </row>
    <row r="2093" spans="1:4" x14ac:dyDescent="0.25">
      <c r="A2093" s="1" t="str">
        <f>'001'!B2093</f>
        <v>002941</v>
      </c>
      <c r="B2093" s="1" t="str">
        <f>'001'!C2093</f>
        <v>REPUESTO CANE JUNTA (108007)</v>
      </c>
      <c r="C2093" s="1" t="str">
        <f>'001'!D2093</f>
        <v>0115</v>
      </c>
      <c r="D2093" s="3" t="e">
        <f>'001'!H2093</f>
        <v>#VALUE!</v>
      </c>
    </row>
    <row r="2094" spans="1:4" x14ac:dyDescent="0.25">
      <c r="A2094" s="1" t="str">
        <f>'001'!B2094</f>
        <v>002942</v>
      </c>
      <c r="B2094" s="1" t="str">
        <f>'001'!C2094</f>
        <v>REPUESTO CANE GUIA DE AGUJA (108006)</v>
      </c>
      <c r="C2094" s="1" t="str">
        <f>'001'!D2094</f>
        <v>0115</v>
      </c>
      <c r="D2094" s="3" t="e">
        <f>'001'!H2094</f>
        <v>#VALUE!</v>
      </c>
    </row>
    <row r="2095" spans="1:4" x14ac:dyDescent="0.25">
      <c r="A2095" s="1" t="str">
        <f>'001'!B2095</f>
        <v>002943</v>
      </c>
      <c r="B2095" s="1" t="str">
        <f>'001'!C2095</f>
        <v>REPUESTO CANE AGUJA (108505)</v>
      </c>
      <c r="C2095" s="1" t="str">
        <f>'001'!D2095</f>
        <v>0115</v>
      </c>
      <c r="D2095" s="3" t="e">
        <f>'001'!H2095</f>
        <v>#VALUE!</v>
      </c>
    </row>
    <row r="2096" spans="1:4" x14ac:dyDescent="0.25">
      <c r="A2096" s="1" t="str">
        <f>'001'!B2096</f>
        <v>002944</v>
      </c>
      <c r="B2096" s="1" t="str">
        <f>'001'!C2096</f>
        <v>REPUESTO CANE RESORTE DE AGUJA (108014)</v>
      </c>
      <c r="C2096" s="1" t="str">
        <f>'001'!D2096</f>
        <v>0115</v>
      </c>
      <c r="D2096" s="3" t="e">
        <f>'001'!H2096</f>
        <v>#VALUE!</v>
      </c>
    </row>
    <row r="2097" spans="1:4" x14ac:dyDescent="0.25">
      <c r="A2097" s="1" t="str">
        <f>'001'!B2097</f>
        <v>002945</v>
      </c>
      <c r="B2097" s="1" t="str">
        <f>'001'!C2097</f>
        <v>REPUESTO CANE PERILLA REG.PRODUCTO (107511)</v>
      </c>
      <c r="C2097" s="1" t="str">
        <f>'001'!D2097</f>
        <v>0115</v>
      </c>
      <c r="D2097" s="3" t="e">
        <f>'001'!H2097</f>
        <v>#VALUE!</v>
      </c>
    </row>
    <row r="2098" spans="1:4" x14ac:dyDescent="0.25">
      <c r="A2098" s="1" t="str">
        <f>'001'!B2098</f>
        <v>002946</v>
      </c>
      <c r="B2098" s="1" t="str">
        <f>'001'!C2098</f>
        <v>REPUESTO CANE TORNILLO PRENSAESTOPA (20707)</v>
      </c>
      <c r="C2098" s="1" t="str">
        <f>'001'!D2098</f>
        <v>0115</v>
      </c>
      <c r="D2098" s="3" t="e">
        <f>'001'!H2098</f>
        <v>#VALUE!</v>
      </c>
    </row>
    <row r="2099" spans="1:4" x14ac:dyDescent="0.25">
      <c r="A2099" s="1" t="str">
        <f>'001'!B2099</f>
        <v>002947</v>
      </c>
      <c r="B2099" s="1" t="str">
        <f>'001'!C2099</f>
        <v>REPUESTO CANE EMPAQUETADURA (3062)</v>
      </c>
      <c r="C2099" s="1" t="str">
        <f>'001'!D2099</f>
        <v>0115</v>
      </c>
      <c r="D2099" s="3" t="e">
        <f>'001'!H2099</f>
        <v>#VALUE!</v>
      </c>
    </row>
    <row r="2100" spans="1:4" x14ac:dyDescent="0.25">
      <c r="A2100" s="1" t="str">
        <f>'001'!B2100</f>
        <v>002948</v>
      </c>
      <c r="B2100" s="1" t="str">
        <f>'001'!C2100</f>
        <v>REPUESTO CANE CUERPO VALVULA AIRE (108145)</v>
      </c>
      <c r="C2100" s="1" t="str">
        <f>'001'!D2100</f>
        <v>0115</v>
      </c>
      <c r="D2100" s="3" t="e">
        <f>'001'!H2100</f>
        <v>#VALUE!</v>
      </c>
    </row>
    <row r="2101" spans="1:4" x14ac:dyDescent="0.25">
      <c r="A2101" s="1" t="str">
        <f>'001'!B2101</f>
        <v>002949</v>
      </c>
      <c r="B2101" s="1" t="str">
        <f>'001'!C2101</f>
        <v>REPUESTO CANE VASTAGO VALVULA AIRE (108149)</v>
      </c>
      <c r="C2101" s="1" t="str">
        <f>'001'!D2101</f>
        <v>0115</v>
      </c>
      <c r="D2101" s="3" t="e">
        <f>'001'!H2101</f>
        <v>#VALUE!</v>
      </c>
    </row>
    <row r="2102" spans="1:4" x14ac:dyDescent="0.25">
      <c r="A2102" s="1" t="str">
        <f>'001'!B2102</f>
        <v>002950</v>
      </c>
      <c r="B2102" s="1" t="str">
        <f>'001'!C2102</f>
        <v>REPUESTO CANE RESORTE VALVULA AIRE (108150)</v>
      </c>
      <c r="C2102" s="1" t="str">
        <f>'001'!D2102</f>
        <v>0115</v>
      </c>
      <c r="D2102" s="3" t="e">
        <f>'001'!H2102</f>
        <v>#VALUE!</v>
      </c>
    </row>
    <row r="2103" spans="1:4" x14ac:dyDescent="0.25">
      <c r="A2103" s="1" t="str">
        <f>'001'!B2103</f>
        <v>002951</v>
      </c>
      <c r="B2103" s="1" t="str">
        <f>'001'!C2103</f>
        <v>REPUESTO CANE ARANDELA DE CIERRE (108146)</v>
      </c>
      <c r="C2103" s="1" t="str">
        <f>'001'!D2103</f>
        <v>0115</v>
      </c>
      <c r="D2103" s="3" t="e">
        <f>'001'!H2103</f>
        <v>#VALUE!</v>
      </c>
    </row>
    <row r="2104" spans="1:4" x14ac:dyDescent="0.25">
      <c r="A2104" s="1" t="str">
        <f>'001'!B2104</f>
        <v>002952</v>
      </c>
      <c r="B2104" s="1" t="str">
        <f>'001'!C2104</f>
        <v>REPUESTO CANE VALVULA AIRE (108548)</v>
      </c>
      <c r="C2104" s="1" t="str">
        <f>'001'!D2104</f>
        <v>0115</v>
      </c>
      <c r="D2104" s="3" t="e">
        <f>'001'!H2104</f>
        <v>#VALUE!</v>
      </c>
    </row>
    <row r="2105" spans="1:4" x14ac:dyDescent="0.25">
      <c r="A2105" s="1" t="str">
        <f>'001'!B2105</f>
        <v>002953</v>
      </c>
      <c r="B2105" s="1" t="str">
        <f>'001'!C2105</f>
        <v>REPUESTO CANE PASADOR DEL GATILLO (108524)</v>
      </c>
      <c r="C2105" s="1" t="str">
        <f>'001'!D2105</f>
        <v>0115</v>
      </c>
      <c r="D2105" s="3" t="e">
        <f>'001'!H2105</f>
        <v>#VALUE!</v>
      </c>
    </row>
    <row r="2106" spans="1:4" x14ac:dyDescent="0.25">
      <c r="A2106" s="1" t="str">
        <f>'001'!B2106</f>
        <v>002954</v>
      </c>
      <c r="B2106" s="1" t="str">
        <f>'001'!C2106</f>
        <v>REPUESTO CANE GATILLO (108023)</v>
      </c>
      <c r="C2106" s="1" t="str">
        <f>'001'!D2106</f>
        <v>0115</v>
      </c>
      <c r="D2106" s="3" t="e">
        <f>'001'!H2106</f>
        <v>#VALUE!</v>
      </c>
    </row>
    <row r="2107" spans="1:4" x14ac:dyDescent="0.25">
      <c r="A2107" s="1" t="str">
        <f>'001'!B2107</f>
        <v>002955</v>
      </c>
      <c r="B2107" s="1" t="str">
        <f>'001'!C2107</f>
        <v>REPUESTO CANE REGULADOR CAUDAL (125100)</v>
      </c>
      <c r="C2107" s="1" t="str">
        <f>'001'!D2107</f>
        <v>0115</v>
      </c>
      <c r="D2107" s="3" t="e">
        <f>'001'!H2107</f>
        <v>#VALUE!</v>
      </c>
    </row>
    <row r="2108" spans="1:4" x14ac:dyDescent="0.25">
      <c r="A2108" s="1" t="str">
        <f>'001'!B2108</f>
        <v>002956</v>
      </c>
      <c r="B2108" s="1" t="str">
        <f>'001'!C2108</f>
        <v>REPUESTO CANE TUBO SUCCION (146102)</v>
      </c>
      <c r="C2108" s="1" t="str">
        <f>'001'!D2108</f>
        <v>0115</v>
      </c>
      <c r="D2108" s="3" t="e">
        <f>'001'!H2108</f>
        <v>#VALUE!</v>
      </c>
    </row>
    <row r="2109" spans="1:4" x14ac:dyDescent="0.25">
      <c r="A2109" s="1" t="str">
        <f>'001'!B2109</f>
        <v>002957</v>
      </c>
      <c r="B2109" s="1" t="str">
        <f>'001'!C2109</f>
        <v>REPUESTO CANE TUBO SUCCION (121027)</v>
      </c>
      <c r="C2109" s="1" t="str">
        <f>'001'!D2109</f>
        <v>0115</v>
      </c>
      <c r="D2109" s="3" t="e">
        <f>'001'!H2109</f>
        <v>#VALUE!</v>
      </c>
    </row>
    <row r="2110" spans="1:4" x14ac:dyDescent="0.25">
      <c r="A2110" s="1" t="str">
        <f>'001'!B2110</f>
        <v>002958</v>
      </c>
      <c r="B2110" s="1" t="str">
        <f>'001'!C2110</f>
        <v>REPUESTO CANE TRAVESAÏ¿½O (126031)</v>
      </c>
      <c r="C2110" s="1" t="str">
        <f>'001'!D2110</f>
        <v>0115</v>
      </c>
      <c r="D2110" s="3" t="e">
        <f>'001'!H2110</f>
        <v>#VALUE!</v>
      </c>
    </row>
    <row r="2111" spans="1:4" x14ac:dyDescent="0.25">
      <c r="A2111" s="1" t="str">
        <f>'001'!B2111</f>
        <v>002959</v>
      </c>
      <c r="B2111" s="1" t="str">
        <f>'001'!C2111</f>
        <v>REPUESTO CANE ARANDELA FRICCION (126039)</v>
      </c>
      <c r="C2111" s="1" t="str">
        <f>'001'!D2111</f>
        <v>0115</v>
      </c>
      <c r="D2111" s="3" t="e">
        <f>'001'!H2111</f>
        <v>#VALUE!</v>
      </c>
    </row>
    <row r="2112" spans="1:4" x14ac:dyDescent="0.25">
      <c r="A2112" s="1" t="str">
        <f>'001'!B2112</f>
        <v>002960</v>
      </c>
      <c r="B2112" s="1" t="str">
        <f>'001'!C2112</f>
        <v>REPUESTO CANE LEVA DE CIERRE RAPIDO (126032)</v>
      </c>
      <c r="C2112" s="1" t="str">
        <f>'001'!D2112</f>
        <v>0115</v>
      </c>
      <c r="D2112" s="3" t="e">
        <f>'001'!H2112</f>
        <v>#VALUE!</v>
      </c>
    </row>
    <row r="2113" spans="1:4" x14ac:dyDescent="0.25">
      <c r="A2113" s="1" t="str">
        <f>'001'!B2113</f>
        <v>002961</v>
      </c>
      <c r="B2113" s="1" t="str">
        <f>'001'!C2113</f>
        <v>REPUESTO CANE TAPA DE TAZA (126033)</v>
      </c>
      <c r="C2113" s="1" t="str">
        <f>'001'!D2113</f>
        <v>0115</v>
      </c>
      <c r="D2113" s="3" t="e">
        <f>'001'!H2113</f>
        <v>#VALUE!</v>
      </c>
    </row>
    <row r="2114" spans="1:4" x14ac:dyDescent="0.25">
      <c r="A2114" s="1" t="str">
        <f>'001'!B2114</f>
        <v>002962</v>
      </c>
      <c r="B2114" s="1" t="str">
        <f>'001'!C2114</f>
        <v>REPUESTO CANE JUNTA DE TAPA (6035)</v>
      </c>
      <c r="C2114" s="1" t="str">
        <f>'001'!D2114</f>
        <v>0115</v>
      </c>
      <c r="D2114" s="3" t="e">
        <f>'001'!H2114</f>
        <v>#VALUE!</v>
      </c>
    </row>
    <row r="2115" spans="1:4" x14ac:dyDescent="0.25">
      <c r="A2115" s="1" t="str">
        <f>'001'!B2115</f>
        <v>002963</v>
      </c>
      <c r="B2115" s="1" t="str">
        <f>'001'!C2115</f>
        <v>REPUESTO CANE TUERCA TUBO SUCCION (6034)</v>
      </c>
      <c r="C2115" s="1" t="str">
        <f>'001'!D2115</f>
        <v>0115</v>
      </c>
      <c r="D2115" s="3" t="e">
        <f>'001'!H2115</f>
        <v>#VALUE!</v>
      </c>
    </row>
    <row r="2116" spans="1:4" x14ac:dyDescent="0.25">
      <c r="A2116" s="1" t="str">
        <f>'001'!B2116</f>
        <v>002964</v>
      </c>
      <c r="B2116" s="1" t="str">
        <f>'001'!C2116</f>
        <v>REPUESTO CANE ARANDELA ANTIGOTEO (121025)</v>
      </c>
      <c r="C2116" s="1" t="str">
        <f>'001'!D2116</f>
        <v>0115</v>
      </c>
      <c r="D2116" s="3" t="e">
        <f>'001'!H2116</f>
        <v>#VALUE!</v>
      </c>
    </row>
    <row r="2117" spans="1:4" x14ac:dyDescent="0.25">
      <c r="A2117" s="1" t="str">
        <f>'001'!B2117</f>
        <v>002965</v>
      </c>
      <c r="B2117" s="1" t="str">
        <f>'001'!C2117</f>
        <v>REPUESTO CANE TAPA Y TUBO SUCCION (146107)</v>
      </c>
      <c r="C2117" s="1" t="str">
        <f>'001'!D2117</f>
        <v>0115</v>
      </c>
      <c r="D2117" s="3" t="e">
        <f>'001'!H2117</f>
        <v>#VALUE!</v>
      </c>
    </row>
    <row r="2118" spans="1:4" x14ac:dyDescent="0.25">
      <c r="A2118" s="1" t="str">
        <f>'001'!B2118</f>
        <v>002966</v>
      </c>
      <c r="B2118" s="1" t="str">
        <f>'001'!C2118</f>
        <v>REPUESTO CANE TAZA (6036)</v>
      </c>
      <c r="C2118" s="1" t="str">
        <f>'001'!D2118</f>
        <v>0115</v>
      </c>
      <c r="D2118" s="3" t="e">
        <f>'001'!H2118</f>
        <v>#VALUE!</v>
      </c>
    </row>
    <row r="2119" spans="1:4" x14ac:dyDescent="0.25">
      <c r="A2119" s="1" t="str">
        <f>'001'!B2119</f>
        <v>002967</v>
      </c>
      <c r="B2119" s="1" t="str">
        <f>'001'!C2119</f>
        <v>REPUESTO CANE FILTRO P/PINTURA (121033)</v>
      </c>
      <c r="C2119" s="1" t="str">
        <f>'001'!D2119</f>
        <v>0115</v>
      </c>
      <c r="D2119" s="3" t="e">
        <f>'001'!H2119</f>
        <v>#VALUE!</v>
      </c>
    </row>
    <row r="2120" spans="1:4" x14ac:dyDescent="0.25">
      <c r="A2120" s="1" t="str">
        <f>'001'!B2120</f>
        <v>002968</v>
      </c>
      <c r="B2120" s="1" t="str">
        <f>'001'!C2120</f>
        <v>ESMALTE EPOXI ALBA MULTIPROPOSITO BLANCO X 1</v>
      </c>
      <c r="C2120" s="1" t="str">
        <f>'001'!D2120</f>
        <v>0112</v>
      </c>
      <c r="D2120" s="3" t="e">
        <f>'001'!H2120</f>
        <v>#VALUE!</v>
      </c>
    </row>
    <row r="2121" spans="1:4" x14ac:dyDescent="0.25">
      <c r="A2121" s="1" t="str">
        <f>'001'!B2121</f>
        <v>002969</v>
      </c>
      <c r="B2121" s="1" t="str">
        <f>'001'!C2121</f>
        <v>ESMALTE EPOXI ALBA MULTIPROPOSITO BLANCO X 4</v>
      </c>
      <c r="C2121" s="1" t="str">
        <f>'001'!D2121</f>
        <v>0112</v>
      </c>
      <c r="D2121" s="3" t="e">
        <f>'001'!H2121</f>
        <v>#VALUE!</v>
      </c>
    </row>
    <row r="2122" spans="1:4" x14ac:dyDescent="0.25">
      <c r="A2122" s="1" t="str">
        <f>'001'!B2122</f>
        <v>002970</v>
      </c>
      <c r="B2122" s="1" t="str">
        <f>'001'!C2122</f>
        <v>ESMALTE EPOXI ALBA MULTIPROPOSITO NEGRO X 1</v>
      </c>
      <c r="C2122" s="1" t="str">
        <f>'001'!D2122</f>
        <v>0112</v>
      </c>
      <c r="D2122" s="3" t="e">
        <f>'001'!H2122</f>
        <v>#VALUE!</v>
      </c>
    </row>
    <row r="2123" spans="1:4" x14ac:dyDescent="0.25">
      <c r="A2123" s="1" t="str">
        <f>'001'!B2123</f>
        <v>002971</v>
      </c>
      <c r="B2123" s="1" t="str">
        <f>'001'!C2123</f>
        <v>ESMALTE EPOXI ALBA MULTIPROPOSITO NEGRO X 4</v>
      </c>
      <c r="C2123" s="1" t="str">
        <f>'001'!D2123</f>
        <v>0112</v>
      </c>
      <c r="D2123" s="3" t="e">
        <f>'001'!H2123</f>
        <v>#VALUE!</v>
      </c>
    </row>
    <row r="2124" spans="1:4" x14ac:dyDescent="0.25">
      <c r="A2124" s="1" t="str">
        <f>'001'!B2124</f>
        <v>002972</v>
      </c>
      <c r="B2124" s="1" t="str">
        <f>'001'!C2124</f>
        <v>ESMALTE EPOXI ALBA MULTIPROPOSITO BERMELLON X 1</v>
      </c>
      <c r="C2124" s="1" t="str">
        <f>'001'!D2124</f>
        <v>0112</v>
      </c>
      <c r="D2124" s="3" t="e">
        <f>'001'!H2124</f>
        <v>#VALUE!</v>
      </c>
    </row>
    <row r="2125" spans="1:4" x14ac:dyDescent="0.25">
      <c r="A2125" s="1" t="str">
        <f>'001'!B2125</f>
        <v>002973</v>
      </c>
      <c r="B2125" s="1" t="str">
        <f>'001'!C2125</f>
        <v>ESMALTE EPOXI ALBA MULTIPROPOSITO BERMELLON X 4</v>
      </c>
      <c r="C2125" s="1" t="str">
        <f>'001'!D2125</f>
        <v>0112</v>
      </c>
      <c r="D2125" s="3" t="e">
        <f>'001'!H2125</f>
        <v>#VALUE!</v>
      </c>
    </row>
    <row r="2126" spans="1:4" x14ac:dyDescent="0.25">
      <c r="A2126" s="1" t="str">
        <f>'001'!B2126</f>
        <v>002974</v>
      </c>
      <c r="B2126" s="1" t="str">
        <f>'001'!C2126</f>
        <v>ESMALTE EPOXI ALBA MULTIPROPOSITO VERDE X 1</v>
      </c>
      <c r="C2126" s="1" t="str">
        <f>'001'!D2126</f>
        <v>0112</v>
      </c>
      <c r="D2126" s="3" t="e">
        <f>'001'!H2126</f>
        <v>#VALUE!</v>
      </c>
    </row>
    <row r="2127" spans="1:4" x14ac:dyDescent="0.25">
      <c r="A2127" s="1" t="str">
        <f>'001'!B2127</f>
        <v>002975</v>
      </c>
      <c r="B2127" s="1" t="str">
        <f>'001'!C2127</f>
        <v>ESMALTE EPOXI ALBA MULTIPROPOSITO VERDE X 4</v>
      </c>
      <c r="C2127" s="1" t="str">
        <f>'001'!D2127</f>
        <v>0112</v>
      </c>
      <c r="D2127" s="3" t="e">
        <f>'001'!H2127</f>
        <v>#VALUE!</v>
      </c>
    </row>
    <row r="2128" spans="1:4" x14ac:dyDescent="0.25">
      <c r="A2128" s="1" t="str">
        <f>'001'!B2128</f>
        <v>002976</v>
      </c>
      <c r="B2128" s="1" t="str">
        <f>'001'!C2128</f>
        <v>ESMALTE EPOXI ALBA MULTIPROPOSITO GRIS HIELO X 1</v>
      </c>
      <c r="C2128" s="1" t="str">
        <f>'001'!D2128</f>
        <v>0112</v>
      </c>
      <c r="D2128" s="3" t="e">
        <f>'001'!H2128</f>
        <v>#VALUE!</v>
      </c>
    </row>
    <row r="2129" spans="1:4" x14ac:dyDescent="0.25">
      <c r="A2129" s="1" t="str">
        <f>'001'!B2129</f>
        <v>002977</v>
      </c>
      <c r="B2129" s="1" t="str">
        <f>'001'!C2129</f>
        <v>ESMALTE EPOXI ALBA MULTIPROPOSITO GRIS HIELO X 4</v>
      </c>
      <c r="C2129" s="1" t="str">
        <f>'001'!D2129</f>
        <v>0112</v>
      </c>
      <c r="D2129" s="3" t="e">
        <f>'001'!H2129</f>
        <v>#VALUE!</v>
      </c>
    </row>
    <row r="2130" spans="1:4" x14ac:dyDescent="0.25">
      <c r="A2130" s="1" t="str">
        <f>'001'!B2130</f>
        <v>002978</v>
      </c>
      <c r="B2130" s="1" t="str">
        <f>'001'!C2130</f>
        <v>EQUIPO PARA PINTAR ADIABATIC EC.2000</v>
      </c>
      <c r="C2130" s="1" t="str">
        <f>'001'!D2130</f>
        <v>0104</v>
      </c>
      <c r="D2130" s="3" t="e">
        <f>'001'!H2130</f>
        <v>#VALUE!</v>
      </c>
    </row>
    <row r="2131" spans="1:4" x14ac:dyDescent="0.25">
      <c r="A2131" s="1" t="str">
        <f>'001'!B2131</f>
        <v>002979</v>
      </c>
      <c r="B2131" s="1" t="str">
        <f>'001'!C2131</f>
        <v>EQUIPO PARA PINTAR ADIABATIC EC.3000</v>
      </c>
      <c r="C2131" s="1" t="str">
        <f>'001'!D2131</f>
        <v>0104</v>
      </c>
      <c r="D2131" s="3" t="e">
        <f>'001'!H2131</f>
        <v>#VALUE!</v>
      </c>
    </row>
    <row r="2132" spans="1:4" x14ac:dyDescent="0.25">
      <c r="A2132" s="1" t="str">
        <f>'001'!B2132</f>
        <v>002981</v>
      </c>
      <c r="B2132" s="1" t="str">
        <f>'001'!C2132</f>
        <v>LATEX EXTERIOR TERSUAVE LAVABLE AMARILLO X 20</v>
      </c>
      <c r="C2132" s="1" t="str">
        <f>'001'!D2132</f>
        <v>0152</v>
      </c>
      <c r="D2132" s="3" t="e">
        <f>'001'!H2132</f>
        <v>#VALUE!</v>
      </c>
    </row>
    <row r="2133" spans="1:4" x14ac:dyDescent="0.25">
      <c r="A2133" s="1" t="str">
        <f>'001'!B2133</f>
        <v>002982</v>
      </c>
      <c r="B2133" s="1" t="str">
        <f>'001'!C2133</f>
        <v>LATEX EXTERIOR TERSUAVE LAVABLE AZUL CIELO X 20</v>
      </c>
      <c r="C2133" s="1" t="str">
        <f>'001'!D2133</f>
        <v>0152</v>
      </c>
      <c r="D2133" s="3" t="e">
        <f>'001'!H2133</f>
        <v>#VALUE!</v>
      </c>
    </row>
    <row r="2134" spans="1:4" x14ac:dyDescent="0.25">
      <c r="A2134" s="1" t="str">
        <f>'001'!B2134</f>
        <v>002983</v>
      </c>
      <c r="B2134" s="1" t="str">
        <f>'001'!C2134</f>
        <v>LATEX EXTERIOR TERSUAVE LAVABLE AZUL TRAFUL X 20</v>
      </c>
      <c r="C2134" s="1" t="str">
        <f>'001'!D2134</f>
        <v>0152</v>
      </c>
      <c r="D2134" s="3" t="e">
        <f>'001'!H2134</f>
        <v>#VALUE!</v>
      </c>
    </row>
    <row r="2135" spans="1:4" x14ac:dyDescent="0.25">
      <c r="A2135" s="1" t="str">
        <f>'001'!B2135</f>
        <v>002984</v>
      </c>
      <c r="B2135" s="1" t="str">
        <f>'001'!C2135</f>
        <v>LATEX EXTERIOR TERSUAVE LAVABLE BERMELLON X 20</v>
      </c>
      <c r="C2135" s="1" t="str">
        <f>'001'!D2135</f>
        <v>0152</v>
      </c>
      <c r="D2135" s="3" t="e">
        <f>'001'!H2135</f>
        <v>#VALUE!</v>
      </c>
    </row>
    <row r="2136" spans="1:4" x14ac:dyDescent="0.25">
      <c r="A2136" s="1" t="str">
        <f>'001'!B2136</f>
        <v>002985</v>
      </c>
      <c r="B2136" s="1" t="str">
        <f>'001'!C2136</f>
        <v>LATEX EXTERIOR TERSUAVE LAVABLE CHOCOLATE X 20</v>
      </c>
      <c r="C2136" s="1" t="str">
        <f>'001'!D2136</f>
        <v>0152</v>
      </c>
      <c r="D2136" s="3" t="e">
        <f>'001'!H2136</f>
        <v>#VALUE!</v>
      </c>
    </row>
    <row r="2137" spans="1:4" x14ac:dyDescent="0.25">
      <c r="A2137" s="1" t="str">
        <f>'001'!B2137</f>
        <v>002986</v>
      </c>
      <c r="B2137" s="1" t="str">
        <f>'001'!C2137</f>
        <v>LATEX EXTERIOR TERSUAVE LAVABLE GRIS ACERO X 20</v>
      </c>
      <c r="C2137" s="1" t="str">
        <f>'001'!D2137</f>
        <v>0152</v>
      </c>
      <c r="D2137" s="3" t="e">
        <f>'001'!H2137</f>
        <v>#VALUE!</v>
      </c>
    </row>
    <row r="2138" spans="1:4" x14ac:dyDescent="0.25">
      <c r="A2138" s="1" t="str">
        <f>'001'!B2138</f>
        <v>002987</v>
      </c>
      <c r="B2138" s="1" t="str">
        <f>'001'!C2138</f>
        <v>LATEX EXTERIOR TERSUAVE LAVABLE GRIS CEMENTO X 20</v>
      </c>
      <c r="C2138" s="1" t="str">
        <f>'001'!D2138</f>
        <v>0152</v>
      </c>
      <c r="D2138" s="3" t="e">
        <f>'001'!H2138</f>
        <v>#VALUE!</v>
      </c>
    </row>
    <row r="2139" spans="1:4" x14ac:dyDescent="0.25">
      <c r="A2139" s="1" t="str">
        <f>'001'!B2139</f>
        <v>002988</v>
      </c>
      <c r="B2139" s="1" t="str">
        <f>'001'!C2139</f>
        <v>LATEX EXTERIOR TERSUAVE LAVABLE MARRON AFRICANO X 20</v>
      </c>
      <c r="C2139" s="1" t="str">
        <f>'001'!D2139</f>
        <v>0152</v>
      </c>
      <c r="D2139" s="3" t="e">
        <f>'001'!H2139</f>
        <v>#VALUE!</v>
      </c>
    </row>
    <row r="2140" spans="1:4" x14ac:dyDescent="0.25">
      <c r="A2140" s="1" t="str">
        <f>'001'!B2140</f>
        <v>002989</v>
      </c>
      <c r="B2140" s="1" t="str">
        <f>'001'!C2140</f>
        <v>LATEX EXTERIOR TERSUAVE LAVABLE NEGRO EBANO X 20</v>
      </c>
      <c r="C2140" s="1" t="str">
        <f>'001'!D2140</f>
        <v>0152</v>
      </c>
      <c r="D2140" s="3" t="e">
        <f>'001'!H2140</f>
        <v>#VALUE!</v>
      </c>
    </row>
    <row r="2141" spans="1:4" x14ac:dyDescent="0.25">
      <c r="A2141" s="1" t="str">
        <f>'001'!B2141</f>
        <v>002990</v>
      </c>
      <c r="B2141" s="1" t="str">
        <f>'001'!C2141</f>
        <v>LATEX EXTERIOR TERSUAVE LAVABLE OCRE X 20</v>
      </c>
      <c r="C2141" s="1" t="str">
        <f>'001'!D2141</f>
        <v>0152</v>
      </c>
      <c r="D2141" s="3" t="e">
        <f>'001'!H2141</f>
        <v>#VALUE!</v>
      </c>
    </row>
    <row r="2142" spans="1:4" x14ac:dyDescent="0.25">
      <c r="A2142" s="1" t="str">
        <f>'001'!B2142</f>
        <v>002991</v>
      </c>
      <c r="B2142" s="1" t="str">
        <f>'001'!C2142</f>
        <v>LATEX EXTERIOR TERSUAVE LAVABLE ROJO BORGOGNA X 20</v>
      </c>
      <c r="C2142" s="1" t="str">
        <f>'001'!D2142</f>
        <v>0152</v>
      </c>
      <c r="D2142" s="3" t="e">
        <f>'001'!H2142</f>
        <v>#VALUE!</v>
      </c>
    </row>
    <row r="2143" spans="1:4" x14ac:dyDescent="0.25">
      <c r="A2143" s="1" t="str">
        <f>'001'!B2143</f>
        <v>002992</v>
      </c>
      <c r="B2143" s="1" t="str">
        <f>'001'!C2143</f>
        <v>LATEX EXTERIOR TERSUAVE LAVABLE ROJO TEJA X 20</v>
      </c>
      <c r="C2143" s="1" t="str">
        <f>'001'!D2143</f>
        <v>0152</v>
      </c>
      <c r="D2143" s="3" t="e">
        <f>'001'!H2143</f>
        <v>#VALUE!</v>
      </c>
    </row>
    <row r="2144" spans="1:4" x14ac:dyDescent="0.25">
      <c r="A2144" s="1" t="str">
        <f>'001'!B2144</f>
        <v>002993</v>
      </c>
      <c r="B2144" s="1" t="str">
        <f>'001'!C2144</f>
        <v>LATEX EXTERIOR TERSUAVE LAVABLE ROSA VIEJO X 20</v>
      </c>
      <c r="C2144" s="1" t="str">
        <f>'001'!D2144</f>
        <v>0152</v>
      </c>
      <c r="D2144" s="3" t="e">
        <f>'001'!H2144</f>
        <v>#VALUE!</v>
      </c>
    </row>
    <row r="2145" spans="1:4" x14ac:dyDescent="0.25">
      <c r="A2145" s="1" t="str">
        <f>'001'!B2145</f>
        <v>002994</v>
      </c>
      <c r="B2145" s="1" t="str">
        <f>'001'!C2145</f>
        <v>LATEX EXTERIOR TERSUAVE LAVABLE VERDE FORESTA X 20</v>
      </c>
      <c r="C2145" s="1" t="str">
        <f>'001'!D2145</f>
        <v>0152</v>
      </c>
      <c r="D2145" s="3" t="e">
        <f>'001'!H2145</f>
        <v>#VALUE!</v>
      </c>
    </row>
    <row r="2146" spans="1:4" x14ac:dyDescent="0.25">
      <c r="A2146" s="1" t="str">
        <f>'001'!B2146</f>
        <v>002995</v>
      </c>
      <c r="B2146" s="1" t="str">
        <f>'001'!C2146</f>
        <v>LATEX EXTERIOR TERSUAVE LAVABLE VERDE SAFARI X 20</v>
      </c>
      <c r="C2146" s="1" t="str">
        <f>'001'!D2146</f>
        <v>0152</v>
      </c>
      <c r="D2146" s="3" t="e">
        <f>'001'!H2146</f>
        <v>#VALUE!</v>
      </c>
    </row>
    <row r="2147" spans="1:4" x14ac:dyDescent="0.25">
      <c r="A2147" s="1" t="str">
        <f>'001'!B2147</f>
        <v>002996</v>
      </c>
      <c r="B2147" s="1" t="str">
        <f>'001'!C2147</f>
        <v>LATEX EXTERIOR TERSUAVE LAVABLE VIOLETA DEL SUR X 20</v>
      </c>
      <c r="C2147" s="1" t="str">
        <f>'001'!D2147</f>
        <v>0152</v>
      </c>
      <c r="D2147" s="3" t="e">
        <f>'001'!H2147</f>
        <v>#VALUE!</v>
      </c>
    </row>
    <row r="2148" spans="1:4" x14ac:dyDescent="0.25">
      <c r="A2148" s="1" t="str">
        <f>'001'!B2148</f>
        <v>002997</v>
      </c>
      <c r="B2148" s="1" t="str">
        <f>'001'!C2148</f>
        <v>ESMALTE SINTETICO ALBALUX 2EN1 FORJA GRIS X 1</v>
      </c>
      <c r="C2148" s="1" t="str">
        <f>'001'!D2148</f>
        <v>0107</v>
      </c>
      <c r="D2148" s="3" t="e">
        <f>'001'!H2148</f>
        <v>#VALUE!</v>
      </c>
    </row>
    <row r="2149" spans="1:4" x14ac:dyDescent="0.25">
      <c r="A2149" s="1" t="str">
        <f>'001'!B2149</f>
        <v>002998</v>
      </c>
      <c r="B2149" s="1" t="str">
        <f>'001'!C2149</f>
        <v>ESMALTE SINTETICO ALBALUX 2EN1 FORJA GRIS X 4</v>
      </c>
      <c r="C2149" s="1" t="str">
        <f>'001'!D2149</f>
        <v>0107</v>
      </c>
      <c r="D2149" s="3" t="e">
        <f>'001'!H2149</f>
        <v>#VALUE!</v>
      </c>
    </row>
    <row r="2150" spans="1:4" x14ac:dyDescent="0.25">
      <c r="A2150" s="1" t="str">
        <f>'001'!B2150</f>
        <v>002999</v>
      </c>
      <c r="B2150" s="1" t="str">
        <f>'001'!C2150</f>
        <v>ESMALTE SINTETICO ALBALUX 2EN1 FORJA NEGRO X 1</v>
      </c>
      <c r="C2150" s="1" t="str">
        <f>'001'!D2150</f>
        <v>0107</v>
      </c>
      <c r="D2150" s="3" t="e">
        <f>'001'!H2150</f>
        <v>#VALUE!</v>
      </c>
    </row>
    <row r="2151" spans="1:4" x14ac:dyDescent="0.25">
      <c r="A2151" s="1" t="str">
        <f>'001'!B2151</f>
        <v>003000</v>
      </c>
      <c r="B2151" s="1" t="str">
        <f>'001'!C2151</f>
        <v>ESMALTE SINTETICO ALBALUX 2EN1 FORJA NEGRO X 4</v>
      </c>
      <c r="C2151" s="1" t="str">
        <f>'001'!D2151</f>
        <v>0107</v>
      </c>
      <c r="D2151" s="3" t="e">
        <f>'001'!H2151</f>
        <v>#VALUE!</v>
      </c>
    </row>
    <row r="2152" spans="1:4" x14ac:dyDescent="0.25">
      <c r="A2152" s="1" t="str">
        <f>'001'!B2152</f>
        <v>003001</v>
      </c>
      <c r="B2152" s="1" t="str">
        <f>'001'!C2152</f>
        <v>ESMALTE SINTETICO ALBALUX 2EN1 MARTILLADO GRIS X 1</v>
      </c>
      <c r="C2152" s="1" t="str">
        <f>'001'!D2152</f>
        <v>0107</v>
      </c>
      <c r="D2152" s="3" t="e">
        <f>'001'!H2152</f>
        <v>#VALUE!</v>
      </c>
    </row>
    <row r="2153" spans="1:4" x14ac:dyDescent="0.25">
      <c r="A2153" s="1" t="str">
        <f>'001'!B2153</f>
        <v>003002</v>
      </c>
      <c r="B2153" s="1" t="str">
        <f>'001'!C2153</f>
        <v>ESMALTE SINTETICO ALBALUX 2EN1 MARTILLADO GRIS X 4</v>
      </c>
      <c r="C2153" s="1" t="str">
        <f>'001'!D2153</f>
        <v>0107</v>
      </c>
      <c r="D2153" s="3" t="e">
        <f>'001'!H2153</f>
        <v>#VALUE!</v>
      </c>
    </row>
    <row r="2154" spans="1:4" x14ac:dyDescent="0.25">
      <c r="A2154" s="1" t="str">
        <f>'001'!B2154</f>
        <v>003003</v>
      </c>
      <c r="B2154" s="1" t="str">
        <f>'001'!C2154</f>
        <v>ESMALTE SINTETICO ALBALUX 2EN1 MARTILLADO GRIS PLATA X 1</v>
      </c>
      <c r="C2154" s="1" t="str">
        <f>'001'!D2154</f>
        <v>0107</v>
      </c>
      <c r="D2154" s="3" t="e">
        <f>'001'!H2154</f>
        <v>#VALUE!</v>
      </c>
    </row>
    <row r="2155" spans="1:4" x14ac:dyDescent="0.25">
      <c r="A2155" s="1" t="str">
        <f>'001'!B2155</f>
        <v>003004</v>
      </c>
      <c r="B2155" s="1" t="str">
        <f>'001'!C2155</f>
        <v>ESMALTE SINTETICO ALBALUX 2EN1 MARTILLADO GRIS PLATA X 4</v>
      </c>
      <c r="C2155" s="1" t="str">
        <f>'001'!D2155</f>
        <v>0107</v>
      </c>
      <c r="D2155" s="3" t="e">
        <f>'001'!H2155</f>
        <v>#VALUE!</v>
      </c>
    </row>
    <row r="2156" spans="1:4" x14ac:dyDescent="0.25">
      <c r="A2156" s="1" t="str">
        <f>'001'!B2156</f>
        <v>003005</v>
      </c>
      <c r="B2156" s="1" t="str">
        <f>'001'!C2156</f>
        <v>ESMALTE SINTETICO ALBALUX 2EN1 MARTILLADO NEGRO X 1</v>
      </c>
      <c r="C2156" s="1" t="str">
        <f>'001'!D2156</f>
        <v>0107</v>
      </c>
      <c r="D2156" s="3" t="e">
        <f>'001'!H2156</f>
        <v>#VALUE!</v>
      </c>
    </row>
    <row r="2157" spans="1:4" x14ac:dyDescent="0.25">
      <c r="A2157" s="1" t="str">
        <f>'001'!B2157</f>
        <v>003006</v>
      </c>
      <c r="B2157" s="1" t="str">
        <f>'001'!C2157</f>
        <v>ESMALTE SINTETICO ALBALUX 2EN1 MARTILLADO NEGRO X 4</v>
      </c>
      <c r="C2157" s="1" t="str">
        <f>'001'!D2157</f>
        <v>0107</v>
      </c>
      <c r="D2157" s="3" t="e">
        <f>'001'!H2157</f>
        <v>#VALUE!</v>
      </c>
    </row>
    <row r="2158" spans="1:4" x14ac:dyDescent="0.25">
      <c r="A2158" s="1" t="str">
        <f>'001'!B2158</f>
        <v>003013</v>
      </c>
      <c r="B2158" s="1" t="str">
        <f>'001'!C2158</f>
        <v>PINTURA PARA PILETA TERSUAVE AL AGUA AZUL X  1</v>
      </c>
      <c r="C2158" s="1" t="str">
        <f>'001'!D2158</f>
        <v>0152</v>
      </c>
      <c r="D2158" s="3" t="e">
        <f>'001'!H2158</f>
        <v>#VALUE!</v>
      </c>
    </row>
    <row r="2159" spans="1:4" x14ac:dyDescent="0.25">
      <c r="A2159" s="1" t="str">
        <f>'001'!B2159</f>
        <v>003015</v>
      </c>
      <c r="B2159" s="1" t="str">
        <f>'001'!C2159</f>
        <v>PINTURA PARA PILETA TERSUAVE AL AGUA AZUL X  4</v>
      </c>
      <c r="C2159" s="1" t="str">
        <f>'001'!D2159</f>
        <v>0152</v>
      </c>
      <c r="D2159" s="3" t="e">
        <f>'001'!H2159</f>
        <v>#VALUE!</v>
      </c>
    </row>
    <row r="2160" spans="1:4" x14ac:dyDescent="0.25">
      <c r="A2160" s="1" t="str">
        <f>'001'!B2160</f>
        <v>003016</v>
      </c>
      <c r="B2160" s="1" t="str">
        <f>'001'!C2160</f>
        <v>ANTEOJO ROGUANT LIBUS ECOLINE INCOLORO(200452)</v>
      </c>
      <c r="C2160" s="1" t="str">
        <f>'001'!D2160</f>
        <v>0143</v>
      </c>
      <c r="D2160" s="3" t="e">
        <f>'001'!H2160</f>
        <v>#VALUE!</v>
      </c>
    </row>
    <row r="2161" spans="1:4" x14ac:dyDescent="0.25">
      <c r="A2161" s="1" t="str">
        <f>'001'!B2161</f>
        <v>003017</v>
      </c>
      <c r="B2161" s="1" t="str">
        <f>'001'!C2161</f>
        <v>ANTEOJO ROGUANT LIBUS ECOLINE GRIS(200450)</v>
      </c>
      <c r="C2161" s="1" t="str">
        <f>'001'!D2161</f>
        <v>0143</v>
      </c>
      <c r="D2161" s="3" t="e">
        <f>'001'!H2161</f>
        <v>#VALUE!</v>
      </c>
    </row>
    <row r="2162" spans="1:4" x14ac:dyDescent="0.25">
      <c r="A2162" s="1" t="str">
        <f>'001'!B2162</f>
        <v>003018</v>
      </c>
      <c r="B2162" s="1" t="str">
        <f>'001'!C2162</f>
        <v>ANTEOJO ROGUANT KORT GRIS HC(207602)(LIBUS ARGON)</v>
      </c>
      <c r="C2162" s="1" t="str">
        <f>'001'!D2162</f>
        <v>0143</v>
      </c>
      <c r="D2162" s="3" t="e">
        <f>'001'!H2162</f>
        <v>#VALUE!</v>
      </c>
    </row>
    <row r="2163" spans="1:4" x14ac:dyDescent="0.25">
      <c r="A2163" s="1" t="str">
        <f>'001'!B2163</f>
        <v>003019</v>
      </c>
      <c r="B2163" s="1" t="str">
        <f>'001'!C2163</f>
        <v>ANTEOJO ROGUANT KORT INCOLORO HC(207598) (LIBUS ARGON)</v>
      </c>
      <c r="C2163" s="1" t="str">
        <f>'001'!D2163</f>
        <v>0143</v>
      </c>
      <c r="D2163" s="3" t="e">
        <f>'001'!H2163</f>
        <v>#VALUE!</v>
      </c>
    </row>
    <row r="2164" spans="1:4" x14ac:dyDescent="0.25">
      <c r="A2164" s="1" t="str">
        <f>'001'!B2164</f>
        <v>003024</v>
      </c>
      <c r="B2164" s="1" t="str">
        <f>'001'!C2164</f>
        <v>CM-112 ALUMINIO GROSSL BRILHANTE X 1</v>
      </c>
      <c r="C2164" s="1" t="str">
        <f>'001'!D2164</f>
        <v>0132</v>
      </c>
      <c r="D2164" s="3" t="e">
        <f>'001'!H2164</f>
        <v>#VALUE!</v>
      </c>
    </row>
    <row r="2165" spans="1:4" x14ac:dyDescent="0.25">
      <c r="A2165" s="1" t="str">
        <f>'001'!B2165</f>
        <v>003030</v>
      </c>
      <c r="B2165" s="1" t="str">
        <f>'001'!C2165</f>
        <v>CM-117 ALUMINIO FINO LUMINOSO X 1</v>
      </c>
      <c r="C2165" s="1" t="str">
        <f>'001'!D2165</f>
        <v>0132</v>
      </c>
      <c r="D2165" s="3" t="e">
        <f>'001'!H2165</f>
        <v>#VALUE!</v>
      </c>
    </row>
    <row r="2166" spans="1:4" x14ac:dyDescent="0.25">
      <c r="A2166" s="1" t="str">
        <f>'001'!B2166</f>
        <v>003031</v>
      </c>
      <c r="B2166" s="1" t="str">
        <f>'001'!C2166</f>
        <v>BP-10.01 CLEARS BASE BLANCA BICAPA ACS X 3.500</v>
      </c>
      <c r="C2166" s="1" t="str">
        <f>'001'!D2166</f>
        <v>0132</v>
      </c>
      <c r="D2166" s="3" t="e">
        <f>'001'!H2166</f>
        <v>#VALUE!</v>
      </c>
    </row>
    <row r="2167" spans="1:4" x14ac:dyDescent="0.25">
      <c r="A2167" s="1" t="str">
        <f>'001'!B2167</f>
        <v>003032</v>
      </c>
      <c r="B2167" s="1" t="str">
        <f>'001'!C2167</f>
        <v>ANTEOJO ROGUANT ELVEX AVION SG-18C-ARG</v>
      </c>
      <c r="C2167" s="1" t="str">
        <f>'001'!D2167</f>
        <v>0902</v>
      </c>
      <c r="D2167" s="3" t="e">
        <f>'001'!H2167</f>
        <v>#VALUE!</v>
      </c>
    </row>
    <row r="2168" spans="1:4" x14ac:dyDescent="0.25">
      <c r="A2168" s="1" t="str">
        <f>'001'!B2168</f>
        <v>003033</v>
      </c>
      <c r="B2168" s="1" t="str">
        <f>'001'!C2168</f>
        <v>ANTEOJO ROGUANT ELVEX AVION SG-18G-ARG</v>
      </c>
      <c r="C2168" s="1" t="str">
        <f>'001'!D2168</f>
        <v>0143</v>
      </c>
      <c r="D2168" s="3" t="e">
        <f>'001'!H2168</f>
        <v>#VALUE!</v>
      </c>
    </row>
    <row r="2169" spans="1:4" x14ac:dyDescent="0.25">
      <c r="A2169" s="1" t="str">
        <f>'001'!B2169</f>
        <v>003038</v>
      </c>
      <c r="B2169" s="1" t="str">
        <f>'001'!C2169</f>
        <v>IMPERMEABLIZANTE PARA TECHOS RECUPLAST TECHOS TEJA X 20</v>
      </c>
      <c r="C2169" s="1" t="str">
        <f>'001'!D2169</f>
        <v>0150</v>
      </c>
      <c r="D2169" s="3" t="e">
        <f>'001'!H2169</f>
        <v>#VALUE!</v>
      </c>
    </row>
    <row r="2170" spans="1:4" x14ac:dyDescent="0.25">
      <c r="A2170" s="1" t="str">
        <f>'001'!B2170</f>
        <v>003039</v>
      </c>
      <c r="B2170" s="1" t="str">
        <f>'001'!C2170</f>
        <v>AEROSOL TERSUAVE ESMALTE SINTETICO DOBLE ACCION BRILLANTE BLANCO X 0,250</v>
      </c>
      <c r="C2170" s="1" t="str">
        <f>'001'!D2170</f>
        <v>0902</v>
      </c>
      <c r="D2170" s="3" t="e">
        <f>'001'!H2170</f>
        <v>#VALUE!</v>
      </c>
    </row>
    <row r="2171" spans="1:4" x14ac:dyDescent="0.25">
      <c r="A2171" s="1" t="str">
        <f>'001'!B2171</f>
        <v>003040</v>
      </c>
      <c r="B2171" s="1" t="str">
        <f>'001'!C2171</f>
        <v>AEROSOL TERSUAVE ESMALTE SINTETICO DOBLE ACCION BRILLANTE BERMELLON X 0,250</v>
      </c>
      <c r="C2171" s="1" t="str">
        <f>'001'!D2171</f>
        <v>0902</v>
      </c>
      <c r="D2171" s="3" t="e">
        <f>'001'!H2171</f>
        <v>#VALUE!</v>
      </c>
    </row>
    <row r="2172" spans="1:4" x14ac:dyDescent="0.25">
      <c r="A2172" s="1" t="str">
        <f>'001'!B2172</f>
        <v>003041</v>
      </c>
      <c r="B2172" s="1" t="str">
        <f>'001'!C2172</f>
        <v>AEROSOL TERSUAVE ESMALTE SINTETICO DOBLE ACCION BRILLANTE NEGRO X 0,250</v>
      </c>
      <c r="C2172" s="1" t="str">
        <f>'001'!D2172</f>
        <v>0902</v>
      </c>
      <c r="D2172" s="3" t="e">
        <f>'001'!H2172</f>
        <v>#VALUE!</v>
      </c>
    </row>
    <row r="2173" spans="1:4" x14ac:dyDescent="0.25">
      <c r="A2173" s="1" t="str">
        <f>'001'!B2173</f>
        <v>003042</v>
      </c>
      <c r="B2173" s="1" t="str">
        <f>'001'!C2173</f>
        <v>AEROSOL TERSUAVE ESMALTE SINTETICO DOBLE ACCION BRILLANTE VERDE INGLES X 0,250</v>
      </c>
      <c r="C2173" s="1" t="str">
        <f>'001'!D2173</f>
        <v>0902</v>
      </c>
      <c r="D2173" s="3" t="e">
        <f>'001'!H2173</f>
        <v>#VALUE!</v>
      </c>
    </row>
    <row r="2174" spans="1:4" x14ac:dyDescent="0.25">
      <c r="A2174" s="1" t="str">
        <f>'001'!B2174</f>
        <v>003043</v>
      </c>
      <c r="B2174" s="1" t="str">
        <f>'001'!C2174</f>
        <v>DRAGER-MASCARILLA X-PLORE 1350 N95</v>
      </c>
      <c r="C2174" s="1" t="str">
        <f>'001'!D2174</f>
        <v>0143</v>
      </c>
      <c r="D2174" s="3" t="e">
        <f>'001'!H2174</f>
        <v>#VALUE!</v>
      </c>
    </row>
    <row r="2175" spans="1:4" x14ac:dyDescent="0.25">
      <c r="A2175" s="1" t="str">
        <f>'001'!B2175</f>
        <v>003044</v>
      </c>
      <c r="B2175" s="1" t="str">
        <f>'001'!C2175</f>
        <v>DRAGER-MASCARILLA X-PLORE 1350 N95 VALVULA</v>
      </c>
      <c r="C2175" s="1" t="str">
        <f>'001'!D2175</f>
        <v>0143</v>
      </c>
      <c r="D2175" s="3" t="e">
        <f>'001'!H2175</f>
        <v>#VALUE!</v>
      </c>
    </row>
    <row r="2176" spans="1:4" x14ac:dyDescent="0.25">
      <c r="A2176" s="1" t="str">
        <f>'001'!B2176</f>
        <v>003045</v>
      </c>
      <c r="B2176" s="1" t="str">
        <f>'001'!C2176</f>
        <v>CM-076 ROJO BRILL X 1</v>
      </c>
      <c r="C2176" s="1" t="str">
        <f>'001'!D2176</f>
        <v>0132</v>
      </c>
      <c r="D2176" s="3" t="e">
        <f>'001'!H2176</f>
        <v>#VALUE!</v>
      </c>
    </row>
    <row r="2177" spans="1:4" x14ac:dyDescent="0.25">
      <c r="A2177" s="1" t="str">
        <f>'001'!B2177</f>
        <v>003046</v>
      </c>
      <c r="B2177" s="1" t="str">
        <f>'001'!C2177</f>
        <v>DRAGER-SEMIMASCARA X-PLORE 3300</v>
      </c>
      <c r="C2177" s="1" t="str">
        <f>'001'!D2177</f>
        <v>0143</v>
      </c>
      <c r="D2177" s="3" t="e">
        <f>'001'!H2177</f>
        <v>#VALUE!</v>
      </c>
    </row>
    <row r="2178" spans="1:4" x14ac:dyDescent="0.25">
      <c r="A2178" s="1" t="str">
        <f>'001'!B2178</f>
        <v>003047</v>
      </c>
      <c r="B2178" s="1" t="str">
        <f>'001'!C2178</f>
        <v>DRAGER-SEMIMASCARA X-PLORE 3500</v>
      </c>
      <c r="C2178" s="1" t="str">
        <f>'001'!D2178</f>
        <v>0143</v>
      </c>
      <c r="D2178" s="3" t="e">
        <f>'001'!H2178</f>
        <v>#VALUE!</v>
      </c>
    </row>
    <row r="2179" spans="1:4" x14ac:dyDescent="0.25">
      <c r="A2179" s="1" t="str">
        <f>'001'!B2179</f>
        <v>003048</v>
      </c>
      <c r="B2179" s="1" t="str">
        <f>'001'!C2179</f>
        <v>CM-110 ALUMINIO FINO X 1</v>
      </c>
      <c r="C2179" s="1" t="str">
        <f>'001'!D2179</f>
        <v>0132</v>
      </c>
      <c r="D2179" s="3" t="e">
        <f>'001'!H2179</f>
        <v>#VALUE!</v>
      </c>
    </row>
    <row r="2180" spans="1:4" x14ac:dyDescent="0.25">
      <c r="A2180" s="1" t="str">
        <f>'001'!B2180</f>
        <v>003049</v>
      </c>
      <c r="B2180" s="1" t="str">
        <f>'001'!C2180</f>
        <v>GUANTES TACTIL KELY 26-109 T09 X 2</v>
      </c>
      <c r="C2180" s="1" t="str">
        <f>'001'!D2180</f>
        <v>0143</v>
      </c>
      <c r="D2180" s="3" t="e">
        <f>'001'!H2180</f>
        <v>#VALUE!</v>
      </c>
    </row>
    <row r="2181" spans="1:4" x14ac:dyDescent="0.25">
      <c r="A2181" s="1" t="str">
        <f>'001'!B2181</f>
        <v>003050</v>
      </c>
      <c r="B2181" s="1" t="str">
        <f>'001'!C2181</f>
        <v>GUANTES TACTIL KELY 26-109 T10 X 2</v>
      </c>
      <c r="C2181" s="1" t="str">
        <f>'001'!D2181</f>
        <v>0143</v>
      </c>
      <c r="D2181" s="3" t="e">
        <f>'001'!H2181</f>
        <v>#VALUE!</v>
      </c>
    </row>
    <row r="2182" spans="1:4" x14ac:dyDescent="0.25">
      <c r="A2182" s="1" t="str">
        <f>'001'!B2182</f>
        <v>003051</v>
      </c>
      <c r="B2182" s="1" t="str">
        <f>'001'!C2182</f>
        <v>PINTURA PARA PILETA TERSUAVE AL AGUA AZUL X 10</v>
      </c>
      <c r="C2182" s="1" t="str">
        <f>'001'!D2182</f>
        <v>0152</v>
      </c>
      <c r="D2182" s="3" t="e">
        <f>'001'!H2182</f>
        <v>#VALUE!</v>
      </c>
    </row>
    <row r="2183" spans="1:4" x14ac:dyDescent="0.25">
      <c r="A2183" s="1" t="str">
        <f>'001'!B2183</f>
        <v>003052</v>
      </c>
      <c r="B2183" s="1" t="str">
        <f>'001'!C2183</f>
        <v>PINTURA PARA PILETA TERSUAVE AL AGUA AZUL X 20</v>
      </c>
      <c r="C2183" s="1" t="str">
        <f>'001'!D2183</f>
        <v>0152</v>
      </c>
      <c r="D2183" s="3" t="e">
        <f>'001'!H2183</f>
        <v>#VALUE!</v>
      </c>
    </row>
    <row r="2184" spans="1:4" x14ac:dyDescent="0.25">
      <c r="A2184" s="1" t="str">
        <f>'001'!B2184</f>
        <v>003054</v>
      </c>
      <c r="B2184" s="1" t="str">
        <f>'001'!C2184</f>
        <v>PINTURA PARA PILETA TERSUAVE AL AGUA BLANCO X  1</v>
      </c>
      <c r="C2184" s="1" t="str">
        <f>'001'!D2184</f>
        <v>0152</v>
      </c>
      <c r="D2184" s="3" t="e">
        <f>'001'!H2184</f>
        <v>#VALUE!</v>
      </c>
    </row>
    <row r="2185" spans="1:4" x14ac:dyDescent="0.25">
      <c r="A2185" s="1" t="str">
        <f>'001'!B2185</f>
        <v>003055</v>
      </c>
      <c r="B2185" s="1" t="str">
        <f>'001'!C2185</f>
        <v>PINTURA PARA PILETA TERSUAVE AL AGUA BLANCO X  4</v>
      </c>
      <c r="C2185" s="1" t="str">
        <f>'001'!D2185</f>
        <v>0152</v>
      </c>
      <c r="D2185" s="3" t="e">
        <f>'001'!H2185</f>
        <v>#VALUE!</v>
      </c>
    </row>
    <row r="2186" spans="1:4" x14ac:dyDescent="0.25">
      <c r="A2186" s="1" t="str">
        <f>'001'!B2186</f>
        <v>003056</v>
      </c>
      <c r="B2186" s="1" t="str">
        <f>'001'!C2186</f>
        <v>PINTURA PARA PILETA TERSUAVE AL AGUA BLANCO X 10</v>
      </c>
      <c r="C2186" s="1" t="str">
        <f>'001'!D2186</f>
        <v>0152</v>
      </c>
      <c r="D2186" s="3" t="e">
        <f>'001'!H2186</f>
        <v>#VALUE!</v>
      </c>
    </row>
    <row r="2187" spans="1:4" x14ac:dyDescent="0.25">
      <c r="A2187" s="1" t="str">
        <f>'001'!B2187</f>
        <v>003057</v>
      </c>
      <c r="B2187" s="1" t="str">
        <f>'001'!C2187</f>
        <v>PINTURA PARA PILETA TERSUAVE AL AGUA BLANCO X 20</v>
      </c>
      <c r="C2187" s="1" t="str">
        <f>'001'!D2187</f>
        <v>0152</v>
      </c>
      <c r="D2187" s="3" t="e">
        <f>'001'!H2187</f>
        <v>#VALUE!</v>
      </c>
    </row>
    <row r="2188" spans="1:4" x14ac:dyDescent="0.25">
      <c r="A2188" s="1" t="str">
        <f>'001'!B2188</f>
        <v>003058</v>
      </c>
      <c r="B2188" s="1" t="str">
        <f>'001'!C2188</f>
        <v>PINTURA PARA PILETA TERSUAVE AL SOLVENTE CELESTE X  1</v>
      </c>
      <c r="C2188" s="1" t="str">
        <f>'001'!D2188</f>
        <v>0152</v>
      </c>
      <c r="D2188" s="3" t="e">
        <f>'001'!H2188</f>
        <v>#VALUE!</v>
      </c>
    </row>
    <row r="2189" spans="1:4" x14ac:dyDescent="0.25">
      <c r="A2189" s="1" t="str">
        <f>'001'!B2189</f>
        <v>003059</v>
      </c>
      <c r="B2189" s="1" t="str">
        <f>'001'!C2189</f>
        <v>PINTURA PARA PILETA TERSUAVE AL SOLVENTE CELESTE X  4</v>
      </c>
      <c r="C2189" s="1" t="str">
        <f>'001'!D2189</f>
        <v>0152</v>
      </c>
      <c r="D2189" s="3" t="e">
        <f>'001'!H2189</f>
        <v>#VALUE!</v>
      </c>
    </row>
    <row r="2190" spans="1:4" x14ac:dyDescent="0.25">
      <c r="A2190" s="1" t="str">
        <f>'001'!B2190</f>
        <v>003060</v>
      </c>
      <c r="B2190" s="1" t="str">
        <f>'001'!C2190</f>
        <v>PINTURA PARA PILETA TERSUAVE AL SOLVENTE CELESTE X 10</v>
      </c>
      <c r="C2190" s="1" t="str">
        <f>'001'!D2190</f>
        <v>0152</v>
      </c>
      <c r="D2190" s="3" t="e">
        <f>'001'!H2190</f>
        <v>#VALUE!</v>
      </c>
    </row>
    <row r="2191" spans="1:4" x14ac:dyDescent="0.25">
      <c r="A2191" s="1" t="str">
        <f>'001'!B2191</f>
        <v>003061</v>
      </c>
      <c r="B2191" s="1" t="str">
        <f>'001'!C2191</f>
        <v>PINTURA PARA PILETA TERSUAVE AL SOLVENTE CELESTE X 20</v>
      </c>
      <c r="C2191" s="1" t="str">
        <f>'001'!D2191</f>
        <v>0152</v>
      </c>
      <c r="D2191" s="3" t="e">
        <f>'001'!H2191</f>
        <v>#VALUE!</v>
      </c>
    </row>
    <row r="2192" spans="1:4" x14ac:dyDescent="0.25">
      <c r="A2192" s="1" t="str">
        <f>'001'!B2192</f>
        <v>003062</v>
      </c>
      <c r="B2192" s="1" t="str">
        <f>'001'!C2192</f>
        <v>PINTURA PARA PILETA TERSUAVE AL SOLVENTE AZUL X  1</v>
      </c>
      <c r="C2192" s="1" t="str">
        <f>'001'!D2192</f>
        <v>0152</v>
      </c>
      <c r="D2192" s="3" t="e">
        <f>'001'!H2192</f>
        <v>#VALUE!</v>
      </c>
    </row>
    <row r="2193" spans="1:4" x14ac:dyDescent="0.25">
      <c r="A2193" s="1" t="str">
        <f>'001'!B2193</f>
        <v>003063</v>
      </c>
      <c r="B2193" s="1" t="str">
        <f>'001'!C2193</f>
        <v>PINTURA PARA PILETA TERSUAVE AL SOLVENTE AZUL X  4</v>
      </c>
      <c r="C2193" s="1" t="str">
        <f>'001'!D2193</f>
        <v>0152</v>
      </c>
      <c r="D2193" s="3" t="e">
        <f>'001'!H2193</f>
        <v>#VALUE!</v>
      </c>
    </row>
    <row r="2194" spans="1:4" x14ac:dyDescent="0.25">
      <c r="A2194" s="1" t="str">
        <f>'001'!B2194</f>
        <v>003064</v>
      </c>
      <c r="B2194" s="1" t="str">
        <f>'001'!C2194</f>
        <v>PINTURA PARA PILETA TERSUAVE AL SOLVENTE AZUL X 10</v>
      </c>
      <c r="C2194" s="1" t="str">
        <f>'001'!D2194</f>
        <v>0152</v>
      </c>
      <c r="D2194" s="3" t="e">
        <f>'001'!H2194</f>
        <v>#VALUE!</v>
      </c>
    </row>
    <row r="2195" spans="1:4" x14ac:dyDescent="0.25">
      <c r="A2195" s="1" t="str">
        <f>'001'!B2195</f>
        <v>003066</v>
      </c>
      <c r="B2195" s="1" t="str">
        <f>'001'!C2195</f>
        <v>DRAGER-FILTRO A1 P/VAPORES ORGANICOS</v>
      </c>
      <c r="C2195" s="1" t="str">
        <f>'001'!D2195</f>
        <v>0143</v>
      </c>
      <c r="D2195" s="3" t="e">
        <f>'001'!H2195</f>
        <v>#VALUE!</v>
      </c>
    </row>
    <row r="2196" spans="1:4" x14ac:dyDescent="0.25">
      <c r="A2196" s="1" t="str">
        <f>'001'!B2196</f>
        <v>003069</v>
      </c>
      <c r="B2196" s="1" t="str">
        <f>'001'!C2196</f>
        <v>CM-116 ALUMINIO MEDIO X 1</v>
      </c>
      <c r="C2196" s="1" t="str">
        <f>'001'!D2196</f>
        <v>0132</v>
      </c>
      <c r="D2196" s="3" t="e">
        <f>'001'!H2196</f>
        <v>#VALUE!</v>
      </c>
    </row>
    <row r="2197" spans="1:4" x14ac:dyDescent="0.25">
      <c r="A2197" s="1" t="str">
        <f>'001'!B2197</f>
        <v>003070</v>
      </c>
      <c r="B2197" s="1" t="str">
        <f>'001'!C2197</f>
        <v>PINTURA PARA PILETA TERSUAVE AL SOLVENTE AZUL X 20</v>
      </c>
      <c r="C2197" s="1" t="str">
        <f>'001'!D2197</f>
        <v>0152</v>
      </c>
      <c r="D2197" s="3" t="e">
        <f>'001'!H2197</f>
        <v>#VALUE!</v>
      </c>
    </row>
    <row r="2198" spans="1:4" x14ac:dyDescent="0.25">
      <c r="A2198" s="1" t="str">
        <f>'001'!B2198</f>
        <v>003071</v>
      </c>
      <c r="B2198" s="1" t="str">
        <f>'001'!C2198</f>
        <v>PINTURA PARA PILETA TERSUAVE AL SOLVENTE BLANCO X  1</v>
      </c>
      <c r="C2198" s="1" t="str">
        <f>'001'!D2198</f>
        <v>0152</v>
      </c>
      <c r="D2198" s="3" t="e">
        <f>'001'!H2198</f>
        <v>#VALUE!</v>
      </c>
    </row>
    <row r="2199" spans="1:4" x14ac:dyDescent="0.25">
      <c r="A2199" s="1" t="str">
        <f>'001'!B2199</f>
        <v>003073</v>
      </c>
      <c r="B2199" s="1" t="str">
        <f>'001'!C2199</f>
        <v>PINTURA PARA PILETA TERSUAVE AL SOLVENTE BLANCO X  4</v>
      </c>
      <c r="C2199" s="1" t="str">
        <f>'001'!D2199</f>
        <v>0152</v>
      </c>
      <c r="D2199" s="3" t="e">
        <f>'001'!H2199</f>
        <v>#VALUE!</v>
      </c>
    </row>
    <row r="2200" spans="1:4" x14ac:dyDescent="0.25">
      <c r="A2200" s="1" t="str">
        <f>'001'!B2200</f>
        <v>003075</v>
      </c>
      <c r="B2200" s="1" t="str">
        <f>'001'!C2200</f>
        <v>PINTURA PARA PILETA TERSUAVE AL SOLVENTE BLANCO X 10</v>
      </c>
      <c r="C2200" s="1" t="str">
        <f>'001'!D2200</f>
        <v>0152</v>
      </c>
      <c r="D2200" s="3" t="e">
        <f>'001'!H2200</f>
        <v>#VALUE!</v>
      </c>
    </row>
    <row r="2201" spans="1:4" x14ac:dyDescent="0.25">
      <c r="A2201" s="1" t="str">
        <f>'001'!B2201</f>
        <v>003077</v>
      </c>
      <c r="B2201" s="1" t="str">
        <f>'001'!C2201</f>
        <v>PINTURA PARA PILETA TERSUAVE AL SOLVENTE BLANCO X 20</v>
      </c>
      <c r="C2201" s="1" t="str">
        <f>'001'!D2201</f>
        <v>0152</v>
      </c>
      <c r="D2201" s="3" t="e">
        <f>'001'!H2201</f>
        <v>#VALUE!</v>
      </c>
    </row>
    <row r="2202" spans="1:4" x14ac:dyDescent="0.25">
      <c r="A2202" s="1" t="str">
        <f>'001'!B2202</f>
        <v>003081</v>
      </c>
      <c r="B2202" s="1" t="str">
        <f>'001'!C2202</f>
        <v>CINTA ANTIDESLIZANTE RAPIFIX (2200) 25MM X 5MTS</v>
      </c>
      <c r="C2202" s="1" t="str">
        <f>'001'!D2202</f>
        <v>0181</v>
      </c>
      <c r="D2202" s="3" t="e">
        <f>'001'!H2202</f>
        <v>#VALUE!</v>
      </c>
    </row>
    <row r="2203" spans="1:4" x14ac:dyDescent="0.25">
      <c r="A2203" s="1" t="str">
        <f>'001'!B2203</f>
        <v>003083</v>
      </c>
      <c r="B2203" s="1" t="str">
        <f>'001'!C2203</f>
        <v>SELLADOR SILICONA ACETICA WEBER S BLANCO X 0,300</v>
      </c>
      <c r="C2203" s="1" t="str">
        <f>'001'!D2203</f>
        <v>0185</v>
      </c>
      <c r="D2203" s="3" t="e">
        <f>'001'!H2203</f>
        <v>#VALUE!</v>
      </c>
    </row>
    <row r="2204" spans="1:4" x14ac:dyDescent="0.25">
      <c r="A2204" s="1" t="str">
        <f>'001'!B2204</f>
        <v>003084</v>
      </c>
      <c r="B2204" s="1" t="str">
        <f>'001'!C2204</f>
        <v>LATEX INTERIOR ALBALATEX DESIGN MATE ROJO INTENSO X 1</v>
      </c>
      <c r="C2204" s="1" t="str">
        <f>'001'!D2204</f>
        <v>0902</v>
      </c>
      <c r="D2204" s="3" t="e">
        <f>'001'!H2204</f>
        <v>#VALUE!</v>
      </c>
    </row>
    <row r="2205" spans="1:4" x14ac:dyDescent="0.25">
      <c r="A2205" s="1" t="str">
        <f>'001'!B2205</f>
        <v>003085</v>
      </c>
      <c r="B2205" s="1" t="str">
        <f>'001'!C2205</f>
        <v>LATEX INTERIOR ALBALATEX DESIGN MATE ROJO INTENSO X 4</v>
      </c>
      <c r="C2205" s="1" t="str">
        <f>'001'!D2205</f>
        <v>0902</v>
      </c>
      <c r="D2205" s="3" t="e">
        <f>'001'!H2205</f>
        <v>#VALUE!</v>
      </c>
    </row>
    <row r="2206" spans="1:4" x14ac:dyDescent="0.25">
      <c r="A2206" s="1" t="str">
        <f>'001'!B2206</f>
        <v>003086</v>
      </c>
      <c r="B2206" s="1" t="str">
        <f>'001'!C2206</f>
        <v>LATEX INTERIOR ALBALATEX DESIGN MATE AMARILLO LATINO X 1</v>
      </c>
      <c r="C2206" s="1" t="str">
        <f>'001'!D2206</f>
        <v>0902</v>
      </c>
      <c r="D2206" s="3" t="e">
        <f>'001'!H2206</f>
        <v>#VALUE!</v>
      </c>
    </row>
    <row r="2207" spans="1:4" x14ac:dyDescent="0.25">
      <c r="A2207" s="1" t="str">
        <f>'001'!B2207</f>
        <v>003087</v>
      </c>
      <c r="B2207" s="1" t="str">
        <f>'001'!C2207</f>
        <v>LATEX INTERIOR ALBALATEX DESIGN MATE AMARILLO LATINO X 4</v>
      </c>
      <c r="C2207" s="1" t="str">
        <f>'001'!D2207</f>
        <v>0902</v>
      </c>
      <c r="D2207" s="3" t="e">
        <f>'001'!H2207</f>
        <v>#VALUE!</v>
      </c>
    </row>
    <row r="2208" spans="1:4" x14ac:dyDescent="0.25">
      <c r="A2208" s="1" t="str">
        <f>'001'!B2208</f>
        <v>003088</v>
      </c>
      <c r="B2208" s="1" t="str">
        <f>'001'!C2208</f>
        <v>LATEX INTERIOR ALBALATEX DESIGN MATE VERDE EXOTICO X 1</v>
      </c>
      <c r="C2208" s="1" t="str">
        <f>'001'!D2208</f>
        <v>0902</v>
      </c>
      <c r="D2208" s="3" t="e">
        <f>'001'!H2208</f>
        <v>#VALUE!</v>
      </c>
    </row>
    <row r="2209" spans="1:4" x14ac:dyDescent="0.25">
      <c r="A2209" s="1" t="str">
        <f>'001'!B2209</f>
        <v>003089</v>
      </c>
      <c r="B2209" s="1" t="str">
        <f>'001'!C2209</f>
        <v>LATEX INTERIOR ALBALATEX DESIGN MATE VERDE EXOTICO X 4</v>
      </c>
      <c r="C2209" s="1" t="str">
        <f>'001'!D2209</f>
        <v>0902</v>
      </c>
      <c r="D2209" s="3" t="e">
        <f>'001'!H2209</f>
        <v>#VALUE!</v>
      </c>
    </row>
    <row r="2210" spans="1:4" x14ac:dyDescent="0.25">
      <c r="A2210" s="1" t="str">
        <f>'001'!B2210</f>
        <v>003090</v>
      </c>
      <c r="B2210" s="1" t="str">
        <f>'001'!C2210</f>
        <v>LATEX INTERIOR ALBALATEX DESIGN MATE AZUL BAHAMAS X 1</v>
      </c>
      <c r="C2210" s="1" t="str">
        <f>'001'!D2210</f>
        <v>0902</v>
      </c>
      <c r="D2210" s="3" t="e">
        <f>'001'!H2210</f>
        <v>#VALUE!</v>
      </c>
    </row>
    <row r="2211" spans="1:4" x14ac:dyDescent="0.25">
      <c r="A2211" s="1" t="str">
        <f>'001'!B2211</f>
        <v>003091</v>
      </c>
      <c r="B2211" s="1" t="str">
        <f>'001'!C2211</f>
        <v>LATEX INTERIOR ALBALATEX DESIGN MATE AZUL BAHAMAS X 4</v>
      </c>
      <c r="C2211" s="1" t="str">
        <f>'001'!D2211</f>
        <v>0902</v>
      </c>
      <c r="D2211" s="3" t="e">
        <f>'001'!H2211</f>
        <v>#VALUE!</v>
      </c>
    </row>
    <row r="2212" spans="1:4" x14ac:dyDescent="0.25">
      <c r="A2212" s="1" t="str">
        <f>'001'!B2212</f>
        <v>003092</v>
      </c>
      <c r="B2212" s="1" t="str">
        <f>'001'!C2212</f>
        <v>LATEX INTERIOR ALBALATEX DESIGN MATE VIOLETA ESTELAR X 1</v>
      </c>
      <c r="C2212" s="1" t="str">
        <f>'001'!D2212</f>
        <v>0902</v>
      </c>
      <c r="D2212" s="3" t="e">
        <f>'001'!H2212</f>
        <v>#VALUE!</v>
      </c>
    </row>
    <row r="2213" spans="1:4" x14ac:dyDescent="0.25">
      <c r="A2213" s="1" t="str">
        <f>'001'!B2213</f>
        <v>003093</v>
      </c>
      <c r="B2213" s="1" t="str">
        <f>'001'!C2213</f>
        <v>LATEX INTERIOR ALBALATEX DESIGN MATE VIOLETA ESTELAR X 4</v>
      </c>
      <c r="C2213" s="1" t="str">
        <f>'001'!D2213</f>
        <v>0902</v>
      </c>
      <c r="D2213" s="3" t="e">
        <f>'001'!H2213</f>
        <v>#VALUE!</v>
      </c>
    </row>
    <row r="2214" spans="1:4" x14ac:dyDescent="0.25">
      <c r="A2214" s="1" t="str">
        <f>'001'!B2214</f>
        <v>003094</v>
      </c>
      <c r="B2214" s="1" t="str">
        <f>'001'!C2214</f>
        <v>LATEX INTERIOR ALBALATEX DESIGN MATE NARANJA DULCE X 1</v>
      </c>
      <c r="C2214" s="1" t="str">
        <f>'001'!D2214</f>
        <v>0902</v>
      </c>
      <c r="D2214" s="3" t="e">
        <f>'001'!H2214</f>
        <v>#VALUE!</v>
      </c>
    </row>
    <row r="2215" spans="1:4" x14ac:dyDescent="0.25">
      <c r="A2215" s="1" t="str">
        <f>'001'!B2215</f>
        <v>003095</v>
      </c>
      <c r="B2215" s="1" t="str">
        <f>'001'!C2215</f>
        <v>LATEX INTERIOR ALBALATEX DESIGN MATE NARANJA DULCE X 4</v>
      </c>
      <c r="C2215" s="1" t="str">
        <f>'001'!D2215</f>
        <v>0902</v>
      </c>
      <c r="D2215" s="3" t="e">
        <f>'001'!H2215</f>
        <v>#VALUE!</v>
      </c>
    </row>
    <row r="2216" spans="1:4" x14ac:dyDescent="0.25">
      <c r="A2216" s="1" t="str">
        <f>'001'!B2216</f>
        <v>003096</v>
      </c>
      <c r="B2216" s="1" t="str">
        <f>'001'!C2216</f>
        <v>LATEX INTERIOR ALBALATEX DESIGN MATE LEYENDA X 1</v>
      </c>
      <c r="C2216" s="1" t="str">
        <f>'001'!D2216</f>
        <v>0902</v>
      </c>
      <c r="D2216" s="3" t="e">
        <f>'001'!H2216</f>
        <v>#VALUE!</v>
      </c>
    </row>
    <row r="2217" spans="1:4" x14ac:dyDescent="0.25">
      <c r="A2217" s="1" t="str">
        <f>'001'!B2217</f>
        <v>003097</v>
      </c>
      <c r="B2217" s="1" t="str">
        <f>'001'!C2217</f>
        <v>LATEX INTERIOR ALBALATEX DESIGN MATE LEYENDA X 4</v>
      </c>
      <c r="C2217" s="1" t="str">
        <f>'001'!D2217</f>
        <v>0902</v>
      </c>
      <c r="D2217" s="3" t="e">
        <f>'001'!H2217</f>
        <v>#VALUE!</v>
      </c>
    </row>
    <row r="2218" spans="1:4" x14ac:dyDescent="0.25">
      <c r="A2218" s="1" t="str">
        <f>'001'!B2218</f>
        <v>003098</v>
      </c>
      <c r="B2218" s="1" t="str">
        <f>'001'!C2218</f>
        <v>LATEX INTERIOR ALBALATEX DESIGN MATE GRIS CINCEL X 1</v>
      </c>
      <c r="C2218" s="1" t="str">
        <f>'001'!D2218</f>
        <v>0902</v>
      </c>
      <c r="D2218" s="3" t="e">
        <f>'001'!H2218</f>
        <v>#VALUE!</v>
      </c>
    </row>
    <row r="2219" spans="1:4" x14ac:dyDescent="0.25">
      <c r="A2219" s="1" t="str">
        <f>'001'!B2219</f>
        <v>003099</v>
      </c>
      <c r="B2219" s="1" t="str">
        <f>'001'!C2219</f>
        <v>LATEX INTERIOR ALBALATEX DESIGN MATE GRIS CINCEL X 4</v>
      </c>
      <c r="C2219" s="1" t="str">
        <f>'001'!D2219</f>
        <v>0902</v>
      </c>
      <c r="D2219" s="3" t="e">
        <f>'001'!H2219</f>
        <v>#VALUE!</v>
      </c>
    </row>
    <row r="2220" spans="1:4" x14ac:dyDescent="0.25">
      <c r="A2220" s="1" t="str">
        <f>'001'!B2220</f>
        <v>003104</v>
      </c>
      <c r="B2220" s="1" t="str">
        <f>'001'!C2220</f>
        <v>FONDO CONVERTIDOR DE OXIDO TERSUAVE MATE BLANCO X  0,500</v>
      </c>
      <c r="C2220" s="1" t="str">
        <f>'001'!D2220</f>
        <v>0152</v>
      </c>
      <c r="D2220" s="3" t="e">
        <f>'001'!H2220</f>
        <v>#VALUE!</v>
      </c>
    </row>
    <row r="2221" spans="1:4" x14ac:dyDescent="0.25">
      <c r="A2221" s="1" t="str">
        <f>'001'!B2221</f>
        <v>003105</v>
      </c>
      <c r="B2221" s="1" t="str">
        <f>'001'!C2221</f>
        <v>FONDO CONVERTIDOR DE OXIDO TERSUAVE MATE GRIS X  0,500</v>
      </c>
      <c r="C2221" s="1" t="str">
        <f>'001'!D2221</f>
        <v>0152</v>
      </c>
      <c r="D2221" s="3" t="e">
        <f>'001'!H2221</f>
        <v>#VALUE!</v>
      </c>
    </row>
    <row r="2222" spans="1:4" x14ac:dyDescent="0.25">
      <c r="A2222" s="1" t="str">
        <f>'001'!B2222</f>
        <v>003106</v>
      </c>
      <c r="B2222" s="1" t="str">
        <f>'001'!C2222</f>
        <v>DRAGER-RETENEDOR P/FILTRO PAD P2</v>
      </c>
      <c r="C2222" s="1" t="str">
        <f>'001'!D2222</f>
        <v>0143</v>
      </c>
      <c r="D2222" s="3" t="e">
        <f>'001'!H2222</f>
        <v>#VALUE!</v>
      </c>
    </row>
    <row r="2223" spans="1:4" x14ac:dyDescent="0.25">
      <c r="A2223" s="1" t="str">
        <f>'001'!B2223</f>
        <v>003108</v>
      </c>
      <c r="B2223" s="1" t="str">
        <f>'001'!C2223</f>
        <v>DRAGER-PREFILTRO PAD P2 (202600)</v>
      </c>
      <c r="C2223" s="1" t="str">
        <f>'001'!D2223</f>
        <v>0143</v>
      </c>
      <c r="D2223" s="3" t="e">
        <f>'001'!H2223</f>
        <v>#VALUE!</v>
      </c>
    </row>
    <row r="2224" spans="1:4" x14ac:dyDescent="0.25">
      <c r="A2224" s="1" t="str">
        <f>'001'!B2224</f>
        <v>003109</v>
      </c>
      <c r="B2224" s="1" t="str">
        <f>'001'!C2224</f>
        <v>FONDO CONVERTIDOR DE OXIDO TERSUAVE MATE ROJO X  0,500</v>
      </c>
      <c r="C2224" s="1" t="str">
        <f>'001'!D2224</f>
        <v>0152</v>
      </c>
      <c r="D2224" s="3" t="e">
        <f>'001'!H2224</f>
        <v>#VALUE!</v>
      </c>
    </row>
    <row r="2225" spans="1:4" x14ac:dyDescent="0.25">
      <c r="A2225" s="1" t="str">
        <f>'001'!B2225</f>
        <v>003110</v>
      </c>
      <c r="B2225" s="1" t="str">
        <f>'001'!C2225</f>
        <v>AEROSOL TERSUAVE ESMALTE SINTETICO BRILLANTE BLANCO X 0,250</v>
      </c>
      <c r="C2225" s="1" t="str">
        <f>'001'!D2225</f>
        <v>0152</v>
      </c>
      <c r="D2225" s="3" t="e">
        <f>'001'!H2225</f>
        <v>#VALUE!</v>
      </c>
    </row>
    <row r="2226" spans="1:4" x14ac:dyDescent="0.25">
      <c r="A2226" s="1" t="str">
        <f>'001'!B2226</f>
        <v>003111</v>
      </c>
      <c r="B2226" s="1" t="str">
        <f>'001'!C2226</f>
        <v>AEROSOL TERSUAVE ESMALTE SINTETICO BRILLANTE BERMELLON X 0,250</v>
      </c>
      <c r="C2226" s="1" t="str">
        <f>'001'!D2226</f>
        <v>0152</v>
      </c>
      <c r="D2226" s="3" t="e">
        <f>'001'!H2226</f>
        <v>#VALUE!</v>
      </c>
    </row>
    <row r="2227" spans="1:4" x14ac:dyDescent="0.25">
      <c r="A2227" s="1" t="str">
        <f>'001'!B2227</f>
        <v>003112</v>
      </c>
      <c r="B2227" s="1" t="str">
        <f>'001'!C2227</f>
        <v>AEROSOL TERSUAVE ESMALTE SINTETICO BRILLANTE NARANJA X 0,250</v>
      </c>
      <c r="C2227" s="1" t="str">
        <f>'001'!D2227</f>
        <v>0152</v>
      </c>
      <c r="D2227" s="3" t="e">
        <f>'001'!H2227</f>
        <v>#VALUE!</v>
      </c>
    </row>
    <row r="2228" spans="1:4" x14ac:dyDescent="0.25">
      <c r="A2228" s="1" t="str">
        <f>'001'!B2228</f>
        <v>003113</v>
      </c>
      <c r="B2228" s="1" t="str">
        <f>'001'!C2228</f>
        <v>AEROSOL TERSUAVE ESMALTE SINTETICO BRILLANTE AMARILLO X 0,250</v>
      </c>
      <c r="C2228" s="1" t="str">
        <f>'001'!D2228</f>
        <v>0152</v>
      </c>
      <c r="D2228" s="3" t="e">
        <f>'001'!H2228</f>
        <v>#VALUE!</v>
      </c>
    </row>
    <row r="2229" spans="1:4" x14ac:dyDescent="0.25">
      <c r="A2229" s="1" t="str">
        <f>'001'!B2229</f>
        <v>003115</v>
      </c>
      <c r="B2229" s="1" t="str">
        <f>'001'!C2229</f>
        <v>AEROSOL TERSUAVE ESMALTE SINTETICO BRILLANTE NEGRO X 0,250</v>
      </c>
      <c r="C2229" s="1" t="str">
        <f>'001'!D2229</f>
        <v>0152</v>
      </c>
      <c r="D2229" s="3" t="e">
        <f>'001'!H2229</f>
        <v>#VALUE!</v>
      </c>
    </row>
    <row r="2230" spans="1:4" x14ac:dyDescent="0.25">
      <c r="A2230" s="1" t="str">
        <f>'001'!B2230</f>
        <v>003116</v>
      </c>
      <c r="B2230" s="1" t="str">
        <f>'001'!C2230</f>
        <v>AEROSOL TERSUAVE ESMALTE SINTETICO MATE NEGRO X 0,250</v>
      </c>
      <c r="C2230" s="1" t="str">
        <f>'001'!D2230</f>
        <v>0152</v>
      </c>
      <c r="D2230" s="3" t="e">
        <f>'001'!H2230</f>
        <v>#VALUE!</v>
      </c>
    </row>
    <row r="2231" spans="1:4" x14ac:dyDescent="0.25">
      <c r="A2231" s="1" t="str">
        <f>'001'!B2231</f>
        <v>003117</v>
      </c>
      <c r="B2231" s="1" t="str">
        <f>'001'!C2231</f>
        <v>AEROSOL TERSUAVE ESMALTE SINTETICO BRILLANTE AZUL X 0,250</v>
      </c>
      <c r="C2231" s="1" t="str">
        <f>'001'!D2231</f>
        <v>0152</v>
      </c>
      <c r="D2231" s="3" t="e">
        <f>'001'!H2231</f>
        <v>#VALUE!</v>
      </c>
    </row>
    <row r="2232" spans="1:4" x14ac:dyDescent="0.25">
      <c r="A2232" s="1" t="str">
        <f>'001'!B2232</f>
        <v>003119</v>
      </c>
      <c r="B2232" s="1" t="str">
        <f>'001'!C2232</f>
        <v>AEROSOL TERSUAVE ESMALTE SINTETICO BRILLANTE VERDE INGLES X 0,250</v>
      </c>
      <c r="C2232" s="1" t="str">
        <f>'001'!D2232</f>
        <v>0152</v>
      </c>
      <c r="D2232" s="3" t="e">
        <f>'001'!H2232</f>
        <v>#VALUE!</v>
      </c>
    </row>
    <row r="2233" spans="1:4" x14ac:dyDescent="0.25">
      <c r="A2233" s="1" t="str">
        <f>'001'!B2233</f>
        <v>003120</v>
      </c>
      <c r="B2233" s="1" t="str">
        <f>'001'!C2233</f>
        <v>AEROSOL TERSUAVE ESMALTE SINTETICO BRILLANTE MARRON X 0,250</v>
      </c>
      <c r="C2233" s="1" t="str">
        <f>'001'!D2233</f>
        <v>0152</v>
      </c>
      <c r="D2233" s="3" t="e">
        <f>'001'!H2233</f>
        <v>#VALUE!</v>
      </c>
    </row>
    <row r="2234" spans="1:4" x14ac:dyDescent="0.25">
      <c r="A2234" s="1" t="str">
        <f>'001'!B2234</f>
        <v>003121</v>
      </c>
      <c r="B2234" s="1" t="str">
        <f>'001'!C2234</f>
        <v>AEROSOL TERSUAVE CONVERTIDOR DE OXIDO MATE ROJO X 0,250</v>
      </c>
      <c r="C2234" s="1" t="str">
        <f>'001'!D2234</f>
        <v>0152</v>
      </c>
      <c r="D2234" s="3" t="e">
        <f>'001'!H2234</f>
        <v>#VALUE!</v>
      </c>
    </row>
    <row r="2235" spans="1:4" x14ac:dyDescent="0.25">
      <c r="A2235" s="1" t="str">
        <f>'001'!B2235</f>
        <v>003122</v>
      </c>
      <c r="B2235" s="1" t="str">
        <f>'001'!C2235</f>
        <v>AEROSOL TERSUAVE BARNIZ BRILLANTE INCOLORO X 0,250</v>
      </c>
      <c r="C2235" s="1" t="str">
        <f>'001'!D2235</f>
        <v>0152</v>
      </c>
      <c r="D2235" s="3" t="e">
        <f>'001'!H2235</f>
        <v>#VALUE!</v>
      </c>
    </row>
    <row r="2236" spans="1:4" x14ac:dyDescent="0.25">
      <c r="A2236" s="1" t="str">
        <f>'001'!B2236</f>
        <v>003124</v>
      </c>
      <c r="B2236" s="1" t="str">
        <f>'001'!C2236</f>
        <v>AEROSOL TERSUAVE ESMALTE SINTETICO MATE BLANCO X 0,250</v>
      </c>
      <c r="C2236" s="1" t="str">
        <f>'001'!D2236</f>
        <v>0152</v>
      </c>
      <c r="D2236" s="3" t="e">
        <f>'001'!H2236</f>
        <v>#VALUE!</v>
      </c>
    </row>
    <row r="2237" spans="1:4" x14ac:dyDescent="0.25">
      <c r="A2237" s="1" t="str">
        <f>'001'!B2237</f>
        <v>003125</v>
      </c>
      <c r="B2237" s="1" t="str">
        <f>'001'!C2237</f>
        <v>AEROSOL TERSUAVE ESMALTE SINTETICO FLUO MATE VERDE X 0,250</v>
      </c>
      <c r="C2237" s="1" t="str">
        <f>'001'!D2237</f>
        <v>0152</v>
      </c>
      <c r="D2237" s="3" t="e">
        <f>'001'!H2237</f>
        <v>#VALUE!</v>
      </c>
    </row>
    <row r="2238" spans="1:4" x14ac:dyDescent="0.25">
      <c r="A2238" s="1" t="str">
        <f>'001'!B2238</f>
        <v>003126</v>
      </c>
      <c r="B2238" s="1" t="str">
        <f>'001'!C2238</f>
        <v>AEROSOL TERSUAVE ESMALTE SINTETICO BRILLANTE CELESTE X 0,250</v>
      </c>
      <c r="C2238" s="1" t="str">
        <f>'001'!D2238</f>
        <v>0152</v>
      </c>
      <c r="D2238" s="3" t="e">
        <f>'001'!H2238</f>
        <v>#VALUE!</v>
      </c>
    </row>
    <row r="2239" spans="1:4" x14ac:dyDescent="0.25">
      <c r="A2239" s="1" t="str">
        <f>'001'!B2239</f>
        <v>003127</v>
      </c>
      <c r="B2239" s="1" t="str">
        <f>'001'!C2239</f>
        <v>AEROSOL TERSUAVE ESMALTE SINTETICO BRILLANTE MARFIL SEDA X 0,250</v>
      </c>
      <c r="C2239" s="1" t="str">
        <f>'001'!D2239</f>
        <v>0152</v>
      </c>
      <c r="D2239" s="3" t="e">
        <f>'001'!H2239</f>
        <v>#VALUE!</v>
      </c>
    </row>
    <row r="2240" spans="1:4" x14ac:dyDescent="0.25">
      <c r="A2240" s="1" t="str">
        <f>'001'!B2240</f>
        <v>003128</v>
      </c>
      <c r="B2240" s="1" t="str">
        <f>'001'!C2240</f>
        <v>AEROSOL TERSUAVE ESMALTE SINTETICO FLUO MATE NARANJA X 0,250</v>
      </c>
      <c r="C2240" s="1" t="str">
        <f>'001'!D2240</f>
        <v>0152</v>
      </c>
      <c r="D2240" s="3" t="e">
        <f>'001'!H2240</f>
        <v>#VALUE!</v>
      </c>
    </row>
    <row r="2241" spans="1:4" x14ac:dyDescent="0.25">
      <c r="A2241" s="1" t="str">
        <f>'001'!B2241</f>
        <v>003129</v>
      </c>
      <c r="B2241" s="1" t="str">
        <f>'001'!C2241</f>
        <v>AEROSOL TERSUAVE ESMALTE SINTETICO BRILLANTE GRIS ESPACIAL X 0,250</v>
      </c>
      <c r="C2241" s="1" t="str">
        <f>'001'!D2241</f>
        <v>0152</v>
      </c>
      <c r="D2241" s="3" t="e">
        <f>'001'!H2241</f>
        <v>#VALUE!</v>
      </c>
    </row>
    <row r="2242" spans="1:4" x14ac:dyDescent="0.25">
      <c r="A2242" s="1" t="str">
        <f>'001'!B2242</f>
        <v>003130</v>
      </c>
      <c r="B2242" s="1" t="str">
        <f>'001'!C2242</f>
        <v>AEROSOL TERSUAVE ESMALTE SINTETICO FLUO MATE AMARILLO X 0,250</v>
      </c>
      <c r="C2242" s="1" t="str">
        <f>'001'!D2242</f>
        <v>0152</v>
      </c>
      <c r="D2242" s="3" t="e">
        <f>'001'!H2242</f>
        <v>#VALUE!</v>
      </c>
    </row>
    <row r="2243" spans="1:4" x14ac:dyDescent="0.25">
      <c r="A2243" s="1" t="str">
        <f>'001'!B2243</f>
        <v>003131</v>
      </c>
      <c r="B2243" s="1" t="str">
        <f>'001'!C2243</f>
        <v>AEROSOL TERSUAVE ESMALTE SINTETICO BRILLANTE TRAFUL X 0,250</v>
      </c>
      <c r="C2243" s="1" t="str">
        <f>'001'!D2243</f>
        <v>0152</v>
      </c>
      <c r="D2243" s="3" t="e">
        <f>'001'!H2243</f>
        <v>#VALUE!</v>
      </c>
    </row>
    <row r="2244" spans="1:4" x14ac:dyDescent="0.25">
      <c r="A2244" s="1" t="str">
        <f>'001'!B2244</f>
        <v>003132</v>
      </c>
      <c r="B2244" s="1" t="str">
        <f>'001'!C2244</f>
        <v>AEROSOL TERSUAVE ESMALTE SINTETICO SATINADO NEGRO X 0,250</v>
      </c>
      <c r="C2244" s="1" t="str">
        <f>'001'!D2244</f>
        <v>0152</v>
      </c>
      <c r="D2244" s="3" t="e">
        <f>'001'!H2244</f>
        <v>#VALUE!</v>
      </c>
    </row>
    <row r="2245" spans="1:4" x14ac:dyDescent="0.25">
      <c r="A2245" s="1" t="str">
        <f>'001'!B2245</f>
        <v>003133</v>
      </c>
      <c r="B2245" s="1" t="str">
        <f>'001'!C2245</f>
        <v>AEROSOL TERSUAVE ESMALTE SINTETICO FLUO MATE FUCSIA X 0,250</v>
      </c>
      <c r="C2245" s="1" t="str">
        <f>'001'!D2245</f>
        <v>0152</v>
      </c>
      <c r="D2245" s="3" t="e">
        <f>'001'!H2245</f>
        <v>#VALUE!</v>
      </c>
    </row>
    <row r="2246" spans="1:4" x14ac:dyDescent="0.25">
      <c r="A2246" s="1" t="str">
        <f>'001'!B2246</f>
        <v>003134</v>
      </c>
      <c r="B2246" s="1" t="str">
        <f>'001'!C2246</f>
        <v>AEROSOL TERSUAVE ESMALTE SINTETICO BRILLANTE VIOLETA X 0,250</v>
      </c>
      <c r="C2246" s="1" t="str">
        <f>'001'!D2246</f>
        <v>0152</v>
      </c>
      <c r="D2246" s="3" t="e">
        <f>'001'!H2246</f>
        <v>#VALUE!</v>
      </c>
    </row>
    <row r="2247" spans="1:4" x14ac:dyDescent="0.25">
      <c r="A2247" s="1" t="str">
        <f>'001'!B2247</f>
        <v>003135</v>
      </c>
      <c r="B2247" s="1" t="str">
        <f>'001'!C2247</f>
        <v>AEROSOL TERSUAVE ESMALTE SINTETICO FLUO MATE ROJO X 0,250</v>
      </c>
      <c r="C2247" s="1" t="str">
        <f>'001'!D2247</f>
        <v>0152</v>
      </c>
      <c r="D2247" s="3" t="e">
        <f>'001'!H2247</f>
        <v>#VALUE!</v>
      </c>
    </row>
    <row r="2248" spans="1:4" x14ac:dyDescent="0.25">
      <c r="A2248" s="1" t="str">
        <f>'001'!B2248</f>
        <v>003136</v>
      </c>
      <c r="B2248" s="1" t="str">
        <f>'001'!C2248</f>
        <v>FONDO CONVERTIDOR DE OXIDO TERSUAVE MATE VERDE X  0,500</v>
      </c>
      <c r="C2248" s="1" t="str">
        <f>'001'!D2248</f>
        <v>0152</v>
      </c>
      <c r="D2248" s="3" t="e">
        <f>'001'!H2248</f>
        <v>#VALUE!</v>
      </c>
    </row>
    <row r="2249" spans="1:4" x14ac:dyDescent="0.25">
      <c r="A2249" s="1" t="str">
        <f>'001'!B2249</f>
        <v>003137</v>
      </c>
      <c r="B2249" s="1" t="str">
        <f>'001'!C2249</f>
        <v>AEROSOL TERSUAVE ESMALTE SINTETICO BRILLANTE VIOLETA X 0,440</v>
      </c>
      <c r="C2249" s="1" t="str">
        <f>'001'!D2249</f>
        <v>0152</v>
      </c>
      <c r="D2249" s="3" t="e">
        <f>'001'!H2249</f>
        <v>#VALUE!</v>
      </c>
    </row>
    <row r="2250" spans="1:4" x14ac:dyDescent="0.25">
      <c r="A2250" s="1" t="str">
        <f>'001'!B2250</f>
        <v>003138</v>
      </c>
      <c r="B2250" s="1" t="str">
        <f>'001'!C2250</f>
        <v>AEROSOL TERSUAVE ESMALTE SINTETICO SATINADO BLANCO X 0,250</v>
      </c>
      <c r="C2250" s="1" t="str">
        <f>'001'!D2250</f>
        <v>0152</v>
      </c>
      <c r="D2250" s="3" t="e">
        <f>'001'!H2250</f>
        <v>#VALUE!</v>
      </c>
    </row>
    <row r="2251" spans="1:4" x14ac:dyDescent="0.25">
      <c r="A2251" s="1" t="str">
        <f>'001'!B2251</f>
        <v>003139</v>
      </c>
      <c r="B2251" s="1" t="str">
        <f>'001'!C2251</f>
        <v>AEROSOL TERSUAVE ESMALTE SINTETICO SATINADO NEGRO X 0,440</v>
      </c>
      <c r="C2251" s="1" t="str">
        <f>'001'!D2251</f>
        <v>0152</v>
      </c>
      <c r="D2251" s="3" t="e">
        <f>'001'!H2251</f>
        <v>#VALUE!</v>
      </c>
    </row>
    <row r="2252" spans="1:4" x14ac:dyDescent="0.25">
      <c r="A2252" s="1" t="str">
        <f>'001'!B2252</f>
        <v>003140</v>
      </c>
      <c r="B2252" s="1" t="str">
        <f>'001'!C2252</f>
        <v>AEROSOL TERSUAVE ESMALTE SINTETICO METALIZADO BRILLANTE ORO X 0,250</v>
      </c>
      <c r="C2252" s="1" t="str">
        <f>'001'!D2252</f>
        <v>0152</v>
      </c>
      <c r="D2252" s="3" t="e">
        <f>'001'!H2252</f>
        <v>#VALUE!</v>
      </c>
    </row>
    <row r="2253" spans="1:4" x14ac:dyDescent="0.25">
      <c r="A2253" s="1" t="str">
        <f>'001'!B2253</f>
        <v>003141</v>
      </c>
      <c r="B2253" s="1" t="str">
        <f>'001'!C2253</f>
        <v>AEROSOL TERSUAVE ESMALTE SINTETICO METALIZADO BRILLANTE COBRE X 0,250</v>
      </c>
      <c r="C2253" s="1" t="str">
        <f>'001'!D2253</f>
        <v>0152</v>
      </c>
      <c r="D2253" s="3" t="e">
        <f>'001'!H2253</f>
        <v>#VALUE!</v>
      </c>
    </row>
    <row r="2254" spans="1:4" x14ac:dyDescent="0.25">
      <c r="A2254" s="1" t="str">
        <f>'001'!B2254</f>
        <v>003142</v>
      </c>
      <c r="B2254" s="1" t="str">
        <f>'001'!C2254</f>
        <v>AEROSOL TERSUAVE ESMALTE SINTETICO METALIZADO BRILLANTE PLATA X 0,250</v>
      </c>
      <c r="C2254" s="1" t="str">
        <f>'001'!D2254</f>
        <v>0152</v>
      </c>
      <c r="D2254" s="3" t="e">
        <f>'001'!H2254</f>
        <v>#VALUE!</v>
      </c>
    </row>
    <row r="2255" spans="1:4" x14ac:dyDescent="0.25">
      <c r="A2255" s="1" t="str">
        <f>'001'!B2255</f>
        <v>003143</v>
      </c>
      <c r="B2255" s="1" t="str">
        <f>'001'!C2255</f>
        <v>AEROSOL TERSUAVE ESMALTE SINTETICO METALIZADO BRILLANTE BRONCE X 0,250</v>
      </c>
      <c r="C2255" s="1" t="str">
        <f>'001'!D2255</f>
        <v>0152</v>
      </c>
      <c r="D2255" s="3" t="e">
        <f>'001'!H2255</f>
        <v>#VALUE!</v>
      </c>
    </row>
    <row r="2256" spans="1:4" x14ac:dyDescent="0.25">
      <c r="A2256" s="1" t="str">
        <f>'001'!B2256</f>
        <v>003144</v>
      </c>
      <c r="B2256" s="1" t="str">
        <f>'001'!C2256</f>
        <v>AEROSOL TERSUAVE ESMALTE EFECTO ESMERILADO X 0,250</v>
      </c>
      <c r="C2256" s="1" t="str">
        <f>'001'!D2256</f>
        <v>0152</v>
      </c>
      <c r="D2256" s="3" t="e">
        <f>'001'!H2256</f>
        <v>#VALUE!</v>
      </c>
    </row>
    <row r="2257" spans="1:4" x14ac:dyDescent="0.25">
      <c r="A2257" s="1" t="str">
        <f>'001'!B2257</f>
        <v>003145</v>
      </c>
      <c r="B2257" s="1" t="str">
        <f>'001'!C2257</f>
        <v>AEROSOL TERSUAVE CONVERTIDOR DE OXIDO MATE NEGRO X 0,250</v>
      </c>
      <c r="C2257" s="1" t="str">
        <f>'001'!D2257</f>
        <v>0152</v>
      </c>
      <c r="D2257" s="3" t="e">
        <f>'001'!H2257</f>
        <v>#VALUE!</v>
      </c>
    </row>
    <row r="2258" spans="1:4" x14ac:dyDescent="0.25">
      <c r="A2258" s="1" t="str">
        <f>'001'!B2258</f>
        <v>003154</v>
      </c>
      <c r="B2258" s="1" t="str">
        <f>'001'!C2258</f>
        <v>CINTA DOBLE FAZ RAPIFIX (380) 18MM</v>
      </c>
      <c r="C2258" s="1" t="str">
        <f>'001'!D2258</f>
        <v>0181</v>
      </c>
      <c r="D2258" s="3" t="e">
        <f>'001'!H2258</f>
        <v>#VALUE!</v>
      </c>
    </row>
    <row r="2259" spans="1:4" x14ac:dyDescent="0.25">
      <c r="A2259" s="1" t="str">
        <f>'001'!B2259</f>
        <v>003164</v>
      </c>
      <c r="B2259" s="1" t="str">
        <f>'001'!C2259</f>
        <v>LATEX INTERIOR ALBALATEX ULTRALAVABLE MATE BLANCO X  1</v>
      </c>
      <c r="C2259" s="1" t="str">
        <f>'001'!D2259</f>
        <v>0902</v>
      </c>
      <c r="D2259" s="3" t="e">
        <f>'001'!H2259</f>
        <v>#VALUE!</v>
      </c>
    </row>
    <row r="2260" spans="1:4" x14ac:dyDescent="0.25">
      <c r="A2260" s="1" t="str">
        <f>'001'!B2260</f>
        <v>003165</v>
      </c>
      <c r="B2260" s="1" t="str">
        <f>'001'!C2260</f>
        <v>LATEX INTERIOR ALBALATEX ULTRALAVABLE MATE BLANCO X  4</v>
      </c>
      <c r="C2260" s="1" t="str">
        <f>'001'!D2260</f>
        <v>0902</v>
      </c>
      <c r="D2260" s="3" t="e">
        <f>'001'!H2260</f>
        <v>#VALUE!</v>
      </c>
    </row>
    <row r="2261" spans="1:4" x14ac:dyDescent="0.25">
      <c r="A2261" s="1" t="str">
        <f>'001'!B2261</f>
        <v>003166</v>
      </c>
      <c r="B2261" s="1" t="str">
        <f>'001'!C2261</f>
        <v>LATEX INTERIOR ALBALATEX ULTRALAVABLE MATE BLANCO X 10</v>
      </c>
      <c r="C2261" s="1" t="str">
        <f>'001'!D2261</f>
        <v>0902</v>
      </c>
      <c r="D2261" s="3" t="e">
        <f>'001'!H2261</f>
        <v>#VALUE!</v>
      </c>
    </row>
    <row r="2262" spans="1:4" x14ac:dyDescent="0.25">
      <c r="A2262" s="1" t="str">
        <f>'001'!B2262</f>
        <v>003167</v>
      </c>
      <c r="B2262" s="1" t="str">
        <f>'001'!C2262</f>
        <v>LATEX INTERIOR ALBALATEX ULTRALAVABLE MATE BLANCO X 20</v>
      </c>
      <c r="C2262" s="1" t="str">
        <f>'001'!D2262</f>
        <v>0902</v>
      </c>
      <c r="D2262" s="3" t="e">
        <f>'001'!H2262</f>
        <v>#VALUE!</v>
      </c>
    </row>
    <row r="2263" spans="1:4" x14ac:dyDescent="0.25">
      <c r="A2263" s="1" t="str">
        <f>'001'!B2263</f>
        <v>003168</v>
      </c>
      <c r="B2263" s="1" t="str">
        <f>'001'!C2263</f>
        <v>LATEX INTERIOR ALBALATEX ULTRALAVABLE MATE BASE P X  0,900</v>
      </c>
      <c r="C2263" s="1" t="str">
        <f>'001'!D2263</f>
        <v>0902</v>
      </c>
      <c r="D2263" s="3" t="e">
        <f>'001'!H2263</f>
        <v>#VALUE!</v>
      </c>
    </row>
    <row r="2264" spans="1:4" x14ac:dyDescent="0.25">
      <c r="A2264" s="1" t="str">
        <f>'001'!B2264</f>
        <v>003169</v>
      </c>
      <c r="B2264" s="1" t="str">
        <f>'001'!C2264</f>
        <v>LATEX INTERIOR ALBALATEX ULTRALAVABLE MATE BASE P X  3,600</v>
      </c>
      <c r="C2264" s="1" t="str">
        <f>'001'!D2264</f>
        <v>0902</v>
      </c>
      <c r="D2264" s="3" t="e">
        <f>'001'!H2264</f>
        <v>#VALUE!</v>
      </c>
    </row>
    <row r="2265" spans="1:4" x14ac:dyDescent="0.25">
      <c r="A2265" s="1" t="str">
        <f>'001'!B2265</f>
        <v>003170</v>
      </c>
      <c r="B2265" s="1" t="str">
        <f>'001'!C2265</f>
        <v>LATEX INTERIOR ALBALATEX ULTRALAVABLE MATE BASE P X  8,700</v>
      </c>
      <c r="C2265" s="1" t="str">
        <f>'001'!D2265</f>
        <v>0902</v>
      </c>
      <c r="D2265" s="3" t="e">
        <f>'001'!H2265</f>
        <v>#VALUE!</v>
      </c>
    </row>
    <row r="2266" spans="1:4" x14ac:dyDescent="0.25">
      <c r="A2266" s="1" t="str">
        <f>'001'!B2266</f>
        <v>003171</v>
      </c>
      <c r="B2266" s="1" t="str">
        <f>'001'!C2266</f>
        <v>LATEX INTERIOR ALBALATEX ULTRALAVABLE MATE BASE P X 17,400</v>
      </c>
      <c r="C2266" s="1" t="str">
        <f>'001'!D2266</f>
        <v>0902</v>
      </c>
      <c r="D2266" s="3" t="e">
        <f>'001'!H2266</f>
        <v>#VALUE!</v>
      </c>
    </row>
    <row r="2267" spans="1:4" x14ac:dyDescent="0.25">
      <c r="A2267" s="1" t="str">
        <f>'001'!B2267</f>
        <v>003172</v>
      </c>
      <c r="B2267" s="1" t="str">
        <f>'001'!C2267</f>
        <v>LATEX INTERIOR ALBALATEX ULTRALAVABLE MATE BASE F X  0,900</v>
      </c>
      <c r="C2267" s="1" t="str">
        <f>'001'!D2267</f>
        <v>0902</v>
      </c>
      <c r="D2267" s="3" t="e">
        <f>'001'!H2267</f>
        <v>#VALUE!</v>
      </c>
    </row>
    <row r="2268" spans="1:4" x14ac:dyDescent="0.25">
      <c r="A2268" s="1" t="str">
        <f>'001'!B2268</f>
        <v>003173</v>
      </c>
      <c r="B2268" s="1" t="str">
        <f>'001'!C2268</f>
        <v>LATEX INTERIOR ALBALATEX ULTRALAVABLE MATE BASE F X  3,600</v>
      </c>
      <c r="C2268" s="1" t="str">
        <f>'001'!D2268</f>
        <v>0902</v>
      </c>
      <c r="D2268" s="3" t="e">
        <f>'001'!H2268</f>
        <v>#VALUE!</v>
      </c>
    </row>
    <row r="2269" spans="1:4" x14ac:dyDescent="0.25">
      <c r="A2269" s="1" t="str">
        <f>'001'!B2269</f>
        <v>003175</v>
      </c>
      <c r="B2269" s="1" t="str">
        <f>'001'!C2269</f>
        <v>LATEX INTERIOR ALBALATEX ULTRALAVABLE MATE BASE F X 17,40</v>
      </c>
      <c r="C2269" s="1" t="str">
        <f>'001'!D2269</f>
        <v>0902</v>
      </c>
      <c r="D2269" s="3" t="e">
        <f>'001'!H2269</f>
        <v>#VALUE!</v>
      </c>
    </row>
    <row r="2270" spans="1:4" x14ac:dyDescent="0.25">
      <c r="A2270" s="1" t="str">
        <f>'001'!B2270</f>
        <v>003176</v>
      </c>
      <c r="B2270" s="1" t="str">
        <f>'001'!C2270</f>
        <v>LATEX INTERIOR ALBALATEX ULTRALAVABLE MATE BASE T X  0,900</v>
      </c>
      <c r="C2270" s="1" t="str">
        <f>'001'!D2270</f>
        <v>0902</v>
      </c>
      <c r="D2270" s="3" t="e">
        <f>'001'!H2270</f>
        <v>#VALUE!</v>
      </c>
    </row>
    <row r="2271" spans="1:4" x14ac:dyDescent="0.25">
      <c r="A2271" s="1" t="str">
        <f>'001'!B2271</f>
        <v>003177</v>
      </c>
      <c r="B2271" s="1" t="str">
        <f>'001'!C2271</f>
        <v>LATEX INTERIOR ALBALATEX ULTRALAVABLE MATE BASE T X  3,600</v>
      </c>
      <c r="C2271" s="1" t="str">
        <f>'001'!D2271</f>
        <v>0902</v>
      </c>
      <c r="D2271" s="3" t="e">
        <f>'001'!H2271</f>
        <v>#VALUE!</v>
      </c>
    </row>
    <row r="2272" spans="1:4" x14ac:dyDescent="0.25">
      <c r="A2272" s="1" t="str">
        <f>'001'!B2272</f>
        <v>003179</v>
      </c>
      <c r="B2272" s="1" t="str">
        <f>'001'!C2272</f>
        <v>AEROSOL TERSUAVE CONVERTIDOR DE OXIDO MATE BLANCO X 0,250</v>
      </c>
      <c r="C2272" s="1" t="str">
        <f>'001'!D2272</f>
        <v>0152</v>
      </c>
      <c r="D2272" s="3" t="e">
        <f>'001'!H2272</f>
        <v>#VALUE!</v>
      </c>
    </row>
    <row r="2273" spans="1:4" x14ac:dyDescent="0.25">
      <c r="A2273" s="1" t="str">
        <f>'001'!B2273</f>
        <v>003180</v>
      </c>
      <c r="B2273" s="1" t="str">
        <f>'001'!C2273</f>
        <v>AEROSOL TERSUAVE CONVERTIDOR DE OXIDO MATE BLANCO X 0,440</v>
      </c>
      <c r="C2273" s="1" t="str">
        <f>'001'!D2273</f>
        <v>0152</v>
      </c>
      <c r="D2273" s="3" t="e">
        <f>'001'!H2273</f>
        <v>#VALUE!</v>
      </c>
    </row>
    <row r="2274" spans="1:4" x14ac:dyDescent="0.25">
      <c r="A2274" s="1" t="str">
        <f>'001'!B2274</f>
        <v>003181</v>
      </c>
      <c r="B2274" s="1" t="str">
        <f>'001'!C2274</f>
        <v>AEROSOL TERSUAVE ESMALTE SINTETICO MATE BLANCO X 0,440</v>
      </c>
      <c r="C2274" s="1" t="str">
        <f>'001'!D2274</f>
        <v>0152</v>
      </c>
      <c r="D2274" s="3" t="e">
        <f>'001'!H2274</f>
        <v>#VALUE!</v>
      </c>
    </row>
    <row r="2275" spans="1:4" x14ac:dyDescent="0.25">
      <c r="A2275" s="1" t="str">
        <f>'001'!B2275</f>
        <v>003182</v>
      </c>
      <c r="B2275" s="1" t="str">
        <f>'001'!C2275</f>
        <v>AEROSOL TERSUAVE ESMALTE SINTETICO BRILLANTE CELESTE X 0,440</v>
      </c>
      <c r="C2275" s="1" t="str">
        <f>'001'!D2275</f>
        <v>0152</v>
      </c>
      <c r="D2275" s="3" t="e">
        <f>'001'!H2275</f>
        <v>#VALUE!</v>
      </c>
    </row>
    <row r="2276" spans="1:4" x14ac:dyDescent="0.25">
      <c r="A2276" s="1" t="str">
        <f>'001'!B2276</f>
        <v>003183</v>
      </c>
      <c r="B2276" s="1" t="str">
        <f>'001'!C2276</f>
        <v>AEROSOL TERSUAVE ESMALTE SINTETICO BRILLANTE GRIS ESPACIAL X 0,440</v>
      </c>
      <c r="C2276" s="1" t="str">
        <f>'001'!D2276</f>
        <v>0152</v>
      </c>
      <c r="D2276" s="3" t="e">
        <f>'001'!H2276</f>
        <v>#VALUE!</v>
      </c>
    </row>
    <row r="2277" spans="1:4" x14ac:dyDescent="0.25">
      <c r="A2277" s="1" t="str">
        <f>'001'!B2277</f>
        <v>003184</v>
      </c>
      <c r="B2277" s="1" t="str">
        <f>'001'!C2277</f>
        <v>CM-069 NEGRO AMARILLENTO X 1 (DISCONTINUADO)</v>
      </c>
      <c r="C2277" s="1" t="str">
        <f>'001'!D2277</f>
        <v>0132</v>
      </c>
      <c r="D2277" s="3" t="e">
        <f>'001'!H2277</f>
        <v>#VALUE!</v>
      </c>
    </row>
    <row r="2278" spans="1:4" x14ac:dyDescent="0.25">
      <c r="A2278" s="1" t="str">
        <f>'001'!B2278</f>
        <v>003190</v>
      </c>
      <c r="B2278" s="1" t="str">
        <f>'001'!C2278</f>
        <v>CINTA DUCT TAPE DOBLE A AMARILLO</v>
      </c>
      <c r="C2278" s="1" t="str">
        <f>'001'!D2278</f>
        <v>0102</v>
      </c>
      <c r="D2278" s="3" t="e">
        <f>'001'!H2278</f>
        <v>#VALUE!</v>
      </c>
    </row>
    <row r="2279" spans="1:4" x14ac:dyDescent="0.25">
      <c r="A2279" s="1" t="str">
        <f>'001'!B2279</f>
        <v>003191</v>
      </c>
      <c r="B2279" s="1" t="str">
        <f>'001'!C2279</f>
        <v>CINTA DUCT TAPE DOBLE A AZUL</v>
      </c>
      <c r="C2279" s="1" t="str">
        <f>'001'!D2279</f>
        <v>0102</v>
      </c>
      <c r="D2279" s="3" t="e">
        <f>'001'!H2279</f>
        <v>#VALUE!</v>
      </c>
    </row>
    <row r="2280" spans="1:4" x14ac:dyDescent="0.25">
      <c r="A2280" s="1" t="str">
        <f>'001'!B2280</f>
        <v>003192</v>
      </c>
      <c r="B2280" s="1" t="str">
        <f>'001'!C2280</f>
        <v>CINTA DUCT TAPE DOBLE A BLANCO</v>
      </c>
      <c r="C2280" s="1" t="str">
        <f>'001'!D2280</f>
        <v>0102</v>
      </c>
      <c r="D2280" s="3" t="e">
        <f>'001'!H2280</f>
        <v>#VALUE!</v>
      </c>
    </row>
    <row r="2281" spans="1:4" x14ac:dyDescent="0.25">
      <c r="A2281" s="1" t="str">
        <f>'001'!B2281</f>
        <v>003193</v>
      </c>
      <c r="B2281" s="1" t="str">
        <f>'001'!C2281</f>
        <v>CINTA DUCT TAPE DOBLE A GRIS</v>
      </c>
      <c r="C2281" s="1" t="str">
        <f>'001'!D2281</f>
        <v>0102</v>
      </c>
      <c r="D2281" s="3" t="e">
        <f>'001'!H2281</f>
        <v>#VALUE!</v>
      </c>
    </row>
    <row r="2282" spans="1:4" x14ac:dyDescent="0.25">
      <c r="A2282" s="1" t="str">
        <f>'001'!B2282</f>
        <v>003195</v>
      </c>
      <c r="B2282" s="1" t="str">
        <f>'001'!C2282</f>
        <v>CINTA DUCT TAPE DOBLE A NEGRO</v>
      </c>
      <c r="C2282" s="1" t="str">
        <f>'001'!D2282</f>
        <v>0102</v>
      </c>
      <c r="D2282" s="3" t="e">
        <f>'001'!H2282</f>
        <v>#VALUE!</v>
      </c>
    </row>
    <row r="2283" spans="1:4" x14ac:dyDescent="0.25">
      <c r="A2283" s="1" t="str">
        <f>'001'!B2283</f>
        <v>003196</v>
      </c>
      <c r="B2283" s="1" t="str">
        <f>'001'!C2283</f>
        <v>ESPUMA POLIURETANO WEBER X 0,300</v>
      </c>
      <c r="C2283" s="1" t="str">
        <f>'001'!D2283</f>
        <v>0185</v>
      </c>
      <c r="D2283" s="3" t="e">
        <f>'001'!H2283</f>
        <v>#VALUE!</v>
      </c>
    </row>
    <row r="2284" spans="1:4" x14ac:dyDescent="0.25">
      <c r="A2284" s="1" t="str">
        <f>'001'!B2284</f>
        <v>003197</v>
      </c>
      <c r="B2284" s="1" t="str">
        <f>'001'!C2284</f>
        <v>CINTA DUCT TAPE DOBLE A PURPURA</v>
      </c>
      <c r="C2284" s="1" t="str">
        <f>'001'!D2284</f>
        <v>0102</v>
      </c>
      <c r="D2284" s="3" t="e">
        <f>'001'!H2284</f>
        <v>#VALUE!</v>
      </c>
    </row>
    <row r="2285" spans="1:4" x14ac:dyDescent="0.25">
      <c r="A2285" s="1" t="str">
        <f>'001'!B2285</f>
        <v>003198</v>
      </c>
      <c r="B2285" s="1" t="str">
        <f>'001'!C2285</f>
        <v>CINTA DUCT TAPE DOBLE A ROJO</v>
      </c>
      <c r="C2285" s="1" t="str">
        <f>'001'!D2285</f>
        <v>0102</v>
      </c>
      <c r="D2285" s="3" t="e">
        <f>'001'!H2285</f>
        <v>#VALUE!</v>
      </c>
    </row>
    <row r="2286" spans="1:4" x14ac:dyDescent="0.25">
      <c r="A2286" s="1" t="str">
        <f>'001'!B2286</f>
        <v>003199</v>
      </c>
      <c r="B2286" s="1" t="str">
        <f>'001'!C2286</f>
        <v>CINTA DUCT TAPE DOBLE A VERDE</v>
      </c>
      <c r="C2286" s="1" t="str">
        <f>'001'!D2286</f>
        <v>0102</v>
      </c>
      <c r="D2286" s="3" t="e">
        <f>'001'!H2286</f>
        <v>#VALUE!</v>
      </c>
    </row>
    <row r="2287" spans="1:4" x14ac:dyDescent="0.25">
      <c r="A2287" s="1" t="str">
        <f>'001'!B2287</f>
        <v>003200</v>
      </c>
      <c r="B2287" s="1" t="str">
        <f>'001'!C2287</f>
        <v>CINTA DOBLE FAZ DOBLE A (592AA) 18MM X 30M</v>
      </c>
      <c r="C2287" s="1" t="str">
        <f>'001'!D2287</f>
        <v>0102</v>
      </c>
      <c r="D2287" s="3" t="e">
        <f>'001'!H2287</f>
        <v>#VALUE!</v>
      </c>
    </row>
    <row r="2288" spans="1:4" x14ac:dyDescent="0.25">
      <c r="A2288" s="1" t="str">
        <f>'001'!B2288</f>
        <v>003201</v>
      </c>
      <c r="B2288" s="1" t="str">
        <f>'001'!C2288</f>
        <v>CINTA DOBLE FAZ DOBLE A (592AA) 24MM X 30M</v>
      </c>
      <c r="C2288" s="1" t="str">
        <f>'001'!D2288</f>
        <v>0102</v>
      </c>
      <c r="D2288" s="3" t="e">
        <f>'001'!H2288</f>
        <v>#VALUE!</v>
      </c>
    </row>
    <row r="2289" spans="1:4" x14ac:dyDescent="0.25">
      <c r="A2289" s="1" t="str">
        <f>'001'!B2289</f>
        <v>003202</v>
      </c>
      <c r="B2289" s="1" t="str">
        <f>'001'!C2289</f>
        <v>CINTA DOBLE FAZ DOBLE A (592AA) 36MM X 30M</v>
      </c>
      <c r="C2289" s="1" t="str">
        <f>'001'!D2289</f>
        <v>0102</v>
      </c>
      <c r="D2289" s="3" t="e">
        <f>'001'!H2289</f>
        <v>#VALUE!</v>
      </c>
    </row>
    <row r="2290" spans="1:4" x14ac:dyDescent="0.25">
      <c r="A2290" s="1" t="str">
        <f>'001'!B2290</f>
        <v>003203</v>
      </c>
      <c r="B2290" s="1" t="str">
        <f>'001'!C2290</f>
        <v>CINTA DOBLE FAZ DOBLE A (592AA) 48MM X 30M</v>
      </c>
      <c r="C2290" s="1" t="str">
        <f>'001'!D2290</f>
        <v>0102</v>
      </c>
      <c r="D2290" s="3" t="e">
        <f>'001'!H2290</f>
        <v>#VALUE!</v>
      </c>
    </row>
    <row r="2291" spans="1:4" x14ac:dyDescent="0.25">
      <c r="A2291" s="1" t="str">
        <f>'001'!B2291</f>
        <v>003204</v>
      </c>
      <c r="B2291" s="1" t="str">
        <f>'001'!C2291</f>
        <v>FONDO CONVERTIDOR DE OXIDO TERSUAVE MATE BLANCO X  1</v>
      </c>
      <c r="C2291" s="1" t="str">
        <f>'001'!D2291</f>
        <v>0152</v>
      </c>
      <c r="D2291" s="3" t="e">
        <f>'001'!H2291</f>
        <v>#VALUE!</v>
      </c>
    </row>
    <row r="2292" spans="1:4" x14ac:dyDescent="0.25">
      <c r="A2292" s="1" t="str">
        <f>'001'!B2292</f>
        <v>003206</v>
      </c>
      <c r="B2292" s="1" t="str">
        <f>'001'!C2292</f>
        <v>TAZA PLASTICA REFORZADA 1LT P/C2 ADIABATIC</v>
      </c>
      <c r="C2292" s="1" t="str">
        <f>'001'!D2292</f>
        <v>0104</v>
      </c>
      <c r="D2292" s="3" t="e">
        <f>'001'!H2292</f>
        <v>#VALUE!</v>
      </c>
    </row>
    <row r="2293" spans="1:4" x14ac:dyDescent="0.25">
      <c r="A2293" s="1" t="str">
        <f>'001'!B2293</f>
        <v>003208</v>
      </c>
      <c r="B2293" s="1" t="str">
        <f>'001'!C2293</f>
        <v>MANG.AIRE 7,5 M ACOP.RAP ADIABATIC (00MA7_5R)</v>
      </c>
      <c r="C2293" s="1" t="str">
        <f>'001'!D2293</f>
        <v>0104</v>
      </c>
      <c r="D2293" s="3" t="e">
        <f>'001'!H2293</f>
        <v>#VALUE!</v>
      </c>
    </row>
    <row r="2294" spans="1:4" x14ac:dyDescent="0.25">
      <c r="A2294" s="1" t="str">
        <f>'001'!B2294</f>
        <v>003210</v>
      </c>
      <c r="B2294" s="1" t="str">
        <f>'001'!C2294</f>
        <v>AEROSOL TERSUAVE ESMALTE SINTETICO BRILLANTE PLATA X 0,250</v>
      </c>
      <c r="C2294" s="1" t="str">
        <f>'001'!D2294</f>
        <v>0152</v>
      </c>
      <c r="D2294" s="3" t="e">
        <f>'001'!H2294</f>
        <v>#VALUE!</v>
      </c>
    </row>
    <row r="2295" spans="1:4" x14ac:dyDescent="0.25">
      <c r="A2295" s="1" t="str">
        <f>'001'!B2295</f>
        <v>003211</v>
      </c>
      <c r="B2295" s="1" t="str">
        <f>'001'!C2295</f>
        <v>IMPRIMACION DEMARCACION VIAL TERVIAL BRILLANTE X  4</v>
      </c>
      <c r="C2295" s="1" t="str">
        <f>'001'!D2295</f>
        <v>0153</v>
      </c>
      <c r="D2295" s="3" t="e">
        <f>'001'!H2295</f>
        <v>#VALUE!</v>
      </c>
    </row>
    <row r="2296" spans="1:4" x14ac:dyDescent="0.25">
      <c r="A2296" s="1" t="str">
        <f>'001'!B2296</f>
        <v>003212</v>
      </c>
      <c r="B2296" s="1" t="str">
        <f>'001'!C2296</f>
        <v>IMPRIMACION DEMARCACION VIAL TERVIAL BRILLANTE X 20</v>
      </c>
      <c r="C2296" s="1" t="str">
        <f>'001'!D2296</f>
        <v>0153</v>
      </c>
      <c r="D2296" s="3" t="e">
        <f>'001'!H2296</f>
        <v>#VALUE!</v>
      </c>
    </row>
    <row r="2297" spans="1:4" x14ac:dyDescent="0.25">
      <c r="A2297" s="1" t="str">
        <f>'001'!B2297</f>
        <v>003214</v>
      </c>
      <c r="B2297" s="1" t="str">
        <f>'001'!C2297</f>
        <v>MICROESFERA PARA SEMBRADO DROP-ON H80 X 1</v>
      </c>
      <c r="C2297" s="1" t="str">
        <f>'001'!D2297</f>
        <v>0153</v>
      </c>
      <c r="D2297" s="3" t="e">
        <f>'001'!H2297</f>
        <v>#VALUE!</v>
      </c>
    </row>
    <row r="2298" spans="1:4" x14ac:dyDescent="0.25">
      <c r="A2298" s="1" t="str">
        <f>'001'!B2298</f>
        <v>003215</v>
      </c>
      <c r="B2298" s="1" t="str">
        <f>'001'!C2298</f>
        <v>EFECTO ESPECIAL DESIGN BASE VELVET/NUAGE X 2,1</v>
      </c>
      <c r="C2298" s="1" t="str">
        <f>'001'!D2298</f>
        <v>0108</v>
      </c>
      <c r="D2298" s="3" t="e">
        <f>'001'!H2298</f>
        <v>#VALUE!</v>
      </c>
    </row>
    <row r="2299" spans="1:4" x14ac:dyDescent="0.25">
      <c r="A2299" s="1" t="str">
        <f>'001'!B2299</f>
        <v>003216</v>
      </c>
      <c r="B2299" s="1" t="str">
        <f>'001'!C2299</f>
        <v>MICROESFERAS DE PREMEZCLADO PRE-MIX P93 X 1</v>
      </c>
      <c r="C2299" s="1" t="str">
        <f>'001'!D2299</f>
        <v>0153</v>
      </c>
      <c r="D2299" s="3" t="e">
        <f>'001'!H2299</f>
        <v>#VALUE!</v>
      </c>
    </row>
    <row r="2300" spans="1:4" x14ac:dyDescent="0.25">
      <c r="A2300" s="1" t="str">
        <f>'001'!B2300</f>
        <v>003221</v>
      </c>
      <c r="B2300" s="1" t="str">
        <f>'001'!C2300</f>
        <v>CM-008 PRETO AZULADO X 1</v>
      </c>
      <c r="C2300" s="1" t="str">
        <f>'001'!D2300</f>
        <v>0132</v>
      </c>
      <c r="D2300" s="3" t="e">
        <f>'001'!H2300</f>
        <v>#VALUE!</v>
      </c>
    </row>
    <row r="2301" spans="1:4" x14ac:dyDescent="0.25">
      <c r="A2301" s="1" t="str">
        <f>'001'!B2301</f>
        <v>003222</v>
      </c>
      <c r="B2301" s="1" t="str">
        <f>'001'!C2301</f>
        <v>CM-070 AZUL MARINO X 1</v>
      </c>
      <c r="C2301" s="1" t="str">
        <f>'001'!D2301</f>
        <v>0132</v>
      </c>
      <c r="D2301" s="3" t="e">
        <f>'001'!H2301</f>
        <v>#VALUE!</v>
      </c>
    </row>
    <row r="2302" spans="1:4" x14ac:dyDescent="0.25">
      <c r="A2302" s="1" t="str">
        <f>'001'!B2302</f>
        <v>003228</v>
      </c>
      <c r="B2302" s="1" t="str">
        <f>'001'!C2302</f>
        <v>EFECTO ESPECIAL DESIGN BASE MARMOL X 3,240</v>
      </c>
      <c r="C2302" s="1" t="str">
        <f>'001'!D2302</f>
        <v>0108</v>
      </c>
      <c r="D2302" s="3" t="e">
        <f>'001'!H2302</f>
        <v>#VALUE!</v>
      </c>
    </row>
    <row r="2303" spans="1:4" x14ac:dyDescent="0.25">
      <c r="A2303" s="1" t="str">
        <f>'001'!B2303</f>
        <v>003229</v>
      </c>
      <c r="B2303" s="1" t="str">
        <f>'001'!C2303</f>
        <v>EFECTO ESPECIAL DESIGN BASE CEMENTO X 3,240</v>
      </c>
      <c r="C2303" s="1" t="str">
        <f>'001'!D2303</f>
        <v>0108</v>
      </c>
      <c r="D2303" s="3" t="e">
        <f>'001'!H2303</f>
        <v>#VALUE!</v>
      </c>
    </row>
    <row r="2304" spans="1:4" x14ac:dyDescent="0.25">
      <c r="A2304" s="1" t="str">
        <f>'001'!B2304</f>
        <v>003230</v>
      </c>
      <c r="B2304" s="1" t="str">
        <f>'001'!C2304</f>
        <v>AEROSOL TERSUAVE ESMALTE SINTETICO BRILLANTE ORO X 0,250</v>
      </c>
      <c r="C2304" s="1" t="str">
        <f>'001'!D2304</f>
        <v>0152</v>
      </c>
      <c r="D2304" s="3" t="e">
        <f>'001'!H2304</f>
        <v>#VALUE!</v>
      </c>
    </row>
    <row r="2305" spans="1:4" x14ac:dyDescent="0.25">
      <c r="A2305" s="1" t="str">
        <f>'001'!B2305</f>
        <v>003231</v>
      </c>
      <c r="B2305" s="1" t="str">
        <f>'001'!C2305</f>
        <v>AEROSOL TERSUAVE ESMALTE SINTETICO BRILLANTE COBRE X 0,250</v>
      </c>
      <c r="C2305" s="1" t="str">
        <f>'001'!D2305</f>
        <v>0152</v>
      </c>
      <c r="D2305" s="3" t="e">
        <f>'001'!H2305</f>
        <v>#VALUE!</v>
      </c>
    </row>
    <row r="2306" spans="1:4" x14ac:dyDescent="0.25">
      <c r="A2306" s="1" t="str">
        <f>'001'!B2306</f>
        <v>003232</v>
      </c>
      <c r="B2306" s="1" t="str">
        <f>'001'!C2306</f>
        <v>AEROSOL TERSUAVE ESMALTE SINTETICO BRILLANTE COBRE X 0,440</v>
      </c>
      <c r="C2306" s="1" t="str">
        <f>'001'!D2306</f>
        <v>0152</v>
      </c>
      <c r="D2306" s="3" t="e">
        <f>'001'!H2306</f>
        <v>#VALUE!</v>
      </c>
    </row>
    <row r="2307" spans="1:4" x14ac:dyDescent="0.25">
      <c r="A2307" s="1" t="str">
        <f>'001'!B2307</f>
        <v>003237</v>
      </c>
      <c r="B2307" s="1" t="str">
        <f>'001'!C2307</f>
        <v>AEROSOL TERSUAVE ESMALTE SINTETICO BRILLANTE MARRON X 0,440</v>
      </c>
      <c r="C2307" s="1" t="str">
        <f>'001'!D2307</f>
        <v>0152</v>
      </c>
      <c r="D2307" s="3" t="e">
        <f>'001'!H2307</f>
        <v>#VALUE!</v>
      </c>
    </row>
    <row r="2308" spans="1:4" x14ac:dyDescent="0.25">
      <c r="A2308" s="1" t="str">
        <f>'001'!B2308</f>
        <v>003238</v>
      </c>
      <c r="B2308" s="1" t="str">
        <f>'001'!C2308</f>
        <v>DISCO FOAM AZUL FINO(DFAZULF)</v>
      </c>
      <c r="C2308" s="1" t="str">
        <f>'001'!D2308</f>
        <v>0156</v>
      </c>
      <c r="D2308" s="3" t="e">
        <f>'001'!H2308</f>
        <v>#VALUE!</v>
      </c>
    </row>
    <row r="2309" spans="1:4" x14ac:dyDescent="0.25">
      <c r="A2309" s="1" t="str">
        <f>'001'!B2309</f>
        <v>003239</v>
      </c>
      <c r="B2309" s="1" t="str">
        <f>'001'!C2309</f>
        <v>DISCO FOAM AZUL SUPERFINO(DFAZULSF)</v>
      </c>
      <c r="C2309" s="1" t="str">
        <f>'001'!D2309</f>
        <v>0156</v>
      </c>
      <c r="D2309" s="3" t="e">
        <f>'001'!H2309</f>
        <v>#VALUE!</v>
      </c>
    </row>
    <row r="2310" spans="1:4" x14ac:dyDescent="0.25">
      <c r="A2310" s="1" t="str">
        <f>'001'!B2310</f>
        <v>003240</v>
      </c>
      <c r="B2310" s="1" t="str">
        <f>'001'!C2310</f>
        <v>DISCO FOAM AZUL MICROFINO(DFAZULMF)</v>
      </c>
      <c r="C2310" s="1" t="str">
        <f>'001'!D2310</f>
        <v>0156</v>
      </c>
      <c r="D2310" s="3" t="e">
        <f>'001'!H2310</f>
        <v>#VALUE!</v>
      </c>
    </row>
    <row r="2311" spans="1:4" x14ac:dyDescent="0.25">
      <c r="A2311" s="1" t="str">
        <f>'001'!B2311</f>
        <v>003241</v>
      </c>
      <c r="B2311" s="1" t="str">
        <f>'001'!C2311</f>
        <v>ABRAP DC ESP P 500(GRIS)</v>
      </c>
      <c r="C2311" s="1" t="str">
        <f>'001'!D2311</f>
        <v>0156</v>
      </c>
      <c r="D2311" s="3" t="e">
        <f>'001'!H2311</f>
        <v>#VALUE!</v>
      </c>
    </row>
    <row r="2312" spans="1:4" x14ac:dyDescent="0.25">
      <c r="A2312" s="1" t="str">
        <f>'001'!B2312</f>
        <v>003242</v>
      </c>
      <c r="B2312" s="1" t="str">
        <f>'001'!C2312</f>
        <v>ABRAP DC ESP P 800(AZUL)</v>
      </c>
      <c r="C2312" s="1" t="str">
        <f>'001'!D2312</f>
        <v>0156</v>
      </c>
      <c r="D2312" s="3" t="e">
        <f>'001'!H2312</f>
        <v>#VALUE!</v>
      </c>
    </row>
    <row r="2313" spans="1:4" x14ac:dyDescent="0.25">
      <c r="A2313" s="1" t="str">
        <f>'001'!B2313</f>
        <v>003243</v>
      </c>
      <c r="B2313" s="1" t="str">
        <f>'001'!C2313</f>
        <v>ABRAP DC ESP P1000/1200(VIOLETA)</v>
      </c>
      <c r="C2313" s="1" t="str">
        <f>'001'!D2313</f>
        <v>0156</v>
      </c>
      <c r="D2313" s="3" t="e">
        <f>'001'!H2313</f>
        <v>#VALUE!</v>
      </c>
    </row>
    <row r="2314" spans="1:4" x14ac:dyDescent="0.25">
      <c r="A2314" s="1" t="str">
        <f>'001'!B2314</f>
        <v>003244</v>
      </c>
      <c r="B2314" s="1" t="str">
        <f>'001'!C2314</f>
        <v>ABRAP DC ESP P1500/2000(NARANJA)</v>
      </c>
      <c r="C2314" s="1" t="str">
        <f>'001'!D2314</f>
        <v>0156</v>
      </c>
      <c r="D2314" s="3" t="e">
        <f>'001'!H2314</f>
        <v>#VALUE!</v>
      </c>
    </row>
    <row r="2315" spans="1:4" x14ac:dyDescent="0.25">
      <c r="A2315" s="1" t="str">
        <f>'001'!B2315</f>
        <v>003245</v>
      </c>
      <c r="B2315" s="1" t="str">
        <f>'001'!C2315</f>
        <v>ABRAP DC ESP P2500/3000(ROJO)</v>
      </c>
      <c r="C2315" s="1" t="str">
        <f>'001'!D2315</f>
        <v>0156</v>
      </c>
      <c r="D2315" s="3" t="e">
        <f>'001'!H2315</f>
        <v>#VALUE!</v>
      </c>
    </row>
    <row r="2316" spans="1:4" x14ac:dyDescent="0.25">
      <c r="A2316" s="1" t="str">
        <f>'001'!B2316</f>
        <v>003246</v>
      </c>
      <c r="B2316" s="1" t="str">
        <f>'001'!C2316</f>
        <v>ABRAP DC ESP P4000(VERDE)</v>
      </c>
      <c r="C2316" s="1" t="str">
        <f>'001'!D2316</f>
        <v>0156</v>
      </c>
      <c r="D2316" s="3" t="e">
        <f>'001'!H2316</f>
        <v>#VALUE!</v>
      </c>
    </row>
    <row r="2317" spans="1:4" x14ac:dyDescent="0.25">
      <c r="A2317" s="1" t="str">
        <f>'001'!B2317</f>
        <v>003247</v>
      </c>
      <c r="B2317" s="1" t="str">
        <f>'001'!C2317</f>
        <v>ABRAP DC ESP P5000(AMARILLO)</v>
      </c>
      <c r="C2317" s="1" t="str">
        <f>'001'!D2317</f>
        <v>0156</v>
      </c>
      <c r="D2317" s="3" t="e">
        <f>'001'!H2317</f>
        <v>#VALUE!</v>
      </c>
    </row>
    <row r="2318" spans="1:4" x14ac:dyDescent="0.25">
      <c r="A2318" s="1" t="str">
        <f>'001'!B2318</f>
        <v>003248</v>
      </c>
      <c r="B2318" s="1" t="str">
        <f>'001'!C2318</f>
        <v>FILM PARA ENMASCASCARAR 19MM X 35CM X 22,5</v>
      </c>
      <c r="C2318" s="1" t="str">
        <f>'001'!D2318</f>
        <v>0156</v>
      </c>
      <c r="D2318" s="3" t="e">
        <f>'001'!H2318</f>
        <v>#VALUE!</v>
      </c>
    </row>
    <row r="2319" spans="1:4" x14ac:dyDescent="0.25">
      <c r="A2319" s="1" t="str">
        <f>'001'!B2319</f>
        <v>003249</v>
      </c>
      <c r="B2319" s="1" t="str">
        <f>'001'!C2319</f>
        <v>FILM PARA ENMASCASCARAR 19MM X  60CM X 22,5</v>
      </c>
      <c r="C2319" s="1" t="str">
        <f>'001'!D2319</f>
        <v>0165</v>
      </c>
      <c r="D2319" s="3" t="e">
        <f>'001'!H2319</f>
        <v>#VALUE!</v>
      </c>
    </row>
    <row r="2320" spans="1:4" x14ac:dyDescent="0.25">
      <c r="A2320" s="1" t="str">
        <f>'001'!B2320</f>
        <v>003250</v>
      </c>
      <c r="B2320" s="1" t="str">
        <f>'001'!C2320</f>
        <v>FILM PARA ENMASCASCARAR 19MM X 90CM X 22,5</v>
      </c>
      <c r="C2320" s="1" t="str">
        <f>'001'!D2320</f>
        <v>0156</v>
      </c>
      <c r="D2320" s="3" t="e">
        <f>'001'!H2320</f>
        <v>#VALUE!</v>
      </c>
    </row>
    <row r="2321" spans="1:4" x14ac:dyDescent="0.25">
      <c r="A2321" s="1" t="str">
        <f>'001'!B2321</f>
        <v>003251</v>
      </c>
      <c r="B2321" s="1" t="str">
        <f>'001'!C2321</f>
        <v>FILM PARA ENMASCASCARAR 19MM X 120CM X 22,5</v>
      </c>
      <c r="C2321" s="1" t="str">
        <f>'001'!D2321</f>
        <v>0165</v>
      </c>
      <c r="D2321" s="3" t="e">
        <f>'001'!H2321</f>
        <v>#VALUE!</v>
      </c>
    </row>
    <row r="2322" spans="1:4" x14ac:dyDescent="0.25">
      <c r="A2322" s="1" t="str">
        <f>'001'!B2322</f>
        <v>003252</v>
      </c>
      <c r="B2322" s="1" t="str">
        <f>'001'!C2322</f>
        <v>SOPORTE DE PINTADO MULTIFUNCION</v>
      </c>
      <c r="C2322" s="1" t="str">
        <f>'001'!D2322</f>
        <v>0156</v>
      </c>
      <c r="D2322" s="3" t="e">
        <f>'001'!H2322</f>
        <v>#VALUE!</v>
      </c>
    </row>
    <row r="2323" spans="1:4" x14ac:dyDescent="0.25">
      <c r="A2323" s="1" t="str">
        <f>'001'!B2323</f>
        <v>003253</v>
      </c>
      <c r="B2323" s="1" t="str">
        <f>'001'!C2323</f>
        <v>KIT DE LIMPIEZA DE PISTOLAS</v>
      </c>
      <c r="C2323" s="1" t="str">
        <f>'001'!D2323</f>
        <v>0156</v>
      </c>
      <c r="D2323" s="3" t="e">
        <f>'001'!H2323</f>
        <v>#VALUE!</v>
      </c>
    </row>
    <row r="2324" spans="1:4" x14ac:dyDescent="0.25">
      <c r="A2324" s="1" t="str">
        <f>'001'!B2324</f>
        <v>003254</v>
      </c>
      <c r="B2324" s="1" t="str">
        <f>'001'!C2324</f>
        <v>CUCHILLA CORTA PLASTICOS</v>
      </c>
      <c r="C2324" s="1" t="str">
        <f>'001'!D2324</f>
        <v>0156</v>
      </c>
      <c r="D2324" s="3" t="e">
        <f>'001'!H2324</f>
        <v>#VALUE!</v>
      </c>
    </row>
    <row r="2325" spans="1:4" x14ac:dyDescent="0.25">
      <c r="A2325" s="1" t="str">
        <f>'001'!B2325</f>
        <v>003255</v>
      </c>
      <c r="B2325" s="1" t="str">
        <f>'001'!C2325</f>
        <v>SOPORTE MAGNETICO PARA PISTOLA</v>
      </c>
      <c r="C2325" s="1" t="str">
        <f>'001'!D2325</f>
        <v>0156</v>
      </c>
      <c r="D2325" s="3" t="e">
        <f>'001'!H2325</f>
        <v>#VALUE!</v>
      </c>
    </row>
    <row r="2326" spans="1:4" x14ac:dyDescent="0.25">
      <c r="A2326" s="1" t="str">
        <f>'001'!B2326</f>
        <v>003256</v>
      </c>
      <c r="B2326" s="1" t="str">
        <f>'001'!C2326</f>
        <v>PISTOLA PARA PINTAR ADIABATIC HVLP (PI-H827-14) (PI-H881-14)</v>
      </c>
      <c r="C2326" s="1" t="str">
        <f>'001'!D2326</f>
        <v>0104</v>
      </c>
      <c r="D2326" s="3" t="e">
        <f>'001'!H2326</f>
        <v>#VALUE!</v>
      </c>
    </row>
    <row r="2327" spans="1:4" x14ac:dyDescent="0.25">
      <c r="A2327" s="1" t="str">
        <f>'001'!B2327</f>
        <v>003257</v>
      </c>
      <c r="B2327" s="1" t="str">
        <f>'001'!C2327</f>
        <v>PISTOLA PARA PINTAR ADIABATIC ALTA PRESION (PI-S701-17)</v>
      </c>
      <c r="C2327" s="1" t="str">
        <f>'001'!D2327</f>
        <v>0104</v>
      </c>
      <c r="D2327" s="3" t="e">
        <f>'001'!H2327</f>
        <v>#VALUE!</v>
      </c>
    </row>
    <row r="2328" spans="1:4" x14ac:dyDescent="0.25">
      <c r="A2328" s="1" t="str">
        <f>'001'!B2328</f>
        <v>003258</v>
      </c>
      <c r="B2328" s="1" t="str">
        <f>'001'!C2328</f>
        <v>DILUYENTE AGUARRAS MINERAL X  1</v>
      </c>
      <c r="C2328" s="1" t="str">
        <f>'001'!D2328</f>
        <v>0186</v>
      </c>
      <c r="D2328" s="3" t="e">
        <f>'001'!H2328</f>
        <v>#VALUE!</v>
      </c>
    </row>
    <row r="2329" spans="1:4" x14ac:dyDescent="0.25">
      <c r="A2329" s="1" t="str">
        <f>'001'!B2329</f>
        <v>003259</v>
      </c>
      <c r="B2329" s="1" t="str">
        <f>'001'!C2329</f>
        <v>DILUYENTE AGUARRAS MINERAL X  4</v>
      </c>
      <c r="C2329" s="1" t="str">
        <f>'001'!D2329</f>
        <v>0186</v>
      </c>
      <c r="D2329" s="3" t="e">
        <f>'001'!H2329</f>
        <v>#VALUE!</v>
      </c>
    </row>
    <row r="2330" spans="1:4" x14ac:dyDescent="0.25">
      <c r="A2330" s="1" t="str">
        <f>'001'!B2330</f>
        <v>003260</v>
      </c>
      <c r="B2330" s="1" t="str">
        <f>'001'!C2330</f>
        <v>DILUYENTE AGUARRAS MINERAL X 10</v>
      </c>
      <c r="C2330" s="1" t="str">
        <f>'001'!D2330</f>
        <v>0186</v>
      </c>
      <c r="D2330" s="3" t="e">
        <f>'001'!H2330</f>
        <v>#VALUE!</v>
      </c>
    </row>
    <row r="2331" spans="1:4" x14ac:dyDescent="0.25">
      <c r="A2331" s="1" t="str">
        <f>'001'!B2331</f>
        <v>003263</v>
      </c>
      <c r="B2331" s="1" t="str">
        <f>'001'!C2331</f>
        <v>PISTOLA PARA PINTAR ADIABATIC TAZA AB.PROF.C2 PLUS P/EC2000</v>
      </c>
      <c r="C2331" s="1" t="str">
        <f>'001'!D2331</f>
        <v>0104</v>
      </c>
      <c r="D2331" s="3" t="e">
        <f>'001'!H2331</f>
        <v>#VALUE!</v>
      </c>
    </row>
    <row r="2332" spans="1:4" x14ac:dyDescent="0.25">
      <c r="A2332" s="1" t="str">
        <f>'001'!B2332</f>
        <v>003264</v>
      </c>
      <c r="B2332" s="1" t="str">
        <f>'001'!C2332</f>
        <v>PISTOLA PARA PINTAR ADIABATIC TAZA AB.PROF.C5 PLUS P/EC3000</v>
      </c>
      <c r="C2332" s="1" t="str">
        <f>'001'!D2332</f>
        <v>0104</v>
      </c>
      <c r="D2332" s="3" t="e">
        <f>'001'!H2332</f>
        <v>#VALUE!</v>
      </c>
    </row>
    <row r="2333" spans="1:4" x14ac:dyDescent="0.25">
      <c r="A2333" s="1" t="str">
        <f>'001'!B2333</f>
        <v>003265</v>
      </c>
      <c r="B2333" s="1" t="str">
        <f>'001'!C2333</f>
        <v>PISTOLA DE GRAVEDAD PARA PINTAR ADIABATIC TAZA DE PLASTICO</v>
      </c>
      <c r="C2333" s="1" t="str">
        <f>'001'!D2333</f>
        <v>0104</v>
      </c>
      <c r="D2333" s="3" t="e">
        <f>'001'!H2333</f>
        <v>#VALUE!</v>
      </c>
    </row>
    <row r="2334" spans="1:4" x14ac:dyDescent="0.25">
      <c r="A2334" s="1" t="str">
        <f>'001'!B2334</f>
        <v>003267</v>
      </c>
      <c r="B2334" s="1" t="str">
        <f>'001'!C2334</f>
        <v>BIFURCADOR DE AIRE DE 2 SALIDAS ADIABATIC(00BIFAI2)</v>
      </c>
      <c r="C2334" s="1" t="str">
        <f>'001'!D2334</f>
        <v>0104</v>
      </c>
      <c r="D2334" s="3" t="e">
        <f>'001'!H2334</f>
        <v>#VALUE!</v>
      </c>
    </row>
    <row r="2335" spans="1:4" x14ac:dyDescent="0.25">
      <c r="A2335" s="1" t="str">
        <f>'001'!B2335</f>
        <v>003268</v>
      </c>
      <c r="B2335" s="1" t="str">
        <f>'001'!C2335</f>
        <v>TUERCA TAPON 24 X 1,5 MM ADIABATIC (0173DLL0)</v>
      </c>
      <c r="C2335" s="1" t="str">
        <f>'001'!D2335</f>
        <v>0104</v>
      </c>
      <c r="D2335" s="3" t="e">
        <f>'001'!H2335</f>
        <v>#VALUE!</v>
      </c>
    </row>
    <row r="2336" spans="1:4" x14ac:dyDescent="0.25">
      <c r="A2336" s="1" t="str">
        <f>'001'!B2336</f>
        <v>003269</v>
      </c>
      <c r="B2336" s="1" t="str">
        <f>'001'!C2336</f>
        <v>CR-303 BRANCO NEVE REDUZIDO X 1</v>
      </c>
      <c r="C2336" s="1" t="str">
        <f>'001'!D2336</f>
        <v>0132</v>
      </c>
      <c r="D2336" s="3" t="e">
        <f>'001'!H2336</f>
        <v>#VALUE!</v>
      </c>
    </row>
    <row r="2337" spans="1:4" x14ac:dyDescent="0.25">
      <c r="A2337" s="1" t="str">
        <f>'001'!B2337</f>
        <v>003270</v>
      </c>
      <c r="B2337" s="1" t="str">
        <f>'001'!C2337</f>
        <v>REPUESTO CANE PICO 1,8 MM HVG (200182)</v>
      </c>
      <c r="C2337" s="1" t="str">
        <f>'001'!D2337</f>
        <v>0115</v>
      </c>
      <c r="D2337" s="3" t="e">
        <f>'001'!H2337</f>
        <v>#VALUE!</v>
      </c>
    </row>
    <row r="2338" spans="1:4" x14ac:dyDescent="0.25">
      <c r="A2338" s="1" t="str">
        <f>'001'!B2338</f>
        <v>003271</v>
      </c>
      <c r="B2338" s="1" t="str">
        <f>'001'!C2338</f>
        <v>P41.04 PRIMER 2K ALTOS SOLIDOS ACS X 0.720</v>
      </c>
      <c r="C2338" s="1" t="str">
        <f>'001'!D2338</f>
        <v>0132</v>
      </c>
      <c r="D2338" s="3" t="e">
        <f>'001'!H2338</f>
        <v>#VALUE!</v>
      </c>
    </row>
    <row r="2339" spans="1:4" x14ac:dyDescent="0.25">
      <c r="A2339" s="1" t="str">
        <f>'001'!B2339</f>
        <v>003272</v>
      </c>
      <c r="B2339" s="1" t="str">
        <f>'001'!C2339</f>
        <v>A242 MASILLA ACR.FINA BEIGE X 0,200</v>
      </c>
      <c r="C2339" s="1" t="str">
        <f>'001'!D2339</f>
        <v>0134</v>
      </c>
      <c r="D2339" s="3" t="e">
        <f>'001'!H2339</f>
        <v>#VALUE!</v>
      </c>
    </row>
    <row r="2340" spans="1:4" x14ac:dyDescent="0.25">
      <c r="A2340" s="1" t="str">
        <f>'001'!B2340</f>
        <v>003273</v>
      </c>
      <c r="B2340" s="1" t="str">
        <f>'001'!C2340</f>
        <v>END010.32 CATALIZADOR NORMAL ACS X 0.180</v>
      </c>
      <c r="C2340" s="1" t="str">
        <f>'001'!D2340</f>
        <v>0132</v>
      </c>
      <c r="D2340" s="3" t="e">
        <f>'001'!H2340</f>
        <v>#VALUE!</v>
      </c>
    </row>
    <row r="2341" spans="1:4" x14ac:dyDescent="0.25">
      <c r="A2341" s="1" t="str">
        <f>'001'!B2341</f>
        <v>003274</v>
      </c>
      <c r="B2341" s="1" t="str">
        <f>'001'!C2341</f>
        <v>ESPONJA CARRO FINA (MARRON)</v>
      </c>
      <c r="C2341" s="1" t="str">
        <f>'001'!D2341</f>
        <v>0156</v>
      </c>
      <c r="D2341" s="3" t="e">
        <f>'001'!H2341</f>
        <v>#VALUE!</v>
      </c>
    </row>
    <row r="2342" spans="1:4" x14ac:dyDescent="0.25">
      <c r="A2342" s="1" t="str">
        <f>'001'!B2342</f>
        <v>003275</v>
      </c>
      <c r="B2342" s="1" t="str">
        <f>'001'!C2342</f>
        <v>ESPONJA CARRO SUPER FINA (VERDE)</v>
      </c>
      <c r="C2342" s="1" t="str">
        <f>'001'!D2342</f>
        <v>0156</v>
      </c>
      <c r="D2342" s="3" t="e">
        <f>'001'!H2342</f>
        <v>#VALUE!</v>
      </c>
    </row>
    <row r="2343" spans="1:4" x14ac:dyDescent="0.25">
      <c r="A2343" s="1" t="str">
        <f>'001'!B2343</f>
        <v>003276</v>
      </c>
      <c r="B2343" s="1" t="str">
        <f>'001'!C2343</f>
        <v>ESPONJA CARRO MICROFINA (LILA)</v>
      </c>
      <c r="C2343" s="1" t="str">
        <f>'001'!D2343</f>
        <v>0156</v>
      </c>
      <c r="D2343" s="3" t="e">
        <f>'001'!H2343</f>
        <v>#VALUE!</v>
      </c>
    </row>
    <row r="2344" spans="1:4" x14ac:dyDescent="0.25">
      <c r="A2344" s="1" t="str">
        <f>'001'!B2344</f>
        <v>003277</v>
      </c>
      <c r="B2344" s="1" t="str">
        <f>'001'!C2344</f>
        <v>CR-309 PRETO REDUZIDO X 1</v>
      </c>
      <c r="C2344" s="1" t="str">
        <f>'001'!D2344</f>
        <v>0132</v>
      </c>
      <c r="D2344" s="3" t="e">
        <f>'001'!H2344</f>
        <v>#VALUE!</v>
      </c>
    </row>
    <row r="2345" spans="1:4" x14ac:dyDescent="0.25">
      <c r="A2345" s="1" t="str">
        <f>'001'!B2345</f>
        <v>003286</v>
      </c>
      <c r="B2345" s="1" t="str">
        <f>'001'!C2345</f>
        <v>LIJA AL AGUAAA CS # P150</v>
      </c>
      <c r="C2345" s="1" t="str">
        <f>'001'!D2345</f>
        <v>0102</v>
      </c>
      <c r="D2345" s="3" t="e">
        <f>'001'!H2345</f>
        <v>#VALUE!</v>
      </c>
    </row>
    <row r="2346" spans="1:4" x14ac:dyDescent="0.25">
      <c r="A2346" s="1" t="str">
        <f>'001'!B2346</f>
        <v>003289</v>
      </c>
      <c r="B2346" s="1" t="str">
        <f>'001'!C2346</f>
        <v>LIJA AL AGUAAA CS # P240</v>
      </c>
      <c r="C2346" s="1" t="str">
        <f>'001'!D2346</f>
        <v>0102</v>
      </c>
      <c r="D2346" s="3" t="e">
        <f>'001'!H2346</f>
        <v>#VALUE!</v>
      </c>
    </row>
    <row r="2347" spans="1:4" x14ac:dyDescent="0.25">
      <c r="A2347" s="1" t="str">
        <f>'001'!B2347</f>
        <v>003290</v>
      </c>
      <c r="B2347" s="1" t="str">
        <f>'001'!C2347</f>
        <v>LIJA AL AGUAAA CS # P280</v>
      </c>
      <c r="C2347" s="1" t="str">
        <f>'001'!D2347</f>
        <v>0102</v>
      </c>
      <c r="D2347" s="3" t="e">
        <f>'001'!H2347</f>
        <v>#VALUE!</v>
      </c>
    </row>
    <row r="2348" spans="1:4" x14ac:dyDescent="0.25">
      <c r="A2348" s="1" t="str">
        <f>'001'!B2348</f>
        <v>003291</v>
      </c>
      <c r="B2348" s="1" t="str">
        <f>'001'!C2348</f>
        <v>LIJA AL AGUAAA CS # P320</v>
      </c>
      <c r="C2348" s="1" t="str">
        <f>'001'!D2348</f>
        <v>0102</v>
      </c>
      <c r="D2348" s="3" t="e">
        <f>'001'!H2348</f>
        <v>#VALUE!</v>
      </c>
    </row>
    <row r="2349" spans="1:4" x14ac:dyDescent="0.25">
      <c r="A2349" s="1" t="str">
        <f>'001'!B2349</f>
        <v>003296</v>
      </c>
      <c r="B2349" s="1" t="str">
        <f>'001'!C2349</f>
        <v>CR-311 AZUL ESVERDEADO REDUZIDO X 1</v>
      </c>
      <c r="C2349" s="1" t="str">
        <f>'001'!D2349</f>
        <v>0132</v>
      </c>
      <c r="D2349" s="3" t="e">
        <f>'001'!H2349</f>
        <v>#VALUE!</v>
      </c>
    </row>
    <row r="2350" spans="1:4" x14ac:dyDescent="0.25">
      <c r="A2350" s="1" t="str">
        <f>'001'!B2350</f>
        <v>003303</v>
      </c>
      <c r="B2350" s="1" t="str">
        <f>'001'!C2350</f>
        <v>LATEX INTERIOR/EXTERIOR WEBERPINT MATE  BLANCO X  4</v>
      </c>
      <c r="C2350" s="1" t="str">
        <f>'001'!D2350</f>
        <v>0185</v>
      </c>
      <c r="D2350" s="3" t="e">
        <f>'001'!H2350</f>
        <v>#VALUE!</v>
      </c>
    </row>
    <row r="2351" spans="1:4" x14ac:dyDescent="0.25">
      <c r="A2351" s="1" t="str">
        <f>'001'!B2351</f>
        <v>003306</v>
      </c>
      <c r="B2351" s="1" t="str">
        <f>'001'!C2351</f>
        <v>LATEX INTERIOR/EXTERIOR WEBERPINT MATE  BLANCO X 10</v>
      </c>
      <c r="C2351" s="1" t="str">
        <f>'001'!D2351</f>
        <v>0185</v>
      </c>
      <c r="D2351" s="3" t="e">
        <f>'001'!H2351</f>
        <v>#VALUE!</v>
      </c>
    </row>
    <row r="2352" spans="1:4" x14ac:dyDescent="0.25">
      <c r="A2352" s="1" t="str">
        <f>'001'!B2352</f>
        <v>003308</v>
      </c>
      <c r="B2352" s="1" t="str">
        <f>'001'!C2352</f>
        <v>LATEX INTERIOR/EXTERIOR WEBERPINT MATE  BLANCO X 20</v>
      </c>
      <c r="C2352" s="1" t="str">
        <f>'001'!D2352</f>
        <v>0185</v>
      </c>
      <c r="D2352" s="3" t="e">
        <f>'001'!H2352</f>
        <v>#VALUE!</v>
      </c>
    </row>
    <row r="2353" spans="1:4" x14ac:dyDescent="0.25">
      <c r="A2353" s="1" t="str">
        <f>'001'!B2353</f>
        <v>003310</v>
      </c>
      <c r="B2353" s="1" t="str">
        <f>'001'!C2353</f>
        <v>AEROSOL TERSUAVE ESMALTE SINTETICO BRILLANTE BLANCO X 0,440</v>
      </c>
      <c r="C2353" s="1" t="str">
        <f>'001'!D2353</f>
        <v>0152</v>
      </c>
      <c r="D2353" s="3" t="e">
        <f>'001'!H2353</f>
        <v>#VALUE!</v>
      </c>
    </row>
    <row r="2354" spans="1:4" x14ac:dyDescent="0.25">
      <c r="A2354" s="1" t="str">
        <f>'001'!B2354</f>
        <v>003311</v>
      </c>
      <c r="B2354" s="1" t="str">
        <f>'001'!C2354</f>
        <v>AEROSOL TERSUAVE ESMALTE SINTETICO BRILLANTE BERMELLON X 0,440</v>
      </c>
      <c r="C2354" s="1" t="str">
        <f>'001'!D2354</f>
        <v>0152</v>
      </c>
      <c r="D2354" s="3" t="e">
        <f>'001'!H2354</f>
        <v>#VALUE!</v>
      </c>
    </row>
    <row r="2355" spans="1:4" x14ac:dyDescent="0.25">
      <c r="A2355" s="1" t="str">
        <f>'001'!B2355</f>
        <v>003312</v>
      </c>
      <c r="B2355" s="1" t="str">
        <f>'001'!C2355</f>
        <v>AEROSOL TERSUAVE ESMALTE SINTETICO BRILLANTE NARANJA X 0,440</v>
      </c>
      <c r="C2355" s="1" t="str">
        <f>'001'!D2355</f>
        <v>0152</v>
      </c>
      <c r="D2355" s="3" t="e">
        <f>'001'!H2355</f>
        <v>#VALUE!</v>
      </c>
    </row>
    <row r="2356" spans="1:4" x14ac:dyDescent="0.25">
      <c r="A2356" s="1" t="str">
        <f>'001'!B2356</f>
        <v>003313</v>
      </c>
      <c r="B2356" s="1" t="str">
        <f>'001'!C2356</f>
        <v>AEROSOL TERSUAVE ESMALTE SINTETICO BRILLANTE AMARILLO X 0,440</v>
      </c>
      <c r="C2356" s="1" t="str">
        <f>'001'!D2356</f>
        <v>0152</v>
      </c>
      <c r="D2356" s="3" t="e">
        <f>'001'!H2356</f>
        <v>#VALUE!</v>
      </c>
    </row>
    <row r="2357" spans="1:4" x14ac:dyDescent="0.25">
      <c r="A2357" s="1" t="str">
        <f>'001'!B2357</f>
        <v>003314</v>
      </c>
      <c r="B2357" s="1" t="str">
        <f>'001'!C2357</f>
        <v>AEROSOL TERSUAVE ESMALTE SINTETICO BRILLANTE NEGRO X 0,440</v>
      </c>
      <c r="C2357" s="1" t="str">
        <f>'001'!D2357</f>
        <v>0152</v>
      </c>
      <c r="D2357" s="3" t="e">
        <f>'001'!H2357</f>
        <v>#VALUE!</v>
      </c>
    </row>
    <row r="2358" spans="1:4" x14ac:dyDescent="0.25">
      <c r="A2358" s="1" t="str">
        <f>'001'!B2358</f>
        <v>003315</v>
      </c>
      <c r="B2358" s="1" t="str">
        <f>'001'!C2358</f>
        <v>AEROSOL TERSUAVE ESMALTE SINTETICO MATE NEGRO X 0,440</v>
      </c>
      <c r="C2358" s="1" t="str">
        <f>'001'!D2358</f>
        <v>0152</v>
      </c>
      <c r="D2358" s="3" t="e">
        <f>'001'!H2358</f>
        <v>#VALUE!</v>
      </c>
    </row>
    <row r="2359" spans="1:4" x14ac:dyDescent="0.25">
      <c r="A2359" s="1" t="str">
        <f>'001'!B2359</f>
        <v>003316</v>
      </c>
      <c r="B2359" s="1" t="str">
        <f>'001'!C2359</f>
        <v>AEROSOL TERSUAVE ESMALTE SINTETICO BRILLANTE AZUL X 0,440</v>
      </c>
      <c r="C2359" s="1" t="str">
        <f>'001'!D2359</f>
        <v>0152</v>
      </c>
      <c r="D2359" s="3" t="e">
        <f>'001'!H2359</f>
        <v>#VALUE!</v>
      </c>
    </row>
    <row r="2360" spans="1:4" x14ac:dyDescent="0.25">
      <c r="A2360" s="1" t="str">
        <f>'001'!B2360</f>
        <v>003317</v>
      </c>
      <c r="B2360" s="1" t="str">
        <f>'001'!C2360</f>
        <v>AEROSOL TERSUAVE ESMALTE SINTETICO BRILLANTE VERDE INGLES X 0,440</v>
      </c>
      <c r="C2360" s="1" t="str">
        <f>'001'!D2360</f>
        <v>0152</v>
      </c>
      <c r="D2360" s="3" t="e">
        <f>'001'!H2360</f>
        <v>#VALUE!</v>
      </c>
    </row>
    <row r="2361" spans="1:4" x14ac:dyDescent="0.25">
      <c r="A2361" s="1" t="str">
        <f>'001'!B2361</f>
        <v>003318</v>
      </c>
      <c r="B2361" s="1" t="str">
        <f>'001'!C2361</f>
        <v>AEROSOL TERSUAVE CONVERTIDOR DE OXIDO MATE ROJO X 0,440</v>
      </c>
      <c r="C2361" s="1" t="str">
        <f>'001'!D2361</f>
        <v>0152</v>
      </c>
      <c r="D2361" s="3" t="e">
        <f>'001'!H2361</f>
        <v>#VALUE!</v>
      </c>
    </row>
    <row r="2362" spans="1:4" x14ac:dyDescent="0.25">
      <c r="A2362" s="1" t="str">
        <f>'001'!B2362</f>
        <v>003319</v>
      </c>
      <c r="B2362" s="1" t="str">
        <f>'001'!C2362</f>
        <v>AEROSOL TERSUAVE ESMALTE SINTETICO BRILLANTE TRAFUL X 0,440</v>
      </c>
      <c r="C2362" s="1" t="str">
        <f>'001'!D2362</f>
        <v>0152</v>
      </c>
      <c r="D2362" s="3" t="e">
        <f>'001'!H2362</f>
        <v>#VALUE!</v>
      </c>
    </row>
    <row r="2363" spans="1:4" x14ac:dyDescent="0.25">
      <c r="A2363" s="1" t="str">
        <f>'001'!B2363</f>
        <v>003320</v>
      </c>
      <c r="B2363" s="1" t="str">
        <f>'001'!C2363</f>
        <v>AEROSOL TERSUAVE CONVERTIDOR DE OXIDO MATE NEGRO X 0,440</v>
      </c>
      <c r="C2363" s="1" t="str">
        <f>'001'!D2363</f>
        <v>0152</v>
      </c>
      <c r="D2363" s="3" t="e">
        <f>'001'!H2363</f>
        <v>#VALUE!</v>
      </c>
    </row>
    <row r="2364" spans="1:4" x14ac:dyDescent="0.25">
      <c r="A2364" s="1" t="str">
        <f>'001'!B2364</f>
        <v>003321</v>
      </c>
      <c r="B2364" s="1" t="str">
        <f>'001'!C2364</f>
        <v>ESPUMA POLIURETANO WEBER X 0,500</v>
      </c>
      <c r="C2364" s="1" t="str">
        <f>'001'!D2364</f>
        <v>0185</v>
      </c>
      <c r="D2364" s="3" t="e">
        <f>'001'!H2364</f>
        <v>#VALUE!</v>
      </c>
    </row>
    <row r="2365" spans="1:4" x14ac:dyDescent="0.25">
      <c r="A2365" s="1" t="str">
        <f>'001'!B2365</f>
        <v>003322</v>
      </c>
      <c r="B2365" s="1" t="str">
        <f>'001'!C2365</f>
        <v>AEROSOL TERSUAVE BARNIZ BRILLANTE INCOLORO X 0,440</v>
      </c>
      <c r="C2365" s="1" t="str">
        <f>'001'!D2365</f>
        <v>0152</v>
      </c>
      <c r="D2365" s="3" t="e">
        <f>'001'!H2365</f>
        <v>#VALUE!</v>
      </c>
    </row>
    <row r="2366" spans="1:4" x14ac:dyDescent="0.25">
      <c r="A2366" s="1" t="str">
        <f>'001'!B2366</f>
        <v>003323</v>
      </c>
      <c r="B2366" s="1" t="str">
        <f>'001'!C2366</f>
        <v>BUJE INT MANG.ACOPLE RAP ADIABATIC (1364CLS0)</v>
      </c>
      <c r="C2366" s="1" t="str">
        <f>'001'!D2366</f>
        <v>0104</v>
      </c>
      <c r="D2366" s="3" t="e">
        <f>'001'!H2366</f>
        <v>#VALUE!</v>
      </c>
    </row>
    <row r="2367" spans="1:4" x14ac:dyDescent="0.25">
      <c r="A2367" s="1" t="str">
        <f>'001'!B2367</f>
        <v>003324</v>
      </c>
      <c r="B2367" s="1" t="str">
        <f>'001'!C2367</f>
        <v>CLIP ACOPLE MANGUERA AIRE ADIABATIC (1357DLX0)</v>
      </c>
      <c r="C2367" s="1" t="str">
        <f>'001'!D2367</f>
        <v>0104</v>
      </c>
      <c r="D2367" s="3" t="e">
        <f>'001'!H2367</f>
        <v>#VALUE!</v>
      </c>
    </row>
    <row r="2368" spans="1:4" x14ac:dyDescent="0.25">
      <c r="A2368" s="1" t="str">
        <f>'001'!B2368</f>
        <v>003325</v>
      </c>
      <c r="B2368" s="1" t="str">
        <f>'001'!C2368</f>
        <v>BUJE EXT MANG.AIRE 2,5M ADIABATIC (1297DLA0)</v>
      </c>
      <c r="C2368" s="1" t="str">
        <f>'001'!D2368</f>
        <v>0104</v>
      </c>
      <c r="D2368" s="3" t="e">
        <f>'001'!H2368</f>
        <v>#VALUE!</v>
      </c>
    </row>
    <row r="2369" spans="1:4" x14ac:dyDescent="0.25">
      <c r="A2369" s="1" t="str">
        <f>'001'!B2369</f>
        <v>003326</v>
      </c>
      <c r="B2369" s="1" t="str">
        <f>'001'!C2369</f>
        <v>BUJE ACOPLE INT P/MANG.AIRE ADIABATIC (0166DLS0)</v>
      </c>
      <c r="C2369" s="1" t="str">
        <f>'001'!D2369</f>
        <v>0104</v>
      </c>
      <c r="D2369" s="3" t="e">
        <f>'001'!H2369</f>
        <v>#VALUE!</v>
      </c>
    </row>
    <row r="2370" spans="1:4" x14ac:dyDescent="0.25">
      <c r="A2370" s="1" t="str">
        <f>'001'!B2370</f>
        <v>003327</v>
      </c>
      <c r="B2370" s="1" t="str">
        <f>'001'!C2370</f>
        <v>AEROSOL TERSUAVE ESMALTE SINTETICO BRILLANTE MARFIL SEDA X 0,440</v>
      </c>
      <c r="C2370" s="1" t="str">
        <f>'001'!D2370</f>
        <v>0152</v>
      </c>
      <c r="D2370" s="3" t="e">
        <f>'001'!H2370</f>
        <v>#VALUE!</v>
      </c>
    </row>
    <row r="2371" spans="1:4" x14ac:dyDescent="0.25">
      <c r="A2371" s="1" t="str">
        <f>'001'!B2371</f>
        <v>003330</v>
      </c>
      <c r="B2371" s="1" t="str">
        <f>'001'!C2371</f>
        <v>AEROSOL TERSUAVE ESMALTE SINTETICO BRILLANTE PLATA X 0,440</v>
      </c>
      <c r="C2371" s="1" t="str">
        <f>'001'!D2371</f>
        <v>0152</v>
      </c>
      <c r="D2371" s="3" t="e">
        <f>'001'!H2371</f>
        <v>#VALUE!</v>
      </c>
    </row>
    <row r="2372" spans="1:4" x14ac:dyDescent="0.25">
      <c r="A2372" s="1" t="str">
        <f>'001'!B2372</f>
        <v>003331</v>
      </c>
      <c r="B2372" s="1" t="str">
        <f>'001'!C2372</f>
        <v>IMPREGNANTE PARA MADERA TERSUAVE BRILLANTE CAOBA X  1</v>
      </c>
      <c r="C2372" s="1" t="str">
        <f>'001'!D2372</f>
        <v>0152</v>
      </c>
      <c r="D2372" s="3" t="e">
        <f>'001'!H2372</f>
        <v>#VALUE!</v>
      </c>
    </row>
    <row r="2373" spans="1:4" x14ac:dyDescent="0.25">
      <c r="A2373" s="1" t="str">
        <f>'001'!B2373</f>
        <v>003332</v>
      </c>
      <c r="B2373" s="1" t="str">
        <f>'001'!C2373</f>
        <v>IMPREGNANTE PARA MADERA TERSUAVE BRILLANTE CEDRO X  1</v>
      </c>
      <c r="C2373" s="1" t="str">
        <f>'001'!D2373</f>
        <v>0152</v>
      </c>
      <c r="D2373" s="3" t="e">
        <f>'001'!H2373</f>
        <v>#VALUE!</v>
      </c>
    </row>
    <row r="2374" spans="1:4" x14ac:dyDescent="0.25">
      <c r="A2374" s="1" t="str">
        <f>'001'!B2374</f>
        <v>003333</v>
      </c>
      <c r="B2374" s="1" t="str">
        <f>'001'!C2374</f>
        <v>IMPREGNANTE PARA MADERA TERSUAVE BRILLANTE CRISTAL X  1</v>
      </c>
      <c r="C2374" s="1" t="str">
        <f>'001'!D2374</f>
        <v>0152</v>
      </c>
      <c r="D2374" s="3" t="e">
        <f>'001'!H2374</f>
        <v>#VALUE!</v>
      </c>
    </row>
    <row r="2375" spans="1:4" x14ac:dyDescent="0.25">
      <c r="A2375" s="1" t="str">
        <f>'001'!B2375</f>
        <v>003334</v>
      </c>
      <c r="B2375" s="1" t="str">
        <f>'001'!C2375</f>
        <v>IMPREGNANTE PARA MADERA TERSUAVE BRILLANTE NATURAL X  1</v>
      </c>
      <c r="C2375" s="1" t="str">
        <f>'001'!D2375</f>
        <v>0152</v>
      </c>
      <c r="D2375" s="3" t="e">
        <f>'001'!H2375</f>
        <v>#VALUE!</v>
      </c>
    </row>
    <row r="2376" spans="1:4" x14ac:dyDescent="0.25">
      <c r="A2376" s="1" t="str">
        <f>'001'!B2376</f>
        <v>003335</v>
      </c>
      <c r="B2376" s="1" t="str">
        <f>'001'!C2376</f>
        <v>IMPREGNANTE PARA MADERA TERSUAVE BRILLANTE NOGAL X  1</v>
      </c>
      <c r="C2376" s="1" t="str">
        <f>'001'!D2376</f>
        <v>0152</v>
      </c>
      <c r="D2376" s="3" t="e">
        <f>'001'!H2376</f>
        <v>#VALUE!</v>
      </c>
    </row>
    <row r="2377" spans="1:4" x14ac:dyDescent="0.25">
      <c r="A2377" s="1" t="str">
        <f>'001'!B2377</f>
        <v>003337</v>
      </c>
      <c r="B2377" s="1" t="str">
        <f>'001'!C2377</f>
        <v>IMPREGNANTE PARA MADERA TERSUAVE BRILLANTE ROBLE CLARO X  1</v>
      </c>
      <c r="C2377" s="1" t="str">
        <f>'001'!D2377</f>
        <v>0152</v>
      </c>
      <c r="D2377" s="3" t="e">
        <f>'001'!H2377</f>
        <v>#VALUE!</v>
      </c>
    </row>
    <row r="2378" spans="1:4" x14ac:dyDescent="0.25">
      <c r="A2378" s="1" t="str">
        <f>'001'!B2378</f>
        <v>003338</v>
      </c>
      <c r="B2378" s="1" t="str">
        <f>'001'!C2378</f>
        <v>AEROSOL TERSUAVE ESMALTE SINTETICO SATINADO BLANCO X 0,440</v>
      </c>
      <c r="C2378" s="1" t="str">
        <f>'001'!D2378</f>
        <v>0152</v>
      </c>
      <c r="D2378" s="3" t="e">
        <f>'001'!H2378</f>
        <v>#VALUE!</v>
      </c>
    </row>
    <row r="2379" spans="1:4" x14ac:dyDescent="0.25">
      <c r="A2379" s="1" t="str">
        <f>'001'!B2379</f>
        <v>003339</v>
      </c>
      <c r="B2379" s="1" t="str">
        <f>'001'!C2379</f>
        <v>AEROSOL TERSUAVE ESMALTE SINTETICO DOBLE ACCION BRILLANTE BLANCO X 0,440</v>
      </c>
      <c r="C2379" s="1" t="str">
        <f>'001'!D2379</f>
        <v>0902</v>
      </c>
      <c r="D2379" s="3" t="e">
        <f>'001'!H2379</f>
        <v>#VALUE!</v>
      </c>
    </row>
    <row r="2380" spans="1:4" x14ac:dyDescent="0.25">
      <c r="A2380" s="1" t="str">
        <f>'001'!B2380</f>
        <v>003340</v>
      </c>
      <c r="B2380" s="1" t="str">
        <f>'001'!C2380</f>
        <v>AEROSOL TERSUAVE ESMALTE SINTETICO DOBLE ACCION BRILLANTE BERMELLON X 0,440</v>
      </c>
      <c r="C2380" s="1" t="str">
        <f>'001'!D2380</f>
        <v>0152</v>
      </c>
      <c r="D2380" s="3" t="e">
        <f>'001'!H2380</f>
        <v>#VALUE!</v>
      </c>
    </row>
    <row r="2381" spans="1:4" x14ac:dyDescent="0.25">
      <c r="A2381" s="1" t="str">
        <f>'001'!B2381</f>
        <v>003341</v>
      </c>
      <c r="B2381" s="1" t="str">
        <f>'001'!C2381</f>
        <v>AEROSOL TERSUAVE ESMALTE SINTETICO DOBLE ACCION BRILLANTE NEGRO X 0,440</v>
      </c>
      <c r="C2381" s="1" t="str">
        <f>'001'!D2381</f>
        <v>0902</v>
      </c>
      <c r="D2381" s="3" t="e">
        <f>'001'!H2381</f>
        <v>#VALUE!</v>
      </c>
    </row>
    <row r="2382" spans="1:4" x14ac:dyDescent="0.25">
      <c r="A2382" s="1" t="str">
        <f>'001'!B2382</f>
        <v>003342</v>
      </c>
      <c r="B2382" s="1" t="str">
        <f>'001'!C2382</f>
        <v>AEROSOL TERSUAVE ESMALTE SINTETICO DOBLE ACCION BRILLANTE VERDE INGLES X 0,440</v>
      </c>
      <c r="C2382" s="1" t="str">
        <f>'001'!D2382</f>
        <v>0152</v>
      </c>
      <c r="D2382" s="3" t="e">
        <f>'001'!H2382</f>
        <v>#VALUE!</v>
      </c>
    </row>
    <row r="2383" spans="1:4" x14ac:dyDescent="0.25">
      <c r="A2383" s="1" t="str">
        <f>'001'!B2383</f>
        <v>003343</v>
      </c>
      <c r="B2383" s="1" t="str">
        <f>'001'!C2383</f>
        <v>ESPUMA POLIURETANO WEBER X 0,750</v>
      </c>
      <c r="C2383" s="1" t="str">
        <f>'001'!D2383</f>
        <v>0185</v>
      </c>
      <c r="D2383" s="3" t="e">
        <f>'001'!H2383</f>
        <v>#VALUE!</v>
      </c>
    </row>
    <row r="2384" spans="1:4" x14ac:dyDescent="0.25">
      <c r="A2384" s="1" t="str">
        <f>'001'!B2384</f>
        <v>003344</v>
      </c>
      <c r="B2384" s="1" t="str">
        <f>'001'!C2384</f>
        <v>AEROSOL TERSUAVE ESMALTE EFECTO ESMERILADO X 0,440</v>
      </c>
      <c r="C2384" s="1" t="str">
        <f>'001'!D2384</f>
        <v>0152</v>
      </c>
      <c r="D2384" s="3" t="e">
        <f>'001'!H2384</f>
        <v>#VALUE!</v>
      </c>
    </row>
    <row r="2385" spans="1:4" x14ac:dyDescent="0.25">
      <c r="A2385" s="1" t="str">
        <f>'001'!B2385</f>
        <v>003350</v>
      </c>
      <c r="B2385" s="1" t="str">
        <f>'001'!C2385</f>
        <v>LATEX INTERIOR WEBERPINT MATE BLANCO X  4</v>
      </c>
      <c r="C2385" s="1" t="str">
        <f>'001'!D2385</f>
        <v>0185</v>
      </c>
      <c r="D2385" s="3" t="e">
        <f>'001'!H2385</f>
        <v>#VALUE!</v>
      </c>
    </row>
    <row r="2386" spans="1:4" x14ac:dyDescent="0.25">
      <c r="A2386" s="1" t="str">
        <f>'001'!B2386</f>
        <v>003351</v>
      </c>
      <c r="B2386" s="1" t="str">
        <f>'001'!C2386</f>
        <v>LATEX INTERIOR WEBERPINT MATE BLANCO X 10</v>
      </c>
      <c r="C2386" s="1" t="str">
        <f>'001'!D2386</f>
        <v>0185</v>
      </c>
      <c r="D2386" s="3" t="e">
        <f>'001'!H2386</f>
        <v>#VALUE!</v>
      </c>
    </row>
    <row r="2387" spans="1:4" x14ac:dyDescent="0.25">
      <c r="A2387" s="1" t="str">
        <f>'001'!B2387</f>
        <v>003352</v>
      </c>
      <c r="B2387" s="1" t="str">
        <f>'001'!C2387</f>
        <v>LATEX INTERIOR WEBERPINT MATE BLANCO X 20</v>
      </c>
      <c r="C2387" s="1" t="str">
        <f>'001'!D2387</f>
        <v>0185</v>
      </c>
      <c r="D2387" s="3" t="e">
        <f>'001'!H2387</f>
        <v>#VALUE!</v>
      </c>
    </row>
    <row r="2388" spans="1:4" x14ac:dyDescent="0.25">
      <c r="A2388" s="1" t="str">
        <f>'001'!B2388</f>
        <v>003353</v>
      </c>
      <c r="B2388" s="1" t="str">
        <f>'001'!C2388</f>
        <v>AEROSOL TERSUAVE ESMALTE SINTETICO BRILLANTE ORO X 0,440</v>
      </c>
      <c r="C2388" s="1" t="str">
        <f>'001'!D2388</f>
        <v>0152</v>
      </c>
      <c r="D2388" s="3" t="e">
        <f>'001'!H2388</f>
        <v>#VALUE!</v>
      </c>
    </row>
    <row r="2389" spans="1:4" x14ac:dyDescent="0.25">
      <c r="A2389" s="1" t="str">
        <f>'001'!B2389</f>
        <v>003354</v>
      </c>
      <c r="B2389" s="1" t="str">
        <f>'001'!C2389</f>
        <v>TUERCA P/MANGUERA AIRE 24X1,5 ADIABATIC (0167DLL0)</v>
      </c>
      <c r="C2389" s="1" t="str">
        <f>'001'!D2389</f>
        <v>0104</v>
      </c>
      <c r="D2389" s="3" t="e">
        <f>'001'!H2389</f>
        <v>#VALUE!</v>
      </c>
    </row>
    <row r="2390" spans="1:4" x14ac:dyDescent="0.25">
      <c r="A2390" s="1" t="str">
        <f>'001'!B2390</f>
        <v>003355</v>
      </c>
      <c r="B2390" s="1" t="str">
        <f>'001'!C2390</f>
        <v>AEROSOL TERSUAVE ESMALTE SINTETICO ALTA TEMPERATURA BLANCO X 0,440</v>
      </c>
      <c r="C2390" s="1" t="str">
        <f>'001'!D2390</f>
        <v>0152</v>
      </c>
      <c r="D2390" s="3" t="e">
        <f>'001'!H2390</f>
        <v>#VALUE!</v>
      </c>
    </row>
    <row r="2391" spans="1:4" x14ac:dyDescent="0.25">
      <c r="A2391" s="1" t="str">
        <f>'001'!B2391</f>
        <v>003361</v>
      </c>
      <c r="B2391" s="1" t="str">
        <f>'001'!C2391</f>
        <v>IMPREGNANTE PARA MADERA TERSUAVE BRILLANTE CAOBA X  4</v>
      </c>
      <c r="C2391" s="1" t="str">
        <f>'001'!D2391</f>
        <v>0152</v>
      </c>
      <c r="D2391" s="3" t="e">
        <f>'001'!H2391</f>
        <v>#VALUE!</v>
      </c>
    </row>
    <row r="2392" spans="1:4" x14ac:dyDescent="0.25">
      <c r="A2392" s="1" t="str">
        <f>'001'!B2392</f>
        <v>003362</v>
      </c>
      <c r="B2392" s="1" t="str">
        <f>'001'!C2392</f>
        <v>IMPREGNANTE PARA MADERA TERSUAVE BRILLANTE CEDRO X  4</v>
      </c>
      <c r="C2392" s="1" t="str">
        <f>'001'!D2392</f>
        <v>0152</v>
      </c>
      <c r="D2392" s="3" t="e">
        <f>'001'!H2392</f>
        <v>#VALUE!</v>
      </c>
    </row>
    <row r="2393" spans="1:4" x14ac:dyDescent="0.25">
      <c r="A2393" s="1" t="str">
        <f>'001'!B2393</f>
        <v>003363</v>
      </c>
      <c r="B2393" s="1" t="str">
        <f>'001'!C2393</f>
        <v>IMPREGNANTE PARA MADERA TERSUAVE BRILLANTE CRISTAL X  4</v>
      </c>
      <c r="C2393" s="1" t="str">
        <f>'001'!D2393</f>
        <v>0152</v>
      </c>
      <c r="D2393" s="3" t="e">
        <f>'001'!H2393</f>
        <v>#VALUE!</v>
      </c>
    </row>
    <row r="2394" spans="1:4" x14ac:dyDescent="0.25">
      <c r="A2394" s="1" t="str">
        <f>'001'!B2394</f>
        <v>003364</v>
      </c>
      <c r="B2394" s="1" t="str">
        <f>'001'!C2394</f>
        <v>IMPREGNANTE PARA MADERA TERSUAVE BRILLANTE NATURAL X  4</v>
      </c>
      <c r="C2394" s="1" t="str">
        <f>'001'!D2394</f>
        <v>0152</v>
      </c>
      <c r="D2394" s="3" t="e">
        <f>'001'!H2394</f>
        <v>#VALUE!</v>
      </c>
    </row>
    <row r="2395" spans="1:4" x14ac:dyDescent="0.25">
      <c r="A2395" s="1" t="str">
        <f>'001'!B2395</f>
        <v>003365</v>
      </c>
      <c r="B2395" s="1" t="str">
        <f>'001'!C2395</f>
        <v>IMPREGNANTE PARA MADERA TERSUAVE BRILLANTE NOGAL X  4</v>
      </c>
      <c r="C2395" s="1" t="str">
        <f>'001'!D2395</f>
        <v>0152</v>
      </c>
      <c r="D2395" s="3" t="e">
        <f>'001'!H2395</f>
        <v>#VALUE!</v>
      </c>
    </row>
    <row r="2396" spans="1:4" x14ac:dyDescent="0.25">
      <c r="A2396" s="1" t="str">
        <f>'001'!B2396</f>
        <v>003367</v>
      </c>
      <c r="B2396" s="1" t="str">
        <f>'001'!C2396</f>
        <v>IMPREGNANTE PARA MADERA TERSUAVE BRILLANTE ROBLE CLARO X  4</v>
      </c>
      <c r="C2396" s="1" t="str">
        <f>'001'!D2396</f>
        <v>0152</v>
      </c>
      <c r="D2396" s="3" t="e">
        <f>'001'!H2396</f>
        <v>#VALUE!</v>
      </c>
    </row>
    <row r="2397" spans="1:4" x14ac:dyDescent="0.25">
      <c r="A2397" s="1" t="str">
        <f>'001'!B2397</f>
        <v>003376</v>
      </c>
      <c r="B2397" s="1" t="str">
        <f>'001'!C2397</f>
        <v>AEROSOL TERSUAVE ESMALTE SINTETICO ALTA TEMPERATURA ALUMINIO X 0,440</v>
      </c>
      <c r="C2397" s="1" t="str">
        <f>'001'!D2397</f>
        <v>0152</v>
      </c>
      <c r="D2397" s="3" t="e">
        <f>'001'!H2397</f>
        <v>#VALUE!</v>
      </c>
    </row>
    <row r="2398" spans="1:4" x14ac:dyDescent="0.25">
      <c r="A2398" s="1" t="str">
        <f>'001'!B2398</f>
        <v>003377</v>
      </c>
      <c r="B2398" s="1" t="str">
        <f>'001'!C2398</f>
        <v>ZM INTERZONE 954 GREY C/PARTE B (16+4) X 20</v>
      </c>
      <c r="C2398" s="1" t="str">
        <f>'001'!D2398</f>
        <v>0111</v>
      </c>
      <c r="D2398" s="3" t="e">
        <f>'001'!H2398</f>
        <v>#VALUE!</v>
      </c>
    </row>
    <row r="2399" spans="1:4" x14ac:dyDescent="0.25">
      <c r="A2399" s="1" t="str">
        <f>'001'!B2399</f>
        <v>003379</v>
      </c>
      <c r="B2399" s="1" t="str">
        <f>'001'!C2399</f>
        <v>AEROSOL TERSUAVE ESMALTE SINTETICO ALTA TEMPERATURA NEGRO X 0,440</v>
      </c>
      <c r="C2399" s="1" t="str">
        <f>'001'!D2399</f>
        <v>0152</v>
      </c>
      <c r="D2399" s="3" t="e">
        <f>'001'!H2399</f>
        <v>#VALUE!</v>
      </c>
    </row>
    <row r="2400" spans="1:4" x14ac:dyDescent="0.25">
      <c r="A2400" s="1" t="str">
        <f>'001'!B2400</f>
        <v>003380</v>
      </c>
      <c r="B2400" s="1" t="str">
        <f>'001'!C2400</f>
        <v>BUJE SAL.AIRE EC20PL ADIABATIC (1196DLA0)</v>
      </c>
      <c r="C2400" s="1" t="str">
        <f>'001'!D2400</f>
        <v>0104</v>
      </c>
      <c r="D2400" s="3" t="e">
        <f>'001'!H2400</f>
        <v>#VALUE!</v>
      </c>
    </row>
    <row r="2401" spans="1:4" x14ac:dyDescent="0.25">
      <c r="A2401" s="1" t="str">
        <f>'001'!B2401</f>
        <v>003381</v>
      </c>
      <c r="B2401" s="1" t="str">
        <f>'001'!C2401</f>
        <v>IMPREGNANTE PARA MADERA TERSUAVE BRILLANTE CAOBA X 20</v>
      </c>
      <c r="C2401" s="1" t="str">
        <f>'001'!D2401</f>
        <v>0152</v>
      </c>
      <c r="D2401" s="3" t="e">
        <f>'001'!H2401</f>
        <v>#VALUE!</v>
      </c>
    </row>
    <row r="2402" spans="1:4" x14ac:dyDescent="0.25">
      <c r="A2402" s="1" t="str">
        <f>'001'!B2402</f>
        <v>003382</v>
      </c>
      <c r="B2402" s="1" t="str">
        <f>'001'!C2402</f>
        <v>IMPREGNANTE PARA MADERA TERSUAVE BRILLANTE CEDRO X 20</v>
      </c>
      <c r="C2402" s="1" t="str">
        <f>'001'!D2402</f>
        <v>0152</v>
      </c>
      <c r="D2402" s="3" t="e">
        <f>'001'!H2402</f>
        <v>#VALUE!</v>
      </c>
    </row>
    <row r="2403" spans="1:4" x14ac:dyDescent="0.25">
      <c r="A2403" s="1" t="str">
        <f>'001'!B2403</f>
        <v>003383</v>
      </c>
      <c r="B2403" s="1" t="str">
        <f>'001'!C2403</f>
        <v>IMPREGNANTE PARA MADERA TERSUAVE BRILLANTE CRISTAL X 20</v>
      </c>
      <c r="C2403" s="1" t="str">
        <f>'001'!D2403</f>
        <v>0152</v>
      </c>
      <c r="D2403" s="3" t="e">
        <f>'001'!H2403</f>
        <v>#VALUE!</v>
      </c>
    </row>
    <row r="2404" spans="1:4" x14ac:dyDescent="0.25">
      <c r="A2404" s="1" t="str">
        <f>'001'!B2404</f>
        <v>003384</v>
      </c>
      <c r="B2404" s="1" t="str">
        <f>'001'!C2404</f>
        <v>IMPREGNANTE PARA MADERA TERSUAVE BRILLANTE NATURAL X 20</v>
      </c>
      <c r="C2404" s="1" t="str">
        <f>'001'!D2404</f>
        <v>0152</v>
      </c>
      <c r="D2404" s="3" t="e">
        <f>'001'!H2404</f>
        <v>#VALUE!</v>
      </c>
    </row>
    <row r="2405" spans="1:4" x14ac:dyDescent="0.25">
      <c r="A2405" s="1" t="str">
        <f>'001'!B2405</f>
        <v>003385</v>
      </c>
      <c r="B2405" s="1" t="str">
        <f>'001'!C2405</f>
        <v>IMPREGNANTE PARA MADERA TERSUAVE BRILLANTE NOGAL X 20</v>
      </c>
      <c r="C2405" s="1" t="str">
        <f>'001'!D2405</f>
        <v>0152</v>
      </c>
      <c r="D2405" s="3" t="e">
        <f>'001'!H2405</f>
        <v>#VALUE!</v>
      </c>
    </row>
    <row r="2406" spans="1:4" x14ac:dyDescent="0.25">
      <c r="A2406" s="1" t="str">
        <f>'001'!B2406</f>
        <v>003387</v>
      </c>
      <c r="B2406" s="1" t="str">
        <f>'001'!C2406</f>
        <v>IMPREGNANTE PARA MADERA TERSUAVE BRILLANTE ROBLE CLARO X 20</v>
      </c>
      <c r="C2406" s="1" t="str">
        <f>'001'!D2406</f>
        <v>0152</v>
      </c>
      <c r="D2406" s="3" t="e">
        <f>'001'!H2406</f>
        <v>#VALUE!</v>
      </c>
    </row>
    <row r="2407" spans="1:4" x14ac:dyDescent="0.25">
      <c r="A2407" s="1" t="str">
        <f>'001'!B2407</f>
        <v>003388</v>
      </c>
      <c r="B2407" s="1" t="str">
        <f>'001'!C2407</f>
        <v>IMPERMEABILIZANTE PARA TECHO PLAVICON SOBRECHAPA BLANCO X  1,250</v>
      </c>
      <c r="C2407" s="1" t="str">
        <f>'001'!D2407</f>
        <v>0139</v>
      </c>
      <c r="D2407" s="3" t="e">
        <f>'001'!H2407</f>
        <v>#VALUE!</v>
      </c>
    </row>
    <row r="2408" spans="1:4" x14ac:dyDescent="0.25">
      <c r="A2408" s="1" t="str">
        <f>'001'!B2408</f>
        <v>003389</v>
      </c>
      <c r="B2408" s="1" t="str">
        <f>'001'!C2408</f>
        <v>IMPERMEABILIZANTE PARA TECHO PLAVICON SOBRECHAPA BLANCO X  5</v>
      </c>
      <c r="C2408" s="1" t="str">
        <f>'001'!D2408</f>
        <v>0139</v>
      </c>
      <c r="D2408" s="3" t="e">
        <f>'001'!H2408</f>
        <v>#VALUE!</v>
      </c>
    </row>
    <row r="2409" spans="1:4" x14ac:dyDescent="0.25">
      <c r="A2409" s="1" t="str">
        <f>'001'!B2409</f>
        <v>003390</v>
      </c>
      <c r="B2409" s="1" t="str">
        <f>'001'!C2409</f>
        <v>IMPERMEABILIZANTE PARA TECHO PLAVICON SOBRECHAPA BLANCO X 10</v>
      </c>
      <c r="C2409" s="1" t="str">
        <f>'001'!D2409</f>
        <v>0139</v>
      </c>
      <c r="D2409" s="3" t="e">
        <f>'001'!H2409</f>
        <v>#VALUE!</v>
      </c>
    </row>
    <row r="2410" spans="1:4" x14ac:dyDescent="0.25">
      <c r="A2410" s="1" t="str">
        <f>'001'!B2410</f>
        <v>003391</v>
      </c>
      <c r="B2410" s="1" t="str">
        <f>'001'!C2410</f>
        <v>IMPERMEABILIZANTE PARA TECHO PLAVICON SOBRECHAPA BLANCO X 20</v>
      </c>
      <c r="C2410" s="1" t="str">
        <f>'001'!D2410</f>
        <v>0139</v>
      </c>
      <c r="D2410" s="3" t="e">
        <f>'001'!H2410</f>
        <v>#VALUE!</v>
      </c>
    </row>
    <row r="2411" spans="1:4" x14ac:dyDescent="0.25">
      <c r="A2411" s="1" t="str">
        <f>'001'!B2411</f>
        <v>003394</v>
      </c>
      <c r="B2411" s="1" t="str">
        <f>'001'!C2411</f>
        <v>PASTINA PARA CERAMICA WEBER CLASSIC ARENA X 2</v>
      </c>
      <c r="C2411" s="1" t="str">
        <f>'001'!D2411</f>
        <v>0163</v>
      </c>
      <c r="D2411" s="3" t="e">
        <f>'001'!H2411</f>
        <v>#VALUE!</v>
      </c>
    </row>
    <row r="2412" spans="1:4" x14ac:dyDescent="0.25">
      <c r="A2412" s="1" t="str">
        <f>'001'!B2412</f>
        <v>003395</v>
      </c>
      <c r="B2412" s="1" t="str">
        <f>'001'!C2412</f>
        <v>PASTINA PARA CERAMICA WEBER CLASSIC BEIGE X 2</v>
      </c>
      <c r="C2412" s="1" t="str">
        <f>'001'!D2412</f>
        <v>0163</v>
      </c>
      <c r="D2412" s="3" t="e">
        <f>'001'!H2412</f>
        <v>#VALUE!</v>
      </c>
    </row>
    <row r="2413" spans="1:4" x14ac:dyDescent="0.25">
      <c r="A2413" s="1" t="str">
        <f>'001'!B2413</f>
        <v>003396</v>
      </c>
      <c r="B2413" s="1" t="str">
        <f>'001'!C2413</f>
        <v>PASTINA PARA CERAMICA WEBER CLASSIC CEDRO X 2</v>
      </c>
      <c r="C2413" s="1" t="str">
        <f>'001'!D2413</f>
        <v>0163</v>
      </c>
      <c r="D2413" s="3" t="e">
        <f>'001'!H2413</f>
        <v>#VALUE!</v>
      </c>
    </row>
    <row r="2414" spans="1:4" x14ac:dyDescent="0.25">
      <c r="A2414" s="1" t="str">
        <f>'001'!B2414</f>
        <v>003397</v>
      </c>
      <c r="B2414" s="1" t="str">
        <f>'001'!C2414</f>
        <v>PASTINA PARA CERAMICA WEBER CLASSIC CHAMPAGNE X 2</v>
      </c>
      <c r="C2414" s="1" t="str">
        <f>'001'!D2414</f>
        <v>0163</v>
      </c>
      <c r="D2414" s="3" t="e">
        <f>'001'!H2414</f>
        <v>#VALUE!</v>
      </c>
    </row>
    <row r="2415" spans="1:4" x14ac:dyDescent="0.25">
      <c r="A2415" s="1" t="str">
        <f>'001'!B2415</f>
        <v>003398</v>
      </c>
      <c r="B2415" s="1" t="str">
        <f>'001'!C2415</f>
        <v>PASTINA PARA CERAMICA WEBER CLASSIC FERRICO X 2</v>
      </c>
      <c r="C2415" s="1" t="str">
        <f>'001'!D2415</f>
        <v>0163</v>
      </c>
      <c r="D2415" s="3" t="e">
        <f>'001'!H2415</f>
        <v>#VALUE!</v>
      </c>
    </row>
    <row r="2416" spans="1:4" x14ac:dyDescent="0.25">
      <c r="A2416" s="1" t="str">
        <f>'001'!B2416</f>
        <v>003399</v>
      </c>
      <c r="B2416" s="1" t="str">
        <f>'001'!C2416</f>
        <v>PASTINA PARA CERAMICA WEBER CLASSIC GRIS PERLA X 2</v>
      </c>
      <c r="C2416" s="1" t="str">
        <f>'001'!D2416</f>
        <v>0163</v>
      </c>
      <c r="D2416" s="3" t="e">
        <f>'001'!H2416</f>
        <v>#VALUE!</v>
      </c>
    </row>
    <row r="2417" spans="1:4" x14ac:dyDescent="0.25">
      <c r="A2417" s="1" t="str">
        <f>'001'!B2417</f>
        <v>003400</v>
      </c>
      <c r="B2417" s="1" t="str">
        <f>'001'!C2417</f>
        <v>PASTINA PARA CERAMICA WEBER CLASSIC HABANO X 2</v>
      </c>
      <c r="C2417" s="1" t="str">
        <f>'001'!D2417</f>
        <v>0163</v>
      </c>
      <c r="D2417" s="3" t="e">
        <f>'001'!H2417</f>
        <v>#VALUE!</v>
      </c>
    </row>
    <row r="2418" spans="1:4" x14ac:dyDescent="0.25">
      <c r="A2418" s="1" t="str">
        <f>'001'!B2418</f>
        <v>003401</v>
      </c>
      <c r="B2418" s="1" t="str">
        <f>'001'!C2418</f>
        <v>PASTINA PARA CERAMICA WEBER CLASSIC HUESO X 2</v>
      </c>
      <c r="C2418" s="1" t="str">
        <f>'001'!D2418</f>
        <v>0163</v>
      </c>
      <c r="D2418" s="3" t="e">
        <f>'001'!H2418</f>
        <v>#VALUE!</v>
      </c>
    </row>
    <row r="2419" spans="1:4" x14ac:dyDescent="0.25">
      <c r="A2419" s="1" t="str">
        <f>'001'!B2419</f>
        <v>003402</v>
      </c>
      <c r="B2419" s="1" t="str">
        <f>'001'!C2419</f>
        <v>PASTINA PARA CERAMICA WEBER CLASSIC MEDANO X 2</v>
      </c>
      <c r="C2419" s="1" t="str">
        <f>'001'!D2419</f>
        <v>0163</v>
      </c>
      <c r="D2419" s="3" t="e">
        <f>'001'!H2419</f>
        <v>#VALUE!</v>
      </c>
    </row>
    <row r="2420" spans="1:4" x14ac:dyDescent="0.25">
      <c r="A2420" s="1" t="str">
        <f>'001'!B2420</f>
        <v>003403</v>
      </c>
      <c r="B2420" s="1" t="str">
        <f>'001'!C2420</f>
        <v>PASTINA PARA CERAMICA WEBER CLASSIC NEGRO X 2</v>
      </c>
      <c r="C2420" s="1" t="str">
        <f>'001'!D2420</f>
        <v>0163</v>
      </c>
      <c r="D2420" s="3" t="e">
        <f>'001'!H2420</f>
        <v>#VALUE!</v>
      </c>
    </row>
    <row r="2421" spans="1:4" x14ac:dyDescent="0.25">
      <c r="A2421" s="1" t="str">
        <f>'001'!B2421</f>
        <v>003404</v>
      </c>
      <c r="B2421" s="1" t="str">
        <f>'001'!C2421</f>
        <v>PASTINA PARA CERAMICA WEBER CLASSIC NIEVE X 2</v>
      </c>
      <c r="C2421" s="1" t="str">
        <f>'001'!D2421</f>
        <v>0163</v>
      </c>
      <c r="D2421" s="3" t="e">
        <f>'001'!H2421</f>
        <v>#VALUE!</v>
      </c>
    </row>
    <row r="2422" spans="1:4" x14ac:dyDescent="0.25">
      <c r="A2422" s="1" t="str">
        <f>'001'!B2422</f>
        <v>003405</v>
      </c>
      <c r="B2422" s="1" t="str">
        <f>'001'!C2422</f>
        <v>PASTINA PARA CERAMICA WEBER CLASSIC PERLATO X 2</v>
      </c>
      <c r="C2422" s="1" t="str">
        <f>'001'!D2422</f>
        <v>0163</v>
      </c>
      <c r="D2422" s="3" t="e">
        <f>'001'!H2422</f>
        <v>#VALUE!</v>
      </c>
    </row>
    <row r="2423" spans="1:4" x14ac:dyDescent="0.25">
      <c r="A2423" s="1" t="str">
        <f>'001'!B2423</f>
        <v>003406</v>
      </c>
      <c r="B2423" s="1" t="str">
        <f>'001'!C2423</f>
        <v>PASTINA PARA CERAMICA WEBER CLASSIC PLATA X 2</v>
      </c>
      <c r="C2423" s="1" t="str">
        <f>'001'!D2423</f>
        <v>0163</v>
      </c>
      <c r="D2423" s="3" t="e">
        <f>'001'!H2423</f>
        <v>#VALUE!</v>
      </c>
    </row>
    <row r="2424" spans="1:4" x14ac:dyDescent="0.25">
      <c r="A2424" s="1" t="str">
        <f>'001'!B2424</f>
        <v>003407</v>
      </c>
      <c r="B2424" s="1" t="str">
        <f>'001'!C2424</f>
        <v>PASTINA PARA CERAMICA WEBER CLASSIC PLOMO X 2</v>
      </c>
      <c r="C2424" s="1" t="str">
        <f>'001'!D2424</f>
        <v>0163</v>
      </c>
      <c r="D2424" s="3" t="e">
        <f>'001'!H2424</f>
        <v>#VALUE!</v>
      </c>
    </row>
    <row r="2425" spans="1:4" x14ac:dyDescent="0.25">
      <c r="A2425" s="1" t="str">
        <f>'001'!B2425</f>
        <v>003408</v>
      </c>
      <c r="B2425" s="1" t="str">
        <f>'001'!C2425</f>
        <v>PASTINA PARA CERAMICA WEBER CLASSIC TERRACOTA X 2</v>
      </c>
      <c r="C2425" s="1" t="str">
        <f>'001'!D2425</f>
        <v>0163</v>
      </c>
      <c r="D2425" s="3" t="e">
        <f>'001'!H2425</f>
        <v>#VALUE!</v>
      </c>
    </row>
    <row r="2426" spans="1:4" x14ac:dyDescent="0.25">
      <c r="A2426" s="1" t="str">
        <f>'001'!B2426</f>
        <v>003409</v>
      </c>
      <c r="B2426" s="1" t="str">
        <f>'001'!C2426</f>
        <v>ESMALTE POLIURETANO ACRILICO ALBAMIX FULL WHITE X 18,5</v>
      </c>
      <c r="C2426" s="1" t="str">
        <f>'001'!D2426</f>
        <v>0192</v>
      </c>
      <c r="D2426" s="3" t="e">
        <f>'001'!H2426</f>
        <v>#VALUE!</v>
      </c>
    </row>
    <row r="2427" spans="1:4" x14ac:dyDescent="0.25">
      <c r="A2427" s="1" t="str">
        <f>'001'!B2427</f>
        <v>003410</v>
      </c>
      <c r="B2427" s="1" t="str">
        <f>'001'!C2427</f>
        <v>PANO DE MICROFIBRA PARA ABROJO ZEOCAR 7 (88)</v>
      </c>
      <c r="C2427" s="1" t="str">
        <f>'001'!D2427</f>
        <v>0157</v>
      </c>
      <c r="D2427" s="3" t="e">
        <f>'001'!H2427</f>
        <v>#VALUE!</v>
      </c>
    </row>
    <row r="2428" spans="1:4" x14ac:dyDescent="0.25">
      <c r="A2428" s="1" t="str">
        <f>'001'!B2428</f>
        <v>003412</v>
      </c>
      <c r="B2428" s="1" t="str">
        <f>'001'!C2428</f>
        <v>ESMALTE SINTETICO PLAVICON 3EN1 SATINADO BLANCO X  0,500</v>
      </c>
      <c r="C2428" s="1" t="str">
        <f>'001'!D2428</f>
        <v>0139</v>
      </c>
      <c r="D2428" s="3" t="e">
        <f>'001'!H2428</f>
        <v>#VALUE!</v>
      </c>
    </row>
    <row r="2429" spans="1:4" x14ac:dyDescent="0.25">
      <c r="A2429" s="1" t="str">
        <f>'001'!B2429</f>
        <v>003413</v>
      </c>
      <c r="B2429" s="1" t="str">
        <f>'001'!C2429</f>
        <v>ESMALTE SINTETICO PLAVICON 3EN1 SATINADO BLANCO X  1</v>
      </c>
      <c r="C2429" s="1" t="str">
        <f>'001'!D2429</f>
        <v>0139</v>
      </c>
      <c r="D2429" s="3" t="e">
        <f>'001'!H2429</f>
        <v>#VALUE!</v>
      </c>
    </row>
    <row r="2430" spans="1:4" x14ac:dyDescent="0.25">
      <c r="A2430" s="1" t="str">
        <f>'001'!B2430</f>
        <v>003414</v>
      </c>
      <c r="B2430" s="1" t="str">
        <f>'001'!C2430</f>
        <v>ESMALTE SINTETICO PLAVICON 3EN1 SATINADO BLANCO X  4</v>
      </c>
      <c r="C2430" s="1" t="str">
        <f>'001'!D2430</f>
        <v>0139</v>
      </c>
      <c r="D2430" s="3" t="e">
        <f>'001'!H2430</f>
        <v>#VALUE!</v>
      </c>
    </row>
    <row r="2431" spans="1:4" x14ac:dyDescent="0.25">
      <c r="A2431" s="1" t="str">
        <f>'001'!B2431</f>
        <v>003415</v>
      </c>
      <c r="B2431" s="1" t="str">
        <f>'001'!C2431</f>
        <v>ESMALTE SINTETICO PLAVICON 3EN1 SATINADO BLANCO X 20</v>
      </c>
      <c r="C2431" s="1" t="str">
        <f>'001'!D2431</f>
        <v>0139</v>
      </c>
      <c r="D2431" s="3" t="e">
        <f>'001'!H2431</f>
        <v>#VALUE!</v>
      </c>
    </row>
    <row r="2432" spans="1:4" x14ac:dyDescent="0.25">
      <c r="A2432" s="1" t="str">
        <f>'001'!B2432</f>
        <v>003419</v>
      </c>
      <c r="B2432" s="1" t="str">
        <f>'001'!C2432</f>
        <v>GUANTES TACTIL POLI 21-103 -T07 X 2</v>
      </c>
      <c r="C2432" s="1" t="str">
        <f>'001'!D2432</f>
        <v>0143</v>
      </c>
      <c r="D2432" s="3" t="e">
        <f>'001'!H2432</f>
        <v>#VALUE!</v>
      </c>
    </row>
    <row r="2433" spans="1:4" x14ac:dyDescent="0.25">
      <c r="A2433" s="1" t="str">
        <f>'001'!B2433</f>
        <v>003420</v>
      </c>
      <c r="B2433" s="1" t="str">
        <f>'001'!C2433</f>
        <v>GUANTES TACTIL POLI 21-103 -T08 X 2</v>
      </c>
      <c r="C2433" s="1" t="str">
        <f>'001'!D2433</f>
        <v>0143</v>
      </c>
      <c r="D2433" s="3" t="e">
        <f>'001'!H2433</f>
        <v>#VALUE!</v>
      </c>
    </row>
    <row r="2434" spans="1:4" x14ac:dyDescent="0.25">
      <c r="A2434" s="1" t="str">
        <f>'001'!B2434</f>
        <v>003421</v>
      </c>
      <c r="B2434" s="1" t="str">
        <f>'001'!C2434</f>
        <v>FONDO EPOXI ANTICORROSIVO W/W ALBAMIX GRIS X  4</v>
      </c>
      <c r="C2434" s="1" t="str">
        <f>'001'!D2434</f>
        <v>0192</v>
      </c>
      <c r="D2434" s="3" t="e">
        <f>'001'!H2434</f>
        <v>#VALUE!</v>
      </c>
    </row>
    <row r="2435" spans="1:4" x14ac:dyDescent="0.25">
      <c r="A2435" s="1" t="str">
        <f>'001'!B2435</f>
        <v>003422</v>
      </c>
      <c r="B2435" s="1" t="str">
        <f>'001'!C2435</f>
        <v>FONDO EPOXI ANTICORROSIVO W/W ALBAMIX GRIS X 20</v>
      </c>
      <c r="C2435" s="1" t="str">
        <f>'001'!D2435</f>
        <v>0192</v>
      </c>
      <c r="D2435" s="3" t="e">
        <f>'001'!H2435</f>
        <v>#VALUE!</v>
      </c>
    </row>
    <row r="2436" spans="1:4" x14ac:dyDescent="0.25">
      <c r="A2436" s="1" t="str">
        <f>'001'!B2436</f>
        <v>003423</v>
      </c>
      <c r="B2436" s="1" t="str">
        <f>'001'!C2436</f>
        <v>FONDO POLIURETANO ESPECIAL ALBAMIX BEIGE X 20(4585012)</v>
      </c>
      <c r="C2436" s="1" t="str">
        <f>'001'!D2436</f>
        <v>0192</v>
      </c>
      <c r="D2436" s="3" t="e">
        <f>'001'!H2436</f>
        <v>#VALUE!</v>
      </c>
    </row>
    <row r="2437" spans="1:4" x14ac:dyDescent="0.25">
      <c r="A2437" s="1" t="str">
        <f>'001'!B2437</f>
        <v>003428</v>
      </c>
      <c r="B2437" s="1" t="str">
        <f>'001'!C2437</f>
        <v>RODILLO LUMAR POLIESTER ESPECIAL FORRADO 10 (420A)</v>
      </c>
      <c r="C2437" s="1" t="str">
        <f>'001'!D2437</f>
        <v>0128</v>
      </c>
      <c r="D2437" s="3" t="e">
        <f>'001'!H2437</f>
        <v>#VALUE!</v>
      </c>
    </row>
    <row r="2438" spans="1:4" x14ac:dyDescent="0.25">
      <c r="A2438" s="1" t="str">
        <f>'001'!B2438</f>
        <v>003429</v>
      </c>
      <c r="B2438" s="1" t="str">
        <f>'001'!C2438</f>
        <v>RODILLO LUMAR POLIESTER ESPECIAL FORRADO 17 (420B)</v>
      </c>
      <c r="C2438" s="1" t="str">
        <f>'001'!D2438</f>
        <v>0128</v>
      </c>
      <c r="D2438" s="3" t="e">
        <f>'001'!H2438</f>
        <v>#VALUE!</v>
      </c>
    </row>
    <row r="2439" spans="1:4" x14ac:dyDescent="0.25">
      <c r="A2439" s="1" t="str">
        <f>'001'!B2439</f>
        <v>003430</v>
      </c>
      <c r="B2439" s="1" t="str">
        <f>'001'!C2439</f>
        <v>RODILLO LUMAR POLIESTER ESPECIAL FORRADO 22 (420C)</v>
      </c>
      <c r="C2439" s="1" t="str">
        <f>'001'!D2439</f>
        <v>0128</v>
      </c>
      <c r="D2439" s="3" t="e">
        <f>'001'!H2439</f>
        <v>#VALUE!</v>
      </c>
    </row>
    <row r="2440" spans="1:4" x14ac:dyDescent="0.25">
      <c r="A2440" s="1" t="str">
        <f>'001'!B2440</f>
        <v>003432</v>
      </c>
      <c r="B2440" s="1" t="str">
        <f>'001'!C2440</f>
        <v>ESMALTE SINTETICO PLAVICON 3EN1 SATINADO NEGRO X  0,500</v>
      </c>
      <c r="C2440" s="1" t="str">
        <f>'001'!D2440</f>
        <v>0139</v>
      </c>
      <c r="D2440" s="3" t="e">
        <f>'001'!H2440</f>
        <v>#VALUE!</v>
      </c>
    </row>
    <row r="2441" spans="1:4" x14ac:dyDescent="0.25">
      <c r="A2441" s="1" t="str">
        <f>'001'!B2441</f>
        <v>003433</v>
      </c>
      <c r="B2441" s="1" t="str">
        <f>'001'!C2441</f>
        <v>ESMALTE SINTETICO PLAVICON 3EN1 SATINADO NEGRO X  1</v>
      </c>
      <c r="C2441" s="1" t="str">
        <f>'001'!D2441</f>
        <v>0139</v>
      </c>
      <c r="D2441" s="3" t="e">
        <f>'001'!H2441</f>
        <v>#VALUE!</v>
      </c>
    </row>
    <row r="2442" spans="1:4" x14ac:dyDescent="0.25">
      <c r="A2442" s="1" t="str">
        <f>'001'!B2442</f>
        <v>003434</v>
      </c>
      <c r="B2442" s="1" t="str">
        <f>'001'!C2442</f>
        <v>ESMALTE SINTETICO PLAVICON 3EN1 SATINADO NEGRO X  4</v>
      </c>
      <c r="C2442" s="1" t="str">
        <f>'001'!D2442</f>
        <v>0139</v>
      </c>
      <c r="D2442" s="3" t="e">
        <f>'001'!H2442</f>
        <v>#VALUE!</v>
      </c>
    </row>
    <row r="2443" spans="1:4" x14ac:dyDescent="0.25">
      <c r="A2443" s="1" t="str">
        <f>'001'!B2443</f>
        <v>003435</v>
      </c>
      <c r="B2443" s="1" t="str">
        <f>'001'!C2443</f>
        <v>ESMALTE SINTETICO PLAVICON 3EN1 SATINADO NEGRO X 20</v>
      </c>
      <c r="C2443" s="1" t="str">
        <f>'001'!D2443</f>
        <v>0139</v>
      </c>
      <c r="D2443" s="3" t="e">
        <f>'001'!H2443</f>
        <v>#VALUE!</v>
      </c>
    </row>
    <row r="2444" spans="1:4" x14ac:dyDescent="0.25">
      <c r="A2444" s="1" t="str">
        <f>'001'!B2444</f>
        <v>003436</v>
      </c>
      <c r="B2444" s="1" t="str">
        <f>'001'!C2444</f>
        <v>CONVERTIDOR P/ POLIURETANO 4585006/45701XX ALBAMIX X 4</v>
      </c>
      <c r="C2444" s="1" t="str">
        <f>'001'!D2444</f>
        <v>0192</v>
      </c>
      <c r="D2444" s="3" t="e">
        <f>'001'!H2444</f>
        <v>#VALUE!</v>
      </c>
    </row>
    <row r="2445" spans="1:4" x14ac:dyDescent="0.25">
      <c r="A2445" s="1" t="str">
        <f>'001'!B2445</f>
        <v>003437</v>
      </c>
      <c r="B2445" s="1" t="str">
        <f>'001'!C2445</f>
        <v>CONVERTIDOR P/ FONDO EPOXI ALBAMIX GRIS 85007 X 4</v>
      </c>
      <c r="C2445" s="1" t="str">
        <f>'001'!D2445</f>
        <v>0192</v>
      </c>
      <c r="D2445" s="3" t="e">
        <f>'001'!H2445</f>
        <v>#VALUE!</v>
      </c>
    </row>
    <row r="2446" spans="1:4" x14ac:dyDescent="0.25">
      <c r="A2446" s="1" t="str">
        <f>'001'!B2446</f>
        <v>003438</v>
      </c>
      <c r="B2446" s="1" t="str">
        <f>'001'!C2446</f>
        <v>REGRETA METALICA - 031309-0163</v>
      </c>
      <c r="C2446" s="1" t="str">
        <f>'001'!D2446</f>
        <v>0134</v>
      </c>
      <c r="D2446" s="3" t="e">
        <f>'001'!H2446</f>
        <v>#VALUE!</v>
      </c>
    </row>
    <row r="2447" spans="1:4" x14ac:dyDescent="0.25">
      <c r="A2447" s="1" t="str">
        <f>'001'!B2447</f>
        <v>003439</v>
      </c>
      <c r="B2447" s="1" t="str">
        <f>'001'!C2447</f>
        <v>AEROSOL RUST-OLEUM ACABADO METALICO BRILLANTE CROMO X 0,340 (313527/248652)</v>
      </c>
      <c r="C2447" s="1" t="str">
        <f>'001'!D2447</f>
        <v>0145</v>
      </c>
      <c r="D2447" s="3" t="e">
        <f>'001'!H2447</f>
        <v>#VALUE!</v>
      </c>
    </row>
    <row r="2448" spans="1:4" x14ac:dyDescent="0.25">
      <c r="A2448" s="1" t="str">
        <f>'001'!B2448</f>
        <v>003440</v>
      </c>
      <c r="B2448" s="1" t="str">
        <f>'001'!C2448</f>
        <v>PASTINA ALTA PRESTACIONES WEBER PRESTIGE IRON X 5</v>
      </c>
      <c r="C2448" s="1" t="str">
        <f>'001'!D2448</f>
        <v>0163</v>
      </c>
      <c r="D2448" s="3" t="e">
        <f>'001'!H2448</f>
        <v>#VALUE!</v>
      </c>
    </row>
    <row r="2449" spans="1:4" x14ac:dyDescent="0.25">
      <c r="A2449" s="1" t="str">
        <f>'001'!B2449</f>
        <v>003441</v>
      </c>
      <c r="B2449" s="1" t="str">
        <f>'001'!C2449</f>
        <v>PASTINA PARA CERAMICA WEBER CLASSIC NIEVE X 5</v>
      </c>
      <c r="C2449" s="1" t="str">
        <f>'001'!D2449</f>
        <v>0163</v>
      </c>
      <c r="D2449" s="3" t="e">
        <f>'001'!H2449</f>
        <v>#VALUE!</v>
      </c>
    </row>
    <row r="2450" spans="1:4" x14ac:dyDescent="0.25">
      <c r="A2450" s="1" t="str">
        <f>'001'!B2450</f>
        <v>003442</v>
      </c>
      <c r="B2450" s="1" t="str">
        <f>'001'!C2450</f>
        <v>PASTINA PARA CERAMICA WEBER CLASSIC PERLATO X 5</v>
      </c>
      <c r="C2450" s="1" t="str">
        <f>'001'!D2450</f>
        <v>0163</v>
      </c>
      <c r="D2450" s="3" t="e">
        <f>'001'!H2450</f>
        <v>#VALUE!</v>
      </c>
    </row>
    <row r="2451" spans="1:4" x14ac:dyDescent="0.25">
      <c r="A2451" s="1" t="str">
        <f>'001'!B2451</f>
        <v>003443</v>
      </c>
      <c r="B2451" s="1" t="str">
        <f>'001'!C2451</f>
        <v>PASTINA PARA CERAMICA WEBER CLASSIC CHAMPAGNE X 5</v>
      </c>
      <c r="C2451" s="1" t="str">
        <f>'001'!D2451</f>
        <v>0163</v>
      </c>
      <c r="D2451" s="3" t="e">
        <f>'001'!H2451</f>
        <v>#VALUE!</v>
      </c>
    </row>
    <row r="2452" spans="1:4" x14ac:dyDescent="0.25">
      <c r="A2452" s="1" t="str">
        <f>'001'!B2452</f>
        <v>003444</v>
      </c>
      <c r="B2452" s="1" t="str">
        <f>'001'!C2452</f>
        <v>PASTINA PARA CERAMICA WEBER CLASSIC ARENA X 5</v>
      </c>
      <c r="C2452" s="1" t="str">
        <f>'001'!D2452</f>
        <v>0163</v>
      </c>
      <c r="D2452" s="3" t="e">
        <f>'001'!H2452</f>
        <v>#VALUE!</v>
      </c>
    </row>
    <row r="2453" spans="1:4" x14ac:dyDescent="0.25">
      <c r="A2453" s="1" t="str">
        <f>'001'!B2453</f>
        <v>003445</v>
      </c>
      <c r="B2453" s="1" t="str">
        <f>'001'!C2453</f>
        <v>PASTINA PARA CERAMICA WEBER CLASSIC BEIGE X 5</v>
      </c>
      <c r="C2453" s="1" t="str">
        <f>'001'!D2453</f>
        <v>0163</v>
      </c>
      <c r="D2453" s="3" t="e">
        <f>'001'!H2453</f>
        <v>#VALUE!</v>
      </c>
    </row>
    <row r="2454" spans="1:4" x14ac:dyDescent="0.25">
      <c r="A2454" s="1" t="str">
        <f>'001'!B2454</f>
        <v>003446</v>
      </c>
      <c r="B2454" s="1" t="str">
        <f>'001'!C2454</f>
        <v>PASTINA PARA CERAMICA WEBER CLASSIC TERRACOTA X 5</v>
      </c>
      <c r="C2454" s="1" t="str">
        <f>'001'!D2454</f>
        <v>0163</v>
      </c>
      <c r="D2454" s="3" t="e">
        <f>'001'!H2454</f>
        <v>#VALUE!</v>
      </c>
    </row>
    <row r="2455" spans="1:4" x14ac:dyDescent="0.25">
      <c r="A2455" s="1" t="str">
        <f>'001'!B2455</f>
        <v>003447</v>
      </c>
      <c r="B2455" s="1" t="str">
        <f>'001'!C2455</f>
        <v>PASTINA PARA CERAMICA WEBER CLASSIC FERRICO X 5</v>
      </c>
      <c r="C2455" s="1" t="str">
        <f>'001'!D2455</f>
        <v>0163</v>
      </c>
      <c r="D2455" s="3" t="e">
        <f>'001'!H2455</f>
        <v>#VALUE!</v>
      </c>
    </row>
    <row r="2456" spans="1:4" x14ac:dyDescent="0.25">
      <c r="A2456" s="1" t="str">
        <f>'001'!B2456</f>
        <v>003448</v>
      </c>
      <c r="B2456" s="1" t="str">
        <f>'001'!C2456</f>
        <v>PASTINA PARA CERAMICA WEBER CLASSIC HABANO X 5</v>
      </c>
      <c r="C2456" s="1" t="str">
        <f>'001'!D2456</f>
        <v>0163</v>
      </c>
      <c r="D2456" s="3" t="e">
        <f>'001'!H2456</f>
        <v>#VALUE!</v>
      </c>
    </row>
    <row r="2457" spans="1:4" x14ac:dyDescent="0.25">
      <c r="A2457" s="1" t="str">
        <f>'001'!B2457</f>
        <v>003449</v>
      </c>
      <c r="B2457" s="1" t="str">
        <f>'001'!C2457</f>
        <v>PASTINA PARA CERAMICA WEBER CLASSIC PLATA X 5</v>
      </c>
      <c r="C2457" s="1" t="str">
        <f>'001'!D2457</f>
        <v>0163</v>
      </c>
      <c r="D2457" s="3" t="e">
        <f>'001'!H2457</f>
        <v>#VALUE!</v>
      </c>
    </row>
    <row r="2458" spans="1:4" x14ac:dyDescent="0.25">
      <c r="A2458" s="1" t="str">
        <f>'001'!B2458</f>
        <v>003450</v>
      </c>
      <c r="B2458" s="1" t="str">
        <f>'001'!C2458</f>
        <v>PASTINA PARA CERAMICA WEBER CLASSIC PLOMO X 5</v>
      </c>
      <c r="C2458" s="1" t="str">
        <f>'001'!D2458</f>
        <v>0163</v>
      </c>
      <c r="D2458" s="3" t="e">
        <f>'001'!H2458</f>
        <v>#VALUE!</v>
      </c>
    </row>
    <row r="2459" spans="1:4" x14ac:dyDescent="0.25">
      <c r="A2459" s="1" t="str">
        <f>'001'!B2459</f>
        <v>003451</v>
      </c>
      <c r="B2459" s="1" t="str">
        <f>'001'!C2459</f>
        <v>PASTINA PARA CERAMICA WEBER CLASSIC NEGRO X 5</v>
      </c>
      <c r="C2459" s="1" t="str">
        <f>'001'!D2459</f>
        <v>0163</v>
      </c>
      <c r="D2459" s="3" t="e">
        <f>'001'!H2459</f>
        <v>#VALUE!</v>
      </c>
    </row>
    <row r="2460" spans="1:4" x14ac:dyDescent="0.25">
      <c r="A2460" s="1" t="str">
        <f>'001'!B2460</f>
        <v>003452</v>
      </c>
      <c r="B2460" s="1" t="str">
        <f>'001'!C2460</f>
        <v>PASTINA PARA CERAMICA WEBER CLASSIC GRIS PERLA X 5</v>
      </c>
      <c r="C2460" s="1" t="str">
        <f>'001'!D2460</f>
        <v>0163</v>
      </c>
      <c r="D2460" s="3" t="e">
        <f>'001'!H2460</f>
        <v>#VALUE!</v>
      </c>
    </row>
    <row r="2461" spans="1:4" x14ac:dyDescent="0.25">
      <c r="A2461" s="1" t="str">
        <f>'001'!B2461</f>
        <v>003453</v>
      </c>
      <c r="B2461" s="1" t="str">
        <f>'001'!C2461</f>
        <v>PASTINA PARA CERAMICA WEBER CLASSIC MEDANO X 5</v>
      </c>
      <c r="C2461" s="1" t="str">
        <f>'001'!D2461</f>
        <v>0163</v>
      </c>
      <c r="D2461" s="3" t="e">
        <f>'001'!H2461</f>
        <v>#VALUE!</v>
      </c>
    </row>
    <row r="2462" spans="1:4" x14ac:dyDescent="0.25">
      <c r="A2462" s="1" t="str">
        <f>'001'!B2462</f>
        <v>003454</v>
      </c>
      <c r="B2462" s="1" t="str">
        <f>'001'!C2462</f>
        <v>PASTINA PARA CERAMICA WEBER CLASSIC HUESO X 5</v>
      </c>
      <c r="C2462" s="1" t="str">
        <f>'001'!D2462</f>
        <v>0163</v>
      </c>
      <c r="D2462" s="3" t="e">
        <f>'001'!H2462</f>
        <v>#VALUE!</v>
      </c>
    </row>
    <row r="2463" spans="1:4" x14ac:dyDescent="0.25">
      <c r="A2463" s="1" t="str">
        <f>'001'!B2463</f>
        <v>003455</v>
      </c>
      <c r="B2463" s="1" t="str">
        <f>'001'!C2463</f>
        <v>PASTINA PARA CERAMICA WEBER CLASSIC CEDRO X 5</v>
      </c>
      <c r="C2463" s="1" t="str">
        <f>'001'!D2463</f>
        <v>0163</v>
      </c>
      <c r="D2463" s="3" t="e">
        <f>'001'!H2463</f>
        <v>#VALUE!</v>
      </c>
    </row>
    <row r="2464" spans="1:4" x14ac:dyDescent="0.25">
      <c r="A2464" s="1" t="str">
        <f>'001'!B2464</f>
        <v>003456</v>
      </c>
      <c r="B2464" s="1" t="str">
        <f>'001'!C2464</f>
        <v>PASTINA ALTA PRESTACIONES WEBER PRESTIGE NIEVE X 5</v>
      </c>
      <c r="C2464" s="1" t="str">
        <f>'001'!D2464</f>
        <v>0163</v>
      </c>
      <c r="D2464" s="3" t="e">
        <f>'001'!H2464</f>
        <v>#VALUE!</v>
      </c>
    </row>
    <row r="2465" spans="1:4" x14ac:dyDescent="0.25">
      <c r="A2465" s="1" t="str">
        <f>'001'!B2465</f>
        <v>003457</v>
      </c>
      <c r="B2465" s="1" t="str">
        <f>'001'!C2465</f>
        <v>PASTINA ALTA PRESTACIONES WEBER PRESTIGE PERLATO X 5</v>
      </c>
      <c r="C2465" s="1" t="str">
        <f>'001'!D2465</f>
        <v>0163</v>
      </c>
      <c r="D2465" s="3" t="e">
        <f>'001'!H2465</f>
        <v>#VALUE!</v>
      </c>
    </row>
    <row r="2466" spans="1:4" x14ac:dyDescent="0.25">
      <c r="A2466" s="1" t="str">
        <f>'001'!B2466</f>
        <v>003458</v>
      </c>
      <c r="B2466" s="1" t="str">
        <f>'001'!C2466</f>
        <v>PASTINA ALTA PRESTACIONES WEBER PRESTIGE CHAMPAGNE X 5</v>
      </c>
      <c r="C2466" s="1" t="str">
        <f>'001'!D2466</f>
        <v>0163</v>
      </c>
      <c r="D2466" s="3" t="e">
        <f>'001'!H2466</f>
        <v>#VALUE!</v>
      </c>
    </row>
    <row r="2467" spans="1:4" x14ac:dyDescent="0.25">
      <c r="A2467" s="1" t="str">
        <f>'001'!B2467</f>
        <v>003459</v>
      </c>
      <c r="B2467" s="1" t="str">
        <f>'001'!C2467</f>
        <v>PASTINA ALTA PRESTACIONES WEBER PRESTIGE ARENA X 5</v>
      </c>
      <c r="C2467" s="1" t="str">
        <f>'001'!D2467</f>
        <v>0163</v>
      </c>
      <c r="D2467" s="3" t="e">
        <f>'001'!H2467</f>
        <v>#VALUE!</v>
      </c>
    </row>
    <row r="2468" spans="1:4" x14ac:dyDescent="0.25">
      <c r="A2468" s="1" t="str">
        <f>'001'!B2468</f>
        <v>003460</v>
      </c>
      <c r="B2468" s="1" t="str">
        <f>'001'!C2468</f>
        <v>PASTINA ALTA PRESTACIONES WEBER PRESTIGE BEIGE X 5</v>
      </c>
      <c r="C2468" s="1" t="str">
        <f>'001'!D2468</f>
        <v>0163</v>
      </c>
      <c r="D2468" s="3" t="e">
        <f>'001'!H2468</f>
        <v>#VALUE!</v>
      </c>
    </row>
    <row r="2469" spans="1:4" x14ac:dyDescent="0.25">
      <c r="A2469" s="1" t="str">
        <f>'001'!B2469</f>
        <v>003461</v>
      </c>
      <c r="B2469" s="1" t="str">
        <f>'001'!C2469</f>
        <v>PASTINA ALTA PRESTACIONES WEBER PRESTIGE TERRACOTA X 5</v>
      </c>
      <c r="C2469" s="1" t="str">
        <f>'001'!D2469</f>
        <v>0163</v>
      </c>
      <c r="D2469" s="3" t="e">
        <f>'001'!H2469</f>
        <v>#VALUE!</v>
      </c>
    </row>
    <row r="2470" spans="1:4" x14ac:dyDescent="0.25">
      <c r="A2470" s="1" t="str">
        <f>'001'!B2470</f>
        <v>003462</v>
      </c>
      <c r="B2470" s="1" t="str">
        <f>'001'!C2470</f>
        <v>PASTINA ALTA PRESTACIONES WEBER PRESTIGE FERRICO X 5</v>
      </c>
      <c r="C2470" s="1" t="str">
        <f>'001'!D2470</f>
        <v>0163</v>
      </c>
      <c r="D2470" s="3" t="e">
        <f>'001'!H2470</f>
        <v>#VALUE!</v>
      </c>
    </row>
    <row r="2471" spans="1:4" x14ac:dyDescent="0.25">
      <c r="A2471" s="1" t="str">
        <f>'001'!B2471</f>
        <v>003463</v>
      </c>
      <c r="B2471" s="1" t="str">
        <f>'001'!C2471</f>
        <v>PASTINA ALTA PRESTACIONES WEBER PRESTIGE TEJA X 5</v>
      </c>
      <c r="C2471" s="1" t="str">
        <f>'001'!D2471</f>
        <v>0163</v>
      </c>
      <c r="D2471" s="3" t="e">
        <f>'001'!H2471</f>
        <v>#VALUE!</v>
      </c>
    </row>
    <row r="2472" spans="1:4" x14ac:dyDescent="0.25">
      <c r="A2472" s="1" t="str">
        <f>'001'!B2472</f>
        <v>003464</v>
      </c>
      <c r="B2472" s="1" t="str">
        <f>'001'!C2472</f>
        <v>PASTINA ALTA PRESTACIONES WEBER PRESTIGE ANTILOPE X 5</v>
      </c>
      <c r="C2472" s="1" t="str">
        <f>'001'!D2472</f>
        <v>0163</v>
      </c>
      <c r="D2472" s="3" t="e">
        <f>'001'!H2472</f>
        <v>#VALUE!</v>
      </c>
    </row>
    <row r="2473" spans="1:4" x14ac:dyDescent="0.25">
      <c r="A2473" s="1" t="str">
        <f>'001'!B2473</f>
        <v>003465</v>
      </c>
      <c r="B2473" s="1" t="str">
        <f>'001'!C2473</f>
        <v>PASTINA ALTA PRESTACIONES WEBER PRESTIGE HABANO X 5</v>
      </c>
      <c r="C2473" s="1" t="str">
        <f>'001'!D2473</f>
        <v>0163</v>
      </c>
      <c r="D2473" s="3" t="e">
        <f>'001'!H2473</f>
        <v>#VALUE!</v>
      </c>
    </row>
    <row r="2474" spans="1:4" x14ac:dyDescent="0.25">
      <c r="A2474" s="1" t="str">
        <f>'001'!B2474</f>
        <v>003466</v>
      </c>
      <c r="B2474" s="1" t="str">
        <f>'001'!C2474</f>
        <v>PASTINA ALTA PRESTACIONES WEBER PRESTIGE JADE X 5</v>
      </c>
      <c r="C2474" s="1" t="str">
        <f>'001'!D2474</f>
        <v>0163</v>
      </c>
      <c r="D2474" s="3" t="e">
        <f>'001'!H2474</f>
        <v>#VALUE!</v>
      </c>
    </row>
    <row r="2475" spans="1:4" x14ac:dyDescent="0.25">
      <c r="A2475" s="1" t="str">
        <f>'001'!B2475</f>
        <v>003467</v>
      </c>
      <c r="B2475" s="1" t="str">
        <f>'001'!C2475</f>
        <v>PASTINA ALTA PRESTACIONES WEBER PRESTIGE PLATA X 5</v>
      </c>
      <c r="C2475" s="1" t="str">
        <f>'001'!D2475</f>
        <v>0163</v>
      </c>
      <c r="D2475" s="3" t="e">
        <f>'001'!H2475</f>
        <v>#VALUE!</v>
      </c>
    </row>
    <row r="2476" spans="1:4" x14ac:dyDescent="0.25">
      <c r="A2476" s="1" t="str">
        <f>'001'!B2476</f>
        <v>003468</v>
      </c>
      <c r="B2476" s="1" t="str">
        <f>'001'!C2476</f>
        <v>PASTINA ALTA PRESTACIONES WEBER PRESTIGE PLOMO X 5</v>
      </c>
      <c r="C2476" s="1" t="str">
        <f>'001'!D2476</f>
        <v>0163</v>
      </c>
      <c r="D2476" s="3" t="e">
        <f>'001'!H2476</f>
        <v>#VALUE!</v>
      </c>
    </row>
    <row r="2477" spans="1:4" x14ac:dyDescent="0.25">
      <c r="A2477" s="1" t="str">
        <f>'001'!B2477</f>
        <v>003469</v>
      </c>
      <c r="B2477" s="1" t="str">
        <f>'001'!C2477</f>
        <v>PASTINA ALTA PRESTACIONES WEBER PRESTIGE NEGRO X 5</v>
      </c>
      <c r="C2477" s="1" t="str">
        <f>'001'!D2477</f>
        <v>0163</v>
      </c>
      <c r="D2477" s="3" t="e">
        <f>'001'!H2477</f>
        <v>#VALUE!</v>
      </c>
    </row>
    <row r="2478" spans="1:4" x14ac:dyDescent="0.25">
      <c r="A2478" s="1" t="str">
        <f>'001'!B2478</f>
        <v>003470</v>
      </c>
      <c r="B2478" s="1" t="str">
        <f>'001'!C2478</f>
        <v>PASTINA ALTA PRESTACIONES WEBER PRESTIGE GRIS PERLA X 5</v>
      </c>
      <c r="C2478" s="1" t="str">
        <f>'001'!D2478</f>
        <v>0163</v>
      </c>
      <c r="D2478" s="3" t="e">
        <f>'001'!H2478</f>
        <v>#VALUE!</v>
      </c>
    </row>
    <row r="2479" spans="1:4" x14ac:dyDescent="0.25">
      <c r="A2479" s="1" t="str">
        <f>'001'!B2479</f>
        <v>003471</v>
      </c>
      <c r="B2479" s="1" t="str">
        <f>'001'!C2479</f>
        <v>PASTINA ALTA PRESTACIONES WEBER PRESTIGE MEDANO X 5</v>
      </c>
      <c r="C2479" s="1" t="str">
        <f>'001'!D2479</f>
        <v>0163</v>
      </c>
      <c r="D2479" s="3" t="e">
        <f>'001'!H2479</f>
        <v>#VALUE!</v>
      </c>
    </row>
    <row r="2480" spans="1:4" x14ac:dyDescent="0.25">
      <c r="A2480" s="1" t="str">
        <f>'001'!B2480</f>
        <v>003472</v>
      </c>
      <c r="B2480" s="1" t="str">
        <f>'001'!C2480</f>
        <v>PASTINA ALTA PRESTACIONES WEBER PRESTIGE NIEBLA X 5</v>
      </c>
      <c r="C2480" s="1" t="str">
        <f>'001'!D2480</f>
        <v>0163</v>
      </c>
      <c r="D2480" s="3" t="e">
        <f>'001'!H2480</f>
        <v>#VALUE!</v>
      </c>
    </row>
    <row r="2481" spans="1:4" x14ac:dyDescent="0.25">
      <c r="A2481" s="1" t="str">
        <f>'001'!B2481</f>
        <v>003473</v>
      </c>
      <c r="B2481" s="1" t="str">
        <f>'001'!C2481</f>
        <v>PASTINA ALTA PRESTACIONES WEBER PRESTIGE HUESO X 5</v>
      </c>
      <c r="C2481" s="1" t="str">
        <f>'001'!D2481</f>
        <v>0163</v>
      </c>
      <c r="D2481" s="3" t="e">
        <f>'001'!H2481</f>
        <v>#VALUE!</v>
      </c>
    </row>
    <row r="2482" spans="1:4" x14ac:dyDescent="0.25">
      <c r="A2482" s="1" t="str">
        <f>'001'!B2482</f>
        <v>003474</v>
      </c>
      <c r="B2482" s="1" t="str">
        <f>'001'!C2482</f>
        <v>PASTINA ALTA PRESTACIONES WEBER PRESTIGE ATLANTICO X 5</v>
      </c>
      <c r="C2482" s="1" t="str">
        <f>'001'!D2482</f>
        <v>0163</v>
      </c>
      <c r="D2482" s="3" t="e">
        <f>'001'!H2482</f>
        <v>#VALUE!</v>
      </c>
    </row>
    <row r="2483" spans="1:4" x14ac:dyDescent="0.25">
      <c r="A2483" s="1" t="str">
        <f>'001'!B2483</f>
        <v>003475</v>
      </c>
      <c r="B2483" s="1" t="str">
        <f>'001'!C2483</f>
        <v>PASTINA ALTA PRESTACIONES WEBER PRESTIGE CENIZA X 5</v>
      </c>
      <c r="C2483" s="1" t="str">
        <f>'001'!D2483</f>
        <v>0163</v>
      </c>
      <c r="D2483" s="3" t="e">
        <f>'001'!H2483</f>
        <v>#VALUE!</v>
      </c>
    </row>
    <row r="2484" spans="1:4" x14ac:dyDescent="0.25">
      <c r="A2484" s="1" t="str">
        <f>'001'!B2484</f>
        <v>003476</v>
      </c>
      <c r="B2484" s="1" t="str">
        <f>'001'!C2484</f>
        <v>PASTINA ALTA PRESTACIONES WEBER PRESTIGE CEDRO X 5</v>
      </c>
      <c r="C2484" s="1" t="str">
        <f>'001'!D2484</f>
        <v>0163</v>
      </c>
      <c r="D2484" s="3" t="e">
        <f>'001'!H2484</f>
        <v>#VALUE!</v>
      </c>
    </row>
    <row r="2485" spans="1:4" x14ac:dyDescent="0.25">
      <c r="A2485" s="1" t="str">
        <f>'001'!B2485</f>
        <v>003477</v>
      </c>
      <c r="B2485" s="1" t="str">
        <f>'001'!C2485</f>
        <v>PASTINA ALTA PRESTACIONES WEBER PRESTIGE ROBLE X 5</v>
      </c>
      <c r="C2485" s="1" t="str">
        <f>'001'!D2485</f>
        <v>0163</v>
      </c>
      <c r="D2485" s="3" t="e">
        <f>'001'!H2485</f>
        <v>#VALUE!</v>
      </c>
    </row>
    <row r="2486" spans="1:4" x14ac:dyDescent="0.25">
      <c r="A2486" s="1" t="str">
        <f>'001'!B2486</f>
        <v>003478</v>
      </c>
      <c r="B2486" s="1" t="str">
        <f>'001'!C2486</f>
        <v>PASTINA ALTA PRESTACIONES WEBER PRESTIGE OLMO X 5</v>
      </c>
      <c r="C2486" s="1" t="str">
        <f>'001'!D2486</f>
        <v>0163</v>
      </c>
      <c r="D2486" s="3" t="e">
        <f>'001'!H2486</f>
        <v>#VALUE!</v>
      </c>
    </row>
    <row r="2487" spans="1:4" x14ac:dyDescent="0.25">
      <c r="A2487" s="1" t="str">
        <f>'001'!B2487</f>
        <v>003479</v>
      </c>
      <c r="B2487" s="1" t="str">
        <f>'001'!C2487</f>
        <v>PASTINA ALTA PRESTACIONES WEBER PRESTIGE CALACATTA X 5</v>
      </c>
      <c r="C2487" s="1" t="str">
        <f>'001'!D2487</f>
        <v>0163</v>
      </c>
      <c r="D2487" s="3" t="e">
        <f>'001'!H2487</f>
        <v>#VALUE!</v>
      </c>
    </row>
    <row r="2488" spans="1:4" x14ac:dyDescent="0.25">
      <c r="A2488" s="1" t="str">
        <f>'001'!B2488</f>
        <v>003484</v>
      </c>
      <c r="B2488" s="1" t="str">
        <f>'001'!C2488</f>
        <v>DISCO DE FIBRA DOBLE A 115X22HX-73 G.A.#14</v>
      </c>
      <c r="C2488" s="1" t="str">
        <f>'001'!D2488</f>
        <v>0102</v>
      </c>
      <c r="D2488" s="3" t="e">
        <f>'001'!H2488</f>
        <v>#VALUE!</v>
      </c>
    </row>
    <row r="2489" spans="1:4" x14ac:dyDescent="0.25">
      <c r="A2489" s="1" t="str">
        <f>'001'!B2489</f>
        <v>003485</v>
      </c>
      <c r="B2489" s="1" t="str">
        <f>'001'!C2489</f>
        <v>DISCO DE FIBRA DOBLE A 115X22HX-73 G.A.#16</v>
      </c>
      <c r="C2489" s="1" t="str">
        <f>'001'!D2489</f>
        <v>0902</v>
      </c>
      <c r="D2489" s="3" t="e">
        <f>'001'!H2489</f>
        <v>#VALUE!</v>
      </c>
    </row>
    <row r="2490" spans="1:4" x14ac:dyDescent="0.25">
      <c r="A2490" s="1" t="str">
        <f>'001'!B2490</f>
        <v>003486</v>
      </c>
      <c r="B2490" s="1" t="str">
        <f>'001'!C2490</f>
        <v>DISCO DE FIBRA DOBLE A 115X22HY-71 O.A. #24</v>
      </c>
      <c r="C2490" s="1" t="str">
        <f>'001'!D2490</f>
        <v>0102</v>
      </c>
      <c r="D2490" s="3" t="e">
        <f>'001'!H2490</f>
        <v>#VALUE!</v>
      </c>
    </row>
    <row r="2491" spans="1:4" x14ac:dyDescent="0.25">
      <c r="A2491" s="1" t="str">
        <f>'001'!B2491</f>
        <v>003487</v>
      </c>
      <c r="B2491" s="1" t="str">
        <f>'001'!C2491</f>
        <v>DISCO DE FIBRA DOBLE A 115X22HY-71 O.A. #36</v>
      </c>
      <c r="C2491" s="1" t="str">
        <f>'001'!D2491</f>
        <v>0102</v>
      </c>
      <c r="D2491" s="3" t="e">
        <f>'001'!H2491</f>
        <v>#VALUE!</v>
      </c>
    </row>
    <row r="2492" spans="1:4" x14ac:dyDescent="0.25">
      <c r="A2492" s="1" t="str">
        <f>'001'!B2492</f>
        <v>003488</v>
      </c>
      <c r="B2492" s="1" t="str">
        <f>'001'!C2492</f>
        <v>DISCO DE FIBRA DOBLE A 115X22HY-71 O.A. #50</v>
      </c>
      <c r="C2492" s="1" t="str">
        <f>'001'!D2492</f>
        <v>0102</v>
      </c>
      <c r="D2492" s="3" t="e">
        <f>'001'!H2492</f>
        <v>#VALUE!</v>
      </c>
    </row>
    <row r="2493" spans="1:4" x14ac:dyDescent="0.25">
      <c r="A2493" s="1" t="str">
        <f>'001'!B2493</f>
        <v>003489</v>
      </c>
      <c r="B2493" s="1" t="str">
        <f>'001'!C2493</f>
        <v>DISCO DE FIBRA DOBLE A 115X22HY-71 O.A. #60</v>
      </c>
      <c r="C2493" s="1" t="str">
        <f>'001'!D2493</f>
        <v>0102</v>
      </c>
      <c r="D2493" s="3" t="e">
        <f>'001'!H2493</f>
        <v>#VALUE!</v>
      </c>
    </row>
    <row r="2494" spans="1:4" x14ac:dyDescent="0.25">
      <c r="A2494" s="1" t="str">
        <f>'001'!B2494</f>
        <v>003490</v>
      </c>
      <c r="B2494" s="1" t="str">
        <f>'001'!C2494</f>
        <v>DISCO DE FIBRA DOBLE A 115X22HY-71 O.A. #80</v>
      </c>
      <c r="C2494" s="1" t="str">
        <f>'001'!D2494</f>
        <v>0102</v>
      </c>
      <c r="D2494" s="3" t="e">
        <f>'001'!H2494</f>
        <v>#VALUE!</v>
      </c>
    </row>
    <row r="2495" spans="1:4" x14ac:dyDescent="0.25">
      <c r="A2495" s="1" t="str">
        <f>'001'!B2495</f>
        <v>003491</v>
      </c>
      <c r="B2495" s="1" t="str">
        <f>'001'!C2495</f>
        <v>DISCO DE FIBRA DOBLE A 115X22HY-71 O.A.#100</v>
      </c>
      <c r="C2495" s="1" t="str">
        <f>'001'!D2495</f>
        <v>0102</v>
      </c>
      <c r="D2495" s="3" t="e">
        <f>'001'!H2495</f>
        <v>#VALUE!</v>
      </c>
    </row>
    <row r="2496" spans="1:4" x14ac:dyDescent="0.25">
      <c r="A2496" s="1" t="str">
        <f>'001'!B2496</f>
        <v>003492</v>
      </c>
      <c r="B2496" s="1" t="str">
        <f>'001'!C2496</f>
        <v>DISCO DE FIBRA DOBLE A 115X22HY-71 O.A.#120</v>
      </c>
      <c r="C2496" s="1" t="str">
        <f>'001'!D2496</f>
        <v>0102</v>
      </c>
      <c r="D2496" s="3" t="e">
        <f>'001'!H2496</f>
        <v>#VALUE!</v>
      </c>
    </row>
    <row r="2497" spans="1:4" x14ac:dyDescent="0.25">
      <c r="A2497" s="1" t="str">
        <f>'001'!B2497</f>
        <v>003493</v>
      </c>
      <c r="B2497" s="1" t="str">
        <f>'001'!C2497</f>
        <v>DEMARCACION VIAL TERSUAVE ALQUIDICA AMARILLO X  4</v>
      </c>
      <c r="C2497" s="1" t="str">
        <f>'001'!D2497</f>
        <v>0153</v>
      </c>
      <c r="D2497" s="3" t="e">
        <f>'001'!H2497</f>
        <v>#VALUE!</v>
      </c>
    </row>
    <row r="2498" spans="1:4" x14ac:dyDescent="0.25">
      <c r="A2498" s="1" t="str">
        <f>'001'!B2498</f>
        <v>003494</v>
      </c>
      <c r="B2498" s="1" t="str">
        <f>'001'!C2498</f>
        <v>DEMARCACION VIAL TERSUAVE ALQUIDICA AMARILLO X 20</v>
      </c>
      <c r="C2498" s="1" t="str">
        <f>'001'!D2498</f>
        <v>0153</v>
      </c>
      <c r="D2498" s="3" t="e">
        <f>'001'!H2498</f>
        <v>#VALUE!</v>
      </c>
    </row>
    <row r="2499" spans="1:4" x14ac:dyDescent="0.25">
      <c r="A2499" s="1" t="str">
        <f>'001'!B2499</f>
        <v>003495</v>
      </c>
      <c r="B2499" s="1" t="str">
        <f>'001'!C2499</f>
        <v>DEMARCACION VIAL TERSUAVE ALQUIDICA BLANCO X  4</v>
      </c>
      <c r="C2499" s="1" t="str">
        <f>'001'!D2499</f>
        <v>0153</v>
      </c>
      <c r="D2499" s="3" t="e">
        <f>'001'!H2499</f>
        <v>#VALUE!</v>
      </c>
    </row>
    <row r="2500" spans="1:4" x14ac:dyDescent="0.25">
      <c r="A2500" s="1" t="str">
        <f>'001'!B2500</f>
        <v>003496</v>
      </c>
      <c r="B2500" s="1" t="str">
        <f>'001'!C2500</f>
        <v>DEMARCACION VIAL TERSUAVE ALQUIDICA BLANCO X 20</v>
      </c>
      <c r="C2500" s="1" t="str">
        <f>'001'!D2500</f>
        <v>0153</v>
      </c>
      <c r="D2500" s="3" t="e">
        <f>'001'!H2500</f>
        <v>#VALUE!</v>
      </c>
    </row>
    <row r="2501" spans="1:4" x14ac:dyDescent="0.25">
      <c r="A2501" s="1" t="str">
        <f>'001'!B2501</f>
        <v>003497</v>
      </c>
      <c r="B2501" s="1" t="str">
        <f>'001'!C2501</f>
        <v>AEROSOL RUST-OLEUM METALICO BRILLANTE ALUMINIO X 0,340 (248655)</v>
      </c>
      <c r="C2501" s="1" t="str">
        <f>'001'!D2501</f>
        <v>0902</v>
      </c>
      <c r="D2501" s="3" t="e">
        <f>'001'!H2501</f>
        <v>#VALUE!</v>
      </c>
    </row>
    <row r="2502" spans="1:4" x14ac:dyDescent="0.25">
      <c r="A2502" s="1" t="str">
        <f>'001'!B2502</f>
        <v>003498</v>
      </c>
      <c r="B2502" s="1" t="str">
        <f>'001'!C2502</f>
        <v>PANO DE CORDERO ZEOCAR CON ABROJO 3 (122)</v>
      </c>
      <c r="C2502" s="1" t="str">
        <f>'001'!D2502</f>
        <v>0157</v>
      </c>
      <c r="D2502" s="3" t="e">
        <f>'001'!H2502</f>
        <v>#VALUE!</v>
      </c>
    </row>
    <row r="2503" spans="1:4" x14ac:dyDescent="0.25">
      <c r="A2503" s="1" t="str">
        <f>'001'!B2503</f>
        <v>003499</v>
      </c>
      <c r="B2503" s="1" t="str">
        <f>'001'!C2503</f>
        <v>FILTRO DE ESPUMA P/TU7 ADIABATIC</v>
      </c>
      <c r="C2503" s="1" t="str">
        <f>'001'!D2503</f>
        <v>0104</v>
      </c>
      <c r="D2503" s="3" t="e">
        <f>'001'!H2503</f>
        <v>#VALUE!</v>
      </c>
    </row>
    <row r="2504" spans="1:4" x14ac:dyDescent="0.25">
      <c r="A2504" s="1" t="str">
        <f>'001'!B2504</f>
        <v>003500</v>
      </c>
      <c r="B2504" s="1" t="str">
        <f>'001'!C2504</f>
        <v>PEGAMENTO CERAM.YPORCE. PIEZAS H.60X60 WEBER PRO PORCELLANATOS GRIS X 25</v>
      </c>
      <c r="C2504" s="1" t="str">
        <f>'001'!D2504</f>
        <v>0163</v>
      </c>
      <c r="D2504" s="3" t="e">
        <f>'001'!H2504</f>
        <v>#VALUE!</v>
      </c>
    </row>
    <row r="2505" spans="1:4" x14ac:dyDescent="0.25">
      <c r="A2505" s="1" t="str">
        <f>'001'!B2505</f>
        <v>003503</v>
      </c>
      <c r="B2505" s="1" t="str">
        <f>'001'!C2505</f>
        <v>COPA Y TAPA DOX251V PLASTICA P/MEZCLA PPG</v>
      </c>
      <c r="C2505" s="1" t="str">
        <f>'001'!D2505</f>
        <v>0134</v>
      </c>
      <c r="D2505" s="3" t="e">
        <f>'001'!H2505</f>
        <v>#VALUE!</v>
      </c>
    </row>
    <row r="2506" spans="1:4" x14ac:dyDescent="0.25">
      <c r="A2506" s="1" t="str">
        <f>'001'!B2506</f>
        <v>003504</v>
      </c>
      <c r="B2506" s="1" t="str">
        <f>'001'!C2506</f>
        <v>TAPA P/COPA PLASTICA DE MEZCLADO PPG - DOX251L</v>
      </c>
      <c r="C2506" s="1" t="str">
        <f>'001'!D2506</f>
        <v>0134</v>
      </c>
      <c r="D2506" s="3" t="e">
        <f>'001'!H2506</f>
        <v>#VALUE!</v>
      </c>
    </row>
    <row r="2507" spans="1:4" x14ac:dyDescent="0.25">
      <c r="A2507" s="1" t="str">
        <f>'001'!B2507</f>
        <v>003508</v>
      </c>
      <c r="B2507" s="1" t="str">
        <f>'001'!C2507</f>
        <v>PEGAMENTO IMPERMEAB.PIEZAS H.20X120 WEBER FORTE PORCELLANATO GRIS X 25</v>
      </c>
      <c r="C2507" s="1" t="str">
        <f>'001'!D2507</f>
        <v>0163</v>
      </c>
      <c r="D2507" s="3" t="e">
        <f>'001'!H2507</f>
        <v>#VALUE!</v>
      </c>
    </row>
    <row r="2508" spans="1:4" x14ac:dyDescent="0.25">
      <c r="A2508" s="1" t="str">
        <f>'001'!B2508</f>
        <v>003510</v>
      </c>
      <c r="B2508" s="1" t="str">
        <f>'001'!C2508</f>
        <v>SIGMAPRIME200 (BAS16+HRD4) X 20</v>
      </c>
      <c r="C2508" s="1" t="str">
        <f>'001'!D2508</f>
        <v>0162</v>
      </c>
      <c r="D2508" s="3" t="e">
        <f>'001'!H2508</f>
        <v>#VALUE!</v>
      </c>
    </row>
    <row r="2509" spans="1:4" x14ac:dyDescent="0.25">
      <c r="A2509" s="1" t="str">
        <f>'001'!B2509</f>
        <v>003511</v>
      </c>
      <c r="B2509" s="1" t="str">
        <f>'001'!C2509</f>
        <v>SIGMAFAST 278 RAL7035 (BAS15+HRD5) X 20</v>
      </c>
      <c r="C2509" s="1" t="str">
        <f>'001'!D2509</f>
        <v>0162</v>
      </c>
      <c r="D2509" s="3" t="e">
        <f>'001'!H2509</f>
        <v>#VALUE!</v>
      </c>
    </row>
    <row r="2510" spans="1:4" x14ac:dyDescent="0.25">
      <c r="A2510" s="1" t="str">
        <f>'001'!B2510</f>
        <v>003512</v>
      </c>
      <c r="B2510" s="1" t="str">
        <f>'001'!C2510</f>
        <v>SIGMADUR 550 RAL9001 (BAS17,6+HRD2,4) X 20</v>
      </c>
      <c r="C2510" s="1" t="str">
        <f>'001'!D2510</f>
        <v>0162</v>
      </c>
      <c r="D2510" s="3" t="e">
        <f>'001'!H2510</f>
        <v>#VALUE!</v>
      </c>
    </row>
    <row r="2511" spans="1:4" x14ac:dyDescent="0.25">
      <c r="A2511" s="1" t="str">
        <f>'001'!B2511</f>
        <v>003513</v>
      </c>
      <c r="B2511" s="1" t="str">
        <f>'001'!C2511</f>
        <v>DILUYENTE 91-92 EPOXI X 20</v>
      </c>
      <c r="C2511" s="1" t="str">
        <f>'001'!D2511</f>
        <v>0162</v>
      </c>
      <c r="D2511" s="3" t="e">
        <f>'001'!H2511</f>
        <v>#VALUE!</v>
      </c>
    </row>
    <row r="2512" spans="1:4" x14ac:dyDescent="0.25">
      <c r="A2512" s="1" t="str">
        <f>'001'!B2512</f>
        <v>003514</v>
      </c>
      <c r="B2512" s="1" t="str">
        <f>'001'!C2512</f>
        <v>DILUYENTE 21-06 POLIURETANICO X 20</v>
      </c>
      <c r="C2512" s="1" t="str">
        <f>'001'!D2512</f>
        <v>0162</v>
      </c>
      <c r="D2512" s="3" t="e">
        <f>'001'!H2512</f>
        <v>#VALUE!</v>
      </c>
    </row>
    <row r="2513" spans="1:4" x14ac:dyDescent="0.25">
      <c r="A2513" s="1" t="str">
        <f>'001'!B2513</f>
        <v>003516</v>
      </c>
      <c r="B2513" s="1" t="str">
        <f>'001'!C2513</f>
        <v>DIL021.16 CATALIZADOR WASH PRIMER WP21 X 0.300</v>
      </c>
      <c r="C2513" s="1" t="str">
        <f>'001'!D2513</f>
        <v>0132</v>
      </c>
      <c r="D2513" s="3" t="e">
        <f>'001'!H2513</f>
        <v>#VALUE!</v>
      </c>
    </row>
    <row r="2514" spans="1:4" x14ac:dyDescent="0.25">
      <c r="A2514" s="1" t="str">
        <f>'001'!B2514</f>
        <v>003517</v>
      </c>
      <c r="B2514" s="1" t="str">
        <f>'001'!C2514</f>
        <v>WP21.11 WASH PRIMER FOSFATIZANTE VINILICO X 0.600</v>
      </c>
      <c r="C2514" s="1" t="str">
        <f>'001'!D2514</f>
        <v>0132</v>
      </c>
      <c r="D2514" s="3" t="e">
        <f>'001'!H2514</f>
        <v>#VALUE!</v>
      </c>
    </row>
    <row r="2515" spans="1:4" x14ac:dyDescent="0.25">
      <c r="A2515" s="1" t="str">
        <f>'001'!B2515</f>
        <v>003519</v>
      </c>
      <c r="B2515" s="1" t="str">
        <f>'001'!C2515</f>
        <v>P433-XR10-E033 - CRYSTAL SILVER X 0,330</v>
      </c>
      <c r="C2515" s="1" t="str">
        <f>'001'!D2515</f>
        <v>0131</v>
      </c>
      <c r="D2515" s="3" t="e">
        <f>'001'!H2515</f>
        <v>#VALUE!</v>
      </c>
    </row>
    <row r="2516" spans="1:4" x14ac:dyDescent="0.25">
      <c r="A2516" s="1" t="str">
        <f>'001'!B2516</f>
        <v>003520</v>
      </c>
      <c r="B2516" s="1" t="str">
        <f>'001'!C2516</f>
        <v>P433-XR11-E033 - SUNBEAM GOLD X 0,330</v>
      </c>
      <c r="C2516" s="1" t="str">
        <f>'001'!D2516</f>
        <v>0131</v>
      </c>
      <c r="D2516" s="3" t="e">
        <f>'001'!H2516</f>
        <v>#VALUE!</v>
      </c>
    </row>
    <row r="2517" spans="1:4" x14ac:dyDescent="0.25">
      <c r="A2517" s="1" t="str">
        <f>'001'!B2517</f>
        <v>003521</v>
      </c>
      <c r="B2517" s="1" t="str">
        <f>'001'!C2517</f>
        <v>P433-XR12-E033 - RADIANT RED X 0,330</v>
      </c>
      <c r="C2517" s="1" t="str">
        <f>'001'!D2517</f>
        <v>0131</v>
      </c>
      <c r="D2517" s="3" t="e">
        <f>'001'!H2517</f>
        <v>#VALUE!</v>
      </c>
    </row>
    <row r="2518" spans="1:4" x14ac:dyDescent="0.25">
      <c r="A2518" s="1" t="str">
        <f>'001'!B2518</f>
        <v>003522</v>
      </c>
      <c r="B2518" s="1" t="str">
        <f>'001'!C2518</f>
        <v>P433-XR13-E033 - GALAXY BLUE X 0,330</v>
      </c>
      <c r="C2518" s="1" t="str">
        <f>'001'!D2518</f>
        <v>0131</v>
      </c>
      <c r="D2518" s="3" t="e">
        <f>'001'!H2518</f>
        <v>#VALUE!</v>
      </c>
    </row>
    <row r="2519" spans="1:4" x14ac:dyDescent="0.25">
      <c r="A2519" s="1" t="str">
        <f>'001'!B2519</f>
        <v>003523</v>
      </c>
      <c r="B2519" s="1" t="str">
        <f>'001'!C2519</f>
        <v>P433-XR14-E033 - STELLAR GREEN X 0,330</v>
      </c>
      <c r="C2519" s="1" t="str">
        <f>'001'!D2519</f>
        <v>0131</v>
      </c>
      <c r="D2519" s="3" t="e">
        <f>'001'!H2519</f>
        <v>#VALUE!</v>
      </c>
    </row>
    <row r="2520" spans="1:4" x14ac:dyDescent="0.25">
      <c r="A2520" s="1" t="str">
        <f>'001'!B2520</f>
        <v>003524</v>
      </c>
      <c r="B2520" s="1" t="str">
        <f>'001'!C2520</f>
        <v>P433-XR15-E033 - SOLARIS RED X 0,330</v>
      </c>
      <c r="C2520" s="1" t="str">
        <f>'001'!D2520</f>
        <v>0131</v>
      </c>
      <c r="D2520" s="3" t="e">
        <f>'001'!H2520</f>
        <v>#VALUE!</v>
      </c>
    </row>
    <row r="2521" spans="1:4" x14ac:dyDescent="0.25">
      <c r="A2521" s="1" t="str">
        <f>'001'!B2521</f>
        <v>003525</v>
      </c>
      <c r="B2521" s="1" t="str">
        <f>'001'!C2521</f>
        <v>P433-XR16-E033 - FIRESIDE COPPER X 0,330</v>
      </c>
      <c r="C2521" s="1" t="str">
        <f>'001'!D2521</f>
        <v>0131</v>
      </c>
      <c r="D2521" s="3" t="e">
        <f>'001'!H2521</f>
        <v>#VALUE!</v>
      </c>
    </row>
    <row r="2522" spans="1:4" x14ac:dyDescent="0.25">
      <c r="A2522" s="1" t="str">
        <f>'001'!B2522</f>
        <v>003527</v>
      </c>
      <c r="B2522" s="1" t="str">
        <f>'001'!C2522</f>
        <v>PANO DE GOMA ESPUMA ZEOCAR NARANJA 3 (142)</v>
      </c>
      <c r="C2522" s="1" t="str">
        <f>'001'!D2522</f>
        <v>0157</v>
      </c>
      <c r="D2522" s="3" t="e">
        <f>'001'!H2522</f>
        <v>#VALUE!</v>
      </c>
    </row>
    <row r="2523" spans="1:4" x14ac:dyDescent="0.25">
      <c r="A2523" s="1" t="str">
        <f>'001'!B2523</f>
        <v>003528</v>
      </c>
      <c r="B2523" s="1" t="str">
        <f>'001'!C2523</f>
        <v>PANO DE GOMA ESPUMA ZEOCAR NEGRO 3 (141)</v>
      </c>
      <c r="C2523" s="1" t="str">
        <f>'001'!D2523</f>
        <v>0157</v>
      </c>
      <c r="D2523" s="3" t="e">
        <f>'001'!H2523</f>
        <v>#VALUE!</v>
      </c>
    </row>
    <row r="2524" spans="1:4" x14ac:dyDescent="0.25">
      <c r="A2524" s="1" t="str">
        <f>'001'!B2524</f>
        <v>003529</v>
      </c>
      <c r="B2524" s="1" t="str">
        <f>'001'!C2524</f>
        <v>PANO DE MICROFIBRA PARA ABROJO ZEOCAR 3 (87)</v>
      </c>
      <c r="C2524" s="1" t="str">
        <f>'001'!D2524</f>
        <v>0157</v>
      </c>
      <c r="D2524" s="3" t="e">
        <f>'001'!H2524</f>
        <v>#VALUE!</v>
      </c>
    </row>
    <row r="2525" spans="1:4" x14ac:dyDescent="0.25">
      <c r="A2525" s="1" t="str">
        <f>'001'!B2525</f>
        <v>003531</v>
      </c>
      <c r="B2525" s="1" t="str">
        <f>'001'!C2525</f>
        <v>PLATO SOPORTE 3 M14 ZEOCAR (112)</v>
      </c>
      <c r="C2525" s="1" t="str">
        <f>'001'!D2525</f>
        <v>0157</v>
      </c>
      <c r="D2525" s="3" t="e">
        <f>'001'!H2525</f>
        <v>#VALUE!</v>
      </c>
    </row>
    <row r="2526" spans="1:4" x14ac:dyDescent="0.25">
      <c r="A2526" s="1" t="str">
        <f>'001'!B2526</f>
        <v>003532</v>
      </c>
      <c r="B2526" s="1" t="str">
        <f>'001'!C2526</f>
        <v>AEROSOL RUST-OLEUM MP MATE BLANCO X 0,340(272090)</v>
      </c>
      <c r="C2526" s="1" t="str">
        <f>'001'!D2526</f>
        <v>0902</v>
      </c>
      <c r="D2526" s="3" t="e">
        <f>'001'!H2526</f>
        <v>#VALUE!</v>
      </c>
    </row>
    <row r="2527" spans="1:4" x14ac:dyDescent="0.25">
      <c r="A2527" s="1" t="str">
        <f>'001'!B2527</f>
        <v>003534</v>
      </c>
      <c r="B2527" s="1" t="str">
        <f>'001'!C2527</f>
        <v>CR-315 VIOLETA REDUZIDO X 1</v>
      </c>
      <c r="C2527" s="1" t="str">
        <f>'001'!D2527</f>
        <v>0132</v>
      </c>
      <c r="D2527" s="3" t="e">
        <f>'001'!H2527</f>
        <v>#VALUE!</v>
      </c>
    </row>
    <row r="2528" spans="1:4" x14ac:dyDescent="0.25">
      <c r="A2528" s="1" t="str">
        <f>'001'!B2528</f>
        <v>003537</v>
      </c>
      <c r="B2528" s="1" t="str">
        <f>'001'!C2528</f>
        <v>REVESTIMIENTO TEXTURADO ALBA PETREO A RODILLO CAMEL X  6</v>
      </c>
      <c r="C2528" s="1" t="str">
        <f>'001'!D2528</f>
        <v>0902</v>
      </c>
      <c r="D2528" s="3" t="e">
        <f>'001'!H2528</f>
        <v>#VALUE!</v>
      </c>
    </row>
    <row r="2529" spans="1:4" x14ac:dyDescent="0.25">
      <c r="A2529" s="1" t="str">
        <f>'001'!B2529</f>
        <v>003538</v>
      </c>
      <c r="B2529" s="1" t="str">
        <f>'001'!C2529</f>
        <v>REVESTIMIENTO TEXTURADO ALBA PETREO A RODILLO CAMEL X 30</v>
      </c>
      <c r="C2529" s="1" t="str">
        <f>'001'!D2529</f>
        <v>0902</v>
      </c>
      <c r="D2529" s="3" t="e">
        <f>'001'!H2529</f>
        <v>#VALUE!</v>
      </c>
    </row>
    <row r="2530" spans="1:4" x14ac:dyDescent="0.25">
      <c r="A2530" s="1" t="str">
        <f>'001'!B2530</f>
        <v>003539</v>
      </c>
      <c r="B2530" s="1" t="str">
        <f>'001'!C2530</f>
        <v>REVESTIMIENTO TEXTURADO ALBA PETREO A RODILLO DESIERTO X  6</v>
      </c>
      <c r="C2530" s="1" t="str">
        <f>'001'!D2530</f>
        <v>0902</v>
      </c>
      <c r="D2530" s="3" t="e">
        <f>'001'!H2530</f>
        <v>#VALUE!</v>
      </c>
    </row>
    <row r="2531" spans="1:4" x14ac:dyDescent="0.25">
      <c r="A2531" s="1" t="str">
        <f>'001'!B2531</f>
        <v>003540</v>
      </c>
      <c r="B2531" s="1" t="str">
        <f>'001'!C2531</f>
        <v>REVESTIMIENTO TEXTURADO ALBA PETREO A RODILLO DESIERTO X 30</v>
      </c>
      <c r="C2531" s="1" t="str">
        <f>'001'!D2531</f>
        <v>0902</v>
      </c>
      <c r="D2531" s="3" t="e">
        <f>'001'!H2531</f>
        <v>#VALUE!</v>
      </c>
    </row>
    <row r="2532" spans="1:4" x14ac:dyDescent="0.25">
      <c r="A2532" s="1" t="str">
        <f>'001'!B2532</f>
        <v>003541</v>
      </c>
      <c r="B2532" s="1" t="str">
        <f>'001'!C2532</f>
        <v>REVESTIMIENTO TEXTURADO ALBA PETREO A RODILLO TERRA CLARO X  6</v>
      </c>
      <c r="C2532" s="1" t="str">
        <f>'001'!D2532</f>
        <v>0107</v>
      </c>
      <c r="D2532" s="3" t="e">
        <f>'001'!H2532</f>
        <v>#VALUE!</v>
      </c>
    </row>
    <row r="2533" spans="1:4" x14ac:dyDescent="0.25">
      <c r="A2533" s="1" t="str">
        <f>'001'!B2533</f>
        <v>003542</v>
      </c>
      <c r="B2533" s="1" t="str">
        <f>'001'!C2533</f>
        <v>REVESTIMIENTO TEXTURADO ALBA PETREO A RODILLO TERRA CLARO X 30</v>
      </c>
      <c r="C2533" s="1" t="str">
        <f>'001'!D2533</f>
        <v>0902</v>
      </c>
      <c r="D2533" s="3" t="e">
        <f>'001'!H2533</f>
        <v>#VALUE!</v>
      </c>
    </row>
    <row r="2534" spans="1:4" x14ac:dyDescent="0.25">
      <c r="A2534" s="1" t="str">
        <f>'001'!B2534</f>
        <v>003544</v>
      </c>
      <c r="B2534" s="1" t="str">
        <f>'001'!C2534</f>
        <v>RODILLO ROSARPIN HILADO T40 PELO CORTO 10 CM</v>
      </c>
      <c r="C2534" s="1" t="str">
        <f>'001'!D2534</f>
        <v>0144</v>
      </c>
      <c r="D2534" s="3" t="e">
        <f>'001'!H2534</f>
        <v>#VALUE!</v>
      </c>
    </row>
    <row r="2535" spans="1:4" x14ac:dyDescent="0.25">
      <c r="A2535" s="1" t="str">
        <f>'001'!B2535</f>
        <v>003545</v>
      </c>
      <c r="B2535" s="1" t="str">
        <f>'001'!C2535</f>
        <v>RODILLO ROSARPIN HILADO T40 PELO CORTO 18 CM</v>
      </c>
      <c r="C2535" s="1" t="str">
        <f>'001'!D2535</f>
        <v>0144</v>
      </c>
      <c r="D2535" s="3" t="e">
        <f>'001'!H2535</f>
        <v>#VALUE!</v>
      </c>
    </row>
    <row r="2536" spans="1:4" x14ac:dyDescent="0.25">
      <c r="A2536" s="1" t="str">
        <f>'001'!B2536</f>
        <v>003546</v>
      </c>
      <c r="B2536" s="1" t="str">
        <f>'001'!C2536</f>
        <v>RODILLO ROSARPIN HILADO T40 PELO CORTO 22 CM</v>
      </c>
      <c r="C2536" s="1" t="str">
        <f>'001'!D2536</f>
        <v>0144</v>
      </c>
      <c r="D2536" s="3" t="e">
        <f>'001'!H2536</f>
        <v>#VALUE!</v>
      </c>
    </row>
    <row r="2537" spans="1:4" x14ac:dyDescent="0.25">
      <c r="A2537" s="1" t="str">
        <f>'001'!B2537</f>
        <v>003547</v>
      </c>
      <c r="B2537" s="1" t="str">
        <f>'001'!C2537</f>
        <v>RODILLO ROSARPIN HILADO T50 EXTREMO 10 CM</v>
      </c>
      <c r="C2537" s="1" t="str">
        <f>'001'!D2537</f>
        <v>0144</v>
      </c>
      <c r="D2537" s="3" t="e">
        <f>'001'!H2537</f>
        <v>#VALUE!</v>
      </c>
    </row>
    <row r="2538" spans="1:4" x14ac:dyDescent="0.25">
      <c r="A2538" s="1" t="str">
        <f>'001'!B2538</f>
        <v>003548</v>
      </c>
      <c r="B2538" s="1" t="str">
        <f>'001'!C2538</f>
        <v>RODILLO ROSARPIN HILADO T50 EXTREMO 18 CM</v>
      </c>
      <c r="C2538" s="1" t="str">
        <f>'001'!D2538</f>
        <v>0144</v>
      </c>
      <c r="D2538" s="3" t="e">
        <f>'001'!H2538</f>
        <v>#VALUE!</v>
      </c>
    </row>
    <row r="2539" spans="1:4" x14ac:dyDescent="0.25">
      <c r="A2539" s="1" t="str">
        <f>'001'!B2539</f>
        <v>003549</v>
      </c>
      <c r="B2539" s="1" t="str">
        <f>'001'!C2539</f>
        <v>RODILLO ROSARPIN HILADO T50 EXTREMO 22 CM</v>
      </c>
      <c r="C2539" s="1" t="str">
        <f>'001'!D2539</f>
        <v>0144</v>
      </c>
      <c r="D2539" s="3" t="e">
        <f>'001'!H2539</f>
        <v>#VALUE!</v>
      </c>
    </row>
    <row r="2540" spans="1:4" x14ac:dyDescent="0.25">
      <c r="A2540" s="1" t="str">
        <f>'001'!B2540</f>
        <v>003550</v>
      </c>
      <c r="B2540" s="1" t="str">
        <f>'001'!C2540</f>
        <v>RODILLO ROSARPIN HILADO T50 R.PREMIUM 18 CM</v>
      </c>
      <c r="C2540" s="1" t="str">
        <f>'001'!D2540</f>
        <v>0144</v>
      </c>
      <c r="D2540" s="3" t="e">
        <f>'001'!H2540</f>
        <v>#VALUE!</v>
      </c>
    </row>
    <row r="2541" spans="1:4" x14ac:dyDescent="0.25">
      <c r="A2541" s="1" t="str">
        <f>'001'!B2541</f>
        <v>003551</v>
      </c>
      <c r="B2541" s="1" t="str">
        <f>'001'!C2541</f>
        <v>RODILLO ROSARPIN HILADO T50 R.PREMIUM 22 CM</v>
      </c>
      <c r="C2541" s="1" t="str">
        <f>'001'!D2541</f>
        <v>0144</v>
      </c>
      <c r="D2541" s="3" t="e">
        <f>'001'!H2541</f>
        <v>#VALUE!</v>
      </c>
    </row>
    <row r="2542" spans="1:4" x14ac:dyDescent="0.25">
      <c r="A2542" s="1" t="str">
        <f>'001'!B2542</f>
        <v>003561</v>
      </c>
      <c r="B2542" s="1" t="str">
        <f>'001'!C2542</f>
        <v>CR-332 AMARELO REDUZIDO X 1</v>
      </c>
      <c r="C2542" s="1" t="str">
        <f>'001'!D2542</f>
        <v>0132</v>
      </c>
      <c r="D2542" s="3" t="e">
        <f>'001'!H2542</f>
        <v>#VALUE!</v>
      </c>
    </row>
    <row r="2543" spans="1:4" x14ac:dyDescent="0.25">
      <c r="A2543" s="1" t="str">
        <f>'001'!B2543</f>
        <v>003588</v>
      </c>
      <c r="B2543" s="1" t="str">
        <f>'001'!C2543</f>
        <v>REVESTIMIENTO TEXTURADO ALBA TRAVERTINO FINO BASE INTENSO X  6</v>
      </c>
      <c r="C2543" s="1" t="str">
        <f>'001'!D2543</f>
        <v>0107</v>
      </c>
      <c r="D2543" s="3" t="e">
        <f>'001'!H2543</f>
        <v>#VALUE!</v>
      </c>
    </row>
    <row r="2544" spans="1:4" x14ac:dyDescent="0.25">
      <c r="A2544" s="1" t="str">
        <f>'001'!B2544</f>
        <v>003589</v>
      </c>
      <c r="B2544" s="1" t="str">
        <f>'001'!C2544</f>
        <v>REVESTIMIENTO TEXTURADO ALBA TRAVERTINO FINO BASE INTENSO X 25</v>
      </c>
      <c r="C2544" s="1" t="str">
        <f>'001'!D2544</f>
        <v>0107</v>
      </c>
      <c r="D2544" s="3" t="e">
        <f>'001'!H2544</f>
        <v>#VALUE!</v>
      </c>
    </row>
    <row r="2545" spans="1:4" x14ac:dyDescent="0.25">
      <c r="A2545" s="1" t="str">
        <f>'001'!B2545</f>
        <v>003590</v>
      </c>
      <c r="B2545" s="1" t="str">
        <f>'001'!C2545</f>
        <v>REVESTIMIENTO TEXTURADO ALBA TRAVERTINO FINO BLANCO X  6</v>
      </c>
      <c r="C2545" s="1" t="str">
        <f>'001'!D2545</f>
        <v>0107</v>
      </c>
      <c r="D2545" s="3" t="e">
        <f>'001'!H2545</f>
        <v>#VALUE!</v>
      </c>
    </row>
    <row r="2546" spans="1:4" x14ac:dyDescent="0.25">
      <c r="A2546" s="1" t="str">
        <f>'001'!B2546</f>
        <v>003591</v>
      </c>
      <c r="B2546" s="1" t="str">
        <f>'001'!C2546</f>
        <v>REVESTIMIENTO TEXTURADO ALBA TRAVERTINO FINO BLANCO X 25</v>
      </c>
      <c r="C2546" s="1" t="str">
        <f>'001'!D2546</f>
        <v>0107</v>
      </c>
      <c r="D2546" s="3" t="e">
        <f>'001'!H2546</f>
        <v>#VALUE!</v>
      </c>
    </row>
    <row r="2547" spans="1:4" x14ac:dyDescent="0.25">
      <c r="A2547" s="1" t="str">
        <f>'001'!B2547</f>
        <v>003593</v>
      </c>
      <c r="B2547" s="1" t="str">
        <f>'001'!C2547</f>
        <v>REVESTIMIENTO TEXTURADO ALBA PETREO NATURAL CLEAR X  6</v>
      </c>
      <c r="C2547" s="1" t="str">
        <f>'001'!D2547</f>
        <v>0107</v>
      </c>
      <c r="D2547" s="3" t="e">
        <f>'001'!H2547</f>
        <v>#VALUE!</v>
      </c>
    </row>
    <row r="2548" spans="1:4" x14ac:dyDescent="0.25">
      <c r="A2548" s="1" t="str">
        <f>'001'!B2548</f>
        <v>003594</v>
      </c>
      <c r="B2548" s="1" t="str">
        <f>'001'!C2548</f>
        <v>REVESTIMIENTO TEXTURADO ALBA PETREO NATURAL CLEAR X 30</v>
      </c>
      <c r="C2548" s="1" t="str">
        <f>'001'!D2548</f>
        <v>0107</v>
      </c>
      <c r="D2548" s="3" t="e">
        <f>'001'!H2548</f>
        <v>#VALUE!</v>
      </c>
    </row>
    <row r="2549" spans="1:4" x14ac:dyDescent="0.25">
      <c r="A2549" s="1" t="str">
        <f>'001'!B2549</f>
        <v>003595</v>
      </c>
      <c r="B2549" s="1" t="str">
        <f>'001'!C2549</f>
        <v>REVESTIMIENTO TEXTURADO ALBA PETREO NATURAL GRAY X  6</v>
      </c>
      <c r="C2549" s="1" t="str">
        <f>'001'!D2549</f>
        <v>0107</v>
      </c>
      <c r="D2549" s="3" t="e">
        <f>'001'!H2549</f>
        <v>#VALUE!</v>
      </c>
    </row>
    <row r="2550" spans="1:4" x14ac:dyDescent="0.25">
      <c r="A2550" s="1" t="str">
        <f>'001'!B2550</f>
        <v>003596</v>
      </c>
      <c r="B2550" s="1" t="str">
        <f>'001'!C2550</f>
        <v>REVESTIMIENTO TEXTURADO ALBA PETREO NATURAL GRAY X 30</v>
      </c>
      <c r="C2550" s="1" t="str">
        <f>'001'!D2550</f>
        <v>0107</v>
      </c>
      <c r="D2550" s="3" t="e">
        <f>'001'!H2550</f>
        <v>#VALUE!</v>
      </c>
    </row>
    <row r="2551" spans="1:4" x14ac:dyDescent="0.25">
      <c r="A2551" s="1" t="str">
        <f>'001'!B2551</f>
        <v>003597</v>
      </c>
      <c r="B2551" s="1" t="str">
        <f>'001'!C2551</f>
        <v>REVESTIMIENTO TEXTURADO ALBA PETREO NATURAL PARIS X  6</v>
      </c>
      <c r="C2551" s="1" t="str">
        <f>'001'!D2551</f>
        <v>0107</v>
      </c>
      <c r="D2551" s="3" t="e">
        <f>'001'!H2551</f>
        <v>#VALUE!</v>
      </c>
    </row>
    <row r="2552" spans="1:4" x14ac:dyDescent="0.25">
      <c r="A2552" s="1" t="str">
        <f>'001'!B2552</f>
        <v>003598</v>
      </c>
      <c r="B2552" s="1" t="str">
        <f>'001'!C2552</f>
        <v>REVESTIMIENTO TEXTURADO ALBA PETREO NATURAL PARIS X 30</v>
      </c>
      <c r="C2552" s="1" t="str">
        <f>'001'!D2552</f>
        <v>0107</v>
      </c>
      <c r="D2552" s="3" t="e">
        <f>'001'!H2552</f>
        <v>#VALUE!</v>
      </c>
    </row>
    <row r="2553" spans="1:4" x14ac:dyDescent="0.25">
      <c r="A2553" s="1" t="str">
        <f>'001'!B2553</f>
        <v>003599</v>
      </c>
      <c r="B2553" s="1" t="str">
        <f>'001'!C2553</f>
        <v>REVESTIMIENTO TEXTURADO ALBA PETREO NATURAL SILICA X  6</v>
      </c>
      <c r="C2553" s="1" t="str">
        <f>'001'!D2553</f>
        <v>0107</v>
      </c>
      <c r="D2553" s="3" t="e">
        <f>'001'!H2553</f>
        <v>#VALUE!</v>
      </c>
    </row>
    <row r="2554" spans="1:4" x14ac:dyDescent="0.25">
      <c r="A2554" s="1" t="str">
        <f>'001'!B2554</f>
        <v>003600</v>
      </c>
      <c r="B2554" s="1" t="str">
        <f>'001'!C2554</f>
        <v>REVESTIMIENTO TEXTURADO ALBA PETREO NATURAL SILICA X 30</v>
      </c>
      <c r="C2554" s="1" t="str">
        <f>'001'!D2554</f>
        <v>0107</v>
      </c>
      <c r="D2554" s="3" t="e">
        <f>'001'!H2554</f>
        <v>#VALUE!</v>
      </c>
    </row>
    <row r="2555" spans="1:4" x14ac:dyDescent="0.25">
      <c r="A2555" s="1" t="str">
        <f>'001'!B2555</f>
        <v>003602</v>
      </c>
      <c r="B2555" s="1" t="str">
        <f>'001'!C2555</f>
        <v>CINTA ANTIDESLIZANTE RAPIFIX (2200) 50MM X 5MTS</v>
      </c>
      <c r="C2555" s="1" t="str">
        <f>'001'!D2555</f>
        <v>0181</v>
      </c>
      <c r="D2555" s="3" t="e">
        <f>'001'!H2555</f>
        <v>#VALUE!</v>
      </c>
    </row>
    <row r="2556" spans="1:4" x14ac:dyDescent="0.25">
      <c r="A2556" s="1" t="str">
        <f>'001'!B2556</f>
        <v>003603</v>
      </c>
      <c r="B2556" s="1" t="str">
        <f>'001'!C2556</f>
        <v>ZAPATOS DE PUAS METALICAS</v>
      </c>
      <c r="C2556" s="1" t="str">
        <f>'001'!D2556</f>
        <v>0144</v>
      </c>
      <c r="D2556" s="3" t="e">
        <f>'001'!H2556</f>
        <v>#VALUE!</v>
      </c>
    </row>
    <row r="2557" spans="1:4" x14ac:dyDescent="0.25">
      <c r="A2557" s="1" t="str">
        <f>'001'!B2557</f>
        <v>003605</v>
      </c>
      <c r="B2557" s="1" t="str">
        <f>'001'!C2557</f>
        <v>REVESTIMIENTO TEXTURADO ALBA TRAVERTINO MEDIO BASE INTENSO X  6</v>
      </c>
      <c r="C2557" s="1" t="str">
        <f>'001'!D2557</f>
        <v>0107</v>
      </c>
      <c r="D2557" s="3" t="e">
        <f>'001'!H2557</f>
        <v>#VALUE!</v>
      </c>
    </row>
    <row r="2558" spans="1:4" x14ac:dyDescent="0.25">
      <c r="A2558" s="1" t="str">
        <f>'001'!B2558</f>
        <v>003606</v>
      </c>
      <c r="B2558" s="1" t="str">
        <f>'001'!C2558</f>
        <v>REVESTIMIENTO TEXTURADO ALBA TRAVERTINO MEDIO BASE INTENSO X 25</v>
      </c>
      <c r="C2558" s="1" t="str">
        <f>'001'!D2558</f>
        <v>0107</v>
      </c>
      <c r="D2558" s="3" t="e">
        <f>'001'!H2558</f>
        <v>#VALUE!</v>
      </c>
    </row>
    <row r="2559" spans="1:4" x14ac:dyDescent="0.25">
      <c r="A2559" s="1" t="str">
        <f>'001'!B2559</f>
        <v>003607</v>
      </c>
      <c r="B2559" s="1" t="str">
        <f>'001'!C2559</f>
        <v>REVESTIMIENTO TEXTURADO ALBA TRAVERTINO MEDIO BLANCO X  6</v>
      </c>
      <c r="C2559" s="1" t="str">
        <f>'001'!D2559</f>
        <v>0107</v>
      </c>
      <c r="D2559" s="3" t="e">
        <f>'001'!H2559</f>
        <v>#VALUE!</v>
      </c>
    </row>
    <row r="2560" spans="1:4" x14ac:dyDescent="0.25">
      <c r="A2560" s="1" t="str">
        <f>'001'!B2560</f>
        <v>003608</v>
      </c>
      <c r="B2560" s="1" t="str">
        <f>'001'!C2560</f>
        <v>REVESTIMIENTO TEXTURADO ALBA TRAVERTINO MEDIO BLANCO X 25</v>
      </c>
      <c r="C2560" s="1" t="str">
        <f>'001'!D2560</f>
        <v>0107</v>
      </c>
      <c r="D2560" s="3" t="e">
        <f>'001'!H2560</f>
        <v>#VALUE!</v>
      </c>
    </row>
    <row r="2561" spans="1:4" x14ac:dyDescent="0.25">
      <c r="A2561" s="1" t="str">
        <f>'001'!B2561</f>
        <v>003619</v>
      </c>
      <c r="B2561" s="1" t="str">
        <f>'001'!C2561</f>
        <v>THINNER DIXILINA STANDARD X 18</v>
      </c>
      <c r="C2561" s="1" t="str">
        <f>'001'!D2561</f>
        <v>0120</v>
      </c>
      <c r="D2561" s="3" t="e">
        <f>'001'!H2561</f>
        <v>#VALUE!</v>
      </c>
    </row>
    <row r="2562" spans="1:4" x14ac:dyDescent="0.25">
      <c r="A2562" s="1" t="str">
        <f>'001'!B2562</f>
        <v>003620</v>
      </c>
      <c r="B2562" s="1" t="str">
        <f>'001'!C2562</f>
        <v>THINNER DIXILINA STANDARD X 200</v>
      </c>
      <c r="C2562" s="1" t="str">
        <f>'001'!D2562</f>
        <v>0120</v>
      </c>
      <c r="D2562" s="3" t="e">
        <f>'001'!H2562</f>
        <v>#VALUE!</v>
      </c>
    </row>
    <row r="2563" spans="1:4" x14ac:dyDescent="0.25">
      <c r="A2563" s="1" t="str">
        <f>'001'!B2563</f>
        <v>003627</v>
      </c>
      <c r="B2563" s="1" t="str">
        <f>'001'!C2563</f>
        <v>FILM PARA ENMASCASCARAR 19MM X 180CM X 22,5</v>
      </c>
      <c r="C2563" s="1" t="str">
        <f>'001'!D2563</f>
        <v>0165</v>
      </c>
      <c r="D2563" s="3" t="e">
        <f>'001'!H2563</f>
        <v>#VALUE!</v>
      </c>
    </row>
    <row r="2564" spans="1:4" x14ac:dyDescent="0.25">
      <c r="A2564" s="1" t="str">
        <f>'001'!B2564</f>
        <v>003628</v>
      </c>
      <c r="B2564" s="1" t="str">
        <f>'001'!C2564</f>
        <v>FILM PARA ENMASCASCARAR 25MM X 260CM X 22,5</v>
      </c>
      <c r="C2564" s="1" t="str">
        <f>'001'!D2564</f>
        <v>0156</v>
      </c>
      <c r="D2564" s="3" t="e">
        <f>'001'!H2564</f>
        <v>#VALUE!</v>
      </c>
    </row>
    <row r="2565" spans="1:4" x14ac:dyDescent="0.25">
      <c r="A2565" s="1" t="str">
        <f>'001'!B2565</f>
        <v>003629</v>
      </c>
      <c r="B2565" s="1" t="str">
        <f>'001'!C2565</f>
        <v>FILM PARA ENMASCASCARAR 25MM X 360CM X 22,5</v>
      </c>
      <c r="C2565" s="1" t="str">
        <f>'001'!D2565</f>
        <v>0156</v>
      </c>
      <c r="D2565" s="3" t="e">
        <f>'001'!H2565</f>
        <v>#VALUE!</v>
      </c>
    </row>
    <row r="2566" spans="1:4" x14ac:dyDescent="0.25">
      <c r="A2566" s="1" t="str">
        <f>'001'!B2566</f>
        <v>003649</v>
      </c>
      <c r="B2566" s="1" t="str">
        <f>'001'!C2566</f>
        <v>EQUIPO PARA PINTAR ADIABATIC EC.2000 - P.GRAVEDAD</v>
      </c>
      <c r="C2566" s="1" t="str">
        <f>'001'!D2566</f>
        <v>0104</v>
      </c>
      <c r="D2566" s="3" t="e">
        <f>'001'!H2566</f>
        <v>#VALUE!</v>
      </c>
    </row>
    <row r="2567" spans="1:4" x14ac:dyDescent="0.25">
      <c r="A2567" s="1" t="str">
        <f>'001'!B2567</f>
        <v>003650</v>
      </c>
      <c r="B2567" s="1" t="str">
        <f>'001'!C2567</f>
        <v>EQUIPO PARA PINTAR ADIABATIC EC.3000 - P.GRAVEDAD</v>
      </c>
      <c r="C2567" s="1" t="str">
        <f>'001'!D2567</f>
        <v>0104</v>
      </c>
      <c r="D2567" s="3" t="e">
        <f>'001'!H2567</f>
        <v>#VALUE!</v>
      </c>
    </row>
    <row r="2568" spans="1:4" x14ac:dyDescent="0.25">
      <c r="A2568" s="1" t="str">
        <f>'001'!B2568</f>
        <v>003687</v>
      </c>
      <c r="B2568" s="1" t="str">
        <f>'001'!C2568</f>
        <v>PARCHE PLASTICO ZEOCAR X 0,190 (17)</v>
      </c>
      <c r="C2568" s="1" t="str">
        <f>'001'!D2568</f>
        <v>0157</v>
      </c>
      <c r="D2568" s="3" t="e">
        <f>'001'!H2568</f>
        <v>#VALUE!</v>
      </c>
    </row>
    <row r="2569" spans="1:4" x14ac:dyDescent="0.25">
      <c r="A2569" s="1" t="str">
        <f>'001'!B2569</f>
        <v>003688</v>
      </c>
      <c r="B2569" s="1" t="str">
        <f>'001'!C2569</f>
        <v>PARCHE PLASTICO ZEOCAR X 0,500 (16)</v>
      </c>
      <c r="C2569" s="1" t="str">
        <f>'001'!D2569</f>
        <v>0157</v>
      </c>
      <c r="D2569" s="3" t="e">
        <f>'001'!H2569</f>
        <v>#VALUE!</v>
      </c>
    </row>
    <row r="2570" spans="1:4" x14ac:dyDescent="0.25">
      <c r="A2570" s="1" t="str">
        <f>'001'!B2570</f>
        <v>003689</v>
      </c>
      <c r="B2570" s="1" t="str">
        <f>'001'!C2570</f>
        <v>PARCHE PLASTICO ZEOCAR X 1 (18)</v>
      </c>
      <c r="C2570" s="1" t="str">
        <f>'001'!D2570</f>
        <v>0157</v>
      </c>
      <c r="D2570" s="3" t="e">
        <f>'001'!H2570</f>
        <v>#VALUE!</v>
      </c>
    </row>
    <row r="2571" spans="1:4" x14ac:dyDescent="0.25">
      <c r="A2571" s="1" t="str">
        <f>'001'!B2571</f>
        <v>003690</v>
      </c>
      <c r="B2571" s="1" t="str">
        <f>'001'!C2571</f>
        <v>PARCHE PLASTICO ZEOCAR X 4 (19)</v>
      </c>
      <c r="C2571" s="1" t="str">
        <f>'001'!D2571</f>
        <v>0157</v>
      </c>
      <c r="D2571" s="3" t="e">
        <f>'001'!H2571</f>
        <v>#VALUE!</v>
      </c>
    </row>
    <row r="2572" spans="1:4" x14ac:dyDescent="0.25">
      <c r="A2572" s="1" t="str">
        <f>'001'!B2572</f>
        <v>003700</v>
      </c>
      <c r="B2572" s="1" t="str">
        <f>'001'!C2572</f>
        <v>ALBAVIAL ACRILICO SOLVENTE BLANCO X  4</v>
      </c>
      <c r="C2572" s="1" t="str">
        <f>'001'!D2572</f>
        <v>0110</v>
      </c>
      <c r="D2572" s="3" t="e">
        <f>'001'!H2572</f>
        <v>#VALUE!</v>
      </c>
    </row>
    <row r="2573" spans="1:4" x14ac:dyDescent="0.25">
      <c r="A2573" s="1" t="str">
        <f>'001'!B2573</f>
        <v>003703</v>
      </c>
      <c r="B2573" s="1" t="str">
        <f>'001'!C2573</f>
        <v>PANO MICROFIBRAS DOBLE A 40X50CM</v>
      </c>
      <c r="C2573" s="1" t="str">
        <f>'001'!D2573</f>
        <v>0102</v>
      </c>
      <c r="D2573" s="3" t="e">
        <f>'001'!H2573</f>
        <v>#VALUE!</v>
      </c>
    </row>
    <row r="2574" spans="1:4" x14ac:dyDescent="0.25">
      <c r="A2574" s="1" t="str">
        <f>'001'!B2574</f>
        <v>003705</v>
      </c>
      <c r="B2574" s="1" t="str">
        <f>'001'!C2574</f>
        <v>DESOXIDANTE ZEOCAR X  0,950 (09)</v>
      </c>
      <c r="C2574" s="1" t="str">
        <f>'001'!D2574</f>
        <v>0157</v>
      </c>
      <c r="D2574" s="3" t="e">
        <f>'001'!H2574</f>
        <v>#VALUE!</v>
      </c>
    </row>
    <row r="2575" spans="1:4" x14ac:dyDescent="0.25">
      <c r="A2575" s="1" t="str">
        <f>'001'!B2575</f>
        <v>003706</v>
      </c>
      <c r="B2575" s="1" t="str">
        <f>'001'!C2575</f>
        <v>DESOXIDANTE ZEOCAR X  5 (10)</v>
      </c>
      <c r="C2575" s="1" t="str">
        <f>'001'!D2575</f>
        <v>0157</v>
      </c>
      <c r="D2575" s="3" t="e">
        <f>'001'!H2575</f>
        <v>#VALUE!</v>
      </c>
    </row>
    <row r="2576" spans="1:4" x14ac:dyDescent="0.25">
      <c r="A2576" s="1" t="str">
        <f>'001'!B2576</f>
        <v>003707</v>
      </c>
      <c r="B2576" s="1" t="str">
        <f>'001'!C2576</f>
        <v>DESOXIDANTE ZEOCAR X 20 (11)</v>
      </c>
      <c r="C2576" s="1" t="str">
        <f>'001'!D2576</f>
        <v>0157</v>
      </c>
      <c r="D2576" s="3" t="e">
        <f>'001'!H2576</f>
        <v>#VALUE!</v>
      </c>
    </row>
    <row r="2577" spans="1:4" x14ac:dyDescent="0.25">
      <c r="A2577" s="1" t="str">
        <f>'001'!B2577</f>
        <v>003718</v>
      </c>
      <c r="B2577" s="1" t="str">
        <f>'001'!C2577</f>
        <v>ESMALTE PU HP 9400 MASSTONE RUST OLEUM X 3,785(9407405)</v>
      </c>
      <c r="C2577" s="1" t="str">
        <f>'001'!D2577</f>
        <v>0902</v>
      </c>
      <c r="D2577" s="3" t="e">
        <f>'001'!H2577</f>
        <v>#VALUE!</v>
      </c>
    </row>
    <row r="2578" spans="1:4" x14ac:dyDescent="0.25">
      <c r="A2578" s="1" t="str">
        <f>'001'!B2578</f>
        <v>003719</v>
      </c>
      <c r="B2578" s="1" t="str">
        <f>'001'!C2578</f>
        <v>PAD ESPUMA VERDE CORTE PULIDO 5,5</v>
      </c>
      <c r="C2578" s="1" t="str">
        <f>'001'!D2578</f>
        <v>0102</v>
      </c>
      <c r="D2578" s="3" t="e">
        <f>'001'!H2578</f>
        <v>#VALUE!</v>
      </c>
    </row>
    <row r="2579" spans="1:4" x14ac:dyDescent="0.25">
      <c r="A2579" s="1" t="str">
        <f>'001'!B2579</f>
        <v>003720</v>
      </c>
      <c r="B2579" s="1" t="str">
        <f>'001'!C2579</f>
        <v>PAD ESPUMA AZUL CORTE PULIDO 5,5</v>
      </c>
      <c r="C2579" s="1" t="str">
        <f>'001'!D2579</f>
        <v>0102</v>
      </c>
      <c r="D2579" s="3" t="e">
        <f>'001'!H2579</f>
        <v>#VALUE!</v>
      </c>
    </row>
    <row r="2580" spans="1:4" x14ac:dyDescent="0.25">
      <c r="A2580" s="1" t="str">
        <f>'001'!B2580</f>
        <v>003723</v>
      </c>
      <c r="B2580" s="1" t="str">
        <f>'001'!C2580</f>
        <v>PASO 3 BRILLO RAPIDO X 0,500</v>
      </c>
      <c r="C2580" s="1" t="str">
        <f>'001'!D2580</f>
        <v>0102</v>
      </c>
      <c r="D2580" s="3" t="e">
        <f>'001'!H2580</f>
        <v>#VALUE!</v>
      </c>
    </row>
    <row r="2581" spans="1:4" x14ac:dyDescent="0.25">
      <c r="A2581" s="1" t="str">
        <f>'001'!B2581</f>
        <v>003725</v>
      </c>
      <c r="B2581" s="1" t="str">
        <f>'001'!C2581</f>
        <v>ADAPTADOR ZEOCAR P/TALADRO M14 (102)</v>
      </c>
      <c r="C2581" s="1" t="str">
        <f>'001'!D2581</f>
        <v>0157</v>
      </c>
      <c r="D2581" s="3" t="e">
        <f>'001'!H2581</f>
        <v>#VALUE!</v>
      </c>
    </row>
    <row r="2582" spans="1:4" x14ac:dyDescent="0.25">
      <c r="A2582" s="1" t="str">
        <f>'001'!B2582</f>
        <v>003726</v>
      </c>
      <c r="B2582" s="1" t="str">
        <f>'001'!C2582</f>
        <v>ACTIVADOR EPOXI HP 9100 MASTIC RUST OLEUM X 3,785(357499)</v>
      </c>
      <c r="C2582" s="1" t="str">
        <f>'001'!D2582</f>
        <v>0158</v>
      </c>
      <c r="D2582" s="3" t="e">
        <f>'001'!H2582</f>
        <v>#VALUE!</v>
      </c>
    </row>
    <row r="2583" spans="1:4" x14ac:dyDescent="0.25">
      <c r="A2583" s="1" t="str">
        <f>'001'!B2583</f>
        <v>003728</v>
      </c>
      <c r="B2583" s="1" t="str">
        <f>'001'!C2583</f>
        <v>IMPERMEABILIZANTE PARA FRENTES Y MUROS DURALBA MATE BASE F X  0,900</v>
      </c>
      <c r="C2583" s="1" t="str">
        <f>'001'!D2583</f>
        <v>0108</v>
      </c>
      <c r="D2583" s="3" t="e">
        <f>'001'!H2583</f>
        <v>#VALUE!</v>
      </c>
    </row>
    <row r="2584" spans="1:4" x14ac:dyDescent="0.25">
      <c r="A2584" s="1" t="str">
        <f>'001'!B2584</f>
        <v>003729</v>
      </c>
      <c r="B2584" s="1" t="str">
        <f>'001'!C2584</f>
        <v>IMPERMEABILIZANTE PARA FRENTES Y MUROS DURALBA MATE BASE P X  0,900</v>
      </c>
      <c r="C2584" s="1" t="str">
        <f>'001'!D2584</f>
        <v>0108</v>
      </c>
      <c r="D2584" s="3" t="e">
        <f>'001'!H2584</f>
        <v>#VALUE!</v>
      </c>
    </row>
    <row r="2585" spans="1:4" x14ac:dyDescent="0.25">
      <c r="A2585" s="1" t="str">
        <f>'001'!B2585</f>
        <v>003731</v>
      </c>
      <c r="B2585" s="1" t="str">
        <f>'001'!C2585</f>
        <v>IMPERMEABILIZANTE PARA FRENTES Y MUROS DURALBA MATE BASE T X  0,900</v>
      </c>
      <c r="C2585" s="1" t="str">
        <f>'001'!D2585</f>
        <v>0108</v>
      </c>
      <c r="D2585" s="3" t="e">
        <f>'001'!H2585</f>
        <v>#VALUE!</v>
      </c>
    </row>
    <row r="2586" spans="1:4" x14ac:dyDescent="0.25">
      <c r="A2586" s="1" t="str">
        <f>'001'!B2586</f>
        <v>003743</v>
      </c>
      <c r="B2586" s="1" t="str">
        <f>'001'!C2586</f>
        <v>ACTIVADOR EPOXI CS 6500 100% SOLIDO RUST OLEUM X 1,43(357508)</v>
      </c>
      <c r="C2586" s="1" t="str">
        <f>'001'!D2586</f>
        <v>0158</v>
      </c>
      <c r="D2586" s="3" t="e">
        <f>'001'!H2586</f>
        <v>#VALUE!</v>
      </c>
    </row>
    <row r="2587" spans="1:4" x14ac:dyDescent="0.25">
      <c r="A2587" s="1" t="str">
        <f>'001'!B2587</f>
        <v>003744</v>
      </c>
      <c r="B2587" s="1" t="str">
        <f>'001'!C2587</f>
        <v>IMPREGNANTE PARA MADERA CETOL BALANCE CLASSIC BRILLANTE CAOBA X 10</v>
      </c>
      <c r="C2587" s="1" t="str">
        <f>'001'!D2587</f>
        <v>0105</v>
      </c>
      <c r="D2587" s="3" t="e">
        <f>'001'!H2587</f>
        <v>#VALUE!</v>
      </c>
    </row>
    <row r="2588" spans="1:4" x14ac:dyDescent="0.25">
      <c r="A2588" s="1" t="str">
        <f>'001'!B2588</f>
        <v>003745</v>
      </c>
      <c r="B2588" s="1" t="str">
        <f>'001'!C2588</f>
        <v>IMPREGNANTE PARA MADERA CETOL BALANCE CLASSIC BRILLANTE CEDRO X 10</v>
      </c>
      <c r="C2588" s="1" t="str">
        <f>'001'!D2588</f>
        <v>0105</v>
      </c>
      <c r="D2588" s="3" t="e">
        <f>'001'!H2588</f>
        <v>#VALUE!</v>
      </c>
    </row>
    <row r="2589" spans="1:4" x14ac:dyDescent="0.25">
      <c r="A2589" s="1" t="str">
        <f>'001'!B2589</f>
        <v>003746</v>
      </c>
      <c r="B2589" s="1" t="str">
        <f>'001'!C2589</f>
        <v>IMPREGNANTE PARA MADERA CETOL BALANCE CLASSIC BRILLANTE CRISTAL X 10</v>
      </c>
      <c r="C2589" s="1" t="str">
        <f>'001'!D2589</f>
        <v>0105</v>
      </c>
      <c r="D2589" s="3" t="e">
        <f>'001'!H2589</f>
        <v>#VALUE!</v>
      </c>
    </row>
    <row r="2590" spans="1:4" x14ac:dyDescent="0.25">
      <c r="A2590" s="1" t="str">
        <f>'001'!B2590</f>
        <v>003747</v>
      </c>
      <c r="B2590" s="1" t="str">
        <f>'001'!C2590</f>
        <v>IMPREGNANTE PARA MADERA CETOL BALANCE CLASSIC BRILLANTE NATURAL X 10</v>
      </c>
      <c r="C2590" s="1" t="str">
        <f>'001'!D2590</f>
        <v>0105</v>
      </c>
      <c r="D2590" s="3" t="e">
        <f>'001'!H2590</f>
        <v>#VALUE!</v>
      </c>
    </row>
    <row r="2591" spans="1:4" x14ac:dyDescent="0.25">
      <c r="A2591" s="1" t="str">
        <f>'001'!B2591</f>
        <v>003748</v>
      </c>
      <c r="B2591" s="1" t="str">
        <f>'001'!C2591</f>
        <v>IMPREGNANTE PARA MADERA CETOL BALANCE CLASSIC BRILLANTE NOGAL X 10</v>
      </c>
      <c r="C2591" s="1" t="str">
        <f>'001'!D2591</f>
        <v>0105</v>
      </c>
      <c r="D2591" s="3" t="e">
        <f>'001'!H2591</f>
        <v>#VALUE!</v>
      </c>
    </row>
    <row r="2592" spans="1:4" x14ac:dyDescent="0.25">
      <c r="A2592" s="1" t="str">
        <f>'001'!B2592</f>
        <v>003749</v>
      </c>
      <c r="B2592" s="1" t="str">
        <f>'001'!C2592</f>
        <v>IMPREGNANTE PARA MADERA CETOL BALANCE CLASSIC BRILLANTE ROBLE X 10</v>
      </c>
      <c r="C2592" s="1" t="str">
        <f>'001'!D2592</f>
        <v>0105</v>
      </c>
      <c r="D2592" s="3" t="e">
        <f>'001'!H2592</f>
        <v>#VALUE!</v>
      </c>
    </row>
    <row r="2593" spans="1:4" x14ac:dyDescent="0.25">
      <c r="A2593" s="1" t="str">
        <f>'001'!B2593</f>
        <v>003764</v>
      </c>
      <c r="B2593" s="1" t="str">
        <f>'001'!C2593</f>
        <v>AEROSOL RUST-OLEUM MP METALICO NEGRO NOCHE X 0,312(272053)</v>
      </c>
      <c r="C2593" s="1" t="str">
        <f>'001'!D2593</f>
        <v>0146</v>
      </c>
      <c r="D2593" s="3" t="e">
        <f>'001'!H2593</f>
        <v>#VALUE!</v>
      </c>
    </row>
    <row r="2594" spans="1:4" x14ac:dyDescent="0.25">
      <c r="A2594" s="1" t="str">
        <f>'001'!B2594</f>
        <v>003765</v>
      </c>
      <c r="B2594" s="1" t="str">
        <f>'001'!C2594</f>
        <v>DRAGER-MASCARA X-PLORE 5500</v>
      </c>
      <c r="C2594" s="1" t="str">
        <f>'001'!D2594</f>
        <v>0143</v>
      </c>
      <c r="D2594" s="3" t="e">
        <f>'001'!H2594</f>
        <v>#VALUE!</v>
      </c>
    </row>
    <row r="2595" spans="1:4" x14ac:dyDescent="0.25">
      <c r="A2595" s="1" t="str">
        <f>'001'!B2595</f>
        <v>003767</v>
      </c>
      <c r="B2595" s="1" t="str">
        <f>'001'!C2595</f>
        <v>MAMELUCO LIVIANO BLANCO 60GR(M60BL)</v>
      </c>
      <c r="C2595" s="1" t="str">
        <f>'001'!D2595</f>
        <v>0165</v>
      </c>
      <c r="D2595" s="3" t="e">
        <f>'001'!H2595</f>
        <v>#VALUE!</v>
      </c>
    </row>
    <row r="2596" spans="1:4" x14ac:dyDescent="0.25">
      <c r="A2596" s="1" t="str">
        <f>'001'!B2596</f>
        <v>003768</v>
      </c>
      <c r="B2596" s="1" t="str">
        <f>'001'!C2596</f>
        <v>FILM PLASTICO CUBRE COCHE 4X150</v>
      </c>
      <c r="C2596" s="1" t="str">
        <f>'001'!D2596</f>
        <v>0156</v>
      </c>
      <c r="D2596" s="3" t="e">
        <f>'001'!H2596</f>
        <v>#VALUE!</v>
      </c>
    </row>
    <row r="2597" spans="1:4" x14ac:dyDescent="0.25">
      <c r="A2597" s="1" t="str">
        <f>'001'!B2597</f>
        <v>003769</v>
      </c>
      <c r="B2597" s="1" t="str">
        <f>'001'!C2597</f>
        <v>FILM PLASTICO CUBRE COCHE 4X300</v>
      </c>
      <c r="C2597" s="1" t="str">
        <f>'001'!D2597</f>
        <v>0156</v>
      </c>
      <c r="D2597" s="3" t="e">
        <f>'001'!H2597</f>
        <v>#VALUE!</v>
      </c>
    </row>
    <row r="2598" spans="1:4" x14ac:dyDescent="0.25">
      <c r="A2598" s="1" t="str">
        <f>'001'!B2598</f>
        <v>003770</v>
      </c>
      <c r="B2598" s="1" t="str">
        <f>'001'!C2598</f>
        <v>FILM PLASTICO CUBRE COCHE 5X120 ESP.SUV</v>
      </c>
      <c r="C2598" s="1" t="str">
        <f>'001'!D2598</f>
        <v>0156</v>
      </c>
      <c r="D2598" s="3" t="e">
        <f>'001'!H2598</f>
        <v>#VALUE!</v>
      </c>
    </row>
    <row r="2599" spans="1:4" x14ac:dyDescent="0.25">
      <c r="A2599" s="1" t="str">
        <f>'001'!B2599</f>
        <v>003771</v>
      </c>
      <c r="B2599" s="1" t="str">
        <f>'001'!C2599</f>
        <v>CARRO DISPENSADOR DE ROLLO FILM</v>
      </c>
      <c r="C2599" s="1" t="str">
        <f>'001'!D2599</f>
        <v>0156</v>
      </c>
      <c r="D2599" s="3" t="e">
        <f>'001'!H2599</f>
        <v>#VALUE!</v>
      </c>
    </row>
    <row r="2600" spans="1:4" x14ac:dyDescent="0.25">
      <c r="A2600" s="1" t="str">
        <f>'001'!B2600</f>
        <v>003772</v>
      </c>
      <c r="B2600" s="1" t="str">
        <f>'001'!C2600</f>
        <v>SOPORTE MAGNETICO P/ 2 PISTOLAS</v>
      </c>
      <c r="C2600" s="1" t="str">
        <f>'001'!D2600</f>
        <v>0156</v>
      </c>
      <c r="D2600" s="3" t="e">
        <f>'001'!H2600</f>
        <v>#VALUE!</v>
      </c>
    </row>
    <row r="2601" spans="1:4" x14ac:dyDescent="0.25">
      <c r="A2601" s="1" t="str">
        <f>'001'!B2601</f>
        <v>003775</v>
      </c>
      <c r="B2601" s="1" t="str">
        <f>'001'!C2601</f>
        <v>PULIDORA 3D ROTATIVA C/BACKING PLATE (L-36)</v>
      </c>
      <c r="C2601" s="1" t="str">
        <f>'001'!D2601</f>
        <v>0191</v>
      </c>
      <c r="D2601" s="3" t="e">
        <f>'001'!H2601</f>
        <v>#VALUE!</v>
      </c>
    </row>
    <row r="2602" spans="1:4" x14ac:dyDescent="0.25">
      <c r="A2602" s="1" t="str">
        <f>'001'!B2602</f>
        <v>003776</v>
      </c>
      <c r="B2602" s="1" t="str">
        <f>'001'!C2602</f>
        <v>IMPERMEABILIZANTE PARA FRENTES Y MUROS TERSUAVE BASE W X  0,900</v>
      </c>
      <c r="C2602" s="1" t="str">
        <f>'001'!D2602</f>
        <v>0154</v>
      </c>
      <c r="D2602" s="3" t="e">
        <f>'001'!H2602</f>
        <v>#VALUE!</v>
      </c>
    </row>
    <row r="2603" spans="1:4" x14ac:dyDescent="0.25">
      <c r="A2603" s="1" t="str">
        <f>'001'!B2603</f>
        <v>003777</v>
      </c>
      <c r="B2603" s="1" t="str">
        <f>'001'!C2603</f>
        <v>IMPERMEABILIZANTE PARA FRENTES Y MUROS TERSUAVE BASE W X  3,600</v>
      </c>
      <c r="C2603" s="1" t="str">
        <f>'001'!D2603</f>
        <v>0154</v>
      </c>
      <c r="D2603" s="3" t="e">
        <f>'001'!H2603</f>
        <v>#VALUE!</v>
      </c>
    </row>
    <row r="2604" spans="1:4" x14ac:dyDescent="0.25">
      <c r="A2604" s="1" t="str">
        <f>'001'!B2604</f>
        <v>003778</v>
      </c>
      <c r="B2604" s="1" t="str">
        <f>'001'!C2604</f>
        <v>IMPERMEABILIZANTE PARA FRENTES Y MUROS TERSUAVE BASE W X  9,000</v>
      </c>
      <c r="C2604" s="1" t="str">
        <f>'001'!D2604</f>
        <v>0154</v>
      </c>
      <c r="D2604" s="3" t="e">
        <f>'001'!H2604</f>
        <v>#VALUE!</v>
      </c>
    </row>
    <row r="2605" spans="1:4" x14ac:dyDescent="0.25">
      <c r="A2605" s="1" t="str">
        <f>'001'!B2605</f>
        <v>003779</v>
      </c>
      <c r="B2605" s="1" t="str">
        <f>'001'!C2605</f>
        <v>IMPERMEABILIZANTE PARA FRENTES Y MUROS TERSUAVE BASE W X 18,000</v>
      </c>
      <c r="C2605" s="1" t="str">
        <f>'001'!D2605</f>
        <v>0154</v>
      </c>
      <c r="D2605" s="3" t="e">
        <f>'001'!H2605</f>
        <v>#VALUE!</v>
      </c>
    </row>
    <row r="2606" spans="1:4" x14ac:dyDescent="0.25">
      <c r="A2606" s="1" t="str">
        <f>'001'!B2606</f>
        <v>003781</v>
      </c>
      <c r="B2606" s="1" t="str">
        <f>'001'!C2606</f>
        <v>LACA PARA PISO DE CEMENTO RECUFLOOR HIDROLACA X 5</v>
      </c>
      <c r="C2606" s="1" t="str">
        <f>'001'!D2606</f>
        <v>0150</v>
      </c>
      <c r="D2606" s="3" t="e">
        <f>'001'!H2606</f>
        <v>#VALUE!</v>
      </c>
    </row>
    <row r="2607" spans="1:4" x14ac:dyDescent="0.25">
      <c r="A2607" s="1" t="str">
        <f>'001'!B2607</f>
        <v>003782</v>
      </c>
      <c r="B2607" s="1" t="str">
        <f>'001'!C2607</f>
        <v>MASILLA PARA YESO TERSUAVE X  6</v>
      </c>
      <c r="C2607" s="1" t="str">
        <f>'001'!D2607</f>
        <v>0152</v>
      </c>
      <c r="D2607" s="3" t="e">
        <f>'001'!H2607</f>
        <v>#VALUE!</v>
      </c>
    </row>
    <row r="2608" spans="1:4" x14ac:dyDescent="0.25">
      <c r="A2608" s="1" t="str">
        <f>'001'!B2608</f>
        <v>003783</v>
      </c>
      <c r="B2608" s="1" t="str">
        <f>'001'!C2608</f>
        <v>MASILLA PARA YESO TERSUAVE X 16</v>
      </c>
      <c r="C2608" s="1" t="str">
        <f>'001'!D2608</f>
        <v>0152</v>
      </c>
      <c r="D2608" s="3" t="e">
        <f>'001'!H2608</f>
        <v>#VALUE!</v>
      </c>
    </row>
    <row r="2609" spans="1:4" x14ac:dyDescent="0.25">
      <c r="A2609" s="1" t="str">
        <f>'001'!B2609</f>
        <v>003784</v>
      </c>
      <c r="B2609" s="1" t="str">
        <f>'001'!C2609</f>
        <v>MASILLA PARA YESO TERSUAVE X 32</v>
      </c>
      <c r="C2609" s="1" t="str">
        <f>'001'!D2609</f>
        <v>0152</v>
      </c>
      <c r="D2609" s="3" t="e">
        <f>'001'!H2609</f>
        <v>#VALUE!</v>
      </c>
    </row>
    <row r="2610" spans="1:4" x14ac:dyDescent="0.25">
      <c r="A2610" s="1" t="str">
        <f>'001'!B2610</f>
        <v>003787</v>
      </c>
      <c r="B2610" s="1" t="str">
        <f>'001'!C2610</f>
        <v>MAMELUCO MICROPERFORADO RESPIRABLE BLANCO 60G #XL(MR60XL)</v>
      </c>
      <c r="C2610" s="1" t="str">
        <f>'001'!D2610</f>
        <v>0165</v>
      </c>
      <c r="D2610" s="3" t="e">
        <f>'001'!H2610</f>
        <v>#VALUE!</v>
      </c>
    </row>
    <row r="2611" spans="1:4" x14ac:dyDescent="0.25">
      <c r="A2611" s="1" t="str">
        <f>'001'!B2611</f>
        <v>003788</v>
      </c>
      <c r="B2611" s="1" t="str">
        <f>'001'!C2611</f>
        <v>MAMELUCO MICROPERFORADO RESPIRABLE BLANCO 60G #XXL(MR60XXL)</v>
      </c>
      <c r="C2611" s="1" t="str">
        <f>'001'!D2611</f>
        <v>0165</v>
      </c>
      <c r="D2611" s="3" t="e">
        <f>'001'!H2611</f>
        <v>#VALUE!</v>
      </c>
    </row>
    <row r="2612" spans="1:4" x14ac:dyDescent="0.25">
      <c r="A2612" s="1" t="str">
        <f>'001'!B2612</f>
        <v>003789</v>
      </c>
      <c r="B2612" s="1" t="str">
        <f>'001'!C2612</f>
        <v>AEROSOL RUST-OLEUM US 1600 INVERTIDO AGUA AZUL REAL BRILLANTE X 0,482(318193)</v>
      </c>
      <c r="C2612" s="1" t="str">
        <f>'001'!D2612</f>
        <v>0158</v>
      </c>
      <c r="D2612" s="3" t="e">
        <f>'001'!H2612</f>
        <v>#VALUE!</v>
      </c>
    </row>
    <row r="2613" spans="1:4" x14ac:dyDescent="0.25">
      <c r="A2613" s="1" t="str">
        <f>'001'!B2613</f>
        <v>003790</v>
      </c>
      <c r="B2613" s="1" t="str">
        <f>'001'!C2613</f>
        <v>AEROSOL RUST-OLEUM US 1600 INVERTIDO AGUA  AMARILLO BRILLANTE X 0,482(206045)</v>
      </c>
      <c r="C2613" s="1" t="str">
        <f>'001'!D2613</f>
        <v>0158</v>
      </c>
      <c r="D2613" s="3" t="e">
        <f>'001'!H2613</f>
        <v>#VALUE!</v>
      </c>
    </row>
    <row r="2614" spans="1:4" x14ac:dyDescent="0.25">
      <c r="A2614" s="1" t="str">
        <f>'001'!B2614</f>
        <v>003791</v>
      </c>
      <c r="B2614" s="1" t="str">
        <f>'001'!C2614</f>
        <v>AEROSOL RUST-OLEUM US 1800 INVERTIDO AGUA ROJO SEG MATE X 0,482(203038)</v>
      </c>
      <c r="C2614" s="1" t="str">
        <f>'001'!D2614</f>
        <v>0158</v>
      </c>
      <c r="D2614" s="3" t="e">
        <f>'001'!H2614</f>
        <v>#VALUE!</v>
      </c>
    </row>
    <row r="2615" spans="1:4" x14ac:dyDescent="0.25">
      <c r="A2615" s="1" t="str">
        <f>'001'!B2615</f>
        <v>003792</v>
      </c>
      <c r="B2615" s="1" t="str">
        <f>'001'!C2615</f>
        <v>AEROSOL RUST-OLEUM US 1600 INVERTIDO AGUA BLANCO SATINADO X 0,482(206043)</v>
      </c>
      <c r="C2615" s="1" t="str">
        <f>'001'!D2615</f>
        <v>0158</v>
      </c>
      <c r="D2615" s="3" t="e">
        <f>'001'!H2615</f>
        <v>#VALUE!</v>
      </c>
    </row>
    <row r="2616" spans="1:4" x14ac:dyDescent="0.25">
      <c r="A2616" s="1" t="str">
        <f>'001'!B2616</f>
        <v>003793</v>
      </c>
      <c r="B2616" s="1" t="str">
        <f>'001'!C2616</f>
        <v>EPOXI 100% SOLIDOS CS 6500 RUST OLEUM TRANSPARENTE X 2,34 (357509)</v>
      </c>
      <c r="C2616" s="1" t="str">
        <f>'001'!D2616</f>
        <v>0158</v>
      </c>
      <c r="D2616" s="3" t="e">
        <f>'001'!H2616</f>
        <v>#VALUE!</v>
      </c>
    </row>
    <row r="2617" spans="1:4" x14ac:dyDescent="0.25">
      <c r="A2617" s="1" t="str">
        <f>'001'!B2617</f>
        <v>003794</v>
      </c>
      <c r="B2617" s="1" t="str">
        <f>'001'!C2617</f>
        <v>3D BOLSO MULTIUSO P/HERRAMIENTAS (J-073D)</v>
      </c>
      <c r="C2617" s="1" t="str">
        <f>'001'!D2617</f>
        <v>0902</v>
      </c>
      <c r="D2617" s="3" t="e">
        <f>'001'!H2617</f>
        <v>#VALUE!</v>
      </c>
    </row>
    <row r="2618" spans="1:4" x14ac:dyDescent="0.25">
      <c r="A2618" s="1" t="str">
        <f>'001'!B2618</f>
        <v>003795</v>
      </c>
      <c r="B2618" s="1" t="str">
        <f>'001'!C2618</f>
        <v>PIEDRA PARA RECOLECCION DE PELOS 3D (M-20S)</v>
      </c>
      <c r="C2618" s="1" t="str">
        <f>'001'!D2618</f>
        <v>0191</v>
      </c>
      <c r="D2618" s="3" t="e">
        <f>'001'!H2618</f>
        <v>#VALUE!</v>
      </c>
    </row>
    <row r="2619" spans="1:4" x14ac:dyDescent="0.25">
      <c r="A2619" s="1" t="str">
        <f>'001'!B2619</f>
        <v>003796</v>
      </c>
      <c r="B2619" s="1" t="str">
        <f>'001'!C2619</f>
        <v>CINTA AUTOMOTOR DOBLE A ULTRA (C974) 18MM X 40M</v>
      </c>
      <c r="C2619" s="1" t="str">
        <f>'001'!D2619</f>
        <v>0102</v>
      </c>
      <c r="D2619" s="3" t="e">
        <f>'001'!H2619</f>
        <v>#VALUE!</v>
      </c>
    </row>
    <row r="2620" spans="1:4" x14ac:dyDescent="0.25">
      <c r="A2620" s="1" t="str">
        <f>'001'!B2620</f>
        <v>003797</v>
      </c>
      <c r="B2620" s="1" t="str">
        <f>'001'!C2620</f>
        <v>CINTA AUTOMOTOR DOBLE A ULTRA (C974) 24MM X 40M</v>
      </c>
      <c r="C2620" s="1" t="str">
        <f>'001'!D2620</f>
        <v>0102</v>
      </c>
      <c r="D2620" s="3" t="e">
        <f>'001'!H2620</f>
        <v>#VALUE!</v>
      </c>
    </row>
    <row r="2621" spans="1:4" x14ac:dyDescent="0.25">
      <c r="A2621" s="1" t="str">
        <f>'001'!B2621</f>
        <v>003798</v>
      </c>
      <c r="B2621" s="1" t="str">
        <f>'001'!C2621</f>
        <v>CINTA AUTOMOTOR DOBLE A ULTRA (C974) 48MM X 40M</v>
      </c>
      <c r="C2621" s="1" t="str">
        <f>'001'!D2621</f>
        <v>0102</v>
      </c>
      <c r="D2621" s="3" t="e">
        <f>'001'!H2621</f>
        <v>#VALUE!</v>
      </c>
    </row>
    <row r="2622" spans="1:4" x14ac:dyDescent="0.25">
      <c r="A2622" s="1" t="str">
        <f>'001'!B2622</f>
        <v>003799</v>
      </c>
      <c r="B2622" s="1" t="str">
        <f>'001'!C2622</f>
        <v>MINI ANDAMIO EQUUS</v>
      </c>
      <c r="C2622" s="1" t="str">
        <f>'001'!D2622</f>
        <v>0161</v>
      </c>
      <c r="D2622" s="3" t="e">
        <f>'001'!H2622</f>
        <v>#VALUE!</v>
      </c>
    </row>
    <row r="2623" spans="1:4" x14ac:dyDescent="0.25">
      <c r="A2623" s="1" t="str">
        <f>'001'!B2623</f>
        <v>003800</v>
      </c>
      <c r="B2623" s="1" t="str">
        <f>'001'!C2623</f>
        <v>CR-338 VERMEHO OXIDO REDUZIDO X 1</v>
      </c>
      <c r="C2623" s="1" t="str">
        <f>'001'!D2623</f>
        <v>0132</v>
      </c>
      <c r="D2623" s="3" t="e">
        <f>'001'!H2623</f>
        <v>#VALUE!</v>
      </c>
    </row>
    <row r="2624" spans="1:4" x14ac:dyDescent="0.25">
      <c r="A2624" s="1" t="str">
        <f>'001'!B2624</f>
        <v>003801</v>
      </c>
      <c r="B2624" s="1" t="str">
        <f>'001'!C2624</f>
        <v>CR-377 ESVERDEADO REDUZIDO X 1</v>
      </c>
      <c r="C2624" s="1" t="str">
        <f>'001'!D2624</f>
        <v>0132</v>
      </c>
      <c r="D2624" s="3" t="e">
        <f>'001'!H2624</f>
        <v>#VALUE!</v>
      </c>
    </row>
    <row r="2625" spans="1:4" x14ac:dyDescent="0.25">
      <c r="A2625" s="1" t="str">
        <f>'001'!B2625</f>
        <v>003804</v>
      </c>
      <c r="B2625" s="1" t="str">
        <f>'001'!C2625</f>
        <v>FONDO CONVERTIDOR DE OXIDO TERSUAVE MATE BLANCO X 20</v>
      </c>
      <c r="C2625" s="1" t="str">
        <f>'001'!D2625</f>
        <v>0152</v>
      </c>
      <c r="D2625" s="3" t="e">
        <f>'001'!H2625</f>
        <v>#VALUE!</v>
      </c>
    </row>
    <row r="2626" spans="1:4" x14ac:dyDescent="0.25">
      <c r="A2626" s="1" t="str">
        <f>'001'!B2626</f>
        <v>003805</v>
      </c>
      <c r="B2626" s="1" t="str">
        <f>'001'!C2626</f>
        <v>FONDO CONVERTIDOR DE OXIDO TERSUAVE MATE GRIS X 20</v>
      </c>
      <c r="C2626" s="1" t="str">
        <f>'001'!D2626</f>
        <v>0152</v>
      </c>
      <c r="D2626" s="3" t="e">
        <f>'001'!H2626</f>
        <v>#VALUE!</v>
      </c>
    </row>
    <row r="2627" spans="1:4" x14ac:dyDescent="0.25">
      <c r="A2627" s="1" t="str">
        <f>'001'!B2627</f>
        <v>003807</v>
      </c>
      <c r="B2627" s="1" t="str">
        <f>'001'!C2627</f>
        <v>FONDO CONVERTIDOR DE OXIDO TERSUAVE MATE NEGRO X 20</v>
      </c>
      <c r="C2627" s="1" t="str">
        <f>'001'!D2627</f>
        <v>0152</v>
      </c>
      <c r="D2627" s="3" t="e">
        <f>'001'!H2627</f>
        <v>#VALUE!</v>
      </c>
    </row>
    <row r="2628" spans="1:4" x14ac:dyDescent="0.25">
      <c r="A2628" s="1" t="str">
        <f>'001'!B2628</f>
        <v>003808</v>
      </c>
      <c r="B2628" s="1" t="str">
        <f>'001'!C2628</f>
        <v>CX-10 3B EFEITO PRATA CRISTAL X 0 33</v>
      </c>
      <c r="C2628" s="1" t="str">
        <f>'001'!D2628</f>
        <v>0132</v>
      </c>
      <c r="D2628" s="3" t="e">
        <f>'001'!H2628</f>
        <v>#VALUE!</v>
      </c>
    </row>
    <row r="2629" spans="1:4" x14ac:dyDescent="0.25">
      <c r="A2629" s="1" t="str">
        <f>'001'!B2629</f>
        <v>003809</v>
      </c>
      <c r="B2629" s="1" t="str">
        <f>'001'!C2629</f>
        <v>FONDO CONVERTIDOR DE OXIDO TERSUAVE MATE ROJO X 20</v>
      </c>
      <c r="C2629" s="1" t="str">
        <f>'001'!D2629</f>
        <v>0152</v>
      </c>
      <c r="D2629" s="3" t="e">
        <f>'001'!H2629</f>
        <v>#VALUE!</v>
      </c>
    </row>
    <row r="2630" spans="1:4" x14ac:dyDescent="0.25">
      <c r="A2630" s="1" t="str">
        <f>'001'!B2630</f>
        <v>003814</v>
      </c>
      <c r="B2630" s="1" t="str">
        <f>'001'!C2630</f>
        <v>PROLONGADOR ZEOCAR 5/8 A 5/8 (101)</v>
      </c>
      <c r="C2630" s="1" t="str">
        <f>'001'!D2630</f>
        <v>0157</v>
      </c>
      <c r="D2630" s="3" t="e">
        <f>'001'!H2630</f>
        <v>#VALUE!</v>
      </c>
    </row>
    <row r="2631" spans="1:4" x14ac:dyDescent="0.25">
      <c r="A2631" s="1" t="str">
        <f>'001'!B2631</f>
        <v>003815</v>
      </c>
      <c r="B2631" s="1" t="str">
        <f>'001'!C2631</f>
        <v>CX-11 3B EFEITO OURO X 0 33</v>
      </c>
      <c r="C2631" s="1" t="str">
        <f>'001'!D2631</f>
        <v>0132</v>
      </c>
      <c r="D2631" s="3" t="e">
        <f>'001'!H2631</f>
        <v>#VALUE!</v>
      </c>
    </row>
    <row r="2632" spans="1:4" x14ac:dyDescent="0.25">
      <c r="A2632" s="1" t="str">
        <f>'001'!B2632</f>
        <v>003818</v>
      </c>
      <c r="B2632" s="1" t="str">
        <f>'001'!C2632</f>
        <v>PERFUME PARA AUTO 3D NEUTRALIZADOR X 0,100</v>
      </c>
      <c r="C2632" s="1" t="str">
        <f>'001'!D2632</f>
        <v>0902</v>
      </c>
      <c r="D2632" s="3" t="e">
        <f>'001'!H2632</f>
        <v>#VALUE!</v>
      </c>
    </row>
    <row r="2633" spans="1:4" x14ac:dyDescent="0.25">
      <c r="A2633" s="1" t="str">
        <f>'001'!B2633</f>
        <v>003820</v>
      </c>
      <c r="B2633" s="1" t="str">
        <f>'001'!C2633</f>
        <v>PERFUME PARA AUTO 3D COCO X 0,100</v>
      </c>
      <c r="C2633" s="1" t="str">
        <f>'001'!D2633</f>
        <v>0902</v>
      </c>
      <c r="D2633" s="3" t="e">
        <f>'001'!H2633</f>
        <v>#VALUE!</v>
      </c>
    </row>
    <row r="2634" spans="1:4" x14ac:dyDescent="0.25">
      <c r="A2634" s="1" t="str">
        <f>'001'!B2634</f>
        <v>003821</v>
      </c>
      <c r="B2634" s="1" t="str">
        <f>'001'!C2634</f>
        <v>PERFUME PARA AUTO 3D ANANA X 0,100</v>
      </c>
      <c r="C2634" s="1" t="str">
        <f>'001'!D2634</f>
        <v>0902</v>
      </c>
      <c r="D2634" s="3" t="e">
        <f>'001'!H2634</f>
        <v>#VALUE!</v>
      </c>
    </row>
    <row r="2635" spans="1:4" x14ac:dyDescent="0.25">
      <c r="A2635" s="1" t="str">
        <f>'001'!B2635</f>
        <v>003822</v>
      </c>
      <c r="B2635" s="1" t="str">
        <f>'001'!C2635</f>
        <v>PERFUME PARA AUTO 3D FRUTILLA X 0,100</v>
      </c>
      <c r="C2635" s="1" t="str">
        <f>'001'!D2635</f>
        <v>0902</v>
      </c>
      <c r="D2635" s="3" t="e">
        <f>'001'!H2635</f>
        <v>#VALUE!</v>
      </c>
    </row>
    <row r="2636" spans="1:4" x14ac:dyDescent="0.25">
      <c r="A2636" s="1" t="str">
        <f>'001'!B2636</f>
        <v>003823</v>
      </c>
      <c r="B2636" s="1" t="str">
        <f>'001'!C2636</f>
        <v>PERFUME PARA AUTO 3D CUERO X 0,113</v>
      </c>
      <c r="C2636" s="1" t="str">
        <f>'001'!D2636</f>
        <v>0902</v>
      </c>
      <c r="D2636" s="3" t="e">
        <f>'001'!H2636</f>
        <v>#VALUE!</v>
      </c>
    </row>
    <row r="2637" spans="1:4" x14ac:dyDescent="0.25">
      <c r="A2637" s="1" t="str">
        <f>'001'!B2637</f>
        <v>003824</v>
      </c>
      <c r="B2637" s="1" t="str">
        <f>'001'!C2637</f>
        <v>PERFUME PARA AUTO 3D CHICLE X 0,100</v>
      </c>
      <c r="C2637" s="1" t="str">
        <f>'001'!D2637</f>
        <v>0902</v>
      </c>
      <c r="D2637" s="3" t="e">
        <f>'001'!H2637</f>
        <v>#VALUE!</v>
      </c>
    </row>
    <row r="2638" spans="1:4" x14ac:dyDescent="0.25">
      <c r="A2638" s="1" t="str">
        <f>'001'!B2638</f>
        <v>003825</v>
      </c>
      <c r="B2638" s="1" t="str">
        <f>'001'!C2638</f>
        <v>AEROSOL TERSUAVE ESMALTE SINTETICO FLUO MATE VERDE X 0,440</v>
      </c>
      <c r="C2638" s="1" t="str">
        <f>'001'!D2638</f>
        <v>0152</v>
      </c>
      <c r="D2638" s="3" t="e">
        <f>'001'!H2638</f>
        <v>#VALUE!</v>
      </c>
    </row>
    <row r="2639" spans="1:4" x14ac:dyDescent="0.25">
      <c r="A2639" s="1" t="str">
        <f>'001'!B2639</f>
        <v>003827</v>
      </c>
      <c r="B2639" s="1" t="str">
        <f>'001'!C2639</f>
        <v>PERFUME PARA AUTO 3D MANZANA VERDE X 0,100</v>
      </c>
      <c r="C2639" s="1" t="str">
        <f>'001'!D2639</f>
        <v>0902</v>
      </c>
      <c r="D2639" s="3" t="e">
        <f>'001'!H2639</f>
        <v>#VALUE!</v>
      </c>
    </row>
    <row r="2640" spans="1:4" x14ac:dyDescent="0.25">
      <c r="A2640" s="1" t="str">
        <f>'001'!B2640</f>
        <v>003828</v>
      </c>
      <c r="B2640" s="1" t="str">
        <f>'001'!C2640</f>
        <v>AEROSOL TERSUAVE ESMALTE SINTETICO FLUO MATE NARANJA X 0,440</v>
      </c>
      <c r="C2640" s="1" t="str">
        <f>'001'!D2640</f>
        <v>0152</v>
      </c>
      <c r="D2640" s="3" t="e">
        <f>'001'!H2640</f>
        <v>#VALUE!</v>
      </c>
    </row>
    <row r="2641" spans="1:4" x14ac:dyDescent="0.25">
      <c r="A2641" s="1" t="str">
        <f>'001'!B2641</f>
        <v>003829</v>
      </c>
      <c r="B2641" s="1" t="str">
        <f>'001'!C2641</f>
        <v>PERFUME PARA AUTO 3D PINO DE MONTAÏ¿½A X 0,100</v>
      </c>
      <c r="C2641" s="1" t="str">
        <f>'001'!D2641</f>
        <v>0902</v>
      </c>
      <c r="D2641" s="3" t="e">
        <f>'001'!H2641</f>
        <v>#VALUE!</v>
      </c>
    </row>
    <row r="2642" spans="1:4" x14ac:dyDescent="0.25">
      <c r="A2642" s="1" t="str">
        <f>'001'!B2642</f>
        <v>003830</v>
      </c>
      <c r="B2642" s="1" t="str">
        <f>'001'!C2642</f>
        <v>AEROSOL TERSUAVE ESMALTE SINTETICO FLUO MATE AMARILLO X 0,440</v>
      </c>
      <c r="C2642" s="1" t="str">
        <f>'001'!D2642</f>
        <v>0152</v>
      </c>
      <c r="D2642" s="3" t="e">
        <f>'001'!H2642</f>
        <v>#VALUE!</v>
      </c>
    </row>
    <row r="2643" spans="1:4" x14ac:dyDescent="0.25">
      <c r="A2643" s="1" t="str">
        <f>'001'!B2643</f>
        <v>003831</v>
      </c>
      <c r="B2643" s="1" t="str">
        <f>'001'!C2643</f>
        <v>PERFUME PARA AUTO 3D VAINILLA X 0,100</v>
      </c>
      <c r="C2643" s="1" t="str">
        <f>'001'!D2643</f>
        <v>0902</v>
      </c>
      <c r="D2643" s="3" t="e">
        <f>'001'!H2643</f>
        <v>#VALUE!</v>
      </c>
    </row>
    <row r="2644" spans="1:4" x14ac:dyDescent="0.25">
      <c r="A2644" s="1" t="str">
        <f>'001'!B2644</f>
        <v>003832</v>
      </c>
      <c r="B2644" s="1" t="str">
        <f>'001'!C2644</f>
        <v>PERFUME PARA AUTO 3D TALCO DE BEBE X 0,100</v>
      </c>
      <c r="C2644" s="1" t="str">
        <f>'001'!D2644</f>
        <v>0902</v>
      </c>
      <c r="D2644" s="3" t="e">
        <f>'001'!H2644</f>
        <v>#VALUE!</v>
      </c>
    </row>
    <row r="2645" spans="1:4" x14ac:dyDescent="0.25">
      <c r="A2645" s="1" t="str">
        <f>'001'!B2645</f>
        <v>003833</v>
      </c>
      <c r="B2645" s="1" t="str">
        <f>'001'!C2645</f>
        <v>AEROSOL TERSUAVE ESMALTE SINTETICO FLUO MATE FUCSIA X 0,440</v>
      </c>
      <c r="C2645" s="1" t="str">
        <f>'001'!D2645</f>
        <v>0152</v>
      </c>
      <c r="D2645" s="3" t="e">
        <f>'001'!H2645</f>
        <v>#VALUE!</v>
      </c>
    </row>
    <row r="2646" spans="1:4" x14ac:dyDescent="0.25">
      <c r="A2646" s="1" t="str">
        <f>'001'!B2646</f>
        <v>003834</v>
      </c>
      <c r="B2646" s="1" t="str">
        <f>'001'!C2646</f>
        <v>PERFUME PARA AUTO 3D JAZMIN X 0,100</v>
      </c>
      <c r="C2646" s="1" t="str">
        <f>'001'!D2646</f>
        <v>0902</v>
      </c>
      <c r="D2646" s="3" t="e">
        <f>'001'!H2646</f>
        <v>#VALUE!</v>
      </c>
    </row>
    <row r="2647" spans="1:4" x14ac:dyDescent="0.25">
      <c r="A2647" s="1" t="str">
        <f>'001'!B2647</f>
        <v>003835</v>
      </c>
      <c r="B2647" s="1" t="str">
        <f>'001'!C2647</f>
        <v>AEROSOL TERSUAVE ESMALTE SINTETICO FLUO MATE ROJO X 0,440</v>
      </c>
      <c r="C2647" s="1" t="str">
        <f>'001'!D2647</f>
        <v>0152</v>
      </c>
      <c r="D2647" s="3" t="e">
        <f>'001'!H2647</f>
        <v>#VALUE!</v>
      </c>
    </row>
    <row r="2648" spans="1:4" x14ac:dyDescent="0.25">
      <c r="A2648" s="1" t="str">
        <f>'001'!B2648</f>
        <v>003836</v>
      </c>
      <c r="B2648" s="1" t="str">
        <f>'001'!C2648</f>
        <v>FONDO CONVERTIDOR DE OXIDO TERSUAVE MATE VERDE X 20</v>
      </c>
      <c r="C2648" s="1" t="str">
        <f>'001'!D2648</f>
        <v>0152</v>
      </c>
      <c r="D2648" s="3" t="e">
        <f>'001'!H2648</f>
        <v>#VALUE!</v>
      </c>
    </row>
    <row r="2649" spans="1:4" x14ac:dyDescent="0.25">
      <c r="A2649" s="1" t="str">
        <f>'001'!B2649</f>
        <v>003838</v>
      </c>
      <c r="B2649" s="1" t="str">
        <f>'001'!C2649</f>
        <v>CX-12 3B EFEITO VERMELHO RUBI X 0 33</v>
      </c>
      <c r="C2649" s="1" t="str">
        <f>'001'!D2649</f>
        <v>0132</v>
      </c>
      <c r="D2649" s="3" t="e">
        <f>'001'!H2649</f>
        <v>#VALUE!</v>
      </c>
    </row>
    <row r="2650" spans="1:4" x14ac:dyDescent="0.25">
      <c r="A2650" s="1" t="str">
        <f>'001'!B2650</f>
        <v>003842</v>
      </c>
      <c r="B2650" s="1" t="str">
        <f>'001'!C2650</f>
        <v>CX-13 3B EFEITO AZUL UNIVERSO X 0 33</v>
      </c>
      <c r="C2650" s="1" t="str">
        <f>'001'!D2650</f>
        <v>0132</v>
      </c>
      <c r="D2650" s="3" t="e">
        <f>'001'!H2650</f>
        <v>#VALUE!</v>
      </c>
    </row>
    <row r="2651" spans="1:4" x14ac:dyDescent="0.25">
      <c r="A2651" s="1" t="str">
        <f>'001'!B2651</f>
        <v>003844</v>
      </c>
      <c r="B2651" s="1" t="str">
        <f>'001'!C2651</f>
        <v>IMPREGNANTE PARA MADERA CETOL BALANCE CLASSIC SATINADO CAOBA X 10</v>
      </c>
      <c r="C2651" s="1" t="str">
        <f>'001'!D2651</f>
        <v>0105</v>
      </c>
      <c r="D2651" s="3" t="e">
        <f>'001'!H2651</f>
        <v>#VALUE!</v>
      </c>
    </row>
    <row r="2652" spans="1:4" x14ac:dyDescent="0.25">
      <c r="A2652" s="1" t="str">
        <f>'001'!B2652</f>
        <v>003845</v>
      </c>
      <c r="B2652" s="1" t="str">
        <f>'001'!C2652</f>
        <v>IMPREGNANTE PARA MADERA CETOL BALANCE CLASSIC SATINADO CEDRO X 10</v>
      </c>
      <c r="C2652" s="1" t="str">
        <f>'001'!D2652</f>
        <v>0105</v>
      </c>
      <c r="D2652" s="3" t="e">
        <f>'001'!H2652</f>
        <v>#VALUE!</v>
      </c>
    </row>
    <row r="2653" spans="1:4" x14ac:dyDescent="0.25">
      <c r="A2653" s="1" t="str">
        <f>'001'!B2653</f>
        <v>003846</v>
      </c>
      <c r="B2653" s="1" t="str">
        <f>'001'!C2653</f>
        <v>IMPREGNANTE PARA MADERA CETOL BALANCE CLASSIC SATINADO CRISTAL X 10</v>
      </c>
      <c r="C2653" s="1" t="str">
        <f>'001'!D2653</f>
        <v>0105</v>
      </c>
      <c r="D2653" s="3" t="e">
        <f>'001'!H2653</f>
        <v>#VALUE!</v>
      </c>
    </row>
    <row r="2654" spans="1:4" x14ac:dyDescent="0.25">
      <c r="A2654" s="1" t="str">
        <f>'001'!B2654</f>
        <v>003847</v>
      </c>
      <c r="B2654" s="1" t="str">
        <f>'001'!C2654</f>
        <v>IMPREGNANTE PARA MADERA CETOL BALANCE CLASSIC SATINADO NATURAL X 10</v>
      </c>
      <c r="C2654" s="1" t="str">
        <f>'001'!D2654</f>
        <v>0105</v>
      </c>
      <c r="D2654" s="3" t="e">
        <f>'001'!H2654</f>
        <v>#VALUE!</v>
      </c>
    </row>
    <row r="2655" spans="1:4" x14ac:dyDescent="0.25">
      <c r="A2655" s="1" t="str">
        <f>'001'!B2655</f>
        <v>003848</v>
      </c>
      <c r="B2655" s="1" t="str">
        <f>'001'!C2655</f>
        <v>IMPREGNANTE PARA MADERA CETOL BALANCE CLASSIC SATINADO NOGAL X 10</v>
      </c>
      <c r="C2655" s="1" t="str">
        <f>'001'!D2655</f>
        <v>0105</v>
      </c>
      <c r="D2655" s="3" t="e">
        <f>'001'!H2655</f>
        <v>#VALUE!</v>
      </c>
    </row>
    <row r="2656" spans="1:4" x14ac:dyDescent="0.25">
      <c r="A2656" s="1" t="str">
        <f>'001'!B2656</f>
        <v>003849</v>
      </c>
      <c r="B2656" s="1" t="str">
        <f>'001'!C2656</f>
        <v>IMPREGNANTE PARA MADERA CETOL BALANCE CLASSIC SATINADO ROBLE X 10</v>
      </c>
      <c r="C2656" s="1" t="str">
        <f>'001'!D2656</f>
        <v>0105</v>
      </c>
      <c r="D2656" s="3" t="e">
        <f>'001'!H2656</f>
        <v>#VALUE!</v>
      </c>
    </row>
    <row r="2657" spans="1:4" x14ac:dyDescent="0.25">
      <c r="A2657" s="1" t="str">
        <f>'001'!B2657</f>
        <v>003850</v>
      </c>
      <c r="B2657" s="1" t="str">
        <f>'001'!C2657</f>
        <v>DESENGRASANTE PARA MOTORES 3D 100 GRAND SLAM X 0,500</v>
      </c>
      <c r="C2657" s="1" t="str">
        <f>'001'!D2657</f>
        <v>0191</v>
      </c>
      <c r="D2657" s="3" t="e">
        <f>'001'!H2657</f>
        <v>#VALUE!</v>
      </c>
    </row>
    <row r="2658" spans="1:4" x14ac:dyDescent="0.25">
      <c r="A2658" s="1" t="str">
        <f>'001'!B2658</f>
        <v>003851</v>
      </c>
      <c r="B2658" s="1" t="str">
        <f>'001'!C2658</f>
        <v>DESENGRASANTE  MULTIPROPOSITO 3D 104  ALL PURPOSE CLEANER X 0,500</v>
      </c>
      <c r="C2658" s="1" t="str">
        <f>'001'!D2658</f>
        <v>0191</v>
      </c>
      <c r="D2658" s="3" t="e">
        <f>'001'!H2658</f>
        <v>#VALUE!</v>
      </c>
    </row>
    <row r="2659" spans="1:4" x14ac:dyDescent="0.25">
      <c r="A2659" s="1" t="str">
        <f>'001'!B2659</f>
        <v>003852</v>
      </c>
      <c r="B2659" s="1" t="str">
        <f>'001'!C2659</f>
        <v>DESENGRASANTE INTERIOR/EXTERIOR 3D 109 ORANGE DEGREASER X 0,500</v>
      </c>
      <c r="C2659" s="1" t="str">
        <f>'001'!D2659</f>
        <v>0191</v>
      </c>
      <c r="D2659" s="3" t="e">
        <f>'001'!H2659</f>
        <v>#VALUE!</v>
      </c>
    </row>
    <row r="2660" spans="1:4" x14ac:dyDescent="0.25">
      <c r="A2660" s="1" t="str">
        <f>'001'!B2660</f>
        <v>003853</v>
      </c>
      <c r="B2660" s="1" t="str">
        <f>'001'!C2660</f>
        <v>DESENGRASANTE EXTERIOR PARA LLANTAS 3D 106 YELLOW DEGREASER X 0,500</v>
      </c>
      <c r="C2660" s="1" t="str">
        <f>'001'!D2660</f>
        <v>0191</v>
      </c>
      <c r="D2660" s="3" t="e">
        <f>'001'!H2660</f>
        <v>#VALUE!</v>
      </c>
    </row>
    <row r="2661" spans="1:4" x14ac:dyDescent="0.25">
      <c r="A2661" s="1" t="str">
        <f>'001'!B2661</f>
        <v>003854</v>
      </c>
      <c r="B2661" s="1" t="str">
        <f>'001'!C2661</f>
        <v>LIMPIADOR DE VINILOS,CUEROS Y PLASTICOS 3D 112 LVP CLEANER X 0,500</v>
      </c>
      <c r="C2661" s="1" t="str">
        <f>'001'!D2661</f>
        <v>0191</v>
      </c>
      <c r="D2661" s="3" t="e">
        <f>'001'!H2661</f>
        <v>#VALUE!</v>
      </c>
    </row>
    <row r="2662" spans="1:4" x14ac:dyDescent="0.25">
      <c r="A2662" s="1" t="str">
        <f>'001'!B2662</f>
        <v>003856</v>
      </c>
      <c r="B2662" s="1" t="str">
        <f>'001'!C2662</f>
        <v>REMOVEDOR DE INSECTOS 3D 103 BUG REMOVER X 0,500</v>
      </c>
      <c r="C2662" s="1" t="str">
        <f>'001'!D2662</f>
        <v>0191</v>
      </c>
      <c r="D2662" s="3" t="e">
        <f>'001'!H2662</f>
        <v>#VALUE!</v>
      </c>
    </row>
    <row r="2663" spans="1:4" x14ac:dyDescent="0.25">
      <c r="A2663" s="1" t="str">
        <f>'001'!B2663</f>
        <v>003857</v>
      </c>
      <c r="B2663" s="1" t="str">
        <f>'001'!C2663</f>
        <v>LIMPIAVIDRIOS 3D 901 GLASS CLEANER X 0,500</v>
      </c>
      <c r="C2663" s="1" t="str">
        <f>'001'!D2663</f>
        <v>0191</v>
      </c>
      <c r="D2663" s="3" t="e">
        <f>'001'!H2663</f>
        <v>#VALUE!</v>
      </c>
    </row>
    <row r="2664" spans="1:4" x14ac:dyDescent="0.25">
      <c r="A2664" s="1" t="str">
        <f>'001'!B2664</f>
        <v>003859</v>
      </c>
      <c r="B2664" s="1" t="str">
        <f>'001'!C2664</f>
        <v>LIMPIADOR ESPUMA DE TAPIZADOS Y ALFOMBRAS 3D 205 CARPET &amp; UPHOLSTERY CLEANER X 0,539</v>
      </c>
      <c r="C2664" s="1" t="str">
        <f>'001'!D2664</f>
        <v>0902</v>
      </c>
      <c r="D2664" s="3" t="e">
        <f>'001'!H2664</f>
        <v>#VALUE!</v>
      </c>
    </row>
    <row r="2665" spans="1:4" x14ac:dyDescent="0.25">
      <c r="A2665" s="1" t="str">
        <f>'001'!B2665</f>
        <v>003860</v>
      </c>
      <c r="B2665" s="1" t="str">
        <f>'001'!C2665</f>
        <v>REMOVEDOR DE BREA Y PEGAMENTO 3D 806 GUM &amp; TAR X 0,250</v>
      </c>
      <c r="C2665" s="1" t="str">
        <f>'001'!D2665</f>
        <v>0191</v>
      </c>
      <c r="D2665" s="3" t="e">
        <f>'001'!H2665</f>
        <v>#VALUE!</v>
      </c>
    </row>
    <row r="2666" spans="1:4" x14ac:dyDescent="0.25">
      <c r="A2666" s="1" t="str">
        <f>'001'!B2666</f>
        <v>003861</v>
      </c>
      <c r="B2666" s="1" t="str">
        <f>'001'!C2666</f>
        <v>PULIDOR DE METALES 3D X 0,500 (602OZ16)</v>
      </c>
      <c r="C2666" s="1" t="str">
        <f>'001'!D2666</f>
        <v>0191</v>
      </c>
      <c r="D2666" s="3" t="e">
        <f>'001'!H2666</f>
        <v>#VALUE!</v>
      </c>
    </row>
    <row r="2667" spans="1:4" x14ac:dyDescent="0.25">
      <c r="A2667" s="1" t="str">
        <f>'001'!B2667</f>
        <v>003862</v>
      </c>
      <c r="B2667" s="1" t="str">
        <f>'001'!C2667</f>
        <v>SHAMPOO PARA ALFOMBRAS Y TAPIZADO 3D 204 UPHOLSTERY &amp; CARPET SHAMPOO X 0,500</v>
      </c>
      <c r="C2667" s="1" t="str">
        <f>'001'!D2667</f>
        <v>0191</v>
      </c>
      <c r="D2667" s="3" t="e">
        <f>'001'!H2667</f>
        <v>#VALUE!</v>
      </c>
    </row>
    <row r="2668" spans="1:4" x14ac:dyDescent="0.25">
      <c r="A2668" s="1" t="str">
        <f>'001'!B2668</f>
        <v>003863</v>
      </c>
      <c r="B2668" s="1" t="str">
        <f>'001'!C2668</f>
        <v>REVIVIDOR SILICONADO PARA CUBIERTAS 3D 703OZ16 X 0,500</v>
      </c>
      <c r="C2668" s="1" t="str">
        <f>'001'!D2668</f>
        <v>0191</v>
      </c>
      <c r="D2668" s="3" t="e">
        <f>'001'!H2668</f>
        <v>#VALUE!</v>
      </c>
    </row>
    <row r="2669" spans="1:4" x14ac:dyDescent="0.25">
      <c r="A2669" s="1" t="str">
        <f>'001'!B2669</f>
        <v>003864</v>
      </c>
      <c r="B2669" s="1" t="str">
        <f>'001'!C2669</f>
        <v>REVIVIDOR DE VINILOS PLASTICOS Y NEUMATICOS S/SIL 3D 703NSOZ16 NON-SILICONE DRESSING X 0,5</v>
      </c>
      <c r="C2669" s="1" t="str">
        <f>'001'!D2669</f>
        <v>0191</v>
      </c>
      <c r="D2669" s="3" t="e">
        <f>'001'!H2669</f>
        <v>#VALUE!</v>
      </c>
    </row>
    <row r="2670" spans="1:4" x14ac:dyDescent="0.25">
      <c r="A2670" s="1" t="str">
        <f>'001'!B2670</f>
        <v>003865</v>
      </c>
      <c r="B2670" s="1" t="str">
        <f>'001'!C2670</f>
        <v>PROTECTOR Y EMBELLECEDOR DE GOMAS Y PLASTICOS 3D 706 ULTRA PROTECTANT X 0,500</v>
      </c>
      <c r="C2670" s="1" t="str">
        <f>'001'!D2670</f>
        <v>0191</v>
      </c>
      <c r="D2670" s="3" t="e">
        <f>'001'!H2670</f>
        <v>#VALUE!</v>
      </c>
    </row>
    <row r="2671" spans="1:4" x14ac:dyDescent="0.25">
      <c r="A2671" s="1" t="str">
        <f>'001'!B2671</f>
        <v>003866</v>
      </c>
      <c r="B2671" s="1" t="str">
        <f>'001'!C2671</f>
        <v>CERA DE CARNAUBA EN PASTA 3D 412 CARNAUBA PASTE X 0,330</v>
      </c>
      <c r="C2671" s="1" t="str">
        <f>'001'!D2671</f>
        <v>0191</v>
      </c>
      <c r="D2671" s="3" t="e">
        <f>'001'!H2671</f>
        <v>#VALUE!</v>
      </c>
    </row>
    <row r="2672" spans="1:4" x14ac:dyDescent="0.25">
      <c r="A2672" s="1" t="str">
        <f>'001'!B2672</f>
        <v>003867</v>
      </c>
      <c r="B2672" s="1" t="str">
        <f>'001'!C2672</f>
        <v>CERA DE CARNAUBA LIQUIDA 3D 908 CARNAUBA X 0,500</v>
      </c>
      <c r="C2672" s="1" t="str">
        <f>'001'!D2672</f>
        <v>0191</v>
      </c>
      <c r="D2672" s="3" t="e">
        <f>'001'!H2672</f>
        <v>#VALUE!</v>
      </c>
    </row>
    <row r="2673" spans="1:4" x14ac:dyDescent="0.25">
      <c r="A2673" s="1" t="str">
        <f>'001'!B2673</f>
        <v>003868</v>
      </c>
      <c r="B2673" s="1" t="str">
        <f>'001'!C2673</f>
        <v>CERA EFECTO MOJADO 3D 906 CHERRY WAX X 0,500</v>
      </c>
      <c r="C2673" s="1" t="str">
        <f>'001'!D2673</f>
        <v>0191</v>
      </c>
      <c r="D2673" s="3" t="e">
        <f>'001'!H2673</f>
        <v>#VALUE!</v>
      </c>
    </row>
    <row r="2674" spans="1:4" x14ac:dyDescent="0.25">
      <c r="A2674" s="1" t="str">
        <f>'001'!B2674</f>
        <v>003869</v>
      </c>
      <c r="B2674" s="1" t="str">
        <f>'001'!C2674</f>
        <v>CERA LIQUIDA DE RAPIDA APLICACION 3D 401 EXPRESS WAX X 0,500</v>
      </c>
      <c r="C2674" s="1" t="str">
        <f>'001'!D2674</f>
        <v>0191</v>
      </c>
      <c r="D2674" s="3" t="e">
        <f>'001'!H2674</f>
        <v>#VALUE!</v>
      </c>
    </row>
    <row r="2675" spans="1:4" x14ac:dyDescent="0.25">
      <c r="A2675" s="1" t="str">
        <f>'001'!B2675</f>
        <v>003870</v>
      </c>
      <c r="B2675" s="1" t="str">
        <f>'001'!C2675</f>
        <v>QUICK DETAILER 3D 403 FINAL TOUCH X 0,500</v>
      </c>
      <c r="C2675" s="1" t="str">
        <f>'001'!D2675</f>
        <v>0191</v>
      </c>
      <c r="D2675" s="3" t="e">
        <f>'001'!H2675</f>
        <v>#VALUE!</v>
      </c>
    </row>
    <row r="2676" spans="1:4" x14ac:dyDescent="0.25">
      <c r="A2676" s="1" t="str">
        <f>'001'!B2676</f>
        <v>003871</v>
      </c>
      <c r="B2676" s="1" t="str">
        <f>'001'!C2676</f>
        <v>SHAMPOO CONCENTRADO PH NEUTRO SIN CERA 3D 202 PINK CAR SOAP X 0,500</v>
      </c>
      <c r="C2676" s="1" t="str">
        <f>'001'!D2676</f>
        <v>0191</v>
      </c>
      <c r="D2676" s="3" t="e">
        <f>'001'!H2676</f>
        <v>#VALUE!</v>
      </c>
    </row>
    <row r="2677" spans="1:4" x14ac:dyDescent="0.25">
      <c r="A2677" s="1" t="str">
        <f>'001'!B2677</f>
        <v>003872</v>
      </c>
      <c r="B2677" s="1" t="str">
        <f>'001'!C2677</f>
        <v>SHAMPOO CONCENTRADO CON CERA 3D 201 WASH &amp; WAX X 0,500</v>
      </c>
      <c r="C2677" s="1" t="str">
        <f>'001'!D2677</f>
        <v>0191</v>
      </c>
      <c r="D2677" s="3" t="e">
        <f>'001'!H2677</f>
        <v>#VALUE!</v>
      </c>
    </row>
    <row r="2678" spans="1:4" x14ac:dyDescent="0.25">
      <c r="A2678" s="1" t="str">
        <f>'001'!B2678</f>
        <v>003875</v>
      </c>
      <c r="B2678" s="1" t="str">
        <f>'001'!C2678</f>
        <v>NEUTRALIZADOR DE OLORES 3D 913-ODOR ELIMINATOR X 0,500</v>
      </c>
      <c r="C2678" s="1" t="str">
        <f>'001'!D2678</f>
        <v>0191</v>
      </c>
      <c r="D2678" s="3" t="e">
        <f>'001'!H2678</f>
        <v>#VALUE!</v>
      </c>
    </row>
    <row r="2679" spans="1:4" x14ac:dyDescent="0.25">
      <c r="A2679" s="1" t="str">
        <f>'001'!B2679</f>
        <v>003877</v>
      </c>
      <c r="B2679" s="1" t="str">
        <f>'001'!C2679</f>
        <v>APLICADOR VELCRO PADS X 5 3D APLICATOR PADS X5 (G-31)</v>
      </c>
      <c r="C2679" s="1" t="str">
        <f>'001'!D2679</f>
        <v>0902</v>
      </c>
      <c r="D2679" s="3" t="e">
        <f>'001'!H2679</f>
        <v>#VALUE!</v>
      </c>
    </row>
    <row r="2680" spans="1:4" x14ac:dyDescent="0.25">
      <c r="A2680" s="1" t="str">
        <f>'001'!B2680</f>
        <v>003878</v>
      </c>
      <c r="B2680" s="1" t="str">
        <f>'001'!C2680</f>
        <v>APLICADOR  MULTIPROPOSITO 3D MULTI PURPOSE - PACK X 2 (G-32)</v>
      </c>
      <c r="C2680" s="1" t="str">
        <f>'001'!D2680</f>
        <v>0191</v>
      </c>
      <c r="D2680" s="3" t="e">
        <f>'001'!H2680</f>
        <v>#VALUE!</v>
      </c>
    </row>
    <row r="2681" spans="1:4" x14ac:dyDescent="0.25">
      <c r="A2681" s="1" t="str">
        <f>'001'!B2681</f>
        <v>003879</v>
      </c>
      <c r="B2681" s="1" t="str">
        <f>'001'!C2681</f>
        <v>TOALLA MICROFIBRA 3D MICROFIBER WEFT TOWEL 70X95 (G-44G)</v>
      </c>
      <c r="C2681" s="1" t="str">
        <f>'001'!D2681</f>
        <v>0902</v>
      </c>
      <c r="D2681" s="3" t="e">
        <f>'001'!H2681</f>
        <v>#VALUE!</v>
      </c>
    </row>
    <row r="2682" spans="1:4" x14ac:dyDescent="0.25">
      <c r="A2682" s="1" t="str">
        <f>'001'!B2682</f>
        <v>003880</v>
      </c>
      <c r="B2682" s="1" t="str">
        <f>'001'!C2682</f>
        <v>MICROFIBRA 3D SUAVE - NEGRA 60X40 G-41B</v>
      </c>
      <c r="C2682" s="1" t="str">
        <f>'001'!D2682</f>
        <v>0191</v>
      </c>
      <c r="D2682" s="3" t="e">
        <f>'001'!H2682</f>
        <v>#VALUE!</v>
      </c>
    </row>
    <row r="2683" spans="1:4" x14ac:dyDescent="0.25">
      <c r="A2683" s="1" t="str">
        <f>'001'!B2683</f>
        <v>003881</v>
      </c>
      <c r="B2683" s="1" t="str">
        <f>'001'!C2683</f>
        <v>MICROFIBRA 3D SUAVE - AMARILLA 60X40 G-41Y</v>
      </c>
      <c r="C2683" s="1" t="str">
        <f>'001'!D2683</f>
        <v>0902</v>
      </c>
      <c r="D2683" s="3" t="e">
        <f>'001'!H2683</f>
        <v>#VALUE!</v>
      </c>
    </row>
    <row r="2684" spans="1:4" x14ac:dyDescent="0.25">
      <c r="A2684" s="1" t="str">
        <f>'001'!B2684</f>
        <v>003882</v>
      </c>
      <c r="B2684" s="1" t="str">
        <f>'001'!C2684</f>
        <v>MICROFIBRA 3D SUAVE - VERDE 60X40 G-41G</v>
      </c>
      <c r="C2684" s="1" t="str">
        <f>'001'!D2684</f>
        <v>0902</v>
      </c>
      <c r="D2684" s="3" t="e">
        <f>'001'!H2684</f>
        <v>#VALUE!</v>
      </c>
    </row>
    <row r="2685" spans="1:4" x14ac:dyDescent="0.25">
      <c r="A2685" s="1" t="str">
        <f>'001'!B2685</f>
        <v>003883</v>
      </c>
      <c r="B2685" s="1" t="str">
        <f>'001'!C2685</f>
        <v>TOALLA MICROFIBRA 3D MICROFIBER TOWELS WAFFLE - CELESTE 60X40 G-42B</v>
      </c>
      <c r="C2685" s="1" t="str">
        <f>'001'!D2685</f>
        <v>0902</v>
      </c>
      <c r="D2685" s="3" t="e">
        <f>'001'!H2685</f>
        <v>#VALUE!</v>
      </c>
    </row>
    <row r="2686" spans="1:4" x14ac:dyDescent="0.25">
      <c r="A2686" s="1" t="str">
        <f>'001'!B2686</f>
        <v>003887</v>
      </c>
      <c r="B2686" s="1" t="str">
        <f>'001'!C2686</f>
        <v>DILUYENTE PARA CEMENTO DE CONTACTO X   1</v>
      </c>
      <c r="C2686" s="1" t="str">
        <f>'001'!D2686</f>
        <v>0186</v>
      </c>
      <c r="D2686" s="3" t="e">
        <f>'001'!H2686</f>
        <v>#VALUE!</v>
      </c>
    </row>
    <row r="2687" spans="1:4" x14ac:dyDescent="0.25">
      <c r="A2687" s="1" t="str">
        <f>'001'!B2687</f>
        <v>003888</v>
      </c>
      <c r="B2687" s="1" t="str">
        <f>'001'!C2687</f>
        <v>GUANTE MICROFIBRA SANDWICH 3D CHENILLE SANDWICH WASH MITT (G-02Y)</v>
      </c>
      <c r="C2687" s="1" t="str">
        <f>'001'!D2687</f>
        <v>0191</v>
      </c>
      <c r="D2687" s="3" t="e">
        <f>'001'!H2687</f>
        <v>#VALUE!</v>
      </c>
    </row>
    <row r="2688" spans="1:4" x14ac:dyDescent="0.25">
      <c r="A2688" s="1" t="str">
        <f>'001'!B2688</f>
        <v>003890</v>
      </c>
      <c r="B2688" s="1" t="str">
        <f>'001'!C2688</f>
        <v>GUANTE ROSA MICROFIBRA 3D MICROFIBER FUZZY ROSA (G-02-01PI)</v>
      </c>
      <c r="C2688" s="1" t="str">
        <f>'001'!D2688</f>
        <v>0902</v>
      </c>
      <c r="D2688" s="3" t="e">
        <f>'001'!H2688</f>
        <v>#VALUE!</v>
      </c>
    </row>
    <row r="2689" spans="1:4" x14ac:dyDescent="0.25">
      <c r="A2689" s="1" t="str">
        <f>'001'!B2689</f>
        <v>003891</v>
      </c>
      <c r="B2689" s="1" t="str">
        <f>'001'!C2689</f>
        <v>PAD LAVADO NARANJA 3D WASH PAD NARANJA (G-02-02OR)</v>
      </c>
      <c r="C2689" s="1" t="str">
        <f>'001'!D2689</f>
        <v>0902</v>
      </c>
      <c r="D2689" s="3" t="e">
        <f>'001'!H2689</f>
        <v>#VALUE!</v>
      </c>
    </row>
    <row r="2690" spans="1:4" x14ac:dyDescent="0.25">
      <c r="A2690" s="1" t="str">
        <f>'001'!B2690</f>
        <v>003892</v>
      </c>
      <c r="B2690" s="1" t="str">
        <f>'001'!C2690</f>
        <v>PAD LAVADO NARANJA 3D WASH PAD ROSA (G-02-02PI)</v>
      </c>
      <c r="C2690" s="1" t="str">
        <f>'001'!D2690</f>
        <v>0902</v>
      </c>
      <c r="D2690" s="3" t="e">
        <f>'001'!H2690</f>
        <v>#VALUE!</v>
      </c>
    </row>
    <row r="2691" spans="1:4" x14ac:dyDescent="0.25">
      <c r="A2691" s="1" t="str">
        <f>'001'!B2691</f>
        <v>003893</v>
      </c>
      <c r="B2691" s="1" t="str">
        <f>'001'!C2691</f>
        <v>3D PAD DE LAVADO DE MICROFIBRAS NARANJA G-45OR</v>
      </c>
      <c r="C2691" s="1" t="str">
        <f>'001'!D2691</f>
        <v>0902</v>
      </c>
      <c r="D2691" s="3" t="e">
        <f>'001'!H2691</f>
        <v>#VALUE!</v>
      </c>
    </row>
    <row r="2692" spans="1:4" x14ac:dyDescent="0.25">
      <c r="A2692" s="1" t="str">
        <f>'001'!B2692</f>
        <v>003894</v>
      </c>
      <c r="B2692" s="1" t="str">
        <f>'001'!C2692</f>
        <v>3D PAD DE LAVADO DE MICROFIBRAS ROSADO (G-45PI)</v>
      </c>
      <c r="C2692" s="1" t="str">
        <f>'001'!D2692</f>
        <v>0902</v>
      </c>
      <c r="D2692" s="3" t="e">
        <f>'001'!H2692</f>
        <v>#VALUE!</v>
      </c>
    </row>
    <row r="2693" spans="1:4" x14ac:dyDescent="0.25">
      <c r="A2693" s="1" t="str">
        <f>'001'!B2693</f>
        <v>003895</v>
      </c>
      <c r="B2693" s="1" t="str">
        <f>'001'!C2693</f>
        <v>CEPILLO ALFOMBRA C/ MANGO 3D - (M-11)</v>
      </c>
      <c r="C2693" s="1" t="str">
        <f>'001'!D2693</f>
        <v>0191</v>
      </c>
      <c r="D2693" s="3" t="e">
        <f>'001'!H2693</f>
        <v>#VALUE!</v>
      </c>
    </row>
    <row r="2694" spans="1:4" x14ac:dyDescent="0.25">
      <c r="A2694" s="1" t="str">
        <f>'001'!B2694</f>
        <v>003896</v>
      </c>
      <c r="B2694" s="1" t="str">
        <f>'001'!C2694</f>
        <v>CEPILLO CERDA PLASTICA 3D BRUSH INT UPHOLSTERY &amp; CARPET - (M-15)</v>
      </c>
      <c r="C2694" s="1" t="str">
        <f>'001'!D2694</f>
        <v>0191</v>
      </c>
      <c r="D2694" s="3" t="e">
        <f>'001'!H2694</f>
        <v>#VALUE!</v>
      </c>
    </row>
    <row r="2695" spans="1:4" x14ac:dyDescent="0.25">
      <c r="A2695" s="1" t="str">
        <f>'001'!B2695</f>
        <v>003897</v>
      </c>
      <c r="B2695" s="1" t="str">
        <f>'001'!C2695</f>
        <v>PINCEL CERDA NEGRA 3D BRUSH VENT &amp; DASH - (M-16L)</v>
      </c>
      <c r="C2695" s="1" t="str">
        <f>'001'!D2695</f>
        <v>0902</v>
      </c>
      <c r="D2695" s="3" t="e">
        <f>'001'!H2695</f>
        <v>#VALUE!</v>
      </c>
    </row>
    <row r="2696" spans="1:4" x14ac:dyDescent="0.25">
      <c r="A2696" s="1" t="str">
        <f>'001'!B2696</f>
        <v>003898</v>
      </c>
      <c r="B2696" s="1" t="str">
        <f>'001'!C2696</f>
        <v>CEPILLO PELO FINO 3D BRUSH UPHOLSTERY - (M-26)</v>
      </c>
      <c r="C2696" s="1" t="str">
        <f>'001'!D2696</f>
        <v>0902</v>
      </c>
      <c r="D2696" s="3" t="e">
        <f>'001'!H2696</f>
        <v>#VALUE!</v>
      </c>
    </row>
    <row r="2697" spans="1:4" x14ac:dyDescent="0.25">
      <c r="A2697" s="1" t="str">
        <f>'001'!B2697</f>
        <v>003913</v>
      </c>
      <c r="B2697" s="1" t="str">
        <f>'001'!C2697</f>
        <v>COLOR TEST ALBA ADOQUIN X 0,030</v>
      </c>
      <c r="C2697" s="1" t="str">
        <f>'001'!D2697</f>
        <v>0902</v>
      </c>
      <c r="D2697" s="3" t="e">
        <f>'001'!H2697</f>
        <v>#VALUE!</v>
      </c>
    </row>
    <row r="2698" spans="1:4" x14ac:dyDescent="0.25">
      <c r="A2698" s="1" t="str">
        <f>'001'!B2698</f>
        <v>003914</v>
      </c>
      <c r="B2698" s="1" t="str">
        <f>'001'!C2698</f>
        <v>COLOR TEST ALBA ADORNO RUPESTRE X 0,030</v>
      </c>
      <c r="C2698" s="1" t="str">
        <f>'001'!D2698</f>
        <v>0902</v>
      </c>
      <c r="D2698" s="3" t="e">
        <f>'001'!H2698</f>
        <v>#VALUE!</v>
      </c>
    </row>
    <row r="2699" spans="1:4" x14ac:dyDescent="0.25">
      <c r="A2699" s="1" t="str">
        <f>'001'!B2699</f>
        <v>003915</v>
      </c>
      <c r="B2699" s="1" t="str">
        <f>'001'!C2699</f>
        <v>COLOR TEST ALBA AGUAMARINA MEDIO X 0,030</v>
      </c>
      <c r="C2699" s="1" t="str">
        <f>'001'!D2699</f>
        <v>0902</v>
      </c>
      <c r="D2699" s="3" t="e">
        <f>'001'!H2699</f>
        <v>#VALUE!</v>
      </c>
    </row>
    <row r="2700" spans="1:4" x14ac:dyDescent="0.25">
      <c r="A2700" s="1" t="str">
        <f>'001'!B2700</f>
        <v>003916</v>
      </c>
      <c r="B2700" s="1" t="str">
        <f>'001'!C2700</f>
        <v>COLOR TEST ALBA AGUAS DE ISLANDIA X 0,030</v>
      </c>
      <c r="C2700" s="1" t="str">
        <f>'001'!D2700</f>
        <v>0902</v>
      </c>
      <c r="D2700" s="3" t="e">
        <f>'001'!H2700</f>
        <v>#VALUE!</v>
      </c>
    </row>
    <row r="2701" spans="1:4" x14ac:dyDescent="0.25">
      <c r="A2701" s="1" t="str">
        <f>'001'!B2701</f>
        <v>003917</v>
      </c>
      <c r="B2701" s="1" t="str">
        <f>'001'!C2701</f>
        <v>COLOR TEST ALBA AZUL COSMICO X 0,030</v>
      </c>
      <c r="C2701" s="1" t="str">
        <f>'001'!D2701</f>
        <v>0902</v>
      </c>
      <c r="D2701" s="3" t="e">
        <f>'001'!H2701</f>
        <v>#VALUE!</v>
      </c>
    </row>
    <row r="2702" spans="1:4" x14ac:dyDescent="0.25">
      <c r="A2702" s="1" t="str">
        <f>'001'!B2702</f>
        <v>003918</v>
      </c>
      <c r="B2702" s="1" t="str">
        <f>'001'!C2702</f>
        <v>COLOR TEST ALBA AZUL DICHA X 0,030</v>
      </c>
      <c r="C2702" s="1" t="str">
        <f>'001'!D2702</f>
        <v>0902</v>
      </c>
      <c r="D2702" s="3" t="e">
        <f>'001'!H2702</f>
        <v>#VALUE!</v>
      </c>
    </row>
    <row r="2703" spans="1:4" x14ac:dyDescent="0.25">
      <c r="A2703" s="1" t="str">
        <f>'001'!B2703</f>
        <v>003919</v>
      </c>
      <c r="B2703" s="1" t="str">
        <f>'001'!C2703</f>
        <v>COLOR TEST ALBA AZUL FERIADO X 0,030</v>
      </c>
      <c r="C2703" s="1" t="str">
        <f>'001'!D2703</f>
        <v>0902</v>
      </c>
      <c r="D2703" s="3" t="e">
        <f>'001'!H2703</f>
        <v>#VALUE!</v>
      </c>
    </row>
    <row r="2704" spans="1:4" x14ac:dyDescent="0.25">
      <c r="A2704" s="1" t="str">
        <f>'001'!B2704</f>
        <v>003920</v>
      </c>
      <c r="B2704" s="1" t="str">
        <f>'001'!C2704</f>
        <v>COLOR TEST ALBA AZUL MOVIMIENTO X 0,030</v>
      </c>
      <c r="C2704" s="1" t="str">
        <f>'001'!D2704</f>
        <v>0902</v>
      </c>
      <c r="D2704" s="3" t="e">
        <f>'001'!H2704</f>
        <v>#VALUE!</v>
      </c>
    </row>
    <row r="2705" spans="1:4" x14ac:dyDescent="0.25">
      <c r="A2705" s="1" t="str">
        <f>'001'!B2705</f>
        <v>003921</v>
      </c>
      <c r="B2705" s="1" t="str">
        <f>'001'!C2705</f>
        <v>COLOR TEST ALBA BANO RELAJANTE X 0,030</v>
      </c>
      <c r="C2705" s="1" t="str">
        <f>'001'!D2705</f>
        <v>0902</v>
      </c>
      <c r="D2705" s="3" t="e">
        <f>'001'!H2705</f>
        <v>#VALUE!</v>
      </c>
    </row>
    <row r="2706" spans="1:4" x14ac:dyDescent="0.25">
      <c r="A2706" s="1" t="str">
        <f>'001'!B2706</f>
        <v>003922</v>
      </c>
      <c r="B2706" s="1" t="str">
        <f>'001'!C2706</f>
        <v>COLOR TEST ALBA BARRO X 0,030</v>
      </c>
      <c r="C2706" s="1" t="str">
        <f>'001'!D2706</f>
        <v>0902</v>
      </c>
      <c r="D2706" s="3" t="e">
        <f>'001'!H2706</f>
        <v>#VALUE!</v>
      </c>
    </row>
    <row r="2707" spans="1:4" x14ac:dyDescent="0.25">
      <c r="A2707" s="1" t="str">
        <f>'001'!B2707</f>
        <v>003923</v>
      </c>
      <c r="B2707" s="1" t="str">
        <f>'001'!C2707</f>
        <v>COLOR TEST ALBA BEGONIA OSADA X 0,030</v>
      </c>
      <c r="C2707" s="1" t="str">
        <f>'001'!D2707</f>
        <v>0902</v>
      </c>
      <c r="D2707" s="3" t="e">
        <f>'001'!H2707</f>
        <v>#VALUE!</v>
      </c>
    </row>
    <row r="2708" spans="1:4" x14ac:dyDescent="0.25">
      <c r="A2708" s="1" t="str">
        <f>'001'!B2708</f>
        <v>003924</v>
      </c>
      <c r="B2708" s="1" t="str">
        <f>'001'!C2708</f>
        <v>COLOR TEST ALBA BORGONA X 0,030</v>
      </c>
      <c r="C2708" s="1" t="str">
        <f>'001'!D2708</f>
        <v>0902</v>
      </c>
      <c r="D2708" s="3" t="e">
        <f>'001'!H2708</f>
        <v>#VALUE!</v>
      </c>
    </row>
    <row r="2709" spans="1:4" x14ac:dyDescent="0.25">
      <c r="A2709" s="1" t="str">
        <f>'001'!B2709</f>
        <v>003925</v>
      </c>
      <c r="B2709" s="1" t="str">
        <f>'001'!C2709</f>
        <v>COLOR TEST ALBA BOTIN DE ORO X 0,030</v>
      </c>
      <c r="C2709" s="1" t="str">
        <f>'001'!D2709</f>
        <v>0902</v>
      </c>
      <c r="D2709" s="3" t="e">
        <f>'001'!H2709</f>
        <v>#VALUE!</v>
      </c>
    </row>
    <row r="2710" spans="1:4" x14ac:dyDescent="0.25">
      <c r="A2710" s="1" t="str">
        <f>'001'!B2710</f>
        <v>003926</v>
      </c>
      <c r="B2710" s="1" t="str">
        <f>'001'!C2710</f>
        <v>COLOR TEST ALBA BRONCEADO DE VERANO X 0,030</v>
      </c>
      <c r="C2710" s="1" t="str">
        <f>'001'!D2710</f>
        <v>0902</v>
      </c>
      <c r="D2710" s="3" t="e">
        <f>'001'!H2710</f>
        <v>#VALUE!</v>
      </c>
    </row>
    <row r="2711" spans="1:4" x14ac:dyDescent="0.25">
      <c r="A2711" s="1" t="str">
        <f>'001'!B2711</f>
        <v>003927</v>
      </c>
      <c r="B2711" s="1" t="str">
        <f>'001'!C2711</f>
        <v>COLOR TEST ALBA BURBUJA DE CHOCOLATE X 0,030</v>
      </c>
      <c r="C2711" s="1" t="str">
        <f>'001'!D2711</f>
        <v>0902</v>
      </c>
      <c r="D2711" s="3" t="e">
        <f>'001'!H2711</f>
        <v>#VALUE!</v>
      </c>
    </row>
    <row r="2712" spans="1:4" x14ac:dyDescent="0.25">
      <c r="A2712" s="1" t="str">
        <f>'001'!B2712</f>
        <v>003928</v>
      </c>
      <c r="B2712" s="1" t="str">
        <f>'001'!C2712</f>
        <v>COLOR TEST ALBA CAMINATAS OTONALES X 0,030</v>
      </c>
      <c r="C2712" s="1" t="str">
        <f>'001'!D2712</f>
        <v>0902</v>
      </c>
      <c r="D2712" s="3" t="e">
        <f>'001'!H2712</f>
        <v>#VALUE!</v>
      </c>
    </row>
    <row r="2713" spans="1:4" x14ac:dyDescent="0.25">
      <c r="A2713" s="1" t="str">
        <f>'001'!B2713</f>
        <v>003929</v>
      </c>
      <c r="B2713" s="1" t="str">
        <f>'001'!C2713</f>
        <v>COLOR TEST ALBA CANTO DE PAVO REAL X 0,030</v>
      </c>
      <c r="C2713" s="1" t="str">
        <f>'001'!D2713</f>
        <v>0902</v>
      </c>
      <c r="D2713" s="3" t="e">
        <f>'001'!H2713</f>
        <v>#VALUE!</v>
      </c>
    </row>
    <row r="2714" spans="1:4" x14ac:dyDescent="0.25">
      <c r="A2714" s="1" t="str">
        <f>'001'!B2714</f>
        <v>003930</v>
      </c>
      <c r="B2714" s="1" t="str">
        <f>'001'!C2714</f>
        <v>COLOR TEST ALBA CAOBA IMPONENTE X 0,030</v>
      </c>
      <c r="C2714" s="1" t="str">
        <f>'001'!D2714</f>
        <v>0902</v>
      </c>
      <c r="D2714" s="3" t="e">
        <f>'001'!H2714</f>
        <v>#VALUE!</v>
      </c>
    </row>
    <row r="2715" spans="1:4" x14ac:dyDescent="0.25">
      <c r="A2715" s="1" t="str">
        <f>'001'!B2715</f>
        <v>003931</v>
      </c>
      <c r="B2715" s="1" t="str">
        <f>'001'!C2715</f>
        <v>COLOR TEST ALBA CARAMELO CROCANTE X 0,030</v>
      </c>
      <c r="C2715" s="1" t="str">
        <f>'001'!D2715</f>
        <v>0902</v>
      </c>
      <c r="D2715" s="3" t="e">
        <f>'001'!H2715</f>
        <v>#VALUE!</v>
      </c>
    </row>
    <row r="2716" spans="1:4" x14ac:dyDescent="0.25">
      <c r="A2716" s="1" t="str">
        <f>'001'!B2716</f>
        <v>003932</v>
      </c>
      <c r="B2716" s="1" t="str">
        <f>'001'!C2716</f>
        <v>COLOR TEST ALBA CASTILLLO DEL DESIERTO X 0,030</v>
      </c>
      <c r="C2716" s="1" t="str">
        <f>'001'!D2716</f>
        <v>0902</v>
      </c>
      <c r="D2716" s="3" t="e">
        <f>'001'!H2716</f>
        <v>#VALUE!</v>
      </c>
    </row>
    <row r="2717" spans="1:4" x14ac:dyDescent="0.25">
      <c r="A2717" s="1" t="str">
        <f>'001'!B2717</f>
        <v>003933</v>
      </c>
      <c r="B2717" s="1" t="str">
        <f>'001'!C2717</f>
        <v>COLOR TEST ALBA CATARATAS DE PASION X 0,030</v>
      </c>
      <c r="C2717" s="1" t="str">
        <f>'001'!D2717</f>
        <v>0902</v>
      </c>
      <c r="D2717" s="3" t="e">
        <f>'001'!H2717</f>
        <v>#VALUE!</v>
      </c>
    </row>
    <row r="2718" spans="1:4" x14ac:dyDescent="0.25">
      <c r="A2718" s="1" t="str">
        <f>'001'!B2718</f>
        <v>003934</v>
      </c>
      <c r="B2718" s="1" t="str">
        <f>'001'!C2718</f>
        <v>COLOR TEST ALBA CELESTER FLORECIENTE X 0,030</v>
      </c>
      <c r="C2718" s="1" t="str">
        <f>'001'!D2718</f>
        <v>0902</v>
      </c>
      <c r="D2718" s="3" t="e">
        <f>'001'!H2718</f>
        <v>#VALUE!</v>
      </c>
    </row>
    <row r="2719" spans="1:4" x14ac:dyDescent="0.25">
      <c r="A2719" s="1" t="str">
        <f>'001'!B2719</f>
        <v>003935</v>
      </c>
      <c r="B2719" s="1" t="str">
        <f>'001'!C2719</f>
        <v>COLOR TEST ALBA CEMENTO QUEMADO X 0,030</v>
      </c>
      <c r="C2719" s="1" t="str">
        <f>'001'!D2719</f>
        <v>0902</v>
      </c>
      <c r="D2719" s="3" t="e">
        <f>'001'!H2719</f>
        <v>#VALUE!</v>
      </c>
    </row>
    <row r="2720" spans="1:4" x14ac:dyDescent="0.25">
      <c r="A2720" s="1" t="str">
        <f>'001'!B2720</f>
        <v>003936</v>
      </c>
      <c r="B2720" s="1" t="str">
        <f>'001'!C2720</f>
        <v>COLOR TEST ALBA CINTA VIOLETA X 0,030</v>
      </c>
      <c r="C2720" s="1" t="str">
        <f>'001'!D2720</f>
        <v>0902</v>
      </c>
      <c r="D2720" s="3" t="e">
        <f>'001'!H2720</f>
        <v>#VALUE!</v>
      </c>
    </row>
    <row r="2721" spans="1:4" x14ac:dyDescent="0.25">
      <c r="A2721" s="1" t="str">
        <f>'001'!B2721</f>
        <v>003937</v>
      </c>
      <c r="B2721" s="1" t="str">
        <f>'001'!C2721</f>
        <v>COLOR TEST ALBA COSTA DE PELICANOS X 0,030</v>
      </c>
      <c r="C2721" s="1" t="str">
        <f>'001'!D2721</f>
        <v>0902</v>
      </c>
      <c r="D2721" s="3" t="e">
        <f>'001'!H2721</f>
        <v>#VALUE!</v>
      </c>
    </row>
    <row r="2722" spans="1:4" x14ac:dyDescent="0.25">
      <c r="A2722" s="1" t="str">
        <f>'001'!B2722</f>
        <v>003938</v>
      </c>
      <c r="B2722" s="1" t="str">
        <f>'001'!C2722</f>
        <v>COLOR TEST ALBA DIA FELIZ X 0,030</v>
      </c>
      <c r="C2722" s="1" t="str">
        <f>'001'!D2722</f>
        <v>0902</v>
      </c>
      <c r="D2722" s="3" t="e">
        <f>'001'!H2722</f>
        <v>#VALUE!</v>
      </c>
    </row>
    <row r="2723" spans="1:4" x14ac:dyDescent="0.25">
      <c r="A2723" s="1" t="str">
        <f>'001'!B2723</f>
        <v>003939</v>
      </c>
      <c r="B2723" s="1" t="str">
        <f>'001'!C2723</f>
        <v>COLOR TEST ALBA DIGNIDAD X 0,030</v>
      </c>
      <c r="C2723" s="1" t="str">
        <f>'001'!D2723</f>
        <v>0902</v>
      </c>
      <c r="D2723" s="3" t="e">
        <f>'001'!H2723</f>
        <v>#VALUE!</v>
      </c>
    </row>
    <row r="2724" spans="1:4" x14ac:dyDescent="0.25">
      <c r="A2724" s="1" t="str">
        <f>'001'!B2724</f>
        <v>003940</v>
      </c>
      <c r="B2724" s="1" t="str">
        <f>'001'!C2724</f>
        <v>COLOR TEST ALBA DURAZNO CALIDO X 0,030</v>
      </c>
      <c r="C2724" s="1" t="str">
        <f>'001'!D2724</f>
        <v>0902</v>
      </c>
      <c r="D2724" s="3" t="e">
        <f>'001'!H2724</f>
        <v>#VALUE!</v>
      </c>
    </row>
    <row r="2725" spans="1:4" x14ac:dyDescent="0.25">
      <c r="A2725" s="1" t="str">
        <f>'001'!B2725</f>
        <v>003941</v>
      </c>
      <c r="B2725" s="1" t="str">
        <f>'001'!C2725</f>
        <v>COLOR TEST ALBA DURAZNO DELICIOSO X 0,030</v>
      </c>
      <c r="C2725" s="1" t="str">
        <f>'001'!D2725</f>
        <v>0902</v>
      </c>
      <c r="D2725" s="3" t="e">
        <f>'001'!H2725</f>
        <v>#VALUE!</v>
      </c>
    </row>
    <row r="2726" spans="1:4" x14ac:dyDescent="0.25">
      <c r="A2726" s="1" t="str">
        <f>'001'!B2726</f>
        <v>003942</v>
      </c>
      <c r="B2726" s="1" t="str">
        <f>'001'!C2726</f>
        <v>COLOR TEST ALBA ESPECIA FUERTE X 0,030</v>
      </c>
      <c r="C2726" s="1" t="str">
        <f>'001'!D2726</f>
        <v>0902</v>
      </c>
      <c r="D2726" s="3" t="e">
        <f>'001'!H2726</f>
        <v>#VALUE!</v>
      </c>
    </row>
    <row r="2727" spans="1:4" x14ac:dyDescent="0.25">
      <c r="A2727" s="1" t="str">
        <f>'001'!B2727</f>
        <v>003943</v>
      </c>
      <c r="B2727" s="1" t="str">
        <f>'001'!C2727</f>
        <v>COLOR TEST ALBA ESPIRITU DE SEDUCCION X 0,030</v>
      </c>
      <c r="C2727" s="1" t="str">
        <f>'001'!D2727</f>
        <v>0902</v>
      </c>
      <c r="D2727" s="3" t="e">
        <f>'001'!H2727</f>
        <v>#VALUE!</v>
      </c>
    </row>
    <row r="2728" spans="1:4" x14ac:dyDescent="0.25">
      <c r="A2728" s="1" t="str">
        <f>'001'!B2728</f>
        <v>003944</v>
      </c>
      <c r="B2728" s="1" t="str">
        <f>'001'!C2728</f>
        <v>COLOR TEST ALBA ESTALLIDO ESTELAR X 0,030</v>
      </c>
      <c r="C2728" s="1" t="str">
        <f>'001'!D2728</f>
        <v>0902</v>
      </c>
      <c r="D2728" s="3" t="e">
        <f>'001'!H2728</f>
        <v>#VALUE!</v>
      </c>
    </row>
    <row r="2729" spans="1:4" x14ac:dyDescent="0.25">
      <c r="A2729" s="1" t="str">
        <f>'001'!B2729</f>
        <v>003945</v>
      </c>
      <c r="B2729" s="1" t="str">
        <f>'001'!C2729</f>
        <v>COLOR TEST ALBA EXPLOSION DE GRIS X 0,030</v>
      </c>
      <c r="C2729" s="1" t="str">
        <f>'001'!D2729</f>
        <v>0902</v>
      </c>
      <c r="D2729" s="3" t="e">
        <f>'001'!H2729</f>
        <v>#VALUE!</v>
      </c>
    </row>
    <row r="2730" spans="1:4" x14ac:dyDescent="0.25">
      <c r="A2730" s="1" t="str">
        <f>'001'!B2730</f>
        <v>003946</v>
      </c>
      <c r="B2730" s="1" t="str">
        <f>'001'!C2730</f>
        <v>COLOR TEST ALBA FANTASIA DEL BOSQUE X 0,030</v>
      </c>
      <c r="C2730" s="1" t="str">
        <f>'001'!D2730</f>
        <v>0902</v>
      </c>
      <c r="D2730" s="3" t="e">
        <f>'001'!H2730</f>
        <v>#VALUE!</v>
      </c>
    </row>
    <row r="2731" spans="1:4" x14ac:dyDescent="0.25">
      <c r="A2731" s="1" t="str">
        <f>'001'!B2731</f>
        <v>003947</v>
      </c>
      <c r="B2731" s="1" t="str">
        <f>'001'!C2731</f>
        <v>COLOR TEST ALBA FANTASTICO FOLLAJE X 0,030</v>
      </c>
      <c r="C2731" s="1" t="str">
        <f>'001'!D2731</f>
        <v>0902</v>
      </c>
      <c r="D2731" s="3" t="e">
        <f>'001'!H2731</f>
        <v>#VALUE!</v>
      </c>
    </row>
    <row r="2732" spans="1:4" x14ac:dyDescent="0.25">
      <c r="A2732" s="1" t="str">
        <f>'001'!B2732</f>
        <v>003948</v>
      </c>
      <c r="B2732" s="1" t="str">
        <f>'001'!C2732</f>
        <v>COLOR TEST ALBA FIESTA PRIMAVERAL X 0,030</v>
      </c>
      <c r="C2732" s="1" t="str">
        <f>'001'!D2732</f>
        <v>0902</v>
      </c>
      <c r="D2732" s="3" t="e">
        <f>'001'!H2732</f>
        <v>#VALUE!</v>
      </c>
    </row>
    <row r="2733" spans="1:4" x14ac:dyDescent="0.25">
      <c r="A2733" s="1" t="str">
        <f>'001'!B2733</f>
        <v>003949</v>
      </c>
      <c r="B2733" s="1" t="str">
        <f>'001'!C2733</f>
        <v>COLOR TEST ALBA FLOR DE NARANJA X 0,030</v>
      </c>
      <c r="C2733" s="1" t="str">
        <f>'001'!D2733</f>
        <v>0902</v>
      </c>
      <c r="D2733" s="3" t="e">
        <f>'001'!H2733</f>
        <v>#VALUE!</v>
      </c>
    </row>
    <row r="2734" spans="1:4" x14ac:dyDescent="0.25">
      <c r="A2734" s="1" t="str">
        <f>'001'!B2734</f>
        <v>003950</v>
      </c>
      <c r="B2734" s="1" t="str">
        <f>'001'!C2734</f>
        <v>COLOR TEST ALBA FLORECER DE SETIEMBRE X 0,030</v>
      </c>
      <c r="C2734" s="1" t="str">
        <f>'001'!D2734</f>
        <v>0902</v>
      </c>
      <c r="D2734" s="3" t="e">
        <f>'001'!H2734</f>
        <v>#VALUE!</v>
      </c>
    </row>
    <row r="2735" spans="1:4" x14ac:dyDescent="0.25">
      <c r="A2735" s="1" t="str">
        <f>'001'!B2735</f>
        <v>003951</v>
      </c>
      <c r="B2735" s="1" t="str">
        <f>'001'!C2735</f>
        <v>COLOR TEST ALBA FUGA DEL TIEMPO X 0,030</v>
      </c>
      <c r="C2735" s="1" t="str">
        <f>'001'!D2735</f>
        <v>0902</v>
      </c>
      <c r="D2735" s="3" t="e">
        <f>'001'!H2735</f>
        <v>#VALUE!</v>
      </c>
    </row>
    <row r="2736" spans="1:4" x14ac:dyDescent="0.25">
      <c r="A2736" s="1" t="str">
        <f>'001'!B2736</f>
        <v>003952</v>
      </c>
      <c r="B2736" s="1" t="str">
        <f>'001'!C2736</f>
        <v>COLOR TEST ALBA GAMUZA ROSA X 0,030</v>
      </c>
      <c r="C2736" s="1" t="str">
        <f>'001'!D2736</f>
        <v>0902</v>
      </c>
      <c r="D2736" s="3" t="e">
        <f>'001'!H2736</f>
        <v>#VALUE!</v>
      </c>
    </row>
    <row r="2737" spans="1:4" x14ac:dyDescent="0.25">
      <c r="A2737" s="1" t="str">
        <f>'001'!B2737</f>
        <v>003953</v>
      </c>
      <c r="B2737" s="1" t="str">
        <f>'001'!C2737</f>
        <v>COLOR TEST ALBA GRANITO HUMEDO X 0,030</v>
      </c>
      <c r="C2737" s="1" t="str">
        <f>'001'!D2737</f>
        <v>0902</v>
      </c>
      <c r="D2737" s="3" t="e">
        <f>'001'!H2737</f>
        <v>#VALUE!</v>
      </c>
    </row>
    <row r="2738" spans="1:4" x14ac:dyDescent="0.25">
      <c r="A2738" s="1" t="str">
        <f>'001'!B2738</f>
        <v>003954</v>
      </c>
      <c r="B2738" s="1" t="str">
        <f>'001'!C2738</f>
        <v>COLOR TEST ALBA GRIS AZULADO X 0,030</v>
      </c>
      <c r="C2738" s="1" t="str">
        <f>'001'!D2738</f>
        <v>0902</v>
      </c>
      <c r="D2738" s="3" t="e">
        <f>'001'!H2738</f>
        <v>#VALUE!</v>
      </c>
    </row>
    <row r="2739" spans="1:4" x14ac:dyDescent="0.25">
      <c r="A2739" s="1" t="str">
        <f>'001'!B2739</f>
        <v>003955</v>
      </c>
      <c r="B2739" s="1" t="str">
        <f>'001'!C2739</f>
        <v>COLOR TEST ALBA GRIS CABLE X 0,030</v>
      </c>
      <c r="C2739" s="1" t="str">
        <f>'001'!D2739</f>
        <v>0902</v>
      </c>
      <c r="D2739" s="3" t="e">
        <f>'001'!H2739</f>
        <v>#VALUE!</v>
      </c>
    </row>
    <row r="2740" spans="1:4" x14ac:dyDescent="0.25">
      <c r="A2740" s="1" t="str">
        <f>'001'!B2740</f>
        <v>003956</v>
      </c>
      <c r="B2740" s="1" t="str">
        <f>'001'!C2740</f>
        <v>COLOR TEST ALBA GRIS EXOTICO X 0,030</v>
      </c>
      <c r="C2740" s="1" t="str">
        <f>'001'!D2740</f>
        <v>0902</v>
      </c>
      <c r="D2740" s="3" t="e">
        <f>'001'!H2740</f>
        <v>#VALUE!</v>
      </c>
    </row>
    <row r="2741" spans="1:4" x14ac:dyDescent="0.25">
      <c r="A2741" s="1" t="str">
        <f>'001'!B2741</f>
        <v>003957</v>
      </c>
      <c r="B2741" s="1" t="str">
        <f>'001'!C2741</f>
        <v>COLOR TEST ALBA GRIS GENEROSO X 0,030</v>
      </c>
      <c r="C2741" s="1" t="str">
        <f>'001'!D2741</f>
        <v>0902</v>
      </c>
      <c r="D2741" s="3" t="e">
        <f>'001'!H2741</f>
        <v>#VALUE!</v>
      </c>
    </row>
    <row r="2742" spans="1:4" x14ac:dyDescent="0.25">
      <c r="A2742" s="1" t="str">
        <f>'001'!B2742</f>
        <v>003958</v>
      </c>
      <c r="B2742" s="1" t="str">
        <f>'001'!C2742</f>
        <v>COLOR TEST ALBA GRIS NIEBLA X 0,030</v>
      </c>
      <c r="C2742" s="1" t="str">
        <f>'001'!D2742</f>
        <v>0902</v>
      </c>
      <c r="D2742" s="3" t="e">
        <f>'001'!H2742</f>
        <v>#VALUE!</v>
      </c>
    </row>
    <row r="2743" spans="1:4" x14ac:dyDescent="0.25">
      <c r="A2743" s="1" t="str">
        <f>'001'!B2743</f>
        <v>003959</v>
      </c>
      <c r="B2743" s="1" t="str">
        <f>'001'!C2743</f>
        <v>COLOR TEST ALBA GRIS NOBLE X 0,030</v>
      </c>
      <c r="C2743" s="1" t="str">
        <f>'001'!D2743</f>
        <v>0902</v>
      </c>
      <c r="D2743" s="3" t="e">
        <f>'001'!H2743</f>
        <v>#VALUE!</v>
      </c>
    </row>
    <row r="2744" spans="1:4" x14ac:dyDescent="0.25">
      <c r="A2744" s="1" t="str">
        <f>'001'!B2744</f>
        <v>003960</v>
      </c>
      <c r="B2744" s="1" t="str">
        <f>'001'!C2744</f>
        <v>COLOR TEST ALBA GRIS PLATA X 0,030</v>
      </c>
      <c r="C2744" s="1" t="str">
        <f>'001'!D2744</f>
        <v>0902</v>
      </c>
      <c r="D2744" s="3" t="e">
        <f>'001'!H2744</f>
        <v>#VALUE!</v>
      </c>
    </row>
    <row r="2745" spans="1:4" x14ac:dyDescent="0.25">
      <c r="A2745" s="1" t="str">
        <f>'001'!B2745</f>
        <v>003961</v>
      </c>
      <c r="B2745" s="1" t="str">
        <f>'001'!C2745</f>
        <v>COLOR TEST ALBA LANGOSTA X 0,030</v>
      </c>
      <c r="C2745" s="1" t="str">
        <f>'001'!D2745</f>
        <v>0902</v>
      </c>
      <c r="D2745" s="3" t="e">
        <f>'001'!H2745</f>
        <v>#VALUE!</v>
      </c>
    </row>
    <row r="2746" spans="1:4" x14ac:dyDescent="0.25">
      <c r="A2746" s="1" t="str">
        <f>'001'!B2746</f>
        <v>003962</v>
      </c>
      <c r="B2746" s="1" t="str">
        <f>'001'!C2746</f>
        <v>COLOR TEST ALBA LENO HUMEANTE X 0,030</v>
      </c>
      <c r="C2746" s="1" t="str">
        <f>'001'!D2746</f>
        <v>0902</v>
      </c>
      <c r="D2746" s="3" t="e">
        <f>'001'!H2746</f>
        <v>#VALUE!</v>
      </c>
    </row>
    <row r="2747" spans="1:4" x14ac:dyDescent="0.25">
      <c r="A2747" s="1" t="str">
        <f>'001'!B2747</f>
        <v>003963</v>
      </c>
      <c r="B2747" s="1" t="str">
        <f>'001'!C2747</f>
        <v>COLOR TEST ALBA MAR SOLENCIOSO X 0,030</v>
      </c>
      <c r="C2747" s="1" t="str">
        <f>'001'!D2747</f>
        <v>0902</v>
      </c>
      <c r="D2747" s="3" t="e">
        <f>'001'!H2747</f>
        <v>#VALUE!</v>
      </c>
    </row>
    <row r="2748" spans="1:4" x14ac:dyDescent="0.25">
      <c r="A2748" s="1" t="str">
        <f>'001'!B2748</f>
        <v>003964</v>
      </c>
      <c r="B2748" s="1" t="str">
        <f>'001'!C2748</f>
        <v>COLOR TEST ALBA MAR TURBULENTO X 0,030</v>
      </c>
      <c r="C2748" s="1" t="str">
        <f>'001'!D2748</f>
        <v>0902</v>
      </c>
      <c r="D2748" s="3" t="e">
        <f>'001'!H2748</f>
        <v>#VALUE!</v>
      </c>
    </row>
    <row r="2749" spans="1:4" x14ac:dyDescent="0.25">
      <c r="A2749" s="1" t="str">
        <f>'001'!B2749</f>
        <v>003965</v>
      </c>
      <c r="B2749" s="1" t="str">
        <f>'001'!C2749</f>
        <v>COLOR TEST ALBA MARRON HABANA X 0,030</v>
      </c>
      <c r="C2749" s="1" t="str">
        <f>'001'!D2749</f>
        <v>0902</v>
      </c>
      <c r="D2749" s="3" t="e">
        <f>'001'!H2749</f>
        <v>#VALUE!</v>
      </c>
    </row>
    <row r="2750" spans="1:4" x14ac:dyDescent="0.25">
      <c r="A2750" s="1" t="str">
        <f>'001'!B2750</f>
        <v>003966</v>
      </c>
      <c r="B2750" s="1" t="str">
        <f>'001'!C2750</f>
        <v>COLOR TEST ALBA MINA DE GRAVA X 0,030</v>
      </c>
      <c r="C2750" s="1" t="str">
        <f>'001'!D2750</f>
        <v>0902</v>
      </c>
      <c r="D2750" s="3" t="e">
        <f>'001'!H2750</f>
        <v>#VALUE!</v>
      </c>
    </row>
    <row r="2751" spans="1:4" x14ac:dyDescent="0.25">
      <c r="A2751" s="1" t="str">
        <f>'001'!B2751</f>
        <v>003967</v>
      </c>
      <c r="B2751" s="1" t="str">
        <f>'001'!C2751</f>
        <v>COLOR TEST ALBA MISTICO X 0,030</v>
      </c>
      <c r="C2751" s="1" t="str">
        <f>'001'!D2751</f>
        <v>0902</v>
      </c>
      <c r="D2751" s="3" t="e">
        <f>'001'!H2751</f>
        <v>#VALUE!</v>
      </c>
    </row>
    <row r="2752" spans="1:4" x14ac:dyDescent="0.25">
      <c r="A2752" s="1" t="str">
        <f>'001'!B2752</f>
        <v>003968</v>
      </c>
      <c r="B2752" s="1" t="str">
        <f>'001'!C2752</f>
        <v>COLOR TEST ALBA MOMENTO DE GRIS X 0,030</v>
      </c>
      <c r="C2752" s="1" t="str">
        <f>'001'!D2752</f>
        <v>0902</v>
      </c>
      <c r="D2752" s="3" t="e">
        <f>'001'!H2752</f>
        <v>#VALUE!</v>
      </c>
    </row>
    <row r="2753" spans="1:4" x14ac:dyDescent="0.25">
      <c r="A2753" s="1" t="str">
        <f>'001'!B2753</f>
        <v>003969</v>
      </c>
      <c r="B2753" s="1" t="str">
        <f>'001'!C2753</f>
        <v>COLOR TEST ALBA MOSTAZA TENUE X 0,030</v>
      </c>
      <c r="C2753" s="1" t="str">
        <f>'001'!D2753</f>
        <v>0902</v>
      </c>
      <c r="D2753" s="3" t="e">
        <f>'001'!H2753</f>
        <v>#VALUE!</v>
      </c>
    </row>
    <row r="2754" spans="1:4" x14ac:dyDescent="0.25">
      <c r="A2754" s="1" t="str">
        <f>'001'!B2754</f>
        <v>003970</v>
      </c>
      <c r="B2754" s="1" t="str">
        <f>'001'!C2754</f>
        <v>COLOR TEST ALBA MOUSSE DE GALLETITA X 0,030</v>
      </c>
      <c r="C2754" s="1" t="str">
        <f>'001'!D2754</f>
        <v>0902</v>
      </c>
      <c r="D2754" s="3" t="e">
        <f>'001'!H2754</f>
        <v>#VALUE!</v>
      </c>
    </row>
    <row r="2755" spans="1:4" x14ac:dyDescent="0.25">
      <c r="A2755" s="1" t="str">
        <f>'001'!B2755</f>
        <v>003971</v>
      </c>
      <c r="B2755" s="1" t="str">
        <f>'001'!C2755</f>
        <v>COLOR TEST ALBA NATURAL URBANO X 0,030</v>
      </c>
      <c r="C2755" s="1" t="str">
        <f>'001'!D2755</f>
        <v>0902</v>
      </c>
      <c r="D2755" s="3" t="e">
        <f>'001'!H2755</f>
        <v>#VALUE!</v>
      </c>
    </row>
    <row r="2756" spans="1:4" x14ac:dyDescent="0.25">
      <c r="A2756" s="1" t="str">
        <f>'001'!B2756</f>
        <v>003972</v>
      </c>
      <c r="B2756" s="1" t="str">
        <f>'001'!C2756</f>
        <v>COLOR TEST ALBA NAVIOS EN EL MAR X 0,030</v>
      </c>
      <c r="C2756" s="1" t="str">
        <f>'001'!D2756</f>
        <v>0902</v>
      </c>
      <c r="D2756" s="3" t="e">
        <f>'001'!H2756</f>
        <v>#VALUE!</v>
      </c>
    </row>
    <row r="2757" spans="1:4" x14ac:dyDescent="0.25">
      <c r="A2757" s="1" t="str">
        <f>'001'!B2757</f>
        <v>003973</v>
      </c>
      <c r="B2757" s="1" t="str">
        <f>'001'!C2757</f>
        <v>COLOR TEST ALBA NUEVO ROCIO X 0,030</v>
      </c>
      <c r="C2757" s="1" t="str">
        <f>'001'!D2757</f>
        <v>0902</v>
      </c>
      <c r="D2757" s="3" t="e">
        <f>'001'!H2757</f>
        <v>#VALUE!</v>
      </c>
    </row>
    <row r="2758" spans="1:4" x14ac:dyDescent="0.25">
      <c r="A2758" s="1" t="str">
        <f>'001'!B2758</f>
        <v>003974</v>
      </c>
      <c r="B2758" s="1" t="str">
        <f>'001'!C2758</f>
        <v>COLOR TEST ALBA OSCURA TORMENTA X 0,030</v>
      </c>
      <c r="C2758" s="1" t="str">
        <f>'001'!D2758</f>
        <v>0902</v>
      </c>
      <c r="D2758" s="3" t="e">
        <f>'001'!H2758</f>
        <v>#VALUE!</v>
      </c>
    </row>
    <row r="2759" spans="1:4" x14ac:dyDescent="0.25">
      <c r="A2759" s="1" t="str">
        <f>'001'!B2759</f>
        <v>003975</v>
      </c>
      <c r="B2759" s="1" t="str">
        <f>'001'!C2759</f>
        <v>COLOR TEST ALBA PALTA INTENSO X 0,030</v>
      </c>
      <c r="C2759" s="1" t="str">
        <f>'001'!D2759</f>
        <v>0902</v>
      </c>
      <c r="D2759" s="3" t="e">
        <f>'001'!H2759</f>
        <v>#VALUE!</v>
      </c>
    </row>
    <row r="2760" spans="1:4" x14ac:dyDescent="0.25">
      <c r="A2760" s="1" t="str">
        <f>'001'!B2760</f>
        <v>003976</v>
      </c>
      <c r="B2760" s="1" t="str">
        <f>'001'!C2760</f>
        <v>COLOR TEST ALBA PASA DE UVA X 0,030</v>
      </c>
      <c r="C2760" s="1" t="str">
        <f>'001'!D2760</f>
        <v>0902</v>
      </c>
      <c r="D2760" s="3" t="e">
        <f>'001'!H2760</f>
        <v>#VALUE!</v>
      </c>
    </row>
    <row r="2761" spans="1:4" x14ac:dyDescent="0.25">
      <c r="A2761" s="1" t="str">
        <f>'001'!B2761</f>
        <v>003977</v>
      </c>
      <c r="B2761" s="1" t="str">
        <f>'001'!C2761</f>
        <v>COLOR TEST ALBA PAVO REAL X 0,030</v>
      </c>
      <c r="C2761" s="1" t="str">
        <f>'001'!D2761</f>
        <v>0902</v>
      </c>
      <c r="D2761" s="3" t="e">
        <f>'001'!H2761</f>
        <v>#VALUE!</v>
      </c>
    </row>
    <row r="2762" spans="1:4" x14ac:dyDescent="0.25">
      <c r="A2762" s="1" t="str">
        <f>'001'!B2762</f>
        <v>003978</v>
      </c>
      <c r="B2762" s="1" t="str">
        <f>'001'!C2762</f>
        <v>COLOR TEST ALBA PELOURINHO X 0,030</v>
      </c>
      <c r="C2762" s="1" t="str">
        <f>'001'!D2762</f>
        <v>0902</v>
      </c>
      <c r="D2762" s="3" t="e">
        <f>'001'!H2762</f>
        <v>#VALUE!</v>
      </c>
    </row>
    <row r="2763" spans="1:4" x14ac:dyDescent="0.25">
      <c r="A2763" s="1" t="str">
        <f>'001'!B2763</f>
        <v>003979</v>
      </c>
      <c r="B2763" s="1" t="str">
        <f>'001'!C2763</f>
        <v>COLOR TEST ALBA PINO ESPINOSO X 0,030</v>
      </c>
      <c r="C2763" s="1" t="str">
        <f>'001'!D2763</f>
        <v>0902</v>
      </c>
      <c r="D2763" s="3" t="e">
        <f>'001'!H2763</f>
        <v>#VALUE!</v>
      </c>
    </row>
    <row r="2764" spans="1:4" x14ac:dyDescent="0.25">
      <c r="A2764" s="1" t="str">
        <f>'001'!B2764</f>
        <v>003980</v>
      </c>
      <c r="B2764" s="1" t="str">
        <f>'001'!C2764</f>
        <v>COLOR TEST ALBA PLAYA DE CORAL X 0,030</v>
      </c>
      <c r="C2764" s="1" t="str">
        <f>'001'!D2764</f>
        <v>0902</v>
      </c>
      <c r="D2764" s="3" t="e">
        <f>'001'!H2764</f>
        <v>#VALUE!</v>
      </c>
    </row>
    <row r="2765" spans="1:4" x14ac:dyDescent="0.25">
      <c r="A2765" s="1" t="str">
        <f>'001'!B2765</f>
        <v>003981</v>
      </c>
      <c r="B2765" s="1" t="str">
        <f>'001'!C2765</f>
        <v>COLOR TEST ALBA POPURRI DE ALGAS X 0,030</v>
      </c>
      <c r="C2765" s="1" t="str">
        <f>'001'!D2765</f>
        <v>0902</v>
      </c>
      <c r="D2765" s="3" t="e">
        <f>'001'!H2765</f>
        <v>#VALUE!</v>
      </c>
    </row>
    <row r="2766" spans="1:4" x14ac:dyDescent="0.25">
      <c r="A2766" s="1" t="str">
        <f>'001'!B2766</f>
        <v>003982</v>
      </c>
      <c r="B2766" s="1" t="str">
        <f>'001'!C2766</f>
        <v>COLOR TEST ALBA PRADOS X 0,030</v>
      </c>
      <c r="C2766" s="1" t="str">
        <f>'001'!D2766</f>
        <v>0902</v>
      </c>
      <c r="D2766" s="3" t="e">
        <f>'001'!H2766</f>
        <v>#VALUE!</v>
      </c>
    </row>
    <row r="2767" spans="1:4" x14ac:dyDescent="0.25">
      <c r="A2767" s="1" t="str">
        <f>'001'!B2767</f>
        <v>003983</v>
      </c>
      <c r="B2767" s="1" t="str">
        <f>'001'!C2767</f>
        <v>COLOR TEST ALBA PUERTO DE PIEDRA X 0,030</v>
      </c>
      <c r="C2767" s="1" t="str">
        <f>'001'!D2767</f>
        <v>0902</v>
      </c>
      <c r="D2767" s="3" t="e">
        <f>'001'!H2767</f>
        <v>#VALUE!</v>
      </c>
    </row>
    <row r="2768" spans="1:4" x14ac:dyDescent="0.25">
      <c r="A2768" s="1" t="str">
        <f>'001'!B2768</f>
        <v>003984</v>
      </c>
      <c r="B2768" s="1" t="str">
        <f>'001'!C2768</f>
        <v>COLOR TEST ALBA RAYO DE LUZ X 0,030</v>
      </c>
      <c r="C2768" s="1" t="str">
        <f>'001'!D2768</f>
        <v>0902</v>
      </c>
      <c r="D2768" s="3" t="e">
        <f>'001'!H2768</f>
        <v>#VALUE!</v>
      </c>
    </row>
    <row r="2769" spans="1:4" x14ac:dyDescent="0.25">
      <c r="A2769" s="1" t="str">
        <f>'001'!B2769</f>
        <v>003985</v>
      </c>
      <c r="B2769" s="1" t="str">
        <f>'001'!C2769</f>
        <v>COLOR TEST ALBA ROSA AMARILLA X 0,030</v>
      </c>
      <c r="C2769" s="1" t="str">
        <f>'001'!D2769</f>
        <v>0902</v>
      </c>
      <c r="D2769" s="3" t="e">
        <f>'001'!H2769</f>
        <v>#VALUE!</v>
      </c>
    </row>
    <row r="2770" spans="1:4" x14ac:dyDescent="0.25">
      <c r="A2770" s="1" t="str">
        <f>'001'!B2770</f>
        <v>003986</v>
      </c>
      <c r="B2770" s="1" t="str">
        <f>'001'!C2770</f>
        <v>COLOR TEST ALBA ROSA BALLET X 0,030</v>
      </c>
      <c r="C2770" s="1" t="str">
        <f>'001'!D2770</f>
        <v>0902</v>
      </c>
      <c r="D2770" s="3" t="e">
        <f>'001'!H2770</f>
        <v>#VALUE!</v>
      </c>
    </row>
    <row r="2771" spans="1:4" x14ac:dyDescent="0.25">
      <c r="A2771" s="1" t="str">
        <f>'001'!B2771</f>
        <v>003987</v>
      </c>
      <c r="B2771" s="1" t="str">
        <f>'001'!C2771</f>
        <v>COLOR TEST ALBA ROSA CAPRI X 0,030</v>
      </c>
      <c r="C2771" s="1" t="str">
        <f>'001'!D2771</f>
        <v>0902</v>
      </c>
      <c r="D2771" s="3" t="e">
        <f>'001'!H2771</f>
        <v>#VALUE!</v>
      </c>
    </row>
    <row r="2772" spans="1:4" x14ac:dyDescent="0.25">
      <c r="A2772" s="1" t="str">
        <f>'001'!B2772</f>
        <v>003988</v>
      </c>
      <c r="B2772" s="1" t="str">
        <f>'001'!C2772</f>
        <v>COLOR TEST ALBA ROSA COLONIAL X 0,030</v>
      </c>
      <c r="C2772" s="1" t="str">
        <f>'001'!D2772</f>
        <v>0902</v>
      </c>
      <c r="D2772" s="3" t="e">
        <f>'001'!H2772</f>
        <v>#VALUE!</v>
      </c>
    </row>
    <row r="2773" spans="1:4" x14ac:dyDescent="0.25">
      <c r="A2773" s="1" t="str">
        <f>'001'!B2773</f>
        <v>003989</v>
      </c>
      <c r="B2773" s="1" t="str">
        <f>'001'!C2773</f>
        <v>COLOR TEST ALBA ROSA SEDOSA X 0,030</v>
      </c>
      <c r="C2773" s="1" t="str">
        <f>'001'!D2773</f>
        <v>0902</v>
      </c>
      <c r="D2773" s="3" t="e">
        <f>'001'!H2773</f>
        <v>#VALUE!</v>
      </c>
    </row>
    <row r="2774" spans="1:4" x14ac:dyDescent="0.25">
      <c r="A2774" s="1" t="str">
        <f>'001'!B2774</f>
        <v>003990</v>
      </c>
      <c r="B2774" s="1" t="str">
        <f>'001'!C2774</f>
        <v>COLOR TEST ALBA SALVIA X 0,030</v>
      </c>
      <c r="C2774" s="1" t="str">
        <f>'001'!D2774</f>
        <v>0902</v>
      </c>
      <c r="D2774" s="3" t="e">
        <f>'001'!H2774</f>
        <v>#VALUE!</v>
      </c>
    </row>
    <row r="2775" spans="1:4" x14ac:dyDescent="0.25">
      <c r="A2775" s="1" t="str">
        <f>'001'!B2775</f>
        <v>003991</v>
      </c>
      <c r="B2775" s="1" t="str">
        <f>'001'!C2775</f>
        <v>COLOR TEST ALBA SENDERO EN EL SAHARA X 0,030</v>
      </c>
      <c r="C2775" s="1" t="str">
        <f>'001'!D2775</f>
        <v>0902</v>
      </c>
      <c r="D2775" s="3" t="e">
        <f>'001'!H2775</f>
        <v>#VALUE!</v>
      </c>
    </row>
    <row r="2776" spans="1:4" x14ac:dyDescent="0.25">
      <c r="A2776" s="1" t="str">
        <f>'001'!B2776</f>
        <v>003992</v>
      </c>
      <c r="B2776" s="1" t="str">
        <f>'001'!C2776</f>
        <v>COLOR TEST ALBA SENSACION CRISTAL X 0,030</v>
      </c>
      <c r="C2776" s="1" t="str">
        <f>'001'!D2776</f>
        <v>0902</v>
      </c>
      <c r="D2776" s="3" t="e">
        <f>'001'!H2776</f>
        <v>#VALUE!</v>
      </c>
    </row>
    <row r="2777" spans="1:4" x14ac:dyDescent="0.25">
      <c r="A2777" s="1" t="str">
        <f>'001'!B2777</f>
        <v>003993</v>
      </c>
      <c r="B2777" s="1" t="str">
        <f>'001'!C2777</f>
        <v>COLOR TEST ALBA SENSACION VIOLETA X 0,030</v>
      </c>
      <c r="C2777" s="1" t="str">
        <f>'001'!D2777</f>
        <v>0902</v>
      </c>
      <c r="D2777" s="3" t="e">
        <f>'001'!H2777</f>
        <v>#VALUE!</v>
      </c>
    </row>
    <row r="2778" spans="1:4" x14ac:dyDescent="0.25">
      <c r="A2778" s="1" t="str">
        <f>'001'!B2778</f>
        <v>003994</v>
      </c>
      <c r="B2778" s="1" t="str">
        <f>'001'!C2778</f>
        <v>COLOR TEST ALBA SOL CELESTIAL X 0,030</v>
      </c>
      <c r="C2778" s="1" t="str">
        <f>'001'!D2778</f>
        <v>0902</v>
      </c>
      <c r="D2778" s="3" t="e">
        <f>'001'!H2778</f>
        <v>#VALUE!</v>
      </c>
    </row>
    <row r="2779" spans="1:4" x14ac:dyDescent="0.25">
      <c r="A2779" s="1" t="str">
        <f>'001'!B2779</f>
        <v>003995</v>
      </c>
      <c r="B2779" s="1" t="str">
        <f>'001'!C2779</f>
        <v>COLOR TEST ALBA SUAVE CAUDAL X 0,030</v>
      </c>
      <c r="C2779" s="1" t="str">
        <f>'001'!D2779</f>
        <v>0902</v>
      </c>
      <c r="D2779" s="3" t="e">
        <f>'001'!H2779</f>
        <v>#VALUE!</v>
      </c>
    </row>
    <row r="2780" spans="1:4" x14ac:dyDescent="0.25">
      <c r="A2780" s="1" t="str">
        <f>'001'!B2780</f>
        <v>003996</v>
      </c>
      <c r="B2780" s="1" t="str">
        <f>'001'!C2780</f>
        <v>COLOR TEST ALBA TE DANZANTE X 0,030</v>
      </c>
      <c r="C2780" s="1" t="str">
        <f>'001'!D2780</f>
        <v>0902</v>
      </c>
      <c r="D2780" s="3" t="e">
        <f>'001'!H2780</f>
        <v>#VALUE!</v>
      </c>
    </row>
    <row r="2781" spans="1:4" x14ac:dyDescent="0.25">
      <c r="A2781" s="1" t="str">
        <f>'001'!B2781</f>
        <v>003997</v>
      </c>
      <c r="B2781" s="1" t="str">
        <f>'001'!C2781</f>
        <v>COLOR TEST ALBA TINTE BOTELLA X 0,030</v>
      </c>
      <c r="C2781" s="1" t="str">
        <f>'001'!D2781</f>
        <v>0902</v>
      </c>
      <c r="D2781" s="3" t="e">
        <f>'001'!H2781</f>
        <v>#VALUE!</v>
      </c>
    </row>
    <row r="2782" spans="1:4" x14ac:dyDescent="0.25">
      <c r="A2782" s="1" t="str">
        <f>'001'!B2782</f>
        <v>003998</v>
      </c>
      <c r="B2782" s="1" t="str">
        <f>'001'!C2782</f>
        <v>COLOR TEST ALBA TOQUE DE CEREZA X 0,030</v>
      </c>
      <c r="C2782" s="1" t="str">
        <f>'001'!D2782</f>
        <v>0902</v>
      </c>
      <c r="D2782" s="3" t="e">
        <f>'001'!H2782</f>
        <v>#VALUE!</v>
      </c>
    </row>
    <row r="2783" spans="1:4" x14ac:dyDescent="0.25">
      <c r="A2783" s="1" t="str">
        <f>'001'!B2783</f>
        <v>003999</v>
      </c>
      <c r="B2783" s="1" t="str">
        <f>'001'!C2783</f>
        <v>COLOR TEST ALBA TORMENTA MELANCOLICA X 0,030</v>
      </c>
      <c r="C2783" s="1" t="str">
        <f>'001'!D2783</f>
        <v>0902</v>
      </c>
      <c r="D2783" s="3" t="e">
        <f>'001'!H2783</f>
        <v>#VALUE!</v>
      </c>
    </row>
    <row r="2784" spans="1:4" x14ac:dyDescent="0.25">
      <c r="A2784" s="1" t="str">
        <f>'001'!B2784</f>
        <v>004000</v>
      </c>
      <c r="B2784" s="1" t="str">
        <f>'001'!C2784</f>
        <v>LIJA LIQUIDA ALABASTINE X 0,500</v>
      </c>
      <c r="C2784" s="1" t="str">
        <f>'001'!D2784</f>
        <v>0159</v>
      </c>
      <c r="D2784" s="3" t="e">
        <f>'001'!H2784</f>
        <v>#VALUE!</v>
      </c>
    </row>
    <row r="2785" spans="1:4" x14ac:dyDescent="0.25">
      <c r="A2785" s="1" t="str">
        <f>'001'!B2785</f>
        <v>004001</v>
      </c>
      <c r="B2785" s="1" t="str">
        <f>'001'!C2785</f>
        <v>REPARA MADERAS ALABASTINE NATURAL X 0,075</v>
      </c>
      <c r="C2785" s="1" t="str">
        <f>'001'!D2785</f>
        <v>0159</v>
      </c>
      <c r="D2785" s="3" t="e">
        <f>'001'!H2785</f>
        <v>#VALUE!</v>
      </c>
    </row>
    <row r="2786" spans="1:4" x14ac:dyDescent="0.25">
      <c r="A2786" s="1" t="str">
        <f>'001'!B2786</f>
        <v>004002</v>
      </c>
      <c r="B2786" s="1" t="str">
        <f>'001'!C2786</f>
        <v>REPARA MADERAS ALABASTINE ROBLE X 0,075</v>
      </c>
      <c r="C2786" s="1" t="str">
        <f>'001'!D2786</f>
        <v>0159</v>
      </c>
      <c r="D2786" s="3" t="e">
        <f>'001'!H2786</f>
        <v>#VALUE!</v>
      </c>
    </row>
    <row r="2787" spans="1:4" x14ac:dyDescent="0.25">
      <c r="A2787" s="1" t="str">
        <f>'001'!B2787</f>
        <v>004003</v>
      </c>
      <c r="B2787" s="1" t="str">
        <f>'001'!C2787</f>
        <v>REPARA MADERAS ALABASTINE CAOBA X 0,075</v>
      </c>
      <c r="C2787" s="1" t="str">
        <f>'001'!D2787</f>
        <v>0159</v>
      </c>
      <c r="D2787" s="3" t="e">
        <f>'001'!H2787</f>
        <v>#VALUE!</v>
      </c>
    </row>
    <row r="2788" spans="1:4" x14ac:dyDescent="0.25">
      <c r="A2788" s="1" t="str">
        <f>'001'!B2788</f>
        <v>004004</v>
      </c>
      <c r="B2788" s="1" t="str">
        <f>'001'!C2788</f>
        <v>REPARA MADERAS ALABASTINE ROBLE OSCURO X 0,075</v>
      </c>
      <c r="C2788" s="1" t="str">
        <f>'001'!D2788</f>
        <v>0159</v>
      </c>
      <c r="D2788" s="3" t="e">
        <f>'001'!H2788</f>
        <v>#VALUE!</v>
      </c>
    </row>
    <row r="2789" spans="1:4" x14ac:dyDescent="0.25">
      <c r="A2789" s="1" t="str">
        <f>'001'!B2789</f>
        <v>004005</v>
      </c>
      <c r="B2789" s="1" t="str">
        <f>'001'!C2789</f>
        <v>REPARA MADERAS ALABASTINE BLANCO X 0,075</v>
      </c>
      <c r="C2789" s="1" t="str">
        <f>'001'!D2789</f>
        <v>0159</v>
      </c>
      <c r="D2789" s="3" t="e">
        <f>'001'!H2789</f>
        <v>#VALUE!</v>
      </c>
    </row>
    <row r="2790" spans="1:4" x14ac:dyDescent="0.25">
      <c r="A2790" s="1" t="str">
        <f>'001'!B2790</f>
        <v>004006</v>
      </c>
      <c r="B2790" s="1" t="str">
        <f>'001'!C2790</f>
        <v>REPARA MADERAS ALABASTINE HAYA X 0,075</v>
      </c>
      <c r="C2790" s="1" t="str">
        <f>'001'!D2790</f>
        <v>0159</v>
      </c>
      <c r="D2790" s="3" t="e">
        <f>'001'!H2790</f>
        <v>#VALUE!</v>
      </c>
    </row>
    <row r="2791" spans="1:4" x14ac:dyDescent="0.25">
      <c r="A2791" s="1" t="str">
        <f>'001'!B2791</f>
        <v>004008</v>
      </c>
      <c r="B2791" s="1" t="str">
        <f>'001'!C2791</f>
        <v>REPARA PAREDES ALABASTINE S.O.S  X 0,020</v>
      </c>
      <c r="C2791" s="1" t="str">
        <f>'001'!D2791</f>
        <v>0159</v>
      </c>
      <c r="D2791" s="3" t="e">
        <f>'001'!H2791</f>
        <v>#VALUE!</v>
      </c>
    </row>
    <row r="2792" spans="1:4" x14ac:dyDescent="0.25">
      <c r="A2792" s="1" t="str">
        <f>'001'!B2792</f>
        <v>004009</v>
      </c>
      <c r="B2792" s="1" t="str">
        <f>'001'!C2792</f>
        <v>REPARA PAREDES ALABASTINE PRO X 0,600</v>
      </c>
      <c r="C2792" s="1" t="str">
        <f>'001'!D2792</f>
        <v>0159</v>
      </c>
      <c r="D2792" s="3" t="e">
        <f>'001'!H2792</f>
        <v>#VALUE!</v>
      </c>
    </row>
    <row r="2793" spans="1:4" x14ac:dyDescent="0.25">
      <c r="A2793" s="1" t="str">
        <f>'001'!B2793</f>
        <v>004010</v>
      </c>
      <c r="B2793" s="1" t="str">
        <f>'001'!C2793</f>
        <v>REPARA PAREDES ALABASTINE PRO X 2,500</v>
      </c>
      <c r="C2793" s="1" t="str">
        <f>'001'!D2793</f>
        <v>0159</v>
      </c>
      <c r="D2793" s="3" t="e">
        <f>'001'!H2793</f>
        <v>#VALUE!</v>
      </c>
    </row>
    <row r="2794" spans="1:4" x14ac:dyDescent="0.25">
      <c r="A2794" s="1" t="str">
        <f>'001'!B2794</f>
        <v>004011</v>
      </c>
      <c r="B2794" s="1" t="str">
        <f>'001'!C2794</f>
        <v>REPARA MADERAS ALABASTINE NATURAL X 0,200</v>
      </c>
      <c r="C2794" s="1" t="str">
        <f>'001'!D2794</f>
        <v>0159</v>
      </c>
      <c r="D2794" s="3" t="e">
        <f>'001'!H2794</f>
        <v>#VALUE!</v>
      </c>
    </row>
    <row r="2795" spans="1:4" x14ac:dyDescent="0.25">
      <c r="A2795" s="1" t="str">
        <f>'001'!B2795</f>
        <v>004012</v>
      </c>
      <c r="B2795" s="1" t="str">
        <f>'001'!C2795</f>
        <v>NIVELA MADERAS ALABASTINE X 0,400</v>
      </c>
      <c r="C2795" s="1" t="str">
        <f>'001'!D2795</f>
        <v>0159</v>
      </c>
      <c r="D2795" s="3" t="e">
        <f>'001'!H2795</f>
        <v>#VALUE!</v>
      </c>
    </row>
    <row r="2796" spans="1:4" x14ac:dyDescent="0.25">
      <c r="A2796" s="1" t="str">
        <f>'001'!B2796</f>
        <v>004013</v>
      </c>
      <c r="B2796" s="1" t="str">
        <f>'001'!C2796</f>
        <v>REPARA PAREDES ALABASTINE X 0,330</v>
      </c>
      <c r="C2796" s="1" t="str">
        <f>'001'!D2796</f>
        <v>0159</v>
      </c>
      <c r="D2796" s="3" t="e">
        <f>'001'!H2796</f>
        <v>#VALUE!</v>
      </c>
    </row>
    <row r="2797" spans="1:4" x14ac:dyDescent="0.25">
      <c r="A2797" s="1" t="str">
        <f>'001'!B2797</f>
        <v>004014</v>
      </c>
      <c r="B2797" s="1" t="str">
        <f>'001'!C2797</f>
        <v>REPARA PAREDES ALABASTINE X 1</v>
      </c>
      <c r="C2797" s="1" t="str">
        <f>'001'!D2797</f>
        <v>0159</v>
      </c>
      <c r="D2797" s="3" t="e">
        <f>'001'!H2797</f>
        <v>#VALUE!</v>
      </c>
    </row>
    <row r="2798" spans="1:4" x14ac:dyDescent="0.25">
      <c r="A2798" s="1" t="str">
        <f>'001'!B2798</f>
        <v>004015</v>
      </c>
      <c r="B2798" s="1" t="str">
        <f>'001'!C2798</f>
        <v>REPARA PAREDES ALABASTINE ACCION RAPIDA X 0,330</v>
      </c>
      <c r="C2798" s="1" t="str">
        <f>'001'!D2798</f>
        <v>0159</v>
      </c>
      <c r="D2798" s="3" t="e">
        <f>'001'!H2798</f>
        <v>#VALUE!</v>
      </c>
    </row>
    <row r="2799" spans="1:4" x14ac:dyDescent="0.25">
      <c r="A2799" s="1" t="str">
        <f>'001'!B2799</f>
        <v>004016</v>
      </c>
      <c r="B2799" s="1" t="str">
        <f>'001'!C2799</f>
        <v>REMOVEDOR GEL ALABASTINE X 0,900</v>
      </c>
      <c r="C2799" s="1" t="str">
        <f>'001'!D2799</f>
        <v>0159</v>
      </c>
      <c r="D2799" s="3" t="e">
        <f>'001'!H2799</f>
        <v>#VALUE!</v>
      </c>
    </row>
    <row r="2800" spans="1:4" x14ac:dyDescent="0.25">
      <c r="A2800" s="1" t="str">
        <f>'001'!B2800</f>
        <v>004017</v>
      </c>
      <c r="B2800" s="1" t="str">
        <f>'001'!C2800</f>
        <v>REMOVEDOR GEL ALABASTINE X 3,600</v>
      </c>
      <c r="C2800" s="1" t="str">
        <f>'001'!D2800</f>
        <v>0159</v>
      </c>
      <c r="D2800" s="3" t="e">
        <f>'001'!H2800</f>
        <v>#VALUE!</v>
      </c>
    </row>
    <row r="2801" spans="1:4" x14ac:dyDescent="0.25">
      <c r="A2801" s="1" t="str">
        <f>'001'!B2801</f>
        <v>004018</v>
      </c>
      <c r="B2801" s="1" t="str">
        <f>'001'!C2801</f>
        <v>CL-559 AMARILLO ROJIZO X 1</v>
      </c>
      <c r="C2801" s="1" t="str">
        <f>'001'!D2801</f>
        <v>0132</v>
      </c>
      <c r="D2801" s="3" t="e">
        <f>'001'!H2801</f>
        <v>#VALUE!</v>
      </c>
    </row>
    <row r="2802" spans="1:4" x14ac:dyDescent="0.25">
      <c r="A2802" s="1" t="str">
        <f>'001'!B2802</f>
        <v>004019</v>
      </c>
      <c r="B2802" s="1" t="str">
        <f>'001'!C2802</f>
        <v>REPARADOR FLEXIBLE ALABASTINE X 0,310</v>
      </c>
      <c r="C2802" s="1" t="str">
        <f>'001'!D2802</f>
        <v>0159</v>
      </c>
      <c r="D2802" s="3" t="e">
        <f>'001'!H2802</f>
        <v>#VALUE!</v>
      </c>
    </row>
    <row r="2803" spans="1:4" x14ac:dyDescent="0.25">
      <c r="A2803" s="1" t="str">
        <f>'001'!B2803</f>
        <v>004020</v>
      </c>
      <c r="B2803" s="1" t="str">
        <f>'001'!C2803</f>
        <v>FONDO 1-2-3 ALABASTINE X 0,900</v>
      </c>
      <c r="C2803" s="1" t="str">
        <f>'001'!D2803</f>
        <v>0159</v>
      </c>
      <c r="D2803" s="3" t="e">
        <f>'001'!H2803</f>
        <v>#VALUE!</v>
      </c>
    </row>
    <row r="2804" spans="1:4" x14ac:dyDescent="0.25">
      <c r="A2804" s="1" t="str">
        <f>'001'!B2804</f>
        <v>004021</v>
      </c>
      <c r="B2804" s="1" t="str">
        <f>'001'!C2804</f>
        <v>FONDO 1-2-3 ALABASTINE X 3,600</v>
      </c>
      <c r="C2804" s="1" t="str">
        <f>'001'!D2804</f>
        <v>0159</v>
      </c>
      <c r="D2804" s="3" t="e">
        <f>'001'!H2804</f>
        <v>#VALUE!</v>
      </c>
    </row>
    <row r="2805" spans="1:4" x14ac:dyDescent="0.25">
      <c r="A2805" s="1" t="str">
        <f>'001'!B2805</f>
        <v>004022</v>
      </c>
      <c r="B2805" s="1" t="str">
        <f>'001'!C2805</f>
        <v>ESMALTE POLIURETANO VARATHANE AL AGUA INTERIOR BRILLANTE X 0,946(281827)</v>
      </c>
      <c r="C2805" s="1" t="str">
        <f>'001'!D2805</f>
        <v>0160</v>
      </c>
      <c r="D2805" s="3" t="e">
        <f>'001'!H2805</f>
        <v>#VALUE!</v>
      </c>
    </row>
    <row r="2806" spans="1:4" x14ac:dyDescent="0.25">
      <c r="A2806" s="1" t="str">
        <f>'001'!B2806</f>
        <v>004023</v>
      </c>
      <c r="B2806" s="1" t="str">
        <f>'001'!C2806</f>
        <v>ESMALTE POLIURETANO VARATHANE AL AGUA INTERIOR BRILLANTE X 3,785(281831)</v>
      </c>
      <c r="C2806" s="1" t="str">
        <f>'001'!D2806</f>
        <v>0160</v>
      </c>
      <c r="D2806" s="3" t="e">
        <f>'001'!H2806</f>
        <v>#VALUE!</v>
      </c>
    </row>
    <row r="2807" spans="1:4" x14ac:dyDescent="0.25">
      <c r="A2807" s="1" t="str">
        <f>'001'!B2807</f>
        <v>004024</v>
      </c>
      <c r="B2807" s="1" t="str">
        <f>'001'!C2807</f>
        <v>ESMALTE POLIURETANO VARATHANE AL AGUA INTERIOR SATINADO X 0,946(281829)</v>
      </c>
      <c r="C2807" s="1" t="str">
        <f>'001'!D2807</f>
        <v>0160</v>
      </c>
      <c r="D2807" s="3" t="e">
        <f>'001'!H2807</f>
        <v>#VALUE!</v>
      </c>
    </row>
    <row r="2808" spans="1:4" x14ac:dyDescent="0.25">
      <c r="A2808" s="1" t="str">
        <f>'001'!B2808</f>
        <v>004025</v>
      </c>
      <c r="B2808" s="1" t="str">
        <f>'001'!C2808</f>
        <v>ESMALTE POLIURETANO VARATHANE AL AGUA INTERIOR SATINADO X 3,785(281833)</v>
      </c>
      <c r="C2808" s="1" t="str">
        <f>'001'!D2808</f>
        <v>0160</v>
      </c>
      <c r="D2808" s="3" t="e">
        <f>'001'!H2808</f>
        <v>#VALUE!</v>
      </c>
    </row>
    <row r="2809" spans="1:4" x14ac:dyDescent="0.25">
      <c r="A2809" s="1" t="str">
        <f>'001'!B2809</f>
        <v>004026</v>
      </c>
      <c r="B2809" s="1" t="str">
        <f>'001'!C2809</f>
        <v>ESMALTE POLIURETANO VARATHANE TRIPLE CAPA BRILLANTE X 0,946(305507)</v>
      </c>
      <c r="C2809" s="1" t="str">
        <f>'001'!D2809</f>
        <v>0160</v>
      </c>
      <c r="D2809" s="3" t="e">
        <f>'001'!H2809</f>
        <v>#VALUE!</v>
      </c>
    </row>
    <row r="2810" spans="1:4" x14ac:dyDescent="0.25">
      <c r="A2810" s="1" t="str">
        <f>'001'!B2810</f>
        <v>004027</v>
      </c>
      <c r="B2810" s="1" t="str">
        <f>'001'!C2810</f>
        <v>ESMALTE POLIURETANO VARATHANE TRIPLE CAPA SATINADO X 0,946(305510)</v>
      </c>
      <c r="C2810" s="1" t="str">
        <f>'001'!D2810</f>
        <v>0160</v>
      </c>
      <c r="D2810" s="3" t="e">
        <f>'001'!H2810</f>
        <v>#VALUE!</v>
      </c>
    </row>
    <row r="2811" spans="1:4" x14ac:dyDescent="0.25">
      <c r="A2811" s="1" t="str">
        <f>'001'!B2811</f>
        <v>004028</v>
      </c>
      <c r="B2811" s="1" t="str">
        <f>'001'!C2811</f>
        <v>ESMALTE POLIURETANO PARA PISO VARATHANE ACEITE INTERIOR BRILLANTE X 3,785(281857)</v>
      </c>
      <c r="C2811" s="1" t="str">
        <f>'001'!D2811</f>
        <v>0160</v>
      </c>
      <c r="D2811" s="3" t="e">
        <f>'001'!H2811</f>
        <v>#VALUE!</v>
      </c>
    </row>
    <row r="2812" spans="1:4" x14ac:dyDescent="0.25">
      <c r="A2812" s="1" t="str">
        <f>'001'!B2812</f>
        <v>004029</v>
      </c>
      <c r="B2812" s="1" t="str">
        <f>'001'!C2812</f>
        <v>ESMALTE POLIURETANO PARA PISO VARATHANE ACEITE INTERIOR SATINADO X 3,785(281859)</v>
      </c>
      <c r="C2812" s="1" t="str">
        <f>'001'!D2812</f>
        <v>0160</v>
      </c>
      <c r="D2812" s="3" t="e">
        <f>'001'!H2812</f>
        <v>#VALUE!</v>
      </c>
    </row>
    <row r="2813" spans="1:4" x14ac:dyDescent="0.25">
      <c r="A2813" s="1" t="str">
        <f>'001'!B2813</f>
        <v>004030</v>
      </c>
      <c r="B2813" s="1" t="str">
        <f>'001'!C2813</f>
        <v>ESMALTE POLIURETANO PARA PISO VARATHANE AL AGUA INTERIOR BRILLANTE X 3,785(281853)</v>
      </c>
      <c r="C2813" s="1" t="str">
        <f>'001'!D2813</f>
        <v>0160</v>
      </c>
      <c r="D2813" s="3" t="e">
        <f>'001'!H2813</f>
        <v>#VALUE!</v>
      </c>
    </row>
    <row r="2814" spans="1:4" x14ac:dyDescent="0.25">
      <c r="A2814" s="1" t="str">
        <f>'001'!B2814</f>
        <v>004031</v>
      </c>
      <c r="B2814" s="1" t="str">
        <f>'001'!C2814</f>
        <v>ESMALTE POLIURETANO PARA PISO VARATHANE AL AGUA INTERIOR SATINADO X 3,785(281855)</v>
      </c>
      <c r="C2814" s="1" t="str">
        <f>'001'!D2814</f>
        <v>0160</v>
      </c>
      <c r="D2814" s="3" t="e">
        <f>'001'!H2814</f>
        <v>#VALUE!</v>
      </c>
    </row>
    <row r="2815" spans="1:4" x14ac:dyDescent="0.25">
      <c r="A2815" s="1" t="str">
        <f>'001'!B2815</f>
        <v>004032</v>
      </c>
      <c r="B2815" s="1" t="str">
        <f>'001'!C2815</f>
        <v>CL-561 NARANJA X 1</v>
      </c>
      <c r="C2815" s="1" t="str">
        <f>'001'!D2815</f>
        <v>0132</v>
      </c>
      <c r="D2815" s="3" t="e">
        <f>'001'!H2815</f>
        <v>#VALUE!</v>
      </c>
    </row>
    <row r="2816" spans="1:4" x14ac:dyDescent="0.25">
      <c r="A2816" s="1" t="str">
        <f>'001'!B2816</f>
        <v>004033</v>
      </c>
      <c r="B2816" s="1" t="str">
        <f>'001'!C2816</f>
        <v>CL-560 BASE MATEANTE X1</v>
      </c>
      <c r="C2816" s="1" t="str">
        <f>'001'!D2816</f>
        <v>0132</v>
      </c>
      <c r="D2816" s="3" t="e">
        <f>'001'!H2816</f>
        <v>#VALUE!</v>
      </c>
    </row>
    <row r="2817" spans="1:4" x14ac:dyDescent="0.25">
      <c r="A2817" s="1" t="str">
        <f>'001'!B2817</f>
        <v>004035</v>
      </c>
      <c r="B2817" s="1" t="str">
        <f>'001'!C2817</f>
        <v>LATEX INTERIOR/EXTERIOR TERSUAVE MATE BASE M X  0.900</v>
      </c>
      <c r="C2817" s="1" t="str">
        <f>'001'!D2817</f>
        <v>0154</v>
      </c>
      <c r="D2817" s="3" t="e">
        <f>'001'!H2817</f>
        <v>#VALUE!</v>
      </c>
    </row>
    <row r="2818" spans="1:4" x14ac:dyDescent="0.25">
      <c r="A2818" s="1" t="str">
        <f>'001'!B2818</f>
        <v>004036</v>
      </c>
      <c r="B2818" s="1" t="str">
        <f>'001'!C2818</f>
        <v>LATEX INTERIOR/EXTERIOR TERSUAVE MATE BASE M X  3.6</v>
      </c>
      <c r="C2818" s="1" t="str">
        <f>'001'!D2818</f>
        <v>0154</v>
      </c>
      <c r="D2818" s="3" t="e">
        <f>'001'!H2818</f>
        <v>#VALUE!</v>
      </c>
    </row>
    <row r="2819" spans="1:4" x14ac:dyDescent="0.25">
      <c r="A2819" s="1" t="str">
        <f>'001'!B2819</f>
        <v>004037</v>
      </c>
      <c r="B2819" s="1" t="str">
        <f>'001'!C2819</f>
        <v>LATEX INTERIOR/EXTERIOR TERSUAVE MATE BASE M X  9.0</v>
      </c>
      <c r="C2819" s="1" t="str">
        <f>'001'!D2819</f>
        <v>0154</v>
      </c>
      <c r="D2819" s="3" t="e">
        <f>'001'!H2819</f>
        <v>#VALUE!</v>
      </c>
    </row>
    <row r="2820" spans="1:4" x14ac:dyDescent="0.25">
      <c r="A2820" s="1" t="str">
        <f>'001'!B2820</f>
        <v>004038</v>
      </c>
      <c r="B2820" s="1" t="str">
        <f>'001'!C2820</f>
        <v>LATEX INTERIOR/EXTERIOR TERSUAVE MATE BASE M X 18</v>
      </c>
      <c r="C2820" s="1" t="str">
        <f>'001'!D2820</f>
        <v>0154</v>
      </c>
      <c r="D2820" s="3" t="e">
        <f>'001'!H2820</f>
        <v>#VALUE!</v>
      </c>
    </row>
    <row r="2821" spans="1:4" x14ac:dyDescent="0.25">
      <c r="A2821" s="1" t="str">
        <f>'001'!B2821</f>
        <v>004039</v>
      </c>
      <c r="B2821" s="1" t="str">
        <f>'001'!C2821</f>
        <v>LATEX INTERIOR/EXTERIOR TERSUAVE MATE BASE D X  0.900</v>
      </c>
      <c r="C2821" s="1" t="str">
        <f>'001'!D2821</f>
        <v>0154</v>
      </c>
      <c r="D2821" s="3" t="e">
        <f>'001'!H2821</f>
        <v>#VALUE!</v>
      </c>
    </row>
    <row r="2822" spans="1:4" x14ac:dyDescent="0.25">
      <c r="A2822" s="1" t="str">
        <f>'001'!B2822</f>
        <v>004040</v>
      </c>
      <c r="B2822" s="1" t="str">
        <f>'001'!C2822</f>
        <v>LATEX INTERIOR/EXTERIOR TERSUAVE MATE BASE D X  3.6</v>
      </c>
      <c r="C2822" s="1" t="str">
        <f>'001'!D2822</f>
        <v>0154</v>
      </c>
      <c r="D2822" s="3" t="e">
        <f>'001'!H2822</f>
        <v>#VALUE!</v>
      </c>
    </row>
    <row r="2823" spans="1:4" x14ac:dyDescent="0.25">
      <c r="A2823" s="1" t="str">
        <f>'001'!B2823</f>
        <v>004041</v>
      </c>
      <c r="B2823" s="1" t="str">
        <f>'001'!C2823</f>
        <v>LATEX INTERIOR/EXTERIOR TERSUAVE MATE BASE D X  9.0</v>
      </c>
      <c r="C2823" s="1" t="str">
        <f>'001'!D2823</f>
        <v>0154</v>
      </c>
      <c r="D2823" s="3" t="e">
        <f>'001'!H2823</f>
        <v>#VALUE!</v>
      </c>
    </row>
    <row r="2824" spans="1:4" x14ac:dyDescent="0.25">
      <c r="A2824" s="1" t="str">
        <f>'001'!B2824</f>
        <v>004042</v>
      </c>
      <c r="B2824" s="1" t="str">
        <f>'001'!C2824</f>
        <v>LATEX INTERIOR/EXTERIOR TERSUAVE MATE BASE D X 18</v>
      </c>
      <c r="C2824" s="1" t="str">
        <f>'001'!D2824</f>
        <v>0154</v>
      </c>
      <c r="D2824" s="3" t="e">
        <f>'001'!H2824</f>
        <v>#VALUE!</v>
      </c>
    </row>
    <row r="2825" spans="1:4" x14ac:dyDescent="0.25">
      <c r="A2825" s="1" t="str">
        <f>'001'!B2825</f>
        <v>004043</v>
      </c>
      <c r="B2825" s="1" t="str">
        <f>'001'!C2825</f>
        <v>LATEX INTERIOR/EXTERIOR TERSUAVE MATE BASE C X  0.900</v>
      </c>
      <c r="C2825" s="1" t="str">
        <f>'001'!D2825</f>
        <v>0154</v>
      </c>
      <c r="D2825" s="3" t="e">
        <f>'001'!H2825</f>
        <v>#VALUE!</v>
      </c>
    </row>
    <row r="2826" spans="1:4" x14ac:dyDescent="0.25">
      <c r="A2826" s="1" t="str">
        <f>'001'!B2826</f>
        <v>004044</v>
      </c>
      <c r="B2826" s="1" t="str">
        <f>'001'!C2826</f>
        <v>LATEX INTERIOR/EXTERIOR TERSUAVE MATE BASE C X  3.6</v>
      </c>
      <c r="C2826" s="1" t="str">
        <f>'001'!D2826</f>
        <v>0154</v>
      </c>
      <c r="D2826" s="3" t="e">
        <f>'001'!H2826</f>
        <v>#VALUE!</v>
      </c>
    </row>
    <row r="2827" spans="1:4" x14ac:dyDescent="0.25">
      <c r="A2827" s="1" t="str">
        <f>'001'!B2827</f>
        <v>004045</v>
      </c>
      <c r="B2827" s="1" t="str">
        <f>'001'!C2827</f>
        <v>LATEX INTERIOR/EXTERIOR TERSUAVE MATE BASE C X  9.0</v>
      </c>
      <c r="C2827" s="1" t="str">
        <f>'001'!D2827</f>
        <v>0154</v>
      </c>
      <c r="D2827" s="3" t="e">
        <f>'001'!H2827</f>
        <v>#VALUE!</v>
      </c>
    </row>
    <row r="2828" spans="1:4" x14ac:dyDescent="0.25">
      <c r="A2828" s="1" t="str">
        <f>'001'!B2828</f>
        <v>004046</v>
      </c>
      <c r="B2828" s="1" t="str">
        <f>'001'!C2828</f>
        <v>LATEX INTERIOR/EXTERIOR TERSUAVE MATE BASE C X 18.0</v>
      </c>
      <c r="C2828" s="1" t="str">
        <f>'001'!D2828</f>
        <v>0154</v>
      </c>
      <c r="D2828" s="3" t="e">
        <f>'001'!H2828</f>
        <v>#VALUE!</v>
      </c>
    </row>
    <row r="2829" spans="1:4" x14ac:dyDescent="0.25">
      <c r="A2829" s="1" t="str">
        <f>'001'!B2829</f>
        <v>004047</v>
      </c>
      <c r="B2829" s="1" t="str">
        <f>'001'!C2829</f>
        <v>LATEX INTERIOR RUST OLEUM ZINSSER PERMA-WHITE SATINADO BLANCO X 0.946(281971)</v>
      </c>
      <c r="C2829" s="1" t="str">
        <f>'001'!D2829</f>
        <v>0170</v>
      </c>
      <c r="D2829" s="3" t="e">
        <f>'001'!H2829</f>
        <v>#VALUE!</v>
      </c>
    </row>
    <row r="2830" spans="1:4" x14ac:dyDescent="0.25">
      <c r="A2830" s="1" t="str">
        <f>'001'!B2830</f>
        <v>004048</v>
      </c>
      <c r="B2830" s="1" t="str">
        <f>'001'!C2830</f>
        <v>LATEX INTERIOR RUST OLEUM ZINSSER PERMA-WHITE SATINADO BLANCO X 3,785(281970)</v>
      </c>
      <c r="C2830" s="1" t="str">
        <f>'001'!D2830</f>
        <v>0170</v>
      </c>
      <c r="D2830" s="3" t="e">
        <f>'001'!H2830</f>
        <v>#VALUE!</v>
      </c>
    </row>
    <row r="2831" spans="1:4" x14ac:dyDescent="0.25">
      <c r="A2831" s="1" t="str">
        <f>'001'!B2831</f>
        <v>004049</v>
      </c>
      <c r="B2831" s="1" t="str">
        <f>'001'!C2831</f>
        <v>LATEX INTERIOR RUST OLEUM ZINSSER PERMA-WHITE SATINADO BLANCO X  18,900(2700)</v>
      </c>
      <c r="C2831" s="1" t="str">
        <f>'001'!D2831</f>
        <v>0170</v>
      </c>
      <c r="D2831" s="3" t="e">
        <f>'001'!H2831</f>
        <v>#VALUE!</v>
      </c>
    </row>
    <row r="2832" spans="1:4" x14ac:dyDescent="0.25">
      <c r="A2832" s="1" t="str">
        <f>'001'!B2832</f>
        <v>004050</v>
      </c>
      <c r="B2832" s="1" t="str">
        <f>'001'!C2832</f>
        <v>ESMALTE SINTETICO TERSUAVE TRIPLE ACCION DECOLUX BRILLANTE BLANCO X  1</v>
      </c>
      <c r="C2832" s="1" t="str">
        <f>'001'!D2832</f>
        <v>0152</v>
      </c>
      <c r="D2832" s="3" t="e">
        <f>'001'!H2832</f>
        <v>#VALUE!</v>
      </c>
    </row>
    <row r="2833" spans="1:4" x14ac:dyDescent="0.25">
      <c r="A2833" s="1" t="str">
        <f>'001'!B2833</f>
        <v>004051</v>
      </c>
      <c r="B2833" s="1" t="str">
        <f>'001'!C2833</f>
        <v>ESMALTE SINTETICO TERSUAVE TRIPLE ACCION DECOLUX BRILLANTE BLANCO X  4</v>
      </c>
      <c r="C2833" s="1" t="str">
        <f>'001'!D2833</f>
        <v>0152</v>
      </c>
      <c r="D2833" s="3" t="e">
        <f>'001'!H2833</f>
        <v>#VALUE!</v>
      </c>
    </row>
    <row r="2834" spans="1:4" x14ac:dyDescent="0.25">
      <c r="A2834" s="1" t="str">
        <f>'001'!B2834</f>
        <v>004052</v>
      </c>
      <c r="B2834" s="1" t="str">
        <f>'001'!C2834</f>
        <v>ESMALTE SINTETICO TERSUAVE TRIPLE ACCION DECOLUX BRILLANTE BLANCO X 20</v>
      </c>
      <c r="C2834" s="1" t="str">
        <f>'001'!D2834</f>
        <v>0152</v>
      </c>
      <c r="D2834" s="3" t="e">
        <f>'001'!H2834</f>
        <v>#VALUE!</v>
      </c>
    </row>
    <row r="2835" spans="1:4" x14ac:dyDescent="0.25">
      <c r="A2835" s="1" t="str">
        <f>'001'!B2835</f>
        <v>004056</v>
      </c>
      <c r="B2835" s="1" t="str">
        <f>'001'!C2835</f>
        <v>CM-071 GRAFITO X 1 (DISCONTINUADO)</v>
      </c>
      <c r="C2835" s="1" t="str">
        <f>'001'!D2835</f>
        <v>0132</v>
      </c>
      <c r="D2835" s="3" t="e">
        <f>'001'!H2835</f>
        <v>#VALUE!</v>
      </c>
    </row>
    <row r="2836" spans="1:4" x14ac:dyDescent="0.25">
      <c r="A2836" s="1" t="str">
        <f>'001'!B2836</f>
        <v>004057</v>
      </c>
      <c r="B2836" s="1" t="str">
        <f>'001'!C2836</f>
        <v>BARANDAS P/ANDAMIO MULTIUSO EQUUS</v>
      </c>
      <c r="C2836" s="1" t="str">
        <f>'001'!D2836</f>
        <v>0161</v>
      </c>
      <c r="D2836" s="3" t="e">
        <f>'001'!H2836</f>
        <v>#VALUE!</v>
      </c>
    </row>
    <row r="2837" spans="1:4" x14ac:dyDescent="0.25">
      <c r="A2837" s="1" t="str">
        <f>'001'!B2837</f>
        <v>004058</v>
      </c>
      <c r="B2837" s="1" t="str">
        <f>'001'!C2837</f>
        <v>COLOR TEST ALBA LILA PRIMAVERAL X 0,030</v>
      </c>
      <c r="C2837" s="1" t="str">
        <f>'001'!D2837</f>
        <v>0902</v>
      </c>
      <c r="D2837" s="3" t="e">
        <f>'001'!H2837</f>
        <v>#VALUE!</v>
      </c>
    </row>
    <row r="2838" spans="1:4" x14ac:dyDescent="0.25">
      <c r="A2838" s="1" t="str">
        <f>'001'!B2838</f>
        <v>004059</v>
      </c>
      <c r="B2838" s="1" t="str">
        <f>'001'!C2838</f>
        <v>COLOR TEST ALBA LUZ OXIDRICA X 0,030</v>
      </c>
      <c r="C2838" s="1" t="str">
        <f>'001'!D2838</f>
        <v>0902</v>
      </c>
      <c r="D2838" s="3" t="e">
        <f>'001'!H2838</f>
        <v>#VALUE!</v>
      </c>
    </row>
    <row r="2839" spans="1:4" x14ac:dyDescent="0.25">
      <c r="A2839" s="1" t="str">
        <f>'001'!B2839</f>
        <v>004060</v>
      </c>
      <c r="B2839" s="1" t="str">
        <f>'001'!C2839</f>
        <v>COLOR TEST ALBA MAD AGRISADA X 0,030</v>
      </c>
      <c r="C2839" s="1" t="str">
        <f>'001'!D2839</f>
        <v>0902</v>
      </c>
      <c r="D2839" s="3" t="e">
        <f>'001'!H2839</f>
        <v>#VALUE!</v>
      </c>
    </row>
    <row r="2840" spans="1:4" x14ac:dyDescent="0.25">
      <c r="A2840" s="1" t="str">
        <f>'001'!B2840</f>
        <v>004061</v>
      </c>
      <c r="B2840" s="1" t="str">
        <f>'001'!C2840</f>
        <v>COLOR TEST ALBA MALVA DE INVIERNO X 0,030</v>
      </c>
      <c r="C2840" s="1" t="str">
        <f>'001'!D2840</f>
        <v>0902</v>
      </c>
      <c r="D2840" s="3" t="e">
        <f>'001'!H2840</f>
        <v>#VALUE!</v>
      </c>
    </row>
    <row r="2841" spans="1:4" x14ac:dyDescent="0.25">
      <c r="A2841" s="1" t="str">
        <f>'001'!B2841</f>
        <v>004062</v>
      </c>
      <c r="B2841" s="1" t="str">
        <f>'001'!C2841</f>
        <v>COLOR TEST ALBA MANDARINA DELICIOSA X 0,030</v>
      </c>
      <c r="C2841" s="1" t="str">
        <f>'001'!D2841</f>
        <v>0902</v>
      </c>
      <c r="D2841" s="3" t="e">
        <f>'001'!H2841</f>
        <v>#VALUE!</v>
      </c>
    </row>
    <row r="2842" spans="1:4" x14ac:dyDescent="0.25">
      <c r="A2842" s="1" t="str">
        <f>'001'!B2842</f>
        <v>004063</v>
      </c>
      <c r="B2842" s="1" t="str">
        <f>'001'!C2842</f>
        <v>BOINA DE CORDERO 3D CON VELCRO 5"(K-WW5)</v>
      </c>
      <c r="C2842" s="1" t="str">
        <f>'001'!D2842</f>
        <v>0191</v>
      </c>
      <c r="D2842" s="3" t="e">
        <f>'001'!H2842</f>
        <v>#VALUE!</v>
      </c>
    </row>
    <row r="2843" spans="1:4" x14ac:dyDescent="0.25">
      <c r="A2843" s="1" t="str">
        <f>'001'!B2843</f>
        <v>004066</v>
      </c>
      <c r="B2843" s="1" t="str">
        <f>'001'!C2843</f>
        <v>PAD ESPUMA AZUL 3D PAD BLUE FLEXIBLE FOAM 5.5  (K-80-B)</v>
      </c>
      <c r="C2843" s="1" t="str">
        <f>'001'!D2843</f>
        <v>0191</v>
      </c>
      <c r="D2843" s="3" t="e">
        <f>'001'!H2843</f>
        <v>#VALUE!</v>
      </c>
    </row>
    <row r="2844" spans="1:4" x14ac:dyDescent="0.25">
      <c r="A2844" s="1" t="str">
        <f>'001'!B2844</f>
        <v>004067</v>
      </c>
      <c r="B2844" s="1" t="str">
        <f>'001'!C2844</f>
        <v>3D BOLSO MULT. P/HERRAMIENTAS/INSUMOS (J-063D)</v>
      </c>
      <c r="C2844" s="1" t="str">
        <f>'001'!D2844</f>
        <v>0902</v>
      </c>
      <c r="D2844" s="3" t="e">
        <f>'001'!H2844</f>
        <v>#VALUE!</v>
      </c>
    </row>
    <row r="2845" spans="1:4" x14ac:dyDescent="0.25">
      <c r="A2845" s="1" t="str">
        <f>'001'!B2845</f>
        <v>004069</v>
      </c>
      <c r="B2845" s="1" t="str">
        <f>'001'!C2845</f>
        <v>PAD ESPUMA VIOLETA CORTE 3D DARK PURPLE FOAM CUTTING (K-55DP)</v>
      </c>
      <c r="C2845" s="1" t="str">
        <f>'001'!D2845</f>
        <v>0902</v>
      </c>
      <c r="D2845" s="3" t="e">
        <f>'001'!H2845</f>
        <v>#VALUE!</v>
      </c>
    </row>
    <row r="2846" spans="1:4" x14ac:dyDescent="0.25">
      <c r="A2846" s="1" t="str">
        <f>'001'!B2846</f>
        <v>004070</v>
      </c>
      <c r="B2846" s="1" t="str">
        <f>'001'!C2846</f>
        <v>3D PAD DE ESPUMA PURPURA CLARO DE CORTE/FINALIZADO (K-55LP)</v>
      </c>
      <c r="C2846" s="1" t="str">
        <f>'001'!D2846</f>
        <v>0902</v>
      </c>
      <c r="D2846" s="3" t="e">
        <f>'001'!H2846</f>
        <v>#VALUE!</v>
      </c>
    </row>
    <row r="2847" spans="1:4" x14ac:dyDescent="0.25">
      <c r="A2847" s="1" t="str">
        <f>'001'!B2847</f>
        <v>004071</v>
      </c>
      <c r="B2847" s="1" t="str">
        <f>'001'!C2847</f>
        <v>PAD ESPUMA NEGRO PULIDO/FINISH 3D 5.5 BLACK FOAM POLISHING(K-55BK)</v>
      </c>
      <c r="C2847" s="1" t="str">
        <f>'001'!D2847</f>
        <v>0902</v>
      </c>
      <c r="D2847" s="3" t="e">
        <f>'001'!H2847</f>
        <v>#VALUE!</v>
      </c>
    </row>
    <row r="2848" spans="1:4" x14ac:dyDescent="0.25">
      <c r="A2848" s="1" t="str">
        <f>'001'!B2848</f>
        <v>004075</v>
      </c>
      <c r="B2848" s="1" t="str">
        <f>'001'!C2848</f>
        <v>CM-077 AMARILLO VERDOSO X 1</v>
      </c>
      <c r="C2848" s="1" t="str">
        <f>'001'!D2848</f>
        <v>0132</v>
      </c>
      <c r="D2848" s="3" t="e">
        <f>'001'!H2848</f>
        <v>#VALUE!</v>
      </c>
    </row>
    <row r="2849" spans="1:4" x14ac:dyDescent="0.25">
      <c r="A2849" s="1" t="str">
        <f>'001'!B2849</f>
        <v>004076</v>
      </c>
      <c r="B2849" s="1" t="str">
        <f>'001'!C2849</f>
        <v>CM-078 NARANJA LIMPIO X 1</v>
      </c>
      <c r="C2849" s="1" t="str">
        <f>'001'!D2849</f>
        <v>0132</v>
      </c>
      <c r="D2849" s="3" t="e">
        <f>'001'!H2849</f>
        <v>#VALUE!</v>
      </c>
    </row>
    <row r="2850" spans="1:4" x14ac:dyDescent="0.25">
      <c r="A2850" s="1" t="str">
        <f>'001'!B2850</f>
        <v>004077</v>
      </c>
      <c r="B2850" s="1" t="str">
        <f>'001'!C2850</f>
        <v>CM-118 DOLAR ALUMINIO X 1</v>
      </c>
      <c r="C2850" s="1" t="str">
        <f>'001'!D2850</f>
        <v>0132</v>
      </c>
      <c r="D2850" s="3" t="e">
        <f>'001'!H2850</f>
        <v>#VALUE!</v>
      </c>
    </row>
    <row r="2851" spans="1:4" x14ac:dyDescent="0.25">
      <c r="A2851" s="1" t="str">
        <f>'001'!B2851</f>
        <v>004081</v>
      </c>
      <c r="B2851" s="1" t="str">
        <f>'001'!C2851</f>
        <v>ESMALTE POLIURETANO VARATHANE AL AGUA EXTERIOR BRILLANTE X 0,946(281910)</v>
      </c>
      <c r="C2851" s="1" t="str">
        <f>'001'!D2851</f>
        <v>0160</v>
      </c>
      <c r="D2851" s="3" t="e">
        <f>'001'!H2851</f>
        <v>#VALUE!</v>
      </c>
    </row>
    <row r="2852" spans="1:4" x14ac:dyDescent="0.25">
      <c r="A2852" s="1" t="str">
        <f>'001'!B2852</f>
        <v>004082</v>
      </c>
      <c r="B2852" s="1" t="str">
        <f>'001'!C2852</f>
        <v>ESMALTE POLIURETANO VARATHANE AL AGUA EXTERIOR BRILLANTE X 3,785(281936)</v>
      </c>
      <c r="C2852" s="1" t="str">
        <f>'001'!D2852</f>
        <v>0160</v>
      </c>
      <c r="D2852" s="3" t="e">
        <f>'001'!H2852</f>
        <v>#VALUE!</v>
      </c>
    </row>
    <row r="2853" spans="1:4" x14ac:dyDescent="0.25">
      <c r="A2853" s="1" t="str">
        <f>'001'!B2853</f>
        <v>004083</v>
      </c>
      <c r="B2853" s="1" t="str">
        <f>'001'!C2853</f>
        <v>ESMALTE POLIURETANO VARATHANE AL AGUA EXTERIOR SATINADO X 0,946 (281912)</v>
      </c>
      <c r="C2853" s="1" t="str">
        <f>'001'!D2853</f>
        <v>0160</v>
      </c>
      <c r="D2853" s="3" t="e">
        <f>'001'!H2853</f>
        <v>#VALUE!</v>
      </c>
    </row>
    <row r="2854" spans="1:4" x14ac:dyDescent="0.25">
      <c r="A2854" s="1" t="str">
        <f>'001'!B2854</f>
        <v>004084</v>
      </c>
      <c r="B2854" s="1" t="str">
        <f>'001'!C2854</f>
        <v>ESMALTE POLIURETANO VARATHANE AL AGUA EXTERIOR SATINADO X 3,785 (281938)</v>
      </c>
      <c r="C2854" s="1" t="str">
        <f>'001'!D2854</f>
        <v>0160</v>
      </c>
      <c r="D2854" s="3" t="e">
        <f>'001'!H2854</f>
        <v>#VALUE!</v>
      </c>
    </row>
    <row r="2855" spans="1:4" x14ac:dyDescent="0.25">
      <c r="A2855" s="1" t="str">
        <f>'001'!B2855</f>
        <v>004087</v>
      </c>
      <c r="B2855" s="1" t="str">
        <f>'001'!C2855</f>
        <v>DILUYENTE PARA PILETA Y DEMARCACION VIAL X  18</v>
      </c>
      <c r="C2855" s="1" t="str">
        <f>'001'!D2855</f>
        <v>0186</v>
      </c>
      <c r="D2855" s="3" t="e">
        <f>'001'!H2855</f>
        <v>#VALUE!</v>
      </c>
    </row>
    <row r="2856" spans="1:4" x14ac:dyDescent="0.25">
      <c r="A2856" s="1" t="str">
        <f>'001'!B2856</f>
        <v>004088</v>
      </c>
      <c r="B2856" s="1" t="str">
        <f>'001'!C2856</f>
        <v>DILUYENTE PARA PILETA Y DEMARCACION VIAL X 200</v>
      </c>
      <c r="C2856" s="1" t="str">
        <f>'001'!D2856</f>
        <v>0186</v>
      </c>
      <c r="D2856" s="3" t="e">
        <f>'001'!H2856</f>
        <v>#VALUE!</v>
      </c>
    </row>
    <row r="2857" spans="1:4" x14ac:dyDescent="0.25">
      <c r="A2857" s="1" t="str">
        <f>'001'!B2857</f>
        <v>004089</v>
      </c>
      <c r="B2857" s="1" t="str">
        <f>'001'!C2857</f>
        <v>CX-14 3B EFEITO VERDE LUMINOSO X 0 33</v>
      </c>
      <c r="C2857" s="1" t="str">
        <f>'001'!D2857</f>
        <v>0132</v>
      </c>
      <c r="D2857" s="3" t="e">
        <f>'001'!H2857</f>
        <v>#VALUE!</v>
      </c>
    </row>
    <row r="2858" spans="1:4" x14ac:dyDescent="0.25">
      <c r="A2858" s="1" t="str">
        <f>'001'!B2858</f>
        <v>004090</v>
      </c>
      <c r="B2858" s="1" t="str">
        <f>'001'!C2858</f>
        <v>CINTA DE CAUCHO AUTOADHESIVA PLAVICON RAPIPARCHE NEGRO 10X150</v>
      </c>
      <c r="C2858" s="1" t="str">
        <f>'001'!D2858</f>
        <v>0139</v>
      </c>
      <c r="D2858" s="3" t="e">
        <f>'001'!H2858</f>
        <v>#VALUE!</v>
      </c>
    </row>
    <row r="2859" spans="1:4" x14ac:dyDescent="0.25">
      <c r="A2859" s="1" t="str">
        <f>'001'!B2859</f>
        <v>004092</v>
      </c>
      <c r="B2859" s="1" t="str">
        <f>'001'!C2859</f>
        <v>CINTA DE CAUCHO AUTOADHESIVA PLAVICON RAPIPARCHE TRANSPARENTE 10X150</v>
      </c>
      <c r="C2859" s="1" t="str">
        <f>'001'!D2859</f>
        <v>0139</v>
      </c>
      <c r="D2859" s="3" t="e">
        <f>'001'!H2859</f>
        <v>#VALUE!</v>
      </c>
    </row>
    <row r="2860" spans="1:4" x14ac:dyDescent="0.25">
      <c r="A2860" s="1" t="str">
        <f>'001'!B2860</f>
        <v>004099</v>
      </c>
      <c r="B2860" s="1" t="str">
        <f>'001'!C2860</f>
        <v>REVESTIMIENTO TEXTURADO ALBA PETREO CLASSIC PARIS X  6</v>
      </c>
      <c r="C2860" s="1" t="str">
        <f>'001'!D2860</f>
        <v>0902</v>
      </c>
      <c r="D2860" s="3" t="e">
        <f>'001'!H2860</f>
        <v>#VALUE!</v>
      </c>
    </row>
    <row r="2861" spans="1:4" x14ac:dyDescent="0.25">
      <c r="A2861" s="1" t="str">
        <f>'001'!B2861</f>
        <v>004100</v>
      </c>
      <c r="B2861" s="1" t="str">
        <f>'001'!C2861</f>
        <v>REVESTIMIENTO TEXTURADO ALBA PETREO CLASSIC PARIS X 30</v>
      </c>
      <c r="C2861" s="1" t="str">
        <f>'001'!D2861</f>
        <v>0902</v>
      </c>
      <c r="D2861" s="3" t="e">
        <f>'001'!H2861</f>
        <v>#VALUE!</v>
      </c>
    </row>
    <row r="2862" spans="1:4" x14ac:dyDescent="0.25">
      <c r="A2862" s="1" t="str">
        <f>'001'!B2862</f>
        <v>004108</v>
      </c>
      <c r="B2862" s="1" t="str">
        <f>'001'!C2862</f>
        <v>ESMALTE EPOXI TERSUAVE INDULAC BERMELLON X 20</v>
      </c>
      <c r="C2862" s="1" t="str">
        <f>'001'!D2862</f>
        <v>0153</v>
      </c>
      <c r="D2862" s="3" t="e">
        <f>'001'!H2862</f>
        <v>#VALUE!</v>
      </c>
    </row>
    <row r="2863" spans="1:4" x14ac:dyDescent="0.25">
      <c r="A2863" s="1" t="str">
        <f>'001'!B2863</f>
        <v>004115</v>
      </c>
      <c r="B2863" s="1" t="str">
        <f>'001'!C2863</f>
        <v>DILUYENTE 20-05 X 20</v>
      </c>
      <c r="C2863" s="1" t="str">
        <f>'001'!D2863</f>
        <v>0162</v>
      </c>
      <c r="D2863" s="3" t="e">
        <f>'001'!H2863</f>
        <v>#VALUE!</v>
      </c>
    </row>
    <row r="2864" spans="1:4" x14ac:dyDescent="0.25">
      <c r="A2864" s="1" t="str">
        <f>'001'!B2864</f>
        <v>004116</v>
      </c>
      <c r="B2864" s="1" t="str">
        <f>'001'!C2864</f>
        <v>SIGMATHERM 500 X 5</v>
      </c>
      <c r="C2864" s="1" t="str">
        <f>'001'!D2864</f>
        <v>0162</v>
      </c>
      <c r="D2864" s="3" t="e">
        <f>'001'!H2864</f>
        <v>#VALUE!</v>
      </c>
    </row>
    <row r="2865" spans="1:4" x14ac:dyDescent="0.25">
      <c r="A2865" s="1" t="str">
        <f>'001'!B2865</f>
        <v>004117</v>
      </c>
      <c r="B2865" s="1" t="str">
        <f>'001'!C2865</f>
        <v>SIGMASHIELD 880 BAS GREY (BAS15+HRD5) X 20</v>
      </c>
      <c r="C2865" s="1" t="str">
        <f>'001'!D2865</f>
        <v>0162</v>
      </c>
      <c r="D2865" s="3" t="e">
        <f>'001'!H2865</f>
        <v>#VALUE!</v>
      </c>
    </row>
    <row r="2866" spans="1:4" x14ac:dyDescent="0.25">
      <c r="A2866" s="1" t="str">
        <f>'001'!B2866</f>
        <v>004126</v>
      </c>
      <c r="B2866" s="1" t="str">
        <f>'001'!C2866</f>
        <v>SELLADOR AUTOMOTRIZ PARABRISA PU BLANCO X 0,400</v>
      </c>
      <c r="C2866" s="1" t="str">
        <f>'001'!D2866</f>
        <v>0167</v>
      </c>
      <c r="D2866" s="3" t="e">
        <f>'001'!H2866</f>
        <v>#VALUE!</v>
      </c>
    </row>
    <row r="2867" spans="1:4" x14ac:dyDescent="0.25">
      <c r="A2867" s="1" t="str">
        <f>'001'!B2867</f>
        <v>004127</v>
      </c>
      <c r="B2867" s="1" t="str">
        <f>'001'!C2867</f>
        <v>SELL. AUTO. CARRO. PU GRIS X 0,400</v>
      </c>
      <c r="C2867" s="1" t="str">
        <f>'001'!D2867</f>
        <v>0167</v>
      </c>
      <c r="D2867" s="3" t="e">
        <f>'001'!H2867</f>
        <v>#VALUE!</v>
      </c>
    </row>
    <row r="2868" spans="1:4" x14ac:dyDescent="0.25">
      <c r="A2868" s="1" t="str">
        <f>'001'!B2868</f>
        <v>004128</v>
      </c>
      <c r="B2868" s="1" t="str">
        <f>'001'!C2868</f>
        <v>SELLADOR AUTOMOTRIZ CARROCERIA PU BLANCO X 0,400</v>
      </c>
      <c r="C2868" s="1" t="str">
        <f>'001'!D2868</f>
        <v>0167</v>
      </c>
      <c r="D2868" s="3" t="e">
        <f>'001'!H2868</f>
        <v>#VALUE!</v>
      </c>
    </row>
    <row r="2869" spans="1:4" x14ac:dyDescent="0.25">
      <c r="A2869" s="1" t="str">
        <f>'001'!B2869</f>
        <v>004129</v>
      </c>
      <c r="B2869" s="1" t="str">
        <f>'001'!C2869</f>
        <v>ADAPTADOR PARA RUEDA DE REMOCION DE ADHESIVO</v>
      </c>
      <c r="C2869" s="1" t="str">
        <f>'001'!D2869</f>
        <v>0167</v>
      </c>
      <c r="D2869" s="3" t="e">
        <f>'001'!H2869</f>
        <v>#VALUE!</v>
      </c>
    </row>
    <row r="2870" spans="1:4" x14ac:dyDescent="0.25">
      <c r="A2870" s="1" t="str">
        <f>'001'!B2870</f>
        <v>004136</v>
      </c>
      <c r="B2870" s="1" t="str">
        <f>'001'!C2870</f>
        <v>TAZA MEDIDORA RIGIDA NORTON PSN 8/250</v>
      </c>
      <c r="C2870" s="1" t="str">
        <f>'001'!D2870</f>
        <v>0902</v>
      </c>
      <c r="D2870" s="3" t="e">
        <f>'001'!H2870</f>
        <v>#VALUE!</v>
      </c>
    </row>
    <row r="2871" spans="1:4" x14ac:dyDescent="0.25">
      <c r="A2871" s="1" t="str">
        <f>'001'!B2871</f>
        <v>004137</v>
      </c>
      <c r="B2871" s="1" t="str">
        <f>'001'!C2871</f>
        <v>TAZA MEDIDORA RIGIDA NORTON PSN 25/750</v>
      </c>
      <c r="C2871" s="1" t="str">
        <f>'001'!D2871</f>
        <v>0902</v>
      </c>
      <c r="D2871" s="3" t="e">
        <f>'001'!H2871</f>
        <v>#VALUE!</v>
      </c>
    </row>
    <row r="2872" spans="1:4" x14ac:dyDescent="0.25">
      <c r="A2872" s="1" t="str">
        <f>'001'!B2872</f>
        <v>004138</v>
      </c>
      <c r="B2872" s="1" t="str">
        <f>'001'!C2872</f>
        <v>TAZA MEDIDORA RIGIDA NORTON PSN 32/950</v>
      </c>
      <c r="C2872" s="1" t="str">
        <f>'001'!D2872</f>
        <v>0167</v>
      </c>
      <c r="D2872" s="3" t="e">
        <f>'001'!H2872</f>
        <v>#VALUE!</v>
      </c>
    </row>
    <row r="2873" spans="1:4" x14ac:dyDescent="0.25">
      <c r="A2873" s="1" t="str">
        <f>'001'!B2873</f>
        <v>004141</v>
      </c>
      <c r="B2873" s="1" t="str">
        <f>'001'!C2873</f>
        <v>TINTA PARA MADERA VARATHANE BLANCO ANTIGUO X 0,237(315204)</v>
      </c>
      <c r="C2873" s="1" t="str">
        <f>'001'!D2873</f>
        <v>0902</v>
      </c>
      <c r="D2873" s="3" t="e">
        <f>'001'!H2873</f>
        <v>#VALUE!</v>
      </c>
    </row>
    <row r="2874" spans="1:4" x14ac:dyDescent="0.25">
      <c r="A2874" s="1" t="str">
        <f>'001'!B2874</f>
        <v>004142</v>
      </c>
      <c r="B2874" s="1" t="str">
        <f>'001'!C2874</f>
        <v>TINTA PARA MADERA VARATHANE AZUL DESTENIDO X 0,237(315205)</v>
      </c>
      <c r="C2874" s="1" t="str">
        <f>'001'!D2874</f>
        <v>0160</v>
      </c>
      <c r="D2874" s="3" t="e">
        <f>'001'!H2874</f>
        <v>#VALUE!</v>
      </c>
    </row>
    <row r="2875" spans="1:4" x14ac:dyDescent="0.25">
      <c r="A2875" s="1" t="str">
        <f>'001'!B2875</f>
        <v>004143</v>
      </c>
      <c r="B2875" s="1" t="str">
        <f>'001'!C2875</f>
        <v>TINTA PARA MADERA VARATHANE CELESTE VINTAGE X 0,237(315206)</v>
      </c>
      <c r="C2875" s="1" t="str">
        <f>'001'!D2875</f>
        <v>0160</v>
      </c>
      <c r="D2875" s="3" t="e">
        <f>'001'!H2875</f>
        <v>#VALUE!</v>
      </c>
    </row>
    <row r="2876" spans="1:4" x14ac:dyDescent="0.25">
      <c r="A2876" s="1" t="str">
        <f>'001'!B2876</f>
        <v>004145</v>
      </c>
      <c r="B2876" s="1" t="str">
        <f>'001'!C2876</f>
        <v>ESTABILIZADORES ANDAMIO MULTIUSO EQUUS</v>
      </c>
      <c r="C2876" s="1" t="str">
        <f>'001'!D2876</f>
        <v>0161</v>
      </c>
      <c r="D2876" s="3" t="e">
        <f>'001'!H2876</f>
        <v>#VALUE!</v>
      </c>
    </row>
    <row r="2877" spans="1:4" x14ac:dyDescent="0.25">
      <c r="A2877" s="1" t="str">
        <f>'001'!B2877</f>
        <v>004147</v>
      </c>
      <c r="B2877" s="1" t="str">
        <f>'001'!C2877</f>
        <v>PULIDORA 3D ROTO ORBITAL (L-35)</v>
      </c>
      <c r="C2877" s="1" t="str">
        <f>'001'!D2877</f>
        <v>0191</v>
      </c>
      <c r="D2877" s="3" t="e">
        <f>'001'!H2877</f>
        <v>#VALUE!</v>
      </c>
    </row>
    <row r="2878" spans="1:4" x14ac:dyDescent="0.25">
      <c r="A2878" s="1" t="str">
        <f>'001'!B2878</f>
        <v>004149</v>
      </c>
      <c r="B2878" s="1" t="str">
        <f>'001'!C2878</f>
        <v>IMPERMEABILIZANTE PARA TECHOS DURALBA FIBRADO SATINADO BLANCO X  1</v>
      </c>
      <c r="C2878" s="1" t="str">
        <f>'001'!D2878</f>
        <v>0902</v>
      </c>
      <c r="D2878" s="3" t="e">
        <f>'001'!H2878</f>
        <v>#VALUE!</v>
      </c>
    </row>
    <row r="2879" spans="1:4" x14ac:dyDescent="0.25">
      <c r="A2879" s="1" t="str">
        <f>'001'!B2879</f>
        <v>004150</v>
      </c>
      <c r="B2879" s="1" t="str">
        <f>'001'!C2879</f>
        <v>IMPERMEABILIZANTE PARA TECHOS DURALBA FIBRADO SATINADO BLANCO X  4</v>
      </c>
      <c r="C2879" s="1" t="str">
        <f>'001'!D2879</f>
        <v>0902</v>
      </c>
      <c r="D2879" s="3" t="e">
        <f>'001'!H2879</f>
        <v>#VALUE!</v>
      </c>
    </row>
    <row r="2880" spans="1:4" x14ac:dyDescent="0.25">
      <c r="A2880" s="1" t="str">
        <f>'001'!B2880</f>
        <v>004151</v>
      </c>
      <c r="B2880" s="1" t="str">
        <f>'001'!C2880</f>
        <v>IMPERMEABILIZANTE PARA TECHOS DURALBA FIBRADO SATINADO BLANCO X 10</v>
      </c>
      <c r="C2880" s="1" t="str">
        <f>'001'!D2880</f>
        <v>0902</v>
      </c>
      <c r="D2880" s="3" t="e">
        <f>'001'!H2880</f>
        <v>#VALUE!</v>
      </c>
    </row>
    <row r="2881" spans="1:4" x14ac:dyDescent="0.25">
      <c r="A2881" s="1" t="str">
        <f>'001'!B2881</f>
        <v>004152</v>
      </c>
      <c r="B2881" s="1" t="str">
        <f>'001'!C2881</f>
        <v>IMPERMEABILIZANTE PARA TECHOS DURALBA FIBRADO SATINADO BLANCO X 20</v>
      </c>
      <c r="C2881" s="1" t="str">
        <f>'001'!D2881</f>
        <v>0902</v>
      </c>
      <c r="D2881" s="3" t="e">
        <f>'001'!H2881</f>
        <v>#VALUE!</v>
      </c>
    </row>
    <row r="2882" spans="1:4" x14ac:dyDescent="0.25">
      <c r="A2882" s="1" t="str">
        <f>'001'!B2882</f>
        <v>004153</v>
      </c>
      <c r="B2882" s="1" t="str">
        <f>'001'!C2882</f>
        <v>ESMALTE SINTETICO TERSUAVE TRIPLE ACCION DECOLUX BRILLANTE BERMELLON X  1</v>
      </c>
      <c r="C2882" s="1" t="str">
        <f>'001'!D2882</f>
        <v>0152</v>
      </c>
      <c r="D2882" s="3" t="e">
        <f>'001'!H2882</f>
        <v>#VALUE!</v>
      </c>
    </row>
    <row r="2883" spans="1:4" x14ac:dyDescent="0.25">
      <c r="A2883" s="1" t="str">
        <f>'001'!B2883</f>
        <v>004154</v>
      </c>
      <c r="B2883" s="1" t="str">
        <f>'001'!C2883</f>
        <v>ESMALTE SINTETICO TERSUAVE TRIPLE ACCION DECOLUX BRILLANTE BERMELLON X  4</v>
      </c>
      <c r="C2883" s="1" t="str">
        <f>'001'!D2883</f>
        <v>0152</v>
      </c>
      <c r="D2883" s="3" t="e">
        <f>'001'!H2883</f>
        <v>#VALUE!</v>
      </c>
    </row>
    <row r="2884" spans="1:4" x14ac:dyDescent="0.25">
      <c r="A2884" s="1" t="str">
        <f>'001'!B2884</f>
        <v>004155</v>
      </c>
      <c r="B2884" s="1" t="str">
        <f>'001'!C2884</f>
        <v>ESMALTE SINTETICO TERSUAVE TRIPLE ACCION DECOLUX BRILLANTE BERMELLON X 20</v>
      </c>
      <c r="C2884" s="1" t="str">
        <f>'001'!D2884</f>
        <v>0152</v>
      </c>
      <c r="D2884" s="3" t="e">
        <f>'001'!H2884</f>
        <v>#VALUE!</v>
      </c>
    </row>
    <row r="2885" spans="1:4" x14ac:dyDescent="0.25">
      <c r="A2885" s="1" t="str">
        <f>'001'!B2885</f>
        <v>004156</v>
      </c>
      <c r="B2885" s="1" t="str">
        <f>'001'!C2885</f>
        <v>ESMALTE SINTETICO TERSUAVE TRIPLE ACCION DECOLUX BRILLANTE AMARILLO X  1</v>
      </c>
      <c r="C2885" s="1" t="str">
        <f>'001'!D2885</f>
        <v>0152</v>
      </c>
      <c r="D2885" s="3" t="e">
        <f>'001'!H2885</f>
        <v>#VALUE!</v>
      </c>
    </row>
    <row r="2886" spans="1:4" x14ac:dyDescent="0.25">
      <c r="A2886" s="1" t="str">
        <f>'001'!B2886</f>
        <v>004157</v>
      </c>
      <c r="B2886" s="1" t="str">
        <f>'001'!C2886</f>
        <v>ESMALTE SINTETICO TERSUAVE TRIPLE ACCION DECOLUX BRILLANTE AMARILLO X  4</v>
      </c>
      <c r="C2886" s="1" t="str">
        <f>'001'!D2886</f>
        <v>0152</v>
      </c>
      <c r="D2886" s="3" t="e">
        <f>'001'!H2886</f>
        <v>#VALUE!</v>
      </c>
    </row>
    <row r="2887" spans="1:4" x14ac:dyDescent="0.25">
      <c r="A2887" s="1" t="str">
        <f>'001'!B2887</f>
        <v>004158</v>
      </c>
      <c r="B2887" s="1" t="str">
        <f>'001'!C2887</f>
        <v>ESMALTE SINTETICO TERSUAVE TRIPLE ACCION DECOLUX BRILLANTE AMARILLO X 20</v>
      </c>
      <c r="C2887" s="1" t="str">
        <f>'001'!D2887</f>
        <v>0152</v>
      </c>
      <c r="D2887" s="3" t="e">
        <f>'001'!H2887</f>
        <v>#VALUE!</v>
      </c>
    </row>
    <row r="2888" spans="1:4" x14ac:dyDescent="0.25">
      <c r="A2888" s="1" t="str">
        <f>'001'!B2888</f>
        <v>004159</v>
      </c>
      <c r="B2888" s="1" t="str">
        <f>'001'!C2888</f>
        <v>ESMALTE SINTETICO TERSUAVE TRIPLE ACCION DECOLUX BRILLANTE VERDE INGLES X  1</v>
      </c>
      <c r="C2888" s="1" t="str">
        <f>'001'!D2888</f>
        <v>0152</v>
      </c>
      <c r="D2888" s="3" t="e">
        <f>'001'!H2888</f>
        <v>#VALUE!</v>
      </c>
    </row>
    <row r="2889" spans="1:4" x14ac:dyDescent="0.25">
      <c r="A2889" s="1" t="str">
        <f>'001'!B2889</f>
        <v>004160</v>
      </c>
      <c r="B2889" s="1" t="str">
        <f>'001'!C2889</f>
        <v>ESMALTE SINTETICO TERSUAVE TRIPLE ACCION DECOLUX BRILLANTE VERDE INGLES X  4</v>
      </c>
      <c r="C2889" s="1" t="str">
        <f>'001'!D2889</f>
        <v>0152</v>
      </c>
      <c r="D2889" s="3" t="e">
        <f>'001'!H2889</f>
        <v>#VALUE!</v>
      </c>
    </row>
    <row r="2890" spans="1:4" x14ac:dyDescent="0.25">
      <c r="A2890" s="1" t="str">
        <f>'001'!B2890</f>
        <v>004161</v>
      </c>
      <c r="B2890" s="1" t="str">
        <f>'001'!C2890</f>
        <v>ESMALTE SINTETICO TERSUAVE TRIPLE ACCION DECOLUX BRILLANTE VERDE INGLES X 20</v>
      </c>
      <c r="C2890" s="1" t="str">
        <f>'001'!D2890</f>
        <v>0152</v>
      </c>
      <c r="D2890" s="3" t="e">
        <f>'001'!H2890</f>
        <v>#VALUE!</v>
      </c>
    </row>
    <row r="2891" spans="1:4" x14ac:dyDescent="0.25">
      <c r="A2891" s="1" t="str">
        <f>'001'!B2891</f>
        <v>004162</v>
      </c>
      <c r="B2891" s="1" t="str">
        <f>'001'!C2891</f>
        <v>ESMALTE SINTETICO TERSUAVE TRIPLE ACCION DECOLUX BRILLANTE AZUL X  1</v>
      </c>
      <c r="C2891" s="1" t="str">
        <f>'001'!D2891</f>
        <v>0152</v>
      </c>
      <c r="D2891" s="3" t="e">
        <f>'001'!H2891</f>
        <v>#VALUE!</v>
      </c>
    </row>
    <row r="2892" spans="1:4" x14ac:dyDescent="0.25">
      <c r="A2892" s="1" t="str">
        <f>'001'!B2892</f>
        <v>004163</v>
      </c>
      <c r="B2892" s="1" t="str">
        <f>'001'!C2892</f>
        <v>ESMALTE SINTETICO TERSUAVE TRIPLE ACCION DECOLUX BRILLANTE AZUL X  4</v>
      </c>
      <c r="C2892" s="1" t="str">
        <f>'001'!D2892</f>
        <v>0152</v>
      </c>
      <c r="D2892" s="3" t="e">
        <f>'001'!H2892</f>
        <v>#VALUE!</v>
      </c>
    </row>
    <row r="2893" spans="1:4" x14ac:dyDescent="0.25">
      <c r="A2893" s="1" t="str">
        <f>'001'!B2893</f>
        <v>004164</v>
      </c>
      <c r="B2893" s="1" t="str">
        <f>'001'!C2893</f>
        <v>ESMALTE SINTETICO TERSUAVE TRIPLE ACCION DECOLUX BRILLANTE AZUL X 20</v>
      </c>
      <c r="C2893" s="1" t="str">
        <f>'001'!D2893</f>
        <v>0152</v>
      </c>
      <c r="D2893" s="3" t="e">
        <f>'001'!H2893</f>
        <v>#VALUE!</v>
      </c>
    </row>
    <row r="2894" spans="1:4" x14ac:dyDescent="0.25">
      <c r="A2894" s="1" t="str">
        <f>'001'!B2894</f>
        <v>004165</v>
      </c>
      <c r="B2894" s="1" t="str">
        <f>'001'!C2894</f>
        <v>ESMALTE SINTETICO TERSUAVE TRIPLE ACCION DECOLUX BRILLANTE GRIS ESPACIAL X  1</v>
      </c>
      <c r="C2894" s="1" t="str">
        <f>'001'!D2894</f>
        <v>0152</v>
      </c>
      <c r="D2894" s="3" t="e">
        <f>'001'!H2894</f>
        <v>#VALUE!</v>
      </c>
    </row>
    <row r="2895" spans="1:4" x14ac:dyDescent="0.25">
      <c r="A2895" s="1" t="str">
        <f>'001'!B2895</f>
        <v>004166</v>
      </c>
      <c r="B2895" s="1" t="str">
        <f>'001'!C2895</f>
        <v>ESMALTE SINTETICO TERSUAVE TRIPLE ACCION DECOLUX BRILLANTE GRIS ESPACIAL X  4</v>
      </c>
      <c r="C2895" s="1" t="str">
        <f>'001'!D2895</f>
        <v>0152</v>
      </c>
      <c r="D2895" s="3" t="e">
        <f>'001'!H2895</f>
        <v>#VALUE!</v>
      </c>
    </row>
    <row r="2896" spans="1:4" x14ac:dyDescent="0.25">
      <c r="A2896" s="1" t="str">
        <f>'001'!B2896</f>
        <v>004167</v>
      </c>
      <c r="B2896" s="1" t="str">
        <f>'001'!C2896</f>
        <v>ESMALTE SINTETICO TERSUAVE TRIPLE ACCION DECOLUX BRILLANTE GRIS ESPACIAL X 20</v>
      </c>
      <c r="C2896" s="1" t="str">
        <f>'001'!D2896</f>
        <v>0152</v>
      </c>
      <c r="D2896" s="3" t="e">
        <f>'001'!H2896</f>
        <v>#VALUE!</v>
      </c>
    </row>
    <row r="2897" spans="1:4" x14ac:dyDescent="0.25">
      <c r="A2897" s="1" t="str">
        <f>'001'!B2897</f>
        <v>004168</v>
      </c>
      <c r="B2897" s="1" t="str">
        <f>'001'!C2897</f>
        <v>ESMALTE SINTETICO TERSUAVE TRIPLE ACCION DECOLUX BRILLANTE NEGRO X  1</v>
      </c>
      <c r="C2897" s="1" t="str">
        <f>'001'!D2897</f>
        <v>0152</v>
      </c>
      <c r="D2897" s="3" t="e">
        <f>'001'!H2897</f>
        <v>#VALUE!</v>
      </c>
    </row>
    <row r="2898" spans="1:4" x14ac:dyDescent="0.25">
      <c r="A2898" s="1" t="str">
        <f>'001'!B2898</f>
        <v>004169</v>
      </c>
      <c r="B2898" s="1" t="str">
        <f>'001'!C2898</f>
        <v>ESMALTE SINTETICO TERSUAVE TRIPLE ACCION DECOLUX BRILLANTE NEGRO X  4</v>
      </c>
      <c r="C2898" s="1" t="str">
        <f>'001'!D2898</f>
        <v>0152</v>
      </c>
      <c r="D2898" s="3" t="e">
        <f>'001'!H2898</f>
        <v>#VALUE!</v>
      </c>
    </row>
    <row r="2899" spans="1:4" x14ac:dyDescent="0.25">
      <c r="A2899" s="1" t="str">
        <f>'001'!B2899</f>
        <v>004170</v>
      </c>
      <c r="B2899" s="1" t="str">
        <f>'001'!C2899</f>
        <v>ESMALTE SINTETICO TERSUAVE TRIPLE ACCION DECOLUX BRILLANTE NEGRO X 20</v>
      </c>
      <c r="C2899" s="1" t="str">
        <f>'001'!D2899</f>
        <v>0152</v>
      </c>
      <c r="D2899" s="3" t="e">
        <f>'001'!H2899</f>
        <v>#VALUE!</v>
      </c>
    </row>
    <row r="2900" spans="1:4" x14ac:dyDescent="0.25">
      <c r="A2900" s="1" t="str">
        <f>'001'!B2900</f>
        <v>004171</v>
      </c>
      <c r="B2900" s="1" t="str">
        <f>'001'!C2900</f>
        <v>ESMALTE SINTETICO TERSUAVE TRIPLE ACCION DECOLUX BRILLANTE GRIS OSCURO X  1</v>
      </c>
      <c r="C2900" s="1" t="str">
        <f>'001'!D2900</f>
        <v>0152</v>
      </c>
      <c r="D2900" s="3" t="e">
        <f>'001'!H2900</f>
        <v>#VALUE!</v>
      </c>
    </row>
    <row r="2901" spans="1:4" x14ac:dyDescent="0.25">
      <c r="A2901" s="1" t="str">
        <f>'001'!B2901</f>
        <v>004172</v>
      </c>
      <c r="B2901" s="1" t="str">
        <f>'001'!C2901</f>
        <v>ESMALTE SINTETICO TERSUAVE TRIPLE ACCION DECOLUX BRILLANTE GRIS OSCURO X  4</v>
      </c>
      <c r="C2901" s="1" t="str">
        <f>'001'!D2901</f>
        <v>0152</v>
      </c>
      <c r="D2901" s="3" t="e">
        <f>'001'!H2901</f>
        <v>#VALUE!</v>
      </c>
    </row>
    <row r="2902" spans="1:4" x14ac:dyDescent="0.25">
      <c r="A2902" s="1" t="str">
        <f>'001'!B2902</f>
        <v>004173</v>
      </c>
      <c r="B2902" s="1" t="str">
        <f>'001'!C2902</f>
        <v>ESMALTE SINTETICO TERSUAVE TRIPLE ACCION DECOLUX BRILLANTE GRIS OSCURO X 20</v>
      </c>
      <c r="C2902" s="1" t="str">
        <f>'001'!D2902</f>
        <v>0152</v>
      </c>
      <c r="D2902" s="3" t="e">
        <f>'001'!H2902</f>
        <v>#VALUE!</v>
      </c>
    </row>
    <row r="2903" spans="1:4" x14ac:dyDescent="0.25">
      <c r="A2903" s="1" t="str">
        <f>'001'!B2903</f>
        <v>004175</v>
      </c>
      <c r="B2903" s="1" t="str">
        <f>'001'!C2903</f>
        <v>TINTA PARA MADERA VARATHANE DESCOLORIDO X 0,237(281754)</v>
      </c>
      <c r="C2903" s="1" t="str">
        <f>'001'!D2903</f>
        <v>0160</v>
      </c>
      <c r="D2903" s="3" t="e">
        <f>'001'!H2903</f>
        <v>#VALUE!</v>
      </c>
    </row>
    <row r="2904" spans="1:4" x14ac:dyDescent="0.25">
      <c r="A2904" s="1" t="str">
        <f>'001'!B2904</f>
        <v>004176</v>
      </c>
      <c r="B2904" s="1" t="str">
        <f>'001'!C2904</f>
        <v>TINTA PARA MADERA VARATHANE ROBLE DE VERANO X 0,237(281755)</v>
      </c>
      <c r="C2904" s="1" t="str">
        <f>'001'!D2904</f>
        <v>0160</v>
      </c>
      <c r="D2904" s="3" t="e">
        <f>'001'!H2904</f>
        <v>#VALUE!</v>
      </c>
    </row>
    <row r="2905" spans="1:4" x14ac:dyDescent="0.25">
      <c r="A2905" s="1" t="str">
        <f>'001'!B2905</f>
        <v>004177</v>
      </c>
      <c r="B2905" s="1" t="str">
        <f>'001'!C2905</f>
        <v>TINTA PARA MADERA VARATHANE CEREZO TRADICIONAL X 0,237(281756)</v>
      </c>
      <c r="C2905" s="1" t="str">
        <f>'001'!D2905</f>
        <v>0160</v>
      </c>
      <c r="D2905" s="3" t="e">
        <f>'001'!H2905</f>
        <v>#VALUE!</v>
      </c>
    </row>
    <row r="2906" spans="1:4" x14ac:dyDescent="0.25">
      <c r="A2906" s="1" t="str">
        <f>'001'!B2906</f>
        <v>004178</v>
      </c>
      <c r="B2906" s="1" t="str">
        <f>'001'!C2906</f>
        <v>TINTA PARA MADERA VARATHANE ARCE COLONIAL X 0.237(281757)</v>
      </c>
      <c r="C2906" s="1" t="str">
        <f>'001'!D2906</f>
        <v>0160</v>
      </c>
      <c r="D2906" s="3" t="e">
        <f>'001'!H2906</f>
        <v>#VALUE!</v>
      </c>
    </row>
    <row r="2907" spans="1:4" x14ac:dyDescent="0.25">
      <c r="A2907" s="1" t="str">
        <f>'001'!B2907</f>
        <v>004179</v>
      </c>
      <c r="B2907" s="1" t="str">
        <f>'001'!C2907</f>
        <v>TINTA PARA MADERA VARATHANE NOGAL AMERICANO X 0,237(281759)</v>
      </c>
      <c r="C2907" s="1" t="str">
        <f>'001'!D2907</f>
        <v>0160</v>
      </c>
      <c r="D2907" s="3" t="e">
        <f>'001'!H2907</f>
        <v>#VALUE!</v>
      </c>
    </row>
    <row r="2908" spans="1:4" x14ac:dyDescent="0.25">
      <c r="A2908" s="1" t="str">
        <f>'001'!B2908</f>
        <v>004180</v>
      </c>
      <c r="B2908" s="1" t="str">
        <f>'001'!C2908</f>
        <v>TINTA PARA MADERA VARATHANE NOGAL OSCURO X 0.237(281760)</v>
      </c>
      <c r="C2908" s="1" t="str">
        <f>'001'!D2908</f>
        <v>0160</v>
      </c>
      <c r="D2908" s="3" t="e">
        <f>'001'!H2908</f>
        <v>#VALUE!</v>
      </c>
    </row>
    <row r="2909" spans="1:4" x14ac:dyDescent="0.25">
      <c r="A2909" s="1" t="str">
        <f>'001'!B2909</f>
        <v>004181</v>
      </c>
      <c r="B2909" s="1" t="str">
        <f>'001'!C2909</f>
        <v>TINTA PARA MADERA VARATHANE CABERNET X 0.237(281761)</v>
      </c>
      <c r="C2909" s="1" t="str">
        <f>'001'!D2909</f>
        <v>0160</v>
      </c>
      <c r="D2909" s="3" t="e">
        <f>'001'!H2909</f>
        <v>#VALUE!</v>
      </c>
    </row>
    <row r="2910" spans="1:4" x14ac:dyDescent="0.25">
      <c r="A2910" s="1" t="str">
        <f>'001'!B2910</f>
        <v>004182</v>
      </c>
      <c r="B2910" s="1" t="str">
        <f>'001'!C2910</f>
        <v>TINTA PARA MADERA VARATHANE CEREZO NEGRO X 0,237(281762)</v>
      </c>
      <c r="C2910" s="1" t="str">
        <f>'001'!D2910</f>
        <v>0160</v>
      </c>
      <c r="D2910" s="3" t="e">
        <f>'001'!H2910</f>
        <v>#VALUE!</v>
      </c>
    </row>
    <row r="2911" spans="1:4" x14ac:dyDescent="0.25">
      <c r="A2911" s="1" t="str">
        <f>'001'!B2911</f>
        <v>004183</v>
      </c>
      <c r="B2911" s="1" t="str">
        <f>'001'!C2911</f>
        <v>TINTA PARA MADERA VARATHANE KONA X 0,237(281763)</v>
      </c>
      <c r="C2911" s="1" t="str">
        <f>'001'!D2911</f>
        <v>0160</v>
      </c>
      <c r="D2911" s="3" t="e">
        <f>'001'!H2911</f>
        <v>#VALUE!</v>
      </c>
    </row>
    <row r="2912" spans="1:4" x14ac:dyDescent="0.25">
      <c r="A2912" s="1" t="str">
        <f>'001'!B2912</f>
        <v>004184</v>
      </c>
      <c r="B2912" s="1" t="str">
        <f>'001'!C2912</f>
        <v>TINTA PARA MADERA VARATHANE EBANO X 0,237(281764)</v>
      </c>
      <c r="C2912" s="1" t="str">
        <f>'001'!D2912</f>
        <v>0160</v>
      </c>
      <c r="D2912" s="3" t="e">
        <f>'001'!H2912</f>
        <v>#VALUE!</v>
      </c>
    </row>
    <row r="2913" spans="1:4" x14ac:dyDescent="0.25">
      <c r="A2913" s="1" t="str">
        <f>'001'!B2913</f>
        <v>004186</v>
      </c>
      <c r="B2913" s="1" t="str">
        <f>'001'!C2913</f>
        <v>TINTA PARA MADERA VARATHANE NOGAL CLARO X 0,237(281758)</v>
      </c>
      <c r="C2913" s="1" t="str">
        <f>'001'!D2913</f>
        <v>0160</v>
      </c>
      <c r="D2913" s="3" t="e">
        <f>'001'!H2913</f>
        <v>#VALUE!</v>
      </c>
    </row>
    <row r="2914" spans="1:4" x14ac:dyDescent="0.25">
      <c r="A2914" s="1" t="str">
        <f>'001'!B2914</f>
        <v>004189</v>
      </c>
      <c r="B2914" s="1" t="str">
        <f>'001'!C2914</f>
        <v>SISTEMA KIT LINER PSN 190Ï¿½ 8/250</v>
      </c>
      <c r="C2914" s="1" t="str">
        <f>'001'!D2914</f>
        <v>0167</v>
      </c>
      <c r="D2914" s="3" t="e">
        <f>'001'!H2914</f>
        <v>#VALUE!</v>
      </c>
    </row>
    <row r="2915" spans="1:4" x14ac:dyDescent="0.25">
      <c r="A2915" s="1" t="str">
        <f>'001'!B2915</f>
        <v>004190</v>
      </c>
      <c r="B2915" s="1" t="str">
        <f>'001'!C2915</f>
        <v>SISTEMA KIT LINER PSN 190Ï¿½ 25/750</v>
      </c>
      <c r="C2915" s="1" t="str">
        <f>'001'!D2915</f>
        <v>0167</v>
      </c>
      <c r="D2915" s="3" t="e">
        <f>'001'!H2915</f>
        <v>#VALUE!</v>
      </c>
    </row>
    <row r="2916" spans="1:4" x14ac:dyDescent="0.25">
      <c r="A2916" s="1" t="str">
        <f>'001'!B2916</f>
        <v>004191</v>
      </c>
      <c r="B2916" s="1" t="str">
        <f>'001'!C2916</f>
        <v>SISTEMA KIT LINER PSN 190Ï¿½ 32/950</v>
      </c>
      <c r="C2916" s="1" t="str">
        <f>'001'!D2916</f>
        <v>0167</v>
      </c>
      <c r="D2916" s="3" t="e">
        <f>'001'!H2916</f>
        <v>#VALUE!</v>
      </c>
    </row>
    <row r="2917" spans="1:4" x14ac:dyDescent="0.25">
      <c r="A2917" s="1" t="str">
        <f>'001'!B2917</f>
        <v>004192</v>
      </c>
      <c r="B2917" s="1" t="str">
        <f>'001'!C2917</f>
        <v>SOPORTE 6 AGUJ.SPEED GRIP 152X0X6</v>
      </c>
      <c r="C2917" s="1" t="str">
        <f>'001'!D2917</f>
        <v>0167</v>
      </c>
      <c r="D2917" s="3" t="e">
        <f>'001'!H2917</f>
        <v>#VALUE!</v>
      </c>
    </row>
    <row r="2918" spans="1:4" x14ac:dyDescent="0.25">
      <c r="A2918" s="1" t="str">
        <f>'001'!B2918</f>
        <v>004193</v>
      </c>
      <c r="B2918" s="1" t="str">
        <f>'001'!C2918</f>
        <v>REDUCTOR IMPACTO INTERFAZ 6 AGU. 152X0X6</v>
      </c>
      <c r="C2918" s="1" t="str">
        <f>'001'!D2918</f>
        <v>0167</v>
      </c>
      <c r="D2918" s="3" t="e">
        <f>'001'!H2918</f>
        <v>#VALUE!</v>
      </c>
    </row>
    <row r="2919" spans="1:4" x14ac:dyDescent="0.25">
      <c r="A2919" s="1" t="str">
        <f>'001'!B2919</f>
        <v>004195</v>
      </c>
      <c r="B2919" s="1" t="str">
        <f>'001'!C2919</f>
        <v>ENMASCARAMIENTO CAJA CUBRE RUEDAS X 50 UNIDADES</v>
      </c>
      <c r="C2919" s="1" t="str">
        <f>'001'!D2919</f>
        <v>0167</v>
      </c>
      <c r="D2919" s="3" t="e">
        <f>'001'!H2919</f>
        <v>#VALUE!</v>
      </c>
    </row>
    <row r="2920" spans="1:4" x14ac:dyDescent="0.25">
      <c r="A2920" s="1" t="str">
        <f>'001'!B2920</f>
        <v>004196</v>
      </c>
      <c r="B2920" s="1" t="str">
        <f>'001'!C2920</f>
        <v>FILM PARA ENMASCARAMIENTO 125X4 (FPM0001)</v>
      </c>
      <c r="C2920" s="1" t="str">
        <f>'001'!D2920</f>
        <v>0134</v>
      </c>
      <c r="D2920" s="3" t="e">
        <f>'001'!H2920</f>
        <v>#VALUE!</v>
      </c>
    </row>
    <row r="2921" spans="1:4" x14ac:dyDescent="0.25">
      <c r="A2921" s="1" t="str">
        <f>'001'!B2921</f>
        <v>004197</v>
      </c>
      <c r="B2921" s="1" t="str">
        <f>'001'!C2921</f>
        <v>ENMASCARAMIENTO CAJA CUBRE ASIENTOS X 125 UNIDADES</v>
      </c>
      <c r="C2921" s="1" t="str">
        <f>'001'!D2921</f>
        <v>0167</v>
      </c>
      <c r="D2921" s="3" t="e">
        <f>'001'!H2921</f>
        <v>#VALUE!</v>
      </c>
    </row>
    <row r="2922" spans="1:4" x14ac:dyDescent="0.25">
      <c r="A2922" s="1" t="str">
        <f>'001'!B2922</f>
        <v>004198</v>
      </c>
      <c r="B2922" s="1" t="str">
        <f>'001'!C2922</f>
        <v>CONTROL LIJADO P/MASILLA Y PRIMER</v>
      </c>
      <c r="C2922" s="1" t="str">
        <f>'001'!D2922</f>
        <v>0167</v>
      </c>
      <c r="D2922" s="3" t="e">
        <f>'001'!H2922</f>
        <v>#VALUE!</v>
      </c>
    </row>
    <row r="2923" spans="1:4" x14ac:dyDescent="0.25">
      <c r="A2923" s="1" t="str">
        <f>'001'!B2923</f>
        <v>004199</v>
      </c>
      <c r="B2923" s="1" t="str">
        <f>'001'!C2923</f>
        <v>ADAPTADOR PSN+ 40A.1</v>
      </c>
      <c r="C2923" s="1" t="str">
        <f>'001'!D2923</f>
        <v>0167</v>
      </c>
      <c r="D2923" s="3" t="e">
        <f>'001'!H2923</f>
        <v>#VALUE!</v>
      </c>
    </row>
    <row r="2924" spans="1:4" x14ac:dyDescent="0.25">
      <c r="A2924" s="1" t="str">
        <f>'001'!B2924</f>
        <v>004210</v>
      </c>
      <c r="B2924" s="1" t="str">
        <f>'001'!C2924</f>
        <v>TELA FIBRADA 10 CM X 25 MT.</v>
      </c>
      <c r="C2924" s="1" t="str">
        <f>'001'!D2924</f>
        <v>0144</v>
      </c>
      <c r="D2924" s="3" t="e">
        <f>'001'!H2924</f>
        <v>#VALUE!</v>
      </c>
    </row>
    <row r="2925" spans="1:4" x14ac:dyDescent="0.25">
      <c r="A2925" s="1" t="str">
        <f>'001'!B2925</f>
        <v>004211</v>
      </c>
      <c r="B2925" s="1" t="str">
        <f>'001'!C2925</f>
        <v>TELA FIBRADA 20 CM X 25 MT.</v>
      </c>
      <c r="C2925" s="1" t="str">
        <f>'001'!D2925</f>
        <v>0144</v>
      </c>
      <c r="D2925" s="3" t="e">
        <f>'001'!H2925</f>
        <v>#VALUE!</v>
      </c>
    </row>
    <row r="2926" spans="1:4" x14ac:dyDescent="0.25">
      <c r="A2926" s="1" t="str">
        <f>'001'!B2926</f>
        <v>004212</v>
      </c>
      <c r="B2926" s="1" t="str">
        <f>'001'!C2926</f>
        <v>TELA FIBRADA 1 MT X 25 MT.</v>
      </c>
      <c r="C2926" s="1" t="str">
        <f>'001'!D2926</f>
        <v>0144</v>
      </c>
      <c r="D2926" s="3" t="e">
        <f>'001'!H2926</f>
        <v>#VALUE!</v>
      </c>
    </row>
    <row r="2927" spans="1:4" x14ac:dyDescent="0.25">
      <c r="A2927" s="1" t="str">
        <f>'001'!B2927</f>
        <v>004213</v>
      </c>
      <c r="B2927" s="1" t="str">
        <f>'001'!C2927</f>
        <v>T402 TRACE WHITE X 0.500</v>
      </c>
      <c r="C2927" s="1" t="str">
        <f>'001'!D2927</f>
        <v>0169</v>
      </c>
      <c r="D2927" s="3" t="e">
        <f>'001'!H2927</f>
        <v>#VALUE!</v>
      </c>
    </row>
    <row r="2928" spans="1:4" x14ac:dyDescent="0.25">
      <c r="A2928" s="1" t="str">
        <f>'001'!B2928</f>
        <v>004214</v>
      </c>
      <c r="B2928" s="1" t="str">
        <f>'001'!C2928</f>
        <v>T403 MICRO WHITE X 0,500</v>
      </c>
      <c r="C2928" s="1" t="str">
        <f>'001'!D2928</f>
        <v>0169</v>
      </c>
      <c r="D2928" s="3" t="e">
        <f>'001'!H2928</f>
        <v>#VALUE!</v>
      </c>
    </row>
    <row r="2929" spans="1:4" x14ac:dyDescent="0.25">
      <c r="A2929" s="1" t="str">
        <f>'001'!B2929</f>
        <v>004215</v>
      </c>
      <c r="B2929" s="1" t="str">
        <f>'001'!C2929</f>
        <v>T405 GRAPHITE BLACK X 0,500</v>
      </c>
      <c r="C2929" s="1" t="str">
        <f>'001'!D2929</f>
        <v>0169</v>
      </c>
      <c r="D2929" s="3" t="e">
        <f>'001'!H2929</f>
        <v>#VALUE!</v>
      </c>
    </row>
    <row r="2930" spans="1:4" x14ac:dyDescent="0.25">
      <c r="A2930" s="1" t="str">
        <f>'001'!B2930</f>
        <v>004216</v>
      </c>
      <c r="B2930" s="1" t="str">
        <f>'001'!C2930</f>
        <v>T409 DEEP BLACK  X 2</v>
      </c>
      <c r="C2930" s="1" t="str">
        <f>'001'!D2930</f>
        <v>0169</v>
      </c>
      <c r="D2930" s="3" t="e">
        <f>'001'!H2930</f>
        <v>#VALUE!</v>
      </c>
    </row>
    <row r="2931" spans="1:4" x14ac:dyDescent="0.25">
      <c r="A2931" s="1" t="str">
        <f>'001'!B2931</f>
        <v>004217</v>
      </c>
      <c r="B2931" s="1" t="str">
        <f>'001'!C2931</f>
        <v>T411 BLUE X 1</v>
      </c>
      <c r="C2931" s="1" t="str">
        <f>'001'!D2931</f>
        <v>0169</v>
      </c>
      <c r="D2931" s="3" t="e">
        <f>'001'!H2931</f>
        <v>#VALUE!</v>
      </c>
    </row>
    <row r="2932" spans="1:4" x14ac:dyDescent="0.25">
      <c r="A2932" s="1" t="str">
        <f>'001'!B2932</f>
        <v>004218</v>
      </c>
      <c r="B2932" s="1" t="str">
        <f>'001'!C2932</f>
        <v>T412.E1 TRANSPARENT BLUE X 1</v>
      </c>
      <c r="C2932" s="1" t="str">
        <f>'001'!D2932</f>
        <v>0169</v>
      </c>
      <c r="D2932" s="3" t="e">
        <f>'001'!H2932</f>
        <v>#VALUE!</v>
      </c>
    </row>
    <row r="2933" spans="1:4" x14ac:dyDescent="0.25">
      <c r="A2933" s="1" t="str">
        <f>'001'!B2933</f>
        <v>004219</v>
      </c>
      <c r="B2933" s="1" t="str">
        <f>'001'!C2933</f>
        <v>T414 RICH BLUE X 2</v>
      </c>
      <c r="C2933" s="1" t="str">
        <f>'001'!D2933</f>
        <v>0169</v>
      </c>
      <c r="D2933" s="3" t="e">
        <f>'001'!H2933</f>
        <v>#VALUE!</v>
      </c>
    </row>
    <row r="2934" spans="1:4" x14ac:dyDescent="0.25">
      <c r="A2934" s="1" t="str">
        <f>'001'!B2934</f>
        <v>004220</v>
      </c>
      <c r="B2934" s="1" t="str">
        <f>'001'!C2934</f>
        <v>T421 OLIVE X 0,500</v>
      </c>
      <c r="C2934" s="1" t="str">
        <f>'001'!D2934</f>
        <v>0169</v>
      </c>
      <c r="D2934" s="3" t="e">
        <f>'001'!H2934</f>
        <v>#VALUE!</v>
      </c>
    </row>
    <row r="2935" spans="1:4" x14ac:dyDescent="0.25">
      <c r="A2935" s="1" t="str">
        <f>'001'!B2935</f>
        <v>004221</v>
      </c>
      <c r="B2935" s="1" t="str">
        <f>'001'!C2935</f>
        <v>T425 PERMANENT YELLOW X 0,500</v>
      </c>
      <c r="C2935" s="1" t="str">
        <f>'001'!D2935</f>
        <v>0169</v>
      </c>
      <c r="D2935" s="3" t="e">
        <f>'001'!H2935</f>
        <v>#VALUE!</v>
      </c>
    </row>
    <row r="2936" spans="1:4" x14ac:dyDescent="0.25">
      <c r="A2936" s="1" t="str">
        <f>'001'!B2936</f>
        <v>004223</v>
      </c>
      <c r="B2936" s="1" t="str">
        <f>'001'!C2936</f>
        <v>T427 YELLOW X 1</v>
      </c>
      <c r="C2936" s="1" t="str">
        <f>'001'!D2936</f>
        <v>0169</v>
      </c>
      <c r="D2936" s="3" t="e">
        <f>'001'!H2936</f>
        <v>#VALUE!</v>
      </c>
    </row>
    <row r="2937" spans="1:4" x14ac:dyDescent="0.25">
      <c r="A2937" s="1" t="str">
        <f>'001'!B2937</f>
        <v>004224</v>
      </c>
      <c r="B2937" s="1" t="str">
        <f>'001'!C2937</f>
        <v>T429 TRANSPARENT GOLDEN YELLOW X 0,500</v>
      </c>
      <c r="C2937" s="1" t="str">
        <f>'001'!D2937</f>
        <v>0169</v>
      </c>
      <c r="D2937" s="3" t="e">
        <f>'001'!H2937</f>
        <v>#VALUE!</v>
      </c>
    </row>
    <row r="2938" spans="1:4" x14ac:dyDescent="0.25">
      <c r="A2938" s="1" t="str">
        <f>'001'!B2938</f>
        <v>004225</v>
      </c>
      <c r="B2938" s="1" t="str">
        <f>'001'!C2938</f>
        <v>T430 HIGH STRENGH TRANSPARENT GREEN X 1</v>
      </c>
      <c r="C2938" s="1" t="str">
        <f>'001'!D2938</f>
        <v>0169</v>
      </c>
      <c r="D2938" s="3" t="e">
        <f>'001'!H2938</f>
        <v>#VALUE!</v>
      </c>
    </row>
    <row r="2939" spans="1:4" x14ac:dyDescent="0.25">
      <c r="A2939" s="1" t="str">
        <f>'001'!B2939</f>
        <v>004226</v>
      </c>
      <c r="B2939" s="1" t="str">
        <f>'001'!C2939</f>
        <v>T431 HIGH STRENGH PHTALO GREEN X 1</v>
      </c>
      <c r="C2939" s="1" t="str">
        <f>'001'!D2939</f>
        <v>0169</v>
      </c>
      <c r="D2939" s="3" t="e">
        <f>'001'!H2939</f>
        <v>#VALUE!</v>
      </c>
    </row>
    <row r="2940" spans="1:4" x14ac:dyDescent="0.25">
      <c r="A2940" s="1" t="str">
        <f>'001'!B2940</f>
        <v>004227</v>
      </c>
      <c r="B2940" s="1" t="str">
        <f>'001'!C2940</f>
        <v>T432 TRANSPARENT RED X 1</v>
      </c>
      <c r="C2940" s="1" t="str">
        <f>'001'!D2940</f>
        <v>0169</v>
      </c>
      <c r="D2940" s="3" t="e">
        <f>'001'!H2940</f>
        <v>#VALUE!</v>
      </c>
    </row>
    <row r="2941" spans="1:4" x14ac:dyDescent="0.25">
      <c r="A2941" s="1" t="str">
        <f>'001'!B2941</f>
        <v>004228</v>
      </c>
      <c r="B2941" s="1" t="str">
        <f>'001'!C2941</f>
        <v>T4321 ENVIROBASE HC YELLO X 0,500</v>
      </c>
      <c r="C2941" s="1" t="str">
        <f>'001'!D2941</f>
        <v>0169</v>
      </c>
      <c r="D2941" s="3" t="e">
        <f>'001'!H2941</f>
        <v>#VALUE!</v>
      </c>
    </row>
    <row r="2942" spans="1:4" x14ac:dyDescent="0.25">
      <c r="A2942" s="1" t="str">
        <f>'001'!B2942</f>
        <v>004229</v>
      </c>
      <c r="B2942" s="1" t="str">
        <f>'001'!C2942</f>
        <v>T436 RED OXIDE X 0,500</v>
      </c>
      <c r="C2942" s="1" t="str">
        <f>'001'!D2942</f>
        <v>0169</v>
      </c>
      <c r="D2942" s="3" t="e">
        <f>'001'!H2942</f>
        <v>#VALUE!</v>
      </c>
    </row>
    <row r="2943" spans="1:4" x14ac:dyDescent="0.25">
      <c r="A2943" s="1" t="str">
        <f>'001'!B2943</f>
        <v>004230</v>
      </c>
      <c r="B2943" s="1" t="str">
        <f>'001'!C2943</f>
        <v>T438 ROSE X 1</v>
      </c>
      <c r="C2943" s="1" t="str">
        <f>'001'!D2943</f>
        <v>0169</v>
      </c>
      <c r="D2943" s="3" t="e">
        <f>'001'!H2943</f>
        <v>#VALUE!</v>
      </c>
    </row>
    <row r="2944" spans="1:4" x14ac:dyDescent="0.25">
      <c r="A2944" s="1" t="str">
        <f>'001'!B2944</f>
        <v>004231</v>
      </c>
      <c r="B2944" s="1" t="str">
        <f>'001'!C2944</f>
        <v>T4342 HC MAGENTA X 0,500</v>
      </c>
      <c r="C2944" s="1" t="str">
        <f>'001'!D2944</f>
        <v>0169</v>
      </c>
      <c r="D2944" s="3" t="e">
        <f>'001'!H2944</f>
        <v>#VALUE!</v>
      </c>
    </row>
    <row r="2945" spans="1:4" x14ac:dyDescent="0.25">
      <c r="A2945" s="1" t="str">
        <f>'001'!B2945</f>
        <v>004232</v>
      </c>
      <c r="B2945" s="1" t="str">
        <f>'001'!C2945</f>
        <v>T4343 ENVIROBASE HC ORGAN X 0,500</v>
      </c>
      <c r="C2945" s="1" t="str">
        <f>'001'!D2945</f>
        <v>0169</v>
      </c>
      <c r="D2945" s="3" t="e">
        <f>'001'!H2945</f>
        <v>#VALUE!</v>
      </c>
    </row>
    <row r="2946" spans="1:4" x14ac:dyDescent="0.25">
      <c r="A2946" s="1" t="str">
        <f>'001'!B2946</f>
        <v>004233</v>
      </c>
      <c r="B2946" s="1" t="str">
        <f>'001'!C2946</f>
        <v>T441 CARMINE X 0,500</v>
      </c>
      <c r="C2946" s="1" t="str">
        <f>'001'!D2946</f>
        <v>0169</v>
      </c>
      <c r="D2946" s="3" t="e">
        <f>'001'!H2946</f>
        <v>#VALUE!</v>
      </c>
    </row>
    <row r="2947" spans="1:4" x14ac:dyDescent="0.25">
      <c r="A2947" s="1" t="str">
        <f>'001'!B2947</f>
        <v>004234</v>
      </c>
      <c r="B2947" s="1" t="str">
        <f>'001'!C2947</f>
        <v>T442 BROWN X 0,500</v>
      </c>
      <c r="C2947" s="1" t="str">
        <f>'001'!D2947</f>
        <v>0169</v>
      </c>
      <c r="D2947" s="3" t="e">
        <f>'001'!H2947</f>
        <v>#VALUE!</v>
      </c>
    </row>
    <row r="2948" spans="1:4" x14ac:dyDescent="0.25">
      <c r="A2948" s="1" t="str">
        <f>'001'!B2948</f>
        <v>004235</v>
      </c>
      <c r="B2948" s="1" t="str">
        <f>'001'!C2948</f>
        <v>T444 BORDEAUX X 1</v>
      </c>
      <c r="C2948" s="1" t="str">
        <f>'001'!D2948</f>
        <v>0169</v>
      </c>
      <c r="D2948" s="3" t="e">
        <f>'001'!H2948</f>
        <v>#VALUE!</v>
      </c>
    </row>
    <row r="2949" spans="1:4" x14ac:dyDescent="0.25">
      <c r="A2949" s="1" t="str">
        <f>'001'!B2949</f>
        <v>004236</v>
      </c>
      <c r="B2949" s="1" t="str">
        <f>'001'!C2949</f>
        <v>T447 BRIGHT RED X 1</v>
      </c>
      <c r="C2949" s="1" t="str">
        <f>'001'!D2949</f>
        <v>0169</v>
      </c>
      <c r="D2949" s="3" t="e">
        <f>'001'!H2949</f>
        <v>#VALUE!</v>
      </c>
    </row>
    <row r="2950" spans="1:4" x14ac:dyDescent="0.25">
      <c r="A2950" s="1" t="str">
        <f>'001'!B2950</f>
        <v>004237</v>
      </c>
      <c r="B2950" s="1" t="str">
        <f>'001'!C2950</f>
        <v>T451 EXTRA FINE WHITE PEARL X 0,500</v>
      </c>
      <c r="C2950" s="1" t="str">
        <f>'001'!D2950</f>
        <v>0169</v>
      </c>
      <c r="D2950" s="3" t="e">
        <f>'001'!H2950</f>
        <v>#VALUE!</v>
      </c>
    </row>
    <row r="2951" spans="1:4" x14ac:dyDescent="0.25">
      <c r="A2951" s="1" t="str">
        <f>'001'!B2951</f>
        <v>004238</v>
      </c>
      <c r="B2951" s="1" t="str">
        <f>'001'!C2951</f>
        <v>T452 FINE WHITE PEARL X 0,500</v>
      </c>
      <c r="C2951" s="1" t="str">
        <f>'001'!D2951</f>
        <v>0169</v>
      </c>
      <c r="D2951" s="3" t="e">
        <f>'001'!H2951</f>
        <v>#VALUE!</v>
      </c>
    </row>
    <row r="2952" spans="1:4" x14ac:dyDescent="0.25">
      <c r="A2952" s="1" t="str">
        <f>'001'!B2952</f>
        <v>004239</v>
      </c>
      <c r="B2952" s="1" t="str">
        <f>'001'!C2952</f>
        <v>T453 WHITE PEARL X 1</v>
      </c>
      <c r="C2952" s="1" t="str">
        <f>'001'!D2952</f>
        <v>0169</v>
      </c>
      <c r="D2952" s="3" t="e">
        <f>'001'!H2952</f>
        <v>#VALUE!</v>
      </c>
    </row>
    <row r="2953" spans="1:4" x14ac:dyDescent="0.25">
      <c r="A2953" s="1" t="str">
        <f>'001'!B2953</f>
        <v>004240</v>
      </c>
      <c r="B2953" s="1" t="str">
        <f>'001'!C2953</f>
        <v>T454 BRIGHT RED PEARL X 1</v>
      </c>
      <c r="C2953" s="1" t="str">
        <f>'001'!D2953</f>
        <v>0169</v>
      </c>
      <c r="D2953" s="3" t="e">
        <f>'001'!H2953</f>
        <v>#VALUE!</v>
      </c>
    </row>
    <row r="2954" spans="1:4" x14ac:dyDescent="0.25">
      <c r="A2954" s="1" t="str">
        <f>'001'!B2954</f>
        <v>004241</v>
      </c>
      <c r="B2954" s="1" t="str">
        <f>'001'!C2954</f>
        <v>T456 BLUE PEARL X 1</v>
      </c>
      <c r="C2954" s="1" t="str">
        <f>'001'!D2954</f>
        <v>0169</v>
      </c>
      <c r="D2954" s="3" t="e">
        <f>'001'!H2954</f>
        <v>#VALUE!</v>
      </c>
    </row>
    <row r="2955" spans="1:4" x14ac:dyDescent="0.25">
      <c r="A2955" s="1" t="str">
        <f>'001'!B2955</f>
        <v>004242</v>
      </c>
      <c r="B2955" s="1" t="str">
        <f>'001'!C2955</f>
        <v>T457 GREEN PEARL X 0,500</v>
      </c>
      <c r="C2955" s="1" t="str">
        <f>'001'!D2955</f>
        <v>0169</v>
      </c>
      <c r="D2955" s="3" t="e">
        <f>'001'!H2955</f>
        <v>#VALUE!</v>
      </c>
    </row>
    <row r="2956" spans="1:4" x14ac:dyDescent="0.25">
      <c r="A2956" s="1" t="str">
        <f>'001'!B2956</f>
        <v>004243</v>
      </c>
      <c r="B2956" s="1" t="str">
        <f>'001'!C2956</f>
        <v>T461.E0.5 GOLDEN YELLOW PEARL X 0,500</v>
      </c>
      <c r="C2956" s="1" t="str">
        <f>'001'!D2956</f>
        <v>0169</v>
      </c>
      <c r="D2956" s="3" t="e">
        <f>'001'!H2956</f>
        <v>#VALUE!</v>
      </c>
    </row>
    <row r="2957" spans="1:4" x14ac:dyDescent="0.25">
      <c r="A2957" s="1" t="str">
        <f>'001'!B2957</f>
        <v>004244</v>
      </c>
      <c r="B2957" s="1" t="str">
        <f>'001'!C2957</f>
        <v>T462.E1 FINE RED PEARL X 1</v>
      </c>
      <c r="C2957" s="1" t="str">
        <f>'001'!D2957</f>
        <v>0169</v>
      </c>
      <c r="D2957" s="3" t="e">
        <f>'001'!H2957</f>
        <v>#VALUE!</v>
      </c>
    </row>
    <row r="2958" spans="1:4" x14ac:dyDescent="0.25">
      <c r="A2958" s="1" t="str">
        <f>'001'!B2958</f>
        <v>004245</v>
      </c>
      <c r="B2958" s="1" t="str">
        <f>'001'!C2958</f>
        <v>T471 EXTRA FINE METALLIC X 2</v>
      </c>
      <c r="C2958" s="1" t="str">
        <f>'001'!D2958</f>
        <v>0169</v>
      </c>
      <c r="D2958" s="3" t="e">
        <f>'001'!H2958</f>
        <v>#VALUE!</v>
      </c>
    </row>
    <row r="2959" spans="1:4" x14ac:dyDescent="0.25">
      <c r="A2959" s="1" t="str">
        <f>'001'!B2959</f>
        <v>004246</v>
      </c>
      <c r="B2959" s="1" t="str">
        <f>'001'!C2959</f>
        <v>T472 FINE LENTICULAR METALLIC X 2</v>
      </c>
      <c r="C2959" s="1" t="str">
        <f>'001'!D2959</f>
        <v>0169</v>
      </c>
      <c r="D2959" s="3" t="e">
        <f>'001'!H2959</f>
        <v>#VALUE!</v>
      </c>
    </row>
    <row r="2960" spans="1:4" x14ac:dyDescent="0.25">
      <c r="A2960" s="1" t="str">
        <f>'001'!B2960</f>
        <v>004247</v>
      </c>
      <c r="B2960" s="1" t="str">
        <f>'001'!C2960</f>
        <v>T473.E2 MEDIUM METALLIC X 2</v>
      </c>
      <c r="C2960" s="1" t="str">
        <f>'001'!D2960</f>
        <v>0169</v>
      </c>
      <c r="D2960" s="3" t="e">
        <f>'001'!H2960</f>
        <v>#VALUE!</v>
      </c>
    </row>
    <row r="2961" spans="1:4" x14ac:dyDescent="0.25">
      <c r="A2961" s="1" t="str">
        <f>'001'!B2961</f>
        <v>004248</v>
      </c>
      <c r="B2961" s="1" t="str">
        <f>'001'!C2961</f>
        <v>T474 FINE METALLIC X 1</v>
      </c>
      <c r="C2961" s="1" t="str">
        <f>'001'!D2961</f>
        <v>0169</v>
      </c>
      <c r="D2961" s="3" t="e">
        <f>'001'!H2961</f>
        <v>#VALUE!</v>
      </c>
    </row>
    <row r="2962" spans="1:4" x14ac:dyDescent="0.25">
      <c r="A2962" s="1" t="str">
        <f>'001'!B2962</f>
        <v>004249</v>
      </c>
      <c r="B2962" s="1" t="str">
        <f>'001'!C2962</f>
        <v>T476 COARSE LENTICULAR METALLIC X 2</v>
      </c>
      <c r="C2962" s="1" t="str">
        <f>'001'!D2962</f>
        <v>0169</v>
      </c>
      <c r="D2962" s="3" t="e">
        <f>'001'!H2962</f>
        <v>#VALUE!</v>
      </c>
    </row>
    <row r="2963" spans="1:4" x14ac:dyDescent="0.25">
      <c r="A2963" s="1" t="str">
        <f>'001'!B2963</f>
        <v>004251</v>
      </c>
      <c r="B2963" s="1" t="str">
        <f>'001'!C2963</f>
        <v>ESMALTE POLIURETANO TERSUAVE COLOREADO VERDE NOCHE X 25</v>
      </c>
      <c r="C2963" s="1" t="str">
        <f>'001'!D2963</f>
        <v>0153</v>
      </c>
      <c r="D2963" s="3" t="e">
        <f>'001'!H2963</f>
        <v>#VALUE!</v>
      </c>
    </row>
    <row r="2964" spans="1:4" x14ac:dyDescent="0.25">
      <c r="A2964" s="1" t="str">
        <f>'001'!B2964</f>
        <v>004252</v>
      </c>
      <c r="B2964" s="1" t="str">
        <f>'001'!C2964</f>
        <v>ADAPTADOR PSN+ 7A.1</v>
      </c>
      <c r="C2964" s="1" t="str">
        <f>'001'!D2964</f>
        <v>0167</v>
      </c>
      <c r="D2964" s="3" t="e">
        <f>'001'!H2964</f>
        <v>#VALUE!</v>
      </c>
    </row>
    <row r="2965" spans="1:4" x14ac:dyDescent="0.25">
      <c r="A2965" s="1" t="str">
        <f>'001'!B2965</f>
        <v>004253</v>
      </c>
      <c r="B2965" s="1" t="str">
        <f>'001'!C2965</f>
        <v>ADAPTADOR PSN+ 15A.1</v>
      </c>
      <c r="C2965" s="1" t="str">
        <f>'001'!D2965</f>
        <v>0167</v>
      </c>
      <c r="D2965" s="3" t="e">
        <f>'001'!H2965</f>
        <v>#VALUE!</v>
      </c>
    </row>
    <row r="2966" spans="1:4" x14ac:dyDescent="0.25">
      <c r="A2966" s="1" t="str">
        <f>'001'!B2966</f>
        <v>004254</v>
      </c>
      <c r="B2966" s="1" t="str">
        <f>'001'!C2966</f>
        <v>ADAPTADOR PSN+ 14A.1</v>
      </c>
      <c r="C2966" s="1" t="str">
        <f>'001'!D2966</f>
        <v>0167</v>
      </c>
      <c r="D2966" s="3" t="e">
        <f>'001'!H2966</f>
        <v>#VALUE!</v>
      </c>
    </row>
    <row r="2967" spans="1:4" x14ac:dyDescent="0.25">
      <c r="A2967" s="1" t="str">
        <f>'001'!B2967</f>
        <v>004255</v>
      </c>
      <c r="B2967" s="1" t="str">
        <f>'001'!C2967</f>
        <v>ADAPTADOR PSN+ 2A.1</v>
      </c>
      <c r="C2967" s="1" t="str">
        <f>'001'!D2967</f>
        <v>0167</v>
      </c>
      <c r="D2967" s="3" t="e">
        <f>'001'!H2967</f>
        <v>#VALUE!</v>
      </c>
    </row>
    <row r="2968" spans="1:4" x14ac:dyDescent="0.25">
      <c r="A2968" s="1" t="str">
        <f>'001'!B2968</f>
        <v>004256</v>
      </c>
      <c r="B2968" s="1" t="str">
        <f>'001'!C2968</f>
        <v>ADAPTADOR PSN+ 6A.1</v>
      </c>
      <c r="C2968" s="1" t="str">
        <f>'001'!D2968</f>
        <v>0167</v>
      </c>
      <c r="D2968" s="3" t="e">
        <f>'001'!H2968</f>
        <v>#VALUE!</v>
      </c>
    </row>
    <row r="2969" spans="1:4" x14ac:dyDescent="0.25">
      <c r="A2969" s="1" t="str">
        <f>'001'!B2969</f>
        <v>004257</v>
      </c>
      <c r="B2969" s="1" t="str">
        <f>'001'!C2969</f>
        <v>ADAPTADOR PSN+ 5A.1</v>
      </c>
      <c r="C2969" s="1" t="str">
        <f>'001'!D2969</f>
        <v>0167</v>
      </c>
      <c r="D2969" s="3" t="e">
        <f>'001'!H2969</f>
        <v>#VALUE!</v>
      </c>
    </row>
    <row r="2970" spans="1:4" x14ac:dyDescent="0.25">
      <c r="A2970" s="1" t="str">
        <f>'001'!B2970</f>
        <v>004258</v>
      </c>
      <c r="B2970" s="1" t="str">
        <f>'001'!C2970</f>
        <v>ADAPTADOR PSN+ 9A.1</v>
      </c>
      <c r="C2970" s="1" t="str">
        <f>'001'!D2970</f>
        <v>0167</v>
      </c>
      <c r="D2970" s="3" t="e">
        <f>'001'!H2970</f>
        <v>#VALUE!</v>
      </c>
    </row>
    <row r="2971" spans="1:4" x14ac:dyDescent="0.25">
      <c r="A2971" s="1" t="str">
        <f>'001'!B2971</f>
        <v>004259</v>
      </c>
      <c r="B2971" s="1" t="str">
        <f>'001'!C2971</f>
        <v>ADAPTADOR PSN+ 8A.1</v>
      </c>
      <c r="C2971" s="1" t="str">
        <f>'001'!D2971</f>
        <v>0167</v>
      </c>
      <c r="D2971" s="3" t="e">
        <f>'001'!H2971</f>
        <v>#VALUE!</v>
      </c>
    </row>
    <row r="2972" spans="1:4" x14ac:dyDescent="0.25">
      <c r="A2972" s="1" t="str">
        <f>'001'!B2972</f>
        <v>004260</v>
      </c>
      <c r="B2972" s="1" t="str">
        <f>'001'!C2972</f>
        <v>ADAPTADOR PSN+ 22A.1</v>
      </c>
      <c r="C2972" s="1" t="str">
        <f>'001'!D2972</f>
        <v>0167</v>
      </c>
      <c r="D2972" s="3" t="e">
        <f>'001'!H2972</f>
        <v>#VALUE!</v>
      </c>
    </row>
    <row r="2973" spans="1:4" x14ac:dyDescent="0.25">
      <c r="A2973" s="1" t="str">
        <f>'001'!B2973</f>
        <v>004261</v>
      </c>
      <c r="B2973" s="1" t="str">
        <f>'001'!C2973</f>
        <v>ADAPTADOR PSN+ 32A.1</v>
      </c>
      <c r="C2973" s="1" t="str">
        <f>'001'!D2973</f>
        <v>0167</v>
      </c>
      <c r="D2973" s="3" t="e">
        <f>'001'!H2973</f>
        <v>#VALUE!</v>
      </c>
    </row>
    <row r="2974" spans="1:4" x14ac:dyDescent="0.25">
      <c r="A2974" s="1" t="str">
        <f>'001'!B2974</f>
        <v>004264</v>
      </c>
      <c r="B2974" s="1" t="str">
        <f>'001'!C2974</f>
        <v>T477.E1 EXTRA COARSE METALLIC X 1</v>
      </c>
      <c r="C2974" s="1" t="str">
        <f>'001'!D2974</f>
        <v>0169</v>
      </c>
      <c r="D2974" s="3" t="e">
        <f>'001'!H2974</f>
        <v>#VALUE!</v>
      </c>
    </row>
    <row r="2975" spans="1:4" x14ac:dyDescent="0.25">
      <c r="A2975" s="1" t="str">
        <f>'001'!B2975</f>
        <v>004265</v>
      </c>
      <c r="B2975" s="1" t="str">
        <f>'001'!C2975</f>
        <v>D837P.10 DESENGRASANTE SPIRIT WIPE PPG X 4</v>
      </c>
      <c r="C2975" s="1" t="str">
        <f>'001'!D2975</f>
        <v>0134</v>
      </c>
      <c r="D2975" s="3" t="e">
        <f>'001'!H2975</f>
        <v>#VALUE!</v>
      </c>
    </row>
    <row r="2976" spans="1:4" x14ac:dyDescent="0.25">
      <c r="A2976" s="1" t="str">
        <f>'001'!B2976</f>
        <v>004266</v>
      </c>
      <c r="B2976" s="1" t="str">
        <f>'001'!C2976</f>
        <v>DCH3085 CATALIZADOR NORMAL TEMPERATURA MEDIA P/ DC3000/4000 X 0,237</v>
      </c>
      <c r="C2976" s="1" t="str">
        <f>'001'!D2976</f>
        <v>0902</v>
      </c>
      <c r="D2976" s="3" t="e">
        <f>'001'!H2976</f>
        <v>#VALUE!</v>
      </c>
    </row>
    <row r="2977" spans="1:4" x14ac:dyDescent="0.25">
      <c r="A2977" s="1" t="str">
        <f>'001'!B2977</f>
        <v>004267</v>
      </c>
      <c r="B2977" s="1" t="str">
        <f>'001'!C2977</f>
        <v>T479 COARSE SILVER DOLLAR ALUMINIUM X 1</v>
      </c>
      <c r="C2977" s="1" t="str">
        <f>'001'!D2977</f>
        <v>0169</v>
      </c>
      <c r="D2977" s="3" t="e">
        <f>'001'!H2977</f>
        <v>#VALUE!</v>
      </c>
    </row>
    <row r="2978" spans="1:4" x14ac:dyDescent="0.25">
      <c r="A2978" s="1" t="str">
        <f>'001'!B2978</f>
        <v>004268</v>
      </c>
      <c r="B2978" s="1" t="str">
        <f>'001'!C2978</f>
        <v>T491 MATTING BASE X 1</v>
      </c>
      <c r="C2978" s="1" t="str">
        <f>'001'!D2978</f>
        <v>0169</v>
      </c>
      <c r="D2978" s="3" t="e">
        <f>'001'!H2978</f>
        <v>#VALUE!</v>
      </c>
    </row>
    <row r="2979" spans="1:4" x14ac:dyDescent="0.25">
      <c r="A2979" s="1" t="str">
        <f>'001'!B2979</f>
        <v>004269</v>
      </c>
      <c r="B2979" s="1" t="str">
        <f>'001'!C2979</f>
        <v>T4000 CRISTAL SILVER X 0,500</v>
      </c>
      <c r="C2979" s="1" t="str">
        <f>'001'!D2979</f>
        <v>0169</v>
      </c>
      <c r="D2979" s="3" t="e">
        <f>'001'!H2979</f>
        <v>#VALUE!</v>
      </c>
    </row>
    <row r="2980" spans="1:4" x14ac:dyDescent="0.25">
      <c r="A2980" s="1" t="str">
        <f>'001'!B2980</f>
        <v>004270</v>
      </c>
      <c r="B2980" s="1" t="str">
        <f>'001'!C2980</f>
        <v>T4001 ENVIROBASE TINTER BASE ACUOSA X 0,500</v>
      </c>
      <c r="C2980" s="1" t="str">
        <f>'001'!D2980</f>
        <v>0169</v>
      </c>
      <c r="D2980" s="3" t="e">
        <f>'001'!H2980</f>
        <v>#VALUE!</v>
      </c>
    </row>
    <row r="2981" spans="1:4" x14ac:dyDescent="0.25">
      <c r="A2981" s="1" t="str">
        <f>'001'!B2981</f>
        <v>004271</v>
      </c>
      <c r="B2981" s="1" t="str">
        <f>'001'!C2981</f>
        <v>T4003 GALAXY BLUE X 0,500</v>
      </c>
      <c r="C2981" s="1" t="str">
        <f>'001'!D2981</f>
        <v>0169</v>
      </c>
      <c r="D2981" s="3" t="e">
        <f>'001'!H2981</f>
        <v>#VALUE!</v>
      </c>
    </row>
    <row r="2982" spans="1:4" x14ac:dyDescent="0.25">
      <c r="A2982" s="1" t="str">
        <f>'001'!B2982</f>
        <v>004272</v>
      </c>
      <c r="B2982" s="1" t="str">
        <f>'001'!C2982</f>
        <v>T4004 STELLAR GREEN X 0,500</v>
      </c>
      <c r="C2982" s="1" t="str">
        <f>'001'!D2982</f>
        <v>0169</v>
      </c>
      <c r="D2982" s="3" t="e">
        <f>'001'!H2982</f>
        <v>#VALUE!</v>
      </c>
    </row>
    <row r="2983" spans="1:4" x14ac:dyDescent="0.25">
      <c r="A2983" s="1" t="str">
        <f>'001'!B2983</f>
        <v>004273</v>
      </c>
      <c r="B2983" s="1" t="str">
        <f>'001'!C2983</f>
        <v>T4032 ENVIROBASE TINTER BARNIZ X 0,250</v>
      </c>
      <c r="C2983" s="1" t="str">
        <f>'001'!D2983</f>
        <v>0169</v>
      </c>
      <c r="D2983" s="3" t="e">
        <f>'001'!H2983</f>
        <v>#VALUE!</v>
      </c>
    </row>
    <row r="2984" spans="1:4" x14ac:dyDescent="0.25">
      <c r="A2984" s="1" t="str">
        <f>'001'!B2984</f>
        <v>004274</v>
      </c>
      <c r="B2984" s="1" t="str">
        <f>'001'!C2984</f>
        <v>T4034 ENVIROBASE TINTER BARNIZ X 0,250</v>
      </c>
      <c r="C2984" s="1" t="str">
        <f>'001'!D2984</f>
        <v>0169</v>
      </c>
      <c r="D2984" s="3" t="e">
        <f>'001'!H2984</f>
        <v>#VALUE!</v>
      </c>
    </row>
    <row r="2985" spans="1:4" x14ac:dyDescent="0.25">
      <c r="A2985" s="1" t="str">
        <f>'001'!B2985</f>
        <v>004275</v>
      </c>
      <c r="B2985" s="1" t="str">
        <f>'001'!C2985</f>
        <v>T4040 ORANGE FLASH X 0,500</v>
      </c>
      <c r="C2985" s="1" t="str">
        <f>'001'!D2985</f>
        <v>0169</v>
      </c>
      <c r="D2985" s="3" t="e">
        <f>'001'!H2985</f>
        <v>#VALUE!</v>
      </c>
    </row>
    <row r="2986" spans="1:4" x14ac:dyDescent="0.25">
      <c r="A2986" s="1" t="str">
        <f>'001'!B2986</f>
        <v>004276</v>
      </c>
      <c r="B2986" s="1" t="str">
        <f>'001'!C2986</f>
        <v>T4700 LIQUID METAL  X 0,250</v>
      </c>
      <c r="C2986" s="1" t="str">
        <f>'001'!D2986</f>
        <v>0169</v>
      </c>
      <c r="D2986" s="3" t="e">
        <f>'001'!H2986</f>
        <v>#VALUE!</v>
      </c>
    </row>
    <row r="2987" spans="1:4" x14ac:dyDescent="0.25">
      <c r="A2987" s="1" t="str">
        <f>'001'!B2987</f>
        <v>004277</v>
      </c>
      <c r="B2987" s="1" t="str">
        <f>'001'!C2987</f>
        <v>T4705 ENVIROBASE HP LIQUID METAL II X 0,500</v>
      </c>
      <c r="C2987" s="1" t="str">
        <f>'001'!D2987</f>
        <v>0169</v>
      </c>
      <c r="D2987" s="3" t="e">
        <f>'001'!H2987</f>
        <v>#VALUE!</v>
      </c>
    </row>
    <row r="2988" spans="1:4" x14ac:dyDescent="0.25">
      <c r="A2988" s="1" t="str">
        <f>'001'!B2988</f>
        <v>004278</v>
      </c>
      <c r="B2988" s="1" t="str">
        <f>'001'!C2988</f>
        <v>T400/E2 WHITE X 2</v>
      </c>
      <c r="C2988" s="1" t="str">
        <f>'001'!D2988</f>
        <v>0169</v>
      </c>
      <c r="D2988" s="3" t="e">
        <f>'001'!H2988</f>
        <v>#VALUE!</v>
      </c>
    </row>
    <row r="2989" spans="1:4" x14ac:dyDescent="0.25">
      <c r="A2989" s="1" t="str">
        <f>'001'!B2989</f>
        <v>004279</v>
      </c>
      <c r="B2989" s="1" t="str">
        <f>'001'!C2989</f>
        <v>T404 TRACE BLUE BLACK X 0,500</v>
      </c>
      <c r="C2989" s="1" t="str">
        <f>'001'!D2989</f>
        <v>0169</v>
      </c>
      <c r="D2989" s="3" t="e">
        <f>'001'!H2989</f>
        <v>#VALUE!</v>
      </c>
    </row>
    <row r="2990" spans="1:4" x14ac:dyDescent="0.25">
      <c r="A2990" s="1" t="str">
        <f>'001'!B2990</f>
        <v>004280</v>
      </c>
      <c r="B2990" s="1" t="str">
        <f>'001'!C2990</f>
        <v>T406 BLUE BLACK X 1</v>
      </c>
      <c r="C2990" s="1" t="str">
        <f>'001'!D2990</f>
        <v>0169</v>
      </c>
      <c r="D2990" s="3" t="e">
        <f>'001'!H2990</f>
        <v>#VALUE!</v>
      </c>
    </row>
    <row r="2991" spans="1:4" x14ac:dyDescent="0.25">
      <c r="A2991" s="1" t="str">
        <f>'001'!B2991</f>
        <v>004281</v>
      </c>
      <c r="B2991" s="1" t="str">
        <f>'001'!C2991</f>
        <v>T407 JET BLACK X 2</v>
      </c>
      <c r="C2991" s="1" t="str">
        <f>'001'!D2991</f>
        <v>0169</v>
      </c>
      <c r="D2991" s="3" t="e">
        <f>'001'!H2991</f>
        <v>#VALUE!</v>
      </c>
    </row>
    <row r="2992" spans="1:4" x14ac:dyDescent="0.25">
      <c r="A2992" s="1" t="str">
        <f>'001'!B2992</f>
        <v>004282</v>
      </c>
      <c r="B2992" s="1" t="str">
        <f>'001'!C2992</f>
        <v>T413 BRIGHT BLUE X 1</v>
      </c>
      <c r="C2992" s="1" t="str">
        <f>'001'!D2992</f>
        <v>0169</v>
      </c>
      <c r="D2992" s="3" t="e">
        <f>'001'!H2992</f>
        <v>#VALUE!</v>
      </c>
    </row>
    <row r="2993" spans="1:4" x14ac:dyDescent="0.25">
      <c r="A2993" s="1" t="str">
        <f>'001'!B2993</f>
        <v>004283</v>
      </c>
      <c r="B2993" s="1" t="str">
        <f>'001'!C2993</f>
        <v>T415 TRACE BLUE X 0,500</v>
      </c>
      <c r="C2993" s="1" t="str">
        <f>'001'!D2993</f>
        <v>0169</v>
      </c>
      <c r="D2993" s="3" t="e">
        <f>'001'!H2993</f>
        <v>#VALUE!</v>
      </c>
    </row>
    <row r="2994" spans="1:4" x14ac:dyDescent="0.25">
      <c r="A2994" s="1" t="str">
        <f>'001'!B2994</f>
        <v>004284</v>
      </c>
      <c r="B2994" s="1" t="str">
        <f>'001'!C2994</f>
        <v>T420 HIGH STRENGH BLUE X 1</v>
      </c>
      <c r="C2994" s="1" t="str">
        <f>'001'!D2994</f>
        <v>0169</v>
      </c>
      <c r="D2994" s="3" t="e">
        <f>'001'!H2994</f>
        <v>#VALUE!</v>
      </c>
    </row>
    <row r="2995" spans="1:4" x14ac:dyDescent="0.25">
      <c r="A2995" s="1" t="str">
        <f>'001'!B2995</f>
        <v>004285</v>
      </c>
      <c r="B2995" s="1" t="str">
        <f>'001'!C2995</f>
        <v>T422 YELLOW OXIDE X 0,500</v>
      </c>
      <c r="C2995" s="1" t="str">
        <f>'001'!D2995</f>
        <v>0169</v>
      </c>
      <c r="D2995" s="3" t="e">
        <f>'001'!H2995</f>
        <v>#VALUE!</v>
      </c>
    </row>
    <row r="2996" spans="1:4" x14ac:dyDescent="0.25">
      <c r="A2996" s="1" t="str">
        <f>'001'!B2996</f>
        <v>004286</v>
      </c>
      <c r="B2996" s="1" t="str">
        <f>'001'!C2996</f>
        <v>T423 TRACE YELLOW OXIDE X 0,500</v>
      </c>
      <c r="C2996" s="1" t="str">
        <f>'001'!D2996</f>
        <v>0169</v>
      </c>
      <c r="D2996" s="3" t="e">
        <f>'001'!H2996</f>
        <v>#VALUE!</v>
      </c>
    </row>
    <row r="2997" spans="1:4" x14ac:dyDescent="0.25">
      <c r="A2997" s="1" t="str">
        <f>'001'!B2997</f>
        <v>004287</v>
      </c>
      <c r="B2997" s="1" t="str">
        <f>'001'!C2997</f>
        <v>T426 WARM YELLOW X 0,500</v>
      </c>
      <c r="C2997" s="1" t="str">
        <f>'001'!D2997</f>
        <v>0169</v>
      </c>
      <c r="D2997" s="3" t="e">
        <f>'001'!H2997</f>
        <v>#VALUE!</v>
      </c>
    </row>
    <row r="2998" spans="1:4" x14ac:dyDescent="0.25">
      <c r="A2998" s="1" t="str">
        <f>'001'!B2998</f>
        <v>004288</v>
      </c>
      <c r="B2998" s="1" t="str">
        <f>'001'!C2998</f>
        <v>T4281 ENVIROBASE HP SOLID X 0,500</v>
      </c>
      <c r="C2998" s="1" t="str">
        <f>'001'!D2998</f>
        <v>0169</v>
      </c>
      <c r="D2998" s="3" t="e">
        <f>'001'!H2998</f>
        <v>#VALUE!</v>
      </c>
    </row>
    <row r="2999" spans="1:4" x14ac:dyDescent="0.25">
      <c r="A2999" s="1" t="str">
        <f>'001'!B2999</f>
        <v>004289</v>
      </c>
      <c r="B2999" s="1" t="str">
        <f>'001'!C2999</f>
        <v>T4311 ENVIROBASE HC GREEN X 0,500</v>
      </c>
      <c r="C2999" s="1" t="str">
        <f>'001'!D2999</f>
        <v>0169</v>
      </c>
      <c r="D2999" s="3" t="e">
        <f>'001'!H2999</f>
        <v>#VALUE!</v>
      </c>
    </row>
    <row r="3000" spans="1:4" x14ac:dyDescent="0.25">
      <c r="A3000" s="1" t="str">
        <f>'001'!B3000</f>
        <v>004290</v>
      </c>
      <c r="B3000" s="1" t="str">
        <f>'001'!C3000</f>
        <v>T433 BRILLIANT ORANGE X 0,500</v>
      </c>
      <c r="C3000" s="1" t="str">
        <f>'001'!D3000</f>
        <v>0169</v>
      </c>
      <c r="D3000" s="3" t="e">
        <f>'001'!H3000</f>
        <v>#VALUE!</v>
      </c>
    </row>
    <row r="3001" spans="1:4" x14ac:dyDescent="0.25">
      <c r="A3001" s="1" t="str">
        <f>'001'!B3001</f>
        <v>004291</v>
      </c>
      <c r="B3001" s="1" t="str">
        <f>'001'!C3001</f>
        <v>T435 SALMON RED X 1</v>
      </c>
      <c r="C3001" s="1" t="str">
        <f>'001'!D3001</f>
        <v>0169</v>
      </c>
      <c r="D3001" s="3" t="e">
        <f>'001'!H3001</f>
        <v>#VALUE!</v>
      </c>
    </row>
    <row r="3002" spans="1:4" x14ac:dyDescent="0.25">
      <c r="A3002" s="1" t="str">
        <f>'001'!B3002</f>
        <v>004292</v>
      </c>
      <c r="B3002" s="1" t="str">
        <f>'001'!C3002</f>
        <v>T4341 HC TRANSOXIDE RED X 0,500</v>
      </c>
      <c r="C3002" s="1" t="str">
        <f>'001'!D3002</f>
        <v>0169</v>
      </c>
      <c r="D3002" s="3" t="e">
        <f>'001'!H3002</f>
        <v>#VALUE!</v>
      </c>
    </row>
    <row r="3003" spans="1:4" x14ac:dyDescent="0.25">
      <c r="A3003" s="1" t="str">
        <f>'001'!B3003</f>
        <v>004293</v>
      </c>
      <c r="B3003" s="1" t="str">
        <f>'001'!C3003</f>
        <v>T440 TRACE RED OXIDE X 0,500</v>
      </c>
      <c r="C3003" s="1" t="str">
        <f>'001'!D3003</f>
        <v>0169</v>
      </c>
      <c r="D3003" s="3" t="e">
        <f>'001'!H3003</f>
        <v>#VALUE!</v>
      </c>
    </row>
    <row r="3004" spans="1:4" x14ac:dyDescent="0.25">
      <c r="A3004" s="1" t="str">
        <f>'001'!B3004</f>
        <v>004294</v>
      </c>
      <c r="B3004" s="1" t="str">
        <f>'001'!C3004</f>
        <v>T443 VIOLET X 1</v>
      </c>
      <c r="C3004" s="1" t="str">
        <f>'001'!D3004</f>
        <v>0169</v>
      </c>
      <c r="D3004" s="3" t="e">
        <f>'001'!H3004</f>
        <v>#VALUE!</v>
      </c>
    </row>
    <row r="3005" spans="1:4" x14ac:dyDescent="0.25">
      <c r="A3005" s="1" t="str">
        <f>'001'!B3005</f>
        <v>004295</v>
      </c>
      <c r="B3005" s="1" t="str">
        <f>'001'!C3005</f>
        <v>T445 TRANSPARENT MAGENTA X 0,500</v>
      </c>
      <c r="C3005" s="1" t="str">
        <f>'001'!D3005</f>
        <v>0169</v>
      </c>
      <c r="D3005" s="3" t="e">
        <f>'001'!H3005</f>
        <v>#VALUE!</v>
      </c>
    </row>
    <row r="3006" spans="1:4" x14ac:dyDescent="0.25">
      <c r="A3006" s="1" t="str">
        <f>'001'!B3006</f>
        <v>004296</v>
      </c>
      <c r="B3006" s="1" t="str">
        <f>'001'!C3006</f>
        <v>T448 RUSSET X 1</v>
      </c>
      <c r="C3006" s="1" t="str">
        <f>'001'!D3006</f>
        <v>0169</v>
      </c>
      <c r="D3006" s="3" t="e">
        <f>'001'!H3006</f>
        <v>#VALUE!</v>
      </c>
    </row>
    <row r="3007" spans="1:4" x14ac:dyDescent="0.25">
      <c r="A3007" s="1" t="str">
        <f>'001'!B3007</f>
        <v>004297</v>
      </c>
      <c r="B3007" s="1" t="str">
        <f>'001'!C3007</f>
        <v>T455 FINE BLUE PEARL X 0,500</v>
      </c>
      <c r="C3007" s="1" t="str">
        <f>'001'!D3007</f>
        <v>0169</v>
      </c>
      <c r="D3007" s="3" t="e">
        <f>'001'!H3007</f>
        <v>#VALUE!</v>
      </c>
    </row>
    <row r="3008" spans="1:4" x14ac:dyDescent="0.25">
      <c r="A3008" s="1" t="str">
        <f>'001'!B3008</f>
        <v>004298</v>
      </c>
      <c r="B3008" s="1" t="str">
        <f>'001'!C3008</f>
        <v>T458.E0.5 BLUE - GREEN PEARL X 0,500</v>
      </c>
      <c r="C3008" s="1" t="str">
        <f>'001'!D3008</f>
        <v>0169</v>
      </c>
      <c r="D3008" s="3" t="e">
        <f>'001'!H3008</f>
        <v>#VALUE!</v>
      </c>
    </row>
    <row r="3009" spans="1:4" x14ac:dyDescent="0.25">
      <c r="A3009" s="1" t="str">
        <f>'001'!B3009</f>
        <v>004299</v>
      </c>
      <c r="B3009" s="1" t="str">
        <f>'001'!C3009</f>
        <v>T459 COPPER PEARL X 1</v>
      </c>
      <c r="C3009" s="1" t="str">
        <f>'001'!D3009</f>
        <v>0169</v>
      </c>
      <c r="D3009" s="3" t="e">
        <f>'001'!H3009</f>
        <v>#VALUE!</v>
      </c>
    </row>
    <row r="3010" spans="1:4" x14ac:dyDescent="0.25">
      <c r="A3010" s="1" t="str">
        <f>'001'!B3010</f>
        <v>004300</v>
      </c>
      <c r="B3010" s="1" t="str">
        <f>'001'!C3010</f>
        <v>COLA VINILICA COLVINIL 05 POMO X 0,250</v>
      </c>
      <c r="C3010" s="1" t="str">
        <f>'001'!D3010</f>
        <v>0119</v>
      </c>
      <c r="D3010" s="3" t="e">
        <f>'001'!H3010</f>
        <v>#VALUE!</v>
      </c>
    </row>
    <row r="3011" spans="1:4" x14ac:dyDescent="0.25">
      <c r="A3011" s="1" t="str">
        <f>'001'!B3011</f>
        <v>004301</v>
      </c>
      <c r="B3011" s="1" t="str">
        <f>'001'!C3011</f>
        <v>T460 YELLOW PEARL X 0,500</v>
      </c>
      <c r="C3011" s="1" t="str">
        <f>'001'!D3011</f>
        <v>0169</v>
      </c>
      <c r="D3011" s="3" t="e">
        <f>'001'!H3011</f>
        <v>#VALUE!</v>
      </c>
    </row>
    <row r="3012" spans="1:4" x14ac:dyDescent="0.25">
      <c r="A3012" s="1" t="str">
        <f>'001'!B3012</f>
        <v>004302</v>
      </c>
      <c r="B3012" s="1" t="str">
        <f>'001'!C3012</f>
        <v>T465.E0.5 RED PEARL X 0,500</v>
      </c>
      <c r="C3012" s="1" t="str">
        <f>'001'!D3012</f>
        <v>0169</v>
      </c>
      <c r="D3012" s="3" t="e">
        <f>'001'!H3012</f>
        <v>#VALUE!</v>
      </c>
    </row>
    <row r="3013" spans="1:4" x14ac:dyDescent="0.25">
      <c r="A3013" s="1" t="str">
        <f>'001'!B3013</f>
        <v>004303</v>
      </c>
      <c r="B3013" s="1" t="str">
        <f>'001'!C3013</f>
        <v>T466 ORANGE PEARL X 0,500</v>
      </c>
      <c r="C3013" s="1" t="str">
        <f>'001'!D3013</f>
        <v>0169</v>
      </c>
      <c r="D3013" s="3" t="e">
        <f>'001'!H3013</f>
        <v>#VALUE!</v>
      </c>
    </row>
    <row r="3014" spans="1:4" x14ac:dyDescent="0.25">
      <c r="A3014" s="1" t="str">
        <f>'001'!B3014</f>
        <v>004304</v>
      </c>
      <c r="B3014" s="1" t="str">
        <f>'001'!C3014</f>
        <v>T468 VIOLET PEARL X 0,500</v>
      </c>
      <c r="C3014" s="1" t="str">
        <f>'001'!D3014</f>
        <v>0169</v>
      </c>
      <c r="D3014" s="3" t="e">
        <f>'001'!H3014</f>
        <v>#VALUE!</v>
      </c>
    </row>
    <row r="3015" spans="1:4" x14ac:dyDescent="0.25">
      <c r="A3015" s="1" t="str">
        <f>'001'!B3015</f>
        <v>004305</v>
      </c>
      <c r="B3015" s="1" t="str">
        <f>'001'!C3015</f>
        <v>T475.E2 MEDIUM LENTICULAR METALLIC X 2</v>
      </c>
      <c r="C3015" s="1" t="str">
        <f>'001'!D3015</f>
        <v>0169</v>
      </c>
      <c r="D3015" s="3" t="e">
        <f>'001'!H3015</f>
        <v>#VALUE!</v>
      </c>
    </row>
    <row r="3016" spans="1:4" x14ac:dyDescent="0.25">
      <c r="A3016" s="1" t="str">
        <f>'001'!B3016</f>
        <v>004306</v>
      </c>
      <c r="B3016" s="1" t="str">
        <f>'001'!C3016</f>
        <v>T489 MEDIUM ALUMINIUM GOLD X 0,500</v>
      </c>
      <c r="C3016" s="1" t="str">
        <f>'001'!D3016</f>
        <v>0169</v>
      </c>
      <c r="D3016" s="3" t="e">
        <f>'001'!H3016</f>
        <v>#VALUE!</v>
      </c>
    </row>
    <row r="3017" spans="1:4" x14ac:dyDescent="0.25">
      <c r="A3017" s="1" t="str">
        <f>'001'!B3017</f>
        <v>004307</v>
      </c>
      <c r="B3017" s="1" t="str">
        <f>'001'!C3017</f>
        <v>T490.E1 TINTED CLEAR ADDITIVE X 1</v>
      </c>
      <c r="C3017" s="1" t="str">
        <f>'001'!D3017</f>
        <v>0169</v>
      </c>
      <c r="D3017" s="3" t="e">
        <f>'001'!H3017</f>
        <v>#VALUE!</v>
      </c>
    </row>
    <row r="3018" spans="1:4" x14ac:dyDescent="0.25">
      <c r="A3018" s="1" t="str">
        <f>'001'!B3018</f>
        <v>004308</v>
      </c>
      <c r="B3018" s="1" t="str">
        <f>'001'!C3018</f>
        <v>T4002 RADIANT RED X 0,500</v>
      </c>
      <c r="C3018" s="1" t="str">
        <f>'001'!D3018</f>
        <v>0169</v>
      </c>
      <c r="D3018" s="3" t="e">
        <f>'001'!H3018</f>
        <v>#VALUE!</v>
      </c>
    </row>
    <row r="3019" spans="1:4" x14ac:dyDescent="0.25">
      <c r="A3019" s="1" t="str">
        <f>'001'!B3019</f>
        <v>004309</v>
      </c>
      <c r="B3019" s="1" t="str">
        <f>'001'!C3019</f>
        <v>T4005 SOLARIS RED X 0,500</v>
      </c>
      <c r="C3019" s="1" t="str">
        <f>'001'!D3019</f>
        <v>0169</v>
      </c>
      <c r="D3019" s="3" t="e">
        <f>'001'!H3019</f>
        <v>#VALUE!</v>
      </c>
    </row>
    <row r="3020" spans="1:4" x14ac:dyDescent="0.25">
      <c r="A3020" s="1" t="str">
        <f>'001'!B3020</f>
        <v>004310</v>
      </c>
      <c r="B3020" s="1" t="str">
        <f>'001'!C3020</f>
        <v>T4006 FIRESIDE COPPER X 0,500</v>
      </c>
      <c r="C3020" s="1" t="str">
        <f>'001'!D3020</f>
        <v>0169</v>
      </c>
      <c r="D3020" s="3" t="e">
        <f>'001'!H3020</f>
        <v>#VALUE!</v>
      </c>
    </row>
    <row r="3021" spans="1:4" x14ac:dyDescent="0.25">
      <c r="A3021" s="1" t="str">
        <f>'001'!B3021</f>
        <v>004311</v>
      </c>
      <c r="B3021" s="1" t="str">
        <f>'001'!C3021</f>
        <v>T4008 ENVIROBASE TINTER BARNIZ X0,250</v>
      </c>
      <c r="C3021" s="1" t="str">
        <f>'001'!D3021</f>
        <v>0169</v>
      </c>
      <c r="D3021" s="3" t="e">
        <f>'001'!H3021</f>
        <v>#VALUE!</v>
      </c>
    </row>
    <row r="3022" spans="1:4" x14ac:dyDescent="0.25">
      <c r="A3022" s="1" t="str">
        <f>'001'!B3022</f>
        <v>004312</v>
      </c>
      <c r="B3022" s="1" t="str">
        <f>'001'!C3022</f>
        <v>T497 LIMPIADOR DE PISTOLAS AL AGUA X 5</v>
      </c>
      <c r="C3022" s="1" t="str">
        <f>'001'!D3022</f>
        <v>0169</v>
      </c>
      <c r="D3022" s="3" t="e">
        <f>'001'!H3022</f>
        <v>#VALUE!</v>
      </c>
    </row>
    <row r="3023" spans="1:4" x14ac:dyDescent="0.25">
      <c r="A3023" s="1" t="str">
        <f>'001'!B3023</f>
        <v>004314</v>
      </c>
      <c r="B3023" s="1" t="str">
        <f>'001'!C3023</f>
        <v>ESMALTE POLIURETANO TERSUAVE INDULAC BLANCO X  1</v>
      </c>
      <c r="C3023" s="1" t="str">
        <f>'001'!D3023</f>
        <v>0153</v>
      </c>
      <c r="D3023" s="3" t="e">
        <f>'001'!H3023</f>
        <v>#VALUE!</v>
      </c>
    </row>
    <row r="3024" spans="1:4" x14ac:dyDescent="0.25">
      <c r="A3024" s="1" t="str">
        <f>'001'!B3024</f>
        <v>004315</v>
      </c>
      <c r="B3024" s="1" t="str">
        <f>'001'!C3024</f>
        <v>ESMALTE POLIURETANO TERSUAVE INDULAC BLANCO X  4</v>
      </c>
      <c r="C3024" s="1" t="str">
        <f>'001'!D3024</f>
        <v>0153</v>
      </c>
      <c r="D3024" s="3" t="e">
        <f>'001'!H3024</f>
        <v>#VALUE!</v>
      </c>
    </row>
    <row r="3025" spans="1:4" x14ac:dyDescent="0.25">
      <c r="A3025" s="1" t="str">
        <f>'001'!B3025</f>
        <v>004316</v>
      </c>
      <c r="B3025" s="1" t="str">
        <f>'001'!C3025</f>
        <v>ESMALTE POLIURETANO TERSUAVE INDULAC BLANCO X 20</v>
      </c>
      <c r="C3025" s="1" t="str">
        <f>'001'!D3025</f>
        <v>0153</v>
      </c>
      <c r="D3025" s="3" t="e">
        <f>'001'!H3025</f>
        <v>#VALUE!</v>
      </c>
    </row>
    <row r="3026" spans="1:4" x14ac:dyDescent="0.25">
      <c r="A3026" s="1" t="str">
        <f>'001'!B3026</f>
        <v>004317</v>
      </c>
      <c r="B3026" s="1" t="str">
        <f>'001'!C3026</f>
        <v>ESMALTE POLIURETANO TERSUAVE INDULAC NEGRO X  1</v>
      </c>
      <c r="C3026" s="1" t="str">
        <f>'001'!D3026</f>
        <v>0153</v>
      </c>
      <c r="D3026" s="3" t="e">
        <f>'001'!H3026</f>
        <v>#VALUE!</v>
      </c>
    </row>
    <row r="3027" spans="1:4" x14ac:dyDescent="0.25">
      <c r="A3027" s="1" t="str">
        <f>'001'!B3027</f>
        <v>004318</v>
      </c>
      <c r="B3027" s="1" t="str">
        <f>'001'!C3027</f>
        <v>ESMALTE POLIURETANO TERSUAVE INDULAC NEGRO X  4</v>
      </c>
      <c r="C3027" s="1" t="str">
        <f>'001'!D3027</f>
        <v>0153</v>
      </c>
      <c r="D3027" s="3" t="e">
        <f>'001'!H3027</f>
        <v>#VALUE!</v>
      </c>
    </row>
    <row r="3028" spans="1:4" x14ac:dyDescent="0.25">
      <c r="A3028" s="1" t="str">
        <f>'001'!B3028</f>
        <v>004319</v>
      </c>
      <c r="B3028" s="1" t="str">
        <f>'001'!C3028</f>
        <v>ESMALTE POLIURETANO TERSUAVE INDULAC NEGRO X 20</v>
      </c>
      <c r="C3028" s="1" t="str">
        <f>'001'!D3028</f>
        <v>0153</v>
      </c>
      <c r="D3028" s="3" t="e">
        <f>'001'!H3028</f>
        <v>#VALUE!</v>
      </c>
    </row>
    <row r="3029" spans="1:4" x14ac:dyDescent="0.25">
      <c r="A3029" s="1" t="str">
        <f>'001'!B3029</f>
        <v>004320</v>
      </c>
      <c r="B3029" s="1" t="str">
        <f>'001'!C3029</f>
        <v>ESMALTE POLIURETANO TERSUAVE INDULAC NARANJA X 20</v>
      </c>
      <c r="C3029" s="1" t="str">
        <f>'001'!D3029</f>
        <v>0153</v>
      </c>
      <c r="D3029" s="3" t="e">
        <f>'001'!H3029</f>
        <v>#VALUE!</v>
      </c>
    </row>
    <row r="3030" spans="1:4" x14ac:dyDescent="0.25">
      <c r="A3030" s="1" t="str">
        <f>'001'!B3030</f>
        <v>004321</v>
      </c>
      <c r="B3030" s="1" t="str">
        <f>'001'!C3030</f>
        <v>CINTA POLI DOBLE A MARRON (293) 24MM X 50MTS.</v>
      </c>
      <c r="C3030" s="1" t="str">
        <f>'001'!D3030</f>
        <v>0102</v>
      </c>
      <c r="D3030" s="3" t="e">
        <f>'001'!H3030</f>
        <v>#VALUE!</v>
      </c>
    </row>
    <row r="3031" spans="1:4" x14ac:dyDescent="0.25">
      <c r="A3031" s="1" t="str">
        <f>'001'!B3031</f>
        <v>004322</v>
      </c>
      <c r="B3031" s="1" t="str">
        <f>'001'!C3031</f>
        <v>CINTA POLI DOBLE A MARRON (293) 36MM X 50MTS.</v>
      </c>
      <c r="C3031" s="1" t="str">
        <f>'001'!D3031</f>
        <v>0102</v>
      </c>
      <c r="D3031" s="3" t="e">
        <f>'001'!H3031</f>
        <v>#VALUE!</v>
      </c>
    </row>
    <row r="3032" spans="1:4" x14ac:dyDescent="0.25">
      <c r="A3032" s="1" t="str">
        <f>'001'!B3032</f>
        <v>004327</v>
      </c>
      <c r="B3032" s="1" t="str">
        <f>'001'!C3032</f>
        <v>DCH3085 CATALIZADOR NORMAL TEMPERATURA MEDIA P/ DC3000/4000 X 1</v>
      </c>
      <c r="C3032" s="1" t="str">
        <f>'001'!D3032</f>
        <v>0134</v>
      </c>
      <c r="D3032" s="3" t="e">
        <f>'001'!H3032</f>
        <v>#VALUE!</v>
      </c>
    </row>
    <row r="3033" spans="1:4" x14ac:dyDescent="0.25">
      <c r="A3033" s="1" t="str">
        <f>'001'!B3033</f>
        <v>004329</v>
      </c>
      <c r="B3033" s="1" t="str">
        <f>'001'!C3033</f>
        <v>REVESTIMIENTO TEXTURADO TERPLAST ROMANO GRUESO BLANCO X  6</v>
      </c>
      <c r="C3033" s="1" t="str">
        <f>'001'!D3033</f>
        <v>0152</v>
      </c>
      <c r="D3033" s="3" t="e">
        <f>'001'!H3033</f>
        <v>#VALUE!</v>
      </c>
    </row>
    <row r="3034" spans="1:4" x14ac:dyDescent="0.25">
      <c r="A3034" s="1" t="str">
        <f>'001'!B3034</f>
        <v>004330</v>
      </c>
      <c r="B3034" s="1" t="str">
        <f>'001'!C3034</f>
        <v>REVESTIMIENTO TEXTURADO TERPLAST ROMANO GRUESO BLANCO X 25</v>
      </c>
      <c r="C3034" s="1" t="str">
        <f>'001'!D3034</f>
        <v>0152</v>
      </c>
      <c r="D3034" s="3" t="e">
        <f>'001'!H3034</f>
        <v>#VALUE!</v>
      </c>
    </row>
    <row r="3035" spans="1:4" x14ac:dyDescent="0.25">
      <c r="A3035" s="1" t="str">
        <f>'001'!B3035</f>
        <v>004331</v>
      </c>
      <c r="B3035" s="1" t="str">
        <f>'001'!C3035</f>
        <v>REVESTIMIENTO TEXTURADO TERPLAST ROMANO GRUESO CLEAR X 25</v>
      </c>
      <c r="C3035" s="1" t="str">
        <f>'001'!D3035</f>
        <v>0152</v>
      </c>
      <c r="D3035" s="3" t="e">
        <f>'001'!H3035</f>
        <v>#VALUE!</v>
      </c>
    </row>
    <row r="3036" spans="1:4" x14ac:dyDescent="0.25">
      <c r="A3036" s="1" t="str">
        <f>'001'!B3036</f>
        <v>004333</v>
      </c>
      <c r="B3036" s="1" t="str">
        <f>'001'!C3036</f>
        <v>REVESTIMIENTO TEXTURADO TERPLAST ROMANO FINO BLANCO X 25</v>
      </c>
      <c r="C3036" s="1" t="str">
        <f>'001'!D3036</f>
        <v>0152</v>
      </c>
      <c r="D3036" s="3" t="e">
        <f>'001'!H3036</f>
        <v>#VALUE!</v>
      </c>
    </row>
    <row r="3037" spans="1:4" x14ac:dyDescent="0.25">
      <c r="A3037" s="1" t="str">
        <f>'001'!B3037</f>
        <v>004334</v>
      </c>
      <c r="B3037" s="1" t="str">
        <f>'001'!C3037</f>
        <v>REVESTIMIENTO TEXTURADO TERPLAST ROMANO FINO CLEAR X 25</v>
      </c>
      <c r="C3037" s="1" t="str">
        <f>'001'!D3037</f>
        <v>0152</v>
      </c>
      <c r="D3037" s="3" t="e">
        <f>'001'!H3037</f>
        <v>#VALUE!</v>
      </c>
    </row>
    <row r="3038" spans="1:4" x14ac:dyDescent="0.25">
      <c r="A3038" s="1" t="str">
        <f>'001'!B3038</f>
        <v>004336</v>
      </c>
      <c r="B3038" s="1" t="str">
        <f>'001'!C3038</f>
        <v>REVESTIMIENTO TEXTURADO TERPLAST ROMANO MEDIO BLANCO X 25</v>
      </c>
      <c r="C3038" s="1" t="str">
        <f>'001'!D3038</f>
        <v>0152</v>
      </c>
      <c r="D3038" s="3" t="e">
        <f>'001'!H3038</f>
        <v>#VALUE!</v>
      </c>
    </row>
    <row r="3039" spans="1:4" x14ac:dyDescent="0.25">
      <c r="A3039" s="1" t="str">
        <f>'001'!B3039</f>
        <v>004340</v>
      </c>
      <c r="B3039" s="1" t="str">
        <f>'001'!C3039</f>
        <v>T4007 COSMIC TURQUOISE ENVIROBASE X 0,250</v>
      </c>
      <c r="C3039" s="1" t="str">
        <f>'001'!D3039</f>
        <v>0169</v>
      </c>
      <c r="D3039" s="3" t="e">
        <f>'001'!H3039</f>
        <v>#VALUE!</v>
      </c>
    </row>
    <row r="3040" spans="1:4" x14ac:dyDescent="0.25">
      <c r="A3040" s="1" t="str">
        <f>'001'!B3040</f>
        <v>004353</v>
      </c>
      <c r="B3040" s="1" t="str">
        <f>'001'!C3040</f>
        <v>EMULSION ASFALTICA ACUOSA MEGAFLEX X 200KG</v>
      </c>
      <c r="C3040" s="1" t="str">
        <f>'001'!D3040</f>
        <v>0130</v>
      </c>
      <c r="D3040" s="3" t="e">
        <f>'001'!H3040</f>
        <v>#VALUE!</v>
      </c>
    </row>
    <row r="3041" spans="1:4" x14ac:dyDescent="0.25">
      <c r="A3041" s="1" t="str">
        <f>'001'!B3041</f>
        <v>004355</v>
      </c>
      <c r="B3041" s="1" t="str">
        <f>'001'!C3041</f>
        <v>MEMBRANA LIQUIDA TRANSITABLE MEGAFLEX BLANCO X 20KG</v>
      </c>
      <c r="C3041" s="1" t="str">
        <f>'001'!D3041</f>
        <v>0130</v>
      </c>
      <c r="D3041" s="3" t="e">
        <f>'001'!H3041</f>
        <v>#VALUE!</v>
      </c>
    </row>
    <row r="3042" spans="1:4" x14ac:dyDescent="0.25">
      <c r="A3042" s="1" t="str">
        <f>'001'!B3042</f>
        <v>004356</v>
      </c>
      <c r="B3042" s="1" t="str">
        <f>'001'!C3042</f>
        <v>BARNIZ PARA MADERA TERSUAVE IGNIFUGO BRILLANTE X  4</v>
      </c>
      <c r="C3042" s="1" t="str">
        <f>'001'!D3042</f>
        <v>0153</v>
      </c>
      <c r="D3042" s="3" t="e">
        <f>'001'!H3042</f>
        <v>#VALUE!</v>
      </c>
    </row>
    <row r="3043" spans="1:4" x14ac:dyDescent="0.25">
      <c r="A3043" s="1" t="str">
        <f>'001'!B3043</f>
        <v>004357</v>
      </c>
      <c r="B3043" s="1" t="str">
        <f>'001'!C3043</f>
        <v>BARNIZ PARA MADERA TERSUAVE IGNIFUGO BRILLANTE X 20</v>
      </c>
      <c r="C3043" s="1" t="str">
        <f>'001'!D3043</f>
        <v>0153</v>
      </c>
      <c r="D3043" s="3" t="e">
        <f>'001'!H3043</f>
        <v>#VALUE!</v>
      </c>
    </row>
    <row r="3044" spans="1:4" x14ac:dyDescent="0.25">
      <c r="A3044" s="1" t="str">
        <f>'001'!B3044</f>
        <v>004358</v>
      </c>
      <c r="B3044" s="1" t="str">
        <f>'001'!C3044</f>
        <v>ESMALTE IGNIFUGO TERSUAVE BASE ACUOSA X  4</v>
      </c>
      <c r="C3044" s="1" t="str">
        <f>'001'!D3044</f>
        <v>0153</v>
      </c>
      <c r="D3044" s="3" t="e">
        <f>'001'!H3044</f>
        <v>#VALUE!</v>
      </c>
    </row>
    <row r="3045" spans="1:4" x14ac:dyDescent="0.25">
      <c r="A3045" s="1" t="str">
        <f>'001'!B3045</f>
        <v>004359</v>
      </c>
      <c r="B3045" s="1" t="str">
        <f>'001'!C3045</f>
        <v>ESMALTE IGNIFUGO TERSUAVE BASE ACUOSA X 20</v>
      </c>
      <c r="C3045" s="1" t="str">
        <f>'001'!D3045</f>
        <v>0153</v>
      </c>
      <c r="D3045" s="3" t="e">
        <f>'001'!H3045</f>
        <v>#VALUE!</v>
      </c>
    </row>
    <row r="3046" spans="1:4" x14ac:dyDescent="0.25">
      <c r="A3046" s="1" t="str">
        <f>'001'!B3046</f>
        <v>004360</v>
      </c>
      <c r="B3046" s="1" t="str">
        <f>'001'!C3046</f>
        <v>INDULAC EPOXI SIN SOLVENTE X 5 KG</v>
      </c>
      <c r="C3046" s="1" t="str">
        <f>'001'!D3046</f>
        <v>0153</v>
      </c>
      <c r="D3046" s="3" t="e">
        <f>'001'!H3046</f>
        <v>#VALUE!</v>
      </c>
    </row>
    <row r="3047" spans="1:4" x14ac:dyDescent="0.25">
      <c r="A3047" s="1" t="str">
        <f>'001'!B3047</f>
        <v>004367</v>
      </c>
      <c r="B3047" s="1" t="str">
        <f>'001'!C3047</f>
        <v>LATEX PARA PISO TERSPORT NEGRO X 20</v>
      </c>
      <c r="C3047" s="1" t="str">
        <f>'001'!D3047</f>
        <v>0152</v>
      </c>
      <c r="D3047" s="3" t="e">
        <f>'001'!H3047</f>
        <v>#VALUE!</v>
      </c>
    </row>
    <row r="3048" spans="1:4" x14ac:dyDescent="0.25">
      <c r="A3048" s="1" t="str">
        <f>'001'!B3048</f>
        <v>004370</v>
      </c>
      <c r="B3048" s="1" t="str">
        <f>'001'!C3048</f>
        <v>LATEX PARA PISO TERSPORT GRIS PLOMO X 20</v>
      </c>
      <c r="C3048" s="1" t="str">
        <f>'001'!D3048</f>
        <v>0152</v>
      </c>
      <c r="D3048" s="3" t="e">
        <f>'001'!H3048</f>
        <v>#VALUE!</v>
      </c>
    </row>
    <row r="3049" spans="1:4" x14ac:dyDescent="0.25">
      <c r="A3049" s="1" t="str">
        <f>'001'!B3049</f>
        <v>004373</v>
      </c>
      <c r="B3049" s="1" t="str">
        <f>'001'!C3049</f>
        <v>PASTINA LISTA WEBER NIEVE X 1 KG</v>
      </c>
      <c r="C3049" s="1" t="str">
        <f>'001'!D3049</f>
        <v>0163</v>
      </c>
      <c r="D3049" s="3" t="e">
        <f>'001'!H3049</f>
        <v>#VALUE!</v>
      </c>
    </row>
    <row r="3050" spans="1:4" x14ac:dyDescent="0.25">
      <c r="A3050" s="1" t="str">
        <f>'001'!B3050</f>
        <v>004374</v>
      </c>
      <c r="B3050" s="1" t="str">
        <f>'001'!C3050</f>
        <v>PASTINA LISTA WEBER GRIS PERLA X 1 KG</v>
      </c>
      <c r="C3050" s="1" t="str">
        <f>'001'!D3050</f>
        <v>0163</v>
      </c>
      <c r="D3050" s="3" t="e">
        <f>'001'!H3050</f>
        <v>#VALUE!</v>
      </c>
    </row>
    <row r="3051" spans="1:4" x14ac:dyDescent="0.25">
      <c r="A3051" s="1" t="str">
        <f>'001'!B3051</f>
        <v>004375</v>
      </c>
      <c r="B3051" s="1" t="str">
        <f>'001'!C3051</f>
        <v>PASTINA LISTA WEBER BEIGE X 1 KG</v>
      </c>
      <c r="C3051" s="1" t="str">
        <f>'001'!D3051</f>
        <v>0163</v>
      </c>
      <c r="D3051" s="3" t="e">
        <f>'001'!H3051</f>
        <v>#VALUE!</v>
      </c>
    </row>
    <row r="3052" spans="1:4" x14ac:dyDescent="0.25">
      <c r="A3052" s="1" t="str">
        <f>'001'!B3052</f>
        <v>004376</v>
      </c>
      <c r="B3052" s="1" t="str">
        <f>'001'!C3052</f>
        <v>PASTINA LISTA WEBER MEDANO X 1 KG</v>
      </c>
      <c r="C3052" s="1" t="str">
        <f>'001'!D3052</f>
        <v>0163</v>
      </c>
      <c r="D3052" s="3" t="e">
        <f>'001'!H3052</f>
        <v>#VALUE!</v>
      </c>
    </row>
    <row r="3053" spans="1:4" x14ac:dyDescent="0.25">
      <c r="A3053" s="1" t="str">
        <f>'001'!B3053</f>
        <v>004377</v>
      </c>
      <c r="B3053" s="1" t="str">
        <f>'001'!C3053</f>
        <v>PASTINA LISTA WEBER HUESO X 1 KG</v>
      </c>
      <c r="C3053" s="1" t="str">
        <f>'001'!D3053</f>
        <v>0163</v>
      </c>
      <c r="D3053" s="3" t="e">
        <f>'001'!H3053</f>
        <v>#VALUE!</v>
      </c>
    </row>
    <row r="3054" spans="1:4" x14ac:dyDescent="0.25">
      <c r="A3054" s="1" t="str">
        <f>'001'!B3054</f>
        <v>004378</v>
      </c>
      <c r="B3054" s="1" t="str">
        <f>'001'!C3054</f>
        <v>PASTINA LISTA WEBER PLATA X 1 KG</v>
      </c>
      <c r="C3054" s="1" t="str">
        <f>'001'!D3054</f>
        <v>0163</v>
      </c>
      <c r="D3054" s="3" t="e">
        <f>'001'!H3054</f>
        <v>#VALUE!</v>
      </c>
    </row>
    <row r="3055" spans="1:4" x14ac:dyDescent="0.25">
      <c r="A3055" s="1" t="str">
        <f>'001'!B3055</f>
        <v>004379</v>
      </c>
      <c r="B3055" s="1" t="str">
        <f>'001'!C3055</f>
        <v>PASTINA LISTA WEBER PERLATO X 1 KG</v>
      </c>
      <c r="C3055" s="1" t="str">
        <f>'001'!D3055</f>
        <v>0163</v>
      </c>
      <c r="D3055" s="3" t="e">
        <f>'001'!H3055</f>
        <v>#VALUE!</v>
      </c>
    </row>
    <row r="3056" spans="1:4" x14ac:dyDescent="0.25">
      <c r="A3056" s="1" t="str">
        <f>'001'!B3056</f>
        <v>004380</v>
      </c>
      <c r="B3056" s="1" t="str">
        <f>'001'!C3056</f>
        <v>PASTINA LISTA WEBER CEDRO X 1 KG</v>
      </c>
      <c r="C3056" s="1" t="str">
        <f>'001'!D3056</f>
        <v>0163</v>
      </c>
      <c r="D3056" s="3" t="e">
        <f>'001'!H3056</f>
        <v>#VALUE!</v>
      </c>
    </row>
    <row r="3057" spans="1:4" x14ac:dyDescent="0.25">
      <c r="A3057" s="1" t="str">
        <f>'001'!B3057</f>
        <v>004381</v>
      </c>
      <c r="B3057" s="1" t="str">
        <f>'001'!C3057</f>
        <v>PASTINA LISTA WEBER NEGRO X 1 KG</v>
      </c>
      <c r="C3057" s="1" t="str">
        <f>'001'!D3057</f>
        <v>0163</v>
      </c>
      <c r="D3057" s="3" t="e">
        <f>'001'!H3057</f>
        <v>#VALUE!</v>
      </c>
    </row>
    <row r="3058" spans="1:4" x14ac:dyDescent="0.25">
      <c r="A3058" s="1" t="str">
        <f>'001'!B3058</f>
        <v>004382</v>
      </c>
      <c r="B3058" s="1" t="str">
        <f>'001'!C3058</f>
        <v>PASTINA LISTA WEBER HABANO X 1 KG</v>
      </c>
      <c r="C3058" s="1" t="str">
        <f>'001'!D3058</f>
        <v>0163</v>
      </c>
      <c r="D3058" s="3" t="e">
        <f>'001'!H3058</f>
        <v>#VALUE!</v>
      </c>
    </row>
    <row r="3059" spans="1:4" x14ac:dyDescent="0.25">
      <c r="A3059" s="1" t="str">
        <f>'001'!B3059</f>
        <v>004383</v>
      </c>
      <c r="B3059" s="1" t="str">
        <f>'001'!C3059</f>
        <v>MORTEROS WEBER LISTO GRIS X 3 KG</v>
      </c>
      <c r="C3059" s="1" t="str">
        <f>'001'!D3059</f>
        <v>0163</v>
      </c>
      <c r="D3059" s="3" t="e">
        <f>'001'!H3059</f>
        <v>#VALUE!</v>
      </c>
    </row>
    <row r="3060" spans="1:4" x14ac:dyDescent="0.25">
      <c r="A3060" s="1" t="str">
        <f>'001'!B3060</f>
        <v>004384</v>
      </c>
      <c r="B3060" s="1" t="str">
        <f>'001'!C3060</f>
        <v>MORTEROS TECNICOS WEBER.TEC RAPID X 2 KG</v>
      </c>
      <c r="C3060" s="1" t="str">
        <f>'001'!D3060</f>
        <v>0902</v>
      </c>
      <c r="D3060" s="3" t="e">
        <f>'001'!H3060</f>
        <v>#VALUE!</v>
      </c>
    </row>
    <row r="3061" spans="1:4" x14ac:dyDescent="0.25">
      <c r="A3061" s="1" t="str">
        <f>'001'!B3061</f>
        <v>004385</v>
      </c>
      <c r="B3061" s="1" t="str">
        <f>'001'!C3061</f>
        <v>MORTEROS TECNICOS WEBER.TEC RAPID X 10 KG</v>
      </c>
      <c r="C3061" s="1" t="str">
        <f>'001'!D3061</f>
        <v>0163</v>
      </c>
      <c r="D3061" s="3" t="e">
        <f>'001'!H3061</f>
        <v>#VALUE!</v>
      </c>
    </row>
    <row r="3062" spans="1:4" x14ac:dyDescent="0.25">
      <c r="A3062" s="1" t="str">
        <f>'001'!B3062</f>
        <v>004386</v>
      </c>
      <c r="B3062" s="1" t="str">
        <f>'001'!C3062</f>
        <v>REPARADOR DE HORMIGON WEBER HORMIVISTO GRIS X 10KG</v>
      </c>
      <c r="C3062" s="1" t="str">
        <f>'001'!D3062</f>
        <v>0163</v>
      </c>
      <c r="D3062" s="3" t="e">
        <f>'001'!H3062</f>
        <v>#VALUE!</v>
      </c>
    </row>
    <row r="3063" spans="1:4" x14ac:dyDescent="0.25">
      <c r="A3063" s="1" t="str">
        <f>'001'!B3063</f>
        <v>004387</v>
      </c>
      <c r="B3063" s="1" t="str">
        <f>'001'!C3063</f>
        <v>REVOQUES MANUALES WEBER MIX I X  5 KG</v>
      </c>
      <c r="C3063" s="1" t="str">
        <f>'001'!D3063</f>
        <v>0163</v>
      </c>
      <c r="D3063" s="3" t="e">
        <f>'001'!H3063</f>
        <v>#VALUE!</v>
      </c>
    </row>
    <row r="3064" spans="1:4" x14ac:dyDescent="0.25">
      <c r="A3064" s="1" t="str">
        <f>'001'!B3064</f>
        <v>004388</v>
      </c>
      <c r="B3064" s="1" t="str">
        <f>'001'!C3064</f>
        <v>REVOQUES MANUALES WEBER MIX I X 30 KG</v>
      </c>
      <c r="C3064" s="1" t="str">
        <f>'001'!D3064</f>
        <v>0163</v>
      </c>
      <c r="D3064" s="3" t="e">
        <f>'001'!H3064</f>
        <v>#VALUE!</v>
      </c>
    </row>
    <row r="3065" spans="1:4" x14ac:dyDescent="0.25">
      <c r="A3065" s="1" t="str">
        <f>'001'!B3065</f>
        <v>004389</v>
      </c>
      <c r="B3065" s="1" t="str">
        <f>'001'!C3065</f>
        <v>REVOQUES MANUALES WEBER MIX E X  5 KG</v>
      </c>
      <c r="C3065" s="1" t="str">
        <f>'001'!D3065</f>
        <v>0163</v>
      </c>
      <c r="D3065" s="3" t="e">
        <f>'001'!H3065</f>
        <v>#VALUE!</v>
      </c>
    </row>
    <row r="3066" spans="1:4" x14ac:dyDescent="0.25">
      <c r="A3066" s="1" t="str">
        <f>'001'!B3066</f>
        <v>004390</v>
      </c>
      <c r="B3066" s="1" t="str">
        <f>'001'!C3066</f>
        <v>REVOQUES MANUALES WEBER MIX E X 30 KG</v>
      </c>
      <c r="C3066" s="1" t="str">
        <f>'001'!D3066</f>
        <v>0163</v>
      </c>
      <c r="D3066" s="3" t="e">
        <f>'001'!H3066</f>
        <v>#VALUE!</v>
      </c>
    </row>
    <row r="3067" spans="1:4" x14ac:dyDescent="0.25">
      <c r="A3067" s="1" t="str">
        <f>'001'!B3067</f>
        <v>004391</v>
      </c>
      <c r="B3067" s="1" t="str">
        <f>'001'!C3067</f>
        <v>GASA BARNIZADA DOBLE A</v>
      </c>
      <c r="C3067" s="1" t="str">
        <f>'001'!D3067</f>
        <v>0102</v>
      </c>
      <c r="D3067" s="3" t="e">
        <f>'001'!H3067</f>
        <v>#VALUE!</v>
      </c>
    </row>
    <row r="3068" spans="1:4" x14ac:dyDescent="0.25">
      <c r="A3068" s="1" t="str">
        <f>'001'!B3068</f>
        <v>004392</v>
      </c>
      <c r="B3068" s="1" t="str">
        <f>'001'!C3068</f>
        <v>MEMBRANA ASFALTICA MEGAFLEX GEOTRANS X 40KG</v>
      </c>
      <c r="C3068" s="1" t="str">
        <f>'001'!D3068</f>
        <v>0130</v>
      </c>
      <c r="D3068" s="3" t="e">
        <f>'001'!H3068</f>
        <v>#VALUE!</v>
      </c>
    </row>
    <row r="3069" spans="1:4" x14ac:dyDescent="0.25">
      <c r="A3069" s="1" t="str">
        <f>'001'!B3069</f>
        <v>004396</v>
      </c>
      <c r="B3069" s="1" t="str">
        <f>'001'!C3069</f>
        <v>PLATO SOPORTE P/ROTATIVA 3D BACKING P/ROTA-ROSCA M14 5'' (K-73)</v>
      </c>
      <c r="C3069" s="1" t="str">
        <f>'001'!D3069</f>
        <v>0191</v>
      </c>
      <c r="D3069" s="3" t="e">
        <f>'001'!H3069</f>
        <v>#VALUE!</v>
      </c>
    </row>
    <row r="3070" spans="1:4" x14ac:dyDescent="0.25">
      <c r="A3070" s="1" t="str">
        <f>'001'!B3070</f>
        <v>004397</v>
      </c>
      <c r="B3070" s="1" t="str">
        <f>'001'!C3070</f>
        <v>PLATO SOPORTE P/ROTO ORBITAL 3D BACKING P/MAQ. ROTO ORBITALES 5,5'' (K-75)'</v>
      </c>
      <c r="C3070" s="1" t="str">
        <f>'001'!D3070</f>
        <v>0191</v>
      </c>
      <c r="D3070" s="3" t="e">
        <f>'001'!H3070</f>
        <v>#VALUE!</v>
      </c>
    </row>
    <row r="3071" spans="1:4" x14ac:dyDescent="0.25">
      <c r="A3071" s="1" t="str">
        <f>'001'!B3071</f>
        <v>004398</v>
      </c>
      <c r="B3071" s="1" t="str">
        <f>'001'!C3071</f>
        <v>3D KIT PADS Y LIJAS P/RESTAU.OPTICAS 3'' (K-08-KIT)'</v>
      </c>
      <c r="C3071" s="1" t="str">
        <f>'001'!D3071</f>
        <v>0191</v>
      </c>
      <c r="D3071" s="3" t="e">
        <f>'001'!H3071</f>
        <v>#VALUE!</v>
      </c>
    </row>
    <row r="3072" spans="1:4" x14ac:dyDescent="0.25">
      <c r="A3072" s="1" t="str">
        <f>'001'!B3072</f>
        <v>004399</v>
      </c>
      <c r="B3072" s="1" t="str">
        <f>'001'!C3072</f>
        <v>PLATO SOPORTE P/ TALADRO 3D BACKING PARA TALADRO 3'' (K-96)'</v>
      </c>
      <c r="C3072" s="1" t="str">
        <f>'001'!D3072</f>
        <v>0191</v>
      </c>
      <c r="D3072" s="3" t="e">
        <f>'001'!H3072</f>
        <v>#VALUE!</v>
      </c>
    </row>
    <row r="3073" spans="1:4" x14ac:dyDescent="0.25">
      <c r="A3073" s="1" t="str">
        <f>'001'!B3073</f>
        <v>004400</v>
      </c>
      <c r="B3073" s="1" t="str">
        <f>'001'!C3073</f>
        <v>COLOR TEST ALBA TRIGO DORADO X 0,030</v>
      </c>
      <c r="C3073" s="1" t="str">
        <f>'001'!D3073</f>
        <v>0902</v>
      </c>
      <c r="D3073" s="3" t="e">
        <f>'001'!H3073</f>
        <v>#VALUE!</v>
      </c>
    </row>
    <row r="3074" spans="1:4" x14ac:dyDescent="0.25">
      <c r="A3074" s="1" t="str">
        <f>'001'!B3074</f>
        <v>004401</v>
      </c>
      <c r="B3074" s="1" t="str">
        <f>'001'!C3074</f>
        <v>COLOR TEST ALBA TROFEO DE PLATA X 0,030</v>
      </c>
      <c r="C3074" s="1" t="str">
        <f>'001'!D3074</f>
        <v>0902</v>
      </c>
      <c r="D3074" s="3" t="e">
        <f>'001'!H3074</f>
        <v>#VALUE!</v>
      </c>
    </row>
    <row r="3075" spans="1:4" x14ac:dyDescent="0.25">
      <c r="A3075" s="1" t="str">
        <f>'001'!B3075</f>
        <v>004402</v>
      </c>
      <c r="B3075" s="1" t="str">
        <f>'001'!C3075</f>
        <v>COLOR TEST ALBA TRUFA DE HIERBABUENA X 0,030</v>
      </c>
      <c r="C3075" s="1" t="str">
        <f>'001'!D3075</f>
        <v>0902</v>
      </c>
      <c r="D3075" s="3" t="e">
        <f>'001'!H3075</f>
        <v>#VALUE!</v>
      </c>
    </row>
    <row r="3076" spans="1:4" x14ac:dyDescent="0.25">
      <c r="A3076" s="1" t="str">
        <f>'001'!B3076</f>
        <v>004403</v>
      </c>
      <c r="B3076" s="1" t="str">
        <f>'001'!C3076</f>
        <v>COLOR TEST ALBA TURQUESA VENECIANA X 0,030</v>
      </c>
      <c r="C3076" s="1" t="str">
        <f>'001'!D3076</f>
        <v>0902</v>
      </c>
      <c r="D3076" s="3" t="e">
        <f>'001'!H3076</f>
        <v>#VALUE!</v>
      </c>
    </row>
    <row r="3077" spans="1:4" x14ac:dyDescent="0.25">
      <c r="A3077" s="1" t="str">
        <f>'001'!B3077</f>
        <v>004404</v>
      </c>
      <c r="B3077" s="1" t="str">
        <f>'001'!C3077</f>
        <v>COLOR TEST ALBA UVA VERDE X 0,030</v>
      </c>
      <c r="C3077" s="1" t="str">
        <f>'001'!D3077</f>
        <v>0902</v>
      </c>
      <c r="D3077" s="3" t="e">
        <f>'001'!H3077</f>
        <v>#VALUE!</v>
      </c>
    </row>
    <row r="3078" spans="1:4" x14ac:dyDescent="0.25">
      <c r="A3078" s="1" t="str">
        <f>'001'!B3078</f>
        <v>004405</v>
      </c>
      <c r="B3078" s="1" t="str">
        <f>'001'!C3078</f>
        <v>COLOR TEST ALBA VERDE PARQUE X 0,030</v>
      </c>
      <c r="C3078" s="1" t="str">
        <f>'001'!D3078</f>
        <v>0902</v>
      </c>
      <c r="D3078" s="3" t="e">
        <f>'001'!H3078</f>
        <v>#VALUE!</v>
      </c>
    </row>
    <row r="3079" spans="1:4" x14ac:dyDescent="0.25">
      <c r="A3079" s="1" t="str">
        <f>'001'!B3079</f>
        <v>004406</v>
      </c>
      <c r="B3079" s="1" t="str">
        <f>'001'!C3079</f>
        <v>COLOR TEST ALBA VIDRIO AHUMADO X 0,030</v>
      </c>
      <c r="C3079" s="1" t="str">
        <f>'001'!D3079</f>
        <v>0902</v>
      </c>
      <c r="D3079" s="3" t="e">
        <f>'001'!H3079</f>
        <v>#VALUE!</v>
      </c>
    </row>
    <row r="3080" spans="1:4" x14ac:dyDescent="0.25">
      <c r="A3080" s="1" t="str">
        <f>'001'!B3080</f>
        <v>004407</v>
      </c>
      <c r="B3080" s="1" t="str">
        <f>'001'!C3080</f>
        <v>COLOR TEST ALBA YUTE DORADO X 0,030</v>
      </c>
      <c r="C3080" s="1" t="str">
        <f>'001'!D3080</f>
        <v>0902</v>
      </c>
      <c r="D3080" s="3" t="e">
        <f>'001'!H3080</f>
        <v>#VALUE!</v>
      </c>
    </row>
    <row r="3081" spans="1:4" x14ac:dyDescent="0.25">
      <c r="A3081" s="1" t="str">
        <f>'001'!B3081</f>
        <v>004408</v>
      </c>
      <c r="B3081" s="1" t="str">
        <f>'001'!C3081</f>
        <v>AEROSOL RUST-OLEUM PINTURA TIZADA CHALKED TRANSPARENTE MATE X 0,340(335323)</v>
      </c>
      <c r="C3081" s="1" t="str">
        <f>'001'!D3081</f>
        <v>0146</v>
      </c>
      <c r="D3081" s="3" t="e">
        <f>'001'!H3081</f>
        <v>#VALUE!</v>
      </c>
    </row>
    <row r="3082" spans="1:4" x14ac:dyDescent="0.25">
      <c r="A3082" s="1" t="str">
        <f>'001'!B3082</f>
        <v>004421</v>
      </c>
      <c r="B3082" s="1" t="str">
        <f>'001'!C3082</f>
        <v>PINTURA A LA TIZA CHALKED RUST-OLEUM BLANCO LINO X 0,887(311320)</v>
      </c>
      <c r="C3082" s="1" t="str">
        <f>'001'!D3082</f>
        <v>0902</v>
      </c>
      <c r="D3082" s="3" t="e">
        <f>'001'!H3082</f>
        <v>#VALUE!</v>
      </c>
    </row>
    <row r="3083" spans="1:4" x14ac:dyDescent="0.25">
      <c r="A3083" s="1" t="str">
        <f>'001'!B3083</f>
        <v>004422</v>
      </c>
      <c r="B3083" s="1" t="str">
        <f>'001'!C3083</f>
        <v>PINTURA A LA TIZA CHALKED RUST-OLEUM CARBON X 0,887(311335-375522)</v>
      </c>
      <c r="C3083" s="1" t="str">
        <f>'001'!D3083</f>
        <v>0902</v>
      </c>
      <c r="D3083" s="3" t="e">
        <f>'001'!H3083</f>
        <v>#VALUE!</v>
      </c>
    </row>
    <row r="3084" spans="1:4" x14ac:dyDescent="0.25">
      <c r="A3084" s="1" t="str">
        <f>'001'!B3084</f>
        <v>004423</v>
      </c>
      <c r="B3084" s="1" t="str">
        <f>'001'!C3084</f>
        <v>PINTURA A LA TIZA CHALKED RUST-OLEUM GRIS CAMPESTRE X 0,887(311332)</v>
      </c>
      <c r="C3084" s="1" t="str">
        <f>'001'!D3084</f>
        <v>0902</v>
      </c>
      <c r="D3084" s="3" t="e">
        <f>'001'!H3084</f>
        <v>#VALUE!</v>
      </c>
    </row>
    <row r="3085" spans="1:4" x14ac:dyDescent="0.25">
      <c r="A3085" s="1" t="str">
        <f>'001'!B3085</f>
        <v>004425</v>
      </c>
      <c r="B3085" s="1" t="str">
        <f>'001'!C3085</f>
        <v>PINTURA A LA TIZA CHALKED RUST-OLEUM AZUL SERENO X 0,887(311331)</v>
      </c>
      <c r="C3085" s="1" t="str">
        <f>'001'!D3085</f>
        <v>0902</v>
      </c>
      <c r="D3085" s="3" t="e">
        <f>'001'!H3085</f>
        <v>#VALUE!</v>
      </c>
    </row>
    <row r="3086" spans="1:4" x14ac:dyDescent="0.25">
      <c r="A3086" s="1" t="str">
        <f>'001'!B3086</f>
        <v>004426</v>
      </c>
      <c r="B3086" s="1" t="str">
        <f>'001'!C3086</f>
        <v>PINTURA A LA TIZA CHALKED RUST-OLEUM ROSA PALIDO X 0,887(311333)</v>
      </c>
      <c r="C3086" s="1" t="str">
        <f>'001'!D3086</f>
        <v>0902</v>
      </c>
      <c r="D3086" s="3" t="e">
        <f>'001'!H3086</f>
        <v>#VALUE!</v>
      </c>
    </row>
    <row r="3087" spans="1:4" x14ac:dyDescent="0.25">
      <c r="A3087" s="1" t="str">
        <f>'001'!B3087</f>
        <v>004428</v>
      </c>
      <c r="B3087" s="1" t="str">
        <f>'001'!C3087</f>
        <v>PINTURA A LA TIZA CHALKED RUST-OLEUM AZUL COSTENO X 0,887(337879)</v>
      </c>
      <c r="C3087" s="1" t="str">
        <f>'001'!D3087</f>
        <v>0902</v>
      </c>
      <c r="D3087" s="3" t="e">
        <f>'001'!H3087</f>
        <v>#VALUE!</v>
      </c>
    </row>
    <row r="3088" spans="1:4" x14ac:dyDescent="0.25">
      <c r="A3088" s="1" t="str">
        <f>'001'!B3088</f>
        <v>004429</v>
      </c>
      <c r="B3088" s="1" t="str">
        <f>'001'!C3088</f>
        <v>PINTURA A LA TIZA CHALKED RUST-OLEUM VERDE ESTANQUE X 0,887(337885)</v>
      </c>
      <c r="C3088" s="1" t="str">
        <f>'001'!D3088</f>
        <v>0902</v>
      </c>
      <c r="D3088" s="3" t="e">
        <f>'001'!H3088</f>
        <v>#VALUE!</v>
      </c>
    </row>
    <row r="3089" spans="1:4" x14ac:dyDescent="0.25">
      <c r="A3089" s="1" t="str">
        <f>'001'!B3089</f>
        <v>004430</v>
      </c>
      <c r="B3089" s="1" t="str">
        <f>'001'!C3089</f>
        <v>PINTURA A LA TIZA CHALKED RUST-OLEUM ROJO CAMPESTRE X 0,887(342646)</v>
      </c>
      <c r="C3089" s="1" t="str">
        <f>'001'!D3089</f>
        <v>0902</v>
      </c>
      <c r="D3089" s="3" t="e">
        <f>'001'!H3089</f>
        <v>#VALUE!</v>
      </c>
    </row>
    <row r="3090" spans="1:4" x14ac:dyDescent="0.25">
      <c r="A3090" s="1" t="str">
        <f>'001'!B3090</f>
        <v>004431</v>
      </c>
      <c r="B3090" s="1" t="str">
        <f>'001'!C3090</f>
        <v>PINTURA A LA TIZA CHALKED RUST-OLEUM VERDE MENTA X 0,887(337884)</v>
      </c>
      <c r="C3090" s="1" t="str">
        <f>'001'!D3090</f>
        <v>0902</v>
      </c>
      <c r="D3090" s="3" t="e">
        <f>'001'!H3090</f>
        <v>#VALUE!</v>
      </c>
    </row>
    <row r="3091" spans="1:4" x14ac:dyDescent="0.25">
      <c r="A3091" s="1" t="str">
        <f>'001'!B3091</f>
        <v>004432</v>
      </c>
      <c r="B3091" s="1" t="str">
        <f>'001'!C3091</f>
        <v>PINTURA A LA TIZA CHALKED RUST-OLEUM TURQUESA  AGUAMARINA X 0,887(350624)</v>
      </c>
      <c r="C3091" s="1" t="str">
        <f>'001'!D3091</f>
        <v>0902</v>
      </c>
      <c r="D3091" s="3" t="e">
        <f>'001'!H3091</f>
        <v>#VALUE!</v>
      </c>
    </row>
    <row r="3092" spans="1:4" x14ac:dyDescent="0.25">
      <c r="A3092" s="1" t="str">
        <f>'001'!B3092</f>
        <v>004433</v>
      </c>
      <c r="B3092" s="1" t="str">
        <f>'001'!C3092</f>
        <v>PINTURA A LA TIZA CHALKED RUST-OLEUM AMARILLO AMANECER X 0,887(350483)</v>
      </c>
      <c r="C3092" s="1" t="str">
        <f>'001'!D3092</f>
        <v>0902</v>
      </c>
      <c r="D3092" s="3" t="e">
        <f>'001'!H3092</f>
        <v>#VALUE!</v>
      </c>
    </row>
    <row r="3093" spans="1:4" x14ac:dyDescent="0.25">
      <c r="A3093" s="1" t="str">
        <f>'001'!B3093</f>
        <v>004434</v>
      </c>
      <c r="B3093" s="1" t="str">
        <f>'001'!C3093</f>
        <v>PINTURA A LA TIZA CHALKED RUST-OLEUM SALMON CLARO X 0,887(358364)</v>
      </c>
      <c r="C3093" s="1" t="str">
        <f>'001'!D3093</f>
        <v>0902</v>
      </c>
      <c r="D3093" s="3" t="e">
        <f>'001'!H3093</f>
        <v>#VALUE!</v>
      </c>
    </row>
    <row r="3094" spans="1:4" x14ac:dyDescent="0.25">
      <c r="A3094" s="1" t="str">
        <f>'001'!B3094</f>
        <v>004435</v>
      </c>
      <c r="B3094" s="1" t="str">
        <f>'001'!C3094</f>
        <v>AEROSOL RUST OLEUM FONDO MULTIUSO ZINSSER 123 MATE BLANCO X 0,368(281957/358274)</v>
      </c>
      <c r="C3094" s="1" t="str">
        <f>'001'!D3094</f>
        <v>0170</v>
      </c>
      <c r="D3094" s="3" t="e">
        <f>'001'!H3094</f>
        <v>#VALUE!</v>
      </c>
    </row>
    <row r="3095" spans="1:4" x14ac:dyDescent="0.25">
      <c r="A3095" s="1" t="str">
        <f>'001'!B3095</f>
        <v>004436</v>
      </c>
      <c r="B3095" s="1" t="str">
        <f>'001'!C3095</f>
        <v>AEROSOL RUST OLEUM FONDO MULTIUSO ZINSSER 123 MATE GRIS X 0,368 (290971)</v>
      </c>
      <c r="C3095" s="1" t="str">
        <f>'001'!D3095</f>
        <v>0902</v>
      </c>
      <c r="D3095" s="3" t="e">
        <f>'001'!H3095</f>
        <v>#VALUE!</v>
      </c>
    </row>
    <row r="3096" spans="1:4" x14ac:dyDescent="0.25">
      <c r="A3096" s="1" t="str">
        <f>'001'!B3096</f>
        <v>004437</v>
      </c>
      <c r="B3096" s="1" t="str">
        <f>'001'!C3096</f>
        <v>FONDO MULTIUSO RUST OLEUM ZINSSER 123 MATE BLANCO X 0,946 (281956)</v>
      </c>
      <c r="C3096" s="1" t="str">
        <f>'001'!D3096</f>
        <v>0170</v>
      </c>
      <c r="D3096" s="3" t="e">
        <f>'001'!H3096</f>
        <v>#VALUE!</v>
      </c>
    </row>
    <row r="3097" spans="1:4" x14ac:dyDescent="0.25">
      <c r="A3097" s="1" t="str">
        <f>'001'!B3097</f>
        <v>004438</v>
      </c>
      <c r="B3097" s="1" t="str">
        <f>'001'!C3097</f>
        <v>FONDO MULTIUSO RUST OLEUM ZINSSER 123 MATE BLANCO X 3,785 (281954)</v>
      </c>
      <c r="C3097" s="1" t="str">
        <f>'001'!D3097</f>
        <v>0170</v>
      </c>
      <c r="D3097" s="3" t="e">
        <f>'001'!H3097</f>
        <v>#VALUE!</v>
      </c>
    </row>
    <row r="3098" spans="1:4" x14ac:dyDescent="0.25">
      <c r="A3098" s="1" t="str">
        <f>'001'!B3098</f>
        <v>004439</v>
      </c>
      <c r="B3098" s="1" t="str">
        <f>'001'!C3098</f>
        <v>FONDO MULTIUSO RUST OLEUM ZINSSER 123 MATE BLANCO X 18,9 (2000)</v>
      </c>
      <c r="C3098" s="1" t="str">
        <f>'001'!D3098</f>
        <v>0170</v>
      </c>
      <c r="D3098" s="3" t="e">
        <f>'001'!H3098</f>
        <v>#VALUE!</v>
      </c>
    </row>
    <row r="3099" spans="1:4" x14ac:dyDescent="0.25">
      <c r="A3099" s="1" t="str">
        <f>'001'!B3099</f>
        <v>004440</v>
      </c>
      <c r="B3099" s="1" t="str">
        <f>'001'!C3099</f>
        <v>FONDO MULTIUSO RUST OLEUM ZINSSER 123 MATE GRIS X 0,946 (286258)</v>
      </c>
      <c r="C3099" s="1" t="str">
        <f>'001'!D3099</f>
        <v>0170</v>
      </c>
      <c r="D3099" s="3" t="e">
        <f>'001'!H3099</f>
        <v>#VALUE!</v>
      </c>
    </row>
    <row r="3100" spans="1:4" x14ac:dyDescent="0.25">
      <c r="A3100" s="1" t="str">
        <f>'001'!B3100</f>
        <v>004441</v>
      </c>
      <c r="B3100" s="1" t="str">
        <f>'001'!C3100</f>
        <v>FONDO MULTIUSO RUST OLEUM ZINSSER 123 MATE GRIS X 3,785 (285085)</v>
      </c>
      <c r="C3100" s="1" t="str">
        <f>'001'!D3100</f>
        <v>0170</v>
      </c>
      <c r="D3100" s="3" t="e">
        <f>'001'!H3100</f>
        <v>#VALUE!</v>
      </c>
    </row>
    <row r="3101" spans="1:4" x14ac:dyDescent="0.25">
      <c r="A3101" s="1" t="str">
        <f>'001'!B3101</f>
        <v>004442</v>
      </c>
      <c r="B3101" s="1" t="str">
        <f>'001'!C3101</f>
        <v>FONDO MULTIUSO RUST OLEUM ZINSSER 123 MATE GRIS X 18,9 (285090)</v>
      </c>
      <c r="C3101" s="1" t="str">
        <f>'001'!D3101</f>
        <v>0170</v>
      </c>
      <c r="D3101" s="3" t="e">
        <f>'001'!H3101</f>
        <v>#VALUE!</v>
      </c>
    </row>
    <row r="3102" spans="1:4" x14ac:dyDescent="0.25">
      <c r="A3102" s="1" t="str">
        <f>'001'!B3102</f>
        <v>004450</v>
      </c>
      <c r="B3102" s="1" t="str">
        <f>'001'!C3102</f>
        <v>FRATACHO C/VELCRO ASPIRACION 198CMX70MM</v>
      </c>
      <c r="C3102" s="1" t="str">
        <f>'001'!D3102</f>
        <v>0167</v>
      </c>
      <c r="D3102" s="3" t="e">
        <f>'001'!H3102</f>
        <v>#VALUE!</v>
      </c>
    </row>
    <row r="3103" spans="1:4" x14ac:dyDescent="0.25">
      <c r="A3103" s="1" t="str">
        <f>'001'!B3103</f>
        <v>004451</v>
      </c>
      <c r="B3103" s="1" t="str">
        <f>'001'!C3103</f>
        <v>FRATACHO C/VELCRO ASPIRACION 125CMX70MM</v>
      </c>
      <c r="C3103" s="1" t="str">
        <f>'001'!D3103</f>
        <v>0167</v>
      </c>
      <c r="D3103" s="3" t="e">
        <f>'001'!H3103</f>
        <v>#VALUE!</v>
      </c>
    </row>
    <row r="3104" spans="1:4" x14ac:dyDescent="0.25">
      <c r="A3104" s="1" t="str">
        <f>'001'!B3104</f>
        <v>004452</v>
      </c>
      <c r="B3104" s="1" t="str">
        <f>'001'!C3104</f>
        <v>DISCO OXIDO ALUMINIO CERAMICO PREMIUM CYCLONIC BLAZE 150X18 P80</v>
      </c>
      <c r="C3104" s="1" t="str">
        <f>'001'!D3104</f>
        <v>0167</v>
      </c>
      <c r="D3104" s="3" t="e">
        <f>'001'!H3104</f>
        <v>#VALUE!</v>
      </c>
    </row>
    <row r="3105" spans="1:4" x14ac:dyDescent="0.25">
      <c r="A3105" s="1" t="str">
        <f>'001'!B3105</f>
        <v>004453</v>
      </c>
      <c r="B3105" s="1" t="str">
        <f>'001'!C3105</f>
        <v>DISCO OXIDO ALUMINIO CERAMICO PREMIUM CYCLONIC BLAZE 150X18 P120</v>
      </c>
      <c r="C3105" s="1" t="str">
        <f>'001'!D3105</f>
        <v>0167</v>
      </c>
      <c r="D3105" s="3" t="e">
        <f>'001'!H3105</f>
        <v>#VALUE!</v>
      </c>
    </row>
    <row r="3106" spans="1:4" x14ac:dyDescent="0.25">
      <c r="A3106" s="1" t="str">
        <f>'001'!B3106</f>
        <v>004454</v>
      </c>
      <c r="B3106" s="1" t="str">
        <f>'001'!C3106</f>
        <v>DISCO OXIDO ALUMINIO CERAMICO PREMIUM CYCLONIC BLAZE 150X18 P180</v>
      </c>
      <c r="C3106" s="1" t="str">
        <f>'001'!D3106</f>
        <v>0167</v>
      </c>
      <c r="D3106" s="3" t="e">
        <f>'001'!H3106</f>
        <v>#VALUE!</v>
      </c>
    </row>
    <row r="3107" spans="1:4" x14ac:dyDescent="0.25">
      <c r="A3107" s="1" t="str">
        <f>'001'!B3107</f>
        <v>004455</v>
      </c>
      <c r="B3107" s="1" t="str">
        <f>'001'!C3107</f>
        <v>DISCO OXIDO ALUMINIO CERAMICO PREMIUM CYCLONIC BLAZE 150X18 P220</v>
      </c>
      <c r="C3107" s="1" t="str">
        <f>'001'!D3107</f>
        <v>0167</v>
      </c>
      <c r="D3107" s="3" t="e">
        <f>'001'!H3107</f>
        <v>#VALUE!</v>
      </c>
    </row>
    <row r="3108" spans="1:4" x14ac:dyDescent="0.25">
      <c r="A3108" s="1" t="str">
        <f>'001'!B3108</f>
        <v>004456</v>
      </c>
      <c r="B3108" s="1" t="str">
        <f>'001'!C3108</f>
        <v>DISCO OXIDO ALUMINIO CERAMICO PREMIUM CYCLONIC BLAZE 150X18 P320</v>
      </c>
      <c r="C3108" s="1" t="str">
        <f>'001'!D3108</f>
        <v>0167</v>
      </c>
      <c r="D3108" s="3" t="e">
        <f>'001'!H3108</f>
        <v>#VALUE!</v>
      </c>
    </row>
    <row r="3109" spans="1:4" x14ac:dyDescent="0.25">
      <c r="A3109" s="1" t="str">
        <f>'001'!B3109</f>
        <v>004457</v>
      </c>
      <c r="B3109" s="1" t="str">
        <f>'001'!C3109</f>
        <v>DISCO OXIDO ALUMINIO CERAMICO PREMIUM CYCLONIC BLAZE 150X18 P400</v>
      </c>
      <c r="C3109" s="1" t="str">
        <f>'001'!D3109</f>
        <v>0167</v>
      </c>
      <c r="D3109" s="3" t="e">
        <f>'001'!H3109</f>
        <v>#VALUE!</v>
      </c>
    </row>
    <row r="3110" spans="1:4" x14ac:dyDescent="0.25">
      <c r="A3110" s="1" t="str">
        <f>'001'!B3110</f>
        <v>004458</v>
      </c>
      <c r="B3110" s="1" t="str">
        <f>'001'!C3110</f>
        <v>DISCO OXIDO ALUMINIO CERAMICO PREMIUM CYCLONIC BLAZE 150X18 P500</v>
      </c>
      <c r="C3110" s="1" t="str">
        <f>'001'!D3110</f>
        <v>0167</v>
      </c>
      <c r="D3110" s="3" t="e">
        <f>'001'!H3110</f>
        <v>#VALUE!</v>
      </c>
    </row>
    <row r="3111" spans="1:4" x14ac:dyDescent="0.25">
      <c r="A3111" s="1" t="str">
        <f>'001'!B3111</f>
        <v>004459</v>
      </c>
      <c r="B3111" s="1" t="str">
        <f>'001'!C3111</f>
        <v>DISCO OXIDO ALUMINIO MULTI-AIR SOFT-TOUCH A275 P800</v>
      </c>
      <c r="C3111" s="1" t="str">
        <f>'001'!D3111</f>
        <v>0167</v>
      </c>
      <c r="D3111" s="3" t="e">
        <f>'001'!H3111</f>
        <v>#VALUE!</v>
      </c>
    </row>
    <row r="3112" spans="1:4" x14ac:dyDescent="0.25">
      <c r="A3112" s="1" t="str">
        <f>'001'!B3112</f>
        <v>004460</v>
      </c>
      <c r="B3112" s="1" t="str">
        <f>'001'!C3112</f>
        <v>ROLLO A995 BLAZE CYCLONIC P80</v>
      </c>
      <c r="C3112" s="1" t="str">
        <f>'001'!D3112</f>
        <v>0167</v>
      </c>
      <c r="D3112" s="3" t="e">
        <f>'001'!H3112</f>
        <v>#VALUE!</v>
      </c>
    </row>
    <row r="3113" spans="1:4" x14ac:dyDescent="0.25">
      <c r="A3113" s="1" t="str">
        <f>'001'!B3113</f>
        <v>004461</v>
      </c>
      <c r="B3113" s="1" t="str">
        <f>'001'!C3113</f>
        <v>ROLLO CON VELCRO A995 BLAZE CYCLONIC P120</v>
      </c>
      <c r="C3113" s="1" t="str">
        <f>'001'!D3113</f>
        <v>0167</v>
      </c>
      <c r="D3113" s="3" t="e">
        <f>'001'!H3113</f>
        <v>#VALUE!</v>
      </c>
    </row>
    <row r="3114" spans="1:4" x14ac:dyDescent="0.25">
      <c r="A3114" s="1" t="str">
        <f>'001'!B3114</f>
        <v>004462</v>
      </c>
      <c r="B3114" s="1" t="str">
        <f>'001'!C3114</f>
        <v>ROLLO A995 BLAZE CYCLONIC P180</v>
      </c>
      <c r="C3114" s="1" t="str">
        <f>'001'!D3114</f>
        <v>0167</v>
      </c>
      <c r="D3114" s="3" t="e">
        <f>'001'!H3114</f>
        <v>#VALUE!</v>
      </c>
    </row>
    <row r="3115" spans="1:4" x14ac:dyDescent="0.25">
      <c r="A3115" s="1" t="str">
        <f>'001'!B3115</f>
        <v>004463</v>
      </c>
      <c r="B3115" s="1" t="str">
        <f>'001'!C3115</f>
        <v>ROLLO A995 BLAZE CYCLONIC P220</v>
      </c>
      <c r="C3115" s="1" t="str">
        <f>'001'!D3115</f>
        <v>0167</v>
      </c>
      <c r="D3115" s="3" t="e">
        <f>'001'!H3115</f>
        <v>#VALUE!</v>
      </c>
    </row>
    <row r="3116" spans="1:4" x14ac:dyDescent="0.25">
      <c r="A3116" s="1" t="str">
        <f>'001'!B3116</f>
        <v>004464</v>
      </c>
      <c r="B3116" s="1" t="str">
        <f>'001'!C3116</f>
        <v>ROLLO A995 BLAZE CYCLONIC P320</v>
      </c>
      <c r="C3116" s="1" t="str">
        <f>'001'!D3116</f>
        <v>0167</v>
      </c>
      <c r="D3116" s="3" t="e">
        <f>'001'!H3116</f>
        <v>#VALUE!</v>
      </c>
    </row>
    <row r="3117" spans="1:4" x14ac:dyDescent="0.25">
      <c r="A3117" s="1" t="str">
        <f>'001'!B3117</f>
        <v>004465</v>
      </c>
      <c r="B3117" s="1" t="str">
        <f>'001'!C3117</f>
        <v>DISCO OXIDO ALUMINIO CERAMICO PREMIUM RAPID STRIP BLAZE XCRS 115X22MM</v>
      </c>
      <c r="C3117" s="1" t="str">
        <f>'001'!D3117</f>
        <v>0167</v>
      </c>
      <c r="D3117" s="3" t="e">
        <f>'001'!H3117</f>
        <v>#VALUE!</v>
      </c>
    </row>
    <row r="3118" spans="1:4" x14ac:dyDescent="0.25">
      <c r="A3118" s="1" t="str">
        <f>'001'!B3118</f>
        <v>004466</v>
      </c>
      <c r="B3118" s="1" t="str">
        <f>'001'!C3118</f>
        <v>LIJA MICROFINA T499 BLACK-ICE J2000</v>
      </c>
      <c r="C3118" s="1" t="str">
        <f>'001'!D3118</f>
        <v>0167</v>
      </c>
      <c r="D3118" s="3" t="e">
        <f>'001'!H3118</f>
        <v>#VALUE!</v>
      </c>
    </row>
    <row r="3119" spans="1:4" x14ac:dyDescent="0.25">
      <c r="A3119" s="1" t="str">
        <f>'001'!B3119</f>
        <v>004473</v>
      </c>
      <c r="B3119" s="1" t="str">
        <f>'001'!C3119</f>
        <v>LIJA MICROFINA T499 BLACK-ICE J2500</v>
      </c>
      <c r="C3119" s="1" t="str">
        <f>'001'!D3119</f>
        <v>0167</v>
      </c>
      <c r="D3119" s="3" t="e">
        <f>'001'!H3119</f>
        <v>#VALUE!</v>
      </c>
    </row>
    <row r="3120" spans="1:4" x14ac:dyDescent="0.25">
      <c r="A3120" s="1" t="str">
        <f>'001'!B3120</f>
        <v>004474</v>
      </c>
      <c r="B3120" s="1" t="str">
        <f>'001'!C3120</f>
        <v>SOPORTE CYCLONIC MULTI-AIR</v>
      </c>
      <c r="C3120" s="1" t="str">
        <f>'001'!D3120</f>
        <v>0167</v>
      </c>
      <c r="D3120" s="3" t="e">
        <f>'001'!H3120</f>
        <v>#VALUE!</v>
      </c>
    </row>
    <row r="3121" spans="1:4" x14ac:dyDescent="0.25">
      <c r="A3121" s="1" t="str">
        <f>'001'!B3121</f>
        <v>004475</v>
      </c>
      <c r="B3121" s="1" t="str">
        <f>'001'!C3121</f>
        <v>REDUCTOR DE IMPACTO CYCLONIC MULTI-AIR</v>
      </c>
      <c r="C3121" s="1" t="str">
        <f>'001'!D3121</f>
        <v>0167</v>
      </c>
      <c r="D3121" s="3" t="e">
        <f>'001'!H3121</f>
        <v>#VALUE!</v>
      </c>
    </row>
    <row r="3122" spans="1:4" x14ac:dyDescent="0.25">
      <c r="A3122" s="1" t="str">
        <f>'001'!B3122</f>
        <v>004476</v>
      </c>
      <c r="B3122" s="1" t="str">
        <f>'001'!C3122</f>
        <v>TACO LIJADOR MANUAL DE GOMA NORTON</v>
      </c>
      <c r="C3122" s="1" t="str">
        <f>'001'!D3122</f>
        <v>0167</v>
      </c>
      <c r="D3122" s="3" t="e">
        <f>'001'!H3122</f>
        <v>#VALUE!</v>
      </c>
    </row>
    <row r="3123" spans="1:4" x14ac:dyDescent="0.25">
      <c r="A3123" s="1" t="str">
        <f>'001'!B3123</f>
        <v>004480</v>
      </c>
      <c r="B3123" s="1" t="str">
        <f>'001'!C3123</f>
        <v>BURLETE ADHESIVO 20MM X 50MTS</v>
      </c>
      <c r="C3123" s="1" t="str">
        <f>'001'!D3123</f>
        <v>0167</v>
      </c>
      <c r="D3123" s="3" t="e">
        <f>'001'!H3123</f>
        <v>#VALUE!</v>
      </c>
    </row>
    <row r="3124" spans="1:4" x14ac:dyDescent="0.25">
      <c r="A3124" s="1" t="str">
        <f>'001'!B3124</f>
        <v>004481</v>
      </c>
      <c r="B3124" s="1" t="str">
        <f>'001'!C3124</f>
        <v>DISCO SPEED-GRIP A275 3 AGU. 3''  P80'</v>
      </c>
      <c r="C3124" s="1" t="str">
        <f>'001'!D3124</f>
        <v>0167</v>
      </c>
      <c r="D3124" s="3" t="e">
        <f>'001'!H3124</f>
        <v>#VALUE!</v>
      </c>
    </row>
    <row r="3125" spans="1:4" x14ac:dyDescent="0.25">
      <c r="A3125" s="1" t="str">
        <f>'001'!B3125</f>
        <v>004482</v>
      </c>
      <c r="B3125" s="1" t="str">
        <f>'001'!C3125</f>
        <v>DISCO SPEED-GRIP A275 3 AGU. 3'' P120'</v>
      </c>
      <c r="C3125" s="1" t="str">
        <f>'001'!D3125</f>
        <v>0167</v>
      </c>
      <c r="D3125" s="3" t="e">
        <f>'001'!H3125</f>
        <v>#VALUE!</v>
      </c>
    </row>
    <row r="3126" spans="1:4" x14ac:dyDescent="0.25">
      <c r="A3126" s="1" t="str">
        <f>'001'!B3126</f>
        <v>004483</v>
      </c>
      <c r="B3126" s="1" t="str">
        <f>'001'!C3126</f>
        <v>DISCO SPEED-GRIP A275 3 AGU. 3'' P180'</v>
      </c>
      <c r="C3126" s="1" t="str">
        <f>'001'!D3126</f>
        <v>0167</v>
      </c>
      <c r="D3126" s="3" t="e">
        <f>'001'!H3126</f>
        <v>#VALUE!</v>
      </c>
    </row>
    <row r="3127" spans="1:4" x14ac:dyDescent="0.25">
      <c r="A3127" s="1" t="str">
        <f>'001'!B3127</f>
        <v>004484</v>
      </c>
      <c r="B3127" s="1" t="str">
        <f>'001'!C3127</f>
        <v>DISCO SPEED-GRIP A275 3 AGU. 3'' P220'</v>
      </c>
      <c r="C3127" s="1" t="str">
        <f>'001'!D3127</f>
        <v>0167</v>
      </c>
      <c r="D3127" s="3" t="e">
        <f>'001'!H3127</f>
        <v>#VALUE!</v>
      </c>
    </row>
    <row r="3128" spans="1:4" x14ac:dyDescent="0.25">
      <c r="A3128" s="1" t="str">
        <f>'001'!B3128</f>
        <v>004485</v>
      </c>
      <c r="B3128" s="1" t="str">
        <f>'001'!C3128</f>
        <v>DISCO SPEED-GRIP A275 3 AGU. 3'' P320'</v>
      </c>
      <c r="C3128" s="1" t="str">
        <f>'001'!D3128</f>
        <v>0167</v>
      </c>
      <c r="D3128" s="3" t="e">
        <f>'001'!H3128</f>
        <v>#VALUE!</v>
      </c>
    </row>
    <row r="3129" spans="1:4" x14ac:dyDescent="0.25">
      <c r="A3129" s="1" t="str">
        <f>'001'!B3129</f>
        <v>004486</v>
      </c>
      <c r="B3129" s="1" t="str">
        <f>'001'!C3129</f>
        <v>DISCO SPEED-GRIP A275 3 AGU. 3'' P400'</v>
      </c>
      <c r="C3129" s="1" t="str">
        <f>'001'!D3129</f>
        <v>0167</v>
      </c>
      <c r="D3129" s="3" t="e">
        <f>'001'!H3129</f>
        <v>#VALUE!</v>
      </c>
    </row>
    <row r="3130" spans="1:4" x14ac:dyDescent="0.25">
      <c r="A3130" s="1" t="str">
        <f>'001'!B3130</f>
        <v>004488</v>
      </c>
      <c r="B3130" s="1" t="str">
        <f>'001'!C3130</f>
        <v>3D GUANTE MICROFIBRA DOBLE CARA (G-02YD)</v>
      </c>
      <c r="C3130" s="1" t="str">
        <f>'001'!D3130</f>
        <v>0191</v>
      </c>
      <c r="D3130" s="3" t="e">
        <f>'001'!H3130</f>
        <v>#VALUE!</v>
      </c>
    </row>
    <row r="3131" spans="1:4" x14ac:dyDescent="0.25">
      <c r="A3131" s="1" t="str">
        <f>'001'!B3131</f>
        <v>004490</v>
      </c>
      <c r="B3131" s="1" t="str">
        <f>'001'!C3131</f>
        <v>DISCO SPEED-GRIP A275 3 AGU. 3'' P500'</v>
      </c>
      <c r="C3131" s="1" t="str">
        <f>'001'!D3131</f>
        <v>0167</v>
      </c>
      <c r="D3131" s="3" t="e">
        <f>'001'!H3131</f>
        <v>#VALUE!</v>
      </c>
    </row>
    <row r="3132" spans="1:4" x14ac:dyDescent="0.25">
      <c r="A3132" s="1" t="str">
        <f>'001'!B3132</f>
        <v>004491</v>
      </c>
      <c r="B3132" s="1" t="str">
        <f>'001'!C3132</f>
        <v>DISCO SPEED-GRIP A275 3 AGU. 3'' P800'</v>
      </c>
      <c r="C3132" s="1" t="str">
        <f>'001'!D3132</f>
        <v>0167</v>
      </c>
      <c r="D3132" s="3" t="e">
        <f>'001'!H3132</f>
        <v>#VALUE!</v>
      </c>
    </row>
    <row r="3133" spans="1:4" x14ac:dyDescent="0.25">
      <c r="A3133" s="1" t="str">
        <f>'001'!B3133</f>
        <v>004492</v>
      </c>
      <c r="B3133" s="1" t="str">
        <f>'001'!C3133</f>
        <v>INTERFAZ P/ROTO DE 3''-DE 3 AGU.'</v>
      </c>
      <c r="C3133" s="1" t="str">
        <f>'001'!D3133</f>
        <v>0167</v>
      </c>
      <c r="D3133" s="3" t="e">
        <f>'001'!H3133</f>
        <v>#VALUE!</v>
      </c>
    </row>
    <row r="3134" spans="1:4" x14ac:dyDescent="0.25">
      <c r="A3134" s="1" t="str">
        <f>'001'!B3134</f>
        <v>004493</v>
      </c>
      <c r="B3134" s="1" t="str">
        <f>'001'!C3134</f>
        <v>DISCO Q255 P2000</v>
      </c>
      <c r="C3134" s="1" t="str">
        <f>'001'!D3134</f>
        <v>0167</v>
      </c>
      <c r="D3134" s="3" t="e">
        <f>'001'!H3134</f>
        <v>#VALUE!</v>
      </c>
    </row>
    <row r="3135" spans="1:4" x14ac:dyDescent="0.25">
      <c r="A3135" s="1" t="str">
        <f>'001'!B3135</f>
        <v>004494</v>
      </c>
      <c r="B3135" s="1" t="str">
        <f>'001'!C3135</f>
        <v>DISCO Q255 P3000</v>
      </c>
      <c r="C3135" s="1" t="str">
        <f>'001'!D3135</f>
        <v>0167</v>
      </c>
      <c r="D3135" s="3" t="e">
        <f>'001'!H3135</f>
        <v>#VALUE!</v>
      </c>
    </row>
    <row r="3136" spans="1:4" x14ac:dyDescent="0.25">
      <c r="A3136" s="1" t="str">
        <f>'001'!B3136</f>
        <v>004495</v>
      </c>
      <c r="B3136" s="1" t="str">
        <f>'001'!C3136</f>
        <v>LIQUIDO PULIDOR ICE QUIT CUT STEP 1</v>
      </c>
      <c r="C3136" s="1" t="str">
        <f>'001'!D3136</f>
        <v>0167</v>
      </c>
      <c r="D3136" s="3" t="e">
        <f>'001'!H3136</f>
        <v>#VALUE!</v>
      </c>
    </row>
    <row r="3137" spans="1:4" x14ac:dyDescent="0.25">
      <c r="A3137" s="1" t="str">
        <f>'001'!B3137</f>
        <v>004496</v>
      </c>
      <c r="B3137" s="1" t="str">
        <f>'001'!C3137</f>
        <v>LIQUIDO PULIDOR ICE XTRA-CUT</v>
      </c>
      <c r="C3137" s="1" t="str">
        <f>'001'!D3137</f>
        <v>0167</v>
      </c>
      <c r="D3137" s="3" t="e">
        <f>'001'!H3137</f>
        <v>#VALUE!</v>
      </c>
    </row>
    <row r="3138" spans="1:4" x14ac:dyDescent="0.25">
      <c r="A3138" s="1" t="str">
        <f>'001'!B3138</f>
        <v>004497</v>
      </c>
      <c r="B3138" s="1" t="str">
        <f>'001'!C3138</f>
        <v>LIQUIDO PULIDOR OEM STEP 2</v>
      </c>
      <c r="C3138" s="1" t="str">
        <f>'001'!D3138</f>
        <v>0167</v>
      </c>
      <c r="D3138" s="3" t="e">
        <f>'001'!H3138</f>
        <v>#VALUE!</v>
      </c>
    </row>
    <row r="3139" spans="1:4" x14ac:dyDescent="0.25">
      <c r="A3139" s="1" t="str">
        <f>'001'!B3139</f>
        <v>004498</v>
      </c>
      <c r="B3139" s="1" t="str">
        <f>'001'!C3139</f>
        <v>ENMASCARAMIENTO ROLLO CUBRE VOLANTE</v>
      </c>
      <c r="C3139" s="1" t="str">
        <f>'001'!D3139</f>
        <v>0167</v>
      </c>
      <c r="D3139" s="3" t="e">
        <f>'001'!H3139</f>
        <v>#VALUE!</v>
      </c>
    </row>
    <row r="3140" spans="1:4" x14ac:dyDescent="0.25">
      <c r="A3140" s="1" t="str">
        <f>'001'!B3140</f>
        <v>004499</v>
      </c>
      <c r="B3140" s="1" t="str">
        <f>'001'!C3140</f>
        <v>SOPORTE CON VELCRO P/BOINA</v>
      </c>
      <c r="C3140" s="1" t="str">
        <f>'001'!D3140</f>
        <v>0167</v>
      </c>
      <c r="D3140" s="3" t="e">
        <f>'001'!H3140</f>
        <v>#VALUE!</v>
      </c>
    </row>
    <row r="3141" spans="1:4" x14ac:dyDescent="0.25">
      <c r="A3141" s="1" t="str">
        <f>'001'!B3141</f>
        <v>004500</v>
      </c>
      <c r="B3141" s="1" t="str">
        <f>'001'!C3141</f>
        <v>BOINA PULIDO ESPUMA BLANCA</v>
      </c>
      <c r="C3141" s="1" t="str">
        <f>'001'!D3141</f>
        <v>0167</v>
      </c>
      <c r="D3141" s="3" t="e">
        <f>'001'!H3141</f>
        <v>#VALUE!</v>
      </c>
    </row>
    <row r="3142" spans="1:4" x14ac:dyDescent="0.25">
      <c r="A3142" s="1" t="str">
        <f>'001'!B3142</f>
        <v>004501</v>
      </c>
      <c r="B3142" s="1" t="str">
        <f>'001'!C3142</f>
        <v>BOINA CORDERO C/VELCRO</v>
      </c>
      <c r="C3142" s="1" t="str">
        <f>'001'!D3142</f>
        <v>0167</v>
      </c>
      <c r="D3142" s="3" t="e">
        <f>'001'!H3142</f>
        <v>#VALUE!</v>
      </c>
    </row>
    <row r="3143" spans="1:4" x14ac:dyDescent="0.25">
      <c r="A3143" s="1" t="str">
        <f>'001'!B3143</f>
        <v>004502</v>
      </c>
      <c r="B3143" s="1" t="str">
        <f>'001'!C3143</f>
        <v>BOINA PULIDO ESPUMA AZUL</v>
      </c>
      <c r="C3143" s="1" t="str">
        <f>'001'!D3143</f>
        <v>0167</v>
      </c>
      <c r="D3143" s="3" t="e">
        <f>'001'!H3143</f>
        <v>#VALUE!</v>
      </c>
    </row>
    <row r="3144" spans="1:4" x14ac:dyDescent="0.25">
      <c r="A3144" s="1" t="str">
        <f>'001'!B3144</f>
        <v>004514</v>
      </c>
      <c r="B3144" s="1" t="str">
        <f>'001'!C3144</f>
        <v>REVESTIMIENTO TEXTURADO ALBA PETREO CLASSIC SILICA X 30</v>
      </c>
      <c r="C3144" s="1" t="str">
        <f>'001'!D3144</f>
        <v>0902</v>
      </c>
      <c r="D3144" s="3" t="e">
        <f>'001'!H3144</f>
        <v>#VALUE!</v>
      </c>
    </row>
    <row r="3145" spans="1:4" x14ac:dyDescent="0.25">
      <c r="A3145" s="1" t="str">
        <f>'001'!B3145</f>
        <v>004560</v>
      </c>
      <c r="B3145" s="1" t="str">
        <f>'001'!C3145</f>
        <v>ESMALTE EPOXI AL AGUA SINTEPLAST MONOCOMPONENTE BLANCO X 1</v>
      </c>
      <c r="C3145" s="1" t="str">
        <f>'001'!D3145</f>
        <v>0150</v>
      </c>
      <c r="D3145" s="3" t="e">
        <f>'001'!H3145</f>
        <v>#VALUE!</v>
      </c>
    </row>
    <row r="3146" spans="1:4" x14ac:dyDescent="0.25">
      <c r="A3146" s="1" t="str">
        <f>'001'!B3146</f>
        <v>004561</v>
      </c>
      <c r="B3146" s="1" t="str">
        <f>'001'!C3146</f>
        <v>ESMALTE EPOXI AL AGUA SINTEPLAST MONOCOMPONENTE BLANCO X 4</v>
      </c>
      <c r="C3146" s="1" t="str">
        <f>'001'!D3146</f>
        <v>0150</v>
      </c>
      <c r="D3146" s="3" t="e">
        <f>'001'!H3146</f>
        <v>#VALUE!</v>
      </c>
    </row>
    <row r="3147" spans="1:4" x14ac:dyDescent="0.25">
      <c r="A3147" s="1" t="str">
        <f>'001'!B3147</f>
        <v>004562</v>
      </c>
      <c r="B3147" s="1" t="str">
        <f>'001'!C3147</f>
        <v>ESMALTE EPOXI AL AGUA SINTEPLAST MONOCOMPONENTE GRIS X 1</v>
      </c>
      <c r="C3147" s="1" t="str">
        <f>'001'!D3147</f>
        <v>0150</v>
      </c>
      <c r="D3147" s="3" t="e">
        <f>'001'!H3147</f>
        <v>#VALUE!</v>
      </c>
    </row>
    <row r="3148" spans="1:4" x14ac:dyDescent="0.25">
      <c r="A3148" s="1" t="str">
        <f>'001'!B3148</f>
        <v>004563</v>
      </c>
      <c r="B3148" s="1" t="str">
        <f>'001'!C3148</f>
        <v>ESMALTE EPOXI AL AGUA SINTEPLAST MONOCOMPONENTE GRIS X 4</v>
      </c>
      <c r="C3148" s="1" t="str">
        <f>'001'!D3148</f>
        <v>0150</v>
      </c>
      <c r="D3148" s="3" t="e">
        <f>'001'!H3148</f>
        <v>#VALUE!</v>
      </c>
    </row>
    <row r="3149" spans="1:4" x14ac:dyDescent="0.25">
      <c r="A3149" s="1" t="str">
        <f>'001'!B3149</f>
        <v>004564</v>
      </c>
      <c r="B3149" s="1" t="str">
        <f>'001'!C3149</f>
        <v>ESMALTE EPOXI AL AGUA SINTEPLAST MONOCOMPONENTE NEGRO X 1</v>
      </c>
      <c r="C3149" s="1" t="str">
        <f>'001'!D3149</f>
        <v>0150</v>
      </c>
      <c r="D3149" s="3" t="e">
        <f>'001'!H3149</f>
        <v>#VALUE!</v>
      </c>
    </row>
    <row r="3150" spans="1:4" x14ac:dyDescent="0.25">
      <c r="A3150" s="1" t="str">
        <f>'001'!B3150</f>
        <v>004565</v>
      </c>
      <c r="B3150" s="1" t="str">
        <f>'001'!C3150</f>
        <v>ESMALTE EPOXI AL AGUA SINTEPLAST MONOCOMPONENTE NEGRO X 4</v>
      </c>
      <c r="C3150" s="1" t="str">
        <f>'001'!D3150</f>
        <v>0150</v>
      </c>
      <c r="D3150" s="3" t="e">
        <f>'001'!H3150</f>
        <v>#VALUE!</v>
      </c>
    </row>
    <row r="3151" spans="1:4" x14ac:dyDescent="0.25">
      <c r="A3151" s="1" t="str">
        <f>'001'!B3151</f>
        <v>004574</v>
      </c>
      <c r="B3151" s="1" t="str">
        <f>'001'!C3151</f>
        <v>SPRAY CLEAN UP</v>
      </c>
      <c r="C3151" s="1" t="str">
        <f>'001'!D3151</f>
        <v>0167</v>
      </c>
      <c r="D3151" s="3" t="e">
        <f>'001'!H3151</f>
        <v>#VALUE!</v>
      </c>
    </row>
    <row r="3152" spans="1:4" x14ac:dyDescent="0.25">
      <c r="A3152" s="1" t="str">
        <f>'001'!B3152</f>
        <v>004575</v>
      </c>
      <c r="B3152" s="1" t="str">
        <f>'001'!C3152</f>
        <v>NIPLE UNION CPO-TAZA CR ADIABATIC (1450DLSO)</v>
      </c>
      <c r="C3152" s="1" t="str">
        <f>'001'!D3152</f>
        <v>0104</v>
      </c>
      <c r="D3152" s="3" t="e">
        <f>'001'!H3152</f>
        <v>#VALUE!</v>
      </c>
    </row>
    <row r="3153" spans="1:4" x14ac:dyDescent="0.25">
      <c r="A3153" s="1" t="str">
        <f>'001'!B3153</f>
        <v>004576</v>
      </c>
      <c r="B3153" s="1" t="str">
        <f>'001'!C3153</f>
        <v>MEMBRANA ASFALTICA MEGAFLEX GEOTRANS X 36KG</v>
      </c>
      <c r="C3153" s="1" t="str">
        <f>'001'!D3153</f>
        <v>0130</v>
      </c>
      <c r="D3153" s="3" t="e">
        <f>'001'!H3153</f>
        <v>#VALUE!</v>
      </c>
    </row>
    <row r="3154" spans="1:4" x14ac:dyDescent="0.25">
      <c r="A3154" s="1" t="str">
        <f>'001'!B3154</f>
        <v>004577</v>
      </c>
      <c r="B3154" s="1" t="str">
        <f>'001'!C3154</f>
        <v>MORTEROS TECNICOS WEBER HYDROMUR X 25 K</v>
      </c>
      <c r="C3154" s="1" t="str">
        <f>'001'!D3154</f>
        <v>0163</v>
      </c>
      <c r="D3154" s="3" t="e">
        <f>'001'!H3154</f>
        <v>#VALUE!</v>
      </c>
    </row>
    <row r="3155" spans="1:4" x14ac:dyDescent="0.25">
      <c r="A3155" s="1" t="str">
        <f>'001'!B3155</f>
        <v>004579</v>
      </c>
      <c r="B3155" s="1" t="str">
        <f>'001'!C3155</f>
        <v>PAÏ¿½O MICROFIBRA AZUL</v>
      </c>
      <c r="C3155" s="1" t="str">
        <f>'001'!D3155</f>
        <v>0167</v>
      </c>
      <c r="D3155" s="3" t="e">
        <f>'001'!H3155</f>
        <v>#VALUE!</v>
      </c>
    </row>
    <row r="3156" spans="1:4" x14ac:dyDescent="0.25">
      <c r="A3156" s="1" t="str">
        <f>'001'!B3156</f>
        <v>004586</v>
      </c>
      <c r="B3156" s="1" t="str">
        <f>'001'!C3156</f>
        <v>SIGMARINE 28 GREY X 20</v>
      </c>
      <c r="C3156" s="1" t="str">
        <f>'001'!D3156</f>
        <v>0162</v>
      </c>
      <c r="D3156" s="3" t="e">
        <f>'001'!H3156</f>
        <v>#VALUE!</v>
      </c>
    </row>
    <row r="3157" spans="1:4" x14ac:dyDescent="0.25">
      <c r="A3157" s="1" t="str">
        <f>'001'!B3157</f>
        <v>004589</v>
      </c>
      <c r="B3157" s="1" t="str">
        <f>'001'!C3157</f>
        <v>REVESTIMIENTO TEXTURADO TERPLAST ROMANO MEDIO BEIGE COCADA X 25</v>
      </c>
      <c r="C3157" s="1" t="str">
        <f>'001'!D3157</f>
        <v>0152</v>
      </c>
      <c r="D3157" s="3" t="e">
        <f>'001'!H3157</f>
        <v>#VALUE!</v>
      </c>
    </row>
    <row r="3158" spans="1:4" x14ac:dyDescent="0.25">
      <c r="A3158" s="1" t="str">
        <f>'001'!B3158</f>
        <v>004606</v>
      </c>
      <c r="B3158" s="1" t="str">
        <f>'001'!C3158</f>
        <v>LATEX INTERIOR/EXTERIOR TERSUAVE MATE BASE W X  0,900</v>
      </c>
      <c r="C3158" s="1" t="str">
        <f>'001'!D3158</f>
        <v>0154</v>
      </c>
      <c r="D3158" s="3" t="e">
        <f>'001'!H3158</f>
        <v>#VALUE!</v>
      </c>
    </row>
    <row r="3159" spans="1:4" x14ac:dyDescent="0.25">
      <c r="A3159" s="1" t="str">
        <f>'001'!B3159</f>
        <v>004607</v>
      </c>
      <c r="B3159" s="1" t="str">
        <f>'001'!C3159</f>
        <v>LATEX INTERIOR/EXTERIOR TERSUAVE MATE BASE W X  3,600</v>
      </c>
      <c r="C3159" s="1" t="str">
        <f>'001'!D3159</f>
        <v>0154</v>
      </c>
      <c r="D3159" s="3" t="e">
        <f>'001'!H3159</f>
        <v>#VALUE!</v>
      </c>
    </row>
    <row r="3160" spans="1:4" x14ac:dyDescent="0.25">
      <c r="A3160" s="1" t="str">
        <f>'001'!B3160</f>
        <v>004608</v>
      </c>
      <c r="B3160" s="1" t="str">
        <f>'001'!C3160</f>
        <v>LATEX INTERIOR/EXTERIOR TERSUAVE MATE BASE W X  9</v>
      </c>
      <c r="C3160" s="1" t="str">
        <f>'001'!D3160</f>
        <v>0154</v>
      </c>
      <c r="D3160" s="3" t="e">
        <f>'001'!H3160</f>
        <v>#VALUE!</v>
      </c>
    </row>
    <row r="3161" spans="1:4" x14ac:dyDescent="0.25">
      <c r="A3161" s="1" t="str">
        <f>'001'!B3161</f>
        <v>004609</v>
      </c>
      <c r="B3161" s="1" t="str">
        <f>'001'!C3161</f>
        <v>LATEX INTERIOR/EXTERIOR TERSUAVE MATE BASE W X 18</v>
      </c>
      <c r="C3161" s="1" t="str">
        <f>'001'!D3161</f>
        <v>0154</v>
      </c>
      <c r="D3161" s="3" t="e">
        <f>'001'!H3161</f>
        <v>#VALUE!</v>
      </c>
    </row>
    <row r="3162" spans="1:4" x14ac:dyDescent="0.25">
      <c r="A3162" s="1" t="str">
        <f>'001'!B3162</f>
        <v>004610</v>
      </c>
      <c r="B3162" s="1" t="str">
        <f>'001'!C3162</f>
        <v>ANCLAJE QUIMICO WEBER GRIS X 0,300</v>
      </c>
      <c r="C3162" s="1" t="str">
        <f>'001'!D3162</f>
        <v>0163</v>
      </c>
      <c r="D3162" s="3" t="e">
        <f>'001'!H3162</f>
        <v>#VALUE!</v>
      </c>
    </row>
    <row r="3163" spans="1:4" x14ac:dyDescent="0.25">
      <c r="A3163" s="1" t="str">
        <f>'001'!B3163</f>
        <v>004611</v>
      </c>
      <c r="B3163" s="1" t="str">
        <f>'001'!C3163</f>
        <v>SELLADOR SILICONA NEUTRA WEBER C BLANCO X 0,300</v>
      </c>
      <c r="C3163" s="1" t="str">
        <f>'001'!D3163</f>
        <v>0185</v>
      </c>
      <c r="D3163" s="3" t="e">
        <f>'001'!H3163</f>
        <v>#VALUE!</v>
      </c>
    </row>
    <row r="3164" spans="1:4" x14ac:dyDescent="0.25">
      <c r="A3164" s="1" t="str">
        <f>'001'!B3164</f>
        <v>004612</v>
      </c>
      <c r="B3164" s="1" t="str">
        <f>'001'!C3164</f>
        <v>SELLADOR SILICONA NEUTRA WEBER C TRANSPARENTE X 0,300</v>
      </c>
      <c r="C3164" s="1" t="str">
        <f>'001'!D3164</f>
        <v>0185</v>
      </c>
      <c r="D3164" s="3" t="e">
        <f>'001'!H3164</f>
        <v>#VALUE!</v>
      </c>
    </row>
    <row r="3165" spans="1:4" x14ac:dyDescent="0.25">
      <c r="A3165" s="1" t="str">
        <f>'001'!B3165</f>
        <v>004617</v>
      </c>
      <c r="B3165" s="1" t="str">
        <f>'001'!C3165</f>
        <v>COLORANTE INDUSTRIAL SINTEPLAST AMARILLO OXIDO YO  X 0,940</v>
      </c>
      <c r="C3165" s="1" t="str">
        <f>'001'!D3165</f>
        <v>0173</v>
      </c>
      <c r="D3165" s="3" t="e">
        <f>'001'!H3165</f>
        <v>#VALUE!</v>
      </c>
    </row>
    <row r="3166" spans="1:4" x14ac:dyDescent="0.25">
      <c r="A3166" s="1" t="str">
        <f>'001'!B3166</f>
        <v>004625</v>
      </c>
      <c r="B3166" s="1" t="str">
        <f>'001'!C3166</f>
        <v>COLORANTE INDUSTRIAL SINTEPLAST NEGRO LB X 0,940</v>
      </c>
      <c r="C3166" s="1" t="str">
        <f>'001'!D3166</f>
        <v>0173</v>
      </c>
      <c r="D3166" s="3" t="e">
        <f>'001'!H3166</f>
        <v>#VALUE!</v>
      </c>
    </row>
    <row r="3167" spans="1:4" x14ac:dyDescent="0.25">
      <c r="A3167" s="1" t="str">
        <f>'001'!B3167</f>
        <v>004626</v>
      </c>
      <c r="B3167" s="1" t="str">
        <f>'001'!C3167</f>
        <v>ESMALTE POLIURETANO ACRILICO ALBAMIX TRASPARENTE X 15(4570100)</v>
      </c>
      <c r="C3167" s="1" t="str">
        <f>'001'!D3167</f>
        <v>0192</v>
      </c>
      <c r="D3167" s="3" t="e">
        <f>'001'!H3167</f>
        <v>#VALUE!</v>
      </c>
    </row>
    <row r="3168" spans="1:4" x14ac:dyDescent="0.25">
      <c r="A3168" s="1" t="str">
        <f>'001'!B3168</f>
        <v>004626</v>
      </c>
      <c r="B3168" s="1" t="str">
        <f>'001'!C3168</f>
        <v>ESMALTE POLIURETANO ACRILICO ALBAMIX TRASPARENTE X 15(4570100)</v>
      </c>
      <c r="C3168" s="1" t="str">
        <f>'001'!D3168</f>
        <v>0192</v>
      </c>
      <c r="D3168" s="3" t="e">
        <f>'001'!H3168</f>
        <v>#VALUE!</v>
      </c>
    </row>
    <row r="3169" spans="1:4" x14ac:dyDescent="0.25">
      <c r="A3169" s="1" t="str">
        <f>'001'!B3169</f>
        <v>004627</v>
      </c>
      <c r="B3169" s="1" t="str">
        <f>'001'!C3169</f>
        <v>ACELERANTE PARA POLIURETANO ALBAMIX X 1(5597009)</v>
      </c>
      <c r="C3169" s="1" t="str">
        <f>'001'!D3169</f>
        <v>0192</v>
      </c>
      <c r="D3169" s="3" t="e">
        <f>'001'!H3169</f>
        <v>#VALUE!</v>
      </c>
    </row>
    <row r="3170" spans="1:4" x14ac:dyDescent="0.25">
      <c r="A3170" s="1" t="str">
        <f>'001'!B3170</f>
        <v>004629</v>
      </c>
      <c r="B3170" s="1" t="str">
        <f>'001'!C3170</f>
        <v>MEMBRANA FLEXIBLE CEMENTICIA WEBERTEC X 25 (CAJA)</v>
      </c>
      <c r="C3170" s="1" t="str">
        <f>'001'!D3170</f>
        <v>0163</v>
      </c>
      <c r="D3170" s="3" t="e">
        <f>'001'!H3170</f>
        <v>#VALUE!</v>
      </c>
    </row>
    <row r="3171" spans="1:4" x14ac:dyDescent="0.25">
      <c r="A3171" s="1" t="str">
        <f>'001'!B3171</f>
        <v>004641</v>
      </c>
      <c r="B3171" s="1" t="str">
        <f>'001'!C3171</f>
        <v>SELLADOR POLIURETANO NODULO NODUPOL 46 BLANCO X 0,300</v>
      </c>
      <c r="C3171" s="1" t="str">
        <f>'001'!D3171</f>
        <v>0136</v>
      </c>
      <c r="D3171" s="3" t="e">
        <f>'001'!H3171</f>
        <v>#VALUE!</v>
      </c>
    </row>
    <row r="3172" spans="1:4" x14ac:dyDescent="0.25">
      <c r="A3172" s="1" t="str">
        <f>'001'!B3172</f>
        <v>004642</v>
      </c>
      <c r="B3172" s="1" t="str">
        <f>'001'!C3172</f>
        <v>SELLADOR POLIURETANO NODULO NODUPOL 46 GRIS X 0,300</v>
      </c>
      <c r="C3172" s="1" t="str">
        <f>'001'!D3172</f>
        <v>0136</v>
      </c>
      <c r="D3172" s="3" t="e">
        <f>'001'!H3172</f>
        <v>#VALUE!</v>
      </c>
    </row>
    <row r="3173" spans="1:4" x14ac:dyDescent="0.25">
      <c r="A3173" s="1" t="str">
        <f>'001'!B3173</f>
        <v>004643</v>
      </c>
      <c r="B3173" s="1" t="str">
        <f>'001'!C3173</f>
        <v>SELLADOR POLIURETANO NODULO NODUPOL 46 NEGRO X 0,300</v>
      </c>
      <c r="C3173" s="1" t="str">
        <f>'001'!D3173</f>
        <v>0136</v>
      </c>
      <c r="D3173" s="3" t="e">
        <f>'001'!H3173</f>
        <v>#VALUE!</v>
      </c>
    </row>
    <row r="3174" spans="1:4" x14ac:dyDescent="0.25">
      <c r="A3174" s="1" t="str">
        <f>'001'!B3174</f>
        <v>004644</v>
      </c>
      <c r="B3174" s="1" t="str">
        <f>'001'!C3174</f>
        <v>SELLADOR POLIURETANO NODULO NODUPOL 46 BLANCO X 0,600</v>
      </c>
      <c r="C3174" s="1" t="str">
        <f>'001'!D3174</f>
        <v>0136</v>
      </c>
      <c r="D3174" s="3" t="e">
        <f>'001'!H3174</f>
        <v>#VALUE!</v>
      </c>
    </row>
    <row r="3175" spans="1:4" x14ac:dyDescent="0.25">
      <c r="A3175" s="1" t="str">
        <f>'001'!B3175</f>
        <v>004645</v>
      </c>
      <c r="B3175" s="1" t="str">
        <f>'001'!C3175</f>
        <v>SELLADOR POLIURETANO NODULO NODUPOL 46 GRIS X 0,600</v>
      </c>
      <c r="C3175" s="1" t="str">
        <f>'001'!D3175</f>
        <v>0136</v>
      </c>
      <c r="D3175" s="3" t="e">
        <f>'001'!H3175</f>
        <v>#VALUE!</v>
      </c>
    </row>
    <row r="3176" spans="1:4" x14ac:dyDescent="0.25">
      <c r="A3176" s="1" t="str">
        <f>'001'!B3176</f>
        <v>004646</v>
      </c>
      <c r="B3176" s="1" t="str">
        <f>'001'!C3176</f>
        <v>SELLADOR POLIURETANO NODULO NODUPOL 46 NEGRO X 0,600</v>
      </c>
      <c r="C3176" s="1" t="str">
        <f>'001'!D3176</f>
        <v>0136</v>
      </c>
      <c r="D3176" s="3" t="e">
        <f>'001'!H3176</f>
        <v>#VALUE!</v>
      </c>
    </row>
    <row r="3177" spans="1:4" x14ac:dyDescent="0.25">
      <c r="A3177" s="1" t="str">
        <f>'001'!B3177</f>
        <v>004651</v>
      </c>
      <c r="B3177" s="1" t="str">
        <f>'001'!C3177</f>
        <v>ASFALTO DURO 100/15 MEGAFLEX EN PANES X 1TN</v>
      </c>
      <c r="C3177" s="1" t="str">
        <f>'001'!D3177</f>
        <v>0130</v>
      </c>
      <c r="D3177" s="3" t="e">
        <f>'001'!H3177</f>
        <v>#VALUE!</v>
      </c>
    </row>
    <row r="3178" spans="1:4" x14ac:dyDescent="0.25">
      <c r="A3178" s="1" t="str">
        <f>'001'!B3178</f>
        <v>004653</v>
      </c>
      <c r="B3178" s="1" t="str">
        <f>'001'!C3178</f>
        <v>ASFALTO PLASTICO 90/60 MEGAFLEX EN PANES X 1TN</v>
      </c>
      <c r="C3178" s="1" t="str">
        <f>'001'!D3178</f>
        <v>0130</v>
      </c>
      <c r="D3178" s="3" t="e">
        <f>'001'!H3178</f>
        <v>#VALUE!</v>
      </c>
    </row>
    <row r="3179" spans="1:4" x14ac:dyDescent="0.25">
      <c r="A3179" s="1" t="str">
        <f>'001'!B3179</f>
        <v>004670</v>
      </c>
      <c r="B3179" s="1" t="str">
        <f>'001'!C3179</f>
        <v>ESMALTE SINTETICO BRILLOPLAST SECADO RAPIDO 3EN1 GRIS X 4</v>
      </c>
      <c r="C3179" s="1" t="str">
        <f>'001'!D3179</f>
        <v>0150</v>
      </c>
      <c r="D3179" s="3" t="e">
        <f>'001'!H3179</f>
        <v>#VALUE!</v>
      </c>
    </row>
    <row r="3180" spans="1:4" x14ac:dyDescent="0.25">
      <c r="A3180" s="1" t="str">
        <f>'001'!B3180</f>
        <v>004689</v>
      </c>
      <c r="B3180" s="1" t="str">
        <f>'001'!C3180</f>
        <v>DEMARCACION VIAL PISOACRIL ROJO X 20</v>
      </c>
      <c r="C3180" s="1" t="str">
        <f>'001'!D3180</f>
        <v>0139</v>
      </c>
      <c r="D3180" s="3" t="e">
        <f>'001'!H3180</f>
        <v>#VALUE!</v>
      </c>
    </row>
    <row r="3181" spans="1:4" x14ac:dyDescent="0.25">
      <c r="A3181" s="1" t="str">
        <f>'001'!B3181</f>
        <v>004692</v>
      </c>
      <c r="B3181" s="1" t="str">
        <f>'001'!C3181</f>
        <v>EMULSION ASFALTICA ACUOSA MEGAFLEX X 18KG</v>
      </c>
      <c r="C3181" s="1" t="str">
        <f>'001'!D3181</f>
        <v>0130</v>
      </c>
      <c r="D3181" s="3" t="e">
        <f>'001'!H3181</f>
        <v>#VALUE!</v>
      </c>
    </row>
    <row r="3182" spans="1:4" x14ac:dyDescent="0.25">
      <c r="A3182" s="1" t="str">
        <f>'001'!B3182</f>
        <v>004693</v>
      </c>
      <c r="B3182" s="1" t="str">
        <f>'001'!C3182</f>
        <v>EMULSION ASFALTICA ACUOSA MEGAFLEX X 18KG (CAJA)</v>
      </c>
      <c r="C3182" s="1" t="str">
        <f>'001'!D3182</f>
        <v>0130</v>
      </c>
      <c r="D3182" s="3" t="e">
        <f>'001'!H3182</f>
        <v>#VALUE!</v>
      </c>
    </row>
    <row r="3183" spans="1:4" x14ac:dyDescent="0.25">
      <c r="A3183" s="1" t="str">
        <f>'001'!B3183</f>
        <v>004696</v>
      </c>
      <c r="B3183" s="1" t="str">
        <f>'001'!C3183</f>
        <v>DILUYENTE SINTETICO DIXILINA NRO 2 PARA HORNO X 18</v>
      </c>
      <c r="C3183" s="1" t="str">
        <f>'001'!D3183</f>
        <v>0120</v>
      </c>
      <c r="D3183" s="3" t="e">
        <f>'001'!H3183</f>
        <v>#VALUE!</v>
      </c>
    </row>
    <row r="3184" spans="1:4" x14ac:dyDescent="0.25">
      <c r="A3184" s="1" t="str">
        <f>'001'!B3184</f>
        <v>004697</v>
      </c>
      <c r="B3184" s="1" t="str">
        <f>'001'!C3184</f>
        <v>DILUYENTE SINTETICO DIXILINA NRO 2 PARA HORNO X 200</v>
      </c>
      <c r="C3184" s="1" t="str">
        <f>'001'!D3184</f>
        <v>0120</v>
      </c>
      <c r="D3184" s="3" t="e">
        <f>'001'!H3184</f>
        <v>#VALUE!</v>
      </c>
    </row>
    <row r="3185" spans="1:4" x14ac:dyDescent="0.25">
      <c r="A3185" s="1" t="str">
        <f>'001'!B3185</f>
        <v>004706</v>
      </c>
      <c r="B3185" s="1" t="str">
        <f>'001'!C3185</f>
        <v>FIJADOR PARA PARED TERSUAVE DECO AL AGUA X 20</v>
      </c>
      <c r="C3185" s="1" t="str">
        <f>'001'!D3185</f>
        <v>0152</v>
      </c>
      <c r="D3185" s="3" t="e">
        <f>'001'!H3185</f>
        <v>#VALUE!</v>
      </c>
    </row>
    <row r="3186" spans="1:4" x14ac:dyDescent="0.25">
      <c r="A3186" s="1" t="str">
        <f>'001'!B3186</f>
        <v>004708</v>
      </c>
      <c r="B3186" s="1" t="str">
        <f>'001'!C3186</f>
        <v>IMPERMEABILIZANTE PARA FRENTES PLAVICON BASE PASTEL X  1,170</v>
      </c>
      <c r="C3186" s="1" t="str">
        <f>'001'!D3186</f>
        <v>0175</v>
      </c>
      <c r="D3186" s="3" t="e">
        <f>'001'!H3186</f>
        <v>#VALUE!</v>
      </c>
    </row>
    <row r="3187" spans="1:4" x14ac:dyDescent="0.25">
      <c r="A3187" s="1" t="str">
        <f>'001'!B3187</f>
        <v>004709</v>
      </c>
      <c r="B3187" s="1" t="str">
        <f>'001'!C3187</f>
        <v>IMPERMEABILIZANTE PARA FRENTES PLAVICON BASE PASTEL X  4,800</v>
      </c>
      <c r="C3187" s="1" t="str">
        <f>'001'!D3187</f>
        <v>0175</v>
      </c>
      <c r="D3187" s="3" t="e">
        <f>'001'!H3187</f>
        <v>#VALUE!</v>
      </c>
    </row>
    <row r="3188" spans="1:4" x14ac:dyDescent="0.25">
      <c r="A3188" s="1" t="str">
        <f>'001'!B3188</f>
        <v>004710</v>
      </c>
      <c r="B3188" s="1" t="str">
        <f>'001'!C3188</f>
        <v>IMPERMEABILIZANTE PARA FRENTES PLAVICON BASE PASTEL X 11</v>
      </c>
      <c r="C3188" s="1" t="str">
        <f>'001'!D3188</f>
        <v>0175</v>
      </c>
      <c r="D3188" s="3" t="e">
        <f>'001'!H3188</f>
        <v>#VALUE!</v>
      </c>
    </row>
    <row r="3189" spans="1:4" x14ac:dyDescent="0.25">
      <c r="A3189" s="1" t="str">
        <f>'001'!B3189</f>
        <v>004711</v>
      </c>
      <c r="B3189" s="1" t="str">
        <f>'001'!C3189</f>
        <v>IMPERMEABILIZANTE PARA FRENTES PLAVICON BASE PASTEL X 21,500</v>
      </c>
      <c r="C3189" s="1" t="str">
        <f>'001'!D3189</f>
        <v>0175</v>
      </c>
      <c r="D3189" s="3" t="e">
        <f>'001'!H3189</f>
        <v>#VALUE!</v>
      </c>
    </row>
    <row r="3190" spans="1:4" x14ac:dyDescent="0.25">
      <c r="A3190" s="1" t="str">
        <f>'001'!B3190</f>
        <v>004712</v>
      </c>
      <c r="B3190" s="1" t="str">
        <f>'001'!C3190</f>
        <v>IMPERMEABILIZANTE PARA FRENTES PLAVICON BASE MEDIANO X  1,170</v>
      </c>
      <c r="C3190" s="1" t="str">
        <f>'001'!D3190</f>
        <v>0175</v>
      </c>
      <c r="D3190" s="3" t="e">
        <f>'001'!H3190</f>
        <v>#VALUE!</v>
      </c>
    </row>
    <row r="3191" spans="1:4" x14ac:dyDescent="0.25">
      <c r="A3191" s="1" t="str">
        <f>'001'!B3191</f>
        <v>004713</v>
      </c>
      <c r="B3191" s="1" t="str">
        <f>'001'!C3191</f>
        <v>IMPERMEABILIZANTE PARA FRENTES PLAVICON BASE MEDIANO X  4,800</v>
      </c>
      <c r="C3191" s="1" t="str">
        <f>'001'!D3191</f>
        <v>0175</v>
      </c>
      <c r="D3191" s="3" t="e">
        <f>'001'!H3191</f>
        <v>#VALUE!</v>
      </c>
    </row>
    <row r="3192" spans="1:4" x14ac:dyDescent="0.25">
      <c r="A3192" s="1" t="str">
        <f>'001'!B3192</f>
        <v>004714</v>
      </c>
      <c r="B3192" s="1" t="str">
        <f>'001'!C3192</f>
        <v>IMPERMEABILIZANTE PARA FRENTES PLAVICON BASE MEDIANO X 11</v>
      </c>
      <c r="C3192" s="1" t="str">
        <f>'001'!D3192</f>
        <v>0175</v>
      </c>
      <c r="D3192" s="3" t="e">
        <f>'001'!H3192</f>
        <v>#VALUE!</v>
      </c>
    </row>
    <row r="3193" spans="1:4" x14ac:dyDescent="0.25">
      <c r="A3193" s="1" t="str">
        <f>'001'!B3193</f>
        <v>004715</v>
      </c>
      <c r="B3193" s="1" t="str">
        <f>'001'!C3193</f>
        <v>IMPERMEABILIZANTE PARA FRENTES PLAVICON BASE MEDIANO X 21,500</v>
      </c>
      <c r="C3193" s="1" t="str">
        <f>'001'!D3193</f>
        <v>0175</v>
      </c>
      <c r="D3193" s="3" t="e">
        <f>'001'!H3193</f>
        <v>#VALUE!</v>
      </c>
    </row>
    <row r="3194" spans="1:4" x14ac:dyDescent="0.25">
      <c r="A3194" s="1" t="str">
        <f>'001'!B3194</f>
        <v>004716</v>
      </c>
      <c r="B3194" s="1" t="str">
        <f>'001'!C3194</f>
        <v>IMPERMEABILIZANTE PARA FRENTES PLAVICON BASE INTENSO X  1,170</v>
      </c>
      <c r="C3194" s="1" t="str">
        <f>'001'!D3194</f>
        <v>0175</v>
      </c>
      <c r="D3194" s="3" t="e">
        <f>'001'!H3194</f>
        <v>#VALUE!</v>
      </c>
    </row>
    <row r="3195" spans="1:4" x14ac:dyDescent="0.25">
      <c r="A3195" s="1" t="str">
        <f>'001'!B3195</f>
        <v>004717</v>
      </c>
      <c r="B3195" s="1" t="str">
        <f>'001'!C3195</f>
        <v>IMPERMEABILIZANTE PARA FRENTES PLAVICON BASE INTENSO X  4,800</v>
      </c>
      <c r="C3195" s="1" t="str">
        <f>'001'!D3195</f>
        <v>0175</v>
      </c>
      <c r="D3195" s="3" t="e">
        <f>'001'!H3195</f>
        <v>#VALUE!</v>
      </c>
    </row>
    <row r="3196" spans="1:4" x14ac:dyDescent="0.25">
      <c r="A3196" s="1" t="str">
        <f>'001'!B3196</f>
        <v>004718</v>
      </c>
      <c r="B3196" s="1" t="str">
        <f>'001'!C3196</f>
        <v>IMPERMEABILIZANTE PARA FRENTES PLAVICON BASE INTENSO X 11</v>
      </c>
      <c r="C3196" s="1" t="str">
        <f>'001'!D3196</f>
        <v>0175</v>
      </c>
      <c r="D3196" s="3" t="e">
        <f>'001'!H3196</f>
        <v>#VALUE!</v>
      </c>
    </row>
    <row r="3197" spans="1:4" x14ac:dyDescent="0.25">
      <c r="A3197" s="1" t="str">
        <f>'001'!B3197</f>
        <v>004719</v>
      </c>
      <c r="B3197" s="1" t="str">
        <f>'001'!C3197</f>
        <v>IMPERMEABILIZANTE PARA FRENTES PLAVICON BASE INTENSO X 21,500</v>
      </c>
      <c r="C3197" s="1" t="str">
        <f>'001'!D3197</f>
        <v>0175</v>
      </c>
      <c r="D3197" s="3" t="e">
        <f>'001'!H3197</f>
        <v>#VALUE!</v>
      </c>
    </row>
    <row r="3198" spans="1:4" x14ac:dyDescent="0.25">
      <c r="A3198" s="1" t="str">
        <f>'001'!B3198</f>
        <v>004720</v>
      </c>
      <c r="B3198" s="1" t="str">
        <f>'001'!C3198</f>
        <v>IMPERMEABILIZANTE PARA MUROS PLAVICON BASE PASTEL X  1,170</v>
      </c>
      <c r="C3198" s="1" t="str">
        <f>'001'!D3198</f>
        <v>0175</v>
      </c>
      <c r="D3198" s="3" t="e">
        <f>'001'!H3198</f>
        <v>#VALUE!</v>
      </c>
    </row>
    <row r="3199" spans="1:4" x14ac:dyDescent="0.25">
      <c r="A3199" s="1" t="str">
        <f>'001'!B3199</f>
        <v>004721</v>
      </c>
      <c r="B3199" s="1" t="str">
        <f>'001'!C3199</f>
        <v>IMPERMEABILIZANTE PARA MUROS PLAVICON BASE PASTEL X  4,800</v>
      </c>
      <c r="C3199" s="1" t="str">
        <f>'001'!D3199</f>
        <v>0175</v>
      </c>
      <c r="D3199" s="3" t="e">
        <f>'001'!H3199</f>
        <v>#VALUE!</v>
      </c>
    </row>
    <row r="3200" spans="1:4" x14ac:dyDescent="0.25">
      <c r="A3200" s="1" t="str">
        <f>'001'!B3200</f>
        <v>004722</v>
      </c>
      <c r="B3200" s="1" t="str">
        <f>'001'!C3200</f>
        <v>IMPERMEABILIZANTE PARA MUROS PLAVICON BASE PASTEL X 11</v>
      </c>
      <c r="C3200" s="1" t="str">
        <f>'001'!D3200</f>
        <v>0175</v>
      </c>
      <c r="D3200" s="3" t="e">
        <f>'001'!H3200</f>
        <v>#VALUE!</v>
      </c>
    </row>
    <row r="3201" spans="1:4" x14ac:dyDescent="0.25">
      <c r="A3201" s="1" t="str">
        <f>'001'!B3201</f>
        <v>004723</v>
      </c>
      <c r="B3201" s="1" t="str">
        <f>'001'!C3201</f>
        <v>IMPERMEABILIZANTE PARA MUROS PLAVICON BASE PASTEL X 21,500</v>
      </c>
      <c r="C3201" s="1" t="str">
        <f>'001'!D3201</f>
        <v>0175</v>
      </c>
      <c r="D3201" s="3" t="e">
        <f>'001'!H3201</f>
        <v>#VALUE!</v>
      </c>
    </row>
    <row r="3202" spans="1:4" x14ac:dyDescent="0.25">
      <c r="A3202" s="1" t="str">
        <f>'001'!B3202</f>
        <v>004724</v>
      </c>
      <c r="B3202" s="1" t="str">
        <f>'001'!C3202</f>
        <v>IMPERMEABILIZANTE PARA MUROS PLAVICON BASE MEDIANO X  1,170</v>
      </c>
      <c r="C3202" s="1" t="str">
        <f>'001'!D3202</f>
        <v>0175</v>
      </c>
      <c r="D3202" s="3" t="e">
        <f>'001'!H3202</f>
        <v>#VALUE!</v>
      </c>
    </row>
    <row r="3203" spans="1:4" x14ac:dyDescent="0.25">
      <c r="A3203" s="1" t="str">
        <f>'001'!B3203</f>
        <v>004725</v>
      </c>
      <c r="B3203" s="1" t="str">
        <f>'001'!C3203</f>
        <v>IMPERMEABILIZANTE PARA MUROS PLAVICON BASE MEDIANO X  4,800</v>
      </c>
      <c r="C3203" s="1" t="str">
        <f>'001'!D3203</f>
        <v>0175</v>
      </c>
      <c r="D3203" s="3" t="e">
        <f>'001'!H3203</f>
        <v>#VALUE!</v>
      </c>
    </row>
    <row r="3204" spans="1:4" x14ac:dyDescent="0.25">
      <c r="A3204" s="1" t="str">
        <f>'001'!B3204</f>
        <v>004726</v>
      </c>
      <c r="B3204" s="1" t="str">
        <f>'001'!C3204</f>
        <v>IMPERMEABILIZANTE PARA MUROS PLAVICON BASE MEDIANO X 11</v>
      </c>
      <c r="C3204" s="1" t="str">
        <f>'001'!D3204</f>
        <v>0175</v>
      </c>
      <c r="D3204" s="3" t="e">
        <f>'001'!H3204</f>
        <v>#VALUE!</v>
      </c>
    </row>
    <row r="3205" spans="1:4" x14ac:dyDescent="0.25">
      <c r="A3205" s="1" t="str">
        <f>'001'!B3205</f>
        <v>004727</v>
      </c>
      <c r="B3205" s="1" t="str">
        <f>'001'!C3205</f>
        <v>IMPERMEABILIZANTE PARA MUROS PLAVICON BASE MEDIANO X 21,500</v>
      </c>
      <c r="C3205" s="1" t="str">
        <f>'001'!D3205</f>
        <v>0175</v>
      </c>
      <c r="D3205" s="3" t="e">
        <f>'001'!H3205</f>
        <v>#VALUE!</v>
      </c>
    </row>
    <row r="3206" spans="1:4" x14ac:dyDescent="0.25">
      <c r="A3206" s="1" t="str">
        <f>'001'!B3206</f>
        <v>004728</v>
      </c>
      <c r="B3206" s="1" t="str">
        <f>'001'!C3206</f>
        <v>IMPERMEABILIZANTE PARA MUROS PLAVICON BASE INTENSO X  1,170</v>
      </c>
      <c r="C3206" s="1" t="str">
        <f>'001'!D3206</f>
        <v>0175</v>
      </c>
      <c r="D3206" s="3" t="e">
        <f>'001'!H3206</f>
        <v>#VALUE!</v>
      </c>
    </row>
    <row r="3207" spans="1:4" x14ac:dyDescent="0.25">
      <c r="A3207" s="1" t="str">
        <f>'001'!B3207</f>
        <v>004729</v>
      </c>
      <c r="B3207" s="1" t="str">
        <f>'001'!C3207</f>
        <v>IMPERMEABILIZANTE PARA MUROS PLAVICON BASE INTENSO X  4,800</v>
      </c>
      <c r="C3207" s="1" t="str">
        <f>'001'!D3207</f>
        <v>0175</v>
      </c>
      <c r="D3207" s="3" t="e">
        <f>'001'!H3207</f>
        <v>#VALUE!</v>
      </c>
    </row>
    <row r="3208" spans="1:4" x14ac:dyDescent="0.25">
      <c r="A3208" s="1" t="str">
        <f>'001'!B3208</f>
        <v>004730</v>
      </c>
      <c r="B3208" s="1" t="str">
        <f>'001'!C3208</f>
        <v>IMPERMEABILIZANTE PARA MUROS PLAVICON BASE INTENSO X 11</v>
      </c>
      <c r="C3208" s="1" t="str">
        <f>'001'!D3208</f>
        <v>0175</v>
      </c>
      <c r="D3208" s="3" t="e">
        <f>'001'!H3208</f>
        <v>#VALUE!</v>
      </c>
    </row>
    <row r="3209" spans="1:4" x14ac:dyDescent="0.25">
      <c r="A3209" s="1" t="str">
        <f>'001'!B3209</f>
        <v>004731</v>
      </c>
      <c r="B3209" s="1" t="str">
        <f>'001'!C3209</f>
        <v>IMPERMEABILIZANTE PARA MUROS PLAVICON BASE INTENSO X 21,500</v>
      </c>
      <c r="C3209" s="1" t="str">
        <f>'001'!D3209</f>
        <v>0175</v>
      </c>
      <c r="D3209" s="3" t="e">
        <f>'001'!H3209</f>
        <v>#VALUE!</v>
      </c>
    </row>
    <row r="3210" spans="1:4" x14ac:dyDescent="0.25">
      <c r="A3210" s="1" t="str">
        <f>'001'!B3210</f>
        <v>004732</v>
      </c>
      <c r="B3210" s="1" t="str">
        <f>'001'!C3210</f>
        <v>LATEX INTERIOR PLAVICON MATE BASE PASTEL X  0,900</v>
      </c>
      <c r="C3210" s="1" t="str">
        <f>'001'!D3210</f>
        <v>0175</v>
      </c>
      <c r="D3210" s="3" t="e">
        <f>'001'!H3210</f>
        <v>#VALUE!</v>
      </c>
    </row>
    <row r="3211" spans="1:4" x14ac:dyDescent="0.25">
      <c r="A3211" s="1" t="str">
        <f>'001'!B3211</f>
        <v>004733</v>
      </c>
      <c r="B3211" s="1" t="str">
        <f>'001'!C3211</f>
        <v>LATEX INTERIOR PLAVICON MATE BASE PASTEL X  3,600</v>
      </c>
      <c r="C3211" s="1" t="str">
        <f>'001'!D3211</f>
        <v>0175</v>
      </c>
      <c r="D3211" s="3" t="e">
        <f>'001'!H3211</f>
        <v>#VALUE!</v>
      </c>
    </row>
    <row r="3212" spans="1:4" x14ac:dyDescent="0.25">
      <c r="A3212" s="1" t="str">
        <f>'001'!B3212</f>
        <v>004734</v>
      </c>
      <c r="B3212" s="1" t="str">
        <f>'001'!C3212</f>
        <v>LATEX INTERIOR PLAVICON MATE BASE PASTEL X  9</v>
      </c>
      <c r="C3212" s="1" t="str">
        <f>'001'!D3212</f>
        <v>0175</v>
      </c>
      <c r="D3212" s="3" t="e">
        <f>'001'!H3212</f>
        <v>#VALUE!</v>
      </c>
    </row>
    <row r="3213" spans="1:4" x14ac:dyDescent="0.25">
      <c r="A3213" s="1" t="str">
        <f>'001'!B3213</f>
        <v>004735</v>
      </c>
      <c r="B3213" s="1" t="str">
        <f>'001'!C3213</f>
        <v>LATEX INTERIOR PLAVICON MATE BASE PASTEL X 18</v>
      </c>
      <c r="C3213" s="1" t="str">
        <f>'001'!D3213</f>
        <v>0175</v>
      </c>
      <c r="D3213" s="3" t="e">
        <f>'001'!H3213</f>
        <v>#VALUE!</v>
      </c>
    </row>
    <row r="3214" spans="1:4" x14ac:dyDescent="0.25">
      <c r="A3214" s="1" t="str">
        <f>'001'!B3214</f>
        <v>004736</v>
      </c>
      <c r="B3214" s="1" t="str">
        <f>'001'!C3214</f>
        <v>LATEX INTERIOR PLAVICON MATE BASE MEDIANO X  0,900</v>
      </c>
      <c r="C3214" s="1" t="str">
        <f>'001'!D3214</f>
        <v>0175</v>
      </c>
      <c r="D3214" s="3" t="e">
        <f>'001'!H3214</f>
        <v>#VALUE!</v>
      </c>
    </row>
    <row r="3215" spans="1:4" x14ac:dyDescent="0.25">
      <c r="A3215" s="1" t="str">
        <f>'001'!B3215</f>
        <v>004737</v>
      </c>
      <c r="B3215" s="1" t="str">
        <f>'001'!C3215</f>
        <v>LATEX INTERIOR PLAVICON MATE BASE MEDIANO X  3,600</v>
      </c>
      <c r="C3215" s="1" t="str">
        <f>'001'!D3215</f>
        <v>0175</v>
      </c>
      <c r="D3215" s="3" t="e">
        <f>'001'!H3215</f>
        <v>#VALUE!</v>
      </c>
    </row>
    <row r="3216" spans="1:4" x14ac:dyDescent="0.25">
      <c r="A3216" s="1" t="str">
        <f>'001'!B3216</f>
        <v>004738</v>
      </c>
      <c r="B3216" s="1" t="str">
        <f>'001'!C3216</f>
        <v>LATEX INTERIOR PLAVICON MATE BASE MEDIANO X  9</v>
      </c>
      <c r="C3216" s="1" t="str">
        <f>'001'!D3216</f>
        <v>0175</v>
      </c>
      <c r="D3216" s="3" t="e">
        <f>'001'!H3216</f>
        <v>#VALUE!</v>
      </c>
    </row>
    <row r="3217" spans="1:4" x14ac:dyDescent="0.25">
      <c r="A3217" s="1" t="str">
        <f>'001'!B3217</f>
        <v>004739</v>
      </c>
      <c r="B3217" s="1" t="str">
        <f>'001'!C3217</f>
        <v>LATEX INTERIOR PLAVICON MATE BASE MEDIANO X 18</v>
      </c>
      <c r="C3217" s="1" t="str">
        <f>'001'!D3217</f>
        <v>0175</v>
      </c>
      <c r="D3217" s="3" t="e">
        <f>'001'!H3217</f>
        <v>#VALUE!</v>
      </c>
    </row>
    <row r="3218" spans="1:4" x14ac:dyDescent="0.25">
      <c r="A3218" s="1" t="str">
        <f>'001'!B3218</f>
        <v>004740</v>
      </c>
      <c r="B3218" s="1" t="str">
        <f>'001'!C3218</f>
        <v>LATEX INTERIOR PLAVICON MATE BASE INTENSO X  0,900</v>
      </c>
      <c r="C3218" s="1" t="str">
        <f>'001'!D3218</f>
        <v>0175</v>
      </c>
      <c r="D3218" s="3" t="e">
        <f>'001'!H3218</f>
        <v>#VALUE!</v>
      </c>
    </row>
    <row r="3219" spans="1:4" x14ac:dyDescent="0.25">
      <c r="A3219" s="1" t="str">
        <f>'001'!B3219</f>
        <v>004741</v>
      </c>
      <c r="B3219" s="1" t="str">
        <f>'001'!C3219</f>
        <v>LATEX INTERIOR PLAVICON MATE BASE INTENSO X  3,600</v>
      </c>
      <c r="C3219" s="1" t="str">
        <f>'001'!D3219</f>
        <v>0175</v>
      </c>
      <c r="D3219" s="3" t="e">
        <f>'001'!H3219</f>
        <v>#VALUE!</v>
      </c>
    </row>
    <row r="3220" spans="1:4" x14ac:dyDescent="0.25">
      <c r="A3220" s="1" t="str">
        <f>'001'!B3220</f>
        <v>004742</v>
      </c>
      <c r="B3220" s="1" t="str">
        <f>'001'!C3220</f>
        <v>LATEX INTERIOR PLAVICON MATE BASE INTENSO X  9</v>
      </c>
      <c r="C3220" s="1" t="str">
        <f>'001'!D3220</f>
        <v>0175</v>
      </c>
      <c r="D3220" s="3" t="e">
        <f>'001'!H3220</f>
        <v>#VALUE!</v>
      </c>
    </row>
    <row r="3221" spans="1:4" x14ac:dyDescent="0.25">
      <c r="A3221" s="1" t="str">
        <f>'001'!B3221</f>
        <v>004743</v>
      </c>
      <c r="B3221" s="1" t="str">
        <f>'001'!C3221</f>
        <v>LATEX INTERIOR PLAVICON MATE BASE INTENSO X 18</v>
      </c>
      <c r="C3221" s="1" t="str">
        <f>'001'!D3221</f>
        <v>0175</v>
      </c>
      <c r="D3221" s="3" t="e">
        <f>'001'!H3221</f>
        <v>#VALUE!</v>
      </c>
    </row>
    <row r="3222" spans="1:4" x14ac:dyDescent="0.25">
      <c r="A3222" s="1" t="str">
        <f>'001'!B3222</f>
        <v>004744</v>
      </c>
      <c r="B3222" s="1" t="str">
        <f>'001'!C3222</f>
        <v>COLORANTE CONCENTRADO PLAVICON FT VIOLETA X 1</v>
      </c>
      <c r="C3222" s="1" t="str">
        <f>'001'!D3222</f>
        <v>0175</v>
      </c>
      <c r="D3222" s="3" t="e">
        <f>'001'!H3222</f>
        <v>#VALUE!</v>
      </c>
    </row>
    <row r="3223" spans="1:4" x14ac:dyDescent="0.25">
      <c r="A3223" s="1" t="str">
        <f>'001'!B3223</f>
        <v>004745</v>
      </c>
      <c r="B3223" s="1" t="str">
        <f>'001'!C3223</f>
        <v>COLORANTE CONCENTRADO PLAVICON HS MAGENTA X 1</v>
      </c>
      <c r="C3223" s="1" t="str">
        <f>'001'!D3223</f>
        <v>0175</v>
      </c>
      <c r="D3223" s="3" t="e">
        <f>'001'!H3223</f>
        <v>#VALUE!</v>
      </c>
    </row>
    <row r="3224" spans="1:4" x14ac:dyDescent="0.25">
      <c r="A3224" s="1" t="str">
        <f>'001'!B3224</f>
        <v>004746</v>
      </c>
      <c r="B3224" s="1" t="str">
        <f>'001'!C3224</f>
        <v>COLORANTE CONCENTRADO PLAVICON ST MARRON X 1</v>
      </c>
      <c r="C3224" s="1" t="str">
        <f>'001'!D3224</f>
        <v>0175</v>
      </c>
      <c r="D3224" s="3" t="e">
        <f>'001'!H3224</f>
        <v>#VALUE!</v>
      </c>
    </row>
    <row r="3225" spans="1:4" x14ac:dyDescent="0.25">
      <c r="A3225" s="1" t="str">
        <f>'001'!B3225</f>
        <v>004747</v>
      </c>
      <c r="B3225" s="1" t="str">
        <f>'001'!C3225</f>
        <v>COLORANTE CONCENTRADO PLAVICON LS VERDE X 1</v>
      </c>
      <c r="C3225" s="1" t="str">
        <f>'001'!D3225</f>
        <v>0175</v>
      </c>
      <c r="D3225" s="3" t="e">
        <f>'001'!H3225</f>
        <v>#VALUE!</v>
      </c>
    </row>
    <row r="3226" spans="1:4" x14ac:dyDescent="0.25">
      <c r="A3226" s="1" t="str">
        <f>'001'!B3226</f>
        <v>004748</v>
      </c>
      <c r="B3226" s="1" t="str">
        <f>'001'!C3226</f>
        <v>COLORANTE CONCENTRADO PLAVICON LT VERDE X 1</v>
      </c>
      <c r="C3226" s="1" t="str">
        <f>'001'!D3226</f>
        <v>0175</v>
      </c>
      <c r="D3226" s="3" t="e">
        <f>'001'!H3226</f>
        <v>#VALUE!</v>
      </c>
    </row>
    <row r="3227" spans="1:4" x14ac:dyDescent="0.25">
      <c r="A3227" s="1" t="str">
        <f>'001'!B3227</f>
        <v>004749</v>
      </c>
      <c r="B3227" s="1" t="str">
        <f>'001'!C3227</f>
        <v>COLORANTE CONCENTRADO PLAVICON MS AZUL X 1</v>
      </c>
      <c r="C3227" s="1" t="str">
        <f>'001'!D3227</f>
        <v>0175</v>
      </c>
      <c r="D3227" s="3" t="e">
        <f>'001'!H3227</f>
        <v>#VALUE!</v>
      </c>
    </row>
    <row r="3228" spans="1:4" x14ac:dyDescent="0.25">
      <c r="A3228" s="1" t="str">
        <f>'001'!B3228</f>
        <v>004750</v>
      </c>
      <c r="B3228" s="1" t="str">
        <f>'001'!C3228</f>
        <v>COLORANTE CONCENTRADO PLAVICON MT AZUL X 1</v>
      </c>
      <c r="C3228" s="1" t="str">
        <f>'001'!D3228</f>
        <v>0175</v>
      </c>
      <c r="D3228" s="3" t="e">
        <f>'001'!H3228</f>
        <v>#VALUE!</v>
      </c>
    </row>
    <row r="3229" spans="1:4" x14ac:dyDescent="0.25">
      <c r="A3229" s="1" t="str">
        <f>'001'!B3229</f>
        <v>004751</v>
      </c>
      <c r="B3229" s="1" t="str">
        <f>'001'!C3229</f>
        <v>COLORANTE CONCENTRADO PLAVICON PT ROJO X 1</v>
      </c>
      <c r="C3229" s="1" t="str">
        <f>'001'!D3229</f>
        <v>0175</v>
      </c>
      <c r="D3229" s="3" t="e">
        <f>'001'!H3229</f>
        <v>#VALUE!</v>
      </c>
    </row>
    <row r="3230" spans="1:4" x14ac:dyDescent="0.25">
      <c r="A3230" s="1" t="str">
        <f>'001'!B3230</f>
        <v>004752</v>
      </c>
      <c r="B3230" s="1" t="str">
        <f>'001'!C3230</f>
        <v>COLORANTE CONCENTRADO PLAVICON RS ROJO X 1</v>
      </c>
      <c r="C3230" s="1" t="str">
        <f>'001'!D3230</f>
        <v>0175</v>
      </c>
      <c r="D3230" s="3" t="e">
        <f>'001'!H3230</f>
        <v>#VALUE!</v>
      </c>
    </row>
    <row r="3231" spans="1:4" x14ac:dyDescent="0.25">
      <c r="A3231" s="1" t="str">
        <f>'001'!B3231</f>
        <v>004753</v>
      </c>
      <c r="B3231" s="1" t="str">
        <f>'001'!C3231</f>
        <v>COLORANTE CONCENTRADO PLAVICON VT ROJO X 1</v>
      </c>
      <c r="C3231" s="1" t="str">
        <f>'001'!D3231</f>
        <v>0175</v>
      </c>
      <c r="D3231" s="3" t="e">
        <f>'001'!H3231</f>
        <v>#VALUE!</v>
      </c>
    </row>
    <row r="3232" spans="1:4" x14ac:dyDescent="0.25">
      <c r="A3232" s="1" t="str">
        <f>'001'!B3232</f>
        <v>004754</v>
      </c>
      <c r="B3232" s="1" t="str">
        <f>'001'!C3232</f>
        <v>COLORANTE CONCENTRADO PLAVICON KS AMARILLO X 1</v>
      </c>
      <c r="C3232" s="1" t="str">
        <f>'001'!D3232</f>
        <v>0175</v>
      </c>
      <c r="D3232" s="3" t="e">
        <f>'001'!H3232</f>
        <v>#VALUE!</v>
      </c>
    </row>
    <row r="3233" spans="1:4" x14ac:dyDescent="0.25">
      <c r="A3233" s="1" t="str">
        <f>'001'!B3233</f>
        <v>004755</v>
      </c>
      <c r="B3233" s="1" t="str">
        <f>'001'!C3233</f>
        <v>COLORANTE CONCENTRADO PLAVICON US AMARILLO X 1</v>
      </c>
      <c r="C3233" s="1" t="str">
        <f>'001'!D3233</f>
        <v>0175</v>
      </c>
      <c r="D3233" s="3" t="e">
        <f>'001'!H3233</f>
        <v>#VALUE!</v>
      </c>
    </row>
    <row r="3234" spans="1:4" x14ac:dyDescent="0.25">
      <c r="A3234" s="1" t="str">
        <f>'001'!B3234</f>
        <v>004756</v>
      </c>
      <c r="B3234" s="1" t="str">
        <f>'001'!C3234</f>
        <v>COLORANTE CONCENTRADO PLAVICON RT AMARILLO X 1</v>
      </c>
      <c r="C3234" s="1" t="str">
        <f>'001'!D3234</f>
        <v>0175</v>
      </c>
      <c r="D3234" s="3" t="e">
        <f>'001'!H3234</f>
        <v>#VALUE!</v>
      </c>
    </row>
    <row r="3235" spans="1:4" x14ac:dyDescent="0.25">
      <c r="A3235" s="1" t="str">
        <f>'001'!B3235</f>
        <v>004757</v>
      </c>
      <c r="B3235" s="1" t="str">
        <f>'001'!C3235</f>
        <v>COLORANTE CONCENTRADO PLAVICON ZT AMARILLO X 1</v>
      </c>
      <c r="C3235" s="1" t="str">
        <f>'001'!D3235</f>
        <v>0175</v>
      </c>
      <c r="D3235" s="3" t="e">
        <f>'001'!H3235</f>
        <v>#VALUE!</v>
      </c>
    </row>
    <row r="3236" spans="1:4" x14ac:dyDescent="0.25">
      <c r="A3236" s="1" t="str">
        <f>'001'!B3236</f>
        <v>004758</v>
      </c>
      <c r="B3236" s="1" t="str">
        <f>'001'!C3236</f>
        <v>COLORANTE CONCENTRADO PLAVICON TT NEGRO X 1</v>
      </c>
      <c r="C3236" s="1" t="str">
        <f>'001'!D3236</f>
        <v>0175</v>
      </c>
      <c r="D3236" s="3" t="e">
        <f>'001'!H3236</f>
        <v>#VALUE!</v>
      </c>
    </row>
    <row r="3237" spans="1:4" x14ac:dyDescent="0.25">
      <c r="A3237" s="1" t="str">
        <f>'001'!B3237</f>
        <v>004759</v>
      </c>
      <c r="B3237" s="1" t="str">
        <f>'001'!C3237</f>
        <v>COLORANTE CONCENTRADO PLAVICON XT BLANCO X 1</v>
      </c>
      <c r="C3237" s="1" t="str">
        <f>'001'!D3237</f>
        <v>0175</v>
      </c>
      <c r="D3237" s="3" t="e">
        <f>'001'!H3237</f>
        <v>#VALUE!</v>
      </c>
    </row>
    <row r="3238" spans="1:4" x14ac:dyDescent="0.25">
      <c r="A3238" s="1" t="str">
        <f>'001'!B3238</f>
        <v>004800</v>
      </c>
      <c r="B3238" s="1" t="str">
        <f>'001'!C3238</f>
        <v>D800.10 BARNIZ CONCEPT 2020 DELTRON X 5,000</v>
      </c>
      <c r="C3238" s="1" t="str">
        <f>'001'!D3238</f>
        <v>0134</v>
      </c>
      <c r="D3238" s="3" t="e">
        <f>'001'!H3238</f>
        <v>#VALUE!</v>
      </c>
    </row>
    <row r="3239" spans="1:4" x14ac:dyDescent="0.25">
      <c r="A3239" s="1" t="str">
        <f>'001'!B3239</f>
        <v>004801</v>
      </c>
      <c r="B3239" s="1" t="str">
        <f>'001'!C3239</f>
        <v>HIDROFUGO ORGANICO EN PASTA CERESITA WEBER X  1</v>
      </c>
      <c r="C3239" s="1" t="str">
        <f>'001'!D3239</f>
        <v>0163</v>
      </c>
      <c r="D3239" s="3" t="e">
        <f>'001'!H3239</f>
        <v>#VALUE!</v>
      </c>
    </row>
    <row r="3240" spans="1:4" x14ac:dyDescent="0.25">
      <c r="A3240" s="1" t="str">
        <f>'001'!B3240</f>
        <v>004802</v>
      </c>
      <c r="B3240" s="1" t="str">
        <f>'001'!C3240</f>
        <v>HIDROFUGO ORGANICO EN PASTA CERESITA WEBER X  4</v>
      </c>
      <c r="C3240" s="1" t="str">
        <f>'001'!D3240</f>
        <v>0163</v>
      </c>
      <c r="D3240" s="3" t="e">
        <f>'001'!H3240</f>
        <v>#VALUE!</v>
      </c>
    </row>
    <row r="3241" spans="1:4" x14ac:dyDescent="0.25">
      <c r="A3241" s="1" t="str">
        <f>'001'!B3241</f>
        <v>004803</v>
      </c>
      <c r="B3241" s="1" t="str">
        <f>'001'!C3241</f>
        <v>HIDROFUGO ORGANICO EN PASTA CERESITA WEBER X 10</v>
      </c>
      <c r="C3241" s="1" t="str">
        <f>'001'!D3241</f>
        <v>0163</v>
      </c>
      <c r="D3241" s="3" t="e">
        <f>'001'!H3241</f>
        <v>#VALUE!</v>
      </c>
    </row>
    <row r="3242" spans="1:4" x14ac:dyDescent="0.25">
      <c r="A3242" s="1" t="str">
        <f>'001'!B3242</f>
        <v>004804</v>
      </c>
      <c r="B3242" s="1" t="str">
        <f>'001'!C3242</f>
        <v>HIDROFUGO ORGANICO EN PASTA CERESITA WEBER X 20</v>
      </c>
      <c r="C3242" s="1" t="str">
        <f>'001'!D3242</f>
        <v>0163</v>
      </c>
      <c r="D3242" s="3" t="e">
        <f>'001'!H3242</f>
        <v>#VALUE!</v>
      </c>
    </row>
    <row r="3243" spans="1:4" x14ac:dyDescent="0.25">
      <c r="A3243" s="1" t="str">
        <f>'001'!B3243</f>
        <v>004805</v>
      </c>
      <c r="B3243" s="1" t="str">
        <f>'001'!C3243</f>
        <v>HIDROFUGO ORGANICO EN PASTA CERESITA WEBER X 200</v>
      </c>
      <c r="C3243" s="1" t="str">
        <f>'001'!D3243</f>
        <v>0163</v>
      </c>
      <c r="D3243" s="3" t="e">
        <f>'001'!H3243</f>
        <v>#VALUE!</v>
      </c>
    </row>
    <row r="3244" spans="1:4" x14ac:dyDescent="0.25">
      <c r="A3244" s="1" t="str">
        <f>'001'!B3244</f>
        <v>004808</v>
      </c>
      <c r="B3244" s="1" t="str">
        <f>'001'!C3244</f>
        <v>LATEX PARA CIELORRASOS TERSINOL MATE BLANCO X 10</v>
      </c>
      <c r="C3244" s="1" t="str">
        <f>'001'!D3244</f>
        <v>0152</v>
      </c>
      <c r="D3244" s="3" t="e">
        <f>'001'!H3244</f>
        <v>#VALUE!</v>
      </c>
    </row>
    <row r="3245" spans="1:4" x14ac:dyDescent="0.25">
      <c r="A3245" s="1" t="str">
        <f>'001'!B3245</f>
        <v>004809</v>
      </c>
      <c r="B3245" s="1" t="str">
        <f>'001'!C3245</f>
        <v>LATEX PARA CIELORRASOS TERSINOL MATE BLANCO X 20</v>
      </c>
      <c r="C3245" s="1" t="str">
        <f>'001'!D3245</f>
        <v>0152</v>
      </c>
      <c r="D3245" s="3" t="e">
        <f>'001'!H3245</f>
        <v>#VALUE!</v>
      </c>
    </row>
    <row r="3246" spans="1:4" x14ac:dyDescent="0.25">
      <c r="A3246" s="1" t="str">
        <f>'001'!B3246</f>
        <v>004813</v>
      </c>
      <c r="B3246" s="1" t="str">
        <f>'001'!C3246</f>
        <v>DILUYENTE DE BAJA POLARIDAD X 18</v>
      </c>
      <c r="C3246" s="1" t="str">
        <f>'001'!D3246</f>
        <v>0186</v>
      </c>
      <c r="D3246" s="3" t="e">
        <f>'001'!H3246</f>
        <v>#VALUE!</v>
      </c>
    </row>
    <row r="3247" spans="1:4" x14ac:dyDescent="0.25">
      <c r="A3247" s="1" t="str">
        <f>'001'!B3247</f>
        <v>004814</v>
      </c>
      <c r="B3247" s="1" t="str">
        <f>'001'!C3247</f>
        <v>DILUYENTE DE BAJA POLARIDAD X 200</v>
      </c>
      <c r="C3247" s="1" t="str">
        <f>'001'!D3247</f>
        <v>0186</v>
      </c>
      <c r="D3247" s="3" t="e">
        <f>'001'!H3247</f>
        <v>#VALUE!</v>
      </c>
    </row>
    <row r="3248" spans="1:4" x14ac:dyDescent="0.25">
      <c r="A3248" s="1" t="str">
        <f>'001'!B3248</f>
        <v>004817</v>
      </c>
      <c r="B3248" s="1" t="str">
        <f>'001'!C3248</f>
        <v>P425-987 MEDIUM COARSE X 3,5</v>
      </c>
      <c r="C3248" s="1" t="str">
        <f>'001'!D3248</f>
        <v>0131</v>
      </c>
      <c r="D3248" s="3" t="e">
        <f>'001'!H3248</f>
        <v>#VALUE!</v>
      </c>
    </row>
    <row r="3249" spans="1:4" x14ac:dyDescent="0.25">
      <c r="A3249" s="1" t="str">
        <f>'001'!B3249</f>
        <v>004820</v>
      </c>
      <c r="B3249" s="1" t="str">
        <f>'001'!C3249</f>
        <v>REVOQUE FINO A LA CAL INTERIOR WEBER FINO BLANCO X 25</v>
      </c>
      <c r="C3249" s="1" t="str">
        <f>'001'!D3249</f>
        <v>0163</v>
      </c>
      <c r="D3249" s="3" t="e">
        <f>'001'!H3249</f>
        <v>#VALUE!</v>
      </c>
    </row>
    <row r="3250" spans="1:4" x14ac:dyDescent="0.25">
      <c r="A3250" s="1" t="str">
        <f>'001'!B3250</f>
        <v>004821</v>
      </c>
      <c r="B3250" s="1" t="str">
        <f>'001'!C3250</f>
        <v>REVOQUE FINO A LA CAL EXTERIOR WEBER FORTE GRIS X 25</v>
      </c>
      <c r="C3250" s="1" t="str">
        <f>'001'!D3250</f>
        <v>0163</v>
      </c>
      <c r="D3250" s="3" t="e">
        <f>'001'!H3250</f>
        <v>#VALUE!</v>
      </c>
    </row>
    <row r="3251" spans="1:4" x14ac:dyDescent="0.25">
      <c r="A3251" s="1" t="str">
        <f>'001'!B3251</f>
        <v>004822</v>
      </c>
      <c r="B3251" s="1" t="str">
        <f>'001'!C3251</f>
        <v>CINTA EMBALAJE RAPIFIX TRANSPARENTE (350) 24MM</v>
      </c>
      <c r="C3251" s="1" t="str">
        <f>'001'!D3251</f>
        <v>0181</v>
      </c>
      <c r="D3251" s="3" t="e">
        <f>'001'!H3251</f>
        <v>#VALUE!</v>
      </c>
    </row>
    <row r="3252" spans="1:4" x14ac:dyDescent="0.25">
      <c r="A3252" s="1" t="str">
        <f>'001'!B3252</f>
        <v>004823</v>
      </c>
      <c r="B3252" s="1" t="str">
        <f>'001'!C3252</f>
        <v>CINTA EMBALAJE RAPIFIX TRANSPARENTE (350) 36MM</v>
      </c>
      <c r="C3252" s="1" t="str">
        <f>'001'!D3252</f>
        <v>0181</v>
      </c>
      <c r="D3252" s="3" t="e">
        <f>'001'!H3252</f>
        <v>#VALUE!</v>
      </c>
    </row>
    <row r="3253" spans="1:4" x14ac:dyDescent="0.25">
      <c r="A3253" s="1" t="str">
        <f>'001'!B3253</f>
        <v>004824</v>
      </c>
      <c r="B3253" s="1" t="str">
        <f>'001'!C3253</f>
        <v>CINTA EMBALAJE RAPIFIX TRANSPARENTE (350) 48MM</v>
      </c>
      <c r="C3253" s="1" t="str">
        <f>'001'!D3253</f>
        <v>0181</v>
      </c>
      <c r="D3253" s="3" t="e">
        <f>'001'!H3253</f>
        <v>#VALUE!</v>
      </c>
    </row>
    <row r="3254" spans="1:4" x14ac:dyDescent="0.25">
      <c r="A3254" s="1" t="str">
        <f>'001'!B3254</f>
        <v>004827</v>
      </c>
      <c r="B3254" s="1" t="str">
        <f>'001'!C3254</f>
        <v>MASILLA POLIESTER MULTIUSO TRIMAS X 1</v>
      </c>
      <c r="C3254" s="1" t="str">
        <f>'001'!D3254</f>
        <v>0902</v>
      </c>
      <c r="D3254" s="3" t="e">
        <f>'001'!H3254</f>
        <v>#VALUE!</v>
      </c>
    </row>
    <row r="3255" spans="1:4" x14ac:dyDescent="0.25">
      <c r="A3255" s="1" t="str">
        <f>'001'!B3255</f>
        <v>004831</v>
      </c>
      <c r="B3255" s="1" t="str">
        <f>'001'!C3255</f>
        <v>PASTINA ALTA PRESTACIONES WEBER PRESTIGE NIEVE X 2</v>
      </c>
      <c r="C3255" s="1" t="str">
        <f>'001'!D3255</f>
        <v>0163</v>
      </c>
      <c r="D3255" s="3" t="e">
        <f>'001'!H3255</f>
        <v>#VALUE!</v>
      </c>
    </row>
    <row r="3256" spans="1:4" x14ac:dyDescent="0.25">
      <c r="A3256" s="1" t="str">
        <f>'001'!B3256</f>
        <v>004832</v>
      </c>
      <c r="B3256" s="1" t="str">
        <f>'001'!C3256</f>
        <v>PASTINA ALTA PRESTACIONES WEBER PRESTIGE PERLATO X 2</v>
      </c>
      <c r="C3256" s="1" t="str">
        <f>'001'!D3256</f>
        <v>0163</v>
      </c>
      <c r="D3256" s="3" t="e">
        <f>'001'!H3256</f>
        <v>#VALUE!</v>
      </c>
    </row>
    <row r="3257" spans="1:4" x14ac:dyDescent="0.25">
      <c r="A3257" s="1" t="str">
        <f>'001'!B3257</f>
        <v>004833</v>
      </c>
      <c r="B3257" s="1" t="str">
        <f>'001'!C3257</f>
        <v>PASTINA ALTA PRESTACIONES WEBER PRESTIGE CHAMPAGNE X 2</v>
      </c>
      <c r="C3257" s="1" t="str">
        <f>'001'!D3257</f>
        <v>0163</v>
      </c>
      <c r="D3257" s="3" t="e">
        <f>'001'!H3257</f>
        <v>#VALUE!</v>
      </c>
    </row>
    <row r="3258" spans="1:4" x14ac:dyDescent="0.25">
      <c r="A3258" s="1" t="str">
        <f>'001'!B3258</f>
        <v>004834</v>
      </c>
      <c r="B3258" s="1" t="str">
        <f>'001'!C3258</f>
        <v>PASTINA ALTA PRESTACIONES WEBER PRESTIGE ARENA X 2</v>
      </c>
      <c r="C3258" s="1" t="str">
        <f>'001'!D3258</f>
        <v>0163</v>
      </c>
      <c r="D3258" s="3" t="e">
        <f>'001'!H3258</f>
        <v>#VALUE!</v>
      </c>
    </row>
    <row r="3259" spans="1:4" x14ac:dyDescent="0.25">
      <c r="A3259" s="1" t="str">
        <f>'001'!B3259</f>
        <v>004835</v>
      </c>
      <c r="B3259" s="1" t="str">
        <f>'001'!C3259</f>
        <v>PASTINA ALTA PRESTACIONES WEBER PRESTIGE BEIGE X 2</v>
      </c>
      <c r="C3259" s="1" t="str">
        <f>'001'!D3259</f>
        <v>0163</v>
      </c>
      <c r="D3259" s="3" t="e">
        <f>'001'!H3259</f>
        <v>#VALUE!</v>
      </c>
    </row>
    <row r="3260" spans="1:4" x14ac:dyDescent="0.25">
      <c r="A3260" s="1" t="str">
        <f>'001'!B3260</f>
        <v>004836</v>
      </c>
      <c r="B3260" s="1" t="str">
        <f>'001'!C3260</f>
        <v>PASTINA ALTA PRESTACIONES WEBER PRESTIGE TERRACOTA X 2</v>
      </c>
      <c r="C3260" s="1" t="str">
        <f>'001'!D3260</f>
        <v>0163</v>
      </c>
      <c r="D3260" s="3" t="e">
        <f>'001'!H3260</f>
        <v>#VALUE!</v>
      </c>
    </row>
    <row r="3261" spans="1:4" x14ac:dyDescent="0.25">
      <c r="A3261" s="1" t="str">
        <f>'001'!B3261</f>
        <v>004837</v>
      </c>
      <c r="B3261" s="1" t="str">
        <f>'001'!C3261</f>
        <v>PASTINA ALTA PRESTACIONES WEBER PRESTIGE FERRICO X 2</v>
      </c>
      <c r="C3261" s="1" t="str">
        <f>'001'!D3261</f>
        <v>0163</v>
      </c>
      <c r="D3261" s="3" t="e">
        <f>'001'!H3261</f>
        <v>#VALUE!</v>
      </c>
    </row>
    <row r="3262" spans="1:4" x14ac:dyDescent="0.25">
      <c r="A3262" s="1" t="str">
        <f>'001'!B3262</f>
        <v>004838</v>
      </c>
      <c r="B3262" s="1" t="str">
        <f>'001'!C3262</f>
        <v>PASTINA ALTA PRESTACIONES WEBER PRESTIGE TEJA X 2</v>
      </c>
      <c r="C3262" s="1" t="str">
        <f>'001'!D3262</f>
        <v>0163</v>
      </c>
      <c r="D3262" s="3" t="e">
        <f>'001'!H3262</f>
        <v>#VALUE!</v>
      </c>
    </row>
    <row r="3263" spans="1:4" x14ac:dyDescent="0.25">
      <c r="A3263" s="1" t="str">
        <f>'001'!B3263</f>
        <v>004839</v>
      </c>
      <c r="B3263" s="1" t="str">
        <f>'001'!C3263</f>
        <v>PASTINA ALTA PRESTACIONES WEBER PRESTIGE ANTILOPE X 2</v>
      </c>
      <c r="C3263" s="1" t="str">
        <f>'001'!D3263</f>
        <v>0163</v>
      </c>
      <c r="D3263" s="3" t="e">
        <f>'001'!H3263</f>
        <v>#VALUE!</v>
      </c>
    </row>
    <row r="3264" spans="1:4" x14ac:dyDescent="0.25">
      <c r="A3264" s="1" t="str">
        <f>'001'!B3264</f>
        <v>004840</v>
      </c>
      <c r="B3264" s="1" t="str">
        <f>'001'!C3264</f>
        <v>PASTINA ALTA PRESTACIONES WEBER PRESTIGE HABANO X 2</v>
      </c>
      <c r="C3264" s="1" t="str">
        <f>'001'!D3264</f>
        <v>0163</v>
      </c>
      <c r="D3264" s="3" t="e">
        <f>'001'!H3264</f>
        <v>#VALUE!</v>
      </c>
    </row>
    <row r="3265" spans="1:4" x14ac:dyDescent="0.25">
      <c r="A3265" s="1" t="str">
        <f>'001'!B3265</f>
        <v>004841</v>
      </c>
      <c r="B3265" s="1" t="str">
        <f>'001'!C3265</f>
        <v>PASTINA ALTA PRESTACIONES WEBER PRESTIGE JADE X 2</v>
      </c>
      <c r="C3265" s="1" t="str">
        <f>'001'!D3265</f>
        <v>0163</v>
      </c>
      <c r="D3265" s="3" t="e">
        <f>'001'!H3265</f>
        <v>#VALUE!</v>
      </c>
    </row>
    <row r="3266" spans="1:4" x14ac:dyDescent="0.25">
      <c r="A3266" s="1" t="str">
        <f>'001'!B3266</f>
        <v>004842</v>
      </c>
      <c r="B3266" s="1" t="str">
        <f>'001'!C3266</f>
        <v>PASTINA ALTA PRESTACIONES WEBER PRESTIGE PLATA X 2</v>
      </c>
      <c r="C3266" s="1" t="str">
        <f>'001'!D3266</f>
        <v>0163</v>
      </c>
      <c r="D3266" s="3" t="e">
        <f>'001'!H3266</f>
        <v>#VALUE!</v>
      </c>
    </row>
    <row r="3267" spans="1:4" x14ac:dyDescent="0.25">
      <c r="A3267" s="1" t="str">
        <f>'001'!B3267</f>
        <v>004843</v>
      </c>
      <c r="B3267" s="1" t="str">
        <f>'001'!C3267</f>
        <v>PASTINA ALTA PRESTACIONES WEBER PRESTIGE PLOMO X 2</v>
      </c>
      <c r="C3267" s="1" t="str">
        <f>'001'!D3267</f>
        <v>0163</v>
      </c>
      <c r="D3267" s="3" t="e">
        <f>'001'!H3267</f>
        <v>#VALUE!</v>
      </c>
    </row>
    <row r="3268" spans="1:4" x14ac:dyDescent="0.25">
      <c r="A3268" s="1" t="str">
        <f>'001'!B3268</f>
        <v>004844</v>
      </c>
      <c r="B3268" s="1" t="str">
        <f>'001'!C3268</f>
        <v>PASTINA ALTA PRESTACIONES WEBER PRESTIGE NEGRO X 2</v>
      </c>
      <c r="C3268" s="1" t="str">
        <f>'001'!D3268</f>
        <v>0163</v>
      </c>
      <c r="D3268" s="3" t="e">
        <f>'001'!H3268</f>
        <v>#VALUE!</v>
      </c>
    </row>
    <row r="3269" spans="1:4" x14ac:dyDescent="0.25">
      <c r="A3269" s="1" t="str">
        <f>'001'!B3269</f>
        <v>004845</v>
      </c>
      <c r="B3269" s="1" t="str">
        <f>'001'!C3269</f>
        <v>PASTINA ALTA PRESTACIONES WEBER PRESTIGE GRIS PERLA X 2</v>
      </c>
      <c r="C3269" s="1" t="str">
        <f>'001'!D3269</f>
        <v>0163</v>
      </c>
      <c r="D3269" s="3" t="e">
        <f>'001'!H3269</f>
        <v>#VALUE!</v>
      </c>
    </row>
    <row r="3270" spans="1:4" x14ac:dyDescent="0.25">
      <c r="A3270" s="1" t="str">
        <f>'001'!B3270</f>
        <v>004846</v>
      </c>
      <c r="B3270" s="1" t="str">
        <f>'001'!C3270</f>
        <v>PASTINA ALTA PRESTACIONES WEBER PRESTIGE MEDANO X 2</v>
      </c>
      <c r="C3270" s="1" t="str">
        <f>'001'!D3270</f>
        <v>0163</v>
      </c>
      <c r="D3270" s="3" t="e">
        <f>'001'!H3270</f>
        <v>#VALUE!</v>
      </c>
    </row>
    <row r="3271" spans="1:4" x14ac:dyDescent="0.25">
      <c r="A3271" s="1" t="str">
        <f>'001'!B3271</f>
        <v>004847</v>
      </c>
      <c r="B3271" s="1" t="str">
        <f>'001'!C3271</f>
        <v>PASTINA ALTA PRESTACIONES WEBER PRESTIGE NIEBLA X 2</v>
      </c>
      <c r="C3271" s="1" t="str">
        <f>'001'!D3271</f>
        <v>0163</v>
      </c>
      <c r="D3271" s="3" t="e">
        <f>'001'!H3271</f>
        <v>#VALUE!</v>
      </c>
    </row>
    <row r="3272" spans="1:4" x14ac:dyDescent="0.25">
      <c r="A3272" s="1" t="str">
        <f>'001'!B3272</f>
        <v>004848</v>
      </c>
      <c r="B3272" s="1" t="str">
        <f>'001'!C3272</f>
        <v>PASTINA ALTA PRESTACIONES WEBER PRESTIGE HUESO X 2</v>
      </c>
      <c r="C3272" s="1" t="str">
        <f>'001'!D3272</f>
        <v>0163</v>
      </c>
      <c r="D3272" s="3" t="e">
        <f>'001'!H3272</f>
        <v>#VALUE!</v>
      </c>
    </row>
    <row r="3273" spans="1:4" x14ac:dyDescent="0.25">
      <c r="A3273" s="1" t="str">
        <f>'001'!B3273</f>
        <v>004849</v>
      </c>
      <c r="B3273" s="1" t="str">
        <f>'001'!C3273</f>
        <v>PASTINA ALTA PRESTACIONES WEBER PRESTIGE ATLANTICO X 2</v>
      </c>
      <c r="C3273" s="1" t="str">
        <f>'001'!D3273</f>
        <v>0163</v>
      </c>
      <c r="D3273" s="3" t="e">
        <f>'001'!H3273</f>
        <v>#VALUE!</v>
      </c>
    </row>
    <row r="3274" spans="1:4" x14ac:dyDescent="0.25">
      <c r="A3274" s="1" t="str">
        <f>'001'!B3274</f>
        <v>004850</v>
      </c>
      <c r="B3274" s="1" t="str">
        <f>'001'!C3274</f>
        <v>PASTINA ALTA PRESTACIONES WEBER PRESTIGE CENIZA X 2</v>
      </c>
      <c r="C3274" s="1" t="str">
        <f>'001'!D3274</f>
        <v>0163</v>
      </c>
      <c r="D3274" s="3" t="e">
        <f>'001'!H3274</f>
        <v>#VALUE!</v>
      </c>
    </row>
    <row r="3275" spans="1:4" x14ac:dyDescent="0.25">
      <c r="A3275" s="1" t="str">
        <f>'001'!B3275</f>
        <v>004851</v>
      </c>
      <c r="B3275" s="1" t="str">
        <f>'001'!C3275</f>
        <v>PASTINA ALTA PRESTACIONES WEBER PRESTIGE CEDRO X 2</v>
      </c>
      <c r="C3275" s="1" t="str">
        <f>'001'!D3275</f>
        <v>0163</v>
      </c>
      <c r="D3275" s="3" t="e">
        <f>'001'!H3275</f>
        <v>#VALUE!</v>
      </c>
    </row>
    <row r="3276" spans="1:4" x14ac:dyDescent="0.25">
      <c r="A3276" s="1" t="str">
        <f>'001'!B3276</f>
        <v>004852</v>
      </c>
      <c r="B3276" s="1" t="str">
        <f>'001'!C3276</f>
        <v>PASTINA ALTA PRESTACIONES WEBER PRESTIGE ROBLE X 2</v>
      </c>
      <c r="C3276" s="1" t="str">
        <f>'001'!D3276</f>
        <v>0163</v>
      </c>
      <c r="D3276" s="3" t="e">
        <f>'001'!H3276</f>
        <v>#VALUE!</v>
      </c>
    </row>
    <row r="3277" spans="1:4" x14ac:dyDescent="0.25">
      <c r="A3277" s="1" t="str">
        <f>'001'!B3277</f>
        <v>004853</v>
      </c>
      <c r="B3277" s="1" t="str">
        <f>'001'!C3277</f>
        <v>PASTINA ALTA PRESTACIONES WEBER PRESTIGE OLMO X 2</v>
      </c>
      <c r="C3277" s="1" t="str">
        <f>'001'!D3277</f>
        <v>0163</v>
      </c>
      <c r="D3277" s="3" t="e">
        <f>'001'!H3277</f>
        <v>#VALUE!</v>
      </c>
    </row>
    <row r="3278" spans="1:4" x14ac:dyDescent="0.25">
      <c r="A3278" s="1" t="str">
        <f>'001'!B3278</f>
        <v>004854</v>
      </c>
      <c r="B3278" s="1" t="str">
        <f>'001'!C3278</f>
        <v>PASTINA ALTA PRESTACIONES WEBER PRESTIGE IRON X 2</v>
      </c>
      <c r="C3278" s="1" t="str">
        <f>'001'!D3278</f>
        <v>0163</v>
      </c>
      <c r="D3278" s="3" t="e">
        <f>'001'!H3278</f>
        <v>#VALUE!</v>
      </c>
    </row>
    <row r="3279" spans="1:4" x14ac:dyDescent="0.25">
      <c r="A3279" s="1" t="str">
        <f>'001'!B3279</f>
        <v>004855</v>
      </c>
      <c r="B3279" s="1" t="str">
        <f>'001'!C3279</f>
        <v>PASTINA ALTA PRESTACIONES WEBER PRESTIGE CALACATTA X 2</v>
      </c>
      <c r="C3279" s="1" t="str">
        <f>'001'!D3279</f>
        <v>0163</v>
      </c>
      <c r="D3279" s="3" t="e">
        <f>'001'!H3279</f>
        <v>#VALUE!</v>
      </c>
    </row>
    <row r="3280" spans="1:4" x14ac:dyDescent="0.25">
      <c r="A3280" s="1" t="str">
        <f>'001'!B3280</f>
        <v>004856</v>
      </c>
      <c r="B3280" s="1" t="str">
        <f>'001'!C3280</f>
        <v>PINTURA ASFALTICA SECADO RAPIDO MEGAFLEX X 200</v>
      </c>
      <c r="C3280" s="1" t="str">
        <f>'001'!D3280</f>
        <v>0130</v>
      </c>
      <c r="D3280" s="3" t="e">
        <f>'001'!H3280</f>
        <v>#VALUE!</v>
      </c>
    </row>
    <row r="3281" spans="1:4" x14ac:dyDescent="0.25">
      <c r="A3281" s="1" t="str">
        <f>'001'!B3281</f>
        <v>004865</v>
      </c>
      <c r="B3281" s="1" t="str">
        <f>'001'!C3281</f>
        <v>IMPREGNANTE PENTA STAIN + INSECTICIDA BRILLANTE CAOBA X  1</v>
      </c>
      <c r="C3281" s="1" t="str">
        <f>'001'!D3281</f>
        <v>0138</v>
      </c>
      <c r="D3281" s="3" t="e">
        <f>'001'!H3281</f>
        <v>#VALUE!</v>
      </c>
    </row>
    <row r="3282" spans="1:4" x14ac:dyDescent="0.25">
      <c r="A3282" s="1" t="str">
        <f>'001'!B3282</f>
        <v>004866</v>
      </c>
      <c r="B3282" s="1" t="str">
        <f>'001'!C3282</f>
        <v>IMPREGNANTE PENTA STAIN + INSECTICIDA BRILLANTE CAOBA X  4</v>
      </c>
      <c r="C3282" s="1" t="str">
        <f>'001'!D3282</f>
        <v>0138</v>
      </c>
      <c r="D3282" s="3" t="e">
        <f>'001'!H3282</f>
        <v>#VALUE!</v>
      </c>
    </row>
    <row r="3283" spans="1:4" x14ac:dyDescent="0.25">
      <c r="A3283" s="1" t="str">
        <f>'001'!B3283</f>
        <v>004867</v>
      </c>
      <c r="B3283" s="1" t="str">
        <f>'001'!C3283</f>
        <v>IMPREGNANTE PENTA STAIN + INSECTICIDA BRILLANTE CAOBA X 10</v>
      </c>
      <c r="C3283" s="1" t="str">
        <f>'001'!D3283</f>
        <v>0138</v>
      </c>
      <c r="D3283" s="3" t="e">
        <f>'001'!H3283</f>
        <v>#VALUE!</v>
      </c>
    </row>
    <row r="3284" spans="1:4" x14ac:dyDescent="0.25">
      <c r="A3284" s="1" t="str">
        <f>'001'!B3284</f>
        <v>004868</v>
      </c>
      <c r="B3284" s="1" t="str">
        <f>'001'!C3284</f>
        <v>IMPREGNANTE PENTA STAIN + INSECTICIDA BRILLANTE CAOBA X 20</v>
      </c>
      <c r="C3284" s="1" t="str">
        <f>'001'!D3284</f>
        <v>0138</v>
      </c>
      <c r="D3284" s="3" t="e">
        <f>'001'!H3284</f>
        <v>#VALUE!</v>
      </c>
    </row>
    <row r="3285" spans="1:4" x14ac:dyDescent="0.25">
      <c r="A3285" s="1" t="str">
        <f>'001'!B3285</f>
        <v>004869</v>
      </c>
      <c r="B3285" s="1" t="str">
        <f>'001'!C3285</f>
        <v>IMPREGNANTE PENTA STAIN + INSECTICIDA BRILLANTE CEDRO X  1</v>
      </c>
      <c r="C3285" s="1" t="str">
        <f>'001'!D3285</f>
        <v>0138</v>
      </c>
      <c r="D3285" s="3" t="e">
        <f>'001'!H3285</f>
        <v>#VALUE!</v>
      </c>
    </row>
    <row r="3286" spans="1:4" x14ac:dyDescent="0.25">
      <c r="A3286" s="1" t="str">
        <f>'001'!B3286</f>
        <v>004870</v>
      </c>
      <c r="B3286" s="1" t="str">
        <f>'001'!C3286</f>
        <v>IMPREGNANTE PENTA STAIN + INSECTICIDA BRILLANTE CEDRO X  4</v>
      </c>
      <c r="C3286" s="1" t="str">
        <f>'001'!D3286</f>
        <v>0138</v>
      </c>
      <c r="D3286" s="3" t="e">
        <f>'001'!H3286</f>
        <v>#VALUE!</v>
      </c>
    </row>
    <row r="3287" spans="1:4" x14ac:dyDescent="0.25">
      <c r="A3287" s="1" t="str">
        <f>'001'!B3287</f>
        <v>004871</v>
      </c>
      <c r="B3287" s="1" t="str">
        <f>'001'!C3287</f>
        <v>IMPREGNANTE PENTA STAIN + INSECTICIDA BRILLANTE CEDRO X 10</v>
      </c>
      <c r="C3287" s="1" t="str">
        <f>'001'!D3287</f>
        <v>0138</v>
      </c>
      <c r="D3287" s="3" t="e">
        <f>'001'!H3287</f>
        <v>#VALUE!</v>
      </c>
    </row>
    <row r="3288" spans="1:4" x14ac:dyDescent="0.25">
      <c r="A3288" s="1" t="str">
        <f>'001'!B3288</f>
        <v>004872</v>
      </c>
      <c r="B3288" s="1" t="str">
        <f>'001'!C3288</f>
        <v>IMPREGNANTE PENTA STAIN + INSECTICIDA BRILLANTE CEDRO X 20</v>
      </c>
      <c r="C3288" s="1" t="str">
        <f>'001'!D3288</f>
        <v>0138</v>
      </c>
      <c r="D3288" s="3" t="e">
        <f>'001'!H3288</f>
        <v>#VALUE!</v>
      </c>
    </row>
    <row r="3289" spans="1:4" x14ac:dyDescent="0.25">
      <c r="A3289" s="1" t="str">
        <f>'001'!B3289</f>
        <v>004873</v>
      </c>
      <c r="B3289" s="1" t="str">
        <f>'001'!C3289</f>
        <v>IMPREGNANTE PENTA STAIN + INSECTICIDA BRILLANTE CRISTAL X  1</v>
      </c>
      <c r="C3289" s="1" t="str">
        <f>'001'!D3289</f>
        <v>0138</v>
      </c>
      <c r="D3289" s="3" t="e">
        <f>'001'!H3289</f>
        <v>#VALUE!</v>
      </c>
    </row>
    <row r="3290" spans="1:4" x14ac:dyDescent="0.25">
      <c r="A3290" s="1" t="str">
        <f>'001'!B3290</f>
        <v>004874</v>
      </c>
      <c r="B3290" s="1" t="str">
        <f>'001'!C3290</f>
        <v>IMPREGNANTE PENTA STAIN + INSECTICIDA BRILLANTE CRISTAL X  4</v>
      </c>
      <c r="C3290" s="1" t="str">
        <f>'001'!D3290</f>
        <v>0138</v>
      </c>
      <c r="D3290" s="3" t="e">
        <f>'001'!H3290</f>
        <v>#VALUE!</v>
      </c>
    </row>
    <row r="3291" spans="1:4" x14ac:dyDescent="0.25">
      <c r="A3291" s="1" t="str">
        <f>'001'!B3291</f>
        <v>004875</v>
      </c>
      <c r="B3291" s="1" t="str">
        <f>'001'!C3291</f>
        <v>IMPREGNANTE PENTA STAIN + INSECTICIDA BRILLANTE CRISTAL X 10</v>
      </c>
      <c r="C3291" s="1" t="str">
        <f>'001'!D3291</f>
        <v>0138</v>
      </c>
      <c r="D3291" s="3" t="e">
        <f>'001'!H3291</f>
        <v>#VALUE!</v>
      </c>
    </row>
    <row r="3292" spans="1:4" x14ac:dyDescent="0.25">
      <c r="A3292" s="1" t="str">
        <f>'001'!B3292</f>
        <v>004876</v>
      </c>
      <c r="B3292" s="1" t="str">
        <f>'001'!C3292</f>
        <v>IMPREGNANTE PENTA STAIN + INSECTICIDA BRILLANTE CRISTAL X 20</v>
      </c>
      <c r="C3292" s="1" t="str">
        <f>'001'!D3292</f>
        <v>0138</v>
      </c>
      <c r="D3292" s="3" t="e">
        <f>'001'!H3292</f>
        <v>#VALUE!</v>
      </c>
    </row>
    <row r="3293" spans="1:4" x14ac:dyDescent="0.25">
      <c r="A3293" s="1" t="str">
        <f>'001'!B3293</f>
        <v>004877</v>
      </c>
      <c r="B3293" s="1" t="str">
        <f>'001'!C3293</f>
        <v>IMPREGNANTE PENTA STAIN + INSECTICIDA BRILLANTE NATURAL X  1</v>
      </c>
      <c r="C3293" s="1" t="str">
        <f>'001'!D3293</f>
        <v>0138</v>
      </c>
      <c r="D3293" s="3" t="e">
        <f>'001'!H3293</f>
        <v>#VALUE!</v>
      </c>
    </row>
    <row r="3294" spans="1:4" x14ac:dyDescent="0.25">
      <c r="A3294" s="1" t="str">
        <f>'001'!B3294</f>
        <v>004878</v>
      </c>
      <c r="B3294" s="1" t="str">
        <f>'001'!C3294</f>
        <v>IMPREGNANTE PENTA STAIN + INSECTICIDA BRILLANTE NATURAL X  4</v>
      </c>
      <c r="C3294" s="1" t="str">
        <f>'001'!D3294</f>
        <v>0138</v>
      </c>
      <c r="D3294" s="3" t="e">
        <f>'001'!H3294</f>
        <v>#VALUE!</v>
      </c>
    </row>
    <row r="3295" spans="1:4" x14ac:dyDescent="0.25">
      <c r="A3295" s="1" t="str">
        <f>'001'!B3295</f>
        <v>004879</v>
      </c>
      <c r="B3295" s="1" t="str">
        <f>'001'!C3295</f>
        <v>IMPREGNANTE PENTA STAIN + INSECTICIDA BRILLANTE NATURAL X 10</v>
      </c>
      <c r="C3295" s="1" t="str">
        <f>'001'!D3295</f>
        <v>0138</v>
      </c>
      <c r="D3295" s="3" t="e">
        <f>'001'!H3295</f>
        <v>#VALUE!</v>
      </c>
    </row>
    <row r="3296" spans="1:4" x14ac:dyDescent="0.25">
      <c r="A3296" s="1" t="str">
        <f>'001'!B3296</f>
        <v>004880</v>
      </c>
      <c r="B3296" s="1" t="str">
        <f>'001'!C3296</f>
        <v>IMPREGNANTE PENTA STAIN + INSECTICIDA BRILLANTE NATURAL X 20</v>
      </c>
      <c r="C3296" s="1" t="str">
        <f>'001'!D3296</f>
        <v>0138</v>
      </c>
      <c r="D3296" s="3" t="e">
        <f>'001'!H3296</f>
        <v>#VALUE!</v>
      </c>
    </row>
    <row r="3297" spans="1:4" x14ac:dyDescent="0.25">
      <c r="A3297" s="1" t="str">
        <f>'001'!B3297</f>
        <v>004881</v>
      </c>
      <c r="B3297" s="1" t="str">
        <f>'001'!C3297</f>
        <v>IMPREGNANTE PENTA STAIN + INSECTICIDA BRILLANTE NOGAL X  1</v>
      </c>
      <c r="C3297" s="1" t="str">
        <f>'001'!D3297</f>
        <v>0138</v>
      </c>
      <c r="D3297" s="3" t="e">
        <f>'001'!H3297</f>
        <v>#VALUE!</v>
      </c>
    </row>
    <row r="3298" spans="1:4" x14ac:dyDescent="0.25">
      <c r="A3298" s="1" t="str">
        <f>'001'!B3298</f>
        <v>004882</v>
      </c>
      <c r="B3298" s="1" t="str">
        <f>'001'!C3298</f>
        <v>IMPREGNANTE PENTA STAIN + INSECTICIDA BRILLANTE NOGAL X  4</v>
      </c>
      <c r="C3298" s="1" t="str">
        <f>'001'!D3298</f>
        <v>0138</v>
      </c>
      <c r="D3298" s="3" t="e">
        <f>'001'!H3298</f>
        <v>#VALUE!</v>
      </c>
    </row>
    <row r="3299" spans="1:4" x14ac:dyDescent="0.25">
      <c r="A3299" s="1" t="str">
        <f>'001'!B3299</f>
        <v>004883</v>
      </c>
      <c r="B3299" s="1" t="str">
        <f>'001'!C3299</f>
        <v>IMPREGNANTE PENTA STAIN + INSECTICIDA BRILLANTE NOGAL X 10</v>
      </c>
      <c r="C3299" s="1" t="str">
        <f>'001'!D3299</f>
        <v>0138</v>
      </c>
      <c r="D3299" s="3" t="e">
        <f>'001'!H3299</f>
        <v>#VALUE!</v>
      </c>
    </row>
    <row r="3300" spans="1:4" x14ac:dyDescent="0.25">
      <c r="A3300" s="1" t="str">
        <f>'001'!B3300</f>
        <v>004884</v>
      </c>
      <c r="B3300" s="1" t="str">
        <f>'001'!C3300</f>
        <v>IMPREGNANTE PENTA STAIN + INSECTICIDA BRILLANTE NOGAL X 20</v>
      </c>
      <c r="C3300" s="1" t="str">
        <f>'001'!D3300</f>
        <v>0138</v>
      </c>
      <c r="D3300" s="3" t="e">
        <f>'001'!H3300</f>
        <v>#VALUE!</v>
      </c>
    </row>
    <row r="3301" spans="1:4" x14ac:dyDescent="0.25">
      <c r="A3301" s="1" t="str">
        <f>'001'!B3301</f>
        <v>004885</v>
      </c>
      <c r="B3301" s="1" t="str">
        <f>'001'!C3301</f>
        <v>IMPREGNANTE PENTA STAIN + INSECTICIDA BRILLANTE ROBLE X  1</v>
      </c>
      <c r="C3301" s="1" t="str">
        <f>'001'!D3301</f>
        <v>0138</v>
      </c>
      <c r="D3301" s="3" t="e">
        <f>'001'!H3301</f>
        <v>#VALUE!</v>
      </c>
    </row>
    <row r="3302" spans="1:4" x14ac:dyDescent="0.25">
      <c r="A3302" s="1" t="str">
        <f>'001'!B3302</f>
        <v>004886</v>
      </c>
      <c r="B3302" s="1" t="str">
        <f>'001'!C3302</f>
        <v>IMPREGNANTE PENTA STAIN + INSECTICIDA BRILLANTE ROBLE X  4</v>
      </c>
      <c r="C3302" s="1" t="str">
        <f>'001'!D3302</f>
        <v>0138</v>
      </c>
      <c r="D3302" s="3" t="e">
        <f>'001'!H3302</f>
        <v>#VALUE!</v>
      </c>
    </row>
    <row r="3303" spans="1:4" x14ac:dyDescent="0.25">
      <c r="A3303" s="1" t="str">
        <f>'001'!B3303</f>
        <v>004887</v>
      </c>
      <c r="B3303" s="1" t="str">
        <f>'001'!C3303</f>
        <v>IMPREGNANTE PENTA STAIN + INSECTICIDA BRILLANTE ROBLE X 10</v>
      </c>
      <c r="C3303" s="1" t="str">
        <f>'001'!D3303</f>
        <v>0138</v>
      </c>
      <c r="D3303" s="3" t="e">
        <f>'001'!H3303</f>
        <v>#VALUE!</v>
      </c>
    </row>
    <row r="3304" spans="1:4" x14ac:dyDescent="0.25">
      <c r="A3304" s="1" t="str">
        <f>'001'!B3304</f>
        <v>004888</v>
      </c>
      <c r="B3304" s="1" t="str">
        <f>'001'!C3304</f>
        <v>IMPREGNANTE PENTA STAIN + INSECTICIDA BRILLANTE ROBLE X 20</v>
      </c>
      <c r="C3304" s="1" t="str">
        <f>'001'!D3304</f>
        <v>0138</v>
      </c>
      <c r="D3304" s="3" t="e">
        <f>'001'!H3304</f>
        <v>#VALUE!</v>
      </c>
    </row>
    <row r="3305" spans="1:4" x14ac:dyDescent="0.25">
      <c r="A3305" s="1" t="str">
        <f>'001'!B3305</f>
        <v>004889</v>
      </c>
      <c r="B3305" s="1" t="str">
        <f>'001'!C3305</f>
        <v>IMPREGNANTE PENTA STAIN + INSECTICIDA SATINADO CAOBA X  1</v>
      </c>
      <c r="C3305" s="1" t="str">
        <f>'001'!D3305</f>
        <v>0138</v>
      </c>
      <c r="D3305" s="3" t="e">
        <f>'001'!H3305</f>
        <v>#VALUE!</v>
      </c>
    </row>
    <row r="3306" spans="1:4" x14ac:dyDescent="0.25">
      <c r="A3306" s="1" t="str">
        <f>'001'!B3306</f>
        <v>004890</v>
      </c>
      <c r="B3306" s="1" t="str">
        <f>'001'!C3306</f>
        <v>IMPREGNANTE PENTA STAIN + INSECTICIDA SATINADO CAOBA X  4</v>
      </c>
      <c r="C3306" s="1" t="str">
        <f>'001'!D3306</f>
        <v>0138</v>
      </c>
      <c r="D3306" s="3" t="e">
        <f>'001'!H3306</f>
        <v>#VALUE!</v>
      </c>
    </row>
    <row r="3307" spans="1:4" x14ac:dyDescent="0.25">
      <c r="A3307" s="1" t="str">
        <f>'001'!B3307</f>
        <v>004891</v>
      </c>
      <c r="B3307" s="1" t="str">
        <f>'001'!C3307</f>
        <v>IMPREGNANTE PENTA STAIN + INSECTICIDA SATINADO CAOBA X 10</v>
      </c>
      <c r="C3307" s="1" t="str">
        <f>'001'!D3307</f>
        <v>0138</v>
      </c>
      <c r="D3307" s="3" t="e">
        <f>'001'!H3307</f>
        <v>#VALUE!</v>
      </c>
    </row>
    <row r="3308" spans="1:4" x14ac:dyDescent="0.25">
      <c r="A3308" s="1" t="str">
        <f>'001'!B3308</f>
        <v>004892</v>
      </c>
      <c r="B3308" s="1" t="str">
        <f>'001'!C3308</f>
        <v>IMPREGNANTE PENTA STAIN + INSECTICIDA SATINADO CAOBA X 20</v>
      </c>
      <c r="C3308" s="1" t="str">
        <f>'001'!D3308</f>
        <v>0138</v>
      </c>
      <c r="D3308" s="3" t="e">
        <f>'001'!H3308</f>
        <v>#VALUE!</v>
      </c>
    </row>
    <row r="3309" spans="1:4" x14ac:dyDescent="0.25">
      <c r="A3309" s="1" t="str">
        <f>'001'!B3309</f>
        <v>004893</v>
      </c>
      <c r="B3309" s="1" t="str">
        <f>'001'!C3309</f>
        <v>IMPREGNANTE PENTA STAIN + INSECTICIDA SATINADO CEDRO X  1</v>
      </c>
      <c r="C3309" s="1" t="str">
        <f>'001'!D3309</f>
        <v>0138</v>
      </c>
      <c r="D3309" s="3" t="e">
        <f>'001'!H3309</f>
        <v>#VALUE!</v>
      </c>
    </row>
    <row r="3310" spans="1:4" x14ac:dyDescent="0.25">
      <c r="A3310" s="1" t="str">
        <f>'001'!B3310</f>
        <v>004894</v>
      </c>
      <c r="B3310" s="1" t="str">
        <f>'001'!C3310</f>
        <v>IMPREGNANTE PENTA STAIN + INSECTICIDA SATINADO CEDRO X  4</v>
      </c>
      <c r="C3310" s="1" t="str">
        <f>'001'!D3310</f>
        <v>0138</v>
      </c>
      <c r="D3310" s="3" t="e">
        <f>'001'!H3310</f>
        <v>#VALUE!</v>
      </c>
    </row>
    <row r="3311" spans="1:4" x14ac:dyDescent="0.25">
      <c r="A3311" s="1" t="str">
        <f>'001'!B3311</f>
        <v>004895</v>
      </c>
      <c r="B3311" s="1" t="str">
        <f>'001'!C3311</f>
        <v>IMPREGNANTE PENTA STAIN + INSECTICIDA SATINADO CEDRO X 10</v>
      </c>
      <c r="C3311" s="1" t="str">
        <f>'001'!D3311</f>
        <v>0138</v>
      </c>
      <c r="D3311" s="3" t="e">
        <f>'001'!H3311</f>
        <v>#VALUE!</v>
      </c>
    </row>
    <row r="3312" spans="1:4" x14ac:dyDescent="0.25">
      <c r="A3312" s="1" t="str">
        <f>'001'!B3312</f>
        <v>004896</v>
      </c>
      <c r="B3312" s="1" t="str">
        <f>'001'!C3312</f>
        <v>IMPREGNANTE PENTA STAIN + INSECTICIDA SATINADO CEDRO X 20</v>
      </c>
      <c r="C3312" s="1" t="str">
        <f>'001'!D3312</f>
        <v>0138</v>
      </c>
      <c r="D3312" s="3" t="e">
        <f>'001'!H3312</f>
        <v>#VALUE!</v>
      </c>
    </row>
    <row r="3313" spans="1:4" x14ac:dyDescent="0.25">
      <c r="A3313" s="1" t="str">
        <f>'001'!B3313</f>
        <v>004897</v>
      </c>
      <c r="B3313" s="1" t="str">
        <f>'001'!C3313</f>
        <v>IMPREGNANTE PENTA STAIN + INSECTICIDA SATINADO CRISTAL X  1</v>
      </c>
      <c r="C3313" s="1" t="str">
        <f>'001'!D3313</f>
        <v>0138</v>
      </c>
      <c r="D3313" s="3" t="e">
        <f>'001'!H3313</f>
        <v>#VALUE!</v>
      </c>
    </row>
    <row r="3314" spans="1:4" x14ac:dyDescent="0.25">
      <c r="A3314" s="1" t="str">
        <f>'001'!B3314</f>
        <v>004898</v>
      </c>
      <c r="B3314" s="1" t="str">
        <f>'001'!C3314</f>
        <v>IMPREGNANTE PENTA STAIN + INSECTICIDA SATINADO CRISTAL X  4</v>
      </c>
      <c r="C3314" s="1" t="str">
        <f>'001'!D3314</f>
        <v>0138</v>
      </c>
      <c r="D3314" s="3" t="e">
        <f>'001'!H3314</f>
        <v>#VALUE!</v>
      </c>
    </row>
    <row r="3315" spans="1:4" x14ac:dyDescent="0.25">
      <c r="A3315" s="1" t="str">
        <f>'001'!B3315</f>
        <v>004899</v>
      </c>
      <c r="B3315" s="1" t="str">
        <f>'001'!C3315</f>
        <v>IMPREGNANTE PENTA STAIN + INSECTICIDA SATINADO CRISTAL X 10</v>
      </c>
      <c r="C3315" s="1" t="str">
        <f>'001'!D3315</f>
        <v>0138</v>
      </c>
      <c r="D3315" s="3" t="e">
        <f>'001'!H3315</f>
        <v>#VALUE!</v>
      </c>
    </row>
    <row r="3316" spans="1:4" x14ac:dyDescent="0.25">
      <c r="A3316" s="1" t="str">
        <f>'001'!B3316</f>
        <v>004900</v>
      </c>
      <c r="B3316" s="1" t="str">
        <f>'001'!C3316</f>
        <v>IMPREGNANTE PENTA STAIN + INSECTICIDA SATINADO CRISTAL X 20</v>
      </c>
      <c r="C3316" s="1" t="str">
        <f>'001'!D3316</f>
        <v>0138</v>
      </c>
      <c r="D3316" s="3" t="e">
        <f>'001'!H3316</f>
        <v>#VALUE!</v>
      </c>
    </row>
    <row r="3317" spans="1:4" x14ac:dyDescent="0.25">
      <c r="A3317" s="1" t="str">
        <f>'001'!B3317</f>
        <v>004901</v>
      </c>
      <c r="B3317" s="1" t="str">
        <f>'001'!C3317</f>
        <v>IMPREGNANTE PENTA STAIN + INSECTICIDA SATINADO NATURAL X  1</v>
      </c>
      <c r="C3317" s="1" t="str">
        <f>'001'!D3317</f>
        <v>0138</v>
      </c>
      <c r="D3317" s="3" t="e">
        <f>'001'!H3317</f>
        <v>#VALUE!</v>
      </c>
    </row>
    <row r="3318" spans="1:4" x14ac:dyDescent="0.25">
      <c r="A3318" s="1" t="str">
        <f>'001'!B3318</f>
        <v>004902</v>
      </c>
      <c r="B3318" s="1" t="str">
        <f>'001'!C3318</f>
        <v>IMPREGNANTE PENTA STAIN + INSECTICIDA SATINADO NATURAL X  4</v>
      </c>
      <c r="C3318" s="1" t="str">
        <f>'001'!D3318</f>
        <v>0138</v>
      </c>
      <c r="D3318" s="3" t="e">
        <f>'001'!H3318</f>
        <v>#VALUE!</v>
      </c>
    </row>
    <row r="3319" spans="1:4" x14ac:dyDescent="0.25">
      <c r="A3319" s="1" t="str">
        <f>'001'!B3319</f>
        <v>004903</v>
      </c>
      <c r="B3319" s="1" t="str">
        <f>'001'!C3319</f>
        <v>IMPREGNANTE PENTA STAIN + INSECTICIDA SATINADO NATURAL X 10</v>
      </c>
      <c r="C3319" s="1" t="str">
        <f>'001'!D3319</f>
        <v>0138</v>
      </c>
      <c r="D3319" s="3" t="e">
        <f>'001'!H3319</f>
        <v>#VALUE!</v>
      </c>
    </row>
    <row r="3320" spans="1:4" x14ac:dyDescent="0.25">
      <c r="A3320" s="1" t="str">
        <f>'001'!B3320</f>
        <v>004904</v>
      </c>
      <c r="B3320" s="1" t="str">
        <f>'001'!C3320</f>
        <v>IMPREGNANTE PENTA STAIN + INSECTICIDA SATINADO NATURAL X 20</v>
      </c>
      <c r="C3320" s="1" t="str">
        <f>'001'!D3320</f>
        <v>0138</v>
      </c>
      <c r="D3320" s="3" t="e">
        <f>'001'!H3320</f>
        <v>#VALUE!</v>
      </c>
    </row>
    <row r="3321" spans="1:4" x14ac:dyDescent="0.25">
      <c r="A3321" s="1" t="str">
        <f>'001'!B3321</f>
        <v>004905</v>
      </c>
      <c r="B3321" s="1" t="str">
        <f>'001'!C3321</f>
        <v>IMPREGNANTE PENTA STAIN + INSECTICIDA SATINADO NOGAL X  1</v>
      </c>
      <c r="C3321" s="1" t="str">
        <f>'001'!D3321</f>
        <v>0138</v>
      </c>
      <c r="D3321" s="3" t="e">
        <f>'001'!H3321</f>
        <v>#VALUE!</v>
      </c>
    </row>
    <row r="3322" spans="1:4" x14ac:dyDescent="0.25">
      <c r="A3322" s="1" t="str">
        <f>'001'!B3322</f>
        <v>004906</v>
      </c>
      <c r="B3322" s="1" t="str">
        <f>'001'!C3322</f>
        <v>IMPREGNANTE PENTA STAIN + INSECTICIDA SATINADO NOGAL X  4</v>
      </c>
      <c r="C3322" s="1" t="str">
        <f>'001'!D3322</f>
        <v>0138</v>
      </c>
      <c r="D3322" s="3" t="e">
        <f>'001'!H3322</f>
        <v>#VALUE!</v>
      </c>
    </row>
    <row r="3323" spans="1:4" x14ac:dyDescent="0.25">
      <c r="A3323" s="1" t="str">
        <f>'001'!B3323</f>
        <v>004907</v>
      </c>
      <c r="B3323" s="1" t="str">
        <f>'001'!C3323</f>
        <v>IMPREGNANTE PENTA STAIN + INSECTICIDA SATINADO NOGAL X 10</v>
      </c>
      <c r="C3323" s="1" t="str">
        <f>'001'!D3323</f>
        <v>0138</v>
      </c>
      <c r="D3323" s="3" t="e">
        <f>'001'!H3323</f>
        <v>#VALUE!</v>
      </c>
    </row>
    <row r="3324" spans="1:4" x14ac:dyDescent="0.25">
      <c r="A3324" s="1" t="str">
        <f>'001'!B3324</f>
        <v>004908</v>
      </c>
      <c r="B3324" s="1" t="str">
        <f>'001'!C3324</f>
        <v>IMPREGNANTE PENTA STAIN + INSECTICIDA SATINADO NOGAL X 20</v>
      </c>
      <c r="C3324" s="1" t="str">
        <f>'001'!D3324</f>
        <v>0138</v>
      </c>
      <c r="D3324" s="3" t="e">
        <f>'001'!H3324</f>
        <v>#VALUE!</v>
      </c>
    </row>
    <row r="3325" spans="1:4" x14ac:dyDescent="0.25">
      <c r="A3325" s="1" t="str">
        <f>'001'!B3325</f>
        <v>004909</v>
      </c>
      <c r="B3325" s="1" t="str">
        <f>'001'!C3325</f>
        <v>IMPREGNANTE PENTA STAIN + INSECTICIDA SATINADO ROBLE X  1</v>
      </c>
      <c r="C3325" s="1" t="str">
        <f>'001'!D3325</f>
        <v>0138</v>
      </c>
      <c r="D3325" s="3" t="e">
        <f>'001'!H3325</f>
        <v>#VALUE!</v>
      </c>
    </row>
    <row r="3326" spans="1:4" x14ac:dyDescent="0.25">
      <c r="A3326" s="1" t="str">
        <f>'001'!B3326</f>
        <v>004910</v>
      </c>
      <c r="B3326" s="1" t="str">
        <f>'001'!C3326</f>
        <v>IMPREGNANTE PENTA STAIN + INSECTICIDA SATINADO ROBLE X  4</v>
      </c>
      <c r="C3326" s="1" t="str">
        <f>'001'!D3326</f>
        <v>0138</v>
      </c>
      <c r="D3326" s="3" t="e">
        <f>'001'!H3326</f>
        <v>#VALUE!</v>
      </c>
    </row>
    <row r="3327" spans="1:4" x14ac:dyDescent="0.25">
      <c r="A3327" s="1" t="str">
        <f>'001'!B3327</f>
        <v>004911</v>
      </c>
      <c r="B3327" s="1" t="str">
        <f>'001'!C3327</f>
        <v>IMPREGNANTE PENTA STAIN + INSECTICIDA SATINADO ROBLE X 10</v>
      </c>
      <c r="C3327" s="1" t="str">
        <f>'001'!D3327</f>
        <v>0138</v>
      </c>
      <c r="D3327" s="3" t="e">
        <f>'001'!H3327</f>
        <v>#VALUE!</v>
      </c>
    </row>
    <row r="3328" spans="1:4" x14ac:dyDescent="0.25">
      <c r="A3328" s="1" t="str">
        <f>'001'!B3328</f>
        <v>004912</v>
      </c>
      <c r="B3328" s="1" t="str">
        <f>'001'!C3328</f>
        <v>IMPREGNANTE PENTA STAIN + INSECTICIDA SATINADO ROBLE X 20</v>
      </c>
      <c r="C3328" s="1" t="str">
        <f>'001'!D3328</f>
        <v>0138</v>
      </c>
      <c r="D3328" s="3" t="e">
        <f>'001'!H3328</f>
        <v>#VALUE!</v>
      </c>
    </row>
    <row r="3329" spans="1:4" x14ac:dyDescent="0.25">
      <c r="A3329" s="1" t="str">
        <f>'001'!B3329</f>
        <v>004913</v>
      </c>
      <c r="B3329" s="1" t="str">
        <f>'001'!C3329</f>
        <v>IMPERMEABILIZANTE PARA TECHOS PLAVICON FIBRADO SILICONA BLANCO X  4</v>
      </c>
      <c r="C3329" s="1" t="str">
        <f>'001'!D3329</f>
        <v>0139</v>
      </c>
      <c r="D3329" s="3" t="e">
        <f>'001'!H3329</f>
        <v>#VALUE!</v>
      </c>
    </row>
    <row r="3330" spans="1:4" x14ac:dyDescent="0.25">
      <c r="A3330" s="1" t="str">
        <f>'001'!B3330</f>
        <v>004914</v>
      </c>
      <c r="B3330" s="1" t="str">
        <f>'001'!C3330</f>
        <v>IMPERMEABILIZANTE PARA TECHOS PLAVICON FIBRADO SILICONA BLANCO X 20</v>
      </c>
      <c r="C3330" s="1" t="str">
        <f>'001'!D3330</f>
        <v>0139</v>
      </c>
      <c r="D3330" s="3" t="e">
        <f>'001'!H3330</f>
        <v>#VALUE!</v>
      </c>
    </row>
    <row r="3331" spans="1:4" x14ac:dyDescent="0.25">
      <c r="A3331" s="1" t="str">
        <f>'001'!B3331</f>
        <v>004917</v>
      </c>
      <c r="B3331" s="1" t="str">
        <f>'001'!C3331</f>
        <v>ADITICO VINILICO MULTIUSO TACURU BLANCO X  1</v>
      </c>
      <c r="C3331" s="1" t="str">
        <f>'001'!D3331</f>
        <v>0163</v>
      </c>
      <c r="D3331" s="3" t="e">
        <f>'001'!H3331</f>
        <v>#VALUE!</v>
      </c>
    </row>
    <row r="3332" spans="1:4" x14ac:dyDescent="0.25">
      <c r="A3332" s="1" t="str">
        <f>'001'!B3332</f>
        <v>004918</v>
      </c>
      <c r="B3332" s="1" t="str">
        <f>'001'!C3332</f>
        <v>ADITICO VINILICO MULTIUSO TACURU BLANCO X  4</v>
      </c>
      <c r="C3332" s="1" t="str">
        <f>'001'!D3332</f>
        <v>0163</v>
      </c>
      <c r="D3332" s="3" t="e">
        <f>'001'!H3332</f>
        <v>#VALUE!</v>
      </c>
    </row>
    <row r="3333" spans="1:4" x14ac:dyDescent="0.25">
      <c r="A3333" s="1" t="str">
        <f>'001'!B3333</f>
        <v>004919</v>
      </c>
      <c r="B3333" s="1" t="str">
        <f>'001'!C3333</f>
        <v>ADITICO VINILICO MULTIUSO TACURU BLANCO X 10</v>
      </c>
      <c r="C3333" s="1" t="str">
        <f>'001'!D3333</f>
        <v>0163</v>
      </c>
      <c r="D3333" s="3" t="e">
        <f>'001'!H3333</f>
        <v>#VALUE!</v>
      </c>
    </row>
    <row r="3334" spans="1:4" x14ac:dyDescent="0.25">
      <c r="A3334" s="1" t="str">
        <f>'001'!B3334</f>
        <v>004920</v>
      </c>
      <c r="B3334" s="1" t="str">
        <f>'001'!C3334</f>
        <v>ADITICO VINILICO MULTIUSO TACURU BLANCO X 20</v>
      </c>
      <c r="C3334" s="1" t="str">
        <f>'001'!D3334</f>
        <v>0163</v>
      </c>
      <c r="D3334" s="3" t="e">
        <f>'001'!H3334</f>
        <v>#VALUE!</v>
      </c>
    </row>
    <row r="3335" spans="1:4" x14ac:dyDescent="0.25">
      <c r="A3335" s="1" t="str">
        <f>'001'!B3335</f>
        <v>004921</v>
      </c>
      <c r="B3335" s="1" t="str">
        <f>'001'!C3335</f>
        <v>ADITICO VINILICO MULTIUSO TACURU BLANCO X 200</v>
      </c>
      <c r="C3335" s="1" t="str">
        <f>'001'!D3335</f>
        <v>0163</v>
      </c>
      <c r="D3335" s="3" t="e">
        <f>'001'!H3335</f>
        <v>#VALUE!</v>
      </c>
    </row>
    <row r="3336" spans="1:4" x14ac:dyDescent="0.25">
      <c r="A3336" s="1" t="str">
        <f>'001'!B3336</f>
        <v>004922</v>
      </c>
      <c r="B3336" s="1" t="str">
        <f>'001'!C3336</f>
        <v>MORTERO DE ASIENTO WEBER MULTIUSO PLUS GRIS X 30</v>
      </c>
      <c r="C3336" s="1" t="str">
        <f>'001'!D3336</f>
        <v>0163</v>
      </c>
      <c r="D3336" s="3" t="e">
        <f>'001'!H3336</f>
        <v>#VALUE!</v>
      </c>
    </row>
    <row r="3337" spans="1:4" x14ac:dyDescent="0.25">
      <c r="A3337" s="1" t="str">
        <f>'001'!B3337</f>
        <v>004923</v>
      </c>
      <c r="B3337" s="1" t="str">
        <f>'001'!C3337</f>
        <v>MORTERO FACIL NIVELACION WEBER RAS GRIS X 30</v>
      </c>
      <c r="C3337" s="1" t="str">
        <f>'001'!D3337</f>
        <v>0163</v>
      </c>
      <c r="D3337" s="3" t="e">
        <f>'001'!H3337</f>
        <v>#VALUE!</v>
      </c>
    </row>
    <row r="3338" spans="1:4" x14ac:dyDescent="0.25">
      <c r="A3338" s="1" t="str">
        <f>'001'!B3338</f>
        <v>004924</v>
      </c>
      <c r="B3338" s="1" t="str">
        <f>'001'!C3338</f>
        <v>PROMOTOR DE ADHERENCIA WEBER PRIMER BLANCO X 10</v>
      </c>
      <c r="C3338" s="1" t="str">
        <f>'001'!D3338</f>
        <v>0163</v>
      </c>
      <c r="D3338" s="3" t="e">
        <f>'001'!H3338</f>
        <v>#VALUE!</v>
      </c>
    </row>
    <row r="3339" spans="1:4" x14ac:dyDescent="0.25">
      <c r="A3339" s="1" t="str">
        <f>'001'!B3339</f>
        <v>004926</v>
      </c>
      <c r="B3339" s="1" t="str">
        <f>'001'!C3339</f>
        <v>ESMALTE SINTETICO TERSUAVE 2EN1 METALIZADO GRAFITO X 1</v>
      </c>
      <c r="C3339" s="1" t="str">
        <f>'001'!D3339</f>
        <v>0152</v>
      </c>
      <c r="D3339" s="3" t="e">
        <f>'001'!H3339</f>
        <v>#VALUE!</v>
      </c>
    </row>
    <row r="3340" spans="1:4" x14ac:dyDescent="0.25">
      <c r="A3340" s="1" t="str">
        <f>'001'!B3340</f>
        <v>004927</v>
      </c>
      <c r="B3340" s="1" t="str">
        <f>'001'!C3340</f>
        <v>ESMALTE SINTETICO TERSUAVE 2EN1 METALIZADO GRAFITO X 4</v>
      </c>
      <c r="C3340" s="1" t="str">
        <f>'001'!D3340</f>
        <v>0152</v>
      </c>
      <c r="D3340" s="3" t="e">
        <f>'001'!H3340</f>
        <v>#VALUE!</v>
      </c>
    </row>
    <row r="3341" spans="1:4" x14ac:dyDescent="0.25">
      <c r="A3341" s="1" t="str">
        <f>'001'!B3341</f>
        <v>004929</v>
      </c>
      <c r="B3341" s="1" t="str">
        <f>'001'!C3341</f>
        <v>MORTERO DE ALBANILERIA WEBER MULTIUSO GRIS X 25</v>
      </c>
      <c r="C3341" s="1" t="str">
        <f>'001'!D3341</f>
        <v>0163</v>
      </c>
      <c r="D3341" s="3" t="e">
        <f>'001'!H3341</f>
        <v>#VALUE!</v>
      </c>
    </row>
    <row r="3342" spans="1:4" x14ac:dyDescent="0.25">
      <c r="A3342" s="1" t="str">
        <f>'001'!B3342</f>
        <v>004931</v>
      </c>
      <c r="B3342" s="1" t="str">
        <f>'001'!C3342</f>
        <v>ESMALTE EPOXI TERSUAVE INDULAC GRIS INDUSTRIAL X 20</v>
      </c>
      <c r="C3342" s="1" t="str">
        <f>'001'!D3342</f>
        <v>0152</v>
      </c>
      <c r="D3342" s="3" t="e">
        <f>'001'!H3342</f>
        <v>#VALUE!</v>
      </c>
    </row>
    <row r="3343" spans="1:4" x14ac:dyDescent="0.25">
      <c r="A3343" s="1" t="str">
        <f>'001'!B3343</f>
        <v>004932</v>
      </c>
      <c r="B3343" s="1" t="str">
        <f>'001'!C3343</f>
        <v>RODILLO LUMAR LANA SATINADO MARRON 10(1300/A)</v>
      </c>
      <c r="C3343" s="1" t="str">
        <f>'001'!D3343</f>
        <v>0128</v>
      </c>
      <c r="D3343" s="3" t="e">
        <f>'001'!H3343</f>
        <v>#VALUE!</v>
      </c>
    </row>
    <row r="3344" spans="1:4" x14ac:dyDescent="0.25">
      <c r="A3344" s="1" t="str">
        <f>'001'!B3344</f>
        <v>004933</v>
      </c>
      <c r="B3344" s="1" t="str">
        <f>'001'!C3344</f>
        <v>RODILLO LUMAR LANA SATINADO MARRON 17(1300/B)</v>
      </c>
      <c r="C3344" s="1" t="str">
        <f>'001'!D3344</f>
        <v>0128</v>
      </c>
      <c r="D3344" s="3" t="e">
        <f>'001'!H3344</f>
        <v>#VALUE!</v>
      </c>
    </row>
    <row r="3345" spans="1:4" x14ac:dyDescent="0.25">
      <c r="A3345" s="1" t="str">
        <f>'001'!B3345</f>
        <v>004934</v>
      </c>
      <c r="B3345" s="1" t="str">
        <f>'001'!C3345</f>
        <v>RODILLO LUMAR LANA SATINADO MARRON 22(1300/C)</v>
      </c>
      <c r="C3345" s="1" t="str">
        <f>'001'!D3345</f>
        <v>0128</v>
      </c>
      <c r="D3345" s="3" t="e">
        <f>'001'!H3345</f>
        <v>#VALUE!</v>
      </c>
    </row>
    <row r="3346" spans="1:4" x14ac:dyDescent="0.25">
      <c r="A3346" s="1" t="str">
        <f>'001'!B3346</f>
        <v>004939</v>
      </c>
      <c r="B3346" s="1" t="str">
        <f>'001'!C3346</f>
        <v>MALLA FIBRA DE VIDRIO  R-FV90 5X5MM 1X50M</v>
      </c>
      <c r="C3346" s="1" t="str">
        <f>'001'!D3346</f>
        <v>0188</v>
      </c>
      <c r="D3346" s="3" t="e">
        <f>'001'!H3346</f>
        <v>#VALUE!</v>
      </c>
    </row>
    <row r="3347" spans="1:4" x14ac:dyDescent="0.25">
      <c r="A3347" s="1" t="str">
        <f>'001'!B3347</f>
        <v>004940</v>
      </c>
      <c r="B3347" s="1" t="str">
        <f>'001'!C3347</f>
        <v>MALLA FIBRA DE VIDRIO R-FV110 10X10MM 1X50M</v>
      </c>
      <c r="C3347" s="1" t="str">
        <f>'001'!D3347</f>
        <v>0188</v>
      </c>
      <c r="D3347" s="3" t="e">
        <f>'001'!H3347</f>
        <v>#VALUE!</v>
      </c>
    </row>
    <row r="3348" spans="1:4" x14ac:dyDescent="0.25">
      <c r="A3348" s="1" t="str">
        <f>'001'!B3348</f>
        <v>004942</v>
      </c>
      <c r="B3348" s="1" t="str">
        <f>'001'!C3348</f>
        <v>BP-01A.01 BASE TRANSPARENTE POLIESTER X 3,500</v>
      </c>
      <c r="C3348" s="1" t="str">
        <f>'001'!D3348</f>
        <v>0132</v>
      </c>
      <c r="D3348" s="3" t="e">
        <f>'001'!H3348</f>
        <v>#VALUE!</v>
      </c>
    </row>
    <row r="3349" spans="1:4" x14ac:dyDescent="0.25">
      <c r="A3349" s="1" t="str">
        <f>'001'!B3349</f>
        <v>004945</v>
      </c>
      <c r="B3349" s="1" t="str">
        <f>'001'!C3349</f>
        <v>RECUBRIMIENTO ATERMIK REFLECTIVO PLAVICON BLANCO X 20</v>
      </c>
      <c r="C3349" s="1" t="str">
        <f>'001'!D3349</f>
        <v>0139</v>
      </c>
      <c r="D3349" s="3" t="e">
        <f>'001'!H3349</f>
        <v>#VALUE!</v>
      </c>
    </row>
    <row r="3350" spans="1:4" x14ac:dyDescent="0.25">
      <c r="A3350" s="1" t="str">
        <f>'001'!B3350</f>
        <v>004948</v>
      </c>
      <c r="B3350" s="1" t="str">
        <f>'001'!C3350</f>
        <v>LACA PARA PISO PU PLASTILUX Q501 BRILLANTE X 10</v>
      </c>
      <c r="C3350" s="1" t="str">
        <f>'001'!D3350</f>
        <v>0138</v>
      </c>
      <c r="D3350" s="3" t="e">
        <f>'001'!H3350</f>
        <v>#VALUE!</v>
      </c>
    </row>
    <row r="3351" spans="1:4" x14ac:dyDescent="0.25">
      <c r="A3351" s="1" t="str">
        <f>'001'!B3351</f>
        <v>004953</v>
      </c>
      <c r="B3351" s="1" t="str">
        <f>'001'!C3351</f>
        <v>PINTURA PARA PILETA PLAVICON AL AGUA MATE AZUL CARIBE X  1</v>
      </c>
      <c r="C3351" s="1" t="str">
        <f>'001'!D3351</f>
        <v>0139</v>
      </c>
      <c r="D3351" s="3" t="e">
        <f>'001'!H3351</f>
        <v>#VALUE!</v>
      </c>
    </row>
    <row r="3352" spans="1:4" x14ac:dyDescent="0.25">
      <c r="A3352" s="1" t="str">
        <f>'001'!B3352</f>
        <v>004954</v>
      </c>
      <c r="B3352" s="1" t="str">
        <f>'001'!C3352</f>
        <v>PINTURA PARA PILETA PLAVICON AL AGUA MATE AZUL CARIBE X  4</v>
      </c>
      <c r="C3352" s="1" t="str">
        <f>'001'!D3352</f>
        <v>0139</v>
      </c>
      <c r="D3352" s="3" t="e">
        <f>'001'!H3352</f>
        <v>#VALUE!</v>
      </c>
    </row>
    <row r="3353" spans="1:4" x14ac:dyDescent="0.25">
      <c r="A3353" s="1" t="str">
        <f>'001'!B3353</f>
        <v>004955</v>
      </c>
      <c r="B3353" s="1" t="str">
        <f>'001'!C3353</f>
        <v>PINTURA PARA PILETA PLAVICON AL AGUA MATE AZUL CARIBE X 10</v>
      </c>
      <c r="C3353" s="1" t="str">
        <f>'001'!D3353</f>
        <v>0139</v>
      </c>
      <c r="D3353" s="3" t="e">
        <f>'001'!H3353</f>
        <v>#VALUE!</v>
      </c>
    </row>
    <row r="3354" spans="1:4" x14ac:dyDescent="0.25">
      <c r="A3354" s="1" t="str">
        <f>'001'!B3354</f>
        <v>004956</v>
      </c>
      <c r="B3354" s="1" t="str">
        <f>'001'!C3354</f>
        <v>PINTURA PARA PILETA PLAVICON AL AGUA MATE AZUL CARIBE X 20</v>
      </c>
      <c r="C3354" s="1" t="str">
        <f>'001'!D3354</f>
        <v>0139</v>
      </c>
      <c r="D3354" s="3" t="e">
        <f>'001'!H3354</f>
        <v>#VALUE!</v>
      </c>
    </row>
    <row r="3355" spans="1:4" x14ac:dyDescent="0.25">
      <c r="A3355" s="1" t="str">
        <f>'001'!B3355</f>
        <v>004957</v>
      </c>
      <c r="B3355" s="1" t="str">
        <f>'001'!C3355</f>
        <v>PINTURA PARA PILETA PLAVICON AL AGUA MATE BLANCO X  1</v>
      </c>
      <c r="C3355" s="1" t="str">
        <f>'001'!D3355</f>
        <v>0139</v>
      </c>
      <c r="D3355" s="3" t="e">
        <f>'001'!H3355</f>
        <v>#VALUE!</v>
      </c>
    </row>
    <row r="3356" spans="1:4" x14ac:dyDescent="0.25">
      <c r="A3356" s="1" t="str">
        <f>'001'!B3356</f>
        <v>004958</v>
      </c>
      <c r="B3356" s="1" t="str">
        <f>'001'!C3356</f>
        <v>PINTURA PARA PILETA PLAVICON AL AGUA MATE BLANCO X  4</v>
      </c>
      <c r="C3356" s="1" t="str">
        <f>'001'!D3356</f>
        <v>0139</v>
      </c>
      <c r="D3356" s="3" t="e">
        <f>'001'!H3356</f>
        <v>#VALUE!</v>
      </c>
    </row>
    <row r="3357" spans="1:4" x14ac:dyDescent="0.25">
      <c r="A3357" s="1" t="str">
        <f>'001'!B3357</f>
        <v>004959</v>
      </c>
      <c r="B3357" s="1" t="str">
        <f>'001'!C3357</f>
        <v>PINTURA PARA PILETA PLAVICON AL AGUA MATE BLANCO X 10</v>
      </c>
      <c r="C3357" s="1" t="str">
        <f>'001'!D3357</f>
        <v>0139</v>
      </c>
      <c r="D3357" s="3" t="e">
        <f>'001'!H3357</f>
        <v>#VALUE!</v>
      </c>
    </row>
    <row r="3358" spans="1:4" x14ac:dyDescent="0.25">
      <c r="A3358" s="1" t="str">
        <f>'001'!B3358</f>
        <v>004960</v>
      </c>
      <c r="B3358" s="1" t="str">
        <f>'001'!C3358</f>
        <v>PINTURA PARA PILETA PLAVICON AL AGUA MATE BLANCO X 20</v>
      </c>
      <c r="C3358" s="1" t="str">
        <f>'001'!D3358</f>
        <v>0139</v>
      </c>
      <c r="D3358" s="3" t="e">
        <f>'001'!H3358</f>
        <v>#VALUE!</v>
      </c>
    </row>
    <row r="3359" spans="1:4" x14ac:dyDescent="0.25">
      <c r="A3359" s="1" t="str">
        <f>'001'!B3359</f>
        <v>004961</v>
      </c>
      <c r="B3359" s="1" t="str">
        <f>'001'!C3359</f>
        <v>PINTURA PARA PILETA PLAVICON AL AGUA MATE ARENA X  1</v>
      </c>
      <c r="C3359" s="1" t="str">
        <f>'001'!D3359</f>
        <v>0139</v>
      </c>
      <c r="D3359" s="3" t="e">
        <f>'001'!H3359</f>
        <v>#VALUE!</v>
      </c>
    </row>
    <row r="3360" spans="1:4" x14ac:dyDescent="0.25">
      <c r="A3360" s="1" t="str">
        <f>'001'!B3360</f>
        <v>004962</v>
      </c>
      <c r="B3360" s="1" t="str">
        <f>'001'!C3360</f>
        <v>PINTURA PARA PILETA PLAVICON AL AGUA MATE ARENA X  4</v>
      </c>
      <c r="C3360" s="1" t="str">
        <f>'001'!D3360</f>
        <v>0139</v>
      </c>
      <c r="D3360" s="3" t="e">
        <f>'001'!H3360</f>
        <v>#VALUE!</v>
      </c>
    </row>
    <row r="3361" spans="1:4" x14ac:dyDescent="0.25">
      <c r="A3361" s="1" t="str">
        <f>'001'!B3361</f>
        <v>004963</v>
      </c>
      <c r="B3361" s="1" t="str">
        <f>'001'!C3361</f>
        <v>PINTURA PARA PILETA PLAVICON AL AGUA MATE ARENA X 10</v>
      </c>
      <c r="C3361" s="1" t="str">
        <f>'001'!D3361</f>
        <v>0139</v>
      </c>
      <c r="D3361" s="3" t="e">
        <f>'001'!H3361</f>
        <v>#VALUE!</v>
      </c>
    </row>
    <row r="3362" spans="1:4" x14ac:dyDescent="0.25">
      <c r="A3362" s="1" t="str">
        <f>'001'!B3362</f>
        <v>004964</v>
      </c>
      <c r="B3362" s="1" t="str">
        <f>'001'!C3362</f>
        <v>PINTURA PARA PILETA PLAVICON AL AGUA MATE ARENA X 20</v>
      </c>
      <c r="C3362" s="1" t="str">
        <f>'001'!D3362</f>
        <v>0139</v>
      </c>
      <c r="D3362" s="3" t="e">
        <f>'001'!H3362</f>
        <v>#VALUE!</v>
      </c>
    </row>
    <row r="3363" spans="1:4" x14ac:dyDescent="0.25">
      <c r="A3363" s="1" t="str">
        <f>'001'!B3363</f>
        <v>004965</v>
      </c>
      <c r="B3363" s="1" t="str">
        <f>'001'!C3363</f>
        <v>PINTURA PARA PILETA PLAVICON AL AGUA MATE AZUL PROFUNDO X  1</v>
      </c>
      <c r="C3363" s="1" t="str">
        <f>'001'!D3363</f>
        <v>0139</v>
      </c>
      <c r="D3363" s="3" t="e">
        <f>'001'!H3363</f>
        <v>#VALUE!</v>
      </c>
    </row>
    <row r="3364" spans="1:4" x14ac:dyDescent="0.25">
      <c r="A3364" s="1" t="str">
        <f>'001'!B3364</f>
        <v>004966</v>
      </c>
      <c r="B3364" s="1" t="str">
        <f>'001'!C3364</f>
        <v>PINTURA PARA PILETA PLAVICON AL AGUA MATE AZUL PROFUNDO X  4</v>
      </c>
      <c r="C3364" s="1" t="str">
        <f>'001'!D3364</f>
        <v>0139</v>
      </c>
      <c r="D3364" s="3" t="e">
        <f>'001'!H3364</f>
        <v>#VALUE!</v>
      </c>
    </row>
    <row r="3365" spans="1:4" x14ac:dyDescent="0.25">
      <c r="A3365" s="1" t="str">
        <f>'001'!B3365</f>
        <v>004967</v>
      </c>
      <c r="B3365" s="1" t="str">
        <f>'001'!C3365</f>
        <v>PINTURA PARA PILETA PLAVICON AL AGUA MATE AZUL PROFUNDO X 10</v>
      </c>
      <c r="C3365" s="1" t="str">
        <f>'001'!D3365</f>
        <v>0139</v>
      </c>
      <c r="D3365" s="3" t="e">
        <f>'001'!H3365</f>
        <v>#VALUE!</v>
      </c>
    </row>
    <row r="3366" spans="1:4" x14ac:dyDescent="0.25">
      <c r="A3366" s="1" t="str">
        <f>'001'!B3366</f>
        <v>004968</v>
      </c>
      <c r="B3366" s="1" t="str">
        <f>'001'!C3366</f>
        <v>PINTURA PARA PILETA PLAVICON AL AGUA MATE AZUL PROFUNDO X 20</v>
      </c>
      <c r="C3366" s="1" t="str">
        <f>'001'!D3366</f>
        <v>0139</v>
      </c>
      <c r="D3366" s="3" t="e">
        <f>'001'!H3366</f>
        <v>#VALUE!</v>
      </c>
    </row>
    <row r="3367" spans="1:4" x14ac:dyDescent="0.25">
      <c r="A3367" s="1" t="str">
        <f>'001'!B3367</f>
        <v>004969</v>
      </c>
      <c r="B3367" s="1" t="str">
        <f>'001'!C3367</f>
        <v>PINTURA PARA PILETA PLAVICON AL AGUA MATE VERDE ESMERALDA X  1</v>
      </c>
      <c r="C3367" s="1" t="str">
        <f>'001'!D3367</f>
        <v>0139</v>
      </c>
      <c r="D3367" s="3" t="e">
        <f>'001'!H3367</f>
        <v>#VALUE!</v>
      </c>
    </row>
    <row r="3368" spans="1:4" x14ac:dyDescent="0.25">
      <c r="A3368" s="1" t="str">
        <f>'001'!B3368</f>
        <v>004970</v>
      </c>
      <c r="B3368" s="1" t="str">
        <f>'001'!C3368</f>
        <v>PINTURA PARA PILETA PLAVICON AL AGUA MATE VERDE ESMERALDA X  4</v>
      </c>
      <c r="C3368" s="1" t="str">
        <f>'001'!D3368</f>
        <v>0139</v>
      </c>
      <c r="D3368" s="3" t="e">
        <f>'001'!H3368</f>
        <v>#VALUE!</v>
      </c>
    </row>
    <row r="3369" spans="1:4" x14ac:dyDescent="0.25">
      <c r="A3369" s="1" t="str">
        <f>'001'!B3369</f>
        <v>004971</v>
      </c>
      <c r="B3369" s="1" t="str">
        <f>'001'!C3369</f>
        <v>PINTURA PARA PILETA PLAVICON AL AGUA MATE VERDE ESMERALDA X 10</v>
      </c>
      <c r="C3369" s="1" t="str">
        <f>'001'!D3369</f>
        <v>0139</v>
      </c>
      <c r="D3369" s="3" t="e">
        <f>'001'!H3369</f>
        <v>#VALUE!</v>
      </c>
    </row>
    <row r="3370" spans="1:4" x14ac:dyDescent="0.25">
      <c r="A3370" s="1" t="str">
        <f>'001'!B3370</f>
        <v>004972</v>
      </c>
      <c r="B3370" s="1" t="str">
        <f>'001'!C3370</f>
        <v>PINTURA PARA PILETA PLAVICON AL AGUA MATE VERDE ESMERALDA X 20</v>
      </c>
      <c r="C3370" s="1" t="str">
        <f>'001'!D3370</f>
        <v>0139</v>
      </c>
      <c r="D3370" s="3" t="e">
        <f>'001'!H3370</f>
        <v>#VALUE!</v>
      </c>
    </row>
    <row r="3371" spans="1:4" x14ac:dyDescent="0.25">
      <c r="A3371" s="1" t="str">
        <f>'001'!B3371</f>
        <v>004993</v>
      </c>
      <c r="B3371" s="1" t="str">
        <f>'001'!C3371</f>
        <v>TRANSEPOXI TERSUAVE INDULAC X 8</v>
      </c>
      <c r="C3371" s="1" t="str">
        <f>'001'!D3371</f>
        <v>0152</v>
      </c>
      <c r="D3371" s="3" t="e">
        <f>'001'!H3371</f>
        <v>#VALUE!</v>
      </c>
    </row>
    <row r="3372" spans="1:4" x14ac:dyDescent="0.25">
      <c r="A3372" s="1" t="str">
        <f>'001'!B3372</f>
        <v>004994</v>
      </c>
      <c r="B3372" s="1" t="str">
        <f>'001'!C3372</f>
        <v>PEGAMENTO RAPIDO WEBER PISO SOBRE PISO 12 HS. GRIS X 25</v>
      </c>
      <c r="C3372" s="1" t="str">
        <f>'001'!D3372</f>
        <v>0163</v>
      </c>
      <c r="D3372" s="3" t="e">
        <f>'001'!H3372</f>
        <v>#VALUE!</v>
      </c>
    </row>
    <row r="3373" spans="1:4" x14ac:dyDescent="0.25">
      <c r="A3373" s="1" t="str">
        <f>'001'!B3373</f>
        <v>004994</v>
      </c>
      <c r="B3373" s="1" t="str">
        <f>'001'!C3373</f>
        <v>PEGAMENTO RAPIDO WEBER PISO SOBRE PISO 12 HS. GRIS X 25</v>
      </c>
      <c r="C3373" s="1" t="str">
        <f>'001'!D3373</f>
        <v>0163</v>
      </c>
      <c r="D3373" s="3" t="e">
        <f>'001'!H3373</f>
        <v>#VALUE!</v>
      </c>
    </row>
    <row r="3374" spans="1:4" x14ac:dyDescent="0.25">
      <c r="A3374" s="1" t="str">
        <f>'001'!B3374</f>
        <v>004995</v>
      </c>
      <c r="B3374" s="1" t="str">
        <f>'001'!C3374</f>
        <v>PEGAMENTO FLEX.PIEZAS H.60X120 WEBER FLEX PORCELLANATO GRIS X 25</v>
      </c>
      <c r="C3374" s="1" t="str">
        <f>'001'!D3374</f>
        <v>0163</v>
      </c>
      <c r="D3374" s="3" t="e">
        <f>'001'!H3374</f>
        <v>#VALUE!</v>
      </c>
    </row>
    <row r="3375" spans="1:4" x14ac:dyDescent="0.25">
      <c r="A3375" s="1" t="str">
        <f>'001'!B3375</f>
        <v>004997</v>
      </c>
      <c r="B3375" s="1" t="str">
        <f>'001'!C3375</f>
        <v>EPOXY BASE AGUA HP 5300 RUST OLEUM BLANCO X 3,78 (5392408)</v>
      </c>
      <c r="C3375" s="1" t="str">
        <f>'001'!D3375</f>
        <v>0902</v>
      </c>
      <c r="D3375" s="3" t="e">
        <f>'001'!H3375</f>
        <v>#VALUE!</v>
      </c>
    </row>
    <row r="3376" spans="1:4" x14ac:dyDescent="0.25">
      <c r="A3376" s="1" t="str">
        <f>'001'!B3376</f>
        <v>004998</v>
      </c>
      <c r="B3376" s="1" t="str">
        <f>'001'!C3376</f>
        <v>IMPERMEABILIZANTE PARA TECHOS ALBAFRENT SATINADO BLANCO X  4</v>
      </c>
      <c r="C3376" s="1" t="str">
        <f>'001'!D3376</f>
        <v>0107</v>
      </c>
      <c r="D3376" s="3" t="e">
        <f>'001'!H3376</f>
        <v>#VALUE!</v>
      </c>
    </row>
    <row r="3377" spans="1:4" x14ac:dyDescent="0.25">
      <c r="A3377" s="1" t="str">
        <f>'001'!B3377</f>
        <v>004999</v>
      </c>
      <c r="B3377" s="1" t="str">
        <f>'001'!C3377</f>
        <v>IMPERMEABILIZANTE PARA TECHOS ALBAFRENT SATINADO BLANCO X 10</v>
      </c>
      <c r="C3377" s="1" t="str">
        <f>'001'!D3377</f>
        <v>0107</v>
      </c>
      <c r="D3377" s="3" t="e">
        <f>'001'!H3377</f>
        <v>#VALUE!</v>
      </c>
    </row>
    <row r="3378" spans="1:4" x14ac:dyDescent="0.25">
      <c r="A3378" s="1" t="str">
        <f>'001'!B3378</f>
        <v>005000</v>
      </c>
      <c r="B3378" s="1" t="str">
        <f>'001'!C3378</f>
        <v>IMPERMEABILIZANTE PARA TECHOS ALBAFRENT SATINADO BLANCO X 20</v>
      </c>
      <c r="C3378" s="1" t="str">
        <f>'001'!D3378</f>
        <v>0107</v>
      </c>
      <c r="D3378" s="3" t="e">
        <f>'001'!H3378</f>
        <v>#VALUE!</v>
      </c>
    </row>
    <row r="3379" spans="1:4" x14ac:dyDescent="0.25">
      <c r="A3379" s="1" t="str">
        <f>'001'!B3379</f>
        <v>005001</v>
      </c>
      <c r="B3379" s="1" t="str">
        <f>'001'!C3379</f>
        <v>DX101 PASTA DE LIJADO X 0,325</v>
      </c>
      <c r="C3379" s="1" t="str">
        <f>'001'!D3379</f>
        <v>0134</v>
      </c>
      <c r="D3379" s="3" t="e">
        <f>'001'!H3379</f>
        <v>#VALUE!</v>
      </c>
    </row>
    <row r="3380" spans="1:4" x14ac:dyDescent="0.25">
      <c r="A3380" s="1" t="str">
        <f>'001'!B3380</f>
        <v>005002</v>
      </c>
      <c r="B3380" s="1" t="str">
        <f>'001'!C3380</f>
        <v>PASTINA EPOXI WEBER MAX NEGRO X 3</v>
      </c>
      <c r="C3380" s="1" t="str">
        <f>'001'!D3380</f>
        <v>0163</v>
      </c>
      <c r="D3380" s="3" t="e">
        <f>'001'!H3380</f>
        <v>#VALUE!</v>
      </c>
    </row>
    <row r="3381" spans="1:4" x14ac:dyDescent="0.25">
      <c r="A3381" s="1" t="str">
        <f>'001'!B3381</f>
        <v>005003</v>
      </c>
      <c r="B3381" s="1" t="str">
        <f>'001'!C3381</f>
        <v>PASTINA EPOXI WEBER MAX GRIS PERLA X 3</v>
      </c>
      <c r="C3381" s="1" t="str">
        <f>'001'!D3381</f>
        <v>0163</v>
      </c>
      <c r="D3381" s="3" t="e">
        <f>'001'!H3381</f>
        <v>#VALUE!</v>
      </c>
    </row>
    <row r="3382" spans="1:4" x14ac:dyDescent="0.25">
      <c r="A3382" s="1" t="str">
        <f>'001'!B3382</f>
        <v>005004</v>
      </c>
      <c r="B3382" s="1" t="str">
        <f>'001'!C3382</f>
        <v>PASTINA EPOXI WEBER MAX HUESO X 3</v>
      </c>
      <c r="C3382" s="1" t="str">
        <f>'001'!D3382</f>
        <v>0163</v>
      </c>
      <c r="D3382" s="3" t="e">
        <f>'001'!H3382</f>
        <v>#VALUE!</v>
      </c>
    </row>
    <row r="3383" spans="1:4" x14ac:dyDescent="0.25">
      <c r="A3383" s="1" t="str">
        <f>'001'!B3383</f>
        <v>005005</v>
      </c>
      <c r="B3383" s="1" t="str">
        <f>'001'!C3383</f>
        <v>PASTINA EPOXI WEBER MAX NIEVE X 3</v>
      </c>
      <c r="C3383" s="1" t="str">
        <f>'001'!D3383</f>
        <v>0163</v>
      </c>
      <c r="D3383" s="3" t="e">
        <f>'001'!H3383</f>
        <v>#VALUE!</v>
      </c>
    </row>
    <row r="3384" spans="1:4" x14ac:dyDescent="0.25">
      <c r="A3384" s="1" t="str">
        <f>'001'!B3384</f>
        <v>005009</v>
      </c>
      <c r="B3384" s="1" t="str">
        <f>'001'!C3384</f>
        <v>ANTEOJO ROGUANT SPHEREXSG-51M ELVEX (200416)</v>
      </c>
      <c r="C3384" s="1" t="str">
        <f>'001'!D3384</f>
        <v>0143</v>
      </c>
      <c r="D3384" s="3" t="e">
        <f>'001'!H3384</f>
        <v>#VALUE!</v>
      </c>
    </row>
    <row r="3385" spans="1:4" x14ac:dyDescent="0.25">
      <c r="A3385" s="1" t="str">
        <f>'001'!B3385</f>
        <v>005012</v>
      </c>
      <c r="B3385" s="1" t="str">
        <f>'001'!C3385</f>
        <v>D8731/E0.4  DIFUMINANTE EN AEROSOL PU X 0,400 (D8730/E0.4)</v>
      </c>
      <c r="C3385" s="1" t="str">
        <f>'001'!D3385</f>
        <v>0134</v>
      </c>
      <c r="D3385" s="3" t="e">
        <f>'001'!H3385</f>
        <v>#VALUE!</v>
      </c>
    </row>
    <row r="3386" spans="1:4" x14ac:dyDescent="0.25">
      <c r="A3386" s="1" t="str">
        <f>'001'!B3386</f>
        <v>005022</v>
      </c>
      <c r="B3386" s="1" t="str">
        <f>'001'!C3386</f>
        <v>PEGAMENTO WEBER IMPERMEABLE PIEZAS H.60X60 CERAMICO CON CERESITA X 25</v>
      </c>
      <c r="C3386" s="1" t="str">
        <f>'001'!D3386</f>
        <v>0163</v>
      </c>
      <c r="D3386" s="3" t="e">
        <f>'001'!H3386</f>
        <v>#VALUE!</v>
      </c>
    </row>
    <row r="3387" spans="1:4" x14ac:dyDescent="0.25">
      <c r="A3387" s="1" t="str">
        <f>'001'!B3387</f>
        <v>005023</v>
      </c>
      <c r="B3387" s="1" t="str">
        <f>'001'!C3387</f>
        <v>CAPA BASE NIVELADORA WEBERTHERM BASE COAT GRIS X 25</v>
      </c>
      <c r="C3387" s="1" t="str">
        <f>'001'!D3387</f>
        <v>0163</v>
      </c>
      <c r="D3387" s="3" t="e">
        <f>'001'!H3387</f>
        <v>#VALUE!</v>
      </c>
    </row>
    <row r="3388" spans="1:4" x14ac:dyDescent="0.25">
      <c r="A3388" s="1" t="str">
        <f>'001'!B3388</f>
        <v>005024</v>
      </c>
      <c r="B3388" s="1" t="str">
        <f>'001'!C3388</f>
        <v>CINTA AISLADORA DOBLE A  NEGRO (C146) 18MMX20MT</v>
      </c>
      <c r="C3388" s="1" t="str">
        <f>'001'!D3388</f>
        <v>0102</v>
      </c>
      <c r="D3388" s="3" t="e">
        <f>'001'!H3388</f>
        <v>#VALUE!</v>
      </c>
    </row>
    <row r="3389" spans="1:4" x14ac:dyDescent="0.25">
      <c r="A3389" s="1" t="str">
        <f>'001'!B3389</f>
        <v>005025</v>
      </c>
      <c r="B3389" s="1" t="str">
        <f>'001'!C3389</f>
        <v>CINTA AISLADORA DOBLE A NEGRO (C146) 18MMX10MT</v>
      </c>
      <c r="C3389" s="1" t="str">
        <f>'001'!D3389</f>
        <v>0102</v>
      </c>
      <c r="D3389" s="3" t="e">
        <f>'001'!H3389</f>
        <v>#VALUE!</v>
      </c>
    </row>
    <row r="3390" spans="1:4" x14ac:dyDescent="0.25">
      <c r="A3390" s="1" t="str">
        <f>'001'!B3390</f>
        <v>005026</v>
      </c>
      <c r="B3390" s="1" t="str">
        <f>'001'!C3390</f>
        <v>CINTA AISLADORA DOBLE A AMARILLO Y VERDE (C146) 18MMX10MT</v>
      </c>
      <c r="C3390" s="1" t="str">
        <f>'001'!D3390</f>
        <v>0102</v>
      </c>
      <c r="D3390" s="3" t="e">
        <f>'001'!H3390</f>
        <v>#VALUE!</v>
      </c>
    </row>
    <row r="3391" spans="1:4" x14ac:dyDescent="0.25">
      <c r="A3391" s="1" t="str">
        <f>'001'!B3391</f>
        <v>005027</v>
      </c>
      <c r="B3391" s="1" t="str">
        <f>'001'!C3391</f>
        <v>CINTA AISLADORA DOBLE A VERDE (C146) 18MMX10MT</v>
      </c>
      <c r="C3391" s="1" t="str">
        <f>'001'!D3391</f>
        <v>0102</v>
      </c>
      <c r="D3391" s="3" t="e">
        <f>'001'!H3391</f>
        <v>#VALUE!</v>
      </c>
    </row>
    <row r="3392" spans="1:4" x14ac:dyDescent="0.25">
      <c r="A3392" s="1" t="str">
        <f>'001'!B3392</f>
        <v>005028</v>
      </c>
      <c r="B3392" s="1" t="str">
        <f>'001'!C3392</f>
        <v>CINTA AISLADORA DOBLE A BLANCO (C146) 18MMX10MT</v>
      </c>
      <c r="C3392" s="1" t="str">
        <f>'001'!D3392</f>
        <v>0102</v>
      </c>
      <c r="D3392" s="3" t="e">
        <f>'001'!H3392</f>
        <v>#VALUE!</v>
      </c>
    </row>
    <row r="3393" spans="1:4" x14ac:dyDescent="0.25">
      <c r="A3393" s="1" t="str">
        <f>'001'!B3393</f>
        <v>005029</v>
      </c>
      <c r="B3393" s="1" t="str">
        <f>'001'!C3393</f>
        <v>CINTA AISLADORA DOBLE A AZUL (C146) 18MMX10MT</v>
      </c>
      <c r="C3393" s="1" t="str">
        <f>'001'!D3393</f>
        <v>0102</v>
      </c>
      <c r="D3393" s="3" t="e">
        <f>'001'!H3393</f>
        <v>#VALUE!</v>
      </c>
    </row>
    <row r="3394" spans="1:4" x14ac:dyDescent="0.25">
      <c r="A3394" s="1" t="str">
        <f>'001'!B3394</f>
        <v>005030</v>
      </c>
      <c r="B3394" s="1" t="str">
        <f>'001'!C3394</f>
        <v>CINTA AISLADORA DOBLE A MARRON (C146) 18MMX10MT</v>
      </c>
      <c r="C3394" s="1" t="str">
        <f>'001'!D3394</f>
        <v>0102</v>
      </c>
      <c r="D3394" s="3" t="e">
        <f>'001'!H3394</f>
        <v>#VALUE!</v>
      </c>
    </row>
    <row r="3395" spans="1:4" x14ac:dyDescent="0.25">
      <c r="A3395" s="1" t="str">
        <f>'001'!B3395</f>
        <v>005031</v>
      </c>
      <c r="B3395" s="1" t="str">
        <f>'001'!C3395</f>
        <v>CINTA AISLADORA DOBLE A ROJO CERAMICO (C146) 18MMX10MT</v>
      </c>
      <c r="C3395" s="1" t="str">
        <f>'001'!D3395</f>
        <v>0102</v>
      </c>
      <c r="D3395" s="3" t="e">
        <f>'001'!H3395</f>
        <v>#VALUE!</v>
      </c>
    </row>
    <row r="3396" spans="1:4" x14ac:dyDescent="0.25">
      <c r="A3396" s="1" t="str">
        <f>'001'!B3396</f>
        <v>005037</v>
      </c>
      <c r="B3396" s="1" t="str">
        <f>'001'!C3396</f>
        <v>CINTA PYTHON ALTA RESISTENCIA NEGRO 9MTS.</v>
      </c>
      <c r="C3396" s="1" t="str">
        <f>'001'!D3396</f>
        <v>0140</v>
      </c>
      <c r="D3396" s="3" t="e">
        <f>'001'!H3396</f>
        <v>#VALUE!</v>
      </c>
    </row>
    <row r="3397" spans="1:4" x14ac:dyDescent="0.25">
      <c r="A3397" s="1" t="str">
        <f>'001'!B3397</f>
        <v>005038</v>
      </c>
      <c r="B3397" s="1" t="str">
        <f>'001'!C3397</f>
        <v>T494.63 DILUYENTE MEDIO P/BASE AGUA/PRIMER ACUOSO X 2</v>
      </c>
      <c r="C3397" s="1" t="str">
        <f>'001'!D3397</f>
        <v>0169</v>
      </c>
      <c r="D3397" s="3" t="e">
        <f>'001'!H3397</f>
        <v>#VALUE!</v>
      </c>
    </row>
    <row r="3398" spans="1:4" x14ac:dyDescent="0.25">
      <c r="A3398" s="1" t="str">
        <f>'001'!B3398</f>
        <v>005039</v>
      </c>
      <c r="B3398" s="1" t="str">
        <f>'001'!C3398</f>
        <v>ESMALTE SINTETICO PLAVICON 3EN1 MATE BLANCO X  0,250</v>
      </c>
      <c r="C3398" s="1" t="str">
        <f>'001'!D3398</f>
        <v>0902</v>
      </c>
      <c r="D3398" s="3" t="e">
        <f>'001'!H3398</f>
        <v>#VALUE!</v>
      </c>
    </row>
    <row r="3399" spans="1:4" x14ac:dyDescent="0.25">
      <c r="A3399" s="1" t="str">
        <f>'001'!B3399</f>
        <v>005040</v>
      </c>
      <c r="B3399" s="1" t="str">
        <f>'001'!C3399</f>
        <v>ESMALTE SINTETICO PLAVICON 3EN1 MATE BLANCO X  0,500</v>
      </c>
      <c r="C3399" s="1" t="str">
        <f>'001'!D3399</f>
        <v>0139</v>
      </c>
      <c r="D3399" s="3" t="e">
        <f>'001'!H3399</f>
        <v>#VALUE!</v>
      </c>
    </row>
    <row r="3400" spans="1:4" x14ac:dyDescent="0.25">
      <c r="A3400" s="1" t="str">
        <f>'001'!B3400</f>
        <v>005041</v>
      </c>
      <c r="B3400" s="1" t="str">
        <f>'001'!C3400</f>
        <v>ESMALTE SINTETICO PLAVICON 3EN1 MATE BLANCO X  1</v>
      </c>
      <c r="C3400" s="1" t="str">
        <f>'001'!D3400</f>
        <v>0139</v>
      </c>
      <c r="D3400" s="3" t="e">
        <f>'001'!H3400</f>
        <v>#VALUE!</v>
      </c>
    </row>
    <row r="3401" spans="1:4" x14ac:dyDescent="0.25">
      <c r="A3401" s="1" t="str">
        <f>'001'!B3401</f>
        <v>005042</v>
      </c>
      <c r="B3401" s="1" t="str">
        <f>'001'!C3401</f>
        <v>ESMALTE SINTETICO PLAVICON 3EN1 MATE BLANCO X  4</v>
      </c>
      <c r="C3401" s="1" t="str">
        <f>'001'!D3401</f>
        <v>0139</v>
      </c>
      <c r="D3401" s="3" t="e">
        <f>'001'!H3401</f>
        <v>#VALUE!</v>
      </c>
    </row>
    <row r="3402" spans="1:4" x14ac:dyDescent="0.25">
      <c r="A3402" s="1" t="str">
        <f>'001'!B3402</f>
        <v>005043</v>
      </c>
      <c r="B3402" s="1" t="str">
        <f>'001'!C3402</f>
        <v>ESMALTE SINTETICO PLAVICON 3EN1 MATE BLANCO X 20</v>
      </c>
      <c r="C3402" s="1" t="str">
        <f>'001'!D3402</f>
        <v>0139</v>
      </c>
      <c r="D3402" s="3" t="e">
        <f>'001'!H3402</f>
        <v>#VALUE!</v>
      </c>
    </row>
    <row r="3403" spans="1:4" x14ac:dyDescent="0.25">
      <c r="A3403" s="1" t="str">
        <f>'001'!B3403</f>
        <v>005044</v>
      </c>
      <c r="B3403" s="1" t="str">
        <f>'001'!C3403</f>
        <v>ESMALTE SINTETICO PLAVICON 3EN1 MATE NEGRO X  0,250</v>
      </c>
      <c r="C3403" s="1" t="str">
        <f>'001'!D3403</f>
        <v>0902</v>
      </c>
      <c r="D3403" s="3" t="e">
        <f>'001'!H3403</f>
        <v>#VALUE!</v>
      </c>
    </row>
    <row r="3404" spans="1:4" x14ac:dyDescent="0.25">
      <c r="A3404" s="1" t="str">
        <f>'001'!B3404</f>
        <v>005045</v>
      </c>
      <c r="B3404" s="1" t="str">
        <f>'001'!C3404</f>
        <v>ESMALTE SINTETICO PLAVICON 3EN1 MATE NEGRO X  0,500</v>
      </c>
      <c r="C3404" s="1" t="str">
        <f>'001'!D3404</f>
        <v>0139</v>
      </c>
      <c r="D3404" s="3" t="e">
        <f>'001'!H3404</f>
        <v>#VALUE!</v>
      </c>
    </row>
    <row r="3405" spans="1:4" x14ac:dyDescent="0.25">
      <c r="A3405" s="1" t="str">
        <f>'001'!B3405</f>
        <v>005046</v>
      </c>
      <c r="B3405" s="1" t="str">
        <f>'001'!C3405</f>
        <v>ESMALTE SINTETICO PLAVICON 3EN1 MATE NEGRO X  1</v>
      </c>
      <c r="C3405" s="1" t="str">
        <f>'001'!D3405</f>
        <v>0139</v>
      </c>
      <c r="D3405" s="3" t="e">
        <f>'001'!H3405</f>
        <v>#VALUE!</v>
      </c>
    </row>
    <row r="3406" spans="1:4" x14ac:dyDescent="0.25">
      <c r="A3406" s="1" t="str">
        <f>'001'!B3406</f>
        <v>005047</v>
      </c>
      <c r="B3406" s="1" t="str">
        <f>'001'!C3406</f>
        <v>ESMALTE SINTETICO PLAVICON 3EN1 MATE NEGRO X  4</v>
      </c>
      <c r="C3406" s="1" t="str">
        <f>'001'!D3406</f>
        <v>0139</v>
      </c>
      <c r="D3406" s="3" t="e">
        <f>'001'!H3406</f>
        <v>#VALUE!</v>
      </c>
    </row>
    <row r="3407" spans="1:4" x14ac:dyDescent="0.25">
      <c r="A3407" s="1" t="str">
        <f>'001'!B3407</f>
        <v>005048</v>
      </c>
      <c r="B3407" s="1" t="str">
        <f>'001'!C3407</f>
        <v>D8421 AEROSOL 1K PRIMER (G5) X 0.400</v>
      </c>
      <c r="C3407" s="1" t="str">
        <f>'001'!D3407</f>
        <v>0134</v>
      </c>
      <c r="D3407" s="3" t="e">
        <f>'001'!H3407</f>
        <v>#VALUE!</v>
      </c>
    </row>
    <row r="3408" spans="1:4" x14ac:dyDescent="0.25">
      <c r="A3408" s="1" t="str">
        <f>'001'!B3408</f>
        <v>005049</v>
      </c>
      <c r="B3408" s="1" t="str">
        <f>'001'!C3408</f>
        <v>D8416/E.04 AEROSOL 1K PRIMER WHITE (G1) X 0,400</v>
      </c>
      <c r="C3408" s="1" t="str">
        <f>'001'!D3408</f>
        <v>0134</v>
      </c>
      <c r="D3408" s="3" t="e">
        <f>'001'!H3408</f>
        <v>#VALUE!</v>
      </c>
    </row>
    <row r="3409" spans="1:4" x14ac:dyDescent="0.25">
      <c r="A3409" s="1" t="str">
        <f>'001'!B3409</f>
        <v>005052</v>
      </c>
      <c r="B3409" s="1" t="str">
        <f>'001'!C3409</f>
        <v>D8424/E.04 AEROSOL 1K PRIMER GREY (G6) X 0,400</v>
      </c>
      <c r="C3409" s="1" t="str">
        <f>'001'!D3409</f>
        <v>0134</v>
      </c>
      <c r="D3409" s="3" t="e">
        <f>'001'!H3409</f>
        <v>#VALUE!</v>
      </c>
    </row>
    <row r="3410" spans="1:4" x14ac:dyDescent="0.25">
      <c r="A3410" s="1" t="str">
        <f>'001'!B3410</f>
        <v>005053</v>
      </c>
      <c r="B3410" s="1" t="str">
        <f>'001'!C3410</f>
        <v>DC4000.04 BARNIZ RAPIDO PREMIUN DE ALTO SOLIDO DELTRON X 0,720</v>
      </c>
      <c r="C3410" s="1" t="str">
        <f>'001'!D3410</f>
        <v>0134</v>
      </c>
      <c r="D3410" s="3" t="e">
        <f>'001'!H3410</f>
        <v>#VALUE!</v>
      </c>
    </row>
    <row r="3411" spans="1:4" x14ac:dyDescent="0.25">
      <c r="A3411" s="1" t="str">
        <f>'001'!B3411</f>
        <v>005054</v>
      </c>
      <c r="B3411" s="1" t="str">
        <f>'001'!C3411</f>
        <v>DCH3070 CATALIZADOR RAPIDO BAJA TEMPERATURA DELTRON P/DC3000/4000 X 0,237</v>
      </c>
      <c r="C3411" s="1" t="str">
        <f>'001'!D3411</f>
        <v>0902</v>
      </c>
      <c r="D3411" s="3" t="e">
        <f>'001'!H3411</f>
        <v>#VALUE!</v>
      </c>
    </row>
    <row r="3412" spans="1:4" x14ac:dyDescent="0.25">
      <c r="A3412" s="1" t="str">
        <f>'001'!B3412</f>
        <v>005055</v>
      </c>
      <c r="B3412" s="1" t="str">
        <f>'001'!C3412</f>
        <v>D8010 PRIMER PU BLANCO GREYMATIC DELTRON X 3,000</v>
      </c>
      <c r="C3412" s="1" t="str">
        <f>'001'!D3412</f>
        <v>0134</v>
      </c>
      <c r="D3412" s="3" t="e">
        <f>'001'!H3412</f>
        <v>#VALUE!</v>
      </c>
    </row>
    <row r="3413" spans="1:4" x14ac:dyDescent="0.25">
      <c r="A3413" s="1" t="str">
        <f>'001'!B3413</f>
        <v>005056</v>
      </c>
      <c r="B3413" s="1" t="str">
        <f>'001'!C3413</f>
        <v>D8017 PRIMER HS 2K GRIS OSCURO DELTRON X 3,000</v>
      </c>
      <c r="C3413" s="1" t="str">
        <f>'001'!D3413</f>
        <v>0134</v>
      </c>
      <c r="D3413" s="3" t="e">
        <f>'001'!H3413</f>
        <v>#VALUE!</v>
      </c>
    </row>
    <row r="3414" spans="1:4" x14ac:dyDescent="0.25">
      <c r="A3414" s="1" t="str">
        <f>'001'!B3414</f>
        <v>005057</v>
      </c>
      <c r="B3414" s="1" t="str">
        <f>'001'!C3414</f>
        <v>DC4000FYL BARNIZ RAPIDO PREMIUN DE ALTOS SOLIDOS DELTRON X 3,785</v>
      </c>
      <c r="C3414" s="1" t="str">
        <f>'001'!D3414</f>
        <v>0134</v>
      </c>
      <c r="D3414" s="3" t="e">
        <f>'001'!H3414</f>
        <v>#VALUE!</v>
      </c>
    </row>
    <row r="3415" spans="1:4" x14ac:dyDescent="0.25">
      <c r="A3415" s="1" t="str">
        <f>'001'!B3415</f>
        <v>005058</v>
      </c>
      <c r="B3415" s="1" t="str">
        <f>'001'!C3415</f>
        <v>ECA83.900 DILUYENTE REDUCTOR PARA BARNIZ EC800 EHP X 0.946</v>
      </c>
      <c r="C3415" s="1" t="str">
        <f>'001'!D3415</f>
        <v>0169</v>
      </c>
      <c r="D3415" s="3" t="e">
        <f>'001'!H3415</f>
        <v>#VALUE!</v>
      </c>
    </row>
    <row r="3416" spans="1:4" x14ac:dyDescent="0.25">
      <c r="A3416" s="1" t="str">
        <f>'001'!B3416</f>
        <v>005060</v>
      </c>
      <c r="B3416" s="1" t="str">
        <f>'001'!C3416</f>
        <v>D8426 AEROSOL 1K PRIMER DARK GREY (G7) X 0,400</v>
      </c>
      <c r="C3416" s="1" t="str">
        <f>'001'!D3416</f>
        <v>0134</v>
      </c>
      <c r="D3416" s="3" t="e">
        <f>'001'!H3416</f>
        <v>#VALUE!</v>
      </c>
    </row>
    <row r="3417" spans="1:4" x14ac:dyDescent="0.25">
      <c r="A3417" s="1" t="str">
        <f>'001'!B3417</f>
        <v>005061</v>
      </c>
      <c r="B3417" s="1" t="str">
        <f>'001'!C3417</f>
        <v>FONDO IMPERMEABLE TERPLAST X 5</v>
      </c>
      <c r="C3417" s="1" t="str">
        <f>'001'!D3417</f>
        <v>0152</v>
      </c>
      <c r="D3417" s="3" t="e">
        <f>'001'!H3417</f>
        <v>#VALUE!</v>
      </c>
    </row>
    <row r="3418" spans="1:4" x14ac:dyDescent="0.25">
      <c r="A3418" s="1" t="str">
        <f>'001'!B3418</f>
        <v>005062</v>
      </c>
      <c r="B3418" s="1" t="str">
        <f>'001'!C3418</f>
        <v>FONDO IMPERMEABLE TERPLAST X 25</v>
      </c>
      <c r="C3418" s="1" t="str">
        <f>'001'!D3418</f>
        <v>0152</v>
      </c>
      <c r="D3418" s="3" t="e">
        <f>'001'!H3418</f>
        <v>#VALUE!</v>
      </c>
    </row>
    <row r="3419" spans="1:4" x14ac:dyDescent="0.25">
      <c r="A3419" s="1" t="str">
        <f>'001'!B3419</f>
        <v>005063</v>
      </c>
      <c r="B3419" s="1" t="str">
        <f>'001'!C3419</f>
        <v>ESMALTE EPOXI ALBA AMARILLO X 1</v>
      </c>
      <c r="C3419" s="1" t="str">
        <f>'001'!D3419</f>
        <v>0112</v>
      </c>
      <c r="D3419" s="3" t="e">
        <f>'001'!H3419</f>
        <v>#VALUE!</v>
      </c>
    </row>
    <row r="3420" spans="1:4" x14ac:dyDescent="0.25">
      <c r="A3420" s="1" t="str">
        <f>'001'!B3420</f>
        <v>005078</v>
      </c>
      <c r="B3420" s="1" t="str">
        <f>'001'!C3420</f>
        <v>IMPERMEABILIZANTE PARA FRENTES PLAVICON MATE BEIGE X  1,250</v>
      </c>
      <c r="C3420" s="1" t="str">
        <f>'001'!D3420</f>
        <v>0139</v>
      </c>
      <c r="D3420" s="3" t="e">
        <f>'001'!H3420</f>
        <v>#VALUE!</v>
      </c>
    </row>
    <row r="3421" spans="1:4" x14ac:dyDescent="0.25">
      <c r="A3421" s="1" t="str">
        <f>'001'!B3421</f>
        <v>005079</v>
      </c>
      <c r="B3421" s="1" t="str">
        <f>'001'!C3421</f>
        <v>IMPERMEABILIZANTE PARA FRENTES PLAVICON MATE BEIGE X  5</v>
      </c>
      <c r="C3421" s="1" t="str">
        <f>'001'!D3421</f>
        <v>0139</v>
      </c>
      <c r="D3421" s="3" t="e">
        <f>'001'!H3421</f>
        <v>#VALUE!</v>
      </c>
    </row>
    <row r="3422" spans="1:4" x14ac:dyDescent="0.25">
      <c r="A3422" s="1" t="str">
        <f>'001'!B3422</f>
        <v>005080</v>
      </c>
      <c r="B3422" s="1" t="str">
        <f>'001'!C3422</f>
        <v>D8540AL TRANSPARENT SEALER X 1</v>
      </c>
      <c r="C3422" s="1" t="str">
        <f>'001'!D3422</f>
        <v>0134</v>
      </c>
      <c r="D3422" s="3" t="e">
        <f>'001'!H3422</f>
        <v>#VALUE!</v>
      </c>
    </row>
    <row r="3423" spans="1:4" x14ac:dyDescent="0.25">
      <c r="A3423" s="1" t="str">
        <f>'001'!B3423</f>
        <v>005081</v>
      </c>
      <c r="B3423" s="1" t="str">
        <f>'001'!C3423</f>
        <v>A6520BK MASILLA IVIPLAST 66 X 1,500</v>
      </c>
      <c r="C3423" s="1" t="str">
        <f>'001'!D3423</f>
        <v>0134</v>
      </c>
      <c r="D3423" s="3" t="e">
        <f>'001'!H3423</f>
        <v>#VALUE!</v>
      </c>
    </row>
    <row r="3424" spans="1:4" x14ac:dyDescent="0.25">
      <c r="A3424" s="1" t="str">
        <f>'001'!B3424</f>
        <v>005082</v>
      </c>
      <c r="B3424" s="1" t="str">
        <f>'001'!C3424</f>
        <v>A722/E1.5K MASSA POLIESTER UNIVERSAL STOPPER X 1,550</v>
      </c>
      <c r="C3424" s="1" t="str">
        <f>'001'!D3424</f>
        <v>0134</v>
      </c>
      <c r="D3424" s="3" t="e">
        <f>'001'!H3424</f>
        <v>#VALUE!</v>
      </c>
    </row>
    <row r="3425" spans="1:4" x14ac:dyDescent="0.25">
      <c r="A3425" s="1" t="str">
        <f>'001'!B3425</f>
        <v>005083</v>
      </c>
      <c r="B3425" s="1" t="str">
        <f>'001'!C3425</f>
        <v>D8460 DESENGRASANTE PARA PLASTICOS X 1</v>
      </c>
      <c r="C3425" s="1" t="str">
        <f>'001'!D3425</f>
        <v>0134</v>
      </c>
      <c r="D3425" s="3" t="e">
        <f>'001'!H3425</f>
        <v>#VALUE!</v>
      </c>
    </row>
    <row r="3426" spans="1:4" x14ac:dyDescent="0.25">
      <c r="A3426" s="1" t="str">
        <f>'001'!B3426</f>
        <v>005084</v>
      </c>
      <c r="B3426" s="1" t="str">
        <f>'001'!C3426</f>
        <v>PPG-6403.04 PROMOTOR ADHERENCIA P/ PLASTICO X 0,900(EXSU49030)</v>
      </c>
      <c r="C3426" s="1" t="str">
        <f>'001'!D3426</f>
        <v>0134</v>
      </c>
      <c r="D3426" s="3" t="e">
        <f>'001'!H3426</f>
        <v>#VALUE!</v>
      </c>
    </row>
    <row r="3427" spans="1:4" x14ac:dyDescent="0.25">
      <c r="A3427" s="1" t="str">
        <f>'001'!B3427</f>
        <v>005085</v>
      </c>
      <c r="B3427" s="1" t="str">
        <f>'001'!C3427</f>
        <v>IMPERMEABILIZANTE PARA TECHO PLAVICON SOBRECHAPA ROJO CERAMICO X  1,250</v>
      </c>
      <c r="C3427" s="1" t="str">
        <f>'001'!D3427</f>
        <v>0139</v>
      </c>
      <c r="D3427" s="3" t="e">
        <f>'001'!H3427</f>
        <v>#VALUE!</v>
      </c>
    </row>
    <row r="3428" spans="1:4" x14ac:dyDescent="0.25">
      <c r="A3428" s="1" t="str">
        <f>'001'!B3428</f>
        <v>005086</v>
      </c>
      <c r="B3428" s="1" t="str">
        <f>'001'!C3428</f>
        <v>IMPERMEABILIZANTE PARA TECHO PLAVICON SOBRECHAPA ROJO CERAMICO X  5</v>
      </c>
      <c r="C3428" s="1" t="str">
        <f>'001'!D3428</f>
        <v>0139</v>
      </c>
      <c r="D3428" s="3" t="e">
        <f>'001'!H3428</f>
        <v>#VALUE!</v>
      </c>
    </row>
    <row r="3429" spans="1:4" x14ac:dyDescent="0.25">
      <c r="A3429" s="1" t="str">
        <f>'001'!B3429</f>
        <v>005087</v>
      </c>
      <c r="B3429" s="1" t="str">
        <f>'001'!C3429</f>
        <v>IMPERMEABILIZANTE PARA TECHO PLAVICON SOBRECHAPA ROJO CERAMICO X 10</v>
      </c>
      <c r="C3429" s="1" t="str">
        <f>'001'!D3429</f>
        <v>0139</v>
      </c>
      <c r="D3429" s="3" t="e">
        <f>'001'!H3429</f>
        <v>#VALUE!</v>
      </c>
    </row>
    <row r="3430" spans="1:4" x14ac:dyDescent="0.25">
      <c r="A3430" s="1" t="str">
        <f>'001'!B3430</f>
        <v>005088</v>
      </c>
      <c r="B3430" s="1" t="str">
        <f>'001'!C3430</f>
        <v>IMPERMEABILIZANTE PARA TECHO PLAVICON SOBRECHAPA ROJO CERAMICO X 20</v>
      </c>
      <c r="C3430" s="1" t="str">
        <f>'001'!D3430</f>
        <v>0139</v>
      </c>
      <c r="D3430" s="3" t="e">
        <f>'001'!H3430</f>
        <v>#VALUE!</v>
      </c>
    </row>
    <row r="3431" spans="1:4" x14ac:dyDescent="0.25">
      <c r="A3431" s="1" t="str">
        <f>'001'!B3431</f>
        <v>005089</v>
      </c>
      <c r="B3431" s="1" t="str">
        <f>'001'!C3431</f>
        <v>IMPERMEABILIZANTE PARA TECHO PLAVICON SOBRECHAPA VERDE X  1,250</v>
      </c>
      <c r="C3431" s="1" t="str">
        <f>'001'!D3431</f>
        <v>0139</v>
      </c>
      <c r="D3431" s="3" t="e">
        <f>'001'!H3431</f>
        <v>#VALUE!</v>
      </c>
    </row>
    <row r="3432" spans="1:4" x14ac:dyDescent="0.25">
      <c r="A3432" s="1" t="str">
        <f>'001'!B3432</f>
        <v>005090</v>
      </c>
      <c r="B3432" s="1" t="str">
        <f>'001'!C3432</f>
        <v>IMPERMEABILIZANTE PARA TECHO PLAVICON SOBRECHAPA VERDE X  5</v>
      </c>
      <c r="C3432" s="1" t="str">
        <f>'001'!D3432</f>
        <v>0139</v>
      </c>
      <c r="D3432" s="3" t="e">
        <f>'001'!H3432</f>
        <v>#VALUE!</v>
      </c>
    </row>
    <row r="3433" spans="1:4" x14ac:dyDescent="0.25">
      <c r="A3433" s="1" t="str">
        <f>'001'!B3433</f>
        <v>005091</v>
      </c>
      <c r="B3433" s="1" t="str">
        <f>'001'!C3433</f>
        <v>IMPERMEABILIZANTE PARA TECHO PLAVICON SOBRECHAPA VERDE X 10</v>
      </c>
      <c r="C3433" s="1" t="str">
        <f>'001'!D3433</f>
        <v>0139</v>
      </c>
      <c r="D3433" s="3" t="e">
        <f>'001'!H3433</f>
        <v>#VALUE!</v>
      </c>
    </row>
    <row r="3434" spans="1:4" x14ac:dyDescent="0.25">
      <c r="A3434" s="1" t="str">
        <f>'001'!B3434</f>
        <v>005092</v>
      </c>
      <c r="B3434" s="1" t="str">
        <f>'001'!C3434</f>
        <v>IMPERMEABILIZANTE PARA TECHO PLAVICON SOBRECHAPA VERDE X 20</v>
      </c>
      <c r="C3434" s="1" t="str">
        <f>'001'!D3434</f>
        <v>0139</v>
      </c>
      <c r="D3434" s="3" t="e">
        <f>'001'!H3434</f>
        <v>#VALUE!</v>
      </c>
    </row>
    <row r="3435" spans="1:4" x14ac:dyDescent="0.25">
      <c r="A3435" s="1" t="str">
        <f>'001'!B3435</f>
        <v>005093</v>
      </c>
      <c r="B3435" s="1" t="str">
        <f>'001'!C3435</f>
        <v>IMPERMEABILIZANTE PARA TECHO PLAVICON SOBRECHAPA NEGRO X  1,250</v>
      </c>
      <c r="C3435" s="1" t="str">
        <f>'001'!D3435</f>
        <v>0139</v>
      </c>
      <c r="D3435" s="3" t="e">
        <f>'001'!H3435</f>
        <v>#VALUE!</v>
      </c>
    </row>
    <row r="3436" spans="1:4" x14ac:dyDescent="0.25">
      <c r="A3436" s="1" t="str">
        <f>'001'!B3436</f>
        <v>005094</v>
      </c>
      <c r="B3436" s="1" t="str">
        <f>'001'!C3436</f>
        <v>IMPERMEABILIZANTE PARA TECHO PLAVICON SOBRECHAPA NEGRO X  5</v>
      </c>
      <c r="C3436" s="1" t="str">
        <f>'001'!D3436</f>
        <v>0139</v>
      </c>
      <c r="D3436" s="3" t="e">
        <f>'001'!H3436</f>
        <v>#VALUE!</v>
      </c>
    </row>
    <row r="3437" spans="1:4" x14ac:dyDescent="0.25">
      <c r="A3437" s="1" t="str">
        <f>'001'!B3437</f>
        <v>005095</v>
      </c>
      <c r="B3437" s="1" t="str">
        <f>'001'!C3437</f>
        <v>IMPERMEABILIZANTE PARA TECHO PLAVICON SOBRECHAPA NEGRO X 10</v>
      </c>
      <c r="C3437" s="1" t="str">
        <f>'001'!D3437</f>
        <v>0139</v>
      </c>
      <c r="D3437" s="3" t="e">
        <f>'001'!H3437</f>
        <v>#VALUE!</v>
      </c>
    </row>
    <row r="3438" spans="1:4" x14ac:dyDescent="0.25">
      <c r="A3438" s="1" t="str">
        <f>'001'!B3438</f>
        <v>005096</v>
      </c>
      <c r="B3438" s="1" t="str">
        <f>'001'!C3438</f>
        <v>IMPERMEABILIZANTE PARA TECHO PLAVICON SOBRECHAPA NEGRO X 20</v>
      </c>
      <c r="C3438" s="1" t="str">
        <f>'001'!D3438</f>
        <v>0139</v>
      </c>
      <c r="D3438" s="3" t="e">
        <f>'001'!H3438</f>
        <v>#VALUE!</v>
      </c>
    </row>
    <row r="3439" spans="1:4" x14ac:dyDescent="0.25">
      <c r="A3439" s="1" t="str">
        <f>'001'!B3439</f>
        <v>005097</v>
      </c>
      <c r="B3439" s="1" t="str">
        <f>'001'!C3439</f>
        <v>IMPERMEABILIZANTE PARA FRENTES PLAVICON MATE BEIGE X 12</v>
      </c>
      <c r="C3439" s="1" t="str">
        <f>'001'!D3439</f>
        <v>0139</v>
      </c>
      <c r="D3439" s="3" t="e">
        <f>'001'!H3439</f>
        <v>#VALUE!</v>
      </c>
    </row>
    <row r="3440" spans="1:4" x14ac:dyDescent="0.25">
      <c r="A3440" s="1" t="str">
        <f>'001'!B3440</f>
        <v>005098</v>
      </c>
      <c r="B3440" s="1" t="str">
        <f>'001'!C3440</f>
        <v>IMPERMEABILIZANTE PARA FRENTES PLAVICON MATE BEIGE X 25</v>
      </c>
      <c r="C3440" s="1" t="str">
        <f>'001'!D3440</f>
        <v>0139</v>
      </c>
      <c r="D3440" s="3" t="e">
        <f>'001'!H3440</f>
        <v>#VALUE!</v>
      </c>
    </row>
    <row r="3441" spans="1:4" x14ac:dyDescent="0.25">
      <c r="A3441" s="1" t="str">
        <f>'001'!B3441</f>
        <v>005099</v>
      </c>
      <c r="B3441" s="1" t="str">
        <f>'001'!C3441</f>
        <v>IMPERMEABILIZANTE PARA FRENTES PLAVICON MATE GRIS CEMENTO X  1,250</v>
      </c>
      <c r="C3441" s="1" t="str">
        <f>'001'!D3441</f>
        <v>0139</v>
      </c>
      <c r="D3441" s="3" t="e">
        <f>'001'!H3441</f>
        <v>#VALUE!</v>
      </c>
    </row>
    <row r="3442" spans="1:4" x14ac:dyDescent="0.25">
      <c r="A3442" s="1" t="str">
        <f>'001'!B3442</f>
        <v>005100</v>
      </c>
      <c r="B3442" s="1" t="str">
        <f>'001'!C3442</f>
        <v>IMPERMEABILIZANTE PARA FRENTES PLAVICON MATE GRIS CEMENTO X  5</v>
      </c>
      <c r="C3442" s="1" t="str">
        <f>'001'!D3442</f>
        <v>0139</v>
      </c>
      <c r="D3442" s="3" t="e">
        <f>'001'!H3442</f>
        <v>#VALUE!</v>
      </c>
    </row>
    <row r="3443" spans="1:4" x14ac:dyDescent="0.25">
      <c r="A3443" s="1" t="str">
        <f>'001'!B3443</f>
        <v>005101</v>
      </c>
      <c r="B3443" s="1" t="str">
        <f>'001'!C3443</f>
        <v>IMPERMEABILIZANTE PARA FRENTES PLAVICON MATE GRIS CEMENTO X 12</v>
      </c>
      <c r="C3443" s="1" t="str">
        <f>'001'!D3443</f>
        <v>0139</v>
      </c>
      <c r="D3443" s="3" t="e">
        <f>'001'!H3443</f>
        <v>#VALUE!</v>
      </c>
    </row>
    <row r="3444" spans="1:4" x14ac:dyDescent="0.25">
      <c r="A3444" s="1" t="str">
        <f>'001'!B3444</f>
        <v>005102</v>
      </c>
      <c r="B3444" s="1" t="str">
        <f>'001'!C3444</f>
        <v>IMPERMEABILIZANTE PARA FRENTES PLAVICON MATE GRIS CEMENTO X 25</v>
      </c>
      <c r="C3444" s="1" t="str">
        <f>'001'!D3444</f>
        <v>0139</v>
      </c>
      <c r="D3444" s="3" t="e">
        <f>'001'!H3444</f>
        <v>#VALUE!</v>
      </c>
    </row>
    <row r="3445" spans="1:4" x14ac:dyDescent="0.25">
      <c r="A3445" s="1" t="str">
        <f>'001'!B3445</f>
        <v>005103</v>
      </c>
      <c r="B3445" s="1" t="str">
        <f>'001'!C3445</f>
        <v>IMPERMEABILIZANTE PARA FRENTES PLAVICON MATE OCRE X  1,250</v>
      </c>
      <c r="C3445" s="1" t="str">
        <f>'001'!D3445</f>
        <v>0139</v>
      </c>
      <c r="D3445" s="3" t="e">
        <f>'001'!H3445</f>
        <v>#VALUE!</v>
      </c>
    </row>
    <row r="3446" spans="1:4" x14ac:dyDescent="0.25">
      <c r="A3446" s="1" t="str">
        <f>'001'!B3446</f>
        <v>005104</v>
      </c>
      <c r="B3446" s="1" t="str">
        <f>'001'!C3446</f>
        <v>IMPERMEABILIZANTE PARA FRENTES PLAVICON MATE OCRE X  5</v>
      </c>
      <c r="C3446" s="1" t="str">
        <f>'001'!D3446</f>
        <v>0139</v>
      </c>
      <c r="D3446" s="3" t="e">
        <f>'001'!H3446</f>
        <v>#VALUE!</v>
      </c>
    </row>
    <row r="3447" spans="1:4" x14ac:dyDescent="0.25">
      <c r="A3447" s="1" t="str">
        <f>'001'!B3447</f>
        <v>005105</v>
      </c>
      <c r="B3447" s="1" t="str">
        <f>'001'!C3447</f>
        <v>IMPERMEABILIZANTE PARA FRENTES PLAVICON MATE OCRE X 12</v>
      </c>
      <c r="C3447" s="1" t="str">
        <f>'001'!D3447</f>
        <v>0139</v>
      </c>
      <c r="D3447" s="3" t="e">
        <f>'001'!H3447</f>
        <v>#VALUE!</v>
      </c>
    </row>
    <row r="3448" spans="1:4" x14ac:dyDescent="0.25">
      <c r="A3448" s="1" t="str">
        <f>'001'!B3448</f>
        <v>005106</v>
      </c>
      <c r="B3448" s="1" t="str">
        <f>'001'!C3448</f>
        <v>IMPERMEABILIZANTE PARA FRENTES PLAVICON MATE OCRE X 25</v>
      </c>
      <c r="C3448" s="1" t="str">
        <f>'001'!D3448</f>
        <v>0139</v>
      </c>
      <c r="D3448" s="3" t="e">
        <f>'001'!H3448</f>
        <v>#VALUE!</v>
      </c>
    </row>
    <row r="3449" spans="1:4" x14ac:dyDescent="0.25">
      <c r="A3449" s="1" t="str">
        <f>'001'!B3449</f>
        <v>005107</v>
      </c>
      <c r="B3449" s="1" t="str">
        <f>'001'!C3449</f>
        <v>IMPERMEABILIZANTE PARA FRENTES PLAVICON MATE NEGRO X  1,250</v>
      </c>
      <c r="C3449" s="1" t="str">
        <f>'001'!D3449</f>
        <v>0139</v>
      </c>
      <c r="D3449" s="3" t="e">
        <f>'001'!H3449</f>
        <v>#VALUE!</v>
      </c>
    </row>
    <row r="3450" spans="1:4" x14ac:dyDescent="0.25">
      <c r="A3450" s="1" t="str">
        <f>'001'!B3450</f>
        <v>005108</v>
      </c>
      <c r="B3450" s="1" t="str">
        <f>'001'!C3450</f>
        <v>IMPERMEABILIZANTE PARA FRENTES PLAVICON MATE NEGRO X  5</v>
      </c>
      <c r="C3450" s="1" t="str">
        <f>'001'!D3450</f>
        <v>0139</v>
      </c>
      <c r="D3450" s="3" t="e">
        <f>'001'!H3450</f>
        <v>#VALUE!</v>
      </c>
    </row>
    <row r="3451" spans="1:4" x14ac:dyDescent="0.25">
      <c r="A3451" s="1" t="str">
        <f>'001'!B3451</f>
        <v>005109</v>
      </c>
      <c r="B3451" s="1" t="str">
        <f>'001'!C3451</f>
        <v>IMPERMEABILIZANTE PARA FRENTES PLAVICON MATE NEGRO X 12</v>
      </c>
      <c r="C3451" s="1" t="str">
        <f>'001'!D3451</f>
        <v>0139</v>
      </c>
      <c r="D3451" s="3" t="e">
        <f>'001'!H3451</f>
        <v>#VALUE!</v>
      </c>
    </row>
    <row r="3452" spans="1:4" x14ac:dyDescent="0.25">
      <c r="A3452" s="1" t="str">
        <f>'001'!B3452</f>
        <v>005110</v>
      </c>
      <c r="B3452" s="1" t="str">
        <f>'001'!C3452</f>
        <v>IMPERMEABILIZANTE PARA FRENTES PLAVICON MATE NEGRO X 25</v>
      </c>
      <c r="C3452" s="1" t="str">
        <f>'001'!D3452</f>
        <v>0139</v>
      </c>
      <c r="D3452" s="3" t="e">
        <f>'001'!H3452</f>
        <v>#VALUE!</v>
      </c>
    </row>
    <row r="3453" spans="1:4" x14ac:dyDescent="0.25">
      <c r="A3453" s="1" t="str">
        <f>'001'!B3453</f>
        <v>005111</v>
      </c>
      <c r="B3453" s="1" t="str">
        <f>'001'!C3453</f>
        <v>FONDO ANTIOXIDO TERSUAVE MATE MARFIL X  0,250</v>
      </c>
      <c r="C3453" s="1" t="str">
        <f>'001'!D3453</f>
        <v>0152</v>
      </c>
      <c r="D3453" s="3" t="e">
        <f>'001'!H3453</f>
        <v>#VALUE!</v>
      </c>
    </row>
    <row r="3454" spans="1:4" x14ac:dyDescent="0.25">
      <c r="A3454" s="1" t="str">
        <f>'001'!B3454</f>
        <v>005112</v>
      </c>
      <c r="B3454" s="1" t="str">
        <f>'001'!C3454</f>
        <v>ESMALTE SINTETICO PLAVICON 3EN1 MATE NEGRO X 20</v>
      </c>
      <c r="C3454" s="1" t="str">
        <f>'001'!D3454</f>
        <v>0139</v>
      </c>
      <c r="D3454" s="3" t="e">
        <f>'001'!H3454</f>
        <v>#VALUE!</v>
      </c>
    </row>
    <row r="3455" spans="1:4" x14ac:dyDescent="0.25">
      <c r="A3455" s="1" t="str">
        <f>'001'!B3455</f>
        <v>005113</v>
      </c>
      <c r="B3455" s="1" t="str">
        <f>'001'!C3455</f>
        <v>ENDUIDO INTERIOR PLAVICON X 10</v>
      </c>
      <c r="C3455" s="1" t="str">
        <f>'001'!D3455</f>
        <v>0139</v>
      </c>
      <c r="D3455" s="3" t="e">
        <f>'001'!H3455</f>
        <v>#VALUE!</v>
      </c>
    </row>
    <row r="3456" spans="1:4" x14ac:dyDescent="0.25">
      <c r="A3456" s="1" t="str">
        <f>'001'!B3456</f>
        <v>005114</v>
      </c>
      <c r="B3456" s="1" t="str">
        <f>'001'!C3456</f>
        <v>MALLA FIBRA DE VIDRIO  R-FV60 2,85X2,85MM 1X50M</v>
      </c>
      <c r="C3456" s="1" t="str">
        <f>'001'!D3456</f>
        <v>0188</v>
      </c>
      <c r="D3456" s="3" t="e">
        <f>'001'!H3456</f>
        <v>#VALUE!</v>
      </c>
    </row>
    <row r="3457" spans="1:4" x14ac:dyDescent="0.25">
      <c r="A3457" s="1" t="str">
        <f>'001'!B3457</f>
        <v>005115</v>
      </c>
      <c r="B3457" s="1" t="str">
        <f>'001'!C3457</f>
        <v>FONDO ANTIOXIDO TERSUAVE MATE NEGRO X  0,250</v>
      </c>
      <c r="C3457" s="1" t="str">
        <f>'001'!D3457</f>
        <v>0152</v>
      </c>
      <c r="D3457" s="3" t="e">
        <f>'001'!H3457</f>
        <v>#VALUE!</v>
      </c>
    </row>
    <row r="3458" spans="1:4" x14ac:dyDescent="0.25">
      <c r="A3458" s="1" t="str">
        <f>'001'!B3458</f>
        <v>005125</v>
      </c>
      <c r="B3458" s="1" t="str">
        <f>'001'!C3458</f>
        <v>LATEX INTERIOR PLAVICON HABITAT LISTO PARA USAR MATE CACAO X 1</v>
      </c>
      <c r="C3458" s="1" t="str">
        <f>'001'!D3458</f>
        <v>0139</v>
      </c>
      <c r="D3458" s="3" t="e">
        <f>'001'!H3458</f>
        <v>#VALUE!</v>
      </c>
    </row>
    <row r="3459" spans="1:4" x14ac:dyDescent="0.25">
      <c r="A3459" s="1" t="str">
        <f>'001'!B3459</f>
        <v>005126</v>
      </c>
      <c r="B3459" s="1" t="str">
        <f>'001'!C3459</f>
        <v>LATEX INTERIOR PLAVICON HABITAT LISTO PARA USAR MATE CACAO X 4</v>
      </c>
      <c r="C3459" s="1" t="str">
        <f>'001'!D3459</f>
        <v>0139</v>
      </c>
      <c r="D3459" s="3" t="e">
        <f>'001'!H3459</f>
        <v>#VALUE!</v>
      </c>
    </row>
    <row r="3460" spans="1:4" x14ac:dyDescent="0.25">
      <c r="A3460" s="1" t="str">
        <f>'001'!B3460</f>
        <v>005127</v>
      </c>
      <c r="B3460" s="1" t="str">
        <f>'001'!C3460</f>
        <v>FONDO ANTIOXIDO TERSUAVE MATE GRIS X  0,250</v>
      </c>
      <c r="C3460" s="1" t="str">
        <f>'001'!D3460</f>
        <v>0152</v>
      </c>
      <c r="D3460" s="3" t="e">
        <f>'001'!H3460</f>
        <v>#VALUE!</v>
      </c>
    </row>
    <row r="3461" spans="1:4" x14ac:dyDescent="0.25">
      <c r="A3461" s="1" t="str">
        <f>'001'!B3461</f>
        <v>005128</v>
      </c>
      <c r="B3461" s="1" t="str">
        <f>'001'!C3461</f>
        <v>IMPERMEABILIZANTE PARA FRENTES PLAVICON MATE VERDE FORESTA X  1,250</v>
      </c>
      <c r="C3461" s="1" t="str">
        <f>'001'!D3461</f>
        <v>0139</v>
      </c>
      <c r="D3461" s="3" t="e">
        <f>'001'!H3461</f>
        <v>#VALUE!</v>
      </c>
    </row>
    <row r="3462" spans="1:4" x14ac:dyDescent="0.25">
      <c r="A3462" s="1" t="str">
        <f>'001'!B3462</f>
        <v>005129</v>
      </c>
      <c r="B3462" s="1" t="str">
        <f>'001'!C3462</f>
        <v>IMPERMEABILIZANTE PARA FRENTES PLAVICON MATE VERDE FORESTA X  5</v>
      </c>
      <c r="C3462" s="1" t="str">
        <f>'001'!D3462</f>
        <v>0139</v>
      </c>
      <c r="D3462" s="3" t="e">
        <f>'001'!H3462</f>
        <v>#VALUE!</v>
      </c>
    </row>
    <row r="3463" spans="1:4" x14ac:dyDescent="0.25">
      <c r="A3463" s="1" t="str">
        <f>'001'!B3463</f>
        <v>005130</v>
      </c>
      <c r="B3463" s="1" t="str">
        <f>'001'!C3463</f>
        <v>IMPERMEABILIZANTE PARA FRENTES PLAVICON MATE VERDE FORESTA X 12</v>
      </c>
      <c r="C3463" s="1" t="str">
        <f>'001'!D3463</f>
        <v>0139</v>
      </c>
      <c r="D3463" s="3" t="e">
        <f>'001'!H3463</f>
        <v>#VALUE!</v>
      </c>
    </row>
    <row r="3464" spans="1:4" x14ac:dyDescent="0.25">
      <c r="A3464" s="1" t="str">
        <f>'001'!B3464</f>
        <v>005131</v>
      </c>
      <c r="B3464" s="1" t="str">
        <f>'001'!C3464</f>
        <v>IMPERMEABILIZANTE PARA FRENTES PLAVICON MATE VERDE FORESTA X 25</v>
      </c>
      <c r="C3464" s="1" t="str">
        <f>'001'!D3464</f>
        <v>0139</v>
      </c>
      <c r="D3464" s="3" t="e">
        <f>'001'!H3464</f>
        <v>#VALUE!</v>
      </c>
    </row>
    <row r="3465" spans="1:4" x14ac:dyDescent="0.25">
      <c r="A3465" s="1" t="str">
        <f>'001'!B3465</f>
        <v>005132</v>
      </c>
      <c r="B3465" s="1" t="str">
        <f>'001'!C3465</f>
        <v>IMPERMEABILIZANTE PARA FRENTES PLAVICON MATE VERDE PADDLE X  1,250</v>
      </c>
      <c r="C3465" s="1" t="str">
        <f>'001'!D3465</f>
        <v>0139</v>
      </c>
      <c r="D3465" s="3" t="e">
        <f>'001'!H3465</f>
        <v>#VALUE!</v>
      </c>
    </row>
    <row r="3466" spans="1:4" x14ac:dyDescent="0.25">
      <c r="A3466" s="1" t="str">
        <f>'001'!B3466</f>
        <v>005133</v>
      </c>
      <c r="B3466" s="1" t="str">
        <f>'001'!C3466</f>
        <v>IMPERMEABILIZANTE PARA FRENTES PLAVICON MATE VERDE PADDLE X  5</v>
      </c>
      <c r="C3466" s="1" t="str">
        <f>'001'!D3466</f>
        <v>0139</v>
      </c>
      <c r="D3466" s="3" t="e">
        <f>'001'!H3466</f>
        <v>#VALUE!</v>
      </c>
    </row>
    <row r="3467" spans="1:4" x14ac:dyDescent="0.25">
      <c r="A3467" s="1" t="str">
        <f>'001'!B3467</f>
        <v>005134</v>
      </c>
      <c r="B3467" s="1" t="str">
        <f>'001'!C3467</f>
        <v>IMPERMEABILIZANTE PARA FRENTES PLAVICON MATE VERDE PADDLE X 12</v>
      </c>
      <c r="C3467" s="1" t="str">
        <f>'001'!D3467</f>
        <v>0139</v>
      </c>
      <c r="D3467" s="3" t="e">
        <f>'001'!H3467</f>
        <v>#VALUE!</v>
      </c>
    </row>
    <row r="3468" spans="1:4" x14ac:dyDescent="0.25">
      <c r="A3468" s="1" t="str">
        <f>'001'!B3468</f>
        <v>005135</v>
      </c>
      <c r="B3468" s="1" t="str">
        <f>'001'!C3468</f>
        <v>IMPERMEABILIZANTE PARA FRENTES PLAVICON MATE VERDE PADDLE X 25</v>
      </c>
      <c r="C3468" s="1" t="str">
        <f>'001'!D3468</f>
        <v>0139</v>
      </c>
      <c r="D3468" s="3" t="e">
        <f>'001'!H3468</f>
        <v>#VALUE!</v>
      </c>
    </row>
    <row r="3469" spans="1:4" x14ac:dyDescent="0.25">
      <c r="A3469" s="1" t="str">
        <f>'001'!B3469</f>
        <v>005136</v>
      </c>
      <c r="B3469" s="1" t="str">
        <f>'001'!C3469</f>
        <v>IMPERMEABILIZANTE PARA FRENTES PLAVICON MATE AZUL X  1,250</v>
      </c>
      <c r="C3469" s="1" t="str">
        <f>'001'!D3469</f>
        <v>0139</v>
      </c>
      <c r="D3469" s="3" t="e">
        <f>'001'!H3469</f>
        <v>#VALUE!</v>
      </c>
    </row>
    <row r="3470" spans="1:4" x14ac:dyDescent="0.25">
      <c r="A3470" s="1" t="str">
        <f>'001'!B3470</f>
        <v>005137</v>
      </c>
      <c r="B3470" s="1" t="str">
        <f>'001'!C3470</f>
        <v>IMPERMEABILIZANTE PARA FRENTES PLAVICON MATE AZUL X  5</v>
      </c>
      <c r="C3470" s="1" t="str">
        <f>'001'!D3470</f>
        <v>0139</v>
      </c>
      <c r="D3470" s="3" t="e">
        <f>'001'!H3470</f>
        <v>#VALUE!</v>
      </c>
    </row>
    <row r="3471" spans="1:4" x14ac:dyDescent="0.25">
      <c r="A3471" s="1" t="str">
        <f>'001'!B3471</f>
        <v>005138</v>
      </c>
      <c r="B3471" s="1" t="str">
        <f>'001'!C3471</f>
        <v>IMPERMEABILIZANTE PARA FRENTES PLAVICON MATE AZUL X 12</v>
      </c>
      <c r="C3471" s="1" t="str">
        <f>'001'!D3471</f>
        <v>0139</v>
      </c>
      <c r="D3471" s="3" t="e">
        <f>'001'!H3471</f>
        <v>#VALUE!</v>
      </c>
    </row>
    <row r="3472" spans="1:4" x14ac:dyDescent="0.25">
      <c r="A3472" s="1" t="str">
        <f>'001'!B3472</f>
        <v>005139</v>
      </c>
      <c r="B3472" s="1" t="str">
        <f>'001'!C3472</f>
        <v>IMPERMEABILIZANTE PARA FRENTES PLAVICON MATE AZUL X 25</v>
      </c>
      <c r="C3472" s="1" t="str">
        <f>'001'!D3472</f>
        <v>0139</v>
      </c>
      <c r="D3472" s="3" t="e">
        <f>'001'!H3472</f>
        <v>#VALUE!</v>
      </c>
    </row>
    <row r="3473" spans="1:4" x14ac:dyDescent="0.25">
      <c r="A3473" s="1" t="str">
        <f>'001'!B3473</f>
        <v>005140</v>
      </c>
      <c r="B3473" s="1" t="str">
        <f>'001'!C3473</f>
        <v>IMPERMEABILIZANTE PARA FRENTES PLAVICON MATE TABACO X  1,250</v>
      </c>
      <c r="C3473" s="1" t="str">
        <f>'001'!D3473</f>
        <v>0139</v>
      </c>
      <c r="D3473" s="3" t="e">
        <f>'001'!H3473</f>
        <v>#VALUE!</v>
      </c>
    </row>
    <row r="3474" spans="1:4" x14ac:dyDescent="0.25">
      <c r="A3474" s="1" t="str">
        <f>'001'!B3474</f>
        <v>005141</v>
      </c>
      <c r="B3474" s="1" t="str">
        <f>'001'!C3474</f>
        <v>IMPERMEABILIZANTE PARA FRENTES PLAVICON MATE TABACO X  5</v>
      </c>
      <c r="C3474" s="1" t="str">
        <f>'001'!D3474</f>
        <v>0139</v>
      </c>
      <c r="D3474" s="3" t="e">
        <f>'001'!H3474</f>
        <v>#VALUE!</v>
      </c>
    </row>
    <row r="3475" spans="1:4" x14ac:dyDescent="0.25">
      <c r="A3475" s="1" t="str">
        <f>'001'!B3475</f>
        <v>005142</v>
      </c>
      <c r="B3475" s="1" t="str">
        <f>'001'!C3475</f>
        <v>IMPERMEABILIZANTE PARA FRENTES PLAVICON MATE TABACO X 12</v>
      </c>
      <c r="C3475" s="1" t="str">
        <f>'001'!D3475</f>
        <v>0139</v>
      </c>
      <c r="D3475" s="3" t="e">
        <f>'001'!H3475</f>
        <v>#VALUE!</v>
      </c>
    </row>
    <row r="3476" spans="1:4" x14ac:dyDescent="0.25">
      <c r="A3476" s="1" t="str">
        <f>'001'!B3476</f>
        <v>005143</v>
      </c>
      <c r="B3476" s="1" t="str">
        <f>'001'!C3476</f>
        <v>IMPERMEABILIZANTE PARA FRENTES PLAVICON MATE TABACO X 25</v>
      </c>
      <c r="C3476" s="1" t="str">
        <f>'001'!D3476</f>
        <v>0139</v>
      </c>
      <c r="D3476" s="3" t="e">
        <f>'001'!H3476</f>
        <v>#VALUE!</v>
      </c>
    </row>
    <row r="3477" spans="1:4" x14ac:dyDescent="0.25">
      <c r="A3477" s="1" t="str">
        <f>'001'!B3477</f>
        <v>005144</v>
      </c>
      <c r="B3477" s="1" t="str">
        <f>'001'!C3477</f>
        <v>FONDO ANTIOXIDO TERSUAVE MATE VERDE X  0,250</v>
      </c>
      <c r="C3477" s="1" t="str">
        <f>'001'!D3477</f>
        <v>0152</v>
      </c>
      <c r="D3477" s="3" t="e">
        <f>'001'!H3477</f>
        <v>#VALUE!</v>
      </c>
    </row>
    <row r="3478" spans="1:4" x14ac:dyDescent="0.25">
      <c r="A3478" s="1" t="str">
        <f>'001'!B3478</f>
        <v>005145</v>
      </c>
      <c r="B3478" s="1" t="str">
        <f>'001'!C3478</f>
        <v>LATEX INTERIOR PLAVICON HABITAT LISTO PARA USAR MATE CASSIS X 1</v>
      </c>
      <c r="C3478" s="1" t="str">
        <f>'001'!D3478</f>
        <v>0139</v>
      </c>
      <c r="D3478" s="3" t="e">
        <f>'001'!H3478</f>
        <v>#VALUE!</v>
      </c>
    </row>
    <row r="3479" spans="1:4" x14ac:dyDescent="0.25">
      <c r="A3479" s="1" t="str">
        <f>'001'!B3479</f>
        <v>005146</v>
      </c>
      <c r="B3479" s="1" t="str">
        <f>'001'!C3479</f>
        <v>LATEX INTERIOR PLAVICON HABITAT LISTO PARA USAR MATE CASSIS X 4</v>
      </c>
      <c r="C3479" s="1" t="str">
        <f>'001'!D3479</f>
        <v>0139</v>
      </c>
      <c r="D3479" s="3" t="e">
        <f>'001'!H3479</f>
        <v>#VALUE!</v>
      </c>
    </row>
    <row r="3480" spans="1:4" x14ac:dyDescent="0.25">
      <c r="A3480" s="1" t="str">
        <f>'001'!B3480</f>
        <v>005147</v>
      </c>
      <c r="B3480" s="1" t="str">
        <f>'001'!C3480</f>
        <v>LATEX INTERIOR PLAVICON HABITAT LISTO PARA USAR MATE CORAL X 1</v>
      </c>
      <c r="C3480" s="1" t="str">
        <f>'001'!D3480</f>
        <v>0139</v>
      </c>
      <c r="D3480" s="3" t="e">
        <f>'001'!H3480</f>
        <v>#VALUE!</v>
      </c>
    </row>
    <row r="3481" spans="1:4" x14ac:dyDescent="0.25">
      <c r="A3481" s="1" t="str">
        <f>'001'!B3481</f>
        <v>005148</v>
      </c>
      <c r="B3481" s="1" t="str">
        <f>'001'!C3481</f>
        <v>LATEX INTERIOR PLAVICON HABITAT LISTO PARA USAR MATE CORAL X 4</v>
      </c>
      <c r="C3481" s="1" t="str">
        <f>'001'!D3481</f>
        <v>0139</v>
      </c>
      <c r="D3481" s="3" t="e">
        <f>'001'!H3481</f>
        <v>#VALUE!</v>
      </c>
    </row>
    <row r="3482" spans="1:4" x14ac:dyDescent="0.25">
      <c r="A3482" s="1" t="str">
        <f>'001'!B3482</f>
        <v>005149</v>
      </c>
      <c r="B3482" s="1" t="str">
        <f>'001'!C3482</f>
        <v>LATEX INTERIOR PLAVICON HABITAT LISTO PARA USAR MATE CURACAO X 1</v>
      </c>
      <c r="C3482" s="1" t="str">
        <f>'001'!D3482</f>
        <v>0139</v>
      </c>
      <c r="D3482" s="3" t="e">
        <f>'001'!H3482</f>
        <v>#VALUE!</v>
      </c>
    </row>
    <row r="3483" spans="1:4" x14ac:dyDescent="0.25">
      <c r="A3483" s="1" t="str">
        <f>'001'!B3483</f>
        <v>005150</v>
      </c>
      <c r="B3483" s="1" t="str">
        <f>'001'!C3483</f>
        <v>LATEX INTERIOR PLAVICON HABITAT LISTO PARA USAR MATE CURACAO X 4</v>
      </c>
      <c r="C3483" s="1" t="str">
        <f>'001'!D3483</f>
        <v>0139</v>
      </c>
      <c r="D3483" s="3" t="e">
        <f>'001'!H3483</f>
        <v>#VALUE!</v>
      </c>
    </row>
    <row r="3484" spans="1:4" x14ac:dyDescent="0.25">
      <c r="A3484" s="1" t="str">
        <f>'001'!B3484</f>
        <v>005151</v>
      </c>
      <c r="B3484" s="1" t="str">
        <f>'001'!C3484</f>
        <v>LATEX INTERIOR PLAVICON HABITAT LISTO PARA USAR MATE DAMASCO X 1</v>
      </c>
      <c r="C3484" s="1" t="str">
        <f>'001'!D3484</f>
        <v>0139</v>
      </c>
      <c r="D3484" s="3" t="e">
        <f>'001'!H3484</f>
        <v>#VALUE!</v>
      </c>
    </row>
    <row r="3485" spans="1:4" x14ac:dyDescent="0.25">
      <c r="A3485" s="1" t="str">
        <f>'001'!B3485</f>
        <v>005152</v>
      </c>
      <c r="B3485" s="1" t="str">
        <f>'001'!C3485</f>
        <v>LATEX INTERIOR PLAVICON HABITAT LISTO PARA USAR MATE DAMASCO X 4</v>
      </c>
      <c r="C3485" s="1" t="str">
        <f>'001'!D3485</f>
        <v>0139</v>
      </c>
      <c r="D3485" s="3" t="e">
        <f>'001'!H3485</f>
        <v>#VALUE!</v>
      </c>
    </row>
    <row r="3486" spans="1:4" x14ac:dyDescent="0.25">
      <c r="A3486" s="1" t="str">
        <f>'001'!B3486</f>
        <v>005153</v>
      </c>
      <c r="B3486" s="1" t="str">
        <f>'001'!C3486</f>
        <v>LATEX INTERIOR PLAVICON HABITAT LISTO PARA USAR MATE ESMERALDA X 1</v>
      </c>
      <c r="C3486" s="1" t="str">
        <f>'001'!D3486</f>
        <v>0139</v>
      </c>
      <c r="D3486" s="3" t="e">
        <f>'001'!H3486</f>
        <v>#VALUE!</v>
      </c>
    </row>
    <row r="3487" spans="1:4" x14ac:dyDescent="0.25">
      <c r="A3487" s="1" t="str">
        <f>'001'!B3487</f>
        <v>005154</v>
      </c>
      <c r="B3487" s="1" t="str">
        <f>'001'!C3487</f>
        <v>LATEX INTERIOR PLAVICON HABITAT LISTO PARA USAR MATE ESMERALDA X 4</v>
      </c>
      <c r="C3487" s="1" t="str">
        <f>'001'!D3487</f>
        <v>0139</v>
      </c>
      <c r="D3487" s="3" t="e">
        <f>'001'!H3487</f>
        <v>#VALUE!</v>
      </c>
    </row>
    <row r="3488" spans="1:4" x14ac:dyDescent="0.25">
      <c r="A3488" s="1" t="str">
        <f>'001'!B3488</f>
        <v>005155</v>
      </c>
      <c r="B3488" s="1" t="str">
        <f>'001'!C3488</f>
        <v>LATEX INTERIOR PLAVICON HABITAT LISTO PARA USAR MATE FRAMBUESA X 1</v>
      </c>
      <c r="C3488" s="1" t="str">
        <f>'001'!D3488</f>
        <v>0139</v>
      </c>
      <c r="D3488" s="3" t="e">
        <f>'001'!H3488</f>
        <v>#VALUE!</v>
      </c>
    </row>
    <row r="3489" spans="1:4" x14ac:dyDescent="0.25">
      <c r="A3489" s="1" t="str">
        <f>'001'!B3489</f>
        <v>005156</v>
      </c>
      <c r="B3489" s="1" t="str">
        <f>'001'!C3489</f>
        <v>LATEX INTERIOR PLAVICON HABITAT LISTO PARA USAR MATE FRAMBUESA X 4</v>
      </c>
      <c r="C3489" s="1" t="str">
        <f>'001'!D3489</f>
        <v>0139</v>
      </c>
      <c r="D3489" s="3" t="e">
        <f>'001'!H3489</f>
        <v>#VALUE!</v>
      </c>
    </row>
    <row r="3490" spans="1:4" x14ac:dyDescent="0.25">
      <c r="A3490" s="1" t="str">
        <f>'001'!B3490</f>
        <v>005157</v>
      </c>
      <c r="B3490" s="1" t="str">
        <f>'001'!C3490</f>
        <v>LATEX INTERIOR PLAVICON HABITAT LISTO PARA USAR MATE GRANADA X 1</v>
      </c>
      <c r="C3490" s="1" t="str">
        <f>'001'!D3490</f>
        <v>0139</v>
      </c>
      <c r="D3490" s="3" t="e">
        <f>'001'!H3490</f>
        <v>#VALUE!</v>
      </c>
    </row>
    <row r="3491" spans="1:4" x14ac:dyDescent="0.25">
      <c r="A3491" s="1" t="str">
        <f>'001'!B3491</f>
        <v>005158</v>
      </c>
      <c r="B3491" s="1" t="str">
        <f>'001'!C3491</f>
        <v>LATEX INTERIOR PLAVICON HABITAT LISTO PARA USAR MATE GRANADA X 4</v>
      </c>
      <c r="C3491" s="1" t="str">
        <f>'001'!D3491</f>
        <v>0139</v>
      </c>
      <c r="D3491" s="3" t="e">
        <f>'001'!H3491</f>
        <v>#VALUE!</v>
      </c>
    </row>
    <row r="3492" spans="1:4" x14ac:dyDescent="0.25">
      <c r="A3492" s="1" t="str">
        <f>'001'!B3492</f>
        <v>005159</v>
      </c>
      <c r="B3492" s="1" t="str">
        <f>'001'!C3492</f>
        <v>LATEX INTERIOR PLAVICON HABITAT LISTO PARA USAR MATE MELON X 1</v>
      </c>
      <c r="C3492" s="1" t="str">
        <f>'001'!D3492</f>
        <v>0139</v>
      </c>
      <c r="D3492" s="3" t="e">
        <f>'001'!H3492</f>
        <v>#VALUE!</v>
      </c>
    </row>
    <row r="3493" spans="1:4" x14ac:dyDescent="0.25">
      <c r="A3493" s="1" t="str">
        <f>'001'!B3493</f>
        <v>005160</v>
      </c>
      <c r="B3493" s="1" t="str">
        <f>'001'!C3493</f>
        <v>LATEX INTERIOR PLAVICON HABITAT LISTO PARA USAR MATE MELON X 4</v>
      </c>
      <c r="C3493" s="1" t="str">
        <f>'001'!D3493</f>
        <v>0139</v>
      </c>
      <c r="D3493" s="3" t="e">
        <f>'001'!H3493</f>
        <v>#VALUE!</v>
      </c>
    </row>
    <row r="3494" spans="1:4" x14ac:dyDescent="0.25">
      <c r="A3494" s="1" t="str">
        <f>'001'!B3494</f>
        <v>005161</v>
      </c>
      <c r="B3494" s="1" t="str">
        <f>'001'!C3494</f>
        <v>LATEX INTERIOR PLAVICON HABITAT LISTO PARA USAR MATE MENTA X 1</v>
      </c>
      <c r="C3494" s="1" t="str">
        <f>'001'!D3494</f>
        <v>0139</v>
      </c>
      <c r="D3494" s="3" t="e">
        <f>'001'!H3494</f>
        <v>#VALUE!</v>
      </c>
    </row>
    <row r="3495" spans="1:4" x14ac:dyDescent="0.25">
      <c r="A3495" s="1" t="str">
        <f>'001'!B3495</f>
        <v>005162</v>
      </c>
      <c r="B3495" s="1" t="str">
        <f>'001'!C3495</f>
        <v>LATEX INTERIOR PLAVICON HABITAT LISTO PARA USAR MATE MENTA X 4</v>
      </c>
      <c r="C3495" s="1" t="str">
        <f>'001'!D3495</f>
        <v>0139</v>
      </c>
      <c r="D3495" s="3" t="e">
        <f>'001'!H3495</f>
        <v>#VALUE!</v>
      </c>
    </row>
    <row r="3496" spans="1:4" x14ac:dyDescent="0.25">
      <c r="A3496" s="1" t="str">
        <f>'001'!B3496</f>
        <v>005163</v>
      </c>
      <c r="B3496" s="1" t="str">
        <f>'001'!C3496</f>
        <v>LATEX INTERIOR PLAVICON HABITAT LISTO PARA USAR MATE MOSTAZA X 1</v>
      </c>
      <c r="C3496" s="1" t="str">
        <f>'001'!D3496</f>
        <v>0139</v>
      </c>
      <c r="D3496" s="3" t="e">
        <f>'001'!H3496</f>
        <v>#VALUE!</v>
      </c>
    </row>
    <row r="3497" spans="1:4" x14ac:dyDescent="0.25">
      <c r="A3497" s="1" t="str">
        <f>'001'!B3497</f>
        <v>005164</v>
      </c>
      <c r="B3497" s="1" t="str">
        <f>'001'!C3497</f>
        <v>LATEX INTERIOR PLAVICON HABITAT LISTO PARA USAR MATE MOSTAZA X 4</v>
      </c>
      <c r="C3497" s="1" t="str">
        <f>'001'!D3497</f>
        <v>0139</v>
      </c>
      <c r="D3497" s="3" t="e">
        <f>'001'!H3497</f>
        <v>#VALUE!</v>
      </c>
    </row>
    <row r="3498" spans="1:4" x14ac:dyDescent="0.25">
      <c r="A3498" s="1" t="str">
        <f>'001'!B3498</f>
        <v>005165</v>
      </c>
      <c r="B3498" s="1" t="str">
        <f>'001'!C3498</f>
        <v>LATEX INTERIOR PLAVICON HABITAT LISTO PARA USAR MATE PAPAYA X 1</v>
      </c>
      <c r="C3498" s="1" t="str">
        <f>'001'!D3498</f>
        <v>0139</v>
      </c>
      <c r="D3498" s="3" t="e">
        <f>'001'!H3498</f>
        <v>#VALUE!</v>
      </c>
    </row>
    <row r="3499" spans="1:4" x14ac:dyDescent="0.25">
      <c r="A3499" s="1" t="str">
        <f>'001'!B3499</f>
        <v>005166</v>
      </c>
      <c r="B3499" s="1" t="str">
        <f>'001'!C3499</f>
        <v>LATEX INTERIOR PLAVICON HABITAT LISTO PARA USAR MATE PAPAYA X 4</v>
      </c>
      <c r="C3499" s="1" t="str">
        <f>'001'!D3499</f>
        <v>0139</v>
      </c>
      <c r="D3499" s="3" t="e">
        <f>'001'!H3499</f>
        <v>#VALUE!</v>
      </c>
    </row>
    <row r="3500" spans="1:4" x14ac:dyDescent="0.25">
      <c r="A3500" s="1" t="str">
        <f>'001'!B3500</f>
        <v>005167</v>
      </c>
      <c r="B3500" s="1" t="str">
        <f>'001'!C3500</f>
        <v>LATEX INTERIOR PLAVICON HABITAT LISTO PARA USAR MATE PINO X 1</v>
      </c>
      <c r="C3500" s="1" t="str">
        <f>'001'!D3500</f>
        <v>0139</v>
      </c>
      <c r="D3500" s="3" t="e">
        <f>'001'!H3500</f>
        <v>#VALUE!</v>
      </c>
    </row>
    <row r="3501" spans="1:4" x14ac:dyDescent="0.25">
      <c r="A3501" s="1" t="str">
        <f>'001'!B3501</f>
        <v>005168</v>
      </c>
      <c r="B3501" s="1" t="str">
        <f>'001'!C3501</f>
        <v>LATEX INTERIOR PLAVICON HABITAT LISTO PARA USAR MATE PINO X 4</v>
      </c>
      <c r="C3501" s="1" t="str">
        <f>'001'!D3501</f>
        <v>0139</v>
      </c>
      <c r="D3501" s="3" t="e">
        <f>'001'!H3501</f>
        <v>#VALUE!</v>
      </c>
    </row>
    <row r="3502" spans="1:4" x14ac:dyDescent="0.25">
      <c r="A3502" s="1" t="str">
        <f>'001'!B3502</f>
        <v>005169</v>
      </c>
      <c r="B3502" s="1" t="str">
        <f>'001'!C3502</f>
        <v>LATEX INTERIOR PLAVICON HABITAT LISTO PARA USAR MATE PIZARRA X 1</v>
      </c>
      <c r="C3502" s="1" t="str">
        <f>'001'!D3502</f>
        <v>0139</v>
      </c>
      <c r="D3502" s="3" t="e">
        <f>'001'!H3502</f>
        <v>#VALUE!</v>
      </c>
    </row>
    <row r="3503" spans="1:4" x14ac:dyDescent="0.25">
      <c r="A3503" s="1" t="str">
        <f>'001'!B3503</f>
        <v>005170</v>
      </c>
      <c r="B3503" s="1" t="str">
        <f>'001'!C3503</f>
        <v>LATEX INTERIOR PLAVICON HABITAT LISTO PARA USAR MATE PIZARRA X 4</v>
      </c>
      <c r="C3503" s="1" t="str">
        <f>'001'!D3503</f>
        <v>0139</v>
      </c>
      <c r="D3503" s="3" t="e">
        <f>'001'!H3503</f>
        <v>#VALUE!</v>
      </c>
    </row>
    <row r="3504" spans="1:4" x14ac:dyDescent="0.25">
      <c r="A3504" s="1" t="str">
        <f>'001'!B3504</f>
        <v>005174</v>
      </c>
      <c r="B3504" s="1" t="str">
        <f>'001'!C3504</f>
        <v>EPOXI MASTIC INTERSEAL 670 HS GRIS X 20</v>
      </c>
      <c r="C3504" s="1" t="str">
        <f>'001'!D3504</f>
        <v>0111</v>
      </c>
      <c r="D3504" s="3" t="e">
        <f>'001'!H3504</f>
        <v>#VALUE!</v>
      </c>
    </row>
    <row r="3505" spans="1:4" x14ac:dyDescent="0.25">
      <c r="A3505" s="1" t="str">
        <f>'001'!B3505</f>
        <v>005176</v>
      </c>
      <c r="B3505" s="1" t="str">
        <f>'001'!C3505</f>
        <v>CEILCOTE 242 FLAKELINE CINZA X 19,64(110NCA00918)</v>
      </c>
      <c r="C3505" s="1" t="str">
        <f>'001'!D3505</f>
        <v>0111</v>
      </c>
      <c r="D3505" s="3" t="e">
        <f>'001'!H3505</f>
        <v>#VALUE!</v>
      </c>
    </row>
    <row r="3506" spans="1:4" x14ac:dyDescent="0.25">
      <c r="A3506" s="1" t="str">
        <f>'001'!B3506</f>
        <v>005177</v>
      </c>
      <c r="B3506" s="1" t="str">
        <f>'001'!C3506</f>
        <v>CEILCOTE #2 HARDENER PART. B X 0,36(110NCA00204)</v>
      </c>
      <c r="C3506" s="1" t="str">
        <f>'001'!D3506</f>
        <v>0111</v>
      </c>
      <c r="D3506" s="3" t="e">
        <f>'001'!H3506</f>
        <v>#VALUE!</v>
      </c>
    </row>
    <row r="3507" spans="1:4" x14ac:dyDescent="0.25">
      <c r="A3507" s="1" t="str">
        <f>'001'!B3507</f>
        <v>005178</v>
      </c>
      <c r="B3507" s="1" t="str">
        <f>'001'!C3507</f>
        <v>CEILCOTE 380 PRIMER PART. A X 19,64(110NCA06118)</v>
      </c>
      <c r="C3507" s="1" t="str">
        <f>'001'!D3507</f>
        <v>0111</v>
      </c>
      <c r="D3507" s="3" t="e">
        <f>'001'!H3507</f>
        <v>#VALUE!</v>
      </c>
    </row>
    <row r="3508" spans="1:4" x14ac:dyDescent="0.25">
      <c r="A3508" s="1" t="str">
        <f>'001'!B3508</f>
        <v>005180</v>
      </c>
      <c r="B3508" s="1" t="str">
        <f>'001'!C3508</f>
        <v>ESMALTE POLIURETANO ACRILICO ALBAMIX FULL WHITE X  3,7</v>
      </c>
      <c r="C3508" s="1" t="str">
        <f>'001'!D3508</f>
        <v>0192</v>
      </c>
      <c r="D3508" s="3" t="e">
        <f>'001'!H3508</f>
        <v>#VALUE!</v>
      </c>
    </row>
    <row r="3509" spans="1:4" x14ac:dyDescent="0.25">
      <c r="A3509" s="1" t="str">
        <f>'001'!B3509</f>
        <v>005186</v>
      </c>
      <c r="B3509" s="1" t="str">
        <f>'001'!C3509</f>
        <v>CONVERTIDOR P/ POLIURETANO 4585006/45701XX ALBAMIX X 1(5188812)</v>
      </c>
      <c r="C3509" s="1" t="str">
        <f>'001'!D3509</f>
        <v>0192</v>
      </c>
      <c r="D3509" s="3" t="e">
        <f>'001'!H3509</f>
        <v>#VALUE!</v>
      </c>
    </row>
    <row r="3510" spans="1:4" x14ac:dyDescent="0.25">
      <c r="A3510" s="1" t="str">
        <f>'001'!B3510</f>
        <v>005187</v>
      </c>
      <c r="B3510" s="1" t="str">
        <f>'001'!C3510</f>
        <v>ESMALTE ALTA TEMPERATURA BROCHABLE RUST OLEUM NEGRO MATE  X 0,946(322633)</v>
      </c>
      <c r="C3510" s="1" t="str">
        <f>'001'!D3510</f>
        <v>0146</v>
      </c>
      <c r="D3510" s="3" t="e">
        <f>'001'!H3510</f>
        <v>#VALUE!</v>
      </c>
    </row>
    <row r="3511" spans="1:4" x14ac:dyDescent="0.25">
      <c r="A3511" s="1" t="str">
        <f>'001'!B3511</f>
        <v>005188</v>
      </c>
      <c r="B3511" s="1" t="str">
        <f>'001'!C3511</f>
        <v>RODILLO LUMAR SIMIL LANA PARA LATEX BLANCO 50/10(1200/A)</v>
      </c>
      <c r="C3511" s="1" t="str">
        <f>'001'!D3511</f>
        <v>0128</v>
      </c>
      <c r="D3511" s="3" t="e">
        <f>'001'!H3511</f>
        <v>#VALUE!</v>
      </c>
    </row>
    <row r="3512" spans="1:4" x14ac:dyDescent="0.25">
      <c r="A3512" s="1" t="str">
        <f>'001'!B3512</f>
        <v>005189</v>
      </c>
      <c r="B3512" s="1" t="str">
        <f>'001'!C3512</f>
        <v>RODILLO LUMAR SIMIL LANA PARA LATEX BLANCO 50/17(1200/B)</v>
      </c>
      <c r="C3512" s="1" t="str">
        <f>'001'!D3512</f>
        <v>0128</v>
      </c>
      <c r="D3512" s="3" t="e">
        <f>'001'!H3512</f>
        <v>#VALUE!</v>
      </c>
    </row>
    <row r="3513" spans="1:4" x14ac:dyDescent="0.25">
      <c r="A3513" s="1" t="str">
        <f>'001'!B3513</f>
        <v>005191</v>
      </c>
      <c r="B3513" s="1" t="str">
        <f>'001'!C3513</f>
        <v>REPUESTO LUMAR SIMIL LANA PARA LATEX BLANCO 50/10(1205/A)</v>
      </c>
      <c r="C3513" s="1" t="str">
        <f>'001'!D3513</f>
        <v>0128</v>
      </c>
      <c r="D3513" s="3" t="e">
        <f>'001'!H3513</f>
        <v>#VALUE!</v>
      </c>
    </row>
    <row r="3514" spans="1:4" x14ac:dyDescent="0.25">
      <c r="A3514" s="1" t="str">
        <f>'001'!B3514</f>
        <v>005192</v>
      </c>
      <c r="B3514" s="1" t="str">
        <f>'001'!C3514</f>
        <v>REPUESTO LUMAR SIMIL LANA PARA LATEX BLANCO 50/17(1205/B)</v>
      </c>
      <c r="C3514" s="1" t="str">
        <f>'001'!D3514</f>
        <v>0128</v>
      </c>
      <c r="D3514" s="3" t="e">
        <f>'001'!H3514</f>
        <v>#VALUE!</v>
      </c>
    </row>
    <row r="3515" spans="1:4" x14ac:dyDescent="0.25">
      <c r="A3515" s="1" t="str">
        <f>'001'!B3515</f>
        <v>005193</v>
      </c>
      <c r="B3515" s="1" t="str">
        <f>'001'!C3515</f>
        <v>REPUESTO LUMAR SIMIL LANA PARA LATEX BLANCO 50/22(1205/C)</v>
      </c>
      <c r="C3515" s="1" t="str">
        <f>'001'!D3515</f>
        <v>0128</v>
      </c>
      <c r="D3515" s="3" t="e">
        <f>'001'!H3515</f>
        <v>#VALUE!</v>
      </c>
    </row>
    <row r="3516" spans="1:4" x14ac:dyDescent="0.25">
      <c r="A3516" s="1" t="str">
        <f>'001'!B3516</f>
        <v>005199</v>
      </c>
      <c r="B3516" s="1" t="str">
        <f>'001'!C3516</f>
        <v>FONDO ANTIOXIDO TERSUAVE MATE ROJO X  0,250</v>
      </c>
      <c r="C3516" s="1" t="str">
        <f>'001'!D3516</f>
        <v>0152</v>
      </c>
      <c r="D3516" s="3" t="e">
        <f>'001'!H3516</f>
        <v>#VALUE!</v>
      </c>
    </row>
    <row r="3517" spans="1:4" x14ac:dyDescent="0.25">
      <c r="A3517" s="1" t="str">
        <f>'001'!B3517</f>
        <v>005200</v>
      </c>
      <c r="B3517" s="1" t="str">
        <f>'001'!C3517</f>
        <v>MEZCLA DE ASIENTO WEBERMUR MANGA GRIS X 25</v>
      </c>
      <c r="C3517" s="1" t="str">
        <f>'001'!D3517</f>
        <v>0163</v>
      </c>
      <c r="D3517" s="3" t="e">
        <f>'001'!H3517</f>
        <v>#VALUE!</v>
      </c>
    </row>
    <row r="3518" spans="1:4" x14ac:dyDescent="0.25">
      <c r="A3518" s="1" t="str">
        <f>'001'!B3518</f>
        <v>005201</v>
      </c>
      <c r="B3518" s="1" t="str">
        <f>'001'!C3518</f>
        <v>ESMALTE ALTA TEMPERATURA BROCHABLE RUST OLEUM NEGRO MATE  X 3,785(233967)</v>
      </c>
      <c r="C3518" s="1" t="str">
        <f>'001'!D3518</f>
        <v>0146</v>
      </c>
      <c r="D3518" s="3" t="e">
        <f>'001'!H3518</f>
        <v>#VALUE!</v>
      </c>
    </row>
    <row r="3519" spans="1:4" x14ac:dyDescent="0.25">
      <c r="A3519" s="1" t="str">
        <f>'001'!B3519</f>
        <v>005204</v>
      </c>
      <c r="B3519" s="1" t="str">
        <f>'001'!C3519</f>
        <v>PEGAMENTO MAX.ADHER.PIEZAS H.80X120 WEBER SUPERFLEX GRIS X 25</v>
      </c>
      <c r="C3519" s="1" t="str">
        <f>'001'!D3519</f>
        <v>0163</v>
      </c>
      <c r="D3519" s="3" t="e">
        <f>'001'!H3519</f>
        <v>#VALUE!</v>
      </c>
    </row>
    <row r="3520" spans="1:4" x14ac:dyDescent="0.25">
      <c r="A3520" s="1" t="str">
        <f>'001'!B3520</f>
        <v>005205</v>
      </c>
      <c r="B3520" s="1" t="str">
        <f>'001'!C3520</f>
        <v>ESMALTE SINTETICO TERSILUX FERROMICACEO MATE GRAFITO X 1</v>
      </c>
      <c r="C3520" s="1" t="str">
        <f>'001'!D3520</f>
        <v>0152</v>
      </c>
      <c r="D3520" s="3" t="e">
        <f>'001'!H3520</f>
        <v>#VALUE!</v>
      </c>
    </row>
    <row r="3521" spans="1:4" x14ac:dyDescent="0.25">
      <c r="A3521" s="1" t="str">
        <f>'001'!B3521</f>
        <v>005206</v>
      </c>
      <c r="B3521" s="1" t="str">
        <f>'001'!C3521</f>
        <v>ESMALTE SINTETICO TERSILUX FERROMICACEO MATE GRAFITO X 4</v>
      </c>
      <c r="C3521" s="1" t="str">
        <f>'001'!D3521</f>
        <v>0152</v>
      </c>
      <c r="D3521" s="3" t="e">
        <f>'001'!H3521</f>
        <v>#VALUE!</v>
      </c>
    </row>
    <row r="3522" spans="1:4" x14ac:dyDescent="0.25">
      <c r="A3522" s="1" t="str">
        <f>'001'!B3522</f>
        <v>005207</v>
      </c>
      <c r="B3522" s="1" t="str">
        <f>'001'!C3522</f>
        <v>ESMALTE SINTETICO TERSILUX FERROMICACEO MATE PLATA X 1</v>
      </c>
      <c r="C3522" s="1" t="str">
        <f>'001'!D3522</f>
        <v>0152</v>
      </c>
      <c r="D3522" s="3" t="e">
        <f>'001'!H3522</f>
        <v>#VALUE!</v>
      </c>
    </row>
    <row r="3523" spans="1:4" x14ac:dyDescent="0.25">
      <c r="A3523" s="1" t="str">
        <f>'001'!B3523</f>
        <v>005208</v>
      </c>
      <c r="B3523" s="1" t="str">
        <f>'001'!C3523</f>
        <v>ESMALTE SINTETICO TERSILUX FERROMICACEO MATE PLATA X 4</v>
      </c>
      <c r="C3523" s="1" t="str">
        <f>'001'!D3523</f>
        <v>0152</v>
      </c>
      <c r="D3523" s="3" t="e">
        <f>'001'!H3523</f>
        <v>#VALUE!</v>
      </c>
    </row>
    <row r="3524" spans="1:4" x14ac:dyDescent="0.25">
      <c r="A3524" s="1" t="str">
        <f>'001'!B3524</f>
        <v>005209</v>
      </c>
      <c r="B3524" s="1" t="str">
        <f>'001'!C3524</f>
        <v>D8238/E1 CATALIZADOR P/ D8115/D8117/D8501/D8507(DP4000) X 1</v>
      </c>
      <c r="C3524" s="1" t="str">
        <f>'001'!D3524</f>
        <v>0134</v>
      </c>
      <c r="D3524" s="3" t="e">
        <f>'001'!H3524</f>
        <v>#VALUE!</v>
      </c>
    </row>
    <row r="3525" spans="1:4" x14ac:dyDescent="0.25">
      <c r="A3525" s="1" t="str">
        <f>'001'!B3525</f>
        <v>005210</v>
      </c>
      <c r="B3525" s="1" t="str">
        <f>'001'!C3525</f>
        <v>LLANA OVALADA PARA ESTUCADO 12X30(LYOV2-30)</v>
      </c>
      <c r="C3525" s="1" t="str">
        <f>'001'!D3525</f>
        <v>0165</v>
      </c>
      <c r="D3525" s="3" t="e">
        <f>'001'!H3525</f>
        <v>#VALUE!</v>
      </c>
    </row>
    <row r="3526" spans="1:4" x14ac:dyDescent="0.25">
      <c r="A3526" s="1" t="str">
        <f>'001'!B3526</f>
        <v>005211</v>
      </c>
      <c r="B3526" s="1" t="str">
        <f>'001'!C3526</f>
        <v>FONDO ANTIOXIDO TERSUAVE MATE MARFIL X  0,500</v>
      </c>
      <c r="C3526" s="1" t="str">
        <f>'001'!D3526</f>
        <v>0152</v>
      </c>
      <c r="D3526" s="3" t="e">
        <f>'001'!H3526</f>
        <v>#VALUE!</v>
      </c>
    </row>
    <row r="3527" spans="1:4" x14ac:dyDescent="0.25">
      <c r="A3527" s="1" t="str">
        <f>'001'!B3527</f>
        <v>005212</v>
      </c>
      <c r="B3527" s="1" t="str">
        <f>'001'!C3527</f>
        <v>DC3000.04 BARNIZ RAPIDO DE ALTO SOLIDO X 0,720</v>
      </c>
      <c r="C3527" s="1" t="str">
        <f>'001'!D3527</f>
        <v>0134</v>
      </c>
      <c r="D3527" s="3" t="e">
        <f>'001'!H3527</f>
        <v>#VALUE!</v>
      </c>
    </row>
    <row r="3528" spans="1:4" x14ac:dyDescent="0.25">
      <c r="A3528" s="1" t="str">
        <f>'001'!B3528</f>
        <v>005213</v>
      </c>
      <c r="B3528" s="1" t="str">
        <f>'001'!C3528</f>
        <v>DC3000FYL BARNIZ RAPIDO DE ALTO SOLIDO X 3,785</v>
      </c>
      <c r="C3528" s="1" t="str">
        <f>'001'!D3528</f>
        <v>0134</v>
      </c>
      <c r="D3528" s="3" t="e">
        <f>'001'!H3528</f>
        <v>#VALUE!</v>
      </c>
    </row>
    <row r="3529" spans="1:4" x14ac:dyDescent="0.25">
      <c r="A3529" s="1" t="str">
        <f>'001'!B3529</f>
        <v>005214</v>
      </c>
      <c r="B3529" s="1" t="str">
        <f>'001'!C3529</f>
        <v>NIVELADOR BAJO SOLADO WEBER CARPETA CON CERESITA X 30KG</v>
      </c>
      <c r="C3529" s="1" t="str">
        <f>'001'!D3529</f>
        <v>0163</v>
      </c>
      <c r="D3529" s="3" t="e">
        <f>'001'!H3529</f>
        <v>#VALUE!</v>
      </c>
    </row>
    <row r="3530" spans="1:4" x14ac:dyDescent="0.25">
      <c r="A3530" s="1" t="str">
        <f>'001'!B3530</f>
        <v>005215</v>
      </c>
      <c r="B3530" s="1" t="str">
        <f>'001'!C3530</f>
        <v>FONDO ANTIOXIDO TERSUAVE MATE NEGRO X  0,500</v>
      </c>
      <c r="C3530" s="1" t="str">
        <f>'001'!D3530</f>
        <v>0152</v>
      </c>
      <c r="D3530" s="3" t="e">
        <f>'001'!H3530</f>
        <v>#VALUE!</v>
      </c>
    </row>
    <row r="3531" spans="1:4" x14ac:dyDescent="0.25">
      <c r="A3531" s="1" t="str">
        <f>'001'!B3531</f>
        <v>005216</v>
      </c>
      <c r="B3531" s="1" t="str">
        <f>'001'!C3531</f>
        <v>ANCLAJE CEMENTICIO ALTA RESISTENCIA WEBER GROUT GRIS X 30KG</v>
      </c>
      <c r="C3531" s="1" t="str">
        <f>'001'!D3531</f>
        <v>0163</v>
      </c>
      <c r="D3531" s="3" t="e">
        <f>'001'!H3531</f>
        <v>#VALUE!</v>
      </c>
    </row>
    <row r="3532" spans="1:4" x14ac:dyDescent="0.25">
      <c r="A3532" s="1" t="str">
        <f>'001'!B3532</f>
        <v>005226</v>
      </c>
      <c r="B3532" s="1" t="str">
        <f>'001'!C3532</f>
        <v>LACA NITROCELULOSICA COLVINIL BRILLANTE X  0,900</v>
      </c>
      <c r="C3532" s="1" t="str">
        <f>'001'!D3532</f>
        <v>0119</v>
      </c>
      <c r="D3532" s="3" t="e">
        <f>'001'!H3532</f>
        <v>#VALUE!</v>
      </c>
    </row>
    <row r="3533" spans="1:4" x14ac:dyDescent="0.25">
      <c r="A3533" s="1" t="str">
        <f>'001'!B3533</f>
        <v>005227</v>
      </c>
      <c r="B3533" s="1" t="str">
        <f>'001'!C3533</f>
        <v>FONDO ANTIOXIDO TERSUAVE MATE GRIS X  0,500</v>
      </c>
      <c r="C3533" s="1" t="str">
        <f>'001'!D3533</f>
        <v>0152</v>
      </c>
      <c r="D3533" s="3" t="e">
        <f>'001'!H3533</f>
        <v>#VALUE!</v>
      </c>
    </row>
    <row r="3534" spans="1:4" x14ac:dyDescent="0.25">
      <c r="A3534" s="1" t="str">
        <f>'001'!B3534</f>
        <v>005228</v>
      </c>
      <c r="B3534" s="1" t="str">
        <f>'001'!C3534</f>
        <v>LACA NITROCELULOSICA COLVINIL BRILLANTE X  3,600</v>
      </c>
      <c r="C3534" s="1" t="str">
        <f>'001'!D3534</f>
        <v>0119</v>
      </c>
      <c r="D3534" s="3" t="e">
        <f>'001'!H3534</f>
        <v>#VALUE!</v>
      </c>
    </row>
    <row r="3535" spans="1:4" x14ac:dyDescent="0.25">
      <c r="A3535" s="1" t="str">
        <f>'001'!B3535</f>
        <v>005229</v>
      </c>
      <c r="B3535" s="1" t="str">
        <f>'001'!C3535</f>
        <v>LACA NITROCELULOSICA COLVINIL BRILLANTE X 18</v>
      </c>
      <c r="C3535" s="1" t="str">
        <f>'001'!D3535</f>
        <v>0119</v>
      </c>
      <c r="D3535" s="3" t="e">
        <f>'001'!H3535</f>
        <v>#VALUE!</v>
      </c>
    </row>
    <row r="3536" spans="1:4" x14ac:dyDescent="0.25">
      <c r="A3536" s="1" t="str">
        <f>'001'!B3536</f>
        <v>005244</v>
      </c>
      <c r="B3536" s="1" t="str">
        <f>'001'!C3536</f>
        <v>FONDO ANTIOXIDO TERSUAVE MATE VERDE X  0,500</v>
      </c>
      <c r="C3536" s="1" t="str">
        <f>'001'!D3536</f>
        <v>0152</v>
      </c>
      <c r="D3536" s="3" t="e">
        <f>'001'!H3536</f>
        <v>#VALUE!</v>
      </c>
    </row>
    <row r="3537" spans="1:4" x14ac:dyDescent="0.25">
      <c r="A3537" s="1" t="str">
        <f>'001'!B3537</f>
        <v>005272</v>
      </c>
      <c r="B3537" s="1" t="str">
        <f>'001'!C3537</f>
        <v>PERFUME PARA EL AUTOMOTOR LIBELLE COCO Y ALGODON X 0,125</v>
      </c>
      <c r="C3537" s="1" t="str">
        <f>'001'!D3537</f>
        <v>0190</v>
      </c>
      <c r="D3537" s="3" t="e">
        <f>'001'!H3537</f>
        <v>#VALUE!</v>
      </c>
    </row>
    <row r="3538" spans="1:4" x14ac:dyDescent="0.25">
      <c r="A3538" s="1" t="str">
        <f>'001'!B3538</f>
        <v>005273</v>
      </c>
      <c r="B3538" s="1" t="str">
        <f>'001'!C3538</f>
        <v>PERFUME PARA EL AUTOMOTOR LIBELLE CEDRO Y SANDALO X 0,125</v>
      </c>
      <c r="C3538" s="1" t="str">
        <f>'001'!D3538</f>
        <v>0190</v>
      </c>
      <c r="D3538" s="3" t="e">
        <f>'001'!H3538</f>
        <v>#VALUE!</v>
      </c>
    </row>
    <row r="3539" spans="1:4" x14ac:dyDescent="0.25">
      <c r="A3539" s="1" t="str">
        <f>'001'!B3539</f>
        <v>005274</v>
      </c>
      <c r="B3539" s="1" t="str">
        <f>'001'!C3539</f>
        <v>PERFUME PARA EL AUTOMOTOR LIBELLE TABACO Y BAMBU X 0,125</v>
      </c>
      <c r="C3539" s="1" t="str">
        <f>'001'!D3539</f>
        <v>0190</v>
      </c>
      <c r="D3539" s="3" t="e">
        <f>'001'!H3539</f>
        <v>#VALUE!</v>
      </c>
    </row>
    <row r="3540" spans="1:4" x14ac:dyDescent="0.25">
      <c r="A3540" s="1" t="str">
        <f>'001'!B3540</f>
        <v>005275</v>
      </c>
      <c r="B3540" s="1" t="str">
        <f>'001'!C3540</f>
        <v>PERFUME PARA EL AUTOMOTOR LIBELLE SANDALO INTENSO X 0,125</v>
      </c>
      <c r="C3540" s="1" t="str">
        <f>'001'!D3540</f>
        <v>0190</v>
      </c>
      <c r="D3540" s="3" t="e">
        <f>'001'!H3540</f>
        <v>#VALUE!</v>
      </c>
    </row>
    <row r="3541" spans="1:4" x14ac:dyDescent="0.25">
      <c r="A3541" s="1" t="str">
        <f>'001'!B3541</f>
        <v>005276</v>
      </c>
      <c r="B3541" s="1" t="str">
        <f>'001'!C3541</f>
        <v>PERFUME PARA EL AUTOMOTOR LIBELLE MADERA Y FLORES  X 0,125</v>
      </c>
      <c r="C3541" s="1" t="str">
        <f>'001'!D3541</f>
        <v>0190</v>
      </c>
      <c r="D3541" s="3" t="e">
        <f>'001'!H3541</f>
        <v>#VALUE!</v>
      </c>
    </row>
    <row r="3542" spans="1:4" x14ac:dyDescent="0.25">
      <c r="A3542" s="1" t="str">
        <f>'001'!B3542</f>
        <v>005277</v>
      </c>
      <c r="B3542" s="1" t="str">
        <f>'001'!C3542</f>
        <v>PERFUME PARA EL AUTOMOTOR LIBELLE TE VERDE Y PEPINO X 0,125</v>
      </c>
      <c r="C3542" s="1" t="str">
        <f>'001'!D3542</f>
        <v>0190</v>
      </c>
      <c r="D3542" s="3" t="e">
        <f>'001'!H3542</f>
        <v>#VALUE!</v>
      </c>
    </row>
    <row r="3543" spans="1:4" x14ac:dyDescent="0.25">
      <c r="A3543" s="1" t="str">
        <f>'001'!B3543</f>
        <v>005278</v>
      </c>
      <c r="B3543" s="1" t="str">
        <f>'001'!C3543</f>
        <v>PERFUME PARA EL AUTOMOTOR LIBELLE COCO Y MARACUYA X 0,125</v>
      </c>
      <c r="C3543" s="1" t="str">
        <f>'001'!D3543</f>
        <v>0190</v>
      </c>
      <c r="D3543" s="3" t="e">
        <f>'001'!H3543</f>
        <v>#VALUE!</v>
      </c>
    </row>
    <row r="3544" spans="1:4" x14ac:dyDescent="0.25">
      <c r="A3544" s="1" t="str">
        <f>'001'!B3544</f>
        <v>005279</v>
      </c>
      <c r="B3544" s="1" t="str">
        <f>'001'!C3544</f>
        <v>PERFUME PARA EL AUTOMOTOR LIBELLE AMBAR FLORAL X 0,125</v>
      </c>
      <c r="C3544" s="1" t="str">
        <f>'001'!D3544</f>
        <v>0190</v>
      </c>
      <c r="D3544" s="3" t="e">
        <f>'001'!H3544</f>
        <v>#VALUE!</v>
      </c>
    </row>
    <row r="3545" spans="1:4" x14ac:dyDescent="0.25">
      <c r="A3545" s="1" t="str">
        <f>'001'!B3545</f>
        <v>005280</v>
      </c>
      <c r="B3545" s="1" t="str">
        <f>'001'!C3545</f>
        <v>PERFUME PARA EL AUTOMOTOR LIBELLE CITRICOS Y ALMENDRAS X 0,125</v>
      </c>
      <c r="C3545" s="1" t="str">
        <f>'001'!D3545</f>
        <v>0190</v>
      </c>
      <c r="D3545" s="3" t="e">
        <f>'001'!H3545</f>
        <v>#VALUE!</v>
      </c>
    </row>
    <row r="3546" spans="1:4" x14ac:dyDescent="0.25">
      <c r="A3546" s="1" t="str">
        <f>'001'!B3546</f>
        <v>005281</v>
      </c>
      <c r="B3546" s="1" t="str">
        <f>'001'!C3546</f>
        <v>PERFUME PARA EL AUTOMOTOR LIBELLE POMELO Y MELON X 0,125</v>
      </c>
      <c r="C3546" s="1" t="str">
        <f>'001'!D3546</f>
        <v>0190</v>
      </c>
      <c r="D3546" s="3" t="e">
        <f>'001'!H3546</f>
        <v>#VALUE!</v>
      </c>
    </row>
    <row r="3547" spans="1:4" x14ac:dyDescent="0.25">
      <c r="A3547" s="1" t="str">
        <f>'001'!B3547</f>
        <v>005282</v>
      </c>
      <c r="B3547" s="1" t="str">
        <f>'001'!C3547</f>
        <v>PERFUME PARA EL AUTOMOTOR LIBELLE CUERO X 0,125</v>
      </c>
      <c r="C3547" s="1" t="str">
        <f>'001'!D3547</f>
        <v>0190</v>
      </c>
      <c r="D3547" s="3" t="e">
        <f>'001'!H3547</f>
        <v>#VALUE!</v>
      </c>
    </row>
    <row r="3548" spans="1:4" x14ac:dyDescent="0.25">
      <c r="A3548" s="1" t="str">
        <f>'001'!B3548</f>
        <v>005285</v>
      </c>
      <c r="B3548" s="1" t="str">
        <f>'001'!C3548</f>
        <v>DEMARCACION VIAL ALTO TRANSITO PISOACRIL NEGRO X  4</v>
      </c>
      <c r="C3548" s="1" t="str">
        <f>'001'!D3548</f>
        <v>0139</v>
      </c>
      <c r="D3548" s="3" t="e">
        <f>'001'!H3548</f>
        <v>#VALUE!</v>
      </c>
    </row>
    <row r="3549" spans="1:4" x14ac:dyDescent="0.25">
      <c r="A3549" s="1" t="str">
        <f>'001'!B3549</f>
        <v>005286</v>
      </c>
      <c r="B3549" s="1" t="str">
        <f>'001'!C3549</f>
        <v>DEMARCACION VIAL ALTO TRANSITO PISOACRIL NEGRO X 20</v>
      </c>
      <c r="C3549" s="1" t="str">
        <f>'001'!D3549</f>
        <v>0139</v>
      </c>
      <c r="D3549" s="3" t="e">
        <f>'001'!H3549</f>
        <v>#VALUE!</v>
      </c>
    </row>
    <row r="3550" spans="1:4" x14ac:dyDescent="0.25">
      <c r="A3550" s="1" t="str">
        <f>'001'!B3550</f>
        <v>005299</v>
      </c>
      <c r="B3550" s="1" t="str">
        <f>'001'!C3550</f>
        <v>FONDO ANTIOXIDO TERSUAVE MATE ROJO X  0,500</v>
      </c>
      <c r="C3550" s="1" t="str">
        <f>'001'!D3550</f>
        <v>0152</v>
      </c>
      <c r="D3550" s="3" t="e">
        <f>'001'!H3550</f>
        <v>#VALUE!</v>
      </c>
    </row>
    <row r="3551" spans="1:4" x14ac:dyDescent="0.25">
      <c r="A3551" s="1" t="str">
        <f>'001'!B3551</f>
        <v>005300</v>
      </c>
      <c r="B3551" s="1" t="str">
        <f>'001'!C3551</f>
        <v>MINI DIFUSOR LIBELLE CUERO X 10ML</v>
      </c>
      <c r="C3551" s="1" t="str">
        <f>'001'!D3551</f>
        <v>0190</v>
      </c>
      <c r="D3551" s="3" t="e">
        <f>'001'!H3551</f>
        <v>#VALUE!</v>
      </c>
    </row>
    <row r="3552" spans="1:4" x14ac:dyDescent="0.25">
      <c r="A3552" s="1" t="str">
        <f>'001'!B3552</f>
        <v>005301</v>
      </c>
      <c r="B3552" s="1" t="str">
        <f>'001'!C3552</f>
        <v>MINI DIFUSOR LIBELLE POMELO Y MELON X 10ML</v>
      </c>
      <c r="C3552" s="1" t="str">
        <f>'001'!D3552</f>
        <v>0190</v>
      </c>
      <c r="D3552" s="3" t="e">
        <f>'001'!H3552</f>
        <v>#VALUE!</v>
      </c>
    </row>
    <row r="3553" spans="1:4" x14ac:dyDescent="0.25">
      <c r="A3553" s="1" t="str">
        <f>'001'!B3553</f>
        <v>005302</v>
      </c>
      <c r="B3553" s="1" t="str">
        <f>'001'!C3553</f>
        <v>MINI DIFUSOR LIBELLE CITRICOS Y ALMENDRAS X 10ML</v>
      </c>
      <c r="C3553" s="1" t="str">
        <f>'001'!D3553</f>
        <v>0190</v>
      </c>
      <c r="D3553" s="3" t="e">
        <f>'001'!H3553</f>
        <v>#VALUE!</v>
      </c>
    </row>
    <row r="3554" spans="1:4" x14ac:dyDescent="0.25">
      <c r="A3554" s="1" t="str">
        <f>'001'!B3554</f>
        <v>005303</v>
      </c>
      <c r="B3554" s="1" t="str">
        <f>'001'!C3554</f>
        <v>MINI DIFUSOR LIBELLE AMBAR FLORAL X 10ML</v>
      </c>
      <c r="C3554" s="1" t="str">
        <f>'001'!D3554</f>
        <v>0190</v>
      </c>
      <c r="D3554" s="3" t="e">
        <f>'001'!H3554</f>
        <v>#VALUE!</v>
      </c>
    </row>
    <row r="3555" spans="1:4" x14ac:dyDescent="0.25">
      <c r="A3555" s="1" t="str">
        <f>'001'!B3555</f>
        <v>005304</v>
      </c>
      <c r="B3555" s="1" t="str">
        <f>'001'!C3555</f>
        <v>MINI DIFUSOR LIBELLE COCO Y MARACUYA X 10ML</v>
      </c>
      <c r="C3555" s="1" t="str">
        <f>'001'!D3555</f>
        <v>0190</v>
      </c>
      <c r="D3555" s="3" t="e">
        <f>'001'!H3555</f>
        <v>#VALUE!</v>
      </c>
    </row>
    <row r="3556" spans="1:4" x14ac:dyDescent="0.25">
      <c r="A3556" s="1" t="str">
        <f>'001'!B3556</f>
        <v>005305</v>
      </c>
      <c r="B3556" s="1" t="str">
        <f>'001'!C3556</f>
        <v>MINI DIFUSOR LIBELLE TE VERDE Y PEPINO X 10ML</v>
      </c>
      <c r="C3556" s="1" t="str">
        <f>'001'!D3556</f>
        <v>0190</v>
      </c>
      <c r="D3556" s="3" t="e">
        <f>'001'!H3556</f>
        <v>#VALUE!</v>
      </c>
    </row>
    <row r="3557" spans="1:4" x14ac:dyDescent="0.25">
      <c r="A3557" s="1" t="str">
        <f>'001'!B3557</f>
        <v>005306</v>
      </c>
      <c r="B3557" s="1" t="str">
        <f>'001'!C3557</f>
        <v>MINI DIFUSOR LIBELLE MADERA Y FLORES X 10ML</v>
      </c>
      <c r="C3557" s="1" t="str">
        <f>'001'!D3557</f>
        <v>0190</v>
      </c>
      <c r="D3557" s="3" t="e">
        <f>'001'!H3557</f>
        <v>#VALUE!</v>
      </c>
    </row>
    <row r="3558" spans="1:4" x14ac:dyDescent="0.25">
      <c r="A3558" s="1" t="str">
        <f>'001'!B3558</f>
        <v>005307</v>
      </c>
      <c r="B3558" s="1" t="str">
        <f>'001'!C3558</f>
        <v>MINI DIFUSOR LIBELLE SANDALO INTENSO X 10ML</v>
      </c>
      <c r="C3558" s="1" t="str">
        <f>'001'!D3558</f>
        <v>0190</v>
      </c>
      <c r="D3558" s="3" t="e">
        <f>'001'!H3558</f>
        <v>#VALUE!</v>
      </c>
    </row>
    <row r="3559" spans="1:4" x14ac:dyDescent="0.25">
      <c r="A3559" s="1" t="str">
        <f>'001'!B3559</f>
        <v>005308</v>
      </c>
      <c r="B3559" s="1" t="str">
        <f>'001'!C3559</f>
        <v>MINI DIFUSOR LIBELLE TABACO Y BAMBU X 10ML</v>
      </c>
      <c r="C3559" s="1" t="str">
        <f>'001'!D3559</f>
        <v>0190</v>
      </c>
      <c r="D3559" s="3" t="e">
        <f>'001'!H3559</f>
        <v>#VALUE!</v>
      </c>
    </row>
    <row r="3560" spans="1:4" x14ac:dyDescent="0.25">
      <c r="A3560" s="1" t="str">
        <f>'001'!B3560</f>
        <v>005309</v>
      </c>
      <c r="B3560" s="1" t="str">
        <f>'001'!C3560</f>
        <v>MINI DIFUSOR LIBELLE CEDRO Y SANDALO X 10ML</v>
      </c>
      <c r="C3560" s="1" t="str">
        <f>'001'!D3560</f>
        <v>0190</v>
      </c>
      <c r="D3560" s="3" t="e">
        <f>'001'!H3560</f>
        <v>#VALUE!</v>
      </c>
    </row>
    <row r="3561" spans="1:4" x14ac:dyDescent="0.25">
      <c r="A3561" s="1" t="str">
        <f>'001'!B3561</f>
        <v>005310</v>
      </c>
      <c r="B3561" s="1" t="str">
        <f>'001'!C3561</f>
        <v>MINI DIFUSOR LIBELLE COCO Y ALGODON X 10ML</v>
      </c>
      <c r="C3561" s="1" t="str">
        <f>'001'!D3561</f>
        <v>0190</v>
      </c>
      <c r="D3561" s="3" t="e">
        <f>'001'!H3561</f>
        <v>#VALUE!</v>
      </c>
    </row>
    <row r="3562" spans="1:4" x14ac:dyDescent="0.25">
      <c r="A3562" s="1" t="str">
        <f>'001'!B3562</f>
        <v>005311</v>
      </c>
      <c r="B3562" s="1" t="str">
        <f>'001'!C3562</f>
        <v>FONDO ANTIOXIDO TERSUAVE MATE MARFIL X  1</v>
      </c>
      <c r="C3562" s="1" t="str">
        <f>'001'!D3562</f>
        <v>0152</v>
      </c>
      <c r="D3562" s="3" t="e">
        <f>'001'!H3562</f>
        <v>#VALUE!</v>
      </c>
    </row>
    <row r="3563" spans="1:4" x14ac:dyDescent="0.25">
      <c r="A3563" s="1" t="str">
        <f>'001'!B3563</f>
        <v>005312</v>
      </c>
      <c r="B3563" s="1" t="str">
        <f>'001'!C3563</f>
        <v>ESMALTE SINTETICO TERSUAVE SATINADO BASE W X  0,900</v>
      </c>
      <c r="C3563" s="1" t="str">
        <f>'001'!D3563</f>
        <v>0154</v>
      </c>
      <c r="D3563" s="3" t="e">
        <f>'001'!H3563</f>
        <v>#VALUE!</v>
      </c>
    </row>
    <row r="3564" spans="1:4" x14ac:dyDescent="0.25">
      <c r="A3564" s="1" t="str">
        <f>'001'!B3564</f>
        <v>005313</v>
      </c>
      <c r="B3564" s="1" t="str">
        <f>'001'!C3564</f>
        <v>ESMALTE SINTETICO TERSUAVE SATINADO BASE W X  3,600</v>
      </c>
      <c r="C3564" s="1" t="str">
        <f>'001'!D3564</f>
        <v>0154</v>
      </c>
      <c r="D3564" s="3" t="e">
        <f>'001'!H3564</f>
        <v>#VALUE!</v>
      </c>
    </row>
    <row r="3565" spans="1:4" x14ac:dyDescent="0.25">
      <c r="A3565" s="1" t="str">
        <f>'001'!B3565</f>
        <v>005315</v>
      </c>
      <c r="B3565" s="1" t="str">
        <f>'001'!C3565</f>
        <v>FONDO ANTIOXIDO TERSUAVE MATE NEGRO X  1</v>
      </c>
      <c r="C3565" s="1" t="str">
        <f>'001'!D3565</f>
        <v>0152</v>
      </c>
      <c r="D3565" s="3" t="e">
        <f>'001'!H3565</f>
        <v>#VALUE!</v>
      </c>
    </row>
    <row r="3566" spans="1:4" x14ac:dyDescent="0.25">
      <c r="A3566" s="1" t="str">
        <f>'001'!B3566</f>
        <v>005327</v>
      </c>
      <c r="B3566" s="1" t="str">
        <f>'001'!C3566</f>
        <v>FONDO ANTIOXIDO TERSUAVE MATE GRIS X  1</v>
      </c>
      <c r="C3566" s="1" t="str">
        <f>'001'!D3566</f>
        <v>0152</v>
      </c>
      <c r="D3566" s="3" t="e">
        <f>'001'!H3566</f>
        <v>#VALUE!</v>
      </c>
    </row>
    <row r="3567" spans="1:4" x14ac:dyDescent="0.25">
      <c r="A3567" s="1" t="str">
        <f>'001'!B3567</f>
        <v>005329</v>
      </c>
      <c r="B3567" s="1" t="str">
        <f>'001'!C3567</f>
        <v>HP EPOXI 9100 MASTIC AMARILLO SEGURIDAD X 3,785 (357492/9144402)</v>
      </c>
      <c r="C3567" s="1" t="str">
        <f>'001'!D3567</f>
        <v>0158</v>
      </c>
      <c r="D3567" s="3" t="e">
        <f>'001'!H3567</f>
        <v>#VALUE!</v>
      </c>
    </row>
    <row r="3568" spans="1:4" x14ac:dyDescent="0.25">
      <c r="A3568" s="1" t="str">
        <f>'001'!B3568</f>
        <v>005330</v>
      </c>
      <c r="B3568" s="1" t="str">
        <f>'001'!C3568</f>
        <v>HP EPOXI 9100 MASTIC GRIS NAVAL X 3,785 (357488)</v>
      </c>
      <c r="C3568" s="1" t="str">
        <f>'001'!D3568</f>
        <v>0158</v>
      </c>
      <c r="D3568" s="3" t="e">
        <f>'001'!H3568</f>
        <v>#VALUE!</v>
      </c>
    </row>
    <row r="3569" spans="1:4" x14ac:dyDescent="0.25">
      <c r="A3569" s="1" t="str">
        <f>'001'!B3569</f>
        <v>005332</v>
      </c>
      <c r="B3569" s="1" t="str">
        <f>'001'!C3569</f>
        <v>ESMALTE POLIURETANO FAST-GUARD VANGUARD  TRANSPARENTE X  3</v>
      </c>
      <c r="C3569" s="1" t="str">
        <f>'001'!D3569</f>
        <v>0195</v>
      </c>
      <c r="D3569" s="3" t="e">
        <f>'001'!H3569</f>
        <v>#VALUE!</v>
      </c>
    </row>
    <row r="3570" spans="1:4" x14ac:dyDescent="0.25">
      <c r="A3570" s="1" t="str">
        <f>'001'!B3570</f>
        <v>005333</v>
      </c>
      <c r="B3570" s="1" t="str">
        <f>'001'!C3570</f>
        <v>ESMALTE POLIURETANO FAST-GUARD VANGUARD  TRANSPARENTE X 15</v>
      </c>
      <c r="C3570" s="1" t="str">
        <f>'001'!D3570</f>
        <v>0195</v>
      </c>
      <c r="D3570" s="3" t="e">
        <f>'001'!H3570</f>
        <v>#VALUE!</v>
      </c>
    </row>
    <row r="3571" spans="1:4" x14ac:dyDescent="0.25">
      <c r="A3571" s="1" t="str">
        <f>'001'!B3571</f>
        <v>005334</v>
      </c>
      <c r="B3571" s="1" t="str">
        <f>'001'!C3571</f>
        <v>ESMALTE POLIURETANO FAST-GUARD VANGUARD  BLANCO X  3,7</v>
      </c>
      <c r="C3571" s="1" t="str">
        <f>'001'!D3571</f>
        <v>0195</v>
      </c>
      <c r="D3571" s="3" t="e">
        <f>'001'!H3571</f>
        <v>#VALUE!</v>
      </c>
    </row>
    <row r="3572" spans="1:4" x14ac:dyDescent="0.25">
      <c r="A3572" s="1" t="str">
        <f>'001'!B3572</f>
        <v>005335</v>
      </c>
      <c r="B3572" s="1" t="str">
        <f>'001'!C3572</f>
        <v>ESMALTE POLIURETANO FAST-GUARD VANGUARD  BLANCO X 18,5</v>
      </c>
      <c r="C3572" s="1" t="str">
        <f>'001'!D3572</f>
        <v>0195</v>
      </c>
      <c r="D3572" s="3" t="e">
        <f>'001'!H3572</f>
        <v>#VALUE!</v>
      </c>
    </row>
    <row r="3573" spans="1:4" x14ac:dyDescent="0.25">
      <c r="A3573" s="1" t="str">
        <f>'001'!B3573</f>
        <v>005336</v>
      </c>
      <c r="B3573" s="1" t="str">
        <f>'001'!C3573</f>
        <v>ESMALTE POLIURETANO ALTO BRILLO VANGUARD  TRANSPARENTE X  3,2</v>
      </c>
      <c r="C3573" s="1" t="str">
        <f>'001'!D3573</f>
        <v>0195</v>
      </c>
      <c r="D3573" s="3" t="e">
        <f>'001'!H3573</f>
        <v>#VALUE!</v>
      </c>
    </row>
    <row r="3574" spans="1:4" x14ac:dyDescent="0.25">
      <c r="A3574" s="1" t="str">
        <f>'001'!B3574</f>
        <v>005337</v>
      </c>
      <c r="B3574" s="1" t="str">
        <f>'001'!C3574</f>
        <v>ESMALTE POLIURETANO ALTO BRILLO VANGUARD  TRANSPARENTE X 16</v>
      </c>
      <c r="C3574" s="1" t="str">
        <f>'001'!D3574</f>
        <v>0195</v>
      </c>
      <c r="D3574" s="3" t="e">
        <f>'001'!H3574</f>
        <v>#VALUE!</v>
      </c>
    </row>
    <row r="3575" spans="1:4" x14ac:dyDescent="0.25">
      <c r="A3575" s="1" t="str">
        <f>'001'!B3575</f>
        <v>005338</v>
      </c>
      <c r="B3575" s="1" t="str">
        <f>'001'!C3575</f>
        <v>ESMALTE POLIURETANO ALTO BRILLO VANGUARD  BLANCO X  3,2</v>
      </c>
      <c r="C3575" s="1" t="str">
        <f>'001'!D3575</f>
        <v>0195</v>
      </c>
      <c r="D3575" s="3" t="e">
        <f>'001'!H3575</f>
        <v>#VALUE!</v>
      </c>
    </row>
    <row r="3576" spans="1:4" x14ac:dyDescent="0.25">
      <c r="A3576" s="1" t="str">
        <f>'001'!B3576</f>
        <v>005339</v>
      </c>
      <c r="B3576" s="1" t="str">
        <f>'001'!C3576</f>
        <v>ESMALTE POLIURETANO ALTO BRILLO VANGUARD  BLANCO X 16</v>
      </c>
      <c r="C3576" s="1" t="str">
        <f>'001'!D3576</f>
        <v>0195</v>
      </c>
      <c r="D3576" s="3" t="e">
        <f>'001'!H3576</f>
        <v>#VALUE!</v>
      </c>
    </row>
    <row r="3577" spans="1:4" x14ac:dyDescent="0.25">
      <c r="A3577" s="1" t="str">
        <f>'001'!B3577</f>
        <v>005340</v>
      </c>
      <c r="B3577" s="1" t="str">
        <f>'001'!C3577</f>
        <v>CONVERTIDOR PARA POLIURETANO VANGUARD X  0,800</v>
      </c>
      <c r="C3577" s="1" t="str">
        <f>'001'!D3577</f>
        <v>0195</v>
      </c>
      <c r="D3577" s="3" t="e">
        <f>'001'!H3577</f>
        <v>#VALUE!</v>
      </c>
    </row>
    <row r="3578" spans="1:4" x14ac:dyDescent="0.25">
      <c r="A3578" s="1" t="str">
        <f>'001'!B3578</f>
        <v>005341</v>
      </c>
      <c r="B3578" s="1" t="str">
        <f>'001'!C3578</f>
        <v>CONVERTIDOR PARA POLIURETANO VANGUARD X  1</v>
      </c>
      <c r="C3578" s="1" t="str">
        <f>'001'!D3578</f>
        <v>0195</v>
      </c>
      <c r="D3578" s="3" t="e">
        <f>'001'!H3578</f>
        <v>#VALUE!</v>
      </c>
    </row>
    <row r="3579" spans="1:4" x14ac:dyDescent="0.25">
      <c r="A3579" s="1" t="str">
        <f>'001'!B3579</f>
        <v>005342</v>
      </c>
      <c r="B3579" s="1" t="str">
        <f>'001'!C3579</f>
        <v>CONVERTIDOR PARA POLIURETANO VANGUARD X  4</v>
      </c>
      <c r="C3579" s="1" t="str">
        <f>'001'!D3579</f>
        <v>0195</v>
      </c>
      <c r="D3579" s="3" t="e">
        <f>'001'!H3579</f>
        <v>#VALUE!</v>
      </c>
    </row>
    <row r="3580" spans="1:4" x14ac:dyDescent="0.25">
      <c r="A3580" s="1" t="str">
        <f>'001'!B3580</f>
        <v>005343</v>
      </c>
      <c r="B3580" s="1" t="str">
        <f>'001'!C3580</f>
        <v>CONVERTIDOR PARA POLIURETANO VANGUARD X 20</v>
      </c>
      <c r="C3580" s="1" t="str">
        <f>'001'!D3580</f>
        <v>0195</v>
      </c>
      <c r="D3580" s="3" t="e">
        <f>'001'!H3580</f>
        <v>#VALUE!</v>
      </c>
    </row>
    <row r="3581" spans="1:4" x14ac:dyDescent="0.25">
      <c r="A3581" s="1" t="str">
        <f>'001'!B3581</f>
        <v>005344</v>
      </c>
      <c r="B3581" s="1" t="str">
        <f>'001'!C3581</f>
        <v>FONDO ANTIOXIDO TERSUAVE MATE VERDE X  1</v>
      </c>
      <c r="C3581" s="1" t="str">
        <f>'001'!D3581</f>
        <v>0152</v>
      </c>
      <c r="D3581" s="3" t="e">
        <f>'001'!H3581</f>
        <v>#VALUE!</v>
      </c>
    </row>
    <row r="3582" spans="1:4" x14ac:dyDescent="0.25">
      <c r="A3582" s="1" t="str">
        <f>'001'!B3582</f>
        <v>005345</v>
      </c>
      <c r="B3582" s="1" t="str">
        <f>'001'!C3582</f>
        <v>CONCENTRADO VANGUARD BLANCO X 4</v>
      </c>
      <c r="C3582" s="1" t="str">
        <f>'001'!D3582</f>
        <v>0195</v>
      </c>
      <c r="D3582" s="3" t="e">
        <f>'001'!H3582</f>
        <v>#VALUE!</v>
      </c>
    </row>
    <row r="3583" spans="1:4" x14ac:dyDescent="0.25">
      <c r="A3583" s="1" t="str">
        <f>'001'!B3583</f>
        <v>005346</v>
      </c>
      <c r="B3583" s="1" t="str">
        <f>'001'!C3583</f>
        <v>CONCENTRADO VANGUARD AMARILLO OXIDO X 4</v>
      </c>
      <c r="C3583" s="1" t="str">
        <f>'001'!D3583</f>
        <v>0195</v>
      </c>
      <c r="D3583" s="3" t="e">
        <f>'001'!H3583</f>
        <v>#VALUE!</v>
      </c>
    </row>
    <row r="3584" spans="1:4" x14ac:dyDescent="0.25">
      <c r="A3584" s="1" t="str">
        <f>'001'!B3584</f>
        <v>005347</v>
      </c>
      <c r="B3584" s="1" t="str">
        <f>'001'!C3584</f>
        <v>CONCENTRADO VANGUARD ROJO OXIDO X 4</v>
      </c>
      <c r="C3584" s="1" t="str">
        <f>'001'!D3584</f>
        <v>0195</v>
      </c>
      <c r="D3584" s="3" t="e">
        <f>'001'!H3584</f>
        <v>#VALUE!</v>
      </c>
    </row>
    <row r="3585" spans="1:4" x14ac:dyDescent="0.25">
      <c r="A3585" s="1" t="str">
        <f>'001'!B3585</f>
        <v>005348</v>
      </c>
      <c r="B3585" s="1" t="str">
        <f>'001'!C3585</f>
        <v>CONCENTRADO VANGUARD VERDE FTALO X 4</v>
      </c>
      <c r="C3585" s="1" t="str">
        <f>'001'!D3585</f>
        <v>0195</v>
      </c>
      <c r="D3585" s="3" t="e">
        <f>'001'!H3585</f>
        <v>#VALUE!</v>
      </c>
    </row>
    <row r="3586" spans="1:4" x14ac:dyDescent="0.25">
      <c r="A3586" s="1" t="str">
        <f>'001'!B3586</f>
        <v>005349</v>
      </c>
      <c r="B3586" s="1" t="str">
        <f>'001'!C3586</f>
        <v>CONCENTRADO VANGUARD NEGRO X 4</v>
      </c>
      <c r="C3586" s="1" t="str">
        <f>'001'!D3586</f>
        <v>0195</v>
      </c>
      <c r="D3586" s="3" t="e">
        <f>'001'!H3586</f>
        <v>#VALUE!</v>
      </c>
    </row>
    <row r="3587" spans="1:4" x14ac:dyDescent="0.25">
      <c r="A3587" s="1" t="str">
        <f>'001'!B3587</f>
        <v>005350</v>
      </c>
      <c r="B3587" s="1" t="str">
        <f>'001'!C3587</f>
        <v>CONCENTRADO VANGUARD NEUTRO X 4</v>
      </c>
      <c r="C3587" s="1" t="str">
        <f>'001'!D3587</f>
        <v>0195</v>
      </c>
      <c r="D3587" s="3" t="e">
        <f>'001'!H3587</f>
        <v>#VALUE!</v>
      </c>
    </row>
    <row r="3588" spans="1:4" x14ac:dyDescent="0.25">
      <c r="A3588" s="1" t="str">
        <f>'001'!B3588</f>
        <v>005351</v>
      </c>
      <c r="B3588" s="1" t="str">
        <f>'001'!C3588</f>
        <v>CONCENTRADO VANGUARD AMARILLO MEDIO X 4</v>
      </c>
      <c r="C3588" s="1" t="str">
        <f>'001'!D3588</f>
        <v>0195</v>
      </c>
      <c r="D3588" s="3" t="e">
        <f>'001'!H3588</f>
        <v>#VALUE!</v>
      </c>
    </row>
    <row r="3589" spans="1:4" x14ac:dyDescent="0.25">
      <c r="A3589" s="1" t="str">
        <f>'001'!B3589</f>
        <v>005352</v>
      </c>
      <c r="B3589" s="1" t="str">
        <f>'001'!C3589</f>
        <v>CONCENTRADO VANGUARD ROJO CLARO X 4</v>
      </c>
      <c r="C3589" s="1" t="str">
        <f>'001'!D3589</f>
        <v>0195</v>
      </c>
      <c r="D3589" s="3" t="e">
        <f>'001'!H3589</f>
        <v>#VALUE!</v>
      </c>
    </row>
    <row r="3590" spans="1:4" x14ac:dyDescent="0.25">
      <c r="A3590" s="1" t="str">
        <f>'001'!B3590</f>
        <v>005353</v>
      </c>
      <c r="B3590" s="1" t="str">
        <f>'001'!C3590</f>
        <v>CONCENTRADO VANGUARD AZUL FTALO X 4</v>
      </c>
      <c r="C3590" s="1" t="str">
        <f>'001'!D3590</f>
        <v>0195</v>
      </c>
      <c r="D3590" s="3" t="e">
        <f>'001'!H3590</f>
        <v>#VALUE!</v>
      </c>
    </row>
    <row r="3591" spans="1:4" x14ac:dyDescent="0.25">
      <c r="A3591" s="1" t="str">
        <f>'001'!B3591</f>
        <v>005354</v>
      </c>
      <c r="B3591" s="1" t="str">
        <f>'001'!C3591</f>
        <v>CONCENTRADO VANGUARD ROJO SOLIDO X 4</v>
      </c>
      <c r="C3591" s="1" t="str">
        <f>'001'!D3591</f>
        <v>0195</v>
      </c>
      <c r="D3591" s="3" t="e">
        <f>'001'!H3591</f>
        <v>#VALUE!</v>
      </c>
    </row>
    <row r="3592" spans="1:4" x14ac:dyDescent="0.25">
      <c r="A3592" s="1" t="str">
        <f>'001'!B3592</f>
        <v>005355</v>
      </c>
      <c r="B3592" s="1" t="str">
        <f>'001'!C3592</f>
        <v>CONCENTRADO VANGUARD AMARILLO LIMON X 4</v>
      </c>
      <c r="C3592" s="1" t="str">
        <f>'001'!D3592</f>
        <v>0195</v>
      </c>
      <c r="D3592" s="3" t="e">
        <f>'001'!H3592</f>
        <v>#VALUE!</v>
      </c>
    </row>
    <row r="3593" spans="1:4" x14ac:dyDescent="0.25">
      <c r="A3593" s="1" t="str">
        <f>'001'!B3593</f>
        <v>005356</v>
      </c>
      <c r="B3593" s="1" t="str">
        <f>'001'!C3593</f>
        <v>CONCENTRADO VANGUARD ROJO OSCURO X 4</v>
      </c>
      <c r="C3593" s="1" t="str">
        <f>'001'!D3593</f>
        <v>0195</v>
      </c>
      <c r="D3593" s="3" t="e">
        <f>'001'!H3593</f>
        <v>#VALUE!</v>
      </c>
    </row>
    <row r="3594" spans="1:4" x14ac:dyDescent="0.25">
      <c r="A3594" s="1" t="str">
        <f>'001'!B3594</f>
        <v>005357</v>
      </c>
      <c r="B3594" s="1" t="str">
        <f>'001'!C3594</f>
        <v>CONCENTRADO VANGUARD NARANJA X 4</v>
      </c>
      <c r="C3594" s="1" t="str">
        <f>'001'!D3594</f>
        <v>0195</v>
      </c>
      <c r="D3594" s="3" t="e">
        <f>'001'!H3594</f>
        <v>#VALUE!</v>
      </c>
    </row>
    <row r="3595" spans="1:4" x14ac:dyDescent="0.25">
      <c r="A3595" s="1" t="str">
        <f>'001'!B3595</f>
        <v>005358</v>
      </c>
      <c r="B3595" s="1" t="str">
        <f>'001'!C3595</f>
        <v>CONCENTRADO VANGUARD VIOLETA X 4</v>
      </c>
      <c r="C3595" s="1" t="str">
        <f>'001'!D3595</f>
        <v>0195</v>
      </c>
      <c r="D3595" s="3" t="e">
        <f>'001'!H3595</f>
        <v>#VALUE!</v>
      </c>
    </row>
    <row r="3596" spans="1:4" x14ac:dyDescent="0.25">
      <c r="A3596" s="1" t="str">
        <f>'001'!B3596</f>
        <v>005359</v>
      </c>
      <c r="B3596" s="1" t="str">
        <f>'001'!C3596</f>
        <v>ESMALTE SINTETICO EXTRA RAPIDO VANGUARD ALUMINIO X 20</v>
      </c>
      <c r="C3596" s="1" t="str">
        <f>'001'!D3596</f>
        <v>0195</v>
      </c>
      <c r="D3596" s="3" t="e">
        <f>'001'!H3596</f>
        <v>#VALUE!</v>
      </c>
    </row>
    <row r="3597" spans="1:4" x14ac:dyDescent="0.25">
      <c r="A3597" s="1" t="str">
        <f>'001'!B3597</f>
        <v>005360</v>
      </c>
      <c r="B3597" s="1" t="str">
        <f>'001'!C3597</f>
        <v>DILUYENTE LIVIANO 08 P/ ESM. PU VANGUARD X 20</v>
      </c>
      <c r="C3597" s="1" t="str">
        <f>'001'!D3597</f>
        <v>0195</v>
      </c>
      <c r="D3597" s="3" t="e">
        <f>'001'!H3597</f>
        <v>#VALUE!</v>
      </c>
    </row>
    <row r="3598" spans="1:4" x14ac:dyDescent="0.25">
      <c r="A3598" s="1" t="str">
        <f>'001'!B3598</f>
        <v>005361</v>
      </c>
      <c r="B3598" s="1" t="str">
        <f>'001'!C3598</f>
        <v>SECANTE PARA ESMALTE SINTETICO VANGUARD X 1</v>
      </c>
      <c r="C3598" s="1" t="str">
        <f>'001'!D3598</f>
        <v>0195</v>
      </c>
      <c r="D3598" s="3" t="e">
        <f>'001'!H3598</f>
        <v>#VALUE!</v>
      </c>
    </row>
    <row r="3599" spans="1:4" x14ac:dyDescent="0.25">
      <c r="A3599" s="1" t="str">
        <f>'001'!B3599</f>
        <v>005362</v>
      </c>
      <c r="B3599" s="1" t="str">
        <f>'001'!C3599</f>
        <v>FONDO EPOXI VANGUARD GRIS W/W X  4</v>
      </c>
      <c r="C3599" s="1" t="str">
        <f>'001'!D3599</f>
        <v>0195</v>
      </c>
      <c r="D3599" s="3" t="e">
        <f>'001'!H3599</f>
        <v>#VALUE!</v>
      </c>
    </row>
    <row r="3600" spans="1:4" x14ac:dyDescent="0.25">
      <c r="A3600" s="1" t="str">
        <f>'001'!B3600</f>
        <v>005363</v>
      </c>
      <c r="B3600" s="1" t="str">
        <f>'001'!C3600</f>
        <v>FONDO EPOXI VANGUARD GRIS W/W X 20</v>
      </c>
      <c r="C3600" s="1" t="str">
        <f>'001'!D3600</f>
        <v>0195</v>
      </c>
      <c r="D3600" s="3" t="e">
        <f>'001'!H3600</f>
        <v>#VALUE!</v>
      </c>
    </row>
    <row r="3601" spans="1:4" x14ac:dyDescent="0.25">
      <c r="A3601" s="1" t="str">
        <f>'001'!B3601</f>
        <v>005364</v>
      </c>
      <c r="B3601" s="1" t="str">
        <f>'001'!C3601</f>
        <v>CONVERTIDOR P/ FONDO Y ESMALTE EPOXI VANGUARD X 0,800</v>
      </c>
      <c r="C3601" s="1" t="str">
        <f>'001'!D3601</f>
        <v>0195</v>
      </c>
      <c r="D3601" s="3" t="e">
        <f>'001'!H3601</f>
        <v>#VALUE!</v>
      </c>
    </row>
    <row r="3602" spans="1:4" x14ac:dyDescent="0.25">
      <c r="A3602" s="1" t="str">
        <f>'001'!B3602</f>
        <v>005365</v>
      </c>
      <c r="B3602" s="1" t="str">
        <f>'001'!C3602</f>
        <v>CONVERTIDOR P/ FONDO Y ESMALTE EPOXI VANGUARD X 4</v>
      </c>
      <c r="C3602" s="1" t="str">
        <f>'001'!D3602</f>
        <v>0195</v>
      </c>
      <c r="D3602" s="3" t="e">
        <f>'001'!H3602</f>
        <v>#VALUE!</v>
      </c>
    </row>
    <row r="3603" spans="1:4" x14ac:dyDescent="0.25">
      <c r="A3603" s="1" t="str">
        <f>'001'!B3603</f>
        <v>005366</v>
      </c>
      <c r="B3603" s="1" t="str">
        <f>'001'!C3603</f>
        <v>BROCHA DOBLE TRAGAMUROS 17X7CM(TM717)</v>
      </c>
      <c r="C3603" s="1" t="str">
        <f>'001'!D3603</f>
        <v>0165</v>
      </c>
      <c r="D3603" s="3" t="e">
        <f>'001'!H3603</f>
        <v>#VALUE!</v>
      </c>
    </row>
    <row r="3604" spans="1:4" x14ac:dyDescent="0.25">
      <c r="A3604" s="1" t="str">
        <f>'001'!B3604</f>
        <v>005368</v>
      </c>
      <c r="B3604" s="1" t="str">
        <f>'001'!C3604</f>
        <v>LACA PARA PISO MADERA ROLAC HIDROLACA PETRILAC BRILLANTE X  5</v>
      </c>
      <c r="C3604" s="1" t="str">
        <f>'001'!D3604</f>
        <v>0138</v>
      </c>
      <c r="D3604" s="3" t="e">
        <f>'001'!H3604</f>
        <v>#VALUE!</v>
      </c>
    </row>
    <row r="3605" spans="1:4" x14ac:dyDescent="0.25">
      <c r="A3605" s="1" t="str">
        <f>'001'!B3605</f>
        <v>005369</v>
      </c>
      <c r="B3605" s="1" t="str">
        <f>'001'!C3605</f>
        <v>LACA PARA PISO MADERA ROLAC HIDROLACA PETRILAC BRILLANTE X 10</v>
      </c>
      <c r="C3605" s="1" t="str">
        <f>'001'!D3605</f>
        <v>0138</v>
      </c>
      <c r="D3605" s="3" t="e">
        <f>'001'!H3605</f>
        <v>#VALUE!</v>
      </c>
    </row>
    <row r="3606" spans="1:4" x14ac:dyDescent="0.25">
      <c r="A3606" s="1" t="str">
        <f>'001'!B3606</f>
        <v>005374</v>
      </c>
      <c r="B3606" s="1" t="str">
        <f>'001'!C3606</f>
        <v>ESMALTE SINTETICO TERSPRAY SECADO RAPIDO BLANCO X 20</v>
      </c>
      <c r="C3606" s="1" t="str">
        <f>'001'!D3606</f>
        <v>0152</v>
      </c>
      <c r="D3606" s="3" t="e">
        <f>'001'!H3606</f>
        <v>#VALUE!</v>
      </c>
    </row>
    <row r="3607" spans="1:4" x14ac:dyDescent="0.25">
      <c r="A3607" s="1" t="str">
        <f>'001'!B3607</f>
        <v>005383</v>
      </c>
      <c r="B3607" s="1" t="str">
        <f>'001'!C3607</f>
        <v>LLANA LARGA PARA YESO Y MASILLA  40CM(EI400)</v>
      </c>
      <c r="C3607" s="1" t="str">
        <f>'001'!D3607</f>
        <v>0165</v>
      </c>
      <c r="D3607" s="3" t="e">
        <f>'001'!H3607</f>
        <v>#VALUE!</v>
      </c>
    </row>
    <row r="3608" spans="1:4" x14ac:dyDescent="0.25">
      <c r="A3608" s="1" t="str">
        <f>'001'!B3608</f>
        <v>005384</v>
      </c>
      <c r="B3608" s="1" t="str">
        <f>'001'!C3608</f>
        <v>LLANA LARGA PARA YESO Y MASILLA  60CM(EI600)</v>
      </c>
      <c r="C3608" s="1" t="str">
        <f>'001'!D3608</f>
        <v>0165</v>
      </c>
      <c r="D3608" s="3" t="e">
        <f>'001'!H3608</f>
        <v>#VALUE!</v>
      </c>
    </row>
    <row r="3609" spans="1:4" x14ac:dyDescent="0.25">
      <c r="A3609" s="1" t="str">
        <f>'001'!B3609</f>
        <v>005385</v>
      </c>
      <c r="B3609" s="1" t="str">
        <f>'001'!C3609</f>
        <v>LLANA LARGA PARA YESO Y MASILLA  80CM(EI800)</v>
      </c>
      <c r="C3609" s="1" t="str">
        <f>'001'!D3609</f>
        <v>0165</v>
      </c>
      <c r="D3609" s="3" t="e">
        <f>'001'!H3609</f>
        <v>#VALUE!</v>
      </c>
    </row>
    <row r="3610" spans="1:4" x14ac:dyDescent="0.25">
      <c r="A3610" s="1" t="str">
        <f>'001'!B3610</f>
        <v>005386</v>
      </c>
      <c r="B3610" s="1" t="str">
        <f>'001'!C3610</f>
        <v>LLANA LARGA PARA YESO Y MASILLA 1MT(EI1000)</v>
      </c>
      <c r="C3610" s="1" t="str">
        <f>'001'!D3610</f>
        <v>0165</v>
      </c>
      <c r="D3610" s="3" t="e">
        <f>'001'!H3610</f>
        <v>#VALUE!</v>
      </c>
    </row>
    <row r="3611" spans="1:4" x14ac:dyDescent="0.25">
      <c r="A3611" s="1" t="str">
        <f>'001'!B3611</f>
        <v>005387</v>
      </c>
      <c r="B3611" s="1" t="str">
        <f>'001'!C3611</f>
        <v>RODILLO LUMAR ANTIGOTA 10CM(940/A)</v>
      </c>
      <c r="C3611" s="1" t="str">
        <f>'001'!D3611</f>
        <v>0128</v>
      </c>
      <c r="D3611" s="3" t="e">
        <f>'001'!H3611</f>
        <v>#VALUE!</v>
      </c>
    </row>
    <row r="3612" spans="1:4" x14ac:dyDescent="0.25">
      <c r="A3612" s="1" t="str">
        <f>'001'!B3612</f>
        <v>005388</v>
      </c>
      <c r="B3612" s="1" t="str">
        <f>'001'!C3612</f>
        <v>RODILLO LUMAR ANTIGOTA 17CM(940/B)</v>
      </c>
      <c r="C3612" s="1" t="str">
        <f>'001'!D3612</f>
        <v>0128</v>
      </c>
      <c r="D3612" s="3" t="e">
        <f>'001'!H3612</f>
        <v>#VALUE!</v>
      </c>
    </row>
    <row r="3613" spans="1:4" x14ac:dyDescent="0.25">
      <c r="A3613" s="1" t="str">
        <f>'001'!B3613</f>
        <v>005389</v>
      </c>
      <c r="B3613" s="1" t="str">
        <f>'001'!C3613</f>
        <v>RODILLO LUMAR ANTIGOTA 22CM(940/C)</v>
      </c>
      <c r="C3613" s="1" t="str">
        <f>'001'!D3613</f>
        <v>0128</v>
      </c>
      <c r="D3613" s="3" t="e">
        <f>'001'!H3613</f>
        <v>#VALUE!</v>
      </c>
    </row>
    <row r="3614" spans="1:4" x14ac:dyDescent="0.25">
      <c r="A3614" s="1" t="str">
        <f>'001'!B3614</f>
        <v>005393</v>
      </c>
      <c r="B3614" s="1" t="str">
        <f>'001'!C3614</f>
        <v>MEZCLA ADHESIVA LISTA PARA USAR WEBER PASTA BLANCO HUESO X 7</v>
      </c>
      <c r="C3614" s="1" t="str">
        <f>'001'!D3614</f>
        <v>0163</v>
      </c>
      <c r="D3614" s="3" t="e">
        <f>'001'!H3614</f>
        <v>#VALUE!</v>
      </c>
    </row>
    <row r="3615" spans="1:4" x14ac:dyDescent="0.25">
      <c r="A3615" s="1" t="str">
        <f>'001'!B3615</f>
        <v>005394</v>
      </c>
      <c r="B3615" s="1" t="str">
        <f>'001'!C3615</f>
        <v>MEZCLA ADHESIVA LISTA PARA USAR WEBER PASTA BLANCO HUESO X 25</v>
      </c>
      <c r="C3615" s="1" t="str">
        <f>'001'!D3615</f>
        <v>0163</v>
      </c>
      <c r="D3615" s="3" t="e">
        <f>'001'!H3615</f>
        <v>#VALUE!</v>
      </c>
    </row>
    <row r="3616" spans="1:4" x14ac:dyDescent="0.25">
      <c r="A3616" s="1" t="str">
        <f>'001'!B3616</f>
        <v>005396</v>
      </c>
      <c r="B3616" s="1" t="str">
        <f>'001'!C3616</f>
        <v>ACTIVADOR EPOXY S60 RUST OLEUM X 3,78(248284)</v>
      </c>
      <c r="C3616" s="1" t="str">
        <f>'001'!D3616</f>
        <v>0158</v>
      </c>
      <c r="D3616" s="3" t="e">
        <f>'001'!H3616</f>
        <v>#VALUE!</v>
      </c>
    </row>
    <row r="3617" spans="1:4" x14ac:dyDescent="0.25">
      <c r="A3617" s="1" t="str">
        <f>'001'!B3617</f>
        <v>005397</v>
      </c>
      <c r="B3617" s="1" t="str">
        <f>'001'!C3617</f>
        <v>EPOXY S60 RUST OLEUM BRILLANTE BLANCO X 3,78(248273)</v>
      </c>
      <c r="C3617" s="1" t="str">
        <f>'001'!D3617</f>
        <v>0158</v>
      </c>
      <c r="D3617" s="3" t="e">
        <f>'001'!H3617</f>
        <v>#VALUE!</v>
      </c>
    </row>
    <row r="3618" spans="1:4" x14ac:dyDescent="0.25">
      <c r="A3618" s="1" t="str">
        <f>'001'!B3618</f>
        <v>005398</v>
      </c>
      <c r="B3618" s="1" t="str">
        <f>'001'!C3618</f>
        <v>SELLADOR PISOS WEBER PROTECTOR BASE INCOLORO X 5</v>
      </c>
      <c r="C3618" s="1" t="str">
        <f>'001'!D3618</f>
        <v>0163</v>
      </c>
      <c r="D3618" s="3" t="e">
        <f>'001'!H3618</f>
        <v>#VALUE!</v>
      </c>
    </row>
    <row r="3619" spans="1:4" x14ac:dyDescent="0.25">
      <c r="A3619" s="1" t="str">
        <f>'001'!B3619</f>
        <v>005399</v>
      </c>
      <c r="B3619" s="1" t="str">
        <f>'001'!C3619</f>
        <v>FONDO ANTIOXIDO TERSUAVE MATE ROJO X  1</v>
      </c>
      <c r="C3619" s="1" t="str">
        <f>'001'!D3619</f>
        <v>0152</v>
      </c>
      <c r="D3619" s="3" t="e">
        <f>'001'!H3619</f>
        <v>#VALUE!</v>
      </c>
    </row>
    <row r="3620" spans="1:4" x14ac:dyDescent="0.25">
      <c r="A3620" s="1" t="str">
        <f>'001'!B3620</f>
        <v>005400</v>
      </c>
      <c r="B3620" s="1" t="str">
        <f>'001'!C3620</f>
        <v>CERA PARA PISOS WEBER CERA FINISH BLANCO X 5</v>
      </c>
      <c r="C3620" s="1" t="str">
        <f>'001'!D3620</f>
        <v>0163</v>
      </c>
      <c r="D3620" s="3" t="e">
        <f>'001'!H3620</f>
        <v>#VALUE!</v>
      </c>
    </row>
    <row r="3621" spans="1:4" x14ac:dyDescent="0.25">
      <c r="A3621" s="1" t="str">
        <f>'001'!B3621</f>
        <v>005402</v>
      </c>
      <c r="B3621" s="1" t="str">
        <f>'001'!C3621</f>
        <v>LATEX INTERIOR/EXTERIOR TERSEN NARANJA X 1</v>
      </c>
      <c r="C3621" s="1" t="str">
        <f>'001'!D3621</f>
        <v>0152</v>
      </c>
      <c r="D3621" s="3" t="e">
        <f>'001'!H3621</f>
        <v>#VALUE!</v>
      </c>
    </row>
    <row r="3622" spans="1:4" x14ac:dyDescent="0.25">
      <c r="A3622" s="1" t="str">
        <f>'001'!B3622</f>
        <v>005403</v>
      </c>
      <c r="B3622" s="1" t="str">
        <f>'001'!C3622</f>
        <v>LATEX INTERIOR/EXTERIOR TERSEN AMARILLO X 1</v>
      </c>
      <c r="C3622" s="1" t="str">
        <f>'001'!D3622</f>
        <v>0152</v>
      </c>
      <c r="D3622" s="3" t="e">
        <f>'001'!H3622</f>
        <v>#VALUE!</v>
      </c>
    </row>
    <row r="3623" spans="1:4" x14ac:dyDescent="0.25">
      <c r="A3623" s="1" t="str">
        <f>'001'!B3623</f>
        <v>005404</v>
      </c>
      <c r="B3623" s="1" t="str">
        <f>'001'!C3623</f>
        <v>LATEX INTERIOR/EXTERIOR TERSEN AZUL X 1</v>
      </c>
      <c r="C3623" s="1" t="str">
        <f>'001'!D3623</f>
        <v>0152</v>
      </c>
      <c r="D3623" s="3" t="e">
        <f>'001'!H3623</f>
        <v>#VALUE!</v>
      </c>
    </row>
    <row r="3624" spans="1:4" x14ac:dyDescent="0.25">
      <c r="A3624" s="1" t="str">
        <f>'001'!B3624</f>
        <v>005405</v>
      </c>
      <c r="B3624" s="1" t="str">
        <f>'001'!C3624</f>
        <v>LATEX INTERIOR/EXTERIOR TERSEN CORAL X 1</v>
      </c>
      <c r="C3624" s="1" t="str">
        <f>'001'!D3624</f>
        <v>0152</v>
      </c>
      <c r="D3624" s="3" t="e">
        <f>'001'!H3624</f>
        <v>#VALUE!</v>
      </c>
    </row>
    <row r="3625" spans="1:4" x14ac:dyDescent="0.25">
      <c r="A3625" s="1" t="str">
        <f>'001'!B3625</f>
        <v>005406</v>
      </c>
      <c r="B3625" s="1" t="str">
        <f>'001'!C3625</f>
        <v>LATEX INTERIOR/EXTERIOR TERSEN ROSA X 1</v>
      </c>
      <c r="C3625" s="1" t="str">
        <f>'001'!D3625</f>
        <v>0152</v>
      </c>
      <c r="D3625" s="3" t="e">
        <f>'001'!H3625</f>
        <v>#VALUE!</v>
      </c>
    </row>
    <row r="3626" spans="1:4" x14ac:dyDescent="0.25">
      <c r="A3626" s="1" t="str">
        <f>'001'!B3626</f>
        <v>005407</v>
      </c>
      <c r="B3626" s="1" t="str">
        <f>'001'!C3626</f>
        <v>LATEX INTERIOR/EXTERIOR TERSEN TURQUESA X 1</v>
      </c>
      <c r="C3626" s="1" t="str">
        <f>'001'!D3626</f>
        <v>0152</v>
      </c>
      <c r="D3626" s="3" t="e">
        <f>'001'!H3626</f>
        <v>#VALUE!</v>
      </c>
    </row>
    <row r="3627" spans="1:4" x14ac:dyDescent="0.25">
      <c r="A3627" s="1" t="str">
        <f>'001'!B3627</f>
        <v>005408</v>
      </c>
      <c r="B3627" s="1" t="str">
        <f>'001'!C3627</f>
        <v>LATEX INTERIOR/EXTERIOR TERSEN VERDE X 1</v>
      </c>
      <c r="C3627" s="1" t="str">
        <f>'001'!D3627</f>
        <v>0152</v>
      </c>
      <c r="D3627" s="3" t="e">
        <f>'001'!H3627</f>
        <v>#VALUE!</v>
      </c>
    </row>
    <row r="3628" spans="1:4" x14ac:dyDescent="0.25">
      <c r="A3628" s="1" t="str">
        <f>'001'!B3628</f>
        <v>005409</v>
      </c>
      <c r="B3628" s="1" t="str">
        <f>'001'!C3628</f>
        <v>LATEX INTERIOR/EXTERIOR TERSEN VIOLETA X 1</v>
      </c>
      <c r="C3628" s="1" t="str">
        <f>'001'!D3628</f>
        <v>0152</v>
      </c>
      <c r="D3628" s="3" t="e">
        <f>'001'!H3628</f>
        <v>#VALUE!</v>
      </c>
    </row>
    <row r="3629" spans="1:4" x14ac:dyDescent="0.25">
      <c r="A3629" s="1" t="str">
        <f>'001'!B3629</f>
        <v>005410</v>
      </c>
      <c r="B3629" s="1" t="str">
        <f>'001'!C3629</f>
        <v>LATEX INTERIOR/EXTERIOR TERSEN ROJO X 1</v>
      </c>
      <c r="C3629" s="1" t="str">
        <f>'001'!D3629</f>
        <v>0152</v>
      </c>
      <c r="D3629" s="3" t="e">
        <f>'001'!H3629</f>
        <v>#VALUE!</v>
      </c>
    </row>
    <row r="3630" spans="1:4" x14ac:dyDescent="0.25">
      <c r="A3630" s="1" t="str">
        <f>'001'!B3630</f>
        <v>005411</v>
      </c>
      <c r="B3630" s="1" t="str">
        <f>'001'!C3630</f>
        <v>ENDUIDO+MASILLA PARA YESO ALBA X  1</v>
      </c>
      <c r="C3630" s="1" t="str">
        <f>'001'!D3630</f>
        <v>0107</v>
      </c>
      <c r="D3630" s="3" t="e">
        <f>'001'!H3630</f>
        <v>#VALUE!</v>
      </c>
    </row>
    <row r="3631" spans="1:4" x14ac:dyDescent="0.25">
      <c r="A3631" s="1" t="str">
        <f>'001'!B3631</f>
        <v>005412</v>
      </c>
      <c r="B3631" s="1" t="str">
        <f>'001'!C3631</f>
        <v>ENDUIDO+MASILLA PARA YESO ALBA X  4</v>
      </c>
      <c r="C3631" s="1" t="str">
        <f>'001'!D3631</f>
        <v>0107</v>
      </c>
      <c r="D3631" s="3" t="e">
        <f>'001'!H3631</f>
        <v>#VALUE!</v>
      </c>
    </row>
    <row r="3632" spans="1:4" x14ac:dyDescent="0.25">
      <c r="A3632" s="1" t="str">
        <f>'001'!B3632</f>
        <v>005413</v>
      </c>
      <c r="B3632" s="1" t="str">
        <f>'001'!C3632</f>
        <v>ENDUIDO+MASILLA PARA YESO ALBA X 10</v>
      </c>
      <c r="C3632" s="1" t="str">
        <f>'001'!D3632</f>
        <v>0107</v>
      </c>
      <c r="D3632" s="3" t="e">
        <f>'001'!H3632</f>
        <v>#VALUE!</v>
      </c>
    </row>
    <row r="3633" spans="1:4" x14ac:dyDescent="0.25">
      <c r="A3633" s="1" t="str">
        <f>'001'!B3633</f>
        <v>005414</v>
      </c>
      <c r="B3633" s="1" t="str">
        <f>'001'!C3633</f>
        <v>ENDUIDO+MASILLA PARA YESO ALBA X 20</v>
      </c>
      <c r="C3633" s="1" t="str">
        <f>'001'!D3633</f>
        <v>0107</v>
      </c>
      <c r="D3633" s="3" t="e">
        <f>'001'!H3633</f>
        <v>#VALUE!</v>
      </c>
    </row>
    <row r="3634" spans="1:4" x14ac:dyDescent="0.25">
      <c r="A3634" s="1" t="str">
        <f>'001'!B3634</f>
        <v>005416</v>
      </c>
      <c r="B3634" s="1" t="str">
        <f>'001'!C3634</f>
        <v>LATEX PARA PISO PISOACRIL SPORT AZUL X 20</v>
      </c>
      <c r="C3634" s="1" t="str">
        <f>'001'!D3634</f>
        <v>0139</v>
      </c>
      <c r="D3634" s="3" t="e">
        <f>'001'!H3634</f>
        <v>#VALUE!</v>
      </c>
    </row>
    <row r="3635" spans="1:4" x14ac:dyDescent="0.25">
      <c r="A3635" s="1" t="str">
        <f>'001'!B3635</f>
        <v>005424</v>
      </c>
      <c r="B3635" s="1" t="str">
        <f>'001'!C3635</f>
        <v>AUTONIVELANTE CAPA FINA SECADO NORMAL WEBER AUTONIVELA GRIS X 25</v>
      </c>
      <c r="C3635" s="1" t="str">
        <f>'001'!D3635</f>
        <v>0163</v>
      </c>
      <c r="D3635" s="3" t="e">
        <f>'001'!H3635</f>
        <v>#VALUE!</v>
      </c>
    </row>
    <row r="3636" spans="1:4" x14ac:dyDescent="0.25">
      <c r="A3636" s="1" t="str">
        <f>'001'!B3636</f>
        <v>005425</v>
      </c>
      <c r="B3636" s="1" t="str">
        <f>'001'!C3636</f>
        <v>DILUYENTE PARA ESMALTE DE SECADO RAPIDO X  1</v>
      </c>
      <c r="C3636" s="1" t="str">
        <f>'001'!D3636</f>
        <v>0186</v>
      </c>
      <c r="D3636" s="3" t="e">
        <f>'001'!H3636</f>
        <v>#VALUE!</v>
      </c>
    </row>
    <row r="3637" spans="1:4" x14ac:dyDescent="0.25">
      <c r="A3637" s="1" t="str">
        <f>'001'!B3637</f>
        <v>005426</v>
      </c>
      <c r="B3637" s="1" t="str">
        <f>'001'!C3637</f>
        <v>DILUYENTE PARA ESMALTE DE SECADO RAPIDO X  4</v>
      </c>
      <c r="C3637" s="1" t="str">
        <f>'001'!D3637</f>
        <v>0186</v>
      </c>
      <c r="D3637" s="3" t="e">
        <f>'001'!H3637</f>
        <v>#VALUE!</v>
      </c>
    </row>
    <row r="3638" spans="1:4" x14ac:dyDescent="0.25">
      <c r="A3638" s="1" t="str">
        <f>'001'!B3638</f>
        <v>005427</v>
      </c>
      <c r="B3638" s="1" t="str">
        <f>'001'!C3638</f>
        <v>DILUYENTE PARA ESMALTE DE SECADO RAPIDO X 18</v>
      </c>
      <c r="C3638" s="1" t="str">
        <f>'001'!D3638</f>
        <v>0186</v>
      </c>
      <c r="D3638" s="3" t="e">
        <f>'001'!H3638</f>
        <v>#VALUE!</v>
      </c>
    </row>
    <row r="3639" spans="1:4" x14ac:dyDescent="0.25">
      <c r="A3639" s="1" t="str">
        <f>'001'!B3639</f>
        <v>005428</v>
      </c>
      <c r="B3639" s="1" t="str">
        <f>'001'!C3639</f>
        <v>DILUYENTE PARA ESMALTE DE SECADO RAPIDO X 200</v>
      </c>
      <c r="C3639" s="1" t="str">
        <f>'001'!D3639</f>
        <v>0186</v>
      </c>
      <c r="D3639" s="3" t="e">
        <f>'001'!H3639</f>
        <v>#VALUE!</v>
      </c>
    </row>
    <row r="3640" spans="1:4" x14ac:dyDescent="0.25">
      <c r="A3640" s="1" t="str">
        <f>'001'!B3640</f>
        <v>005435</v>
      </c>
      <c r="B3640" s="1" t="str">
        <f>'001'!C3640</f>
        <v>FONDO SINTETICO ULTRA RAPIDO VANGUARD BLANCO X  4</v>
      </c>
      <c r="C3640" s="1" t="str">
        <f>'001'!D3640</f>
        <v>0195</v>
      </c>
      <c r="D3640" s="3" t="e">
        <f>'001'!H3640</f>
        <v>#VALUE!</v>
      </c>
    </row>
    <row r="3641" spans="1:4" x14ac:dyDescent="0.25">
      <c r="A3641" s="1" t="str">
        <f>'001'!B3641</f>
        <v>005436</v>
      </c>
      <c r="B3641" s="1" t="str">
        <f>'001'!C3641</f>
        <v>FONDO SINTETICO ULTRA RAPIDO VANGUARD BLANCO X 20</v>
      </c>
      <c r="C3641" s="1" t="str">
        <f>'001'!D3641</f>
        <v>0195</v>
      </c>
      <c r="D3641" s="3" t="e">
        <f>'001'!H3641</f>
        <v>#VALUE!</v>
      </c>
    </row>
    <row r="3642" spans="1:4" x14ac:dyDescent="0.25">
      <c r="A3642" s="1" t="str">
        <f>'001'!B3642</f>
        <v>005437</v>
      </c>
      <c r="B3642" s="1" t="str">
        <f>'001'!C3642</f>
        <v>FONDO SINTETICO SECADO RAPIDO VANGUARD GRIS X  4</v>
      </c>
      <c r="C3642" s="1" t="str">
        <f>'001'!D3642</f>
        <v>0195</v>
      </c>
      <c r="D3642" s="3" t="e">
        <f>'001'!H3642</f>
        <v>#VALUE!</v>
      </c>
    </row>
    <row r="3643" spans="1:4" x14ac:dyDescent="0.25">
      <c r="A3643" s="1" t="str">
        <f>'001'!B3643</f>
        <v>005438</v>
      </c>
      <c r="B3643" s="1" t="str">
        <f>'001'!C3643</f>
        <v>FONDO SINTETICO SECADO RAPIDO VANGUARD GRIS X 20</v>
      </c>
      <c r="C3643" s="1" t="str">
        <f>'001'!D3643</f>
        <v>0195</v>
      </c>
      <c r="D3643" s="3" t="e">
        <f>'001'!H3643</f>
        <v>#VALUE!</v>
      </c>
    </row>
    <row r="3644" spans="1:4" x14ac:dyDescent="0.25">
      <c r="A3644" s="1" t="str">
        <f>'001'!B3644</f>
        <v>005439</v>
      </c>
      <c r="B3644" s="1" t="str">
        <f>'001'!C3644</f>
        <v>ESMALTE SINTETICO SECADO RAPIDO VANGUARD BLANCO X  4</v>
      </c>
      <c r="C3644" s="1" t="str">
        <f>'001'!D3644</f>
        <v>0195</v>
      </c>
      <c r="D3644" s="3" t="e">
        <f>'001'!H3644</f>
        <v>#VALUE!</v>
      </c>
    </row>
    <row r="3645" spans="1:4" x14ac:dyDescent="0.25">
      <c r="A3645" s="1" t="str">
        <f>'001'!B3645</f>
        <v>005440</v>
      </c>
      <c r="B3645" s="1" t="str">
        <f>'001'!C3645</f>
        <v>ESMALTE SINTETICO SECADO RAPIDO VANGUARD BLANCO X 20</v>
      </c>
      <c r="C3645" s="1" t="str">
        <f>'001'!D3645</f>
        <v>0195</v>
      </c>
      <c r="D3645" s="3" t="e">
        <f>'001'!H3645</f>
        <v>#VALUE!</v>
      </c>
    </row>
    <row r="3646" spans="1:4" x14ac:dyDescent="0.25">
      <c r="A3646" s="1" t="str">
        <f>'001'!B3646</f>
        <v>005441</v>
      </c>
      <c r="B3646" s="1" t="str">
        <f>'001'!C3646</f>
        <v>ESMALTE SINTETICO SECADO RAPIDO VANGUARD NEGRO X  4</v>
      </c>
      <c r="C3646" s="1" t="str">
        <f>'001'!D3646</f>
        <v>0195</v>
      </c>
      <c r="D3646" s="3" t="e">
        <f>'001'!H3646</f>
        <v>#VALUE!</v>
      </c>
    </row>
    <row r="3647" spans="1:4" x14ac:dyDescent="0.25">
      <c r="A3647" s="1" t="str">
        <f>'001'!B3647</f>
        <v>005442</v>
      </c>
      <c r="B3647" s="1" t="str">
        <f>'001'!C3647</f>
        <v>ESMALTE SINTETICO SECADO RAPIDO VANGUARD NEGRO X 20</v>
      </c>
      <c r="C3647" s="1" t="str">
        <f>'001'!D3647</f>
        <v>0195</v>
      </c>
      <c r="D3647" s="3" t="e">
        <f>'001'!H3647</f>
        <v>#VALUE!</v>
      </c>
    </row>
    <row r="3648" spans="1:4" x14ac:dyDescent="0.25">
      <c r="A3648" s="1" t="str">
        <f>'001'!B3648</f>
        <v>005443</v>
      </c>
      <c r="B3648" s="1" t="str">
        <f>'001'!C3648</f>
        <v>ESMALTE SINTETICO SECADO RAPIDO VANGUARD BERMELLON X  4</v>
      </c>
      <c r="C3648" s="1" t="str">
        <f>'001'!D3648</f>
        <v>0195</v>
      </c>
      <c r="D3648" s="3" t="e">
        <f>'001'!H3648</f>
        <v>#VALUE!</v>
      </c>
    </row>
    <row r="3649" spans="1:4" x14ac:dyDescent="0.25">
      <c r="A3649" s="1" t="str">
        <f>'001'!B3649</f>
        <v>005444</v>
      </c>
      <c r="B3649" s="1" t="str">
        <f>'001'!C3649</f>
        <v>ESMALTE SINTETICO SECADO RAPIDO VANGUARD BERMELLON X 20</v>
      </c>
      <c r="C3649" s="1" t="str">
        <f>'001'!D3649</f>
        <v>0195</v>
      </c>
      <c r="D3649" s="3" t="e">
        <f>'001'!H3649</f>
        <v>#VALUE!</v>
      </c>
    </row>
    <row r="3650" spans="1:4" x14ac:dyDescent="0.25">
      <c r="A3650" s="1" t="str">
        <f>'001'!B3650</f>
        <v>005445</v>
      </c>
      <c r="B3650" s="1" t="str">
        <f>'001'!C3650</f>
        <v>ESMALTE SINTETICO SECADO RAPIDO VANGUARD AMARILLO MEDIO X  4</v>
      </c>
      <c r="C3650" s="1" t="str">
        <f>'001'!D3650</f>
        <v>0195</v>
      </c>
      <c r="D3650" s="3" t="e">
        <f>'001'!H3650</f>
        <v>#VALUE!</v>
      </c>
    </row>
    <row r="3651" spans="1:4" x14ac:dyDescent="0.25">
      <c r="A3651" s="1" t="str">
        <f>'001'!B3651</f>
        <v>005446</v>
      </c>
      <c r="B3651" s="1" t="str">
        <f>'001'!C3651</f>
        <v>ESMALTE SINTETICO SECADO RAPIDO VANGUARD AMARILLO MEDIO X 20</v>
      </c>
      <c r="C3651" s="1" t="str">
        <f>'001'!D3651</f>
        <v>0195</v>
      </c>
      <c r="D3651" s="3" t="e">
        <f>'001'!H3651</f>
        <v>#VALUE!</v>
      </c>
    </row>
    <row r="3652" spans="1:4" x14ac:dyDescent="0.25">
      <c r="A3652" s="1" t="str">
        <f>'001'!B3652</f>
        <v>005447</v>
      </c>
      <c r="B3652" s="1" t="str">
        <f>'001'!C3652</f>
        <v>ESMALTE SINTETICO SECADO RAPIDO VANGUARD VERDE INGLES X  4</v>
      </c>
      <c r="C3652" s="1" t="str">
        <f>'001'!D3652</f>
        <v>0195</v>
      </c>
      <c r="D3652" s="3" t="e">
        <f>'001'!H3652</f>
        <v>#VALUE!</v>
      </c>
    </row>
    <row r="3653" spans="1:4" x14ac:dyDescent="0.25">
      <c r="A3653" s="1" t="str">
        <f>'001'!B3653</f>
        <v>005448</v>
      </c>
      <c r="B3653" s="1" t="str">
        <f>'001'!C3653</f>
        <v>ESMALTE SINTETICO SECADO RAPIDO VANGUARD VERDE INGLES X 20</v>
      </c>
      <c r="C3653" s="1" t="str">
        <f>'001'!D3653</f>
        <v>0195</v>
      </c>
      <c r="D3653" s="3" t="e">
        <f>'001'!H3653</f>
        <v>#VALUE!</v>
      </c>
    </row>
    <row r="3654" spans="1:4" x14ac:dyDescent="0.25">
      <c r="A3654" s="1" t="str">
        <f>'001'!B3654</f>
        <v>005449</v>
      </c>
      <c r="B3654" s="1" t="str">
        <f>'001'!C3654</f>
        <v>ESMALTE SINTETICO SECADO RAPIDO VANGUARD AZULEJO X  4</v>
      </c>
      <c r="C3654" s="1" t="str">
        <f>'001'!D3654</f>
        <v>0195</v>
      </c>
      <c r="D3654" s="3" t="e">
        <f>'001'!H3654</f>
        <v>#VALUE!</v>
      </c>
    </row>
    <row r="3655" spans="1:4" x14ac:dyDescent="0.25">
      <c r="A3655" s="1" t="str">
        <f>'001'!B3655</f>
        <v>005450</v>
      </c>
      <c r="B3655" s="1" t="str">
        <f>'001'!C3655</f>
        <v>ESMALTE SINTETICO SECADO RAPIDO VANGUARD AZULEJO X 20</v>
      </c>
      <c r="C3655" s="1" t="str">
        <f>'001'!D3655</f>
        <v>0195</v>
      </c>
      <c r="D3655" s="3" t="e">
        <f>'001'!H3655</f>
        <v>#VALUE!</v>
      </c>
    </row>
    <row r="3656" spans="1:4" x14ac:dyDescent="0.25">
      <c r="A3656" s="1" t="str">
        <f>'001'!B3656</f>
        <v>005451</v>
      </c>
      <c r="B3656" s="1" t="str">
        <f>'001'!C3656</f>
        <v>ESMALTE SINTETICO SECADO RAPIDO VANGUARD GRIS 020 X  4</v>
      </c>
      <c r="C3656" s="1" t="str">
        <f>'001'!D3656</f>
        <v>0195</v>
      </c>
      <c r="D3656" s="3" t="e">
        <f>'001'!H3656</f>
        <v>#VALUE!</v>
      </c>
    </row>
    <row r="3657" spans="1:4" x14ac:dyDescent="0.25">
      <c r="A3657" s="1" t="str">
        <f>'001'!B3657</f>
        <v>005452</v>
      </c>
      <c r="B3657" s="1" t="str">
        <f>'001'!C3657</f>
        <v>ESMALTE SINTETICO SECADO RAPIDO VANGUARD GRIS 020 X 20</v>
      </c>
      <c r="C3657" s="1" t="str">
        <f>'001'!D3657</f>
        <v>0195</v>
      </c>
      <c r="D3657" s="3" t="e">
        <f>'001'!H3657</f>
        <v>#VALUE!</v>
      </c>
    </row>
    <row r="3658" spans="1:4" x14ac:dyDescent="0.25">
      <c r="A3658" s="1" t="str">
        <f>'001'!B3658</f>
        <v>005453</v>
      </c>
      <c r="B3658" s="1" t="str">
        <f>'001'!C3658</f>
        <v>ESMALTE SINTETICO SECADO RAPIDO VANGUARD ALUMINIO X  4</v>
      </c>
      <c r="C3658" s="1" t="str">
        <f>'001'!D3658</f>
        <v>0195</v>
      </c>
      <c r="D3658" s="3" t="e">
        <f>'001'!H3658</f>
        <v>#VALUE!</v>
      </c>
    </row>
    <row r="3659" spans="1:4" x14ac:dyDescent="0.25">
      <c r="A3659" s="1" t="str">
        <f>'001'!B3659</f>
        <v>005454</v>
      </c>
      <c r="B3659" s="1" t="str">
        <f>'001'!C3659</f>
        <v>ESMALTE SINTETICO SECADO RAPIDO VANGUARD ALUMINIO X 20</v>
      </c>
      <c r="C3659" s="1" t="str">
        <f>'001'!D3659</f>
        <v>0195</v>
      </c>
      <c r="D3659" s="3" t="e">
        <f>'001'!H3659</f>
        <v>#VALUE!</v>
      </c>
    </row>
    <row r="3660" spans="1:4" x14ac:dyDescent="0.25">
      <c r="A3660" s="1" t="str">
        <f>'001'!B3660</f>
        <v>005455</v>
      </c>
      <c r="B3660" s="1" t="str">
        <f>'001'!C3660</f>
        <v>ESMALTE SINTETICO SECADO RAPIDO VANGUARD TRANSPARENTE X  3,2</v>
      </c>
      <c r="C3660" s="1" t="str">
        <f>'001'!D3660</f>
        <v>0195</v>
      </c>
      <c r="D3660" s="3" t="e">
        <f>'001'!H3660</f>
        <v>#VALUE!</v>
      </c>
    </row>
    <row r="3661" spans="1:4" x14ac:dyDescent="0.25">
      <c r="A3661" s="1" t="str">
        <f>'001'!B3661</f>
        <v>005456</v>
      </c>
      <c r="B3661" s="1" t="str">
        <f>'001'!C3661</f>
        <v>ESMALTE SINTETICO SECADO RAPIDO VANGUARD TRANSPARENTE X 16</v>
      </c>
      <c r="C3661" s="1" t="str">
        <f>'001'!D3661</f>
        <v>0195</v>
      </c>
      <c r="D3661" s="3" t="e">
        <f>'001'!H3661</f>
        <v>#VALUE!</v>
      </c>
    </row>
    <row r="3662" spans="1:4" x14ac:dyDescent="0.25">
      <c r="A3662" s="1" t="str">
        <f>'001'!B3662</f>
        <v>005457</v>
      </c>
      <c r="B3662" s="1" t="str">
        <f>'001'!C3662</f>
        <v>ESMALTE SINTETICO SECADO RAPIDO VANGUARD BLANCO X  3,20</v>
      </c>
      <c r="C3662" s="1" t="str">
        <f>'001'!D3662</f>
        <v>0195</v>
      </c>
      <c r="D3662" s="3" t="e">
        <f>'001'!H3662</f>
        <v>#VALUE!</v>
      </c>
    </row>
    <row r="3663" spans="1:4" x14ac:dyDescent="0.25">
      <c r="A3663" s="1" t="str">
        <f>'001'!B3663</f>
        <v>005458</v>
      </c>
      <c r="B3663" s="1" t="str">
        <f>'001'!C3663</f>
        <v>ESMALTE SINTETICO SECADO RAPIDO VANGUARD BLANCO X 16</v>
      </c>
      <c r="C3663" s="1" t="str">
        <f>'001'!D3663</f>
        <v>0195</v>
      </c>
      <c r="D3663" s="3" t="e">
        <f>'001'!H3663</f>
        <v>#VALUE!</v>
      </c>
    </row>
    <row r="3664" spans="1:4" x14ac:dyDescent="0.25">
      <c r="A3664" s="1" t="str">
        <f>'001'!B3664</f>
        <v>005461</v>
      </c>
      <c r="B3664" s="1" t="str">
        <f>'001'!C3664</f>
        <v>BALDE DE 11LTS CON ESCURRIDOR BLACK</v>
      </c>
      <c r="C3664" s="1" t="str">
        <f>'001'!D3664</f>
        <v>0103</v>
      </c>
      <c r="D3664" s="3" t="e">
        <f>'001'!H3664</f>
        <v>#VALUE!</v>
      </c>
    </row>
    <row r="3665" spans="1:4" x14ac:dyDescent="0.25">
      <c r="A3665" s="1" t="str">
        <f>'001'!B3665</f>
        <v>005462</v>
      </c>
      <c r="B3665" s="1" t="str">
        <f>'001'!C3665</f>
        <v>ESCURRIDOR PARA BALDE (GRANDE)</v>
      </c>
      <c r="C3665" s="1" t="str">
        <f>'001'!D3665</f>
        <v>0103</v>
      </c>
      <c r="D3665" s="3" t="e">
        <f>'001'!H3665</f>
        <v>#VALUE!</v>
      </c>
    </row>
    <row r="3666" spans="1:4" x14ac:dyDescent="0.25">
      <c r="A3666" s="1" t="str">
        <f>'001'!B3666</f>
        <v>005463</v>
      </c>
      <c r="B3666" s="1" t="str">
        <f>'001'!C3666</f>
        <v>LATEX INTERIOR ACRILPLAST MATE BLANCO X  1</v>
      </c>
      <c r="C3666" s="1" t="str">
        <f>'001'!D3666</f>
        <v>0150</v>
      </c>
      <c r="D3666" s="3" t="e">
        <f>'001'!H3666</f>
        <v>#VALUE!</v>
      </c>
    </row>
    <row r="3667" spans="1:4" x14ac:dyDescent="0.25">
      <c r="A3667" s="1" t="str">
        <f>'001'!B3667</f>
        <v>005464</v>
      </c>
      <c r="B3667" s="1" t="str">
        <f>'001'!C3667</f>
        <v>LATEX INTERIOR ACRILPLAST MATE BLANCO X  4</v>
      </c>
      <c r="C3667" s="1" t="str">
        <f>'001'!D3667</f>
        <v>0150</v>
      </c>
      <c r="D3667" s="3" t="e">
        <f>'001'!H3667</f>
        <v>#VALUE!</v>
      </c>
    </row>
    <row r="3668" spans="1:4" x14ac:dyDescent="0.25">
      <c r="A3668" s="1" t="str">
        <f>'001'!B3668</f>
        <v>005465</v>
      </c>
      <c r="B3668" s="1" t="str">
        <f>'001'!C3668</f>
        <v>LATEX INTERIOR ACRILPLAST MATE BLANCO X 10</v>
      </c>
      <c r="C3668" s="1" t="str">
        <f>'001'!D3668</f>
        <v>0150</v>
      </c>
      <c r="D3668" s="3" t="e">
        <f>'001'!H3668</f>
        <v>#VALUE!</v>
      </c>
    </row>
    <row r="3669" spans="1:4" x14ac:dyDescent="0.25">
      <c r="A3669" s="1" t="str">
        <f>'001'!B3669</f>
        <v>005466</v>
      </c>
      <c r="B3669" s="1" t="str">
        <f>'001'!C3669</f>
        <v>LATEX INTERIOR ACRILPLAST MATE BLANCO X 20</v>
      </c>
      <c r="C3669" s="1" t="str">
        <f>'001'!D3669</f>
        <v>0150</v>
      </c>
      <c r="D3669" s="3" t="e">
        <f>'001'!H3669</f>
        <v>#VALUE!</v>
      </c>
    </row>
    <row r="3670" spans="1:4" x14ac:dyDescent="0.25">
      <c r="A3670" s="1" t="str">
        <f>'001'!B3670</f>
        <v>005467</v>
      </c>
      <c r="B3670" s="1" t="str">
        <f>'001'!C3670</f>
        <v>EPOXI INTERSEAL 1509 GRIS N6,5 X 7,2</v>
      </c>
      <c r="C3670" s="1" t="str">
        <f>'001'!D3670</f>
        <v>0111</v>
      </c>
      <c r="D3670" s="3" t="e">
        <f>'001'!H3670</f>
        <v>#VALUE!</v>
      </c>
    </row>
    <row r="3671" spans="1:4" x14ac:dyDescent="0.25">
      <c r="A3671" s="1" t="str">
        <f>'001'!B3671</f>
        <v>005468</v>
      </c>
      <c r="B3671" s="1" t="str">
        <f>'001'!C3671</f>
        <v>EPOXI INTERSEAL 1509 GRIS N6,5 X 40</v>
      </c>
      <c r="C3671" s="1" t="str">
        <f>'001'!D3671</f>
        <v>0111</v>
      </c>
      <c r="D3671" s="3" t="e">
        <f>'001'!H3671</f>
        <v>#VALUE!</v>
      </c>
    </row>
    <row r="3672" spans="1:4" x14ac:dyDescent="0.25">
      <c r="A3672" s="1" t="str">
        <f>'001'!B3672</f>
        <v>005470</v>
      </c>
      <c r="B3672" s="1" t="str">
        <f>'001'!C3672</f>
        <v>SPRAY CHALKED AMARILLO X 0,170(307591)</v>
      </c>
      <c r="C3672" s="1" t="str">
        <f>'001'!D3672</f>
        <v>0146</v>
      </c>
      <c r="D3672" s="3" t="e">
        <f>'001'!H3672</f>
        <v>#VALUE!</v>
      </c>
    </row>
    <row r="3673" spans="1:4" x14ac:dyDescent="0.25">
      <c r="A3673" s="1" t="str">
        <f>'001'!B3673</f>
        <v>005471</v>
      </c>
      <c r="B3673" s="1" t="str">
        <f>'001'!C3673</f>
        <v>SPRAY CHALKED AZUL X 0,170(307589)</v>
      </c>
      <c r="C3673" s="1" t="str">
        <f>'001'!D3673</f>
        <v>0146</v>
      </c>
      <c r="D3673" s="3" t="e">
        <f>'001'!H3673</f>
        <v>#VALUE!</v>
      </c>
    </row>
    <row r="3674" spans="1:4" x14ac:dyDescent="0.25">
      <c r="A3674" s="1" t="str">
        <f>'001'!B3674</f>
        <v>005472</v>
      </c>
      <c r="B3674" s="1" t="str">
        <f>'001'!C3674</f>
        <v>SPRAY CHALKED BLANCO X 0,170(307587)</v>
      </c>
      <c r="C3674" s="1" t="str">
        <f>'001'!D3674</f>
        <v>0146</v>
      </c>
      <c r="D3674" s="3" t="e">
        <f>'001'!H3674</f>
        <v>#VALUE!</v>
      </c>
    </row>
    <row r="3675" spans="1:4" x14ac:dyDescent="0.25">
      <c r="A3675" s="1" t="str">
        <f>'001'!B3675</f>
        <v>005473</v>
      </c>
      <c r="B3675" s="1" t="str">
        <f>'001'!C3675</f>
        <v>SPRAY CHALKED ROSA X 0,170(307588)</v>
      </c>
      <c r="C3675" s="1" t="str">
        <f>'001'!D3675</f>
        <v>0146</v>
      </c>
      <c r="D3675" s="3" t="e">
        <f>'001'!H3675</f>
        <v>#VALUE!</v>
      </c>
    </row>
    <row r="3676" spans="1:4" x14ac:dyDescent="0.25">
      <c r="A3676" s="1" t="str">
        <f>'001'!B3676</f>
        <v>005474</v>
      </c>
      <c r="B3676" s="1" t="str">
        <f>'001'!C3676</f>
        <v>PINTURA BROCHABLE CHALKED RUST-OLEUM EXTERIOR MATE ANTRACITA X 0,887(365435)</v>
      </c>
      <c r="C3676" s="1" t="str">
        <f>'001'!D3676</f>
        <v>0146</v>
      </c>
      <c r="D3676" s="3" t="e">
        <f>'001'!H3676</f>
        <v>#VALUE!</v>
      </c>
    </row>
    <row r="3677" spans="1:4" x14ac:dyDescent="0.25">
      <c r="A3677" s="1" t="str">
        <f>'001'!B3677</f>
        <v>005475</v>
      </c>
      <c r="B3677" s="1" t="str">
        <f>'001'!C3677</f>
        <v>PINTURA BROCHABLE CHALKED RUST-OLEUM EXTERIOR MATE AZUL AMANECER X 0,887(365431)</v>
      </c>
      <c r="C3677" s="1" t="str">
        <f>'001'!D3677</f>
        <v>0146</v>
      </c>
      <c r="D3677" s="3" t="e">
        <f>'001'!H3677</f>
        <v>#VALUE!</v>
      </c>
    </row>
    <row r="3678" spans="1:4" x14ac:dyDescent="0.25">
      <c r="A3678" s="1" t="str">
        <f>'001'!B3678</f>
        <v>005476</v>
      </c>
      <c r="B3678" s="1" t="str">
        <f>'001'!C3678</f>
        <v>PINTURA BROCHABLE CHALKED RUST-OLEUM EXTERIOR MATE AZUL PROFUNDO X 0,887(365432)</v>
      </c>
      <c r="C3678" s="1" t="str">
        <f>'001'!D3678</f>
        <v>0146</v>
      </c>
      <c r="D3678" s="3" t="e">
        <f>'001'!H3678</f>
        <v>#VALUE!</v>
      </c>
    </row>
    <row r="3679" spans="1:4" x14ac:dyDescent="0.25">
      <c r="A3679" s="1" t="str">
        <f>'001'!B3679</f>
        <v>005477</v>
      </c>
      <c r="B3679" s="1" t="str">
        <f>'001'!C3679</f>
        <v>PINTURA BROCHABLE CHALKED RUST-OLEUM EXTERIOR MATE BLANCO TIZA X 0,887(365427)</v>
      </c>
      <c r="C3679" s="1" t="str">
        <f>'001'!D3679</f>
        <v>0146</v>
      </c>
      <c r="D3679" s="3" t="e">
        <f>'001'!H3679</f>
        <v>#VALUE!</v>
      </c>
    </row>
    <row r="3680" spans="1:4" x14ac:dyDescent="0.25">
      <c r="A3680" s="1" t="str">
        <f>'001'!B3680</f>
        <v>005478</v>
      </c>
      <c r="B3680" s="1" t="str">
        <f>'001'!C3680</f>
        <v>PINTURA BROCHABLE CHALKED RUST-OLEUM EXTERIOR MATE BRUMA X 0,887(365434)</v>
      </c>
      <c r="C3680" s="1" t="str">
        <f>'001'!D3680</f>
        <v>0146</v>
      </c>
      <c r="D3680" s="3" t="e">
        <f>'001'!H3680</f>
        <v>#VALUE!</v>
      </c>
    </row>
    <row r="3681" spans="1:4" x14ac:dyDescent="0.25">
      <c r="A3681" s="1" t="str">
        <f>'001'!B3681</f>
        <v>005479</v>
      </c>
      <c r="B3681" s="1" t="str">
        <f>'001'!C3681</f>
        <v>PINTURA BROCHABLE CHALKED RUST-OLEUM EXTERIOR MATE CREMA X 0,887(365428)</v>
      </c>
      <c r="C3681" s="1" t="str">
        <f>'001'!D3681</f>
        <v>0146</v>
      </c>
      <c r="D3681" s="3" t="e">
        <f>'001'!H3681</f>
        <v>#VALUE!</v>
      </c>
    </row>
    <row r="3682" spans="1:4" x14ac:dyDescent="0.25">
      <c r="A3682" s="1" t="str">
        <f>'001'!B3682</f>
        <v>005480</v>
      </c>
      <c r="B3682" s="1" t="str">
        <f>'001'!C3682</f>
        <v>PINTURA BROCHABLE CHALKED RUST-OLEUM EXTERIOR MATE GRIS PALIDO X 0,887(365429)</v>
      </c>
      <c r="C3682" s="1" t="str">
        <f>'001'!D3682</f>
        <v>0146</v>
      </c>
      <c r="D3682" s="3" t="e">
        <f>'001'!H3682</f>
        <v>#VALUE!</v>
      </c>
    </row>
    <row r="3683" spans="1:4" x14ac:dyDescent="0.25">
      <c r="A3683" s="1" t="str">
        <f>'001'!B3683</f>
        <v>005481</v>
      </c>
      <c r="B3683" s="1" t="str">
        <f>'001'!C3683</f>
        <v>PINTURA BROCHABLE CHALKED RUST-OLEUM EXTERIOR MATE VERDE SERENO X 0,887(365433)</v>
      </c>
      <c r="C3683" s="1" t="str">
        <f>'001'!D3683</f>
        <v>0146</v>
      </c>
      <c r="D3683" s="3" t="e">
        <f>'001'!H3683</f>
        <v>#VALUE!</v>
      </c>
    </row>
    <row r="3684" spans="1:4" x14ac:dyDescent="0.25">
      <c r="A3684" s="1" t="str">
        <f>'001'!B3684</f>
        <v>005488</v>
      </c>
      <c r="B3684" s="1" t="str">
        <f>'001'!C3684</f>
        <v>ESMALTE POLIURETANO ACRILICO VANGUARD VERDE JOHN DEERE RAL 6001 X 20</v>
      </c>
      <c r="C3684" s="1" t="str">
        <f>'001'!D3684</f>
        <v>0195</v>
      </c>
      <c r="D3684" s="3" t="e">
        <f>'001'!H3684</f>
        <v>#VALUE!</v>
      </c>
    </row>
    <row r="3685" spans="1:4" x14ac:dyDescent="0.25">
      <c r="A3685" s="1" t="str">
        <f>'001'!B3685</f>
        <v>005489</v>
      </c>
      <c r="B3685" s="1" t="str">
        <f>'001'!C3685</f>
        <v>ESMALTE POLIURETANO ACRILICO VANGUARD ROJO JOHN DEERE RAL 3020 X 20</v>
      </c>
      <c r="C3685" s="1" t="str">
        <f>'001'!D3685</f>
        <v>0195</v>
      </c>
      <c r="D3685" s="3" t="e">
        <f>'001'!H3685</f>
        <v>#VALUE!</v>
      </c>
    </row>
    <row r="3686" spans="1:4" x14ac:dyDescent="0.25">
      <c r="A3686" s="1" t="str">
        <f>'001'!B3686</f>
        <v>005490</v>
      </c>
      <c r="B3686" s="1" t="str">
        <f>'001'!C3686</f>
        <v>ESMALTE POLIURETANO FAST-GUARD VANGUARD VERDE JOHN DEERE RAL 6001 X 20</v>
      </c>
      <c r="C3686" s="1" t="str">
        <f>'001'!D3686</f>
        <v>0195</v>
      </c>
      <c r="D3686" s="3" t="e">
        <f>'001'!H3686</f>
        <v>#VALUE!</v>
      </c>
    </row>
    <row r="3687" spans="1:4" x14ac:dyDescent="0.25">
      <c r="A3687" s="1" t="str">
        <f>'001'!B3687</f>
        <v>005491</v>
      </c>
      <c r="B3687" s="1" t="str">
        <f>'001'!C3687</f>
        <v>ESMALTE POLIURETANO FAST-GUARD VANGUARD ROJO JOHN DEERE RAL 3020 X 20</v>
      </c>
      <c r="C3687" s="1" t="str">
        <f>'001'!D3687</f>
        <v>0195</v>
      </c>
      <c r="D3687" s="3" t="e">
        <f>'001'!H3687</f>
        <v>#VALUE!</v>
      </c>
    </row>
    <row r="3688" spans="1:4" x14ac:dyDescent="0.25">
      <c r="A3688" s="1" t="str">
        <f>'001'!B3688</f>
        <v>005492</v>
      </c>
      <c r="B3688" s="1" t="str">
        <f>'001'!C3688</f>
        <v>LATEX INTERIOR ALBALATEX DESIGN TOQUE DE LUZ MATE BASE P X  0,900</v>
      </c>
      <c r="C3688" s="1" t="str">
        <f>'001'!D3688</f>
        <v>0108</v>
      </c>
      <c r="D3688" s="3" t="e">
        <f>'001'!H3688</f>
        <v>#VALUE!</v>
      </c>
    </row>
    <row r="3689" spans="1:4" x14ac:dyDescent="0.25">
      <c r="A3689" s="1" t="str">
        <f>'001'!B3689</f>
        <v>005493</v>
      </c>
      <c r="B3689" s="1" t="str">
        <f>'001'!C3689</f>
        <v>LATEX INTERIOR ALBALATEX DESIGN TOQUE DE LUZ MATE BASE P X  3,600</v>
      </c>
      <c r="C3689" s="1" t="str">
        <f>'001'!D3689</f>
        <v>0108</v>
      </c>
      <c r="D3689" s="3" t="e">
        <f>'001'!H3689</f>
        <v>#VALUE!</v>
      </c>
    </row>
    <row r="3690" spans="1:4" x14ac:dyDescent="0.25">
      <c r="A3690" s="1" t="str">
        <f>'001'!B3690</f>
        <v>005494</v>
      </c>
      <c r="B3690" s="1" t="str">
        <f>'001'!C3690</f>
        <v>LATEX INTERIOR ALBALATEX DESIGN TOQUE DE LUZ MATE BASE P X  8,700</v>
      </c>
      <c r="C3690" s="1" t="str">
        <f>'001'!D3690</f>
        <v>0108</v>
      </c>
      <c r="D3690" s="3" t="e">
        <f>'001'!H3690</f>
        <v>#VALUE!</v>
      </c>
    </row>
    <row r="3691" spans="1:4" x14ac:dyDescent="0.25">
      <c r="A3691" s="1" t="str">
        <f>'001'!B3691</f>
        <v>005495</v>
      </c>
      <c r="B3691" s="1" t="str">
        <f>'001'!C3691</f>
        <v>LATEX INTERIOR ALBALATEX DESIGN TOQUE DE LUZ MATE BASE P X 17,400</v>
      </c>
      <c r="C3691" s="1" t="str">
        <f>'001'!D3691</f>
        <v>0108</v>
      </c>
      <c r="D3691" s="3" t="e">
        <f>'001'!H3691</f>
        <v>#VALUE!</v>
      </c>
    </row>
    <row r="3692" spans="1:4" x14ac:dyDescent="0.25">
      <c r="A3692" s="1" t="str">
        <f>'001'!B3692</f>
        <v>005496</v>
      </c>
      <c r="B3692" s="1" t="str">
        <f>'001'!C3692</f>
        <v>LATEX INTERIOR ALBALATEX DESIGN TOQUE DE LUZ MATE BASE F X  0,900</v>
      </c>
      <c r="C3692" s="1" t="str">
        <f>'001'!D3692</f>
        <v>0108</v>
      </c>
      <c r="D3692" s="3" t="e">
        <f>'001'!H3692</f>
        <v>#VALUE!</v>
      </c>
    </row>
    <row r="3693" spans="1:4" x14ac:dyDescent="0.25">
      <c r="A3693" s="1" t="str">
        <f>'001'!B3693</f>
        <v>005497</v>
      </c>
      <c r="B3693" s="1" t="str">
        <f>'001'!C3693</f>
        <v>LATEX INTERIOR ALBALATEX DESIGN TOQUE DE LUZ MATE BASE F X  3,600</v>
      </c>
      <c r="C3693" s="1" t="str">
        <f>'001'!D3693</f>
        <v>0108</v>
      </c>
      <c r="D3693" s="3" t="e">
        <f>'001'!H3693</f>
        <v>#VALUE!</v>
      </c>
    </row>
    <row r="3694" spans="1:4" x14ac:dyDescent="0.25">
      <c r="A3694" s="1" t="str">
        <f>'001'!B3694</f>
        <v>005498</v>
      </c>
      <c r="B3694" s="1" t="str">
        <f>'001'!C3694</f>
        <v>LATEX INTERIOR ALBALATEX DESIGN TOQUE DE LUZ MATE BASE F X 17,400</v>
      </c>
      <c r="C3694" s="1" t="str">
        <f>'001'!D3694</f>
        <v>0108</v>
      </c>
      <c r="D3694" s="3" t="e">
        <f>'001'!H3694</f>
        <v>#VALUE!</v>
      </c>
    </row>
    <row r="3695" spans="1:4" x14ac:dyDescent="0.25">
      <c r="A3695" s="1" t="str">
        <f>'001'!B3695</f>
        <v>005499</v>
      </c>
      <c r="B3695" s="1" t="str">
        <f>'001'!C3695</f>
        <v>LATEX INTERIOR ALBALATEX DESIGN TOQUE DE LUZ MATE BASE T X  0,900</v>
      </c>
      <c r="C3695" s="1" t="str">
        <f>'001'!D3695</f>
        <v>0108</v>
      </c>
      <c r="D3695" s="3" t="e">
        <f>'001'!H3695</f>
        <v>#VALUE!</v>
      </c>
    </row>
    <row r="3696" spans="1:4" x14ac:dyDescent="0.25">
      <c r="A3696" s="1" t="str">
        <f>'001'!B3696</f>
        <v>005500</v>
      </c>
      <c r="B3696" s="1" t="str">
        <f>'001'!C3696</f>
        <v>LATEX INTERIOR ALBALATEX DESIGN TOQUE DE LUZ MATE BASE T X  3,600</v>
      </c>
      <c r="C3696" s="1" t="str">
        <f>'001'!D3696</f>
        <v>0108</v>
      </c>
      <c r="D3696" s="3" t="e">
        <f>'001'!H3696</f>
        <v>#VALUE!</v>
      </c>
    </row>
    <row r="3697" spans="1:4" x14ac:dyDescent="0.25">
      <c r="A3697" s="1" t="str">
        <f>'001'!B3697</f>
        <v>005502</v>
      </c>
      <c r="B3697" s="1" t="str">
        <f>'001'!C3697</f>
        <v>LATEX INTERIOR/EXTERIOR TERSEN NARANJA X 4</v>
      </c>
      <c r="C3697" s="1" t="str">
        <f>'001'!D3697</f>
        <v>0152</v>
      </c>
      <c r="D3697" s="3" t="e">
        <f>'001'!H3697</f>
        <v>#VALUE!</v>
      </c>
    </row>
    <row r="3698" spans="1:4" x14ac:dyDescent="0.25">
      <c r="A3698" s="1" t="str">
        <f>'001'!B3698</f>
        <v>005503</v>
      </c>
      <c r="B3698" s="1" t="str">
        <f>'001'!C3698</f>
        <v>LATEX INTERIOR/EXTERIOR TERSEN AMARILLO X 4</v>
      </c>
      <c r="C3698" s="1" t="str">
        <f>'001'!D3698</f>
        <v>0152</v>
      </c>
      <c r="D3698" s="3" t="e">
        <f>'001'!H3698</f>
        <v>#VALUE!</v>
      </c>
    </row>
    <row r="3699" spans="1:4" x14ac:dyDescent="0.25">
      <c r="A3699" s="1" t="str">
        <f>'001'!B3699</f>
        <v>005504</v>
      </c>
      <c r="B3699" s="1" t="str">
        <f>'001'!C3699</f>
        <v>LATEX INTERIOR/EXTERIOR TERSEN AZUL X 4</v>
      </c>
      <c r="C3699" s="1" t="str">
        <f>'001'!D3699</f>
        <v>0152</v>
      </c>
      <c r="D3699" s="3" t="e">
        <f>'001'!H3699</f>
        <v>#VALUE!</v>
      </c>
    </row>
    <row r="3700" spans="1:4" x14ac:dyDescent="0.25">
      <c r="A3700" s="1" t="str">
        <f>'001'!B3700</f>
        <v>005505</v>
      </c>
      <c r="B3700" s="1" t="str">
        <f>'001'!C3700</f>
        <v>LATEX INTERIOR/EXTERIOR TERSEN CORAL X 4</v>
      </c>
      <c r="C3700" s="1" t="str">
        <f>'001'!D3700</f>
        <v>0152</v>
      </c>
      <c r="D3700" s="3" t="e">
        <f>'001'!H3700</f>
        <v>#VALUE!</v>
      </c>
    </row>
    <row r="3701" spans="1:4" x14ac:dyDescent="0.25">
      <c r="A3701" s="1" t="str">
        <f>'001'!B3701</f>
        <v>005506</v>
      </c>
      <c r="B3701" s="1" t="str">
        <f>'001'!C3701</f>
        <v>LATEX INTERIOR/EXTERIOR TERSEN ROSA X 4</v>
      </c>
      <c r="C3701" s="1" t="str">
        <f>'001'!D3701</f>
        <v>0152</v>
      </c>
      <c r="D3701" s="3" t="e">
        <f>'001'!H3701</f>
        <v>#VALUE!</v>
      </c>
    </row>
    <row r="3702" spans="1:4" x14ac:dyDescent="0.25">
      <c r="A3702" s="1" t="str">
        <f>'001'!B3702</f>
        <v>005507</v>
      </c>
      <c r="B3702" s="1" t="str">
        <f>'001'!C3702</f>
        <v>LATEX INTERIOR/EXTERIOR TERSEN TURQUESA X 4</v>
      </c>
      <c r="C3702" s="1" t="str">
        <f>'001'!D3702</f>
        <v>0152</v>
      </c>
      <c r="D3702" s="3" t="e">
        <f>'001'!H3702</f>
        <v>#VALUE!</v>
      </c>
    </row>
    <row r="3703" spans="1:4" x14ac:dyDescent="0.25">
      <c r="A3703" s="1" t="str">
        <f>'001'!B3703</f>
        <v>005508</v>
      </c>
      <c r="B3703" s="1" t="str">
        <f>'001'!C3703</f>
        <v>LATEX INTERIOR/EXTERIOR TERSEN VERDE X 4</v>
      </c>
      <c r="C3703" s="1" t="str">
        <f>'001'!D3703</f>
        <v>0152</v>
      </c>
      <c r="D3703" s="3" t="e">
        <f>'001'!H3703</f>
        <v>#VALUE!</v>
      </c>
    </row>
    <row r="3704" spans="1:4" x14ac:dyDescent="0.25">
      <c r="A3704" s="1" t="str">
        <f>'001'!B3704</f>
        <v>005509</v>
      </c>
      <c r="B3704" s="1" t="str">
        <f>'001'!C3704</f>
        <v>LATEX INTERIOR/EXTERIOR TERSEN VIOLETA X 4</v>
      </c>
      <c r="C3704" s="1" t="str">
        <f>'001'!D3704</f>
        <v>0152</v>
      </c>
      <c r="D3704" s="3" t="e">
        <f>'001'!H3704</f>
        <v>#VALUE!</v>
      </c>
    </row>
    <row r="3705" spans="1:4" x14ac:dyDescent="0.25">
      <c r="A3705" s="1" t="str">
        <f>'001'!B3705</f>
        <v>005510</v>
      </c>
      <c r="B3705" s="1" t="str">
        <f>'001'!C3705</f>
        <v>LATEX INTERIOR/EXTERIOR TERSEN ROJO X 4</v>
      </c>
      <c r="C3705" s="1" t="str">
        <f>'001'!D3705</f>
        <v>0152</v>
      </c>
      <c r="D3705" s="3" t="e">
        <f>'001'!H3705</f>
        <v>#VALUE!</v>
      </c>
    </row>
    <row r="3706" spans="1:4" x14ac:dyDescent="0.25">
      <c r="A3706" s="1" t="str">
        <f>'001'!B3706</f>
        <v>005511</v>
      </c>
      <c r="B3706" s="1" t="str">
        <f>'001'!C3706</f>
        <v>ARCO NIVELADOR 1,5 MM LINEA PREMIUM (BOLSA X 150U)</v>
      </c>
      <c r="C3706" s="1" t="str">
        <f>'001'!D3706</f>
        <v>0196</v>
      </c>
      <c r="D3706" s="3" t="e">
        <f>'001'!H3706</f>
        <v>#VALUE!</v>
      </c>
    </row>
    <row r="3707" spans="1:4" x14ac:dyDescent="0.25">
      <c r="A3707" s="1" t="str">
        <f>'001'!B3707</f>
        <v>005512</v>
      </c>
      <c r="B3707" s="1" t="str">
        <f>'001'!C3707</f>
        <v>ARCO NIVELADOR 2 MM LINEA PREMIUM (BOLSA X 150U)</v>
      </c>
      <c r="C3707" s="1" t="str">
        <f>'001'!D3707</f>
        <v>0196</v>
      </c>
      <c r="D3707" s="3" t="e">
        <f>'001'!H3707</f>
        <v>#VALUE!</v>
      </c>
    </row>
    <row r="3708" spans="1:4" x14ac:dyDescent="0.25">
      <c r="A3708" s="1" t="str">
        <f>'001'!B3708</f>
        <v>005513</v>
      </c>
      <c r="B3708" s="1" t="str">
        <f>'001'!C3708</f>
        <v>ARCO NIVELADOR 3 MM LINEA PREMIUM (BOLSA X 150U)</v>
      </c>
      <c r="C3708" s="1" t="str">
        <f>'001'!D3708</f>
        <v>0196</v>
      </c>
      <c r="D3708" s="3" t="e">
        <f>'001'!H3708</f>
        <v>#VALUE!</v>
      </c>
    </row>
    <row r="3709" spans="1:4" x14ac:dyDescent="0.25">
      <c r="A3709" s="1" t="str">
        <f>'001'!B3709</f>
        <v>005514</v>
      </c>
      <c r="B3709" s="1" t="str">
        <f>'001'!C3709</f>
        <v>CUÑA NIVELADORA (BOLSA X 150U)</v>
      </c>
      <c r="C3709" s="1" t="str">
        <f>'001'!D3709</f>
        <v>0196</v>
      </c>
      <c r="D3709" s="3" t="e">
        <f>'001'!H3709</f>
        <v>#VALUE!</v>
      </c>
    </row>
    <row r="3710" spans="1:4" x14ac:dyDescent="0.25">
      <c r="A3710" s="1" t="str">
        <f>'001'!B3710</f>
        <v>005515</v>
      </c>
      <c r="B3710" s="1" t="str">
        <f>'001'!C3710</f>
        <v>TORNILLO NIVELADOR 2 MM (BOLSA X 100U)</v>
      </c>
      <c r="C3710" s="1" t="str">
        <f>'001'!D3710</f>
        <v>0196</v>
      </c>
      <c r="D3710" s="3" t="e">
        <f>'001'!H3710</f>
        <v>#VALUE!</v>
      </c>
    </row>
    <row r="3711" spans="1:4" x14ac:dyDescent="0.25">
      <c r="A3711" s="1" t="str">
        <f>'001'!B3711</f>
        <v>005516</v>
      </c>
      <c r="B3711" s="1" t="str">
        <f>'001'!C3711</f>
        <v>TUERCA NIVELADORA (BOLSA X 50U)</v>
      </c>
      <c r="C3711" s="1" t="str">
        <f>'001'!D3711</f>
        <v>0196</v>
      </c>
      <c r="D3711" s="3" t="e">
        <f>'001'!H3711</f>
        <v>#VALUE!</v>
      </c>
    </row>
    <row r="3712" spans="1:4" x14ac:dyDescent="0.25">
      <c r="A3712" s="1" t="str">
        <f>'001'!B3712</f>
        <v>005517</v>
      </c>
      <c r="B3712" s="1" t="str">
        <f>'001'!C3712</f>
        <v>PINZA NIVELADORA</v>
      </c>
      <c r="C3712" s="1" t="str">
        <f>'001'!D3712</f>
        <v>0196</v>
      </c>
      <c r="D3712" s="3" t="e">
        <f>'001'!H3712</f>
        <v>#VALUE!</v>
      </c>
    </row>
    <row r="3713" spans="1:4" x14ac:dyDescent="0.25">
      <c r="A3713" s="1" t="str">
        <f>'001'!B3713</f>
        <v>005518</v>
      </c>
      <c r="B3713" s="1" t="str">
        <f>'001'!C3713</f>
        <v>MAZA DE GOMA 350G</v>
      </c>
      <c r="C3713" s="1" t="str">
        <f>'001'!D3713</f>
        <v>0196</v>
      </c>
      <c r="D3713" s="3" t="e">
        <f>'001'!H3713</f>
        <v>#VALUE!</v>
      </c>
    </row>
    <row r="3714" spans="1:4" x14ac:dyDescent="0.25">
      <c r="A3714" s="1" t="str">
        <f>'001'!B3714</f>
        <v>005519</v>
      </c>
      <c r="B3714" s="1" t="str">
        <f>'001'!C3714</f>
        <v>CRUCETAS C-3 MM (BOLSA X 100U)</v>
      </c>
      <c r="C3714" s="1" t="str">
        <f>'001'!D3714</f>
        <v>0196</v>
      </c>
      <c r="D3714" s="3" t="e">
        <f>'001'!H3714</f>
        <v>#VALUE!</v>
      </c>
    </row>
    <row r="3715" spans="1:4" x14ac:dyDescent="0.25">
      <c r="A3715" s="1" t="str">
        <f>'001'!B3715</f>
        <v>005520</v>
      </c>
      <c r="B3715" s="1" t="str">
        <f>'001'!C3715</f>
        <v>SOPAPA VENTOSA SIMPLE</v>
      </c>
      <c r="C3715" s="1" t="str">
        <f>'001'!D3715</f>
        <v>0196</v>
      </c>
      <c r="D3715" s="3" t="e">
        <f>'001'!H3715</f>
        <v>#VALUE!</v>
      </c>
    </row>
    <row r="3716" spans="1:4" x14ac:dyDescent="0.25">
      <c r="A3716" s="1" t="str">
        <f>'001'!B3716</f>
        <v>005521</v>
      </c>
      <c r="B3716" s="1" t="str">
        <f>'001'!C3716</f>
        <v>RODILLERA DE TRABAJO/PROTECCION ( POR PAR)</v>
      </c>
      <c r="C3716" s="1" t="str">
        <f>'001'!D3716</f>
        <v>0196</v>
      </c>
      <c r="D3716" s="3" t="e">
        <f>'001'!H3716</f>
        <v>#VALUE!</v>
      </c>
    </row>
    <row r="3717" spans="1:4" x14ac:dyDescent="0.25">
      <c r="A3717" s="1" t="str">
        <f>'001'!B3717</f>
        <v>005522</v>
      </c>
      <c r="B3717" s="1" t="str">
        <f>'001'!C3717</f>
        <v>PEINE COPIADOR CONTORNOS / MOLDURAS 6"</v>
      </c>
      <c r="C3717" s="1" t="str">
        <f>'001'!D3717</f>
        <v>0196</v>
      </c>
      <c r="D3717" s="3" t="e">
        <f>'001'!H3717</f>
        <v>#VALUE!</v>
      </c>
    </row>
    <row r="3718" spans="1:4" x14ac:dyDescent="0.25">
      <c r="A3718" s="1" t="str">
        <f>'001'!B3718</f>
        <v>005530</v>
      </c>
      <c r="B3718" s="1" t="str">
        <f>'001'!C3718</f>
        <v>CUCHARA WELBY N 6 (CU01)</v>
      </c>
      <c r="C3718" s="1" t="str">
        <f>'001'!D3718</f>
        <v>0176</v>
      </c>
      <c r="D3718" s="3" t="e">
        <f>'001'!H3718</f>
        <v>#VALUE!</v>
      </c>
    </row>
    <row r="3719" spans="1:4" x14ac:dyDescent="0.25">
      <c r="A3719" s="1" t="str">
        <f>'001'!B3719</f>
        <v>005531</v>
      </c>
      <c r="B3719" s="1" t="str">
        <f>'001'!C3719</f>
        <v>CUCHARA WELBY N 7 MOCHA (CU03)</v>
      </c>
      <c r="C3719" s="1" t="str">
        <f>'001'!D3719</f>
        <v>0176</v>
      </c>
      <c r="D3719" s="3" t="e">
        <f>'001'!H3719</f>
        <v>#VALUE!</v>
      </c>
    </row>
    <row r="3720" spans="1:4" x14ac:dyDescent="0.25">
      <c r="A3720" s="1" t="str">
        <f>'001'!B3720</f>
        <v>005532</v>
      </c>
      <c r="B3720" s="1" t="str">
        <f>'001'!C3720</f>
        <v>CUCHARA WELBY N 8 (CU04)</v>
      </c>
      <c r="C3720" s="1" t="str">
        <f>'001'!D3720</f>
        <v>0176</v>
      </c>
      <c r="D3720" s="3" t="e">
        <f>'001'!H3720</f>
        <v>#VALUE!</v>
      </c>
    </row>
    <row r="3721" spans="1:4" x14ac:dyDescent="0.25">
      <c r="A3721" s="1" t="str">
        <f>'001'!B3721</f>
        <v>005533</v>
      </c>
      <c r="B3721" s="1" t="str">
        <f>'001'!C3721</f>
        <v>CUCHARA WELBY N 8 MOCHA (CU05)</v>
      </c>
      <c r="C3721" s="1" t="str">
        <f>'001'!D3721</f>
        <v>0176</v>
      </c>
      <c r="D3721" s="3" t="e">
        <f>'001'!H3721</f>
        <v>#VALUE!</v>
      </c>
    </row>
    <row r="3722" spans="1:4" x14ac:dyDescent="0.25">
      <c r="A3722" s="1" t="str">
        <f>'001'!B3722</f>
        <v>005534</v>
      </c>
      <c r="B3722" s="1" t="str">
        <f>'001'!C3722</f>
        <v>CUCHARA WELBY N 9 (CU06)</v>
      </c>
      <c r="C3722" s="1" t="str">
        <f>'001'!D3722</f>
        <v>0176</v>
      </c>
      <c r="D3722" s="3" t="e">
        <f>'001'!H3722</f>
        <v>#VALUE!</v>
      </c>
    </row>
    <row r="3723" spans="1:4" x14ac:dyDescent="0.25">
      <c r="A3723" s="1" t="str">
        <f>'001'!B3723</f>
        <v>005535</v>
      </c>
      <c r="B3723" s="1" t="str">
        <f>'001'!C3723</f>
        <v>CUCHARA WELBY CUCHARIN N 5 (CU07)</v>
      </c>
      <c r="C3723" s="1" t="str">
        <f>'001'!D3723</f>
        <v>0176</v>
      </c>
      <c r="D3723" s="3" t="e">
        <f>'001'!H3723</f>
        <v>#VALUE!</v>
      </c>
    </row>
    <row r="3724" spans="1:4" x14ac:dyDescent="0.25">
      <c r="A3724" s="1" t="str">
        <f>'001'!B3724</f>
        <v>005536</v>
      </c>
      <c r="B3724" s="1" t="str">
        <f>'001'!C3724</f>
        <v>CUCHARA WELBY CUCHARIN N 6 (CU09)</v>
      </c>
      <c r="C3724" s="1" t="str">
        <f>'001'!D3724</f>
        <v>0176</v>
      </c>
      <c r="D3724" s="3" t="e">
        <f>'001'!H3724</f>
        <v>#VALUE!</v>
      </c>
    </row>
    <row r="3725" spans="1:4" x14ac:dyDescent="0.25">
      <c r="A3725" s="1" t="str">
        <f>'001'!B3725</f>
        <v>005537</v>
      </c>
      <c r="B3725" s="1" t="str">
        <f>'001'!C3725</f>
        <v>ESCUADRA 300MM (ES01)</v>
      </c>
      <c r="C3725" s="1" t="str">
        <f>'001'!D3725</f>
        <v>0176</v>
      </c>
      <c r="D3725" s="3" t="e">
        <f>'001'!H3725</f>
        <v>#VALUE!</v>
      </c>
    </row>
    <row r="3726" spans="1:4" x14ac:dyDescent="0.25">
      <c r="A3726" s="1" t="str">
        <f>'001'!B3726</f>
        <v>005538</v>
      </c>
      <c r="B3726" s="1" t="str">
        <f>'001'!C3726</f>
        <v>ESCUADRA 400MM (ES02)</v>
      </c>
      <c r="C3726" s="1" t="str">
        <f>'001'!D3726</f>
        <v>0176</v>
      </c>
      <c r="D3726" s="3" t="e">
        <f>'001'!H3726</f>
        <v>#VALUE!</v>
      </c>
    </row>
    <row r="3727" spans="1:4" x14ac:dyDescent="0.25">
      <c r="A3727" s="1" t="str">
        <f>'001'!B3727</f>
        <v>005539</v>
      </c>
      <c r="B3727" s="1" t="str">
        <f>'001'!C3727</f>
        <v>ESCUADRA 500MM (ES03)</v>
      </c>
      <c r="C3727" s="1" t="str">
        <f>'001'!D3727</f>
        <v>0176</v>
      </c>
      <c r="D3727" s="3" t="e">
        <f>'001'!H3727</f>
        <v>#VALUE!</v>
      </c>
    </row>
    <row r="3728" spans="1:4" x14ac:dyDescent="0.25">
      <c r="A3728" s="1" t="str">
        <f>'001'!B3728</f>
        <v>005540</v>
      </c>
      <c r="B3728" s="1" t="str">
        <f>'001'!C3728</f>
        <v>ESCUADRA 600MM (ES04)</v>
      </c>
      <c r="C3728" s="1" t="str">
        <f>'001'!D3728</f>
        <v>0176</v>
      </c>
      <c r="D3728" s="3" t="e">
        <f>'001'!H3728</f>
        <v>#VALUE!</v>
      </c>
    </row>
    <row r="3729" spans="1:4" x14ac:dyDescent="0.25">
      <c r="A3729" s="1" t="str">
        <f>'001'!B3729</f>
        <v>005541</v>
      </c>
      <c r="B3729" s="1" t="str">
        <f>'001'!C3729</f>
        <v>ESCUADRA 700MM (ES05)</v>
      </c>
      <c r="C3729" s="1" t="str">
        <f>'001'!D3729</f>
        <v>0176</v>
      </c>
      <c r="D3729" s="3" t="e">
        <f>'001'!H3729</f>
        <v>#VALUE!</v>
      </c>
    </row>
    <row r="3730" spans="1:4" x14ac:dyDescent="0.25">
      <c r="A3730" s="1" t="str">
        <f>'001'!B3730</f>
        <v>005542</v>
      </c>
      <c r="B3730" s="1" t="str">
        <f>'001'!C3730</f>
        <v>FRATACHO PLASTICO 20CM CON GOMA ESPUMA (FR06)</v>
      </c>
      <c r="C3730" s="1" t="str">
        <f>'001'!D3730</f>
        <v>0176</v>
      </c>
      <c r="D3730" s="3" t="e">
        <f>'001'!H3730</f>
        <v>#VALUE!</v>
      </c>
    </row>
    <row r="3731" spans="1:4" x14ac:dyDescent="0.25">
      <c r="A3731" s="1" t="str">
        <f>'001'!B3731</f>
        <v>005543</v>
      </c>
      <c r="B3731" s="1" t="str">
        <f>'001'!C3731</f>
        <v>FRATACHO PLASTICO 25CM CON GOMA ESPUMA (FR07)</v>
      </c>
      <c r="C3731" s="1" t="str">
        <f>'001'!D3731</f>
        <v>0176</v>
      </c>
      <c r="D3731" s="3" t="e">
        <f>'001'!H3731</f>
        <v>#VALUE!</v>
      </c>
    </row>
    <row r="3732" spans="1:4" x14ac:dyDescent="0.25">
      <c r="A3732" s="1" t="str">
        <f>'001'!B3732</f>
        <v>005544</v>
      </c>
      <c r="B3732" s="1" t="str">
        <f>'001'!C3732</f>
        <v>FRATACHO DE PINO 20CM (FR09)</v>
      </c>
      <c r="C3732" s="1" t="str">
        <f>'001'!D3732</f>
        <v>0176</v>
      </c>
      <c r="D3732" s="3" t="e">
        <f>'001'!H3732</f>
        <v>#VALUE!</v>
      </c>
    </row>
    <row r="3733" spans="1:4" x14ac:dyDescent="0.25">
      <c r="A3733" s="1" t="str">
        <f>'001'!B3733</f>
        <v>005545</v>
      </c>
      <c r="B3733" s="1" t="str">
        <f>'001'!C3733</f>
        <v>FRATACHO DE PINO 25CM (FR10)</v>
      </c>
      <c r="C3733" s="1" t="str">
        <f>'001'!D3733</f>
        <v>0176</v>
      </c>
      <c r="D3733" s="3" t="e">
        <f>'001'!H3733</f>
        <v>#VALUE!</v>
      </c>
    </row>
    <row r="3734" spans="1:4" x14ac:dyDescent="0.25">
      <c r="A3734" s="1" t="str">
        <f>'001'!B3734</f>
        <v>005546</v>
      </c>
      <c r="B3734" s="1" t="str">
        <f>'001'!C3734</f>
        <v>FRATACHO DE PINO 35CM (FR12)</v>
      </c>
      <c r="C3734" s="1" t="str">
        <f>'001'!D3734</f>
        <v>0176</v>
      </c>
      <c r="D3734" s="3" t="e">
        <f>'001'!H3734</f>
        <v>#VALUE!</v>
      </c>
    </row>
    <row r="3735" spans="1:4" x14ac:dyDescent="0.25">
      <c r="A3735" s="1" t="str">
        <f>'001'!B3735</f>
        <v>005547</v>
      </c>
      <c r="B3735" s="1" t="str">
        <f>'001'!C3735</f>
        <v>FRATACHO DE PINO 40CM (FR13)</v>
      </c>
      <c r="C3735" s="1" t="str">
        <f>'001'!D3735</f>
        <v>0176</v>
      </c>
      <c r="D3735" s="3" t="e">
        <f>'001'!H3735</f>
        <v>#VALUE!</v>
      </c>
    </row>
    <row r="3736" spans="1:4" x14ac:dyDescent="0.25">
      <c r="A3736" s="1" t="str">
        <f>'001'!B3736</f>
        <v>005548</v>
      </c>
      <c r="B3736" s="1" t="str">
        <f>'001'!C3736</f>
        <v>FRATACHO DE PINO 20CM CON FIELTRO (FR14)</v>
      </c>
      <c r="C3736" s="1" t="str">
        <f>'001'!D3736</f>
        <v>0176</v>
      </c>
      <c r="D3736" s="3" t="e">
        <f>'001'!H3736</f>
        <v>#VALUE!</v>
      </c>
    </row>
    <row r="3737" spans="1:4" x14ac:dyDescent="0.25">
      <c r="A3737" s="1" t="str">
        <f>'001'!B3737</f>
        <v>005549</v>
      </c>
      <c r="B3737" s="1" t="str">
        <f>'001'!C3737</f>
        <v>FRATACHO DE PINO 25CM CON FIELTRO (FR15)</v>
      </c>
      <c r="C3737" s="1" t="str">
        <f>'001'!D3737</f>
        <v>0176</v>
      </c>
      <c r="D3737" s="3" t="e">
        <f>'001'!H3737</f>
        <v>#VALUE!</v>
      </c>
    </row>
    <row r="3738" spans="1:4" x14ac:dyDescent="0.25">
      <c r="A3738" s="1" t="str">
        <f>'001'!B3738</f>
        <v>005550</v>
      </c>
      <c r="B3738" s="1" t="str">
        <f>'001'!C3738</f>
        <v>FRATACHO DE PINO 35CM CON FIELTRO (FR17)</v>
      </c>
      <c r="C3738" s="1" t="str">
        <f>'001'!D3738</f>
        <v>0176</v>
      </c>
      <c r="D3738" s="3" t="e">
        <f>'001'!H3738</f>
        <v>#VALUE!</v>
      </c>
    </row>
    <row r="3739" spans="1:4" x14ac:dyDescent="0.25">
      <c r="A3739" s="1" t="str">
        <f>'001'!B3739</f>
        <v>005551</v>
      </c>
      <c r="B3739" s="1" t="str">
        <f>'001'!C3739</f>
        <v>LLANA DENTADA 130X300 DE  6X6 MGO MADERA (LL08/6)</v>
      </c>
      <c r="C3739" s="1" t="str">
        <f>'001'!D3739</f>
        <v>0176</v>
      </c>
      <c r="D3739" s="3" t="e">
        <f>'001'!H3739</f>
        <v>#VALUE!</v>
      </c>
    </row>
    <row r="3740" spans="1:4" x14ac:dyDescent="0.25">
      <c r="A3740" s="1" t="str">
        <f>'001'!B3740</f>
        <v>005552</v>
      </c>
      <c r="B3740" s="1" t="str">
        <f>'001'!C3740</f>
        <v>LLANA DENTADA 130X300 DE  8X8 MGO MADERA (LL08/8)</v>
      </c>
      <c r="C3740" s="1" t="str">
        <f>'001'!D3740</f>
        <v>0176</v>
      </c>
      <c r="D3740" s="3" t="e">
        <f>'001'!H3740</f>
        <v>#VALUE!</v>
      </c>
    </row>
    <row r="3741" spans="1:4" x14ac:dyDescent="0.25">
      <c r="A3741" s="1" t="str">
        <f>'001'!B3741</f>
        <v>005553</v>
      </c>
      <c r="B3741" s="1" t="str">
        <f>'001'!C3741</f>
        <v>LLANA DENTADA 130X300 DE 10X10 MGO MADERA (LL08/10)</v>
      </c>
      <c r="C3741" s="1" t="str">
        <f>'001'!D3741</f>
        <v>0176</v>
      </c>
      <c r="D3741" s="3" t="e">
        <f>'001'!H3741</f>
        <v>#VALUE!</v>
      </c>
    </row>
    <row r="3742" spans="1:4" x14ac:dyDescent="0.25">
      <c r="A3742" s="1" t="str">
        <f>'001'!B3742</f>
        <v>005554</v>
      </c>
      <c r="B3742" s="1" t="str">
        <f>'001'!C3742</f>
        <v>LLANA DENTADA 130X300 DE 12X12 MGO MADERA (LL08/12)</v>
      </c>
      <c r="C3742" s="1" t="str">
        <f>'001'!D3742</f>
        <v>0176</v>
      </c>
      <c r="D3742" s="3" t="e">
        <f>'001'!H3742</f>
        <v>#VALUE!</v>
      </c>
    </row>
    <row r="3743" spans="1:4" x14ac:dyDescent="0.25">
      <c r="A3743" s="1" t="str">
        <f>'001'!B3743</f>
        <v>005555</v>
      </c>
      <c r="B3743" s="1" t="str">
        <f>'001'!C3743</f>
        <v>MARTILLO GALPONERO PROFESIONAL 27MM (MA02E)</v>
      </c>
      <c r="C3743" s="1" t="str">
        <f>'001'!D3743</f>
        <v>0176</v>
      </c>
      <c r="D3743" s="3" t="e">
        <f>'001'!H3743</f>
        <v>#VALUE!</v>
      </c>
    </row>
    <row r="3744" spans="1:4" x14ac:dyDescent="0.25">
      <c r="A3744" s="1" t="str">
        <f>'001'!B3744</f>
        <v>005556</v>
      </c>
      <c r="B3744" s="1" t="str">
        <f>'001'!C3744</f>
        <v>PLOMADA 300GRS (PL02)</v>
      </c>
      <c r="C3744" s="1" t="str">
        <f>'001'!D3744</f>
        <v>0176</v>
      </c>
      <c r="D3744" s="3" t="e">
        <f>'001'!H3744</f>
        <v>#VALUE!</v>
      </c>
    </row>
    <row r="3745" spans="1:4" x14ac:dyDescent="0.25">
      <c r="A3745" s="1" t="str">
        <f>'001'!B3745</f>
        <v>005557</v>
      </c>
      <c r="B3745" s="1" t="str">
        <f>'001'!C3745</f>
        <v>ESMALTE EPOXI VANGUARD BASE TRANSPARENTE X  3</v>
      </c>
      <c r="C3745" s="1" t="str">
        <f>'001'!D3745</f>
        <v>0195</v>
      </c>
      <c r="D3745" s="3" t="e">
        <f>'001'!H3745</f>
        <v>#VALUE!</v>
      </c>
    </row>
    <row r="3746" spans="1:4" x14ac:dyDescent="0.25">
      <c r="A3746" s="1" t="str">
        <f>'001'!B3746</f>
        <v>005558</v>
      </c>
      <c r="B3746" s="1" t="str">
        <f>'001'!C3746</f>
        <v>ESMALTE EPOXI VANGUARD BASE TRANSPARENTE X 15</v>
      </c>
      <c r="C3746" s="1" t="str">
        <f>'001'!D3746</f>
        <v>0195</v>
      </c>
      <c r="D3746" s="3" t="e">
        <f>'001'!H3746</f>
        <v>#VALUE!</v>
      </c>
    </row>
    <row r="3747" spans="1:4" x14ac:dyDescent="0.25">
      <c r="A3747" s="1" t="str">
        <f>'001'!B3747</f>
        <v>005559</v>
      </c>
      <c r="B3747" s="1" t="str">
        <f>'001'!C3747</f>
        <v>ESMALTE EPOXI VANGUARD BLANCO X  3</v>
      </c>
      <c r="C3747" s="1" t="str">
        <f>'001'!D3747</f>
        <v>0195</v>
      </c>
      <c r="D3747" s="3" t="e">
        <f>'001'!H3747</f>
        <v>#VALUE!</v>
      </c>
    </row>
    <row r="3748" spans="1:4" x14ac:dyDescent="0.25">
      <c r="A3748" s="1" t="str">
        <f>'001'!B3748</f>
        <v>005560</v>
      </c>
      <c r="B3748" s="1" t="str">
        <f>'001'!C3748</f>
        <v>ESMALTE EPOXI VANGUARD BLANCO X 15</v>
      </c>
      <c r="C3748" s="1" t="str">
        <f>'001'!D3748</f>
        <v>0195</v>
      </c>
      <c r="D3748" s="3" t="e">
        <f>'001'!H3748</f>
        <v>#VALUE!</v>
      </c>
    </row>
    <row r="3749" spans="1:4" x14ac:dyDescent="0.25">
      <c r="A3749" s="1" t="str">
        <f>'001'!B3749</f>
        <v>005561</v>
      </c>
      <c r="B3749" s="1" t="str">
        <f>'001'!C3749</f>
        <v>BASE NIVELADORA WEBER GRANITEX BASE COAT X 25</v>
      </c>
      <c r="C3749" s="1" t="str">
        <f>'001'!D3749</f>
        <v>0163</v>
      </c>
      <c r="D3749" s="3" t="e">
        <f>'001'!H3749</f>
        <v>#VALUE!</v>
      </c>
    </row>
    <row r="3750" spans="1:4" x14ac:dyDescent="0.25">
      <c r="A3750" s="1" t="str">
        <f>'001'!B3750</f>
        <v>005562</v>
      </c>
      <c r="B3750" s="1" t="str">
        <f>'001'!C3750</f>
        <v>MORTERO DE ASIENTO BLOQUES DE HORMIGON WEBER BLOCK GRIS X 30</v>
      </c>
      <c r="C3750" s="1" t="str">
        <f>'001'!D3750</f>
        <v>0163</v>
      </c>
      <c r="D3750" s="3" t="e">
        <f>'001'!H3750</f>
        <v>#VALUE!</v>
      </c>
    </row>
    <row r="3751" spans="1:4" x14ac:dyDescent="0.25">
      <c r="A3751" s="1" t="str">
        <f>'001'!B3751</f>
        <v>005572</v>
      </c>
      <c r="B3751" s="1" t="str">
        <f>'001'!C3751</f>
        <v>IMPERMEABILIZANTE PARA TECHOS DURALBA MULTISUPERFICIE BLANCO X  5</v>
      </c>
      <c r="C3751" s="1" t="str">
        <f>'001'!D3751</f>
        <v>0107</v>
      </c>
      <c r="D3751" s="3" t="e">
        <f>'001'!H3751</f>
        <v>#VALUE!</v>
      </c>
    </row>
    <row r="3752" spans="1:4" x14ac:dyDescent="0.25">
      <c r="A3752" s="1" t="str">
        <f>'001'!B3752</f>
        <v>005573</v>
      </c>
      <c r="B3752" s="1" t="str">
        <f>'001'!C3752</f>
        <v>IMPERMEABILIZANTE PARA TECHOS DURALBA MULTISUPERFICIE BLANCO X 12</v>
      </c>
      <c r="C3752" s="1" t="str">
        <f>'001'!D3752</f>
        <v>0107</v>
      </c>
      <c r="D3752" s="3" t="e">
        <f>'001'!H3752</f>
        <v>#VALUE!</v>
      </c>
    </row>
    <row r="3753" spans="1:4" x14ac:dyDescent="0.25">
      <c r="A3753" s="1" t="str">
        <f>'001'!B3753</f>
        <v>005574</v>
      </c>
      <c r="B3753" s="1" t="str">
        <f>'001'!C3753</f>
        <v>IMPERMEABILIZANTE PARA TECHOS DURALBA MULTISUPERFICIE BLANCO X 24</v>
      </c>
      <c r="C3753" s="1" t="str">
        <f>'001'!D3753</f>
        <v>0107</v>
      </c>
      <c r="D3753" s="3" t="e">
        <f>'001'!H3753</f>
        <v>#VALUE!</v>
      </c>
    </row>
    <row r="3754" spans="1:4" x14ac:dyDescent="0.25">
      <c r="A3754" s="1" t="str">
        <f>'001'!B3754</f>
        <v>005575</v>
      </c>
      <c r="B3754" s="1" t="str">
        <f>'001'!C3754</f>
        <v>IMPERMEABILIZANTE PARA TECHOS DURALBA MULTISUPERFICIE TEJA X  5</v>
      </c>
      <c r="C3754" s="1" t="str">
        <f>'001'!D3754</f>
        <v>0107</v>
      </c>
      <c r="D3754" s="3" t="e">
        <f>'001'!H3754</f>
        <v>#VALUE!</v>
      </c>
    </row>
    <row r="3755" spans="1:4" x14ac:dyDescent="0.25">
      <c r="A3755" s="1" t="str">
        <f>'001'!B3755</f>
        <v>005576</v>
      </c>
      <c r="B3755" s="1" t="str">
        <f>'001'!C3755</f>
        <v>IMPERMEABILIZANTE PARA TECHOS DURALBA MULTISUPERFICIE TEJA X 12</v>
      </c>
      <c r="C3755" s="1" t="str">
        <f>'001'!D3755</f>
        <v>0107</v>
      </c>
      <c r="D3755" s="3" t="e">
        <f>'001'!H3755</f>
        <v>#VALUE!</v>
      </c>
    </row>
    <row r="3756" spans="1:4" x14ac:dyDescent="0.25">
      <c r="A3756" s="1" t="str">
        <f>'001'!B3756</f>
        <v>005577</v>
      </c>
      <c r="B3756" s="1" t="str">
        <f>'001'!C3756</f>
        <v>IMPERMEABILIZANTE PARA TECHOS DURALBA MULTISUPERFICIE TEJA X 24</v>
      </c>
      <c r="C3756" s="1" t="str">
        <f>'001'!D3756</f>
        <v>0107</v>
      </c>
      <c r="D3756" s="3" t="e">
        <f>'001'!H3756</f>
        <v>#VALUE!</v>
      </c>
    </row>
    <row r="3757" spans="1:4" x14ac:dyDescent="0.25">
      <c r="A3757" s="1" t="str">
        <f>'001'!B3757</f>
        <v>005578</v>
      </c>
      <c r="B3757" s="1" t="str">
        <f>'001'!C3757</f>
        <v>IMPERMEABILIZANTE PARA TECHOS DURALBA MULTISUPERFICIE GRIS OSCURO X 12</v>
      </c>
      <c r="C3757" s="1" t="str">
        <f>'001'!D3757</f>
        <v>0107</v>
      </c>
      <c r="D3757" s="3" t="e">
        <f>'001'!H3757</f>
        <v>#VALUE!</v>
      </c>
    </row>
    <row r="3758" spans="1:4" x14ac:dyDescent="0.25">
      <c r="A3758" s="1" t="str">
        <f>'001'!B3758</f>
        <v>005579</v>
      </c>
      <c r="B3758" s="1" t="str">
        <f>'001'!C3758</f>
        <v>IMPERMEABILIZANTE PARA TECHOS DURALBA MULTISUPERFICIE GRIS OSCURO X 24</v>
      </c>
      <c r="C3758" s="1" t="str">
        <f>'001'!D3758</f>
        <v>0107</v>
      </c>
      <c r="D3758" s="3" t="e">
        <f>'001'!H3758</f>
        <v>#VALUE!</v>
      </c>
    </row>
    <row r="3759" spans="1:4" x14ac:dyDescent="0.25">
      <c r="A3759" s="1" t="str">
        <f>'001'!B3759</f>
        <v>005580</v>
      </c>
      <c r="B3759" s="1" t="str">
        <f>'001'!C3759</f>
        <v>IMPERMEABILIZANTE PARA TECHOS DURALBA MULTISUPERFICIE VERDE INGLES X 12</v>
      </c>
      <c r="C3759" s="1" t="str">
        <f>'001'!D3759</f>
        <v>0107</v>
      </c>
      <c r="D3759" s="3" t="e">
        <f>'001'!H3759</f>
        <v>#VALUE!</v>
      </c>
    </row>
    <row r="3760" spans="1:4" x14ac:dyDescent="0.25">
      <c r="A3760" s="1" t="str">
        <f>'001'!B3760</f>
        <v>005581</v>
      </c>
      <c r="B3760" s="1" t="str">
        <f>'001'!C3760</f>
        <v>IMPERMEABILIZANTE PARA TECHOS DURALBA MULTISUPERFICIE VERDE INGLES X 24</v>
      </c>
      <c r="C3760" s="1" t="str">
        <f>'001'!D3760</f>
        <v>0107</v>
      </c>
      <c r="D3760" s="3" t="e">
        <f>'001'!H3760</f>
        <v>#VALUE!</v>
      </c>
    </row>
    <row r="3761" spans="1:4" x14ac:dyDescent="0.25">
      <c r="A3761" s="1" t="str">
        <f>'001'!B3761</f>
        <v>005582</v>
      </c>
      <c r="B3761" s="1" t="str">
        <f>'001'!C3761</f>
        <v>IMPERMEABILIZANTE PARA TECHOS DURALBA TRANSITABLE BLANCO X   4</v>
      </c>
      <c r="C3761" s="1" t="str">
        <f>'001'!D3761</f>
        <v>0107</v>
      </c>
      <c r="D3761" s="3" t="e">
        <f>'001'!H3761</f>
        <v>#VALUE!</v>
      </c>
    </row>
    <row r="3762" spans="1:4" x14ac:dyDescent="0.25">
      <c r="A3762" s="1" t="str">
        <f>'001'!B3762</f>
        <v>005583</v>
      </c>
      <c r="B3762" s="1" t="str">
        <f>'001'!C3762</f>
        <v>IMPERMEABILIZANTE PARA TECHOS DURALBA TRANSITABLE BLANCO X 10</v>
      </c>
      <c r="C3762" s="1" t="str">
        <f>'001'!D3762</f>
        <v>0107</v>
      </c>
      <c r="D3762" s="3" t="e">
        <f>'001'!H3762</f>
        <v>#VALUE!</v>
      </c>
    </row>
    <row r="3763" spans="1:4" x14ac:dyDescent="0.25">
      <c r="A3763" s="1" t="str">
        <f>'001'!B3763</f>
        <v>005584</v>
      </c>
      <c r="B3763" s="1" t="str">
        <f>'001'!C3763</f>
        <v>IMPERMEABILIZANTE PARA TECHOS DURALBA TRANSITABLE BLANCO X 20</v>
      </c>
      <c r="C3763" s="1" t="str">
        <f>'001'!D3763</f>
        <v>0107</v>
      </c>
      <c r="D3763" s="3" t="e">
        <f>'001'!H3763</f>
        <v>#VALUE!</v>
      </c>
    </row>
    <row r="3764" spans="1:4" x14ac:dyDescent="0.25">
      <c r="A3764" s="1" t="str">
        <f>'001'!B3764</f>
        <v>005585</v>
      </c>
      <c r="B3764" s="1" t="str">
        <f>'001'!C3764</f>
        <v>IMPERMEABILIZANTE PARA TECHOS DURALBA TRANSITABLE TEJA X  4</v>
      </c>
      <c r="C3764" s="1" t="str">
        <f>'001'!D3764</f>
        <v>0107</v>
      </c>
      <c r="D3764" s="3" t="e">
        <f>'001'!H3764</f>
        <v>#VALUE!</v>
      </c>
    </row>
    <row r="3765" spans="1:4" x14ac:dyDescent="0.25">
      <c r="A3765" s="1" t="str">
        <f>'001'!B3765</f>
        <v>005586</v>
      </c>
      <c r="B3765" s="1" t="str">
        <f>'001'!C3765</f>
        <v>IMPERMEABILIZANTE PARA TECHOS DURALBA TRANSITABLE TEJA X 10</v>
      </c>
      <c r="C3765" s="1" t="str">
        <f>'001'!D3765</f>
        <v>0107</v>
      </c>
      <c r="D3765" s="3" t="e">
        <f>'001'!H3765</f>
        <v>#VALUE!</v>
      </c>
    </row>
    <row r="3766" spans="1:4" x14ac:dyDescent="0.25">
      <c r="A3766" s="1" t="str">
        <f>'001'!B3766</f>
        <v>005587</v>
      </c>
      <c r="B3766" s="1" t="str">
        <f>'001'!C3766</f>
        <v>IMPERMEABILIZANTE PARA TECHOS DURALBA TRANSITABLE TEJA X 20</v>
      </c>
      <c r="C3766" s="1" t="str">
        <f>'001'!D3766</f>
        <v>0107</v>
      </c>
      <c r="D3766" s="3" t="e">
        <f>'001'!H3766</f>
        <v>#VALUE!</v>
      </c>
    </row>
    <row r="3767" spans="1:4" x14ac:dyDescent="0.25">
      <c r="A3767" s="1" t="str">
        <f>'001'!B3767</f>
        <v>005588</v>
      </c>
      <c r="B3767" s="1" t="str">
        <f>'001'!C3767</f>
        <v>IMPERMEABILIZANTE PARA TECHOS DURALBA TRANSITABLE VERDE CEMENTO X 10</v>
      </c>
      <c r="C3767" s="1" t="str">
        <f>'001'!D3767</f>
        <v>0107</v>
      </c>
      <c r="D3767" s="3" t="e">
        <f>'001'!H3767</f>
        <v>#VALUE!</v>
      </c>
    </row>
    <row r="3768" spans="1:4" x14ac:dyDescent="0.25">
      <c r="A3768" s="1" t="str">
        <f>'001'!B3768</f>
        <v>005589</v>
      </c>
      <c r="B3768" s="1" t="str">
        <f>'001'!C3768</f>
        <v>IMPERMEABILIZANTE PARA TECHOS DURALBA TRANSITABLE VERDE CEMENTO X 20</v>
      </c>
      <c r="C3768" s="1" t="str">
        <f>'001'!D3768</f>
        <v>0107</v>
      </c>
      <c r="D3768" s="3" t="e">
        <f>'001'!H3768</f>
        <v>#VALUE!</v>
      </c>
    </row>
    <row r="3769" spans="1:4" x14ac:dyDescent="0.25">
      <c r="A3769" s="1" t="str">
        <f>'001'!B3769</f>
        <v>005590</v>
      </c>
      <c r="B3769" s="1" t="str">
        <f>'001'!C3769</f>
        <v>LATEX INTERIOR/EXTERIOR ALBA CONSTRUCTOR MATE AMARILLO FUEGUINO X 1</v>
      </c>
      <c r="C3769" s="1" t="str">
        <f>'001'!D3769</f>
        <v>0107</v>
      </c>
      <c r="D3769" s="3" t="e">
        <f>'001'!H3769</f>
        <v>#VALUE!</v>
      </c>
    </row>
    <row r="3770" spans="1:4" x14ac:dyDescent="0.25">
      <c r="A3770" s="1" t="str">
        <f>'001'!B3770</f>
        <v>005591</v>
      </c>
      <c r="B3770" s="1" t="str">
        <f>'001'!C3770</f>
        <v>LATEX INTERIOR/EXTERIOR ALBA CONSTRUCTOR MATE AMARILLO FUEGUINO X 4</v>
      </c>
      <c r="C3770" s="1" t="str">
        <f>'001'!D3770</f>
        <v>0107</v>
      </c>
      <c r="D3770" s="3" t="e">
        <f>'001'!H3770</f>
        <v>#VALUE!</v>
      </c>
    </row>
    <row r="3771" spans="1:4" x14ac:dyDescent="0.25">
      <c r="A3771" s="1" t="str">
        <f>'001'!B3771</f>
        <v>005592</v>
      </c>
      <c r="B3771" s="1" t="str">
        <f>'001'!C3771</f>
        <v>LATEX INTERIOR/EXTERIOR ALBA CONSTRUCTOR MATE AZUL GLACIAR X 1</v>
      </c>
      <c r="C3771" s="1" t="str">
        <f>'001'!D3771</f>
        <v>0107</v>
      </c>
      <c r="D3771" s="3" t="e">
        <f>'001'!H3771</f>
        <v>#VALUE!</v>
      </c>
    </row>
    <row r="3772" spans="1:4" x14ac:dyDescent="0.25">
      <c r="A3772" s="1" t="str">
        <f>'001'!B3772</f>
        <v>005593</v>
      </c>
      <c r="B3772" s="1" t="str">
        <f>'001'!C3772</f>
        <v>LATEX INTERIOR/EXTERIOR ALBA CONSTRUCTOR MATE AZUL GLACIAR X 4</v>
      </c>
      <c r="C3772" s="1" t="str">
        <f>'001'!D3772</f>
        <v>0107</v>
      </c>
      <c r="D3772" s="3" t="e">
        <f>'001'!H3772</f>
        <v>#VALUE!</v>
      </c>
    </row>
    <row r="3773" spans="1:4" x14ac:dyDescent="0.25">
      <c r="A3773" s="1" t="str">
        <f>'001'!B3773</f>
        <v>005594</v>
      </c>
      <c r="B3773" s="1" t="str">
        <f>'001'!C3773</f>
        <v>LATEX INTERIOR/EXTERIOR ALBA CONSTRUCTOR MATE BEIGE URBANO X 1</v>
      </c>
      <c r="C3773" s="1" t="str">
        <f>'001'!D3773</f>
        <v>0107</v>
      </c>
      <c r="D3773" s="3" t="e">
        <f>'001'!H3773</f>
        <v>#VALUE!</v>
      </c>
    </row>
    <row r="3774" spans="1:4" x14ac:dyDescent="0.25">
      <c r="A3774" s="1" t="str">
        <f>'001'!B3774</f>
        <v>005595</v>
      </c>
      <c r="B3774" s="1" t="str">
        <f>'001'!C3774</f>
        <v>LATEX INTERIOR/EXTERIOR ALBA CONSTRUCTOR MATE BEIGE URBANO X 4</v>
      </c>
      <c r="C3774" s="1" t="str">
        <f>'001'!D3774</f>
        <v>0107</v>
      </c>
      <c r="D3774" s="3" t="e">
        <f>'001'!H3774</f>
        <v>#VALUE!</v>
      </c>
    </row>
    <row r="3775" spans="1:4" x14ac:dyDescent="0.25">
      <c r="A3775" s="1" t="str">
        <f>'001'!B3775</f>
        <v>005596</v>
      </c>
      <c r="B3775" s="1" t="str">
        <f>'001'!C3775</f>
        <v>LATEX INTERIOR/EXTERIOR ALBA CONSTRUCTOR MATE GRIS ANDINO X 1</v>
      </c>
      <c r="C3775" s="1" t="str">
        <f>'001'!D3775</f>
        <v>0107</v>
      </c>
      <c r="D3775" s="3" t="e">
        <f>'001'!H3775</f>
        <v>#VALUE!</v>
      </c>
    </row>
    <row r="3776" spans="1:4" x14ac:dyDescent="0.25">
      <c r="A3776" s="1" t="str">
        <f>'001'!B3776</f>
        <v>005597</v>
      </c>
      <c r="B3776" s="1" t="str">
        <f>'001'!C3776</f>
        <v>LATEX INTERIOR/EXTERIOR ALBA CONSTRUCTOR MATE GRIS ANDINO X 4</v>
      </c>
      <c r="C3776" s="1" t="str">
        <f>'001'!D3776</f>
        <v>0107</v>
      </c>
      <c r="D3776" s="3" t="e">
        <f>'001'!H3776</f>
        <v>#VALUE!</v>
      </c>
    </row>
    <row r="3777" spans="1:4" x14ac:dyDescent="0.25">
      <c r="A3777" s="1" t="str">
        <f>'001'!B3777</f>
        <v>005598</v>
      </c>
      <c r="B3777" s="1" t="str">
        <f>'001'!C3777</f>
        <v>LATEX INTERIOR/EXTERIOR ALBA CONSTRUCTOR MATE GRIS PATAGONICO X 1</v>
      </c>
      <c r="C3777" s="1" t="str">
        <f>'001'!D3777</f>
        <v>0107</v>
      </c>
      <c r="D3777" s="3" t="e">
        <f>'001'!H3777</f>
        <v>#VALUE!</v>
      </c>
    </row>
    <row r="3778" spans="1:4" x14ac:dyDescent="0.25">
      <c r="A3778" s="1" t="str">
        <f>'001'!B3778</f>
        <v>005599</v>
      </c>
      <c r="B3778" s="1" t="str">
        <f>'001'!C3778</f>
        <v>LATEX INTERIOR/EXTERIOR ALBA CONSTRUCTOR MATE GRIS PATAGONICO X 4</v>
      </c>
      <c r="C3778" s="1" t="str">
        <f>'001'!D3778</f>
        <v>0107</v>
      </c>
      <c r="D3778" s="3" t="e">
        <f>'001'!H3778</f>
        <v>#VALUE!</v>
      </c>
    </row>
    <row r="3779" spans="1:4" x14ac:dyDescent="0.25">
      <c r="A3779" s="1" t="str">
        <f>'001'!B3779</f>
        <v>005600</v>
      </c>
      <c r="B3779" s="1" t="str">
        <f>'001'!C3779</f>
        <v>LATEX INTERIOR/EXTERIOR ALBA CONSTRUCTOR MATE NARANJA CAFAYATE X 1</v>
      </c>
      <c r="C3779" s="1" t="str">
        <f>'001'!D3779</f>
        <v>0107</v>
      </c>
      <c r="D3779" s="3" t="e">
        <f>'001'!H3779</f>
        <v>#VALUE!</v>
      </c>
    </row>
    <row r="3780" spans="1:4" x14ac:dyDescent="0.25">
      <c r="A3780" s="1" t="str">
        <f>'001'!B3780</f>
        <v>005601</v>
      </c>
      <c r="B3780" s="1" t="str">
        <f>'001'!C3780</f>
        <v>LATEX INTERIOR/EXTERIOR ALBA CONSTRUCTOR MATE NARANJA CAFAYATE X 4</v>
      </c>
      <c r="C3780" s="1" t="str">
        <f>'001'!D3780</f>
        <v>0107</v>
      </c>
      <c r="D3780" s="3" t="e">
        <f>'001'!H3780</f>
        <v>#VALUE!</v>
      </c>
    </row>
    <row r="3781" spans="1:4" x14ac:dyDescent="0.25">
      <c r="A3781" s="1" t="str">
        <f>'001'!B3781</f>
        <v>005602</v>
      </c>
      <c r="B3781" s="1" t="str">
        <f>'001'!C3781</f>
        <v>LATEX INTERIOR/EXTERIOR ALBA CONSTRUCTOR MATE ROJO CHAQUENO X 1</v>
      </c>
      <c r="C3781" s="1" t="str">
        <f>'001'!D3781</f>
        <v>0107</v>
      </c>
      <c r="D3781" s="3" t="e">
        <f>'001'!H3781</f>
        <v>#VALUE!</v>
      </c>
    </row>
    <row r="3782" spans="1:4" x14ac:dyDescent="0.25">
      <c r="A3782" s="1" t="str">
        <f>'001'!B3782</f>
        <v>005603</v>
      </c>
      <c r="B3782" s="1" t="str">
        <f>'001'!C3782</f>
        <v>LATEX INTERIOR/EXTERIOR ALBA CONSTRUCTOR MATE ROJO CHAQUENO X 4</v>
      </c>
      <c r="C3782" s="1" t="str">
        <f>'001'!D3782</f>
        <v>0107</v>
      </c>
      <c r="D3782" s="3" t="e">
        <f>'001'!H3782</f>
        <v>#VALUE!</v>
      </c>
    </row>
    <row r="3783" spans="1:4" x14ac:dyDescent="0.25">
      <c r="A3783" s="1" t="str">
        <f>'001'!B3783</f>
        <v>005604</v>
      </c>
      <c r="B3783" s="1" t="str">
        <f>'001'!C3783</f>
        <v>LATEX INTERIOR/EXTERIOR ALBA CONSTRUCTOR MATE VERDE PAMPEANO X 1</v>
      </c>
      <c r="C3783" s="1" t="str">
        <f>'001'!D3783</f>
        <v>0107</v>
      </c>
      <c r="D3783" s="3" t="e">
        <f>'001'!H3783</f>
        <v>#VALUE!</v>
      </c>
    </row>
    <row r="3784" spans="1:4" x14ac:dyDescent="0.25">
      <c r="A3784" s="1" t="str">
        <f>'001'!B3784</f>
        <v>005605</v>
      </c>
      <c r="B3784" s="1" t="str">
        <f>'001'!C3784</f>
        <v>LATEX INTERIOR/EXTERIOR ALBA CONSTRUCTOR MATE VERDE PAMPEANO X 4</v>
      </c>
      <c r="C3784" s="1" t="str">
        <f>'001'!D3784</f>
        <v>0107</v>
      </c>
      <c r="D3784" s="3" t="e">
        <f>'001'!H3784</f>
        <v>#VALUE!</v>
      </c>
    </row>
    <row r="3785" spans="1:4" x14ac:dyDescent="0.25">
      <c r="A3785" s="1" t="str">
        <f>'001'!B3785</f>
        <v>005606</v>
      </c>
      <c r="B3785" s="1" t="str">
        <f>'001'!C3785</f>
        <v>LATEX INTERIOR/EXTERIOR ALBA CONSTRUCTOR MATE VIOLETA CUYO X 1</v>
      </c>
      <c r="C3785" s="1" t="str">
        <f>'001'!D3785</f>
        <v>0107</v>
      </c>
      <c r="D3785" s="3" t="e">
        <f>'001'!H3785</f>
        <v>#VALUE!</v>
      </c>
    </row>
    <row r="3786" spans="1:4" x14ac:dyDescent="0.25">
      <c r="A3786" s="1" t="str">
        <f>'001'!B3786</f>
        <v>005607</v>
      </c>
      <c r="B3786" s="1" t="str">
        <f>'001'!C3786</f>
        <v>LATEX INTERIOR/EXTERIOR ALBA CONSTRUCTOR MATE VIOLETA CUYO X 4</v>
      </c>
      <c r="C3786" s="1" t="str">
        <f>'001'!D3786</f>
        <v>0107</v>
      </c>
      <c r="D3786" s="3" t="e">
        <f>'001'!H3786</f>
        <v>#VALUE!</v>
      </c>
    </row>
    <row r="3787" spans="1:4" x14ac:dyDescent="0.25">
      <c r="A3787" s="1" t="str">
        <f>'001'!B3787</f>
        <v>005608</v>
      </c>
      <c r="B3787" s="1" t="str">
        <f>'001'!C3787</f>
        <v>REVESTIMIENTO TEXTURADO TERPLAST REVOQUE ACRILICO BLANCO X  5</v>
      </c>
      <c r="C3787" s="1" t="str">
        <f>'001'!D3787</f>
        <v>0152</v>
      </c>
      <c r="D3787" s="3" t="e">
        <f>'001'!H3787</f>
        <v>#VALUE!</v>
      </c>
    </row>
    <row r="3788" spans="1:4" x14ac:dyDescent="0.25">
      <c r="A3788" s="1" t="str">
        <f>'001'!B3788</f>
        <v>005609</v>
      </c>
      <c r="B3788" s="1" t="str">
        <f>'001'!C3788</f>
        <v>REVESTIMIENTO TEXTURADO TERPLAST REVOQUE ACRILICO BLANCO X 25</v>
      </c>
      <c r="C3788" s="1" t="str">
        <f>'001'!D3788</f>
        <v>0152</v>
      </c>
      <c r="D3788" s="3" t="e">
        <f>'001'!H3788</f>
        <v>#VALUE!</v>
      </c>
    </row>
    <row r="3789" spans="1:4" x14ac:dyDescent="0.25">
      <c r="A3789" s="1" t="str">
        <f>'001'!B3789</f>
        <v>005610</v>
      </c>
      <c r="B3789" s="1" t="str">
        <f>'001'!C3789</f>
        <v>REVESTIMIENTO TEXTURADO TERPLAST REVOQUE ACRILICO CLEAR X 25</v>
      </c>
      <c r="C3789" s="1" t="str">
        <f>'001'!D3789</f>
        <v>0152</v>
      </c>
      <c r="D3789" s="3" t="e">
        <f>'001'!H3789</f>
        <v>#VALUE!</v>
      </c>
    </row>
    <row r="3790" spans="1:4" x14ac:dyDescent="0.25">
      <c r="A3790" s="1" t="str">
        <f>'001'!B3790</f>
        <v>005611</v>
      </c>
      <c r="B3790" s="1" t="str">
        <f>'001'!C3790</f>
        <v>FONDO ANTIOXIDO TERSUAVE MATE MARFIL X  4</v>
      </c>
      <c r="C3790" s="1" t="str">
        <f>'001'!D3790</f>
        <v>0152</v>
      </c>
      <c r="D3790" s="3" t="e">
        <f>'001'!H3790</f>
        <v>#VALUE!</v>
      </c>
    </row>
    <row r="3791" spans="1:4" x14ac:dyDescent="0.25">
      <c r="A3791" s="1" t="str">
        <f>'001'!B3791</f>
        <v>005612</v>
      </c>
      <c r="B3791" s="1" t="str">
        <f>'001'!C3791</f>
        <v>ESMALTE EPOXI TERSUAVE INDULAC NEGRO X  1</v>
      </c>
      <c r="C3791" s="1" t="str">
        <f>'001'!D3791</f>
        <v>0152</v>
      </c>
      <c r="D3791" s="3" t="e">
        <f>'001'!H3791</f>
        <v>#VALUE!</v>
      </c>
    </row>
    <row r="3792" spans="1:4" x14ac:dyDescent="0.25">
      <c r="A3792" s="1" t="str">
        <f>'001'!B3792</f>
        <v>005614</v>
      </c>
      <c r="B3792" s="1" t="str">
        <f>'001'!C3792</f>
        <v>MEZCLA ADHESIVA CAPA GRUESA WEBER VEREDAS X 30</v>
      </c>
      <c r="C3792" s="1" t="str">
        <f>'001'!D3792</f>
        <v>0163</v>
      </c>
      <c r="D3792" s="3" t="e">
        <f>'001'!H3792</f>
        <v>#VALUE!</v>
      </c>
    </row>
    <row r="3793" spans="1:4" x14ac:dyDescent="0.25">
      <c r="A3793" s="1" t="str">
        <f>'001'!B3793</f>
        <v>005615</v>
      </c>
      <c r="B3793" s="1" t="str">
        <f>'001'!C3793</f>
        <v>FONDO ANTIOXIDO TERSUAVE MATE NEGRO X  4</v>
      </c>
      <c r="C3793" s="1" t="str">
        <f>'001'!D3793</f>
        <v>0152</v>
      </c>
      <c r="D3793" s="3" t="e">
        <f>'001'!H3793</f>
        <v>#VALUE!</v>
      </c>
    </row>
    <row r="3794" spans="1:4" x14ac:dyDescent="0.25">
      <c r="A3794" s="1" t="str">
        <f>'001'!B3794</f>
        <v>005616</v>
      </c>
      <c r="B3794" s="1" t="str">
        <f>'001'!C3794</f>
        <v>REPARADOR DE HORMIGON VISTO WEBER HORMIESTETIC X 25</v>
      </c>
      <c r="C3794" s="1" t="str">
        <f>'001'!D3794</f>
        <v>0163</v>
      </c>
      <c r="D3794" s="3" t="e">
        <f>'001'!H3794</f>
        <v>#VALUE!</v>
      </c>
    </row>
    <row r="3795" spans="1:4" x14ac:dyDescent="0.25">
      <c r="A3795" s="1" t="str">
        <f>'001'!B3795</f>
        <v>005617</v>
      </c>
      <c r="B3795" s="1" t="str">
        <f>'001'!C3795</f>
        <v>LATEX INTERIOR/EXTERIOR TERSEN MATE TOSTADO ARMONIA X 1</v>
      </c>
      <c r="C3795" s="1" t="str">
        <f>'001'!D3795</f>
        <v>0152</v>
      </c>
      <c r="D3795" s="3" t="e">
        <f>'001'!H3795</f>
        <v>#VALUE!</v>
      </c>
    </row>
    <row r="3796" spans="1:4" x14ac:dyDescent="0.25">
      <c r="A3796" s="1" t="str">
        <f>'001'!B3796</f>
        <v>005618</v>
      </c>
      <c r="B3796" s="1" t="str">
        <f>'001'!C3796</f>
        <v>LATEX INTERIOR/EXTERIOR TERSEN MATE TOSTADO ARMONIA X 4</v>
      </c>
      <c r="C3796" s="1" t="str">
        <f>'001'!D3796</f>
        <v>0152</v>
      </c>
      <c r="D3796" s="3" t="e">
        <f>'001'!H3796</f>
        <v>#VALUE!</v>
      </c>
    </row>
    <row r="3797" spans="1:4" x14ac:dyDescent="0.25">
      <c r="A3797" s="1" t="str">
        <f>'001'!B3797</f>
        <v>005619</v>
      </c>
      <c r="B3797" s="1" t="str">
        <f>'001'!C3797</f>
        <v>LATEX INTERIOR/EXTERIOR TERSEN MATE GRIS MISTERIO X 1</v>
      </c>
      <c r="C3797" s="1" t="str">
        <f>'001'!D3797</f>
        <v>0152</v>
      </c>
      <c r="D3797" s="3" t="e">
        <f>'001'!H3797</f>
        <v>#VALUE!</v>
      </c>
    </row>
    <row r="3798" spans="1:4" x14ac:dyDescent="0.25">
      <c r="A3798" s="1" t="str">
        <f>'001'!B3798</f>
        <v>005620</v>
      </c>
      <c r="B3798" s="1" t="str">
        <f>'001'!C3798</f>
        <v>LATEX INTERIOR/EXTERIOR TERSEN MATE GRIS MISTERIO X 4</v>
      </c>
      <c r="C3798" s="1" t="str">
        <f>'001'!D3798</f>
        <v>0152</v>
      </c>
      <c r="D3798" s="3" t="e">
        <f>'001'!H3798</f>
        <v>#VALUE!</v>
      </c>
    </row>
    <row r="3799" spans="1:4" x14ac:dyDescent="0.25">
      <c r="A3799" s="1" t="str">
        <f>'001'!B3799</f>
        <v>005621</v>
      </c>
      <c r="B3799" s="1" t="str">
        <f>'001'!C3799</f>
        <v>LATEX INTERIOR/EXTERIOR TERSEN MATE BEIGE SUTIL X 1</v>
      </c>
      <c r="C3799" s="1" t="str">
        <f>'001'!D3799</f>
        <v>0152</v>
      </c>
      <c r="D3799" s="3" t="e">
        <f>'001'!H3799</f>
        <v>#VALUE!</v>
      </c>
    </row>
    <row r="3800" spans="1:4" x14ac:dyDescent="0.25">
      <c r="A3800" s="1" t="str">
        <f>'001'!B3800</f>
        <v>005622</v>
      </c>
      <c r="B3800" s="1" t="str">
        <f>'001'!C3800</f>
        <v>LATEX INTERIOR/EXTERIOR TERSEN MATE BEIGE SUTIL X 4</v>
      </c>
      <c r="C3800" s="1" t="str">
        <f>'001'!D3800</f>
        <v>0152</v>
      </c>
      <c r="D3800" s="3" t="e">
        <f>'001'!H3800</f>
        <v>#VALUE!</v>
      </c>
    </row>
    <row r="3801" spans="1:4" x14ac:dyDescent="0.25">
      <c r="A3801" s="1" t="str">
        <f>'001'!B3801</f>
        <v>005627</v>
      </c>
      <c r="B3801" s="1" t="str">
        <f>'001'!C3801</f>
        <v>FONDO ANTIOXIDO TERSUAVE MATE GRIS X  4</v>
      </c>
      <c r="C3801" s="1" t="str">
        <f>'001'!D3801</f>
        <v>0152</v>
      </c>
      <c r="D3801" s="3" t="e">
        <f>'001'!H3801</f>
        <v>#VALUE!</v>
      </c>
    </row>
    <row r="3802" spans="1:4" x14ac:dyDescent="0.25">
      <c r="A3802" s="1" t="str">
        <f>'001'!B3802</f>
        <v>005628</v>
      </c>
      <c r="B3802" s="1" t="str">
        <f>'001'!C3802</f>
        <v>DISCO LIJA DOBLE A BX94 MASTER PLUMA  AUF6P 152X  40</v>
      </c>
      <c r="C3802" s="1" t="str">
        <f>'001'!D3802</f>
        <v>0102</v>
      </c>
      <c r="D3802" s="3" t="e">
        <f>'001'!H3802</f>
        <v>#VALUE!</v>
      </c>
    </row>
    <row r="3803" spans="1:4" x14ac:dyDescent="0.25">
      <c r="A3803" s="1" t="str">
        <f>'001'!B3803</f>
        <v>005629</v>
      </c>
      <c r="B3803" s="1" t="str">
        <f>'001'!C3803</f>
        <v>DISCO LIJA DOBLE A BX94 MASTER PLUMA  AUF6P 152X  60</v>
      </c>
      <c r="C3803" s="1" t="str">
        <f>'001'!D3803</f>
        <v>0102</v>
      </c>
      <c r="D3803" s="3" t="e">
        <f>'001'!H3803</f>
        <v>#VALUE!</v>
      </c>
    </row>
    <row r="3804" spans="1:4" x14ac:dyDescent="0.25">
      <c r="A3804" s="1" t="str">
        <f>'001'!B3804</f>
        <v>005630</v>
      </c>
      <c r="B3804" s="1" t="str">
        <f>'001'!C3804</f>
        <v>DISCO LIJA DOBLE A BX94 MASTER PLUMA  AUF6P 152X  80</v>
      </c>
      <c r="C3804" s="1" t="str">
        <f>'001'!D3804</f>
        <v>0102</v>
      </c>
      <c r="D3804" s="3" t="e">
        <f>'001'!H3804</f>
        <v>#VALUE!</v>
      </c>
    </row>
    <row r="3805" spans="1:4" x14ac:dyDescent="0.25">
      <c r="A3805" s="1" t="str">
        <f>'001'!B3805</f>
        <v>005631</v>
      </c>
      <c r="B3805" s="1" t="str">
        <f>'001'!C3805</f>
        <v>DISCO LIJA DOBLE A BX94 MASTER PLUMA  AUF6P 152X 100</v>
      </c>
      <c r="C3805" s="1" t="str">
        <f>'001'!D3805</f>
        <v>0102</v>
      </c>
      <c r="D3805" s="3" t="e">
        <f>'001'!H3805</f>
        <v>#VALUE!</v>
      </c>
    </row>
    <row r="3806" spans="1:4" x14ac:dyDescent="0.25">
      <c r="A3806" s="1" t="str">
        <f>'001'!B3806</f>
        <v>005632</v>
      </c>
      <c r="B3806" s="1" t="str">
        <f>'001'!C3806</f>
        <v>DISCO LIJA DOBLE A BX94 MASTER PLUMA  AUF6P 152X 120</v>
      </c>
      <c r="C3806" s="1" t="str">
        <f>'001'!D3806</f>
        <v>0102</v>
      </c>
      <c r="D3806" s="3" t="e">
        <f>'001'!H3806</f>
        <v>#VALUE!</v>
      </c>
    </row>
    <row r="3807" spans="1:4" x14ac:dyDescent="0.25">
      <c r="A3807" s="1" t="str">
        <f>'001'!B3807</f>
        <v>005633</v>
      </c>
      <c r="B3807" s="1" t="str">
        <f>'001'!C3807</f>
        <v>DISCO LIJA DOBLE A BX94 MASTER PLUMA  AUF6P 152X 150</v>
      </c>
      <c r="C3807" s="1" t="str">
        <f>'001'!D3807</f>
        <v>0102</v>
      </c>
      <c r="D3807" s="3" t="e">
        <f>'001'!H3807</f>
        <v>#VALUE!</v>
      </c>
    </row>
    <row r="3808" spans="1:4" x14ac:dyDescent="0.25">
      <c r="A3808" s="1" t="str">
        <f>'001'!B3808</f>
        <v>005634</v>
      </c>
      <c r="B3808" s="1" t="str">
        <f>'001'!C3808</f>
        <v>DISCO LIJA DOBLE A BX94 MASTER PLUMA  AUF6P 152X 180</v>
      </c>
      <c r="C3808" s="1" t="str">
        <f>'001'!D3808</f>
        <v>0102</v>
      </c>
      <c r="D3808" s="3" t="e">
        <f>'001'!H3808</f>
        <v>#VALUE!</v>
      </c>
    </row>
    <row r="3809" spans="1:4" x14ac:dyDescent="0.25">
      <c r="A3809" s="1" t="str">
        <f>'001'!B3809</f>
        <v>005635</v>
      </c>
      <c r="B3809" s="1" t="str">
        <f>'001'!C3809</f>
        <v>DISCO LIJA DOBLE A BX94 MASTER PLUMA  AUF6P 152X 220</v>
      </c>
      <c r="C3809" s="1" t="str">
        <f>'001'!D3809</f>
        <v>0102</v>
      </c>
      <c r="D3809" s="3" t="e">
        <f>'001'!H3809</f>
        <v>#VALUE!</v>
      </c>
    </row>
    <row r="3810" spans="1:4" x14ac:dyDescent="0.25">
      <c r="A3810" s="1" t="str">
        <f>'001'!B3810</f>
        <v>005636</v>
      </c>
      <c r="B3810" s="1" t="str">
        <f>'001'!C3810</f>
        <v>DISCO LIJA DOBLE A BX94 MASTER PLUMA  AUF6P 152X 240</v>
      </c>
      <c r="C3810" s="1" t="str">
        <f>'001'!D3810</f>
        <v>0102</v>
      </c>
      <c r="D3810" s="3" t="e">
        <f>'001'!H3810</f>
        <v>#VALUE!</v>
      </c>
    </row>
    <row r="3811" spans="1:4" x14ac:dyDescent="0.25">
      <c r="A3811" s="1" t="str">
        <f>'001'!B3811</f>
        <v>005637</v>
      </c>
      <c r="B3811" s="1" t="str">
        <f>'001'!C3811</f>
        <v>DISCO LIJA DOBLE A BX94 MASTER PLUMA  AUF6P 152X 280</v>
      </c>
      <c r="C3811" s="1" t="str">
        <f>'001'!D3811</f>
        <v>0102</v>
      </c>
      <c r="D3811" s="3" t="e">
        <f>'001'!H3811</f>
        <v>#VALUE!</v>
      </c>
    </row>
    <row r="3812" spans="1:4" x14ac:dyDescent="0.25">
      <c r="A3812" s="1" t="str">
        <f>'001'!B3812</f>
        <v>005638</v>
      </c>
      <c r="B3812" s="1" t="str">
        <f>'001'!C3812</f>
        <v>DISCO LIJA DOBLE A BX94 MASTER PLUMA  AUF6P 152X 320</v>
      </c>
      <c r="C3812" s="1" t="str">
        <f>'001'!D3812</f>
        <v>0102</v>
      </c>
      <c r="D3812" s="3" t="e">
        <f>'001'!H3812</f>
        <v>#VALUE!</v>
      </c>
    </row>
    <row r="3813" spans="1:4" x14ac:dyDescent="0.25">
      <c r="A3813" s="1" t="str">
        <f>'001'!B3813</f>
        <v>005639</v>
      </c>
      <c r="B3813" s="1" t="str">
        <f>'001'!C3813</f>
        <v>DISCO LIJA DOBLE A BX94 MASTER PLUMA  AUF6P 152X 360</v>
      </c>
      <c r="C3813" s="1" t="str">
        <f>'001'!D3813</f>
        <v>0102</v>
      </c>
      <c r="D3813" s="3" t="e">
        <f>'001'!H3813</f>
        <v>#VALUE!</v>
      </c>
    </row>
    <row r="3814" spans="1:4" x14ac:dyDescent="0.25">
      <c r="A3814" s="1" t="str">
        <f>'001'!B3814</f>
        <v>005640</v>
      </c>
      <c r="B3814" s="1" t="str">
        <f>'001'!C3814</f>
        <v>DISCO LIJA DOBLE A BX94 MASTER PLUMA  AUF6P 152X 400</v>
      </c>
      <c r="C3814" s="1" t="str">
        <f>'001'!D3814</f>
        <v>0102</v>
      </c>
      <c r="D3814" s="3" t="e">
        <f>'001'!H3814</f>
        <v>#VALUE!</v>
      </c>
    </row>
    <row r="3815" spans="1:4" x14ac:dyDescent="0.25">
      <c r="A3815" s="1" t="str">
        <f>'001'!B3815</f>
        <v>005641</v>
      </c>
      <c r="B3815" s="1" t="str">
        <f>'001'!C3815</f>
        <v>DISCO LIJA DOBLE A BX94 MASTER PLUMA  AUF6P 152X 600</v>
      </c>
      <c r="C3815" s="1" t="str">
        <f>'001'!D3815</f>
        <v>0102</v>
      </c>
      <c r="D3815" s="3" t="e">
        <f>'001'!H3815</f>
        <v>#VALUE!</v>
      </c>
    </row>
    <row r="3816" spans="1:4" x14ac:dyDescent="0.25">
      <c r="A3816" s="1" t="str">
        <f>'001'!B3816</f>
        <v>005642</v>
      </c>
      <c r="B3816" s="1" t="str">
        <f>'001'!C3816</f>
        <v>DISCO LIJA DOBLE A BX94 MASTER PLUMA  AUF6P 152X 800</v>
      </c>
      <c r="C3816" s="1" t="str">
        <f>'001'!D3816</f>
        <v>0102</v>
      </c>
      <c r="D3816" s="3" t="e">
        <f>'001'!H3816</f>
        <v>#VALUE!</v>
      </c>
    </row>
    <row r="3817" spans="1:4" x14ac:dyDescent="0.25">
      <c r="A3817" s="1" t="str">
        <f>'001'!B3817</f>
        <v>005643</v>
      </c>
      <c r="B3817" s="1" t="str">
        <f>'001'!C3817</f>
        <v>RODILLO ESQUINERO DE ESPUMA 10CM X 25MM(REE)</v>
      </c>
      <c r="C3817" s="1" t="str">
        <f>'001'!D3817</f>
        <v>0165</v>
      </c>
      <c r="D3817" s="3" t="e">
        <f>'001'!H3817</f>
        <v>#VALUE!</v>
      </c>
    </row>
    <row r="3818" spans="1:4" x14ac:dyDescent="0.25">
      <c r="A3818" s="1" t="str">
        <f>'001'!B3818</f>
        <v>005644</v>
      </c>
      <c r="B3818" s="1" t="str">
        <f>'001'!C3818</f>
        <v>FONDO ANTIOXIDO TERSUAVE MATE VERDE X  4</v>
      </c>
      <c r="C3818" s="1" t="str">
        <f>'001'!D3818</f>
        <v>0152</v>
      </c>
      <c r="D3818" s="3" t="e">
        <f>'001'!H3818</f>
        <v>#VALUE!</v>
      </c>
    </row>
    <row r="3819" spans="1:4" x14ac:dyDescent="0.25">
      <c r="A3819" s="1" t="str">
        <f>'001'!B3819</f>
        <v>005645</v>
      </c>
      <c r="B3819" s="1" t="str">
        <f>'001'!C3819</f>
        <v>PINTURA ASFALTICA SOLVENTE SUPERFLEX X  1</v>
      </c>
      <c r="C3819" s="1" t="str">
        <f>'001'!D3819</f>
        <v>0182</v>
      </c>
      <c r="D3819" s="3" t="e">
        <f>'001'!H3819</f>
        <v>#VALUE!</v>
      </c>
    </row>
    <row r="3820" spans="1:4" x14ac:dyDescent="0.25">
      <c r="A3820" s="1" t="str">
        <f>'001'!B3820</f>
        <v>005646</v>
      </c>
      <c r="B3820" s="1" t="str">
        <f>'001'!C3820</f>
        <v>PINTURA ASFALTICA SOLVENTE SUPERFLEX X  4</v>
      </c>
      <c r="C3820" s="1" t="str">
        <f>'001'!D3820</f>
        <v>0182</v>
      </c>
      <c r="D3820" s="3" t="e">
        <f>'001'!H3820</f>
        <v>#VALUE!</v>
      </c>
    </row>
    <row r="3821" spans="1:4" x14ac:dyDescent="0.25">
      <c r="A3821" s="1" t="str">
        <f>'001'!B3821</f>
        <v>005647</v>
      </c>
      <c r="B3821" s="1" t="str">
        <f>'001'!C3821</f>
        <v>PINTURA ASFALTICA SOLVENTE SUPERFLEX X 18</v>
      </c>
      <c r="C3821" s="1" t="str">
        <f>'001'!D3821</f>
        <v>0182</v>
      </c>
      <c r="D3821" s="3" t="e">
        <f>'001'!H3821</f>
        <v>#VALUE!</v>
      </c>
    </row>
    <row r="3822" spans="1:4" x14ac:dyDescent="0.25">
      <c r="A3822" s="1" t="str">
        <f>'001'!B3822</f>
        <v>005648</v>
      </c>
      <c r="B3822" s="1" t="str">
        <f>'001'!C3822</f>
        <v>MEMBRANA ASFALTICA EMAPI D 400 AL 35KG</v>
      </c>
      <c r="C3822" s="1" t="str">
        <f>'001'!D3822</f>
        <v>0182</v>
      </c>
      <c r="D3822" s="3" t="e">
        <f>'001'!H3822</f>
        <v>#VALUE!</v>
      </c>
    </row>
    <row r="3823" spans="1:4" x14ac:dyDescent="0.25">
      <c r="A3823" s="1" t="str">
        <f>'001'!B3823</f>
        <v>005650</v>
      </c>
      <c r="B3823" s="1" t="str">
        <f>'001'!C3823</f>
        <v>ACOPLE RAPIDO H25 1" RI PLASTICO</v>
      </c>
      <c r="C3823" s="1" t="str">
        <f>'001'!D3823</f>
        <v>0163</v>
      </c>
      <c r="D3823" s="3" t="e">
        <f>'001'!H3823</f>
        <v>#VALUE!</v>
      </c>
    </row>
    <row r="3824" spans="1:4" x14ac:dyDescent="0.25">
      <c r="A3824" s="1" t="str">
        <f>'001'!B3824</f>
        <v>005651</v>
      </c>
      <c r="B3824" s="1" t="str">
        <f>'001'!C3824</f>
        <v>ACOPLAMIENTO GEKA CON BOQUILLA 3/4</v>
      </c>
      <c r="C3824" s="1" t="str">
        <f>'001'!D3824</f>
        <v>0163</v>
      </c>
      <c r="D3824" s="3" t="e">
        <f>'001'!H3824</f>
        <v>#VALUE!</v>
      </c>
    </row>
    <row r="3825" spans="1:4" x14ac:dyDescent="0.25">
      <c r="A3825" s="1" t="str">
        <f>'001'!B3825</f>
        <v>005652</v>
      </c>
      <c r="B3825" s="1" t="str">
        <f>'001'!C3825</f>
        <v>ACOPLE GEKA RI 1"</v>
      </c>
      <c r="C3825" s="1" t="str">
        <f>'001'!D3825</f>
        <v>0163</v>
      </c>
      <c r="D3825" s="3" t="e">
        <f>'001'!H3825</f>
        <v>#VALUE!</v>
      </c>
    </row>
    <row r="3826" spans="1:4" x14ac:dyDescent="0.25">
      <c r="A3826" s="1" t="str">
        <f>'001'!B3826</f>
        <v>005653</v>
      </c>
      <c r="B3826" s="1" t="str">
        <f>'001'!C3826</f>
        <v>MAGUERA MORTERO 25MM</v>
      </c>
      <c r="C3826" s="1" t="str">
        <f>'001'!D3826</f>
        <v>0163</v>
      </c>
      <c r="D3826" s="3" t="e">
        <f>'001'!H3826</f>
        <v>#VALUE!</v>
      </c>
    </row>
    <row r="3827" spans="1:4" x14ac:dyDescent="0.25">
      <c r="A3827" s="1" t="str">
        <f>'001'!B3827</f>
        <v>005654</v>
      </c>
      <c r="B3827" s="1" t="str">
        <f>'001'!C3827</f>
        <v>ROTOR MONOMIX LILA REGULABLE</v>
      </c>
      <c r="C3827" s="1" t="str">
        <f>'001'!D3827</f>
        <v>0163</v>
      </c>
      <c r="D3827" s="3" t="e">
        <f>'001'!H3827</f>
        <v>#VALUE!</v>
      </c>
    </row>
    <row r="3828" spans="1:4" x14ac:dyDescent="0.25">
      <c r="A3828" s="1" t="str">
        <f>'001'!B3828</f>
        <v>005655</v>
      </c>
      <c r="B3828" s="1" t="str">
        <f>'001'!C3828</f>
        <v>STATOR MONOMIX LILA</v>
      </c>
      <c r="C3828" s="1" t="str">
        <f>'001'!D3828</f>
        <v>0163</v>
      </c>
      <c r="D3828" s="3" t="e">
        <f>'001'!H3828</f>
        <v>#VALUE!</v>
      </c>
    </row>
    <row r="3829" spans="1:4" x14ac:dyDescent="0.25">
      <c r="A3829" s="1" t="str">
        <f>'001'!B3829</f>
        <v>005656</v>
      </c>
      <c r="B3829" s="1" t="str">
        <f>'001'!C3829</f>
        <v>STATOR UE 45 / 7 AMARILLO REGULABLE 35MM</v>
      </c>
      <c r="C3829" s="1" t="str">
        <f>'001'!D3829</f>
        <v>0163</v>
      </c>
      <c r="D3829" s="3" t="e">
        <f>'001'!H3829</f>
        <v>#VALUE!</v>
      </c>
    </row>
    <row r="3830" spans="1:4" x14ac:dyDescent="0.25">
      <c r="A3830" s="1" t="str">
        <f>'001'!B3830</f>
        <v>005657</v>
      </c>
      <c r="B3830" s="1" t="str">
        <f>'001'!C3830</f>
        <v>ROTOR UE 45 / 7 AMARILLO 35MM</v>
      </c>
      <c r="C3830" s="1" t="str">
        <f>'001'!D3830</f>
        <v>0163</v>
      </c>
      <c r="D3830" s="3" t="e">
        <f>'001'!H3830</f>
        <v>#VALUE!</v>
      </c>
    </row>
    <row r="3831" spans="1:4" x14ac:dyDescent="0.25">
      <c r="A3831" s="1" t="str">
        <f>'001'!B3831</f>
        <v>005658</v>
      </c>
      <c r="B3831" s="1" t="str">
        <f>'001'!C3831</f>
        <v>STATOR AUTOAJUSTABLE GRIS D4</v>
      </c>
      <c r="C3831" s="1" t="str">
        <f>'001'!D3831</f>
        <v>0163</v>
      </c>
      <c r="D3831" s="3" t="e">
        <f>'001'!H3831</f>
        <v>#VALUE!</v>
      </c>
    </row>
    <row r="3832" spans="1:4" x14ac:dyDescent="0.25">
      <c r="A3832" s="1" t="str">
        <f>'001'!B3832</f>
        <v>005659</v>
      </c>
      <c r="B3832" s="1" t="str">
        <f>'001'!C3832</f>
        <v>ROTOR D4</v>
      </c>
      <c r="C3832" s="1" t="str">
        <f>'001'!D3832</f>
        <v>0163</v>
      </c>
      <c r="D3832" s="3" t="e">
        <f>'001'!H3832</f>
        <v>#VALUE!</v>
      </c>
    </row>
    <row r="3833" spans="1:4" x14ac:dyDescent="0.25">
      <c r="A3833" s="1" t="str">
        <f>'001'!B3833</f>
        <v>005660</v>
      </c>
      <c r="B3833" s="1" t="str">
        <f>'001'!C3833</f>
        <v>MANGO RODILLO MINI FF  8CM(MRM8)</v>
      </c>
      <c r="C3833" s="1" t="str">
        <f>'001'!D3833</f>
        <v>0165</v>
      </c>
      <c r="D3833" s="3" t="e">
        <f>'001'!H3833</f>
        <v>#VALUE!</v>
      </c>
    </row>
    <row r="3834" spans="1:4" x14ac:dyDescent="0.25">
      <c r="A3834" s="1" t="str">
        <f>'001'!B3834</f>
        <v>005661</v>
      </c>
      <c r="B3834" s="1" t="str">
        <f>'001'!C3834</f>
        <v>MANGO RODILLO MINI FF 10CM(MRM10)</v>
      </c>
      <c r="C3834" s="1" t="str">
        <f>'001'!D3834</f>
        <v>0165</v>
      </c>
      <c r="D3834" s="3" t="e">
        <f>'001'!H3834</f>
        <v>#VALUE!</v>
      </c>
    </row>
    <row r="3835" spans="1:4" x14ac:dyDescent="0.25">
      <c r="A3835" s="1" t="str">
        <f>'001'!B3835</f>
        <v>005662</v>
      </c>
      <c r="B3835" s="1" t="str">
        <f>'001'!C3835</f>
        <v>MANGO RODILLO MINI FF 15CM(MRM15)</v>
      </c>
      <c r="C3835" s="1" t="str">
        <f>'001'!D3835</f>
        <v>0165</v>
      </c>
      <c r="D3835" s="3" t="e">
        <f>'001'!H3835</f>
        <v>#VALUE!</v>
      </c>
    </row>
    <row r="3836" spans="1:4" x14ac:dyDescent="0.25">
      <c r="A3836" s="1" t="str">
        <f>'001'!B3836</f>
        <v>005663</v>
      </c>
      <c r="B3836" s="1" t="str">
        <f>'001'!C3836</f>
        <v>PINCEL REDONDO N 15(PRE15)</v>
      </c>
      <c r="C3836" s="1" t="str">
        <f>'001'!D3836</f>
        <v>0165</v>
      </c>
      <c r="D3836" s="3" t="e">
        <f>'001'!H3836</f>
        <v>#VALUE!</v>
      </c>
    </row>
    <row r="3837" spans="1:4" x14ac:dyDescent="0.25">
      <c r="A3837" s="1" t="str">
        <f>'001'!B3837</f>
        <v>005664</v>
      </c>
      <c r="B3837" s="1" t="str">
        <f>'001'!C3837</f>
        <v>PINCEL REDONDO N 18(PRE18)</v>
      </c>
      <c r="C3837" s="1" t="str">
        <f>'001'!D3837</f>
        <v>0165</v>
      </c>
      <c r="D3837" s="3" t="e">
        <f>'001'!H3837</f>
        <v>#VALUE!</v>
      </c>
    </row>
    <row r="3838" spans="1:4" x14ac:dyDescent="0.25">
      <c r="A3838" s="1" t="str">
        <f>'001'!B3838</f>
        <v>005665</v>
      </c>
      <c r="B3838" s="1" t="str">
        <f>'001'!C3838</f>
        <v>PINCEL REDONDO N 25(PRE25)</v>
      </c>
      <c r="C3838" s="1" t="str">
        <f>'001'!D3838</f>
        <v>0165</v>
      </c>
      <c r="D3838" s="3" t="e">
        <f>'001'!H3838</f>
        <v>#VALUE!</v>
      </c>
    </row>
    <row r="3839" spans="1:4" x14ac:dyDescent="0.25">
      <c r="A3839" s="1" t="str">
        <f>'001'!B3839</f>
        <v>005666</v>
      </c>
      <c r="B3839" s="1" t="str">
        <f>'001'!C3839</f>
        <v>RODILLO PARA TEXTURA RUSTICA 22CM(RO100)</v>
      </c>
      <c r="C3839" s="1" t="str">
        <f>'001'!D3839</f>
        <v>0165</v>
      </c>
      <c r="D3839" s="3" t="e">
        <f>'001'!H3839</f>
        <v>#VALUE!</v>
      </c>
    </row>
    <row r="3840" spans="1:4" x14ac:dyDescent="0.25">
      <c r="A3840" s="1" t="str">
        <f>'001'!B3840</f>
        <v>005667</v>
      </c>
      <c r="B3840" s="1" t="str">
        <f>'001'!C3840</f>
        <v>RODILLO PARA TEXTURA RUSTICA 10CM(RO101)</v>
      </c>
      <c r="C3840" s="1" t="str">
        <f>'001'!D3840</f>
        <v>0165</v>
      </c>
      <c r="D3840" s="3" t="e">
        <f>'001'!H3840</f>
        <v>#VALUE!</v>
      </c>
    </row>
    <row r="3841" spans="1:4" x14ac:dyDescent="0.25">
      <c r="A3841" s="1" t="str">
        <f>'001'!B3841</f>
        <v>005668</v>
      </c>
      <c r="B3841" s="1" t="str">
        <f>'001'!C3841</f>
        <v>APLICADOR ESQUINERO PREMIUM(A15MA)</v>
      </c>
      <c r="C3841" s="1" t="str">
        <f>'001'!D3841</f>
        <v>0165</v>
      </c>
      <c r="D3841" s="3" t="e">
        <f>'001'!H3841</f>
        <v>#VALUE!</v>
      </c>
    </row>
    <row r="3842" spans="1:4" x14ac:dyDescent="0.25">
      <c r="A3842" s="1" t="str">
        <f>'001'!B3842</f>
        <v>005670</v>
      </c>
      <c r="B3842" s="1" t="str">
        <f>'001'!C3842</f>
        <v>D807P.48 DILUYENTE MEDIO PU/POLIESTER PPG X 200</v>
      </c>
      <c r="C3842" s="1" t="str">
        <f>'001'!D3842</f>
        <v>0134</v>
      </c>
      <c r="D3842" s="3" t="e">
        <f>'001'!H3842</f>
        <v>#VALUE!</v>
      </c>
    </row>
    <row r="3843" spans="1:4" x14ac:dyDescent="0.25">
      <c r="A3843" s="1" t="str">
        <f>'001'!B3843</f>
        <v>005671</v>
      </c>
      <c r="B3843" s="1" t="str">
        <f>'001'!C3843</f>
        <v>MAQUINA DUO MIX (98-0015 )</v>
      </c>
      <c r="C3843" s="1" t="str">
        <f>'001'!D3843</f>
        <v>0163</v>
      </c>
      <c r="D3843" s="3" t="e">
        <f>'001'!H3843</f>
        <v>#VALUE!</v>
      </c>
    </row>
    <row r="3844" spans="1:4" x14ac:dyDescent="0.25">
      <c r="A3844" s="1" t="str">
        <f>'001'!B3844</f>
        <v>005672</v>
      </c>
      <c r="B3844" s="1" t="str">
        <f>'001'!C3844</f>
        <v>MATEANTE EN POLVO VANGUARD X 4 KG</v>
      </c>
      <c r="C3844" s="1" t="str">
        <f>'001'!D3844</f>
        <v>0195</v>
      </c>
      <c r="D3844" s="3" t="e">
        <f>'001'!H3844</f>
        <v>#VALUE!</v>
      </c>
    </row>
    <row r="3845" spans="1:4" x14ac:dyDescent="0.25">
      <c r="A3845" s="1" t="str">
        <f>'001'!B3845</f>
        <v>005676</v>
      </c>
      <c r="B3845" s="1" t="str">
        <f>'001'!C3845</f>
        <v>DISCO LIJA OXIDO ALUMINIO RAPIFIX 6A AMARILLO 150MM   #80</v>
      </c>
      <c r="C3845" s="1" t="str">
        <f>'001'!D3845</f>
        <v>0181</v>
      </c>
      <c r="D3845" s="3" t="e">
        <f>'001'!H3845</f>
        <v>#VALUE!</v>
      </c>
    </row>
    <row r="3846" spans="1:4" x14ac:dyDescent="0.25">
      <c r="A3846" s="1" t="str">
        <f>'001'!B3846</f>
        <v>005677</v>
      </c>
      <c r="B3846" s="1" t="str">
        <f>'001'!C3846</f>
        <v>DISCO LIJA OXIDO ALUMINIO RAPIFIX 6A AMARILLO 150MM  #120</v>
      </c>
      <c r="C3846" s="1" t="str">
        <f>'001'!D3846</f>
        <v>0181</v>
      </c>
      <c r="D3846" s="3" t="e">
        <f>'001'!H3846</f>
        <v>#VALUE!</v>
      </c>
    </row>
    <row r="3847" spans="1:4" x14ac:dyDescent="0.25">
      <c r="A3847" s="1" t="str">
        <f>'001'!B3847</f>
        <v>005678</v>
      </c>
      <c r="B3847" s="1" t="str">
        <f>'001'!C3847</f>
        <v>DISCO LIJA OXIDO ALUMINIO RAPIFIX 6A AMARILLO 150MM  #150</v>
      </c>
      <c r="C3847" s="1" t="str">
        <f>'001'!D3847</f>
        <v>0181</v>
      </c>
      <c r="D3847" s="3" t="e">
        <f>'001'!H3847</f>
        <v>#VALUE!</v>
      </c>
    </row>
    <row r="3848" spans="1:4" x14ac:dyDescent="0.25">
      <c r="A3848" s="1" t="str">
        <f>'001'!B3848</f>
        <v>005679</v>
      </c>
      <c r="B3848" s="1" t="str">
        <f>'001'!C3848</f>
        <v>DISCO LIJA OXIDO ALUMINIO RAPIFIX 6A AMARILLO 150MM  #180</v>
      </c>
      <c r="C3848" s="1" t="str">
        <f>'001'!D3848</f>
        <v>0181</v>
      </c>
      <c r="D3848" s="3" t="e">
        <f>'001'!H3848</f>
        <v>#VALUE!</v>
      </c>
    </row>
    <row r="3849" spans="1:4" x14ac:dyDescent="0.25">
      <c r="A3849" s="1" t="str">
        <f>'001'!B3849</f>
        <v>005680</v>
      </c>
      <c r="B3849" s="1" t="str">
        <f>'001'!C3849</f>
        <v>DISCO LIJA OXIDO ALUMINIO RAPIFIX 6A AMARILLO 150MM  #220</v>
      </c>
      <c r="C3849" s="1" t="str">
        <f>'001'!D3849</f>
        <v>0181</v>
      </c>
      <c r="D3849" s="3" t="e">
        <f>'001'!H3849</f>
        <v>#VALUE!</v>
      </c>
    </row>
    <row r="3850" spans="1:4" x14ac:dyDescent="0.25">
      <c r="A3850" s="1" t="str">
        <f>'001'!B3850</f>
        <v>005681</v>
      </c>
      <c r="B3850" s="1" t="str">
        <f>'001'!C3850</f>
        <v>DISCO LIJA OXIDO ALUMINIO RAPIFIX 6A AMARILLO 150MM  #240</v>
      </c>
      <c r="C3850" s="1" t="str">
        <f>'001'!D3850</f>
        <v>0181</v>
      </c>
      <c r="D3850" s="3" t="e">
        <f>'001'!H3850</f>
        <v>#VALUE!</v>
      </c>
    </row>
    <row r="3851" spans="1:4" x14ac:dyDescent="0.25">
      <c r="A3851" s="1" t="str">
        <f>'001'!B3851</f>
        <v>005699</v>
      </c>
      <c r="B3851" s="1" t="str">
        <f>'001'!C3851</f>
        <v>FONDO ANTIOXIDO TERSUAVE MATE ROJO X  4</v>
      </c>
      <c r="C3851" s="1" t="str">
        <f>'001'!D3851</f>
        <v>0152</v>
      </c>
      <c r="D3851" s="3" t="e">
        <f>'001'!H3851</f>
        <v>#VALUE!</v>
      </c>
    </row>
    <row r="3852" spans="1:4" x14ac:dyDescent="0.25">
      <c r="A3852" s="1" t="str">
        <f>'001'!B3852</f>
        <v>005700</v>
      </c>
      <c r="B3852" s="1" t="str">
        <f>'001'!C3852</f>
        <v>KIT DE 5 PINCELES DE POLI ESPUMA(KITP1)</v>
      </c>
      <c r="C3852" s="1" t="str">
        <f>'001'!D3852</f>
        <v>0165</v>
      </c>
      <c r="D3852" s="3" t="e">
        <f>'001'!H3852</f>
        <v>#VALUE!</v>
      </c>
    </row>
    <row r="3853" spans="1:4" x14ac:dyDescent="0.25">
      <c r="A3853" s="1" t="str">
        <f>'001'!B3853</f>
        <v>005702</v>
      </c>
      <c r="B3853" s="1" t="str">
        <f>'001'!C3853</f>
        <v>D740/E3.5 BLACK X 3,5</v>
      </c>
      <c r="C3853" s="1" t="str">
        <f>'001'!D3853</f>
        <v>0134</v>
      </c>
      <c r="D3853" s="3" t="e">
        <f>'001'!H3853</f>
        <v>#VALUE!</v>
      </c>
    </row>
    <row r="3854" spans="1:4" x14ac:dyDescent="0.25">
      <c r="A3854" s="1" t="str">
        <f>'001'!B3854</f>
        <v>005703</v>
      </c>
      <c r="B3854" s="1" t="str">
        <f>'001'!C3854</f>
        <v>D7410AL DELTRON BC BRIGHT BLUE X 1</v>
      </c>
      <c r="C3854" s="1" t="str">
        <f>'001'!D3854</f>
        <v>0134</v>
      </c>
      <c r="D3854" s="3" t="e">
        <f>'001'!H3854</f>
        <v>#VALUE!</v>
      </c>
    </row>
    <row r="3855" spans="1:4" x14ac:dyDescent="0.25">
      <c r="A3855" s="1" t="str">
        <f>'001'!B3855</f>
        <v>005704</v>
      </c>
      <c r="B3855" s="1" t="str">
        <f>'001'!C3855</f>
        <v>D7440AL WARM YELLOW X 1</v>
      </c>
      <c r="C3855" s="1" t="str">
        <f>'001'!D3855</f>
        <v>0134</v>
      </c>
      <c r="D3855" s="3" t="e">
        <f>'001'!H3855</f>
        <v>#VALUE!</v>
      </c>
    </row>
    <row r="3856" spans="1:4" x14ac:dyDescent="0.25">
      <c r="A3856" s="1" t="str">
        <f>'001'!B3856</f>
        <v>005705</v>
      </c>
      <c r="B3856" s="1" t="str">
        <f>'001'!C3856</f>
        <v>D7460AL DELTRON BC MAGENTA X 1</v>
      </c>
      <c r="C3856" s="1" t="str">
        <f>'001'!D3856</f>
        <v>0134</v>
      </c>
      <c r="D3856" s="3" t="e">
        <f>'001'!H3856</f>
        <v>#VALUE!</v>
      </c>
    </row>
    <row r="3857" spans="1:4" x14ac:dyDescent="0.25">
      <c r="A3857" s="1" t="str">
        <f>'001'!B3857</f>
        <v>005706</v>
      </c>
      <c r="B3857" s="1" t="str">
        <f>'001'!C3857</f>
        <v>D7480AL DELTRON BC TRANSPARENT MAROON X 1</v>
      </c>
      <c r="C3857" s="1" t="str">
        <f>'001'!D3857</f>
        <v>0134</v>
      </c>
      <c r="D3857" s="3" t="e">
        <f>'001'!H3857</f>
        <v>#VALUE!</v>
      </c>
    </row>
    <row r="3858" spans="1:4" x14ac:dyDescent="0.25">
      <c r="A3858" s="1" t="str">
        <f>'001'!B3858</f>
        <v>005707</v>
      </c>
      <c r="B3858" s="1" t="str">
        <f>'001'!C3858</f>
        <v>D7490AL DELTRON BC MARRON X 1</v>
      </c>
      <c r="C3858" s="1" t="str">
        <f>'001'!D3858</f>
        <v>0134</v>
      </c>
      <c r="D3858" s="3" t="e">
        <f>'001'!H3858</f>
        <v>#VALUE!</v>
      </c>
    </row>
    <row r="3859" spans="1:4" x14ac:dyDescent="0.25">
      <c r="A3859" s="1" t="str">
        <f>'001'!B3859</f>
        <v>005708</v>
      </c>
      <c r="B3859" s="1" t="str">
        <f>'001'!C3859</f>
        <v>D7500AL DELTRON BC OLIVE X 1</v>
      </c>
      <c r="C3859" s="1" t="str">
        <f>'001'!D3859</f>
        <v>0134</v>
      </c>
      <c r="D3859" s="3" t="e">
        <f>'001'!H3859</f>
        <v>#VALUE!</v>
      </c>
    </row>
    <row r="3860" spans="1:4" x14ac:dyDescent="0.25">
      <c r="A3860" s="1" t="str">
        <f>'001'!B3860</f>
        <v>005709</v>
      </c>
      <c r="B3860" s="1" t="str">
        <f>'001'!C3860</f>
        <v>D751/E1 DELTRON BC PERLA BLANCA X 1</v>
      </c>
      <c r="C3860" s="1" t="str">
        <f>'001'!D3860</f>
        <v>0134</v>
      </c>
      <c r="D3860" s="3" t="e">
        <f>'001'!H3860</f>
        <v>#VALUE!</v>
      </c>
    </row>
    <row r="3861" spans="1:4" x14ac:dyDescent="0.25">
      <c r="A3861" s="1" t="str">
        <f>'001'!B3861</f>
        <v>005710</v>
      </c>
      <c r="B3861" s="1" t="str">
        <f>'001'!C3861</f>
        <v>D752/E1 DELTRON BC ROJO X 1</v>
      </c>
      <c r="C3861" s="1" t="str">
        <f>'001'!D3861</f>
        <v>0134</v>
      </c>
      <c r="D3861" s="3" t="e">
        <f>'001'!H3861</f>
        <v>#VALUE!</v>
      </c>
    </row>
    <row r="3862" spans="1:4" x14ac:dyDescent="0.25">
      <c r="A3862" s="1" t="str">
        <f>'001'!B3862</f>
        <v>005711</v>
      </c>
      <c r="B3862" s="1" t="str">
        <f>'001'!C3862</f>
        <v>D753/E3.5 DELTRON BC BASECOAT WHITE X 3,5</v>
      </c>
      <c r="C3862" s="1" t="str">
        <f>'001'!D3862</f>
        <v>0134</v>
      </c>
      <c r="D3862" s="3" t="e">
        <f>'001'!H3862</f>
        <v>#VALUE!</v>
      </c>
    </row>
    <row r="3863" spans="1:4" x14ac:dyDescent="0.25">
      <c r="A3863" s="1" t="str">
        <f>'001'!B3863</f>
        <v>005712</v>
      </c>
      <c r="B3863" s="1" t="str">
        <f>'001'!C3863</f>
        <v>D754/E1 DELTRON BC AZUL TRANSPARENTE X 1</v>
      </c>
      <c r="C3863" s="1" t="str">
        <f>'001'!D3863</f>
        <v>0134</v>
      </c>
      <c r="D3863" s="3" t="e">
        <f>'001'!H3863</f>
        <v>#VALUE!</v>
      </c>
    </row>
    <row r="3864" spans="1:4" x14ac:dyDescent="0.25">
      <c r="A3864" s="1" t="str">
        <f>'001'!B3864</f>
        <v>005713</v>
      </c>
      <c r="B3864" s="1" t="str">
        <f>'001'!C3864</f>
        <v>D756/E1 DELTRON BC BLUE BLACK X 1</v>
      </c>
      <c r="C3864" s="1" t="str">
        <f>'001'!D3864</f>
        <v>0134</v>
      </c>
      <c r="D3864" s="3" t="e">
        <f>'001'!H3864</f>
        <v>#VALUE!</v>
      </c>
    </row>
    <row r="3865" spans="1:4" x14ac:dyDescent="0.25">
      <c r="A3865" s="1" t="str">
        <f>'001'!B3865</f>
        <v>005714</v>
      </c>
      <c r="B3865" s="1" t="str">
        <f>'001'!C3865</f>
        <v>D7570AL DELTRON BC RUBY X 1</v>
      </c>
      <c r="C3865" s="1" t="str">
        <f>'001'!D3865</f>
        <v>0134</v>
      </c>
      <c r="D3865" s="3" t="e">
        <f>'001'!H3865</f>
        <v>#VALUE!</v>
      </c>
    </row>
    <row r="3866" spans="1:4" x14ac:dyDescent="0.25">
      <c r="A3866" s="1" t="str">
        <f>'001'!B3866</f>
        <v>005715</v>
      </c>
      <c r="B3866" s="1" t="str">
        <f>'001'!C3866</f>
        <v>D759/E1 DELTRON BC BASE MATEANTE X 1</v>
      </c>
      <c r="C3866" s="1" t="str">
        <f>'001'!D3866</f>
        <v>0134</v>
      </c>
      <c r="D3866" s="3" t="e">
        <f>'001'!H3866</f>
        <v>#VALUE!</v>
      </c>
    </row>
    <row r="3867" spans="1:4" x14ac:dyDescent="0.25">
      <c r="A3867" s="1" t="str">
        <f>'001'!B3867</f>
        <v>005716</v>
      </c>
      <c r="B3867" s="1" t="str">
        <f>'001'!C3867</f>
        <v>D760/E1 TRANSPARENT MID SHADE BLUE X 1</v>
      </c>
      <c r="C3867" s="1" t="str">
        <f>'001'!D3867</f>
        <v>0134</v>
      </c>
      <c r="D3867" s="3" t="e">
        <f>'001'!H3867</f>
        <v>#VALUE!</v>
      </c>
    </row>
    <row r="3868" spans="1:4" x14ac:dyDescent="0.25">
      <c r="A3868" s="1" t="str">
        <f>'001'!B3868</f>
        <v>005717</v>
      </c>
      <c r="B3868" s="1" t="str">
        <f>'001'!C3868</f>
        <v>D761/E1 RICH RED BLUE X 1</v>
      </c>
      <c r="C3868" s="1" t="str">
        <f>'001'!D3868</f>
        <v>0134</v>
      </c>
      <c r="D3868" s="3" t="e">
        <f>'001'!H3868</f>
        <v>#VALUE!</v>
      </c>
    </row>
    <row r="3869" spans="1:4" x14ac:dyDescent="0.25">
      <c r="A3869" s="1" t="str">
        <f>'001'!B3869</f>
        <v>005718</v>
      </c>
      <c r="B3869" s="1" t="str">
        <f>'001'!C3869</f>
        <v>D762/E1 DELTRON BC VIOLET BLUE X 1</v>
      </c>
      <c r="C3869" s="1" t="str">
        <f>'001'!D3869</f>
        <v>0134</v>
      </c>
      <c r="D3869" s="3" t="e">
        <f>'001'!H3869</f>
        <v>#VALUE!</v>
      </c>
    </row>
    <row r="3870" spans="1:4" x14ac:dyDescent="0.25">
      <c r="A3870" s="1" t="str">
        <f>'001'!B3870</f>
        <v>005719</v>
      </c>
      <c r="B3870" s="1" t="str">
        <f>'001'!C3870</f>
        <v>D763/E1 DELTRON BC BLUE PEARL X 1</v>
      </c>
      <c r="C3870" s="1" t="str">
        <f>'001'!D3870</f>
        <v>0134</v>
      </c>
      <c r="D3870" s="3" t="e">
        <f>'001'!H3870</f>
        <v>#VALUE!</v>
      </c>
    </row>
    <row r="3871" spans="1:4" x14ac:dyDescent="0.25">
      <c r="A3871" s="1" t="str">
        <f>'001'!B3871</f>
        <v>005720</v>
      </c>
      <c r="B3871" s="1" t="str">
        <f>'001'!C3871</f>
        <v>D7640AL DELTRON BC RED VIOLET X 1</v>
      </c>
      <c r="C3871" s="1" t="str">
        <f>'001'!D3871</f>
        <v>0134</v>
      </c>
      <c r="D3871" s="3" t="e">
        <f>'001'!H3871</f>
        <v>#VALUE!</v>
      </c>
    </row>
    <row r="3872" spans="1:4" x14ac:dyDescent="0.25">
      <c r="A3872" s="1" t="str">
        <f>'001'!B3872</f>
        <v>005721</v>
      </c>
      <c r="B3872" s="1" t="str">
        <f>'001'!C3872</f>
        <v>D7650AL DELTRON BC FINE RED PEARL X 1</v>
      </c>
      <c r="C3872" s="1" t="str">
        <f>'001'!D3872</f>
        <v>0134</v>
      </c>
      <c r="D3872" s="3" t="e">
        <f>'001'!H3872</f>
        <v>#VALUE!</v>
      </c>
    </row>
    <row r="3873" spans="1:4" x14ac:dyDescent="0.25">
      <c r="A3873" s="1" t="str">
        <f>'001'!B3873</f>
        <v>005722</v>
      </c>
      <c r="B3873" s="1" t="str">
        <f>'001'!C3873</f>
        <v>D7670AL DELTRON BC FINE SATIN ALUMINIUM X 1</v>
      </c>
      <c r="C3873" s="1" t="str">
        <f>'001'!D3873</f>
        <v>0134</v>
      </c>
      <c r="D3873" s="3" t="e">
        <f>'001'!H3873</f>
        <v>#VALUE!</v>
      </c>
    </row>
    <row r="3874" spans="1:4" x14ac:dyDescent="0.25">
      <c r="A3874" s="1" t="str">
        <f>'001'!B3874</f>
        <v>005723</v>
      </c>
      <c r="B3874" s="1" t="str">
        <f>'001'!C3874</f>
        <v>D768/E1 DELTRON BC MEDIUM SATIN ALUMINIUM X 1</v>
      </c>
      <c r="C3874" s="1" t="str">
        <f>'001'!D3874</f>
        <v>0134</v>
      </c>
      <c r="D3874" s="3" t="e">
        <f>'001'!H3874</f>
        <v>#VALUE!</v>
      </c>
    </row>
    <row r="3875" spans="1:4" x14ac:dyDescent="0.25">
      <c r="A3875" s="1" t="str">
        <f>'001'!B3875</f>
        <v>005724</v>
      </c>
      <c r="B3875" s="1" t="str">
        <f>'001'!C3875</f>
        <v>D769/E1 D769 DELTRON BC SILVER EXTRA FINE X 1</v>
      </c>
      <c r="C3875" s="1" t="str">
        <f>'001'!D3875</f>
        <v>0134</v>
      </c>
      <c r="D3875" s="3" t="e">
        <f>'001'!H3875</f>
        <v>#VALUE!</v>
      </c>
    </row>
    <row r="3876" spans="1:4" x14ac:dyDescent="0.25">
      <c r="A3876" s="1" t="str">
        <f>'001'!B3876</f>
        <v>005725</v>
      </c>
      <c r="B3876" s="1" t="str">
        <f>'001'!C3876</f>
        <v>D770/E3.5 DELTRON BC ALUMINIO FINO X 3,5</v>
      </c>
      <c r="C3876" s="1" t="str">
        <f>'001'!D3876</f>
        <v>0134</v>
      </c>
      <c r="D3876" s="3" t="e">
        <f>'001'!H3876</f>
        <v>#VALUE!</v>
      </c>
    </row>
    <row r="3877" spans="1:4" x14ac:dyDescent="0.25">
      <c r="A3877" s="1" t="str">
        <f>'001'!B3877</f>
        <v>005726</v>
      </c>
      <c r="B3877" s="1" t="str">
        <f>'001'!C3877</f>
        <v>D771/E3.5 DELTRON BC ALUMINIO MEDIO X 3,5</v>
      </c>
      <c r="C3877" s="1" t="str">
        <f>'001'!D3877</f>
        <v>0134</v>
      </c>
      <c r="D3877" s="3" t="e">
        <f>'001'!H3877</f>
        <v>#VALUE!</v>
      </c>
    </row>
    <row r="3878" spans="1:4" x14ac:dyDescent="0.25">
      <c r="A3878" s="1" t="str">
        <f>'001'!B3878</f>
        <v>005727</v>
      </c>
      <c r="B3878" s="1" t="str">
        <f>'001'!C3878</f>
        <v>D772/E3.5 DELTRON BC ALUMINIO GRUESO X 3,5</v>
      </c>
      <c r="C3878" s="1" t="str">
        <f>'001'!D3878</f>
        <v>0134</v>
      </c>
      <c r="D3878" s="3" t="e">
        <f>'001'!H3878</f>
        <v>#VALUE!</v>
      </c>
    </row>
    <row r="3879" spans="1:4" x14ac:dyDescent="0.25">
      <c r="A3879" s="1" t="str">
        <f>'001'!B3879</f>
        <v>005728</v>
      </c>
      <c r="B3879" s="1" t="str">
        <f>'001'!C3879</f>
        <v>D7760AL DELTRON BC AZUL X 1</v>
      </c>
      <c r="C3879" s="1" t="str">
        <f>'001'!D3879</f>
        <v>0134</v>
      </c>
      <c r="D3879" s="3" t="e">
        <f>'001'!H3879</f>
        <v>#VALUE!</v>
      </c>
    </row>
    <row r="3880" spans="1:4" x14ac:dyDescent="0.25">
      <c r="A3880" s="1" t="str">
        <f>'001'!B3880</f>
        <v>005729</v>
      </c>
      <c r="B3880" s="1" t="str">
        <f>'001'!C3880</f>
        <v>D7770AL DELTRON BC VERDE TRANSPARENTE X 1</v>
      </c>
      <c r="C3880" s="1" t="str">
        <f>'001'!D3880</f>
        <v>0134</v>
      </c>
      <c r="D3880" s="3" t="e">
        <f>'001'!H3880</f>
        <v>#VALUE!</v>
      </c>
    </row>
    <row r="3881" spans="1:4" x14ac:dyDescent="0.25">
      <c r="A3881" s="1" t="str">
        <f>'001'!B3881</f>
        <v>005730</v>
      </c>
      <c r="B3881" s="1" t="str">
        <f>'001'!C3881</f>
        <v>D7780AL YELLOW OXIDE X 1</v>
      </c>
      <c r="C3881" s="1" t="str">
        <f>'001'!D3881</f>
        <v>0134</v>
      </c>
      <c r="D3881" s="3" t="e">
        <f>'001'!H3881</f>
        <v>#VALUE!</v>
      </c>
    </row>
    <row r="3882" spans="1:4" x14ac:dyDescent="0.25">
      <c r="A3882" s="1" t="str">
        <f>'001'!B3882</f>
        <v>005731</v>
      </c>
      <c r="B3882" s="1" t="str">
        <f>'001'!C3882</f>
        <v>D7790AL DELTRON BC ROJO OXIDO X 1</v>
      </c>
      <c r="C3882" s="1" t="str">
        <f>'001'!D3882</f>
        <v>0134</v>
      </c>
      <c r="D3882" s="3" t="e">
        <f>'001'!H3882</f>
        <v>#VALUE!</v>
      </c>
    </row>
    <row r="3883" spans="1:4" x14ac:dyDescent="0.25">
      <c r="A3883" s="1" t="str">
        <f>'001'!B3883</f>
        <v>005732</v>
      </c>
      <c r="B3883" s="1" t="str">
        <f>'001'!C3883</f>
        <v>D7800AL DELTRON BC AMARILLO BRILLANTE X 1</v>
      </c>
      <c r="C3883" s="1" t="str">
        <f>'001'!D3883</f>
        <v>0134</v>
      </c>
      <c r="D3883" s="3" t="e">
        <f>'001'!H3883</f>
        <v>#VALUE!</v>
      </c>
    </row>
    <row r="3884" spans="1:4" x14ac:dyDescent="0.25">
      <c r="A3884" s="1" t="str">
        <f>'001'!B3884</f>
        <v>005733</v>
      </c>
      <c r="B3884" s="1" t="str">
        <f>'001'!C3884</f>
        <v>D789/E3.5 DELTRON BC JET BLACK X 3,5</v>
      </c>
      <c r="C3884" s="1" t="str">
        <f>'001'!D3884</f>
        <v>0134</v>
      </c>
      <c r="D3884" s="3" t="e">
        <f>'001'!H3884</f>
        <v>#VALUE!</v>
      </c>
    </row>
    <row r="3885" spans="1:4" x14ac:dyDescent="0.25">
      <c r="A3885" s="1" t="str">
        <f>'001'!B3885</f>
        <v>005734</v>
      </c>
      <c r="B3885" s="1" t="str">
        <f>'001'!C3885</f>
        <v>D7900AL DELTRON BC TRANSPARENT ORANGE X 1</v>
      </c>
      <c r="C3885" s="1" t="str">
        <f>'001'!D3885</f>
        <v>0134</v>
      </c>
      <c r="D3885" s="3" t="e">
        <f>'001'!H3885</f>
        <v>#VALUE!</v>
      </c>
    </row>
    <row r="3886" spans="1:4" x14ac:dyDescent="0.25">
      <c r="A3886" s="1" t="str">
        <f>'001'!B3886</f>
        <v>005735</v>
      </c>
      <c r="B3886" s="1" t="str">
        <f>'001'!C3886</f>
        <v>D7920AL DELTRON BC NARANJA LUMINOSO X 1</v>
      </c>
      <c r="C3886" s="1" t="str">
        <f>'001'!D3886</f>
        <v>0134</v>
      </c>
      <c r="D3886" s="3" t="e">
        <f>'001'!H3886</f>
        <v>#VALUE!</v>
      </c>
    </row>
    <row r="3887" spans="1:4" x14ac:dyDescent="0.25">
      <c r="A3887" s="1" t="str">
        <f>'001'!B3887</f>
        <v>005736</v>
      </c>
      <c r="B3887" s="1" t="str">
        <f>'001'!C3887</f>
        <v>D7930AL DELTRON BC BRIGHT RED PEARL X 1</v>
      </c>
      <c r="C3887" s="1" t="str">
        <f>'001'!D3887</f>
        <v>0134</v>
      </c>
      <c r="D3887" s="3" t="e">
        <f>'001'!H3887</f>
        <v>#VALUE!</v>
      </c>
    </row>
    <row r="3888" spans="1:4" x14ac:dyDescent="0.25">
      <c r="A3888" s="1" t="str">
        <f>'001'!B3888</f>
        <v>005737</v>
      </c>
      <c r="B3888" s="1" t="str">
        <f>'001'!C3888</f>
        <v>D7940AL DELTRON BC VERDANT YELLOW X 1</v>
      </c>
      <c r="C3888" s="1" t="str">
        <f>'001'!D3888</f>
        <v>0134</v>
      </c>
      <c r="D3888" s="3" t="e">
        <f>'001'!H3888</f>
        <v>#VALUE!</v>
      </c>
    </row>
    <row r="3889" spans="1:4" x14ac:dyDescent="0.25">
      <c r="A3889" s="1" t="str">
        <f>'001'!B3889</f>
        <v>005738</v>
      </c>
      <c r="B3889" s="1" t="str">
        <f>'001'!C3889</f>
        <v>D7970AL DELTRON BC VERDE PTHALO X 1</v>
      </c>
      <c r="C3889" s="1" t="str">
        <f>'001'!D3889</f>
        <v>0134</v>
      </c>
      <c r="D3889" s="3" t="e">
        <f>'001'!H3889</f>
        <v>#VALUE!</v>
      </c>
    </row>
    <row r="3890" spans="1:4" x14ac:dyDescent="0.25">
      <c r="A3890" s="1" t="str">
        <f>'001'!B3890</f>
        <v>005739</v>
      </c>
      <c r="B3890" s="1" t="str">
        <f>'001'!C3890</f>
        <v>D8950AL DELTRON BC COLOR BLENDER X 1</v>
      </c>
      <c r="C3890" s="1" t="str">
        <f>'001'!D3890</f>
        <v>0134</v>
      </c>
      <c r="D3890" s="3" t="e">
        <f>'001'!H3890</f>
        <v>#VALUE!</v>
      </c>
    </row>
    <row r="3891" spans="1:4" x14ac:dyDescent="0.25">
      <c r="A3891" s="1" t="str">
        <f>'001'!B3891</f>
        <v>005740</v>
      </c>
      <c r="B3891" s="1" t="str">
        <f>'001'!C3891</f>
        <v>D9021/E0.35 DELTRON BC VIOLA FANTASY X 0,350</v>
      </c>
      <c r="C3891" s="1" t="str">
        <f>'001'!D3891</f>
        <v>0134</v>
      </c>
      <c r="D3891" s="3" t="e">
        <f>'001'!H3891</f>
        <v>#VALUE!</v>
      </c>
    </row>
    <row r="3892" spans="1:4" x14ac:dyDescent="0.25">
      <c r="A3892" s="1" t="str">
        <f>'001'!B3892</f>
        <v>005741</v>
      </c>
      <c r="B3892" s="1" t="str">
        <f>'001'!C3892</f>
        <v>D9037/E0.35 DELTRON BC TROPIC SUNRISE X 0,350</v>
      </c>
      <c r="C3892" s="1" t="str">
        <f>'001'!D3892</f>
        <v>0134</v>
      </c>
      <c r="D3892" s="3" t="e">
        <f>'001'!H3892</f>
        <v>#VALUE!</v>
      </c>
    </row>
    <row r="3893" spans="1:4" x14ac:dyDescent="0.25">
      <c r="A3893" s="1" t="str">
        <f>'001'!B3893</f>
        <v>005742</v>
      </c>
      <c r="B3893" s="1" t="str">
        <f>'001'!C3893</f>
        <v>D9420AL DELTRON BC GRAPHITE BLACK X 1</v>
      </c>
      <c r="C3893" s="1" t="str">
        <f>'001'!D3893</f>
        <v>0134</v>
      </c>
      <c r="D3893" s="3" t="e">
        <f>'001'!H3893</f>
        <v>#VALUE!</v>
      </c>
    </row>
    <row r="3894" spans="1:4" x14ac:dyDescent="0.25">
      <c r="A3894" s="1" t="str">
        <f>'001'!B3894</f>
        <v>005743</v>
      </c>
      <c r="B3894" s="1" t="str">
        <f>'001'!C3894</f>
        <v>D9430AL DELTRON BC FINE BLUE PEARL X 1</v>
      </c>
      <c r="C3894" s="1" t="str">
        <f>'001'!D3894</f>
        <v>0134</v>
      </c>
      <c r="D3894" s="3" t="e">
        <f>'001'!H3894</f>
        <v>#VALUE!</v>
      </c>
    </row>
    <row r="3895" spans="1:4" x14ac:dyDescent="0.25">
      <c r="A3895" s="1" t="str">
        <f>'001'!B3895</f>
        <v>005744</v>
      </c>
      <c r="B3895" s="1" t="str">
        <f>'001'!C3895</f>
        <v>D9440AL DELTRON BC ALUM. DORADO GRANO MEDIO X 1</v>
      </c>
      <c r="C3895" s="1" t="str">
        <f>'001'!D3895</f>
        <v>0134</v>
      </c>
      <c r="D3895" s="3" t="e">
        <f>'001'!H3895</f>
        <v>#VALUE!</v>
      </c>
    </row>
    <row r="3896" spans="1:4" x14ac:dyDescent="0.25">
      <c r="A3896" s="1" t="str">
        <f>'001'!B3896</f>
        <v>005745</v>
      </c>
      <c r="B3896" s="1" t="str">
        <f>'001'!C3896</f>
        <v>D945/E1 DELTRON BC PERLA AMARILLO ORO X 1</v>
      </c>
      <c r="C3896" s="1" t="str">
        <f>'001'!D3896</f>
        <v>0134</v>
      </c>
      <c r="D3896" s="3" t="e">
        <f>'001'!H3896</f>
        <v>#VALUE!</v>
      </c>
    </row>
    <row r="3897" spans="1:4" x14ac:dyDescent="0.25">
      <c r="A3897" s="1" t="str">
        <f>'001'!B3897</f>
        <v>005746</v>
      </c>
      <c r="B3897" s="1" t="str">
        <f>'001'!C3897</f>
        <v>D946/E3.5 DELTRON BC ALUM.LENTIC.  EXTRA FINO X 3,5</v>
      </c>
      <c r="C3897" s="1" t="str">
        <f>'001'!D3897</f>
        <v>0134</v>
      </c>
      <c r="D3897" s="3" t="e">
        <f>'001'!H3897</f>
        <v>#VALUE!</v>
      </c>
    </row>
    <row r="3898" spans="1:4" x14ac:dyDescent="0.25">
      <c r="A3898" s="1" t="str">
        <f>'001'!B3898</f>
        <v>005747</v>
      </c>
      <c r="B3898" s="1" t="str">
        <f>'001'!C3898</f>
        <v>D952/E3.5 DELTRON BC ALUM. LENTICULAR FINO X 3,5</v>
      </c>
      <c r="C3898" s="1" t="str">
        <f>'001'!D3898</f>
        <v>0134</v>
      </c>
      <c r="D3898" s="3" t="e">
        <f>'001'!H3898</f>
        <v>#VALUE!</v>
      </c>
    </row>
    <row r="3899" spans="1:4" x14ac:dyDescent="0.25">
      <c r="A3899" s="1" t="str">
        <f>'001'!B3899</f>
        <v>005748</v>
      </c>
      <c r="B3899" s="1" t="str">
        <f>'001'!C3899</f>
        <v>D953/E1 DELTRON BC ALUM. LENTICULAR GRUESO X 1</v>
      </c>
      <c r="C3899" s="1" t="str">
        <f>'001'!D3899</f>
        <v>0134</v>
      </c>
      <c r="D3899" s="3" t="e">
        <f>'001'!H3899</f>
        <v>#VALUE!</v>
      </c>
    </row>
    <row r="3900" spans="1:4" x14ac:dyDescent="0.25">
      <c r="A3900" s="1" t="str">
        <f>'001'!B3900</f>
        <v>005749</v>
      </c>
      <c r="B3900" s="1" t="str">
        <f>'001'!C3900</f>
        <v>D9540AL DELTRON BC EXTRA FINE WHITE PEARL X 1</v>
      </c>
      <c r="C3900" s="1" t="str">
        <f>'001'!D3900</f>
        <v>0134</v>
      </c>
      <c r="D3900" s="3" t="e">
        <f>'001'!H3900</f>
        <v>#VALUE!</v>
      </c>
    </row>
    <row r="3901" spans="1:4" x14ac:dyDescent="0.25">
      <c r="A3901" s="1" t="str">
        <f>'001'!B3901</f>
        <v>005750</v>
      </c>
      <c r="B3901" s="1" t="str">
        <f>'001'!C3901</f>
        <v>D9550AL DELTRON BC PERLA COBRE X 1</v>
      </c>
      <c r="C3901" s="1" t="str">
        <f>'001'!D3901</f>
        <v>0134</v>
      </c>
      <c r="D3901" s="3" t="e">
        <f>'001'!H3901</f>
        <v>#VALUE!</v>
      </c>
    </row>
    <row r="3902" spans="1:4" x14ac:dyDescent="0.25">
      <c r="A3902" s="1" t="str">
        <f>'001'!B3902</f>
        <v>005751</v>
      </c>
      <c r="B3902" s="1" t="str">
        <f>'001'!C3902</f>
        <v>D9560AL DELTRON BC PERLA AMARILLA X 1</v>
      </c>
      <c r="C3902" s="1" t="str">
        <f>'001'!D3902</f>
        <v>0134</v>
      </c>
      <c r="D3902" s="3" t="e">
        <f>'001'!H3902</f>
        <v>#VALUE!</v>
      </c>
    </row>
    <row r="3903" spans="1:4" x14ac:dyDescent="0.25">
      <c r="A3903" s="1" t="str">
        <f>'001'!B3903</f>
        <v>005752</v>
      </c>
      <c r="B3903" s="1" t="str">
        <f>'001'!C3903</f>
        <v>D9570AL DELTRON BC PERLA VERDE X 1</v>
      </c>
      <c r="C3903" s="1" t="str">
        <f>'001'!D3903</f>
        <v>0134</v>
      </c>
      <c r="D3903" s="3" t="e">
        <f>'001'!H3903</f>
        <v>#VALUE!</v>
      </c>
    </row>
    <row r="3904" spans="1:4" x14ac:dyDescent="0.25">
      <c r="A3904" s="1" t="str">
        <f>'001'!B3904</f>
        <v>005753</v>
      </c>
      <c r="B3904" s="1" t="str">
        <f>'001'!C3904</f>
        <v>D9580AL DELTRON BC PERLA VIOLETA X 1</v>
      </c>
      <c r="C3904" s="1" t="str">
        <f>'001'!D3904</f>
        <v>0134</v>
      </c>
      <c r="D3904" s="3" t="e">
        <f>'001'!H3904</f>
        <v>#VALUE!</v>
      </c>
    </row>
    <row r="3905" spans="1:4" x14ac:dyDescent="0.25">
      <c r="A3905" s="1" t="str">
        <f>'001'!B3905</f>
        <v>005754</v>
      </c>
      <c r="B3905" s="1" t="str">
        <f>'001'!C3905</f>
        <v>D9590AL DELTRON BC ULTRA FINE WHITE X 1</v>
      </c>
      <c r="C3905" s="1" t="str">
        <f>'001'!D3905</f>
        <v>0134</v>
      </c>
      <c r="D3905" s="3" t="e">
        <f>'001'!H3905</f>
        <v>#VALUE!</v>
      </c>
    </row>
    <row r="3906" spans="1:4" x14ac:dyDescent="0.25">
      <c r="A3906" s="1" t="str">
        <f>'001'!B3906</f>
        <v>005755</v>
      </c>
      <c r="B3906" s="1" t="str">
        <f>'001'!C3906</f>
        <v>D9600AL DELTRON BC PERLA ROJA X 1</v>
      </c>
      <c r="C3906" s="1" t="str">
        <f>'001'!D3906</f>
        <v>0134</v>
      </c>
      <c r="D3906" s="3" t="e">
        <f>'001'!H3906</f>
        <v>#VALUE!</v>
      </c>
    </row>
    <row r="3907" spans="1:4" x14ac:dyDescent="0.25">
      <c r="A3907" s="1" t="str">
        <f>'001'!B3907</f>
        <v>005756</v>
      </c>
      <c r="B3907" s="1" t="str">
        <f>'001'!C3907</f>
        <v>D9640AL AMARILLO LUMINOSO X 1</v>
      </c>
      <c r="C3907" s="1" t="str">
        <f>'001'!D3907</f>
        <v>0134</v>
      </c>
      <c r="D3907" s="3" t="e">
        <f>'001'!H3907</f>
        <v>#VALUE!</v>
      </c>
    </row>
    <row r="3908" spans="1:4" x14ac:dyDescent="0.25">
      <c r="A3908" s="1" t="str">
        <f>'001'!B3908</f>
        <v>005757</v>
      </c>
      <c r="B3908" s="1" t="str">
        <f>'001'!C3908</f>
        <v>D9650AL BC ORANGE PEARL X 1</v>
      </c>
      <c r="C3908" s="1" t="str">
        <f>'001'!D3908</f>
        <v>0134</v>
      </c>
      <c r="D3908" s="3" t="e">
        <f>'001'!H3908</f>
        <v>#VALUE!</v>
      </c>
    </row>
    <row r="3909" spans="1:4" x14ac:dyDescent="0.25">
      <c r="A3909" s="1" t="str">
        <f>'001'!B3909</f>
        <v>005758</v>
      </c>
      <c r="B3909" s="1" t="str">
        <f>'001'!C3909</f>
        <v>D9660AL DELTRON BC TRACE WHITE X 1</v>
      </c>
      <c r="C3909" s="1" t="str">
        <f>'001'!D3909</f>
        <v>0134</v>
      </c>
      <c r="D3909" s="3" t="e">
        <f>'001'!H3909</f>
        <v>#VALUE!</v>
      </c>
    </row>
    <row r="3910" spans="1:4" x14ac:dyDescent="0.25">
      <c r="A3910" s="1" t="str">
        <f>'001'!B3910</f>
        <v>005759</v>
      </c>
      <c r="B3910" s="1" t="str">
        <f>'001'!C3910</f>
        <v>D9670AL DELTRON BC TRACE BLACK X 1</v>
      </c>
      <c r="C3910" s="1" t="str">
        <f>'001'!D3910</f>
        <v>0134</v>
      </c>
      <c r="D3910" s="3" t="e">
        <f>'001'!H3910</f>
        <v>#VALUE!</v>
      </c>
    </row>
    <row r="3911" spans="1:4" x14ac:dyDescent="0.25">
      <c r="A3911" s="1" t="str">
        <f>'001'!B3911</f>
        <v>005760</v>
      </c>
      <c r="B3911" s="1" t="str">
        <f>'001'!C3911</f>
        <v>D9680AL DELTRON BC TRACE RED X 1</v>
      </c>
      <c r="C3911" s="1" t="str">
        <f>'001'!D3911</f>
        <v>0134</v>
      </c>
      <c r="D3911" s="3" t="e">
        <f>'001'!H3911</f>
        <v>#VALUE!</v>
      </c>
    </row>
    <row r="3912" spans="1:4" x14ac:dyDescent="0.25">
      <c r="A3912" s="1" t="str">
        <f>'001'!B3912</f>
        <v>005761</v>
      </c>
      <c r="B3912" s="1" t="str">
        <f>'001'!C3912</f>
        <v>D9690AL DELTRON BC TRACE YELLOW X 1</v>
      </c>
      <c r="C3912" s="1" t="str">
        <f>'001'!D3912</f>
        <v>0134</v>
      </c>
      <c r="D3912" s="3" t="e">
        <f>'001'!H3912</f>
        <v>#VALUE!</v>
      </c>
    </row>
    <row r="3913" spans="1:4" x14ac:dyDescent="0.25">
      <c r="A3913" s="1" t="str">
        <f>'001'!B3913</f>
        <v>005762</v>
      </c>
      <c r="B3913" s="1" t="str">
        <f>'001'!C3913</f>
        <v>D9700AL DELTRON BC TRACE BLUE X 1</v>
      </c>
      <c r="C3913" s="1" t="str">
        <f>'001'!D3913</f>
        <v>0134</v>
      </c>
      <c r="D3913" s="3" t="e">
        <f>'001'!H3913</f>
        <v>#VALUE!</v>
      </c>
    </row>
    <row r="3914" spans="1:4" x14ac:dyDescent="0.25">
      <c r="A3914" s="1" t="str">
        <f>'001'!B3914</f>
        <v>005763</v>
      </c>
      <c r="B3914" s="1" t="str">
        <f>'001'!C3914</f>
        <v>D9710AL DELTRON TRACE GREEN BC X 1</v>
      </c>
      <c r="C3914" s="1" t="str">
        <f>'001'!D3914</f>
        <v>0134</v>
      </c>
      <c r="D3914" s="3" t="e">
        <f>'001'!H3914</f>
        <v>#VALUE!</v>
      </c>
    </row>
    <row r="3915" spans="1:4" x14ac:dyDescent="0.25">
      <c r="A3915" s="1" t="str">
        <f>'001'!B3915</f>
        <v>005764</v>
      </c>
      <c r="B3915" s="1" t="str">
        <f>'001'!C3915</f>
        <v>D973/E1 DELTRON BC RED GREEN PEARL X 1</v>
      </c>
      <c r="C3915" s="1" t="str">
        <f>'001'!D3915</f>
        <v>0134</v>
      </c>
      <c r="D3915" s="3" t="e">
        <f>'001'!H3915</f>
        <v>#VALUE!</v>
      </c>
    </row>
    <row r="3916" spans="1:4" x14ac:dyDescent="0.25">
      <c r="A3916" s="1" t="str">
        <f>'001'!B3916</f>
        <v>005765</v>
      </c>
      <c r="B3916" s="1" t="str">
        <f>'001'!C3916</f>
        <v>D9760AL DELTRON BC MAGENTA X 1</v>
      </c>
      <c r="C3916" s="1" t="str">
        <f>'001'!D3916</f>
        <v>0134</v>
      </c>
      <c r="D3916" s="3" t="e">
        <f>'001'!H3916</f>
        <v>#VALUE!</v>
      </c>
    </row>
    <row r="3917" spans="1:4" x14ac:dyDescent="0.25">
      <c r="A3917" s="1" t="str">
        <f>'001'!B3917</f>
        <v>005766</v>
      </c>
      <c r="B3917" s="1" t="str">
        <f>'001'!C3917</f>
        <v>D9770AL DELTRON BC RED SHADE BLUE X 1</v>
      </c>
      <c r="C3917" s="1" t="str">
        <f>'001'!D3917</f>
        <v>0134</v>
      </c>
      <c r="D3917" s="3" t="e">
        <f>'001'!H3917</f>
        <v>#VALUE!</v>
      </c>
    </row>
    <row r="3918" spans="1:4" x14ac:dyDescent="0.25">
      <c r="A3918" s="1" t="str">
        <f>'001'!B3918</f>
        <v>005767</v>
      </c>
      <c r="B3918" s="1" t="str">
        <f>'001'!C3918</f>
        <v>D9780AL DELTRON BC SCARLET X 1</v>
      </c>
      <c r="C3918" s="1" t="str">
        <f>'001'!D3918</f>
        <v>0134</v>
      </c>
      <c r="D3918" s="3" t="e">
        <f>'001'!H3918</f>
        <v>#VALUE!</v>
      </c>
    </row>
    <row r="3919" spans="1:4" x14ac:dyDescent="0.25">
      <c r="A3919" s="1" t="str">
        <f>'001'!B3919</f>
        <v>005768</v>
      </c>
      <c r="B3919" s="1" t="str">
        <f>'001'!C3919</f>
        <v>D9790AL DELTRON BC TRANSPARENT VIOLET X 1</v>
      </c>
      <c r="C3919" s="1" t="str">
        <f>'001'!D3919</f>
        <v>0134</v>
      </c>
      <c r="D3919" s="3" t="e">
        <f>'001'!H3919</f>
        <v>#VALUE!</v>
      </c>
    </row>
    <row r="3920" spans="1:4" x14ac:dyDescent="0.25">
      <c r="A3920" s="1" t="str">
        <f>'001'!B3920</f>
        <v>005769</v>
      </c>
      <c r="B3920" s="1" t="str">
        <f>'001'!C3920</f>
        <v>D9800AL DELTRON BC TRANSPARENT GOLD X 1</v>
      </c>
      <c r="C3920" s="1" t="str">
        <f>'001'!D3920</f>
        <v>0134</v>
      </c>
      <c r="D3920" s="3" t="e">
        <f>'001'!H3920</f>
        <v>#VALUE!</v>
      </c>
    </row>
    <row r="3921" spans="1:4" x14ac:dyDescent="0.25">
      <c r="A3921" s="1" t="str">
        <f>'001'!B3921</f>
        <v>005770</v>
      </c>
      <c r="B3921" s="1" t="str">
        <f>'001'!C3921</f>
        <v>D9810AL DELTRON BC INTENSE VIOLET X 1</v>
      </c>
      <c r="C3921" s="1" t="str">
        <f>'001'!D3921</f>
        <v>0134</v>
      </c>
      <c r="D3921" s="3" t="e">
        <f>'001'!H3921</f>
        <v>#VALUE!</v>
      </c>
    </row>
    <row r="3922" spans="1:4" x14ac:dyDescent="0.25">
      <c r="A3922" s="1" t="str">
        <f>'001'!B3922</f>
        <v>005771</v>
      </c>
      <c r="B3922" s="1" t="str">
        <f>'001'!C3922</f>
        <v>D9830AL DELTRON BC ORANGE ALUMINIUM X 1</v>
      </c>
      <c r="C3922" s="1" t="str">
        <f>'001'!D3922</f>
        <v>0134</v>
      </c>
      <c r="D3922" s="3" t="e">
        <f>'001'!H3922</f>
        <v>#VALUE!</v>
      </c>
    </row>
    <row r="3923" spans="1:4" x14ac:dyDescent="0.25">
      <c r="A3923" s="1" t="str">
        <f>'001'!B3923</f>
        <v>005772</v>
      </c>
      <c r="B3923" s="1" t="str">
        <f>'001'!C3923</f>
        <v>D985/E1 DELTRON BC BLUE ALUMINIUM X 1</v>
      </c>
      <c r="C3923" s="1" t="str">
        <f>'001'!D3923</f>
        <v>0134</v>
      </c>
      <c r="D3923" s="3" t="e">
        <f>'001'!H3923</f>
        <v>#VALUE!</v>
      </c>
    </row>
    <row r="3924" spans="1:4" x14ac:dyDescent="0.25">
      <c r="A3924" s="1" t="str">
        <f>'001'!B3924</f>
        <v>005773</v>
      </c>
      <c r="B3924" s="1" t="str">
        <f>'001'!C3924</f>
        <v>D9890AL DELTRON BC COARSE SILVER DOLLAR ALUMINIUM X 1</v>
      </c>
      <c r="C3924" s="1" t="str">
        <f>'001'!D3924</f>
        <v>0134</v>
      </c>
      <c r="D3924" s="3" t="e">
        <f>'001'!H3924</f>
        <v>#VALUE!</v>
      </c>
    </row>
    <row r="3925" spans="1:4" x14ac:dyDescent="0.25">
      <c r="A3925" s="1" t="str">
        <f>'001'!B3925</f>
        <v>005774</v>
      </c>
      <c r="B3925" s="1" t="str">
        <f>'001'!C3925</f>
        <v>D990/E1 DELTRON BC FINE GLACIER WHITE X 1</v>
      </c>
      <c r="C3925" s="1" t="str">
        <f>'001'!D3925</f>
        <v>0134</v>
      </c>
      <c r="D3925" s="3" t="e">
        <f>'001'!H3925</f>
        <v>#VALUE!</v>
      </c>
    </row>
    <row r="3926" spans="1:4" x14ac:dyDescent="0.25">
      <c r="A3926" s="1" t="str">
        <f>'001'!B3926</f>
        <v>005775</v>
      </c>
      <c r="B3926" s="1" t="str">
        <f>'001'!C3926</f>
        <v>D991/E1 DELTRON BC RUBINE X 1</v>
      </c>
      <c r="C3926" s="1" t="str">
        <f>'001'!D3926</f>
        <v>0134</v>
      </c>
      <c r="D3926" s="3" t="e">
        <f>'001'!H3926</f>
        <v>#VALUE!</v>
      </c>
    </row>
    <row r="3927" spans="1:4" x14ac:dyDescent="0.25">
      <c r="A3927" s="1" t="str">
        <f>'001'!B3927</f>
        <v>005776</v>
      </c>
      <c r="B3927" s="1" t="str">
        <f>'001'!C3927</f>
        <v>PRLX1KAAH DELTRON BC CRYSTAL RED PEARL X 0,113</v>
      </c>
      <c r="C3927" s="1" t="str">
        <f>'001'!D3927</f>
        <v>0134</v>
      </c>
      <c r="D3927" s="3" t="e">
        <f>'001'!H3927</f>
        <v>#VALUE!</v>
      </c>
    </row>
    <row r="3928" spans="1:4" x14ac:dyDescent="0.25">
      <c r="A3928" s="1" t="str">
        <f>'001'!B3928</f>
        <v>005777</v>
      </c>
      <c r="B3928" s="1" t="str">
        <f>'001'!C3928</f>
        <v>PRLX2KAAH DELTRON BC CRYSTAL SILVER PEARL X 0,113</v>
      </c>
      <c r="C3928" s="1" t="str">
        <f>'001'!D3928</f>
        <v>0134</v>
      </c>
      <c r="D3928" s="3" t="e">
        <f>'001'!H3928</f>
        <v>#VALUE!</v>
      </c>
    </row>
    <row r="3929" spans="1:4" x14ac:dyDescent="0.25">
      <c r="A3929" s="1" t="str">
        <f>'001'!B3929</f>
        <v>005778</v>
      </c>
      <c r="B3929" s="1" t="str">
        <f>'001'!C3929</f>
        <v>PRLX3KAAH CRYSTAL GOLD PEARL X 0,133</v>
      </c>
      <c r="C3929" s="1" t="str">
        <f>'001'!D3929</f>
        <v>0134</v>
      </c>
      <c r="D3929" s="3" t="e">
        <f>'001'!H3929</f>
        <v>#VALUE!</v>
      </c>
    </row>
    <row r="3930" spans="1:4" x14ac:dyDescent="0.25">
      <c r="A3930" s="1" t="str">
        <f>'001'!B3930</f>
        <v>005779</v>
      </c>
      <c r="B3930" s="1" t="str">
        <f>'001'!C3930</f>
        <v>PRLX4KAAH DELTRON BC CRYSTAL BLUE PEARL X 0,113</v>
      </c>
      <c r="C3930" s="1" t="str">
        <f>'001'!D3930</f>
        <v>0134</v>
      </c>
      <c r="D3930" s="3" t="e">
        <f>'001'!H3930</f>
        <v>#VALUE!</v>
      </c>
    </row>
    <row r="3931" spans="1:4" x14ac:dyDescent="0.25">
      <c r="A3931" s="1" t="str">
        <f>'001'!B3931</f>
        <v>005780</v>
      </c>
      <c r="B3931" s="1" t="str">
        <f>'001'!C3931</f>
        <v>PRLX5KAAH DELTRON BC STELLAR GREEN PEARL X 0,113</v>
      </c>
      <c r="C3931" s="1" t="str">
        <f>'001'!D3931</f>
        <v>0134</v>
      </c>
      <c r="D3931" s="3" t="e">
        <f>'001'!H3931</f>
        <v>#VALUE!</v>
      </c>
    </row>
    <row r="3932" spans="1:4" x14ac:dyDescent="0.25">
      <c r="A3932" s="1" t="str">
        <f>'001'!B3932</f>
        <v>005781</v>
      </c>
      <c r="B3932" s="1" t="str">
        <f>'001'!C3932</f>
        <v>PRLX6KAAH SOLARIS RED PEARL X 0,113</v>
      </c>
      <c r="C3932" s="1" t="str">
        <f>'001'!D3932</f>
        <v>0134</v>
      </c>
      <c r="D3932" s="3" t="e">
        <f>'001'!H3932</f>
        <v>#VALUE!</v>
      </c>
    </row>
    <row r="3933" spans="1:4" x14ac:dyDescent="0.25">
      <c r="A3933" s="1" t="str">
        <f>'001'!B3933</f>
        <v>005782</v>
      </c>
      <c r="B3933" s="1" t="str">
        <f>'001'!C3933</f>
        <v>PRLX7KAAH DELTRON BC FIRESIDE COPPER PEARL X 0,113</v>
      </c>
      <c r="C3933" s="1" t="str">
        <f>'001'!D3933</f>
        <v>0134</v>
      </c>
      <c r="D3933" s="3" t="e">
        <f>'001'!H3933</f>
        <v>#VALUE!</v>
      </c>
    </row>
    <row r="3934" spans="1:4" x14ac:dyDescent="0.25">
      <c r="A3934" s="1" t="str">
        <f>'001'!B3934</f>
        <v>005783</v>
      </c>
      <c r="B3934" s="1" t="str">
        <f>'001'!C3934</f>
        <v>PRLX8KAAH DELTRON BC COSMIC TURQUOISE PEARL X 0,113</v>
      </c>
      <c r="C3934" s="1" t="str">
        <f>'001'!D3934</f>
        <v>0134</v>
      </c>
      <c r="D3934" s="3" t="e">
        <f>'001'!H3934</f>
        <v>#VALUE!</v>
      </c>
    </row>
    <row r="3935" spans="1:4" x14ac:dyDescent="0.25">
      <c r="A3935" s="1" t="str">
        <f>'001'!B3935</f>
        <v>005784</v>
      </c>
      <c r="B3935" s="1" t="str">
        <f>'001'!C3935</f>
        <v>PRLX9KAAH DELTRON BC AMETHYST DREAM PEARL X X 0,113</v>
      </c>
      <c r="C3935" s="1" t="str">
        <f>'001'!D3935</f>
        <v>0134</v>
      </c>
      <c r="D3935" s="3" t="e">
        <f>'001'!H3935</f>
        <v>#VALUE!</v>
      </c>
    </row>
    <row r="3936" spans="1:4" x14ac:dyDescent="0.25">
      <c r="A3936" s="1" t="str">
        <f>'001'!B3936</f>
        <v>005785</v>
      </c>
      <c r="B3936" s="1" t="str">
        <f>'001'!C3936</f>
        <v>ROTOR AZUL</v>
      </c>
      <c r="C3936" s="1" t="str">
        <f>'001'!D3936</f>
        <v>0163</v>
      </c>
      <c r="D3936" s="3" t="e">
        <f>'001'!H3936</f>
        <v>#VALUE!</v>
      </c>
    </row>
    <row r="3937" spans="1:4" x14ac:dyDescent="0.25">
      <c r="A3937" s="1" t="str">
        <f>'001'!B3937</f>
        <v>005786</v>
      </c>
      <c r="B3937" s="1" t="str">
        <f>'001'!C3937</f>
        <v>STATOR AZUL AUTORREGULABLE</v>
      </c>
      <c r="C3937" s="1" t="str">
        <f>'001'!D3937</f>
        <v>0163</v>
      </c>
      <c r="D3937" s="3" t="e">
        <f>'001'!H3937</f>
        <v>#VALUE!</v>
      </c>
    </row>
    <row r="3938" spans="1:4" x14ac:dyDescent="0.25">
      <c r="A3938" s="1" t="str">
        <f>'001'!B3938</f>
        <v>005787</v>
      </c>
      <c r="B3938" s="1" t="str">
        <f>'001'!C3938</f>
        <v>IMPERMEABILIZANTE PARA FRENTES REVECAUCHO NEGRO X 11</v>
      </c>
      <c r="C3938" s="1" t="str">
        <f>'001'!D3938</f>
        <v>0144</v>
      </c>
      <c r="D3938" s="3" t="e">
        <f>'001'!H3938</f>
        <v>#VALUE!</v>
      </c>
    </row>
    <row r="3939" spans="1:4" x14ac:dyDescent="0.25">
      <c r="A3939" s="1" t="str">
        <f>'001'!B3939</f>
        <v>005788</v>
      </c>
      <c r="B3939" s="1" t="str">
        <f>'001'!C3939</f>
        <v>IMPERMEABILIZANTE PARA FRENTES REVECAUCHO NEGRO X 22</v>
      </c>
      <c r="C3939" s="1" t="str">
        <f>'001'!D3939</f>
        <v>0144</v>
      </c>
      <c r="D3939" s="3" t="e">
        <f>'001'!H3939</f>
        <v>#VALUE!</v>
      </c>
    </row>
    <row r="3940" spans="1:4" x14ac:dyDescent="0.25">
      <c r="A3940" s="1" t="str">
        <f>'001'!B3940</f>
        <v>005789</v>
      </c>
      <c r="B3940" s="1" t="str">
        <f>'001'!C3940</f>
        <v>IMPERMEABILIZANTE PARA FRENTES REVECAUCHO ROJO X 11</v>
      </c>
      <c r="C3940" s="1" t="str">
        <f>'001'!D3940</f>
        <v>0144</v>
      </c>
      <c r="D3940" s="3" t="e">
        <f>'001'!H3940</f>
        <v>#VALUE!</v>
      </c>
    </row>
    <row r="3941" spans="1:4" x14ac:dyDescent="0.25">
      <c r="A3941" s="1" t="str">
        <f>'001'!B3941</f>
        <v>005790</v>
      </c>
      <c r="B3941" s="1" t="str">
        <f>'001'!C3941</f>
        <v>IMPERMEABILIZANTE PARA FRENTES REVECAUCHO ROJO X 22</v>
      </c>
      <c r="C3941" s="1" t="str">
        <f>'001'!D3941</f>
        <v>0144</v>
      </c>
      <c r="D3941" s="3" t="e">
        <f>'001'!H3941</f>
        <v>#VALUE!</v>
      </c>
    </row>
    <row r="3942" spans="1:4" x14ac:dyDescent="0.25">
      <c r="A3942" s="1" t="str">
        <f>'001'!B3942</f>
        <v>005791</v>
      </c>
      <c r="B3942" s="1" t="str">
        <f>'001'!C3942</f>
        <v>IMPERMEABILIZANTE PARA FRENTES REVECAUCHO VERDE X 11</v>
      </c>
      <c r="C3942" s="1" t="str">
        <f>'001'!D3942</f>
        <v>0144</v>
      </c>
      <c r="D3942" s="3" t="e">
        <f>'001'!H3942</f>
        <v>#VALUE!</v>
      </c>
    </row>
    <row r="3943" spans="1:4" x14ac:dyDescent="0.25">
      <c r="A3943" s="1" t="str">
        <f>'001'!B3943</f>
        <v>005792</v>
      </c>
      <c r="B3943" s="1" t="str">
        <f>'001'!C3943</f>
        <v>IMPERMEABILIZANTE PARA FRENTES REVECAUCHO VERDE X 22</v>
      </c>
      <c r="C3943" s="1" t="str">
        <f>'001'!D3943</f>
        <v>0144</v>
      </c>
      <c r="D3943" s="3" t="e">
        <f>'001'!H3943</f>
        <v>#VALUE!</v>
      </c>
    </row>
    <row r="3944" spans="1:4" x14ac:dyDescent="0.25">
      <c r="A3944" s="1" t="str">
        <f>'001'!B3944</f>
        <v>005793</v>
      </c>
      <c r="B3944" s="1" t="str">
        <f>'001'!C3944</f>
        <v>IMPERMEABILIZANTE PARA FRENTES PLAVICON CAUCHO SUPERGOMA GRIS X  4</v>
      </c>
      <c r="C3944" s="1" t="str">
        <f>'001'!D3944</f>
        <v>0144</v>
      </c>
      <c r="D3944" s="3" t="e">
        <f>'001'!H3944</f>
        <v>#VALUE!</v>
      </c>
    </row>
    <row r="3945" spans="1:4" x14ac:dyDescent="0.25">
      <c r="A3945" s="1" t="str">
        <f>'001'!B3945</f>
        <v>005794</v>
      </c>
      <c r="B3945" s="1" t="str">
        <f>'001'!C3945</f>
        <v>IMPERMEABILIZANTE PARA FRENTES PLAVICON CAUCHO SUPERGOMA GRIS X 20</v>
      </c>
      <c r="C3945" s="1" t="str">
        <f>'001'!D3945</f>
        <v>0144</v>
      </c>
      <c r="D3945" s="3" t="e">
        <f>'001'!H3945</f>
        <v>#VALUE!</v>
      </c>
    </row>
    <row r="3946" spans="1:4" x14ac:dyDescent="0.25">
      <c r="A3946" s="1" t="str">
        <f>'001'!B3946</f>
        <v>005811</v>
      </c>
      <c r="B3946" s="1" t="str">
        <f>'001'!C3946</f>
        <v>FONDO ANTIOXIDO TERSUAVE MATE MARFIL X 20</v>
      </c>
      <c r="C3946" s="1" t="str">
        <f>'001'!D3946</f>
        <v>0152</v>
      </c>
      <c r="D3946" s="3" t="e">
        <f>'001'!H3946</f>
        <v>#VALUE!</v>
      </c>
    </row>
    <row r="3947" spans="1:4" x14ac:dyDescent="0.25">
      <c r="A3947" s="1" t="str">
        <f>'001'!B3947</f>
        <v>005815</v>
      </c>
      <c r="B3947" s="1" t="str">
        <f>'001'!C3947</f>
        <v>FONDO ANTIOXIDO TERSUAVE MATE NEGRO X 20</v>
      </c>
      <c r="C3947" s="1" t="str">
        <f>'001'!D3947</f>
        <v>0152</v>
      </c>
      <c r="D3947" s="3" t="e">
        <f>'001'!H3947</f>
        <v>#VALUE!</v>
      </c>
    </row>
    <row r="3948" spans="1:4" x14ac:dyDescent="0.25">
      <c r="A3948" s="1" t="str">
        <f>'001'!B3948</f>
        <v>005818</v>
      </c>
      <c r="B3948" s="1" t="str">
        <f>'001'!C3948</f>
        <v>LATEX INTERIOR/EXTERIOR TERSUAVE DECO MATE BLANCO X 20</v>
      </c>
      <c r="C3948" s="1" t="str">
        <f>'001'!D3948</f>
        <v>0152</v>
      </c>
      <c r="D3948" s="3" t="e">
        <f>'001'!H3948</f>
        <v>#VALUE!</v>
      </c>
    </row>
    <row r="3949" spans="1:4" x14ac:dyDescent="0.25">
      <c r="A3949" s="1" t="str">
        <f>'001'!B3949</f>
        <v>005822</v>
      </c>
      <c r="B3949" s="1" t="str">
        <f>'001'!C3949</f>
        <v>COMPUESTO DE PULIDO Y SELLADO SIN SILICONA 3D 505 AAT CORRECTION GLAZE X 0,500(505OZ16)</v>
      </c>
      <c r="C3949" s="1" t="str">
        <f>'001'!D3949</f>
        <v>0191</v>
      </c>
      <c r="D3949" s="3" t="e">
        <f>'001'!H3949</f>
        <v>#VALUE!</v>
      </c>
    </row>
    <row r="3950" spans="1:4" x14ac:dyDescent="0.25">
      <c r="A3950" s="1" t="str">
        <f>'001'!B3950</f>
        <v>005823</v>
      </c>
      <c r="B3950" s="1" t="str">
        <f>'001'!C3950</f>
        <v>CREMA DE PULIDO 3D 520 ACA FINISHING POLISH X 0,500 (520OZ16)</v>
      </c>
      <c r="C3950" s="1" t="str">
        <f>'001'!D3950</f>
        <v>0191</v>
      </c>
      <c r="D3950" s="3" t="e">
        <f>'001'!H3950</f>
        <v>#VALUE!</v>
      </c>
    </row>
    <row r="3951" spans="1:4" x14ac:dyDescent="0.25">
      <c r="A3951" s="1" t="str">
        <f>'001'!B3951</f>
        <v>005824</v>
      </c>
      <c r="B3951" s="1" t="str">
        <f>'001'!C3951</f>
        <v>PINTURA PARA MELAMINA RUST OLEUM MATE VERDE PACIFICO X 0,887(PA000003)</v>
      </c>
      <c r="C3951" s="1" t="str">
        <f>'001'!D3951</f>
        <v>0146</v>
      </c>
      <c r="D3951" s="3" t="e">
        <f>'001'!H3951</f>
        <v>#VALUE!</v>
      </c>
    </row>
    <row r="3952" spans="1:4" x14ac:dyDescent="0.25">
      <c r="A3952" s="1" t="str">
        <f>'001'!B3952</f>
        <v>005825</v>
      </c>
      <c r="B3952" s="1" t="str">
        <f>'001'!C3952</f>
        <v>PINTURA PARA MELAMINA RUST OLEUM MATE BLANCO CRUDO X 0,887(PA000004)</v>
      </c>
      <c r="C3952" s="1" t="str">
        <f>'001'!D3952</f>
        <v>0146</v>
      </c>
      <c r="D3952" s="3" t="e">
        <f>'001'!H3952</f>
        <v>#VALUE!</v>
      </c>
    </row>
    <row r="3953" spans="1:4" x14ac:dyDescent="0.25">
      <c r="A3953" s="1" t="str">
        <f>'001'!B3953</f>
        <v>005826</v>
      </c>
      <c r="B3953" s="1" t="str">
        <f>'001'!C3953</f>
        <v>PINTURA PARA MELAMINA RUST OLEUM MATE GRIS PALIDO X 0,887(PA000005)</v>
      </c>
      <c r="C3953" s="1" t="str">
        <f>'001'!D3953</f>
        <v>0146</v>
      </c>
      <c r="D3953" s="3" t="e">
        <f>'001'!H3953</f>
        <v>#VALUE!</v>
      </c>
    </row>
    <row r="3954" spans="1:4" x14ac:dyDescent="0.25">
      <c r="A3954" s="1" t="str">
        <f>'001'!B3954</f>
        <v>005827</v>
      </c>
      <c r="B3954" s="1" t="str">
        <f>'001'!C3954</f>
        <v>FONDO ANTIOXIDO TERSUAVE MATE GRIS X 20</v>
      </c>
      <c r="C3954" s="1" t="str">
        <f>'001'!D3954</f>
        <v>0152</v>
      </c>
      <c r="D3954" s="3" t="e">
        <f>'001'!H3954</f>
        <v>#VALUE!</v>
      </c>
    </row>
    <row r="3955" spans="1:4" x14ac:dyDescent="0.25">
      <c r="A3955" s="1" t="str">
        <f>'001'!B3955</f>
        <v>005828</v>
      </c>
      <c r="B3955" s="1" t="str">
        <f>'001'!C3955</f>
        <v>IMPERMEABILIZANTE PARA MUROS Y TECHOS TECHESCO BLANCO X  4</v>
      </c>
      <c r="C3955" s="1" t="str">
        <f>'001'!D3955</f>
        <v>0138</v>
      </c>
      <c r="D3955" s="3" t="e">
        <f>'001'!H3955</f>
        <v>#VALUE!</v>
      </c>
    </row>
    <row r="3956" spans="1:4" x14ac:dyDescent="0.25">
      <c r="A3956" s="1" t="str">
        <f>'001'!B3956</f>
        <v>005829</v>
      </c>
      <c r="B3956" s="1" t="str">
        <f>'001'!C3956</f>
        <v>IMPERMEABILIZANTE PARA MUROS Y TECHOS TECHESCO BLANCO X 20</v>
      </c>
      <c r="C3956" s="1" t="str">
        <f>'001'!D3956</f>
        <v>0138</v>
      </c>
      <c r="D3956" s="3" t="e">
        <f>'001'!H3956</f>
        <v>#VALUE!</v>
      </c>
    </row>
    <row r="3957" spans="1:4" x14ac:dyDescent="0.25">
      <c r="A3957" s="1" t="str">
        <f>'001'!B3957</f>
        <v>005830</v>
      </c>
      <c r="B3957" s="1" t="str">
        <f>'001'!C3957</f>
        <v>IMPERMEABILIZANTE PARA MUROS Y TECHOS TECHESCO GRIS X  4</v>
      </c>
      <c r="C3957" s="1" t="str">
        <f>'001'!D3957</f>
        <v>0138</v>
      </c>
      <c r="D3957" s="3" t="e">
        <f>'001'!H3957</f>
        <v>#VALUE!</v>
      </c>
    </row>
    <row r="3958" spans="1:4" x14ac:dyDescent="0.25">
      <c r="A3958" s="1" t="str">
        <f>'001'!B3958</f>
        <v>005831</v>
      </c>
      <c r="B3958" s="1" t="str">
        <f>'001'!C3958</f>
        <v>IMPERMEABILIZANTE PARA MUROS Y TECHOS TECHESCO GRIS X 20</v>
      </c>
      <c r="C3958" s="1" t="str">
        <f>'001'!D3958</f>
        <v>0138</v>
      </c>
      <c r="D3958" s="3" t="e">
        <f>'001'!H3958</f>
        <v>#VALUE!</v>
      </c>
    </row>
    <row r="3959" spans="1:4" x14ac:dyDescent="0.25">
      <c r="A3959" s="1" t="str">
        <f>'001'!B3959</f>
        <v>005832</v>
      </c>
      <c r="B3959" s="1" t="str">
        <f>'001'!C3959</f>
        <v>IMPERMEABILIZANTE PARA MUROS Y TECHOS TECHESCO GRIS OSCURO X  4</v>
      </c>
      <c r="C3959" s="1" t="str">
        <f>'001'!D3959</f>
        <v>0138</v>
      </c>
      <c r="D3959" s="3" t="e">
        <f>'001'!H3959</f>
        <v>#VALUE!</v>
      </c>
    </row>
    <row r="3960" spans="1:4" x14ac:dyDescent="0.25">
      <c r="A3960" s="1" t="str">
        <f>'001'!B3960</f>
        <v>005833</v>
      </c>
      <c r="B3960" s="1" t="str">
        <f>'001'!C3960</f>
        <v>IMPERMEABILIZANTE PARA MUROS Y TECHOS TECHESCO GRIS OSCURO X 20</v>
      </c>
      <c r="C3960" s="1" t="str">
        <f>'001'!D3960</f>
        <v>0138</v>
      </c>
      <c r="D3960" s="3" t="e">
        <f>'001'!H3960</f>
        <v>#VALUE!</v>
      </c>
    </row>
    <row r="3961" spans="1:4" x14ac:dyDescent="0.25">
      <c r="A3961" s="1" t="str">
        <f>'001'!B3961</f>
        <v>005834</v>
      </c>
      <c r="B3961" s="1" t="str">
        <f>'001'!C3961</f>
        <v>IMPERMEABILIZANTE PARA MUROS Y TECHOS TECHESCO ROJO X  4</v>
      </c>
      <c r="C3961" s="1" t="str">
        <f>'001'!D3961</f>
        <v>0138</v>
      </c>
      <c r="D3961" s="3" t="e">
        <f>'001'!H3961</f>
        <v>#VALUE!</v>
      </c>
    </row>
    <row r="3962" spans="1:4" x14ac:dyDescent="0.25">
      <c r="A3962" s="1" t="str">
        <f>'001'!B3962</f>
        <v>005835</v>
      </c>
      <c r="B3962" s="1" t="str">
        <f>'001'!C3962</f>
        <v>IMPERMEABILIZANTE PARA MUROS Y TECHOS TECHESCO ROJO X 20</v>
      </c>
      <c r="C3962" s="1" t="str">
        <f>'001'!D3962</f>
        <v>0138</v>
      </c>
      <c r="D3962" s="3" t="e">
        <f>'001'!H3962</f>
        <v>#VALUE!</v>
      </c>
    </row>
    <row r="3963" spans="1:4" x14ac:dyDescent="0.25">
      <c r="A3963" s="1" t="str">
        <f>'001'!B3963</f>
        <v>005836</v>
      </c>
      <c r="B3963" s="1" t="str">
        <f>'001'!C3963</f>
        <v>LATEX INTERIOR/EXTERIOR MULTICOLOR BLANCO X 25</v>
      </c>
      <c r="C3963" s="1" t="str">
        <f>'001'!D3963</f>
        <v>0152</v>
      </c>
      <c r="D3963" s="3" t="e">
        <f>'001'!H3963</f>
        <v>#VALUE!</v>
      </c>
    </row>
    <row r="3964" spans="1:4" x14ac:dyDescent="0.25">
      <c r="A3964" s="1" t="str">
        <f>'001'!B3964</f>
        <v>005837</v>
      </c>
      <c r="B3964" s="1" t="str">
        <f>'001'!C3964</f>
        <v>LATEX INTERIOR TERSUAVE LAVABLE ANTIMANCHAS MATE BLANCO X  1</v>
      </c>
      <c r="C3964" s="1" t="str">
        <f>'001'!D3964</f>
        <v>0152</v>
      </c>
      <c r="D3964" s="3" t="e">
        <f>'001'!H3964</f>
        <v>#VALUE!</v>
      </c>
    </row>
    <row r="3965" spans="1:4" x14ac:dyDescent="0.25">
      <c r="A3965" s="1" t="str">
        <f>'001'!B3965</f>
        <v>005838</v>
      </c>
      <c r="B3965" s="1" t="str">
        <f>'001'!C3965</f>
        <v>LATEX INTERIOR TERSUAVE LAVABLE ANTIMANCHAS MATE BLANCO X  4</v>
      </c>
      <c r="C3965" s="1" t="str">
        <f>'001'!D3965</f>
        <v>0152</v>
      </c>
      <c r="D3965" s="3" t="e">
        <f>'001'!H3965</f>
        <v>#VALUE!</v>
      </c>
    </row>
    <row r="3966" spans="1:4" x14ac:dyDescent="0.25">
      <c r="A3966" s="1" t="str">
        <f>'001'!B3966</f>
        <v>005839</v>
      </c>
      <c r="B3966" s="1" t="str">
        <f>'001'!C3966</f>
        <v>LATEX INTERIOR TERSUAVE LAVABLE ANTIMANCHAS MATE BLANCO X 10</v>
      </c>
      <c r="C3966" s="1" t="str">
        <f>'001'!D3966</f>
        <v>0152</v>
      </c>
      <c r="D3966" s="3" t="e">
        <f>'001'!H3966</f>
        <v>#VALUE!</v>
      </c>
    </row>
    <row r="3967" spans="1:4" x14ac:dyDescent="0.25">
      <c r="A3967" s="1" t="str">
        <f>'001'!B3967</f>
        <v>005840</v>
      </c>
      <c r="B3967" s="1" t="str">
        <f>'001'!C3967</f>
        <v>LATEX INTERIOR TERSUAVE LAVABLE ANTIMANCHAS MATE BLANCO X 20</v>
      </c>
      <c r="C3967" s="1" t="str">
        <f>'001'!D3967</f>
        <v>0152</v>
      </c>
      <c r="D3967" s="3" t="e">
        <f>'001'!H3967</f>
        <v>#VALUE!</v>
      </c>
    </row>
    <row r="3968" spans="1:4" x14ac:dyDescent="0.25">
      <c r="A3968" s="1" t="str">
        <f>'001'!B3968</f>
        <v>005844</v>
      </c>
      <c r="B3968" s="1" t="str">
        <f>'001'!C3968</f>
        <v>FONDO ANTIOXIDO TERSUAVE MATE VERDE X 20</v>
      </c>
      <c r="C3968" s="1" t="str">
        <f>'001'!D3968</f>
        <v>0152</v>
      </c>
      <c r="D3968" s="3" t="e">
        <f>'001'!H3968</f>
        <v>#VALUE!</v>
      </c>
    </row>
    <row r="3969" spans="1:4" x14ac:dyDescent="0.25">
      <c r="A3969" s="1" t="str">
        <f>'001'!B3969</f>
        <v>005845</v>
      </c>
      <c r="B3969" s="1" t="str">
        <f>'001'!C3969</f>
        <v>MEMBRANA LIQUIDA PARA TECHOS TECHESCO BLANCO X  5</v>
      </c>
      <c r="C3969" s="1" t="str">
        <f>'001'!D3969</f>
        <v>0138</v>
      </c>
      <c r="D3969" s="3" t="e">
        <f>'001'!H3969</f>
        <v>#VALUE!</v>
      </c>
    </row>
    <row r="3970" spans="1:4" x14ac:dyDescent="0.25">
      <c r="A3970" s="1" t="str">
        <f>'001'!B3970</f>
        <v>005846</v>
      </c>
      <c r="B3970" s="1" t="str">
        <f>'001'!C3970</f>
        <v>MEMBRANA LIQUIDA PARA TECHOS TECHESCO BLANCO X 10</v>
      </c>
      <c r="C3970" s="1" t="str">
        <f>'001'!D3970</f>
        <v>0138</v>
      </c>
      <c r="D3970" s="3" t="e">
        <f>'001'!H3970</f>
        <v>#VALUE!</v>
      </c>
    </row>
    <row r="3971" spans="1:4" x14ac:dyDescent="0.25">
      <c r="A3971" s="1" t="str">
        <f>'001'!B3971</f>
        <v>005847</v>
      </c>
      <c r="B3971" s="1" t="str">
        <f>'001'!C3971</f>
        <v>MEMBRANA LIQUIDA PARA TECHOS TECHESCO BLANCO X 20</v>
      </c>
      <c r="C3971" s="1" t="str">
        <f>'001'!D3971</f>
        <v>0138</v>
      </c>
      <c r="D3971" s="3" t="e">
        <f>'001'!H3971</f>
        <v>#VALUE!</v>
      </c>
    </row>
    <row r="3972" spans="1:4" x14ac:dyDescent="0.25">
      <c r="A3972" s="1" t="str">
        <f>'001'!B3972</f>
        <v>005848</v>
      </c>
      <c r="B3972" s="1" t="str">
        <f>'001'!C3972</f>
        <v>MEMBRANA LIQUIDA PARA TECHOS TECHESCO NEGRO X  5</v>
      </c>
      <c r="C3972" s="1" t="str">
        <f>'001'!D3972</f>
        <v>0138</v>
      </c>
      <c r="D3972" s="3" t="e">
        <f>'001'!H3972</f>
        <v>#VALUE!</v>
      </c>
    </row>
    <row r="3973" spans="1:4" x14ac:dyDescent="0.25">
      <c r="A3973" s="1" t="str">
        <f>'001'!B3973</f>
        <v>005849</v>
      </c>
      <c r="B3973" s="1" t="str">
        <f>'001'!C3973</f>
        <v>MEMBRANA LIQUIDA PARA TECHOS TECHESCO NEGRO X 10</v>
      </c>
      <c r="C3973" s="1" t="str">
        <f>'001'!D3973</f>
        <v>0138</v>
      </c>
      <c r="D3973" s="3" t="e">
        <f>'001'!H3973</f>
        <v>#VALUE!</v>
      </c>
    </row>
    <row r="3974" spans="1:4" x14ac:dyDescent="0.25">
      <c r="A3974" s="1" t="str">
        <f>'001'!B3974</f>
        <v>005850</v>
      </c>
      <c r="B3974" s="1" t="str">
        <f>'001'!C3974</f>
        <v>MEMBRANA LIQUIDA PARA TECHOS TECHESCO NEGRO X 20</v>
      </c>
      <c r="C3974" s="1" t="str">
        <f>'001'!D3974</f>
        <v>0138</v>
      </c>
      <c r="D3974" s="3" t="e">
        <f>'001'!H3974</f>
        <v>#VALUE!</v>
      </c>
    </row>
    <row r="3975" spans="1:4" x14ac:dyDescent="0.25">
      <c r="A3975" s="1" t="str">
        <f>'001'!B3975</f>
        <v>005851</v>
      </c>
      <c r="B3975" s="1" t="str">
        <f>'001'!C3975</f>
        <v>MEMBRANA LIQUIDA PARA TECHOS TECHESCO ROJO X  5</v>
      </c>
      <c r="C3975" s="1" t="str">
        <f>'001'!D3975</f>
        <v>0138</v>
      </c>
      <c r="D3975" s="3" t="e">
        <f>'001'!H3975</f>
        <v>#VALUE!</v>
      </c>
    </row>
    <row r="3976" spans="1:4" x14ac:dyDescent="0.25">
      <c r="A3976" s="1" t="str">
        <f>'001'!B3976</f>
        <v>005852</v>
      </c>
      <c r="B3976" s="1" t="str">
        <f>'001'!C3976</f>
        <v>MEMBRANA LIQUIDA PARA TECHOS TECHESCO ROJO X 10</v>
      </c>
      <c r="C3976" s="1" t="str">
        <f>'001'!D3976</f>
        <v>0138</v>
      </c>
      <c r="D3976" s="3" t="e">
        <f>'001'!H3976</f>
        <v>#VALUE!</v>
      </c>
    </row>
    <row r="3977" spans="1:4" x14ac:dyDescent="0.25">
      <c r="A3977" s="1" t="str">
        <f>'001'!B3977</f>
        <v>005853</v>
      </c>
      <c r="B3977" s="1" t="str">
        <f>'001'!C3977</f>
        <v>MEMBRANA LIQUIDA PARA TECHOS TECHESCO ROJO X 20</v>
      </c>
      <c r="C3977" s="1" t="str">
        <f>'001'!D3977</f>
        <v>0138</v>
      </c>
      <c r="D3977" s="3" t="e">
        <f>'001'!H3977</f>
        <v>#VALUE!</v>
      </c>
    </row>
    <row r="3978" spans="1:4" x14ac:dyDescent="0.25">
      <c r="A3978" s="1" t="str">
        <f>'001'!B3978</f>
        <v>005857</v>
      </c>
      <c r="B3978" s="1" t="str">
        <f>'001'!C3978</f>
        <v>FONDO EPOXI MASTIC VANGUARD GRIS 72% X  4</v>
      </c>
      <c r="C3978" s="1" t="str">
        <f>'001'!D3978</f>
        <v>0195</v>
      </c>
      <c r="D3978" s="3" t="e">
        <f>'001'!H3978</f>
        <v>#VALUE!</v>
      </c>
    </row>
    <row r="3979" spans="1:4" x14ac:dyDescent="0.25">
      <c r="A3979" s="1" t="str">
        <f>'001'!B3979</f>
        <v>005859</v>
      </c>
      <c r="B3979" s="1" t="str">
        <f>'001'!C3979</f>
        <v>CATALIZADOR PARA FONDO EPOXI MASTIC VANGUARD X  4</v>
      </c>
      <c r="C3979" s="1" t="str">
        <f>'001'!D3979</f>
        <v>0195</v>
      </c>
      <c r="D3979" s="3" t="e">
        <f>'001'!H3979</f>
        <v>#VALUE!</v>
      </c>
    </row>
    <row r="3980" spans="1:4" x14ac:dyDescent="0.25">
      <c r="A3980" s="1" t="str">
        <f>'001'!B3980</f>
        <v>005866</v>
      </c>
      <c r="B3980" s="1" t="str">
        <f>'001'!C3980</f>
        <v>REVOQUE TERMOAISLANTE WEBERTHERM CLIMAMUR GRIS X 7</v>
      </c>
      <c r="C3980" s="1" t="str">
        <f>'001'!D3980</f>
        <v>0163</v>
      </c>
      <c r="D3980" s="3" t="e">
        <f>'001'!H3980</f>
        <v>#VALUE!</v>
      </c>
    </row>
    <row r="3981" spans="1:4" x14ac:dyDescent="0.25">
      <c r="A3981" s="1" t="str">
        <f>'001'!B3981</f>
        <v>005868</v>
      </c>
      <c r="B3981" s="1" t="str">
        <f>'001'!C3981</f>
        <v>ACOPLE SINTETICO DUO MIX(98-0075)</v>
      </c>
      <c r="C3981" s="1" t="str">
        <f>'001'!D3981</f>
        <v>0163</v>
      </c>
      <c r="D3981" s="3" t="e">
        <f>'001'!H3981</f>
        <v>#VALUE!</v>
      </c>
    </row>
    <row r="3982" spans="1:4" x14ac:dyDescent="0.25">
      <c r="A3982" s="1" t="str">
        <f>'001'!B3982</f>
        <v>005876</v>
      </c>
      <c r="B3982" s="1" t="str">
        <f>'001'!C3982</f>
        <v>LATEX INTERIOR ALBALATEX ULTRALAVABLE ANTIMARCAS MATE BASE F X  0,900</v>
      </c>
      <c r="C3982" s="1" t="str">
        <f>'001'!D3982</f>
        <v>0108</v>
      </c>
      <c r="D3982" s="3" t="e">
        <f>'001'!H3982</f>
        <v>#VALUE!</v>
      </c>
    </row>
    <row r="3983" spans="1:4" x14ac:dyDescent="0.25">
      <c r="A3983" s="1" t="str">
        <f>'001'!B3983</f>
        <v>005877</v>
      </c>
      <c r="B3983" s="1" t="str">
        <f>'001'!C3983</f>
        <v>LATEX INTERIOR ALBALATEX ULTRALAVABLE ANTIMARCAS MATE BASE F X  3,600</v>
      </c>
      <c r="C3983" s="1" t="str">
        <f>'001'!D3983</f>
        <v>0108</v>
      </c>
      <c r="D3983" s="3" t="e">
        <f>'001'!H3983</f>
        <v>#VALUE!</v>
      </c>
    </row>
    <row r="3984" spans="1:4" x14ac:dyDescent="0.25">
      <c r="A3984" s="1" t="str">
        <f>'001'!B3984</f>
        <v>005878</v>
      </c>
      <c r="B3984" s="1" t="str">
        <f>'001'!C3984</f>
        <v>LATEX INTERIOR ALBALATEX ULTRALAVABLE ANTIMARCAS MATE BASE F X 17,400</v>
      </c>
      <c r="C3984" s="1" t="str">
        <f>'001'!D3984</f>
        <v>0108</v>
      </c>
      <c r="D3984" s="3" t="e">
        <f>'001'!H3984</f>
        <v>#VALUE!</v>
      </c>
    </row>
    <row r="3985" spans="1:4" x14ac:dyDescent="0.25">
      <c r="A3985" s="1" t="str">
        <f>'001'!B3985</f>
        <v>005879</v>
      </c>
      <c r="B3985" s="1" t="str">
        <f>'001'!C3985</f>
        <v>LATEX INTERIOR ALBALATEX ULTRALAVABLE ANTIMARCAS MATE BASE P X  0,900</v>
      </c>
      <c r="C3985" s="1" t="str">
        <f>'001'!D3985</f>
        <v>0108</v>
      </c>
      <c r="D3985" s="3" t="e">
        <f>'001'!H3985</f>
        <v>#VALUE!</v>
      </c>
    </row>
    <row r="3986" spans="1:4" x14ac:dyDescent="0.25">
      <c r="A3986" s="1" t="str">
        <f>'001'!B3986</f>
        <v>005880</v>
      </c>
      <c r="B3986" s="1" t="str">
        <f>'001'!C3986</f>
        <v>LATEX INTERIOR ALBALATEX ULTRALAVABLE ANTIMARCAS MATE BASE P X  3,600</v>
      </c>
      <c r="C3986" s="1" t="str">
        <f>'001'!D3986</f>
        <v>0108</v>
      </c>
      <c r="D3986" s="3" t="e">
        <f>'001'!H3986</f>
        <v>#VALUE!</v>
      </c>
    </row>
    <row r="3987" spans="1:4" x14ac:dyDescent="0.25">
      <c r="A3987" s="1" t="str">
        <f>'001'!B3987</f>
        <v>005881</v>
      </c>
      <c r="B3987" s="1" t="str">
        <f>'001'!C3987</f>
        <v>LATEX INTERIOR ALBALATEX ULTRALAVABLE ANTIMARCAS MATE BASE P X  8,700</v>
      </c>
      <c r="C3987" s="1" t="str">
        <f>'001'!D3987</f>
        <v>0108</v>
      </c>
      <c r="D3987" s="3" t="e">
        <f>'001'!H3987</f>
        <v>#VALUE!</v>
      </c>
    </row>
    <row r="3988" spans="1:4" x14ac:dyDescent="0.25">
      <c r="A3988" s="1" t="str">
        <f>'001'!B3988</f>
        <v>005882</v>
      </c>
      <c r="B3988" s="1" t="str">
        <f>'001'!C3988</f>
        <v>LATEX INTERIOR ALBALATEX ULTRALAVABLE ANTIMARCAS MATE BASE P X 17,400</v>
      </c>
      <c r="C3988" s="1" t="str">
        <f>'001'!D3988</f>
        <v>0108</v>
      </c>
      <c r="D3988" s="3" t="e">
        <f>'001'!H3988</f>
        <v>#VALUE!</v>
      </c>
    </row>
    <row r="3989" spans="1:4" x14ac:dyDescent="0.25">
      <c r="A3989" s="1" t="str">
        <f>'001'!B3989</f>
        <v>005883</v>
      </c>
      <c r="B3989" s="1" t="str">
        <f>'001'!C3989</f>
        <v>LATEX INTERIOR ALBALATEX ULTRALAVABLE ANTIMARCAS MATE BASE T X  0,900</v>
      </c>
      <c r="C3989" s="1" t="str">
        <f>'001'!D3989</f>
        <v>0108</v>
      </c>
      <c r="D3989" s="3" t="e">
        <f>'001'!H3989</f>
        <v>#VALUE!</v>
      </c>
    </row>
    <row r="3990" spans="1:4" x14ac:dyDescent="0.25">
      <c r="A3990" s="1" t="str">
        <f>'001'!B3990</f>
        <v>005884</v>
      </c>
      <c r="B3990" s="1" t="str">
        <f>'001'!C3990</f>
        <v>LATEX INTERIOR ALBALATEX ULTRALAVABLE ANTIMARCAS MATE BASE T X  3,600</v>
      </c>
      <c r="C3990" s="1" t="str">
        <f>'001'!D3990</f>
        <v>0108</v>
      </c>
      <c r="D3990" s="3" t="e">
        <f>'001'!H3990</f>
        <v>#VALUE!</v>
      </c>
    </row>
    <row r="3991" spans="1:4" x14ac:dyDescent="0.25">
      <c r="A3991" s="1" t="str">
        <f>'001'!B3991</f>
        <v>005885</v>
      </c>
      <c r="B3991" s="1" t="str">
        <f>'001'!C3991</f>
        <v>LATEX INTERIOR ALBALATEX ULTRALAVABLE ANTIMARCAS MATE BLANCO X  1</v>
      </c>
      <c r="C3991" s="1" t="str">
        <f>'001'!D3991</f>
        <v>0107</v>
      </c>
      <c r="D3991" s="3" t="e">
        <f>'001'!H3991</f>
        <v>#VALUE!</v>
      </c>
    </row>
    <row r="3992" spans="1:4" x14ac:dyDescent="0.25">
      <c r="A3992" s="1" t="str">
        <f>'001'!B3992</f>
        <v>005886</v>
      </c>
      <c r="B3992" s="1" t="str">
        <f>'001'!C3992</f>
        <v>LATEX INTERIOR ALBALATEX ULTRALAVABLE ANTIMARCAS MATE BLANCO X  4</v>
      </c>
      <c r="C3992" s="1" t="str">
        <f>'001'!D3992</f>
        <v>0107</v>
      </c>
      <c r="D3992" s="3" t="e">
        <f>'001'!H3992</f>
        <v>#VALUE!</v>
      </c>
    </row>
    <row r="3993" spans="1:4" x14ac:dyDescent="0.25">
      <c r="A3993" s="1" t="str">
        <f>'001'!B3993</f>
        <v>005887</v>
      </c>
      <c r="B3993" s="1" t="str">
        <f>'001'!C3993</f>
        <v>LATEX INTERIOR ALBALATEX ULTRALAVABLE ANTIMARCAS MATE BLANCO X 10</v>
      </c>
      <c r="C3993" s="1" t="str">
        <f>'001'!D3993</f>
        <v>0107</v>
      </c>
      <c r="D3993" s="3" t="e">
        <f>'001'!H3993</f>
        <v>#VALUE!</v>
      </c>
    </row>
    <row r="3994" spans="1:4" x14ac:dyDescent="0.25">
      <c r="A3994" s="1" t="str">
        <f>'001'!B3994</f>
        <v>005888</v>
      </c>
      <c r="B3994" s="1" t="str">
        <f>'001'!C3994</f>
        <v>LATEX INTERIOR ALBALATEX ULTRALAVABLE ANTIMARCAS MATE BLANCO X 20</v>
      </c>
      <c r="C3994" s="1" t="str">
        <f>'001'!D3994</f>
        <v>0107</v>
      </c>
      <c r="D3994" s="3" t="e">
        <f>'001'!H3994</f>
        <v>#VALUE!</v>
      </c>
    </row>
    <row r="3995" spans="1:4" x14ac:dyDescent="0.25">
      <c r="A3995" s="1" t="str">
        <f>'001'!B3995</f>
        <v>005889</v>
      </c>
      <c r="B3995" s="1" t="str">
        <f>'001'!C3995</f>
        <v>IMPERMEABILIZANTE PARA FRENTES Y MUROS ALBAFRENT MATE BASE P X  3,600</v>
      </c>
      <c r="C3995" s="1" t="str">
        <f>'001'!D3995</f>
        <v>0108</v>
      </c>
      <c r="D3995" s="3" t="e">
        <f>'001'!H3995</f>
        <v>#VALUE!</v>
      </c>
    </row>
    <row r="3996" spans="1:4" x14ac:dyDescent="0.25">
      <c r="A3996" s="1" t="str">
        <f>'001'!B3996</f>
        <v>005890</v>
      </c>
      <c r="B3996" s="1" t="str">
        <f>'001'!C3996</f>
        <v>IMPERMEABILIZANTE PARA FRENTES Y MUROS ALBAFRENT MATE BASE P X 17,400</v>
      </c>
      <c r="C3996" s="1" t="str">
        <f>'001'!D3996</f>
        <v>0108</v>
      </c>
      <c r="D3996" s="3" t="e">
        <f>'001'!H3996</f>
        <v>#VALUE!</v>
      </c>
    </row>
    <row r="3997" spans="1:4" x14ac:dyDescent="0.25">
      <c r="A3997" s="1" t="str">
        <f>'001'!B3997</f>
        <v>005899</v>
      </c>
      <c r="B3997" s="1" t="str">
        <f>'001'!C3997</f>
        <v>FONDO ANTIOXIDO TERSUAVE MATE ROJO X 20</v>
      </c>
      <c r="C3997" s="1" t="str">
        <f>'001'!D3997</f>
        <v>0152</v>
      </c>
      <c r="D3997" s="3" t="e">
        <f>'001'!H3997</f>
        <v>#VALUE!</v>
      </c>
    </row>
    <row r="3998" spans="1:4" x14ac:dyDescent="0.25">
      <c r="A3998" s="1" t="str">
        <f>'001'!B3998</f>
        <v>005900</v>
      </c>
      <c r="B3998" s="1" t="str">
        <f>'001'!C3998</f>
        <v>SELLADOR PARA CABAÑAS NODULO MARRON X 0,420</v>
      </c>
      <c r="C3998" s="1" t="str">
        <f>'001'!D3998</f>
        <v>0136</v>
      </c>
      <c r="D3998" s="3" t="e">
        <f>'001'!H3998</f>
        <v>#VALUE!</v>
      </c>
    </row>
    <row r="3999" spans="1:4" x14ac:dyDescent="0.25">
      <c r="A3999" s="1" t="str">
        <f>'001'!B3999</f>
        <v>005902</v>
      </c>
      <c r="B3999" s="1" t="str">
        <f>'001'!C3999</f>
        <v>ESMALTE SINTETICO TERSUAVE TRIPLE ACCION DECOLUX BRILLANTE GRIS X  1</v>
      </c>
      <c r="C3999" s="1" t="str">
        <f>'001'!D3999</f>
        <v>0152</v>
      </c>
      <c r="D3999" s="3" t="e">
        <f>'001'!H3999</f>
        <v>#VALUE!</v>
      </c>
    </row>
    <row r="4000" spans="1:4" x14ac:dyDescent="0.25">
      <c r="A4000" s="1" t="str">
        <f>'001'!B4000</f>
        <v>005903</v>
      </c>
      <c r="B4000" s="1" t="str">
        <f>'001'!C4000</f>
        <v>ESMALTE SINTETICO TERSUAVE TRIPLE ACCION DECOLUX BRILLANTE GRIS X  4</v>
      </c>
      <c r="C4000" s="1" t="str">
        <f>'001'!D4000</f>
        <v>0152</v>
      </c>
      <c r="D4000" s="3" t="e">
        <f>'001'!H4000</f>
        <v>#VALUE!</v>
      </c>
    </row>
    <row r="4001" spans="1:4" x14ac:dyDescent="0.25">
      <c r="A4001" s="1" t="str">
        <f>'001'!B4001</f>
        <v>005904</v>
      </c>
      <c r="B4001" s="1" t="str">
        <f>'001'!C4001</f>
        <v>ESMALTE SINTETICO TERSUAVE TRIPLE ACCION DECOLUX BRILLANTE GRIS X 20</v>
      </c>
      <c r="C4001" s="1" t="str">
        <f>'001'!D4001</f>
        <v>0152</v>
      </c>
      <c r="D4001" s="3" t="e">
        <f>'001'!H4001</f>
        <v>#VALUE!</v>
      </c>
    </row>
    <row r="4002" spans="1:4" x14ac:dyDescent="0.25">
      <c r="A4002" s="1" t="str">
        <f>'001'!B4002</f>
        <v>006188</v>
      </c>
      <c r="B4002" s="1" t="str">
        <f>'001'!C4002</f>
        <v>SIGMACOVER 350 (BAS16+HRD4) X 20</v>
      </c>
      <c r="C4002" s="1" t="str">
        <f>'001'!D4002</f>
        <v>0162</v>
      </c>
      <c r="D4002" s="3" t="e">
        <f>'001'!H4002</f>
        <v>#VALUE!</v>
      </c>
    </row>
    <row r="4003" spans="1:4" x14ac:dyDescent="0.25">
      <c r="A4003" s="1" t="str">
        <f>'001'!B4003</f>
        <v>007002</v>
      </c>
      <c r="B4003" s="1" t="str">
        <f>'001'!C4003</f>
        <v>MOLDURA DE TERGOPOL ATTENEAS CORNIZA AT 30 X 2 MTS.</v>
      </c>
      <c r="C4003" s="1" t="str">
        <f>'001'!D4003</f>
        <v>0114</v>
      </c>
      <c r="D4003" s="3" t="e">
        <f>'001'!H4003</f>
        <v>#VALUE!</v>
      </c>
    </row>
    <row r="4004" spans="1:4" x14ac:dyDescent="0.25">
      <c r="A4004" s="1" t="str">
        <f>'001'!B4004</f>
        <v>007003</v>
      </c>
      <c r="B4004" s="1" t="str">
        <f>'001'!C4004</f>
        <v>MOLDURA DE TERGOPOL ATTENEAS CORNIZA AT 35 X 2 MTS.</v>
      </c>
      <c r="C4004" s="1" t="str">
        <f>'001'!D4004</f>
        <v>0114</v>
      </c>
      <c r="D4004" s="3" t="e">
        <f>'001'!H4004</f>
        <v>#VALUE!</v>
      </c>
    </row>
    <row r="4005" spans="1:4" x14ac:dyDescent="0.25">
      <c r="A4005" s="1" t="str">
        <f>'001'!B4005</f>
        <v>007004</v>
      </c>
      <c r="B4005" s="1" t="str">
        <f>'001'!C4005</f>
        <v>MOLDURA DE TERGOPOL ATTENEAS CORNIZA AT 36 X 2 MTS.</v>
      </c>
      <c r="C4005" s="1" t="str">
        <f>'001'!D4005</f>
        <v>0114</v>
      </c>
      <c r="D4005" s="3" t="e">
        <f>'001'!H4005</f>
        <v>#VALUE!</v>
      </c>
    </row>
    <row r="4006" spans="1:4" x14ac:dyDescent="0.25">
      <c r="A4006" s="1" t="str">
        <f>'001'!B4006</f>
        <v>007005</v>
      </c>
      <c r="B4006" s="1" t="str">
        <f>'001'!C4006</f>
        <v>MOLDURA DE TERGOPOL ATTENEAS CORNIZA AT 40 X 2 MTS.</v>
      </c>
      <c r="C4006" s="1" t="str">
        <f>'001'!D4006</f>
        <v>0114</v>
      </c>
      <c r="D4006" s="3" t="e">
        <f>'001'!H4006</f>
        <v>#VALUE!</v>
      </c>
    </row>
    <row r="4007" spans="1:4" x14ac:dyDescent="0.25">
      <c r="A4007" s="1" t="str">
        <f>'001'!B4007</f>
        <v>007006</v>
      </c>
      <c r="B4007" s="1" t="str">
        <f>'001'!C4007</f>
        <v>MOLDURA DE TERGOPOL ATTENEAS CORNIZA AT 46 X 2 MTS.</v>
      </c>
      <c r="C4007" s="1" t="str">
        <f>'001'!D4007</f>
        <v>0114</v>
      </c>
      <c r="D4007" s="3" t="e">
        <f>'001'!H4007</f>
        <v>#VALUE!</v>
      </c>
    </row>
    <row r="4008" spans="1:4" x14ac:dyDescent="0.25">
      <c r="A4008" s="1" t="str">
        <f>'001'!B4008</f>
        <v>007007</v>
      </c>
      <c r="B4008" s="1" t="str">
        <f>'001'!C4008</f>
        <v>MOLDURA DE TERGOPOL ATTENEAS CORNIZA AT 49 X 2 MTS.</v>
      </c>
      <c r="C4008" s="1" t="str">
        <f>'001'!D4008</f>
        <v>0114</v>
      </c>
      <c r="D4008" s="3" t="e">
        <f>'001'!H4008</f>
        <v>#VALUE!</v>
      </c>
    </row>
    <row r="4009" spans="1:4" x14ac:dyDescent="0.25">
      <c r="A4009" s="1" t="str">
        <f>'001'!B4009</f>
        <v>007008</v>
      </c>
      <c r="B4009" s="1" t="str">
        <f>'001'!C4009</f>
        <v>MOLDURA DE TERGOPOL ATTENEAS CORNIZA AT 52 X 2 MTS.</v>
      </c>
      <c r="C4009" s="1" t="str">
        <f>'001'!D4009</f>
        <v>0114</v>
      </c>
      <c r="D4009" s="3" t="e">
        <f>'001'!H4009</f>
        <v>#VALUE!</v>
      </c>
    </row>
    <row r="4010" spans="1:4" x14ac:dyDescent="0.25">
      <c r="A4010" s="1" t="str">
        <f>'001'!B4010</f>
        <v>007009</v>
      </c>
      <c r="B4010" s="1" t="str">
        <f>'001'!C4010</f>
        <v>MOLDURA DE TERGOPOL ATTENEAS CORNIZA AT 58 X 2 MTS.</v>
      </c>
      <c r="C4010" s="1" t="str">
        <f>'001'!D4010</f>
        <v>0114</v>
      </c>
      <c r="D4010" s="3" t="e">
        <f>'001'!H4010</f>
        <v>#VALUE!</v>
      </c>
    </row>
    <row r="4011" spans="1:4" x14ac:dyDescent="0.25">
      <c r="A4011" s="1" t="str">
        <f>'001'!B4011</f>
        <v>007010</v>
      </c>
      <c r="B4011" s="1" t="str">
        <f>'001'!C4011</f>
        <v>MOLDURA DE TERGOPOL ATTENEAS CORNIZA AT 70 X 2 MTS.</v>
      </c>
      <c r="C4011" s="1" t="str">
        <f>'001'!D4011</f>
        <v>0114</v>
      </c>
      <c r="D4011" s="3" t="e">
        <f>'001'!H4011</f>
        <v>#VALUE!</v>
      </c>
    </row>
    <row r="4012" spans="1:4" x14ac:dyDescent="0.25">
      <c r="A4012" s="1" t="str">
        <f>'001'!B4012</f>
        <v>007011</v>
      </c>
      <c r="B4012" s="1" t="str">
        <f>'001'!C4012</f>
        <v>MOLDURA DE TERGOPOL ATTENEAS CORNIZA AT 76 X 2 MTS.</v>
      </c>
      <c r="C4012" s="1" t="str">
        <f>'001'!D4012</f>
        <v>0114</v>
      </c>
      <c r="D4012" s="3" t="e">
        <f>'001'!H4012</f>
        <v>#VALUE!</v>
      </c>
    </row>
    <row r="4013" spans="1:4" x14ac:dyDescent="0.25">
      <c r="A4013" s="1" t="str">
        <f>'001'!B4013</f>
        <v>007012</v>
      </c>
      <c r="B4013" s="1" t="str">
        <f>'001'!C4013</f>
        <v>MOLDURA DE TERGOPOL ATTENEAS CORNIZA AT 85 X 2 MTS.</v>
      </c>
      <c r="C4013" s="1" t="str">
        <f>'001'!D4013</f>
        <v>0114</v>
      </c>
      <c r="D4013" s="3" t="e">
        <f>'001'!H4013</f>
        <v>#VALUE!</v>
      </c>
    </row>
    <row r="4014" spans="1:4" x14ac:dyDescent="0.25">
      <c r="A4014" s="1" t="str">
        <f>'001'!B4014</f>
        <v>007013</v>
      </c>
      <c r="B4014" s="1" t="str">
        <f>'001'!C4014</f>
        <v>MOLDURA DE TERGOPOL ATTENEAS CORNIZA AT 90 X 2 MTS.</v>
      </c>
      <c r="C4014" s="1" t="str">
        <f>'001'!D4014</f>
        <v>0114</v>
      </c>
      <c r="D4014" s="3" t="e">
        <f>'001'!H4014</f>
        <v>#VALUE!</v>
      </c>
    </row>
    <row r="4015" spans="1:4" x14ac:dyDescent="0.25">
      <c r="A4015" s="1" t="str">
        <f>'001'!B4015</f>
        <v>007014</v>
      </c>
      <c r="B4015" s="1" t="str">
        <f>'001'!C4015</f>
        <v>MOLDURA DE TERGOPOL ATTENEAS CORNIZA AT105 X 2 MTS.</v>
      </c>
      <c r="C4015" s="1" t="str">
        <f>'001'!D4015</f>
        <v>0114</v>
      </c>
      <c r="D4015" s="3" t="e">
        <f>'001'!H4015</f>
        <v>#VALUE!</v>
      </c>
    </row>
    <row r="4016" spans="1:4" x14ac:dyDescent="0.25">
      <c r="A4016" s="1" t="str">
        <f>'001'!B4016</f>
        <v>007015</v>
      </c>
      <c r="B4016" s="1" t="str">
        <f>'001'!C4016</f>
        <v>MOLDURA DE TERGOPOL ATTENEAS GUARDA AT 04 X 2 MTS.</v>
      </c>
      <c r="C4016" s="1" t="str">
        <f>'001'!D4016</f>
        <v>0114</v>
      </c>
      <c r="D4016" s="3" t="e">
        <f>'001'!H4016</f>
        <v>#VALUE!</v>
      </c>
    </row>
    <row r="4017" spans="1:4" x14ac:dyDescent="0.25">
      <c r="A4017" s="1" t="str">
        <f>'001'!B4017</f>
        <v>007016</v>
      </c>
      <c r="B4017" s="1" t="str">
        <f>'001'!C4017</f>
        <v>MOLDURA DE TERGOPOL ATTENEAS GUARDA AT 05 X 2 MTS.</v>
      </c>
      <c r="C4017" s="1" t="str">
        <f>'001'!D4017</f>
        <v>0114</v>
      </c>
      <c r="D4017" s="3" t="e">
        <f>'001'!H4017</f>
        <v>#VALUE!</v>
      </c>
    </row>
    <row r="4018" spans="1:4" x14ac:dyDescent="0.25">
      <c r="A4018" s="1" t="str">
        <f>'001'!B4018</f>
        <v>007017</v>
      </c>
      <c r="B4018" s="1" t="str">
        <f>'001'!C4018</f>
        <v>MOLDURA DE TERGOPOL ATTENEAS GUARDA AT 06 X 2 MTS.</v>
      </c>
      <c r="C4018" s="1" t="str">
        <f>'001'!D4018</f>
        <v>0114</v>
      </c>
      <c r="D4018" s="3" t="e">
        <f>'001'!H4018</f>
        <v>#VALUE!</v>
      </c>
    </row>
    <row r="4019" spans="1:4" x14ac:dyDescent="0.25">
      <c r="A4019" s="1" t="str">
        <f>'001'!B4019</f>
        <v>007018</v>
      </c>
      <c r="B4019" s="1" t="str">
        <f>'001'!C4019</f>
        <v>MOLDURA DE TERGOPOL ATTENEAS GUARDA AT 07 X 2 MTS.</v>
      </c>
      <c r="C4019" s="1" t="str">
        <f>'001'!D4019</f>
        <v>0114</v>
      </c>
      <c r="D4019" s="3" t="e">
        <f>'001'!H4019</f>
        <v>#VALUE!</v>
      </c>
    </row>
    <row r="4020" spans="1:4" x14ac:dyDescent="0.25">
      <c r="A4020" s="1" t="str">
        <f>'001'!B4020</f>
        <v>007034</v>
      </c>
      <c r="B4020" s="1" t="str">
        <f>'001'!C4020</f>
        <v>IMPREGNANTE PARA MADERA CETOL CLASSIC SATINADO CAOBA X 20</v>
      </c>
      <c r="C4020" s="1" t="str">
        <f>'001'!D4020</f>
        <v>0105</v>
      </c>
      <c r="D4020" s="3" t="e">
        <f>'001'!H4020</f>
        <v>#VALUE!</v>
      </c>
    </row>
    <row r="4021" spans="1:4" x14ac:dyDescent="0.25">
      <c r="A4021" s="1" t="str">
        <f>'001'!B4021</f>
        <v>007035</v>
      </c>
      <c r="B4021" s="1" t="str">
        <f>'001'!C4021</f>
        <v>IMPREGNANTE PARA MADERA CETOL CLASSIC SATINADO CEDRO X 20</v>
      </c>
      <c r="C4021" s="1" t="str">
        <f>'001'!D4021</f>
        <v>0105</v>
      </c>
      <c r="D4021" s="3" t="e">
        <f>'001'!H4021</f>
        <v>#VALUE!</v>
      </c>
    </row>
    <row r="4022" spans="1:4" x14ac:dyDescent="0.25">
      <c r="A4022" s="1" t="str">
        <f>'001'!B4022</f>
        <v>007036</v>
      </c>
      <c r="B4022" s="1" t="str">
        <f>'001'!C4022</f>
        <v>IMPREGNANTE PARA MADERA CETOL CLASSIC SATINADO CRISTAL X 20</v>
      </c>
      <c r="C4022" s="1" t="str">
        <f>'001'!D4022</f>
        <v>0105</v>
      </c>
      <c r="D4022" s="3" t="e">
        <f>'001'!H4022</f>
        <v>#VALUE!</v>
      </c>
    </row>
    <row r="4023" spans="1:4" x14ac:dyDescent="0.25">
      <c r="A4023" s="1" t="str">
        <f>'001'!B4023</f>
        <v>007037</v>
      </c>
      <c r="B4023" s="1" t="str">
        <f>'001'!C4023</f>
        <v>IMPREGNANTE PARA MADERA CETOL CLASSIC SATINADO NATURAL X 20</v>
      </c>
      <c r="C4023" s="1" t="str">
        <f>'001'!D4023</f>
        <v>0105</v>
      </c>
      <c r="D4023" s="3" t="e">
        <f>'001'!H4023</f>
        <v>#VALUE!</v>
      </c>
    </row>
    <row r="4024" spans="1:4" x14ac:dyDescent="0.25">
      <c r="A4024" s="1" t="str">
        <f>'001'!B4024</f>
        <v>007038</v>
      </c>
      <c r="B4024" s="1" t="str">
        <f>'001'!C4024</f>
        <v>IMPREGNANTE PARA MADERA CETOL CLASSIC SATINADO NOGAL X 20</v>
      </c>
      <c r="C4024" s="1" t="str">
        <f>'001'!D4024</f>
        <v>0105</v>
      </c>
      <c r="D4024" s="3" t="e">
        <f>'001'!H4024</f>
        <v>#VALUE!</v>
      </c>
    </row>
    <row r="4025" spans="1:4" x14ac:dyDescent="0.25">
      <c r="A4025" s="1" t="str">
        <f>'001'!B4025</f>
        <v>007039</v>
      </c>
      <c r="B4025" s="1" t="str">
        <f>'001'!C4025</f>
        <v>IMPREGNANTE PARA MADERA CETOL CLASSIC SATINADO ROBLE X 20</v>
      </c>
      <c r="C4025" s="1" t="str">
        <f>'001'!D4025</f>
        <v>0105</v>
      </c>
      <c r="D4025" s="3" t="e">
        <f>'001'!H4025</f>
        <v>#VALUE!</v>
      </c>
    </row>
    <row r="4026" spans="1:4" x14ac:dyDescent="0.25">
      <c r="A4026" s="1" t="str">
        <f>'001'!B4026</f>
        <v>007040</v>
      </c>
      <c r="B4026" s="1" t="str">
        <f>'001'!C4026</f>
        <v>ESMALTE SINTETICO PARA PISO BRIKOL ALTO TRANSITO AMARILLO X 1</v>
      </c>
      <c r="C4026" s="1" t="str">
        <f>'001'!D4026</f>
        <v>0106</v>
      </c>
      <c r="D4026" s="3" t="e">
        <f>'001'!H4026</f>
        <v>#VALUE!</v>
      </c>
    </row>
    <row r="4027" spans="1:4" x14ac:dyDescent="0.25">
      <c r="A4027" s="1" t="str">
        <f>'001'!B4027</f>
        <v>007041</v>
      </c>
      <c r="B4027" s="1" t="str">
        <f>'001'!C4027</f>
        <v>ESMALTE SINTETICO PARA PISO BRIKOL ALTO TRANSITO AMARILLO X 4</v>
      </c>
      <c r="C4027" s="1" t="str">
        <f>'001'!D4027</f>
        <v>0106</v>
      </c>
      <c r="D4027" s="3" t="e">
        <f>'001'!H4027</f>
        <v>#VALUE!</v>
      </c>
    </row>
    <row r="4028" spans="1:4" x14ac:dyDescent="0.25">
      <c r="A4028" s="1" t="str">
        <f>'001'!B4028</f>
        <v>007042</v>
      </c>
      <c r="B4028" s="1" t="str">
        <f>'001'!C4028</f>
        <v>ESMALTE SINTETICO PARA PISO BRIKOL ALTO TRANSITO BLANCO X 1</v>
      </c>
      <c r="C4028" s="1" t="str">
        <f>'001'!D4028</f>
        <v>0106</v>
      </c>
      <c r="D4028" s="3" t="e">
        <f>'001'!H4028</f>
        <v>#VALUE!</v>
      </c>
    </row>
    <row r="4029" spans="1:4" x14ac:dyDescent="0.25">
      <c r="A4029" s="1" t="str">
        <f>'001'!B4029</f>
        <v>007043</v>
      </c>
      <c r="B4029" s="1" t="str">
        <f>'001'!C4029</f>
        <v>ESMALTE SINTETICO PARA PISO BRIKOL ALTO TRANSITO BLANCO X 4</v>
      </c>
      <c r="C4029" s="1" t="str">
        <f>'001'!D4029</f>
        <v>0106</v>
      </c>
      <c r="D4029" s="3" t="e">
        <f>'001'!H4029</f>
        <v>#VALUE!</v>
      </c>
    </row>
    <row r="4030" spans="1:4" x14ac:dyDescent="0.25">
      <c r="A4030" s="1" t="str">
        <f>'001'!B4030</f>
        <v>007044</v>
      </c>
      <c r="B4030" s="1" t="str">
        <f>'001'!C4030</f>
        <v>ESMALTE SINTETICO PARA PISO BRIKOL ALTO TRANSITO GRIS X  1</v>
      </c>
      <c r="C4030" s="1" t="str">
        <f>'001'!D4030</f>
        <v>0106</v>
      </c>
      <c r="D4030" s="3" t="e">
        <f>'001'!H4030</f>
        <v>#VALUE!</v>
      </c>
    </row>
    <row r="4031" spans="1:4" x14ac:dyDescent="0.25">
      <c r="A4031" s="1" t="str">
        <f>'001'!B4031</f>
        <v>007045</v>
      </c>
      <c r="B4031" s="1" t="str">
        <f>'001'!C4031</f>
        <v>ESMALTE SINTETICO PARA PISO BRIKOL ALTO TRANSITO GRIS X  4</v>
      </c>
      <c r="C4031" s="1" t="str">
        <f>'001'!D4031</f>
        <v>0106</v>
      </c>
      <c r="D4031" s="3" t="e">
        <f>'001'!H4031</f>
        <v>#VALUE!</v>
      </c>
    </row>
    <row r="4032" spans="1:4" x14ac:dyDescent="0.25">
      <c r="A4032" s="1" t="str">
        <f>'001'!B4032</f>
        <v>007046</v>
      </c>
      <c r="B4032" s="1" t="str">
        <f>'001'!C4032</f>
        <v>ESMALTE SINTETICO PARA PISO BRIKOL ALTO TRANSITO NEGRO X  1</v>
      </c>
      <c r="C4032" s="1" t="str">
        <f>'001'!D4032</f>
        <v>0106</v>
      </c>
      <c r="D4032" s="3" t="e">
        <f>'001'!H4032</f>
        <v>#VALUE!</v>
      </c>
    </row>
    <row r="4033" spans="1:4" x14ac:dyDescent="0.25">
      <c r="A4033" s="1" t="str">
        <f>'001'!B4033</f>
        <v>007047</v>
      </c>
      <c r="B4033" s="1" t="str">
        <f>'001'!C4033</f>
        <v>ESMALTE SINTETICO PARA PISO BRIKOL ALTO TRANSITO NEGRO X  4</v>
      </c>
      <c r="C4033" s="1" t="str">
        <f>'001'!D4033</f>
        <v>0106</v>
      </c>
      <c r="D4033" s="3" t="e">
        <f>'001'!H4033</f>
        <v>#VALUE!</v>
      </c>
    </row>
    <row r="4034" spans="1:4" x14ac:dyDescent="0.25">
      <c r="A4034" s="1" t="str">
        <f>'001'!B4034</f>
        <v>007048</v>
      </c>
      <c r="B4034" s="1" t="str">
        <f>'001'!C4034</f>
        <v>ESMALTE SINTETICO PARA PISO BRIKOL ALTO TRANSITO ROJO X  1</v>
      </c>
      <c r="C4034" s="1" t="str">
        <f>'001'!D4034</f>
        <v>0106</v>
      </c>
      <c r="D4034" s="3" t="e">
        <f>'001'!H4034</f>
        <v>#VALUE!</v>
      </c>
    </row>
    <row r="4035" spans="1:4" x14ac:dyDescent="0.25">
      <c r="A4035" s="1" t="str">
        <f>'001'!B4035</f>
        <v>007049</v>
      </c>
      <c r="B4035" s="1" t="str">
        <f>'001'!C4035</f>
        <v>ESMALTE SINTETICO PARA PISO BRIKOL ALTO TRANSITO ROJO X  4</v>
      </c>
      <c r="C4035" s="1" t="str">
        <f>'001'!D4035</f>
        <v>0106</v>
      </c>
      <c r="D4035" s="3" t="e">
        <f>'001'!H4035</f>
        <v>#VALUE!</v>
      </c>
    </row>
    <row r="4036" spans="1:4" x14ac:dyDescent="0.25">
      <c r="A4036" s="1" t="str">
        <f>'001'!B4036</f>
        <v>007050</v>
      </c>
      <c r="B4036" s="1" t="str">
        <f>'001'!C4036</f>
        <v>ESMALTE SINTETICO PARA PISO BRIKOL ALTO TRANSITO VERDE X  1</v>
      </c>
      <c r="C4036" s="1" t="str">
        <f>'001'!D4036</f>
        <v>0106</v>
      </c>
      <c r="D4036" s="3" t="e">
        <f>'001'!H4036</f>
        <v>#VALUE!</v>
      </c>
    </row>
    <row r="4037" spans="1:4" x14ac:dyDescent="0.25">
      <c r="A4037" s="1" t="str">
        <f>'001'!B4037</f>
        <v>007051</v>
      </c>
      <c r="B4037" s="1" t="str">
        <f>'001'!C4037</f>
        <v>ESMALTE SINTETICO PARA PISO BRIKOL ALTO TRANSITO VERDE X  4</v>
      </c>
      <c r="C4037" s="1" t="str">
        <f>'001'!D4037</f>
        <v>0106</v>
      </c>
      <c r="D4037" s="3" t="e">
        <f>'001'!H4037</f>
        <v>#VALUE!</v>
      </c>
    </row>
    <row r="4038" spans="1:4" x14ac:dyDescent="0.25">
      <c r="A4038" s="1" t="str">
        <f>'001'!B4038</f>
        <v>007052</v>
      </c>
      <c r="B4038" s="1" t="str">
        <f>'001'!C4038</f>
        <v>IMPREGNANTE PARA MADERA CETOL BALANCE CLASSIC BRILLANTE CAOBA X  1</v>
      </c>
      <c r="C4038" s="1" t="str">
        <f>'001'!D4038</f>
        <v>0105</v>
      </c>
      <c r="D4038" s="3" t="e">
        <f>'001'!H4038</f>
        <v>#VALUE!</v>
      </c>
    </row>
    <row r="4039" spans="1:4" x14ac:dyDescent="0.25">
      <c r="A4039" s="1" t="str">
        <f>'001'!B4039</f>
        <v>007053</v>
      </c>
      <c r="B4039" s="1" t="str">
        <f>'001'!C4039</f>
        <v>IMPREGNANTE PARA MADERA CETOL BALANCE CLASSIC BRILLANTE CAOBA X  4</v>
      </c>
      <c r="C4039" s="1" t="str">
        <f>'001'!D4039</f>
        <v>0105</v>
      </c>
      <c r="D4039" s="3" t="e">
        <f>'001'!H4039</f>
        <v>#VALUE!</v>
      </c>
    </row>
    <row r="4040" spans="1:4" x14ac:dyDescent="0.25">
      <c r="A4040" s="1" t="str">
        <f>'001'!B4040</f>
        <v>007054</v>
      </c>
      <c r="B4040" s="1" t="str">
        <f>'001'!C4040</f>
        <v>IMPREGNANTE PARA MADERA CETOL BALANCE CLASSIC BRILLANTE CRISTAL X  1</v>
      </c>
      <c r="C4040" s="1" t="str">
        <f>'001'!D4040</f>
        <v>0105</v>
      </c>
      <c r="D4040" s="3" t="e">
        <f>'001'!H4040</f>
        <v>#VALUE!</v>
      </c>
    </row>
    <row r="4041" spans="1:4" x14ac:dyDescent="0.25">
      <c r="A4041" s="1" t="str">
        <f>'001'!B4041</f>
        <v>007055</v>
      </c>
      <c r="B4041" s="1" t="str">
        <f>'001'!C4041</f>
        <v>IMPREGNANTE PARA MADERA CETOL BALANCE CLASSIC BRILLANTE CRISTAL X  4</v>
      </c>
      <c r="C4041" s="1" t="str">
        <f>'001'!D4041</f>
        <v>0105</v>
      </c>
      <c r="D4041" s="3" t="e">
        <f>'001'!H4041</f>
        <v>#VALUE!</v>
      </c>
    </row>
    <row r="4042" spans="1:4" x14ac:dyDescent="0.25">
      <c r="A4042" s="1" t="str">
        <f>'001'!B4042</f>
        <v>007056</v>
      </c>
      <c r="B4042" s="1" t="str">
        <f>'001'!C4042</f>
        <v>IMPREGNANTE PARA MADERA CETOL BALANCE CLASSIC BRILLANTE NATURAL X  1</v>
      </c>
      <c r="C4042" s="1" t="str">
        <f>'001'!D4042</f>
        <v>0105</v>
      </c>
      <c r="D4042" s="3" t="e">
        <f>'001'!H4042</f>
        <v>#VALUE!</v>
      </c>
    </row>
    <row r="4043" spans="1:4" x14ac:dyDescent="0.25">
      <c r="A4043" s="1" t="str">
        <f>'001'!B4043</f>
        <v>007057</v>
      </c>
      <c r="B4043" s="1" t="str">
        <f>'001'!C4043</f>
        <v>IMPREGNANTE PARA MADERA CETOL BALANCE CLASSIC BRILLANTE NATURAL X  4</v>
      </c>
      <c r="C4043" s="1" t="str">
        <f>'001'!D4043</f>
        <v>0105</v>
      </c>
      <c r="D4043" s="3" t="e">
        <f>'001'!H4043</f>
        <v>#VALUE!</v>
      </c>
    </row>
    <row r="4044" spans="1:4" x14ac:dyDescent="0.25">
      <c r="A4044" s="1" t="str">
        <f>'001'!B4044</f>
        <v>007058</v>
      </c>
      <c r="B4044" s="1" t="str">
        <f>'001'!C4044</f>
        <v>IMPREGNANTE PARA MADERA CETOL BALANCE CLASSIC BRILLANTE ROBLE X  1</v>
      </c>
      <c r="C4044" s="1" t="str">
        <f>'001'!D4044</f>
        <v>0105</v>
      </c>
      <c r="D4044" s="3" t="e">
        <f>'001'!H4044</f>
        <v>#VALUE!</v>
      </c>
    </row>
    <row r="4045" spans="1:4" x14ac:dyDescent="0.25">
      <c r="A4045" s="1" t="str">
        <f>'001'!B4045</f>
        <v>007059</v>
      </c>
      <c r="B4045" s="1" t="str">
        <f>'001'!C4045</f>
        <v>IMPREGNANTE PARA MADERA CETOL BALANCE CLASSIC BRILLANTE ROBLE X  4</v>
      </c>
      <c r="C4045" s="1" t="str">
        <f>'001'!D4045</f>
        <v>0105</v>
      </c>
      <c r="D4045" s="3" t="e">
        <f>'001'!H4045</f>
        <v>#VALUE!</v>
      </c>
    </row>
    <row r="4046" spans="1:4" x14ac:dyDescent="0.25">
      <c r="A4046" s="1" t="str">
        <f>'001'!B4046</f>
        <v>007060</v>
      </c>
      <c r="B4046" s="1" t="str">
        <f>'001'!C4046</f>
        <v>IMPREGNANTE PARA MADERA CETOL BALANCE CLASSIC SATINADO CAOBA X  1</v>
      </c>
      <c r="C4046" s="1" t="str">
        <f>'001'!D4046</f>
        <v>0105</v>
      </c>
      <c r="D4046" s="3" t="e">
        <f>'001'!H4046</f>
        <v>#VALUE!</v>
      </c>
    </row>
    <row r="4047" spans="1:4" x14ac:dyDescent="0.25">
      <c r="A4047" s="1" t="str">
        <f>'001'!B4047</f>
        <v>007061</v>
      </c>
      <c r="B4047" s="1" t="str">
        <f>'001'!C4047</f>
        <v>IMPREGNANTE PARA MADERA CETOL BALANCE CLASSIC SATINADO CAOBA X  4</v>
      </c>
      <c r="C4047" s="1" t="str">
        <f>'001'!D4047</f>
        <v>0105</v>
      </c>
      <c r="D4047" s="3" t="e">
        <f>'001'!H4047</f>
        <v>#VALUE!</v>
      </c>
    </row>
    <row r="4048" spans="1:4" x14ac:dyDescent="0.25">
      <c r="A4048" s="1" t="str">
        <f>'001'!B4048</f>
        <v>007062</v>
      </c>
      <c r="B4048" s="1" t="str">
        <f>'001'!C4048</f>
        <v>IMPREGNANTE PARA MADERA CETOL BALANCE CLASSIC SATINADO CRISTAL X  1</v>
      </c>
      <c r="C4048" s="1" t="str">
        <f>'001'!D4048</f>
        <v>0105</v>
      </c>
      <c r="D4048" s="3" t="e">
        <f>'001'!H4048</f>
        <v>#VALUE!</v>
      </c>
    </row>
    <row r="4049" spans="1:4" x14ac:dyDescent="0.25">
      <c r="A4049" s="1" t="str">
        <f>'001'!B4049</f>
        <v>007063</v>
      </c>
      <c r="B4049" s="1" t="str">
        <f>'001'!C4049</f>
        <v>IMPREGNANTE PARA MADERA CETOL BALANCE CLASSIC SATINADO CRISTAL X  4</v>
      </c>
      <c r="C4049" s="1" t="str">
        <f>'001'!D4049</f>
        <v>0105</v>
      </c>
      <c r="D4049" s="3" t="e">
        <f>'001'!H4049</f>
        <v>#VALUE!</v>
      </c>
    </row>
    <row r="4050" spans="1:4" x14ac:dyDescent="0.25">
      <c r="A4050" s="1" t="str">
        <f>'001'!B4050</f>
        <v>007064</v>
      </c>
      <c r="B4050" s="1" t="str">
        <f>'001'!C4050</f>
        <v>IMPREGNANTE PARA MADERA CETOL BALANCE CLASSIC SATINADO NATURAL X  1</v>
      </c>
      <c r="C4050" s="1" t="str">
        <f>'001'!D4050</f>
        <v>0105</v>
      </c>
      <c r="D4050" s="3" t="e">
        <f>'001'!H4050</f>
        <v>#VALUE!</v>
      </c>
    </row>
    <row r="4051" spans="1:4" x14ac:dyDescent="0.25">
      <c r="A4051" s="1" t="str">
        <f>'001'!B4051</f>
        <v>007065</v>
      </c>
      <c r="B4051" s="1" t="str">
        <f>'001'!C4051</f>
        <v>IMPREGNANTE PARA MADERA CETOL BALANCE CLASSIC SATINADO NATURAL X  4</v>
      </c>
      <c r="C4051" s="1" t="str">
        <f>'001'!D4051</f>
        <v>0105</v>
      </c>
      <c r="D4051" s="3" t="e">
        <f>'001'!H4051</f>
        <v>#VALUE!</v>
      </c>
    </row>
    <row r="4052" spans="1:4" x14ac:dyDescent="0.25">
      <c r="A4052" s="1" t="str">
        <f>'001'!B4052</f>
        <v>007066</v>
      </c>
      <c r="B4052" s="1" t="str">
        <f>'001'!C4052</f>
        <v>IMPREGNANTE PARA MADERA CETOL BALANCE CLASSIC SATINADO ROBLE X  1</v>
      </c>
      <c r="C4052" s="1" t="str">
        <f>'001'!D4052</f>
        <v>0105</v>
      </c>
      <c r="D4052" s="3" t="e">
        <f>'001'!H4052</f>
        <v>#VALUE!</v>
      </c>
    </row>
    <row r="4053" spans="1:4" x14ac:dyDescent="0.25">
      <c r="A4053" s="1" t="str">
        <f>'001'!B4053</f>
        <v>007067</v>
      </c>
      <c r="B4053" s="1" t="str">
        <f>'001'!C4053</f>
        <v>IMPREGNANTE PARA MADERA CETOL BALANCE CLASSIC SATINADO ROBLE X  4</v>
      </c>
      <c r="C4053" s="1" t="str">
        <f>'001'!D4053</f>
        <v>0105</v>
      </c>
      <c r="D4053" s="3" t="e">
        <f>'001'!H4053</f>
        <v>#VALUE!</v>
      </c>
    </row>
    <row r="4054" spans="1:4" x14ac:dyDescent="0.25">
      <c r="A4054" s="1" t="str">
        <f>'001'!B4054</f>
        <v>007068</v>
      </c>
      <c r="B4054" s="1" t="str">
        <f>'001'!C4054</f>
        <v>ESMALTE SINTETICO PARA PISO BRIKOL ALTO TRANSITO GRIS X 10</v>
      </c>
      <c r="C4054" s="1" t="str">
        <f>'001'!D4054</f>
        <v>0106</v>
      </c>
      <c r="D4054" s="3" t="e">
        <f>'001'!H4054</f>
        <v>#VALUE!</v>
      </c>
    </row>
    <row r="4055" spans="1:4" x14ac:dyDescent="0.25">
      <c r="A4055" s="1" t="str">
        <f>'001'!B4055</f>
        <v>007069</v>
      </c>
      <c r="B4055" s="1" t="str">
        <f>'001'!C4055</f>
        <v>ESMALTE SINTETICO PARA PISO BRIKOL ALTO TRANSITO NEGRO X 10</v>
      </c>
      <c r="C4055" s="1" t="str">
        <f>'001'!D4055</f>
        <v>0106</v>
      </c>
      <c r="D4055" s="3" t="e">
        <f>'001'!H4055</f>
        <v>#VALUE!</v>
      </c>
    </row>
    <row r="4056" spans="1:4" x14ac:dyDescent="0.25">
      <c r="A4056" s="1" t="str">
        <f>'001'!B4056</f>
        <v>007070</v>
      </c>
      <c r="B4056" s="1" t="str">
        <f>'001'!C4056</f>
        <v>ESMALTE SINTETICO PARA PISO BRIKOL ALTO TRANSITO ROJO X 10</v>
      </c>
      <c r="C4056" s="1" t="str">
        <f>'001'!D4056</f>
        <v>0106</v>
      </c>
      <c r="D4056" s="3" t="e">
        <f>'001'!H4056</f>
        <v>#VALUE!</v>
      </c>
    </row>
    <row r="4057" spans="1:4" x14ac:dyDescent="0.25">
      <c r="A4057" s="1" t="str">
        <f>'001'!B4057</f>
        <v>007072</v>
      </c>
      <c r="B4057" s="1" t="str">
        <f>'001'!C4057</f>
        <v>ESMALTE SINTETICO PARA PISO BRIKOL ALTO TRANSITO VERDE X 10</v>
      </c>
      <c r="C4057" s="1" t="str">
        <f>'001'!D4057</f>
        <v>0106</v>
      </c>
      <c r="D4057" s="3" t="e">
        <f>'001'!H4057</f>
        <v>#VALUE!</v>
      </c>
    </row>
    <row r="4058" spans="1:4" x14ac:dyDescent="0.25">
      <c r="A4058" s="1" t="str">
        <f>'001'!B4058</f>
        <v>007076</v>
      </c>
      <c r="B4058" s="1" t="str">
        <f>'001'!C4058</f>
        <v>IMPREGNANTE PARA PISO CETOL BALANCE DECK SATINADO NATURAL X 1</v>
      </c>
      <c r="C4058" s="1" t="str">
        <f>'001'!D4058</f>
        <v>0105</v>
      </c>
      <c r="D4058" s="3" t="e">
        <f>'001'!H4058</f>
        <v>#VALUE!</v>
      </c>
    </row>
    <row r="4059" spans="1:4" x14ac:dyDescent="0.25">
      <c r="A4059" s="1" t="str">
        <f>'001'!B4059</f>
        <v>007077</v>
      </c>
      <c r="B4059" s="1" t="str">
        <f>'001'!C4059</f>
        <v>IMPREGNANTE PARA PISO CETOL BALANCE DECK SATINADO NATURAL X 4</v>
      </c>
      <c r="C4059" s="1" t="str">
        <f>'001'!D4059</f>
        <v>0105</v>
      </c>
      <c r="D4059" s="3" t="e">
        <f>'001'!H4059</f>
        <v>#VALUE!</v>
      </c>
    </row>
    <row r="4060" spans="1:4" x14ac:dyDescent="0.25">
      <c r="A4060" s="1" t="str">
        <f>'001'!B4060</f>
        <v>007080</v>
      </c>
      <c r="B4060" s="1" t="str">
        <f>'001'!C4060</f>
        <v>IMPREGNANTE PARA MADERA CETOL BALANCE DURACION EXTREMA BRILLANTE CAOBA X 1</v>
      </c>
      <c r="C4060" s="1" t="str">
        <f>'001'!D4060</f>
        <v>0902</v>
      </c>
      <c r="D4060" s="3" t="e">
        <f>'001'!H4060</f>
        <v>#VALUE!</v>
      </c>
    </row>
    <row r="4061" spans="1:4" x14ac:dyDescent="0.25">
      <c r="A4061" s="1" t="str">
        <f>'001'!B4061</f>
        <v>007081</v>
      </c>
      <c r="B4061" s="1" t="str">
        <f>'001'!C4061</f>
        <v>IMPREGNANTE PARA MADERA CETOL BALANCE DURACION EXTREMA BRILLANTE CAOBA X 4</v>
      </c>
      <c r="C4061" s="1" t="str">
        <f>'001'!D4061</f>
        <v>0105</v>
      </c>
      <c r="D4061" s="3" t="e">
        <f>'001'!H4061</f>
        <v>#VALUE!</v>
      </c>
    </row>
    <row r="4062" spans="1:4" x14ac:dyDescent="0.25">
      <c r="A4062" s="1" t="str">
        <f>'001'!B4062</f>
        <v>007082</v>
      </c>
      <c r="B4062" s="1" t="str">
        <f>'001'!C4062</f>
        <v>IMPREGNANTE PARA MADERA CETOL BALANCE DURACION EXTREMA BRILLANTE CRISTAL X 1</v>
      </c>
      <c r="C4062" s="1" t="str">
        <f>'001'!D4062</f>
        <v>0105</v>
      </c>
      <c r="D4062" s="3" t="e">
        <f>'001'!H4062</f>
        <v>#VALUE!</v>
      </c>
    </row>
    <row r="4063" spans="1:4" x14ac:dyDescent="0.25">
      <c r="A4063" s="1" t="str">
        <f>'001'!B4063</f>
        <v>007083</v>
      </c>
      <c r="B4063" s="1" t="str">
        <f>'001'!C4063</f>
        <v>IMPREGNANTE PARA MADERA CETOL BALANCE DURACION EXTREMA BRILLANTE CRISTAL X 4</v>
      </c>
      <c r="C4063" s="1" t="str">
        <f>'001'!D4063</f>
        <v>0902</v>
      </c>
      <c r="D4063" s="3" t="e">
        <f>'001'!H4063</f>
        <v>#VALUE!</v>
      </c>
    </row>
    <row r="4064" spans="1:4" x14ac:dyDescent="0.25">
      <c r="A4064" s="1" t="str">
        <f>'001'!B4064</f>
        <v>007084</v>
      </c>
      <c r="B4064" s="1" t="str">
        <f>'001'!C4064</f>
        <v>IMPREGNANTE PARA MADERA CETOL BALANCE DURACION EXTREMA BRILLANTE NATURAL X 1</v>
      </c>
      <c r="C4064" s="1" t="str">
        <f>'001'!D4064</f>
        <v>0105</v>
      </c>
      <c r="D4064" s="3" t="e">
        <f>'001'!H4064</f>
        <v>#VALUE!</v>
      </c>
    </row>
    <row r="4065" spans="1:4" x14ac:dyDescent="0.25">
      <c r="A4065" s="1" t="str">
        <f>'001'!B4065</f>
        <v>007085</v>
      </c>
      <c r="B4065" s="1" t="str">
        <f>'001'!C4065</f>
        <v>IMPREGNANTE PARA MADERA CETOL BALANCE DURACION EXTREMA BRILLANTE NATURAL X 4</v>
      </c>
      <c r="C4065" s="1" t="str">
        <f>'001'!D4065</f>
        <v>0105</v>
      </c>
      <c r="D4065" s="3" t="e">
        <f>'001'!H4065</f>
        <v>#VALUE!</v>
      </c>
    </row>
    <row r="4066" spans="1:4" x14ac:dyDescent="0.25">
      <c r="A4066" s="1" t="str">
        <f>'001'!B4066</f>
        <v>007086</v>
      </c>
      <c r="B4066" s="1" t="str">
        <f>'001'!C4066</f>
        <v>IMPREGNANTE PARA MADERA CETOL BALANCE DURACION EXTREMA BRILLANTE ROBLE X 1</v>
      </c>
      <c r="C4066" s="1" t="str">
        <f>'001'!D4066</f>
        <v>0105</v>
      </c>
      <c r="D4066" s="3" t="e">
        <f>'001'!H4066</f>
        <v>#VALUE!</v>
      </c>
    </row>
    <row r="4067" spans="1:4" x14ac:dyDescent="0.25">
      <c r="A4067" s="1" t="str">
        <f>'001'!B4067</f>
        <v>007087</v>
      </c>
      <c r="B4067" s="1" t="str">
        <f>'001'!C4067</f>
        <v>IMPREGNANTE PARA MADERA CETOL BALANCE DURACION EXTREMA BRILLANTE ROBLE X 4</v>
      </c>
      <c r="C4067" s="1" t="str">
        <f>'001'!D4067</f>
        <v>0105</v>
      </c>
      <c r="D4067" s="3" t="e">
        <f>'001'!H4067</f>
        <v>#VALUE!</v>
      </c>
    </row>
    <row r="4068" spans="1:4" x14ac:dyDescent="0.25">
      <c r="A4068" s="1" t="str">
        <f>'001'!B4068</f>
        <v>007088</v>
      </c>
      <c r="B4068" s="1" t="str">
        <f>'001'!C4068</f>
        <v>IMPREGNANTE PARA MADERA CETOL BALANCE DURACION EXTREMA BRILLANTE NOGAL X 1</v>
      </c>
      <c r="C4068" s="1" t="str">
        <f>'001'!D4068</f>
        <v>0105</v>
      </c>
      <c r="D4068" s="3" t="e">
        <f>'001'!H4068</f>
        <v>#VALUE!</v>
      </c>
    </row>
    <row r="4069" spans="1:4" x14ac:dyDescent="0.25">
      <c r="A4069" s="1" t="str">
        <f>'001'!B4069</f>
        <v>007089</v>
      </c>
      <c r="B4069" s="1" t="str">
        <f>'001'!C4069</f>
        <v>IMPREGNANTE PARA MADERA CETOL BALANCE DURACION EXTREMA BRILLANTE NOGAL X 4</v>
      </c>
      <c r="C4069" s="1" t="str">
        <f>'001'!D4069</f>
        <v>0105</v>
      </c>
      <c r="D4069" s="3" t="e">
        <f>'001'!H4069</f>
        <v>#VALUE!</v>
      </c>
    </row>
    <row r="4070" spans="1:4" x14ac:dyDescent="0.25">
      <c r="A4070" s="1" t="str">
        <f>'001'!B4070</f>
        <v>007090</v>
      </c>
      <c r="B4070" s="1" t="str">
        <f>'001'!C4070</f>
        <v>IMPREGNANTE PARA MADERA CETOL BALANCE DURACION EXTREMA SATINADO CAOBA X 1</v>
      </c>
      <c r="C4070" s="1" t="str">
        <f>'001'!D4070</f>
        <v>0105</v>
      </c>
      <c r="D4070" s="3" t="e">
        <f>'001'!H4070</f>
        <v>#VALUE!</v>
      </c>
    </row>
    <row r="4071" spans="1:4" x14ac:dyDescent="0.25">
      <c r="A4071" s="1" t="str">
        <f>'001'!B4071</f>
        <v>007091</v>
      </c>
      <c r="B4071" s="1" t="str">
        <f>'001'!C4071</f>
        <v>IMPREGNANTE PARA MADERA CETOL BALANCE DURACION EXTREMA SATINADO CAOBA X 4</v>
      </c>
      <c r="C4071" s="1" t="str">
        <f>'001'!D4071</f>
        <v>0105</v>
      </c>
      <c r="D4071" s="3" t="e">
        <f>'001'!H4071</f>
        <v>#VALUE!</v>
      </c>
    </row>
    <row r="4072" spans="1:4" x14ac:dyDescent="0.25">
      <c r="A4072" s="1" t="str">
        <f>'001'!B4072</f>
        <v>007092</v>
      </c>
      <c r="B4072" s="1" t="str">
        <f>'001'!C4072</f>
        <v>IMPREGNANTE PARA MADERA CETOL BALANCE DURACION EXTREMA SATINADO CRISTAL X 1</v>
      </c>
      <c r="C4072" s="1" t="str">
        <f>'001'!D4072</f>
        <v>0105</v>
      </c>
      <c r="D4072" s="3" t="e">
        <f>'001'!H4072</f>
        <v>#VALUE!</v>
      </c>
    </row>
    <row r="4073" spans="1:4" x14ac:dyDescent="0.25">
      <c r="A4073" s="1" t="str">
        <f>'001'!B4073</f>
        <v>007093</v>
      </c>
      <c r="B4073" s="1" t="str">
        <f>'001'!C4073</f>
        <v>IMPREGNANTE PARA MADERA CETOL BALANCE DURACION EXTREMA SATINADO CRISTAL X 4</v>
      </c>
      <c r="C4073" s="1" t="str">
        <f>'001'!D4073</f>
        <v>0105</v>
      </c>
      <c r="D4073" s="3" t="e">
        <f>'001'!H4073</f>
        <v>#VALUE!</v>
      </c>
    </row>
    <row r="4074" spans="1:4" x14ac:dyDescent="0.25">
      <c r="A4074" s="1" t="str">
        <f>'001'!B4074</f>
        <v>007094</v>
      </c>
      <c r="B4074" s="1" t="str">
        <f>'001'!C4074</f>
        <v>IMPREGNANTE PARA MADERA CETOL BALANCE DURACION EXTREMA SATINADO NATURAL X 1</v>
      </c>
      <c r="C4074" s="1" t="str">
        <f>'001'!D4074</f>
        <v>0105</v>
      </c>
      <c r="D4074" s="3" t="e">
        <f>'001'!H4074</f>
        <v>#VALUE!</v>
      </c>
    </row>
    <row r="4075" spans="1:4" x14ac:dyDescent="0.25">
      <c r="A4075" s="1" t="str">
        <f>'001'!B4075</f>
        <v>007095</v>
      </c>
      <c r="B4075" s="1" t="str">
        <f>'001'!C4075</f>
        <v>IMPREGNANTE PARA MADERA CETOL BALANCE DURACION EXTREMA SATINADO NATURAL X 4</v>
      </c>
      <c r="C4075" s="1" t="str">
        <f>'001'!D4075</f>
        <v>0105</v>
      </c>
      <c r="D4075" s="3" t="e">
        <f>'001'!H4075</f>
        <v>#VALUE!</v>
      </c>
    </row>
    <row r="4076" spans="1:4" x14ac:dyDescent="0.25">
      <c r="A4076" s="1" t="str">
        <f>'001'!B4076</f>
        <v>007096</v>
      </c>
      <c r="B4076" s="1" t="str">
        <f>'001'!C4076</f>
        <v>IMPREGNANTE PARA MADERA CETOL BALANCE DURACION EXTREMA SATINADO ROBLE X 1</v>
      </c>
      <c r="C4076" s="1" t="str">
        <f>'001'!D4076</f>
        <v>0105</v>
      </c>
      <c r="D4076" s="3" t="e">
        <f>'001'!H4076</f>
        <v>#VALUE!</v>
      </c>
    </row>
    <row r="4077" spans="1:4" x14ac:dyDescent="0.25">
      <c r="A4077" s="1" t="str">
        <f>'001'!B4077</f>
        <v>007097</v>
      </c>
      <c r="B4077" s="1" t="str">
        <f>'001'!C4077</f>
        <v>IMPREGNANTE PARA MADERA CETOL BALANCE DURACION EXTREMA SATINADO ROBLE X 4</v>
      </c>
      <c r="C4077" s="1" t="str">
        <f>'001'!D4077</f>
        <v>0105</v>
      </c>
      <c r="D4077" s="3" t="e">
        <f>'001'!H4077</f>
        <v>#VALUE!</v>
      </c>
    </row>
    <row r="4078" spans="1:4" x14ac:dyDescent="0.25">
      <c r="A4078" s="1" t="str">
        <f>'001'!B4078</f>
        <v>007098</v>
      </c>
      <c r="B4078" s="1" t="str">
        <f>'001'!C4078</f>
        <v>IMPREGNANTE PARA MADERA CETOL BALANCE DURACION EXTREMA SATINADO NOGAL X 1</v>
      </c>
      <c r="C4078" s="1" t="str">
        <f>'001'!D4078</f>
        <v>0105</v>
      </c>
      <c r="D4078" s="3" t="e">
        <f>'001'!H4078</f>
        <v>#VALUE!</v>
      </c>
    </row>
    <row r="4079" spans="1:4" x14ac:dyDescent="0.25">
      <c r="A4079" s="1" t="str">
        <f>'001'!B4079</f>
        <v>007099</v>
      </c>
      <c r="B4079" s="1" t="str">
        <f>'001'!C4079</f>
        <v>IMPREGNANTE PARA MADERA CETOL BALANCE DURACION EXTREMA SATINADO NOGAL X 4</v>
      </c>
      <c r="C4079" s="1" t="str">
        <f>'001'!D4079</f>
        <v>0105</v>
      </c>
      <c r="D4079" s="3" t="e">
        <f>'001'!H4079</f>
        <v>#VALUE!</v>
      </c>
    </row>
    <row r="4080" spans="1:4" x14ac:dyDescent="0.25">
      <c r="A4080" s="1" t="str">
        <f>'001'!B4080</f>
        <v>007100</v>
      </c>
      <c r="B4080" s="1" t="str">
        <f>'001'!C4080</f>
        <v>LIMPIADOR PARA MADERA CETOL X 1</v>
      </c>
      <c r="C4080" s="1" t="str">
        <f>'001'!D4080</f>
        <v>0105</v>
      </c>
      <c r="D4080" s="3" t="e">
        <f>'001'!H4080</f>
        <v>#VALUE!</v>
      </c>
    </row>
    <row r="4081" spans="1:4" x14ac:dyDescent="0.25">
      <c r="A4081" s="1" t="str">
        <f>'001'!B4081</f>
        <v>007102</v>
      </c>
      <c r="B4081" s="1" t="str">
        <f>'001'!C4081</f>
        <v>PROTECTOR PARA PISO BRIKOL INCOLORO X 1</v>
      </c>
      <c r="C4081" s="1" t="str">
        <f>'001'!D4081</f>
        <v>0106</v>
      </c>
      <c r="D4081" s="3" t="e">
        <f>'001'!H4081</f>
        <v>#VALUE!</v>
      </c>
    </row>
    <row r="4082" spans="1:4" x14ac:dyDescent="0.25">
      <c r="A4082" s="1" t="str">
        <f>'001'!B4082</f>
        <v>007103</v>
      </c>
      <c r="B4082" s="1" t="str">
        <f>'001'!C4082</f>
        <v>PROTECTOR PARA PISO BRIKOL INCOLORO X 4</v>
      </c>
      <c r="C4082" s="1" t="str">
        <f>'001'!D4082</f>
        <v>0106</v>
      </c>
      <c r="D4082" s="3" t="e">
        <f>'001'!H4082</f>
        <v>#VALUE!</v>
      </c>
    </row>
    <row r="4083" spans="1:4" x14ac:dyDescent="0.25">
      <c r="A4083" s="1" t="str">
        <f>'001'!B4083</f>
        <v>007104</v>
      </c>
      <c r="B4083" s="1" t="str">
        <f>'001'!C4083</f>
        <v>PROTECTOR PARA PISO BRIKOL NEGRO X 1</v>
      </c>
      <c r="C4083" s="1" t="str">
        <f>'001'!D4083</f>
        <v>0106</v>
      </c>
      <c r="D4083" s="3" t="e">
        <f>'001'!H4083</f>
        <v>#VALUE!</v>
      </c>
    </row>
    <row r="4084" spans="1:4" x14ac:dyDescent="0.25">
      <c r="A4084" s="1" t="str">
        <f>'001'!B4084</f>
        <v>007105</v>
      </c>
      <c r="B4084" s="1" t="str">
        <f>'001'!C4084</f>
        <v>PROTECTOR PARA PISO BRIKOL NEGRO X 4</v>
      </c>
      <c r="C4084" s="1" t="str">
        <f>'001'!D4084</f>
        <v>0106</v>
      </c>
      <c r="D4084" s="3" t="e">
        <f>'001'!H4084</f>
        <v>#VALUE!</v>
      </c>
    </row>
    <row r="4085" spans="1:4" x14ac:dyDescent="0.25">
      <c r="A4085" s="1" t="str">
        <f>'001'!B4085</f>
        <v>007106</v>
      </c>
      <c r="B4085" s="1" t="str">
        <f>'001'!C4085</f>
        <v>PROTECTOR PARA PISO BRIKOL ROJO X 1</v>
      </c>
      <c r="C4085" s="1" t="str">
        <f>'001'!D4085</f>
        <v>0106</v>
      </c>
      <c r="D4085" s="3" t="e">
        <f>'001'!H4085</f>
        <v>#VALUE!</v>
      </c>
    </row>
    <row r="4086" spans="1:4" x14ac:dyDescent="0.25">
      <c r="A4086" s="1" t="str">
        <f>'001'!B4086</f>
        <v>007107</v>
      </c>
      <c r="B4086" s="1" t="str">
        <f>'001'!C4086</f>
        <v>PROTECTOR PARA PISO BRIKOL ROJO X 4</v>
      </c>
      <c r="C4086" s="1" t="str">
        <f>'001'!D4086</f>
        <v>0106</v>
      </c>
      <c r="D4086" s="3" t="e">
        <f>'001'!H4086</f>
        <v>#VALUE!</v>
      </c>
    </row>
    <row r="4087" spans="1:4" x14ac:dyDescent="0.25">
      <c r="A4087" s="1" t="str">
        <f>'001'!B4087</f>
        <v>007108</v>
      </c>
      <c r="B4087" s="1" t="str">
        <f>'001'!C4087</f>
        <v>IMPREGNANTE PARA PISO CETOL DECK PLUS NATURAL X 1</v>
      </c>
      <c r="C4087" s="1" t="str">
        <f>'001'!D4087</f>
        <v>0105</v>
      </c>
      <c r="D4087" s="3" t="e">
        <f>'001'!H4087</f>
        <v>#VALUE!</v>
      </c>
    </row>
    <row r="4088" spans="1:4" x14ac:dyDescent="0.25">
      <c r="A4088" s="1" t="str">
        <f>'001'!B4088</f>
        <v>007109</v>
      </c>
      <c r="B4088" s="1" t="str">
        <f>'001'!C4088</f>
        <v>IMPREGNANTE PARA PISO CETOL DECK PLUS NATURAL X 4</v>
      </c>
      <c r="C4088" s="1" t="str">
        <f>'001'!D4088</f>
        <v>0105</v>
      </c>
      <c r="D4088" s="3" t="e">
        <f>'001'!H4088</f>
        <v>#VALUE!</v>
      </c>
    </row>
    <row r="4089" spans="1:4" x14ac:dyDescent="0.25">
      <c r="A4089" s="1" t="str">
        <f>'001'!B4089</f>
        <v>007112</v>
      </c>
      <c r="B4089" s="1" t="str">
        <f>'001'!C4089</f>
        <v>IMPREGNANTE PARA MADERA CETOL BALANCE CLASSIC SATINADO CEDRO X  1</v>
      </c>
      <c r="C4089" s="1" t="str">
        <f>'001'!D4089</f>
        <v>0105</v>
      </c>
      <c r="D4089" s="3" t="e">
        <f>'001'!H4089</f>
        <v>#VALUE!</v>
      </c>
    </row>
    <row r="4090" spans="1:4" x14ac:dyDescent="0.25">
      <c r="A4090" s="1" t="str">
        <f>'001'!B4090</f>
        <v>007114</v>
      </c>
      <c r="B4090" s="1" t="str">
        <f>'001'!C4090</f>
        <v>IMPREGNANTE PARA MADERA CETOL BALANCE CLASSIC SATINADO CEDRO X  4</v>
      </c>
      <c r="C4090" s="1" t="str">
        <f>'001'!D4090</f>
        <v>0105</v>
      </c>
      <c r="D4090" s="3" t="e">
        <f>'001'!H4090</f>
        <v>#VALUE!</v>
      </c>
    </row>
    <row r="4091" spans="1:4" x14ac:dyDescent="0.25">
      <c r="A4091" s="1" t="str">
        <f>'001'!B4091</f>
        <v>007116</v>
      </c>
      <c r="B4091" s="1" t="str">
        <f>'001'!C4091</f>
        <v>IMPREGNANTE PARA MADERA CETOL BALANCE INTERIOR BRILLANTE CRISTAL X 1</v>
      </c>
      <c r="C4091" s="1" t="str">
        <f>'001'!D4091</f>
        <v>0105</v>
      </c>
      <c r="D4091" s="3" t="e">
        <f>'001'!H4091</f>
        <v>#VALUE!</v>
      </c>
    </row>
    <row r="4092" spans="1:4" x14ac:dyDescent="0.25">
      <c r="A4092" s="1" t="str">
        <f>'001'!B4092</f>
        <v>007117</v>
      </c>
      <c r="B4092" s="1" t="str">
        <f>'001'!C4092</f>
        <v>IMPREGNANTE PARA MADERA CETOL BALANCE INTERIOR BRILLANTE CRISTAL X 4</v>
      </c>
      <c r="C4092" s="1" t="str">
        <f>'001'!D4092</f>
        <v>0105</v>
      </c>
      <c r="D4092" s="3" t="e">
        <f>'001'!H4092</f>
        <v>#VALUE!</v>
      </c>
    </row>
    <row r="4093" spans="1:4" x14ac:dyDescent="0.25">
      <c r="A4093" s="1" t="str">
        <f>'001'!B4093</f>
        <v>007118</v>
      </c>
      <c r="B4093" s="1" t="str">
        <f>'001'!C4093</f>
        <v>IMPREGNANTE PARA MADERA CETOL BALANCE INTERIOR SATINADO CRISTAL X 1</v>
      </c>
      <c r="C4093" s="1" t="str">
        <f>'001'!D4093</f>
        <v>0105</v>
      </c>
      <c r="D4093" s="3" t="e">
        <f>'001'!H4093</f>
        <v>#VALUE!</v>
      </c>
    </row>
    <row r="4094" spans="1:4" x14ac:dyDescent="0.25">
      <c r="A4094" s="1" t="str">
        <f>'001'!B4094</f>
        <v>007119</v>
      </c>
      <c r="B4094" s="1" t="str">
        <f>'001'!C4094</f>
        <v>IMPREGNANTE PARA MADERA CETOL BALANCE INTERIOR SATINADO CRISTAL X 4</v>
      </c>
      <c r="C4094" s="1" t="str">
        <f>'001'!D4094</f>
        <v>0105</v>
      </c>
      <c r="D4094" s="3" t="e">
        <f>'001'!H4094</f>
        <v>#VALUE!</v>
      </c>
    </row>
    <row r="4095" spans="1:4" x14ac:dyDescent="0.25">
      <c r="A4095" s="1" t="str">
        <f>'001'!B4095</f>
        <v>007120</v>
      </c>
      <c r="B4095" s="1" t="str">
        <f>'001'!C4095</f>
        <v>AEROSOL RUST-OLEUM REMOVIBLE PEEL COAT MATE NEGRO X 0,312 (313529)</v>
      </c>
      <c r="C4095" s="1" t="str">
        <f>'001'!D4095</f>
        <v>0145</v>
      </c>
      <c r="D4095" s="3" t="e">
        <f>'001'!H4095</f>
        <v>#VALUE!</v>
      </c>
    </row>
    <row r="4096" spans="1:4" x14ac:dyDescent="0.25">
      <c r="A4096" s="1" t="str">
        <f>'001'!B4096</f>
        <v>007121</v>
      </c>
      <c r="B4096" s="1" t="str">
        <f>'001'!C4096</f>
        <v>AEROSOL RUST-OLEUM REMOVIBLE PEEL COAT PLATA X 0,312 (276802/313530)</v>
      </c>
      <c r="C4096" s="1" t="str">
        <f>'001'!D4096</f>
        <v>0145</v>
      </c>
      <c r="D4096" s="3" t="e">
        <f>'001'!H4096</f>
        <v>#VALUE!</v>
      </c>
    </row>
    <row r="4097" spans="1:4" x14ac:dyDescent="0.25">
      <c r="A4097" s="1" t="str">
        <f>'001'!B4097</f>
        <v>007122</v>
      </c>
      <c r="B4097" s="1" t="str">
        <f>'001'!C4097</f>
        <v>AEROSOL RUST-OLEUM REMOVIBLE PEEL COAT MATE ROJO X 0,312 (284314)</v>
      </c>
      <c r="C4097" s="1" t="str">
        <f>'001'!D4097</f>
        <v>0902</v>
      </c>
      <c r="D4097" s="3" t="e">
        <f>'001'!H4097</f>
        <v>#VALUE!</v>
      </c>
    </row>
    <row r="4098" spans="1:4" x14ac:dyDescent="0.25">
      <c r="A4098" s="1" t="str">
        <f>'001'!B4098</f>
        <v>007123</v>
      </c>
      <c r="B4098" s="1" t="str">
        <f>'001'!C4098</f>
        <v>AEROSOL RUST-OLEUM REMOVIBLE PEEL COAT MATE BLANCO X 0,312 (276800)</v>
      </c>
      <c r="C4098" s="1" t="str">
        <f>'001'!D4098</f>
        <v>0902</v>
      </c>
      <c r="D4098" s="3" t="e">
        <f>'001'!H4098</f>
        <v>#VALUE!</v>
      </c>
    </row>
    <row r="4099" spans="1:4" x14ac:dyDescent="0.25">
      <c r="A4099" s="1" t="str">
        <f>'001'!B4099</f>
        <v>007124</v>
      </c>
      <c r="B4099" s="1" t="str">
        <f>'001'!C4099</f>
        <v>AEROSOL RUST-OLEUM REMOVIBLE PEEL COAT GRAFITO X 0,312 (284320 / 313533)</v>
      </c>
      <c r="C4099" s="1" t="str">
        <f>'001'!D4099</f>
        <v>0145</v>
      </c>
      <c r="D4099" s="3" t="e">
        <f>'001'!H4099</f>
        <v>#VALUE!</v>
      </c>
    </row>
    <row r="4100" spans="1:4" x14ac:dyDescent="0.25">
      <c r="A4100" s="1" t="str">
        <f>'001'!B4100</f>
        <v>007125</v>
      </c>
      <c r="B4100" s="1" t="str">
        <f>'001'!C4100</f>
        <v>AEROSOL RUST-OLEUM REMOVIBLE PEEL COAT BRILLANTE AZUL X 0,312 (284315)</v>
      </c>
      <c r="C4100" s="1" t="str">
        <f>'001'!D4100</f>
        <v>0902</v>
      </c>
      <c r="D4100" s="3" t="e">
        <f>'001'!H4100</f>
        <v>#VALUE!</v>
      </c>
    </row>
    <row r="4101" spans="1:4" x14ac:dyDescent="0.25">
      <c r="A4101" s="1" t="str">
        <f>'001'!B4101</f>
        <v>007126</v>
      </c>
      <c r="B4101" s="1" t="str">
        <f>'001'!C4101</f>
        <v>AEROSOL RUST-OLEUM REMOVIBLE PEEL COAT MATE ROSA X 0,312 (284317)</v>
      </c>
      <c r="C4101" s="1" t="str">
        <f>'001'!D4101</f>
        <v>0902</v>
      </c>
      <c r="D4101" s="3" t="e">
        <f>'001'!H4101</f>
        <v>#VALUE!</v>
      </c>
    </row>
    <row r="4102" spans="1:4" x14ac:dyDescent="0.25">
      <c r="A4102" s="1" t="str">
        <f>'001'!B4102</f>
        <v>007127</v>
      </c>
      <c r="B4102" s="1" t="str">
        <f>'001'!C4102</f>
        <v>AEROSOL RUST-OLEUM REMOVIBLE PEEL COAT BRILLANTE NEGRO X 0,312 (297383/315099)</v>
      </c>
      <c r="C4102" s="1" t="str">
        <f>'001'!D4102</f>
        <v>0145</v>
      </c>
      <c r="D4102" s="3" t="e">
        <f>'001'!H4102</f>
        <v>#VALUE!</v>
      </c>
    </row>
    <row r="4103" spans="1:4" x14ac:dyDescent="0.25">
      <c r="A4103" s="1" t="str">
        <f>'001'!B4103</f>
        <v>007128</v>
      </c>
      <c r="B4103" s="1" t="str">
        <f>'001'!C4103</f>
        <v>AEROSOL RUST-OLEUM REMOVIBLE PEEL COAT MATE NEGRO X 3,780 (283824)</v>
      </c>
      <c r="C4103" s="1" t="str">
        <f>'001'!D4103</f>
        <v>0902</v>
      </c>
      <c r="D4103" s="3" t="e">
        <f>'001'!H4103</f>
        <v>#VALUE!</v>
      </c>
    </row>
    <row r="4104" spans="1:4" x14ac:dyDescent="0.25">
      <c r="A4104" s="1" t="str">
        <f>'001'!B4104</f>
        <v>007129</v>
      </c>
      <c r="B4104" s="1" t="str">
        <f>'001'!C4104</f>
        <v>AEROSOL RUST-OLEUM PARA CAJA DE CAMIONETA NEGRO X 0,425 (248914/313500</v>
      </c>
      <c r="C4104" s="1" t="str">
        <f>'001'!D4104</f>
        <v>0145</v>
      </c>
      <c r="D4104" s="3" t="e">
        <f>'001'!H4104</f>
        <v>#VALUE!</v>
      </c>
    </row>
    <row r="4105" spans="1:4" x14ac:dyDescent="0.25">
      <c r="A4105" s="1" t="str">
        <f>'001'!B4105</f>
        <v>007130</v>
      </c>
      <c r="B4105" s="1" t="str">
        <f>'001'!C4105</f>
        <v>IMPREGNANTE PARA MADERA CETOL BALANCE DURACION EXTREMA BRILLANTE CEDRO X 1</v>
      </c>
      <c r="C4105" s="1" t="str">
        <f>'001'!D4105</f>
        <v>0902</v>
      </c>
      <c r="D4105" s="3" t="e">
        <f>'001'!H4105</f>
        <v>#VALUE!</v>
      </c>
    </row>
    <row r="4106" spans="1:4" x14ac:dyDescent="0.25">
      <c r="A4106" s="1" t="str">
        <f>'001'!B4106</f>
        <v>007131</v>
      </c>
      <c r="B4106" s="1" t="str">
        <f>'001'!C4106</f>
        <v>IMPREGNANTE PARA MADERA CETOL BALANCE DURACION EXTREMA BRILLANTE CEDRO X 4</v>
      </c>
      <c r="C4106" s="1" t="str">
        <f>'001'!D4106</f>
        <v>0105</v>
      </c>
      <c r="D4106" s="3" t="e">
        <f>'001'!H4106</f>
        <v>#VALUE!</v>
      </c>
    </row>
    <row r="4107" spans="1:4" x14ac:dyDescent="0.25">
      <c r="A4107" s="1" t="str">
        <f>'001'!B4107</f>
        <v>007132</v>
      </c>
      <c r="B4107" s="1" t="str">
        <f>'001'!C4107</f>
        <v>IMPREGNANTE PARA MADERA CETOL BALANCE DURACION EXTREMA SATINADO CEDRO X 1</v>
      </c>
      <c r="C4107" s="1" t="str">
        <f>'001'!D4107</f>
        <v>0105</v>
      </c>
      <c r="D4107" s="3" t="e">
        <f>'001'!H4107</f>
        <v>#VALUE!</v>
      </c>
    </row>
    <row r="4108" spans="1:4" x14ac:dyDescent="0.25">
      <c r="A4108" s="1" t="str">
        <f>'001'!B4108</f>
        <v>007133</v>
      </c>
      <c r="B4108" s="1" t="str">
        <f>'001'!C4108</f>
        <v>IMPREGNANTE PARA MADERA CETOL BALANCE DURACION EXTREMA SATINADO CEDRO X 4</v>
      </c>
      <c r="C4108" s="1" t="str">
        <f>'001'!D4108</f>
        <v>0105</v>
      </c>
      <c r="D4108" s="3" t="e">
        <f>'001'!H4108</f>
        <v>#VALUE!</v>
      </c>
    </row>
    <row r="4109" spans="1:4" x14ac:dyDescent="0.25">
      <c r="A4109" s="1" t="str">
        <f>'001'!B4109</f>
        <v>007152</v>
      </c>
      <c r="B4109" s="1" t="str">
        <f>'001'!C4109</f>
        <v>AEROSOL RUST-OLEUM LACA ACRILICA BLANCO X 0,340 (253364)</v>
      </c>
      <c r="C4109" s="1" t="str">
        <f>'001'!D4109</f>
        <v>0145</v>
      </c>
      <c r="D4109" s="3" t="e">
        <f>'001'!H4109</f>
        <v>#VALUE!</v>
      </c>
    </row>
    <row r="4110" spans="1:4" x14ac:dyDescent="0.25">
      <c r="A4110" s="1" t="str">
        <f>'001'!B4110</f>
        <v>007153</v>
      </c>
      <c r="B4110" s="1" t="str">
        <f>'001'!C4110</f>
        <v>AEROSOL RUST-OLEUM LACA ACRILICA NEGRO X 0,340 (253365)</v>
      </c>
      <c r="C4110" s="1" t="str">
        <f>'001'!D4110</f>
        <v>0145</v>
      </c>
      <c r="D4110" s="3" t="e">
        <f>'001'!H4110</f>
        <v>#VALUE!</v>
      </c>
    </row>
    <row r="4111" spans="1:4" x14ac:dyDescent="0.25">
      <c r="A4111" s="1" t="str">
        <f>'001'!B4111</f>
        <v>007154</v>
      </c>
      <c r="B4111" s="1" t="str">
        <f>'001'!C4111</f>
        <v>SELLADOR PARA PARQUET CETOL BALANCE X 1</v>
      </c>
      <c r="C4111" s="1" t="str">
        <f>'001'!D4111</f>
        <v>0105</v>
      </c>
      <c r="D4111" s="3" t="e">
        <f>'001'!H4111</f>
        <v>#VALUE!</v>
      </c>
    </row>
    <row r="4112" spans="1:4" x14ac:dyDescent="0.25">
      <c r="A4112" s="1" t="str">
        <f>'001'!B4112</f>
        <v>007155</v>
      </c>
      <c r="B4112" s="1" t="str">
        <f>'001'!C4112</f>
        <v>AEROSOL RUST-OLEUM LACA ACRILICA TRANSPARENTE X 0,340 (253366/371259)</v>
      </c>
      <c r="C4112" s="1" t="str">
        <f>'001'!D4112</f>
        <v>0145</v>
      </c>
      <c r="D4112" s="3" t="e">
        <f>'001'!H4112</f>
        <v>#VALUE!</v>
      </c>
    </row>
    <row r="4113" spans="1:4" x14ac:dyDescent="0.25">
      <c r="A4113" s="1" t="str">
        <f>'001'!B4113</f>
        <v>007156</v>
      </c>
      <c r="B4113" s="1" t="str">
        <f>'001'!C4113</f>
        <v>IMPREGNANTE PARA PARQUET CETOL BALANCE BRILLANTE NATURAL X 1</v>
      </c>
      <c r="C4113" s="1" t="str">
        <f>'001'!D4113</f>
        <v>0105</v>
      </c>
      <c r="D4113" s="3" t="e">
        <f>'001'!H4113</f>
        <v>#VALUE!</v>
      </c>
    </row>
    <row r="4114" spans="1:4" x14ac:dyDescent="0.25">
      <c r="A4114" s="1" t="str">
        <f>'001'!B4114</f>
        <v>007157</v>
      </c>
      <c r="B4114" s="1" t="str">
        <f>'001'!C4114</f>
        <v>IMPREGNANTE PARA PARQUET CETOL BALANCE BRILLANTE NATURAL X 4</v>
      </c>
      <c r="C4114" s="1" t="str">
        <f>'001'!D4114</f>
        <v>0105</v>
      </c>
      <c r="D4114" s="3" t="e">
        <f>'001'!H4114</f>
        <v>#VALUE!</v>
      </c>
    </row>
    <row r="4115" spans="1:4" x14ac:dyDescent="0.25">
      <c r="A4115" s="1" t="str">
        <f>'001'!B4115</f>
        <v>007160</v>
      </c>
      <c r="B4115" s="1" t="str">
        <f>'001'!C4115</f>
        <v>IMPREGNANTE PARA PARQUET CETOL VITRO BRILLANTE NATURAL X 1</v>
      </c>
      <c r="C4115" s="1" t="str">
        <f>'001'!D4115</f>
        <v>0105</v>
      </c>
      <c r="D4115" s="3" t="e">
        <f>'001'!H4115</f>
        <v>#VALUE!</v>
      </c>
    </row>
    <row r="4116" spans="1:4" x14ac:dyDescent="0.25">
      <c r="A4116" s="1" t="str">
        <f>'001'!B4116</f>
        <v>007161</v>
      </c>
      <c r="B4116" s="1" t="str">
        <f>'001'!C4116</f>
        <v>IMPREGNANTE PARA PARQUET CETOL VITRO BRILLANTE NATURAL X 4</v>
      </c>
      <c r="C4116" s="1" t="str">
        <f>'001'!D4116</f>
        <v>0105</v>
      </c>
      <c r="D4116" s="3" t="e">
        <f>'001'!H4116</f>
        <v>#VALUE!</v>
      </c>
    </row>
    <row r="4117" spans="1:4" x14ac:dyDescent="0.25">
      <c r="A4117" s="1" t="str">
        <f>'001'!B4117</f>
        <v>007185</v>
      </c>
      <c r="B4117" s="1" t="str">
        <f>'001'!C4117</f>
        <v>IMPREGNANTE PARA MADERA CETOL BALANCE CLASSIC SATINADO NOGAL X  1</v>
      </c>
      <c r="C4117" s="1" t="str">
        <f>'001'!D4117</f>
        <v>0105</v>
      </c>
      <c r="D4117" s="3" t="e">
        <f>'001'!H4117</f>
        <v>#VALUE!</v>
      </c>
    </row>
    <row r="4118" spans="1:4" x14ac:dyDescent="0.25">
      <c r="A4118" s="1" t="str">
        <f>'001'!B4118</f>
        <v>007186</v>
      </c>
      <c r="B4118" s="1" t="str">
        <f>'001'!C4118</f>
        <v>IMPREGNANTE PARA MADERA CETOL BALANCE CLASSIC SATINADO NOGAL X  4</v>
      </c>
      <c r="C4118" s="1" t="str">
        <f>'001'!D4118</f>
        <v>0105</v>
      </c>
      <c r="D4118" s="3" t="e">
        <f>'001'!H4118</f>
        <v>#VALUE!</v>
      </c>
    </row>
    <row r="4119" spans="1:4" x14ac:dyDescent="0.25">
      <c r="A4119" s="1" t="str">
        <f>'001'!B4119</f>
        <v>007187</v>
      </c>
      <c r="B4119" s="1" t="str">
        <f>'001'!C4119</f>
        <v>IMPREGNANTE PARA MADERA CETOL BALANCE CLASSIC BRILLANTE CEDRO X  1</v>
      </c>
      <c r="C4119" s="1" t="str">
        <f>'001'!D4119</f>
        <v>0105</v>
      </c>
      <c r="D4119" s="3" t="e">
        <f>'001'!H4119</f>
        <v>#VALUE!</v>
      </c>
    </row>
    <row r="4120" spans="1:4" x14ac:dyDescent="0.25">
      <c r="A4120" s="1" t="str">
        <f>'001'!B4120</f>
        <v>007188</v>
      </c>
      <c r="B4120" s="1" t="str">
        <f>'001'!C4120</f>
        <v>IMPREGNANTE PARA MADERA CETOL BALANCE CLASSIC BRILLANTE CEDRO X  4</v>
      </c>
      <c r="C4120" s="1" t="str">
        <f>'001'!D4120</f>
        <v>0105</v>
      </c>
      <c r="D4120" s="3" t="e">
        <f>'001'!H4120</f>
        <v>#VALUE!</v>
      </c>
    </row>
    <row r="4121" spans="1:4" x14ac:dyDescent="0.25">
      <c r="A4121" s="1" t="str">
        <f>'001'!B4121</f>
        <v>007189</v>
      </c>
      <c r="B4121" s="1" t="str">
        <f>'001'!C4121</f>
        <v>IMPREGNANTE PARA MADERA CETOL BALANCE CLASSIC BRILLANTE NOGAL X  1</v>
      </c>
      <c r="C4121" s="1" t="str">
        <f>'001'!D4121</f>
        <v>0105</v>
      </c>
      <c r="D4121" s="3" t="e">
        <f>'001'!H4121</f>
        <v>#VALUE!</v>
      </c>
    </row>
    <row r="4122" spans="1:4" x14ac:dyDescent="0.25">
      <c r="A4122" s="1" t="str">
        <f>'001'!B4122</f>
        <v>007190</v>
      </c>
      <c r="B4122" s="1" t="str">
        <f>'001'!C4122</f>
        <v>IMPREGNANTE PARA MADERA CETOL BALANCE CLASSIC BRILLANTE NOGAL X  4</v>
      </c>
      <c r="C4122" s="1" t="str">
        <f>'001'!D4122</f>
        <v>0105</v>
      </c>
      <c r="D4122" s="3" t="e">
        <f>'001'!H4122</f>
        <v>#VALUE!</v>
      </c>
    </row>
    <row r="4123" spans="1:4" x14ac:dyDescent="0.25">
      <c r="A4123" s="1" t="str">
        <f>'001'!B4123</f>
        <v>007211</v>
      </c>
      <c r="B4123" s="1" t="str">
        <f>'001'!C4123</f>
        <v>PROTECTOR PARA LADRILLO BRIKOL INCOLORO X 20</v>
      </c>
      <c r="C4123" s="1" t="str">
        <f>'001'!D4123</f>
        <v>0106</v>
      </c>
      <c r="D4123" s="3" t="e">
        <f>'001'!H4123</f>
        <v>#VALUE!</v>
      </c>
    </row>
    <row r="4124" spans="1:4" x14ac:dyDescent="0.25">
      <c r="A4124" s="1" t="str">
        <f>'001'!B4124</f>
        <v>007213</v>
      </c>
      <c r="B4124" s="1" t="str">
        <f>'001'!C4124</f>
        <v>PROTECTOR PARA LADRILLO BRIKOL NATURAL X 20</v>
      </c>
      <c r="C4124" s="1" t="str">
        <f>'001'!D4124</f>
        <v>0106</v>
      </c>
      <c r="D4124" s="3" t="e">
        <f>'001'!H4124</f>
        <v>#VALUE!</v>
      </c>
    </row>
    <row r="4125" spans="1:4" x14ac:dyDescent="0.25">
      <c r="A4125" s="1" t="str">
        <f>'001'!B4125</f>
        <v>007214</v>
      </c>
      <c r="B4125" s="1" t="str">
        <f>'001'!C4125</f>
        <v>PROTECTOR PARA LADRILLO BRIKOL CERAMICO X 20</v>
      </c>
      <c r="C4125" s="1" t="str">
        <f>'001'!D4125</f>
        <v>0106</v>
      </c>
      <c r="D4125" s="3" t="e">
        <f>'001'!H4125</f>
        <v>#VALUE!</v>
      </c>
    </row>
    <row r="4126" spans="1:4" x14ac:dyDescent="0.25">
      <c r="A4126" s="1" t="str">
        <f>'001'!B4126</f>
        <v>007251</v>
      </c>
      <c r="B4126" s="1" t="str">
        <f>'001'!C4126</f>
        <v>PROTECTOR PARA LADRILLO BRIKOL INCOLORO X  1</v>
      </c>
      <c r="C4126" s="1" t="str">
        <f>'001'!D4126</f>
        <v>0106</v>
      </c>
      <c r="D4126" s="3" t="e">
        <f>'001'!H4126</f>
        <v>#VALUE!</v>
      </c>
    </row>
    <row r="4127" spans="1:4" x14ac:dyDescent="0.25">
      <c r="A4127" s="1" t="str">
        <f>'001'!B4127</f>
        <v>007253</v>
      </c>
      <c r="B4127" s="1" t="str">
        <f>'001'!C4127</f>
        <v>PROTECTOR PARA LADRILLO BRIKOL NATURAL X  1</v>
      </c>
      <c r="C4127" s="1" t="str">
        <f>'001'!D4127</f>
        <v>0106</v>
      </c>
      <c r="D4127" s="3" t="e">
        <f>'001'!H4127</f>
        <v>#VALUE!</v>
      </c>
    </row>
    <row r="4128" spans="1:4" x14ac:dyDescent="0.25">
      <c r="A4128" s="1" t="str">
        <f>'001'!B4128</f>
        <v>007254</v>
      </c>
      <c r="B4128" s="1" t="str">
        <f>'001'!C4128</f>
        <v>PROTECTOR PARA LADRILLO BRIKOL CERAMICO X  1</v>
      </c>
      <c r="C4128" s="1" t="str">
        <f>'001'!D4128</f>
        <v>0106</v>
      </c>
      <c r="D4128" s="3" t="e">
        <f>'001'!H4128</f>
        <v>#VALUE!</v>
      </c>
    </row>
    <row r="4129" spans="1:4" x14ac:dyDescent="0.25">
      <c r="A4129" s="1" t="str">
        <f>'001'!B4129</f>
        <v>007261</v>
      </c>
      <c r="B4129" s="1" t="str">
        <f>'001'!C4129</f>
        <v>PROTECTOR PARA LADRILLO BRIKOL INCOLORO X  4</v>
      </c>
      <c r="C4129" s="1" t="str">
        <f>'001'!D4129</f>
        <v>0106</v>
      </c>
      <c r="D4129" s="3" t="e">
        <f>'001'!H4129</f>
        <v>#VALUE!</v>
      </c>
    </row>
    <row r="4130" spans="1:4" x14ac:dyDescent="0.25">
      <c r="A4130" s="1" t="str">
        <f>'001'!B4130</f>
        <v>007263</v>
      </c>
      <c r="B4130" s="1" t="str">
        <f>'001'!C4130</f>
        <v>PROTECTOR PARA LADRILLO BRIKOL NATURAL X  4</v>
      </c>
      <c r="C4130" s="1" t="str">
        <f>'001'!D4130</f>
        <v>0106</v>
      </c>
      <c r="D4130" s="3" t="e">
        <f>'001'!H4130</f>
        <v>#VALUE!</v>
      </c>
    </row>
    <row r="4131" spans="1:4" x14ac:dyDescent="0.25">
      <c r="A4131" s="1" t="str">
        <f>'001'!B4131</f>
        <v>007264</v>
      </c>
      <c r="B4131" s="1" t="str">
        <f>'001'!C4131</f>
        <v>PROTECTOR PARA LADRILLO BRIKOL CERAMICO X  4</v>
      </c>
      <c r="C4131" s="1" t="str">
        <f>'001'!D4131</f>
        <v>0106</v>
      </c>
      <c r="D4131" s="3" t="e">
        <f>'001'!H4131</f>
        <v>#VALUE!</v>
      </c>
    </row>
    <row r="4132" spans="1:4" x14ac:dyDescent="0.25">
      <c r="A4132" s="1" t="str">
        <f>'001'!B4132</f>
        <v>007281</v>
      </c>
      <c r="B4132" s="1" t="str">
        <f>'001'!C4132</f>
        <v>PROTECTOR PARA LADRILLO BRIKOL INCOLORO X 10</v>
      </c>
      <c r="C4132" s="1" t="str">
        <f>'001'!D4132</f>
        <v>0106</v>
      </c>
      <c r="D4132" s="3" t="e">
        <f>'001'!H4132</f>
        <v>#VALUE!</v>
      </c>
    </row>
    <row r="4133" spans="1:4" x14ac:dyDescent="0.25">
      <c r="A4133" s="1" t="str">
        <f>'001'!B4133</f>
        <v>007283</v>
      </c>
      <c r="B4133" s="1" t="str">
        <f>'001'!C4133</f>
        <v>PROTECTOR PARA LADRILLO BRIKOL NATURAL X 10</v>
      </c>
      <c r="C4133" s="1" t="str">
        <f>'001'!D4133</f>
        <v>0106</v>
      </c>
      <c r="D4133" s="3" t="e">
        <f>'001'!H4133</f>
        <v>#VALUE!</v>
      </c>
    </row>
    <row r="4134" spans="1:4" x14ac:dyDescent="0.25">
      <c r="A4134" s="1" t="str">
        <f>'001'!B4134</f>
        <v>007284</v>
      </c>
      <c r="B4134" s="1" t="str">
        <f>'001'!C4134</f>
        <v>PROTECTOR PARA LADRILLO BRIKOL CERAMICO X 10</v>
      </c>
      <c r="C4134" s="1" t="str">
        <f>'001'!D4134</f>
        <v>0106</v>
      </c>
      <c r="D4134" s="3" t="e">
        <f>'001'!H4134</f>
        <v>#VALUE!</v>
      </c>
    </row>
    <row r="4135" spans="1:4" x14ac:dyDescent="0.25">
      <c r="A4135" s="1" t="str">
        <f>'001'!B4135</f>
        <v>007300</v>
      </c>
      <c r="B4135" s="1" t="str">
        <f>'001'!C4135</f>
        <v>F300 BCO X 3,5</v>
      </c>
      <c r="C4135" s="1" t="str">
        <f>'001'!D4135</f>
        <v>0133</v>
      </c>
      <c r="D4135" s="3" t="e">
        <f>'001'!H4135</f>
        <v>#VALUE!</v>
      </c>
    </row>
    <row r="4136" spans="1:4" x14ac:dyDescent="0.25">
      <c r="A4136" s="1" t="str">
        <f>'001'!B4136</f>
        <v>007301</v>
      </c>
      <c r="B4136" s="1" t="str">
        <f>'001'!C4136</f>
        <v>F301 RUBI X 3,5</v>
      </c>
      <c r="C4136" s="1" t="str">
        <f>'001'!D4136</f>
        <v>0133</v>
      </c>
      <c r="D4136" s="3" t="e">
        <f>'001'!H4136</f>
        <v>#VALUE!</v>
      </c>
    </row>
    <row r="4137" spans="1:4" x14ac:dyDescent="0.25">
      <c r="A4137" s="1" t="str">
        <f>'001'!B4137</f>
        <v>007302</v>
      </c>
      <c r="B4137" s="1" t="str">
        <f>'001'!C4137</f>
        <v>F302 VIOLETA X 3,5</v>
      </c>
      <c r="C4137" s="1" t="str">
        <f>'001'!D4137</f>
        <v>0133</v>
      </c>
      <c r="D4137" s="3" t="e">
        <f>'001'!H4137</f>
        <v>#VALUE!</v>
      </c>
    </row>
    <row r="4138" spans="1:4" x14ac:dyDescent="0.25">
      <c r="A4138" s="1" t="str">
        <f>'001'!B4138</f>
        <v>007304</v>
      </c>
      <c r="B4138" s="1" t="str">
        <f>'001'!C4138</f>
        <v>F304 ROJO X 3,5</v>
      </c>
      <c r="C4138" s="1" t="str">
        <f>'001'!D4138</f>
        <v>0133</v>
      </c>
      <c r="D4138" s="3" t="e">
        <f>'001'!H4138</f>
        <v>#VALUE!</v>
      </c>
    </row>
    <row r="4139" spans="1:4" x14ac:dyDescent="0.25">
      <c r="A4139" s="1" t="str">
        <f>'001'!B4139</f>
        <v>007305</v>
      </c>
      <c r="B4139" s="1" t="str">
        <f>'001'!C4139</f>
        <v>F305 ROJO ESCARLATA X 3,5</v>
      </c>
      <c r="C4139" s="1" t="str">
        <f>'001'!D4139</f>
        <v>0133</v>
      </c>
      <c r="D4139" s="3" t="e">
        <f>'001'!H4139</f>
        <v>#VALUE!</v>
      </c>
    </row>
    <row r="4140" spans="1:4" x14ac:dyDescent="0.25">
      <c r="A4140" s="1" t="str">
        <f>'001'!B4140</f>
        <v>007306</v>
      </c>
      <c r="B4140" s="1" t="str">
        <f>'001'!C4140</f>
        <v>F306 AMARILLO ESPLENDIDO X 3,5</v>
      </c>
      <c r="C4140" s="1" t="str">
        <f>'001'!D4140</f>
        <v>0133</v>
      </c>
      <c r="D4140" s="3" t="e">
        <f>'001'!H4140</f>
        <v>#VALUE!</v>
      </c>
    </row>
    <row r="4141" spans="1:4" x14ac:dyDescent="0.25">
      <c r="A4141" s="1" t="str">
        <f>'001'!B4141</f>
        <v>007308</v>
      </c>
      <c r="B4141" s="1" t="str">
        <f>'001'!C4141</f>
        <v>F308 AMARILLO ORGANICO CLARO X 3,5</v>
      </c>
      <c r="C4141" s="1" t="str">
        <f>'001'!D4141</f>
        <v>0133</v>
      </c>
      <c r="D4141" s="3" t="e">
        <f>'001'!H4141</f>
        <v>#VALUE!</v>
      </c>
    </row>
    <row r="4142" spans="1:4" x14ac:dyDescent="0.25">
      <c r="A4142" s="1" t="str">
        <f>'001'!B4142</f>
        <v>007309</v>
      </c>
      <c r="B4142" s="1" t="str">
        <f>'001'!C4142</f>
        <v>F309 NARANJA ORGANICO CLARO X 3,5</v>
      </c>
      <c r="C4142" s="1" t="str">
        <f>'001'!D4142</f>
        <v>0133</v>
      </c>
      <c r="D4142" s="3" t="e">
        <f>'001'!H4142</f>
        <v>#VALUE!</v>
      </c>
    </row>
    <row r="4143" spans="1:4" x14ac:dyDescent="0.25">
      <c r="A4143" s="1" t="str">
        <f>'001'!B4143</f>
        <v>007311</v>
      </c>
      <c r="B4143" s="1" t="str">
        <f>'001'!C4143</f>
        <v>F311 AMARILLO CROMO X 3,5 (DISCONTINUADO)</v>
      </c>
      <c r="C4143" s="1" t="str">
        <f>'001'!D4143</f>
        <v>0133</v>
      </c>
      <c r="D4143" s="3" t="e">
        <f>'001'!H4143</f>
        <v>#VALUE!</v>
      </c>
    </row>
    <row r="4144" spans="1:4" x14ac:dyDescent="0.25">
      <c r="A4144" s="1" t="str">
        <f>'001'!B4144</f>
        <v>007312</v>
      </c>
      <c r="B4144" s="1" t="str">
        <f>'001'!C4144</f>
        <v>F312 NARANJA X 3,5 (DISCONTINUADO)</v>
      </c>
      <c r="C4144" s="1" t="str">
        <f>'001'!D4144</f>
        <v>0133</v>
      </c>
      <c r="D4144" s="3" t="e">
        <f>'001'!H4144</f>
        <v>#VALUE!</v>
      </c>
    </row>
    <row r="4145" spans="1:4" x14ac:dyDescent="0.25">
      <c r="A4145" s="1" t="str">
        <f>'001'!B4145</f>
        <v>007313</v>
      </c>
      <c r="B4145" s="1" t="str">
        <f>'001'!C4145</f>
        <v>F313 AMARILLO ORGANICO X 3,5</v>
      </c>
      <c r="C4145" s="1" t="str">
        <f>'001'!D4145</f>
        <v>0133</v>
      </c>
      <c r="D4145" s="3" t="e">
        <f>'001'!H4145</f>
        <v>#VALUE!</v>
      </c>
    </row>
    <row r="4146" spans="1:4" x14ac:dyDescent="0.25">
      <c r="A4146" s="1" t="str">
        <f>'001'!B4146</f>
        <v>007314</v>
      </c>
      <c r="B4146" s="1" t="str">
        <f>'001'!C4146</f>
        <v>F314 VERDE MEDIO X 3,5</v>
      </c>
      <c r="C4146" s="1" t="str">
        <f>'001'!D4146</f>
        <v>0133</v>
      </c>
      <c r="D4146" s="3" t="e">
        <f>'001'!H4146</f>
        <v>#VALUE!</v>
      </c>
    </row>
    <row r="4147" spans="1:4" x14ac:dyDescent="0.25">
      <c r="A4147" s="1" t="str">
        <f>'001'!B4147</f>
        <v>007315</v>
      </c>
      <c r="B4147" s="1" t="str">
        <f>'001'!C4147</f>
        <v>F315 VERDE ORGANICO OSCURO X 3,5</v>
      </c>
      <c r="C4147" s="1" t="str">
        <f>'001'!D4147</f>
        <v>0133</v>
      </c>
      <c r="D4147" s="3" t="e">
        <f>'001'!H4147</f>
        <v>#VALUE!</v>
      </c>
    </row>
    <row r="4148" spans="1:4" x14ac:dyDescent="0.25">
      <c r="A4148" s="1" t="str">
        <f>'001'!B4148</f>
        <v>007316</v>
      </c>
      <c r="B4148" s="1" t="str">
        <f>'001'!C4148</f>
        <v>FBR029.01 ALUMINIO FINO X 3,5(EX F3160GL)</v>
      </c>
      <c r="C4148" s="1" t="str">
        <f>'001'!D4148</f>
        <v>0133</v>
      </c>
      <c r="D4148" s="3" t="e">
        <f>'001'!H4148</f>
        <v>#VALUE!</v>
      </c>
    </row>
    <row r="4149" spans="1:4" x14ac:dyDescent="0.25">
      <c r="A4149" s="1" t="str">
        <f>'001'!B4149</f>
        <v>007317</v>
      </c>
      <c r="B4149" s="1" t="str">
        <f>'001'!C4149</f>
        <v>F317.01 OXIDO AMARILLO X 3,5</v>
      </c>
      <c r="C4149" s="1" t="str">
        <f>'001'!D4149</f>
        <v>0133</v>
      </c>
      <c r="D4149" s="3" t="e">
        <f>'001'!H4149</f>
        <v>#VALUE!</v>
      </c>
    </row>
    <row r="4150" spans="1:4" x14ac:dyDescent="0.25">
      <c r="A4150" s="1" t="str">
        <f>'001'!B4150</f>
        <v>007318</v>
      </c>
      <c r="B4150" s="1" t="str">
        <f>'001'!C4150</f>
        <v>F318.01 NEGRO X 3,5</v>
      </c>
      <c r="C4150" s="1" t="str">
        <f>'001'!D4150</f>
        <v>0133</v>
      </c>
      <c r="D4150" s="3" t="e">
        <f>'001'!H4150</f>
        <v>#VALUE!</v>
      </c>
    </row>
    <row r="4151" spans="1:4" x14ac:dyDescent="0.25">
      <c r="A4151" s="1" t="str">
        <f>'001'!B4151</f>
        <v>007319</v>
      </c>
      <c r="B4151" s="1" t="str">
        <f>'001'!C4151</f>
        <v>F319 OXIDO ROJO X 3,5</v>
      </c>
      <c r="C4151" s="1" t="str">
        <f>'001'!D4151</f>
        <v>0133</v>
      </c>
      <c r="D4151" s="3" t="e">
        <f>'001'!H4151</f>
        <v>#VALUE!</v>
      </c>
    </row>
    <row r="4152" spans="1:4" x14ac:dyDescent="0.25">
      <c r="A4152" s="1" t="str">
        <f>'001'!B4152</f>
        <v>007320</v>
      </c>
      <c r="B4152" s="1" t="str">
        <f>'001'!C4152</f>
        <v>F320.01 AZUL ORGANICO X 3,5</v>
      </c>
      <c r="C4152" s="1" t="str">
        <f>'001'!D4152</f>
        <v>0133</v>
      </c>
      <c r="D4152" s="3" t="e">
        <f>'001'!H4152</f>
        <v>#VALUE!</v>
      </c>
    </row>
    <row r="4153" spans="1:4" x14ac:dyDescent="0.25">
      <c r="A4153" s="1" t="str">
        <f>'001'!B4153</f>
        <v>007321</v>
      </c>
      <c r="B4153" s="1" t="str">
        <f>'001'!C4153</f>
        <v>F321.01 AZUL NOCHE X 3,5</v>
      </c>
      <c r="C4153" s="1" t="str">
        <f>'001'!D4153</f>
        <v>0133</v>
      </c>
      <c r="D4153" s="3" t="e">
        <f>'001'!H4153</f>
        <v>#VALUE!</v>
      </c>
    </row>
    <row r="4154" spans="1:4" x14ac:dyDescent="0.25">
      <c r="A4154" s="1" t="str">
        <f>'001'!B4154</f>
        <v>007323</v>
      </c>
      <c r="B4154" s="1" t="str">
        <f>'001'!C4154</f>
        <v>F323 ROJO VIVO X 3,5</v>
      </c>
      <c r="C4154" s="1" t="str">
        <f>'001'!D4154</f>
        <v>0133</v>
      </c>
      <c r="D4154" s="3" t="e">
        <f>'001'!H4154</f>
        <v>#VALUE!</v>
      </c>
    </row>
    <row r="4155" spans="1:4" x14ac:dyDescent="0.25">
      <c r="A4155" s="1" t="str">
        <f>'001'!B4155</f>
        <v>007324</v>
      </c>
      <c r="B4155" s="1" t="str">
        <f>'001'!C4155</f>
        <v>F324 NEGRO INT X 3,5</v>
      </c>
      <c r="C4155" s="1" t="str">
        <f>'001'!D4155</f>
        <v>0133</v>
      </c>
      <c r="D4155" s="3" t="e">
        <f>'001'!H4155</f>
        <v>#VALUE!</v>
      </c>
    </row>
    <row r="4156" spans="1:4" x14ac:dyDescent="0.25">
      <c r="A4156" s="1" t="str">
        <f>'001'!B4156</f>
        <v>007325</v>
      </c>
      <c r="B4156" s="1" t="str">
        <f>'001'!C4156</f>
        <v>F325.01 NARANJA PERMANENTE X 3,5</v>
      </c>
      <c r="C4156" s="1" t="str">
        <f>'001'!D4156</f>
        <v>0133</v>
      </c>
      <c r="D4156" s="3" t="e">
        <f>'001'!H4156</f>
        <v>#VALUE!</v>
      </c>
    </row>
    <row r="4157" spans="1:4" x14ac:dyDescent="0.25">
      <c r="A4157" s="1" t="str">
        <f>'001'!B4157</f>
        <v>007328</v>
      </c>
      <c r="B4157" s="1" t="str">
        <f>'001'!C4157</f>
        <v>F328 NARANJA ORGANICO X 3,5</v>
      </c>
      <c r="C4157" s="1" t="str">
        <f>'001'!D4157</f>
        <v>0133</v>
      </c>
      <c r="D4157" s="3" t="e">
        <f>'001'!H4157</f>
        <v>#VALUE!</v>
      </c>
    </row>
    <row r="4158" spans="1:4" x14ac:dyDescent="0.25">
      <c r="A4158" s="1" t="str">
        <f>'001'!B4158</f>
        <v>007341</v>
      </c>
      <c r="B4158" s="1" t="str">
        <f>'001'!C4158</f>
        <v>F341.20 RESINA PU LINEA 350 X 20</v>
      </c>
      <c r="C4158" s="1" t="str">
        <f>'001'!D4158</f>
        <v>0133</v>
      </c>
      <c r="D4158" s="3" t="e">
        <f>'001'!H4158</f>
        <v>#VALUE!</v>
      </c>
    </row>
    <row r="4159" spans="1:4" x14ac:dyDescent="0.25">
      <c r="A4159" s="1" t="str">
        <f>'001'!B4159</f>
        <v>007342</v>
      </c>
      <c r="B4159" s="1" t="str">
        <f>'001'!C4159</f>
        <v>FBR197.01 RESINA ACRILICA MATE X 3,5 (F342)</v>
      </c>
      <c r="C4159" s="1" t="str">
        <f>'001'!D4159</f>
        <v>0133</v>
      </c>
      <c r="D4159" s="3" t="e">
        <f>'001'!H4159</f>
        <v>#VALUE!</v>
      </c>
    </row>
    <row r="4160" spans="1:4" x14ac:dyDescent="0.25">
      <c r="A4160" s="1" t="str">
        <f>'001'!B4160</f>
        <v>007346</v>
      </c>
      <c r="B4160" s="1" t="str">
        <f>'001'!C4160</f>
        <v>F3460JL RESINA NITRO ACRILICA- NA X 5 (DISCONTINUADO)</v>
      </c>
      <c r="C4160" s="1" t="str">
        <f>'001'!D4160</f>
        <v>0133</v>
      </c>
      <c r="D4160" s="3" t="e">
        <f>'001'!H4160</f>
        <v>#VALUE!</v>
      </c>
    </row>
    <row r="4161" spans="1:4" x14ac:dyDescent="0.25">
      <c r="A4161" s="1" t="str">
        <f>'001'!B4161</f>
        <v>007349</v>
      </c>
      <c r="B4161" s="1" t="str">
        <f>'001'!C4161</f>
        <v>BS-02 ADITIVO SEC X 1</v>
      </c>
      <c r="C4161" s="1" t="str">
        <f>'001'!D4161</f>
        <v>0133</v>
      </c>
      <c r="D4161" s="3" t="e">
        <f>'001'!H4161</f>
        <v>#VALUE!</v>
      </c>
    </row>
    <row r="4162" spans="1:4" x14ac:dyDescent="0.25">
      <c r="A4162" s="1" t="str">
        <f>'001'!B4162</f>
        <v>007351</v>
      </c>
      <c r="B4162" s="1" t="str">
        <f>'001'!C4162</f>
        <v>F351.10 RESINA EPOXI X 5</v>
      </c>
      <c r="C4162" s="1" t="str">
        <f>'001'!D4162</f>
        <v>0133</v>
      </c>
      <c r="D4162" s="3" t="e">
        <f>'001'!H4162</f>
        <v>#VALUE!</v>
      </c>
    </row>
    <row r="4163" spans="1:4" x14ac:dyDescent="0.25">
      <c r="A4163" s="1" t="str">
        <f>'001'!B4163</f>
        <v>007359</v>
      </c>
      <c r="B4163" s="1" t="str">
        <f>'001'!C4163</f>
        <v>F359 CATALIZADOR EPOXI X 1</v>
      </c>
      <c r="C4163" s="1" t="str">
        <f>'001'!D4163</f>
        <v>0133</v>
      </c>
      <c r="D4163" s="3" t="e">
        <f>'001'!H4163</f>
        <v>#VALUE!</v>
      </c>
    </row>
    <row r="4164" spans="1:4" x14ac:dyDescent="0.25">
      <c r="A4164" s="1" t="str">
        <f>'001'!B4164</f>
        <v>007361</v>
      </c>
      <c r="B4164" s="1" t="str">
        <f>'001'!C4164</f>
        <v>END010.10 CATALIZADOR NORMAL ACS X 5</v>
      </c>
      <c r="C4164" s="1" t="str">
        <f>'001'!D4164</f>
        <v>0132</v>
      </c>
      <c r="D4164" s="3" t="e">
        <f>'001'!H4164</f>
        <v>#VALUE!</v>
      </c>
    </row>
    <row r="4165" spans="1:4" x14ac:dyDescent="0.25">
      <c r="A4165" s="1" t="str">
        <f>'001'!B4165</f>
        <v>007362</v>
      </c>
      <c r="B4165" s="1" t="str">
        <f>'001'!C4165</f>
        <v>F362 CATALIZADOR MS RAPIDO X 1 (DISCONTINUADO)</v>
      </c>
      <c r="C4165" s="1" t="str">
        <f>'001'!D4165</f>
        <v>0133</v>
      </c>
      <c r="D4165" s="3" t="e">
        <f>'001'!H4165</f>
        <v>#VALUE!</v>
      </c>
    </row>
    <row r="4166" spans="1:4" x14ac:dyDescent="0.25">
      <c r="A4166" s="1" t="str">
        <f>'001'!B4166</f>
        <v>007365</v>
      </c>
      <c r="B4166" s="1" t="str">
        <f>'001'!C4166</f>
        <v>F365 CATALIZADOR WASH PRIMER X 2 (DISCONTINUADO)</v>
      </c>
      <c r="C4166" s="1" t="str">
        <f>'001'!D4166</f>
        <v>0133</v>
      </c>
      <c r="D4166" s="3" t="e">
        <f>'001'!H4166</f>
        <v>#VALUE!</v>
      </c>
    </row>
    <row r="4167" spans="1:4" x14ac:dyDescent="0.25">
      <c r="A4167" s="1" t="str">
        <f>'001'!B4167</f>
        <v>007369</v>
      </c>
      <c r="B4167" s="1" t="str">
        <f>'001'!C4167</f>
        <v>F369 CATALIZADOR MS CLEAR F380 DU 1001 X 5</v>
      </c>
      <c r="C4167" s="1" t="str">
        <f>'001'!D4167</f>
        <v>0133</v>
      </c>
      <c r="D4167" s="3" t="e">
        <f>'001'!H4167</f>
        <v>#VALUE!</v>
      </c>
    </row>
    <row r="4168" spans="1:4" x14ac:dyDescent="0.25">
      <c r="A4168" s="1" t="str">
        <f>'001'!B4168</f>
        <v>007372</v>
      </c>
      <c r="B4168" s="1" t="str">
        <f>'001'!C4168</f>
        <v>BTC-1000.01 CLEARS PARA TRICAPAS ACS X 3.500</v>
      </c>
      <c r="C4168" s="1" t="str">
        <f>'001'!D4168</f>
        <v>0132</v>
      </c>
      <c r="D4168" s="3" t="e">
        <f>'001'!H4168</f>
        <v>#VALUE!</v>
      </c>
    </row>
    <row r="4169" spans="1:4" x14ac:dyDescent="0.25">
      <c r="A4169" s="1" t="str">
        <f>'001'!B4169</f>
        <v>007380</v>
      </c>
      <c r="B4169" s="1" t="str">
        <f>'001'!C4169</f>
        <v>BN-01P CLEAR NITROCELULOSICO ACS X 4 (DISCONTINUADO)</v>
      </c>
      <c r="C4169" s="1" t="str">
        <f>'001'!D4169</f>
        <v>0132</v>
      </c>
      <c r="D4169" s="3" t="e">
        <f>'001'!H4169</f>
        <v>#VALUE!</v>
      </c>
    </row>
    <row r="4170" spans="1:4" x14ac:dyDescent="0.25">
      <c r="A4170" s="1" t="str">
        <f>'001'!B4170</f>
        <v>007381</v>
      </c>
      <c r="B4170" s="1" t="str">
        <f>'001'!C4170</f>
        <v>F3800JL 2K ANTIGRAFITI X 5</v>
      </c>
      <c r="C4170" s="1" t="str">
        <f>'001'!D4170</f>
        <v>0133</v>
      </c>
      <c r="D4170" s="3" t="e">
        <f>'001'!H4170</f>
        <v>#VALUE!</v>
      </c>
    </row>
    <row r="4171" spans="1:4" x14ac:dyDescent="0.25">
      <c r="A4171" s="1" t="str">
        <f>'001'!B4171</f>
        <v>007385</v>
      </c>
      <c r="B4171" s="1" t="str">
        <f>'001'!C4171</f>
        <v>F385.04 MATEANTE PARA QD SINTETICO 1K X 0,900</v>
      </c>
      <c r="C4171" s="1" t="str">
        <f>'001'!D4171</f>
        <v>0133</v>
      </c>
      <c r="D4171" s="3" t="e">
        <f>'001'!H4171</f>
        <v>#VALUE!</v>
      </c>
    </row>
    <row r="4172" spans="1:4" x14ac:dyDescent="0.25">
      <c r="A4172" s="1" t="str">
        <f>'001'!B4172</f>
        <v>007392</v>
      </c>
      <c r="B4172" s="1" t="str">
        <f>'001'!C4172</f>
        <v>F392.01 FONDO 2K HS RELLENO X 3.500</v>
      </c>
      <c r="C4172" s="1" t="str">
        <f>'001'!D4172</f>
        <v>0133</v>
      </c>
      <c r="D4172" s="3" t="e">
        <f>'001'!H4172</f>
        <v>#VALUE!</v>
      </c>
    </row>
    <row r="4173" spans="1:4" x14ac:dyDescent="0.25">
      <c r="A4173" s="1" t="str">
        <f>'001'!B4173</f>
        <v>007393</v>
      </c>
      <c r="B4173" s="1" t="str">
        <f>'001'!C4173</f>
        <v>F3930HL WASH PRIMER BASE SIN CROMATOS X 4</v>
      </c>
      <c r="C4173" s="1" t="str">
        <f>'001'!D4173</f>
        <v>0133</v>
      </c>
      <c r="D4173" s="3" t="e">
        <f>'001'!H4173</f>
        <v>#VALUE!</v>
      </c>
    </row>
    <row r="4174" spans="1:4" x14ac:dyDescent="0.25">
      <c r="A4174" s="1" t="str">
        <f>'001'!B4174</f>
        <v>007400</v>
      </c>
      <c r="B4174" s="1" t="str">
        <f>'001'!C4174</f>
        <v>A400 BASE SINT. EXT. RAP. X 20</v>
      </c>
      <c r="C4174" s="1" t="str">
        <f>'001'!D4174</f>
        <v>0133</v>
      </c>
      <c r="D4174" s="3" t="e">
        <f>'001'!H4174</f>
        <v>#VALUE!</v>
      </c>
    </row>
    <row r="4175" spans="1:4" x14ac:dyDescent="0.25">
      <c r="A4175" s="1" t="str">
        <f>'001'!B4175</f>
        <v>007402</v>
      </c>
      <c r="B4175" s="1" t="str">
        <f>'001'!C4175</f>
        <v>DP402LF CATALIZADOR RAPIDO P/DP40LF X 0,473</v>
      </c>
      <c r="C4175" s="1" t="str">
        <f>'001'!D4175</f>
        <v>0133</v>
      </c>
      <c r="D4175" s="3" t="e">
        <f>'001'!H4175</f>
        <v>#VALUE!</v>
      </c>
    </row>
    <row r="4176" spans="1:4" x14ac:dyDescent="0.25">
      <c r="A4176" s="1" t="str">
        <f>'001'!B4176</f>
        <v>007420</v>
      </c>
      <c r="B4176" s="1" t="str">
        <f>'001'!C4176</f>
        <v>F420.20 RESINA PU LINEA 290 X 20</v>
      </c>
      <c r="C4176" s="1" t="str">
        <f>'001'!D4176</f>
        <v>0133</v>
      </c>
      <c r="D4176" s="3" t="e">
        <f>'001'!H4176</f>
        <v>#VALUE!</v>
      </c>
    </row>
    <row r="4177" spans="1:4" x14ac:dyDescent="0.25">
      <c r="A4177" s="1" t="str">
        <f>'001'!B4177</f>
        <v>007421</v>
      </c>
      <c r="B4177" s="1" t="str">
        <f>'001'!C4177</f>
        <v>F421.01 BLANCA LINEA 290 X 3,5</v>
      </c>
      <c r="C4177" s="1" t="str">
        <f>'001'!D4177</f>
        <v>0133</v>
      </c>
      <c r="D4177" s="3" t="e">
        <f>'001'!H4177</f>
        <v>#VALUE!</v>
      </c>
    </row>
    <row r="4178" spans="1:4" x14ac:dyDescent="0.25">
      <c r="A4178" s="1" t="str">
        <f>'001'!B4178</f>
        <v>007440</v>
      </c>
      <c r="B4178" s="1" t="str">
        <f>'001'!C4178</f>
        <v>DP50LF/04 FONDO EPOXI X 0,946(EX DP40LF)</v>
      </c>
      <c r="C4178" s="1" t="str">
        <f>'001'!D4178</f>
        <v>0133</v>
      </c>
      <c r="D4178" s="3" t="e">
        <f>'001'!H4178</f>
        <v>#VALUE!</v>
      </c>
    </row>
    <row r="4179" spans="1:4" x14ac:dyDescent="0.25">
      <c r="A4179" s="1" t="str">
        <f>'001'!B4179</f>
        <v>007445</v>
      </c>
      <c r="B4179" s="1" t="str">
        <f>'001'!C4179</f>
        <v>AEROSOL RUST-OLEUM PARA LLANTAS ACERO X 0,340 (248927 / 313522)</v>
      </c>
      <c r="C4179" s="1" t="str">
        <f>'001'!D4179</f>
        <v>0145</v>
      </c>
      <c r="D4179" s="3" t="e">
        <f>'001'!H4179</f>
        <v>#VALUE!</v>
      </c>
    </row>
    <row r="4180" spans="1:4" x14ac:dyDescent="0.25">
      <c r="A4180" s="1" t="str">
        <f>'001'!B4180</f>
        <v>007446</v>
      </c>
      <c r="B4180" s="1" t="str">
        <f>'001'!C4180</f>
        <v>AEROSOL RUST-OLEUM PARA LLANTAS MATE NEGRO X 0,340 (248928 / 313547)</v>
      </c>
      <c r="C4180" s="1" t="str">
        <f>'001'!D4180</f>
        <v>0145</v>
      </c>
      <c r="D4180" s="3" t="e">
        <f>'001'!H4180</f>
        <v>#VALUE!</v>
      </c>
    </row>
    <row r="4181" spans="1:4" x14ac:dyDescent="0.25">
      <c r="A4181" s="1" t="str">
        <f>'001'!B4181</f>
        <v>007447</v>
      </c>
      <c r="B4181" s="1" t="str">
        <f>'001'!C4181</f>
        <v>AEROSOL RUST-OLEUM PARA LLANTAS TRANSPARENTE X 0,340 (248929/313548)</v>
      </c>
      <c r="C4181" s="1" t="str">
        <f>'001'!D4181</f>
        <v>0145</v>
      </c>
      <c r="D4181" s="3" t="e">
        <f>'001'!H4181</f>
        <v>#VALUE!</v>
      </c>
    </row>
    <row r="4182" spans="1:4" x14ac:dyDescent="0.25">
      <c r="A4182" s="1" t="str">
        <f>'001'!B4182</f>
        <v>007448</v>
      </c>
      <c r="B4182" s="1" t="str">
        <f>'001'!C4182</f>
        <v>AEROSOL RUST-OLEUM PARA LLANTAS GRAFITO X 0,340 (248930 / 313523)</v>
      </c>
      <c r="C4182" s="1" t="str">
        <f>'001'!D4182</f>
        <v>0145</v>
      </c>
      <c r="D4182" s="3" t="e">
        <f>'001'!H4182</f>
        <v>#VALUE!</v>
      </c>
    </row>
    <row r="4183" spans="1:4" x14ac:dyDescent="0.25">
      <c r="A4183" s="1" t="str">
        <f>'001'!B4183</f>
        <v>007449</v>
      </c>
      <c r="B4183" s="1" t="str">
        <f>'001'!C4183</f>
        <v>AEROSOL RUST-OLEUM PROTECTOR DE CAUCHO NEGRO X 0,425 (248657 / 313552)</v>
      </c>
      <c r="C4183" s="1" t="str">
        <f>'001'!D4183</f>
        <v>0145</v>
      </c>
      <c r="D4183" s="3" t="e">
        <f>'001'!H4183</f>
        <v>#VALUE!</v>
      </c>
    </row>
    <row r="4184" spans="1:4" x14ac:dyDescent="0.25">
      <c r="A4184" s="1" t="str">
        <f>'001'!B4184</f>
        <v>007450</v>
      </c>
      <c r="B4184" s="1" t="str">
        <f>'001'!C4184</f>
        <v>AEROSOL RUST-OLEUM PARA FARO TRASLUCIDO NEGRO X 0,340 (253256-371262)</v>
      </c>
      <c r="C4184" s="1" t="str">
        <f>'001'!D4184</f>
        <v>0145</v>
      </c>
      <c r="D4184" s="3" t="e">
        <f>'001'!H4184</f>
        <v>#VALUE!</v>
      </c>
    </row>
    <row r="4185" spans="1:4" x14ac:dyDescent="0.25">
      <c r="A4185" s="1" t="str">
        <f>'001'!B4185</f>
        <v>007451</v>
      </c>
      <c r="B4185" s="1" t="str">
        <f>'001'!C4185</f>
        <v>AEROSOL RUST-OLEUM PROTECTOR TEMPORAL TRANSPARENTE X 0,396 (263420)</v>
      </c>
      <c r="C4185" s="1" t="str">
        <f>'001'!D4185</f>
        <v>0902</v>
      </c>
      <c r="D4185" s="3" t="e">
        <f>'001'!H4185</f>
        <v>#VALUE!</v>
      </c>
    </row>
    <row r="4186" spans="1:4" x14ac:dyDescent="0.25">
      <c r="A4186" s="1" t="str">
        <f>'001'!B4186</f>
        <v>007452</v>
      </c>
      <c r="B4186" s="1" t="str">
        <f>'001'!C4186</f>
        <v>AEROSOL RUST-OLEUM SELLADOR LEAKSEAL NEGRO X 0,340(265494)</v>
      </c>
      <c r="C4186" s="1" t="str">
        <f>'001'!D4186</f>
        <v>0146</v>
      </c>
      <c r="D4186" s="3" t="e">
        <f>'001'!H4186</f>
        <v>#VALUE!</v>
      </c>
    </row>
    <row r="4187" spans="1:4" x14ac:dyDescent="0.25">
      <c r="A4187" s="1" t="str">
        <f>'001'!B4187</f>
        <v>007453</v>
      </c>
      <c r="B4187" s="1" t="str">
        <f>'001'!C4187</f>
        <v>AEROSOL RUST-OLEUM SELLADOR LEAKSEAL TRANSPARENTE X 0,340(265495)</v>
      </c>
      <c r="C4187" s="1" t="str">
        <f>'001'!D4187</f>
        <v>0902</v>
      </c>
      <c r="D4187" s="3" t="e">
        <f>'001'!H4187</f>
        <v>#VALUE!</v>
      </c>
    </row>
    <row r="4188" spans="1:4" x14ac:dyDescent="0.25">
      <c r="A4188" s="1" t="str">
        <f>'001'!B4188</f>
        <v>007454</v>
      </c>
      <c r="B4188" s="1" t="str">
        <f>'001'!C4188</f>
        <v>AEROSOL RUST-OLEUM SELLADOR LEAKSEAL BLANCO X 0,340(270786/267970)</v>
      </c>
      <c r="C4188" s="1" t="str">
        <f>'001'!D4188</f>
        <v>0146</v>
      </c>
      <c r="D4188" s="3" t="e">
        <f>'001'!H4188</f>
        <v>#VALUE!</v>
      </c>
    </row>
    <row r="4189" spans="1:4" x14ac:dyDescent="0.25">
      <c r="A4189" s="1" t="str">
        <f>'001'!B4189</f>
        <v>007455</v>
      </c>
      <c r="B4189" s="1" t="str">
        <f>'001'!C4189</f>
        <v>AEROSOL RUST-OLEUM SELLADOR LEAKSEAL ALUMINIO X 0,340(267972)</v>
      </c>
      <c r="C4189" s="1" t="str">
        <f>'001'!D4189</f>
        <v>0902</v>
      </c>
      <c r="D4189" s="3" t="e">
        <f>'001'!H4189</f>
        <v>#VALUE!</v>
      </c>
    </row>
    <row r="4190" spans="1:4" x14ac:dyDescent="0.25">
      <c r="A4190" s="1" t="str">
        <f>'001'!B4190</f>
        <v>007456</v>
      </c>
      <c r="B4190" s="1" t="str">
        <f>'001'!C4190</f>
        <v>GATILLO APLICADOR RUST-OLEUM(241526)</v>
      </c>
      <c r="C4190" s="1" t="str">
        <f>'001'!D4190</f>
        <v>0146</v>
      </c>
      <c r="D4190" s="3" t="e">
        <f>'001'!H4190</f>
        <v>#VALUE!</v>
      </c>
    </row>
    <row r="4191" spans="1:4" x14ac:dyDescent="0.25">
      <c r="A4191" s="1" t="str">
        <f>'001'!B4191</f>
        <v>007457</v>
      </c>
      <c r="B4191" s="1" t="str">
        <f>'001'!C4191</f>
        <v>AEROSOL RUST-OLEUM PARA CALIPERS ROJO X 0,340 (251591 / 313516)</v>
      </c>
      <c r="C4191" s="1" t="str">
        <f>'001'!D4191</f>
        <v>0145</v>
      </c>
      <c r="D4191" s="3" t="e">
        <f>'001'!H4191</f>
        <v>#VALUE!</v>
      </c>
    </row>
    <row r="4192" spans="1:4" x14ac:dyDescent="0.25">
      <c r="A4192" s="1" t="str">
        <f>'001'!B4192</f>
        <v>007458</v>
      </c>
      <c r="B4192" s="1" t="str">
        <f>'001'!C4192</f>
        <v>AEROSOL RUST-OLEUM PARA CALIPERS NEGRO X 0,340 (313544/358862)</v>
      </c>
      <c r="C4192" s="1" t="str">
        <f>'001'!D4192</f>
        <v>0145</v>
      </c>
      <c r="D4192" s="3" t="e">
        <f>'001'!H4192</f>
        <v>#VALUE!</v>
      </c>
    </row>
    <row r="4193" spans="1:4" x14ac:dyDescent="0.25">
      <c r="A4193" s="1" t="str">
        <f>'001'!B4193</f>
        <v>007461</v>
      </c>
      <c r="B4193" s="1" t="str">
        <f>'001'!C4193</f>
        <v>DESENCOFRANTE WEBER AMBAR X 20</v>
      </c>
      <c r="C4193" s="1" t="str">
        <f>'001'!D4193</f>
        <v>0163</v>
      </c>
      <c r="D4193" s="3" t="e">
        <f>'001'!H4193</f>
        <v>#VALUE!</v>
      </c>
    </row>
    <row r="4194" spans="1:4" x14ac:dyDescent="0.25">
      <c r="A4194" s="1" t="str">
        <f>'001'!B4194</f>
        <v>007462</v>
      </c>
      <c r="B4194" s="1" t="str">
        <f>'001'!C4194</f>
        <v>DESENCOFRANTE WEBER AMBAR X 200</v>
      </c>
      <c r="C4194" s="1" t="str">
        <f>'001'!D4194</f>
        <v>0163</v>
      </c>
      <c r="D4194" s="3" t="e">
        <f>'001'!H4194</f>
        <v>#VALUE!</v>
      </c>
    </row>
    <row r="4195" spans="1:4" x14ac:dyDescent="0.25">
      <c r="A4195" s="1" t="str">
        <f>'001'!B4195</f>
        <v>007800</v>
      </c>
      <c r="B4195" s="1" t="str">
        <f>'001'!C4195</f>
        <v>D800.04 BARNIZ CONCEPT 2020 DELTRON X 0,675</v>
      </c>
      <c r="C4195" s="1" t="str">
        <f>'001'!D4195</f>
        <v>0134</v>
      </c>
      <c r="D4195" s="3" t="e">
        <f>'001'!H4195</f>
        <v>#VALUE!</v>
      </c>
    </row>
    <row r="4196" spans="1:4" x14ac:dyDescent="0.25">
      <c r="A4196" s="1" t="str">
        <f>'001'!B4196</f>
        <v>007803</v>
      </c>
      <c r="B4196" s="1" t="str">
        <f>'001'!C4196</f>
        <v>D803.11 CATALIZADOR RAPIDO DELTRON X 1</v>
      </c>
      <c r="C4196" s="1" t="str">
        <f>'001'!D4196</f>
        <v>0134</v>
      </c>
      <c r="D4196" s="3" t="e">
        <f>'001'!H4196</f>
        <v>#VALUE!</v>
      </c>
    </row>
    <row r="4197" spans="1:4" x14ac:dyDescent="0.25">
      <c r="A4197" s="1" t="str">
        <f>'001'!B4197</f>
        <v>007812</v>
      </c>
      <c r="B4197" s="1" t="str">
        <f>'001'!C4197</f>
        <v>D812 DILUYENTE LENTO PPG X 18</v>
      </c>
      <c r="C4197" s="1" t="str">
        <f>'001'!D4197</f>
        <v>0134</v>
      </c>
      <c r="D4197" s="3" t="e">
        <f>'001'!H4197</f>
        <v>#VALUE!</v>
      </c>
    </row>
    <row r="4198" spans="1:4" x14ac:dyDescent="0.25">
      <c r="A4198" s="1" t="str">
        <f>'001'!B4198</f>
        <v>007841</v>
      </c>
      <c r="B4198" s="1" t="str">
        <f>'001'!C4198</f>
        <v>D841.11 CATALIZADOR MEDIO DELTRON X 1.0</v>
      </c>
      <c r="C4198" s="1" t="str">
        <f>'001'!D4198</f>
        <v>0134</v>
      </c>
      <c r="D4198" s="3" t="e">
        <f>'001'!H4198</f>
        <v>#VALUE!</v>
      </c>
    </row>
    <row r="4199" spans="1:4" x14ac:dyDescent="0.25">
      <c r="A4199" s="1" t="str">
        <f>'001'!B4199</f>
        <v>007884</v>
      </c>
      <c r="B4199" s="1" t="str">
        <f>'001'!C4199</f>
        <v>IMPREGNANTE PARA MADERA CETOL CLASSIC SATINADO CAOBA X  1</v>
      </c>
      <c r="C4199" s="1" t="str">
        <f>'001'!D4199</f>
        <v>0105</v>
      </c>
      <c r="D4199" s="3" t="e">
        <f>'001'!H4199</f>
        <v>#VALUE!</v>
      </c>
    </row>
    <row r="4200" spans="1:4" x14ac:dyDescent="0.25">
      <c r="A4200" s="1" t="str">
        <f>'001'!B4200</f>
        <v>007885</v>
      </c>
      <c r="B4200" s="1" t="str">
        <f>'001'!C4200</f>
        <v>IMPREGNANTE PARA MADERA CETOL CLASSIC SATINADO CEDRO X  1</v>
      </c>
      <c r="C4200" s="1" t="str">
        <f>'001'!D4200</f>
        <v>0105</v>
      </c>
      <c r="D4200" s="3" t="e">
        <f>'001'!H4200</f>
        <v>#VALUE!</v>
      </c>
    </row>
    <row r="4201" spans="1:4" x14ac:dyDescent="0.25">
      <c r="A4201" s="1" t="str">
        <f>'001'!B4201</f>
        <v>007886</v>
      </c>
      <c r="B4201" s="1" t="str">
        <f>'001'!C4201</f>
        <v>IMPREGNANTE PARA MADERA CETOL CLASSIC SATINADO CRISTAL X  1</v>
      </c>
      <c r="C4201" s="1" t="str">
        <f>'001'!D4201</f>
        <v>0105</v>
      </c>
      <c r="D4201" s="3" t="e">
        <f>'001'!H4201</f>
        <v>#VALUE!</v>
      </c>
    </row>
    <row r="4202" spans="1:4" x14ac:dyDescent="0.25">
      <c r="A4202" s="1" t="str">
        <f>'001'!B4202</f>
        <v>007887</v>
      </c>
      <c r="B4202" s="1" t="str">
        <f>'001'!C4202</f>
        <v>IMPREGNANTE PARA MADERA CETOL CLASSIC SATINADO NATURAL X  1</v>
      </c>
      <c r="C4202" s="1" t="str">
        <f>'001'!D4202</f>
        <v>0105</v>
      </c>
      <c r="D4202" s="3" t="e">
        <f>'001'!H4202</f>
        <v>#VALUE!</v>
      </c>
    </row>
    <row r="4203" spans="1:4" x14ac:dyDescent="0.25">
      <c r="A4203" s="1" t="str">
        <f>'001'!B4203</f>
        <v>007888</v>
      </c>
      <c r="B4203" s="1" t="str">
        <f>'001'!C4203</f>
        <v>IMPREGNANTE PARA MADERA CETOL CLASSIC SATINADO NOGAL X  1</v>
      </c>
      <c r="C4203" s="1" t="str">
        <f>'001'!D4203</f>
        <v>0105</v>
      </c>
      <c r="D4203" s="3" t="e">
        <f>'001'!H4203</f>
        <v>#VALUE!</v>
      </c>
    </row>
    <row r="4204" spans="1:4" x14ac:dyDescent="0.25">
      <c r="A4204" s="1" t="str">
        <f>'001'!B4204</f>
        <v>007889</v>
      </c>
      <c r="B4204" s="1" t="str">
        <f>'001'!C4204</f>
        <v>IMPREGNANTE PARA MADERA CETOL CLASSIC SATINADO ROBLE X  1</v>
      </c>
      <c r="C4204" s="1" t="str">
        <f>'001'!D4204</f>
        <v>0105</v>
      </c>
      <c r="D4204" s="3" t="e">
        <f>'001'!H4204</f>
        <v>#VALUE!</v>
      </c>
    </row>
    <row r="4205" spans="1:4" x14ac:dyDescent="0.25">
      <c r="A4205" s="1" t="str">
        <f>'001'!B4205</f>
        <v>007894</v>
      </c>
      <c r="B4205" s="1" t="str">
        <f>'001'!C4205</f>
        <v>IMPREGNANTE PARA MADERA CETOL CLASSIC SATINADO CAOBA X  4</v>
      </c>
      <c r="C4205" s="1" t="str">
        <f>'001'!D4205</f>
        <v>0105</v>
      </c>
      <c r="D4205" s="3" t="e">
        <f>'001'!H4205</f>
        <v>#VALUE!</v>
      </c>
    </row>
    <row r="4206" spans="1:4" x14ac:dyDescent="0.25">
      <c r="A4206" s="1" t="str">
        <f>'001'!B4206</f>
        <v>007895</v>
      </c>
      <c r="B4206" s="1" t="str">
        <f>'001'!C4206</f>
        <v>IMPREGNANTE PARA MADERA CETOL CLASSIC SATINADO CEDRO X  4</v>
      </c>
      <c r="C4206" s="1" t="str">
        <f>'001'!D4206</f>
        <v>0105</v>
      </c>
      <c r="D4206" s="3" t="e">
        <f>'001'!H4206</f>
        <v>#VALUE!</v>
      </c>
    </row>
    <row r="4207" spans="1:4" x14ac:dyDescent="0.25">
      <c r="A4207" s="1" t="str">
        <f>'001'!B4207</f>
        <v>007896</v>
      </c>
      <c r="B4207" s="1" t="str">
        <f>'001'!C4207</f>
        <v>IMPREGNANTE PARA MADERA CETOL CLASSIC SATINADO CRISTAL X  4</v>
      </c>
      <c r="C4207" s="1" t="str">
        <f>'001'!D4207</f>
        <v>0105</v>
      </c>
      <c r="D4207" s="3" t="e">
        <f>'001'!H4207</f>
        <v>#VALUE!</v>
      </c>
    </row>
    <row r="4208" spans="1:4" x14ac:dyDescent="0.25">
      <c r="A4208" s="1" t="str">
        <f>'001'!B4208</f>
        <v>007897</v>
      </c>
      <c r="B4208" s="1" t="str">
        <f>'001'!C4208</f>
        <v>IMPREGNANTE PARA MADERA CETOL CLASSIC SATINADO NATURAL X  4</v>
      </c>
      <c r="C4208" s="1" t="str">
        <f>'001'!D4208</f>
        <v>0105</v>
      </c>
      <c r="D4208" s="3" t="e">
        <f>'001'!H4208</f>
        <v>#VALUE!</v>
      </c>
    </row>
    <row r="4209" spans="1:4" x14ac:dyDescent="0.25">
      <c r="A4209" s="1" t="str">
        <f>'001'!B4209</f>
        <v>007898</v>
      </c>
      <c r="B4209" s="1" t="str">
        <f>'001'!C4209</f>
        <v>IMPREGNANTE PARA MADERA CETOL CLASSIC SATINADO NOGAL X  4</v>
      </c>
      <c r="C4209" s="1" t="str">
        <f>'001'!D4209</f>
        <v>0105</v>
      </c>
      <c r="D4209" s="3" t="e">
        <f>'001'!H4209</f>
        <v>#VALUE!</v>
      </c>
    </row>
    <row r="4210" spans="1:4" x14ac:dyDescent="0.25">
      <c r="A4210" s="1" t="str">
        <f>'001'!B4210</f>
        <v>007899</v>
      </c>
      <c r="B4210" s="1" t="str">
        <f>'001'!C4210</f>
        <v>IMPREGNANTE PARA MADERA CETOL CLASSIC SATINADO ROBLE X  4</v>
      </c>
      <c r="C4210" s="1" t="str">
        <f>'001'!D4210</f>
        <v>0105</v>
      </c>
      <c r="D4210" s="3" t="e">
        <f>'001'!H4210</f>
        <v>#VALUE!</v>
      </c>
    </row>
    <row r="4211" spans="1:4" x14ac:dyDescent="0.25">
      <c r="A4211" s="1" t="str">
        <f>'001'!B4211</f>
        <v>007901</v>
      </c>
      <c r="B4211" s="1" t="str">
        <f>'001'!C4211</f>
        <v>TINTA PARA MADERA CETOL ROBLE CLARO X 0,060</v>
      </c>
      <c r="C4211" s="1" t="str">
        <f>'001'!D4211</f>
        <v>0105</v>
      </c>
      <c r="D4211" s="3" t="e">
        <f>'001'!H4211</f>
        <v>#VALUE!</v>
      </c>
    </row>
    <row r="4212" spans="1:4" x14ac:dyDescent="0.25">
      <c r="A4212" s="1" t="str">
        <f>'001'!B4212</f>
        <v>007902</v>
      </c>
      <c r="B4212" s="1" t="str">
        <f>'001'!C4212</f>
        <v>TINTA PARA MADERA CETOL ROBLE OSCURO X 0,060</v>
      </c>
      <c r="C4212" s="1" t="str">
        <f>'001'!D4212</f>
        <v>0105</v>
      </c>
      <c r="D4212" s="3" t="e">
        <f>'001'!H4212</f>
        <v>#VALUE!</v>
      </c>
    </row>
    <row r="4213" spans="1:4" x14ac:dyDescent="0.25">
      <c r="A4213" s="1" t="str">
        <f>'001'!B4213</f>
        <v>007903</v>
      </c>
      <c r="B4213" s="1" t="str">
        <f>'001'!C4213</f>
        <v>TINTA PARA MADERA CETOL CEDRO X 0,060</v>
      </c>
      <c r="C4213" s="1" t="str">
        <f>'001'!D4213</f>
        <v>0105</v>
      </c>
      <c r="D4213" s="3" t="e">
        <f>'001'!H4213</f>
        <v>#VALUE!</v>
      </c>
    </row>
    <row r="4214" spans="1:4" x14ac:dyDescent="0.25">
      <c r="A4214" s="1" t="str">
        <f>'001'!B4214</f>
        <v>007904</v>
      </c>
      <c r="B4214" s="1" t="str">
        <f>'001'!C4214</f>
        <v>TINTA PARA MADERA CETOL CAOBA X 0,060</v>
      </c>
      <c r="C4214" s="1" t="str">
        <f>'001'!D4214</f>
        <v>0105</v>
      </c>
      <c r="D4214" s="3" t="e">
        <f>'001'!H4214</f>
        <v>#VALUE!</v>
      </c>
    </row>
    <row r="4215" spans="1:4" x14ac:dyDescent="0.25">
      <c r="A4215" s="1" t="str">
        <f>'001'!B4215</f>
        <v>007905</v>
      </c>
      <c r="B4215" s="1" t="str">
        <f>'001'!C4215</f>
        <v>TINTA PARA MADERA CETOL NOGAL X 0,060</v>
      </c>
      <c r="C4215" s="1" t="str">
        <f>'001'!D4215</f>
        <v>0105</v>
      </c>
      <c r="D4215" s="3" t="e">
        <f>'001'!H4215</f>
        <v>#VALUE!</v>
      </c>
    </row>
    <row r="4216" spans="1:4" x14ac:dyDescent="0.25">
      <c r="A4216" s="1" t="str">
        <f>'001'!B4216</f>
        <v>007906</v>
      </c>
      <c r="B4216" s="1" t="str">
        <f>'001'!C4216</f>
        <v>TINTA PARA MADERA CETOL VIRARO X 0,060</v>
      </c>
      <c r="C4216" s="1" t="str">
        <f>'001'!D4216</f>
        <v>0105</v>
      </c>
      <c r="D4216" s="3" t="e">
        <f>'001'!H4216</f>
        <v>#VALUE!</v>
      </c>
    </row>
    <row r="4217" spans="1:4" x14ac:dyDescent="0.25">
      <c r="A4217" s="1" t="str">
        <f>'001'!B4217</f>
        <v>007907</v>
      </c>
      <c r="B4217" s="1" t="str">
        <f>'001'!C4217</f>
        <v>TINTA PARA MADERA CETOL PETIRIBI X 0,060</v>
      </c>
      <c r="C4217" s="1" t="str">
        <f>'001'!D4217</f>
        <v>0105</v>
      </c>
      <c r="D4217" s="3" t="e">
        <f>'001'!H4217</f>
        <v>#VALUE!</v>
      </c>
    </row>
    <row r="4218" spans="1:4" x14ac:dyDescent="0.25">
      <c r="A4218" s="1" t="str">
        <f>'001'!B4218</f>
        <v>007908</v>
      </c>
      <c r="B4218" s="1" t="str">
        <f>'001'!C4218</f>
        <v>TINTA PARA MADERA CETOL ALGARROBO X 0,060</v>
      </c>
      <c r="C4218" s="1" t="str">
        <f>'001'!D4218</f>
        <v>0105</v>
      </c>
      <c r="D4218" s="3" t="e">
        <f>'001'!H4218</f>
        <v>#VALUE!</v>
      </c>
    </row>
    <row r="4219" spans="1:4" x14ac:dyDescent="0.25">
      <c r="A4219" s="1" t="str">
        <f>'001'!B4219</f>
        <v>007909</v>
      </c>
      <c r="B4219" s="1" t="str">
        <f>'001'!C4219</f>
        <v>TINTA PARA MADERA CETOL WENGE X 0,060</v>
      </c>
      <c r="C4219" s="1" t="str">
        <f>'001'!D4219</f>
        <v>0105</v>
      </c>
      <c r="D4219" s="3" t="e">
        <f>'001'!H4219</f>
        <v>#VALUE!</v>
      </c>
    </row>
    <row r="4220" spans="1:4" x14ac:dyDescent="0.25">
      <c r="A4220" s="1" t="str">
        <f>'001'!B4220</f>
        <v>008125</v>
      </c>
      <c r="B4220" s="1" t="str">
        <f>'001'!C4220</f>
        <v>D8125/E1 RAPID PERFORMANCE CLEARCOAT X 1</v>
      </c>
      <c r="C4220" s="1" t="str">
        <f>'001'!D4220</f>
        <v>0134</v>
      </c>
      <c r="D4220" s="3" t="e">
        <f>'001'!H4220</f>
        <v>#VALUE!</v>
      </c>
    </row>
    <row r="4221" spans="1:4" x14ac:dyDescent="0.25">
      <c r="A4221" s="1" t="str">
        <f>'001'!B4221</f>
        <v>008126</v>
      </c>
      <c r="B4221" s="1" t="str">
        <f>'001'!C4221</f>
        <v>D8125/E5 RAPID PERFORMANCE CLEARCOAT X 5</v>
      </c>
      <c r="C4221" s="1" t="str">
        <f>'001'!D4221</f>
        <v>0134</v>
      </c>
      <c r="D4221" s="3" t="e">
        <f>'001'!H4221</f>
        <v>#VALUE!</v>
      </c>
    </row>
    <row r="4222" spans="1:4" x14ac:dyDescent="0.25">
      <c r="A4222" s="1" t="str">
        <f>'001'!B4222</f>
        <v>008260</v>
      </c>
      <c r="B4222" s="1" t="str">
        <f>'001'!C4222</f>
        <v>D8260/E0.5 ACTIVADDOR P/T510 (B.ACUOSA) X 0,500</v>
      </c>
      <c r="C4222" s="1" t="str">
        <f>'001'!D4222</f>
        <v>0169</v>
      </c>
      <c r="D4222" s="3" t="e">
        <f>'001'!H4222</f>
        <v>#VALUE!</v>
      </c>
    </row>
    <row r="4223" spans="1:4" x14ac:dyDescent="0.25">
      <c r="A4223" s="1" t="str">
        <f>'001'!B4223</f>
        <v>008263</v>
      </c>
      <c r="B4223" s="1" t="str">
        <f>'001'!C4223</f>
        <v>D8263/E0.5 CATALIZADOR MEDIO P/BZ. D8125 X 0,500</v>
      </c>
      <c r="C4223" s="1" t="str">
        <f>'001'!D4223</f>
        <v>0134</v>
      </c>
      <c r="D4223" s="3" t="e">
        <f>'001'!H4223</f>
        <v>#VALUE!</v>
      </c>
    </row>
    <row r="4224" spans="1:4" x14ac:dyDescent="0.25">
      <c r="A4224" s="1" t="str">
        <f>'001'!B4224</f>
        <v>008264</v>
      </c>
      <c r="B4224" s="1" t="str">
        <f>'001'!C4224</f>
        <v>D8263/E2.5 CATALIZADOR MEDIO D8125 X 2,500</v>
      </c>
      <c r="C4224" s="1" t="str">
        <f>'001'!D4224</f>
        <v>0134</v>
      </c>
      <c r="D4224" s="3" t="e">
        <f>'001'!H4224</f>
        <v>#VALUE!</v>
      </c>
    </row>
    <row r="4225" spans="1:4" x14ac:dyDescent="0.25">
      <c r="A4225" s="1" t="str">
        <f>'001'!B4225</f>
        <v>008302</v>
      </c>
      <c r="B4225" s="1" t="str">
        <f>'001'!C4225</f>
        <v>ESMALTE AL AGUA ALBALUX BRILLANTE BERMELLON X 0,500</v>
      </c>
      <c r="C4225" s="1" t="str">
        <f>'001'!D4225</f>
        <v>0107</v>
      </c>
      <c r="D4225" s="3" t="e">
        <f>'001'!H4225</f>
        <v>#VALUE!</v>
      </c>
    </row>
    <row r="4226" spans="1:4" x14ac:dyDescent="0.25">
      <c r="A4226" s="1" t="str">
        <f>'001'!B4226</f>
        <v>008304</v>
      </c>
      <c r="B4226" s="1" t="str">
        <f>'001'!C4226</f>
        <v>ESMALTE AL AGUA ALBALUX BRILLANTE AMARILLO X 0,500</v>
      </c>
      <c r="C4226" s="1" t="str">
        <f>'001'!D4226</f>
        <v>0107</v>
      </c>
      <c r="D4226" s="3" t="e">
        <f>'001'!H4226</f>
        <v>#VALUE!</v>
      </c>
    </row>
    <row r="4227" spans="1:4" x14ac:dyDescent="0.25">
      <c r="A4227" s="1" t="str">
        <f>'001'!B4227</f>
        <v>008318</v>
      </c>
      <c r="B4227" s="1" t="str">
        <f>'001'!C4227</f>
        <v>ESMALTE AL AGUA ALBALUX BRILLANTE MARRON X 0,500</v>
      </c>
      <c r="C4227" s="1" t="str">
        <f>'001'!D4227</f>
        <v>0107</v>
      </c>
      <c r="D4227" s="3" t="e">
        <f>'001'!H4227</f>
        <v>#VALUE!</v>
      </c>
    </row>
    <row r="4228" spans="1:4" x14ac:dyDescent="0.25">
      <c r="A4228" s="1" t="str">
        <f>'001'!B4228</f>
        <v>008320</v>
      </c>
      <c r="B4228" s="1" t="str">
        <f>'001'!C4228</f>
        <v>ESMALTE AL AGUA ALBALUX BRILLANTE GRIS X 0,500</v>
      </c>
      <c r="C4228" s="1" t="str">
        <f>'001'!D4228</f>
        <v>0107</v>
      </c>
      <c r="D4228" s="3" t="e">
        <f>'001'!H4228</f>
        <v>#VALUE!</v>
      </c>
    </row>
    <row r="4229" spans="1:4" x14ac:dyDescent="0.25">
      <c r="A4229" s="1" t="str">
        <f>'001'!B4229</f>
        <v>008329</v>
      </c>
      <c r="B4229" s="1" t="str">
        <f>'001'!C4229</f>
        <v>ESMALTE AL AGUA ALBALUX BRILLANTE GRIS HIELO X 0,500</v>
      </c>
      <c r="C4229" s="1" t="str">
        <f>'001'!D4229</f>
        <v>0107</v>
      </c>
      <c r="D4229" s="3" t="e">
        <f>'001'!H4229</f>
        <v>#VALUE!</v>
      </c>
    </row>
    <row r="4230" spans="1:4" x14ac:dyDescent="0.25">
      <c r="A4230" s="1" t="str">
        <f>'001'!B4230</f>
        <v>008330</v>
      </c>
      <c r="B4230" s="1" t="str">
        <f>'001'!C4230</f>
        <v>ESMALTE AL AGUA ALBALUX BRILLANTE VERDE INGLES X 0,500</v>
      </c>
      <c r="C4230" s="1" t="str">
        <f>'001'!D4230</f>
        <v>0107</v>
      </c>
      <c r="D4230" s="3" t="e">
        <f>'001'!H4230</f>
        <v>#VALUE!</v>
      </c>
    </row>
    <row r="4231" spans="1:4" x14ac:dyDescent="0.25">
      <c r="A4231" s="1" t="str">
        <f>'001'!B4231</f>
        <v>008338</v>
      </c>
      <c r="B4231" s="1" t="str">
        <f>'001'!C4231</f>
        <v>ESMALTE AL AGUA ALBALUX BRILLANTE VERDE NOCHE X 0,500</v>
      </c>
      <c r="C4231" s="1" t="str">
        <f>'001'!D4231</f>
        <v>0107</v>
      </c>
      <c r="D4231" s="3" t="e">
        <f>'001'!H4231</f>
        <v>#VALUE!</v>
      </c>
    </row>
    <row r="4232" spans="1:4" x14ac:dyDescent="0.25">
      <c r="A4232" s="1" t="str">
        <f>'001'!B4232</f>
        <v>008341</v>
      </c>
      <c r="B4232" s="1" t="str">
        <f>'001'!C4232</f>
        <v>ESMALTE AL AGUA ALBALUX BRILLANTE TRAFUL X 0,500</v>
      </c>
      <c r="C4232" s="1" t="str">
        <f>'001'!D4232</f>
        <v>0107</v>
      </c>
      <c r="D4232" s="3" t="e">
        <f>'001'!H4232</f>
        <v>#VALUE!</v>
      </c>
    </row>
    <row r="4233" spans="1:4" x14ac:dyDescent="0.25">
      <c r="A4233" s="1" t="str">
        <f>'001'!B4233</f>
        <v>008343</v>
      </c>
      <c r="B4233" s="1" t="str">
        <f>'001'!C4233</f>
        <v>ESMALTE AL AGUA ALBALUX BRILLANTE AZUL MARINO X 0,500</v>
      </c>
      <c r="C4233" s="1" t="str">
        <f>'001'!D4233</f>
        <v>0107</v>
      </c>
      <c r="D4233" s="3" t="e">
        <f>'001'!H4233</f>
        <v>#VALUE!</v>
      </c>
    </row>
    <row r="4234" spans="1:4" x14ac:dyDescent="0.25">
      <c r="A4234" s="1" t="str">
        <f>'001'!B4234</f>
        <v>008347</v>
      </c>
      <c r="B4234" s="1" t="str">
        <f>'001'!C4234</f>
        <v>ESMALTE SINTETICO SATINOL SATINADO BLANCO X  0,500</v>
      </c>
      <c r="C4234" s="1" t="str">
        <f>'001'!D4234</f>
        <v>0107</v>
      </c>
      <c r="D4234" s="3" t="e">
        <f>'001'!H4234</f>
        <v>#VALUE!</v>
      </c>
    </row>
    <row r="4235" spans="1:4" x14ac:dyDescent="0.25">
      <c r="A4235" s="1" t="str">
        <f>'001'!B4235</f>
        <v>008402</v>
      </c>
      <c r="B4235" s="1" t="str">
        <f>'001'!C4235</f>
        <v>ESMALTE AL AGUA ALBALUX BRILLANTE BERMELLON X 1</v>
      </c>
      <c r="C4235" s="1" t="str">
        <f>'001'!D4235</f>
        <v>0107</v>
      </c>
      <c r="D4235" s="3" t="e">
        <f>'001'!H4235</f>
        <v>#VALUE!</v>
      </c>
    </row>
    <row r="4236" spans="1:4" x14ac:dyDescent="0.25">
      <c r="A4236" s="1" t="str">
        <f>'001'!B4236</f>
        <v>008404</v>
      </c>
      <c r="B4236" s="1" t="str">
        <f>'001'!C4236</f>
        <v>ESMALTE AL AGUA ALBALUX BRILLANTE AMARILLO X 1</v>
      </c>
      <c r="C4236" s="1" t="str">
        <f>'001'!D4236</f>
        <v>0107</v>
      </c>
      <c r="D4236" s="3" t="e">
        <f>'001'!H4236</f>
        <v>#VALUE!</v>
      </c>
    </row>
    <row r="4237" spans="1:4" x14ac:dyDescent="0.25">
      <c r="A4237" s="1" t="str">
        <f>'001'!B4237</f>
        <v>008418</v>
      </c>
      <c r="B4237" s="1" t="str">
        <f>'001'!C4237</f>
        <v>ESMALTE AL AGUA ALBALUX BRILLANTE MARRON X 1</v>
      </c>
      <c r="C4237" s="1" t="str">
        <f>'001'!D4237</f>
        <v>0107</v>
      </c>
      <c r="D4237" s="3" t="e">
        <f>'001'!H4237</f>
        <v>#VALUE!</v>
      </c>
    </row>
    <row r="4238" spans="1:4" x14ac:dyDescent="0.25">
      <c r="A4238" s="1" t="str">
        <f>'001'!B4238</f>
        <v>008420</v>
      </c>
      <c r="B4238" s="1" t="str">
        <f>'001'!C4238</f>
        <v>ESMALTE AL AGUA ALBALUX BRILLANTE GRIS X 1</v>
      </c>
      <c r="C4238" s="1" t="str">
        <f>'001'!D4238</f>
        <v>0107</v>
      </c>
      <c r="D4238" s="3" t="e">
        <f>'001'!H4238</f>
        <v>#VALUE!</v>
      </c>
    </row>
    <row r="4239" spans="1:4" x14ac:dyDescent="0.25">
      <c r="A4239" s="1" t="str">
        <f>'001'!B4239</f>
        <v>008429</v>
      </c>
      <c r="B4239" s="1" t="str">
        <f>'001'!C4239</f>
        <v>ESMALTE AL AGUA ALBALUX BRILLANTE GRIS HIELO X 1</v>
      </c>
      <c r="C4239" s="1" t="str">
        <f>'001'!D4239</f>
        <v>0107</v>
      </c>
      <c r="D4239" s="3" t="e">
        <f>'001'!H4239</f>
        <v>#VALUE!</v>
      </c>
    </row>
    <row r="4240" spans="1:4" x14ac:dyDescent="0.25">
      <c r="A4240" s="1" t="str">
        <f>'001'!B4240</f>
        <v>008430</v>
      </c>
      <c r="B4240" s="1" t="str">
        <f>'001'!C4240</f>
        <v>ESMALTE AL AGUA ALBALUX BRILLANTE VERDE INGLES X 1</v>
      </c>
      <c r="C4240" s="1" t="str">
        <f>'001'!D4240</f>
        <v>0107</v>
      </c>
      <c r="D4240" s="3" t="e">
        <f>'001'!H4240</f>
        <v>#VALUE!</v>
      </c>
    </row>
    <row r="4241" spans="1:4" x14ac:dyDescent="0.25">
      <c r="A4241" s="1" t="str">
        <f>'001'!B4241</f>
        <v>008438</v>
      </c>
      <c r="B4241" s="1" t="str">
        <f>'001'!C4241</f>
        <v>ESMALTE AL AGUA ALBALUX BRILLANTE VERDE NOCHE X 1</v>
      </c>
      <c r="C4241" s="1" t="str">
        <f>'001'!D4241</f>
        <v>0107</v>
      </c>
      <c r="D4241" s="3" t="e">
        <f>'001'!H4241</f>
        <v>#VALUE!</v>
      </c>
    </row>
    <row r="4242" spans="1:4" x14ac:dyDescent="0.25">
      <c r="A4242" s="1" t="str">
        <f>'001'!B4242</f>
        <v>008441</v>
      </c>
      <c r="B4242" s="1" t="str">
        <f>'001'!C4242</f>
        <v>ESMALTE AL AGUA ALBALUX BRILLANTE TRAFUL X 1</v>
      </c>
      <c r="C4242" s="1" t="str">
        <f>'001'!D4242</f>
        <v>0107</v>
      </c>
      <c r="D4242" s="3" t="e">
        <f>'001'!H4242</f>
        <v>#VALUE!</v>
      </c>
    </row>
    <row r="4243" spans="1:4" x14ac:dyDescent="0.25">
      <c r="A4243" s="1" t="str">
        <f>'001'!B4243</f>
        <v>008443</v>
      </c>
      <c r="B4243" s="1" t="str">
        <f>'001'!C4243</f>
        <v>ESMALTE AL AGUA ALBALUX BRILLANTE AZUL MARINO X 1</v>
      </c>
      <c r="C4243" s="1" t="str">
        <f>'001'!D4243</f>
        <v>0107</v>
      </c>
      <c r="D4243" s="3" t="e">
        <f>'001'!H4243</f>
        <v>#VALUE!</v>
      </c>
    </row>
    <row r="4244" spans="1:4" x14ac:dyDescent="0.25">
      <c r="A4244" s="1" t="str">
        <f>'001'!B4244</f>
        <v>008502</v>
      </c>
      <c r="B4244" s="1" t="str">
        <f>'001'!C4244</f>
        <v>ESMALTE AL AGUA ALBALUX BRILLANTE BERMELLON X 4</v>
      </c>
      <c r="C4244" s="1" t="str">
        <f>'001'!D4244</f>
        <v>0107</v>
      </c>
      <c r="D4244" s="3" t="e">
        <f>'001'!H4244</f>
        <v>#VALUE!</v>
      </c>
    </row>
    <row r="4245" spans="1:4" x14ac:dyDescent="0.25">
      <c r="A4245" s="1" t="str">
        <f>'001'!B4245</f>
        <v>008504</v>
      </c>
      <c r="B4245" s="1" t="str">
        <f>'001'!C4245</f>
        <v>ESMALTE AL AGUA ALBALUX BRILLANTE AMARILLO X 4</v>
      </c>
      <c r="C4245" s="1" t="str">
        <f>'001'!D4245</f>
        <v>0107</v>
      </c>
      <c r="D4245" s="3" t="e">
        <f>'001'!H4245</f>
        <v>#VALUE!</v>
      </c>
    </row>
    <row r="4246" spans="1:4" x14ac:dyDescent="0.25">
      <c r="A4246" s="1" t="str">
        <f>'001'!B4246</f>
        <v>008518</v>
      </c>
      <c r="B4246" s="1" t="str">
        <f>'001'!C4246</f>
        <v>ESMALTE AL AGUA ALBALUX BRILLANTE MARRON X 4</v>
      </c>
      <c r="C4246" s="1" t="str">
        <f>'001'!D4246</f>
        <v>0107</v>
      </c>
      <c r="D4246" s="3" t="e">
        <f>'001'!H4246</f>
        <v>#VALUE!</v>
      </c>
    </row>
    <row r="4247" spans="1:4" x14ac:dyDescent="0.25">
      <c r="A4247" s="1" t="str">
        <f>'001'!B4247</f>
        <v>008520</v>
      </c>
      <c r="B4247" s="1" t="str">
        <f>'001'!C4247</f>
        <v>ESMALTE AL AGUA ALBALUX BRILLANTE GRIS X 4</v>
      </c>
      <c r="C4247" s="1" t="str">
        <f>'001'!D4247</f>
        <v>0107</v>
      </c>
      <c r="D4247" s="3" t="e">
        <f>'001'!H4247</f>
        <v>#VALUE!</v>
      </c>
    </row>
    <row r="4248" spans="1:4" x14ac:dyDescent="0.25">
      <c r="A4248" s="1" t="str">
        <f>'001'!B4248</f>
        <v>008529</v>
      </c>
      <c r="B4248" s="1" t="str">
        <f>'001'!C4248</f>
        <v>ESMALTE AL AGUA ALBALUX BRILLANTE GRIS HIELO X 4</v>
      </c>
      <c r="C4248" s="1" t="str">
        <f>'001'!D4248</f>
        <v>0902</v>
      </c>
      <c r="D4248" s="3" t="e">
        <f>'001'!H4248</f>
        <v>#VALUE!</v>
      </c>
    </row>
    <row r="4249" spans="1:4" x14ac:dyDescent="0.25">
      <c r="A4249" s="1" t="str">
        <f>'001'!B4249</f>
        <v>008530</v>
      </c>
      <c r="B4249" s="1" t="str">
        <f>'001'!C4249</f>
        <v>ESMALTE AL AGUA ALBALUX BRILLANTE VERDE INGLES X 4</v>
      </c>
      <c r="C4249" s="1" t="str">
        <f>'001'!D4249</f>
        <v>0107</v>
      </c>
      <c r="D4249" s="3" t="e">
        <f>'001'!H4249</f>
        <v>#VALUE!</v>
      </c>
    </row>
    <row r="4250" spans="1:4" x14ac:dyDescent="0.25">
      <c r="A4250" s="1" t="str">
        <f>'001'!B4250</f>
        <v>008538</v>
      </c>
      <c r="B4250" s="1" t="str">
        <f>'001'!C4250</f>
        <v>ESMALTE AL AGUA ALBALUX BRILLANTE VERDE NOCHE X 4</v>
      </c>
      <c r="C4250" s="1" t="str">
        <f>'001'!D4250</f>
        <v>0107</v>
      </c>
      <c r="D4250" s="3" t="e">
        <f>'001'!H4250</f>
        <v>#VALUE!</v>
      </c>
    </row>
    <row r="4251" spans="1:4" x14ac:dyDescent="0.25">
      <c r="A4251" s="1" t="str">
        <f>'001'!B4251</f>
        <v>008541</v>
      </c>
      <c r="B4251" s="1" t="str">
        <f>'001'!C4251</f>
        <v>ESMALTE AL AGUA ALBALUX BRILLANTE TRAFUL X 4</v>
      </c>
      <c r="C4251" s="1" t="str">
        <f>'001'!D4251</f>
        <v>0107</v>
      </c>
      <c r="D4251" s="3" t="e">
        <f>'001'!H4251</f>
        <v>#VALUE!</v>
      </c>
    </row>
    <row r="4252" spans="1:4" x14ac:dyDescent="0.25">
      <c r="A4252" s="1" t="str">
        <f>'001'!B4252</f>
        <v>008543</v>
      </c>
      <c r="B4252" s="1" t="str">
        <f>'001'!C4252</f>
        <v>ESMALTE AL AGUA ALBALUX BRILLANTE AZUL MARINO X 4</v>
      </c>
      <c r="C4252" s="1" t="str">
        <f>'001'!D4252</f>
        <v>0107</v>
      </c>
      <c r="D4252" s="3" t="e">
        <f>'001'!H4252</f>
        <v>#VALUE!</v>
      </c>
    </row>
    <row r="4253" spans="1:4" x14ac:dyDescent="0.25">
      <c r="A4253" s="1" t="str">
        <f>'001'!B4253</f>
        <v>008601</v>
      </c>
      <c r="B4253" s="1" t="str">
        <f>'001'!C4253</f>
        <v>TINTA PARA MADERA CETOL ROBLE CLARO X 0,240</v>
      </c>
      <c r="C4253" s="1" t="str">
        <f>'001'!D4253</f>
        <v>0105</v>
      </c>
      <c r="D4253" s="3" t="e">
        <f>'001'!H4253</f>
        <v>#VALUE!</v>
      </c>
    </row>
    <row r="4254" spans="1:4" x14ac:dyDescent="0.25">
      <c r="A4254" s="1" t="str">
        <f>'001'!B4254</f>
        <v>008602</v>
      </c>
      <c r="B4254" s="1" t="str">
        <f>'001'!C4254</f>
        <v>TINTA PARA MADERA CETOL ROBLE OSCURO X 0,240</v>
      </c>
      <c r="C4254" s="1" t="str">
        <f>'001'!D4254</f>
        <v>0105</v>
      </c>
      <c r="D4254" s="3" t="e">
        <f>'001'!H4254</f>
        <v>#VALUE!</v>
      </c>
    </row>
    <row r="4255" spans="1:4" x14ac:dyDescent="0.25">
      <c r="A4255" s="1" t="str">
        <f>'001'!B4255</f>
        <v>008603</v>
      </c>
      <c r="B4255" s="1" t="str">
        <f>'001'!C4255</f>
        <v>TINTA PARA MADERA CETOL CEDRO X 0,240</v>
      </c>
      <c r="C4255" s="1" t="str">
        <f>'001'!D4255</f>
        <v>0105</v>
      </c>
      <c r="D4255" s="3" t="e">
        <f>'001'!H4255</f>
        <v>#VALUE!</v>
      </c>
    </row>
    <row r="4256" spans="1:4" x14ac:dyDescent="0.25">
      <c r="A4256" s="1" t="str">
        <f>'001'!B4256</f>
        <v>008604</v>
      </c>
      <c r="B4256" s="1" t="str">
        <f>'001'!C4256</f>
        <v>TINTA PARA MADERA CETOL CAOBA X 0,240</v>
      </c>
      <c r="C4256" s="1" t="str">
        <f>'001'!D4256</f>
        <v>0105</v>
      </c>
      <c r="D4256" s="3" t="e">
        <f>'001'!H4256</f>
        <v>#VALUE!</v>
      </c>
    </row>
    <row r="4257" spans="1:4" x14ac:dyDescent="0.25">
      <c r="A4257" s="1" t="str">
        <f>'001'!B4257</f>
        <v>008605</v>
      </c>
      <c r="B4257" s="1" t="str">
        <f>'001'!C4257</f>
        <v>TINTA PARA MADERA CETOL NOGAL X 0,240</v>
      </c>
      <c r="C4257" s="1" t="str">
        <f>'001'!D4257</f>
        <v>0105</v>
      </c>
      <c r="D4257" s="3" t="e">
        <f>'001'!H4257</f>
        <v>#VALUE!</v>
      </c>
    </row>
    <row r="4258" spans="1:4" x14ac:dyDescent="0.25">
      <c r="A4258" s="1" t="str">
        <f>'001'!B4258</f>
        <v>008606</v>
      </c>
      <c r="B4258" s="1" t="str">
        <f>'001'!C4258</f>
        <v>TINTA PARA MADERA CETOL VIRARO X 0,240</v>
      </c>
      <c r="C4258" s="1" t="str">
        <f>'001'!D4258</f>
        <v>0105</v>
      </c>
      <c r="D4258" s="3" t="e">
        <f>'001'!H4258</f>
        <v>#VALUE!</v>
      </c>
    </row>
    <row r="4259" spans="1:4" x14ac:dyDescent="0.25">
      <c r="A4259" s="1" t="str">
        <f>'001'!B4259</f>
        <v>008607</v>
      </c>
      <c r="B4259" s="1" t="str">
        <f>'001'!C4259</f>
        <v>TINTA PARA MADERA CETOL PETIRIBI X 0,240</v>
      </c>
      <c r="C4259" s="1" t="str">
        <f>'001'!D4259</f>
        <v>0105</v>
      </c>
      <c r="D4259" s="3" t="e">
        <f>'001'!H4259</f>
        <v>#VALUE!</v>
      </c>
    </row>
    <row r="4260" spans="1:4" x14ac:dyDescent="0.25">
      <c r="A4260" s="1" t="str">
        <f>'001'!B4260</f>
        <v>008608</v>
      </c>
      <c r="B4260" s="1" t="str">
        <f>'001'!C4260</f>
        <v>TINTA PARA MADERA CETOL ALGARROBO X 0,240</v>
      </c>
      <c r="C4260" s="1" t="str">
        <f>'001'!D4260</f>
        <v>0105</v>
      </c>
      <c r="D4260" s="3" t="e">
        <f>'001'!H4260</f>
        <v>#VALUE!</v>
      </c>
    </row>
    <row r="4261" spans="1:4" x14ac:dyDescent="0.25">
      <c r="A4261" s="1" t="str">
        <f>'001'!B4261</f>
        <v>008609</v>
      </c>
      <c r="B4261" s="1" t="str">
        <f>'001'!C4261</f>
        <v>TINTA PARA MADERA CETOL WENGE X 0,240</v>
      </c>
      <c r="C4261" s="1" t="str">
        <f>'001'!D4261</f>
        <v>0105</v>
      </c>
      <c r="D4261" s="3" t="e">
        <f>'001'!H4261</f>
        <v>#VALUE!</v>
      </c>
    </row>
    <row r="4262" spans="1:4" x14ac:dyDescent="0.25">
      <c r="A4262" s="1" t="str">
        <f>'001'!B4262</f>
        <v>008707</v>
      </c>
      <c r="B4262" s="1" t="str">
        <f>'001'!C4262</f>
        <v>COLORANTE CONCENTRADO INDUSTRIAL TERSUAVE AMARILLO LIMON X 4</v>
      </c>
      <c r="C4262" s="1" t="str">
        <f>'001'!D4262</f>
        <v>0153</v>
      </c>
      <c r="D4262" s="3" t="e">
        <f>'001'!H4262</f>
        <v>#VALUE!</v>
      </c>
    </row>
    <row r="4263" spans="1:4" x14ac:dyDescent="0.25">
      <c r="A4263" s="1" t="str">
        <f>'001'!B4263</f>
        <v>008717</v>
      </c>
      <c r="B4263" s="1" t="str">
        <f>'001'!C4263</f>
        <v>COLORANTE CONCENTRADO INDUSTRIAL TERSUAVE AMARILLO MEDIO X 4</v>
      </c>
      <c r="C4263" s="1" t="str">
        <f>'001'!D4263</f>
        <v>0153</v>
      </c>
      <c r="D4263" s="3" t="e">
        <f>'001'!H4263</f>
        <v>#VALUE!</v>
      </c>
    </row>
    <row r="4264" spans="1:4" x14ac:dyDescent="0.25">
      <c r="A4264" s="1" t="str">
        <f>'001'!B4264</f>
        <v>008727</v>
      </c>
      <c r="B4264" s="1" t="str">
        <f>'001'!C4264</f>
        <v>COLORANTE CONCENTRADO INDUSTRIAL TERSUAVE AZUL FTALO X 4</v>
      </c>
      <c r="C4264" s="1" t="str">
        <f>'001'!D4264</f>
        <v>0153</v>
      </c>
      <c r="D4264" s="3" t="e">
        <f>'001'!H4264</f>
        <v>#VALUE!</v>
      </c>
    </row>
    <row r="4265" spans="1:4" x14ac:dyDescent="0.25">
      <c r="A4265" s="1" t="str">
        <f>'001'!B4265</f>
        <v>008737</v>
      </c>
      <c r="B4265" s="1" t="str">
        <f>'001'!C4265</f>
        <v>COLORANTE CONCENTRADO INDUSTRIAL TERSUAVE BLANCO X 4</v>
      </c>
      <c r="C4265" s="1" t="str">
        <f>'001'!D4265</f>
        <v>0153</v>
      </c>
      <c r="D4265" s="3" t="e">
        <f>'001'!H4265</f>
        <v>#VALUE!</v>
      </c>
    </row>
    <row r="4266" spans="1:4" x14ac:dyDescent="0.25">
      <c r="A4266" s="1" t="str">
        <f>'001'!B4266</f>
        <v>008747</v>
      </c>
      <c r="B4266" s="1" t="str">
        <f>'001'!C4266</f>
        <v>COLORANTE CONCENTRADO INDUSTRIAL TERSUAVE FERRITE AMARILLO X 4</v>
      </c>
      <c r="C4266" s="1" t="str">
        <f>'001'!D4266</f>
        <v>0153</v>
      </c>
      <c r="D4266" s="3" t="e">
        <f>'001'!H4266</f>
        <v>#VALUE!</v>
      </c>
    </row>
    <row r="4267" spans="1:4" x14ac:dyDescent="0.25">
      <c r="A4267" s="1" t="str">
        <f>'001'!B4267</f>
        <v>008757</v>
      </c>
      <c r="B4267" s="1" t="str">
        <f>'001'!C4267</f>
        <v>COLORANTE CONCENTRADO INDUSTRIAL TERSUAVE FERRITE ROJO X 4</v>
      </c>
      <c r="C4267" s="1" t="str">
        <f>'001'!D4267</f>
        <v>0153</v>
      </c>
      <c r="D4267" s="3" t="e">
        <f>'001'!H4267</f>
        <v>#VALUE!</v>
      </c>
    </row>
    <row r="4268" spans="1:4" x14ac:dyDescent="0.25">
      <c r="A4268" s="1" t="str">
        <f>'001'!B4268</f>
        <v>008767</v>
      </c>
      <c r="B4268" s="1" t="str">
        <f>'001'!C4268</f>
        <v>COLORANTE CONCENTRADO INDUSTRIAL TERSUAVE NARANJA X 4</v>
      </c>
      <c r="C4268" s="1" t="str">
        <f>'001'!D4268</f>
        <v>0153</v>
      </c>
      <c r="D4268" s="3" t="e">
        <f>'001'!H4268</f>
        <v>#VALUE!</v>
      </c>
    </row>
    <row r="4269" spans="1:4" x14ac:dyDescent="0.25">
      <c r="A4269" s="1" t="str">
        <f>'001'!B4269</f>
        <v>008777</v>
      </c>
      <c r="B4269" s="1" t="str">
        <f>'001'!C4269</f>
        <v>COLORANTE CONCENTRADO INDUSTRIAL TERSUAVE NEGRO X 4</v>
      </c>
      <c r="C4269" s="1" t="str">
        <f>'001'!D4269</f>
        <v>0153</v>
      </c>
      <c r="D4269" s="3" t="e">
        <f>'001'!H4269</f>
        <v>#VALUE!</v>
      </c>
    </row>
    <row r="4270" spans="1:4" x14ac:dyDescent="0.25">
      <c r="A4270" s="1" t="str">
        <f>'001'!B4270</f>
        <v>008787</v>
      </c>
      <c r="B4270" s="1" t="str">
        <f>'001'!C4270</f>
        <v>COLORANTE CONCENTRADO INDUSTRIAL TERSUAVE ROJO X 4</v>
      </c>
      <c r="C4270" s="1" t="str">
        <f>'001'!D4270</f>
        <v>0153</v>
      </c>
      <c r="D4270" s="3" t="e">
        <f>'001'!H4270</f>
        <v>#VALUE!</v>
      </c>
    </row>
    <row r="4271" spans="1:4" x14ac:dyDescent="0.25">
      <c r="A4271" s="1" t="str">
        <f>'001'!B4271</f>
        <v>008805</v>
      </c>
      <c r="B4271" s="1" t="str">
        <f>'001'!C4271</f>
        <v>COLORANTE CONCENTRADO INDUSTRIAL TERSUAVE VERDE FTALO X 1</v>
      </c>
      <c r="C4271" s="1" t="str">
        <f>'001'!D4271</f>
        <v>0153</v>
      </c>
      <c r="D4271" s="3" t="e">
        <f>'001'!H4271</f>
        <v>#VALUE!</v>
      </c>
    </row>
    <row r="4272" spans="1:4" x14ac:dyDescent="0.25">
      <c r="A4272" s="1" t="str">
        <f>'001'!B4272</f>
        <v>008815</v>
      </c>
      <c r="B4272" s="1" t="str">
        <f>'001'!C4272</f>
        <v>COLORANTE CONCENTRADO INDUSTRIAL TERSUAVE VIOLETA X 1</v>
      </c>
      <c r="C4272" s="1" t="str">
        <f>'001'!D4272</f>
        <v>0153</v>
      </c>
      <c r="D4272" s="3" t="e">
        <f>'001'!H4272</f>
        <v>#VALUE!</v>
      </c>
    </row>
    <row r="4273" spans="1:4" x14ac:dyDescent="0.25">
      <c r="A4273" s="1" t="str">
        <f>'001'!B4273</f>
        <v>008829</v>
      </c>
      <c r="B4273" s="1" t="str">
        <f>'001'!C4273</f>
        <v>COLORANTE CONCENTRADO INDUSTRIAL TERSUAVE PASTA ST25 ALUMINIO X 20</v>
      </c>
      <c r="C4273" s="1" t="str">
        <f>'001'!D4273</f>
        <v>0153</v>
      </c>
      <c r="D4273" s="3" t="e">
        <f>'001'!H4273</f>
        <v>#VALUE!</v>
      </c>
    </row>
    <row r="4274" spans="1:4" x14ac:dyDescent="0.25">
      <c r="A4274" s="1" t="str">
        <f>'001'!B4274</f>
        <v>008839</v>
      </c>
      <c r="B4274" s="1" t="str">
        <f>'001'!C4274</f>
        <v>COLORANTE CONCENTRADO INDUSTRIAL TERSUAVE PASTA ST25 N ALUMINIO X 20</v>
      </c>
      <c r="C4274" s="1" t="str">
        <f>'001'!D4274</f>
        <v>0153</v>
      </c>
      <c r="D4274" s="3" t="e">
        <f>'001'!H4274</f>
        <v>#VALUE!</v>
      </c>
    </row>
    <row r="4275" spans="1:4" x14ac:dyDescent="0.25">
      <c r="A4275" s="1" t="str">
        <f>'001'!B4275</f>
        <v>008847</v>
      </c>
      <c r="B4275" s="1" t="str">
        <f>'001'!C4275</f>
        <v>COLORANTE CONCENTRADO INDUSTRIAL TERSUAVE PASTA FR SUPER ORO X 4</v>
      </c>
      <c r="C4275" s="1" t="str">
        <f>'001'!D4275</f>
        <v>0153</v>
      </c>
      <c r="D4275" s="3" t="e">
        <f>'001'!H4275</f>
        <v>#VALUE!</v>
      </c>
    </row>
    <row r="4276" spans="1:4" x14ac:dyDescent="0.25">
      <c r="A4276" s="1" t="str">
        <f>'001'!B4276</f>
        <v>008951</v>
      </c>
      <c r="B4276" s="1" t="str">
        <f>'001'!C4276</f>
        <v>D8951.51 BASE TRANSPARENTE X 18</v>
      </c>
      <c r="C4276" s="1" t="str">
        <f>'001'!D4276</f>
        <v>0134</v>
      </c>
      <c r="D4276" s="3" t="e">
        <f>'001'!H4276</f>
        <v>#VALUE!</v>
      </c>
    </row>
    <row r="4277" spans="1:4" x14ac:dyDescent="0.25">
      <c r="A4277" s="1" t="str">
        <f>'001'!B4277</f>
        <v>009011</v>
      </c>
      <c r="B4277" s="1" t="str">
        <f>'001'!C4277</f>
        <v>SELLADOR SILICONA NODULO NODUFIX ACETICO TRANSPARENTE X 0,050</v>
      </c>
      <c r="C4277" s="1" t="str">
        <f>'001'!D4277</f>
        <v>0136</v>
      </c>
      <c r="D4277" s="3" t="e">
        <f>'001'!H4277</f>
        <v>#VALUE!</v>
      </c>
    </row>
    <row r="4278" spans="1:4" x14ac:dyDescent="0.25">
      <c r="A4278" s="1" t="str">
        <f>'001'!B4278</f>
        <v>009401</v>
      </c>
      <c r="B4278" s="1" t="str">
        <f>'001'!C4278</f>
        <v>SELLADOR SILICONA NODULO NODULASTIC 415 NEUTRO TRANSPARENTE X 0,280</v>
      </c>
      <c r="C4278" s="1" t="str">
        <f>'001'!D4278</f>
        <v>0136</v>
      </c>
      <c r="D4278" s="3" t="e">
        <f>'001'!H4278</f>
        <v>#VALUE!</v>
      </c>
    </row>
    <row r="4279" spans="1:4" x14ac:dyDescent="0.25">
      <c r="A4279" s="1" t="str">
        <f>'001'!B4279</f>
        <v>009421</v>
      </c>
      <c r="B4279" s="1" t="str">
        <f>'001'!C4279</f>
        <v>SELLADOR SILICONA NODULO NODULASTIC 415 NEUTRO BLANCO X 0,280</v>
      </c>
      <c r="C4279" s="1" t="str">
        <f>'001'!D4279</f>
        <v>0136</v>
      </c>
      <c r="D4279" s="3" t="e">
        <f>'001'!H4279</f>
        <v>#VALUE!</v>
      </c>
    </row>
    <row r="4280" spans="1:4" x14ac:dyDescent="0.25">
      <c r="A4280" s="1" t="str">
        <f>'001'!B4280</f>
        <v>009431</v>
      </c>
      <c r="B4280" s="1" t="str">
        <f>'001'!C4280</f>
        <v>SELLADOR PARA CHAPA NODULO ZINKGOTA SOLDADURA PLASTICA GRIS X 0,280</v>
      </c>
      <c r="C4280" s="1" t="str">
        <f>'001'!D4280</f>
        <v>0136</v>
      </c>
      <c r="D4280" s="3" t="e">
        <f>'001'!H4280</f>
        <v>#VALUE!</v>
      </c>
    </row>
    <row r="4281" spans="1:4" x14ac:dyDescent="0.25">
      <c r="A4281" s="1" t="str">
        <f>'001'!B4281</f>
        <v>009491</v>
      </c>
      <c r="B4281" s="1" t="str">
        <f>'001'!C4281</f>
        <v>SELLADOR CARROCERIAS NODULO PINCELABLE BLANCO X 0,280</v>
      </c>
      <c r="C4281" s="1" t="str">
        <f>'001'!D4281</f>
        <v>0136</v>
      </c>
      <c r="D4281" s="3" t="e">
        <f>'001'!H4281</f>
        <v>#VALUE!</v>
      </c>
    </row>
    <row r="4282" spans="1:4" x14ac:dyDescent="0.25">
      <c r="A4282" s="1" t="str">
        <f>'001'!B4282</f>
        <v>009501</v>
      </c>
      <c r="B4282" s="1" t="str">
        <f>'001'!C4282</f>
        <v>ESMALTE AL AGUA ALBALUX BRILLANTE BLANCO X  0,500</v>
      </c>
      <c r="C4282" s="1" t="str">
        <f>'001'!D4282</f>
        <v>0107</v>
      </c>
      <c r="D4282" s="3" t="e">
        <f>'001'!H4282</f>
        <v>#VALUE!</v>
      </c>
    </row>
    <row r="4283" spans="1:4" x14ac:dyDescent="0.25">
      <c r="A4283" s="1" t="str">
        <f>'001'!B4283</f>
        <v>009515</v>
      </c>
      <c r="B4283" s="1" t="str">
        <f>'001'!C4283</f>
        <v>ESMALTE AL AGUA ALBALUX BRILLANTE NEGRO X 0,500</v>
      </c>
      <c r="C4283" s="1" t="str">
        <f>'001'!D4283</f>
        <v>0107</v>
      </c>
      <c r="D4283" s="3" t="e">
        <f>'001'!H4283</f>
        <v>#VALUE!</v>
      </c>
    </row>
    <row r="4284" spans="1:4" x14ac:dyDescent="0.25">
      <c r="A4284" s="1" t="str">
        <f>'001'!B4284</f>
        <v>009591</v>
      </c>
      <c r="B4284" s="1" t="str">
        <f>'001'!C4284</f>
        <v>SELLADOR CARROCERIAS NODULO PINCELABLE GRIS X 0,500</v>
      </c>
      <c r="C4284" s="1" t="str">
        <f>'001'!D4284</f>
        <v>0136</v>
      </c>
      <c r="D4284" s="3" t="e">
        <f>'001'!H4284</f>
        <v>#VALUE!</v>
      </c>
    </row>
    <row r="4285" spans="1:4" x14ac:dyDescent="0.25">
      <c r="A4285" s="1" t="str">
        <f>'001'!B4285</f>
        <v>009701</v>
      </c>
      <c r="B4285" s="1" t="str">
        <f>'001'!C4285</f>
        <v>ESMALTE AL AGUA ALBALUX BRILLANTE BLANCO X  1</v>
      </c>
      <c r="C4285" s="1" t="str">
        <f>'001'!D4285</f>
        <v>0107</v>
      </c>
      <c r="D4285" s="3" t="e">
        <f>'001'!H4285</f>
        <v>#VALUE!</v>
      </c>
    </row>
    <row r="4286" spans="1:4" x14ac:dyDescent="0.25">
      <c r="A4286" s="1" t="str">
        <f>'001'!B4286</f>
        <v>009715</v>
      </c>
      <c r="B4286" s="1" t="str">
        <f>'001'!C4286</f>
        <v>ESMALTE AL AGUA ALBALUX BRILLANTE NEGRO X 1</v>
      </c>
      <c r="C4286" s="1" t="str">
        <f>'001'!D4286</f>
        <v>0107</v>
      </c>
      <c r="D4286" s="3" t="e">
        <f>'001'!H4286</f>
        <v>#VALUE!</v>
      </c>
    </row>
    <row r="4287" spans="1:4" x14ac:dyDescent="0.25">
      <c r="A4287" s="1" t="str">
        <f>'001'!B4287</f>
        <v>009781</v>
      </c>
      <c r="B4287" s="1" t="str">
        <f>'001'!C4287</f>
        <v>SELLADOR DE ABERTURAS NODULO BLANCO X 0,420</v>
      </c>
      <c r="C4287" s="1" t="str">
        <f>'001'!D4287</f>
        <v>0136</v>
      </c>
      <c r="D4287" s="3" t="e">
        <f>'001'!H4287</f>
        <v>#VALUE!</v>
      </c>
    </row>
    <row r="4288" spans="1:4" x14ac:dyDescent="0.25">
      <c r="A4288" s="1" t="str">
        <f>'001'!B4288</f>
        <v>009851</v>
      </c>
      <c r="B4288" s="1" t="str">
        <f>'001'!C4288</f>
        <v>PROTECTOR SUBCARROCERIA NODULO UNDERLASTIC ANTIRRUIDO/SUBCARROC SECADO RAPIDO NEGRO X 1</v>
      </c>
      <c r="C4288" s="1" t="str">
        <f>'001'!D4288</f>
        <v>0136</v>
      </c>
      <c r="D4288" s="3" t="e">
        <f>'001'!H4288</f>
        <v>#VALUE!</v>
      </c>
    </row>
    <row r="4289" spans="1:4" x14ac:dyDescent="0.25">
      <c r="A4289" s="1" t="str">
        <f>'001'!B4289</f>
        <v>009901</v>
      </c>
      <c r="B4289" s="1" t="str">
        <f>'001'!C4289</f>
        <v>ESMALTE AL AGUA ALBALUX BRILLANTE BLANCO X  4</v>
      </c>
      <c r="C4289" s="1" t="str">
        <f>'001'!D4289</f>
        <v>0107</v>
      </c>
      <c r="D4289" s="3" t="e">
        <f>'001'!H4289</f>
        <v>#VALUE!</v>
      </c>
    </row>
    <row r="4290" spans="1:4" x14ac:dyDescent="0.25">
      <c r="A4290" s="1" t="str">
        <f>'001'!B4290</f>
        <v>009915</v>
      </c>
      <c r="B4290" s="1" t="str">
        <f>'001'!C4290</f>
        <v>ESMALTE AL AGUA ALBALUX BRILLANTE NEGRO X 4</v>
      </c>
      <c r="C4290" s="1" t="str">
        <f>'001'!D4290</f>
        <v>0107</v>
      </c>
      <c r="D4290" s="3" t="e">
        <f>'001'!H4290</f>
        <v>#VALUE!</v>
      </c>
    </row>
    <row r="4291" spans="1:4" x14ac:dyDescent="0.25">
      <c r="A4291" s="1" t="str">
        <f>'001'!B4291</f>
        <v>009941</v>
      </c>
      <c r="B4291" s="1" t="str">
        <f>'001'!C4291</f>
        <v>SELLADOR SILICONA NODULO NODUFIX ACETICO TRANSPARENTE X 0,280</v>
      </c>
      <c r="C4291" s="1" t="str">
        <f>'001'!D4291</f>
        <v>0136</v>
      </c>
      <c r="D4291" s="3" t="e">
        <f>'001'!H4291</f>
        <v>#VALUE!</v>
      </c>
    </row>
    <row r="4292" spans="1:4" x14ac:dyDescent="0.25">
      <c r="A4292" s="1" t="str">
        <f>'001'!B4292</f>
        <v>010001</v>
      </c>
      <c r="B4292" s="1" t="str">
        <f>'001'!C4292</f>
        <v>ESMALTE EPOXI ALBA BCO X 1</v>
      </c>
      <c r="C4292" s="1" t="str">
        <f>'001'!D4292</f>
        <v>0112</v>
      </c>
      <c r="D4292" s="3" t="e">
        <f>'001'!H4292</f>
        <v>#VALUE!</v>
      </c>
    </row>
    <row r="4293" spans="1:4" x14ac:dyDescent="0.25">
      <c r="A4293" s="1" t="str">
        <f>'001'!B4293</f>
        <v>010101</v>
      </c>
      <c r="B4293" s="1" t="str">
        <f>'001'!C4293</f>
        <v>ESMALTE AL AGUA ALBALUX BRILLANTE BLANCO X 20</v>
      </c>
      <c r="C4293" s="1" t="str">
        <f>'001'!D4293</f>
        <v>0107</v>
      </c>
      <c r="D4293" s="3" t="e">
        <f>'001'!H4293</f>
        <v>#VALUE!</v>
      </c>
    </row>
    <row r="4294" spans="1:4" x14ac:dyDescent="0.25">
      <c r="A4294" s="1" t="str">
        <f>'001'!B4294</f>
        <v>010503</v>
      </c>
      <c r="B4294" s="1" t="str">
        <f>'001'!C4294</f>
        <v>DILUYENTE AGUARRAS PARA ESMALTE X   0,900 (PET)</v>
      </c>
      <c r="C4294" s="1" t="str">
        <f>'001'!D4294</f>
        <v>0186</v>
      </c>
      <c r="D4294" s="3" t="e">
        <f>'001'!H4294</f>
        <v>#VALUE!</v>
      </c>
    </row>
    <row r="4295" spans="1:4" x14ac:dyDescent="0.25">
      <c r="A4295" s="1" t="str">
        <f>'001'!B4295</f>
        <v>010623</v>
      </c>
      <c r="B4295" s="1" t="str">
        <f>'001'!C4295</f>
        <v>DILUYENTE AGUARRAS PARA ESMALTE X 200</v>
      </c>
      <c r="C4295" s="1" t="str">
        <f>'001'!D4295</f>
        <v>0186</v>
      </c>
      <c r="D4295" s="3" t="e">
        <f>'001'!H4295</f>
        <v>#VALUE!</v>
      </c>
    </row>
    <row r="4296" spans="1:4" x14ac:dyDescent="0.25">
      <c r="A4296" s="1" t="str">
        <f>'001'!B4296</f>
        <v>010698</v>
      </c>
      <c r="B4296" s="1" t="str">
        <f>'001'!C4296</f>
        <v>THINNER DIXILINA VERTIENTE UNIVERSAL 702 X 18</v>
      </c>
      <c r="C4296" s="1" t="str">
        <f>'001'!D4296</f>
        <v>0121</v>
      </c>
      <c r="D4296" s="3" t="e">
        <f>'001'!H4296</f>
        <v>#VALUE!</v>
      </c>
    </row>
    <row r="4297" spans="1:4" x14ac:dyDescent="0.25">
      <c r="A4297" s="1" t="str">
        <f>'001'!B4297</f>
        <v>010702</v>
      </c>
      <c r="B4297" s="1" t="str">
        <f>'001'!C4297</f>
        <v>THINNER STANDARD X   0,900 (PET)</v>
      </c>
      <c r="C4297" s="1" t="str">
        <f>'001'!D4297</f>
        <v>0186</v>
      </c>
      <c r="D4297" s="3" t="e">
        <f>'001'!H4297</f>
        <v>#VALUE!</v>
      </c>
    </row>
    <row r="4298" spans="1:4" x14ac:dyDescent="0.25">
      <c r="A4298" s="1" t="str">
        <f>'001'!B4298</f>
        <v>010707</v>
      </c>
      <c r="B4298" s="1" t="str">
        <f>'001'!C4298</f>
        <v>THINNER SELLO DE ORO X   0,900 (PET)</v>
      </c>
      <c r="C4298" s="1" t="str">
        <f>'001'!D4298</f>
        <v>0186</v>
      </c>
      <c r="D4298" s="3" t="e">
        <f>'001'!H4298</f>
        <v>#VALUE!</v>
      </c>
    </row>
    <row r="4299" spans="1:4" x14ac:dyDescent="0.25">
      <c r="A4299" s="1" t="str">
        <f>'001'!B4299</f>
        <v>010804</v>
      </c>
      <c r="B4299" s="1" t="str">
        <f>'001'!C4299</f>
        <v>IMPREGNANTE PARA MADERA CETOL CLASSIC BRILLANTE CAOBA X  1</v>
      </c>
      <c r="C4299" s="1" t="str">
        <f>'001'!D4299</f>
        <v>0105</v>
      </c>
      <c r="D4299" s="3" t="e">
        <f>'001'!H4299</f>
        <v>#VALUE!</v>
      </c>
    </row>
    <row r="4300" spans="1:4" x14ac:dyDescent="0.25">
      <c r="A4300" s="1" t="str">
        <f>'001'!B4300</f>
        <v>010805</v>
      </c>
      <c r="B4300" s="1" t="str">
        <f>'001'!C4300</f>
        <v>IMPREGNANTE PARA MADERA CETOL CLASSIC BRILLANTE CEDRO X  1</v>
      </c>
      <c r="C4300" s="1" t="str">
        <f>'001'!D4300</f>
        <v>0105</v>
      </c>
      <c r="D4300" s="3" t="e">
        <f>'001'!H4300</f>
        <v>#VALUE!</v>
      </c>
    </row>
    <row r="4301" spans="1:4" x14ac:dyDescent="0.25">
      <c r="A4301" s="1" t="str">
        <f>'001'!B4301</f>
        <v>010806</v>
      </c>
      <c r="B4301" s="1" t="str">
        <f>'001'!C4301</f>
        <v>IMPREGNANTE PARA MADERA CETOL CLASSIC BRILLANTE CRISTAL X  1</v>
      </c>
      <c r="C4301" s="1" t="str">
        <f>'001'!D4301</f>
        <v>0105</v>
      </c>
      <c r="D4301" s="3" t="e">
        <f>'001'!H4301</f>
        <v>#VALUE!</v>
      </c>
    </row>
    <row r="4302" spans="1:4" x14ac:dyDescent="0.25">
      <c r="A4302" s="1" t="str">
        <f>'001'!B4302</f>
        <v>010807</v>
      </c>
      <c r="B4302" s="1" t="str">
        <f>'001'!C4302</f>
        <v>IMPREGNANTE PARA MADERA CETOL CLASSIC BRILLANTE NATURAL X  1</v>
      </c>
      <c r="C4302" s="1" t="str">
        <f>'001'!D4302</f>
        <v>0105</v>
      </c>
      <c r="D4302" s="3" t="e">
        <f>'001'!H4302</f>
        <v>#VALUE!</v>
      </c>
    </row>
    <row r="4303" spans="1:4" x14ac:dyDescent="0.25">
      <c r="A4303" s="1" t="str">
        <f>'001'!B4303</f>
        <v>010808</v>
      </c>
      <c r="B4303" s="1" t="str">
        <f>'001'!C4303</f>
        <v>IMPREGNANTE PARA MADERA CETOL CLASSIC BRILLANTE NOGAL X  1</v>
      </c>
      <c r="C4303" s="1" t="str">
        <f>'001'!D4303</f>
        <v>0105</v>
      </c>
      <c r="D4303" s="3" t="e">
        <f>'001'!H4303</f>
        <v>#VALUE!</v>
      </c>
    </row>
    <row r="4304" spans="1:4" x14ac:dyDescent="0.25">
      <c r="A4304" s="1" t="str">
        <f>'001'!B4304</f>
        <v>010809</v>
      </c>
      <c r="B4304" s="1" t="str">
        <f>'001'!C4304</f>
        <v>IMPREGNANTE PARA MADERA CETOL CLASSIC BRILLANTE ROBLE X  1</v>
      </c>
      <c r="C4304" s="1" t="str">
        <f>'001'!D4304</f>
        <v>0105</v>
      </c>
      <c r="D4304" s="3" t="e">
        <f>'001'!H4304</f>
        <v>#VALUE!</v>
      </c>
    </row>
    <row r="4305" spans="1:4" x14ac:dyDescent="0.25">
      <c r="A4305" s="1" t="str">
        <f>'001'!B4305</f>
        <v>010814</v>
      </c>
      <c r="B4305" s="1" t="str">
        <f>'001'!C4305</f>
        <v>IMPREGNANTE PARA MADERA CETOL CLASSIC BRILLANTE CAOBA X  4</v>
      </c>
      <c r="C4305" s="1" t="str">
        <f>'001'!D4305</f>
        <v>0105</v>
      </c>
      <c r="D4305" s="3" t="e">
        <f>'001'!H4305</f>
        <v>#VALUE!</v>
      </c>
    </row>
    <row r="4306" spans="1:4" x14ac:dyDescent="0.25">
      <c r="A4306" s="1" t="str">
        <f>'001'!B4306</f>
        <v>010815</v>
      </c>
      <c r="B4306" s="1" t="str">
        <f>'001'!C4306</f>
        <v>IMPREGNANTE PARA MADERA CETOL CLASSIC BRILLANTE CEDRO X  4</v>
      </c>
      <c r="C4306" s="1" t="str">
        <f>'001'!D4306</f>
        <v>0105</v>
      </c>
      <c r="D4306" s="3" t="e">
        <f>'001'!H4306</f>
        <v>#VALUE!</v>
      </c>
    </row>
    <row r="4307" spans="1:4" x14ac:dyDescent="0.25">
      <c r="A4307" s="1" t="str">
        <f>'001'!B4307</f>
        <v>010816</v>
      </c>
      <c r="B4307" s="1" t="str">
        <f>'001'!C4307</f>
        <v>IMPREGNANTE PARA MADERA CETOL CLASSIC BRILLANTE CRISTAL X  4</v>
      </c>
      <c r="C4307" s="1" t="str">
        <f>'001'!D4307</f>
        <v>0105</v>
      </c>
      <c r="D4307" s="3" t="e">
        <f>'001'!H4307</f>
        <v>#VALUE!</v>
      </c>
    </row>
    <row r="4308" spans="1:4" x14ac:dyDescent="0.25">
      <c r="A4308" s="1" t="str">
        <f>'001'!B4308</f>
        <v>010817</v>
      </c>
      <c r="B4308" s="1" t="str">
        <f>'001'!C4308</f>
        <v>IMPREGNANTE PARA MADERA CETOL CLASSIC BRILLANTE NATURAL X  4</v>
      </c>
      <c r="C4308" s="1" t="str">
        <f>'001'!D4308</f>
        <v>0105</v>
      </c>
      <c r="D4308" s="3" t="e">
        <f>'001'!H4308</f>
        <v>#VALUE!</v>
      </c>
    </row>
    <row r="4309" spans="1:4" x14ac:dyDescent="0.25">
      <c r="A4309" s="1" t="str">
        <f>'001'!B4309</f>
        <v>010818</v>
      </c>
      <c r="B4309" s="1" t="str">
        <f>'001'!C4309</f>
        <v>IMPREGNANTE PARA MADERA CETOL CLASSIC BRILLANTE NOGAL X  4</v>
      </c>
      <c r="C4309" s="1" t="str">
        <f>'001'!D4309</f>
        <v>0105</v>
      </c>
      <c r="D4309" s="3" t="e">
        <f>'001'!H4309</f>
        <v>#VALUE!</v>
      </c>
    </row>
    <row r="4310" spans="1:4" x14ac:dyDescent="0.25">
      <c r="A4310" s="1" t="str">
        <f>'001'!B4310</f>
        <v>010819</v>
      </c>
      <c r="B4310" s="1" t="str">
        <f>'001'!C4310</f>
        <v>IMPREGNANTE PARA MADERA CETOL CLASSIC BRILLANTE ROBLE X  4</v>
      </c>
      <c r="C4310" s="1" t="str">
        <f>'001'!D4310</f>
        <v>0105</v>
      </c>
      <c r="D4310" s="3" t="e">
        <f>'001'!H4310</f>
        <v>#VALUE!</v>
      </c>
    </row>
    <row r="4311" spans="1:4" x14ac:dyDescent="0.25">
      <c r="A4311" s="1" t="str">
        <f>'001'!B4311</f>
        <v>010824</v>
      </c>
      <c r="B4311" s="1" t="str">
        <f>'001'!C4311</f>
        <v>IMPREGNANTE PARA MADERA CETOL CLASSIC BRILLANTE CAOBA X 10</v>
      </c>
      <c r="C4311" s="1" t="str">
        <f>'001'!D4311</f>
        <v>0105</v>
      </c>
      <c r="D4311" s="3" t="e">
        <f>'001'!H4311</f>
        <v>#VALUE!</v>
      </c>
    </row>
    <row r="4312" spans="1:4" x14ac:dyDescent="0.25">
      <c r="A4312" s="1" t="str">
        <f>'001'!B4312</f>
        <v>010825</v>
      </c>
      <c r="B4312" s="1" t="str">
        <f>'001'!C4312</f>
        <v>IMPREGNANTE PARA MADERA CETOL CLASSIC BRILLANTE CEDRO X 10</v>
      </c>
      <c r="C4312" s="1" t="str">
        <f>'001'!D4312</f>
        <v>0105</v>
      </c>
      <c r="D4312" s="3" t="e">
        <f>'001'!H4312</f>
        <v>#VALUE!</v>
      </c>
    </row>
    <row r="4313" spans="1:4" x14ac:dyDescent="0.25">
      <c r="A4313" s="1" t="str">
        <f>'001'!B4313</f>
        <v>010826</v>
      </c>
      <c r="B4313" s="1" t="str">
        <f>'001'!C4313</f>
        <v>IMPREGNANTE PARA MADERA CETOL CLASSIC BRILLANTE CRISTAL X 10</v>
      </c>
      <c r="C4313" s="1" t="str">
        <f>'001'!D4313</f>
        <v>0105</v>
      </c>
      <c r="D4313" s="3" t="e">
        <f>'001'!H4313</f>
        <v>#VALUE!</v>
      </c>
    </row>
    <row r="4314" spans="1:4" x14ac:dyDescent="0.25">
      <c r="A4314" s="1" t="str">
        <f>'001'!B4314</f>
        <v>010827</v>
      </c>
      <c r="B4314" s="1" t="str">
        <f>'001'!C4314</f>
        <v>IMPREGNANTE PARA MADERA CETOL CLASSIC BRILLANTE NATURAL X 10</v>
      </c>
      <c r="C4314" s="1" t="str">
        <f>'001'!D4314</f>
        <v>0105</v>
      </c>
      <c r="D4314" s="3" t="e">
        <f>'001'!H4314</f>
        <v>#VALUE!</v>
      </c>
    </row>
    <row r="4315" spans="1:4" x14ac:dyDescent="0.25">
      <c r="A4315" s="1" t="str">
        <f>'001'!B4315</f>
        <v>010828</v>
      </c>
      <c r="B4315" s="1" t="str">
        <f>'001'!C4315</f>
        <v>IMPREGNANTE PARA MADERA CETOL CLASSIC BRILLANTE NOGAL X 10</v>
      </c>
      <c r="C4315" s="1" t="str">
        <f>'001'!D4315</f>
        <v>0105</v>
      </c>
      <c r="D4315" s="3" t="e">
        <f>'001'!H4315</f>
        <v>#VALUE!</v>
      </c>
    </row>
    <row r="4316" spans="1:4" x14ac:dyDescent="0.25">
      <c r="A4316" s="1" t="str">
        <f>'001'!B4316</f>
        <v>010829</v>
      </c>
      <c r="B4316" s="1" t="str">
        <f>'001'!C4316</f>
        <v>IMPREGNANTE PARA MADERA CETOL CLASSIC BRILLANTE ROBLE X 10</v>
      </c>
      <c r="C4316" s="1" t="str">
        <f>'001'!D4316</f>
        <v>0105</v>
      </c>
      <c r="D4316" s="3" t="e">
        <f>'001'!H4316</f>
        <v>#VALUE!</v>
      </c>
    </row>
    <row r="4317" spans="1:4" x14ac:dyDescent="0.25">
      <c r="A4317" s="1" t="str">
        <f>'001'!B4317</f>
        <v>010881</v>
      </c>
      <c r="B4317" s="1" t="str">
        <f>'001'!C4317</f>
        <v>THINNER DIXILINA ORO E X 18</v>
      </c>
      <c r="C4317" s="1" t="str">
        <f>'001'!D4317</f>
        <v>0120</v>
      </c>
      <c r="D4317" s="3" t="e">
        <f>'001'!H4317</f>
        <v>#VALUE!</v>
      </c>
    </row>
    <row r="4318" spans="1:4" x14ac:dyDescent="0.25">
      <c r="A4318" s="1" t="str">
        <f>'001'!B4318</f>
        <v>010887</v>
      </c>
      <c r="B4318" s="1" t="str">
        <f>'001'!C4318</f>
        <v>DILUYENTE PARA CEMENTO DE CONTACTO X 18</v>
      </c>
      <c r="C4318" s="1" t="str">
        <f>'001'!D4318</f>
        <v>0186</v>
      </c>
      <c r="D4318" s="3" t="e">
        <f>'001'!H4318</f>
        <v>#VALUE!</v>
      </c>
    </row>
    <row r="4319" spans="1:4" x14ac:dyDescent="0.25">
      <c r="A4319" s="1" t="str">
        <f>'001'!B4319</f>
        <v>010997</v>
      </c>
      <c r="B4319" s="1" t="str">
        <f>'001'!C4319</f>
        <v>DILUYENTE PARA PILETA Y DEMARCACION VIAL X   1</v>
      </c>
      <c r="C4319" s="1" t="str">
        <f>'001'!D4319</f>
        <v>0186</v>
      </c>
      <c r="D4319" s="3" t="e">
        <f>'001'!H4319</f>
        <v>#VALUE!</v>
      </c>
    </row>
    <row r="4320" spans="1:4" x14ac:dyDescent="0.25">
      <c r="A4320" s="1" t="str">
        <f>'001'!B4320</f>
        <v>011002</v>
      </c>
      <c r="B4320" s="1" t="str">
        <f>'001'!C4320</f>
        <v>ESMALTE EPOXI ALBA NEGRO X 1</v>
      </c>
      <c r="C4320" s="1" t="str">
        <f>'001'!D4320</f>
        <v>0112</v>
      </c>
      <c r="D4320" s="3" t="e">
        <f>'001'!H4320</f>
        <v>#VALUE!</v>
      </c>
    </row>
    <row r="4321" spans="1:4" x14ac:dyDescent="0.25">
      <c r="A4321" s="1" t="str">
        <f>'001'!B4321</f>
        <v>011046</v>
      </c>
      <c r="B4321" s="1" t="str">
        <f>'001'!C4321</f>
        <v>SOLVENTE INDUSTRIAL X 18</v>
      </c>
      <c r="C4321" s="1" t="str">
        <f>'001'!D4321</f>
        <v>0186</v>
      </c>
      <c r="D4321" s="3" t="e">
        <f>'001'!H4321</f>
        <v>#VALUE!</v>
      </c>
    </row>
    <row r="4322" spans="1:4" x14ac:dyDescent="0.25">
      <c r="A4322" s="1" t="str">
        <f>'001'!B4322</f>
        <v>011161</v>
      </c>
      <c r="B4322" s="1" t="str">
        <f>'001'!C4322</f>
        <v>DILUYENTE PARA EPOXI PLUS X  18</v>
      </c>
      <c r="C4322" s="1" t="str">
        <f>'001'!D4322</f>
        <v>0186</v>
      </c>
      <c r="D4322" s="3" t="e">
        <f>'001'!H4322</f>
        <v>#VALUE!</v>
      </c>
    </row>
    <row r="4323" spans="1:4" x14ac:dyDescent="0.25">
      <c r="A4323" s="1" t="str">
        <f>'001'!B4323</f>
        <v>011165</v>
      </c>
      <c r="B4323" s="1" t="str">
        <f>'001'!C4323</f>
        <v>DILUYENTE POLIURETANICO PLUS X  18</v>
      </c>
      <c r="C4323" s="1" t="str">
        <f>'001'!D4323</f>
        <v>0186</v>
      </c>
      <c r="D4323" s="3" t="e">
        <f>'001'!H4323</f>
        <v>#VALUE!</v>
      </c>
    </row>
    <row r="4324" spans="1:4" x14ac:dyDescent="0.25">
      <c r="A4324" s="1" t="str">
        <f>'001'!B4324</f>
        <v>012008</v>
      </c>
      <c r="B4324" s="1" t="str">
        <f>'001'!C4324</f>
        <v>ESMALTE EPOXI ALBA GRIS HIELO X 1</v>
      </c>
      <c r="C4324" s="1" t="str">
        <f>'001'!D4324</f>
        <v>0112</v>
      </c>
      <c r="D4324" s="3" t="e">
        <f>'001'!H4324</f>
        <v>#VALUE!</v>
      </c>
    </row>
    <row r="4325" spans="1:4" x14ac:dyDescent="0.25">
      <c r="A4325" s="1" t="str">
        <f>'001'!B4325</f>
        <v>012200</v>
      </c>
      <c r="B4325" s="1" t="str">
        <f>'001'!C4325</f>
        <v>FONDO EPOXI ALBA GRIS X 1</v>
      </c>
      <c r="C4325" s="1" t="str">
        <f>'001'!D4325</f>
        <v>0112</v>
      </c>
      <c r="D4325" s="3" t="e">
        <f>'001'!H4325</f>
        <v>#VALUE!</v>
      </c>
    </row>
    <row r="4326" spans="1:4" x14ac:dyDescent="0.25">
      <c r="A4326" s="1" t="str">
        <f>'001'!B4326</f>
        <v>012201</v>
      </c>
      <c r="B4326" s="1" t="str">
        <f>'001'!C4326</f>
        <v>FONDO CONVERTIDOR DE OXIDO ALBA MATE BLANCO X 0,500</v>
      </c>
      <c r="C4326" s="1" t="str">
        <f>'001'!D4326</f>
        <v>0902</v>
      </c>
      <c r="D4326" s="3" t="e">
        <f>'001'!H4326</f>
        <v>#VALUE!</v>
      </c>
    </row>
    <row r="4327" spans="1:4" x14ac:dyDescent="0.25">
      <c r="A4327" s="1" t="str">
        <f>'001'!B4327</f>
        <v>012215</v>
      </c>
      <c r="B4327" s="1" t="str">
        <f>'001'!C4327</f>
        <v>FONDO CONVERTIDOR DE OXIDO ALBA MATE NEGRO X 0,500</v>
      </c>
      <c r="C4327" s="1" t="str">
        <f>'001'!D4327</f>
        <v>0902</v>
      </c>
      <c r="D4327" s="3" t="e">
        <f>'001'!H4327</f>
        <v>#VALUE!</v>
      </c>
    </row>
    <row r="4328" spans="1:4" x14ac:dyDescent="0.25">
      <c r="A4328" s="1" t="str">
        <f>'001'!B4328</f>
        <v>012227</v>
      </c>
      <c r="B4328" s="1" t="str">
        <f>'001'!C4328</f>
        <v>FONDO CONVERTIDOR DE OXIDO ALBA MATE GRIS X 0,500</v>
      </c>
      <c r="C4328" s="1" t="str">
        <f>'001'!D4328</f>
        <v>0902</v>
      </c>
      <c r="D4328" s="3" t="e">
        <f>'001'!H4328</f>
        <v>#VALUE!</v>
      </c>
    </row>
    <row r="4329" spans="1:4" x14ac:dyDescent="0.25">
      <c r="A4329" s="1" t="str">
        <f>'001'!B4329</f>
        <v>012299</v>
      </c>
      <c r="B4329" s="1" t="str">
        <f>'001'!C4329</f>
        <v>FONDO CONVERTIDOR DE OXIDO ALBA MATE ROJO X 0,500</v>
      </c>
      <c r="C4329" s="1" t="str">
        <f>'001'!D4329</f>
        <v>0902</v>
      </c>
      <c r="D4329" s="3" t="e">
        <f>'001'!H4329</f>
        <v>#VALUE!</v>
      </c>
    </row>
    <row r="4330" spans="1:4" x14ac:dyDescent="0.25">
      <c r="A4330" s="1" t="str">
        <f>'001'!B4330</f>
        <v>012301</v>
      </c>
      <c r="B4330" s="1" t="str">
        <f>'001'!C4330</f>
        <v>FONDO CONVERTIDOR DE OXIDO ALBA MATE BLANCO X 1</v>
      </c>
      <c r="C4330" s="1" t="str">
        <f>'001'!D4330</f>
        <v>0107</v>
      </c>
      <c r="D4330" s="3" t="e">
        <f>'001'!H4330</f>
        <v>#VALUE!</v>
      </c>
    </row>
    <row r="4331" spans="1:4" x14ac:dyDescent="0.25">
      <c r="A4331" s="1" t="str">
        <f>'001'!B4331</f>
        <v>012315</v>
      </c>
      <c r="B4331" s="1" t="str">
        <f>'001'!C4331</f>
        <v>FONDO CONVERTIDOR DE OXIDO ALBA MATE NEGRO X 1</v>
      </c>
      <c r="C4331" s="1" t="str">
        <f>'001'!D4331</f>
        <v>0107</v>
      </c>
      <c r="D4331" s="3" t="e">
        <f>'001'!H4331</f>
        <v>#VALUE!</v>
      </c>
    </row>
    <row r="4332" spans="1:4" x14ac:dyDescent="0.25">
      <c r="A4332" s="1" t="str">
        <f>'001'!B4332</f>
        <v>012327</v>
      </c>
      <c r="B4332" s="1" t="str">
        <f>'001'!C4332</f>
        <v>FONDO CONVERTIDOR DE OXIDO ALBA MATE GRIS X 1</v>
      </c>
      <c r="C4332" s="1" t="str">
        <f>'001'!D4332</f>
        <v>0107</v>
      </c>
      <c r="D4332" s="3" t="e">
        <f>'001'!H4332</f>
        <v>#VALUE!</v>
      </c>
    </row>
    <row r="4333" spans="1:4" x14ac:dyDescent="0.25">
      <c r="A4333" s="1" t="str">
        <f>'001'!B4333</f>
        <v>012399</v>
      </c>
      <c r="B4333" s="1" t="str">
        <f>'001'!C4333</f>
        <v>FONDO CONVERTIDOR DE OXIDO ALBA MATE ROJO X 1  (DISC)</v>
      </c>
      <c r="C4333" s="1" t="str">
        <f>'001'!D4333</f>
        <v>0902</v>
      </c>
      <c r="D4333" s="3" t="e">
        <f>'001'!H4333</f>
        <v>#VALUE!</v>
      </c>
    </row>
    <row r="4334" spans="1:4" x14ac:dyDescent="0.25">
      <c r="A4334" s="1" t="str">
        <f>'001'!B4334</f>
        <v>012401</v>
      </c>
      <c r="B4334" s="1" t="str">
        <f>'001'!C4334</f>
        <v>FONDO CONVERTIDOR DE OXIDO ALBA MATE BLANCO X 4</v>
      </c>
      <c r="C4334" s="1" t="str">
        <f>'001'!D4334</f>
        <v>0107</v>
      </c>
      <c r="D4334" s="3" t="e">
        <f>'001'!H4334</f>
        <v>#VALUE!</v>
      </c>
    </row>
    <row r="4335" spans="1:4" x14ac:dyDescent="0.25">
      <c r="A4335" s="1" t="str">
        <f>'001'!B4335</f>
        <v>012415</v>
      </c>
      <c r="B4335" s="1" t="str">
        <f>'001'!C4335</f>
        <v>FONDO CONVERTIDOR DE OXIDO ALBA MATE NEGRO X 4</v>
      </c>
      <c r="C4335" s="1" t="str">
        <f>'001'!D4335</f>
        <v>0107</v>
      </c>
      <c r="D4335" s="3" t="e">
        <f>'001'!H4335</f>
        <v>#VALUE!</v>
      </c>
    </row>
    <row r="4336" spans="1:4" x14ac:dyDescent="0.25">
      <c r="A4336" s="1" t="str">
        <f>'001'!B4336</f>
        <v>012427</v>
      </c>
      <c r="B4336" s="1" t="str">
        <f>'001'!C4336</f>
        <v>FONDO CONVERTIDOR DE OXIDO ALBA MATE GRIS X 4</v>
      </c>
      <c r="C4336" s="1" t="str">
        <f>'001'!D4336</f>
        <v>0107</v>
      </c>
      <c r="D4336" s="3" t="e">
        <f>'001'!H4336</f>
        <v>#VALUE!</v>
      </c>
    </row>
    <row r="4337" spans="1:4" x14ac:dyDescent="0.25">
      <c r="A4337" s="1" t="str">
        <f>'001'!B4337</f>
        <v>014002</v>
      </c>
      <c r="B4337" s="1" t="str">
        <f>'001'!C4337</f>
        <v>ESMALTE EPOXI ALBA BERMELLON X 1</v>
      </c>
      <c r="C4337" s="1" t="str">
        <f>'001'!D4337</f>
        <v>0112</v>
      </c>
      <c r="D4337" s="3" t="e">
        <f>'001'!H4337</f>
        <v>#VALUE!</v>
      </c>
    </row>
    <row r="4338" spans="1:4" x14ac:dyDescent="0.25">
      <c r="A4338" s="1" t="str">
        <f>'001'!B4338</f>
        <v>016033</v>
      </c>
      <c r="B4338" s="1" t="str">
        <f>'001'!C4338</f>
        <v>ESMALTE EPOXI ALBA V.INGLES X 1</v>
      </c>
      <c r="C4338" s="1" t="str">
        <f>'001'!D4338</f>
        <v>0112</v>
      </c>
      <c r="D4338" s="3" t="e">
        <f>'001'!H4338</f>
        <v>#VALUE!</v>
      </c>
    </row>
    <row r="4339" spans="1:4" x14ac:dyDescent="0.25">
      <c r="A4339" s="1" t="str">
        <f>'001'!B4339</f>
        <v>016050</v>
      </c>
      <c r="B4339" s="1" t="str">
        <f>'001'!C4339</f>
        <v>PINTURA PARA PILETA ALBA EPOXI TANQUES Y PILETAS GRIS X 1</v>
      </c>
      <c r="C4339" s="1" t="str">
        <f>'001'!D4339</f>
        <v>0112</v>
      </c>
      <c r="D4339" s="3" t="e">
        <f>'001'!H4339</f>
        <v>#VALUE!</v>
      </c>
    </row>
    <row r="4340" spans="1:4" x14ac:dyDescent="0.25">
      <c r="A4340" s="1" t="str">
        <f>'001'!B4340</f>
        <v>016051</v>
      </c>
      <c r="B4340" s="1" t="str">
        <f>'001'!C4340</f>
        <v>PINTURA PARA PILETA ALBA EPOXI TANQUES Y PILETAS BLANCO X 1</v>
      </c>
      <c r="C4340" s="1" t="str">
        <f>'001'!D4340</f>
        <v>0112</v>
      </c>
      <c r="D4340" s="3" t="e">
        <f>'001'!H4340</f>
        <v>#VALUE!</v>
      </c>
    </row>
    <row r="4341" spans="1:4" x14ac:dyDescent="0.25">
      <c r="A4341" s="1" t="str">
        <f>'001'!B4341</f>
        <v>016315</v>
      </c>
      <c r="B4341" s="1" t="str">
        <f>'001'!C4341</f>
        <v>ESMALTE SINTETICO ALBALUX BRILLANTE NEGRO X 20</v>
      </c>
      <c r="C4341" s="1" t="str">
        <f>'001'!D4341</f>
        <v>0107</v>
      </c>
      <c r="D4341" s="3" t="e">
        <f>'001'!H4341</f>
        <v>#VALUE!</v>
      </c>
    </row>
    <row r="4342" spans="1:4" x14ac:dyDescent="0.25">
      <c r="A4342" s="1" t="str">
        <f>'001'!B4342</f>
        <v>016338</v>
      </c>
      <c r="B4342" s="1" t="str">
        <f>'001'!C4342</f>
        <v>ESMALTE SINTETICO ALBALUX BRILLANTE V. NOCHE X 20</v>
      </c>
      <c r="C4342" s="1" t="str">
        <f>'001'!D4342</f>
        <v>0902</v>
      </c>
      <c r="D4342" s="3" t="e">
        <f>'001'!H4342</f>
        <v>#VALUE!</v>
      </c>
    </row>
    <row r="4343" spans="1:4" x14ac:dyDescent="0.25">
      <c r="A4343" s="1" t="str">
        <f>'001'!B4343</f>
        <v>016343</v>
      </c>
      <c r="B4343" s="1" t="str">
        <f>'001'!C4343</f>
        <v>ESMALTE SINTETICO ALBALUX BRILLANTE A. MARINO X 20</v>
      </c>
      <c r="C4343" s="1" t="str">
        <f>'001'!D4343</f>
        <v>0902</v>
      </c>
      <c r="D4343" s="3" t="e">
        <f>'001'!H4343</f>
        <v>#VALUE!</v>
      </c>
    </row>
    <row r="4344" spans="1:4" x14ac:dyDescent="0.25">
      <c r="A4344" s="1" t="str">
        <f>'001'!B4344</f>
        <v>017001</v>
      </c>
      <c r="B4344" s="1" t="str">
        <f>'001'!C4344</f>
        <v>PINTURA PARA PILETA ALBA EPOXI TANQUES Y PILETAS CELESTE INTENSO X 1</v>
      </c>
      <c r="C4344" s="1" t="str">
        <f>'001'!D4344</f>
        <v>0112</v>
      </c>
      <c r="D4344" s="3" t="e">
        <f>'001'!H4344</f>
        <v>#VALUE!</v>
      </c>
    </row>
    <row r="4345" spans="1:4" x14ac:dyDescent="0.25">
      <c r="A4345" s="1" t="str">
        <f>'001'!B4345</f>
        <v>018402</v>
      </c>
      <c r="B4345" s="1" t="str">
        <f>'001'!C4345</f>
        <v>ESMALTE SINTETICO ALBALUX BRILLANTE BERMELLON X  0,250</v>
      </c>
      <c r="C4345" s="1" t="str">
        <f>'001'!D4345</f>
        <v>0902</v>
      </c>
      <c r="D4345" s="3" t="e">
        <f>'001'!H4345</f>
        <v>#VALUE!</v>
      </c>
    </row>
    <row r="4346" spans="1:4" x14ac:dyDescent="0.25">
      <c r="A4346" s="1" t="str">
        <f>'001'!B4346</f>
        <v>018404</v>
      </c>
      <c r="B4346" s="1" t="str">
        <f>'001'!C4346</f>
        <v>ESMALTE SINTETICO ALBALUX BRILLANTE AMARILLO X  0,250</v>
      </c>
      <c r="C4346" s="1" t="str">
        <f>'001'!D4346</f>
        <v>0902</v>
      </c>
      <c r="D4346" s="3" t="e">
        <f>'001'!H4346</f>
        <v>#VALUE!</v>
      </c>
    </row>
    <row r="4347" spans="1:4" x14ac:dyDescent="0.25">
      <c r="A4347" s="1" t="str">
        <f>'001'!B4347</f>
        <v>018417</v>
      </c>
      <c r="B4347" s="1" t="str">
        <f>'001'!C4347</f>
        <v>ESMALTE SINTETICO ALBALUX BRILLANTE ALUMINIIO X  0,250</v>
      </c>
      <c r="C4347" s="1" t="str">
        <f>'001'!D4347</f>
        <v>0902</v>
      </c>
      <c r="D4347" s="3" t="e">
        <f>'001'!H4347</f>
        <v>#VALUE!</v>
      </c>
    </row>
    <row r="4348" spans="1:4" x14ac:dyDescent="0.25">
      <c r="A4348" s="1" t="str">
        <f>'001'!B4348</f>
        <v>018502</v>
      </c>
      <c r="B4348" s="1" t="str">
        <f>'001'!C4348</f>
        <v>ESMALTE SINTETICO ALBALUX BRILLANTE BERMELLON X  0,500</v>
      </c>
      <c r="C4348" s="1" t="str">
        <f>'001'!D4348</f>
        <v>0107</v>
      </c>
      <c r="D4348" s="3" t="e">
        <f>'001'!H4348</f>
        <v>#VALUE!</v>
      </c>
    </row>
    <row r="4349" spans="1:4" x14ac:dyDescent="0.25">
      <c r="A4349" s="1" t="str">
        <f>'001'!B4349</f>
        <v>018504</v>
      </c>
      <c r="B4349" s="1" t="str">
        <f>'001'!C4349</f>
        <v>ESMALTE SINTETICO ALBALUX BRILLANTE AMARILLO X  0,500</v>
      </c>
      <c r="C4349" s="1" t="str">
        <f>'001'!D4349</f>
        <v>0107</v>
      </c>
      <c r="D4349" s="3" t="e">
        <f>'001'!H4349</f>
        <v>#VALUE!</v>
      </c>
    </row>
    <row r="4350" spans="1:4" x14ac:dyDescent="0.25">
      <c r="A4350" s="1" t="str">
        <f>'001'!B4350</f>
        <v>018510</v>
      </c>
      <c r="B4350" s="1" t="str">
        <f>'001'!C4350</f>
        <v>ESMALTE SINTETICO ALBALUX BRILLANTE CARMIN X 0,500</v>
      </c>
      <c r="C4350" s="1" t="str">
        <f>'001'!D4350</f>
        <v>0902</v>
      </c>
      <c r="D4350" s="3" t="e">
        <f>'001'!H4350</f>
        <v>#VALUE!</v>
      </c>
    </row>
    <row r="4351" spans="1:4" x14ac:dyDescent="0.25">
      <c r="A4351" s="1" t="str">
        <f>'001'!B4351</f>
        <v>018517</v>
      </c>
      <c r="B4351" s="1" t="str">
        <f>'001'!C4351</f>
        <v>ESMALTE SINTETICO ALBALUX BRILLANTE ALUMINIIO X  0,500</v>
      </c>
      <c r="C4351" s="1" t="str">
        <f>'001'!D4351</f>
        <v>0107</v>
      </c>
      <c r="D4351" s="3" t="e">
        <f>'001'!H4351</f>
        <v>#VALUE!</v>
      </c>
    </row>
    <row r="4352" spans="1:4" x14ac:dyDescent="0.25">
      <c r="A4352" s="1" t="str">
        <f>'001'!B4352</f>
        <v>018556</v>
      </c>
      <c r="B4352" s="1" t="str">
        <f>'001'!C4352</f>
        <v>ESMALTE SINTETICO ALBALUX BRILLANTE AM. MEDIO X  0,500</v>
      </c>
      <c r="C4352" s="1" t="str">
        <f>'001'!D4352</f>
        <v>0902</v>
      </c>
      <c r="D4352" s="3" t="e">
        <f>'001'!H4352</f>
        <v>#VALUE!</v>
      </c>
    </row>
    <row r="4353" spans="1:4" x14ac:dyDescent="0.25">
      <c r="A4353" s="1" t="str">
        <f>'001'!B4353</f>
        <v>018602</v>
      </c>
      <c r="B4353" s="1" t="str">
        <f>'001'!C4353</f>
        <v>ESMALTE SINTETICO ALBALUX BRILLANTE BERMELLON X  1</v>
      </c>
      <c r="C4353" s="1" t="str">
        <f>'001'!D4353</f>
        <v>0107</v>
      </c>
      <c r="D4353" s="3" t="e">
        <f>'001'!H4353</f>
        <v>#VALUE!</v>
      </c>
    </row>
    <row r="4354" spans="1:4" x14ac:dyDescent="0.25">
      <c r="A4354" s="1" t="str">
        <f>'001'!B4354</f>
        <v>018603</v>
      </c>
      <c r="B4354" s="1" t="str">
        <f>'001'!C4354</f>
        <v>ESMALTE SINTETICO ALBALUX BRILLANTE NARANJA X  1</v>
      </c>
      <c r="C4354" s="1" t="str">
        <f>'001'!D4354</f>
        <v>0107</v>
      </c>
      <c r="D4354" s="3" t="e">
        <f>'001'!H4354</f>
        <v>#VALUE!</v>
      </c>
    </row>
    <row r="4355" spans="1:4" x14ac:dyDescent="0.25">
      <c r="A4355" s="1" t="str">
        <f>'001'!B4355</f>
        <v>018604</v>
      </c>
      <c r="B4355" s="1" t="str">
        <f>'001'!C4355</f>
        <v>ESMALTE SINTETICO ALBALUX BRILLANTE AMARILLO X  1</v>
      </c>
      <c r="C4355" s="1" t="str">
        <f>'001'!D4355</f>
        <v>0107</v>
      </c>
      <c r="D4355" s="3" t="e">
        <f>'001'!H4355</f>
        <v>#VALUE!</v>
      </c>
    </row>
    <row r="4356" spans="1:4" x14ac:dyDescent="0.25">
      <c r="A4356" s="1" t="str">
        <f>'001'!B4356</f>
        <v>018610</v>
      </c>
      <c r="B4356" s="1" t="str">
        <f>'001'!C4356</f>
        <v>ESMALTE SINTETICO ALBALUX BRILLANTE CARMIN X 1</v>
      </c>
      <c r="C4356" s="1" t="str">
        <f>'001'!D4356</f>
        <v>0107</v>
      </c>
      <c r="D4356" s="3" t="e">
        <f>'001'!H4356</f>
        <v>#VALUE!</v>
      </c>
    </row>
    <row r="4357" spans="1:4" x14ac:dyDescent="0.25">
      <c r="A4357" s="1" t="str">
        <f>'001'!B4357</f>
        <v>018617</v>
      </c>
      <c r="B4357" s="1" t="str">
        <f>'001'!C4357</f>
        <v>ESMALTE SINTETICO ALBALUX BRILLANTE ALUMINIIO X  1</v>
      </c>
      <c r="C4357" s="1" t="str">
        <f>'001'!D4357</f>
        <v>0107</v>
      </c>
      <c r="D4357" s="3" t="e">
        <f>'001'!H4357</f>
        <v>#VALUE!</v>
      </c>
    </row>
    <row r="4358" spans="1:4" x14ac:dyDescent="0.25">
      <c r="A4358" s="1" t="str">
        <f>'001'!B4358</f>
        <v>018656</v>
      </c>
      <c r="B4358" s="1" t="str">
        <f>'001'!C4358</f>
        <v>ESMALTE SINTETICO ALBALUX BRILLANTE AM. MEDIO X  1</v>
      </c>
      <c r="C4358" s="1" t="str">
        <f>'001'!D4358</f>
        <v>0107</v>
      </c>
      <c r="D4358" s="3" t="e">
        <f>'001'!H4358</f>
        <v>#VALUE!</v>
      </c>
    </row>
    <row r="4359" spans="1:4" x14ac:dyDescent="0.25">
      <c r="A4359" s="1" t="str">
        <f>'001'!B4359</f>
        <v>018702</v>
      </c>
      <c r="B4359" s="1" t="str">
        <f>'001'!C4359</f>
        <v>ESMALTE SINTETICO ALBALUX BRILLANTE BERMELLON X  4</v>
      </c>
      <c r="C4359" s="1" t="str">
        <f>'001'!D4359</f>
        <v>0107</v>
      </c>
      <c r="D4359" s="3" t="e">
        <f>'001'!H4359</f>
        <v>#VALUE!</v>
      </c>
    </row>
    <row r="4360" spans="1:4" x14ac:dyDescent="0.25">
      <c r="A4360" s="1" t="str">
        <f>'001'!B4360</f>
        <v>018703</v>
      </c>
      <c r="B4360" s="1" t="str">
        <f>'001'!C4360</f>
        <v>ESMALTE SINTETICO ALBALUX BRILLANTE NARANJA X  4</v>
      </c>
      <c r="C4360" s="1" t="str">
        <f>'001'!D4360</f>
        <v>0107</v>
      </c>
      <c r="D4360" s="3" t="e">
        <f>'001'!H4360</f>
        <v>#VALUE!</v>
      </c>
    </row>
    <row r="4361" spans="1:4" x14ac:dyDescent="0.25">
      <c r="A4361" s="1" t="str">
        <f>'001'!B4361</f>
        <v>018704</v>
      </c>
      <c r="B4361" s="1" t="str">
        <f>'001'!C4361</f>
        <v>ESMALTE SINTETICO ALBALUX BRILLANTE AMARILLO X  4</v>
      </c>
      <c r="C4361" s="1" t="str">
        <f>'001'!D4361</f>
        <v>0107</v>
      </c>
      <c r="D4361" s="3" t="e">
        <f>'001'!H4361</f>
        <v>#VALUE!</v>
      </c>
    </row>
    <row r="4362" spans="1:4" x14ac:dyDescent="0.25">
      <c r="A4362" s="1" t="str">
        <f>'001'!B4362</f>
        <v>018710</v>
      </c>
      <c r="B4362" s="1" t="str">
        <f>'001'!C4362</f>
        <v>ESMALTE SINTETICO ALBALUX BRILLANTE CARMIN X 4</v>
      </c>
      <c r="C4362" s="1" t="str">
        <f>'001'!D4362</f>
        <v>0107</v>
      </c>
      <c r="D4362" s="3" t="e">
        <f>'001'!H4362</f>
        <v>#VALUE!</v>
      </c>
    </row>
    <row r="4363" spans="1:4" x14ac:dyDescent="0.25">
      <c r="A4363" s="1" t="str">
        <f>'001'!B4363</f>
        <v>018717</v>
      </c>
      <c r="B4363" s="1" t="str">
        <f>'001'!C4363</f>
        <v>ESMALTE SINTETICO ALBALUX BRILLANTE ALUMINIIO X  4</v>
      </c>
      <c r="C4363" s="1" t="str">
        <f>'001'!D4363</f>
        <v>0107</v>
      </c>
      <c r="D4363" s="3" t="e">
        <f>'001'!H4363</f>
        <v>#VALUE!</v>
      </c>
    </row>
    <row r="4364" spans="1:4" x14ac:dyDescent="0.25">
      <c r="A4364" s="1" t="str">
        <f>'001'!B4364</f>
        <v>018756</v>
      </c>
      <c r="B4364" s="1" t="str">
        <f>'001'!C4364</f>
        <v>ESMALTE SINTETICO ALBALUX BRILLANTE AM. MEDIO X  4</v>
      </c>
      <c r="C4364" s="1" t="str">
        <f>'001'!D4364</f>
        <v>0107</v>
      </c>
      <c r="D4364" s="3" t="e">
        <f>'001'!H4364</f>
        <v>#VALUE!</v>
      </c>
    </row>
    <row r="4365" spans="1:4" x14ac:dyDescent="0.25">
      <c r="A4365" s="1" t="str">
        <f>'001'!B4365</f>
        <v>018802</v>
      </c>
      <c r="B4365" s="1" t="str">
        <f>'001'!C4365</f>
        <v>ESMALTE SINTETICO ALBALUX BRILLANTE BERMELLON X 20</v>
      </c>
      <c r="C4365" s="1" t="str">
        <f>'001'!D4365</f>
        <v>0902</v>
      </c>
      <c r="D4365" s="3" t="e">
        <f>'001'!H4365</f>
        <v>#VALUE!</v>
      </c>
    </row>
    <row r="4366" spans="1:4" x14ac:dyDescent="0.25">
      <c r="A4366" s="1" t="str">
        <f>'001'!B4366</f>
        <v>018803</v>
      </c>
      <c r="B4366" s="1" t="str">
        <f>'001'!C4366</f>
        <v>ESMALTE SINTETICO ALBALUX BRILLANTE NARANJA X 20</v>
      </c>
      <c r="C4366" s="1" t="str">
        <f>'001'!D4366</f>
        <v>0902</v>
      </c>
      <c r="D4366" s="3" t="e">
        <f>'001'!H4366</f>
        <v>#VALUE!</v>
      </c>
    </row>
    <row r="4367" spans="1:4" x14ac:dyDescent="0.25">
      <c r="A4367" s="1" t="str">
        <f>'001'!B4367</f>
        <v>018817</v>
      </c>
      <c r="B4367" s="1" t="str">
        <f>'001'!C4367</f>
        <v>ESMALTE SINTETICO ALBALUX BRILLANTE ALUMINIIO X 20</v>
      </c>
      <c r="C4367" s="1" t="str">
        <f>'001'!D4367</f>
        <v>0107</v>
      </c>
      <c r="D4367" s="3" t="e">
        <f>'001'!H4367</f>
        <v>#VALUE!</v>
      </c>
    </row>
    <row r="4368" spans="1:4" x14ac:dyDescent="0.25">
      <c r="A4368" s="1" t="str">
        <f>'001'!B4368</f>
        <v>018856</v>
      </c>
      <c r="B4368" s="1" t="str">
        <f>'001'!C4368</f>
        <v>ESMALTE SINTETICO ALBALUX BRILLANTE AM. MEDIO X 20</v>
      </c>
      <c r="C4368" s="1" t="str">
        <f>'001'!D4368</f>
        <v>0902</v>
      </c>
      <c r="D4368" s="3" t="e">
        <f>'001'!H4368</f>
        <v>#VALUE!</v>
      </c>
    </row>
    <row r="4369" spans="1:4" x14ac:dyDescent="0.25">
      <c r="A4369" s="1" t="str">
        <f>'001'!B4369</f>
        <v>018915</v>
      </c>
      <c r="B4369" s="1" t="str">
        <f>'001'!C4369</f>
        <v>ESMALTE SINTETICO ALBALUX BRILLANTE NEGRO X  0,250</v>
      </c>
      <c r="C4369" s="1" t="str">
        <f>'001'!D4369</f>
        <v>0107</v>
      </c>
      <c r="D4369" s="3" t="e">
        <f>'001'!H4369</f>
        <v>#VALUE!</v>
      </c>
    </row>
    <row r="4370" spans="1:4" x14ac:dyDescent="0.25">
      <c r="A4370" s="1" t="str">
        <f>'001'!B4370</f>
        <v>018918</v>
      </c>
      <c r="B4370" s="1" t="str">
        <f>'001'!C4370</f>
        <v>ESMALTE SINTETICO ALBALUX BRILLANTE MARRON X 0,250</v>
      </c>
      <c r="C4370" s="1" t="str">
        <f>'001'!D4370</f>
        <v>0902</v>
      </c>
      <c r="D4370" s="3" t="e">
        <f>'001'!H4370</f>
        <v>#VALUE!</v>
      </c>
    </row>
    <row r="4371" spans="1:4" x14ac:dyDescent="0.25">
      <c r="A4371" s="1" t="str">
        <f>'001'!B4371</f>
        <v>018930</v>
      </c>
      <c r="B4371" s="1" t="str">
        <f>'001'!C4371</f>
        <v>ESMALTE SINTETICO ALBALUX BRILLANTE V. INGLES X  0,250</v>
      </c>
      <c r="C4371" s="1" t="str">
        <f>'001'!D4371</f>
        <v>0902</v>
      </c>
      <c r="D4371" s="3" t="e">
        <f>'001'!H4371</f>
        <v>#VALUE!</v>
      </c>
    </row>
    <row r="4372" spans="1:4" x14ac:dyDescent="0.25">
      <c r="A4372" s="1" t="str">
        <f>'001'!B4372</f>
        <v>018943</v>
      </c>
      <c r="B4372" s="1" t="str">
        <f>'001'!C4372</f>
        <v>ESMALTE SINTETICO ALBALUX BRILLANTE A. MARINO X  0,250</v>
      </c>
      <c r="C4372" s="1" t="str">
        <f>'001'!D4372</f>
        <v>0902</v>
      </c>
      <c r="D4372" s="3" t="e">
        <f>'001'!H4372</f>
        <v>#VALUE!</v>
      </c>
    </row>
    <row r="4373" spans="1:4" x14ac:dyDescent="0.25">
      <c r="A4373" s="1" t="str">
        <f>'001'!B4373</f>
        <v>019009</v>
      </c>
      <c r="B4373" s="1" t="str">
        <f>'001'!C4373</f>
        <v>ESMALTE SINTETICO ALBALUX BRILLANTE BEIGE X 0,500</v>
      </c>
      <c r="C4373" s="1" t="str">
        <f>'001'!D4373</f>
        <v>0902</v>
      </c>
      <c r="D4373" s="3" t="e">
        <f>'001'!H4373</f>
        <v>#VALUE!</v>
      </c>
    </row>
    <row r="4374" spans="1:4" x14ac:dyDescent="0.25">
      <c r="A4374" s="1" t="str">
        <f>'001'!B4374</f>
        <v>019013</v>
      </c>
      <c r="B4374" s="1" t="str">
        <f>'001'!C4374</f>
        <v>ESMALTE SINTETICO ALBALUX BRILLANTE CEDRO X 0,500</v>
      </c>
      <c r="C4374" s="1" t="str">
        <f>'001'!D4374</f>
        <v>0107</v>
      </c>
      <c r="D4374" s="3" t="e">
        <f>'001'!H4374</f>
        <v>#VALUE!</v>
      </c>
    </row>
    <row r="4375" spans="1:4" x14ac:dyDescent="0.25">
      <c r="A4375" s="1" t="str">
        <f>'001'!B4375</f>
        <v>019015</v>
      </c>
      <c r="B4375" s="1" t="str">
        <f>'001'!C4375</f>
        <v>ESMALTE SINTETICO ALBALUX BRILLANTE NEGRO X  0,500</v>
      </c>
      <c r="C4375" s="1" t="str">
        <f>'001'!D4375</f>
        <v>0107</v>
      </c>
      <c r="D4375" s="3" t="e">
        <f>'001'!H4375</f>
        <v>#VALUE!</v>
      </c>
    </row>
    <row r="4376" spans="1:4" x14ac:dyDescent="0.25">
      <c r="A4376" s="1" t="str">
        <f>'001'!B4376</f>
        <v>019018</v>
      </c>
      <c r="B4376" s="1" t="str">
        <f>'001'!C4376</f>
        <v>ESMALTE SINTETICO ALBALUX BRILLANTE MARRON X 0,500</v>
      </c>
      <c r="C4376" s="1" t="str">
        <f>'001'!D4376</f>
        <v>0107</v>
      </c>
      <c r="D4376" s="3" t="e">
        <f>'001'!H4376</f>
        <v>#VALUE!</v>
      </c>
    </row>
    <row r="4377" spans="1:4" x14ac:dyDescent="0.25">
      <c r="A4377" s="1" t="str">
        <f>'001'!B4377</f>
        <v>019020</v>
      </c>
      <c r="B4377" s="1" t="str">
        <f>'001'!C4377</f>
        <v>ESMALTE SINTETICO ALBALUX BRILLANTE GRIS X 0,500</v>
      </c>
      <c r="C4377" s="1" t="str">
        <f>'001'!D4377</f>
        <v>0107</v>
      </c>
      <c r="D4377" s="3" t="e">
        <f>'001'!H4377</f>
        <v>#VALUE!</v>
      </c>
    </row>
    <row r="4378" spans="1:4" x14ac:dyDescent="0.25">
      <c r="A4378" s="1" t="str">
        <f>'001'!B4378</f>
        <v>019021</v>
      </c>
      <c r="B4378" s="1" t="str">
        <f>'001'!C4378</f>
        <v>ESMALTE SINTETICO ALBALUX BRILLANTE G. VISON X 0,500</v>
      </c>
      <c r="C4378" s="1" t="str">
        <f>'001'!D4378</f>
        <v>0902</v>
      </c>
      <c r="D4378" s="3" t="e">
        <f>'001'!H4378</f>
        <v>#VALUE!</v>
      </c>
    </row>
    <row r="4379" spans="1:4" x14ac:dyDescent="0.25">
      <c r="A4379" s="1" t="str">
        <f>'001'!B4379</f>
        <v>019023</v>
      </c>
      <c r="B4379" s="1" t="str">
        <f>'001'!C4379</f>
        <v>ESMALTE SINTETICO ALBALUX BRILLANTE CELESTE X 0,500</v>
      </c>
      <c r="C4379" s="1" t="str">
        <f>'001'!D4379</f>
        <v>0902</v>
      </c>
      <c r="D4379" s="3" t="e">
        <f>'001'!H4379</f>
        <v>#VALUE!</v>
      </c>
    </row>
    <row r="4380" spans="1:4" x14ac:dyDescent="0.25">
      <c r="A4380" s="1" t="str">
        <f>'001'!B4380</f>
        <v>019029</v>
      </c>
      <c r="B4380" s="1" t="str">
        <f>'001'!C4380</f>
        <v>ESMALTE SINTETICO ALBALUX BRILLANTE G. HIELO X 0,500</v>
      </c>
      <c r="C4380" s="1" t="str">
        <f>'001'!D4380</f>
        <v>0902</v>
      </c>
      <c r="D4380" s="3" t="e">
        <f>'001'!H4380</f>
        <v>#VALUE!</v>
      </c>
    </row>
    <row r="4381" spans="1:4" x14ac:dyDescent="0.25">
      <c r="A4381" s="1" t="str">
        <f>'001'!B4381</f>
        <v>019030</v>
      </c>
      <c r="B4381" s="1" t="str">
        <f>'001'!C4381</f>
        <v>ESMALTE SINTETICO ALBALUX BRILLANTE V. INGLES X  0,500</v>
      </c>
      <c r="C4381" s="1" t="str">
        <f>'001'!D4381</f>
        <v>0107</v>
      </c>
      <c r="D4381" s="3" t="e">
        <f>'001'!H4381</f>
        <v>#VALUE!</v>
      </c>
    </row>
    <row r="4382" spans="1:4" x14ac:dyDescent="0.25">
      <c r="A4382" s="1" t="str">
        <f>'001'!B4382</f>
        <v>019033</v>
      </c>
      <c r="B4382" s="1" t="str">
        <f>'001'!C4382</f>
        <v>ESMALTE SINTETICO ALBALUX BRILLANTE M. CHAMPAGNE (CASTOR) X 0,500</v>
      </c>
      <c r="C4382" s="1" t="str">
        <f>'001'!D4382</f>
        <v>0902</v>
      </c>
      <c r="D4382" s="3" t="e">
        <f>'001'!H4382</f>
        <v>#VALUE!</v>
      </c>
    </row>
    <row r="4383" spans="1:4" x14ac:dyDescent="0.25">
      <c r="A4383" s="1" t="str">
        <f>'001'!B4383</f>
        <v>019035</v>
      </c>
      <c r="B4383" s="1" t="str">
        <f>'001'!C4383</f>
        <v>ESMALTE SINTETICO ALBALUX BRILLANTE VICUNA X 0,500</v>
      </c>
      <c r="C4383" s="1" t="str">
        <f>'001'!D4383</f>
        <v>0902</v>
      </c>
      <c r="D4383" s="3" t="e">
        <f>'001'!H4383</f>
        <v>#VALUE!</v>
      </c>
    </row>
    <row r="4384" spans="1:4" x14ac:dyDescent="0.25">
      <c r="A4384" s="1" t="str">
        <f>'001'!B4384</f>
        <v>019037</v>
      </c>
      <c r="B4384" s="1" t="str">
        <f>'001'!C4384</f>
        <v>ESMALTE SINTETICO ALBALUX BRILLANTE CASTANO X 0,500</v>
      </c>
      <c r="C4384" s="1" t="str">
        <f>'001'!D4384</f>
        <v>0902</v>
      </c>
      <c r="D4384" s="3" t="e">
        <f>'001'!H4384</f>
        <v>#VALUE!</v>
      </c>
    </row>
    <row r="4385" spans="1:4" x14ac:dyDescent="0.25">
      <c r="A4385" s="1" t="str">
        <f>'001'!B4385</f>
        <v>019038</v>
      </c>
      <c r="B4385" s="1" t="str">
        <f>'001'!C4385</f>
        <v>ESMALTE SINTETICO ALBALUX BRILLANTE V. NOCHE X  0,500</v>
      </c>
      <c r="C4385" s="1" t="str">
        <f>'001'!D4385</f>
        <v>0902</v>
      </c>
      <c r="D4385" s="3" t="e">
        <f>'001'!H4385</f>
        <v>#VALUE!</v>
      </c>
    </row>
    <row r="4386" spans="1:4" x14ac:dyDescent="0.25">
      <c r="A4386" s="1" t="str">
        <f>'001'!B4386</f>
        <v>019041</v>
      </c>
      <c r="B4386" s="1" t="str">
        <f>'001'!C4386</f>
        <v>ESMALTE SINTETICO ALBALUX BRILLANTE TRAFUL X 0,500</v>
      </c>
      <c r="C4386" s="1" t="str">
        <f>'001'!D4386</f>
        <v>0107</v>
      </c>
      <c r="D4386" s="3" t="e">
        <f>'001'!H4386</f>
        <v>#VALUE!</v>
      </c>
    </row>
    <row r="4387" spans="1:4" x14ac:dyDescent="0.25">
      <c r="A4387" s="1" t="str">
        <f>'001'!B4387</f>
        <v>019043</v>
      </c>
      <c r="B4387" s="1" t="str">
        <f>'001'!C4387</f>
        <v>ESMALTE SINTETICO ALBALUX BRILLANTE A. MARINO X  0,500</v>
      </c>
      <c r="C4387" s="1" t="str">
        <f>'001'!D4387</f>
        <v>0107</v>
      </c>
      <c r="D4387" s="3" t="e">
        <f>'001'!H4387</f>
        <v>#VALUE!</v>
      </c>
    </row>
    <row r="4388" spans="1:4" x14ac:dyDescent="0.25">
      <c r="A4388" s="1" t="str">
        <f>'001'!B4388</f>
        <v>019047</v>
      </c>
      <c r="B4388" s="1" t="str">
        <f>'001'!C4388</f>
        <v>ESMALTE SINTETICO ALBALUX BRILLANTE TABACO X 0,500</v>
      </c>
      <c r="C4388" s="1" t="str">
        <f>'001'!D4388</f>
        <v>0107</v>
      </c>
      <c r="D4388" s="3" t="e">
        <f>'001'!H4388</f>
        <v>#VALUE!</v>
      </c>
    </row>
    <row r="4389" spans="1:4" x14ac:dyDescent="0.25">
      <c r="A4389" s="1" t="str">
        <f>'001'!B4389</f>
        <v>019109</v>
      </c>
      <c r="B4389" s="1" t="str">
        <f>'001'!C4389</f>
        <v>ESMALTE SINTETICO ALBALUX BRILLANTE BEIGE X 1</v>
      </c>
      <c r="C4389" s="1" t="str">
        <f>'001'!D4389</f>
        <v>0107</v>
      </c>
      <c r="D4389" s="3" t="e">
        <f>'001'!H4389</f>
        <v>#VALUE!</v>
      </c>
    </row>
    <row r="4390" spans="1:4" x14ac:dyDescent="0.25">
      <c r="A4390" s="1" t="str">
        <f>'001'!B4390</f>
        <v>019113</v>
      </c>
      <c r="B4390" s="1" t="str">
        <f>'001'!C4390</f>
        <v>ESMALTE SINTETICO ALBALUX BRILLANTE CEDRO X 1</v>
      </c>
      <c r="C4390" s="1" t="str">
        <f>'001'!D4390</f>
        <v>0107</v>
      </c>
      <c r="D4390" s="3" t="e">
        <f>'001'!H4390</f>
        <v>#VALUE!</v>
      </c>
    </row>
    <row r="4391" spans="1:4" x14ac:dyDescent="0.25">
      <c r="A4391" s="1" t="str">
        <f>'001'!B4391</f>
        <v>019115</v>
      </c>
      <c r="B4391" s="1" t="str">
        <f>'001'!C4391</f>
        <v>ESMALTE SINTETICO ALBALUX BRILLANTE NEGRO X  1</v>
      </c>
      <c r="C4391" s="1" t="str">
        <f>'001'!D4391</f>
        <v>0107</v>
      </c>
      <c r="D4391" s="3" t="e">
        <f>'001'!H4391</f>
        <v>#VALUE!</v>
      </c>
    </row>
    <row r="4392" spans="1:4" x14ac:dyDescent="0.25">
      <c r="A4392" s="1" t="str">
        <f>'001'!B4392</f>
        <v>019118</v>
      </c>
      <c r="B4392" s="1" t="str">
        <f>'001'!C4392</f>
        <v>ESMALTE SINTETICO ALBALUX BRILLANTE MARRON X 1</v>
      </c>
      <c r="C4392" s="1" t="str">
        <f>'001'!D4392</f>
        <v>0107</v>
      </c>
      <c r="D4392" s="3" t="e">
        <f>'001'!H4392</f>
        <v>#VALUE!</v>
      </c>
    </row>
    <row r="4393" spans="1:4" x14ac:dyDescent="0.25">
      <c r="A4393" s="1" t="str">
        <f>'001'!B4393</f>
        <v>019119</v>
      </c>
      <c r="B4393" s="1" t="str">
        <f>'001'!C4393</f>
        <v>ESMALTE SINTETICO ALBALUX BRILLANTE V. CLARO X 1</v>
      </c>
      <c r="C4393" s="1" t="str">
        <f>'001'!D4393</f>
        <v>0107</v>
      </c>
      <c r="D4393" s="3" t="e">
        <f>'001'!H4393</f>
        <v>#VALUE!</v>
      </c>
    </row>
    <row r="4394" spans="1:4" x14ac:dyDescent="0.25">
      <c r="A4394" s="1" t="str">
        <f>'001'!B4394</f>
        <v>019120</v>
      </c>
      <c r="B4394" s="1" t="str">
        <f>'001'!C4394</f>
        <v>ESMALTE SINTETICO ALBALUX BRILLANTE GRIS X 1</v>
      </c>
      <c r="C4394" s="1" t="str">
        <f>'001'!D4394</f>
        <v>0107</v>
      </c>
      <c r="D4394" s="3" t="e">
        <f>'001'!H4394</f>
        <v>#VALUE!</v>
      </c>
    </row>
    <row r="4395" spans="1:4" x14ac:dyDescent="0.25">
      <c r="A4395" s="1" t="str">
        <f>'001'!B4395</f>
        <v>019121</v>
      </c>
      <c r="B4395" s="1" t="str">
        <f>'001'!C4395</f>
        <v>ESMALTE SINTETICO ALBALUX BRILLANTE G. VISON X 1</v>
      </c>
      <c r="C4395" s="1" t="str">
        <f>'001'!D4395</f>
        <v>0902</v>
      </c>
      <c r="D4395" s="3" t="e">
        <f>'001'!H4395</f>
        <v>#VALUE!</v>
      </c>
    </row>
    <row r="4396" spans="1:4" x14ac:dyDescent="0.25">
      <c r="A4396" s="1" t="str">
        <f>'001'!B4396</f>
        <v>019122</v>
      </c>
      <c r="B4396" s="1" t="str">
        <f>'001'!C4396</f>
        <v>ESMALTE SINTETICO ALBALUX BRILLANTE ESMERALDA X 1</v>
      </c>
      <c r="C4396" s="1" t="str">
        <f>'001'!D4396</f>
        <v>0107</v>
      </c>
      <c r="D4396" s="3" t="e">
        <f>'001'!H4396</f>
        <v>#VALUE!</v>
      </c>
    </row>
    <row r="4397" spans="1:4" x14ac:dyDescent="0.25">
      <c r="A4397" s="1" t="str">
        <f>'001'!B4397</f>
        <v>019123</v>
      </c>
      <c r="B4397" s="1" t="str">
        <f>'001'!C4397</f>
        <v>ESMALTE SINTETICO ALBALUX BRILLANTE CELESTE X 1</v>
      </c>
      <c r="C4397" s="1" t="str">
        <f>'001'!D4397</f>
        <v>0902</v>
      </c>
      <c r="D4397" s="3" t="e">
        <f>'001'!H4397</f>
        <v>#VALUE!</v>
      </c>
    </row>
    <row r="4398" spans="1:4" x14ac:dyDescent="0.25">
      <c r="A4398" s="1" t="str">
        <f>'001'!B4398</f>
        <v>019124</v>
      </c>
      <c r="B4398" s="1" t="str">
        <f>'001'!C4398</f>
        <v>ESMALTE SINTETICO ALBALUX BRILLANTE M. SEDA X 1</v>
      </c>
      <c r="C4398" s="1" t="str">
        <f>'001'!D4398</f>
        <v>0107</v>
      </c>
      <c r="D4398" s="3" t="e">
        <f>'001'!H4398</f>
        <v>#VALUE!</v>
      </c>
    </row>
    <row r="4399" spans="1:4" x14ac:dyDescent="0.25">
      <c r="A4399" s="1" t="str">
        <f>'001'!B4399</f>
        <v>019126</v>
      </c>
      <c r="B4399" s="1" t="str">
        <f>'001'!C4399</f>
        <v>ESMALTE SINTETICO ALBALUX BRILLANTE G. ESPACIAL X 1</v>
      </c>
      <c r="C4399" s="1" t="str">
        <f>'001'!D4399</f>
        <v>0107</v>
      </c>
      <c r="D4399" s="3" t="e">
        <f>'001'!H4399</f>
        <v>#VALUE!</v>
      </c>
    </row>
    <row r="4400" spans="1:4" x14ac:dyDescent="0.25">
      <c r="A4400" s="1" t="str">
        <f>'001'!B4400</f>
        <v>019128</v>
      </c>
      <c r="B4400" s="1" t="str">
        <f>'001'!C4400</f>
        <v>ESMALTE SINTETICO ALBALUX BRILLANTE PERLA X  1</v>
      </c>
      <c r="C4400" s="1" t="str">
        <f>'001'!D4400</f>
        <v>0107</v>
      </c>
      <c r="D4400" s="3" t="e">
        <f>'001'!H4400</f>
        <v>#VALUE!</v>
      </c>
    </row>
    <row r="4401" spans="1:4" x14ac:dyDescent="0.25">
      <c r="A4401" s="1" t="str">
        <f>'001'!B4401</f>
        <v>019129</v>
      </c>
      <c r="B4401" s="1" t="str">
        <f>'001'!C4401</f>
        <v>ESMALTE SINTETICO ALBALUX BRILLANTE G. HIELO X 1</v>
      </c>
      <c r="C4401" s="1" t="str">
        <f>'001'!D4401</f>
        <v>0107</v>
      </c>
      <c r="D4401" s="3" t="e">
        <f>'001'!H4401</f>
        <v>#VALUE!</v>
      </c>
    </row>
    <row r="4402" spans="1:4" x14ac:dyDescent="0.25">
      <c r="A4402" s="1" t="str">
        <f>'001'!B4402</f>
        <v>019130</v>
      </c>
      <c r="B4402" s="1" t="str">
        <f>'001'!C4402</f>
        <v>ESMALTE SINTETICO ALBALUX BRILLANTE V. INGLES X  1</v>
      </c>
      <c r="C4402" s="1" t="str">
        <f>'001'!D4402</f>
        <v>0107</v>
      </c>
      <c r="D4402" s="3" t="e">
        <f>'001'!H4402</f>
        <v>#VALUE!</v>
      </c>
    </row>
    <row r="4403" spans="1:4" x14ac:dyDescent="0.25">
      <c r="A4403" s="1" t="str">
        <f>'001'!B4403</f>
        <v>019132</v>
      </c>
      <c r="B4403" s="1" t="str">
        <f>'001'!C4403</f>
        <v>ESMALTE SINTETICO ALBALUX BRILLANTE AZULEJO X 1</v>
      </c>
      <c r="C4403" s="1" t="str">
        <f>'001'!D4403</f>
        <v>0107</v>
      </c>
      <c r="D4403" s="3" t="e">
        <f>'001'!H4403</f>
        <v>#VALUE!</v>
      </c>
    </row>
    <row r="4404" spans="1:4" x14ac:dyDescent="0.25">
      <c r="A4404" s="1" t="str">
        <f>'001'!B4404</f>
        <v>019133</v>
      </c>
      <c r="B4404" s="1" t="str">
        <f>'001'!C4404</f>
        <v>ESMALTE SINTETICO ALBALUX BRILLANTE M. CHAMPAGNE (CASTOR) X 1</v>
      </c>
      <c r="C4404" s="1" t="str">
        <f>'001'!D4404</f>
        <v>0107</v>
      </c>
      <c r="D4404" s="3" t="e">
        <f>'001'!H4404</f>
        <v>#VALUE!</v>
      </c>
    </row>
    <row r="4405" spans="1:4" x14ac:dyDescent="0.25">
      <c r="A4405" s="1" t="str">
        <f>'001'!B4405</f>
        <v>019134</v>
      </c>
      <c r="B4405" s="1" t="str">
        <f>'001'!C4405</f>
        <v>ESMALTE SINTETICO ALBALUX BRILLANTE V. ILUSION X 1</v>
      </c>
      <c r="C4405" s="1" t="str">
        <f>'001'!D4405</f>
        <v>0107</v>
      </c>
      <c r="D4405" s="3" t="e">
        <f>'001'!H4405</f>
        <v>#VALUE!</v>
      </c>
    </row>
    <row r="4406" spans="1:4" x14ac:dyDescent="0.25">
      <c r="A4406" s="1" t="str">
        <f>'001'!B4406</f>
        <v>019135</v>
      </c>
      <c r="B4406" s="1" t="str">
        <f>'001'!C4406</f>
        <v>ESMALTE SINTETICO ALBALUX BRILLANTE VICUNA X 1</v>
      </c>
      <c r="C4406" s="1" t="str">
        <f>'001'!D4406</f>
        <v>0902</v>
      </c>
      <c r="D4406" s="3" t="e">
        <f>'001'!H4406</f>
        <v>#VALUE!</v>
      </c>
    </row>
    <row r="4407" spans="1:4" x14ac:dyDescent="0.25">
      <c r="A4407" s="1" t="str">
        <f>'001'!B4407</f>
        <v>019136</v>
      </c>
      <c r="B4407" s="1" t="str">
        <f>'001'!C4407</f>
        <v>ESMALTE SINTETICO ALBALUX BRILLANTE CREMA X 1</v>
      </c>
      <c r="C4407" s="1" t="str">
        <f>'001'!D4407</f>
        <v>0902</v>
      </c>
      <c r="D4407" s="3" t="e">
        <f>'001'!H4407</f>
        <v>#VALUE!</v>
      </c>
    </row>
    <row r="4408" spans="1:4" x14ac:dyDescent="0.25">
      <c r="A4408" s="1" t="str">
        <f>'001'!B4408</f>
        <v>019137</v>
      </c>
      <c r="B4408" s="1" t="str">
        <f>'001'!C4408</f>
        <v>ESMALTE SINTETICO ALBALUX BRILLANTE CASTANO X 1</v>
      </c>
      <c r="C4408" s="1" t="str">
        <f>'001'!D4408</f>
        <v>0902</v>
      </c>
      <c r="D4408" s="3" t="e">
        <f>'001'!H4408</f>
        <v>#VALUE!</v>
      </c>
    </row>
    <row r="4409" spans="1:4" x14ac:dyDescent="0.25">
      <c r="A4409" s="1" t="str">
        <f>'001'!B4409</f>
        <v>019138</v>
      </c>
      <c r="B4409" s="1" t="str">
        <f>'001'!C4409</f>
        <v>ESMALTE SINTETICO ALBALUX BRILLANTE V. NOCHE X  1</v>
      </c>
      <c r="C4409" s="1" t="str">
        <f>'001'!D4409</f>
        <v>0107</v>
      </c>
      <c r="D4409" s="3" t="e">
        <f>'001'!H4409</f>
        <v>#VALUE!</v>
      </c>
    </row>
    <row r="4410" spans="1:4" x14ac:dyDescent="0.25">
      <c r="A4410" s="1" t="str">
        <f>'001'!B4410</f>
        <v>019141</v>
      </c>
      <c r="B4410" s="1" t="str">
        <f>'001'!C4410</f>
        <v>ESMALTE SINTETICO ALBALUX BRILLANTE TRAFUL X 1</v>
      </c>
      <c r="C4410" s="1" t="str">
        <f>'001'!D4410</f>
        <v>0107</v>
      </c>
      <c r="D4410" s="3" t="e">
        <f>'001'!H4410</f>
        <v>#VALUE!</v>
      </c>
    </row>
    <row r="4411" spans="1:4" x14ac:dyDescent="0.25">
      <c r="A4411" s="1" t="str">
        <f>'001'!B4411</f>
        <v>019143</v>
      </c>
      <c r="B4411" s="1" t="str">
        <f>'001'!C4411</f>
        <v>ESMALTE SINTETICO ALBALUX BRILLANTE A. MARINO X  1</v>
      </c>
      <c r="C4411" s="1" t="str">
        <f>'001'!D4411</f>
        <v>0107</v>
      </c>
      <c r="D4411" s="3" t="e">
        <f>'001'!H4411</f>
        <v>#VALUE!</v>
      </c>
    </row>
    <row r="4412" spans="1:4" x14ac:dyDescent="0.25">
      <c r="A4412" s="1" t="str">
        <f>'001'!B4412</f>
        <v>019145</v>
      </c>
      <c r="B4412" s="1" t="str">
        <f>'001'!C4412</f>
        <v>ESMALTE SINTETICO ALBALUX BRILLANTE OCRE X 1</v>
      </c>
      <c r="C4412" s="1" t="str">
        <f>'001'!D4412</f>
        <v>0107</v>
      </c>
      <c r="D4412" s="3" t="e">
        <f>'001'!H4412</f>
        <v>#VALUE!</v>
      </c>
    </row>
    <row r="4413" spans="1:4" x14ac:dyDescent="0.25">
      <c r="A4413" s="1" t="str">
        <f>'001'!B4413</f>
        <v>019147</v>
      </c>
      <c r="B4413" s="1" t="str">
        <f>'001'!C4413</f>
        <v>ESMALTE SINTETICO ALBALUX BRILLANTE TABACO X 1</v>
      </c>
      <c r="C4413" s="1" t="str">
        <f>'001'!D4413</f>
        <v>0107</v>
      </c>
      <c r="D4413" s="3" t="e">
        <f>'001'!H4413</f>
        <v>#VALUE!</v>
      </c>
    </row>
    <row r="4414" spans="1:4" x14ac:dyDescent="0.25">
      <c r="A4414" s="1" t="str">
        <f>'001'!B4414</f>
        <v>019209</v>
      </c>
      <c r="B4414" s="1" t="str">
        <f>'001'!C4414</f>
        <v>ESMALTE SINTETICO ALBALUX BRILLANTE BEIGE X 4</v>
      </c>
      <c r="C4414" s="1" t="str">
        <f>'001'!D4414</f>
        <v>0107</v>
      </c>
      <c r="D4414" s="3" t="e">
        <f>'001'!H4414</f>
        <v>#VALUE!</v>
      </c>
    </row>
    <row r="4415" spans="1:4" x14ac:dyDescent="0.25">
      <c r="A4415" s="1" t="str">
        <f>'001'!B4415</f>
        <v>019211</v>
      </c>
      <c r="B4415" s="1" t="str">
        <f>'001'!C4415</f>
        <v>ESMALTE SINTETICO ALBALUX BRILLANTE MARFIL X 4</v>
      </c>
      <c r="C4415" s="1" t="str">
        <f>'001'!D4415</f>
        <v>0902</v>
      </c>
      <c r="D4415" s="3" t="e">
        <f>'001'!H4415</f>
        <v>#VALUE!</v>
      </c>
    </row>
    <row r="4416" spans="1:4" x14ac:dyDescent="0.25">
      <c r="A4416" s="1" t="str">
        <f>'001'!B4416</f>
        <v>019213</v>
      </c>
      <c r="B4416" s="1" t="str">
        <f>'001'!C4416</f>
        <v>ESMALTE SINTETICO ALBALUX BRILLANTE CEDRO X 4</v>
      </c>
      <c r="C4416" s="1" t="str">
        <f>'001'!D4416</f>
        <v>0107</v>
      </c>
      <c r="D4416" s="3" t="e">
        <f>'001'!H4416</f>
        <v>#VALUE!</v>
      </c>
    </row>
    <row r="4417" spans="1:4" x14ac:dyDescent="0.25">
      <c r="A4417" s="1" t="str">
        <f>'001'!B4417</f>
        <v>019215</v>
      </c>
      <c r="B4417" s="1" t="str">
        <f>'001'!C4417</f>
        <v>ESMALTE SINTETICO ALBALUX BRILLANTE NEGRO X  4</v>
      </c>
      <c r="C4417" s="1" t="str">
        <f>'001'!D4417</f>
        <v>0107</v>
      </c>
      <c r="D4417" s="3" t="e">
        <f>'001'!H4417</f>
        <v>#VALUE!</v>
      </c>
    </row>
    <row r="4418" spans="1:4" x14ac:dyDescent="0.25">
      <c r="A4418" s="1" t="str">
        <f>'001'!B4418</f>
        <v>019218</v>
      </c>
      <c r="B4418" s="1" t="str">
        <f>'001'!C4418</f>
        <v>ESMALTE SINTETICO ALBALUX BRILLANTE MARRON X 4</v>
      </c>
      <c r="C4418" s="1" t="str">
        <f>'001'!D4418</f>
        <v>0107</v>
      </c>
      <c r="D4418" s="3" t="e">
        <f>'001'!H4418</f>
        <v>#VALUE!</v>
      </c>
    </row>
    <row r="4419" spans="1:4" x14ac:dyDescent="0.25">
      <c r="A4419" s="1" t="str">
        <f>'001'!B4419</f>
        <v>019219</v>
      </c>
      <c r="B4419" s="1" t="str">
        <f>'001'!C4419</f>
        <v>ESMALTE SINTETICO ALBALUX BRILLANTE V. CLARO X 4</v>
      </c>
      <c r="C4419" s="1" t="str">
        <f>'001'!D4419</f>
        <v>0107</v>
      </c>
      <c r="D4419" s="3" t="e">
        <f>'001'!H4419</f>
        <v>#VALUE!</v>
      </c>
    </row>
    <row r="4420" spans="1:4" x14ac:dyDescent="0.25">
      <c r="A4420" s="1" t="str">
        <f>'001'!B4420</f>
        <v>019220</v>
      </c>
      <c r="B4420" s="1" t="str">
        <f>'001'!C4420</f>
        <v>ESMALTE SINTETICO ALBALUX BRILLANTE GRIS X 4</v>
      </c>
      <c r="C4420" s="1" t="str">
        <f>'001'!D4420</f>
        <v>0107</v>
      </c>
      <c r="D4420" s="3" t="e">
        <f>'001'!H4420</f>
        <v>#VALUE!</v>
      </c>
    </row>
    <row r="4421" spans="1:4" x14ac:dyDescent="0.25">
      <c r="A4421" s="1" t="str">
        <f>'001'!B4421</f>
        <v>019221</v>
      </c>
      <c r="B4421" s="1" t="str">
        <f>'001'!C4421</f>
        <v>ESMALTE SINTETICO ALBALUX BRILLANTE G. VISON X 4</v>
      </c>
      <c r="C4421" s="1" t="str">
        <f>'001'!D4421</f>
        <v>0902</v>
      </c>
      <c r="D4421" s="3" t="e">
        <f>'001'!H4421</f>
        <v>#VALUE!</v>
      </c>
    </row>
    <row r="4422" spans="1:4" x14ac:dyDescent="0.25">
      <c r="A4422" s="1" t="str">
        <f>'001'!B4422</f>
        <v>019222</v>
      </c>
      <c r="B4422" s="1" t="str">
        <f>'001'!C4422</f>
        <v>ESMALTE SINTETICO ALBALUX BRILLANTE ESMERALDA X 4</v>
      </c>
      <c r="C4422" s="1" t="str">
        <f>'001'!D4422</f>
        <v>0107</v>
      </c>
      <c r="D4422" s="3" t="e">
        <f>'001'!H4422</f>
        <v>#VALUE!</v>
      </c>
    </row>
    <row r="4423" spans="1:4" x14ac:dyDescent="0.25">
      <c r="A4423" s="1" t="str">
        <f>'001'!B4423</f>
        <v>019223</v>
      </c>
      <c r="B4423" s="1" t="str">
        <f>'001'!C4423</f>
        <v>ESMALTE SINTETICO ALBALUX BRILLANTE CELESTE X 4</v>
      </c>
      <c r="C4423" s="1" t="str">
        <f>'001'!D4423</f>
        <v>0902</v>
      </c>
      <c r="D4423" s="3" t="e">
        <f>'001'!H4423</f>
        <v>#VALUE!</v>
      </c>
    </row>
    <row r="4424" spans="1:4" x14ac:dyDescent="0.25">
      <c r="A4424" s="1" t="str">
        <f>'001'!B4424</f>
        <v>019224</v>
      </c>
      <c r="B4424" s="1" t="str">
        <f>'001'!C4424</f>
        <v>ESMALTE SINTETICO ALBALUX BRILLANTE M. SEDA X 4</v>
      </c>
      <c r="C4424" s="1" t="str">
        <f>'001'!D4424</f>
        <v>0107</v>
      </c>
      <c r="D4424" s="3" t="e">
        <f>'001'!H4424</f>
        <v>#VALUE!</v>
      </c>
    </row>
    <row r="4425" spans="1:4" x14ac:dyDescent="0.25">
      <c r="A4425" s="1" t="str">
        <f>'001'!B4425</f>
        <v>019226</v>
      </c>
      <c r="B4425" s="1" t="str">
        <f>'001'!C4425</f>
        <v>ESMALTE SINTETICO ALBALUX BRILLANTE G. ESPACIAL X 4</v>
      </c>
      <c r="C4425" s="1" t="str">
        <f>'001'!D4425</f>
        <v>0107</v>
      </c>
      <c r="D4425" s="3" t="e">
        <f>'001'!H4425</f>
        <v>#VALUE!</v>
      </c>
    </row>
    <row r="4426" spans="1:4" x14ac:dyDescent="0.25">
      <c r="A4426" s="1" t="str">
        <f>'001'!B4426</f>
        <v>019228</v>
      </c>
      <c r="B4426" s="1" t="str">
        <f>'001'!C4426</f>
        <v>ESMALTE SINTETICO ALBALUX BRILLANTE PERLA X  4</v>
      </c>
      <c r="C4426" s="1" t="str">
        <f>'001'!D4426</f>
        <v>0107</v>
      </c>
      <c r="D4426" s="3" t="e">
        <f>'001'!H4426</f>
        <v>#VALUE!</v>
      </c>
    </row>
    <row r="4427" spans="1:4" x14ac:dyDescent="0.25">
      <c r="A4427" s="1" t="str">
        <f>'001'!B4427</f>
        <v>019229</v>
      </c>
      <c r="B4427" s="1" t="str">
        <f>'001'!C4427</f>
        <v>ESMALTE SINTETICO ALBALUX BRILLANTE G. HIELO X 4</v>
      </c>
      <c r="C4427" s="1" t="str">
        <f>'001'!D4427</f>
        <v>0107</v>
      </c>
      <c r="D4427" s="3" t="e">
        <f>'001'!H4427</f>
        <v>#VALUE!</v>
      </c>
    </row>
    <row r="4428" spans="1:4" x14ac:dyDescent="0.25">
      <c r="A4428" s="1" t="str">
        <f>'001'!B4428</f>
        <v>019230</v>
      </c>
      <c r="B4428" s="1" t="str">
        <f>'001'!C4428</f>
        <v>ESMALTE SINTETICO ALBALUX BRILLANTE V. INGLES X  4</v>
      </c>
      <c r="C4428" s="1" t="str">
        <f>'001'!D4428</f>
        <v>0107</v>
      </c>
      <c r="D4428" s="3" t="e">
        <f>'001'!H4428</f>
        <v>#VALUE!</v>
      </c>
    </row>
    <row r="4429" spans="1:4" x14ac:dyDescent="0.25">
      <c r="A4429" s="1" t="str">
        <f>'001'!B4429</f>
        <v>019232</v>
      </c>
      <c r="B4429" s="1" t="str">
        <f>'001'!C4429</f>
        <v>ESMALTE SINTETICO ALBALUX BRILLANTE AZULEJO X 4</v>
      </c>
      <c r="C4429" s="1" t="str">
        <f>'001'!D4429</f>
        <v>0107</v>
      </c>
      <c r="D4429" s="3" t="e">
        <f>'001'!H4429</f>
        <v>#VALUE!</v>
      </c>
    </row>
    <row r="4430" spans="1:4" x14ac:dyDescent="0.25">
      <c r="A4430" s="1" t="str">
        <f>'001'!B4430</f>
        <v>019233</v>
      </c>
      <c r="B4430" s="1" t="str">
        <f>'001'!C4430</f>
        <v>ESMALTE SINTETICO ALBALUX BRILLANTE M. CHAMPAGNE (CASTOR) X 4</v>
      </c>
      <c r="C4430" s="1" t="str">
        <f>'001'!D4430</f>
        <v>0107</v>
      </c>
      <c r="D4430" s="3" t="e">
        <f>'001'!H4430</f>
        <v>#VALUE!</v>
      </c>
    </row>
    <row r="4431" spans="1:4" x14ac:dyDescent="0.25">
      <c r="A4431" s="1" t="str">
        <f>'001'!B4431</f>
        <v>019234</v>
      </c>
      <c r="B4431" s="1" t="str">
        <f>'001'!C4431</f>
        <v>ESMALTE SINTETICO ALBALUX BRILLANTE V. ILUSION X 4</v>
      </c>
      <c r="C4431" s="1" t="str">
        <f>'001'!D4431</f>
        <v>0107</v>
      </c>
      <c r="D4431" s="3" t="e">
        <f>'001'!H4431</f>
        <v>#VALUE!</v>
      </c>
    </row>
    <row r="4432" spans="1:4" x14ac:dyDescent="0.25">
      <c r="A4432" s="1" t="str">
        <f>'001'!B4432</f>
        <v>019236</v>
      </c>
      <c r="B4432" s="1" t="str">
        <f>'001'!C4432</f>
        <v>ESMALTE SINTETICO ALBALUX BRILLANTE CREMA X 4</v>
      </c>
      <c r="C4432" s="1" t="str">
        <f>'001'!D4432</f>
        <v>0902</v>
      </c>
      <c r="D4432" s="3" t="e">
        <f>'001'!H4432</f>
        <v>#VALUE!</v>
      </c>
    </row>
    <row r="4433" spans="1:4" x14ac:dyDescent="0.25">
      <c r="A4433" s="1" t="str">
        <f>'001'!B4433</f>
        <v>019237</v>
      </c>
      <c r="B4433" s="1" t="str">
        <f>'001'!C4433</f>
        <v>ESMALTE SINTETICO ALBALUX BRILLANTE CASTANO X 4</v>
      </c>
      <c r="C4433" s="1" t="str">
        <f>'001'!D4433</f>
        <v>0902</v>
      </c>
      <c r="D4433" s="3" t="e">
        <f>'001'!H4433</f>
        <v>#VALUE!</v>
      </c>
    </row>
    <row r="4434" spans="1:4" x14ac:dyDescent="0.25">
      <c r="A4434" s="1" t="str">
        <f>'001'!B4434</f>
        <v>019238</v>
      </c>
      <c r="B4434" s="1" t="str">
        <f>'001'!C4434</f>
        <v>ESMALTE SINTETICO ALBALUX BRILLANTE V. NOCHE X  4</v>
      </c>
      <c r="C4434" s="1" t="str">
        <f>'001'!D4434</f>
        <v>0107</v>
      </c>
      <c r="D4434" s="3" t="e">
        <f>'001'!H4434</f>
        <v>#VALUE!</v>
      </c>
    </row>
    <row r="4435" spans="1:4" x14ac:dyDescent="0.25">
      <c r="A4435" s="1" t="str">
        <f>'001'!B4435</f>
        <v>019241</v>
      </c>
      <c r="B4435" s="1" t="str">
        <f>'001'!C4435</f>
        <v>ESMALTE SINTETICO ALBALUX BRILLANTE TRAFUL X 4</v>
      </c>
      <c r="C4435" s="1" t="str">
        <f>'001'!D4435</f>
        <v>0107</v>
      </c>
      <c r="D4435" s="3" t="e">
        <f>'001'!H4435</f>
        <v>#VALUE!</v>
      </c>
    </row>
    <row r="4436" spans="1:4" x14ac:dyDescent="0.25">
      <c r="A4436" s="1" t="str">
        <f>'001'!B4436</f>
        <v>019243</v>
      </c>
      <c r="B4436" s="1" t="str">
        <f>'001'!C4436</f>
        <v>ESMALTE SINTETICO ALBALUX BRILLANTE A. MARINO X  4</v>
      </c>
      <c r="C4436" s="1" t="str">
        <f>'001'!D4436</f>
        <v>0107</v>
      </c>
      <c r="D4436" s="3" t="e">
        <f>'001'!H4436</f>
        <v>#VALUE!</v>
      </c>
    </row>
    <row r="4437" spans="1:4" x14ac:dyDescent="0.25">
      <c r="A4437" s="1" t="str">
        <f>'001'!B4437</f>
        <v>019245</v>
      </c>
      <c r="B4437" s="1" t="str">
        <f>'001'!C4437</f>
        <v>ESMALTE SINTETICO ALBALUX BRILLANTE OCRE X 4</v>
      </c>
      <c r="C4437" s="1" t="str">
        <f>'001'!D4437</f>
        <v>0107</v>
      </c>
      <c r="D4437" s="3" t="e">
        <f>'001'!H4437</f>
        <v>#VALUE!</v>
      </c>
    </row>
    <row r="4438" spans="1:4" x14ac:dyDescent="0.25">
      <c r="A4438" s="1" t="str">
        <f>'001'!B4438</f>
        <v>019247</v>
      </c>
      <c r="B4438" s="1" t="str">
        <f>'001'!C4438</f>
        <v>ESMALTE SINTETICO ALBALUX BRILLANTE TABACO X 4</v>
      </c>
      <c r="C4438" s="1" t="str">
        <f>'001'!D4438</f>
        <v>0107</v>
      </c>
      <c r="D4438" s="3" t="e">
        <f>'001'!H4438</f>
        <v>#VALUE!</v>
      </c>
    </row>
    <row r="4439" spans="1:4" x14ac:dyDescent="0.25">
      <c r="A4439" s="1" t="str">
        <f>'001'!B4439</f>
        <v>020503</v>
      </c>
      <c r="B4439" s="1" t="str">
        <f>'001'!C4439</f>
        <v>DILUYENTE AGUARRAS PARA ESMALTE X   4 (PET)</v>
      </c>
      <c r="C4439" s="1" t="str">
        <f>'001'!D4439</f>
        <v>0186</v>
      </c>
      <c r="D4439" s="3" t="e">
        <f>'001'!H4439</f>
        <v>#VALUE!</v>
      </c>
    </row>
    <row r="4440" spans="1:4" x14ac:dyDescent="0.25">
      <c r="A4440" s="1" t="str">
        <f>'001'!B4440</f>
        <v>020623</v>
      </c>
      <c r="B4440" s="1" t="str">
        <f>'001'!C4440</f>
        <v>DILUYENTE AGUARRAS PARA ESMALTE X 18</v>
      </c>
      <c r="C4440" s="1" t="str">
        <f>'001'!D4440</f>
        <v>0186</v>
      </c>
      <c r="D4440" s="3" t="e">
        <f>'001'!H4440</f>
        <v>#VALUE!</v>
      </c>
    </row>
    <row r="4441" spans="1:4" x14ac:dyDescent="0.25">
      <c r="A4441" s="1" t="str">
        <f>'001'!B4441</f>
        <v>020702</v>
      </c>
      <c r="B4441" s="1" t="str">
        <f>'001'!C4441</f>
        <v>THINNER STANDARD X   4 (PET)</v>
      </c>
      <c r="C4441" s="1" t="str">
        <f>'001'!D4441</f>
        <v>0186</v>
      </c>
      <c r="D4441" s="3" t="e">
        <f>'001'!H4441</f>
        <v>#VALUE!</v>
      </c>
    </row>
    <row r="4442" spans="1:4" x14ac:dyDescent="0.25">
      <c r="A4442" s="1" t="str">
        <f>'001'!B4442</f>
        <v>020707</v>
      </c>
      <c r="B4442" s="1" t="str">
        <f>'001'!C4442</f>
        <v>THINNER SELLO DE ORO X   4 (PET)</v>
      </c>
      <c r="C4442" s="1" t="str">
        <f>'001'!D4442</f>
        <v>0186</v>
      </c>
      <c r="D4442" s="3" t="e">
        <f>'001'!H4442</f>
        <v>#VALUE!</v>
      </c>
    </row>
    <row r="4443" spans="1:4" x14ac:dyDescent="0.25">
      <c r="A4443" s="1" t="str">
        <f>'001'!B4443</f>
        <v>020881</v>
      </c>
      <c r="B4443" s="1" t="str">
        <f>'001'!C4443</f>
        <v>THINNER DIXILINA ORO E X  4</v>
      </c>
      <c r="C4443" s="1" t="str">
        <f>'001'!D4443</f>
        <v>0120</v>
      </c>
      <c r="D4443" s="3" t="e">
        <f>'001'!H4443</f>
        <v>#VALUE!</v>
      </c>
    </row>
    <row r="4444" spans="1:4" x14ac:dyDescent="0.25">
      <c r="A4444" s="1" t="str">
        <f>'001'!B4444</f>
        <v>020887</v>
      </c>
      <c r="B4444" s="1" t="str">
        <f>'001'!C4444</f>
        <v>DILUYENTE PARA CEMENTO DE CONTACTO X   4</v>
      </c>
      <c r="C4444" s="1" t="str">
        <f>'001'!D4444</f>
        <v>0186</v>
      </c>
      <c r="D4444" s="3" t="e">
        <f>'001'!H4444</f>
        <v>#VALUE!</v>
      </c>
    </row>
    <row r="4445" spans="1:4" x14ac:dyDescent="0.25">
      <c r="A4445" s="1" t="str">
        <f>'001'!B4445</f>
        <v>020997</v>
      </c>
      <c r="B4445" s="1" t="str">
        <f>'001'!C4445</f>
        <v>DILUYENTE PARA PILETA Y DEMARCACION VIAL X   4</v>
      </c>
      <c r="C4445" s="1" t="str">
        <f>'001'!D4445</f>
        <v>0186</v>
      </c>
      <c r="D4445" s="3" t="e">
        <f>'001'!H4445</f>
        <v>#VALUE!</v>
      </c>
    </row>
    <row r="4446" spans="1:4" x14ac:dyDescent="0.25">
      <c r="A4446" s="1" t="str">
        <f>'001'!B4446</f>
        <v>021046</v>
      </c>
      <c r="B4446" s="1" t="str">
        <f>'001'!C4446</f>
        <v>SOLVENTE INDUSTRIAL X   4</v>
      </c>
      <c r="C4446" s="1" t="str">
        <f>'001'!D4446</f>
        <v>0186</v>
      </c>
      <c r="D4446" s="3" t="e">
        <f>'001'!H4446</f>
        <v>#VALUE!</v>
      </c>
    </row>
    <row r="4447" spans="1:4" x14ac:dyDescent="0.25">
      <c r="A4447" s="1" t="str">
        <f>'001'!B4447</f>
        <v>021155</v>
      </c>
      <c r="B4447" s="1" t="str">
        <f>'001'!C4447</f>
        <v>BARNIZ PARA MADERA EXTERIOR ALBATROS BRILLANTE DOBLE VIDA NOGAL X 0,500</v>
      </c>
      <c r="C4447" s="1" t="str">
        <f>'001'!D4447</f>
        <v>0902</v>
      </c>
      <c r="D4447" s="3" t="e">
        <f>'001'!H4447</f>
        <v>#VALUE!</v>
      </c>
    </row>
    <row r="4448" spans="1:4" x14ac:dyDescent="0.25">
      <c r="A4448" s="1" t="str">
        <f>'001'!B4448</f>
        <v>021161</v>
      </c>
      <c r="B4448" s="1" t="str">
        <f>'001'!C4448</f>
        <v>DILUYENTE PARA EPOXI PLUS X   4</v>
      </c>
      <c r="C4448" s="1" t="str">
        <f>'001'!D4448</f>
        <v>0186</v>
      </c>
      <c r="D4448" s="3" t="e">
        <f>'001'!H4448</f>
        <v>#VALUE!</v>
      </c>
    </row>
    <row r="4449" spans="1:4" x14ac:dyDescent="0.25">
      <c r="A4449" s="1" t="str">
        <f>'001'!B4449</f>
        <v>021165</v>
      </c>
      <c r="B4449" s="1" t="str">
        <f>'001'!C4449</f>
        <v>DILUYENTE POLIURETANICO PLUS X   4</v>
      </c>
      <c r="C4449" s="1" t="str">
        <f>'001'!D4449</f>
        <v>0186</v>
      </c>
      <c r="D4449" s="3" t="e">
        <f>'001'!H4449</f>
        <v>#VALUE!</v>
      </c>
    </row>
    <row r="4450" spans="1:4" x14ac:dyDescent="0.25">
      <c r="A4450" s="1" t="str">
        <f>'001'!B4450</f>
        <v>021308</v>
      </c>
      <c r="B4450" s="1" t="str">
        <f>'001'!C4450</f>
        <v>PINTURA PARA PILETA ALBA AL CAUCHO MATE CELESTE PROFUNDO X  1</v>
      </c>
      <c r="C4450" s="1" t="str">
        <f>'001'!D4450</f>
        <v>0107</v>
      </c>
      <c r="D4450" s="3" t="e">
        <f>'001'!H4450</f>
        <v>#VALUE!</v>
      </c>
    </row>
    <row r="4451" spans="1:4" x14ac:dyDescent="0.25">
      <c r="A4451" s="1" t="str">
        <f>'001'!B4451</f>
        <v>021401</v>
      </c>
      <c r="B4451" s="1" t="str">
        <f>'001'!C4451</f>
        <v>PINTURA PARA PILETA ALBA AL CAUCHO MATE BLANCO X 4</v>
      </c>
      <c r="C4451" s="1" t="str">
        <f>'001'!D4451</f>
        <v>0107</v>
      </c>
      <c r="D4451" s="3" t="e">
        <f>'001'!H4451</f>
        <v>#VALUE!</v>
      </c>
    </row>
    <row r="4452" spans="1:4" x14ac:dyDescent="0.25">
      <c r="A4452" s="1" t="str">
        <f>'001'!B4452</f>
        <v>021404</v>
      </c>
      <c r="B4452" s="1" t="str">
        <f>'001'!C4452</f>
        <v>PINTURA PARA PILETA ALBA AL CAUCHO MATE CELESTE X 4</v>
      </c>
      <c r="C4452" s="1" t="str">
        <f>'001'!D4452</f>
        <v>0107</v>
      </c>
      <c r="D4452" s="3" t="e">
        <f>'001'!H4452</f>
        <v>#VALUE!</v>
      </c>
    </row>
    <row r="4453" spans="1:4" x14ac:dyDescent="0.25">
      <c r="A4453" s="1" t="str">
        <f>'001'!B4453</f>
        <v>021408</v>
      </c>
      <c r="B4453" s="1" t="str">
        <f>'001'!C4453</f>
        <v>PINTURA PARA PILETA ALBA AL CAUCHO MATE CELESTE PROFUNDO X  4</v>
      </c>
      <c r="C4453" s="1" t="str">
        <f>'001'!D4453</f>
        <v>0107</v>
      </c>
      <c r="D4453" s="3" t="e">
        <f>'001'!H4453</f>
        <v>#VALUE!</v>
      </c>
    </row>
    <row r="4454" spans="1:4" x14ac:dyDescent="0.25">
      <c r="A4454" s="1" t="str">
        <f>'001'!B4454</f>
        <v>022819</v>
      </c>
      <c r="B4454" s="1" t="str">
        <f>'001'!C4454</f>
        <v>ESMALTE SINTETICO TERSUAVE 2EN1 BRILLANTE VERDE CLARO X 20</v>
      </c>
      <c r="C4454" s="1" t="str">
        <f>'001'!D4454</f>
        <v>0152</v>
      </c>
      <c r="D4454" s="3" t="e">
        <f>'001'!H4454</f>
        <v>#VALUE!</v>
      </c>
    </row>
    <row r="4455" spans="1:4" x14ac:dyDescent="0.25">
      <c r="A4455" s="1" t="str">
        <f>'001'!B4455</f>
        <v>024250</v>
      </c>
      <c r="B4455" s="1" t="str">
        <f>'001'!C4455</f>
        <v>BARNIZ PARA MADERA EXTERIOR ALBATROS BRILLANTE DOBLE VIDA NATURAL X 1</v>
      </c>
      <c r="C4455" s="1" t="str">
        <f>'001'!D4455</f>
        <v>0902</v>
      </c>
      <c r="D4455" s="3" t="e">
        <f>'001'!H4455</f>
        <v>#VALUE!</v>
      </c>
    </row>
    <row r="4456" spans="1:4" x14ac:dyDescent="0.25">
      <c r="A4456" s="1" t="str">
        <f>'001'!B4456</f>
        <v>024253</v>
      </c>
      <c r="B4456" s="1" t="str">
        <f>'001'!C4456</f>
        <v>BARNIZ PARA MADERA EXTERIOR ALBATROS BRILLANTE DOBLE VIDA CEDRO X 1</v>
      </c>
      <c r="C4456" s="1" t="str">
        <f>'001'!D4456</f>
        <v>0902</v>
      </c>
      <c r="D4456" s="3" t="e">
        <f>'001'!H4456</f>
        <v>#VALUE!</v>
      </c>
    </row>
    <row r="4457" spans="1:4" x14ac:dyDescent="0.25">
      <c r="A4457" s="1" t="str">
        <f>'001'!B4457</f>
        <v>024254</v>
      </c>
      <c r="B4457" s="1" t="str">
        <f>'001'!C4457</f>
        <v>BARNIZ PARA MADERA EXTERIOR ALBATROS BRILLANTE DOBLE VIDA CAOBA X 1</v>
      </c>
      <c r="C4457" s="1" t="str">
        <f>'001'!D4457</f>
        <v>0902</v>
      </c>
      <c r="D4457" s="3" t="e">
        <f>'001'!H4457</f>
        <v>#VALUE!</v>
      </c>
    </row>
    <row r="4458" spans="1:4" x14ac:dyDescent="0.25">
      <c r="A4458" s="1" t="str">
        <f>'001'!B4458</f>
        <v>024255</v>
      </c>
      <c r="B4458" s="1" t="str">
        <f>'001'!C4458</f>
        <v>BARNIZ PARA MADERA EXTERIOR ALBATROS BRILLANTE DOBLE VIDA NOGAL X 1</v>
      </c>
      <c r="C4458" s="1" t="str">
        <f>'001'!D4458</f>
        <v>0902</v>
      </c>
      <c r="D4458" s="3" t="e">
        <f>'001'!H4458</f>
        <v>#VALUE!</v>
      </c>
    </row>
    <row r="4459" spans="1:4" x14ac:dyDescent="0.25">
      <c r="A4459" s="1" t="str">
        <f>'001'!B4459</f>
        <v>026715</v>
      </c>
      <c r="B4459" s="1" t="str">
        <f>'001'!C4459</f>
        <v>ESMALTE SINTETICO ALBA ALTA TEMPERATURA NEGRO X 1</v>
      </c>
      <c r="C4459" s="1" t="str">
        <f>'001'!D4459</f>
        <v>0902</v>
      </c>
      <c r="D4459" s="3" t="e">
        <f>'001'!H4459</f>
        <v>#VALUE!</v>
      </c>
    </row>
    <row r="4460" spans="1:4" x14ac:dyDescent="0.25">
      <c r="A4460" s="1" t="str">
        <f>'001'!B4460</f>
        <v>026717</v>
      </c>
      <c r="B4460" s="1" t="str">
        <f>'001'!C4460</f>
        <v>ESMALTE SINTETICO ALBA ALTA TEMPERATURA ALUMINIO X 1</v>
      </c>
      <c r="C4460" s="1" t="str">
        <f>'001'!D4460</f>
        <v>0107</v>
      </c>
      <c r="D4460" s="3" t="e">
        <f>'001'!H4460</f>
        <v>#VALUE!</v>
      </c>
    </row>
    <row r="4461" spans="1:4" x14ac:dyDescent="0.25">
      <c r="A4461" s="1" t="str">
        <f>'001'!B4461</f>
        <v>027301</v>
      </c>
      <c r="B4461" s="1" t="str">
        <f>'001'!C4461</f>
        <v>LATEX EXTERIOR DURALBA MATE GRIS CEMENTO X  1</v>
      </c>
      <c r="C4461" s="1" t="str">
        <f>'001'!D4461</f>
        <v>0107</v>
      </c>
      <c r="D4461" s="3" t="e">
        <f>'001'!H4461</f>
        <v>#VALUE!</v>
      </c>
    </row>
    <row r="4462" spans="1:4" x14ac:dyDescent="0.25">
      <c r="A4462" s="1" t="str">
        <f>'001'!B4462</f>
        <v>027303</v>
      </c>
      <c r="B4462" s="1" t="str">
        <f>'001'!C4462</f>
        <v>LATEX EXTERIOR DURALBA MATE MARRON X  1</v>
      </c>
      <c r="C4462" s="1" t="str">
        <f>'001'!D4462</f>
        <v>0107</v>
      </c>
      <c r="D4462" s="3" t="e">
        <f>'001'!H4462</f>
        <v>#VALUE!</v>
      </c>
    </row>
    <row r="4463" spans="1:4" x14ac:dyDescent="0.25">
      <c r="A4463" s="1" t="str">
        <f>'001'!B4463</f>
        <v>027304</v>
      </c>
      <c r="B4463" s="1" t="str">
        <f>'001'!C4463</f>
        <v>LATEX EXTERIOR DURALBA MATE OCRE X  1</v>
      </c>
      <c r="C4463" s="1" t="str">
        <f>'001'!D4463</f>
        <v>0107</v>
      </c>
      <c r="D4463" s="3" t="e">
        <f>'001'!H4463</f>
        <v>#VALUE!</v>
      </c>
    </row>
    <row r="4464" spans="1:4" x14ac:dyDescent="0.25">
      <c r="A4464" s="1" t="str">
        <f>'001'!B4464</f>
        <v>027305</v>
      </c>
      <c r="B4464" s="1" t="str">
        <f>'001'!C4464</f>
        <v>LATEX EXTERIOR DURALBA MATE AZUL X  1</v>
      </c>
      <c r="C4464" s="1" t="str">
        <f>'001'!D4464</f>
        <v>0107</v>
      </c>
      <c r="D4464" s="3" t="e">
        <f>'001'!H4464</f>
        <v>#VALUE!</v>
      </c>
    </row>
    <row r="4465" spans="1:4" x14ac:dyDescent="0.25">
      <c r="A4465" s="1" t="str">
        <f>'001'!B4465</f>
        <v>027306</v>
      </c>
      <c r="B4465" s="1" t="str">
        <f>'001'!C4465</f>
        <v>LATEX EXTERIOR DURALBA MATE VERDE MUSGO X  1</v>
      </c>
      <c r="C4465" s="1" t="str">
        <f>'001'!D4465</f>
        <v>0107</v>
      </c>
      <c r="D4465" s="3" t="e">
        <f>'001'!H4465</f>
        <v>#VALUE!</v>
      </c>
    </row>
    <row r="4466" spans="1:4" x14ac:dyDescent="0.25">
      <c r="A4466" s="1" t="str">
        <f>'001'!B4466</f>
        <v>027307</v>
      </c>
      <c r="B4466" s="1" t="str">
        <f>'001'!C4466</f>
        <v>LATEX EXTERIOR DURALBA MATE TEJA X  1</v>
      </c>
      <c r="C4466" s="1" t="str">
        <f>'001'!D4466</f>
        <v>0107</v>
      </c>
      <c r="D4466" s="3" t="e">
        <f>'001'!H4466</f>
        <v>#VALUE!</v>
      </c>
    </row>
    <row r="4467" spans="1:4" x14ac:dyDescent="0.25">
      <c r="A4467" s="1" t="str">
        <f>'001'!B4467</f>
        <v>027308</v>
      </c>
      <c r="B4467" s="1" t="str">
        <f>'001'!C4467</f>
        <v>LATEX EXTERIOR DURALBA MATE ROJO TANINO X  1</v>
      </c>
      <c r="C4467" s="1" t="str">
        <f>'001'!D4467</f>
        <v>0107</v>
      </c>
      <c r="D4467" s="3" t="e">
        <f>'001'!H4467</f>
        <v>#VALUE!</v>
      </c>
    </row>
    <row r="4468" spans="1:4" x14ac:dyDescent="0.25">
      <c r="A4468" s="1" t="str">
        <f>'001'!B4468</f>
        <v>027340</v>
      </c>
      <c r="B4468" s="1" t="str">
        <f>'001'!C4468</f>
        <v>LATEX EXTERIOR DURALBA MATE NEGRO X  1</v>
      </c>
      <c r="C4468" s="1" t="str">
        <f>'001'!D4468</f>
        <v>0107</v>
      </c>
      <c r="D4468" s="3" t="e">
        <f>'001'!H4468</f>
        <v>#VALUE!</v>
      </c>
    </row>
    <row r="4469" spans="1:4" x14ac:dyDescent="0.25">
      <c r="A4469" s="1" t="str">
        <f>'001'!B4469</f>
        <v>027341</v>
      </c>
      <c r="B4469" s="1" t="str">
        <f>'001'!C4469</f>
        <v>LATEX EXTERIOR DURALBA MATE VERDE TENIS X  1</v>
      </c>
      <c r="C4469" s="1" t="str">
        <f>'001'!D4469</f>
        <v>0107</v>
      </c>
      <c r="D4469" s="3" t="e">
        <f>'001'!H4469</f>
        <v>#VALUE!</v>
      </c>
    </row>
    <row r="4470" spans="1:4" x14ac:dyDescent="0.25">
      <c r="A4470" s="1" t="str">
        <f>'001'!B4470</f>
        <v>027344</v>
      </c>
      <c r="B4470" s="1" t="str">
        <f>'001'!C4470</f>
        <v>LATEX EXTERIOR DURALBA MATE AMARILLO X  1</v>
      </c>
      <c r="C4470" s="1" t="str">
        <f>'001'!D4470</f>
        <v>0902</v>
      </c>
      <c r="D4470" s="3" t="e">
        <f>'001'!H4470</f>
        <v>#VALUE!</v>
      </c>
    </row>
    <row r="4471" spans="1:4" x14ac:dyDescent="0.25">
      <c r="A4471" s="1" t="str">
        <f>'001'!B4471</f>
        <v>027501</v>
      </c>
      <c r="B4471" s="1" t="str">
        <f>'001'!C4471</f>
        <v>IMPERMEABILIZANTE PARA TECHOS DURALBA SATINADO BLANCO X  1</v>
      </c>
      <c r="C4471" s="1" t="str">
        <f>'001'!D4471</f>
        <v>0902</v>
      </c>
      <c r="D4471" s="3" t="e">
        <f>'001'!H4471</f>
        <v>#VALUE!</v>
      </c>
    </row>
    <row r="4472" spans="1:4" x14ac:dyDescent="0.25">
      <c r="A4472" s="1" t="str">
        <f>'001'!B4472</f>
        <v>027601</v>
      </c>
      <c r="B4472" s="1" t="str">
        <f>'001'!C4472</f>
        <v>IMPERMEABILIZANTE PARA TECHOS DURALBA SATINADO BLANCO X  4</v>
      </c>
      <c r="C4472" s="1" t="str">
        <f>'001'!D4472</f>
        <v>0902</v>
      </c>
      <c r="D4472" s="3" t="e">
        <f>'001'!H4472</f>
        <v>#VALUE!</v>
      </c>
    </row>
    <row r="4473" spans="1:4" x14ac:dyDescent="0.25">
      <c r="A4473" s="1" t="str">
        <f>'001'!B4473</f>
        <v>027607</v>
      </c>
      <c r="B4473" s="1" t="str">
        <f>'001'!C4473</f>
        <v>IMPERMEABILIZANTE PARA TECHOS DURALBA SATINADO TEJA X  4</v>
      </c>
      <c r="C4473" s="1" t="str">
        <f>'001'!D4473</f>
        <v>0902</v>
      </c>
      <c r="D4473" s="3" t="e">
        <f>'001'!H4473</f>
        <v>#VALUE!</v>
      </c>
    </row>
    <row r="4474" spans="1:4" x14ac:dyDescent="0.25">
      <c r="A4474" s="1" t="str">
        <f>'001'!B4474</f>
        <v>027701</v>
      </c>
      <c r="B4474" s="1" t="str">
        <f>'001'!C4474</f>
        <v>IMPERMEABILIZANTE PARA TECHOS DURALBA SATINADO BLANCO X 10</v>
      </c>
      <c r="C4474" s="1" t="str">
        <f>'001'!D4474</f>
        <v>0902</v>
      </c>
      <c r="D4474" s="3" t="e">
        <f>'001'!H4474</f>
        <v>#VALUE!</v>
      </c>
    </row>
    <row r="4475" spans="1:4" x14ac:dyDescent="0.25">
      <c r="A4475" s="1" t="str">
        <f>'001'!B4475</f>
        <v>027707</v>
      </c>
      <c r="B4475" s="1" t="str">
        <f>'001'!C4475</f>
        <v>IMPERMEABILIZANTE PARA TECHOS DURALBA SATINADO TEJA X 10</v>
      </c>
      <c r="C4475" s="1" t="str">
        <f>'001'!D4475</f>
        <v>0902</v>
      </c>
      <c r="D4475" s="3" t="e">
        <f>'001'!H4475</f>
        <v>#VALUE!</v>
      </c>
    </row>
    <row r="4476" spans="1:4" x14ac:dyDescent="0.25">
      <c r="A4476" s="1" t="str">
        <f>'001'!B4476</f>
        <v>027801</v>
      </c>
      <c r="B4476" s="1" t="str">
        <f>'001'!C4476</f>
        <v>IMPERMEABILIZANTE PARA TECHOS DURALBA SATINADO BLANCO X 20</v>
      </c>
      <c r="C4476" s="1" t="str">
        <f>'001'!D4476</f>
        <v>0902</v>
      </c>
      <c r="D4476" s="3" t="e">
        <f>'001'!H4476</f>
        <v>#VALUE!</v>
      </c>
    </row>
    <row r="4477" spans="1:4" x14ac:dyDescent="0.25">
      <c r="A4477" s="1" t="str">
        <f>'001'!B4477</f>
        <v>027807</v>
      </c>
      <c r="B4477" s="1" t="str">
        <f>'001'!C4477</f>
        <v>IMPERMEABILIZANTE PARA TECHOS DURALBA SATINADO TEJA X 20</v>
      </c>
      <c r="C4477" s="1" t="str">
        <f>'001'!D4477</f>
        <v>0902</v>
      </c>
      <c r="D4477" s="3" t="e">
        <f>'001'!H4477</f>
        <v>#VALUE!</v>
      </c>
    </row>
    <row r="4478" spans="1:4" x14ac:dyDescent="0.25">
      <c r="A4478" s="1" t="str">
        <f>'001'!B4478</f>
        <v>030715</v>
      </c>
      <c r="B4478" s="1" t="str">
        <f>'001'!C4478</f>
        <v>ESMALTE SINTETICO ALBA ALTA TEMPERATURA NEGRO X 0,500</v>
      </c>
      <c r="C4478" s="1" t="str">
        <f>'001'!D4478</f>
        <v>0107</v>
      </c>
      <c r="D4478" s="3" t="e">
        <f>'001'!H4478</f>
        <v>#VALUE!</v>
      </c>
    </row>
    <row r="4479" spans="1:4" x14ac:dyDescent="0.25">
      <c r="A4479" s="1" t="str">
        <f>'001'!B4479</f>
        <v>030717</v>
      </c>
      <c r="B4479" s="1" t="str">
        <f>'001'!C4479</f>
        <v>ESMALTE SINTETICO ALBA ALTA TEMPERATURA ALUMINIO X 0,500</v>
      </c>
      <c r="C4479" s="1" t="str">
        <f>'001'!D4479</f>
        <v>0902</v>
      </c>
      <c r="D4479" s="3" t="e">
        <f>'001'!H4479</f>
        <v>#VALUE!</v>
      </c>
    </row>
    <row r="4480" spans="1:4" x14ac:dyDescent="0.25">
      <c r="A4480" s="1" t="str">
        <f>'001'!B4480</f>
        <v>031002</v>
      </c>
      <c r="B4480" s="1" t="str">
        <f>'001'!C4480</f>
        <v>ESMALTE EPOXI ALBA NEGRO X 4</v>
      </c>
      <c r="C4480" s="1" t="str">
        <f>'001'!D4480</f>
        <v>0112</v>
      </c>
      <c r="D4480" s="3" t="e">
        <f>'001'!H4480</f>
        <v>#VALUE!</v>
      </c>
    </row>
    <row r="4481" spans="1:4" x14ac:dyDescent="0.25">
      <c r="A4481" s="1" t="str">
        <f>'001'!B4481</f>
        <v>031046</v>
      </c>
      <c r="B4481" s="1" t="str">
        <f>'001'!C4481</f>
        <v>SOLVENTE INDUSTRIAL X   1</v>
      </c>
      <c r="C4481" s="1" t="str">
        <f>'001'!D4481</f>
        <v>0186</v>
      </c>
      <c r="D4481" s="3" t="e">
        <f>'001'!H4481</f>
        <v>#VALUE!</v>
      </c>
    </row>
    <row r="4482" spans="1:4" x14ac:dyDescent="0.25">
      <c r="A4482" s="1" t="str">
        <f>'001'!B4482</f>
        <v>031117</v>
      </c>
      <c r="B4482" s="1" t="str">
        <f>'001'!C4482</f>
        <v>ESMALTE SINTETICO ALBA ALTA TEMPERATURA ALUMINIO X 4</v>
      </c>
      <c r="C4482" s="1" t="str">
        <f>'001'!D4482</f>
        <v>0107</v>
      </c>
      <c r="D4482" s="3" t="e">
        <f>'001'!H4482</f>
        <v>#VALUE!</v>
      </c>
    </row>
    <row r="4483" spans="1:4" x14ac:dyDescent="0.25">
      <c r="A4483" s="1" t="str">
        <f>'001'!B4483</f>
        <v>031161</v>
      </c>
      <c r="B4483" s="1" t="str">
        <f>'001'!C4483</f>
        <v>DILUYENTE PARA EPOXI PLUS X   1</v>
      </c>
      <c r="C4483" s="1" t="str">
        <f>'001'!D4483</f>
        <v>0186</v>
      </c>
      <c r="D4483" s="3" t="e">
        <f>'001'!H4483</f>
        <v>#VALUE!</v>
      </c>
    </row>
    <row r="4484" spans="1:4" x14ac:dyDescent="0.25">
      <c r="A4484" s="1" t="str">
        <f>'001'!B4484</f>
        <v>031165</v>
      </c>
      <c r="B4484" s="1" t="str">
        <f>'001'!C4484</f>
        <v>DILUYENTE POLIURETANICO PLUS X   1</v>
      </c>
      <c r="C4484" s="1" t="str">
        <f>'001'!D4484</f>
        <v>0186</v>
      </c>
      <c r="D4484" s="3" t="e">
        <f>'001'!H4484</f>
        <v>#VALUE!</v>
      </c>
    </row>
    <row r="4485" spans="1:4" x14ac:dyDescent="0.25">
      <c r="A4485" s="1" t="str">
        <f>'001'!B4485</f>
        <v>031291</v>
      </c>
      <c r="B4485" s="1" t="str">
        <f>'001'!C4485</f>
        <v>ESMALTE SINTETICO INDUSTRIAL INDALBA BCO X  4</v>
      </c>
      <c r="C4485" s="1" t="str">
        <f>'001'!D4485</f>
        <v>0110</v>
      </c>
      <c r="D4485" s="3" t="e">
        <f>'001'!H4485</f>
        <v>#VALUE!</v>
      </c>
    </row>
    <row r="4486" spans="1:4" x14ac:dyDescent="0.25">
      <c r="A4486" s="1" t="str">
        <f>'001'!B4486</f>
        <v>031391</v>
      </c>
      <c r="B4486" s="1" t="str">
        <f>'001'!C4486</f>
        <v>ESMALTE SINTETICO INDUSTRIAL INDALBA BCO X 20</v>
      </c>
      <c r="C4486" s="1" t="str">
        <f>'001'!D4486</f>
        <v>0110</v>
      </c>
      <c r="D4486" s="3" t="e">
        <f>'001'!H4486</f>
        <v>#VALUE!</v>
      </c>
    </row>
    <row r="4487" spans="1:4" x14ac:dyDescent="0.25">
      <c r="A4487" s="1" t="str">
        <f>'001'!B4487</f>
        <v>031592</v>
      </c>
      <c r="B4487" s="1" t="str">
        <f>'001'!C4487</f>
        <v>INDALBA NEGRO X 20</v>
      </c>
      <c r="C4487" s="1" t="str">
        <f>'001'!D4487</f>
        <v>0110</v>
      </c>
      <c r="D4487" s="3" t="e">
        <f>'001'!H4487</f>
        <v>#VALUE!</v>
      </c>
    </row>
    <row r="4488" spans="1:4" x14ac:dyDescent="0.25">
      <c r="A4488" s="1" t="str">
        <f>'001'!B4488</f>
        <v>032012</v>
      </c>
      <c r="B4488" s="1" t="str">
        <f>'001'!C4488</f>
        <v>SELLADOR GRIETAS&amp;FISURAS NODULO X 0,320</v>
      </c>
      <c r="C4488" s="1" t="str">
        <f>'001'!D4488</f>
        <v>0136</v>
      </c>
      <c r="D4488" s="3" t="e">
        <f>'001'!H4488</f>
        <v>#VALUE!</v>
      </c>
    </row>
    <row r="4489" spans="1:4" x14ac:dyDescent="0.25">
      <c r="A4489" s="1" t="str">
        <f>'001'!B4489</f>
        <v>032013</v>
      </c>
      <c r="B4489" s="1" t="str">
        <f>'001'!C4489</f>
        <v>SELLADOR GRIETAS&amp;FISURAS NODULO X 0,420</v>
      </c>
      <c r="C4489" s="1" t="str">
        <f>'001'!D4489</f>
        <v>0136</v>
      </c>
      <c r="D4489" s="3" t="e">
        <f>'001'!H4489</f>
        <v>#VALUE!</v>
      </c>
    </row>
    <row r="4490" spans="1:4" x14ac:dyDescent="0.25">
      <c r="A4490" s="1" t="str">
        <f>'001'!B4490</f>
        <v>032014</v>
      </c>
      <c r="B4490" s="1" t="str">
        <f>'001'!C4490</f>
        <v>SELLADOR GRIETAS&amp;FISURAS NODULO X 1</v>
      </c>
      <c r="C4490" s="1" t="str">
        <f>'001'!D4490</f>
        <v>0136</v>
      </c>
      <c r="D4490" s="3" t="e">
        <f>'001'!H4490</f>
        <v>#VALUE!</v>
      </c>
    </row>
    <row r="4491" spans="1:4" x14ac:dyDescent="0.25">
      <c r="A4491" s="1" t="str">
        <f>'001'!B4491</f>
        <v>032015</v>
      </c>
      <c r="B4491" s="1" t="str">
        <f>'001'!C4491</f>
        <v>SELLADOR GRIETAS&amp;FISURAS NODULO X 5</v>
      </c>
      <c r="C4491" s="1" t="str">
        <f>'001'!D4491</f>
        <v>0136</v>
      </c>
      <c r="D4491" s="3" t="e">
        <f>'001'!H4491</f>
        <v>#VALUE!</v>
      </c>
    </row>
    <row r="4492" spans="1:4" x14ac:dyDescent="0.25">
      <c r="A4492" s="1" t="str">
        <f>'001'!B4492</f>
        <v>039101</v>
      </c>
      <c r="B4492" s="1" t="str">
        <f>'001'!C4492</f>
        <v>IMPERMEABILIZANTE PARA FRENTES Y MUROS DURALBA MATE GRIS CEMENTO X  4</v>
      </c>
      <c r="C4492" s="1" t="str">
        <f>'001'!D4492</f>
        <v>0107</v>
      </c>
      <c r="D4492" s="3" t="e">
        <f>'001'!H4492</f>
        <v>#VALUE!</v>
      </c>
    </row>
    <row r="4493" spans="1:4" x14ac:dyDescent="0.25">
      <c r="A4493" s="1" t="str">
        <f>'001'!B4493</f>
        <v>039102</v>
      </c>
      <c r="B4493" s="1" t="str">
        <f>'001'!C4493</f>
        <v>IMPERMEABILIZANTE PARA FRENTES Y MUROS DURALBA MATE BERMELLON X  4</v>
      </c>
      <c r="C4493" s="1" t="str">
        <f>'001'!D4493</f>
        <v>0107</v>
      </c>
      <c r="D4493" s="3" t="e">
        <f>'001'!H4493</f>
        <v>#VALUE!</v>
      </c>
    </row>
    <row r="4494" spans="1:4" x14ac:dyDescent="0.25">
      <c r="A4494" s="1" t="str">
        <f>'001'!B4494</f>
        <v>039103</v>
      </c>
      <c r="B4494" s="1" t="str">
        <f>'001'!C4494</f>
        <v>IMPERMEABILIZANTE PARA FRENTES Y MUROS DURALBA MATE EGGSH NEGRO X  4</v>
      </c>
      <c r="C4494" s="1" t="str">
        <f>'001'!D4494</f>
        <v>0107</v>
      </c>
      <c r="D4494" s="3" t="e">
        <f>'001'!H4494</f>
        <v>#VALUE!</v>
      </c>
    </row>
    <row r="4495" spans="1:4" x14ac:dyDescent="0.25">
      <c r="A4495" s="1" t="str">
        <f>'001'!B4495</f>
        <v>039105</v>
      </c>
      <c r="B4495" s="1" t="str">
        <f>'001'!C4495</f>
        <v>IMPERMEABILIZANTE PARA FRENTES Y MUROS DURALBA MATE AZUL TRAFUL X  4</v>
      </c>
      <c r="C4495" s="1" t="str">
        <f>'001'!D4495</f>
        <v>0107</v>
      </c>
      <c r="D4495" s="3" t="e">
        <f>'001'!H4495</f>
        <v>#VALUE!</v>
      </c>
    </row>
    <row r="4496" spans="1:4" x14ac:dyDescent="0.25">
      <c r="A4496" s="1" t="str">
        <f>'001'!B4496</f>
        <v>039107</v>
      </c>
      <c r="B4496" s="1" t="str">
        <f>'001'!C4496</f>
        <v>IMPERMEABILIZANTE PARA FRENTES Y MUROS DURALBA MATE TEJA X  4</v>
      </c>
      <c r="C4496" s="1" t="str">
        <f>'001'!D4496</f>
        <v>0107</v>
      </c>
      <c r="D4496" s="3" t="e">
        <f>'001'!H4496</f>
        <v>#VALUE!</v>
      </c>
    </row>
    <row r="4497" spans="1:4" x14ac:dyDescent="0.25">
      <c r="A4497" s="1" t="str">
        <f>'001'!B4497</f>
        <v>039144</v>
      </c>
      <c r="B4497" s="1" t="str">
        <f>'001'!C4497</f>
        <v>IMPERMEABILIZANTE PARA FRENTES Y MUROS DURALBA MATE AMARILLO X  4</v>
      </c>
      <c r="C4497" s="1" t="str">
        <f>'001'!D4497</f>
        <v>0107</v>
      </c>
      <c r="D4497" s="3" t="e">
        <f>'001'!H4497</f>
        <v>#VALUE!</v>
      </c>
    </row>
    <row r="4498" spans="1:4" x14ac:dyDescent="0.25">
      <c r="A4498" s="1" t="str">
        <f>'001'!B4498</f>
        <v>039301</v>
      </c>
      <c r="B4498" s="1" t="str">
        <f>'001'!C4498</f>
        <v>IMPERMEABILIZANTE PARA FRENTES Y MUROS DURALBA MATE GRIS CEMENTO X  1</v>
      </c>
      <c r="C4498" s="1" t="str">
        <f>'001'!D4498</f>
        <v>0107</v>
      </c>
      <c r="D4498" s="3" t="e">
        <f>'001'!H4498</f>
        <v>#VALUE!</v>
      </c>
    </row>
    <row r="4499" spans="1:4" x14ac:dyDescent="0.25">
      <c r="A4499" s="1" t="str">
        <f>'001'!B4499</f>
        <v>039302</v>
      </c>
      <c r="B4499" s="1" t="str">
        <f>'001'!C4499</f>
        <v>IMPERMEABILIZANTE PARA FRENTES Y MUROS DURALBA MATE BERMELLON X  1</v>
      </c>
      <c r="C4499" s="1" t="str">
        <f>'001'!D4499</f>
        <v>0107</v>
      </c>
      <c r="D4499" s="3" t="e">
        <f>'001'!H4499</f>
        <v>#VALUE!</v>
      </c>
    </row>
    <row r="4500" spans="1:4" x14ac:dyDescent="0.25">
      <c r="A4500" s="1" t="str">
        <f>'001'!B4500</f>
        <v>039303</v>
      </c>
      <c r="B4500" s="1" t="str">
        <f>'001'!C4500</f>
        <v>IMPERMEABILIZANTE PARA FRENTES Y MUROS DURALBA MATE EGGSH NEGRO X  1</v>
      </c>
      <c r="C4500" s="1" t="str">
        <f>'001'!D4500</f>
        <v>0107</v>
      </c>
      <c r="D4500" s="3" t="e">
        <f>'001'!H4500</f>
        <v>#VALUE!</v>
      </c>
    </row>
    <row r="4501" spans="1:4" x14ac:dyDescent="0.25">
      <c r="A4501" s="1" t="str">
        <f>'001'!B4501</f>
        <v>039305</v>
      </c>
      <c r="B4501" s="1" t="str">
        <f>'001'!C4501</f>
        <v>IMPERMEABILIZANTE PARA FRENTES Y MUROS DURALBA MATE AZUL TRAFUL X  1</v>
      </c>
      <c r="C4501" s="1" t="str">
        <f>'001'!D4501</f>
        <v>0107</v>
      </c>
      <c r="D4501" s="3" t="e">
        <f>'001'!H4501</f>
        <v>#VALUE!</v>
      </c>
    </row>
    <row r="4502" spans="1:4" x14ac:dyDescent="0.25">
      <c r="A4502" s="1" t="str">
        <f>'001'!B4502</f>
        <v>039307</v>
      </c>
      <c r="B4502" s="1" t="str">
        <f>'001'!C4502</f>
        <v>IMPERMEABILIZANTE PARA FRENTES Y MUROS DURALBA MATE TEJA X  1</v>
      </c>
      <c r="C4502" s="1" t="str">
        <f>'001'!D4502</f>
        <v>0107</v>
      </c>
      <c r="D4502" s="3" t="e">
        <f>'001'!H4502</f>
        <v>#VALUE!</v>
      </c>
    </row>
    <row r="4503" spans="1:4" x14ac:dyDescent="0.25">
      <c r="A4503" s="1" t="str">
        <f>'001'!B4503</f>
        <v>039344</v>
      </c>
      <c r="B4503" s="1" t="str">
        <f>'001'!C4503</f>
        <v>IMPERMEABILIZANTE PARA FRENTES Y MUROS DURALBA MATE AMARILLO X  1</v>
      </c>
      <c r="C4503" s="1" t="str">
        <f>'001'!D4503</f>
        <v>0107</v>
      </c>
      <c r="D4503" s="3" t="e">
        <f>'001'!H4503</f>
        <v>#VALUE!</v>
      </c>
    </row>
    <row r="4504" spans="1:4" x14ac:dyDescent="0.25">
      <c r="A4504" s="1" t="str">
        <f>'001'!B4504</f>
        <v>039401</v>
      </c>
      <c r="B4504" s="1" t="str">
        <f>'001'!C4504</f>
        <v>IMPERMEABILIZANTE PARA FRENTES Y MUROS DURALBA MATE GRIS CEMENTO X 20</v>
      </c>
      <c r="C4504" s="1" t="str">
        <f>'001'!D4504</f>
        <v>0107</v>
      </c>
      <c r="D4504" s="3" t="e">
        <f>'001'!H4504</f>
        <v>#VALUE!</v>
      </c>
    </row>
    <row r="4505" spans="1:4" x14ac:dyDescent="0.25">
      <c r="A4505" s="1" t="str">
        <f>'001'!B4505</f>
        <v>039402</v>
      </c>
      <c r="B4505" s="1" t="str">
        <f>'001'!C4505</f>
        <v>IMPERMEABILIZANTE PARA FRENTES Y MUROS DURALBA MATE BERMELLON X 20</v>
      </c>
      <c r="C4505" s="1" t="str">
        <f>'001'!D4505</f>
        <v>0107</v>
      </c>
      <c r="D4505" s="3" t="e">
        <f>'001'!H4505</f>
        <v>#VALUE!</v>
      </c>
    </row>
    <row r="4506" spans="1:4" x14ac:dyDescent="0.25">
      <c r="A4506" s="1" t="str">
        <f>'001'!B4506</f>
        <v>039403</v>
      </c>
      <c r="B4506" s="1" t="str">
        <f>'001'!C4506</f>
        <v>IMPERMEABILIZANTE PARA FRENTES Y MUROS DURALBA MATE EGGSH NEGRO X 20</v>
      </c>
      <c r="C4506" s="1" t="str">
        <f>'001'!D4506</f>
        <v>0107</v>
      </c>
      <c r="D4506" s="3" t="e">
        <f>'001'!H4506</f>
        <v>#VALUE!</v>
      </c>
    </row>
    <row r="4507" spans="1:4" x14ac:dyDescent="0.25">
      <c r="A4507" s="1" t="str">
        <f>'001'!B4507</f>
        <v>039405</v>
      </c>
      <c r="B4507" s="1" t="str">
        <f>'001'!C4507</f>
        <v>IMPERMEABILIZANTE PARA FRENTES Y MUROS DURALBA MATE AZUL TRAFUL X 20</v>
      </c>
      <c r="C4507" s="1" t="str">
        <f>'001'!D4507</f>
        <v>0107</v>
      </c>
      <c r="D4507" s="3" t="e">
        <f>'001'!H4507</f>
        <v>#VALUE!</v>
      </c>
    </row>
    <row r="4508" spans="1:4" x14ac:dyDescent="0.25">
      <c r="A4508" s="1" t="str">
        <f>'001'!B4508</f>
        <v>039407</v>
      </c>
      <c r="B4508" s="1" t="str">
        <f>'001'!C4508</f>
        <v>IMPERMEABILIZANTE PARA FRENTES Y MUROS DURALBA MATE TEJA X 20</v>
      </c>
      <c r="C4508" s="1" t="str">
        <f>'001'!D4508</f>
        <v>0107</v>
      </c>
      <c r="D4508" s="3" t="e">
        <f>'001'!H4508</f>
        <v>#VALUE!</v>
      </c>
    </row>
    <row r="4509" spans="1:4" x14ac:dyDescent="0.25">
      <c r="A4509" s="1" t="str">
        <f>'001'!B4509</f>
        <v>039444</v>
      </c>
      <c r="B4509" s="1" t="str">
        <f>'001'!C4509</f>
        <v>IMPERMEABILIZANTE PARA FRENTES Y MUROS DURALBA MATE AMARILLO X 20</v>
      </c>
      <c r="C4509" s="1" t="str">
        <f>'001'!D4509</f>
        <v>0107</v>
      </c>
      <c r="D4509" s="3" t="e">
        <f>'001'!H4509</f>
        <v>#VALUE!</v>
      </c>
    </row>
    <row r="4510" spans="1:4" x14ac:dyDescent="0.25">
      <c r="A4510" s="1" t="str">
        <f>'001'!B4510</f>
        <v>039601</v>
      </c>
      <c r="B4510" s="1" t="str">
        <f>'001'!C4510</f>
        <v>ESMALTE SINTETICO ALBALUX 2EN1 BRILLANTE BLANCO X 0,500</v>
      </c>
      <c r="C4510" s="1" t="str">
        <f>'001'!D4510</f>
        <v>0902</v>
      </c>
      <c r="D4510" s="3" t="e">
        <f>'001'!H4510</f>
        <v>#VALUE!</v>
      </c>
    </row>
    <row r="4511" spans="1:4" x14ac:dyDescent="0.25">
      <c r="A4511" s="1" t="str">
        <f>'001'!B4511</f>
        <v>039602</v>
      </c>
      <c r="B4511" s="1" t="str">
        <f>'001'!C4511</f>
        <v>ESMALTE SINTETICO ALBALUX 2EN1 BRILLANTE BERMELLON X 0,500</v>
      </c>
      <c r="C4511" s="1" t="str">
        <f>'001'!D4511</f>
        <v>0902</v>
      </c>
      <c r="D4511" s="3" t="e">
        <f>'001'!H4511</f>
        <v>#VALUE!</v>
      </c>
    </row>
    <row r="4512" spans="1:4" x14ac:dyDescent="0.25">
      <c r="A4512" s="1" t="str">
        <f>'001'!B4512</f>
        <v>039604</v>
      </c>
      <c r="B4512" s="1" t="str">
        <f>'001'!C4512</f>
        <v>ESMALTE SINTETICO ALBALUX 2EN1 BRILLANTE AMARILLO X 0,500</v>
      </c>
      <c r="C4512" s="1" t="str">
        <f>'001'!D4512</f>
        <v>0902</v>
      </c>
      <c r="D4512" s="3" t="e">
        <f>'001'!H4512</f>
        <v>#VALUE!</v>
      </c>
    </row>
    <row r="4513" spans="1:4" x14ac:dyDescent="0.25">
      <c r="A4513" s="1" t="str">
        <f>'001'!B4513</f>
        <v>039701</v>
      </c>
      <c r="B4513" s="1" t="str">
        <f>'001'!C4513</f>
        <v>ESMALTE SINTETICO ALBALUX 2EN1 BRILLANTE BLANCO X 1</v>
      </c>
      <c r="C4513" s="1" t="str">
        <f>'001'!D4513</f>
        <v>0902</v>
      </c>
      <c r="D4513" s="3" t="e">
        <f>'001'!H4513</f>
        <v>#VALUE!</v>
      </c>
    </row>
    <row r="4514" spans="1:4" x14ac:dyDescent="0.25">
      <c r="A4514" s="1" t="str">
        <f>'001'!B4514</f>
        <v>039702</v>
      </c>
      <c r="B4514" s="1" t="str">
        <f>'001'!C4514</f>
        <v>ESMALTE SINTETICO ALBALUX 2EN1 BRILLANTE BERMELLON X 1</v>
      </c>
      <c r="C4514" s="1" t="str">
        <f>'001'!D4514</f>
        <v>0902</v>
      </c>
      <c r="D4514" s="3" t="e">
        <f>'001'!H4514</f>
        <v>#VALUE!</v>
      </c>
    </row>
    <row r="4515" spans="1:4" x14ac:dyDescent="0.25">
      <c r="A4515" s="1" t="str">
        <f>'001'!B4515</f>
        <v>039704</v>
      </c>
      <c r="B4515" s="1" t="str">
        <f>'001'!C4515</f>
        <v>ESMALTE SINTETICO ALBALUX 2EN1 BRILLANTE AMARILLO X 1</v>
      </c>
      <c r="C4515" s="1" t="str">
        <f>'001'!D4515</f>
        <v>0902</v>
      </c>
      <c r="D4515" s="3" t="e">
        <f>'001'!H4515</f>
        <v>#VALUE!</v>
      </c>
    </row>
    <row r="4516" spans="1:4" x14ac:dyDescent="0.25">
      <c r="A4516" s="1" t="str">
        <f>'001'!B4516</f>
        <v>039801</v>
      </c>
      <c r="B4516" s="1" t="str">
        <f>'001'!C4516</f>
        <v>ESMALTE SINTETICO ALBALUX 2EN1 BRILLANTE BLANCO X 4</v>
      </c>
      <c r="C4516" s="1" t="str">
        <f>'001'!D4516</f>
        <v>0902</v>
      </c>
      <c r="D4516" s="3" t="e">
        <f>'001'!H4516</f>
        <v>#VALUE!</v>
      </c>
    </row>
    <row r="4517" spans="1:4" x14ac:dyDescent="0.25">
      <c r="A4517" s="1" t="str">
        <f>'001'!B4517</f>
        <v>039802</v>
      </c>
      <c r="B4517" s="1" t="str">
        <f>'001'!C4517</f>
        <v>ESMALTE SINTETICO ALBALUX 2EN1 BRILLANTE BERMELLON X 4</v>
      </c>
      <c r="C4517" s="1" t="str">
        <f>'001'!D4517</f>
        <v>0902</v>
      </c>
      <c r="D4517" s="3" t="e">
        <f>'001'!H4517</f>
        <v>#VALUE!</v>
      </c>
    </row>
    <row r="4518" spans="1:4" x14ac:dyDescent="0.25">
      <c r="A4518" s="1" t="str">
        <f>'001'!B4518</f>
        <v>039804</v>
      </c>
      <c r="B4518" s="1" t="str">
        <f>'001'!C4518</f>
        <v>ESMALTE SINTETICO ALBALUX 2EN1 BRILLANTE AMARILLO X 4</v>
      </c>
      <c r="C4518" s="1" t="str">
        <f>'001'!D4518</f>
        <v>0902</v>
      </c>
      <c r="D4518" s="3" t="e">
        <f>'001'!H4518</f>
        <v>#VALUE!</v>
      </c>
    </row>
    <row r="4519" spans="1:4" x14ac:dyDescent="0.25">
      <c r="A4519" s="1" t="str">
        <f>'001'!B4519</f>
        <v>040001</v>
      </c>
      <c r="B4519" s="1" t="str">
        <f>'001'!C4519</f>
        <v>ESMALTE EPOXI ALBA BCO X 4</v>
      </c>
      <c r="C4519" s="1" t="str">
        <f>'001'!D4519</f>
        <v>0112</v>
      </c>
      <c r="D4519" s="3" t="e">
        <f>'001'!H4519</f>
        <v>#VALUE!</v>
      </c>
    </row>
    <row r="4520" spans="1:4" x14ac:dyDescent="0.25">
      <c r="A4520" s="1" t="str">
        <f>'001'!B4520</f>
        <v>040901</v>
      </c>
      <c r="B4520" s="1" t="str">
        <f>'001'!C4520</f>
        <v>LATEX EXTERIOR DURALBA MATE GRIS CEMENTO X  4</v>
      </c>
      <c r="C4520" s="1" t="str">
        <f>'001'!D4520</f>
        <v>0107</v>
      </c>
      <c r="D4520" s="3" t="e">
        <f>'001'!H4520</f>
        <v>#VALUE!</v>
      </c>
    </row>
    <row r="4521" spans="1:4" x14ac:dyDescent="0.25">
      <c r="A4521" s="1" t="str">
        <f>'001'!B4521</f>
        <v>040903</v>
      </c>
      <c r="B4521" s="1" t="str">
        <f>'001'!C4521</f>
        <v>LATEX EXTERIOR DURALBA MATE MARRON X  4</v>
      </c>
      <c r="C4521" s="1" t="str">
        <f>'001'!D4521</f>
        <v>0107</v>
      </c>
      <c r="D4521" s="3" t="e">
        <f>'001'!H4521</f>
        <v>#VALUE!</v>
      </c>
    </row>
    <row r="4522" spans="1:4" x14ac:dyDescent="0.25">
      <c r="A4522" s="1" t="str">
        <f>'001'!B4522</f>
        <v>040904</v>
      </c>
      <c r="B4522" s="1" t="str">
        <f>'001'!C4522</f>
        <v>LATEX EXTERIOR DURALBA MATE OCRE X  4</v>
      </c>
      <c r="C4522" s="1" t="str">
        <f>'001'!D4522</f>
        <v>0107</v>
      </c>
      <c r="D4522" s="3" t="e">
        <f>'001'!H4522</f>
        <v>#VALUE!</v>
      </c>
    </row>
    <row r="4523" spans="1:4" x14ac:dyDescent="0.25">
      <c r="A4523" s="1" t="str">
        <f>'001'!B4523</f>
        <v>040905</v>
      </c>
      <c r="B4523" s="1" t="str">
        <f>'001'!C4523</f>
        <v>LATEX EXTERIOR DURALBA MATE AZUL X  4</v>
      </c>
      <c r="C4523" s="1" t="str">
        <f>'001'!D4523</f>
        <v>0107</v>
      </c>
      <c r="D4523" s="3" t="e">
        <f>'001'!H4523</f>
        <v>#VALUE!</v>
      </c>
    </row>
    <row r="4524" spans="1:4" x14ac:dyDescent="0.25">
      <c r="A4524" s="1" t="str">
        <f>'001'!B4524</f>
        <v>040906</v>
      </c>
      <c r="B4524" s="1" t="str">
        <f>'001'!C4524</f>
        <v>LATEX EXTERIOR DURALBA MATE VERDE MUSGO X  4</v>
      </c>
      <c r="C4524" s="1" t="str">
        <f>'001'!D4524</f>
        <v>0107</v>
      </c>
      <c r="D4524" s="3" t="e">
        <f>'001'!H4524</f>
        <v>#VALUE!</v>
      </c>
    </row>
    <row r="4525" spans="1:4" x14ac:dyDescent="0.25">
      <c r="A4525" s="1" t="str">
        <f>'001'!B4525</f>
        <v>040907</v>
      </c>
      <c r="B4525" s="1" t="str">
        <f>'001'!C4525</f>
        <v>LATEX EXTERIOR DURALBA MATE TEJA X  4</v>
      </c>
      <c r="C4525" s="1" t="str">
        <f>'001'!D4525</f>
        <v>0107</v>
      </c>
      <c r="D4525" s="3" t="e">
        <f>'001'!H4525</f>
        <v>#VALUE!</v>
      </c>
    </row>
    <row r="4526" spans="1:4" x14ac:dyDescent="0.25">
      <c r="A4526" s="1" t="str">
        <f>'001'!B4526</f>
        <v>040908</v>
      </c>
      <c r="B4526" s="1" t="str">
        <f>'001'!C4526</f>
        <v>LATEX EXTERIOR DURALBA MATE ROJO TANINO X  4</v>
      </c>
      <c r="C4526" s="1" t="str">
        <f>'001'!D4526</f>
        <v>0107</v>
      </c>
      <c r="D4526" s="3" t="e">
        <f>'001'!H4526</f>
        <v>#VALUE!</v>
      </c>
    </row>
    <row r="4527" spans="1:4" x14ac:dyDescent="0.25">
      <c r="A4527" s="1" t="str">
        <f>'001'!B4527</f>
        <v>040940</v>
      </c>
      <c r="B4527" s="1" t="str">
        <f>'001'!C4527</f>
        <v>LATEX EXTERIOR DURALBA MATE NEGRO X  4</v>
      </c>
      <c r="C4527" s="1" t="str">
        <f>'001'!D4527</f>
        <v>0107</v>
      </c>
      <c r="D4527" s="3" t="e">
        <f>'001'!H4527</f>
        <v>#VALUE!</v>
      </c>
    </row>
    <row r="4528" spans="1:4" x14ac:dyDescent="0.25">
      <c r="A4528" s="1" t="str">
        <f>'001'!B4528</f>
        <v>040941</v>
      </c>
      <c r="B4528" s="1" t="str">
        <f>'001'!C4528</f>
        <v>LATEX EXTERIOR DURALBA MATE VERDE TENIS X  4</v>
      </c>
      <c r="C4528" s="1" t="str">
        <f>'001'!D4528</f>
        <v>0107</v>
      </c>
      <c r="D4528" s="3" t="e">
        <f>'001'!H4528</f>
        <v>#VALUE!</v>
      </c>
    </row>
    <row r="4529" spans="1:4" x14ac:dyDescent="0.25">
      <c r="A4529" s="1" t="str">
        <f>'001'!B4529</f>
        <v>041001</v>
      </c>
      <c r="B4529" s="1" t="str">
        <f>'001'!C4529</f>
        <v>LATEX EXTERIOR DURALBA MATE GRIS CEMENTO X 20</v>
      </c>
      <c r="C4529" s="1" t="str">
        <f>'001'!D4529</f>
        <v>0107</v>
      </c>
      <c r="D4529" s="3" t="e">
        <f>'001'!H4529</f>
        <v>#VALUE!</v>
      </c>
    </row>
    <row r="4530" spans="1:4" x14ac:dyDescent="0.25">
      <c r="A4530" s="1" t="str">
        <f>'001'!B4530</f>
        <v>041003</v>
      </c>
      <c r="B4530" s="1" t="str">
        <f>'001'!C4530</f>
        <v>LATEX EXTERIOR DURALBA MATE MARRON X 20</v>
      </c>
      <c r="C4530" s="1" t="str">
        <f>'001'!D4530</f>
        <v>0107</v>
      </c>
      <c r="D4530" s="3" t="e">
        <f>'001'!H4530</f>
        <v>#VALUE!</v>
      </c>
    </row>
    <row r="4531" spans="1:4" x14ac:dyDescent="0.25">
      <c r="A4531" s="1" t="str">
        <f>'001'!B4531</f>
        <v>041004</v>
      </c>
      <c r="B4531" s="1" t="str">
        <f>'001'!C4531</f>
        <v>LATEX EXTERIOR DURALBA MATE OCRE X 20</v>
      </c>
      <c r="C4531" s="1" t="str">
        <f>'001'!D4531</f>
        <v>0107</v>
      </c>
      <c r="D4531" s="3" t="e">
        <f>'001'!H4531</f>
        <v>#VALUE!</v>
      </c>
    </row>
    <row r="4532" spans="1:4" x14ac:dyDescent="0.25">
      <c r="A4532" s="1" t="str">
        <f>'001'!B4532</f>
        <v>041005</v>
      </c>
      <c r="B4532" s="1" t="str">
        <f>'001'!C4532</f>
        <v>LATEX EXTERIOR DURALBA MATE AZUL X 20</v>
      </c>
      <c r="C4532" s="1" t="str">
        <f>'001'!D4532</f>
        <v>0107</v>
      </c>
      <c r="D4532" s="3" t="e">
        <f>'001'!H4532</f>
        <v>#VALUE!</v>
      </c>
    </row>
    <row r="4533" spans="1:4" x14ac:dyDescent="0.25">
      <c r="A4533" s="1" t="str">
        <f>'001'!B4533</f>
        <v>041006</v>
      </c>
      <c r="B4533" s="1" t="str">
        <f>'001'!C4533</f>
        <v>LATEX EXTERIOR DURALBA MATE VERDE MUSGO X 20</v>
      </c>
      <c r="C4533" s="1" t="str">
        <f>'001'!D4533</f>
        <v>0107</v>
      </c>
      <c r="D4533" s="3" t="e">
        <f>'001'!H4533</f>
        <v>#VALUE!</v>
      </c>
    </row>
    <row r="4534" spans="1:4" x14ac:dyDescent="0.25">
      <c r="A4534" s="1" t="str">
        <f>'001'!B4534</f>
        <v>041007</v>
      </c>
      <c r="B4534" s="1" t="str">
        <f>'001'!C4534</f>
        <v>LATEX EXTERIOR DURALBA MATE TEJA X 20</v>
      </c>
      <c r="C4534" s="1" t="str">
        <f>'001'!D4534</f>
        <v>0107</v>
      </c>
      <c r="D4534" s="3" t="e">
        <f>'001'!H4534</f>
        <v>#VALUE!</v>
      </c>
    </row>
    <row r="4535" spans="1:4" x14ac:dyDescent="0.25">
      <c r="A4535" s="1" t="str">
        <f>'001'!B4535</f>
        <v>041008</v>
      </c>
      <c r="B4535" s="1" t="str">
        <f>'001'!C4535</f>
        <v>LATEX EXTERIOR DURALBA MATE ROJO TANINO X 20</v>
      </c>
      <c r="C4535" s="1" t="str">
        <f>'001'!D4535</f>
        <v>0107</v>
      </c>
      <c r="D4535" s="3" t="e">
        <f>'001'!H4535</f>
        <v>#VALUE!</v>
      </c>
    </row>
    <row r="4536" spans="1:4" x14ac:dyDescent="0.25">
      <c r="A4536" s="1" t="str">
        <f>'001'!B4536</f>
        <v>041022</v>
      </c>
      <c r="B4536" s="1" t="str">
        <f>'001'!C4536</f>
        <v>LATEX EXTERIOR DURALBA MATE BERMELLON X 20</v>
      </c>
      <c r="C4536" s="1" t="str">
        <f>'001'!D4536</f>
        <v>0902</v>
      </c>
      <c r="D4536" s="3" t="e">
        <f>'001'!H4536</f>
        <v>#VALUE!</v>
      </c>
    </row>
    <row r="4537" spans="1:4" x14ac:dyDescent="0.25">
      <c r="A4537" s="1" t="str">
        <f>'001'!B4537</f>
        <v>041041</v>
      </c>
      <c r="B4537" s="1" t="str">
        <f>'001'!C4537</f>
        <v>LATEX EXTERIOR DURALBA MATE VERDE TENIS X 20</v>
      </c>
      <c r="C4537" s="1" t="str">
        <f>'001'!D4537</f>
        <v>0107</v>
      </c>
      <c r="D4537" s="3" t="e">
        <f>'001'!H4537</f>
        <v>#VALUE!</v>
      </c>
    </row>
    <row r="4538" spans="1:4" x14ac:dyDescent="0.25">
      <c r="A4538" s="1" t="str">
        <f>'001'!B4538</f>
        <v>041046</v>
      </c>
      <c r="B4538" s="1" t="str">
        <f>'001'!C4538</f>
        <v>SOLVENTE INDUSTRIAL X 200</v>
      </c>
      <c r="C4538" s="1" t="str">
        <f>'001'!D4538</f>
        <v>0186</v>
      </c>
      <c r="D4538" s="3" t="e">
        <f>'001'!H4538</f>
        <v>#VALUE!</v>
      </c>
    </row>
    <row r="4539" spans="1:4" x14ac:dyDescent="0.25">
      <c r="A4539" s="1" t="str">
        <f>'001'!B4539</f>
        <v>041161</v>
      </c>
      <c r="B4539" s="1" t="str">
        <f>'001'!C4539</f>
        <v>DILUYENTE PARA EPOXI PLUS X 200</v>
      </c>
      <c r="C4539" s="1" t="str">
        <f>'001'!D4539</f>
        <v>0186</v>
      </c>
      <c r="D4539" s="3" t="e">
        <f>'001'!H4539</f>
        <v>#VALUE!</v>
      </c>
    </row>
    <row r="4540" spans="1:4" x14ac:dyDescent="0.25">
      <c r="A4540" s="1" t="str">
        <f>'001'!B4540</f>
        <v>041165</v>
      </c>
      <c r="B4540" s="1" t="str">
        <f>'001'!C4540</f>
        <v>DILUYENTE POLIURETANICO PLUS X 200</v>
      </c>
      <c r="C4540" s="1" t="str">
        <f>'001'!D4540</f>
        <v>0186</v>
      </c>
      <c r="D4540" s="3" t="e">
        <f>'001'!H4540</f>
        <v>#VALUE!</v>
      </c>
    </row>
    <row r="4541" spans="1:4" x14ac:dyDescent="0.25">
      <c r="A4541" s="1" t="str">
        <f>'001'!B4541</f>
        <v>042008</v>
      </c>
      <c r="B4541" s="1" t="str">
        <f>'001'!C4541</f>
        <v>ESMALTE EPOXI ALBA GRIS HIELO X 4</v>
      </c>
      <c r="C4541" s="1" t="str">
        <f>'001'!D4541</f>
        <v>0112</v>
      </c>
      <c r="D4541" s="3" t="e">
        <f>'001'!H4541</f>
        <v>#VALUE!</v>
      </c>
    </row>
    <row r="4542" spans="1:4" x14ac:dyDescent="0.25">
      <c r="A4542" s="1" t="str">
        <f>'001'!B4542</f>
        <v>042200</v>
      </c>
      <c r="B4542" s="1" t="str">
        <f>'001'!C4542</f>
        <v>FONDO EPOXI ALBA GRIS X 4</v>
      </c>
      <c r="C4542" s="1" t="str">
        <f>'001'!D4542</f>
        <v>0112</v>
      </c>
      <c r="D4542" s="3" t="e">
        <f>'001'!H4542</f>
        <v>#VALUE!</v>
      </c>
    </row>
    <row r="4543" spans="1:4" x14ac:dyDescent="0.25">
      <c r="A4543" s="1" t="str">
        <f>'001'!B4543</f>
        <v>044002</v>
      </c>
      <c r="B4543" s="1" t="str">
        <f>'001'!C4543</f>
        <v>ESMALTE EPOXI ALBA BERMELLON X 4</v>
      </c>
      <c r="C4543" s="1" t="str">
        <f>'001'!D4543</f>
        <v>0112</v>
      </c>
      <c r="D4543" s="3" t="e">
        <f>'001'!H4543</f>
        <v>#VALUE!</v>
      </c>
    </row>
    <row r="4544" spans="1:4" x14ac:dyDescent="0.25">
      <c r="A4544" s="1" t="str">
        <f>'001'!B4544</f>
        <v>045063</v>
      </c>
      <c r="B4544" s="1" t="str">
        <f>'001'!C4544</f>
        <v>ESMALTE EPOXI ALBA AMARILLO X 4</v>
      </c>
      <c r="C4544" s="1" t="str">
        <f>'001'!D4544</f>
        <v>0902</v>
      </c>
      <c r="D4544" s="3" t="e">
        <f>'001'!H4544</f>
        <v>#VALUE!</v>
      </c>
    </row>
    <row r="4545" spans="1:4" x14ac:dyDescent="0.25">
      <c r="A4545" s="1" t="str">
        <f>'001'!B4545</f>
        <v>046033</v>
      </c>
      <c r="B4545" s="1" t="str">
        <f>'001'!C4545</f>
        <v>ESMALTE EPOXI ALBA V.INGLES X 4</v>
      </c>
      <c r="C4545" s="1" t="str">
        <f>'001'!D4545</f>
        <v>0112</v>
      </c>
      <c r="D4545" s="3" t="e">
        <f>'001'!H4545</f>
        <v>#VALUE!</v>
      </c>
    </row>
    <row r="4546" spans="1:4" x14ac:dyDescent="0.25">
      <c r="A4546" s="1" t="str">
        <f>'001'!B4546</f>
        <v>046050</v>
      </c>
      <c r="B4546" s="1" t="str">
        <f>'001'!C4546</f>
        <v>PINTURA PARA PILETA ALBA EPOXI TANQUES Y PILETAS GRIS X 4</v>
      </c>
      <c r="C4546" s="1" t="str">
        <f>'001'!D4546</f>
        <v>0112</v>
      </c>
      <c r="D4546" s="3" t="e">
        <f>'001'!H4546</f>
        <v>#VALUE!</v>
      </c>
    </row>
    <row r="4547" spans="1:4" x14ac:dyDescent="0.25">
      <c r="A4547" s="1" t="str">
        <f>'001'!B4547</f>
        <v>046051</v>
      </c>
      <c r="B4547" s="1" t="str">
        <f>'001'!C4547</f>
        <v>PINTURA PARA PILETA ALBA EPOXI TANQUES Y PILETAS BLANCO X 4</v>
      </c>
      <c r="C4547" s="1" t="str">
        <f>'001'!D4547</f>
        <v>0112</v>
      </c>
      <c r="D4547" s="3" t="e">
        <f>'001'!H4547</f>
        <v>#VALUE!</v>
      </c>
    </row>
    <row r="4548" spans="1:4" x14ac:dyDescent="0.25">
      <c r="A4548" s="1" t="str">
        <f>'001'!B4548</f>
        <v>047001</v>
      </c>
      <c r="B4548" s="1" t="str">
        <f>'001'!C4548</f>
        <v>PINTURA PARA PILETA ALBA EPOXI TANQUES Y PILETAS CELESTE INTENSO X 4</v>
      </c>
      <c r="C4548" s="1" t="str">
        <f>'001'!D4548</f>
        <v>0112</v>
      </c>
      <c r="D4548" s="3" t="e">
        <f>'001'!H4548</f>
        <v>#VALUE!</v>
      </c>
    </row>
    <row r="4549" spans="1:4" x14ac:dyDescent="0.25">
      <c r="A4549" s="1" t="str">
        <f>'001'!B4549</f>
        <v>049805</v>
      </c>
      <c r="B4549" s="1" t="str">
        <f>'001'!C4549</f>
        <v>LATEX PARA PISO ALBA MATE AZUL X  4</v>
      </c>
      <c r="C4549" s="1" t="str">
        <f>'001'!D4549</f>
        <v>0107</v>
      </c>
      <c r="D4549" s="3" t="e">
        <f>'001'!H4549</f>
        <v>#VALUE!</v>
      </c>
    </row>
    <row r="4550" spans="1:4" x14ac:dyDescent="0.25">
      <c r="A4550" s="1" t="str">
        <f>'001'!B4550</f>
        <v>049806</v>
      </c>
      <c r="B4550" s="1" t="str">
        <f>'001'!C4550</f>
        <v>LATEX PARA PISO ALBA MATE GRAFITO X  4</v>
      </c>
      <c r="C4550" s="1" t="str">
        <f>'001'!D4550</f>
        <v>0107</v>
      </c>
      <c r="D4550" s="3" t="e">
        <f>'001'!H4550</f>
        <v>#VALUE!</v>
      </c>
    </row>
    <row r="4551" spans="1:4" x14ac:dyDescent="0.25">
      <c r="A4551" s="1" t="str">
        <f>'001'!B4551</f>
        <v>049821</v>
      </c>
      <c r="B4551" s="1" t="str">
        <f>'001'!C4551</f>
        <v>LATEX PARA PISO ALBA MATE ROJO COLONIAL X  4</v>
      </c>
      <c r="C4551" s="1" t="str">
        <f>'001'!D4551</f>
        <v>0107</v>
      </c>
      <c r="D4551" s="3" t="e">
        <f>'001'!H4551</f>
        <v>#VALUE!</v>
      </c>
    </row>
    <row r="4552" spans="1:4" x14ac:dyDescent="0.25">
      <c r="A4552" s="1" t="str">
        <f>'001'!B4552</f>
        <v>049822</v>
      </c>
      <c r="B4552" s="1" t="str">
        <f>'001'!C4552</f>
        <v>LATEX PARA PISO ALBA MATE CENIZA X  4</v>
      </c>
      <c r="C4552" s="1" t="str">
        <f>'001'!D4552</f>
        <v>0107</v>
      </c>
      <c r="D4552" s="3" t="e">
        <f>'001'!H4552</f>
        <v>#VALUE!</v>
      </c>
    </row>
    <row r="4553" spans="1:4" x14ac:dyDescent="0.25">
      <c r="A4553" s="1" t="str">
        <f>'001'!B4553</f>
        <v>049840</v>
      </c>
      <c r="B4553" s="1" t="str">
        <f>'001'!C4553</f>
        <v>LATEX PARA PISO ALBA MATE NEGRO X 4</v>
      </c>
      <c r="C4553" s="1" t="str">
        <f>'001'!D4553</f>
        <v>0107</v>
      </c>
      <c r="D4553" s="3" t="e">
        <f>'001'!H4553</f>
        <v>#VALUE!</v>
      </c>
    </row>
    <row r="4554" spans="1:4" x14ac:dyDescent="0.25">
      <c r="A4554" s="1" t="str">
        <f>'001'!B4554</f>
        <v>049841</v>
      </c>
      <c r="B4554" s="1" t="str">
        <f>'001'!C4554</f>
        <v>LATEX PARA PISO ALBA MATE VERDE TENIS X  4</v>
      </c>
      <c r="C4554" s="1" t="str">
        <f>'001'!D4554</f>
        <v>0107</v>
      </c>
      <c r="D4554" s="3" t="e">
        <f>'001'!H4554</f>
        <v>#VALUE!</v>
      </c>
    </row>
    <row r="4555" spans="1:4" x14ac:dyDescent="0.25">
      <c r="A4555" s="1" t="str">
        <f>'001'!B4555</f>
        <v>049905</v>
      </c>
      <c r="B4555" s="1" t="str">
        <f>'001'!C4555</f>
        <v>LATEX PARA PISO ALBA MATE AZUL X 20</v>
      </c>
      <c r="C4555" s="1" t="str">
        <f>'001'!D4555</f>
        <v>0107</v>
      </c>
      <c r="D4555" s="3" t="e">
        <f>'001'!H4555</f>
        <v>#VALUE!</v>
      </c>
    </row>
    <row r="4556" spans="1:4" x14ac:dyDescent="0.25">
      <c r="A4556" s="1" t="str">
        <f>'001'!B4556</f>
        <v>049906</v>
      </c>
      <c r="B4556" s="1" t="str">
        <f>'001'!C4556</f>
        <v>LATEX PARA PISO ALBA MATE GRAFITO X 20</v>
      </c>
      <c r="C4556" s="1" t="str">
        <f>'001'!D4556</f>
        <v>0107</v>
      </c>
      <c r="D4556" s="3" t="e">
        <f>'001'!H4556</f>
        <v>#VALUE!</v>
      </c>
    </row>
    <row r="4557" spans="1:4" x14ac:dyDescent="0.25">
      <c r="A4557" s="1" t="str">
        <f>'001'!B4557</f>
        <v>049921</v>
      </c>
      <c r="B4557" s="1" t="str">
        <f>'001'!C4557</f>
        <v>LATEX PARA PISO ALBA MATE ROJO COLONIAL X 20</v>
      </c>
      <c r="C4557" s="1" t="str">
        <f>'001'!D4557</f>
        <v>0107</v>
      </c>
      <c r="D4557" s="3" t="e">
        <f>'001'!H4557</f>
        <v>#VALUE!</v>
      </c>
    </row>
    <row r="4558" spans="1:4" x14ac:dyDescent="0.25">
      <c r="A4558" s="1" t="str">
        <f>'001'!B4558</f>
        <v>049922</v>
      </c>
      <c r="B4558" s="1" t="str">
        <f>'001'!C4558</f>
        <v>LATEX PARA PISO ALBA MATE CENIZA X 20</v>
      </c>
      <c r="C4558" s="1" t="str">
        <f>'001'!D4558</f>
        <v>0107</v>
      </c>
      <c r="D4558" s="3" t="e">
        <f>'001'!H4558</f>
        <v>#VALUE!</v>
      </c>
    </row>
    <row r="4559" spans="1:4" x14ac:dyDescent="0.25">
      <c r="A4559" s="1" t="str">
        <f>'001'!B4559</f>
        <v>049941</v>
      </c>
      <c r="B4559" s="1" t="str">
        <f>'001'!C4559</f>
        <v>LATEX PARA PISO ALBA MATE VERDE TENIS X 20</v>
      </c>
      <c r="C4559" s="1" t="str">
        <f>'001'!D4559</f>
        <v>0107</v>
      </c>
      <c r="D4559" s="3" t="e">
        <f>'001'!H4559</f>
        <v>#VALUE!</v>
      </c>
    </row>
    <row r="4560" spans="1:4" x14ac:dyDescent="0.25">
      <c r="A4560" s="1" t="str">
        <f>'001'!B4560</f>
        <v>053584</v>
      </c>
      <c r="B4560" s="1" t="str">
        <f>'001'!C4560</f>
        <v>PROTECTOR ALBA RENOVA CHALK MATE TRANSPARENTE X 1</v>
      </c>
      <c r="C4560" s="1" t="str">
        <f>'001'!D4560</f>
        <v>0902</v>
      </c>
      <c r="D4560" s="3" t="e">
        <f>'001'!H4560</f>
        <v>#VALUE!</v>
      </c>
    </row>
    <row r="4561" spans="1:4" x14ac:dyDescent="0.25">
      <c r="A4561" s="1" t="str">
        <f>'001'!B4561</f>
        <v>053850</v>
      </c>
      <c r="B4561" s="1" t="str">
        <f>'001'!C4561</f>
        <v>PINTURA A LA TIZA ALBA RENOVA CHALK MATE SENSACION FELIZ X 1</v>
      </c>
      <c r="C4561" s="1" t="str">
        <f>'001'!D4561</f>
        <v>0902</v>
      </c>
      <c r="D4561" s="3" t="e">
        <f>'001'!H4561</f>
        <v>#VALUE!</v>
      </c>
    </row>
    <row r="4562" spans="1:4" x14ac:dyDescent="0.25">
      <c r="A4562" s="1" t="str">
        <f>'001'!B4562</f>
        <v>053851</v>
      </c>
      <c r="B4562" s="1" t="str">
        <f>'001'!C4562</f>
        <v>PINTURA A LA TIZA ALBA RENOVA CHALK MATE GRIS NOBLE X 1</v>
      </c>
      <c r="C4562" s="1" t="str">
        <f>'001'!D4562</f>
        <v>0902</v>
      </c>
      <c r="D4562" s="3" t="e">
        <f>'001'!H4562</f>
        <v>#VALUE!</v>
      </c>
    </row>
    <row r="4563" spans="1:4" x14ac:dyDescent="0.25">
      <c r="A4563" s="1" t="str">
        <f>'001'!B4563</f>
        <v>053858</v>
      </c>
      <c r="B4563" s="1" t="str">
        <f>'001'!C4563</f>
        <v>PINTURA A LA TIZA ALBA RENOVA CHALK MATE BIZCOCHO ENCANTADO X 1</v>
      </c>
      <c r="C4563" s="1" t="str">
        <f>'001'!D4563</f>
        <v>0902</v>
      </c>
      <c r="D4563" s="3" t="e">
        <f>'001'!H4563</f>
        <v>#VALUE!</v>
      </c>
    </row>
    <row r="4564" spans="1:4" x14ac:dyDescent="0.25">
      <c r="A4564" s="1" t="str">
        <f>'001'!B4564</f>
        <v>053903</v>
      </c>
      <c r="B4564" s="1" t="str">
        <f>'001'!C4564</f>
        <v>PINTURA A LA TIZA ALBA RENOVA CHALK MATE CAMINO URBANO X 1</v>
      </c>
      <c r="C4564" s="1" t="str">
        <f>'001'!D4564</f>
        <v>0902</v>
      </c>
      <c r="D4564" s="3" t="e">
        <f>'001'!H4564</f>
        <v>#VALUE!</v>
      </c>
    </row>
    <row r="4565" spans="1:4" x14ac:dyDescent="0.25">
      <c r="A4565" s="1" t="str">
        <f>'001'!B4565</f>
        <v>053904</v>
      </c>
      <c r="B4565" s="1" t="str">
        <f>'001'!C4565</f>
        <v>PINTURA A LA TIZA ALBA RENOVA CHALK MATE MARFIL ELOCUENTE X 1</v>
      </c>
      <c r="C4565" s="1" t="str">
        <f>'001'!D4565</f>
        <v>0902</v>
      </c>
      <c r="D4565" s="3" t="e">
        <f>'001'!H4565</f>
        <v>#VALUE!</v>
      </c>
    </row>
    <row r="4566" spans="1:4" x14ac:dyDescent="0.25">
      <c r="A4566" s="1" t="str">
        <f>'001'!B4566</f>
        <v>053905</v>
      </c>
      <c r="B4566" s="1" t="str">
        <f>'001'!C4566</f>
        <v>PINTURA A LA TIZA ALBA RENOVA CHALK MATE TROFEO DE PLATA X 1</v>
      </c>
      <c r="C4566" s="1" t="str">
        <f>'001'!D4566</f>
        <v>0902</v>
      </c>
      <c r="D4566" s="3" t="e">
        <f>'001'!H4566</f>
        <v>#VALUE!</v>
      </c>
    </row>
    <row r="4567" spans="1:4" x14ac:dyDescent="0.25">
      <c r="A4567" s="1" t="str">
        <f>'001'!B4567</f>
        <v>053906</v>
      </c>
      <c r="B4567" s="1" t="str">
        <f>'001'!C4567</f>
        <v>PINTURA A LA TIZA ALBA RENOVA CHALK MATE ESCONDITE SILENCIOSO X 1</v>
      </c>
      <c r="C4567" s="1" t="str">
        <f>'001'!D4567</f>
        <v>0902</v>
      </c>
      <c r="D4567" s="3" t="e">
        <f>'001'!H4567</f>
        <v>#VALUE!</v>
      </c>
    </row>
    <row r="4568" spans="1:4" x14ac:dyDescent="0.25">
      <c r="A4568" s="1" t="str">
        <f>'001'!B4568</f>
        <v>079235</v>
      </c>
      <c r="B4568" s="1" t="str">
        <f>'001'!C4568</f>
        <v>TINTA PARA MADERA PETRILAC R.CLARO X 0,060</v>
      </c>
      <c r="C4568" s="1" t="str">
        <f>'001'!D4568</f>
        <v>0138</v>
      </c>
      <c r="D4568" s="3" t="e">
        <f>'001'!H4568</f>
        <v>#VALUE!</v>
      </c>
    </row>
    <row r="4569" spans="1:4" x14ac:dyDescent="0.25">
      <c r="A4569" s="1" t="str">
        <f>'001'!B4569</f>
        <v>079236</v>
      </c>
      <c r="B4569" s="1" t="str">
        <f>'001'!C4569</f>
        <v>TINTA PARA MADERA PETRILAC R.OSCURO X 0,060</v>
      </c>
      <c r="C4569" s="1" t="str">
        <f>'001'!D4569</f>
        <v>0138</v>
      </c>
      <c r="D4569" s="3" t="e">
        <f>'001'!H4569</f>
        <v>#VALUE!</v>
      </c>
    </row>
    <row r="4570" spans="1:4" x14ac:dyDescent="0.25">
      <c r="A4570" s="1" t="str">
        <f>'001'!B4570</f>
        <v>079237</v>
      </c>
      <c r="B4570" s="1" t="str">
        <f>'001'!C4570</f>
        <v>TINTA PARA MADERA PETRILAC CAOBA X 0,060</v>
      </c>
      <c r="C4570" s="1" t="str">
        <f>'001'!D4570</f>
        <v>0138</v>
      </c>
      <c r="D4570" s="3" t="e">
        <f>'001'!H4570</f>
        <v>#VALUE!</v>
      </c>
    </row>
    <row r="4571" spans="1:4" x14ac:dyDescent="0.25">
      <c r="A4571" s="1" t="str">
        <f>'001'!B4571</f>
        <v>079238</v>
      </c>
      <c r="B4571" s="1" t="str">
        <f>'001'!C4571</f>
        <v>TINTA PARA MADERA PETRILAC PETERIBI X 0,060</v>
      </c>
      <c r="C4571" s="1" t="str">
        <f>'001'!D4571</f>
        <v>0138</v>
      </c>
      <c r="D4571" s="3" t="e">
        <f>'001'!H4571</f>
        <v>#VALUE!</v>
      </c>
    </row>
    <row r="4572" spans="1:4" x14ac:dyDescent="0.25">
      <c r="A4572" s="1" t="str">
        <f>'001'!B4572</f>
        <v>079239</v>
      </c>
      <c r="B4572" s="1" t="str">
        <f>'001'!C4572</f>
        <v>TINTA PARA MADERA PETRILAC NOGAL X 0,060</v>
      </c>
      <c r="C4572" s="1" t="str">
        <f>'001'!D4572</f>
        <v>0138</v>
      </c>
      <c r="D4572" s="3" t="e">
        <f>'001'!H4572</f>
        <v>#VALUE!</v>
      </c>
    </row>
    <row r="4573" spans="1:4" x14ac:dyDescent="0.25">
      <c r="A4573" s="1" t="str">
        <f>'001'!B4573</f>
        <v>079240</v>
      </c>
      <c r="B4573" s="1" t="str">
        <f>'001'!C4573</f>
        <v>TINTA PARA MADERA PETRILAC CEDRO X 0,060</v>
      </c>
      <c r="C4573" s="1" t="str">
        <f>'001'!D4573</f>
        <v>0138</v>
      </c>
      <c r="D4573" s="3" t="e">
        <f>'001'!H4573</f>
        <v>#VALUE!</v>
      </c>
    </row>
    <row r="4574" spans="1:4" x14ac:dyDescent="0.25">
      <c r="A4574" s="1" t="str">
        <f>'001'!B4574</f>
        <v>079241</v>
      </c>
      <c r="B4574" s="1" t="str">
        <f>'001'!C4574</f>
        <v>TINTA PARA MADERA PETRILAC VIRARO X 0,060</v>
      </c>
      <c r="C4574" s="1" t="str">
        <f>'001'!D4574</f>
        <v>0138</v>
      </c>
      <c r="D4574" s="3" t="e">
        <f>'001'!H4574</f>
        <v>#VALUE!</v>
      </c>
    </row>
    <row r="4575" spans="1:4" x14ac:dyDescent="0.25">
      <c r="A4575" s="1" t="str">
        <f>'001'!B4575</f>
        <v>079244</v>
      </c>
      <c r="B4575" s="1" t="str">
        <f>'001'!C4575</f>
        <v>TINTA PARA MADERA PETRILAC WENGE X 0,060</v>
      </c>
      <c r="C4575" s="1" t="str">
        <f>'001'!D4575</f>
        <v>0138</v>
      </c>
      <c r="D4575" s="3" t="e">
        <f>'001'!H4575</f>
        <v>#VALUE!</v>
      </c>
    </row>
    <row r="4576" spans="1:4" x14ac:dyDescent="0.25">
      <c r="A4576" s="1" t="str">
        <f>'001'!B4576</f>
        <v>079245</v>
      </c>
      <c r="B4576" s="1" t="str">
        <f>'001'!C4576</f>
        <v>TINTA PARA MADERA PETRILAC ALGARROBO X 0,060</v>
      </c>
      <c r="C4576" s="1" t="str">
        <f>'001'!D4576</f>
        <v>0138</v>
      </c>
      <c r="D4576" s="3" t="e">
        <f>'001'!H4576</f>
        <v>#VALUE!</v>
      </c>
    </row>
    <row r="4577" spans="1:4" x14ac:dyDescent="0.25">
      <c r="A4577" s="1" t="str">
        <f>'001'!B4577</f>
        <v>079335</v>
      </c>
      <c r="B4577" s="1" t="str">
        <f>'001'!C4577</f>
        <v>TINTA PARA MADERA PETRILAC R.CLARO X 0,240</v>
      </c>
      <c r="C4577" s="1" t="str">
        <f>'001'!D4577</f>
        <v>0138</v>
      </c>
      <c r="D4577" s="3" t="e">
        <f>'001'!H4577</f>
        <v>#VALUE!</v>
      </c>
    </row>
    <row r="4578" spans="1:4" x14ac:dyDescent="0.25">
      <c r="A4578" s="1" t="str">
        <f>'001'!B4578</f>
        <v>079336</v>
      </c>
      <c r="B4578" s="1" t="str">
        <f>'001'!C4578</f>
        <v>TINTA PARA MADERA PETRILAC R.OSCURO X 0,240</v>
      </c>
      <c r="C4578" s="1" t="str">
        <f>'001'!D4578</f>
        <v>0138</v>
      </c>
      <c r="D4578" s="3" t="e">
        <f>'001'!H4578</f>
        <v>#VALUE!</v>
      </c>
    </row>
    <row r="4579" spans="1:4" x14ac:dyDescent="0.25">
      <c r="A4579" s="1" t="str">
        <f>'001'!B4579</f>
        <v>079337</v>
      </c>
      <c r="B4579" s="1" t="str">
        <f>'001'!C4579</f>
        <v>TINTA PARA MADERA PETRILAC CAOBA X 0,240</v>
      </c>
      <c r="C4579" s="1" t="str">
        <f>'001'!D4579</f>
        <v>0138</v>
      </c>
      <c r="D4579" s="3" t="e">
        <f>'001'!H4579</f>
        <v>#VALUE!</v>
      </c>
    </row>
    <row r="4580" spans="1:4" x14ac:dyDescent="0.25">
      <c r="A4580" s="1" t="str">
        <f>'001'!B4580</f>
        <v>079338</v>
      </c>
      <c r="B4580" s="1" t="str">
        <f>'001'!C4580</f>
        <v>TINTA PARA MADERA PETRILAC PETERIBI X 0,240</v>
      </c>
      <c r="C4580" s="1" t="str">
        <f>'001'!D4580</f>
        <v>0138</v>
      </c>
      <c r="D4580" s="3" t="e">
        <f>'001'!H4580</f>
        <v>#VALUE!</v>
      </c>
    </row>
    <row r="4581" spans="1:4" x14ac:dyDescent="0.25">
      <c r="A4581" s="1" t="str">
        <f>'001'!B4581</f>
        <v>079339</v>
      </c>
      <c r="B4581" s="1" t="str">
        <f>'001'!C4581</f>
        <v>TINTA PARA MADERA PETRILAC NOGAL X 0,240</v>
      </c>
      <c r="C4581" s="1" t="str">
        <f>'001'!D4581</f>
        <v>0138</v>
      </c>
      <c r="D4581" s="3" t="e">
        <f>'001'!H4581</f>
        <v>#VALUE!</v>
      </c>
    </row>
    <row r="4582" spans="1:4" x14ac:dyDescent="0.25">
      <c r="A4582" s="1" t="str">
        <f>'001'!B4582</f>
        <v>079340</v>
      </c>
      <c r="B4582" s="1" t="str">
        <f>'001'!C4582</f>
        <v>TINTA PARA MADERA PETRILAC CEDRO X 0,240</v>
      </c>
      <c r="C4582" s="1" t="str">
        <f>'001'!D4582</f>
        <v>0138</v>
      </c>
      <c r="D4582" s="3" t="e">
        <f>'001'!H4582</f>
        <v>#VALUE!</v>
      </c>
    </row>
    <row r="4583" spans="1:4" x14ac:dyDescent="0.25">
      <c r="A4583" s="1" t="str">
        <f>'001'!B4583</f>
        <v>079341</v>
      </c>
      <c r="B4583" s="1" t="str">
        <f>'001'!C4583</f>
        <v>TINTA PARA MADERA PETRILAC VIRARO X 0,240</v>
      </c>
      <c r="C4583" s="1" t="str">
        <f>'001'!D4583</f>
        <v>0138</v>
      </c>
      <c r="D4583" s="3" t="e">
        <f>'001'!H4583</f>
        <v>#VALUE!</v>
      </c>
    </row>
    <row r="4584" spans="1:4" x14ac:dyDescent="0.25">
      <c r="A4584" s="1" t="str">
        <f>'001'!B4584</f>
        <v>079344</v>
      </c>
      <c r="B4584" s="1" t="str">
        <f>'001'!C4584</f>
        <v>TINTA PARA MADERA PETRILAC WENGE X 0,240</v>
      </c>
      <c r="C4584" s="1" t="str">
        <f>'001'!D4584</f>
        <v>0138</v>
      </c>
      <c r="D4584" s="3" t="e">
        <f>'001'!H4584</f>
        <v>#VALUE!</v>
      </c>
    </row>
    <row r="4585" spans="1:4" x14ac:dyDescent="0.25">
      <c r="A4585" s="1" t="str">
        <f>'001'!B4585</f>
        <v>079345</v>
      </c>
      <c r="B4585" s="1" t="str">
        <f>'001'!C4585</f>
        <v>TINTA PARA MADERA PETRILAC ALGARROBO X 0,240</v>
      </c>
      <c r="C4585" s="1" t="str">
        <f>'001'!D4585</f>
        <v>0138</v>
      </c>
      <c r="D4585" s="3" t="e">
        <f>'001'!H4585</f>
        <v>#VALUE!</v>
      </c>
    </row>
    <row r="4586" spans="1:4" x14ac:dyDescent="0.25">
      <c r="A4586" s="1" t="str">
        <f>'001'!B4586</f>
        <v>085015</v>
      </c>
      <c r="B4586" s="1" t="str">
        <f>'001'!C4586</f>
        <v>PASTA PULIR MMB GRUESA X 1</v>
      </c>
      <c r="C4586" s="1" t="str">
        <f>'001'!D4586</f>
        <v>0137</v>
      </c>
      <c r="D4586" s="3" t="e">
        <f>'001'!H4586</f>
        <v>#VALUE!</v>
      </c>
    </row>
    <row r="4587" spans="1:4" x14ac:dyDescent="0.25">
      <c r="A4587" s="1" t="str">
        <f>'001'!B4587</f>
        <v>085016</v>
      </c>
      <c r="B4587" s="1" t="str">
        <f>'001'!C4587</f>
        <v>PASTA PULIR MMB FINA X 1</v>
      </c>
      <c r="C4587" s="1" t="str">
        <f>'001'!D4587</f>
        <v>0137</v>
      </c>
      <c r="D4587" s="3" t="e">
        <f>'001'!H4587</f>
        <v>#VALUE!</v>
      </c>
    </row>
    <row r="4588" spans="1:4" x14ac:dyDescent="0.25">
      <c r="A4588" s="1" t="str">
        <f>'001'!B4588</f>
        <v>086315</v>
      </c>
      <c r="B4588" s="1" t="str">
        <f>'001'!C4588</f>
        <v>ESMALTE SINTETICO ALBALUX 2EN1 BRILLANTE NEGRO X 0,500</v>
      </c>
      <c r="C4588" s="1" t="str">
        <f>'001'!D4588</f>
        <v>0902</v>
      </c>
      <c r="D4588" s="3" t="e">
        <f>'001'!H4588</f>
        <v>#VALUE!</v>
      </c>
    </row>
    <row r="4589" spans="1:4" x14ac:dyDescent="0.25">
      <c r="A4589" s="1" t="str">
        <f>'001'!B4589</f>
        <v>086318</v>
      </c>
      <c r="B4589" s="1" t="str">
        <f>'001'!C4589</f>
        <v>ESMALTE SINTETICO ALBALUX 2EN1 BRILLANTE MARRON X 0,500</v>
      </c>
      <c r="C4589" s="1" t="str">
        <f>'001'!D4589</f>
        <v>0902</v>
      </c>
      <c r="D4589" s="3" t="e">
        <f>'001'!H4589</f>
        <v>#VALUE!</v>
      </c>
    </row>
    <row r="4590" spans="1:4" x14ac:dyDescent="0.25">
      <c r="A4590" s="1" t="str">
        <f>'001'!B4590</f>
        <v>086326</v>
      </c>
      <c r="B4590" s="1" t="str">
        <f>'001'!C4590</f>
        <v>ESMALTE SINTETICO ALBALUX 2EN1 BRILLANTE GRIS ESPACIAL X 0,500</v>
      </c>
      <c r="C4590" s="1" t="str">
        <f>'001'!D4590</f>
        <v>0902</v>
      </c>
      <c r="D4590" s="3" t="e">
        <f>'001'!H4590</f>
        <v>#VALUE!</v>
      </c>
    </row>
    <row r="4591" spans="1:4" x14ac:dyDescent="0.25">
      <c r="A4591" s="1" t="str">
        <f>'001'!B4591</f>
        <v>086330</v>
      </c>
      <c r="B4591" s="1" t="str">
        <f>'001'!C4591</f>
        <v>ESMALTE SINTETICO ALBALUX 2EN1 BRILLANTE VERDE INGLES X 0,500</v>
      </c>
      <c r="C4591" s="1" t="str">
        <f>'001'!D4591</f>
        <v>0902</v>
      </c>
      <c r="D4591" s="3" t="e">
        <f>'001'!H4591</f>
        <v>#VALUE!</v>
      </c>
    </row>
    <row r="4592" spans="1:4" x14ac:dyDescent="0.25">
      <c r="A4592" s="1" t="str">
        <f>'001'!B4592</f>
        <v>086333</v>
      </c>
      <c r="B4592" s="1" t="str">
        <f>'001'!C4592</f>
        <v>ESMALTE SINTETICO ALBALUX 2EN1 BRILLANTE MARFIL CHAMPAGNE X 0,500</v>
      </c>
      <c r="C4592" s="1" t="str">
        <f>'001'!D4592</f>
        <v>0902</v>
      </c>
      <c r="D4592" s="3" t="e">
        <f>'001'!H4592</f>
        <v>#VALUE!</v>
      </c>
    </row>
    <row r="4593" spans="1:4" x14ac:dyDescent="0.25">
      <c r="A4593" s="1" t="str">
        <f>'001'!B4593</f>
        <v>086338</v>
      </c>
      <c r="B4593" s="1" t="str">
        <f>'001'!C4593</f>
        <v>ESMALTE SINTETICO ALBALUX 2EN1 BRILLANTE VERDE NOCHE X 0,500</v>
      </c>
      <c r="C4593" s="1" t="str">
        <f>'001'!D4593</f>
        <v>0902</v>
      </c>
      <c r="D4593" s="3" t="e">
        <f>'001'!H4593</f>
        <v>#VALUE!</v>
      </c>
    </row>
    <row r="4594" spans="1:4" x14ac:dyDescent="0.25">
      <c r="A4594" s="1" t="str">
        <f>'001'!B4594</f>
        <v>086341</v>
      </c>
      <c r="B4594" s="1" t="str">
        <f>'001'!C4594</f>
        <v>ESMALTE SINTETICO ALBALUX 2EN1 BRILLANTE TRAFUL X 0,500</v>
      </c>
      <c r="C4594" s="1" t="str">
        <f>'001'!D4594</f>
        <v>0902</v>
      </c>
      <c r="D4594" s="3" t="e">
        <f>'001'!H4594</f>
        <v>#VALUE!</v>
      </c>
    </row>
    <row r="4595" spans="1:4" x14ac:dyDescent="0.25">
      <c r="A4595" s="1" t="str">
        <f>'001'!B4595</f>
        <v>086343</v>
      </c>
      <c r="B4595" s="1" t="str">
        <f>'001'!C4595</f>
        <v>ESMALTE SINTETICO ALBALUX 2EN1 BRILLANTE AZUL MARINO X 0,500</v>
      </c>
      <c r="C4595" s="1" t="str">
        <f>'001'!D4595</f>
        <v>0902</v>
      </c>
      <c r="D4595" s="3" t="e">
        <f>'001'!H4595</f>
        <v>#VALUE!</v>
      </c>
    </row>
    <row r="4596" spans="1:4" x14ac:dyDescent="0.25">
      <c r="A4596" s="1" t="str">
        <f>'001'!B4596</f>
        <v>086415</v>
      </c>
      <c r="B4596" s="1" t="str">
        <f>'001'!C4596</f>
        <v>ESMALTE SINTETICO ALBALUX 2EN1 BRILLANTE NEGRO X 1</v>
      </c>
      <c r="C4596" s="1" t="str">
        <f>'001'!D4596</f>
        <v>0902</v>
      </c>
      <c r="D4596" s="3" t="e">
        <f>'001'!H4596</f>
        <v>#VALUE!</v>
      </c>
    </row>
    <row r="4597" spans="1:4" x14ac:dyDescent="0.25">
      <c r="A4597" s="1" t="str">
        <f>'001'!B4597</f>
        <v>086418</v>
      </c>
      <c r="B4597" s="1" t="str">
        <f>'001'!C4597</f>
        <v>ESMALTE SINTETICO ALBALUX 2EN1 BRILLANTE MARRON X 1</v>
      </c>
      <c r="C4597" s="1" t="str">
        <f>'001'!D4597</f>
        <v>0902</v>
      </c>
      <c r="D4597" s="3" t="e">
        <f>'001'!H4597</f>
        <v>#VALUE!</v>
      </c>
    </row>
    <row r="4598" spans="1:4" x14ac:dyDescent="0.25">
      <c r="A4598" s="1" t="str">
        <f>'001'!B4598</f>
        <v>086426</v>
      </c>
      <c r="B4598" s="1" t="str">
        <f>'001'!C4598</f>
        <v>ESMALTE SINTETICO ALBALUX 2EN1 BRILLANTE GRIS ESPACIAL X 1</v>
      </c>
      <c r="C4598" s="1" t="str">
        <f>'001'!D4598</f>
        <v>0902</v>
      </c>
      <c r="D4598" s="3" t="e">
        <f>'001'!H4598</f>
        <v>#VALUE!</v>
      </c>
    </row>
    <row r="4599" spans="1:4" x14ac:dyDescent="0.25">
      <c r="A4599" s="1" t="str">
        <f>'001'!B4599</f>
        <v>086430</v>
      </c>
      <c r="B4599" s="1" t="str">
        <f>'001'!C4599</f>
        <v>ESMALTE SINTETICO ALBALUX 2EN1 BRILLANTE VERDE INGLES X 1</v>
      </c>
      <c r="C4599" s="1" t="str">
        <f>'001'!D4599</f>
        <v>0902</v>
      </c>
      <c r="D4599" s="3" t="e">
        <f>'001'!H4599</f>
        <v>#VALUE!</v>
      </c>
    </row>
    <row r="4600" spans="1:4" x14ac:dyDescent="0.25">
      <c r="A4600" s="1" t="str">
        <f>'001'!B4600</f>
        <v>086433</v>
      </c>
      <c r="B4600" s="1" t="str">
        <f>'001'!C4600</f>
        <v>ESMALTE SINTETICO ALBALUX 2EN1 BRILLANTE MARFIL CHAMPAGNE X 1</v>
      </c>
      <c r="C4600" s="1" t="str">
        <f>'001'!D4600</f>
        <v>0902</v>
      </c>
      <c r="D4600" s="3" t="e">
        <f>'001'!H4600</f>
        <v>#VALUE!</v>
      </c>
    </row>
    <row r="4601" spans="1:4" x14ac:dyDescent="0.25">
      <c r="A4601" s="1" t="str">
        <f>'001'!B4601</f>
        <v>086438</v>
      </c>
      <c r="B4601" s="1" t="str">
        <f>'001'!C4601</f>
        <v>ESMALTE SINTETICO ALBALUX 2EN1 BRILLANTE VERDE NOCHE X 1</v>
      </c>
      <c r="C4601" s="1" t="str">
        <f>'001'!D4601</f>
        <v>0902</v>
      </c>
      <c r="D4601" s="3" t="e">
        <f>'001'!H4601</f>
        <v>#VALUE!</v>
      </c>
    </row>
    <row r="4602" spans="1:4" x14ac:dyDescent="0.25">
      <c r="A4602" s="1" t="str">
        <f>'001'!B4602</f>
        <v>086441</v>
      </c>
      <c r="B4602" s="1" t="str">
        <f>'001'!C4602</f>
        <v>ESMALTE SINTETICO ALBALUX 2EN1 BRILLANTE TRAFUL X 1</v>
      </c>
      <c r="C4602" s="1" t="str">
        <f>'001'!D4602</f>
        <v>0902</v>
      </c>
      <c r="D4602" s="3" t="e">
        <f>'001'!H4602</f>
        <v>#VALUE!</v>
      </c>
    </row>
    <row r="4603" spans="1:4" x14ac:dyDescent="0.25">
      <c r="A4603" s="1" t="str">
        <f>'001'!B4603</f>
        <v>086443</v>
      </c>
      <c r="B4603" s="1" t="str">
        <f>'001'!C4603</f>
        <v>ESMALTE SINTETICO ALBALUX 2EN1 BRILLANTE AZUL MARINO X 1</v>
      </c>
      <c r="C4603" s="1" t="str">
        <f>'001'!D4603</f>
        <v>0902</v>
      </c>
      <c r="D4603" s="3" t="e">
        <f>'001'!H4603</f>
        <v>#VALUE!</v>
      </c>
    </row>
    <row r="4604" spans="1:4" x14ac:dyDescent="0.25">
      <c r="A4604" s="1" t="str">
        <f>'001'!B4604</f>
        <v>086518</v>
      </c>
      <c r="B4604" s="1" t="str">
        <f>'001'!C4604</f>
        <v>ESMALTE SINTETICO ALBALUX 2EN1 BRILLANTE MARRON X 4</v>
      </c>
      <c r="C4604" s="1" t="str">
        <f>'001'!D4604</f>
        <v>0902</v>
      </c>
      <c r="D4604" s="3" t="e">
        <f>'001'!H4604</f>
        <v>#VALUE!</v>
      </c>
    </row>
    <row r="4605" spans="1:4" x14ac:dyDescent="0.25">
      <c r="A4605" s="1" t="str">
        <f>'001'!B4605</f>
        <v>086526</v>
      </c>
      <c r="B4605" s="1" t="str">
        <f>'001'!C4605</f>
        <v>ESMALTE SINTETICO ALBALUX 2EN1 BRILLANTE GRIS ESPACIAL X 4</v>
      </c>
      <c r="C4605" s="1" t="str">
        <f>'001'!D4605</f>
        <v>0902</v>
      </c>
      <c r="D4605" s="3" t="e">
        <f>'001'!H4605</f>
        <v>#VALUE!</v>
      </c>
    </row>
    <row r="4606" spans="1:4" x14ac:dyDescent="0.25">
      <c r="A4606" s="1" t="str">
        <f>'001'!B4606</f>
        <v>086530</v>
      </c>
      <c r="B4606" s="1" t="str">
        <f>'001'!C4606</f>
        <v>ESMALTE SINTETICO ALBALUX 2EN1 BRILLANTE VERDE INGLES X 4</v>
      </c>
      <c r="C4606" s="1" t="str">
        <f>'001'!D4606</f>
        <v>0902</v>
      </c>
      <c r="D4606" s="3" t="e">
        <f>'001'!H4606</f>
        <v>#VALUE!</v>
      </c>
    </row>
    <row r="4607" spans="1:4" x14ac:dyDescent="0.25">
      <c r="A4607" s="1" t="str">
        <f>'001'!B4607</f>
        <v>086533</v>
      </c>
      <c r="B4607" s="1" t="str">
        <f>'001'!C4607</f>
        <v>ESMALTE SINTETICO ALBALUX 2EN1 BRILLANTE MARFIL CHAMPAGNE X 4</v>
      </c>
      <c r="C4607" s="1" t="str">
        <f>'001'!D4607</f>
        <v>0902</v>
      </c>
      <c r="D4607" s="3" t="e">
        <f>'001'!H4607</f>
        <v>#VALUE!</v>
      </c>
    </row>
    <row r="4608" spans="1:4" x14ac:dyDescent="0.25">
      <c r="A4608" s="1" t="str">
        <f>'001'!B4608</f>
        <v>086538</v>
      </c>
      <c r="B4608" s="1" t="str">
        <f>'001'!C4608</f>
        <v>ESMALTE SINTETICO ALBALUX 2EN1 BRILLANTE VERDE NOCHE X 4</v>
      </c>
      <c r="C4608" s="1" t="str">
        <f>'001'!D4608</f>
        <v>0902</v>
      </c>
      <c r="D4608" s="3" t="e">
        <f>'001'!H4608</f>
        <v>#VALUE!</v>
      </c>
    </row>
    <row r="4609" spans="1:4" x14ac:dyDescent="0.25">
      <c r="A4609" s="1" t="str">
        <f>'001'!B4609</f>
        <v>086541</v>
      </c>
      <c r="B4609" s="1" t="str">
        <f>'001'!C4609</f>
        <v>ESMALTE SINTETICO ALBALUX 2EN1 BRILLANTE TRAFUL X 4</v>
      </c>
      <c r="C4609" s="1" t="str">
        <f>'001'!D4609</f>
        <v>0902</v>
      </c>
      <c r="D4609" s="3" t="e">
        <f>'001'!H4609</f>
        <v>#VALUE!</v>
      </c>
    </row>
    <row r="4610" spans="1:4" x14ac:dyDescent="0.25">
      <c r="A4610" s="1" t="str">
        <f>'001'!B4610</f>
        <v>086543</v>
      </c>
      <c r="B4610" s="1" t="str">
        <f>'001'!C4610</f>
        <v>ESMALTE SINTETICO ALBALUX 2EN1 BRILLANTE AZUL MARINO X 4</v>
      </c>
      <c r="C4610" s="1" t="str">
        <f>'001'!D4610</f>
        <v>0902</v>
      </c>
      <c r="D4610" s="3" t="e">
        <f>'001'!H4610</f>
        <v>#VALUE!</v>
      </c>
    </row>
    <row r="4611" spans="1:4" x14ac:dyDescent="0.25">
      <c r="A4611" s="1" t="str">
        <f>'001'!B4611</f>
        <v>089018</v>
      </c>
      <c r="B4611" s="1" t="str">
        <f>'001'!C4611</f>
        <v>DILUYENTE DEMARCACION VIAL TERSUAVE X  4</v>
      </c>
      <c r="C4611" s="1" t="str">
        <f>'001'!D4611</f>
        <v>0164</v>
      </c>
      <c r="D4611" s="3" t="e">
        <f>'001'!H4611</f>
        <v>#VALUE!</v>
      </c>
    </row>
    <row r="4612" spans="1:4" x14ac:dyDescent="0.25">
      <c r="A4612" s="1" t="str">
        <f>'001'!B4612</f>
        <v>089019</v>
      </c>
      <c r="B4612" s="1" t="str">
        <f>'001'!C4612</f>
        <v>CREMA DE PULIDO 3D 502 AAT FINISHING POLISH X 1(502OZ32)</v>
      </c>
      <c r="C4612" s="1" t="str">
        <f>'001'!D4612</f>
        <v>0191</v>
      </c>
      <c r="D4612" s="3" t="e">
        <f>'001'!H4612</f>
        <v>#VALUE!</v>
      </c>
    </row>
    <row r="4613" spans="1:4" x14ac:dyDescent="0.25">
      <c r="A4613" s="1" t="str">
        <f>'001'!B4613</f>
        <v>089020</v>
      </c>
      <c r="B4613" s="1" t="str">
        <f>'001'!C4613</f>
        <v>COMPUESTO DE PULIDO Y SELLADO SIN SILICONA 3D 505 AAT CORRECTION GLAZE X 1(505OZ32)</v>
      </c>
      <c r="C4613" s="1" t="str">
        <f>'001'!D4613</f>
        <v>0191</v>
      </c>
      <c r="D4613" s="3" t="e">
        <f>'001'!H4613</f>
        <v>#VALUE!</v>
      </c>
    </row>
    <row r="4614" spans="1:4" x14ac:dyDescent="0.25">
      <c r="A4614" s="1" t="str">
        <f>'001'!B4614</f>
        <v>089021</v>
      </c>
      <c r="B4614" s="1" t="str">
        <f>'001'!C4614</f>
        <v>COMPUESTO DE CORTE AGRESIVO 3D 500 ACA X-TRA CUT COMPUND X 1(500OZ32)</v>
      </c>
      <c r="C4614" s="1" t="str">
        <f>'001'!D4614</f>
        <v>0191</v>
      </c>
      <c r="D4614" s="3" t="e">
        <f>'001'!H4614</f>
        <v>#VALUE!</v>
      </c>
    </row>
    <row r="4615" spans="1:4" x14ac:dyDescent="0.25">
      <c r="A4615" s="1" t="str">
        <f>'001'!B4615</f>
        <v>089022</v>
      </c>
      <c r="B4615" s="1" t="str">
        <f>'001'!C4615</f>
        <v>CREMA DE CORTE 3D 501 AAT RUBBING COMPOUND X 1(501OZ32)</v>
      </c>
      <c r="C4615" s="1" t="str">
        <f>'001'!D4615</f>
        <v>0191</v>
      </c>
      <c r="D4615" s="3" t="e">
        <f>'001'!H4615</f>
        <v>#VALUE!</v>
      </c>
    </row>
    <row r="4616" spans="1:4" x14ac:dyDescent="0.25">
      <c r="A4616" s="1" t="str">
        <f>'001'!B4616</f>
        <v>089023</v>
      </c>
      <c r="B4616" s="1" t="str">
        <f>'001'!C4616</f>
        <v>CREMA DE PULIDO 3D 520 ACA FINISHING POLISH X 1(520OZ32)</v>
      </c>
      <c r="C4616" s="1" t="str">
        <f>'001'!D4616</f>
        <v>0191</v>
      </c>
      <c r="D4616" s="3" t="e">
        <f>'001'!H4616</f>
        <v>#VALUE!</v>
      </c>
    </row>
    <row r="4617" spans="1:4" x14ac:dyDescent="0.25">
      <c r="A4617" s="1" t="str">
        <f>'001'!B4617</f>
        <v>089026</v>
      </c>
      <c r="B4617" s="1" t="str">
        <f>'001'!C4617</f>
        <v>CLAY BAR/ DESCONTAMINANTE 3D CLAY BAR (G-09HD)</v>
      </c>
      <c r="C4617" s="1" t="str">
        <f>'001'!D4617</f>
        <v>0191</v>
      </c>
      <c r="D4617" s="3" t="e">
        <f>'001'!H4617</f>
        <v>#VALUE!</v>
      </c>
    </row>
    <row r="4618" spans="1:4" x14ac:dyDescent="0.25">
      <c r="A4618" s="1" t="str">
        <f>'001'!B4618</f>
        <v>089027</v>
      </c>
      <c r="B4618" s="1" t="str">
        <f>'001'!C4618</f>
        <v>DILUYENTE DEMARCACION VIAL TERSUAVE X 18</v>
      </c>
      <c r="C4618" s="1" t="str">
        <f>'001'!D4618</f>
        <v>0164</v>
      </c>
      <c r="D4618" s="3" t="e">
        <f>'001'!H4618</f>
        <v>#VALUE!</v>
      </c>
    </row>
    <row r="4619" spans="1:4" x14ac:dyDescent="0.25">
      <c r="A4619" s="1" t="str">
        <f>'001'!B4619</f>
        <v>089028</v>
      </c>
      <c r="B4619" s="1" t="str">
        <f>'001'!C4619</f>
        <v>COMPUESTO DE CORTE AGRESIVO 3D 500 ACA X-TRA CUT COMPUND X 0,500(500OZ16)</v>
      </c>
      <c r="C4619" s="1" t="str">
        <f>'001'!D4619</f>
        <v>0191</v>
      </c>
      <c r="D4619" s="3" t="e">
        <f>'001'!H4619</f>
        <v>#VALUE!</v>
      </c>
    </row>
    <row r="4620" spans="1:4" x14ac:dyDescent="0.25">
      <c r="A4620" s="1" t="str">
        <f>'001'!B4620</f>
        <v>098405</v>
      </c>
      <c r="B4620" s="1" t="str">
        <f>'001'!C4620</f>
        <v>LATEX PARA PISO ALBA MATE AZUL X  1</v>
      </c>
      <c r="C4620" s="1" t="str">
        <f>'001'!D4620</f>
        <v>0107</v>
      </c>
      <c r="D4620" s="3" t="e">
        <f>'001'!H4620</f>
        <v>#VALUE!</v>
      </c>
    </row>
    <row r="4621" spans="1:4" x14ac:dyDescent="0.25">
      <c r="A4621" s="1" t="str">
        <f>'001'!B4621</f>
        <v>098406</v>
      </c>
      <c r="B4621" s="1" t="str">
        <f>'001'!C4621</f>
        <v>LATEX PARA PISO ALBA MATE GRAFITO X  1</v>
      </c>
      <c r="C4621" s="1" t="str">
        <f>'001'!D4621</f>
        <v>0107</v>
      </c>
      <c r="D4621" s="3" t="e">
        <f>'001'!H4621</f>
        <v>#VALUE!</v>
      </c>
    </row>
    <row r="4622" spans="1:4" x14ac:dyDescent="0.25">
      <c r="A4622" s="1" t="str">
        <f>'001'!B4622</f>
        <v>098421</v>
      </c>
      <c r="B4622" s="1" t="str">
        <f>'001'!C4622</f>
        <v>LATEX PARA PISO ALBA MATE ROJO COLONIAL X  1</v>
      </c>
      <c r="C4622" s="1" t="str">
        <f>'001'!D4622</f>
        <v>0107</v>
      </c>
      <c r="D4622" s="3" t="e">
        <f>'001'!H4622</f>
        <v>#VALUE!</v>
      </c>
    </row>
    <row r="4623" spans="1:4" x14ac:dyDescent="0.25">
      <c r="A4623" s="1" t="str">
        <f>'001'!B4623</f>
        <v>098422</v>
      </c>
      <c r="B4623" s="1" t="str">
        <f>'001'!C4623</f>
        <v>LATEX PARA PISO ALBA MATE CENIZA X  1</v>
      </c>
      <c r="C4623" s="1" t="str">
        <f>'001'!D4623</f>
        <v>0107</v>
      </c>
      <c r="D4623" s="3" t="e">
        <f>'001'!H4623</f>
        <v>#VALUE!</v>
      </c>
    </row>
    <row r="4624" spans="1:4" x14ac:dyDescent="0.25">
      <c r="A4624" s="1" t="str">
        <f>'001'!B4624</f>
        <v>098440</v>
      </c>
      <c r="B4624" s="1" t="str">
        <f>'001'!C4624</f>
        <v>LATEX PARA PISO ALBA MATE NEGRO X 1</v>
      </c>
      <c r="C4624" s="1" t="str">
        <f>'001'!D4624</f>
        <v>0107</v>
      </c>
      <c r="D4624" s="3" t="e">
        <f>'001'!H4624</f>
        <v>#VALUE!</v>
      </c>
    </row>
    <row r="4625" spans="1:4" x14ac:dyDescent="0.25">
      <c r="A4625" s="1" t="str">
        <f>'001'!B4625</f>
        <v>098441</v>
      </c>
      <c r="B4625" s="1" t="str">
        <f>'001'!C4625</f>
        <v>LATEX PARA PISO ALBA MATE VERDE TENIS X  1</v>
      </c>
      <c r="C4625" s="1" t="str">
        <f>'001'!D4625</f>
        <v>0107</v>
      </c>
      <c r="D4625" s="3" t="e">
        <f>'001'!H4625</f>
        <v>#VALUE!</v>
      </c>
    </row>
    <row r="4626" spans="1:4" x14ac:dyDescent="0.25">
      <c r="A4626" s="1" t="str">
        <f>'001'!B4626</f>
        <v>099998</v>
      </c>
      <c r="B4626" s="1" t="str">
        <f>'001'!C4626</f>
        <v>COLORES AUTOMOTOR PU X 1</v>
      </c>
      <c r="C4626" s="1" t="str">
        <f>'001'!D4626</f>
        <v>0147</v>
      </c>
      <c r="D4626" s="3" t="e">
        <f>'001'!H4626</f>
        <v>#VALUE!</v>
      </c>
    </row>
    <row r="4627" spans="1:4" x14ac:dyDescent="0.25">
      <c r="A4627" s="1" t="str">
        <f>'001'!B4627</f>
        <v>099999</v>
      </c>
      <c r="B4627" s="1" t="str">
        <f>'001'!C4627</f>
        <v>COLORES AUTOMOTOR BICAPA X 1</v>
      </c>
      <c r="C4627" s="1" t="str">
        <f>'001'!D4627</f>
        <v>0147</v>
      </c>
      <c r="D4627" s="3" t="e">
        <f>'001'!H4627</f>
        <v>#VALUE!</v>
      </c>
    </row>
    <row r="4628" spans="1:4" x14ac:dyDescent="0.25">
      <c r="A4628" s="1" t="str">
        <f>'001'!B4628</f>
        <v>200623</v>
      </c>
      <c r="B4628" s="1" t="str">
        <f>'001'!C4628</f>
        <v>DILUYENTE SECADO A AIRE DIXILINA NRO.3 X 200</v>
      </c>
      <c r="C4628" s="1" t="str">
        <f>'001'!D4628</f>
        <v>0120</v>
      </c>
      <c r="D4628" s="3" t="e">
        <f>'001'!H4628</f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50"/>
  <sheetViews>
    <sheetView workbookViewId="0" zoomScale="100" zoomScaleNormal="100">
      <selection activeCell="M11" sqref="M11"/>
    </sheetView>
  </sheetViews>
  <sheetFormatPr defaultRowHeight="15" outlineLevelRow="0" outlineLevelCol="0" x14ac:dyDescent="0.25" defaultColWidth="9.140625"/>
  <cols>
    <col min="4" max="4" width="12" customWidth="1"/>
  </cols>
  <sheetData>
    <row r="1" spans="1:5" x14ac:dyDescent="0.25">
      <c r="A1" s="6" t="s">
        <v>14426</v>
      </c>
      <c r="B1" s="6" t="s">
        <v>14427</v>
      </c>
      <c r="C1" s="6" t="s">
        <v>14429</v>
      </c>
      <c r="D1" s="6" t="s">
        <v>14430</v>
      </c>
      <c r="E1" t="s">
        <v>14513</v>
      </c>
    </row>
    <row r="2" spans="1:5" x14ac:dyDescent="0.25">
      <c r="A2" s="7">
        <v>1</v>
      </c>
      <c r="B2" s="7">
        <v>2</v>
      </c>
      <c r="C2" s="7">
        <v>165</v>
      </c>
      <c r="D2" s="8">
        <v>7361.28</v>
      </c>
      <c r="E2" s="9">
        <v>1</v>
      </c>
    </row>
    <row r="3" spans="1:5" x14ac:dyDescent="0.25">
      <c r="A3" s="7">
        <v>1</v>
      </c>
      <c r="B3" s="7">
        <v>3</v>
      </c>
      <c r="C3" s="7">
        <v>165</v>
      </c>
      <c r="D3" s="8">
        <v>8634.19</v>
      </c>
      <c r="E3" s="9">
        <v>1</v>
      </c>
    </row>
    <row r="4" spans="1:5" x14ac:dyDescent="0.25">
      <c r="A4" s="7">
        <v>1</v>
      </c>
      <c r="B4" s="7">
        <v>4</v>
      </c>
      <c r="C4" s="7">
        <v>165</v>
      </c>
      <c r="D4" s="8">
        <v>5167.87</v>
      </c>
      <c r="E4" s="9">
        <v>1</v>
      </c>
    </row>
    <row r="5" spans="1:5" x14ac:dyDescent="0.25">
      <c r="A5" s="7">
        <v>1</v>
      </c>
      <c r="B5" s="7">
        <v>5</v>
      </c>
      <c r="C5" s="7">
        <v>902</v>
      </c>
      <c r="D5" s="8">
        <v>1150.05</v>
      </c>
      <c r="E5" s="9">
        <v>1</v>
      </c>
    </row>
    <row r="6" spans="1:5" x14ac:dyDescent="0.25">
      <c r="A6" s="7">
        <v>1</v>
      </c>
      <c r="B6" s="7">
        <v>6</v>
      </c>
      <c r="C6" s="7">
        <v>165</v>
      </c>
      <c r="D6" s="8">
        <v>5150.97</v>
      </c>
      <c r="E6" s="9">
        <v>1</v>
      </c>
    </row>
    <row r="7" spans="1:5" x14ac:dyDescent="0.25">
      <c r="A7" s="7">
        <v>1</v>
      </c>
      <c r="B7" s="7">
        <v>7</v>
      </c>
      <c r="C7" s="7">
        <v>165</v>
      </c>
      <c r="D7" s="8">
        <v>6906.78</v>
      </c>
      <c r="E7" s="9">
        <v>1</v>
      </c>
    </row>
    <row r="8" spans="1:5" x14ac:dyDescent="0.25">
      <c r="A8" s="7">
        <v>1</v>
      </c>
      <c r="B8" s="7">
        <v>8</v>
      </c>
      <c r="C8" s="7">
        <v>165</v>
      </c>
      <c r="D8" s="8">
        <v>8930.2</v>
      </c>
      <c r="E8" s="9">
        <v>1</v>
      </c>
    </row>
    <row r="9" spans="1:5" x14ac:dyDescent="0.25">
      <c r="A9" s="7">
        <v>1</v>
      </c>
      <c r="B9" s="7">
        <v>10</v>
      </c>
      <c r="C9" s="7">
        <v>152</v>
      </c>
      <c r="D9" s="8">
        <v>10082.07</v>
      </c>
      <c r="E9" s="9">
        <v>1</v>
      </c>
    </row>
    <row r="10" spans="1:5" x14ac:dyDescent="0.25">
      <c r="A10" s="7">
        <v>1</v>
      </c>
      <c r="B10" s="7">
        <v>11</v>
      </c>
      <c r="C10" s="7">
        <v>152</v>
      </c>
      <c r="D10" s="8">
        <v>15006.36</v>
      </c>
      <c r="E10" s="9">
        <v>1</v>
      </c>
    </row>
    <row r="11" spans="1:5" x14ac:dyDescent="0.25">
      <c r="A11" s="7">
        <v>1</v>
      </c>
      <c r="B11" s="7">
        <v>12</v>
      </c>
      <c r="C11" s="7">
        <v>152</v>
      </c>
      <c r="D11" s="8">
        <v>52809.36</v>
      </c>
      <c r="E11" s="9">
        <v>1</v>
      </c>
    </row>
    <row r="12" spans="1:5" x14ac:dyDescent="0.25">
      <c r="A12" s="7">
        <v>1</v>
      </c>
      <c r="B12" s="7">
        <v>13</v>
      </c>
      <c r="C12" s="7">
        <v>152</v>
      </c>
      <c r="D12" s="8">
        <v>11883.21</v>
      </c>
      <c r="E12" s="9">
        <v>1</v>
      </c>
    </row>
    <row r="13" spans="1:5" x14ac:dyDescent="0.25">
      <c r="A13" s="7">
        <v>1</v>
      </c>
      <c r="B13" s="7">
        <v>14</v>
      </c>
      <c r="C13" s="7">
        <v>152</v>
      </c>
      <c r="D13" s="8">
        <v>18043.58</v>
      </c>
      <c r="E13" s="9">
        <v>1</v>
      </c>
    </row>
    <row r="14" spans="1:5" x14ac:dyDescent="0.25">
      <c r="A14" s="7">
        <v>1</v>
      </c>
      <c r="B14" s="7">
        <v>15</v>
      </c>
      <c r="C14" s="7">
        <v>152</v>
      </c>
      <c r="D14" s="8">
        <v>65206.98</v>
      </c>
      <c r="E14" s="9">
        <v>1</v>
      </c>
    </row>
    <row r="15" spans="1:5" x14ac:dyDescent="0.25">
      <c r="A15" s="7">
        <v>1</v>
      </c>
      <c r="B15" s="7">
        <v>24</v>
      </c>
      <c r="C15" s="7">
        <v>166</v>
      </c>
      <c r="D15" s="8">
        <v>9168.22</v>
      </c>
      <c r="E15" s="9">
        <v>1</v>
      </c>
    </row>
    <row r="16" spans="1:5" x14ac:dyDescent="0.25">
      <c r="A16" s="7">
        <v>1</v>
      </c>
      <c r="B16" s="7">
        <v>25</v>
      </c>
      <c r="C16" s="7">
        <v>166</v>
      </c>
      <c r="D16" s="8">
        <v>11072.02</v>
      </c>
      <c r="E16" s="9">
        <v>1</v>
      </c>
    </row>
    <row r="17" spans="1:5" x14ac:dyDescent="0.25">
      <c r="A17" s="7">
        <v>1</v>
      </c>
      <c r="B17" s="7">
        <v>27</v>
      </c>
      <c r="C17" s="7">
        <v>902</v>
      </c>
      <c r="D17" s="8">
        <v>103229.08</v>
      </c>
      <c r="E17" s="9">
        <v>1</v>
      </c>
    </row>
    <row r="18" spans="1:5" x14ac:dyDescent="0.25">
      <c r="A18" s="7">
        <v>1</v>
      </c>
      <c r="B18" s="7">
        <v>34</v>
      </c>
      <c r="C18" s="7">
        <v>116</v>
      </c>
      <c r="D18" s="8">
        <v>109885.97</v>
      </c>
      <c r="E18" s="9">
        <v>1</v>
      </c>
    </row>
    <row r="19" spans="1:5" x14ac:dyDescent="0.25">
      <c r="A19" s="7">
        <v>1</v>
      </c>
      <c r="B19" s="7">
        <v>41</v>
      </c>
      <c r="C19" s="7">
        <v>107</v>
      </c>
      <c r="D19" s="8">
        <v>24713.13</v>
      </c>
      <c r="E19" s="9">
        <v>1</v>
      </c>
    </row>
    <row r="20" spans="1:5" x14ac:dyDescent="0.25">
      <c r="A20" s="7">
        <v>1</v>
      </c>
      <c r="B20" s="7">
        <v>42</v>
      </c>
      <c r="C20" s="7">
        <v>107</v>
      </c>
      <c r="D20" s="8">
        <v>83442</v>
      </c>
      <c r="E20" s="9">
        <v>1</v>
      </c>
    </row>
    <row r="21" spans="1:5" x14ac:dyDescent="0.25">
      <c r="A21" s="7">
        <v>1</v>
      </c>
      <c r="B21" s="7">
        <v>43</v>
      </c>
      <c r="C21" s="7">
        <v>165</v>
      </c>
      <c r="D21" s="8">
        <v>8399.28</v>
      </c>
      <c r="E21" s="9">
        <v>1</v>
      </c>
    </row>
    <row r="22" spans="1:5" x14ac:dyDescent="0.25">
      <c r="A22" s="7">
        <v>1</v>
      </c>
      <c r="B22" s="7">
        <v>44</v>
      </c>
      <c r="C22" s="7">
        <v>165</v>
      </c>
      <c r="D22" s="8">
        <v>3468.6</v>
      </c>
      <c r="E22" s="9">
        <v>1</v>
      </c>
    </row>
    <row r="23" spans="1:5" x14ac:dyDescent="0.25">
      <c r="A23" s="7">
        <v>1</v>
      </c>
      <c r="B23" s="7">
        <v>46</v>
      </c>
      <c r="C23" s="7">
        <v>165</v>
      </c>
      <c r="D23" s="8">
        <v>4518.02</v>
      </c>
      <c r="E23" s="9">
        <v>1</v>
      </c>
    </row>
    <row r="24" spans="1:5" x14ac:dyDescent="0.25">
      <c r="A24" s="7">
        <v>1</v>
      </c>
      <c r="B24" s="7">
        <v>50</v>
      </c>
      <c r="C24" s="7">
        <v>165</v>
      </c>
      <c r="D24" s="8">
        <v>5413.6</v>
      </c>
      <c r="E24" s="9">
        <v>1</v>
      </c>
    </row>
    <row r="25" spans="1:5" x14ac:dyDescent="0.25">
      <c r="A25" s="7">
        <v>1</v>
      </c>
      <c r="B25" s="7">
        <v>51</v>
      </c>
      <c r="C25" s="7">
        <v>177</v>
      </c>
      <c r="D25" s="8">
        <v>15300</v>
      </c>
      <c r="E25" s="9">
        <v>1</v>
      </c>
    </row>
    <row r="26" spans="1:5" x14ac:dyDescent="0.25">
      <c r="A26" s="7">
        <v>1</v>
      </c>
      <c r="B26" s="7">
        <v>52</v>
      </c>
      <c r="C26" s="7">
        <v>176</v>
      </c>
      <c r="D26" s="8">
        <v>6849.72</v>
      </c>
      <c r="E26" s="9">
        <v>1</v>
      </c>
    </row>
    <row r="27" spans="1:5" x14ac:dyDescent="0.25">
      <c r="A27" s="7">
        <v>1</v>
      </c>
      <c r="B27" s="7">
        <v>54</v>
      </c>
      <c r="C27" s="7">
        <v>137</v>
      </c>
      <c r="D27" s="8">
        <v>27158.23</v>
      </c>
      <c r="E27" s="9">
        <v>1</v>
      </c>
    </row>
    <row r="28" spans="1:5" x14ac:dyDescent="0.25">
      <c r="A28" s="7">
        <v>1</v>
      </c>
      <c r="B28" s="7">
        <v>55</v>
      </c>
      <c r="C28" s="7">
        <v>137</v>
      </c>
      <c r="D28" s="8">
        <v>95848.78</v>
      </c>
      <c r="E28" s="9">
        <v>1</v>
      </c>
    </row>
    <row r="29" spans="1:5" x14ac:dyDescent="0.25">
      <c r="A29" s="7">
        <v>1</v>
      </c>
      <c r="B29" s="7">
        <v>57</v>
      </c>
      <c r="C29" s="7">
        <v>137</v>
      </c>
      <c r="D29" s="8">
        <v>25569.48</v>
      </c>
      <c r="E29" s="9">
        <v>1</v>
      </c>
    </row>
    <row r="30" spans="1:5" x14ac:dyDescent="0.25">
      <c r="A30" s="7">
        <v>1</v>
      </c>
      <c r="B30" s="7">
        <v>58</v>
      </c>
      <c r="C30" s="7">
        <v>137</v>
      </c>
      <c r="D30" s="8">
        <v>91042.37</v>
      </c>
      <c r="E30" s="9">
        <v>1</v>
      </c>
    </row>
    <row r="31" spans="1:5" x14ac:dyDescent="0.25">
      <c r="A31" s="7">
        <v>1</v>
      </c>
      <c r="B31" s="7">
        <v>59</v>
      </c>
      <c r="C31" s="7">
        <v>137</v>
      </c>
      <c r="D31" s="8">
        <v>24232.65</v>
      </c>
      <c r="E31" s="9">
        <v>1</v>
      </c>
    </row>
    <row r="32" spans="1:5" x14ac:dyDescent="0.25">
      <c r="A32" s="7">
        <v>1</v>
      </c>
      <c r="B32" s="7">
        <v>65</v>
      </c>
      <c r="C32" s="7">
        <v>116</v>
      </c>
      <c r="D32" s="8">
        <v>56984.76</v>
      </c>
      <c r="E32" s="9">
        <v>1</v>
      </c>
    </row>
    <row r="33" spans="1:5" x14ac:dyDescent="0.25">
      <c r="A33" s="7">
        <v>1</v>
      </c>
      <c r="B33" s="7">
        <v>67</v>
      </c>
      <c r="C33" s="7">
        <v>105</v>
      </c>
      <c r="D33" s="8">
        <v>38280.79</v>
      </c>
      <c r="E33" s="9">
        <v>1</v>
      </c>
    </row>
    <row r="34" spans="1:5" x14ac:dyDescent="0.25">
      <c r="A34" s="7">
        <v>1</v>
      </c>
      <c r="B34" s="7">
        <v>68</v>
      </c>
      <c r="C34" s="7">
        <v>105</v>
      </c>
      <c r="D34" s="8">
        <v>129251.67</v>
      </c>
      <c r="E34" s="9">
        <v>1</v>
      </c>
    </row>
    <row r="35" spans="1:5" x14ac:dyDescent="0.25">
      <c r="A35" s="7">
        <v>1</v>
      </c>
      <c r="B35" s="7">
        <v>71</v>
      </c>
      <c r="C35" s="7">
        <v>176</v>
      </c>
      <c r="D35" s="8">
        <v>14608.92</v>
      </c>
      <c r="E35" s="9">
        <v>1</v>
      </c>
    </row>
    <row r="36" spans="1:5" x14ac:dyDescent="0.25">
      <c r="A36" s="7">
        <v>1</v>
      </c>
      <c r="B36" s="7">
        <v>72</v>
      </c>
      <c r="C36" s="7">
        <v>152</v>
      </c>
      <c r="D36" s="8">
        <v>218803.49</v>
      </c>
      <c r="E36" s="9">
        <v>1</v>
      </c>
    </row>
    <row r="37" spans="1:5" x14ac:dyDescent="0.25">
      <c r="A37" s="7">
        <v>1</v>
      </c>
      <c r="B37" s="7">
        <v>73</v>
      </c>
      <c r="C37" s="7">
        <v>134</v>
      </c>
      <c r="D37" s="8">
        <v>53.48</v>
      </c>
      <c r="E37" s="9">
        <v>3</v>
      </c>
    </row>
    <row r="38" spans="1:5" x14ac:dyDescent="0.25">
      <c r="A38" s="7">
        <v>1</v>
      </c>
      <c r="B38" s="7">
        <v>74</v>
      </c>
      <c r="C38" s="7">
        <v>134</v>
      </c>
      <c r="D38" s="8">
        <v>52</v>
      </c>
      <c r="E38" s="9">
        <v>3</v>
      </c>
    </row>
    <row r="39" spans="1:5" x14ac:dyDescent="0.25">
      <c r="A39" s="7">
        <v>1</v>
      </c>
      <c r="B39" s="7">
        <v>78</v>
      </c>
      <c r="C39" s="7">
        <v>116</v>
      </c>
      <c r="D39" s="8">
        <v>65909.66</v>
      </c>
      <c r="E39" s="9">
        <v>1</v>
      </c>
    </row>
    <row r="40" spans="1:5" x14ac:dyDescent="0.25">
      <c r="A40" s="7">
        <v>1</v>
      </c>
      <c r="B40" s="7">
        <v>82</v>
      </c>
      <c r="C40" s="7">
        <v>116</v>
      </c>
      <c r="D40" s="8">
        <v>84742.22</v>
      </c>
      <c r="E40" s="9">
        <v>1</v>
      </c>
    </row>
    <row r="41" spans="1:5" x14ac:dyDescent="0.25">
      <c r="A41" s="7">
        <v>1</v>
      </c>
      <c r="B41" s="7">
        <v>83</v>
      </c>
      <c r="C41" s="7">
        <v>137</v>
      </c>
      <c r="D41" s="8">
        <v>15201</v>
      </c>
      <c r="E41" s="9">
        <v>1</v>
      </c>
    </row>
    <row r="42" spans="1:5" x14ac:dyDescent="0.25">
      <c r="A42" s="7">
        <v>1</v>
      </c>
      <c r="B42" s="7">
        <v>84</v>
      </c>
      <c r="C42" s="7">
        <v>137</v>
      </c>
      <c r="D42" s="8">
        <v>15702.43</v>
      </c>
      <c r="E42" s="9">
        <v>1</v>
      </c>
    </row>
    <row r="43" spans="1:5" x14ac:dyDescent="0.25">
      <c r="A43" s="7">
        <v>1</v>
      </c>
      <c r="B43" s="7">
        <v>85</v>
      </c>
      <c r="C43" s="7">
        <v>129</v>
      </c>
      <c r="D43" s="8">
        <v>7314.8</v>
      </c>
      <c r="E43" s="9">
        <v>1</v>
      </c>
    </row>
    <row r="44" spans="1:5" x14ac:dyDescent="0.25">
      <c r="A44" s="7">
        <v>1</v>
      </c>
      <c r="B44" s="7">
        <v>86</v>
      </c>
      <c r="C44" s="7">
        <v>137</v>
      </c>
      <c r="D44" s="8">
        <v>13137.44</v>
      </c>
      <c r="E44" s="9">
        <v>1</v>
      </c>
    </row>
    <row r="45" spans="1:5" x14ac:dyDescent="0.25">
      <c r="A45" s="7">
        <v>1</v>
      </c>
      <c r="B45" s="7">
        <v>87</v>
      </c>
      <c r="C45" s="7">
        <v>166</v>
      </c>
      <c r="D45" s="8">
        <v>9164.16</v>
      </c>
      <c r="E45" s="9">
        <v>1</v>
      </c>
    </row>
    <row r="46" spans="1:5" x14ac:dyDescent="0.25">
      <c r="A46" s="7">
        <v>1</v>
      </c>
      <c r="B46" s="7">
        <v>89</v>
      </c>
      <c r="C46" s="7">
        <v>152</v>
      </c>
      <c r="D46" s="8">
        <v>7024.08</v>
      </c>
      <c r="E46" s="9">
        <v>1</v>
      </c>
    </row>
    <row r="47" spans="1:5" x14ac:dyDescent="0.25">
      <c r="A47" s="7">
        <v>1</v>
      </c>
      <c r="B47" s="7">
        <v>97</v>
      </c>
      <c r="C47" s="7">
        <v>107</v>
      </c>
      <c r="D47" s="8">
        <v>221630.32</v>
      </c>
      <c r="E47" s="9">
        <v>1</v>
      </c>
    </row>
    <row r="48" spans="1:5" x14ac:dyDescent="0.25">
      <c r="A48" s="7">
        <v>1</v>
      </c>
      <c r="B48" s="7">
        <v>100</v>
      </c>
      <c r="C48" s="7">
        <v>107</v>
      </c>
      <c r="D48" s="8">
        <v>97651.74</v>
      </c>
      <c r="E48" s="9">
        <v>1</v>
      </c>
    </row>
    <row r="49" spans="1:5" x14ac:dyDescent="0.25">
      <c r="A49" s="7">
        <v>1</v>
      </c>
      <c r="B49" s="7">
        <v>102</v>
      </c>
      <c r="C49" s="7">
        <v>137</v>
      </c>
      <c r="D49" s="8">
        <v>28601.9</v>
      </c>
      <c r="E49" s="9">
        <v>1</v>
      </c>
    </row>
    <row r="50" spans="1:5" x14ac:dyDescent="0.25">
      <c r="A50" s="7">
        <v>1</v>
      </c>
      <c r="B50" s="7">
        <v>103</v>
      </c>
      <c r="C50" s="7">
        <v>148</v>
      </c>
      <c r="D50" s="8">
        <v>12383.52</v>
      </c>
      <c r="E50" s="9">
        <v>1</v>
      </c>
    </row>
    <row r="51" spans="1:5" x14ac:dyDescent="0.25">
      <c r="A51" s="7">
        <v>1</v>
      </c>
      <c r="B51" s="7">
        <v>105</v>
      </c>
      <c r="C51" s="7">
        <v>107</v>
      </c>
      <c r="D51" s="8">
        <v>54098.69</v>
      </c>
      <c r="E51" s="9">
        <v>1</v>
      </c>
    </row>
    <row r="52" spans="1:5" x14ac:dyDescent="0.25">
      <c r="A52" s="7">
        <v>1</v>
      </c>
      <c r="B52" s="7">
        <v>106</v>
      </c>
      <c r="C52" s="7">
        <v>107</v>
      </c>
      <c r="D52" s="8">
        <v>182660.68</v>
      </c>
      <c r="E52" s="9">
        <v>1</v>
      </c>
    </row>
    <row r="53" spans="1:5" x14ac:dyDescent="0.25">
      <c r="A53" s="7">
        <v>1</v>
      </c>
      <c r="B53" s="7">
        <v>108</v>
      </c>
      <c r="C53" s="7">
        <v>176</v>
      </c>
      <c r="D53" s="8">
        <v>9703.07</v>
      </c>
      <c r="E53" s="9">
        <v>1</v>
      </c>
    </row>
    <row r="54" spans="1:5" x14ac:dyDescent="0.25">
      <c r="A54" s="7">
        <v>1</v>
      </c>
      <c r="B54" s="7">
        <v>110</v>
      </c>
      <c r="C54" s="7">
        <v>107</v>
      </c>
      <c r="D54" s="8">
        <v>18837.48</v>
      </c>
      <c r="E54" s="9">
        <v>1</v>
      </c>
    </row>
    <row r="55" spans="1:5" x14ac:dyDescent="0.25">
      <c r="A55" s="7">
        <v>1</v>
      </c>
      <c r="B55" s="7">
        <v>111</v>
      </c>
      <c r="C55" s="7">
        <v>107</v>
      </c>
      <c r="D55" s="8">
        <v>59945.95</v>
      </c>
      <c r="E55" s="9">
        <v>1</v>
      </c>
    </row>
    <row r="56" spans="1:5" x14ac:dyDescent="0.25">
      <c r="A56" s="7">
        <v>1</v>
      </c>
      <c r="B56" s="7">
        <v>112</v>
      </c>
      <c r="C56" s="7">
        <v>176</v>
      </c>
      <c r="D56" s="8">
        <v>4359</v>
      </c>
      <c r="E56" s="9">
        <v>1</v>
      </c>
    </row>
    <row r="57" spans="1:5" x14ac:dyDescent="0.25">
      <c r="A57" s="7">
        <v>1</v>
      </c>
      <c r="B57" s="7">
        <v>113</v>
      </c>
      <c r="C57" s="7">
        <v>107</v>
      </c>
      <c r="D57" s="8">
        <v>206035.34</v>
      </c>
      <c r="E57" s="9">
        <v>1</v>
      </c>
    </row>
    <row r="58" spans="1:5" x14ac:dyDescent="0.25">
      <c r="A58" s="7">
        <v>1</v>
      </c>
      <c r="B58" s="7">
        <v>114</v>
      </c>
      <c r="C58" s="7">
        <v>107</v>
      </c>
      <c r="D58" s="8">
        <v>27914.84</v>
      </c>
      <c r="E58" s="9">
        <v>1</v>
      </c>
    </row>
    <row r="59" spans="1:5" x14ac:dyDescent="0.25">
      <c r="A59" s="7">
        <v>1</v>
      </c>
      <c r="B59" s="7">
        <v>115</v>
      </c>
      <c r="C59" s="7">
        <v>107</v>
      </c>
      <c r="D59" s="8">
        <v>88704.59</v>
      </c>
      <c r="E59" s="9">
        <v>1</v>
      </c>
    </row>
    <row r="60" spans="1:5" x14ac:dyDescent="0.25">
      <c r="A60" s="7">
        <v>1</v>
      </c>
      <c r="B60" s="7">
        <v>116</v>
      </c>
      <c r="C60" s="7">
        <v>107</v>
      </c>
      <c r="D60" s="8">
        <v>182373.23</v>
      </c>
      <c r="E60" s="9">
        <v>1</v>
      </c>
    </row>
    <row r="61" spans="1:5" x14ac:dyDescent="0.25">
      <c r="A61" s="7">
        <v>1</v>
      </c>
      <c r="B61" s="7">
        <v>117</v>
      </c>
      <c r="C61" s="7">
        <v>107</v>
      </c>
      <c r="D61" s="8">
        <v>302403.97</v>
      </c>
      <c r="E61" s="9">
        <v>1</v>
      </c>
    </row>
    <row r="62" spans="1:5" x14ac:dyDescent="0.25">
      <c r="A62" s="7">
        <v>1</v>
      </c>
      <c r="B62" s="7">
        <v>118</v>
      </c>
      <c r="C62" s="7">
        <v>107</v>
      </c>
      <c r="D62" s="8">
        <v>13677.53</v>
      </c>
      <c r="E62" s="9">
        <v>1</v>
      </c>
    </row>
    <row r="63" spans="1:5" x14ac:dyDescent="0.25">
      <c r="A63" s="7">
        <v>1</v>
      </c>
      <c r="B63" s="7">
        <v>119</v>
      </c>
      <c r="C63" s="7">
        <v>107</v>
      </c>
      <c r="D63" s="8">
        <v>43527.69</v>
      </c>
      <c r="E63" s="9">
        <v>1</v>
      </c>
    </row>
    <row r="64" spans="1:5" x14ac:dyDescent="0.25">
      <c r="A64" s="7">
        <v>1</v>
      </c>
      <c r="B64" s="7">
        <v>120</v>
      </c>
      <c r="C64" s="7">
        <v>176</v>
      </c>
      <c r="D64" s="8">
        <v>6682.98</v>
      </c>
      <c r="E64" s="9">
        <v>1</v>
      </c>
    </row>
    <row r="65" spans="1:5" x14ac:dyDescent="0.25">
      <c r="A65" s="7">
        <v>1</v>
      </c>
      <c r="B65" s="7">
        <v>121</v>
      </c>
      <c r="C65" s="7">
        <v>107</v>
      </c>
      <c r="D65" s="8">
        <v>149602.56</v>
      </c>
      <c r="E65" s="9">
        <v>1</v>
      </c>
    </row>
    <row r="66" spans="1:5" x14ac:dyDescent="0.25">
      <c r="A66" s="7">
        <v>1</v>
      </c>
      <c r="B66" s="7">
        <v>128</v>
      </c>
      <c r="C66" s="7">
        <v>138</v>
      </c>
      <c r="D66" s="8">
        <v>51923.7</v>
      </c>
      <c r="E66" s="9">
        <v>1</v>
      </c>
    </row>
    <row r="67" spans="1:5" x14ac:dyDescent="0.25">
      <c r="A67" s="7">
        <v>1</v>
      </c>
      <c r="B67" s="7">
        <v>129</v>
      </c>
      <c r="C67" s="7">
        <v>138</v>
      </c>
      <c r="D67" s="8">
        <v>192442.34</v>
      </c>
      <c r="E67" s="9">
        <v>1</v>
      </c>
    </row>
    <row r="68" spans="1:5" x14ac:dyDescent="0.25">
      <c r="A68" s="7">
        <v>1</v>
      </c>
      <c r="B68" s="7">
        <v>130</v>
      </c>
      <c r="C68" s="7">
        <v>152</v>
      </c>
      <c r="D68" s="8">
        <v>8132.53</v>
      </c>
      <c r="E68" s="9">
        <v>1</v>
      </c>
    </row>
    <row r="69" spans="1:5" x14ac:dyDescent="0.25">
      <c r="A69" s="7">
        <v>1</v>
      </c>
      <c r="B69" s="7">
        <v>131</v>
      </c>
      <c r="C69" s="7">
        <v>152</v>
      </c>
      <c r="D69" s="8">
        <v>264016.14</v>
      </c>
      <c r="E69" s="9">
        <v>1</v>
      </c>
    </row>
    <row r="70" spans="1:5" x14ac:dyDescent="0.25">
      <c r="A70" s="7">
        <v>1</v>
      </c>
      <c r="B70" s="7">
        <v>132</v>
      </c>
      <c r="C70" s="7">
        <v>107</v>
      </c>
      <c r="D70" s="8">
        <v>89761.56</v>
      </c>
      <c r="E70" s="9">
        <v>1</v>
      </c>
    </row>
    <row r="71" spans="1:5" x14ac:dyDescent="0.25">
      <c r="A71" s="7">
        <v>1</v>
      </c>
      <c r="B71" s="7">
        <v>133</v>
      </c>
      <c r="C71" s="7">
        <v>107</v>
      </c>
      <c r="D71" s="8">
        <v>2320.34</v>
      </c>
      <c r="E71" s="9">
        <v>1</v>
      </c>
    </row>
    <row r="72" spans="1:5" x14ac:dyDescent="0.25">
      <c r="A72" s="7">
        <v>1</v>
      </c>
      <c r="B72" s="7">
        <v>134</v>
      </c>
      <c r="C72" s="7">
        <v>107</v>
      </c>
      <c r="D72" s="8">
        <v>2320.34</v>
      </c>
      <c r="E72" s="9">
        <v>1</v>
      </c>
    </row>
    <row r="73" spans="1:5" x14ac:dyDescent="0.25">
      <c r="A73" s="7">
        <v>1</v>
      </c>
      <c r="B73" s="7">
        <v>135</v>
      </c>
      <c r="C73" s="7">
        <v>107</v>
      </c>
      <c r="D73" s="8">
        <v>2320.34</v>
      </c>
      <c r="E73" s="9">
        <v>1</v>
      </c>
    </row>
    <row r="74" spans="1:5" x14ac:dyDescent="0.25">
      <c r="A74" s="7">
        <v>1</v>
      </c>
      <c r="B74" s="7">
        <v>136</v>
      </c>
      <c r="C74" s="7">
        <v>107</v>
      </c>
      <c r="D74" s="8">
        <v>2320.34</v>
      </c>
      <c r="E74" s="9">
        <v>1</v>
      </c>
    </row>
    <row r="75" spans="1:5" x14ac:dyDescent="0.25">
      <c r="A75" s="7">
        <v>1</v>
      </c>
      <c r="B75" s="7">
        <v>137</v>
      </c>
      <c r="C75" s="7">
        <v>107</v>
      </c>
      <c r="D75" s="8">
        <v>2320.34</v>
      </c>
      <c r="E75" s="9">
        <v>1</v>
      </c>
    </row>
    <row r="76" spans="1:5" x14ac:dyDescent="0.25">
      <c r="A76" s="7">
        <v>1</v>
      </c>
      <c r="B76" s="7">
        <v>138</v>
      </c>
      <c r="C76" s="7">
        <v>107</v>
      </c>
      <c r="D76" s="8">
        <v>2320.34</v>
      </c>
      <c r="E76" s="9">
        <v>1</v>
      </c>
    </row>
    <row r="77" spans="1:5" x14ac:dyDescent="0.25">
      <c r="A77" s="7">
        <v>1</v>
      </c>
      <c r="B77" s="7">
        <v>139</v>
      </c>
      <c r="C77" s="7">
        <v>107</v>
      </c>
      <c r="D77" s="8">
        <v>2320.34</v>
      </c>
      <c r="E77" s="9">
        <v>1</v>
      </c>
    </row>
    <row r="78" spans="1:5" x14ac:dyDescent="0.25">
      <c r="A78" s="7">
        <v>1</v>
      </c>
      <c r="B78" s="7">
        <v>140</v>
      </c>
      <c r="C78" s="7">
        <v>107</v>
      </c>
      <c r="D78" s="8">
        <v>2320.34</v>
      </c>
      <c r="E78" s="9">
        <v>1</v>
      </c>
    </row>
    <row r="79" spans="1:5" x14ac:dyDescent="0.25">
      <c r="A79" s="7">
        <v>1</v>
      </c>
      <c r="B79" s="7">
        <v>141</v>
      </c>
      <c r="C79" s="7">
        <v>107</v>
      </c>
      <c r="D79" s="8">
        <v>2320.34</v>
      </c>
      <c r="E79" s="9">
        <v>1</v>
      </c>
    </row>
    <row r="80" spans="1:5" x14ac:dyDescent="0.25">
      <c r="A80" s="7">
        <v>1</v>
      </c>
      <c r="B80" s="7">
        <v>142</v>
      </c>
      <c r="C80" s="7">
        <v>107</v>
      </c>
      <c r="D80" s="8">
        <v>2320.34</v>
      </c>
      <c r="E80" s="9">
        <v>1</v>
      </c>
    </row>
    <row r="81" spans="1:5" x14ac:dyDescent="0.25">
      <c r="A81" s="7">
        <v>1</v>
      </c>
      <c r="B81" s="7">
        <v>143</v>
      </c>
      <c r="C81" s="7">
        <v>107</v>
      </c>
      <c r="D81" s="8">
        <v>2320.34</v>
      </c>
      <c r="E81" s="9">
        <v>1</v>
      </c>
    </row>
    <row r="82" spans="1:5" x14ac:dyDescent="0.25">
      <c r="A82" s="7">
        <v>1</v>
      </c>
      <c r="B82" s="7">
        <v>144</v>
      </c>
      <c r="C82" s="7">
        <v>107</v>
      </c>
      <c r="D82" s="8">
        <v>6742.96</v>
      </c>
      <c r="E82" s="9">
        <v>1</v>
      </c>
    </row>
    <row r="83" spans="1:5" x14ac:dyDescent="0.25">
      <c r="A83" s="7">
        <v>1</v>
      </c>
      <c r="B83" s="7">
        <v>145</v>
      </c>
      <c r="C83" s="7">
        <v>107</v>
      </c>
      <c r="D83" s="8">
        <v>6742.96</v>
      </c>
      <c r="E83" s="9">
        <v>1</v>
      </c>
    </row>
    <row r="84" spans="1:5" x14ac:dyDescent="0.25">
      <c r="A84" s="7">
        <v>1</v>
      </c>
      <c r="B84" s="7">
        <v>146</v>
      </c>
      <c r="C84" s="7">
        <v>107</v>
      </c>
      <c r="D84" s="8">
        <v>6742.96</v>
      </c>
      <c r="E84" s="9">
        <v>1</v>
      </c>
    </row>
    <row r="85" spans="1:5" x14ac:dyDescent="0.25">
      <c r="A85" s="7">
        <v>1</v>
      </c>
      <c r="B85" s="7">
        <v>147</v>
      </c>
      <c r="C85" s="7">
        <v>107</v>
      </c>
      <c r="D85" s="8">
        <v>6742.96</v>
      </c>
      <c r="E85" s="9">
        <v>1</v>
      </c>
    </row>
    <row r="86" spans="1:5" x14ac:dyDescent="0.25">
      <c r="A86" s="7">
        <v>1</v>
      </c>
      <c r="B86" s="7">
        <v>148</v>
      </c>
      <c r="C86" s="7">
        <v>107</v>
      </c>
      <c r="D86" s="8">
        <v>6742.96</v>
      </c>
      <c r="E86" s="9">
        <v>1</v>
      </c>
    </row>
    <row r="87" spans="1:5" x14ac:dyDescent="0.25">
      <c r="A87" s="7">
        <v>1</v>
      </c>
      <c r="B87" s="7">
        <v>149</v>
      </c>
      <c r="C87" s="7">
        <v>107</v>
      </c>
      <c r="D87" s="8">
        <v>6742.96</v>
      </c>
      <c r="E87" s="9">
        <v>1</v>
      </c>
    </row>
    <row r="88" spans="1:5" x14ac:dyDescent="0.25">
      <c r="A88" s="7">
        <v>1</v>
      </c>
      <c r="B88" s="7">
        <v>150</v>
      </c>
      <c r="C88" s="7">
        <v>107</v>
      </c>
      <c r="D88" s="8">
        <v>6742.96</v>
      </c>
      <c r="E88" s="9">
        <v>1</v>
      </c>
    </row>
    <row r="89" spans="1:5" x14ac:dyDescent="0.25">
      <c r="A89" s="7">
        <v>1</v>
      </c>
      <c r="B89" s="7">
        <v>151</v>
      </c>
      <c r="C89" s="7">
        <v>107</v>
      </c>
      <c r="D89" s="8">
        <v>6742.96</v>
      </c>
      <c r="E89" s="9">
        <v>1</v>
      </c>
    </row>
    <row r="90" spans="1:5" x14ac:dyDescent="0.25">
      <c r="A90" s="7">
        <v>1</v>
      </c>
      <c r="B90" s="7">
        <v>152</v>
      </c>
      <c r="C90" s="7">
        <v>107</v>
      </c>
      <c r="D90" s="8">
        <v>6742.96</v>
      </c>
      <c r="E90" s="9">
        <v>1</v>
      </c>
    </row>
    <row r="91" spans="1:5" x14ac:dyDescent="0.25">
      <c r="A91" s="7">
        <v>1</v>
      </c>
      <c r="B91" s="7">
        <v>153</v>
      </c>
      <c r="C91" s="7">
        <v>107</v>
      </c>
      <c r="D91" s="8">
        <v>6742.96</v>
      </c>
      <c r="E91" s="9">
        <v>1</v>
      </c>
    </row>
    <row r="92" spans="1:5" x14ac:dyDescent="0.25">
      <c r="A92" s="7">
        <v>1</v>
      </c>
      <c r="B92" s="7">
        <v>154</v>
      </c>
      <c r="C92" s="7">
        <v>107</v>
      </c>
      <c r="D92" s="8">
        <v>6742.96</v>
      </c>
      <c r="E92" s="9">
        <v>1</v>
      </c>
    </row>
    <row r="93" spans="1:5" x14ac:dyDescent="0.25">
      <c r="A93" s="7">
        <v>1</v>
      </c>
      <c r="B93" s="7">
        <v>158</v>
      </c>
      <c r="C93" s="7">
        <v>107</v>
      </c>
      <c r="D93" s="8">
        <v>27325.49</v>
      </c>
      <c r="E93" s="9">
        <v>1</v>
      </c>
    </row>
    <row r="94" spans="1:5" x14ac:dyDescent="0.25">
      <c r="A94" s="7">
        <v>1</v>
      </c>
      <c r="B94" s="7">
        <v>159</v>
      </c>
      <c r="C94" s="7">
        <v>107</v>
      </c>
      <c r="D94" s="8">
        <v>92265.05</v>
      </c>
      <c r="E94" s="9">
        <v>1</v>
      </c>
    </row>
    <row r="95" spans="1:5" x14ac:dyDescent="0.25">
      <c r="A95" s="7">
        <v>1</v>
      </c>
      <c r="B95" s="7">
        <v>160</v>
      </c>
      <c r="C95" s="7">
        <v>107</v>
      </c>
      <c r="D95" s="8">
        <v>13899.19</v>
      </c>
      <c r="E95" s="9">
        <v>1</v>
      </c>
    </row>
    <row r="96" spans="1:5" x14ac:dyDescent="0.25">
      <c r="A96" s="7">
        <v>1</v>
      </c>
      <c r="B96" s="7">
        <v>161</v>
      </c>
      <c r="C96" s="7">
        <v>107</v>
      </c>
      <c r="D96" s="8">
        <v>23226.64</v>
      </c>
      <c r="E96" s="9">
        <v>1</v>
      </c>
    </row>
    <row r="97" spans="1:5" x14ac:dyDescent="0.25">
      <c r="A97" s="7">
        <v>1</v>
      </c>
      <c r="B97" s="7">
        <v>162</v>
      </c>
      <c r="C97" s="7">
        <v>107</v>
      </c>
      <c r="D97" s="8">
        <v>78425.44</v>
      </c>
      <c r="E97" s="9">
        <v>1</v>
      </c>
    </row>
    <row r="98" spans="1:5" x14ac:dyDescent="0.25">
      <c r="A98" s="7">
        <v>1</v>
      </c>
      <c r="B98" s="7">
        <v>163</v>
      </c>
      <c r="C98" s="7">
        <v>145</v>
      </c>
      <c r="D98" s="8">
        <v>24934.17</v>
      </c>
      <c r="E98" s="9">
        <v>1</v>
      </c>
    </row>
    <row r="99" spans="1:5" x14ac:dyDescent="0.25">
      <c r="A99" s="7">
        <v>1</v>
      </c>
      <c r="B99" s="7">
        <v>164</v>
      </c>
      <c r="C99" s="7">
        <v>107</v>
      </c>
      <c r="D99" s="8">
        <v>149976.55</v>
      </c>
      <c r="E99" s="9">
        <v>1</v>
      </c>
    </row>
    <row r="100" spans="1:5" x14ac:dyDescent="0.25">
      <c r="A100" s="7">
        <v>1</v>
      </c>
      <c r="B100" s="7">
        <v>165</v>
      </c>
      <c r="C100" s="7">
        <v>107</v>
      </c>
      <c r="D100" s="8">
        <v>123620.79</v>
      </c>
      <c r="E100" s="9">
        <v>1</v>
      </c>
    </row>
    <row r="101" spans="1:5" x14ac:dyDescent="0.25">
      <c r="A101" s="7">
        <v>1</v>
      </c>
      <c r="B101" s="7">
        <v>167</v>
      </c>
      <c r="C101" s="7">
        <v>107</v>
      </c>
      <c r="D101" s="8">
        <v>24338.36</v>
      </c>
      <c r="E101" s="9">
        <v>1</v>
      </c>
    </row>
    <row r="102" spans="1:5" x14ac:dyDescent="0.25">
      <c r="A102" s="7">
        <v>1</v>
      </c>
      <c r="B102" s="7">
        <v>168</v>
      </c>
      <c r="C102" s="7">
        <v>107</v>
      </c>
      <c r="D102" s="8">
        <v>82178.16</v>
      </c>
      <c r="E102" s="9">
        <v>1</v>
      </c>
    </row>
    <row r="103" spans="1:5" x14ac:dyDescent="0.25">
      <c r="A103" s="7">
        <v>1</v>
      </c>
      <c r="B103" s="7">
        <v>169</v>
      </c>
      <c r="C103" s="7">
        <v>107</v>
      </c>
      <c r="D103" s="8">
        <v>10482.7</v>
      </c>
      <c r="E103" s="9">
        <v>1</v>
      </c>
    </row>
    <row r="104" spans="1:5" x14ac:dyDescent="0.25">
      <c r="A104" s="7">
        <v>1</v>
      </c>
      <c r="B104" s="7">
        <v>170</v>
      </c>
      <c r="C104" s="7">
        <v>107</v>
      </c>
      <c r="D104" s="8">
        <v>15876.99</v>
      </c>
      <c r="E104" s="9">
        <v>1</v>
      </c>
    </row>
    <row r="105" spans="1:5" x14ac:dyDescent="0.25">
      <c r="A105" s="7">
        <v>1</v>
      </c>
      <c r="B105" s="7">
        <v>171</v>
      </c>
      <c r="C105" s="7">
        <v>107</v>
      </c>
      <c r="D105" s="8">
        <v>26532.23</v>
      </c>
      <c r="E105" s="9">
        <v>1</v>
      </c>
    </row>
    <row r="106" spans="1:5" x14ac:dyDescent="0.25">
      <c r="A106" s="7">
        <v>1</v>
      </c>
      <c r="B106" s="7">
        <v>172</v>
      </c>
      <c r="C106" s="7">
        <v>107</v>
      </c>
      <c r="D106" s="8">
        <v>89584.34</v>
      </c>
      <c r="E106" s="9">
        <v>1</v>
      </c>
    </row>
    <row r="107" spans="1:5" x14ac:dyDescent="0.25">
      <c r="A107" s="7">
        <v>1</v>
      </c>
      <c r="B107" s="7">
        <v>173</v>
      </c>
      <c r="C107" s="7">
        <v>107</v>
      </c>
      <c r="D107" s="8">
        <v>360244.04</v>
      </c>
      <c r="E107" s="9">
        <v>1</v>
      </c>
    </row>
    <row r="108" spans="1:5" x14ac:dyDescent="0.25">
      <c r="A108" s="7">
        <v>1</v>
      </c>
      <c r="B108" s="7">
        <v>174</v>
      </c>
      <c r="C108" s="7">
        <v>145</v>
      </c>
      <c r="D108" s="8">
        <v>22860.05</v>
      </c>
      <c r="E108" s="9">
        <v>1</v>
      </c>
    </row>
    <row r="109" spans="1:5" x14ac:dyDescent="0.25">
      <c r="A109" s="7">
        <v>1</v>
      </c>
      <c r="B109" s="7">
        <v>176</v>
      </c>
      <c r="C109" s="7">
        <v>107</v>
      </c>
      <c r="D109" s="8">
        <v>21296.24</v>
      </c>
      <c r="E109" s="9">
        <v>1</v>
      </c>
    </row>
    <row r="110" spans="1:5" x14ac:dyDescent="0.25">
      <c r="A110" s="7">
        <v>1</v>
      </c>
      <c r="B110" s="7">
        <v>177</v>
      </c>
      <c r="C110" s="7">
        <v>107</v>
      </c>
      <c r="D110" s="8">
        <v>67771.51</v>
      </c>
      <c r="E110" s="9">
        <v>1</v>
      </c>
    </row>
    <row r="111" spans="1:5" x14ac:dyDescent="0.25">
      <c r="A111" s="7">
        <v>1</v>
      </c>
      <c r="B111" s="7">
        <v>178</v>
      </c>
      <c r="C111" s="7">
        <v>107</v>
      </c>
      <c r="D111" s="8">
        <v>20263.41</v>
      </c>
      <c r="E111" s="9">
        <v>1</v>
      </c>
    </row>
    <row r="112" spans="1:5" x14ac:dyDescent="0.25">
      <c r="A112" s="7">
        <v>1</v>
      </c>
      <c r="B112" s="7">
        <v>179</v>
      </c>
      <c r="C112" s="7">
        <v>107</v>
      </c>
      <c r="D112" s="8">
        <v>62004.43</v>
      </c>
      <c r="E112" s="9">
        <v>1</v>
      </c>
    </row>
    <row r="113" spans="1:5" x14ac:dyDescent="0.25">
      <c r="A113" s="7">
        <v>1</v>
      </c>
      <c r="B113" s="7">
        <v>180</v>
      </c>
      <c r="C113" s="7">
        <v>107</v>
      </c>
      <c r="D113" s="8">
        <v>8719.69</v>
      </c>
      <c r="E113" s="9">
        <v>1</v>
      </c>
    </row>
    <row r="114" spans="1:5" x14ac:dyDescent="0.25">
      <c r="A114" s="7">
        <v>1</v>
      </c>
      <c r="B114" s="7">
        <v>181</v>
      </c>
      <c r="C114" s="7">
        <v>107</v>
      </c>
      <c r="D114" s="8">
        <v>24666.02</v>
      </c>
      <c r="E114" s="9">
        <v>1</v>
      </c>
    </row>
    <row r="115" spans="1:5" x14ac:dyDescent="0.25">
      <c r="A115" s="7">
        <v>1</v>
      </c>
      <c r="B115" s="7">
        <v>182</v>
      </c>
      <c r="C115" s="7">
        <v>107</v>
      </c>
      <c r="D115" s="8">
        <v>10560.75</v>
      </c>
      <c r="E115" s="9">
        <v>1</v>
      </c>
    </row>
    <row r="116" spans="1:5" x14ac:dyDescent="0.25">
      <c r="A116" s="7">
        <v>1</v>
      </c>
      <c r="B116" s="7">
        <v>183</v>
      </c>
      <c r="C116" s="7">
        <v>107</v>
      </c>
      <c r="D116" s="8">
        <v>29872.93</v>
      </c>
      <c r="E116" s="9">
        <v>1</v>
      </c>
    </row>
    <row r="117" spans="1:5" x14ac:dyDescent="0.25">
      <c r="A117" s="7">
        <v>1</v>
      </c>
      <c r="B117" s="7">
        <v>185</v>
      </c>
      <c r="C117" s="7">
        <v>145</v>
      </c>
      <c r="D117" s="8">
        <v>41734.73</v>
      </c>
      <c r="E117" s="9">
        <v>1</v>
      </c>
    </row>
    <row r="118" spans="1:5" x14ac:dyDescent="0.25">
      <c r="A118" s="7">
        <v>1</v>
      </c>
      <c r="B118" s="7">
        <v>193</v>
      </c>
      <c r="C118" s="7">
        <v>107</v>
      </c>
      <c r="D118" s="8">
        <v>282914.69</v>
      </c>
      <c r="E118" s="9">
        <v>1</v>
      </c>
    </row>
    <row r="119" spans="1:5" x14ac:dyDescent="0.25">
      <c r="A119" s="7">
        <v>1</v>
      </c>
      <c r="B119" s="7">
        <v>194</v>
      </c>
      <c r="C119" s="7">
        <v>176</v>
      </c>
      <c r="D119" s="8">
        <v>16174.78</v>
      </c>
      <c r="E119" s="9">
        <v>1</v>
      </c>
    </row>
    <row r="120" spans="1:5" x14ac:dyDescent="0.25">
      <c r="A120" s="7">
        <v>1</v>
      </c>
      <c r="B120" s="7">
        <v>195</v>
      </c>
      <c r="C120" s="7">
        <v>107</v>
      </c>
      <c r="D120" s="8">
        <v>8953.11</v>
      </c>
      <c r="E120" s="9">
        <v>1</v>
      </c>
    </row>
    <row r="121" spans="1:5" x14ac:dyDescent="0.25">
      <c r="A121" s="7">
        <v>1</v>
      </c>
      <c r="B121" s="7">
        <v>196</v>
      </c>
      <c r="C121" s="7">
        <v>902</v>
      </c>
      <c r="D121" s="8">
        <v>14962.54</v>
      </c>
      <c r="E121" s="9">
        <v>1</v>
      </c>
    </row>
    <row r="122" spans="1:5" x14ac:dyDescent="0.25">
      <c r="A122" s="7">
        <v>1</v>
      </c>
      <c r="B122" s="7">
        <v>197</v>
      </c>
      <c r="C122" s="7">
        <v>902</v>
      </c>
      <c r="D122" s="8">
        <v>50522.63</v>
      </c>
      <c r="E122" s="9">
        <v>1</v>
      </c>
    </row>
    <row r="123" spans="1:5" x14ac:dyDescent="0.25">
      <c r="A123" s="7">
        <v>1</v>
      </c>
      <c r="B123" s="7">
        <v>198</v>
      </c>
      <c r="C123" s="7">
        <v>107</v>
      </c>
      <c r="D123" s="8">
        <v>375927.45</v>
      </c>
      <c r="E123" s="9">
        <v>1</v>
      </c>
    </row>
    <row r="124" spans="1:5" x14ac:dyDescent="0.25">
      <c r="A124" s="7">
        <v>1</v>
      </c>
      <c r="B124" s="7">
        <v>199</v>
      </c>
      <c r="C124" s="7">
        <v>107</v>
      </c>
      <c r="D124" s="8">
        <v>12469.45</v>
      </c>
      <c r="E124" s="9">
        <v>1</v>
      </c>
    </row>
    <row r="125" spans="1:5" x14ac:dyDescent="0.25">
      <c r="A125" s="7">
        <v>1</v>
      </c>
      <c r="B125" s="7">
        <v>200</v>
      </c>
      <c r="C125" s="7">
        <v>107</v>
      </c>
      <c r="D125" s="8">
        <v>20836.89</v>
      </c>
      <c r="E125" s="9">
        <v>1</v>
      </c>
    </row>
    <row r="126" spans="1:5" x14ac:dyDescent="0.25">
      <c r="A126" s="7">
        <v>1</v>
      </c>
      <c r="B126" s="7">
        <v>201</v>
      </c>
      <c r="C126" s="7">
        <v>107</v>
      </c>
      <c r="D126" s="8">
        <v>70354.29</v>
      </c>
      <c r="E126" s="9">
        <v>1</v>
      </c>
    </row>
    <row r="127" spans="1:5" x14ac:dyDescent="0.25">
      <c r="A127" s="7">
        <v>1</v>
      </c>
      <c r="B127" s="7">
        <v>204</v>
      </c>
      <c r="C127" s="7">
        <v>107</v>
      </c>
      <c r="D127" s="8">
        <v>22467.14</v>
      </c>
      <c r="E127" s="9">
        <v>1</v>
      </c>
    </row>
    <row r="128" spans="1:5" x14ac:dyDescent="0.25">
      <c r="A128" s="7">
        <v>1</v>
      </c>
      <c r="B128" s="7">
        <v>205</v>
      </c>
      <c r="C128" s="7">
        <v>107</v>
      </c>
      <c r="D128" s="8">
        <v>75857.82</v>
      </c>
      <c r="E128" s="9">
        <v>1</v>
      </c>
    </row>
    <row r="129" spans="1:5" x14ac:dyDescent="0.25">
      <c r="A129" s="7">
        <v>1</v>
      </c>
      <c r="B129" s="7">
        <v>208</v>
      </c>
      <c r="C129" s="7">
        <v>107</v>
      </c>
      <c r="D129" s="8">
        <v>18721.9</v>
      </c>
      <c r="E129" s="9">
        <v>1</v>
      </c>
    </row>
    <row r="130" spans="1:5" x14ac:dyDescent="0.25">
      <c r="A130" s="7">
        <v>1</v>
      </c>
      <c r="B130" s="7">
        <v>209</v>
      </c>
      <c r="C130" s="7">
        <v>107</v>
      </c>
      <c r="D130" s="8">
        <v>63214.43</v>
      </c>
      <c r="E130" s="9">
        <v>1</v>
      </c>
    </row>
    <row r="131" spans="1:5" x14ac:dyDescent="0.25">
      <c r="A131" s="7">
        <v>1</v>
      </c>
      <c r="B131" s="7">
        <v>211</v>
      </c>
      <c r="C131" s="7">
        <v>102</v>
      </c>
      <c r="D131" s="8">
        <v>29056.5</v>
      </c>
      <c r="E131" s="9">
        <v>1</v>
      </c>
    </row>
    <row r="132" spans="1:5" x14ac:dyDescent="0.25">
      <c r="A132" s="7">
        <v>1</v>
      </c>
      <c r="B132" s="7">
        <v>216</v>
      </c>
      <c r="C132" s="7">
        <v>103</v>
      </c>
      <c r="D132" s="8">
        <v>70.65</v>
      </c>
      <c r="E132" s="9">
        <v>1</v>
      </c>
    </row>
    <row r="133" spans="1:5" x14ac:dyDescent="0.25">
      <c r="A133" s="7">
        <v>1</v>
      </c>
      <c r="B133" s="7">
        <v>217</v>
      </c>
      <c r="C133" s="7">
        <v>119</v>
      </c>
      <c r="D133" s="8">
        <v>3019.91</v>
      </c>
      <c r="E133" s="9">
        <v>1</v>
      </c>
    </row>
    <row r="134" spans="1:5" x14ac:dyDescent="0.25">
      <c r="A134" s="7">
        <v>1</v>
      </c>
      <c r="B134" s="7">
        <v>218</v>
      </c>
      <c r="C134" s="7">
        <v>132</v>
      </c>
      <c r="D134" s="8">
        <v>19.15</v>
      </c>
      <c r="E134" s="9">
        <v>3</v>
      </c>
    </row>
    <row r="135" spans="1:5" x14ac:dyDescent="0.25">
      <c r="A135" s="7">
        <v>1</v>
      </c>
      <c r="B135" s="7">
        <v>219</v>
      </c>
      <c r="C135" s="7">
        <v>119</v>
      </c>
      <c r="D135" s="8">
        <v>5142.37</v>
      </c>
      <c r="E135" s="9">
        <v>1</v>
      </c>
    </row>
    <row r="136" spans="1:5" x14ac:dyDescent="0.25">
      <c r="A136" s="7">
        <v>1</v>
      </c>
      <c r="B136" s="7">
        <v>220</v>
      </c>
      <c r="C136" s="7">
        <v>133</v>
      </c>
      <c r="D136" s="8">
        <v>641.2</v>
      </c>
      <c r="E136" s="9">
        <v>3</v>
      </c>
    </row>
    <row r="137" spans="1:5" x14ac:dyDescent="0.25">
      <c r="A137" s="7">
        <v>1</v>
      </c>
      <c r="B137" s="7">
        <v>221</v>
      </c>
      <c r="C137" s="7">
        <v>133</v>
      </c>
      <c r="D137" s="8">
        <v>67.23</v>
      </c>
      <c r="E137" s="9">
        <v>3</v>
      </c>
    </row>
    <row r="138" spans="1:5" x14ac:dyDescent="0.25">
      <c r="A138" s="7">
        <v>1</v>
      </c>
      <c r="B138" s="7">
        <v>222</v>
      </c>
      <c r="C138" s="7">
        <v>133</v>
      </c>
      <c r="D138" s="8">
        <v>420.19</v>
      </c>
      <c r="E138" s="9">
        <v>3</v>
      </c>
    </row>
    <row r="139" spans="1:5" x14ac:dyDescent="0.25">
      <c r="A139" s="7">
        <v>1</v>
      </c>
      <c r="B139" s="7">
        <v>223</v>
      </c>
      <c r="C139" s="7">
        <v>180</v>
      </c>
      <c r="D139" s="8">
        <v>85818.13</v>
      </c>
      <c r="E139" s="9">
        <v>1</v>
      </c>
    </row>
    <row r="140" spans="1:5" x14ac:dyDescent="0.25">
      <c r="A140" s="7">
        <v>1</v>
      </c>
      <c r="B140" s="7">
        <v>224</v>
      </c>
      <c r="C140" s="7">
        <v>180</v>
      </c>
      <c r="D140" s="8">
        <v>252672.51</v>
      </c>
      <c r="E140" s="9">
        <v>1</v>
      </c>
    </row>
    <row r="141" spans="1:5" x14ac:dyDescent="0.25">
      <c r="A141" s="7">
        <v>1</v>
      </c>
      <c r="B141" s="7">
        <v>225</v>
      </c>
      <c r="C141" s="7">
        <v>132</v>
      </c>
      <c r="D141" s="8">
        <v>73.74</v>
      </c>
      <c r="E141" s="9">
        <v>3</v>
      </c>
    </row>
    <row r="142" spans="1:5" x14ac:dyDescent="0.25">
      <c r="A142" s="7">
        <v>1</v>
      </c>
      <c r="B142" s="7">
        <v>226</v>
      </c>
      <c r="C142" s="7">
        <v>180</v>
      </c>
      <c r="D142" s="8">
        <v>41524.89</v>
      </c>
      <c r="E142" s="9">
        <v>1</v>
      </c>
    </row>
    <row r="143" spans="1:5" x14ac:dyDescent="0.25">
      <c r="A143" s="7">
        <v>1</v>
      </c>
      <c r="B143" s="7">
        <v>227</v>
      </c>
      <c r="C143" s="7">
        <v>132</v>
      </c>
      <c r="D143" s="8">
        <v>111.53</v>
      </c>
      <c r="E143" s="9">
        <v>3</v>
      </c>
    </row>
    <row r="144" spans="1:5" x14ac:dyDescent="0.25">
      <c r="A144" s="7">
        <v>1</v>
      </c>
      <c r="B144" s="7">
        <v>228</v>
      </c>
      <c r="C144" s="7">
        <v>169</v>
      </c>
      <c r="D144" s="8">
        <v>167.62</v>
      </c>
      <c r="E144" s="9">
        <v>3</v>
      </c>
    </row>
    <row r="145" spans="1:5" x14ac:dyDescent="0.25">
      <c r="A145" s="7">
        <v>1</v>
      </c>
      <c r="B145" s="7">
        <v>229</v>
      </c>
      <c r="C145" s="7">
        <v>169</v>
      </c>
      <c r="D145" s="8">
        <v>103.94</v>
      </c>
      <c r="E145" s="9">
        <v>3</v>
      </c>
    </row>
    <row r="146" spans="1:5" x14ac:dyDescent="0.25">
      <c r="A146" s="7">
        <v>1</v>
      </c>
      <c r="B146" s="7">
        <v>230</v>
      </c>
      <c r="C146" s="7">
        <v>180</v>
      </c>
      <c r="D146" s="8">
        <v>30888</v>
      </c>
      <c r="E146" s="9">
        <v>1</v>
      </c>
    </row>
    <row r="147" spans="1:5" x14ac:dyDescent="0.25">
      <c r="A147" s="7">
        <v>1</v>
      </c>
      <c r="B147" s="7">
        <v>234</v>
      </c>
      <c r="C147" s="7">
        <v>166</v>
      </c>
      <c r="D147" s="8">
        <v>9862.25</v>
      </c>
      <c r="E147" s="9">
        <v>1</v>
      </c>
    </row>
    <row r="148" spans="1:5" x14ac:dyDescent="0.25">
      <c r="A148" s="7">
        <v>1</v>
      </c>
      <c r="B148" s="7">
        <v>235</v>
      </c>
      <c r="C148" s="7">
        <v>134</v>
      </c>
      <c r="D148" s="8">
        <v>0.34</v>
      </c>
      <c r="E148" s="9">
        <v>3</v>
      </c>
    </row>
    <row r="149" spans="1:5" x14ac:dyDescent="0.25">
      <c r="A149" s="7">
        <v>1</v>
      </c>
      <c r="B149" s="7">
        <v>237</v>
      </c>
      <c r="C149" s="7">
        <v>139</v>
      </c>
      <c r="D149" s="8">
        <v>41093.75</v>
      </c>
      <c r="E149" s="9">
        <v>1</v>
      </c>
    </row>
    <row r="150" spans="1:5" x14ac:dyDescent="0.25">
      <c r="A150" s="7">
        <v>1</v>
      </c>
      <c r="B150" s="7">
        <v>239</v>
      </c>
      <c r="C150" s="7">
        <v>139</v>
      </c>
      <c r="D150" s="8">
        <v>133214.51</v>
      </c>
      <c r="E150" s="9">
        <v>1</v>
      </c>
    </row>
    <row r="151" spans="1:5" x14ac:dyDescent="0.25">
      <c r="A151" s="7">
        <v>1</v>
      </c>
      <c r="B151" s="7">
        <v>240</v>
      </c>
      <c r="C151" s="7">
        <v>902</v>
      </c>
      <c r="D151" s="8">
        <v>90458.69</v>
      </c>
      <c r="E151" s="9">
        <v>1</v>
      </c>
    </row>
    <row r="152" spans="1:5" x14ac:dyDescent="0.25">
      <c r="A152" s="7">
        <v>1</v>
      </c>
      <c r="B152" s="7">
        <v>241</v>
      </c>
      <c r="C152" s="7">
        <v>140</v>
      </c>
      <c r="D152" s="8">
        <v>18434.06</v>
      </c>
      <c r="E152" s="9">
        <v>1</v>
      </c>
    </row>
    <row r="153" spans="1:5" x14ac:dyDescent="0.25">
      <c r="A153" s="7">
        <v>1</v>
      </c>
      <c r="B153" s="7">
        <v>242</v>
      </c>
      <c r="C153" s="7">
        <v>107</v>
      </c>
      <c r="D153" s="8">
        <v>28083.56</v>
      </c>
      <c r="E153" s="9">
        <v>1</v>
      </c>
    </row>
    <row r="154" spans="1:5" x14ac:dyDescent="0.25">
      <c r="A154" s="7">
        <v>1</v>
      </c>
      <c r="B154" s="7">
        <v>243</v>
      </c>
      <c r="C154" s="7">
        <v>107</v>
      </c>
      <c r="D154" s="8">
        <v>94821.63</v>
      </c>
      <c r="E154" s="9">
        <v>1</v>
      </c>
    </row>
    <row r="155" spans="1:5" x14ac:dyDescent="0.25">
      <c r="A155" s="7">
        <v>1</v>
      </c>
      <c r="B155" s="7">
        <v>244</v>
      </c>
      <c r="C155" s="7">
        <v>107</v>
      </c>
      <c r="D155" s="8">
        <v>69618.46</v>
      </c>
      <c r="E155" s="9">
        <v>1</v>
      </c>
    </row>
    <row r="156" spans="1:5" x14ac:dyDescent="0.25">
      <c r="A156" s="7">
        <v>1</v>
      </c>
      <c r="B156" s="7">
        <v>245</v>
      </c>
      <c r="C156" s="7">
        <v>144</v>
      </c>
      <c r="D156" s="8">
        <v>4038.58</v>
      </c>
      <c r="E156" s="9">
        <v>1</v>
      </c>
    </row>
    <row r="157" spans="1:5" x14ac:dyDescent="0.25">
      <c r="A157" s="7">
        <v>1</v>
      </c>
      <c r="B157" s="7">
        <v>246</v>
      </c>
      <c r="C157" s="7">
        <v>144</v>
      </c>
      <c r="D157" s="8">
        <v>4744.61</v>
      </c>
      <c r="E157" s="9">
        <v>1</v>
      </c>
    </row>
    <row r="158" spans="1:5" x14ac:dyDescent="0.25">
      <c r="A158" s="7">
        <v>1</v>
      </c>
      <c r="B158" s="7">
        <v>247</v>
      </c>
      <c r="C158" s="7">
        <v>107</v>
      </c>
      <c r="D158" s="8">
        <v>69618.46</v>
      </c>
      <c r="E158" s="9">
        <v>1</v>
      </c>
    </row>
    <row r="159" spans="1:5" x14ac:dyDescent="0.25">
      <c r="A159" s="7">
        <v>1</v>
      </c>
      <c r="B159" s="7">
        <v>248</v>
      </c>
      <c r="C159" s="7">
        <v>144</v>
      </c>
      <c r="D159" s="8">
        <v>6987.26</v>
      </c>
      <c r="E159" s="9">
        <v>1</v>
      </c>
    </row>
    <row r="160" spans="1:5" x14ac:dyDescent="0.25">
      <c r="A160" s="7">
        <v>1</v>
      </c>
      <c r="B160" s="7">
        <v>249</v>
      </c>
      <c r="C160" s="7">
        <v>144</v>
      </c>
      <c r="D160" s="8">
        <v>8608.7</v>
      </c>
      <c r="E160" s="9">
        <v>1</v>
      </c>
    </row>
    <row r="161" spans="1:5" x14ac:dyDescent="0.25">
      <c r="A161" s="7">
        <v>1</v>
      </c>
      <c r="B161" s="7">
        <v>250</v>
      </c>
      <c r="C161" s="7">
        <v>144</v>
      </c>
      <c r="D161" s="8">
        <v>12322.85</v>
      </c>
      <c r="E161" s="9">
        <v>1</v>
      </c>
    </row>
    <row r="162" spans="1:5" x14ac:dyDescent="0.25">
      <c r="A162" s="7">
        <v>1</v>
      </c>
      <c r="B162" s="7">
        <v>253</v>
      </c>
      <c r="C162" s="7">
        <v>107</v>
      </c>
      <c r="D162" s="8">
        <v>371023.2</v>
      </c>
      <c r="E162" s="9">
        <v>1</v>
      </c>
    </row>
    <row r="163" spans="1:5" x14ac:dyDescent="0.25">
      <c r="A163" s="7">
        <v>1</v>
      </c>
      <c r="B163" s="7">
        <v>254</v>
      </c>
      <c r="C163" s="7">
        <v>107</v>
      </c>
      <c r="D163" s="8">
        <v>2320.34</v>
      </c>
      <c r="E163" s="9">
        <v>1</v>
      </c>
    </row>
    <row r="164" spans="1:5" x14ac:dyDescent="0.25">
      <c r="A164" s="7">
        <v>1</v>
      </c>
      <c r="B164" s="7">
        <v>255</v>
      </c>
      <c r="C164" s="7">
        <v>107</v>
      </c>
      <c r="D164" s="8">
        <v>6742.96</v>
      </c>
      <c r="E164" s="9">
        <v>1</v>
      </c>
    </row>
    <row r="165" spans="1:5" x14ac:dyDescent="0.25">
      <c r="A165" s="7">
        <v>1</v>
      </c>
      <c r="B165" s="7">
        <v>256</v>
      </c>
      <c r="C165" s="7">
        <v>140</v>
      </c>
      <c r="D165" s="8">
        <v>18434.06</v>
      </c>
      <c r="E165" s="9">
        <v>1</v>
      </c>
    </row>
    <row r="166" spans="1:5" x14ac:dyDescent="0.25">
      <c r="A166" s="7">
        <v>1</v>
      </c>
      <c r="B166" s="7">
        <v>257</v>
      </c>
      <c r="C166" s="7">
        <v>140</v>
      </c>
      <c r="D166" s="8">
        <v>18434.06</v>
      </c>
      <c r="E166" s="9">
        <v>1</v>
      </c>
    </row>
    <row r="167" spans="1:5" x14ac:dyDescent="0.25">
      <c r="A167" s="7">
        <v>1</v>
      </c>
      <c r="B167" s="7">
        <v>258</v>
      </c>
      <c r="C167" s="7">
        <v>107</v>
      </c>
      <c r="D167" s="8">
        <v>11364.77</v>
      </c>
      <c r="E167" s="9">
        <v>1</v>
      </c>
    </row>
    <row r="168" spans="1:5" x14ac:dyDescent="0.25">
      <c r="A168" s="7">
        <v>1</v>
      </c>
      <c r="B168" s="7">
        <v>259</v>
      </c>
      <c r="C168" s="7">
        <v>107</v>
      </c>
      <c r="D168" s="8">
        <v>18992.46</v>
      </c>
      <c r="E168" s="9">
        <v>1</v>
      </c>
    </row>
    <row r="169" spans="1:5" x14ac:dyDescent="0.25">
      <c r="A169" s="7">
        <v>1</v>
      </c>
      <c r="B169" s="7">
        <v>261</v>
      </c>
      <c r="C169" s="7">
        <v>107</v>
      </c>
      <c r="D169" s="8">
        <v>28347.05</v>
      </c>
      <c r="E169" s="9">
        <v>1</v>
      </c>
    </row>
    <row r="170" spans="1:5" x14ac:dyDescent="0.25">
      <c r="A170" s="7">
        <v>1</v>
      </c>
      <c r="B170" s="7">
        <v>264</v>
      </c>
      <c r="C170" s="7">
        <v>119</v>
      </c>
      <c r="D170" s="8">
        <v>9326.01</v>
      </c>
      <c r="E170" s="9">
        <v>1</v>
      </c>
    </row>
    <row r="171" spans="1:5" x14ac:dyDescent="0.25">
      <c r="A171" s="7">
        <v>1</v>
      </c>
      <c r="B171" s="7">
        <v>265</v>
      </c>
      <c r="C171" s="7">
        <v>119</v>
      </c>
      <c r="D171" s="8">
        <v>32424.79</v>
      </c>
      <c r="E171" s="9">
        <v>1</v>
      </c>
    </row>
    <row r="172" spans="1:5" x14ac:dyDescent="0.25">
      <c r="A172" s="7">
        <v>1</v>
      </c>
      <c r="B172" s="7">
        <v>266</v>
      </c>
      <c r="C172" s="7">
        <v>119</v>
      </c>
      <c r="D172" s="8">
        <v>94566.53</v>
      </c>
      <c r="E172" s="9">
        <v>1</v>
      </c>
    </row>
    <row r="173" spans="1:5" x14ac:dyDescent="0.25">
      <c r="A173" s="7">
        <v>1</v>
      </c>
      <c r="B173" s="7">
        <v>267</v>
      </c>
      <c r="C173" s="7">
        <v>119</v>
      </c>
      <c r="D173" s="8">
        <v>201193.08</v>
      </c>
      <c r="E173" s="9">
        <v>1</v>
      </c>
    </row>
    <row r="174" spans="1:5" x14ac:dyDescent="0.25">
      <c r="A174" s="7">
        <v>1</v>
      </c>
      <c r="B174" s="7">
        <v>268</v>
      </c>
      <c r="C174" s="7">
        <v>902</v>
      </c>
      <c r="D174" s="8">
        <v>12932.4</v>
      </c>
      <c r="E174" s="9">
        <v>1</v>
      </c>
    </row>
    <row r="175" spans="1:5" x14ac:dyDescent="0.25">
      <c r="A175" s="7">
        <v>1</v>
      </c>
      <c r="B175" s="7">
        <v>269</v>
      </c>
      <c r="C175" s="7">
        <v>166</v>
      </c>
      <c r="D175" s="8">
        <v>9346.46</v>
      </c>
      <c r="E175" s="9">
        <v>1</v>
      </c>
    </row>
    <row r="176" spans="1:5" x14ac:dyDescent="0.25">
      <c r="A176" s="7">
        <v>1</v>
      </c>
      <c r="B176" s="7">
        <v>272</v>
      </c>
      <c r="C176" s="7">
        <v>902</v>
      </c>
      <c r="D176" s="8">
        <v>5209.68</v>
      </c>
      <c r="E176" s="9">
        <v>1</v>
      </c>
    </row>
    <row r="177" spans="1:5" x14ac:dyDescent="0.25">
      <c r="A177" s="7">
        <v>1</v>
      </c>
      <c r="B177" s="7">
        <v>274</v>
      </c>
      <c r="C177" s="7">
        <v>139</v>
      </c>
      <c r="D177" s="8">
        <v>9132.99</v>
      </c>
      <c r="E177" s="9">
        <v>1</v>
      </c>
    </row>
    <row r="178" spans="1:5" x14ac:dyDescent="0.25">
      <c r="A178" s="7">
        <v>1</v>
      </c>
      <c r="B178" s="7">
        <v>275</v>
      </c>
      <c r="C178" s="7">
        <v>132</v>
      </c>
      <c r="D178" s="8">
        <v>29.28</v>
      </c>
      <c r="E178" s="9">
        <v>3</v>
      </c>
    </row>
    <row r="179" spans="1:5" x14ac:dyDescent="0.25">
      <c r="A179" s="7">
        <v>1</v>
      </c>
      <c r="B179" s="7">
        <v>276</v>
      </c>
      <c r="C179" s="7">
        <v>165</v>
      </c>
      <c r="D179" s="8">
        <v>1150.9</v>
      </c>
      <c r="E179" s="9">
        <v>1</v>
      </c>
    </row>
    <row r="180" spans="1:5" x14ac:dyDescent="0.25">
      <c r="A180" s="7">
        <v>1</v>
      </c>
      <c r="B180" s="7">
        <v>277</v>
      </c>
      <c r="C180" s="7">
        <v>165</v>
      </c>
      <c r="D180" s="8">
        <v>1510.15</v>
      </c>
      <c r="E180" s="9">
        <v>1</v>
      </c>
    </row>
    <row r="181" spans="1:5" x14ac:dyDescent="0.25">
      <c r="A181" s="7">
        <v>1</v>
      </c>
      <c r="B181" s="7">
        <v>278</v>
      </c>
      <c r="C181" s="7">
        <v>139</v>
      </c>
      <c r="D181" s="8">
        <v>14132.06</v>
      </c>
      <c r="E181" s="9">
        <v>1</v>
      </c>
    </row>
    <row r="182" spans="1:5" x14ac:dyDescent="0.25">
      <c r="A182" s="7">
        <v>1</v>
      </c>
      <c r="B182" s="7">
        <v>279</v>
      </c>
      <c r="C182" s="7">
        <v>107</v>
      </c>
      <c r="D182" s="8">
        <v>12424.92</v>
      </c>
      <c r="E182" s="9">
        <v>1</v>
      </c>
    </row>
    <row r="183" spans="1:5" x14ac:dyDescent="0.25">
      <c r="A183" s="7">
        <v>1</v>
      </c>
      <c r="B183" s="7">
        <v>280</v>
      </c>
      <c r="C183" s="7">
        <v>107</v>
      </c>
      <c r="D183" s="8">
        <v>38021.38</v>
      </c>
      <c r="E183" s="9">
        <v>1</v>
      </c>
    </row>
    <row r="184" spans="1:5" x14ac:dyDescent="0.25">
      <c r="A184" s="7">
        <v>1</v>
      </c>
      <c r="B184" s="7">
        <v>281</v>
      </c>
      <c r="C184" s="7">
        <v>107</v>
      </c>
      <c r="D184" s="8">
        <v>81542.45</v>
      </c>
      <c r="E184" s="9">
        <v>1</v>
      </c>
    </row>
    <row r="185" spans="1:5" x14ac:dyDescent="0.25">
      <c r="A185" s="7">
        <v>1</v>
      </c>
      <c r="B185" s="7">
        <v>282</v>
      </c>
      <c r="C185" s="7">
        <v>107</v>
      </c>
      <c r="D185" s="8">
        <v>135904.86</v>
      </c>
      <c r="E185" s="9">
        <v>1</v>
      </c>
    </row>
    <row r="186" spans="1:5" x14ac:dyDescent="0.25">
      <c r="A186" s="7">
        <v>1</v>
      </c>
      <c r="B186" s="7">
        <v>283</v>
      </c>
      <c r="C186" s="7">
        <v>139</v>
      </c>
      <c r="D186" s="8">
        <v>52493.2</v>
      </c>
      <c r="E186" s="9">
        <v>1</v>
      </c>
    </row>
    <row r="187" spans="1:5" x14ac:dyDescent="0.25">
      <c r="A187" s="7">
        <v>1</v>
      </c>
      <c r="B187" s="7">
        <v>285</v>
      </c>
      <c r="C187" s="7">
        <v>139</v>
      </c>
      <c r="D187" s="8">
        <v>210288.16</v>
      </c>
      <c r="E187" s="9">
        <v>1</v>
      </c>
    </row>
    <row r="188" spans="1:5" x14ac:dyDescent="0.25">
      <c r="A188" s="7">
        <v>1</v>
      </c>
      <c r="B188" s="7">
        <v>286</v>
      </c>
      <c r="C188" s="7">
        <v>137</v>
      </c>
      <c r="D188" s="8">
        <v>27840.2</v>
      </c>
      <c r="E188" s="9">
        <v>1</v>
      </c>
    </row>
    <row r="189" spans="1:5" x14ac:dyDescent="0.25">
      <c r="A189" s="7">
        <v>1</v>
      </c>
      <c r="B189" s="7">
        <v>288</v>
      </c>
      <c r="C189" s="7">
        <v>107</v>
      </c>
      <c r="D189" s="8">
        <v>15567.77</v>
      </c>
      <c r="E189" s="9">
        <v>1</v>
      </c>
    </row>
    <row r="190" spans="1:5" x14ac:dyDescent="0.25">
      <c r="A190" s="7">
        <v>1</v>
      </c>
      <c r="B190" s="7">
        <v>289</v>
      </c>
      <c r="C190" s="7">
        <v>107</v>
      </c>
      <c r="D190" s="8">
        <v>26013.7</v>
      </c>
      <c r="E190" s="9">
        <v>1</v>
      </c>
    </row>
    <row r="191" spans="1:5" x14ac:dyDescent="0.25">
      <c r="A191" s="7">
        <v>1</v>
      </c>
      <c r="B191" s="7">
        <v>293</v>
      </c>
      <c r="C191" s="7">
        <v>152</v>
      </c>
      <c r="D191" s="8">
        <v>129044.48</v>
      </c>
      <c r="E191" s="9">
        <v>1</v>
      </c>
    </row>
    <row r="192" spans="1:5" x14ac:dyDescent="0.25">
      <c r="A192" s="7">
        <v>1</v>
      </c>
      <c r="B192" s="7">
        <v>297</v>
      </c>
      <c r="C192" s="7">
        <v>902</v>
      </c>
      <c r="D192" s="8">
        <v>7659.15</v>
      </c>
      <c r="E192" s="9">
        <v>1</v>
      </c>
    </row>
    <row r="193" spans="1:5" x14ac:dyDescent="0.25">
      <c r="A193" s="7">
        <v>1</v>
      </c>
      <c r="B193" s="7">
        <v>299</v>
      </c>
      <c r="C193" s="7">
        <v>139</v>
      </c>
      <c r="D193" s="8">
        <v>13478.75</v>
      </c>
      <c r="E193" s="9">
        <v>1</v>
      </c>
    </row>
    <row r="194" spans="1:5" x14ac:dyDescent="0.25">
      <c r="A194" s="7">
        <v>1</v>
      </c>
      <c r="B194" s="7">
        <v>300</v>
      </c>
      <c r="C194" s="7">
        <v>139</v>
      </c>
      <c r="D194" s="8">
        <v>20950.27</v>
      </c>
      <c r="E194" s="9">
        <v>1</v>
      </c>
    </row>
    <row r="195" spans="1:5" x14ac:dyDescent="0.25">
      <c r="A195" s="7">
        <v>1</v>
      </c>
      <c r="B195" s="7">
        <v>301</v>
      </c>
      <c r="C195" s="7">
        <v>140</v>
      </c>
      <c r="D195" s="8">
        <v>6333.6</v>
      </c>
      <c r="E195" s="9">
        <v>1</v>
      </c>
    </row>
    <row r="196" spans="1:5" x14ac:dyDescent="0.25">
      <c r="A196" s="7">
        <v>1</v>
      </c>
      <c r="B196" s="7">
        <v>302</v>
      </c>
      <c r="C196" s="7">
        <v>140</v>
      </c>
      <c r="D196" s="8">
        <v>6333.6</v>
      </c>
      <c r="E196" s="9">
        <v>1</v>
      </c>
    </row>
    <row r="197" spans="1:5" x14ac:dyDescent="0.25">
      <c r="A197" s="7">
        <v>1</v>
      </c>
      <c r="B197" s="7">
        <v>303</v>
      </c>
      <c r="C197" s="7">
        <v>139</v>
      </c>
      <c r="D197" s="8">
        <v>77904.9</v>
      </c>
      <c r="E197" s="9">
        <v>1</v>
      </c>
    </row>
    <row r="198" spans="1:5" x14ac:dyDescent="0.25">
      <c r="A198" s="7">
        <v>1</v>
      </c>
      <c r="B198" s="7">
        <v>304</v>
      </c>
      <c r="C198" s="7">
        <v>137</v>
      </c>
      <c r="D198" s="8">
        <v>25016.75</v>
      </c>
      <c r="E198" s="9">
        <v>1</v>
      </c>
    </row>
    <row r="199" spans="1:5" x14ac:dyDescent="0.25">
      <c r="A199" s="7">
        <v>1</v>
      </c>
      <c r="B199" s="7">
        <v>305</v>
      </c>
      <c r="C199" s="7">
        <v>137</v>
      </c>
      <c r="D199" s="8">
        <v>86608.7</v>
      </c>
      <c r="E199" s="9">
        <v>1</v>
      </c>
    </row>
    <row r="200" spans="1:5" x14ac:dyDescent="0.25">
      <c r="A200" s="7">
        <v>1</v>
      </c>
      <c r="B200" s="7">
        <v>306</v>
      </c>
      <c r="C200" s="7">
        <v>139</v>
      </c>
      <c r="D200" s="8">
        <v>312459.82</v>
      </c>
      <c r="E200" s="9">
        <v>1</v>
      </c>
    </row>
    <row r="201" spans="1:5" x14ac:dyDescent="0.25">
      <c r="A201" s="7">
        <v>1</v>
      </c>
      <c r="B201" s="7">
        <v>308</v>
      </c>
      <c r="C201" s="7">
        <v>166</v>
      </c>
      <c r="D201" s="8">
        <v>11526.65</v>
      </c>
      <c r="E201" s="9">
        <v>1</v>
      </c>
    </row>
    <row r="202" spans="1:5" x14ac:dyDescent="0.25">
      <c r="A202" s="7">
        <v>1</v>
      </c>
      <c r="B202" s="7">
        <v>309</v>
      </c>
      <c r="C202" s="7">
        <v>137</v>
      </c>
      <c r="D202" s="8">
        <v>13137.44</v>
      </c>
      <c r="E202" s="9">
        <v>1</v>
      </c>
    </row>
    <row r="203" spans="1:5" x14ac:dyDescent="0.25">
      <c r="A203" s="7">
        <v>1</v>
      </c>
      <c r="B203" s="7">
        <v>310</v>
      </c>
      <c r="C203" s="7">
        <v>139</v>
      </c>
      <c r="D203" s="8">
        <v>13478.75</v>
      </c>
      <c r="E203" s="9">
        <v>1</v>
      </c>
    </row>
    <row r="204" spans="1:5" x14ac:dyDescent="0.25">
      <c r="A204" s="7">
        <v>1</v>
      </c>
      <c r="B204" s="7">
        <v>311</v>
      </c>
      <c r="C204" s="7">
        <v>139</v>
      </c>
      <c r="D204" s="8">
        <v>20950.27</v>
      </c>
      <c r="E204" s="9">
        <v>1</v>
      </c>
    </row>
    <row r="205" spans="1:5" x14ac:dyDescent="0.25">
      <c r="A205" s="7">
        <v>1</v>
      </c>
      <c r="B205" s="7">
        <v>312</v>
      </c>
      <c r="C205" s="7">
        <v>165</v>
      </c>
      <c r="D205" s="8">
        <v>2270</v>
      </c>
      <c r="E205" s="9">
        <v>1</v>
      </c>
    </row>
    <row r="206" spans="1:5" x14ac:dyDescent="0.25">
      <c r="A206" s="7">
        <v>1</v>
      </c>
      <c r="B206" s="7">
        <v>313</v>
      </c>
      <c r="C206" s="7">
        <v>139</v>
      </c>
      <c r="D206" s="8">
        <v>77904.9</v>
      </c>
      <c r="E206" s="9">
        <v>1</v>
      </c>
    </row>
    <row r="207" spans="1:5" x14ac:dyDescent="0.25">
      <c r="A207" s="7">
        <v>1</v>
      </c>
      <c r="B207" s="7">
        <v>314</v>
      </c>
      <c r="C207" s="7">
        <v>139</v>
      </c>
      <c r="D207" s="8">
        <v>312459.82</v>
      </c>
      <c r="E207" s="9">
        <v>1</v>
      </c>
    </row>
    <row r="208" spans="1:5" x14ac:dyDescent="0.25">
      <c r="A208" s="7">
        <v>1</v>
      </c>
      <c r="B208" s="7">
        <v>315</v>
      </c>
      <c r="C208" s="7">
        <v>126</v>
      </c>
      <c r="D208" s="8">
        <v>15881.2</v>
      </c>
      <c r="E208" s="9">
        <v>1</v>
      </c>
    </row>
    <row r="209" spans="1:5" x14ac:dyDescent="0.25">
      <c r="A209" s="7">
        <v>1</v>
      </c>
      <c r="B209" s="7">
        <v>316</v>
      </c>
      <c r="C209" s="7">
        <v>136</v>
      </c>
      <c r="D209" s="8">
        <v>6.74</v>
      </c>
      <c r="E209" s="9">
        <v>2</v>
      </c>
    </row>
    <row r="210" spans="1:5" x14ac:dyDescent="0.25">
      <c r="A210" s="7">
        <v>1</v>
      </c>
      <c r="B210" s="7">
        <v>317</v>
      </c>
      <c r="C210" s="7">
        <v>136</v>
      </c>
      <c r="D210" s="8">
        <v>9.62</v>
      </c>
      <c r="E210" s="9">
        <v>2</v>
      </c>
    </row>
    <row r="211" spans="1:5" x14ac:dyDescent="0.25">
      <c r="A211" s="7">
        <v>1</v>
      </c>
      <c r="B211" s="7">
        <v>318</v>
      </c>
      <c r="C211" s="7">
        <v>136</v>
      </c>
      <c r="D211" s="8">
        <v>12.17</v>
      </c>
      <c r="E211" s="9">
        <v>2</v>
      </c>
    </row>
    <row r="212" spans="1:5" x14ac:dyDescent="0.25">
      <c r="A212" s="7">
        <v>1</v>
      </c>
      <c r="B212" s="7">
        <v>321</v>
      </c>
      <c r="C212" s="7">
        <v>152</v>
      </c>
      <c r="D212" s="8">
        <v>45697.52</v>
      </c>
      <c r="E212" s="9">
        <v>1</v>
      </c>
    </row>
    <row r="213" spans="1:5" x14ac:dyDescent="0.25">
      <c r="A213" s="7">
        <v>1</v>
      </c>
      <c r="B213" s="7">
        <v>322</v>
      </c>
      <c r="C213" s="7">
        <v>139</v>
      </c>
      <c r="D213" s="8">
        <v>13478.75</v>
      </c>
      <c r="E213" s="9">
        <v>1</v>
      </c>
    </row>
    <row r="214" spans="1:5" x14ac:dyDescent="0.25">
      <c r="A214" s="7">
        <v>1</v>
      </c>
      <c r="B214" s="7">
        <v>323</v>
      </c>
      <c r="C214" s="7">
        <v>152</v>
      </c>
      <c r="D214" s="8">
        <v>79781.63</v>
      </c>
      <c r="E214" s="9">
        <v>1</v>
      </c>
    </row>
    <row r="215" spans="1:5" x14ac:dyDescent="0.25">
      <c r="A215" s="7">
        <v>1</v>
      </c>
      <c r="B215" s="7">
        <v>324</v>
      </c>
      <c r="C215" s="7">
        <v>139</v>
      </c>
      <c r="D215" s="8">
        <v>20950.27</v>
      </c>
      <c r="E215" s="9">
        <v>1</v>
      </c>
    </row>
    <row r="216" spans="1:5" x14ac:dyDescent="0.25">
      <c r="A216" s="7">
        <v>1</v>
      </c>
      <c r="B216" s="7">
        <v>325</v>
      </c>
      <c r="C216" s="7">
        <v>134</v>
      </c>
      <c r="D216" s="8">
        <v>0.6</v>
      </c>
      <c r="E216" s="9">
        <v>3</v>
      </c>
    </row>
    <row r="217" spans="1:5" x14ac:dyDescent="0.25">
      <c r="A217" s="7">
        <v>1</v>
      </c>
      <c r="B217" s="7">
        <v>326</v>
      </c>
      <c r="C217" s="7">
        <v>139</v>
      </c>
      <c r="D217" s="8">
        <v>77904.9</v>
      </c>
      <c r="E217" s="9">
        <v>1</v>
      </c>
    </row>
    <row r="218" spans="1:5" x14ac:dyDescent="0.25">
      <c r="A218" s="7">
        <v>1</v>
      </c>
      <c r="B218" s="7">
        <v>327</v>
      </c>
      <c r="C218" s="7">
        <v>139</v>
      </c>
      <c r="D218" s="8">
        <v>312459.82</v>
      </c>
      <c r="E218" s="9">
        <v>1</v>
      </c>
    </row>
    <row r="219" spans="1:5" x14ac:dyDescent="0.25">
      <c r="A219" s="7">
        <v>1</v>
      </c>
      <c r="B219" s="7">
        <v>328</v>
      </c>
      <c r="C219" s="7">
        <v>107</v>
      </c>
      <c r="D219" s="8">
        <v>87834.9</v>
      </c>
      <c r="E219" s="9">
        <v>1</v>
      </c>
    </row>
    <row r="220" spans="1:5" x14ac:dyDescent="0.25">
      <c r="A220" s="7">
        <v>1</v>
      </c>
      <c r="B220" s="7">
        <v>330</v>
      </c>
      <c r="C220" s="7">
        <v>134</v>
      </c>
      <c r="D220" s="8">
        <v>0.62</v>
      </c>
      <c r="E220" s="9">
        <v>3</v>
      </c>
    </row>
    <row r="221" spans="1:5" x14ac:dyDescent="0.25">
      <c r="A221" s="7">
        <v>1</v>
      </c>
      <c r="B221" s="7">
        <v>334</v>
      </c>
      <c r="C221" s="7">
        <v>150</v>
      </c>
      <c r="D221" s="8">
        <v>93726.36</v>
      </c>
      <c r="E221" s="9">
        <v>1</v>
      </c>
    </row>
    <row r="222" spans="1:5" x14ac:dyDescent="0.25">
      <c r="A222" s="7">
        <v>1</v>
      </c>
      <c r="B222" s="7">
        <v>335</v>
      </c>
      <c r="C222" s="7">
        <v>107</v>
      </c>
      <c r="D222" s="8">
        <v>78513.45</v>
      </c>
      <c r="E222" s="9">
        <v>1</v>
      </c>
    </row>
    <row r="223" spans="1:5" x14ac:dyDescent="0.25">
      <c r="A223" s="7">
        <v>1</v>
      </c>
      <c r="B223" s="7">
        <v>336</v>
      </c>
      <c r="C223" s="7">
        <v>107</v>
      </c>
      <c r="D223" s="8">
        <v>38072.41</v>
      </c>
      <c r="E223" s="9">
        <v>1</v>
      </c>
    </row>
    <row r="224" spans="1:5" x14ac:dyDescent="0.25">
      <c r="A224" s="7">
        <v>1</v>
      </c>
      <c r="B224" s="7">
        <v>337</v>
      </c>
      <c r="C224" s="7">
        <v>902</v>
      </c>
      <c r="D224" s="8">
        <v>7658.7</v>
      </c>
      <c r="E224" s="9">
        <v>1</v>
      </c>
    </row>
    <row r="225" spans="1:5" x14ac:dyDescent="0.25">
      <c r="A225" s="7">
        <v>1</v>
      </c>
      <c r="B225" s="7">
        <v>338</v>
      </c>
      <c r="C225" s="7">
        <v>107</v>
      </c>
      <c r="D225" s="8">
        <v>130854.88</v>
      </c>
      <c r="E225" s="9">
        <v>1</v>
      </c>
    </row>
    <row r="226" spans="1:5" x14ac:dyDescent="0.25">
      <c r="A226" s="7">
        <v>1</v>
      </c>
      <c r="B226" s="7">
        <v>339</v>
      </c>
      <c r="C226" s="7">
        <v>139</v>
      </c>
      <c r="D226" s="8">
        <v>13478.75</v>
      </c>
      <c r="E226" s="9">
        <v>1</v>
      </c>
    </row>
    <row r="227" spans="1:5" x14ac:dyDescent="0.25">
      <c r="A227" s="7">
        <v>1</v>
      </c>
      <c r="B227" s="7">
        <v>340</v>
      </c>
      <c r="C227" s="7">
        <v>119</v>
      </c>
      <c r="D227" s="8">
        <v>26222.77</v>
      </c>
      <c r="E227" s="9">
        <v>1</v>
      </c>
    </row>
    <row r="228" spans="1:5" x14ac:dyDescent="0.25">
      <c r="A228" s="7">
        <v>1</v>
      </c>
      <c r="B228" s="7">
        <v>341</v>
      </c>
      <c r="C228" s="7">
        <v>119</v>
      </c>
      <c r="D228" s="8">
        <v>97884.31</v>
      </c>
      <c r="E228" s="9">
        <v>1</v>
      </c>
    </row>
    <row r="229" spans="1:5" x14ac:dyDescent="0.25">
      <c r="A229" s="7">
        <v>1</v>
      </c>
      <c r="B229" s="7">
        <v>342</v>
      </c>
      <c r="C229" s="7">
        <v>119</v>
      </c>
      <c r="D229" s="8">
        <v>409920.52</v>
      </c>
      <c r="E229" s="9">
        <v>1</v>
      </c>
    </row>
    <row r="230" spans="1:5" x14ac:dyDescent="0.25">
      <c r="A230" s="7">
        <v>1</v>
      </c>
      <c r="B230" s="7">
        <v>343</v>
      </c>
      <c r="C230" s="7">
        <v>119</v>
      </c>
      <c r="D230" s="8">
        <v>28271.34</v>
      </c>
      <c r="E230" s="9">
        <v>1</v>
      </c>
    </row>
    <row r="231" spans="1:5" x14ac:dyDescent="0.25">
      <c r="A231" s="7">
        <v>1</v>
      </c>
      <c r="B231" s="7">
        <v>344</v>
      </c>
      <c r="C231" s="7">
        <v>119</v>
      </c>
      <c r="D231" s="8">
        <v>105477.4</v>
      </c>
      <c r="E231" s="9">
        <v>1</v>
      </c>
    </row>
    <row r="232" spans="1:5" x14ac:dyDescent="0.25">
      <c r="A232" s="7">
        <v>1</v>
      </c>
      <c r="B232" s="7">
        <v>345</v>
      </c>
      <c r="C232" s="7">
        <v>119</v>
      </c>
      <c r="D232" s="8">
        <v>442352.9</v>
      </c>
      <c r="E232" s="9">
        <v>1</v>
      </c>
    </row>
    <row r="233" spans="1:5" x14ac:dyDescent="0.25">
      <c r="A233" s="7">
        <v>1</v>
      </c>
      <c r="B233" s="7">
        <v>346</v>
      </c>
      <c r="C233" s="7">
        <v>139</v>
      </c>
      <c r="D233" s="8">
        <v>20950.27</v>
      </c>
      <c r="E233" s="9">
        <v>1</v>
      </c>
    </row>
    <row r="234" spans="1:5" x14ac:dyDescent="0.25">
      <c r="A234" s="7">
        <v>1</v>
      </c>
      <c r="B234" s="7">
        <v>347</v>
      </c>
      <c r="C234" s="7">
        <v>139</v>
      </c>
      <c r="D234" s="8">
        <v>77904.9</v>
      </c>
      <c r="E234" s="9">
        <v>1</v>
      </c>
    </row>
    <row r="235" spans="1:5" x14ac:dyDescent="0.25">
      <c r="A235" s="7">
        <v>1</v>
      </c>
      <c r="B235" s="7">
        <v>348</v>
      </c>
      <c r="C235" s="7">
        <v>139</v>
      </c>
      <c r="D235" s="8">
        <v>312459.82</v>
      </c>
      <c r="E235" s="9">
        <v>1</v>
      </c>
    </row>
    <row r="236" spans="1:5" x14ac:dyDescent="0.25">
      <c r="A236" s="7">
        <v>1</v>
      </c>
      <c r="B236" s="7">
        <v>350</v>
      </c>
      <c r="C236" s="7">
        <v>139</v>
      </c>
      <c r="D236" s="8">
        <v>13478.75</v>
      </c>
      <c r="E236" s="9">
        <v>1</v>
      </c>
    </row>
    <row r="237" spans="1:5" x14ac:dyDescent="0.25">
      <c r="A237" s="7">
        <v>1</v>
      </c>
      <c r="B237" s="7">
        <v>351</v>
      </c>
      <c r="C237" s="7">
        <v>139</v>
      </c>
      <c r="D237" s="8">
        <v>20950.27</v>
      </c>
      <c r="E237" s="9">
        <v>1</v>
      </c>
    </row>
    <row r="238" spans="1:5" x14ac:dyDescent="0.25">
      <c r="A238" s="7">
        <v>1</v>
      </c>
      <c r="B238" s="7">
        <v>352</v>
      </c>
      <c r="C238" s="7">
        <v>139</v>
      </c>
      <c r="D238" s="8">
        <v>77904.9</v>
      </c>
      <c r="E238" s="9">
        <v>1</v>
      </c>
    </row>
    <row r="239" spans="1:5" x14ac:dyDescent="0.25">
      <c r="A239" s="7">
        <v>1</v>
      </c>
      <c r="B239" s="7">
        <v>353</v>
      </c>
      <c r="C239" s="7">
        <v>139</v>
      </c>
      <c r="D239" s="8">
        <v>312459.82</v>
      </c>
      <c r="E239" s="9">
        <v>1</v>
      </c>
    </row>
    <row r="240" spans="1:5" x14ac:dyDescent="0.25">
      <c r="A240" s="7">
        <v>1</v>
      </c>
      <c r="B240" s="7">
        <v>355</v>
      </c>
      <c r="C240" s="7">
        <v>902</v>
      </c>
      <c r="D240" s="8">
        <v>9625.25</v>
      </c>
      <c r="E240" s="9">
        <v>1</v>
      </c>
    </row>
    <row r="241" spans="1:5" x14ac:dyDescent="0.25">
      <c r="A241" s="7">
        <v>1</v>
      </c>
      <c r="B241" s="7">
        <v>356</v>
      </c>
      <c r="C241" s="7">
        <v>102</v>
      </c>
      <c r="D241" s="8">
        <v>1082.81</v>
      </c>
      <c r="E241" s="9">
        <v>1</v>
      </c>
    </row>
    <row r="242" spans="1:5" x14ac:dyDescent="0.25">
      <c r="A242" s="7">
        <v>1</v>
      </c>
      <c r="B242" s="7">
        <v>357</v>
      </c>
      <c r="C242" s="7">
        <v>902</v>
      </c>
      <c r="D242" s="8">
        <v>14902.23</v>
      </c>
      <c r="E242" s="9">
        <v>1</v>
      </c>
    </row>
    <row r="243" spans="1:5" x14ac:dyDescent="0.25">
      <c r="A243" s="7">
        <v>1</v>
      </c>
      <c r="B243" s="7">
        <v>358</v>
      </c>
      <c r="C243" s="7">
        <v>167</v>
      </c>
      <c r="D243" s="8">
        <v>213.31</v>
      </c>
      <c r="E243" s="9">
        <v>1</v>
      </c>
    </row>
    <row r="244" spans="1:5" x14ac:dyDescent="0.25">
      <c r="A244" s="7">
        <v>1</v>
      </c>
      <c r="B244" s="7">
        <v>359</v>
      </c>
      <c r="C244" s="7">
        <v>902</v>
      </c>
      <c r="D244" s="8">
        <v>55266.17</v>
      </c>
      <c r="E244" s="9">
        <v>1</v>
      </c>
    </row>
    <row r="245" spans="1:5" x14ac:dyDescent="0.25">
      <c r="A245" s="7">
        <v>1</v>
      </c>
      <c r="B245" s="7">
        <v>361</v>
      </c>
      <c r="C245" s="7">
        <v>122</v>
      </c>
      <c r="D245" s="8">
        <v>2766.95</v>
      </c>
      <c r="E245" s="9">
        <v>1</v>
      </c>
    </row>
    <row r="246" spans="1:5" x14ac:dyDescent="0.25">
      <c r="A246" s="7">
        <v>1</v>
      </c>
      <c r="B246" s="7">
        <v>370</v>
      </c>
      <c r="C246" s="7">
        <v>138</v>
      </c>
      <c r="D246" s="8">
        <v>15618.72</v>
      </c>
      <c r="E246" s="9">
        <v>1</v>
      </c>
    </row>
    <row r="247" spans="1:5" x14ac:dyDescent="0.25">
      <c r="A247" s="7">
        <v>1</v>
      </c>
      <c r="B247" s="7">
        <v>371</v>
      </c>
      <c r="C247" s="7">
        <v>103</v>
      </c>
      <c r="D247" s="8">
        <v>1707.5</v>
      </c>
      <c r="E247" s="9">
        <v>1</v>
      </c>
    </row>
    <row r="248" spans="1:5" x14ac:dyDescent="0.25">
      <c r="A248" s="7">
        <v>1</v>
      </c>
      <c r="B248" s="7">
        <v>373</v>
      </c>
      <c r="C248" s="7">
        <v>139</v>
      </c>
      <c r="D248" s="8">
        <v>10500.28</v>
      </c>
      <c r="E248" s="9">
        <v>1</v>
      </c>
    </row>
    <row r="249" spans="1:5" x14ac:dyDescent="0.25">
      <c r="A249" s="7">
        <v>1</v>
      </c>
      <c r="B249" s="7">
        <v>374</v>
      </c>
      <c r="C249" s="7">
        <v>130</v>
      </c>
      <c r="D249" s="8">
        <v>159830.24</v>
      </c>
      <c r="E249" s="9">
        <v>1</v>
      </c>
    </row>
    <row r="250" spans="1:5" x14ac:dyDescent="0.25">
      <c r="A250" s="7">
        <v>1</v>
      </c>
      <c r="B250" s="7">
        <v>375</v>
      </c>
      <c r="C250" s="7">
        <v>107</v>
      </c>
      <c r="D250" s="8">
        <v>24143.92</v>
      </c>
      <c r="E250" s="9">
        <v>1</v>
      </c>
    </row>
    <row r="251" spans="1:5" x14ac:dyDescent="0.25">
      <c r="A251" s="7">
        <v>1</v>
      </c>
      <c r="B251" s="7">
        <v>376</v>
      </c>
      <c r="C251" s="7">
        <v>107</v>
      </c>
      <c r="D251" s="8">
        <v>76831.89</v>
      </c>
      <c r="E251" s="9">
        <v>1</v>
      </c>
    </row>
    <row r="252" spans="1:5" x14ac:dyDescent="0.25">
      <c r="A252" s="7">
        <v>1</v>
      </c>
      <c r="B252" s="7">
        <v>377</v>
      </c>
      <c r="C252" s="7">
        <v>107</v>
      </c>
      <c r="D252" s="8">
        <v>158440.37</v>
      </c>
      <c r="E252" s="9">
        <v>1</v>
      </c>
    </row>
    <row r="253" spans="1:5" x14ac:dyDescent="0.25">
      <c r="A253" s="7">
        <v>1</v>
      </c>
      <c r="B253" s="7">
        <v>378</v>
      </c>
      <c r="C253" s="7">
        <v>107</v>
      </c>
      <c r="D253" s="8">
        <v>264068.3</v>
      </c>
      <c r="E253" s="9">
        <v>1</v>
      </c>
    </row>
    <row r="254" spans="1:5" x14ac:dyDescent="0.25">
      <c r="A254" s="7">
        <v>1</v>
      </c>
      <c r="B254" s="7">
        <v>379</v>
      </c>
      <c r="C254" s="7">
        <v>139</v>
      </c>
      <c r="D254" s="8">
        <v>16257.05</v>
      </c>
      <c r="E254" s="9">
        <v>1</v>
      </c>
    </row>
    <row r="255" spans="1:5" x14ac:dyDescent="0.25">
      <c r="A255" s="7">
        <v>1</v>
      </c>
      <c r="B255" s="7">
        <v>380</v>
      </c>
      <c r="C255" s="7">
        <v>128</v>
      </c>
      <c r="D255" s="8">
        <v>10241.32</v>
      </c>
      <c r="E255" s="9">
        <v>1</v>
      </c>
    </row>
    <row r="256" spans="1:5" x14ac:dyDescent="0.25">
      <c r="A256" s="7">
        <v>1</v>
      </c>
      <c r="B256" s="7">
        <v>381</v>
      </c>
      <c r="C256" s="7">
        <v>902</v>
      </c>
      <c r="D256" s="8">
        <v>26415.54</v>
      </c>
      <c r="E256" s="9">
        <v>1</v>
      </c>
    </row>
    <row r="257" spans="1:5" x14ac:dyDescent="0.25">
      <c r="A257" s="7">
        <v>1</v>
      </c>
      <c r="B257" s="7">
        <v>382</v>
      </c>
      <c r="C257" s="7">
        <v>145</v>
      </c>
      <c r="D257" s="8">
        <v>31123.68</v>
      </c>
      <c r="E257" s="9">
        <v>1</v>
      </c>
    </row>
    <row r="258" spans="1:5" x14ac:dyDescent="0.25">
      <c r="A258" s="7">
        <v>1</v>
      </c>
      <c r="B258" s="7">
        <v>384</v>
      </c>
      <c r="C258" s="7">
        <v>107</v>
      </c>
      <c r="D258" s="8">
        <v>11964.16</v>
      </c>
      <c r="E258" s="9">
        <v>1</v>
      </c>
    </row>
    <row r="259" spans="1:5" x14ac:dyDescent="0.25">
      <c r="A259" s="7">
        <v>1</v>
      </c>
      <c r="B259" s="7">
        <v>385</v>
      </c>
      <c r="C259" s="7">
        <v>107</v>
      </c>
      <c r="D259" s="8">
        <v>15644.58</v>
      </c>
      <c r="E259" s="9">
        <v>1</v>
      </c>
    </row>
    <row r="260" spans="1:5" x14ac:dyDescent="0.25">
      <c r="A260" s="7">
        <v>1</v>
      </c>
      <c r="B260" s="7">
        <v>386</v>
      </c>
      <c r="C260" s="7">
        <v>107</v>
      </c>
      <c r="D260" s="8">
        <v>49787.35</v>
      </c>
      <c r="E260" s="9">
        <v>1</v>
      </c>
    </row>
    <row r="261" spans="1:5" x14ac:dyDescent="0.25">
      <c r="A261" s="7">
        <v>1</v>
      </c>
      <c r="B261" s="7">
        <v>387</v>
      </c>
      <c r="C261" s="7">
        <v>165</v>
      </c>
      <c r="D261" s="8">
        <v>637.08</v>
      </c>
      <c r="E261" s="9">
        <v>1</v>
      </c>
    </row>
    <row r="262" spans="1:5" x14ac:dyDescent="0.25">
      <c r="A262" s="7">
        <v>1</v>
      </c>
      <c r="B262" s="7">
        <v>391</v>
      </c>
      <c r="C262" s="7">
        <v>107</v>
      </c>
      <c r="D262" s="8">
        <v>59192.62</v>
      </c>
      <c r="E262" s="9">
        <v>1</v>
      </c>
    </row>
    <row r="263" spans="1:5" x14ac:dyDescent="0.25">
      <c r="A263" s="7">
        <v>1</v>
      </c>
      <c r="B263" s="7">
        <v>392</v>
      </c>
      <c r="C263" s="7">
        <v>107</v>
      </c>
      <c r="D263" s="8">
        <v>122066.06</v>
      </c>
      <c r="E263" s="9">
        <v>1</v>
      </c>
    </row>
    <row r="264" spans="1:5" x14ac:dyDescent="0.25">
      <c r="A264" s="7">
        <v>1</v>
      </c>
      <c r="B264" s="7">
        <v>393</v>
      </c>
      <c r="C264" s="7">
        <v>107</v>
      </c>
      <c r="D264" s="8">
        <v>18600.73</v>
      </c>
      <c r="E264" s="9">
        <v>1</v>
      </c>
    </row>
    <row r="265" spans="1:5" x14ac:dyDescent="0.25">
      <c r="A265" s="7">
        <v>1</v>
      </c>
      <c r="B265" s="7">
        <v>394</v>
      </c>
      <c r="C265" s="7">
        <v>107</v>
      </c>
      <c r="D265" s="8">
        <v>203442.52</v>
      </c>
      <c r="E265" s="9">
        <v>1</v>
      </c>
    </row>
    <row r="266" spans="1:5" x14ac:dyDescent="0.25">
      <c r="A266" s="7">
        <v>1</v>
      </c>
      <c r="B266" s="7">
        <v>395</v>
      </c>
      <c r="C266" s="7">
        <v>107</v>
      </c>
      <c r="D266" s="8">
        <v>102670.14</v>
      </c>
      <c r="E266" s="9">
        <v>1</v>
      </c>
    </row>
    <row r="267" spans="1:5" x14ac:dyDescent="0.25">
      <c r="A267" s="7">
        <v>1</v>
      </c>
      <c r="B267" s="7">
        <v>396</v>
      </c>
      <c r="C267" s="7">
        <v>107</v>
      </c>
      <c r="D267" s="8">
        <v>171116.78</v>
      </c>
      <c r="E267" s="9">
        <v>1</v>
      </c>
    </row>
    <row r="268" spans="1:5" x14ac:dyDescent="0.25">
      <c r="A268" s="7">
        <v>1</v>
      </c>
      <c r="B268" s="7">
        <v>397</v>
      </c>
      <c r="C268" s="7">
        <v>139</v>
      </c>
      <c r="D268" s="8">
        <v>60289.39</v>
      </c>
      <c r="E268" s="9">
        <v>1</v>
      </c>
    </row>
    <row r="269" spans="1:5" x14ac:dyDescent="0.25">
      <c r="A269" s="7">
        <v>1</v>
      </c>
      <c r="B269" s="7">
        <v>398</v>
      </c>
      <c r="C269" s="7">
        <v>139</v>
      </c>
      <c r="D269" s="8">
        <v>241530.01</v>
      </c>
      <c r="E269" s="9">
        <v>1</v>
      </c>
    </row>
    <row r="270" spans="1:5" x14ac:dyDescent="0.25">
      <c r="A270" s="7">
        <v>1</v>
      </c>
      <c r="B270" s="7">
        <v>404</v>
      </c>
      <c r="C270" s="7">
        <v>107</v>
      </c>
      <c r="D270" s="8">
        <v>17856.75</v>
      </c>
      <c r="E270" s="9">
        <v>1</v>
      </c>
    </row>
    <row r="271" spans="1:5" x14ac:dyDescent="0.25">
      <c r="A271" s="7">
        <v>1</v>
      </c>
      <c r="B271" s="7">
        <v>406</v>
      </c>
      <c r="C271" s="7">
        <v>107</v>
      </c>
      <c r="D271" s="8">
        <v>56823.7</v>
      </c>
      <c r="E271" s="9">
        <v>1</v>
      </c>
    </row>
    <row r="272" spans="1:5" x14ac:dyDescent="0.25">
      <c r="A272" s="7">
        <v>1</v>
      </c>
      <c r="B272" s="7">
        <v>407</v>
      </c>
      <c r="C272" s="7">
        <v>134</v>
      </c>
      <c r="D272" s="8">
        <v>2.65</v>
      </c>
      <c r="E272" s="9">
        <v>3</v>
      </c>
    </row>
    <row r="273" spans="1:5" x14ac:dyDescent="0.25">
      <c r="A273" s="7">
        <v>1</v>
      </c>
      <c r="B273" s="7">
        <v>408</v>
      </c>
      <c r="C273" s="7">
        <v>107</v>
      </c>
      <c r="D273" s="8">
        <v>195304.07</v>
      </c>
      <c r="E273" s="9">
        <v>1</v>
      </c>
    </row>
    <row r="274" spans="1:5" x14ac:dyDescent="0.25">
      <c r="A274" s="7">
        <v>1</v>
      </c>
      <c r="B274" s="7">
        <v>411</v>
      </c>
      <c r="C274" s="7">
        <v>129</v>
      </c>
      <c r="D274" s="8">
        <v>11357.5</v>
      </c>
      <c r="E274" s="9">
        <v>1</v>
      </c>
    </row>
    <row r="275" spans="1:5" x14ac:dyDescent="0.25">
      <c r="A275" s="7">
        <v>1</v>
      </c>
      <c r="B275" s="7">
        <v>412</v>
      </c>
      <c r="C275" s="7">
        <v>129</v>
      </c>
      <c r="D275" s="8">
        <v>32906.63</v>
      </c>
      <c r="E275" s="9">
        <v>1</v>
      </c>
    </row>
    <row r="276" spans="1:5" x14ac:dyDescent="0.25">
      <c r="A276" s="7">
        <v>1</v>
      </c>
      <c r="B276" s="7">
        <v>414</v>
      </c>
      <c r="C276" s="7">
        <v>107</v>
      </c>
      <c r="D276" s="8">
        <v>117182.35</v>
      </c>
      <c r="E276" s="9">
        <v>1</v>
      </c>
    </row>
    <row r="277" spans="1:5" x14ac:dyDescent="0.25">
      <c r="A277" s="7">
        <v>1</v>
      </c>
      <c r="B277" s="7">
        <v>422</v>
      </c>
      <c r="C277" s="7">
        <v>902</v>
      </c>
      <c r="D277" s="8">
        <v>12413.76</v>
      </c>
      <c r="E277" s="9">
        <v>1</v>
      </c>
    </row>
    <row r="278" spans="1:5" x14ac:dyDescent="0.25">
      <c r="A278" s="7">
        <v>1</v>
      </c>
      <c r="B278" s="7">
        <v>423</v>
      </c>
      <c r="C278" s="7">
        <v>107</v>
      </c>
      <c r="D278" s="8">
        <v>45459.23</v>
      </c>
      <c r="E278" s="9">
        <v>1</v>
      </c>
    </row>
    <row r="279" spans="1:5" x14ac:dyDescent="0.25">
      <c r="A279" s="7">
        <v>1</v>
      </c>
      <c r="B279" s="7">
        <v>424</v>
      </c>
      <c r="C279" s="7">
        <v>107</v>
      </c>
      <c r="D279" s="8">
        <v>93745.63</v>
      </c>
      <c r="E279" s="9">
        <v>1</v>
      </c>
    </row>
    <row r="280" spans="1:5" x14ac:dyDescent="0.25">
      <c r="A280" s="7">
        <v>1</v>
      </c>
      <c r="B280" s="7">
        <v>425</v>
      </c>
      <c r="C280" s="7">
        <v>107</v>
      </c>
      <c r="D280" s="8">
        <v>156243.02</v>
      </c>
      <c r="E280" s="9">
        <v>1</v>
      </c>
    </row>
    <row r="281" spans="1:5" x14ac:dyDescent="0.25">
      <c r="A281" s="7">
        <v>1</v>
      </c>
      <c r="B281" s="7">
        <v>426</v>
      </c>
      <c r="C281" s="7">
        <v>902</v>
      </c>
      <c r="D281" s="8">
        <v>9625.25</v>
      </c>
      <c r="E281" s="9">
        <v>1</v>
      </c>
    </row>
    <row r="282" spans="1:5" x14ac:dyDescent="0.25">
      <c r="A282" s="7">
        <v>1</v>
      </c>
      <c r="B282" s="7">
        <v>427</v>
      </c>
      <c r="C282" s="7">
        <v>127</v>
      </c>
      <c r="D282" s="8">
        <v>16758</v>
      </c>
      <c r="E282" s="9">
        <v>1</v>
      </c>
    </row>
    <row r="283" spans="1:5" x14ac:dyDescent="0.25">
      <c r="A283" s="7">
        <v>1</v>
      </c>
      <c r="B283" s="7">
        <v>430</v>
      </c>
      <c r="C283" s="7">
        <v>102</v>
      </c>
      <c r="D283" s="8">
        <v>4082.08</v>
      </c>
      <c r="E283" s="9">
        <v>1</v>
      </c>
    </row>
    <row r="284" spans="1:5" x14ac:dyDescent="0.25">
      <c r="A284" s="7">
        <v>1</v>
      </c>
      <c r="B284" s="7">
        <v>432</v>
      </c>
      <c r="C284" s="7">
        <v>102</v>
      </c>
      <c r="D284" s="8">
        <v>1082.81</v>
      </c>
      <c r="E284" s="9">
        <v>1</v>
      </c>
    </row>
    <row r="285" spans="1:5" x14ac:dyDescent="0.25">
      <c r="A285" s="7">
        <v>1</v>
      </c>
      <c r="B285" s="7">
        <v>433</v>
      </c>
      <c r="C285" s="7">
        <v>902</v>
      </c>
      <c r="D285" s="8">
        <v>14902.23</v>
      </c>
      <c r="E285" s="9">
        <v>1</v>
      </c>
    </row>
    <row r="286" spans="1:5" x14ac:dyDescent="0.25">
      <c r="A286" s="7">
        <v>1</v>
      </c>
      <c r="B286" s="7">
        <v>435</v>
      </c>
      <c r="C286" s="7">
        <v>140</v>
      </c>
      <c r="D286" s="8">
        <v>8317.49</v>
      </c>
      <c r="E286" s="9">
        <v>1</v>
      </c>
    </row>
    <row r="287" spans="1:5" x14ac:dyDescent="0.25">
      <c r="A287" s="7">
        <v>1</v>
      </c>
      <c r="B287" s="7">
        <v>436</v>
      </c>
      <c r="C287" s="7">
        <v>102</v>
      </c>
      <c r="D287" s="8">
        <v>1708.95</v>
      </c>
      <c r="E287" s="9">
        <v>1</v>
      </c>
    </row>
    <row r="288" spans="1:5" x14ac:dyDescent="0.25">
      <c r="A288" s="7">
        <v>1</v>
      </c>
      <c r="B288" s="7">
        <v>438</v>
      </c>
      <c r="C288" s="7">
        <v>102</v>
      </c>
      <c r="D288" s="8">
        <v>2840.09</v>
      </c>
      <c r="E288" s="9">
        <v>1</v>
      </c>
    </row>
    <row r="289" spans="1:5" x14ac:dyDescent="0.25">
      <c r="A289" s="7">
        <v>1</v>
      </c>
      <c r="B289" s="7">
        <v>439</v>
      </c>
      <c r="C289" s="7">
        <v>102</v>
      </c>
      <c r="D289" s="8">
        <v>2840.09</v>
      </c>
      <c r="E289" s="9">
        <v>1</v>
      </c>
    </row>
    <row r="290" spans="1:5" x14ac:dyDescent="0.25">
      <c r="A290" s="7">
        <v>1</v>
      </c>
      <c r="B290" s="7">
        <v>440</v>
      </c>
      <c r="C290" s="7">
        <v>102</v>
      </c>
      <c r="D290" s="8">
        <v>3587.5</v>
      </c>
      <c r="E290" s="9">
        <v>1</v>
      </c>
    </row>
    <row r="291" spans="1:5" x14ac:dyDescent="0.25">
      <c r="A291" s="7">
        <v>1</v>
      </c>
      <c r="B291" s="7">
        <v>441</v>
      </c>
      <c r="C291" s="7">
        <v>102</v>
      </c>
      <c r="D291" s="8">
        <v>4273.09</v>
      </c>
      <c r="E291" s="9">
        <v>1</v>
      </c>
    </row>
    <row r="292" spans="1:5" x14ac:dyDescent="0.25">
      <c r="A292" s="7">
        <v>1</v>
      </c>
      <c r="B292" s="7">
        <v>442</v>
      </c>
      <c r="C292" s="7">
        <v>102</v>
      </c>
      <c r="D292" s="8">
        <v>5718.31</v>
      </c>
      <c r="E292" s="9">
        <v>1</v>
      </c>
    </row>
    <row r="293" spans="1:5" x14ac:dyDescent="0.25">
      <c r="A293" s="7">
        <v>1</v>
      </c>
      <c r="B293" s="7">
        <v>443</v>
      </c>
      <c r="C293" s="7">
        <v>102</v>
      </c>
      <c r="D293" s="8">
        <v>4763.59</v>
      </c>
      <c r="E293" s="9">
        <v>1</v>
      </c>
    </row>
    <row r="294" spans="1:5" x14ac:dyDescent="0.25">
      <c r="A294" s="7">
        <v>1</v>
      </c>
      <c r="B294" s="7">
        <v>444</v>
      </c>
      <c r="C294" s="7">
        <v>902</v>
      </c>
      <c r="D294" s="8">
        <v>4194.45</v>
      </c>
      <c r="E294" s="9">
        <v>1</v>
      </c>
    </row>
    <row r="295" spans="1:5" x14ac:dyDescent="0.25">
      <c r="A295" s="7">
        <v>1</v>
      </c>
      <c r="B295" s="7">
        <v>445</v>
      </c>
      <c r="C295" s="7">
        <v>102</v>
      </c>
      <c r="D295" s="8">
        <v>4763.59</v>
      </c>
      <c r="E295" s="9">
        <v>1</v>
      </c>
    </row>
    <row r="296" spans="1:5" x14ac:dyDescent="0.25">
      <c r="A296" s="7">
        <v>1</v>
      </c>
      <c r="B296" s="7">
        <v>446</v>
      </c>
      <c r="C296" s="7">
        <v>102</v>
      </c>
      <c r="D296" s="8">
        <v>4763.59</v>
      </c>
      <c r="E296" s="9">
        <v>1</v>
      </c>
    </row>
    <row r="297" spans="1:5" x14ac:dyDescent="0.25">
      <c r="A297" s="7">
        <v>1</v>
      </c>
      <c r="B297" s="7">
        <v>447</v>
      </c>
      <c r="C297" s="7">
        <v>102</v>
      </c>
      <c r="D297" s="8">
        <v>4396.15</v>
      </c>
      <c r="E297" s="9">
        <v>1</v>
      </c>
    </row>
    <row r="298" spans="1:5" x14ac:dyDescent="0.25">
      <c r="A298" s="7">
        <v>1</v>
      </c>
      <c r="B298" s="7">
        <v>448</v>
      </c>
      <c r="C298" s="7">
        <v>128</v>
      </c>
      <c r="D298" s="8">
        <v>12549.27</v>
      </c>
      <c r="E298" s="9">
        <v>1</v>
      </c>
    </row>
    <row r="299" spans="1:5" x14ac:dyDescent="0.25">
      <c r="A299" s="7">
        <v>1</v>
      </c>
      <c r="B299" s="7">
        <v>449</v>
      </c>
      <c r="C299" s="7">
        <v>102</v>
      </c>
      <c r="D299" s="8">
        <v>8577.67</v>
      </c>
      <c r="E299" s="9">
        <v>1</v>
      </c>
    </row>
    <row r="300" spans="1:5" x14ac:dyDescent="0.25">
      <c r="A300" s="7">
        <v>1</v>
      </c>
      <c r="B300" s="7">
        <v>450</v>
      </c>
      <c r="C300" s="7">
        <v>102</v>
      </c>
      <c r="D300" s="8">
        <v>1082.81</v>
      </c>
      <c r="E300" s="9">
        <v>1</v>
      </c>
    </row>
    <row r="301" spans="1:5" x14ac:dyDescent="0.25">
      <c r="A301" s="7">
        <v>1</v>
      </c>
      <c r="B301" s="7">
        <v>451</v>
      </c>
      <c r="C301" s="7">
        <v>126</v>
      </c>
      <c r="D301" s="8">
        <v>16428.82</v>
      </c>
      <c r="E301" s="9">
        <v>1</v>
      </c>
    </row>
    <row r="302" spans="1:5" x14ac:dyDescent="0.25">
      <c r="A302" s="7">
        <v>1</v>
      </c>
      <c r="B302" s="7">
        <v>452</v>
      </c>
      <c r="C302" s="7">
        <v>128</v>
      </c>
      <c r="D302" s="8">
        <v>2536.82</v>
      </c>
      <c r="E302" s="9">
        <v>1</v>
      </c>
    </row>
    <row r="303" spans="1:5" x14ac:dyDescent="0.25">
      <c r="A303" s="7">
        <v>1</v>
      </c>
      <c r="B303" s="7">
        <v>453</v>
      </c>
      <c r="C303" s="7">
        <v>102</v>
      </c>
      <c r="D303" s="8">
        <v>11431.54</v>
      </c>
      <c r="E303" s="9">
        <v>1</v>
      </c>
    </row>
    <row r="304" spans="1:5" x14ac:dyDescent="0.25">
      <c r="A304" s="7">
        <v>1</v>
      </c>
      <c r="B304" s="7">
        <v>454</v>
      </c>
      <c r="C304" s="7">
        <v>102</v>
      </c>
      <c r="D304" s="8">
        <v>4396.15</v>
      </c>
      <c r="E304" s="9">
        <v>1</v>
      </c>
    </row>
    <row r="305" spans="1:5" x14ac:dyDescent="0.25">
      <c r="A305" s="7">
        <v>1</v>
      </c>
      <c r="B305" s="7">
        <v>455</v>
      </c>
      <c r="C305" s="7">
        <v>148</v>
      </c>
      <c r="D305" s="8">
        <v>6106.08</v>
      </c>
      <c r="E305" s="9">
        <v>1</v>
      </c>
    </row>
    <row r="306" spans="1:5" x14ac:dyDescent="0.25">
      <c r="A306" s="7">
        <v>1</v>
      </c>
      <c r="B306" s="7">
        <v>456</v>
      </c>
      <c r="C306" s="7">
        <v>148</v>
      </c>
      <c r="D306" s="8">
        <v>6216.93</v>
      </c>
      <c r="E306" s="9">
        <v>1</v>
      </c>
    </row>
    <row r="307" spans="1:5" x14ac:dyDescent="0.25">
      <c r="A307" s="7">
        <v>1</v>
      </c>
      <c r="B307" s="7">
        <v>457</v>
      </c>
      <c r="C307" s="7">
        <v>148</v>
      </c>
      <c r="D307" s="8">
        <v>6438.66</v>
      </c>
      <c r="E307" s="9">
        <v>1</v>
      </c>
    </row>
    <row r="308" spans="1:5" x14ac:dyDescent="0.25">
      <c r="A308" s="7">
        <v>1</v>
      </c>
      <c r="B308" s="7">
        <v>458</v>
      </c>
      <c r="C308" s="7">
        <v>148</v>
      </c>
      <c r="D308" s="8">
        <v>6771.26</v>
      </c>
      <c r="E308" s="9">
        <v>1</v>
      </c>
    </row>
    <row r="309" spans="1:5" x14ac:dyDescent="0.25">
      <c r="A309" s="7">
        <v>1</v>
      </c>
      <c r="B309" s="7">
        <v>459</v>
      </c>
      <c r="C309" s="7">
        <v>148</v>
      </c>
      <c r="D309" s="8">
        <v>6992.99</v>
      </c>
      <c r="E309" s="9">
        <v>1</v>
      </c>
    </row>
    <row r="310" spans="1:5" x14ac:dyDescent="0.25">
      <c r="A310" s="7">
        <v>1</v>
      </c>
      <c r="B310" s="7">
        <v>460</v>
      </c>
      <c r="C310" s="7">
        <v>148</v>
      </c>
      <c r="D310" s="8">
        <v>7325.6</v>
      </c>
      <c r="E310" s="9">
        <v>1</v>
      </c>
    </row>
    <row r="311" spans="1:5" x14ac:dyDescent="0.25">
      <c r="A311" s="7">
        <v>1</v>
      </c>
      <c r="B311" s="7">
        <v>461</v>
      </c>
      <c r="C311" s="7">
        <v>102</v>
      </c>
      <c r="D311" s="8">
        <v>4082.08</v>
      </c>
      <c r="E311" s="9">
        <v>1</v>
      </c>
    </row>
    <row r="312" spans="1:5" x14ac:dyDescent="0.25">
      <c r="A312" s="7">
        <v>1</v>
      </c>
      <c r="B312" s="7">
        <v>462</v>
      </c>
      <c r="C312" s="7">
        <v>140</v>
      </c>
      <c r="D312" s="8">
        <v>11556.74</v>
      </c>
      <c r="E312" s="9">
        <v>1</v>
      </c>
    </row>
    <row r="313" spans="1:5" x14ac:dyDescent="0.25">
      <c r="A313" s="7">
        <v>1</v>
      </c>
      <c r="B313" s="7">
        <v>463</v>
      </c>
      <c r="C313" s="7">
        <v>140</v>
      </c>
      <c r="D313" s="8">
        <v>11556.74</v>
      </c>
      <c r="E313" s="9">
        <v>1</v>
      </c>
    </row>
    <row r="314" spans="1:5" x14ac:dyDescent="0.25">
      <c r="A314" s="7">
        <v>1</v>
      </c>
      <c r="B314" s="7">
        <v>464</v>
      </c>
      <c r="C314" s="7">
        <v>107</v>
      </c>
      <c r="D314" s="8">
        <v>47353.58</v>
      </c>
      <c r="E314" s="9">
        <v>1</v>
      </c>
    </row>
    <row r="315" spans="1:5" x14ac:dyDescent="0.25">
      <c r="A315" s="7">
        <v>1</v>
      </c>
      <c r="B315" s="7">
        <v>465</v>
      </c>
      <c r="C315" s="7">
        <v>107</v>
      </c>
      <c r="D315" s="8">
        <v>162754.02</v>
      </c>
      <c r="E315" s="9">
        <v>1</v>
      </c>
    </row>
    <row r="316" spans="1:5" x14ac:dyDescent="0.25">
      <c r="A316" s="7">
        <v>1</v>
      </c>
      <c r="B316" s="7">
        <v>466</v>
      </c>
      <c r="C316" s="7">
        <v>102</v>
      </c>
      <c r="D316" s="8">
        <v>4082.08</v>
      </c>
      <c r="E316" s="9">
        <v>1</v>
      </c>
    </row>
    <row r="317" spans="1:5" x14ac:dyDescent="0.25">
      <c r="A317" s="7">
        <v>1</v>
      </c>
      <c r="B317" s="7">
        <v>467</v>
      </c>
      <c r="C317" s="7">
        <v>137</v>
      </c>
      <c r="D317" s="8">
        <v>13866.96</v>
      </c>
      <c r="E317" s="9">
        <v>1</v>
      </c>
    </row>
    <row r="318" spans="1:5" x14ac:dyDescent="0.25">
      <c r="A318" s="7">
        <v>1</v>
      </c>
      <c r="B318" s="7">
        <v>468</v>
      </c>
      <c r="C318" s="7">
        <v>148</v>
      </c>
      <c r="D318" s="8">
        <v>10873.25</v>
      </c>
      <c r="E318" s="9">
        <v>1</v>
      </c>
    </row>
    <row r="319" spans="1:5" x14ac:dyDescent="0.25">
      <c r="A319" s="7">
        <v>1</v>
      </c>
      <c r="B319" s="7">
        <v>469</v>
      </c>
      <c r="C319" s="7">
        <v>179</v>
      </c>
      <c r="D319" s="8">
        <v>1740.87</v>
      </c>
      <c r="E319" s="9">
        <v>1</v>
      </c>
    </row>
    <row r="320" spans="1:5" x14ac:dyDescent="0.25">
      <c r="A320" s="7">
        <v>1</v>
      </c>
      <c r="B320" s="7">
        <v>471</v>
      </c>
      <c r="C320" s="7">
        <v>179</v>
      </c>
      <c r="D320" s="8">
        <v>3353.4</v>
      </c>
      <c r="E320" s="9">
        <v>1</v>
      </c>
    </row>
    <row r="321" spans="1:5" x14ac:dyDescent="0.25">
      <c r="A321" s="7">
        <v>1</v>
      </c>
      <c r="B321" s="7">
        <v>472</v>
      </c>
      <c r="C321" s="7">
        <v>902</v>
      </c>
      <c r="D321" s="8">
        <v>55266.17</v>
      </c>
      <c r="E321" s="9">
        <v>1</v>
      </c>
    </row>
    <row r="322" spans="1:5" x14ac:dyDescent="0.25">
      <c r="A322" s="7">
        <v>1</v>
      </c>
      <c r="B322" s="7">
        <v>473</v>
      </c>
      <c r="C322" s="7">
        <v>105</v>
      </c>
      <c r="D322" s="8">
        <v>26863.34</v>
      </c>
      <c r="E322" s="9">
        <v>1</v>
      </c>
    </row>
    <row r="323" spans="1:5" x14ac:dyDescent="0.25">
      <c r="A323" s="7">
        <v>1</v>
      </c>
      <c r="B323" s="7">
        <v>474</v>
      </c>
      <c r="C323" s="7">
        <v>105</v>
      </c>
      <c r="D323" s="8">
        <v>90704.6</v>
      </c>
      <c r="E323" s="9">
        <v>1</v>
      </c>
    </row>
    <row r="324" spans="1:5" x14ac:dyDescent="0.25">
      <c r="A324" s="7">
        <v>1</v>
      </c>
      <c r="B324" s="7">
        <v>475</v>
      </c>
      <c r="C324" s="7">
        <v>148</v>
      </c>
      <c r="D324" s="8">
        <v>7658.18</v>
      </c>
      <c r="E324" s="9">
        <v>1</v>
      </c>
    </row>
    <row r="325" spans="1:5" x14ac:dyDescent="0.25">
      <c r="A325" s="7">
        <v>1</v>
      </c>
      <c r="B325" s="7">
        <v>478</v>
      </c>
      <c r="C325" s="7">
        <v>902</v>
      </c>
      <c r="D325" s="8">
        <v>9625.25</v>
      </c>
      <c r="E325" s="9">
        <v>1</v>
      </c>
    </row>
    <row r="326" spans="1:5" x14ac:dyDescent="0.25">
      <c r="A326" s="7">
        <v>1</v>
      </c>
      <c r="B326" s="7">
        <v>479</v>
      </c>
      <c r="C326" s="7">
        <v>902</v>
      </c>
      <c r="D326" s="8">
        <v>14902.23</v>
      </c>
      <c r="E326" s="9">
        <v>1</v>
      </c>
    </row>
    <row r="327" spans="1:5" x14ac:dyDescent="0.25">
      <c r="A327" s="7">
        <v>1</v>
      </c>
      <c r="B327" s="7">
        <v>480</v>
      </c>
      <c r="C327" s="7">
        <v>902</v>
      </c>
      <c r="D327" s="8">
        <v>55266.17</v>
      </c>
      <c r="E327" s="9">
        <v>1</v>
      </c>
    </row>
    <row r="328" spans="1:5" x14ac:dyDescent="0.25">
      <c r="A328" s="7">
        <v>1</v>
      </c>
      <c r="B328" s="7">
        <v>483</v>
      </c>
      <c r="C328" s="7">
        <v>141</v>
      </c>
      <c r="D328" s="8">
        <v>299316.53</v>
      </c>
      <c r="E328" s="9">
        <v>1</v>
      </c>
    </row>
    <row r="329" spans="1:5" x14ac:dyDescent="0.25">
      <c r="A329" s="7">
        <v>1</v>
      </c>
      <c r="B329" s="7">
        <v>486</v>
      </c>
      <c r="C329" s="7">
        <v>128</v>
      </c>
      <c r="D329" s="8">
        <v>7621.86</v>
      </c>
      <c r="E329" s="9">
        <v>1</v>
      </c>
    </row>
    <row r="330" spans="1:5" x14ac:dyDescent="0.25">
      <c r="A330" s="7">
        <v>1</v>
      </c>
      <c r="B330" s="7">
        <v>487</v>
      </c>
      <c r="C330" s="7">
        <v>128</v>
      </c>
      <c r="D330" s="8">
        <v>8546.59</v>
      </c>
      <c r="E330" s="9">
        <v>1</v>
      </c>
    </row>
    <row r="331" spans="1:5" x14ac:dyDescent="0.25">
      <c r="A331" s="7">
        <v>1</v>
      </c>
      <c r="B331" s="7">
        <v>488</v>
      </c>
      <c r="C331" s="7">
        <v>902</v>
      </c>
      <c r="D331" s="8">
        <v>6196.39</v>
      </c>
      <c r="E331" s="9">
        <v>1</v>
      </c>
    </row>
    <row r="332" spans="1:5" x14ac:dyDescent="0.25">
      <c r="A332" s="7">
        <v>1</v>
      </c>
      <c r="B332" s="7">
        <v>489</v>
      </c>
      <c r="C332" s="7">
        <v>139</v>
      </c>
      <c r="D332" s="8">
        <v>10500.28</v>
      </c>
      <c r="E332" s="9">
        <v>1</v>
      </c>
    </row>
    <row r="333" spans="1:5" x14ac:dyDescent="0.25">
      <c r="A333" s="7">
        <v>1</v>
      </c>
      <c r="B333" s="7">
        <v>490</v>
      </c>
      <c r="C333" s="7">
        <v>149</v>
      </c>
      <c r="D333" s="8">
        <v>66949.88</v>
      </c>
      <c r="E333" s="9">
        <v>1</v>
      </c>
    </row>
    <row r="334" spans="1:5" x14ac:dyDescent="0.25">
      <c r="A334" s="7">
        <v>1</v>
      </c>
      <c r="B334" s="7">
        <v>491</v>
      </c>
      <c r="C334" s="7">
        <v>149</v>
      </c>
      <c r="D334" s="8">
        <v>76840.56</v>
      </c>
      <c r="E334" s="9">
        <v>1</v>
      </c>
    </row>
    <row r="335" spans="1:5" x14ac:dyDescent="0.25">
      <c r="A335" s="7">
        <v>1</v>
      </c>
      <c r="B335" s="7">
        <v>492</v>
      </c>
      <c r="C335" s="7">
        <v>149</v>
      </c>
      <c r="D335" s="8">
        <v>85919.44</v>
      </c>
      <c r="E335" s="9">
        <v>1</v>
      </c>
    </row>
    <row r="336" spans="1:5" x14ac:dyDescent="0.25">
      <c r="A336" s="7">
        <v>1</v>
      </c>
      <c r="B336" s="7">
        <v>493</v>
      </c>
      <c r="C336" s="7">
        <v>149</v>
      </c>
      <c r="D336" s="8">
        <v>95861.77</v>
      </c>
      <c r="E336" s="9">
        <v>1</v>
      </c>
    </row>
    <row r="337" spans="1:5" x14ac:dyDescent="0.25">
      <c r="A337" s="7">
        <v>1</v>
      </c>
      <c r="B337" s="7">
        <v>494</v>
      </c>
      <c r="C337" s="7">
        <v>149</v>
      </c>
      <c r="D337" s="8">
        <v>104977.55</v>
      </c>
      <c r="E337" s="9">
        <v>1</v>
      </c>
    </row>
    <row r="338" spans="1:5" x14ac:dyDescent="0.25">
      <c r="A338" s="7">
        <v>1</v>
      </c>
      <c r="B338" s="7">
        <v>495</v>
      </c>
      <c r="C338" s="7">
        <v>149</v>
      </c>
      <c r="D338" s="8">
        <v>114865.27</v>
      </c>
      <c r="E338" s="9">
        <v>1</v>
      </c>
    </row>
    <row r="339" spans="1:5" x14ac:dyDescent="0.25">
      <c r="A339" s="7">
        <v>1</v>
      </c>
      <c r="B339" s="7">
        <v>496</v>
      </c>
      <c r="C339" s="7">
        <v>139</v>
      </c>
      <c r="D339" s="8">
        <v>16257.05</v>
      </c>
      <c r="E339" s="9">
        <v>1</v>
      </c>
    </row>
    <row r="340" spans="1:5" x14ac:dyDescent="0.25">
      <c r="A340" s="7">
        <v>1</v>
      </c>
      <c r="B340" s="7">
        <v>497</v>
      </c>
      <c r="C340" s="7">
        <v>139</v>
      </c>
      <c r="D340" s="8">
        <v>60289.39</v>
      </c>
      <c r="E340" s="9">
        <v>1</v>
      </c>
    </row>
    <row r="341" spans="1:5" x14ac:dyDescent="0.25">
      <c r="A341" s="7">
        <v>1</v>
      </c>
      <c r="B341" s="7">
        <v>498</v>
      </c>
      <c r="C341" s="7">
        <v>140</v>
      </c>
      <c r="D341" s="8">
        <v>26603.95</v>
      </c>
      <c r="E341" s="9">
        <v>1</v>
      </c>
    </row>
    <row r="342" spans="1:5" x14ac:dyDescent="0.25">
      <c r="A342" s="7">
        <v>1</v>
      </c>
      <c r="B342" s="7">
        <v>499</v>
      </c>
      <c r="C342" s="7">
        <v>140</v>
      </c>
      <c r="D342" s="8">
        <v>26603.95</v>
      </c>
      <c r="E342" s="9">
        <v>1</v>
      </c>
    </row>
    <row r="343" spans="1:5" x14ac:dyDescent="0.25">
      <c r="A343" s="7">
        <v>1</v>
      </c>
      <c r="B343" s="7">
        <v>500</v>
      </c>
      <c r="C343" s="7">
        <v>166</v>
      </c>
      <c r="D343" s="8">
        <v>11635.49</v>
      </c>
      <c r="E343" s="9">
        <v>1</v>
      </c>
    </row>
    <row r="344" spans="1:5" x14ac:dyDescent="0.25">
      <c r="A344" s="7">
        <v>1</v>
      </c>
      <c r="B344" s="7">
        <v>504</v>
      </c>
      <c r="C344" s="7">
        <v>140</v>
      </c>
      <c r="D344" s="8">
        <v>16629.56</v>
      </c>
      <c r="E344" s="9">
        <v>1</v>
      </c>
    </row>
    <row r="345" spans="1:5" x14ac:dyDescent="0.25">
      <c r="A345" s="7">
        <v>1</v>
      </c>
      <c r="B345" s="7">
        <v>505</v>
      </c>
      <c r="C345" s="7">
        <v>144</v>
      </c>
      <c r="D345" s="8">
        <v>4192.89</v>
      </c>
      <c r="E345" s="9">
        <v>1</v>
      </c>
    </row>
    <row r="346" spans="1:5" x14ac:dyDescent="0.25">
      <c r="A346" s="7">
        <v>1</v>
      </c>
      <c r="B346" s="7">
        <v>506</v>
      </c>
      <c r="C346" s="7">
        <v>140</v>
      </c>
      <c r="D346" s="8">
        <v>16629.56</v>
      </c>
      <c r="E346" s="9">
        <v>1</v>
      </c>
    </row>
    <row r="347" spans="1:5" x14ac:dyDescent="0.25">
      <c r="A347" s="7">
        <v>1</v>
      </c>
      <c r="B347" s="7">
        <v>507</v>
      </c>
      <c r="C347" s="7">
        <v>140</v>
      </c>
      <c r="D347" s="8">
        <v>2637.36</v>
      </c>
      <c r="E347" s="9">
        <v>1</v>
      </c>
    </row>
    <row r="348" spans="1:5" x14ac:dyDescent="0.25">
      <c r="A348" s="7">
        <v>1</v>
      </c>
      <c r="B348" s="7">
        <v>508</v>
      </c>
      <c r="C348" s="7">
        <v>140</v>
      </c>
      <c r="D348" s="8">
        <v>6333.6</v>
      </c>
      <c r="E348" s="9">
        <v>1</v>
      </c>
    </row>
    <row r="349" spans="1:5" x14ac:dyDescent="0.25">
      <c r="A349" s="7">
        <v>1</v>
      </c>
      <c r="B349" s="7">
        <v>509</v>
      </c>
      <c r="C349" s="7">
        <v>139</v>
      </c>
      <c r="D349" s="8">
        <v>241530.01</v>
      </c>
      <c r="E349" s="9">
        <v>1</v>
      </c>
    </row>
    <row r="350" spans="1:5" x14ac:dyDescent="0.25">
      <c r="A350" s="7">
        <v>1</v>
      </c>
      <c r="B350" s="7">
        <v>510</v>
      </c>
      <c r="C350" s="7">
        <v>186</v>
      </c>
      <c r="D350" s="8">
        <v>11246.4</v>
      </c>
      <c r="E350" s="9">
        <v>1</v>
      </c>
    </row>
    <row r="351" spans="1:5" x14ac:dyDescent="0.25">
      <c r="A351" s="7">
        <v>1</v>
      </c>
      <c r="B351" s="7">
        <v>511</v>
      </c>
      <c r="C351" s="7">
        <v>102</v>
      </c>
      <c r="D351" s="8">
        <v>1392.31</v>
      </c>
      <c r="E351" s="9">
        <v>1</v>
      </c>
    </row>
    <row r="352" spans="1:5" x14ac:dyDescent="0.25">
      <c r="A352" s="7">
        <v>1</v>
      </c>
      <c r="B352" s="7">
        <v>512</v>
      </c>
      <c r="C352" s="7">
        <v>102</v>
      </c>
      <c r="D352" s="8">
        <v>1392.31</v>
      </c>
      <c r="E352" s="9">
        <v>1</v>
      </c>
    </row>
    <row r="353" spans="1:5" x14ac:dyDescent="0.25">
      <c r="A353" s="7">
        <v>1</v>
      </c>
      <c r="B353" s="7">
        <v>513</v>
      </c>
      <c r="C353" s="7">
        <v>102</v>
      </c>
      <c r="D353" s="8">
        <v>1392.31</v>
      </c>
      <c r="E353" s="9">
        <v>1</v>
      </c>
    </row>
    <row r="354" spans="1:5" x14ac:dyDescent="0.25">
      <c r="A354" s="7">
        <v>1</v>
      </c>
      <c r="B354" s="7">
        <v>514</v>
      </c>
      <c r="C354" s="7">
        <v>102</v>
      </c>
      <c r="D354" s="8">
        <v>1392.31</v>
      </c>
      <c r="E354" s="9">
        <v>1</v>
      </c>
    </row>
    <row r="355" spans="1:5" x14ac:dyDescent="0.25">
      <c r="A355" s="7">
        <v>1</v>
      </c>
      <c r="B355" s="7">
        <v>515</v>
      </c>
      <c r="C355" s="7">
        <v>102</v>
      </c>
      <c r="D355" s="8">
        <v>1392.31</v>
      </c>
      <c r="E355" s="9">
        <v>1</v>
      </c>
    </row>
    <row r="356" spans="1:5" x14ac:dyDescent="0.25">
      <c r="A356" s="7">
        <v>1</v>
      </c>
      <c r="B356" s="7">
        <v>516</v>
      </c>
      <c r="C356" s="7">
        <v>102</v>
      </c>
      <c r="D356" s="8">
        <v>1392.31</v>
      </c>
      <c r="E356" s="9">
        <v>1</v>
      </c>
    </row>
    <row r="357" spans="1:5" x14ac:dyDescent="0.25">
      <c r="A357" s="7">
        <v>1</v>
      </c>
      <c r="B357" s="7">
        <v>517</v>
      </c>
      <c r="C357" s="7">
        <v>102</v>
      </c>
      <c r="D357" s="8">
        <v>1392.31</v>
      </c>
      <c r="E357" s="9">
        <v>1</v>
      </c>
    </row>
    <row r="358" spans="1:5" x14ac:dyDescent="0.25">
      <c r="A358" s="7">
        <v>1</v>
      </c>
      <c r="B358" s="7">
        <v>518</v>
      </c>
      <c r="C358" s="7">
        <v>102</v>
      </c>
      <c r="D358" s="8">
        <v>1392.31</v>
      </c>
      <c r="E358" s="9">
        <v>1</v>
      </c>
    </row>
    <row r="359" spans="1:5" x14ac:dyDescent="0.25">
      <c r="A359" s="7">
        <v>1</v>
      </c>
      <c r="B359" s="7">
        <v>519</v>
      </c>
      <c r="C359" s="7">
        <v>102</v>
      </c>
      <c r="D359" s="8">
        <v>1392.31</v>
      </c>
      <c r="E359" s="9">
        <v>1</v>
      </c>
    </row>
    <row r="360" spans="1:5" x14ac:dyDescent="0.25">
      <c r="A360" s="7">
        <v>1</v>
      </c>
      <c r="B360" s="7">
        <v>520</v>
      </c>
      <c r="C360" s="7">
        <v>102</v>
      </c>
      <c r="D360" s="8">
        <v>1392.31</v>
      </c>
      <c r="E360" s="9">
        <v>1</v>
      </c>
    </row>
    <row r="361" spans="1:5" x14ac:dyDescent="0.25">
      <c r="A361" s="7">
        <v>1</v>
      </c>
      <c r="B361" s="7">
        <v>521</v>
      </c>
      <c r="C361" s="7">
        <v>102</v>
      </c>
      <c r="D361" s="8">
        <v>1392.31</v>
      </c>
      <c r="E361" s="9">
        <v>1</v>
      </c>
    </row>
    <row r="362" spans="1:5" x14ac:dyDescent="0.25">
      <c r="A362" s="7">
        <v>1</v>
      </c>
      <c r="B362" s="7">
        <v>522</v>
      </c>
      <c r="C362" s="7">
        <v>102</v>
      </c>
      <c r="D362" s="8">
        <v>1392.31</v>
      </c>
      <c r="E362" s="9">
        <v>1</v>
      </c>
    </row>
    <row r="363" spans="1:5" x14ac:dyDescent="0.25">
      <c r="A363" s="7">
        <v>1</v>
      </c>
      <c r="B363" s="7">
        <v>523</v>
      </c>
      <c r="C363" s="7">
        <v>102</v>
      </c>
      <c r="D363" s="8">
        <v>1392.31</v>
      </c>
      <c r="E363" s="9">
        <v>1</v>
      </c>
    </row>
    <row r="364" spans="1:5" x14ac:dyDescent="0.25">
      <c r="A364" s="7">
        <v>1</v>
      </c>
      <c r="B364" s="7">
        <v>524</v>
      </c>
      <c r="C364" s="7">
        <v>102</v>
      </c>
      <c r="D364" s="8">
        <v>1874.52</v>
      </c>
      <c r="E364" s="9">
        <v>1</v>
      </c>
    </row>
    <row r="365" spans="1:5" x14ac:dyDescent="0.25">
      <c r="A365" s="7">
        <v>1</v>
      </c>
      <c r="B365" s="7">
        <v>528</v>
      </c>
      <c r="C365" s="7">
        <v>139</v>
      </c>
      <c r="D365" s="8">
        <v>10500.28</v>
      </c>
      <c r="E365" s="9">
        <v>1</v>
      </c>
    </row>
    <row r="366" spans="1:5" x14ac:dyDescent="0.25">
      <c r="A366" s="7">
        <v>1</v>
      </c>
      <c r="B366" s="7">
        <v>529</v>
      </c>
      <c r="C366" s="7">
        <v>157</v>
      </c>
      <c r="D366" s="8">
        <v>20281.93</v>
      </c>
      <c r="E366" s="9">
        <v>1</v>
      </c>
    </row>
    <row r="367" spans="1:5" x14ac:dyDescent="0.25">
      <c r="A367" s="7">
        <v>1</v>
      </c>
      <c r="B367" s="7">
        <v>530</v>
      </c>
      <c r="C367" s="7">
        <v>139</v>
      </c>
      <c r="D367" s="8">
        <v>16257.05</v>
      </c>
      <c r="E367" s="9">
        <v>1</v>
      </c>
    </row>
    <row r="368" spans="1:5" x14ac:dyDescent="0.25">
      <c r="A368" s="7">
        <v>1</v>
      </c>
      <c r="B368" s="7">
        <v>532</v>
      </c>
      <c r="C368" s="7">
        <v>107</v>
      </c>
      <c r="D368" s="8">
        <v>49956.64</v>
      </c>
      <c r="E368" s="9">
        <v>1</v>
      </c>
    </row>
    <row r="369" spans="1:5" x14ac:dyDescent="0.25">
      <c r="A369" s="7">
        <v>1</v>
      </c>
      <c r="B369" s="7">
        <v>533</v>
      </c>
      <c r="C369" s="7">
        <v>157</v>
      </c>
      <c r="D369" s="8">
        <v>56519.09</v>
      </c>
      <c r="E369" s="9">
        <v>1</v>
      </c>
    </row>
    <row r="370" spans="1:5" x14ac:dyDescent="0.25">
      <c r="A370" s="7">
        <v>1</v>
      </c>
      <c r="B370" s="7">
        <v>534</v>
      </c>
      <c r="C370" s="7">
        <v>137</v>
      </c>
      <c r="D370" s="8">
        <v>10723.43</v>
      </c>
      <c r="E370" s="9">
        <v>1</v>
      </c>
    </row>
    <row r="371" spans="1:5" x14ac:dyDescent="0.25">
      <c r="A371" s="7">
        <v>1</v>
      </c>
      <c r="B371" s="7">
        <v>535</v>
      </c>
      <c r="C371" s="7">
        <v>137</v>
      </c>
      <c r="D371" s="8">
        <v>12986.28</v>
      </c>
      <c r="E371" s="9">
        <v>1</v>
      </c>
    </row>
    <row r="372" spans="1:5" x14ac:dyDescent="0.25">
      <c r="A372" s="7">
        <v>1</v>
      </c>
      <c r="B372" s="7">
        <v>536</v>
      </c>
      <c r="C372" s="7">
        <v>137</v>
      </c>
      <c r="D372" s="8">
        <v>38105</v>
      </c>
      <c r="E372" s="9">
        <v>1</v>
      </c>
    </row>
    <row r="373" spans="1:5" x14ac:dyDescent="0.25">
      <c r="A373" s="7">
        <v>1</v>
      </c>
      <c r="B373" s="7">
        <v>537</v>
      </c>
      <c r="C373" s="7">
        <v>144</v>
      </c>
      <c r="D373" s="8">
        <v>3846</v>
      </c>
      <c r="E373" s="9">
        <v>1</v>
      </c>
    </row>
    <row r="374" spans="1:5" x14ac:dyDescent="0.25">
      <c r="A374" s="7">
        <v>1</v>
      </c>
      <c r="B374" s="7">
        <v>538</v>
      </c>
      <c r="C374" s="7">
        <v>139</v>
      </c>
      <c r="D374" s="8">
        <v>60289.39</v>
      </c>
      <c r="E374" s="9">
        <v>1</v>
      </c>
    </row>
    <row r="375" spans="1:5" x14ac:dyDescent="0.25">
      <c r="A375" s="7">
        <v>1</v>
      </c>
      <c r="B375" s="7">
        <v>540</v>
      </c>
      <c r="C375" s="7">
        <v>139</v>
      </c>
      <c r="D375" s="8">
        <v>241530.01</v>
      </c>
      <c r="E375" s="9">
        <v>1</v>
      </c>
    </row>
    <row r="376" spans="1:5" x14ac:dyDescent="0.25">
      <c r="A376" s="7">
        <v>1</v>
      </c>
      <c r="B376" s="7">
        <v>541</v>
      </c>
      <c r="C376" s="7">
        <v>902</v>
      </c>
      <c r="D376" s="8">
        <v>6196.39</v>
      </c>
      <c r="E376" s="9">
        <v>1</v>
      </c>
    </row>
    <row r="377" spans="1:5" x14ac:dyDescent="0.25">
      <c r="A377" s="7">
        <v>1</v>
      </c>
      <c r="B377" s="7">
        <v>542</v>
      </c>
      <c r="C377" s="7">
        <v>139</v>
      </c>
      <c r="D377" s="8">
        <v>10500.28</v>
      </c>
      <c r="E377" s="9">
        <v>1</v>
      </c>
    </row>
    <row r="378" spans="1:5" x14ac:dyDescent="0.25">
      <c r="A378" s="7">
        <v>1</v>
      </c>
      <c r="B378" s="7">
        <v>543</v>
      </c>
      <c r="C378" s="7">
        <v>140</v>
      </c>
      <c r="D378" s="8">
        <v>7268.98</v>
      </c>
      <c r="E378" s="9">
        <v>1</v>
      </c>
    </row>
    <row r="379" spans="1:5" x14ac:dyDescent="0.25">
      <c r="A379" s="7">
        <v>1</v>
      </c>
      <c r="B379" s="7">
        <v>544</v>
      </c>
      <c r="C379" s="7">
        <v>144</v>
      </c>
      <c r="D379" s="8">
        <v>3021.11</v>
      </c>
      <c r="E379" s="9">
        <v>1</v>
      </c>
    </row>
    <row r="380" spans="1:5" x14ac:dyDescent="0.25">
      <c r="A380" s="7">
        <v>1</v>
      </c>
      <c r="B380" s="7">
        <v>545</v>
      </c>
      <c r="C380" s="7">
        <v>140</v>
      </c>
      <c r="D380" s="8">
        <v>5688.47</v>
      </c>
      <c r="E380" s="9">
        <v>1</v>
      </c>
    </row>
    <row r="381" spans="1:5" x14ac:dyDescent="0.25">
      <c r="A381" s="7">
        <v>1</v>
      </c>
      <c r="B381" s="7">
        <v>546</v>
      </c>
      <c r="C381" s="7">
        <v>140</v>
      </c>
      <c r="D381" s="8">
        <v>7553.14</v>
      </c>
      <c r="E381" s="9">
        <v>1</v>
      </c>
    </row>
    <row r="382" spans="1:5" x14ac:dyDescent="0.25">
      <c r="A382" s="7">
        <v>1</v>
      </c>
      <c r="B382" s="7">
        <v>547</v>
      </c>
      <c r="C382" s="7">
        <v>140</v>
      </c>
      <c r="D382" s="8">
        <v>5688.47</v>
      </c>
      <c r="E382" s="9">
        <v>1</v>
      </c>
    </row>
    <row r="383" spans="1:5" x14ac:dyDescent="0.25">
      <c r="A383" s="7">
        <v>1</v>
      </c>
      <c r="B383" s="7">
        <v>548</v>
      </c>
      <c r="C383" s="7">
        <v>140</v>
      </c>
      <c r="D383" s="8">
        <v>8051.73</v>
      </c>
      <c r="E383" s="9">
        <v>1</v>
      </c>
    </row>
    <row r="384" spans="1:5" x14ac:dyDescent="0.25">
      <c r="A384" s="7">
        <v>1</v>
      </c>
      <c r="B384" s="7">
        <v>549</v>
      </c>
      <c r="C384" s="7">
        <v>139</v>
      </c>
      <c r="D384" s="8">
        <v>16257.05</v>
      </c>
      <c r="E384" s="9">
        <v>1</v>
      </c>
    </row>
    <row r="385" spans="1:5" x14ac:dyDescent="0.25">
      <c r="A385" s="7">
        <v>1</v>
      </c>
      <c r="B385" s="7">
        <v>550</v>
      </c>
      <c r="C385" s="7">
        <v>128</v>
      </c>
      <c r="D385" s="8">
        <v>1825</v>
      </c>
      <c r="E385" s="9">
        <v>1</v>
      </c>
    </row>
    <row r="386" spans="1:5" x14ac:dyDescent="0.25">
      <c r="A386" s="7">
        <v>1</v>
      </c>
      <c r="B386" s="7">
        <v>551</v>
      </c>
      <c r="C386" s="7">
        <v>102</v>
      </c>
      <c r="D386" s="8">
        <v>3298.93</v>
      </c>
      <c r="E386" s="9">
        <v>1</v>
      </c>
    </row>
    <row r="387" spans="1:5" x14ac:dyDescent="0.25">
      <c r="A387" s="7">
        <v>1</v>
      </c>
      <c r="B387" s="7">
        <v>552</v>
      </c>
      <c r="C387" s="7">
        <v>140</v>
      </c>
      <c r="D387" s="8">
        <v>11556.74</v>
      </c>
      <c r="E387" s="9">
        <v>1</v>
      </c>
    </row>
    <row r="388" spans="1:5" x14ac:dyDescent="0.25">
      <c r="A388" s="7">
        <v>1</v>
      </c>
      <c r="B388" s="7">
        <v>553</v>
      </c>
      <c r="C388" s="7">
        <v>144</v>
      </c>
      <c r="D388" s="8">
        <v>30847.91</v>
      </c>
      <c r="E388" s="9">
        <v>1</v>
      </c>
    </row>
    <row r="389" spans="1:5" x14ac:dyDescent="0.25">
      <c r="A389" s="7">
        <v>1</v>
      </c>
      <c r="B389" s="7">
        <v>554</v>
      </c>
      <c r="C389" s="7">
        <v>140</v>
      </c>
      <c r="D389" s="8">
        <v>7553.14</v>
      </c>
      <c r="E389" s="9">
        <v>1</v>
      </c>
    </row>
    <row r="390" spans="1:5" x14ac:dyDescent="0.25">
      <c r="A390" s="7">
        <v>1</v>
      </c>
      <c r="B390" s="7">
        <v>555</v>
      </c>
      <c r="C390" s="7">
        <v>902</v>
      </c>
      <c r="D390" s="8">
        <v>11703.77</v>
      </c>
      <c r="E390" s="9">
        <v>1</v>
      </c>
    </row>
    <row r="391" spans="1:5" x14ac:dyDescent="0.25">
      <c r="A391" s="7">
        <v>1</v>
      </c>
      <c r="B391" s="7">
        <v>556</v>
      </c>
      <c r="C391" s="7">
        <v>157</v>
      </c>
      <c r="D391" s="8">
        <v>28144.35</v>
      </c>
      <c r="E391" s="9">
        <v>1</v>
      </c>
    </row>
    <row r="392" spans="1:5" x14ac:dyDescent="0.25">
      <c r="A392" s="7">
        <v>1</v>
      </c>
      <c r="B392" s="7">
        <v>557</v>
      </c>
      <c r="C392" s="7">
        <v>157</v>
      </c>
      <c r="D392" s="8">
        <v>52024.05</v>
      </c>
      <c r="E392" s="9">
        <v>1</v>
      </c>
    </row>
    <row r="393" spans="1:5" x14ac:dyDescent="0.25">
      <c r="A393" s="7">
        <v>1</v>
      </c>
      <c r="B393" s="7">
        <v>558</v>
      </c>
      <c r="C393" s="7">
        <v>157</v>
      </c>
      <c r="D393" s="8">
        <v>26439.09</v>
      </c>
      <c r="E393" s="9">
        <v>1</v>
      </c>
    </row>
    <row r="394" spans="1:5" x14ac:dyDescent="0.25">
      <c r="A394" s="7">
        <v>1</v>
      </c>
      <c r="B394" s="7">
        <v>559</v>
      </c>
      <c r="C394" s="7">
        <v>157</v>
      </c>
      <c r="D394" s="8">
        <v>49295.04</v>
      </c>
      <c r="E394" s="9">
        <v>1</v>
      </c>
    </row>
    <row r="395" spans="1:5" x14ac:dyDescent="0.25">
      <c r="A395" s="7">
        <v>1</v>
      </c>
      <c r="B395" s="7">
        <v>560</v>
      </c>
      <c r="C395" s="7">
        <v>157</v>
      </c>
      <c r="D395" s="8">
        <v>7429.02</v>
      </c>
      <c r="E395" s="9">
        <v>1</v>
      </c>
    </row>
    <row r="396" spans="1:5" x14ac:dyDescent="0.25">
      <c r="A396" s="7">
        <v>1</v>
      </c>
      <c r="B396" s="7">
        <v>561</v>
      </c>
      <c r="C396" s="7">
        <v>102</v>
      </c>
      <c r="D396" s="8">
        <v>2784.05</v>
      </c>
      <c r="E396" s="9">
        <v>1</v>
      </c>
    </row>
    <row r="397" spans="1:5" x14ac:dyDescent="0.25">
      <c r="A397" s="7">
        <v>1</v>
      </c>
      <c r="B397" s="7">
        <v>562</v>
      </c>
      <c r="C397" s="7">
        <v>102</v>
      </c>
      <c r="D397" s="8">
        <v>2855.66</v>
      </c>
      <c r="E397" s="9">
        <v>1</v>
      </c>
    </row>
    <row r="398" spans="1:5" x14ac:dyDescent="0.25">
      <c r="A398" s="7">
        <v>1</v>
      </c>
      <c r="B398" s="7">
        <v>563</v>
      </c>
      <c r="C398" s="7">
        <v>102</v>
      </c>
      <c r="D398" s="8">
        <v>2999.41</v>
      </c>
      <c r="E398" s="9">
        <v>1</v>
      </c>
    </row>
    <row r="399" spans="1:5" x14ac:dyDescent="0.25">
      <c r="A399" s="7">
        <v>1</v>
      </c>
      <c r="B399" s="7">
        <v>564</v>
      </c>
      <c r="C399" s="7">
        <v>902</v>
      </c>
      <c r="D399" s="8">
        <v>10416.26</v>
      </c>
      <c r="E399" s="9">
        <v>1</v>
      </c>
    </row>
    <row r="400" spans="1:5" x14ac:dyDescent="0.25">
      <c r="A400" s="7">
        <v>1</v>
      </c>
      <c r="B400" s="7">
        <v>565</v>
      </c>
      <c r="C400" s="7">
        <v>102</v>
      </c>
      <c r="D400" s="8">
        <v>2715.47</v>
      </c>
      <c r="E400" s="9">
        <v>1</v>
      </c>
    </row>
    <row r="401" spans="1:5" x14ac:dyDescent="0.25">
      <c r="A401" s="7">
        <v>1</v>
      </c>
      <c r="B401" s="7">
        <v>566</v>
      </c>
      <c r="C401" s="7">
        <v>144</v>
      </c>
      <c r="D401" s="8">
        <v>3392.79</v>
      </c>
      <c r="E401" s="9">
        <v>1</v>
      </c>
    </row>
    <row r="402" spans="1:5" x14ac:dyDescent="0.25">
      <c r="A402" s="7">
        <v>1</v>
      </c>
      <c r="B402" s="7">
        <v>567</v>
      </c>
      <c r="C402" s="7">
        <v>144</v>
      </c>
      <c r="D402" s="8">
        <v>3813.91</v>
      </c>
      <c r="E402" s="9">
        <v>1</v>
      </c>
    </row>
    <row r="403" spans="1:5" x14ac:dyDescent="0.25">
      <c r="A403" s="7">
        <v>1</v>
      </c>
      <c r="B403" s="7">
        <v>568</v>
      </c>
      <c r="C403" s="7">
        <v>144</v>
      </c>
      <c r="D403" s="8">
        <v>4762.29</v>
      </c>
      <c r="E403" s="9">
        <v>1</v>
      </c>
    </row>
    <row r="404" spans="1:5" x14ac:dyDescent="0.25">
      <c r="A404" s="7">
        <v>1</v>
      </c>
      <c r="B404" s="7">
        <v>569</v>
      </c>
      <c r="C404" s="7">
        <v>144</v>
      </c>
      <c r="D404" s="8">
        <v>5784.62</v>
      </c>
      <c r="E404" s="9">
        <v>1</v>
      </c>
    </row>
    <row r="405" spans="1:5" x14ac:dyDescent="0.25">
      <c r="A405" s="7">
        <v>1</v>
      </c>
      <c r="B405" s="7">
        <v>570</v>
      </c>
      <c r="C405" s="7">
        <v>144</v>
      </c>
      <c r="D405" s="8">
        <v>7107.64</v>
      </c>
      <c r="E405" s="9">
        <v>1</v>
      </c>
    </row>
    <row r="406" spans="1:5" x14ac:dyDescent="0.25">
      <c r="A406" s="7">
        <v>1</v>
      </c>
      <c r="B406" s="7">
        <v>571</v>
      </c>
      <c r="C406" s="7">
        <v>139</v>
      </c>
      <c r="D406" s="8">
        <v>60289.39</v>
      </c>
      <c r="E406" s="9">
        <v>1</v>
      </c>
    </row>
    <row r="407" spans="1:5" x14ac:dyDescent="0.25">
      <c r="A407" s="7">
        <v>1</v>
      </c>
      <c r="B407" s="7">
        <v>572</v>
      </c>
      <c r="C407" s="7">
        <v>139</v>
      </c>
      <c r="D407" s="8">
        <v>241530.01</v>
      </c>
      <c r="E407" s="9">
        <v>1</v>
      </c>
    </row>
    <row r="408" spans="1:5" x14ac:dyDescent="0.25">
      <c r="A408" s="7">
        <v>1</v>
      </c>
      <c r="B408" s="7">
        <v>573</v>
      </c>
      <c r="C408" s="7">
        <v>902</v>
      </c>
      <c r="D408" s="8">
        <v>5958.08</v>
      </c>
      <c r="E408" s="9">
        <v>1</v>
      </c>
    </row>
    <row r="409" spans="1:5" x14ac:dyDescent="0.25">
      <c r="A409" s="7">
        <v>1</v>
      </c>
      <c r="B409" s="7">
        <v>574</v>
      </c>
      <c r="C409" s="7">
        <v>139</v>
      </c>
      <c r="D409" s="8">
        <v>10500.28</v>
      </c>
      <c r="E409" s="9">
        <v>1</v>
      </c>
    </row>
    <row r="410" spans="1:5" x14ac:dyDescent="0.25">
      <c r="A410" s="7">
        <v>1</v>
      </c>
      <c r="B410" s="7">
        <v>575</v>
      </c>
      <c r="C410" s="7">
        <v>139</v>
      </c>
      <c r="D410" s="8">
        <v>16257.05</v>
      </c>
      <c r="E410" s="9">
        <v>1</v>
      </c>
    </row>
    <row r="411" spans="1:5" x14ac:dyDescent="0.25">
      <c r="A411" s="7">
        <v>1</v>
      </c>
      <c r="B411" s="7">
        <v>576</v>
      </c>
      <c r="C411" s="7">
        <v>102</v>
      </c>
      <c r="D411" s="8">
        <v>1392.31</v>
      </c>
      <c r="E411" s="9">
        <v>1</v>
      </c>
    </row>
    <row r="412" spans="1:5" x14ac:dyDescent="0.25">
      <c r="A412" s="7">
        <v>1</v>
      </c>
      <c r="B412" s="7">
        <v>577</v>
      </c>
      <c r="C412" s="7">
        <v>102</v>
      </c>
      <c r="D412" s="8">
        <v>2171.63</v>
      </c>
      <c r="E412" s="9">
        <v>1</v>
      </c>
    </row>
    <row r="413" spans="1:5" x14ac:dyDescent="0.25">
      <c r="A413" s="7">
        <v>1</v>
      </c>
      <c r="B413" s="7">
        <v>578</v>
      </c>
      <c r="C413" s="7">
        <v>102</v>
      </c>
      <c r="D413" s="8">
        <v>2171.63</v>
      </c>
      <c r="E413" s="9">
        <v>1</v>
      </c>
    </row>
    <row r="414" spans="1:5" x14ac:dyDescent="0.25">
      <c r="A414" s="7">
        <v>1</v>
      </c>
      <c r="B414" s="7">
        <v>579</v>
      </c>
      <c r="C414" s="7">
        <v>139</v>
      </c>
      <c r="D414" s="8">
        <v>60289.39</v>
      </c>
      <c r="E414" s="9">
        <v>1</v>
      </c>
    </row>
    <row r="415" spans="1:5" x14ac:dyDescent="0.25">
      <c r="A415" s="7">
        <v>1</v>
      </c>
      <c r="B415" s="7">
        <v>580</v>
      </c>
      <c r="C415" s="7">
        <v>139</v>
      </c>
      <c r="D415" s="8">
        <v>241530.01</v>
      </c>
      <c r="E415" s="9">
        <v>1</v>
      </c>
    </row>
    <row r="416" spans="1:5" x14ac:dyDescent="0.25">
      <c r="A416" s="7">
        <v>1</v>
      </c>
      <c r="B416" s="7">
        <v>581</v>
      </c>
      <c r="C416" s="7">
        <v>144</v>
      </c>
      <c r="D416" s="8">
        <v>4161.56</v>
      </c>
      <c r="E416" s="9">
        <v>1</v>
      </c>
    </row>
    <row r="417" spans="1:5" x14ac:dyDescent="0.25">
      <c r="A417" s="7">
        <v>1</v>
      </c>
      <c r="B417" s="7">
        <v>582</v>
      </c>
      <c r="C417" s="7">
        <v>144</v>
      </c>
      <c r="D417" s="8">
        <v>5327.19</v>
      </c>
      <c r="E417" s="9">
        <v>1</v>
      </c>
    </row>
    <row r="418" spans="1:5" x14ac:dyDescent="0.25">
      <c r="A418" s="7">
        <v>1</v>
      </c>
      <c r="B418" s="7">
        <v>583</v>
      </c>
      <c r="C418" s="7">
        <v>144</v>
      </c>
      <c r="D418" s="8">
        <v>6835.32</v>
      </c>
      <c r="E418" s="9">
        <v>1</v>
      </c>
    </row>
    <row r="419" spans="1:5" x14ac:dyDescent="0.25">
      <c r="A419" s="7">
        <v>1</v>
      </c>
      <c r="B419" s="7">
        <v>584</v>
      </c>
      <c r="C419" s="7">
        <v>144</v>
      </c>
      <c r="D419" s="8">
        <v>11056.68</v>
      </c>
      <c r="E419" s="9">
        <v>1</v>
      </c>
    </row>
    <row r="420" spans="1:5" x14ac:dyDescent="0.25">
      <c r="A420" s="7">
        <v>1</v>
      </c>
      <c r="B420" s="7">
        <v>585</v>
      </c>
      <c r="C420" s="7">
        <v>186</v>
      </c>
      <c r="D420" s="8">
        <v>38493</v>
      </c>
      <c r="E420" s="9">
        <v>1</v>
      </c>
    </row>
    <row r="421" spans="1:5" x14ac:dyDescent="0.25">
      <c r="A421" s="7">
        <v>1</v>
      </c>
      <c r="B421" s="7">
        <v>586</v>
      </c>
      <c r="C421" s="7">
        <v>144</v>
      </c>
      <c r="D421" s="8">
        <v>4458.1</v>
      </c>
      <c r="E421" s="9">
        <v>1</v>
      </c>
    </row>
    <row r="422" spans="1:5" x14ac:dyDescent="0.25">
      <c r="A422" s="7">
        <v>1</v>
      </c>
      <c r="B422" s="7">
        <v>587</v>
      </c>
      <c r="C422" s="7">
        <v>144</v>
      </c>
      <c r="D422" s="8">
        <v>6300.5</v>
      </c>
      <c r="E422" s="9">
        <v>1</v>
      </c>
    </row>
    <row r="423" spans="1:5" x14ac:dyDescent="0.25">
      <c r="A423" s="7">
        <v>1</v>
      </c>
      <c r="B423" s="7">
        <v>588</v>
      </c>
      <c r="C423" s="7">
        <v>144</v>
      </c>
      <c r="D423" s="8">
        <v>9375.22</v>
      </c>
      <c r="E423" s="9">
        <v>1</v>
      </c>
    </row>
    <row r="424" spans="1:5" x14ac:dyDescent="0.25">
      <c r="A424" s="7">
        <v>1</v>
      </c>
      <c r="B424" s="7">
        <v>589</v>
      </c>
      <c r="C424" s="7">
        <v>144</v>
      </c>
      <c r="D424" s="8">
        <v>11769.79</v>
      </c>
      <c r="E424" s="9">
        <v>1</v>
      </c>
    </row>
    <row r="425" spans="1:5" x14ac:dyDescent="0.25">
      <c r="A425" s="7">
        <v>1</v>
      </c>
      <c r="B425" s="7">
        <v>590</v>
      </c>
      <c r="C425" s="7">
        <v>144</v>
      </c>
      <c r="D425" s="8">
        <v>15201.65</v>
      </c>
      <c r="E425" s="9">
        <v>1</v>
      </c>
    </row>
    <row r="426" spans="1:5" x14ac:dyDescent="0.25">
      <c r="A426" s="7">
        <v>1</v>
      </c>
      <c r="B426" s="7">
        <v>591</v>
      </c>
      <c r="C426" s="7">
        <v>902</v>
      </c>
      <c r="D426" s="8">
        <v>5958.08</v>
      </c>
      <c r="E426" s="9">
        <v>1</v>
      </c>
    </row>
    <row r="427" spans="1:5" x14ac:dyDescent="0.25">
      <c r="A427" s="7">
        <v>1</v>
      </c>
      <c r="B427" s="7">
        <v>592</v>
      </c>
      <c r="C427" s="7">
        <v>139</v>
      </c>
      <c r="D427" s="8">
        <v>10500.28</v>
      </c>
      <c r="E427" s="9">
        <v>1</v>
      </c>
    </row>
    <row r="428" spans="1:5" x14ac:dyDescent="0.25">
      <c r="A428" s="7">
        <v>1</v>
      </c>
      <c r="B428" s="7">
        <v>593</v>
      </c>
      <c r="C428" s="7">
        <v>128</v>
      </c>
      <c r="D428" s="8">
        <v>1554.11</v>
      </c>
      <c r="E428" s="9">
        <v>1</v>
      </c>
    </row>
    <row r="429" spans="1:5" x14ac:dyDescent="0.25">
      <c r="A429" s="7">
        <v>1</v>
      </c>
      <c r="B429" s="7">
        <v>594</v>
      </c>
      <c r="C429" s="7">
        <v>128</v>
      </c>
      <c r="D429" s="8">
        <v>1752.04</v>
      </c>
      <c r="E429" s="9">
        <v>1</v>
      </c>
    </row>
    <row r="430" spans="1:5" x14ac:dyDescent="0.25">
      <c r="A430" s="7">
        <v>1</v>
      </c>
      <c r="B430" s="7">
        <v>595</v>
      </c>
      <c r="C430" s="7">
        <v>128</v>
      </c>
      <c r="D430" s="8">
        <v>1901.13</v>
      </c>
      <c r="E430" s="9">
        <v>1</v>
      </c>
    </row>
    <row r="431" spans="1:5" x14ac:dyDescent="0.25">
      <c r="A431" s="7">
        <v>1</v>
      </c>
      <c r="B431" s="7">
        <v>596</v>
      </c>
      <c r="C431" s="7">
        <v>144</v>
      </c>
      <c r="D431" s="8">
        <v>8340.25</v>
      </c>
      <c r="E431" s="9">
        <v>1</v>
      </c>
    </row>
    <row r="432" spans="1:5" x14ac:dyDescent="0.25">
      <c r="A432" s="7">
        <v>1</v>
      </c>
      <c r="B432" s="7">
        <v>597</v>
      </c>
      <c r="C432" s="7">
        <v>107</v>
      </c>
      <c r="D432" s="8">
        <v>129589.65</v>
      </c>
      <c r="E432" s="9">
        <v>1</v>
      </c>
    </row>
    <row r="433" spans="1:5" x14ac:dyDescent="0.25">
      <c r="A433" s="7">
        <v>1</v>
      </c>
      <c r="B433" s="7">
        <v>599</v>
      </c>
      <c r="C433" s="7">
        <v>139</v>
      </c>
      <c r="D433" s="8">
        <v>16257.05</v>
      </c>
      <c r="E433" s="9">
        <v>1</v>
      </c>
    </row>
    <row r="434" spans="1:5" x14ac:dyDescent="0.25">
      <c r="A434" s="7">
        <v>1</v>
      </c>
      <c r="B434" s="7">
        <v>600</v>
      </c>
      <c r="C434" s="7">
        <v>139</v>
      </c>
      <c r="D434" s="8">
        <v>60289.39</v>
      </c>
      <c r="E434" s="9">
        <v>1</v>
      </c>
    </row>
    <row r="435" spans="1:5" x14ac:dyDescent="0.25">
      <c r="A435" s="7">
        <v>1</v>
      </c>
      <c r="B435" s="7">
        <v>601</v>
      </c>
      <c r="C435" s="7">
        <v>139</v>
      </c>
      <c r="D435" s="8">
        <v>241530.01</v>
      </c>
      <c r="E435" s="9">
        <v>1</v>
      </c>
    </row>
    <row r="436" spans="1:5" x14ac:dyDescent="0.25">
      <c r="A436" s="7">
        <v>1</v>
      </c>
      <c r="B436" s="7">
        <v>603</v>
      </c>
      <c r="C436" s="7">
        <v>139</v>
      </c>
      <c r="D436" s="8">
        <v>10500.28</v>
      </c>
      <c r="E436" s="9">
        <v>1</v>
      </c>
    </row>
    <row r="437" spans="1:5" x14ac:dyDescent="0.25">
      <c r="A437" s="7">
        <v>1</v>
      </c>
      <c r="B437" s="7">
        <v>604</v>
      </c>
      <c r="C437" s="7">
        <v>139</v>
      </c>
      <c r="D437" s="8">
        <v>16257.05</v>
      </c>
      <c r="E437" s="9">
        <v>1</v>
      </c>
    </row>
    <row r="438" spans="1:5" x14ac:dyDescent="0.25">
      <c r="A438" s="7">
        <v>1</v>
      </c>
      <c r="B438" s="7">
        <v>605</v>
      </c>
      <c r="C438" s="7">
        <v>157</v>
      </c>
      <c r="D438" s="8">
        <v>26002.34</v>
      </c>
      <c r="E438" s="9">
        <v>1</v>
      </c>
    </row>
    <row r="439" spans="1:5" x14ac:dyDescent="0.25">
      <c r="A439" s="7">
        <v>1</v>
      </c>
      <c r="B439" s="7">
        <v>606</v>
      </c>
      <c r="C439" s="7">
        <v>157</v>
      </c>
      <c r="D439" s="8">
        <v>26096.85</v>
      </c>
      <c r="E439" s="9">
        <v>1</v>
      </c>
    </row>
    <row r="440" spans="1:5" x14ac:dyDescent="0.25">
      <c r="A440" s="7">
        <v>1</v>
      </c>
      <c r="B440" s="7">
        <v>607</v>
      </c>
      <c r="C440" s="7">
        <v>102</v>
      </c>
      <c r="D440" s="8">
        <v>1874.52</v>
      </c>
      <c r="E440" s="9">
        <v>1</v>
      </c>
    </row>
    <row r="441" spans="1:5" x14ac:dyDescent="0.25">
      <c r="A441" s="7">
        <v>1</v>
      </c>
      <c r="B441" s="7">
        <v>608</v>
      </c>
      <c r="C441" s="7">
        <v>107</v>
      </c>
      <c r="D441" s="8">
        <v>38380.85</v>
      </c>
      <c r="E441" s="9">
        <v>1</v>
      </c>
    </row>
    <row r="442" spans="1:5" x14ac:dyDescent="0.25">
      <c r="A442" s="7">
        <v>1</v>
      </c>
      <c r="B442" s="7">
        <v>609</v>
      </c>
      <c r="C442" s="7">
        <v>157</v>
      </c>
      <c r="D442" s="8">
        <v>11977.2</v>
      </c>
      <c r="E442" s="9">
        <v>1</v>
      </c>
    </row>
    <row r="443" spans="1:5" x14ac:dyDescent="0.25">
      <c r="A443" s="7">
        <v>1</v>
      </c>
      <c r="B443" s="7">
        <v>617</v>
      </c>
      <c r="C443" s="7">
        <v>107</v>
      </c>
      <c r="D443" s="8">
        <v>84774.9</v>
      </c>
      <c r="E443" s="9">
        <v>1</v>
      </c>
    </row>
    <row r="444" spans="1:5" x14ac:dyDescent="0.25">
      <c r="A444" s="7">
        <v>1</v>
      </c>
      <c r="B444" s="7">
        <v>624</v>
      </c>
      <c r="C444" s="7">
        <v>107</v>
      </c>
      <c r="D444" s="8">
        <v>9558.94</v>
      </c>
      <c r="E444" s="9">
        <v>1</v>
      </c>
    </row>
    <row r="445" spans="1:5" x14ac:dyDescent="0.25">
      <c r="A445" s="7">
        <v>1</v>
      </c>
      <c r="B445" s="7">
        <v>625</v>
      </c>
      <c r="C445" s="7">
        <v>107</v>
      </c>
      <c r="D445" s="8">
        <v>29247.91</v>
      </c>
      <c r="E445" s="9">
        <v>1</v>
      </c>
    </row>
    <row r="446" spans="1:5" x14ac:dyDescent="0.25">
      <c r="A446" s="7">
        <v>1</v>
      </c>
      <c r="B446" s="7">
        <v>626</v>
      </c>
      <c r="C446" s="7">
        <v>107</v>
      </c>
      <c r="D446" s="8">
        <v>62726.49</v>
      </c>
      <c r="E446" s="9">
        <v>1</v>
      </c>
    </row>
    <row r="447" spans="1:5" x14ac:dyDescent="0.25">
      <c r="A447" s="7">
        <v>1</v>
      </c>
      <c r="B447" s="7">
        <v>627</v>
      </c>
      <c r="C447" s="7">
        <v>107</v>
      </c>
      <c r="D447" s="8">
        <v>104543.33</v>
      </c>
      <c r="E447" s="9">
        <v>1</v>
      </c>
    </row>
    <row r="448" spans="1:5" x14ac:dyDescent="0.25">
      <c r="A448" s="7">
        <v>1</v>
      </c>
      <c r="B448" s="7">
        <v>628</v>
      </c>
      <c r="C448" s="7">
        <v>144</v>
      </c>
      <c r="D448" s="8">
        <v>1507.42</v>
      </c>
      <c r="E448" s="9">
        <v>1</v>
      </c>
    </row>
    <row r="449" spans="1:5" x14ac:dyDescent="0.25">
      <c r="A449" s="7">
        <v>1</v>
      </c>
      <c r="B449" s="7">
        <v>629</v>
      </c>
      <c r="C449" s="7">
        <v>144</v>
      </c>
      <c r="D449" s="8">
        <v>1687.43</v>
      </c>
      <c r="E449" s="9">
        <v>1</v>
      </c>
    </row>
    <row r="450" spans="1:5" x14ac:dyDescent="0.25">
      <c r="A450" s="7">
        <v>1</v>
      </c>
      <c r="B450" s="7">
        <v>630</v>
      </c>
      <c r="C450" s="7">
        <v>157</v>
      </c>
      <c r="D450" s="8">
        <v>12102.37</v>
      </c>
      <c r="E450" s="9">
        <v>1</v>
      </c>
    </row>
    <row r="451" spans="1:5" x14ac:dyDescent="0.25">
      <c r="A451" s="7">
        <v>1</v>
      </c>
      <c r="B451" s="7">
        <v>631</v>
      </c>
      <c r="C451" s="7">
        <v>157</v>
      </c>
      <c r="D451" s="8">
        <v>20469.15</v>
      </c>
      <c r="E451" s="9">
        <v>1</v>
      </c>
    </row>
    <row r="452" spans="1:5" x14ac:dyDescent="0.25">
      <c r="A452" s="7">
        <v>1</v>
      </c>
      <c r="B452" s="7">
        <v>632</v>
      </c>
      <c r="C452" s="7">
        <v>157</v>
      </c>
      <c r="D452" s="8">
        <v>12102.37</v>
      </c>
      <c r="E452" s="9">
        <v>1</v>
      </c>
    </row>
    <row r="453" spans="1:5" x14ac:dyDescent="0.25">
      <c r="A453" s="7">
        <v>1</v>
      </c>
      <c r="B453" s="7">
        <v>634</v>
      </c>
      <c r="C453" s="7">
        <v>157</v>
      </c>
      <c r="D453" s="8">
        <v>41464.8</v>
      </c>
      <c r="E453" s="9">
        <v>1</v>
      </c>
    </row>
    <row r="454" spans="1:5" x14ac:dyDescent="0.25">
      <c r="A454" s="7">
        <v>1</v>
      </c>
      <c r="B454" s="7">
        <v>639</v>
      </c>
      <c r="C454" s="7">
        <v>139</v>
      </c>
      <c r="D454" s="8">
        <v>60289.39</v>
      </c>
      <c r="E454" s="9">
        <v>1</v>
      </c>
    </row>
    <row r="455" spans="1:5" x14ac:dyDescent="0.25">
      <c r="A455" s="7">
        <v>1</v>
      </c>
      <c r="B455" s="7">
        <v>640</v>
      </c>
      <c r="C455" s="7">
        <v>157</v>
      </c>
      <c r="D455" s="8">
        <v>20856.48</v>
      </c>
      <c r="E455" s="9">
        <v>1</v>
      </c>
    </row>
    <row r="456" spans="1:5" x14ac:dyDescent="0.25">
      <c r="A456" s="7">
        <v>1</v>
      </c>
      <c r="B456" s="7">
        <v>641</v>
      </c>
      <c r="C456" s="7">
        <v>150</v>
      </c>
      <c r="D456" s="8">
        <v>36614.53</v>
      </c>
      <c r="E456" s="9">
        <v>1</v>
      </c>
    </row>
    <row r="457" spans="1:5" x14ac:dyDescent="0.25">
      <c r="A457" s="7">
        <v>1</v>
      </c>
      <c r="B457" s="7">
        <v>642</v>
      </c>
      <c r="C457" s="7">
        <v>150</v>
      </c>
      <c r="D457" s="8">
        <v>76429.46</v>
      </c>
      <c r="E457" s="9">
        <v>1</v>
      </c>
    </row>
    <row r="458" spans="1:5" x14ac:dyDescent="0.25">
      <c r="A458" s="7">
        <v>1</v>
      </c>
      <c r="B458" s="7">
        <v>645</v>
      </c>
      <c r="C458" s="7">
        <v>157</v>
      </c>
      <c r="D458" s="8">
        <v>7827.11</v>
      </c>
      <c r="E458" s="9">
        <v>1</v>
      </c>
    </row>
    <row r="459" spans="1:5" x14ac:dyDescent="0.25">
      <c r="A459" s="7">
        <v>1</v>
      </c>
      <c r="B459" s="7">
        <v>646</v>
      </c>
      <c r="C459" s="7">
        <v>157</v>
      </c>
      <c r="D459" s="8">
        <v>33220.69</v>
      </c>
      <c r="E459" s="9">
        <v>1</v>
      </c>
    </row>
    <row r="460" spans="1:5" x14ac:dyDescent="0.25">
      <c r="A460" s="7">
        <v>1</v>
      </c>
      <c r="B460" s="7">
        <v>647</v>
      </c>
      <c r="C460" s="7">
        <v>157</v>
      </c>
      <c r="D460" s="8">
        <v>7827.11</v>
      </c>
      <c r="E460" s="9">
        <v>1</v>
      </c>
    </row>
    <row r="461" spans="1:5" x14ac:dyDescent="0.25">
      <c r="A461" s="7">
        <v>1</v>
      </c>
      <c r="B461" s="7">
        <v>648</v>
      </c>
      <c r="C461" s="7">
        <v>157</v>
      </c>
      <c r="D461" s="8">
        <v>33220.69</v>
      </c>
      <c r="E461" s="9">
        <v>1</v>
      </c>
    </row>
    <row r="462" spans="1:5" x14ac:dyDescent="0.25">
      <c r="A462" s="7">
        <v>1</v>
      </c>
      <c r="B462" s="7">
        <v>649</v>
      </c>
      <c r="C462" s="7">
        <v>130</v>
      </c>
      <c r="D462" s="8">
        <v>13593.29</v>
      </c>
      <c r="E462" s="9">
        <v>1</v>
      </c>
    </row>
    <row r="463" spans="1:5" x14ac:dyDescent="0.25">
      <c r="A463" s="7">
        <v>1</v>
      </c>
      <c r="B463" s="7">
        <v>650</v>
      </c>
      <c r="C463" s="7">
        <v>130</v>
      </c>
      <c r="D463" s="8">
        <v>40147.67</v>
      </c>
      <c r="E463" s="9">
        <v>1</v>
      </c>
    </row>
    <row r="464" spans="1:5" x14ac:dyDescent="0.25">
      <c r="A464" s="7">
        <v>1</v>
      </c>
      <c r="B464" s="7">
        <v>651</v>
      </c>
      <c r="C464" s="7">
        <v>130</v>
      </c>
      <c r="D464" s="8">
        <v>113970.06</v>
      </c>
      <c r="E464" s="9">
        <v>1</v>
      </c>
    </row>
    <row r="465" spans="1:5" x14ac:dyDescent="0.25">
      <c r="A465" s="7">
        <v>1</v>
      </c>
      <c r="B465" s="7">
        <v>652</v>
      </c>
      <c r="C465" s="7">
        <v>157</v>
      </c>
      <c r="D465" s="8">
        <v>9575.34</v>
      </c>
      <c r="E465" s="9">
        <v>1</v>
      </c>
    </row>
    <row r="466" spans="1:5" x14ac:dyDescent="0.25">
      <c r="A466" s="7">
        <v>1</v>
      </c>
      <c r="B466" s="7">
        <v>653</v>
      </c>
      <c r="C466" s="7">
        <v>157</v>
      </c>
      <c r="D466" s="8">
        <v>9982.93</v>
      </c>
      <c r="E466" s="9">
        <v>1</v>
      </c>
    </row>
    <row r="467" spans="1:5" x14ac:dyDescent="0.25">
      <c r="A467" s="7">
        <v>1</v>
      </c>
      <c r="B467" s="7">
        <v>654</v>
      </c>
      <c r="C467" s="7">
        <v>157</v>
      </c>
      <c r="D467" s="8">
        <v>38082.05</v>
      </c>
      <c r="E467" s="9">
        <v>1</v>
      </c>
    </row>
    <row r="468" spans="1:5" x14ac:dyDescent="0.25">
      <c r="A468" s="7">
        <v>1</v>
      </c>
      <c r="B468" s="7">
        <v>655</v>
      </c>
      <c r="C468" s="7">
        <v>157</v>
      </c>
      <c r="D468" s="8">
        <v>16194.26</v>
      </c>
      <c r="E468" s="9">
        <v>1</v>
      </c>
    </row>
    <row r="469" spans="1:5" x14ac:dyDescent="0.25">
      <c r="A469" s="7">
        <v>1</v>
      </c>
      <c r="B469" s="7">
        <v>657</v>
      </c>
      <c r="C469" s="7">
        <v>157</v>
      </c>
      <c r="D469" s="8">
        <v>36609.43</v>
      </c>
      <c r="E469" s="9">
        <v>1</v>
      </c>
    </row>
    <row r="470" spans="1:5" x14ac:dyDescent="0.25">
      <c r="A470" s="7">
        <v>1</v>
      </c>
      <c r="B470" s="7">
        <v>659</v>
      </c>
      <c r="C470" s="7">
        <v>115</v>
      </c>
      <c r="D470" s="8">
        <v>399882.6</v>
      </c>
      <c r="E470" s="9">
        <v>1</v>
      </c>
    </row>
    <row r="471" spans="1:5" x14ac:dyDescent="0.25">
      <c r="A471" s="7">
        <v>1</v>
      </c>
      <c r="B471" s="7">
        <v>660</v>
      </c>
      <c r="C471" s="7">
        <v>115</v>
      </c>
      <c r="D471" s="8">
        <v>490120.8</v>
      </c>
      <c r="E471" s="9">
        <v>1</v>
      </c>
    </row>
    <row r="472" spans="1:5" x14ac:dyDescent="0.25">
      <c r="A472" s="7">
        <v>1</v>
      </c>
      <c r="B472" s="7">
        <v>661</v>
      </c>
      <c r="C472" s="7">
        <v>146</v>
      </c>
      <c r="D472" s="8">
        <v>43830.51</v>
      </c>
      <c r="E472" s="9">
        <v>1</v>
      </c>
    </row>
    <row r="473" spans="1:5" x14ac:dyDescent="0.25">
      <c r="A473" s="7">
        <v>1</v>
      </c>
      <c r="B473" s="7">
        <v>663</v>
      </c>
      <c r="C473" s="7">
        <v>115</v>
      </c>
      <c r="D473" s="8">
        <v>58983.6</v>
      </c>
      <c r="E473" s="9">
        <v>1</v>
      </c>
    </row>
    <row r="474" spans="1:5" x14ac:dyDescent="0.25">
      <c r="A474" s="7">
        <v>1</v>
      </c>
      <c r="B474" s="7">
        <v>664</v>
      </c>
      <c r="C474" s="7">
        <v>128</v>
      </c>
      <c r="D474" s="8">
        <v>20534.74</v>
      </c>
      <c r="E474" s="9">
        <v>1</v>
      </c>
    </row>
    <row r="475" spans="1:5" x14ac:dyDescent="0.25">
      <c r="A475" s="7">
        <v>1</v>
      </c>
      <c r="B475" s="7">
        <v>665</v>
      </c>
      <c r="C475" s="7">
        <v>128</v>
      </c>
      <c r="D475" s="8">
        <v>24058.85</v>
      </c>
      <c r="E475" s="9">
        <v>1</v>
      </c>
    </row>
    <row r="476" spans="1:5" x14ac:dyDescent="0.25">
      <c r="A476" s="7">
        <v>1</v>
      </c>
      <c r="B476" s="7">
        <v>666</v>
      </c>
      <c r="C476" s="7">
        <v>115</v>
      </c>
      <c r="D476" s="8">
        <v>575159.52</v>
      </c>
      <c r="E476" s="9">
        <v>1</v>
      </c>
    </row>
    <row r="477" spans="1:5" x14ac:dyDescent="0.25">
      <c r="A477" s="7">
        <v>1</v>
      </c>
      <c r="B477" s="7">
        <v>667</v>
      </c>
      <c r="C477" s="7">
        <v>157</v>
      </c>
      <c r="D477" s="8">
        <v>20856.48</v>
      </c>
      <c r="E477" s="9">
        <v>1</v>
      </c>
    </row>
    <row r="478" spans="1:5" x14ac:dyDescent="0.25">
      <c r="A478" s="7">
        <v>1</v>
      </c>
      <c r="B478" s="7">
        <v>668</v>
      </c>
      <c r="C478" s="7">
        <v>157</v>
      </c>
      <c r="D478" s="8">
        <v>23315.18</v>
      </c>
      <c r="E478" s="9">
        <v>1</v>
      </c>
    </row>
    <row r="479" spans="1:5" x14ac:dyDescent="0.25">
      <c r="A479" s="7">
        <v>1</v>
      </c>
      <c r="B479" s="7">
        <v>669</v>
      </c>
      <c r="C479" s="7">
        <v>157</v>
      </c>
      <c r="D479" s="8">
        <v>16351.88</v>
      </c>
      <c r="E479" s="9">
        <v>1</v>
      </c>
    </row>
    <row r="480" spans="1:5" x14ac:dyDescent="0.25">
      <c r="A480" s="7">
        <v>1</v>
      </c>
      <c r="B480" s="7">
        <v>670</v>
      </c>
      <c r="C480" s="7">
        <v>157</v>
      </c>
      <c r="D480" s="8">
        <v>37001.25</v>
      </c>
      <c r="E480" s="9">
        <v>1</v>
      </c>
    </row>
    <row r="481" spans="1:5" x14ac:dyDescent="0.25">
      <c r="A481" s="7">
        <v>1</v>
      </c>
      <c r="B481" s="7">
        <v>671</v>
      </c>
      <c r="C481" s="7">
        <v>139</v>
      </c>
      <c r="D481" s="8">
        <v>241530.01</v>
      </c>
      <c r="E481" s="9">
        <v>1</v>
      </c>
    </row>
    <row r="482" spans="1:5" x14ac:dyDescent="0.25">
      <c r="A482" s="7">
        <v>1</v>
      </c>
      <c r="B482" s="7">
        <v>672</v>
      </c>
      <c r="C482" s="7">
        <v>186</v>
      </c>
      <c r="D482" s="8">
        <v>7614</v>
      </c>
      <c r="E482" s="9">
        <v>1</v>
      </c>
    </row>
    <row r="483" spans="1:5" x14ac:dyDescent="0.25">
      <c r="A483" s="7">
        <v>1</v>
      </c>
      <c r="B483" s="7">
        <v>673</v>
      </c>
      <c r="C483" s="7">
        <v>186</v>
      </c>
      <c r="D483" s="8">
        <v>26910</v>
      </c>
      <c r="E483" s="9">
        <v>1</v>
      </c>
    </row>
    <row r="484" spans="1:5" x14ac:dyDescent="0.25">
      <c r="A484" s="7">
        <v>1</v>
      </c>
      <c r="B484" s="7">
        <v>676</v>
      </c>
      <c r="C484" s="7">
        <v>119</v>
      </c>
      <c r="D484" s="8">
        <v>5834.86</v>
      </c>
      <c r="E484" s="9">
        <v>1</v>
      </c>
    </row>
    <row r="485" spans="1:5" x14ac:dyDescent="0.25">
      <c r="A485" s="7">
        <v>1</v>
      </c>
      <c r="B485" s="7">
        <v>677</v>
      </c>
      <c r="C485" s="7">
        <v>119</v>
      </c>
      <c r="D485" s="8">
        <v>9165.04</v>
      </c>
      <c r="E485" s="9">
        <v>1</v>
      </c>
    </row>
    <row r="486" spans="1:5" x14ac:dyDescent="0.25">
      <c r="A486" s="7">
        <v>1</v>
      </c>
      <c r="B486" s="7">
        <v>678</v>
      </c>
      <c r="C486" s="7">
        <v>128</v>
      </c>
      <c r="D486" s="8">
        <v>1455.07</v>
      </c>
      <c r="E486" s="9">
        <v>1</v>
      </c>
    </row>
    <row r="487" spans="1:5" x14ac:dyDescent="0.25">
      <c r="A487" s="7">
        <v>1</v>
      </c>
      <c r="B487" s="7">
        <v>679</v>
      </c>
      <c r="C487" s="7">
        <v>128</v>
      </c>
      <c r="D487" s="8">
        <v>1564.43</v>
      </c>
      <c r="E487" s="9">
        <v>1</v>
      </c>
    </row>
    <row r="488" spans="1:5" x14ac:dyDescent="0.25">
      <c r="A488" s="7">
        <v>1</v>
      </c>
      <c r="B488" s="7">
        <v>680</v>
      </c>
      <c r="C488" s="7">
        <v>128</v>
      </c>
      <c r="D488" s="8">
        <v>1744.43</v>
      </c>
      <c r="E488" s="9">
        <v>1</v>
      </c>
    </row>
    <row r="489" spans="1:5" x14ac:dyDescent="0.25">
      <c r="A489" s="7">
        <v>1</v>
      </c>
      <c r="B489" s="7">
        <v>683</v>
      </c>
      <c r="C489" s="7">
        <v>107</v>
      </c>
      <c r="D489" s="8">
        <v>24143.92</v>
      </c>
      <c r="E489" s="9">
        <v>1</v>
      </c>
    </row>
    <row r="490" spans="1:5" x14ac:dyDescent="0.25">
      <c r="A490" s="7">
        <v>1</v>
      </c>
      <c r="B490" s="7">
        <v>684</v>
      </c>
      <c r="C490" s="7">
        <v>107</v>
      </c>
      <c r="D490" s="8">
        <v>76831.89</v>
      </c>
      <c r="E490" s="9">
        <v>1</v>
      </c>
    </row>
    <row r="491" spans="1:5" x14ac:dyDescent="0.25">
      <c r="A491" s="7">
        <v>1</v>
      </c>
      <c r="B491" s="7">
        <v>685</v>
      </c>
      <c r="C491" s="7">
        <v>186</v>
      </c>
      <c r="D491" s="8">
        <v>103410</v>
      </c>
      <c r="E491" s="9">
        <v>1</v>
      </c>
    </row>
    <row r="492" spans="1:5" x14ac:dyDescent="0.25">
      <c r="A492" s="7">
        <v>1</v>
      </c>
      <c r="B492" s="7">
        <v>686</v>
      </c>
      <c r="C492" s="7">
        <v>107</v>
      </c>
      <c r="D492" s="8">
        <v>264068.3</v>
      </c>
      <c r="E492" s="9">
        <v>1</v>
      </c>
    </row>
    <row r="493" spans="1:5" x14ac:dyDescent="0.25">
      <c r="A493" s="7">
        <v>1</v>
      </c>
      <c r="B493" s="7">
        <v>689</v>
      </c>
      <c r="C493" s="7">
        <v>186</v>
      </c>
      <c r="D493" s="8">
        <v>947520</v>
      </c>
      <c r="E493" s="9">
        <v>1</v>
      </c>
    </row>
    <row r="494" spans="1:5" x14ac:dyDescent="0.25">
      <c r="A494" s="7">
        <v>1</v>
      </c>
      <c r="B494" s="7">
        <v>691</v>
      </c>
      <c r="C494" s="7">
        <v>124</v>
      </c>
      <c r="D494" s="8">
        <v>4087.93</v>
      </c>
      <c r="E494" s="9">
        <v>1</v>
      </c>
    </row>
    <row r="495" spans="1:5" x14ac:dyDescent="0.25">
      <c r="A495" s="7">
        <v>1</v>
      </c>
      <c r="B495" s="7">
        <v>693</v>
      </c>
      <c r="C495" s="7">
        <v>124</v>
      </c>
      <c r="D495" s="8">
        <v>4495.58</v>
      </c>
      <c r="E495" s="9">
        <v>1</v>
      </c>
    </row>
    <row r="496" spans="1:5" x14ac:dyDescent="0.25">
      <c r="A496" s="7">
        <v>1</v>
      </c>
      <c r="B496" s="7">
        <v>694</v>
      </c>
      <c r="C496" s="7">
        <v>166</v>
      </c>
      <c r="D496" s="8">
        <v>13686.95</v>
      </c>
      <c r="E496" s="9">
        <v>1</v>
      </c>
    </row>
    <row r="497" spans="1:5" x14ac:dyDescent="0.25">
      <c r="A497" s="7">
        <v>1</v>
      </c>
      <c r="B497" s="7">
        <v>698</v>
      </c>
      <c r="C497" s="7">
        <v>186</v>
      </c>
      <c r="D497" s="8">
        <v>104625</v>
      </c>
      <c r="E497" s="9">
        <v>1</v>
      </c>
    </row>
    <row r="498" spans="1:5" x14ac:dyDescent="0.25">
      <c r="A498" s="7">
        <v>1</v>
      </c>
      <c r="B498" s="7">
        <v>700</v>
      </c>
      <c r="C498" s="7">
        <v>120</v>
      </c>
      <c r="D498" s="8">
        <v>1158.05</v>
      </c>
      <c r="E498" s="9">
        <v>1</v>
      </c>
    </row>
    <row r="499" spans="1:5" x14ac:dyDescent="0.25">
      <c r="A499" s="7">
        <v>1</v>
      </c>
      <c r="B499" s="7">
        <v>701</v>
      </c>
      <c r="C499" s="7">
        <v>120</v>
      </c>
      <c r="D499" s="8">
        <v>4448.66</v>
      </c>
      <c r="E499" s="9">
        <v>1</v>
      </c>
    </row>
    <row r="500" spans="1:5" x14ac:dyDescent="0.25">
      <c r="A500" s="7">
        <v>1</v>
      </c>
      <c r="B500" s="7">
        <v>702</v>
      </c>
      <c r="C500" s="7">
        <v>120</v>
      </c>
      <c r="D500" s="8">
        <v>160123.19</v>
      </c>
      <c r="E500" s="9">
        <v>1</v>
      </c>
    </row>
    <row r="501" spans="1:5" x14ac:dyDescent="0.25">
      <c r="A501" s="7">
        <v>1</v>
      </c>
      <c r="B501" s="7">
        <v>705</v>
      </c>
      <c r="C501" s="7">
        <v>157</v>
      </c>
      <c r="D501" s="8">
        <v>7827.11</v>
      </c>
      <c r="E501" s="9">
        <v>1</v>
      </c>
    </row>
    <row r="502" spans="1:5" x14ac:dyDescent="0.25">
      <c r="A502" s="7">
        <v>1</v>
      </c>
      <c r="B502" s="7">
        <v>706</v>
      </c>
      <c r="C502" s="7">
        <v>120</v>
      </c>
      <c r="D502" s="8">
        <v>20223.4</v>
      </c>
      <c r="E502" s="9">
        <v>1</v>
      </c>
    </row>
    <row r="503" spans="1:5" x14ac:dyDescent="0.25">
      <c r="A503" s="7">
        <v>1</v>
      </c>
      <c r="B503" s="7">
        <v>708</v>
      </c>
      <c r="C503" s="7">
        <v>157</v>
      </c>
      <c r="D503" s="8">
        <v>20856.48</v>
      </c>
      <c r="E503" s="9">
        <v>1</v>
      </c>
    </row>
    <row r="504" spans="1:5" x14ac:dyDescent="0.25">
      <c r="A504" s="7">
        <v>1</v>
      </c>
      <c r="B504" s="7">
        <v>709</v>
      </c>
      <c r="C504" s="7">
        <v>157</v>
      </c>
      <c r="D504" s="8">
        <v>33220.69</v>
      </c>
      <c r="E504" s="9">
        <v>1</v>
      </c>
    </row>
    <row r="505" spans="1:5" x14ac:dyDescent="0.25">
      <c r="A505" s="7">
        <v>1</v>
      </c>
      <c r="B505" s="7">
        <v>710</v>
      </c>
      <c r="C505" s="7">
        <v>127</v>
      </c>
      <c r="D505" s="8">
        <v>16758</v>
      </c>
      <c r="E505" s="9">
        <v>1</v>
      </c>
    </row>
    <row r="506" spans="1:5" x14ac:dyDescent="0.25">
      <c r="A506" s="7">
        <v>1</v>
      </c>
      <c r="B506" s="7">
        <v>711</v>
      </c>
      <c r="C506" s="7">
        <v>107</v>
      </c>
      <c r="D506" s="8">
        <v>60503.28</v>
      </c>
      <c r="E506" s="9">
        <v>1</v>
      </c>
    </row>
    <row r="507" spans="1:5" x14ac:dyDescent="0.25">
      <c r="A507" s="7">
        <v>1</v>
      </c>
      <c r="B507" s="7">
        <v>713</v>
      </c>
      <c r="C507" s="7">
        <v>186</v>
      </c>
      <c r="D507" s="8">
        <v>117450</v>
      </c>
      <c r="E507" s="9">
        <v>1</v>
      </c>
    </row>
    <row r="508" spans="1:5" x14ac:dyDescent="0.25">
      <c r="A508" s="7">
        <v>1</v>
      </c>
      <c r="B508" s="7">
        <v>714</v>
      </c>
      <c r="C508" s="7">
        <v>186</v>
      </c>
      <c r="D508" s="8">
        <v>1089900</v>
      </c>
      <c r="E508" s="9">
        <v>1</v>
      </c>
    </row>
    <row r="509" spans="1:5" x14ac:dyDescent="0.25">
      <c r="A509" s="7">
        <v>1</v>
      </c>
      <c r="B509" s="7">
        <v>715</v>
      </c>
      <c r="C509" s="7">
        <v>126</v>
      </c>
      <c r="D509" s="8">
        <v>5923.3</v>
      </c>
      <c r="E509" s="9">
        <v>1</v>
      </c>
    </row>
    <row r="510" spans="1:5" x14ac:dyDescent="0.25">
      <c r="A510" s="7">
        <v>1</v>
      </c>
      <c r="B510" s="7">
        <v>716</v>
      </c>
      <c r="C510" s="7">
        <v>126</v>
      </c>
      <c r="D510" s="8">
        <v>5923.3</v>
      </c>
      <c r="E510" s="9">
        <v>1</v>
      </c>
    </row>
    <row r="511" spans="1:5" x14ac:dyDescent="0.25">
      <c r="A511" s="7">
        <v>1</v>
      </c>
      <c r="B511" s="7">
        <v>717</v>
      </c>
      <c r="C511" s="7">
        <v>126</v>
      </c>
      <c r="D511" s="8">
        <v>5923.3</v>
      </c>
      <c r="E511" s="9">
        <v>1</v>
      </c>
    </row>
    <row r="512" spans="1:5" x14ac:dyDescent="0.25">
      <c r="A512" s="7">
        <v>1</v>
      </c>
      <c r="B512" s="7">
        <v>718</v>
      </c>
      <c r="C512" s="7">
        <v>187</v>
      </c>
      <c r="D512" s="8">
        <v>3013.33</v>
      </c>
      <c r="E512" s="9">
        <v>1</v>
      </c>
    </row>
    <row r="513" spans="1:5" x14ac:dyDescent="0.25">
      <c r="A513" s="7">
        <v>1</v>
      </c>
      <c r="B513" s="7">
        <v>721</v>
      </c>
      <c r="C513" s="7">
        <v>187</v>
      </c>
      <c r="D513" s="8">
        <v>7463.45</v>
      </c>
      <c r="E513" s="9">
        <v>1</v>
      </c>
    </row>
    <row r="514" spans="1:5" x14ac:dyDescent="0.25">
      <c r="A514" s="7">
        <v>1</v>
      </c>
      <c r="B514" s="7">
        <v>722</v>
      </c>
      <c r="C514" s="7">
        <v>140</v>
      </c>
      <c r="D514" s="8">
        <v>9091.75</v>
      </c>
      <c r="E514" s="9">
        <v>1</v>
      </c>
    </row>
    <row r="515" spans="1:5" x14ac:dyDescent="0.25">
      <c r="A515" s="7">
        <v>1</v>
      </c>
      <c r="B515" s="7">
        <v>723</v>
      </c>
      <c r="C515" s="7">
        <v>137</v>
      </c>
      <c r="D515" s="8">
        <v>19129.91</v>
      </c>
      <c r="E515" s="9">
        <v>1</v>
      </c>
    </row>
    <row r="516" spans="1:5" x14ac:dyDescent="0.25">
      <c r="A516" s="7">
        <v>1</v>
      </c>
      <c r="B516" s="7">
        <v>724</v>
      </c>
      <c r="C516" s="7">
        <v>102</v>
      </c>
      <c r="D516" s="8">
        <v>1371.02</v>
      </c>
      <c r="E516" s="9">
        <v>1</v>
      </c>
    </row>
    <row r="517" spans="1:5" x14ac:dyDescent="0.25">
      <c r="A517" s="7">
        <v>1</v>
      </c>
      <c r="B517" s="7">
        <v>725</v>
      </c>
      <c r="C517" s="7">
        <v>105</v>
      </c>
      <c r="D517" s="8">
        <v>26236.33</v>
      </c>
      <c r="E517" s="9">
        <v>1</v>
      </c>
    </row>
    <row r="518" spans="1:5" x14ac:dyDescent="0.25">
      <c r="A518" s="7">
        <v>1</v>
      </c>
      <c r="B518" s="7">
        <v>726</v>
      </c>
      <c r="C518" s="7">
        <v>105</v>
      </c>
      <c r="D518" s="8">
        <v>88584.05</v>
      </c>
      <c r="E518" s="9">
        <v>1</v>
      </c>
    </row>
    <row r="519" spans="1:5" x14ac:dyDescent="0.25">
      <c r="A519" s="7">
        <v>1</v>
      </c>
      <c r="B519" s="7">
        <v>727</v>
      </c>
      <c r="C519" s="7">
        <v>140</v>
      </c>
      <c r="D519" s="8">
        <v>7651.72</v>
      </c>
      <c r="E519" s="9">
        <v>1</v>
      </c>
    </row>
    <row r="520" spans="1:5" x14ac:dyDescent="0.25">
      <c r="A520" s="7">
        <v>1</v>
      </c>
      <c r="B520" s="7">
        <v>728</v>
      </c>
      <c r="C520" s="7">
        <v>149</v>
      </c>
      <c r="D520" s="8">
        <v>82369.66</v>
      </c>
      <c r="E520" s="9">
        <v>1</v>
      </c>
    </row>
    <row r="521" spans="1:5" x14ac:dyDescent="0.25">
      <c r="A521" s="7">
        <v>1</v>
      </c>
      <c r="B521" s="7">
        <v>729</v>
      </c>
      <c r="C521" s="7">
        <v>102</v>
      </c>
      <c r="D521" s="8">
        <v>1371.02</v>
      </c>
      <c r="E521" s="9">
        <v>1</v>
      </c>
    </row>
    <row r="522" spans="1:5" x14ac:dyDescent="0.25">
      <c r="A522" s="7">
        <v>1</v>
      </c>
      <c r="B522" s="7">
        <v>730</v>
      </c>
      <c r="C522" s="7">
        <v>144</v>
      </c>
      <c r="D522" s="8">
        <v>93005.72</v>
      </c>
      <c r="E522" s="9">
        <v>1</v>
      </c>
    </row>
    <row r="523" spans="1:5" x14ac:dyDescent="0.25">
      <c r="A523" s="7">
        <v>1</v>
      </c>
      <c r="B523" s="7">
        <v>731</v>
      </c>
      <c r="C523" s="7">
        <v>102</v>
      </c>
      <c r="D523" s="8">
        <v>1371.02</v>
      </c>
      <c r="E523" s="9">
        <v>1</v>
      </c>
    </row>
    <row r="524" spans="1:5" x14ac:dyDescent="0.25">
      <c r="A524" s="7">
        <v>1</v>
      </c>
      <c r="B524" s="7">
        <v>733</v>
      </c>
      <c r="C524" s="7">
        <v>144</v>
      </c>
      <c r="D524" s="8">
        <v>38752.34</v>
      </c>
      <c r="E524" s="9">
        <v>1</v>
      </c>
    </row>
    <row r="525" spans="1:5" x14ac:dyDescent="0.25">
      <c r="A525" s="7">
        <v>1</v>
      </c>
      <c r="B525" s="7">
        <v>734</v>
      </c>
      <c r="C525" s="7">
        <v>144</v>
      </c>
      <c r="D525" s="8">
        <v>50181.04</v>
      </c>
      <c r="E525" s="9">
        <v>1</v>
      </c>
    </row>
    <row r="526" spans="1:5" x14ac:dyDescent="0.25">
      <c r="A526" s="7">
        <v>1</v>
      </c>
      <c r="B526" s="7">
        <v>735</v>
      </c>
      <c r="C526" s="7">
        <v>144</v>
      </c>
      <c r="D526" s="8">
        <v>124367.2</v>
      </c>
      <c r="E526" s="9">
        <v>1</v>
      </c>
    </row>
    <row r="527" spans="1:5" x14ac:dyDescent="0.25">
      <c r="A527" s="7">
        <v>1</v>
      </c>
      <c r="B527" s="7">
        <v>736</v>
      </c>
      <c r="C527" s="7">
        <v>110</v>
      </c>
      <c r="D527" s="8">
        <v>49284.04</v>
      </c>
      <c r="E527" s="9">
        <v>1</v>
      </c>
    </row>
    <row r="528" spans="1:5" x14ac:dyDescent="0.25">
      <c r="A528" s="7">
        <v>1</v>
      </c>
      <c r="B528" s="7">
        <v>737</v>
      </c>
      <c r="C528" s="7">
        <v>149</v>
      </c>
      <c r="D528" s="8">
        <v>22445.53</v>
      </c>
      <c r="E528" s="9">
        <v>1</v>
      </c>
    </row>
    <row r="529" spans="1:5" x14ac:dyDescent="0.25">
      <c r="A529" s="7">
        <v>1</v>
      </c>
      <c r="B529" s="7">
        <v>738</v>
      </c>
      <c r="C529" s="7">
        <v>140</v>
      </c>
      <c r="D529" s="8">
        <v>7268.98</v>
      </c>
      <c r="E529" s="9">
        <v>1</v>
      </c>
    </row>
    <row r="530" spans="1:5" x14ac:dyDescent="0.25">
      <c r="A530" s="7">
        <v>1</v>
      </c>
      <c r="B530" s="7">
        <v>740</v>
      </c>
      <c r="C530" s="7">
        <v>140</v>
      </c>
      <c r="D530" s="8">
        <v>14148.63</v>
      </c>
      <c r="E530" s="9">
        <v>1</v>
      </c>
    </row>
    <row r="531" spans="1:5" x14ac:dyDescent="0.25">
      <c r="A531" s="7">
        <v>1</v>
      </c>
      <c r="B531" s="7">
        <v>741</v>
      </c>
      <c r="C531" s="7">
        <v>102</v>
      </c>
      <c r="D531" s="8">
        <v>1371.02</v>
      </c>
      <c r="E531" s="9">
        <v>1</v>
      </c>
    </row>
    <row r="532" spans="1:5" x14ac:dyDescent="0.25">
      <c r="A532" s="7">
        <v>1</v>
      </c>
      <c r="B532" s="7">
        <v>742</v>
      </c>
      <c r="C532" s="7">
        <v>102</v>
      </c>
      <c r="D532" s="8">
        <v>1371.02</v>
      </c>
      <c r="E532" s="9">
        <v>1</v>
      </c>
    </row>
    <row r="533" spans="1:5" x14ac:dyDescent="0.25">
      <c r="A533" s="7">
        <v>1</v>
      </c>
      <c r="B533" s="7">
        <v>743</v>
      </c>
      <c r="C533" s="7">
        <v>144</v>
      </c>
      <c r="D533" s="8">
        <v>13668.05</v>
      </c>
      <c r="E533" s="9">
        <v>1</v>
      </c>
    </row>
    <row r="534" spans="1:5" x14ac:dyDescent="0.25">
      <c r="A534" s="7">
        <v>1</v>
      </c>
      <c r="B534" s="7">
        <v>744</v>
      </c>
      <c r="C534" s="7">
        <v>149</v>
      </c>
      <c r="D534" s="8">
        <v>58842.22</v>
      </c>
      <c r="E534" s="9">
        <v>1</v>
      </c>
    </row>
    <row r="535" spans="1:5" x14ac:dyDescent="0.25">
      <c r="A535" s="7">
        <v>1</v>
      </c>
      <c r="B535" s="7">
        <v>745</v>
      </c>
      <c r="C535" s="7">
        <v>149</v>
      </c>
      <c r="D535" s="8">
        <v>70598.56</v>
      </c>
      <c r="E535" s="9">
        <v>1</v>
      </c>
    </row>
    <row r="536" spans="1:5" x14ac:dyDescent="0.25">
      <c r="A536" s="7">
        <v>1</v>
      </c>
      <c r="B536" s="7">
        <v>746</v>
      </c>
      <c r="C536" s="7">
        <v>149</v>
      </c>
      <c r="D536" s="8">
        <v>82371.13</v>
      </c>
      <c r="E536" s="9">
        <v>1</v>
      </c>
    </row>
    <row r="537" spans="1:5" x14ac:dyDescent="0.25">
      <c r="A537" s="7">
        <v>1</v>
      </c>
      <c r="B537" s="7">
        <v>747</v>
      </c>
      <c r="C537" s="7">
        <v>149</v>
      </c>
      <c r="D537" s="8">
        <v>94142.23</v>
      </c>
      <c r="E537" s="9">
        <v>1</v>
      </c>
    </row>
    <row r="538" spans="1:5" x14ac:dyDescent="0.25">
      <c r="A538" s="7">
        <v>1</v>
      </c>
      <c r="B538" s="7">
        <v>748</v>
      </c>
      <c r="C538" s="7">
        <v>149</v>
      </c>
      <c r="D538" s="8">
        <v>105919.24</v>
      </c>
      <c r="E538" s="9">
        <v>1</v>
      </c>
    </row>
    <row r="539" spans="1:5" x14ac:dyDescent="0.25">
      <c r="A539" s="7">
        <v>1</v>
      </c>
      <c r="B539" s="7">
        <v>749</v>
      </c>
      <c r="C539" s="7">
        <v>149</v>
      </c>
      <c r="D539" s="8">
        <v>117682.96</v>
      </c>
      <c r="E539" s="9">
        <v>1</v>
      </c>
    </row>
    <row r="540" spans="1:5" x14ac:dyDescent="0.25">
      <c r="A540" s="7">
        <v>1</v>
      </c>
      <c r="B540" s="7">
        <v>750</v>
      </c>
      <c r="C540" s="7">
        <v>149</v>
      </c>
      <c r="D540" s="8">
        <v>103861.69</v>
      </c>
      <c r="E540" s="9">
        <v>1</v>
      </c>
    </row>
    <row r="541" spans="1:5" x14ac:dyDescent="0.25">
      <c r="A541" s="7">
        <v>1</v>
      </c>
      <c r="B541" s="7">
        <v>751</v>
      </c>
      <c r="C541" s="7">
        <v>149</v>
      </c>
      <c r="D541" s="8">
        <v>123563.34</v>
      </c>
      <c r="E541" s="9">
        <v>1</v>
      </c>
    </row>
    <row r="542" spans="1:5" x14ac:dyDescent="0.25">
      <c r="A542" s="7">
        <v>1</v>
      </c>
      <c r="B542" s="7">
        <v>752</v>
      </c>
      <c r="C542" s="7">
        <v>149</v>
      </c>
      <c r="D542" s="8">
        <v>144157.97</v>
      </c>
      <c r="E542" s="9">
        <v>1</v>
      </c>
    </row>
    <row r="543" spans="1:5" x14ac:dyDescent="0.25">
      <c r="A543" s="7">
        <v>1</v>
      </c>
      <c r="B543" s="7">
        <v>753</v>
      </c>
      <c r="C543" s="7">
        <v>149</v>
      </c>
      <c r="D543" s="8">
        <v>164746.69</v>
      </c>
      <c r="E543" s="9">
        <v>1</v>
      </c>
    </row>
    <row r="544" spans="1:5" x14ac:dyDescent="0.25">
      <c r="A544" s="7">
        <v>1</v>
      </c>
      <c r="B544" s="7">
        <v>754</v>
      </c>
      <c r="C544" s="7">
        <v>149</v>
      </c>
      <c r="D544" s="8">
        <v>185342.8</v>
      </c>
      <c r="E544" s="9">
        <v>1</v>
      </c>
    </row>
    <row r="545" spans="1:5" x14ac:dyDescent="0.25">
      <c r="A545" s="7">
        <v>1</v>
      </c>
      <c r="B545" s="7">
        <v>755</v>
      </c>
      <c r="C545" s="7">
        <v>149</v>
      </c>
      <c r="D545" s="8">
        <v>205931.52</v>
      </c>
      <c r="E545" s="9">
        <v>1</v>
      </c>
    </row>
    <row r="546" spans="1:5" x14ac:dyDescent="0.25">
      <c r="A546" s="7">
        <v>1</v>
      </c>
      <c r="B546" s="7">
        <v>756</v>
      </c>
      <c r="C546" s="7">
        <v>149</v>
      </c>
      <c r="D546" s="8">
        <v>226523.2</v>
      </c>
      <c r="E546" s="9">
        <v>1</v>
      </c>
    </row>
    <row r="547" spans="1:5" x14ac:dyDescent="0.25">
      <c r="A547" s="7">
        <v>1</v>
      </c>
      <c r="B547" s="7">
        <v>757</v>
      </c>
      <c r="C547" s="7">
        <v>149</v>
      </c>
      <c r="D547" s="8">
        <v>247119.3</v>
      </c>
      <c r="E547" s="9">
        <v>1</v>
      </c>
    </row>
    <row r="548" spans="1:5" x14ac:dyDescent="0.25">
      <c r="A548" s="7">
        <v>1</v>
      </c>
      <c r="B548" s="7">
        <v>758</v>
      </c>
      <c r="C548" s="7">
        <v>119</v>
      </c>
      <c r="D548" s="8">
        <v>2988.67</v>
      </c>
      <c r="E548" s="9">
        <v>1</v>
      </c>
    </row>
    <row r="549" spans="1:5" x14ac:dyDescent="0.25">
      <c r="A549" s="7">
        <v>1</v>
      </c>
      <c r="B549" s="7">
        <v>759</v>
      </c>
      <c r="C549" s="7">
        <v>119</v>
      </c>
      <c r="D549" s="8">
        <v>5185.3</v>
      </c>
      <c r="E549" s="9">
        <v>1</v>
      </c>
    </row>
    <row r="550" spans="1:5" x14ac:dyDescent="0.25">
      <c r="A550" s="7">
        <v>1</v>
      </c>
      <c r="B550" s="7">
        <v>763</v>
      </c>
      <c r="C550" s="7">
        <v>144</v>
      </c>
      <c r="D550" s="8">
        <v>33079.13</v>
      </c>
      <c r="E550" s="9">
        <v>1</v>
      </c>
    </row>
    <row r="551" spans="1:5" x14ac:dyDescent="0.25">
      <c r="A551" s="7">
        <v>1</v>
      </c>
      <c r="B551" s="7">
        <v>764</v>
      </c>
      <c r="C551" s="7">
        <v>144</v>
      </c>
      <c r="D551" s="8">
        <v>52926.06</v>
      </c>
      <c r="E551" s="9">
        <v>1</v>
      </c>
    </row>
    <row r="552" spans="1:5" x14ac:dyDescent="0.25">
      <c r="A552" s="7">
        <v>1</v>
      </c>
      <c r="B552" s="7">
        <v>765</v>
      </c>
      <c r="C552" s="7">
        <v>150</v>
      </c>
      <c r="D552" s="8">
        <v>6760.68</v>
      </c>
      <c r="E552" s="9">
        <v>1</v>
      </c>
    </row>
    <row r="553" spans="1:5" x14ac:dyDescent="0.25">
      <c r="A553" s="7">
        <v>1</v>
      </c>
      <c r="B553" s="7">
        <v>768</v>
      </c>
      <c r="C553" s="7">
        <v>150</v>
      </c>
      <c r="D553" s="8">
        <v>69497.51</v>
      </c>
      <c r="E553" s="9">
        <v>1</v>
      </c>
    </row>
    <row r="554" spans="1:5" x14ac:dyDescent="0.25">
      <c r="A554" s="7">
        <v>1</v>
      </c>
      <c r="B554" s="7">
        <v>769</v>
      </c>
      <c r="C554" s="7">
        <v>165</v>
      </c>
      <c r="D554" s="8">
        <v>2319.57</v>
      </c>
      <c r="E554" s="9">
        <v>1</v>
      </c>
    </row>
    <row r="555" spans="1:5" x14ac:dyDescent="0.25">
      <c r="A555" s="7">
        <v>1</v>
      </c>
      <c r="B555" s="7">
        <v>770</v>
      </c>
      <c r="C555" s="7">
        <v>902</v>
      </c>
      <c r="D555" s="8">
        <v>5958.48</v>
      </c>
      <c r="E555" s="9">
        <v>1</v>
      </c>
    </row>
    <row r="556" spans="1:5" x14ac:dyDescent="0.25">
      <c r="A556" s="7">
        <v>1</v>
      </c>
      <c r="B556" s="7">
        <v>771</v>
      </c>
      <c r="C556" s="7">
        <v>139</v>
      </c>
      <c r="D556" s="8">
        <v>10500.28</v>
      </c>
      <c r="E556" s="9">
        <v>1</v>
      </c>
    </row>
    <row r="557" spans="1:5" x14ac:dyDescent="0.25">
      <c r="A557" s="7">
        <v>1</v>
      </c>
      <c r="B557" s="7">
        <v>772</v>
      </c>
      <c r="C557" s="7">
        <v>139</v>
      </c>
      <c r="D557" s="8">
        <v>16257.05</v>
      </c>
      <c r="E557" s="9">
        <v>1</v>
      </c>
    </row>
    <row r="558" spans="1:5" x14ac:dyDescent="0.25">
      <c r="A558" s="7">
        <v>1</v>
      </c>
      <c r="B558" s="7">
        <v>773</v>
      </c>
      <c r="C558" s="7">
        <v>149</v>
      </c>
      <c r="D558" s="8">
        <v>36838.01</v>
      </c>
      <c r="E558" s="9">
        <v>1</v>
      </c>
    </row>
    <row r="559" spans="1:5" x14ac:dyDescent="0.25">
      <c r="A559" s="7">
        <v>1</v>
      </c>
      <c r="B559" s="7">
        <v>775</v>
      </c>
      <c r="C559" s="7">
        <v>107</v>
      </c>
      <c r="D559" s="8">
        <v>33337.88</v>
      </c>
      <c r="E559" s="9">
        <v>1</v>
      </c>
    </row>
    <row r="560" spans="1:5" x14ac:dyDescent="0.25">
      <c r="A560" s="7">
        <v>1</v>
      </c>
      <c r="B560" s="7">
        <v>776</v>
      </c>
      <c r="C560" s="7">
        <v>107</v>
      </c>
      <c r="D560" s="8">
        <v>112561.58</v>
      </c>
      <c r="E560" s="9">
        <v>1</v>
      </c>
    </row>
    <row r="561" spans="1:5" x14ac:dyDescent="0.25">
      <c r="A561" s="7">
        <v>1</v>
      </c>
      <c r="B561" s="7">
        <v>777</v>
      </c>
      <c r="C561" s="7">
        <v>138</v>
      </c>
      <c r="D561" s="8">
        <v>27397.73</v>
      </c>
      <c r="E561" s="9">
        <v>1</v>
      </c>
    </row>
    <row r="562" spans="1:5" x14ac:dyDescent="0.25">
      <c r="A562" s="7">
        <v>1</v>
      </c>
      <c r="B562" s="7">
        <v>778</v>
      </c>
      <c r="C562" s="7">
        <v>138</v>
      </c>
      <c r="D562" s="8">
        <v>27397.73</v>
      </c>
      <c r="E562" s="9">
        <v>1</v>
      </c>
    </row>
    <row r="563" spans="1:5" x14ac:dyDescent="0.25">
      <c r="A563" s="7">
        <v>1</v>
      </c>
      <c r="B563" s="7">
        <v>779</v>
      </c>
      <c r="C563" s="7">
        <v>138</v>
      </c>
      <c r="D563" s="8">
        <v>40671.02</v>
      </c>
      <c r="E563" s="9">
        <v>1</v>
      </c>
    </row>
    <row r="564" spans="1:5" x14ac:dyDescent="0.25">
      <c r="A564" s="7">
        <v>1</v>
      </c>
      <c r="B564" s="7">
        <v>780</v>
      </c>
      <c r="C564" s="7">
        <v>102</v>
      </c>
      <c r="D564" s="8">
        <v>1082.81</v>
      </c>
      <c r="E564" s="9">
        <v>1</v>
      </c>
    </row>
    <row r="565" spans="1:5" x14ac:dyDescent="0.25">
      <c r="A565" s="7">
        <v>1</v>
      </c>
      <c r="B565" s="7">
        <v>781</v>
      </c>
      <c r="C565" s="7">
        <v>139</v>
      </c>
      <c r="D565" s="8">
        <v>60289.39</v>
      </c>
      <c r="E565" s="9">
        <v>1</v>
      </c>
    </row>
    <row r="566" spans="1:5" x14ac:dyDescent="0.25">
      <c r="A566" s="7">
        <v>1</v>
      </c>
      <c r="B566" s="7">
        <v>782</v>
      </c>
      <c r="C566" s="7">
        <v>102</v>
      </c>
      <c r="D566" s="8">
        <v>1082.81</v>
      </c>
      <c r="E566" s="9">
        <v>1</v>
      </c>
    </row>
    <row r="567" spans="1:5" x14ac:dyDescent="0.25">
      <c r="A567" s="7">
        <v>1</v>
      </c>
      <c r="B567" s="7">
        <v>783</v>
      </c>
      <c r="C567" s="7">
        <v>102</v>
      </c>
      <c r="D567" s="8">
        <v>1371.02</v>
      </c>
      <c r="E567" s="9">
        <v>1</v>
      </c>
    </row>
    <row r="568" spans="1:5" x14ac:dyDescent="0.25">
      <c r="A568" s="7">
        <v>1</v>
      </c>
      <c r="B568" s="7">
        <v>784</v>
      </c>
      <c r="C568" s="7">
        <v>102</v>
      </c>
      <c r="D568" s="8">
        <v>1371.02</v>
      </c>
      <c r="E568" s="9">
        <v>1</v>
      </c>
    </row>
    <row r="569" spans="1:5" x14ac:dyDescent="0.25">
      <c r="A569" s="7">
        <v>1</v>
      </c>
      <c r="B569" s="7">
        <v>785</v>
      </c>
      <c r="C569" s="7">
        <v>102</v>
      </c>
      <c r="D569" s="8">
        <v>1371.02</v>
      </c>
      <c r="E569" s="9">
        <v>1</v>
      </c>
    </row>
    <row r="570" spans="1:5" x14ac:dyDescent="0.25">
      <c r="A570" s="7">
        <v>1</v>
      </c>
      <c r="B570" s="7">
        <v>786</v>
      </c>
      <c r="C570" s="7">
        <v>138</v>
      </c>
      <c r="D570" s="8">
        <v>44118.44</v>
      </c>
      <c r="E570" s="9">
        <v>1</v>
      </c>
    </row>
    <row r="571" spans="1:5" x14ac:dyDescent="0.25">
      <c r="A571" s="7">
        <v>1</v>
      </c>
      <c r="B571" s="7">
        <v>787</v>
      </c>
      <c r="C571" s="7">
        <v>138</v>
      </c>
      <c r="D571" s="8">
        <v>155084.63</v>
      </c>
      <c r="E571" s="9">
        <v>1</v>
      </c>
    </row>
    <row r="572" spans="1:5" x14ac:dyDescent="0.25">
      <c r="A572" s="7">
        <v>1</v>
      </c>
      <c r="B572" s="7">
        <v>788</v>
      </c>
      <c r="C572" s="7">
        <v>149</v>
      </c>
      <c r="D572" s="8">
        <v>208.28</v>
      </c>
      <c r="E572" s="9">
        <v>2</v>
      </c>
    </row>
    <row r="573" spans="1:5" x14ac:dyDescent="0.25">
      <c r="A573" s="7">
        <v>1</v>
      </c>
      <c r="B573" s="7">
        <v>789</v>
      </c>
      <c r="C573" s="7">
        <v>149</v>
      </c>
      <c r="D573" s="8">
        <v>254.2</v>
      </c>
      <c r="E573" s="9">
        <v>2</v>
      </c>
    </row>
    <row r="574" spans="1:5" x14ac:dyDescent="0.25">
      <c r="A574" s="7">
        <v>1</v>
      </c>
      <c r="B574" s="7">
        <v>790</v>
      </c>
      <c r="C574" s="7">
        <v>102</v>
      </c>
      <c r="D574" s="8">
        <v>1371.02</v>
      </c>
      <c r="E574" s="9">
        <v>1</v>
      </c>
    </row>
    <row r="575" spans="1:5" x14ac:dyDescent="0.25">
      <c r="A575" s="7">
        <v>1</v>
      </c>
      <c r="B575" s="7">
        <v>791</v>
      </c>
      <c r="C575" s="7">
        <v>102</v>
      </c>
      <c r="D575" s="8">
        <v>1371.02</v>
      </c>
      <c r="E575" s="9">
        <v>1</v>
      </c>
    </row>
    <row r="576" spans="1:5" x14ac:dyDescent="0.25">
      <c r="A576" s="7">
        <v>1</v>
      </c>
      <c r="B576" s="7">
        <v>792</v>
      </c>
      <c r="C576" s="7">
        <v>139</v>
      </c>
      <c r="D576" s="8">
        <v>241530.01</v>
      </c>
      <c r="E576" s="9">
        <v>1</v>
      </c>
    </row>
    <row r="577" spans="1:5" x14ac:dyDescent="0.25">
      <c r="A577" s="7">
        <v>1</v>
      </c>
      <c r="B577" s="7">
        <v>794</v>
      </c>
      <c r="C577" s="7">
        <v>138</v>
      </c>
      <c r="D577" s="8">
        <v>44118.44</v>
      </c>
      <c r="E577" s="9">
        <v>1</v>
      </c>
    </row>
    <row r="578" spans="1:5" x14ac:dyDescent="0.25">
      <c r="A578" s="7">
        <v>1</v>
      </c>
      <c r="B578" s="7">
        <v>795</v>
      </c>
      <c r="C578" s="7">
        <v>138</v>
      </c>
      <c r="D578" s="8">
        <v>155084.63</v>
      </c>
      <c r="E578" s="9">
        <v>1</v>
      </c>
    </row>
    <row r="579" spans="1:5" x14ac:dyDescent="0.25">
      <c r="A579" s="7">
        <v>1</v>
      </c>
      <c r="B579" s="7">
        <v>796</v>
      </c>
      <c r="C579" s="7">
        <v>138</v>
      </c>
      <c r="D579" s="8">
        <v>17954.31</v>
      </c>
      <c r="E579" s="9">
        <v>1</v>
      </c>
    </row>
    <row r="580" spans="1:5" x14ac:dyDescent="0.25">
      <c r="A580" s="7">
        <v>1</v>
      </c>
      <c r="B580" s="7">
        <v>797</v>
      </c>
      <c r="C580" s="7">
        <v>138</v>
      </c>
      <c r="D580" s="8">
        <v>25913.1</v>
      </c>
      <c r="E580" s="9">
        <v>1</v>
      </c>
    </row>
    <row r="581" spans="1:5" x14ac:dyDescent="0.25">
      <c r="A581" s="7">
        <v>1</v>
      </c>
      <c r="B581" s="7">
        <v>798</v>
      </c>
      <c r="C581" s="7">
        <v>138</v>
      </c>
      <c r="D581" s="8">
        <v>91162.78</v>
      </c>
      <c r="E581" s="9">
        <v>1</v>
      </c>
    </row>
    <row r="582" spans="1:5" x14ac:dyDescent="0.25">
      <c r="A582" s="7">
        <v>1</v>
      </c>
      <c r="B582" s="7">
        <v>799</v>
      </c>
      <c r="C582" s="7">
        <v>119</v>
      </c>
      <c r="D582" s="8">
        <v>3901.57</v>
      </c>
      <c r="E582" s="9">
        <v>1</v>
      </c>
    </row>
    <row r="583" spans="1:5" x14ac:dyDescent="0.25">
      <c r="A583" s="7">
        <v>1</v>
      </c>
      <c r="B583" s="7">
        <v>804</v>
      </c>
      <c r="C583" s="7">
        <v>110</v>
      </c>
      <c r="D583" s="8">
        <v>104572.69</v>
      </c>
      <c r="E583" s="9">
        <v>1</v>
      </c>
    </row>
    <row r="584" spans="1:5" x14ac:dyDescent="0.25">
      <c r="A584" s="7">
        <v>1</v>
      </c>
      <c r="B584" s="7">
        <v>805</v>
      </c>
      <c r="C584" s="7">
        <v>110</v>
      </c>
      <c r="D584" s="8">
        <v>119562.88</v>
      </c>
      <c r="E584" s="9">
        <v>1</v>
      </c>
    </row>
    <row r="585" spans="1:5" x14ac:dyDescent="0.25">
      <c r="A585" s="7">
        <v>1</v>
      </c>
      <c r="B585" s="7">
        <v>806</v>
      </c>
      <c r="C585" s="7">
        <v>144</v>
      </c>
      <c r="D585" s="8">
        <v>2397.85</v>
      </c>
      <c r="E585" s="9">
        <v>1</v>
      </c>
    </row>
    <row r="586" spans="1:5" x14ac:dyDescent="0.25">
      <c r="A586" s="7">
        <v>1</v>
      </c>
      <c r="B586" s="7">
        <v>808</v>
      </c>
      <c r="C586" s="7">
        <v>119</v>
      </c>
      <c r="D586" s="8">
        <v>8702.42</v>
      </c>
      <c r="E586" s="9">
        <v>1</v>
      </c>
    </row>
    <row r="587" spans="1:5" x14ac:dyDescent="0.25">
      <c r="A587" s="7">
        <v>1</v>
      </c>
      <c r="B587" s="7">
        <v>809</v>
      </c>
      <c r="C587" s="7">
        <v>119</v>
      </c>
      <c r="D587" s="8">
        <v>14849.69</v>
      </c>
      <c r="E587" s="9">
        <v>1</v>
      </c>
    </row>
    <row r="588" spans="1:5" x14ac:dyDescent="0.25">
      <c r="A588" s="7">
        <v>1</v>
      </c>
      <c r="B588" s="7">
        <v>810</v>
      </c>
      <c r="C588" s="7">
        <v>119</v>
      </c>
      <c r="D588" s="8">
        <v>23413.27</v>
      </c>
      <c r="E588" s="9">
        <v>1</v>
      </c>
    </row>
    <row r="589" spans="1:5" x14ac:dyDescent="0.25">
      <c r="A589" s="7">
        <v>1</v>
      </c>
      <c r="B589" s="7">
        <v>811</v>
      </c>
      <c r="C589" s="7">
        <v>119</v>
      </c>
      <c r="D589" s="8">
        <v>80873.55</v>
      </c>
      <c r="E589" s="9">
        <v>1</v>
      </c>
    </row>
    <row r="590" spans="1:5" x14ac:dyDescent="0.25">
      <c r="A590" s="7">
        <v>1</v>
      </c>
      <c r="B590" s="7">
        <v>812</v>
      </c>
      <c r="C590" s="7">
        <v>119</v>
      </c>
      <c r="D590" s="8">
        <v>12001.37</v>
      </c>
      <c r="E590" s="9">
        <v>1</v>
      </c>
    </row>
    <row r="591" spans="1:5" x14ac:dyDescent="0.25">
      <c r="A591" s="7">
        <v>1</v>
      </c>
      <c r="B591" s="7">
        <v>813</v>
      </c>
      <c r="C591" s="7">
        <v>119</v>
      </c>
      <c r="D591" s="8">
        <v>52068.14</v>
      </c>
      <c r="E591" s="9">
        <v>1</v>
      </c>
    </row>
    <row r="592" spans="1:5" x14ac:dyDescent="0.25">
      <c r="A592" s="7">
        <v>1</v>
      </c>
      <c r="B592" s="7">
        <v>814</v>
      </c>
      <c r="C592" s="7">
        <v>127</v>
      </c>
      <c r="D592" s="8">
        <v>1249.25</v>
      </c>
      <c r="E592" s="9">
        <v>1</v>
      </c>
    </row>
    <row r="593" spans="1:5" x14ac:dyDescent="0.25">
      <c r="A593" s="7">
        <v>1</v>
      </c>
      <c r="B593" s="7">
        <v>817</v>
      </c>
      <c r="C593" s="7">
        <v>143</v>
      </c>
      <c r="D593" s="8">
        <v>1.18</v>
      </c>
      <c r="E593" s="9">
        <v>2</v>
      </c>
    </row>
    <row r="594" spans="1:5" x14ac:dyDescent="0.25">
      <c r="A594" s="7">
        <v>1</v>
      </c>
      <c r="B594" s="7">
        <v>820</v>
      </c>
      <c r="C594" s="7">
        <v>103</v>
      </c>
      <c r="D594" s="8">
        <v>2719.26</v>
      </c>
      <c r="E594" s="9">
        <v>1</v>
      </c>
    </row>
    <row r="595" spans="1:5" x14ac:dyDescent="0.25">
      <c r="A595" s="7">
        <v>1</v>
      </c>
      <c r="B595" s="7">
        <v>821</v>
      </c>
      <c r="C595" s="7">
        <v>102</v>
      </c>
      <c r="D595" s="8">
        <v>1371.02</v>
      </c>
      <c r="E595" s="9">
        <v>1</v>
      </c>
    </row>
    <row r="596" spans="1:5" x14ac:dyDescent="0.25">
      <c r="A596" s="7">
        <v>1</v>
      </c>
      <c r="B596" s="7">
        <v>822</v>
      </c>
      <c r="C596" s="7">
        <v>139</v>
      </c>
      <c r="D596" s="8">
        <v>10500.28</v>
      </c>
      <c r="E596" s="9">
        <v>1</v>
      </c>
    </row>
    <row r="597" spans="1:5" x14ac:dyDescent="0.25">
      <c r="A597" s="7">
        <v>1</v>
      </c>
      <c r="B597" s="7">
        <v>823</v>
      </c>
      <c r="C597" s="7">
        <v>139</v>
      </c>
      <c r="D597" s="8">
        <v>16257.05</v>
      </c>
      <c r="E597" s="9">
        <v>1</v>
      </c>
    </row>
    <row r="598" spans="1:5" x14ac:dyDescent="0.25">
      <c r="A598" s="7">
        <v>1</v>
      </c>
      <c r="B598" s="7">
        <v>824</v>
      </c>
      <c r="C598" s="7">
        <v>150</v>
      </c>
      <c r="D598" s="8">
        <v>46105.48</v>
      </c>
      <c r="E598" s="9">
        <v>1</v>
      </c>
    </row>
    <row r="599" spans="1:5" x14ac:dyDescent="0.25">
      <c r="A599" s="7">
        <v>1</v>
      </c>
      <c r="B599" s="7">
        <v>825</v>
      </c>
      <c r="C599" s="7">
        <v>129</v>
      </c>
      <c r="D599" s="8">
        <v>5623.33</v>
      </c>
      <c r="E599" s="9">
        <v>1</v>
      </c>
    </row>
    <row r="600" spans="1:5" x14ac:dyDescent="0.25">
      <c r="A600" s="7">
        <v>1</v>
      </c>
      <c r="B600" s="7">
        <v>827</v>
      </c>
      <c r="C600" s="7">
        <v>152</v>
      </c>
      <c r="D600" s="8">
        <v>8922.71</v>
      </c>
      <c r="E600" s="9">
        <v>1</v>
      </c>
    </row>
    <row r="601" spans="1:5" x14ac:dyDescent="0.25">
      <c r="A601" s="7">
        <v>1</v>
      </c>
      <c r="B601" s="7">
        <v>828</v>
      </c>
      <c r="C601" s="7">
        <v>132</v>
      </c>
      <c r="D601" s="8">
        <v>21.24</v>
      </c>
      <c r="E601" s="9">
        <v>1</v>
      </c>
    </row>
    <row r="602" spans="1:5" x14ac:dyDescent="0.25">
      <c r="A602" s="7">
        <v>1</v>
      </c>
      <c r="B602" s="7">
        <v>830</v>
      </c>
      <c r="C602" s="7">
        <v>902</v>
      </c>
      <c r="D602" s="8">
        <v>6039.58</v>
      </c>
      <c r="E602" s="9">
        <v>1</v>
      </c>
    </row>
    <row r="603" spans="1:5" x14ac:dyDescent="0.25">
      <c r="A603" s="7">
        <v>1</v>
      </c>
      <c r="B603" s="7">
        <v>831</v>
      </c>
      <c r="C603" s="7">
        <v>139</v>
      </c>
      <c r="D603" s="8">
        <v>10640.86</v>
      </c>
      <c r="E603" s="9">
        <v>1</v>
      </c>
    </row>
    <row r="604" spans="1:5" x14ac:dyDescent="0.25">
      <c r="A604" s="7">
        <v>1</v>
      </c>
      <c r="B604" s="7">
        <v>832</v>
      </c>
      <c r="C604" s="7">
        <v>139</v>
      </c>
      <c r="D604" s="8">
        <v>16527.6</v>
      </c>
      <c r="E604" s="9">
        <v>1</v>
      </c>
    </row>
    <row r="605" spans="1:5" x14ac:dyDescent="0.25">
      <c r="A605" s="7">
        <v>1</v>
      </c>
      <c r="B605" s="7">
        <v>833</v>
      </c>
      <c r="C605" s="7">
        <v>139</v>
      </c>
      <c r="D605" s="8">
        <v>61469.47</v>
      </c>
      <c r="E605" s="9">
        <v>1</v>
      </c>
    </row>
    <row r="606" spans="1:5" x14ac:dyDescent="0.25">
      <c r="A606" s="7">
        <v>1</v>
      </c>
      <c r="B606" s="7">
        <v>834</v>
      </c>
      <c r="C606" s="7">
        <v>139</v>
      </c>
      <c r="D606" s="8">
        <v>246541.87</v>
      </c>
      <c r="E606" s="9">
        <v>1</v>
      </c>
    </row>
    <row r="607" spans="1:5" x14ac:dyDescent="0.25">
      <c r="A607" s="7">
        <v>1</v>
      </c>
      <c r="B607" s="7">
        <v>835</v>
      </c>
      <c r="C607" s="7">
        <v>137</v>
      </c>
      <c r="D607" s="8">
        <v>46869.24</v>
      </c>
      <c r="E607" s="9">
        <v>1</v>
      </c>
    </row>
    <row r="608" spans="1:5" x14ac:dyDescent="0.25">
      <c r="A608" s="7">
        <v>1</v>
      </c>
      <c r="B608" s="7">
        <v>836</v>
      </c>
      <c r="C608" s="7">
        <v>107</v>
      </c>
      <c r="D608" s="8">
        <v>76831.89</v>
      </c>
      <c r="E608" s="9">
        <v>1</v>
      </c>
    </row>
    <row r="609" spans="1:5" x14ac:dyDescent="0.25">
      <c r="A609" s="7">
        <v>1</v>
      </c>
      <c r="B609" s="7">
        <v>837</v>
      </c>
      <c r="C609" s="7">
        <v>107</v>
      </c>
      <c r="D609" s="8">
        <v>264068.3</v>
      </c>
      <c r="E609" s="9">
        <v>1</v>
      </c>
    </row>
    <row r="610" spans="1:5" x14ac:dyDescent="0.25">
      <c r="A610" s="7">
        <v>1</v>
      </c>
      <c r="B610" s="7">
        <v>840</v>
      </c>
      <c r="C610" s="7">
        <v>107</v>
      </c>
      <c r="D610" s="8">
        <v>28337.2</v>
      </c>
      <c r="E610" s="9">
        <v>1</v>
      </c>
    </row>
    <row r="611" spans="1:5" x14ac:dyDescent="0.25">
      <c r="A611" s="7">
        <v>1</v>
      </c>
      <c r="B611" s="7">
        <v>841</v>
      </c>
      <c r="C611" s="7">
        <v>107</v>
      </c>
      <c r="D611" s="8">
        <v>95677.04</v>
      </c>
      <c r="E611" s="9">
        <v>1</v>
      </c>
    </row>
    <row r="612" spans="1:5" x14ac:dyDescent="0.25">
      <c r="A612" s="7">
        <v>1</v>
      </c>
      <c r="B612" s="7">
        <v>844</v>
      </c>
      <c r="C612" s="7">
        <v>139</v>
      </c>
      <c r="D612" s="8">
        <v>60289.39</v>
      </c>
      <c r="E612" s="9">
        <v>1</v>
      </c>
    </row>
    <row r="613" spans="1:5" x14ac:dyDescent="0.25">
      <c r="A613" s="7">
        <v>1</v>
      </c>
      <c r="B613" s="7">
        <v>846</v>
      </c>
      <c r="C613" s="7">
        <v>127</v>
      </c>
      <c r="D613" s="8">
        <v>3080.38</v>
      </c>
      <c r="E613" s="9">
        <v>1</v>
      </c>
    </row>
    <row r="614" spans="1:5" x14ac:dyDescent="0.25">
      <c r="A614" s="7">
        <v>1</v>
      </c>
      <c r="B614" s="7">
        <v>849</v>
      </c>
      <c r="C614" s="7">
        <v>144</v>
      </c>
      <c r="D614" s="8">
        <v>732.63</v>
      </c>
      <c r="E614" s="9">
        <v>1</v>
      </c>
    </row>
    <row r="615" spans="1:5" x14ac:dyDescent="0.25">
      <c r="A615" s="7">
        <v>1</v>
      </c>
      <c r="B615" s="7">
        <v>850</v>
      </c>
      <c r="C615" s="7">
        <v>144</v>
      </c>
      <c r="D615" s="8">
        <v>755.26</v>
      </c>
      <c r="E615" s="9">
        <v>1</v>
      </c>
    </row>
    <row r="616" spans="1:5" x14ac:dyDescent="0.25">
      <c r="A616" s="7">
        <v>1</v>
      </c>
      <c r="B616" s="7">
        <v>851</v>
      </c>
      <c r="C616" s="7">
        <v>144</v>
      </c>
      <c r="D616" s="8">
        <v>858.3</v>
      </c>
      <c r="E616" s="9">
        <v>1</v>
      </c>
    </row>
    <row r="617" spans="1:5" x14ac:dyDescent="0.25">
      <c r="A617" s="7">
        <v>1</v>
      </c>
      <c r="B617" s="7">
        <v>852</v>
      </c>
      <c r="C617" s="7">
        <v>144</v>
      </c>
      <c r="D617" s="8">
        <v>967.19</v>
      </c>
      <c r="E617" s="9">
        <v>1</v>
      </c>
    </row>
    <row r="618" spans="1:5" x14ac:dyDescent="0.25">
      <c r="A618" s="7">
        <v>1</v>
      </c>
      <c r="B618" s="7">
        <v>853</v>
      </c>
      <c r="C618" s="7">
        <v>144</v>
      </c>
      <c r="D618" s="8">
        <v>1099.58</v>
      </c>
      <c r="E618" s="9">
        <v>1</v>
      </c>
    </row>
    <row r="619" spans="1:5" x14ac:dyDescent="0.25">
      <c r="A619" s="7">
        <v>1</v>
      </c>
      <c r="B619" s="7">
        <v>854</v>
      </c>
      <c r="C619" s="7">
        <v>144</v>
      </c>
      <c r="D619" s="8">
        <v>1282.45</v>
      </c>
      <c r="E619" s="9">
        <v>1</v>
      </c>
    </row>
    <row r="620" spans="1:5" x14ac:dyDescent="0.25">
      <c r="A620" s="7">
        <v>1</v>
      </c>
      <c r="B620" s="7">
        <v>858</v>
      </c>
      <c r="C620" s="7">
        <v>103</v>
      </c>
      <c r="D620" s="8">
        <v>10329.38</v>
      </c>
      <c r="E620" s="9">
        <v>1</v>
      </c>
    </row>
    <row r="621" spans="1:5" x14ac:dyDescent="0.25">
      <c r="A621" s="7">
        <v>1</v>
      </c>
      <c r="B621" s="7">
        <v>860</v>
      </c>
      <c r="C621" s="7">
        <v>137</v>
      </c>
      <c r="D621" s="8">
        <v>23925.16</v>
      </c>
      <c r="E621" s="9">
        <v>1</v>
      </c>
    </row>
    <row r="622" spans="1:5" x14ac:dyDescent="0.25">
      <c r="A622" s="7">
        <v>1</v>
      </c>
      <c r="B622" s="7">
        <v>861</v>
      </c>
      <c r="C622" s="7">
        <v>102</v>
      </c>
      <c r="D622" s="8">
        <v>3866.8</v>
      </c>
      <c r="E622" s="9">
        <v>1</v>
      </c>
    </row>
    <row r="623" spans="1:5" x14ac:dyDescent="0.25">
      <c r="A623" s="7">
        <v>1</v>
      </c>
      <c r="B623" s="7">
        <v>862</v>
      </c>
      <c r="C623" s="7">
        <v>102</v>
      </c>
      <c r="D623" s="8">
        <v>1371.02</v>
      </c>
      <c r="E623" s="9">
        <v>1</v>
      </c>
    </row>
    <row r="624" spans="1:5" x14ac:dyDescent="0.25">
      <c r="A624" s="7">
        <v>1</v>
      </c>
      <c r="B624" s="7">
        <v>863</v>
      </c>
      <c r="C624" s="7">
        <v>139</v>
      </c>
      <c r="D624" s="8">
        <v>241530.01</v>
      </c>
      <c r="E624" s="9">
        <v>1</v>
      </c>
    </row>
    <row r="625" spans="1:5" x14ac:dyDescent="0.25">
      <c r="A625" s="7">
        <v>1</v>
      </c>
      <c r="B625" s="7">
        <v>865</v>
      </c>
      <c r="C625" s="7">
        <v>144</v>
      </c>
      <c r="D625" s="8">
        <v>2260.05</v>
      </c>
      <c r="E625" s="9">
        <v>1</v>
      </c>
    </row>
    <row r="626" spans="1:5" x14ac:dyDescent="0.25">
      <c r="A626" s="7">
        <v>1</v>
      </c>
      <c r="B626" s="7">
        <v>866</v>
      </c>
      <c r="C626" s="7">
        <v>107</v>
      </c>
      <c r="D626" s="8">
        <v>69618.46</v>
      </c>
      <c r="E626" s="9">
        <v>1</v>
      </c>
    </row>
    <row r="627" spans="1:5" x14ac:dyDescent="0.25">
      <c r="A627" s="7">
        <v>1</v>
      </c>
      <c r="B627" s="7">
        <v>867</v>
      </c>
      <c r="C627" s="7">
        <v>902</v>
      </c>
      <c r="D627" s="8">
        <v>9625.44</v>
      </c>
      <c r="E627" s="9">
        <v>1</v>
      </c>
    </row>
    <row r="628" spans="1:5" x14ac:dyDescent="0.25">
      <c r="A628" s="7">
        <v>1</v>
      </c>
      <c r="B628" s="7">
        <v>868</v>
      </c>
      <c r="C628" s="7">
        <v>166</v>
      </c>
      <c r="D628" s="8">
        <v>6518.95</v>
      </c>
      <c r="E628" s="9">
        <v>1</v>
      </c>
    </row>
    <row r="629" spans="1:5" x14ac:dyDescent="0.25">
      <c r="A629" s="7">
        <v>1</v>
      </c>
      <c r="B629" s="7">
        <v>869</v>
      </c>
      <c r="C629" s="7">
        <v>102</v>
      </c>
      <c r="D629" s="8">
        <v>5130.1</v>
      </c>
      <c r="E629" s="9">
        <v>1</v>
      </c>
    </row>
    <row r="630" spans="1:5" x14ac:dyDescent="0.25">
      <c r="A630" s="7">
        <v>1</v>
      </c>
      <c r="B630" s="7">
        <v>870</v>
      </c>
      <c r="C630" s="7">
        <v>102</v>
      </c>
      <c r="D630" s="8">
        <v>7684.78</v>
      </c>
      <c r="E630" s="9">
        <v>1</v>
      </c>
    </row>
    <row r="631" spans="1:5" x14ac:dyDescent="0.25">
      <c r="A631" s="7">
        <v>1</v>
      </c>
      <c r="B631" s="7">
        <v>871</v>
      </c>
      <c r="C631" s="7">
        <v>902</v>
      </c>
      <c r="D631" s="8">
        <v>14902.57</v>
      </c>
      <c r="E631" s="9">
        <v>1</v>
      </c>
    </row>
    <row r="632" spans="1:5" x14ac:dyDescent="0.25">
      <c r="A632" s="7">
        <v>1</v>
      </c>
      <c r="B632" s="7">
        <v>872</v>
      </c>
      <c r="C632" s="7">
        <v>902</v>
      </c>
      <c r="D632" s="8">
        <v>55266.71</v>
      </c>
      <c r="E632" s="9">
        <v>1</v>
      </c>
    </row>
    <row r="633" spans="1:5" x14ac:dyDescent="0.25">
      <c r="A633" s="7">
        <v>1</v>
      </c>
      <c r="B633" s="7">
        <v>874</v>
      </c>
      <c r="C633" s="7">
        <v>140</v>
      </c>
      <c r="D633" s="8">
        <v>13523.65</v>
      </c>
      <c r="E633" s="9">
        <v>1</v>
      </c>
    </row>
    <row r="634" spans="1:5" x14ac:dyDescent="0.25">
      <c r="A634" s="7">
        <v>1</v>
      </c>
      <c r="B634" s="7">
        <v>875</v>
      </c>
      <c r="C634" s="7">
        <v>102</v>
      </c>
      <c r="D634" s="8">
        <v>10271.9</v>
      </c>
      <c r="E634" s="9">
        <v>1</v>
      </c>
    </row>
    <row r="635" spans="1:5" x14ac:dyDescent="0.25">
      <c r="A635" s="7">
        <v>1</v>
      </c>
      <c r="B635" s="7">
        <v>877</v>
      </c>
      <c r="C635" s="7">
        <v>166</v>
      </c>
      <c r="D635" s="8">
        <v>9407.3</v>
      </c>
      <c r="E635" s="9">
        <v>1</v>
      </c>
    </row>
    <row r="636" spans="1:5" x14ac:dyDescent="0.25">
      <c r="A636" s="7">
        <v>1</v>
      </c>
      <c r="B636" s="7">
        <v>878</v>
      </c>
      <c r="C636" s="7">
        <v>166</v>
      </c>
      <c r="D636" s="8">
        <v>6215.28</v>
      </c>
      <c r="E636" s="9">
        <v>1</v>
      </c>
    </row>
    <row r="637" spans="1:5" x14ac:dyDescent="0.25">
      <c r="A637" s="7">
        <v>1</v>
      </c>
      <c r="B637" s="7">
        <v>879</v>
      </c>
      <c r="C637" s="7">
        <v>139</v>
      </c>
      <c r="D637" s="8">
        <v>9313.75</v>
      </c>
      <c r="E637" s="9">
        <v>1</v>
      </c>
    </row>
    <row r="638" spans="1:5" x14ac:dyDescent="0.25">
      <c r="A638" s="7">
        <v>1</v>
      </c>
      <c r="B638" s="7">
        <v>880</v>
      </c>
      <c r="C638" s="7">
        <v>139</v>
      </c>
      <c r="D638" s="8">
        <v>14413.63</v>
      </c>
      <c r="E638" s="9">
        <v>1</v>
      </c>
    </row>
    <row r="639" spans="1:5" x14ac:dyDescent="0.25">
      <c r="A639" s="7">
        <v>1</v>
      </c>
      <c r="B639" s="7">
        <v>881</v>
      </c>
      <c r="C639" s="7">
        <v>120</v>
      </c>
      <c r="D639" s="8">
        <v>1374.64</v>
      </c>
      <c r="E639" s="9">
        <v>1</v>
      </c>
    </row>
    <row r="640" spans="1:5" x14ac:dyDescent="0.25">
      <c r="A640" s="7">
        <v>1</v>
      </c>
      <c r="B640" s="7">
        <v>882</v>
      </c>
      <c r="C640" s="7">
        <v>139</v>
      </c>
      <c r="D640" s="8">
        <v>53524.38</v>
      </c>
      <c r="E640" s="9">
        <v>1</v>
      </c>
    </row>
    <row r="641" spans="1:5" x14ac:dyDescent="0.25">
      <c r="A641" s="7">
        <v>1</v>
      </c>
      <c r="B641" s="7">
        <v>883</v>
      </c>
      <c r="C641" s="7">
        <v>166</v>
      </c>
      <c r="D641" s="8">
        <v>9093.02</v>
      </c>
      <c r="E641" s="9">
        <v>1</v>
      </c>
    </row>
    <row r="642" spans="1:5" x14ac:dyDescent="0.25">
      <c r="A642" s="7">
        <v>1</v>
      </c>
      <c r="B642" s="7">
        <v>884</v>
      </c>
      <c r="C642" s="7">
        <v>166</v>
      </c>
      <c r="D642" s="8">
        <v>13808.02</v>
      </c>
      <c r="E642" s="9">
        <v>1</v>
      </c>
    </row>
    <row r="643" spans="1:5" x14ac:dyDescent="0.25">
      <c r="A643" s="7">
        <v>1</v>
      </c>
      <c r="B643" s="7">
        <v>887</v>
      </c>
      <c r="C643" s="7">
        <v>186</v>
      </c>
      <c r="D643" s="8">
        <v>1058400</v>
      </c>
      <c r="E643" s="9">
        <v>1</v>
      </c>
    </row>
    <row r="644" spans="1:5" x14ac:dyDescent="0.25">
      <c r="A644" s="7">
        <v>1</v>
      </c>
      <c r="B644" s="7">
        <v>888</v>
      </c>
      <c r="C644" s="7">
        <v>115</v>
      </c>
      <c r="D644" s="8">
        <v>291136.56</v>
      </c>
      <c r="E644" s="9">
        <v>1</v>
      </c>
    </row>
    <row r="645" spans="1:5" x14ac:dyDescent="0.25">
      <c r="A645" s="7">
        <v>1</v>
      </c>
      <c r="B645" s="7">
        <v>890</v>
      </c>
      <c r="C645" s="7">
        <v>139</v>
      </c>
      <c r="D645" s="8">
        <v>214365.29</v>
      </c>
      <c r="E645" s="9">
        <v>1</v>
      </c>
    </row>
    <row r="646" spans="1:5" x14ac:dyDescent="0.25">
      <c r="A646" s="7">
        <v>1</v>
      </c>
      <c r="B646" s="7">
        <v>892</v>
      </c>
      <c r="C646" s="7">
        <v>102</v>
      </c>
      <c r="D646" s="8">
        <v>3857.58</v>
      </c>
      <c r="E646" s="9">
        <v>1</v>
      </c>
    </row>
    <row r="647" spans="1:5" x14ac:dyDescent="0.25">
      <c r="A647" s="7">
        <v>1</v>
      </c>
      <c r="B647" s="7">
        <v>893</v>
      </c>
      <c r="C647" s="7">
        <v>102</v>
      </c>
      <c r="D647" s="8">
        <v>10289.53</v>
      </c>
      <c r="E647" s="9">
        <v>1</v>
      </c>
    </row>
    <row r="648" spans="1:5" x14ac:dyDescent="0.25">
      <c r="A648" s="7">
        <v>1</v>
      </c>
      <c r="B648" s="7">
        <v>895</v>
      </c>
      <c r="C648" s="7">
        <v>177</v>
      </c>
      <c r="D648" s="8">
        <v>15300</v>
      </c>
      <c r="E648" s="9">
        <v>1</v>
      </c>
    </row>
    <row r="649" spans="1:5" x14ac:dyDescent="0.25">
      <c r="A649" s="7">
        <v>1</v>
      </c>
      <c r="B649" s="7">
        <v>896</v>
      </c>
      <c r="C649" s="7">
        <v>139</v>
      </c>
      <c r="D649" s="8">
        <v>9313.75</v>
      </c>
      <c r="E649" s="9">
        <v>1</v>
      </c>
    </row>
    <row r="650" spans="1:5" x14ac:dyDescent="0.25">
      <c r="A650" s="7">
        <v>1</v>
      </c>
      <c r="B650" s="7">
        <v>897</v>
      </c>
      <c r="C650" s="7">
        <v>102</v>
      </c>
      <c r="D650" s="8">
        <v>7253.75</v>
      </c>
      <c r="E650" s="9">
        <v>1</v>
      </c>
    </row>
    <row r="651" spans="1:5" x14ac:dyDescent="0.25">
      <c r="A651" s="7">
        <v>1</v>
      </c>
      <c r="B651" s="7">
        <v>898</v>
      </c>
      <c r="C651" s="7">
        <v>102</v>
      </c>
      <c r="D651" s="8">
        <v>7253.75</v>
      </c>
      <c r="E651" s="9">
        <v>1</v>
      </c>
    </row>
    <row r="652" spans="1:5" x14ac:dyDescent="0.25">
      <c r="A652" s="7">
        <v>1</v>
      </c>
      <c r="B652" s="7">
        <v>899</v>
      </c>
      <c r="C652" s="7">
        <v>102</v>
      </c>
      <c r="D652" s="8">
        <v>7253.75</v>
      </c>
      <c r="E652" s="9">
        <v>1</v>
      </c>
    </row>
    <row r="653" spans="1:5" x14ac:dyDescent="0.25">
      <c r="A653" s="7">
        <v>1</v>
      </c>
      <c r="B653" s="7">
        <v>900</v>
      </c>
      <c r="C653" s="7">
        <v>102</v>
      </c>
      <c r="D653" s="8">
        <v>7253.75</v>
      </c>
      <c r="E653" s="9">
        <v>1</v>
      </c>
    </row>
    <row r="654" spans="1:5" x14ac:dyDescent="0.25">
      <c r="A654" s="7">
        <v>1</v>
      </c>
      <c r="B654" s="7">
        <v>903</v>
      </c>
      <c r="C654" s="7">
        <v>132</v>
      </c>
      <c r="D654" s="8">
        <v>15.58</v>
      </c>
      <c r="E654" s="9">
        <v>3</v>
      </c>
    </row>
    <row r="655" spans="1:5" x14ac:dyDescent="0.25">
      <c r="A655" s="7">
        <v>1</v>
      </c>
      <c r="B655" s="7">
        <v>904</v>
      </c>
      <c r="C655" s="7">
        <v>140</v>
      </c>
      <c r="D655" s="8">
        <v>132394.66</v>
      </c>
      <c r="E655" s="9">
        <v>1</v>
      </c>
    </row>
    <row r="656" spans="1:5" x14ac:dyDescent="0.25">
      <c r="A656" s="7">
        <v>1</v>
      </c>
      <c r="B656" s="7">
        <v>905</v>
      </c>
      <c r="C656" s="7">
        <v>132</v>
      </c>
      <c r="D656" s="8">
        <v>16.99</v>
      </c>
      <c r="E656" s="9">
        <v>3</v>
      </c>
    </row>
    <row r="657" spans="1:5" x14ac:dyDescent="0.25">
      <c r="A657" s="7">
        <v>1</v>
      </c>
      <c r="B657" s="7">
        <v>906</v>
      </c>
      <c r="C657" s="7">
        <v>107</v>
      </c>
      <c r="D657" s="8">
        <v>102671.84</v>
      </c>
      <c r="E657" s="9">
        <v>1</v>
      </c>
    </row>
    <row r="658" spans="1:5" x14ac:dyDescent="0.25">
      <c r="A658" s="7">
        <v>1</v>
      </c>
      <c r="B658" s="7">
        <v>907</v>
      </c>
      <c r="C658" s="7">
        <v>139</v>
      </c>
      <c r="D658" s="8">
        <v>14413.63</v>
      </c>
      <c r="E658" s="9">
        <v>1</v>
      </c>
    </row>
    <row r="659" spans="1:5" x14ac:dyDescent="0.25">
      <c r="A659" s="7">
        <v>1</v>
      </c>
      <c r="B659" s="7">
        <v>908</v>
      </c>
      <c r="C659" s="7">
        <v>139</v>
      </c>
      <c r="D659" s="8">
        <v>53524.38</v>
      </c>
      <c r="E659" s="9">
        <v>1</v>
      </c>
    </row>
    <row r="660" spans="1:5" x14ac:dyDescent="0.25">
      <c r="A660" s="7">
        <v>1</v>
      </c>
      <c r="B660" s="7">
        <v>909</v>
      </c>
      <c r="C660" s="7">
        <v>132</v>
      </c>
      <c r="D660" s="8">
        <v>18.8</v>
      </c>
      <c r="E660" s="9">
        <v>3</v>
      </c>
    </row>
    <row r="661" spans="1:5" x14ac:dyDescent="0.25">
      <c r="A661" s="7">
        <v>1</v>
      </c>
      <c r="B661" s="7">
        <v>910</v>
      </c>
      <c r="C661" s="7">
        <v>115</v>
      </c>
      <c r="D661" s="8">
        <v>278484.96</v>
      </c>
      <c r="E661" s="9">
        <v>1</v>
      </c>
    </row>
    <row r="662" spans="1:5" x14ac:dyDescent="0.25">
      <c r="A662" s="7">
        <v>1</v>
      </c>
      <c r="B662" s="7">
        <v>911</v>
      </c>
      <c r="C662" s="7">
        <v>119</v>
      </c>
      <c r="D662" s="8">
        <v>346067.3</v>
      </c>
      <c r="E662" s="9">
        <v>1</v>
      </c>
    </row>
    <row r="663" spans="1:5" x14ac:dyDescent="0.25">
      <c r="A663" s="7">
        <v>1</v>
      </c>
      <c r="B663" s="7">
        <v>912</v>
      </c>
      <c r="C663" s="7">
        <v>128</v>
      </c>
      <c r="D663" s="8">
        <v>1558.25</v>
      </c>
      <c r="E663" s="9">
        <v>1</v>
      </c>
    </row>
    <row r="664" spans="1:5" x14ac:dyDescent="0.25">
      <c r="A664" s="7">
        <v>1</v>
      </c>
      <c r="B664" s="7">
        <v>913</v>
      </c>
      <c r="C664" s="7">
        <v>128</v>
      </c>
      <c r="D664" s="8">
        <v>1692.2</v>
      </c>
      <c r="E664" s="9">
        <v>1</v>
      </c>
    </row>
    <row r="665" spans="1:5" x14ac:dyDescent="0.25">
      <c r="A665" s="7">
        <v>1</v>
      </c>
      <c r="B665" s="7">
        <v>914</v>
      </c>
      <c r="C665" s="7">
        <v>128</v>
      </c>
      <c r="D665" s="8">
        <v>1918.42</v>
      </c>
      <c r="E665" s="9">
        <v>1</v>
      </c>
    </row>
    <row r="666" spans="1:5" x14ac:dyDescent="0.25">
      <c r="A666" s="7">
        <v>1</v>
      </c>
      <c r="B666" s="7">
        <v>915</v>
      </c>
      <c r="C666" s="7">
        <v>130</v>
      </c>
      <c r="D666" s="8">
        <v>63402.12</v>
      </c>
      <c r="E666" s="9">
        <v>1</v>
      </c>
    </row>
    <row r="667" spans="1:5" x14ac:dyDescent="0.25">
      <c r="A667" s="7">
        <v>1</v>
      </c>
      <c r="B667" s="7">
        <v>916</v>
      </c>
      <c r="C667" s="7">
        <v>130</v>
      </c>
      <c r="D667" s="8">
        <v>86020.88</v>
      </c>
      <c r="E667" s="9">
        <v>1</v>
      </c>
    </row>
    <row r="668" spans="1:5" x14ac:dyDescent="0.25">
      <c r="A668" s="7">
        <v>1</v>
      </c>
      <c r="B668" s="7">
        <v>920</v>
      </c>
      <c r="C668" s="7">
        <v>130</v>
      </c>
      <c r="D668" s="8">
        <v>47370.22</v>
      </c>
      <c r="E668" s="9">
        <v>1</v>
      </c>
    </row>
    <row r="669" spans="1:5" x14ac:dyDescent="0.25">
      <c r="A669" s="7">
        <v>1</v>
      </c>
      <c r="B669" s="7">
        <v>921</v>
      </c>
      <c r="C669" s="7">
        <v>130</v>
      </c>
      <c r="D669" s="8">
        <v>159950.1</v>
      </c>
      <c r="E669" s="9">
        <v>1</v>
      </c>
    </row>
    <row r="670" spans="1:5" x14ac:dyDescent="0.25">
      <c r="A670" s="7">
        <v>1</v>
      </c>
      <c r="B670" s="7">
        <v>922</v>
      </c>
      <c r="C670" s="7">
        <v>130</v>
      </c>
      <c r="D670" s="8">
        <v>522302.47</v>
      </c>
      <c r="E670" s="9">
        <v>1</v>
      </c>
    </row>
    <row r="671" spans="1:5" x14ac:dyDescent="0.25">
      <c r="A671" s="7">
        <v>1</v>
      </c>
      <c r="B671" s="7">
        <v>924</v>
      </c>
      <c r="C671" s="7">
        <v>139</v>
      </c>
      <c r="D671" s="8">
        <v>8962.76</v>
      </c>
      <c r="E671" s="9">
        <v>1</v>
      </c>
    </row>
    <row r="672" spans="1:5" x14ac:dyDescent="0.25">
      <c r="A672" s="7">
        <v>1</v>
      </c>
      <c r="B672" s="7">
        <v>925</v>
      </c>
      <c r="C672" s="7">
        <v>150</v>
      </c>
      <c r="D672" s="8">
        <v>61726.11</v>
      </c>
      <c r="E672" s="9">
        <v>1</v>
      </c>
    </row>
    <row r="673" spans="1:5" x14ac:dyDescent="0.25">
      <c r="A673" s="7">
        <v>1</v>
      </c>
      <c r="B673" s="7">
        <v>926</v>
      </c>
      <c r="C673" s="7">
        <v>150</v>
      </c>
      <c r="D673" s="8">
        <v>242602.19</v>
      </c>
      <c r="E673" s="9">
        <v>1</v>
      </c>
    </row>
    <row r="674" spans="1:5" x14ac:dyDescent="0.25">
      <c r="A674" s="7">
        <v>1</v>
      </c>
      <c r="B674" s="7">
        <v>927</v>
      </c>
      <c r="C674" s="7">
        <v>140</v>
      </c>
      <c r="D674" s="8">
        <v>7254.44</v>
      </c>
      <c r="E674" s="9">
        <v>1</v>
      </c>
    </row>
    <row r="675" spans="1:5" x14ac:dyDescent="0.25">
      <c r="A675" s="7">
        <v>1</v>
      </c>
      <c r="B675" s="7">
        <v>928</v>
      </c>
      <c r="C675" s="7">
        <v>128</v>
      </c>
      <c r="D675" s="8">
        <v>7367.87</v>
      </c>
      <c r="E675" s="9">
        <v>1</v>
      </c>
    </row>
    <row r="676" spans="1:5" x14ac:dyDescent="0.25">
      <c r="A676" s="7">
        <v>1</v>
      </c>
      <c r="B676" s="7">
        <v>929</v>
      </c>
      <c r="C676" s="7">
        <v>128</v>
      </c>
      <c r="D676" s="8">
        <v>8033.92</v>
      </c>
      <c r="E676" s="9">
        <v>1</v>
      </c>
    </row>
    <row r="677" spans="1:5" x14ac:dyDescent="0.25">
      <c r="A677" s="7">
        <v>1</v>
      </c>
      <c r="B677" s="7">
        <v>930</v>
      </c>
      <c r="C677" s="7">
        <v>139</v>
      </c>
      <c r="D677" s="8">
        <v>13977.96</v>
      </c>
      <c r="E677" s="9">
        <v>1</v>
      </c>
    </row>
    <row r="678" spans="1:5" x14ac:dyDescent="0.25">
      <c r="A678" s="7">
        <v>1</v>
      </c>
      <c r="B678" s="7">
        <v>931</v>
      </c>
      <c r="C678" s="7">
        <v>139</v>
      </c>
      <c r="D678" s="8">
        <v>53878.26</v>
      </c>
      <c r="E678" s="9">
        <v>1</v>
      </c>
    </row>
    <row r="679" spans="1:5" x14ac:dyDescent="0.25">
      <c r="A679" s="7">
        <v>1</v>
      </c>
      <c r="B679" s="7">
        <v>933</v>
      </c>
      <c r="C679" s="7">
        <v>119</v>
      </c>
      <c r="D679" s="8">
        <v>37605.56</v>
      </c>
      <c r="E679" s="9">
        <v>1</v>
      </c>
    </row>
    <row r="680" spans="1:5" x14ac:dyDescent="0.25">
      <c r="A680" s="7">
        <v>1</v>
      </c>
      <c r="B680" s="7">
        <v>934</v>
      </c>
      <c r="C680" s="7">
        <v>119</v>
      </c>
      <c r="D680" s="8">
        <v>131870.87</v>
      </c>
      <c r="E680" s="9">
        <v>1</v>
      </c>
    </row>
    <row r="681" spans="1:5" x14ac:dyDescent="0.25">
      <c r="A681" s="7">
        <v>1</v>
      </c>
      <c r="B681" s="7">
        <v>935</v>
      </c>
      <c r="C681" s="7">
        <v>119</v>
      </c>
      <c r="D681" s="8">
        <v>39120.02</v>
      </c>
      <c r="E681" s="9">
        <v>1</v>
      </c>
    </row>
    <row r="682" spans="1:5" x14ac:dyDescent="0.25">
      <c r="A682" s="7">
        <v>1</v>
      </c>
      <c r="B682" s="7">
        <v>936</v>
      </c>
      <c r="C682" s="7">
        <v>119</v>
      </c>
      <c r="D682" s="8">
        <v>137142.83</v>
      </c>
      <c r="E682" s="9">
        <v>1</v>
      </c>
    </row>
    <row r="683" spans="1:5" x14ac:dyDescent="0.25">
      <c r="A683" s="7">
        <v>1</v>
      </c>
      <c r="B683" s="7">
        <v>937</v>
      </c>
      <c r="C683" s="7">
        <v>150</v>
      </c>
      <c r="D683" s="8">
        <v>16814.38</v>
      </c>
      <c r="E683" s="9">
        <v>1</v>
      </c>
    </row>
    <row r="684" spans="1:5" x14ac:dyDescent="0.25">
      <c r="A684" s="7">
        <v>1</v>
      </c>
      <c r="B684" s="7">
        <v>938</v>
      </c>
      <c r="C684" s="7">
        <v>150</v>
      </c>
      <c r="D684" s="8">
        <v>51141.73</v>
      </c>
      <c r="E684" s="9">
        <v>1</v>
      </c>
    </row>
    <row r="685" spans="1:5" x14ac:dyDescent="0.25">
      <c r="A685" s="7">
        <v>1</v>
      </c>
      <c r="B685" s="7">
        <v>939</v>
      </c>
      <c r="C685" s="7">
        <v>150</v>
      </c>
      <c r="D685" s="8">
        <v>115538.24</v>
      </c>
      <c r="E685" s="9">
        <v>1</v>
      </c>
    </row>
    <row r="686" spans="1:5" x14ac:dyDescent="0.25">
      <c r="A686" s="7">
        <v>1</v>
      </c>
      <c r="B686" s="7">
        <v>940</v>
      </c>
      <c r="C686" s="7">
        <v>150</v>
      </c>
      <c r="D686" s="8">
        <v>167627.88</v>
      </c>
      <c r="E686" s="9">
        <v>1</v>
      </c>
    </row>
    <row r="687" spans="1:5" x14ac:dyDescent="0.25">
      <c r="A687" s="7">
        <v>1</v>
      </c>
      <c r="B687" s="7">
        <v>942</v>
      </c>
      <c r="C687" s="7">
        <v>107</v>
      </c>
      <c r="D687" s="8">
        <v>45762.79</v>
      </c>
      <c r="E687" s="9">
        <v>1</v>
      </c>
    </row>
    <row r="688" spans="1:5" x14ac:dyDescent="0.25">
      <c r="A688" s="7">
        <v>1</v>
      </c>
      <c r="B688" s="7">
        <v>943</v>
      </c>
      <c r="C688" s="7">
        <v>107</v>
      </c>
      <c r="D688" s="8">
        <v>94370.45</v>
      </c>
      <c r="E688" s="9">
        <v>1</v>
      </c>
    </row>
    <row r="689" spans="1:5" x14ac:dyDescent="0.25">
      <c r="A689" s="7">
        <v>1</v>
      </c>
      <c r="B689" s="7">
        <v>944</v>
      </c>
      <c r="C689" s="7">
        <v>107</v>
      </c>
      <c r="D689" s="8">
        <v>157284.81</v>
      </c>
      <c r="E689" s="9">
        <v>1</v>
      </c>
    </row>
    <row r="690" spans="1:5" x14ac:dyDescent="0.25">
      <c r="A690" s="7">
        <v>1</v>
      </c>
      <c r="B690" s="7">
        <v>945</v>
      </c>
      <c r="C690" s="7">
        <v>149</v>
      </c>
      <c r="D690" s="8">
        <v>55899.07</v>
      </c>
      <c r="E690" s="9">
        <v>1</v>
      </c>
    </row>
    <row r="691" spans="1:5" x14ac:dyDescent="0.25">
      <c r="A691" s="7">
        <v>1</v>
      </c>
      <c r="B691" s="7">
        <v>946</v>
      </c>
      <c r="C691" s="7">
        <v>149</v>
      </c>
      <c r="D691" s="8">
        <v>74349.07</v>
      </c>
      <c r="E691" s="9">
        <v>1</v>
      </c>
    </row>
    <row r="692" spans="1:5" x14ac:dyDescent="0.25">
      <c r="A692" s="7">
        <v>1</v>
      </c>
      <c r="B692" s="7">
        <v>947</v>
      </c>
      <c r="C692" s="7">
        <v>149</v>
      </c>
      <c r="D692" s="8">
        <v>92844.83</v>
      </c>
      <c r="E692" s="9">
        <v>1</v>
      </c>
    </row>
    <row r="693" spans="1:5" x14ac:dyDescent="0.25">
      <c r="A693" s="7">
        <v>1</v>
      </c>
      <c r="B693" s="7">
        <v>948</v>
      </c>
      <c r="C693" s="7">
        <v>107</v>
      </c>
      <c r="D693" s="8">
        <v>22695.4</v>
      </c>
      <c r="E693" s="9">
        <v>1</v>
      </c>
    </row>
    <row r="694" spans="1:5" x14ac:dyDescent="0.25">
      <c r="A694" s="7">
        <v>1</v>
      </c>
      <c r="B694" s="7">
        <v>949</v>
      </c>
      <c r="C694" s="7">
        <v>107</v>
      </c>
      <c r="D694" s="8">
        <v>69443.69</v>
      </c>
      <c r="E694" s="9">
        <v>1</v>
      </c>
    </row>
    <row r="695" spans="1:5" x14ac:dyDescent="0.25">
      <c r="A695" s="7">
        <v>1</v>
      </c>
      <c r="B695" s="7">
        <v>950</v>
      </c>
      <c r="C695" s="7">
        <v>107</v>
      </c>
      <c r="D695" s="8">
        <v>248225.4</v>
      </c>
      <c r="E695" s="9">
        <v>1</v>
      </c>
    </row>
    <row r="696" spans="1:5" x14ac:dyDescent="0.25">
      <c r="A696" s="7">
        <v>1</v>
      </c>
      <c r="B696" s="7">
        <v>951</v>
      </c>
      <c r="C696" s="7">
        <v>149</v>
      </c>
      <c r="D696" s="8">
        <v>485.44</v>
      </c>
      <c r="E696" s="9">
        <v>2</v>
      </c>
    </row>
    <row r="697" spans="1:5" x14ac:dyDescent="0.25">
      <c r="A697" s="7">
        <v>1</v>
      </c>
      <c r="B697" s="7">
        <v>953</v>
      </c>
      <c r="C697" s="7">
        <v>149</v>
      </c>
      <c r="D697" s="8">
        <v>583.84</v>
      </c>
      <c r="E697" s="9">
        <v>2</v>
      </c>
    </row>
    <row r="698" spans="1:5" x14ac:dyDescent="0.25">
      <c r="A698" s="7">
        <v>1</v>
      </c>
      <c r="B698" s="7">
        <v>954</v>
      </c>
      <c r="C698" s="7">
        <v>149</v>
      </c>
      <c r="D698" s="8">
        <v>652.72</v>
      </c>
      <c r="E698" s="9">
        <v>2</v>
      </c>
    </row>
    <row r="699" spans="1:5" x14ac:dyDescent="0.25">
      <c r="A699" s="7">
        <v>1</v>
      </c>
      <c r="B699" s="7">
        <v>955</v>
      </c>
      <c r="C699" s="7">
        <v>149</v>
      </c>
      <c r="D699" s="8">
        <v>895.44</v>
      </c>
      <c r="E699" s="9">
        <v>2</v>
      </c>
    </row>
    <row r="700" spans="1:5" x14ac:dyDescent="0.25">
      <c r="A700" s="7">
        <v>1</v>
      </c>
      <c r="B700" s="7">
        <v>956</v>
      </c>
      <c r="C700" s="7">
        <v>149</v>
      </c>
      <c r="D700" s="8">
        <v>1066</v>
      </c>
      <c r="E700" s="9">
        <v>2</v>
      </c>
    </row>
    <row r="701" spans="1:5" x14ac:dyDescent="0.25">
      <c r="A701" s="7">
        <v>1</v>
      </c>
      <c r="B701" s="7">
        <v>957</v>
      </c>
      <c r="C701" s="7">
        <v>149</v>
      </c>
      <c r="D701" s="8">
        <v>1187.36</v>
      </c>
      <c r="E701" s="9">
        <v>2</v>
      </c>
    </row>
    <row r="702" spans="1:5" x14ac:dyDescent="0.25">
      <c r="A702" s="7">
        <v>1</v>
      </c>
      <c r="B702" s="7">
        <v>958</v>
      </c>
      <c r="C702" s="7">
        <v>149</v>
      </c>
      <c r="D702" s="8">
        <v>1385.8</v>
      </c>
      <c r="E702" s="9">
        <v>2</v>
      </c>
    </row>
    <row r="703" spans="1:5" x14ac:dyDescent="0.25">
      <c r="A703" s="7">
        <v>1</v>
      </c>
      <c r="B703" s="7">
        <v>959</v>
      </c>
      <c r="C703" s="7">
        <v>119</v>
      </c>
      <c r="D703" s="8">
        <v>550467.27</v>
      </c>
      <c r="E703" s="9">
        <v>1</v>
      </c>
    </row>
    <row r="704" spans="1:5" x14ac:dyDescent="0.25">
      <c r="A704" s="7">
        <v>1</v>
      </c>
      <c r="B704" s="7">
        <v>960</v>
      </c>
      <c r="C704" s="7">
        <v>149</v>
      </c>
      <c r="D704" s="8">
        <v>111355.34</v>
      </c>
      <c r="E704" s="9">
        <v>1</v>
      </c>
    </row>
    <row r="705" spans="1:5" x14ac:dyDescent="0.25">
      <c r="A705" s="7">
        <v>1</v>
      </c>
      <c r="B705" s="7">
        <v>961</v>
      </c>
      <c r="C705" s="7">
        <v>149</v>
      </c>
      <c r="D705" s="8">
        <v>127455.55</v>
      </c>
      <c r="E705" s="9">
        <v>1</v>
      </c>
    </row>
    <row r="706" spans="1:5" x14ac:dyDescent="0.25">
      <c r="A706" s="7">
        <v>1</v>
      </c>
      <c r="B706" s="7">
        <v>962</v>
      </c>
      <c r="C706" s="7">
        <v>149</v>
      </c>
      <c r="D706" s="8">
        <v>148690.76</v>
      </c>
      <c r="E706" s="9">
        <v>1</v>
      </c>
    </row>
    <row r="707" spans="1:5" x14ac:dyDescent="0.25">
      <c r="A707" s="7">
        <v>1</v>
      </c>
      <c r="B707" s="7">
        <v>963</v>
      </c>
      <c r="C707" s="7">
        <v>119</v>
      </c>
      <c r="D707" s="8">
        <v>572505.6</v>
      </c>
      <c r="E707" s="9">
        <v>1</v>
      </c>
    </row>
    <row r="708" spans="1:5" x14ac:dyDescent="0.25">
      <c r="A708" s="7">
        <v>1</v>
      </c>
      <c r="B708" s="7">
        <v>968</v>
      </c>
      <c r="C708" s="7">
        <v>126</v>
      </c>
      <c r="D708" s="8">
        <v>9556.04</v>
      </c>
      <c r="E708" s="9">
        <v>1</v>
      </c>
    </row>
    <row r="709" spans="1:5" x14ac:dyDescent="0.25">
      <c r="A709" s="7">
        <v>1</v>
      </c>
      <c r="B709" s="7">
        <v>969</v>
      </c>
      <c r="C709" s="7">
        <v>126</v>
      </c>
      <c r="D709" s="8">
        <v>11412.22</v>
      </c>
      <c r="E709" s="9">
        <v>1</v>
      </c>
    </row>
    <row r="710" spans="1:5" x14ac:dyDescent="0.25">
      <c r="A710" s="7">
        <v>1</v>
      </c>
      <c r="B710" s="7">
        <v>974</v>
      </c>
      <c r="C710" s="7">
        <v>107</v>
      </c>
      <c r="D710" s="8">
        <v>22173.92</v>
      </c>
      <c r="E710" s="9">
        <v>1</v>
      </c>
    </row>
    <row r="711" spans="1:5" x14ac:dyDescent="0.25">
      <c r="A711" s="7">
        <v>1</v>
      </c>
      <c r="B711" s="7">
        <v>975</v>
      </c>
      <c r="C711" s="7">
        <v>107</v>
      </c>
      <c r="D711" s="8">
        <v>70465.63</v>
      </c>
      <c r="E711" s="9">
        <v>1</v>
      </c>
    </row>
    <row r="712" spans="1:5" x14ac:dyDescent="0.25">
      <c r="A712" s="7">
        <v>1</v>
      </c>
      <c r="B712" s="7">
        <v>976</v>
      </c>
      <c r="C712" s="7">
        <v>107</v>
      </c>
      <c r="D712" s="8">
        <v>144873.12</v>
      </c>
      <c r="E712" s="9">
        <v>1</v>
      </c>
    </row>
    <row r="713" spans="1:5" x14ac:dyDescent="0.25">
      <c r="A713" s="7">
        <v>1</v>
      </c>
      <c r="B713" s="7">
        <v>977</v>
      </c>
      <c r="C713" s="7">
        <v>107</v>
      </c>
      <c r="D713" s="8">
        <v>240223.99</v>
      </c>
      <c r="E713" s="9">
        <v>1</v>
      </c>
    </row>
    <row r="714" spans="1:5" x14ac:dyDescent="0.25">
      <c r="A714" s="7">
        <v>1</v>
      </c>
      <c r="B714" s="7">
        <v>978</v>
      </c>
      <c r="C714" s="7">
        <v>128</v>
      </c>
      <c r="D714" s="8">
        <v>2402.2</v>
      </c>
      <c r="E714" s="9">
        <v>1</v>
      </c>
    </row>
    <row r="715" spans="1:5" x14ac:dyDescent="0.25">
      <c r="A715" s="7">
        <v>1</v>
      </c>
      <c r="B715" s="7">
        <v>979</v>
      </c>
      <c r="C715" s="7">
        <v>128</v>
      </c>
      <c r="D715" s="8">
        <v>2830.39</v>
      </c>
      <c r="E715" s="9">
        <v>1</v>
      </c>
    </row>
    <row r="716" spans="1:5" x14ac:dyDescent="0.25">
      <c r="A716" s="7">
        <v>1</v>
      </c>
      <c r="B716" s="7">
        <v>980</v>
      </c>
      <c r="C716" s="7">
        <v>128</v>
      </c>
      <c r="D716" s="8">
        <v>3052.48</v>
      </c>
      <c r="E716" s="9">
        <v>1</v>
      </c>
    </row>
    <row r="717" spans="1:5" x14ac:dyDescent="0.25">
      <c r="A717" s="7">
        <v>1</v>
      </c>
      <c r="B717" s="7">
        <v>981</v>
      </c>
      <c r="C717" s="7">
        <v>139</v>
      </c>
      <c r="D717" s="8">
        <v>9482.57</v>
      </c>
      <c r="E717" s="9">
        <v>1</v>
      </c>
    </row>
    <row r="718" spans="1:5" x14ac:dyDescent="0.25">
      <c r="A718" s="7">
        <v>1</v>
      </c>
      <c r="B718" s="7">
        <v>982</v>
      </c>
      <c r="C718" s="7">
        <v>139</v>
      </c>
      <c r="D718" s="8">
        <v>30403.9</v>
      </c>
      <c r="E718" s="9">
        <v>1</v>
      </c>
    </row>
    <row r="719" spans="1:5" x14ac:dyDescent="0.25">
      <c r="A719" s="7">
        <v>1</v>
      </c>
      <c r="B719" s="7">
        <v>983</v>
      </c>
      <c r="C719" s="7">
        <v>144</v>
      </c>
      <c r="D719" s="8">
        <v>22092.67</v>
      </c>
      <c r="E719" s="9">
        <v>1</v>
      </c>
    </row>
    <row r="720" spans="1:5" x14ac:dyDescent="0.25">
      <c r="A720" s="7">
        <v>1</v>
      </c>
      <c r="B720" s="7">
        <v>984</v>
      </c>
      <c r="C720" s="7">
        <v>140</v>
      </c>
      <c r="D720" s="8">
        <v>3310.05</v>
      </c>
      <c r="E720" s="9">
        <v>1</v>
      </c>
    </row>
    <row r="721" spans="1:5" x14ac:dyDescent="0.25">
      <c r="A721" s="7">
        <v>1</v>
      </c>
      <c r="B721" s="7">
        <v>985</v>
      </c>
      <c r="C721" s="7">
        <v>128</v>
      </c>
      <c r="D721" s="8">
        <v>7589.38</v>
      </c>
      <c r="E721" s="9">
        <v>1</v>
      </c>
    </row>
    <row r="722" spans="1:5" x14ac:dyDescent="0.25">
      <c r="A722" s="7">
        <v>1</v>
      </c>
      <c r="B722" s="7">
        <v>986</v>
      </c>
      <c r="C722" s="7">
        <v>128</v>
      </c>
      <c r="D722" s="8">
        <v>8523.94</v>
      </c>
      <c r="E722" s="9">
        <v>1</v>
      </c>
    </row>
    <row r="723" spans="1:5" x14ac:dyDescent="0.25">
      <c r="A723" s="7">
        <v>1</v>
      </c>
      <c r="B723" s="7">
        <v>987</v>
      </c>
      <c r="C723" s="7">
        <v>128</v>
      </c>
      <c r="D723" s="8">
        <v>10015.98</v>
      </c>
      <c r="E723" s="9">
        <v>1</v>
      </c>
    </row>
    <row r="724" spans="1:5" x14ac:dyDescent="0.25">
      <c r="A724" s="7">
        <v>1</v>
      </c>
      <c r="B724" s="7">
        <v>988</v>
      </c>
      <c r="C724" s="7">
        <v>128</v>
      </c>
      <c r="D724" s="8">
        <v>14301.99</v>
      </c>
      <c r="E724" s="9">
        <v>1</v>
      </c>
    </row>
    <row r="725" spans="1:5" x14ac:dyDescent="0.25">
      <c r="A725" s="7">
        <v>1</v>
      </c>
      <c r="B725" s="7">
        <v>989</v>
      </c>
      <c r="C725" s="7">
        <v>128</v>
      </c>
      <c r="D725" s="8">
        <v>15348.08</v>
      </c>
      <c r="E725" s="9">
        <v>1</v>
      </c>
    </row>
    <row r="726" spans="1:5" x14ac:dyDescent="0.25">
      <c r="A726" s="7">
        <v>1</v>
      </c>
      <c r="B726" s="7">
        <v>990</v>
      </c>
      <c r="C726" s="7">
        <v>128</v>
      </c>
      <c r="D726" s="8">
        <v>17568.22</v>
      </c>
      <c r="E726" s="9">
        <v>1</v>
      </c>
    </row>
    <row r="727" spans="1:5" x14ac:dyDescent="0.25">
      <c r="A727" s="7">
        <v>1</v>
      </c>
      <c r="B727" s="7">
        <v>991</v>
      </c>
      <c r="C727" s="7">
        <v>128</v>
      </c>
      <c r="D727" s="8">
        <v>6631.47</v>
      </c>
      <c r="E727" s="9">
        <v>1</v>
      </c>
    </row>
    <row r="728" spans="1:5" x14ac:dyDescent="0.25">
      <c r="A728" s="7">
        <v>1</v>
      </c>
      <c r="B728" s="7">
        <v>992</v>
      </c>
      <c r="C728" s="7">
        <v>102</v>
      </c>
      <c r="D728" s="8">
        <v>1371.02</v>
      </c>
      <c r="E728" s="9">
        <v>1</v>
      </c>
    </row>
    <row r="729" spans="1:5" x14ac:dyDescent="0.25">
      <c r="A729" s="7">
        <v>1</v>
      </c>
      <c r="B729" s="7">
        <v>993</v>
      </c>
      <c r="C729" s="7">
        <v>144</v>
      </c>
      <c r="D729" s="8">
        <v>23704.09</v>
      </c>
      <c r="E729" s="9">
        <v>1</v>
      </c>
    </row>
    <row r="730" spans="1:5" x14ac:dyDescent="0.25">
      <c r="A730" s="7">
        <v>1</v>
      </c>
      <c r="B730" s="7">
        <v>994</v>
      </c>
      <c r="C730" s="7">
        <v>127</v>
      </c>
      <c r="D730" s="8">
        <v>18881.25</v>
      </c>
      <c r="E730" s="9">
        <v>1</v>
      </c>
    </row>
    <row r="731" spans="1:5" x14ac:dyDescent="0.25">
      <c r="A731" s="7">
        <v>1</v>
      </c>
      <c r="B731" s="7">
        <v>995</v>
      </c>
      <c r="C731" s="7">
        <v>139</v>
      </c>
      <c r="D731" s="8">
        <v>71278.18</v>
      </c>
      <c r="E731" s="9">
        <v>1</v>
      </c>
    </row>
    <row r="732" spans="1:5" x14ac:dyDescent="0.25">
      <c r="A732" s="7">
        <v>1</v>
      </c>
      <c r="B732" s="7">
        <v>996</v>
      </c>
      <c r="C732" s="7">
        <v>139</v>
      </c>
      <c r="D732" s="8">
        <v>120588.53</v>
      </c>
      <c r="E732" s="9">
        <v>1</v>
      </c>
    </row>
    <row r="733" spans="1:5" x14ac:dyDescent="0.25">
      <c r="A733" s="7">
        <v>1</v>
      </c>
      <c r="B733" s="7">
        <v>999</v>
      </c>
      <c r="C733" s="7">
        <v>102</v>
      </c>
      <c r="D733" s="8">
        <v>2171.63</v>
      </c>
      <c r="E733" s="9">
        <v>1</v>
      </c>
    </row>
    <row r="734" spans="1:5" x14ac:dyDescent="0.25">
      <c r="A734" s="7">
        <v>1</v>
      </c>
      <c r="B734" s="7">
        <v>1000</v>
      </c>
      <c r="C734" s="7">
        <v>137</v>
      </c>
      <c r="D734" s="8">
        <v>30309.28</v>
      </c>
      <c r="E734" s="9">
        <v>1</v>
      </c>
    </row>
    <row r="735" spans="1:5" x14ac:dyDescent="0.25">
      <c r="A735" s="7">
        <v>1</v>
      </c>
      <c r="B735" s="7">
        <v>1001</v>
      </c>
      <c r="C735" s="7">
        <v>108</v>
      </c>
      <c r="D735" s="8">
        <v>290851.7</v>
      </c>
      <c r="E735" s="9">
        <v>1</v>
      </c>
    </row>
    <row r="736" spans="1:5" x14ac:dyDescent="0.25">
      <c r="A736" s="7">
        <v>1</v>
      </c>
      <c r="B736" s="7">
        <v>1002</v>
      </c>
      <c r="C736" s="7">
        <v>108</v>
      </c>
      <c r="D736" s="8">
        <v>110424.13</v>
      </c>
      <c r="E736" s="9">
        <v>1</v>
      </c>
    </row>
    <row r="737" spans="1:5" x14ac:dyDescent="0.25">
      <c r="A737" s="7">
        <v>1</v>
      </c>
      <c r="B737" s="7">
        <v>1003</v>
      </c>
      <c r="C737" s="7">
        <v>108</v>
      </c>
      <c r="D737" s="8">
        <v>151124.26</v>
      </c>
      <c r="E737" s="9">
        <v>1</v>
      </c>
    </row>
    <row r="738" spans="1:5" x14ac:dyDescent="0.25">
      <c r="A738" s="7">
        <v>1</v>
      </c>
      <c r="B738" s="7">
        <v>1004</v>
      </c>
      <c r="C738" s="7">
        <v>129</v>
      </c>
      <c r="D738" s="8">
        <v>120757.75</v>
      </c>
      <c r="E738" s="9">
        <v>1</v>
      </c>
    </row>
    <row r="739" spans="1:5" x14ac:dyDescent="0.25">
      <c r="A739" s="7">
        <v>1</v>
      </c>
      <c r="B739" s="7">
        <v>1005</v>
      </c>
      <c r="C739" s="7">
        <v>152</v>
      </c>
      <c r="D739" s="8">
        <v>2659.42</v>
      </c>
      <c r="E739" s="9">
        <v>1</v>
      </c>
    </row>
    <row r="740" spans="1:5" x14ac:dyDescent="0.25">
      <c r="A740" s="7">
        <v>1</v>
      </c>
      <c r="B740" s="7">
        <v>1006</v>
      </c>
      <c r="C740" s="7">
        <v>124</v>
      </c>
      <c r="D740" s="8">
        <v>3376.86</v>
      </c>
      <c r="E740" s="9">
        <v>1</v>
      </c>
    </row>
    <row r="741" spans="1:5" x14ac:dyDescent="0.25">
      <c r="A741" s="7">
        <v>1</v>
      </c>
      <c r="B741" s="7">
        <v>1007</v>
      </c>
      <c r="C741" s="7">
        <v>124</v>
      </c>
      <c r="D741" s="8">
        <v>15675.61</v>
      </c>
      <c r="E741" s="9">
        <v>1</v>
      </c>
    </row>
    <row r="742" spans="1:5" x14ac:dyDescent="0.25">
      <c r="A742" s="7">
        <v>1</v>
      </c>
      <c r="B742" s="7">
        <v>1008</v>
      </c>
      <c r="C742" s="7">
        <v>165</v>
      </c>
      <c r="D742" s="8">
        <v>10163.6</v>
      </c>
      <c r="E742" s="9">
        <v>1</v>
      </c>
    </row>
    <row r="743" spans="1:5" x14ac:dyDescent="0.25">
      <c r="A743" s="7">
        <v>1</v>
      </c>
      <c r="B743" s="7">
        <v>1009</v>
      </c>
      <c r="C743" s="7">
        <v>102</v>
      </c>
      <c r="D743" s="8">
        <v>9743.18</v>
      </c>
      <c r="E743" s="9">
        <v>1</v>
      </c>
    </row>
    <row r="744" spans="1:5" x14ac:dyDescent="0.25">
      <c r="A744" s="7">
        <v>1</v>
      </c>
      <c r="B744" s="7">
        <v>1010</v>
      </c>
      <c r="C744" s="7">
        <v>119</v>
      </c>
      <c r="D744" s="8">
        <v>6817.56</v>
      </c>
      <c r="E744" s="9">
        <v>1</v>
      </c>
    </row>
    <row r="745" spans="1:5" x14ac:dyDescent="0.25">
      <c r="A745" s="7">
        <v>1</v>
      </c>
      <c r="B745" s="7">
        <v>1011</v>
      </c>
      <c r="C745" s="7">
        <v>102</v>
      </c>
      <c r="D745" s="8">
        <v>2943.33</v>
      </c>
      <c r="E745" s="9">
        <v>1</v>
      </c>
    </row>
    <row r="746" spans="1:5" x14ac:dyDescent="0.25">
      <c r="A746" s="7">
        <v>1</v>
      </c>
      <c r="B746" s="7">
        <v>1012</v>
      </c>
      <c r="C746" s="7">
        <v>108</v>
      </c>
      <c r="D746" s="8">
        <v>162398.9</v>
      </c>
      <c r="E746" s="9">
        <v>1</v>
      </c>
    </row>
    <row r="747" spans="1:5" x14ac:dyDescent="0.25">
      <c r="A747" s="7">
        <v>1</v>
      </c>
      <c r="B747" s="7">
        <v>1013</v>
      </c>
      <c r="C747" s="7">
        <v>108</v>
      </c>
      <c r="D747" s="8">
        <v>135258.5</v>
      </c>
      <c r="E747" s="9">
        <v>1</v>
      </c>
    </row>
    <row r="748" spans="1:5" x14ac:dyDescent="0.25">
      <c r="A748" s="7">
        <v>1</v>
      </c>
      <c r="B748" s="7">
        <v>1014</v>
      </c>
      <c r="C748" s="7">
        <v>108</v>
      </c>
      <c r="D748" s="8">
        <v>324086.2</v>
      </c>
      <c r="E748" s="9">
        <v>1</v>
      </c>
    </row>
    <row r="749" spans="1:5" x14ac:dyDescent="0.25">
      <c r="A749" s="7">
        <v>1</v>
      </c>
      <c r="B749" s="7">
        <v>1016</v>
      </c>
      <c r="C749" s="7">
        <v>127</v>
      </c>
      <c r="D749" s="8">
        <v>2227.75</v>
      </c>
      <c r="E749" s="9">
        <v>1</v>
      </c>
    </row>
    <row r="750" spans="1:5" x14ac:dyDescent="0.25">
      <c r="A750" s="7">
        <v>1</v>
      </c>
      <c r="B750" s="7">
        <v>1017</v>
      </c>
      <c r="C750" s="7">
        <v>102</v>
      </c>
      <c r="D750" s="8">
        <v>3200.09</v>
      </c>
      <c r="E750" s="9">
        <v>1</v>
      </c>
    </row>
    <row r="751" spans="1:5" x14ac:dyDescent="0.25">
      <c r="A751" s="7">
        <v>1</v>
      </c>
      <c r="B751" s="7">
        <v>1018</v>
      </c>
      <c r="C751" s="7">
        <v>108</v>
      </c>
      <c r="D751" s="8">
        <v>156180.35</v>
      </c>
      <c r="E751" s="9">
        <v>1</v>
      </c>
    </row>
    <row r="752" spans="1:5" x14ac:dyDescent="0.25">
      <c r="A752" s="7">
        <v>1</v>
      </c>
      <c r="B752" s="7">
        <v>1019</v>
      </c>
      <c r="C752" s="7">
        <v>108</v>
      </c>
      <c r="D752" s="8">
        <v>213483.68</v>
      </c>
      <c r="E752" s="9">
        <v>1</v>
      </c>
    </row>
    <row r="753" spans="1:5" x14ac:dyDescent="0.25">
      <c r="A753" s="7">
        <v>1</v>
      </c>
      <c r="B753" s="7">
        <v>1020</v>
      </c>
      <c r="C753" s="7">
        <v>108</v>
      </c>
      <c r="D753" s="8">
        <v>448828.56</v>
      </c>
      <c r="E753" s="9">
        <v>1</v>
      </c>
    </row>
    <row r="754" spans="1:5" x14ac:dyDescent="0.25">
      <c r="A754" s="7">
        <v>1</v>
      </c>
      <c r="B754" s="7">
        <v>1021</v>
      </c>
      <c r="C754" s="7">
        <v>144</v>
      </c>
      <c r="D754" s="8">
        <v>5119.46</v>
      </c>
      <c r="E754" s="9">
        <v>1</v>
      </c>
    </row>
    <row r="755" spans="1:5" x14ac:dyDescent="0.25">
      <c r="A755" s="7">
        <v>1</v>
      </c>
      <c r="B755" s="7">
        <v>1022</v>
      </c>
      <c r="C755" s="7">
        <v>108</v>
      </c>
      <c r="D755" s="8">
        <v>371866.78</v>
      </c>
      <c r="E755" s="9">
        <v>1</v>
      </c>
    </row>
    <row r="756" spans="1:5" x14ac:dyDescent="0.25">
      <c r="A756" s="7">
        <v>1</v>
      </c>
      <c r="B756" s="7">
        <v>1023</v>
      </c>
      <c r="C756" s="7">
        <v>108</v>
      </c>
      <c r="D756" s="8">
        <v>323076.45</v>
      </c>
      <c r="E756" s="9">
        <v>1</v>
      </c>
    </row>
    <row r="757" spans="1:5" x14ac:dyDescent="0.25">
      <c r="A757" s="7">
        <v>1</v>
      </c>
      <c r="B757" s="7">
        <v>1024</v>
      </c>
      <c r="C757" s="7">
        <v>108</v>
      </c>
      <c r="D757" s="8">
        <v>565331.76</v>
      </c>
      <c r="E757" s="9">
        <v>1</v>
      </c>
    </row>
    <row r="758" spans="1:5" x14ac:dyDescent="0.25">
      <c r="A758" s="7">
        <v>1</v>
      </c>
      <c r="B758" s="7">
        <v>1025</v>
      </c>
      <c r="C758" s="7">
        <v>108</v>
      </c>
      <c r="D758" s="8">
        <v>84915.83</v>
      </c>
      <c r="E758" s="9">
        <v>1</v>
      </c>
    </row>
    <row r="759" spans="1:5" x14ac:dyDescent="0.25">
      <c r="A759" s="7">
        <v>1</v>
      </c>
      <c r="B759" s="7">
        <v>1026</v>
      </c>
      <c r="C759" s="7">
        <v>129</v>
      </c>
      <c r="D759" s="8">
        <v>21951.04</v>
      </c>
      <c r="E759" s="9">
        <v>1</v>
      </c>
    </row>
    <row r="760" spans="1:5" x14ac:dyDescent="0.25">
      <c r="A760" s="7">
        <v>1</v>
      </c>
      <c r="B760" s="7">
        <v>1027</v>
      </c>
      <c r="C760" s="7">
        <v>129</v>
      </c>
      <c r="D760" s="8">
        <v>37756.46</v>
      </c>
      <c r="E760" s="9">
        <v>1</v>
      </c>
    </row>
    <row r="761" spans="1:5" x14ac:dyDescent="0.25">
      <c r="A761" s="7">
        <v>1</v>
      </c>
      <c r="B761" s="7">
        <v>1028</v>
      </c>
      <c r="C761" s="7">
        <v>129</v>
      </c>
      <c r="D761" s="8">
        <v>171003.37</v>
      </c>
      <c r="E761" s="9">
        <v>1</v>
      </c>
    </row>
    <row r="762" spans="1:5" x14ac:dyDescent="0.25">
      <c r="A762" s="7">
        <v>1</v>
      </c>
      <c r="B762" s="7">
        <v>1029</v>
      </c>
      <c r="C762" s="7">
        <v>127</v>
      </c>
      <c r="D762" s="8">
        <v>3750.13</v>
      </c>
      <c r="E762" s="9">
        <v>1</v>
      </c>
    </row>
    <row r="763" spans="1:5" x14ac:dyDescent="0.25">
      <c r="A763" s="7">
        <v>1</v>
      </c>
      <c r="B763" s="7">
        <v>1030</v>
      </c>
      <c r="C763" s="7">
        <v>102</v>
      </c>
      <c r="D763" s="8">
        <v>35531.39</v>
      </c>
      <c r="E763" s="9">
        <v>1</v>
      </c>
    </row>
    <row r="764" spans="1:5" x14ac:dyDescent="0.25">
      <c r="A764" s="7">
        <v>1</v>
      </c>
      <c r="B764" s="7">
        <v>1031</v>
      </c>
      <c r="C764" s="7">
        <v>144</v>
      </c>
      <c r="D764" s="8">
        <v>1341.03</v>
      </c>
      <c r="E764" s="9">
        <v>1</v>
      </c>
    </row>
    <row r="765" spans="1:5" x14ac:dyDescent="0.25">
      <c r="A765" s="7">
        <v>1</v>
      </c>
      <c r="B765" s="7">
        <v>1033</v>
      </c>
      <c r="C765" s="7">
        <v>139</v>
      </c>
      <c r="D765" s="8">
        <v>5943.23</v>
      </c>
      <c r="E765" s="9">
        <v>1</v>
      </c>
    </row>
    <row r="766" spans="1:5" x14ac:dyDescent="0.25">
      <c r="A766" s="7">
        <v>1</v>
      </c>
      <c r="B766" s="7">
        <v>1034</v>
      </c>
      <c r="C766" s="7">
        <v>139</v>
      </c>
      <c r="D766" s="8">
        <v>8831.81</v>
      </c>
      <c r="E766" s="9">
        <v>1</v>
      </c>
    </row>
    <row r="767" spans="1:5" x14ac:dyDescent="0.25">
      <c r="A767" s="7">
        <v>1</v>
      </c>
      <c r="B767" s="7">
        <v>1035</v>
      </c>
      <c r="C767" s="7">
        <v>139</v>
      </c>
      <c r="D767" s="8">
        <v>13711.58</v>
      </c>
      <c r="E767" s="9">
        <v>1</v>
      </c>
    </row>
    <row r="768" spans="1:5" x14ac:dyDescent="0.25">
      <c r="A768" s="7">
        <v>1</v>
      </c>
      <c r="B768" s="7">
        <v>1036</v>
      </c>
      <c r="C768" s="7">
        <v>139</v>
      </c>
      <c r="D768" s="8">
        <v>51868.19</v>
      </c>
      <c r="E768" s="9">
        <v>1</v>
      </c>
    </row>
    <row r="769" spans="1:5" x14ac:dyDescent="0.25">
      <c r="A769" s="7">
        <v>1</v>
      </c>
      <c r="B769" s="7">
        <v>1037</v>
      </c>
      <c r="C769" s="7">
        <v>139</v>
      </c>
      <c r="D769" s="8">
        <v>206009.94</v>
      </c>
      <c r="E769" s="9">
        <v>1</v>
      </c>
    </row>
    <row r="770" spans="1:5" x14ac:dyDescent="0.25">
      <c r="A770" s="7">
        <v>1</v>
      </c>
      <c r="B770" s="7">
        <v>1038</v>
      </c>
      <c r="C770" s="7">
        <v>144</v>
      </c>
      <c r="D770" s="8">
        <v>12813.7</v>
      </c>
      <c r="E770" s="9">
        <v>1</v>
      </c>
    </row>
    <row r="771" spans="1:5" x14ac:dyDescent="0.25">
      <c r="A771" s="7">
        <v>1</v>
      </c>
      <c r="B771" s="7">
        <v>1039</v>
      </c>
      <c r="C771" s="7">
        <v>102</v>
      </c>
      <c r="D771" s="8">
        <v>53180.93</v>
      </c>
      <c r="E771" s="9">
        <v>1</v>
      </c>
    </row>
    <row r="772" spans="1:5" x14ac:dyDescent="0.25">
      <c r="A772" s="7">
        <v>1</v>
      </c>
      <c r="B772" s="7">
        <v>1040</v>
      </c>
      <c r="C772" s="7">
        <v>102</v>
      </c>
      <c r="D772" s="8">
        <v>71074.3</v>
      </c>
      <c r="E772" s="9">
        <v>1</v>
      </c>
    </row>
    <row r="773" spans="1:5" x14ac:dyDescent="0.25">
      <c r="A773" s="7">
        <v>1</v>
      </c>
      <c r="B773" s="7">
        <v>1042</v>
      </c>
      <c r="C773" s="7">
        <v>128</v>
      </c>
      <c r="D773" s="8">
        <v>11068.2</v>
      </c>
      <c r="E773" s="9">
        <v>1</v>
      </c>
    </row>
    <row r="774" spans="1:5" x14ac:dyDescent="0.25">
      <c r="A774" s="7">
        <v>1</v>
      </c>
      <c r="B774" s="7">
        <v>1044</v>
      </c>
      <c r="C774" s="7">
        <v>139</v>
      </c>
      <c r="D774" s="8">
        <v>11864.52</v>
      </c>
      <c r="E774" s="9">
        <v>1</v>
      </c>
    </row>
    <row r="775" spans="1:5" x14ac:dyDescent="0.25">
      <c r="A775" s="7">
        <v>1</v>
      </c>
      <c r="B775" s="7">
        <v>1045</v>
      </c>
      <c r="C775" s="7">
        <v>139</v>
      </c>
      <c r="D775" s="8">
        <v>18767.78</v>
      </c>
      <c r="E775" s="9">
        <v>1</v>
      </c>
    </row>
    <row r="776" spans="1:5" x14ac:dyDescent="0.25">
      <c r="A776" s="7">
        <v>1</v>
      </c>
      <c r="B776" s="7">
        <v>1046</v>
      </c>
      <c r="C776" s="7">
        <v>200</v>
      </c>
      <c r="D776" s="8">
        <v>546</v>
      </c>
      <c r="E776" s="9">
        <v>3</v>
      </c>
    </row>
    <row r="777" spans="1:5" x14ac:dyDescent="0.25">
      <c r="A777" s="7">
        <v>1</v>
      </c>
      <c r="B777" s="7">
        <v>1047</v>
      </c>
      <c r="C777" s="7">
        <v>156</v>
      </c>
      <c r="D777" s="8">
        <v>140717.5</v>
      </c>
      <c r="E777" s="9">
        <v>1</v>
      </c>
    </row>
    <row r="778" spans="1:5" x14ac:dyDescent="0.25">
      <c r="A778" s="7">
        <v>1</v>
      </c>
      <c r="B778" s="7">
        <v>1052</v>
      </c>
      <c r="C778" s="7">
        <v>102</v>
      </c>
      <c r="D778" s="8">
        <v>2943.33</v>
      </c>
      <c r="E778" s="9">
        <v>1</v>
      </c>
    </row>
    <row r="779" spans="1:5" x14ac:dyDescent="0.25">
      <c r="A779" s="7">
        <v>1</v>
      </c>
      <c r="B779" s="7">
        <v>1053</v>
      </c>
      <c r="C779" s="7">
        <v>127</v>
      </c>
      <c r="D779" s="8">
        <v>6897</v>
      </c>
      <c r="E779" s="9">
        <v>1</v>
      </c>
    </row>
    <row r="780" spans="1:5" x14ac:dyDescent="0.25">
      <c r="A780" s="7">
        <v>1</v>
      </c>
      <c r="B780" s="7">
        <v>1054</v>
      </c>
      <c r="C780" s="7">
        <v>166</v>
      </c>
      <c r="D780" s="8">
        <v>13691.5</v>
      </c>
      <c r="E780" s="9">
        <v>1</v>
      </c>
    </row>
    <row r="781" spans="1:5" x14ac:dyDescent="0.25">
      <c r="A781" s="7">
        <v>1</v>
      </c>
      <c r="B781" s="7">
        <v>1055</v>
      </c>
      <c r="C781" s="7">
        <v>152</v>
      </c>
      <c r="D781" s="8">
        <v>7691.24</v>
      </c>
      <c r="E781" s="9">
        <v>1</v>
      </c>
    </row>
    <row r="782" spans="1:5" x14ac:dyDescent="0.25">
      <c r="A782" s="7">
        <v>1</v>
      </c>
      <c r="B782" s="7">
        <v>1056</v>
      </c>
      <c r="C782" s="7">
        <v>139</v>
      </c>
      <c r="D782" s="8">
        <v>70432.77</v>
      </c>
      <c r="E782" s="9">
        <v>1</v>
      </c>
    </row>
    <row r="783" spans="1:5" x14ac:dyDescent="0.25">
      <c r="A783" s="7">
        <v>1</v>
      </c>
      <c r="B783" s="7">
        <v>1057</v>
      </c>
      <c r="C783" s="7">
        <v>139</v>
      </c>
      <c r="D783" s="8">
        <v>277016.63</v>
      </c>
      <c r="E783" s="9">
        <v>1</v>
      </c>
    </row>
    <row r="784" spans="1:5" x14ac:dyDescent="0.25">
      <c r="A784" s="7">
        <v>1</v>
      </c>
      <c r="B784" s="7">
        <v>1059</v>
      </c>
      <c r="C784" s="7">
        <v>139</v>
      </c>
      <c r="D784" s="8">
        <v>9292.85</v>
      </c>
      <c r="E784" s="9">
        <v>1</v>
      </c>
    </row>
    <row r="785" spans="1:5" x14ac:dyDescent="0.25">
      <c r="A785" s="7">
        <v>1</v>
      </c>
      <c r="B785" s="7">
        <v>1060</v>
      </c>
      <c r="C785" s="7">
        <v>179</v>
      </c>
      <c r="D785" s="8">
        <v>2256.3</v>
      </c>
      <c r="E785" s="9">
        <v>1</v>
      </c>
    </row>
    <row r="786" spans="1:5" x14ac:dyDescent="0.25">
      <c r="A786" s="7">
        <v>1</v>
      </c>
      <c r="B786" s="7">
        <v>1061</v>
      </c>
      <c r="C786" s="7">
        <v>179</v>
      </c>
      <c r="D786" s="8">
        <v>3850.2</v>
      </c>
      <c r="E786" s="9">
        <v>1</v>
      </c>
    </row>
    <row r="787" spans="1:5" x14ac:dyDescent="0.25">
      <c r="A787" s="7">
        <v>1</v>
      </c>
      <c r="B787" s="7">
        <v>1065</v>
      </c>
      <c r="C787" s="7">
        <v>139</v>
      </c>
      <c r="D787" s="8">
        <v>14701.75</v>
      </c>
      <c r="E787" s="9">
        <v>1</v>
      </c>
    </row>
    <row r="788" spans="1:5" x14ac:dyDescent="0.25">
      <c r="A788" s="7">
        <v>1</v>
      </c>
      <c r="B788" s="7">
        <v>1066</v>
      </c>
      <c r="C788" s="7">
        <v>139</v>
      </c>
      <c r="D788" s="8">
        <v>55178.78</v>
      </c>
      <c r="E788" s="9">
        <v>1</v>
      </c>
    </row>
    <row r="789" spans="1:5" x14ac:dyDescent="0.25">
      <c r="A789" s="7">
        <v>1</v>
      </c>
      <c r="B789" s="7">
        <v>1067</v>
      </c>
      <c r="C789" s="7">
        <v>139</v>
      </c>
      <c r="D789" s="8">
        <v>217020.28</v>
      </c>
      <c r="E789" s="9">
        <v>1</v>
      </c>
    </row>
    <row r="790" spans="1:5" x14ac:dyDescent="0.25">
      <c r="A790" s="7">
        <v>1</v>
      </c>
      <c r="B790" s="7">
        <v>1074</v>
      </c>
      <c r="C790" s="7">
        <v>139</v>
      </c>
      <c r="D790" s="8">
        <v>17395.78</v>
      </c>
      <c r="E790" s="9">
        <v>1</v>
      </c>
    </row>
    <row r="791" spans="1:5" x14ac:dyDescent="0.25">
      <c r="A791" s="7">
        <v>1</v>
      </c>
      <c r="B791" s="7">
        <v>1075</v>
      </c>
      <c r="C791" s="7">
        <v>139</v>
      </c>
      <c r="D791" s="8">
        <v>65282.74</v>
      </c>
      <c r="E791" s="9">
        <v>1</v>
      </c>
    </row>
    <row r="792" spans="1:5" x14ac:dyDescent="0.25">
      <c r="A792" s="7">
        <v>1</v>
      </c>
      <c r="B792" s="7">
        <v>1076</v>
      </c>
      <c r="C792" s="7">
        <v>152</v>
      </c>
      <c r="D792" s="8">
        <v>7691.24</v>
      </c>
      <c r="E792" s="9">
        <v>1</v>
      </c>
    </row>
    <row r="793" spans="1:5" x14ac:dyDescent="0.25">
      <c r="A793" s="7">
        <v>1</v>
      </c>
      <c r="B793" s="7">
        <v>1077</v>
      </c>
      <c r="C793" s="7">
        <v>146</v>
      </c>
      <c r="D793" s="8">
        <v>29287.29</v>
      </c>
      <c r="E793" s="9">
        <v>1</v>
      </c>
    </row>
    <row r="794" spans="1:5" x14ac:dyDescent="0.25">
      <c r="A794" s="7">
        <v>1</v>
      </c>
      <c r="B794" s="7">
        <v>1078</v>
      </c>
      <c r="C794" s="7">
        <v>146</v>
      </c>
      <c r="D794" s="8">
        <v>29287.29</v>
      </c>
      <c r="E794" s="9">
        <v>1</v>
      </c>
    </row>
    <row r="795" spans="1:5" x14ac:dyDescent="0.25">
      <c r="A795" s="7">
        <v>1</v>
      </c>
      <c r="B795" s="7">
        <v>1079</v>
      </c>
      <c r="C795" s="7">
        <v>152</v>
      </c>
      <c r="D795" s="8">
        <v>7691.24</v>
      </c>
      <c r="E795" s="9">
        <v>1</v>
      </c>
    </row>
    <row r="796" spans="1:5" x14ac:dyDescent="0.25">
      <c r="A796" s="7">
        <v>1</v>
      </c>
      <c r="B796" s="7">
        <v>1080</v>
      </c>
      <c r="C796" s="7">
        <v>146</v>
      </c>
      <c r="D796" s="8">
        <v>29287.29</v>
      </c>
      <c r="E796" s="9">
        <v>1</v>
      </c>
    </row>
    <row r="797" spans="1:5" x14ac:dyDescent="0.25">
      <c r="A797" s="7">
        <v>1</v>
      </c>
      <c r="B797" s="7">
        <v>1081</v>
      </c>
      <c r="C797" s="7">
        <v>146</v>
      </c>
      <c r="D797" s="8">
        <v>29287.29</v>
      </c>
      <c r="E797" s="9">
        <v>1</v>
      </c>
    </row>
    <row r="798" spans="1:5" x14ac:dyDescent="0.25">
      <c r="A798" s="7">
        <v>1</v>
      </c>
      <c r="B798" s="7">
        <v>1082</v>
      </c>
      <c r="C798" s="7">
        <v>146</v>
      </c>
      <c r="D798" s="8">
        <v>23490.68</v>
      </c>
      <c r="E798" s="9">
        <v>1</v>
      </c>
    </row>
    <row r="799" spans="1:5" x14ac:dyDescent="0.25">
      <c r="A799" s="7">
        <v>1</v>
      </c>
      <c r="B799" s="7">
        <v>1083</v>
      </c>
      <c r="C799" s="7">
        <v>146</v>
      </c>
      <c r="D799" s="8">
        <v>23212.14</v>
      </c>
      <c r="E799" s="9">
        <v>1</v>
      </c>
    </row>
    <row r="800" spans="1:5" x14ac:dyDescent="0.25">
      <c r="A800" s="7">
        <v>1</v>
      </c>
      <c r="B800" s="7">
        <v>1093</v>
      </c>
      <c r="C800" s="7">
        <v>146</v>
      </c>
      <c r="D800" s="8">
        <v>23490.68</v>
      </c>
      <c r="E800" s="9">
        <v>1</v>
      </c>
    </row>
    <row r="801" spans="1:5" x14ac:dyDescent="0.25">
      <c r="A801" s="7">
        <v>1</v>
      </c>
      <c r="B801" s="7">
        <v>1094</v>
      </c>
      <c r="C801" s="7">
        <v>144</v>
      </c>
      <c r="D801" s="8">
        <v>8432.14</v>
      </c>
      <c r="E801" s="9">
        <v>1</v>
      </c>
    </row>
    <row r="802" spans="1:5" x14ac:dyDescent="0.25">
      <c r="A802" s="7">
        <v>1</v>
      </c>
      <c r="B802" s="7">
        <v>1095</v>
      </c>
      <c r="C802" s="7">
        <v>144</v>
      </c>
      <c r="D802" s="8">
        <v>9967.52</v>
      </c>
      <c r="E802" s="9">
        <v>1</v>
      </c>
    </row>
    <row r="803" spans="1:5" x14ac:dyDescent="0.25">
      <c r="A803" s="7">
        <v>1</v>
      </c>
      <c r="B803" s="7">
        <v>1096</v>
      </c>
      <c r="C803" s="7">
        <v>146</v>
      </c>
      <c r="D803" s="8">
        <v>23490.68</v>
      </c>
      <c r="E803" s="9">
        <v>1</v>
      </c>
    </row>
    <row r="804" spans="1:5" x14ac:dyDescent="0.25">
      <c r="A804" s="7">
        <v>1</v>
      </c>
      <c r="B804" s="7">
        <v>1097</v>
      </c>
      <c r="C804" s="7">
        <v>102</v>
      </c>
      <c r="D804" s="8">
        <v>31381.28</v>
      </c>
      <c r="E804" s="9">
        <v>1</v>
      </c>
    </row>
    <row r="805" spans="1:5" x14ac:dyDescent="0.25">
      <c r="A805" s="7">
        <v>1</v>
      </c>
      <c r="B805" s="7">
        <v>1100</v>
      </c>
      <c r="C805" s="7">
        <v>130</v>
      </c>
      <c r="D805" s="8">
        <v>105420.87</v>
      </c>
      <c r="E805" s="9">
        <v>1</v>
      </c>
    </row>
    <row r="806" spans="1:5" x14ac:dyDescent="0.25">
      <c r="A806" s="7">
        <v>1</v>
      </c>
      <c r="B806" s="7">
        <v>1109</v>
      </c>
      <c r="C806" s="7">
        <v>144</v>
      </c>
      <c r="D806" s="8">
        <v>9555.31</v>
      </c>
      <c r="E806" s="9">
        <v>1</v>
      </c>
    </row>
    <row r="807" spans="1:5" x14ac:dyDescent="0.25">
      <c r="A807" s="7">
        <v>1</v>
      </c>
      <c r="B807" s="7">
        <v>1110</v>
      </c>
      <c r="C807" s="7">
        <v>102</v>
      </c>
      <c r="D807" s="8">
        <v>3200.09</v>
      </c>
      <c r="E807" s="9">
        <v>1</v>
      </c>
    </row>
    <row r="808" spans="1:5" x14ac:dyDescent="0.25">
      <c r="A808" s="7">
        <v>1</v>
      </c>
      <c r="B808" s="7">
        <v>1111</v>
      </c>
      <c r="C808" s="7">
        <v>144</v>
      </c>
      <c r="D808" s="8">
        <v>4759.27</v>
      </c>
      <c r="E808" s="9">
        <v>1</v>
      </c>
    </row>
    <row r="809" spans="1:5" x14ac:dyDescent="0.25">
      <c r="A809" s="7">
        <v>1</v>
      </c>
      <c r="B809" s="7">
        <v>1112</v>
      </c>
      <c r="C809" s="7">
        <v>139</v>
      </c>
      <c r="D809" s="8">
        <v>6069.12</v>
      </c>
      <c r="E809" s="9">
        <v>1</v>
      </c>
    </row>
    <row r="810" spans="1:5" x14ac:dyDescent="0.25">
      <c r="A810" s="7">
        <v>1</v>
      </c>
      <c r="B810" s="7">
        <v>1113</v>
      </c>
      <c r="C810" s="7">
        <v>139</v>
      </c>
      <c r="D810" s="8">
        <v>22596.71</v>
      </c>
      <c r="E810" s="9">
        <v>1</v>
      </c>
    </row>
    <row r="811" spans="1:5" x14ac:dyDescent="0.25">
      <c r="A811" s="7">
        <v>1</v>
      </c>
      <c r="B811" s="7">
        <v>1128</v>
      </c>
      <c r="C811" s="7">
        <v>139</v>
      </c>
      <c r="D811" s="8">
        <v>43023.71</v>
      </c>
      <c r="E811" s="9">
        <v>1</v>
      </c>
    </row>
    <row r="812" spans="1:5" x14ac:dyDescent="0.25">
      <c r="A812" s="7">
        <v>1</v>
      </c>
      <c r="B812" s="7">
        <v>1129</v>
      </c>
      <c r="C812" s="7">
        <v>139</v>
      </c>
      <c r="D812" s="8">
        <v>91195.79</v>
      </c>
      <c r="E812" s="9">
        <v>1</v>
      </c>
    </row>
    <row r="813" spans="1:5" x14ac:dyDescent="0.25">
      <c r="A813" s="7">
        <v>1</v>
      </c>
      <c r="B813" s="7">
        <v>1130</v>
      </c>
      <c r="C813" s="7">
        <v>139</v>
      </c>
      <c r="D813" s="8">
        <v>172062.66</v>
      </c>
      <c r="E813" s="9">
        <v>1</v>
      </c>
    </row>
    <row r="814" spans="1:5" x14ac:dyDescent="0.25">
      <c r="A814" s="7">
        <v>1</v>
      </c>
      <c r="B814" s="7">
        <v>1144</v>
      </c>
      <c r="C814" s="7">
        <v>149</v>
      </c>
      <c r="D814" s="8">
        <v>35310.35</v>
      </c>
      <c r="E814" s="9">
        <v>1</v>
      </c>
    </row>
    <row r="815" spans="1:5" x14ac:dyDescent="0.25">
      <c r="A815" s="7">
        <v>1</v>
      </c>
      <c r="B815" s="7">
        <v>1145</v>
      </c>
      <c r="C815" s="7">
        <v>149</v>
      </c>
      <c r="D815" s="8">
        <v>47075.54</v>
      </c>
      <c r="E815" s="9">
        <v>1</v>
      </c>
    </row>
    <row r="816" spans="1:5" x14ac:dyDescent="0.25">
      <c r="A816" s="7">
        <v>1</v>
      </c>
      <c r="B816" s="7">
        <v>1146</v>
      </c>
      <c r="C816" s="7">
        <v>139</v>
      </c>
      <c r="D816" s="8">
        <v>50486.02</v>
      </c>
      <c r="E816" s="9">
        <v>1</v>
      </c>
    </row>
    <row r="817" spans="1:5" x14ac:dyDescent="0.25">
      <c r="A817" s="7">
        <v>1</v>
      </c>
      <c r="B817" s="7">
        <v>1147</v>
      </c>
      <c r="C817" s="7">
        <v>139</v>
      </c>
      <c r="D817" s="8">
        <v>82943.95</v>
      </c>
      <c r="E817" s="9">
        <v>1</v>
      </c>
    </row>
    <row r="818" spans="1:5" x14ac:dyDescent="0.25">
      <c r="A818" s="7">
        <v>1</v>
      </c>
      <c r="B818" s="7">
        <v>1149</v>
      </c>
      <c r="C818" s="7">
        <v>139</v>
      </c>
      <c r="D818" s="8">
        <v>7145.64</v>
      </c>
      <c r="E818" s="9">
        <v>1</v>
      </c>
    </row>
    <row r="819" spans="1:5" x14ac:dyDescent="0.25">
      <c r="A819" s="7">
        <v>1</v>
      </c>
      <c r="B819" s="7">
        <v>1151</v>
      </c>
      <c r="C819" s="7">
        <v>139</v>
      </c>
      <c r="D819" s="8">
        <v>26517.75</v>
      </c>
      <c r="E819" s="9">
        <v>1</v>
      </c>
    </row>
    <row r="820" spans="1:5" x14ac:dyDescent="0.25">
      <c r="A820" s="7">
        <v>1</v>
      </c>
      <c r="B820" s="7">
        <v>1152</v>
      </c>
      <c r="C820" s="7">
        <v>139</v>
      </c>
      <c r="D820" s="8">
        <v>61665.66</v>
      </c>
      <c r="E820" s="9">
        <v>1</v>
      </c>
    </row>
    <row r="821" spans="1:5" x14ac:dyDescent="0.25">
      <c r="A821" s="7">
        <v>1</v>
      </c>
      <c r="B821" s="7">
        <v>1153</v>
      </c>
      <c r="C821" s="7">
        <v>139</v>
      </c>
      <c r="D821" s="8">
        <v>102400.56</v>
      </c>
      <c r="E821" s="9">
        <v>1</v>
      </c>
    </row>
    <row r="822" spans="1:5" x14ac:dyDescent="0.25">
      <c r="A822" s="7">
        <v>1</v>
      </c>
      <c r="B822" s="7">
        <v>1154</v>
      </c>
      <c r="C822" s="7">
        <v>157</v>
      </c>
      <c r="D822" s="8">
        <v>45003.5</v>
      </c>
      <c r="E822" s="9">
        <v>1</v>
      </c>
    </row>
    <row r="823" spans="1:5" x14ac:dyDescent="0.25">
      <c r="A823" s="7">
        <v>1</v>
      </c>
      <c r="B823" s="7">
        <v>1157</v>
      </c>
      <c r="C823" s="7">
        <v>146</v>
      </c>
      <c r="D823" s="8">
        <v>32736.96</v>
      </c>
      <c r="E823" s="9">
        <v>1</v>
      </c>
    </row>
    <row r="824" spans="1:5" x14ac:dyDescent="0.25">
      <c r="A824" s="7">
        <v>1</v>
      </c>
      <c r="B824" s="7">
        <v>1158</v>
      </c>
      <c r="C824" s="7">
        <v>144</v>
      </c>
      <c r="D824" s="8">
        <v>34364.96</v>
      </c>
      <c r="E824" s="9">
        <v>1</v>
      </c>
    </row>
    <row r="825" spans="1:5" x14ac:dyDescent="0.25">
      <c r="A825" s="7">
        <v>1</v>
      </c>
      <c r="B825" s="7">
        <v>1159</v>
      </c>
      <c r="C825" s="7">
        <v>166</v>
      </c>
      <c r="D825" s="8">
        <v>18515.33</v>
      </c>
      <c r="E825" s="9">
        <v>1</v>
      </c>
    </row>
    <row r="826" spans="1:5" x14ac:dyDescent="0.25">
      <c r="A826" s="7">
        <v>1</v>
      </c>
      <c r="B826" s="7">
        <v>1160</v>
      </c>
      <c r="C826" s="7">
        <v>139</v>
      </c>
      <c r="D826" s="8">
        <v>256752.72</v>
      </c>
      <c r="E826" s="9">
        <v>1</v>
      </c>
    </row>
    <row r="827" spans="1:5" x14ac:dyDescent="0.25">
      <c r="A827" s="7">
        <v>1</v>
      </c>
      <c r="B827" s="7">
        <v>1162</v>
      </c>
      <c r="C827" s="7">
        <v>136</v>
      </c>
      <c r="D827" s="8">
        <v>19237.73</v>
      </c>
      <c r="E827" s="9">
        <v>1</v>
      </c>
    </row>
    <row r="828" spans="1:5" x14ac:dyDescent="0.25">
      <c r="A828" s="7">
        <v>1</v>
      </c>
      <c r="B828" s="7">
        <v>1163</v>
      </c>
      <c r="C828" s="7">
        <v>136</v>
      </c>
      <c r="D828" s="8">
        <v>44833.42</v>
      </c>
      <c r="E828" s="9">
        <v>1</v>
      </c>
    </row>
    <row r="829" spans="1:5" x14ac:dyDescent="0.25">
      <c r="A829" s="7">
        <v>1</v>
      </c>
      <c r="B829" s="7">
        <v>1164</v>
      </c>
      <c r="C829" s="7">
        <v>136</v>
      </c>
      <c r="D829" s="8">
        <v>205052.44</v>
      </c>
      <c r="E829" s="9">
        <v>1</v>
      </c>
    </row>
    <row r="830" spans="1:5" x14ac:dyDescent="0.25">
      <c r="A830" s="7">
        <v>1</v>
      </c>
      <c r="B830" s="7">
        <v>1166</v>
      </c>
      <c r="C830" s="7">
        <v>102</v>
      </c>
      <c r="D830" s="8">
        <v>11923.29</v>
      </c>
      <c r="E830" s="9">
        <v>1</v>
      </c>
    </row>
    <row r="831" spans="1:5" x14ac:dyDescent="0.25">
      <c r="A831" s="7">
        <v>1</v>
      </c>
      <c r="B831" s="7">
        <v>1168</v>
      </c>
      <c r="C831" s="7">
        <v>154</v>
      </c>
      <c r="D831" s="8">
        <v>115770.3</v>
      </c>
      <c r="E831" s="9">
        <v>1</v>
      </c>
    </row>
    <row r="832" spans="1:5" x14ac:dyDescent="0.25">
      <c r="A832" s="7">
        <v>1</v>
      </c>
      <c r="B832" s="7">
        <v>1169</v>
      </c>
      <c r="C832" s="7">
        <v>154</v>
      </c>
      <c r="D832" s="8">
        <v>42240</v>
      </c>
      <c r="E832" s="9">
        <v>1</v>
      </c>
    </row>
    <row r="833" spans="1:5" x14ac:dyDescent="0.25">
      <c r="A833" s="7">
        <v>1</v>
      </c>
      <c r="B833" s="7">
        <v>1170</v>
      </c>
      <c r="C833" s="7">
        <v>154</v>
      </c>
      <c r="D833" s="8">
        <v>61878.93</v>
      </c>
      <c r="E833" s="9">
        <v>1</v>
      </c>
    </row>
    <row r="834" spans="1:5" x14ac:dyDescent="0.25">
      <c r="A834" s="7">
        <v>1</v>
      </c>
      <c r="B834" s="7">
        <v>1171</v>
      </c>
      <c r="C834" s="7">
        <v>154</v>
      </c>
      <c r="D834" s="8">
        <v>87343.68</v>
      </c>
      <c r="E834" s="9">
        <v>1</v>
      </c>
    </row>
    <row r="835" spans="1:5" x14ac:dyDescent="0.25">
      <c r="A835" s="7">
        <v>1</v>
      </c>
      <c r="B835" s="7">
        <v>1172</v>
      </c>
      <c r="C835" s="7">
        <v>154</v>
      </c>
      <c r="D835" s="8">
        <v>69140.37</v>
      </c>
      <c r="E835" s="9">
        <v>1</v>
      </c>
    </row>
    <row r="836" spans="1:5" x14ac:dyDescent="0.25">
      <c r="A836" s="7">
        <v>1</v>
      </c>
      <c r="B836" s="7">
        <v>1173</v>
      </c>
      <c r="C836" s="7">
        <v>154</v>
      </c>
      <c r="D836" s="8">
        <v>81011.85</v>
      </c>
      <c r="E836" s="9">
        <v>1</v>
      </c>
    </row>
    <row r="837" spans="1:5" x14ac:dyDescent="0.25">
      <c r="A837" s="7">
        <v>1</v>
      </c>
      <c r="B837" s="7">
        <v>1174</v>
      </c>
      <c r="C837" s="7">
        <v>154</v>
      </c>
      <c r="D837" s="8">
        <v>57123.27</v>
      </c>
      <c r="E837" s="9">
        <v>1</v>
      </c>
    </row>
    <row r="838" spans="1:5" x14ac:dyDescent="0.25">
      <c r="A838" s="7">
        <v>1</v>
      </c>
      <c r="B838" s="7">
        <v>1175</v>
      </c>
      <c r="C838" s="7">
        <v>154</v>
      </c>
      <c r="D838" s="8">
        <v>87790.41</v>
      </c>
      <c r="E838" s="9">
        <v>1</v>
      </c>
    </row>
    <row r="839" spans="1:5" x14ac:dyDescent="0.25">
      <c r="A839" s="7">
        <v>1</v>
      </c>
      <c r="B839" s="7">
        <v>1176</v>
      </c>
      <c r="C839" s="7">
        <v>154</v>
      </c>
      <c r="D839" s="8">
        <v>54763.2</v>
      </c>
      <c r="E839" s="9">
        <v>1</v>
      </c>
    </row>
    <row r="840" spans="1:5" x14ac:dyDescent="0.25">
      <c r="A840" s="7">
        <v>1</v>
      </c>
      <c r="B840" s="7">
        <v>1177</v>
      </c>
      <c r="C840" s="7">
        <v>154</v>
      </c>
      <c r="D840" s="8">
        <v>162970.05</v>
      </c>
      <c r="E840" s="9">
        <v>1</v>
      </c>
    </row>
    <row r="841" spans="1:5" x14ac:dyDescent="0.25">
      <c r="A841" s="7">
        <v>1</v>
      </c>
      <c r="B841" s="7">
        <v>1178</v>
      </c>
      <c r="C841" s="7">
        <v>154</v>
      </c>
      <c r="D841" s="8">
        <v>172052.01</v>
      </c>
      <c r="E841" s="9">
        <v>1</v>
      </c>
    </row>
    <row r="842" spans="1:5" x14ac:dyDescent="0.25">
      <c r="A842" s="7">
        <v>1</v>
      </c>
      <c r="B842" s="7">
        <v>1179</v>
      </c>
      <c r="C842" s="7">
        <v>154</v>
      </c>
      <c r="D842" s="8">
        <v>157821.54</v>
      </c>
      <c r="E842" s="9">
        <v>1</v>
      </c>
    </row>
    <row r="843" spans="1:5" x14ac:dyDescent="0.25">
      <c r="A843" s="7">
        <v>1</v>
      </c>
      <c r="B843" s="7">
        <v>1180</v>
      </c>
      <c r="C843" s="7">
        <v>139</v>
      </c>
      <c r="D843" s="8">
        <v>46559.75</v>
      </c>
      <c r="E843" s="9">
        <v>1</v>
      </c>
    </row>
    <row r="844" spans="1:5" x14ac:dyDescent="0.25">
      <c r="A844" s="7">
        <v>1</v>
      </c>
      <c r="B844" s="7">
        <v>1181</v>
      </c>
      <c r="C844" s="7">
        <v>139</v>
      </c>
      <c r="D844" s="8">
        <v>150932.42</v>
      </c>
      <c r="E844" s="9">
        <v>1</v>
      </c>
    </row>
    <row r="845" spans="1:5" x14ac:dyDescent="0.25">
      <c r="A845" s="7">
        <v>1</v>
      </c>
      <c r="B845" s="7">
        <v>1182</v>
      </c>
      <c r="C845" s="7">
        <v>102</v>
      </c>
      <c r="D845" s="8">
        <v>128344.22</v>
      </c>
      <c r="E845" s="9">
        <v>1</v>
      </c>
    </row>
    <row r="846" spans="1:5" x14ac:dyDescent="0.25">
      <c r="A846" s="7">
        <v>1</v>
      </c>
      <c r="B846" s="7">
        <v>1183</v>
      </c>
      <c r="C846" s="7">
        <v>139</v>
      </c>
      <c r="D846" s="8">
        <v>17395.78</v>
      </c>
      <c r="E846" s="9">
        <v>1</v>
      </c>
    </row>
    <row r="847" spans="1:5" x14ac:dyDescent="0.25">
      <c r="A847" s="7">
        <v>1</v>
      </c>
      <c r="B847" s="7">
        <v>1184</v>
      </c>
      <c r="C847" s="7">
        <v>103</v>
      </c>
      <c r="D847" s="8">
        <v>4456.56</v>
      </c>
      <c r="E847" s="9">
        <v>1</v>
      </c>
    </row>
    <row r="848" spans="1:5" x14ac:dyDescent="0.25">
      <c r="A848" s="7">
        <v>1</v>
      </c>
      <c r="B848" s="7">
        <v>1185</v>
      </c>
      <c r="C848" s="7">
        <v>144</v>
      </c>
      <c r="D848" s="8">
        <v>21845.4</v>
      </c>
      <c r="E848" s="9">
        <v>1</v>
      </c>
    </row>
    <row r="849" spans="1:5" x14ac:dyDescent="0.25">
      <c r="A849" s="7">
        <v>1</v>
      </c>
      <c r="B849" s="7">
        <v>1195</v>
      </c>
      <c r="C849" s="7">
        <v>140</v>
      </c>
      <c r="D849" s="8">
        <v>132394.66</v>
      </c>
      <c r="E849" s="9">
        <v>1</v>
      </c>
    </row>
    <row r="850" spans="1:5" x14ac:dyDescent="0.25">
      <c r="A850" s="7">
        <v>1</v>
      </c>
      <c r="B850" s="7">
        <v>1196</v>
      </c>
      <c r="C850" s="7">
        <v>119</v>
      </c>
      <c r="D850" s="8">
        <v>3324274.99</v>
      </c>
      <c r="E850" s="9">
        <v>1</v>
      </c>
    </row>
    <row r="851" spans="1:5" x14ac:dyDescent="0.25">
      <c r="A851" s="7">
        <v>1</v>
      </c>
      <c r="B851" s="7">
        <v>1200</v>
      </c>
      <c r="C851" s="7">
        <v>119</v>
      </c>
      <c r="D851" s="8">
        <v>13479.73</v>
      </c>
      <c r="E851" s="9">
        <v>1</v>
      </c>
    </row>
    <row r="852" spans="1:5" x14ac:dyDescent="0.25">
      <c r="A852" s="7">
        <v>1</v>
      </c>
      <c r="B852" s="7">
        <v>1201</v>
      </c>
      <c r="C852" s="7">
        <v>119</v>
      </c>
      <c r="D852" s="8">
        <v>23164.62</v>
      </c>
      <c r="E852" s="9">
        <v>1</v>
      </c>
    </row>
    <row r="853" spans="1:5" x14ac:dyDescent="0.25">
      <c r="A853" s="7">
        <v>1</v>
      </c>
      <c r="B853" s="7">
        <v>1202</v>
      </c>
      <c r="C853" s="7">
        <v>119</v>
      </c>
      <c r="D853" s="8">
        <v>86223.09</v>
      </c>
      <c r="E853" s="9">
        <v>1</v>
      </c>
    </row>
    <row r="854" spans="1:5" x14ac:dyDescent="0.25">
      <c r="A854" s="7">
        <v>1</v>
      </c>
      <c r="B854" s="7">
        <v>1203</v>
      </c>
      <c r="C854" s="7">
        <v>119</v>
      </c>
      <c r="D854" s="8">
        <v>329543.83</v>
      </c>
      <c r="E854" s="9">
        <v>1</v>
      </c>
    </row>
    <row r="855" spans="1:5" x14ac:dyDescent="0.25">
      <c r="A855" s="7">
        <v>1</v>
      </c>
      <c r="B855" s="7">
        <v>1204</v>
      </c>
      <c r="C855" s="7">
        <v>146</v>
      </c>
      <c r="D855" s="8">
        <v>31188.51</v>
      </c>
      <c r="E855" s="9">
        <v>1</v>
      </c>
    </row>
    <row r="856" spans="1:5" x14ac:dyDescent="0.25">
      <c r="A856" s="7">
        <v>1</v>
      </c>
      <c r="B856" s="7">
        <v>1205</v>
      </c>
      <c r="C856" s="7">
        <v>146</v>
      </c>
      <c r="D856" s="8">
        <v>31188.51</v>
      </c>
      <c r="E856" s="9">
        <v>1</v>
      </c>
    </row>
    <row r="857" spans="1:5" x14ac:dyDescent="0.25">
      <c r="A857" s="7">
        <v>1</v>
      </c>
      <c r="B857" s="7">
        <v>1206</v>
      </c>
      <c r="C857" s="7">
        <v>146</v>
      </c>
      <c r="D857" s="8">
        <v>33216.12</v>
      </c>
      <c r="E857" s="9">
        <v>1</v>
      </c>
    </row>
    <row r="858" spans="1:5" x14ac:dyDescent="0.25">
      <c r="A858" s="7">
        <v>1</v>
      </c>
      <c r="B858" s="7">
        <v>1207</v>
      </c>
      <c r="C858" s="7">
        <v>146</v>
      </c>
      <c r="D858" s="8">
        <v>31188.51</v>
      </c>
      <c r="E858" s="9">
        <v>1</v>
      </c>
    </row>
    <row r="859" spans="1:5" x14ac:dyDescent="0.25">
      <c r="A859" s="7">
        <v>1</v>
      </c>
      <c r="B859" s="7">
        <v>1208</v>
      </c>
      <c r="C859" s="7">
        <v>108</v>
      </c>
      <c r="D859" s="8">
        <v>15810.59</v>
      </c>
      <c r="E859" s="9">
        <v>1</v>
      </c>
    </row>
    <row r="860" spans="1:5" x14ac:dyDescent="0.25">
      <c r="A860" s="7">
        <v>1</v>
      </c>
      <c r="B860" s="7">
        <v>1209</v>
      </c>
      <c r="C860" s="7">
        <v>108</v>
      </c>
      <c r="D860" s="8">
        <v>50355.33</v>
      </c>
      <c r="E860" s="9">
        <v>1</v>
      </c>
    </row>
    <row r="861" spans="1:5" x14ac:dyDescent="0.25">
      <c r="A861" s="7">
        <v>1</v>
      </c>
      <c r="B861" s="7">
        <v>1210</v>
      </c>
      <c r="C861" s="7">
        <v>139</v>
      </c>
      <c r="D861" s="8">
        <v>12977.78</v>
      </c>
      <c r="E861" s="9">
        <v>1</v>
      </c>
    </row>
    <row r="862" spans="1:5" x14ac:dyDescent="0.25">
      <c r="A862" s="7">
        <v>1</v>
      </c>
      <c r="B862" s="7">
        <v>1211</v>
      </c>
      <c r="C862" s="7">
        <v>139</v>
      </c>
      <c r="D862" s="8">
        <v>46073.58</v>
      </c>
      <c r="E862" s="9">
        <v>1</v>
      </c>
    </row>
    <row r="863" spans="1:5" x14ac:dyDescent="0.25">
      <c r="A863" s="7">
        <v>1</v>
      </c>
      <c r="B863" s="7">
        <v>1212</v>
      </c>
      <c r="C863" s="7">
        <v>108</v>
      </c>
      <c r="D863" s="8">
        <v>16739.69</v>
      </c>
      <c r="E863" s="9">
        <v>1</v>
      </c>
    </row>
    <row r="864" spans="1:5" x14ac:dyDescent="0.25">
      <c r="A864" s="7">
        <v>1</v>
      </c>
      <c r="B864" s="7">
        <v>1213</v>
      </c>
      <c r="C864" s="7">
        <v>108</v>
      </c>
      <c r="D864" s="8">
        <v>53318.45</v>
      </c>
      <c r="E864" s="9">
        <v>1</v>
      </c>
    </row>
    <row r="865" spans="1:5" x14ac:dyDescent="0.25">
      <c r="A865" s="7">
        <v>1</v>
      </c>
      <c r="B865" s="7">
        <v>1214</v>
      </c>
      <c r="C865" s="7">
        <v>108</v>
      </c>
      <c r="D865" s="8">
        <v>110151.3</v>
      </c>
      <c r="E865" s="9">
        <v>1</v>
      </c>
    </row>
    <row r="866" spans="1:5" x14ac:dyDescent="0.25">
      <c r="A866" s="7">
        <v>1</v>
      </c>
      <c r="B866" s="7">
        <v>1215</v>
      </c>
      <c r="C866" s="7">
        <v>108</v>
      </c>
      <c r="D866" s="8">
        <v>184143.7</v>
      </c>
      <c r="E866" s="9">
        <v>1</v>
      </c>
    </row>
    <row r="867" spans="1:5" x14ac:dyDescent="0.25">
      <c r="A867" s="7">
        <v>1</v>
      </c>
      <c r="B867" s="7">
        <v>1220</v>
      </c>
      <c r="C867" s="7">
        <v>108</v>
      </c>
      <c r="D867" s="8">
        <v>17670.23</v>
      </c>
      <c r="E867" s="9">
        <v>1</v>
      </c>
    </row>
    <row r="868" spans="1:5" x14ac:dyDescent="0.25">
      <c r="A868" s="7">
        <v>1</v>
      </c>
      <c r="B868" s="7">
        <v>1221</v>
      </c>
      <c r="C868" s="7">
        <v>108</v>
      </c>
      <c r="D868" s="8">
        <v>56280.09</v>
      </c>
      <c r="E868" s="9">
        <v>1</v>
      </c>
    </row>
    <row r="869" spans="1:5" x14ac:dyDescent="0.25">
      <c r="A869" s="7">
        <v>1</v>
      </c>
      <c r="B869" s="7">
        <v>1222</v>
      </c>
      <c r="C869" s="7">
        <v>108</v>
      </c>
      <c r="D869" s="8">
        <v>116271.56</v>
      </c>
      <c r="E869" s="9">
        <v>1</v>
      </c>
    </row>
    <row r="870" spans="1:5" x14ac:dyDescent="0.25">
      <c r="A870" s="7">
        <v>1</v>
      </c>
      <c r="B870" s="7">
        <v>1223</v>
      </c>
      <c r="C870" s="7">
        <v>108</v>
      </c>
      <c r="D870" s="8">
        <v>194374.64</v>
      </c>
      <c r="E870" s="9">
        <v>1</v>
      </c>
    </row>
    <row r="871" spans="1:5" x14ac:dyDescent="0.25">
      <c r="A871" s="7">
        <v>1</v>
      </c>
      <c r="B871" s="7">
        <v>1224</v>
      </c>
      <c r="C871" s="7">
        <v>139</v>
      </c>
      <c r="D871" s="8">
        <v>6784.39</v>
      </c>
      <c r="E871" s="9">
        <v>1</v>
      </c>
    </row>
    <row r="872" spans="1:5" x14ac:dyDescent="0.25">
      <c r="A872" s="7">
        <v>1</v>
      </c>
      <c r="B872" s="7">
        <v>1225</v>
      </c>
      <c r="C872" s="7">
        <v>132</v>
      </c>
      <c r="D872" s="8">
        <v>25.83</v>
      </c>
      <c r="E872" s="9">
        <v>3</v>
      </c>
    </row>
    <row r="873" spans="1:5" x14ac:dyDescent="0.25">
      <c r="A873" s="7">
        <v>1</v>
      </c>
      <c r="B873" s="7">
        <v>1226</v>
      </c>
      <c r="C873" s="7">
        <v>132</v>
      </c>
      <c r="D873" s="8">
        <v>9.48</v>
      </c>
      <c r="E873" s="9">
        <v>3</v>
      </c>
    </row>
    <row r="874" spans="1:5" x14ac:dyDescent="0.25">
      <c r="A874" s="7">
        <v>1</v>
      </c>
      <c r="B874" s="7">
        <v>1227</v>
      </c>
      <c r="C874" s="7">
        <v>139</v>
      </c>
      <c r="D874" s="8">
        <v>25337.39</v>
      </c>
      <c r="E874" s="9">
        <v>1</v>
      </c>
    </row>
    <row r="875" spans="1:5" x14ac:dyDescent="0.25">
      <c r="A875" s="7">
        <v>1</v>
      </c>
      <c r="B875" s="7">
        <v>1228</v>
      </c>
      <c r="C875" s="7">
        <v>139</v>
      </c>
      <c r="D875" s="8">
        <v>60669.68</v>
      </c>
      <c r="E875" s="9">
        <v>1</v>
      </c>
    </row>
    <row r="876" spans="1:5" x14ac:dyDescent="0.25">
      <c r="A876" s="7">
        <v>1</v>
      </c>
      <c r="B876" s="7">
        <v>1229</v>
      </c>
      <c r="C876" s="7">
        <v>139</v>
      </c>
      <c r="D876" s="8">
        <v>102753.48</v>
      </c>
      <c r="E876" s="9">
        <v>1</v>
      </c>
    </row>
    <row r="877" spans="1:5" x14ac:dyDescent="0.25">
      <c r="A877" s="7">
        <v>1</v>
      </c>
      <c r="B877" s="7">
        <v>1230</v>
      </c>
      <c r="C877" s="7">
        <v>132</v>
      </c>
      <c r="D877" s="8">
        <v>286.72</v>
      </c>
      <c r="E877" s="9">
        <v>3</v>
      </c>
    </row>
    <row r="878" spans="1:5" x14ac:dyDescent="0.25">
      <c r="A878" s="7">
        <v>1</v>
      </c>
      <c r="B878" s="7">
        <v>1232</v>
      </c>
      <c r="C878" s="7">
        <v>108</v>
      </c>
      <c r="D878" s="8">
        <v>15109.02</v>
      </c>
      <c r="E878" s="9">
        <v>1</v>
      </c>
    </row>
    <row r="879" spans="1:5" x14ac:dyDescent="0.25">
      <c r="A879" s="7">
        <v>1</v>
      </c>
      <c r="B879" s="7">
        <v>1233</v>
      </c>
      <c r="C879" s="7">
        <v>108</v>
      </c>
      <c r="D879" s="8">
        <v>48122.95</v>
      </c>
      <c r="E879" s="9">
        <v>1</v>
      </c>
    </row>
    <row r="880" spans="1:5" x14ac:dyDescent="0.25">
      <c r="A880" s="7">
        <v>1</v>
      </c>
      <c r="B880" s="7">
        <v>1234</v>
      </c>
      <c r="C880" s="7">
        <v>108</v>
      </c>
      <c r="D880" s="8">
        <v>23883.21</v>
      </c>
      <c r="E880" s="9">
        <v>1</v>
      </c>
    </row>
    <row r="881" spans="1:5" x14ac:dyDescent="0.25">
      <c r="A881" s="7">
        <v>1</v>
      </c>
      <c r="B881" s="7">
        <v>1235</v>
      </c>
      <c r="C881" s="7">
        <v>108</v>
      </c>
      <c r="D881" s="8">
        <v>76063.75</v>
      </c>
      <c r="E881" s="9">
        <v>1</v>
      </c>
    </row>
    <row r="882" spans="1:5" x14ac:dyDescent="0.25">
      <c r="A882" s="7">
        <v>1</v>
      </c>
      <c r="B882" s="7">
        <v>1236</v>
      </c>
      <c r="C882" s="7">
        <v>108</v>
      </c>
      <c r="D882" s="8">
        <v>17071.38</v>
      </c>
      <c r="E882" s="9">
        <v>1</v>
      </c>
    </row>
    <row r="883" spans="1:5" x14ac:dyDescent="0.25">
      <c r="A883" s="7">
        <v>1</v>
      </c>
      <c r="B883" s="7">
        <v>1237</v>
      </c>
      <c r="C883" s="7">
        <v>108</v>
      </c>
      <c r="D883" s="8">
        <v>54372.79</v>
      </c>
      <c r="E883" s="9">
        <v>1</v>
      </c>
    </row>
    <row r="884" spans="1:5" x14ac:dyDescent="0.25">
      <c r="A884" s="7">
        <v>1</v>
      </c>
      <c r="B884" s="7">
        <v>1238</v>
      </c>
      <c r="C884" s="7">
        <v>108</v>
      </c>
      <c r="D884" s="8">
        <v>112329.84</v>
      </c>
      <c r="E884" s="9">
        <v>1</v>
      </c>
    </row>
    <row r="885" spans="1:5" x14ac:dyDescent="0.25">
      <c r="A885" s="7">
        <v>1</v>
      </c>
      <c r="B885" s="7">
        <v>1239</v>
      </c>
      <c r="C885" s="7">
        <v>108</v>
      </c>
      <c r="D885" s="8">
        <v>187786.07</v>
      </c>
      <c r="E885" s="9">
        <v>1</v>
      </c>
    </row>
    <row r="886" spans="1:5" x14ac:dyDescent="0.25">
      <c r="A886" s="7">
        <v>1</v>
      </c>
      <c r="B886" s="7">
        <v>1244</v>
      </c>
      <c r="C886" s="7">
        <v>108</v>
      </c>
      <c r="D886" s="8">
        <v>18053.34</v>
      </c>
      <c r="E886" s="9">
        <v>1</v>
      </c>
    </row>
    <row r="887" spans="1:5" x14ac:dyDescent="0.25">
      <c r="A887" s="7">
        <v>1</v>
      </c>
      <c r="B887" s="7">
        <v>1245</v>
      </c>
      <c r="C887" s="7">
        <v>108</v>
      </c>
      <c r="D887" s="8">
        <v>57496.95</v>
      </c>
      <c r="E887" s="9">
        <v>1</v>
      </c>
    </row>
    <row r="888" spans="1:5" x14ac:dyDescent="0.25">
      <c r="A888" s="7">
        <v>1</v>
      </c>
      <c r="B888" s="7">
        <v>1246</v>
      </c>
      <c r="C888" s="7">
        <v>108</v>
      </c>
      <c r="D888" s="8">
        <v>118786.71</v>
      </c>
      <c r="E888" s="9">
        <v>1</v>
      </c>
    </row>
    <row r="889" spans="1:5" x14ac:dyDescent="0.25">
      <c r="A889" s="7">
        <v>1</v>
      </c>
      <c r="B889" s="7">
        <v>1247</v>
      </c>
      <c r="C889" s="7">
        <v>108</v>
      </c>
      <c r="D889" s="8">
        <v>198578.85</v>
      </c>
      <c r="E889" s="9">
        <v>1</v>
      </c>
    </row>
    <row r="890" spans="1:5" x14ac:dyDescent="0.25">
      <c r="A890" s="7">
        <v>1</v>
      </c>
      <c r="B890" s="7">
        <v>1248</v>
      </c>
      <c r="C890" s="7">
        <v>108</v>
      </c>
      <c r="D890" s="8">
        <v>28534.53</v>
      </c>
      <c r="E890" s="9">
        <v>1</v>
      </c>
    </row>
    <row r="891" spans="1:5" x14ac:dyDescent="0.25">
      <c r="A891" s="7">
        <v>1</v>
      </c>
      <c r="B891" s="7">
        <v>1249</v>
      </c>
      <c r="C891" s="7">
        <v>108</v>
      </c>
      <c r="D891" s="8">
        <v>90882.12</v>
      </c>
      <c r="E891" s="9">
        <v>1</v>
      </c>
    </row>
    <row r="892" spans="1:5" x14ac:dyDescent="0.25">
      <c r="A892" s="7">
        <v>1</v>
      </c>
      <c r="B892" s="7">
        <v>1250</v>
      </c>
      <c r="C892" s="7">
        <v>108</v>
      </c>
      <c r="D892" s="8">
        <v>187757.15</v>
      </c>
      <c r="E892" s="9">
        <v>1</v>
      </c>
    </row>
    <row r="893" spans="1:5" x14ac:dyDescent="0.25">
      <c r="A893" s="7">
        <v>1</v>
      </c>
      <c r="B893" s="7">
        <v>1251</v>
      </c>
      <c r="C893" s="7">
        <v>108</v>
      </c>
      <c r="D893" s="8">
        <v>313879.19</v>
      </c>
      <c r="E893" s="9">
        <v>1</v>
      </c>
    </row>
    <row r="894" spans="1:5" x14ac:dyDescent="0.25">
      <c r="A894" s="7">
        <v>1</v>
      </c>
      <c r="B894" s="7">
        <v>1253</v>
      </c>
      <c r="C894" s="7">
        <v>139</v>
      </c>
      <c r="D894" s="8">
        <v>17396.81</v>
      </c>
      <c r="E894" s="9">
        <v>1</v>
      </c>
    </row>
    <row r="895" spans="1:5" x14ac:dyDescent="0.25">
      <c r="A895" s="7">
        <v>1</v>
      </c>
      <c r="B895" s="7">
        <v>1254</v>
      </c>
      <c r="C895" s="7">
        <v>139</v>
      </c>
      <c r="D895" s="8">
        <v>65282.74</v>
      </c>
      <c r="E895" s="9">
        <v>1</v>
      </c>
    </row>
    <row r="896" spans="1:5" x14ac:dyDescent="0.25">
      <c r="A896" s="7">
        <v>1</v>
      </c>
      <c r="B896" s="7">
        <v>1255</v>
      </c>
      <c r="C896" s="7">
        <v>139</v>
      </c>
      <c r="D896" s="8">
        <v>256752.72</v>
      </c>
      <c r="E896" s="9">
        <v>1</v>
      </c>
    </row>
    <row r="897" spans="1:5" x14ac:dyDescent="0.25">
      <c r="A897" s="7">
        <v>1</v>
      </c>
      <c r="B897" s="7">
        <v>1256</v>
      </c>
      <c r="C897" s="7">
        <v>108</v>
      </c>
      <c r="D897" s="8">
        <v>26983.13</v>
      </c>
      <c r="E897" s="9">
        <v>1</v>
      </c>
    </row>
    <row r="898" spans="1:5" x14ac:dyDescent="0.25">
      <c r="A898" s="7">
        <v>1</v>
      </c>
      <c r="B898" s="7">
        <v>1257</v>
      </c>
      <c r="C898" s="7">
        <v>108</v>
      </c>
      <c r="D898" s="8">
        <v>85942.64</v>
      </c>
      <c r="E898" s="9">
        <v>1</v>
      </c>
    </row>
    <row r="899" spans="1:5" x14ac:dyDescent="0.25">
      <c r="A899" s="7">
        <v>1</v>
      </c>
      <c r="B899" s="7">
        <v>1258</v>
      </c>
      <c r="C899" s="7">
        <v>108</v>
      </c>
      <c r="D899" s="8">
        <v>126821.58</v>
      </c>
      <c r="E899" s="9">
        <v>1</v>
      </c>
    </row>
    <row r="900" spans="1:5" x14ac:dyDescent="0.25">
      <c r="A900" s="7">
        <v>1</v>
      </c>
      <c r="B900" s="7">
        <v>1259</v>
      </c>
      <c r="C900" s="7">
        <v>108</v>
      </c>
      <c r="D900" s="8">
        <v>296820.77</v>
      </c>
      <c r="E900" s="9">
        <v>1</v>
      </c>
    </row>
    <row r="901" spans="1:5" x14ac:dyDescent="0.25">
      <c r="A901" s="7">
        <v>1</v>
      </c>
      <c r="B901" s="7">
        <v>1260</v>
      </c>
      <c r="C901" s="7">
        <v>110</v>
      </c>
      <c r="D901" s="8">
        <v>285544.81</v>
      </c>
      <c r="E901" s="9">
        <v>1</v>
      </c>
    </row>
    <row r="902" spans="1:5" x14ac:dyDescent="0.25">
      <c r="A902" s="7">
        <v>1</v>
      </c>
      <c r="B902" s="7">
        <v>1261</v>
      </c>
      <c r="C902" s="7">
        <v>108</v>
      </c>
      <c r="D902" s="8">
        <v>34532.99</v>
      </c>
      <c r="E902" s="9">
        <v>1</v>
      </c>
    </row>
    <row r="903" spans="1:5" x14ac:dyDescent="0.25">
      <c r="A903" s="7">
        <v>1</v>
      </c>
      <c r="B903" s="7">
        <v>1263</v>
      </c>
      <c r="C903" s="7">
        <v>108</v>
      </c>
      <c r="D903" s="8">
        <v>119264.33</v>
      </c>
      <c r="E903" s="9">
        <v>1</v>
      </c>
    </row>
    <row r="904" spans="1:5" x14ac:dyDescent="0.25">
      <c r="A904" s="7">
        <v>1</v>
      </c>
      <c r="B904" s="7">
        <v>1264</v>
      </c>
      <c r="C904" s="7">
        <v>139</v>
      </c>
      <c r="D904" s="8">
        <v>17396.81</v>
      </c>
      <c r="E904" s="9">
        <v>1</v>
      </c>
    </row>
    <row r="905" spans="1:5" x14ac:dyDescent="0.25">
      <c r="A905" s="7">
        <v>1</v>
      </c>
      <c r="B905" s="7">
        <v>1265</v>
      </c>
      <c r="C905" s="7">
        <v>139</v>
      </c>
      <c r="D905" s="8">
        <v>65282.74</v>
      </c>
      <c r="E905" s="9">
        <v>1</v>
      </c>
    </row>
    <row r="906" spans="1:5" x14ac:dyDescent="0.25">
      <c r="A906" s="7">
        <v>1</v>
      </c>
      <c r="B906" s="7">
        <v>1266</v>
      </c>
      <c r="C906" s="7">
        <v>139</v>
      </c>
      <c r="D906" s="8">
        <v>256752.72</v>
      </c>
      <c r="E906" s="9">
        <v>1</v>
      </c>
    </row>
    <row r="907" spans="1:5" x14ac:dyDescent="0.25">
      <c r="A907" s="7">
        <v>1</v>
      </c>
      <c r="B907" s="7">
        <v>1267</v>
      </c>
      <c r="C907" s="7">
        <v>108</v>
      </c>
      <c r="D907" s="8">
        <v>36516.53</v>
      </c>
      <c r="E907" s="9">
        <v>1</v>
      </c>
    </row>
    <row r="908" spans="1:5" x14ac:dyDescent="0.25">
      <c r="A908" s="7">
        <v>1</v>
      </c>
      <c r="B908" s="7">
        <v>1268</v>
      </c>
      <c r="C908" s="7">
        <v>108</v>
      </c>
      <c r="D908" s="8">
        <v>75442.55</v>
      </c>
      <c r="E908" s="9">
        <v>1</v>
      </c>
    </row>
    <row r="909" spans="1:5" x14ac:dyDescent="0.25">
      <c r="A909" s="7">
        <v>1</v>
      </c>
      <c r="B909" s="7">
        <v>1269</v>
      </c>
      <c r="C909" s="7">
        <v>108</v>
      </c>
      <c r="D909" s="8">
        <v>126118.96</v>
      </c>
      <c r="E909" s="9">
        <v>1</v>
      </c>
    </row>
    <row r="910" spans="1:5" x14ac:dyDescent="0.25">
      <c r="A910" s="7">
        <v>1</v>
      </c>
      <c r="B910" s="7">
        <v>1270</v>
      </c>
      <c r="C910" s="7">
        <v>108</v>
      </c>
      <c r="D910" s="8">
        <v>23768.71</v>
      </c>
      <c r="E910" s="9">
        <v>1</v>
      </c>
    </row>
    <row r="911" spans="1:5" x14ac:dyDescent="0.25">
      <c r="A911" s="7">
        <v>1</v>
      </c>
      <c r="B911" s="7">
        <v>1271</v>
      </c>
      <c r="C911" s="7">
        <v>108</v>
      </c>
      <c r="D911" s="8">
        <v>80321.39</v>
      </c>
      <c r="E911" s="9">
        <v>1</v>
      </c>
    </row>
    <row r="912" spans="1:5" x14ac:dyDescent="0.25">
      <c r="A912" s="7">
        <v>1</v>
      </c>
      <c r="B912" s="7">
        <v>1272</v>
      </c>
      <c r="C912" s="7">
        <v>108</v>
      </c>
      <c r="D912" s="8">
        <v>324564.76</v>
      </c>
      <c r="E912" s="9">
        <v>1</v>
      </c>
    </row>
    <row r="913" spans="1:5" x14ac:dyDescent="0.25">
      <c r="A913" s="7">
        <v>1</v>
      </c>
      <c r="B913" s="7">
        <v>1275</v>
      </c>
      <c r="C913" s="7">
        <v>139</v>
      </c>
      <c r="D913" s="8">
        <v>65282.74</v>
      </c>
      <c r="E913" s="9">
        <v>1</v>
      </c>
    </row>
    <row r="914" spans="1:5" x14ac:dyDescent="0.25">
      <c r="A914" s="7">
        <v>1</v>
      </c>
      <c r="B914" s="7">
        <v>1279</v>
      </c>
      <c r="C914" s="7">
        <v>108</v>
      </c>
      <c r="D914" s="8">
        <v>19346.42</v>
      </c>
      <c r="E914" s="9">
        <v>1</v>
      </c>
    </row>
    <row r="915" spans="1:5" x14ac:dyDescent="0.25">
      <c r="A915" s="7">
        <v>1</v>
      </c>
      <c r="B915" s="7">
        <v>1280</v>
      </c>
      <c r="C915" s="7">
        <v>108</v>
      </c>
      <c r="D915" s="8">
        <v>65377.95</v>
      </c>
      <c r="E915" s="9">
        <v>1</v>
      </c>
    </row>
    <row r="916" spans="1:5" x14ac:dyDescent="0.25">
      <c r="A916" s="7">
        <v>1</v>
      </c>
      <c r="B916" s="7">
        <v>1281</v>
      </c>
      <c r="C916" s="7">
        <v>102</v>
      </c>
      <c r="D916" s="8">
        <v>7204.57</v>
      </c>
      <c r="E916" s="9">
        <v>1</v>
      </c>
    </row>
    <row r="917" spans="1:5" x14ac:dyDescent="0.25">
      <c r="A917" s="7">
        <v>1</v>
      </c>
      <c r="B917" s="7">
        <v>1282</v>
      </c>
      <c r="C917" s="7">
        <v>108</v>
      </c>
      <c r="D917" s="8">
        <v>21556.83</v>
      </c>
      <c r="E917" s="9">
        <v>1</v>
      </c>
    </row>
    <row r="918" spans="1:5" x14ac:dyDescent="0.25">
      <c r="A918" s="7">
        <v>1</v>
      </c>
      <c r="B918" s="7">
        <v>1283</v>
      </c>
      <c r="C918" s="7">
        <v>108</v>
      </c>
      <c r="D918" s="8">
        <v>72848.96</v>
      </c>
      <c r="E918" s="9">
        <v>1</v>
      </c>
    </row>
    <row r="919" spans="1:5" x14ac:dyDescent="0.25">
      <c r="A919" s="7">
        <v>1</v>
      </c>
      <c r="B919" s="7">
        <v>1284</v>
      </c>
      <c r="C919" s="7">
        <v>108</v>
      </c>
      <c r="D919" s="8">
        <v>294369.27</v>
      </c>
      <c r="E919" s="9">
        <v>1</v>
      </c>
    </row>
    <row r="920" spans="1:5" x14ac:dyDescent="0.25">
      <c r="A920" s="7">
        <v>1</v>
      </c>
      <c r="B920" s="7">
        <v>1285</v>
      </c>
      <c r="C920" s="7">
        <v>108</v>
      </c>
      <c r="D920" s="8">
        <v>24479.16</v>
      </c>
      <c r="E920" s="9">
        <v>1</v>
      </c>
    </row>
    <row r="921" spans="1:5" x14ac:dyDescent="0.25">
      <c r="A921" s="7">
        <v>1</v>
      </c>
      <c r="B921" s="7">
        <v>1286</v>
      </c>
      <c r="C921" s="7">
        <v>108</v>
      </c>
      <c r="D921" s="8">
        <v>82724.98</v>
      </c>
      <c r="E921" s="9">
        <v>1</v>
      </c>
    </row>
    <row r="922" spans="1:5" x14ac:dyDescent="0.25">
      <c r="A922" s="7">
        <v>1</v>
      </c>
      <c r="B922" s="7">
        <v>1287</v>
      </c>
      <c r="C922" s="7">
        <v>108</v>
      </c>
      <c r="D922" s="8">
        <v>334276.45</v>
      </c>
      <c r="E922" s="9">
        <v>1</v>
      </c>
    </row>
    <row r="923" spans="1:5" x14ac:dyDescent="0.25">
      <c r="A923" s="7">
        <v>1</v>
      </c>
      <c r="B923" s="7">
        <v>1290</v>
      </c>
      <c r="C923" s="7">
        <v>139</v>
      </c>
      <c r="D923" s="8">
        <v>256752.72</v>
      </c>
      <c r="E923" s="9">
        <v>1</v>
      </c>
    </row>
    <row r="924" spans="1:5" x14ac:dyDescent="0.25">
      <c r="A924" s="7">
        <v>1</v>
      </c>
      <c r="B924" s="7">
        <v>1291</v>
      </c>
      <c r="C924" s="7">
        <v>108</v>
      </c>
      <c r="D924" s="8">
        <v>19924.72</v>
      </c>
      <c r="E924" s="9">
        <v>1</v>
      </c>
    </row>
    <row r="925" spans="1:5" x14ac:dyDescent="0.25">
      <c r="A925" s="7">
        <v>1</v>
      </c>
      <c r="B925" s="7">
        <v>1292</v>
      </c>
      <c r="C925" s="7">
        <v>108</v>
      </c>
      <c r="D925" s="8">
        <v>67334.13</v>
      </c>
      <c r="E925" s="9">
        <v>1</v>
      </c>
    </row>
    <row r="926" spans="1:5" x14ac:dyDescent="0.25">
      <c r="A926" s="7">
        <v>1</v>
      </c>
      <c r="B926" s="7">
        <v>1293</v>
      </c>
      <c r="C926" s="7">
        <v>108</v>
      </c>
      <c r="D926" s="8">
        <v>22202.64</v>
      </c>
      <c r="E926" s="9">
        <v>1</v>
      </c>
    </row>
    <row r="927" spans="1:5" x14ac:dyDescent="0.25">
      <c r="A927" s="7">
        <v>1</v>
      </c>
      <c r="B927" s="7">
        <v>1294</v>
      </c>
      <c r="C927" s="7">
        <v>108</v>
      </c>
      <c r="D927" s="8">
        <v>75029.58</v>
      </c>
      <c r="E927" s="9">
        <v>1</v>
      </c>
    </row>
    <row r="928" spans="1:5" x14ac:dyDescent="0.25">
      <c r="A928" s="7">
        <v>1</v>
      </c>
      <c r="B928" s="7">
        <v>1295</v>
      </c>
      <c r="C928" s="7">
        <v>108</v>
      </c>
      <c r="D928" s="8">
        <v>303180.7</v>
      </c>
      <c r="E928" s="9">
        <v>1</v>
      </c>
    </row>
    <row r="929" spans="1:5" x14ac:dyDescent="0.25">
      <c r="A929" s="7">
        <v>1</v>
      </c>
      <c r="B929" s="7">
        <v>1296</v>
      </c>
      <c r="C929" s="7">
        <v>102</v>
      </c>
      <c r="D929" s="8">
        <v>8199.46</v>
      </c>
      <c r="E929" s="9">
        <v>1</v>
      </c>
    </row>
    <row r="930" spans="1:5" x14ac:dyDescent="0.25">
      <c r="A930" s="7">
        <v>1</v>
      </c>
      <c r="B930" s="7">
        <v>1297</v>
      </c>
      <c r="C930" s="7">
        <v>139</v>
      </c>
      <c r="D930" s="8">
        <v>17395.78</v>
      </c>
      <c r="E930" s="9">
        <v>1</v>
      </c>
    </row>
    <row r="931" spans="1:5" x14ac:dyDescent="0.25">
      <c r="A931" s="7">
        <v>1</v>
      </c>
      <c r="B931" s="7">
        <v>1298</v>
      </c>
      <c r="C931" s="7">
        <v>139</v>
      </c>
      <c r="D931" s="8">
        <v>65282.74</v>
      </c>
      <c r="E931" s="9">
        <v>1</v>
      </c>
    </row>
    <row r="932" spans="1:5" x14ac:dyDescent="0.25">
      <c r="A932" s="7">
        <v>1</v>
      </c>
      <c r="B932" s="7">
        <v>1299</v>
      </c>
      <c r="C932" s="7">
        <v>139</v>
      </c>
      <c r="D932" s="8">
        <v>256752.72</v>
      </c>
      <c r="E932" s="9">
        <v>1</v>
      </c>
    </row>
    <row r="933" spans="1:5" x14ac:dyDescent="0.25">
      <c r="A933" s="7">
        <v>1</v>
      </c>
      <c r="B933" s="7">
        <v>1300</v>
      </c>
      <c r="C933" s="7">
        <v>139</v>
      </c>
      <c r="D933" s="8">
        <v>17396.81</v>
      </c>
      <c r="E933" s="9">
        <v>1</v>
      </c>
    </row>
    <row r="934" spans="1:5" x14ac:dyDescent="0.25">
      <c r="A934" s="7">
        <v>1</v>
      </c>
      <c r="B934" s="7">
        <v>1301</v>
      </c>
      <c r="C934" s="7">
        <v>139</v>
      </c>
      <c r="D934" s="8">
        <v>65282.74</v>
      </c>
      <c r="E934" s="9">
        <v>1</v>
      </c>
    </row>
    <row r="935" spans="1:5" x14ac:dyDescent="0.25">
      <c r="A935" s="7">
        <v>1</v>
      </c>
      <c r="B935" s="7">
        <v>1302</v>
      </c>
      <c r="C935" s="7">
        <v>139</v>
      </c>
      <c r="D935" s="8">
        <v>256752.72</v>
      </c>
      <c r="E935" s="9">
        <v>1</v>
      </c>
    </row>
    <row r="936" spans="1:5" x14ac:dyDescent="0.25">
      <c r="A936" s="7">
        <v>1</v>
      </c>
      <c r="B936" s="7">
        <v>1304</v>
      </c>
      <c r="C936" s="7">
        <v>139</v>
      </c>
      <c r="D936" s="8">
        <v>15657.22</v>
      </c>
      <c r="E936" s="9">
        <v>1</v>
      </c>
    </row>
    <row r="937" spans="1:5" x14ac:dyDescent="0.25">
      <c r="A937" s="7">
        <v>1</v>
      </c>
      <c r="B937" s="7">
        <v>1307</v>
      </c>
      <c r="C937" s="7">
        <v>139</v>
      </c>
      <c r="D937" s="8">
        <v>58754.49</v>
      </c>
      <c r="E937" s="9">
        <v>1</v>
      </c>
    </row>
    <row r="938" spans="1:5" x14ac:dyDescent="0.25">
      <c r="A938" s="7">
        <v>1</v>
      </c>
      <c r="B938" s="7">
        <v>1317</v>
      </c>
      <c r="C938" s="7">
        <v>108</v>
      </c>
      <c r="D938" s="8">
        <v>166201.8</v>
      </c>
      <c r="E938" s="9">
        <v>1</v>
      </c>
    </row>
    <row r="939" spans="1:5" x14ac:dyDescent="0.25">
      <c r="A939" s="7">
        <v>1</v>
      </c>
      <c r="B939" s="7">
        <v>1318</v>
      </c>
      <c r="C939" s="7">
        <v>108</v>
      </c>
      <c r="D939" s="8">
        <v>173914.06</v>
      </c>
      <c r="E939" s="9">
        <v>1</v>
      </c>
    </row>
    <row r="940" spans="1:5" x14ac:dyDescent="0.25">
      <c r="A940" s="7">
        <v>1</v>
      </c>
      <c r="B940" s="7">
        <v>1319</v>
      </c>
      <c r="C940" s="7">
        <v>140</v>
      </c>
      <c r="D940" s="8">
        <v>6603.68</v>
      </c>
      <c r="E940" s="9">
        <v>1</v>
      </c>
    </row>
    <row r="941" spans="1:5" x14ac:dyDescent="0.25">
      <c r="A941" s="7">
        <v>1</v>
      </c>
      <c r="B941" s="7">
        <v>1320</v>
      </c>
      <c r="C941" s="7">
        <v>125</v>
      </c>
      <c r="D941" s="8">
        <v>4535.98</v>
      </c>
      <c r="E941" s="9">
        <v>1</v>
      </c>
    </row>
    <row r="942" spans="1:5" x14ac:dyDescent="0.25">
      <c r="A942" s="7">
        <v>1</v>
      </c>
      <c r="B942" s="7">
        <v>1321</v>
      </c>
      <c r="C942" s="7">
        <v>125</v>
      </c>
      <c r="D942" s="8">
        <v>5071.38</v>
      </c>
      <c r="E942" s="9">
        <v>1</v>
      </c>
    </row>
    <row r="943" spans="1:5" x14ac:dyDescent="0.25">
      <c r="A943" s="7">
        <v>1</v>
      </c>
      <c r="B943" s="7">
        <v>1322</v>
      </c>
      <c r="C943" s="7">
        <v>125</v>
      </c>
      <c r="D943" s="8">
        <v>1148.19</v>
      </c>
      <c r="E943" s="9">
        <v>1</v>
      </c>
    </row>
    <row r="944" spans="1:5" x14ac:dyDescent="0.25">
      <c r="A944" s="7">
        <v>1</v>
      </c>
      <c r="B944" s="7">
        <v>1323</v>
      </c>
      <c r="C944" s="7">
        <v>125</v>
      </c>
      <c r="D944" s="8">
        <v>1338.88</v>
      </c>
      <c r="E944" s="9">
        <v>1</v>
      </c>
    </row>
    <row r="945" spans="1:5" x14ac:dyDescent="0.25">
      <c r="A945" s="7">
        <v>1</v>
      </c>
      <c r="B945" s="7">
        <v>1324</v>
      </c>
      <c r="C945" s="7">
        <v>125</v>
      </c>
      <c r="D945" s="8">
        <v>1655.34</v>
      </c>
      <c r="E945" s="9">
        <v>1</v>
      </c>
    </row>
    <row r="946" spans="1:5" x14ac:dyDescent="0.25">
      <c r="A946" s="7">
        <v>1</v>
      </c>
      <c r="B946" s="7">
        <v>1325</v>
      </c>
      <c r="C946" s="7">
        <v>125</v>
      </c>
      <c r="D946" s="8">
        <v>1004.16</v>
      </c>
      <c r="E946" s="9">
        <v>1</v>
      </c>
    </row>
    <row r="947" spans="1:5" x14ac:dyDescent="0.25">
      <c r="A947" s="7">
        <v>1</v>
      </c>
      <c r="B947" s="7">
        <v>1326</v>
      </c>
      <c r="C947" s="7">
        <v>125</v>
      </c>
      <c r="D947" s="8">
        <v>1434.23</v>
      </c>
      <c r="E947" s="9">
        <v>1</v>
      </c>
    </row>
    <row r="948" spans="1:5" x14ac:dyDescent="0.25">
      <c r="A948" s="7">
        <v>1</v>
      </c>
      <c r="B948" s="7">
        <v>1327</v>
      </c>
      <c r="C948" s="7">
        <v>125</v>
      </c>
      <c r="D948" s="8">
        <v>1802.39</v>
      </c>
      <c r="E948" s="9">
        <v>1</v>
      </c>
    </row>
    <row r="949" spans="1:5" x14ac:dyDescent="0.25">
      <c r="A949" s="7">
        <v>1</v>
      </c>
      <c r="B949" s="7">
        <v>1332</v>
      </c>
      <c r="C949" s="7">
        <v>139</v>
      </c>
      <c r="D949" s="8">
        <v>15657.24</v>
      </c>
      <c r="E949" s="9">
        <v>1</v>
      </c>
    </row>
    <row r="950" spans="1:5" x14ac:dyDescent="0.25">
      <c r="A950" s="7">
        <v>1</v>
      </c>
      <c r="B950" s="7">
        <v>1333</v>
      </c>
      <c r="C950" s="7">
        <v>139</v>
      </c>
      <c r="D950" s="8">
        <v>58754.49</v>
      </c>
      <c r="E950" s="9">
        <v>1</v>
      </c>
    </row>
    <row r="951" spans="1:5" x14ac:dyDescent="0.25">
      <c r="A951" s="7">
        <v>1</v>
      </c>
      <c r="B951" s="7">
        <v>1334</v>
      </c>
      <c r="C951" s="7">
        <v>139</v>
      </c>
      <c r="D951" s="8">
        <v>243914.98</v>
      </c>
      <c r="E951" s="9">
        <v>1</v>
      </c>
    </row>
    <row r="952" spans="1:5" x14ac:dyDescent="0.25">
      <c r="A952" s="7">
        <v>1</v>
      </c>
      <c r="B952" s="7">
        <v>1335</v>
      </c>
      <c r="C952" s="7">
        <v>139</v>
      </c>
      <c r="D952" s="8">
        <v>15657.24</v>
      </c>
      <c r="E952" s="9">
        <v>1</v>
      </c>
    </row>
    <row r="953" spans="1:5" x14ac:dyDescent="0.25">
      <c r="A953" s="7">
        <v>1</v>
      </c>
      <c r="B953" s="7">
        <v>1336</v>
      </c>
      <c r="C953" s="7">
        <v>139</v>
      </c>
      <c r="D953" s="8">
        <v>58754.49</v>
      </c>
      <c r="E953" s="9">
        <v>1</v>
      </c>
    </row>
    <row r="954" spans="1:5" x14ac:dyDescent="0.25">
      <c r="A954" s="7">
        <v>1</v>
      </c>
      <c r="B954" s="7">
        <v>1337</v>
      </c>
      <c r="C954" s="7">
        <v>139</v>
      </c>
      <c r="D954" s="8">
        <v>243914.98</v>
      </c>
      <c r="E954" s="9">
        <v>1</v>
      </c>
    </row>
    <row r="955" spans="1:5" x14ac:dyDescent="0.25">
      <c r="A955" s="7">
        <v>1</v>
      </c>
      <c r="B955" s="7">
        <v>1338</v>
      </c>
      <c r="C955" s="7">
        <v>152</v>
      </c>
      <c r="D955" s="8">
        <v>12362.83</v>
      </c>
      <c r="E955" s="9">
        <v>1</v>
      </c>
    </row>
    <row r="956" spans="1:5" x14ac:dyDescent="0.25">
      <c r="A956" s="7">
        <v>1</v>
      </c>
      <c r="B956" s="7">
        <v>1339</v>
      </c>
      <c r="C956" s="7">
        <v>152</v>
      </c>
      <c r="D956" s="8">
        <v>42041.74</v>
      </c>
      <c r="E956" s="9">
        <v>1</v>
      </c>
    </row>
    <row r="957" spans="1:5" x14ac:dyDescent="0.25">
      <c r="A957" s="7">
        <v>1</v>
      </c>
      <c r="B957" s="7">
        <v>1340</v>
      </c>
      <c r="C957" s="7">
        <v>152</v>
      </c>
      <c r="D957" s="8">
        <v>95605.49</v>
      </c>
      <c r="E957" s="9">
        <v>1</v>
      </c>
    </row>
    <row r="958" spans="1:5" x14ac:dyDescent="0.25">
      <c r="A958" s="7">
        <v>1</v>
      </c>
      <c r="B958" s="7">
        <v>1341</v>
      </c>
      <c r="C958" s="7">
        <v>152</v>
      </c>
      <c r="D958" s="8">
        <v>167075.75</v>
      </c>
      <c r="E958" s="9">
        <v>1</v>
      </c>
    </row>
    <row r="959" spans="1:5" x14ac:dyDescent="0.25">
      <c r="A959" s="7">
        <v>1</v>
      </c>
      <c r="B959" s="7">
        <v>1342</v>
      </c>
      <c r="C959" s="7">
        <v>152</v>
      </c>
      <c r="D959" s="8">
        <v>21220.08</v>
      </c>
      <c r="E959" s="9">
        <v>1</v>
      </c>
    </row>
    <row r="960" spans="1:5" x14ac:dyDescent="0.25">
      <c r="A960" s="7">
        <v>1</v>
      </c>
      <c r="B960" s="7">
        <v>1343</v>
      </c>
      <c r="C960" s="7">
        <v>152</v>
      </c>
      <c r="D960" s="8">
        <v>47358.11</v>
      </c>
      <c r="E960" s="9">
        <v>1</v>
      </c>
    </row>
    <row r="961" spans="1:5" x14ac:dyDescent="0.25">
      <c r="A961" s="7">
        <v>1</v>
      </c>
      <c r="B961" s="7">
        <v>1344</v>
      </c>
      <c r="C961" s="7">
        <v>152</v>
      </c>
      <c r="D961" s="8">
        <v>83332.41</v>
      </c>
      <c r="E961" s="9">
        <v>1</v>
      </c>
    </row>
    <row r="962" spans="1:5" x14ac:dyDescent="0.25">
      <c r="A962" s="7">
        <v>1</v>
      </c>
      <c r="B962" s="7">
        <v>1345</v>
      </c>
      <c r="C962" s="7">
        <v>152</v>
      </c>
      <c r="D962" s="8">
        <v>8484.89</v>
      </c>
      <c r="E962" s="9">
        <v>1</v>
      </c>
    </row>
    <row r="963" spans="1:5" x14ac:dyDescent="0.25">
      <c r="A963" s="7">
        <v>1</v>
      </c>
      <c r="B963" s="7">
        <v>1346</v>
      </c>
      <c r="C963" s="7">
        <v>152</v>
      </c>
      <c r="D963" s="8">
        <v>28139.72</v>
      </c>
      <c r="E963" s="9">
        <v>1</v>
      </c>
    </row>
    <row r="964" spans="1:5" x14ac:dyDescent="0.25">
      <c r="A964" s="7">
        <v>1</v>
      </c>
      <c r="B964" s="7">
        <v>1347</v>
      </c>
      <c r="C964" s="7">
        <v>152</v>
      </c>
      <c r="D964" s="8">
        <v>62012.88</v>
      </c>
      <c r="E964" s="9">
        <v>1</v>
      </c>
    </row>
    <row r="965" spans="1:5" x14ac:dyDescent="0.25">
      <c r="A965" s="7">
        <v>1</v>
      </c>
      <c r="B965" s="7">
        <v>1348</v>
      </c>
      <c r="C965" s="7">
        <v>152</v>
      </c>
      <c r="D965" s="8">
        <v>108298.28</v>
      </c>
      <c r="E965" s="9">
        <v>1</v>
      </c>
    </row>
    <row r="966" spans="1:5" x14ac:dyDescent="0.25">
      <c r="A966" s="7">
        <v>1</v>
      </c>
      <c r="B966" s="7">
        <v>1353</v>
      </c>
      <c r="C966" s="7">
        <v>152</v>
      </c>
      <c r="D966" s="8">
        <v>6312.29</v>
      </c>
      <c r="E966" s="9">
        <v>1</v>
      </c>
    </row>
    <row r="967" spans="1:5" x14ac:dyDescent="0.25">
      <c r="A967" s="7">
        <v>1</v>
      </c>
      <c r="B967" s="7">
        <v>1354</v>
      </c>
      <c r="C967" s="7">
        <v>152</v>
      </c>
      <c r="D967" s="8">
        <v>18725.55</v>
      </c>
      <c r="E967" s="9">
        <v>1</v>
      </c>
    </row>
    <row r="968" spans="1:5" x14ac:dyDescent="0.25">
      <c r="A968" s="7">
        <v>1</v>
      </c>
      <c r="B968" s="7">
        <v>1355</v>
      </c>
      <c r="C968" s="7">
        <v>152</v>
      </c>
      <c r="D968" s="8">
        <v>37705.93</v>
      </c>
      <c r="E968" s="9">
        <v>1</v>
      </c>
    </row>
    <row r="969" spans="1:5" x14ac:dyDescent="0.25">
      <c r="A969" s="7">
        <v>1</v>
      </c>
      <c r="B969" s="7">
        <v>1356</v>
      </c>
      <c r="C969" s="7">
        <v>152</v>
      </c>
      <c r="D969" s="8">
        <v>63974.59</v>
      </c>
      <c r="E969" s="9">
        <v>1</v>
      </c>
    </row>
    <row r="970" spans="1:5" x14ac:dyDescent="0.25">
      <c r="A970" s="7">
        <v>1</v>
      </c>
      <c r="B970" s="7">
        <v>1359</v>
      </c>
      <c r="C970" s="7">
        <v>139</v>
      </c>
      <c r="D970" s="8">
        <v>243914.98</v>
      </c>
      <c r="E970" s="9">
        <v>1</v>
      </c>
    </row>
    <row r="971" spans="1:5" x14ac:dyDescent="0.25">
      <c r="A971" s="7">
        <v>1</v>
      </c>
      <c r="B971" s="7">
        <v>1360</v>
      </c>
      <c r="C971" s="7">
        <v>132</v>
      </c>
      <c r="D971" s="8">
        <v>29.89</v>
      </c>
      <c r="E971" s="9">
        <v>3</v>
      </c>
    </row>
    <row r="972" spans="1:5" x14ac:dyDescent="0.25">
      <c r="A972" s="7">
        <v>1</v>
      </c>
      <c r="B972" s="7">
        <v>1361</v>
      </c>
      <c r="C972" s="7">
        <v>139</v>
      </c>
      <c r="D972" s="8">
        <v>15657.24</v>
      </c>
      <c r="E972" s="9">
        <v>1</v>
      </c>
    </row>
    <row r="973" spans="1:5" x14ac:dyDescent="0.25">
      <c r="A973" s="7">
        <v>1</v>
      </c>
      <c r="B973" s="7">
        <v>1362</v>
      </c>
      <c r="C973" s="7">
        <v>139</v>
      </c>
      <c r="D973" s="8">
        <v>58754.49</v>
      </c>
      <c r="E973" s="9">
        <v>1</v>
      </c>
    </row>
    <row r="974" spans="1:5" x14ac:dyDescent="0.25">
      <c r="A974" s="7">
        <v>1</v>
      </c>
      <c r="B974" s="7">
        <v>1363</v>
      </c>
      <c r="C974" s="7">
        <v>139</v>
      </c>
      <c r="D974" s="8">
        <v>243914.98</v>
      </c>
      <c r="E974" s="9">
        <v>1</v>
      </c>
    </row>
    <row r="975" spans="1:5" x14ac:dyDescent="0.25">
      <c r="A975" s="7">
        <v>1</v>
      </c>
      <c r="B975" s="7">
        <v>1364</v>
      </c>
      <c r="C975" s="7">
        <v>139</v>
      </c>
      <c r="D975" s="8">
        <v>15657.24</v>
      </c>
      <c r="E975" s="9">
        <v>1</v>
      </c>
    </row>
    <row r="976" spans="1:5" x14ac:dyDescent="0.25">
      <c r="A976" s="7">
        <v>1</v>
      </c>
      <c r="B976" s="7">
        <v>1365</v>
      </c>
      <c r="C976" s="7">
        <v>139</v>
      </c>
      <c r="D976" s="8">
        <v>58754.49</v>
      </c>
      <c r="E976" s="9">
        <v>1</v>
      </c>
    </row>
    <row r="977" spans="1:5" x14ac:dyDescent="0.25">
      <c r="A977" s="7">
        <v>1</v>
      </c>
      <c r="B977" s="7">
        <v>1366</v>
      </c>
      <c r="C977" s="7">
        <v>139</v>
      </c>
      <c r="D977" s="8">
        <v>243914.98</v>
      </c>
      <c r="E977" s="9">
        <v>1</v>
      </c>
    </row>
    <row r="978" spans="1:5" x14ac:dyDescent="0.25">
      <c r="A978" s="7">
        <v>1</v>
      </c>
      <c r="B978" s="7">
        <v>1367</v>
      </c>
      <c r="C978" s="7">
        <v>139</v>
      </c>
      <c r="D978" s="8">
        <v>15657.24</v>
      </c>
      <c r="E978" s="9">
        <v>1</v>
      </c>
    </row>
    <row r="979" spans="1:5" x14ac:dyDescent="0.25">
      <c r="A979" s="7">
        <v>1</v>
      </c>
      <c r="B979" s="7">
        <v>1373</v>
      </c>
      <c r="C979" s="7">
        <v>119</v>
      </c>
      <c r="D979" s="8">
        <v>4564.94</v>
      </c>
      <c r="E979" s="9">
        <v>1</v>
      </c>
    </row>
    <row r="980" spans="1:5" x14ac:dyDescent="0.25">
      <c r="A980" s="7">
        <v>1</v>
      </c>
      <c r="B980" s="7">
        <v>1374</v>
      </c>
      <c r="C980" s="7">
        <v>119</v>
      </c>
      <c r="D980" s="8">
        <v>4564.94</v>
      </c>
      <c r="E980" s="9">
        <v>1</v>
      </c>
    </row>
    <row r="981" spans="1:5" x14ac:dyDescent="0.25">
      <c r="A981" s="7">
        <v>1</v>
      </c>
      <c r="B981" s="7">
        <v>1375</v>
      </c>
      <c r="C981" s="7">
        <v>119</v>
      </c>
      <c r="D981" s="8">
        <v>4564.94</v>
      </c>
      <c r="E981" s="9">
        <v>1</v>
      </c>
    </row>
    <row r="982" spans="1:5" x14ac:dyDescent="0.25">
      <c r="A982" s="7">
        <v>1</v>
      </c>
      <c r="B982" s="7">
        <v>1376</v>
      </c>
      <c r="C982" s="7">
        <v>119</v>
      </c>
      <c r="D982" s="8">
        <v>4564.94</v>
      </c>
      <c r="E982" s="9">
        <v>1</v>
      </c>
    </row>
    <row r="983" spans="1:5" x14ac:dyDescent="0.25">
      <c r="A983" s="7">
        <v>1</v>
      </c>
      <c r="B983" s="7">
        <v>1377</v>
      </c>
      <c r="C983" s="7">
        <v>119</v>
      </c>
      <c r="D983" s="8">
        <v>4564.94</v>
      </c>
      <c r="E983" s="9">
        <v>1</v>
      </c>
    </row>
    <row r="984" spans="1:5" x14ac:dyDescent="0.25">
      <c r="A984" s="7">
        <v>1</v>
      </c>
      <c r="B984" s="7">
        <v>1379</v>
      </c>
      <c r="C984" s="7">
        <v>139</v>
      </c>
      <c r="D984" s="8">
        <v>58754.49</v>
      </c>
      <c r="E984" s="9">
        <v>1</v>
      </c>
    </row>
    <row r="985" spans="1:5" x14ac:dyDescent="0.25">
      <c r="A985" s="7">
        <v>1</v>
      </c>
      <c r="B985" s="7">
        <v>1380</v>
      </c>
      <c r="C985" s="7">
        <v>167</v>
      </c>
      <c r="D985" s="8">
        <v>9617.82</v>
      </c>
      <c r="E985" s="9">
        <v>1</v>
      </c>
    </row>
    <row r="986" spans="1:5" x14ac:dyDescent="0.25">
      <c r="A986" s="7">
        <v>1</v>
      </c>
      <c r="B986" s="7">
        <v>1382</v>
      </c>
      <c r="C986" s="7">
        <v>152</v>
      </c>
      <c r="D986" s="8">
        <v>11301.31</v>
      </c>
      <c r="E986" s="9">
        <v>1</v>
      </c>
    </row>
    <row r="987" spans="1:5" x14ac:dyDescent="0.25">
      <c r="A987" s="7">
        <v>1</v>
      </c>
      <c r="B987" s="7">
        <v>1383</v>
      </c>
      <c r="C987" s="7">
        <v>152</v>
      </c>
      <c r="D987" s="8">
        <v>17219.52</v>
      </c>
      <c r="E987" s="9">
        <v>1</v>
      </c>
    </row>
    <row r="988" spans="1:5" x14ac:dyDescent="0.25">
      <c r="A988" s="7">
        <v>1</v>
      </c>
      <c r="B988" s="7">
        <v>1384</v>
      </c>
      <c r="C988" s="7">
        <v>152</v>
      </c>
      <c r="D988" s="8">
        <v>61847.79</v>
      </c>
      <c r="E988" s="9">
        <v>1</v>
      </c>
    </row>
    <row r="989" spans="1:5" x14ac:dyDescent="0.25">
      <c r="A989" s="7">
        <v>1</v>
      </c>
      <c r="B989" s="7">
        <v>1385</v>
      </c>
      <c r="C989" s="7">
        <v>152</v>
      </c>
      <c r="D989" s="8">
        <v>9680.07</v>
      </c>
      <c r="E989" s="9">
        <v>1</v>
      </c>
    </row>
    <row r="990" spans="1:5" x14ac:dyDescent="0.25">
      <c r="A990" s="7">
        <v>1</v>
      </c>
      <c r="B990" s="7">
        <v>1386</v>
      </c>
      <c r="C990" s="7">
        <v>152</v>
      </c>
      <c r="D990" s="8">
        <v>250385.1</v>
      </c>
      <c r="E990" s="9">
        <v>1</v>
      </c>
    </row>
    <row r="991" spans="1:5" x14ac:dyDescent="0.25">
      <c r="A991" s="7">
        <v>1</v>
      </c>
      <c r="B991" s="7">
        <v>1387</v>
      </c>
      <c r="C991" s="7">
        <v>132</v>
      </c>
      <c r="D991" s="8">
        <v>20.52</v>
      </c>
      <c r="E991" s="9">
        <v>3</v>
      </c>
    </row>
    <row r="992" spans="1:5" x14ac:dyDescent="0.25">
      <c r="A992" s="7">
        <v>1</v>
      </c>
      <c r="B992" s="7">
        <v>1389</v>
      </c>
      <c r="C992" s="7">
        <v>152</v>
      </c>
      <c r="D992" s="8">
        <v>14393.88</v>
      </c>
      <c r="E992" s="9">
        <v>1</v>
      </c>
    </row>
    <row r="993" spans="1:5" x14ac:dyDescent="0.25">
      <c r="A993" s="7">
        <v>1</v>
      </c>
      <c r="B993" s="7">
        <v>1391</v>
      </c>
      <c r="C993" s="7">
        <v>139</v>
      </c>
      <c r="D993" s="8">
        <v>243914.98</v>
      </c>
      <c r="E993" s="9">
        <v>1</v>
      </c>
    </row>
    <row r="994" spans="1:5" x14ac:dyDescent="0.25">
      <c r="A994" s="7">
        <v>1</v>
      </c>
      <c r="B994" s="7">
        <v>1392</v>
      </c>
      <c r="C994" s="7">
        <v>152</v>
      </c>
      <c r="D994" s="8">
        <v>209799.24</v>
      </c>
      <c r="E994" s="9">
        <v>1</v>
      </c>
    </row>
    <row r="995" spans="1:5" x14ac:dyDescent="0.25">
      <c r="A995" s="7">
        <v>1</v>
      </c>
      <c r="B995" s="7">
        <v>1396</v>
      </c>
      <c r="C995" s="7">
        <v>152</v>
      </c>
      <c r="D995" s="8">
        <v>51565.63</v>
      </c>
      <c r="E995" s="9">
        <v>1</v>
      </c>
    </row>
    <row r="996" spans="1:5" x14ac:dyDescent="0.25">
      <c r="A996" s="7">
        <v>1</v>
      </c>
      <c r="B996" s="7">
        <v>1397</v>
      </c>
      <c r="C996" s="7">
        <v>139</v>
      </c>
      <c r="D996" s="8">
        <v>214365.29</v>
      </c>
      <c r="E996" s="9">
        <v>1</v>
      </c>
    </row>
    <row r="997" spans="1:5" x14ac:dyDescent="0.25">
      <c r="A997" s="7">
        <v>1</v>
      </c>
      <c r="B997" s="7">
        <v>1399</v>
      </c>
      <c r="C997" s="7">
        <v>145</v>
      </c>
      <c r="D997" s="8">
        <v>31123.52</v>
      </c>
      <c r="E997" s="9">
        <v>1</v>
      </c>
    </row>
    <row r="998" spans="1:5" x14ac:dyDescent="0.25">
      <c r="A998" s="7">
        <v>1</v>
      </c>
      <c r="B998" s="7">
        <v>1400</v>
      </c>
      <c r="C998" s="7">
        <v>138</v>
      </c>
      <c r="D998" s="8">
        <v>32834.22</v>
      </c>
      <c r="E998" s="9">
        <v>1</v>
      </c>
    </row>
    <row r="999" spans="1:5" x14ac:dyDescent="0.25">
      <c r="A999" s="7">
        <v>1</v>
      </c>
      <c r="B999" s="7">
        <v>1401</v>
      </c>
      <c r="C999" s="7">
        <v>138</v>
      </c>
      <c r="D999" s="8">
        <v>53074.12</v>
      </c>
      <c r="E999" s="9">
        <v>1</v>
      </c>
    </row>
    <row r="1000" spans="1:5" x14ac:dyDescent="0.25">
      <c r="A1000" s="7">
        <v>1</v>
      </c>
      <c r="B1000" s="7">
        <v>1402</v>
      </c>
      <c r="C1000" s="7">
        <v>138</v>
      </c>
      <c r="D1000" s="8">
        <v>186653.46</v>
      </c>
      <c r="E1000" s="9">
        <v>1</v>
      </c>
    </row>
    <row r="1001" spans="1:5" x14ac:dyDescent="0.25">
      <c r="A1001" s="7">
        <v>1</v>
      </c>
      <c r="B1001" s="7">
        <v>1409</v>
      </c>
      <c r="C1001" s="7">
        <v>138</v>
      </c>
      <c r="D1001" s="8">
        <v>32834.22</v>
      </c>
      <c r="E1001" s="9">
        <v>1</v>
      </c>
    </row>
    <row r="1002" spans="1:5" x14ac:dyDescent="0.25">
      <c r="A1002" s="7">
        <v>1</v>
      </c>
      <c r="B1002" s="7">
        <v>1410</v>
      </c>
      <c r="C1002" s="7">
        <v>138</v>
      </c>
      <c r="D1002" s="8">
        <v>53074.12</v>
      </c>
      <c r="E1002" s="9">
        <v>1</v>
      </c>
    </row>
    <row r="1003" spans="1:5" x14ac:dyDescent="0.25">
      <c r="A1003" s="7">
        <v>1</v>
      </c>
      <c r="B1003" s="7">
        <v>1411</v>
      </c>
      <c r="C1003" s="7">
        <v>138</v>
      </c>
      <c r="D1003" s="8">
        <v>186653.46</v>
      </c>
      <c r="E1003" s="9">
        <v>1</v>
      </c>
    </row>
    <row r="1004" spans="1:5" x14ac:dyDescent="0.25">
      <c r="A1004" s="7">
        <v>1</v>
      </c>
      <c r="B1004" s="7">
        <v>1412</v>
      </c>
      <c r="C1004" s="7">
        <v>138</v>
      </c>
      <c r="D1004" s="8">
        <v>32834.22</v>
      </c>
      <c r="E1004" s="9">
        <v>1</v>
      </c>
    </row>
    <row r="1005" spans="1:5" x14ac:dyDescent="0.25">
      <c r="A1005" s="7">
        <v>1</v>
      </c>
      <c r="B1005" s="7">
        <v>1413</v>
      </c>
      <c r="C1005" s="7">
        <v>138</v>
      </c>
      <c r="D1005" s="8">
        <v>53074.12</v>
      </c>
      <c r="E1005" s="9">
        <v>1</v>
      </c>
    </row>
    <row r="1006" spans="1:5" x14ac:dyDescent="0.25">
      <c r="A1006" s="7">
        <v>1</v>
      </c>
      <c r="B1006" s="7">
        <v>1414</v>
      </c>
      <c r="C1006" s="7">
        <v>138</v>
      </c>
      <c r="D1006" s="8">
        <v>186653.46</v>
      </c>
      <c r="E1006" s="9">
        <v>1</v>
      </c>
    </row>
    <row r="1007" spans="1:5" x14ac:dyDescent="0.25">
      <c r="A1007" s="7">
        <v>1</v>
      </c>
      <c r="B1007" s="7">
        <v>1421</v>
      </c>
      <c r="C1007" s="7">
        <v>132</v>
      </c>
      <c r="D1007" s="8">
        <v>7.91</v>
      </c>
      <c r="E1007" s="9">
        <v>3</v>
      </c>
    </row>
    <row r="1008" spans="1:5" x14ac:dyDescent="0.25">
      <c r="A1008" s="7">
        <v>1</v>
      </c>
      <c r="B1008" s="7">
        <v>1422</v>
      </c>
      <c r="C1008" s="7">
        <v>132</v>
      </c>
      <c r="D1008" s="8">
        <v>22.56</v>
      </c>
      <c r="E1008" s="9">
        <v>3</v>
      </c>
    </row>
    <row r="1009" spans="1:5" x14ac:dyDescent="0.25">
      <c r="A1009" s="7">
        <v>1</v>
      </c>
      <c r="B1009" s="7">
        <v>1423</v>
      </c>
      <c r="C1009" s="7">
        <v>132</v>
      </c>
      <c r="D1009" s="8">
        <v>35.93</v>
      </c>
      <c r="E1009" s="9">
        <v>3</v>
      </c>
    </row>
    <row r="1010" spans="1:5" x14ac:dyDescent="0.25">
      <c r="A1010" s="7">
        <v>1</v>
      </c>
      <c r="B1010" s="7">
        <v>1424</v>
      </c>
      <c r="C1010" s="7">
        <v>132</v>
      </c>
      <c r="D1010" s="8">
        <v>19.61</v>
      </c>
      <c r="E1010" s="9">
        <v>3</v>
      </c>
    </row>
    <row r="1011" spans="1:5" x14ac:dyDescent="0.25">
      <c r="A1011" s="7">
        <v>1</v>
      </c>
      <c r="B1011" s="7">
        <v>1427</v>
      </c>
      <c r="C1011" s="7">
        <v>902</v>
      </c>
      <c r="D1011" s="8">
        <v>5306.08</v>
      </c>
      <c r="E1011" s="9">
        <v>1</v>
      </c>
    </row>
    <row r="1012" spans="1:5" x14ac:dyDescent="0.25">
      <c r="A1012" s="7">
        <v>1</v>
      </c>
      <c r="B1012" s="7">
        <v>1429</v>
      </c>
      <c r="C1012" s="7">
        <v>139</v>
      </c>
      <c r="D1012" s="8">
        <v>9313.75</v>
      </c>
      <c r="E1012" s="9">
        <v>1</v>
      </c>
    </row>
    <row r="1013" spans="1:5" x14ac:dyDescent="0.25">
      <c r="A1013" s="7">
        <v>1</v>
      </c>
      <c r="B1013" s="7">
        <v>1432</v>
      </c>
      <c r="C1013" s="7">
        <v>162</v>
      </c>
      <c r="D1013" s="8">
        <v>924.63</v>
      </c>
      <c r="E1013" s="9">
        <v>3</v>
      </c>
    </row>
    <row r="1014" spans="1:5" x14ac:dyDescent="0.25">
      <c r="A1014" s="7">
        <v>1</v>
      </c>
      <c r="B1014" s="7">
        <v>1433</v>
      </c>
      <c r="C1014" s="7">
        <v>134</v>
      </c>
      <c r="D1014" s="8">
        <v>17.41</v>
      </c>
      <c r="E1014" s="9">
        <v>3</v>
      </c>
    </row>
    <row r="1015" spans="1:5" x14ac:dyDescent="0.25">
      <c r="A1015" s="7">
        <v>1</v>
      </c>
      <c r="B1015" s="7">
        <v>1434</v>
      </c>
      <c r="C1015" s="7">
        <v>134</v>
      </c>
      <c r="D1015" s="8">
        <v>63.97</v>
      </c>
      <c r="E1015" s="9">
        <v>3</v>
      </c>
    </row>
    <row r="1016" spans="1:5" x14ac:dyDescent="0.25">
      <c r="A1016" s="7">
        <v>1</v>
      </c>
      <c r="B1016" s="7">
        <v>1435</v>
      </c>
      <c r="C1016" s="7">
        <v>134</v>
      </c>
      <c r="D1016" s="8">
        <v>239.46</v>
      </c>
      <c r="E1016" s="9">
        <v>3</v>
      </c>
    </row>
    <row r="1017" spans="1:5" x14ac:dyDescent="0.25">
      <c r="A1017" s="7">
        <v>1</v>
      </c>
      <c r="B1017" s="7">
        <v>1436</v>
      </c>
      <c r="C1017" s="7">
        <v>139</v>
      </c>
      <c r="D1017" s="8">
        <v>14413.63</v>
      </c>
      <c r="E1017" s="9">
        <v>1</v>
      </c>
    </row>
    <row r="1018" spans="1:5" x14ac:dyDescent="0.25">
      <c r="A1018" s="7">
        <v>1</v>
      </c>
      <c r="B1018" s="7">
        <v>1439</v>
      </c>
      <c r="C1018" s="7">
        <v>146</v>
      </c>
      <c r="D1018" s="8">
        <v>23772.57</v>
      </c>
      <c r="E1018" s="9">
        <v>1</v>
      </c>
    </row>
    <row r="1019" spans="1:5" x14ac:dyDescent="0.25">
      <c r="A1019" s="7">
        <v>1</v>
      </c>
      <c r="B1019" s="7">
        <v>1440</v>
      </c>
      <c r="C1019" s="7">
        <v>139</v>
      </c>
      <c r="D1019" s="8">
        <v>53524.38</v>
      </c>
      <c r="E1019" s="9">
        <v>1</v>
      </c>
    </row>
    <row r="1020" spans="1:5" x14ac:dyDescent="0.25">
      <c r="A1020" s="7">
        <v>1</v>
      </c>
      <c r="B1020" s="7">
        <v>1441</v>
      </c>
      <c r="C1020" s="7">
        <v>139</v>
      </c>
      <c r="D1020" s="8">
        <v>214365.29</v>
      </c>
      <c r="E1020" s="9">
        <v>1</v>
      </c>
    </row>
    <row r="1021" spans="1:5" x14ac:dyDescent="0.25">
      <c r="A1021" s="7">
        <v>1</v>
      </c>
      <c r="B1021" s="7">
        <v>1443</v>
      </c>
      <c r="C1021" s="7">
        <v>902</v>
      </c>
      <c r="D1021" s="8">
        <v>5306.08</v>
      </c>
      <c r="E1021" s="9">
        <v>1</v>
      </c>
    </row>
    <row r="1022" spans="1:5" x14ac:dyDescent="0.25">
      <c r="A1022" s="7">
        <v>1</v>
      </c>
      <c r="B1022" s="7">
        <v>1445</v>
      </c>
      <c r="C1022" s="7">
        <v>139</v>
      </c>
      <c r="D1022" s="8">
        <v>9313.75</v>
      </c>
      <c r="E1022" s="9">
        <v>1</v>
      </c>
    </row>
    <row r="1023" spans="1:5" x14ac:dyDescent="0.25">
      <c r="A1023" s="7">
        <v>1</v>
      </c>
      <c r="B1023" s="7">
        <v>1446</v>
      </c>
      <c r="C1023" s="7">
        <v>139</v>
      </c>
      <c r="D1023" s="8">
        <v>14413.63</v>
      </c>
      <c r="E1023" s="9">
        <v>1</v>
      </c>
    </row>
    <row r="1024" spans="1:5" x14ac:dyDescent="0.25">
      <c r="A1024" s="7">
        <v>1</v>
      </c>
      <c r="B1024" s="7">
        <v>1452</v>
      </c>
      <c r="C1024" s="7">
        <v>902</v>
      </c>
      <c r="D1024" s="8">
        <v>148.72</v>
      </c>
      <c r="E1024" s="9">
        <v>3</v>
      </c>
    </row>
    <row r="1025" spans="1:5" x14ac:dyDescent="0.25">
      <c r="A1025" s="7">
        <v>1</v>
      </c>
      <c r="B1025" s="7">
        <v>1453</v>
      </c>
      <c r="C1025" s="7">
        <v>131</v>
      </c>
      <c r="D1025" s="8">
        <v>135.96</v>
      </c>
      <c r="E1025" s="9">
        <v>3</v>
      </c>
    </row>
    <row r="1026" spans="1:5" x14ac:dyDescent="0.25">
      <c r="A1026" s="7">
        <v>1</v>
      </c>
      <c r="B1026" s="7">
        <v>1454</v>
      </c>
      <c r="C1026" s="7">
        <v>131</v>
      </c>
      <c r="D1026" s="8">
        <v>142.13</v>
      </c>
      <c r="E1026" s="9">
        <v>3</v>
      </c>
    </row>
    <row r="1027" spans="1:5" x14ac:dyDescent="0.25">
      <c r="A1027" s="7">
        <v>1</v>
      </c>
      <c r="B1027" s="7">
        <v>1455</v>
      </c>
      <c r="C1027" s="7">
        <v>131</v>
      </c>
      <c r="D1027" s="8">
        <v>132.19</v>
      </c>
      <c r="E1027" s="9">
        <v>3</v>
      </c>
    </row>
    <row r="1028" spans="1:5" x14ac:dyDescent="0.25">
      <c r="A1028" s="7">
        <v>1</v>
      </c>
      <c r="B1028" s="7">
        <v>1456</v>
      </c>
      <c r="C1028" s="7">
        <v>131</v>
      </c>
      <c r="D1028" s="8">
        <v>142.13</v>
      </c>
      <c r="E1028" s="9">
        <v>3</v>
      </c>
    </row>
    <row r="1029" spans="1:5" x14ac:dyDescent="0.25">
      <c r="A1029" s="7">
        <v>1</v>
      </c>
      <c r="B1029" s="7">
        <v>1457</v>
      </c>
      <c r="C1029" s="7">
        <v>131</v>
      </c>
      <c r="D1029" s="8">
        <v>142.13</v>
      </c>
      <c r="E1029" s="9">
        <v>3</v>
      </c>
    </row>
    <row r="1030" spans="1:5" x14ac:dyDescent="0.25">
      <c r="A1030" s="7">
        <v>1</v>
      </c>
      <c r="B1030" s="7">
        <v>1458</v>
      </c>
      <c r="C1030" s="7">
        <v>131</v>
      </c>
      <c r="D1030" s="8">
        <v>142.13</v>
      </c>
      <c r="E1030" s="9">
        <v>3</v>
      </c>
    </row>
    <row r="1031" spans="1:5" x14ac:dyDescent="0.25">
      <c r="A1031" s="7">
        <v>1</v>
      </c>
      <c r="B1031" s="7">
        <v>1459</v>
      </c>
      <c r="C1031" s="7">
        <v>131</v>
      </c>
      <c r="D1031" s="8">
        <v>132.19</v>
      </c>
      <c r="E1031" s="9">
        <v>3</v>
      </c>
    </row>
    <row r="1032" spans="1:5" x14ac:dyDescent="0.25">
      <c r="A1032" s="7">
        <v>1</v>
      </c>
      <c r="B1032" s="7">
        <v>1460</v>
      </c>
      <c r="C1032" s="7">
        <v>131</v>
      </c>
      <c r="D1032" s="8">
        <v>132.19</v>
      </c>
      <c r="E1032" s="9">
        <v>3</v>
      </c>
    </row>
    <row r="1033" spans="1:5" x14ac:dyDescent="0.25">
      <c r="A1033" s="7">
        <v>1</v>
      </c>
      <c r="B1033" s="7">
        <v>1461</v>
      </c>
      <c r="C1033" s="7">
        <v>131</v>
      </c>
      <c r="D1033" s="8">
        <v>132.19</v>
      </c>
      <c r="E1033" s="9">
        <v>3</v>
      </c>
    </row>
    <row r="1034" spans="1:5" x14ac:dyDescent="0.25">
      <c r="A1034" s="7">
        <v>1</v>
      </c>
      <c r="B1034" s="7">
        <v>1462</v>
      </c>
      <c r="C1034" s="7">
        <v>131</v>
      </c>
      <c r="D1034" s="8">
        <v>142.13</v>
      </c>
      <c r="E1034" s="9">
        <v>3</v>
      </c>
    </row>
    <row r="1035" spans="1:5" x14ac:dyDescent="0.25">
      <c r="A1035" s="7">
        <v>1</v>
      </c>
      <c r="B1035" s="7">
        <v>1463</v>
      </c>
      <c r="C1035" s="7">
        <v>131</v>
      </c>
      <c r="D1035" s="8">
        <v>142.13</v>
      </c>
      <c r="E1035" s="9">
        <v>3</v>
      </c>
    </row>
    <row r="1036" spans="1:5" x14ac:dyDescent="0.25">
      <c r="A1036" s="7">
        <v>1</v>
      </c>
      <c r="B1036" s="7">
        <v>1464</v>
      </c>
      <c r="C1036" s="7">
        <v>131</v>
      </c>
      <c r="D1036" s="8">
        <v>142.13</v>
      </c>
      <c r="E1036" s="9">
        <v>3</v>
      </c>
    </row>
    <row r="1037" spans="1:5" x14ac:dyDescent="0.25">
      <c r="A1037" s="7">
        <v>1</v>
      </c>
      <c r="B1037" s="7">
        <v>1465</v>
      </c>
      <c r="C1037" s="7">
        <v>131</v>
      </c>
      <c r="D1037" s="8">
        <v>142.13</v>
      </c>
      <c r="E1037" s="9">
        <v>3</v>
      </c>
    </row>
    <row r="1038" spans="1:5" x14ac:dyDescent="0.25">
      <c r="A1038" s="7">
        <v>1</v>
      </c>
      <c r="B1038" s="7">
        <v>1466</v>
      </c>
      <c r="C1038" s="7">
        <v>146</v>
      </c>
      <c r="D1038" s="8">
        <v>23490.68</v>
      </c>
      <c r="E1038" s="9">
        <v>1</v>
      </c>
    </row>
    <row r="1039" spans="1:5" x14ac:dyDescent="0.25">
      <c r="A1039" s="7">
        <v>1</v>
      </c>
      <c r="B1039" s="7">
        <v>1467</v>
      </c>
      <c r="C1039" s="7">
        <v>146</v>
      </c>
      <c r="D1039" s="8">
        <v>23490.68</v>
      </c>
      <c r="E1039" s="9">
        <v>1</v>
      </c>
    </row>
    <row r="1040" spans="1:5" x14ac:dyDescent="0.25">
      <c r="A1040" s="7">
        <v>1</v>
      </c>
      <c r="B1040" s="7">
        <v>1468</v>
      </c>
      <c r="C1040" s="7">
        <v>146</v>
      </c>
      <c r="D1040" s="8">
        <v>23490.68</v>
      </c>
      <c r="E1040" s="9">
        <v>1</v>
      </c>
    </row>
    <row r="1041" spans="1:5" x14ac:dyDescent="0.25">
      <c r="A1041" s="7">
        <v>1</v>
      </c>
      <c r="B1041" s="7">
        <v>1469</v>
      </c>
      <c r="C1041" s="7">
        <v>146</v>
      </c>
      <c r="D1041" s="8">
        <v>23490.68</v>
      </c>
      <c r="E1041" s="9">
        <v>1</v>
      </c>
    </row>
    <row r="1042" spans="1:5" x14ac:dyDescent="0.25">
      <c r="A1042" s="7">
        <v>1</v>
      </c>
      <c r="B1042" s="7">
        <v>1470</v>
      </c>
      <c r="C1042" s="7">
        <v>146</v>
      </c>
      <c r="D1042" s="8">
        <v>23490.68</v>
      </c>
      <c r="E1042" s="9">
        <v>1</v>
      </c>
    </row>
    <row r="1043" spans="1:5" x14ac:dyDescent="0.25">
      <c r="A1043" s="7">
        <v>1</v>
      </c>
      <c r="B1043" s="7">
        <v>1471</v>
      </c>
      <c r="C1043" s="7">
        <v>146</v>
      </c>
      <c r="D1043" s="8">
        <v>23490.68</v>
      </c>
      <c r="E1043" s="9">
        <v>1</v>
      </c>
    </row>
    <row r="1044" spans="1:5" x14ac:dyDescent="0.25">
      <c r="A1044" s="7">
        <v>1</v>
      </c>
      <c r="B1044" s="7">
        <v>1472</v>
      </c>
      <c r="C1044" s="7">
        <v>146</v>
      </c>
      <c r="D1044" s="8">
        <v>23490.68</v>
      </c>
      <c r="E1044" s="9">
        <v>1</v>
      </c>
    </row>
    <row r="1045" spans="1:5" x14ac:dyDescent="0.25">
      <c r="A1045" s="7">
        <v>1</v>
      </c>
      <c r="B1045" s="7">
        <v>1473</v>
      </c>
      <c r="C1045" s="7">
        <v>146</v>
      </c>
      <c r="D1045" s="8">
        <v>23490.68</v>
      </c>
      <c r="E1045" s="9">
        <v>1</v>
      </c>
    </row>
    <row r="1046" spans="1:5" x14ac:dyDescent="0.25">
      <c r="A1046" s="7">
        <v>1</v>
      </c>
      <c r="B1046" s="7">
        <v>1474</v>
      </c>
      <c r="C1046" s="7">
        <v>146</v>
      </c>
      <c r="D1046" s="8">
        <v>23490.68</v>
      </c>
      <c r="E1046" s="9">
        <v>1</v>
      </c>
    </row>
    <row r="1047" spans="1:5" x14ac:dyDescent="0.25">
      <c r="A1047" s="7">
        <v>1</v>
      </c>
      <c r="B1047" s="7">
        <v>1475</v>
      </c>
      <c r="C1047" s="7">
        <v>146</v>
      </c>
      <c r="D1047" s="8">
        <v>23490.68</v>
      </c>
      <c r="E1047" s="9">
        <v>1</v>
      </c>
    </row>
    <row r="1048" spans="1:5" x14ac:dyDescent="0.25">
      <c r="A1048" s="7">
        <v>1</v>
      </c>
      <c r="B1048" s="7">
        <v>1476</v>
      </c>
      <c r="C1048" s="7">
        <v>146</v>
      </c>
      <c r="D1048" s="8">
        <v>23490.68</v>
      </c>
      <c r="E1048" s="9">
        <v>1</v>
      </c>
    </row>
    <row r="1049" spans="1:5" x14ac:dyDescent="0.25">
      <c r="A1049" s="7">
        <v>1</v>
      </c>
      <c r="B1049" s="7">
        <v>1477</v>
      </c>
      <c r="C1049" s="7">
        <v>146</v>
      </c>
      <c r="D1049" s="8">
        <v>23490.68</v>
      </c>
      <c r="E1049" s="9">
        <v>1</v>
      </c>
    </row>
    <row r="1050" spans="1:5" x14ac:dyDescent="0.25">
      <c r="A1050" s="7">
        <v>1</v>
      </c>
      <c r="B1050" s="7">
        <v>1478</v>
      </c>
      <c r="C1050" s="7">
        <v>146</v>
      </c>
      <c r="D1050" s="8">
        <v>23490.68</v>
      </c>
      <c r="E1050" s="9">
        <v>1</v>
      </c>
    </row>
    <row r="1051" spans="1:5" x14ac:dyDescent="0.25">
      <c r="A1051" s="7">
        <v>1</v>
      </c>
      <c r="B1051" s="7">
        <v>1479</v>
      </c>
      <c r="C1051" s="7">
        <v>146</v>
      </c>
      <c r="D1051" s="8">
        <v>23490.68</v>
      </c>
      <c r="E1051" s="9">
        <v>1</v>
      </c>
    </row>
    <row r="1052" spans="1:5" x14ac:dyDescent="0.25">
      <c r="A1052" s="7">
        <v>1</v>
      </c>
      <c r="B1052" s="7">
        <v>1480</v>
      </c>
      <c r="C1052" s="7">
        <v>146</v>
      </c>
      <c r="D1052" s="8">
        <v>23490.68</v>
      </c>
      <c r="E1052" s="9">
        <v>1</v>
      </c>
    </row>
    <row r="1053" spans="1:5" x14ac:dyDescent="0.25">
      <c r="A1053" s="7">
        <v>1</v>
      </c>
      <c r="B1053" s="7">
        <v>1481</v>
      </c>
      <c r="C1053" s="7">
        <v>146</v>
      </c>
      <c r="D1053" s="8">
        <v>23490.68</v>
      </c>
      <c r="E1053" s="9">
        <v>1</v>
      </c>
    </row>
    <row r="1054" spans="1:5" x14ac:dyDescent="0.25">
      <c r="A1054" s="7">
        <v>1</v>
      </c>
      <c r="B1054" s="7">
        <v>1482</v>
      </c>
      <c r="C1054" s="7">
        <v>146</v>
      </c>
      <c r="D1054" s="8">
        <v>23490.68</v>
      </c>
      <c r="E1054" s="9">
        <v>1</v>
      </c>
    </row>
    <row r="1055" spans="1:5" x14ac:dyDescent="0.25">
      <c r="A1055" s="7">
        <v>1</v>
      </c>
      <c r="B1055" s="7">
        <v>1483</v>
      </c>
      <c r="C1055" s="7">
        <v>146</v>
      </c>
      <c r="D1055" s="8">
        <v>23490.68</v>
      </c>
      <c r="E1055" s="9">
        <v>1</v>
      </c>
    </row>
    <row r="1056" spans="1:5" x14ac:dyDescent="0.25">
      <c r="A1056" s="7">
        <v>1</v>
      </c>
      <c r="B1056" s="7">
        <v>1484</v>
      </c>
      <c r="C1056" s="7">
        <v>146</v>
      </c>
      <c r="D1056" s="8">
        <v>23490.68</v>
      </c>
      <c r="E1056" s="9">
        <v>1</v>
      </c>
    </row>
    <row r="1057" spans="1:5" x14ac:dyDescent="0.25">
      <c r="A1057" s="7">
        <v>1</v>
      </c>
      <c r="B1057" s="7">
        <v>1485</v>
      </c>
      <c r="C1057" s="7">
        <v>144</v>
      </c>
      <c r="D1057" s="8">
        <v>21536.28</v>
      </c>
      <c r="E1057" s="9">
        <v>1</v>
      </c>
    </row>
    <row r="1058" spans="1:5" x14ac:dyDescent="0.25">
      <c r="A1058" s="7">
        <v>1</v>
      </c>
      <c r="B1058" s="7">
        <v>1486</v>
      </c>
      <c r="C1058" s="7">
        <v>149</v>
      </c>
      <c r="D1058" s="8">
        <v>88173.29</v>
      </c>
      <c r="E1058" s="9">
        <v>1</v>
      </c>
    </row>
    <row r="1059" spans="1:5" x14ac:dyDescent="0.25">
      <c r="A1059" s="7">
        <v>1</v>
      </c>
      <c r="B1059" s="7">
        <v>1487</v>
      </c>
      <c r="C1059" s="7">
        <v>149</v>
      </c>
      <c r="D1059" s="8">
        <v>109356.84</v>
      </c>
      <c r="E1059" s="9">
        <v>1</v>
      </c>
    </row>
    <row r="1060" spans="1:5" x14ac:dyDescent="0.25">
      <c r="A1060" s="7">
        <v>1</v>
      </c>
      <c r="B1060" s="7">
        <v>1493</v>
      </c>
      <c r="C1060" s="7">
        <v>149</v>
      </c>
      <c r="D1060" s="8">
        <v>630126.54</v>
      </c>
      <c r="E1060" s="9">
        <v>1</v>
      </c>
    </row>
    <row r="1061" spans="1:5" x14ac:dyDescent="0.25">
      <c r="A1061" s="7">
        <v>1</v>
      </c>
      <c r="B1061" s="7">
        <v>1494</v>
      </c>
      <c r="C1061" s="7">
        <v>149</v>
      </c>
      <c r="D1061" s="8">
        <v>688385.74</v>
      </c>
      <c r="E1061" s="9">
        <v>1</v>
      </c>
    </row>
    <row r="1062" spans="1:5" x14ac:dyDescent="0.25">
      <c r="A1062" s="7">
        <v>1</v>
      </c>
      <c r="B1062" s="7">
        <v>1495</v>
      </c>
      <c r="C1062" s="7">
        <v>149</v>
      </c>
      <c r="D1062" s="8">
        <v>745852.32</v>
      </c>
      <c r="E1062" s="9">
        <v>1</v>
      </c>
    </row>
    <row r="1063" spans="1:5" x14ac:dyDescent="0.25">
      <c r="A1063" s="7">
        <v>1</v>
      </c>
      <c r="B1063" s="7">
        <v>1496</v>
      </c>
      <c r="C1063" s="7">
        <v>149</v>
      </c>
      <c r="D1063" s="8">
        <v>847278.61</v>
      </c>
      <c r="E1063" s="9">
        <v>1</v>
      </c>
    </row>
    <row r="1064" spans="1:5" x14ac:dyDescent="0.25">
      <c r="A1064" s="7">
        <v>1</v>
      </c>
      <c r="B1064" s="7">
        <v>1497</v>
      </c>
      <c r="C1064" s="7">
        <v>149</v>
      </c>
      <c r="D1064" s="8">
        <v>956693.02</v>
      </c>
      <c r="E1064" s="9">
        <v>1</v>
      </c>
    </row>
    <row r="1065" spans="1:5" x14ac:dyDescent="0.25">
      <c r="A1065" s="7">
        <v>1</v>
      </c>
      <c r="B1065" s="7">
        <v>1498</v>
      </c>
      <c r="C1065" s="7">
        <v>102</v>
      </c>
      <c r="D1065" s="8">
        <v>10064.08</v>
      </c>
      <c r="E1065" s="9">
        <v>1</v>
      </c>
    </row>
    <row r="1066" spans="1:5" x14ac:dyDescent="0.25">
      <c r="A1066" s="7">
        <v>1</v>
      </c>
      <c r="B1066" s="7">
        <v>1499</v>
      </c>
      <c r="C1066" s="7">
        <v>146</v>
      </c>
      <c r="D1066" s="8">
        <v>23490.68</v>
      </c>
      <c r="E1066" s="9">
        <v>1</v>
      </c>
    </row>
    <row r="1067" spans="1:5" x14ac:dyDescent="0.25">
      <c r="A1067" s="7">
        <v>1</v>
      </c>
      <c r="B1067" s="7">
        <v>1500</v>
      </c>
      <c r="C1067" s="7">
        <v>154</v>
      </c>
      <c r="D1067" s="8">
        <v>15658.86</v>
      </c>
      <c r="E1067" s="9">
        <v>1</v>
      </c>
    </row>
    <row r="1068" spans="1:5" x14ac:dyDescent="0.25">
      <c r="A1068" s="7">
        <v>1</v>
      </c>
      <c r="B1068" s="7">
        <v>1501</v>
      </c>
      <c r="C1068" s="7">
        <v>154</v>
      </c>
      <c r="D1068" s="8">
        <v>59194.2</v>
      </c>
      <c r="E1068" s="9">
        <v>1</v>
      </c>
    </row>
    <row r="1069" spans="1:5" x14ac:dyDescent="0.25">
      <c r="A1069" s="7">
        <v>1</v>
      </c>
      <c r="B1069" s="7">
        <v>1502</v>
      </c>
      <c r="C1069" s="7">
        <v>139</v>
      </c>
      <c r="D1069" s="8">
        <v>53524.38</v>
      </c>
      <c r="E1069" s="9">
        <v>1</v>
      </c>
    </row>
    <row r="1070" spans="1:5" x14ac:dyDescent="0.25">
      <c r="A1070" s="7">
        <v>1</v>
      </c>
      <c r="B1070" s="7">
        <v>1503</v>
      </c>
      <c r="C1070" s="7">
        <v>154</v>
      </c>
      <c r="D1070" s="8">
        <v>239341.17</v>
      </c>
      <c r="E1070" s="9">
        <v>1</v>
      </c>
    </row>
    <row r="1071" spans="1:5" x14ac:dyDescent="0.25">
      <c r="A1071" s="7">
        <v>1</v>
      </c>
      <c r="B1071" s="7">
        <v>1504</v>
      </c>
      <c r="C1071" s="7">
        <v>154</v>
      </c>
      <c r="D1071" s="8">
        <v>14554.69</v>
      </c>
      <c r="E1071" s="9">
        <v>1</v>
      </c>
    </row>
    <row r="1072" spans="1:5" x14ac:dyDescent="0.25">
      <c r="A1072" s="7">
        <v>1</v>
      </c>
      <c r="B1072" s="7">
        <v>1505</v>
      </c>
      <c r="C1072" s="7">
        <v>154</v>
      </c>
      <c r="D1072" s="8">
        <v>54812.7</v>
      </c>
      <c r="E1072" s="9">
        <v>1</v>
      </c>
    </row>
    <row r="1073" spans="1:5" x14ac:dyDescent="0.25">
      <c r="A1073" s="7">
        <v>1</v>
      </c>
      <c r="B1073" s="7">
        <v>1506</v>
      </c>
      <c r="C1073" s="7">
        <v>139</v>
      </c>
      <c r="D1073" s="8">
        <v>214365.29</v>
      </c>
      <c r="E1073" s="9">
        <v>1</v>
      </c>
    </row>
    <row r="1074" spans="1:5" x14ac:dyDescent="0.25">
      <c r="A1074" s="7">
        <v>1</v>
      </c>
      <c r="B1074" s="7">
        <v>1507</v>
      </c>
      <c r="C1074" s="7">
        <v>154</v>
      </c>
      <c r="D1074" s="8">
        <v>218674.23</v>
      </c>
      <c r="E1074" s="9">
        <v>1</v>
      </c>
    </row>
    <row r="1075" spans="1:5" x14ac:dyDescent="0.25">
      <c r="A1075" s="7">
        <v>1</v>
      </c>
      <c r="B1075" s="7">
        <v>1508</v>
      </c>
      <c r="C1075" s="7">
        <v>154</v>
      </c>
      <c r="D1075" s="8">
        <v>13323.39</v>
      </c>
      <c r="E1075" s="9">
        <v>1</v>
      </c>
    </row>
    <row r="1076" spans="1:5" x14ac:dyDescent="0.25">
      <c r="A1076" s="7">
        <v>1</v>
      </c>
      <c r="B1076" s="7">
        <v>1509</v>
      </c>
      <c r="C1076" s="7">
        <v>154</v>
      </c>
      <c r="D1076" s="8">
        <v>50036.48</v>
      </c>
      <c r="E1076" s="9">
        <v>1</v>
      </c>
    </row>
    <row r="1077" spans="1:5" x14ac:dyDescent="0.25">
      <c r="A1077" s="7">
        <v>1</v>
      </c>
      <c r="B1077" s="7">
        <v>1511</v>
      </c>
      <c r="C1077" s="7">
        <v>154</v>
      </c>
      <c r="D1077" s="8">
        <v>198378.77</v>
      </c>
      <c r="E1077" s="9">
        <v>1</v>
      </c>
    </row>
    <row r="1078" spans="1:5" x14ac:dyDescent="0.25">
      <c r="A1078" s="7">
        <v>1</v>
      </c>
      <c r="B1078" s="7">
        <v>1512</v>
      </c>
      <c r="C1078" s="7">
        <v>154</v>
      </c>
      <c r="D1078" s="8">
        <v>13003.88</v>
      </c>
      <c r="E1078" s="9">
        <v>1</v>
      </c>
    </row>
    <row r="1079" spans="1:5" x14ac:dyDescent="0.25">
      <c r="A1079" s="7">
        <v>1</v>
      </c>
      <c r="B1079" s="7">
        <v>1513</v>
      </c>
      <c r="C1079" s="7">
        <v>154</v>
      </c>
      <c r="D1079" s="8">
        <v>48164.35</v>
      </c>
      <c r="E1079" s="9">
        <v>1</v>
      </c>
    </row>
    <row r="1080" spans="1:5" x14ac:dyDescent="0.25">
      <c r="A1080" s="7">
        <v>1</v>
      </c>
      <c r="B1080" s="7">
        <v>1514</v>
      </c>
      <c r="C1080" s="7">
        <v>139</v>
      </c>
      <c r="D1080" s="8">
        <v>9313.75</v>
      </c>
      <c r="E1080" s="9">
        <v>1</v>
      </c>
    </row>
    <row r="1081" spans="1:5" x14ac:dyDescent="0.25">
      <c r="A1081" s="7">
        <v>1</v>
      </c>
      <c r="B1081" s="7">
        <v>1515</v>
      </c>
      <c r="C1081" s="7">
        <v>154</v>
      </c>
      <c r="D1081" s="8">
        <v>190180.49</v>
      </c>
      <c r="E1081" s="9">
        <v>1</v>
      </c>
    </row>
    <row r="1082" spans="1:5" x14ac:dyDescent="0.25">
      <c r="A1082" s="7">
        <v>1</v>
      </c>
      <c r="B1082" s="7">
        <v>1516</v>
      </c>
      <c r="C1082" s="7">
        <v>139</v>
      </c>
      <c r="D1082" s="8">
        <v>14413.63</v>
      </c>
      <c r="E1082" s="9">
        <v>1</v>
      </c>
    </row>
    <row r="1083" spans="1:5" x14ac:dyDescent="0.25">
      <c r="A1083" s="7">
        <v>1</v>
      </c>
      <c r="B1083" s="7">
        <v>1517</v>
      </c>
      <c r="C1083" s="7">
        <v>139</v>
      </c>
      <c r="D1083" s="8">
        <v>53524.38</v>
      </c>
      <c r="E1083" s="9">
        <v>1</v>
      </c>
    </row>
    <row r="1084" spans="1:5" x14ac:dyDescent="0.25">
      <c r="A1084" s="7">
        <v>1</v>
      </c>
      <c r="B1084" s="7">
        <v>1518</v>
      </c>
      <c r="C1084" s="7">
        <v>154</v>
      </c>
      <c r="D1084" s="8">
        <v>15335.78</v>
      </c>
      <c r="E1084" s="9">
        <v>1</v>
      </c>
    </row>
    <row r="1085" spans="1:5" x14ac:dyDescent="0.25">
      <c r="A1085" s="7">
        <v>1</v>
      </c>
      <c r="B1085" s="7">
        <v>1519</v>
      </c>
      <c r="C1085" s="7">
        <v>154</v>
      </c>
      <c r="D1085" s="8">
        <v>53706.58</v>
      </c>
      <c r="E1085" s="9">
        <v>1</v>
      </c>
    </row>
    <row r="1086" spans="1:5" x14ac:dyDescent="0.25">
      <c r="A1086" s="7">
        <v>1</v>
      </c>
      <c r="B1086" s="7">
        <v>1520</v>
      </c>
      <c r="C1086" s="7">
        <v>154</v>
      </c>
      <c r="D1086" s="8">
        <v>14818.08</v>
      </c>
      <c r="E1086" s="9">
        <v>1</v>
      </c>
    </row>
    <row r="1087" spans="1:5" x14ac:dyDescent="0.25">
      <c r="A1087" s="7">
        <v>1</v>
      </c>
      <c r="B1087" s="7">
        <v>1521</v>
      </c>
      <c r="C1087" s="7">
        <v>154</v>
      </c>
      <c r="D1087" s="8">
        <v>51378.13</v>
      </c>
      <c r="E1087" s="9">
        <v>1</v>
      </c>
    </row>
    <row r="1088" spans="1:5" x14ac:dyDescent="0.25">
      <c r="A1088" s="7">
        <v>1</v>
      </c>
      <c r="B1088" s="7">
        <v>1522</v>
      </c>
      <c r="C1088" s="7">
        <v>154</v>
      </c>
      <c r="D1088" s="8">
        <v>13504.8</v>
      </c>
      <c r="E1088" s="9">
        <v>1</v>
      </c>
    </row>
    <row r="1089" spans="1:5" x14ac:dyDescent="0.25">
      <c r="A1089" s="7">
        <v>1</v>
      </c>
      <c r="B1089" s="7">
        <v>1523</v>
      </c>
      <c r="C1089" s="7">
        <v>154</v>
      </c>
      <c r="D1089" s="8">
        <v>46593.4</v>
      </c>
      <c r="E1089" s="9">
        <v>1</v>
      </c>
    </row>
    <row r="1090" spans="1:5" x14ac:dyDescent="0.25">
      <c r="A1090" s="7">
        <v>1</v>
      </c>
      <c r="B1090" s="7">
        <v>1524</v>
      </c>
      <c r="C1090" s="7">
        <v>154</v>
      </c>
      <c r="D1090" s="8">
        <v>11110.12</v>
      </c>
      <c r="E1090" s="9">
        <v>1</v>
      </c>
    </row>
    <row r="1091" spans="1:5" x14ac:dyDescent="0.25">
      <c r="A1091" s="7">
        <v>1</v>
      </c>
      <c r="B1091" s="7">
        <v>1525</v>
      </c>
      <c r="C1091" s="7">
        <v>154</v>
      </c>
      <c r="D1091" s="8">
        <v>38764.18</v>
      </c>
      <c r="E1091" s="9">
        <v>1</v>
      </c>
    </row>
    <row r="1092" spans="1:5" x14ac:dyDescent="0.25">
      <c r="A1092" s="7">
        <v>1</v>
      </c>
      <c r="B1092" s="7">
        <v>1526</v>
      </c>
      <c r="C1092" s="7">
        <v>154</v>
      </c>
      <c r="D1092" s="8">
        <v>92658.56</v>
      </c>
      <c r="E1092" s="9">
        <v>1</v>
      </c>
    </row>
    <row r="1093" spans="1:5" x14ac:dyDescent="0.25">
      <c r="A1093" s="7">
        <v>1</v>
      </c>
      <c r="B1093" s="7">
        <v>1527</v>
      </c>
      <c r="C1093" s="7">
        <v>154</v>
      </c>
      <c r="D1093" s="8">
        <v>160616.27</v>
      </c>
      <c r="E1093" s="9">
        <v>1</v>
      </c>
    </row>
    <row r="1094" spans="1:5" x14ac:dyDescent="0.25">
      <c r="A1094" s="7">
        <v>1</v>
      </c>
      <c r="B1094" s="7">
        <v>1528</v>
      </c>
      <c r="C1094" s="7">
        <v>154</v>
      </c>
      <c r="D1094" s="8">
        <v>10041.7</v>
      </c>
      <c r="E1094" s="9">
        <v>1</v>
      </c>
    </row>
    <row r="1095" spans="1:5" x14ac:dyDescent="0.25">
      <c r="A1095" s="7">
        <v>1</v>
      </c>
      <c r="B1095" s="7">
        <v>1529</v>
      </c>
      <c r="C1095" s="7">
        <v>154</v>
      </c>
      <c r="D1095" s="8">
        <v>35653.85</v>
      </c>
      <c r="E1095" s="9">
        <v>1</v>
      </c>
    </row>
    <row r="1096" spans="1:5" x14ac:dyDescent="0.25">
      <c r="A1096" s="7">
        <v>1</v>
      </c>
      <c r="B1096" s="7">
        <v>1530</v>
      </c>
      <c r="C1096" s="7">
        <v>154</v>
      </c>
      <c r="D1096" s="8">
        <v>83778.34</v>
      </c>
      <c r="E1096" s="9">
        <v>1</v>
      </c>
    </row>
    <row r="1097" spans="1:5" x14ac:dyDescent="0.25">
      <c r="A1097" s="7">
        <v>1</v>
      </c>
      <c r="B1097" s="7">
        <v>1531</v>
      </c>
      <c r="C1097" s="7">
        <v>154</v>
      </c>
      <c r="D1097" s="8">
        <v>148202.32</v>
      </c>
      <c r="E1097" s="9">
        <v>1</v>
      </c>
    </row>
    <row r="1098" spans="1:5" x14ac:dyDescent="0.25">
      <c r="A1098" s="7">
        <v>1</v>
      </c>
      <c r="B1098" s="7">
        <v>1532</v>
      </c>
      <c r="C1098" s="7">
        <v>154</v>
      </c>
      <c r="D1098" s="8">
        <v>9337.28</v>
      </c>
      <c r="E1098" s="9">
        <v>1</v>
      </c>
    </row>
    <row r="1099" spans="1:5" x14ac:dyDescent="0.25">
      <c r="A1099" s="7">
        <v>1</v>
      </c>
      <c r="B1099" s="7">
        <v>1533</v>
      </c>
      <c r="C1099" s="7">
        <v>154</v>
      </c>
      <c r="D1099" s="8">
        <v>32931.33</v>
      </c>
      <c r="E1099" s="9">
        <v>1</v>
      </c>
    </row>
    <row r="1100" spans="1:5" x14ac:dyDescent="0.25">
      <c r="A1100" s="7">
        <v>1</v>
      </c>
      <c r="B1100" s="7">
        <v>1534</v>
      </c>
      <c r="C1100" s="7">
        <v>154</v>
      </c>
      <c r="D1100" s="8">
        <v>76586.93</v>
      </c>
      <c r="E1100" s="9">
        <v>1</v>
      </c>
    </row>
    <row r="1101" spans="1:5" x14ac:dyDescent="0.25">
      <c r="A1101" s="7">
        <v>1</v>
      </c>
      <c r="B1101" s="7">
        <v>1535</v>
      </c>
      <c r="C1101" s="7">
        <v>154</v>
      </c>
      <c r="D1101" s="8">
        <v>137232.65</v>
      </c>
      <c r="E1101" s="9">
        <v>1</v>
      </c>
    </row>
    <row r="1102" spans="1:5" x14ac:dyDescent="0.25">
      <c r="A1102" s="7">
        <v>1</v>
      </c>
      <c r="B1102" s="7">
        <v>1536</v>
      </c>
      <c r="C1102" s="7">
        <v>154</v>
      </c>
      <c r="D1102" s="8">
        <v>8666.58</v>
      </c>
      <c r="E1102" s="9">
        <v>1</v>
      </c>
    </row>
    <row r="1103" spans="1:5" x14ac:dyDescent="0.25">
      <c r="A1103" s="7">
        <v>1</v>
      </c>
      <c r="B1103" s="7">
        <v>1537</v>
      </c>
      <c r="C1103" s="7">
        <v>154</v>
      </c>
      <c r="D1103" s="8">
        <v>30117.45</v>
      </c>
      <c r="E1103" s="9">
        <v>1</v>
      </c>
    </row>
    <row r="1104" spans="1:5" x14ac:dyDescent="0.25">
      <c r="A1104" s="7">
        <v>1</v>
      </c>
      <c r="B1104" s="7">
        <v>1538</v>
      </c>
      <c r="C1104" s="7">
        <v>154</v>
      </c>
      <c r="D1104" s="8">
        <v>69428.59</v>
      </c>
      <c r="E1104" s="9">
        <v>1</v>
      </c>
    </row>
    <row r="1105" spans="1:5" x14ac:dyDescent="0.25">
      <c r="A1105" s="7">
        <v>1</v>
      </c>
      <c r="B1105" s="7">
        <v>1539</v>
      </c>
      <c r="C1105" s="7">
        <v>154</v>
      </c>
      <c r="D1105" s="8">
        <v>124162.6</v>
      </c>
      <c r="E1105" s="9">
        <v>1</v>
      </c>
    </row>
    <row r="1106" spans="1:5" x14ac:dyDescent="0.25">
      <c r="A1106" s="7">
        <v>1</v>
      </c>
      <c r="B1106" s="7">
        <v>1542</v>
      </c>
      <c r="C1106" s="7">
        <v>139</v>
      </c>
      <c r="D1106" s="8">
        <v>214365.29</v>
      </c>
      <c r="E1106" s="9">
        <v>1</v>
      </c>
    </row>
    <row r="1107" spans="1:5" x14ac:dyDescent="0.25">
      <c r="A1107" s="7">
        <v>1</v>
      </c>
      <c r="B1107" s="7">
        <v>1544</v>
      </c>
      <c r="C1107" s="7">
        <v>154</v>
      </c>
      <c r="D1107" s="8">
        <v>12337.31</v>
      </c>
      <c r="E1107" s="9">
        <v>1</v>
      </c>
    </row>
    <row r="1108" spans="1:5" x14ac:dyDescent="0.25">
      <c r="A1108" s="7">
        <v>1</v>
      </c>
      <c r="B1108" s="7">
        <v>1545</v>
      </c>
      <c r="C1108" s="7">
        <v>154</v>
      </c>
      <c r="D1108" s="8">
        <v>44177.98</v>
      </c>
      <c r="E1108" s="9">
        <v>1</v>
      </c>
    </row>
    <row r="1109" spans="1:5" x14ac:dyDescent="0.25">
      <c r="A1109" s="7">
        <v>1</v>
      </c>
      <c r="B1109" s="7">
        <v>1546</v>
      </c>
      <c r="C1109" s="7">
        <v>154</v>
      </c>
      <c r="D1109" s="8">
        <v>100100.19</v>
      </c>
      <c r="E1109" s="9">
        <v>1</v>
      </c>
    </row>
    <row r="1110" spans="1:5" x14ac:dyDescent="0.25">
      <c r="A1110" s="7">
        <v>1</v>
      </c>
      <c r="B1110" s="7">
        <v>1547</v>
      </c>
      <c r="C1110" s="7">
        <v>154</v>
      </c>
      <c r="D1110" s="8">
        <v>178141.05</v>
      </c>
      <c r="E1110" s="9">
        <v>1</v>
      </c>
    </row>
    <row r="1111" spans="1:5" x14ac:dyDescent="0.25">
      <c r="A1111" s="7">
        <v>1</v>
      </c>
      <c r="B1111" s="7">
        <v>1548</v>
      </c>
      <c r="C1111" s="7">
        <v>154</v>
      </c>
      <c r="D1111" s="8">
        <v>11251.59</v>
      </c>
      <c r="E1111" s="9">
        <v>1</v>
      </c>
    </row>
    <row r="1112" spans="1:5" x14ac:dyDescent="0.25">
      <c r="A1112" s="7">
        <v>1</v>
      </c>
      <c r="B1112" s="7">
        <v>1549</v>
      </c>
      <c r="C1112" s="7">
        <v>154</v>
      </c>
      <c r="D1112" s="8">
        <v>40972.65</v>
      </c>
      <c r="E1112" s="9">
        <v>1</v>
      </c>
    </row>
    <row r="1113" spans="1:5" x14ac:dyDescent="0.25">
      <c r="A1113" s="7">
        <v>1</v>
      </c>
      <c r="B1113" s="7">
        <v>1550</v>
      </c>
      <c r="C1113" s="7">
        <v>154</v>
      </c>
      <c r="D1113" s="8">
        <v>92300.57</v>
      </c>
      <c r="E1113" s="9">
        <v>1</v>
      </c>
    </row>
    <row r="1114" spans="1:5" x14ac:dyDescent="0.25">
      <c r="A1114" s="7">
        <v>1</v>
      </c>
      <c r="B1114" s="7">
        <v>1551</v>
      </c>
      <c r="C1114" s="7">
        <v>154</v>
      </c>
      <c r="D1114" s="8">
        <v>163677.59</v>
      </c>
      <c r="E1114" s="9">
        <v>1</v>
      </c>
    </row>
    <row r="1115" spans="1:5" x14ac:dyDescent="0.25">
      <c r="A1115" s="7">
        <v>1</v>
      </c>
      <c r="B1115" s="7">
        <v>1552</v>
      </c>
      <c r="C1115" s="7">
        <v>154</v>
      </c>
      <c r="D1115" s="8">
        <v>10450.05</v>
      </c>
      <c r="E1115" s="9">
        <v>1</v>
      </c>
    </row>
    <row r="1116" spans="1:5" x14ac:dyDescent="0.25">
      <c r="A1116" s="7">
        <v>1</v>
      </c>
      <c r="B1116" s="7">
        <v>1553</v>
      </c>
      <c r="C1116" s="7">
        <v>154</v>
      </c>
      <c r="D1116" s="8">
        <v>37775.1</v>
      </c>
      <c r="E1116" s="9">
        <v>1</v>
      </c>
    </row>
    <row r="1117" spans="1:5" x14ac:dyDescent="0.25">
      <c r="A1117" s="7">
        <v>1</v>
      </c>
      <c r="B1117" s="7">
        <v>1554</v>
      </c>
      <c r="C1117" s="7">
        <v>154</v>
      </c>
      <c r="D1117" s="8">
        <v>84781.59</v>
      </c>
      <c r="E1117" s="9">
        <v>1</v>
      </c>
    </row>
    <row r="1118" spans="1:5" x14ac:dyDescent="0.25">
      <c r="A1118" s="7">
        <v>1</v>
      </c>
      <c r="B1118" s="7">
        <v>1555</v>
      </c>
      <c r="C1118" s="7">
        <v>154</v>
      </c>
      <c r="D1118" s="8">
        <v>149702.63</v>
      </c>
      <c r="E1118" s="9">
        <v>1</v>
      </c>
    </row>
    <row r="1119" spans="1:5" x14ac:dyDescent="0.25">
      <c r="A1119" s="7">
        <v>1</v>
      </c>
      <c r="B1119" s="7">
        <v>1559</v>
      </c>
      <c r="C1119" s="7">
        <v>902</v>
      </c>
      <c r="D1119" s="8">
        <v>8537.76</v>
      </c>
      <c r="E1119" s="9">
        <v>1</v>
      </c>
    </row>
    <row r="1120" spans="1:5" x14ac:dyDescent="0.25">
      <c r="A1120" s="7">
        <v>1</v>
      </c>
      <c r="B1120" s="7">
        <v>1560</v>
      </c>
      <c r="C1120" s="7">
        <v>149</v>
      </c>
      <c r="D1120" s="8">
        <v>407765.66</v>
      </c>
      <c r="E1120" s="9">
        <v>1</v>
      </c>
    </row>
    <row r="1121" spans="1:5" x14ac:dyDescent="0.25">
      <c r="A1121" s="7">
        <v>1</v>
      </c>
      <c r="B1121" s="7">
        <v>1561</v>
      </c>
      <c r="C1121" s="7">
        <v>149</v>
      </c>
      <c r="D1121" s="8">
        <v>464914.91</v>
      </c>
      <c r="E1121" s="9">
        <v>1</v>
      </c>
    </row>
    <row r="1122" spans="1:5" x14ac:dyDescent="0.25">
      <c r="A1122" s="7">
        <v>1</v>
      </c>
      <c r="B1122" s="7">
        <v>1562</v>
      </c>
      <c r="C1122" s="7">
        <v>149</v>
      </c>
      <c r="D1122" s="8">
        <v>507504.89</v>
      </c>
      <c r="E1122" s="9">
        <v>1</v>
      </c>
    </row>
    <row r="1123" spans="1:5" x14ac:dyDescent="0.25">
      <c r="A1123" s="7">
        <v>1</v>
      </c>
      <c r="B1123" s="7">
        <v>1563</v>
      </c>
      <c r="C1123" s="7">
        <v>149</v>
      </c>
      <c r="D1123" s="8">
        <v>572749.99</v>
      </c>
      <c r="E1123" s="9">
        <v>1</v>
      </c>
    </row>
    <row r="1124" spans="1:5" x14ac:dyDescent="0.25">
      <c r="A1124" s="7">
        <v>1</v>
      </c>
      <c r="B1124" s="7">
        <v>1564</v>
      </c>
      <c r="C1124" s="7">
        <v>149</v>
      </c>
      <c r="D1124" s="8">
        <v>618002.68</v>
      </c>
      <c r="E1124" s="9">
        <v>1</v>
      </c>
    </row>
    <row r="1125" spans="1:5" x14ac:dyDescent="0.25">
      <c r="A1125" s="7">
        <v>1</v>
      </c>
      <c r="B1125" s="7">
        <v>1565</v>
      </c>
      <c r="C1125" s="7">
        <v>902</v>
      </c>
      <c r="D1125" s="8">
        <v>13212.7</v>
      </c>
      <c r="E1125" s="9">
        <v>1</v>
      </c>
    </row>
    <row r="1126" spans="1:5" x14ac:dyDescent="0.25">
      <c r="A1126" s="7">
        <v>1</v>
      </c>
      <c r="B1126" s="7">
        <v>1566</v>
      </c>
      <c r="C1126" s="7">
        <v>902</v>
      </c>
      <c r="D1126" s="8">
        <v>49065.28</v>
      </c>
      <c r="E1126" s="9">
        <v>1</v>
      </c>
    </row>
    <row r="1127" spans="1:5" x14ac:dyDescent="0.25">
      <c r="A1127" s="7">
        <v>1</v>
      </c>
      <c r="B1127" s="7">
        <v>1569</v>
      </c>
      <c r="C1127" s="7">
        <v>139</v>
      </c>
      <c r="D1127" s="8">
        <v>9313.75</v>
      </c>
      <c r="E1127" s="9">
        <v>1</v>
      </c>
    </row>
    <row r="1128" spans="1:5" x14ac:dyDescent="0.25">
      <c r="A1128" s="7">
        <v>1</v>
      </c>
      <c r="B1128" s="7">
        <v>1570</v>
      </c>
      <c r="C1128" s="7">
        <v>139</v>
      </c>
      <c r="D1128" s="8">
        <v>14413.63</v>
      </c>
      <c r="E1128" s="9">
        <v>1</v>
      </c>
    </row>
    <row r="1129" spans="1:5" x14ac:dyDescent="0.25">
      <c r="A1129" s="7">
        <v>1</v>
      </c>
      <c r="B1129" s="7">
        <v>1571</v>
      </c>
      <c r="C1129" s="7">
        <v>139</v>
      </c>
      <c r="D1129" s="8">
        <v>53524.38</v>
      </c>
      <c r="E1129" s="9">
        <v>1</v>
      </c>
    </row>
    <row r="1130" spans="1:5" x14ac:dyDescent="0.25">
      <c r="A1130" s="7">
        <v>1</v>
      </c>
      <c r="B1130" s="7">
        <v>1572</v>
      </c>
      <c r="C1130" s="7">
        <v>139</v>
      </c>
      <c r="D1130" s="8">
        <v>214365.29</v>
      </c>
      <c r="E1130" s="9">
        <v>1</v>
      </c>
    </row>
    <row r="1131" spans="1:5" x14ac:dyDescent="0.25">
      <c r="A1131" s="7">
        <v>1</v>
      </c>
      <c r="B1131" s="7">
        <v>1573</v>
      </c>
      <c r="C1131" s="7">
        <v>902</v>
      </c>
      <c r="D1131" s="8">
        <v>5518.31</v>
      </c>
      <c r="E1131" s="9">
        <v>1</v>
      </c>
    </row>
    <row r="1132" spans="1:5" x14ac:dyDescent="0.25">
      <c r="A1132" s="7">
        <v>1</v>
      </c>
      <c r="B1132" s="7">
        <v>1574</v>
      </c>
      <c r="C1132" s="7">
        <v>902</v>
      </c>
      <c r="D1132" s="8">
        <v>8537.24</v>
      </c>
      <c r="E1132" s="9">
        <v>1</v>
      </c>
    </row>
    <row r="1133" spans="1:5" x14ac:dyDescent="0.25">
      <c r="A1133" s="7">
        <v>1</v>
      </c>
      <c r="B1133" s="7">
        <v>1577</v>
      </c>
      <c r="C1133" s="7">
        <v>902</v>
      </c>
      <c r="D1133" s="8">
        <v>13212.44</v>
      </c>
      <c r="E1133" s="9">
        <v>1</v>
      </c>
    </row>
    <row r="1134" spans="1:5" x14ac:dyDescent="0.25">
      <c r="A1134" s="7">
        <v>1</v>
      </c>
      <c r="B1134" s="7">
        <v>1578</v>
      </c>
      <c r="C1134" s="7">
        <v>902</v>
      </c>
      <c r="D1134" s="8">
        <v>49064.86</v>
      </c>
      <c r="E1134" s="9">
        <v>1</v>
      </c>
    </row>
    <row r="1135" spans="1:5" x14ac:dyDescent="0.25">
      <c r="A1135" s="7">
        <v>1</v>
      </c>
      <c r="B1135" s="7">
        <v>1581</v>
      </c>
      <c r="C1135" s="7">
        <v>902</v>
      </c>
      <c r="D1135" s="8">
        <v>8537.76</v>
      </c>
      <c r="E1135" s="9">
        <v>1</v>
      </c>
    </row>
    <row r="1136" spans="1:5" x14ac:dyDescent="0.25">
      <c r="A1136" s="7">
        <v>1</v>
      </c>
      <c r="B1136" s="7">
        <v>1582</v>
      </c>
      <c r="C1136" s="7">
        <v>902</v>
      </c>
      <c r="D1136" s="8">
        <v>13212.7</v>
      </c>
      <c r="E1136" s="9">
        <v>1</v>
      </c>
    </row>
    <row r="1137" spans="1:5" x14ac:dyDescent="0.25">
      <c r="A1137" s="7">
        <v>1</v>
      </c>
      <c r="B1137" s="7">
        <v>1583</v>
      </c>
      <c r="C1137" s="7">
        <v>902</v>
      </c>
      <c r="D1137" s="8">
        <v>49065.28</v>
      </c>
      <c r="E1137" s="9">
        <v>1</v>
      </c>
    </row>
    <row r="1138" spans="1:5" x14ac:dyDescent="0.25">
      <c r="A1138" s="7">
        <v>1</v>
      </c>
      <c r="B1138" s="7">
        <v>1591</v>
      </c>
      <c r="C1138" s="7">
        <v>181</v>
      </c>
      <c r="D1138" s="8">
        <v>6.94</v>
      </c>
      <c r="E1138" s="9">
        <v>2</v>
      </c>
    </row>
    <row r="1139" spans="1:5" x14ac:dyDescent="0.25">
      <c r="A1139" s="7">
        <v>1</v>
      </c>
      <c r="B1139" s="7">
        <v>1595</v>
      </c>
      <c r="C1139" s="7">
        <v>181</v>
      </c>
      <c r="D1139" s="8">
        <v>5.02</v>
      </c>
      <c r="E1139" s="9">
        <v>2</v>
      </c>
    </row>
    <row r="1140" spans="1:5" x14ac:dyDescent="0.25">
      <c r="A1140" s="7">
        <v>1</v>
      </c>
      <c r="B1140" s="7">
        <v>1596</v>
      </c>
      <c r="C1140" s="7">
        <v>181</v>
      </c>
      <c r="D1140" s="8">
        <v>6.71</v>
      </c>
      <c r="E1140" s="9">
        <v>2</v>
      </c>
    </row>
    <row r="1141" spans="1:5" x14ac:dyDescent="0.25">
      <c r="A1141" s="7">
        <v>1</v>
      </c>
      <c r="B1141" s="7">
        <v>1598</v>
      </c>
      <c r="C1141" s="7">
        <v>102</v>
      </c>
      <c r="D1141" s="8">
        <v>7966.13</v>
      </c>
      <c r="E1141" s="9">
        <v>1</v>
      </c>
    </row>
    <row r="1142" spans="1:5" x14ac:dyDescent="0.25">
      <c r="A1142" s="7">
        <v>1</v>
      </c>
      <c r="B1142" s="7">
        <v>1599</v>
      </c>
      <c r="C1142" s="7">
        <v>102</v>
      </c>
      <c r="D1142" s="8">
        <v>7966.13</v>
      </c>
      <c r="E1142" s="9">
        <v>1</v>
      </c>
    </row>
    <row r="1143" spans="1:5" x14ac:dyDescent="0.25">
      <c r="A1143" s="7">
        <v>1</v>
      </c>
      <c r="B1143" s="7">
        <v>1600</v>
      </c>
      <c r="C1143" s="7">
        <v>102</v>
      </c>
      <c r="D1143" s="8">
        <v>7966.13</v>
      </c>
      <c r="E1143" s="9">
        <v>1</v>
      </c>
    </row>
    <row r="1144" spans="1:5" x14ac:dyDescent="0.25">
      <c r="A1144" s="7">
        <v>1</v>
      </c>
      <c r="B1144" s="7">
        <v>1601</v>
      </c>
      <c r="C1144" s="7">
        <v>102</v>
      </c>
      <c r="D1144" s="8">
        <v>7966.13</v>
      </c>
      <c r="E1144" s="9">
        <v>1</v>
      </c>
    </row>
    <row r="1145" spans="1:5" x14ac:dyDescent="0.25">
      <c r="A1145" s="7">
        <v>1</v>
      </c>
      <c r="B1145" s="7">
        <v>1602</v>
      </c>
      <c r="C1145" s="7">
        <v>102</v>
      </c>
      <c r="D1145" s="8">
        <v>7966.13</v>
      </c>
      <c r="E1145" s="9">
        <v>1</v>
      </c>
    </row>
    <row r="1146" spans="1:5" x14ac:dyDescent="0.25">
      <c r="A1146" s="7">
        <v>1</v>
      </c>
      <c r="B1146" s="7">
        <v>1603</v>
      </c>
      <c r="C1146" s="7">
        <v>129</v>
      </c>
      <c r="D1146" s="8">
        <v>17837.93</v>
      </c>
      <c r="E1146" s="9">
        <v>1</v>
      </c>
    </row>
    <row r="1147" spans="1:5" x14ac:dyDescent="0.25">
      <c r="A1147" s="7">
        <v>1</v>
      </c>
      <c r="B1147" s="7">
        <v>1604</v>
      </c>
      <c r="C1147" s="7">
        <v>129</v>
      </c>
      <c r="D1147" s="8">
        <v>58602.44</v>
      </c>
      <c r="E1147" s="9">
        <v>1</v>
      </c>
    </row>
    <row r="1148" spans="1:5" x14ac:dyDescent="0.25">
      <c r="A1148" s="7">
        <v>1</v>
      </c>
      <c r="B1148" s="7">
        <v>1605</v>
      </c>
      <c r="C1148" s="7">
        <v>146</v>
      </c>
      <c r="D1148" s="8">
        <v>23490.68</v>
      </c>
      <c r="E1148" s="9">
        <v>1</v>
      </c>
    </row>
    <row r="1149" spans="1:5" x14ac:dyDescent="0.25">
      <c r="A1149" s="7">
        <v>1</v>
      </c>
      <c r="B1149" s="7">
        <v>1607</v>
      </c>
      <c r="C1149" s="7">
        <v>157</v>
      </c>
      <c r="D1149" s="8">
        <v>67513.9</v>
      </c>
      <c r="E1149" s="9">
        <v>1</v>
      </c>
    </row>
    <row r="1150" spans="1:5" x14ac:dyDescent="0.25">
      <c r="A1150" s="7">
        <v>1</v>
      </c>
      <c r="B1150" s="7">
        <v>1608</v>
      </c>
      <c r="C1150" s="7">
        <v>146</v>
      </c>
      <c r="D1150" s="8">
        <v>23490.68</v>
      </c>
      <c r="E1150" s="9">
        <v>1</v>
      </c>
    </row>
    <row r="1151" spans="1:5" x14ac:dyDescent="0.25">
      <c r="A1151" s="7">
        <v>1</v>
      </c>
      <c r="B1151" s="7">
        <v>1609</v>
      </c>
      <c r="C1151" s="7">
        <v>902</v>
      </c>
      <c r="D1151" s="8">
        <v>21355.17</v>
      </c>
      <c r="E1151" s="9">
        <v>1</v>
      </c>
    </row>
    <row r="1152" spans="1:5" x14ac:dyDescent="0.25">
      <c r="A1152" s="7">
        <v>1</v>
      </c>
      <c r="B1152" s="7">
        <v>1610</v>
      </c>
      <c r="C1152" s="7">
        <v>134</v>
      </c>
      <c r="D1152" s="8">
        <v>33.12</v>
      </c>
      <c r="E1152" s="9">
        <v>3</v>
      </c>
    </row>
    <row r="1153" spans="1:5" x14ac:dyDescent="0.25">
      <c r="A1153" s="7">
        <v>1</v>
      </c>
      <c r="B1153" s="7">
        <v>1611</v>
      </c>
      <c r="C1153" s="7">
        <v>134</v>
      </c>
      <c r="D1153" s="8">
        <v>116.51</v>
      </c>
      <c r="E1153" s="9">
        <v>3</v>
      </c>
    </row>
    <row r="1154" spans="1:5" x14ac:dyDescent="0.25">
      <c r="A1154" s="7">
        <v>1</v>
      </c>
      <c r="B1154" s="7">
        <v>1612</v>
      </c>
      <c r="C1154" s="7">
        <v>152</v>
      </c>
      <c r="D1154" s="8">
        <v>12567.65</v>
      </c>
      <c r="E1154" s="9">
        <v>1</v>
      </c>
    </row>
    <row r="1155" spans="1:5" x14ac:dyDescent="0.25">
      <c r="A1155" s="7">
        <v>1</v>
      </c>
      <c r="B1155" s="7">
        <v>1613</v>
      </c>
      <c r="C1155" s="7">
        <v>152</v>
      </c>
      <c r="D1155" s="8">
        <v>44975.92</v>
      </c>
      <c r="E1155" s="9">
        <v>1</v>
      </c>
    </row>
    <row r="1156" spans="1:5" x14ac:dyDescent="0.25">
      <c r="A1156" s="7">
        <v>1</v>
      </c>
      <c r="B1156" s="7">
        <v>1614</v>
      </c>
      <c r="C1156" s="7">
        <v>152</v>
      </c>
      <c r="D1156" s="8">
        <v>99211.86</v>
      </c>
      <c r="E1156" s="9">
        <v>1</v>
      </c>
    </row>
    <row r="1157" spans="1:5" x14ac:dyDescent="0.25">
      <c r="A1157" s="7">
        <v>1</v>
      </c>
      <c r="B1157" s="7">
        <v>1615</v>
      </c>
      <c r="C1157" s="7">
        <v>152</v>
      </c>
      <c r="D1157" s="8">
        <v>177799.61</v>
      </c>
      <c r="E1157" s="9">
        <v>1</v>
      </c>
    </row>
    <row r="1158" spans="1:5" x14ac:dyDescent="0.25">
      <c r="A1158" s="7">
        <v>1</v>
      </c>
      <c r="B1158" s="7">
        <v>1616</v>
      </c>
      <c r="C1158" s="7">
        <v>152</v>
      </c>
      <c r="D1158" s="8">
        <v>12632.43</v>
      </c>
      <c r="E1158" s="9">
        <v>1</v>
      </c>
    </row>
    <row r="1159" spans="1:5" x14ac:dyDescent="0.25">
      <c r="A1159" s="7">
        <v>1</v>
      </c>
      <c r="B1159" s="7">
        <v>1617</v>
      </c>
      <c r="C1159" s="7">
        <v>152</v>
      </c>
      <c r="D1159" s="8">
        <v>12632.43</v>
      </c>
      <c r="E1159" s="9">
        <v>1</v>
      </c>
    </row>
    <row r="1160" spans="1:5" x14ac:dyDescent="0.25">
      <c r="A1160" s="7">
        <v>1</v>
      </c>
      <c r="B1160" s="7">
        <v>1618</v>
      </c>
      <c r="C1160" s="7">
        <v>152</v>
      </c>
      <c r="D1160" s="8">
        <v>12632.43</v>
      </c>
      <c r="E1160" s="9">
        <v>1</v>
      </c>
    </row>
    <row r="1161" spans="1:5" x14ac:dyDescent="0.25">
      <c r="A1161" s="7">
        <v>1</v>
      </c>
      <c r="B1161" s="7">
        <v>1619</v>
      </c>
      <c r="C1161" s="7">
        <v>152</v>
      </c>
      <c r="D1161" s="8">
        <v>12632.43</v>
      </c>
      <c r="E1161" s="9">
        <v>1</v>
      </c>
    </row>
    <row r="1162" spans="1:5" x14ac:dyDescent="0.25">
      <c r="A1162" s="7">
        <v>1</v>
      </c>
      <c r="B1162" s="7">
        <v>1620</v>
      </c>
      <c r="C1162" s="7">
        <v>146</v>
      </c>
      <c r="D1162" s="8">
        <v>23490.68</v>
      </c>
      <c r="E1162" s="9">
        <v>1</v>
      </c>
    </row>
    <row r="1163" spans="1:5" x14ac:dyDescent="0.25">
      <c r="A1163" s="7">
        <v>1</v>
      </c>
      <c r="B1163" s="7">
        <v>1621</v>
      </c>
      <c r="C1163" s="7">
        <v>146</v>
      </c>
      <c r="D1163" s="8">
        <v>23490.68</v>
      </c>
      <c r="E1163" s="9">
        <v>1</v>
      </c>
    </row>
    <row r="1164" spans="1:5" x14ac:dyDescent="0.25">
      <c r="A1164" s="7">
        <v>1</v>
      </c>
      <c r="B1164" s="7">
        <v>1622</v>
      </c>
      <c r="C1164" s="7">
        <v>146</v>
      </c>
      <c r="D1164" s="8">
        <v>25533.37</v>
      </c>
      <c r="E1164" s="9">
        <v>1</v>
      </c>
    </row>
    <row r="1165" spans="1:5" x14ac:dyDescent="0.25">
      <c r="A1165" s="7">
        <v>1</v>
      </c>
      <c r="B1165" s="7">
        <v>1628</v>
      </c>
      <c r="C1165" s="7">
        <v>138</v>
      </c>
      <c r="D1165" s="8">
        <v>13447.25</v>
      </c>
      <c r="E1165" s="9">
        <v>1</v>
      </c>
    </row>
    <row r="1166" spans="1:5" x14ac:dyDescent="0.25">
      <c r="A1166" s="7">
        <v>1</v>
      </c>
      <c r="B1166" s="7">
        <v>1629</v>
      </c>
      <c r="C1166" s="7">
        <v>138</v>
      </c>
      <c r="D1166" s="8">
        <v>13447.25</v>
      </c>
      <c r="E1166" s="9">
        <v>1</v>
      </c>
    </row>
    <row r="1167" spans="1:5" x14ac:dyDescent="0.25">
      <c r="A1167" s="7">
        <v>1</v>
      </c>
      <c r="B1167" s="7">
        <v>1630</v>
      </c>
      <c r="C1167" s="7">
        <v>140</v>
      </c>
      <c r="D1167" s="8">
        <v>6684.74</v>
      </c>
      <c r="E1167" s="9">
        <v>1</v>
      </c>
    </row>
    <row r="1168" spans="1:5" x14ac:dyDescent="0.25">
      <c r="A1168" s="7">
        <v>1</v>
      </c>
      <c r="B1168" s="7">
        <v>1631</v>
      </c>
      <c r="C1168" s="7">
        <v>139</v>
      </c>
      <c r="D1168" s="8">
        <v>8526.51</v>
      </c>
      <c r="E1168" s="9">
        <v>1</v>
      </c>
    </row>
    <row r="1169" spans="1:5" x14ac:dyDescent="0.25">
      <c r="A1169" s="7">
        <v>1</v>
      </c>
      <c r="B1169" s="7">
        <v>1632</v>
      </c>
      <c r="C1169" s="7">
        <v>139</v>
      </c>
      <c r="D1169" s="8">
        <v>13521</v>
      </c>
      <c r="E1169" s="9">
        <v>1</v>
      </c>
    </row>
    <row r="1170" spans="1:5" x14ac:dyDescent="0.25">
      <c r="A1170" s="7">
        <v>1</v>
      </c>
      <c r="B1170" s="7">
        <v>1633</v>
      </c>
      <c r="C1170" s="7">
        <v>140</v>
      </c>
      <c r="D1170" s="8">
        <v>9932.81</v>
      </c>
      <c r="E1170" s="9">
        <v>1</v>
      </c>
    </row>
    <row r="1171" spans="1:5" x14ac:dyDescent="0.25">
      <c r="A1171" s="7">
        <v>1</v>
      </c>
      <c r="B1171" s="7">
        <v>1634</v>
      </c>
      <c r="C1171" s="7">
        <v>131</v>
      </c>
      <c r="D1171" s="8">
        <v>137.9</v>
      </c>
      <c r="E1171" s="9">
        <v>3</v>
      </c>
    </row>
    <row r="1172" spans="1:5" x14ac:dyDescent="0.25">
      <c r="A1172" s="7">
        <v>1</v>
      </c>
      <c r="B1172" s="7">
        <v>1635</v>
      </c>
      <c r="C1172" s="7">
        <v>146</v>
      </c>
      <c r="D1172" s="8">
        <v>32736.96</v>
      </c>
      <c r="E1172" s="9">
        <v>1</v>
      </c>
    </row>
    <row r="1173" spans="1:5" x14ac:dyDescent="0.25">
      <c r="A1173" s="7">
        <v>1</v>
      </c>
      <c r="B1173" s="7">
        <v>1636</v>
      </c>
      <c r="C1173" s="7">
        <v>139</v>
      </c>
      <c r="D1173" s="8">
        <v>50478.94</v>
      </c>
      <c r="E1173" s="9">
        <v>1</v>
      </c>
    </row>
    <row r="1174" spans="1:5" x14ac:dyDescent="0.25">
      <c r="A1174" s="7">
        <v>1</v>
      </c>
      <c r="B1174" s="7">
        <v>1638</v>
      </c>
      <c r="C1174" s="7">
        <v>132</v>
      </c>
      <c r="D1174" s="8">
        <v>18.14</v>
      </c>
      <c r="E1174" s="9">
        <v>3</v>
      </c>
    </row>
    <row r="1175" spans="1:5" x14ac:dyDescent="0.25">
      <c r="A1175" s="7">
        <v>1</v>
      </c>
      <c r="B1175" s="7">
        <v>1640</v>
      </c>
      <c r="C1175" s="7">
        <v>131</v>
      </c>
      <c r="D1175" s="8">
        <v>116.47</v>
      </c>
      <c r="E1175" s="9">
        <v>3</v>
      </c>
    </row>
    <row r="1176" spans="1:5" x14ac:dyDescent="0.25">
      <c r="A1176" s="7">
        <v>1</v>
      </c>
      <c r="B1176" s="7">
        <v>1641</v>
      </c>
      <c r="C1176" s="7">
        <v>131</v>
      </c>
      <c r="D1176" s="8">
        <v>90</v>
      </c>
      <c r="E1176" s="9">
        <v>3</v>
      </c>
    </row>
    <row r="1177" spans="1:5" x14ac:dyDescent="0.25">
      <c r="A1177" s="7">
        <v>1</v>
      </c>
      <c r="B1177" s="7">
        <v>1642</v>
      </c>
      <c r="C1177" s="7">
        <v>131</v>
      </c>
      <c r="D1177" s="8">
        <v>80.57</v>
      </c>
      <c r="E1177" s="9">
        <v>3</v>
      </c>
    </row>
    <row r="1178" spans="1:5" x14ac:dyDescent="0.25">
      <c r="A1178" s="7">
        <v>1</v>
      </c>
      <c r="B1178" s="7">
        <v>1643</v>
      </c>
      <c r="C1178" s="7">
        <v>146</v>
      </c>
      <c r="D1178" s="8">
        <v>32736.96</v>
      </c>
      <c r="E1178" s="9">
        <v>1</v>
      </c>
    </row>
    <row r="1179" spans="1:5" x14ac:dyDescent="0.25">
      <c r="A1179" s="7">
        <v>1</v>
      </c>
      <c r="B1179" s="7">
        <v>1644</v>
      </c>
      <c r="C1179" s="7">
        <v>122</v>
      </c>
      <c r="D1179" s="8">
        <v>1.17</v>
      </c>
      <c r="E1179" s="9">
        <v>2</v>
      </c>
    </row>
    <row r="1180" spans="1:5" x14ac:dyDescent="0.25">
      <c r="A1180" s="7">
        <v>1</v>
      </c>
      <c r="B1180" s="7">
        <v>1645</v>
      </c>
      <c r="C1180" s="7">
        <v>122</v>
      </c>
      <c r="D1180" s="8">
        <v>1.28</v>
      </c>
      <c r="E1180" s="9">
        <v>2</v>
      </c>
    </row>
    <row r="1181" spans="1:5" x14ac:dyDescent="0.25">
      <c r="A1181" s="7">
        <v>1</v>
      </c>
      <c r="B1181" s="7">
        <v>1646</v>
      </c>
      <c r="C1181" s="7">
        <v>122</v>
      </c>
      <c r="D1181" s="8">
        <v>3.45</v>
      </c>
      <c r="E1181" s="9">
        <v>2</v>
      </c>
    </row>
    <row r="1182" spans="1:5" x14ac:dyDescent="0.25">
      <c r="A1182" s="7">
        <v>1</v>
      </c>
      <c r="B1182" s="7">
        <v>1647</v>
      </c>
      <c r="C1182" s="7">
        <v>131</v>
      </c>
      <c r="D1182" s="8">
        <v>78.94</v>
      </c>
      <c r="E1182" s="9">
        <v>3</v>
      </c>
    </row>
    <row r="1183" spans="1:5" x14ac:dyDescent="0.25">
      <c r="A1183" s="7">
        <v>1</v>
      </c>
      <c r="B1183" s="7">
        <v>1648</v>
      </c>
      <c r="C1183" s="7">
        <v>131</v>
      </c>
      <c r="D1183" s="8">
        <v>235.06</v>
      </c>
      <c r="E1183" s="9">
        <v>3</v>
      </c>
    </row>
    <row r="1184" spans="1:5" x14ac:dyDescent="0.25">
      <c r="A1184" s="7">
        <v>1</v>
      </c>
      <c r="B1184" s="7">
        <v>1649</v>
      </c>
      <c r="C1184" s="7">
        <v>131</v>
      </c>
      <c r="D1184" s="8">
        <v>211.1</v>
      </c>
      <c r="E1184" s="9">
        <v>3</v>
      </c>
    </row>
    <row r="1185" spans="1:5" x14ac:dyDescent="0.25">
      <c r="A1185" s="7">
        <v>1</v>
      </c>
      <c r="B1185" s="7">
        <v>1650</v>
      </c>
      <c r="C1185" s="7">
        <v>131</v>
      </c>
      <c r="D1185" s="8">
        <v>89.86</v>
      </c>
      <c r="E1185" s="9">
        <v>3</v>
      </c>
    </row>
    <row r="1186" spans="1:5" x14ac:dyDescent="0.25">
      <c r="A1186" s="7">
        <v>1</v>
      </c>
      <c r="B1186" s="7">
        <v>1651</v>
      </c>
      <c r="C1186" s="7">
        <v>131</v>
      </c>
      <c r="D1186" s="8">
        <v>119.35</v>
      </c>
      <c r="E1186" s="9">
        <v>3</v>
      </c>
    </row>
    <row r="1187" spans="1:5" x14ac:dyDescent="0.25">
      <c r="A1187" s="7">
        <v>1</v>
      </c>
      <c r="B1187" s="7">
        <v>1652</v>
      </c>
      <c r="C1187" s="7">
        <v>131</v>
      </c>
      <c r="D1187" s="8">
        <v>118.27</v>
      </c>
      <c r="E1187" s="9">
        <v>3</v>
      </c>
    </row>
    <row r="1188" spans="1:5" x14ac:dyDescent="0.25">
      <c r="A1188" s="7">
        <v>1</v>
      </c>
      <c r="B1188" s="7">
        <v>1653</v>
      </c>
      <c r="C1188" s="7">
        <v>131</v>
      </c>
      <c r="D1188" s="8">
        <v>183.58</v>
      </c>
      <c r="E1188" s="9">
        <v>3</v>
      </c>
    </row>
    <row r="1189" spans="1:5" x14ac:dyDescent="0.25">
      <c r="A1189" s="7">
        <v>1</v>
      </c>
      <c r="B1189" s="7">
        <v>1654</v>
      </c>
      <c r="C1189" s="7">
        <v>131</v>
      </c>
      <c r="D1189" s="8">
        <v>110.02</v>
      </c>
      <c r="E1189" s="9">
        <v>3</v>
      </c>
    </row>
    <row r="1190" spans="1:5" x14ac:dyDescent="0.25">
      <c r="A1190" s="7">
        <v>1</v>
      </c>
      <c r="B1190" s="7">
        <v>1655</v>
      </c>
      <c r="C1190" s="7">
        <v>131</v>
      </c>
      <c r="D1190" s="8">
        <v>118.25</v>
      </c>
      <c r="E1190" s="9">
        <v>3</v>
      </c>
    </row>
    <row r="1191" spans="1:5" x14ac:dyDescent="0.25">
      <c r="A1191" s="7">
        <v>1</v>
      </c>
      <c r="B1191" s="7">
        <v>1656</v>
      </c>
      <c r="C1191" s="7">
        <v>131</v>
      </c>
      <c r="D1191" s="8">
        <v>118.25</v>
      </c>
      <c r="E1191" s="9">
        <v>3</v>
      </c>
    </row>
    <row r="1192" spans="1:5" x14ac:dyDescent="0.25">
      <c r="A1192" s="7">
        <v>1</v>
      </c>
      <c r="B1192" s="7">
        <v>1657</v>
      </c>
      <c r="C1192" s="7">
        <v>131</v>
      </c>
      <c r="D1192" s="8">
        <v>5561.35</v>
      </c>
      <c r="E1192" s="9">
        <v>1</v>
      </c>
    </row>
    <row r="1193" spans="1:5" x14ac:dyDescent="0.25">
      <c r="A1193" s="7">
        <v>1</v>
      </c>
      <c r="B1193" s="7">
        <v>1658</v>
      </c>
      <c r="C1193" s="7">
        <v>131</v>
      </c>
      <c r="D1193" s="8">
        <v>118.25</v>
      </c>
      <c r="E1193" s="9">
        <v>3</v>
      </c>
    </row>
    <row r="1194" spans="1:5" x14ac:dyDescent="0.25">
      <c r="A1194" s="7">
        <v>1</v>
      </c>
      <c r="B1194" s="7">
        <v>1659</v>
      </c>
      <c r="C1194" s="7">
        <v>131</v>
      </c>
      <c r="D1194" s="8">
        <v>19097.87</v>
      </c>
      <c r="E1194" s="9">
        <v>1</v>
      </c>
    </row>
    <row r="1195" spans="1:5" x14ac:dyDescent="0.25">
      <c r="A1195" s="7">
        <v>1</v>
      </c>
      <c r="B1195" s="7">
        <v>1660</v>
      </c>
      <c r="C1195" s="7">
        <v>131</v>
      </c>
      <c r="D1195" s="8">
        <v>118.25</v>
      </c>
      <c r="E1195" s="9">
        <v>3</v>
      </c>
    </row>
    <row r="1196" spans="1:5" x14ac:dyDescent="0.25">
      <c r="A1196" s="7">
        <v>1</v>
      </c>
      <c r="B1196" s="7">
        <v>1661</v>
      </c>
      <c r="C1196" s="7">
        <v>131</v>
      </c>
      <c r="D1196" s="8">
        <v>264.8</v>
      </c>
      <c r="E1196" s="9">
        <v>3</v>
      </c>
    </row>
    <row r="1197" spans="1:5" x14ac:dyDescent="0.25">
      <c r="A1197" s="7">
        <v>1</v>
      </c>
      <c r="B1197" s="7">
        <v>1662</v>
      </c>
      <c r="C1197" s="7">
        <v>131</v>
      </c>
      <c r="D1197" s="8">
        <v>118.25</v>
      </c>
      <c r="E1197" s="9">
        <v>3</v>
      </c>
    </row>
    <row r="1198" spans="1:5" x14ac:dyDescent="0.25">
      <c r="A1198" s="7">
        <v>1</v>
      </c>
      <c r="B1198" s="7">
        <v>1663</v>
      </c>
      <c r="C1198" s="7">
        <v>131</v>
      </c>
      <c r="D1198" s="8">
        <v>110.02</v>
      </c>
      <c r="E1198" s="9">
        <v>3</v>
      </c>
    </row>
    <row r="1199" spans="1:5" x14ac:dyDescent="0.25">
      <c r="A1199" s="7">
        <v>1</v>
      </c>
      <c r="B1199" s="7">
        <v>1664</v>
      </c>
      <c r="C1199" s="7">
        <v>131</v>
      </c>
      <c r="D1199" s="8">
        <v>83.66</v>
      </c>
      <c r="E1199" s="9">
        <v>3</v>
      </c>
    </row>
    <row r="1200" spans="1:5" x14ac:dyDescent="0.25">
      <c r="A1200" s="7">
        <v>1</v>
      </c>
      <c r="B1200" s="7">
        <v>1665</v>
      </c>
      <c r="C1200" s="7">
        <v>131</v>
      </c>
      <c r="D1200" s="8">
        <v>110.02</v>
      </c>
      <c r="E1200" s="9">
        <v>3</v>
      </c>
    </row>
    <row r="1201" spans="1:5" x14ac:dyDescent="0.25">
      <c r="A1201" s="7">
        <v>1</v>
      </c>
      <c r="B1201" s="7">
        <v>1666</v>
      </c>
      <c r="C1201" s="7">
        <v>131</v>
      </c>
      <c r="D1201" s="8">
        <v>1349.28</v>
      </c>
      <c r="E1201" s="9">
        <v>1</v>
      </c>
    </row>
    <row r="1202" spans="1:5" x14ac:dyDescent="0.25">
      <c r="A1202" s="7">
        <v>1</v>
      </c>
      <c r="B1202" s="7">
        <v>1667</v>
      </c>
      <c r="C1202" s="7">
        <v>131</v>
      </c>
      <c r="D1202" s="8">
        <v>5572.2</v>
      </c>
      <c r="E1202" s="9">
        <v>1</v>
      </c>
    </row>
    <row r="1203" spans="1:5" x14ac:dyDescent="0.25">
      <c r="A1203" s="7">
        <v>1</v>
      </c>
      <c r="B1203" s="7">
        <v>1668</v>
      </c>
      <c r="C1203" s="7">
        <v>131</v>
      </c>
      <c r="D1203" s="8">
        <v>121.66</v>
      </c>
      <c r="E1203" s="9">
        <v>3</v>
      </c>
    </row>
    <row r="1204" spans="1:5" x14ac:dyDescent="0.25">
      <c r="A1204" s="7">
        <v>1</v>
      </c>
      <c r="B1204" s="7">
        <v>1669</v>
      </c>
      <c r="C1204" s="7">
        <v>131</v>
      </c>
      <c r="D1204" s="8">
        <v>5638.63</v>
      </c>
      <c r="E1204" s="9">
        <v>1</v>
      </c>
    </row>
    <row r="1205" spans="1:5" x14ac:dyDescent="0.25">
      <c r="A1205" s="7">
        <v>1</v>
      </c>
      <c r="B1205" s="7">
        <v>1670</v>
      </c>
      <c r="C1205" s="7">
        <v>131</v>
      </c>
      <c r="D1205" s="8">
        <v>118.25</v>
      </c>
      <c r="E1205" s="9">
        <v>3</v>
      </c>
    </row>
    <row r="1206" spans="1:5" x14ac:dyDescent="0.25">
      <c r="A1206" s="7">
        <v>1</v>
      </c>
      <c r="B1206" s="7">
        <v>1671</v>
      </c>
      <c r="C1206" s="7">
        <v>131</v>
      </c>
      <c r="D1206" s="8">
        <v>118.27</v>
      </c>
      <c r="E1206" s="9">
        <v>3</v>
      </c>
    </row>
    <row r="1207" spans="1:5" x14ac:dyDescent="0.25">
      <c r="A1207" s="7">
        <v>1</v>
      </c>
      <c r="B1207" s="7">
        <v>1672</v>
      </c>
      <c r="C1207" s="7">
        <v>902</v>
      </c>
      <c r="D1207" s="8">
        <v>123.77</v>
      </c>
      <c r="E1207" s="9">
        <v>3</v>
      </c>
    </row>
    <row r="1208" spans="1:5" x14ac:dyDescent="0.25">
      <c r="A1208" s="7">
        <v>1</v>
      </c>
      <c r="B1208" s="7">
        <v>1673</v>
      </c>
      <c r="C1208" s="7">
        <v>131</v>
      </c>
      <c r="D1208" s="8">
        <v>118.25</v>
      </c>
      <c r="E1208" s="9">
        <v>3</v>
      </c>
    </row>
    <row r="1209" spans="1:5" x14ac:dyDescent="0.25">
      <c r="A1209" s="7">
        <v>1</v>
      </c>
      <c r="B1209" s="7">
        <v>1674</v>
      </c>
      <c r="C1209" s="7">
        <v>131</v>
      </c>
      <c r="D1209" s="8">
        <v>222.02</v>
      </c>
      <c r="E1209" s="9">
        <v>3</v>
      </c>
    </row>
    <row r="1210" spans="1:5" x14ac:dyDescent="0.25">
      <c r="A1210" s="7">
        <v>1</v>
      </c>
      <c r="B1210" s="7">
        <v>1675</v>
      </c>
      <c r="C1210" s="7">
        <v>131</v>
      </c>
      <c r="D1210" s="8">
        <v>139.06</v>
      </c>
      <c r="E1210" s="9">
        <v>3</v>
      </c>
    </row>
    <row r="1211" spans="1:5" x14ac:dyDescent="0.25">
      <c r="A1211" s="7">
        <v>1</v>
      </c>
      <c r="B1211" s="7">
        <v>1676</v>
      </c>
      <c r="C1211" s="7">
        <v>131</v>
      </c>
      <c r="D1211" s="8">
        <v>139.06</v>
      </c>
      <c r="E1211" s="9">
        <v>3</v>
      </c>
    </row>
    <row r="1212" spans="1:5" x14ac:dyDescent="0.25">
      <c r="A1212" s="7">
        <v>1</v>
      </c>
      <c r="B1212" s="7">
        <v>1677</v>
      </c>
      <c r="C1212" s="7">
        <v>131</v>
      </c>
      <c r="D1212" s="8">
        <v>132.19</v>
      </c>
      <c r="E1212" s="9">
        <v>3</v>
      </c>
    </row>
    <row r="1213" spans="1:5" x14ac:dyDescent="0.25">
      <c r="A1213" s="7">
        <v>1</v>
      </c>
      <c r="B1213" s="7">
        <v>1679</v>
      </c>
      <c r="C1213" s="7">
        <v>131</v>
      </c>
      <c r="D1213" s="8">
        <v>6685.97</v>
      </c>
      <c r="E1213" s="9">
        <v>1</v>
      </c>
    </row>
    <row r="1214" spans="1:5" x14ac:dyDescent="0.25">
      <c r="A1214" s="7">
        <v>1</v>
      </c>
      <c r="B1214" s="7">
        <v>1680</v>
      </c>
      <c r="C1214" s="7">
        <v>131</v>
      </c>
      <c r="D1214" s="8">
        <v>201.48</v>
      </c>
      <c r="E1214" s="9">
        <v>3</v>
      </c>
    </row>
    <row r="1215" spans="1:5" x14ac:dyDescent="0.25">
      <c r="A1215" s="7">
        <v>1</v>
      </c>
      <c r="B1215" s="7">
        <v>1681</v>
      </c>
      <c r="C1215" s="7">
        <v>131</v>
      </c>
      <c r="D1215" s="8">
        <v>62.98</v>
      </c>
      <c r="E1215" s="9">
        <v>3</v>
      </c>
    </row>
    <row r="1216" spans="1:5" x14ac:dyDescent="0.25">
      <c r="A1216" s="7">
        <v>1</v>
      </c>
      <c r="B1216" s="7">
        <v>1682</v>
      </c>
      <c r="C1216" s="7">
        <v>131</v>
      </c>
      <c r="D1216" s="8">
        <v>137.9</v>
      </c>
      <c r="E1216" s="9">
        <v>3</v>
      </c>
    </row>
    <row r="1217" spans="1:5" x14ac:dyDescent="0.25">
      <c r="A1217" s="7">
        <v>1</v>
      </c>
      <c r="B1217" s="7">
        <v>1683</v>
      </c>
      <c r="C1217" s="7">
        <v>131</v>
      </c>
      <c r="D1217" s="8">
        <v>139.06</v>
      </c>
      <c r="E1217" s="9">
        <v>3</v>
      </c>
    </row>
    <row r="1218" spans="1:5" x14ac:dyDescent="0.25">
      <c r="A1218" s="7">
        <v>1</v>
      </c>
      <c r="B1218" s="7">
        <v>1684</v>
      </c>
      <c r="C1218" s="7">
        <v>131</v>
      </c>
      <c r="D1218" s="8">
        <v>139.06</v>
      </c>
      <c r="E1218" s="9">
        <v>3</v>
      </c>
    </row>
    <row r="1219" spans="1:5" x14ac:dyDescent="0.25">
      <c r="A1219" s="7">
        <v>1</v>
      </c>
      <c r="B1219" s="7">
        <v>1685</v>
      </c>
      <c r="C1219" s="7">
        <v>131</v>
      </c>
      <c r="D1219" s="8">
        <v>149.83</v>
      </c>
      <c r="E1219" s="9">
        <v>3</v>
      </c>
    </row>
    <row r="1220" spans="1:5" x14ac:dyDescent="0.25">
      <c r="A1220" s="7">
        <v>1</v>
      </c>
      <c r="B1220" s="7">
        <v>1686</v>
      </c>
      <c r="C1220" s="7">
        <v>131</v>
      </c>
      <c r="D1220" s="8">
        <v>137.93</v>
      </c>
      <c r="E1220" s="9">
        <v>3</v>
      </c>
    </row>
    <row r="1221" spans="1:5" x14ac:dyDescent="0.25">
      <c r="A1221" s="7">
        <v>1</v>
      </c>
      <c r="B1221" s="7">
        <v>1687</v>
      </c>
      <c r="C1221" s="7">
        <v>131</v>
      </c>
      <c r="D1221" s="8">
        <v>137.9</v>
      </c>
      <c r="E1221" s="9">
        <v>3</v>
      </c>
    </row>
    <row r="1222" spans="1:5" x14ac:dyDescent="0.25">
      <c r="A1222" s="7">
        <v>1</v>
      </c>
      <c r="B1222" s="7">
        <v>1688</v>
      </c>
      <c r="C1222" s="7">
        <v>131</v>
      </c>
      <c r="D1222" s="8">
        <v>264.8</v>
      </c>
      <c r="E1222" s="9">
        <v>3</v>
      </c>
    </row>
    <row r="1223" spans="1:5" x14ac:dyDescent="0.25">
      <c r="A1223" s="7">
        <v>1</v>
      </c>
      <c r="B1223" s="7">
        <v>1689</v>
      </c>
      <c r="C1223" s="7">
        <v>131</v>
      </c>
      <c r="D1223" s="8">
        <v>202.97</v>
      </c>
      <c r="E1223" s="9">
        <v>3</v>
      </c>
    </row>
    <row r="1224" spans="1:5" x14ac:dyDescent="0.25">
      <c r="A1224" s="7">
        <v>1</v>
      </c>
      <c r="B1224" s="7">
        <v>1690</v>
      </c>
      <c r="C1224" s="7">
        <v>131</v>
      </c>
      <c r="D1224" s="8">
        <v>137.9</v>
      </c>
      <c r="E1224" s="9">
        <v>3</v>
      </c>
    </row>
    <row r="1225" spans="1:5" x14ac:dyDescent="0.25">
      <c r="A1225" s="7">
        <v>1</v>
      </c>
      <c r="B1225" s="7">
        <v>1691</v>
      </c>
      <c r="C1225" s="7">
        <v>131</v>
      </c>
      <c r="D1225" s="8">
        <v>139.06</v>
      </c>
      <c r="E1225" s="9">
        <v>3</v>
      </c>
    </row>
    <row r="1226" spans="1:5" x14ac:dyDescent="0.25">
      <c r="A1226" s="7">
        <v>1</v>
      </c>
      <c r="B1226" s="7">
        <v>1692</v>
      </c>
      <c r="C1226" s="7">
        <v>131</v>
      </c>
      <c r="D1226" s="8">
        <v>139.06</v>
      </c>
      <c r="E1226" s="9">
        <v>3</v>
      </c>
    </row>
    <row r="1227" spans="1:5" x14ac:dyDescent="0.25">
      <c r="A1227" s="7">
        <v>1</v>
      </c>
      <c r="B1227" s="7">
        <v>1693</v>
      </c>
      <c r="C1227" s="7">
        <v>131</v>
      </c>
      <c r="D1227" s="8">
        <v>159.74</v>
      </c>
      <c r="E1227" s="9">
        <v>3</v>
      </c>
    </row>
    <row r="1228" spans="1:5" x14ac:dyDescent="0.25">
      <c r="A1228" s="7">
        <v>1</v>
      </c>
      <c r="B1228" s="7">
        <v>1694</v>
      </c>
      <c r="C1228" s="7">
        <v>131</v>
      </c>
      <c r="D1228" s="8">
        <v>159.74</v>
      </c>
      <c r="E1228" s="9">
        <v>3</v>
      </c>
    </row>
    <row r="1229" spans="1:5" x14ac:dyDescent="0.25">
      <c r="A1229" s="7">
        <v>1</v>
      </c>
      <c r="B1229" s="7">
        <v>1695</v>
      </c>
      <c r="C1229" s="7">
        <v>131</v>
      </c>
      <c r="D1229" s="8">
        <v>159.74</v>
      </c>
      <c r="E1229" s="9">
        <v>3</v>
      </c>
    </row>
    <row r="1230" spans="1:5" x14ac:dyDescent="0.25">
      <c r="A1230" s="7">
        <v>1</v>
      </c>
      <c r="B1230" s="7">
        <v>1696</v>
      </c>
      <c r="C1230" s="7">
        <v>131</v>
      </c>
      <c r="D1230" s="8">
        <v>159.46</v>
      </c>
      <c r="E1230" s="9">
        <v>3</v>
      </c>
    </row>
    <row r="1231" spans="1:5" x14ac:dyDescent="0.25">
      <c r="A1231" s="7">
        <v>1</v>
      </c>
      <c r="B1231" s="7">
        <v>1697</v>
      </c>
      <c r="C1231" s="7">
        <v>146</v>
      </c>
      <c r="D1231" s="8">
        <v>25533.37</v>
      </c>
      <c r="E1231" s="9">
        <v>1</v>
      </c>
    </row>
    <row r="1232" spans="1:5" x14ac:dyDescent="0.25">
      <c r="A1232" s="7">
        <v>1</v>
      </c>
      <c r="B1232" s="7">
        <v>1698</v>
      </c>
      <c r="C1232" s="7">
        <v>146</v>
      </c>
      <c r="D1232" s="8">
        <v>23490.68</v>
      </c>
      <c r="E1232" s="9">
        <v>1</v>
      </c>
    </row>
    <row r="1233" spans="1:5" x14ac:dyDescent="0.25">
      <c r="A1233" s="7">
        <v>1</v>
      </c>
      <c r="B1233" s="7">
        <v>1699</v>
      </c>
      <c r="C1233" s="7">
        <v>146</v>
      </c>
      <c r="D1233" s="8">
        <v>23490.68</v>
      </c>
      <c r="E1233" s="9">
        <v>1</v>
      </c>
    </row>
    <row r="1234" spans="1:5" x14ac:dyDescent="0.25">
      <c r="A1234" s="7">
        <v>1</v>
      </c>
      <c r="B1234" s="7">
        <v>1701</v>
      </c>
      <c r="C1234" s="7">
        <v>122</v>
      </c>
      <c r="D1234" s="8">
        <v>11.24</v>
      </c>
      <c r="E1234" s="9">
        <v>2</v>
      </c>
    </row>
    <row r="1235" spans="1:5" x14ac:dyDescent="0.25">
      <c r="A1235" s="7">
        <v>1</v>
      </c>
      <c r="B1235" s="7">
        <v>1703</v>
      </c>
      <c r="C1235" s="7">
        <v>131</v>
      </c>
      <c r="D1235" s="8">
        <v>148.58</v>
      </c>
      <c r="E1235" s="9">
        <v>3</v>
      </c>
    </row>
    <row r="1236" spans="1:5" x14ac:dyDescent="0.25">
      <c r="A1236" s="7">
        <v>1</v>
      </c>
      <c r="B1236" s="7">
        <v>1705</v>
      </c>
      <c r="C1236" s="7">
        <v>139</v>
      </c>
      <c r="D1236" s="8">
        <v>163057.48</v>
      </c>
      <c r="E1236" s="9">
        <v>1</v>
      </c>
    </row>
    <row r="1237" spans="1:5" x14ac:dyDescent="0.25">
      <c r="A1237" s="7">
        <v>1</v>
      </c>
      <c r="B1237" s="7">
        <v>1707</v>
      </c>
      <c r="C1237" s="7">
        <v>146</v>
      </c>
      <c r="D1237" s="8">
        <v>23490.68</v>
      </c>
      <c r="E1237" s="9">
        <v>1</v>
      </c>
    </row>
    <row r="1238" spans="1:5" x14ac:dyDescent="0.25">
      <c r="A1238" s="7">
        <v>1</v>
      </c>
      <c r="B1238" s="7">
        <v>1708</v>
      </c>
      <c r="C1238" s="7">
        <v>902</v>
      </c>
      <c r="D1238" s="8">
        <v>23772.57</v>
      </c>
      <c r="E1238" s="9">
        <v>1</v>
      </c>
    </row>
    <row r="1239" spans="1:5" x14ac:dyDescent="0.25">
      <c r="A1239" s="7">
        <v>1</v>
      </c>
      <c r="B1239" s="7">
        <v>1709</v>
      </c>
      <c r="C1239" s="7">
        <v>146</v>
      </c>
      <c r="D1239" s="8">
        <v>32736.96</v>
      </c>
      <c r="E1239" s="9">
        <v>1</v>
      </c>
    </row>
    <row r="1240" spans="1:5" x14ac:dyDescent="0.25">
      <c r="A1240" s="7">
        <v>1</v>
      </c>
      <c r="B1240" s="7">
        <v>1710</v>
      </c>
      <c r="C1240" s="7">
        <v>146</v>
      </c>
      <c r="D1240" s="8">
        <v>32736.96</v>
      </c>
      <c r="E1240" s="9">
        <v>1</v>
      </c>
    </row>
    <row r="1241" spans="1:5" x14ac:dyDescent="0.25">
      <c r="A1241" s="7">
        <v>1</v>
      </c>
      <c r="B1241" s="7">
        <v>1716</v>
      </c>
      <c r="C1241" s="7">
        <v>181</v>
      </c>
      <c r="D1241" s="8">
        <v>1.57</v>
      </c>
      <c r="E1241" s="9">
        <v>2</v>
      </c>
    </row>
    <row r="1242" spans="1:5" x14ac:dyDescent="0.25">
      <c r="A1242" s="7">
        <v>1</v>
      </c>
      <c r="B1242" s="7">
        <v>1717</v>
      </c>
      <c r="C1242" s="7">
        <v>181</v>
      </c>
      <c r="D1242" s="8">
        <v>1.97</v>
      </c>
      <c r="E1242" s="9">
        <v>2</v>
      </c>
    </row>
    <row r="1243" spans="1:5" x14ac:dyDescent="0.25">
      <c r="A1243" s="7">
        <v>1</v>
      </c>
      <c r="B1243" s="7">
        <v>1718</v>
      </c>
      <c r="C1243" s="7">
        <v>181</v>
      </c>
      <c r="D1243" s="8">
        <v>2.35</v>
      </c>
      <c r="E1243" s="9">
        <v>2</v>
      </c>
    </row>
    <row r="1244" spans="1:5" x14ac:dyDescent="0.25">
      <c r="A1244" s="7">
        <v>1</v>
      </c>
      <c r="B1244" s="7">
        <v>1719</v>
      </c>
      <c r="C1244" s="7">
        <v>181</v>
      </c>
      <c r="D1244" s="8">
        <v>3.15</v>
      </c>
      <c r="E1244" s="9">
        <v>2</v>
      </c>
    </row>
    <row r="1245" spans="1:5" x14ac:dyDescent="0.25">
      <c r="A1245" s="7">
        <v>1</v>
      </c>
      <c r="B1245" s="7">
        <v>1720</v>
      </c>
      <c r="C1245" s="7">
        <v>181</v>
      </c>
      <c r="D1245" s="8">
        <v>4.72</v>
      </c>
      <c r="E1245" s="9">
        <v>2</v>
      </c>
    </row>
    <row r="1246" spans="1:5" x14ac:dyDescent="0.25">
      <c r="A1246" s="7">
        <v>1</v>
      </c>
      <c r="B1246" s="7">
        <v>1721</v>
      </c>
      <c r="C1246" s="7">
        <v>181</v>
      </c>
      <c r="D1246" s="8">
        <v>6.3</v>
      </c>
      <c r="E1246" s="9">
        <v>2</v>
      </c>
    </row>
    <row r="1247" spans="1:5" x14ac:dyDescent="0.25">
      <c r="A1247" s="7">
        <v>1</v>
      </c>
      <c r="B1247" s="7">
        <v>1722</v>
      </c>
      <c r="C1247" s="7">
        <v>181</v>
      </c>
      <c r="D1247" s="8">
        <v>2.35</v>
      </c>
      <c r="E1247" s="9">
        <v>2</v>
      </c>
    </row>
    <row r="1248" spans="1:5" x14ac:dyDescent="0.25">
      <c r="A1248" s="7">
        <v>1</v>
      </c>
      <c r="B1248" s="7">
        <v>1723</v>
      </c>
      <c r="C1248" s="7">
        <v>181</v>
      </c>
      <c r="D1248" s="8">
        <v>6.25</v>
      </c>
      <c r="E1248" s="9">
        <v>2</v>
      </c>
    </row>
    <row r="1249" spans="1:5" x14ac:dyDescent="0.25">
      <c r="A1249" s="7">
        <v>1</v>
      </c>
      <c r="B1249" s="7">
        <v>1724</v>
      </c>
      <c r="C1249" s="7">
        <v>108</v>
      </c>
      <c r="D1249" s="8">
        <v>121117.01</v>
      </c>
      <c r="E1249" s="9">
        <v>1</v>
      </c>
    </row>
    <row r="1250" spans="1:5" x14ac:dyDescent="0.25">
      <c r="A1250" s="7">
        <v>1</v>
      </c>
      <c r="B1250" s="7">
        <v>1725</v>
      </c>
      <c r="C1250" s="7">
        <v>108</v>
      </c>
      <c r="D1250" s="8">
        <v>121117.01</v>
      </c>
      <c r="E1250" s="9">
        <v>1</v>
      </c>
    </row>
    <row r="1251" spans="1:5" x14ac:dyDescent="0.25">
      <c r="A1251" s="7">
        <v>1</v>
      </c>
      <c r="B1251" s="7">
        <v>1730</v>
      </c>
      <c r="C1251" s="7">
        <v>108</v>
      </c>
      <c r="D1251" s="8">
        <v>58626.11</v>
      </c>
      <c r="E1251" s="9">
        <v>1</v>
      </c>
    </row>
    <row r="1252" spans="1:5" x14ac:dyDescent="0.25">
      <c r="A1252" s="7">
        <v>1</v>
      </c>
      <c r="B1252" s="7">
        <v>1731</v>
      </c>
      <c r="C1252" s="7">
        <v>108</v>
      </c>
      <c r="D1252" s="8">
        <v>202474.36</v>
      </c>
      <c r="E1252" s="9">
        <v>1</v>
      </c>
    </row>
    <row r="1253" spans="1:5" x14ac:dyDescent="0.25">
      <c r="A1253" s="7">
        <v>1</v>
      </c>
      <c r="B1253" s="7">
        <v>1734</v>
      </c>
      <c r="C1253" s="7">
        <v>108</v>
      </c>
      <c r="D1253" s="8">
        <v>58626.11</v>
      </c>
      <c r="E1253" s="9">
        <v>1</v>
      </c>
    </row>
    <row r="1254" spans="1:5" x14ac:dyDescent="0.25">
      <c r="A1254" s="7">
        <v>1</v>
      </c>
      <c r="B1254" s="7">
        <v>1735</v>
      </c>
      <c r="C1254" s="7">
        <v>108</v>
      </c>
      <c r="D1254" s="8">
        <v>202474.36</v>
      </c>
      <c r="E1254" s="9">
        <v>1</v>
      </c>
    </row>
    <row r="1255" spans="1:5" x14ac:dyDescent="0.25">
      <c r="A1255" s="7">
        <v>1</v>
      </c>
      <c r="B1255" s="7">
        <v>1736</v>
      </c>
      <c r="C1255" s="7">
        <v>108</v>
      </c>
      <c r="D1255" s="8">
        <v>52453.97</v>
      </c>
      <c r="E1255" s="9">
        <v>1</v>
      </c>
    </row>
    <row r="1256" spans="1:5" x14ac:dyDescent="0.25">
      <c r="A1256" s="7">
        <v>1</v>
      </c>
      <c r="B1256" s="7">
        <v>1737</v>
      </c>
      <c r="C1256" s="7">
        <v>108</v>
      </c>
      <c r="D1256" s="8">
        <v>181161.35</v>
      </c>
      <c r="E1256" s="9">
        <v>1</v>
      </c>
    </row>
    <row r="1257" spans="1:5" x14ac:dyDescent="0.25">
      <c r="A1257" s="7">
        <v>1</v>
      </c>
      <c r="B1257" s="7">
        <v>1738</v>
      </c>
      <c r="C1257" s="7">
        <v>140</v>
      </c>
      <c r="D1257" s="8">
        <v>14295.14</v>
      </c>
      <c r="E1257" s="9">
        <v>1</v>
      </c>
    </row>
    <row r="1258" spans="1:5" x14ac:dyDescent="0.25">
      <c r="A1258" s="7">
        <v>1</v>
      </c>
      <c r="B1258" s="7">
        <v>1739</v>
      </c>
      <c r="C1258" s="7">
        <v>140</v>
      </c>
      <c r="D1258" s="8">
        <v>23336.08</v>
      </c>
      <c r="E1258" s="9">
        <v>1</v>
      </c>
    </row>
    <row r="1259" spans="1:5" x14ac:dyDescent="0.25">
      <c r="A1259" s="7">
        <v>1</v>
      </c>
      <c r="B1259" s="7">
        <v>1741</v>
      </c>
      <c r="C1259" s="7">
        <v>110</v>
      </c>
      <c r="D1259" s="8">
        <v>209746.9</v>
      </c>
      <c r="E1259" s="9">
        <v>1</v>
      </c>
    </row>
    <row r="1260" spans="1:5" x14ac:dyDescent="0.25">
      <c r="A1260" s="7">
        <v>1</v>
      </c>
      <c r="B1260" s="7">
        <v>1744</v>
      </c>
      <c r="C1260" s="7">
        <v>902</v>
      </c>
      <c r="D1260" s="8">
        <v>56159.97</v>
      </c>
      <c r="E1260" s="9">
        <v>1</v>
      </c>
    </row>
    <row r="1261" spans="1:5" x14ac:dyDescent="0.25">
      <c r="A1261" s="7">
        <v>1</v>
      </c>
      <c r="B1261" s="7">
        <v>1745</v>
      </c>
      <c r="C1261" s="7">
        <v>902</v>
      </c>
      <c r="D1261" s="8">
        <v>115811.6</v>
      </c>
      <c r="E1261" s="9">
        <v>1</v>
      </c>
    </row>
    <row r="1262" spans="1:5" x14ac:dyDescent="0.25">
      <c r="A1262" s="7">
        <v>1</v>
      </c>
      <c r="B1262" s="7">
        <v>1746</v>
      </c>
      <c r="C1262" s="7">
        <v>902</v>
      </c>
      <c r="D1262" s="8">
        <v>193019.97</v>
      </c>
      <c r="E1262" s="9">
        <v>1</v>
      </c>
    </row>
    <row r="1263" spans="1:5" x14ac:dyDescent="0.25">
      <c r="A1263" s="7">
        <v>1</v>
      </c>
      <c r="B1263" s="7">
        <v>1747</v>
      </c>
      <c r="C1263" s="7">
        <v>138</v>
      </c>
      <c r="D1263" s="8">
        <v>32654.63</v>
      </c>
      <c r="E1263" s="9">
        <v>1</v>
      </c>
    </row>
    <row r="1264" spans="1:5" x14ac:dyDescent="0.25">
      <c r="A1264" s="7">
        <v>1</v>
      </c>
      <c r="B1264" s="7">
        <v>1748</v>
      </c>
      <c r="C1264" s="7">
        <v>138</v>
      </c>
      <c r="D1264" s="8">
        <v>32654.63</v>
      </c>
      <c r="E1264" s="9">
        <v>1</v>
      </c>
    </row>
    <row r="1265" spans="1:5" x14ac:dyDescent="0.25">
      <c r="A1265" s="7">
        <v>1</v>
      </c>
      <c r="B1265" s="7">
        <v>1749</v>
      </c>
      <c r="C1265" s="7">
        <v>138</v>
      </c>
      <c r="D1265" s="8">
        <v>32654.63</v>
      </c>
      <c r="E1265" s="9">
        <v>1</v>
      </c>
    </row>
    <row r="1266" spans="1:5" x14ac:dyDescent="0.25">
      <c r="A1266" s="7">
        <v>1</v>
      </c>
      <c r="B1266" s="7">
        <v>1750</v>
      </c>
      <c r="C1266" s="7">
        <v>138</v>
      </c>
      <c r="D1266" s="8">
        <v>21779.91</v>
      </c>
      <c r="E1266" s="9">
        <v>1</v>
      </c>
    </row>
    <row r="1267" spans="1:5" x14ac:dyDescent="0.25">
      <c r="A1267" s="7">
        <v>1</v>
      </c>
      <c r="B1267" s="7">
        <v>1751</v>
      </c>
      <c r="C1267" s="7">
        <v>152</v>
      </c>
      <c r="D1267" s="8">
        <v>7368.43</v>
      </c>
      <c r="E1267" s="9">
        <v>1</v>
      </c>
    </row>
    <row r="1268" spans="1:5" x14ac:dyDescent="0.25">
      <c r="A1268" s="7">
        <v>1</v>
      </c>
      <c r="B1268" s="7">
        <v>1752</v>
      </c>
      <c r="C1268" s="7">
        <v>152</v>
      </c>
      <c r="D1268" s="8">
        <v>21087.16</v>
      </c>
      <c r="E1268" s="9">
        <v>1</v>
      </c>
    </row>
    <row r="1269" spans="1:5" x14ac:dyDescent="0.25">
      <c r="A1269" s="7">
        <v>1</v>
      </c>
      <c r="B1269" s="7">
        <v>1753</v>
      </c>
      <c r="C1269" s="7">
        <v>152</v>
      </c>
      <c r="D1269" s="8">
        <v>44519.36</v>
      </c>
      <c r="E1269" s="9">
        <v>1</v>
      </c>
    </row>
    <row r="1270" spans="1:5" x14ac:dyDescent="0.25">
      <c r="A1270" s="7">
        <v>1</v>
      </c>
      <c r="B1270" s="7">
        <v>1754</v>
      </c>
      <c r="C1270" s="7">
        <v>152</v>
      </c>
      <c r="D1270" s="8">
        <v>78587.02</v>
      </c>
      <c r="E1270" s="9">
        <v>1</v>
      </c>
    </row>
    <row r="1271" spans="1:5" x14ac:dyDescent="0.25">
      <c r="A1271" s="7">
        <v>1</v>
      </c>
      <c r="B1271" s="7">
        <v>1758</v>
      </c>
      <c r="C1271" s="7">
        <v>102</v>
      </c>
      <c r="D1271" s="8">
        <v>3001.91</v>
      </c>
      <c r="E1271" s="9">
        <v>1</v>
      </c>
    </row>
    <row r="1272" spans="1:5" x14ac:dyDescent="0.25">
      <c r="A1272" s="7">
        <v>1</v>
      </c>
      <c r="B1272" s="7">
        <v>1760</v>
      </c>
      <c r="C1272" s="7">
        <v>102</v>
      </c>
      <c r="D1272" s="8">
        <v>3001.91</v>
      </c>
      <c r="E1272" s="9">
        <v>1</v>
      </c>
    </row>
    <row r="1273" spans="1:5" x14ac:dyDescent="0.25">
      <c r="A1273" s="7">
        <v>1</v>
      </c>
      <c r="B1273" s="7">
        <v>1761</v>
      </c>
      <c r="C1273" s="7">
        <v>102</v>
      </c>
      <c r="D1273" s="8">
        <v>3001.91</v>
      </c>
      <c r="E1273" s="9">
        <v>1</v>
      </c>
    </row>
    <row r="1274" spans="1:5" x14ac:dyDescent="0.25">
      <c r="A1274" s="7">
        <v>1</v>
      </c>
      <c r="B1274" s="7">
        <v>1762</v>
      </c>
      <c r="C1274" s="7">
        <v>102</v>
      </c>
      <c r="D1274" s="8">
        <v>3001.91</v>
      </c>
      <c r="E1274" s="9">
        <v>1</v>
      </c>
    </row>
    <row r="1275" spans="1:5" x14ac:dyDescent="0.25">
      <c r="A1275" s="7">
        <v>1</v>
      </c>
      <c r="B1275" s="7">
        <v>1763</v>
      </c>
      <c r="C1275" s="7">
        <v>102</v>
      </c>
      <c r="D1275" s="8">
        <v>3001.91</v>
      </c>
      <c r="E1275" s="9">
        <v>1</v>
      </c>
    </row>
    <row r="1276" spans="1:5" x14ac:dyDescent="0.25">
      <c r="A1276" s="7">
        <v>1</v>
      </c>
      <c r="B1276" s="7">
        <v>1764</v>
      </c>
      <c r="C1276" s="7">
        <v>102</v>
      </c>
      <c r="D1276" s="8">
        <v>3001.91</v>
      </c>
      <c r="E1276" s="9">
        <v>1</v>
      </c>
    </row>
    <row r="1277" spans="1:5" x14ac:dyDescent="0.25">
      <c r="A1277" s="7">
        <v>1</v>
      </c>
      <c r="B1277" s="7">
        <v>1765</v>
      </c>
      <c r="C1277" s="7">
        <v>102</v>
      </c>
      <c r="D1277" s="8">
        <v>3001.91</v>
      </c>
      <c r="E1277" s="9">
        <v>1</v>
      </c>
    </row>
    <row r="1278" spans="1:5" x14ac:dyDescent="0.25">
      <c r="A1278" s="7">
        <v>1</v>
      </c>
      <c r="B1278" s="7">
        <v>1766</v>
      </c>
      <c r="C1278" s="7">
        <v>102</v>
      </c>
      <c r="D1278" s="8">
        <v>3001.91</v>
      </c>
      <c r="E1278" s="9">
        <v>1</v>
      </c>
    </row>
    <row r="1279" spans="1:5" x14ac:dyDescent="0.25">
      <c r="A1279" s="7">
        <v>1</v>
      </c>
      <c r="B1279" s="7">
        <v>1767</v>
      </c>
      <c r="C1279" s="7">
        <v>102</v>
      </c>
      <c r="D1279" s="8">
        <v>3001.91</v>
      </c>
      <c r="E1279" s="9">
        <v>1</v>
      </c>
    </row>
    <row r="1280" spans="1:5" x14ac:dyDescent="0.25">
      <c r="A1280" s="7">
        <v>1</v>
      </c>
      <c r="B1280" s="7">
        <v>1768</v>
      </c>
      <c r="C1280" s="7">
        <v>102</v>
      </c>
      <c r="D1280" s="8">
        <v>3001.91</v>
      </c>
      <c r="E1280" s="9">
        <v>1</v>
      </c>
    </row>
    <row r="1281" spans="1:5" x14ac:dyDescent="0.25">
      <c r="A1281" s="7">
        <v>1</v>
      </c>
      <c r="B1281" s="7">
        <v>1769</v>
      </c>
      <c r="C1281" s="7">
        <v>102</v>
      </c>
      <c r="D1281" s="8">
        <v>3001.91</v>
      </c>
      <c r="E1281" s="9">
        <v>1</v>
      </c>
    </row>
    <row r="1282" spans="1:5" x14ac:dyDescent="0.25">
      <c r="A1282" s="7">
        <v>1</v>
      </c>
      <c r="B1282" s="7">
        <v>1770</v>
      </c>
      <c r="C1282" s="7">
        <v>102</v>
      </c>
      <c r="D1282" s="8">
        <v>3001.91</v>
      </c>
      <c r="E1282" s="9">
        <v>1</v>
      </c>
    </row>
    <row r="1283" spans="1:5" x14ac:dyDescent="0.25">
      <c r="A1283" s="7">
        <v>1</v>
      </c>
      <c r="B1283" s="7">
        <v>1779</v>
      </c>
      <c r="C1283" s="7">
        <v>150</v>
      </c>
      <c r="D1283" s="8">
        <v>13384.61</v>
      </c>
      <c r="E1283" s="9">
        <v>1</v>
      </c>
    </row>
    <row r="1284" spans="1:5" x14ac:dyDescent="0.25">
      <c r="A1284" s="7">
        <v>1</v>
      </c>
      <c r="B1284" s="7">
        <v>1780</v>
      </c>
      <c r="C1284" s="7">
        <v>150</v>
      </c>
      <c r="D1284" s="8">
        <v>39731.19</v>
      </c>
      <c r="E1284" s="9">
        <v>1</v>
      </c>
    </row>
    <row r="1285" spans="1:5" x14ac:dyDescent="0.25">
      <c r="A1285" s="7">
        <v>1</v>
      </c>
      <c r="B1285" s="7">
        <v>1781</v>
      </c>
      <c r="C1285" s="7">
        <v>150</v>
      </c>
      <c r="D1285" s="8">
        <v>89750.41</v>
      </c>
      <c r="E1285" s="9">
        <v>1</v>
      </c>
    </row>
    <row r="1286" spans="1:5" x14ac:dyDescent="0.25">
      <c r="A1286" s="7">
        <v>1</v>
      </c>
      <c r="B1286" s="7">
        <v>1782</v>
      </c>
      <c r="C1286" s="7">
        <v>150</v>
      </c>
      <c r="D1286" s="8">
        <v>156069.94</v>
      </c>
      <c r="E1286" s="9">
        <v>1</v>
      </c>
    </row>
    <row r="1287" spans="1:5" x14ac:dyDescent="0.25">
      <c r="A1287" s="7">
        <v>1</v>
      </c>
      <c r="B1287" s="7">
        <v>1783</v>
      </c>
      <c r="C1287" s="7">
        <v>150</v>
      </c>
      <c r="D1287" s="8">
        <v>16569.02</v>
      </c>
      <c r="E1287" s="9">
        <v>1</v>
      </c>
    </row>
    <row r="1288" spans="1:5" x14ac:dyDescent="0.25">
      <c r="A1288" s="7">
        <v>1</v>
      </c>
      <c r="B1288" s="7">
        <v>1784</v>
      </c>
      <c r="C1288" s="7">
        <v>150</v>
      </c>
      <c r="D1288" s="8">
        <v>49625.96</v>
      </c>
      <c r="E1288" s="9">
        <v>1</v>
      </c>
    </row>
    <row r="1289" spans="1:5" x14ac:dyDescent="0.25">
      <c r="A1289" s="7">
        <v>1</v>
      </c>
      <c r="B1289" s="7">
        <v>1785</v>
      </c>
      <c r="C1289" s="7">
        <v>150</v>
      </c>
      <c r="D1289" s="8">
        <v>113204.57</v>
      </c>
      <c r="E1289" s="9">
        <v>1</v>
      </c>
    </row>
    <row r="1290" spans="1:5" x14ac:dyDescent="0.25">
      <c r="A1290" s="7">
        <v>1</v>
      </c>
      <c r="B1290" s="7">
        <v>1786</v>
      </c>
      <c r="C1290" s="7">
        <v>150</v>
      </c>
      <c r="D1290" s="8">
        <v>196067.89</v>
      </c>
      <c r="E1290" s="9">
        <v>1</v>
      </c>
    </row>
    <row r="1291" spans="1:5" x14ac:dyDescent="0.25">
      <c r="A1291" s="7">
        <v>1</v>
      </c>
      <c r="B1291" s="7">
        <v>1794</v>
      </c>
      <c r="C1291" s="7">
        <v>150</v>
      </c>
      <c r="D1291" s="8">
        <v>88562.61</v>
      </c>
      <c r="E1291" s="9">
        <v>1</v>
      </c>
    </row>
    <row r="1292" spans="1:5" x14ac:dyDescent="0.25">
      <c r="A1292" s="7">
        <v>1</v>
      </c>
      <c r="B1292" s="7">
        <v>1806</v>
      </c>
      <c r="C1292" s="7">
        <v>152</v>
      </c>
      <c r="D1292" s="8">
        <v>25253.83</v>
      </c>
      <c r="E1292" s="9">
        <v>1</v>
      </c>
    </row>
    <row r="1293" spans="1:5" x14ac:dyDescent="0.25">
      <c r="A1293" s="7">
        <v>1</v>
      </c>
      <c r="B1293" s="7">
        <v>1807</v>
      </c>
      <c r="C1293" s="7">
        <v>152</v>
      </c>
      <c r="D1293" s="8">
        <v>55388.63</v>
      </c>
      <c r="E1293" s="9">
        <v>1</v>
      </c>
    </row>
    <row r="1294" spans="1:5" x14ac:dyDescent="0.25">
      <c r="A1294" s="7">
        <v>1</v>
      </c>
      <c r="B1294" s="7">
        <v>1808</v>
      </c>
      <c r="C1294" s="7">
        <v>152</v>
      </c>
      <c r="D1294" s="8">
        <v>98407.76</v>
      </c>
      <c r="E1294" s="9">
        <v>1</v>
      </c>
    </row>
    <row r="1295" spans="1:5" x14ac:dyDescent="0.25">
      <c r="A1295" s="7">
        <v>1</v>
      </c>
      <c r="B1295" s="7">
        <v>1830</v>
      </c>
      <c r="C1295" s="7">
        <v>152</v>
      </c>
      <c r="D1295" s="8">
        <v>12544.61</v>
      </c>
      <c r="E1295" s="9">
        <v>1</v>
      </c>
    </row>
    <row r="1296" spans="1:5" x14ac:dyDescent="0.25">
      <c r="A1296" s="7">
        <v>1</v>
      </c>
      <c r="B1296" s="7">
        <v>1831</v>
      </c>
      <c r="C1296" s="7">
        <v>152</v>
      </c>
      <c r="D1296" s="8">
        <v>41680.33</v>
      </c>
      <c r="E1296" s="9">
        <v>1</v>
      </c>
    </row>
    <row r="1297" spans="1:5" x14ac:dyDescent="0.25">
      <c r="A1297" s="7">
        <v>1</v>
      </c>
      <c r="B1297" s="7">
        <v>1832</v>
      </c>
      <c r="C1297" s="7">
        <v>152</v>
      </c>
      <c r="D1297" s="8">
        <v>92000.97</v>
      </c>
      <c r="E1297" s="9">
        <v>1</v>
      </c>
    </row>
    <row r="1298" spans="1:5" x14ac:dyDescent="0.25">
      <c r="A1298" s="7">
        <v>1</v>
      </c>
      <c r="B1298" s="7">
        <v>1833</v>
      </c>
      <c r="C1298" s="7">
        <v>152</v>
      </c>
      <c r="D1298" s="8">
        <v>162912.2</v>
      </c>
      <c r="E1298" s="9">
        <v>1</v>
      </c>
    </row>
    <row r="1299" spans="1:5" x14ac:dyDescent="0.25">
      <c r="A1299" s="7">
        <v>1</v>
      </c>
      <c r="B1299" s="7">
        <v>1837</v>
      </c>
      <c r="C1299" s="7">
        <v>152</v>
      </c>
      <c r="D1299" s="8">
        <v>239642.68</v>
      </c>
      <c r="E1299" s="9">
        <v>1</v>
      </c>
    </row>
    <row r="1300" spans="1:5" x14ac:dyDescent="0.25">
      <c r="A1300" s="7">
        <v>1</v>
      </c>
      <c r="B1300" s="7">
        <v>1840</v>
      </c>
      <c r="C1300" s="7">
        <v>152</v>
      </c>
      <c r="D1300" s="8">
        <v>162300.33</v>
      </c>
      <c r="E1300" s="9">
        <v>1</v>
      </c>
    </row>
    <row r="1301" spans="1:5" x14ac:dyDescent="0.25">
      <c r="A1301" s="7">
        <v>1</v>
      </c>
      <c r="B1301" s="7">
        <v>1841</v>
      </c>
      <c r="C1301" s="7">
        <v>152</v>
      </c>
      <c r="D1301" s="8">
        <v>9514.18</v>
      </c>
      <c r="E1301" s="9">
        <v>1</v>
      </c>
    </row>
    <row r="1302" spans="1:5" x14ac:dyDescent="0.25">
      <c r="A1302" s="7">
        <v>1</v>
      </c>
      <c r="B1302" s="7">
        <v>1842</v>
      </c>
      <c r="C1302" s="7">
        <v>152</v>
      </c>
      <c r="D1302" s="8">
        <v>29866.71</v>
      </c>
      <c r="E1302" s="9">
        <v>1</v>
      </c>
    </row>
    <row r="1303" spans="1:5" x14ac:dyDescent="0.25">
      <c r="A1303" s="7">
        <v>1</v>
      </c>
      <c r="B1303" s="7">
        <v>1843</v>
      </c>
      <c r="C1303" s="7">
        <v>152</v>
      </c>
      <c r="D1303" s="8">
        <v>66935.36</v>
      </c>
      <c r="E1303" s="9">
        <v>1</v>
      </c>
    </row>
    <row r="1304" spans="1:5" x14ac:dyDescent="0.25">
      <c r="A1304" s="7">
        <v>1</v>
      </c>
      <c r="B1304" s="7">
        <v>1844</v>
      </c>
      <c r="C1304" s="7">
        <v>152</v>
      </c>
      <c r="D1304" s="8">
        <v>118688.89</v>
      </c>
      <c r="E1304" s="9">
        <v>1</v>
      </c>
    </row>
    <row r="1305" spans="1:5" x14ac:dyDescent="0.25">
      <c r="A1305" s="7">
        <v>1</v>
      </c>
      <c r="B1305" s="7">
        <v>1845</v>
      </c>
      <c r="C1305" s="7">
        <v>153</v>
      </c>
      <c r="D1305" s="8">
        <v>20624.98</v>
      </c>
      <c r="E1305" s="9">
        <v>1</v>
      </c>
    </row>
    <row r="1306" spans="1:5" x14ac:dyDescent="0.25">
      <c r="A1306" s="7">
        <v>1</v>
      </c>
      <c r="B1306" s="7">
        <v>1846</v>
      </c>
      <c r="C1306" s="7">
        <v>153</v>
      </c>
      <c r="D1306" s="8">
        <v>66073.99</v>
      </c>
      <c r="E1306" s="9">
        <v>1</v>
      </c>
    </row>
    <row r="1307" spans="1:5" x14ac:dyDescent="0.25">
      <c r="A1307" s="7">
        <v>1</v>
      </c>
      <c r="B1307" s="7">
        <v>1847</v>
      </c>
      <c r="C1307" s="7">
        <v>153</v>
      </c>
      <c r="D1307" s="8">
        <v>46997.84</v>
      </c>
      <c r="E1307" s="9">
        <v>1</v>
      </c>
    </row>
    <row r="1308" spans="1:5" x14ac:dyDescent="0.25">
      <c r="A1308" s="7">
        <v>1</v>
      </c>
      <c r="B1308" s="7">
        <v>1848</v>
      </c>
      <c r="C1308" s="7">
        <v>153</v>
      </c>
      <c r="D1308" s="8">
        <v>157297.05</v>
      </c>
      <c r="E1308" s="9">
        <v>1</v>
      </c>
    </row>
    <row r="1309" spans="1:5" x14ac:dyDescent="0.25">
      <c r="A1309" s="7">
        <v>1</v>
      </c>
      <c r="B1309" s="7">
        <v>1849</v>
      </c>
      <c r="C1309" s="7">
        <v>153</v>
      </c>
      <c r="D1309" s="8">
        <v>581565.2</v>
      </c>
      <c r="E1309" s="9">
        <v>1</v>
      </c>
    </row>
    <row r="1310" spans="1:5" x14ac:dyDescent="0.25">
      <c r="A1310" s="7">
        <v>1</v>
      </c>
      <c r="B1310" s="7">
        <v>1853</v>
      </c>
      <c r="C1310" s="7">
        <v>152</v>
      </c>
      <c r="D1310" s="8">
        <v>163972.85</v>
      </c>
      <c r="E1310" s="9">
        <v>1</v>
      </c>
    </row>
    <row r="1311" spans="1:5" x14ac:dyDescent="0.25">
      <c r="A1311" s="7">
        <v>1</v>
      </c>
      <c r="B1311" s="7">
        <v>1854</v>
      </c>
      <c r="C1311" s="7">
        <v>152</v>
      </c>
      <c r="D1311" s="8">
        <v>11129.88</v>
      </c>
      <c r="E1311" s="9">
        <v>1</v>
      </c>
    </row>
    <row r="1312" spans="1:5" x14ac:dyDescent="0.25">
      <c r="A1312" s="7">
        <v>1</v>
      </c>
      <c r="B1312" s="7">
        <v>1855</v>
      </c>
      <c r="C1312" s="7">
        <v>152</v>
      </c>
      <c r="D1312" s="8">
        <v>37905.85</v>
      </c>
      <c r="E1312" s="9">
        <v>1</v>
      </c>
    </row>
    <row r="1313" spans="1:5" x14ac:dyDescent="0.25">
      <c r="A1313" s="7">
        <v>1</v>
      </c>
      <c r="B1313" s="7">
        <v>1856</v>
      </c>
      <c r="C1313" s="7">
        <v>152</v>
      </c>
      <c r="D1313" s="8">
        <v>136310.29</v>
      </c>
      <c r="E1313" s="9">
        <v>1</v>
      </c>
    </row>
    <row r="1314" spans="1:5" x14ac:dyDescent="0.25">
      <c r="A1314" s="7">
        <v>1</v>
      </c>
      <c r="B1314" s="7">
        <v>1869</v>
      </c>
      <c r="C1314" s="7">
        <v>107</v>
      </c>
      <c r="D1314" s="8">
        <v>9846.38</v>
      </c>
      <c r="E1314" s="9">
        <v>1</v>
      </c>
    </row>
    <row r="1315" spans="1:5" x14ac:dyDescent="0.25">
      <c r="A1315" s="7">
        <v>1</v>
      </c>
      <c r="B1315" s="7">
        <v>1870</v>
      </c>
      <c r="C1315" s="7">
        <v>107</v>
      </c>
      <c r="D1315" s="8">
        <v>31334</v>
      </c>
      <c r="E1315" s="9">
        <v>1</v>
      </c>
    </row>
    <row r="1316" spans="1:5" x14ac:dyDescent="0.25">
      <c r="A1316" s="7">
        <v>1</v>
      </c>
      <c r="B1316" s="7">
        <v>1871</v>
      </c>
      <c r="C1316" s="7">
        <v>107</v>
      </c>
      <c r="D1316" s="8">
        <v>64618.15</v>
      </c>
      <c r="E1316" s="9">
        <v>1</v>
      </c>
    </row>
    <row r="1317" spans="1:5" x14ac:dyDescent="0.25">
      <c r="A1317" s="7">
        <v>1</v>
      </c>
      <c r="B1317" s="7">
        <v>1872</v>
      </c>
      <c r="C1317" s="7">
        <v>107</v>
      </c>
      <c r="D1317" s="8">
        <v>107695.94</v>
      </c>
      <c r="E1317" s="9">
        <v>1</v>
      </c>
    </row>
    <row r="1318" spans="1:5" x14ac:dyDescent="0.25">
      <c r="A1318" s="7">
        <v>1</v>
      </c>
      <c r="B1318" s="7">
        <v>1879</v>
      </c>
      <c r="C1318" s="7">
        <v>139</v>
      </c>
      <c r="D1318" s="8">
        <v>60513.84</v>
      </c>
      <c r="E1318" s="9">
        <v>1</v>
      </c>
    </row>
    <row r="1319" spans="1:5" x14ac:dyDescent="0.25">
      <c r="A1319" s="7">
        <v>1</v>
      </c>
      <c r="B1319" s="7">
        <v>1880</v>
      </c>
      <c r="C1319" s="7">
        <v>139</v>
      </c>
      <c r="D1319" s="8">
        <v>255255.65</v>
      </c>
      <c r="E1319" s="9">
        <v>1</v>
      </c>
    </row>
    <row r="1320" spans="1:5" x14ac:dyDescent="0.25">
      <c r="A1320" s="7">
        <v>1</v>
      </c>
      <c r="B1320" s="7">
        <v>1889</v>
      </c>
      <c r="C1320" s="7">
        <v>153</v>
      </c>
      <c r="D1320" s="8">
        <v>162997.8</v>
      </c>
      <c r="E1320" s="9">
        <v>1</v>
      </c>
    </row>
    <row r="1321" spans="1:5" x14ac:dyDescent="0.25">
      <c r="A1321" s="7">
        <v>1</v>
      </c>
      <c r="B1321" s="7">
        <v>1890</v>
      </c>
      <c r="C1321" s="7">
        <v>153</v>
      </c>
      <c r="D1321" s="8">
        <v>634303.09</v>
      </c>
      <c r="E1321" s="9">
        <v>1</v>
      </c>
    </row>
    <row r="1322" spans="1:5" x14ac:dyDescent="0.25">
      <c r="A1322" s="7">
        <v>1</v>
      </c>
      <c r="B1322" s="7">
        <v>1894</v>
      </c>
      <c r="C1322" s="7">
        <v>181</v>
      </c>
      <c r="D1322" s="8">
        <v>0.75</v>
      </c>
      <c r="E1322" s="9">
        <v>2</v>
      </c>
    </row>
    <row r="1323" spans="1:5" x14ac:dyDescent="0.25">
      <c r="A1323" s="7">
        <v>1</v>
      </c>
      <c r="B1323" s="7">
        <v>1900</v>
      </c>
      <c r="C1323" s="7">
        <v>139</v>
      </c>
      <c r="D1323" s="8">
        <v>5062</v>
      </c>
      <c r="E1323" s="9">
        <v>1</v>
      </c>
    </row>
    <row r="1324" spans="1:5" x14ac:dyDescent="0.25">
      <c r="A1324" s="7">
        <v>1</v>
      </c>
      <c r="B1324" s="7">
        <v>1901</v>
      </c>
      <c r="C1324" s="7">
        <v>139</v>
      </c>
      <c r="D1324" s="8">
        <v>13514.04</v>
      </c>
      <c r="E1324" s="9">
        <v>1</v>
      </c>
    </row>
    <row r="1325" spans="1:5" x14ac:dyDescent="0.25">
      <c r="A1325" s="7">
        <v>1</v>
      </c>
      <c r="B1325" s="7">
        <v>1902</v>
      </c>
      <c r="C1325" s="7">
        <v>139</v>
      </c>
      <c r="D1325" s="8">
        <v>48499.49</v>
      </c>
      <c r="E1325" s="9">
        <v>1</v>
      </c>
    </row>
    <row r="1326" spans="1:5" x14ac:dyDescent="0.25">
      <c r="A1326" s="7">
        <v>1</v>
      </c>
      <c r="B1326" s="7">
        <v>1903</v>
      </c>
      <c r="C1326" s="7">
        <v>139</v>
      </c>
      <c r="D1326" s="8">
        <v>102784.39</v>
      </c>
      <c r="E1326" s="9">
        <v>1</v>
      </c>
    </row>
    <row r="1327" spans="1:5" x14ac:dyDescent="0.25">
      <c r="A1327" s="7">
        <v>1</v>
      </c>
      <c r="B1327" s="7">
        <v>1904</v>
      </c>
      <c r="C1327" s="7">
        <v>139</v>
      </c>
      <c r="D1327" s="8">
        <v>191971.75</v>
      </c>
      <c r="E1327" s="9">
        <v>1</v>
      </c>
    </row>
    <row r="1328" spans="1:5" x14ac:dyDescent="0.25">
      <c r="A1328" s="7">
        <v>1</v>
      </c>
      <c r="B1328" s="7">
        <v>1909</v>
      </c>
      <c r="C1328" s="7">
        <v>139</v>
      </c>
      <c r="D1328" s="8">
        <v>64224.89</v>
      </c>
      <c r="E1328" s="9">
        <v>1</v>
      </c>
    </row>
    <row r="1329" spans="1:5" x14ac:dyDescent="0.25">
      <c r="A1329" s="7">
        <v>1</v>
      </c>
      <c r="B1329" s="7">
        <v>1910</v>
      </c>
      <c r="C1329" s="7">
        <v>139</v>
      </c>
      <c r="D1329" s="8">
        <v>13112.42</v>
      </c>
      <c r="E1329" s="9">
        <v>1</v>
      </c>
    </row>
    <row r="1330" spans="1:5" x14ac:dyDescent="0.25">
      <c r="A1330" s="7">
        <v>1</v>
      </c>
      <c r="B1330" s="7">
        <v>1911</v>
      </c>
      <c r="C1330" s="7">
        <v>139</v>
      </c>
      <c r="D1330" s="8">
        <v>51912.28</v>
      </c>
      <c r="E1330" s="9">
        <v>1</v>
      </c>
    </row>
    <row r="1331" spans="1:5" x14ac:dyDescent="0.25">
      <c r="A1331" s="7">
        <v>1</v>
      </c>
      <c r="B1331" s="7">
        <v>1912</v>
      </c>
      <c r="C1331" s="7">
        <v>139</v>
      </c>
      <c r="D1331" s="8">
        <v>183877.81</v>
      </c>
      <c r="E1331" s="9">
        <v>1</v>
      </c>
    </row>
    <row r="1332" spans="1:5" x14ac:dyDescent="0.25">
      <c r="A1332" s="7">
        <v>1</v>
      </c>
      <c r="B1332" s="7">
        <v>1913</v>
      </c>
      <c r="C1332" s="7">
        <v>139</v>
      </c>
      <c r="D1332" s="8">
        <v>9820.07</v>
      </c>
      <c r="E1332" s="9">
        <v>1</v>
      </c>
    </row>
    <row r="1333" spans="1:5" x14ac:dyDescent="0.25">
      <c r="A1333" s="7">
        <v>1</v>
      </c>
      <c r="B1333" s="7">
        <v>1916</v>
      </c>
      <c r="C1333" s="7">
        <v>139</v>
      </c>
      <c r="D1333" s="8">
        <v>7965.58</v>
      </c>
      <c r="E1333" s="9">
        <v>1</v>
      </c>
    </row>
    <row r="1334" spans="1:5" x14ac:dyDescent="0.25">
      <c r="A1334" s="7">
        <v>1</v>
      </c>
      <c r="B1334" s="7">
        <v>1917</v>
      </c>
      <c r="C1334" s="7">
        <v>139</v>
      </c>
      <c r="D1334" s="8">
        <v>14582.16</v>
      </c>
      <c r="E1334" s="9">
        <v>1</v>
      </c>
    </row>
    <row r="1335" spans="1:5" x14ac:dyDescent="0.25">
      <c r="A1335" s="7">
        <v>1</v>
      </c>
      <c r="B1335" s="7">
        <v>1918</v>
      </c>
      <c r="C1335" s="7">
        <v>139</v>
      </c>
      <c r="D1335" s="8">
        <v>27146.93</v>
      </c>
      <c r="E1335" s="9">
        <v>1</v>
      </c>
    </row>
    <row r="1336" spans="1:5" x14ac:dyDescent="0.25">
      <c r="A1336" s="7">
        <v>1</v>
      </c>
      <c r="B1336" s="7">
        <v>1919</v>
      </c>
      <c r="C1336" s="7">
        <v>139</v>
      </c>
      <c r="D1336" s="8">
        <v>47285.78</v>
      </c>
      <c r="E1336" s="9">
        <v>1</v>
      </c>
    </row>
    <row r="1337" spans="1:5" x14ac:dyDescent="0.25">
      <c r="A1337" s="7">
        <v>1</v>
      </c>
      <c r="B1337" s="7">
        <v>1920</v>
      </c>
      <c r="C1337" s="7">
        <v>139</v>
      </c>
      <c r="D1337" s="8">
        <v>24680.88</v>
      </c>
      <c r="E1337" s="9">
        <v>1</v>
      </c>
    </row>
    <row r="1338" spans="1:5" x14ac:dyDescent="0.25">
      <c r="A1338" s="7">
        <v>1</v>
      </c>
      <c r="B1338" s="7">
        <v>1921</v>
      </c>
      <c r="C1338" s="7">
        <v>139</v>
      </c>
      <c r="D1338" s="8">
        <v>75148.89</v>
      </c>
      <c r="E1338" s="9">
        <v>1</v>
      </c>
    </row>
    <row r="1339" spans="1:5" x14ac:dyDescent="0.25">
      <c r="A1339" s="7">
        <v>1</v>
      </c>
      <c r="B1339" s="7">
        <v>1922</v>
      </c>
      <c r="C1339" s="7">
        <v>139</v>
      </c>
      <c r="D1339" s="8">
        <v>12505.3</v>
      </c>
      <c r="E1339" s="9">
        <v>1</v>
      </c>
    </row>
    <row r="1340" spans="1:5" x14ac:dyDescent="0.25">
      <c r="A1340" s="7">
        <v>1</v>
      </c>
      <c r="B1340" s="7">
        <v>1923</v>
      </c>
      <c r="C1340" s="7">
        <v>139</v>
      </c>
      <c r="D1340" s="8">
        <v>44593.2</v>
      </c>
      <c r="E1340" s="9">
        <v>1</v>
      </c>
    </row>
    <row r="1341" spans="1:5" x14ac:dyDescent="0.25">
      <c r="A1341" s="7">
        <v>1</v>
      </c>
      <c r="B1341" s="7">
        <v>1924</v>
      </c>
      <c r="C1341" s="7">
        <v>139</v>
      </c>
      <c r="D1341" s="8">
        <v>93141.99</v>
      </c>
      <c r="E1341" s="9">
        <v>1</v>
      </c>
    </row>
    <row r="1342" spans="1:5" x14ac:dyDescent="0.25">
      <c r="A1342" s="7">
        <v>1</v>
      </c>
      <c r="B1342" s="7">
        <v>1925</v>
      </c>
      <c r="C1342" s="7">
        <v>139</v>
      </c>
      <c r="D1342" s="8">
        <v>164621.77</v>
      </c>
      <c r="E1342" s="9">
        <v>1</v>
      </c>
    </row>
    <row r="1343" spans="1:5" x14ac:dyDescent="0.25">
      <c r="A1343" s="7">
        <v>1</v>
      </c>
      <c r="B1343" s="7">
        <v>1926</v>
      </c>
      <c r="C1343" s="7">
        <v>902</v>
      </c>
      <c r="D1343" s="8">
        <v>23417.42</v>
      </c>
      <c r="E1343" s="9">
        <v>1</v>
      </c>
    </row>
    <row r="1344" spans="1:5" x14ac:dyDescent="0.25">
      <c r="A1344" s="7">
        <v>1</v>
      </c>
      <c r="B1344" s="7">
        <v>1927</v>
      </c>
      <c r="C1344" s="7">
        <v>902</v>
      </c>
      <c r="D1344" s="8">
        <v>71213.58</v>
      </c>
      <c r="E1344" s="9">
        <v>1</v>
      </c>
    </row>
    <row r="1345" spans="1:5" x14ac:dyDescent="0.25">
      <c r="A1345" s="7">
        <v>1</v>
      </c>
      <c r="B1345" s="7">
        <v>1928</v>
      </c>
      <c r="C1345" s="7">
        <v>139</v>
      </c>
      <c r="D1345" s="8">
        <v>12505.3</v>
      </c>
      <c r="E1345" s="9">
        <v>1</v>
      </c>
    </row>
    <row r="1346" spans="1:5" x14ac:dyDescent="0.25">
      <c r="A1346" s="7">
        <v>1</v>
      </c>
      <c r="B1346" s="7">
        <v>1929</v>
      </c>
      <c r="C1346" s="7">
        <v>139</v>
      </c>
      <c r="D1346" s="8">
        <v>44593.2</v>
      </c>
      <c r="E1346" s="9">
        <v>1</v>
      </c>
    </row>
    <row r="1347" spans="1:5" x14ac:dyDescent="0.25">
      <c r="A1347" s="7">
        <v>1</v>
      </c>
      <c r="B1347" s="7">
        <v>1930</v>
      </c>
      <c r="C1347" s="7">
        <v>139</v>
      </c>
      <c r="D1347" s="8">
        <v>93141.99</v>
      </c>
      <c r="E1347" s="9">
        <v>1</v>
      </c>
    </row>
    <row r="1348" spans="1:5" x14ac:dyDescent="0.25">
      <c r="A1348" s="7">
        <v>1</v>
      </c>
      <c r="B1348" s="7">
        <v>1931</v>
      </c>
      <c r="C1348" s="7">
        <v>139</v>
      </c>
      <c r="D1348" s="8">
        <v>164621.77</v>
      </c>
      <c r="E1348" s="9">
        <v>1</v>
      </c>
    </row>
    <row r="1349" spans="1:5" x14ac:dyDescent="0.25">
      <c r="A1349" s="7">
        <v>1</v>
      </c>
      <c r="B1349" s="7">
        <v>1932</v>
      </c>
      <c r="C1349" s="7">
        <v>130</v>
      </c>
      <c r="D1349" s="8">
        <v>80796.54</v>
      </c>
      <c r="E1349" s="9">
        <v>1</v>
      </c>
    </row>
    <row r="1350" spans="1:5" x14ac:dyDescent="0.25">
      <c r="A1350" s="7">
        <v>1</v>
      </c>
      <c r="B1350" s="7">
        <v>1933</v>
      </c>
      <c r="C1350" s="7">
        <v>139</v>
      </c>
      <c r="D1350" s="8">
        <v>267119.94</v>
      </c>
      <c r="E1350" s="9">
        <v>1</v>
      </c>
    </row>
    <row r="1351" spans="1:5" x14ac:dyDescent="0.25">
      <c r="A1351" s="7">
        <v>1</v>
      </c>
      <c r="B1351" s="7">
        <v>1934</v>
      </c>
      <c r="C1351" s="7">
        <v>163</v>
      </c>
      <c r="D1351" s="8">
        <v>75174.46</v>
      </c>
      <c r="E1351" s="9">
        <v>1</v>
      </c>
    </row>
    <row r="1352" spans="1:5" x14ac:dyDescent="0.25">
      <c r="A1352" s="7">
        <v>1</v>
      </c>
      <c r="B1352" s="7">
        <v>1936</v>
      </c>
      <c r="C1352" s="7">
        <v>139</v>
      </c>
      <c r="D1352" s="8">
        <v>99039.65</v>
      </c>
      <c r="E1352" s="9">
        <v>1</v>
      </c>
    </row>
    <row r="1353" spans="1:5" x14ac:dyDescent="0.25">
      <c r="A1353" s="7">
        <v>1</v>
      </c>
      <c r="B1353" s="7">
        <v>1938</v>
      </c>
      <c r="C1353" s="7">
        <v>139</v>
      </c>
      <c r="D1353" s="8">
        <v>69522.4</v>
      </c>
      <c r="E1353" s="9">
        <v>1</v>
      </c>
    </row>
    <row r="1354" spans="1:5" x14ac:dyDescent="0.25">
      <c r="A1354" s="7">
        <v>1</v>
      </c>
      <c r="B1354" s="7">
        <v>1939</v>
      </c>
      <c r="C1354" s="7">
        <v>103</v>
      </c>
      <c r="D1354" s="8">
        <v>2630.08</v>
      </c>
      <c r="E1354" s="9">
        <v>1</v>
      </c>
    </row>
    <row r="1355" spans="1:5" x14ac:dyDescent="0.25">
      <c r="A1355" s="7">
        <v>1</v>
      </c>
      <c r="B1355" s="7">
        <v>1940</v>
      </c>
      <c r="C1355" s="7">
        <v>139</v>
      </c>
      <c r="D1355" s="8">
        <v>5062</v>
      </c>
      <c r="E1355" s="9">
        <v>1</v>
      </c>
    </row>
    <row r="1356" spans="1:5" x14ac:dyDescent="0.25">
      <c r="A1356" s="7">
        <v>1</v>
      </c>
      <c r="B1356" s="7">
        <v>1941</v>
      </c>
      <c r="C1356" s="7">
        <v>139</v>
      </c>
      <c r="D1356" s="8">
        <v>13514.04</v>
      </c>
      <c r="E1356" s="9">
        <v>1</v>
      </c>
    </row>
    <row r="1357" spans="1:5" x14ac:dyDescent="0.25">
      <c r="A1357" s="7">
        <v>1</v>
      </c>
      <c r="B1357" s="7">
        <v>1942</v>
      </c>
      <c r="C1357" s="7">
        <v>139</v>
      </c>
      <c r="D1357" s="8">
        <v>316407.38</v>
      </c>
      <c r="E1357" s="9">
        <v>1</v>
      </c>
    </row>
    <row r="1358" spans="1:5" x14ac:dyDescent="0.25">
      <c r="A1358" s="7">
        <v>1</v>
      </c>
      <c r="B1358" s="7">
        <v>1943</v>
      </c>
      <c r="C1358" s="7">
        <v>139</v>
      </c>
      <c r="D1358" s="8">
        <v>48499.49</v>
      </c>
      <c r="E1358" s="9">
        <v>1</v>
      </c>
    </row>
    <row r="1359" spans="1:5" x14ac:dyDescent="0.25">
      <c r="A1359" s="7">
        <v>1</v>
      </c>
      <c r="B1359" s="7">
        <v>1944</v>
      </c>
      <c r="C1359" s="7">
        <v>139</v>
      </c>
      <c r="D1359" s="8">
        <v>102784.39</v>
      </c>
      <c r="E1359" s="9">
        <v>1</v>
      </c>
    </row>
    <row r="1360" spans="1:5" x14ac:dyDescent="0.25">
      <c r="A1360" s="7">
        <v>1</v>
      </c>
      <c r="B1360" s="7">
        <v>1945</v>
      </c>
      <c r="C1360" s="7">
        <v>139</v>
      </c>
      <c r="D1360" s="8">
        <v>191971.75</v>
      </c>
      <c r="E1360" s="9">
        <v>1</v>
      </c>
    </row>
    <row r="1361" spans="1:5" x14ac:dyDescent="0.25">
      <c r="A1361" s="7">
        <v>1</v>
      </c>
      <c r="B1361" s="7">
        <v>1946</v>
      </c>
      <c r="C1361" s="7">
        <v>139</v>
      </c>
      <c r="D1361" s="8">
        <v>13235.95</v>
      </c>
      <c r="E1361" s="9">
        <v>1</v>
      </c>
    </row>
    <row r="1362" spans="1:5" x14ac:dyDescent="0.25">
      <c r="A1362" s="7">
        <v>1</v>
      </c>
      <c r="B1362" s="7">
        <v>1947</v>
      </c>
      <c r="C1362" s="7">
        <v>139</v>
      </c>
      <c r="D1362" s="8">
        <v>47102.15</v>
      </c>
      <c r="E1362" s="9">
        <v>1</v>
      </c>
    </row>
    <row r="1363" spans="1:5" x14ac:dyDescent="0.25">
      <c r="A1363" s="7">
        <v>1</v>
      </c>
      <c r="B1363" s="7">
        <v>1948</v>
      </c>
      <c r="C1363" s="7">
        <v>139</v>
      </c>
      <c r="D1363" s="8">
        <v>98404.31</v>
      </c>
      <c r="E1363" s="9">
        <v>1</v>
      </c>
    </row>
    <row r="1364" spans="1:5" x14ac:dyDescent="0.25">
      <c r="A1364" s="7">
        <v>1</v>
      </c>
      <c r="B1364" s="7">
        <v>1949</v>
      </c>
      <c r="C1364" s="7">
        <v>139</v>
      </c>
      <c r="D1364" s="8">
        <v>173924.67</v>
      </c>
      <c r="E1364" s="9">
        <v>1</v>
      </c>
    </row>
    <row r="1365" spans="1:5" x14ac:dyDescent="0.25">
      <c r="A1365" s="7">
        <v>1</v>
      </c>
      <c r="B1365" s="7">
        <v>1950</v>
      </c>
      <c r="C1365" s="7">
        <v>139</v>
      </c>
      <c r="D1365" s="8">
        <v>32616.48</v>
      </c>
      <c r="E1365" s="9">
        <v>1</v>
      </c>
    </row>
    <row r="1366" spans="1:5" x14ac:dyDescent="0.25">
      <c r="A1366" s="7">
        <v>1</v>
      </c>
      <c r="B1366" s="7">
        <v>1951</v>
      </c>
      <c r="C1366" s="7">
        <v>139</v>
      </c>
      <c r="D1366" s="8">
        <v>114987</v>
      </c>
      <c r="E1366" s="9">
        <v>1</v>
      </c>
    </row>
    <row r="1367" spans="1:5" x14ac:dyDescent="0.25">
      <c r="A1367" s="7">
        <v>1</v>
      </c>
      <c r="B1367" s="7">
        <v>1952</v>
      </c>
      <c r="C1367" s="7">
        <v>139</v>
      </c>
      <c r="D1367" s="8">
        <v>487939.79</v>
      </c>
      <c r="E1367" s="9">
        <v>1</v>
      </c>
    </row>
    <row r="1368" spans="1:5" x14ac:dyDescent="0.25">
      <c r="A1368" s="7">
        <v>1</v>
      </c>
      <c r="B1368" s="7">
        <v>1953</v>
      </c>
      <c r="C1368" s="7">
        <v>139</v>
      </c>
      <c r="D1368" s="8">
        <v>9104.5</v>
      </c>
      <c r="E1368" s="9">
        <v>1</v>
      </c>
    </row>
    <row r="1369" spans="1:5" x14ac:dyDescent="0.25">
      <c r="A1369" s="7">
        <v>1</v>
      </c>
      <c r="B1369" s="7">
        <v>1954</v>
      </c>
      <c r="C1369" s="7">
        <v>139</v>
      </c>
      <c r="D1369" s="8">
        <v>32992.26</v>
      </c>
      <c r="E1369" s="9">
        <v>1</v>
      </c>
    </row>
    <row r="1370" spans="1:5" x14ac:dyDescent="0.25">
      <c r="A1370" s="7">
        <v>1</v>
      </c>
      <c r="B1370" s="7">
        <v>1955</v>
      </c>
      <c r="C1370" s="7">
        <v>139</v>
      </c>
      <c r="D1370" s="8">
        <v>78346.53</v>
      </c>
      <c r="E1370" s="9">
        <v>1</v>
      </c>
    </row>
    <row r="1371" spans="1:5" x14ac:dyDescent="0.25">
      <c r="A1371" s="7">
        <v>1</v>
      </c>
      <c r="B1371" s="7">
        <v>1956</v>
      </c>
      <c r="C1371" s="7">
        <v>139</v>
      </c>
      <c r="D1371" s="8">
        <v>140101.46</v>
      </c>
      <c r="E1371" s="9">
        <v>1</v>
      </c>
    </row>
    <row r="1372" spans="1:5" x14ac:dyDescent="0.25">
      <c r="A1372" s="7">
        <v>1</v>
      </c>
      <c r="B1372" s="7">
        <v>1957</v>
      </c>
      <c r="C1372" s="7">
        <v>139</v>
      </c>
      <c r="D1372" s="8">
        <v>6970.37</v>
      </c>
      <c r="E1372" s="9">
        <v>1</v>
      </c>
    </row>
    <row r="1373" spans="1:5" x14ac:dyDescent="0.25">
      <c r="A1373" s="7">
        <v>1</v>
      </c>
      <c r="B1373" s="7">
        <v>1958</v>
      </c>
      <c r="C1373" s="7">
        <v>139</v>
      </c>
      <c r="D1373" s="8">
        <v>22134.58</v>
      </c>
      <c r="E1373" s="9">
        <v>1</v>
      </c>
    </row>
    <row r="1374" spans="1:5" x14ac:dyDescent="0.25">
      <c r="A1374" s="7">
        <v>1</v>
      </c>
      <c r="B1374" s="7">
        <v>1959</v>
      </c>
      <c r="C1374" s="7">
        <v>139</v>
      </c>
      <c r="D1374" s="8">
        <v>49571.91</v>
      </c>
      <c r="E1374" s="9">
        <v>1</v>
      </c>
    </row>
    <row r="1375" spans="1:5" x14ac:dyDescent="0.25">
      <c r="A1375" s="7">
        <v>1</v>
      </c>
      <c r="B1375" s="7">
        <v>1960</v>
      </c>
      <c r="C1375" s="7">
        <v>139</v>
      </c>
      <c r="D1375" s="8">
        <v>89684.74</v>
      </c>
      <c r="E1375" s="9">
        <v>1</v>
      </c>
    </row>
    <row r="1376" spans="1:5" x14ac:dyDescent="0.25">
      <c r="A1376" s="7">
        <v>1</v>
      </c>
      <c r="B1376" s="7">
        <v>1961</v>
      </c>
      <c r="C1376" s="7">
        <v>139</v>
      </c>
      <c r="D1376" s="8">
        <v>3293.23</v>
      </c>
      <c r="E1376" s="9">
        <v>1</v>
      </c>
    </row>
    <row r="1377" spans="1:5" x14ac:dyDescent="0.25">
      <c r="A1377" s="7">
        <v>1</v>
      </c>
      <c r="B1377" s="7">
        <v>1962</v>
      </c>
      <c r="C1377" s="7">
        <v>139</v>
      </c>
      <c r="D1377" s="8">
        <v>4592.71</v>
      </c>
      <c r="E1377" s="9">
        <v>1</v>
      </c>
    </row>
    <row r="1378" spans="1:5" x14ac:dyDescent="0.25">
      <c r="A1378" s="7">
        <v>1</v>
      </c>
      <c r="B1378" s="7">
        <v>1963</v>
      </c>
      <c r="C1378" s="7">
        <v>139</v>
      </c>
      <c r="D1378" s="8">
        <v>15556.69</v>
      </c>
      <c r="E1378" s="9">
        <v>1</v>
      </c>
    </row>
    <row r="1379" spans="1:5" x14ac:dyDescent="0.25">
      <c r="A1379" s="7">
        <v>1</v>
      </c>
      <c r="B1379" s="7">
        <v>1964</v>
      </c>
      <c r="C1379" s="7">
        <v>139</v>
      </c>
      <c r="D1379" s="8">
        <v>55945.41</v>
      </c>
      <c r="E1379" s="9">
        <v>1</v>
      </c>
    </row>
    <row r="1380" spans="1:5" x14ac:dyDescent="0.25">
      <c r="A1380" s="7">
        <v>1</v>
      </c>
      <c r="B1380" s="7">
        <v>1965</v>
      </c>
      <c r="C1380" s="7">
        <v>152</v>
      </c>
      <c r="D1380" s="8">
        <v>12785.04</v>
      </c>
      <c r="E1380" s="9">
        <v>1</v>
      </c>
    </row>
    <row r="1381" spans="1:5" x14ac:dyDescent="0.25">
      <c r="A1381" s="7">
        <v>1</v>
      </c>
      <c r="B1381" s="7">
        <v>1966</v>
      </c>
      <c r="C1381" s="7">
        <v>152</v>
      </c>
      <c r="D1381" s="8">
        <v>44690.91</v>
      </c>
      <c r="E1381" s="9">
        <v>1</v>
      </c>
    </row>
    <row r="1382" spans="1:5" x14ac:dyDescent="0.25">
      <c r="A1382" s="7">
        <v>1</v>
      </c>
      <c r="B1382" s="7">
        <v>1967</v>
      </c>
      <c r="C1382" s="7">
        <v>152</v>
      </c>
      <c r="D1382" s="8">
        <v>100167.03</v>
      </c>
      <c r="E1382" s="9">
        <v>1</v>
      </c>
    </row>
    <row r="1383" spans="1:5" x14ac:dyDescent="0.25">
      <c r="A1383" s="7">
        <v>1</v>
      </c>
      <c r="B1383" s="7">
        <v>1968</v>
      </c>
      <c r="C1383" s="7">
        <v>152</v>
      </c>
      <c r="D1383" s="8">
        <v>177681.95</v>
      </c>
      <c r="E1383" s="9">
        <v>1</v>
      </c>
    </row>
    <row r="1384" spans="1:5" x14ac:dyDescent="0.25">
      <c r="A1384" s="7">
        <v>1</v>
      </c>
      <c r="B1384" s="7">
        <v>1969</v>
      </c>
      <c r="C1384" s="7">
        <v>187</v>
      </c>
      <c r="D1384" s="8">
        <v>15791.51</v>
      </c>
      <c r="E1384" s="9">
        <v>1</v>
      </c>
    </row>
    <row r="1385" spans="1:5" x14ac:dyDescent="0.25">
      <c r="A1385" s="7">
        <v>1</v>
      </c>
      <c r="B1385" s="7">
        <v>1970</v>
      </c>
      <c r="C1385" s="7">
        <v>187</v>
      </c>
      <c r="D1385" s="8">
        <v>4480.45</v>
      </c>
      <c r="E1385" s="9">
        <v>1</v>
      </c>
    </row>
    <row r="1386" spans="1:5" x14ac:dyDescent="0.25">
      <c r="A1386" s="7">
        <v>1</v>
      </c>
      <c r="B1386" s="7">
        <v>1971</v>
      </c>
      <c r="C1386" s="7">
        <v>187</v>
      </c>
      <c r="D1386" s="8">
        <v>13196.68</v>
      </c>
      <c r="E1386" s="9">
        <v>1</v>
      </c>
    </row>
    <row r="1387" spans="1:5" x14ac:dyDescent="0.25">
      <c r="A1387" s="7">
        <v>1</v>
      </c>
      <c r="B1387" s="7">
        <v>1972</v>
      </c>
      <c r="C1387" s="7">
        <v>187</v>
      </c>
      <c r="D1387" s="8">
        <v>4480.45</v>
      </c>
      <c r="E1387" s="9">
        <v>1</v>
      </c>
    </row>
    <row r="1388" spans="1:5" x14ac:dyDescent="0.25">
      <c r="A1388" s="7">
        <v>1</v>
      </c>
      <c r="B1388" s="7">
        <v>1973</v>
      </c>
      <c r="C1388" s="7">
        <v>187</v>
      </c>
      <c r="D1388" s="8">
        <v>13196.68</v>
      </c>
      <c r="E1388" s="9">
        <v>1</v>
      </c>
    </row>
    <row r="1389" spans="1:5" x14ac:dyDescent="0.25">
      <c r="A1389" s="7">
        <v>1</v>
      </c>
      <c r="B1389" s="7">
        <v>1976</v>
      </c>
      <c r="C1389" s="7">
        <v>150</v>
      </c>
      <c r="D1389" s="8">
        <v>127902.71</v>
      </c>
      <c r="E1389" s="9">
        <v>1</v>
      </c>
    </row>
    <row r="1390" spans="1:5" x14ac:dyDescent="0.25">
      <c r="A1390" s="7">
        <v>1</v>
      </c>
      <c r="B1390" s="7">
        <v>1981</v>
      </c>
      <c r="C1390" s="7">
        <v>139</v>
      </c>
      <c r="D1390" s="8">
        <v>13834.87</v>
      </c>
      <c r="E1390" s="9">
        <v>1</v>
      </c>
    </row>
    <row r="1391" spans="1:5" x14ac:dyDescent="0.25">
      <c r="A1391" s="7">
        <v>1</v>
      </c>
      <c r="B1391" s="7">
        <v>1982</v>
      </c>
      <c r="C1391" s="7">
        <v>139</v>
      </c>
      <c r="D1391" s="8">
        <v>42428.8</v>
      </c>
      <c r="E1391" s="9">
        <v>1</v>
      </c>
    </row>
    <row r="1392" spans="1:5" x14ac:dyDescent="0.25">
      <c r="A1392" s="7">
        <v>1</v>
      </c>
      <c r="B1392" s="7">
        <v>1983</v>
      </c>
      <c r="C1392" s="7">
        <v>139</v>
      </c>
      <c r="D1392" s="8">
        <v>88858.15</v>
      </c>
      <c r="E1392" s="9">
        <v>1</v>
      </c>
    </row>
    <row r="1393" spans="1:5" x14ac:dyDescent="0.25">
      <c r="A1393" s="7">
        <v>1</v>
      </c>
      <c r="B1393" s="7">
        <v>1984</v>
      </c>
      <c r="C1393" s="7">
        <v>139</v>
      </c>
      <c r="D1393" s="8">
        <v>157988.94</v>
      </c>
      <c r="E1393" s="9">
        <v>1</v>
      </c>
    </row>
    <row r="1394" spans="1:5" x14ac:dyDescent="0.25">
      <c r="A1394" s="7">
        <v>1</v>
      </c>
      <c r="B1394" s="7">
        <v>1988</v>
      </c>
      <c r="C1394" s="7">
        <v>102</v>
      </c>
      <c r="D1394" s="8">
        <v>1985.08</v>
      </c>
      <c r="E1394" s="9">
        <v>1</v>
      </c>
    </row>
    <row r="1395" spans="1:5" x14ac:dyDescent="0.25">
      <c r="A1395" s="7">
        <v>1</v>
      </c>
      <c r="B1395" s="7">
        <v>1992</v>
      </c>
      <c r="C1395" s="7">
        <v>902</v>
      </c>
      <c r="D1395" s="8">
        <v>1985.08</v>
      </c>
      <c r="E1395" s="9">
        <v>1</v>
      </c>
    </row>
    <row r="1396" spans="1:5" x14ac:dyDescent="0.25">
      <c r="A1396" s="7">
        <v>1</v>
      </c>
      <c r="B1396" s="7">
        <v>1993</v>
      </c>
      <c r="C1396" s="7">
        <v>902</v>
      </c>
      <c r="D1396" s="8">
        <v>1985.08</v>
      </c>
      <c r="E1396" s="9">
        <v>1</v>
      </c>
    </row>
    <row r="1397" spans="1:5" x14ac:dyDescent="0.25">
      <c r="A1397" s="7">
        <v>1</v>
      </c>
      <c r="B1397" s="7">
        <v>1994</v>
      </c>
      <c r="C1397" s="7">
        <v>902</v>
      </c>
      <c r="D1397" s="8">
        <v>1985.08</v>
      </c>
      <c r="E1397" s="9">
        <v>1</v>
      </c>
    </row>
    <row r="1398" spans="1:5" x14ac:dyDescent="0.25">
      <c r="A1398" s="7">
        <v>1</v>
      </c>
      <c r="B1398" s="7">
        <v>1995</v>
      </c>
      <c r="C1398" s="7">
        <v>902</v>
      </c>
      <c r="D1398" s="8">
        <v>1985.08</v>
      </c>
      <c r="E1398" s="9">
        <v>1</v>
      </c>
    </row>
    <row r="1399" spans="1:5" x14ac:dyDescent="0.25">
      <c r="A1399" s="7">
        <v>1</v>
      </c>
      <c r="B1399" s="7">
        <v>1996</v>
      </c>
      <c r="C1399" s="7">
        <v>102</v>
      </c>
      <c r="D1399" s="8">
        <v>16988.28</v>
      </c>
      <c r="E1399" s="9">
        <v>1</v>
      </c>
    </row>
    <row r="1400" spans="1:5" x14ac:dyDescent="0.25">
      <c r="A1400" s="7">
        <v>1</v>
      </c>
      <c r="B1400" s="7">
        <v>1997</v>
      </c>
      <c r="C1400" s="7">
        <v>902</v>
      </c>
      <c r="D1400" s="8">
        <v>1985.08</v>
      </c>
      <c r="E1400" s="9">
        <v>1</v>
      </c>
    </row>
    <row r="1401" spans="1:5" x14ac:dyDescent="0.25">
      <c r="A1401" s="7">
        <v>1</v>
      </c>
      <c r="B1401" s="7">
        <v>1998</v>
      </c>
      <c r="C1401" s="7">
        <v>139</v>
      </c>
      <c r="D1401" s="8">
        <v>173924.67</v>
      </c>
      <c r="E1401" s="9">
        <v>1</v>
      </c>
    </row>
    <row r="1402" spans="1:5" x14ac:dyDescent="0.25">
      <c r="A1402" s="7">
        <v>1</v>
      </c>
      <c r="B1402" s="7">
        <v>2000</v>
      </c>
      <c r="C1402" s="7">
        <v>132</v>
      </c>
      <c r="D1402" s="8">
        <v>132.6</v>
      </c>
      <c r="E1402" s="9">
        <v>3</v>
      </c>
    </row>
    <row r="1403" spans="1:5" x14ac:dyDescent="0.25">
      <c r="A1403" s="7">
        <v>1</v>
      </c>
      <c r="B1403" s="7">
        <v>2001</v>
      </c>
      <c r="C1403" s="7">
        <v>132</v>
      </c>
      <c r="D1403" s="8">
        <v>73.77</v>
      </c>
      <c r="E1403" s="9">
        <v>3</v>
      </c>
    </row>
    <row r="1404" spans="1:5" x14ac:dyDescent="0.25">
      <c r="A1404" s="7">
        <v>1</v>
      </c>
      <c r="B1404" s="7">
        <v>2002</v>
      </c>
      <c r="C1404" s="7">
        <v>902</v>
      </c>
      <c r="D1404" s="8">
        <v>71.93</v>
      </c>
      <c r="E1404" s="9">
        <v>3</v>
      </c>
    </row>
    <row r="1405" spans="1:5" x14ac:dyDescent="0.25">
      <c r="A1405" s="7">
        <v>1</v>
      </c>
      <c r="B1405" s="7">
        <v>2003</v>
      </c>
      <c r="C1405" s="7">
        <v>132</v>
      </c>
      <c r="D1405" s="8">
        <v>77.36</v>
      </c>
      <c r="E1405" s="9">
        <v>3</v>
      </c>
    </row>
    <row r="1406" spans="1:5" x14ac:dyDescent="0.25">
      <c r="A1406" s="7">
        <v>1</v>
      </c>
      <c r="B1406" s="7">
        <v>2004</v>
      </c>
      <c r="C1406" s="7">
        <v>902</v>
      </c>
      <c r="D1406" s="8">
        <v>105.14</v>
      </c>
      <c r="E1406" s="9">
        <v>3</v>
      </c>
    </row>
    <row r="1407" spans="1:5" x14ac:dyDescent="0.25">
      <c r="A1407" s="7">
        <v>1</v>
      </c>
      <c r="B1407" s="7">
        <v>2005</v>
      </c>
      <c r="C1407" s="7">
        <v>132</v>
      </c>
      <c r="D1407" s="8">
        <v>96.02</v>
      </c>
      <c r="E1407" s="9">
        <v>3</v>
      </c>
    </row>
    <row r="1408" spans="1:5" x14ac:dyDescent="0.25">
      <c r="A1408" s="7">
        <v>1</v>
      </c>
      <c r="B1408" s="7">
        <v>2006</v>
      </c>
      <c r="C1408" s="7">
        <v>132</v>
      </c>
      <c r="D1408" s="8">
        <v>74.05</v>
      </c>
      <c r="E1408" s="9">
        <v>3</v>
      </c>
    </row>
    <row r="1409" spans="1:5" x14ac:dyDescent="0.25">
      <c r="A1409" s="7">
        <v>1</v>
      </c>
      <c r="B1409" s="7">
        <v>2007</v>
      </c>
      <c r="C1409" s="7">
        <v>132</v>
      </c>
      <c r="D1409" s="8">
        <v>71.98</v>
      </c>
      <c r="E1409" s="9">
        <v>3</v>
      </c>
    </row>
    <row r="1410" spans="1:5" x14ac:dyDescent="0.25">
      <c r="A1410" s="7">
        <v>1</v>
      </c>
      <c r="B1410" s="7">
        <v>2008</v>
      </c>
      <c r="C1410" s="7">
        <v>902</v>
      </c>
      <c r="D1410" s="8">
        <v>4792.97</v>
      </c>
      <c r="E1410" s="9">
        <v>1</v>
      </c>
    </row>
    <row r="1411" spans="1:5" x14ac:dyDescent="0.25">
      <c r="A1411" s="7">
        <v>1</v>
      </c>
      <c r="B1411" s="7">
        <v>2009</v>
      </c>
      <c r="C1411" s="7">
        <v>132</v>
      </c>
      <c r="D1411" s="8">
        <v>4458.51</v>
      </c>
      <c r="E1411" s="9">
        <v>1</v>
      </c>
    </row>
    <row r="1412" spans="1:5" x14ac:dyDescent="0.25">
      <c r="A1412" s="7">
        <v>1</v>
      </c>
      <c r="B1412" s="7">
        <v>2010</v>
      </c>
      <c r="C1412" s="7">
        <v>902</v>
      </c>
      <c r="D1412" s="8">
        <v>118.61</v>
      </c>
      <c r="E1412" s="9">
        <v>3</v>
      </c>
    </row>
    <row r="1413" spans="1:5" x14ac:dyDescent="0.25">
      <c r="A1413" s="7">
        <v>1</v>
      </c>
      <c r="B1413" s="7">
        <v>2011</v>
      </c>
      <c r="C1413" s="7">
        <v>132</v>
      </c>
      <c r="D1413" s="8">
        <v>143.98</v>
      </c>
      <c r="E1413" s="9">
        <v>3</v>
      </c>
    </row>
    <row r="1414" spans="1:5" x14ac:dyDescent="0.25">
      <c r="A1414" s="7">
        <v>1</v>
      </c>
      <c r="B1414" s="7">
        <v>2012</v>
      </c>
      <c r="C1414" s="7">
        <v>132</v>
      </c>
      <c r="D1414" s="8">
        <v>87.33</v>
      </c>
      <c r="E1414" s="9">
        <v>3</v>
      </c>
    </row>
    <row r="1415" spans="1:5" x14ac:dyDescent="0.25">
      <c r="A1415" s="7">
        <v>1</v>
      </c>
      <c r="B1415" s="7">
        <v>2013</v>
      </c>
      <c r="C1415" s="7">
        <v>902</v>
      </c>
      <c r="D1415" s="8">
        <v>130.97</v>
      </c>
      <c r="E1415" s="9">
        <v>3</v>
      </c>
    </row>
    <row r="1416" spans="1:5" x14ac:dyDescent="0.25">
      <c r="A1416" s="7">
        <v>1</v>
      </c>
      <c r="B1416" s="7">
        <v>2014</v>
      </c>
      <c r="C1416" s="7">
        <v>132</v>
      </c>
      <c r="D1416" s="8">
        <v>154.77</v>
      </c>
      <c r="E1416" s="9">
        <v>3</v>
      </c>
    </row>
    <row r="1417" spans="1:5" x14ac:dyDescent="0.25">
      <c r="A1417" s="7">
        <v>1</v>
      </c>
      <c r="B1417" s="7">
        <v>2015</v>
      </c>
      <c r="C1417" s="7">
        <v>132</v>
      </c>
      <c r="D1417" s="8">
        <v>71.98</v>
      </c>
      <c r="E1417" s="9">
        <v>3</v>
      </c>
    </row>
    <row r="1418" spans="1:5" x14ac:dyDescent="0.25">
      <c r="A1418" s="7">
        <v>1</v>
      </c>
      <c r="B1418" s="7">
        <v>2016</v>
      </c>
      <c r="C1418" s="7">
        <v>132</v>
      </c>
      <c r="D1418" s="8">
        <v>103.24</v>
      </c>
      <c r="E1418" s="9">
        <v>3</v>
      </c>
    </row>
    <row r="1419" spans="1:5" x14ac:dyDescent="0.25">
      <c r="A1419" s="7">
        <v>1</v>
      </c>
      <c r="B1419" s="7">
        <v>2017</v>
      </c>
      <c r="C1419" s="7">
        <v>132</v>
      </c>
      <c r="D1419" s="8">
        <v>91.51</v>
      </c>
      <c r="E1419" s="9">
        <v>3</v>
      </c>
    </row>
    <row r="1420" spans="1:5" x14ac:dyDescent="0.25">
      <c r="A1420" s="7">
        <v>1</v>
      </c>
      <c r="B1420" s="7">
        <v>2018</v>
      </c>
      <c r="C1420" s="7">
        <v>902</v>
      </c>
      <c r="D1420" s="8">
        <v>4792.97</v>
      </c>
      <c r="E1420" s="9">
        <v>1</v>
      </c>
    </row>
    <row r="1421" spans="1:5" x14ac:dyDescent="0.25">
      <c r="A1421" s="7">
        <v>1</v>
      </c>
      <c r="B1421" s="7">
        <v>2019</v>
      </c>
      <c r="C1421" s="7">
        <v>132</v>
      </c>
      <c r="D1421" s="8">
        <v>98.37</v>
      </c>
      <c r="E1421" s="9">
        <v>3</v>
      </c>
    </row>
    <row r="1422" spans="1:5" x14ac:dyDescent="0.25">
      <c r="A1422" s="7">
        <v>1</v>
      </c>
      <c r="B1422" s="7">
        <v>2020</v>
      </c>
      <c r="C1422" s="7">
        <v>132</v>
      </c>
      <c r="D1422" s="8">
        <v>147.51</v>
      </c>
      <c r="E1422" s="9">
        <v>3</v>
      </c>
    </row>
    <row r="1423" spans="1:5" x14ac:dyDescent="0.25">
      <c r="A1423" s="7">
        <v>1</v>
      </c>
      <c r="B1423" s="7">
        <v>2021</v>
      </c>
      <c r="C1423" s="7">
        <v>132</v>
      </c>
      <c r="D1423" s="8">
        <v>192.02</v>
      </c>
      <c r="E1423" s="9">
        <v>3</v>
      </c>
    </row>
    <row r="1424" spans="1:5" x14ac:dyDescent="0.25">
      <c r="A1424" s="7">
        <v>1</v>
      </c>
      <c r="B1424" s="7">
        <v>2022</v>
      </c>
      <c r="C1424" s="7">
        <v>132</v>
      </c>
      <c r="D1424" s="8">
        <v>142.13</v>
      </c>
      <c r="E1424" s="9">
        <v>3</v>
      </c>
    </row>
    <row r="1425" spans="1:5" x14ac:dyDescent="0.25">
      <c r="A1425" s="7">
        <v>1</v>
      </c>
      <c r="B1425" s="7">
        <v>2023</v>
      </c>
      <c r="C1425" s="7">
        <v>132</v>
      </c>
      <c r="D1425" s="8">
        <v>109.53</v>
      </c>
      <c r="E1425" s="9">
        <v>3</v>
      </c>
    </row>
    <row r="1426" spans="1:5" x14ac:dyDescent="0.25">
      <c r="A1426" s="7">
        <v>1</v>
      </c>
      <c r="B1426" s="7">
        <v>2024</v>
      </c>
      <c r="C1426" s="7">
        <v>132</v>
      </c>
      <c r="D1426" s="8">
        <v>140.95</v>
      </c>
      <c r="E1426" s="9">
        <v>3</v>
      </c>
    </row>
    <row r="1427" spans="1:5" x14ac:dyDescent="0.25">
      <c r="A1427" s="7">
        <v>1</v>
      </c>
      <c r="B1427" s="7">
        <v>2025</v>
      </c>
      <c r="C1427" s="7">
        <v>132</v>
      </c>
      <c r="D1427" s="8">
        <v>106.62</v>
      </c>
      <c r="E1427" s="9">
        <v>3</v>
      </c>
    </row>
    <row r="1428" spans="1:5" x14ac:dyDescent="0.25">
      <c r="A1428" s="7">
        <v>1</v>
      </c>
      <c r="B1428" s="7">
        <v>2026</v>
      </c>
      <c r="C1428" s="7">
        <v>132</v>
      </c>
      <c r="D1428" s="8">
        <v>156.65</v>
      </c>
      <c r="E1428" s="9">
        <v>3</v>
      </c>
    </row>
    <row r="1429" spans="1:5" x14ac:dyDescent="0.25">
      <c r="A1429" s="7">
        <v>1</v>
      </c>
      <c r="B1429" s="7">
        <v>2027</v>
      </c>
      <c r="C1429" s="7">
        <v>132</v>
      </c>
      <c r="D1429" s="8">
        <v>125.42</v>
      </c>
      <c r="E1429" s="9">
        <v>3</v>
      </c>
    </row>
    <row r="1430" spans="1:5" x14ac:dyDescent="0.25">
      <c r="A1430" s="7">
        <v>1</v>
      </c>
      <c r="B1430" s="7">
        <v>2028</v>
      </c>
      <c r="C1430" s="7">
        <v>132</v>
      </c>
      <c r="D1430" s="8">
        <v>156.65</v>
      </c>
      <c r="E1430" s="9">
        <v>3</v>
      </c>
    </row>
    <row r="1431" spans="1:5" x14ac:dyDescent="0.25">
      <c r="A1431" s="7">
        <v>1</v>
      </c>
      <c r="B1431" s="7">
        <v>2029</v>
      </c>
      <c r="C1431" s="7">
        <v>132</v>
      </c>
      <c r="D1431" s="8">
        <v>151.64</v>
      </c>
      <c r="E1431" s="9">
        <v>3</v>
      </c>
    </row>
    <row r="1432" spans="1:5" x14ac:dyDescent="0.25">
      <c r="A1432" s="7">
        <v>1</v>
      </c>
      <c r="B1432" s="7">
        <v>2030</v>
      </c>
      <c r="C1432" s="7">
        <v>132</v>
      </c>
      <c r="D1432" s="8">
        <v>140.95</v>
      </c>
      <c r="E1432" s="9">
        <v>3</v>
      </c>
    </row>
    <row r="1433" spans="1:5" x14ac:dyDescent="0.25">
      <c r="A1433" s="7">
        <v>1</v>
      </c>
      <c r="B1433" s="7">
        <v>2031</v>
      </c>
      <c r="C1433" s="7">
        <v>132</v>
      </c>
      <c r="D1433" s="8">
        <v>104.43</v>
      </c>
      <c r="E1433" s="9">
        <v>3</v>
      </c>
    </row>
    <row r="1434" spans="1:5" x14ac:dyDescent="0.25">
      <c r="A1434" s="7">
        <v>1</v>
      </c>
      <c r="B1434" s="7">
        <v>2032</v>
      </c>
      <c r="C1434" s="7">
        <v>132</v>
      </c>
      <c r="D1434" s="8">
        <v>197.09</v>
      </c>
      <c r="E1434" s="9">
        <v>3</v>
      </c>
    </row>
    <row r="1435" spans="1:5" x14ac:dyDescent="0.25">
      <c r="A1435" s="7">
        <v>1</v>
      </c>
      <c r="B1435" s="7">
        <v>2033</v>
      </c>
      <c r="C1435" s="7">
        <v>132</v>
      </c>
      <c r="D1435" s="8">
        <v>234.51</v>
      </c>
      <c r="E1435" s="9">
        <v>3</v>
      </c>
    </row>
    <row r="1436" spans="1:5" x14ac:dyDescent="0.25">
      <c r="A1436" s="7">
        <v>1</v>
      </c>
      <c r="B1436" s="7">
        <v>2034</v>
      </c>
      <c r="C1436" s="7">
        <v>132</v>
      </c>
      <c r="D1436" s="8">
        <v>112.66</v>
      </c>
      <c r="E1436" s="9">
        <v>3</v>
      </c>
    </row>
    <row r="1437" spans="1:5" x14ac:dyDescent="0.25">
      <c r="A1437" s="7">
        <v>1</v>
      </c>
      <c r="B1437" s="7">
        <v>2035</v>
      </c>
      <c r="C1437" s="7">
        <v>132</v>
      </c>
      <c r="D1437" s="8">
        <v>180.29</v>
      </c>
      <c r="E1437" s="9">
        <v>3</v>
      </c>
    </row>
    <row r="1438" spans="1:5" x14ac:dyDescent="0.25">
      <c r="A1438" s="7">
        <v>1</v>
      </c>
      <c r="B1438" s="7">
        <v>2036</v>
      </c>
      <c r="C1438" s="7">
        <v>132</v>
      </c>
      <c r="D1438" s="8">
        <v>111.84</v>
      </c>
      <c r="E1438" s="9">
        <v>3</v>
      </c>
    </row>
    <row r="1439" spans="1:5" x14ac:dyDescent="0.25">
      <c r="A1439" s="7">
        <v>1</v>
      </c>
      <c r="B1439" s="7">
        <v>2037</v>
      </c>
      <c r="C1439" s="7">
        <v>132</v>
      </c>
      <c r="D1439" s="8">
        <v>133.9</v>
      </c>
      <c r="E1439" s="9">
        <v>3</v>
      </c>
    </row>
    <row r="1440" spans="1:5" x14ac:dyDescent="0.25">
      <c r="A1440" s="7">
        <v>1</v>
      </c>
      <c r="B1440" s="7">
        <v>2039</v>
      </c>
      <c r="C1440" s="7">
        <v>132</v>
      </c>
      <c r="D1440" s="8">
        <v>154.54</v>
      </c>
      <c r="E1440" s="9">
        <v>3</v>
      </c>
    </row>
    <row r="1441" spans="1:5" x14ac:dyDescent="0.25">
      <c r="A1441" s="7">
        <v>1</v>
      </c>
      <c r="B1441" s="7">
        <v>2040</v>
      </c>
      <c r="C1441" s="7">
        <v>132</v>
      </c>
      <c r="D1441" s="8">
        <v>138.13</v>
      </c>
      <c r="E1441" s="9">
        <v>3</v>
      </c>
    </row>
    <row r="1442" spans="1:5" x14ac:dyDescent="0.25">
      <c r="A1442" s="7">
        <v>1</v>
      </c>
      <c r="B1442" s="7">
        <v>2041</v>
      </c>
      <c r="C1442" s="7">
        <v>132</v>
      </c>
      <c r="D1442" s="8">
        <v>164.29</v>
      </c>
      <c r="E1442" s="9">
        <v>3</v>
      </c>
    </row>
    <row r="1443" spans="1:5" x14ac:dyDescent="0.25">
      <c r="A1443" s="7">
        <v>1</v>
      </c>
      <c r="B1443" s="7">
        <v>2042</v>
      </c>
      <c r="C1443" s="7">
        <v>132</v>
      </c>
      <c r="D1443" s="8">
        <v>78.33</v>
      </c>
      <c r="E1443" s="9">
        <v>3</v>
      </c>
    </row>
    <row r="1444" spans="1:5" x14ac:dyDescent="0.25">
      <c r="A1444" s="7">
        <v>1</v>
      </c>
      <c r="B1444" s="7">
        <v>2043</v>
      </c>
      <c r="C1444" s="7">
        <v>132</v>
      </c>
      <c r="D1444" s="8">
        <v>109.53</v>
      </c>
      <c r="E1444" s="9">
        <v>3</v>
      </c>
    </row>
    <row r="1445" spans="1:5" x14ac:dyDescent="0.25">
      <c r="A1445" s="7">
        <v>1</v>
      </c>
      <c r="B1445" s="7">
        <v>2044</v>
      </c>
      <c r="C1445" s="7">
        <v>132</v>
      </c>
      <c r="D1445" s="8">
        <v>164.31</v>
      </c>
      <c r="E1445" s="9">
        <v>3</v>
      </c>
    </row>
    <row r="1446" spans="1:5" x14ac:dyDescent="0.25">
      <c r="A1446" s="7">
        <v>1</v>
      </c>
      <c r="B1446" s="7">
        <v>2045</v>
      </c>
      <c r="C1446" s="7">
        <v>132</v>
      </c>
      <c r="D1446" s="8">
        <v>156.65</v>
      </c>
      <c r="E1446" s="9">
        <v>3</v>
      </c>
    </row>
    <row r="1447" spans="1:5" x14ac:dyDescent="0.25">
      <c r="A1447" s="7">
        <v>1</v>
      </c>
      <c r="B1447" s="7">
        <v>2046</v>
      </c>
      <c r="C1447" s="7">
        <v>132</v>
      </c>
      <c r="D1447" s="8">
        <v>194.25</v>
      </c>
      <c r="E1447" s="9">
        <v>3</v>
      </c>
    </row>
    <row r="1448" spans="1:5" x14ac:dyDescent="0.25">
      <c r="A1448" s="7">
        <v>1</v>
      </c>
      <c r="B1448" s="7">
        <v>2047</v>
      </c>
      <c r="C1448" s="7">
        <v>132</v>
      </c>
      <c r="D1448" s="8">
        <v>157.22</v>
      </c>
      <c r="E1448" s="9">
        <v>3</v>
      </c>
    </row>
    <row r="1449" spans="1:5" x14ac:dyDescent="0.25">
      <c r="A1449" s="7">
        <v>1</v>
      </c>
      <c r="B1449" s="7">
        <v>2048</v>
      </c>
      <c r="C1449" s="7">
        <v>132</v>
      </c>
      <c r="D1449" s="8">
        <v>164.29</v>
      </c>
      <c r="E1449" s="9">
        <v>3</v>
      </c>
    </row>
    <row r="1450" spans="1:5" x14ac:dyDescent="0.25">
      <c r="A1450" s="7">
        <v>1</v>
      </c>
      <c r="B1450" s="7">
        <v>2049</v>
      </c>
      <c r="C1450" s="7">
        <v>132</v>
      </c>
      <c r="D1450" s="8">
        <v>177.07</v>
      </c>
      <c r="E1450" s="9">
        <v>3</v>
      </c>
    </row>
    <row r="1451" spans="1:5" x14ac:dyDescent="0.25">
      <c r="A1451" s="7">
        <v>1</v>
      </c>
      <c r="B1451" s="7">
        <v>2050</v>
      </c>
      <c r="C1451" s="7">
        <v>132</v>
      </c>
      <c r="D1451" s="8">
        <v>156.65</v>
      </c>
      <c r="E1451" s="9">
        <v>3</v>
      </c>
    </row>
    <row r="1452" spans="1:5" x14ac:dyDescent="0.25">
      <c r="A1452" s="7">
        <v>1</v>
      </c>
      <c r="B1452" s="7">
        <v>2051</v>
      </c>
      <c r="C1452" s="7">
        <v>132</v>
      </c>
      <c r="D1452" s="8">
        <v>156.65</v>
      </c>
      <c r="E1452" s="9">
        <v>3</v>
      </c>
    </row>
    <row r="1453" spans="1:5" x14ac:dyDescent="0.25">
      <c r="A1453" s="7">
        <v>1</v>
      </c>
      <c r="B1453" s="7">
        <v>2052</v>
      </c>
      <c r="C1453" s="7">
        <v>132</v>
      </c>
      <c r="D1453" s="8">
        <v>164.31</v>
      </c>
      <c r="E1453" s="9">
        <v>3</v>
      </c>
    </row>
    <row r="1454" spans="1:5" x14ac:dyDescent="0.25">
      <c r="A1454" s="7">
        <v>1</v>
      </c>
      <c r="B1454" s="7">
        <v>2053</v>
      </c>
      <c r="C1454" s="7">
        <v>132</v>
      </c>
      <c r="D1454" s="8">
        <v>177.07</v>
      </c>
      <c r="E1454" s="9">
        <v>3</v>
      </c>
    </row>
    <row r="1455" spans="1:5" x14ac:dyDescent="0.25">
      <c r="A1455" s="7">
        <v>1</v>
      </c>
      <c r="B1455" s="7">
        <v>2054</v>
      </c>
      <c r="C1455" s="7">
        <v>132</v>
      </c>
      <c r="D1455" s="8">
        <v>169.01</v>
      </c>
      <c r="E1455" s="9">
        <v>3</v>
      </c>
    </row>
    <row r="1456" spans="1:5" x14ac:dyDescent="0.25">
      <c r="A1456" s="7">
        <v>1</v>
      </c>
      <c r="B1456" s="7">
        <v>2055</v>
      </c>
      <c r="C1456" s="7">
        <v>132</v>
      </c>
      <c r="D1456" s="8">
        <v>82.18</v>
      </c>
      <c r="E1456" s="9">
        <v>3</v>
      </c>
    </row>
    <row r="1457" spans="1:5" x14ac:dyDescent="0.25">
      <c r="A1457" s="7">
        <v>1</v>
      </c>
      <c r="B1457" s="7">
        <v>2056</v>
      </c>
      <c r="C1457" s="7">
        <v>132</v>
      </c>
      <c r="D1457" s="8">
        <v>77.1</v>
      </c>
      <c r="E1457" s="9">
        <v>3</v>
      </c>
    </row>
    <row r="1458" spans="1:5" x14ac:dyDescent="0.25">
      <c r="A1458" s="7">
        <v>1</v>
      </c>
      <c r="B1458" s="7">
        <v>2057</v>
      </c>
      <c r="C1458" s="7">
        <v>132</v>
      </c>
      <c r="D1458" s="8">
        <v>7249.59</v>
      </c>
      <c r="E1458" s="9">
        <v>1</v>
      </c>
    </row>
    <row r="1459" spans="1:5" x14ac:dyDescent="0.25">
      <c r="A1459" s="7">
        <v>1</v>
      </c>
      <c r="B1459" s="7">
        <v>2058</v>
      </c>
      <c r="C1459" s="7">
        <v>132</v>
      </c>
      <c r="D1459" s="8">
        <v>156.65</v>
      </c>
      <c r="E1459" s="9">
        <v>3</v>
      </c>
    </row>
    <row r="1460" spans="1:5" x14ac:dyDescent="0.25">
      <c r="A1460" s="7">
        <v>1</v>
      </c>
      <c r="B1460" s="7">
        <v>2059</v>
      </c>
      <c r="C1460" s="7">
        <v>132</v>
      </c>
      <c r="D1460" s="8">
        <v>7629.7</v>
      </c>
      <c r="E1460" s="9">
        <v>1</v>
      </c>
    </row>
    <row r="1461" spans="1:5" x14ac:dyDescent="0.25">
      <c r="A1461" s="7">
        <v>1</v>
      </c>
      <c r="B1461" s="7">
        <v>2060</v>
      </c>
      <c r="C1461" s="7">
        <v>132</v>
      </c>
      <c r="D1461" s="8">
        <v>220.95</v>
      </c>
      <c r="E1461" s="9">
        <v>3</v>
      </c>
    </row>
    <row r="1462" spans="1:5" x14ac:dyDescent="0.25">
      <c r="A1462" s="7">
        <v>1</v>
      </c>
      <c r="B1462" s="7">
        <v>2061</v>
      </c>
      <c r="C1462" s="7">
        <v>132</v>
      </c>
      <c r="D1462" s="8">
        <v>76.45</v>
      </c>
      <c r="E1462" s="9">
        <v>3</v>
      </c>
    </row>
    <row r="1463" spans="1:5" x14ac:dyDescent="0.25">
      <c r="A1463" s="7">
        <v>1</v>
      </c>
      <c r="B1463" s="7">
        <v>2062</v>
      </c>
      <c r="C1463" s="7">
        <v>132</v>
      </c>
      <c r="D1463" s="8">
        <v>104.03</v>
      </c>
      <c r="E1463" s="9">
        <v>3</v>
      </c>
    </row>
    <row r="1464" spans="1:5" x14ac:dyDescent="0.25">
      <c r="A1464" s="7">
        <v>1</v>
      </c>
      <c r="B1464" s="7">
        <v>2063</v>
      </c>
      <c r="C1464" s="7">
        <v>132</v>
      </c>
      <c r="D1464" s="8">
        <v>112.66</v>
      </c>
      <c r="E1464" s="9">
        <v>3</v>
      </c>
    </row>
    <row r="1465" spans="1:5" x14ac:dyDescent="0.25">
      <c r="A1465" s="7">
        <v>1</v>
      </c>
      <c r="B1465" s="7">
        <v>2064</v>
      </c>
      <c r="C1465" s="7">
        <v>132</v>
      </c>
      <c r="D1465" s="8">
        <v>208.82</v>
      </c>
      <c r="E1465" s="9">
        <v>3</v>
      </c>
    </row>
    <row r="1466" spans="1:5" x14ac:dyDescent="0.25">
      <c r="A1466" s="7">
        <v>1</v>
      </c>
      <c r="B1466" s="7">
        <v>2065</v>
      </c>
      <c r="C1466" s="7">
        <v>902</v>
      </c>
      <c r="D1466" s="8">
        <v>4381.11</v>
      </c>
      <c r="E1466" s="9">
        <v>1</v>
      </c>
    </row>
    <row r="1467" spans="1:5" x14ac:dyDescent="0.25">
      <c r="A1467" s="7">
        <v>1</v>
      </c>
      <c r="B1467" s="7">
        <v>2066</v>
      </c>
      <c r="C1467" s="7">
        <v>902</v>
      </c>
      <c r="D1467" s="8">
        <v>4709.68</v>
      </c>
      <c r="E1467" s="9">
        <v>1</v>
      </c>
    </row>
    <row r="1468" spans="1:5" x14ac:dyDescent="0.25">
      <c r="A1468" s="7">
        <v>1</v>
      </c>
      <c r="B1468" s="7">
        <v>2067</v>
      </c>
      <c r="C1468" s="7">
        <v>902</v>
      </c>
      <c r="D1468" s="8">
        <v>4381.06</v>
      </c>
      <c r="E1468" s="9">
        <v>1</v>
      </c>
    </row>
    <row r="1469" spans="1:5" x14ac:dyDescent="0.25">
      <c r="A1469" s="7">
        <v>1</v>
      </c>
      <c r="B1469" s="7">
        <v>2068</v>
      </c>
      <c r="C1469" s="7">
        <v>902</v>
      </c>
      <c r="D1469" s="8">
        <v>4709.71</v>
      </c>
      <c r="E1469" s="9">
        <v>1</v>
      </c>
    </row>
    <row r="1470" spans="1:5" x14ac:dyDescent="0.25">
      <c r="A1470" s="7">
        <v>1</v>
      </c>
      <c r="B1470" s="7">
        <v>2069</v>
      </c>
      <c r="C1470" s="7">
        <v>132</v>
      </c>
      <c r="D1470" s="8">
        <v>109.79</v>
      </c>
      <c r="E1470" s="9">
        <v>3</v>
      </c>
    </row>
    <row r="1471" spans="1:5" x14ac:dyDescent="0.25">
      <c r="A1471" s="7">
        <v>1</v>
      </c>
      <c r="B1471" s="7">
        <v>2070</v>
      </c>
      <c r="C1471" s="7">
        <v>132</v>
      </c>
      <c r="D1471" s="8">
        <v>169.01</v>
      </c>
      <c r="E1471" s="9">
        <v>3</v>
      </c>
    </row>
    <row r="1472" spans="1:5" x14ac:dyDescent="0.25">
      <c r="A1472" s="7">
        <v>1</v>
      </c>
      <c r="B1472" s="7">
        <v>2071</v>
      </c>
      <c r="C1472" s="7">
        <v>132</v>
      </c>
      <c r="D1472" s="8">
        <v>7629.7</v>
      </c>
      <c r="E1472" s="9">
        <v>1</v>
      </c>
    </row>
    <row r="1473" spans="1:5" x14ac:dyDescent="0.25">
      <c r="A1473" s="7">
        <v>1</v>
      </c>
      <c r="B1473" s="7">
        <v>2072</v>
      </c>
      <c r="C1473" s="7">
        <v>132</v>
      </c>
      <c r="D1473" s="8">
        <v>121.07</v>
      </c>
      <c r="E1473" s="9">
        <v>3</v>
      </c>
    </row>
    <row r="1474" spans="1:5" x14ac:dyDescent="0.25">
      <c r="A1474" s="7">
        <v>1</v>
      </c>
      <c r="B1474" s="7">
        <v>2073</v>
      </c>
      <c r="C1474" s="7">
        <v>132</v>
      </c>
      <c r="D1474" s="8">
        <v>8137.93</v>
      </c>
      <c r="E1474" s="9">
        <v>1</v>
      </c>
    </row>
    <row r="1475" spans="1:5" x14ac:dyDescent="0.25">
      <c r="A1475" s="7">
        <v>1</v>
      </c>
      <c r="B1475" s="7">
        <v>2074</v>
      </c>
      <c r="C1475" s="7">
        <v>132</v>
      </c>
      <c r="D1475" s="8">
        <v>121.42</v>
      </c>
      <c r="E1475" s="9">
        <v>3</v>
      </c>
    </row>
    <row r="1476" spans="1:5" x14ac:dyDescent="0.25">
      <c r="A1476" s="7">
        <v>1</v>
      </c>
      <c r="B1476" s="7">
        <v>2075</v>
      </c>
      <c r="C1476" s="7">
        <v>132</v>
      </c>
      <c r="D1476" s="8">
        <v>4650.69</v>
      </c>
      <c r="E1476" s="9">
        <v>1</v>
      </c>
    </row>
    <row r="1477" spans="1:5" x14ac:dyDescent="0.25">
      <c r="A1477" s="7">
        <v>1</v>
      </c>
      <c r="B1477" s="7">
        <v>2076</v>
      </c>
      <c r="C1477" s="7">
        <v>132</v>
      </c>
      <c r="D1477" s="8">
        <v>4981.59</v>
      </c>
      <c r="E1477" s="9">
        <v>1</v>
      </c>
    </row>
    <row r="1478" spans="1:5" x14ac:dyDescent="0.25">
      <c r="A1478" s="7">
        <v>1</v>
      </c>
      <c r="B1478" s="7">
        <v>2079</v>
      </c>
      <c r="C1478" s="7">
        <v>146</v>
      </c>
      <c r="D1478" s="8">
        <v>23490.68</v>
      </c>
      <c r="E1478" s="9">
        <v>1</v>
      </c>
    </row>
    <row r="1479" spans="1:5" x14ac:dyDescent="0.25">
      <c r="A1479" s="7">
        <v>1</v>
      </c>
      <c r="B1479" s="7">
        <v>2080</v>
      </c>
      <c r="C1479" s="7">
        <v>146</v>
      </c>
      <c r="D1479" s="8">
        <v>23490.68</v>
      </c>
      <c r="E1479" s="9">
        <v>1</v>
      </c>
    </row>
    <row r="1480" spans="1:5" x14ac:dyDescent="0.25">
      <c r="A1480" s="7">
        <v>1</v>
      </c>
      <c r="B1480" s="7">
        <v>2081</v>
      </c>
      <c r="C1480" s="7">
        <v>152</v>
      </c>
      <c r="D1480" s="8">
        <v>10803.62</v>
      </c>
      <c r="E1480" s="9">
        <v>1</v>
      </c>
    </row>
    <row r="1481" spans="1:5" x14ac:dyDescent="0.25">
      <c r="A1481" s="7">
        <v>1</v>
      </c>
      <c r="B1481" s="7">
        <v>2082</v>
      </c>
      <c r="C1481" s="7">
        <v>152</v>
      </c>
      <c r="D1481" s="8">
        <v>38455.82</v>
      </c>
      <c r="E1481" s="9">
        <v>1</v>
      </c>
    </row>
    <row r="1482" spans="1:5" x14ac:dyDescent="0.25">
      <c r="A1482" s="7">
        <v>1</v>
      </c>
      <c r="B1482" s="7">
        <v>2083</v>
      </c>
      <c r="C1482" s="7">
        <v>131</v>
      </c>
      <c r="D1482" s="8">
        <v>258.73</v>
      </c>
      <c r="E1482" s="9">
        <v>3</v>
      </c>
    </row>
    <row r="1483" spans="1:5" x14ac:dyDescent="0.25">
      <c r="A1483" s="7">
        <v>1</v>
      </c>
      <c r="B1483" s="7">
        <v>2084</v>
      </c>
      <c r="C1483" s="7">
        <v>152</v>
      </c>
      <c r="D1483" s="8">
        <v>8126.7</v>
      </c>
      <c r="E1483" s="9">
        <v>1</v>
      </c>
    </row>
    <row r="1484" spans="1:5" x14ac:dyDescent="0.25">
      <c r="A1484" s="7">
        <v>1</v>
      </c>
      <c r="B1484" s="7">
        <v>2085</v>
      </c>
      <c r="C1484" s="7">
        <v>152</v>
      </c>
      <c r="D1484" s="8">
        <v>12764.18</v>
      </c>
      <c r="E1484" s="9">
        <v>1</v>
      </c>
    </row>
    <row r="1485" spans="1:5" x14ac:dyDescent="0.25">
      <c r="A1485" s="7">
        <v>1</v>
      </c>
      <c r="B1485" s="7">
        <v>2086</v>
      </c>
      <c r="C1485" s="7">
        <v>152</v>
      </c>
      <c r="D1485" s="8">
        <v>43720.79</v>
      </c>
      <c r="E1485" s="9">
        <v>1</v>
      </c>
    </row>
    <row r="1486" spans="1:5" x14ac:dyDescent="0.25">
      <c r="A1486" s="7">
        <v>1</v>
      </c>
      <c r="B1486" s="7">
        <v>2087</v>
      </c>
      <c r="C1486" s="7">
        <v>152</v>
      </c>
      <c r="D1486" s="8">
        <v>7679.92</v>
      </c>
      <c r="E1486" s="9">
        <v>1</v>
      </c>
    </row>
    <row r="1487" spans="1:5" x14ac:dyDescent="0.25">
      <c r="A1487" s="7">
        <v>1</v>
      </c>
      <c r="B1487" s="7">
        <v>2088</v>
      </c>
      <c r="C1487" s="7">
        <v>152</v>
      </c>
      <c r="D1487" s="8">
        <v>12216.38</v>
      </c>
      <c r="E1487" s="9">
        <v>1</v>
      </c>
    </row>
    <row r="1488" spans="1:5" x14ac:dyDescent="0.25">
      <c r="A1488" s="7">
        <v>1</v>
      </c>
      <c r="B1488" s="7">
        <v>2089</v>
      </c>
      <c r="C1488" s="7">
        <v>152</v>
      </c>
      <c r="D1488" s="8">
        <v>41226.9</v>
      </c>
      <c r="E1488" s="9">
        <v>1</v>
      </c>
    </row>
    <row r="1489" spans="1:5" x14ac:dyDescent="0.25">
      <c r="A1489" s="7">
        <v>1</v>
      </c>
      <c r="B1489" s="7">
        <v>2090</v>
      </c>
      <c r="C1489" s="7">
        <v>152</v>
      </c>
      <c r="D1489" s="8">
        <v>157944.95</v>
      </c>
      <c r="E1489" s="9">
        <v>1</v>
      </c>
    </row>
    <row r="1490" spans="1:5" x14ac:dyDescent="0.25">
      <c r="A1490" s="7">
        <v>1</v>
      </c>
      <c r="B1490" s="7">
        <v>2097</v>
      </c>
      <c r="C1490" s="7">
        <v>131</v>
      </c>
      <c r="D1490" s="8">
        <v>73.94</v>
      </c>
      <c r="E1490" s="9">
        <v>3</v>
      </c>
    </row>
    <row r="1491" spans="1:5" x14ac:dyDescent="0.25">
      <c r="A1491" s="7">
        <v>1</v>
      </c>
      <c r="B1491" s="7">
        <v>2100</v>
      </c>
      <c r="C1491" s="7">
        <v>152</v>
      </c>
      <c r="D1491" s="8">
        <v>8309.65</v>
      </c>
      <c r="E1491" s="9">
        <v>1</v>
      </c>
    </row>
    <row r="1492" spans="1:5" x14ac:dyDescent="0.25">
      <c r="A1492" s="7">
        <v>1</v>
      </c>
      <c r="B1492" s="7">
        <v>2101</v>
      </c>
      <c r="C1492" s="7">
        <v>152</v>
      </c>
      <c r="D1492" s="8">
        <v>7784.33</v>
      </c>
      <c r="E1492" s="9">
        <v>1</v>
      </c>
    </row>
    <row r="1493" spans="1:5" x14ac:dyDescent="0.25">
      <c r="A1493" s="7">
        <v>1</v>
      </c>
      <c r="B1493" s="7">
        <v>2102</v>
      </c>
      <c r="C1493" s="7">
        <v>152</v>
      </c>
      <c r="D1493" s="8">
        <v>9818.48</v>
      </c>
      <c r="E1493" s="9">
        <v>1</v>
      </c>
    </row>
    <row r="1494" spans="1:5" x14ac:dyDescent="0.25">
      <c r="A1494" s="7">
        <v>1</v>
      </c>
      <c r="B1494" s="7">
        <v>2103</v>
      </c>
      <c r="C1494" s="7">
        <v>152</v>
      </c>
      <c r="D1494" s="8">
        <v>9818.48</v>
      </c>
      <c r="E1494" s="9">
        <v>1</v>
      </c>
    </row>
    <row r="1495" spans="1:5" x14ac:dyDescent="0.25">
      <c r="A1495" s="7">
        <v>1</v>
      </c>
      <c r="B1495" s="7">
        <v>2104</v>
      </c>
      <c r="C1495" s="7">
        <v>152</v>
      </c>
      <c r="D1495" s="8">
        <v>9818.48</v>
      </c>
      <c r="E1495" s="9">
        <v>1</v>
      </c>
    </row>
    <row r="1496" spans="1:5" x14ac:dyDescent="0.25">
      <c r="A1496" s="7">
        <v>1</v>
      </c>
      <c r="B1496" s="7">
        <v>2105</v>
      </c>
      <c r="C1496" s="7">
        <v>152</v>
      </c>
      <c r="D1496" s="8">
        <v>7024.83</v>
      </c>
      <c r="E1496" s="9">
        <v>1</v>
      </c>
    </row>
    <row r="1497" spans="1:5" x14ac:dyDescent="0.25">
      <c r="A1497" s="7">
        <v>1</v>
      </c>
      <c r="B1497" s="7">
        <v>2106</v>
      </c>
      <c r="C1497" s="7">
        <v>152</v>
      </c>
      <c r="D1497" s="8">
        <v>4787.38</v>
      </c>
      <c r="E1497" s="9">
        <v>1</v>
      </c>
    </row>
    <row r="1498" spans="1:5" x14ac:dyDescent="0.25">
      <c r="A1498" s="7">
        <v>1</v>
      </c>
      <c r="B1498" s="7">
        <v>2107</v>
      </c>
      <c r="C1498" s="7">
        <v>902</v>
      </c>
      <c r="D1498" s="8">
        <v>9984.15</v>
      </c>
      <c r="E1498" s="9">
        <v>1</v>
      </c>
    </row>
    <row r="1499" spans="1:5" x14ac:dyDescent="0.25">
      <c r="A1499" s="7">
        <v>1</v>
      </c>
      <c r="B1499" s="7">
        <v>2109</v>
      </c>
      <c r="C1499" s="7">
        <v>152</v>
      </c>
      <c r="D1499" s="8">
        <v>6985.7</v>
      </c>
      <c r="E1499" s="9">
        <v>1</v>
      </c>
    </row>
    <row r="1500" spans="1:5" x14ac:dyDescent="0.25">
      <c r="A1500" s="7">
        <v>1</v>
      </c>
      <c r="B1500" s="7">
        <v>2110</v>
      </c>
      <c r="C1500" s="7">
        <v>152</v>
      </c>
      <c r="D1500" s="8">
        <v>6741.33</v>
      </c>
      <c r="E1500" s="9">
        <v>1</v>
      </c>
    </row>
    <row r="1501" spans="1:5" x14ac:dyDescent="0.25">
      <c r="A1501" s="7">
        <v>1</v>
      </c>
      <c r="B1501" s="7">
        <v>2111</v>
      </c>
      <c r="C1501" s="7">
        <v>902</v>
      </c>
      <c r="D1501" s="8">
        <v>9693.43</v>
      </c>
      <c r="E1501" s="9">
        <v>1</v>
      </c>
    </row>
    <row r="1502" spans="1:5" x14ac:dyDescent="0.25">
      <c r="A1502" s="7">
        <v>1</v>
      </c>
      <c r="B1502" s="7">
        <v>2112</v>
      </c>
      <c r="C1502" s="7">
        <v>112</v>
      </c>
      <c r="D1502" s="8">
        <v>46588.72</v>
      </c>
      <c r="E1502" s="9">
        <v>1</v>
      </c>
    </row>
    <row r="1503" spans="1:5" x14ac:dyDescent="0.25">
      <c r="A1503" s="7">
        <v>1</v>
      </c>
      <c r="B1503" s="7">
        <v>2113</v>
      </c>
      <c r="C1503" s="7">
        <v>152</v>
      </c>
      <c r="D1503" s="8">
        <v>6985.7</v>
      </c>
      <c r="E1503" s="9">
        <v>1</v>
      </c>
    </row>
    <row r="1504" spans="1:5" x14ac:dyDescent="0.25">
      <c r="A1504" s="7">
        <v>1</v>
      </c>
      <c r="B1504" s="7">
        <v>2115</v>
      </c>
      <c r="C1504" s="7">
        <v>152</v>
      </c>
      <c r="D1504" s="8">
        <v>6985.7</v>
      </c>
      <c r="E1504" s="9">
        <v>1</v>
      </c>
    </row>
    <row r="1505" spans="1:5" x14ac:dyDescent="0.25">
      <c r="A1505" s="7">
        <v>1</v>
      </c>
      <c r="B1505" s="7">
        <v>2116</v>
      </c>
      <c r="C1505" s="7">
        <v>152</v>
      </c>
      <c r="D1505" s="8">
        <v>17145.53</v>
      </c>
      <c r="E1505" s="9">
        <v>1</v>
      </c>
    </row>
    <row r="1506" spans="1:5" x14ac:dyDescent="0.25">
      <c r="A1506" s="7">
        <v>1</v>
      </c>
      <c r="B1506" s="7">
        <v>2117</v>
      </c>
      <c r="C1506" s="7">
        <v>152</v>
      </c>
      <c r="D1506" s="8">
        <v>9818.48</v>
      </c>
      <c r="E1506" s="9">
        <v>1</v>
      </c>
    </row>
    <row r="1507" spans="1:5" x14ac:dyDescent="0.25">
      <c r="A1507" s="7">
        <v>1</v>
      </c>
      <c r="B1507" s="7">
        <v>2118</v>
      </c>
      <c r="C1507" s="7">
        <v>152</v>
      </c>
      <c r="D1507" s="8">
        <v>6985.7</v>
      </c>
      <c r="E1507" s="9">
        <v>1</v>
      </c>
    </row>
    <row r="1508" spans="1:5" x14ac:dyDescent="0.25">
      <c r="A1508" s="7">
        <v>1</v>
      </c>
      <c r="B1508" s="7">
        <v>2119</v>
      </c>
      <c r="C1508" s="7">
        <v>152</v>
      </c>
      <c r="D1508" s="8">
        <v>7502.73</v>
      </c>
      <c r="E1508" s="9">
        <v>1</v>
      </c>
    </row>
    <row r="1509" spans="1:5" x14ac:dyDescent="0.25">
      <c r="A1509" s="7">
        <v>1</v>
      </c>
      <c r="B1509" s="7">
        <v>2120</v>
      </c>
      <c r="C1509" s="7">
        <v>152</v>
      </c>
      <c r="D1509" s="8">
        <v>6985.7</v>
      </c>
      <c r="E1509" s="9">
        <v>1</v>
      </c>
    </row>
    <row r="1510" spans="1:5" x14ac:dyDescent="0.25">
      <c r="A1510" s="7">
        <v>1</v>
      </c>
      <c r="B1510" s="7">
        <v>2123</v>
      </c>
      <c r="C1510" s="7">
        <v>152</v>
      </c>
      <c r="D1510" s="8">
        <v>7502.73</v>
      </c>
      <c r="E1510" s="9">
        <v>1</v>
      </c>
    </row>
    <row r="1511" spans="1:5" x14ac:dyDescent="0.25">
      <c r="A1511" s="7">
        <v>1</v>
      </c>
      <c r="B1511" s="7">
        <v>2124</v>
      </c>
      <c r="C1511" s="7">
        <v>152</v>
      </c>
      <c r="D1511" s="8">
        <v>7502.73</v>
      </c>
      <c r="E1511" s="9">
        <v>1</v>
      </c>
    </row>
    <row r="1512" spans="1:5" x14ac:dyDescent="0.25">
      <c r="A1512" s="7">
        <v>1</v>
      </c>
      <c r="B1512" s="7">
        <v>2126</v>
      </c>
      <c r="C1512" s="7">
        <v>152</v>
      </c>
      <c r="D1512" s="8">
        <v>7502.73</v>
      </c>
      <c r="E1512" s="9">
        <v>1</v>
      </c>
    </row>
    <row r="1513" spans="1:5" x14ac:dyDescent="0.25">
      <c r="A1513" s="7">
        <v>1</v>
      </c>
      <c r="B1513" s="7">
        <v>2128</v>
      </c>
      <c r="C1513" s="7">
        <v>152</v>
      </c>
      <c r="D1513" s="8">
        <v>7502.73</v>
      </c>
      <c r="E1513" s="9">
        <v>1</v>
      </c>
    </row>
    <row r="1514" spans="1:5" x14ac:dyDescent="0.25">
      <c r="A1514" s="7">
        <v>1</v>
      </c>
      <c r="B1514" s="7">
        <v>2129</v>
      </c>
      <c r="C1514" s="7">
        <v>152</v>
      </c>
      <c r="D1514" s="8">
        <v>7502.73</v>
      </c>
      <c r="E1514" s="9">
        <v>1</v>
      </c>
    </row>
    <row r="1515" spans="1:5" x14ac:dyDescent="0.25">
      <c r="A1515" s="7">
        <v>1</v>
      </c>
      <c r="B1515" s="7">
        <v>2130</v>
      </c>
      <c r="C1515" s="7">
        <v>152</v>
      </c>
      <c r="D1515" s="8">
        <v>7502.73</v>
      </c>
      <c r="E1515" s="9">
        <v>1</v>
      </c>
    </row>
    <row r="1516" spans="1:5" x14ac:dyDescent="0.25">
      <c r="A1516" s="7">
        <v>1</v>
      </c>
      <c r="B1516" s="7">
        <v>2131</v>
      </c>
      <c r="C1516" s="7">
        <v>112</v>
      </c>
      <c r="D1516" s="8">
        <v>43892.82</v>
      </c>
      <c r="E1516" s="9">
        <v>1</v>
      </c>
    </row>
    <row r="1517" spans="1:5" x14ac:dyDescent="0.25">
      <c r="A1517" s="7">
        <v>1</v>
      </c>
      <c r="B1517" s="7">
        <v>2132</v>
      </c>
      <c r="C1517" s="7">
        <v>152</v>
      </c>
      <c r="D1517" s="8">
        <v>7502.73</v>
      </c>
      <c r="E1517" s="9">
        <v>1</v>
      </c>
    </row>
    <row r="1518" spans="1:5" x14ac:dyDescent="0.25">
      <c r="A1518" s="7">
        <v>1</v>
      </c>
      <c r="B1518" s="7">
        <v>2133</v>
      </c>
      <c r="C1518" s="7">
        <v>152</v>
      </c>
      <c r="D1518" s="8">
        <v>7502.73</v>
      </c>
      <c r="E1518" s="9">
        <v>1</v>
      </c>
    </row>
    <row r="1519" spans="1:5" x14ac:dyDescent="0.25">
      <c r="A1519" s="7">
        <v>1</v>
      </c>
      <c r="B1519" s="7">
        <v>2134</v>
      </c>
      <c r="C1519" s="7">
        <v>152</v>
      </c>
      <c r="D1519" s="8">
        <v>7502.73</v>
      </c>
      <c r="E1519" s="9">
        <v>1</v>
      </c>
    </row>
    <row r="1520" spans="1:5" x14ac:dyDescent="0.25">
      <c r="A1520" s="7">
        <v>1</v>
      </c>
      <c r="B1520" s="7">
        <v>2135</v>
      </c>
      <c r="C1520" s="7">
        <v>112</v>
      </c>
      <c r="D1520" s="8">
        <v>45393.5</v>
      </c>
      <c r="E1520" s="9">
        <v>1</v>
      </c>
    </row>
    <row r="1521" spans="1:5" x14ac:dyDescent="0.25">
      <c r="A1521" s="7">
        <v>1</v>
      </c>
      <c r="B1521" s="7">
        <v>2136</v>
      </c>
      <c r="C1521" s="7">
        <v>152</v>
      </c>
      <c r="D1521" s="8">
        <v>7502.73</v>
      </c>
      <c r="E1521" s="9">
        <v>1</v>
      </c>
    </row>
    <row r="1522" spans="1:5" x14ac:dyDescent="0.25">
      <c r="A1522" s="7">
        <v>1</v>
      </c>
      <c r="B1522" s="7">
        <v>2137</v>
      </c>
      <c r="C1522" s="7">
        <v>152</v>
      </c>
      <c r="D1522" s="8">
        <v>6985.7</v>
      </c>
      <c r="E1522" s="9">
        <v>1</v>
      </c>
    </row>
    <row r="1523" spans="1:5" x14ac:dyDescent="0.25">
      <c r="A1523" s="7">
        <v>1</v>
      </c>
      <c r="B1523" s="7">
        <v>2138</v>
      </c>
      <c r="C1523" s="7">
        <v>152</v>
      </c>
      <c r="D1523" s="8">
        <v>7502.73</v>
      </c>
      <c r="E1523" s="9">
        <v>1</v>
      </c>
    </row>
    <row r="1524" spans="1:5" x14ac:dyDescent="0.25">
      <c r="A1524" s="7">
        <v>1</v>
      </c>
      <c r="B1524" s="7">
        <v>2141</v>
      </c>
      <c r="C1524" s="7">
        <v>152</v>
      </c>
      <c r="D1524" s="8">
        <v>7502.73</v>
      </c>
      <c r="E1524" s="9">
        <v>1</v>
      </c>
    </row>
    <row r="1525" spans="1:5" x14ac:dyDescent="0.25">
      <c r="A1525" s="7">
        <v>1</v>
      </c>
      <c r="B1525" s="7">
        <v>2142</v>
      </c>
      <c r="C1525" s="7">
        <v>112</v>
      </c>
      <c r="D1525" s="8">
        <v>41673.59</v>
      </c>
      <c r="E1525" s="9">
        <v>1</v>
      </c>
    </row>
    <row r="1526" spans="1:5" x14ac:dyDescent="0.25">
      <c r="A1526" s="7">
        <v>1</v>
      </c>
      <c r="B1526" s="7">
        <v>2143</v>
      </c>
      <c r="C1526" s="7">
        <v>152</v>
      </c>
      <c r="D1526" s="8">
        <v>7502.73</v>
      </c>
      <c r="E1526" s="9">
        <v>1</v>
      </c>
    </row>
    <row r="1527" spans="1:5" x14ac:dyDescent="0.25">
      <c r="A1527" s="7">
        <v>1</v>
      </c>
      <c r="B1527" s="7">
        <v>2145</v>
      </c>
      <c r="C1527" s="7">
        <v>112</v>
      </c>
      <c r="D1527" s="8">
        <v>44163.33</v>
      </c>
      <c r="E1527" s="9">
        <v>1</v>
      </c>
    </row>
    <row r="1528" spans="1:5" x14ac:dyDescent="0.25">
      <c r="A1528" s="7">
        <v>1</v>
      </c>
      <c r="B1528" s="7">
        <v>2146</v>
      </c>
      <c r="C1528" s="7">
        <v>112</v>
      </c>
      <c r="D1528" s="8">
        <v>47255.05</v>
      </c>
      <c r="E1528" s="9">
        <v>1</v>
      </c>
    </row>
    <row r="1529" spans="1:5" x14ac:dyDescent="0.25">
      <c r="A1529" s="7">
        <v>1</v>
      </c>
      <c r="B1529" s="7">
        <v>2147</v>
      </c>
      <c r="C1529" s="7">
        <v>152</v>
      </c>
      <c r="D1529" s="8">
        <v>6985.7</v>
      </c>
      <c r="E1529" s="9">
        <v>1</v>
      </c>
    </row>
    <row r="1530" spans="1:5" x14ac:dyDescent="0.25">
      <c r="A1530" s="7">
        <v>1</v>
      </c>
      <c r="B1530" s="7">
        <v>2150</v>
      </c>
      <c r="C1530" s="7">
        <v>152</v>
      </c>
      <c r="D1530" s="8">
        <v>9257.73</v>
      </c>
      <c r="E1530" s="9">
        <v>1</v>
      </c>
    </row>
    <row r="1531" spans="1:5" x14ac:dyDescent="0.25">
      <c r="A1531" s="7">
        <v>1</v>
      </c>
      <c r="B1531" s="7">
        <v>2156</v>
      </c>
      <c r="C1531" s="7">
        <v>152</v>
      </c>
      <c r="D1531" s="8">
        <v>9818.48</v>
      </c>
      <c r="E1531" s="9">
        <v>1</v>
      </c>
    </row>
    <row r="1532" spans="1:5" x14ac:dyDescent="0.25">
      <c r="A1532" s="7">
        <v>1</v>
      </c>
      <c r="B1532" s="7">
        <v>2162</v>
      </c>
      <c r="C1532" s="7">
        <v>107</v>
      </c>
      <c r="D1532" s="8">
        <v>11121.56</v>
      </c>
      <c r="E1532" s="9">
        <v>1</v>
      </c>
    </row>
    <row r="1533" spans="1:5" x14ac:dyDescent="0.25">
      <c r="A1533" s="7">
        <v>1</v>
      </c>
      <c r="B1533" s="7">
        <v>2163</v>
      </c>
      <c r="C1533" s="7">
        <v>107</v>
      </c>
      <c r="D1533" s="8">
        <v>35391.69</v>
      </c>
      <c r="E1533" s="9">
        <v>1</v>
      </c>
    </row>
    <row r="1534" spans="1:5" x14ac:dyDescent="0.25">
      <c r="A1534" s="7">
        <v>1</v>
      </c>
      <c r="B1534" s="7">
        <v>2164</v>
      </c>
      <c r="C1534" s="7">
        <v>107</v>
      </c>
      <c r="D1534" s="8">
        <v>72985.18</v>
      </c>
      <c r="E1534" s="9">
        <v>1</v>
      </c>
    </row>
    <row r="1535" spans="1:5" x14ac:dyDescent="0.25">
      <c r="A1535" s="7">
        <v>1</v>
      </c>
      <c r="B1535" s="7">
        <v>2165</v>
      </c>
      <c r="C1535" s="7">
        <v>107</v>
      </c>
      <c r="D1535" s="8">
        <v>121641.35</v>
      </c>
      <c r="E1535" s="9">
        <v>1</v>
      </c>
    </row>
    <row r="1536" spans="1:5" x14ac:dyDescent="0.25">
      <c r="A1536" s="7">
        <v>1</v>
      </c>
      <c r="B1536" s="7">
        <v>2169</v>
      </c>
      <c r="C1536" s="7">
        <v>149</v>
      </c>
      <c r="D1536" s="8">
        <v>114.24</v>
      </c>
      <c r="E1536" s="9">
        <v>2</v>
      </c>
    </row>
    <row r="1537" spans="1:5" x14ac:dyDescent="0.25">
      <c r="A1537" s="7">
        <v>1</v>
      </c>
      <c r="B1537" s="7">
        <v>2170</v>
      </c>
      <c r="C1537" s="7">
        <v>149</v>
      </c>
      <c r="D1537" s="8">
        <v>132.72</v>
      </c>
      <c r="E1537" s="9">
        <v>2</v>
      </c>
    </row>
    <row r="1538" spans="1:5" x14ac:dyDescent="0.25">
      <c r="A1538" s="7">
        <v>1</v>
      </c>
      <c r="B1538" s="7">
        <v>2171</v>
      </c>
      <c r="C1538" s="7">
        <v>149</v>
      </c>
      <c r="D1538" s="8">
        <v>164.64</v>
      </c>
      <c r="E1538" s="9">
        <v>2</v>
      </c>
    </row>
    <row r="1539" spans="1:5" x14ac:dyDescent="0.25">
      <c r="A1539" s="7">
        <v>1</v>
      </c>
      <c r="B1539" s="7">
        <v>2172</v>
      </c>
      <c r="C1539" s="7">
        <v>149</v>
      </c>
      <c r="D1539" s="8">
        <v>193.2</v>
      </c>
      <c r="E1539" s="9">
        <v>2</v>
      </c>
    </row>
    <row r="1540" spans="1:5" x14ac:dyDescent="0.25">
      <c r="A1540" s="7">
        <v>1</v>
      </c>
      <c r="B1540" s="7">
        <v>2173</v>
      </c>
      <c r="C1540" s="7">
        <v>149</v>
      </c>
      <c r="D1540" s="8">
        <v>248.64</v>
      </c>
      <c r="E1540" s="9">
        <v>2</v>
      </c>
    </row>
    <row r="1541" spans="1:5" x14ac:dyDescent="0.25">
      <c r="A1541" s="7">
        <v>1</v>
      </c>
      <c r="B1541" s="7">
        <v>2174</v>
      </c>
      <c r="C1541" s="7">
        <v>149</v>
      </c>
      <c r="D1541" s="8">
        <v>272.16</v>
      </c>
      <c r="E1541" s="9">
        <v>2</v>
      </c>
    </row>
    <row r="1542" spans="1:5" x14ac:dyDescent="0.25">
      <c r="A1542" s="7">
        <v>1</v>
      </c>
      <c r="B1542" s="7">
        <v>2175</v>
      </c>
      <c r="C1542" s="7">
        <v>149</v>
      </c>
      <c r="D1542" s="8">
        <v>389.76</v>
      </c>
      <c r="E1542" s="9">
        <v>2</v>
      </c>
    </row>
    <row r="1543" spans="1:5" x14ac:dyDescent="0.25">
      <c r="A1543" s="7">
        <v>1</v>
      </c>
      <c r="B1543" s="7">
        <v>2176</v>
      </c>
      <c r="C1543" s="7">
        <v>149</v>
      </c>
      <c r="D1543" s="8">
        <v>445.2</v>
      </c>
      <c r="E1543" s="9">
        <v>2</v>
      </c>
    </row>
    <row r="1544" spans="1:5" x14ac:dyDescent="0.25">
      <c r="A1544" s="7">
        <v>1</v>
      </c>
      <c r="B1544" s="7">
        <v>2182</v>
      </c>
      <c r="C1544" s="7">
        <v>107</v>
      </c>
      <c r="D1544" s="8">
        <v>18315.07</v>
      </c>
      <c r="E1544" s="9">
        <v>1</v>
      </c>
    </row>
    <row r="1545" spans="1:5" x14ac:dyDescent="0.25">
      <c r="A1545" s="7">
        <v>1</v>
      </c>
      <c r="B1545" s="7">
        <v>2183</v>
      </c>
      <c r="C1545" s="7">
        <v>107</v>
      </c>
      <c r="D1545" s="8">
        <v>30604.36</v>
      </c>
      <c r="E1545" s="9">
        <v>1</v>
      </c>
    </row>
    <row r="1546" spans="1:5" x14ac:dyDescent="0.25">
      <c r="A1546" s="7">
        <v>1</v>
      </c>
      <c r="B1546" s="7">
        <v>2184</v>
      </c>
      <c r="C1546" s="7">
        <v>107</v>
      </c>
      <c r="D1546" s="8">
        <v>103335.63</v>
      </c>
      <c r="E1546" s="9">
        <v>1</v>
      </c>
    </row>
    <row r="1547" spans="1:5" x14ac:dyDescent="0.25">
      <c r="A1547" s="7">
        <v>1</v>
      </c>
      <c r="B1547" s="7">
        <v>2186</v>
      </c>
      <c r="C1547" s="7">
        <v>107</v>
      </c>
      <c r="D1547" s="8">
        <v>15567.77</v>
      </c>
      <c r="E1547" s="9">
        <v>1</v>
      </c>
    </row>
    <row r="1548" spans="1:5" x14ac:dyDescent="0.25">
      <c r="A1548" s="7">
        <v>1</v>
      </c>
      <c r="B1548" s="7">
        <v>2187</v>
      </c>
      <c r="C1548" s="7">
        <v>107</v>
      </c>
      <c r="D1548" s="8">
        <v>26013.7</v>
      </c>
      <c r="E1548" s="9">
        <v>1</v>
      </c>
    </row>
    <row r="1549" spans="1:5" x14ac:dyDescent="0.25">
      <c r="A1549" s="7">
        <v>1</v>
      </c>
      <c r="B1549" s="7">
        <v>2188</v>
      </c>
      <c r="C1549" s="7">
        <v>107</v>
      </c>
      <c r="D1549" s="8">
        <v>87834.9</v>
      </c>
      <c r="E1549" s="9">
        <v>1</v>
      </c>
    </row>
    <row r="1550" spans="1:5" x14ac:dyDescent="0.25">
      <c r="A1550" s="7">
        <v>1</v>
      </c>
      <c r="B1550" s="7">
        <v>2190</v>
      </c>
      <c r="C1550" s="7">
        <v>107</v>
      </c>
      <c r="D1550" s="8">
        <v>415541.29</v>
      </c>
      <c r="E1550" s="9">
        <v>1</v>
      </c>
    </row>
    <row r="1551" spans="1:5" x14ac:dyDescent="0.25">
      <c r="A1551" s="7">
        <v>1</v>
      </c>
      <c r="B1551" s="7">
        <v>2191</v>
      </c>
      <c r="C1551" s="7">
        <v>137</v>
      </c>
      <c r="D1551" s="8">
        <v>27820.03</v>
      </c>
      <c r="E1551" s="9">
        <v>1</v>
      </c>
    </row>
    <row r="1552" spans="1:5" x14ac:dyDescent="0.25">
      <c r="A1552" s="7">
        <v>1</v>
      </c>
      <c r="B1552" s="7">
        <v>2195</v>
      </c>
      <c r="C1552" s="7">
        <v>137</v>
      </c>
      <c r="D1552" s="8">
        <v>23991.6</v>
      </c>
      <c r="E1552" s="9">
        <v>1</v>
      </c>
    </row>
    <row r="1553" spans="1:5" x14ac:dyDescent="0.25">
      <c r="A1553" s="7">
        <v>1</v>
      </c>
      <c r="B1553" s="7">
        <v>2196</v>
      </c>
      <c r="C1553" s="7">
        <v>137</v>
      </c>
      <c r="D1553" s="8">
        <v>25522.98</v>
      </c>
      <c r="E1553" s="9">
        <v>1</v>
      </c>
    </row>
    <row r="1554" spans="1:5" x14ac:dyDescent="0.25">
      <c r="A1554" s="7">
        <v>1</v>
      </c>
      <c r="B1554" s="7">
        <v>2197</v>
      </c>
      <c r="C1554" s="7">
        <v>163</v>
      </c>
      <c r="D1554" s="8">
        <v>10342.9</v>
      </c>
      <c r="E1554" s="9">
        <v>1</v>
      </c>
    </row>
    <row r="1555" spans="1:5" x14ac:dyDescent="0.25">
      <c r="A1555" s="7">
        <v>1</v>
      </c>
      <c r="B1555" s="7">
        <v>2200</v>
      </c>
      <c r="C1555" s="7">
        <v>152</v>
      </c>
      <c r="D1555" s="8">
        <v>12669.66</v>
      </c>
      <c r="E1555" s="9">
        <v>1</v>
      </c>
    </row>
    <row r="1556" spans="1:5" x14ac:dyDescent="0.25">
      <c r="A1556" s="7">
        <v>1</v>
      </c>
      <c r="B1556" s="7">
        <v>2201</v>
      </c>
      <c r="C1556" s="7">
        <v>152</v>
      </c>
      <c r="D1556" s="8">
        <v>11513.95</v>
      </c>
      <c r="E1556" s="9">
        <v>1</v>
      </c>
    </row>
    <row r="1557" spans="1:5" x14ac:dyDescent="0.25">
      <c r="A1557" s="7">
        <v>1</v>
      </c>
      <c r="B1557" s="7">
        <v>2202</v>
      </c>
      <c r="C1557" s="7">
        <v>152</v>
      </c>
      <c r="D1557" s="8">
        <v>14815.62</v>
      </c>
      <c r="E1557" s="9">
        <v>1</v>
      </c>
    </row>
    <row r="1558" spans="1:5" x14ac:dyDescent="0.25">
      <c r="A1558" s="7">
        <v>1</v>
      </c>
      <c r="B1558" s="7">
        <v>2203</v>
      </c>
      <c r="C1558" s="7">
        <v>152</v>
      </c>
      <c r="D1558" s="8">
        <v>14815.62</v>
      </c>
      <c r="E1558" s="9">
        <v>1</v>
      </c>
    </row>
    <row r="1559" spans="1:5" x14ac:dyDescent="0.25">
      <c r="A1559" s="7">
        <v>1</v>
      </c>
      <c r="B1559" s="7">
        <v>2204</v>
      </c>
      <c r="C1559" s="7">
        <v>152</v>
      </c>
      <c r="D1559" s="8">
        <v>14815.62</v>
      </c>
      <c r="E1559" s="9">
        <v>1</v>
      </c>
    </row>
    <row r="1560" spans="1:5" x14ac:dyDescent="0.25">
      <c r="A1560" s="7">
        <v>1</v>
      </c>
      <c r="B1560" s="7">
        <v>2205</v>
      </c>
      <c r="C1560" s="7">
        <v>152</v>
      </c>
      <c r="D1560" s="8">
        <v>9697.49</v>
      </c>
      <c r="E1560" s="9">
        <v>1</v>
      </c>
    </row>
    <row r="1561" spans="1:5" x14ac:dyDescent="0.25">
      <c r="A1561" s="7">
        <v>1</v>
      </c>
      <c r="B1561" s="7">
        <v>2206</v>
      </c>
      <c r="C1561" s="7">
        <v>152</v>
      </c>
      <c r="D1561" s="8">
        <v>6842.12</v>
      </c>
      <c r="E1561" s="9">
        <v>1</v>
      </c>
    </row>
    <row r="1562" spans="1:5" x14ac:dyDescent="0.25">
      <c r="A1562" s="7">
        <v>1</v>
      </c>
      <c r="B1562" s="7">
        <v>2207</v>
      </c>
      <c r="C1562" s="7">
        <v>153</v>
      </c>
      <c r="D1562" s="8">
        <v>16482.78</v>
      </c>
      <c r="E1562" s="9">
        <v>1</v>
      </c>
    </row>
    <row r="1563" spans="1:5" x14ac:dyDescent="0.25">
      <c r="A1563" s="7">
        <v>1</v>
      </c>
      <c r="B1563" s="7">
        <v>2208</v>
      </c>
      <c r="C1563" s="7">
        <v>153</v>
      </c>
      <c r="D1563" s="8">
        <v>14853.46</v>
      </c>
      <c r="E1563" s="9">
        <v>1</v>
      </c>
    </row>
    <row r="1564" spans="1:5" x14ac:dyDescent="0.25">
      <c r="A1564" s="7">
        <v>1</v>
      </c>
      <c r="B1564" s="7">
        <v>2209</v>
      </c>
      <c r="C1564" s="7">
        <v>152</v>
      </c>
      <c r="D1564" s="8">
        <v>9892.07</v>
      </c>
      <c r="E1564" s="9">
        <v>1</v>
      </c>
    </row>
    <row r="1565" spans="1:5" x14ac:dyDescent="0.25">
      <c r="A1565" s="7">
        <v>1</v>
      </c>
      <c r="B1565" s="7">
        <v>2210</v>
      </c>
      <c r="C1565" s="7">
        <v>152</v>
      </c>
      <c r="D1565" s="8">
        <v>9838.61</v>
      </c>
      <c r="E1565" s="9">
        <v>1</v>
      </c>
    </row>
    <row r="1566" spans="1:5" x14ac:dyDescent="0.25">
      <c r="A1566" s="7">
        <v>1</v>
      </c>
      <c r="B1566" s="7">
        <v>2211</v>
      </c>
      <c r="C1566" s="7">
        <v>153</v>
      </c>
      <c r="D1566" s="8">
        <v>17936.28</v>
      </c>
      <c r="E1566" s="9">
        <v>1</v>
      </c>
    </row>
    <row r="1567" spans="1:5" x14ac:dyDescent="0.25">
      <c r="A1567" s="7">
        <v>1</v>
      </c>
      <c r="B1567" s="7">
        <v>2212</v>
      </c>
      <c r="C1567" s="7">
        <v>112</v>
      </c>
      <c r="D1567" s="8">
        <v>173358.22</v>
      </c>
      <c r="E1567" s="9">
        <v>1</v>
      </c>
    </row>
    <row r="1568" spans="1:5" x14ac:dyDescent="0.25">
      <c r="A1568" s="7">
        <v>1</v>
      </c>
      <c r="B1568" s="7">
        <v>2213</v>
      </c>
      <c r="C1568" s="7">
        <v>152</v>
      </c>
      <c r="D1568" s="8">
        <v>9892.07</v>
      </c>
      <c r="E1568" s="9">
        <v>1</v>
      </c>
    </row>
    <row r="1569" spans="1:5" x14ac:dyDescent="0.25">
      <c r="A1569" s="7">
        <v>1</v>
      </c>
      <c r="B1569" s="7">
        <v>2215</v>
      </c>
      <c r="C1569" s="7">
        <v>152</v>
      </c>
      <c r="D1569" s="8">
        <v>9892.07</v>
      </c>
      <c r="E1569" s="9">
        <v>1</v>
      </c>
    </row>
    <row r="1570" spans="1:5" x14ac:dyDescent="0.25">
      <c r="A1570" s="7">
        <v>1</v>
      </c>
      <c r="B1570" s="7">
        <v>2216</v>
      </c>
      <c r="C1570" s="7">
        <v>102</v>
      </c>
      <c r="D1570" s="8">
        <v>3655.87</v>
      </c>
      <c r="E1570" s="9">
        <v>1</v>
      </c>
    </row>
    <row r="1571" spans="1:5" x14ac:dyDescent="0.25">
      <c r="A1571" s="7">
        <v>1</v>
      </c>
      <c r="B1571" s="7">
        <v>2217</v>
      </c>
      <c r="C1571" s="7">
        <v>152</v>
      </c>
      <c r="D1571" s="8">
        <v>14815.62</v>
      </c>
      <c r="E1571" s="9">
        <v>1</v>
      </c>
    </row>
    <row r="1572" spans="1:5" x14ac:dyDescent="0.25">
      <c r="A1572" s="7">
        <v>1</v>
      </c>
      <c r="B1572" s="7">
        <v>2218</v>
      </c>
      <c r="C1572" s="7">
        <v>152</v>
      </c>
      <c r="D1572" s="8">
        <v>9892.07</v>
      </c>
      <c r="E1572" s="9">
        <v>1</v>
      </c>
    </row>
    <row r="1573" spans="1:5" x14ac:dyDescent="0.25">
      <c r="A1573" s="7">
        <v>1</v>
      </c>
      <c r="B1573" s="7">
        <v>2219</v>
      </c>
      <c r="C1573" s="7">
        <v>152</v>
      </c>
      <c r="D1573" s="8">
        <v>10645.01</v>
      </c>
      <c r="E1573" s="9">
        <v>1</v>
      </c>
    </row>
    <row r="1574" spans="1:5" x14ac:dyDescent="0.25">
      <c r="A1574" s="7">
        <v>1</v>
      </c>
      <c r="B1574" s="7">
        <v>2220</v>
      </c>
      <c r="C1574" s="7">
        <v>152</v>
      </c>
      <c r="D1574" s="8">
        <v>9892.07</v>
      </c>
      <c r="E1574" s="9">
        <v>1</v>
      </c>
    </row>
    <row r="1575" spans="1:5" x14ac:dyDescent="0.25">
      <c r="A1575" s="7">
        <v>1</v>
      </c>
      <c r="B1575" s="7">
        <v>2223</v>
      </c>
      <c r="C1575" s="7">
        <v>152</v>
      </c>
      <c r="D1575" s="8">
        <v>10645.01</v>
      </c>
      <c r="E1575" s="9">
        <v>1</v>
      </c>
    </row>
    <row r="1576" spans="1:5" x14ac:dyDescent="0.25">
      <c r="A1576" s="7">
        <v>1</v>
      </c>
      <c r="B1576" s="7">
        <v>2224</v>
      </c>
      <c r="C1576" s="7">
        <v>152</v>
      </c>
      <c r="D1576" s="8">
        <v>10645.01</v>
      </c>
      <c r="E1576" s="9">
        <v>1</v>
      </c>
    </row>
    <row r="1577" spans="1:5" x14ac:dyDescent="0.25">
      <c r="A1577" s="7">
        <v>1</v>
      </c>
      <c r="B1577" s="7">
        <v>2226</v>
      </c>
      <c r="C1577" s="7">
        <v>152</v>
      </c>
      <c r="D1577" s="8">
        <v>10645.01</v>
      </c>
      <c r="E1577" s="9">
        <v>1</v>
      </c>
    </row>
    <row r="1578" spans="1:5" x14ac:dyDescent="0.25">
      <c r="A1578" s="7">
        <v>1</v>
      </c>
      <c r="B1578" s="7">
        <v>2228</v>
      </c>
      <c r="C1578" s="7">
        <v>152</v>
      </c>
      <c r="D1578" s="8">
        <v>10645.01</v>
      </c>
      <c r="E1578" s="9">
        <v>1</v>
      </c>
    </row>
    <row r="1579" spans="1:5" x14ac:dyDescent="0.25">
      <c r="A1579" s="7">
        <v>1</v>
      </c>
      <c r="B1579" s="7">
        <v>2229</v>
      </c>
      <c r="C1579" s="7">
        <v>152</v>
      </c>
      <c r="D1579" s="8">
        <v>10645.01</v>
      </c>
      <c r="E1579" s="9">
        <v>1</v>
      </c>
    </row>
    <row r="1580" spans="1:5" x14ac:dyDescent="0.25">
      <c r="A1580" s="7">
        <v>1</v>
      </c>
      <c r="B1580" s="7">
        <v>2230</v>
      </c>
      <c r="C1580" s="7">
        <v>152</v>
      </c>
      <c r="D1580" s="8">
        <v>10645.01</v>
      </c>
      <c r="E1580" s="9">
        <v>1</v>
      </c>
    </row>
    <row r="1581" spans="1:5" x14ac:dyDescent="0.25">
      <c r="A1581" s="7">
        <v>1</v>
      </c>
      <c r="B1581" s="7">
        <v>2231</v>
      </c>
      <c r="C1581" s="7">
        <v>112</v>
      </c>
      <c r="D1581" s="8">
        <v>162233.32</v>
      </c>
      <c r="E1581" s="9">
        <v>1</v>
      </c>
    </row>
    <row r="1582" spans="1:5" x14ac:dyDescent="0.25">
      <c r="A1582" s="7">
        <v>1</v>
      </c>
      <c r="B1582" s="7">
        <v>2232</v>
      </c>
      <c r="C1582" s="7">
        <v>152</v>
      </c>
      <c r="D1582" s="8">
        <v>10645.01</v>
      </c>
      <c r="E1582" s="9">
        <v>1</v>
      </c>
    </row>
    <row r="1583" spans="1:5" x14ac:dyDescent="0.25">
      <c r="A1583" s="7">
        <v>1</v>
      </c>
      <c r="B1583" s="7">
        <v>2233</v>
      </c>
      <c r="C1583" s="7">
        <v>152</v>
      </c>
      <c r="D1583" s="8">
        <v>10645.01</v>
      </c>
      <c r="E1583" s="9">
        <v>1</v>
      </c>
    </row>
    <row r="1584" spans="1:5" x14ac:dyDescent="0.25">
      <c r="A1584" s="7">
        <v>1</v>
      </c>
      <c r="B1584" s="7">
        <v>2234</v>
      </c>
      <c r="C1584" s="7">
        <v>152</v>
      </c>
      <c r="D1584" s="8">
        <v>10645.01</v>
      </c>
      <c r="E1584" s="9">
        <v>1</v>
      </c>
    </row>
    <row r="1585" spans="1:5" x14ac:dyDescent="0.25">
      <c r="A1585" s="7">
        <v>1</v>
      </c>
      <c r="B1585" s="7">
        <v>2235</v>
      </c>
      <c r="C1585" s="7">
        <v>112</v>
      </c>
      <c r="D1585" s="8">
        <v>169374.83</v>
      </c>
      <c r="E1585" s="9">
        <v>1</v>
      </c>
    </row>
    <row r="1586" spans="1:5" x14ac:dyDescent="0.25">
      <c r="A1586" s="7">
        <v>1</v>
      </c>
      <c r="B1586" s="7">
        <v>2236</v>
      </c>
      <c r="C1586" s="7">
        <v>152</v>
      </c>
      <c r="D1586" s="8">
        <v>10645.01</v>
      </c>
      <c r="E1586" s="9">
        <v>1</v>
      </c>
    </row>
    <row r="1587" spans="1:5" x14ac:dyDescent="0.25">
      <c r="A1587" s="7">
        <v>1</v>
      </c>
      <c r="B1587" s="7">
        <v>2237</v>
      </c>
      <c r="C1587" s="7">
        <v>152</v>
      </c>
      <c r="D1587" s="8">
        <v>9892.07</v>
      </c>
      <c r="E1587" s="9">
        <v>1</v>
      </c>
    </row>
    <row r="1588" spans="1:5" x14ac:dyDescent="0.25">
      <c r="A1588" s="7">
        <v>1</v>
      </c>
      <c r="B1588" s="7">
        <v>2238</v>
      </c>
      <c r="C1588" s="7">
        <v>152</v>
      </c>
      <c r="D1588" s="8">
        <v>10645.01</v>
      </c>
      <c r="E1588" s="9">
        <v>1</v>
      </c>
    </row>
    <row r="1589" spans="1:5" x14ac:dyDescent="0.25">
      <c r="A1589" s="7">
        <v>1</v>
      </c>
      <c r="B1589" s="7">
        <v>2241</v>
      </c>
      <c r="C1589" s="7">
        <v>152</v>
      </c>
      <c r="D1589" s="8">
        <v>10645.01</v>
      </c>
      <c r="E1589" s="9">
        <v>1</v>
      </c>
    </row>
    <row r="1590" spans="1:5" x14ac:dyDescent="0.25">
      <c r="A1590" s="7">
        <v>1</v>
      </c>
      <c r="B1590" s="7">
        <v>2242</v>
      </c>
      <c r="C1590" s="7">
        <v>112</v>
      </c>
      <c r="D1590" s="8">
        <v>154119.96</v>
      </c>
      <c r="E1590" s="9">
        <v>1</v>
      </c>
    </row>
    <row r="1591" spans="1:5" x14ac:dyDescent="0.25">
      <c r="A1591" s="7">
        <v>1</v>
      </c>
      <c r="B1591" s="7">
        <v>2243</v>
      </c>
      <c r="C1591" s="7">
        <v>152</v>
      </c>
      <c r="D1591" s="8">
        <v>10645.01</v>
      </c>
      <c r="E1591" s="9">
        <v>1</v>
      </c>
    </row>
    <row r="1592" spans="1:5" x14ac:dyDescent="0.25">
      <c r="A1592" s="7">
        <v>1</v>
      </c>
      <c r="B1592" s="7">
        <v>2244</v>
      </c>
      <c r="C1592" s="7">
        <v>102</v>
      </c>
      <c r="D1592" s="8">
        <v>2154.2</v>
      </c>
      <c r="E1592" s="9">
        <v>1</v>
      </c>
    </row>
    <row r="1593" spans="1:5" x14ac:dyDescent="0.25">
      <c r="A1593" s="7">
        <v>1</v>
      </c>
      <c r="B1593" s="7">
        <v>2245</v>
      </c>
      <c r="C1593" s="7">
        <v>112</v>
      </c>
      <c r="D1593" s="8">
        <v>164096.54</v>
      </c>
      <c r="E1593" s="9">
        <v>1</v>
      </c>
    </row>
    <row r="1594" spans="1:5" x14ac:dyDescent="0.25">
      <c r="A1594" s="7">
        <v>1</v>
      </c>
      <c r="B1594" s="7">
        <v>2246</v>
      </c>
      <c r="C1594" s="7">
        <v>112</v>
      </c>
      <c r="D1594" s="8">
        <v>175207.82</v>
      </c>
      <c r="E1594" s="9">
        <v>1</v>
      </c>
    </row>
    <row r="1595" spans="1:5" x14ac:dyDescent="0.25">
      <c r="A1595" s="7">
        <v>1</v>
      </c>
      <c r="B1595" s="7">
        <v>2247</v>
      </c>
      <c r="C1595" s="7">
        <v>152</v>
      </c>
      <c r="D1595" s="8">
        <v>9892.07</v>
      </c>
      <c r="E1595" s="9">
        <v>1</v>
      </c>
    </row>
    <row r="1596" spans="1:5" x14ac:dyDescent="0.25">
      <c r="A1596" s="7">
        <v>1</v>
      </c>
      <c r="B1596" s="7">
        <v>2248</v>
      </c>
      <c r="C1596" s="7">
        <v>153</v>
      </c>
      <c r="D1596" s="8">
        <v>49932.26</v>
      </c>
      <c r="E1596" s="9">
        <v>1</v>
      </c>
    </row>
    <row r="1597" spans="1:5" x14ac:dyDescent="0.25">
      <c r="A1597" s="7">
        <v>1</v>
      </c>
      <c r="B1597" s="7">
        <v>2249</v>
      </c>
      <c r="C1597" s="7">
        <v>152</v>
      </c>
      <c r="D1597" s="8">
        <v>14466.02</v>
      </c>
      <c r="E1597" s="9">
        <v>1</v>
      </c>
    </row>
    <row r="1598" spans="1:5" x14ac:dyDescent="0.25">
      <c r="A1598" s="7">
        <v>1</v>
      </c>
      <c r="B1598" s="7">
        <v>2250</v>
      </c>
      <c r="C1598" s="7">
        <v>152</v>
      </c>
      <c r="D1598" s="8">
        <v>14574.85</v>
      </c>
      <c r="E1598" s="9">
        <v>1</v>
      </c>
    </row>
    <row r="1599" spans="1:5" x14ac:dyDescent="0.25">
      <c r="A1599" s="7">
        <v>1</v>
      </c>
      <c r="B1599" s="7">
        <v>2251</v>
      </c>
      <c r="C1599" s="7">
        <v>152</v>
      </c>
      <c r="D1599" s="8">
        <v>14466.02</v>
      </c>
      <c r="E1599" s="9">
        <v>1</v>
      </c>
    </row>
    <row r="1600" spans="1:5" x14ac:dyDescent="0.25">
      <c r="A1600" s="7">
        <v>1</v>
      </c>
      <c r="B1600" s="7">
        <v>2254</v>
      </c>
      <c r="C1600" s="7">
        <v>150</v>
      </c>
      <c r="D1600" s="8">
        <v>81410.27</v>
      </c>
      <c r="E1600" s="9">
        <v>1</v>
      </c>
    </row>
    <row r="1601" spans="1:5" x14ac:dyDescent="0.25">
      <c r="A1601" s="7">
        <v>1</v>
      </c>
      <c r="B1601" s="7">
        <v>2256</v>
      </c>
      <c r="C1601" s="7">
        <v>152</v>
      </c>
      <c r="D1601" s="8">
        <v>14815.62</v>
      </c>
      <c r="E1601" s="9">
        <v>1</v>
      </c>
    </row>
    <row r="1602" spans="1:5" x14ac:dyDescent="0.25">
      <c r="A1602" s="7">
        <v>1</v>
      </c>
      <c r="B1602" s="7">
        <v>2266</v>
      </c>
      <c r="C1602" s="7">
        <v>149</v>
      </c>
      <c r="D1602" s="8">
        <v>211.23</v>
      </c>
      <c r="E1602" s="9">
        <v>2</v>
      </c>
    </row>
    <row r="1603" spans="1:5" x14ac:dyDescent="0.25">
      <c r="A1603" s="7">
        <v>1</v>
      </c>
      <c r="B1603" s="7">
        <v>2267</v>
      </c>
      <c r="C1603" s="7">
        <v>149</v>
      </c>
      <c r="D1603" s="8">
        <v>252.72</v>
      </c>
      <c r="E1603" s="9">
        <v>2</v>
      </c>
    </row>
    <row r="1604" spans="1:5" x14ac:dyDescent="0.25">
      <c r="A1604" s="7">
        <v>1</v>
      </c>
      <c r="B1604" s="7">
        <v>2268</v>
      </c>
      <c r="C1604" s="7">
        <v>149</v>
      </c>
      <c r="D1604" s="8">
        <v>271.58</v>
      </c>
      <c r="E1604" s="9">
        <v>2</v>
      </c>
    </row>
    <row r="1605" spans="1:5" x14ac:dyDescent="0.25">
      <c r="A1605" s="7">
        <v>1</v>
      </c>
      <c r="B1605" s="7">
        <v>2269</v>
      </c>
      <c r="C1605" s="7">
        <v>149</v>
      </c>
      <c r="D1605" s="8">
        <v>394.17</v>
      </c>
      <c r="E1605" s="9">
        <v>2</v>
      </c>
    </row>
    <row r="1606" spans="1:5" x14ac:dyDescent="0.25">
      <c r="A1606" s="7">
        <v>1</v>
      </c>
      <c r="B1606" s="7">
        <v>2270</v>
      </c>
      <c r="C1606" s="7">
        <v>149</v>
      </c>
      <c r="D1606" s="8">
        <v>448.87</v>
      </c>
      <c r="E1606" s="9">
        <v>2</v>
      </c>
    </row>
    <row r="1607" spans="1:5" x14ac:dyDescent="0.25">
      <c r="A1607" s="7">
        <v>1</v>
      </c>
      <c r="B1607" s="7">
        <v>2271</v>
      </c>
      <c r="C1607" s="7">
        <v>149</v>
      </c>
      <c r="D1607" s="8">
        <v>531.85</v>
      </c>
      <c r="E1607" s="9">
        <v>2</v>
      </c>
    </row>
    <row r="1608" spans="1:5" x14ac:dyDescent="0.25">
      <c r="A1608" s="7">
        <v>1</v>
      </c>
      <c r="B1608" s="7">
        <v>2272</v>
      </c>
      <c r="C1608" s="7">
        <v>149</v>
      </c>
      <c r="D1608" s="8">
        <v>577.12</v>
      </c>
      <c r="E1608" s="9">
        <v>2</v>
      </c>
    </row>
    <row r="1609" spans="1:5" x14ac:dyDescent="0.25">
      <c r="A1609" s="7">
        <v>1</v>
      </c>
      <c r="B1609" s="7">
        <v>2273</v>
      </c>
      <c r="C1609" s="7">
        <v>149</v>
      </c>
      <c r="D1609" s="8">
        <v>684.62</v>
      </c>
      <c r="E1609" s="9">
        <v>2</v>
      </c>
    </row>
    <row r="1610" spans="1:5" x14ac:dyDescent="0.25">
      <c r="A1610" s="7">
        <v>1</v>
      </c>
      <c r="B1610" s="7">
        <v>2274</v>
      </c>
      <c r="C1610" s="7">
        <v>102</v>
      </c>
      <c r="D1610" s="8">
        <v>1343.55</v>
      </c>
      <c r="E1610" s="9">
        <v>1</v>
      </c>
    </row>
    <row r="1611" spans="1:5" x14ac:dyDescent="0.25">
      <c r="A1611" s="7">
        <v>1</v>
      </c>
      <c r="B1611" s="7">
        <v>2275</v>
      </c>
      <c r="C1611" s="7">
        <v>102</v>
      </c>
      <c r="D1611" s="8">
        <v>1343.55</v>
      </c>
      <c r="E1611" s="9">
        <v>1</v>
      </c>
    </row>
    <row r="1612" spans="1:5" x14ac:dyDescent="0.25">
      <c r="A1612" s="7">
        <v>1</v>
      </c>
      <c r="B1612" s="7">
        <v>2276</v>
      </c>
      <c r="C1612" s="7">
        <v>102</v>
      </c>
      <c r="D1612" s="8">
        <v>1343.55</v>
      </c>
      <c r="E1612" s="9">
        <v>1</v>
      </c>
    </row>
    <row r="1613" spans="1:5" x14ac:dyDescent="0.25">
      <c r="A1613" s="7">
        <v>1</v>
      </c>
      <c r="B1613" s="7">
        <v>2277</v>
      </c>
      <c r="C1613" s="7">
        <v>102</v>
      </c>
      <c r="D1613" s="8">
        <v>1343.55</v>
      </c>
      <c r="E1613" s="9">
        <v>1</v>
      </c>
    </row>
    <row r="1614" spans="1:5" x14ac:dyDescent="0.25">
      <c r="A1614" s="7">
        <v>1</v>
      </c>
      <c r="B1614" s="7">
        <v>2278</v>
      </c>
      <c r="C1614" s="7">
        <v>102</v>
      </c>
      <c r="D1614" s="8">
        <v>1343.55</v>
      </c>
      <c r="E1614" s="9">
        <v>1</v>
      </c>
    </row>
    <row r="1615" spans="1:5" x14ac:dyDescent="0.25">
      <c r="A1615" s="7">
        <v>1</v>
      </c>
      <c r="B1615" s="7">
        <v>2279</v>
      </c>
      <c r="C1615" s="7">
        <v>102</v>
      </c>
      <c r="D1615" s="8">
        <v>1343.55</v>
      </c>
      <c r="E1615" s="9">
        <v>1</v>
      </c>
    </row>
    <row r="1616" spans="1:5" x14ac:dyDescent="0.25">
      <c r="A1616" s="7">
        <v>1</v>
      </c>
      <c r="B1616" s="7">
        <v>2280</v>
      </c>
      <c r="C1616" s="7">
        <v>102</v>
      </c>
      <c r="D1616" s="8">
        <v>1343.55</v>
      </c>
      <c r="E1616" s="9">
        <v>1</v>
      </c>
    </row>
    <row r="1617" spans="1:5" x14ac:dyDescent="0.25">
      <c r="A1617" s="7">
        <v>1</v>
      </c>
      <c r="B1617" s="7">
        <v>2281</v>
      </c>
      <c r="C1617" s="7">
        <v>102</v>
      </c>
      <c r="D1617" s="8">
        <v>1343.55</v>
      </c>
      <c r="E1617" s="9">
        <v>1</v>
      </c>
    </row>
    <row r="1618" spans="1:5" x14ac:dyDescent="0.25">
      <c r="A1618" s="7">
        <v>1</v>
      </c>
      <c r="B1618" s="7">
        <v>2282</v>
      </c>
      <c r="C1618" s="7">
        <v>102</v>
      </c>
      <c r="D1618" s="8">
        <v>1343.55</v>
      </c>
      <c r="E1618" s="9">
        <v>1</v>
      </c>
    </row>
    <row r="1619" spans="1:5" x14ac:dyDescent="0.25">
      <c r="A1619" s="7">
        <v>1</v>
      </c>
      <c r="B1619" s="7">
        <v>2283</v>
      </c>
      <c r="C1619" s="7">
        <v>102</v>
      </c>
      <c r="D1619" s="8">
        <v>1343.55</v>
      </c>
      <c r="E1619" s="9">
        <v>1</v>
      </c>
    </row>
    <row r="1620" spans="1:5" x14ac:dyDescent="0.25">
      <c r="A1620" s="7">
        <v>1</v>
      </c>
      <c r="B1620" s="7">
        <v>2284</v>
      </c>
      <c r="C1620" s="7">
        <v>102</v>
      </c>
      <c r="D1620" s="8">
        <v>1343.55</v>
      </c>
      <c r="E1620" s="9">
        <v>1</v>
      </c>
    </row>
    <row r="1621" spans="1:5" x14ac:dyDescent="0.25">
      <c r="A1621" s="7">
        <v>1</v>
      </c>
      <c r="B1621" s="7">
        <v>2285</v>
      </c>
      <c r="C1621" s="7">
        <v>102</v>
      </c>
      <c r="D1621" s="8">
        <v>1343.55</v>
      </c>
      <c r="E1621" s="9">
        <v>1</v>
      </c>
    </row>
    <row r="1622" spans="1:5" x14ac:dyDescent="0.25">
      <c r="A1622" s="7">
        <v>1</v>
      </c>
      <c r="B1622" s="7">
        <v>2286</v>
      </c>
      <c r="C1622" s="7">
        <v>102</v>
      </c>
      <c r="D1622" s="8">
        <v>347.85</v>
      </c>
      <c r="E1622" s="9">
        <v>1</v>
      </c>
    </row>
    <row r="1623" spans="1:5" x14ac:dyDescent="0.25">
      <c r="A1623" s="7">
        <v>1</v>
      </c>
      <c r="B1623" s="7">
        <v>2287</v>
      </c>
      <c r="C1623" s="7">
        <v>102</v>
      </c>
      <c r="D1623" s="8">
        <v>448.35</v>
      </c>
      <c r="E1623" s="9">
        <v>1</v>
      </c>
    </row>
    <row r="1624" spans="1:5" x14ac:dyDescent="0.25">
      <c r="A1624" s="7">
        <v>1</v>
      </c>
      <c r="B1624" s="7">
        <v>2288</v>
      </c>
      <c r="C1624" s="7">
        <v>102</v>
      </c>
      <c r="D1624" s="8">
        <v>200.15</v>
      </c>
      <c r="E1624" s="9">
        <v>1</v>
      </c>
    </row>
    <row r="1625" spans="1:5" x14ac:dyDescent="0.25">
      <c r="A1625" s="7">
        <v>1</v>
      </c>
      <c r="B1625" s="7">
        <v>2289</v>
      </c>
      <c r="C1625" s="7">
        <v>102</v>
      </c>
      <c r="D1625" s="8">
        <v>339.88</v>
      </c>
      <c r="E1625" s="9">
        <v>1</v>
      </c>
    </row>
    <row r="1626" spans="1:5" x14ac:dyDescent="0.25">
      <c r="A1626" s="7">
        <v>1</v>
      </c>
      <c r="B1626" s="7">
        <v>2300</v>
      </c>
      <c r="C1626" s="7">
        <v>152</v>
      </c>
      <c r="D1626" s="8">
        <v>20562.5</v>
      </c>
      <c r="E1626" s="9">
        <v>1</v>
      </c>
    </row>
    <row r="1627" spans="1:5" x14ac:dyDescent="0.25">
      <c r="A1627" s="7">
        <v>1</v>
      </c>
      <c r="B1627" s="7">
        <v>2301</v>
      </c>
      <c r="C1627" s="7">
        <v>152</v>
      </c>
      <c r="D1627" s="8">
        <v>17460.82</v>
      </c>
      <c r="E1627" s="9">
        <v>1</v>
      </c>
    </row>
    <row r="1628" spans="1:5" x14ac:dyDescent="0.25">
      <c r="A1628" s="7">
        <v>1</v>
      </c>
      <c r="B1628" s="7">
        <v>2302</v>
      </c>
      <c r="C1628" s="7">
        <v>152</v>
      </c>
      <c r="D1628" s="8">
        <v>22259.88</v>
      </c>
      <c r="E1628" s="9">
        <v>1</v>
      </c>
    </row>
    <row r="1629" spans="1:5" x14ac:dyDescent="0.25">
      <c r="A1629" s="7">
        <v>1</v>
      </c>
      <c r="B1629" s="7">
        <v>2303</v>
      </c>
      <c r="C1629" s="7">
        <v>152</v>
      </c>
      <c r="D1629" s="8">
        <v>22259.88</v>
      </c>
      <c r="E1629" s="9">
        <v>1</v>
      </c>
    </row>
    <row r="1630" spans="1:5" x14ac:dyDescent="0.25">
      <c r="A1630" s="7">
        <v>1</v>
      </c>
      <c r="B1630" s="7">
        <v>2304</v>
      </c>
      <c r="C1630" s="7">
        <v>152</v>
      </c>
      <c r="D1630" s="8">
        <v>22259.88</v>
      </c>
      <c r="E1630" s="9">
        <v>1</v>
      </c>
    </row>
    <row r="1631" spans="1:5" x14ac:dyDescent="0.25">
      <c r="A1631" s="7">
        <v>1</v>
      </c>
      <c r="B1631" s="7">
        <v>2305</v>
      </c>
      <c r="C1631" s="7">
        <v>152</v>
      </c>
      <c r="D1631" s="8">
        <v>14875.01</v>
      </c>
      <c r="E1631" s="9">
        <v>1</v>
      </c>
    </row>
    <row r="1632" spans="1:5" x14ac:dyDescent="0.25">
      <c r="A1632" s="7">
        <v>1</v>
      </c>
      <c r="B1632" s="7">
        <v>2306</v>
      </c>
      <c r="C1632" s="7">
        <v>152</v>
      </c>
      <c r="D1632" s="8">
        <v>10285.08</v>
      </c>
      <c r="E1632" s="9">
        <v>1</v>
      </c>
    </row>
    <row r="1633" spans="1:5" x14ac:dyDescent="0.25">
      <c r="A1633" s="7">
        <v>1</v>
      </c>
      <c r="B1633" s="7">
        <v>2307</v>
      </c>
      <c r="C1633" s="7">
        <v>153</v>
      </c>
      <c r="D1633" s="8">
        <v>25684.72</v>
      </c>
      <c r="E1633" s="9">
        <v>1</v>
      </c>
    </row>
    <row r="1634" spans="1:5" x14ac:dyDescent="0.25">
      <c r="A1634" s="7">
        <v>1</v>
      </c>
      <c r="B1634" s="7">
        <v>2308</v>
      </c>
      <c r="C1634" s="7">
        <v>153</v>
      </c>
      <c r="D1634" s="8">
        <v>23345.79</v>
      </c>
      <c r="E1634" s="9">
        <v>1</v>
      </c>
    </row>
    <row r="1635" spans="1:5" x14ac:dyDescent="0.25">
      <c r="A1635" s="7">
        <v>1</v>
      </c>
      <c r="B1635" s="7">
        <v>2309</v>
      </c>
      <c r="C1635" s="7">
        <v>152</v>
      </c>
      <c r="D1635" s="8">
        <v>14730.22</v>
      </c>
      <c r="E1635" s="9">
        <v>1</v>
      </c>
    </row>
    <row r="1636" spans="1:5" x14ac:dyDescent="0.25">
      <c r="A1636" s="7">
        <v>1</v>
      </c>
      <c r="B1636" s="7">
        <v>2310</v>
      </c>
      <c r="C1636" s="7">
        <v>152</v>
      </c>
      <c r="D1636" s="8">
        <v>15330.67</v>
      </c>
      <c r="E1636" s="9">
        <v>1</v>
      </c>
    </row>
    <row r="1637" spans="1:5" x14ac:dyDescent="0.25">
      <c r="A1637" s="7">
        <v>1</v>
      </c>
      <c r="B1637" s="7">
        <v>2311</v>
      </c>
      <c r="C1637" s="7">
        <v>153</v>
      </c>
      <c r="D1637" s="8">
        <v>28888.5</v>
      </c>
      <c r="E1637" s="9">
        <v>1</v>
      </c>
    </row>
    <row r="1638" spans="1:5" x14ac:dyDescent="0.25">
      <c r="A1638" s="7">
        <v>1</v>
      </c>
      <c r="B1638" s="7">
        <v>2312</v>
      </c>
      <c r="C1638" s="7">
        <v>153</v>
      </c>
      <c r="D1638" s="8">
        <v>63065.56</v>
      </c>
      <c r="E1638" s="9">
        <v>1</v>
      </c>
    </row>
    <row r="1639" spans="1:5" x14ac:dyDescent="0.25">
      <c r="A1639" s="7">
        <v>1</v>
      </c>
      <c r="B1639" s="7">
        <v>2313</v>
      </c>
      <c r="C1639" s="7">
        <v>152</v>
      </c>
      <c r="D1639" s="8">
        <v>14730.22</v>
      </c>
      <c r="E1639" s="9">
        <v>1</v>
      </c>
    </row>
    <row r="1640" spans="1:5" x14ac:dyDescent="0.25">
      <c r="A1640" s="7">
        <v>1</v>
      </c>
      <c r="B1640" s="7">
        <v>2315</v>
      </c>
      <c r="C1640" s="7">
        <v>152</v>
      </c>
      <c r="D1640" s="8">
        <v>14730.22</v>
      </c>
      <c r="E1640" s="9">
        <v>1</v>
      </c>
    </row>
    <row r="1641" spans="1:5" x14ac:dyDescent="0.25">
      <c r="A1641" s="7">
        <v>1</v>
      </c>
      <c r="B1641" s="7">
        <v>2316</v>
      </c>
      <c r="C1641" s="7">
        <v>152</v>
      </c>
      <c r="D1641" s="8">
        <v>40245.55</v>
      </c>
      <c r="E1641" s="9">
        <v>1</v>
      </c>
    </row>
    <row r="1642" spans="1:5" x14ac:dyDescent="0.25">
      <c r="A1642" s="7">
        <v>1</v>
      </c>
      <c r="B1642" s="7">
        <v>2317</v>
      </c>
      <c r="C1642" s="7">
        <v>152</v>
      </c>
      <c r="D1642" s="8">
        <v>22259.88</v>
      </c>
      <c r="E1642" s="9">
        <v>1</v>
      </c>
    </row>
    <row r="1643" spans="1:5" x14ac:dyDescent="0.25">
      <c r="A1643" s="7">
        <v>1</v>
      </c>
      <c r="B1643" s="7">
        <v>2318</v>
      </c>
      <c r="C1643" s="7">
        <v>152</v>
      </c>
      <c r="D1643" s="8">
        <v>14730.22</v>
      </c>
      <c r="E1643" s="9">
        <v>1</v>
      </c>
    </row>
    <row r="1644" spans="1:5" x14ac:dyDescent="0.25">
      <c r="A1644" s="7">
        <v>1</v>
      </c>
      <c r="B1644" s="7">
        <v>2319</v>
      </c>
      <c r="C1644" s="7">
        <v>152</v>
      </c>
      <c r="D1644" s="8">
        <v>16709.14</v>
      </c>
      <c r="E1644" s="9">
        <v>1</v>
      </c>
    </row>
    <row r="1645" spans="1:5" x14ac:dyDescent="0.25">
      <c r="A1645" s="7">
        <v>1</v>
      </c>
      <c r="B1645" s="7">
        <v>2320</v>
      </c>
      <c r="C1645" s="7">
        <v>152</v>
      </c>
      <c r="D1645" s="8">
        <v>14730.22</v>
      </c>
      <c r="E1645" s="9">
        <v>1</v>
      </c>
    </row>
    <row r="1646" spans="1:5" x14ac:dyDescent="0.25">
      <c r="A1646" s="7">
        <v>1</v>
      </c>
      <c r="B1646" s="7">
        <v>2321</v>
      </c>
      <c r="C1646" s="7">
        <v>102</v>
      </c>
      <c r="D1646" s="8">
        <v>2154.2</v>
      </c>
      <c r="E1646" s="9">
        <v>1</v>
      </c>
    </row>
    <row r="1647" spans="1:5" x14ac:dyDescent="0.25">
      <c r="A1647" s="7">
        <v>1</v>
      </c>
      <c r="B1647" s="7">
        <v>2322</v>
      </c>
      <c r="C1647" s="7">
        <v>102</v>
      </c>
      <c r="D1647" s="8">
        <v>4897.53</v>
      </c>
      <c r="E1647" s="9">
        <v>1</v>
      </c>
    </row>
    <row r="1648" spans="1:5" x14ac:dyDescent="0.25">
      <c r="A1648" s="7">
        <v>1</v>
      </c>
      <c r="B1648" s="7">
        <v>2323</v>
      </c>
      <c r="C1648" s="7">
        <v>152</v>
      </c>
      <c r="D1648" s="8">
        <v>16709.14</v>
      </c>
      <c r="E1648" s="9">
        <v>1</v>
      </c>
    </row>
    <row r="1649" spans="1:5" x14ac:dyDescent="0.25">
      <c r="A1649" s="7">
        <v>1</v>
      </c>
      <c r="B1649" s="7">
        <v>2324</v>
      </c>
      <c r="C1649" s="7">
        <v>152</v>
      </c>
      <c r="D1649" s="8">
        <v>16709.14</v>
      </c>
      <c r="E1649" s="9">
        <v>1</v>
      </c>
    </row>
    <row r="1650" spans="1:5" x14ac:dyDescent="0.25">
      <c r="A1650" s="7">
        <v>1</v>
      </c>
      <c r="B1650" s="7">
        <v>2325</v>
      </c>
      <c r="C1650" s="7">
        <v>102</v>
      </c>
      <c r="D1650" s="8">
        <v>6205.14</v>
      </c>
      <c r="E1650" s="9">
        <v>1</v>
      </c>
    </row>
    <row r="1651" spans="1:5" x14ac:dyDescent="0.25">
      <c r="A1651" s="7">
        <v>1</v>
      </c>
      <c r="B1651" s="7">
        <v>2326</v>
      </c>
      <c r="C1651" s="7">
        <v>152</v>
      </c>
      <c r="D1651" s="8">
        <v>16709.14</v>
      </c>
      <c r="E1651" s="9">
        <v>1</v>
      </c>
    </row>
    <row r="1652" spans="1:5" x14ac:dyDescent="0.25">
      <c r="A1652" s="7">
        <v>1</v>
      </c>
      <c r="B1652" s="7">
        <v>2327</v>
      </c>
      <c r="C1652" s="7">
        <v>181</v>
      </c>
      <c r="D1652" s="8">
        <v>83.69</v>
      </c>
      <c r="E1652" s="9">
        <v>2</v>
      </c>
    </row>
    <row r="1653" spans="1:5" x14ac:dyDescent="0.25">
      <c r="A1653" s="7">
        <v>1</v>
      </c>
      <c r="B1653" s="7">
        <v>2328</v>
      </c>
      <c r="C1653" s="7">
        <v>152</v>
      </c>
      <c r="D1653" s="8">
        <v>16709.14</v>
      </c>
      <c r="E1653" s="9">
        <v>1</v>
      </c>
    </row>
    <row r="1654" spans="1:5" x14ac:dyDescent="0.25">
      <c r="A1654" s="7">
        <v>1</v>
      </c>
      <c r="B1654" s="7">
        <v>2329</v>
      </c>
      <c r="C1654" s="7">
        <v>152</v>
      </c>
      <c r="D1654" s="8">
        <v>16709.14</v>
      </c>
      <c r="E1654" s="9">
        <v>1</v>
      </c>
    </row>
    <row r="1655" spans="1:5" x14ac:dyDescent="0.25">
      <c r="A1655" s="7">
        <v>1</v>
      </c>
      <c r="B1655" s="7">
        <v>2330</v>
      </c>
      <c r="C1655" s="7">
        <v>152</v>
      </c>
      <c r="D1655" s="8">
        <v>16709.14</v>
      </c>
      <c r="E1655" s="9">
        <v>1</v>
      </c>
    </row>
    <row r="1656" spans="1:5" x14ac:dyDescent="0.25">
      <c r="A1656" s="7">
        <v>1</v>
      </c>
      <c r="B1656" s="7">
        <v>2331</v>
      </c>
      <c r="C1656" s="7">
        <v>153</v>
      </c>
      <c r="D1656" s="8">
        <v>170481.52</v>
      </c>
      <c r="E1656" s="9">
        <v>1</v>
      </c>
    </row>
    <row r="1657" spans="1:5" x14ac:dyDescent="0.25">
      <c r="A1657" s="7">
        <v>1</v>
      </c>
      <c r="B1657" s="7">
        <v>2332</v>
      </c>
      <c r="C1657" s="7">
        <v>152</v>
      </c>
      <c r="D1657" s="8">
        <v>16709.14</v>
      </c>
      <c r="E1657" s="9">
        <v>1</v>
      </c>
    </row>
    <row r="1658" spans="1:5" x14ac:dyDescent="0.25">
      <c r="A1658" s="7">
        <v>1</v>
      </c>
      <c r="B1658" s="7">
        <v>2333</v>
      </c>
      <c r="C1658" s="7">
        <v>152</v>
      </c>
      <c r="D1658" s="8">
        <v>16709.14</v>
      </c>
      <c r="E1658" s="9">
        <v>1</v>
      </c>
    </row>
    <row r="1659" spans="1:5" x14ac:dyDescent="0.25">
      <c r="A1659" s="7">
        <v>1</v>
      </c>
      <c r="B1659" s="7">
        <v>2334</v>
      </c>
      <c r="C1659" s="7">
        <v>152</v>
      </c>
      <c r="D1659" s="8">
        <v>16709.14</v>
      </c>
      <c r="E1659" s="9">
        <v>1</v>
      </c>
    </row>
    <row r="1660" spans="1:5" x14ac:dyDescent="0.25">
      <c r="A1660" s="7">
        <v>1</v>
      </c>
      <c r="B1660" s="7">
        <v>2335</v>
      </c>
      <c r="C1660" s="7">
        <v>153</v>
      </c>
      <c r="D1660" s="8">
        <v>169268.27</v>
      </c>
      <c r="E1660" s="9">
        <v>1</v>
      </c>
    </row>
    <row r="1661" spans="1:5" x14ac:dyDescent="0.25">
      <c r="A1661" s="7">
        <v>1</v>
      </c>
      <c r="B1661" s="7">
        <v>2336</v>
      </c>
      <c r="C1661" s="7">
        <v>152</v>
      </c>
      <c r="D1661" s="8">
        <v>16709.14</v>
      </c>
      <c r="E1661" s="9">
        <v>1</v>
      </c>
    </row>
    <row r="1662" spans="1:5" x14ac:dyDescent="0.25">
      <c r="A1662" s="7">
        <v>1</v>
      </c>
      <c r="B1662" s="7">
        <v>2337</v>
      </c>
      <c r="C1662" s="7">
        <v>152</v>
      </c>
      <c r="D1662" s="8">
        <v>14730.22</v>
      </c>
      <c r="E1662" s="9">
        <v>1</v>
      </c>
    </row>
    <row r="1663" spans="1:5" x14ac:dyDescent="0.25">
      <c r="A1663" s="7">
        <v>1</v>
      </c>
      <c r="B1663" s="7">
        <v>2338</v>
      </c>
      <c r="C1663" s="7">
        <v>152</v>
      </c>
      <c r="D1663" s="8">
        <v>16709.14</v>
      </c>
      <c r="E1663" s="9">
        <v>1</v>
      </c>
    </row>
    <row r="1664" spans="1:5" x14ac:dyDescent="0.25">
      <c r="A1664" s="7">
        <v>1</v>
      </c>
      <c r="B1664" s="7">
        <v>2339</v>
      </c>
      <c r="C1664" s="7">
        <v>181</v>
      </c>
      <c r="D1664" s="8">
        <v>2.14</v>
      </c>
      <c r="E1664" s="9">
        <v>2</v>
      </c>
    </row>
    <row r="1665" spans="1:5" x14ac:dyDescent="0.25">
      <c r="A1665" s="7">
        <v>1</v>
      </c>
      <c r="B1665" s="7">
        <v>2340</v>
      </c>
      <c r="C1665" s="7">
        <v>181</v>
      </c>
      <c r="D1665" s="8">
        <v>5.73</v>
      </c>
      <c r="E1665" s="9">
        <v>2</v>
      </c>
    </row>
    <row r="1666" spans="1:5" x14ac:dyDescent="0.25">
      <c r="A1666" s="7">
        <v>1</v>
      </c>
      <c r="B1666" s="7">
        <v>2341</v>
      </c>
      <c r="C1666" s="7">
        <v>152</v>
      </c>
      <c r="D1666" s="8">
        <v>16709.14</v>
      </c>
      <c r="E1666" s="9">
        <v>1</v>
      </c>
    </row>
    <row r="1667" spans="1:5" x14ac:dyDescent="0.25">
      <c r="A1667" s="7">
        <v>1</v>
      </c>
      <c r="B1667" s="7">
        <v>2343</v>
      </c>
      <c r="C1667" s="7">
        <v>152</v>
      </c>
      <c r="D1667" s="8">
        <v>16709.14</v>
      </c>
      <c r="E1667" s="9">
        <v>1</v>
      </c>
    </row>
    <row r="1668" spans="1:5" x14ac:dyDescent="0.25">
      <c r="A1668" s="7">
        <v>1</v>
      </c>
      <c r="B1668" s="7">
        <v>2344</v>
      </c>
      <c r="C1668" s="7">
        <v>102</v>
      </c>
      <c r="D1668" s="8">
        <v>4103</v>
      </c>
      <c r="E1668" s="9">
        <v>1</v>
      </c>
    </row>
    <row r="1669" spans="1:5" x14ac:dyDescent="0.25">
      <c r="A1669" s="7">
        <v>1</v>
      </c>
      <c r="B1669" s="7">
        <v>2345</v>
      </c>
      <c r="C1669" s="7">
        <v>153</v>
      </c>
      <c r="D1669" s="8">
        <v>170481.52</v>
      </c>
      <c r="E1669" s="9">
        <v>1</v>
      </c>
    </row>
    <row r="1670" spans="1:5" x14ac:dyDescent="0.25">
      <c r="A1670" s="7">
        <v>1</v>
      </c>
      <c r="B1670" s="7">
        <v>2346</v>
      </c>
      <c r="C1670" s="7">
        <v>153</v>
      </c>
      <c r="D1670" s="8">
        <v>70002.78</v>
      </c>
      <c r="E1670" s="9">
        <v>1</v>
      </c>
    </row>
    <row r="1671" spans="1:5" x14ac:dyDescent="0.25">
      <c r="A1671" s="7">
        <v>1</v>
      </c>
      <c r="B1671" s="7">
        <v>2347</v>
      </c>
      <c r="C1671" s="7">
        <v>152</v>
      </c>
      <c r="D1671" s="8">
        <v>14730.22</v>
      </c>
      <c r="E1671" s="9">
        <v>1</v>
      </c>
    </row>
    <row r="1672" spans="1:5" x14ac:dyDescent="0.25">
      <c r="A1672" s="7">
        <v>1</v>
      </c>
      <c r="B1672" s="7">
        <v>2348</v>
      </c>
      <c r="C1672" s="7">
        <v>153</v>
      </c>
      <c r="D1672" s="8">
        <v>170481.52</v>
      </c>
      <c r="E1672" s="9">
        <v>1</v>
      </c>
    </row>
    <row r="1673" spans="1:5" x14ac:dyDescent="0.25">
      <c r="A1673" s="7">
        <v>1</v>
      </c>
      <c r="B1673" s="7">
        <v>2349</v>
      </c>
      <c r="C1673" s="7">
        <v>152</v>
      </c>
      <c r="D1673" s="8">
        <v>48510.91</v>
      </c>
      <c r="E1673" s="9">
        <v>1</v>
      </c>
    </row>
    <row r="1674" spans="1:5" x14ac:dyDescent="0.25">
      <c r="A1674" s="7">
        <v>1</v>
      </c>
      <c r="B1674" s="7">
        <v>2350</v>
      </c>
      <c r="C1674" s="7">
        <v>152</v>
      </c>
      <c r="D1674" s="8">
        <v>22494.91</v>
      </c>
      <c r="E1674" s="9">
        <v>1</v>
      </c>
    </row>
    <row r="1675" spans="1:5" x14ac:dyDescent="0.25">
      <c r="A1675" s="7">
        <v>1</v>
      </c>
      <c r="B1675" s="7">
        <v>2351</v>
      </c>
      <c r="C1675" s="7">
        <v>152</v>
      </c>
      <c r="D1675" s="8">
        <v>48510.91</v>
      </c>
      <c r="E1675" s="9">
        <v>1</v>
      </c>
    </row>
    <row r="1676" spans="1:5" x14ac:dyDescent="0.25">
      <c r="A1676" s="7">
        <v>1</v>
      </c>
      <c r="B1676" s="7">
        <v>2352</v>
      </c>
      <c r="C1676" s="7">
        <v>108</v>
      </c>
      <c r="D1676" s="8">
        <v>24768.28</v>
      </c>
      <c r="E1676" s="9">
        <v>1</v>
      </c>
    </row>
    <row r="1677" spans="1:5" x14ac:dyDescent="0.25">
      <c r="A1677" s="7">
        <v>1</v>
      </c>
      <c r="B1677" s="7">
        <v>2353</v>
      </c>
      <c r="C1677" s="7">
        <v>108</v>
      </c>
      <c r="D1677" s="8">
        <v>83700.21</v>
      </c>
      <c r="E1677" s="9">
        <v>1</v>
      </c>
    </row>
    <row r="1678" spans="1:5" x14ac:dyDescent="0.25">
      <c r="A1678" s="7">
        <v>1</v>
      </c>
      <c r="B1678" s="7">
        <v>2354</v>
      </c>
      <c r="C1678" s="7">
        <v>108</v>
      </c>
      <c r="D1678" s="8">
        <v>22227.63</v>
      </c>
      <c r="E1678" s="9">
        <v>1</v>
      </c>
    </row>
    <row r="1679" spans="1:5" x14ac:dyDescent="0.25">
      <c r="A1679" s="7">
        <v>1</v>
      </c>
      <c r="B1679" s="7">
        <v>2355</v>
      </c>
      <c r="C1679" s="7">
        <v>108</v>
      </c>
      <c r="D1679" s="8">
        <v>75114.42</v>
      </c>
      <c r="E1679" s="9">
        <v>1</v>
      </c>
    </row>
    <row r="1680" spans="1:5" x14ac:dyDescent="0.25">
      <c r="A1680" s="7">
        <v>1</v>
      </c>
      <c r="B1680" s="7">
        <v>2356</v>
      </c>
      <c r="C1680" s="7">
        <v>152</v>
      </c>
      <c r="D1680" s="8">
        <v>22259.88</v>
      </c>
      <c r="E1680" s="9">
        <v>1</v>
      </c>
    </row>
    <row r="1681" spans="1:5" x14ac:dyDescent="0.25">
      <c r="A1681" s="7">
        <v>1</v>
      </c>
      <c r="B1681" s="7">
        <v>2359</v>
      </c>
      <c r="C1681" s="7">
        <v>150</v>
      </c>
      <c r="D1681" s="8">
        <v>95033.88</v>
      </c>
      <c r="E1681" s="9">
        <v>1</v>
      </c>
    </row>
    <row r="1682" spans="1:5" x14ac:dyDescent="0.25">
      <c r="A1682" s="7">
        <v>1</v>
      </c>
      <c r="B1682" s="7">
        <v>2360</v>
      </c>
      <c r="C1682" s="7">
        <v>150</v>
      </c>
      <c r="D1682" s="8">
        <v>167218.46</v>
      </c>
      <c r="E1682" s="9">
        <v>1</v>
      </c>
    </row>
    <row r="1683" spans="1:5" x14ac:dyDescent="0.25">
      <c r="A1683" s="7">
        <v>1</v>
      </c>
      <c r="B1683" s="7">
        <v>2361</v>
      </c>
      <c r="C1683" s="7">
        <v>181</v>
      </c>
      <c r="D1683" s="8">
        <v>0.74</v>
      </c>
      <c r="E1683" s="9">
        <v>2</v>
      </c>
    </row>
    <row r="1684" spans="1:5" x14ac:dyDescent="0.25">
      <c r="A1684" s="7">
        <v>1</v>
      </c>
      <c r="B1684" s="7">
        <v>2362</v>
      </c>
      <c r="C1684" s="7">
        <v>181</v>
      </c>
      <c r="D1684" s="8">
        <v>0.74</v>
      </c>
      <c r="E1684" s="9">
        <v>2</v>
      </c>
    </row>
    <row r="1685" spans="1:5" x14ac:dyDescent="0.25">
      <c r="A1685" s="7">
        <v>1</v>
      </c>
      <c r="B1685" s="7">
        <v>2363</v>
      </c>
      <c r="C1685" s="7">
        <v>181</v>
      </c>
      <c r="D1685" s="8">
        <v>0.74</v>
      </c>
      <c r="E1685" s="9">
        <v>2</v>
      </c>
    </row>
    <row r="1686" spans="1:5" x14ac:dyDescent="0.25">
      <c r="A1686" s="7">
        <v>1</v>
      </c>
      <c r="B1686" s="7">
        <v>2364</v>
      </c>
      <c r="C1686" s="7">
        <v>181</v>
      </c>
      <c r="D1686" s="8">
        <v>0.74</v>
      </c>
      <c r="E1686" s="9">
        <v>2</v>
      </c>
    </row>
    <row r="1687" spans="1:5" x14ac:dyDescent="0.25">
      <c r="A1687" s="7">
        <v>1</v>
      </c>
      <c r="B1687" s="7">
        <v>2365</v>
      </c>
      <c r="C1687" s="7">
        <v>181</v>
      </c>
      <c r="D1687" s="8">
        <v>0.74</v>
      </c>
      <c r="E1687" s="9">
        <v>2</v>
      </c>
    </row>
    <row r="1688" spans="1:5" x14ac:dyDescent="0.25">
      <c r="A1688" s="7">
        <v>1</v>
      </c>
      <c r="B1688" s="7">
        <v>2366</v>
      </c>
      <c r="C1688" s="7">
        <v>181</v>
      </c>
      <c r="D1688" s="8">
        <v>0.74</v>
      </c>
      <c r="E1688" s="9">
        <v>2</v>
      </c>
    </row>
    <row r="1689" spans="1:5" x14ac:dyDescent="0.25">
      <c r="A1689" s="7">
        <v>1</v>
      </c>
      <c r="B1689" s="7">
        <v>2367</v>
      </c>
      <c r="C1689" s="7">
        <v>181</v>
      </c>
      <c r="D1689" s="8">
        <v>0.74</v>
      </c>
      <c r="E1689" s="9">
        <v>2</v>
      </c>
    </row>
    <row r="1690" spans="1:5" x14ac:dyDescent="0.25">
      <c r="A1690" s="7">
        <v>1</v>
      </c>
      <c r="B1690" s="7">
        <v>2368</v>
      </c>
      <c r="C1690" s="7">
        <v>181</v>
      </c>
      <c r="D1690" s="8">
        <v>0.74</v>
      </c>
      <c r="E1690" s="9">
        <v>2</v>
      </c>
    </row>
    <row r="1691" spans="1:5" x14ac:dyDescent="0.25">
      <c r="A1691" s="7">
        <v>1</v>
      </c>
      <c r="B1691" s="7">
        <v>2369</v>
      </c>
      <c r="C1691" s="7">
        <v>181</v>
      </c>
      <c r="D1691" s="8">
        <v>0.74</v>
      </c>
      <c r="E1691" s="9">
        <v>2</v>
      </c>
    </row>
    <row r="1692" spans="1:5" x14ac:dyDescent="0.25">
      <c r="A1692" s="7">
        <v>1</v>
      </c>
      <c r="B1692" s="7">
        <v>2370</v>
      </c>
      <c r="C1692" s="7">
        <v>181</v>
      </c>
      <c r="D1692" s="8">
        <v>0.74</v>
      </c>
      <c r="E1692" s="9">
        <v>2</v>
      </c>
    </row>
    <row r="1693" spans="1:5" x14ac:dyDescent="0.25">
      <c r="A1693" s="7">
        <v>1</v>
      </c>
      <c r="B1693" s="7">
        <v>2371</v>
      </c>
      <c r="C1693" s="7">
        <v>181</v>
      </c>
      <c r="D1693" s="8">
        <v>0.74</v>
      </c>
      <c r="E1693" s="9">
        <v>2</v>
      </c>
    </row>
    <row r="1694" spans="1:5" x14ac:dyDescent="0.25">
      <c r="A1694" s="7">
        <v>1</v>
      </c>
      <c r="B1694" s="7">
        <v>2372</v>
      </c>
      <c r="C1694" s="7">
        <v>181</v>
      </c>
      <c r="D1694" s="8">
        <v>0.74</v>
      </c>
      <c r="E1694" s="9">
        <v>2</v>
      </c>
    </row>
    <row r="1695" spans="1:5" x14ac:dyDescent="0.25">
      <c r="A1695" s="7">
        <v>1</v>
      </c>
      <c r="B1695" s="7">
        <v>2373</v>
      </c>
      <c r="C1695" s="7">
        <v>181</v>
      </c>
      <c r="D1695" s="8">
        <v>0.9</v>
      </c>
      <c r="E1695" s="9">
        <v>2</v>
      </c>
    </row>
    <row r="1696" spans="1:5" x14ac:dyDescent="0.25">
      <c r="A1696" s="7">
        <v>1</v>
      </c>
      <c r="B1696" s="7">
        <v>2374</v>
      </c>
      <c r="C1696" s="7">
        <v>181</v>
      </c>
      <c r="D1696" s="8">
        <v>0.9</v>
      </c>
      <c r="E1696" s="9">
        <v>2</v>
      </c>
    </row>
    <row r="1697" spans="1:5" x14ac:dyDescent="0.25">
      <c r="A1697" s="7">
        <v>1</v>
      </c>
      <c r="B1697" s="7">
        <v>2375</v>
      </c>
      <c r="C1697" s="7">
        <v>181</v>
      </c>
      <c r="D1697" s="8">
        <v>0.9</v>
      </c>
      <c r="E1697" s="9">
        <v>2</v>
      </c>
    </row>
    <row r="1698" spans="1:5" x14ac:dyDescent="0.25">
      <c r="A1698" s="7">
        <v>1</v>
      </c>
      <c r="B1698" s="7">
        <v>2376</v>
      </c>
      <c r="C1698" s="7">
        <v>181</v>
      </c>
      <c r="D1698" s="8">
        <v>0.9</v>
      </c>
      <c r="E1698" s="9">
        <v>2</v>
      </c>
    </row>
    <row r="1699" spans="1:5" x14ac:dyDescent="0.25">
      <c r="A1699" s="7">
        <v>1</v>
      </c>
      <c r="B1699" s="7">
        <v>2393</v>
      </c>
      <c r="C1699" s="7">
        <v>139</v>
      </c>
      <c r="D1699" s="8">
        <v>10570.63</v>
      </c>
      <c r="E1699" s="9">
        <v>1</v>
      </c>
    </row>
    <row r="1700" spans="1:5" x14ac:dyDescent="0.25">
      <c r="A1700" s="7">
        <v>1</v>
      </c>
      <c r="B1700" s="7">
        <v>2394</v>
      </c>
      <c r="C1700" s="7">
        <v>139</v>
      </c>
      <c r="D1700" s="8">
        <v>41257.3</v>
      </c>
      <c r="E1700" s="9">
        <v>1</v>
      </c>
    </row>
    <row r="1701" spans="1:5" x14ac:dyDescent="0.25">
      <c r="A1701" s="7">
        <v>1</v>
      </c>
      <c r="B1701" s="7">
        <v>2395</v>
      </c>
      <c r="C1701" s="7">
        <v>139</v>
      </c>
      <c r="D1701" s="8">
        <v>76834.96</v>
      </c>
      <c r="E1701" s="9">
        <v>1</v>
      </c>
    </row>
    <row r="1702" spans="1:5" x14ac:dyDescent="0.25">
      <c r="A1702" s="7">
        <v>1</v>
      </c>
      <c r="B1702" s="7">
        <v>2396</v>
      </c>
      <c r="C1702" s="7">
        <v>148</v>
      </c>
      <c r="D1702" s="8">
        <v>5248.07</v>
      </c>
      <c r="E1702" s="9">
        <v>1</v>
      </c>
    </row>
    <row r="1703" spans="1:5" x14ac:dyDescent="0.25">
      <c r="A1703" s="7">
        <v>1</v>
      </c>
      <c r="B1703" s="7">
        <v>2397</v>
      </c>
      <c r="C1703" s="7">
        <v>148</v>
      </c>
      <c r="D1703" s="8">
        <v>5367.8</v>
      </c>
      <c r="E1703" s="9">
        <v>1</v>
      </c>
    </row>
    <row r="1704" spans="1:5" x14ac:dyDescent="0.25">
      <c r="A1704" s="7">
        <v>1</v>
      </c>
      <c r="B1704" s="7">
        <v>2398</v>
      </c>
      <c r="C1704" s="7">
        <v>148</v>
      </c>
      <c r="D1704" s="8">
        <v>5527.44</v>
      </c>
      <c r="E1704" s="9">
        <v>1</v>
      </c>
    </row>
    <row r="1705" spans="1:5" x14ac:dyDescent="0.25">
      <c r="A1705" s="7">
        <v>1</v>
      </c>
      <c r="B1705" s="7">
        <v>2399</v>
      </c>
      <c r="C1705" s="7">
        <v>148</v>
      </c>
      <c r="D1705" s="8">
        <v>5641.18</v>
      </c>
      <c r="E1705" s="9">
        <v>1</v>
      </c>
    </row>
    <row r="1706" spans="1:5" x14ac:dyDescent="0.25">
      <c r="A1706" s="7">
        <v>1</v>
      </c>
      <c r="B1706" s="7">
        <v>2412</v>
      </c>
      <c r="C1706" s="7">
        <v>153</v>
      </c>
      <c r="D1706" s="8">
        <v>274926.71</v>
      </c>
      <c r="E1706" s="9">
        <v>1</v>
      </c>
    </row>
    <row r="1707" spans="1:5" x14ac:dyDescent="0.25">
      <c r="A1707" s="7">
        <v>1</v>
      </c>
      <c r="B1707" s="7">
        <v>2420</v>
      </c>
      <c r="C1707" s="7">
        <v>102</v>
      </c>
      <c r="D1707" s="8">
        <v>6551.67</v>
      </c>
      <c r="E1707" s="9">
        <v>1</v>
      </c>
    </row>
    <row r="1708" spans="1:5" x14ac:dyDescent="0.25">
      <c r="A1708" s="7">
        <v>1</v>
      </c>
      <c r="B1708" s="7">
        <v>2429</v>
      </c>
      <c r="C1708" s="7">
        <v>139</v>
      </c>
      <c r="D1708" s="8">
        <v>138620.7</v>
      </c>
      <c r="E1708" s="9">
        <v>1</v>
      </c>
    </row>
    <row r="1709" spans="1:5" x14ac:dyDescent="0.25">
      <c r="A1709" s="7">
        <v>1</v>
      </c>
      <c r="B1709" s="7">
        <v>2431</v>
      </c>
      <c r="C1709" s="7">
        <v>153</v>
      </c>
      <c r="D1709" s="8">
        <v>661474.63</v>
      </c>
      <c r="E1709" s="9">
        <v>1</v>
      </c>
    </row>
    <row r="1710" spans="1:5" x14ac:dyDescent="0.25">
      <c r="A1710" s="7">
        <v>1</v>
      </c>
      <c r="B1710" s="7">
        <v>2435</v>
      </c>
      <c r="C1710" s="7">
        <v>153</v>
      </c>
      <c r="D1710" s="8">
        <v>658247.02</v>
      </c>
      <c r="E1710" s="9">
        <v>1</v>
      </c>
    </row>
    <row r="1711" spans="1:5" x14ac:dyDescent="0.25">
      <c r="A1711" s="7">
        <v>1</v>
      </c>
      <c r="B1711" s="7">
        <v>2441</v>
      </c>
      <c r="C1711" s="7">
        <v>102</v>
      </c>
      <c r="D1711" s="8">
        <v>1595.5</v>
      </c>
      <c r="E1711" s="9">
        <v>1</v>
      </c>
    </row>
    <row r="1712" spans="1:5" x14ac:dyDescent="0.25">
      <c r="A1712" s="7">
        <v>1</v>
      </c>
      <c r="B1712" s="7">
        <v>2442</v>
      </c>
      <c r="C1712" s="7">
        <v>153</v>
      </c>
      <c r="D1712" s="8">
        <v>661474.63</v>
      </c>
      <c r="E1712" s="9">
        <v>1</v>
      </c>
    </row>
    <row r="1713" spans="1:5" x14ac:dyDescent="0.25">
      <c r="A1713" s="7">
        <v>1</v>
      </c>
      <c r="B1713" s="7">
        <v>2443</v>
      </c>
      <c r="C1713" s="7">
        <v>102</v>
      </c>
      <c r="D1713" s="8">
        <v>2698</v>
      </c>
      <c r="E1713" s="9">
        <v>1</v>
      </c>
    </row>
    <row r="1714" spans="1:5" x14ac:dyDescent="0.25">
      <c r="A1714" s="7">
        <v>1</v>
      </c>
      <c r="B1714" s="7">
        <v>2445</v>
      </c>
      <c r="C1714" s="7">
        <v>153</v>
      </c>
      <c r="D1714" s="8">
        <v>661474.63</v>
      </c>
      <c r="E1714" s="9">
        <v>1</v>
      </c>
    </row>
    <row r="1715" spans="1:5" x14ac:dyDescent="0.25">
      <c r="A1715" s="7">
        <v>1</v>
      </c>
      <c r="B1715" s="7">
        <v>2446</v>
      </c>
      <c r="C1715" s="7">
        <v>153</v>
      </c>
      <c r="D1715" s="8">
        <v>305168.64</v>
      </c>
      <c r="E1715" s="9">
        <v>1</v>
      </c>
    </row>
    <row r="1716" spans="1:5" x14ac:dyDescent="0.25">
      <c r="A1716" s="7">
        <v>1</v>
      </c>
      <c r="B1716" s="7">
        <v>2447</v>
      </c>
      <c r="C1716" s="7">
        <v>102</v>
      </c>
      <c r="D1716" s="8">
        <v>2614.15</v>
      </c>
      <c r="E1716" s="9">
        <v>1</v>
      </c>
    </row>
    <row r="1717" spans="1:5" x14ac:dyDescent="0.25">
      <c r="A1717" s="7">
        <v>1</v>
      </c>
      <c r="B1717" s="7">
        <v>2448</v>
      </c>
      <c r="C1717" s="7">
        <v>153</v>
      </c>
      <c r="D1717" s="8">
        <v>661474.63</v>
      </c>
      <c r="E1717" s="9">
        <v>1</v>
      </c>
    </row>
    <row r="1718" spans="1:5" x14ac:dyDescent="0.25">
      <c r="A1718" s="7">
        <v>1</v>
      </c>
      <c r="B1718" s="7">
        <v>2449</v>
      </c>
      <c r="C1718" s="7">
        <v>152</v>
      </c>
      <c r="D1718" s="8">
        <v>204199.49</v>
      </c>
      <c r="E1718" s="9">
        <v>1</v>
      </c>
    </row>
    <row r="1719" spans="1:5" x14ac:dyDescent="0.25">
      <c r="A1719" s="7">
        <v>1</v>
      </c>
      <c r="B1719" s="7">
        <v>2450</v>
      </c>
      <c r="C1719" s="7">
        <v>102</v>
      </c>
      <c r="D1719" s="8">
        <v>8836.21</v>
      </c>
      <c r="E1719" s="9">
        <v>1</v>
      </c>
    </row>
    <row r="1720" spans="1:5" x14ac:dyDescent="0.25">
      <c r="A1720" s="7">
        <v>1</v>
      </c>
      <c r="B1720" s="7">
        <v>2451</v>
      </c>
      <c r="C1720" s="7">
        <v>152</v>
      </c>
      <c r="D1720" s="8">
        <v>204199.49</v>
      </c>
      <c r="E1720" s="9">
        <v>1</v>
      </c>
    </row>
    <row r="1721" spans="1:5" x14ac:dyDescent="0.25">
      <c r="A1721" s="7">
        <v>1</v>
      </c>
      <c r="B1721" s="7">
        <v>2452</v>
      </c>
      <c r="C1721" s="7">
        <v>102</v>
      </c>
      <c r="D1721" s="8">
        <v>21914.9</v>
      </c>
      <c r="E1721" s="9">
        <v>1</v>
      </c>
    </row>
    <row r="1722" spans="1:5" x14ac:dyDescent="0.25">
      <c r="A1722" s="7">
        <v>1</v>
      </c>
      <c r="B1722" s="7">
        <v>2453</v>
      </c>
      <c r="C1722" s="7">
        <v>102</v>
      </c>
      <c r="D1722" s="8">
        <v>23601.45</v>
      </c>
      <c r="E1722" s="9">
        <v>1</v>
      </c>
    </row>
    <row r="1723" spans="1:5" x14ac:dyDescent="0.25">
      <c r="A1723" s="7">
        <v>1</v>
      </c>
      <c r="B1723" s="7">
        <v>2454</v>
      </c>
      <c r="C1723" s="7">
        <v>148</v>
      </c>
      <c r="D1723" s="8">
        <v>7722.11</v>
      </c>
      <c r="E1723" s="9">
        <v>1</v>
      </c>
    </row>
    <row r="1724" spans="1:5" x14ac:dyDescent="0.25">
      <c r="A1724" s="7">
        <v>1</v>
      </c>
      <c r="B1724" s="7">
        <v>2455</v>
      </c>
      <c r="C1724" s="7">
        <v>148</v>
      </c>
      <c r="D1724" s="8">
        <v>7843.17</v>
      </c>
      <c r="E1724" s="9">
        <v>1</v>
      </c>
    </row>
    <row r="1725" spans="1:5" x14ac:dyDescent="0.25">
      <c r="A1725" s="7">
        <v>1</v>
      </c>
      <c r="B1725" s="7">
        <v>2456</v>
      </c>
      <c r="C1725" s="7">
        <v>148</v>
      </c>
      <c r="D1725" s="8">
        <v>8322.34</v>
      </c>
      <c r="E1725" s="9">
        <v>1</v>
      </c>
    </row>
    <row r="1726" spans="1:5" x14ac:dyDescent="0.25">
      <c r="A1726" s="7">
        <v>1</v>
      </c>
      <c r="B1726" s="7">
        <v>2457</v>
      </c>
      <c r="C1726" s="7">
        <v>148</v>
      </c>
      <c r="D1726" s="8">
        <v>8998.21</v>
      </c>
      <c r="E1726" s="9">
        <v>1</v>
      </c>
    </row>
    <row r="1727" spans="1:5" x14ac:dyDescent="0.25">
      <c r="A1727" s="7">
        <v>1</v>
      </c>
      <c r="B1727" s="7">
        <v>2458</v>
      </c>
      <c r="C1727" s="7">
        <v>148</v>
      </c>
      <c r="D1727" s="8">
        <v>10092.7</v>
      </c>
      <c r="E1727" s="9">
        <v>1</v>
      </c>
    </row>
    <row r="1728" spans="1:5" x14ac:dyDescent="0.25">
      <c r="A1728" s="7">
        <v>1</v>
      </c>
      <c r="B1728" s="7">
        <v>2459</v>
      </c>
      <c r="C1728" s="7">
        <v>148</v>
      </c>
      <c r="D1728" s="8">
        <v>18919</v>
      </c>
      <c r="E1728" s="9">
        <v>1</v>
      </c>
    </row>
    <row r="1729" spans="1:5" x14ac:dyDescent="0.25">
      <c r="A1729" s="7">
        <v>1</v>
      </c>
      <c r="B1729" s="7">
        <v>2461</v>
      </c>
      <c r="C1729" s="7">
        <v>902</v>
      </c>
      <c r="D1729" s="8">
        <v>1338.28</v>
      </c>
      <c r="E1729" s="9">
        <v>1</v>
      </c>
    </row>
    <row r="1730" spans="1:5" x14ac:dyDescent="0.25">
      <c r="A1730" s="7">
        <v>1</v>
      </c>
      <c r="B1730" s="7">
        <v>2462</v>
      </c>
      <c r="C1730" s="7">
        <v>902</v>
      </c>
      <c r="D1730" s="8">
        <v>1338.28</v>
      </c>
      <c r="E1730" s="9">
        <v>1</v>
      </c>
    </row>
    <row r="1731" spans="1:5" x14ac:dyDescent="0.25">
      <c r="A1731" s="7">
        <v>1</v>
      </c>
      <c r="B1731" s="7">
        <v>2464</v>
      </c>
      <c r="C1731" s="7">
        <v>902</v>
      </c>
      <c r="D1731" s="8">
        <v>1338.28</v>
      </c>
      <c r="E1731" s="9">
        <v>1</v>
      </c>
    </row>
    <row r="1732" spans="1:5" x14ac:dyDescent="0.25">
      <c r="A1732" s="7">
        <v>1</v>
      </c>
      <c r="B1732" s="7">
        <v>2465</v>
      </c>
      <c r="C1732" s="7">
        <v>902</v>
      </c>
      <c r="D1732" s="8">
        <v>1338.28</v>
      </c>
      <c r="E1732" s="9">
        <v>1</v>
      </c>
    </row>
    <row r="1733" spans="1:5" x14ac:dyDescent="0.25">
      <c r="A1733" s="7">
        <v>1</v>
      </c>
      <c r="B1733" s="7">
        <v>2466</v>
      </c>
      <c r="C1733" s="7">
        <v>902</v>
      </c>
      <c r="D1733" s="8">
        <v>1338.28</v>
      </c>
      <c r="E1733" s="9">
        <v>1</v>
      </c>
    </row>
    <row r="1734" spans="1:5" x14ac:dyDescent="0.25">
      <c r="A1734" s="7">
        <v>1</v>
      </c>
      <c r="B1734" s="7">
        <v>2467</v>
      </c>
      <c r="C1734" s="7">
        <v>902</v>
      </c>
      <c r="D1734" s="8">
        <v>1338.28</v>
      </c>
      <c r="E1734" s="9">
        <v>1</v>
      </c>
    </row>
    <row r="1735" spans="1:5" x14ac:dyDescent="0.25">
      <c r="A1735" s="7">
        <v>1</v>
      </c>
      <c r="B1735" s="7">
        <v>2468</v>
      </c>
      <c r="C1735" s="7">
        <v>902</v>
      </c>
      <c r="D1735" s="8">
        <v>1338.28</v>
      </c>
      <c r="E1735" s="9">
        <v>1</v>
      </c>
    </row>
    <row r="1736" spans="1:5" x14ac:dyDescent="0.25">
      <c r="A1736" s="7">
        <v>1</v>
      </c>
      <c r="B1736" s="7">
        <v>2469</v>
      </c>
      <c r="C1736" s="7">
        <v>902</v>
      </c>
      <c r="D1736" s="8">
        <v>1338.28</v>
      </c>
      <c r="E1736" s="9">
        <v>1</v>
      </c>
    </row>
    <row r="1737" spans="1:5" x14ac:dyDescent="0.25">
      <c r="A1737" s="7">
        <v>1</v>
      </c>
      <c r="B1737" s="7">
        <v>2470</v>
      </c>
      <c r="C1737" s="7">
        <v>902</v>
      </c>
      <c r="D1737" s="8">
        <v>1338.28</v>
      </c>
      <c r="E1737" s="9">
        <v>1</v>
      </c>
    </row>
    <row r="1738" spans="1:5" x14ac:dyDescent="0.25">
      <c r="A1738" s="7">
        <v>1</v>
      </c>
      <c r="B1738" s="7">
        <v>2471</v>
      </c>
      <c r="C1738" s="7">
        <v>902</v>
      </c>
      <c r="D1738" s="8">
        <v>1338.28</v>
      </c>
      <c r="E1738" s="9">
        <v>1</v>
      </c>
    </row>
    <row r="1739" spans="1:5" x14ac:dyDescent="0.25">
      <c r="A1739" s="7">
        <v>1</v>
      </c>
      <c r="B1739" s="7">
        <v>2472</v>
      </c>
      <c r="C1739" s="7">
        <v>902</v>
      </c>
      <c r="D1739" s="8">
        <v>1338.28</v>
      </c>
      <c r="E1739" s="9">
        <v>1</v>
      </c>
    </row>
    <row r="1740" spans="1:5" x14ac:dyDescent="0.25">
      <c r="A1740" s="7">
        <v>1</v>
      </c>
      <c r="B1740" s="7">
        <v>2481</v>
      </c>
      <c r="C1740" s="7">
        <v>152</v>
      </c>
      <c r="D1740" s="8">
        <v>20007.38</v>
      </c>
      <c r="E1740" s="9">
        <v>1</v>
      </c>
    </row>
    <row r="1741" spans="1:5" x14ac:dyDescent="0.25">
      <c r="A1741" s="7">
        <v>1</v>
      </c>
      <c r="B1741" s="7">
        <v>2482</v>
      </c>
      <c r="C1741" s="7">
        <v>152</v>
      </c>
      <c r="D1741" s="8">
        <v>11427.53</v>
      </c>
      <c r="E1741" s="9">
        <v>1</v>
      </c>
    </row>
    <row r="1742" spans="1:5" x14ac:dyDescent="0.25">
      <c r="A1742" s="7">
        <v>1</v>
      </c>
      <c r="B1742" s="7">
        <v>2483</v>
      </c>
      <c r="C1742" s="7">
        <v>152</v>
      </c>
      <c r="D1742" s="8">
        <v>11427.53</v>
      </c>
      <c r="E1742" s="9">
        <v>1</v>
      </c>
    </row>
    <row r="1743" spans="1:5" x14ac:dyDescent="0.25">
      <c r="A1743" s="7">
        <v>1</v>
      </c>
      <c r="B1743" s="7">
        <v>2484</v>
      </c>
      <c r="C1743" s="7">
        <v>152</v>
      </c>
      <c r="D1743" s="8">
        <v>19639.46</v>
      </c>
      <c r="E1743" s="9">
        <v>1</v>
      </c>
    </row>
    <row r="1744" spans="1:5" x14ac:dyDescent="0.25">
      <c r="A1744" s="7">
        <v>1</v>
      </c>
      <c r="B1744" s="7">
        <v>2485</v>
      </c>
      <c r="C1744" s="7">
        <v>152</v>
      </c>
      <c r="D1744" s="8">
        <v>11427.53</v>
      </c>
      <c r="E1744" s="9">
        <v>1</v>
      </c>
    </row>
    <row r="1745" spans="1:5" x14ac:dyDescent="0.25">
      <c r="A1745" s="7">
        <v>1</v>
      </c>
      <c r="B1745" s="7">
        <v>2486</v>
      </c>
      <c r="C1745" s="7">
        <v>152</v>
      </c>
      <c r="D1745" s="8">
        <v>11427.53</v>
      </c>
      <c r="E1745" s="9">
        <v>1</v>
      </c>
    </row>
    <row r="1746" spans="1:5" x14ac:dyDescent="0.25">
      <c r="A1746" s="7">
        <v>1</v>
      </c>
      <c r="B1746" s="7">
        <v>2487</v>
      </c>
      <c r="C1746" s="7">
        <v>152</v>
      </c>
      <c r="D1746" s="8">
        <v>11427.53</v>
      </c>
      <c r="E1746" s="9">
        <v>1</v>
      </c>
    </row>
    <row r="1747" spans="1:5" x14ac:dyDescent="0.25">
      <c r="A1747" s="7">
        <v>1</v>
      </c>
      <c r="B1747" s="7">
        <v>2488</v>
      </c>
      <c r="C1747" s="7">
        <v>152</v>
      </c>
      <c r="D1747" s="8">
        <v>11427.53</v>
      </c>
      <c r="E1747" s="9">
        <v>1</v>
      </c>
    </row>
    <row r="1748" spans="1:5" x14ac:dyDescent="0.25">
      <c r="A1748" s="7">
        <v>1</v>
      </c>
      <c r="B1748" s="7">
        <v>2489</v>
      </c>
      <c r="C1748" s="7">
        <v>152</v>
      </c>
      <c r="D1748" s="8">
        <v>11427.53</v>
      </c>
      <c r="E1748" s="9">
        <v>1</v>
      </c>
    </row>
    <row r="1749" spans="1:5" x14ac:dyDescent="0.25">
      <c r="A1749" s="7">
        <v>1</v>
      </c>
      <c r="B1749" s="7">
        <v>2490</v>
      </c>
      <c r="C1749" s="7">
        <v>152</v>
      </c>
      <c r="D1749" s="8">
        <v>11427.53</v>
      </c>
      <c r="E1749" s="9">
        <v>1</v>
      </c>
    </row>
    <row r="1750" spans="1:5" x14ac:dyDescent="0.25">
      <c r="A1750" s="7">
        <v>1</v>
      </c>
      <c r="B1750" s="7">
        <v>2491</v>
      </c>
      <c r="C1750" s="7">
        <v>152</v>
      </c>
      <c r="D1750" s="8">
        <v>11427.53</v>
      </c>
      <c r="E1750" s="9">
        <v>1</v>
      </c>
    </row>
    <row r="1751" spans="1:5" x14ac:dyDescent="0.25">
      <c r="A1751" s="7">
        <v>1</v>
      </c>
      <c r="B1751" s="7">
        <v>2492</v>
      </c>
      <c r="C1751" s="7">
        <v>152</v>
      </c>
      <c r="D1751" s="8">
        <v>11427.53</v>
      </c>
      <c r="E1751" s="9">
        <v>1</v>
      </c>
    </row>
    <row r="1752" spans="1:5" x14ac:dyDescent="0.25">
      <c r="A1752" s="7">
        <v>1</v>
      </c>
      <c r="B1752" s="7">
        <v>2493</v>
      </c>
      <c r="C1752" s="7">
        <v>152</v>
      </c>
      <c r="D1752" s="8">
        <v>11427.53</v>
      </c>
      <c r="E1752" s="9">
        <v>1</v>
      </c>
    </row>
    <row r="1753" spans="1:5" x14ac:dyDescent="0.25">
      <c r="A1753" s="7">
        <v>1</v>
      </c>
      <c r="B1753" s="7">
        <v>2494</v>
      </c>
      <c r="C1753" s="7">
        <v>152</v>
      </c>
      <c r="D1753" s="8">
        <v>11427.53</v>
      </c>
      <c r="E1753" s="9">
        <v>1</v>
      </c>
    </row>
    <row r="1754" spans="1:5" x14ac:dyDescent="0.25">
      <c r="A1754" s="7">
        <v>1</v>
      </c>
      <c r="B1754" s="7">
        <v>2495</v>
      </c>
      <c r="C1754" s="7">
        <v>152</v>
      </c>
      <c r="D1754" s="8">
        <v>11427.53</v>
      </c>
      <c r="E1754" s="9">
        <v>1</v>
      </c>
    </row>
    <row r="1755" spans="1:5" x14ac:dyDescent="0.25">
      <c r="A1755" s="7">
        <v>1</v>
      </c>
      <c r="B1755" s="7">
        <v>2496</v>
      </c>
      <c r="C1755" s="7">
        <v>152</v>
      </c>
      <c r="D1755" s="8">
        <v>11427.53</v>
      </c>
      <c r="E1755" s="9">
        <v>1</v>
      </c>
    </row>
    <row r="1756" spans="1:5" x14ac:dyDescent="0.25">
      <c r="A1756" s="7">
        <v>1</v>
      </c>
      <c r="B1756" s="7">
        <v>2499</v>
      </c>
      <c r="C1756" s="7">
        <v>150</v>
      </c>
      <c r="D1756" s="8">
        <v>206576.08</v>
      </c>
      <c r="E1756" s="9">
        <v>1</v>
      </c>
    </row>
    <row r="1757" spans="1:5" x14ac:dyDescent="0.25">
      <c r="A1757" s="7">
        <v>1</v>
      </c>
      <c r="B1757" s="7">
        <v>2502</v>
      </c>
      <c r="C1757" s="7">
        <v>902</v>
      </c>
      <c r="D1757" s="8">
        <v>21578.23</v>
      </c>
      <c r="E1757" s="9">
        <v>1</v>
      </c>
    </row>
    <row r="1758" spans="1:5" x14ac:dyDescent="0.25">
      <c r="A1758" s="7">
        <v>1</v>
      </c>
      <c r="B1758" s="7">
        <v>2508</v>
      </c>
      <c r="C1758" s="7">
        <v>108</v>
      </c>
      <c r="D1758" s="8">
        <v>24866.64</v>
      </c>
      <c r="E1758" s="9">
        <v>1</v>
      </c>
    </row>
    <row r="1759" spans="1:5" x14ac:dyDescent="0.25">
      <c r="A1759" s="7">
        <v>1</v>
      </c>
      <c r="B1759" s="7">
        <v>2509</v>
      </c>
      <c r="C1759" s="7">
        <v>108</v>
      </c>
      <c r="D1759" s="8">
        <v>84031.05</v>
      </c>
      <c r="E1759" s="9">
        <v>1</v>
      </c>
    </row>
    <row r="1760" spans="1:5" x14ac:dyDescent="0.25">
      <c r="A1760" s="7">
        <v>1</v>
      </c>
      <c r="B1760" s="7">
        <v>2510</v>
      </c>
      <c r="C1760" s="7">
        <v>108</v>
      </c>
      <c r="D1760" s="8">
        <v>22315.65</v>
      </c>
      <c r="E1760" s="9">
        <v>1</v>
      </c>
    </row>
    <row r="1761" spans="1:5" x14ac:dyDescent="0.25">
      <c r="A1761" s="7">
        <v>1</v>
      </c>
      <c r="B1761" s="7">
        <v>2511</v>
      </c>
      <c r="C1761" s="7">
        <v>108</v>
      </c>
      <c r="D1761" s="8">
        <v>75413.59</v>
      </c>
      <c r="E1761" s="9">
        <v>1</v>
      </c>
    </row>
    <row r="1762" spans="1:5" x14ac:dyDescent="0.25">
      <c r="A1762" s="7">
        <v>1</v>
      </c>
      <c r="B1762" s="7">
        <v>2512</v>
      </c>
      <c r="C1762" s="7">
        <v>902</v>
      </c>
      <c r="D1762" s="8">
        <v>65665.02</v>
      </c>
      <c r="E1762" s="9">
        <v>1</v>
      </c>
    </row>
    <row r="1763" spans="1:5" x14ac:dyDescent="0.25">
      <c r="A1763" s="7">
        <v>1</v>
      </c>
      <c r="B1763" s="7">
        <v>2524</v>
      </c>
      <c r="C1763" s="7">
        <v>102</v>
      </c>
      <c r="D1763" s="8">
        <v>3752.3</v>
      </c>
      <c r="E1763" s="9">
        <v>1</v>
      </c>
    </row>
    <row r="1764" spans="1:5" x14ac:dyDescent="0.25">
      <c r="A1764" s="7">
        <v>1</v>
      </c>
      <c r="B1764" s="7">
        <v>2526</v>
      </c>
      <c r="C1764" s="7">
        <v>102</v>
      </c>
      <c r="D1764" s="8">
        <v>5843.86</v>
      </c>
      <c r="E1764" s="9">
        <v>1</v>
      </c>
    </row>
    <row r="1765" spans="1:5" x14ac:dyDescent="0.25">
      <c r="A1765" s="7">
        <v>1</v>
      </c>
      <c r="B1765" s="7">
        <v>2530</v>
      </c>
      <c r="C1765" s="7">
        <v>150</v>
      </c>
      <c r="D1765" s="8">
        <v>169392.38</v>
      </c>
      <c r="E1765" s="9">
        <v>1</v>
      </c>
    </row>
    <row r="1766" spans="1:5" x14ac:dyDescent="0.25">
      <c r="A1766" s="7">
        <v>1</v>
      </c>
      <c r="B1766" s="7">
        <v>2533</v>
      </c>
      <c r="C1766" s="7">
        <v>150</v>
      </c>
      <c r="D1766" s="8">
        <v>169392.38</v>
      </c>
      <c r="E1766" s="9">
        <v>1</v>
      </c>
    </row>
    <row r="1767" spans="1:5" x14ac:dyDescent="0.25">
      <c r="A1767" s="7">
        <v>1</v>
      </c>
      <c r="B1767" s="7">
        <v>2536</v>
      </c>
      <c r="C1767" s="7">
        <v>150</v>
      </c>
      <c r="D1767" s="8">
        <v>169392.38</v>
      </c>
      <c r="E1767" s="9">
        <v>1</v>
      </c>
    </row>
    <row r="1768" spans="1:5" x14ac:dyDescent="0.25">
      <c r="A1768" s="7">
        <v>1</v>
      </c>
      <c r="B1768" s="7">
        <v>2537</v>
      </c>
      <c r="C1768" s="7">
        <v>175</v>
      </c>
      <c r="D1768" s="8">
        <v>16708.4</v>
      </c>
      <c r="E1768" s="9">
        <v>1</v>
      </c>
    </row>
    <row r="1769" spans="1:5" x14ac:dyDescent="0.25">
      <c r="A1769" s="7">
        <v>1</v>
      </c>
      <c r="B1769" s="7">
        <v>2538</v>
      </c>
      <c r="C1769" s="7">
        <v>175</v>
      </c>
      <c r="D1769" s="8">
        <v>62141.51</v>
      </c>
      <c r="E1769" s="9">
        <v>1</v>
      </c>
    </row>
    <row r="1770" spans="1:5" x14ac:dyDescent="0.25">
      <c r="A1770" s="7">
        <v>1</v>
      </c>
      <c r="B1770" s="7">
        <v>2539</v>
      </c>
      <c r="C1770" s="7">
        <v>175</v>
      </c>
      <c r="D1770" s="8">
        <v>250518.6</v>
      </c>
      <c r="E1770" s="9">
        <v>1</v>
      </c>
    </row>
    <row r="1771" spans="1:5" x14ac:dyDescent="0.25">
      <c r="A1771" s="7">
        <v>1</v>
      </c>
      <c r="B1771" s="7">
        <v>2540</v>
      </c>
      <c r="C1771" s="7">
        <v>175</v>
      </c>
      <c r="D1771" s="8">
        <v>14632</v>
      </c>
      <c r="E1771" s="9">
        <v>1</v>
      </c>
    </row>
    <row r="1772" spans="1:5" x14ac:dyDescent="0.25">
      <c r="A1772" s="7">
        <v>1</v>
      </c>
      <c r="B1772" s="7">
        <v>2541</v>
      </c>
      <c r="C1772" s="7">
        <v>175</v>
      </c>
      <c r="D1772" s="8">
        <v>54479.47</v>
      </c>
      <c r="E1772" s="9">
        <v>1</v>
      </c>
    </row>
    <row r="1773" spans="1:5" x14ac:dyDescent="0.25">
      <c r="A1773" s="7">
        <v>1</v>
      </c>
      <c r="B1773" s="7">
        <v>2542</v>
      </c>
      <c r="C1773" s="7">
        <v>175</v>
      </c>
      <c r="D1773" s="8">
        <v>219601.58</v>
      </c>
      <c r="E1773" s="9">
        <v>1</v>
      </c>
    </row>
    <row r="1774" spans="1:5" x14ac:dyDescent="0.25">
      <c r="A1774" s="7">
        <v>1</v>
      </c>
      <c r="B1774" s="7">
        <v>2543</v>
      </c>
      <c r="C1774" s="7">
        <v>175</v>
      </c>
      <c r="D1774" s="8">
        <v>12041.23</v>
      </c>
      <c r="E1774" s="9">
        <v>1</v>
      </c>
    </row>
    <row r="1775" spans="1:5" x14ac:dyDescent="0.25">
      <c r="A1775" s="7">
        <v>1</v>
      </c>
      <c r="B1775" s="7">
        <v>2544</v>
      </c>
      <c r="C1775" s="7">
        <v>175</v>
      </c>
      <c r="D1775" s="8">
        <v>44853.74</v>
      </c>
      <c r="E1775" s="9">
        <v>1</v>
      </c>
    </row>
    <row r="1776" spans="1:5" x14ac:dyDescent="0.25">
      <c r="A1776" s="7">
        <v>1</v>
      </c>
      <c r="B1776" s="7">
        <v>2545</v>
      </c>
      <c r="C1776" s="7">
        <v>175</v>
      </c>
      <c r="D1776" s="8">
        <v>180360.75</v>
      </c>
      <c r="E1776" s="9">
        <v>1</v>
      </c>
    </row>
    <row r="1777" spans="1:5" x14ac:dyDescent="0.25">
      <c r="A1777" s="7">
        <v>1</v>
      </c>
      <c r="B1777" s="7">
        <v>2546</v>
      </c>
      <c r="C1777" s="7">
        <v>175</v>
      </c>
      <c r="D1777" s="8">
        <v>16521.33</v>
      </c>
      <c r="E1777" s="9">
        <v>1</v>
      </c>
    </row>
    <row r="1778" spans="1:5" x14ac:dyDescent="0.25">
      <c r="A1778" s="7">
        <v>1</v>
      </c>
      <c r="B1778" s="7">
        <v>2547</v>
      </c>
      <c r="C1778" s="7">
        <v>175</v>
      </c>
      <c r="D1778" s="8">
        <v>61743.63</v>
      </c>
      <c r="E1778" s="9">
        <v>1</v>
      </c>
    </row>
    <row r="1779" spans="1:5" x14ac:dyDescent="0.25">
      <c r="A1779" s="7">
        <v>1</v>
      </c>
      <c r="B1779" s="7">
        <v>2548</v>
      </c>
      <c r="C1779" s="7">
        <v>175</v>
      </c>
      <c r="D1779" s="8">
        <v>245595.15</v>
      </c>
      <c r="E1779" s="9">
        <v>1</v>
      </c>
    </row>
    <row r="1780" spans="1:5" x14ac:dyDescent="0.25">
      <c r="A1780" s="7">
        <v>1</v>
      </c>
      <c r="B1780" s="7">
        <v>2549</v>
      </c>
      <c r="C1780" s="7">
        <v>175</v>
      </c>
      <c r="D1780" s="8">
        <v>14459.4</v>
      </c>
      <c r="E1780" s="9">
        <v>1</v>
      </c>
    </row>
    <row r="1781" spans="1:5" x14ac:dyDescent="0.25">
      <c r="A1781" s="7">
        <v>1</v>
      </c>
      <c r="B1781" s="7">
        <v>2550</v>
      </c>
      <c r="C1781" s="7">
        <v>175</v>
      </c>
      <c r="D1781" s="8">
        <v>54099.85</v>
      </c>
      <c r="E1781" s="9">
        <v>1</v>
      </c>
    </row>
    <row r="1782" spans="1:5" x14ac:dyDescent="0.25">
      <c r="A1782" s="7">
        <v>1</v>
      </c>
      <c r="B1782" s="7">
        <v>2551</v>
      </c>
      <c r="C1782" s="7">
        <v>175</v>
      </c>
      <c r="D1782" s="8">
        <v>218582.5</v>
      </c>
      <c r="E1782" s="9">
        <v>1</v>
      </c>
    </row>
    <row r="1783" spans="1:5" x14ac:dyDescent="0.25">
      <c r="A1783" s="7">
        <v>1</v>
      </c>
      <c r="B1783" s="7">
        <v>2552</v>
      </c>
      <c r="C1783" s="7">
        <v>175</v>
      </c>
      <c r="D1783" s="8">
        <v>11926.75</v>
      </c>
      <c r="E1783" s="9">
        <v>1</v>
      </c>
    </row>
    <row r="1784" spans="1:5" x14ac:dyDescent="0.25">
      <c r="A1784" s="7">
        <v>1</v>
      </c>
      <c r="B1784" s="7">
        <v>2553</v>
      </c>
      <c r="C1784" s="7">
        <v>175</v>
      </c>
      <c r="D1784" s="8">
        <v>44580.32</v>
      </c>
      <c r="E1784" s="9">
        <v>1</v>
      </c>
    </row>
    <row r="1785" spans="1:5" x14ac:dyDescent="0.25">
      <c r="A1785" s="7">
        <v>1</v>
      </c>
      <c r="B1785" s="7">
        <v>2554</v>
      </c>
      <c r="C1785" s="7">
        <v>175</v>
      </c>
      <c r="D1785" s="8">
        <v>180007.87</v>
      </c>
      <c r="E1785" s="9">
        <v>1</v>
      </c>
    </row>
    <row r="1786" spans="1:5" x14ac:dyDescent="0.25">
      <c r="A1786" s="7">
        <v>1</v>
      </c>
      <c r="B1786" s="7">
        <v>2555</v>
      </c>
      <c r="C1786" s="7">
        <v>148</v>
      </c>
      <c r="D1786" s="8">
        <v>7711.26</v>
      </c>
      <c r="E1786" s="9">
        <v>1</v>
      </c>
    </row>
    <row r="1787" spans="1:5" x14ac:dyDescent="0.25">
      <c r="A1787" s="7">
        <v>1</v>
      </c>
      <c r="B1787" s="7">
        <v>2556</v>
      </c>
      <c r="C1787" s="7">
        <v>148</v>
      </c>
      <c r="D1787" s="8">
        <v>7977.15</v>
      </c>
      <c r="E1787" s="9">
        <v>1</v>
      </c>
    </row>
    <row r="1788" spans="1:5" x14ac:dyDescent="0.25">
      <c r="A1788" s="7">
        <v>1</v>
      </c>
      <c r="B1788" s="7">
        <v>2557</v>
      </c>
      <c r="C1788" s="7">
        <v>148</v>
      </c>
      <c r="D1788" s="8">
        <v>8340.58</v>
      </c>
      <c r="E1788" s="9">
        <v>1</v>
      </c>
    </row>
    <row r="1789" spans="1:5" x14ac:dyDescent="0.25">
      <c r="A1789" s="7">
        <v>1</v>
      </c>
      <c r="B1789" s="7">
        <v>2558</v>
      </c>
      <c r="C1789" s="7">
        <v>148</v>
      </c>
      <c r="D1789" s="8">
        <v>8983.17</v>
      </c>
      <c r="E1789" s="9">
        <v>1</v>
      </c>
    </row>
    <row r="1790" spans="1:5" x14ac:dyDescent="0.25">
      <c r="A1790" s="7">
        <v>1</v>
      </c>
      <c r="B1790" s="7">
        <v>2559</v>
      </c>
      <c r="C1790" s="7">
        <v>148</v>
      </c>
      <c r="D1790" s="8">
        <v>10290.53</v>
      </c>
      <c r="E1790" s="9">
        <v>1</v>
      </c>
    </row>
    <row r="1791" spans="1:5" x14ac:dyDescent="0.25">
      <c r="A1791" s="7">
        <v>1</v>
      </c>
      <c r="B1791" s="7">
        <v>2560</v>
      </c>
      <c r="C1791" s="7">
        <v>148</v>
      </c>
      <c r="D1791" s="8">
        <v>10862.24</v>
      </c>
      <c r="E1791" s="9">
        <v>1</v>
      </c>
    </row>
    <row r="1792" spans="1:5" x14ac:dyDescent="0.25">
      <c r="A1792" s="7">
        <v>1</v>
      </c>
      <c r="B1792" s="7">
        <v>2561</v>
      </c>
      <c r="C1792" s="7">
        <v>148</v>
      </c>
      <c r="D1792" s="8">
        <v>11726.4</v>
      </c>
      <c r="E1792" s="9">
        <v>1</v>
      </c>
    </row>
    <row r="1793" spans="1:5" x14ac:dyDescent="0.25">
      <c r="A1793" s="7">
        <v>1</v>
      </c>
      <c r="B1793" s="7">
        <v>2562</v>
      </c>
      <c r="C1793" s="7">
        <v>148</v>
      </c>
      <c r="D1793" s="8">
        <v>12479.81</v>
      </c>
      <c r="E1793" s="9">
        <v>1</v>
      </c>
    </row>
    <row r="1794" spans="1:5" x14ac:dyDescent="0.25">
      <c r="A1794" s="7">
        <v>1</v>
      </c>
      <c r="B1794" s="7">
        <v>2563</v>
      </c>
      <c r="C1794" s="7">
        <v>148</v>
      </c>
      <c r="D1794" s="8">
        <v>8908.26</v>
      </c>
      <c r="E1794" s="9">
        <v>1</v>
      </c>
    </row>
    <row r="1795" spans="1:5" x14ac:dyDescent="0.25">
      <c r="A1795" s="7">
        <v>1</v>
      </c>
      <c r="B1795" s="7">
        <v>2564</v>
      </c>
      <c r="C1795" s="7">
        <v>148</v>
      </c>
      <c r="D1795" s="8">
        <v>9048.13</v>
      </c>
      <c r="E1795" s="9">
        <v>1</v>
      </c>
    </row>
    <row r="1796" spans="1:5" x14ac:dyDescent="0.25">
      <c r="A1796" s="7">
        <v>1</v>
      </c>
      <c r="B1796" s="7">
        <v>2565</v>
      </c>
      <c r="C1796" s="7">
        <v>148</v>
      </c>
      <c r="D1796" s="8">
        <v>9572.64</v>
      </c>
      <c r="E1796" s="9">
        <v>1</v>
      </c>
    </row>
    <row r="1797" spans="1:5" x14ac:dyDescent="0.25">
      <c r="A1797" s="7">
        <v>1</v>
      </c>
      <c r="B1797" s="7">
        <v>2566</v>
      </c>
      <c r="C1797" s="7">
        <v>148</v>
      </c>
      <c r="D1797" s="8">
        <v>10607.14</v>
      </c>
      <c r="E1797" s="9">
        <v>1</v>
      </c>
    </row>
    <row r="1798" spans="1:5" x14ac:dyDescent="0.25">
      <c r="A1798" s="7">
        <v>1</v>
      </c>
      <c r="B1798" s="7">
        <v>2567</v>
      </c>
      <c r="C1798" s="7">
        <v>148</v>
      </c>
      <c r="D1798" s="8">
        <v>12361.41</v>
      </c>
      <c r="E1798" s="9">
        <v>1</v>
      </c>
    </row>
    <row r="1799" spans="1:5" x14ac:dyDescent="0.25">
      <c r="A1799" s="7">
        <v>1</v>
      </c>
      <c r="B1799" s="7">
        <v>2568</v>
      </c>
      <c r="C1799" s="7">
        <v>148</v>
      </c>
      <c r="D1799" s="8">
        <v>13060.77</v>
      </c>
      <c r="E1799" s="9">
        <v>1</v>
      </c>
    </row>
    <row r="1800" spans="1:5" x14ac:dyDescent="0.25">
      <c r="A1800" s="7">
        <v>1</v>
      </c>
      <c r="B1800" s="7">
        <v>2569</v>
      </c>
      <c r="C1800" s="7">
        <v>148</v>
      </c>
      <c r="D1800" s="8">
        <v>14057.38</v>
      </c>
      <c r="E1800" s="9">
        <v>1</v>
      </c>
    </row>
    <row r="1801" spans="1:5" x14ac:dyDescent="0.25">
      <c r="A1801" s="7">
        <v>1</v>
      </c>
      <c r="B1801" s="7">
        <v>2570</v>
      </c>
      <c r="C1801" s="7">
        <v>148</v>
      </c>
      <c r="D1801" s="8">
        <v>14984.06</v>
      </c>
      <c r="E1801" s="9">
        <v>1</v>
      </c>
    </row>
    <row r="1802" spans="1:5" x14ac:dyDescent="0.25">
      <c r="A1802" s="7">
        <v>1</v>
      </c>
      <c r="B1802" s="7">
        <v>2571</v>
      </c>
      <c r="C1802" s="7">
        <v>148</v>
      </c>
      <c r="D1802" s="8">
        <v>10441.41</v>
      </c>
      <c r="E1802" s="9">
        <v>1</v>
      </c>
    </row>
    <row r="1803" spans="1:5" x14ac:dyDescent="0.25">
      <c r="A1803" s="7">
        <v>1</v>
      </c>
      <c r="B1803" s="7">
        <v>2572</v>
      </c>
      <c r="C1803" s="7">
        <v>148</v>
      </c>
      <c r="D1803" s="8">
        <v>11780.96</v>
      </c>
      <c r="E1803" s="9">
        <v>1</v>
      </c>
    </row>
    <row r="1804" spans="1:5" x14ac:dyDescent="0.25">
      <c r="A1804" s="7">
        <v>1</v>
      </c>
      <c r="B1804" s="7">
        <v>2573</v>
      </c>
      <c r="C1804" s="7">
        <v>102</v>
      </c>
      <c r="D1804" s="8">
        <v>17273.26</v>
      </c>
      <c r="E1804" s="9">
        <v>1</v>
      </c>
    </row>
    <row r="1805" spans="1:5" x14ac:dyDescent="0.25">
      <c r="A1805" s="7">
        <v>1</v>
      </c>
      <c r="B1805" s="7">
        <v>2574</v>
      </c>
      <c r="C1805" s="7">
        <v>102</v>
      </c>
      <c r="D1805" s="8">
        <v>17273.26</v>
      </c>
      <c r="E1805" s="9">
        <v>1</v>
      </c>
    </row>
    <row r="1806" spans="1:5" x14ac:dyDescent="0.25">
      <c r="A1806" s="7">
        <v>1</v>
      </c>
      <c r="B1806" s="7">
        <v>2575</v>
      </c>
      <c r="C1806" s="7">
        <v>102</v>
      </c>
      <c r="D1806" s="8">
        <v>12954.46</v>
      </c>
      <c r="E1806" s="9">
        <v>1</v>
      </c>
    </row>
    <row r="1807" spans="1:5" x14ac:dyDescent="0.25">
      <c r="A1807" s="7">
        <v>1</v>
      </c>
      <c r="B1807" s="7">
        <v>2576</v>
      </c>
      <c r="C1807" s="7">
        <v>102</v>
      </c>
      <c r="D1807" s="8">
        <v>12954.46</v>
      </c>
      <c r="E1807" s="9">
        <v>1</v>
      </c>
    </row>
    <row r="1808" spans="1:5" x14ac:dyDescent="0.25">
      <c r="A1808" s="7">
        <v>1</v>
      </c>
      <c r="B1808" s="7">
        <v>2577</v>
      </c>
      <c r="C1808" s="7">
        <v>102</v>
      </c>
      <c r="D1808" s="8">
        <v>12954.46</v>
      </c>
      <c r="E1808" s="9">
        <v>1</v>
      </c>
    </row>
    <row r="1809" spans="1:5" x14ac:dyDescent="0.25">
      <c r="A1809" s="7">
        <v>1</v>
      </c>
      <c r="B1809" s="7">
        <v>2578</v>
      </c>
      <c r="C1809" s="7">
        <v>102</v>
      </c>
      <c r="D1809" s="8">
        <v>12954.46</v>
      </c>
      <c r="E1809" s="9">
        <v>1</v>
      </c>
    </row>
    <row r="1810" spans="1:5" x14ac:dyDescent="0.25">
      <c r="A1810" s="7">
        <v>1</v>
      </c>
      <c r="B1810" s="7">
        <v>2579</v>
      </c>
      <c r="C1810" s="7">
        <v>102</v>
      </c>
      <c r="D1810" s="8">
        <v>12954.46</v>
      </c>
      <c r="E1810" s="9">
        <v>1</v>
      </c>
    </row>
    <row r="1811" spans="1:5" x14ac:dyDescent="0.25">
      <c r="A1811" s="7">
        <v>1</v>
      </c>
      <c r="B1811" s="7">
        <v>2581</v>
      </c>
      <c r="C1811" s="7">
        <v>152</v>
      </c>
      <c r="D1811" s="8">
        <v>72284.19</v>
      </c>
      <c r="E1811" s="9">
        <v>1</v>
      </c>
    </row>
    <row r="1812" spans="1:5" x14ac:dyDescent="0.25">
      <c r="A1812" s="7">
        <v>1</v>
      </c>
      <c r="B1812" s="7">
        <v>2582</v>
      </c>
      <c r="C1812" s="7">
        <v>152</v>
      </c>
      <c r="D1812" s="8">
        <v>42138.18</v>
      </c>
      <c r="E1812" s="9">
        <v>1</v>
      </c>
    </row>
    <row r="1813" spans="1:5" x14ac:dyDescent="0.25">
      <c r="A1813" s="7">
        <v>1</v>
      </c>
      <c r="B1813" s="7">
        <v>2583</v>
      </c>
      <c r="C1813" s="7">
        <v>152</v>
      </c>
      <c r="D1813" s="8">
        <v>42138.18</v>
      </c>
      <c r="E1813" s="9">
        <v>1</v>
      </c>
    </row>
    <row r="1814" spans="1:5" x14ac:dyDescent="0.25">
      <c r="A1814" s="7">
        <v>1</v>
      </c>
      <c r="B1814" s="7">
        <v>2584</v>
      </c>
      <c r="C1814" s="7">
        <v>152</v>
      </c>
      <c r="D1814" s="8">
        <v>71193.02</v>
      </c>
      <c r="E1814" s="9">
        <v>1</v>
      </c>
    </row>
    <row r="1815" spans="1:5" x14ac:dyDescent="0.25">
      <c r="A1815" s="7">
        <v>1</v>
      </c>
      <c r="B1815" s="7">
        <v>2585</v>
      </c>
      <c r="C1815" s="7">
        <v>152</v>
      </c>
      <c r="D1815" s="8">
        <v>42138.18</v>
      </c>
      <c r="E1815" s="9">
        <v>1</v>
      </c>
    </row>
    <row r="1816" spans="1:5" x14ac:dyDescent="0.25">
      <c r="A1816" s="7">
        <v>1</v>
      </c>
      <c r="B1816" s="7">
        <v>2586</v>
      </c>
      <c r="C1816" s="7">
        <v>152</v>
      </c>
      <c r="D1816" s="8">
        <v>42138.18</v>
      </c>
      <c r="E1816" s="9">
        <v>1</v>
      </c>
    </row>
    <row r="1817" spans="1:5" x14ac:dyDescent="0.25">
      <c r="A1817" s="7">
        <v>1</v>
      </c>
      <c r="B1817" s="7">
        <v>2587</v>
      </c>
      <c r="C1817" s="7">
        <v>152</v>
      </c>
      <c r="D1817" s="8">
        <v>42138.18</v>
      </c>
      <c r="E1817" s="9">
        <v>1</v>
      </c>
    </row>
    <row r="1818" spans="1:5" x14ac:dyDescent="0.25">
      <c r="A1818" s="7">
        <v>1</v>
      </c>
      <c r="B1818" s="7">
        <v>2588</v>
      </c>
      <c r="C1818" s="7">
        <v>152</v>
      </c>
      <c r="D1818" s="8">
        <v>42138.18</v>
      </c>
      <c r="E1818" s="9">
        <v>1</v>
      </c>
    </row>
    <row r="1819" spans="1:5" x14ac:dyDescent="0.25">
      <c r="A1819" s="7">
        <v>1</v>
      </c>
      <c r="B1819" s="7">
        <v>2589</v>
      </c>
      <c r="C1819" s="7">
        <v>152</v>
      </c>
      <c r="D1819" s="8">
        <v>42138.18</v>
      </c>
      <c r="E1819" s="9">
        <v>1</v>
      </c>
    </row>
    <row r="1820" spans="1:5" x14ac:dyDescent="0.25">
      <c r="A1820" s="7">
        <v>1</v>
      </c>
      <c r="B1820" s="7">
        <v>2590</v>
      </c>
      <c r="C1820" s="7">
        <v>152</v>
      </c>
      <c r="D1820" s="8">
        <v>42138.18</v>
      </c>
      <c r="E1820" s="9">
        <v>1</v>
      </c>
    </row>
    <row r="1821" spans="1:5" x14ac:dyDescent="0.25">
      <c r="A1821" s="7">
        <v>1</v>
      </c>
      <c r="B1821" s="7">
        <v>2591</v>
      </c>
      <c r="C1821" s="7">
        <v>152</v>
      </c>
      <c r="D1821" s="8">
        <v>42138.18</v>
      </c>
      <c r="E1821" s="9">
        <v>1</v>
      </c>
    </row>
    <row r="1822" spans="1:5" x14ac:dyDescent="0.25">
      <c r="A1822" s="7">
        <v>1</v>
      </c>
      <c r="B1822" s="7">
        <v>2592</v>
      </c>
      <c r="C1822" s="7">
        <v>152</v>
      </c>
      <c r="D1822" s="8">
        <v>42138.18</v>
      </c>
      <c r="E1822" s="9">
        <v>1</v>
      </c>
    </row>
    <row r="1823" spans="1:5" x14ac:dyDescent="0.25">
      <c r="A1823" s="7">
        <v>1</v>
      </c>
      <c r="B1823" s="7">
        <v>2593</v>
      </c>
      <c r="C1823" s="7">
        <v>152</v>
      </c>
      <c r="D1823" s="8">
        <v>42138.18</v>
      </c>
      <c r="E1823" s="9">
        <v>1</v>
      </c>
    </row>
    <row r="1824" spans="1:5" x14ac:dyDescent="0.25">
      <c r="A1824" s="7">
        <v>1</v>
      </c>
      <c r="B1824" s="7">
        <v>2594</v>
      </c>
      <c r="C1824" s="7">
        <v>152</v>
      </c>
      <c r="D1824" s="8">
        <v>42138.18</v>
      </c>
      <c r="E1824" s="9">
        <v>1</v>
      </c>
    </row>
    <row r="1825" spans="1:5" x14ac:dyDescent="0.25">
      <c r="A1825" s="7">
        <v>1</v>
      </c>
      <c r="B1825" s="7">
        <v>2595</v>
      </c>
      <c r="C1825" s="7">
        <v>152</v>
      </c>
      <c r="D1825" s="8">
        <v>42138.18</v>
      </c>
      <c r="E1825" s="9">
        <v>1</v>
      </c>
    </row>
    <row r="1826" spans="1:5" x14ac:dyDescent="0.25">
      <c r="A1826" s="7">
        <v>1</v>
      </c>
      <c r="B1826" s="7">
        <v>2596</v>
      </c>
      <c r="C1826" s="7">
        <v>152</v>
      </c>
      <c r="D1826" s="8">
        <v>42138.18</v>
      </c>
      <c r="E1826" s="9">
        <v>1</v>
      </c>
    </row>
    <row r="1827" spans="1:5" x14ac:dyDescent="0.25">
      <c r="A1827" s="7">
        <v>1</v>
      </c>
      <c r="B1827" s="7">
        <v>2597</v>
      </c>
      <c r="C1827" s="7">
        <v>102</v>
      </c>
      <c r="D1827" s="8">
        <v>3157.1</v>
      </c>
      <c r="E1827" s="9">
        <v>1</v>
      </c>
    </row>
    <row r="1828" spans="1:5" x14ac:dyDescent="0.25">
      <c r="A1828" s="7">
        <v>1</v>
      </c>
      <c r="B1828" s="7">
        <v>2598</v>
      </c>
      <c r="C1828" s="7">
        <v>102</v>
      </c>
      <c r="D1828" s="8">
        <v>3157.1</v>
      </c>
      <c r="E1828" s="9">
        <v>1</v>
      </c>
    </row>
    <row r="1829" spans="1:5" x14ac:dyDescent="0.25">
      <c r="A1829" s="7">
        <v>1</v>
      </c>
      <c r="B1829" s="7">
        <v>2599</v>
      </c>
      <c r="C1829" s="7">
        <v>102</v>
      </c>
      <c r="D1829" s="8">
        <v>3157.1</v>
      </c>
      <c r="E1829" s="9">
        <v>1</v>
      </c>
    </row>
    <row r="1830" spans="1:5" x14ac:dyDescent="0.25">
      <c r="A1830" s="7">
        <v>1</v>
      </c>
      <c r="B1830" s="7">
        <v>2600</v>
      </c>
      <c r="C1830" s="7">
        <v>152</v>
      </c>
      <c r="D1830" s="8">
        <v>72695.14</v>
      </c>
      <c r="E1830" s="9">
        <v>1</v>
      </c>
    </row>
    <row r="1831" spans="1:5" x14ac:dyDescent="0.25">
      <c r="A1831" s="7">
        <v>1</v>
      </c>
      <c r="B1831" s="7">
        <v>2601</v>
      </c>
      <c r="C1831" s="7">
        <v>152</v>
      </c>
      <c r="D1831" s="8">
        <v>63958.75</v>
      </c>
      <c r="E1831" s="9">
        <v>1</v>
      </c>
    </row>
    <row r="1832" spans="1:5" x14ac:dyDescent="0.25">
      <c r="A1832" s="7">
        <v>1</v>
      </c>
      <c r="B1832" s="7">
        <v>2602</v>
      </c>
      <c r="C1832" s="7">
        <v>152</v>
      </c>
      <c r="D1832" s="8">
        <v>81479.34</v>
      </c>
      <c r="E1832" s="9">
        <v>1</v>
      </c>
    </row>
    <row r="1833" spans="1:5" x14ac:dyDescent="0.25">
      <c r="A1833" s="7">
        <v>1</v>
      </c>
      <c r="B1833" s="7">
        <v>2603</v>
      </c>
      <c r="C1833" s="7">
        <v>152</v>
      </c>
      <c r="D1833" s="8">
        <v>81479.34</v>
      </c>
      <c r="E1833" s="9">
        <v>1</v>
      </c>
    </row>
    <row r="1834" spans="1:5" x14ac:dyDescent="0.25">
      <c r="A1834" s="7">
        <v>1</v>
      </c>
      <c r="B1834" s="7">
        <v>2604</v>
      </c>
      <c r="C1834" s="7">
        <v>152</v>
      </c>
      <c r="D1834" s="8">
        <v>81479.34</v>
      </c>
      <c r="E1834" s="9">
        <v>1</v>
      </c>
    </row>
    <row r="1835" spans="1:5" x14ac:dyDescent="0.25">
      <c r="A1835" s="7">
        <v>1</v>
      </c>
      <c r="B1835" s="7">
        <v>2605</v>
      </c>
      <c r="C1835" s="7">
        <v>152</v>
      </c>
      <c r="D1835" s="8">
        <v>49368.52</v>
      </c>
      <c r="E1835" s="9">
        <v>1</v>
      </c>
    </row>
    <row r="1836" spans="1:5" x14ac:dyDescent="0.25">
      <c r="A1836" s="7">
        <v>1</v>
      </c>
      <c r="B1836" s="7">
        <v>2606</v>
      </c>
      <c r="C1836" s="7">
        <v>152</v>
      </c>
      <c r="D1836" s="8">
        <v>35358.38</v>
      </c>
      <c r="E1836" s="9">
        <v>1</v>
      </c>
    </row>
    <row r="1837" spans="1:5" x14ac:dyDescent="0.25">
      <c r="A1837" s="7">
        <v>1</v>
      </c>
      <c r="B1837" s="7">
        <v>2607</v>
      </c>
      <c r="C1837" s="7">
        <v>153</v>
      </c>
      <c r="D1837" s="8">
        <v>91461.62</v>
      </c>
      <c r="E1837" s="9">
        <v>1</v>
      </c>
    </row>
    <row r="1838" spans="1:5" x14ac:dyDescent="0.25">
      <c r="A1838" s="7">
        <v>1</v>
      </c>
      <c r="B1838" s="7">
        <v>2608</v>
      </c>
      <c r="C1838" s="7">
        <v>153</v>
      </c>
      <c r="D1838" s="8">
        <v>87312.3</v>
      </c>
      <c r="E1838" s="9">
        <v>1</v>
      </c>
    </row>
    <row r="1839" spans="1:5" x14ac:dyDescent="0.25">
      <c r="A1839" s="7">
        <v>1</v>
      </c>
      <c r="B1839" s="7">
        <v>2609</v>
      </c>
      <c r="C1839" s="7">
        <v>152</v>
      </c>
      <c r="D1839" s="8">
        <v>52316.41</v>
      </c>
      <c r="E1839" s="9">
        <v>1</v>
      </c>
    </row>
    <row r="1840" spans="1:5" x14ac:dyDescent="0.25">
      <c r="A1840" s="7">
        <v>1</v>
      </c>
      <c r="B1840" s="7">
        <v>2610</v>
      </c>
      <c r="C1840" s="7">
        <v>152</v>
      </c>
      <c r="D1840" s="8">
        <v>52823.77</v>
      </c>
      <c r="E1840" s="9">
        <v>1</v>
      </c>
    </row>
    <row r="1841" spans="1:5" x14ac:dyDescent="0.25">
      <c r="A1841" s="7">
        <v>1</v>
      </c>
      <c r="B1841" s="7">
        <v>2611</v>
      </c>
      <c r="C1841" s="7">
        <v>153</v>
      </c>
      <c r="D1841" s="8">
        <v>107264.89</v>
      </c>
      <c r="E1841" s="9">
        <v>1</v>
      </c>
    </row>
    <row r="1842" spans="1:5" x14ac:dyDescent="0.25">
      <c r="A1842" s="7">
        <v>1</v>
      </c>
      <c r="B1842" s="7">
        <v>2612</v>
      </c>
      <c r="C1842" s="7">
        <v>132</v>
      </c>
      <c r="D1842" s="8">
        <v>104.43</v>
      </c>
      <c r="E1842" s="9">
        <v>3</v>
      </c>
    </row>
    <row r="1843" spans="1:5" x14ac:dyDescent="0.25">
      <c r="A1843" s="7">
        <v>1</v>
      </c>
      <c r="B1843" s="7">
        <v>2613</v>
      </c>
      <c r="C1843" s="7">
        <v>152</v>
      </c>
      <c r="D1843" s="8">
        <v>52316.41</v>
      </c>
      <c r="E1843" s="9">
        <v>1</v>
      </c>
    </row>
    <row r="1844" spans="1:5" x14ac:dyDescent="0.25">
      <c r="A1844" s="7">
        <v>1</v>
      </c>
      <c r="B1844" s="7">
        <v>2614</v>
      </c>
      <c r="C1844" s="7">
        <v>146</v>
      </c>
      <c r="D1844" s="8">
        <v>26262.76</v>
      </c>
      <c r="E1844" s="9">
        <v>1</v>
      </c>
    </row>
    <row r="1845" spans="1:5" x14ac:dyDescent="0.25">
      <c r="A1845" s="7">
        <v>1</v>
      </c>
      <c r="B1845" s="7">
        <v>2615</v>
      </c>
      <c r="C1845" s="7">
        <v>152</v>
      </c>
      <c r="D1845" s="8">
        <v>52316.41</v>
      </c>
      <c r="E1845" s="9">
        <v>1</v>
      </c>
    </row>
    <row r="1846" spans="1:5" x14ac:dyDescent="0.25">
      <c r="A1846" s="7">
        <v>1</v>
      </c>
      <c r="B1846" s="7">
        <v>2616</v>
      </c>
      <c r="C1846" s="7">
        <v>152</v>
      </c>
      <c r="D1846" s="8">
        <v>150058.03</v>
      </c>
      <c r="E1846" s="9">
        <v>1</v>
      </c>
    </row>
    <row r="1847" spans="1:5" x14ac:dyDescent="0.25">
      <c r="A1847" s="7">
        <v>1</v>
      </c>
      <c r="B1847" s="7">
        <v>2617</v>
      </c>
      <c r="C1847" s="7">
        <v>152</v>
      </c>
      <c r="D1847" s="8">
        <v>81479.34</v>
      </c>
      <c r="E1847" s="9">
        <v>1</v>
      </c>
    </row>
    <row r="1848" spans="1:5" x14ac:dyDescent="0.25">
      <c r="A1848" s="7">
        <v>1</v>
      </c>
      <c r="B1848" s="7">
        <v>2618</v>
      </c>
      <c r="C1848" s="7">
        <v>152</v>
      </c>
      <c r="D1848" s="8">
        <v>52316.41</v>
      </c>
      <c r="E1848" s="9">
        <v>1</v>
      </c>
    </row>
    <row r="1849" spans="1:5" x14ac:dyDescent="0.25">
      <c r="A1849" s="7">
        <v>1</v>
      </c>
      <c r="B1849" s="7">
        <v>2619</v>
      </c>
      <c r="C1849" s="7">
        <v>152</v>
      </c>
      <c r="D1849" s="8">
        <v>59282.09</v>
      </c>
      <c r="E1849" s="9">
        <v>1</v>
      </c>
    </row>
    <row r="1850" spans="1:5" x14ac:dyDescent="0.25">
      <c r="A1850" s="7">
        <v>1</v>
      </c>
      <c r="B1850" s="7">
        <v>2620</v>
      </c>
      <c r="C1850" s="7">
        <v>152</v>
      </c>
      <c r="D1850" s="8">
        <v>52316.41</v>
      </c>
      <c r="E1850" s="9">
        <v>1</v>
      </c>
    </row>
    <row r="1851" spans="1:5" x14ac:dyDescent="0.25">
      <c r="A1851" s="7">
        <v>1</v>
      </c>
      <c r="B1851" s="7">
        <v>2622</v>
      </c>
      <c r="C1851" s="7">
        <v>163</v>
      </c>
      <c r="D1851" s="8">
        <v>14326.58</v>
      </c>
      <c r="E1851" s="9">
        <v>1</v>
      </c>
    </row>
    <row r="1852" spans="1:5" x14ac:dyDescent="0.25">
      <c r="A1852" s="7">
        <v>1</v>
      </c>
      <c r="B1852" s="7">
        <v>2623</v>
      </c>
      <c r="C1852" s="7">
        <v>152</v>
      </c>
      <c r="D1852" s="8">
        <v>59282.09</v>
      </c>
      <c r="E1852" s="9">
        <v>1</v>
      </c>
    </row>
    <row r="1853" spans="1:5" x14ac:dyDescent="0.25">
      <c r="A1853" s="7">
        <v>1</v>
      </c>
      <c r="B1853" s="7">
        <v>2624</v>
      </c>
      <c r="C1853" s="7">
        <v>152</v>
      </c>
      <c r="D1853" s="8">
        <v>59282.09</v>
      </c>
      <c r="E1853" s="9">
        <v>1</v>
      </c>
    </row>
    <row r="1854" spans="1:5" x14ac:dyDescent="0.25">
      <c r="A1854" s="7">
        <v>1</v>
      </c>
      <c r="B1854" s="7">
        <v>2625</v>
      </c>
      <c r="C1854" s="7">
        <v>163</v>
      </c>
      <c r="D1854" s="8">
        <v>17629.2</v>
      </c>
      <c r="E1854" s="9">
        <v>1</v>
      </c>
    </row>
    <row r="1855" spans="1:5" x14ac:dyDescent="0.25">
      <c r="A1855" s="7">
        <v>1</v>
      </c>
      <c r="B1855" s="7">
        <v>2626</v>
      </c>
      <c r="C1855" s="7">
        <v>152</v>
      </c>
      <c r="D1855" s="8">
        <v>59282.09</v>
      </c>
      <c r="E1855" s="9">
        <v>1</v>
      </c>
    </row>
    <row r="1856" spans="1:5" x14ac:dyDescent="0.25">
      <c r="A1856" s="7">
        <v>1</v>
      </c>
      <c r="B1856" s="7">
        <v>2628</v>
      </c>
      <c r="C1856" s="7">
        <v>152</v>
      </c>
      <c r="D1856" s="8">
        <v>59282.09</v>
      </c>
      <c r="E1856" s="9">
        <v>1</v>
      </c>
    </row>
    <row r="1857" spans="1:5" x14ac:dyDescent="0.25">
      <c r="A1857" s="7">
        <v>1</v>
      </c>
      <c r="B1857" s="7">
        <v>2629</v>
      </c>
      <c r="C1857" s="7">
        <v>152</v>
      </c>
      <c r="D1857" s="8">
        <v>59282.09</v>
      </c>
      <c r="E1857" s="9">
        <v>1</v>
      </c>
    </row>
    <row r="1858" spans="1:5" x14ac:dyDescent="0.25">
      <c r="A1858" s="7">
        <v>1</v>
      </c>
      <c r="B1858" s="7">
        <v>2630</v>
      </c>
      <c r="C1858" s="7">
        <v>152</v>
      </c>
      <c r="D1858" s="8">
        <v>59282.09</v>
      </c>
      <c r="E1858" s="9">
        <v>1</v>
      </c>
    </row>
    <row r="1859" spans="1:5" x14ac:dyDescent="0.25">
      <c r="A1859" s="7">
        <v>1</v>
      </c>
      <c r="B1859" s="7">
        <v>2631</v>
      </c>
      <c r="C1859" s="7">
        <v>102</v>
      </c>
      <c r="D1859" s="8">
        <v>3157.1</v>
      </c>
      <c r="E1859" s="9">
        <v>1</v>
      </c>
    </row>
    <row r="1860" spans="1:5" x14ac:dyDescent="0.25">
      <c r="A1860" s="7">
        <v>1</v>
      </c>
      <c r="B1860" s="7">
        <v>2632</v>
      </c>
      <c r="C1860" s="7">
        <v>152</v>
      </c>
      <c r="D1860" s="8">
        <v>59282.09</v>
      </c>
      <c r="E1860" s="9">
        <v>1</v>
      </c>
    </row>
    <row r="1861" spans="1:5" x14ac:dyDescent="0.25">
      <c r="A1861" s="7">
        <v>1</v>
      </c>
      <c r="B1861" s="7">
        <v>2633</v>
      </c>
      <c r="C1861" s="7">
        <v>152</v>
      </c>
      <c r="D1861" s="8">
        <v>59282.09</v>
      </c>
      <c r="E1861" s="9">
        <v>1</v>
      </c>
    </row>
    <row r="1862" spans="1:5" x14ac:dyDescent="0.25">
      <c r="A1862" s="7">
        <v>1</v>
      </c>
      <c r="B1862" s="7">
        <v>2634</v>
      </c>
      <c r="C1862" s="7">
        <v>152</v>
      </c>
      <c r="D1862" s="8">
        <v>59282.09</v>
      </c>
      <c r="E1862" s="9">
        <v>1</v>
      </c>
    </row>
    <row r="1863" spans="1:5" x14ac:dyDescent="0.25">
      <c r="A1863" s="7">
        <v>1</v>
      </c>
      <c r="B1863" s="7">
        <v>2636</v>
      </c>
      <c r="C1863" s="7">
        <v>152</v>
      </c>
      <c r="D1863" s="8">
        <v>59282.09</v>
      </c>
      <c r="E1863" s="9">
        <v>1</v>
      </c>
    </row>
    <row r="1864" spans="1:5" x14ac:dyDescent="0.25">
      <c r="A1864" s="7">
        <v>1</v>
      </c>
      <c r="B1864" s="7">
        <v>2637</v>
      </c>
      <c r="C1864" s="7">
        <v>152</v>
      </c>
      <c r="D1864" s="8">
        <v>52316.41</v>
      </c>
      <c r="E1864" s="9">
        <v>1</v>
      </c>
    </row>
    <row r="1865" spans="1:5" x14ac:dyDescent="0.25">
      <c r="A1865" s="7">
        <v>1</v>
      </c>
      <c r="B1865" s="7">
        <v>2638</v>
      </c>
      <c r="C1865" s="7">
        <v>152</v>
      </c>
      <c r="D1865" s="8">
        <v>59282.09</v>
      </c>
      <c r="E1865" s="9">
        <v>1</v>
      </c>
    </row>
    <row r="1866" spans="1:5" x14ac:dyDescent="0.25">
      <c r="A1866" s="7">
        <v>1</v>
      </c>
      <c r="B1866" s="7">
        <v>2639</v>
      </c>
      <c r="C1866" s="7">
        <v>106</v>
      </c>
      <c r="D1866" s="8">
        <v>58746.97</v>
      </c>
      <c r="E1866" s="9">
        <v>1</v>
      </c>
    </row>
    <row r="1867" spans="1:5" x14ac:dyDescent="0.25">
      <c r="A1867" s="7">
        <v>1</v>
      </c>
      <c r="B1867" s="7">
        <v>2640</v>
      </c>
      <c r="C1867" s="7">
        <v>106</v>
      </c>
      <c r="D1867" s="8">
        <v>201913.7</v>
      </c>
      <c r="E1867" s="9">
        <v>1</v>
      </c>
    </row>
    <row r="1868" spans="1:5" x14ac:dyDescent="0.25">
      <c r="A1868" s="7">
        <v>1</v>
      </c>
      <c r="B1868" s="7">
        <v>2641</v>
      </c>
      <c r="C1868" s="7">
        <v>152</v>
      </c>
      <c r="D1868" s="8">
        <v>59282.09</v>
      </c>
      <c r="E1868" s="9">
        <v>1</v>
      </c>
    </row>
    <row r="1869" spans="1:5" x14ac:dyDescent="0.25">
      <c r="A1869" s="7">
        <v>1</v>
      </c>
      <c r="B1869" s="7">
        <v>2642</v>
      </c>
      <c r="C1869" s="7">
        <v>163</v>
      </c>
      <c r="D1869" s="8">
        <v>11264.74</v>
      </c>
      <c r="E1869" s="9">
        <v>1</v>
      </c>
    </row>
    <row r="1870" spans="1:5" x14ac:dyDescent="0.25">
      <c r="A1870" s="7">
        <v>1</v>
      </c>
      <c r="B1870" s="7">
        <v>2643</v>
      </c>
      <c r="C1870" s="7">
        <v>152</v>
      </c>
      <c r="D1870" s="8">
        <v>59282.09</v>
      </c>
      <c r="E1870" s="9">
        <v>1</v>
      </c>
    </row>
    <row r="1871" spans="1:5" x14ac:dyDescent="0.25">
      <c r="A1871" s="7">
        <v>1</v>
      </c>
      <c r="B1871" s="7">
        <v>2644</v>
      </c>
      <c r="C1871" s="7">
        <v>112</v>
      </c>
      <c r="D1871" s="8">
        <v>38413.14</v>
      </c>
      <c r="E1871" s="9">
        <v>1</v>
      </c>
    </row>
    <row r="1872" spans="1:5" x14ac:dyDescent="0.25">
      <c r="A1872" s="7">
        <v>1</v>
      </c>
      <c r="B1872" s="7">
        <v>2645</v>
      </c>
      <c r="C1872" s="7">
        <v>112</v>
      </c>
      <c r="D1872" s="8">
        <v>142510.22</v>
      </c>
      <c r="E1872" s="9">
        <v>1</v>
      </c>
    </row>
    <row r="1873" spans="1:5" x14ac:dyDescent="0.25">
      <c r="A1873" s="7">
        <v>1</v>
      </c>
      <c r="B1873" s="7">
        <v>2646</v>
      </c>
      <c r="C1873" s="7">
        <v>112</v>
      </c>
      <c r="D1873" s="8">
        <v>2564.43</v>
      </c>
      <c r="E1873" s="9">
        <v>1</v>
      </c>
    </row>
    <row r="1874" spans="1:5" x14ac:dyDescent="0.25">
      <c r="A1874" s="7">
        <v>1</v>
      </c>
      <c r="B1874" s="7">
        <v>2647</v>
      </c>
      <c r="C1874" s="7">
        <v>152</v>
      </c>
      <c r="D1874" s="8">
        <v>52316.41</v>
      </c>
      <c r="E1874" s="9">
        <v>1</v>
      </c>
    </row>
    <row r="1875" spans="1:5" x14ac:dyDescent="0.25">
      <c r="A1875" s="7">
        <v>1</v>
      </c>
      <c r="B1875" s="7">
        <v>2649</v>
      </c>
      <c r="C1875" s="7">
        <v>111</v>
      </c>
      <c r="D1875" s="8">
        <v>277.49</v>
      </c>
      <c r="E1875" s="9">
        <v>2</v>
      </c>
    </row>
    <row r="1876" spans="1:5" x14ac:dyDescent="0.25">
      <c r="A1876" s="7">
        <v>1</v>
      </c>
      <c r="B1876" s="7">
        <v>2650</v>
      </c>
      <c r="C1876" s="7">
        <v>152</v>
      </c>
      <c r="D1876" s="8">
        <v>83632.95</v>
      </c>
      <c r="E1876" s="9">
        <v>1</v>
      </c>
    </row>
    <row r="1877" spans="1:5" x14ac:dyDescent="0.25">
      <c r="A1877" s="7">
        <v>1</v>
      </c>
      <c r="B1877" s="7">
        <v>2653</v>
      </c>
      <c r="C1877" s="7">
        <v>102</v>
      </c>
      <c r="D1877" s="8">
        <v>4314.13</v>
      </c>
      <c r="E1877" s="9">
        <v>1</v>
      </c>
    </row>
    <row r="1878" spans="1:5" x14ac:dyDescent="0.25">
      <c r="A1878" s="7">
        <v>1</v>
      </c>
      <c r="B1878" s="7">
        <v>2655</v>
      </c>
      <c r="C1878" s="7">
        <v>131</v>
      </c>
      <c r="D1878" s="8">
        <v>49.98</v>
      </c>
      <c r="E1878" s="9">
        <v>3</v>
      </c>
    </row>
    <row r="1879" spans="1:5" x14ac:dyDescent="0.25">
      <c r="A1879" s="7">
        <v>1</v>
      </c>
      <c r="B1879" s="7">
        <v>2656</v>
      </c>
      <c r="C1879" s="7">
        <v>152</v>
      </c>
      <c r="D1879" s="8">
        <v>81479.34</v>
      </c>
      <c r="E1879" s="9">
        <v>1</v>
      </c>
    </row>
    <row r="1880" spans="1:5" x14ac:dyDescent="0.25">
      <c r="A1880" s="7">
        <v>1</v>
      </c>
      <c r="B1880" s="7">
        <v>2658</v>
      </c>
      <c r="C1880" s="7">
        <v>110</v>
      </c>
      <c r="D1880" s="8">
        <v>266964.59</v>
      </c>
      <c r="E1880" s="9">
        <v>1</v>
      </c>
    </row>
    <row r="1881" spans="1:5" x14ac:dyDescent="0.25">
      <c r="A1881" s="7">
        <v>1</v>
      </c>
      <c r="B1881" s="7">
        <v>2666</v>
      </c>
      <c r="C1881" s="7">
        <v>110</v>
      </c>
      <c r="D1881" s="8">
        <v>318791.1</v>
      </c>
      <c r="E1881" s="9">
        <v>1</v>
      </c>
    </row>
    <row r="1882" spans="1:5" x14ac:dyDescent="0.25">
      <c r="A1882" s="7">
        <v>1</v>
      </c>
      <c r="B1882" s="7">
        <v>2670</v>
      </c>
      <c r="C1882" s="7">
        <v>110</v>
      </c>
      <c r="D1882" s="8">
        <v>224295.72</v>
      </c>
      <c r="E1882" s="9">
        <v>1</v>
      </c>
    </row>
    <row r="1883" spans="1:5" x14ac:dyDescent="0.25">
      <c r="A1883" s="7">
        <v>1</v>
      </c>
      <c r="B1883" s="7">
        <v>2672</v>
      </c>
      <c r="C1883" s="7">
        <v>110</v>
      </c>
      <c r="D1883" s="8">
        <v>310595.73</v>
      </c>
      <c r="E1883" s="9">
        <v>1</v>
      </c>
    </row>
    <row r="1884" spans="1:5" x14ac:dyDescent="0.25">
      <c r="A1884" s="7">
        <v>1</v>
      </c>
      <c r="B1884" s="7">
        <v>2688</v>
      </c>
      <c r="C1884" s="7">
        <v>131</v>
      </c>
      <c r="D1884" s="8">
        <v>148.58</v>
      </c>
      <c r="E1884" s="9">
        <v>3</v>
      </c>
    </row>
    <row r="1885" spans="1:5" x14ac:dyDescent="0.25">
      <c r="A1885" s="7">
        <v>1</v>
      </c>
      <c r="B1885" s="7">
        <v>2696</v>
      </c>
      <c r="C1885" s="7">
        <v>131</v>
      </c>
      <c r="D1885" s="8">
        <v>148.58</v>
      </c>
      <c r="E1885" s="9">
        <v>3</v>
      </c>
    </row>
    <row r="1886" spans="1:5" x14ac:dyDescent="0.25">
      <c r="A1886" s="7">
        <v>1</v>
      </c>
      <c r="B1886" s="7">
        <v>2698</v>
      </c>
      <c r="C1886" s="7">
        <v>131</v>
      </c>
      <c r="D1886" s="8">
        <v>160.1</v>
      </c>
      <c r="E1886" s="9">
        <v>3</v>
      </c>
    </row>
    <row r="1887" spans="1:5" x14ac:dyDescent="0.25">
      <c r="A1887" s="7">
        <v>1</v>
      </c>
      <c r="B1887" s="7">
        <v>2700</v>
      </c>
      <c r="C1887" s="7">
        <v>103</v>
      </c>
      <c r="D1887" s="8">
        <v>21582.37</v>
      </c>
      <c r="E1887" s="9">
        <v>1</v>
      </c>
    </row>
    <row r="1888" spans="1:5" x14ac:dyDescent="0.25">
      <c r="A1888" s="7">
        <v>1</v>
      </c>
      <c r="B1888" s="7">
        <v>2703</v>
      </c>
      <c r="C1888" s="7">
        <v>125</v>
      </c>
      <c r="D1888" s="8">
        <v>1149.66</v>
      </c>
      <c r="E1888" s="9">
        <v>1</v>
      </c>
    </row>
    <row r="1889" spans="1:5" x14ac:dyDescent="0.25">
      <c r="A1889" s="7">
        <v>1</v>
      </c>
      <c r="B1889" s="7">
        <v>2704</v>
      </c>
      <c r="C1889" s="7">
        <v>125</v>
      </c>
      <c r="D1889" s="8">
        <v>1251.31</v>
      </c>
      <c r="E1889" s="9">
        <v>1</v>
      </c>
    </row>
    <row r="1890" spans="1:5" x14ac:dyDescent="0.25">
      <c r="A1890" s="7">
        <v>1</v>
      </c>
      <c r="B1890" s="7">
        <v>2705</v>
      </c>
      <c r="C1890" s="7">
        <v>148</v>
      </c>
      <c r="D1890" s="8">
        <v>5732.68</v>
      </c>
      <c r="E1890" s="9">
        <v>1</v>
      </c>
    </row>
    <row r="1891" spans="1:5" x14ac:dyDescent="0.25">
      <c r="A1891" s="7">
        <v>1</v>
      </c>
      <c r="B1891" s="7">
        <v>2706</v>
      </c>
      <c r="C1891" s="7">
        <v>148</v>
      </c>
      <c r="D1891" s="8">
        <v>5851.13</v>
      </c>
      <c r="E1891" s="9">
        <v>1</v>
      </c>
    </row>
    <row r="1892" spans="1:5" x14ac:dyDescent="0.25">
      <c r="A1892" s="7">
        <v>1</v>
      </c>
      <c r="B1892" s="7">
        <v>2707</v>
      </c>
      <c r="C1892" s="7">
        <v>148</v>
      </c>
      <c r="D1892" s="8">
        <v>5985.76</v>
      </c>
      <c r="E1892" s="9">
        <v>1</v>
      </c>
    </row>
    <row r="1893" spans="1:5" x14ac:dyDescent="0.25">
      <c r="A1893" s="7">
        <v>1</v>
      </c>
      <c r="B1893" s="7">
        <v>2708</v>
      </c>
      <c r="C1893" s="7">
        <v>148</v>
      </c>
      <c r="D1893" s="8">
        <v>6108.77</v>
      </c>
      <c r="E1893" s="9">
        <v>1</v>
      </c>
    </row>
    <row r="1894" spans="1:5" x14ac:dyDescent="0.25">
      <c r="A1894" s="7">
        <v>1</v>
      </c>
      <c r="B1894" s="7">
        <v>2709</v>
      </c>
      <c r="C1894" s="7">
        <v>148</v>
      </c>
      <c r="D1894" s="8">
        <v>6211.25</v>
      </c>
      <c r="E1894" s="9">
        <v>1</v>
      </c>
    </row>
    <row r="1895" spans="1:5" x14ac:dyDescent="0.25">
      <c r="A1895" s="7">
        <v>1</v>
      </c>
      <c r="B1895" s="7">
        <v>2710</v>
      </c>
      <c r="C1895" s="7">
        <v>148</v>
      </c>
      <c r="D1895" s="8">
        <v>6375.22</v>
      </c>
      <c r="E1895" s="9">
        <v>1</v>
      </c>
    </row>
    <row r="1896" spans="1:5" x14ac:dyDescent="0.25">
      <c r="A1896" s="7">
        <v>1</v>
      </c>
      <c r="B1896" s="7">
        <v>2711</v>
      </c>
      <c r="C1896" s="7">
        <v>148</v>
      </c>
      <c r="D1896" s="8">
        <v>6514.45</v>
      </c>
      <c r="E1896" s="9">
        <v>1</v>
      </c>
    </row>
    <row r="1897" spans="1:5" x14ac:dyDescent="0.25">
      <c r="A1897" s="7">
        <v>1</v>
      </c>
      <c r="B1897" s="7">
        <v>2713</v>
      </c>
      <c r="C1897" s="7">
        <v>126</v>
      </c>
      <c r="D1897" s="8">
        <v>785.48</v>
      </c>
      <c r="E1897" s="9">
        <v>1</v>
      </c>
    </row>
    <row r="1898" spans="1:5" x14ac:dyDescent="0.25">
      <c r="A1898" s="7">
        <v>1</v>
      </c>
      <c r="B1898" s="7">
        <v>2714</v>
      </c>
      <c r="C1898" s="7">
        <v>126</v>
      </c>
      <c r="D1898" s="8">
        <v>1077.64</v>
      </c>
      <c r="E1898" s="9">
        <v>1</v>
      </c>
    </row>
    <row r="1899" spans="1:5" x14ac:dyDescent="0.25">
      <c r="A1899" s="7">
        <v>1</v>
      </c>
      <c r="B1899" s="7">
        <v>2715</v>
      </c>
      <c r="C1899" s="7">
        <v>126</v>
      </c>
      <c r="D1899" s="8">
        <v>1043.01</v>
      </c>
      <c r="E1899" s="9">
        <v>1</v>
      </c>
    </row>
    <row r="1900" spans="1:5" x14ac:dyDescent="0.25">
      <c r="A1900" s="7">
        <v>1</v>
      </c>
      <c r="B1900" s="7">
        <v>2725</v>
      </c>
      <c r="C1900" s="7">
        <v>150</v>
      </c>
      <c r="D1900" s="8">
        <v>228815.73</v>
      </c>
      <c r="E1900" s="9">
        <v>1</v>
      </c>
    </row>
    <row r="1901" spans="1:5" x14ac:dyDescent="0.25">
      <c r="A1901" s="7">
        <v>1</v>
      </c>
      <c r="B1901" s="7">
        <v>2731</v>
      </c>
      <c r="C1901" s="7">
        <v>152</v>
      </c>
      <c r="D1901" s="8">
        <v>14018.42</v>
      </c>
      <c r="E1901" s="9">
        <v>1</v>
      </c>
    </row>
    <row r="1902" spans="1:5" x14ac:dyDescent="0.25">
      <c r="A1902" s="7">
        <v>1</v>
      </c>
      <c r="B1902" s="7">
        <v>2732</v>
      </c>
      <c r="C1902" s="7">
        <v>152</v>
      </c>
      <c r="D1902" s="8">
        <v>14018.42</v>
      </c>
      <c r="E1902" s="9">
        <v>1</v>
      </c>
    </row>
    <row r="1903" spans="1:5" x14ac:dyDescent="0.25">
      <c r="A1903" s="7">
        <v>1</v>
      </c>
      <c r="B1903" s="7">
        <v>2733</v>
      </c>
      <c r="C1903" s="7">
        <v>152</v>
      </c>
      <c r="D1903" s="8">
        <v>14018.42</v>
      </c>
      <c r="E1903" s="9">
        <v>1</v>
      </c>
    </row>
    <row r="1904" spans="1:5" x14ac:dyDescent="0.25">
      <c r="A1904" s="7">
        <v>1</v>
      </c>
      <c r="B1904" s="7">
        <v>2734</v>
      </c>
      <c r="C1904" s="7">
        <v>152</v>
      </c>
      <c r="D1904" s="8">
        <v>14018.42</v>
      </c>
      <c r="E1904" s="9">
        <v>1</v>
      </c>
    </row>
    <row r="1905" spans="1:5" x14ac:dyDescent="0.25">
      <c r="A1905" s="7">
        <v>1</v>
      </c>
      <c r="B1905" s="7">
        <v>2735</v>
      </c>
      <c r="C1905" s="7">
        <v>152</v>
      </c>
      <c r="D1905" s="8">
        <v>14018.42</v>
      </c>
      <c r="E1905" s="9">
        <v>1</v>
      </c>
    </row>
    <row r="1906" spans="1:5" x14ac:dyDescent="0.25">
      <c r="A1906" s="7">
        <v>1</v>
      </c>
      <c r="B1906" s="7">
        <v>2736</v>
      </c>
      <c r="C1906" s="7">
        <v>152</v>
      </c>
      <c r="D1906" s="8">
        <v>14018.42</v>
      </c>
      <c r="E1906" s="9">
        <v>1</v>
      </c>
    </row>
    <row r="1907" spans="1:5" x14ac:dyDescent="0.25">
      <c r="A1907" s="7">
        <v>1</v>
      </c>
      <c r="B1907" s="7">
        <v>2740</v>
      </c>
      <c r="C1907" s="7">
        <v>152</v>
      </c>
      <c r="D1907" s="8">
        <v>10259.18</v>
      </c>
      <c r="E1907" s="9">
        <v>1</v>
      </c>
    </row>
    <row r="1908" spans="1:5" x14ac:dyDescent="0.25">
      <c r="A1908" s="7">
        <v>1</v>
      </c>
      <c r="B1908" s="7">
        <v>2741</v>
      </c>
      <c r="C1908" s="7">
        <v>152</v>
      </c>
      <c r="D1908" s="8">
        <v>11457.38</v>
      </c>
      <c r="E1908" s="9">
        <v>1</v>
      </c>
    </row>
    <row r="1909" spans="1:5" x14ac:dyDescent="0.25">
      <c r="A1909" s="7">
        <v>1</v>
      </c>
      <c r="B1909" s="7">
        <v>2742</v>
      </c>
      <c r="C1909" s="7">
        <v>148</v>
      </c>
      <c r="D1909" s="8">
        <v>5750.96</v>
      </c>
      <c r="E1909" s="9">
        <v>1</v>
      </c>
    </row>
    <row r="1910" spans="1:5" x14ac:dyDescent="0.25">
      <c r="A1910" s="7">
        <v>1</v>
      </c>
      <c r="B1910" s="7">
        <v>2743</v>
      </c>
      <c r="C1910" s="7">
        <v>148</v>
      </c>
      <c r="D1910" s="8">
        <v>5948.48</v>
      </c>
      <c r="E1910" s="9">
        <v>1</v>
      </c>
    </row>
    <row r="1911" spans="1:5" x14ac:dyDescent="0.25">
      <c r="A1911" s="7">
        <v>1</v>
      </c>
      <c r="B1911" s="7">
        <v>2744</v>
      </c>
      <c r="C1911" s="7">
        <v>148</v>
      </c>
      <c r="D1911" s="8">
        <v>6102.12</v>
      </c>
      <c r="E1911" s="9">
        <v>1</v>
      </c>
    </row>
    <row r="1912" spans="1:5" x14ac:dyDescent="0.25">
      <c r="A1912" s="7">
        <v>1</v>
      </c>
      <c r="B1912" s="7">
        <v>2745</v>
      </c>
      <c r="C1912" s="7">
        <v>152</v>
      </c>
      <c r="D1912" s="8">
        <v>11457.38</v>
      </c>
      <c r="E1912" s="9">
        <v>1</v>
      </c>
    </row>
    <row r="1913" spans="1:5" x14ac:dyDescent="0.25">
      <c r="A1913" s="7">
        <v>1</v>
      </c>
      <c r="B1913" s="7">
        <v>2746</v>
      </c>
      <c r="C1913" s="7">
        <v>152</v>
      </c>
      <c r="D1913" s="8">
        <v>11457.38</v>
      </c>
      <c r="E1913" s="9">
        <v>1</v>
      </c>
    </row>
    <row r="1914" spans="1:5" x14ac:dyDescent="0.25">
      <c r="A1914" s="7">
        <v>1</v>
      </c>
      <c r="B1914" s="7">
        <v>2747</v>
      </c>
      <c r="C1914" s="7">
        <v>152</v>
      </c>
      <c r="D1914" s="8">
        <v>10259.18</v>
      </c>
      <c r="E1914" s="9">
        <v>1</v>
      </c>
    </row>
    <row r="1915" spans="1:5" x14ac:dyDescent="0.25">
      <c r="A1915" s="7">
        <v>1</v>
      </c>
      <c r="B1915" s="7">
        <v>2748</v>
      </c>
      <c r="C1915" s="7">
        <v>107</v>
      </c>
      <c r="D1915" s="8">
        <v>68504.14</v>
      </c>
      <c r="E1915" s="9">
        <v>1</v>
      </c>
    </row>
    <row r="1916" spans="1:5" x14ac:dyDescent="0.25">
      <c r="A1916" s="7">
        <v>1</v>
      </c>
      <c r="B1916" s="7">
        <v>2749</v>
      </c>
      <c r="C1916" s="7">
        <v>107</v>
      </c>
      <c r="D1916" s="8">
        <v>235446.4</v>
      </c>
      <c r="E1916" s="9">
        <v>1</v>
      </c>
    </row>
    <row r="1917" spans="1:5" x14ac:dyDescent="0.25">
      <c r="A1917" s="7">
        <v>1</v>
      </c>
      <c r="B1917" s="7">
        <v>2750</v>
      </c>
      <c r="C1917" s="7">
        <v>152</v>
      </c>
      <c r="D1917" s="8">
        <v>34668.05</v>
      </c>
      <c r="E1917" s="9">
        <v>1</v>
      </c>
    </row>
    <row r="1918" spans="1:5" x14ac:dyDescent="0.25">
      <c r="A1918" s="7">
        <v>1</v>
      </c>
      <c r="B1918" s="7">
        <v>2751</v>
      </c>
      <c r="C1918" s="7">
        <v>152</v>
      </c>
      <c r="D1918" s="8">
        <v>38740.2</v>
      </c>
      <c r="E1918" s="9">
        <v>1</v>
      </c>
    </row>
    <row r="1919" spans="1:5" x14ac:dyDescent="0.25">
      <c r="A1919" s="7">
        <v>1</v>
      </c>
      <c r="B1919" s="7">
        <v>2753</v>
      </c>
      <c r="C1919" s="7">
        <v>152</v>
      </c>
      <c r="D1919" s="8">
        <v>56379.93</v>
      </c>
      <c r="E1919" s="9">
        <v>1</v>
      </c>
    </row>
    <row r="1920" spans="1:5" x14ac:dyDescent="0.25">
      <c r="A1920" s="7">
        <v>1</v>
      </c>
      <c r="B1920" s="7">
        <v>2755</v>
      </c>
      <c r="C1920" s="7">
        <v>152</v>
      </c>
      <c r="D1920" s="8">
        <v>38740.2</v>
      </c>
      <c r="E1920" s="9">
        <v>1</v>
      </c>
    </row>
    <row r="1921" spans="1:5" x14ac:dyDescent="0.25">
      <c r="A1921" s="7">
        <v>1</v>
      </c>
      <c r="B1921" s="7">
        <v>2756</v>
      </c>
      <c r="C1921" s="7">
        <v>152</v>
      </c>
      <c r="D1921" s="8">
        <v>38740.2</v>
      </c>
      <c r="E1921" s="9">
        <v>1</v>
      </c>
    </row>
    <row r="1922" spans="1:5" x14ac:dyDescent="0.25">
      <c r="A1922" s="7">
        <v>1</v>
      </c>
      <c r="B1922" s="7">
        <v>2757</v>
      </c>
      <c r="C1922" s="7">
        <v>152</v>
      </c>
      <c r="D1922" s="8">
        <v>34668.05</v>
      </c>
      <c r="E1922" s="9">
        <v>1</v>
      </c>
    </row>
    <row r="1923" spans="1:5" x14ac:dyDescent="0.25">
      <c r="A1923" s="7">
        <v>1</v>
      </c>
      <c r="B1923" s="7">
        <v>2758</v>
      </c>
      <c r="C1923" s="7">
        <v>153</v>
      </c>
      <c r="D1923" s="8">
        <v>25419.86</v>
      </c>
      <c r="E1923" s="9">
        <v>1</v>
      </c>
    </row>
    <row r="1924" spans="1:5" x14ac:dyDescent="0.25">
      <c r="A1924" s="7">
        <v>1</v>
      </c>
      <c r="B1924" s="7">
        <v>2759</v>
      </c>
      <c r="C1924" s="7">
        <v>153</v>
      </c>
      <c r="D1924" s="8">
        <v>104961.47</v>
      </c>
      <c r="E1924" s="9">
        <v>1</v>
      </c>
    </row>
    <row r="1925" spans="1:5" x14ac:dyDescent="0.25">
      <c r="A1925" s="7">
        <v>1</v>
      </c>
      <c r="B1925" s="7">
        <v>2760</v>
      </c>
      <c r="C1925" s="7">
        <v>153</v>
      </c>
      <c r="D1925" s="8">
        <v>350499.64</v>
      </c>
      <c r="E1925" s="9">
        <v>1</v>
      </c>
    </row>
    <row r="1926" spans="1:5" x14ac:dyDescent="0.25">
      <c r="A1926" s="7">
        <v>1</v>
      </c>
      <c r="B1926" s="7">
        <v>2761</v>
      </c>
      <c r="C1926" s="7">
        <v>152</v>
      </c>
      <c r="D1926" s="8">
        <v>45067.78</v>
      </c>
      <c r="E1926" s="9">
        <v>1</v>
      </c>
    </row>
    <row r="1927" spans="1:5" x14ac:dyDescent="0.25">
      <c r="A1927" s="7">
        <v>1</v>
      </c>
      <c r="B1927" s="7">
        <v>2762</v>
      </c>
      <c r="C1927" s="7">
        <v>152</v>
      </c>
      <c r="D1927" s="8">
        <v>45067.78</v>
      </c>
      <c r="E1927" s="9">
        <v>1</v>
      </c>
    </row>
    <row r="1928" spans="1:5" x14ac:dyDescent="0.25">
      <c r="A1928" s="7">
        <v>1</v>
      </c>
      <c r="B1928" s="7">
        <v>2763</v>
      </c>
      <c r="C1928" s="7">
        <v>152</v>
      </c>
      <c r="D1928" s="8">
        <v>45067.78</v>
      </c>
      <c r="E1928" s="9">
        <v>1</v>
      </c>
    </row>
    <row r="1929" spans="1:5" x14ac:dyDescent="0.25">
      <c r="A1929" s="7">
        <v>1</v>
      </c>
      <c r="B1929" s="7">
        <v>2764</v>
      </c>
      <c r="C1929" s="7">
        <v>152</v>
      </c>
      <c r="D1929" s="8">
        <v>45067.78</v>
      </c>
      <c r="E1929" s="9">
        <v>1</v>
      </c>
    </row>
    <row r="1930" spans="1:5" x14ac:dyDescent="0.25">
      <c r="A1930" s="7">
        <v>1</v>
      </c>
      <c r="B1930" s="7">
        <v>2765</v>
      </c>
      <c r="C1930" s="7">
        <v>152</v>
      </c>
      <c r="D1930" s="8">
        <v>45067.78</v>
      </c>
      <c r="E1930" s="9">
        <v>1</v>
      </c>
    </row>
    <row r="1931" spans="1:5" x14ac:dyDescent="0.25">
      <c r="A1931" s="7">
        <v>1</v>
      </c>
      <c r="B1931" s="7">
        <v>2766</v>
      </c>
      <c r="C1931" s="7">
        <v>152</v>
      </c>
      <c r="D1931" s="8">
        <v>45067.78</v>
      </c>
      <c r="E1931" s="9">
        <v>1</v>
      </c>
    </row>
    <row r="1932" spans="1:5" x14ac:dyDescent="0.25">
      <c r="A1932" s="7">
        <v>1</v>
      </c>
      <c r="B1932" s="7">
        <v>2770</v>
      </c>
      <c r="C1932" s="7">
        <v>152</v>
      </c>
      <c r="D1932" s="8">
        <v>75146.56</v>
      </c>
      <c r="E1932" s="9">
        <v>1</v>
      </c>
    </row>
    <row r="1933" spans="1:5" x14ac:dyDescent="0.25">
      <c r="A1933" s="7">
        <v>1</v>
      </c>
      <c r="B1933" s="7">
        <v>2771</v>
      </c>
      <c r="C1933" s="7">
        <v>152</v>
      </c>
      <c r="D1933" s="8">
        <v>86632.29</v>
      </c>
      <c r="E1933" s="9">
        <v>1</v>
      </c>
    </row>
    <row r="1934" spans="1:5" x14ac:dyDescent="0.25">
      <c r="A1934" s="7">
        <v>1</v>
      </c>
      <c r="B1934" s="7">
        <v>2772</v>
      </c>
      <c r="C1934" s="7">
        <v>102</v>
      </c>
      <c r="D1934" s="8">
        <v>18930.71</v>
      </c>
      <c r="E1934" s="9">
        <v>1</v>
      </c>
    </row>
    <row r="1935" spans="1:5" x14ac:dyDescent="0.25">
      <c r="A1935" s="7">
        <v>1</v>
      </c>
      <c r="B1935" s="7">
        <v>2773</v>
      </c>
      <c r="C1935" s="7">
        <v>102</v>
      </c>
      <c r="D1935" s="8">
        <v>19386.27</v>
      </c>
      <c r="E1935" s="9">
        <v>1</v>
      </c>
    </row>
    <row r="1936" spans="1:5" x14ac:dyDescent="0.25">
      <c r="A1936" s="7">
        <v>1</v>
      </c>
      <c r="B1936" s="7">
        <v>2774</v>
      </c>
      <c r="C1936" s="7">
        <v>133</v>
      </c>
      <c r="D1936" s="8">
        <v>376.09</v>
      </c>
      <c r="E1936" s="9">
        <v>3</v>
      </c>
    </row>
    <row r="1937" spans="1:5" x14ac:dyDescent="0.25">
      <c r="A1937" s="7">
        <v>1</v>
      </c>
      <c r="B1937" s="7">
        <v>2775</v>
      </c>
      <c r="C1937" s="7">
        <v>152</v>
      </c>
      <c r="D1937" s="8">
        <v>86632.29</v>
      </c>
      <c r="E1937" s="9">
        <v>1</v>
      </c>
    </row>
    <row r="1938" spans="1:5" x14ac:dyDescent="0.25">
      <c r="A1938" s="7">
        <v>1</v>
      </c>
      <c r="B1938" s="7">
        <v>2776</v>
      </c>
      <c r="C1938" s="7">
        <v>152</v>
      </c>
      <c r="D1938" s="8">
        <v>86632.29</v>
      </c>
      <c r="E1938" s="9">
        <v>1</v>
      </c>
    </row>
    <row r="1939" spans="1:5" x14ac:dyDescent="0.25">
      <c r="A1939" s="7">
        <v>1</v>
      </c>
      <c r="B1939" s="7">
        <v>2777</v>
      </c>
      <c r="C1939" s="7">
        <v>152</v>
      </c>
      <c r="D1939" s="8">
        <v>75146.56</v>
      </c>
      <c r="E1939" s="9">
        <v>1</v>
      </c>
    </row>
    <row r="1940" spans="1:5" x14ac:dyDescent="0.25">
      <c r="A1940" s="7">
        <v>1</v>
      </c>
      <c r="B1940" s="7">
        <v>2781</v>
      </c>
      <c r="C1940" s="7">
        <v>152</v>
      </c>
      <c r="D1940" s="8">
        <v>182780.03</v>
      </c>
      <c r="E1940" s="9">
        <v>1</v>
      </c>
    </row>
    <row r="1941" spans="1:5" x14ac:dyDescent="0.25">
      <c r="A1941" s="7">
        <v>1</v>
      </c>
      <c r="B1941" s="7">
        <v>2782</v>
      </c>
      <c r="C1941" s="7">
        <v>152</v>
      </c>
      <c r="D1941" s="8">
        <v>182780.03</v>
      </c>
      <c r="E1941" s="9">
        <v>1</v>
      </c>
    </row>
    <row r="1942" spans="1:5" x14ac:dyDescent="0.25">
      <c r="A1942" s="7">
        <v>1</v>
      </c>
      <c r="B1942" s="7">
        <v>2783</v>
      </c>
      <c r="C1942" s="7">
        <v>152</v>
      </c>
      <c r="D1942" s="8">
        <v>182780.03</v>
      </c>
      <c r="E1942" s="9">
        <v>1</v>
      </c>
    </row>
    <row r="1943" spans="1:5" x14ac:dyDescent="0.25">
      <c r="A1943" s="7">
        <v>1</v>
      </c>
      <c r="B1943" s="7">
        <v>2784</v>
      </c>
      <c r="C1943" s="7">
        <v>152</v>
      </c>
      <c r="D1943" s="8">
        <v>182780.03</v>
      </c>
      <c r="E1943" s="9">
        <v>1</v>
      </c>
    </row>
    <row r="1944" spans="1:5" x14ac:dyDescent="0.25">
      <c r="A1944" s="7">
        <v>1</v>
      </c>
      <c r="B1944" s="7">
        <v>2785</v>
      </c>
      <c r="C1944" s="7">
        <v>152</v>
      </c>
      <c r="D1944" s="8">
        <v>182780.03</v>
      </c>
      <c r="E1944" s="9">
        <v>1</v>
      </c>
    </row>
    <row r="1945" spans="1:5" x14ac:dyDescent="0.25">
      <c r="A1945" s="7">
        <v>1</v>
      </c>
      <c r="B1945" s="7">
        <v>2786</v>
      </c>
      <c r="C1945" s="7">
        <v>152</v>
      </c>
      <c r="D1945" s="8">
        <v>182780.03</v>
      </c>
      <c r="E1945" s="9">
        <v>1</v>
      </c>
    </row>
    <row r="1946" spans="1:5" x14ac:dyDescent="0.25">
      <c r="A1946" s="7">
        <v>1</v>
      </c>
      <c r="B1946" s="7">
        <v>2790</v>
      </c>
      <c r="C1946" s="7">
        <v>152</v>
      </c>
      <c r="D1946" s="8">
        <v>134977.25</v>
      </c>
      <c r="E1946" s="9">
        <v>1</v>
      </c>
    </row>
    <row r="1947" spans="1:5" x14ac:dyDescent="0.25">
      <c r="A1947" s="7">
        <v>1</v>
      </c>
      <c r="B1947" s="7">
        <v>2791</v>
      </c>
      <c r="C1947" s="7">
        <v>152</v>
      </c>
      <c r="D1947" s="8">
        <v>155626.44</v>
      </c>
      <c r="E1947" s="9">
        <v>1</v>
      </c>
    </row>
    <row r="1948" spans="1:5" x14ac:dyDescent="0.25">
      <c r="A1948" s="7">
        <v>1</v>
      </c>
      <c r="B1948" s="7">
        <v>2792</v>
      </c>
      <c r="C1948" s="7">
        <v>152</v>
      </c>
      <c r="D1948" s="8">
        <v>220589.59</v>
      </c>
      <c r="E1948" s="9">
        <v>1</v>
      </c>
    </row>
    <row r="1949" spans="1:5" x14ac:dyDescent="0.25">
      <c r="A1949" s="7">
        <v>1</v>
      </c>
      <c r="B1949" s="7">
        <v>2793</v>
      </c>
      <c r="C1949" s="7">
        <v>152</v>
      </c>
      <c r="D1949" s="8">
        <v>220589.59</v>
      </c>
      <c r="E1949" s="9">
        <v>1</v>
      </c>
    </row>
    <row r="1950" spans="1:5" x14ac:dyDescent="0.25">
      <c r="A1950" s="7">
        <v>1</v>
      </c>
      <c r="B1950" s="7">
        <v>2794</v>
      </c>
      <c r="C1950" s="7">
        <v>152</v>
      </c>
      <c r="D1950" s="8">
        <v>220589.59</v>
      </c>
      <c r="E1950" s="9">
        <v>1</v>
      </c>
    </row>
    <row r="1951" spans="1:5" x14ac:dyDescent="0.25">
      <c r="A1951" s="7">
        <v>1</v>
      </c>
      <c r="B1951" s="7">
        <v>2795</v>
      </c>
      <c r="C1951" s="7">
        <v>152</v>
      </c>
      <c r="D1951" s="8">
        <v>155626.44</v>
      </c>
      <c r="E1951" s="9">
        <v>1</v>
      </c>
    </row>
    <row r="1952" spans="1:5" x14ac:dyDescent="0.25">
      <c r="A1952" s="7">
        <v>1</v>
      </c>
      <c r="B1952" s="7">
        <v>2796</v>
      </c>
      <c r="C1952" s="7">
        <v>152</v>
      </c>
      <c r="D1952" s="8">
        <v>155626.44</v>
      </c>
      <c r="E1952" s="9">
        <v>1</v>
      </c>
    </row>
    <row r="1953" spans="1:5" x14ac:dyDescent="0.25">
      <c r="A1953" s="7">
        <v>1</v>
      </c>
      <c r="B1953" s="7">
        <v>2797</v>
      </c>
      <c r="C1953" s="7">
        <v>152</v>
      </c>
      <c r="D1953" s="8">
        <v>134977.25</v>
      </c>
      <c r="E1953" s="9">
        <v>1</v>
      </c>
    </row>
    <row r="1954" spans="1:5" x14ac:dyDescent="0.25">
      <c r="A1954" s="7">
        <v>1</v>
      </c>
      <c r="B1954" s="7">
        <v>2798</v>
      </c>
      <c r="C1954" s="7">
        <v>133</v>
      </c>
      <c r="D1954" s="8">
        <v>36.81</v>
      </c>
      <c r="E1954" s="9">
        <v>3</v>
      </c>
    </row>
    <row r="1955" spans="1:5" x14ac:dyDescent="0.25">
      <c r="A1955" s="7">
        <v>1</v>
      </c>
      <c r="B1955" s="7">
        <v>2799</v>
      </c>
      <c r="C1955" s="7">
        <v>133</v>
      </c>
      <c r="D1955" s="8">
        <v>133.26</v>
      </c>
      <c r="E1955" s="9">
        <v>3</v>
      </c>
    </row>
    <row r="1956" spans="1:5" x14ac:dyDescent="0.25">
      <c r="A1956" s="7">
        <v>1</v>
      </c>
      <c r="B1956" s="7">
        <v>2801</v>
      </c>
      <c r="C1956" s="7">
        <v>152</v>
      </c>
      <c r="D1956" s="8">
        <v>259366.07</v>
      </c>
      <c r="E1956" s="9">
        <v>1</v>
      </c>
    </row>
    <row r="1957" spans="1:5" x14ac:dyDescent="0.25">
      <c r="A1957" s="7">
        <v>1</v>
      </c>
      <c r="B1957" s="7">
        <v>2802</v>
      </c>
      <c r="C1957" s="7">
        <v>152</v>
      </c>
      <c r="D1957" s="8">
        <v>330613.73</v>
      </c>
      <c r="E1957" s="9">
        <v>1</v>
      </c>
    </row>
    <row r="1958" spans="1:5" x14ac:dyDescent="0.25">
      <c r="A1958" s="7">
        <v>1</v>
      </c>
      <c r="B1958" s="7">
        <v>2803</v>
      </c>
      <c r="C1958" s="7">
        <v>152</v>
      </c>
      <c r="D1958" s="8">
        <v>330613.73</v>
      </c>
      <c r="E1958" s="9">
        <v>1</v>
      </c>
    </row>
    <row r="1959" spans="1:5" x14ac:dyDescent="0.25">
      <c r="A1959" s="7">
        <v>1</v>
      </c>
      <c r="B1959" s="7">
        <v>2804</v>
      </c>
      <c r="C1959" s="7">
        <v>152</v>
      </c>
      <c r="D1959" s="8">
        <v>330613.73</v>
      </c>
      <c r="E1959" s="9">
        <v>1</v>
      </c>
    </row>
    <row r="1960" spans="1:5" x14ac:dyDescent="0.25">
      <c r="A1960" s="7">
        <v>1</v>
      </c>
      <c r="B1960" s="7">
        <v>2805</v>
      </c>
      <c r="C1960" s="7">
        <v>152</v>
      </c>
      <c r="D1960" s="8">
        <v>196034.81</v>
      </c>
      <c r="E1960" s="9">
        <v>1</v>
      </c>
    </row>
    <row r="1961" spans="1:5" x14ac:dyDescent="0.25">
      <c r="A1961" s="7">
        <v>1</v>
      </c>
      <c r="B1961" s="7">
        <v>2806</v>
      </c>
      <c r="C1961" s="7">
        <v>152</v>
      </c>
      <c r="D1961" s="8">
        <v>140356.46</v>
      </c>
      <c r="E1961" s="9">
        <v>1</v>
      </c>
    </row>
    <row r="1962" spans="1:5" x14ac:dyDescent="0.25">
      <c r="A1962" s="7">
        <v>1</v>
      </c>
      <c r="B1962" s="7">
        <v>2808</v>
      </c>
      <c r="C1962" s="7">
        <v>131</v>
      </c>
      <c r="D1962" s="8">
        <v>159.74</v>
      </c>
      <c r="E1962" s="9">
        <v>3</v>
      </c>
    </row>
    <row r="1963" spans="1:5" x14ac:dyDescent="0.25">
      <c r="A1963" s="7">
        <v>1</v>
      </c>
      <c r="B1963" s="7">
        <v>2809</v>
      </c>
      <c r="C1963" s="7">
        <v>152</v>
      </c>
      <c r="D1963" s="8">
        <v>214287.8</v>
      </c>
      <c r="E1963" s="9">
        <v>1</v>
      </c>
    </row>
    <row r="1964" spans="1:5" x14ac:dyDescent="0.25">
      <c r="A1964" s="7">
        <v>1</v>
      </c>
      <c r="B1964" s="7">
        <v>2810</v>
      </c>
      <c r="C1964" s="7">
        <v>131</v>
      </c>
      <c r="D1964" s="8">
        <v>100.25</v>
      </c>
      <c r="E1964" s="9">
        <v>3</v>
      </c>
    </row>
    <row r="1965" spans="1:5" x14ac:dyDescent="0.25">
      <c r="A1965" s="7">
        <v>1</v>
      </c>
      <c r="B1965" s="7">
        <v>2813</v>
      </c>
      <c r="C1965" s="7">
        <v>152</v>
      </c>
      <c r="D1965" s="8">
        <v>214287.8</v>
      </c>
      <c r="E1965" s="9">
        <v>1</v>
      </c>
    </row>
    <row r="1966" spans="1:5" x14ac:dyDescent="0.25">
      <c r="A1966" s="7">
        <v>1</v>
      </c>
      <c r="B1966" s="7">
        <v>2815</v>
      </c>
      <c r="C1966" s="7">
        <v>152</v>
      </c>
      <c r="D1966" s="8">
        <v>214287.8</v>
      </c>
      <c r="E1966" s="9">
        <v>1</v>
      </c>
    </row>
    <row r="1967" spans="1:5" x14ac:dyDescent="0.25">
      <c r="A1967" s="7">
        <v>1</v>
      </c>
      <c r="B1967" s="7">
        <v>2817</v>
      </c>
      <c r="C1967" s="7">
        <v>152</v>
      </c>
      <c r="D1967" s="8">
        <v>330613.73</v>
      </c>
      <c r="E1967" s="9">
        <v>1</v>
      </c>
    </row>
    <row r="1968" spans="1:5" x14ac:dyDescent="0.25">
      <c r="A1968" s="7">
        <v>1</v>
      </c>
      <c r="B1968" s="7">
        <v>2818</v>
      </c>
      <c r="C1968" s="7">
        <v>152</v>
      </c>
      <c r="D1968" s="8">
        <v>214287.8</v>
      </c>
      <c r="E1968" s="9">
        <v>1</v>
      </c>
    </row>
    <row r="1969" spans="1:5" x14ac:dyDescent="0.25">
      <c r="A1969" s="7">
        <v>1</v>
      </c>
      <c r="B1969" s="7">
        <v>2819</v>
      </c>
      <c r="C1969" s="7">
        <v>145</v>
      </c>
      <c r="D1969" s="8">
        <v>37380.95</v>
      </c>
      <c r="E1969" s="9">
        <v>1</v>
      </c>
    </row>
    <row r="1970" spans="1:5" x14ac:dyDescent="0.25">
      <c r="A1970" s="7">
        <v>1</v>
      </c>
      <c r="B1970" s="7">
        <v>2820</v>
      </c>
      <c r="C1970" s="7">
        <v>152</v>
      </c>
      <c r="D1970" s="8">
        <v>214287.8</v>
      </c>
      <c r="E1970" s="9">
        <v>1</v>
      </c>
    </row>
    <row r="1971" spans="1:5" x14ac:dyDescent="0.25">
      <c r="A1971" s="7">
        <v>1</v>
      </c>
      <c r="B1971" s="7">
        <v>2821</v>
      </c>
      <c r="C1971" s="7">
        <v>146</v>
      </c>
      <c r="D1971" s="8">
        <v>35924.36</v>
      </c>
      <c r="E1971" s="9">
        <v>1</v>
      </c>
    </row>
    <row r="1972" spans="1:5" x14ac:dyDescent="0.25">
      <c r="A1972" s="7">
        <v>1</v>
      </c>
      <c r="B1972" s="7">
        <v>2822</v>
      </c>
      <c r="C1972" s="7">
        <v>102</v>
      </c>
      <c r="D1972" s="8">
        <v>2954.56</v>
      </c>
      <c r="E1972" s="9">
        <v>1</v>
      </c>
    </row>
    <row r="1973" spans="1:5" x14ac:dyDescent="0.25">
      <c r="A1973" s="7">
        <v>1</v>
      </c>
      <c r="B1973" s="7">
        <v>2823</v>
      </c>
      <c r="C1973" s="7">
        <v>152</v>
      </c>
      <c r="D1973" s="8">
        <v>233900.75</v>
      </c>
      <c r="E1973" s="9">
        <v>1</v>
      </c>
    </row>
    <row r="1974" spans="1:5" x14ac:dyDescent="0.25">
      <c r="A1974" s="7">
        <v>1</v>
      </c>
      <c r="B1974" s="7">
        <v>2824</v>
      </c>
      <c r="C1974" s="7">
        <v>152</v>
      </c>
      <c r="D1974" s="8">
        <v>233900.75</v>
      </c>
      <c r="E1974" s="9">
        <v>1</v>
      </c>
    </row>
    <row r="1975" spans="1:5" x14ac:dyDescent="0.25">
      <c r="A1975" s="7">
        <v>1</v>
      </c>
      <c r="B1975" s="7">
        <v>2826</v>
      </c>
      <c r="C1975" s="7">
        <v>152</v>
      </c>
      <c r="D1975" s="8">
        <v>233900.75</v>
      </c>
      <c r="E1975" s="9">
        <v>1</v>
      </c>
    </row>
    <row r="1976" spans="1:5" x14ac:dyDescent="0.25">
      <c r="A1976" s="7">
        <v>1</v>
      </c>
      <c r="B1976" s="7">
        <v>2828</v>
      </c>
      <c r="C1976" s="7">
        <v>152</v>
      </c>
      <c r="D1976" s="8">
        <v>233900.75</v>
      </c>
      <c r="E1976" s="9">
        <v>1</v>
      </c>
    </row>
    <row r="1977" spans="1:5" x14ac:dyDescent="0.25">
      <c r="A1977" s="7">
        <v>1</v>
      </c>
      <c r="B1977" s="7">
        <v>2829</v>
      </c>
      <c r="C1977" s="7">
        <v>152</v>
      </c>
      <c r="D1977" s="8">
        <v>233900.75</v>
      </c>
      <c r="E1977" s="9">
        <v>1</v>
      </c>
    </row>
    <row r="1978" spans="1:5" x14ac:dyDescent="0.25">
      <c r="A1978" s="7">
        <v>1</v>
      </c>
      <c r="B1978" s="7">
        <v>2830</v>
      </c>
      <c r="C1978" s="7">
        <v>152</v>
      </c>
      <c r="D1978" s="8">
        <v>233900.75</v>
      </c>
      <c r="E1978" s="9">
        <v>1</v>
      </c>
    </row>
    <row r="1979" spans="1:5" x14ac:dyDescent="0.25">
      <c r="A1979" s="7">
        <v>1</v>
      </c>
      <c r="B1979" s="7">
        <v>2832</v>
      </c>
      <c r="C1979" s="7">
        <v>152</v>
      </c>
      <c r="D1979" s="8">
        <v>233900.75</v>
      </c>
      <c r="E1979" s="9">
        <v>1</v>
      </c>
    </row>
    <row r="1980" spans="1:5" x14ac:dyDescent="0.25">
      <c r="A1980" s="7">
        <v>1</v>
      </c>
      <c r="B1980" s="7">
        <v>2833</v>
      </c>
      <c r="C1980" s="7">
        <v>152</v>
      </c>
      <c r="D1980" s="8">
        <v>233900.75</v>
      </c>
      <c r="E1980" s="9">
        <v>1</v>
      </c>
    </row>
    <row r="1981" spans="1:5" x14ac:dyDescent="0.25">
      <c r="A1981" s="7">
        <v>1</v>
      </c>
      <c r="B1981" s="7">
        <v>2834</v>
      </c>
      <c r="C1981" s="7">
        <v>152</v>
      </c>
      <c r="D1981" s="8">
        <v>233900.75</v>
      </c>
      <c r="E1981" s="9">
        <v>1</v>
      </c>
    </row>
    <row r="1982" spans="1:5" x14ac:dyDescent="0.25">
      <c r="A1982" s="7">
        <v>1</v>
      </c>
      <c r="B1982" s="7">
        <v>2835</v>
      </c>
      <c r="C1982" s="7">
        <v>102</v>
      </c>
      <c r="D1982" s="8">
        <v>4023.75</v>
      </c>
      <c r="E1982" s="9">
        <v>1</v>
      </c>
    </row>
    <row r="1983" spans="1:5" x14ac:dyDescent="0.25">
      <c r="A1983" s="7">
        <v>1</v>
      </c>
      <c r="B1983" s="7">
        <v>2836</v>
      </c>
      <c r="C1983" s="7">
        <v>152</v>
      </c>
      <c r="D1983" s="8">
        <v>233900.75</v>
      </c>
      <c r="E1983" s="9">
        <v>1</v>
      </c>
    </row>
    <row r="1984" spans="1:5" x14ac:dyDescent="0.25">
      <c r="A1984" s="7">
        <v>1</v>
      </c>
      <c r="B1984" s="7">
        <v>2837</v>
      </c>
      <c r="C1984" s="7">
        <v>152</v>
      </c>
      <c r="D1984" s="8">
        <v>214287.8</v>
      </c>
      <c r="E1984" s="9">
        <v>1</v>
      </c>
    </row>
    <row r="1985" spans="1:5" x14ac:dyDescent="0.25">
      <c r="A1985" s="7">
        <v>1</v>
      </c>
      <c r="B1985" s="7">
        <v>2838</v>
      </c>
      <c r="C1985" s="7">
        <v>152</v>
      </c>
      <c r="D1985" s="8">
        <v>233900.75</v>
      </c>
      <c r="E1985" s="9">
        <v>1</v>
      </c>
    </row>
    <row r="1986" spans="1:5" x14ac:dyDescent="0.25">
      <c r="A1986" s="7">
        <v>1</v>
      </c>
      <c r="B1986" s="7">
        <v>2841</v>
      </c>
      <c r="C1986" s="7">
        <v>152</v>
      </c>
      <c r="D1986" s="8">
        <v>233900.75</v>
      </c>
      <c r="E1986" s="9">
        <v>1</v>
      </c>
    </row>
    <row r="1987" spans="1:5" x14ac:dyDescent="0.25">
      <c r="A1987" s="7">
        <v>1</v>
      </c>
      <c r="B1987" s="7">
        <v>2843</v>
      </c>
      <c r="C1987" s="7">
        <v>152</v>
      </c>
      <c r="D1987" s="8">
        <v>233900.75</v>
      </c>
      <c r="E1987" s="9">
        <v>1</v>
      </c>
    </row>
    <row r="1988" spans="1:5" x14ac:dyDescent="0.25">
      <c r="A1988" s="7">
        <v>1</v>
      </c>
      <c r="B1988" s="7">
        <v>2844</v>
      </c>
      <c r="C1988" s="7">
        <v>145</v>
      </c>
      <c r="D1988" s="8">
        <v>37380.95</v>
      </c>
      <c r="E1988" s="9">
        <v>1</v>
      </c>
    </row>
    <row r="1989" spans="1:5" x14ac:dyDescent="0.25">
      <c r="A1989" s="7">
        <v>1</v>
      </c>
      <c r="B1989" s="7">
        <v>2847</v>
      </c>
      <c r="C1989" s="7">
        <v>152</v>
      </c>
      <c r="D1989" s="8">
        <v>214287.8</v>
      </c>
      <c r="E1989" s="9">
        <v>1</v>
      </c>
    </row>
    <row r="1990" spans="1:5" x14ac:dyDescent="0.25">
      <c r="A1990" s="7">
        <v>1</v>
      </c>
      <c r="B1990" s="7">
        <v>2848</v>
      </c>
      <c r="C1990" s="7">
        <v>161</v>
      </c>
      <c r="D1990" s="8">
        <v>854</v>
      </c>
      <c r="E1990" s="9">
        <v>2</v>
      </c>
    </row>
    <row r="1991" spans="1:5" x14ac:dyDescent="0.25">
      <c r="A1991" s="7">
        <v>1</v>
      </c>
      <c r="B1991" s="7">
        <v>2849</v>
      </c>
      <c r="C1991" s="7">
        <v>197</v>
      </c>
      <c r="D1991" s="8">
        <v>1.64</v>
      </c>
      <c r="E1991" s="9">
        <v>2</v>
      </c>
    </row>
    <row r="1992" spans="1:5" x14ac:dyDescent="0.25">
      <c r="A1992" s="7">
        <v>1</v>
      </c>
      <c r="B1992" s="7">
        <v>2850</v>
      </c>
      <c r="C1992" s="7">
        <v>197</v>
      </c>
      <c r="D1992" s="8">
        <v>1.56</v>
      </c>
      <c r="E1992" s="9">
        <v>2</v>
      </c>
    </row>
    <row r="1993" spans="1:5" x14ac:dyDescent="0.25">
      <c r="A1993" s="7">
        <v>1</v>
      </c>
      <c r="B1993" s="7">
        <v>2851</v>
      </c>
      <c r="C1993" s="7">
        <v>902</v>
      </c>
      <c r="D1993" s="8">
        <v>27144.89</v>
      </c>
      <c r="E1993" s="9">
        <v>1</v>
      </c>
    </row>
    <row r="1994" spans="1:5" x14ac:dyDescent="0.25">
      <c r="A1994" s="7">
        <v>1</v>
      </c>
      <c r="B1994" s="7">
        <v>2852</v>
      </c>
      <c r="C1994" s="7">
        <v>146</v>
      </c>
      <c r="D1994" s="8">
        <v>35924.36</v>
      </c>
      <c r="E1994" s="9">
        <v>1</v>
      </c>
    </row>
    <row r="1995" spans="1:5" x14ac:dyDescent="0.25">
      <c r="A1995" s="7">
        <v>1</v>
      </c>
      <c r="B1995" s="7">
        <v>2856</v>
      </c>
      <c r="C1995" s="7">
        <v>152</v>
      </c>
      <c r="D1995" s="8">
        <v>330613.73</v>
      </c>
      <c r="E1995" s="9">
        <v>1</v>
      </c>
    </row>
    <row r="1996" spans="1:5" x14ac:dyDescent="0.25">
      <c r="A1996" s="7">
        <v>1</v>
      </c>
      <c r="B1996" s="7">
        <v>2857</v>
      </c>
      <c r="C1996" s="7">
        <v>152</v>
      </c>
      <c r="D1996" s="8">
        <v>8072.59</v>
      </c>
      <c r="E1996" s="9">
        <v>1</v>
      </c>
    </row>
    <row r="1997" spans="1:5" x14ac:dyDescent="0.25">
      <c r="A1997" s="7">
        <v>1</v>
      </c>
      <c r="B1997" s="7">
        <v>2858</v>
      </c>
      <c r="C1997" s="7">
        <v>152</v>
      </c>
      <c r="D1997" s="8">
        <v>27043.61</v>
      </c>
      <c r="E1997" s="9">
        <v>1</v>
      </c>
    </row>
    <row r="1998" spans="1:5" x14ac:dyDescent="0.25">
      <c r="A1998" s="7">
        <v>1</v>
      </c>
      <c r="B1998" s="7">
        <v>2859</v>
      </c>
      <c r="C1998" s="7">
        <v>152</v>
      </c>
      <c r="D1998" s="8">
        <v>59702.9</v>
      </c>
      <c r="E1998" s="9">
        <v>1</v>
      </c>
    </row>
    <row r="1999" spans="1:5" x14ac:dyDescent="0.25">
      <c r="A1999" s="7">
        <v>1</v>
      </c>
      <c r="B1999" s="7">
        <v>2860</v>
      </c>
      <c r="C1999" s="7">
        <v>153</v>
      </c>
      <c r="D1999" s="8">
        <v>26939.71</v>
      </c>
      <c r="E1999" s="9">
        <v>1</v>
      </c>
    </row>
    <row r="2000" spans="1:5" x14ac:dyDescent="0.25">
      <c r="A2000" s="7">
        <v>1</v>
      </c>
      <c r="B2000" s="7">
        <v>2861</v>
      </c>
      <c r="C2000" s="7">
        <v>153</v>
      </c>
      <c r="D2000" s="8">
        <v>26939.71</v>
      </c>
      <c r="E2000" s="9">
        <v>1</v>
      </c>
    </row>
    <row r="2001" spans="1:5" x14ac:dyDescent="0.25">
      <c r="A2001" s="7">
        <v>1</v>
      </c>
      <c r="B2001" s="7">
        <v>2862</v>
      </c>
      <c r="C2001" s="7">
        <v>153</v>
      </c>
      <c r="D2001" s="8">
        <v>26939.71</v>
      </c>
      <c r="E2001" s="9">
        <v>1</v>
      </c>
    </row>
    <row r="2002" spans="1:5" x14ac:dyDescent="0.25">
      <c r="A2002" s="7">
        <v>1</v>
      </c>
      <c r="B2002" s="7">
        <v>2863</v>
      </c>
      <c r="C2002" s="7">
        <v>153</v>
      </c>
      <c r="D2002" s="8">
        <v>26939.71</v>
      </c>
      <c r="E2002" s="9">
        <v>1</v>
      </c>
    </row>
    <row r="2003" spans="1:5" x14ac:dyDescent="0.25">
      <c r="A2003" s="7">
        <v>1</v>
      </c>
      <c r="B2003" s="7">
        <v>2864</v>
      </c>
      <c r="C2003" s="7">
        <v>153</v>
      </c>
      <c r="D2003" s="8">
        <v>23585.06</v>
      </c>
      <c r="E2003" s="9">
        <v>1</v>
      </c>
    </row>
    <row r="2004" spans="1:5" x14ac:dyDescent="0.25">
      <c r="A2004" s="7">
        <v>1</v>
      </c>
      <c r="B2004" s="7">
        <v>2866</v>
      </c>
      <c r="C2004" s="7">
        <v>185</v>
      </c>
      <c r="D2004" s="8">
        <v>8327.25</v>
      </c>
      <c r="E2004" s="9">
        <v>1</v>
      </c>
    </row>
    <row r="2005" spans="1:5" x14ac:dyDescent="0.25">
      <c r="A2005" s="7">
        <v>1</v>
      </c>
      <c r="B2005" s="7">
        <v>2867</v>
      </c>
      <c r="C2005" s="7">
        <v>153</v>
      </c>
      <c r="D2005" s="8">
        <v>22359.07</v>
      </c>
      <c r="E2005" s="9">
        <v>1</v>
      </c>
    </row>
    <row r="2006" spans="1:5" x14ac:dyDescent="0.25">
      <c r="A2006" s="7">
        <v>1</v>
      </c>
      <c r="B2006" s="7">
        <v>2869</v>
      </c>
      <c r="C2006" s="7">
        <v>153</v>
      </c>
      <c r="D2006" s="8">
        <v>23585.06</v>
      </c>
      <c r="E2006" s="9">
        <v>1</v>
      </c>
    </row>
    <row r="2007" spans="1:5" x14ac:dyDescent="0.25">
      <c r="A2007" s="7">
        <v>1</v>
      </c>
      <c r="B2007" s="7">
        <v>2870</v>
      </c>
      <c r="C2007" s="7">
        <v>153</v>
      </c>
      <c r="D2007" s="8">
        <v>94817.27</v>
      </c>
      <c r="E2007" s="9">
        <v>1</v>
      </c>
    </row>
    <row r="2008" spans="1:5" x14ac:dyDescent="0.25">
      <c r="A2008" s="7">
        <v>1</v>
      </c>
      <c r="B2008" s="7">
        <v>2871</v>
      </c>
      <c r="C2008" s="7">
        <v>153</v>
      </c>
      <c r="D2008" s="8">
        <v>94817.27</v>
      </c>
      <c r="E2008" s="9">
        <v>1</v>
      </c>
    </row>
    <row r="2009" spans="1:5" x14ac:dyDescent="0.25">
      <c r="A2009" s="7">
        <v>1</v>
      </c>
      <c r="B2009" s="7">
        <v>2872</v>
      </c>
      <c r="C2009" s="7">
        <v>153</v>
      </c>
      <c r="D2009" s="8">
        <v>94817.27</v>
      </c>
      <c r="E2009" s="9">
        <v>1</v>
      </c>
    </row>
    <row r="2010" spans="1:5" x14ac:dyDescent="0.25">
      <c r="A2010" s="7">
        <v>1</v>
      </c>
      <c r="B2010" s="7">
        <v>2873</v>
      </c>
      <c r="C2010" s="7">
        <v>153</v>
      </c>
      <c r="D2010" s="8">
        <v>94817.27</v>
      </c>
      <c r="E2010" s="9">
        <v>1</v>
      </c>
    </row>
    <row r="2011" spans="1:5" x14ac:dyDescent="0.25">
      <c r="A2011" s="7">
        <v>1</v>
      </c>
      <c r="B2011" s="7">
        <v>2874</v>
      </c>
      <c r="C2011" s="7">
        <v>153</v>
      </c>
      <c r="D2011" s="8">
        <v>81238.35</v>
      </c>
      <c r="E2011" s="9">
        <v>1</v>
      </c>
    </row>
    <row r="2012" spans="1:5" x14ac:dyDescent="0.25">
      <c r="A2012" s="7">
        <v>1</v>
      </c>
      <c r="B2012" s="7">
        <v>2875</v>
      </c>
      <c r="C2012" s="7">
        <v>146</v>
      </c>
      <c r="D2012" s="8">
        <v>35924.36</v>
      </c>
      <c r="E2012" s="9">
        <v>1</v>
      </c>
    </row>
    <row r="2013" spans="1:5" x14ac:dyDescent="0.25">
      <c r="A2013" s="7">
        <v>1</v>
      </c>
      <c r="B2013" s="7">
        <v>2877</v>
      </c>
      <c r="C2013" s="7">
        <v>153</v>
      </c>
      <c r="D2013" s="8">
        <v>79320.45</v>
      </c>
      <c r="E2013" s="9">
        <v>1</v>
      </c>
    </row>
    <row r="2014" spans="1:5" x14ac:dyDescent="0.25">
      <c r="A2014" s="7">
        <v>1</v>
      </c>
      <c r="B2014" s="7">
        <v>2878</v>
      </c>
      <c r="C2014" s="7">
        <v>152</v>
      </c>
      <c r="D2014" s="8">
        <v>107249.58</v>
      </c>
      <c r="E2014" s="9">
        <v>1</v>
      </c>
    </row>
    <row r="2015" spans="1:5" x14ac:dyDescent="0.25">
      <c r="A2015" s="7">
        <v>1</v>
      </c>
      <c r="B2015" s="7">
        <v>2879</v>
      </c>
      <c r="C2015" s="7">
        <v>153</v>
      </c>
      <c r="D2015" s="8">
        <v>81238.35</v>
      </c>
      <c r="E2015" s="9">
        <v>1</v>
      </c>
    </row>
    <row r="2016" spans="1:5" x14ac:dyDescent="0.25">
      <c r="A2016" s="7">
        <v>1</v>
      </c>
      <c r="B2016" s="7">
        <v>2880</v>
      </c>
      <c r="C2016" s="7">
        <v>152</v>
      </c>
      <c r="D2016" s="8">
        <v>11457.38</v>
      </c>
      <c r="E2016" s="9">
        <v>1</v>
      </c>
    </row>
    <row r="2017" spans="1:5" x14ac:dyDescent="0.25">
      <c r="A2017" s="7">
        <v>1</v>
      </c>
      <c r="B2017" s="7">
        <v>2881</v>
      </c>
      <c r="C2017" s="7">
        <v>152</v>
      </c>
      <c r="D2017" s="8">
        <v>38740.2</v>
      </c>
      <c r="E2017" s="9">
        <v>1</v>
      </c>
    </row>
    <row r="2018" spans="1:5" x14ac:dyDescent="0.25">
      <c r="A2018" s="7">
        <v>1</v>
      </c>
      <c r="B2018" s="7">
        <v>2882</v>
      </c>
      <c r="C2018" s="7">
        <v>152</v>
      </c>
      <c r="D2018" s="8">
        <v>86632.29</v>
      </c>
      <c r="E2018" s="9">
        <v>1</v>
      </c>
    </row>
    <row r="2019" spans="1:5" x14ac:dyDescent="0.25">
      <c r="A2019" s="7">
        <v>1</v>
      </c>
      <c r="B2019" s="7">
        <v>2883</v>
      </c>
      <c r="C2019" s="7">
        <v>152</v>
      </c>
      <c r="D2019" s="8">
        <v>155626.44</v>
      </c>
      <c r="E2019" s="9">
        <v>1</v>
      </c>
    </row>
    <row r="2020" spans="1:5" x14ac:dyDescent="0.25">
      <c r="A2020" s="7">
        <v>1</v>
      </c>
      <c r="B2020" s="7">
        <v>2885</v>
      </c>
      <c r="C2020" s="7">
        <v>102</v>
      </c>
      <c r="D2020" s="8">
        <v>13206.69</v>
      </c>
      <c r="E2020" s="9">
        <v>1</v>
      </c>
    </row>
    <row r="2021" spans="1:5" x14ac:dyDescent="0.25">
      <c r="A2021" s="7">
        <v>1</v>
      </c>
      <c r="B2021" s="7">
        <v>2888</v>
      </c>
      <c r="C2021" s="7">
        <v>153</v>
      </c>
      <c r="D2021" s="8">
        <v>48238.06</v>
      </c>
      <c r="E2021" s="9">
        <v>1</v>
      </c>
    </row>
    <row r="2022" spans="1:5" x14ac:dyDescent="0.25">
      <c r="A2022" s="7">
        <v>1</v>
      </c>
      <c r="B2022" s="7">
        <v>2890</v>
      </c>
      <c r="C2022" s="7">
        <v>104</v>
      </c>
      <c r="D2022" s="8">
        <v>9712.77</v>
      </c>
      <c r="E2022" s="9">
        <v>1</v>
      </c>
    </row>
    <row r="2023" spans="1:5" x14ac:dyDescent="0.25">
      <c r="A2023" s="7">
        <v>1</v>
      </c>
      <c r="B2023" s="7">
        <v>2891</v>
      </c>
      <c r="C2023" s="7">
        <v>104</v>
      </c>
      <c r="D2023" s="8">
        <v>18203.69</v>
      </c>
      <c r="E2023" s="9">
        <v>1</v>
      </c>
    </row>
    <row r="2024" spans="1:5" x14ac:dyDescent="0.25">
      <c r="A2024" s="7">
        <v>1</v>
      </c>
      <c r="B2024" s="7">
        <v>2892</v>
      </c>
      <c r="C2024" s="7">
        <v>104</v>
      </c>
      <c r="D2024" s="8">
        <v>26327.16</v>
      </c>
      <c r="E2024" s="9">
        <v>1</v>
      </c>
    </row>
    <row r="2025" spans="1:5" x14ac:dyDescent="0.25">
      <c r="A2025" s="7">
        <v>1</v>
      </c>
      <c r="B2025" s="7">
        <v>2893</v>
      </c>
      <c r="C2025" s="7">
        <v>104</v>
      </c>
      <c r="D2025" s="8">
        <v>26327.16</v>
      </c>
      <c r="E2025" s="9">
        <v>1</v>
      </c>
    </row>
    <row r="2026" spans="1:5" x14ac:dyDescent="0.25">
      <c r="A2026" s="7">
        <v>1</v>
      </c>
      <c r="B2026" s="7">
        <v>2894</v>
      </c>
      <c r="C2026" s="7">
        <v>104</v>
      </c>
      <c r="D2026" s="8">
        <v>26327.16</v>
      </c>
      <c r="E2026" s="9">
        <v>1</v>
      </c>
    </row>
    <row r="2027" spans="1:5" x14ac:dyDescent="0.25">
      <c r="A2027" s="7">
        <v>1</v>
      </c>
      <c r="B2027" s="7">
        <v>2895</v>
      </c>
      <c r="C2027" s="7">
        <v>104</v>
      </c>
      <c r="D2027" s="8">
        <v>26327.16</v>
      </c>
      <c r="E2027" s="9">
        <v>1</v>
      </c>
    </row>
    <row r="2028" spans="1:5" x14ac:dyDescent="0.25">
      <c r="A2028" s="7">
        <v>1</v>
      </c>
      <c r="B2028" s="7">
        <v>2896</v>
      </c>
      <c r="C2028" s="7">
        <v>104</v>
      </c>
      <c r="D2028" s="8">
        <v>42796.57</v>
      </c>
      <c r="E2028" s="9">
        <v>1</v>
      </c>
    </row>
    <row r="2029" spans="1:5" x14ac:dyDescent="0.25">
      <c r="A2029" s="7">
        <v>1</v>
      </c>
      <c r="B2029" s="7">
        <v>2897</v>
      </c>
      <c r="C2029" s="7">
        <v>104</v>
      </c>
      <c r="D2029" s="8">
        <v>9015.81</v>
      </c>
      <c r="E2029" s="9">
        <v>1</v>
      </c>
    </row>
    <row r="2030" spans="1:5" x14ac:dyDescent="0.25">
      <c r="A2030" s="7">
        <v>1</v>
      </c>
      <c r="B2030" s="7">
        <v>2898</v>
      </c>
      <c r="C2030" s="7">
        <v>104</v>
      </c>
      <c r="D2030" s="8">
        <v>1754.14</v>
      </c>
      <c r="E2030" s="9">
        <v>1</v>
      </c>
    </row>
    <row r="2031" spans="1:5" x14ac:dyDescent="0.25">
      <c r="A2031" s="7">
        <v>1</v>
      </c>
      <c r="B2031" s="7">
        <v>2899</v>
      </c>
      <c r="C2031" s="7">
        <v>145</v>
      </c>
      <c r="D2031" s="8">
        <v>37380.95</v>
      </c>
      <c r="E2031" s="9">
        <v>1</v>
      </c>
    </row>
    <row r="2032" spans="1:5" x14ac:dyDescent="0.25">
      <c r="A2032" s="7">
        <v>1</v>
      </c>
      <c r="B2032" s="7">
        <v>2900</v>
      </c>
      <c r="C2032" s="7">
        <v>152</v>
      </c>
      <c r="D2032" s="8">
        <v>139448.46</v>
      </c>
      <c r="E2032" s="9">
        <v>1</v>
      </c>
    </row>
    <row r="2033" spans="1:5" x14ac:dyDescent="0.25">
      <c r="A2033" s="7">
        <v>1</v>
      </c>
      <c r="B2033" s="7">
        <v>2914</v>
      </c>
      <c r="C2033" s="7">
        <v>139</v>
      </c>
      <c r="D2033" s="8">
        <v>69522.4</v>
      </c>
      <c r="E2033" s="9">
        <v>1</v>
      </c>
    </row>
    <row r="2034" spans="1:5" x14ac:dyDescent="0.25">
      <c r="A2034" s="7">
        <v>1</v>
      </c>
      <c r="B2034" s="7">
        <v>2915</v>
      </c>
      <c r="C2034" s="7">
        <v>102</v>
      </c>
      <c r="D2034" s="8">
        <v>2800.68</v>
      </c>
      <c r="E2034" s="9">
        <v>1</v>
      </c>
    </row>
    <row r="2035" spans="1:5" x14ac:dyDescent="0.25">
      <c r="A2035" s="7">
        <v>1</v>
      </c>
      <c r="B2035" s="7">
        <v>2916</v>
      </c>
      <c r="C2035" s="7">
        <v>102</v>
      </c>
      <c r="D2035" s="8">
        <v>2800.68</v>
      </c>
      <c r="E2035" s="9">
        <v>1</v>
      </c>
    </row>
    <row r="2036" spans="1:5" x14ac:dyDescent="0.25">
      <c r="A2036" s="7">
        <v>1</v>
      </c>
      <c r="B2036" s="7">
        <v>2917</v>
      </c>
      <c r="C2036" s="7">
        <v>102</v>
      </c>
      <c r="D2036" s="8">
        <v>6751.16</v>
      </c>
      <c r="E2036" s="9">
        <v>1</v>
      </c>
    </row>
    <row r="2037" spans="1:5" x14ac:dyDescent="0.25">
      <c r="A2037" s="7">
        <v>1</v>
      </c>
      <c r="B2037" s="7">
        <v>2918</v>
      </c>
      <c r="C2037" s="7">
        <v>102</v>
      </c>
      <c r="D2037" s="8">
        <v>6751.16</v>
      </c>
      <c r="E2037" s="9">
        <v>1</v>
      </c>
    </row>
    <row r="2038" spans="1:5" x14ac:dyDescent="0.25">
      <c r="A2038" s="7">
        <v>1</v>
      </c>
      <c r="B2038" s="7">
        <v>2919</v>
      </c>
      <c r="C2038" s="7">
        <v>102</v>
      </c>
      <c r="D2038" s="8">
        <v>6751.16</v>
      </c>
      <c r="E2038" s="9">
        <v>1</v>
      </c>
    </row>
    <row r="2039" spans="1:5" x14ac:dyDescent="0.25">
      <c r="A2039" s="7">
        <v>1</v>
      </c>
      <c r="B2039" s="7">
        <v>2920</v>
      </c>
      <c r="C2039" s="7">
        <v>102</v>
      </c>
      <c r="D2039" s="8">
        <v>6751.16</v>
      </c>
      <c r="E2039" s="9">
        <v>1</v>
      </c>
    </row>
    <row r="2040" spans="1:5" x14ac:dyDescent="0.25">
      <c r="A2040" s="7">
        <v>1</v>
      </c>
      <c r="B2040" s="7">
        <v>2921</v>
      </c>
      <c r="C2040" s="7">
        <v>102</v>
      </c>
      <c r="D2040" s="8">
        <v>2800.68</v>
      </c>
      <c r="E2040" s="9">
        <v>1</v>
      </c>
    </row>
    <row r="2041" spans="1:5" x14ac:dyDescent="0.25">
      <c r="A2041" s="7">
        <v>1</v>
      </c>
      <c r="B2041" s="7">
        <v>2922</v>
      </c>
      <c r="C2041" s="7">
        <v>102</v>
      </c>
      <c r="D2041" s="8">
        <v>9002.6</v>
      </c>
      <c r="E2041" s="9">
        <v>1</v>
      </c>
    </row>
    <row r="2042" spans="1:5" x14ac:dyDescent="0.25">
      <c r="A2042" s="7">
        <v>1</v>
      </c>
      <c r="B2042" s="7">
        <v>2923</v>
      </c>
      <c r="C2042" s="7">
        <v>102</v>
      </c>
      <c r="D2042" s="8">
        <v>8813.38</v>
      </c>
      <c r="E2042" s="9">
        <v>1</v>
      </c>
    </row>
    <row r="2043" spans="1:5" x14ac:dyDescent="0.25">
      <c r="A2043" s="7">
        <v>1</v>
      </c>
      <c r="B2043" s="7">
        <v>2924</v>
      </c>
      <c r="C2043" s="7">
        <v>104</v>
      </c>
      <c r="D2043" s="8">
        <v>24287.2</v>
      </c>
      <c r="E2043" s="9">
        <v>1</v>
      </c>
    </row>
    <row r="2044" spans="1:5" x14ac:dyDescent="0.25">
      <c r="A2044" s="7">
        <v>1</v>
      </c>
      <c r="B2044" s="7">
        <v>2925</v>
      </c>
      <c r="C2044" s="7">
        <v>102</v>
      </c>
      <c r="D2044" s="8">
        <v>2800.68</v>
      </c>
      <c r="E2044" s="9">
        <v>1</v>
      </c>
    </row>
    <row r="2045" spans="1:5" x14ac:dyDescent="0.25">
      <c r="A2045" s="7">
        <v>1</v>
      </c>
      <c r="B2045" s="7">
        <v>2926</v>
      </c>
      <c r="C2045" s="7">
        <v>102</v>
      </c>
      <c r="D2045" s="8">
        <v>11260.06</v>
      </c>
      <c r="E2045" s="9">
        <v>1</v>
      </c>
    </row>
    <row r="2046" spans="1:5" x14ac:dyDescent="0.25">
      <c r="A2046" s="7">
        <v>1</v>
      </c>
      <c r="B2046" s="7">
        <v>2927</v>
      </c>
      <c r="C2046" s="7">
        <v>143</v>
      </c>
      <c r="D2046" s="8">
        <v>18.77</v>
      </c>
      <c r="E2046" s="9">
        <v>2</v>
      </c>
    </row>
    <row r="2047" spans="1:5" x14ac:dyDescent="0.25">
      <c r="A2047" s="7">
        <v>1</v>
      </c>
      <c r="B2047" s="7">
        <v>2928</v>
      </c>
      <c r="C2047" s="7">
        <v>104</v>
      </c>
      <c r="D2047" s="8">
        <v>7332.94</v>
      </c>
      <c r="E2047" s="9">
        <v>1</v>
      </c>
    </row>
    <row r="2048" spans="1:5" x14ac:dyDescent="0.25">
      <c r="A2048" s="7">
        <v>1</v>
      </c>
      <c r="B2048" s="7">
        <v>2929</v>
      </c>
      <c r="C2048" s="7">
        <v>197</v>
      </c>
      <c r="D2048" s="8">
        <v>3.12</v>
      </c>
      <c r="E2048" s="9">
        <v>2</v>
      </c>
    </row>
    <row r="2049" spans="1:5" x14ac:dyDescent="0.25">
      <c r="A2049" s="7">
        <v>1</v>
      </c>
      <c r="B2049" s="7">
        <v>2930</v>
      </c>
      <c r="C2049" s="7">
        <v>197</v>
      </c>
      <c r="D2049" s="8">
        <v>3.12</v>
      </c>
      <c r="E2049" s="9">
        <v>2</v>
      </c>
    </row>
    <row r="2050" spans="1:5" x14ac:dyDescent="0.25">
      <c r="A2050" s="7">
        <v>1</v>
      </c>
      <c r="B2050" s="7">
        <v>2931</v>
      </c>
      <c r="C2050" s="7">
        <v>143</v>
      </c>
      <c r="D2050" s="8">
        <v>18.77</v>
      </c>
      <c r="E2050" s="9">
        <v>2</v>
      </c>
    </row>
    <row r="2051" spans="1:5" x14ac:dyDescent="0.25">
      <c r="A2051" s="7">
        <v>1</v>
      </c>
      <c r="B2051" s="7">
        <v>2932</v>
      </c>
      <c r="C2051" s="7">
        <v>115</v>
      </c>
      <c r="D2051" s="8">
        <v>59877.49</v>
      </c>
      <c r="E2051" s="9">
        <v>1</v>
      </c>
    </row>
    <row r="2052" spans="1:5" x14ac:dyDescent="0.25">
      <c r="A2052" s="7">
        <v>1</v>
      </c>
      <c r="B2052" s="7">
        <v>2933</v>
      </c>
      <c r="C2052" s="7">
        <v>115</v>
      </c>
      <c r="D2052" s="8">
        <v>800.95</v>
      </c>
      <c r="E2052" s="9">
        <v>1</v>
      </c>
    </row>
    <row r="2053" spans="1:5" x14ac:dyDescent="0.25">
      <c r="A2053" s="7">
        <v>1</v>
      </c>
      <c r="B2053" s="7">
        <v>2934</v>
      </c>
      <c r="C2053" s="7">
        <v>115</v>
      </c>
      <c r="D2053" s="8">
        <v>42014.08</v>
      </c>
      <c r="E2053" s="9">
        <v>1</v>
      </c>
    </row>
    <row r="2054" spans="1:5" x14ac:dyDescent="0.25">
      <c r="A2054" s="7">
        <v>1</v>
      </c>
      <c r="B2054" s="7">
        <v>2935</v>
      </c>
      <c r="C2054" s="7">
        <v>115</v>
      </c>
      <c r="D2054" s="8">
        <v>3346.99</v>
      </c>
      <c r="E2054" s="9">
        <v>1</v>
      </c>
    </row>
    <row r="2055" spans="1:5" x14ac:dyDescent="0.25">
      <c r="A2055" s="7">
        <v>1</v>
      </c>
      <c r="B2055" s="7">
        <v>2936</v>
      </c>
      <c r="C2055" s="7">
        <v>115</v>
      </c>
      <c r="D2055" s="8">
        <v>120642.87</v>
      </c>
      <c r="E2055" s="9">
        <v>1</v>
      </c>
    </row>
    <row r="2056" spans="1:5" x14ac:dyDescent="0.25">
      <c r="A2056" s="7">
        <v>1</v>
      </c>
      <c r="B2056" s="7">
        <v>2937</v>
      </c>
      <c r="C2056" s="7">
        <v>115</v>
      </c>
      <c r="D2056" s="8">
        <v>13436.15</v>
      </c>
      <c r="E2056" s="9">
        <v>1</v>
      </c>
    </row>
    <row r="2057" spans="1:5" x14ac:dyDescent="0.25">
      <c r="A2057" s="7">
        <v>1</v>
      </c>
      <c r="B2057" s="7">
        <v>2938</v>
      </c>
      <c r="C2057" s="7">
        <v>115</v>
      </c>
      <c r="D2057" s="8">
        <v>19964.54</v>
      </c>
      <c r="E2057" s="9">
        <v>1</v>
      </c>
    </row>
    <row r="2058" spans="1:5" x14ac:dyDescent="0.25">
      <c r="A2058" s="7">
        <v>1</v>
      </c>
      <c r="B2058" s="7">
        <v>2939</v>
      </c>
      <c r="C2058" s="7">
        <v>115</v>
      </c>
      <c r="D2058" s="8">
        <v>264.15</v>
      </c>
      <c r="E2058" s="9">
        <v>1</v>
      </c>
    </row>
    <row r="2059" spans="1:5" x14ac:dyDescent="0.25">
      <c r="A2059" s="7">
        <v>1</v>
      </c>
      <c r="B2059" s="7">
        <v>2940</v>
      </c>
      <c r="C2059" s="7">
        <v>115</v>
      </c>
      <c r="D2059" s="8">
        <v>628.34</v>
      </c>
      <c r="E2059" s="9">
        <v>1</v>
      </c>
    </row>
    <row r="2060" spans="1:5" x14ac:dyDescent="0.25">
      <c r="A2060" s="7">
        <v>1</v>
      </c>
      <c r="B2060" s="7">
        <v>2941</v>
      </c>
      <c r="C2060" s="7">
        <v>115</v>
      </c>
      <c r="D2060" s="8">
        <v>748.59</v>
      </c>
      <c r="E2060" s="9">
        <v>1</v>
      </c>
    </row>
    <row r="2061" spans="1:5" x14ac:dyDescent="0.25">
      <c r="A2061" s="7">
        <v>1</v>
      </c>
      <c r="B2061" s="7">
        <v>2942</v>
      </c>
      <c r="C2061" s="7">
        <v>115</v>
      </c>
      <c r="D2061" s="8">
        <v>20090.03</v>
      </c>
      <c r="E2061" s="9">
        <v>1</v>
      </c>
    </row>
    <row r="2062" spans="1:5" x14ac:dyDescent="0.25">
      <c r="A2062" s="7">
        <v>1</v>
      </c>
      <c r="B2062" s="7">
        <v>2943</v>
      </c>
      <c r="C2062" s="7">
        <v>115</v>
      </c>
      <c r="D2062" s="8">
        <v>21929.82</v>
      </c>
      <c r="E2062" s="9">
        <v>1</v>
      </c>
    </row>
    <row r="2063" spans="1:5" x14ac:dyDescent="0.25">
      <c r="A2063" s="7">
        <v>1</v>
      </c>
      <c r="B2063" s="7">
        <v>2944</v>
      </c>
      <c r="C2063" s="7">
        <v>115</v>
      </c>
      <c r="D2063" s="8">
        <v>1454.16</v>
      </c>
      <c r="E2063" s="9">
        <v>1</v>
      </c>
    </row>
    <row r="2064" spans="1:5" x14ac:dyDescent="0.25">
      <c r="A2064" s="7">
        <v>1</v>
      </c>
      <c r="B2064" s="7">
        <v>2945</v>
      </c>
      <c r="C2064" s="7">
        <v>115</v>
      </c>
      <c r="D2064" s="8">
        <v>7301.05</v>
      </c>
      <c r="E2064" s="9">
        <v>1</v>
      </c>
    </row>
    <row r="2065" spans="1:5" x14ac:dyDescent="0.25">
      <c r="A2065" s="7">
        <v>1</v>
      </c>
      <c r="B2065" s="7">
        <v>2946</v>
      </c>
      <c r="C2065" s="7">
        <v>115</v>
      </c>
      <c r="D2065" s="8">
        <v>2596.79</v>
      </c>
      <c r="E2065" s="9">
        <v>1</v>
      </c>
    </row>
    <row r="2066" spans="1:5" x14ac:dyDescent="0.25">
      <c r="A2066" s="7">
        <v>1</v>
      </c>
      <c r="B2066" s="7">
        <v>2947</v>
      </c>
      <c r="C2066" s="7">
        <v>115</v>
      </c>
      <c r="D2066" s="8">
        <v>1420.74</v>
      </c>
      <c r="E2066" s="9">
        <v>1</v>
      </c>
    </row>
    <row r="2067" spans="1:5" x14ac:dyDescent="0.25">
      <c r="A2067" s="7">
        <v>1</v>
      </c>
      <c r="B2067" s="7">
        <v>2948</v>
      </c>
      <c r="C2067" s="7">
        <v>115</v>
      </c>
      <c r="D2067" s="8">
        <v>13717.35</v>
      </c>
      <c r="E2067" s="9">
        <v>1</v>
      </c>
    </row>
    <row r="2068" spans="1:5" x14ac:dyDescent="0.25">
      <c r="A2068" s="7">
        <v>1</v>
      </c>
      <c r="B2068" s="7">
        <v>2949</v>
      </c>
      <c r="C2068" s="7">
        <v>115</v>
      </c>
      <c r="D2068" s="8">
        <v>5268.43</v>
      </c>
      <c r="E2068" s="9">
        <v>1</v>
      </c>
    </row>
    <row r="2069" spans="1:5" x14ac:dyDescent="0.25">
      <c r="A2069" s="7">
        <v>1</v>
      </c>
      <c r="B2069" s="7">
        <v>2950</v>
      </c>
      <c r="C2069" s="7">
        <v>115</v>
      </c>
      <c r="D2069" s="8">
        <v>1028.98</v>
      </c>
      <c r="E2069" s="9">
        <v>1</v>
      </c>
    </row>
    <row r="2070" spans="1:5" x14ac:dyDescent="0.25">
      <c r="A2070" s="7">
        <v>1</v>
      </c>
      <c r="B2070" s="7">
        <v>2951</v>
      </c>
      <c r="C2070" s="7">
        <v>115</v>
      </c>
      <c r="D2070" s="8">
        <v>1440.47</v>
      </c>
      <c r="E2070" s="9">
        <v>1</v>
      </c>
    </row>
    <row r="2071" spans="1:5" x14ac:dyDescent="0.25">
      <c r="A2071" s="7">
        <v>1</v>
      </c>
      <c r="B2071" s="7">
        <v>2952</v>
      </c>
      <c r="C2071" s="7">
        <v>115</v>
      </c>
      <c r="D2071" s="8">
        <v>26311.78</v>
      </c>
      <c r="E2071" s="9">
        <v>1</v>
      </c>
    </row>
    <row r="2072" spans="1:5" x14ac:dyDescent="0.25">
      <c r="A2072" s="7">
        <v>1</v>
      </c>
      <c r="B2072" s="7">
        <v>2953</v>
      </c>
      <c r="C2072" s="7">
        <v>115</v>
      </c>
      <c r="D2072" s="8">
        <v>10983.94</v>
      </c>
      <c r="E2072" s="9">
        <v>1</v>
      </c>
    </row>
    <row r="2073" spans="1:5" x14ac:dyDescent="0.25">
      <c r="A2073" s="7">
        <v>1</v>
      </c>
      <c r="B2073" s="7">
        <v>2954</v>
      </c>
      <c r="C2073" s="7">
        <v>115</v>
      </c>
      <c r="D2073" s="8">
        <v>13717.35</v>
      </c>
      <c r="E2073" s="9">
        <v>1</v>
      </c>
    </row>
    <row r="2074" spans="1:5" x14ac:dyDescent="0.25">
      <c r="A2074" s="7">
        <v>1</v>
      </c>
      <c r="B2074" s="7">
        <v>2955</v>
      </c>
      <c r="C2074" s="7">
        <v>115</v>
      </c>
      <c r="D2074" s="8">
        <v>59791.75</v>
      </c>
      <c r="E2074" s="9">
        <v>1</v>
      </c>
    </row>
    <row r="2075" spans="1:5" x14ac:dyDescent="0.25">
      <c r="A2075" s="7">
        <v>1</v>
      </c>
      <c r="B2075" s="7">
        <v>2956</v>
      </c>
      <c r="C2075" s="7">
        <v>115</v>
      </c>
      <c r="D2075" s="8">
        <v>31514.54</v>
      </c>
      <c r="E2075" s="9">
        <v>1</v>
      </c>
    </row>
    <row r="2076" spans="1:5" x14ac:dyDescent="0.25">
      <c r="A2076" s="7">
        <v>1</v>
      </c>
      <c r="B2076" s="7">
        <v>2957</v>
      </c>
      <c r="C2076" s="7">
        <v>115</v>
      </c>
      <c r="D2076" s="8">
        <v>8403.89</v>
      </c>
      <c r="E2076" s="9">
        <v>1</v>
      </c>
    </row>
    <row r="2077" spans="1:5" x14ac:dyDescent="0.25">
      <c r="A2077" s="7">
        <v>1</v>
      </c>
      <c r="B2077" s="7">
        <v>2958</v>
      </c>
      <c r="C2077" s="7">
        <v>115</v>
      </c>
      <c r="D2077" s="8">
        <v>13248.69</v>
      </c>
      <c r="E2077" s="9">
        <v>1</v>
      </c>
    </row>
    <row r="2078" spans="1:5" x14ac:dyDescent="0.25">
      <c r="A2078" s="7">
        <v>1</v>
      </c>
      <c r="B2078" s="7">
        <v>2959</v>
      </c>
      <c r="C2078" s="7">
        <v>115</v>
      </c>
      <c r="D2078" s="8">
        <v>454.52</v>
      </c>
      <c r="E2078" s="9">
        <v>1</v>
      </c>
    </row>
    <row r="2079" spans="1:5" x14ac:dyDescent="0.25">
      <c r="A2079" s="7">
        <v>1</v>
      </c>
      <c r="B2079" s="7">
        <v>2960</v>
      </c>
      <c r="C2079" s="7">
        <v>115</v>
      </c>
      <c r="D2079" s="8">
        <v>8605.98</v>
      </c>
      <c r="E2079" s="9">
        <v>1</v>
      </c>
    </row>
    <row r="2080" spans="1:5" x14ac:dyDescent="0.25">
      <c r="A2080" s="7">
        <v>1</v>
      </c>
      <c r="B2080" s="7">
        <v>2961</v>
      </c>
      <c r="C2080" s="7">
        <v>115</v>
      </c>
      <c r="D2080" s="8">
        <v>16607.91</v>
      </c>
      <c r="E2080" s="9">
        <v>1</v>
      </c>
    </row>
    <row r="2081" spans="1:5" x14ac:dyDescent="0.25">
      <c r="A2081" s="7">
        <v>1</v>
      </c>
      <c r="B2081" s="7">
        <v>2962</v>
      </c>
      <c r="C2081" s="7">
        <v>115</v>
      </c>
      <c r="D2081" s="8">
        <v>2524.3</v>
      </c>
      <c r="E2081" s="9">
        <v>1</v>
      </c>
    </row>
    <row r="2082" spans="1:5" x14ac:dyDescent="0.25">
      <c r="A2082" s="7">
        <v>1</v>
      </c>
      <c r="B2082" s="7">
        <v>2963</v>
      </c>
      <c r="C2082" s="7">
        <v>115</v>
      </c>
      <c r="D2082" s="8">
        <v>2748.55</v>
      </c>
      <c r="E2082" s="9">
        <v>1</v>
      </c>
    </row>
    <row r="2083" spans="1:5" x14ac:dyDescent="0.25">
      <c r="A2083" s="7">
        <v>1</v>
      </c>
      <c r="B2083" s="7">
        <v>2964</v>
      </c>
      <c r="C2083" s="7">
        <v>115</v>
      </c>
      <c r="D2083" s="8">
        <v>3431.38</v>
      </c>
      <c r="E2083" s="9">
        <v>1</v>
      </c>
    </row>
    <row r="2084" spans="1:5" x14ac:dyDescent="0.25">
      <c r="A2084" s="7">
        <v>1</v>
      </c>
      <c r="B2084" s="7">
        <v>2965</v>
      </c>
      <c r="C2084" s="7">
        <v>115</v>
      </c>
      <c r="D2084" s="8">
        <v>79826.63</v>
      </c>
      <c r="E2084" s="9">
        <v>1</v>
      </c>
    </row>
    <row r="2085" spans="1:5" x14ac:dyDescent="0.25">
      <c r="A2085" s="7">
        <v>1</v>
      </c>
      <c r="B2085" s="7">
        <v>2966</v>
      </c>
      <c r="C2085" s="7">
        <v>115</v>
      </c>
      <c r="D2085" s="8">
        <v>45068.58</v>
      </c>
      <c r="E2085" s="9">
        <v>1</v>
      </c>
    </row>
    <row r="2086" spans="1:5" x14ac:dyDescent="0.25">
      <c r="A2086" s="7">
        <v>1</v>
      </c>
      <c r="B2086" s="7">
        <v>2967</v>
      </c>
      <c r="C2086" s="7">
        <v>115</v>
      </c>
      <c r="D2086" s="8">
        <v>11092.27</v>
      </c>
      <c r="E2086" s="9">
        <v>1</v>
      </c>
    </row>
    <row r="2087" spans="1:5" x14ac:dyDescent="0.25">
      <c r="A2087" s="7">
        <v>1</v>
      </c>
      <c r="B2087" s="7">
        <v>2968</v>
      </c>
      <c r="C2087" s="7">
        <v>112</v>
      </c>
      <c r="D2087" s="8">
        <v>43248.89</v>
      </c>
      <c r="E2087" s="9">
        <v>1</v>
      </c>
    </row>
    <row r="2088" spans="1:5" x14ac:dyDescent="0.25">
      <c r="A2088" s="7">
        <v>1</v>
      </c>
      <c r="B2088" s="7">
        <v>2969</v>
      </c>
      <c r="C2088" s="7">
        <v>112</v>
      </c>
      <c r="D2088" s="8">
        <v>160419.51</v>
      </c>
      <c r="E2088" s="9">
        <v>1</v>
      </c>
    </row>
    <row r="2089" spans="1:5" x14ac:dyDescent="0.25">
      <c r="A2089" s="7">
        <v>1</v>
      </c>
      <c r="B2089" s="7">
        <v>2970</v>
      </c>
      <c r="C2089" s="7">
        <v>112</v>
      </c>
      <c r="D2089" s="8">
        <v>42904.22</v>
      </c>
      <c r="E2089" s="9">
        <v>1</v>
      </c>
    </row>
    <row r="2090" spans="1:5" x14ac:dyDescent="0.25">
      <c r="A2090" s="7">
        <v>1</v>
      </c>
      <c r="B2090" s="7">
        <v>2971</v>
      </c>
      <c r="C2090" s="7">
        <v>112</v>
      </c>
      <c r="D2090" s="8">
        <v>158397.27</v>
      </c>
      <c r="E2090" s="9">
        <v>1</v>
      </c>
    </row>
    <row r="2091" spans="1:5" x14ac:dyDescent="0.25">
      <c r="A2091" s="7">
        <v>1</v>
      </c>
      <c r="B2091" s="7">
        <v>2972</v>
      </c>
      <c r="C2091" s="7">
        <v>112</v>
      </c>
      <c r="D2091" s="8">
        <v>44968.58</v>
      </c>
      <c r="E2091" s="9">
        <v>1</v>
      </c>
    </row>
    <row r="2092" spans="1:5" x14ac:dyDescent="0.25">
      <c r="A2092" s="7">
        <v>1</v>
      </c>
      <c r="B2092" s="7">
        <v>2973</v>
      </c>
      <c r="C2092" s="7">
        <v>112</v>
      </c>
      <c r="D2092" s="8">
        <v>166893.8</v>
      </c>
      <c r="E2092" s="9">
        <v>1</v>
      </c>
    </row>
    <row r="2093" spans="1:5" x14ac:dyDescent="0.25">
      <c r="A2093" s="7">
        <v>1</v>
      </c>
      <c r="B2093" s="7">
        <v>2974</v>
      </c>
      <c r="C2093" s="7">
        <v>112</v>
      </c>
      <c r="D2093" s="8">
        <v>1492.13</v>
      </c>
      <c r="E2093" s="9">
        <v>1</v>
      </c>
    </row>
    <row r="2094" spans="1:5" x14ac:dyDescent="0.25">
      <c r="A2094" s="7">
        <v>1</v>
      </c>
      <c r="B2094" s="7">
        <v>2975</v>
      </c>
      <c r="C2094" s="7">
        <v>112</v>
      </c>
      <c r="D2094" s="8">
        <v>156750.65</v>
      </c>
      <c r="E2094" s="9">
        <v>1</v>
      </c>
    </row>
    <row r="2095" spans="1:5" x14ac:dyDescent="0.25">
      <c r="A2095" s="7">
        <v>1</v>
      </c>
      <c r="B2095" s="7">
        <v>2976</v>
      </c>
      <c r="C2095" s="7">
        <v>112</v>
      </c>
      <c r="D2095" s="8">
        <v>55160.28</v>
      </c>
      <c r="E2095" s="9">
        <v>1</v>
      </c>
    </row>
    <row r="2096" spans="1:5" x14ac:dyDescent="0.25">
      <c r="A2096" s="7">
        <v>1</v>
      </c>
      <c r="B2096" s="7">
        <v>2977</v>
      </c>
      <c r="C2096" s="7">
        <v>112</v>
      </c>
      <c r="D2096" s="8">
        <v>205239.67</v>
      </c>
      <c r="E2096" s="9">
        <v>1</v>
      </c>
    </row>
    <row r="2097" spans="1:5" x14ac:dyDescent="0.25">
      <c r="A2097" s="7">
        <v>1</v>
      </c>
      <c r="B2097" s="7">
        <v>2978</v>
      </c>
      <c r="C2097" s="7">
        <v>104</v>
      </c>
      <c r="D2097" s="8">
        <v>774548.06</v>
      </c>
      <c r="E2097" s="9">
        <v>1</v>
      </c>
    </row>
    <row r="2098" spans="1:5" x14ac:dyDescent="0.25">
      <c r="A2098" s="7">
        <v>1</v>
      </c>
      <c r="B2098" s="7">
        <v>2979</v>
      </c>
      <c r="C2098" s="7">
        <v>104</v>
      </c>
      <c r="D2098" s="8">
        <v>1065649.3</v>
      </c>
      <c r="E2098" s="9">
        <v>1</v>
      </c>
    </row>
    <row r="2099" spans="1:5" x14ac:dyDescent="0.25">
      <c r="A2099" s="7">
        <v>1</v>
      </c>
      <c r="B2099" s="7">
        <v>2980</v>
      </c>
      <c r="C2099" s="7">
        <v>152</v>
      </c>
      <c r="D2099" s="8">
        <v>173247.44</v>
      </c>
      <c r="E2099" s="9">
        <v>1</v>
      </c>
    </row>
    <row r="2100" spans="1:5" x14ac:dyDescent="0.25">
      <c r="A2100" s="7">
        <v>1</v>
      </c>
      <c r="B2100" s="7">
        <v>2981</v>
      </c>
      <c r="C2100" s="7">
        <v>152</v>
      </c>
      <c r="D2100" s="8">
        <v>303356.95</v>
      </c>
      <c r="E2100" s="9">
        <v>1</v>
      </c>
    </row>
    <row r="2101" spans="1:5" x14ac:dyDescent="0.25">
      <c r="A2101" s="7">
        <v>1</v>
      </c>
      <c r="B2101" s="7">
        <v>2982</v>
      </c>
      <c r="C2101" s="7">
        <v>152</v>
      </c>
      <c r="D2101" s="8">
        <v>167710.54</v>
      </c>
      <c r="E2101" s="9">
        <v>1</v>
      </c>
    </row>
    <row r="2102" spans="1:5" x14ac:dyDescent="0.25">
      <c r="A2102" s="7">
        <v>1</v>
      </c>
      <c r="B2102" s="7">
        <v>2983</v>
      </c>
      <c r="C2102" s="7">
        <v>152</v>
      </c>
      <c r="D2102" s="8">
        <v>167710.54</v>
      </c>
      <c r="E2102" s="9">
        <v>1</v>
      </c>
    </row>
    <row r="2103" spans="1:5" x14ac:dyDescent="0.25">
      <c r="A2103" s="7">
        <v>1</v>
      </c>
      <c r="B2103" s="7">
        <v>2984</v>
      </c>
      <c r="C2103" s="7">
        <v>152</v>
      </c>
      <c r="D2103" s="8">
        <v>283205.12</v>
      </c>
      <c r="E2103" s="9">
        <v>1</v>
      </c>
    </row>
    <row r="2104" spans="1:5" x14ac:dyDescent="0.25">
      <c r="A2104" s="7">
        <v>1</v>
      </c>
      <c r="B2104" s="7">
        <v>2985</v>
      </c>
      <c r="C2104" s="7">
        <v>152</v>
      </c>
      <c r="D2104" s="8">
        <v>167710.54</v>
      </c>
      <c r="E2104" s="9">
        <v>1</v>
      </c>
    </row>
    <row r="2105" spans="1:5" x14ac:dyDescent="0.25">
      <c r="A2105" s="7">
        <v>1</v>
      </c>
      <c r="B2105" s="7">
        <v>2986</v>
      </c>
      <c r="C2105" s="7">
        <v>152</v>
      </c>
      <c r="D2105" s="8">
        <v>167710.54</v>
      </c>
      <c r="E2105" s="9">
        <v>1</v>
      </c>
    </row>
    <row r="2106" spans="1:5" x14ac:dyDescent="0.25">
      <c r="A2106" s="7">
        <v>1</v>
      </c>
      <c r="B2106" s="7">
        <v>2987</v>
      </c>
      <c r="C2106" s="7">
        <v>152</v>
      </c>
      <c r="D2106" s="8">
        <v>167710.54</v>
      </c>
      <c r="E2106" s="9">
        <v>1</v>
      </c>
    </row>
    <row r="2107" spans="1:5" x14ac:dyDescent="0.25">
      <c r="A2107" s="7">
        <v>1</v>
      </c>
      <c r="B2107" s="7">
        <v>2988</v>
      </c>
      <c r="C2107" s="7">
        <v>152</v>
      </c>
      <c r="D2107" s="8">
        <v>167710.54</v>
      </c>
      <c r="E2107" s="9">
        <v>1</v>
      </c>
    </row>
    <row r="2108" spans="1:5" x14ac:dyDescent="0.25">
      <c r="A2108" s="7">
        <v>1</v>
      </c>
      <c r="B2108" s="7">
        <v>2989</v>
      </c>
      <c r="C2108" s="7">
        <v>152</v>
      </c>
      <c r="D2108" s="8">
        <v>167710.54</v>
      </c>
      <c r="E2108" s="9">
        <v>1</v>
      </c>
    </row>
    <row r="2109" spans="1:5" x14ac:dyDescent="0.25">
      <c r="A2109" s="7">
        <v>1</v>
      </c>
      <c r="B2109" s="7">
        <v>2990</v>
      </c>
      <c r="C2109" s="7">
        <v>152</v>
      </c>
      <c r="D2109" s="8">
        <v>167710.54</v>
      </c>
      <c r="E2109" s="9">
        <v>1</v>
      </c>
    </row>
    <row r="2110" spans="1:5" x14ac:dyDescent="0.25">
      <c r="A2110" s="7">
        <v>1</v>
      </c>
      <c r="B2110" s="7">
        <v>2991</v>
      </c>
      <c r="C2110" s="7">
        <v>152</v>
      </c>
      <c r="D2110" s="8">
        <v>167710.54</v>
      </c>
      <c r="E2110" s="9">
        <v>1</v>
      </c>
    </row>
    <row r="2111" spans="1:5" x14ac:dyDescent="0.25">
      <c r="A2111" s="7">
        <v>1</v>
      </c>
      <c r="B2111" s="7">
        <v>2992</v>
      </c>
      <c r="C2111" s="7">
        <v>152</v>
      </c>
      <c r="D2111" s="8">
        <v>167710.54</v>
      </c>
      <c r="E2111" s="9">
        <v>1</v>
      </c>
    </row>
    <row r="2112" spans="1:5" x14ac:dyDescent="0.25">
      <c r="A2112" s="7">
        <v>1</v>
      </c>
      <c r="B2112" s="7">
        <v>2993</v>
      </c>
      <c r="C2112" s="7">
        <v>152</v>
      </c>
      <c r="D2112" s="8">
        <v>167710.54</v>
      </c>
      <c r="E2112" s="9">
        <v>1</v>
      </c>
    </row>
    <row r="2113" spans="1:5" x14ac:dyDescent="0.25">
      <c r="A2113" s="7">
        <v>1</v>
      </c>
      <c r="B2113" s="7">
        <v>2994</v>
      </c>
      <c r="C2113" s="7">
        <v>152</v>
      </c>
      <c r="D2113" s="8">
        <v>167710.54</v>
      </c>
      <c r="E2113" s="9">
        <v>1</v>
      </c>
    </row>
    <row r="2114" spans="1:5" x14ac:dyDescent="0.25">
      <c r="A2114" s="7">
        <v>1</v>
      </c>
      <c r="B2114" s="7">
        <v>2995</v>
      </c>
      <c r="C2114" s="7">
        <v>152</v>
      </c>
      <c r="D2114" s="8">
        <v>167710.54</v>
      </c>
      <c r="E2114" s="9">
        <v>1</v>
      </c>
    </row>
    <row r="2115" spans="1:5" x14ac:dyDescent="0.25">
      <c r="A2115" s="7">
        <v>1</v>
      </c>
      <c r="B2115" s="7">
        <v>2996</v>
      </c>
      <c r="C2115" s="7">
        <v>152</v>
      </c>
      <c r="D2115" s="8">
        <v>167710.54</v>
      </c>
      <c r="E2115" s="9">
        <v>1</v>
      </c>
    </row>
    <row r="2116" spans="1:5" x14ac:dyDescent="0.25">
      <c r="A2116" s="7">
        <v>1</v>
      </c>
      <c r="B2116" s="7">
        <v>2997</v>
      </c>
      <c r="C2116" s="7">
        <v>107</v>
      </c>
      <c r="D2116" s="8">
        <v>38472.42</v>
      </c>
      <c r="E2116" s="9">
        <v>1</v>
      </c>
    </row>
    <row r="2117" spans="1:5" x14ac:dyDescent="0.25">
      <c r="A2117" s="7">
        <v>1</v>
      </c>
      <c r="B2117" s="7">
        <v>2998</v>
      </c>
      <c r="C2117" s="7">
        <v>107</v>
      </c>
      <c r="D2117" s="8">
        <v>129900.09</v>
      </c>
      <c r="E2117" s="9">
        <v>1</v>
      </c>
    </row>
    <row r="2118" spans="1:5" x14ac:dyDescent="0.25">
      <c r="A2118" s="7">
        <v>1</v>
      </c>
      <c r="B2118" s="7">
        <v>2999</v>
      </c>
      <c r="C2118" s="7">
        <v>107</v>
      </c>
      <c r="D2118" s="8">
        <v>38472.42</v>
      </c>
      <c r="E2118" s="9">
        <v>1</v>
      </c>
    </row>
    <row r="2119" spans="1:5" x14ac:dyDescent="0.25">
      <c r="A2119" s="7">
        <v>1</v>
      </c>
      <c r="B2119" s="7">
        <v>3000</v>
      </c>
      <c r="C2119" s="7">
        <v>107</v>
      </c>
      <c r="D2119" s="8">
        <v>129900.09</v>
      </c>
      <c r="E2119" s="9">
        <v>1</v>
      </c>
    </row>
    <row r="2120" spans="1:5" x14ac:dyDescent="0.25">
      <c r="A2120" s="7">
        <v>1</v>
      </c>
      <c r="B2120" s="7">
        <v>3001</v>
      </c>
      <c r="C2120" s="7">
        <v>107</v>
      </c>
      <c r="D2120" s="8">
        <v>38472.42</v>
      </c>
      <c r="E2120" s="9">
        <v>1</v>
      </c>
    </row>
    <row r="2121" spans="1:5" x14ac:dyDescent="0.25">
      <c r="A2121" s="7">
        <v>1</v>
      </c>
      <c r="B2121" s="7">
        <v>3002</v>
      </c>
      <c r="C2121" s="7">
        <v>107</v>
      </c>
      <c r="D2121" s="8">
        <v>129900.09</v>
      </c>
      <c r="E2121" s="9">
        <v>1</v>
      </c>
    </row>
    <row r="2122" spans="1:5" x14ac:dyDescent="0.25">
      <c r="A2122" s="7">
        <v>1</v>
      </c>
      <c r="B2122" s="7">
        <v>3003</v>
      </c>
      <c r="C2122" s="7">
        <v>107</v>
      </c>
      <c r="D2122" s="8">
        <v>38472.42</v>
      </c>
      <c r="E2122" s="9">
        <v>1</v>
      </c>
    </row>
    <row r="2123" spans="1:5" x14ac:dyDescent="0.25">
      <c r="A2123" s="7">
        <v>1</v>
      </c>
      <c r="B2123" s="7">
        <v>3004</v>
      </c>
      <c r="C2123" s="7">
        <v>107</v>
      </c>
      <c r="D2123" s="8">
        <v>129900.09</v>
      </c>
      <c r="E2123" s="9">
        <v>1</v>
      </c>
    </row>
    <row r="2124" spans="1:5" x14ac:dyDescent="0.25">
      <c r="A2124" s="7">
        <v>1</v>
      </c>
      <c r="B2124" s="7">
        <v>3005</v>
      </c>
      <c r="C2124" s="7">
        <v>107</v>
      </c>
      <c r="D2124" s="8">
        <v>38472.42</v>
      </c>
      <c r="E2124" s="9">
        <v>1</v>
      </c>
    </row>
    <row r="2125" spans="1:5" x14ac:dyDescent="0.25">
      <c r="A2125" s="7">
        <v>1</v>
      </c>
      <c r="B2125" s="7">
        <v>3006</v>
      </c>
      <c r="C2125" s="7">
        <v>107</v>
      </c>
      <c r="D2125" s="8">
        <v>129900.09</v>
      </c>
      <c r="E2125" s="9">
        <v>1</v>
      </c>
    </row>
    <row r="2126" spans="1:5" x14ac:dyDescent="0.25">
      <c r="A2126" s="7">
        <v>1</v>
      </c>
      <c r="B2126" s="7">
        <v>3013</v>
      </c>
      <c r="C2126" s="7">
        <v>152</v>
      </c>
      <c r="D2126" s="8">
        <v>17209.06</v>
      </c>
      <c r="E2126" s="9">
        <v>1</v>
      </c>
    </row>
    <row r="2127" spans="1:5" x14ac:dyDescent="0.25">
      <c r="A2127" s="7">
        <v>1</v>
      </c>
      <c r="B2127" s="7">
        <v>3015</v>
      </c>
      <c r="C2127" s="7">
        <v>152</v>
      </c>
      <c r="D2127" s="8">
        <v>56686.04</v>
      </c>
      <c r="E2127" s="9">
        <v>1</v>
      </c>
    </row>
    <row r="2128" spans="1:5" x14ac:dyDescent="0.25">
      <c r="A2128" s="7">
        <v>1</v>
      </c>
      <c r="B2128" s="7">
        <v>3016</v>
      </c>
      <c r="C2128" s="7">
        <v>197</v>
      </c>
      <c r="D2128" s="8">
        <v>2.88</v>
      </c>
      <c r="E2128" s="9">
        <v>2</v>
      </c>
    </row>
    <row r="2129" spans="1:5" x14ac:dyDescent="0.25">
      <c r="A2129" s="7">
        <v>1</v>
      </c>
      <c r="B2129" s="7">
        <v>3017</v>
      </c>
      <c r="C2129" s="7">
        <v>197</v>
      </c>
      <c r="D2129" s="8">
        <v>2.88</v>
      </c>
      <c r="E2129" s="9">
        <v>2</v>
      </c>
    </row>
    <row r="2130" spans="1:5" x14ac:dyDescent="0.25">
      <c r="A2130" s="7">
        <v>1</v>
      </c>
      <c r="B2130" s="7">
        <v>3018</v>
      </c>
      <c r="C2130" s="7">
        <v>143</v>
      </c>
      <c r="D2130" s="8">
        <v>6.38</v>
      </c>
      <c r="E2130" s="9">
        <v>2</v>
      </c>
    </row>
    <row r="2131" spans="1:5" x14ac:dyDescent="0.25">
      <c r="A2131" s="7">
        <v>1</v>
      </c>
      <c r="B2131" s="7">
        <v>3019</v>
      </c>
      <c r="C2131" s="7">
        <v>143</v>
      </c>
      <c r="D2131" s="8">
        <v>6.38</v>
      </c>
      <c r="E2131" s="9">
        <v>2</v>
      </c>
    </row>
    <row r="2132" spans="1:5" x14ac:dyDescent="0.25">
      <c r="A2132" s="7">
        <v>1</v>
      </c>
      <c r="B2132" s="7">
        <v>3024</v>
      </c>
      <c r="C2132" s="7">
        <v>132</v>
      </c>
      <c r="D2132" s="8">
        <v>38.14</v>
      </c>
      <c r="E2132" s="9">
        <v>3</v>
      </c>
    </row>
    <row r="2133" spans="1:5" x14ac:dyDescent="0.25">
      <c r="A2133" s="7">
        <v>1</v>
      </c>
      <c r="B2133" s="7">
        <v>3030</v>
      </c>
      <c r="C2133" s="7">
        <v>132</v>
      </c>
      <c r="D2133" s="8">
        <v>52.12</v>
      </c>
      <c r="E2133" s="9">
        <v>3</v>
      </c>
    </row>
    <row r="2134" spans="1:5" x14ac:dyDescent="0.25">
      <c r="A2134" s="7">
        <v>1</v>
      </c>
      <c r="B2134" s="7">
        <v>3031</v>
      </c>
      <c r="C2134" s="7">
        <v>132</v>
      </c>
      <c r="D2134" s="8">
        <v>153.2</v>
      </c>
      <c r="E2134" s="9">
        <v>3</v>
      </c>
    </row>
    <row r="2135" spans="1:5" x14ac:dyDescent="0.25">
      <c r="A2135" s="7">
        <v>1</v>
      </c>
      <c r="B2135" s="7">
        <v>3032</v>
      </c>
      <c r="C2135" s="7">
        <v>902</v>
      </c>
      <c r="D2135" s="8">
        <v>11.42</v>
      </c>
      <c r="E2135" s="9">
        <v>2</v>
      </c>
    </row>
    <row r="2136" spans="1:5" x14ac:dyDescent="0.25">
      <c r="A2136" s="7">
        <v>1</v>
      </c>
      <c r="B2136" s="7">
        <v>3033</v>
      </c>
      <c r="C2136" s="7">
        <v>143</v>
      </c>
      <c r="D2136" s="8">
        <v>11.42</v>
      </c>
      <c r="E2136" s="9">
        <v>2</v>
      </c>
    </row>
    <row r="2137" spans="1:5" x14ac:dyDescent="0.25">
      <c r="A2137" s="7">
        <v>1</v>
      </c>
      <c r="B2137" s="7">
        <v>3038</v>
      </c>
      <c r="C2137" s="7">
        <v>150</v>
      </c>
      <c r="D2137" s="8">
        <v>169392.38</v>
      </c>
      <c r="E2137" s="9">
        <v>1</v>
      </c>
    </row>
    <row r="2138" spans="1:5" x14ac:dyDescent="0.25">
      <c r="A2138" s="7">
        <v>1</v>
      </c>
      <c r="B2138" s="7">
        <v>3039</v>
      </c>
      <c r="C2138" s="7">
        <v>902</v>
      </c>
      <c r="D2138" s="8">
        <v>6263.52</v>
      </c>
      <c r="E2138" s="9">
        <v>1</v>
      </c>
    </row>
    <row r="2139" spans="1:5" x14ac:dyDescent="0.25">
      <c r="A2139" s="7">
        <v>1</v>
      </c>
      <c r="B2139" s="7">
        <v>3040</v>
      </c>
      <c r="C2139" s="7">
        <v>902</v>
      </c>
      <c r="D2139" s="8">
        <v>6639.32</v>
      </c>
      <c r="E2139" s="9">
        <v>1</v>
      </c>
    </row>
    <row r="2140" spans="1:5" x14ac:dyDescent="0.25">
      <c r="A2140" s="7">
        <v>1</v>
      </c>
      <c r="B2140" s="7">
        <v>3041</v>
      </c>
      <c r="C2140" s="7">
        <v>152</v>
      </c>
      <c r="D2140" s="8">
        <v>6868.07</v>
      </c>
      <c r="E2140" s="9">
        <v>1</v>
      </c>
    </row>
    <row r="2141" spans="1:5" x14ac:dyDescent="0.25">
      <c r="A2141" s="7">
        <v>1</v>
      </c>
      <c r="B2141" s="7">
        <v>3042</v>
      </c>
      <c r="C2141" s="7">
        <v>902</v>
      </c>
      <c r="D2141" s="8">
        <v>6263.46</v>
      </c>
      <c r="E2141" s="9">
        <v>1</v>
      </c>
    </row>
    <row r="2142" spans="1:5" x14ac:dyDescent="0.25">
      <c r="A2142" s="7">
        <v>1</v>
      </c>
      <c r="B2142" s="7">
        <v>3043</v>
      </c>
      <c r="C2142" s="7">
        <v>143</v>
      </c>
      <c r="D2142" s="8">
        <v>3.23</v>
      </c>
      <c r="E2142" s="9">
        <v>2</v>
      </c>
    </row>
    <row r="2143" spans="1:5" x14ac:dyDescent="0.25">
      <c r="A2143" s="7">
        <v>1</v>
      </c>
      <c r="B2143" s="7">
        <v>3044</v>
      </c>
      <c r="C2143" s="7">
        <v>143</v>
      </c>
      <c r="D2143" s="8">
        <v>4.97</v>
      </c>
      <c r="E2143" s="9">
        <v>2</v>
      </c>
    </row>
    <row r="2144" spans="1:5" x14ac:dyDescent="0.25">
      <c r="A2144" s="7">
        <v>1</v>
      </c>
      <c r="B2144" s="7">
        <v>3045</v>
      </c>
      <c r="C2144" s="7">
        <v>132</v>
      </c>
      <c r="D2144" s="8">
        <v>169.01</v>
      </c>
      <c r="E2144" s="9">
        <v>3</v>
      </c>
    </row>
    <row r="2145" spans="1:5" x14ac:dyDescent="0.25">
      <c r="A2145" s="7">
        <v>1</v>
      </c>
      <c r="B2145" s="7">
        <v>3046</v>
      </c>
      <c r="C2145" s="7">
        <v>143</v>
      </c>
      <c r="D2145" s="8">
        <v>68.29</v>
      </c>
      <c r="E2145" s="9">
        <v>2</v>
      </c>
    </row>
    <row r="2146" spans="1:5" x14ac:dyDescent="0.25">
      <c r="A2146" s="7">
        <v>1</v>
      </c>
      <c r="B2146" s="7">
        <v>3047</v>
      </c>
      <c r="C2146" s="7">
        <v>143</v>
      </c>
      <c r="D2146" s="8">
        <v>119.32</v>
      </c>
      <c r="E2146" s="9">
        <v>2</v>
      </c>
    </row>
    <row r="2147" spans="1:5" x14ac:dyDescent="0.25">
      <c r="A2147" s="7">
        <v>1</v>
      </c>
      <c r="B2147" s="7">
        <v>3048</v>
      </c>
      <c r="C2147" s="7">
        <v>132</v>
      </c>
      <c r="D2147" s="8">
        <v>46.22</v>
      </c>
      <c r="E2147" s="9">
        <v>3</v>
      </c>
    </row>
    <row r="2148" spans="1:5" x14ac:dyDescent="0.25">
      <c r="A2148" s="7">
        <v>1</v>
      </c>
      <c r="B2148" s="7">
        <v>3049</v>
      </c>
      <c r="C2148" s="7">
        <v>197</v>
      </c>
      <c r="D2148" s="8">
        <v>8.89</v>
      </c>
      <c r="E2148" s="9">
        <v>2</v>
      </c>
    </row>
    <row r="2149" spans="1:5" x14ac:dyDescent="0.25">
      <c r="A2149" s="7">
        <v>1</v>
      </c>
      <c r="B2149" s="7">
        <v>3050</v>
      </c>
      <c r="C2149" s="7">
        <v>197</v>
      </c>
      <c r="D2149" s="8">
        <v>8.89</v>
      </c>
      <c r="E2149" s="9">
        <v>2</v>
      </c>
    </row>
    <row r="2150" spans="1:5" x14ac:dyDescent="0.25">
      <c r="A2150" s="7">
        <v>1</v>
      </c>
      <c r="B2150" s="7">
        <v>3051</v>
      </c>
      <c r="C2150" s="7">
        <v>152</v>
      </c>
      <c r="D2150" s="8">
        <v>123708.56</v>
      </c>
      <c r="E2150" s="9">
        <v>1</v>
      </c>
    </row>
    <row r="2151" spans="1:5" x14ac:dyDescent="0.25">
      <c r="A2151" s="7">
        <v>1</v>
      </c>
      <c r="B2151" s="7">
        <v>3052</v>
      </c>
      <c r="C2151" s="7">
        <v>152</v>
      </c>
      <c r="D2151" s="8">
        <v>222859.67</v>
      </c>
      <c r="E2151" s="9">
        <v>1</v>
      </c>
    </row>
    <row r="2152" spans="1:5" x14ac:dyDescent="0.25">
      <c r="A2152" s="7">
        <v>1</v>
      </c>
      <c r="B2152" s="7">
        <v>3054</v>
      </c>
      <c r="C2152" s="7">
        <v>152</v>
      </c>
      <c r="D2152" s="8">
        <v>17209.06</v>
      </c>
      <c r="E2152" s="9">
        <v>1</v>
      </c>
    </row>
    <row r="2153" spans="1:5" x14ac:dyDescent="0.25">
      <c r="A2153" s="7">
        <v>1</v>
      </c>
      <c r="B2153" s="7">
        <v>3055</v>
      </c>
      <c r="C2153" s="7">
        <v>152</v>
      </c>
      <c r="D2153" s="8">
        <v>56686.04</v>
      </c>
      <c r="E2153" s="9">
        <v>1</v>
      </c>
    </row>
    <row r="2154" spans="1:5" x14ac:dyDescent="0.25">
      <c r="A2154" s="7">
        <v>1</v>
      </c>
      <c r="B2154" s="7">
        <v>3056</v>
      </c>
      <c r="C2154" s="7">
        <v>152</v>
      </c>
      <c r="D2154" s="8">
        <v>123708.56</v>
      </c>
      <c r="E2154" s="9">
        <v>1</v>
      </c>
    </row>
    <row r="2155" spans="1:5" x14ac:dyDescent="0.25">
      <c r="A2155" s="7">
        <v>1</v>
      </c>
      <c r="B2155" s="7">
        <v>3057</v>
      </c>
      <c r="C2155" s="7">
        <v>152</v>
      </c>
      <c r="D2155" s="8">
        <v>222859.67</v>
      </c>
      <c r="E2155" s="9">
        <v>1</v>
      </c>
    </row>
    <row r="2156" spans="1:5" x14ac:dyDescent="0.25">
      <c r="A2156" s="7">
        <v>1</v>
      </c>
      <c r="B2156" s="7">
        <v>3058</v>
      </c>
      <c r="C2156" s="7">
        <v>152</v>
      </c>
      <c r="D2156" s="8">
        <v>22873.49</v>
      </c>
      <c r="E2156" s="9">
        <v>1</v>
      </c>
    </row>
    <row r="2157" spans="1:5" x14ac:dyDescent="0.25">
      <c r="A2157" s="7">
        <v>1</v>
      </c>
      <c r="B2157" s="7">
        <v>3059</v>
      </c>
      <c r="C2157" s="7">
        <v>152</v>
      </c>
      <c r="D2157" s="8">
        <v>78356.36</v>
      </c>
      <c r="E2157" s="9">
        <v>1</v>
      </c>
    </row>
    <row r="2158" spans="1:5" x14ac:dyDescent="0.25">
      <c r="A2158" s="7">
        <v>1</v>
      </c>
      <c r="B2158" s="7">
        <v>3060</v>
      </c>
      <c r="C2158" s="7">
        <v>152</v>
      </c>
      <c r="D2158" s="8">
        <v>166481.96</v>
      </c>
      <c r="E2158" s="9">
        <v>1</v>
      </c>
    </row>
    <row r="2159" spans="1:5" x14ac:dyDescent="0.25">
      <c r="A2159" s="7">
        <v>1</v>
      </c>
      <c r="B2159" s="7">
        <v>3061</v>
      </c>
      <c r="C2159" s="7">
        <v>152</v>
      </c>
      <c r="D2159" s="8">
        <v>299715.91</v>
      </c>
      <c r="E2159" s="9">
        <v>1</v>
      </c>
    </row>
    <row r="2160" spans="1:5" x14ac:dyDescent="0.25">
      <c r="A2160" s="7">
        <v>1</v>
      </c>
      <c r="B2160" s="7">
        <v>3062</v>
      </c>
      <c r="C2160" s="7">
        <v>152</v>
      </c>
      <c r="D2160" s="8">
        <v>22873.49</v>
      </c>
      <c r="E2160" s="9">
        <v>1</v>
      </c>
    </row>
    <row r="2161" spans="1:5" x14ac:dyDescent="0.25">
      <c r="A2161" s="7">
        <v>1</v>
      </c>
      <c r="B2161" s="7">
        <v>3063</v>
      </c>
      <c r="C2161" s="7">
        <v>152</v>
      </c>
      <c r="D2161" s="8">
        <v>78356.36</v>
      </c>
      <c r="E2161" s="9">
        <v>1</v>
      </c>
    </row>
    <row r="2162" spans="1:5" x14ac:dyDescent="0.25">
      <c r="A2162" s="7">
        <v>1</v>
      </c>
      <c r="B2162" s="7">
        <v>3064</v>
      </c>
      <c r="C2162" s="7">
        <v>152</v>
      </c>
      <c r="D2162" s="8">
        <v>166481.96</v>
      </c>
      <c r="E2162" s="9">
        <v>1</v>
      </c>
    </row>
    <row r="2163" spans="1:5" x14ac:dyDescent="0.25">
      <c r="A2163" s="7">
        <v>1</v>
      </c>
      <c r="B2163" s="7">
        <v>3066</v>
      </c>
      <c r="C2163" s="7">
        <v>143</v>
      </c>
      <c r="D2163" s="8">
        <v>28.99</v>
      </c>
      <c r="E2163" s="9">
        <v>2</v>
      </c>
    </row>
    <row r="2164" spans="1:5" x14ac:dyDescent="0.25">
      <c r="A2164" s="7">
        <v>1</v>
      </c>
      <c r="B2164" s="7">
        <v>3069</v>
      </c>
      <c r="C2164" s="7">
        <v>132</v>
      </c>
      <c r="D2164" s="8">
        <v>52.15</v>
      </c>
      <c r="E2164" s="9">
        <v>3</v>
      </c>
    </row>
    <row r="2165" spans="1:5" x14ac:dyDescent="0.25">
      <c r="A2165" s="7">
        <v>1</v>
      </c>
      <c r="B2165" s="7">
        <v>3070</v>
      </c>
      <c r="C2165" s="7">
        <v>152</v>
      </c>
      <c r="D2165" s="8">
        <v>299715.91</v>
      </c>
      <c r="E2165" s="9">
        <v>1</v>
      </c>
    </row>
    <row r="2166" spans="1:5" x14ac:dyDescent="0.25">
      <c r="A2166" s="7">
        <v>1</v>
      </c>
      <c r="B2166" s="7">
        <v>3071</v>
      </c>
      <c r="C2166" s="7">
        <v>152</v>
      </c>
      <c r="D2166" s="8">
        <v>25260.94</v>
      </c>
      <c r="E2166" s="9">
        <v>1</v>
      </c>
    </row>
    <row r="2167" spans="1:5" x14ac:dyDescent="0.25">
      <c r="A2167" s="7">
        <v>1</v>
      </c>
      <c r="B2167" s="7">
        <v>3073</v>
      </c>
      <c r="C2167" s="7">
        <v>152</v>
      </c>
      <c r="D2167" s="8">
        <v>81009.91</v>
      </c>
      <c r="E2167" s="9">
        <v>1</v>
      </c>
    </row>
    <row r="2168" spans="1:5" x14ac:dyDescent="0.25">
      <c r="A2168" s="7">
        <v>1</v>
      </c>
      <c r="B2168" s="7">
        <v>3075</v>
      </c>
      <c r="C2168" s="7">
        <v>152</v>
      </c>
      <c r="D2168" s="8">
        <v>183503.12</v>
      </c>
      <c r="E2168" s="9">
        <v>1</v>
      </c>
    </row>
    <row r="2169" spans="1:5" x14ac:dyDescent="0.25">
      <c r="A2169" s="7">
        <v>1</v>
      </c>
      <c r="B2169" s="7">
        <v>3077</v>
      </c>
      <c r="C2169" s="7">
        <v>152</v>
      </c>
      <c r="D2169" s="8">
        <v>330343.86</v>
      </c>
      <c r="E2169" s="9">
        <v>1</v>
      </c>
    </row>
    <row r="2170" spans="1:5" x14ac:dyDescent="0.25">
      <c r="A2170" s="7">
        <v>1</v>
      </c>
      <c r="B2170" s="7">
        <v>3081</v>
      </c>
      <c r="C2170" s="7">
        <v>181</v>
      </c>
      <c r="D2170" s="8">
        <v>7</v>
      </c>
      <c r="E2170" s="9">
        <v>2</v>
      </c>
    </row>
    <row r="2171" spans="1:5" x14ac:dyDescent="0.25">
      <c r="A2171" s="7">
        <v>1</v>
      </c>
      <c r="B2171" s="7">
        <v>3083</v>
      </c>
      <c r="C2171" s="7">
        <v>185</v>
      </c>
      <c r="D2171" s="8">
        <v>8327.25</v>
      </c>
      <c r="E2171" s="9">
        <v>1</v>
      </c>
    </row>
    <row r="2172" spans="1:5" x14ac:dyDescent="0.25">
      <c r="A2172" s="7">
        <v>1</v>
      </c>
      <c r="B2172" s="7">
        <v>3084</v>
      </c>
      <c r="C2172" s="7">
        <v>902</v>
      </c>
      <c r="D2172" s="8">
        <v>18147.94</v>
      </c>
      <c r="E2172" s="9">
        <v>1</v>
      </c>
    </row>
    <row r="2173" spans="1:5" x14ac:dyDescent="0.25">
      <c r="A2173" s="7">
        <v>1</v>
      </c>
      <c r="B2173" s="7">
        <v>3085</v>
      </c>
      <c r="C2173" s="7">
        <v>902</v>
      </c>
      <c r="D2173" s="8">
        <v>66067.95</v>
      </c>
      <c r="E2173" s="9">
        <v>1</v>
      </c>
    </row>
    <row r="2174" spans="1:5" x14ac:dyDescent="0.25">
      <c r="A2174" s="7">
        <v>1</v>
      </c>
      <c r="B2174" s="7">
        <v>3086</v>
      </c>
      <c r="C2174" s="7">
        <v>902</v>
      </c>
      <c r="D2174" s="8">
        <v>18147.94</v>
      </c>
      <c r="E2174" s="9">
        <v>1</v>
      </c>
    </row>
    <row r="2175" spans="1:5" x14ac:dyDescent="0.25">
      <c r="A2175" s="7">
        <v>1</v>
      </c>
      <c r="B2175" s="7">
        <v>3087</v>
      </c>
      <c r="C2175" s="7">
        <v>902</v>
      </c>
      <c r="D2175" s="8">
        <v>66067.95</v>
      </c>
      <c r="E2175" s="9">
        <v>1</v>
      </c>
    </row>
    <row r="2176" spans="1:5" x14ac:dyDescent="0.25">
      <c r="A2176" s="7">
        <v>1</v>
      </c>
      <c r="B2176" s="7">
        <v>3088</v>
      </c>
      <c r="C2176" s="7">
        <v>902</v>
      </c>
      <c r="D2176" s="8">
        <v>18147.94</v>
      </c>
      <c r="E2176" s="9">
        <v>1</v>
      </c>
    </row>
    <row r="2177" spans="1:5" x14ac:dyDescent="0.25">
      <c r="A2177" s="7">
        <v>1</v>
      </c>
      <c r="B2177" s="7">
        <v>3090</v>
      </c>
      <c r="C2177" s="7">
        <v>902</v>
      </c>
      <c r="D2177" s="8">
        <v>18147.94</v>
      </c>
      <c r="E2177" s="9">
        <v>1</v>
      </c>
    </row>
    <row r="2178" spans="1:5" x14ac:dyDescent="0.25">
      <c r="A2178" s="7">
        <v>1</v>
      </c>
      <c r="B2178" s="7">
        <v>3091</v>
      </c>
      <c r="C2178" s="7">
        <v>902</v>
      </c>
      <c r="D2178" s="8">
        <v>66067.95</v>
      </c>
      <c r="E2178" s="9">
        <v>1</v>
      </c>
    </row>
    <row r="2179" spans="1:5" x14ac:dyDescent="0.25">
      <c r="A2179" s="7">
        <v>1</v>
      </c>
      <c r="B2179" s="7">
        <v>3092</v>
      </c>
      <c r="C2179" s="7">
        <v>902</v>
      </c>
      <c r="D2179" s="8">
        <v>18147.94</v>
      </c>
      <c r="E2179" s="9">
        <v>1</v>
      </c>
    </row>
    <row r="2180" spans="1:5" x14ac:dyDescent="0.25">
      <c r="A2180" s="7">
        <v>1</v>
      </c>
      <c r="B2180" s="7">
        <v>3093</v>
      </c>
      <c r="C2180" s="7">
        <v>902</v>
      </c>
      <c r="D2180" s="8">
        <v>66067.95</v>
      </c>
      <c r="E2180" s="9">
        <v>1</v>
      </c>
    </row>
    <row r="2181" spans="1:5" x14ac:dyDescent="0.25">
      <c r="A2181" s="7">
        <v>1</v>
      </c>
      <c r="B2181" s="7">
        <v>3094</v>
      </c>
      <c r="C2181" s="7">
        <v>902</v>
      </c>
      <c r="D2181" s="8">
        <v>18147.94</v>
      </c>
      <c r="E2181" s="9">
        <v>1</v>
      </c>
    </row>
    <row r="2182" spans="1:5" x14ac:dyDescent="0.25">
      <c r="A2182" s="7">
        <v>1</v>
      </c>
      <c r="B2182" s="7">
        <v>3096</v>
      </c>
      <c r="C2182" s="7">
        <v>902</v>
      </c>
      <c r="D2182" s="8">
        <v>18147.94</v>
      </c>
      <c r="E2182" s="9">
        <v>1</v>
      </c>
    </row>
    <row r="2183" spans="1:5" x14ac:dyDescent="0.25">
      <c r="A2183" s="7">
        <v>1</v>
      </c>
      <c r="B2183" s="7">
        <v>3097</v>
      </c>
      <c r="C2183" s="7">
        <v>902</v>
      </c>
      <c r="D2183" s="8">
        <v>66067.95</v>
      </c>
      <c r="E2183" s="9">
        <v>1</v>
      </c>
    </row>
    <row r="2184" spans="1:5" x14ac:dyDescent="0.25">
      <c r="A2184" s="7">
        <v>1</v>
      </c>
      <c r="B2184" s="7">
        <v>3098</v>
      </c>
      <c r="C2184" s="7">
        <v>902</v>
      </c>
      <c r="D2184" s="8">
        <v>18147.94</v>
      </c>
      <c r="E2184" s="9">
        <v>1</v>
      </c>
    </row>
    <row r="2185" spans="1:5" x14ac:dyDescent="0.25">
      <c r="A2185" s="7">
        <v>1</v>
      </c>
      <c r="B2185" s="7">
        <v>3099</v>
      </c>
      <c r="C2185" s="7">
        <v>902</v>
      </c>
      <c r="D2185" s="8">
        <v>66067.95</v>
      </c>
      <c r="E2185" s="9">
        <v>1</v>
      </c>
    </row>
    <row r="2186" spans="1:5" x14ac:dyDescent="0.25">
      <c r="A2186" s="7">
        <v>1</v>
      </c>
      <c r="B2186" s="7">
        <v>3104</v>
      </c>
      <c r="C2186" s="7">
        <v>152</v>
      </c>
      <c r="D2186" s="8">
        <v>12469.1</v>
      </c>
      <c r="E2186" s="9">
        <v>1</v>
      </c>
    </row>
    <row r="2187" spans="1:5" x14ac:dyDescent="0.25">
      <c r="A2187" s="7">
        <v>1</v>
      </c>
      <c r="B2187" s="7">
        <v>3105</v>
      </c>
      <c r="C2187" s="7">
        <v>152</v>
      </c>
      <c r="D2187" s="8">
        <v>11913.03</v>
      </c>
      <c r="E2187" s="9">
        <v>1</v>
      </c>
    </row>
    <row r="2188" spans="1:5" x14ac:dyDescent="0.25">
      <c r="A2188" s="7">
        <v>1</v>
      </c>
      <c r="B2188" s="7">
        <v>3106</v>
      </c>
      <c r="C2188" s="7">
        <v>143</v>
      </c>
      <c r="D2188" s="8">
        <v>10.88</v>
      </c>
      <c r="E2188" s="9">
        <v>2</v>
      </c>
    </row>
    <row r="2189" spans="1:5" x14ac:dyDescent="0.25">
      <c r="A2189" s="7">
        <v>1</v>
      </c>
      <c r="B2189" s="7">
        <v>3108</v>
      </c>
      <c r="C2189" s="7">
        <v>143</v>
      </c>
      <c r="D2189" s="8">
        <v>10.96</v>
      </c>
      <c r="E2189" s="9">
        <v>2</v>
      </c>
    </row>
    <row r="2190" spans="1:5" x14ac:dyDescent="0.25">
      <c r="A2190" s="7">
        <v>1</v>
      </c>
      <c r="B2190" s="7">
        <v>3109</v>
      </c>
      <c r="C2190" s="7">
        <v>152</v>
      </c>
      <c r="D2190" s="8">
        <v>11913.03</v>
      </c>
      <c r="E2190" s="9">
        <v>1</v>
      </c>
    </row>
    <row r="2191" spans="1:5" x14ac:dyDescent="0.25">
      <c r="A2191" s="7">
        <v>1</v>
      </c>
      <c r="B2191" s="7">
        <v>3110</v>
      </c>
      <c r="C2191" s="7">
        <v>152</v>
      </c>
      <c r="D2191" s="8">
        <v>5820</v>
      </c>
      <c r="E2191" s="9">
        <v>1</v>
      </c>
    </row>
    <row r="2192" spans="1:5" x14ac:dyDescent="0.25">
      <c r="A2192" s="7">
        <v>1</v>
      </c>
      <c r="B2192" s="7">
        <v>3111</v>
      </c>
      <c r="C2192" s="7">
        <v>152</v>
      </c>
      <c r="D2192" s="8">
        <v>5820</v>
      </c>
      <c r="E2192" s="9">
        <v>1</v>
      </c>
    </row>
    <row r="2193" spans="1:5" x14ac:dyDescent="0.25">
      <c r="A2193" s="7">
        <v>1</v>
      </c>
      <c r="B2193" s="7">
        <v>3112</v>
      </c>
      <c r="C2193" s="7">
        <v>152</v>
      </c>
      <c r="D2193" s="8">
        <v>5820</v>
      </c>
      <c r="E2193" s="9">
        <v>1</v>
      </c>
    </row>
    <row r="2194" spans="1:5" x14ac:dyDescent="0.25">
      <c r="A2194" s="7">
        <v>1</v>
      </c>
      <c r="B2194" s="7">
        <v>3113</v>
      </c>
      <c r="C2194" s="7">
        <v>152</v>
      </c>
      <c r="D2194" s="8">
        <v>5820</v>
      </c>
      <c r="E2194" s="9">
        <v>1</v>
      </c>
    </row>
    <row r="2195" spans="1:5" x14ac:dyDescent="0.25">
      <c r="A2195" s="7">
        <v>1</v>
      </c>
      <c r="B2195" s="7">
        <v>3115</v>
      </c>
      <c r="C2195" s="7">
        <v>152</v>
      </c>
      <c r="D2195" s="8">
        <v>5820</v>
      </c>
      <c r="E2195" s="9">
        <v>1</v>
      </c>
    </row>
    <row r="2196" spans="1:5" x14ac:dyDescent="0.25">
      <c r="A2196" s="7">
        <v>1</v>
      </c>
      <c r="B2196" s="7">
        <v>3116</v>
      </c>
      <c r="C2196" s="7">
        <v>152</v>
      </c>
      <c r="D2196" s="8">
        <v>5731.85</v>
      </c>
      <c r="E2196" s="9">
        <v>1</v>
      </c>
    </row>
    <row r="2197" spans="1:5" x14ac:dyDescent="0.25">
      <c r="A2197" s="7">
        <v>1</v>
      </c>
      <c r="B2197" s="7">
        <v>3117</v>
      </c>
      <c r="C2197" s="7">
        <v>152</v>
      </c>
      <c r="D2197" s="8">
        <v>5820</v>
      </c>
      <c r="E2197" s="9">
        <v>1</v>
      </c>
    </row>
    <row r="2198" spans="1:5" x14ac:dyDescent="0.25">
      <c r="A2198" s="7">
        <v>1</v>
      </c>
      <c r="B2198" s="7">
        <v>3119</v>
      </c>
      <c r="C2198" s="7">
        <v>152</v>
      </c>
      <c r="D2198" s="8">
        <v>5820</v>
      </c>
      <c r="E2198" s="9">
        <v>1</v>
      </c>
    </row>
    <row r="2199" spans="1:5" x14ac:dyDescent="0.25">
      <c r="A2199" s="7">
        <v>1</v>
      </c>
      <c r="B2199" s="7">
        <v>3120</v>
      </c>
      <c r="C2199" s="7">
        <v>152</v>
      </c>
      <c r="D2199" s="8">
        <v>5820</v>
      </c>
      <c r="E2199" s="9">
        <v>1</v>
      </c>
    </row>
    <row r="2200" spans="1:5" x14ac:dyDescent="0.25">
      <c r="A2200" s="7">
        <v>1</v>
      </c>
      <c r="B2200" s="7">
        <v>3121</v>
      </c>
      <c r="C2200" s="7">
        <v>152</v>
      </c>
      <c r="D2200" s="8">
        <v>6637.68</v>
      </c>
      <c r="E2200" s="9">
        <v>1</v>
      </c>
    </row>
    <row r="2201" spans="1:5" x14ac:dyDescent="0.25">
      <c r="A2201" s="7">
        <v>1</v>
      </c>
      <c r="B2201" s="7">
        <v>3122</v>
      </c>
      <c r="C2201" s="7">
        <v>152</v>
      </c>
      <c r="D2201" s="8">
        <v>5343.32</v>
      </c>
      <c r="E2201" s="9">
        <v>1</v>
      </c>
    </row>
    <row r="2202" spans="1:5" x14ac:dyDescent="0.25">
      <c r="A2202" s="7">
        <v>1</v>
      </c>
      <c r="B2202" s="7">
        <v>3124</v>
      </c>
      <c r="C2202" s="7">
        <v>152</v>
      </c>
      <c r="D2202" s="8">
        <v>5731.85</v>
      </c>
      <c r="E2202" s="9">
        <v>1</v>
      </c>
    </row>
    <row r="2203" spans="1:5" x14ac:dyDescent="0.25">
      <c r="A2203" s="7">
        <v>1</v>
      </c>
      <c r="B2203" s="7">
        <v>3125</v>
      </c>
      <c r="C2203" s="7">
        <v>152</v>
      </c>
      <c r="D2203" s="8">
        <v>8934.94</v>
      </c>
      <c r="E2203" s="9">
        <v>1</v>
      </c>
    </row>
    <row r="2204" spans="1:5" x14ac:dyDescent="0.25">
      <c r="A2204" s="7">
        <v>1</v>
      </c>
      <c r="B2204" s="7">
        <v>3126</v>
      </c>
      <c r="C2204" s="7">
        <v>152</v>
      </c>
      <c r="D2204" s="8">
        <v>5820</v>
      </c>
      <c r="E2204" s="9">
        <v>1</v>
      </c>
    </row>
    <row r="2205" spans="1:5" x14ac:dyDescent="0.25">
      <c r="A2205" s="7">
        <v>1</v>
      </c>
      <c r="B2205" s="7">
        <v>3127</v>
      </c>
      <c r="C2205" s="7">
        <v>152</v>
      </c>
      <c r="D2205" s="8">
        <v>5820</v>
      </c>
      <c r="E2205" s="9">
        <v>1</v>
      </c>
    </row>
    <row r="2206" spans="1:5" x14ac:dyDescent="0.25">
      <c r="A2206" s="7">
        <v>1</v>
      </c>
      <c r="B2206" s="7">
        <v>3128</v>
      </c>
      <c r="C2206" s="7">
        <v>152</v>
      </c>
      <c r="D2206" s="8">
        <v>8934.94</v>
      </c>
      <c r="E2206" s="9">
        <v>1</v>
      </c>
    </row>
    <row r="2207" spans="1:5" x14ac:dyDescent="0.25">
      <c r="A2207" s="7">
        <v>1</v>
      </c>
      <c r="B2207" s="7">
        <v>3129</v>
      </c>
      <c r="C2207" s="7">
        <v>152</v>
      </c>
      <c r="D2207" s="8">
        <v>5820</v>
      </c>
      <c r="E2207" s="9">
        <v>1</v>
      </c>
    </row>
    <row r="2208" spans="1:5" x14ac:dyDescent="0.25">
      <c r="A2208" s="7">
        <v>1</v>
      </c>
      <c r="B2208" s="7">
        <v>3130</v>
      </c>
      <c r="C2208" s="7">
        <v>152</v>
      </c>
      <c r="D2208" s="8">
        <v>8934.94</v>
      </c>
      <c r="E2208" s="9">
        <v>1</v>
      </c>
    </row>
    <row r="2209" spans="1:5" x14ac:dyDescent="0.25">
      <c r="A2209" s="7">
        <v>1</v>
      </c>
      <c r="B2209" s="7">
        <v>3131</v>
      </c>
      <c r="C2209" s="7">
        <v>152</v>
      </c>
      <c r="D2209" s="8">
        <v>5820</v>
      </c>
      <c r="E2209" s="9">
        <v>1</v>
      </c>
    </row>
    <row r="2210" spans="1:5" x14ac:dyDescent="0.25">
      <c r="A2210" s="7">
        <v>1</v>
      </c>
      <c r="B2210" s="7">
        <v>3132</v>
      </c>
      <c r="C2210" s="7">
        <v>152</v>
      </c>
      <c r="D2210" s="8">
        <v>6049.48</v>
      </c>
      <c r="E2210" s="9">
        <v>1</v>
      </c>
    </row>
    <row r="2211" spans="1:5" x14ac:dyDescent="0.25">
      <c r="A2211" s="7">
        <v>1</v>
      </c>
      <c r="B2211" s="7">
        <v>3133</v>
      </c>
      <c r="C2211" s="7">
        <v>152</v>
      </c>
      <c r="D2211" s="8">
        <v>8934.94</v>
      </c>
      <c r="E2211" s="9">
        <v>1</v>
      </c>
    </row>
    <row r="2212" spans="1:5" x14ac:dyDescent="0.25">
      <c r="A2212" s="7">
        <v>1</v>
      </c>
      <c r="B2212" s="7">
        <v>3134</v>
      </c>
      <c r="C2212" s="7">
        <v>152</v>
      </c>
      <c r="D2212" s="8">
        <v>5820</v>
      </c>
      <c r="E2212" s="9">
        <v>1</v>
      </c>
    </row>
    <row r="2213" spans="1:5" x14ac:dyDescent="0.25">
      <c r="A2213" s="7">
        <v>1</v>
      </c>
      <c r="B2213" s="7">
        <v>3135</v>
      </c>
      <c r="C2213" s="7">
        <v>152</v>
      </c>
      <c r="D2213" s="8">
        <v>8934.94</v>
      </c>
      <c r="E2213" s="9">
        <v>1</v>
      </c>
    </row>
    <row r="2214" spans="1:5" x14ac:dyDescent="0.25">
      <c r="A2214" s="7">
        <v>1</v>
      </c>
      <c r="B2214" s="7">
        <v>3136</v>
      </c>
      <c r="C2214" s="7">
        <v>152</v>
      </c>
      <c r="D2214" s="8">
        <v>11913.03</v>
      </c>
      <c r="E2214" s="9">
        <v>1</v>
      </c>
    </row>
    <row r="2215" spans="1:5" x14ac:dyDescent="0.25">
      <c r="A2215" s="7">
        <v>1</v>
      </c>
      <c r="B2215" s="7">
        <v>3137</v>
      </c>
      <c r="C2215" s="7">
        <v>152</v>
      </c>
      <c r="D2215" s="8">
        <v>8016.06</v>
      </c>
      <c r="E2215" s="9">
        <v>1</v>
      </c>
    </row>
    <row r="2216" spans="1:5" x14ac:dyDescent="0.25">
      <c r="A2216" s="7">
        <v>1</v>
      </c>
      <c r="B2216" s="7">
        <v>3138</v>
      </c>
      <c r="C2216" s="7">
        <v>152</v>
      </c>
      <c r="D2216" s="8">
        <v>6049.48</v>
      </c>
      <c r="E2216" s="9">
        <v>1</v>
      </c>
    </row>
    <row r="2217" spans="1:5" x14ac:dyDescent="0.25">
      <c r="A2217" s="7">
        <v>1</v>
      </c>
      <c r="B2217" s="7">
        <v>3139</v>
      </c>
      <c r="C2217" s="7">
        <v>152</v>
      </c>
      <c r="D2217" s="8">
        <v>8412.47</v>
      </c>
      <c r="E2217" s="9">
        <v>1</v>
      </c>
    </row>
    <row r="2218" spans="1:5" x14ac:dyDescent="0.25">
      <c r="A2218" s="7">
        <v>1</v>
      </c>
      <c r="B2218" s="7">
        <v>3140</v>
      </c>
      <c r="C2218" s="7">
        <v>152</v>
      </c>
      <c r="D2218" s="8">
        <v>8770.41</v>
      </c>
      <c r="E2218" s="9">
        <v>1</v>
      </c>
    </row>
    <row r="2219" spans="1:5" x14ac:dyDescent="0.25">
      <c r="A2219" s="7">
        <v>1</v>
      </c>
      <c r="B2219" s="7">
        <v>3141</v>
      </c>
      <c r="C2219" s="7">
        <v>152</v>
      </c>
      <c r="D2219" s="8">
        <v>8770.41</v>
      </c>
      <c r="E2219" s="9">
        <v>1</v>
      </c>
    </row>
    <row r="2220" spans="1:5" x14ac:dyDescent="0.25">
      <c r="A2220" s="7">
        <v>1</v>
      </c>
      <c r="B2220" s="7">
        <v>3142</v>
      </c>
      <c r="C2220" s="7">
        <v>152</v>
      </c>
      <c r="D2220" s="8">
        <v>8770.41</v>
      </c>
      <c r="E2220" s="9">
        <v>1</v>
      </c>
    </row>
    <row r="2221" spans="1:5" x14ac:dyDescent="0.25">
      <c r="A2221" s="7">
        <v>1</v>
      </c>
      <c r="B2221" s="7">
        <v>3143</v>
      </c>
      <c r="C2221" s="7">
        <v>152</v>
      </c>
      <c r="D2221" s="8">
        <v>8770.41</v>
      </c>
      <c r="E2221" s="9">
        <v>1</v>
      </c>
    </row>
    <row r="2222" spans="1:5" x14ac:dyDescent="0.25">
      <c r="A2222" s="7">
        <v>1</v>
      </c>
      <c r="B2222" s="7">
        <v>3144</v>
      </c>
      <c r="C2222" s="7">
        <v>152</v>
      </c>
      <c r="D2222" s="8">
        <v>7731.72</v>
      </c>
      <c r="E2222" s="9">
        <v>1</v>
      </c>
    </row>
    <row r="2223" spans="1:5" x14ac:dyDescent="0.25">
      <c r="A2223" s="7">
        <v>1</v>
      </c>
      <c r="B2223" s="7">
        <v>3145</v>
      </c>
      <c r="C2223" s="7">
        <v>152</v>
      </c>
      <c r="D2223" s="8">
        <v>6637.68</v>
      </c>
      <c r="E2223" s="9">
        <v>1</v>
      </c>
    </row>
    <row r="2224" spans="1:5" x14ac:dyDescent="0.25">
      <c r="A2224" s="7">
        <v>1</v>
      </c>
      <c r="B2224" s="7">
        <v>3154</v>
      </c>
      <c r="C2224" s="7">
        <v>181</v>
      </c>
      <c r="D2224" s="8">
        <v>7.2</v>
      </c>
      <c r="E2224" s="9">
        <v>2</v>
      </c>
    </row>
    <row r="2225" spans="1:5" x14ac:dyDescent="0.25">
      <c r="A2225" s="7">
        <v>1</v>
      </c>
      <c r="B2225" s="7">
        <v>3164</v>
      </c>
      <c r="C2225" s="7">
        <v>902</v>
      </c>
      <c r="D2225" s="8">
        <v>19950.86</v>
      </c>
      <c r="E2225" s="9">
        <v>1</v>
      </c>
    </row>
    <row r="2226" spans="1:5" x14ac:dyDescent="0.25">
      <c r="A2226" s="7">
        <v>1</v>
      </c>
      <c r="B2226" s="7">
        <v>3165</v>
      </c>
      <c r="C2226" s="7">
        <v>902</v>
      </c>
      <c r="D2226" s="8">
        <v>63398.54</v>
      </c>
      <c r="E2226" s="9">
        <v>1</v>
      </c>
    </row>
    <row r="2227" spans="1:5" x14ac:dyDescent="0.25">
      <c r="A2227" s="7">
        <v>1</v>
      </c>
      <c r="B2227" s="7">
        <v>3166</v>
      </c>
      <c r="C2227" s="7">
        <v>902</v>
      </c>
      <c r="D2227" s="8">
        <v>130343.39</v>
      </c>
      <c r="E2227" s="9">
        <v>1</v>
      </c>
    </row>
    <row r="2228" spans="1:5" x14ac:dyDescent="0.25">
      <c r="A2228" s="7">
        <v>1</v>
      </c>
      <c r="B2228" s="7">
        <v>3168</v>
      </c>
      <c r="C2228" s="7">
        <v>902</v>
      </c>
      <c r="D2228" s="8">
        <v>18962.03</v>
      </c>
      <c r="E2228" s="9">
        <v>1</v>
      </c>
    </row>
    <row r="2229" spans="1:5" x14ac:dyDescent="0.25">
      <c r="A2229" s="7">
        <v>1</v>
      </c>
      <c r="B2229" s="7">
        <v>3169</v>
      </c>
      <c r="C2229" s="7">
        <v>902</v>
      </c>
      <c r="D2229" s="8">
        <v>60315.06</v>
      </c>
      <c r="E2229" s="9">
        <v>1</v>
      </c>
    </row>
    <row r="2230" spans="1:5" x14ac:dyDescent="0.25">
      <c r="A2230" s="7">
        <v>1</v>
      </c>
      <c r="B2230" s="7">
        <v>3170</v>
      </c>
      <c r="C2230" s="7">
        <v>902</v>
      </c>
      <c r="D2230" s="8">
        <v>124260.6</v>
      </c>
      <c r="E2230" s="9">
        <v>1</v>
      </c>
    </row>
    <row r="2231" spans="1:5" x14ac:dyDescent="0.25">
      <c r="A2231" s="7">
        <v>1</v>
      </c>
      <c r="B2231" s="7">
        <v>3172</v>
      </c>
      <c r="C2231" s="7">
        <v>902</v>
      </c>
      <c r="D2231" s="8">
        <v>17920.35</v>
      </c>
      <c r="E2231" s="9">
        <v>1</v>
      </c>
    </row>
    <row r="2232" spans="1:5" x14ac:dyDescent="0.25">
      <c r="A2232" s="7">
        <v>1</v>
      </c>
      <c r="B2232" s="7">
        <v>3173</v>
      </c>
      <c r="C2232" s="7">
        <v>902</v>
      </c>
      <c r="D2232" s="8">
        <v>57000.37</v>
      </c>
      <c r="E2232" s="9">
        <v>1</v>
      </c>
    </row>
    <row r="2233" spans="1:5" x14ac:dyDescent="0.25">
      <c r="A2233" s="7">
        <v>1</v>
      </c>
      <c r="B2233" s="7">
        <v>3175</v>
      </c>
      <c r="C2233" s="7">
        <v>902</v>
      </c>
      <c r="D2233" s="8">
        <v>195404.05</v>
      </c>
      <c r="E2233" s="9">
        <v>1</v>
      </c>
    </row>
    <row r="2234" spans="1:5" x14ac:dyDescent="0.25">
      <c r="A2234" s="7">
        <v>1</v>
      </c>
      <c r="B2234" s="7">
        <v>3176</v>
      </c>
      <c r="C2234" s="7">
        <v>902</v>
      </c>
      <c r="D2234" s="8">
        <v>16044.79</v>
      </c>
      <c r="E2234" s="9">
        <v>1</v>
      </c>
    </row>
    <row r="2235" spans="1:5" x14ac:dyDescent="0.25">
      <c r="A2235" s="7">
        <v>1</v>
      </c>
      <c r="B2235" s="7">
        <v>3177</v>
      </c>
      <c r="C2235" s="7">
        <v>902</v>
      </c>
      <c r="D2235" s="8">
        <v>51036.4</v>
      </c>
      <c r="E2235" s="9">
        <v>1</v>
      </c>
    </row>
    <row r="2236" spans="1:5" x14ac:dyDescent="0.25">
      <c r="A2236" s="7">
        <v>1</v>
      </c>
      <c r="B2236" s="7">
        <v>3179</v>
      </c>
      <c r="C2236" s="7">
        <v>152</v>
      </c>
      <c r="D2236" s="8">
        <v>6637.68</v>
      </c>
      <c r="E2236" s="9">
        <v>1</v>
      </c>
    </row>
    <row r="2237" spans="1:5" x14ac:dyDescent="0.25">
      <c r="A2237" s="7">
        <v>1</v>
      </c>
      <c r="B2237" s="7">
        <v>3180</v>
      </c>
      <c r="C2237" s="7">
        <v>152</v>
      </c>
      <c r="D2237" s="8">
        <v>9502.02</v>
      </c>
      <c r="E2237" s="9">
        <v>1</v>
      </c>
    </row>
    <row r="2238" spans="1:5" x14ac:dyDescent="0.25">
      <c r="A2238" s="7">
        <v>1</v>
      </c>
      <c r="B2238" s="7">
        <v>3181</v>
      </c>
      <c r="C2238" s="7">
        <v>152</v>
      </c>
      <c r="D2238" s="8">
        <v>8045.95</v>
      </c>
      <c r="E2238" s="9">
        <v>1</v>
      </c>
    </row>
    <row r="2239" spans="1:5" x14ac:dyDescent="0.25">
      <c r="A2239" s="7">
        <v>1</v>
      </c>
      <c r="B2239" s="7">
        <v>3182</v>
      </c>
      <c r="C2239" s="7">
        <v>152</v>
      </c>
      <c r="D2239" s="8">
        <v>8016.06</v>
      </c>
      <c r="E2239" s="9">
        <v>1</v>
      </c>
    </row>
    <row r="2240" spans="1:5" x14ac:dyDescent="0.25">
      <c r="A2240" s="7">
        <v>1</v>
      </c>
      <c r="B2240" s="7">
        <v>3183</v>
      </c>
      <c r="C2240" s="7">
        <v>152</v>
      </c>
      <c r="D2240" s="8">
        <v>8016.06</v>
      </c>
      <c r="E2240" s="9">
        <v>1</v>
      </c>
    </row>
    <row r="2241" spans="1:5" x14ac:dyDescent="0.25">
      <c r="A2241" s="7">
        <v>1</v>
      </c>
      <c r="B2241" s="7">
        <v>3184</v>
      </c>
      <c r="C2241" s="7">
        <v>132</v>
      </c>
      <c r="D2241" s="8">
        <v>3178.54</v>
      </c>
      <c r="E2241" s="9">
        <v>1</v>
      </c>
    </row>
    <row r="2242" spans="1:5" x14ac:dyDescent="0.25">
      <c r="A2242" s="7">
        <v>1</v>
      </c>
      <c r="B2242" s="7">
        <v>3190</v>
      </c>
      <c r="C2242" s="7">
        <v>102</v>
      </c>
      <c r="D2242" s="8">
        <v>7849.83</v>
      </c>
      <c r="E2242" s="9">
        <v>1</v>
      </c>
    </row>
    <row r="2243" spans="1:5" x14ac:dyDescent="0.25">
      <c r="A2243" s="7">
        <v>1</v>
      </c>
      <c r="B2243" s="7">
        <v>3191</v>
      </c>
      <c r="C2243" s="7">
        <v>102</v>
      </c>
      <c r="D2243" s="8">
        <v>7849.83</v>
      </c>
      <c r="E2243" s="9">
        <v>1</v>
      </c>
    </row>
    <row r="2244" spans="1:5" x14ac:dyDescent="0.25">
      <c r="A2244" s="7">
        <v>1</v>
      </c>
      <c r="B2244" s="7">
        <v>3192</v>
      </c>
      <c r="C2244" s="7">
        <v>102</v>
      </c>
      <c r="D2244" s="8">
        <v>7849.83</v>
      </c>
      <c r="E2244" s="9">
        <v>1</v>
      </c>
    </row>
    <row r="2245" spans="1:5" x14ac:dyDescent="0.25">
      <c r="A2245" s="7">
        <v>1</v>
      </c>
      <c r="B2245" s="7">
        <v>3193</v>
      </c>
      <c r="C2245" s="7">
        <v>102</v>
      </c>
      <c r="D2245" s="8">
        <v>7849.83</v>
      </c>
      <c r="E2245" s="9">
        <v>1</v>
      </c>
    </row>
    <row r="2246" spans="1:5" x14ac:dyDescent="0.25">
      <c r="A2246" s="7">
        <v>1</v>
      </c>
      <c r="B2246" s="7">
        <v>3195</v>
      </c>
      <c r="C2246" s="7">
        <v>102</v>
      </c>
      <c r="D2246" s="8">
        <v>7849.83</v>
      </c>
      <c r="E2246" s="9">
        <v>1</v>
      </c>
    </row>
    <row r="2247" spans="1:5" x14ac:dyDescent="0.25">
      <c r="A2247" s="7">
        <v>1</v>
      </c>
      <c r="B2247" s="7">
        <v>3196</v>
      </c>
      <c r="C2247" s="7">
        <v>185</v>
      </c>
      <c r="D2247" s="8">
        <v>15986.88</v>
      </c>
      <c r="E2247" s="9">
        <v>1</v>
      </c>
    </row>
    <row r="2248" spans="1:5" x14ac:dyDescent="0.25">
      <c r="A2248" s="7">
        <v>1</v>
      </c>
      <c r="B2248" s="7">
        <v>3197</v>
      </c>
      <c r="C2248" s="7">
        <v>902</v>
      </c>
      <c r="D2248" s="8">
        <v>7540.68</v>
      </c>
      <c r="E2248" s="9">
        <v>1</v>
      </c>
    </row>
    <row r="2249" spans="1:5" x14ac:dyDescent="0.25">
      <c r="A2249" s="7">
        <v>1</v>
      </c>
      <c r="B2249" s="7">
        <v>3198</v>
      </c>
      <c r="C2249" s="7">
        <v>102</v>
      </c>
      <c r="D2249" s="8">
        <v>7849.83</v>
      </c>
      <c r="E2249" s="9">
        <v>1</v>
      </c>
    </row>
    <row r="2250" spans="1:5" x14ac:dyDescent="0.25">
      <c r="A2250" s="7">
        <v>1</v>
      </c>
      <c r="B2250" s="7">
        <v>3199</v>
      </c>
      <c r="C2250" s="7">
        <v>102</v>
      </c>
      <c r="D2250" s="8">
        <v>7849.83</v>
      </c>
      <c r="E2250" s="9">
        <v>1</v>
      </c>
    </row>
    <row r="2251" spans="1:5" x14ac:dyDescent="0.25">
      <c r="A2251" s="7">
        <v>1</v>
      </c>
      <c r="B2251" s="7">
        <v>3200</v>
      </c>
      <c r="C2251" s="7">
        <v>102</v>
      </c>
      <c r="D2251" s="8">
        <v>15083.13</v>
      </c>
      <c r="E2251" s="9">
        <v>1</v>
      </c>
    </row>
    <row r="2252" spans="1:5" x14ac:dyDescent="0.25">
      <c r="A2252" s="7">
        <v>1</v>
      </c>
      <c r="B2252" s="7">
        <v>3201</v>
      </c>
      <c r="C2252" s="7">
        <v>102</v>
      </c>
      <c r="D2252" s="8">
        <v>20214.78</v>
      </c>
      <c r="E2252" s="9">
        <v>1</v>
      </c>
    </row>
    <row r="2253" spans="1:5" x14ac:dyDescent="0.25">
      <c r="A2253" s="7">
        <v>1</v>
      </c>
      <c r="B2253" s="7">
        <v>3202</v>
      </c>
      <c r="C2253" s="7">
        <v>102</v>
      </c>
      <c r="D2253" s="8">
        <v>30197.93</v>
      </c>
      <c r="E2253" s="9">
        <v>1</v>
      </c>
    </row>
    <row r="2254" spans="1:5" x14ac:dyDescent="0.25">
      <c r="A2254" s="7">
        <v>1</v>
      </c>
      <c r="B2254" s="7">
        <v>3203</v>
      </c>
      <c r="C2254" s="7">
        <v>102</v>
      </c>
      <c r="D2254" s="8">
        <v>40231.48</v>
      </c>
      <c r="E2254" s="9">
        <v>1</v>
      </c>
    </row>
    <row r="2255" spans="1:5" x14ac:dyDescent="0.25">
      <c r="A2255" s="7">
        <v>1</v>
      </c>
      <c r="B2255" s="7">
        <v>3204</v>
      </c>
      <c r="C2255" s="7">
        <v>152</v>
      </c>
      <c r="D2255" s="8">
        <v>19504.32</v>
      </c>
      <c r="E2255" s="9">
        <v>1</v>
      </c>
    </row>
    <row r="2256" spans="1:5" x14ac:dyDescent="0.25">
      <c r="A2256" s="7">
        <v>1</v>
      </c>
      <c r="B2256" s="7">
        <v>3206</v>
      </c>
      <c r="C2256" s="7">
        <v>104</v>
      </c>
      <c r="D2256" s="8">
        <v>115647.35</v>
      </c>
      <c r="E2256" s="9">
        <v>1</v>
      </c>
    </row>
    <row r="2257" spans="1:5" x14ac:dyDescent="0.25">
      <c r="A2257" s="7">
        <v>1</v>
      </c>
      <c r="B2257" s="7">
        <v>3208</v>
      </c>
      <c r="C2257" s="7">
        <v>104</v>
      </c>
      <c r="D2257" s="8">
        <v>231106.68</v>
      </c>
      <c r="E2257" s="9">
        <v>1</v>
      </c>
    </row>
    <row r="2258" spans="1:5" x14ac:dyDescent="0.25">
      <c r="A2258" s="7">
        <v>1</v>
      </c>
      <c r="B2258" s="7">
        <v>3210</v>
      </c>
      <c r="C2258" s="7">
        <v>152</v>
      </c>
      <c r="D2258" s="8">
        <v>7412.78</v>
      </c>
      <c r="E2258" s="9">
        <v>1</v>
      </c>
    </row>
    <row r="2259" spans="1:5" x14ac:dyDescent="0.25">
      <c r="A2259" s="7">
        <v>1</v>
      </c>
      <c r="B2259" s="7">
        <v>3211</v>
      </c>
      <c r="C2259" s="7">
        <v>153</v>
      </c>
      <c r="D2259" s="8">
        <v>88921.66</v>
      </c>
      <c r="E2259" s="9">
        <v>1</v>
      </c>
    </row>
    <row r="2260" spans="1:5" x14ac:dyDescent="0.25">
      <c r="A2260" s="7">
        <v>1</v>
      </c>
      <c r="B2260" s="7">
        <v>3212</v>
      </c>
      <c r="C2260" s="7">
        <v>153</v>
      </c>
      <c r="D2260" s="8">
        <v>375969.41</v>
      </c>
      <c r="E2260" s="9">
        <v>1</v>
      </c>
    </row>
    <row r="2261" spans="1:5" x14ac:dyDescent="0.25">
      <c r="A2261" s="7">
        <v>1</v>
      </c>
      <c r="B2261" s="7">
        <v>3214</v>
      </c>
      <c r="C2261" s="7">
        <v>153</v>
      </c>
      <c r="D2261" s="8">
        <v>175410.96</v>
      </c>
      <c r="E2261" s="9">
        <v>1</v>
      </c>
    </row>
    <row r="2262" spans="1:5" x14ac:dyDescent="0.25">
      <c r="A2262" s="7">
        <v>1</v>
      </c>
      <c r="B2262" s="7">
        <v>3215</v>
      </c>
      <c r="C2262" s="7">
        <v>108</v>
      </c>
      <c r="D2262" s="8">
        <v>151238.62</v>
      </c>
      <c r="E2262" s="9">
        <v>1</v>
      </c>
    </row>
    <row r="2263" spans="1:5" x14ac:dyDescent="0.25">
      <c r="A2263" s="7">
        <v>1</v>
      </c>
      <c r="B2263" s="7">
        <v>3216</v>
      </c>
      <c r="C2263" s="7">
        <v>153</v>
      </c>
      <c r="D2263" s="8">
        <v>175410.96</v>
      </c>
      <c r="E2263" s="9">
        <v>1</v>
      </c>
    </row>
    <row r="2264" spans="1:5" x14ac:dyDescent="0.25">
      <c r="A2264" s="7">
        <v>1</v>
      </c>
      <c r="B2264" s="7">
        <v>3221</v>
      </c>
      <c r="C2264" s="7">
        <v>132</v>
      </c>
      <c r="D2264" s="8">
        <v>83.03</v>
      </c>
      <c r="E2264" s="9">
        <v>3</v>
      </c>
    </row>
    <row r="2265" spans="1:5" x14ac:dyDescent="0.25">
      <c r="A2265" s="7">
        <v>1</v>
      </c>
      <c r="B2265" s="7">
        <v>3222</v>
      </c>
      <c r="C2265" s="7">
        <v>132</v>
      </c>
      <c r="D2265" s="8">
        <v>73.77</v>
      </c>
      <c r="E2265" s="9">
        <v>3</v>
      </c>
    </row>
    <row r="2266" spans="1:5" x14ac:dyDescent="0.25">
      <c r="A2266" s="7">
        <v>1</v>
      </c>
      <c r="B2266" s="7">
        <v>3228</v>
      </c>
      <c r="C2266" s="7">
        <v>108</v>
      </c>
      <c r="D2266" s="8">
        <v>86674.81</v>
      </c>
      <c r="E2266" s="9">
        <v>1</v>
      </c>
    </row>
    <row r="2267" spans="1:5" x14ac:dyDescent="0.25">
      <c r="A2267" s="7">
        <v>1</v>
      </c>
      <c r="B2267" s="7">
        <v>3229</v>
      </c>
      <c r="C2267" s="7">
        <v>108</v>
      </c>
      <c r="D2267" s="8">
        <v>86674.81</v>
      </c>
      <c r="E2267" s="9">
        <v>1</v>
      </c>
    </row>
    <row r="2268" spans="1:5" x14ac:dyDescent="0.25">
      <c r="A2268" s="7">
        <v>1</v>
      </c>
      <c r="B2268" s="7">
        <v>3230</v>
      </c>
      <c r="C2268" s="7">
        <v>152</v>
      </c>
      <c r="D2268" s="8">
        <v>7412.78</v>
      </c>
      <c r="E2268" s="9">
        <v>1</v>
      </c>
    </row>
    <row r="2269" spans="1:5" x14ac:dyDescent="0.25">
      <c r="A2269" s="7">
        <v>1</v>
      </c>
      <c r="B2269" s="7">
        <v>3231</v>
      </c>
      <c r="C2269" s="7">
        <v>152</v>
      </c>
      <c r="D2269" s="8">
        <v>7412.78</v>
      </c>
      <c r="E2269" s="9">
        <v>1</v>
      </c>
    </row>
    <row r="2270" spans="1:5" x14ac:dyDescent="0.25">
      <c r="A2270" s="7">
        <v>1</v>
      </c>
      <c r="B2270" s="7">
        <v>3232</v>
      </c>
      <c r="C2270" s="7">
        <v>152</v>
      </c>
      <c r="D2270" s="8">
        <v>10412.33</v>
      </c>
      <c r="E2270" s="9">
        <v>1</v>
      </c>
    </row>
    <row r="2271" spans="1:5" x14ac:dyDescent="0.25">
      <c r="A2271" s="7">
        <v>1</v>
      </c>
      <c r="B2271" s="7">
        <v>3237</v>
      </c>
      <c r="C2271" s="7">
        <v>152</v>
      </c>
      <c r="D2271" s="8">
        <v>8016.06</v>
      </c>
      <c r="E2271" s="9">
        <v>1</v>
      </c>
    </row>
    <row r="2272" spans="1:5" x14ac:dyDescent="0.25">
      <c r="A2272" s="7">
        <v>1</v>
      </c>
      <c r="B2272" s="7">
        <v>3238</v>
      </c>
      <c r="C2272" s="7">
        <v>156</v>
      </c>
      <c r="D2272" s="8">
        <v>6000</v>
      </c>
      <c r="E2272" s="9">
        <v>1</v>
      </c>
    </row>
    <row r="2273" spans="1:5" x14ac:dyDescent="0.25">
      <c r="A2273" s="7">
        <v>1</v>
      </c>
      <c r="B2273" s="7">
        <v>3239</v>
      </c>
      <c r="C2273" s="7">
        <v>156</v>
      </c>
      <c r="D2273" s="8">
        <v>6000</v>
      </c>
      <c r="E2273" s="9">
        <v>1</v>
      </c>
    </row>
    <row r="2274" spans="1:5" x14ac:dyDescent="0.25">
      <c r="A2274" s="7">
        <v>1</v>
      </c>
      <c r="B2274" s="7">
        <v>3240</v>
      </c>
      <c r="C2274" s="7">
        <v>156</v>
      </c>
      <c r="D2274" s="8">
        <v>6000</v>
      </c>
      <c r="E2274" s="9">
        <v>1</v>
      </c>
    </row>
    <row r="2275" spans="1:5" x14ac:dyDescent="0.25">
      <c r="A2275" s="7">
        <v>1</v>
      </c>
      <c r="B2275" s="7">
        <v>3241</v>
      </c>
      <c r="C2275" s="7">
        <v>156</v>
      </c>
      <c r="D2275" s="8">
        <v>13570</v>
      </c>
      <c r="E2275" s="9">
        <v>1</v>
      </c>
    </row>
    <row r="2276" spans="1:5" x14ac:dyDescent="0.25">
      <c r="A2276" s="7">
        <v>1</v>
      </c>
      <c r="B2276" s="7">
        <v>3242</v>
      </c>
      <c r="C2276" s="7">
        <v>156</v>
      </c>
      <c r="D2276" s="8">
        <v>13570</v>
      </c>
      <c r="E2276" s="9">
        <v>1</v>
      </c>
    </row>
    <row r="2277" spans="1:5" x14ac:dyDescent="0.25">
      <c r="A2277" s="7">
        <v>1</v>
      </c>
      <c r="B2277" s="7">
        <v>3243</v>
      </c>
      <c r="C2277" s="7">
        <v>156</v>
      </c>
      <c r="D2277" s="8">
        <v>13570</v>
      </c>
      <c r="E2277" s="9">
        <v>1</v>
      </c>
    </row>
    <row r="2278" spans="1:5" x14ac:dyDescent="0.25">
      <c r="A2278" s="7">
        <v>1</v>
      </c>
      <c r="B2278" s="7">
        <v>3244</v>
      </c>
      <c r="C2278" s="7">
        <v>156</v>
      </c>
      <c r="D2278" s="8">
        <v>13570</v>
      </c>
      <c r="E2278" s="9">
        <v>1</v>
      </c>
    </row>
    <row r="2279" spans="1:5" x14ac:dyDescent="0.25">
      <c r="A2279" s="7">
        <v>1</v>
      </c>
      <c r="B2279" s="7">
        <v>3245</v>
      </c>
      <c r="C2279" s="7">
        <v>156</v>
      </c>
      <c r="D2279" s="8">
        <v>13570</v>
      </c>
      <c r="E2279" s="9">
        <v>1</v>
      </c>
    </row>
    <row r="2280" spans="1:5" x14ac:dyDescent="0.25">
      <c r="A2280" s="7">
        <v>1</v>
      </c>
      <c r="B2280" s="7">
        <v>3246</v>
      </c>
      <c r="C2280" s="7">
        <v>156</v>
      </c>
      <c r="D2280" s="8">
        <v>13570</v>
      </c>
      <c r="E2280" s="9">
        <v>1</v>
      </c>
    </row>
    <row r="2281" spans="1:5" x14ac:dyDescent="0.25">
      <c r="A2281" s="7">
        <v>1</v>
      </c>
      <c r="B2281" s="7">
        <v>3247</v>
      </c>
      <c r="C2281" s="7">
        <v>156</v>
      </c>
      <c r="D2281" s="8">
        <v>13570</v>
      </c>
      <c r="E2281" s="9">
        <v>1</v>
      </c>
    </row>
    <row r="2282" spans="1:5" x14ac:dyDescent="0.25">
      <c r="A2282" s="7">
        <v>1</v>
      </c>
      <c r="B2282" s="7">
        <v>3248</v>
      </c>
      <c r="C2282" s="7">
        <v>156</v>
      </c>
      <c r="D2282" s="8">
        <v>15500</v>
      </c>
      <c r="E2282" s="9">
        <v>1</v>
      </c>
    </row>
    <row r="2283" spans="1:5" x14ac:dyDescent="0.25">
      <c r="A2283" s="7">
        <v>1</v>
      </c>
      <c r="B2283" s="7">
        <v>3249</v>
      </c>
      <c r="C2283" s="7">
        <v>165</v>
      </c>
      <c r="D2283" s="8">
        <v>7501.05</v>
      </c>
      <c r="E2283" s="9">
        <v>1</v>
      </c>
    </row>
    <row r="2284" spans="1:5" x14ac:dyDescent="0.25">
      <c r="A2284" s="7">
        <v>1</v>
      </c>
      <c r="B2284" s="7">
        <v>3250</v>
      </c>
      <c r="C2284" s="7">
        <v>156</v>
      </c>
      <c r="D2284" s="8">
        <v>24063.75</v>
      </c>
      <c r="E2284" s="9">
        <v>1</v>
      </c>
    </row>
    <row r="2285" spans="1:5" x14ac:dyDescent="0.25">
      <c r="A2285" s="7">
        <v>1</v>
      </c>
      <c r="B2285" s="7">
        <v>3251</v>
      </c>
      <c r="C2285" s="7">
        <v>165</v>
      </c>
      <c r="D2285" s="8">
        <v>11493.9</v>
      </c>
      <c r="E2285" s="9">
        <v>1</v>
      </c>
    </row>
    <row r="2286" spans="1:5" x14ac:dyDescent="0.25">
      <c r="A2286" s="7">
        <v>1</v>
      </c>
      <c r="B2286" s="7">
        <v>3252</v>
      </c>
      <c r="C2286" s="7">
        <v>156</v>
      </c>
      <c r="D2286" s="8">
        <v>598000</v>
      </c>
      <c r="E2286" s="9">
        <v>1</v>
      </c>
    </row>
    <row r="2287" spans="1:5" x14ac:dyDescent="0.25">
      <c r="A2287" s="7">
        <v>1</v>
      </c>
      <c r="B2287" s="7">
        <v>3253</v>
      </c>
      <c r="C2287" s="7">
        <v>156</v>
      </c>
      <c r="D2287" s="8">
        <v>87945</v>
      </c>
      <c r="E2287" s="9">
        <v>1</v>
      </c>
    </row>
    <row r="2288" spans="1:5" x14ac:dyDescent="0.25">
      <c r="A2288" s="7">
        <v>1</v>
      </c>
      <c r="B2288" s="7">
        <v>3254</v>
      </c>
      <c r="C2288" s="7">
        <v>156</v>
      </c>
      <c r="D2288" s="8">
        <v>8725</v>
      </c>
      <c r="E2288" s="9">
        <v>1</v>
      </c>
    </row>
    <row r="2289" spans="1:5" x14ac:dyDescent="0.25">
      <c r="A2289" s="7">
        <v>1</v>
      </c>
      <c r="B2289" s="7">
        <v>3255</v>
      </c>
      <c r="C2289" s="7">
        <v>156</v>
      </c>
      <c r="D2289" s="8">
        <v>39715</v>
      </c>
      <c r="E2289" s="9">
        <v>1</v>
      </c>
    </row>
    <row r="2290" spans="1:5" x14ac:dyDescent="0.25">
      <c r="A2290" s="7">
        <v>1</v>
      </c>
      <c r="B2290" s="7">
        <v>3256</v>
      </c>
      <c r="C2290" s="7">
        <v>104</v>
      </c>
      <c r="D2290" s="8">
        <v>3446.61</v>
      </c>
      <c r="E2290" s="9">
        <v>2</v>
      </c>
    </row>
    <row r="2291" spans="1:5" x14ac:dyDescent="0.25">
      <c r="A2291" s="7">
        <v>1</v>
      </c>
      <c r="B2291" s="7">
        <v>3257</v>
      </c>
      <c r="C2291" s="7">
        <v>104</v>
      </c>
      <c r="D2291" s="8">
        <v>174.59</v>
      </c>
      <c r="E2291" s="9">
        <v>2</v>
      </c>
    </row>
    <row r="2292" spans="1:5" x14ac:dyDescent="0.25">
      <c r="A2292" s="7">
        <v>1</v>
      </c>
      <c r="B2292" s="7">
        <v>3258</v>
      </c>
      <c r="C2292" s="7">
        <v>186</v>
      </c>
      <c r="D2292" s="8">
        <v>6768</v>
      </c>
      <c r="E2292" s="9">
        <v>1</v>
      </c>
    </row>
    <row r="2293" spans="1:5" x14ac:dyDescent="0.25">
      <c r="A2293" s="7">
        <v>1</v>
      </c>
      <c r="B2293" s="7">
        <v>3259</v>
      </c>
      <c r="C2293" s="7">
        <v>186</v>
      </c>
      <c r="D2293" s="8">
        <v>24150</v>
      </c>
      <c r="E2293" s="9">
        <v>1</v>
      </c>
    </row>
    <row r="2294" spans="1:5" x14ac:dyDescent="0.25">
      <c r="A2294" s="7">
        <v>1</v>
      </c>
      <c r="B2294" s="7">
        <v>3260</v>
      </c>
      <c r="C2294" s="7">
        <v>186</v>
      </c>
      <c r="D2294" s="8">
        <v>51000.75</v>
      </c>
      <c r="E2294" s="9">
        <v>1</v>
      </c>
    </row>
    <row r="2295" spans="1:5" x14ac:dyDescent="0.25">
      <c r="A2295" s="7">
        <v>1</v>
      </c>
      <c r="B2295" s="7">
        <v>3263</v>
      </c>
      <c r="C2295" s="7">
        <v>104</v>
      </c>
      <c r="D2295" s="8">
        <v>458006.76</v>
      </c>
      <c r="E2295" s="9">
        <v>1</v>
      </c>
    </row>
    <row r="2296" spans="1:5" x14ac:dyDescent="0.25">
      <c r="A2296" s="7">
        <v>1</v>
      </c>
      <c r="B2296" s="7">
        <v>3264</v>
      </c>
      <c r="C2296" s="7">
        <v>104</v>
      </c>
      <c r="D2296" s="8">
        <v>503799.92</v>
      </c>
      <c r="E2296" s="9">
        <v>1</v>
      </c>
    </row>
    <row r="2297" spans="1:5" x14ac:dyDescent="0.25">
      <c r="A2297" s="7">
        <v>1</v>
      </c>
      <c r="B2297" s="7">
        <v>3265</v>
      </c>
      <c r="C2297" s="7">
        <v>104</v>
      </c>
      <c r="D2297" s="8">
        <v>468530.43</v>
      </c>
      <c r="E2297" s="9">
        <v>1</v>
      </c>
    </row>
    <row r="2298" spans="1:5" x14ac:dyDescent="0.25">
      <c r="A2298" s="7">
        <v>1</v>
      </c>
      <c r="B2298" s="7">
        <v>3267</v>
      </c>
      <c r="C2298" s="7">
        <v>104</v>
      </c>
      <c r="D2298" s="8">
        <v>309501.63</v>
      </c>
      <c r="E2298" s="9">
        <v>1</v>
      </c>
    </row>
    <row r="2299" spans="1:5" x14ac:dyDescent="0.25">
      <c r="A2299" s="7">
        <v>1</v>
      </c>
      <c r="B2299" s="7">
        <v>3268</v>
      </c>
      <c r="C2299" s="7">
        <v>104</v>
      </c>
      <c r="D2299" s="8">
        <v>7768.93</v>
      </c>
      <c r="E2299" s="9">
        <v>1</v>
      </c>
    </row>
    <row r="2300" spans="1:5" x14ac:dyDescent="0.25">
      <c r="A2300" s="7">
        <v>1</v>
      </c>
      <c r="B2300" s="7">
        <v>3269</v>
      </c>
      <c r="C2300" s="7">
        <v>132</v>
      </c>
      <c r="D2300" s="8">
        <v>101.83</v>
      </c>
      <c r="E2300" s="9">
        <v>3</v>
      </c>
    </row>
    <row r="2301" spans="1:5" x14ac:dyDescent="0.25">
      <c r="A2301" s="7">
        <v>1</v>
      </c>
      <c r="B2301" s="7">
        <v>3270</v>
      </c>
      <c r="C2301" s="7">
        <v>115</v>
      </c>
      <c r="D2301" s="8">
        <v>60560.74</v>
      </c>
      <c r="E2301" s="9">
        <v>1</v>
      </c>
    </row>
    <row r="2302" spans="1:5" x14ac:dyDescent="0.25">
      <c r="A2302" s="7">
        <v>1</v>
      </c>
      <c r="B2302" s="7">
        <v>3271</v>
      </c>
      <c r="C2302" s="7">
        <v>132</v>
      </c>
      <c r="D2302" s="8">
        <v>25.69</v>
      </c>
      <c r="E2302" s="9">
        <v>3</v>
      </c>
    </row>
    <row r="2303" spans="1:5" x14ac:dyDescent="0.25">
      <c r="A2303" s="7">
        <v>1</v>
      </c>
      <c r="B2303" s="7">
        <v>3272</v>
      </c>
      <c r="C2303" s="7">
        <v>134</v>
      </c>
      <c r="D2303" s="8">
        <v>15.1</v>
      </c>
      <c r="E2303" s="9">
        <v>3</v>
      </c>
    </row>
    <row r="2304" spans="1:5" x14ac:dyDescent="0.25">
      <c r="A2304" s="7">
        <v>1</v>
      </c>
      <c r="B2304" s="7">
        <v>3273</v>
      </c>
      <c r="C2304" s="7">
        <v>132</v>
      </c>
      <c r="D2304" s="8">
        <v>8.4</v>
      </c>
      <c r="E2304" s="9">
        <v>3</v>
      </c>
    </row>
    <row r="2305" spans="1:5" x14ac:dyDescent="0.25">
      <c r="A2305" s="7">
        <v>1</v>
      </c>
      <c r="B2305" s="7">
        <v>3274</v>
      </c>
      <c r="C2305" s="7">
        <v>156</v>
      </c>
      <c r="D2305" s="8">
        <v>5913</v>
      </c>
      <c r="E2305" s="9">
        <v>1</v>
      </c>
    </row>
    <row r="2306" spans="1:5" x14ac:dyDescent="0.25">
      <c r="A2306" s="7">
        <v>1</v>
      </c>
      <c r="B2306" s="7">
        <v>3275</v>
      </c>
      <c r="C2306" s="7">
        <v>156</v>
      </c>
      <c r="D2306" s="8">
        <v>5913</v>
      </c>
      <c r="E2306" s="9">
        <v>1</v>
      </c>
    </row>
    <row r="2307" spans="1:5" x14ac:dyDescent="0.25">
      <c r="A2307" s="7">
        <v>1</v>
      </c>
      <c r="B2307" s="7">
        <v>3276</v>
      </c>
      <c r="C2307" s="7">
        <v>156</v>
      </c>
      <c r="D2307" s="8">
        <v>5913</v>
      </c>
      <c r="E2307" s="9">
        <v>1</v>
      </c>
    </row>
    <row r="2308" spans="1:5" x14ac:dyDescent="0.25">
      <c r="A2308" s="7">
        <v>1</v>
      </c>
      <c r="B2308" s="7">
        <v>3277</v>
      </c>
      <c r="C2308" s="7">
        <v>132</v>
      </c>
      <c r="D2308" s="8">
        <v>66.15</v>
      </c>
      <c r="E2308" s="9">
        <v>3</v>
      </c>
    </row>
    <row r="2309" spans="1:5" x14ac:dyDescent="0.25">
      <c r="A2309" s="7">
        <v>1</v>
      </c>
      <c r="B2309" s="7">
        <v>3286</v>
      </c>
      <c r="C2309" s="7">
        <v>102</v>
      </c>
      <c r="D2309" s="8">
        <v>1272.38</v>
      </c>
      <c r="E2309" s="9">
        <v>1</v>
      </c>
    </row>
    <row r="2310" spans="1:5" x14ac:dyDescent="0.25">
      <c r="A2310" s="7">
        <v>1</v>
      </c>
      <c r="B2310" s="7">
        <v>3289</v>
      </c>
      <c r="C2310" s="7">
        <v>102</v>
      </c>
      <c r="D2310" s="8">
        <v>1272.38</v>
      </c>
      <c r="E2310" s="9">
        <v>1</v>
      </c>
    </row>
    <row r="2311" spans="1:5" x14ac:dyDescent="0.25">
      <c r="A2311" s="7">
        <v>1</v>
      </c>
      <c r="B2311" s="7">
        <v>3290</v>
      </c>
      <c r="C2311" s="7">
        <v>102</v>
      </c>
      <c r="D2311" s="8">
        <v>1272.38</v>
      </c>
      <c r="E2311" s="9">
        <v>1</v>
      </c>
    </row>
    <row r="2312" spans="1:5" x14ac:dyDescent="0.25">
      <c r="A2312" s="7">
        <v>1</v>
      </c>
      <c r="B2312" s="7">
        <v>3291</v>
      </c>
      <c r="C2312" s="7">
        <v>102</v>
      </c>
      <c r="D2312" s="8">
        <v>1272.38</v>
      </c>
      <c r="E2312" s="9">
        <v>1</v>
      </c>
    </row>
    <row r="2313" spans="1:5" x14ac:dyDescent="0.25">
      <c r="A2313" s="7">
        <v>1</v>
      </c>
      <c r="B2313" s="7">
        <v>3296</v>
      </c>
      <c r="C2313" s="7">
        <v>132</v>
      </c>
      <c r="D2313" s="8">
        <v>55.55</v>
      </c>
      <c r="E2313" s="9">
        <v>3</v>
      </c>
    </row>
    <row r="2314" spans="1:5" x14ac:dyDescent="0.25">
      <c r="A2314" s="7">
        <v>1</v>
      </c>
      <c r="B2314" s="7">
        <v>3303</v>
      </c>
      <c r="C2314" s="7">
        <v>185</v>
      </c>
      <c r="D2314" s="8">
        <v>30517.52</v>
      </c>
      <c r="E2314" s="9">
        <v>1</v>
      </c>
    </row>
    <row r="2315" spans="1:5" x14ac:dyDescent="0.25">
      <c r="A2315" s="7">
        <v>1</v>
      </c>
      <c r="B2315" s="7">
        <v>3304</v>
      </c>
      <c r="C2315" s="7">
        <v>152</v>
      </c>
      <c r="D2315" s="8">
        <v>69523.95</v>
      </c>
      <c r="E2315" s="9">
        <v>1</v>
      </c>
    </row>
    <row r="2316" spans="1:5" x14ac:dyDescent="0.25">
      <c r="A2316" s="7">
        <v>1</v>
      </c>
      <c r="B2316" s="7">
        <v>3306</v>
      </c>
      <c r="C2316" s="7">
        <v>185</v>
      </c>
      <c r="D2316" s="8">
        <v>62768.05</v>
      </c>
      <c r="E2316" s="9">
        <v>1</v>
      </c>
    </row>
    <row r="2317" spans="1:5" x14ac:dyDescent="0.25">
      <c r="A2317" s="7">
        <v>1</v>
      </c>
      <c r="B2317" s="7">
        <v>3307</v>
      </c>
      <c r="C2317" s="7">
        <v>152</v>
      </c>
      <c r="D2317" s="8">
        <v>68360.85</v>
      </c>
      <c r="E2317" s="9">
        <v>1</v>
      </c>
    </row>
    <row r="2318" spans="1:5" x14ac:dyDescent="0.25">
      <c r="A2318" s="7">
        <v>1</v>
      </c>
      <c r="B2318" s="7">
        <v>3308</v>
      </c>
      <c r="C2318" s="7">
        <v>185</v>
      </c>
      <c r="D2318" s="8">
        <v>107780.03</v>
      </c>
      <c r="E2318" s="9">
        <v>1</v>
      </c>
    </row>
    <row r="2319" spans="1:5" x14ac:dyDescent="0.25">
      <c r="A2319" s="7">
        <v>1</v>
      </c>
      <c r="B2319" s="7">
        <v>3310</v>
      </c>
      <c r="C2319" s="7">
        <v>152</v>
      </c>
      <c r="D2319" s="8">
        <v>8016.06</v>
      </c>
      <c r="E2319" s="9">
        <v>1</v>
      </c>
    </row>
    <row r="2320" spans="1:5" x14ac:dyDescent="0.25">
      <c r="A2320" s="7">
        <v>1</v>
      </c>
      <c r="B2320" s="7">
        <v>3311</v>
      </c>
      <c r="C2320" s="7">
        <v>152</v>
      </c>
      <c r="D2320" s="8">
        <v>8016.06</v>
      </c>
      <c r="E2320" s="9">
        <v>1</v>
      </c>
    </row>
    <row r="2321" spans="1:5" x14ac:dyDescent="0.25">
      <c r="A2321" s="7">
        <v>1</v>
      </c>
      <c r="B2321" s="7">
        <v>3312</v>
      </c>
      <c r="C2321" s="7">
        <v>152</v>
      </c>
      <c r="D2321" s="8">
        <v>8016.06</v>
      </c>
      <c r="E2321" s="9">
        <v>1</v>
      </c>
    </row>
    <row r="2322" spans="1:5" x14ac:dyDescent="0.25">
      <c r="A2322" s="7">
        <v>1</v>
      </c>
      <c r="B2322" s="7">
        <v>3313</v>
      </c>
      <c r="C2322" s="7">
        <v>152</v>
      </c>
      <c r="D2322" s="8">
        <v>8016.06</v>
      </c>
      <c r="E2322" s="9">
        <v>1</v>
      </c>
    </row>
    <row r="2323" spans="1:5" x14ac:dyDescent="0.25">
      <c r="A2323" s="7">
        <v>1</v>
      </c>
      <c r="B2323" s="7">
        <v>3314</v>
      </c>
      <c r="C2323" s="7">
        <v>152</v>
      </c>
      <c r="D2323" s="8">
        <v>8016.06</v>
      </c>
      <c r="E2323" s="9">
        <v>1</v>
      </c>
    </row>
    <row r="2324" spans="1:5" x14ac:dyDescent="0.25">
      <c r="A2324" s="7">
        <v>1</v>
      </c>
      <c r="B2324" s="7">
        <v>3315</v>
      </c>
      <c r="C2324" s="7">
        <v>152</v>
      </c>
      <c r="D2324" s="8">
        <v>8045.95</v>
      </c>
      <c r="E2324" s="9">
        <v>1</v>
      </c>
    </row>
    <row r="2325" spans="1:5" x14ac:dyDescent="0.25">
      <c r="A2325" s="7">
        <v>1</v>
      </c>
      <c r="B2325" s="7">
        <v>3316</v>
      </c>
      <c r="C2325" s="7">
        <v>152</v>
      </c>
      <c r="D2325" s="8">
        <v>8016.06</v>
      </c>
      <c r="E2325" s="9">
        <v>1</v>
      </c>
    </row>
    <row r="2326" spans="1:5" x14ac:dyDescent="0.25">
      <c r="A2326" s="7">
        <v>1</v>
      </c>
      <c r="B2326" s="7">
        <v>3317</v>
      </c>
      <c r="C2326" s="7">
        <v>152</v>
      </c>
      <c r="D2326" s="8">
        <v>8016.06</v>
      </c>
      <c r="E2326" s="9">
        <v>1</v>
      </c>
    </row>
    <row r="2327" spans="1:5" x14ac:dyDescent="0.25">
      <c r="A2327" s="7">
        <v>1</v>
      </c>
      <c r="B2327" s="7">
        <v>3318</v>
      </c>
      <c r="C2327" s="7">
        <v>152</v>
      </c>
      <c r="D2327" s="8">
        <v>9502.02</v>
      </c>
      <c r="E2327" s="9">
        <v>1</v>
      </c>
    </row>
    <row r="2328" spans="1:5" x14ac:dyDescent="0.25">
      <c r="A2328" s="7">
        <v>1</v>
      </c>
      <c r="B2328" s="7">
        <v>3319</v>
      </c>
      <c r="C2328" s="7">
        <v>152</v>
      </c>
      <c r="D2328" s="8">
        <v>8016.06</v>
      </c>
      <c r="E2328" s="9">
        <v>1</v>
      </c>
    </row>
    <row r="2329" spans="1:5" x14ac:dyDescent="0.25">
      <c r="A2329" s="7">
        <v>1</v>
      </c>
      <c r="B2329" s="7">
        <v>3320</v>
      </c>
      <c r="C2329" s="7">
        <v>152</v>
      </c>
      <c r="D2329" s="8">
        <v>9502.02</v>
      </c>
      <c r="E2329" s="9">
        <v>1</v>
      </c>
    </row>
    <row r="2330" spans="1:5" x14ac:dyDescent="0.25">
      <c r="A2330" s="7">
        <v>1</v>
      </c>
      <c r="B2330" s="7">
        <v>3321</v>
      </c>
      <c r="C2330" s="7">
        <v>185</v>
      </c>
      <c r="D2330" s="8">
        <v>19862.71</v>
      </c>
      <c r="E2330" s="9">
        <v>1</v>
      </c>
    </row>
    <row r="2331" spans="1:5" x14ac:dyDescent="0.25">
      <c r="A2331" s="7">
        <v>1</v>
      </c>
      <c r="B2331" s="7">
        <v>3322</v>
      </c>
      <c r="C2331" s="7">
        <v>152</v>
      </c>
      <c r="D2331" s="8">
        <v>7217.79</v>
      </c>
      <c r="E2331" s="9">
        <v>1</v>
      </c>
    </row>
    <row r="2332" spans="1:5" x14ac:dyDescent="0.25">
      <c r="A2332" s="7">
        <v>1</v>
      </c>
      <c r="B2332" s="7">
        <v>3323</v>
      </c>
      <c r="C2332" s="7">
        <v>104</v>
      </c>
      <c r="D2332" s="8">
        <v>7015.22</v>
      </c>
      <c r="E2332" s="9">
        <v>1</v>
      </c>
    </row>
    <row r="2333" spans="1:5" x14ac:dyDescent="0.25">
      <c r="A2333" s="7">
        <v>1</v>
      </c>
      <c r="B2333" s="7">
        <v>3324</v>
      </c>
      <c r="C2333" s="7">
        <v>104</v>
      </c>
      <c r="D2333" s="8">
        <v>2884.83</v>
      </c>
      <c r="E2333" s="9">
        <v>1</v>
      </c>
    </row>
    <row r="2334" spans="1:5" x14ac:dyDescent="0.25">
      <c r="A2334" s="7">
        <v>1</v>
      </c>
      <c r="B2334" s="7">
        <v>3325</v>
      </c>
      <c r="C2334" s="7">
        <v>104</v>
      </c>
      <c r="D2334" s="8">
        <v>4389.71</v>
      </c>
      <c r="E2334" s="9">
        <v>1</v>
      </c>
    </row>
    <row r="2335" spans="1:5" x14ac:dyDescent="0.25">
      <c r="A2335" s="7">
        <v>1</v>
      </c>
      <c r="B2335" s="7">
        <v>3326</v>
      </c>
      <c r="C2335" s="7">
        <v>104</v>
      </c>
      <c r="D2335" s="8">
        <v>7573.31</v>
      </c>
      <c r="E2335" s="9">
        <v>1</v>
      </c>
    </row>
    <row r="2336" spans="1:5" x14ac:dyDescent="0.25">
      <c r="A2336" s="7">
        <v>1</v>
      </c>
      <c r="B2336" s="7">
        <v>3327</v>
      </c>
      <c r="C2336" s="7">
        <v>152</v>
      </c>
      <c r="D2336" s="8">
        <v>8016.06</v>
      </c>
      <c r="E2336" s="9">
        <v>1</v>
      </c>
    </row>
    <row r="2337" spans="1:5" x14ac:dyDescent="0.25">
      <c r="A2337" s="7">
        <v>1</v>
      </c>
      <c r="B2337" s="7">
        <v>3330</v>
      </c>
      <c r="C2337" s="7">
        <v>152</v>
      </c>
      <c r="D2337" s="8">
        <v>10412.33</v>
      </c>
      <c r="E2337" s="9">
        <v>1</v>
      </c>
    </row>
    <row r="2338" spans="1:5" x14ac:dyDescent="0.25">
      <c r="A2338" s="7">
        <v>1</v>
      </c>
      <c r="B2338" s="7">
        <v>3331</v>
      </c>
      <c r="C2338" s="7">
        <v>152</v>
      </c>
      <c r="D2338" s="8">
        <v>15893.5</v>
      </c>
      <c r="E2338" s="9">
        <v>1</v>
      </c>
    </row>
    <row r="2339" spans="1:5" x14ac:dyDescent="0.25">
      <c r="A2339" s="7">
        <v>1</v>
      </c>
      <c r="B2339" s="7">
        <v>3332</v>
      </c>
      <c r="C2339" s="7">
        <v>152</v>
      </c>
      <c r="D2339" s="8">
        <v>15893.5</v>
      </c>
      <c r="E2339" s="9">
        <v>1</v>
      </c>
    </row>
    <row r="2340" spans="1:5" x14ac:dyDescent="0.25">
      <c r="A2340" s="7">
        <v>1</v>
      </c>
      <c r="B2340" s="7">
        <v>3333</v>
      </c>
      <c r="C2340" s="7">
        <v>152</v>
      </c>
      <c r="D2340" s="8">
        <v>15893.5</v>
      </c>
      <c r="E2340" s="9">
        <v>1</v>
      </c>
    </row>
    <row r="2341" spans="1:5" x14ac:dyDescent="0.25">
      <c r="A2341" s="7">
        <v>1</v>
      </c>
      <c r="B2341" s="7">
        <v>3334</v>
      </c>
      <c r="C2341" s="7">
        <v>152</v>
      </c>
      <c r="D2341" s="8">
        <v>15893.5</v>
      </c>
      <c r="E2341" s="9">
        <v>1</v>
      </c>
    </row>
    <row r="2342" spans="1:5" x14ac:dyDescent="0.25">
      <c r="A2342" s="7">
        <v>1</v>
      </c>
      <c r="B2342" s="7">
        <v>3335</v>
      </c>
      <c r="C2342" s="7">
        <v>152</v>
      </c>
      <c r="D2342" s="8">
        <v>15893.5</v>
      </c>
      <c r="E2342" s="9">
        <v>1</v>
      </c>
    </row>
    <row r="2343" spans="1:5" x14ac:dyDescent="0.25">
      <c r="A2343" s="7">
        <v>1</v>
      </c>
      <c r="B2343" s="7">
        <v>3337</v>
      </c>
      <c r="C2343" s="7">
        <v>152</v>
      </c>
      <c r="D2343" s="8">
        <v>15893.5</v>
      </c>
      <c r="E2343" s="9">
        <v>1</v>
      </c>
    </row>
    <row r="2344" spans="1:5" x14ac:dyDescent="0.25">
      <c r="A2344" s="7">
        <v>1</v>
      </c>
      <c r="B2344" s="7">
        <v>3338</v>
      </c>
      <c r="C2344" s="7">
        <v>152</v>
      </c>
      <c r="D2344" s="8">
        <v>8412.47</v>
      </c>
      <c r="E2344" s="9">
        <v>1</v>
      </c>
    </row>
    <row r="2345" spans="1:5" x14ac:dyDescent="0.25">
      <c r="A2345" s="7">
        <v>1</v>
      </c>
      <c r="B2345" s="7">
        <v>3339</v>
      </c>
      <c r="C2345" s="7">
        <v>902</v>
      </c>
      <c r="D2345" s="8">
        <v>8666.52</v>
      </c>
      <c r="E2345" s="9">
        <v>1</v>
      </c>
    </row>
    <row r="2346" spans="1:5" x14ac:dyDescent="0.25">
      <c r="A2346" s="7">
        <v>1</v>
      </c>
      <c r="B2346" s="7">
        <v>3340</v>
      </c>
      <c r="C2346" s="7">
        <v>902</v>
      </c>
      <c r="D2346" s="8">
        <v>9922.33</v>
      </c>
      <c r="E2346" s="9">
        <v>1</v>
      </c>
    </row>
    <row r="2347" spans="1:5" x14ac:dyDescent="0.25">
      <c r="A2347" s="7">
        <v>1</v>
      </c>
      <c r="B2347" s="7">
        <v>3341</v>
      </c>
      <c r="C2347" s="7">
        <v>902</v>
      </c>
      <c r="D2347" s="8">
        <v>9186.46</v>
      </c>
      <c r="E2347" s="9">
        <v>1</v>
      </c>
    </row>
    <row r="2348" spans="1:5" x14ac:dyDescent="0.25">
      <c r="A2348" s="7">
        <v>1</v>
      </c>
      <c r="B2348" s="7">
        <v>3342</v>
      </c>
      <c r="C2348" s="7">
        <v>902</v>
      </c>
      <c r="D2348" s="8">
        <v>9922.33</v>
      </c>
      <c r="E2348" s="9">
        <v>1</v>
      </c>
    </row>
    <row r="2349" spans="1:5" x14ac:dyDescent="0.25">
      <c r="A2349" s="7">
        <v>1</v>
      </c>
      <c r="B2349" s="7">
        <v>3343</v>
      </c>
      <c r="C2349" s="7">
        <v>185</v>
      </c>
      <c r="D2349" s="8">
        <v>23738.47</v>
      </c>
      <c r="E2349" s="9">
        <v>1</v>
      </c>
    </row>
    <row r="2350" spans="1:5" x14ac:dyDescent="0.25">
      <c r="A2350" s="7">
        <v>1</v>
      </c>
      <c r="B2350" s="7">
        <v>3344</v>
      </c>
      <c r="C2350" s="7">
        <v>152</v>
      </c>
      <c r="D2350" s="8">
        <v>11071.78</v>
      </c>
      <c r="E2350" s="9">
        <v>1</v>
      </c>
    </row>
    <row r="2351" spans="1:5" x14ac:dyDescent="0.25">
      <c r="A2351" s="7">
        <v>1</v>
      </c>
      <c r="B2351" s="7">
        <v>3350</v>
      </c>
      <c r="C2351" s="7">
        <v>185</v>
      </c>
      <c r="D2351" s="8">
        <v>35075.54</v>
      </c>
      <c r="E2351" s="9">
        <v>1</v>
      </c>
    </row>
    <row r="2352" spans="1:5" x14ac:dyDescent="0.25">
      <c r="A2352" s="7">
        <v>1</v>
      </c>
      <c r="B2352" s="7">
        <v>3351</v>
      </c>
      <c r="C2352" s="7">
        <v>185</v>
      </c>
      <c r="D2352" s="8">
        <v>71370.8</v>
      </c>
      <c r="E2352" s="9">
        <v>1</v>
      </c>
    </row>
    <row r="2353" spans="1:5" x14ac:dyDescent="0.25">
      <c r="A2353" s="7">
        <v>1</v>
      </c>
      <c r="B2353" s="7">
        <v>3352</v>
      </c>
      <c r="C2353" s="7">
        <v>185</v>
      </c>
      <c r="D2353" s="8">
        <v>127128.25</v>
      </c>
      <c r="E2353" s="9">
        <v>1</v>
      </c>
    </row>
    <row r="2354" spans="1:5" x14ac:dyDescent="0.25">
      <c r="A2354" s="7">
        <v>1</v>
      </c>
      <c r="B2354" s="7">
        <v>3353</v>
      </c>
      <c r="C2354" s="7">
        <v>152</v>
      </c>
      <c r="D2354" s="8">
        <v>10412.33</v>
      </c>
      <c r="E2354" s="9">
        <v>1</v>
      </c>
    </row>
    <row r="2355" spans="1:5" x14ac:dyDescent="0.25">
      <c r="A2355" s="7">
        <v>1</v>
      </c>
      <c r="B2355" s="7">
        <v>3354</v>
      </c>
      <c r="C2355" s="7">
        <v>104</v>
      </c>
      <c r="D2355" s="8">
        <v>17705.3</v>
      </c>
      <c r="E2355" s="9">
        <v>1</v>
      </c>
    </row>
    <row r="2356" spans="1:5" x14ac:dyDescent="0.25">
      <c r="A2356" s="7">
        <v>1</v>
      </c>
      <c r="B2356" s="7">
        <v>3355</v>
      </c>
      <c r="C2356" s="7">
        <v>152</v>
      </c>
      <c r="D2356" s="8">
        <v>11023.07</v>
      </c>
      <c r="E2356" s="9">
        <v>1</v>
      </c>
    </row>
    <row r="2357" spans="1:5" x14ac:dyDescent="0.25">
      <c r="A2357" s="7">
        <v>1</v>
      </c>
      <c r="B2357" s="7">
        <v>3361</v>
      </c>
      <c r="C2357" s="7">
        <v>152</v>
      </c>
      <c r="D2357" s="8">
        <v>53498.64</v>
      </c>
      <c r="E2357" s="9">
        <v>1</v>
      </c>
    </row>
    <row r="2358" spans="1:5" x14ac:dyDescent="0.25">
      <c r="A2358" s="7">
        <v>1</v>
      </c>
      <c r="B2358" s="7">
        <v>3362</v>
      </c>
      <c r="C2358" s="7">
        <v>152</v>
      </c>
      <c r="D2358" s="8">
        <v>53498.64</v>
      </c>
      <c r="E2358" s="9">
        <v>1</v>
      </c>
    </row>
    <row r="2359" spans="1:5" x14ac:dyDescent="0.25">
      <c r="A2359" s="7">
        <v>1</v>
      </c>
      <c r="B2359" s="7">
        <v>3363</v>
      </c>
      <c r="C2359" s="7">
        <v>152</v>
      </c>
      <c r="D2359" s="8">
        <v>53498.64</v>
      </c>
      <c r="E2359" s="9">
        <v>1</v>
      </c>
    </row>
    <row r="2360" spans="1:5" x14ac:dyDescent="0.25">
      <c r="A2360" s="7">
        <v>1</v>
      </c>
      <c r="B2360" s="7">
        <v>3364</v>
      </c>
      <c r="C2360" s="7">
        <v>152</v>
      </c>
      <c r="D2360" s="8">
        <v>53498.64</v>
      </c>
      <c r="E2360" s="9">
        <v>1</v>
      </c>
    </row>
    <row r="2361" spans="1:5" x14ac:dyDescent="0.25">
      <c r="A2361" s="7">
        <v>1</v>
      </c>
      <c r="B2361" s="7">
        <v>3365</v>
      </c>
      <c r="C2361" s="7">
        <v>152</v>
      </c>
      <c r="D2361" s="8">
        <v>53498.64</v>
      </c>
      <c r="E2361" s="9">
        <v>1</v>
      </c>
    </row>
    <row r="2362" spans="1:5" x14ac:dyDescent="0.25">
      <c r="A2362" s="7">
        <v>1</v>
      </c>
      <c r="B2362" s="7">
        <v>3367</v>
      </c>
      <c r="C2362" s="7">
        <v>152</v>
      </c>
      <c r="D2362" s="8">
        <v>53498.64</v>
      </c>
      <c r="E2362" s="9">
        <v>1</v>
      </c>
    </row>
    <row r="2363" spans="1:5" x14ac:dyDescent="0.25">
      <c r="A2363" s="7">
        <v>1</v>
      </c>
      <c r="B2363" s="7">
        <v>3376</v>
      </c>
      <c r="C2363" s="7">
        <v>152</v>
      </c>
      <c r="D2363" s="8">
        <v>11023.07</v>
      </c>
      <c r="E2363" s="9">
        <v>1</v>
      </c>
    </row>
    <row r="2364" spans="1:5" x14ac:dyDescent="0.25">
      <c r="A2364" s="7">
        <v>1</v>
      </c>
      <c r="B2364" s="7">
        <v>3377</v>
      </c>
      <c r="C2364" s="7">
        <v>111</v>
      </c>
      <c r="D2364" s="8">
        <v>645.63</v>
      </c>
      <c r="E2364" s="9">
        <v>2</v>
      </c>
    </row>
    <row r="2365" spans="1:5" x14ac:dyDescent="0.25">
      <c r="A2365" s="7">
        <v>1</v>
      </c>
      <c r="B2365" s="7">
        <v>3379</v>
      </c>
      <c r="C2365" s="7">
        <v>152</v>
      </c>
      <c r="D2365" s="8">
        <v>11023.07</v>
      </c>
      <c r="E2365" s="9">
        <v>1</v>
      </c>
    </row>
    <row r="2366" spans="1:5" x14ac:dyDescent="0.25">
      <c r="A2366" s="7">
        <v>1</v>
      </c>
      <c r="B2366" s="7">
        <v>3380</v>
      </c>
      <c r="C2366" s="7">
        <v>104</v>
      </c>
      <c r="D2366" s="8">
        <v>21473.56</v>
      </c>
      <c r="E2366" s="9">
        <v>1</v>
      </c>
    </row>
    <row r="2367" spans="1:5" x14ac:dyDescent="0.25">
      <c r="A2367" s="7">
        <v>1</v>
      </c>
      <c r="B2367" s="7">
        <v>3381</v>
      </c>
      <c r="C2367" s="7">
        <v>152</v>
      </c>
      <c r="D2367" s="8">
        <v>212695.46</v>
      </c>
      <c r="E2367" s="9">
        <v>1</v>
      </c>
    </row>
    <row r="2368" spans="1:5" x14ac:dyDescent="0.25">
      <c r="A2368" s="7">
        <v>1</v>
      </c>
      <c r="B2368" s="7">
        <v>3382</v>
      </c>
      <c r="C2368" s="7">
        <v>152</v>
      </c>
      <c r="D2368" s="8">
        <v>212695.46</v>
      </c>
      <c r="E2368" s="9">
        <v>1</v>
      </c>
    </row>
    <row r="2369" spans="1:5" x14ac:dyDescent="0.25">
      <c r="A2369" s="7">
        <v>1</v>
      </c>
      <c r="B2369" s="7">
        <v>3383</v>
      </c>
      <c r="C2369" s="7">
        <v>152</v>
      </c>
      <c r="D2369" s="8">
        <v>212695.46</v>
      </c>
      <c r="E2369" s="9">
        <v>1</v>
      </c>
    </row>
    <row r="2370" spans="1:5" x14ac:dyDescent="0.25">
      <c r="A2370" s="7">
        <v>1</v>
      </c>
      <c r="B2370" s="7">
        <v>3384</v>
      </c>
      <c r="C2370" s="7">
        <v>152</v>
      </c>
      <c r="D2370" s="8">
        <v>212695.46</v>
      </c>
      <c r="E2370" s="9">
        <v>1</v>
      </c>
    </row>
    <row r="2371" spans="1:5" x14ac:dyDescent="0.25">
      <c r="A2371" s="7">
        <v>1</v>
      </c>
      <c r="B2371" s="7">
        <v>3385</v>
      </c>
      <c r="C2371" s="7">
        <v>152</v>
      </c>
      <c r="D2371" s="8">
        <v>212695.46</v>
      </c>
      <c r="E2371" s="9">
        <v>1</v>
      </c>
    </row>
    <row r="2372" spans="1:5" x14ac:dyDescent="0.25">
      <c r="A2372" s="7">
        <v>1</v>
      </c>
      <c r="B2372" s="7">
        <v>3387</v>
      </c>
      <c r="C2372" s="7">
        <v>152</v>
      </c>
      <c r="D2372" s="8">
        <v>212695.46</v>
      </c>
      <c r="E2372" s="9">
        <v>1</v>
      </c>
    </row>
    <row r="2373" spans="1:5" x14ac:dyDescent="0.25">
      <c r="A2373" s="7">
        <v>1</v>
      </c>
      <c r="B2373" s="7">
        <v>3388</v>
      </c>
      <c r="C2373" s="7">
        <v>139</v>
      </c>
      <c r="D2373" s="8">
        <v>18324.55</v>
      </c>
      <c r="E2373" s="9">
        <v>1</v>
      </c>
    </row>
    <row r="2374" spans="1:5" x14ac:dyDescent="0.25">
      <c r="A2374" s="7">
        <v>1</v>
      </c>
      <c r="B2374" s="7">
        <v>3389</v>
      </c>
      <c r="C2374" s="7">
        <v>139</v>
      </c>
      <c r="D2374" s="8">
        <v>61603.56</v>
      </c>
      <c r="E2374" s="9">
        <v>1</v>
      </c>
    </row>
    <row r="2375" spans="1:5" x14ac:dyDescent="0.25">
      <c r="A2375" s="7">
        <v>1</v>
      </c>
      <c r="B2375" s="7">
        <v>3390</v>
      </c>
      <c r="C2375" s="7">
        <v>139</v>
      </c>
      <c r="D2375" s="8">
        <v>109777.07</v>
      </c>
      <c r="E2375" s="9">
        <v>1</v>
      </c>
    </row>
    <row r="2376" spans="1:5" x14ac:dyDescent="0.25">
      <c r="A2376" s="7">
        <v>1</v>
      </c>
      <c r="B2376" s="7">
        <v>3391</v>
      </c>
      <c r="C2376" s="7">
        <v>139</v>
      </c>
      <c r="D2376" s="8">
        <v>197806.22</v>
      </c>
      <c r="E2376" s="9">
        <v>1</v>
      </c>
    </row>
    <row r="2377" spans="1:5" x14ac:dyDescent="0.25">
      <c r="A2377" s="7">
        <v>1</v>
      </c>
      <c r="B2377" s="7">
        <v>3394</v>
      </c>
      <c r="C2377" s="7">
        <v>163</v>
      </c>
      <c r="D2377" s="8">
        <v>7884.91</v>
      </c>
      <c r="E2377" s="9">
        <v>1</v>
      </c>
    </row>
    <row r="2378" spans="1:5" x14ac:dyDescent="0.25">
      <c r="A2378" s="7">
        <v>1</v>
      </c>
      <c r="B2378" s="7">
        <v>3395</v>
      </c>
      <c r="C2378" s="7">
        <v>163</v>
      </c>
      <c r="D2378" s="8">
        <v>7884.89</v>
      </c>
      <c r="E2378" s="9">
        <v>1</v>
      </c>
    </row>
    <row r="2379" spans="1:5" x14ac:dyDescent="0.25">
      <c r="A2379" s="7">
        <v>1</v>
      </c>
      <c r="B2379" s="7">
        <v>3396</v>
      </c>
      <c r="C2379" s="7">
        <v>163</v>
      </c>
      <c r="D2379" s="8">
        <v>7884.89</v>
      </c>
      <c r="E2379" s="9">
        <v>1</v>
      </c>
    </row>
    <row r="2380" spans="1:5" x14ac:dyDescent="0.25">
      <c r="A2380" s="7">
        <v>1</v>
      </c>
      <c r="B2380" s="7">
        <v>3397</v>
      </c>
      <c r="C2380" s="7">
        <v>163</v>
      </c>
      <c r="D2380" s="8">
        <v>7884.89</v>
      </c>
      <c r="E2380" s="9">
        <v>1</v>
      </c>
    </row>
    <row r="2381" spans="1:5" x14ac:dyDescent="0.25">
      <c r="A2381" s="7">
        <v>1</v>
      </c>
      <c r="B2381" s="7">
        <v>3398</v>
      </c>
      <c r="C2381" s="7">
        <v>163</v>
      </c>
      <c r="D2381" s="8">
        <v>7884.89</v>
      </c>
      <c r="E2381" s="9">
        <v>1</v>
      </c>
    </row>
    <row r="2382" spans="1:5" x14ac:dyDescent="0.25">
      <c r="A2382" s="7">
        <v>1</v>
      </c>
      <c r="B2382" s="7">
        <v>3399</v>
      </c>
      <c r="C2382" s="7">
        <v>163</v>
      </c>
      <c r="D2382" s="8">
        <v>7884.89</v>
      </c>
      <c r="E2382" s="9">
        <v>1</v>
      </c>
    </row>
    <row r="2383" spans="1:5" x14ac:dyDescent="0.25">
      <c r="A2383" s="7">
        <v>1</v>
      </c>
      <c r="B2383" s="7">
        <v>3400</v>
      </c>
      <c r="C2383" s="7">
        <v>163</v>
      </c>
      <c r="D2383" s="8">
        <v>7884.89</v>
      </c>
      <c r="E2383" s="9">
        <v>1</v>
      </c>
    </row>
    <row r="2384" spans="1:5" x14ac:dyDescent="0.25">
      <c r="A2384" s="7">
        <v>1</v>
      </c>
      <c r="B2384" s="7">
        <v>3401</v>
      </c>
      <c r="C2384" s="7">
        <v>163</v>
      </c>
      <c r="D2384" s="8">
        <v>7884.89</v>
      </c>
      <c r="E2384" s="9">
        <v>1</v>
      </c>
    </row>
    <row r="2385" spans="1:5" x14ac:dyDescent="0.25">
      <c r="A2385" s="7">
        <v>1</v>
      </c>
      <c r="B2385" s="7">
        <v>3402</v>
      </c>
      <c r="C2385" s="7">
        <v>163</v>
      </c>
      <c r="D2385" s="8">
        <v>7884.89</v>
      </c>
      <c r="E2385" s="9">
        <v>1</v>
      </c>
    </row>
    <row r="2386" spans="1:5" x14ac:dyDescent="0.25">
      <c r="A2386" s="7">
        <v>1</v>
      </c>
      <c r="B2386" s="7">
        <v>3403</v>
      </c>
      <c r="C2386" s="7">
        <v>163</v>
      </c>
      <c r="D2386" s="8">
        <v>7884.89</v>
      </c>
      <c r="E2386" s="9">
        <v>1</v>
      </c>
    </row>
    <row r="2387" spans="1:5" x14ac:dyDescent="0.25">
      <c r="A2387" s="7">
        <v>1</v>
      </c>
      <c r="B2387" s="7">
        <v>3404</v>
      </c>
      <c r="C2387" s="7">
        <v>163</v>
      </c>
      <c r="D2387" s="8">
        <v>7884.89</v>
      </c>
      <c r="E2387" s="9">
        <v>1</v>
      </c>
    </row>
    <row r="2388" spans="1:5" x14ac:dyDescent="0.25">
      <c r="A2388" s="7">
        <v>1</v>
      </c>
      <c r="B2388" s="7">
        <v>3405</v>
      </c>
      <c r="C2388" s="7">
        <v>163</v>
      </c>
      <c r="D2388" s="8">
        <v>7884.89</v>
      </c>
      <c r="E2388" s="9">
        <v>1</v>
      </c>
    </row>
    <row r="2389" spans="1:5" x14ac:dyDescent="0.25">
      <c r="A2389" s="7">
        <v>1</v>
      </c>
      <c r="B2389" s="7">
        <v>3406</v>
      </c>
      <c r="C2389" s="7">
        <v>163</v>
      </c>
      <c r="D2389" s="8">
        <v>7884.89</v>
      </c>
      <c r="E2389" s="9">
        <v>1</v>
      </c>
    </row>
    <row r="2390" spans="1:5" x14ac:dyDescent="0.25">
      <c r="A2390" s="7">
        <v>1</v>
      </c>
      <c r="B2390" s="7">
        <v>3407</v>
      </c>
      <c r="C2390" s="7">
        <v>163</v>
      </c>
      <c r="D2390" s="8">
        <v>7884.89</v>
      </c>
      <c r="E2390" s="9">
        <v>1</v>
      </c>
    </row>
    <row r="2391" spans="1:5" x14ac:dyDescent="0.25">
      <c r="A2391" s="7">
        <v>1</v>
      </c>
      <c r="B2391" s="7">
        <v>3408</v>
      </c>
      <c r="C2391" s="7">
        <v>163</v>
      </c>
      <c r="D2391" s="8">
        <v>7884.89</v>
      </c>
      <c r="E2391" s="9">
        <v>1</v>
      </c>
    </row>
    <row r="2392" spans="1:5" x14ac:dyDescent="0.25">
      <c r="A2392" s="7">
        <v>1</v>
      </c>
      <c r="B2392" s="7">
        <v>3409</v>
      </c>
      <c r="C2392" s="7">
        <v>192</v>
      </c>
      <c r="D2392" s="8">
        <v>539999.77</v>
      </c>
      <c r="E2392" s="9">
        <v>1</v>
      </c>
    </row>
    <row r="2393" spans="1:5" x14ac:dyDescent="0.25">
      <c r="A2393" s="7">
        <v>1</v>
      </c>
      <c r="B2393" s="7">
        <v>3410</v>
      </c>
      <c r="C2393" s="7">
        <v>157</v>
      </c>
      <c r="D2393" s="8">
        <v>27614.16</v>
      </c>
      <c r="E2393" s="9">
        <v>1</v>
      </c>
    </row>
    <row r="2394" spans="1:5" x14ac:dyDescent="0.25">
      <c r="A2394" s="7">
        <v>1</v>
      </c>
      <c r="B2394" s="7">
        <v>3412</v>
      </c>
      <c r="C2394" s="7">
        <v>139</v>
      </c>
      <c r="D2394" s="8">
        <v>10531.33</v>
      </c>
      <c r="E2394" s="9">
        <v>1</v>
      </c>
    </row>
    <row r="2395" spans="1:5" x14ac:dyDescent="0.25">
      <c r="A2395" s="7">
        <v>1</v>
      </c>
      <c r="B2395" s="7">
        <v>3413</v>
      </c>
      <c r="C2395" s="7">
        <v>139</v>
      </c>
      <c r="D2395" s="8">
        <v>16363.18</v>
      </c>
      <c r="E2395" s="9">
        <v>1</v>
      </c>
    </row>
    <row r="2396" spans="1:5" x14ac:dyDescent="0.25">
      <c r="A2396" s="7">
        <v>1</v>
      </c>
      <c r="B2396" s="7">
        <v>3414</v>
      </c>
      <c r="C2396" s="7">
        <v>139</v>
      </c>
      <c r="D2396" s="8">
        <v>61070.86</v>
      </c>
      <c r="E2396" s="9">
        <v>1</v>
      </c>
    </row>
    <row r="2397" spans="1:5" x14ac:dyDescent="0.25">
      <c r="A2397" s="7">
        <v>1</v>
      </c>
      <c r="B2397" s="7">
        <v>3415</v>
      </c>
      <c r="C2397" s="7">
        <v>139</v>
      </c>
      <c r="D2397" s="8">
        <v>245463.5</v>
      </c>
      <c r="E2397" s="9">
        <v>1</v>
      </c>
    </row>
    <row r="2398" spans="1:5" x14ac:dyDescent="0.25">
      <c r="A2398" s="7">
        <v>1</v>
      </c>
      <c r="B2398" s="7">
        <v>3419</v>
      </c>
      <c r="C2398" s="7">
        <v>197</v>
      </c>
      <c r="D2398" s="8">
        <v>1.64</v>
      </c>
      <c r="E2398" s="9">
        <v>2</v>
      </c>
    </row>
    <row r="2399" spans="1:5" x14ac:dyDescent="0.25">
      <c r="A2399" s="7">
        <v>1</v>
      </c>
      <c r="B2399" s="7">
        <v>3420</v>
      </c>
      <c r="C2399" s="7">
        <v>197</v>
      </c>
      <c r="D2399" s="8">
        <v>1.64</v>
      </c>
      <c r="E2399" s="9">
        <v>2</v>
      </c>
    </row>
    <row r="2400" spans="1:5" x14ac:dyDescent="0.25">
      <c r="A2400" s="7">
        <v>1</v>
      </c>
      <c r="B2400" s="7">
        <v>3421</v>
      </c>
      <c r="C2400" s="7">
        <v>192</v>
      </c>
      <c r="D2400" s="8">
        <v>157064.03</v>
      </c>
      <c r="E2400" s="9">
        <v>1</v>
      </c>
    </row>
    <row r="2401" spans="1:5" x14ac:dyDescent="0.25">
      <c r="A2401" s="7">
        <v>1</v>
      </c>
      <c r="B2401" s="7">
        <v>3422</v>
      </c>
      <c r="C2401" s="7">
        <v>192</v>
      </c>
      <c r="D2401" s="8">
        <v>714804.25</v>
      </c>
      <c r="E2401" s="9">
        <v>1</v>
      </c>
    </row>
    <row r="2402" spans="1:5" x14ac:dyDescent="0.25">
      <c r="A2402" s="7">
        <v>1</v>
      </c>
      <c r="B2402" s="7">
        <v>3423</v>
      </c>
      <c r="C2402" s="7">
        <v>192</v>
      </c>
      <c r="D2402" s="8">
        <v>488100.7</v>
      </c>
      <c r="E2402" s="9">
        <v>1</v>
      </c>
    </row>
    <row r="2403" spans="1:5" x14ac:dyDescent="0.25">
      <c r="A2403" s="7">
        <v>1</v>
      </c>
      <c r="B2403" s="7">
        <v>3428</v>
      </c>
      <c r="C2403" s="7">
        <v>128</v>
      </c>
      <c r="D2403" s="8">
        <v>6657.23</v>
      </c>
      <c r="E2403" s="9">
        <v>1</v>
      </c>
    </row>
    <row r="2404" spans="1:5" x14ac:dyDescent="0.25">
      <c r="A2404" s="7">
        <v>1</v>
      </c>
      <c r="B2404" s="7">
        <v>3429</v>
      </c>
      <c r="C2404" s="7">
        <v>128</v>
      </c>
      <c r="D2404" s="8">
        <v>7712.7</v>
      </c>
      <c r="E2404" s="9">
        <v>1</v>
      </c>
    </row>
    <row r="2405" spans="1:5" x14ac:dyDescent="0.25">
      <c r="A2405" s="7">
        <v>1</v>
      </c>
      <c r="B2405" s="7">
        <v>3430</v>
      </c>
      <c r="C2405" s="7">
        <v>128</v>
      </c>
      <c r="D2405" s="8">
        <v>8464.2</v>
      </c>
      <c r="E2405" s="9">
        <v>1</v>
      </c>
    </row>
    <row r="2406" spans="1:5" x14ac:dyDescent="0.25">
      <c r="A2406" s="7">
        <v>1</v>
      </c>
      <c r="B2406" s="7">
        <v>3432</v>
      </c>
      <c r="C2406" s="7">
        <v>139</v>
      </c>
      <c r="D2406" s="8">
        <v>9363.34</v>
      </c>
      <c r="E2406" s="9">
        <v>1</v>
      </c>
    </row>
    <row r="2407" spans="1:5" x14ac:dyDescent="0.25">
      <c r="A2407" s="7">
        <v>1</v>
      </c>
      <c r="B2407" s="7">
        <v>3433</v>
      </c>
      <c r="C2407" s="7">
        <v>139</v>
      </c>
      <c r="D2407" s="8">
        <v>14710.97</v>
      </c>
      <c r="E2407" s="9">
        <v>1</v>
      </c>
    </row>
    <row r="2408" spans="1:5" x14ac:dyDescent="0.25">
      <c r="A2408" s="7">
        <v>1</v>
      </c>
      <c r="B2408" s="7">
        <v>3434</v>
      </c>
      <c r="C2408" s="7">
        <v>139</v>
      </c>
      <c r="D2408" s="8">
        <v>55392.48</v>
      </c>
      <c r="E2408" s="9">
        <v>1</v>
      </c>
    </row>
    <row r="2409" spans="1:5" x14ac:dyDescent="0.25">
      <c r="A2409" s="7">
        <v>1</v>
      </c>
      <c r="B2409" s="7">
        <v>3435</v>
      </c>
      <c r="C2409" s="7">
        <v>139</v>
      </c>
      <c r="D2409" s="8">
        <v>219691.5</v>
      </c>
      <c r="E2409" s="9">
        <v>1</v>
      </c>
    </row>
    <row r="2410" spans="1:5" x14ac:dyDescent="0.25">
      <c r="A2410" s="7">
        <v>1</v>
      </c>
      <c r="B2410" s="7">
        <v>3436</v>
      </c>
      <c r="C2410" s="7">
        <v>192</v>
      </c>
      <c r="D2410" s="8">
        <v>172936.36</v>
      </c>
      <c r="E2410" s="9">
        <v>1</v>
      </c>
    </row>
    <row r="2411" spans="1:5" x14ac:dyDescent="0.25">
      <c r="A2411" s="7">
        <v>1</v>
      </c>
      <c r="B2411" s="7">
        <v>3437</v>
      </c>
      <c r="C2411" s="7">
        <v>192</v>
      </c>
      <c r="D2411" s="8">
        <v>107111.68</v>
      </c>
      <c r="E2411" s="9">
        <v>1</v>
      </c>
    </row>
    <row r="2412" spans="1:5" x14ac:dyDescent="0.25">
      <c r="A2412" s="7">
        <v>1</v>
      </c>
      <c r="B2412" s="7">
        <v>3438</v>
      </c>
      <c r="C2412" s="7">
        <v>134</v>
      </c>
      <c r="D2412" s="8">
        <v>10.56</v>
      </c>
      <c r="E2412" s="9">
        <v>3</v>
      </c>
    </row>
    <row r="2413" spans="1:5" x14ac:dyDescent="0.25">
      <c r="A2413" s="7">
        <v>1</v>
      </c>
      <c r="B2413" s="7">
        <v>3439</v>
      </c>
      <c r="C2413" s="7">
        <v>145</v>
      </c>
      <c r="D2413" s="8">
        <v>29058.19</v>
      </c>
      <c r="E2413" s="9">
        <v>1</v>
      </c>
    </row>
    <row r="2414" spans="1:5" x14ac:dyDescent="0.25">
      <c r="A2414" s="7">
        <v>1</v>
      </c>
      <c r="B2414" s="7">
        <v>3440</v>
      </c>
      <c r="C2414" s="7">
        <v>163</v>
      </c>
      <c r="D2414" s="8">
        <v>27981.89</v>
      </c>
      <c r="E2414" s="9">
        <v>1</v>
      </c>
    </row>
    <row r="2415" spans="1:5" x14ac:dyDescent="0.25">
      <c r="A2415" s="7">
        <v>1</v>
      </c>
      <c r="B2415" s="7">
        <v>3441</v>
      </c>
      <c r="C2415" s="7">
        <v>163</v>
      </c>
      <c r="D2415" s="8">
        <v>15740.61</v>
      </c>
      <c r="E2415" s="9">
        <v>1</v>
      </c>
    </row>
    <row r="2416" spans="1:5" x14ac:dyDescent="0.25">
      <c r="A2416" s="7">
        <v>1</v>
      </c>
      <c r="B2416" s="7">
        <v>3442</v>
      </c>
      <c r="C2416" s="7">
        <v>163</v>
      </c>
      <c r="D2416" s="8">
        <v>15740.61</v>
      </c>
      <c r="E2416" s="9">
        <v>1</v>
      </c>
    </row>
    <row r="2417" spans="1:5" x14ac:dyDescent="0.25">
      <c r="A2417" s="7">
        <v>1</v>
      </c>
      <c r="B2417" s="7">
        <v>3443</v>
      </c>
      <c r="C2417" s="7">
        <v>163</v>
      </c>
      <c r="D2417" s="8">
        <v>15740.61</v>
      </c>
      <c r="E2417" s="9">
        <v>1</v>
      </c>
    </row>
    <row r="2418" spans="1:5" x14ac:dyDescent="0.25">
      <c r="A2418" s="7">
        <v>1</v>
      </c>
      <c r="B2418" s="7">
        <v>3444</v>
      </c>
      <c r="C2418" s="7">
        <v>163</v>
      </c>
      <c r="D2418" s="8">
        <v>15740.63</v>
      </c>
      <c r="E2418" s="9">
        <v>1</v>
      </c>
    </row>
    <row r="2419" spans="1:5" x14ac:dyDescent="0.25">
      <c r="A2419" s="7">
        <v>1</v>
      </c>
      <c r="B2419" s="7">
        <v>3445</v>
      </c>
      <c r="C2419" s="7">
        <v>163</v>
      </c>
      <c r="D2419" s="8">
        <v>15740.61</v>
      </c>
      <c r="E2419" s="9">
        <v>1</v>
      </c>
    </row>
    <row r="2420" spans="1:5" x14ac:dyDescent="0.25">
      <c r="A2420" s="7">
        <v>1</v>
      </c>
      <c r="B2420" s="7">
        <v>3446</v>
      </c>
      <c r="C2420" s="7">
        <v>163</v>
      </c>
      <c r="D2420" s="8">
        <v>15740.61</v>
      </c>
      <c r="E2420" s="9">
        <v>1</v>
      </c>
    </row>
    <row r="2421" spans="1:5" x14ac:dyDescent="0.25">
      <c r="A2421" s="7">
        <v>1</v>
      </c>
      <c r="B2421" s="7">
        <v>3447</v>
      </c>
      <c r="C2421" s="7">
        <v>163</v>
      </c>
      <c r="D2421" s="8">
        <v>15740.61</v>
      </c>
      <c r="E2421" s="9">
        <v>1</v>
      </c>
    </row>
    <row r="2422" spans="1:5" x14ac:dyDescent="0.25">
      <c r="A2422" s="7">
        <v>1</v>
      </c>
      <c r="B2422" s="7">
        <v>3448</v>
      </c>
      <c r="C2422" s="7">
        <v>163</v>
      </c>
      <c r="D2422" s="8">
        <v>15740.61</v>
      </c>
      <c r="E2422" s="9">
        <v>1</v>
      </c>
    </row>
    <row r="2423" spans="1:5" x14ac:dyDescent="0.25">
      <c r="A2423" s="7">
        <v>1</v>
      </c>
      <c r="B2423" s="7">
        <v>3449</v>
      </c>
      <c r="C2423" s="7">
        <v>163</v>
      </c>
      <c r="D2423" s="8">
        <v>15740.61</v>
      </c>
      <c r="E2423" s="9">
        <v>1</v>
      </c>
    </row>
    <row r="2424" spans="1:5" x14ac:dyDescent="0.25">
      <c r="A2424" s="7">
        <v>1</v>
      </c>
      <c r="B2424" s="7">
        <v>3450</v>
      </c>
      <c r="C2424" s="7">
        <v>163</v>
      </c>
      <c r="D2424" s="8">
        <v>15740.61</v>
      </c>
      <c r="E2424" s="9">
        <v>1</v>
      </c>
    </row>
    <row r="2425" spans="1:5" x14ac:dyDescent="0.25">
      <c r="A2425" s="7">
        <v>1</v>
      </c>
      <c r="B2425" s="7">
        <v>3451</v>
      </c>
      <c r="C2425" s="7">
        <v>163</v>
      </c>
      <c r="D2425" s="8">
        <v>15740.61</v>
      </c>
      <c r="E2425" s="9">
        <v>1</v>
      </c>
    </row>
    <row r="2426" spans="1:5" x14ac:dyDescent="0.25">
      <c r="A2426" s="7">
        <v>1</v>
      </c>
      <c r="B2426" s="7">
        <v>3452</v>
      </c>
      <c r="C2426" s="7">
        <v>163</v>
      </c>
      <c r="D2426" s="8">
        <v>15740.61</v>
      </c>
      <c r="E2426" s="9">
        <v>1</v>
      </c>
    </row>
    <row r="2427" spans="1:5" x14ac:dyDescent="0.25">
      <c r="A2427" s="7">
        <v>1</v>
      </c>
      <c r="B2427" s="7">
        <v>3453</v>
      </c>
      <c r="C2427" s="7">
        <v>163</v>
      </c>
      <c r="D2427" s="8">
        <v>15740.61</v>
      </c>
      <c r="E2427" s="9">
        <v>1</v>
      </c>
    </row>
    <row r="2428" spans="1:5" x14ac:dyDescent="0.25">
      <c r="A2428" s="7">
        <v>1</v>
      </c>
      <c r="B2428" s="7">
        <v>3454</v>
      </c>
      <c r="C2428" s="7">
        <v>163</v>
      </c>
      <c r="D2428" s="8">
        <v>15740.61</v>
      </c>
      <c r="E2428" s="9">
        <v>1</v>
      </c>
    </row>
    <row r="2429" spans="1:5" x14ac:dyDescent="0.25">
      <c r="A2429" s="7">
        <v>1</v>
      </c>
      <c r="B2429" s="7">
        <v>3455</v>
      </c>
      <c r="C2429" s="7">
        <v>163</v>
      </c>
      <c r="D2429" s="8">
        <v>15740.61</v>
      </c>
      <c r="E2429" s="9">
        <v>1</v>
      </c>
    </row>
    <row r="2430" spans="1:5" x14ac:dyDescent="0.25">
      <c r="A2430" s="7">
        <v>1</v>
      </c>
      <c r="B2430" s="7">
        <v>3456</v>
      </c>
      <c r="C2430" s="7">
        <v>163</v>
      </c>
      <c r="D2430" s="8">
        <v>27981.89</v>
      </c>
      <c r="E2430" s="9">
        <v>1</v>
      </c>
    </row>
    <row r="2431" spans="1:5" x14ac:dyDescent="0.25">
      <c r="A2431" s="7">
        <v>1</v>
      </c>
      <c r="B2431" s="7">
        <v>3457</v>
      </c>
      <c r="C2431" s="7">
        <v>163</v>
      </c>
      <c r="D2431" s="8">
        <v>27981.89</v>
      </c>
      <c r="E2431" s="9">
        <v>1</v>
      </c>
    </row>
    <row r="2432" spans="1:5" x14ac:dyDescent="0.25">
      <c r="A2432" s="7">
        <v>1</v>
      </c>
      <c r="B2432" s="7">
        <v>3458</v>
      </c>
      <c r="C2432" s="7">
        <v>163</v>
      </c>
      <c r="D2432" s="8">
        <v>27981.89</v>
      </c>
      <c r="E2432" s="9">
        <v>1</v>
      </c>
    </row>
    <row r="2433" spans="1:5" x14ac:dyDescent="0.25">
      <c r="A2433" s="7">
        <v>1</v>
      </c>
      <c r="B2433" s="7">
        <v>3459</v>
      </c>
      <c r="C2433" s="7">
        <v>163</v>
      </c>
      <c r="D2433" s="8">
        <v>27981.89</v>
      </c>
      <c r="E2433" s="9">
        <v>1</v>
      </c>
    </row>
    <row r="2434" spans="1:5" x14ac:dyDescent="0.25">
      <c r="A2434" s="7">
        <v>1</v>
      </c>
      <c r="B2434" s="7">
        <v>3460</v>
      </c>
      <c r="C2434" s="7">
        <v>163</v>
      </c>
      <c r="D2434" s="8">
        <v>27981.89</v>
      </c>
      <c r="E2434" s="9">
        <v>1</v>
      </c>
    </row>
    <row r="2435" spans="1:5" x14ac:dyDescent="0.25">
      <c r="A2435" s="7">
        <v>1</v>
      </c>
      <c r="B2435" s="7">
        <v>3461</v>
      </c>
      <c r="C2435" s="7">
        <v>163</v>
      </c>
      <c r="D2435" s="8">
        <v>27981.89</v>
      </c>
      <c r="E2435" s="9">
        <v>1</v>
      </c>
    </row>
    <row r="2436" spans="1:5" x14ac:dyDescent="0.25">
      <c r="A2436" s="7">
        <v>1</v>
      </c>
      <c r="B2436" s="7">
        <v>3462</v>
      </c>
      <c r="C2436" s="7">
        <v>163</v>
      </c>
      <c r="D2436" s="8">
        <v>27981.89</v>
      </c>
      <c r="E2436" s="9">
        <v>1</v>
      </c>
    </row>
    <row r="2437" spans="1:5" x14ac:dyDescent="0.25">
      <c r="A2437" s="7">
        <v>1</v>
      </c>
      <c r="B2437" s="7">
        <v>3463</v>
      </c>
      <c r="C2437" s="7">
        <v>163</v>
      </c>
      <c r="D2437" s="8">
        <v>27981.89</v>
      </c>
      <c r="E2437" s="9">
        <v>1</v>
      </c>
    </row>
    <row r="2438" spans="1:5" x14ac:dyDescent="0.25">
      <c r="A2438" s="7">
        <v>1</v>
      </c>
      <c r="B2438" s="7">
        <v>3464</v>
      </c>
      <c r="C2438" s="7">
        <v>163</v>
      </c>
      <c r="D2438" s="8">
        <v>27981.91</v>
      </c>
      <c r="E2438" s="9">
        <v>1</v>
      </c>
    </row>
    <row r="2439" spans="1:5" x14ac:dyDescent="0.25">
      <c r="A2439" s="7">
        <v>1</v>
      </c>
      <c r="B2439" s="7">
        <v>3465</v>
      </c>
      <c r="C2439" s="7">
        <v>163</v>
      </c>
      <c r="D2439" s="8">
        <v>27981.89</v>
      </c>
      <c r="E2439" s="9">
        <v>1</v>
      </c>
    </row>
    <row r="2440" spans="1:5" x14ac:dyDescent="0.25">
      <c r="A2440" s="7">
        <v>1</v>
      </c>
      <c r="B2440" s="7">
        <v>3466</v>
      </c>
      <c r="C2440" s="7">
        <v>163</v>
      </c>
      <c r="D2440" s="8">
        <v>27981.89</v>
      </c>
      <c r="E2440" s="9">
        <v>1</v>
      </c>
    </row>
    <row r="2441" spans="1:5" x14ac:dyDescent="0.25">
      <c r="A2441" s="7">
        <v>1</v>
      </c>
      <c r="B2441" s="7">
        <v>3467</v>
      </c>
      <c r="C2441" s="7">
        <v>163</v>
      </c>
      <c r="D2441" s="8">
        <v>27981.89</v>
      </c>
      <c r="E2441" s="9">
        <v>1</v>
      </c>
    </row>
    <row r="2442" spans="1:5" x14ac:dyDescent="0.25">
      <c r="A2442" s="7">
        <v>1</v>
      </c>
      <c r="B2442" s="7">
        <v>3468</v>
      </c>
      <c r="C2442" s="7">
        <v>163</v>
      </c>
      <c r="D2442" s="8">
        <v>27981.89</v>
      </c>
      <c r="E2442" s="9">
        <v>1</v>
      </c>
    </row>
    <row r="2443" spans="1:5" x14ac:dyDescent="0.25">
      <c r="A2443" s="7">
        <v>1</v>
      </c>
      <c r="B2443" s="7">
        <v>3469</v>
      </c>
      <c r="C2443" s="7">
        <v>163</v>
      </c>
      <c r="D2443" s="8">
        <v>27981.89</v>
      </c>
      <c r="E2443" s="9">
        <v>1</v>
      </c>
    </row>
    <row r="2444" spans="1:5" x14ac:dyDescent="0.25">
      <c r="A2444" s="7">
        <v>1</v>
      </c>
      <c r="B2444" s="7">
        <v>3470</v>
      </c>
      <c r="C2444" s="7">
        <v>163</v>
      </c>
      <c r="D2444" s="8">
        <v>27981.89</v>
      </c>
      <c r="E2444" s="9">
        <v>1</v>
      </c>
    </row>
    <row r="2445" spans="1:5" x14ac:dyDescent="0.25">
      <c r="A2445" s="7">
        <v>1</v>
      </c>
      <c r="B2445" s="7">
        <v>3471</v>
      </c>
      <c r="C2445" s="7">
        <v>163</v>
      </c>
      <c r="D2445" s="8">
        <v>27981.89</v>
      </c>
      <c r="E2445" s="9">
        <v>1</v>
      </c>
    </row>
    <row r="2446" spans="1:5" x14ac:dyDescent="0.25">
      <c r="A2446" s="7">
        <v>1</v>
      </c>
      <c r="B2446" s="7">
        <v>3472</v>
      </c>
      <c r="C2446" s="7">
        <v>163</v>
      </c>
      <c r="D2446" s="8">
        <v>27981.89</v>
      </c>
      <c r="E2446" s="9">
        <v>1</v>
      </c>
    </row>
    <row r="2447" spans="1:5" x14ac:dyDescent="0.25">
      <c r="A2447" s="7">
        <v>1</v>
      </c>
      <c r="B2447" s="7">
        <v>3473</v>
      </c>
      <c r="C2447" s="7">
        <v>163</v>
      </c>
      <c r="D2447" s="8">
        <v>27981.89</v>
      </c>
      <c r="E2447" s="9">
        <v>1</v>
      </c>
    </row>
    <row r="2448" spans="1:5" x14ac:dyDescent="0.25">
      <c r="A2448" s="7">
        <v>1</v>
      </c>
      <c r="B2448" s="7">
        <v>3474</v>
      </c>
      <c r="C2448" s="7">
        <v>163</v>
      </c>
      <c r="D2448" s="8">
        <v>27981.89</v>
      </c>
      <c r="E2448" s="9">
        <v>1</v>
      </c>
    </row>
    <row r="2449" spans="1:5" x14ac:dyDescent="0.25">
      <c r="A2449" s="7">
        <v>1</v>
      </c>
      <c r="B2449" s="7">
        <v>3475</v>
      </c>
      <c r="C2449" s="7">
        <v>163</v>
      </c>
      <c r="D2449" s="8">
        <v>27981.89</v>
      </c>
      <c r="E2449" s="9">
        <v>1</v>
      </c>
    </row>
    <row r="2450" spans="1:5" x14ac:dyDescent="0.25">
      <c r="A2450" s="7">
        <v>1</v>
      </c>
      <c r="B2450" s="7">
        <v>3476</v>
      </c>
      <c r="C2450" s="7">
        <v>163</v>
      </c>
      <c r="D2450" s="8">
        <v>27981.89</v>
      </c>
      <c r="E2450" s="9">
        <v>1</v>
      </c>
    </row>
    <row r="2451" spans="1:5" x14ac:dyDescent="0.25">
      <c r="A2451" s="7">
        <v>1</v>
      </c>
      <c r="B2451" s="7">
        <v>3477</v>
      </c>
      <c r="C2451" s="7">
        <v>163</v>
      </c>
      <c r="D2451" s="8">
        <v>27981.89</v>
      </c>
      <c r="E2451" s="9">
        <v>1</v>
      </c>
    </row>
    <row r="2452" spans="1:5" x14ac:dyDescent="0.25">
      <c r="A2452" s="7">
        <v>1</v>
      </c>
      <c r="B2452" s="7">
        <v>3478</v>
      </c>
      <c r="C2452" s="7">
        <v>163</v>
      </c>
      <c r="D2452" s="8">
        <v>27981.89</v>
      </c>
      <c r="E2452" s="9">
        <v>1</v>
      </c>
    </row>
    <row r="2453" spans="1:5" x14ac:dyDescent="0.25">
      <c r="A2453" s="7">
        <v>1</v>
      </c>
      <c r="B2453" s="7">
        <v>3479</v>
      </c>
      <c r="C2453" s="7">
        <v>163</v>
      </c>
      <c r="D2453" s="8">
        <v>27981.89</v>
      </c>
      <c r="E2453" s="9">
        <v>1</v>
      </c>
    </row>
    <row r="2454" spans="1:5" x14ac:dyDescent="0.25">
      <c r="A2454" s="7">
        <v>1</v>
      </c>
      <c r="B2454" s="7">
        <v>3484</v>
      </c>
      <c r="C2454" s="7">
        <v>102</v>
      </c>
      <c r="D2454" s="8">
        <v>3469.73</v>
      </c>
      <c r="E2454" s="9">
        <v>1</v>
      </c>
    </row>
    <row r="2455" spans="1:5" x14ac:dyDescent="0.25">
      <c r="A2455" s="7">
        <v>1</v>
      </c>
      <c r="B2455" s="7">
        <v>3486</v>
      </c>
      <c r="C2455" s="7">
        <v>102</v>
      </c>
      <c r="D2455" s="8">
        <v>3461.23</v>
      </c>
      <c r="E2455" s="9">
        <v>1</v>
      </c>
    </row>
    <row r="2456" spans="1:5" x14ac:dyDescent="0.25">
      <c r="A2456" s="7">
        <v>1</v>
      </c>
      <c r="B2456" s="7">
        <v>3487</v>
      </c>
      <c r="C2456" s="7">
        <v>102</v>
      </c>
      <c r="D2456" s="8">
        <v>3461.23</v>
      </c>
      <c r="E2456" s="9">
        <v>1</v>
      </c>
    </row>
    <row r="2457" spans="1:5" x14ac:dyDescent="0.25">
      <c r="A2457" s="7">
        <v>1</v>
      </c>
      <c r="B2457" s="7">
        <v>3488</v>
      </c>
      <c r="C2457" s="7">
        <v>102</v>
      </c>
      <c r="D2457" s="8">
        <v>3178.33</v>
      </c>
      <c r="E2457" s="9">
        <v>1</v>
      </c>
    </row>
    <row r="2458" spans="1:5" x14ac:dyDescent="0.25">
      <c r="A2458" s="7">
        <v>1</v>
      </c>
      <c r="B2458" s="7">
        <v>3489</v>
      </c>
      <c r="C2458" s="7">
        <v>102</v>
      </c>
      <c r="D2458" s="8">
        <v>3178.33</v>
      </c>
      <c r="E2458" s="9">
        <v>1</v>
      </c>
    </row>
    <row r="2459" spans="1:5" x14ac:dyDescent="0.25">
      <c r="A2459" s="7">
        <v>1</v>
      </c>
      <c r="B2459" s="7">
        <v>3490</v>
      </c>
      <c r="C2459" s="7">
        <v>102</v>
      </c>
      <c r="D2459" s="8">
        <v>2959</v>
      </c>
      <c r="E2459" s="9">
        <v>1</v>
      </c>
    </row>
    <row r="2460" spans="1:5" x14ac:dyDescent="0.25">
      <c r="A2460" s="7">
        <v>1</v>
      </c>
      <c r="B2460" s="7">
        <v>3491</v>
      </c>
      <c r="C2460" s="7">
        <v>102</v>
      </c>
      <c r="D2460" s="8">
        <v>2959</v>
      </c>
      <c r="E2460" s="9">
        <v>1</v>
      </c>
    </row>
    <row r="2461" spans="1:5" x14ac:dyDescent="0.25">
      <c r="A2461" s="7">
        <v>1</v>
      </c>
      <c r="B2461" s="7">
        <v>3492</v>
      </c>
      <c r="C2461" s="7">
        <v>102</v>
      </c>
      <c r="D2461" s="8">
        <v>2959</v>
      </c>
      <c r="E2461" s="9">
        <v>1</v>
      </c>
    </row>
    <row r="2462" spans="1:5" x14ac:dyDescent="0.25">
      <c r="A2462" s="7">
        <v>1</v>
      </c>
      <c r="B2462" s="7">
        <v>3493</v>
      </c>
      <c r="C2462" s="7">
        <v>153</v>
      </c>
      <c r="D2462" s="8">
        <v>56365.85</v>
      </c>
      <c r="E2462" s="9">
        <v>1</v>
      </c>
    </row>
    <row r="2463" spans="1:5" x14ac:dyDescent="0.25">
      <c r="A2463" s="7">
        <v>1</v>
      </c>
      <c r="B2463" s="7">
        <v>3494</v>
      </c>
      <c r="C2463" s="7">
        <v>153</v>
      </c>
      <c r="D2463" s="8">
        <v>245721.63</v>
      </c>
      <c r="E2463" s="9">
        <v>1</v>
      </c>
    </row>
    <row r="2464" spans="1:5" x14ac:dyDescent="0.25">
      <c r="A2464" s="7">
        <v>1</v>
      </c>
      <c r="B2464" s="7">
        <v>3495</v>
      </c>
      <c r="C2464" s="7">
        <v>153</v>
      </c>
      <c r="D2464" s="8">
        <v>51241.68</v>
      </c>
      <c r="E2464" s="9">
        <v>1</v>
      </c>
    </row>
    <row r="2465" spans="1:5" x14ac:dyDescent="0.25">
      <c r="A2465" s="7">
        <v>1</v>
      </c>
      <c r="B2465" s="7">
        <v>3496</v>
      </c>
      <c r="C2465" s="7">
        <v>153</v>
      </c>
      <c r="D2465" s="8">
        <v>223383.3</v>
      </c>
      <c r="E2465" s="9">
        <v>1</v>
      </c>
    </row>
    <row r="2466" spans="1:5" x14ac:dyDescent="0.25">
      <c r="A2466" s="7">
        <v>1</v>
      </c>
      <c r="B2466" s="7">
        <v>3498</v>
      </c>
      <c r="C2466" s="7">
        <v>157</v>
      </c>
      <c r="D2466" s="8">
        <v>9843.25</v>
      </c>
      <c r="E2466" s="9">
        <v>1</v>
      </c>
    </row>
    <row r="2467" spans="1:5" x14ac:dyDescent="0.25">
      <c r="A2467" s="7">
        <v>1</v>
      </c>
      <c r="B2467" s="7">
        <v>3499</v>
      </c>
      <c r="C2467" s="7">
        <v>104</v>
      </c>
      <c r="D2467" s="8">
        <v>7812.87</v>
      </c>
      <c r="E2467" s="9">
        <v>1</v>
      </c>
    </row>
    <row r="2468" spans="1:5" x14ac:dyDescent="0.25">
      <c r="A2468" s="7">
        <v>1</v>
      </c>
      <c r="B2468" s="7">
        <v>3500</v>
      </c>
      <c r="C2468" s="7">
        <v>163</v>
      </c>
      <c r="D2468" s="8">
        <v>19063.9</v>
      </c>
      <c r="E2468" s="9">
        <v>1</v>
      </c>
    </row>
    <row r="2469" spans="1:5" x14ac:dyDescent="0.25">
      <c r="A2469" s="7">
        <v>1</v>
      </c>
      <c r="B2469" s="7">
        <v>3503</v>
      </c>
      <c r="C2469" s="7">
        <v>134</v>
      </c>
      <c r="D2469" s="8">
        <v>2.57</v>
      </c>
      <c r="E2469" s="9">
        <v>3</v>
      </c>
    </row>
    <row r="2470" spans="1:5" x14ac:dyDescent="0.25">
      <c r="A2470" s="7">
        <v>1</v>
      </c>
      <c r="B2470" s="7">
        <v>3504</v>
      </c>
      <c r="C2470" s="7">
        <v>902</v>
      </c>
      <c r="D2470" s="8">
        <v>1.35</v>
      </c>
      <c r="E2470" s="9">
        <v>3</v>
      </c>
    </row>
    <row r="2471" spans="1:5" x14ac:dyDescent="0.25">
      <c r="A2471" s="7">
        <v>1</v>
      </c>
      <c r="B2471" s="7">
        <v>3508</v>
      </c>
      <c r="C2471" s="7">
        <v>163</v>
      </c>
      <c r="D2471" s="8">
        <v>31426.86</v>
      </c>
      <c r="E2471" s="9">
        <v>1</v>
      </c>
    </row>
    <row r="2472" spans="1:5" x14ac:dyDescent="0.25">
      <c r="A2472" s="7">
        <v>1</v>
      </c>
      <c r="B2472" s="7">
        <v>3510</v>
      </c>
      <c r="C2472" s="7">
        <v>162</v>
      </c>
      <c r="D2472" s="8">
        <v>449.4</v>
      </c>
      <c r="E2472" s="9">
        <v>3</v>
      </c>
    </row>
    <row r="2473" spans="1:5" x14ac:dyDescent="0.25">
      <c r="A2473" s="7">
        <v>1</v>
      </c>
      <c r="B2473" s="7">
        <v>3511</v>
      </c>
      <c r="C2473" s="7">
        <v>162</v>
      </c>
      <c r="D2473" s="8">
        <v>482.16</v>
      </c>
      <c r="E2473" s="9">
        <v>3</v>
      </c>
    </row>
    <row r="2474" spans="1:5" x14ac:dyDescent="0.25">
      <c r="A2474" s="7">
        <v>1</v>
      </c>
      <c r="B2474" s="7">
        <v>3512</v>
      </c>
      <c r="C2474" s="7">
        <v>162</v>
      </c>
      <c r="D2474" s="8">
        <v>623.7</v>
      </c>
      <c r="E2474" s="9">
        <v>3</v>
      </c>
    </row>
    <row r="2475" spans="1:5" x14ac:dyDescent="0.25">
      <c r="A2475" s="7">
        <v>1</v>
      </c>
      <c r="B2475" s="7">
        <v>3513</v>
      </c>
      <c r="C2475" s="7">
        <v>162</v>
      </c>
      <c r="D2475" s="8">
        <v>275.1</v>
      </c>
      <c r="E2475" s="9">
        <v>3</v>
      </c>
    </row>
    <row r="2476" spans="1:5" x14ac:dyDescent="0.25">
      <c r="A2476" s="7">
        <v>1</v>
      </c>
      <c r="B2476" s="7">
        <v>3514</v>
      </c>
      <c r="C2476" s="7">
        <v>162</v>
      </c>
      <c r="D2476" s="8">
        <v>271.74</v>
      </c>
      <c r="E2476" s="9">
        <v>3</v>
      </c>
    </row>
    <row r="2477" spans="1:5" x14ac:dyDescent="0.25">
      <c r="A2477" s="7">
        <v>1</v>
      </c>
      <c r="B2477" s="7">
        <v>3516</v>
      </c>
      <c r="C2477" s="7">
        <v>132</v>
      </c>
      <c r="D2477" s="8">
        <v>8.18</v>
      </c>
      <c r="E2477" s="9">
        <v>3</v>
      </c>
    </row>
    <row r="2478" spans="1:5" x14ac:dyDescent="0.25">
      <c r="A2478" s="7">
        <v>1</v>
      </c>
      <c r="B2478" s="7">
        <v>3517</v>
      </c>
      <c r="C2478" s="7">
        <v>132</v>
      </c>
      <c r="D2478" s="8">
        <v>14.28</v>
      </c>
      <c r="E2478" s="9">
        <v>3</v>
      </c>
    </row>
    <row r="2479" spans="1:5" x14ac:dyDescent="0.25">
      <c r="A2479" s="7">
        <v>1</v>
      </c>
      <c r="B2479" s="7">
        <v>3519</v>
      </c>
      <c r="C2479" s="7">
        <v>131</v>
      </c>
      <c r="D2479" s="8">
        <v>107.03</v>
      </c>
      <c r="E2479" s="9">
        <v>3</v>
      </c>
    </row>
    <row r="2480" spans="1:5" x14ac:dyDescent="0.25">
      <c r="A2480" s="7">
        <v>1</v>
      </c>
      <c r="B2480" s="7">
        <v>3520</v>
      </c>
      <c r="C2480" s="7">
        <v>131</v>
      </c>
      <c r="D2480" s="8">
        <v>94.83</v>
      </c>
      <c r="E2480" s="9">
        <v>3</v>
      </c>
    </row>
    <row r="2481" spans="1:5" x14ac:dyDescent="0.25">
      <c r="A2481" s="7">
        <v>1</v>
      </c>
      <c r="B2481" s="7">
        <v>3521</v>
      </c>
      <c r="C2481" s="7">
        <v>131</v>
      </c>
      <c r="D2481" s="8">
        <v>96.48</v>
      </c>
      <c r="E2481" s="9">
        <v>3</v>
      </c>
    </row>
    <row r="2482" spans="1:5" x14ac:dyDescent="0.25">
      <c r="A2482" s="7">
        <v>1</v>
      </c>
      <c r="B2482" s="7">
        <v>3522</v>
      </c>
      <c r="C2482" s="7">
        <v>131</v>
      </c>
      <c r="D2482" s="8">
        <v>104.48</v>
      </c>
      <c r="E2482" s="9">
        <v>3</v>
      </c>
    </row>
    <row r="2483" spans="1:5" x14ac:dyDescent="0.25">
      <c r="A2483" s="7">
        <v>1</v>
      </c>
      <c r="B2483" s="7">
        <v>3523</v>
      </c>
      <c r="C2483" s="7">
        <v>131</v>
      </c>
      <c r="D2483" s="8">
        <v>103.93</v>
      </c>
      <c r="E2483" s="9">
        <v>3</v>
      </c>
    </row>
    <row r="2484" spans="1:5" x14ac:dyDescent="0.25">
      <c r="A2484" s="7">
        <v>1</v>
      </c>
      <c r="B2484" s="7">
        <v>3524</v>
      </c>
      <c r="C2484" s="7">
        <v>131</v>
      </c>
      <c r="D2484" s="8">
        <v>104.38</v>
      </c>
      <c r="E2484" s="9">
        <v>3</v>
      </c>
    </row>
    <row r="2485" spans="1:5" x14ac:dyDescent="0.25">
      <c r="A2485" s="7">
        <v>1</v>
      </c>
      <c r="B2485" s="7">
        <v>3525</v>
      </c>
      <c r="C2485" s="7">
        <v>131</v>
      </c>
      <c r="D2485" s="8">
        <v>104.6</v>
      </c>
      <c r="E2485" s="9">
        <v>3</v>
      </c>
    </row>
    <row r="2486" spans="1:5" x14ac:dyDescent="0.25">
      <c r="A2486" s="7">
        <v>1</v>
      </c>
      <c r="B2486" s="7">
        <v>3527</v>
      </c>
      <c r="C2486" s="7">
        <v>157</v>
      </c>
      <c r="D2486" s="8">
        <v>7986.38</v>
      </c>
      <c r="E2486" s="9">
        <v>1</v>
      </c>
    </row>
    <row r="2487" spans="1:5" x14ac:dyDescent="0.25">
      <c r="A2487" s="7">
        <v>1</v>
      </c>
      <c r="B2487" s="7">
        <v>3528</v>
      </c>
      <c r="C2487" s="7">
        <v>157</v>
      </c>
      <c r="D2487" s="8">
        <v>7986.38</v>
      </c>
      <c r="E2487" s="9">
        <v>1</v>
      </c>
    </row>
    <row r="2488" spans="1:5" x14ac:dyDescent="0.25">
      <c r="A2488" s="7">
        <v>1</v>
      </c>
      <c r="B2488" s="7">
        <v>3529</v>
      </c>
      <c r="C2488" s="7">
        <v>157</v>
      </c>
      <c r="D2488" s="8">
        <v>9843.25</v>
      </c>
      <c r="E2488" s="9">
        <v>1</v>
      </c>
    </row>
    <row r="2489" spans="1:5" x14ac:dyDescent="0.25">
      <c r="A2489" s="7">
        <v>1</v>
      </c>
      <c r="B2489" s="7">
        <v>3531</v>
      </c>
      <c r="C2489" s="7">
        <v>157</v>
      </c>
      <c r="D2489" s="8">
        <v>13372.23</v>
      </c>
      <c r="E2489" s="9">
        <v>1</v>
      </c>
    </row>
    <row r="2490" spans="1:5" x14ac:dyDescent="0.25">
      <c r="A2490" s="7">
        <v>1</v>
      </c>
      <c r="B2490" s="7">
        <v>3532</v>
      </c>
      <c r="C2490" s="7">
        <v>902</v>
      </c>
      <c r="D2490" s="8">
        <v>24240.49</v>
      </c>
      <c r="E2490" s="9">
        <v>1</v>
      </c>
    </row>
    <row r="2491" spans="1:5" x14ac:dyDescent="0.25">
      <c r="A2491" s="7">
        <v>1</v>
      </c>
      <c r="B2491" s="7">
        <v>3534</v>
      </c>
      <c r="C2491" s="7">
        <v>132</v>
      </c>
      <c r="D2491" s="8">
        <v>67.54</v>
      </c>
      <c r="E2491" s="9">
        <v>3</v>
      </c>
    </row>
    <row r="2492" spans="1:5" x14ac:dyDescent="0.25">
      <c r="A2492" s="7">
        <v>1</v>
      </c>
      <c r="B2492" s="7">
        <v>3537</v>
      </c>
      <c r="C2492" s="7">
        <v>902</v>
      </c>
      <c r="D2492" s="8">
        <v>44691.5</v>
      </c>
      <c r="E2492" s="9">
        <v>1</v>
      </c>
    </row>
    <row r="2493" spans="1:5" x14ac:dyDescent="0.25">
      <c r="A2493" s="7">
        <v>1</v>
      </c>
      <c r="B2493" s="7">
        <v>3538</v>
      </c>
      <c r="C2493" s="7">
        <v>902</v>
      </c>
      <c r="D2493" s="8">
        <v>173299.43</v>
      </c>
      <c r="E2493" s="9">
        <v>1</v>
      </c>
    </row>
    <row r="2494" spans="1:5" x14ac:dyDescent="0.25">
      <c r="A2494" s="7">
        <v>1</v>
      </c>
      <c r="B2494" s="7">
        <v>3539</v>
      </c>
      <c r="C2494" s="7">
        <v>902</v>
      </c>
      <c r="D2494" s="8">
        <v>44691.5</v>
      </c>
      <c r="E2494" s="9">
        <v>1</v>
      </c>
    </row>
    <row r="2495" spans="1:5" x14ac:dyDescent="0.25">
      <c r="A2495" s="7">
        <v>1</v>
      </c>
      <c r="B2495" s="7">
        <v>3540</v>
      </c>
      <c r="C2495" s="7">
        <v>902</v>
      </c>
      <c r="D2495" s="8">
        <v>173299.43</v>
      </c>
      <c r="E2495" s="9">
        <v>1</v>
      </c>
    </row>
    <row r="2496" spans="1:5" x14ac:dyDescent="0.25">
      <c r="A2496" s="7">
        <v>1</v>
      </c>
      <c r="B2496" s="7">
        <v>3541</v>
      </c>
      <c r="C2496" s="7">
        <v>107</v>
      </c>
      <c r="D2496" s="8">
        <v>44691.5</v>
      </c>
      <c r="E2496" s="9">
        <v>1</v>
      </c>
    </row>
    <row r="2497" spans="1:5" x14ac:dyDescent="0.25">
      <c r="A2497" s="7">
        <v>1</v>
      </c>
      <c r="B2497" s="7">
        <v>3542</v>
      </c>
      <c r="C2497" s="7">
        <v>902</v>
      </c>
      <c r="D2497" s="8">
        <v>173299.43</v>
      </c>
      <c r="E2497" s="9">
        <v>1</v>
      </c>
    </row>
    <row r="2498" spans="1:5" x14ac:dyDescent="0.25">
      <c r="A2498" s="7">
        <v>1</v>
      </c>
      <c r="B2498" s="7">
        <v>3544</v>
      </c>
      <c r="C2498" s="7">
        <v>144</v>
      </c>
      <c r="D2498" s="8">
        <v>8394.4</v>
      </c>
      <c r="E2498" s="9">
        <v>1</v>
      </c>
    </row>
    <row r="2499" spans="1:5" x14ac:dyDescent="0.25">
      <c r="A2499" s="7">
        <v>1</v>
      </c>
      <c r="B2499" s="7">
        <v>3545</v>
      </c>
      <c r="C2499" s="7">
        <v>144</v>
      </c>
      <c r="D2499" s="8">
        <v>12210.25</v>
      </c>
      <c r="E2499" s="9">
        <v>1</v>
      </c>
    </row>
    <row r="2500" spans="1:5" x14ac:dyDescent="0.25">
      <c r="A2500" s="7">
        <v>1</v>
      </c>
      <c r="B2500" s="7">
        <v>3546</v>
      </c>
      <c r="C2500" s="7">
        <v>144</v>
      </c>
      <c r="D2500" s="8">
        <v>14299.76</v>
      </c>
      <c r="E2500" s="9">
        <v>1</v>
      </c>
    </row>
    <row r="2501" spans="1:5" x14ac:dyDescent="0.25">
      <c r="A2501" s="7">
        <v>1</v>
      </c>
      <c r="B2501" s="7">
        <v>3547</v>
      </c>
      <c r="C2501" s="7">
        <v>144</v>
      </c>
      <c r="D2501" s="8">
        <v>9652.56</v>
      </c>
      <c r="E2501" s="9">
        <v>1</v>
      </c>
    </row>
    <row r="2502" spans="1:5" x14ac:dyDescent="0.25">
      <c r="A2502" s="7">
        <v>1</v>
      </c>
      <c r="B2502" s="7">
        <v>3548</v>
      </c>
      <c r="C2502" s="7">
        <v>144</v>
      </c>
      <c r="D2502" s="8">
        <v>14042.35</v>
      </c>
      <c r="E2502" s="9">
        <v>1</v>
      </c>
    </row>
    <row r="2503" spans="1:5" x14ac:dyDescent="0.25">
      <c r="A2503" s="7">
        <v>1</v>
      </c>
      <c r="B2503" s="7">
        <v>3549</v>
      </c>
      <c r="C2503" s="7">
        <v>144</v>
      </c>
      <c r="D2503" s="8">
        <v>16342.66</v>
      </c>
      <c r="E2503" s="9">
        <v>1</v>
      </c>
    </row>
    <row r="2504" spans="1:5" x14ac:dyDescent="0.25">
      <c r="A2504" s="7">
        <v>1</v>
      </c>
      <c r="B2504" s="7">
        <v>3550</v>
      </c>
      <c r="C2504" s="7">
        <v>144</v>
      </c>
      <c r="D2504" s="8">
        <v>13247.52</v>
      </c>
      <c r="E2504" s="9">
        <v>1</v>
      </c>
    </row>
    <row r="2505" spans="1:5" x14ac:dyDescent="0.25">
      <c r="A2505" s="7">
        <v>1</v>
      </c>
      <c r="B2505" s="7">
        <v>3551</v>
      </c>
      <c r="C2505" s="7">
        <v>144</v>
      </c>
      <c r="D2505" s="8">
        <v>15417.62</v>
      </c>
      <c r="E2505" s="9">
        <v>1</v>
      </c>
    </row>
    <row r="2506" spans="1:5" x14ac:dyDescent="0.25">
      <c r="A2506" s="7">
        <v>1</v>
      </c>
      <c r="B2506" s="7">
        <v>3561</v>
      </c>
      <c r="C2506" s="7">
        <v>132</v>
      </c>
      <c r="D2506" s="8">
        <v>55.15</v>
      </c>
      <c r="E2506" s="9">
        <v>3</v>
      </c>
    </row>
    <row r="2507" spans="1:5" x14ac:dyDescent="0.25">
      <c r="A2507" s="7">
        <v>1</v>
      </c>
      <c r="B2507" s="7">
        <v>3588</v>
      </c>
      <c r="C2507" s="7">
        <v>107</v>
      </c>
      <c r="D2507" s="8">
        <v>37301.17</v>
      </c>
      <c r="E2507" s="9">
        <v>1</v>
      </c>
    </row>
    <row r="2508" spans="1:5" x14ac:dyDescent="0.25">
      <c r="A2508" s="7">
        <v>1</v>
      </c>
      <c r="B2508" s="7">
        <v>3589</v>
      </c>
      <c r="C2508" s="7">
        <v>107</v>
      </c>
      <c r="D2508" s="8">
        <v>121330.7</v>
      </c>
      <c r="E2508" s="9">
        <v>1</v>
      </c>
    </row>
    <row r="2509" spans="1:5" x14ac:dyDescent="0.25">
      <c r="A2509" s="7">
        <v>1</v>
      </c>
      <c r="B2509" s="7">
        <v>3590</v>
      </c>
      <c r="C2509" s="7">
        <v>107</v>
      </c>
      <c r="D2509" s="8">
        <v>35524.13</v>
      </c>
      <c r="E2509" s="9">
        <v>1</v>
      </c>
    </row>
    <row r="2510" spans="1:5" x14ac:dyDescent="0.25">
      <c r="A2510" s="7">
        <v>1</v>
      </c>
      <c r="B2510" s="7">
        <v>3591</v>
      </c>
      <c r="C2510" s="7">
        <v>107</v>
      </c>
      <c r="D2510" s="8">
        <v>115553.22</v>
      </c>
      <c r="E2510" s="9">
        <v>1</v>
      </c>
    </row>
    <row r="2511" spans="1:5" x14ac:dyDescent="0.25">
      <c r="A2511" s="7">
        <v>1</v>
      </c>
      <c r="B2511" s="7">
        <v>3593</v>
      </c>
      <c r="C2511" s="7">
        <v>107</v>
      </c>
      <c r="D2511" s="8">
        <v>30002.07</v>
      </c>
      <c r="E2511" s="9">
        <v>1</v>
      </c>
    </row>
    <row r="2512" spans="1:5" x14ac:dyDescent="0.25">
      <c r="A2512" s="7">
        <v>1</v>
      </c>
      <c r="B2512" s="7">
        <v>3594</v>
      </c>
      <c r="C2512" s="7">
        <v>902</v>
      </c>
      <c r="D2512" s="8">
        <v>139074.71</v>
      </c>
      <c r="E2512" s="9">
        <v>1</v>
      </c>
    </row>
    <row r="2513" spans="1:5" x14ac:dyDescent="0.25">
      <c r="A2513" s="7">
        <v>1</v>
      </c>
      <c r="B2513" s="7">
        <v>3595</v>
      </c>
      <c r="C2513" s="7">
        <v>107</v>
      </c>
      <c r="D2513" s="8">
        <v>30002.07</v>
      </c>
      <c r="E2513" s="9">
        <v>1</v>
      </c>
    </row>
    <row r="2514" spans="1:5" x14ac:dyDescent="0.25">
      <c r="A2514" s="7">
        <v>1</v>
      </c>
      <c r="B2514" s="7">
        <v>3596</v>
      </c>
      <c r="C2514" s="7">
        <v>107</v>
      </c>
      <c r="D2514" s="8">
        <v>147425.17</v>
      </c>
      <c r="E2514" s="9">
        <v>1</v>
      </c>
    </row>
    <row r="2515" spans="1:5" x14ac:dyDescent="0.25">
      <c r="A2515" s="7">
        <v>1</v>
      </c>
      <c r="B2515" s="7">
        <v>3597</v>
      </c>
      <c r="C2515" s="7">
        <v>107</v>
      </c>
      <c r="D2515" s="8">
        <v>30002.07</v>
      </c>
      <c r="E2515" s="9">
        <v>1</v>
      </c>
    </row>
    <row r="2516" spans="1:5" x14ac:dyDescent="0.25">
      <c r="A2516" s="7">
        <v>1</v>
      </c>
      <c r="B2516" s="7">
        <v>3598</v>
      </c>
      <c r="C2516" s="7">
        <v>107</v>
      </c>
      <c r="D2516" s="8">
        <v>147425.17</v>
      </c>
      <c r="E2516" s="9">
        <v>1</v>
      </c>
    </row>
    <row r="2517" spans="1:5" x14ac:dyDescent="0.25">
      <c r="A2517" s="7">
        <v>1</v>
      </c>
      <c r="B2517" s="7">
        <v>3599</v>
      </c>
      <c r="C2517" s="7">
        <v>107</v>
      </c>
      <c r="D2517" s="8">
        <v>30002.07</v>
      </c>
      <c r="E2517" s="9">
        <v>1</v>
      </c>
    </row>
    <row r="2518" spans="1:5" x14ac:dyDescent="0.25">
      <c r="A2518" s="7">
        <v>1</v>
      </c>
      <c r="B2518" s="7">
        <v>3600</v>
      </c>
      <c r="C2518" s="7">
        <v>107</v>
      </c>
      <c r="D2518" s="8">
        <v>147425.17</v>
      </c>
      <c r="E2518" s="9">
        <v>1</v>
      </c>
    </row>
    <row r="2519" spans="1:5" x14ac:dyDescent="0.25">
      <c r="A2519" s="7">
        <v>1</v>
      </c>
      <c r="B2519" s="7">
        <v>3602</v>
      </c>
      <c r="C2519" s="7">
        <v>181</v>
      </c>
      <c r="D2519" s="8">
        <v>13.98</v>
      </c>
      <c r="E2519" s="9">
        <v>2</v>
      </c>
    </row>
    <row r="2520" spans="1:5" x14ac:dyDescent="0.25">
      <c r="A2520" s="7">
        <v>1</v>
      </c>
      <c r="B2520" s="7">
        <v>3603</v>
      </c>
      <c r="C2520" s="7">
        <v>144</v>
      </c>
      <c r="D2520" s="8">
        <v>78790.89</v>
      </c>
      <c r="E2520" s="9">
        <v>1</v>
      </c>
    </row>
    <row r="2521" spans="1:5" x14ac:dyDescent="0.25">
      <c r="A2521" s="7">
        <v>1</v>
      </c>
      <c r="B2521" s="7">
        <v>3605</v>
      </c>
      <c r="C2521" s="7">
        <v>107</v>
      </c>
      <c r="D2521" s="8">
        <v>37301.17</v>
      </c>
      <c r="E2521" s="9">
        <v>1</v>
      </c>
    </row>
    <row r="2522" spans="1:5" x14ac:dyDescent="0.25">
      <c r="A2522" s="7">
        <v>1</v>
      </c>
      <c r="B2522" s="7">
        <v>3606</v>
      </c>
      <c r="C2522" s="7">
        <v>107</v>
      </c>
      <c r="D2522" s="8">
        <v>121330.7</v>
      </c>
      <c r="E2522" s="9">
        <v>1</v>
      </c>
    </row>
    <row r="2523" spans="1:5" x14ac:dyDescent="0.25">
      <c r="A2523" s="7">
        <v>1</v>
      </c>
      <c r="B2523" s="7">
        <v>3607</v>
      </c>
      <c r="C2523" s="7">
        <v>107</v>
      </c>
      <c r="D2523" s="8">
        <v>35524.13</v>
      </c>
      <c r="E2523" s="9">
        <v>1</v>
      </c>
    </row>
    <row r="2524" spans="1:5" x14ac:dyDescent="0.25">
      <c r="A2524" s="7">
        <v>1</v>
      </c>
      <c r="B2524" s="7">
        <v>3608</v>
      </c>
      <c r="C2524" s="7">
        <v>107</v>
      </c>
      <c r="D2524" s="8">
        <v>115553.22</v>
      </c>
      <c r="E2524" s="9">
        <v>1</v>
      </c>
    </row>
    <row r="2525" spans="1:5" x14ac:dyDescent="0.25">
      <c r="A2525" s="7">
        <v>1</v>
      </c>
      <c r="B2525" s="7">
        <v>3619</v>
      </c>
      <c r="C2525" s="7">
        <v>120</v>
      </c>
      <c r="D2525" s="8">
        <v>19138.23</v>
      </c>
      <c r="E2525" s="9">
        <v>1</v>
      </c>
    </row>
    <row r="2526" spans="1:5" x14ac:dyDescent="0.25">
      <c r="A2526" s="7">
        <v>1</v>
      </c>
      <c r="B2526" s="7">
        <v>3620</v>
      </c>
      <c r="C2526" s="7">
        <v>120</v>
      </c>
      <c r="D2526" s="8">
        <v>183216.34</v>
      </c>
      <c r="E2526" s="9">
        <v>1</v>
      </c>
    </row>
    <row r="2527" spans="1:5" x14ac:dyDescent="0.25">
      <c r="A2527" s="7">
        <v>1</v>
      </c>
      <c r="B2527" s="7">
        <v>3627</v>
      </c>
      <c r="C2527" s="7">
        <v>165</v>
      </c>
      <c r="D2527" s="8">
        <v>14232.25</v>
      </c>
      <c r="E2527" s="9">
        <v>1</v>
      </c>
    </row>
    <row r="2528" spans="1:5" x14ac:dyDescent="0.25">
      <c r="A2528" s="7">
        <v>1</v>
      </c>
      <c r="B2528" s="7">
        <v>3628</v>
      </c>
      <c r="C2528" s="7">
        <v>156</v>
      </c>
      <c r="D2528" s="8">
        <v>63250</v>
      </c>
      <c r="E2528" s="9">
        <v>1</v>
      </c>
    </row>
    <row r="2529" spans="1:5" x14ac:dyDescent="0.25">
      <c r="A2529" s="7">
        <v>1</v>
      </c>
      <c r="B2529" s="7">
        <v>3629</v>
      </c>
      <c r="C2529" s="7">
        <v>156</v>
      </c>
      <c r="D2529" s="8">
        <v>71875</v>
      </c>
      <c r="E2529" s="9">
        <v>1</v>
      </c>
    </row>
    <row r="2530" spans="1:5" x14ac:dyDescent="0.25">
      <c r="A2530" s="7">
        <v>1</v>
      </c>
      <c r="B2530" s="7">
        <v>3649</v>
      </c>
      <c r="C2530" s="7">
        <v>104</v>
      </c>
      <c r="D2530" s="8">
        <v>774548.06</v>
      </c>
      <c r="E2530" s="9">
        <v>1</v>
      </c>
    </row>
    <row r="2531" spans="1:5" x14ac:dyDescent="0.25">
      <c r="A2531" s="7">
        <v>1</v>
      </c>
      <c r="B2531" s="7">
        <v>3650</v>
      </c>
      <c r="C2531" s="7">
        <v>104</v>
      </c>
      <c r="D2531" s="8">
        <v>1065649.3</v>
      </c>
      <c r="E2531" s="9">
        <v>1</v>
      </c>
    </row>
    <row r="2532" spans="1:5" x14ac:dyDescent="0.25">
      <c r="A2532" s="7">
        <v>1</v>
      </c>
      <c r="B2532" s="7">
        <v>3687</v>
      </c>
      <c r="C2532" s="7">
        <v>157</v>
      </c>
      <c r="D2532" s="8">
        <v>17848.72</v>
      </c>
      <c r="E2532" s="9">
        <v>1</v>
      </c>
    </row>
    <row r="2533" spans="1:5" x14ac:dyDescent="0.25">
      <c r="A2533" s="7">
        <v>1</v>
      </c>
      <c r="B2533" s="7">
        <v>3688</v>
      </c>
      <c r="C2533" s="7">
        <v>157</v>
      </c>
      <c r="D2533" s="8">
        <v>27641.65</v>
      </c>
      <c r="E2533" s="9">
        <v>1</v>
      </c>
    </row>
    <row r="2534" spans="1:5" x14ac:dyDescent="0.25">
      <c r="A2534" s="7">
        <v>1</v>
      </c>
      <c r="B2534" s="7">
        <v>3689</v>
      </c>
      <c r="C2534" s="7">
        <v>157</v>
      </c>
      <c r="D2534" s="8">
        <v>44161.63</v>
      </c>
      <c r="E2534" s="9">
        <v>1</v>
      </c>
    </row>
    <row r="2535" spans="1:5" x14ac:dyDescent="0.25">
      <c r="A2535" s="7">
        <v>1</v>
      </c>
      <c r="B2535" s="7">
        <v>3690</v>
      </c>
      <c r="C2535" s="7">
        <v>157</v>
      </c>
      <c r="D2535" s="8">
        <v>135419.16</v>
      </c>
      <c r="E2535" s="9">
        <v>1</v>
      </c>
    </row>
    <row r="2536" spans="1:5" x14ac:dyDescent="0.25">
      <c r="A2536" s="7">
        <v>1</v>
      </c>
      <c r="B2536" s="7">
        <v>3700</v>
      </c>
      <c r="C2536" s="7">
        <v>110</v>
      </c>
      <c r="D2536" s="8">
        <v>86807.14</v>
      </c>
      <c r="E2536" s="9">
        <v>1</v>
      </c>
    </row>
    <row r="2537" spans="1:5" x14ac:dyDescent="0.25">
      <c r="A2537" s="7">
        <v>1</v>
      </c>
      <c r="B2537" s="7">
        <v>3703</v>
      </c>
      <c r="C2537" s="7">
        <v>102</v>
      </c>
      <c r="D2537" s="8">
        <v>9916.1</v>
      </c>
      <c r="E2537" s="9">
        <v>1</v>
      </c>
    </row>
    <row r="2538" spans="1:5" x14ac:dyDescent="0.25">
      <c r="A2538" s="7">
        <v>1</v>
      </c>
      <c r="B2538" s="7">
        <v>3705</v>
      </c>
      <c r="C2538" s="7">
        <v>157</v>
      </c>
      <c r="D2538" s="8">
        <v>10105.89</v>
      </c>
      <c r="E2538" s="9">
        <v>1</v>
      </c>
    </row>
    <row r="2539" spans="1:5" x14ac:dyDescent="0.25">
      <c r="A2539" s="7">
        <v>1</v>
      </c>
      <c r="B2539" s="7">
        <v>3706</v>
      </c>
      <c r="C2539" s="7">
        <v>157</v>
      </c>
      <c r="D2539" s="8">
        <v>44418.14</v>
      </c>
      <c r="E2539" s="9">
        <v>1</v>
      </c>
    </row>
    <row r="2540" spans="1:5" x14ac:dyDescent="0.25">
      <c r="A2540" s="7">
        <v>1</v>
      </c>
      <c r="B2540" s="7">
        <v>3707</v>
      </c>
      <c r="C2540" s="7">
        <v>157</v>
      </c>
      <c r="D2540" s="8">
        <v>160315.62</v>
      </c>
      <c r="E2540" s="9">
        <v>1</v>
      </c>
    </row>
    <row r="2541" spans="1:5" x14ac:dyDescent="0.25">
      <c r="A2541" s="7">
        <v>1</v>
      </c>
      <c r="B2541" s="7">
        <v>3718</v>
      </c>
      <c r="C2541" s="7">
        <v>902</v>
      </c>
      <c r="D2541" s="8">
        <v>179371.53</v>
      </c>
      <c r="E2541" s="9">
        <v>1</v>
      </c>
    </row>
    <row r="2542" spans="1:5" x14ac:dyDescent="0.25">
      <c r="A2542" s="7">
        <v>1</v>
      </c>
      <c r="B2542" s="7">
        <v>3719</v>
      </c>
      <c r="C2542" s="7">
        <v>102</v>
      </c>
      <c r="D2542" s="8">
        <v>24717.84</v>
      </c>
      <c r="E2542" s="9">
        <v>1</v>
      </c>
    </row>
    <row r="2543" spans="1:5" x14ac:dyDescent="0.25">
      <c r="A2543" s="7">
        <v>1</v>
      </c>
      <c r="B2543" s="7">
        <v>3720</v>
      </c>
      <c r="C2543" s="7">
        <v>102</v>
      </c>
      <c r="D2543" s="8">
        <v>24717.84</v>
      </c>
      <c r="E2543" s="9">
        <v>1</v>
      </c>
    </row>
    <row r="2544" spans="1:5" x14ac:dyDescent="0.25">
      <c r="A2544" s="7">
        <v>1</v>
      </c>
      <c r="B2544" s="7">
        <v>3723</v>
      </c>
      <c r="C2544" s="7">
        <v>102</v>
      </c>
      <c r="D2544" s="8">
        <v>22334.83</v>
      </c>
      <c r="E2544" s="9">
        <v>1</v>
      </c>
    </row>
    <row r="2545" spans="1:5" x14ac:dyDescent="0.25">
      <c r="A2545" s="7">
        <v>1</v>
      </c>
      <c r="B2545" s="7">
        <v>3725</v>
      </c>
      <c r="C2545" s="7">
        <v>157</v>
      </c>
      <c r="D2545" s="8">
        <v>7429.02</v>
      </c>
      <c r="E2545" s="9">
        <v>1</v>
      </c>
    </row>
    <row r="2546" spans="1:5" x14ac:dyDescent="0.25">
      <c r="A2546" s="7">
        <v>1</v>
      </c>
      <c r="B2546" s="7">
        <v>3726</v>
      </c>
      <c r="C2546" s="7">
        <v>158</v>
      </c>
      <c r="D2546" s="8">
        <v>190511.39</v>
      </c>
      <c r="E2546" s="9">
        <v>1</v>
      </c>
    </row>
    <row r="2547" spans="1:5" x14ac:dyDescent="0.25">
      <c r="A2547" s="7">
        <v>1</v>
      </c>
      <c r="B2547" s="7">
        <v>3728</v>
      </c>
      <c r="C2547" s="7">
        <v>108</v>
      </c>
      <c r="D2547" s="8">
        <v>17438.36</v>
      </c>
      <c r="E2547" s="9">
        <v>1</v>
      </c>
    </row>
    <row r="2548" spans="1:5" x14ac:dyDescent="0.25">
      <c r="A2548" s="7">
        <v>1</v>
      </c>
      <c r="B2548" s="7">
        <v>3729</v>
      </c>
      <c r="C2548" s="7">
        <v>108</v>
      </c>
      <c r="D2548" s="8">
        <v>18407.04</v>
      </c>
      <c r="E2548" s="9">
        <v>1</v>
      </c>
    </row>
    <row r="2549" spans="1:5" x14ac:dyDescent="0.25">
      <c r="A2549" s="7">
        <v>1</v>
      </c>
      <c r="B2549" s="7">
        <v>3731</v>
      </c>
      <c r="C2549" s="7">
        <v>108</v>
      </c>
      <c r="D2549" s="8">
        <v>16469.63</v>
      </c>
      <c r="E2549" s="9">
        <v>1</v>
      </c>
    </row>
    <row r="2550" spans="1:5" x14ac:dyDescent="0.25">
      <c r="A2550" s="7">
        <v>1</v>
      </c>
      <c r="B2550" s="7">
        <v>3743</v>
      </c>
      <c r="C2550" s="7">
        <v>158</v>
      </c>
      <c r="D2550" s="8">
        <v>152467.66</v>
      </c>
      <c r="E2550" s="9">
        <v>1</v>
      </c>
    </row>
    <row r="2551" spans="1:5" x14ac:dyDescent="0.25">
      <c r="A2551" s="7">
        <v>1</v>
      </c>
      <c r="B2551" s="7">
        <v>3744</v>
      </c>
      <c r="C2551" s="7">
        <v>105</v>
      </c>
      <c r="D2551" s="8">
        <v>237115.13</v>
      </c>
      <c r="E2551" s="9">
        <v>1</v>
      </c>
    </row>
    <row r="2552" spans="1:5" x14ac:dyDescent="0.25">
      <c r="A2552" s="7">
        <v>1</v>
      </c>
      <c r="B2552" s="7">
        <v>3745</v>
      </c>
      <c r="C2552" s="7">
        <v>105</v>
      </c>
      <c r="D2552" s="8">
        <v>270028.38</v>
      </c>
      <c r="E2552" s="9">
        <v>1</v>
      </c>
    </row>
    <row r="2553" spans="1:5" x14ac:dyDescent="0.25">
      <c r="A2553" s="7">
        <v>1</v>
      </c>
      <c r="B2553" s="7">
        <v>3746</v>
      </c>
      <c r="C2553" s="7">
        <v>105</v>
      </c>
      <c r="D2553" s="8">
        <v>270028.38</v>
      </c>
      <c r="E2553" s="9">
        <v>1</v>
      </c>
    </row>
    <row r="2554" spans="1:5" x14ac:dyDescent="0.25">
      <c r="A2554" s="7">
        <v>1</v>
      </c>
      <c r="B2554" s="7">
        <v>3747</v>
      </c>
      <c r="C2554" s="7">
        <v>105</v>
      </c>
      <c r="D2554" s="8">
        <v>270028.38</v>
      </c>
      <c r="E2554" s="9">
        <v>1</v>
      </c>
    </row>
    <row r="2555" spans="1:5" x14ac:dyDescent="0.25">
      <c r="A2555" s="7">
        <v>1</v>
      </c>
      <c r="B2555" s="7">
        <v>3748</v>
      </c>
      <c r="C2555" s="7">
        <v>105</v>
      </c>
      <c r="D2555" s="8">
        <v>270028.38</v>
      </c>
      <c r="E2555" s="9">
        <v>1</v>
      </c>
    </row>
    <row r="2556" spans="1:5" x14ac:dyDescent="0.25">
      <c r="A2556" s="7">
        <v>1</v>
      </c>
      <c r="B2556" s="7">
        <v>3749</v>
      </c>
      <c r="C2556" s="7">
        <v>105</v>
      </c>
      <c r="D2556" s="8">
        <v>270028.38</v>
      </c>
      <c r="E2556" s="9">
        <v>1</v>
      </c>
    </row>
    <row r="2557" spans="1:5" x14ac:dyDescent="0.25">
      <c r="A2557" s="7">
        <v>1</v>
      </c>
      <c r="B2557" s="7">
        <v>3764</v>
      </c>
      <c r="C2557" s="7">
        <v>146</v>
      </c>
      <c r="D2557" s="8">
        <v>35244.45</v>
      </c>
      <c r="E2557" s="9">
        <v>1</v>
      </c>
    </row>
    <row r="2558" spans="1:5" x14ac:dyDescent="0.25">
      <c r="A2558" s="7">
        <v>1</v>
      </c>
      <c r="B2558" s="7">
        <v>3765</v>
      </c>
      <c r="C2558" s="7">
        <v>143</v>
      </c>
      <c r="D2558" s="8">
        <v>586.05</v>
      </c>
      <c r="E2558" s="9">
        <v>2</v>
      </c>
    </row>
    <row r="2559" spans="1:5" x14ac:dyDescent="0.25">
      <c r="A2559" s="7">
        <v>1</v>
      </c>
      <c r="B2559" s="7">
        <v>3767</v>
      </c>
      <c r="C2559" s="7">
        <v>165</v>
      </c>
      <c r="D2559" s="8">
        <v>9040.25</v>
      </c>
      <c r="E2559" s="9">
        <v>1</v>
      </c>
    </row>
    <row r="2560" spans="1:5" x14ac:dyDescent="0.25">
      <c r="A2560" s="7">
        <v>1</v>
      </c>
      <c r="B2560" s="7">
        <v>3768</v>
      </c>
      <c r="C2560" s="7">
        <v>156</v>
      </c>
      <c r="D2560" s="8">
        <v>157645</v>
      </c>
      <c r="E2560" s="9">
        <v>1</v>
      </c>
    </row>
    <row r="2561" spans="1:5" x14ac:dyDescent="0.25">
      <c r="A2561" s="7">
        <v>1</v>
      </c>
      <c r="B2561" s="7">
        <v>3769</v>
      </c>
      <c r="C2561" s="7">
        <v>156</v>
      </c>
      <c r="D2561" s="8">
        <v>282900</v>
      </c>
      <c r="E2561" s="9">
        <v>1</v>
      </c>
    </row>
    <row r="2562" spans="1:5" x14ac:dyDescent="0.25">
      <c r="A2562" s="7">
        <v>1</v>
      </c>
      <c r="B2562" s="7">
        <v>3770</v>
      </c>
      <c r="C2562" s="7">
        <v>156</v>
      </c>
      <c r="D2562" s="8">
        <v>191675</v>
      </c>
      <c r="E2562" s="9">
        <v>1</v>
      </c>
    </row>
    <row r="2563" spans="1:5" x14ac:dyDescent="0.25">
      <c r="A2563" s="7">
        <v>1</v>
      </c>
      <c r="B2563" s="7">
        <v>3771</v>
      </c>
      <c r="C2563" s="7">
        <v>156</v>
      </c>
      <c r="D2563" s="8">
        <v>279600</v>
      </c>
      <c r="E2563" s="9">
        <v>1</v>
      </c>
    </row>
    <row r="2564" spans="1:5" x14ac:dyDescent="0.25">
      <c r="A2564" s="7">
        <v>1</v>
      </c>
      <c r="B2564" s="7">
        <v>3772</v>
      </c>
      <c r="C2564" s="7">
        <v>156</v>
      </c>
      <c r="D2564" s="8">
        <v>75035</v>
      </c>
      <c r="E2564" s="9">
        <v>1</v>
      </c>
    </row>
    <row r="2565" spans="1:5" x14ac:dyDescent="0.25">
      <c r="A2565" s="7">
        <v>1</v>
      </c>
      <c r="B2565" s="7">
        <v>3775</v>
      </c>
      <c r="C2565" s="7">
        <v>191</v>
      </c>
      <c r="D2565" s="8">
        <v>300454.2</v>
      </c>
      <c r="E2565" s="9">
        <v>1</v>
      </c>
    </row>
    <row r="2566" spans="1:5" x14ac:dyDescent="0.25">
      <c r="A2566" s="7">
        <v>1</v>
      </c>
      <c r="B2566" s="7">
        <v>3776</v>
      </c>
      <c r="C2566" s="7">
        <v>154</v>
      </c>
      <c r="D2566" s="8">
        <v>13032.23</v>
      </c>
      <c r="E2566" s="9">
        <v>1</v>
      </c>
    </row>
    <row r="2567" spans="1:5" x14ac:dyDescent="0.25">
      <c r="A2567" s="7">
        <v>1</v>
      </c>
      <c r="B2567" s="7">
        <v>3777</v>
      </c>
      <c r="C2567" s="7">
        <v>154</v>
      </c>
      <c r="D2567" s="8">
        <v>46782.5</v>
      </c>
      <c r="E2567" s="9">
        <v>1</v>
      </c>
    </row>
    <row r="2568" spans="1:5" x14ac:dyDescent="0.25">
      <c r="A2568" s="7">
        <v>1</v>
      </c>
      <c r="B2568" s="7">
        <v>3778</v>
      </c>
      <c r="C2568" s="7">
        <v>154</v>
      </c>
      <c r="D2568" s="8">
        <v>106800.74</v>
      </c>
      <c r="E2568" s="9">
        <v>1</v>
      </c>
    </row>
    <row r="2569" spans="1:5" x14ac:dyDescent="0.25">
      <c r="A2569" s="7">
        <v>1</v>
      </c>
      <c r="B2569" s="7">
        <v>3779</v>
      </c>
      <c r="C2569" s="7">
        <v>154</v>
      </c>
      <c r="D2569" s="8">
        <v>190994.07</v>
      </c>
      <c r="E2569" s="9">
        <v>1</v>
      </c>
    </row>
    <row r="2570" spans="1:5" x14ac:dyDescent="0.25">
      <c r="A2570" s="7">
        <v>1</v>
      </c>
      <c r="B2570" s="7">
        <v>3780</v>
      </c>
      <c r="C2570" s="7">
        <v>150</v>
      </c>
      <c r="D2570" s="8">
        <v>41757.53</v>
      </c>
      <c r="E2570" s="9">
        <v>1</v>
      </c>
    </row>
    <row r="2571" spans="1:5" x14ac:dyDescent="0.25">
      <c r="A2571" s="7">
        <v>1</v>
      </c>
      <c r="B2571" s="7">
        <v>3781</v>
      </c>
      <c r="C2571" s="7">
        <v>150</v>
      </c>
      <c r="D2571" s="8">
        <v>145873.41</v>
      </c>
      <c r="E2571" s="9">
        <v>1</v>
      </c>
    </row>
    <row r="2572" spans="1:5" x14ac:dyDescent="0.25">
      <c r="A2572" s="7">
        <v>1</v>
      </c>
      <c r="B2572" s="7">
        <v>3782</v>
      </c>
      <c r="C2572" s="7">
        <v>152</v>
      </c>
      <c r="D2572" s="8">
        <v>14624.45</v>
      </c>
      <c r="E2572" s="9">
        <v>1</v>
      </c>
    </row>
    <row r="2573" spans="1:5" x14ac:dyDescent="0.25">
      <c r="A2573" s="7">
        <v>1</v>
      </c>
      <c r="B2573" s="7">
        <v>3783</v>
      </c>
      <c r="C2573" s="7">
        <v>152</v>
      </c>
      <c r="D2573" s="8">
        <v>28931.12</v>
      </c>
      <c r="E2573" s="9">
        <v>1</v>
      </c>
    </row>
    <row r="2574" spans="1:5" x14ac:dyDescent="0.25">
      <c r="A2574" s="7">
        <v>1</v>
      </c>
      <c r="B2574" s="7">
        <v>3784</v>
      </c>
      <c r="C2574" s="7">
        <v>152</v>
      </c>
      <c r="D2574" s="8">
        <v>48610.4</v>
      </c>
      <c r="E2574" s="9">
        <v>1</v>
      </c>
    </row>
    <row r="2575" spans="1:5" x14ac:dyDescent="0.25">
      <c r="A2575" s="7">
        <v>1</v>
      </c>
      <c r="B2575" s="7">
        <v>3787</v>
      </c>
      <c r="C2575" s="7">
        <v>165</v>
      </c>
      <c r="D2575" s="8">
        <v>15868.46</v>
      </c>
      <c r="E2575" s="9">
        <v>1</v>
      </c>
    </row>
    <row r="2576" spans="1:5" x14ac:dyDescent="0.25">
      <c r="A2576" s="7">
        <v>1</v>
      </c>
      <c r="B2576" s="7">
        <v>3788</v>
      </c>
      <c r="C2576" s="7">
        <v>165</v>
      </c>
      <c r="D2576" s="8">
        <v>15868.46</v>
      </c>
      <c r="E2576" s="9">
        <v>1</v>
      </c>
    </row>
    <row r="2577" spans="1:5" x14ac:dyDescent="0.25">
      <c r="A2577" s="7">
        <v>1</v>
      </c>
      <c r="B2577" s="7">
        <v>3789</v>
      </c>
      <c r="C2577" s="7">
        <v>158</v>
      </c>
      <c r="D2577" s="8">
        <v>19206.09</v>
      </c>
      <c r="E2577" s="9">
        <v>1</v>
      </c>
    </row>
    <row r="2578" spans="1:5" x14ac:dyDescent="0.25">
      <c r="A2578" s="7">
        <v>1</v>
      </c>
      <c r="B2578" s="7">
        <v>3790</v>
      </c>
      <c r="C2578" s="7">
        <v>158</v>
      </c>
      <c r="D2578" s="8">
        <v>19206.09</v>
      </c>
      <c r="E2578" s="9">
        <v>1</v>
      </c>
    </row>
    <row r="2579" spans="1:5" x14ac:dyDescent="0.25">
      <c r="A2579" s="7">
        <v>1</v>
      </c>
      <c r="B2579" s="7">
        <v>3791</v>
      </c>
      <c r="C2579" s="7">
        <v>158</v>
      </c>
      <c r="D2579" s="8">
        <v>24967.89</v>
      </c>
      <c r="E2579" s="9">
        <v>1</v>
      </c>
    </row>
    <row r="2580" spans="1:5" x14ac:dyDescent="0.25">
      <c r="A2580" s="7">
        <v>1</v>
      </c>
      <c r="B2580" s="7">
        <v>3792</v>
      </c>
      <c r="C2580" s="7">
        <v>158</v>
      </c>
      <c r="D2580" s="8">
        <v>19206.09</v>
      </c>
      <c r="E2580" s="9">
        <v>1</v>
      </c>
    </row>
    <row r="2581" spans="1:5" x14ac:dyDescent="0.25">
      <c r="A2581" s="7">
        <v>1</v>
      </c>
      <c r="B2581" s="7">
        <v>3793</v>
      </c>
      <c r="C2581" s="7">
        <v>158</v>
      </c>
      <c r="D2581" s="8">
        <v>211183.54</v>
      </c>
      <c r="E2581" s="9">
        <v>1</v>
      </c>
    </row>
    <row r="2582" spans="1:5" x14ac:dyDescent="0.25">
      <c r="A2582" s="7">
        <v>1</v>
      </c>
      <c r="B2582" s="7">
        <v>3794</v>
      </c>
      <c r="C2582" s="7">
        <v>902</v>
      </c>
      <c r="D2582" s="8">
        <v>80526.53</v>
      </c>
      <c r="E2582" s="9">
        <v>1</v>
      </c>
    </row>
    <row r="2583" spans="1:5" x14ac:dyDescent="0.25">
      <c r="A2583" s="7">
        <v>1</v>
      </c>
      <c r="B2583" s="7">
        <v>3795</v>
      </c>
      <c r="C2583" s="7">
        <v>191</v>
      </c>
      <c r="D2583" s="8">
        <v>16981.25</v>
      </c>
      <c r="E2583" s="9">
        <v>1</v>
      </c>
    </row>
    <row r="2584" spans="1:5" x14ac:dyDescent="0.25">
      <c r="A2584" s="7">
        <v>1</v>
      </c>
      <c r="B2584" s="7">
        <v>3796</v>
      </c>
      <c r="C2584" s="7">
        <v>102</v>
      </c>
      <c r="D2584" s="8">
        <v>3307.3</v>
      </c>
      <c r="E2584" s="9">
        <v>1</v>
      </c>
    </row>
    <row r="2585" spans="1:5" x14ac:dyDescent="0.25">
      <c r="A2585" s="7">
        <v>1</v>
      </c>
      <c r="B2585" s="7">
        <v>3797</v>
      </c>
      <c r="C2585" s="7">
        <v>102</v>
      </c>
      <c r="D2585" s="8">
        <v>4409.88</v>
      </c>
      <c r="E2585" s="9">
        <v>1</v>
      </c>
    </row>
    <row r="2586" spans="1:5" x14ac:dyDescent="0.25">
      <c r="A2586" s="7">
        <v>1</v>
      </c>
      <c r="B2586" s="7">
        <v>3798</v>
      </c>
      <c r="C2586" s="7">
        <v>102</v>
      </c>
      <c r="D2586" s="8">
        <v>8819.35</v>
      </c>
      <c r="E2586" s="9">
        <v>1</v>
      </c>
    </row>
    <row r="2587" spans="1:5" x14ac:dyDescent="0.25">
      <c r="A2587" s="7">
        <v>1</v>
      </c>
      <c r="B2587" s="7">
        <v>3799</v>
      </c>
      <c r="C2587" s="7">
        <v>161</v>
      </c>
      <c r="D2587" s="8">
        <v>372</v>
      </c>
      <c r="E2587" s="9">
        <v>2</v>
      </c>
    </row>
    <row r="2588" spans="1:5" x14ac:dyDescent="0.25">
      <c r="A2588" s="7">
        <v>1</v>
      </c>
      <c r="B2588" s="7">
        <v>3800</v>
      </c>
      <c r="C2588" s="7">
        <v>132</v>
      </c>
      <c r="D2588" s="8">
        <v>63</v>
      </c>
      <c r="E2588" s="9">
        <v>3</v>
      </c>
    </row>
    <row r="2589" spans="1:5" x14ac:dyDescent="0.25">
      <c r="A2589" s="7">
        <v>1</v>
      </c>
      <c r="B2589" s="7">
        <v>3801</v>
      </c>
      <c r="C2589" s="7">
        <v>132</v>
      </c>
      <c r="D2589" s="8">
        <v>57.27</v>
      </c>
      <c r="E2589" s="9">
        <v>3</v>
      </c>
    </row>
    <row r="2590" spans="1:5" x14ac:dyDescent="0.25">
      <c r="A2590" s="7">
        <v>1</v>
      </c>
      <c r="B2590" s="7">
        <v>3804</v>
      </c>
      <c r="C2590" s="7">
        <v>152</v>
      </c>
      <c r="D2590" s="8">
        <v>278616.09</v>
      </c>
      <c r="E2590" s="9">
        <v>1</v>
      </c>
    </row>
    <row r="2591" spans="1:5" x14ac:dyDescent="0.25">
      <c r="A2591" s="7">
        <v>1</v>
      </c>
      <c r="B2591" s="7">
        <v>3805</v>
      </c>
      <c r="C2591" s="7">
        <v>152</v>
      </c>
      <c r="D2591" s="8">
        <v>269113.7</v>
      </c>
      <c r="E2591" s="9">
        <v>1</v>
      </c>
    </row>
    <row r="2592" spans="1:5" x14ac:dyDescent="0.25">
      <c r="A2592" s="7">
        <v>1</v>
      </c>
      <c r="B2592" s="7">
        <v>3807</v>
      </c>
      <c r="C2592" s="7">
        <v>152</v>
      </c>
      <c r="D2592" s="8">
        <v>269113.7</v>
      </c>
      <c r="E2592" s="9">
        <v>1</v>
      </c>
    </row>
    <row r="2593" spans="1:5" x14ac:dyDescent="0.25">
      <c r="A2593" s="7">
        <v>1</v>
      </c>
      <c r="B2593" s="7">
        <v>3808</v>
      </c>
      <c r="C2593" s="7">
        <v>132</v>
      </c>
      <c r="D2593" s="8">
        <v>122.65</v>
      </c>
      <c r="E2593" s="9">
        <v>3</v>
      </c>
    </row>
    <row r="2594" spans="1:5" x14ac:dyDescent="0.25">
      <c r="A2594" s="7">
        <v>1</v>
      </c>
      <c r="B2594" s="7">
        <v>3809</v>
      </c>
      <c r="C2594" s="7">
        <v>152</v>
      </c>
      <c r="D2594" s="8">
        <v>269113.7</v>
      </c>
      <c r="E2594" s="9">
        <v>1</v>
      </c>
    </row>
    <row r="2595" spans="1:5" x14ac:dyDescent="0.25">
      <c r="A2595" s="7">
        <v>1</v>
      </c>
      <c r="B2595" s="7">
        <v>3814</v>
      </c>
      <c r="C2595" s="7">
        <v>157</v>
      </c>
      <c r="D2595" s="8">
        <v>7429.02</v>
      </c>
      <c r="E2595" s="9">
        <v>1</v>
      </c>
    </row>
    <row r="2596" spans="1:5" x14ac:dyDescent="0.25">
      <c r="A2596" s="7">
        <v>1</v>
      </c>
      <c r="B2596" s="7">
        <v>3815</v>
      </c>
      <c r="C2596" s="7">
        <v>132</v>
      </c>
      <c r="D2596" s="8">
        <v>112.75</v>
      </c>
      <c r="E2596" s="9">
        <v>3</v>
      </c>
    </row>
    <row r="2597" spans="1:5" x14ac:dyDescent="0.25">
      <c r="A2597" s="7">
        <v>1</v>
      </c>
      <c r="B2597" s="7">
        <v>3818</v>
      </c>
      <c r="C2597" s="7">
        <v>902</v>
      </c>
      <c r="D2597" s="8">
        <v>3946.97</v>
      </c>
      <c r="E2597" s="9">
        <v>1</v>
      </c>
    </row>
    <row r="2598" spans="1:5" x14ac:dyDescent="0.25">
      <c r="A2598" s="7">
        <v>1</v>
      </c>
      <c r="B2598" s="7">
        <v>3820</v>
      </c>
      <c r="C2598" s="7">
        <v>902</v>
      </c>
      <c r="D2598" s="8">
        <v>4420.53</v>
      </c>
      <c r="E2598" s="9">
        <v>1</v>
      </c>
    </row>
    <row r="2599" spans="1:5" x14ac:dyDescent="0.25">
      <c r="A2599" s="7">
        <v>1</v>
      </c>
      <c r="B2599" s="7">
        <v>3821</v>
      </c>
      <c r="C2599" s="7">
        <v>902</v>
      </c>
      <c r="D2599" s="8">
        <v>4420.53</v>
      </c>
      <c r="E2599" s="9">
        <v>1</v>
      </c>
    </row>
    <row r="2600" spans="1:5" x14ac:dyDescent="0.25">
      <c r="A2600" s="7">
        <v>1</v>
      </c>
      <c r="B2600" s="7">
        <v>3822</v>
      </c>
      <c r="C2600" s="7">
        <v>902</v>
      </c>
      <c r="D2600" s="8">
        <v>4420.87</v>
      </c>
      <c r="E2600" s="9">
        <v>1</v>
      </c>
    </row>
    <row r="2601" spans="1:5" x14ac:dyDescent="0.25">
      <c r="A2601" s="7">
        <v>1</v>
      </c>
      <c r="B2601" s="7">
        <v>3824</v>
      </c>
      <c r="C2601" s="7">
        <v>902</v>
      </c>
      <c r="D2601" s="8">
        <v>4420.53</v>
      </c>
      <c r="E2601" s="9">
        <v>1</v>
      </c>
    </row>
    <row r="2602" spans="1:5" x14ac:dyDescent="0.25">
      <c r="A2602" s="7">
        <v>1</v>
      </c>
      <c r="B2602" s="7">
        <v>3825</v>
      </c>
      <c r="C2602" s="7">
        <v>152</v>
      </c>
      <c r="D2602" s="8">
        <v>12869.18</v>
      </c>
      <c r="E2602" s="9">
        <v>1</v>
      </c>
    </row>
    <row r="2603" spans="1:5" x14ac:dyDescent="0.25">
      <c r="A2603" s="7">
        <v>1</v>
      </c>
      <c r="B2603" s="7">
        <v>3827</v>
      </c>
      <c r="C2603" s="7">
        <v>902</v>
      </c>
      <c r="D2603" s="8">
        <v>4420.87</v>
      </c>
      <c r="E2603" s="9">
        <v>1</v>
      </c>
    </row>
    <row r="2604" spans="1:5" x14ac:dyDescent="0.25">
      <c r="A2604" s="7">
        <v>1</v>
      </c>
      <c r="B2604" s="7">
        <v>3828</v>
      </c>
      <c r="C2604" s="7">
        <v>152</v>
      </c>
      <c r="D2604" s="8">
        <v>12869.18</v>
      </c>
      <c r="E2604" s="9">
        <v>1</v>
      </c>
    </row>
    <row r="2605" spans="1:5" x14ac:dyDescent="0.25">
      <c r="A2605" s="7">
        <v>1</v>
      </c>
      <c r="B2605" s="7">
        <v>3829</v>
      </c>
      <c r="C2605" s="7">
        <v>902</v>
      </c>
      <c r="D2605" s="8">
        <v>4420.87</v>
      </c>
      <c r="E2605" s="9">
        <v>1</v>
      </c>
    </row>
    <row r="2606" spans="1:5" x14ac:dyDescent="0.25">
      <c r="A2606" s="7">
        <v>1</v>
      </c>
      <c r="B2606" s="7">
        <v>3830</v>
      </c>
      <c r="C2606" s="7">
        <v>152</v>
      </c>
      <c r="D2606" s="8">
        <v>12869.18</v>
      </c>
      <c r="E2606" s="9">
        <v>1</v>
      </c>
    </row>
    <row r="2607" spans="1:5" x14ac:dyDescent="0.25">
      <c r="A2607" s="7">
        <v>1</v>
      </c>
      <c r="B2607" s="7">
        <v>3831</v>
      </c>
      <c r="C2607" s="7">
        <v>902</v>
      </c>
      <c r="D2607" s="8">
        <v>4420.87</v>
      </c>
      <c r="E2607" s="9">
        <v>1</v>
      </c>
    </row>
    <row r="2608" spans="1:5" x14ac:dyDescent="0.25">
      <c r="A2608" s="7">
        <v>1</v>
      </c>
      <c r="B2608" s="7">
        <v>3832</v>
      </c>
      <c r="C2608" s="7">
        <v>902</v>
      </c>
      <c r="D2608" s="8">
        <v>4420.87</v>
      </c>
      <c r="E2608" s="9">
        <v>1</v>
      </c>
    </row>
    <row r="2609" spans="1:5" x14ac:dyDescent="0.25">
      <c r="A2609" s="7">
        <v>1</v>
      </c>
      <c r="B2609" s="7">
        <v>3833</v>
      </c>
      <c r="C2609" s="7">
        <v>152</v>
      </c>
      <c r="D2609" s="8">
        <v>12869.18</v>
      </c>
      <c r="E2609" s="9">
        <v>1</v>
      </c>
    </row>
    <row r="2610" spans="1:5" x14ac:dyDescent="0.25">
      <c r="A2610" s="7">
        <v>1</v>
      </c>
      <c r="B2610" s="7">
        <v>3834</v>
      </c>
      <c r="C2610" s="7">
        <v>902</v>
      </c>
      <c r="D2610" s="8">
        <v>4420.87</v>
      </c>
      <c r="E2610" s="9">
        <v>1</v>
      </c>
    </row>
    <row r="2611" spans="1:5" x14ac:dyDescent="0.25">
      <c r="A2611" s="7">
        <v>1</v>
      </c>
      <c r="B2611" s="7">
        <v>3835</v>
      </c>
      <c r="C2611" s="7">
        <v>152</v>
      </c>
      <c r="D2611" s="8">
        <v>12869.18</v>
      </c>
      <c r="E2611" s="9">
        <v>1</v>
      </c>
    </row>
    <row r="2612" spans="1:5" x14ac:dyDescent="0.25">
      <c r="A2612" s="7">
        <v>1</v>
      </c>
      <c r="B2612" s="7">
        <v>3836</v>
      </c>
      <c r="C2612" s="7">
        <v>152</v>
      </c>
      <c r="D2612" s="8">
        <v>269113.7</v>
      </c>
      <c r="E2612" s="9">
        <v>1</v>
      </c>
    </row>
    <row r="2613" spans="1:5" x14ac:dyDescent="0.25">
      <c r="A2613" s="7">
        <v>1</v>
      </c>
      <c r="B2613" s="7">
        <v>3838</v>
      </c>
      <c r="C2613" s="7">
        <v>132</v>
      </c>
      <c r="D2613" s="8">
        <v>114.19</v>
      </c>
      <c r="E2613" s="9">
        <v>3</v>
      </c>
    </row>
    <row r="2614" spans="1:5" x14ac:dyDescent="0.25">
      <c r="A2614" s="7">
        <v>1</v>
      </c>
      <c r="B2614" s="7">
        <v>3842</v>
      </c>
      <c r="C2614" s="7">
        <v>132</v>
      </c>
      <c r="D2614" s="8">
        <v>122.75</v>
      </c>
      <c r="E2614" s="9">
        <v>3</v>
      </c>
    </row>
    <row r="2615" spans="1:5" x14ac:dyDescent="0.25">
      <c r="A2615" s="7">
        <v>1</v>
      </c>
      <c r="B2615" s="7">
        <v>3844</v>
      </c>
      <c r="C2615" s="7">
        <v>105</v>
      </c>
      <c r="D2615" s="8">
        <v>207716.7</v>
      </c>
      <c r="E2615" s="9">
        <v>1</v>
      </c>
    </row>
    <row r="2616" spans="1:5" x14ac:dyDescent="0.25">
      <c r="A2616" s="7">
        <v>1</v>
      </c>
      <c r="B2616" s="7">
        <v>3845</v>
      </c>
      <c r="C2616" s="7">
        <v>105</v>
      </c>
      <c r="D2616" s="8">
        <v>207716.7</v>
      </c>
      <c r="E2616" s="9">
        <v>1</v>
      </c>
    </row>
    <row r="2617" spans="1:5" x14ac:dyDescent="0.25">
      <c r="A2617" s="7">
        <v>1</v>
      </c>
      <c r="B2617" s="7">
        <v>3846</v>
      </c>
      <c r="C2617" s="7">
        <v>105</v>
      </c>
      <c r="D2617" s="8">
        <v>207716.7</v>
      </c>
      <c r="E2617" s="9">
        <v>1</v>
      </c>
    </row>
    <row r="2618" spans="1:5" x14ac:dyDescent="0.25">
      <c r="A2618" s="7">
        <v>1</v>
      </c>
      <c r="B2618" s="7">
        <v>3847</v>
      </c>
      <c r="C2618" s="7">
        <v>105</v>
      </c>
      <c r="D2618" s="8">
        <v>207716.7</v>
      </c>
      <c r="E2618" s="9">
        <v>1</v>
      </c>
    </row>
    <row r="2619" spans="1:5" x14ac:dyDescent="0.25">
      <c r="A2619" s="7">
        <v>1</v>
      </c>
      <c r="B2619" s="7">
        <v>3848</v>
      </c>
      <c r="C2619" s="7">
        <v>105</v>
      </c>
      <c r="D2619" s="8">
        <v>207716.7</v>
      </c>
      <c r="E2619" s="9">
        <v>1</v>
      </c>
    </row>
    <row r="2620" spans="1:5" x14ac:dyDescent="0.25">
      <c r="A2620" s="7">
        <v>1</v>
      </c>
      <c r="B2620" s="7">
        <v>3849</v>
      </c>
      <c r="C2620" s="7">
        <v>105</v>
      </c>
      <c r="D2620" s="8">
        <v>207716.7</v>
      </c>
      <c r="E2620" s="9">
        <v>1</v>
      </c>
    </row>
    <row r="2621" spans="1:5" x14ac:dyDescent="0.25">
      <c r="A2621" s="7">
        <v>1</v>
      </c>
      <c r="B2621" s="7">
        <v>3850</v>
      </c>
      <c r="C2621" s="7">
        <v>191</v>
      </c>
      <c r="D2621" s="8">
        <v>14762.41</v>
      </c>
      <c r="E2621" s="9">
        <v>1</v>
      </c>
    </row>
    <row r="2622" spans="1:5" x14ac:dyDescent="0.25">
      <c r="A2622" s="7">
        <v>1</v>
      </c>
      <c r="B2622" s="7">
        <v>3851</v>
      </c>
      <c r="C2622" s="7">
        <v>191</v>
      </c>
      <c r="D2622" s="8">
        <v>19963.91</v>
      </c>
      <c r="E2622" s="9">
        <v>1</v>
      </c>
    </row>
    <row r="2623" spans="1:5" x14ac:dyDescent="0.25">
      <c r="A2623" s="7">
        <v>1</v>
      </c>
      <c r="B2623" s="7">
        <v>3852</v>
      </c>
      <c r="C2623" s="7">
        <v>191</v>
      </c>
      <c r="D2623" s="8">
        <v>15898.84</v>
      </c>
      <c r="E2623" s="9">
        <v>1</v>
      </c>
    </row>
    <row r="2624" spans="1:5" x14ac:dyDescent="0.25">
      <c r="A2624" s="7">
        <v>1</v>
      </c>
      <c r="B2624" s="7">
        <v>3853</v>
      </c>
      <c r="C2624" s="7">
        <v>191</v>
      </c>
      <c r="D2624" s="8">
        <v>14762.41</v>
      </c>
      <c r="E2624" s="9">
        <v>1</v>
      </c>
    </row>
    <row r="2625" spans="1:5" x14ac:dyDescent="0.25">
      <c r="A2625" s="7">
        <v>1</v>
      </c>
      <c r="B2625" s="7">
        <v>3854</v>
      </c>
      <c r="C2625" s="7">
        <v>191</v>
      </c>
      <c r="D2625" s="8">
        <v>15082.85</v>
      </c>
      <c r="E2625" s="9">
        <v>1</v>
      </c>
    </row>
    <row r="2626" spans="1:5" x14ac:dyDescent="0.25">
      <c r="A2626" s="7">
        <v>1</v>
      </c>
      <c r="B2626" s="7">
        <v>3856</v>
      </c>
      <c r="C2626" s="7">
        <v>191</v>
      </c>
      <c r="D2626" s="8">
        <v>18169.83</v>
      </c>
      <c r="E2626" s="9">
        <v>1</v>
      </c>
    </row>
    <row r="2627" spans="1:5" x14ac:dyDescent="0.25">
      <c r="A2627" s="7">
        <v>1</v>
      </c>
      <c r="B2627" s="7">
        <v>3857</v>
      </c>
      <c r="C2627" s="7">
        <v>191</v>
      </c>
      <c r="D2627" s="8">
        <v>9993.13</v>
      </c>
      <c r="E2627" s="9">
        <v>1</v>
      </c>
    </row>
    <row r="2628" spans="1:5" x14ac:dyDescent="0.25">
      <c r="A2628" s="7">
        <v>1</v>
      </c>
      <c r="B2628" s="7">
        <v>3859</v>
      </c>
      <c r="C2628" s="7">
        <v>902</v>
      </c>
      <c r="D2628" s="8">
        <v>25929.95</v>
      </c>
      <c r="E2628" s="9">
        <v>1</v>
      </c>
    </row>
    <row r="2629" spans="1:5" x14ac:dyDescent="0.25">
      <c r="A2629" s="7">
        <v>1</v>
      </c>
      <c r="B2629" s="7">
        <v>3860</v>
      </c>
      <c r="C2629" s="7">
        <v>191</v>
      </c>
      <c r="D2629" s="8">
        <v>27844.4</v>
      </c>
      <c r="E2629" s="9">
        <v>1</v>
      </c>
    </row>
    <row r="2630" spans="1:5" x14ac:dyDescent="0.25">
      <c r="A2630" s="7">
        <v>1</v>
      </c>
      <c r="B2630" s="7">
        <v>3861</v>
      </c>
      <c r="C2630" s="7">
        <v>191</v>
      </c>
      <c r="D2630" s="8">
        <v>48728.63</v>
      </c>
      <c r="E2630" s="9">
        <v>1</v>
      </c>
    </row>
    <row r="2631" spans="1:5" x14ac:dyDescent="0.25">
      <c r="A2631" s="7">
        <v>1</v>
      </c>
      <c r="B2631" s="7">
        <v>3862</v>
      </c>
      <c r="C2631" s="7">
        <v>191</v>
      </c>
      <c r="D2631" s="8">
        <v>16854.57</v>
      </c>
      <c r="E2631" s="9">
        <v>1</v>
      </c>
    </row>
    <row r="2632" spans="1:5" x14ac:dyDescent="0.25">
      <c r="A2632" s="7">
        <v>1</v>
      </c>
      <c r="B2632" s="7">
        <v>3863</v>
      </c>
      <c r="C2632" s="7">
        <v>191</v>
      </c>
      <c r="D2632" s="8">
        <v>33901.02</v>
      </c>
      <c r="E2632" s="9">
        <v>1</v>
      </c>
    </row>
    <row r="2633" spans="1:5" x14ac:dyDescent="0.25">
      <c r="A2633" s="7">
        <v>1</v>
      </c>
      <c r="B2633" s="7">
        <v>3864</v>
      </c>
      <c r="C2633" s="7">
        <v>191</v>
      </c>
      <c r="D2633" s="8">
        <v>23891.11</v>
      </c>
      <c r="E2633" s="9">
        <v>1</v>
      </c>
    </row>
    <row r="2634" spans="1:5" x14ac:dyDescent="0.25">
      <c r="A2634" s="7">
        <v>1</v>
      </c>
      <c r="B2634" s="7">
        <v>3865</v>
      </c>
      <c r="C2634" s="7">
        <v>191</v>
      </c>
      <c r="D2634" s="8">
        <v>33219.16</v>
      </c>
      <c r="E2634" s="9">
        <v>1</v>
      </c>
    </row>
    <row r="2635" spans="1:5" x14ac:dyDescent="0.25">
      <c r="A2635" s="7">
        <v>1</v>
      </c>
      <c r="B2635" s="7">
        <v>3866</v>
      </c>
      <c r="C2635" s="7">
        <v>191</v>
      </c>
      <c r="D2635" s="8">
        <v>93682.82</v>
      </c>
      <c r="E2635" s="9">
        <v>1</v>
      </c>
    </row>
    <row r="2636" spans="1:5" x14ac:dyDescent="0.25">
      <c r="A2636" s="7">
        <v>1</v>
      </c>
      <c r="B2636" s="7">
        <v>3867</v>
      </c>
      <c r="C2636" s="7">
        <v>191</v>
      </c>
      <c r="D2636" s="8">
        <v>31091.6</v>
      </c>
      <c r="E2636" s="9">
        <v>1</v>
      </c>
    </row>
    <row r="2637" spans="1:5" x14ac:dyDescent="0.25">
      <c r="A2637" s="7">
        <v>1</v>
      </c>
      <c r="B2637" s="7">
        <v>3868</v>
      </c>
      <c r="C2637" s="7">
        <v>191</v>
      </c>
      <c r="D2637" s="8">
        <v>32021.24</v>
      </c>
      <c r="E2637" s="9">
        <v>1</v>
      </c>
    </row>
    <row r="2638" spans="1:5" x14ac:dyDescent="0.25">
      <c r="A2638" s="7">
        <v>1</v>
      </c>
      <c r="B2638" s="7">
        <v>3869</v>
      </c>
      <c r="C2638" s="7">
        <v>191</v>
      </c>
      <c r="D2638" s="8">
        <v>33355.15</v>
      </c>
      <c r="E2638" s="9">
        <v>1</v>
      </c>
    </row>
    <row r="2639" spans="1:5" x14ac:dyDescent="0.25">
      <c r="A2639" s="7">
        <v>1</v>
      </c>
      <c r="B2639" s="7">
        <v>3870</v>
      </c>
      <c r="C2639" s="7">
        <v>191</v>
      </c>
      <c r="D2639" s="8">
        <v>29291.94</v>
      </c>
      <c r="E2639" s="9">
        <v>1</v>
      </c>
    </row>
    <row r="2640" spans="1:5" x14ac:dyDescent="0.25">
      <c r="A2640" s="7">
        <v>1</v>
      </c>
      <c r="B2640" s="7">
        <v>3871</v>
      </c>
      <c r="C2640" s="7">
        <v>191</v>
      </c>
      <c r="D2640" s="8">
        <v>19637.89</v>
      </c>
      <c r="E2640" s="9">
        <v>1</v>
      </c>
    </row>
    <row r="2641" spans="1:5" x14ac:dyDescent="0.25">
      <c r="A2641" s="7">
        <v>1</v>
      </c>
      <c r="B2641" s="7">
        <v>3872</v>
      </c>
      <c r="C2641" s="7">
        <v>191</v>
      </c>
      <c r="D2641" s="8">
        <v>21109.66</v>
      </c>
      <c r="E2641" s="9">
        <v>1</v>
      </c>
    </row>
    <row r="2642" spans="1:5" x14ac:dyDescent="0.25">
      <c r="A2642" s="7">
        <v>1</v>
      </c>
      <c r="B2642" s="7">
        <v>3875</v>
      </c>
      <c r="C2642" s="7">
        <v>191</v>
      </c>
      <c r="D2642" s="8">
        <v>25364.75</v>
      </c>
      <c r="E2642" s="9">
        <v>1</v>
      </c>
    </row>
    <row r="2643" spans="1:5" x14ac:dyDescent="0.25">
      <c r="A2643" s="7">
        <v>1</v>
      </c>
      <c r="B2643" s="7">
        <v>3877</v>
      </c>
      <c r="C2643" s="7">
        <v>902</v>
      </c>
      <c r="D2643" s="8">
        <v>16533.16</v>
      </c>
      <c r="E2643" s="9">
        <v>1</v>
      </c>
    </row>
    <row r="2644" spans="1:5" x14ac:dyDescent="0.25">
      <c r="A2644" s="7">
        <v>1</v>
      </c>
      <c r="B2644" s="7">
        <v>3878</v>
      </c>
      <c r="C2644" s="7">
        <v>191</v>
      </c>
      <c r="D2644" s="8">
        <v>8154.36</v>
      </c>
      <c r="E2644" s="9">
        <v>1</v>
      </c>
    </row>
    <row r="2645" spans="1:5" x14ac:dyDescent="0.25">
      <c r="A2645" s="7">
        <v>1</v>
      </c>
      <c r="B2645" s="7">
        <v>3879</v>
      </c>
      <c r="C2645" s="7">
        <v>902</v>
      </c>
      <c r="D2645" s="8">
        <v>20839.05</v>
      </c>
      <c r="E2645" s="9">
        <v>1</v>
      </c>
    </row>
    <row r="2646" spans="1:5" x14ac:dyDescent="0.25">
      <c r="A2646" s="7">
        <v>1</v>
      </c>
      <c r="B2646" s="7">
        <v>3880</v>
      </c>
      <c r="C2646" s="7">
        <v>191</v>
      </c>
      <c r="D2646" s="8">
        <v>10114.22</v>
      </c>
      <c r="E2646" s="9">
        <v>1</v>
      </c>
    </row>
    <row r="2647" spans="1:5" x14ac:dyDescent="0.25">
      <c r="A2647" s="7">
        <v>1</v>
      </c>
      <c r="B2647" s="7">
        <v>3881</v>
      </c>
      <c r="C2647" s="7">
        <v>902</v>
      </c>
      <c r="D2647" s="8">
        <v>7525.19</v>
      </c>
      <c r="E2647" s="9">
        <v>1</v>
      </c>
    </row>
    <row r="2648" spans="1:5" x14ac:dyDescent="0.25">
      <c r="A2648" s="7">
        <v>1</v>
      </c>
      <c r="B2648" s="7">
        <v>3882</v>
      </c>
      <c r="C2648" s="7">
        <v>902</v>
      </c>
      <c r="D2648" s="8">
        <v>7525.22</v>
      </c>
      <c r="E2648" s="9">
        <v>1</v>
      </c>
    </row>
    <row r="2649" spans="1:5" x14ac:dyDescent="0.25">
      <c r="A2649" s="7">
        <v>1</v>
      </c>
      <c r="B2649" s="7">
        <v>3883</v>
      </c>
      <c r="C2649" s="7">
        <v>902</v>
      </c>
      <c r="D2649" s="8">
        <v>14760.9</v>
      </c>
      <c r="E2649" s="9">
        <v>1</v>
      </c>
    </row>
    <row r="2650" spans="1:5" x14ac:dyDescent="0.25">
      <c r="A2650" s="7">
        <v>1</v>
      </c>
      <c r="B2650" s="7">
        <v>3887</v>
      </c>
      <c r="C2650" s="7">
        <v>186</v>
      </c>
      <c r="D2650" s="8">
        <v>8135.7</v>
      </c>
      <c r="E2650" s="9">
        <v>1</v>
      </c>
    </row>
    <row r="2651" spans="1:5" x14ac:dyDescent="0.25">
      <c r="A2651" s="7">
        <v>1</v>
      </c>
      <c r="B2651" s="7">
        <v>3888</v>
      </c>
      <c r="C2651" s="7">
        <v>191</v>
      </c>
      <c r="D2651" s="8">
        <v>11487.26</v>
      </c>
      <c r="E2651" s="9">
        <v>1</v>
      </c>
    </row>
    <row r="2652" spans="1:5" x14ac:dyDescent="0.25">
      <c r="A2652" s="7">
        <v>1</v>
      </c>
      <c r="B2652" s="7">
        <v>3889</v>
      </c>
      <c r="C2652" s="7">
        <v>103</v>
      </c>
      <c r="D2652" s="8">
        <v>0.75</v>
      </c>
      <c r="E2652" s="9">
        <v>2</v>
      </c>
    </row>
    <row r="2653" spans="1:5" x14ac:dyDescent="0.25">
      <c r="A2653" s="7">
        <v>1</v>
      </c>
      <c r="B2653" s="7">
        <v>3890</v>
      </c>
      <c r="C2653" s="7">
        <v>902</v>
      </c>
      <c r="D2653" s="8">
        <v>10492.52</v>
      </c>
      <c r="E2653" s="9">
        <v>1</v>
      </c>
    </row>
    <row r="2654" spans="1:5" x14ac:dyDescent="0.25">
      <c r="A2654" s="7">
        <v>1</v>
      </c>
      <c r="B2654" s="7">
        <v>3891</v>
      </c>
      <c r="C2654" s="7">
        <v>902</v>
      </c>
      <c r="D2654" s="8">
        <v>8682.93</v>
      </c>
      <c r="E2654" s="9">
        <v>1</v>
      </c>
    </row>
    <row r="2655" spans="1:5" x14ac:dyDescent="0.25">
      <c r="A2655" s="7">
        <v>1</v>
      </c>
      <c r="B2655" s="7">
        <v>3892</v>
      </c>
      <c r="C2655" s="7">
        <v>902</v>
      </c>
      <c r="D2655" s="8">
        <v>8682.93</v>
      </c>
      <c r="E2655" s="9">
        <v>1</v>
      </c>
    </row>
    <row r="2656" spans="1:5" x14ac:dyDescent="0.25">
      <c r="A2656" s="7">
        <v>1</v>
      </c>
      <c r="B2656" s="7">
        <v>3893</v>
      </c>
      <c r="C2656" s="7">
        <v>902</v>
      </c>
      <c r="D2656" s="8">
        <v>9538.81</v>
      </c>
      <c r="E2656" s="9">
        <v>1</v>
      </c>
    </row>
    <row r="2657" spans="1:5" x14ac:dyDescent="0.25">
      <c r="A2657" s="7">
        <v>1</v>
      </c>
      <c r="B2657" s="7">
        <v>3894</v>
      </c>
      <c r="C2657" s="7">
        <v>902</v>
      </c>
      <c r="D2657" s="8">
        <v>9538.81</v>
      </c>
      <c r="E2657" s="9">
        <v>1</v>
      </c>
    </row>
    <row r="2658" spans="1:5" x14ac:dyDescent="0.25">
      <c r="A2658" s="7">
        <v>1</v>
      </c>
      <c r="B2658" s="7">
        <v>3895</v>
      </c>
      <c r="C2658" s="7">
        <v>191</v>
      </c>
      <c r="D2658" s="8">
        <v>8890.25</v>
      </c>
      <c r="E2658" s="9">
        <v>1</v>
      </c>
    </row>
    <row r="2659" spans="1:5" x14ac:dyDescent="0.25">
      <c r="A2659" s="7">
        <v>1</v>
      </c>
      <c r="B2659" s="7">
        <v>3896</v>
      </c>
      <c r="C2659" s="7">
        <v>191</v>
      </c>
      <c r="D2659" s="8">
        <v>8895.83</v>
      </c>
      <c r="E2659" s="9">
        <v>1</v>
      </c>
    </row>
    <row r="2660" spans="1:5" x14ac:dyDescent="0.25">
      <c r="A2660" s="7">
        <v>1</v>
      </c>
      <c r="B2660" s="7">
        <v>3897</v>
      </c>
      <c r="C2660" s="7">
        <v>902</v>
      </c>
      <c r="D2660" s="8">
        <v>8914.48</v>
      </c>
      <c r="E2660" s="9">
        <v>1</v>
      </c>
    </row>
    <row r="2661" spans="1:5" x14ac:dyDescent="0.25">
      <c r="A2661" s="7">
        <v>1</v>
      </c>
      <c r="B2661" s="7">
        <v>3913</v>
      </c>
      <c r="C2661" s="7">
        <v>902</v>
      </c>
      <c r="D2661" s="8">
        <v>6300.14</v>
      </c>
      <c r="E2661" s="9">
        <v>1</v>
      </c>
    </row>
    <row r="2662" spans="1:5" x14ac:dyDescent="0.25">
      <c r="A2662" s="7">
        <v>1</v>
      </c>
      <c r="B2662" s="7">
        <v>3914</v>
      </c>
      <c r="C2662" s="7">
        <v>902</v>
      </c>
      <c r="D2662" s="8">
        <v>6300.14</v>
      </c>
      <c r="E2662" s="9">
        <v>1</v>
      </c>
    </row>
    <row r="2663" spans="1:5" x14ac:dyDescent="0.25">
      <c r="A2663" s="7">
        <v>1</v>
      </c>
      <c r="B2663" s="7">
        <v>3915</v>
      </c>
      <c r="C2663" s="7">
        <v>902</v>
      </c>
      <c r="D2663" s="8">
        <v>6300.14</v>
      </c>
      <c r="E2663" s="9">
        <v>1</v>
      </c>
    </row>
    <row r="2664" spans="1:5" x14ac:dyDescent="0.25">
      <c r="A2664" s="7">
        <v>1</v>
      </c>
      <c r="B2664" s="7">
        <v>3916</v>
      </c>
      <c r="C2664" s="7">
        <v>902</v>
      </c>
      <c r="D2664" s="8">
        <v>6300.14</v>
      </c>
      <c r="E2664" s="9">
        <v>1</v>
      </c>
    </row>
    <row r="2665" spans="1:5" x14ac:dyDescent="0.25">
      <c r="A2665" s="7">
        <v>1</v>
      </c>
      <c r="B2665" s="7">
        <v>3917</v>
      </c>
      <c r="C2665" s="7">
        <v>902</v>
      </c>
      <c r="D2665" s="8">
        <v>6300.14</v>
      </c>
      <c r="E2665" s="9">
        <v>1</v>
      </c>
    </row>
    <row r="2666" spans="1:5" x14ac:dyDescent="0.25">
      <c r="A2666" s="7">
        <v>1</v>
      </c>
      <c r="B2666" s="7">
        <v>3918</v>
      </c>
      <c r="C2666" s="7">
        <v>902</v>
      </c>
      <c r="D2666" s="8">
        <v>6299.97</v>
      </c>
      <c r="E2666" s="9">
        <v>1</v>
      </c>
    </row>
    <row r="2667" spans="1:5" x14ac:dyDescent="0.25">
      <c r="A2667" s="7">
        <v>1</v>
      </c>
      <c r="B2667" s="7">
        <v>3919</v>
      </c>
      <c r="C2667" s="7">
        <v>902</v>
      </c>
      <c r="D2667" s="8">
        <v>6299.97</v>
      </c>
      <c r="E2667" s="9">
        <v>1</v>
      </c>
    </row>
    <row r="2668" spans="1:5" x14ac:dyDescent="0.25">
      <c r="A2668" s="7">
        <v>1</v>
      </c>
      <c r="B2668" s="7">
        <v>3920</v>
      </c>
      <c r="C2668" s="7">
        <v>902</v>
      </c>
      <c r="D2668" s="8">
        <v>6299.97</v>
      </c>
      <c r="E2668" s="9">
        <v>1</v>
      </c>
    </row>
    <row r="2669" spans="1:5" x14ac:dyDescent="0.25">
      <c r="A2669" s="7">
        <v>1</v>
      </c>
      <c r="B2669" s="7">
        <v>3921</v>
      </c>
      <c r="C2669" s="7">
        <v>902</v>
      </c>
      <c r="D2669" s="8">
        <v>6299.97</v>
      </c>
      <c r="E2669" s="9">
        <v>1</v>
      </c>
    </row>
    <row r="2670" spans="1:5" x14ac:dyDescent="0.25">
      <c r="A2670" s="7">
        <v>1</v>
      </c>
      <c r="B2670" s="7">
        <v>3922</v>
      </c>
      <c r="C2670" s="7">
        <v>902</v>
      </c>
      <c r="D2670" s="8">
        <v>6299.97</v>
      </c>
      <c r="E2670" s="9">
        <v>1</v>
      </c>
    </row>
    <row r="2671" spans="1:5" x14ac:dyDescent="0.25">
      <c r="A2671" s="7">
        <v>1</v>
      </c>
      <c r="B2671" s="7">
        <v>3923</v>
      </c>
      <c r="C2671" s="7">
        <v>902</v>
      </c>
      <c r="D2671" s="8">
        <v>6299.97</v>
      </c>
      <c r="E2671" s="9">
        <v>1</v>
      </c>
    </row>
    <row r="2672" spans="1:5" x14ac:dyDescent="0.25">
      <c r="A2672" s="7">
        <v>1</v>
      </c>
      <c r="B2672" s="7">
        <v>3924</v>
      </c>
      <c r="C2672" s="7">
        <v>902</v>
      </c>
      <c r="D2672" s="8">
        <v>6300.49</v>
      </c>
      <c r="E2672" s="9">
        <v>1</v>
      </c>
    </row>
    <row r="2673" spans="1:5" x14ac:dyDescent="0.25">
      <c r="A2673" s="7">
        <v>1</v>
      </c>
      <c r="B2673" s="7">
        <v>3925</v>
      </c>
      <c r="C2673" s="7">
        <v>902</v>
      </c>
      <c r="D2673" s="8">
        <v>6299.97</v>
      </c>
      <c r="E2673" s="9">
        <v>1</v>
      </c>
    </row>
    <row r="2674" spans="1:5" x14ac:dyDescent="0.25">
      <c r="A2674" s="7">
        <v>1</v>
      </c>
      <c r="B2674" s="7">
        <v>3926</v>
      </c>
      <c r="C2674" s="7">
        <v>902</v>
      </c>
      <c r="D2674" s="8">
        <v>6299.97</v>
      </c>
      <c r="E2674" s="9">
        <v>1</v>
      </c>
    </row>
    <row r="2675" spans="1:5" x14ac:dyDescent="0.25">
      <c r="A2675" s="7">
        <v>1</v>
      </c>
      <c r="B2675" s="7">
        <v>3927</v>
      </c>
      <c r="C2675" s="7">
        <v>902</v>
      </c>
      <c r="D2675" s="8">
        <v>6299.97</v>
      </c>
      <c r="E2675" s="9">
        <v>1</v>
      </c>
    </row>
    <row r="2676" spans="1:5" x14ac:dyDescent="0.25">
      <c r="A2676" s="7">
        <v>1</v>
      </c>
      <c r="B2676" s="7">
        <v>3928</v>
      </c>
      <c r="C2676" s="7">
        <v>902</v>
      </c>
      <c r="D2676" s="8">
        <v>6299.97</v>
      </c>
      <c r="E2676" s="9">
        <v>1</v>
      </c>
    </row>
    <row r="2677" spans="1:5" x14ac:dyDescent="0.25">
      <c r="A2677" s="7">
        <v>1</v>
      </c>
      <c r="B2677" s="7">
        <v>3929</v>
      </c>
      <c r="C2677" s="7">
        <v>902</v>
      </c>
      <c r="D2677" s="8">
        <v>6299.97</v>
      </c>
      <c r="E2677" s="9">
        <v>1</v>
      </c>
    </row>
    <row r="2678" spans="1:5" x14ac:dyDescent="0.25">
      <c r="A2678" s="7">
        <v>1</v>
      </c>
      <c r="B2678" s="7">
        <v>3930</v>
      </c>
      <c r="C2678" s="7">
        <v>902</v>
      </c>
      <c r="D2678" s="8">
        <v>6299.97</v>
      </c>
      <c r="E2678" s="9">
        <v>1</v>
      </c>
    </row>
    <row r="2679" spans="1:5" x14ac:dyDescent="0.25">
      <c r="A2679" s="7">
        <v>1</v>
      </c>
      <c r="B2679" s="7">
        <v>3931</v>
      </c>
      <c r="C2679" s="7">
        <v>902</v>
      </c>
      <c r="D2679" s="8">
        <v>6299.97</v>
      </c>
      <c r="E2679" s="9">
        <v>1</v>
      </c>
    </row>
    <row r="2680" spans="1:5" x14ac:dyDescent="0.25">
      <c r="A2680" s="7">
        <v>1</v>
      </c>
      <c r="B2680" s="7">
        <v>3932</v>
      </c>
      <c r="C2680" s="7">
        <v>902</v>
      </c>
      <c r="D2680" s="8">
        <v>6299.97</v>
      </c>
      <c r="E2680" s="9">
        <v>1</v>
      </c>
    </row>
    <row r="2681" spans="1:5" x14ac:dyDescent="0.25">
      <c r="A2681" s="7">
        <v>1</v>
      </c>
      <c r="B2681" s="7">
        <v>3933</v>
      </c>
      <c r="C2681" s="7">
        <v>902</v>
      </c>
      <c r="D2681" s="8">
        <v>6299.97</v>
      </c>
      <c r="E2681" s="9">
        <v>1</v>
      </c>
    </row>
    <row r="2682" spans="1:5" x14ac:dyDescent="0.25">
      <c r="A2682" s="7">
        <v>1</v>
      </c>
      <c r="B2682" s="7">
        <v>3934</v>
      </c>
      <c r="C2682" s="7">
        <v>902</v>
      </c>
      <c r="D2682" s="8">
        <v>6299.97</v>
      </c>
      <c r="E2682" s="9">
        <v>1</v>
      </c>
    </row>
    <row r="2683" spans="1:5" x14ac:dyDescent="0.25">
      <c r="A2683" s="7">
        <v>1</v>
      </c>
      <c r="B2683" s="7">
        <v>3935</v>
      </c>
      <c r="C2683" s="7">
        <v>902</v>
      </c>
      <c r="D2683" s="8">
        <v>6299.97</v>
      </c>
      <c r="E2683" s="9">
        <v>1</v>
      </c>
    </row>
    <row r="2684" spans="1:5" x14ac:dyDescent="0.25">
      <c r="A2684" s="7">
        <v>1</v>
      </c>
      <c r="B2684" s="7">
        <v>3936</v>
      </c>
      <c r="C2684" s="7">
        <v>902</v>
      </c>
      <c r="D2684" s="8">
        <v>6299.97</v>
      </c>
      <c r="E2684" s="9">
        <v>1</v>
      </c>
    </row>
    <row r="2685" spans="1:5" x14ac:dyDescent="0.25">
      <c r="A2685" s="7">
        <v>1</v>
      </c>
      <c r="B2685" s="7">
        <v>3937</v>
      </c>
      <c r="C2685" s="7">
        <v>902</v>
      </c>
      <c r="D2685" s="8">
        <v>6300.49</v>
      </c>
      <c r="E2685" s="9">
        <v>1</v>
      </c>
    </row>
    <row r="2686" spans="1:5" x14ac:dyDescent="0.25">
      <c r="A2686" s="7">
        <v>1</v>
      </c>
      <c r="B2686" s="7">
        <v>3938</v>
      </c>
      <c r="C2686" s="7">
        <v>902</v>
      </c>
      <c r="D2686" s="8">
        <v>6299.97</v>
      </c>
      <c r="E2686" s="9">
        <v>1</v>
      </c>
    </row>
    <row r="2687" spans="1:5" x14ac:dyDescent="0.25">
      <c r="A2687" s="7">
        <v>1</v>
      </c>
      <c r="B2687" s="7">
        <v>3939</v>
      </c>
      <c r="C2687" s="7">
        <v>902</v>
      </c>
      <c r="D2687" s="8">
        <v>6299.97</v>
      </c>
      <c r="E2687" s="9">
        <v>1</v>
      </c>
    </row>
    <row r="2688" spans="1:5" x14ac:dyDescent="0.25">
      <c r="A2688" s="7">
        <v>1</v>
      </c>
      <c r="B2688" s="7">
        <v>3940</v>
      </c>
      <c r="C2688" s="7">
        <v>902</v>
      </c>
      <c r="D2688" s="8">
        <v>6299.97</v>
      </c>
      <c r="E2688" s="9">
        <v>1</v>
      </c>
    </row>
    <row r="2689" spans="1:5" x14ac:dyDescent="0.25">
      <c r="A2689" s="7">
        <v>1</v>
      </c>
      <c r="B2689" s="7">
        <v>3941</v>
      </c>
      <c r="C2689" s="7">
        <v>902</v>
      </c>
      <c r="D2689" s="8">
        <v>6299.97</v>
      </c>
      <c r="E2689" s="9">
        <v>1</v>
      </c>
    </row>
    <row r="2690" spans="1:5" x14ac:dyDescent="0.25">
      <c r="A2690" s="7">
        <v>1</v>
      </c>
      <c r="B2690" s="7">
        <v>3942</v>
      </c>
      <c r="C2690" s="7">
        <v>902</v>
      </c>
      <c r="D2690" s="8">
        <v>6299.97</v>
      </c>
      <c r="E2690" s="9">
        <v>1</v>
      </c>
    </row>
    <row r="2691" spans="1:5" x14ac:dyDescent="0.25">
      <c r="A2691" s="7">
        <v>1</v>
      </c>
      <c r="B2691" s="7">
        <v>3943</v>
      </c>
      <c r="C2691" s="7">
        <v>902</v>
      </c>
      <c r="D2691" s="8">
        <v>6299.97</v>
      </c>
      <c r="E2691" s="9">
        <v>1</v>
      </c>
    </row>
    <row r="2692" spans="1:5" x14ac:dyDescent="0.25">
      <c r="A2692" s="7">
        <v>1</v>
      </c>
      <c r="B2692" s="7">
        <v>3944</v>
      </c>
      <c r="C2692" s="7">
        <v>902</v>
      </c>
      <c r="D2692" s="8">
        <v>6299.97</v>
      </c>
      <c r="E2692" s="9">
        <v>1</v>
      </c>
    </row>
    <row r="2693" spans="1:5" x14ac:dyDescent="0.25">
      <c r="A2693" s="7">
        <v>1</v>
      </c>
      <c r="B2693" s="7">
        <v>3945</v>
      </c>
      <c r="C2693" s="7">
        <v>902</v>
      </c>
      <c r="D2693" s="8">
        <v>6299.97</v>
      </c>
      <c r="E2693" s="9">
        <v>1</v>
      </c>
    </row>
    <row r="2694" spans="1:5" x14ac:dyDescent="0.25">
      <c r="A2694" s="7">
        <v>1</v>
      </c>
      <c r="B2694" s="7">
        <v>3946</v>
      </c>
      <c r="C2694" s="7">
        <v>902</v>
      </c>
      <c r="D2694" s="8">
        <v>6299.97</v>
      </c>
      <c r="E2694" s="9">
        <v>1</v>
      </c>
    </row>
    <row r="2695" spans="1:5" x14ac:dyDescent="0.25">
      <c r="A2695" s="7">
        <v>1</v>
      </c>
      <c r="B2695" s="7">
        <v>3947</v>
      </c>
      <c r="C2695" s="7">
        <v>902</v>
      </c>
      <c r="D2695" s="8">
        <v>6299.97</v>
      </c>
      <c r="E2695" s="9">
        <v>1</v>
      </c>
    </row>
    <row r="2696" spans="1:5" x14ac:dyDescent="0.25">
      <c r="A2696" s="7">
        <v>1</v>
      </c>
      <c r="B2696" s="7">
        <v>3948</v>
      </c>
      <c r="C2696" s="7">
        <v>902</v>
      </c>
      <c r="D2696" s="8">
        <v>6299.97</v>
      </c>
      <c r="E2696" s="9">
        <v>1</v>
      </c>
    </row>
    <row r="2697" spans="1:5" x14ac:dyDescent="0.25">
      <c r="A2697" s="7">
        <v>1</v>
      </c>
      <c r="B2697" s="7">
        <v>3949</v>
      </c>
      <c r="C2697" s="7">
        <v>902</v>
      </c>
      <c r="D2697" s="8">
        <v>6299.97</v>
      </c>
      <c r="E2697" s="9">
        <v>1</v>
      </c>
    </row>
    <row r="2698" spans="1:5" x14ac:dyDescent="0.25">
      <c r="A2698" s="7">
        <v>1</v>
      </c>
      <c r="B2698" s="7">
        <v>3950</v>
      </c>
      <c r="C2698" s="7">
        <v>902</v>
      </c>
      <c r="D2698" s="8">
        <v>6299.97</v>
      </c>
      <c r="E2698" s="9">
        <v>1</v>
      </c>
    </row>
    <row r="2699" spans="1:5" x14ac:dyDescent="0.25">
      <c r="A2699" s="7">
        <v>1</v>
      </c>
      <c r="B2699" s="7">
        <v>3951</v>
      </c>
      <c r="C2699" s="7">
        <v>902</v>
      </c>
      <c r="D2699" s="8">
        <v>6299.97</v>
      </c>
      <c r="E2699" s="9">
        <v>1</v>
      </c>
    </row>
    <row r="2700" spans="1:5" x14ac:dyDescent="0.25">
      <c r="A2700" s="7">
        <v>1</v>
      </c>
      <c r="B2700" s="7">
        <v>3952</v>
      </c>
      <c r="C2700" s="7">
        <v>902</v>
      </c>
      <c r="D2700" s="8">
        <v>6299.97</v>
      </c>
      <c r="E2700" s="9">
        <v>1</v>
      </c>
    </row>
    <row r="2701" spans="1:5" x14ac:dyDescent="0.25">
      <c r="A2701" s="7">
        <v>1</v>
      </c>
      <c r="B2701" s="7">
        <v>3953</v>
      </c>
      <c r="C2701" s="7">
        <v>902</v>
      </c>
      <c r="D2701" s="8">
        <v>6299.97</v>
      </c>
      <c r="E2701" s="9">
        <v>1</v>
      </c>
    </row>
    <row r="2702" spans="1:5" x14ac:dyDescent="0.25">
      <c r="A2702" s="7">
        <v>1</v>
      </c>
      <c r="B2702" s="7">
        <v>3954</v>
      </c>
      <c r="C2702" s="7">
        <v>902</v>
      </c>
      <c r="D2702" s="8">
        <v>6299.97</v>
      </c>
      <c r="E2702" s="9">
        <v>1</v>
      </c>
    </row>
    <row r="2703" spans="1:5" x14ac:dyDescent="0.25">
      <c r="A2703" s="7">
        <v>1</v>
      </c>
      <c r="B2703" s="7">
        <v>3955</v>
      </c>
      <c r="C2703" s="7">
        <v>902</v>
      </c>
      <c r="D2703" s="8">
        <v>6299.97</v>
      </c>
      <c r="E2703" s="9">
        <v>1</v>
      </c>
    </row>
    <row r="2704" spans="1:5" x14ac:dyDescent="0.25">
      <c r="A2704" s="7">
        <v>1</v>
      </c>
      <c r="B2704" s="7">
        <v>3956</v>
      </c>
      <c r="C2704" s="7">
        <v>902</v>
      </c>
      <c r="D2704" s="8">
        <v>6299.97</v>
      </c>
      <c r="E2704" s="9">
        <v>1</v>
      </c>
    </row>
    <row r="2705" spans="1:5" x14ac:dyDescent="0.25">
      <c r="A2705" s="7">
        <v>1</v>
      </c>
      <c r="B2705" s="7">
        <v>3957</v>
      </c>
      <c r="C2705" s="7">
        <v>902</v>
      </c>
      <c r="D2705" s="8">
        <v>6299.97</v>
      </c>
      <c r="E2705" s="9">
        <v>1</v>
      </c>
    </row>
    <row r="2706" spans="1:5" x14ac:dyDescent="0.25">
      <c r="A2706" s="7">
        <v>1</v>
      </c>
      <c r="B2706" s="7">
        <v>3958</v>
      </c>
      <c r="C2706" s="7">
        <v>902</v>
      </c>
      <c r="D2706" s="8">
        <v>6299.97</v>
      </c>
      <c r="E2706" s="9">
        <v>1</v>
      </c>
    </row>
    <row r="2707" spans="1:5" x14ac:dyDescent="0.25">
      <c r="A2707" s="7">
        <v>1</v>
      </c>
      <c r="B2707" s="7">
        <v>3959</v>
      </c>
      <c r="C2707" s="7">
        <v>902</v>
      </c>
      <c r="D2707" s="8">
        <v>6299.97</v>
      </c>
      <c r="E2707" s="9">
        <v>1</v>
      </c>
    </row>
    <row r="2708" spans="1:5" x14ac:dyDescent="0.25">
      <c r="A2708" s="7">
        <v>1</v>
      </c>
      <c r="B2708" s="7">
        <v>3960</v>
      </c>
      <c r="C2708" s="7">
        <v>902</v>
      </c>
      <c r="D2708" s="8">
        <v>6299.97</v>
      </c>
      <c r="E2708" s="9">
        <v>1</v>
      </c>
    </row>
    <row r="2709" spans="1:5" x14ac:dyDescent="0.25">
      <c r="A2709" s="7">
        <v>1</v>
      </c>
      <c r="B2709" s="7">
        <v>3961</v>
      </c>
      <c r="C2709" s="7">
        <v>902</v>
      </c>
      <c r="D2709" s="8">
        <v>6299.97</v>
      </c>
      <c r="E2709" s="9">
        <v>1</v>
      </c>
    </row>
    <row r="2710" spans="1:5" x14ac:dyDescent="0.25">
      <c r="A2710" s="7">
        <v>1</v>
      </c>
      <c r="B2710" s="7">
        <v>3962</v>
      </c>
      <c r="C2710" s="7">
        <v>902</v>
      </c>
      <c r="D2710" s="8">
        <v>6299.97</v>
      </c>
      <c r="E2710" s="9">
        <v>1</v>
      </c>
    </row>
    <row r="2711" spans="1:5" x14ac:dyDescent="0.25">
      <c r="A2711" s="7">
        <v>1</v>
      </c>
      <c r="B2711" s="7">
        <v>3963</v>
      </c>
      <c r="C2711" s="7">
        <v>902</v>
      </c>
      <c r="D2711" s="8">
        <v>6299.97</v>
      </c>
      <c r="E2711" s="9">
        <v>1</v>
      </c>
    </row>
    <row r="2712" spans="1:5" x14ac:dyDescent="0.25">
      <c r="A2712" s="7">
        <v>1</v>
      </c>
      <c r="B2712" s="7">
        <v>3964</v>
      </c>
      <c r="C2712" s="7">
        <v>902</v>
      </c>
      <c r="D2712" s="8">
        <v>6299.97</v>
      </c>
      <c r="E2712" s="9">
        <v>1</v>
      </c>
    </row>
    <row r="2713" spans="1:5" x14ac:dyDescent="0.25">
      <c r="A2713" s="7">
        <v>1</v>
      </c>
      <c r="B2713" s="7">
        <v>3965</v>
      </c>
      <c r="C2713" s="7">
        <v>902</v>
      </c>
      <c r="D2713" s="8">
        <v>6299.97</v>
      </c>
      <c r="E2713" s="9">
        <v>1</v>
      </c>
    </row>
    <row r="2714" spans="1:5" x14ac:dyDescent="0.25">
      <c r="A2714" s="7">
        <v>1</v>
      </c>
      <c r="B2714" s="7">
        <v>3966</v>
      </c>
      <c r="C2714" s="7">
        <v>902</v>
      </c>
      <c r="D2714" s="8">
        <v>6299.97</v>
      </c>
      <c r="E2714" s="9">
        <v>1</v>
      </c>
    </row>
    <row r="2715" spans="1:5" x14ac:dyDescent="0.25">
      <c r="A2715" s="7">
        <v>1</v>
      </c>
      <c r="B2715" s="7">
        <v>3967</v>
      </c>
      <c r="C2715" s="7">
        <v>902</v>
      </c>
      <c r="D2715" s="8">
        <v>6299.97</v>
      </c>
      <c r="E2715" s="9">
        <v>1</v>
      </c>
    </row>
    <row r="2716" spans="1:5" x14ac:dyDescent="0.25">
      <c r="A2716" s="7">
        <v>1</v>
      </c>
      <c r="B2716" s="7">
        <v>3968</v>
      </c>
      <c r="C2716" s="7">
        <v>902</v>
      </c>
      <c r="D2716" s="8">
        <v>6299.97</v>
      </c>
      <c r="E2716" s="9">
        <v>1</v>
      </c>
    </row>
    <row r="2717" spans="1:5" x14ac:dyDescent="0.25">
      <c r="A2717" s="7">
        <v>1</v>
      </c>
      <c r="B2717" s="7">
        <v>3969</v>
      </c>
      <c r="C2717" s="7">
        <v>902</v>
      </c>
      <c r="D2717" s="8">
        <v>6299.97</v>
      </c>
      <c r="E2717" s="9">
        <v>1</v>
      </c>
    </row>
    <row r="2718" spans="1:5" x14ac:dyDescent="0.25">
      <c r="A2718" s="7">
        <v>1</v>
      </c>
      <c r="B2718" s="7">
        <v>3970</v>
      </c>
      <c r="C2718" s="7">
        <v>902</v>
      </c>
      <c r="D2718" s="8">
        <v>6299.97</v>
      </c>
      <c r="E2718" s="9">
        <v>1</v>
      </c>
    </row>
    <row r="2719" spans="1:5" x14ac:dyDescent="0.25">
      <c r="A2719" s="7">
        <v>1</v>
      </c>
      <c r="B2719" s="7">
        <v>3971</v>
      </c>
      <c r="C2719" s="7">
        <v>902</v>
      </c>
      <c r="D2719" s="8">
        <v>6299.97</v>
      </c>
      <c r="E2719" s="9">
        <v>1</v>
      </c>
    </row>
    <row r="2720" spans="1:5" x14ac:dyDescent="0.25">
      <c r="A2720" s="7">
        <v>1</v>
      </c>
      <c r="B2720" s="7">
        <v>3972</v>
      </c>
      <c r="C2720" s="7">
        <v>902</v>
      </c>
      <c r="D2720" s="8">
        <v>6299.97</v>
      </c>
      <c r="E2720" s="9">
        <v>1</v>
      </c>
    </row>
    <row r="2721" spans="1:5" x14ac:dyDescent="0.25">
      <c r="A2721" s="7">
        <v>1</v>
      </c>
      <c r="B2721" s="7">
        <v>3973</v>
      </c>
      <c r="C2721" s="7">
        <v>902</v>
      </c>
      <c r="D2721" s="8">
        <v>6299.97</v>
      </c>
      <c r="E2721" s="9">
        <v>1</v>
      </c>
    </row>
    <row r="2722" spans="1:5" x14ac:dyDescent="0.25">
      <c r="A2722" s="7">
        <v>1</v>
      </c>
      <c r="B2722" s="7">
        <v>3974</v>
      </c>
      <c r="C2722" s="7">
        <v>902</v>
      </c>
      <c r="D2722" s="8">
        <v>6299.97</v>
      </c>
      <c r="E2722" s="9">
        <v>1</v>
      </c>
    </row>
    <row r="2723" spans="1:5" x14ac:dyDescent="0.25">
      <c r="A2723" s="7">
        <v>1</v>
      </c>
      <c r="B2723" s="7">
        <v>3975</v>
      </c>
      <c r="C2723" s="7">
        <v>902</v>
      </c>
      <c r="D2723" s="8">
        <v>6299.97</v>
      </c>
      <c r="E2723" s="9">
        <v>1</v>
      </c>
    </row>
    <row r="2724" spans="1:5" x14ac:dyDescent="0.25">
      <c r="A2724" s="7">
        <v>1</v>
      </c>
      <c r="B2724" s="7">
        <v>3976</v>
      </c>
      <c r="C2724" s="7">
        <v>902</v>
      </c>
      <c r="D2724" s="8">
        <v>6299.97</v>
      </c>
      <c r="E2724" s="9">
        <v>1</v>
      </c>
    </row>
    <row r="2725" spans="1:5" x14ac:dyDescent="0.25">
      <c r="A2725" s="7">
        <v>1</v>
      </c>
      <c r="B2725" s="7">
        <v>3977</v>
      </c>
      <c r="C2725" s="7">
        <v>902</v>
      </c>
      <c r="D2725" s="8">
        <v>6299.97</v>
      </c>
      <c r="E2725" s="9">
        <v>1</v>
      </c>
    </row>
    <row r="2726" spans="1:5" x14ac:dyDescent="0.25">
      <c r="A2726" s="7">
        <v>1</v>
      </c>
      <c r="B2726" s="7">
        <v>3978</v>
      </c>
      <c r="C2726" s="7">
        <v>902</v>
      </c>
      <c r="D2726" s="8">
        <v>6299.97</v>
      </c>
      <c r="E2726" s="9">
        <v>1</v>
      </c>
    </row>
    <row r="2727" spans="1:5" x14ac:dyDescent="0.25">
      <c r="A2727" s="7">
        <v>1</v>
      </c>
      <c r="B2727" s="7">
        <v>3979</v>
      </c>
      <c r="C2727" s="7">
        <v>902</v>
      </c>
      <c r="D2727" s="8">
        <v>6299.97</v>
      </c>
      <c r="E2727" s="9">
        <v>1</v>
      </c>
    </row>
    <row r="2728" spans="1:5" x14ac:dyDescent="0.25">
      <c r="A2728" s="7">
        <v>1</v>
      </c>
      <c r="B2728" s="7">
        <v>3980</v>
      </c>
      <c r="C2728" s="7">
        <v>902</v>
      </c>
      <c r="D2728" s="8">
        <v>6299.97</v>
      </c>
      <c r="E2728" s="9">
        <v>1</v>
      </c>
    </row>
    <row r="2729" spans="1:5" x14ac:dyDescent="0.25">
      <c r="A2729" s="7">
        <v>1</v>
      </c>
      <c r="B2729" s="7">
        <v>3981</v>
      </c>
      <c r="C2729" s="7">
        <v>902</v>
      </c>
      <c r="D2729" s="8">
        <v>6299.97</v>
      </c>
      <c r="E2729" s="9">
        <v>1</v>
      </c>
    </row>
    <row r="2730" spans="1:5" x14ac:dyDescent="0.25">
      <c r="A2730" s="7">
        <v>1</v>
      </c>
      <c r="B2730" s="7">
        <v>3982</v>
      </c>
      <c r="C2730" s="7">
        <v>902</v>
      </c>
      <c r="D2730" s="8">
        <v>6299.97</v>
      </c>
      <c r="E2730" s="9">
        <v>1</v>
      </c>
    </row>
    <row r="2731" spans="1:5" x14ac:dyDescent="0.25">
      <c r="A2731" s="7">
        <v>1</v>
      </c>
      <c r="B2731" s="7">
        <v>3983</v>
      </c>
      <c r="C2731" s="7">
        <v>902</v>
      </c>
      <c r="D2731" s="8">
        <v>6299.97</v>
      </c>
      <c r="E2731" s="9">
        <v>1</v>
      </c>
    </row>
    <row r="2732" spans="1:5" x14ac:dyDescent="0.25">
      <c r="A2732" s="7">
        <v>1</v>
      </c>
      <c r="B2732" s="7">
        <v>3984</v>
      </c>
      <c r="C2732" s="7">
        <v>902</v>
      </c>
      <c r="D2732" s="8">
        <v>6299.97</v>
      </c>
      <c r="E2732" s="9">
        <v>1</v>
      </c>
    </row>
    <row r="2733" spans="1:5" x14ac:dyDescent="0.25">
      <c r="A2733" s="7">
        <v>1</v>
      </c>
      <c r="B2733" s="7">
        <v>3985</v>
      </c>
      <c r="C2733" s="7">
        <v>902</v>
      </c>
      <c r="D2733" s="8">
        <v>6299.97</v>
      </c>
      <c r="E2733" s="9">
        <v>1</v>
      </c>
    </row>
    <row r="2734" spans="1:5" x14ac:dyDescent="0.25">
      <c r="A2734" s="7">
        <v>1</v>
      </c>
      <c r="B2734" s="7">
        <v>3986</v>
      </c>
      <c r="C2734" s="7">
        <v>902</v>
      </c>
      <c r="D2734" s="8">
        <v>6299.97</v>
      </c>
      <c r="E2734" s="9">
        <v>1</v>
      </c>
    </row>
    <row r="2735" spans="1:5" x14ac:dyDescent="0.25">
      <c r="A2735" s="7">
        <v>1</v>
      </c>
      <c r="B2735" s="7">
        <v>3987</v>
      </c>
      <c r="C2735" s="7">
        <v>902</v>
      </c>
      <c r="D2735" s="8">
        <v>6299.97</v>
      </c>
      <c r="E2735" s="9">
        <v>1</v>
      </c>
    </row>
    <row r="2736" spans="1:5" x14ac:dyDescent="0.25">
      <c r="A2736" s="7">
        <v>1</v>
      </c>
      <c r="B2736" s="7">
        <v>3988</v>
      </c>
      <c r="C2736" s="7">
        <v>902</v>
      </c>
      <c r="D2736" s="8">
        <v>6299.97</v>
      </c>
      <c r="E2736" s="9">
        <v>1</v>
      </c>
    </row>
    <row r="2737" spans="1:5" x14ac:dyDescent="0.25">
      <c r="A2737" s="7">
        <v>1</v>
      </c>
      <c r="B2737" s="7">
        <v>3989</v>
      </c>
      <c r="C2737" s="7">
        <v>902</v>
      </c>
      <c r="D2737" s="8">
        <v>6299.97</v>
      </c>
      <c r="E2737" s="9">
        <v>1</v>
      </c>
    </row>
    <row r="2738" spans="1:5" x14ac:dyDescent="0.25">
      <c r="A2738" s="7">
        <v>1</v>
      </c>
      <c r="B2738" s="7">
        <v>3990</v>
      </c>
      <c r="C2738" s="7">
        <v>902</v>
      </c>
      <c r="D2738" s="8">
        <v>6299.97</v>
      </c>
      <c r="E2738" s="9">
        <v>1</v>
      </c>
    </row>
    <row r="2739" spans="1:5" x14ac:dyDescent="0.25">
      <c r="A2739" s="7">
        <v>1</v>
      </c>
      <c r="B2739" s="7">
        <v>3991</v>
      </c>
      <c r="C2739" s="7">
        <v>902</v>
      </c>
      <c r="D2739" s="8">
        <v>6299.97</v>
      </c>
      <c r="E2739" s="9">
        <v>1</v>
      </c>
    </row>
    <row r="2740" spans="1:5" x14ac:dyDescent="0.25">
      <c r="A2740" s="7">
        <v>1</v>
      </c>
      <c r="B2740" s="7">
        <v>3992</v>
      </c>
      <c r="C2740" s="7">
        <v>902</v>
      </c>
      <c r="D2740" s="8">
        <v>6299.97</v>
      </c>
      <c r="E2740" s="9">
        <v>1</v>
      </c>
    </row>
    <row r="2741" spans="1:5" x14ac:dyDescent="0.25">
      <c r="A2741" s="7">
        <v>1</v>
      </c>
      <c r="B2741" s="7">
        <v>3993</v>
      </c>
      <c r="C2741" s="7">
        <v>902</v>
      </c>
      <c r="D2741" s="8">
        <v>6299.97</v>
      </c>
      <c r="E2741" s="9">
        <v>1</v>
      </c>
    </row>
    <row r="2742" spans="1:5" x14ac:dyDescent="0.25">
      <c r="A2742" s="7">
        <v>1</v>
      </c>
      <c r="B2742" s="7">
        <v>3994</v>
      </c>
      <c r="C2742" s="7">
        <v>902</v>
      </c>
      <c r="D2742" s="8">
        <v>6299.97</v>
      </c>
      <c r="E2742" s="9">
        <v>1</v>
      </c>
    </row>
    <row r="2743" spans="1:5" x14ac:dyDescent="0.25">
      <c r="A2743" s="7">
        <v>1</v>
      </c>
      <c r="B2743" s="7">
        <v>3995</v>
      </c>
      <c r="C2743" s="7">
        <v>902</v>
      </c>
      <c r="D2743" s="8">
        <v>6299.97</v>
      </c>
      <c r="E2743" s="9">
        <v>1</v>
      </c>
    </row>
    <row r="2744" spans="1:5" x14ac:dyDescent="0.25">
      <c r="A2744" s="7">
        <v>1</v>
      </c>
      <c r="B2744" s="7">
        <v>3996</v>
      </c>
      <c r="C2744" s="7">
        <v>902</v>
      </c>
      <c r="D2744" s="8">
        <v>6299.97</v>
      </c>
      <c r="E2744" s="9">
        <v>1</v>
      </c>
    </row>
    <row r="2745" spans="1:5" x14ac:dyDescent="0.25">
      <c r="A2745" s="7">
        <v>1</v>
      </c>
      <c r="B2745" s="7">
        <v>3997</v>
      </c>
      <c r="C2745" s="7">
        <v>902</v>
      </c>
      <c r="D2745" s="8">
        <v>6299.97</v>
      </c>
      <c r="E2745" s="9">
        <v>1</v>
      </c>
    </row>
    <row r="2746" spans="1:5" x14ac:dyDescent="0.25">
      <c r="A2746" s="7">
        <v>1</v>
      </c>
      <c r="B2746" s="7">
        <v>3998</v>
      </c>
      <c r="C2746" s="7">
        <v>902</v>
      </c>
      <c r="D2746" s="8">
        <v>6299.97</v>
      </c>
      <c r="E2746" s="9">
        <v>1</v>
      </c>
    </row>
    <row r="2747" spans="1:5" x14ac:dyDescent="0.25">
      <c r="A2747" s="7">
        <v>1</v>
      </c>
      <c r="B2747" s="7">
        <v>3999</v>
      </c>
      <c r="C2747" s="7">
        <v>902</v>
      </c>
      <c r="D2747" s="8">
        <v>6299.97</v>
      </c>
      <c r="E2747" s="9">
        <v>1</v>
      </c>
    </row>
    <row r="2748" spans="1:5" x14ac:dyDescent="0.25">
      <c r="A2748" s="7">
        <v>1</v>
      </c>
      <c r="B2748" s="7">
        <v>4000</v>
      </c>
      <c r="C2748" s="7">
        <v>159</v>
      </c>
      <c r="D2748" s="8">
        <v>16260.5</v>
      </c>
      <c r="E2748" s="9">
        <v>1</v>
      </c>
    </row>
    <row r="2749" spans="1:5" x14ac:dyDescent="0.25">
      <c r="A2749" s="7">
        <v>1</v>
      </c>
      <c r="B2749" s="7">
        <v>4001</v>
      </c>
      <c r="C2749" s="7">
        <v>159</v>
      </c>
      <c r="D2749" s="8">
        <v>4700.68</v>
      </c>
      <c r="E2749" s="9">
        <v>1</v>
      </c>
    </row>
    <row r="2750" spans="1:5" x14ac:dyDescent="0.25">
      <c r="A2750" s="7">
        <v>1</v>
      </c>
      <c r="B2750" s="7">
        <v>4002</v>
      </c>
      <c r="C2750" s="7">
        <v>159</v>
      </c>
      <c r="D2750" s="8">
        <v>4700.68</v>
      </c>
      <c r="E2750" s="9">
        <v>1</v>
      </c>
    </row>
    <row r="2751" spans="1:5" x14ac:dyDescent="0.25">
      <c r="A2751" s="7">
        <v>1</v>
      </c>
      <c r="B2751" s="7">
        <v>4003</v>
      </c>
      <c r="C2751" s="7">
        <v>159</v>
      </c>
      <c r="D2751" s="8">
        <v>4700.68</v>
      </c>
      <c r="E2751" s="9">
        <v>1</v>
      </c>
    </row>
    <row r="2752" spans="1:5" x14ac:dyDescent="0.25">
      <c r="A2752" s="7">
        <v>1</v>
      </c>
      <c r="B2752" s="7">
        <v>4004</v>
      </c>
      <c r="C2752" s="7">
        <v>159</v>
      </c>
      <c r="D2752" s="8">
        <v>4700.68</v>
      </c>
      <c r="E2752" s="9">
        <v>1</v>
      </c>
    </row>
    <row r="2753" spans="1:5" x14ac:dyDescent="0.25">
      <c r="A2753" s="7">
        <v>1</v>
      </c>
      <c r="B2753" s="7">
        <v>4005</v>
      </c>
      <c r="C2753" s="7">
        <v>159</v>
      </c>
      <c r="D2753" s="8">
        <v>4700.68</v>
      </c>
      <c r="E2753" s="9">
        <v>1</v>
      </c>
    </row>
    <row r="2754" spans="1:5" x14ac:dyDescent="0.25">
      <c r="A2754" s="7">
        <v>1</v>
      </c>
      <c r="B2754" s="7">
        <v>4006</v>
      </c>
      <c r="C2754" s="7">
        <v>159</v>
      </c>
      <c r="D2754" s="8">
        <v>4700.68</v>
      </c>
      <c r="E2754" s="9">
        <v>1</v>
      </c>
    </row>
    <row r="2755" spans="1:5" x14ac:dyDescent="0.25">
      <c r="A2755" s="7">
        <v>1</v>
      </c>
      <c r="B2755" s="7">
        <v>4008</v>
      </c>
      <c r="C2755" s="7">
        <v>159</v>
      </c>
      <c r="D2755" s="8">
        <v>6238.11</v>
      </c>
      <c r="E2755" s="9">
        <v>1</v>
      </c>
    </row>
    <row r="2756" spans="1:5" x14ac:dyDescent="0.25">
      <c r="A2756" s="7">
        <v>1</v>
      </c>
      <c r="B2756" s="7">
        <v>4009</v>
      </c>
      <c r="C2756" s="7">
        <v>159</v>
      </c>
      <c r="D2756" s="8">
        <v>20694.84</v>
      </c>
      <c r="E2756" s="9">
        <v>1</v>
      </c>
    </row>
    <row r="2757" spans="1:5" x14ac:dyDescent="0.25">
      <c r="A2757" s="7">
        <v>1</v>
      </c>
      <c r="B2757" s="7">
        <v>4010</v>
      </c>
      <c r="C2757" s="7">
        <v>159</v>
      </c>
      <c r="D2757" s="8">
        <v>74979.81</v>
      </c>
      <c r="E2757" s="9">
        <v>1</v>
      </c>
    </row>
    <row r="2758" spans="1:5" x14ac:dyDescent="0.25">
      <c r="A2758" s="7">
        <v>1</v>
      </c>
      <c r="B2758" s="7">
        <v>4011</v>
      </c>
      <c r="C2758" s="7">
        <v>159</v>
      </c>
      <c r="D2758" s="8">
        <v>9401.33</v>
      </c>
      <c r="E2758" s="9">
        <v>1</v>
      </c>
    </row>
    <row r="2759" spans="1:5" x14ac:dyDescent="0.25">
      <c r="A2759" s="7">
        <v>1</v>
      </c>
      <c r="B2759" s="7">
        <v>4012</v>
      </c>
      <c r="C2759" s="7">
        <v>159</v>
      </c>
      <c r="D2759" s="8">
        <v>9729.55</v>
      </c>
      <c r="E2759" s="9">
        <v>1</v>
      </c>
    </row>
    <row r="2760" spans="1:5" x14ac:dyDescent="0.25">
      <c r="A2760" s="7">
        <v>1</v>
      </c>
      <c r="B2760" s="7">
        <v>4013</v>
      </c>
      <c r="C2760" s="7">
        <v>159</v>
      </c>
      <c r="D2760" s="8">
        <v>7627.85</v>
      </c>
      <c r="E2760" s="9">
        <v>1</v>
      </c>
    </row>
    <row r="2761" spans="1:5" x14ac:dyDescent="0.25">
      <c r="A2761" s="7">
        <v>1</v>
      </c>
      <c r="B2761" s="7">
        <v>4014</v>
      </c>
      <c r="C2761" s="7">
        <v>159</v>
      </c>
      <c r="D2761" s="8">
        <v>15409.74</v>
      </c>
      <c r="E2761" s="9">
        <v>1</v>
      </c>
    </row>
    <row r="2762" spans="1:5" x14ac:dyDescent="0.25">
      <c r="A2762" s="7">
        <v>1</v>
      </c>
      <c r="B2762" s="7">
        <v>4015</v>
      </c>
      <c r="C2762" s="7">
        <v>159</v>
      </c>
      <c r="D2762" s="8">
        <v>8161.83</v>
      </c>
      <c r="E2762" s="9">
        <v>1</v>
      </c>
    </row>
    <row r="2763" spans="1:5" x14ac:dyDescent="0.25">
      <c r="A2763" s="7">
        <v>1</v>
      </c>
      <c r="B2763" s="7">
        <v>4016</v>
      </c>
      <c r="C2763" s="7">
        <v>159</v>
      </c>
      <c r="D2763" s="8">
        <v>20723.86</v>
      </c>
      <c r="E2763" s="9">
        <v>1</v>
      </c>
    </row>
    <row r="2764" spans="1:5" x14ac:dyDescent="0.25">
      <c r="A2764" s="7">
        <v>1</v>
      </c>
      <c r="B2764" s="7">
        <v>4017</v>
      </c>
      <c r="C2764" s="7">
        <v>159</v>
      </c>
      <c r="D2764" s="8">
        <v>67353.2</v>
      </c>
      <c r="E2764" s="9">
        <v>1</v>
      </c>
    </row>
    <row r="2765" spans="1:5" x14ac:dyDescent="0.25">
      <c r="A2765" s="7">
        <v>1</v>
      </c>
      <c r="B2765" s="7">
        <v>4018</v>
      </c>
      <c r="C2765" s="7">
        <v>132</v>
      </c>
      <c r="D2765" s="8">
        <v>146.71</v>
      </c>
      <c r="E2765" s="9">
        <v>3</v>
      </c>
    </row>
    <row r="2766" spans="1:5" x14ac:dyDescent="0.25">
      <c r="A2766" s="7">
        <v>1</v>
      </c>
      <c r="B2766" s="7">
        <v>4019</v>
      </c>
      <c r="C2766" s="7">
        <v>159</v>
      </c>
      <c r="D2766" s="8">
        <v>11678.47</v>
      </c>
      <c r="E2766" s="9">
        <v>1</v>
      </c>
    </row>
    <row r="2767" spans="1:5" x14ac:dyDescent="0.25">
      <c r="A2767" s="7">
        <v>1</v>
      </c>
      <c r="B2767" s="7">
        <v>4020</v>
      </c>
      <c r="C2767" s="7">
        <v>159</v>
      </c>
      <c r="D2767" s="8">
        <v>25958.47</v>
      </c>
      <c r="E2767" s="9">
        <v>1</v>
      </c>
    </row>
    <row r="2768" spans="1:5" x14ac:dyDescent="0.25">
      <c r="A2768" s="7">
        <v>1</v>
      </c>
      <c r="B2768" s="7">
        <v>4021</v>
      </c>
      <c r="C2768" s="7">
        <v>159</v>
      </c>
      <c r="D2768" s="8">
        <v>84366</v>
      </c>
      <c r="E2768" s="9">
        <v>1</v>
      </c>
    </row>
    <row r="2769" spans="1:5" x14ac:dyDescent="0.25">
      <c r="A2769" s="7">
        <v>1</v>
      </c>
      <c r="B2769" s="7">
        <v>4022</v>
      </c>
      <c r="C2769" s="7">
        <v>160</v>
      </c>
      <c r="D2769" s="8">
        <v>45027.77</v>
      </c>
      <c r="E2769" s="9">
        <v>1</v>
      </c>
    </row>
    <row r="2770" spans="1:5" x14ac:dyDescent="0.25">
      <c r="A2770" s="7">
        <v>1</v>
      </c>
      <c r="B2770" s="7">
        <v>4023</v>
      </c>
      <c r="C2770" s="7">
        <v>160</v>
      </c>
      <c r="D2770" s="8">
        <v>138963.66</v>
      </c>
      <c r="E2770" s="9">
        <v>1</v>
      </c>
    </row>
    <row r="2771" spans="1:5" x14ac:dyDescent="0.25">
      <c r="A2771" s="7">
        <v>1</v>
      </c>
      <c r="B2771" s="7">
        <v>4024</v>
      </c>
      <c r="C2771" s="7">
        <v>160</v>
      </c>
      <c r="D2771" s="8">
        <v>43070.06</v>
      </c>
      <c r="E2771" s="9">
        <v>1</v>
      </c>
    </row>
    <row r="2772" spans="1:5" x14ac:dyDescent="0.25">
      <c r="A2772" s="7">
        <v>1</v>
      </c>
      <c r="B2772" s="7">
        <v>4025</v>
      </c>
      <c r="C2772" s="7">
        <v>160</v>
      </c>
      <c r="D2772" s="8">
        <v>138963.66</v>
      </c>
      <c r="E2772" s="9">
        <v>1</v>
      </c>
    </row>
    <row r="2773" spans="1:5" x14ac:dyDescent="0.25">
      <c r="A2773" s="7">
        <v>1</v>
      </c>
      <c r="B2773" s="7">
        <v>4026</v>
      </c>
      <c r="C2773" s="7">
        <v>160</v>
      </c>
      <c r="D2773" s="8">
        <v>81573.75</v>
      </c>
      <c r="E2773" s="9">
        <v>1</v>
      </c>
    </row>
    <row r="2774" spans="1:5" x14ac:dyDescent="0.25">
      <c r="A2774" s="7">
        <v>1</v>
      </c>
      <c r="B2774" s="7">
        <v>4027</v>
      </c>
      <c r="C2774" s="7">
        <v>160</v>
      </c>
      <c r="D2774" s="8">
        <v>81573.75</v>
      </c>
      <c r="E2774" s="9">
        <v>1</v>
      </c>
    </row>
    <row r="2775" spans="1:5" x14ac:dyDescent="0.25">
      <c r="A2775" s="7">
        <v>1</v>
      </c>
      <c r="B2775" s="7">
        <v>4028</v>
      </c>
      <c r="C2775" s="7">
        <v>160</v>
      </c>
      <c r="D2775" s="8">
        <v>167324.71</v>
      </c>
      <c r="E2775" s="9">
        <v>1</v>
      </c>
    </row>
    <row r="2776" spans="1:5" x14ac:dyDescent="0.25">
      <c r="A2776" s="7">
        <v>1</v>
      </c>
      <c r="B2776" s="7">
        <v>4029</v>
      </c>
      <c r="C2776" s="7">
        <v>160</v>
      </c>
      <c r="D2776" s="8">
        <v>167324.71</v>
      </c>
      <c r="E2776" s="9">
        <v>1</v>
      </c>
    </row>
    <row r="2777" spans="1:5" x14ac:dyDescent="0.25">
      <c r="A2777" s="7">
        <v>1</v>
      </c>
      <c r="B2777" s="7">
        <v>4030</v>
      </c>
      <c r="C2777" s="7">
        <v>160</v>
      </c>
      <c r="D2777" s="8">
        <v>235319.04</v>
      </c>
      <c r="E2777" s="9">
        <v>1</v>
      </c>
    </row>
    <row r="2778" spans="1:5" x14ac:dyDescent="0.25">
      <c r="A2778" s="7">
        <v>1</v>
      </c>
      <c r="B2778" s="7">
        <v>4031</v>
      </c>
      <c r="C2778" s="7">
        <v>160</v>
      </c>
      <c r="D2778" s="8">
        <v>235319.04</v>
      </c>
      <c r="E2778" s="9">
        <v>1</v>
      </c>
    </row>
    <row r="2779" spans="1:5" x14ac:dyDescent="0.25">
      <c r="A2779" s="7">
        <v>1</v>
      </c>
      <c r="B2779" s="7">
        <v>4032</v>
      </c>
      <c r="C2779" s="7">
        <v>132</v>
      </c>
      <c r="D2779" s="8">
        <v>122.51</v>
      </c>
      <c r="E2779" s="9">
        <v>3</v>
      </c>
    </row>
    <row r="2780" spans="1:5" x14ac:dyDescent="0.25">
      <c r="A2780" s="7">
        <v>1</v>
      </c>
      <c r="B2780" s="7">
        <v>4033</v>
      </c>
      <c r="C2780" s="7">
        <v>132</v>
      </c>
      <c r="D2780" s="8">
        <v>35.77</v>
      </c>
      <c r="E2780" s="9">
        <v>3</v>
      </c>
    </row>
    <row r="2781" spans="1:5" x14ac:dyDescent="0.25">
      <c r="A2781" s="7">
        <v>1</v>
      </c>
      <c r="B2781" s="7">
        <v>4035</v>
      </c>
      <c r="C2781" s="7">
        <v>154</v>
      </c>
      <c r="D2781" s="8">
        <v>9138.64</v>
      </c>
      <c r="E2781" s="9">
        <v>1</v>
      </c>
    </row>
    <row r="2782" spans="1:5" x14ac:dyDescent="0.25">
      <c r="A2782" s="7">
        <v>1</v>
      </c>
      <c r="B2782" s="7">
        <v>4036</v>
      </c>
      <c r="C2782" s="7">
        <v>154</v>
      </c>
      <c r="D2782" s="8">
        <v>31916.3</v>
      </c>
      <c r="E2782" s="9">
        <v>1</v>
      </c>
    </row>
    <row r="2783" spans="1:5" x14ac:dyDescent="0.25">
      <c r="A2783" s="7">
        <v>1</v>
      </c>
      <c r="B2783" s="7">
        <v>4037</v>
      </c>
      <c r="C2783" s="7">
        <v>154</v>
      </c>
      <c r="D2783" s="8">
        <v>77193.01</v>
      </c>
      <c r="E2783" s="9">
        <v>1</v>
      </c>
    </row>
    <row r="2784" spans="1:5" x14ac:dyDescent="0.25">
      <c r="A2784" s="7">
        <v>1</v>
      </c>
      <c r="B2784" s="7">
        <v>4038</v>
      </c>
      <c r="C2784" s="7">
        <v>154</v>
      </c>
      <c r="D2784" s="8">
        <v>139158.9</v>
      </c>
      <c r="E2784" s="9">
        <v>1</v>
      </c>
    </row>
    <row r="2785" spans="1:5" x14ac:dyDescent="0.25">
      <c r="A2785" s="7">
        <v>1</v>
      </c>
      <c r="B2785" s="7">
        <v>4039</v>
      </c>
      <c r="C2785" s="7">
        <v>154</v>
      </c>
      <c r="D2785" s="8">
        <v>8232.6</v>
      </c>
      <c r="E2785" s="9">
        <v>1</v>
      </c>
    </row>
    <row r="2786" spans="1:5" x14ac:dyDescent="0.25">
      <c r="A2786" s="7">
        <v>1</v>
      </c>
      <c r="B2786" s="7">
        <v>4040</v>
      </c>
      <c r="C2786" s="7">
        <v>154</v>
      </c>
      <c r="D2786" s="8">
        <v>29418.68</v>
      </c>
      <c r="E2786" s="9">
        <v>1</v>
      </c>
    </row>
    <row r="2787" spans="1:5" x14ac:dyDescent="0.25">
      <c r="A2787" s="7">
        <v>1</v>
      </c>
      <c r="B2787" s="7">
        <v>4041</v>
      </c>
      <c r="C2787" s="7">
        <v>154</v>
      </c>
      <c r="D2787" s="8">
        <v>68332.29</v>
      </c>
      <c r="E2787" s="9">
        <v>1</v>
      </c>
    </row>
    <row r="2788" spans="1:5" x14ac:dyDescent="0.25">
      <c r="A2788" s="7">
        <v>1</v>
      </c>
      <c r="B2788" s="7">
        <v>4042</v>
      </c>
      <c r="C2788" s="7">
        <v>154</v>
      </c>
      <c r="D2788" s="8">
        <v>123080.31</v>
      </c>
      <c r="E2788" s="9">
        <v>1</v>
      </c>
    </row>
    <row r="2789" spans="1:5" x14ac:dyDescent="0.25">
      <c r="A2789" s="7">
        <v>1</v>
      </c>
      <c r="B2789" s="7">
        <v>4043</v>
      </c>
      <c r="C2789" s="7">
        <v>154</v>
      </c>
      <c r="D2789" s="8">
        <v>7554.96</v>
      </c>
      <c r="E2789" s="9">
        <v>1</v>
      </c>
    </row>
    <row r="2790" spans="1:5" x14ac:dyDescent="0.25">
      <c r="A2790" s="7">
        <v>1</v>
      </c>
      <c r="B2790" s="7">
        <v>4044</v>
      </c>
      <c r="C2790" s="7">
        <v>154</v>
      </c>
      <c r="D2790" s="8">
        <v>27108.05</v>
      </c>
      <c r="E2790" s="9">
        <v>1</v>
      </c>
    </row>
    <row r="2791" spans="1:5" x14ac:dyDescent="0.25">
      <c r="A2791" s="7">
        <v>1</v>
      </c>
      <c r="B2791" s="7">
        <v>4045</v>
      </c>
      <c r="C2791" s="7">
        <v>154</v>
      </c>
      <c r="D2791" s="8">
        <v>62368.69</v>
      </c>
      <c r="E2791" s="9">
        <v>1</v>
      </c>
    </row>
    <row r="2792" spans="1:5" x14ac:dyDescent="0.25">
      <c r="A2792" s="7">
        <v>1</v>
      </c>
      <c r="B2792" s="7">
        <v>4046</v>
      </c>
      <c r="C2792" s="7">
        <v>154</v>
      </c>
      <c r="D2792" s="8">
        <v>112425.66</v>
      </c>
      <c r="E2792" s="9">
        <v>1</v>
      </c>
    </row>
    <row r="2793" spans="1:5" x14ac:dyDescent="0.25">
      <c r="A2793" s="7">
        <v>1</v>
      </c>
      <c r="B2793" s="7">
        <v>4047</v>
      </c>
      <c r="C2793" s="7">
        <v>170</v>
      </c>
      <c r="D2793" s="8">
        <v>28047.29</v>
      </c>
      <c r="E2793" s="9">
        <v>1</v>
      </c>
    </row>
    <row r="2794" spans="1:5" x14ac:dyDescent="0.25">
      <c r="A2794" s="7">
        <v>1</v>
      </c>
      <c r="B2794" s="7">
        <v>4048</v>
      </c>
      <c r="C2794" s="7">
        <v>170</v>
      </c>
      <c r="D2794" s="8">
        <v>84894.33</v>
      </c>
      <c r="E2794" s="9">
        <v>1</v>
      </c>
    </row>
    <row r="2795" spans="1:5" x14ac:dyDescent="0.25">
      <c r="A2795" s="7">
        <v>1</v>
      </c>
      <c r="B2795" s="7">
        <v>4049</v>
      </c>
      <c r="C2795" s="7">
        <v>170</v>
      </c>
      <c r="D2795" s="8">
        <v>364097.81</v>
      </c>
      <c r="E2795" s="9">
        <v>1</v>
      </c>
    </row>
    <row r="2796" spans="1:5" x14ac:dyDescent="0.25">
      <c r="A2796" s="7">
        <v>1</v>
      </c>
      <c r="B2796" s="7">
        <v>4050</v>
      </c>
      <c r="C2796" s="7">
        <v>152</v>
      </c>
      <c r="D2796" s="8">
        <v>13727.93</v>
      </c>
      <c r="E2796" s="9">
        <v>1</v>
      </c>
    </row>
    <row r="2797" spans="1:5" x14ac:dyDescent="0.25">
      <c r="A2797" s="7">
        <v>1</v>
      </c>
      <c r="B2797" s="7">
        <v>4051</v>
      </c>
      <c r="C2797" s="7">
        <v>152</v>
      </c>
      <c r="D2797" s="8">
        <v>50284.99</v>
      </c>
      <c r="E2797" s="9">
        <v>1</v>
      </c>
    </row>
    <row r="2798" spans="1:5" x14ac:dyDescent="0.25">
      <c r="A2798" s="7">
        <v>1</v>
      </c>
      <c r="B2798" s="7">
        <v>4052</v>
      </c>
      <c r="C2798" s="7">
        <v>152</v>
      </c>
      <c r="D2798" s="8">
        <v>203914.2</v>
      </c>
      <c r="E2798" s="9">
        <v>1</v>
      </c>
    </row>
    <row r="2799" spans="1:5" x14ac:dyDescent="0.25">
      <c r="A2799" s="7">
        <v>1</v>
      </c>
      <c r="B2799" s="7">
        <v>4056</v>
      </c>
      <c r="C2799" s="7">
        <v>132</v>
      </c>
      <c r="D2799" s="8">
        <v>76.35</v>
      </c>
      <c r="E2799" s="9">
        <v>3</v>
      </c>
    </row>
    <row r="2800" spans="1:5" x14ac:dyDescent="0.25">
      <c r="A2800" s="7">
        <v>1</v>
      </c>
      <c r="B2800" s="7">
        <v>4057</v>
      </c>
      <c r="C2800" s="7">
        <v>161</v>
      </c>
      <c r="D2800" s="8">
        <v>446</v>
      </c>
      <c r="E2800" s="9">
        <v>2</v>
      </c>
    </row>
    <row r="2801" spans="1:5" x14ac:dyDescent="0.25">
      <c r="A2801" s="7">
        <v>1</v>
      </c>
      <c r="B2801" s="7">
        <v>4058</v>
      </c>
      <c r="C2801" s="7">
        <v>902</v>
      </c>
      <c r="D2801" s="8">
        <v>6299.97</v>
      </c>
      <c r="E2801" s="9">
        <v>1</v>
      </c>
    </row>
    <row r="2802" spans="1:5" x14ac:dyDescent="0.25">
      <c r="A2802" s="7">
        <v>1</v>
      </c>
      <c r="B2802" s="7">
        <v>4059</v>
      </c>
      <c r="C2802" s="7">
        <v>902</v>
      </c>
      <c r="D2802" s="8">
        <v>6299.97</v>
      </c>
      <c r="E2802" s="9">
        <v>1</v>
      </c>
    </row>
    <row r="2803" spans="1:5" x14ac:dyDescent="0.25">
      <c r="A2803" s="7">
        <v>1</v>
      </c>
      <c r="B2803" s="7">
        <v>4060</v>
      </c>
      <c r="C2803" s="7">
        <v>902</v>
      </c>
      <c r="D2803" s="8">
        <v>6299.97</v>
      </c>
      <c r="E2803" s="9">
        <v>1</v>
      </c>
    </row>
    <row r="2804" spans="1:5" x14ac:dyDescent="0.25">
      <c r="A2804" s="7">
        <v>1</v>
      </c>
      <c r="B2804" s="7">
        <v>4061</v>
      </c>
      <c r="C2804" s="7">
        <v>902</v>
      </c>
      <c r="D2804" s="8">
        <v>6299.97</v>
      </c>
      <c r="E2804" s="9">
        <v>1</v>
      </c>
    </row>
    <row r="2805" spans="1:5" x14ac:dyDescent="0.25">
      <c r="A2805" s="7">
        <v>1</v>
      </c>
      <c r="B2805" s="7">
        <v>4062</v>
      </c>
      <c r="C2805" s="7">
        <v>902</v>
      </c>
      <c r="D2805" s="8">
        <v>6299.97</v>
      </c>
      <c r="E2805" s="9">
        <v>1</v>
      </c>
    </row>
    <row r="2806" spans="1:5" x14ac:dyDescent="0.25">
      <c r="A2806" s="7">
        <v>1</v>
      </c>
      <c r="B2806" s="7">
        <v>4063</v>
      </c>
      <c r="C2806" s="7">
        <v>191</v>
      </c>
      <c r="D2806" s="8">
        <v>18263.37</v>
      </c>
      <c r="E2806" s="9">
        <v>1</v>
      </c>
    </row>
    <row r="2807" spans="1:5" x14ac:dyDescent="0.25">
      <c r="A2807" s="7">
        <v>1</v>
      </c>
      <c r="B2807" s="7">
        <v>4066</v>
      </c>
      <c r="C2807" s="7">
        <v>191</v>
      </c>
      <c r="D2807" s="8">
        <v>12388.95</v>
      </c>
      <c r="E2807" s="9">
        <v>1</v>
      </c>
    </row>
    <row r="2808" spans="1:5" x14ac:dyDescent="0.25">
      <c r="A2808" s="7">
        <v>1</v>
      </c>
      <c r="B2808" s="7">
        <v>4067</v>
      </c>
      <c r="C2808" s="7">
        <v>902</v>
      </c>
      <c r="D2808" s="8">
        <v>65863.15</v>
      </c>
      <c r="E2808" s="9">
        <v>1</v>
      </c>
    </row>
    <row r="2809" spans="1:5" x14ac:dyDescent="0.25">
      <c r="A2809" s="7">
        <v>1</v>
      </c>
      <c r="B2809" s="7">
        <v>4069</v>
      </c>
      <c r="C2809" s="7">
        <v>191</v>
      </c>
      <c r="D2809" s="8">
        <v>11929.73</v>
      </c>
      <c r="E2809" s="9">
        <v>1</v>
      </c>
    </row>
    <row r="2810" spans="1:5" x14ac:dyDescent="0.25">
      <c r="A2810" s="7">
        <v>1</v>
      </c>
      <c r="B2810" s="7">
        <v>4070</v>
      </c>
      <c r="C2810" s="7">
        <v>902</v>
      </c>
      <c r="D2810" s="8">
        <v>31696.94</v>
      </c>
      <c r="E2810" s="9">
        <v>1</v>
      </c>
    </row>
    <row r="2811" spans="1:5" x14ac:dyDescent="0.25">
      <c r="A2811" s="7">
        <v>1</v>
      </c>
      <c r="B2811" s="7">
        <v>4071</v>
      </c>
      <c r="C2811" s="7">
        <v>902</v>
      </c>
      <c r="D2811" s="8">
        <v>31696.99</v>
      </c>
      <c r="E2811" s="9">
        <v>1</v>
      </c>
    </row>
    <row r="2812" spans="1:5" x14ac:dyDescent="0.25">
      <c r="A2812" s="7">
        <v>1</v>
      </c>
      <c r="B2812" s="7">
        <v>4075</v>
      </c>
      <c r="C2812" s="7">
        <v>132</v>
      </c>
      <c r="D2812" s="8">
        <v>152.87</v>
      </c>
      <c r="E2812" s="9">
        <v>3</v>
      </c>
    </row>
    <row r="2813" spans="1:5" x14ac:dyDescent="0.25">
      <c r="A2813" s="7">
        <v>1</v>
      </c>
      <c r="B2813" s="7">
        <v>4076</v>
      </c>
      <c r="C2813" s="7">
        <v>132</v>
      </c>
      <c r="D2813" s="8">
        <v>156.65</v>
      </c>
      <c r="E2813" s="9">
        <v>3</v>
      </c>
    </row>
    <row r="2814" spans="1:5" x14ac:dyDescent="0.25">
      <c r="A2814" s="7">
        <v>1</v>
      </c>
      <c r="B2814" s="7">
        <v>4077</v>
      </c>
      <c r="C2814" s="7">
        <v>132</v>
      </c>
      <c r="D2814" s="8">
        <v>92.05</v>
      </c>
      <c r="E2814" s="9">
        <v>3</v>
      </c>
    </row>
    <row r="2815" spans="1:5" x14ac:dyDescent="0.25">
      <c r="A2815" s="7">
        <v>1</v>
      </c>
      <c r="B2815" s="7">
        <v>4081</v>
      </c>
      <c r="C2815" s="7">
        <v>160</v>
      </c>
      <c r="D2815" s="8">
        <v>65632.32</v>
      </c>
      <c r="E2815" s="9">
        <v>1</v>
      </c>
    </row>
    <row r="2816" spans="1:5" x14ac:dyDescent="0.25">
      <c r="A2816" s="7">
        <v>1</v>
      </c>
      <c r="B2816" s="7">
        <v>4082</v>
      </c>
      <c r="C2816" s="7">
        <v>160</v>
      </c>
      <c r="D2816" s="8">
        <v>199145.61</v>
      </c>
      <c r="E2816" s="9">
        <v>1</v>
      </c>
    </row>
    <row r="2817" spans="1:5" x14ac:dyDescent="0.25">
      <c r="A2817" s="7">
        <v>1</v>
      </c>
      <c r="B2817" s="7">
        <v>4083</v>
      </c>
      <c r="C2817" s="7">
        <v>160</v>
      </c>
      <c r="D2817" s="8">
        <v>65632.32</v>
      </c>
      <c r="E2817" s="9">
        <v>1</v>
      </c>
    </row>
    <row r="2818" spans="1:5" x14ac:dyDescent="0.25">
      <c r="A2818" s="7">
        <v>1</v>
      </c>
      <c r="B2818" s="7">
        <v>4084</v>
      </c>
      <c r="C2818" s="7">
        <v>160</v>
      </c>
      <c r="D2818" s="8">
        <v>199145.61</v>
      </c>
      <c r="E2818" s="9">
        <v>1</v>
      </c>
    </row>
    <row r="2819" spans="1:5" x14ac:dyDescent="0.25">
      <c r="A2819" s="7">
        <v>1</v>
      </c>
      <c r="B2819" s="7">
        <v>4087</v>
      </c>
      <c r="C2819" s="7">
        <v>186</v>
      </c>
      <c r="D2819" s="8">
        <v>110835</v>
      </c>
      <c r="E2819" s="9">
        <v>1</v>
      </c>
    </row>
    <row r="2820" spans="1:5" x14ac:dyDescent="0.25">
      <c r="A2820" s="7">
        <v>1</v>
      </c>
      <c r="B2820" s="7">
        <v>4088</v>
      </c>
      <c r="C2820" s="7">
        <v>186</v>
      </c>
      <c r="D2820" s="8">
        <v>1020600</v>
      </c>
      <c r="E2820" s="9">
        <v>1</v>
      </c>
    </row>
    <row r="2821" spans="1:5" x14ac:dyDescent="0.25">
      <c r="A2821" s="7">
        <v>1</v>
      </c>
      <c r="B2821" s="7">
        <v>4089</v>
      </c>
      <c r="C2821" s="7">
        <v>132</v>
      </c>
      <c r="D2821" s="8">
        <v>119.19</v>
      </c>
      <c r="E2821" s="9">
        <v>3</v>
      </c>
    </row>
    <row r="2822" spans="1:5" x14ac:dyDescent="0.25">
      <c r="A2822" s="7">
        <v>1</v>
      </c>
      <c r="B2822" s="7">
        <v>4090</v>
      </c>
      <c r="C2822" s="7">
        <v>139</v>
      </c>
      <c r="D2822" s="8">
        <v>21071.86</v>
      </c>
      <c r="E2822" s="9">
        <v>1</v>
      </c>
    </row>
    <row r="2823" spans="1:5" x14ac:dyDescent="0.25">
      <c r="A2823" s="7">
        <v>1</v>
      </c>
      <c r="B2823" s="7">
        <v>4092</v>
      </c>
      <c r="C2823" s="7">
        <v>139</v>
      </c>
      <c r="D2823" s="8">
        <v>21071.86</v>
      </c>
      <c r="E2823" s="9">
        <v>1</v>
      </c>
    </row>
    <row r="2824" spans="1:5" x14ac:dyDescent="0.25">
      <c r="A2824" s="7">
        <v>1</v>
      </c>
      <c r="B2824" s="7">
        <v>4099</v>
      </c>
      <c r="C2824" s="7">
        <v>902</v>
      </c>
      <c r="D2824" s="8">
        <v>30001.09</v>
      </c>
      <c r="E2824" s="9">
        <v>1</v>
      </c>
    </row>
    <row r="2825" spans="1:5" x14ac:dyDescent="0.25">
      <c r="A2825" s="7">
        <v>1</v>
      </c>
      <c r="B2825" s="7">
        <v>4100</v>
      </c>
      <c r="C2825" s="7">
        <v>902</v>
      </c>
      <c r="D2825" s="8">
        <v>116317.66</v>
      </c>
      <c r="E2825" s="9">
        <v>1</v>
      </c>
    </row>
    <row r="2826" spans="1:5" x14ac:dyDescent="0.25">
      <c r="A2826" s="7">
        <v>1</v>
      </c>
      <c r="B2826" s="7">
        <v>4108</v>
      </c>
      <c r="C2826" s="7">
        <v>153</v>
      </c>
      <c r="D2826" s="8">
        <v>661474.63</v>
      </c>
      <c r="E2826" s="9">
        <v>1</v>
      </c>
    </row>
    <row r="2827" spans="1:5" x14ac:dyDescent="0.25">
      <c r="A2827" s="7">
        <v>1</v>
      </c>
      <c r="B2827" s="7">
        <v>4115</v>
      </c>
      <c r="C2827" s="7">
        <v>162</v>
      </c>
      <c r="D2827" s="8">
        <v>165.9</v>
      </c>
      <c r="E2827" s="9">
        <v>3</v>
      </c>
    </row>
    <row r="2828" spans="1:5" x14ac:dyDescent="0.25">
      <c r="A2828" s="7">
        <v>1</v>
      </c>
      <c r="B2828" s="7">
        <v>4116</v>
      </c>
      <c r="C2828" s="7">
        <v>162</v>
      </c>
      <c r="D2828" s="8">
        <v>132.37</v>
      </c>
      <c r="E2828" s="9">
        <v>3</v>
      </c>
    </row>
    <row r="2829" spans="1:5" x14ac:dyDescent="0.25">
      <c r="A2829" s="7">
        <v>1</v>
      </c>
      <c r="B2829" s="7">
        <v>4117</v>
      </c>
      <c r="C2829" s="7">
        <v>162</v>
      </c>
      <c r="D2829" s="8">
        <v>478.38</v>
      </c>
      <c r="E2829" s="9">
        <v>3</v>
      </c>
    </row>
    <row r="2830" spans="1:5" x14ac:dyDescent="0.25">
      <c r="A2830" s="7">
        <v>1</v>
      </c>
      <c r="B2830" s="7">
        <v>4126</v>
      </c>
      <c r="C2830" s="7">
        <v>167</v>
      </c>
      <c r="D2830" s="8">
        <v>2005.5</v>
      </c>
      <c r="E2830" s="9">
        <v>1</v>
      </c>
    </row>
    <row r="2831" spans="1:5" x14ac:dyDescent="0.25">
      <c r="A2831" s="7">
        <v>1</v>
      </c>
      <c r="B2831" s="7">
        <v>4127</v>
      </c>
      <c r="C2831" s="7">
        <v>167</v>
      </c>
      <c r="D2831" s="8">
        <v>1430.5</v>
      </c>
      <c r="E2831" s="9">
        <v>1</v>
      </c>
    </row>
    <row r="2832" spans="1:5" x14ac:dyDescent="0.25">
      <c r="A2832" s="7">
        <v>1</v>
      </c>
      <c r="B2832" s="7">
        <v>4128</v>
      </c>
      <c r="C2832" s="7">
        <v>167</v>
      </c>
      <c r="D2832" s="8">
        <v>1430.5</v>
      </c>
      <c r="E2832" s="9">
        <v>1</v>
      </c>
    </row>
    <row r="2833" spans="1:5" x14ac:dyDescent="0.25">
      <c r="A2833" s="7">
        <v>1</v>
      </c>
      <c r="B2833" s="7">
        <v>4129</v>
      </c>
      <c r="C2833" s="7">
        <v>167</v>
      </c>
      <c r="D2833" s="8">
        <v>962.24</v>
      </c>
      <c r="E2833" s="9">
        <v>1</v>
      </c>
    </row>
    <row r="2834" spans="1:5" x14ac:dyDescent="0.25">
      <c r="A2834" s="7">
        <v>1</v>
      </c>
      <c r="B2834" s="7">
        <v>4136</v>
      </c>
      <c r="C2834" s="7">
        <v>902</v>
      </c>
      <c r="D2834" s="8">
        <v>1893.21</v>
      </c>
      <c r="E2834" s="9">
        <v>1</v>
      </c>
    </row>
    <row r="2835" spans="1:5" x14ac:dyDescent="0.25">
      <c r="A2835" s="7">
        <v>1</v>
      </c>
      <c r="B2835" s="7">
        <v>4137</v>
      </c>
      <c r="C2835" s="7">
        <v>902</v>
      </c>
      <c r="D2835" s="8">
        <v>2469.89</v>
      </c>
      <c r="E2835" s="9">
        <v>1</v>
      </c>
    </row>
    <row r="2836" spans="1:5" x14ac:dyDescent="0.25">
      <c r="A2836" s="7">
        <v>1</v>
      </c>
      <c r="B2836" s="7">
        <v>4138</v>
      </c>
      <c r="C2836" s="7">
        <v>167</v>
      </c>
      <c r="D2836" s="8">
        <v>2963.92</v>
      </c>
      <c r="E2836" s="9">
        <v>1</v>
      </c>
    </row>
    <row r="2837" spans="1:5" x14ac:dyDescent="0.25">
      <c r="A2837" s="7">
        <v>1</v>
      </c>
      <c r="B2837" s="7">
        <v>4141</v>
      </c>
      <c r="C2837" s="7">
        <v>902</v>
      </c>
      <c r="D2837" s="8">
        <v>5764.48</v>
      </c>
      <c r="E2837" s="9">
        <v>1</v>
      </c>
    </row>
    <row r="2838" spans="1:5" x14ac:dyDescent="0.25">
      <c r="A2838" s="7">
        <v>1</v>
      </c>
      <c r="B2838" s="7">
        <v>4142</v>
      </c>
      <c r="C2838" s="7">
        <v>160</v>
      </c>
      <c r="D2838" s="8">
        <v>5764.48</v>
      </c>
      <c r="E2838" s="9">
        <v>1</v>
      </c>
    </row>
    <row r="2839" spans="1:5" x14ac:dyDescent="0.25">
      <c r="A2839" s="7">
        <v>1</v>
      </c>
      <c r="B2839" s="7">
        <v>4143</v>
      </c>
      <c r="C2839" s="7">
        <v>160</v>
      </c>
      <c r="D2839" s="8">
        <v>5764.48</v>
      </c>
      <c r="E2839" s="9">
        <v>1</v>
      </c>
    </row>
    <row r="2840" spans="1:5" x14ac:dyDescent="0.25">
      <c r="A2840" s="7">
        <v>1</v>
      </c>
      <c r="B2840" s="7">
        <v>4145</v>
      </c>
      <c r="C2840" s="7">
        <v>161</v>
      </c>
      <c r="D2840" s="8">
        <v>424</v>
      </c>
      <c r="E2840" s="9">
        <v>2</v>
      </c>
    </row>
    <row r="2841" spans="1:5" x14ac:dyDescent="0.25">
      <c r="A2841" s="7">
        <v>1</v>
      </c>
      <c r="B2841" s="7">
        <v>4147</v>
      </c>
      <c r="C2841" s="7">
        <v>191</v>
      </c>
      <c r="D2841" s="8">
        <v>319998.32</v>
      </c>
      <c r="E2841" s="9">
        <v>1</v>
      </c>
    </row>
    <row r="2842" spans="1:5" x14ac:dyDescent="0.25">
      <c r="A2842" s="7">
        <v>1</v>
      </c>
      <c r="B2842" s="7">
        <v>4149</v>
      </c>
      <c r="C2842" s="7">
        <v>902</v>
      </c>
      <c r="D2842" s="8">
        <v>10990.87</v>
      </c>
      <c r="E2842" s="9">
        <v>1</v>
      </c>
    </row>
    <row r="2843" spans="1:5" x14ac:dyDescent="0.25">
      <c r="A2843" s="7">
        <v>1</v>
      </c>
      <c r="B2843" s="7">
        <v>4150</v>
      </c>
      <c r="C2843" s="7">
        <v>902</v>
      </c>
      <c r="D2843" s="8">
        <v>56159.97</v>
      </c>
      <c r="E2843" s="9">
        <v>1</v>
      </c>
    </row>
    <row r="2844" spans="1:5" x14ac:dyDescent="0.25">
      <c r="A2844" s="7">
        <v>1</v>
      </c>
      <c r="B2844" s="7">
        <v>4151</v>
      </c>
      <c r="C2844" s="7">
        <v>902</v>
      </c>
      <c r="D2844" s="8">
        <v>115811.6</v>
      </c>
      <c r="E2844" s="9">
        <v>1</v>
      </c>
    </row>
    <row r="2845" spans="1:5" x14ac:dyDescent="0.25">
      <c r="A2845" s="7">
        <v>1</v>
      </c>
      <c r="B2845" s="7">
        <v>4152</v>
      </c>
      <c r="C2845" s="7">
        <v>902</v>
      </c>
      <c r="D2845" s="8">
        <v>193019.97</v>
      </c>
      <c r="E2845" s="9">
        <v>1</v>
      </c>
    </row>
    <row r="2846" spans="1:5" x14ac:dyDescent="0.25">
      <c r="A2846" s="7">
        <v>1</v>
      </c>
      <c r="B2846" s="7">
        <v>4153</v>
      </c>
      <c r="C2846" s="7">
        <v>152</v>
      </c>
      <c r="D2846" s="8">
        <v>17434.49</v>
      </c>
      <c r="E2846" s="9">
        <v>1</v>
      </c>
    </row>
    <row r="2847" spans="1:5" x14ac:dyDescent="0.25">
      <c r="A2847" s="7">
        <v>1</v>
      </c>
      <c r="B2847" s="7">
        <v>4154</v>
      </c>
      <c r="C2847" s="7">
        <v>152</v>
      </c>
      <c r="D2847" s="8">
        <v>63861.96</v>
      </c>
      <c r="E2847" s="9">
        <v>1</v>
      </c>
    </row>
    <row r="2848" spans="1:5" x14ac:dyDescent="0.25">
      <c r="A2848" s="7">
        <v>1</v>
      </c>
      <c r="B2848" s="7">
        <v>4155</v>
      </c>
      <c r="C2848" s="7">
        <v>152</v>
      </c>
      <c r="D2848" s="8">
        <v>258971.03</v>
      </c>
      <c r="E2848" s="9">
        <v>1</v>
      </c>
    </row>
    <row r="2849" spans="1:5" x14ac:dyDescent="0.25">
      <c r="A2849" s="7">
        <v>1</v>
      </c>
      <c r="B2849" s="7">
        <v>4156</v>
      </c>
      <c r="C2849" s="7">
        <v>152</v>
      </c>
      <c r="D2849" s="8">
        <v>17434.49</v>
      </c>
      <c r="E2849" s="9">
        <v>1</v>
      </c>
    </row>
    <row r="2850" spans="1:5" x14ac:dyDescent="0.25">
      <c r="A2850" s="7">
        <v>1</v>
      </c>
      <c r="B2850" s="7">
        <v>4157</v>
      </c>
      <c r="C2850" s="7">
        <v>152</v>
      </c>
      <c r="D2850" s="8">
        <v>63861.96</v>
      </c>
      <c r="E2850" s="9">
        <v>1</v>
      </c>
    </row>
    <row r="2851" spans="1:5" x14ac:dyDescent="0.25">
      <c r="A2851" s="7">
        <v>1</v>
      </c>
      <c r="B2851" s="7">
        <v>4158</v>
      </c>
      <c r="C2851" s="7">
        <v>152</v>
      </c>
      <c r="D2851" s="8">
        <v>258971.03</v>
      </c>
      <c r="E2851" s="9">
        <v>1</v>
      </c>
    </row>
    <row r="2852" spans="1:5" x14ac:dyDescent="0.25">
      <c r="A2852" s="7">
        <v>1</v>
      </c>
      <c r="B2852" s="7">
        <v>4159</v>
      </c>
      <c r="C2852" s="7">
        <v>152</v>
      </c>
      <c r="D2852" s="8">
        <v>13136.21</v>
      </c>
      <c r="E2852" s="9">
        <v>1</v>
      </c>
    </row>
    <row r="2853" spans="1:5" x14ac:dyDescent="0.25">
      <c r="A2853" s="7">
        <v>1</v>
      </c>
      <c r="B2853" s="7">
        <v>4160</v>
      </c>
      <c r="C2853" s="7">
        <v>152</v>
      </c>
      <c r="D2853" s="8">
        <v>46606.45</v>
      </c>
      <c r="E2853" s="9">
        <v>1</v>
      </c>
    </row>
    <row r="2854" spans="1:5" x14ac:dyDescent="0.25">
      <c r="A2854" s="7">
        <v>1</v>
      </c>
      <c r="B2854" s="7">
        <v>4161</v>
      </c>
      <c r="C2854" s="7">
        <v>152</v>
      </c>
      <c r="D2854" s="8">
        <v>183888.47</v>
      </c>
      <c r="E2854" s="9">
        <v>1</v>
      </c>
    </row>
    <row r="2855" spans="1:5" x14ac:dyDescent="0.25">
      <c r="A2855" s="7">
        <v>1</v>
      </c>
      <c r="B2855" s="7">
        <v>4162</v>
      </c>
      <c r="C2855" s="7">
        <v>152</v>
      </c>
      <c r="D2855" s="8">
        <v>13136.21</v>
      </c>
      <c r="E2855" s="9">
        <v>1</v>
      </c>
    </row>
    <row r="2856" spans="1:5" x14ac:dyDescent="0.25">
      <c r="A2856" s="7">
        <v>1</v>
      </c>
      <c r="B2856" s="7">
        <v>4163</v>
      </c>
      <c r="C2856" s="7">
        <v>152</v>
      </c>
      <c r="D2856" s="8">
        <v>46606.45</v>
      </c>
      <c r="E2856" s="9">
        <v>1</v>
      </c>
    </row>
    <row r="2857" spans="1:5" x14ac:dyDescent="0.25">
      <c r="A2857" s="7">
        <v>1</v>
      </c>
      <c r="B2857" s="7">
        <v>4164</v>
      </c>
      <c r="C2857" s="7">
        <v>152</v>
      </c>
      <c r="D2857" s="8">
        <v>183888.47</v>
      </c>
      <c r="E2857" s="9">
        <v>1</v>
      </c>
    </row>
    <row r="2858" spans="1:5" x14ac:dyDescent="0.25">
      <c r="A2858" s="7">
        <v>1</v>
      </c>
      <c r="B2858" s="7">
        <v>4165</v>
      </c>
      <c r="C2858" s="7">
        <v>152</v>
      </c>
      <c r="D2858" s="8">
        <v>13136.21</v>
      </c>
      <c r="E2858" s="9">
        <v>1</v>
      </c>
    </row>
    <row r="2859" spans="1:5" x14ac:dyDescent="0.25">
      <c r="A2859" s="7">
        <v>1</v>
      </c>
      <c r="B2859" s="7">
        <v>4166</v>
      </c>
      <c r="C2859" s="7">
        <v>152</v>
      </c>
      <c r="D2859" s="8">
        <v>46606.45</v>
      </c>
      <c r="E2859" s="9">
        <v>1</v>
      </c>
    </row>
    <row r="2860" spans="1:5" x14ac:dyDescent="0.25">
      <c r="A2860" s="7">
        <v>1</v>
      </c>
      <c r="B2860" s="7">
        <v>4167</v>
      </c>
      <c r="C2860" s="7">
        <v>152</v>
      </c>
      <c r="D2860" s="8">
        <v>183888.47</v>
      </c>
      <c r="E2860" s="9">
        <v>1</v>
      </c>
    </row>
    <row r="2861" spans="1:5" x14ac:dyDescent="0.25">
      <c r="A2861" s="7">
        <v>1</v>
      </c>
      <c r="B2861" s="7">
        <v>4168</v>
      </c>
      <c r="C2861" s="7">
        <v>152</v>
      </c>
      <c r="D2861" s="8">
        <v>11798.81</v>
      </c>
      <c r="E2861" s="9">
        <v>1</v>
      </c>
    </row>
    <row r="2862" spans="1:5" x14ac:dyDescent="0.25">
      <c r="A2862" s="7">
        <v>1</v>
      </c>
      <c r="B2862" s="7">
        <v>4169</v>
      </c>
      <c r="C2862" s="7">
        <v>152</v>
      </c>
      <c r="D2862" s="8">
        <v>41905.67</v>
      </c>
      <c r="E2862" s="9">
        <v>1</v>
      </c>
    </row>
    <row r="2863" spans="1:5" x14ac:dyDescent="0.25">
      <c r="A2863" s="7">
        <v>1</v>
      </c>
      <c r="B2863" s="7">
        <v>4170</v>
      </c>
      <c r="C2863" s="7">
        <v>152</v>
      </c>
      <c r="D2863" s="8">
        <v>171646.92</v>
      </c>
      <c r="E2863" s="9">
        <v>1</v>
      </c>
    </row>
    <row r="2864" spans="1:5" x14ac:dyDescent="0.25">
      <c r="A2864" s="7">
        <v>1</v>
      </c>
      <c r="B2864" s="7">
        <v>4171</v>
      </c>
      <c r="C2864" s="7">
        <v>152</v>
      </c>
      <c r="D2864" s="8">
        <v>11798.81</v>
      </c>
      <c r="E2864" s="9">
        <v>1</v>
      </c>
    </row>
    <row r="2865" spans="1:5" x14ac:dyDescent="0.25">
      <c r="A2865" s="7">
        <v>1</v>
      </c>
      <c r="B2865" s="7">
        <v>4172</v>
      </c>
      <c r="C2865" s="7">
        <v>152</v>
      </c>
      <c r="D2865" s="8">
        <v>41905.67</v>
      </c>
      <c r="E2865" s="9">
        <v>1</v>
      </c>
    </row>
    <row r="2866" spans="1:5" x14ac:dyDescent="0.25">
      <c r="A2866" s="7">
        <v>1</v>
      </c>
      <c r="B2866" s="7">
        <v>4173</v>
      </c>
      <c r="C2866" s="7">
        <v>152</v>
      </c>
      <c r="D2866" s="8">
        <v>171646.92</v>
      </c>
      <c r="E2866" s="9">
        <v>1</v>
      </c>
    </row>
    <row r="2867" spans="1:5" x14ac:dyDescent="0.25">
      <c r="A2867" s="7">
        <v>1</v>
      </c>
      <c r="B2867" s="7">
        <v>4175</v>
      </c>
      <c r="C2867" s="7">
        <v>160</v>
      </c>
      <c r="D2867" s="8">
        <v>20080.92</v>
      </c>
      <c r="E2867" s="9">
        <v>1</v>
      </c>
    </row>
    <row r="2868" spans="1:5" x14ac:dyDescent="0.25">
      <c r="A2868" s="7">
        <v>1</v>
      </c>
      <c r="B2868" s="7">
        <v>4176</v>
      </c>
      <c r="C2868" s="7">
        <v>160</v>
      </c>
      <c r="D2868" s="8">
        <v>20080.92</v>
      </c>
      <c r="E2868" s="9">
        <v>1</v>
      </c>
    </row>
    <row r="2869" spans="1:5" x14ac:dyDescent="0.25">
      <c r="A2869" s="7">
        <v>1</v>
      </c>
      <c r="B2869" s="7">
        <v>4177</v>
      </c>
      <c r="C2869" s="7">
        <v>160</v>
      </c>
      <c r="D2869" s="8">
        <v>20080.92</v>
      </c>
      <c r="E2869" s="9">
        <v>1</v>
      </c>
    </row>
    <row r="2870" spans="1:5" x14ac:dyDescent="0.25">
      <c r="A2870" s="7">
        <v>1</v>
      </c>
      <c r="B2870" s="7">
        <v>4178</v>
      </c>
      <c r="C2870" s="7">
        <v>160</v>
      </c>
      <c r="D2870" s="8">
        <v>20080.92</v>
      </c>
      <c r="E2870" s="9">
        <v>1</v>
      </c>
    </row>
    <row r="2871" spans="1:5" x14ac:dyDescent="0.25">
      <c r="A2871" s="7">
        <v>1</v>
      </c>
      <c r="B2871" s="7">
        <v>4179</v>
      </c>
      <c r="C2871" s="7">
        <v>160</v>
      </c>
      <c r="D2871" s="8">
        <v>20080.92</v>
      </c>
      <c r="E2871" s="9">
        <v>1</v>
      </c>
    </row>
    <row r="2872" spans="1:5" x14ac:dyDescent="0.25">
      <c r="A2872" s="7">
        <v>1</v>
      </c>
      <c r="B2872" s="7">
        <v>4180</v>
      </c>
      <c r="C2872" s="7">
        <v>160</v>
      </c>
      <c r="D2872" s="8">
        <v>20080.92</v>
      </c>
      <c r="E2872" s="9">
        <v>1</v>
      </c>
    </row>
    <row r="2873" spans="1:5" x14ac:dyDescent="0.25">
      <c r="A2873" s="7">
        <v>1</v>
      </c>
      <c r="B2873" s="7">
        <v>4181</v>
      </c>
      <c r="C2873" s="7">
        <v>160</v>
      </c>
      <c r="D2873" s="8">
        <v>16345.87</v>
      </c>
      <c r="E2873" s="9">
        <v>1</v>
      </c>
    </row>
    <row r="2874" spans="1:5" x14ac:dyDescent="0.25">
      <c r="A2874" s="7">
        <v>1</v>
      </c>
      <c r="B2874" s="7">
        <v>4182</v>
      </c>
      <c r="C2874" s="7">
        <v>160</v>
      </c>
      <c r="D2874" s="8">
        <v>20080.92</v>
      </c>
      <c r="E2874" s="9">
        <v>1</v>
      </c>
    </row>
    <row r="2875" spans="1:5" x14ac:dyDescent="0.25">
      <c r="A2875" s="7">
        <v>1</v>
      </c>
      <c r="B2875" s="7">
        <v>4183</v>
      </c>
      <c r="C2875" s="7">
        <v>160</v>
      </c>
      <c r="D2875" s="8">
        <v>20080.92</v>
      </c>
      <c r="E2875" s="9">
        <v>1</v>
      </c>
    </row>
    <row r="2876" spans="1:5" x14ac:dyDescent="0.25">
      <c r="A2876" s="7">
        <v>1</v>
      </c>
      <c r="B2876" s="7">
        <v>4184</v>
      </c>
      <c r="C2876" s="7">
        <v>160</v>
      </c>
      <c r="D2876" s="8">
        <v>20080.92</v>
      </c>
      <c r="E2876" s="9">
        <v>1</v>
      </c>
    </row>
    <row r="2877" spans="1:5" x14ac:dyDescent="0.25">
      <c r="A2877" s="7">
        <v>1</v>
      </c>
      <c r="B2877" s="7">
        <v>4186</v>
      </c>
      <c r="C2877" s="7">
        <v>160</v>
      </c>
      <c r="D2877" s="8">
        <v>20080.92</v>
      </c>
      <c r="E2877" s="9">
        <v>1</v>
      </c>
    </row>
    <row r="2878" spans="1:5" x14ac:dyDescent="0.25">
      <c r="A2878" s="7">
        <v>1</v>
      </c>
      <c r="B2878" s="7">
        <v>4189</v>
      </c>
      <c r="C2878" s="7">
        <v>167</v>
      </c>
      <c r="D2878" s="8">
        <v>337.84</v>
      </c>
      <c r="E2878" s="9">
        <v>1</v>
      </c>
    </row>
    <row r="2879" spans="1:5" x14ac:dyDescent="0.25">
      <c r="A2879" s="7">
        <v>1</v>
      </c>
      <c r="B2879" s="7">
        <v>4190</v>
      </c>
      <c r="C2879" s="7">
        <v>167</v>
      </c>
      <c r="D2879" s="8">
        <v>430.07</v>
      </c>
      <c r="E2879" s="9">
        <v>1</v>
      </c>
    </row>
    <row r="2880" spans="1:5" x14ac:dyDescent="0.25">
      <c r="A2880" s="7">
        <v>1</v>
      </c>
      <c r="B2880" s="7">
        <v>4191</v>
      </c>
      <c r="C2880" s="7">
        <v>167</v>
      </c>
      <c r="D2880" s="8">
        <v>462.24</v>
      </c>
      <c r="E2880" s="9">
        <v>1</v>
      </c>
    </row>
    <row r="2881" spans="1:5" x14ac:dyDescent="0.25">
      <c r="A2881" s="7">
        <v>1</v>
      </c>
      <c r="B2881" s="7">
        <v>4192</v>
      </c>
      <c r="C2881" s="7">
        <v>167</v>
      </c>
      <c r="D2881" s="8">
        <v>9571.93</v>
      </c>
      <c r="E2881" s="9">
        <v>1</v>
      </c>
    </row>
    <row r="2882" spans="1:5" x14ac:dyDescent="0.25">
      <c r="A2882" s="7">
        <v>1</v>
      </c>
      <c r="B2882" s="7">
        <v>4193</v>
      </c>
      <c r="C2882" s="7">
        <v>167</v>
      </c>
      <c r="D2882" s="8">
        <v>2284.92</v>
      </c>
      <c r="E2882" s="9">
        <v>1</v>
      </c>
    </row>
    <row r="2883" spans="1:5" x14ac:dyDescent="0.25">
      <c r="A2883" s="7">
        <v>1</v>
      </c>
      <c r="B2883" s="7">
        <v>4195</v>
      </c>
      <c r="C2883" s="7">
        <v>167</v>
      </c>
      <c r="D2883" s="8">
        <v>7740.11</v>
      </c>
      <c r="E2883" s="9">
        <v>1</v>
      </c>
    </row>
    <row r="2884" spans="1:5" x14ac:dyDescent="0.25">
      <c r="A2884" s="7">
        <v>1</v>
      </c>
      <c r="B2884" s="7">
        <v>4196</v>
      </c>
      <c r="C2884" s="7">
        <v>134</v>
      </c>
      <c r="D2884" s="8">
        <v>85.67</v>
      </c>
      <c r="E2884" s="9">
        <v>3</v>
      </c>
    </row>
    <row r="2885" spans="1:5" x14ac:dyDescent="0.25">
      <c r="A2885" s="7">
        <v>1</v>
      </c>
      <c r="B2885" s="7">
        <v>4197</v>
      </c>
      <c r="C2885" s="7">
        <v>167</v>
      </c>
      <c r="D2885" s="8">
        <v>13354.07</v>
      </c>
      <c r="E2885" s="9">
        <v>1</v>
      </c>
    </row>
    <row r="2886" spans="1:5" x14ac:dyDescent="0.25">
      <c r="A2886" s="7">
        <v>1</v>
      </c>
      <c r="B2886" s="7">
        <v>4198</v>
      </c>
      <c r="C2886" s="7">
        <v>167</v>
      </c>
      <c r="D2886" s="8">
        <v>7087.42</v>
      </c>
      <c r="E2886" s="9">
        <v>1</v>
      </c>
    </row>
    <row r="2887" spans="1:5" x14ac:dyDescent="0.25">
      <c r="A2887" s="7">
        <v>1</v>
      </c>
      <c r="B2887" s="7">
        <v>4199</v>
      </c>
      <c r="C2887" s="7">
        <v>167</v>
      </c>
      <c r="D2887" s="8">
        <v>3261.01</v>
      </c>
      <c r="E2887" s="9">
        <v>1</v>
      </c>
    </row>
    <row r="2888" spans="1:5" x14ac:dyDescent="0.25">
      <c r="A2888" s="7">
        <v>1</v>
      </c>
      <c r="B2888" s="7">
        <v>4210</v>
      </c>
      <c r="C2888" s="7">
        <v>144</v>
      </c>
      <c r="D2888" s="8">
        <v>2802.72</v>
      </c>
      <c r="E2888" s="9">
        <v>1</v>
      </c>
    </row>
    <row r="2889" spans="1:5" x14ac:dyDescent="0.25">
      <c r="A2889" s="7">
        <v>1</v>
      </c>
      <c r="B2889" s="7">
        <v>4211</v>
      </c>
      <c r="C2889" s="7">
        <v>144</v>
      </c>
      <c r="D2889" s="8">
        <v>5271.06</v>
      </c>
      <c r="E2889" s="9">
        <v>1</v>
      </c>
    </row>
    <row r="2890" spans="1:5" x14ac:dyDescent="0.25">
      <c r="A2890" s="7">
        <v>1</v>
      </c>
      <c r="B2890" s="7">
        <v>4212</v>
      </c>
      <c r="C2890" s="7">
        <v>144</v>
      </c>
      <c r="D2890" s="8">
        <v>23974.11</v>
      </c>
      <c r="E2890" s="9">
        <v>1</v>
      </c>
    </row>
    <row r="2891" spans="1:5" x14ac:dyDescent="0.25">
      <c r="A2891" s="7">
        <v>1</v>
      </c>
      <c r="B2891" s="7">
        <v>4213</v>
      </c>
      <c r="C2891" s="7">
        <v>169</v>
      </c>
      <c r="D2891" s="8">
        <v>52.8</v>
      </c>
      <c r="E2891" s="9">
        <v>3</v>
      </c>
    </row>
    <row r="2892" spans="1:5" x14ac:dyDescent="0.25">
      <c r="A2892" s="7">
        <v>1</v>
      </c>
      <c r="B2892" s="7">
        <v>4214</v>
      </c>
      <c r="C2892" s="7">
        <v>169</v>
      </c>
      <c r="D2892" s="8">
        <v>68.15</v>
      </c>
      <c r="E2892" s="9">
        <v>3</v>
      </c>
    </row>
    <row r="2893" spans="1:5" x14ac:dyDescent="0.25">
      <c r="A2893" s="7">
        <v>1</v>
      </c>
      <c r="B2893" s="7">
        <v>4215</v>
      </c>
      <c r="C2893" s="7">
        <v>169</v>
      </c>
      <c r="D2893" s="8">
        <v>68.15</v>
      </c>
      <c r="E2893" s="9">
        <v>3</v>
      </c>
    </row>
    <row r="2894" spans="1:5" x14ac:dyDescent="0.25">
      <c r="A2894" s="7">
        <v>1</v>
      </c>
      <c r="B2894" s="7">
        <v>4216</v>
      </c>
      <c r="C2894" s="7">
        <v>169</v>
      </c>
      <c r="D2894" s="8">
        <v>123.47</v>
      </c>
      <c r="E2894" s="9">
        <v>3</v>
      </c>
    </row>
    <row r="2895" spans="1:5" x14ac:dyDescent="0.25">
      <c r="A2895" s="7">
        <v>1</v>
      </c>
      <c r="B2895" s="7">
        <v>4217</v>
      </c>
      <c r="C2895" s="7">
        <v>169</v>
      </c>
      <c r="D2895" s="8">
        <v>88.33</v>
      </c>
      <c r="E2895" s="9">
        <v>3</v>
      </c>
    </row>
    <row r="2896" spans="1:5" x14ac:dyDescent="0.25">
      <c r="A2896" s="7">
        <v>1</v>
      </c>
      <c r="B2896" s="7">
        <v>4218</v>
      </c>
      <c r="C2896" s="7">
        <v>169</v>
      </c>
      <c r="D2896" s="8">
        <v>113.3</v>
      </c>
      <c r="E2896" s="9">
        <v>3</v>
      </c>
    </row>
    <row r="2897" spans="1:5" x14ac:dyDescent="0.25">
      <c r="A2897" s="7">
        <v>1</v>
      </c>
      <c r="B2897" s="7">
        <v>4219</v>
      </c>
      <c r="C2897" s="7">
        <v>169</v>
      </c>
      <c r="D2897" s="8">
        <v>236.89</v>
      </c>
      <c r="E2897" s="9">
        <v>3</v>
      </c>
    </row>
    <row r="2898" spans="1:5" x14ac:dyDescent="0.25">
      <c r="A2898" s="7">
        <v>1</v>
      </c>
      <c r="B2898" s="7">
        <v>4220</v>
      </c>
      <c r="C2898" s="7">
        <v>169</v>
      </c>
      <c r="D2898" s="8">
        <v>68.15</v>
      </c>
      <c r="E2898" s="9">
        <v>3</v>
      </c>
    </row>
    <row r="2899" spans="1:5" x14ac:dyDescent="0.25">
      <c r="A2899" s="7">
        <v>1</v>
      </c>
      <c r="B2899" s="7">
        <v>4221</v>
      </c>
      <c r="C2899" s="7">
        <v>169</v>
      </c>
      <c r="D2899" s="8">
        <v>68.15</v>
      </c>
      <c r="E2899" s="9">
        <v>3</v>
      </c>
    </row>
    <row r="2900" spans="1:5" x14ac:dyDescent="0.25">
      <c r="A2900" s="7">
        <v>1</v>
      </c>
      <c r="B2900" s="7">
        <v>4223</v>
      </c>
      <c r="C2900" s="7">
        <v>169</v>
      </c>
      <c r="D2900" s="8">
        <v>140.19</v>
      </c>
      <c r="E2900" s="9">
        <v>3</v>
      </c>
    </row>
    <row r="2901" spans="1:5" x14ac:dyDescent="0.25">
      <c r="A2901" s="7">
        <v>1</v>
      </c>
      <c r="B2901" s="7">
        <v>4224</v>
      </c>
      <c r="C2901" s="7">
        <v>169</v>
      </c>
      <c r="D2901" s="8">
        <v>52.8</v>
      </c>
      <c r="E2901" s="9">
        <v>3</v>
      </c>
    </row>
    <row r="2902" spans="1:5" x14ac:dyDescent="0.25">
      <c r="A2902" s="7">
        <v>1</v>
      </c>
      <c r="B2902" s="7">
        <v>4225</v>
      </c>
      <c r="C2902" s="7">
        <v>169</v>
      </c>
      <c r="D2902" s="8">
        <v>113.3</v>
      </c>
      <c r="E2902" s="9">
        <v>3</v>
      </c>
    </row>
    <row r="2903" spans="1:5" x14ac:dyDescent="0.25">
      <c r="A2903" s="7">
        <v>1</v>
      </c>
      <c r="B2903" s="7">
        <v>4226</v>
      </c>
      <c r="C2903" s="7">
        <v>169</v>
      </c>
      <c r="D2903" s="8">
        <v>113.3</v>
      </c>
      <c r="E2903" s="9">
        <v>3</v>
      </c>
    </row>
    <row r="2904" spans="1:5" x14ac:dyDescent="0.25">
      <c r="A2904" s="7">
        <v>1</v>
      </c>
      <c r="B2904" s="7">
        <v>4227</v>
      </c>
      <c r="C2904" s="7">
        <v>169</v>
      </c>
      <c r="D2904" s="8">
        <v>88.33</v>
      </c>
      <c r="E2904" s="9">
        <v>3</v>
      </c>
    </row>
    <row r="2905" spans="1:5" x14ac:dyDescent="0.25">
      <c r="A2905" s="7">
        <v>1</v>
      </c>
      <c r="B2905" s="7">
        <v>4228</v>
      </c>
      <c r="C2905" s="7">
        <v>169</v>
      </c>
      <c r="D2905" s="8">
        <v>67.98</v>
      </c>
      <c r="E2905" s="9">
        <v>3</v>
      </c>
    </row>
    <row r="2906" spans="1:5" x14ac:dyDescent="0.25">
      <c r="A2906" s="7">
        <v>1</v>
      </c>
      <c r="B2906" s="7">
        <v>4229</v>
      </c>
      <c r="C2906" s="7">
        <v>169</v>
      </c>
      <c r="D2906" s="8">
        <v>52.8</v>
      </c>
      <c r="E2906" s="9">
        <v>3</v>
      </c>
    </row>
    <row r="2907" spans="1:5" x14ac:dyDescent="0.25">
      <c r="A2907" s="7">
        <v>1</v>
      </c>
      <c r="B2907" s="7">
        <v>4230</v>
      </c>
      <c r="C2907" s="7">
        <v>169</v>
      </c>
      <c r="D2907" s="8">
        <v>137.31</v>
      </c>
      <c r="E2907" s="9">
        <v>3</v>
      </c>
    </row>
    <row r="2908" spans="1:5" x14ac:dyDescent="0.25">
      <c r="A2908" s="7">
        <v>1</v>
      </c>
      <c r="B2908" s="7">
        <v>4231</v>
      </c>
      <c r="C2908" s="7">
        <v>169</v>
      </c>
      <c r="D2908" s="8">
        <v>136.03</v>
      </c>
      <c r="E2908" s="9">
        <v>3</v>
      </c>
    </row>
    <row r="2909" spans="1:5" x14ac:dyDescent="0.25">
      <c r="A2909" s="7">
        <v>1</v>
      </c>
      <c r="B2909" s="7">
        <v>4232</v>
      </c>
      <c r="C2909" s="7">
        <v>169</v>
      </c>
      <c r="D2909" s="8">
        <v>100.96</v>
      </c>
      <c r="E2909" s="9">
        <v>3</v>
      </c>
    </row>
    <row r="2910" spans="1:5" x14ac:dyDescent="0.25">
      <c r="A2910" s="7">
        <v>1</v>
      </c>
      <c r="B2910" s="7">
        <v>4233</v>
      </c>
      <c r="C2910" s="7">
        <v>169</v>
      </c>
      <c r="D2910" s="8">
        <v>68.15</v>
      </c>
      <c r="E2910" s="9">
        <v>3</v>
      </c>
    </row>
    <row r="2911" spans="1:5" x14ac:dyDescent="0.25">
      <c r="A2911" s="7">
        <v>1</v>
      </c>
      <c r="B2911" s="7">
        <v>4234</v>
      </c>
      <c r="C2911" s="7">
        <v>169</v>
      </c>
      <c r="D2911" s="8">
        <v>68.15</v>
      </c>
      <c r="E2911" s="9">
        <v>3</v>
      </c>
    </row>
    <row r="2912" spans="1:5" x14ac:dyDescent="0.25">
      <c r="A2912" s="7">
        <v>1</v>
      </c>
      <c r="B2912" s="7">
        <v>4235</v>
      </c>
      <c r="C2912" s="7">
        <v>169</v>
      </c>
      <c r="D2912" s="8">
        <v>137.31</v>
      </c>
      <c r="E2912" s="9">
        <v>3</v>
      </c>
    </row>
    <row r="2913" spans="1:5" x14ac:dyDescent="0.25">
      <c r="A2913" s="7">
        <v>1</v>
      </c>
      <c r="B2913" s="7">
        <v>4236</v>
      </c>
      <c r="C2913" s="7">
        <v>169</v>
      </c>
      <c r="D2913" s="8">
        <v>137.17</v>
      </c>
      <c r="E2913" s="9">
        <v>3</v>
      </c>
    </row>
    <row r="2914" spans="1:5" x14ac:dyDescent="0.25">
      <c r="A2914" s="7">
        <v>1</v>
      </c>
      <c r="B2914" s="7">
        <v>4237</v>
      </c>
      <c r="C2914" s="7">
        <v>169</v>
      </c>
      <c r="D2914" s="8">
        <v>52.8</v>
      </c>
      <c r="E2914" s="9">
        <v>3</v>
      </c>
    </row>
    <row r="2915" spans="1:5" x14ac:dyDescent="0.25">
      <c r="A2915" s="7">
        <v>1</v>
      </c>
      <c r="B2915" s="7">
        <v>4238</v>
      </c>
      <c r="C2915" s="7">
        <v>169</v>
      </c>
      <c r="D2915" s="8">
        <v>68.15</v>
      </c>
      <c r="E2915" s="9">
        <v>3</v>
      </c>
    </row>
    <row r="2916" spans="1:5" x14ac:dyDescent="0.25">
      <c r="A2916" s="7">
        <v>1</v>
      </c>
      <c r="B2916" s="7">
        <v>4239</v>
      </c>
      <c r="C2916" s="7">
        <v>169</v>
      </c>
      <c r="D2916" s="8">
        <v>113.3</v>
      </c>
      <c r="E2916" s="9">
        <v>3</v>
      </c>
    </row>
    <row r="2917" spans="1:5" x14ac:dyDescent="0.25">
      <c r="A2917" s="7">
        <v>1</v>
      </c>
      <c r="B2917" s="7">
        <v>4240</v>
      </c>
      <c r="C2917" s="7">
        <v>169</v>
      </c>
      <c r="D2917" s="8">
        <v>137.31</v>
      </c>
      <c r="E2917" s="9">
        <v>3</v>
      </c>
    </row>
    <row r="2918" spans="1:5" x14ac:dyDescent="0.25">
      <c r="A2918" s="7">
        <v>1</v>
      </c>
      <c r="B2918" s="7">
        <v>4241</v>
      </c>
      <c r="C2918" s="7">
        <v>169</v>
      </c>
      <c r="D2918" s="8">
        <v>113.3</v>
      </c>
      <c r="E2918" s="9">
        <v>3</v>
      </c>
    </row>
    <row r="2919" spans="1:5" x14ac:dyDescent="0.25">
      <c r="A2919" s="7">
        <v>1</v>
      </c>
      <c r="B2919" s="7">
        <v>4242</v>
      </c>
      <c r="C2919" s="7">
        <v>169</v>
      </c>
      <c r="D2919" s="8">
        <v>52.8</v>
      </c>
      <c r="E2919" s="9">
        <v>3</v>
      </c>
    </row>
    <row r="2920" spans="1:5" x14ac:dyDescent="0.25">
      <c r="A2920" s="7">
        <v>1</v>
      </c>
      <c r="B2920" s="7">
        <v>4243</v>
      </c>
      <c r="C2920" s="7">
        <v>169</v>
      </c>
      <c r="D2920" s="8">
        <v>68.17</v>
      </c>
      <c r="E2920" s="9">
        <v>3</v>
      </c>
    </row>
    <row r="2921" spans="1:5" x14ac:dyDescent="0.25">
      <c r="A2921" s="7">
        <v>1</v>
      </c>
      <c r="B2921" s="7">
        <v>4244</v>
      </c>
      <c r="C2921" s="7">
        <v>169</v>
      </c>
      <c r="D2921" s="8">
        <v>137.31</v>
      </c>
      <c r="E2921" s="9">
        <v>3</v>
      </c>
    </row>
    <row r="2922" spans="1:5" x14ac:dyDescent="0.25">
      <c r="A2922" s="7">
        <v>1</v>
      </c>
      <c r="B2922" s="7">
        <v>4245</v>
      </c>
      <c r="C2922" s="7">
        <v>169</v>
      </c>
      <c r="D2922" s="8">
        <v>214.41</v>
      </c>
      <c r="E2922" s="9">
        <v>3</v>
      </c>
    </row>
    <row r="2923" spans="1:5" x14ac:dyDescent="0.25">
      <c r="A2923" s="7">
        <v>1</v>
      </c>
      <c r="B2923" s="7">
        <v>4246</v>
      </c>
      <c r="C2923" s="7">
        <v>169</v>
      </c>
      <c r="D2923" s="8">
        <v>212.5</v>
      </c>
      <c r="E2923" s="9">
        <v>3</v>
      </c>
    </row>
    <row r="2924" spans="1:5" x14ac:dyDescent="0.25">
      <c r="A2924" s="7">
        <v>1</v>
      </c>
      <c r="B2924" s="7">
        <v>4247</v>
      </c>
      <c r="C2924" s="7">
        <v>169</v>
      </c>
      <c r="D2924" s="8">
        <v>192.8</v>
      </c>
      <c r="E2924" s="9">
        <v>3</v>
      </c>
    </row>
    <row r="2925" spans="1:5" x14ac:dyDescent="0.25">
      <c r="A2925" s="7">
        <v>1</v>
      </c>
      <c r="B2925" s="7">
        <v>4248</v>
      </c>
      <c r="C2925" s="7">
        <v>169</v>
      </c>
      <c r="D2925" s="8">
        <v>137.31</v>
      </c>
      <c r="E2925" s="9">
        <v>3</v>
      </c>
    </row>
    <row r="2926" spans="1:5" x14ac:dyDescent="0.25">
      <c r="A2926" s="7">
        <v>1</v>
      </c>
      <c r="B2926" s="7">
        <v>4249</v>
      </c>
      <c r="C2926" s="7">
        <v>169</v>
      </c>
      <c r="D2926" s="8">
        <v>214.41</v>
      </c>
      <c r="E2926" s="9">
        <v>3</v>
      </c>
    </row>
    <row r="2927" spans="1:5" x14ac:dyDescent="0.25">
      <c r="A2927" s="7">
        <v>1</v>
      </c>
      <c r="B2927" s="7">
        <v>4251</v>
      </c>
      <c r="C2927" s="7">
        <v>153</v>
      </c>
      <c r="D2927" s="8">
        <v>896942.91</v>
      </c>
      <c r="E2927" s="9">
        <v>1</v>
      </c>
    </row>
    <row r="2928" spans="1:5" x14ac:dyDescent="0.25">
      <c r="A2928" s="7">
        <v>1</v>
      </c>
      <c r="B2928" s="7">
        <v>4252</v>
      </c>
      <c r="C2928" s="7">
        <v>167</v>
      </c>
      <c r="D2928" s="8">
        <v>2608.83</v>
      </c>
      <c r="E2928" s="9">
        <v>1</v>
      </c>
    </row>
    <row r="2929" spans="1:5" x14ac:dyDescent="0.25">
      <c r="A2929" s="7">
        <v>1</v>
      </c>
      <c r="B2929" s="7">
        <v>4253</v>
      </c>
      <c r="C2929" s="7">
        <v>167</v>
      </c>
      <c r="D2929" s="8">
        <v>2608.83</v>
      </c>
      <c r="E2929" s="9">
        <v>1</v>
      </c>
    </row>
    <row r="2930" spans="1:5" x14ac:dyDescent="0.25">
      <c r="A2930" s="7">
        <v>1</v>
      </c>
      <c r="B2930" s="7">
        <v>4254</v>
      </c>
      <c r="C2930" s="7">
        <v>167</v>
      </c>
      <c r="D2930" s="8">
        <v>2608.83</v>
      </c>
      <c r="E2930" s="9">
        <v>1</v>
      </c>
    </row>
    <row r="2931" spans="1:5" x14ac:dyDescent="0.25">
      <c r="A2931" s="7">
        <v>1</v>
      </c>
      <c r="B2931" s="7">
        <v>4255</v>
      </c>
      <c r="C2931" s="7">
        <v>167</v>
      </c>
      <c r="D2931" s="8">
        <v>2608.83</v>
      </c>
      <c r="E2931" s="9">
        <v>1</v>
      </c>
    </row>
    <row r="2932" spans="1:5" x14ac:dyDescent="0.25">
      <c r="A2932" s="7">
        <v>1</v>
      </c>
      <c r="B2932" s="7">
        <v>4256</v>
      </c>
      <c r="C2932" s="7">
        <v>167</v>
      </c>
      <c r="D2932" s="8">
        <v>2608.83</v>
      </c>
      <c r="E2932" s="9">
        <v>1</v>
      </c>
    </row>
    <row r="2933" spans="1:5" x14ac:dyDescent="0.25">
      <c r="A2933" s="7">
        <v>1</v>
      </c>
      <c r="B2933" s="7">
        <v>4257</v>
      </c>
      <c r="C2933" s="7">
        <v>167</v>
      </c>
      <c r="D2933" s="8">
        <v>2608.83</v>
      </c>
      <c r="E2933" s="9">
        <v>1</v>
      </c>
    </row>
    <row r="2934" spans="1:5" x14ac:dyDescent="0.25">
      <c r="A2934" s="7">
        <v>1</v>
      </c>
      <c r="B2934" s="7">
        <v>4258</v>
      </c>
      <c r="C2934" s="7">
        <v>167</v>
      </c>
      <c r="D2934" s="8">
        <v>2608.85</v>
      </c>
      <c r="E2934" s="9">
        <v>1</v>
      </c>
    </row>
    <row r="2935" spans="1:5" x14ac:dyDescent="0.25">
      <c r="A2935" s="7">
        <v>1</v>
      </c>
      <c r="B2935" s="7">
        <v>4259</v>
      </c>
      <c r="C2935" s="7">
        <v>167</v>
      </c>
      <c r="D2935" s="8">
        <v>2608.85</v>
      </c>
      <c r="E2935" s="9">
        <v>1</v>
      </c>
    </row>
    <row r="2936" spans="1:5" x14ac:dyDescent="0.25">
      <c r="A2936" s="7">
        <v>1</v>
      </c>
      <c r="B2936" s="7">
        <v>4260</v>
      </c>
      <c r="C2936" s="7">
        <v>167</v>
      </c>
      <c r="D2936" s="8">
        <v>2608.83</v>
      </c>
      <c r="E2936" s="9">
        <v>1</v>
      </c>
    </row>
    <row r="2937" spans="1:5" x14ac:dyDescent="0.25">
      <c r="A2937" s="7">
        <v>1</v>
      </c>
      <c r="B2937" s="7">
        <v>4261</v>
      </c>
      <c r="C2937" s="7">
        <v>167</v>
      </c>
      <c r="D2937" s="8">
        <v>2608.83</v>
      </c>
      <c r="E2937" s="9">
        <v>1</v>
      </c>
    </row>
    <row r="2938" spans="1:5" x14ac:dyDescent="0.25">
      <c r="A2938" s="7">
        <v>1</v>
      </c>
      <c r="B2938" s="7">
        <v>4264</v>
      </c>
      <c r="C2938" s="7">
        <v>169</v>
      </c>
      <c r="D2938" s="8">
        <v>113.3</v>
      </c>
      <c r="E2938" s="9">
        <v>3</v>
      </c>
    </row>
    <row r="2939" spans="1:5" x14ac:dyDescent="0.25">
      <c r="A2939" s="7">
        <v>1</v>
      </c>
      <c r="B2939" s="7">
        <v>4265</v>
      </c>
      <c r="C2939" s="7">
        <v>134</v>
      </c>
      <c r="D2939" s="8">
        <v>77.63</v>
      </c>
      <c r="E2939" s="9">
        <v>3</v>
      </c>
    </row>
    <row r="2940" spans="1:5" x14ac:dyDescent="0.25">
      <c r="A2940" s="7">
        <v>1</v>
      </c>
      <c r="B2940" s="7">
        <v>4267</v>
      </c>
      <c r="C2940" s="7">
        <v>169</v>
      </c>
      <c r="D2940" s="8">
        <v>137.31</v>
      </c>
      <c r="E2940" s="9">
        <v>3</v>
      </c>
    </row>
    <row r="2941" spans="1:5" x14ac:dyDescent="0.25">
      <c r="A2941" s="7">
        <v>1</v>
      </c>
      <c r="B2941" s="7">
        <v>4268</v>
      </c>
      <c r="C2941" s="7">
        <v>169</v>
      </c>
      <c r="D2941" s="8">
        <v>88.33</v>
      </c>
      <c r="E2941" s="9">
        <v>3</v>
      </c>
    </row>
    <row r="2942" spans="1:5" x14ac:dyDescent="0.25">
      <c r="A2942" s="7">
        <v>1</v>
      </c>
      <c r="B2942" s="7">
        <v>4269</v>
      </c>
      <c r="C2942" s="7">
        <v>169</v>
      </c>
      <c r="D2942" s="8">
        <v>242.84</v>
      </c>
      <c r="E2942" s="9">
        <v>3</v>
      </c>
    </row>
    <row r="2943" spans="1:5" x14ac:dyDescent="0.25">
      <c r="A2943" s="7">
        <v>1</v>
      </c>
      <c r="B2943" s="7">
        <v>4270</v>
      </c>
      <c r="C2943" s="7">
        <v>169</v>
      </c>
      <c r="D2943" s="8">
        <v>224.87</v>
      </c>
      <c r="E2943" s="9">
        <v>3</v>
      </c>
    </row>
    <row r="2944" spans="1:5" x14ac:dyDescent="0.25">
      <c r="A2944" s="7">
        <v>1</v>
      </c>
      <c r="B2944" s="7">
        <v>4271</v>
      </c>
      <c r="C2944" s="7">
        <v>169</v>
      </c>
      <c r="D2944" s="8">
        <v>242.84</v>
      </c>
      <c r="E2944" s="9">
        <v>3</v>
      </c>
    </row>
    <row r="2945" spans="1:5" x14ac:dyDescent="0.25">
      <c r="A2945" s="7">
        <v>1</v>
      </c>
      <c r="B2945" s="7">
        <v>4272</v>
      </c>
      <c r="C2945" s="7">
        <v>169</v>
      </c>
      <c r="D2945" s="8">
        <v>242.84</v>
      </c>
      <c r="E2945" s="9">
        <v>3</v>
      </c>
    </row>
    <row r="2946" spans="1:5" x14ac:dyDescent="0.25">
      <c r="A2946" s="7">
        <v>1</v>
      </c>
      <c r="B2946" s="7">
        <v>4273</v>
      </c>
      <c r="C2946" s="7">
        <v>169</v>
      </c>
      <c r="D2946" s="8">
        <v>133.21</v>
      </c>
      <c r="E2946" s="9">
        <v>3</v>
      </c>
    </row>
    <row r="2947" spans="1:5" x14ac:dyDescent="0.25">
      <c r="A2947" s="7">
        <v>1</v>
      </c>
      <c r="B2947" s="7">
        <v>4274</v>
      </c>
      <c r="C2947" s="7">
        <v>169</v>
      </c>
      <c r="D2947" s="8">
        <v>133.21</v>
      </c>
      <c r="E2947" s="9">
        <v>3</v>
      </c>
    </row>
    <row r="2948" spans="1:5" x14ac:dyDescent="0.25">
      <c r="A2948" s="7">
        <v>1</v>
      </c>
      <c r="B2948" s="7">
        <v>4275</v>
      </c>
      <c r="C2948" s="7">
        <v>169</v>
      </c>
      <c r="D2948" s="8">
        <v>256.67</v>
      </c>
      <c r="E2948" s="9">
        <v>3</v>
      </c>
    </row>
    <row r="2949" spans="1:5" x14ac:dyDescent="0.25">
      <c r="A2949" s="7">
        <v>1</v>
      </c>
      <c r="B2949" s="7">
        <v>4276</v>
      </c>
      <c r="C2949" s="7">
        <v>169</v>
      </c>
      <c r="D2949" s="8">
        <v>135.44</v>
      </c>
      <c r="E2949" s="9">
        <v>3</v>
      </c>
    </row>
    <row r="2950" spans="1:5" x14ac:dyDescent="0.25">
      <c r="A2950" s="7">
        <v>1</v>
      </c>
      <c r="B2950" s="7">
        <v>4277</v>
      </c>
      <c r="C2950" s="7">
        <v>169</v>
      </c>
      <c r="D2950" s="8">
        <v>133.28</v>
      </c>
      <c r="E2950" s="9">
        <v>3</v>
      </c>
    </row>
    <row r="2951" spans="1:5" x14ac:dyDescent="0.25">
      <c r="A2951" s="7">
        <v>1</v>
      </c>
      <c r="B2951" s="7">
        <v>4278</v>
      </c>
      <c r="C2951" s="7">
        <v>169</v>
      </c>
      <c r="D2951" s="8">
        <v>197.84</v>
      </c>
      <c r="E2951" s="9">
        <v>3</v>
      </c>
    </row>
    <row r="2952" spans="1:5" x14ac:dyDescent="0.25">
      <c r="A2952" s="7">
        <v>1</v>
      </c>
      <c r="B2952" s="7">
        <v>4279</v>
      </c>
      <c r="C2952" s="7">
        <v>169</v>
      </c>
      <c r="D2952" s="8">
        <v>52.8</v>
      </c>
      <c r="E2952" s="9">
        <v>3</v>
      </c>
    </row>
    <row r="2953" spans="1:5" x14ac:dyDescent="0.25">
      <c r="A2953" s="7">
        <v>1</v>
      </c>
      <c r="B2953" s="7">
        <v>4280</v>
      </c>
      <c r="C2953" s="7">
        <v>169</v>
      </c>
      <c r="D2953" s="8">
        <v>68.15</v>
      </c>
      <c r="E2953" s="9">
        <v>3</v>
      </c>
    </row>
    <row r="2954" spans="1:5" x14ac:dyDescent="0.25">
      <c r="A2954" s="7">
        <v>1</v>
      </c>
      <c r="B2954" s="7">
        <v>4281</v>
      </c>
      <c r="C2954" s="7">
        <v>169</v>
      </c>
      <c r="D2954" s="8">
        <v>197.84</v>
      </c>
      <c r="E2954" s="9">
        <v>3</v>
      </c>
    </row>
    <row r="2955" spans="1:5" x14ac:dyDescent="0.25">
      <c r="A2955" s="7">
        <v>1</v>
      </c>
      <c r="B2955" s="7">
        <v>4282</v>
      </c>
      <c r="C2955" s="7">
        <v>169</v>
      </c>
      <c r="D2955" s="8">
        <v>88.33</v>
      </c>
      <c r="E2955" s="9">
        <v>3</v>
      </c>
    </row>
    <row r="2956" spans="1:5" x14ac:dyDescent="0.25">
      <c r="A2956" s="7">
        <v>1</v>
      </c>
      <c r="B2956" s="7">
        <v>4283</v>
      </c>
      <c r="C2956" s="7">
        <v>169</v>
      </c>
      <c r="D2956" s="8">
        <v>52.8</v>
      </c>
      <c r="E2956" s="9">
        <v>3</v>
      </c>
    </row>
    <row r="2957" spans="1:5" x14ac:dyDescent="0.25">
      <c r="A2957" s="7">
        <v>1</v>
      </c>
      <c r="B2957" s="7">
        <v>4284</v>
      </c>
      <c r="C2957" s="7">
        <v>169</v>
      </c>
      <c r="D2957" s="8">
        <v>172.47</v>
      </c>
      <c r="E2957" s="9">
        <v>3</v>
      </c>
    </row>
    <row r="2958" spans="1:5" x14ac:dyDescent="0.25">
      <c r="A2958" s="7">
        <v>1</v>
      </c>
      <c r="B2958" s="7">
        <v>4285</v>
      </c>
      <c r="C2958" s="7">
        <v>169</v>
      </c>
      <c r="D2958" s="8">
        <v>52.8</v>
      </c>
      <c r="E2958" s="9">
        <v>3</v>
      </c>
    </row>
    <row r="2959" spans="1:5" x14ac:dyDescent="0.25">
      <c r="A2959" s="7">
        <v>1</v>
      </c>
      <c r="B2959" s="7">
        <v>4286</v>
      </c>
      <c r="C2959" s="7">
        <v>169</v>
      </c>
      <c r="D2959" s="8">
        <v>52.8</v>
      </c>
      <c r="E2959" s="9">
        <v>3</v>
      </c>
    </row>
    <row r="2960" spans="1:5" x14ac:dyDescent="0.25">
      <c r="A2960" s="7">
        <v>1</v>
      </c>
      <c r="B2960" s="7">
        <v>4287</v>
      </c>
      <c r="C2960" s="7">
        <v>169</v>
      </c>
      <c r="D2960" s="8">
        <v>68.15</v>
      </c>
      <c r="E2960" s="9">
        <v>3</v>
      </c>
    </row>
    <row r="2961" spans="1:5" x14ac:dyDescent="0.25">
      <c r="A2961" s="7">
        <v>1</v>
      </c>
      <c r="B2961" s="7">
        <v>4288</v>
      </c>
      <c r="C2961" s="7">
        <v>169</v>
      </c>
      <c r="D2961" s="8">
        <v>113.3</v>
      </c>
      <c r="E2961" s="9">
        <v>3</v>
      </c>
    </row>
    <row r="2962" spans="1:5" x14ac:dyDescent="0.25">
      <c r="A2962" s="7">
        <v>1</v>
      </c>
      <c r="B2962" s="7">
        <v>4289</v>
      </c>
      <c r="C2962" s="7">
        <v>169</v>
      </c>
      <c r="D2962" s="8">
        <v>77.44</v>
      </c>
      <c r="E2962" s="9">
        <v>3</v>
      </c>
    </row>
    <row r="2963" spans="1:5" x14ac:dyDescent="0.25">
      <c r="A2963" s="7">
        <v>1</v>
      </c>
      <c r="B2963" s="7">
        <v>4290</v>
      </c>
      <c r="C2963" s="7">
        <v>169</v>
      </c>
      <c r="D2963" s="8">
        <v>113.3</v>
      </c>
      <c r="E2963" s="9">
        <v>3</v>
      </c>
    </row>
    <row r="2964" spans="1:5" x14ac:dyDescent="0.25">
      <c r="A2964" s="7">
        <v>1</v>
      </c>
      <c r="B2964" s="7">
        <v>4291</v>
      </c>
      <c r="C2964" s="7">
        <v>169</v>
      </c>
      <c r="D2964" s="8">
        <v>137.31</v>
      </c>
      <c r="E2964" s="9">
        <v>3</v>
      </c>
    </row>
    <row r="2965" spans="1:5" x14ac:dyDescent="0.25">
      <c r="A2965" s="7">
        <v>1</v>
      </c>
      <c r="B2965" s="7">
        <v>4292</v>
      </c>
      <c r="C2965" s="7">
        <v>169</v>
      </c>
      <c r="D2965" s="8">
        <v>69.12</v>
      </c>
      <c r="E2965" s="9">
        <v>3</v>
      </c>
    </row>
    <row r="2966" spans="1:5" x14ac:dyDescent="0.25">
      <c r="A2966" s="7">
        <v>1</v>
      </c>
      <c r="B2966" s="7">
        <v>4293</v>
      </c>
      <c r="C2966" s="7">
        <v>169</v>
      </c>
      <c r="D2966" s="8">
        <v>52.8</v>
      </c>
      <c r="E2966" s="9">
        <v>3</v>
      </c>
    </row>
    <row r="2967" spans="1:5" x14ac:dyDescent="0.25">
      <c r="A2967" s="7">
        <v>1</v>
      </c>
      <c r="B2967" s="7">
        <v>4294</v>
      </c>
      <c r="C2967" s="7">
        <v>169</v>
      </c>
      <c r="D2967" s="8">
        <v>88.33</v>
      </c>
      <c r="E2967" s="9">
        <v>3</v>
      </c>
    </row>
    <row r="2968" spans="1:5" x14ac:dyDescent="0.25">
      <c r="A2968" s="7">
        <v>1</v>
      </c>
      <c r="B2968" s="7">
        <v>4295</v>
      </c>
      <c r="C2968" s="7">
        <v>169</v>
      </c>
      <c r="D2968" s="8">
        <v>88.33</v>
      </c>
      <c r="E2968" s="9">
        <v>3</v>
      </c>
    </row>
    <row r="2969" spans="1:5" x14ac:dyDescent="0.25">
      <c r="A2969" s="7">
        <v>1</v>
      </c>
      <c r="B2969" s="7">
        <v>4296</v>
      </c>
      <c r="C2969" s="7">
        <v>169</v>
      </c>
      <c r="D2969" s="8">
        <v>113.3</v>
      </c>
      <c r="E2969" s="9">
        <v>3</v>
      </c>
    </row>
    <row r="2970" spans="1:5" x14ac:dyDescent="0.25">
      <c r="A2970" s="7">
        <v>1</v>
      </c>
      <c r="B2970" s="7">
        <v>4297</v>
      </c>
      <c r="C2970" s="7">
        <v>169</v>
      </c>
      <c r="D2970" s="8">
        <v>68.15</v>
      </c>
      <c r="E2970" s="9">
        <v>3</v>
      </c>
    </row>
    <row r="2971" spans="1:5" x14ac:dyDescent="0.25">
      <c r="A2971" s="7">
        <v>1</v>
      </c>
      <c r="B2971" s="7">
        <v>4298</v>
      </c>
      <c r="C2971" s="7">
        <v>169</v>
      </c>
      <c r="D2971" s="8">
        <v>68.15</v>
      </c>
      <c r="E2971" s="9">
        <v>3</v>
      </c>
    </row>
    <row r="2972" spans="1:5" x14ac:dyDescent="0.25">
      <c r="A2972" s="7">
        <v>1</v>
      </c>
      <c r="B2972" s="7">
        <v>4299</v>
      </c>
      <c r="C2972" s="7">
        <v>169</v>
      </c>
      <c r="D2972" s="8">
        <v>137.31</v>
      </c>
      <c r="E2972" s="9">
        <v>3</v>
      </c>
    </row>
    <row r="2973" spans="1:5" x14ac:dyDescent="0.25">
      <c r="A2973" s="7">
        <v>1</v>
      </c>
      <c r="B2973" s="7">
        <v>4300</v>
      </c>
      <c r="C2973" s="7">
        <v>119</v>
      </c>
      <c r="D2973" s="8">
        <v>4481.29</v>
      </c>
      <c r="E2973" s="9">
        <v>1</v>
      </c>
    </row>
    <row r="2974" spans="1:5" x14ac:dyDescent="0.25">
      <c r="A2974" s="7">
        <v>1</v>
      </c>
      <c r="B2974" s="7">
        <v>4301</v>
      </c>
      <c r="C2974" s="7">
        <v>169</v>
      </c>
      <c r="D2974" s="8">
        <v>68.17</v>
      </c>
      <c r="E2974" s="9">
        <v>3</v>
      </c>
    </row>
    <row r="2975" spans="1:5" x14ac:dyDescent="0.25">
      <c r="A2975" s="7">
        <v>1</v>
      </c>
      <c r="B2975" s="7">
        <v>4302</v>
      </c>
      <c r="C2975" s="7">
        <v>169</v>
      </c>
      <c r="D2975" s="8">
        <v>68.15</v>
      </c>
      <c r="E2975" s="9">
        <v>3</v>
      </c>
    </row>
    <row r="2976" spans="1:5" x14ac:dyDescent="0.25">
      <c r="A2976" s="7">
        <v>1</v>
      </c>
      <c r="B2976" s="7">
        <v>4303</v>
      </c>
      <c r="C2976" s="7">
        <v>169</v>
      </c>
      <c r="D2976" s="8">
        <v>68.15</v>
      </c>
      <c r="E2976" s="9">
        <v>3</v>
      </c>
    </row>
    <row r="2977" spans="1:5" x14ac:dyDescent="0.25">
      <c r="A2977" s="7">
        <v>1</v>
      </c>
      <c r="B2977" s="7">
        <v>4304</v>
      </c>
      <c r="C2977" s="7">
        <v>169</v>
      </c>
      <c r="D2977" s="8">
        <v>68.15</v>
      </c>
      <c r="E2977" s="9">
        <v>3</v>
      </c>
    </row>
    <row r="2978" spans="1:5" x14ac:dyDescent="0.25">
      <c r="A2978" s="7">
        <v>1</v>
      </c>
      <c r="B2978" s="7">
        <v>4305</v>
      </c>
      <c r="C2978" s="7">
        <v>169</v>
      </c>
      <c r="D2978" s="8">
        <v>229.15</v>
      </c>
      <c r="E2978" s="9">
        <v>3</v>
      </c>
    </row>
    <row r="2979" spans="1:5" x14ac:dyDescent="0.25">
      <c r="A2979" s="7">
        <v>1</v>
      </c>
      <c r="B2979" s="7">
        <v>4306</v>
      </c>
      <c r="C2979" s="7">
        <v>169</v>
      </c>
      <c r="D2979" s="8">
        <v>88.33</v>
      </c>
      <c r="E2979" s="9">
        <v>3</v>
      </c>
    </row>
    <row r="2980" spans="1:5" x14ac:dyDescent="0.25">
      <c r="A2980" s="7">
        <v>1</v>
      </c>
      <c r="B2980" s="7">
        <v>4307</v>
      </c>
      <c r="C2980" s="7">
        <v>169</v>
      </c>
      <c r="D2980" s="8">
        <v>68.15</v>
      </c>
      <c r="E2980" s="9">
        <v>3</v>
      </c>
    </row>
    <row r="2981" spans="1:5" x14ac:dyDescent="0.25">
      <c r="A2981" s="7">
        <v>1</v>
      </c>
      <c r="B2981" s="7">
        <v>4308</v>
      </c>
      <c r="C2981" s="7">
        <v>169</v>
      </c>
      <c r="D2981" s="8">
        <v>242.84</v>
      </c>
      <c r="E2981" s="9">
        <v>3</v>
      </c>
    </row>
    <row r="2982" spans="1:5" x14ac:dyDescent="0.25">
      <c r="A2982" s="7">
        <v>1</v>
      </c>
      <c r="B2982" s="7">
        <v>4309</v>
      </c>
      <c r="C2982" s="7">
        <v>169</v>
      </c>
      <c r="D2982" s="8">
        <v>242.84</v>
      </c>
      <c r="E2982" s="9">
        <v>3</v>
      </c>
    </row>
    <row r="2983" spans="1:5" x14ac:dyDescent="0.25">
      <c r="A2983" s="7">
        <v>1</v>
      </c>
      <c r="B2983" s="7">
        <v>4310</v>
      </c>
      <c r="C2983" s="7">
        <v>169</v>
      </c>
      <c r="D2983" s="8">
        <v>242.84</v>
      </c>
      <c r="E2983" s="9">
        <v>3</v>
      </c>
    </row>
    <row r="2984" spans="1:5" x14ac:dyDescent="0.25">
      <c r="A2984" s="7">
        <v>1</v>
      </c>
      <c r="B2984" s="7">
        <v>4311</v>
      </c>
      <c r="C2984" s="7">
        <v>169</v>
      </c>
      <c r="D2984" s="8">
        <v>124.44</v>
      </c>
      <c r="E2984" s="9">
        <v>3</v>
      </c>
    </row>
    <row r="2985" spans="1:5" x14ac:dyDescent="0.25">
      <c r="A2985" s="7">
        <v>1</v>
      </c>
      <c r="B2985" s="7">
        <v>4312</v>
      </c>
      <c r="C2985" s="7">
        <v>169</v>
      </c>
      <c r="D2985" s="8">
        <v>65.29</v>
      </c>
      <c r="E2985" s="9">
        <v>3</v>
      </c>
    </row>
    <row r="2986" spans="1:5" x14ac:dyDescent="0.25">
      <c r="A2986" s="7">
        <v>1</v>
      </c>
      <c r="B2986" s="7">
        <v>4314</v>
      </c>
      <c r="C2986" s="7">
        <v>153</v>
      </c>
      <c r="D2986" s="8">
        <v>44227.75</v>
      </c>
      <c r="E2986" s="9">
        <v>1</v>
      </c>
    </row>
    <row r="2987" spans="1:5" x14ac:dyDescent="0.25">
      <c r="A2987" s="7">
        <v>1</v>
      </c>
      <c r="B2987" s="7">
        <v>4315</v>
      </c>
      <c r="C2987" s="7">
        <v>153</v>
      </c>
      <c r="D2987" s="8">
        <v>156789.46</v>
      </c>
      <c r="E2987" s="9">
        <v>1</v>
      </c>
    </row>
    <row r="2988" spans="1:5" x14ac:dyDescent="0.25">
      <c r="A2988" s="7">
        <v>1</v>
      </c>
      <c r="B2988" s="7">
        <v>4316</v>
      </c>
      <c r="C2988" s="7">
        <v>153</v>
      </c>
      <c r="D2988" s="8">
        <v>637689.07</v>
      </c>
      <c r="E2988" s="9">
        <v>1</v>
      </c>
    </row>
    <row r="2989" spans="1:5" x14ac:dyDescent="0.25">
      <c r="A2989" s="7">
        <v>1</v>
      </c>
      <c r="B2989" s="7">
        <v>4317</v>
      </c>
      <c r="C2989" s="7">
        <v>153</v>
      </c>
      <c r="D2989" s="8">
        <v>44227.75</v>
      </c>
      <c r="E2989" s="9">
        <v>1</v>
      </c>
    </row>
    <row r="2990" spans="1:5" x14ac:dyDescent="0.25">
      <c r="A2990" s="7">
        <v>1</v>
      </c>
      <c r="B2990" s="7">
        <v>4318</v>
      </c>
      <c r="C2990" s="7">
        <v>153</v>
      </c>
      <c r="D2990" s="8">
        <v>156789.44</v>
      </c>
      <c r="E2990" s="9">
        <v>1</v>
      </c>
    </row>
    <row r="2991" spans="1:5" x14ac:dyDescent="0.25">
      <c r="A2991" s="7">
        <v>1</v>
      </c>
      <c r="B2991" s="7">
        <v>4319</v>
      </c>
      <c r="C2991" s="7">
        <v>153</v>
      </c>
      <c r="D2991" s="8">
        <v>637689.07</v>
      </c>
      <c r="E2991" s="9">
        <v>1</v>
      </c>
    </row>
    <row r="2992" spans="1:5" x14ac:dyDescent="0.25">
      <c r="A2992" s="7">
        <v>1</v>
      </c>
      <c r="B2992" s="7">
        <v>4320</v>
      </c>
      <c r="C2992" s="7">
        <v>153</v>
      </c>
      <c r="D2992" s="8">
        <v>637689.07</v>
      </c>
      <c r="E2992" s="9">
        <v>1</v>
      </c>
    </row>
    <row r="2993" spans="1:5" x14ac:dyDescent="0.25">
      <c r="A2993" s="7">
        <v>1</v>
      </c>
      <c r="B2993" s="7">
        <v>4321</v>
      </c>
      <c r="C2993" s="7">
        <v>102</v>
      </c>
      <c r="D2993" s="8">
        <v>1595.5</v>
      </c>
      <c r="E2993" s="9">
        <v>1</v>
      </c>
    </row>
    <row r="2994" spans="1:5" x14ac:dyDescent="0.25">
      <c r="A2994" s="7">
        <v>1</v>
      </c>
      <c r="B2994" s="7">
        <v>4322</v>
      </c>
      <c r="C2994" s="7">
        <v>102</v>
      </c>
      <c r="D2994" s="8">
        <v>2698</v>
      </c>
      <c r="E2994" s="9">
        <v>1</v>
      </c>
    </row>
    <row r="2995" spans="1:5" x14ac:dyDescent="0.25">
      <c r="A2995" s="7">
        <v>1</v>
      </c>
      <c r="B2995" s="7">
        <v>4327</v>
      </c>
      <c r="C2995" s="7">
        <v>134</v>
      </c>
      <c r="D2995" s="8">
        <v>85.56</v>
      </c>
      <c r="E2995" s="9">
        <v>3</v>
      </c>
    </row>
    <row r="2996" spans="1:5" x14ac:dyDescent="0.25">
      <c r="A2996" s="7">
        <v>1</v>
      </c>
      <c r="B2996" s="7">
        <v>4329</v>
      </c>
      <c r="C2996" s="7">
        <v>152</v>
      </c>
      <c r="D2996" s="8">
        <v>25417.11</v>
      </c>
      <c r="E2996" s="9">
        <v>1</v>
      </c>
    </row>
    <row r="2997" spans="1:5" x14ac:dyDescent="0.25">
      <c r="A2997" s="7">
        <v>1</v>
      </c>
      <c r="B2997" s="7">
        <v>4330</v>
      </c>
      <c r="C2997" s="7">
        <v>152</v>
      </c>
      <c r="D2997" s="8">
        <v>82954.33</v>
      </c>
      <c r="E2997" s="9">
        <v>1</v>
      </c>
    </row>
    <row r="2998" spans="1:5" x14ac:dyDescent="0.25">
      <c r="A2998" s="7">
        <v>1</v>
      </c>
      <c r="B2998" s="7">
        <v>4331</v>
      </c>
      <c r="C2998" s="7">
        <v>152</v>
      </c>
      <c r="D2998" s="8">
        <v>82954.33</v>
      </c>
      <c r="E2998" s="9">
        <v>1</v>
      </c>
    </row>
    <row r="2999" spans="1:5" x14ac:dyDescent="0.25">
      <c r="A2999" s="7">
        <v>1</v>
      </c>
      <c r="B2999" s="7">
        <v>4333</v>
      </c>
      <c r="C2999" s="7">
        <v>152</v>
      </c>
      <c r="D2999" s="8">
        <v>82954.33</v>
      </c>
      <c r="E2999" s="9">
        <v>1</v>
      </c>
    </row>
    <row r="3000" spans="1:5" x14ac:dyDescent="0.25">
      <c r="A3000" s="7">
        <v>1</v>
      </c>
      <c r="B3000" s="7">
        <v>4334</v>
      </c>
      <c r="C3000" s="7">
        <v>152</v>
      </c>
      <c r="D3000" s="8">
        <v>82954.33</v>
      </c>
      <c r="E3000" s="9">
        <v>1</v>
      </c>
    </row>
    <row r="3001" spans="1:5" x14ac:dyDescent="0.25">
      <c r="A3001" s="7">
        <v>1</v>
      </c>
      <c r="B3001" s="7">
        <v>4336</v>
      </c>
      <c r="C3001" s="7">
        <v>152</v>
      </c>
      <c r="D3001" s="8">
        <v>82954.33</v>
      </c>
      <c r="E3001" s="9">
        <v>1</v>
      </c>
    </row>
    <row r="3002" spans="1:5" x14ac:dyDescent="0.25">
      <c r="A3002" s="7">
        <v>1</v>
      </c>
      <c r="B3002" s="7">
        <v>4340</v>
      </c>
      <c r="C3002" s="7">
        <v>169</v>
      </c>
      <c r="D3002" s="8">
        <v>124.44</v>
      </c>
      <c r="E3002" s="9">
        <v>3</v>
      </c>
    </row>
    <row r="3003" spans="1:5" x14ac:dyDescent="0.25">
      <c r="A3003" s="7">
        <v>1</v>
      </c>
      <c r="B3003" s="7">
        <v>4353</v>
      </c>
      <c r="C3003" s="7">
        <v>130</v>
      </c>
      <c r="D3003" s="8">
        <v>491493.89</v>
      </c>
      <c r="E3003" s="9">
        <v>1</v>
      </c>
    </row>
    <row r="3004" spans="1:5" x14ac:dyDescent="0.25">
      <c r="A3004" s="7">
        <v>1</v>
      </c>
      <c r="B3004" s="7">
        <v>4355</v>
      </c>
      <c r="C3004" s="7">
        <v>130</v>
      </c>
      <c r="D3004" s="8">
        <v>114545.74</v>
      </c>
      <c r="E3004" s="9">
        <v>1</v>
      </c>
    </row>
    <row r="3005" spans="1:5" x14ac:dyDescent="0.25">
      <c r="A3005" s="7">
        <v>1</v>
      </c>
      <c r="B3005" s="7">
        <v>4356</v>
      </c>
      <c r="C3005" s="7">
        <v>153</v>
      </c>
      <c r="D3005" s="8">
        <v>177056.76</v>
      </c>
      <c r="E3005" s="9">
        <v>1</v>
      </c>
    </row>
    <row r="3006" spans="1:5" x14ac:dyDescent="0.25">
      <c r="A3006" s="7">
        <v>1</v>
      </c>
      <c r="B3006" s="7">
        <v>4357</v>
      </c>
      <c r="C3006" s="7">
        <v>153</v>
      </c>
      <c r="D3006" s="8">
        <v>754819.3</v>
      </c>
      <c r="E3006" s="9">
        <v>1</v>
      </c>
    </row>
    <row r="3007" spans="1:5" x14ac:dyDescent="0.25">
      <c r="A3007" s="7">
        <v>1</v>
      </c>
      <c r="B3007" s="7">
        <v>4358</v>
      </c>
      <c r="C3007" s="7">
        <v>153</v>
      </c>
      <c r="D3007" s="8">
        <v>244218.16</v>
      </c>
      <c r="E3007" s="9">
        <v>1</v>
      </c>
    </row>
    <row r="3008" spans="1:5" x14ac:dyDescent="0.25">
      <c r="A3008" s="7">
        <v>1</v>
      </c>
      <c r="B3008" s="7">
        <v>4359</v>
      </c>
      <c r="C3008" s="7">
        <v>153</v>
      </c>
      <c r="D3008" s="8">
        <v>930844.34</v>
      </c>
      <c r="E3008" s="9">
        <v>1</v>
      </c>
    </row>
    <row r="3009" spans="1:5" x14ac:dyDescent="0.25">
      <c r="A3009" s="7">
        <v>1</v>
      </c>
      <c r="B3009" s="7">
        <v>4360</v>
      </c>
      <c r="C3009" s="7">
        <v>153</v>
      </c>
      <c r="D3009" s="8">
        <v>297884.75</v>
      </c>
      <c r="E3009" s="9">
        <v>1</v>
      </c>
    </row>
    <row r="3010" spans="1:5" x14ac:dyDescent="0.25">
      <c r="A3010" s="7">
        <v>1</v>
      </c>
      <c r="B3010" s="7">
        <v>4367</v>
      </c>
      <c r="C3010" s="7">
        <v>152</v>
      </c>
      <c r="D3010" s="8">
        <v>220589.59</v>
      </c>
      <c r="E3010" s="9">
        <v>1</v>
      </c>
    </row>
    <row r="3011" spans="1:5" x14ac:dyDescent="0.25">
      <c r="A3011" s="7">
        <v>1</v>
      </c>
      <c r="B3011" s="7">
        <v>4370</v>
      </c>
      <c r="C3011" s="7">
        <v>152</v>
      </c>
      <c r="D3011" s="8">
        <v>220589.59</v>
      </c>
      <c r="E3011" s="9">
        <v>1</v>
      </c>
    </row>
    <row r="3012" spans="1:5" x14ac:dyDescent="0.25">
      <c r="A3012" s="7">
        <v>1</v>
      </c>
      <c r="B3012" s="7">
        <v>4373</v>
      </c>
      <c r="C3012" s="7">
        <v>163</v>
      </c>
      <c r="D3012" s="8">
        <v>14735.14</v>
      </c>
      <c r="E3012" s="9">
        <v>1</v>
      </c>
    </row>
    <row r="3013" spans="1:5" x14ac:dyDescent="0.25">
      <c r="A3013" s="7">
        <v>1</v>
      </c>
      <c r="B3013" s="7">
        <v>4374</v>
      </c>
      <c r="C3013" s="7">
        <v>163</v>
      </c>
      <c r="D3013" s="8">
        <v>14735.14</v>
      </c>
      <c r="E3013" s="9">
        <v>1</v>
      </c>
    </row>
    <row r="3014" spans="1:5" x14ac:dyDescent="0.25">
      <c r="A3014" s="7">
        <v>1</v>
      </c>
      <c r="B3014" s="7">
        <v>4375</v>
      </c>
      <c r="C3014" s="7">
        <v>163</v>
      </c>
      <c r="D3014" s="8">
        <v>14735.14</v>
      </c>
      <c r="E3014" s="9">
        <v>1</v>
      </c>
    </row>
    <row r="3015" spans="1:5" x14ac:dyDescent="0.25">
      <c r="A3015" s="7">
        <v>1</v>
      </c>
      <c r="B3015" s="7">
        <v>4376</v>
      </c>
      <c r="C3015" s="7">
        <v>163</v>
      </c>
      <c r="D3015" s="8">
        <v>14735.14</v>
      </c>
      <c r="E3015" s="9">
        <v>1</v>
      </c>
    </row>
    <row r="3016" spans="1:5" x14ac:dyDescent="0.25">
      <c r="A3016" s="7">
        <v>1</v>
      </c>
      <c r="B3016" s="7">
        <v>4377</v>
      </c>
      <c r="C3016" s="7">
        <v>163</v>
      </c>
      <c r="D3016" s="8">
        <v>14735.14</v>
      </c>
      <c r="E3016" s="9">
        <v>1</v>
      </c>
    </row>
    <row r="3017" spans="1:5" x14ac:dyDescent="0.25">
      <c r="A3017" s="7">
        <v>1</v>
      </c>
      <c r="B3017" s="7">
        <v>4378</v>
      </c>
      <c r="C3017" s="7">
        <v>163</v>
      </c>
      <c r="D3017" s="8">
        <v>14735.14</v>
      </c>
      <c r="E3017" s="9">
        <v>1</v>
      </c>
    </row>
    <row r="3018" spans="1:5" x14ac:dyDescent="0.25">
      <c r="A3018" s="7">
        <v>1</v>
      </c>
      <c r="B3018" s="7">
        <v>4379</v>
      </c>
      <c r="C3018" s="7">
        <v>163</v>
      </c>
      <c r="D3018" s="8">
        <v>14735.14</v>
      </c>
      <c r="E3018" s="9">
        <v>1</v>
      </c>
    </row>
    <row r="3019" spans="1:5" x14ac:dyDescent="0.25">
      <c r="A3019" s="7">
        <v>1</v>
      </c>
      <c r="B3019" s="7">
        <v>4380</v>
      </c>
      <c r="C3019" s="7">
        <v>163</v>
      </c>
      <c r="D3019" s="8">
        <v>14735.14</v>
      </c>
      <c r="E3019" s="9">
        <v>1</v>
      </c>
    </row>
    <row r="3020" spans="1:5" x14ac:dyDescent="0.25">
      <c r="A3020" s="7">
        <v>1</v>
      </c>
      <c r="B3020" s="7">
        <v>4381</v>
      </c>
      <c r="C3020" s="7">
        <v>163</v>
      </c>
      <c r="D3020" s="8">
        <v>14735.14</v>
      </c>
      <c r="E3020" s="9">
        <v>1</v>
      </c>
    </row>
    <row r="3021" spans="1:5" x14ac:dyDescent="0.25">
      <c r="A3021" s="7">
        <v>1</v>
      </c>
      <c r="B3021" s="7">
        <v>4382</v>
      </c>
      <c r="C3021" s="7">
        <v>163</v>
      </c>
      <c r="D3021" s="8">
        <v>14735.14</v>
      </c>
      <c r="E3021" s="9">
        <v>1</v>
      </c>
    </row>
    <row r="3022" spans="1:5" x14ac:dyDescent="0.25">
      <c r="A3022" s="7">
        <v>1</v>
      </c>
      <c r="B3022" s="7">
        <v>4383</v>
      </c>
      <c r="C3022" s="7">
        <v>163</v>
      </c>
      <c r="D3022" s="8">
        <v>20920.31</v>
      </c>
      <c r="E3022" s="9">
        <v>1</v>
      </c>
    </row>
    <row r="3023" spans="1:5" x14ac:dyDescent="0.25">
      <c r="A3023" s="7">
        <v>1</v>
      </c>
      <c r="B3023" s="7">
        <v>4384</v>
      </c>
      <c r="C3023" s="7">
        <v>902</v>
      </c>
      <c r="D3023" s="8">
        <v>7001.06</v>
      </c>
      <c r="E3023" s="9">
        <v>1</v>
      </c>
    </row>
    <row r="3024" spans="1:5" x14ac:dyDescent="0.25">
      <c r="A3024" s="7">
        <v>1</v>
      </c>
      <c r="B3024" s="7">
        <v>4385</v>
      </c>
      <c r="C3024" s="7">
        <v>163</v>
      </c>
      <c r="D3024" s="8">
        <v>33589.52</v>
      </c>
      <c r="E3024" s="9">
        <v>1</v>
      </c>
    </row>
    <row r="3025" spans="1:5" x14ac:dyDescent="0.25">
      <c r="A3025" s="7">
        <v>1</v>
      </c>
      <c r="B3025" s="7">
        <v>4386</v>
      </c>
      <c r="C3025" s="7">
        <v>163</v>
      </c>
      <c r="D3025" s="8">
        <v>41876.94</v>
      </c>
      <c r="E3025" s="9">
        <v>1</v>
      </c>
    </row>
    <row r="3026" spans="1:5" x14ac:dyDescent="0.25">
      <c r="A3026" s="7">
        <v>1</v>
      </c>
      <c r="B3026" s="7">
        <v>4387</v>
      </c>
      <c r="C3026" s="7">
        <v>163</v>
      </c>
      <c r="D3026" s="8">
        <v>2693.29</v>
      </c>
      <c r="E3026" s="9">
        <v>1</v>
      </c>
    </row>
    <row r="3027" spans="1:5" x14ac:dyDescent="0.25">
      <c r="A3027" s="7">
        <v>1</v>
      </c>
      <c r="B3027" s="7">
        <v>4388</v>
      </c>
      <c r="C3027" s="7">
        <v>163</v>
      </c>
      <c r="D3027" s="8">
        <v>10093.72</v>
      </c>
      <c r="E3027" s="9">
        <v>1</v>
      </c>
    </row>
    <row r="3028" spans="1:5" x14ac:dyDescent="0.25">
      <c r="A3028" s="7">
        <v>1</v>
      </c>
      <c r="B3028" s="7">
        <v>4389</v>
      </c>
      <c r="C3028" s="7">
        <v>163</v>
      </c>
      <c r="D3028" s="8">
        <v>3178.31</v>
      </c>
      <c r="E3028" s="9">
        <v>1</v>
      </c>
    </row>
    <row r="3029" spans="1:5" x14ac:dyDescent="0.25">
      <c r="A3029" s="7">
        <v>1</v>
      </c>
      <c r="B3029" s="7">
        <v>4390</v>
      </c>
      <c r="C3029" s="7">
        <v>163</v>
      </c>
      <c r="D3029" s="8">
        <v>11491.42</v>
      </c>
      <c r="E3029" s="9">
        <v>1</v>
      </c>
    </row>
    <row r="3030" spans="1:5" x14ac:dyDescent="0.25">
      <c r="A3030" s="7">
        <v>1</v>
      </c>
      <c r="B3030" s="7">
        <v>4391</v>
      </c>
      <c r="C3030" s="7">
        <v>102</v>
      </c>
      <c r="D3030" s="8">
        <v>8268.5</v>
      </c>
      <c r="E3030" s="9">
        <v>1</v>
      </c>
    </row>
    <row r="3031" spans="1:5" x14ac:dyDescent="0.25">
      <c r="A3031" s="7">
        <v>1</v>
      </c>
      <c r="B3031" s="7">
        <v>4392</v>
      </c>
      <c r="C3031" s="7">
        <v>130</v>
      </c>
      <c r="D3031" s="8">
        <v>137889.95</v>
      </c>
      <c r="E3031" s="9">
        <v>1</v>
      </c>
    </row>
    <row r="3032" spans="1:5" x14ac:dyDescent="0.25">
      <c r="A3032" s="7">
        <v>1</v>
      </c>
      <c r="B3032" s="7">
        <v>4396</v>
      </c>
      <c r="C3032" s="7">
        <v>191</v>
      </c>
      <c r="D3032" s="8">
        <v>16364.59</v>
      </c>
      <c r="E3032" s="9">
        <v>1</v>
      </c>
    </row>
    <row r="3033" spans="1:5" x14ac:dyDescent="0.25">
      <c r="A3033" s="7">
        <v>1</v>
      </c>
      <c r="B3033" s="7">
        <v>4397</v>
      </c>
      <c r="C3033" s="7">
        <v>191</v>
      </c>
      <c r="D3033" s="8">
        <v>16364.59</v>
      </c>
      <c r="E3033" s="9">
        <v>1</v>
      </c>
    </row>
    <row r="3034" spans="1:5" x14ac:dyDescent="0.25">
      <c r="A3034" s="7">
        <v>1</v>
      </c>
      <c r="B3034" s="7">
        <v>4398</v>
      </c>
      <c r="C3034" s="7">
        <v>191</v>
      </c>
      <c r="D3034" s="8">
        <v>98280.7</v>
      </c>
      <c r="E3034" s="9">
        <v>1</v>
      </c>
    </row>
    <row r="3035" spans="1:5" x14ac:dyDescent="0.25">
      <c r="A3035" s="7">
        <v>1</v>
      </c>
      <c r="B3035" s="7">
        <v>4399</v>
      </c>
      <c r="C3035" s="7">
        <v>191</v>
      </c>
      <c r="D3035" s="8">
        <v>10909.73</v>
      </c>
      <c r="E3035" s="9">
        <v>1</v>
      </c>
    </row>
    <row r="3036" spans="1:5" x14ac:dyDescent="0.25">
      <c r="A3036" s="7">
        <v>1</v>
      </c>
      <c r="B3036" s="7">
        <v>4400</v>
      </c>
      <c r="C3036" s="7">
        <v>902</v>
      </c>
      <c r="D3036" s="8">
        <v>6299.97</v>
      </c>
      <c r="E3036" s="9">
        <v>1</v>
      </c>
    </row>
    <row r="3037" spans="1:5" x14ac:dyDescent="0.25">
      <c r="A3037" s="7">
        <v>1</v>
      </c>
      <c r="B3037" s="7">
        <v>4401</v>
      </c>
      <c r="C3037" s="7">
        <v>902</v>
      </c>
      <c r="D3037" s="8">
        <v>6299.97</v>
      </c>
      <c r="E3037" s="9">
        <v>1</v>
      </c>
    </row>
    <row r="3038" spans="1:5" x14ac:dyDescent="0.25">
      <c r="A3038" s="7">
        <v>1</v>
      </c>
      <c r="B3038" s="7">
        <v>4402</v>
      </c>
      <c r="C3038" s="7">
        <v>902</v>
      </c>
      <c r="D3038" s="8">
        <v>6299.97</v>
      </c>
      <c r="E3038" s="9">
        <v>1</v>
      </c>
    </row>
    <row r="3039" spans="1:5" x14ac:dyDescent="0.25">
      <c r="A3039" s="7">
        <v>1</v>
      </c>
      <c r="B3039" s="7">
        <v>4403</v>
      </c>
      <c r="C3039" s="7">
        <v>902</v>
      </c>
      <c r="D3039" s="8">
        <v>6299.97</v>
      </c>
      <c r="E3039" s="9">
        <v>1</v>
      </c>
    </row>
    <row r="3040" spans="1:5" x14ac:dyDescent="0.25">
      <c r="A3040" s="7">
        <v>1</v>
      </c>
      <c r="B3040" s="7">
        <v>4404</v>
      </c>
      <c r="C3040" s="7">
        <v>902</v>
      </c>
      <c r="D3040" s="8">
        <v>6299.97</v>
      </c>
      <c r="E3040" s="9">
        <v>1</v>
      </c>
    </row>
    <row r="3041" spans="1:5" x14ac:dyDescent="0.25">
      <c r="A3041" s="7">
        <v>1</v>
      </c>
      <c r="B3041" s="7">
        <v>4405</v>
      </c>
      <c r="C3041" s="7">
        <v>902</v>
      </c>
      <c r="D3041" s="8">
        <v>6299.97</v>
      </c>
      <c r="E3041" s="9">
        <v>1</v>
      </c>
    </row>
    <row r="3042" spans="1:5" x14ac:dyDescent="0.25">
      <c r="A3042" s="7">
        <v>1</v>
      </c>
      <c r="B3042" s="7">
        <v>4406</v>
      </c>
      <c r="C3042" s="7">
        <v>902</v>
      </c>
      <c r="D3042" s="8">
        <v>6299.97</v>
      </c>
      <c r="E3042" s="9">
        <v>1</v>
      </c>
    </row>
    <row r="3043" spans="1:5" x14ac:dyDescent="0.25">
      <c r="A3043" s="7">
        <v>1</v>
      </c>
      <c r="B3043" s="7">
        <v>4407</v>
      </c>
      <c r="C3043" s="7">
        <v>902</v>
      </c>
      <c r="D3043" s="8">
        <v>6299.97</v>
      </c>
      <c r="E3043" s="9">
        <v>1</v>
      </c>
    </row>
    <row r="3044" spans="1:5" x14ac:dyDescent="0.25">
      <c r="A3044" s="7">
        <v>1</v>
      </c>
      <c r="B3044" s="7">
        <v>4408</v>
      </c>
      <c r="C3044" s="7">
        <v>146</v>
      </c>
      <c r="D3044" s="8">
        <v>21526.24</v>
      </c>
      <c r="E3044" s="9">
        <v>1</v>
      </c>
    </row>
    <row r="3045" spans="1:5" x14ac:dyDescent="0.25">
      <c r="A3045" s="7">
        <v>1</v>
      </c>
      <c r="B3045" s="7">
        <v>4422</v>
      </c>
      <c r="C3045" s="7">
        <v>902</v>
      </c>
      <c r="D3045" s="8">
        <v>9303.65</v>
      </c>
      <c r="E3045" s="9">
        <v>1</v>
      </c>
    </row>
    <row r="3046" spans="1:5" x14ac:dyDescent="0.25">
      <c r="A3046" s="7">
        <v>1</v>
      </c>
      <c r="B3046" s="7">
        <v>4423</v>
      </c>
      <c r="C3046" s="7">
        <v>902</v>
      </c>
      <c r="D3046" s="8">
        <v>9303.65</v>
      </c>
      <c r="E3046" s="9">
        <v>1</v>
      </c>
    </row>
    <row r="3047" spans="1:5" x14ac:dyDescent="0.25">
      <c r="A3047" s="7">
        <v>1</v>
      </c>
      <c r="B3047" s="7">
        <v>4425</v>
      </c>
      <c r="C3047" s="7">
        <v>902</v>
      </c>
      <c r="D3047" s="8">
        <v>9303.65</v>
      </c>
      <c r="E3047" s="9">
        <v>1</v>
      </c>
    </row>
    <row r="3048" spans="1:5" x14ac:dyDescent="0.25">
      <c r="A3048" s="7">
        <v>1</v>
      </c>
      <c r="B3048" s="7">
        <v>4426</v>
      </c>
      <c r="C3048" s="7">
        <v>902</v>
      </c>
      <c r="D3048" s="8">
        <v>9303.65</v>
      </c>
      <c r="E3048" s="9">
        <v>1</v>
      </c>
    </row>
    <row r="3049" spans="1:5" x14ac:dyDescent="0.25">
      <c r="A3049" s="7">
        <v>1</v>
      </c>
      <c r="B3049" s="7">
        <v>4430</v>
      </c>
      <c r="C3049" s="7">
        <v>902</v>
      </c>
      <c r="D3049" s="8">
        <v>12404.89</v>
      </c>
      <c r="E3049" s="9">
        <v>1</v>
      </c>
    </row>
    <row r="3050" spans="1:5" x14ac:dyDescent="0.25">
      <c r="A3050" s="7">
        <v>1</v>
      </c>
      <c r="B3050" s="7">
        <v>4431</v>
      </c>
      <c r="C3050" s="7">
        <v>902</v>
      </c>
      <c r="D3050" s="8">
        <v>9303.65</v>
      </c>
      <c r="E3050" s="9">
        <v>1</v>
      </c>
    </row>
    <row r="3051" spans="1:5" x14ac:dyDescent="0.25">
      <c r="A3051" s="7">
        <v>1</v>
      </c>
      <c r="B3051" s="7">
        <v>4432</v>
      </c>
      <c r="C3051" s="7">
        <v>902</v>
      </c>
      <c r="D3051" s="8">
        <v>9303.65</v>
      </c>
      <c r="E3051" s="9">
        <v>1</v>
      </c>
    </row>
    <row r="3052" spans="1:5" x14ac:dyDescent="0.25">
      <c r="A3052" s="7">
        <v>1</v>
      </c>
      <c r="B3052" s="7">
        <v>4433</v>
      </c>
      <c r="C3052" s="7">
        <v>902</v>
      </c>
      <c r="D3052" s="8">
        <v>9303.65</v>
      </c>
      <c r="E3052" s="9">
        <v>1</v>
      </c>
    </row>
    <row r="3053" spans="1:5" x14ac:dyDescent="0.25">
      <c r="A3053" s="7">
        <v>1</v>
      </c>
      <c r="B3053" s="7">
        <v>4434</v>
      </c>
      <c r="C3053" s="7">
        <v>902</v>
      </c>
      <c r="D3053" s="8">
        <v>9303.65</v>
      </c>
      <c r="E3053" s="9">
        <v>1</v>
      </c>
    </row>
    <row r="3054" spans="1:5" x14ac:dyDescent="0.25">
      <c r="A3054" s="7">
        <v>1</v>
      </c>
      <c r="B3054" s="7">
        <v>4435</v>
      </c>
      <c r="C3054" s="7">
        <v>170</v>
      </c>
      <c r="D3054" s="8">
        <v>18661.52</v>
      </c>
      <c r="E3054" s="9">
        <v>1</v>
      </c>
    </row>
    <row r="3055" spans="1:5" x14ac:dyDescent="0.25">
      <c r="A3055" s="7">
        <v>1</v>
      </c>
      <c r="B3055" s="7">
        <v>4436</v>
      </c>
      <c r="C3055" s="7">
        <v>902</v>
      </c>
      <c r="D3055" s="8">
        <v>21489.03</v>
      </c>
      <c r="E3055" s="9">
        <v>1</v>
      </c>
    </row>
    <row r="3056" spans="1:5" x14ac:dyDescent="0.25">
      <c r="A3056" s="7">
        <v>1</v>
      </c>
      <c r="B3056" s="7">
        <v>4437</v>
      </c>
      <c r="C3056" s="7">
        <v>170</v>
      </c>
      <c r="D3056" s="8">
        <v>25068.43</v>
      </c>
      <c r="E3056" s="9">
        <v>1</v>
      </c>
    </row>
    <row r="3057" spans="1:5" x14ac:dyDescent="0.25">
      <c r="A3057" s="7">
        <v>1</v>
      </c>
      <c r="B3057" s="7">
        <v>4438</v>
      </c>
      <c r="C3057" s="7">
        <v>170</v>
      </c>
      <c r="D3057" s="8">
        <v>84323.87</v>
      </c>
      <c r="E3057" s="9">
        <v>1</v>
      </c>
    </row>
    <row r="3058" spans="1:5" x14ac:dyDescent="0.25">
      <c r="A3058" s="7">
        <v>1</v>
      </c>
      <c r="B3058" s="7">
        <v>4439</v>
      </c>
      <c r="C3058" s="7">
        <v>170</v>
      </c>
      <c r="D3058" s="8">
        <v>374369.87</v>
      </c>
      <c r="E3058" s="9">
        <v>1</v>
      </c>
    </row>
    <row r="3059" spans="1:5" x14ac:dyDescent="0.25">
      <c r="A3059" s="7">
        <v>1</v>
      </c>
      <c r="B3059" s="7">
        <v>4440</v>
      </c>
      <c r="C3059" s="7">
        <v>170</v>
      </c>
      <c r="D3059" s="8">
        <v>25068.43</v>
      </c>
      <c r="E3059" s="9">
        <v>1</v>
      </c>
    </row>
    <row r="3060" spans="1:5" x14ac:dyDescent="0.25">
      <c r="A3060" s="7">
        <v>1</v>
      </c>
      <c r="B3060" s="7">
        <v>4441</v>
      </c>
      <c r="C3060" s="7">
        <v>170</v>
      </c>
      <c r="D3060" s="8">
        <v>84323.87</v>
      </c>
      <c r="E3060" s="9">
        <v>1</v>
      </c>
    </row>
    <row r="3061" spans="1:5" x14ac:dyDescent="0.25">
      <c r="A3061" s="7">
        <v>1</v>
      </c>
      <c r="B3061" s="7">
        <v>4442</v>
      </c>
      <c r="C3061" s="7">
        <v>170</v>
      </c>
      <c r="D3061" s="8">
        <v>374369.87</v>
      </c>
      <c r="E3061" s="9">
        <v>1</v>
      </c>
    </row>
    <row r="3062" spans="1:5" x14ac:dyDescent="0.25">
      <c r="A3062" s="7">
        <v>1</v>
      </c>
      <c r="B3062" s="7">
        <v>4450</v>
      </c>
      <c r="C3062" s="7">
        <v>167</v>
      </c>
      <c r="D3062" s="8">
        <v>14612.56</v>
      </c>
      <c r="E3062" s="9">
        <v>1</v>
      </c>
    </row>
    <row r="3063" spans="1:5" x14ac:dyDescent="0.25">
      <c r="A3063" s="7">
        <v>1</v>
      </c>
      <c r="B3063" s="7">
        <v>4451</v>
      </c>
      <c r="C3063" s="7">
        <v>167</v>
      </c>
      <c r="D3063" s="8">
        <v>13816.87</v>
      </c>
      <c r="E3063" s="9">
        <v>1</v>
      </c>
    </row>
    <row r="3064" spans="1:5" x14ac:dyDescent="0.25">
      <c r="A3064" s="7">
        <v>1</v>
      </c>
      <c r="B3064" s="7">
        <v>4452</v>
      </c>
      <c r="C3064" s="7">
        <v>167</v>
      </c>
      <c r="D3064" s="8">
        <v>258.44</v>
      </c>
      <c r="E3064" s="9">
        <v>1</v>
      </c>
    </row>
    <row r="3065" spans="1:5" x14ac:dyDescent="0.25">
      <c r="A3065" s="7">
        <v>1</v>
      </c>
      <c r="B3065" s="7">
        <v>4453</v>
      </c>
      <c r="C3065" s="7">
        <v>167</v>
      </c>
      <c r="D3065" s="8">
        <v>258.44</v>
      </c>
      <c r="E3065" s="9">
        <v>1</v>
      </c>
    </row>
    <row r="3066" spans="1:5" x14ac:dyDescent="0.25">
      <c r="A3066" s="7">
        <v>1</v>
      </c>
      <c r="B3066" s="7">
        <v>4454</v>
      </c>
      <c r="C3066" s="7">
        <v>167</v>
      </c>
      <c r="D3066" s="8">
        <v>258.44</v>
      </c>
      <c r="E3066" s="9">
        <v>1</v>
      </c>
    </row>
    <row r="3067" spans="1:5" x14ac:dyDescent="0.25">
      <c r="A3067" s="7">
        <v>1</v>
      </c>
      <c r="B3067" s="7">
        <v>4455</v>
      </c>
      <c r="C3067" s="7">
        <v>167</v>
      </c>
      <c r="D3067" s="8">
        <v>258.44</v>
      </c>
      <c r="E3067" s="9">
        <v>1</v>
      </c>
    </row>
    <row r="3068" spans="1:5" x14ac:dyDescent="0.25">
      <c r="A3068" s="7">
        <v>1</v>
      </c>
      <c r="B3068" s="7">
        <v>4456</v>
      </c>
      <c r="C3068" s="7">
        <v>167</v>
      </c>
      <c r="D3068" s="8">
        <v>258.44</v>
      </c>
      <c r="E3068" s="9">
        <v>1</v>
      </c>
    </row>
    <row r="3069" spans="1:5" x14ac:dyDescent="0.25">
      <c r="A3069" s="7">
        <v>1</v>
      </c>
      <c r="B3069" s="7">
        <v>4457</v>
      </c>
      <c r="C3069" s="7">
        <v>167</v>
      </c>
      <c r="D3069" s="8">
        <v>258.44</v>
      </c>
      <c r="E3069" s="9">
        <v>1</v>
      </c>
    </row>
    <row r="3070" spans="1:5" x14ac:dyDescent="0.25">
      <c r="A3070" s="7">
        <v>1</v>
      </c>
      <c r="B3070" s="7">
        <v>4458</v>
      </c>
      <c r="C3070" s="7">
        <v>167</v>
      </c>
      <c r="D3070" s="8">
        <v>258.44</v>
      </c>
      <c r="E3070" s="9">
        <v>1</v>
      </c>
    </row>
    <row r="3071" spans="1:5" x14ac:dyDescent="0.25">
      <c r="A3071" s="7">
        <v>1</v>
      </c>
      <c r="B3071" s="7">
        <v>4459</v>
      </c>
      <c r="C3071" s="7">
        <v>167</v>
      </c>
      <c r="D3071" s="8">
        <v>290.86</v>
      </c>
      <c r="E3071" s="9">
        <v>1</v>
      </c>
    </row>
    <row r="3072" spans="1:5" x14ac:dyDescent="0.25">
      <c r="A3072" s="7">
        <v>1</v>
      </c>
      <c r="B3072" s="7">
        <v>4460</v>
      </c>
      <c r="C3072" s="7">
        <v>167</v>
      </c>
      <c r="D3072" s="8">
        <v>14983.86</v>
      </c>
      <c r="E3072" s="9">
        <v>1</v>
      </c>
    </row>
    <row r="3073" spans="1:5" x14ac:dyDescent="0.25">
      <c r="A3073" s="7">
        <v>1</v>
      </c>
      <c r="B3073" s="7">
        <v>4461</v>
      </c>
      <c r="C3073" s="7">
        <v>167</v>
      </c>
      <c r="D3073" s="8">
        <v>14983.86</v>
      </c>
      <c r="E3073" s="9">
        <v>1</v>
      </c>
    </row>
    <row r="3074" spans="1:5" x14ac:dyDescent="0.25">
      <c r="A3074" s="7">
        <v>1</v>
      </c>
      <c r="B3074" s="7">
        <v>4462</v>
      </c>
      <c r="C3074" s="7">
        <v>167</v>
      </c>
      <c r="D3074" s="8">
        <v>12557.06</v>
      </c>
      <c r="E3074" s="9">
        <v>1</v>
      </c>
    </row>
    <row r="3075" spans="1:5" x14ac:dyDescent="0.25">
      <c r="A3075" s="7">
        <v>1</v>
      </c>
      <c r="B3075" s="7">
        <v>4463</v>
      </c>
      <c r="C3075" s="7">
        <v>167</v>
      </c>
      <c r="D3075" s="8">
        <v>12557.06</v>
      </c>
      <c r="E3075" s="9">
        <v>1</v>
      </c>
    </row>
    <row r="3076" spans="1:5" x14ac:dyDescent="0.25">
      <c r="A3076" s="7">
        <v>1</v>
      </c>
      <c r="B3076" s="7">
        <v>4464</v>
      </c>
      <c r="C3076" s="7">
        <v>167</v>
      </c>
      <c r="D3076" s="8">
        <v>13185</v>
      </c>
      <c r="E3076" s="9">
        <v>1</v>
      </c>
    </row>
    <row r="3077" spans="1:5" x14ac:dyDescent="0.25">
      <c r="A3077" s="7">
        <v>1</v>
      </c>
      <c r="B3077" s="7">
        <v>4465</v>
      </c>
      <c r="C3077" s="7">
        <v>167</v>
      </c>
      <c r="D3077" s="8">
        <v>4426.7</v>
      </c>
      <c r="E3077" s="9">
        <v>1</v>
      </c>
    </row>
    <row r="3078" spans="1:5" x14ac:dyDescent="0.25">
      <c r="A3078" s="7">
        <v>1</v>
      </c>
      <c r="B3078" s="7">
        <v>4466</v>
      </c>
      <c r="C3078" s="7">
        <v>167</v>
      </c>
      <c r="D3078" s="8">
        <v>180.41</v>
      </c>
      <c r="E3078" s="9">
        <v>1</v>
      </c>
    </row>
    <row r="3079" spans="1:5" x14ac:dyDescent="0.25">
      <c r="A3079" s="7">
        <v>1</v>
      </c>
      <c r="B3079" s="7">
        <v>4473</v>
      </c>
      <c r="C3079" s="7">
        <v>167</v>
      </c>
      <c r="D3079" s="8">
        <v>180.41</v>
      </c>
      <c r="E3079" s="9">
        <v>1</v>
      </c>
    </row>
    <row r="3080" spans="1:5" x14ac:dyDescent="0.25">
      <c r="A3080" s="7">
        <v>1</v>
      </c>
      <c r="B3080" s="7">
        <v>4474</v>
      </c>
      <c r="C3080" s="7">
        <v>167</v>
      </c>
      <c r="D3080" s="8">
        <v>14016.01</v>
      </c>
      <c r="E3080" s="9">
        <v>1</v>
      </c>
    </row>
    <row r="3081" spans="1:5" x14ac:dyDescent="0.25">
      <c r="A3081" s="7">
        <v>1</v>
      </c>
      <c r="B3081" s="7">
        <v>4475</v>
      </c>
      <c r="C3081" s="7">
        <v>167</v>
      </c>
      <c r="D3081" s="8">
        <v>2603.12</v>
      </c>
      <c r="E3081" s="9">
        <v>1</v>
      </c>
    </row>
    <row r="3082" spans="1:5" x14ac:dyDescent="0.25">
      <c r="A3082" s="7">
        <v>1</v>
      </c>
      <c r="B3082" s="7">
        <v>4476</v>
      </c>
      <c r="C3082" s="7">
        <v>167</v>
      </c>
      <c r="D3082" s="8">
        <v>647.04</v>
      </c>
      <c r="E3082" s="9">
        <v>1</v>
      </c>
    </row>
    <row r="3083" spans="1:5" x14ac:dyDescent="0.25">
      <c r="A3083" s="7">
        <v>1</v>
      </c>
      <c r="B3083" s="7">
        <v>4480</v>
      </c>
      <c r="C3083" s="7">
        <v>167</v>
      </c>
      <c r="D3083" s="8">
        <v>13426.4</v>
      </c>
      <c r="E3083" s="9">
        <v>1</v>
      </c>
    </row>
    <row r="3084" spans="1:5" x14ac:dyDescent="0.25">
      <c r="A3084" s="7">
        <v>1</v>
      </c>
      <c r="B3084" s="7">
        <v>4481</v>
      </c>
      <c r="C3084" s="7">
        <v>167</v>
      </c>
      <c r="D3084" s="8">
        <v>100.71</v>
      </c>
      <c r="E3084" s="9">
        <v>1</v>
      </c>
    </row>
    <row r="3085" spans="1:5" x14ac:dyDescent="0.25">
      <c r="A3085" s="7">
        <v>1</v>
      </c>
      <c r="B3085" s="7">
        <v>4482</v>
      </c>
      <c r="C3085" s="7">
        <v>167</v>
      </c>
      <c r="D3085" s="8">
        <v>100.71</v>
      </c>
      <c r="E3085" s="9">
        <v>1</v>
      </c>
    </row>
    <row r="3086" spans="1:5" x14ac:dyDescent="0.25">
      <c r="A3086" s="7">
        <v>1</v>
      </c>
      <c r="B3086" s="7">
        <v>4483</v>
      </c>
      <c r="C3086" s="7">
        <v>167</v>
      </c>
      <c r="D3086" s="8">
        <v>100.71</v>
      </c>
      <c r="E3086" s="9">
        <v>1</v>
      </c>
    </row>
    <row r="3087" spans="1:5" x14ac:dyDescent="0.25">
      <c r="A3087" s="7">
        <v>1</v>
      </c>
      <c r="B3087" s="7">
        <v>4484</v>
      </c>
      <c r="C3087" s="7">
        <v>167</v>
      </c>
      <c r="D3087" s="8">
        <v>100.71</v>
      </c>
      <c r="E3087" s="9">
        <v>1</v>
      </c>
    </row>
    <row r="3088" spans="1:5" x14ac:dyDescent="0.25">
      <c r="A3088" s="7">
        <v>1</v>
      </c>
      <c r="B3088" s="7">
        <v>4485</v>
      </c>
      <c r="C3088" s="7">
        <v>167</v>
      </c>
      <c r="D3088" s="8">
        <v>100.71</v>
      </c>
      <c r="E3088" s="9">
        <v>1</v>
      </c>
    </row>
    <row r="3089" spans="1:5" x14ac:dyDescent="0.25">
      <c r="A3089" s="7">
        <v>1</v>
      </c>
      <c r="B3089" s="7">
        <v>4486</v>
      </c>
      <c r="C3089" s="7">
        <v>167</v>
      </c>
      <c r="D3089" s="8">
        <v>100.71</v>
      </c>
      <c r="E3089" s="9">
        <v>1</v>
      </c>
    </row>
    <row r="3090" spans="1:5" x14ac:dyDescent="0.25">
      <c r="A3090" s="7">
        <v>1</v>
      </c>
      <c r="B3090" s="7">
        <v>4488</v>
      </c>
      <c r="C3090" s="7">
        <v>191</v>
      </c>
      <c r="D3090" s="8">
        <v>13372.61</v>
      </c>
      <c r="E3090" s="9">
        <v>1</v>
      </c>
    </row>
    <row r="3091" spans="1:5" x14ac:dyDescent="0.25">
      <c r="A3091" s="7">
        <v>1</v>
      </c>
      <c r="B3091" s="7">
        <v>4490</v>
      </c>
      <c r="C3091" s="7">
        <v>167</v>
      </c>
      <c r="D3091" s="8">
        <v>100.71</v>
      </c>
      <c r="E3091" s="9">
        <v>1</v>
      </c>
    </row>
    <row r="3092" spans="1:5" x14ac:dyDescent="0.25">
      <c r="A3092" s="7">
        <v>1</v>
      </c>
      <c r="B3092" s="7">
        <v>4491</v>
      </c>
      <c r="C3092" s="7">
        <v>167</v>
      </c>
      <c r="D3092" s="8">
        <v>100.71</v>
      </c>
      <c r="E3092" s="9">
        <v>1</v>
      </c>
    </row>
    <row r="3093" spans="1:5" x14ac:dyDescent="0.25">
      <c r="A3093" s="7">
        <v>1</v>
      </c>
      <c r="B3093" s="7">
        <v>4492</v>
      </c>
      <c r="C3093" s="7">
        <v>167</v>
      </c>
      <c r="D3093" s="8">
        <v>1403.18</v>
      </c>
      <c r="E3093" s="9">
        <v>1</v>
      </c>
    </row>
    <row r="3094" spans="1:5" x14ac:dyDescent="0.25">
      <c r="A3094" s="7">
        <v>1</v>
      </c>
      <c r="B3094" s="7">
        <v>4493</v>
      </c>
      <c r="C3094" s="7">
        <v>167</v>
      </c>
      <c r="D3094" s="8">
        <v>795.17</v>
      </c>
      <c r="E3094" s="9">
        <v>1</v>
      </c>
    </row>
    <row r="3095" spans="1:5" x14ac:dyDescent="0.25">
      <c r="A3095" s="7">
        <v>1</v>
      </c>
      <c r="B3095" s="7">
        <v>4494</v>
      </c>
      <c r="C3095" s="7">
        <v>167</v>
      </c>
      <c r="D3095" s="8">
        <v>795.17</v>
      </c>
      <c r="E3095" s="9">
        <v>1</v>
      </c>
    </row>
    <row r="3096" spans="1:5" x14ac:dyDescent="0.25">
      <c r="A3096" s="7">
        <v>1</v>
      </c>
      <c r="B3096" s="7">
        <v>4495</v>
      </c>
      <c r="C3096" s="7">
        <v>167</v>
      </c>
      <c r="D3096" s="8">
        <v>7537.21</v>
      </c>
      <c r="E3096" s="9">
        <v>1</v>
      </c>
    </row>
    <row r="3097" spans="1:5" x14ac:dyDescent="0.25">
      <c r="A3097" s="7">
        <v>1</v>
      </c>
      <c r="B3097" s="7">
        <v>4496</v>
      </c>
      <c r="C3097" s="7">
        <v>167</v>
      </c>
      <c r="D3097" s="8">
        <v>8268.75</v>
      </c>
      <c r="E3097" s="9">
        <v>1</v>
      </c>
    </row>
    <row r="3098" spans="1:5" x14ac:dyDescent="0.25">
      <c r="A3098" s="7">
        <v>1</v>
      </c>
      <c r="B3098" s="7">
        <v>4497</v>
      </c>
      <c r="C3098" s="7">
        <v>167</v>
      </c>
      <c r="D3098" s="8">
        <v>7537.21</v>
      </c>
      <c r="E3098" s="9">
        <v>1</v>
      </c>
    </row>
    <row r="3099" spans="1:5" x14ac:dyDescent="0.25">
      <c r="A3099" s="7">
        <v>1</v>
      </c>
      <c r="B3099" s="7">
        <v>4498</v>
      </c>
      <c r="C3099" s="7">
        <v>167</v>
      </c>
      <c r="D3099" s="8">
        <v>1298.49</v>
      </c>
      <c r="E3099" s="9">
        <v>1</v>
      </c>
    </row>
    <row r="3100" spans="1:5" x14ac:dyDescent="0.25">
      <c r="A3100" s="7">
        <v>1</v>
      </c>
      <c r="B3100" s="7">
        <v>4499</v>
      </c>
      <c r="C3100" s="7">
        <v>167</v>
      </c>
      <c r="D3100" s="8">
        <v>2336.9</v>
      </c>
      <c r="E3100" s="9">
        <v>1</v>
      </c>
    </row>
    <row r="3101" spans="1:5" x14ac:dyDescent="0.25">
      <c r="A3101" s="7">
        <v>1</v>
      </c>
      <c r="B3101" s="7">
        <v>4500</v>
      </c>
      <c r="C3101" s="7">
        <v>167</v>
      </c>
      <c r="D3101" s="8">
        <v>4481.24</v>
      </c>
      <c r="E3101" s="9">
        <v>1</v>
      </c>
    </row>
    <row r="3102" spans="1:5" x14ac:dyDescent="0.25">
      <c r="A3102" s="7">
        <v>1</v>
      </c>
      <c r="B3102" s="7">
        <v>4501</v>
      </c>
      <c r="C3102" s="7">
        <v>167</v>
      </c>
      <c r="D3102" s="8">
        <v>4979.43</v>
      </c>
      <c r="E3102" s="9">
        <v>1</v>
      </c>
    </row>
    <row r="3103" spans="1:5" x14ac:dyDescent="0.25">
      <c r="A3103" s="7">
        <v>1</v>
      </c>
      <c r="B3103" s="7">
        <v>4502</v>
      </c>
      <c r="C3103" s="7">
        <v>167</v>
      </c>
      <c r="D3103" s="8">
        <v>4481.21</v>
      </c>
      <c r="E3103" s="9">
        <v>1</v>
      </c>
    </row>
    <row r="3104" spans="1:5" x14ac:dyDescent="0.25">
      <c r="A3104" s="7">
        <v>1</v>
      </c>
      <c r="B3104" s="7">
        <v>4514</v>
      </c>
      <c r="C3104" s="7">
        <v>902</v>
      </c>
      <c r="D3104" s="8">
        <v>116317.66</v>
      </c>
      <c r="E3104" s="9">
        <v>1</v>
      </c>
    </row>
    <row r="3105" spans="1:5" x14ac:dyDescent="0.25">
      <c r="A3105" s="7">
        <v>1</v>
      </c>
      <c r="B3105" s="7">
        <v>4560</v>
      </c>
      <c r="C3105" s="7">
        <v>150</v>
      </c>
      <c r="D3105" s="8">
        <v>30919.15</v>
      </c>
      <c r="E3105" s="9">
        <v>1</v>
      </c>
    </row>
    <row r="3106" spans="1:5" x14ac:dyDescent="0.25">
      <c r="A3106" s="7">
        <v>1</v>
      </c>
      <c r="B3106" s="7">
        <v>4561</v>
      </c>
      <c r="C3106" s="7">
        <v>150</v>
      </c>
      <c r="D3106" s="8">
        <v>107067.22</v>
      </c>
      <c r="E3106" s="9">
        <v>1</v>
      </c>
    </row>
    <row r="3107" spans="1:5" x14ac:dyDescent="0.25">
      <c r="A3107" s="7">
        <v>1</v>
      </c>
      <c r="B3107" s="7">
        <v>4562</v>
      </c>
      <c r="C3107" s="7">
        <v>150</v>
      </c>
      <c r="D3107" s="8">
        <v>30919.13</v>
      </c>
      <c r="E3107" s="9">
        <v>1</v>
      </c>
    </row>
    <row r="3108" spans="1:5" x14ac:dyDescent="0.25">
      <c r="A3108" s="7">
        <v>1</v>
      </c>
      <c r="B3108" s="7">
        <v>4563</v>
      </c>
      <c r="C3108" s="7">
        <v>150</v>
      </c>
      <c r="D3108" s="8">
        <v>107067.22</v>
      </c>
      <c r="E3108" s="9">
        <v>1</v>
      </c>
    </row>
    <row r="3109" spans="1:5" x14ac:dyDescent="0.25">
      <c r="A3109" s="7">
        <v>1</v>
      </c>
      <c r="B3109" s="7">
        <v>4564</v>
      </c>
      <c r="C3109" s="7">
        <v>150</v>
      </c>
      <c r="D3109" s="8">
        <v>30919.13</v>
      </c>
      <c r="E3109" s="9">
        <v>1</v>
      </c>
    </row>
    <row r="3110" spans="1:5" x14ac:dyDescent="0.25">
      <c r="A3110" s="7">
        <v>1</v>
      </c>
      <c r="B3110" s="7">
        <v>4565</v>
      </c>
      <c r="C3110" s="7">
        <v>150</v>
      </c>
      <c r="D3110" s="8">
        <v>107067.22</v>
      </c>
      <c r="E3110" s="9">
        <v>1</v>
      </c>
    </row>
    <row r="3111" spans="1:5" x14ac:dyDescent="0.25">
      <c r="A3111" s="7">
        <v>1</v>
      </c>
      <c r="B3111" s="7">
        <v>4574</v>
      </c>
      <c r="C3111" s="7">
        <v>167</v>
      </c>
      <c r="D3111" s="8">
        <v>4832.12</v>
      </c>
      <c r="E3111" s="9">
        <v>1</v>
      </c>
    </row>
    <row r="3112" spans="1:5" x14ac:dyDescent="0.25">
      <c r="A3112" s="7">
        <v>1</v>
      </c>
      <c r="B3112" s="7">
        <v>4575</v>
      </c>
      <c r="C3112" s="7">
        <v>104</v>
      </c>
      <c r="D3112" s="8">
        <v>35307.69</v>
      </c>
      <c r="E3112" s="9">
        <v>1</v>
      </c>
    </row>
    <row r="3113" spans="1:5" x14ac:dyDescent="0.25">
      <c r="A3113" s="7">
        <v>1</v>
      </c>
      <c r="B3113" s="7">
        <v>4576</v>
      </c>
      <c r="C3113" s="7">
        <v>130</v>
      </c>
      <c r="D3113" s="8">
        <v>127189.43</v>
      </c>
      <c r="E3113" s="9">
        <v>1</v>
      </c>
    </row>
    <row r="3114" spans="1:5" x14ac:dyDescent="0.25">
      <c r="A3114" s="7">
        <v>1</v>
      </c>
      <c r="B3114" s="7">
        <v>4577</v>
      </c>
      <c r="C3114" s="7">
        <v>163</v>
      </c>
      <c r="D3114" s="8">
        <v>54929.32</v>
      </c>
      <c r="E3114" s="9">
        <v>1</v>
      </c>
    </row>
    <row r="3115" spans="1:5" x14ac:dyDescent="0.25">
      <c r="A3115" s="7">
        <v>1</v>
      </c>
      <c r="B3115" s="7">
        <v>4579</v>
      </c>
      <c r="C3115" s="7">
        <v>167</v>
      </c>
      <c r="D3115" s="8">
        <v>1009.98</v>
      </c>
      <c r="E3115" s="9">
        <v>1</v>
      </c>
    </row>
    <row r="3116" spans="1:5" x14ac:dyDescent="0.25">
      <c r="A3116" s="7">
        <v>1</v>
      </c>
      <c r="B3116" s="7">
        <v>4586</v>
      </c>
      <c r="C3116" s="7">
        <v>162</v>
      </c>
      <c r="D3116" s="8">
        <v>267.54</v>
      </c>
      <c r="E3116" s="9">
        <v>3</v>
      </c>
    </row>
    <row r="3117" spans="1:5" x14ac:dyDescent="0.25">
      <c r="A3117" s="7">
        <v>1</v>
      </c>
      <c r="B3117" s="7">
        <v>4589</v>
      </c>
      <c r="C3117" s="7">
        <v>152</v>
      </c>
      <c r="D3117" s="8">
        <v>82954.33</v>
      </c>
      <c r="E3117" s="9">
        <v>1</v>
      </c>
    </row>
    <row r="3118" spans="1:5" x14ac:dyDescent="0.25">
      <c r="A3118" s="7">
        <v>1</v>
      </c>
      <c r="B3118" s="7">
        <v>4606</v>
      </c>
      <c r="C3118" s="7">
        <v>154</v>
      </c>
      <c r="D3118" s="8">
        <v>9571.5</v>
      </c>
      <c r="E3118" s="9">
        <v>1</v>
      </c>
    </row>
    <row r="3119" spans="1:5" x14ac:dyDescent="0.25">
      <c r="A3119" s="7">
        <v>1</v>
      </c>
      <c r="B3119" s="7">
        <v>4607</v>
      </c>
      <c r="C3119" s="7">
        <v>154</v>
      </c>
      <c r="D3119" s="8">
        <v>33321.9</v>
      </c>
      <c r="E3119" s="9">
        <v>1</v>
      </c>
    </row>
    <row r="3120" spans="1:5" x14ac:dyDescent="0.25">
      <c r="A3120" s="7">
        <v>1</v>
      </c>
      <c r="B3120" s="7">
        <v>4608</v>
      </c>
      <c r="C3120" s="7">
        <v>154</v>
      </c>
      <c r="D3120" s="8">
        <v>80619.11</v>
      </c>
      <c r="E3120" s="9">
        <v>1</v>
      </c>
    </row>
    <row r="3121" spans="1:5" x14ac:dyDescent="0.25">
      <c r="A3121" s="7">
        <v>1</v>
      </c>
      <c r="B3121" s="7">
        <v>4609</v>
      </c>
      <c r="C3121" s="7">
        <v>154</v>
      </c>
      <c r="D3121" s="8">
        <v>145293.67</v>
      </c>
      <c r="E3121" s="9">
        <v>1</v>
      </c>
    </row>
    <row r="3122" spans="1:5" x14ac:dyDescent="0.25">
      <c r="A3122" s="7">
        <v>1</v>
      </c>
      <c r="B3122" s="7">
        <v>4610</v>
      </c>
      <c r="C3122" s="7">
        <v>163</v>
      </c>
      <c r="D3122" s="8">
        <v>44915.05</v>
      </c>
      <c r="E3122" s="9">
        <v>1</v>
      </c>
    </row>
    <row r="3123" spans="1:5" x14ac:dyDescent="0.25">
      <c r="A3123" s="7">
        <v>1</v>
      </c>
      <c r="B3123" s="7">
        <v>4611</v>
      </c>
      <c r="C3123" s="7">
        <v>185</v>
      </c>
      <c r="D3123" s="8">
        <v>10410.52</v>
      </c>
      <c r="E3123" s="9">
        <v>1</v>
      </c>
    </row>
    <row r="3124" spans="1:5" x14ac:dyDescent="0.25">
      <c r="A3124" s="7">
        <v>1</v>
      </c>
      <c r="B3124" s="7">
        <v>4612</v>
      </c>
      <c r="C3124" s="7">
        <v>185</v>
      </c>
      <c r="D3124" s="8">
        <v>10410.52</v>
      </c>
      <c r="E3124" s="9">
        <v>1</v>
      </c>
    </row>
    <row r="3125" spans="1:5" x14ac:dyDescent="0.25">
      <c r="A3125" s="7">
        <v>1</v>
      </c>
      <c r="B3125" s="7">
        <v>4617</v>
      </c>
      <c r="C3125" s="7">
        <v>173</v>
      </c>
      <c r="D3125" s="8">
        <v>3000.32</v>
      </c>
      <c r="E3125" s="9">
        <v>1</v>
      </c>
    </row>
    <row r="3126" spans="1:5" x14ac:dyDescent="0.25">
      <c r="A3126" s="7">
        <v>1</v>
      </c>
      <c r="B3126" s="7">
        <v>4625</v>
      </c>
      <c r="C3126" s="7">
        <v>173</v>
      </c>
      <c r="D3126" s="8">
        <v>3125.71</v>
      </c>
      <c r="E3126" s="9">
        <v>1</v>
      </c>
    </row>
    <row r="3127" spans="1:5" x14ac:dyDescent="0.25">
      <c r="A3127" s="7">
        <v>1</v>
      </c>
      <c r="B3127" s="7">
        <v>4626</v>
      </c>
      <c r="C3127" s="7">
        <v>192</v>
      </c>
      <c r="D3127" s="8">
        <v>332273.89</v>
      </c>
      <c r="E3127" s="9">
        <v>1</v>
      </c>
    </row>
    <row r="3128" spans="1:5" x14ac:dyDescent="0.25">
      <c r="A3128" s="7">
        <v>1</v>
      </c>
      <c r="B3128" s="7">
        <v>4626</v>
      </c>
      <c r="C3128" s="7">
        <v>192</v>
      </c>
      <c r="D3128" s="8">
        <v>332273.89</v>
      </c>
      <c r="E3128" s="9">
        <v>1</v>
      </c>
    </row>
    <row r="3129" spans="1:5" x14ac:dyDescent="0.25">
      <c r="A3129" s="7">
        <v>1</v>
      </c>
      <c r="B3129" s="7">
        <v>4627</v>
      </c>
      <c r="C3129" s="7">
        <v>192</v>
      </c>
      <c r="D3129" s="8">
        <v>13591.56</v>
      </c>
      <c r="E3129" s="9">
        <v>1</v>
      </c>
    </row>
    <row r="3130" spans="1:5" x14ac:dyDescent="0.25">
      <c r="A3130" s="7">
        <v>1</v>
      </c>
      <c r="B3130" s="7">
        <v>4629</v>
      </c>
      <c r="C3130" s="7">
        <v>163</v>
      </c>
      <c r="D3130" s="8">
        <v>181129.02</v>
      </c>
      <c r="E3130" s="9">
        <v>1</v>
      </c>
    </row>
    <row r="3131" spans="1:5" x14ac:dyDescent="0.25">
      <c r="A3131" s="7">
        <v>1</v>
      </c>
      <c r="B3131" s="7">
        <v>4641</v>
      </c>
      <c r="C3131" s="7">
        <v>136</v>
      </c>
      <c r="D3131" s="8">
        <v>16.02</v>
      </c>
      <c r="E3131" s="9">
        <v>2</v>
      </c>
    </row>
    <row r="3132" spans="1:5" x14ac:dyDescent="0.25">
      <c r="A3132" s="7">
        <v>1</v>
      </c>
      <c r="B3132" s="7">
        <v>4642</v>
      </c>
      <c r="C3132" s="7">
        <v>136</v>
      </c>
      <c r="D3132" s="8">
        <v>16.02</v>
      </c>
      <c r="E3132" s="9">
        <v>2</v>
      </c>
    </row>
    <row r="3133" spans="1:5" x14ac:dyDescent="0.25">
      <c r="A3133" s="7">
        <v>1</v>
      </c>
      <c r="B3133" s="7">
        <v>4643</v>
      </c>
      <c r="C3133" s="7">
        <v>136</v>
      </c>
      <c r="D3133" s="8">
        <v>16.02</v>
      </c>
      <c r="E3133" s="9">
        <v>2</v>
      </c>
    </row>
    <row r="3134" spans="1:5" x14ac:dyDescent="0.25">
      <c r="A3134" s="7">
        <v>1</v>
      </c>
      <c r="B3134" s="7">
        <v>4644</v>
      </c>
      <c r="C3134" s="7">
        <v>136</v>
      </c>
      <c r="D3134" s="8">
        <v>19.99</v>
      </c>
      <c r="E3134" s="9">
        <v>2</v>
      </c>
    </row>
    <row r="3135" spans="1:5" x14ac:dyDescent="0.25">
      <c r="A3135" s="7">
        <v>1</v>
      </c>
      <c r="B3135" s="7">
        <v>4645</v>
      </c>
      <c r="C3135" s="7">
        <v>136</v>
      </c>
      <c r="D3135" s="8">
        <v>19.99</v>
      </c>
      <c r="E3135" s="9">
        <v>2</v>
      </c>
    </row>
    <row r="3136" spans="1:5" x14ac:dyDescent="0.25">
      <c r="A3136" s="7">
        <v>1</v>
      </c>
      <c r="B3136" s="7">
        <v>4646</v>
      </c>
      <c r="C3136" s="7">
        <v>136</v>
      </c>
      <c r="D3136" s="8">
        <v>19.99</v>
      </c>
      <c r="E3136" s="9">
        <v>2</v>
      </c>
    </row>
    <row r="3137" spans="1:5" x14ac:dyDescent="0.25">
      <c r="A3137" s="7">
        <v>1</v>
      </c>
      <c r="B3137" s="7">
        <v>4651</v>
      </c>
      <c r="C3137" s="7">
        <v>130</v>
      </c>
      <c r="D3137" s="8">
        <v>4181505.51</v>
      </c>
      <c r="E3137" s="9">
        <v>1</v>
      </c>
    </row>
    <row r="3138" spans="1:5" x14ac:dyDescent="0.25">
      <c r="A3138" s="7">
        <v>1</v>
      </c>
      <c r="B3138" s="7">
        <v>4653</v>
      </c>
      <c r="C3138" s="7">
        <v>130</v>
      </c>
      <c r="D3138" s="8">
        <v>4425690.78</v>
      </c>
      <c r="E3138" s="9">
        <v>1</v>
      </c>
    </row>
    <row r="3139" spans="1:5" x14ac:dyDescent="0.25">
      <c r="A3139" s="7">
        <v>1</v>
      </c>
      <c r="B3139" s="7">
        <v>4670</v>
      </c>
      <c r="C3139" s="7">
        <v>150</v>
      </c>
      <c r="D3139" s="8">
        <v>69911.68</v>
      </c>
      <c r="E3139" s="9">
        <v>1</v>
      </c>
    </row>
    <row r="3140" spans="1:5" x14ac:dyDescent="0.25">
      <c r="A3140" s="7">
        <v>1</v>
      </c>
      <c r="B3140" s="7">
        <v>4689</v>
      </c>
      <c r="C3140" s="7">
        <v>139</v>
      </c>
      <c r="D3140" s="8">
        <v>360030.28</v>
      </c>
      <c r="E3140" s="9">
        <v>1</v>
      </c>
    </row>
    <row r="3141" spans="1:5" x14ac:dyDescent="0.25">
      <c r="A3141" s="7">
        <v>1</v>
      </c>
      <c r="B3141" s="7">
        <v>4692</v>
      </c>
      <c r="C3141" s="7">
        <v>130</v>
      </c>
      <c r="D3141" s="8">
        <v>52358.9</v>
      </c>
      <c r="E3141" s="9">
        <v>1</v>
      </c>
    </row>
    <row r="3142" spans="1:5" x14ac:dyDescent="0.25">
      <c r="A3142" s="7">
        <v>1</v>
      </c>
      <c r="B3142" s="7">
        <v>4693</v>
      </c>
      <c r="C3142" s="7">
        <v>130</v>
      </c>
      <c r="D3142" s="8">
        <v>41972.81</v>
      </c>
      <c r="E3142" s="9">
        <v>1</v>
      </c>
    </row>
    <row r="3143" spans="1:5" x14ac:dyDescent="0.25">
      <c r="A3143" s="7">
        <v>1</v>
      </c>
      <c r="B3143" s="7">
        <v>4696</v>
      </c>
      <c r="C3143" s="7">
        <v>120</v>
      </c>
      <c r="D3143" s="8">
        <v>26924.35</v>
      </c>
      <c r="E3143" s="9">
        <v>1</v>
      </c>
    </row>
    <row r="3144" spans="1:5" x14ac:dyDescent="0.25">
      <c r="A3144" s="7">
        <v>1</v>
      </c>
      <c r="B3144" s="7">
        <v>4697</v>
      </c>
      <c r="C3144" s="7">
        <v>120</v>
      </c>
      <c r="D3144" s="8">
        <v>268970</v>
      </c>
      <c r="E3144" s="9">
        <v>1</v>
      </c>
    </row>
    <row r="3145" spans="1:5" x14ac:dyDescent="0.25">
      <c r="A3145" s="7">
        <v>1</v>
      </c>
      <c r="B3145" s="7">
        <v>4706</v>
      </c>
      <c r="C3145" s="7">
        <v>152</v>
      </c>
      <c r="D3145" s="8">
        <v>75141</v>
      </c>
      <c r="E3145" s="9">
        <v>1</v>
      </c>
    </row>
    <row r="3146" spans="1:5" x14ac:dyDescent="0.25">
      <c r="A3146" s="7">
        <v>1</v>
      </c>
      <c r="B3146" s="7">
        <v>4708</v>
      </c>
      <c r="C3146" s="7">
        <v>175</v>
      </c>
      <c r="D3146" s="8">
        <v>12791.5</v>
      </c>
      <c r="E3146" s="9">
        <v>1</v>
      </c>
    </row>
    <row r="3147" spans="1:5" x14ac:dyDescent="0.25">
      <c r="A3147" s="7">
        <v>1</v>
      </c>
      <c r="B3147" s="7">
        <v>4709</v>
      </c>
      <c r="C3147" s="7">
        <v>175</v>
      </c>
      <c r="D3147" s="8">
        <v>45545.03</v>
      </c>
      <c r="E3147" s="9">
        <v>1</v>
      </c>
    </row>
    <row r="3148" spans="1:5" x14ac:dyDescent="0.25">
      <c r="A3148" s="7">
        <v>1</v>
      </c>
      <c r="B3148" s="7">
        <v>4710</v>
      </c>
      <c r="C3148" s="7">
        <v>175</v>
      </c>
      <c r="D3148" s="8">
        <v>97347</v>
      </c>
      <c r="E3148" s="9">
        <v>1</v>
      </c>
    </row>
    <row r="3149" spans="1:5" x14ac:dyDescent="0.25">
      <c r="A3149" s="7">
        <v>1</v>
      </c>
      <c r="B3149" s="7">
        <v>4711</v>
      </c>
      <c r="C3149" s="7">
        <v>175</v>
      </c>
      <c r="D3149" s="8">
        <v>169007.41</v>
      </c>
      <c r="E3149" s="9">
        <v>1</v>
      </c>
    </row>
    <row r="3150" spans="1:5" x14ac:dyDescent="0.25">
      <c r="A3150" s="7">
        <v>1</v>
      </c>
      <c r="B3150" s="7">
        <v>4712</v>
      </c>
      <c r="C3150" s="7">
        <v>175</v>
      </c>
      <c r="D3150" s="8">
        <v>10746.55</v>
      </c>
      <c r="E3150" s="9">
        <v>1</v>
      </c>
    </row>
    <row r="3151" spans="1:5" x14ac:dyDescent="0.25">
      <c r="A3151" s="7">
        <v>1</v>
      </c>
      <c r="B3151" s="7">
        <v>4713</v>
      </c>
      <c r="C3151" s="7">
        <v>175</v>
      </c>
      <c r="D3151" s="8">
        <v>38258.47</v>
      </c>
      <c r="E3151" s="9">
        <v>1</v>
      </c>
    </row>
    <row r="3152" spans="1:5" x14ac:dyDescent="0.25">
      <c r="A3152" s="7">
        <v>1</v>
      </c>
      <c r="B3152" s="7">
        <v>4714</v>
      </c>
      <c r="C3152" s="7">
        <v>175</v>
      </c>
      <c r="D3152" s="8">
        <v>81755.14</v>
      </c>
      <c r="E3152" s="9">
        <v>1</v>
      </c>
    </row>
    <row r="3153" spans="1:5" x14ac:dyDescent="0.25">
      <c r="A3153" s="7">
        <v>1</v>
      </c>
      <c r="B3153" s="7">
        <v>4715</v>
      </c>
      <c r="C3153" s="7">
        <v>175</v>
      </c>
      <c r="D3153" s="8">
        <v>141972.12</v>
      </c>
      <c r="E3153" s="9">
        <v>1</v>
      </c>
    </row>
    <row r="3154" spans="1:5" x14ac:dyDescent="0.25">
      <c r="A3154" s="7">
        <v>1</v>
      </c>
      <c r="B3154" s="7">
        <v>4716</v>
      </c>
      <c r="C3154" s="7">
        <v>175</v>
      </c>
      <c r="D3154" s="8">
        <v>9207.4</v>
      </c>
      <c r="E3154" s="9">
        <v>1</v>
      </c>
    </row>
    <row r="3155" spans="1:5" x14ac:dyDescent="0.25">
      <c r="A3155" s="7">
        <v>1</v>
      </c>
      <c r="B3155" s="7">
        <v>4717</v>
      </c>
      <c r="C3155" s="7">
        <v>175</v>
      </c>
      <c r="D3155" s="8">
        <v>32785.83</v>
      </c>
      <c r="E3155" s="9">
        <v>1</v>
      </c>
    </row>
    <row r="3156" spans="1:5" x14ac:dyDescent="0.25">
      <c r="A3156" s="7">
        <v>1</v>
      </c>
      <c r="B3156" s="7">
        <v>4718</v>
      </c>
      <c r="C3156" s="7">
        <v>175</v>
      </c>
      <c r="D3156" s="8">
        <v>70088.83</v>
      </c>
      <c r="E3156" s="9">
        <v>1</v>
      </c>
    </row>
    <row r="3157" spans="1:5" x14ac:dyDescent="0.25">
      <c r="A3157" s="7">
        <v>1</v>
      </c>
      <c r="B3157" s="7">
        <v>4719</v>
      </c>
      <c r="C3157" s="7">
        <v>175</v>
      </c>
      <c r="D3157" s="8">
        <v>121703.1</v>
      </c>
      <c r="E3157" s="9">
        <v>1</v>
      </c>
    </row>
    <row r="3158" spans="1:5" x14ac:dyDescent="0.25">
      <c r="A3158" s="7">
        <v>1</v>
      </c>
      <c r="B3158" s="7">
        <v>4720</v>
      </c>
      <c r="C3158" s="7">
        <v>175</v>
      </c>
      <c r="D3158" s="8">
        <v>13500.05</v>
      </c>
      <c r="E3158" s="9">
        <v>1</v>
      </c>
    </row>
    <row r="3159" spans="1:5" x14ac:dyDescent="0.25">
      <c r="A3159" s="7">
        <v>1</v>
      </c>
      <c r="B3159" s="7">
        <v>4721</v>
      </c>
      <c r="C3159" s="7">
        <v>175</v>
      </c>
      <c r="D3159" s="8">
        <v>48111.95</v>
      </c>
      <c r="E3159" s="9">
        <v>1</v>
      </c>
    </row>
    <row r="3160" spans="1:5" x14ac:dyDescent="0.25">
      <c r="A3160" s="7">
        <v>1</v>
      </c>
      <c r="B3160" s="7">
        <v>4722</v>
      </c>
      <c r="C3160" s="7">
        <v>175</v>
      </c>
      <c r="D3160" s="8">
        <v>102866.69</v>
      </c>
      <c r="E3160" s="9">
        <v>1</v>
      </c>
    </row>
    <row r="3161" spans="1:5" x14ac:dyDescent="0.25">
      <c r="A3161" s="7">
        <v>1</v>
      </c>
      <c r="B3161" s="7">
        <v>4723</v>
      </c>
      <c r="C3161" s="7">
        <v>175</v>
      </c>
      <c r="D3161" s="8">
        <v>178556.99</v>
      </c>
      <c r="E3161" s="9">
        <v>1</v>
      </c>
    </row>
    <row r="3162" spans="1:5" x14ac:dyDescent="0.25">
      <c r="A3162" s="7">
        <v>1</v>
      </c>
      <c r="B3162" s="7">
        <v>4724</v>
      </c>
      <c r="C3162" s="7">
        <v>175</v>
      </c>
      <c r="D3162" s="8">
        <v>11622.63</v>
      </c>
      <c r="E3162" s="9">
        <v>1</v>
      </c>
    </row>
    <row r="3163" spans="1:5" x14ac:dyDescent="0.25">
      <c r="A3163" s="7">
        <v>1</v>
      </c>
      <c r="B3163" s="7">
        <v>4725</v>
      </c>
      <c r="C3163" s="7">
        <v>175</v>
      </c>
      <c r="D3163" s="8">
        <v>41362.22</v>
      </c>
      <c r="E3163" s="9">
        <v>1</v>
      </c>
    </row>
    <row r="3164" spans="1:5" x14ac:dyDescent="0.25">
      <c r="A3164" s="7">
        <v>1</v>
      </c>
      <c r="B3164" s="7">
        <v>4726</v>
      </c>
      <c r="C3164" s="7">
        <v>175</v>
      </c>
      <c r="D3164" s="8">
        <v>88465.97</v>
      </c>
      <c r="E3164" s="9">
        <v>1</v>
      </c>
    </row>
    <row r="3165" spans="1:5" x14ac:dyDescent="0.25">
      <c r="A3165" s="7">
        <v>1</v>
      </c>
      <c r="B3165" s="7">
        <v>4727</v>
      </c>
      <c r="C3165" s="7">
        <v>175</v>
      </c>
      <c r="D3165" s="8">
        <v>153562.9</v>
      </c>
      <c r="E3165" s="9">
        <v>1</v>
      </c>
    </row>
    <row r="3166" spans="1:5" x14ac:dyDescent="0.25">
      <c r="A3166" s="7">
        <v>1</v>
      </c>
      <c r="B3166" s="7">
        <v>4728</v>
      </c>
      <c r="C3166" s="7">
        <v>175</v>
      </c>
      <c r="D3166" s="8">
        <v>10128.05</v>
      </c>
      <c r="E3166" s="9">
        <v>1</v>
      </c>
    </row>
    <row r="3167" spans="1:5" x14ac:dyDescent="0.25">
      <c r="A3167" s="7">
        <v>1</v>
      </c>
      <c r="B3167" s="7">
        <v>4729</v>
      </c>
      <c r="C3167" s="7">
        <v>175</v>
      </c>
      <c r="D3167" s="8">
        <v>36090.97</v>
      </c>
      <c r="E3167" s="9">
        <v>1</v>
      </c>
    </row>
    <row r="3168" spans="1:5" x14ac:dyDescent="0.25">
      <c r="A3168" s="7">
        <v>1</v>
      </c>
      <c r="B3168" s="7">
        <v>4730</v>
      </c>
      <c r="C3168" s="7">
        <v>175</v>
      </c>
      <c r="D3168" s="8">
        <v>77149.82</v>
      </c>
      <c r="E3168" s="9">
        <v>1</v>
      </c>
    </row>
    <row r="3169" spans="1:5" x14ac:dyDescent="0.25">
      <c r="A3169" s="7">
        <v>1</v>
      </c>
      <c r="B3169" s="7">
        <v>4731</v>
      </c>
      <c r="C3169" s="7">
        <v>175</v>
      </c>
      <c r="D3169" s="8">
        <v>133913.03</v>
      </c>
      <c r="E3169" s="9">
        <v>1</v>
      </c>
    </row>
    <row r="3170" spans="1:5" x14ac:dyDescent="0.25">
      <c r="A3170" s="7">
        <v>1</v>
      </c>
      <c r="B3170" s="7">
        <v>4732</v>
      </c>
      <c r="C3170" s="7">
        <v>175</v>
      </c>
      <c r="D3170" s="8">
        <v>9195.75</v>
      </c>
      <c r="E3170" s="9">
        <v>1</v>
      </c>
    </row>
    <row r="3171" spans="1:5" x14ac:dyDescent="0.25">
      <c r="A3171" s="7">
        <v>1</v>
      </c>
      <c r="B3171" s="7">
        <v>4733</v>
      </c>
      <c r="C3171" s="7">
        <v>175</v>
      </c>
      <c r="D3171" s="8">
        <v>33393.21</v>
      </c>
      <c r="E3171" s="9">
        <v>1</v>
      </c>
    </row>
    <row r="3172" spans="1:5" x14ac:dyDescent="0.25">
      <c r="A3172" s="7">
        <v>1</v>
      </c>
      <c r="B3172" s="7">
        <v>4734</v>
      </c>
      <c r="C3172" s="7">
        <v>175</v>
      </c>
      <c r="D3172" s="8">
        <v>81028.27</v>
      </c>
      <c r="E3172" s="9">
        <v>1</v>
      </c>
    </row>
    <row r="3173" spans="1:5" x14ac:dyDescent="0.25">
      <c r="A3173" s="7">
        <v>1</v>
      </c>
      <c r="B3173" s="7">
        <v>4735</v>
      </c>
      <c r="C3173" s="7">
        <v>175</v>
      </c>
      <c r="D3173" s="8">
        <v>142360.75</v>
      </c>
      <c r="E3173" s="9">
        <v>1</v>
      </c>
    </row>
    <row r="3174" spans="1:5" x14ac:dyDescent="0.25">
      <c r="A3174" s="7">
        <v>1</v>
      </c>
      <c r="B3174" s="7">
        <v>4736</v>
      </c>
      <c r="C3174" s="7">
        <v>175</v>
      </c>
      <c r="D3174" s="8">
        <v>7911.03</v>
      </c>
      <c r="E3174" s="9">
        <v>1</v>
      </c>
    </row>
    <row r="3175" spans="1:5" x14ac:dyDescent="0.25">
      <c r="A3175" s="7">
        <v>1</v>
      </c>
      <c r="B3175" s="7">
        <v>4737</v>
      </c>
      <c r="C3175" s="7">
        <v>175</v>
      </c>
      <c r="D3175" s="8">
        <v>28703.22</v>
      </c>
      <c r="E3175" s="9">
        <v>1</v>
      </c>
    </row>
    <row r="3176" spans="1:5" x14ac:dyDescent="0.25">
      <c r="A3176" s="7">
        <v>1</v>
      </c>
      <c r="B3176" s="7">
        <v>4738</v>
      </c>
      <c r="C3176" s="7">
        <v>175</v>
      </c>
      <c r="D3176" s="8">
        <v>69722.36</v>
      </c>
      <c r="E3176" s="9">
        <v>1</v>
      </c>
    </row>
    <row r="3177" spans="1:5" x14ac:dyDescent="0.25">
      <c r="A3177" s="7">
        <v>1</v>
      </c>
      <c r="B3177" s="7">
        <v>4739</v>
      </c>
      <c r="C3177" s="7">
        <v>175</v>
      </c>
      <c r="D3177" s="8">
        <v>122431.8</v>
      </c>
      <c r="E3177" s="9">
        <v>1</v>
      </c>
    </row>
    <row r="3178" spans="1:5" x14ac:dyDescent="0.25">
      <c r="A3178" s="7">
        <v>1</v>
      </c>
      <c r="B3178" s="7">
        <v>4740</v>
      </c>
      <c r="C3178" s="7">
        <v>175</v>
      </c>
      <c r="D3178" s="8">
        <v>6895.35</v>
      </c>
      <c r="E3178" s="9">
        <v>1</v>
      </c>
    </row>
    <row r="3179" spans="1:5" x14ac:dyDescent="0.25">
      <c r="A3179" s="7">
        <v>1</v>
      </c>
      <c r="B3179" s="7">
        <v>4741</v>
      </c>
      <c r="C3179" s="7">
        <v>175</v>
      </c>
      <c r="D3179" s="8">
        <v>25027.8</v>
      </c>
      <c r="E3179" s="9">
        <v>1</v>
      </c>
    </row>
    <row r="3180" spans="1:5" x14ac:dyDescent="0.25">
      <c r="A3180" s="7">
        <v>1</v>
      </c>
      <c r="B3180" s="7">
        <v>4742</v>
      </c>
      <c r="C3180" s="7">
        <v>175</v>
      </c>
      <c r="D3180" s="8">
        <v>60807.91</v>
      </c>
      <c r="E3180" s="9">
        <v>1</v>
      </c>
    </row>
    <row r="3181" spans="1:5" x14ac:dyDescent="0.25">
      <c r="A3181" s="7">
        <v>1</v>
      </c>
      <c r="B3181" s="7">
        <v>4743</v>
      </c>
      <c r="C3181" s="7">
        <v>175</v>
      </c>
      <c r="D3181" s="8">
        <v>106765.85</v>
      </c>
      <c r="E3181" s="9">
        <v>1</v>
      </c>
    </row>
    <row r="3182" spans="1:5" x14ac:dyDescent="0.25">
      <c r="A3182" s="7">
        <v>1</v>
      </c>
      <c r="B3182" s="7">
        <v>4744</v>
      </c>
      <c r="C3182" s="7">
        <v>175</v>
      </c>
      <c r="D3182" s="8">
        <v>164156.47</v>
      </c>
      <c r="E3182" s="9">
        <v>1</v>
      </c>
    </row>
    <row r="3183" spans="1:5" x14ac:dyDescent="0.25">
      <c r="A3183" s="7">
        <v>1</v>
      </c>
      <c r="B3183" s="7">
        <v>4745</v>
      </c>
      <c r="C3183" s="7">
        <v>175</v>
      </c>
      <c r="D3183" s="8">
        <v>302924.55</v>
      </c>
      <c r="E3183" s="9">
        <v>1</v>
      </c>
    </row>
    <row r="3184" spans="1:5" x14ac:dyDescent="0.25">
      <c r="A3184" s="7">
        <v>1</v>
      </c>
      <c r="B3184" s="7">
        <v>4746</v>
      </c>
      <c r="C3184" s="7">
        <v>175</v>
      </c>
      <c r="D3184" s="8">
        <v>116924.04</v>
      </c>
      <c r="E3184" s="9">
        <v>1</v>
      </c>
    </row>
    <row r="3185" spans="1:5" x14ac:dyDescent="0.25">
      <c r="A3185" s="7">
        <v>1</v>
      </c>
      <c r="B3185" s="7">
        <v>4747</v>
      </c>
      <c r="C3185" s="7">
        <v>175</v>
      </c>
      <c r="D3185" s="8">
        <v>229391.7</v>
      </c>
      <c r="E3185" s="9">
        <v>1</v>
      </c>
    </row>
    <row r="3186" spans="1:5" x14ac:dyDescent="0.25">
      <c r="A3186" s="7">
        <v>1</v>
      </c>
      <c r="B3186" s="7">
        <v>4748</v>
      </c>
      <c r="C3186" s="7">
        <v>175</v>
      </c>
      <c r="D3186" s="8">
        <v>187480.9</v>
      </c>
      <c r="E3186" s="9">
        <v>1</v>
      </c>
    </row>
    <row r="3187" spans="1:5" x14ac:dyDescent="0.25">
      <c r="A3187" s="7">
        <v>1</v>
      </c>
      <c r="B3187" s="7">
        <v>4749</v>
      </c>
      <c r="C3187" s="7">
        <v>175</v>
      </c>
      <c r="D3187" s="8">
        <v>222276.54</v>
      </c>
      <c r="E3187" s="9">
        <v>1</v>
      </c>
    </row>
    <row r="3188" spans="1:5" x14ac:dyDescent="0.25">
      <c r="A3188" s="7">
        <v>1</v>
      </c>
      <c r="B3188" s="7">
        <v>4750</v>
      </c>
      <c r="C3188" s="7">
        <v>175</v>
      </c>
      <c r="D3188" s="8">
        <v>139485.82</v>
      </c>
      <c r="E3188" s="9">
        <v>1</v>
      </c>
    </row>
    <row r="3189" spans="1:5" x14ac:dyDescent="0.25">
      <c r="A3189" s="7">
        <v>1</v>
      </c>
      <c r="B3189" s="7">
        <v>4751</v>
      </c>
      <c r="C3189" s="7">
        <v>175</v>
      </c>
      <c r="D3189" s="8">
        <v>328172.54</v>
      </c>
      <c r="E3189" s="9">
        <v>1</v>
      </c>
    </row>
    <row r="3190" spans="1:5" x14ac:dyDescent="0.25">
      <c r="A3190" s="7">
        <v>1</v>
      </c>
      <c r="B3190" s="7">
        <v>4752</v>
      </c>
      <c r="C3190" s="7">
        <v>175</v>
      </c>
      <c r="D3190" s="8">
        <v>249996.25</v>
      </c>
      <c r="E3190" s="9">
        <v>1</v>
      </c>
    </row>
    <row r="3191" spans="1:5" x14ac:dyDescent="0.25">
      <c r="A3191" s="7">
        <v>1</v>
      </c>
      <c r="B3191" s="7">
        <v>4753</v>
      </c>
      <c r="C3191" s="7">
        <v>175</v>
      </c>
      <c r="D3191" s="8">
        <v>116364.78</v>
      </c>
      <c r="E3191" s="9">
        <v>1</v>
      </c>
    </row>
    <row r="3192" spans="1:5" x14ac:dyDescent="0.25">
      <c r="A3192" s="7">
        <v>1</v>
      </c>
      <c r="B3192" s="7">
        <v>4754</v>
      </c>
      <c r="C3192" s="7">
        <v>175</v>
      </c>
      <c r="D3192" s="8">
        <v>204049.03</v>
      </c>
      <c r="E3192" s="9">
        <v>1</v>
      </c>
    </row>
    <row r="3193" spans="1:5" x14ac:dyDescent="0.25">
      <c r="A3193" s="7">
        <v>1</v>
      </c>
      <c r="B3193" s="7">
        <v>4755</v>
      </c>
      <c r="C3193" s="7">
        <v>175</v>
      </c>
      <c r="D3193" s="8">
        <v>353417.69</v>
      </c>
      <c r="E3193" s="9">
        <v>1</v>
      </c>
    </row>
    <row r="3194" spans="1:5" x14ac:dyDescent="0.25">
      <c r="A3194" s="7">
        <v>1</v>
      </c>
      <c r="B3194" s="7">
        <v>4756</v>
      </c>
      <c r="C3194" s="7">
        <v>175</v>
      </c>
      <c r="D3194" s="8">
        <v>99565.39</v>
      </c>
      <c r="E3194" s="9">
        <v>1</v>
      </c>
    </row>
    <row r="3195" spans="1:5" x14ac:dyDescent="0.25">
      <c r="A3195" s="7">
        <v>1</v>
      </c>
      <c r="B3195" s="7">
        <v>4757</v>
      </c>
      <c r="C3195" s="7">
        <v>175</v>
      </c>
      <c r="D3195" s="8">
        <v>227197.76</v>
      </c>
      <c r="E3195" s="9">
        <v>1</v>
      </c>
    </row>
    <row r="3196" spans="1:5" x14ac:dyDescent="0.25">
      <c r="A3196" s="7">
        <v>1</v>
      </c>
      <c r="B3196" s="7">
        <v>4758</v>
      </c>
      <c r="C3196" s="7">
        <v>175</v>
      </c>
      <c r="D3196" s="8">
        <v>96490.81</v>
      </c>
      <c r="E3196" s="9">
        <v>1</v>
      </c>
    </row>
    <row r="3197" spans="1:5" x14ac:dyDescent="0.25">
      <c r="A3197" s="7">
        <v>1</v>
      </c>
      <c r="B3197" s="7">
        <v>4759</v>
      </c>
      <c r="C3197" s="7">
        <v>175</v>
      </c>
      <c r="D3197" s="8">
        <v>126497.15</v>
      </c>
      <c r="E3197" s="9">
        <v>1</v>
      </c>
    </row>
    <row r="3198" spans="1:5" x14ac:dyDescent="0.25">
      <c r="A3198" s="7">
        <v>1</v>
      </c>
      <c r="B3198" s="7">
        <v>4800</v>
      </c>
      <c r="C3198" s="7">
        <v>134</v>
      </c>
      <c r="D3198" s="8">
        <v>160.79</v>
      </c>
      <c r="E3198" s="9">
        <v>3</v>
      </c>
    </row>
    <row r="3199" spans="1:5" x14ac:dyDescent="0.25">
      <c r="A3199" s="7">
        <v>1</v>
      </c>
      <c r="B3199" s="7">
        <v>4801</v>
      </c>
      <c r="C3199" s="7">
        <v>163</v>
      </c>
      <c r="D3199" s="8">
        <v>5807.32</v>
      </c>
      <c r="E3199" s="9">
        <v>1</v>
      </c>
    </row>
    <row r="3200" spans="1:5" x14ac:dyDescent="0.25">
      <c r="A3200" s="7">
        <v>1</v>
      </c>
      <c r="B3200" s="7">
        <v>4802</v>
      </c>
      <c r="C3200" s="7">
        <v>163</v>
      </c>
      <c r="D3200" s="8">
        <v>15460.76</v>
      </c>
      <c r="E3200" s="9">
        <v>1</v>
      </c>
    </row>
    <row r="3201" spans="1:5" x14ac:dyDescent="0.25">
      <c r="A3201" s="7">
        <v>1</v>
      </c>
      <c r="B3201" s="7">
        <v>4803</v>
      </c>
      <c r="C3201" s="7">
        <v>163</v>
      </c>
      <c r="D3201" s="8">
        <v>31374.44</v>
      </c>
      <c r="E3201" s="9">
        <v>1</v>
      </c>
    </row>
    <row r="3202" spans="1:5" x14ac:dyDescent="0.25">
      <c r="A3202" s="7">
        <v>1</v>
      </c>
      <c r="B3202" s="7">
        <v>4804</v>
      </c>
      <c r="C3202" s="7">
        <v>163</v>
      </c>
      <c r="D3202" s="8">
        <v>54085.72</v>
      </c>
      <c r="E3202" s="9">
        <v>1</v>
      </c>
    </row>
    <row r="3203" spans="1:5" x14ac:dyDescent="0.25">
      <c r="A3203" s="7">
        <v>1</v>
      </c>
      <c r="B3203" s="7">
        <v>4805</v>
      </c>
      <c r="C3203" s="7">
        <v>163</v>
      </c>
      <c r="D3203" s="8">
        <v>285396.63</v>
      </c>
      <c r="E3203" s="9">
        <v>1</v>
      </c>
    </row>
    <row r="3204" spans="1:5" x14ac:dyDescent="0.25">
      <c r="A3204" s="7">
        <v>1</v>
      </c>
      <c r="B3204" s="7">
        <v>4808</v>
      </c>
      <c r="C3204" s="7">
        <v>152</v>
      </c>
      <c r="D3204" s="8">
        <v>44098.02</v>
      </c>
      <c r="E3204" s="9">
        <v>1</v>
      </c>
    </row>
    <row r="3205" spans="1:5" x14ac:dyDescent="0.25">
      <c r="A3205" s="7">
        <v>1</v>
      </c>
      <c r="B3205" s="7">
        <v>4809</v>
      </c>
      <c r="C3205" s="7">
        <v>152</v>
      </c>
      <c r="D3205" s="8">
        <v>77012.27</v>
      </c>
      <c r="E3205" s="9">
        <v>1</v>
      </c>
    </row>
    <row r="3206" spans="1:5" x14ac:dyDescent="0.25">
      <c r="A3206" s="7">
        <v>1</v>
      </c>
      <c r="B3206" s="7">
        <v>4813</v>
      </c>
      <c r="C3206" s="7">
        <v>186</v>
      </c>
      <c r="D3206" s="8">
        <v>132717</v>
      </c>
      <c r="E3206" s="9">
        <v>1</v>
      </c>
    </row>
    <row r="3207" spans="1:5" x14ac:dyDescent="0.25">
      <c r="A3207" s="7">
        <v>1</v>
      </c>
      <c r="B3207" s="7">
        <v>4814</v>
      </c>
      <c r="C3207" s="7">
        <v>186</v>
      </c>
      <c r="D3207" s="8">
        <v>1316100</v>
      </c>
      <c r="E3207" s="9">
        <v>1</v>
      </c>
    </row>
    <row r="3208" spans="1:5" x14ac:dyDescent="0.25">
      <c r="A3208" s="7">
        <v>1</v>
      </c>
      <c r="B3208" s="7">
        <v>4817</v>
      </c>
      <c r="C3208" s="7">
        <v>131</v>
      </c>
      <c r="D3208" s="8">
        <v>224.8</v>
      </c>
      <c r="E3208" s="9">
        <v>3</v>
      </c>
    </row>
    <row r="3209" spans="1:5" x14ac:dyDescent="0.25">
      <c r="A3209" s="7">
        <v>1</v>
      </c>
      <c r="B3209" s="7">
        <v>4820</v>
      </c>
      <c r="C3209" s="7">
        <v>163</v>
      </c>
      <c r="D3209" s="8">
        <v>12603.8</v>
      </c>
      <c r="E3209" s="9">
        <v>1</v>
      </c>
    </row>
    <row r="3210" spans="1:5" x14ac:dyDescent="0.25">
      <c r="A3210" s="7">
        <v>1</v>
      </c>
      <c r="B3210" s="7">
        <v>4821</v>
      </c>
      <c r="C3210" s="7">
        <v>163</v>
      </c>
      <c r="D3210" s="8">
        <v>14508.08</v>
      </c>
      <c r="E3210" s="9">
        <v>1</v>
      </c>
    </row>
    <row r="3211" spans="1:5" x14ac:dyDescent="0.25">
      <c r="A3211" s="7">
        <v>1</v>
      </c>
      <c r="B3211" s="7">
        <v>4822</v>
      </c>
      <c r="C3211" s="7">
        <v>181</v>
      </c>
      <c r="D3211" s="8">
        <v>1.04</v>
      </c>
      <c r="E3211" s="9">
        <v>2</v>
      </c>
    </row>
    <row r="3212" spans="1:5" x14ac:dyDescent="0.25">
      <c r="A3212" s="7">
        <v>1</v>
      </c>
      <c r="B3212" s="7">
        <v>4823</v>
      </c>
      <c r="C3212" s="7">
        <v>181</v>
      </c>
      <c r="D3212" s="8">
        <v>1.55</v>
      </c>
      <c r="E3212" s="9">
        <v>2</v>
      </c>
    </row>
    <row r="3213" spans="1:5" x14ac:dyDescent="0.25">
      <c r="A3213" s="7">
        <v>1</v>
      </c>
      <c r="B3213" s="7">
        <v>4824</v>
      </c>
      <c r="C3213" s="7">
        <v>181</v>
      </c>
      <c r="D3213" s="8">
        <v>1.96</v>
      </c>
      <c r="E3213" s="9">
        <v>2</v>
      </c>
    </row>
    <row r="3214" spans="1:5" x14ac:dyDescent="0.25">
      <c r="A3214" s="7">
        <v>1</v>
      </c>
      <c r="B3214" s="7">
        <v>4831</v>
      </c>
      <c r="C3214" s="7">
        <v>163</v>
      </c>
      <c r="D3214" s="8">
        <v>15345.59</v>
      </c>
      <c r="E3214" s="9">
        <v>1</v>
      </c>
    </row>
    <row r="3215" spans="1:5" x14ac:dyDescent="0.25">
      <c r="A3215" s="7">
        <v>1</v>
      </c>
      <c r="B3215" s="7">
        <v>4832</v>
      </c>
      <c r="C3215" s="7">
        <v>163</v>
      </c>
      <c r="D3215" s="8">
        <v>15345.59</v>
      </c>
      <c r="E3215" s="9">
        <v>1</v>
      </c>
    </row>
    <row r="3216" spans="1:5" x14ac:dyDescent="0.25">
      <c r="A3216" s="7">
        <v>1</v>
      </c>
      <c r="B3216" s="7">
        <v>4833</v>
      </c>
      <c r="C3216" s="7">
        <v>163</v>
      </c>
      <c r="D3216" s="8">
        <v>15345.59</v>
      </c>
      <c r="E3216" s="9">
        <v>1</v>
      </c>
    </row>
    <row r="3217" spans="1:5" x14ac:dyDescent="0.25">
      <c r="A3217" s="7">
        <v>1</v>
      </c>
      <c r="B3217" s="7">
        <v>4834</v>
      </c>
      <c r="C3217" s="7">
        <v>163</v>
      </c>
      <c r="D3217" s="8">
        <v>15345.59</v>
      </c>
      <c r="E3217" s="9">
        <v>1</v>
      </c>
    </row>
    <row r="3218" spans="1:5" x14ac:dyDescent="0.25">
      <c r="A3218" s="7">
        <v>1</v>
      </c>
      <c r="B3218" s="7">
        <v>4835</v>
      </c>
      <c r="C3218" s="7">
        <v>163</v>
      </c>
      <c r="D3218" s="8">
        <v>15345.59</v>
      </c>
      <c r="E3218" s="9">
        <v>1</v>
      </c>
    </row>
    <row r="3219" spans="1:5" x14ac:dyDescent="0.25">
      <c r="A3219" s="7">
        <v>1</v>
      </c>
      <c r="B3219" s="7">
        <v>4836</v>
      </c>
      <c r="C3219" s="7">
        <v>163</v>
      </c>
      <c r="D3219" s="8">
        <v>15345.59</v>
      </c>
      <c r="E3219" s="9">
        <v>1</v>
      </c>
    </row>
    <row r="3220" spans="1:5" x14ac:dyDescent="0.25">
      <c r="A3220" s="7">
        <v>1</v>
      </c>
      <c r="B3220" s="7">
        <v>4837</v>
      </c>
      <c r="C3220" s="7">
        <v>163</v>
      </c>
      <c r="D3220" s="8">
        <v>15345.59</v>
      </c>
      <c r="E3220" s="9">
        <v>1</v>
      </c>
    </row>
    <row r="3221" spans="1:5" x14ac:dyDescent="0.25">
      <c r="A3221" s="7">
        <v>1</v>
      </c>
      <c r="B3221" s="7">
        <v>4838</v>
      </c>
      <c r="C3221" s="7">
        <v>163</v>
      </c>
      <c r="D3221" s="8">
        <v>15345.59</v>
      </c>
      <c r="E3221" s="9">
        <v>1</v>
      </c>
    </row>
    <row r="3222" spans="1:5" x14ac:dyDescent="0.25">
      <c r="A3222" s="7">
        <v>1</v>
      </c>
      <c r="B3222" s="7">
        <v>4839</v>
      </c>
      <c r="C3222" s="7">
        <v>163</v>
      </c>
      <c r="D3222" s="8">
        <v>15345.64</v>
      </c>
      <c r="E3222" s="9">
        <v>1</v>
      </c>
    </row>
    <row r="3223" spans="1:5" x14ac:dyDescent="0.25">
      <c r="A3223" s="7">
        <v>1</v>
      </c>
      <c r="B3223" s="7">
        <v>4840</v>
      </c>
      <c r="C3223" s="7">
        <v>163</v>
      </c>
      <c r="D3223" s="8">
        <v>15345.59</v>
      </c>
      <c r="E3223" s="9">
        <v>1</v>
      </c>
    </row>
    <row r="3224" spans="1:5" x14ac:dyDescent="0.25">
      <c r="A3224" s="7">
        <v>1</v>
      </c>
      <c r="B3224" s="7">
        <v>4841</v>
      </c>
      <c r="C3224" s="7">
        <v>163</v>
      </c>
      <c r="D3224" s="8">
        <v>15345.59</v>
      </c>
      <c r="E3224" s="9">
        <v>1</v>
      </c>
    </row>
    <row r="3225" spans="1:5" x14ac:dyDescent="0.25">
      <c r="A3225" s="7">
        <v>1</v>
      </c>
      <c r="B3225" s="7">
        <v>4842</v>
      </c>
      <c r="C3225" s="7">
        <v>163</v>
      </c>
      <c r="D3225" s="8">
        <v>15345.59</v>
      </c>
      <c r="E3225" s="9">
        <v>1</v>
      </c>
    </row>
    <row r="3226" spans="1:5" x14ac:dyDescent="0.25">
      <c r="A3226" s="7">
        <v>1</v>
      </c>
      <c r="B3226" s="7">
        <v>4843</v>
      </c>
      <c r="C3226" s="7">
        <v>163</v>
      </c>
      <c r="D3226" s="8">
        <v>15345.59</v>
      </c>
      <c r="E3226" s="9">
        <v>1</v>
      </c>
    </row>
    <row r="3227" spans="1:5" x14ac:dyDescent="0.25">
      <c r="A3227" s="7">
        <v>1</v>
      </c>
      <c r="B3227" s="7">
        <v>4844</v>
      </c>
      <c r="C3227" s="7">
        <v>163</v>
      </c>
      <c r="D3227" s="8">
        <v>15345.59</v>
      </c>
      <c r="E3227" s="9">
        <v>1</v>
      </c>
    </row>
    <row r="3228" spans="1:5" x14ac:dyDescent="0.25">
      <c r="A3228" s="7">
        <v>1</v>
      </c>
      <c r="B3228" s="7">
        <v>4845</v>
      </c>
      <c r="C3228" s="7">
        <v>163</v>
      </c>
      <c r="D3228" s="8">
        <v>15345.59</v>
      </c>
      <c r="E3228" s="9">
        <v>1</v>
      </c>
    </row>
    <row r="3229" spans="1:5" x14ac:dyDescent="0.25">
      <c r="A3229" s="7">
        <v>1</v>
      </c>
      <c r="B3229" s="7">
        <v>4846</v>
      </c>
      <c r="C3229" s="7">
        <v>163</v>
      </c>
      <c r="D3229" s="8">
        <v>15345.59</v>
      </c>
      <c r="E3229" s="9">
        <v>1</v>
      </c>
    </row>
    <row r="3230" spans="1:5" x14ac:dyDescent="0.25">
      <c r="A3230" s="7">
        <v>1</v>
      </c>
      <c r="B3230" s="7">
        <v>4847</v>
      </c>
      <c r="C3230" s="7">
        <v>163</v>
      </c>
      <c r="D3230" s="8">
        <v>15345.59</v>
      </c>
      <c r="E3230" s="9">
        <v>1</v>
      </c>
    </row>
    <row r="3231" spans="1:5" x14ac:dyDescent="0.25">
      <c r="A3231" s="7">
        <v>1</v>
      </c>
      <c r="B3231" s="7">
        <v>4848</v>
      </c>
      <c r="C3231" s="7">
        <v>163</v>
      </c>
      <c r="D3231" s="8">
        <v>15345.59</v>
      </c>
      <c r="E3231" s="9">
        <v>1</v>
      </c>
    </row>
    <row r="3232" spans="1:5" x14ac:dyDescent="0.25">
      <c r="A3232" s="7">
        <v>1</v>
      </c>
      <c r="B3232" s="7">
        <v>4849</v>
      </c>
      <c r="C3232" s="7">
        <v>163</v>
      </c>
      <c r="D3232" s="8">
        <v>15345.59</v>
      </c>
      <c r="E3232" s="9">
        <v>1</v>
      </c>
    </row>
    <row r="3233" spans="1:5" x14ac:dyDescent="0.25">
      <c r="A3233" s="7">
        <v>1</v>
      </c>
      <c r="B3233" s="7">
        <v>4850</v>
      </c>
      <c r="C3233" s="7">
        <v>163</v>
      </c>
      <c r="D3233" s="8">
        <v>15345.59</v>
      </c>
      <c r="E3233" s="9">
        <v>1</v>
      </c>
    </row>
    <row r="3234" spans="1:5" x14ac:dyDescent="0.25">
      <c r="A3234" s="7">
        <v>1</v>
      </c>
      <c r="B3234" s="7">
        <v>4851</v>
      </c>
      <c r="C3234" s="7">
        <v>163</v>
      </c>
      <c r="D3234" s="8">
        <v>15345.59</v>
      </c>
      <c r="E3234" s="9">
        <v>1</v>
      </c>
    </row>
    <row r="3235" spans="1:5" x14ac:dyDescent="0.25">
      <c r="A3235" s="7">
        <v>1</v>
      </c>
      <c r="B3235" s="7">
        <v>4852</v>
      </c>
      <c r="C3235" s="7">
        <v>163</v>
      </c>
      <c r="D3235" s="8">
        <v>15345.59</v>
      </c>
      <c r="E3235" s="9">
        <v>1</v>
      </c>
    </row>
    <row r="3236" spans="1:5" x14ac:dyDescent="0.25">
      <c r="A3236" s="7">
        <v>1</v>
      </c>
      <c r="B3236" s="7">
        <v>4853</v>
      </c>
      <c r="C3236" s="7">
        <v>163</v>
      </c>
      <c r="D3236" s="8">
        <v>15345.59</v>
      </c>
      <c r="E3236" s="9">
        <v>1</v>
      </c>
    </row>
    <row r="3237" spans="1:5" x14ac:dyDescent="0.25">
      <c r="A3237" s="7">
        <v>1</v>
      </c>
      <c r="B3237" s="7">
        <v>4854</v>
      </c>
      <c r="C3237" s="7">
        <v>163</v>
      </c>
      <c r="D3237" s="8">
        <v>15345.59</v>
      </c>
      <c r="E3237" s="9">
        <v>1</v>
      </c>
    </row>
    <row r="3238" spans="1:5" x14ac:dyDescent="0.25">
      <c r="A3238" s="7">
        <v>1</v>
      </c>
      <c r="B3238" s="7">
        <v>4855</v>
      </c>
      <c r="C3238" s="7">
        <v>163</v>
      </c>
      <c r="D3238" s="8">
        <v>15345.59</v>
      </c>
      <c r="E3238" s="9">
        <v>1</v>
      </c>
    </row>
    <row r="3239" spans="1:5" x14ac:dyDescent="0.25">
      <c r="A3239" s="7">
        <v>1</v>
      </c>
      <c r="B3239" s="7">
        <v>4856</v>
      </c>
      <c r="C3239" s="7">
        <v>130</v>
      </c>
      <c r="D3239" s="8">
        <v>1208153.24</v>
      </c>
      <c r="E3239" s="9">
        <v>1</v>
      </c>
    </row>
    <row r="3240" spans="1:5" x14ac:dyDescent="0.25">
      <c r="A3240" s="7">
        <v>1</v>
      </c>
      <c r="B3240" s="7">
        <v>4865</v>
      </c>
      <c r="C3240" s="7">
        <v>138</v>
      </c>
      <c r="D3240" s="8">
        <v>18433.74</v>
      </c>
      <c r="E3240" s="9">
        <v>1</v>
      </c>
    </row>
    <row r="3241" spans="1:5" x14ac:dyDescent="0.25">
      <c r="A3241" s="7">
        <v>1</v>
      </c>
      <c r="B3241" s="7">
        <v>4866</v>
      </c>
      <c r="C3241" s="7">
        <v>138</v>
      </c>
      <c r="D3241" s="8">
        <v>67181.27</v>
      </c>
      <c r="E3241" s="9">
        <v>1</v>
      </c>
    </row>
    <row r="3242" spans="1:5" x14ac:dyDescent="0.25">
      <c r="A3242" s="7">
        <v>1</v>
      </c>
      <c r="B3242" s="7">
        <v>4867</v>
      </c>
      <c r="C3242" s="7">
        <v>138</v>
      </c>
      <c r="D3242" s="8">
        <v>144181.46</v>
      </c>
      <c r="E3242" s="9">
        <v>1</v>
      </c>
    </row>
    <row r="3243" spans="1:5" x14ac:dyDescent="0.25">
      <c r="A3243" s="7">
        <v>1</v>
      </c>
      <c r="B3243" s="7">
        <v>4868</v>
      </c>
      <c r="C3243" s="7">
        <v>138</v>
      </c>
      <c r="D3243" s="8">
        <v>269193.13</v>
      </c>
      <c r="E3243" s="9">
        <v>1</v>
      </c>
    </row>
    <row r="3244" spans="1:5" x14ac:dyDescent="0.25">
      <c r="A3244" s="7">
        <v>1</v>
      </c>
      <c r="B3244" s="7">
        <v>4869</v>
      </c>
      <c r="C3244" s="7">
        <v>138</v>
      </c>
      <c r="D3244" s="8">
        <v>18433.74</v>
      </c>
      <c r="E3244" s="9">
        <v>1</v>
      </c>
    </row>
    <row r="3245" spans="1:5" x14ac:dyDescent="0.25">
      <c r="A3245" s="7">
        <v>1</v>
      </c>
      <c r="B3245" s="7">
        <v>4870</v>
      </c>
      <c r="C3245" s="7">
        <v>138</v>
      </c>
      <c r="D3245" s="8">
        <v>67181.24</v>
      </c>
      <c r="E3245" s="9">
        <v>1</v>
      </c>
    </row>
    <row r="3246" spans="1:5" x14ac:dyDescent="0.25">
      <c r="A3246" s="7">
        <v>1</v>
      </c>
      <c r="B3246" s="7">
        <v>4871</v>
      </c>
      <c r="C3246" s="7">
        <v>138</v>
      </c>
      <c r="D3246" s="8">
        <v>144181.46</v>
      </c>
      <c r="E3246" s="9">
        <v>1</v>
      </c>
    </row>
    <row r="3247" spans="1:5" x14ac:dyDescent="0.25">
      <c r="A3247" s="7">
        <v>1</v>
      </c>
      <c r="B3247" s="7">
        <v>4872</v>
      </c>
      <c r="C3247" s="7">
        <v>138</v>
      </c>
      <c r="D3247" s="8">
        <v>269193.11</v>
      </c>
      <c r="E3247" s="9">
        <v>1</v>
      </c>
    </row>
    <row r="3248" spans="1:5" x14ac:dyDescent="0.25">
      <c r="A3248" s="7">
        <v>1</v>
      </c>
      <c r="B3248" s="7">
        <v>4873</v>
      </c>
      <c r="C3248" s="7">
        <v>138</v>
      </c>
      <c r="D3248" s="8">
        <v>18433.74</v>
      </c>
      <c r="E3248" s="9">
        <v>1</v>
      </c>
    </row>
    <row r="3249" spans="1:5" x14ac:dyDescent="0.25">
      <c r="A3249" s="7">
        <v>1</v>
      </c>
      <c r="B3249" s="7">
        <v>4874</v>
      </c>
      <c r="C3249" s="7">
        <v>138</v>
      </c>
      <c r="D3249" s="8">
        <v>67181.24</v>
      </c>
      <c r="E3249" s="9">
        <v>1</v>
      </c>
    </row>
    <row r="3250" spans="1:5" x14ac:dyDescent="0.25">
      <c r="A3250" s="7">
        <v>1</v>
      </c>
      <c r="B3250" s="7">
        <v>4875</v>
      </c>
      <c r="C3250" s="7">
        <v>138</v>
      </c>
      <c r="D3250" s="8">
        <v>144181.46</v>
      </c>
      <c r="E3250" s="9">
        <v>1</v>
      </c>
    </row>
    <row r="3251" spans="1:5" x14ac:dyDescent="0.25">
      <c r="A3251" s="7">
        <v>1</v>
      </c>
      <c r="B3251" s="7">
        <v>4876</v>
      </c>
      <c r="C3251" s="7">
        <v>138</v>
      </c>
      <c r="D3251" s="8">
        <v>269193.11</v>
      </c>
      <c r="E3251" s="9">
        <v>1</v>
      </c>
    </row>
    <row r="3252" spans="1:5" x14ac:dyDescent="0.25">
      <c r="A3252" s="7">
        <v>1</v>
      </c>
      <c r="B3252" s="7">
        <v>4877</v>
      </c>
      <c r="C3252" s="7">
        <v>138</v>
      </c>
      <c r="D3252" s="8">
        <v>18433.74</v>
      </c>
      <c r="E3252" s="9">
        <v>1</v>
      </c>
    </row>
    <row r="3253" spans="1:5" x14ac:dyDescent="0.25">
      <c r="A3253" s="7">
        <v>1</v>
      </c>
      <c r="B3253" s="7">
        <v>4878</v>
      </c>
      <c r="C3253" s="7">
        <v>138</v>
      </c>
      <c r="D3253" s="8">
        <v>67181.24</v>
      </c>
      <c r="E3253" s="9">
        <v>1</v>
      </c>
    </row>
    <row r="3254" spans="1:5" x14ac:dyDescent="0.25">
      <c r="A3254" s="7">
        <v>1</v>
      </c>
      <c r="B3254" s="7">
        <v>4879</v>
      </c>
      <c r="C3254" s="7">
        <v>138</v>
      </c>
      <c r="D3254" s="8">
        <v>144181.46</v>
      </c>
      <c r="E3254" s="9">
        <v>1</v>
      </c>
    </row>
    <row r="3255" spans="1:5" x14ac:dyDescent="0.25">
      <c r="A3255" s="7">
        <v>1</v>
      </c>
      <c r="B3255" s="7">
        <v>4880</v>
      </c>
      <c r="C3255" s="7">
        <v>138</v>
      </c>
      <c r="D3255" s="8">
        <v>269193.11</v>
      </c>
      <c r="E3255" s="9">
        <v>1</v>
      </c>
    </row>
    <row r="3256" spans="1:5" x14ac:dyDescent="0.25">
      <c r="A3256" s="7">
        <v>1</v>
      </c>
      <c r="B3256" s="7">
        <v>4881</v>
      </c>
      <c r="C3256" s="7">
        <v>138</v>
      </c>
      <c r="D3256" s="8">
        <v>18433.74</v>
      </c>
      <c r="E3256" s="9">
        <v>1</v>
      </c>
    </row>
    <row r="3257" spans="1:5" x14ac:dyDescent="0.25">
      <c r="A3257" s="7">
        <v>1</v>
      </c>
      <c r="B3257" s="7">
        <v>4882</v>
      </c>
      <c r="C3257" s="7">
        <v>138</v>
      </c>
      <c r="D3257" s="8">
        <v>67181.24</v>
      </c>
      <c r="E3257" s="9">
        <v>1</v>
      </c>
    </row>
    <row r="3258" spans="1:5" x14ac:dyDescent="0.25">
      <c r="A3258" s="7">
        <v>1</v>
      </c>
      <c r="B3258" s="7">
        <v>4883</v>
      </c>
      <c r="C3258" s="7">
        <v>138</v>
      </c>
      <c r="D3258" s="8">
        <v>144181.46</v>
      </c>
      <c r="E3258" s="9">
        <v>1</v>
      </c>
    </row>
    <row r="3259" spans="1:5" x14ac:dyDescent="0.25">
      <c r="A3259" s="7">
        <v>1</v>
      </c>
      <c r="B3259" s="7">
        <v>4884</v>
      </c>
      <c r="C3259" s="7">
        <v>138</v>
      </c>
      <c r="D3259" s="8">
        <v>269193.11</v>
      </c>
      <c r="E3259" s="9">
        <v>1</v>
      </c>
    </row>
    <row r="3260" spans="1:5" x14ac:dyDescent="0.25">
      <c r="A3260" s="7">
        <v>1</v>
      </c>
      <c r="B3260" s="7">
        <v>4885</v>
      </c>
      <c r="C3260" s="7">
        <v>138</v>
      </c>
      <c r="D3260" s="8">
        <v>18433.74</v>
      </c>
      <c r="E3260" s="9">
        <v>1</v>
      </c>
    </row>
    <row r="3261" spans="1:5" x14ac:dyDescent="0.25">
      <c r="A3261" s="7">
        <v>1</v>
      </c>
      <c r="B3261" s="7">
        <v>4886</v>
      </c>
      <c r="C3261" s="7">
        <v>138</v>
      </c>
      <c r="D3261" s="8">
        <v>67181.24</v>
      </c>
      <c r="E3261" s="9">
        <v>1</v>
      </c>
    </row>
    <row r="3262" spans="1:5" x14ac:dyDescent="0.25">
      <c r="A3262" s="7">
        <v>1</v>
      </c>
      <c r="B3262" s="7">
        <v>4887</v>
      </c>
      <c r="C3262" s="7">
        <v>138</v>
      </c>
      <c r="D3262" s="8">
        <v>144181.46</v>
      </c>
      <c r="E3262" s="9">
        <v>1</v>
      </c>
    </row>
    <row r="3263" spans="1:5" x14ac:dyDescent="0.25">
      <c r="A3263" s="7">
        <v>1</v>
      </c>
      <c r="B3263" s="7">
        <v>4888</v>
      </c>
      <c r="C3263" s="7">
        <v>138</v>
      </c>
      <c r="D3263" s="8">
        <v>269193.11</v>
      </c>
      <c r="E3263" s="9">
        <v>1</v>
      </c>
    </row>
    <row r="3264" spans="1:5" x14ac:dyDescent="0.25">
      <c r="A3264" s="7">
        <v>1</v>
      </c>
      <c r="B3264" s="7">
        <v>4889</v>
      </c>
      <c r="C3264" s="7">
        <v>138</v>
      </c>
      <c r="D3264" s="8">
        <v>14746.88</v>
      </c>
      <c r="E3264" s="9">
        <v>1</v>
      </c>
    </row>
    <row r="3265" spans="1:5" x14ac:dyDescent="0.25">
      <c r="A3265" s="7">
        <v>1</v>
      </c>
      <c r="B3265" s="7">
        <v>4890</v>
      </c>
      <c r="C3265" s="7">
        <v>138</v>
      </c>
      <c r="D3265" s="8">
        <v>52665.81</v>
      </c>
      <c r="E3265" s="9">
        <v>1</v>
      </c>
    </row>
    <row r="3266" spans="1:5" x14ac:dyDescent="0.25">
      <c r="A3266" s="7">
        <v>1</v>
      </c>
      <c r="B3266" s="7">
        <v>4891</v>
      </c>
      <c r="C3266" s="7">
        <v>138</v>
      </c>
      <c r="D3266" s="8">
        <v>115459.66</v>
      </c>
      <c r="E3266" s="9">
        <v>1</v>
      </c>
    </row>
    <row r="3267" spans="1:5" x14ac:dyDescent="0.25">
      <c r="A3267" s="7">
        <v>1</v>
      </c>
      <c r="B3267" s="7">
        <v>4892</v>
      </c>
      <c r="C3267" s="7">
        <v>138</v>
      </c>
      <c r="D3267" s="8">
        <v>211929.23</v>
      </c>
      <c r="E3267" s="9">
        <v>1</v>
      </c>
    </row>
    <row r="3268" spans="1:5" x14ac:dyDescent="0.25">
      <c r="A3268" s="7">
        <v>1</v>
      </c>
      <c r="B3268" s="7">
        <v>4893</v>
      </c>
      <c r="C3268" s="7">
        <v>138</v>
      </c>
      <c r="D3268" s="8">
        <v>14746.88</v>
      </c>
      <c r="E3268" s="9">
        <v>1</v>
      </c>
    </row>
    <row r="3269" spans="1:5" x14ac:dyDescent="0.25">
      <c r="A3269" s="7">
        <v>1</v>
      </c>
      <c r="B3269" s="7">
        <v>4894</v>
      </c>
      <c r="C3269" s="7">
        <v>138</v>
      </c>
      <c r="D3269" s="8">
        <v>52665.81</v>
      </c>
      <c r="E3269" s="9">
        <v>1</v>
      </c>
    </row>
    <row r="3270" spans="1:5" x14ac:dyDescent="0.25">
      <c r="A3270" s="7">
        <v>1</v>
      </c>
      <c r="B3270" s="7">
        <v>4895</v>
      </c>
      <c r="C3270" s="7">
        <v>138</v>
      </c>
      <c r="D3270" s="8">
        <v>115459.63</v>
      </c>
      <c r="E3270" s="9">
        <v>1</v>
      </c>
    </row>
    <row r="3271" spans="1:5" x14ac:dyDescent="0.25">
      <c r="A3271" s="7">
        <v>1</v>
      </c>
      <c r="B3271" s="7">
        <v>4896</v>
      </c>
      <c r="C3271" s="7">
        <v>138</v>
      </c>
      <c r="D3271" s="8">
        <v>211929.23</v>
      </c>
      <c r="E3271" s="9">
        <v>1</v>
      </c>
    </row>
    <row r="3272" spans="1:5" x14ac:dyDescent="0.25">
      <c r="A3272" s="7">
        <v>1</v>
      </c>
      <c r="B3272" s="7">
        <v>4897</v>
      </c>
      <c r="C3272" s="7">
        <v>138</v>
      </c>
      <c r="D3272" s="8">
        <v>14746.85</v>
      </c>
      <c r="E3272" s="9">
        <v>1</v>
      </c>
    </row>
    <row r="3273" spans="1:5" x14ac:dyDescent="0.25">
      <c r="A3273" s="7">
        <v>1</v>
      </c>
      <c r="B3273" s="7">
        <v>4898</v>
      </c>
      <c r="C3273" s="7">
        <v>138</v>
      </c>
      <c r="D3273" s="8">
        <v>52665.81</v>
      </c>
      <c r="E3273" s="9">
        <v>1</v>
      </c>
    </row>
    <row r="3274" spans="1:5" x14ac:dyDescent="0.25">
      <c r="A3274" s="7">
        <v>1</v>
      </c>
      <c r="B3274" s="7">
        <v>4899</v>
      </c>
      <c r="C3274" s="7">
        <v>138</v>
      </c>
      <c r="D3274" s="8">
        <v>115459.63</v>
      </c>
      <c r="E3274" s="9">
        <v>1</v>
      </c>
    </row>
    <row r="3275" spans="1:5" x14ac:dyDescent="0.25">
      <c r="A3275" s="7">
        <v>1</v>
      </c>
      <c r="B3275" s="7">
        <v>4900</v>
      </c>
      <c r="C3275" s="7">
        <v>138</v>
      </c>
      <c r="D3275" s="8">
        <v>211929.23</v>
      </c>
      <c r="E3275" s="9">
        <v>1</v>
      </c>
    </row>
    <row r="3276" spans="1:5" x14ac:dyDescent="0.25">
      <c r="A3276" s="7">
        <v>1</v>
      </c>
      <c r="B3276" s="7">
        <v>4901</v>
      </c>
      <c r="C3276" s="7">
        <v>138</v>
      </c>
      <c r="D3276" s="8">
        <v>14746.85</v>
      </c>
      <c r="E3276" s="9">
        <v>1</v>
      </c>
    </row>
    <row r="3277" spans="1:5" x14ac:dyDescent="0.25">
      <c r="A3277" s="7">
        <v>1</v>
      </c>
      <c r="B3277" s="7">
        <v>4902</v>
      </c>
      <c r="C3277" s="7">
        <v>138</v>
      </c>
      <c r="D3277" s="8">
        <v>52665.81</v>
      </c>
      <c r="E3277" s="9">
        <v>1</v>
      </c>
    </row>
    <row r="3278" spans="1:5" x14ac:dyDescent="0.25">
      <c r="A3278" s="7">
        <v>1</v>
      </c>
      <c r="B3278" s="7">
        <v>4903</v>
      </c>
      <c r="C3278" s="7">
        <v>138</v>
      </c>
      <c r="D3278" s="8">
        <v>115459.63</v>
      </c>
      <c r="E3278" s="9">
        <v>1</v>
      </c>
    </row>
    <row r="3279" spans="1:5" x14ac:dyDescent="0.25">
      <c r="A3279" s="7">
        <v>1</v>
      </c>
      <c r="B3279" s="7">
        <v>4904</v>
      </c>
      <c r="C3279" s="7">
        <v>138</v>
      </c>
      <c r="D3279" s="8">
        <v>211929.23</v>
      </c>
      <c r="E3279" s="9">
        <v>1</v>
      </c>
    </row>
    <row r="3280" spans="1:5" x14ac:dyDescent="0.25">
      <c r="A3280" s="7">
        <v>1</v>
      </c>
      <c r="B3280" s="7">
        <v>4905</v>
      </c>
      <c r="C3280" s="7">
        <v>138</v>
      </c>
      <c r="D3280" s="8">
        <v>14746.85</v>
      </c>
      <c r="E3280" s="9">
        <v>1</v>
      </c>
    </row>
    <row r="3281" spans="1:5" x14ac:dyDescent="0.25">
      <c r="A3281" s="7">
        <v>1</v>
      </c>
      <c r="B3281" s="7">
        <v>4906</v>
      </c>
      <c r="C3281" s="7">
        <v>138</v>
      </c>
      <c r="D3281" s="8">
        <v>52665.81</v>
      </c>
      <c r="E3281" s="9">
        <v>1</v>
      </c>
    </row>
    <row r="3282" spans="1:5" x14ac:dyDescent="0.25">
      <c r="A3282" s="7">
        <v>1</v>
      </c>
      <c r="B3282" s="7">
        <v>4907</v>
      </c>
      <c r="C3282" s="7">
        <v>138</v>
      </c>
      <c r="D3282" s="8">
        <v>115459.63</v>
      </c>
      <c r="E3282" s="9">
        <v>1</v>
      </c>
    </row>
    <row r="3283" spans="1:5" x14ac:dyDescent="0.25">
      <c r="A3283" s="7">
        <v>1</v>
      </c>
      <c r="B3283" s="7">
        <v>4908</v>
      </c>
      <c r="C3283" s="7">
        <v>138</v>
      </c>
      <c r="D3283" s="8">
        <v>211929.23</v>
      </c>
      <c r="E3283" s="9">
        <v>1</v>
      </c>
    </row>
    <row r="3284" spans="1:5" x14ac:dyDescent="0.25">
      <c r="A3284" s="7">
        <v>1</v>
      </c>
      <c r="B3284" s="7">
        <v>4909</v>
      </c>
      <c r="C3284" s="7">
        <v>138</v>
      </c>
      <c r="D3284" s="8">
        <v>14746.85</v>
      </c>
      <c r="E3284" s="9">
        <v>1</v>
      </c>
    </row>
    <row r="3285" spans="1:5" x14ac:dyDescent="0.25">
      <c r="A3285" s="7">
        <v>1</v>
      </c>
      <c r="B3285" s="7">
        <v>4910</v>
      </c>
      <c r="C3285" s="7">
        <v>138</v>
      </c>
      <c r="D3285" s="8">
        <v>52665.81</v>
      </c>
      <c r="E3285" s="9">
        <v>1</v>
      </c>
    </row>
    <row r="3286" spans="1:5" x14ac:dyDescent="0.25">
      <c r="A3286" s="7">
        <v>1</v>
      </c>
      <c r="B3286" s="7">
        <v>4911</v>
      </c>
      <c r="C3286" s="7">
        <v>138</v>
      </c>
      <c r="D3286" s="8">
        <v>115459.63</v>
      </c>
      <c r="E3286" s="9">
        <v>1</v>
      </c>
    </row>
    <row r="3287" spans="1:5" x14ac:dyDescent="0.25">
      <c r="A3287" s="7">
        <v>1</v>
      </c>
      <c r="B3287" s="7">
        <v>4912</v>
      </c>
      <c r="C3287" s="7">
        <v>138</v>
      </c>
      <c r="D3287" s="8">
        <v>211929.23</v>
      </c>
      <c r="E3287" s="9">
        <v>1</v>
      </c>
    </row>
    <row r="3288" spans="1:5" x14ac:dyDescent="0.25">
      <c r="A3288" s="7">
        <v>1</v>
      </c>
      <c r="B3288" s="7">
        <v>4913</v>
      </c>
      <c r="C3288" s="7">
        <v>139</v>
      </c>
      <c r="D3288" s="8">
        <v>66732.95</v>
      </c>
      <c r="E3288" s="9">
        <v>1</v>
      </c>
    </row>
    <row r="3289" spans="1:5" x14ac:dyDescent="0.25">
      <c r="A3289" s="7">
        <v>1</v>
      </c>
      <c r="B3289" s="7">
        <v>4914</v>
      </c>
      <c r="C3289" s="7">
        <v>139</v>
      </c>
      <c r="D3289" s="8">
        <v>271066.99</v>
      </c>
      <c r="E3289" s="9">
        <v>1</v>
      </c>
    </row>
    <row r="3290" spans="1:5" x14ac:dyDescent="0.25">
      <c r="A3290" s="7">
        <v>1</v>
      </c>
      <c r="B3290" s="7">
        <v>4917</v>
      </c>
      <c r="C3290" s="7">
        <v>163</v>
      </c>
      <c r="D3290" s="8">
        <v>15606.79</v>
      </c>
      <c r="E3290" s="9">
        <v>1</v>
      </c>
    </row>
    <row r="3291" spans="1:5" x14ac:dyDescent="0.25">
      <c r="A3291" s="7">
        <v>1</v>
      </c>
      <c r="B3291" s="7">
        <v>4918</v>
      </c>
      <c r="C3291" s="7">
        <v>163</v>
      </c>
      <c r="D3291" s="8">
        <v>53615.76</v>
      </c>
      <c r="E3291" s="9">
        <v>1</v>
      </c>
    </row>
    <row r="3292" spans="1:5" x14ac:dyDescent="0.25">
      <c r="A3292" s="7">
        <v>1</v>
      </c>
      <c r="B3292" s="7">
        <v>4919</v>
      </c>
      <c r="C3292" s="7">
        <v>163</v>
      </c>
      <c r="D3292" s="8">
        <v>117873.67</v>
      </c>
      <c r="E3292" s="9">
        <v>1</v>
      </c>
    </row>
    <row r="3293" spans="1:5" x14ac:dyDescent="0.25">
      <c r="A3293" s="7">
        <v>1</v>
      </c>
      <c r="B3293" s="7">
        <v>4920</v>
      </c>
      <c r="C3293" s="7">
        <v>163</v>
      </c>
      <c r="D3293" s="8">
        <v>215624.88</v>
      </c>
      <c r="E3293" s="9">
        <v>1</v>
      </c>
    </row>
    <row r="3294" spans="1:5" x14ac:dyDescent="0.25">
      <c r="A3294" s="7">
        <v>1</v>
      </c>
      <c r="B3294" s="7">
        <v>4921</v>
      </c>
      <c r="C3294" s="7">
        <v>163</v>
      </c>
      <c r="D3294" s="8">
        <v>1794350.31</v>
      </c>
      <c r="E3294" s="9">
        <v>1</v>
      </c>
    </row>
    <row r="3295" spans="1:5" x14ac:dyDescent="0.25">
      <c r="A3295" s="7">
        <v>1</v>
      </c>
      <c r="B3295" s="7">
        <v>4922</v>
      </c>
      <c r="C3295" s="7">
        <v>163</v>
      </c>
      <c r="D3295" s="8">
        <v>26089.92</v>
      </c>
      <c r="E3295" s="9">
        <v>1</v>
      </c>
    </row>
    <row r="3296" spans="1:5" x14ac:dyDescent="0.25">
      <c r="A3296" s="7">
        <v>1</v>
      </c>
      <c r="B3296" s="7">
        <v>4923</v>
      </c>
      <c r="C3296" s="7">
        <v>163</v>
      </c>
      <c r="D3296" s="8">
        <v>17790.9</v>
      </c>
      <c r="E3296" s="9">
        <v>1</v>
      </c>
    </row>
    <row r="3297" spans="1:5" x14ac:dyDescent="0.25">
      <c r="A3297" s="7">
        <v>1</v>
      </c>
      <c r="B3297" s="7">
        <v>4924</v>
      </c>
      <c r="C3297" s="7">
        <v>163</v>
      </c>
      <c r="D3297" s="8">
        <v>164196.21</v>
      </c>
      <c r="E3297" s="9">
        <v>1</v>
      </c>
    </row>
    <row r="3298" spans="1:5" x14ac:dyDescent="0.25">
      <c r="A3298" s="7">
        <v>1</v>
      </c>
      <c r="B3298" s="7">
        <v>4926</v>
      </c>
      <c r="C3298" s="7">
        <v>152</v>
      </c>
      <c r="D3298" s="8">
        <v>22259.88</v>
      </c>
      <c r="E3298" s="9">
        <v>1</v>
      </c>
    </row>
    <row r="3299" spans="1:5" x14ac:dyDescent="0.25">
      <c r="A3299" s="7">
        <v>1</v>
      </c>
      <c r="B3299" s="7">
        <v>4927</v>
      </c>
      <c r="C3299" s="7">
        <v>152</v>
      </c>
      <c r="D3299" s="8">
        <v>81479.34</v>
      </c>
      <c r="E3299" s="9">
        <v>1</v>
      </c>
    </row>
    <row r="3300" spans="1:5" x14ac:dyDescent="0.25">
      <c r="A3300" s="7">
        <v>1</v>
      </c>
      <c r="B3300" s="7">
        <v>4929</v>
      </c>
      <c r="C3300" s="7">
        <v>163</v>
      </c>
      <c r="D3300" s="8">
        <v>8683.66</v>
      </c>
      <c r="E3300" s="9">
        <v>1</v>
      </c>
    </row>
    <row r="3301" spans="1:5" x14ac:dyDescent="0.25">
      <c r="A3301" s="7">
        <v>1</v>
      </c>
      <c r="B3301" s="7">
        <v>4931</v>
      </c>
      <c r="C3301" s="7">
        <v>152</v>
      </c>
      <c r="D3301" s="8">
        <v>661474.63</v>
      </c>
      <c r="E3301" s="9">
        <v>1</v>
      </c>
    </row>
    <row r="3302" spans="1:5" x14ac:dyDescent="0.25">
      <c r="A3302" s="7">
        <v>1</v>
      </c>
      <c r="B3302" s="7">
        <v>4932</v>
      </c>
      <c r="C3302" s="7">
        <v>128</v>
      </c>
      <c r="D3302" s="8">
        <v>14991.25</v>
      </c>
      <c r="E3302" s="9">
        <v>1</v>
      </c>
    </row>
    <row r="3303" spans="1:5" x14ac:dyDescent="0.25">
      <c r="A3303" s="7">
        <v>1</v>
      </c>
      <c r="B3303" s="7">
        <v>4933</v>
      </c>
      <c r="C3303" s="7">
        <v>128</v>
      </c>
      <c r="D3303" s="8">
        <v>19011.38</v>
      </c>
      <c r="E3303" s="9">
        <v>1</v>
      </c>
    </row>
    <row r="3304" spans="1:5" x14ac:dyDescent="0.25">
      <c r="A3304" s="7">
        <v>1</v>
      </c>
      <c r="B3304" s="7">
        <v>4934</v>
      </c>
      <c r="C3304" s="7">
        <v>128</v>
      </c>
      <c r="D3304" s="8">
        <v>21255.24</v>
      </c>
      <c r="E3304" s="9">
        <v>1</v>
      </c>
    </row>
    <row r="3305" spans="1:5" x14ac:dyDescent="0.25">
      <c r="A3305" s="7">
        <v>1</v>
      </c>
      <c r="B3305" s="7">
        <v>4939</v>
      </c>
      <c r="C3305" s="7">
        <v>188</v>
      </c>
      <c r="D3305" s="8">
        <v>58775.5</v>
      </c>
      <c r="E3305" s="9">
        <v>1</v>
      </c>
    </row>
    <row r="3306" spans="1:5" x14ac:dyDescent="0.25">
      <c r="A3306" s="7">
        <v>1</v>
      </c>
      <c r="B3306" s="7">
        <v>4940</v>
      </c>
      <c r="C3306" s="7">
        <v>188</v>
      </c>
      <c r="D3306" s="8">
        <v>61225.5</v>
      </c>
      <c r="E3306" s="9">
        <v>1</v>
      </c>
    </row>
    <row r="3307" spans="1:5" x14ac:dyDescent="0.25">
      <c r="A3307" s="7">
        <v>1</v>
      </c>
      <c r="B3307" s="7">
        <v>4942</v>
      </c>
      <c r="C3307" s="7">
        <v>132</v>
      </c>
      <c r="D3307" s="8">
        <v>77.37</v>
      </c>
      <c r="E3307" s="9">
        <v>3</v>
      </c>
    </row>
    <row r="3308" spans="1:5" x14ac:dyDescent="0.25">
      <c r="A3308" s="7">
        <v>1</v>
      </c>
      <c r="B3308" s="7">
        <v>4945</v>
      </c>
      <c r="C3308" s="7">
        <v>139</v>
      </c>
      <c r="D3308" s="8">
        <v>290644.33</v>
      </c>
      <c r="E3308" s="9">
        <v>1</v>
      </c>
    </row>
    <row r="3309" spans="1:5" x14ac:dyDescent="0.25">
      <c r="A3309" s="7">
        <v>1</v>
      </c>
      <c r="B3309" s="7">
        <v>4948</v>
      </c>
      <c r="C3309" s="7">
        <v>138</v>
      </c>
      <c r="D3309" s="8">
        <v>333536.76</v>
      </c>
      <c r="E3309" s="9">
        <v>1</v>
      </c>
    </row>
    <row r="3310" spans="1:5" x14ac:dyDescent="0.25">
      <c r="A3310" s="7">
        <v>1</v>
      </c>
      <c r="B3310" s="7">
        <v>4953</v>
      </c>
      <c r="C3310" s="7">
        <v>139</v>
      </c>
      <c r="D3310" s="8">
        <v>21290.42</v>
      </c>
      <c r="E3310" s="9">
        <v>1</v>
      </c>
    </row>
    <row r="3311" spans="1:5" x14ac:dyDescent="0.25">
      <c r="A3311" s="7">
        <v>1</v>
      </c>
      <c r="B3311" s="7">
        <v>4954</v>
      </c>
      <c r="C3311" s="7">
        <v>139</v>
      </c>
      <c r="D3311" s="8">
        <v>81231.6</v>
      </c>
      <c r="E3311" s="9">
        <v>1</v>
      </c>
    </row>
    <row r="3312" spans="1:5" x14ac:dyDescent="0.25">
      <c r="A3312" s="7">
        <v>1</v>
      </c>
      <c r="B3312" s="7">
        <v>4955</v>
      </c>
      <c r="C3312" s="7">
        <v>139</v>
      </c>
      <c r="D3312" s="8">
        <v>184878.86</v>
      </c>
      <c r="E3312" s="9">
        <v>1</v>
      </c>
    </row>
    <row r="3313" spans="1:5" x14ac:dyDescent="0.25">
      <c r="A3313" s="7">
        <v>1</v>
      </c>
      <c r="B3313" s="7">
        <v>4956</v>
      </c>
      <c r="C3313" s="7">
        <v>139</v>
      </c>
      <c r="D3313" s="8">
        <v>345184.46</v>
      </c>
      <c r="E3313" s="9">
        <v>1</v>
      </c>
    </row>
    <row r="3314" spans="1:5" x14ac:dyDescent="0.25">
      <c r="A3314" s="7">
        <v>1</v>
      </c>
      <c r="B3314" s="7">
        <v>4957</v>
      </c>
      <c r="C3314" s="7">
        <v>139</v>
      </c>
      <c r="D3314" s="8">
        <v>21290.42</v>
      </c>
      <c r="E3314" s="9">
        <v>1</v>
      </c>
    </row>
    <row r="3315" spans="1:5" x14ac:dyDescent="0.25">
      <c r="A3315" s="7">
        <v>1</v>
      </c>
      <c r="B3315" s="7">
        <v>4958</v>
      </c>
      <c r="C3315" s="7">
        <v>139</v>
      </c>
      <c r="D3315" s="8">
        <v>81231.91</v>
      </c>
      <c r="E3315" s="9">
        <v>1</v>
      </c>
    </row>
    <row r="3316" spans="1:5" x14ac:dyDescent="0.25">
      <c r="A3316" s="7">
        <v>1</v>
      </c>
      <c r="B3316" s="7">
        <v>4959</v>
      </c>
      <c r="C3316" s="7">
        <v>139</v>
      </c>
      <c r="D3316" s="8">
        <v>184878.86</v>
      </c>
      <c r="E3316" s="9">
        <v>1</v>
      </c>
    </row>
    <row r="3317" spans="1:5" x14ac:dyDescent="0.25">
      <c r="A3317" s="7">
        <v>1</v>
      </c>
      <c r="B3317" s="7">
        <v>4960</v>
      </c>
      <c r="C3317" s="7">
        <v>139</v>
      </c>
      <c r="D3317" s="8">
        <v>345184.46</v>
      </c>
      <c r="E3317" s="9">
        <v>1</v>
      </c>
    </row>
    <row r="3318" spans="1:5" x14ac:dyDescent="0.25">
      <c r="A3318" s="7">
        <v>1</v>
      </c>
      <c r="B3318" s="7">
        <v>4961</v>
      </c>
      <c r="C3318" s="7">
        <v>139</v>
      </c>
      <c r="D3318" s="8">
        <v>21290.42</v>
      </c>
      <c r="E3318" s="9">
        <v>1</v>
      </c>
    </row>
    <row r="3319" spans="1:5" x14ac:dyDescent="0.25">
      <c r="A3319" s="7">
        <v>1</v>
      </c>
      <c r="B3319" s="7">
        <v>4962</v>
      </c>
      <c r="C3319" s="7">
        <v>139</v>
      </c>
      <c r="D3319" s="8">
        <v>81231.6</v>
      </c>
      <c r="E3319" s="9">
        <v>1</v>
      </c>
    </row>
    <row r="3320" spans="1:5" x14ac:dyDescent="0.25">
      <c r="A3320" s="7">
        <v>1</v>
      </c>
      <c r="B3320" s="7">
        <v>4963</v>
      </c>
      <c r="C3320" s="7">
        <v>139</v>
      </c>
      <c r="D3320" s="8">
        <v>184878.86</v>
      </c>
      <c r="E3320" s="9">
        <v>1</v>
      </c>
    </row>
    <row r="3321" spans="1:5" x14ac:dyDescent="0.25">
      <c r="A3321" s="7">
        <v>1</v>
      </c>
      <c r="B3321" s="7">
        <v>4964</v>
      </c>
      <c r="C3321" s="7">
        <v>139</v>
      </c>
      <c r="D3321" s="8">
        <v>345184.46</v>
      </c>
      <c r="E3321" s="9">
        <v>1</v>
      </c>
    </row>
    <row r="3322" spans="1:5" x14ac:dyDescent="0.25">
      <c r="A3322" s="7">
        <v>1</v>
      </c>
      <c r="B3322" s="7">
        <v>4965</v>
      </c>
      <c r="C3322" s="7">
        <v>139</v>
      </c>
      <c r="D3322" s="8">
        <v>21290.42</v>
      </c>
      <c r="E3322" s="9">
        <v>1</v>
      </c>
    </row>
    <row r="3323" spans="1:5" x14ac:dyDescent="0.25">
      <c r="A3323" s="7">
        <v>1</v>
      </c>
      <c r="B3323" s="7">
        <v>4966</v>
      </c>
      <c r="C3323" s="7">
        <v>139</v>
      </c>
      <c r="D3323" s="8">
        <v>81231.91</v>
      </c>
      <c r="E3323" s="9">
        <v>1</v>
      </c>
    </row>
    <row r="3324" spans="1:5" x14ac:dyDescent="0.25">
      <c r="A3324" s="7">
        <v>1</v>
      </c>
      <c r="B3324" s="7">
        <v>4967</v>
      </c>
      <c r="C3324" s="7">
        <v>139</v>
      </c>
      <c r="D3324" s="8">
        <v>184878.86</v>
      </c>
      <c r="E3324" s="9">
        <v>1</v>
      </c>
    </row>
    <row r="3325" spans="1:5" x14ac:dyDescent="0.25">
      <c r="A3325" s="7">
        <v>1</v>
      </c>
      <c r="B3325" s="7">
        <v>4968</v>
      </c>
      <c r="C3325" s="7">
        <v>139</v>
      </c>
      <c r="D3325" s="8">
        <v>345184.46</v>
      </c>
      <c r="E3325" s="9">
        <v>1</v>
      </c>
    </row>
    <row r="3326" spans="1:5" x14ac:dyDescent="0.25">
      <c r="A3326" s="7">
        <v>1</v>
      </c>
      <c r="B3326" s="7">
        <v>4969</v>
      </c>
      <c r="C3326" s="7">
        <v>139</v>
      </c>
      <c r="D3326" s="8">
        <v>21290.42</v>
      </c>
      <c r="E3326" s="9">
        <v>1</v>
      </c>
    </row>
    <row r="3327" spans="1:5" x14ac:dyDescent="0.25">
      <c r="A3327" s="7">
        <v>1</v>
      </c>
      <c r="B3327" s="7">
        <v>4970</v>
      </c>
      <c r="C3327" s="7">
        <v>139</v>
      </c>
      <c r="D3327" s="8">
        <v>81231.91</v>
      </c>
      <c r="E3327" s="9">
        <v>1</v>
      </c>
    </row>
    <row r="3328" spans="1:5" x14ac:dyDescent="0.25">
      <c r="A3328" s="7">
        <v>1</v>
      </c>
      <c r="B3328" s="7">
        <v>4971</v>
      </c>
      <c r="C3328" s="7">
        <v>139</v>
      </c>
      <c r="D3328" s="8">
        <v>184878.86</v>
      </c>
      <c r="E3328" s="9">
        <v>1</v>
      </c>
    </row>
    <row r="3329" spans="1:5" x14ac:dyDescent="0.25">
      <c r="A3329" s="7">
        <v>1</v>
      </c>
      <c r="B3329" s="7">
        <v>4972</v>
      </c>
      <c r="C3329" s="7">
        <v>139</v>
      </c>
      <c r="D3329" s="8">
        <v>345184.46</v>
      </c>
      <c r="E3329" s="9">
        <v>1</v>
      </c>
    </row>
    <row r="3330" spans="1:5" x14ac:dyDescent="0.25">
      <c r="A3330" s="7">
        <v>1</v>
      </c>
      <c r="B3330" s="7">
        <v>4993</v>
      </c>
      <c r="C3330" s="7">
        <v>152</v>
      </c>
      <c r="D3330" s="8">
        <v>238310.4</v>
      </c>
      <c r="E3330" s="9">
        <v>1</v>
      </c>
    </row>
    <row r="3331" spans="1:5" x14ac:dyDescent="0.25">
      <c r="A3331" s="7">
        <v>1</v>
      </c>
      <c r="B3331" s="7">
        <v>4994</v>
      </c>
      <c r="C3331" s="7">
        <v>163</v>
      </c>
      <c r="D3331" s="8">
        <v>39996.92</v>
      </c>
      <c r="E3331" s="9">
        <v>1</v>
      </c>
    </row>
    <row r="3332" spans="1:5" x14ac:dyDescent="0.25">
      <c r="A3332" s="7">
        <v>1</v>
      </c>
      <c r="B3332" s="7">
        <v>4994</v>
      </c>
      <c r="C3332" s="7">
        <v>163</v>
      </c>
      <c r="D3332" s="8">
        <v>39996.92</v>
      </c>
      <c r="E3332" s="9">
        <v>1</v>
      </c>
    </row>
    <row r="3333" spans="1:5" x14ac:dyDescent="0.25">
      <c r="A3333" s="7">
        <v>1</v>
      </c>
      <c r="B3333" s="7">
        <v>4995</v>
      </c>
      <c r="C3333" s="7">
        <v>163</v>
      </c>
      <c r="D3333" s="8">
        <v>40754.96</v>
      </c>
      <c r="E3333" s="9">
        <v>1</v>
      </c>
    </row>
    <row r="3334" spans="1:5" x14ac:dyDescent="0.25">
      <c r="A3334" s="7">
        <v>1</v>
      </c>
      <c r="B3334" s="7">
        <v>4997</v>
      </c>
      <c r="C3334" s="7">
        <v>902</v>
      </c>
      <c r="D3334" s="8">
        <v>79499.28</v>
      </c>
      <c r="E3334" s="9">
        <v>1</v>
      </c>
    </row>
    <row r="3335" spans="1:5" x14ac:dyDescent="0.25">
      <c r="A3335" s="7">
        <v>1</v>
      </c>
      <c r="B3335" s="7">
        <v>4998</v>
      </c>
      <c r="C3335" s="7">
        <v>107</v>
      </c>
      <c r="D3335" s="8">
        <v>43171.74</v>
      </c>
      <c r="E3335" s="9">
        <v>1</v>
      </c>
    </row>
    <row r="3336" spans="1:5" x14ac:dyDescent="0.25">
      <c r="A3336" s="7">
        <v>1</v>
      </c>
      <c r="B3336" s="7">
        <v>4999</v>
      </c>
      <c r="C3336" s="7">
        <v>107</v>
      </c>
      <c r="D3336" s="8">
        <v>89029.77</v>
      </c>
      <c r="E3336" s="9">
        <v>1</v>
      </c>
    </row>
    <row r="3337" spans="1:5" x14ac:dyDescent="0.25">
      <c r="A3337" s="7">
        <v>1</v>
      </c>
      <c r="B3337" s="7">
        <v>5000</v>
      </c>
      <c r="C3337" s="7">
        <v>107</v>
      </c>
      <c r="D3337" s="8">
        <v>148381.98</v>
      </c>
      <c r="E3337" s="9">
        <v>1</v>
      </c>
    </row>
    <row r="3338" spans="1:5" x14ac:dyDescent="0.25">
      <c r="A3338" s="7">
        <v>1</v>
      </c>
      <c r="B3338" s="7">
        <v>5001</v>
      </c>
      <c r="C3338" s="7">
        <v>134</v>
      </c>
      <c r="D3338" s="8">
        <v>31.37</v>
      </c>
      <c r="E3338" s="9">
        <v>3</v>
      </c>
    </row>
    <row r="3339" spans="1:5" x14ac:dyDescent="0.25">
      <c r="A3339" s="7">
        <v>1</v>
      </c>
      <c r="B3339" s="7">
        <v>5002</v>
      </c>
      <c r="C3339" s="7">
        <v>163</v>
      </c>
      <c r="D3339" s="8">
        <v>214585.05</v>
      </c>
      <c r="E3339" s="9">
        <v>1</v>
      </c>
    </row>
    <row r="3340" spans="1:5" x14ac:dyDescent="0.25">
      <c r="A3340" s="7">
        <v>1</v>
      </c>
      <c r="B3340" s="7">
        <v>5003</v>
      </c>
      <c r="C3340" s="7">
        <v>163</v>
      </c>
      <c r="D3340" s="8">
        <v>214585.05</v>
      </c>
      <c r="E3340" s="9">
        <v>1</v>
      </c>
    </row>
    <row r="3341" spans="1:5" x14ac:dyDescent="0.25">
      <c r="A3341" s="7">
        <v>1</v>
      </c>
      <c r="B3341" s="7">
        <v>5004</v>
      </c>
      <c r="C3341" s="7">
        <v>163</v>
      </c>
      <c r="D3341" s="8">
        <v>214585.05</v>
      </c>
      <c r="E3341" s="9">
        <v>1</v>
      </c>
    </row>
    <row r="3342" spans="1:5" x14ac:dyDescent="0.25">
      <c r="A3342" s="7">
        <v>1</v>
      </c>
      <c r="B3342" s="7">
        <v>5005</v>
      </c>
      <c r="C3342" s="7">
        <v>163</v>
      </c>
      <c r="D3342" s="8">
        <v>214585.05</v>
      </c>
      <c r="E3342" s="9">
        <v>1</v>
      </c>
    </row>
    <row r="3343" spans="1:5" x14ac:dyDescent="0.25">
      <c r="A3343" s="7">
        <v>1</v>
      </c>
      <c r="B3343" s="7">
        <v>5009</v>
      </c>
      <c r="C3343" s="7">
        <v>197</v>
      </c>
      <c r="D3343" s="8">
        <v>13.34</v>
      </c>
      <c r="E3343" s="9">
        <v>2</v>
      </c>
    </row>
    <row r="3344" spans="1:5" x14ac:dyDescent="0.25">
      <c r="A3344" s="7">
        <v>1</v>
      </c>
      <c r="B3344" s="7">
        <v>5012</v>
      </c>
      <c r="C3344" s="7">
        <v>134</v>
      </c>
      <c r="D3344" s="8">
        <v>25.43</v>
      </c>
      <c r="E3344" s="9">
        <v>3</v>
      </c>
    </row>
    <row r="3345" spans="1:5" x14ac:dyDescent="0.25">
      <c r="A3345" s="7">
        <v>1</v>
      </c>
      <c r="B3345" s="7">
        <v>5022</v>
      </c>
      <c r="C3345" s="7">
        <v>163</v>
      </c>
      <c r="D3345" s="8">
        <v>12289.96</v>
      </c>
      <c r="E3345" s="9">
        <v>1</v>
      </c>
    </row>
    <row r="3346" spans="1:5" x14ac:dyDescent="0.25">
      <c r="A3346" s="7">
        <v>1</v>
      </c>
      <c r="B3346" s="7">
        <v>5023</v>
      </c>
      <c r="C3346" s="7">
        <v>163</v>
      </c>
      <c r="D3346" s="8">
        <v>51441.54</v>
      </c>
      <c r="E3346" s="9">
        <v>1</v>
      </c>
    </row>
    <row r="3347" spans="1:5" x14ac:dyDescent="0.25">
      <c r="A3347" s="7">
        <v>1</v>
      </c>
      <c r="B3347" s="7">
        <v>5024</v>
      </c>
      <c r="C3347" s="7">
        <v>102</v>
      </c>
      <c r="D3347" s="8">
        <v>3493.14</v>
      </c>
      <c r="E3347" s="9">
        <v>1</v>
      </c>
    </row>
    <row r="3348" spans="1:5" x14ac:dyDescent="0.25">
      <c r="A3348" s="7">
        <v>1</v>
      </c>
      <c r="B3348" s="7">
        <v>5025</v>
      </c>
      <c r="C3348" s="7">
        <v>102</v>
      </c>
      <c r="D3348" s="8">
        <v>1732.68</v>
      </c>
      <c r="E3348" s="9">
        <v>1</v>
      </c>
    </row>
    <row r="3349" spans="1:5" x14ac:dyDescent="0.25">
      <c r="A3349" s="7">
        <v>1</v>
      </c>
      <c r="B3349" s="7">
        <v>5026</v>
      </c>
      <c r="C3349" s="7">
        <v>102</v>
      </c>
      <c r="D3349" s="8">
        <v>1732.68</v>
      </c>
      <c r="E3349" s="9">
        <v>1</v>
      </c>
    </row>
    <row r="3350" spans="1:5" x14ac:dyDescent="0.25">
      <c r="A3350" s="7">
        <v>1</v>
      </c>
      <c r="B3350" s="7">
        <v>5027</v>
      </c>
      <c r="C3350" s="7">
        <v>102</v>
      </c>
      <c r="D3350" s="8">
        <v>1732.68</v>
      </c>
      <c r="E3350" s="9">
        <v>1</v>
      </c>
    </row>
    <row r="3351" spans="1:5" x14ac:dyDescent="0.25">
      <c r="A3351" s="7">
        <v>1</v>
      </c>
      <c r="B3351" s="7">
        <v>5028</v>
      </c>
      <c r="C3351" s="7">
        <v>102</v>
      </c>
      <c r="D3351" s="8">
        <v>1732.68</v>
      </c>
      <c r="E3351" s="9">
        <v>1</v>
      </c>
    </row>
    <row r="3352" spans="1:5" x14ac:dyDescent="0.25">
      <c r="A3352" s="7">
        <v>1</v>
      </c>
      <c r="B3352" s="7">
        <v>5029</v>
      </c>
      <c r="C3352" s="7">
        <v>102</v>
      </c>
      <c r="D3352" s="8">
        <v>1732.68</v>
      </c>
      <c r="E3352" s="9">
        <v>1</v>
      </c>
    </row>
    <row r="3353" spans="1:5" x14ac:dyDescent="0.25">
      <c r="A3353" s="7">
        <v>1</v>
      </c>
      <c r="B3353" s="7">
        <v>5030</v>
      </c>
      <c r="C3353" s="7">
        <v>102</v>
      </c>
      <c r="D3353" s="8">
        <v>1732.68</v>
      </c>
      <c r="E3353" s="9">
        <v>1</v>
      </c>
    </row>
    <row r="3354" spans="1:5" x14ac:dyDescent="0.25">
      <c r="A3354" s="7">
        <v>1</v>
      </c>
      <c r="B3354" s="7">
        <v>5031</v>
      </c>
      <c r="C3354" s="7">
        <v>102</v>
      </c>
      <c r="D3354" s="8">
        <v>1732.68</v>
      </c>
      <c r="E3354" s="9">
        <v>1</v>
      </c>
    </row>
    <row r="3355" spans="1:5" x14ac:dyDescent="0.25">
      <c r="A3355" s="7">
        <v>1</v>
      </c>
      <c r="B3355" s="7">
        <v>5037</v>
      </c>
      <c r="C3355" s="7">
        <v>140</v>
      </c>
      <c r="D3355" s="8">
        <v>10677.02</v>
      </c>
      <c r="E3355" s="9">
        <v>1</v>
      </c>
    </row>
    <row r="3356" spans="1:5" x14ac:dyDescent="0.25">
      <c r="A3356" s="7">
        <v>1</v>
      </c>
      <c r="B3356" s="7">
        <v>5038</v>
      </c>
      <c r="C3356" s="7">
        <v>169</v>
      </c>
      <c r="D3356" s="8">
        <v>21.99</v>
      </c>
      <c r="E3356" s="9">
        <v>3</v>
      </c>
    </row>
    <row r="3357" spans="1:5" x14ac:dyDescent="0.25">
      <c r="A3357" s="7">
        <v>1</v>
      </c>
      <c r="B3357" s="7">
        <v>5039</v>
      </c>
      <c r="C3357" s="7">
        <v>902</v>
      </c>
      <c r="D3357" s="8">
        <v>6393.8</v>
      </c>
      <c r="E3357" s="9">
        <v>1</v>
      </c>
    </row>
    <row r="3358" spans="1:5" x14ac:dyDescent="0.25">
      <c r="A3358" s="7">
        <v>1</v>
      </c>
      <c r="B3358" s="7">
        <v>5040</v>
      </c>
      <c r="C3358" s="7">
        <v>139</v>
      </c>
      <c r="D3358" s="8">
        <v>11108.23</v>
      </c>
      <c r="E3358" s="9">
        <v>1</v>
      </c>
    </row>
    <row r="3359" spans="1:5" x14ac:dyDescent="0.25">
      <c r="A3359" s="7">
        <v>1</v>
      </c>
      <c r="B3359" s="7">
        <v>5041</v>
      </c>
      <c r="C3359" s="7">
        <v>139</v>
      </c>
      <c r="D3359" s="8">
        <v>17354.11</v>
      </c>
      <c r="E3359" s="9">
        <v>1</v>
      </c>
    </row>
    <row r="3360" spans="1:5" x14ac:dyDescent="0.25">
      <c r="A3360" s="7">
        <v>1</v>
      </c>
      <c r="B3360" s="7">
        <v>5042</v>
      </c>
      <c r="C3360" s="7">
        <v>139</v>
      </c>
      <c r="D3360" s="8">
        <v>64969.6</v>
      </c>
      <c r="E3360" s="9">
        <v>1</v>
      </c>
    </row>
    <row r="3361" spans="1:5" x14ac:dyDescent="0.25">
      <c r="A3361" s="7">
        <v>1</v>
      </c>
      <c r="B3361" s="7">
        <v>5043</v>
      </c>
      <c r="C3361" s="7">
        <v>139</v>
      </c>
      <c r="D3361" s="8">
        <v>258942.77</v>
      </c>
      <c r="E3361" s="9">
        <v>1</v>
      </c>
    </row>
    <row r="3362" spans="1:5" x14ac:dyDescent="0.25">
      <c r="A3362" s="7">
        <v>1</v>
      </c>
      <c r="B3362" s="7">
        <v>5044</v>
      </c>
      <c r="C3362" s="7">
        <v>902</v>
      </c>
      <c r="D3362" s="8">
        <v>5295.5</v>
      </c>
      <c r="E3362" s="9">
        <v>1</v>
      </c>
    </row>
    <row r="3363" spans="1:5" x14ac:dyDescent="0.25">
      <c r="A3363" s="7">
        <v>1</v>
      </c>
      <c r="B3363" s="7">
        <v>5045</v>
      </c>
      <c r="C3363" s="7">
        <v>139</v>
      </c>
      <c r="D3363" s="8">
        <v>9214.62</v>
      </c>
      <c r="E3363" s="9">
        <v>1</v>
      </c>
    </row>
    <row r="3364" spans="1:5" x14ac:dyDescent="0.25">
      <c r="A3364" s="7">
        <v>1</v>
      </c>
      <c r="B3364" s="7">
        <v>5046</v>
      </c>
      <c r="C3364" s="7">
        <v>139</v>
      </c>
      <c r="D3364" s="8">
        <v>14213.88</v>
      </c>
      <c r="E3364" s="9">
        <v>1</v>
      </c>
    </row>
    <row r="3365" spans="1:5" x14ac:dyDescent="0.25">
      <c r="A3365" s="7">
        <v>1</v>
      </c>
      <c r="B3365" s="7">
        <v>5047</v>
      </c>
      <c r="C3365" s="7">
        <v>139</v>
      </c>
      <c r="D3365" s="8">
        <v>53232.11</v>
      </c>
      <c r="E3365" s="9">
        <v>1</v>
      </c>
    </row>
    <row r="3366" spans="1:5" x14ac:dyDescent="0.25">
      <c r="A3366" s="7">
        <v>1</v>
      </c>
      <c r="B3366" s="7">
        <v>5048</v>
      </c>
      <c r="C3366" s="7">
        <v>134</v>
      </c>
      <c r="D3366" s="8">
        <v>28.13</v>
      </c>
      <c r="E3366" s="9">
        <v>3</v>
      </c>
    </row>
    <row r="3367" spans="1:5" x14ac:dyDescent="0.25">
      <c r="A3367" s="7">
        <v>1</v>
      </c>
      <c r="B3367" s="7">
        <v>5049</v>
      </c>
      <c r="C3367" s="7">
        <v>134</v>
      </c>
      <c r="D3367" s="8">
        <v>32.1</v>
      </c>
      <c r="E3367" s="9">
        <v>3</v>
      </c>
    </row>
    <row r="3368" spans="1:5" x14ac:dyDescent="0.25">
      <c r="A3368" s="7">
        <v>1</v>
      </c>
      <c r="B3368" s="7">
        <v>5052</v>
      </c>
      <c r="C3368" s="7">
        <v>134</v>
      </c>
      <c r="D3368" s="8">
        <v>28.13</v>
      </c>
      <c r="E3368" s="9">
        <v>3</v>
      </c>
    </row>
    <row r="3369" spans="1:5" x14ac:dyDescent="0.25">
      <c r="A3369" s="7">
        <v>1</v>
      </c>
      <c r="B3369" s="7">
        <v>5053</v>
      </c>
      <c r="C3369" s="7">
        <v>134</v>
      </c>
      <c r="D3369" s="8">
        <v>26.13</v>
      </c>
      <c r="E3369" s="9">
        <v>3</v>
      </c>
    </row>
    <row r="3370" spans="1:5" x14ac:dyDescent="0.25">
      <c r="A3370" s="7">
        <v>1</v>
      </c>
      <c r="B3370" s="7">
        <v>5054</v>
      </c>
      <c r="C3370" s="7">
        <v>902</v>
      </c>
      <c r="D3370" s="8">
        <v>36.6</v>
      </c>
      <c r="E3370" s="9">
        <v>3</v>
      </c>
    </row>
    <row r="3371" spans="1:5" x14ac:dyDescent="0.25">
      <c r="A3371" s="7">
        <v>1</v>
      </c>
      <c r="B3371" s="7">
        <v>5055</v>
      </c>
      <c r="C3371" s="7">
        <v>134</v>
      </c>
      <c r="D3371" s="8">
        <v>128.43</v>
      </c>
      <c r="E3371" s="9">
        <v>3</v>
      </c>
    </row>
    <row r="3372" spans="1:5" x14ac:dyDescent="0.25">
      <c r="A3372" s="7">
        <v>1</v>
      </c>
      <c r="B3372" s="7">
        <v>5056</v>
      </c>
      <c r="C3372" s="7">
        <v>134</v>
      </c>
      <c r="D3372" s="8">
        <v>122.6</v>
      </c>
      <c r="E3372" s="9">
        <v>3</v>
      </c>
    </row>
    <row r="3373" spans="1:5" x14ac:dyDescent="0.25">
      <c r="A3373" s="7">
        <v>1</v>
      </c>
      <c r="B3373" s="7">
        <v>5057</v>
      </c>
      <c r="C3373" s="7">
        <v>134</v>
      </c>
      <c r="D3373" s="8">
        <v>124.31</v>
      </c>
      <c r="E3373" s="9">
        <v>3</v>
      </c>
    </row>
    <row r="3374" spans="1:5" x14ac:dyDescent="0.25">
      <c r="A3374" s="7">
        <v>1</v>
      </c>
      <c r="B3374" s="7">
        <v>5058</v>
      </c>
      <c r="C3374" s="7">
        <v>169</v>
      </c>
      <c r="D3374" s="8">
        <v>53.93</v>
      </c>
      <c r="E3374" s="9">
        <v>3</v>
      </c>
    </row>
    <row r="3375" spans="1:5" x14ac:dyDescent="0.25">
      <c r="A3375" s="7">
        <v>1</v>
      </c>
      <c r="B3375" s="7">
        <v>5060</v>
      </c>
      <c r="C3375" s="7">
        <v>134</v>
      </c>
      <c r="D3375" s="8">
        <v>28.13</v>
      </c>
      <c r="E3375" s="9">
        <v>3</v>
      </c>
    </row>
    <row r="3376" spans="1:5" x14ac:dyDescent="0.25">
      <c r="A3376" s="7">
        <v>1</v>
      </c>
      <c r="B3376" s="7">
        <v>5061</v>
      </c>
      <c r="C3376" s="7">
        <v>152</v>
      </c>
      <c r="D3376" s="8">
        <v>24146.23</v>
      </c>
      <c r="E3376" s="9">
        <v>1</v>
      </c>
    </row>
    <row r="3377" spans="1:5" x14ac:dyDescent="0.25">
      <c r="A3377" s="7">
        <v>1</v>
      </c>
      <c r="B3377" s="7">
        <v>5062</v>
      </c>
      <c r="C3377" s="7">
        <v>152</v>
      </c>
      <c r="D3377" s="8">
        <v>90582.3</v>
      </c>
      <c r="E3377" s="9">
        <v>1</v>
      </c>
    </row>
    <row r="3378" spans="1:5" x14ac:dyDescent="0.25">
      <c r="A3378" s="7">
        <v>1</v>
      </c>
      <c r="B3378" s="7">
        <v>5063</v>
      </c>
      <c r="C3378" s="7">
        <v>112</v>
      </c>
      <c r="D3378" s="8">
        <v>44815.34</v>
      </c>
      <c r="E3378" s="9">
        <v>1</v>
      </c>
    </row>
    <row r="3379" spans="1:5" x14ac:dyDescent="0.25">
      <c r="A3379" s="7">
        <v>1</v>
      </c>
      <c r="B3379" s="7">
        <v>5078</v>
      </c>
      <c r="C3379" s="7">
        <v>139</v>
      </c>
      <c r="D3379" s="8">
        <v>12505.3</v>
      </c>
      <c r="E3379" s="9">
        <v>1</v>
      </c>
    </row>
    <row r="3380" spans="1:5" x14ac:dyDescent="0.25">
      <c r="A3380" s="7">
        <v>1</v>
      </c>
      <c r="B3380" s="7">
        <v>5079</v>
      </c>
      <c r="C3380" s="7">
        <v>139</v>
      </c>
      <c r="D3380" s="8">
        <v>44593.2</v>
      </c>
      <c r="E3380" s="9">
        <v>1</v>
      </c>
    </row>
    <row r="3381" spans="1:5" x14ac:dyDescent="0.25">
      <c r="A3381" s="7">
        <v>1</v>
      </c>
      <c r="B3381" s="7">
        <v>5080</v>
      </c>
      <c r="C3381" s="7">
        <v>134</v>
      </c>
      <c r="D3381" s="8">
        <v>89.86</v>
      </c>
      <c r="E3381" s="9">
        <v>3</v>
      </c>
    </row>
    <row r="3382" spans="1:5" x14ac:dyDescent="0.25">
      <c r="A3382" s="7">
        <v>1</v>
      </c>
      <c r="B3382" s="7">
        <v>5081</v>
      </c>
      <c r="C3382" s="7">
        <v>134</v>
      </c>
      <c r="D3382" s="8">
        <v>56.01</v>
      </c>
      <c r="E3382" s="9">
        <v>3</v>
      </c>
    </row>
    <row r="3383" spans="1:5" x14ac:dyDescent="0.25">
      <c r="A3383" s="7">
        <v>1</v>
      </c>
      <c r="B3383" s="7">
        <v>5082</v>
      </c>
      <c r="C3383" s="7">
        <v>134</v>
      </c>
      <c r="D3383" s="8">
        <v>32.15</v>
      </c>
      <c r="E3383" s="9">
        <v>3</v>
      </c>
    </row>
    <row r="3384" spans="1:5" x14ac:dyDescent="0.25">
      <c r="A3384" s="7">
        <v>1</v>
      </c>
      <c r="B3384" s="7">
        <v>5083</v>
      </c>
      <c r="C3384" s="7">
        <v>134</v>
      </c>
      <c r="D3384" s="8">
        <v>30.45</v>
      </c>
      <c r="E3384" s="9">
        <v>3</v>
      </c>
    </row>
    <row r="3385" spans="1:5" x14ac:dyDescent="0.25">
      <c r="A3385" s="7">
        <v>1</v>
      </c>
      <c r="B3385" s="7">
        <v>5084</v>
      </c>
      <c r="C3385" s="7">
        <v>134</v>
      </c>
      <c r="D3385" s="8">
        <v>24.84</v>
      </c>
      <c r="E3385" s="9">
        <v>3</v>
      </c>
    </row>
    <row r="3386" spans="1:5" x14ac:dyDescent="0.25">
      <c r="A3386" s="7">
        <v>1</v>
      </c>
      <c r="B3386" s="7">
        <v>5085</v>
      </c>
      <c r="C3386" s="7">
        <v>139</v>
      </c>
      <c r="D3386" s="8">
        <v>18324.55</v>
      </c>
      <c r="E3386" s="9">
        <v>1</v>
      </c>
    </row>
    <row r="3387" spans="1:5" x14ac:dyDescent="0.25">
      <c r="A3387" s="7">
        <v>1</v>
      </c>
      <c r="B3387" s="7">
        <v>5086</v>
      </c>
      <c r="C3387" s="7">
        <v>139</v>
      </c>
      <c r="D3387" s="8">
        <v>61603.56</v>
      </c>
      <c r="E3387" s="9">
        <v>1</v>
      </c>
    </row>
    <row r="3388" spans="1:5" x14ac:dyDescent="0.25">
      <c r="A3388" s="7">
        <v>1</v>
      </c>
      <c r="B3388" s="7">
        <v>5087</v>
      </c>
      <c r="C3388" s="7">
        <v>139</v>
      </c>
      <c r="D3388" s="8">
        <v>109777.07</v>
      </c>
      <c r="E3388" s="9">
        <v>1</v>
      </c>
    </row>
    <row r="3389" spans="1:5" x14ac:dyDescent="0.25">
      <c r="A3389" s="7">
        <v>1</v>
      </c>
      <c r="B3389" s="7">
        <v>5088</v>
      </c>
      <c r="C3389" s="7">
        <v>139</v>
      </c>
      <c r="D3389" s="8">
        <v>197806.22</v>
      </c>
      <c r="E3389" s="9">
        <v>1</v>
      </c>
    </row>
    <row r="3390" spans="1:5" x14ac:dyDescent="0.25">
      <c r="A3390" s="7">
        <v>1</v>
      </c>
      <c r="B3390" s="7">
        <v>5089</v>
      </c>
      <c r="C3390" s="7">
        <v>139</v>
      </c>
      <c r="D3390" s="8">
        <v>18324.55</v>
      </c>
      <c r="E3390" s="9">
        <v>1</v>
      </c>
    </row>
    <row r="3391" spans="1:5" x14ac:dyDescent="0.25">
      <c r="A3391" s="7">
        <v>1</v>
      </c>
      <c r="B3391" s="7">
        <v>5090</v>
      </c>
      <c r="C3391" s="7">
        <v>139</v>
      </c>
      <c r="D3391" s="8">
        <v>61603.56</v>
      </c>
      <c r="E3391" s="9">
        <v>1</v>
      </c>
    </row>
    <row r="3392" spans="1:5" x14ac:dyDescent="0.25">
      <c r="A3392" s="7">
        <v>1</v>
      </c>
      <c r="B3392" s="7">
        <v>5091</v>
      </c>
      <c r="C3392" s="7">
        <v>139</v>
      </c>
      <c r="D3392" s="8">
        <v>109777.07</v>
      </c>
      <c r="E3392" s="9">
        <v>1</v>
      </c>
    </row>
    <row r="3393" spans="1:5" x14ac:dyDescent="0.25">
      <c r="A3393" s="7">
        <v>1</v>
      </c>
      <c r="B3393" s="7">
        <v>5092</v>
      </c>
      <c r="C3393" s="7">
        <v>139</v>
      </c>
      <c r="D3393" s="8">
        <v>197806.22</v>
      </c>
      <c r="E3393" s="9">
        <v>1</v>
      </c>
    </row>
    <row r="3394" spans="1:5" x14ac:dyDescent="0.25">
      <c r="A3394" s="7">
        <v>1</v>
      </c>
      <c r="B3394" s="7">
        <v>5093</v>
      </c>
      <c r="C3394" s="7">
        <v>139</v>
      </c>
      <c r="D3394" s="8">
        <v>18324.55</v>
      </c>
      <c r="E3394" s="9">
        <v>1</v>
      </c>
    </row>
    <row r="3395" spans="1:5" x14ac:dyDescent="0.25">
      <c r="A3395" s="7">
        <v>1</v>
      </c>
      <c r="B3395" s="7">
        <v>5094</v>
      </c>
      <c r="C3395" s="7">
        <v>139</v>
      </c>
      <c r="D3395" s="8">
        <v>61603.56</v>
      </c>
      <c r="E3395" s="9">
        <v>1</v>
      </c>
    </row>
    <row r="3396" spans="1:5" x14ac:dyDescent="0.25">
      <c r="A3396" s="7">
        <v>1</v>
      </c>
      <c r="B3396" s="7">
        <v>5095</v>
      </c>
      <c r="C3396" s="7">
        <v>139</v>
      </c>
      <c r="D3396" s="8">
        <v>109777.07</v>
      </c>
      <c r="E3396" s="9">
        <v>1</v>
      </c>
    </row>
    <row r="3397" spans="1:5" x14ac:dyDescent="0.25">
      <c r="A3397" s="7">
        <v>1</v>
      </c>
      <c r="B3397" s="7">
        <v>5096</v>
      </c>
      <c r="C3397" s="7">
        <v>139</v>
      </c>
      <c r="D3397" s="8">
        <v>197806.22</v>
      </c>
      <c r="E3397" s="9">
        <v>1</v>
      </c>
    </row>
    <row r="3398" spans="1:5" x14ac:dyDescent="0.25">
      <c r="A3398" s="7">
        <v>1</v>
      </c>
      <c r="B3398" s="7">
        <v>5097</v>
      </c>
      <c r="C3398" s="7">
        <v>139</v>
      </c>
      <c r="D3398" s="8">
        <v>93141.99</v>
      </c>
      <c r="E3398" s="9">
        <v>1</v>
      </c>
    </row>
    <row r="3399" spans="1:5" x14ac:dyDescent="0.25">
      <c r="A3399" s="7">
        <v>1</v>
      </c>
      <c r="B3399" s="7">
        <v>5098</v>
      </c>
      <c r="C3399" s="7">
        <v>139</v>
      </c>
      <c r="D3399" s="8">
        <v>164621.77</v>
      </c>
      <c r="E3399" s="9">
        <v>1</v>
      </c>
    </row>
    <row r="3400" spans="1:5" x14ac:dyDescent="0.25">
      <c r="A3400" s="7">
        <v>1</v>
      </c>
      <c r="B3400" s="7">
        <v>5099</v>
      </c>
      <c r="C3400" s="7">
        <v>139</v>
      </c>
      <c r="D3400" s="8">
        <v>12505.3</v>
      </c>
      <c r="E3400" s="9">
        <v>1</v>
      </c>
    </row>
    <row r="3401" spans="1:5" x14ac:dyDescent="0.25">
      <c r="A3401" s="7">
        <v>1</v>
      </c>
      <c r="B3401" s="7">
        <v>5100</v>
      </c>
      <c r="C3401" s="7">
        <v>139</v>
      </c>
      <c r="D3401" s="8">
        <v>44593.2</v>
      </c>
      <c r="E3401" s="9">
        <v>1</v>
      </c>
    </row>
    <row r="3402" spans="1:5" x14ac:dyDescent="0.25">
      <c r="A3402" s="7">
        <v>1</v>
      </c>
      <c r="B3402" s="7">
        <v>5101</v>
      </c>
      <c r="C3402" s="7">
        <v>139</v>
      </c>
      <c r="D3402" s="8">
        <v>93141.99</v>
      </c>
      <c r="E3402" s="9">
        <v>1</v>
      </c>
    </row>
    <row r="3403" spans="1:5" x14ac:dyDescent="0.25">
      <c r="A3403" s="7">
        <v>1</v>
      </c>
      <c r="B3403" s="7">
        <v>5102</v>
      </c>
      <c r="C3403" s="7">
        <v>139</v>
      </c>
      <c r="D3403" s="8">
        <v>164621.77</v>
      </c>
      <c r="E3403" s="9">
        <v>1</v>
      </c>
    </row>
    <row r="3404" spans="1:5" x14ac:dyDescent="0.25">
      <c r="A3404" s="7">
        <v>1</v>
      </c>
      <c r="B3404" s="7">
        <v>5103</v>
      </c>
      <c r="C3404" s="7">
        <v>139</v>
      </c>
      <c r="D3404" s="8">
        <v>12505.3</v>
      </c>
      <c r="E3404" s="9">
        <v>1</v>
      </c>
    </row>
    <row r="3405" spans="1:5" x14ac:dyDescent="0.25">
      <c r="A3405" s="7">
        <v>1</v>
      </c>
      <c r="B3405" s="7">
        <v>5104</v>
      </c>
      <c r="C3405" s="7">
        <v>139</v>
      </c>
      <c r="D3405" s="8">
        <v>44593.2</v>
      </c>
      <c r="E3405" s="9">
        <v>1</v>
      </c>
    </row>
    <row r="3406" spans="1:5" x14ac:dyDescent="0.25">
      <c r="A3406" s="7">
        <v>1</v>
      </c>
      <c r="B3406" s="7">
        <v>5105</v>
      </c>
      <c r="C3406" s="7">
        <v>139</v>
      </c>
      <c r="D3406" s="8">
        <v>93141.99</v>
      </c>
      <c r="E3406" s="9">
        <v>1</v>
      </c>
    </row>
    <row r="3407" spans="1:5" x14ac:dyDescent="0.25">
      <c r="A3407" s="7">
        <v>1</v>
      </c>
      <c r="B3407" s="7">
        <v>5106</v>
      </c>
      <c r="C3407" s="7">
        <v>139</v>
      </c>
      <c r="D3407" s="8">
        <v>164621.77</v>
      </c>
      <c r="E3407" s="9">
        <v>1</v>
      </c>
    </row>
    <row r="3408" spans="1:5" x14ac:dyDescent="0.25">
      <c r="A3408" s="7">
        <v>1</v>
      </c>
      <c r="B3408" s="7">
        <v>5107</v>
      </c>
      <c r="C3408" s="7">
        <v>139</v>
      </c>
      <c r="D3408" s="8">
        <v>12505.3</v>
      </c>
      <c r="E3408" s="9">
        <v>1</v>
      </c>
    </row>
    <row r="3409" spans="1:5" x14ac:dyDescent="0.25">
      <c r="A3409" s="7">
        <v>1</v>
      </c>
      <c r="B3409" s="7">
        <v>5108</v>
      </c>
      <c r="C3409" s="7">
        <v>139</v>
      </c>
      <c r="D3409" s="8">
        <v>44593.2</v>
      </c>
      <c r="E3409" s="9">
        <v>1</v>
      </c>
    </row>
    <row r="3410" spans="1:5" x14ac:dyDescent="0.25">
      <c r="A3410" s="7">
        <v>1</v>
      </c>
      <c r="B3410" s="7">
        <v>5109</v>
      </c>
      <c r="C3410" s="7">
        <v>139</v>
      </c>
      <c r="D3410" s="8">
        <v>93141.99</v>
      </c>
      <c r="E3410" s="9">
        <v>1</v>
      </c>
    </row>
    <row r="3411" spans="1:5" x14ac:dyDescent="0.25">
      <c r="A3411" s="7">
        <v>1</v>
      </c>
      <c r="B3411" s="7">
        <v>5110</v>
      </c>
      <c r="C3411" s="7">
        <v>139</v>
      </c>
      <c r="D3411" s="8">
        <v>164621.77</v>
      </c>
      <c r="E3411" s="9">
        <v>1</v>
      </c>
    </row>
    <row r="3412" spans="1:5" x14ac:dyDescent="0.25">
      <c r="A3412" s="7">
        <v>1</v>
      </c>
      <c r="B3412" s="7">
        <v>5111</v>
      </c>
      <c r="C3412" s="7">
        <v>152</v>
      </c>
      <c r="D3412" s="8">
        <v>6835.3</v>
      </c>
      <c r="E3412" s="9">
        <v>1</v>
      </c>
    </row>
    <row r="3413" spans="1:5" x14ac:dyDescent="0.25">
      <c r="A3413" s="7">
        <v>1</v>
      </c>
      <c r="B3413" s="7">
        <v>5112</v>
      </c>
      <c r="C3413" s="7">
        <v>139</v>
      </c>
      <c r="D3413" s="8">
        <v>212973.58</v>
      </c>
      <c r="E3413" s="9">
        <v>1</v>
      </c>
    </row>
    <row r="3414" spans="1:5" x14ac:dyDescent="0.25">
      <c r="A3414" s="7">
        <v>1</v>
      </c>
      <c r="B3414" s="7">
        <v>5113</v>
      </c>
      <c r="C3414" s="7">
        <v>139</v>
      </c>
      <c r="D3414" s="8">
        <v>28867.77</v>
      </c>
      <c r="E3414" s="9">
        <v>1</v>
      </c>
    </row>
    <row r="3415" spans="1:5" x14ac:dyDescent="0.25">
      <c r="A3415" s="7">
        <v>1</v>
      </c>
      <c r="B3415" s="7">
        <v>5114</v>
      </c>
      <c r="C3415" s="7">
        <v>188</v>
      </c>
      <c r="D3415" s="8">
        <v>63675.5</v>
      </c>
      <c r="E3415" s="9">
        <v>1</v>
      </c>
    </row>
    <row r="3416" spans="1:5" x14ac:dyDescent="0.25">
      <c r="A3416" s="7">
        <v>1</v>
      </c>
      <c r="B3416" s="7">
        <v>5115</v>
      </c>
      <c r="C3416" s="7">
        <v>152</v>
      </c>
      <c r="D3416" s="8">
        <v>6835.3</v>
      </c>
      <c r="E3416" s="9">
        <v>1</v>
      </c>
    </row>
    <row r="3417" spans="1:5" x14ac:dyDescent="0.25">
      <c r="A3417" s="7">
        <v>1</v>
      </c>
      <c r="B3417" s="7">
        <v>5125</v>
      </c>
      <c r="C3417" s="7">
        <v>139</v>
      </c>
      <c r="D3417" s="8">
        <v>12977.78</v>
      </c>
      <c r="E3417" s="9">
        <v>1</v>
      </c>
    </row>
    <row r="3418" spans="1:5" x14ac:dyDescent="0.25">
      <c r="A3418" s="7">
        <v>1</v>
      </c>
      <c r="B3418" s="7">
        <v>5126</v>
      </c>
      <c r="C3418" s="7">
        <v>139</v>
      </c>
      <c r="D3418" s="8">
        <v>46073.58</v>
      </c>
      <c r="E3418" s="9">
        <v>1</v>
      </c>
    </row>
    <row r="3419" spans="1:5" x14ac:dyDescent="0.25">
      <c r="A3419" s="7">
        <v>1</v>
      </c>
      <c r="B3419" s="7">
        <v>5127</v>
      </c>
      <c r="C3419" s="7">
        <v>152</v>
      </c>
      <c r="D3419" s="8">
        <v>6835.3</v>
      </c>
      <c r="E3419" s="9">
        <v>1</v>
      </c>
    </row>
    <row r="3420" spans="1:5" x14ac:dyDescent="0.25">
      <c r="A3420" s="7">
        <v>1</v>
      </c>
      <c r="B3420" s="7">
        <v>5128</v>
      </c>
      <c r="C3420" s="7">
        <v>139</v>
      </c>
      <c r="D3420" s="8">
        <v>12505.3</v>
      </c>
      <c r="E3420" s="9">
        <v>1</v>
      </c>
    </row>
    <row r="3421" spans="1:5" x14ac:dyDescent="0.25">
      <c r="A3421" s="7">
        <v>1</v>
      </c>
      <c r="B3421" s="7">
        <v>5129</v>
      </c>
      <c r="C3421" s="7">
        <v>139</v>
      </c>
      <c r="D3421" s="8">
        <v>44593.2</v>
      </c>
      <c r="E3421" s="9">
        <v>1</v>
      </c>
    </row>
    <row r="3422" spans="1:5" x14ac:dyDescent="0.25">
      <c r="A3422" s="7">
        <v>1</v>
      </c>
      <c r="B3422" s="7">
        <v>5130</v>
      </c>
      <c r="C3422" s="7">
        <v>139</v>
      </c>
      <c r="D3422" s="8">
        <v>93141.99</v>
      </c>
      <c r="E3422" s="9">
        <v>1</v>
      </c>
    </row>
    <row r="3423" spans="1:5" x14ac:dyDescent="0.25">
      <c r="A3423" s="7">
        <v>1</v>
      </c>
      <c r="B3423" s="7">
        <v>5131</v>
      </c>
      <c r="C3423" s="7">
        <v>139</v>
      </c>
      <c r="D3423" s="8">
        <v>164621.77</v>
      </c>
      <c r="E3423" s="9">
        <v>1</v>
      </c>
    </row>
    <row r="3424" spans="1:5" x14ac:dyDescent="0.25">
      <c r="A3424" s="7">
        <v>1</v>
      </c>
      <c r="B3424" s="7">
        <v>5132</v>
      </c>
      <c r="C3424" s="7">
        <v>139</v>
      </c>
      <c r="D3424" s="8">
        <v>12505.3</v>
      </c>
      <c r="E3424" s="9">
        <v>1</v>
      </c>
    </row>
    <row r="3425" spans="1:5" x14ac:dyDescent="0.25">
      <c r="A3425" s="7">
        <v>1</v>
      </c>
      <c r="B3425" s="7">
        <v>5133</v>
      </c>
      <c r="C3425" s="7">
        <v>139</v>
      </c>
      <c r="D3425" s="8">
        <v>44593.2</v>
      </c>
      <c r="E3425" s="9">
        <v>1</v>
      </c>
    </row>
    <row r="3426" spans="1:5" x14ac:dyDescent="0.25">
      <c r="A3426" s="7">
        <v>1</v>
      </c>
      <c r="B3426" s="7">
        <v>5134</v>
      </c>
      <c r="C3426" s="7">
        <v>139</v>
      </c>
      <c r="D3426" s="8">
        <v>93141.99</v>
      </c>
      <c r="E3426" s="9">
        <v>1</v>
      </c>
    </row>
    <row r="3427" spans="1:5" x14ac:dyDescent="0.25">
      <c r="A3427" s="7">
        <v>1</v>
      </c>
      <c r="B3427" s="7">
        <v>5135</v>
      </c>
      <c r="C3427" s="7">
        <v>139</v>
      </c>
      <c r="D3427" s="8">
        <v>164621.77</v>
      </c>
      <c r="E3427" s="9">
        <v>1</v>
      </c>
    </row>
    <row r="3428" spans="1:5" x14ac:dyDescent="0.25">
      <c r="A3428" s="7">
        <v>1</v>
      </c>
      <c r="B3428" s="7">
        <v>5136</v>
      </c>
      <c r="C3428" s="7">
        <v>139</v>
      </c>
      <c r="D3428" s="8">
        <v>12505.3</v>
      </c>
      <c r="E3428" s="9">
        <v>1</v>
      </c>
    </row>
    <row r="3429" spans="1:5" x14ac:dyDescent="0.25">
      <c r="A3429" s="7">
        <v>1</v>
      </c>
      <c r="B3429" s="7">
        <v>5137</v>
      </c>
      <c r="C3429" s="7">
        <v>139</v>
      </c>
      <c r="D3429" s="8">
        <v>44593.2</v>
      </c>
      <c r="E3429" s="9">
        <v>1</v>
      </c>
    </row>
    <row r="3430" spans="1:5" x14ac:dyDescent="0.25">
      <c r="A3430" s="7">
        <v>1</v>
      </c>
      <c r="B3430" s="7">
        <v>5138</v>
      </c>
      <c r="C3430" s="7">
        <v>139</v>
      </c>
      <c r="D3430" s="8">
        <v>93141.99</v>
      </c>
      <c r="E3430" s="9">
        <v>1</v>
      </c>
    </row>
    <row r="3431" spans="1:5" x14ac:dyDescent="0.25">
      <c r="A3431" s="7">
        <v>1</v>
      </c>
      <c r="B3431" s="7">
        <v>5139</v>
      </c>
      <c r="C3431" s="7">
        <v>139</v>
      </c>
      <c r="D3431" s="8">
        <v>164621.77</v>
      </c>
      <c r="E3431" s="9">
        <v>1</v>
      </c>
    </row>
    <row r="3432" spans="1:5" x14ac:dyDescent="0.25">
      <c r="A3432" s="7">
        <v>1</v>
      </c>
      <c r="B3432" s="7">
        <v>5140</v>
      </c>
      <c r="C3432" s="7">
        <v>139</v>
      </c>
      <c r="D3432" s="8">
        <v>12505.3</v>
      </c>
      <c r="E3432" s="9">
        <v>1</v>
      </c>
    </row>
    <row r="3433" spans="1:5" x14ac:dyDescent="0.25">
      <c r="A3433" s="7">
        <v>1</v>
      </c>
      <c r="B3433" s="7">
        <v>5141</v>
      </c>
      <c r="C3433" s="7">
        <v>139</v>
      </c>
      <c r="D3433" s="8">
        <v>44593.2</v>
      </c>
      <c r="E3433" s="9">
        <v>1</v>
      </c>
    </row>
    <row r="3434" spans="1:5" x14ac:dyDescent="0.25">
      <c r="A3434" s="7">
        <v>1</v>
      </c>
      <c r="B3434" s="7">
        <v>5142</v>
      </c>
      <c r="C3434" s="7">
        <v>139</v>
      </c>
      <c r="D3434" s="8">
        <v>93141.99</v>
      </c>
      <c r="E3434" s="9">
        <v>1</v>
      </c>
    </row>
    <row r="3435" spans="1:5" x14ac:dyDescent="0.25">
      <c r="A3435" s="7">
        <v>1</v>
      </c>
      <c r="B3435" s="7">
        <v>5143</v>
      </c>
      <c r="C3435" s="7">
        <v>139</v>
      </c>
      <c r="D3435" s="8">
        <v>164621.77</v>
      </c>
      <c r="E3435" s="9">
        <v>1</v>
      </c>
    </row>
    <row r="3436" spans="1:5" x14ac:dyDescent="0.25">
      <c r="A3436" s="7">
        <v>1</v>
      </c>
      <c r="B3436" s="7">
        <v>5144</v>
      </c>
      <c r="C3436" s="7">
        <v>152</v>
      </c>
      <c r="D3436" s="8">
        <v>6835.3</v>
      </c>
      <c r="E3436" s="9">
        <v>1</v>
      </c>
    </row>
    <row r="3437" spans="1:5" x14ac:dyDescent="0.25">
      <c r="A3437" s="7">
        <v>1</v>
      </c>
      <c r="B3437" s="7">
        <v>5145</v>
      </c>
      <c r="C3437" s="7">
        <v>139</v>
      </c>
      <c r="D3437" s="8">
        <v>12977.78</v>
      </c>
      <c r="E3437" s="9">
        <v>1</v>
      </c>
    </row>
    <row r="3438" spans="1:5" x14ac:dyDescent="0.25">
      <c r="A3438" s="7">
        <v>1</v>
      </c>
      <c r="B3438" s="7">
        <v>5146</v>
      </c>
      <c r="C3438" s="7">
        <v>139</v>
      </c>
      <c r="D3438" s="8">
        <v>46073.58</v>
      </c>
      <c r="E3438" s="9">
        <v>1</v>
      </c>
    </row>
    <row r="3439" spans="1:5" x14ac:dyDescent="0.25">
      <c r="A3439" s="7">
        <v>1</v>
      </c>
      <c r="B3439" s="7">
        <v>5147</v>
      </c>
      <c r="C3439" s="7">
        <v>139</v>
      </c>
      <c r="D3439" s="8">
        <v>12977.78</v>
      </c>
      <c r="E3439" s="9">
        <v>1</v>
      </c>
    </row>
    <row r="3440" spans="1:5" x14ac:dyDescent="0.25">
      <c r="A3440" s="7">
        <v>1</v>
      </c>
      <c r="B3440" s="7">
        <v>5148</v>
      </c>
      <c r="C3440" s="7">
        <v>139</v>
      </c>
      <c r="D3440" s="8">
        <v>46073.58</v>
      </c>
      <c r="E3440" s="9">
        <v>1</v>
      </c>
    </row>
    <row r="3441" spans="1:5" x14ac:dyDescent="0.25">
      <c r="A3441" s="7">
        <v>1</v>
      </c>
      <c r="B3441" s="7">
        <v>5149</v>
      </c>
      <c r="C3441" s="7">
        <v>139</v>
      </c>
      <c r="D3441" s="8">
        <v>12977.78</v>
      </c>
      <c r="E3441" s="9">
        <v>1</v>
      </c>
    </row>
    <row r="3442" spans="1:5" x14ac:dyDescent="0.25">
      <c r="A3442" s="7">
        <v>1</v>
      </c>
      <c r="B3442" s="7">
        <v>5150</v>
      </c>
      <c r="C3442" s="7">
        <v>139</v>
      </c>
      <c r="D3442" s="8">
        <v>46073.58</v>
      </c>
      <c r="E3442" s="9">
        <v>1</v>
      </c>
    </row>
    <row r="3443" spans="1:5" x14ac:dyDescent="0.25">
      <c r="A3443" s="7">
        <v>1</v>
      </c>
      <c r="B3443" s="7">
        <v>5151</v>
      </c>
      <c r="C3443" s="7">
        <v>139</v>
      </c>
      <c r="D3443" s="8">
        <v>12977.78</v>
      </c>
      <c r="E3443" s="9">
        <v>1</v>
      </c>
    </row>
    <row r="3444" spans="1:5" x14ac:dyDescent="0.25">
      <c r="A3444" s="7">
        <v>1</v>
      </c>
      <c r="B3444" s="7">
        <v>5152</v>
      </c>
      <c r="C3444" s="7">
        <v>139</v>
      </c>
      <c r="D3444" s="8">
        <v>46073.58</v>
      </c>
      <c r="E3444" s="9">
        <v>1</v>
      </c>
    </row>
    <row r="3445" spans="1:5" x14ac:dyDescent="0.25">
      <c r="A3445" s="7">
        <v>1</v>
      </c>
      <c r="B3445" s="7">
        <v>5153</v>
      </c>
      <c r="C3445" s="7">
        <v>139</v>
      </c>
      <c r="D3445" s="8">
        <v>12977.78</v>
      </c>
      <c r="E3445" s="9">
        <v>1</v>
      </c>
    </row>
    <row r="3446" spans="1:5" x14ac:dyDescent="0.25">
      <c r="A3446" s="7">
        <v>1</v>
      </c>
      <c r="B3446" s="7">
        <v>5154</v>
      </c>
      <c r="C3446" s="7">
        <v>139</v>
      </c>
      <c r="D3446" s="8">
        <v>46073.58</v>
      </c>
      <c r="E3446" s="9">
        <v>1</v>
      </c>
    </row>
    <row r="3447" spans="1:5" x14ac:dyDescent="0.25">
      <c r="A3447" s="7">
        <v>1</v>
      </c>
      <c r="B3447" s="7">
        <v>5155</v>
      </c>
      <c r="C3447" s="7">
        <v>139</v>
      </c>
      <c r="D3447" s="8">
        <v>12977.78</v>
      </c>
      <c r="E3447" s="9">
        <v>1</v>
      </c>
    </row>
    <row r="3448" spans="1:5" x14ac:dyDescent="0.25">
      <c r="A3448" s="7">
        <v>1</v>
      </c>
      <c r="B3448" s="7">
        <v>5156</v>
      </c>
      <c r="C3448" s="7">
        <v>139</v>
      </c>
      <c r="D3448" s="8">
        <v>46073.58</v>
      </c>
      <c r="E3448" s="9">
        <v>1</v>
      </c>
    </row>
    <row r="3449" spans="1:5" x14ac:dyDescent="0.25">
      <c r="A3449" s="7">
        <v>1</v>
      </c>
      <c r="B3449" s="7">
        <v>5157</v>
      </c>
      <c r="C3449" s="7">
        <v>139</v>
      </c>
      <c r="D3449" s="8">
        <v>12977.78</v>
      </c>
      <c r="E3449" s="9">
        <v>1</v>
      </c>
    </row>
    <row r="3450" spans="1:5" x14ac:dyDescent="0.25">
      <c r="A3450" s="7">
        <v>1</v>
      </c>
      <c r="B3450" s="7">
        <v>5158</v>
      </c>
      <c r="C3450" s="7">
        <v>139</v>
      </c>
      <c r="D3450" s="8">
        <v>46073.58</v>
      </c>
      <c r="E3450" s="9">
        <v>1</v>
      </c>
    </row>
    <row r="3451" spans="1:5" x14ac:dyDescent="0.25">
      <c r="A3451" s="7">
        <v>1</v>
      </c>
      <c r="B3451" s="7">
        <v>5159</v>
      </c>
      <c r="C3451" s="7">
        <v>139</v>
      </c>
      <c r="D3451" s="8">
        <v>12977.78</v>
      </c>
      <c r="E3451" s="9">
        <v>1</v>
      </c>
    </row>
    <row r="3452" spans="1:5" x14ac:dyDescent="0.25">
      <c r="A3452" s="7">
        <v>1</v>
      </c>
      <c r="B3452" s="7">
        <v>5160</v>
      </c>
      <c r="C3452" s="7">
        <v>139</v>
      </c>
      <c r="D3452" s="8">
        <v>46073.58</v>
      </c>
      <c r="E3452" s="9">
        <v>1</v>
      </c>
    </row>
    <row r="3453" spans="1:5" x14ac:dyDescent="0.25">
      <c r="A3453" s="7">
        <v>1</v>
      </c>
      <c r="B3453" s="7">
        <v>5161</v>
      </c>
      <c r="C3453" s="7">
        <v>139</v>
      </c>
      <c r="D3453" s="8">
        <v>12977.78</v>
      </c>
      <c r="E3453" s="9">
        <v>1</v>
      </c>
    </row>
    <row r="3454" spans="1:5" x14ac:dyDescent="0.25">
      <c r="A3454" s="7">
        <v>1</v>
      </c>
      <c r="B3454" s="7">
        <v>5162</v>
      </c>
      <c r="C3454" s="7">
        <v>139</v>
      </c>
      <c r="D3454" s="8">
        <v>46073.58</v>
      </c>
      <c r="E3454" s="9">
        <v>1</v>
      </c>
    </row>
    <row r="3455" spans="1:5" x14ac:dyDescent="0.25">
      <c r="A3455" s="7">
        <v>1</v>
      </c>
      <c r="B3455" s="7">
        <v>5163</v>
      </c>
      <c r="C3455" s="7">
        <v>139</v>
      </c>
      <c r="D3455" s="8">
        <v>12977.78</v>
      </c>
      <c r="E3455" s="9">
        <v>1</v>
      </c>
    </row>
    <row r="3456" spans="1:5" x14ac:dyDescent="0.25">
      <c r="A3456" s="7">
        <v>1</v>
      </c>
      <c r="B3456" s="7">
        <v>5164</v>
      </c>
      <c r="C3456" s="7">
        <v>139</v>
      </c>
      <c r="D3456" s="8">
        <v>46073.58</v>
      </c>
      <c r="E3456" s="9">
        <v>1</v>
      </c>
    </row>
    <row r="3457" spans="1:5" x14ac:dyDescent="0.25">
      <c r="A3457" s="7">
        <v>1</v>
      </c>
      <c r="B3457" s="7">
        <v>5165</v>
      </c>
      <c r="C3457" s="7">
        <v>139</v>
      </c>
      <c r="D3457" s="8">
        <v>12977.78</v>
      </c>
      <c r="E3457" s="9">
        <v>1</v>
      </c>
    </row>
    <row r="3458" spans="1:5" x14ac:dyDescent="0.25">
      <c r="A3458" s="7">
        <v>1</v>
      </c>
      <c r="B3458" s="7">
        <v>5166</v>
      </c>
      <c r="C3458" s="7">
        <v>139</v>
      </c>
      <c r="D3458" s="8">
        <v>46073.58</v>
      </c>
      <c r="E3458" s="9">
        <v>1</v>
      </c>
    </row>
    <row r="3459" spans="1:5" x14ac:dyDescent="0.25">
      <c r="A3459" s="7">
        <v>1</v>
      </c>
      <c r="B3459" s="7">
        <v>5167</v>
      </c>
      <c r="C3459" s="7">
        <v>139</v>
      </c>
      <c r="D3459" s="8">
        <v>12977.78</v>
      </c>
      <c r="E3459" s="9">
        <v>1</v>
      </c>
    </row>
    <row r="3460" spans="1:5" x14ac:dyDescent="0.25">
      <c r="A3460" s="7">
        <v>1</v>
      </c>
      <c r="B3460" s="7">
        <v>5168</v>
      </c>
      <c r="C3460" s="7">
        <v>139</v>
      </c>
      <c r="D3460" s="8">
        <v>46073.58</v>
      </c>
      <c r="E3460" s="9">
        <v>1</v>
      </c>
    </row>
    <row r="3461" spans="1:5" x14ac:dyDescent="0.25">
      <c r="A3461" s="7">
        <v>1</v>
      </c>
      <c r="B3461" s="7">
        <v>5169</v>
      </c>
      <c r="C3461" s="7">
        <v>139</v>
      </c>
      <c r="D3461" s="8">
        <v>12977.78</v>
      </c>
      <c r="E3461" s="9">
        <v>1</v>
      </c>
    </row>
    <row r="3462" spans="1:5" x14ac:dyDescent="0.25">
      <c r="A3462" s="7">
        <v>1</v>
      </c>
      <c r="B3462" s="7">
        <v>5170</v>
      </c>
      <c r="C3462" s="7">
        <v>139</v>
      </c>
      <c r="D3462" s="8">
        <v>46073.58</v>
      </c>
      <c r="E3462" s="9">
        <v>1</v>
      </c>
    </row>
    <row r="3463" spans="1:5" x14ac:dyDescent="0.25">
      <c r="A3463" s="7">
        <v>1</v>
      </c>
      <c r="B3463" s="7">
        <v>5174</v>
      </c>
      <c r="C3463" s="7">
        <v>111</v>
      </c>
      <c r="D3463" s="8">
        <v>575.88</v>
      </c>
      <c r="E3463" s="9">
        <v>2</v>
      </c>
    </row>
    <row r="3464" spans="1:5" x14ac:dyDescent="0.25">
      <c r="A3464" s="7">
        <v>1</v>
      </c>
      <c r="B3464" s="7">
        <v>5176</v>
      </c>
      <c r="C3464" s="7">
        <v>111</v>
      </c>
      <c r="D3464" s="8">
        <v>1066.33</v>
      </c>
      <c r="E3464" s="9">
        <v>2</v>
      </c>
    </row>
    <row r="3465" spans="1:5" x14ac:dyDescent="0.25">
      <c r="A3465" s="7">
        <v>1</v>
      </c>
      <c r="B3465" s="7">
        <v>5177</v>
      </c>
      <c r="C3465" s="7">
        <v>111</v>
      </c>
      <c r="D3465" s="8">
        <v>65.12</v>
      </c>
      <c r="E3465" s="9">
        <v>2</v>
      </c>
    </row>
    <row r="3466" spans="1:5" x14ac:dyDescent="0.25">
      <c r="A3466" s="7">
        <v>1</v>
      </c>
      <c r="B3466" s="7">
        <v>5178</v>
      </c>
      <c r="C3466" s="7">
        <v>111</v>
      </c>
      <c r="D3466" s="8">
        <v>1067.74</v>
      </c>
      <c r="E3466" s="9">
        <v>2</v>
      </c>
    </row>
    <row r="3467" spans="1:5" x14ac:dyDescent="0.25">
      <c r="A3467" s="7">
        <v>1</v>
      </c>
      <c r="B3467" s="7">
        <v>5180</v>
      </c>
      <c r="C3467" s="7">
        <v>192</v>
      </c>
      <c r="D3467" s="8">
        <v>134884</v>
      </c>
      <c r="E3467" s="9">
        <v>1</v>
      </c>
    </row>
    <row r="3468" spans="1:5" x14ac:dyDescent="0.25">
      <c r="A3468" s="7">
        <v>1</v>
      </c>
      <c r="B3468" s="7">
        <v>5183</v>
      </c>
      <c r="C3468" s="7">
        <v>107</v>
      </c>
      <c r="D3468" s="8">
        <v>32861.34</v>
      </c>
      <c r="E3468" s="9">
        <v>1</v>
      </c>
    </row>
    <row r="3469" spans="1:5" x14ac:dyDescent="0.25">
      <c r="A3469" s="7">
        <v>1</v>
      </c>
      <c r="B3469" s="7">
        <v>5184</v>
      </c>
      <c r="C3469" s="7">
        <v>107</v>
      </c>
      <c r="D3469" s="8">
        <v>63009.27</v>
      </c>
      <c r="E3469" s="9">
        <v>1</v>
      </c>
    </row>
    <row r="3470" spans="1:5" x14ac:dyDescent="0.25">
      <c r="A3470" s="7">
        <v>1</v>
      </c>
      <c r="B3470" s="7">
        <v>5185</v>
      </c>
      <c r="C3470" s="7">
        <v>107</v>
      </c>
      <c r="D3470" s="8">
        <v>112941.91</v>
      </c>
      <c r="E3470" s="9">
        <v>1</v>
      </c>
    </row>
    <row r="3471" spans="1:5" x14ac:dyDescent="0.25">
      <c r="A3471" s="7">
        <v>1</v>
      </c>
      <c r="B3471" s="7">
        <v>5186</v>
      </c>
      <c r="C3471" s="7">
        <v>192</v>
      </c>
      <c r="D3471" s="8">
        <v>53605.73</v>
      </c>
      <c r="E3471" s="9">
        <v>1</v>
      </c>
    </row>
    <row r="3472" spans="1:5" x14ac:dyDescent="0.25">
      <c r="A3472" s="7">
        <v>1</v>
      </c>
      <c r="B3472" s="7">
        <v>5187</v>
      </c>
      <c r="C3472" s="7">
        <v>146</v>
      </c>
      <c r="D3472" s="8">
        <v>61650.51</v>
      </c>
      <c r="E3472" s="9">
        <v>1</v>
      </c>
    </row>
    <row r="3473" spans="1:5" x14ac:dyDescent="0.25">
      <c r="A3473" s="7">
        <v>1</v>
      </c>
      <c r="B3473" s="7">
        <v>5188</v>
      </c>
      <c r="C3473" s="7">
        <v>128</v>
      </c>
      <c r="D3473" s="8">
        <v>6858.3</v>
      </c>
      <c r="E3473" s="9">
        <v>1</v>
      </c>
    </row>
    <row r="3474" spans="1:5" x14ac:dyDescent="0.25">
      <c r="A3474" s="7">
        <v>1</v>
      </c>
      <c r="B3474" s="7">
        <v>5189</v>
      </c>
      <c r="C3474" s="7">
        <v>128</v>
      </c>
      <c r="D3474" s="8">
        <v>8190.38</v>
      </c>
      <c r="E3474" s="9">
        <v>1</v>
      </c>
    </row>
    <row r="3475" spans="1:5" x14ac:dyDescent="0.25">
      <c r="A3475" s="7">
        <v>1</v>
      </c>
      <c r="B3475" s="7">
        <v>5191</v>
      </c>
      <c r="C3475" s="7">
        <v>128</v>
      </c>
      <c r="D3475" s="8">
        <v>4629.47</v>
      </c>
      <c r="E3475" s="9">
        <v>1</v>
      </c>
    </row>
    <row r="3476" spans="1:5" x14ac:dyDescent="0.25">
      <c r="A3476" s="7">
        <v>1</v>
      </c>
      <c r="B3476" s="7">
        <v>5192</v>
      </c>
      <c r="C3476" s="7">
        <v>128</v>
      </c>
      <c r="D3476" s="8">
        <v>5591.8</v>
      </c>
      <c r="E3476" s="9">
        <v>1</v>
      </c>
    </row>
    <row r="3477" spans="1:5" x14ac:dyDescent="0.25">
      <c r="A3477" s="7">
        <v>1</v>
      </c>
      <c r="B3477" s="7">
        <v>5193</v>
      </c>
      <c r="C3477" s="7">
        <v>128</v>
      </c>
      <c r="D3477" s="8">
        <v>6387.23</v>
      </c>
      <c r="E3477" s="9">
        <v>1</v>
      </c>
    </row>
    <row r="3478" spans="1:5" x14ac:dyDescent="0.25">
      <c r="A3478" s="7">
        <v>1</v>
      </c>
      <c r="B3478" s="7">
        <v>5199</v>
      </c>
      <c r="C3478" s="7">
        <v>152</v>
      </c>
      <c r="D3478" s="8">
        <v>6835.3</v>
      </c>
      <c r="E3478" s="9">
        <v>1</v>
      </c>
    </row>
    <row r="3479" spans="1:5" x14ac:dyDescent="0.25">
      <c r="A3479" s="7">
        <v>1</v>
      </c>
      <c r="B3479" s="7">
        <v>5200</v>
      </c>
      <c r="C3479" s="7">
        <v>163</v>
      </c>
      <c r="D3479" s="8">
        <v>14748.76</v>
      </c>
      <c r="E3479" s="9">
        <v>1</v>
      </c>
    </row>
    <row r="3480" spans="1:5" x14ac:dyDescent="0.25">
      <c r="A3480" s="7">
        <v>1</v>
      </c>
      <c r="B3480" s="7">
        <v>5201</v>
      </c>
      <c r="C3480" s="7">
        <v>146</v>
      </c>
      <c r="D3480" s="8">
        <v>221945.33</v>
      </c>
      <c r="E3480" s="9">
        <v>1</v>
      </c>
    </row>
    <row r="3481" spans="1:5" x14ac:dyDescent="0.25">
      <c r="A3481" s="7">
        <v>1</v>
      </c>
      <c r="B3481" s="7">
        <v>5204</v>
      </c>
      <c r="C3481" s="7">
        <v>163</v>
      </c>
      <c r="D3481" s="8">
        <v>52756.22</v>
      </c>
      <c r="E3481" s="9">
        <v>1</v>
      </c>
    </row>
    <row r="3482" spans="1:5" x14ac:dyDescent="0.25">
      <c r="A3482" s="7">
        <v>1</v>
      </c>
      <c r="B3482" s="7">
        <v>5205</v>
      </c>
      <c r="C3482" s="7">
        <v>152</v>
      </c>
      <c r="D3482" s="8">
        <v>32160.24</v>
      </c>
      <c r="E3482" s="9">
        <v>1</v>
      </c>
    </row>
    <row r="3483" spans="1:5" x14ac:dyDescent="0.25">
      <c r="A3483" s="7">
        <v>1</v>
      </c>
      <c r="B3483" s="7">
        <v>5206</v>
      </c>
      <c r="C3483" s="7">
        <v>152</v>
      </c>
      <c r="D3483" s="8">
        <v>106218.8</v>
      </c>
      <c r="E3483" s="9">
        <v>1</v>
      </c>
    </row>
    <row r="3484" spans="1:5" x14ac:dyDescent="0.25">
      <c r="A3484" s="7">
        <v>1</v>
      </c>
      <c r="B3484" s="7">
        <v>5207</v>
      </c>
      <c r="C3484" s="7">
        <v>152</v>
      </c>
      <c r="D3484" s="8">
        <v>32160.24</v>
      </c>
      <c r="E3484" s="9">
        <v>1</v>
      </c>
    </row>
    <row r="3485" spans="1:5" x14ac:dyDescent="0.25">
      <c r="A3485" s="7">
        <v>1</v>
      </c>
      <c r="B3485" s="7">
        <v>5208</v>
      </c>
      <c r="C3485" s="7">
        <v>152</v>
      </c>
      <c r="D3485" s="8">
        <v>106218.8</v>
      </c>
      <c r="E3485" s="9">
        <v>1</v>
      </c>
    </row>
    <row r="3486" spans="1:5" x14ac:dyDescent="0.25">
      <c r="A3486" s="7">
        <v>1</v>
      </c>
      <c r="B3486" s="7">
        <v>5209</v>
      </c>
      <c r="C3486" s="7">
        <v>134</v>
      </c>
      <c r="D3486" s="8">
        <v>76.43</v>
      </c>
      <c r="E3486" s="9">
        <v>3</v>
      </c>
    </row>
    <row r="3487" spans="1:5" x14ac:dyDescent="0.25">
      <c r="A3487" s="7">
        <v>1</v>
      </c>
      <c r="B3487" s="7">
        <v>5210</v>
      </c>
      <c r="C3487" s="7">
        <v>165</v>
      </c>
      <c r="D3487" s="8">
        <v>23630.88</v>
      </c>
      <c r="E3487" s="9">
        <v>1</v>
      </c>
    </row>
    <row r="3488" spans="1:5" x14ac:dyDescent="0.25">
      <c r="A3488" s="7">
        <v>1</v>
      </c>
      <c r="B3488" s="7">
        <v>5211</v>
      </c>
      <c r="C3488" s="7">
        <v>152</v>
      </c>
      <c r="D3488" s="8">
        <v>9750.66</v>
      </c>
      <c r="E3488" s="9">
        <v>1</v>
      </c>
    </row>
    <row r="3489" spans="1:5" x14ac:dyDescent="0.25">
      <c r="A3489" s="7">
        <v>1</v>
      </c>
      <c r="B3489" s="7">
        <v>5212</v>
      </c>
      <c r="C3489" s="7">
        <v>134</v>
      </c>
      <c r="D3489" s="8">
        <v>25.44</v>
      </c>
      <c r="E3489" s="9">
        <v>3</v>
      </c>
    </row>
    <row r="3490" spans="1:5" x14ac:dyDescent="0.25">
      <c r="A3490" s="7">
        <v>1</v>
      </c>
      <c r="B3490" s="7">
        <v>5213</v>
      </c>
      <c r="C3490" s="7">
        <v>134</v>
      </c>
      <c r="D3490" s="8">
        <v>114.59</v>
      </c>
      <c r="E3490" s="9">
        <v>3</v>
      </c>
    </row>
    <row r="3491" spans="1:5" x14ac:dyDescent="0.25">
      <c r="A3491" s="7">
        <v>1</v>
      </c>
      <c r="B3491" s="7">
        <v>5214</v>
      </c>
      <c r="C3491" s="7">
        <v>163</v>
      </c>
      <c r="D3491" s="8">
        <v>16547.98</v>
      </c>
      <c r="E3491" s="9">
        <v>1</v>
      </c>
    </row>
    <row r="3492" spans="1:5" x14ac:dyDescent="0.25">
      <c r="A3492" s="7">
        <v>1</v>
      </c>
      <c r="B3492" s="7">
        <v>5215</v>
      </c>
      <c r="C3492" s="7">
        <v>152</v>
      </c>
      <c r="D3492" s="8">
        <v>9750.66</v>
      </c>
      <c r="E3492" s="9">
        <v>1</v>
      </c>
    </row>
    <row r="3493" spans="1:5" x14ac:dyDescent="0.25">
      <c r="A3493" s="7">
        <v>1</v>
      </c>
      <c r="B3493" s="7">
        <v>5216</v>
      </c>
      <c r="C3493" s="7">
        <v>163</v>
      </c>
      <c r="D3493" s="8">
        <v>32792.58</v>
      </c>
      <c r="E3493" s="9">
        <v>1</v>
      </c>
    </row>
    <row r="3494" spans="1:5" x14ac:dyDescent="0.25">
      <c r="A3494" s="7">
        <v>1</v>
      </c>
      <c r="B3494" s="7">
        <v>5226</v>
      </c>
      <c r="C3494" s="7">
        <v>119</v>
      </c>
      <c r="D3494" s="8">
        <v>23243.89</v>
      </c>
      <c r="E3494" s="9">
        <v>1</v>
      </c>
    </row>
    <row r="3495" spans="1:5" x14ac:dyDescent="0.25">
      <c r="A3495" s="7">
        <v>1</v>
      </c>
      <c r="B3495" s="7">
        <v>5227</v>
      </c>
      <c r="C3495" s="7">
        <v>152</v>
      </c>
      <c r="D3495" s="8">
        <v>9750.66</v>
      </c>
      <c r="E3495" s="9">
        <v>1</v>
      </c>
    </row>
    <row r="3496" spans="1:5" x14ac:dyDescent="0.25">
      <c r="A3496" s="7">
        <v>1</v>
      </c>
      <c r="B3496" s="7">
        <v>5228</v>
      </c>
      <c r="C3496" s="7">
        <v>119</v>
      </c>
      <c r="D3496" s="8">
        <v>86248.99</v>
      </c>
      <c r="E3496" s="9">
        <v>1</v>
      </c>
    </row>
    <row r="3497" spans="1:5" x14ac:dyDescent="0.25">
      <c r="A3497" s="7">
        <v>1</v>
      </c>
      <c r="B3497" s="7">
        <v>5229</v>
      </c>
      <c r="C3497" s="7">
        <v>119</v>
      </c>
      <c r="D3497" s="8">
        <v>337776.44</v>
      </c>
      <c r="E3497" s="9">
        <v>1</v>
      </c>
    </row>
    <row r="3498" spans="1:5" x14ac:dyDescent="0.25">
      <c r="A3498" s="7">
        <v>1</v>
      </c>
      <c r="B3498" s="7">
        <v>5244</v>
      </c>
      <c r="C3498" s="7">
        <v>152</v>
      </c>
      <c r="D3498" s="8">
        <v>9750.66</v>
      </c>
      <c r="E3498" s="9">
        <v>1</v>
      </c>
    </row>
    <row r="3499" spans="1:5" x14ac:dyDescent="0.25">
      <c r="A3499" s="7">
        <v>1</v>
      </c>
      <c r="B3499" s="7">
        <v>5272</v>
      </c>
      <c r="C3499" s="7">
        <v>190</v>
      </c>
      <c r="D3499" s="8">
        <v>6115.2</v>
      </c>
      <c r="E3499" s="9">
        <v>1</v>
      </c>
    </row>
    <row r="3500" spans="1:5" x14ac:dyDescent="0.25">
      <c r="A3500" s="7">
        <v>1</v>
      </c>
      <c r="B3500" s="7">
        <v>5273</v>
      </c>
      <c r="C3500" s="7">
        <v>190</v>
      </c>
      <c r="D3500" s="8">
        <v>6115.2</v>
      </c>
      <c r="E3500" s="9">
        <v>1</v>
      </c>
    </row>
    <row r="3501" spans="1:5" x14ac:dyDescent="0.25">
      <c r="A3501" s="7">
        <v>1</v>
      </c>
      <c r="B3501" s="7">
        <v>5274</v>
      </c>
      <c r="C3501" s="7">
        <v>190</v>
      </c>
      <c r="D3501" s="8">
        <v>6115.2</v>
      </c>
      <c r="E3501" s="9">
        <v>1</v>
      </c>
    </row>
    <row r="3502" spans="1:5" x14ac:dyDescent="0.25">
      <c r="A3502" s="7">
        <v>1</v>
      </c>
      <c r="B3502" s="7">
        <v>5275</v>
      </c>
      <c r="C3502" s="7">
        <v>190</v>
      </c>
      <c r="D3502" s="8">
        <v>6115.2</v>
      </c>
      <c r="E3502" s="9">
        <v>1</v>
      </c>
    </row>
    <row r="3503" spans="1:5" x14ac:dyDescent="0.25">
      <c r="A3503" s="7">
        <v>1</v>
      </c>
      <c r="B3503" s="7">
        <v>5276</v>
      </c>
      <c r="C3503" s="7">
        <v>190</v>
      </c>
      <c r="D3503" s="8">
        <v>6115.2</v>
      </c>
      <c r="E3503" s="9">
        <v>1</v>
      </c>
    </row>
    <row r="3504" spans="1:5" x14ac:dyDescent="0.25">
      <c r="A3504" s="7">
        <v>1</v>
      </c>
      <c r="B3504" s="7">
        <v>5277</v>
      </c>
      <c r="C3504" s="7">
        <v>190</v>
      </c>
      <c r="D3504" s="8">
        <v>6115.2</v>
      </c>
      <c r="E3504" s="9">
        <v>1</v>
      </c>
    </row>
    <row r="3505" spans="1:5" x14ac:dyDescent="0.25">
      <c r="A3505" s="7">
        <v>1</v>
      </c>
      <c r="B3505" s="7">
        <v>5278</v>
      </c>
      <c r="C3505" s="7">
        <v>190</v>
      </c>
      <c r="D3505" s="8">
        <v>6115.2</v>
      </c>
      <c r="E3505" s="9">
        <v>1</v>
      </c>
    </row>
    <row r="3506" spans="1:5" x14ac:dyDescent="0.25">
      <c r="A3506" s="7">
        <v>1</v>
      </c>
      <c r="B3506" s="7">
        <v>5279</v>
      </c>
      <c r="C3506" s="7">
        <v>190</v>
      </c>
      <c r="D3506" s="8">
        <v>6115.2</v>
      </c>
      <c r="E3506" s="9">
        <v>1</v>
      </c>
    </row>
    <row r="3507" spans="1:5" x14ac:dyDescent="0.25">
      <c r="A3507" s="7">
        <v>1</v>
      </c>
      <c r="B3507" s="7">
        <v>5280</v>
      </c>
      <c r="C3507" s="7">
        <v>190</v>
      </c>
      <c r="D3507" s="8">
        <v>6115.2</v>
      </c>
      <c r="E3507" s="9">
        <v>1</v>
      </c>
    </row>
    <row r="3508" spans="1:5" x14ac:dyDescent="0.25">
      <c r="A3508" s="7">
        <v>1</v>
      </c>
      <c r="B3508" s="7">
        <v>5281</v>
      </c>
      <c r="C3508" s="7">
        <v>190</v>
      </c>
      <c r="D3508" s="8">
        <v>6115.2</v>
      </c>
      <c r="E3508" s="9">
        <v>1</v>
      </c>
    </row>
    <row r="3509" spans="1:5" x14ac:dyDescent="0.25">
      <c r="A3509" s="7">
        <v>1</v>
      </c>
      <c r="B3509" s="7">
        <v>5282</v>
      </c>
      <c r="C3509" s="7">
        <v>190</v>
      </c>
      <c r="D3509" s="8">
        <v>7917</v>
      </c>
      <c r="E3509" s="9">
        <v>1</v>
      </c>
    </row>
    <row r="3510" spans="1:5" x14ac:dyDescent="0.25">
      <c r="A3510" s="7">
        <v>1</v>
      </c>
      <c r="B3510" s="7">
        <v>5285</v>
      </c>
      <c r="C3510" s="7">
        <v>139</v>
      </c>
      <c r="D3510" s="8">
        <v>88498.91</v>
      </c>
      <c r="E3510" s="9">
        <v>1</v>
      </c>
    </row>
    <row r="3511" spans="1:5" x14ac:dyDescent="0.25">
      <c r="A3511" s="7">
        <v>1</v>
      </c>
      <c r="B3511" s="7">
        <v>5286</v>
      </c>
      <c r="C3511" s="7">
        <v>139</v>
      </c>
      <c r="D3511" s="8">
        <v>378069.53</v>
      </c>
      <c r="E3511" s="9">
        <v>1</v>
      </c>
    </row>
    <row r="3512" spans="1:5" x14ac:dyDescent="0.25">
      <c r="A3512" s="7">
        <v>1</v>
      </c>
      <c r="B3512" s="7">
        <v>5299</v>
      </c>
      <c r="C3512" s="7">
        <v>152</v>
      </c>
      <c r="D3512" s="8">
        <v>9750.66</v>
      </c>
      <c r="E3512" s="9">
        <v>1</v>
      </c>
    </row>
    <row r="3513" spans="1:5" x14ac:dyDescent="0.25">
      <c r="A3513" s="7">
        <v>1</v>
      </c>
      <c r="B3513" s="7">
        <v>5300</v>
      </c>
      <c r="C3513" s="7">
        <v>190</v>
      </c>
      <c r="D3513" s="8">
        <v>7308</v>
      </c>
      <c r="E3513" s="9">
        <v>1</v>
      </c>
    </row>
    <row r="3514" spans="1:5" x14ac:dyDescent="0.25">
      <c r="A3514" s="7">
        <v>1</v>
      </c>
      <c r="B3514" s="7">
        <v>5301</v>
      </c>
      <c r="C3514" s="7">
        <v>190</v>
      </c>
      <c r="D3514" s="8">
        <v>7098</v>
      </c>
      <c r="E3514" s="9">
        <v>1</v>
      </c>
    </row>
    <row r="3515" spans="1:5" x14ac:dyDescent="0.25">
      <c r="A3515" s="7">
        <v>1</v>
      </c>
      <c r="B3515" s="7">
        <v>5302</v>
      </c>
      <c r="C3515" s="7">
        <v>190</v>
      </c>
      <c r="D3515" s="8">
        <v>7098</v>
      </c>
      <c r="E3515" s="9">
        <v>1</v>
      </c>
    </row>
    <row r="3516" spans="1:5" x14ac:dyDescent="0.25">
      <c r="A3516" s="7">
        <v>1</v>
      </c>
      <c r="B3516" s="7">
        <v>5303</v>
      </c>
      <c r="C3516" s="7">
        <v>190</v>
      </c>
      <c r="D3516" s="8">
        <v>7098</v>
      </c>
      <c r="E3516" s="9">
        <v>1</v>
      </c>
    </row>
    <row r="3517" spans="1:5" x14ac:dyDescent="0.25">
      <c r="A3517" s="7">
        <v>1</v>
      </c>
      <c r="B3517" s="7">
        <v>5304</v>
      </c>
      <c r="C3517" s="7">
        <v>190</v>
      </c>
      <c r="D3517" s="8">
        <v>7098</v>
      </c>
      <c r="E3517" s="9">
        <v>1</v>
      </c>
    </row>
    <row r="3518" spans="1:5" x14ac:dyDescent="0.25">
      <c r="A3518" s="7">
        <v>1</v>
      </c>
      <c r="B3518" s="7">
        <v>5305</v>
      </c>
      <c r="C3518" s="7">
        <v>190</v>
      </c>
      <c r="D3518" s="8">
        <v>7098</v>
      </c>
      <c r="E3518" s="9">
        <v>1</v>
      </c>
    </row>
    <row r="3519" spans="1:5" x14ac:dyDescent="0.25">
      <c r="A3519" s="7">
        <v>1</v>
      </c>
      <c r="B3519" s="7">
        <v>5306</v>
      </c>
      <c r="C3519" s="7">
        <v>190</v>
      </c>
      <c r="D3519" s="8">
        <v>7098</v>
      </c>
      <c r="E3519" s="9">
        <v>1</v>
      </c>
    </row>
    <row r="3520" spans="1:5" x14ac:dyDescent="0.25">
      <c r="A3520" s="7">
        <v>1</v>
      </c>
      <c r="B3520" s="7">
        <v>5307</v>
      </c>
      <c r="C3520" s="7">
        <v>190</v>
      </c>
      <c r="D3520" s="8">
        <v>7098</v>
      </c>
      <c r="E3520" s="9">
        <v>1</v>
      </c>
    </row>
    <row r="3521" spans="1:5" x14ac:dyDescent="0.25">
      <c r="A3521" s="7">
        <v>1</v>
      </c>
      <c r="B3521" s="7">
        <v>5308</v>
      </c>
      <c r="C3521" s="7">
        <v>190</v>
      </c>
      <c r="D3521" s="8">
        <v>7098</v>
      </c>
      <c r="E3521" s="9">
        <v>1</v>
      </c>
    </row>
    <row r="3522" spans="1:5" x14ac:dyDescent="0.25">
      <c r="A3522" s="7">
        <v>1</v>
      </c>
      <c r="B3522" s="7">
        <v>5309</v>
      </c>
      <c r="C3522" s="7">
        <v>190</v>
      </c>
      <c r="D3522" s="8">
        <v>7098</v>
      </c>
      <c r="E3522" s="9">
        <v>1</v>
      </c>
    </row>
    <row r="3523" spans="1:5" x14ac:dyDescent="0.25">
      <c r="A3523" s="7">
        <v>1</v>
      </c>
      <c r="B3523" s="7">
        <v>5310</v>
      </c>
      <c r="C3523" s="7">
        <v>190</v>
      </c>
      <c r="D3523" s="8">
        <v>7098</v>
      </c>
      <c r="E3523" s="9">
        <v>1</v>
      </c>
    </row>
    <row r="3524" spans="1:5" x14ac:dyDescent="0.25">
      <c r="A3524" s="7">
        <v>1</v>
      </c>
      <c r="B3524" s="7">
        <v>5311</v>
      </c>
      <c r="C3524" s="7">
        <v>152</v>
      </c>
      <c r="D3524" s="8">
        <v>15701.62</v>
      </c>
      <c r="E3524" s="9">
        <v>1</v>
      </c>
    </row>
    <row r="3525" spans="1:5" x14ac:dyDescent="0.25">
      <c r="A3525" s="7">
        <v>1</v>
      </c>
      <c r="B3525" s="7">
        <v>5312</v>
      </c>
      <c r="C3525" s="7">
        <v>154</v>
      </c>
      <c r="D3525" s="8">
        <v>18174.93</v>
      </c>
      <c r="E3525" s="9">
        <v>1</v>
      </c>
    </row>
    <row r="3526" spans="1:5" x14ac:dyDescent="0.25">
      <c r="A3526" s="7">
        <v>1</v>
      </c>
      <c r="B3526" s="7">
        <v>5313</v>
      </c>
      <c r="C3526" s="7">
        <v>154</v>
      </c>
      <c r="D3526" s="8">
        <v>66068.01</v>
      </c>
      <c r="E3526" s="9">
        <v>1</v>
      </c>
    </row>
    <row r="3527" spans="1:5" x14ac:dyDescent="0.25">
      <c r="A3527" s="7">
        <v>1</v>
      </c>
      <c r="B3527" s="7">
        <v>5315</v>
      </c>
      <c r="C3527" s="7">
        <v>152</v>
      </c>
      <c r="D3527" s="8">
        <v>15701.62</v>
      </c>
      <c r="E3527" s="9">
        <v>1</v>
      </c>
    </row>
    <row r="3528" spans="1:5" x14ac:dyDescent="0.25">
      <c r="A3528" s="7">
        <v>1</v>
      </c>
      <c r="B3528" s="7">
        <v>5327</v>
      </c>
      <c r="C3528" s="7">
        <v>152</v>
      </c>
      <c r="D3528" s="8">
        <v>15701.62</v>
      </c>
      <c r="E3528" s="9">
        <v>1</v>
      </c>
    </row>
    <row r="3529" spans="1:5" x14ac:dyDescent="0.25">
      <c r="A3529" s="7">
        <v>1</v>
      </c>
      <c r="B3529" s="7">
        <v>5329</v>
      </c>
      <c r="C3529" s="7">
        <v>158</v>
      </c>
      <c r="D3529" s="8">
        <v>259352.05</v>
      </c>
      <c r="E3529" s="9">
        <v>1</v>
      </c>
    </row>
    <row r="3530" spans="1:5" x14ac:dyDescent="0.25">
      <c r="A3530" s="7">
        <v>1</v>
      </c>
      <c r="B3530" s="7">
        <v>5330</v>
      </c>
      <c r="C3530" s="7">
        <v>158</v>
      </c>
      <c r="D3530" s="8">
        <v>254720.8</v>
      </c>
      <c r="E3530" s="9">
        <v>1</v>
      </c>
    </row>
    <row r="3531" spans="1:5" x14ac:dyDescent="0.25">
      <c r="A3531" s="7">
        <v>1</v>
      </c>
      <c r="B3531" s="7">
        <v>5332</v>
      </c>
      <c r="C3531" s="7">
        <v>195</v>
      </c>
      <c r="D3531" s="8">
        <v>66608.49</v>
      </c>
      <c r="E3531" s="9">
        <v>1</v>
      </c>
    </row>
    <row r="3532" spans="1:5" x14ac:dyDescent="0.25">
      <c r="A3532" s="7">
        <v>1</v>
      </c>
      <c r="B3532" s="7">
        <v>5333</v>
      </c>
      <c r="C3532" s="7">
        <v>195</v>
      </c>
      <c r="D3532" s="8">
        <v>275270.22</v>
      </c>
      <c r="E3532" s="9">
        <v>1</v>
      </c>
    </row>
    <row r="3533" spans="1:5" x14ac:dyDescent="0.25">
      <c r="A3533" s="7">
        <v>1</v>
      </c>
      <c r="B3533" s="7">
        <v>5334</v>
      </c>
      <c r="C3533" s="7">
        <v>195</v>
      </c>
      <c r="D3533" s="8">
        <v>110968.61</v>
      </c>
      <c r="E3533" s="9">
        <v>1</v>
      </c>
    </row>
    <row r="3534" spans="1:5" x14ac:dyDescent="0.25">
      <c r="A3534" s="7">
        <v>1</v>
      </c>
      <c r="B3534" s="7">
        <v>5335</v>
      </c>
      <c r="C3534" s="7">
        <v>195</v>
      </c>
      <c r="D3534" s="8">
        <v>458594.78</v>
      </c>
      <c r="E3534" s="9">
        <v>1</v>
      </c>
    </row>
    <row r="3535" spans="1:5" x14ac:dyDescent="0.25">
      <c r="A3535" s="7">
        <v>1</v>
      </c>
      <c r="B3535" s="7">
        <v>5336</v>
      </c>
      <c r="C3535" s="7">
        <v>195</v>
      </c>
      <c r="D3535" s="8">
        <v>65389.72</v>
      </c>
      <c r="E3535" s="9">
        <v>1</v>
      </c>
    </row>
    <row r="3536" spans="1:5" x14ac:dyDescent="0.25">
      <c r="A3536" s="7">
        <v>1</v>
      </c>
      <c r="B3536" s="7">
        <v>5337</v>
      </c>
      <c r="C3536" s="7">
        <v>195</v>
      </c>
      <c r="D3536" s="8">
        <v>270231.86</v>
      </c>
      <c r="E3536" s="9">
        <v>1</v>
      </c>
    </row>
    <row r="3537" spans="1:5" x14ac:dyDescent="0.25">
      <c r="A3537" s="7">
        <v>1</v>
      </c>
      <c r="B3537" s="7">
        <v>5338</v>
      </c>
      <c r="C3537" s="7">
        <v>195</v>
      </c>
      <c r="D3537" s="8">
        <v>88999.51</v>
      </c>
      <c r="E3537" s="9">
        <v>1</v>
      </c>
    </row>
    <row r="3538" spans="1:5" x14ac:dyDescent="0.25">
      <c r="A3538" s="7">
        <v>1</v>
      </c>
      <c r="B3538" s="7">
        <v>5339</v>
      </c>
      <c r="C3538" s="7">
        <v>195</v>
      </c>
      <c r="D3538" s="8">
        <v>367803.27</v>
      </c>
      <c r="E3538" s="9">
        <v>1</v>
      </c>
    </row>
    <row r="3539" spans="1:5" x14ac:dyDescent="0.25">
      <c r="A3539" s="7">
        <v>1</v>
      </c>
      <c r="B3539" s="7">
        <v>5340</v>
      </c>
      <c r="C3539" s="7">
        <v>195</v>
      </c>
      <c r="D3539" s="8">
        <v>32422.89</v>
      </c>
      <c r="E3539" s="9">
        <v>1</v>
      </c>
    </row>
    <row r="3540" spans="1:5" x14ac:dyDescent="0.25">
      <c r="A3540" s="7">
        <v>1</v>
      </c>
      <c r="B3540" s="7">
        <v>5341</v>
      </c>
      <c r="C3540" s="7">
        <v>195</v>
      </c>
      <c r="D3540" s="8">
        <v>36174.05</v>
      </c>
      <c r="E3540" s="9">
        <v>1</v>
      </c>
    </row>
    <row r="3541" spans="1:5" x14ac:dyDescent="0.25">
      <c r="A3541" s="7">
        <v>1</v>
      </c>
      <c r="B3541" s="7">
        <v>5342</v>
      </c>
      <c r="C3541" s="7">
        <v>195</v>
      </c>
      <c r="D3541" s="8">
        <v>134713.45</v>
      </c>
      <c r="E3541" s="9">
        <v>1</v>
      </c>
    </row>
    <row r="3542" spans="1:5" x14ac:dyDescent="0.25">
      <c r="A3542" s="7">
        <v>1</v>
      </c>
      <c r="B3542" s="7">
        <v>5343</v>
      </c>
      <c r="C3542" s="7">
        <v>195</v>
      </c>
      <c r="D3542" s="8">
        <v>556724.3</v>
      </c>
      <c r="E3542" s="9">
        <v>1</v>
      </c>
    </row>
    <row r="3543" spans="1:5" x14ac:dyDescent="0.25">
      <c r="A3543" s="7">
        <v>1</v>
      </c>
      <c r="B3543" s="7">
        <v>5344</v>
      </c>
      <c r="C3543" s="7">
        <v>152</v>
      </c>
      <c r="D3543" s="8">
        <v>15701.62</v>
      </c>
      <c r="E3543" s="9">
        <v>1</v>
      </c>
    </row>
    <row r="3544" spans="1:5" x14ac:dyDescent="0.25">
      <c r="A3544" s="7">
        <v>1</v>
      </c>
      <c r="B3544" s="7">
        <v>5345</v>
      </c>
      <c r="C3544" s="7">
        <v>195</v>
      </c>
      <c r="D3544" s="8">
        <v>216389.81</v>
      </c>
      <c r="E3544" s="9">
        <v>1</v>
      </c>
    </row>
    <row r="3545" spans="1:5" x14ac:dyDescent="0.25">
      <c r="A3545" s="7">
        <v>1</v>
      </c>
      <c r="B3545" s="7">
        <v>5346</v>
      </c>
      <c r="C3545" s="7">
        <v>195</v>
      </c>
      <c r="D3545" s="8">
        <v>230869.42</v>
      </c>
      <c r="E3545" s="9">
        <v>1</v>
      </c>
    </row>
    <row r="3546" spans="1:5" x14ac:dyDescent="0.25">
      <c r="A3546" s="7">
        <v>1</v>
      </c>
      <c r="B3546" s="7">
        <v>5347</v>
      </c>
      <c r="C3546" s="7">
        <v>195</v>
      </c>
      <c r="D3546" s="8">
        <v>329249.83</v>
      </c>
      <c r="E3546" s="9">
        <v>1</v>
      </c>
    </row>
    <row r="3547" spans="1:5" x14ac:dyDescent="0.25">
      <c r="A3547" s="7">
        <v>1</v>
      </c>
      <c r="B3547" s="7">
        <v>5348</v>
      </c>
      <c r="C3547" s="7">
        <v>195</v>
      </c>
      <c r="D3547" s="8">
        <v>210997.78</v>
      </c>
      <c r="E3547" s="9">
        <v>1</v>
      </c>
    </row>
    <row r="3548" spans="1:5" x14ac:dyDescent="0.25">
      <c r="A3548" s="7">
        <v>1</v>
      </c>
      <c r="B3548" s="7">
        <v>5349</v>
      </c>
      <c r="C3548" s="7">
        <v>195</v>
      </c>
      <c r="D3548" s="8">
        <v>196917.1</v>
      </c>
      <c r="E3548" s="9">
        <v>1</v>
      </c>
    </row>
    <row r="3549" spans="1:5" x14ac:dyDescent="0.25">
      <c r="A3549" s="7">
        <v>1</v>
      </c>
      <c r="B3549" s="7">
        <v>5350</v>
      </c>
      <c r="C3549" s="7">
        <v>195</v>
      </c>
      <c r="D3549" s="8">
        <v>170774.02</v>
      </c>
      <c r="E3549" s="9">
        <v>1</v>
      </c>
    </row>
    <row r="3550" spans="1:5" x14ac:dyDescent="0.25">
      <c r="A3550" s="7">
        <v>1</v>
      </c>
      <c r="B3550" s="7">
        <v>5351</v>
      </c>
      <c r="C3550" s="7">
        <v>195</v>
      </c>
      <c r="D3550" s="8">
        <v>399152.81</v>
      </c>
      <c r="E3550" s="9">
        <v>1</v>
      </c>
    </row>
    <row r="3551" spans="1:5" x14ac:dyDescent="0.25">
      <c r="A3551" s="7">
        <v>1</v>
      </c>
      <c r="B3551" s="7">
        <v>5352</v>
      </c>
      <c r="C3551" s="7">
        <v>195</v>
      </c>
      <c r="D3551" s="8">
        <v>191677.27</v>
      </c>
      <c r="E3551" s="9">
        <v>1</v>
      </c>
    </row>
    <row r="3552" spans="1:5" x14ac:dyDescent="0.25">
      <c r="A3552" s="7">
        <v>1</v>
      </c>
      <c r="B3552" s="7">
        <v>5353</v>
      </c>
      <c r="C3552" s="7">
        <v>195</v>
      </c>
      <c r="D3552" s="8">
        <v>234903.1</v>
      </c>
      <c r="E3552" s="9">
        <v>1</v>
      </c>
    </row>
    <row r="3553" spans="1:5" x14ac:dyDescent="0.25">
      <c r="A3553" s="7">
        <v>1</v>
      </c>
      <c r="B3553" s="7">
        <v>5354</v>
      </c>
      <c r="C3553" s="7">
        <v>195</v>
      </c>
      <c r="D3553" s="8">
        <v>461963.18</v>
      </c>
      <c r="E3553" s="9">
        <v>1</v>
      </c>
    </row>
    <row r="3554" spans="1:5" x14ac:dyDescent="0.25">
      <c r="A3554" s="7">
        <v>1</v>
      </c>
      <c r="B3554" s="7">
        <v>5355</v>
      </c>
      <c r="C3554" s="7">
        <v>195</v>
      </c>
      <c r="D3554" s="8">
        <v>460818.6</v>
      </c>
      <c r="E3554" s="9">
        <v>1</v>
      </c>
    </row>
    <row r="3555" spans="1:5" x14ac:dyDescent="0.25">
      <c r="A3555" s="7">
        <v>1</v>
      </c>
      <c r="B3555" s="7">
        <v>5356</v>
      </c>
      <c r="C3555" s="7">
        <v>195</v>
      </c>
      <c r="D3555" s="8">
        <v>217806.5</v>
      </c>
      <c r="E3555" s="9">
        <v>1</v>
      </c>
    </row>
    <row r="3556" spans="1:5" x14ac:dyDescent="0.25">
      <c r="A3556" s="7">
        <v>1</v>
      </c>
      <c r="B3556" s="7">
        <v>5357</v>
      </c>
      <c r="C3556" s="7">
        <v>195</v>
      </c>
      <c r="D3556" s="8">
        <v>449146.82</v>
      </c>
      <c r="E3556" s="9">
        <v>1</v>
      </c>
    </row>
    <row r="3557" spans="1:5" x14ac:dyDescent="0.25">
      <c r="A3557" s="7">
        <v>1</v>
      </c>
      <c r="B3557" s="7">
        <v>5358</v>
      </c>
      <c r="C3557" s="7">
        <v>195</v>
      </c>
      <c r="D3557" s="8">
        <v>395948.57</v>
      </c>
      <c r="E3557" s="9">
        <v>1</v>
      </c>
    </row>
    <row r="3558" spans="1:5" x14ac:dyDescent="0.25">
      <c r="A3558" s="7">
        <v>1</v>
      </c>
      <c r="B3558" s="7">
        <v>5359</v>
      </c>
      <c r="C3558" s="7">
        <v>195</v>
      </c>
      <c r="D3558" s="8">
        <v>345039.63</v>
      </c>
      <c r="E3558" s="9">
        <v>1</v>
      </c>
    </row>
    <row r="3559" spans="1:5" x14ac:dyDescent="0.25">
      <c r="A3559" s="7">
        <v>1</v>
      </c>
      <c r="B3559" s="7">
        <v>5360</v>
      </c>
      <c r="C3559" s="7">
        <v>195</v>
      </c>
      <c r="D3559" s="8">
        <v>209920.99</v>
      </c>
      <c r="E3559" s="9">
        <v>1</v>
      </c>
    </row>
    <row r="3560" spans="1:5" x14ac:dyDescent="0.25">
      <c r="A3560" s="7">
        <v>1</v>
      </c>
      <c r="B3560" s="7">
        <v>5361</v>
      </c>
      <c r="C3560" s="7">
        <v>195</v>
      </c>
      <c r="D3560" s="8">
        <v>35366.27</v>
      </c>
      <c r="E3560" s="9">
        <v>1</v>
      </c>
    </row>
    <row r="3561" spans="1:5" x14ac:dyDescent="0.25">
      <c r="A3561" s="7">
        <v>1</v>
      </c>
      <c r="B3561" s="7">
        <v>5362</v>
      </c>
      <c r="C3561" s="7">
        <v>195</v>
      </c>
      <c r="D3561" s="8">
        <v>115311.02</v>
      </c>
      <c r="E3561" s="9">
        <v>1</v>
      </c>
    </row>
    <row r="3562" spans="1:5" x14ac:dyDescent="0.25">
      <c r="A3562" s="7">
        <v>1</v>
      </c>
      <c r="B3562" s="7">
        <v>5363</v>
      </c>
      <c r="C3562" s="7">
        <v>195</v>
      </c>
      <c r="D3562" s="8">
        <v>474739.22</v>
      </c>
      <c r="E3562" s="9">
        <v>1</v>
      </c>
    </row>
    <row r="3563" spans="1:5" x14ac:dyDescent="0.25">
      <c r="A3563" s="7">
        <v>1</v>
      </c>
      <c r="B3563" s="7">
        <v>5364</v>
      </c>
      <c r="C3563" s="7">
        <v>195</v>
      </c>
      <c r="D3563" s="8">
        <v>22814.46</v>
      </c>
      <c r="E3563" s="9">
        <v>1</v>
      </c>
    </row>
    <row r="3564" spans="1:5" x14ac:dyDescent="0.25">
      <c r="A3564" s="7">
        <v>1</v>
      </c>
      <c r="B3564" s="7">
        <v>5365</v>
      </c>
      <c r="C3564" s="7">
        <v>195</v>
      </c>
      <c r="D3564" s="8">
        <v>108369.4</v>
      </c>
      <c r="E3564" s="9">
        <v>1</v>
      </c>
    </row>
    <row r="3565" spans="1:5" x14ac:dyDescent="0.25">
      <c r="A3565" s="7">
        <v>1</v>
      </c>
      <c r="B3565" s="7">
        <v>5366</v>
      </c>
      <c r="C3565" s="7">
        <v>165</v>
      </c>
      <c r="D3565" s="8">
        <v>6027.03</v>
      </c>
      <c r="E3565" s="9">
        <v>1</v>
      </c>
    </row>
    <row r="3566" spans="1:5" x14ac:dyDescent="0.25">
      <c r="A3566" s="7">
        <v>1</v>
      </c>
      <c r="B3566" s="7">
        <v>5368</v>
      </c>
      <c r="C3566" s="7">
        <v>138</v>
      </c>
      <c r="D3566" s="8">
        <v>178021.42</v>
      </c>
      <c r="E3566" s="9">
        <v>1</v>
      </c>
    </row>
    <row r="3567" spans="1:5" x14ac:dyDescent="0.25">
      <c r="A3567" s="7">
        <v>1</v>
      </c>
      <c r="B3567" s="7">
        <v>5369</v>
      </c>
      <c r="C3567" s="7">
        <v>138</v>
      </c>
      <c r="D3567" s="8">
        <v>329806.53</v>
      </c>
      <c r="E3567" s="9">
        <v>1</v>
      </c>
    </row>
    <row r="3568" spans="1:5" x14ac:dyDescent="0.25">
      <c r="A3568" s="7">
        <v>1</v>
      </c>
      <c r="B3568" s="7">
        <v>5374</v>
      </c>
      <c r="C3568" s="7">
        <v>152</v>
      </c>
      <c r="D3568" s="8">
        <v>396504.32</v>
      </c>
      <c r="E3568" s="9">
        <v>1</v>
      </c>
    </row>
    <row r="3569" spans="1:5" x14ac:dyDescent="0.25">
      <c r="A3569" s="7">
        <v>1</v>
      </c>
      <c r="B3569" s="7">
        <v>5383</v>
      </c>
      <c r="C3569" s="7">
        <v>165</v>
      </c>
      <c r="D3569" s="8">
        <v>31782.1</v>
      </c>
      <c r="E3569" s="9">
        <v>1</v>
      </c>
    </row>
    <row r="3570" spans="1:5" x14ac:dyDescent="0.25">
      <c r="A3570" s="7">
        <v>1</v>
      </c>
      <c r="B3570" s="7">
        <v>5384</v>
      </c>
      <c r="C3570" s="7">
        <v>165</v>
      </c>
      <c r="D3570" s="8">
        <v>44463.43</v>
      </c>
      <c r="E3570" s="9">
        <v>1</v>
      </c>
    </row>
    <row r="3571" spans="1:5" x14ac:dyDescent="0.25">
      <c r="A3571" s="7">
        <v>1</v>
      </c>
      <c r="B3571" s="7">
        <v>5385</v>
      </c>
      <c r="C3571" s="7">
        <v>165</v>
      </c>
      <c r="D3571" s="8">
        <v>56868.26</v>
      </c>
      <c r="E3571" s="9">
        <v>1</v>
      </c>
    </row>
    <row r="3572" spans="1:5" x14ac:dyDescent="0.25">
      <c r="A3572" s="7">
        <v>1</v>
      </c>
      <c r="B3572" s="7">
        <v>5386</v>
      </c>
      <c r="C3572" s="7">
        <v>165</v>
      </c>
      <c r="D3572" s="8">
        <v>77035.93</v>
      </c>
      <c r="E3572" s="9">
        <v>1</v>
      </c>
    </row>
    <row r="3573" spans="1:5" x14ac:dyDescent="0.25">
      <c r="A3573" s="7">
        <v>1</v>
      </c>
      <c r="B3573" s="7">
        <v>5387</v>
      </c>
      <c r="C3573" s="7">
        <v>128</v>
      </c>
      <c r="D3573" s="8">
        <v>7526.67</v>
      </c>
      <c r="E3573" s="9">
        <v>1</v>
      </c>
    </row>
    <row r="3574" spans="1:5" x14ac:dyDescent="0.25">
      <c r="A3574" s="7">
        <v>1</v>
      </c>
      <c r="B3574" s="7">
        <v>5388</v>
      </c>
      <c r="C3574" s="7">
        <v>128</v>
      </c>
      <c r="D3574" s="8">
        <v>9251.92</v>
      </c>
      <c r="E3574" s="9">
        <v>1</v>
      </c>
    </row>
    <row r="3575" spans="1:5" x14ac:dyDescent="0.25">
      <c r="A3575" s="7">
        <v>1</v>
      </c>
      <c r="B3575" s="7">
        <v>5389</v>
      </c>
      <c r="C3575" s="7">
        <v>128</v>
      </c>
      <c r="D3575" s="8">
        <v>10587.08</v>
      </c>
      <c r="E3575" s="9">
        <v>1</v>
      </c>
    </row>
    <row r="3576" spans="1:5" x14ac:dyDescent="0.25">
      <c r="A3576" s="7">
        <v>1</v>
      </c>
      <c r="B3576" s="7">
        <v>5393</v>
      </c>
      <c r="C3576" s="7">
        <v>163</v>
      </c>
      <c r="D3576" s="8">
        <v>52091</v>
      </c>
      <c r="E3576" s="9">
        <v>1</v>
      </c>
    </row>
    <row r="3577" spans="1:5" x14ac:dyDescent="0.25">
      <c r="A3577" s="7">
        <v>1</v>
      </c>
      <c r="B3577" s="7">
        <v>5394</v>
      </c>
      <c r="C3577" s="7">
        <v>163</v>
      </c>
      <c r="D3577" s="8">
        <v>160414.56</v>
      </c>
      <c r="E3577" s="9">
        <v>1</v>
      </c>
    </row>
    <row r="3578" spans="1:5" x14ac:dyDescent="0.25">
      <c r="A3578" s="7">
        <v>1</v>
      </c>
      <c r="B3578" s="7">
        <v>5396</v>
      </c>
      <c r="C3578" s="7">
        <v>158</v>
      </c>
      <c r="D3578" s="8">
        <v>207099.44</v>
      </c>
      <c r="E3578" s="9">
        <v>1</v>
      </c>
    </row>
    <row r="3579" spans="1:5" x14ac:dyDescent="0.25">
      <c r="A3579" s="7">
        <v>1</v>
      </c>
      <c r="B3579" s="7">
        <v>5397</v>
      </c>
      <c r="C3579" s="7">
        <v>158</v>
      </c>
      <c r="D3579" s="8">
        <v>156711.97</v>
      </c>
      <c r="E3579" s="9">
        <v>1</v>
      </c>
    </row>
    <row r="3580" spans="1:5" x14ac:dyDescent="0.25">
      <c r="A3580" s="7">
        <v>1</v>
      </c>
      <c r="B3580" s="7">
        <v>5398</v>
      </c>
      <c r="C3580" s="7">
        <v>163</v>
      </c>
      <c r="D3580" s="8">
        <v>231014.76</v>
      </c>
      <c r="E3580" s="9">
        <v>1</v>
      </c>
    </row>
    <row r="3581" spans="1:5" x14ac:dyDescent="0.25">
      <c r="A3581" s="7">
        <v>1</v>
      </c>
      <c r="B3581" s="7">
        <v>5399</v>
      </c>
      <c r="C3581" s="7">
        <v>152</v>
      </c>
      <c r="D3581" s="8">
        <v>15701.62</v>
      </c>
      <c r="E3581" s="9">
        <v>1</v>
      </c>
    </row>
    <row r="3582" spans="1:5" x14ac:dyDescent="0.25">
      <c r="A3582" s="7">
        <v>1</v>
      </c>
      <c r="B3582" s="7">
        <v>5400</v>
      </c>
      <c r="C3582" s="7">
        <v>163</v>
      </c>
      <c r="D3582" s="8">
        <v>203972.19</v>
      </c>
      <c r="E3582" s="9">
        <v>1</v>
      </c>
    </row>
    <row r="3583" spans="1:5" x14ac:dyDescent="0.25">
      <c r="A3583" s="7">
        <v>1</v>
      </c>
      <c r="B3583" s="7">
        <v>5402</v>
      </c>
      <c r="C3583" s="7">
        <v>152</v>
      </c>
      <c r="D3583" s="8">
        <v>13656.98</v>
      </c>
      <c r="E3583" s="9">
        <v>1</v>
      </c>
    </row>
    <row r="3584" spans="1:5" x14ac:dyDescent="0.25">
      <c r="A3584" s="7">
        <v>1</v>
      </c>
      <c r="B3584" s="7">
        <v>5403</v>
      </c>
      <c r="C3584" s="7">
        <v>152</v>
      </c>
      <c r="D3584" s="8">
        <v>13656.98</v>
      </c>
      <c r="E3584" s="9">
        <v>1</v>
      </c>
    </row>
    <row r="3585" spans="1:5" x14ac:dyDescent="0.25">
      <c r="A3585" s="7">
        <v>1</v>
      </c>
      <c r="B3585" s="7">
        <v>5404</v>
      </c>
      <c r="C3585" s="7">
        <v>152</v>
      </c>
      <c r="D3585" s="8">
        <v>13656.98</v>
      </c>
      <c r="E3585" s="9">
        <v>1</v>
      </c>
    </row>
    <row r="3586" spans="1:5" x14ac:dyDescent="0.25">
      <c r="A3586" s="7">
        <v>1</v>
      </c>
      <c r="B3586" s="7">
        <v>5405</v>
      </c>
      <c r="C3586" s="7">
        <v>152</v>
      </c>
      <c r="D3586" s="8">
        <v>13656.98</v>
      </c>
      <c r="E3586" s="9">
        <v>1</v>
      </c>
    </row>
    <row r="3587" spans="1:5" x14ac:dyDescent="0.25">
      <c r="A3587" s="7">
        <v>1</v>
      </c>
      <c r="B3587" s="7">
        <v>5406</v>
      </c>
      <c r="C3587" s="7">
        <v>152</v>
      </c>
      <c r="D3587" s="8">
        <v>13656.98</v>
      </c>
      <c r="E3587" s="9">
        <v>1</v>
      </c>
    </row>
    <row r="3588" spans="1:5" x14ac:dyDescent="0.25">
      <c r="A3588" s="7">
        <v>1</v>
      </c>
      <c r="B3588" s="7">
        <v>5407</v>
      </c>
      <c r="C3588" s="7">
        <v>152</v>
      </c>
      <c r="D3588" s="8">
        <v>13656.98</v>
      </c>
      <c r="E3588" s="9">
        <v>1</v>
      </c>
    </row>
    <row r="3589" spans="1:5" x14ac:dyDescent="0.25">
      <c r="A3589" s="7">
        <v>1</v>
      </c>
      <c r="B3589" s="7">
        <v>5408</v>
      </c>
      <c r="C3589" s="7">
        <v>152</v>
      </c>
      <c r="D3589" s="8">
        <v>13656.98</v>
      </c>
      <c r="E3589" s="9">
        <v>1</v>
      </c>
    </row>
    <row r="3590" spans="1:5" x14ac:dyDescent="0.25">
      <c r="A3590" s="7">
        <v>1</v>
      </c>
      <c r="B3590" s="7">
        <v>5409</v>
      </c>
      <c r="C3590" s="7">
        <v>152</v>
      </c>
      <c r="D3590" s="8">
        <v>13656.98</v>
      </c>
      <c r="E3590" s="9">
        <v>1</v>
      </c>
    </row>
    <row r="3591" spans="1:5" x14ac:dyDescent="0.25">
      <c r="A3591" s="7">
        <v>1</v>
      </c>
      <c r="B3591" s="7">
        <v>5410</v>
      </c>
      <c r="C3591" s="7">
        <v>152</v>
      </c>
      <c r="D3591" s="8">
        <v>13656.98</v>
      </c>
      <c r="E3591" s="9">
        <v>1</v>
      </c>
    </row>
    <row r="3592" spans="1:5" x14ac:dyDescent="0.25">
      <c r="A3592" s="7">
        <v>1</v>
      </c>
      <c r="B3592" s="7">
        <v>5411</v>
      </c>
      <c r="C3592" s="7">
        <v>107</v>
      </c>
      <c r="D3592" s="8">
        <v>6249.11</v>
      </c>
      <c r="E3592" s="9">
        <v>1</v>
      </c>
    </row>
    <row r="3593" spans="1:5" x14ac:dyDescent="0.25">
      <c r="A3593" s="7">
        <v>1</v>
      </c>
      <c r="B3593" s="7">
        <v>5412</v>
      </c>
      <c r="C3593" s="7">
        <v>107</v>
      </c>
      <c r="D3593" s="8">
        <v>17679.28</v>
      </c>
      <c r="E3593" s="9">
        <v>1</v>
      </c>
    </row>
    <row r="3594" spans="1:5" x14ac:dyDescent="0.25">
      <c r="A3594" s="7">
        <v>1</v>
      </c>
      <c r="B3594" s="7">
        <v>5413</v>
      </c>
      <c r="C3594" s="7">
        <v>107</v>
      </c>
      <c r="D3594" s="8">
        <v>35806.35</v>
      </c>
      <c r="E3594" s="9">
        <v>1</v>
      </c>
    </row>
    <row r="3595" spans="1:5" x14ac:dyDescent="0.25">
      <c r="A3595" s="7">
        <v>1</v>
      </c>
      <c r="B3595" s="7">
        <v>5414</v>
      </c>
      <c r="C3595" s="7">
        <v>107</v>
      </c>
      <c r="D3595" s="8">
        <v>60761.49</v>
      </c>
      <c r="E3595" s="9">
        <v>1</v>
      </c>
    </row>
    <row r="3596" spans="1:5" x14ac:dyDescent="0.25">
      <c r="A3596" s="7">
        <v>1</v>
      </c>
      <c r="B3596" s="7">
        <v>5416</v>
      </c>
      <c r="C3596" s="7">
        <v>139</v>
      </c>
      <c r="D3596" s="8">
        <v>257006.55</v>
      </c>
      <c r="E3596" s="9">
        <v>1</v>
      </c>
    </row>
    <row r="3597" spans="1:5" x14ac:dyDescent="0.25">
      <c r="A3597" s="7">
        <v>1</v>
      </c>
      <c r="B3597" s="7">
        <v>5424</v>
      </c>
      <c r="C3597" s="7">
        <v>163</v>
      </c>
      <c r="D3597" s="8">
        <v>121671.21</v>
      </c>
      <c r="E3597" s="9">
        <v>1</v>
      </c>
    </row>
    <row r="3598" spans="1:5" x14ac:dyDescent="0.25">
      <c r="A3598" s="7">
        <v>1</v>
      </c>
      <c r="B3598" s="7">
        <v>5425</v>
      </c>
      <c r="C3598" s="7">
        <v>186</v>
      </c>
      <c r="D3598" s="8">
        <v>8135.7</v>
      </c>
      <c r="E3598" s="9">
        <v>1</v>
      </c>
    </row>
    <row r="3599" spans="1:5" x14ac:dyDescent="0.25">
      <c r="A3599" s="7">
        <v>1</v>
      </c>
      <c r="B3599" s="7">
        <v>5426</v>
      </c>
      <c r="C3599" s="7">
        <v>186</v>
      </c>
      <c r="D3599" s="8">
        <v>29256</v>
      </c>
      <c r="E3599" s="9">
        <v>1</v>
      </c>
    </row>
    <row r="3600" spans="1:5" x14ac:dyDescent="0.25">
      <c r="A3600" s="7">
        <v>1</v>
      </c>
      <c r="B3600" s="7">
        <v>5427</v>
      </c>
      <c r="C3600" s="7">
        <v>186</v>
      </c>
      <c r="D3600" s="8">
        <v>114817.5</v>
      </c>
      <c r="E3600" s="9">
        <v>1</v>
      </c>
    </row>
    <row r="3601" spans="1:5" x14ac:dyDescent="0.25">
      <c r="A3601" s="7">
        <v>1</v>
      </c>
      <c r="B3601" s="7">
        <v>5428</v>
      </c>
      <c r="C3601" s="7">
        <v>186</v>
      </c>
      <c r="D3601" s="8">
        <v>1058400</v>
      </c>
      <c r="E3601" s="9">
        <v>1</v>
      </c>
    </row>
    <row r="3602" spans="1:5" x14ac:dyDescent="0.25">
      <c r="A3602" s="7">
        <v>1</v>
      </c>
      <c r="B3602" s="7">
        <v>5435</v>
      </c>
      <c r="C3602" s="7">
        <v>195</v>
      </c>
      <c r="D3602" s="8">
        <v>102021.17</v>
      </c>
      <c r="E3602" s="9">
        <v>1</v>
      </c>
    </row>
    <row r="3603" spans="1:5" x14ac:dyDescent="0.25">
      <c r="A3603" s="7">
        <v>1</v>
      </c>
      <c r="B3603" s="7">
        <v>5436</v>
      </c>
      <c r="C3603" s="7">
        <v>195</v>
      </c>
      <c r="D3603" s="8">
        <v>425088.23</v>
      </c>
      <c r="E3603" s="9">
        <v>1</v>
      </c>
    </row>
    <row r="3604" spans="1:5" x14ac:dyDescent="0.25">
      <c r="A3604" s="7">
        <v>1</v>
      </c>
      <c r="B3604" s="7">
        <v>5437</v>
      </c>
      <c r="C3604" s="7">
        <v>195</v>
      </c>
      <c r="D3604" s="8">
        <v>65201.14</v>
      </c>
      <c r="E3604" s="9">
        <v>1</v>
      </c>
    </row>
    <row r="3605" spans="1:5" x14ac:dyDescent="0.25">
      <c r="A3605" s="7">
        <v>1</v>
      </c>
      <c r="B3605" s="7">
        <v>5438</v>
      </c>
      <c r="C3605" s="7">
        <v>195</v>
      </c>
      <c r="D3605" s="8">
        <v>271671.33</v>
      </c>
      <c r="E3605" s="9">
        <v>1</v>
      </c>
    </row>
    <row r="3606" spans="1:5" x14ac:dyDescent="0.25">
      <c r="A3606" s="7">
        <v>1</v>
      </c>
      <c r="B3606" s="7">
        <v>5439</v>
      </c>
      <c r="C3606" s="7">
        <v>195</v>
      </c>
      <c r="D3606" s="8">
        <v>76304.27</v>
      </c>
      <c r="E3606" s="9">
        <v>1</v>
      </c>
    </row>
    <row r="3607" spans="1:5" x14ac:dyDescent="0.25">
      <c r="A3607" s="7">
        <v>1</v>
      </c>
      <c r="B3607" s="7">
        <v>5440</v>
      </c>
      <c r="C3607" s="7">
        <v>195</v>
      </c>
      <c r="D3607" s="8">
        <v>317934.1</v>
      </c>
      <c r="E3607" s="9">
        <v>1</v>
      </c>
    </row>
    <row r="3608" spans="1:5" x14ac:dyDescent="0.25">
      <c r="A3608" s="7">
        <v>1</v>
      </c>
      <c r="B3608" s="7">
        <v>5441</v>
      </c>
      <c r="C3608" s="7">
        <v>195</v>
      </c>
      <c r="D3608" s="8">
        <v>64663.52</v>
      </c>
      <c r="E3608" s="9">
        <v>1</v>
      </c>
    </row>
    <row r="3609" spans="1:5" x14ac:dyDescent="0.25">
      <c r="A3609" s="7">
        <v>1</v>
      </c>
      <c r="B3609" s="7">
        <v>5442</v>
      </c>
      <c r="C3609" s="7">
        <v>195</v>
      </c>
      <c r="D3609" s="8">
        <v>269430</v>
      </c>
      <c r="E3609" s="9">
        <v>1</v>
      </c>
    </row>
    <row r="3610" spans="1:5" x14ac:dyDescent="0.25">
      <c r="A3610" s="7">
        <v>1</v>
      </c>
      <c r="B3610" s="7">
        <v>5443</v>
      </c>
      <c r="C3610" s="7">
        <v>195</v>
      </c>
      <c r="D3610" s="8">
        <v>83583.66</v>
      </c>
      <c r="E3610" s="9">
        <v>1</v>
      </c>
    </row>
    <row r="3611" spans="1:5" x14ac:dyDescent="0.25">
      <c r="A3611" s="7">
        <v>1</v>
      </c>
      <c r="B3611" s="7">
        <v>5444</v>
      </c>
      <c r="C3611" s="7">
        <v>195</v>
      </c>
      <c r="D3611" s="8">
        <v>348265.65</v>
      </c>
      <c r="E3611" s="9">
        <v>1</v>
      </c>
    </row>
    <row r="3612" spans="1:5" x14ac:dyDescent="0.25">
      <c r="A3612" s="7">
        <v>1</v>
      </c>
      <c r="B3612" s="7">
        <v>5445</v>
      </c>
      <c r="C3612" s="7">
        <v>195</v>
      </c>
      <c r="D3612" s="8">
        <v>86335.17</v>
      </c>
      <c r="E3612" s="9">
        <v>1</v>
      </c>
    </row>
    <row r="3613" spans="1:5" x14ac:dyDescent="0.25">
      <c r="A3613" s="7">
        <v>1</v>
      </c>
      <c r="B3613" s="7">
        <v>5446</v>
      </c>
      <c r="C3613" s="7">
        <v>195</v>
      </c>
      <c r="D3613" s="8">
        <v>359729.43</v>
      </c>
      <c r="E3613" s="9">
        <v>1</v>
      </c>
    </row>
    <row r="3614" spans="1:5" x14ac:dyDescent="0.25">
      <c r="A3614" s="7">
        <v>1</v>
      </c>
      <c r="B3614" s="7">
        <v>5447</v>
      </c>
      <c r="C3614" s="7">
        <v>195</v>
      </c>
      <c r="D3614" s="8">
        <v>76604.91</v>
      </c>
      <c r="E3614" s="9">
        <v>1</v>
      </c>
    </row>
    <row r="3615" spans="1:5" x14ac:dyDescent="0.25">
      <c r="A3615" s="7">
        <v>1</v>
      </c>
      <c r="B3615" s="7">
        <v>5448</v>
      </c>
      <c r="C3615" s="7">
        <v>195</v>
      </c>
      <c r="D3615" s="8">
        <v>319185.7</v>
      </c>
      <c r="E3615" s="9">
        <v>1</v>
      </c>
    </row>
    <row r="3616" spans="1:5" x14ac:dyDescent="0.25">
      <c r="A3616" s="7">
        <v>1</v>
      </c>
      <c r="B3616" s="7">
        <v>5449</v>
      </c>
      <c r="C3616" s="7">
        <v>195</v>
      </c>
      <c r="D3616" s="8">
        <v>75703.55</v>
      </c>
      <c r="E3616" s="9">
        <v>1</v>
      </c>
    </row>
    <row r="3617" spans="1:5" x14ac:dyDescent="0.25">
      <c r="A3617" s="7">
        <v>1</v>
      </c>
      <c r="B3617" s="7">
        <v>5450</v>
      </c>
      <c r="C3617" s="7">
        <v>195</v>
      </c>
      <c r="D3617" s="8">
        <v>315431</v>
      </c>
      <c r="E3617" s="9">
        <v>1</v>
      </c>
    </row>
    <row r="3618" spans="1:5" x14ac:dyDescent="0.25">
      <c r="A3618" s="7">
        <v>1</v>
      </c>
      <c r="B3618" s="7">
        <v>5451</v>
      </c>
      <c r="C3618" s="7">
        <v>195</v>
      </c>
      <c r="D3618" s="8">
        <v>66394.84</v>
      </c>
      <c r="E3618" s="9">
        <v>1</v>
      </c>
    </row>
    <row r="3619" spans="1:5" x14ac:dyDescent="0.25">
      <c r="A3619" s="7">
        <v>1</v>
      </c>
      <c r="B3619" s="7">
        <v>5452</v>
      </c>
      <c r="C3619" s="7">
        <v>195</v>
      </c>
      <c r="D3619" s="8">
        <v>276645.6</v>
      </c>
      <c r="E3619" s="9">
        <v>1</v>
      </c>
    </row>
    <row r="3620" spans="1:5" x14ac:dyDescent="0.25">
      <c r="A3620" s="7">
        <v>1</v>
      </c>
      <c r="B3620" s="7">
        <v>5453</v>
      </c>
      <c r="C3620" s="7">
        <v>195</v>
      </c>
      <c r="D3620" s="8">
        <v>99530.96</v>
      </c>
      <c r="E3620" s="9">
        <v>1</v>
      </c>
    </row>
    <row r="3621" spans="1:5" x14ac:dyDescent="0.25">
      <c r="A3621" s="7">
        <v>1</v>
      </c>
      <c r="B3621" s="7">
        <v>5454</v>
      </c>
      <c r="C3621" s="7">
        <v>195</v>
      </c>
      <c r="D3621" s="8">
        <v>414711.1</v>
      </c>
      <c r="E3621" s="9">
        <v>1</v>
      </c>
    </row>
    <row r="3622" spans="1:5" x14ac:dyDescent="0.25">
      <c r="A3622" s="7">
        <v>1</v>
      </c>
      <c r="B3622" s="7">
        <v>5455</v>
      </c>
      <c r="C3622" s="7">
        <v>195</v>
      </c>
      <c r="D3622" s="8">
        <v>48940.49</v>
      </c>
      <c r="E3622" s="9">
        <v>1</v>
      </c>
    </row>
    <row r="3623" spans="1:5" x14ac:dyDescent="0.25">
      <c r="A3623" s="7">
        <v>1</v>
      </c>
      <c r="B3623" s="7">
        <v>5456</v>
      </c>
      <c r="C3623" s="7">
        <v>195</v>
      </c>
      <c r="D3623" s="8">
        <v>203145.21</v>
      </c>
      <c r="E3623" s="9">
        <v>1</v>
      </c>
    </row>
    <row r="3624" spans="1:5" x14ac:dyDescent="0.25">
      <c r="A3624" s="7">
        <v>1</v>
      </c>
      <c r="B3624" s="7">
        <v>5457</v>
      </c>
      <c r="C3624" s="7">
        <v>195</v>
      </c>
      <c r="D3624" s="8">
        <v>75922.52</v>
      </c>
      <c r="E3624" s="9">
        <v>1</v>
      </c>
    </row>
    <row r="3625" spans="1:5" x14ac:dyDescent="0.25">
      <c r="A3625" s="7">
        <v>1</v>
      </c>
      <c r="B3625" s="7">
        <v>5458</v>
      </c>
      <c r="C3625" s="7">
        <v>195</v>
      </c>
      <c r="D3625" s="8">
        <v>316633.65</v>
      </c>
      <c r="E3625" s="9">
        <v>1</v>
      </c>
    </row>
    <row r="3626" spans="1:5" x14ac:dyDescent="0.25">
      <c r="A3626" s="7">
        <v>1</v>
      </c>
      <c r="B3626" s="7">
        <v>5461</v>
      </c>
      <c r="C3626" s="7">
        <v>103</v>
      </c>
      <c r="D3626" s="8">
        <v>8204.05</v>
      </c>
      <c r="E3626" s="9">
        <v>1</v>
      </c>
    </row>
    <row r="3627" spans="1:5" x14ac:dyDescent="0.25">
      <c r="A3627" s="7">
        <v>1</v>
      </c>
      <c r="B3627" s="7">
        <v>5462</v>
      </c>
      <c r="C3627" s="7">
        <v>103</v>
      </c>
      <c r="D3627" s="8">
        <v>1907.77</v>
      </c>
      <c r="E3627" s="9">
        <v>1</v>
      </c>
    </row>
    <row r="3628" spans="1:5" x14ac:dyDescent="0.25">
      <c r="A3628" s="7">
        <v>1</v>
      </c>
      <c r="B3628" s="7">
        <v>5463</v>
      </c>
      <c r="C3628" s="7">
        <v>150</v>
      </c>
      <c r="D3628" s="8">
        <v>8830.66</v>
      </c>
      <c r="E3628" s="9">
        <v>1</v>
      </c>
    </row>
    <row r="3629" spans="1:5" x14ac:dyDescent="0.25">
      <c r="A3629" s="7">
        <v>1</v>
      </c>
      <c r="B3629" s="7">
        <v>5464</v>
      </c>
      <c r="C3629" s="7">
        <v>150</v>
      </c>
      <c r="D3629" s="8">
        <v>25132.03</v>
      </c>
      <c r="E3629" s="9">
        <v>1</v>
      </c>
    </row>
    <row r="3630" spans="1:5" x14ac:dyDescent="0.25">
      <c r="A3630" s="7">
        <v>1</v>
      </c>
      <c r="B3630" s="7">
        <v>5465</v>
      </c>
      <c r="C3630" s="7">
        <v>150</v>
      </c>
      <c r="D3630" s="8">
        <v>56210.6</v>
      </c>
      <c r="E3630" s="9">
        <v>1</v>
      </c>
    </row>
    <row r="3631" spans="1:5" x14ac:dyDescent="0.25">
      <c r="A3631" s="7">
        <v>1</v>
      </c>
      <c r="B3631" s="7">
        <v>5466</v>
      </c>
      <c r="C3631" s="7">
        <v>150</v>
      </c>
      <c r="D3631" s="8">
        <v>98801.64</v>
      </c>
      <c r="E3631" s="9">
        <v>1</v>
      </c>
    </row>
    <row r="3632" spans="1:5" x14ac:dyDescent="0.25">
      <c r="A3632" s="7">
        <v>1</v>
      </c>
      <c r="B3632" s="7">
        <v>5467</v>
      </c>
      <c r="C3632" s="7">
        <v>111</v>
      </c>
      <c r="D3632" s="8">
        <v>171.83</v>
      </c>
      <c r="E3632" s="9">
        <v>2</v>
      </c>
    </row>
    <row r="3633" spans="1:5" x14ac:dyDescent="0.25">
      <c r="A3633" s="7">
        <v>1</v>
      </c>
      <c r="B3633" s="7">
        <v>5468</v>
      </c>
      <c r="C3633" s="7">
        <v>111</v>
      </c>
      <c r="D3633" s="8">
        <v>793.17</v>
      </c>
      <c r="E3633" s="9">
        <v>2</v>
      </c>
    </row>
    <row r="3634" spans="1:5" x14ac:dyDescent="0.25">
      <c r="A3634" s="7">
        <v>1</v>
      </c>
      <c r="B3634" s="7">
        <v>5470</v>
      </c>
      <c r="C3634" s="7">
        <v>146</v>
      </c>
      <c r="D3634" s="8">
        <v>23490.64</v>
      </c>
      <c r="E3634" s="9">
        <v>1</v>
      </c>
    </row>
    <row r="3635" spans="1:5" x14ac:dyDescent="0.25">
      <c r="A3635" s="7">
        <v>1</v>
      </c>
      <c r="B3635" s="7">
        <v>5471</v>
      </c>
      <c r="C3635" s="7">
        <v>146</v>
      </c>
      <c r="D3635" s="8">
        <v>23490.64</v>
      </c>
      <c r="E3635" s="9">
        <v>1</v>
      </c>
    </row>
    <row r="3636" spans="1:5" x14ac:dyDescent="0.25">
      <c r="A3636" s="7">
        <v>1</v>
      </c>
      <c r="B3636" s="7">
        <v>5472</v>
      </c>
      <c r="C3636" s="7">
        <v>146</v>
      </c>
      <c r="D3636" s="8">
        <v>23490.64</v>
      </c>
      <c r="E3636" s="9">
        <v>1</v>
      </c>
    </row>
    <row r="3637" spans="1:5" x14ac:dyDescent="0.25">
      <c r="A3637" s="7">
        <v>1</v>
      </c>
      <c r="B3637" s="7">
        <v>5473</v>
      </c>
      <c r="C3637" s="7">
        <v>146</v>
      </c>
      <c r="D3637" s="8">
        <v>23490.64</v>
      </c>
      <c r="E3637" s="9">
        <v>1</v>
      </c>
    </row>
    <row r="3638" spans="1:5" x14ac:dyDescent="0.25">
      <c r="A3638" s="7">
        <v>1</v>
      </c>
      <c r="B3638" s="7">
        <v>5474</v>
      </c>
      <c r="C3638" s="7">
        <v>146</v>
      </c>
      <c r="D3638" s="8">
        <v>46018.47</v>
      </c>
      <c r="E3638" s="9">
        <v>1</v>
      </c>
    </row>
    <row r="3639" spans="1:5" x14ac:dyDescent="0.25">
      <c r="A3639" s="7">
        <v>1</v>
      </c>
      <c r="B3639" s="7">
        <v>5475</v>
      </c>
      <c r="C3639" s="7">
        <v>146</v>
      </c>
      <c r="D3639" s="8">
        <v>46018.47</v>
      </c>
      <c r="E3639" s="9">
        <v>1</v>
      </c>
    </row>
    <row r="3640" spans="1:5" x14ac:dyDescent="0.25">
      <c r="A3640" s="7">
        <v>1</v>
      </c>
      <c r="B3640" s="7">
        <v>5476</v>
      </c>
      <c r="C3640" s="7">
        <v>146</v>
      </c>
      <c r="D3640" s="8">
        <v>46018.47</v>
      </c>
      <c r="E3640" s="9">
        <v>1</v>
      </c>
    </row>
    <row r="3641" spans="1:5" x14ac:dyDescent="0.25">
      <c r="A3641" s="7">
        <v>1</v>
      </c>
      <c r="B3641" s="7">
        <v>5477</v>
      </c>
      <c r="C3641" s="7">
        <v>146</v>
      </c>
      <c r="D3641" s="8">
        <v>46018.47</v>
      </c>
      <c r="E3641" s="9">
        <v>1</v>
      </c>
    </row>
    <row r="3642" spans="1:5" x14ac:dyDescent="0.25">
      <c r="A3642" s="7">
        <v>1</v>
      </c>
      <c r="B3642" s="7">
        <v>5478</v>
      </c>
      <c r="C3642" s="7">
        <v>146</v>
      </c>
      <c r="D3642" s="8">
        <v>46018.47</v>
      </c>
      <c r="E3642" s="9">
        <v>1</v>
      </c>
    </row>
    <row r="3643" spans="1:5" x14ac:dyDescent="0.25">
      <c r="A3643" s="7">
        <v>1</v>
      </c>
      <c r="B3643" s="7">
        <v>5479</v>
      </c>
      <c r="C3643" s="7">
        <v>146</v>
      </c>
      <c r="D3643" s="8">
        <v>46018.47</v>
      </c>
      <c r="E3643" s="9">
        <v>1</v>
      </c>
    </row>
    <row r="3644" spans="1:5" x14ac:dyDescent="0.25">
      <c r="A3644" s="7">
        <v>1</v>
      </c>
      <c r="B3644" s="7">
        <v>5480</v>
      </c>
      <c r="C3644" s="7">
        <v>146</v>
      </c>
      <c r="D3644" s="8">
        <v>46018.47</v>
      </c>
      <c r="E3644" s="9">
        <v>1</v>
      </c>
    </row>
    <row r="3645" spans="1:5" x14ac:dyDescent="0.25">
      <c r="A3645" s="7">
        <v>1</v>
      </c>
      <c r="B3645" s="7">
        <v>5481</v>
      </c>
      <c r="C3645" s="7">
        <v>146</v>
      </c>
      <c r="D3645" s="8">
        <v>46018.47</v>
      </c>
      <c r="E3645" s="9">
        <v>1</v>
      </c>
    </row>
    <row r="3646" spans="1:5" x14ac:dyDescent="0.25">
      <c r="A3646" s="7">
        <v>1</v>
      </c>
      <c r="B3646" s="7">
        <v>5488</v>
      </c>
      <c r="C3646" s="7">
        <v>195</v>
      </c>
      <c r="D3646" s="8">
        <v>649563.16</v>
      </c>
      <c r="E3646" s="9">
        <v>1</v>
      </c>
    </row>
    <row r="3647" spans="1:5" x14ac:dyDescent="0.25">
      <c r="A3647" s="7">
        <v>1</v>
      </c>
      <c r="B3647" s="7">
        <v>5489</v>
      </c>
      <c r="C3647" s="7">
        <v>195</v>
      </c>
      <c r="D3647" s="8">
        <v>727865.52</v>
      </c>
      <c r="E3647" s="9">
        <v>1</v>
      </c>
    </row>
    <row r="3648" spans="1:5" x14ac:dyDescent="0.25">
      <c r="A3648" s="7">
        <v>1</v>
      </c>
      <c r="B3648" s="7">
        <v>5490</v>
      </c>
      <c r="C3648" s="7">
        <v>195</v>
      </c>
      <c r="D3648" s="8">
        <v>595195.97</v>
      </c>
      <c r="E3648" s="9">
        <v>1</v>
      </c>
    </row>
    <row r="3649" spans="1:5" x14ac:dyDescent="0.25">
      <c r="A3649" s="7">
        <v>1</v>
      </c>
      <c r="B3649" s="7">
        <v>5491</v>
      </c>
      <c r="C3649" s="7">
        <v>195</v>
      </c>
      <c r="D3649" s="8">
        <v>675930.11</v>
      </c>
      <c r="E3649" s="9">
        <v>1</v>
      </c>
    </row>
    <row r="3650" spans="1:5" x14ac:dyDescent="0.25">
      <c r="A3650" s="7">
        <v>1</v>
      </c>
      <c r="B3650" s="7">
        <v>5492</v>
      </c>
      <c r="C3650" s="7">
        <v>108</v>
      </c>
      <c r="D3650" s="8">
        <v>22667.92</v>
      </c>
      <c r="E3650" s="9">
        <v>1</v>
      </c>
    </row>
    <row r="3651" spans="1:5" x14ac:dyDescent="0.25">
      <c r="A3651" s="7">
        <v>1</v>
      </c>
      <c r="B3651" s="7">
        <v>5493</v>
      </c>
      <c r="C3651" s="7">
        <v>108</v>
      </c>
      <c r="D3651" s="8">
        <v>72195.9</v>
      </c>
      <c r="E3651" s="9">
        <v>1</v>
      </c>
    </row>
    <row r="3652" spans="1:5" x14ac:dyDescent="0.25">
      <c r="A3652" s="7">
        <v>1</v>
      </c>
      <c r="B3652" s="7">
        <v>5494</v>
      </c>
      <c r="C3652" s="7">
        <v>108</v>
      </c>
      <c r="D3652" s="8">
        <v>152324.27</v>
      </c>
      <c r="E3652" s="9">
        <v>1</v>
      </c>
    </row>
    <row r="3653" spans="1:5" x14ac:dyDescent="0.25">
      <c r="A3653" s="7">
        <v>1</v>
      </c>
      <c r="B3653" s="7">
        <v>5495</v>
      </c>
      <c r="C3653" s="7">
        <v>108</v>
      </c>
      <c r="D3653" s="8">
        <v>255007.6</v>
      </c>
      <c r="E3653" s="9">
        <v>1</v>
      </c>
    </row>
    <row r="3654" spans="1:5" x14ac:dyDescent="0.25">
      <c r="A3654" s="7">
        <v>1</v>
      </c>
      <c r="B3654" s="7">
        <v>5496</v>
      </c>
      <c r="C3654" s="7">
        <v>108</v>
      </c>
      <c r="D3654" s="8">
        <v>21435.01</v>
      </c>
      <c r="E3654" s="9">
        <v>1</v>
      </c>
    </row>
    <row r="3655" spans="1:5" x14ac:dyDescent="0.25">
      <c r="A3655" s="7">
        <v>1</v>
      </c>
      <c r="B3655" s="7">
        <v>5497</v>
      </c>
      <c r="C3655" s="7">
        <v>108</v>
      </c>
      <c r="D3655" s="8">
        <v>68272.02</v>
      </c>
      <c r="E3655" s="9">
        <v>1</v>
      </c>
    </row>
    <row r="3656" spans="1:5" x14ac:dyDescent="0.25">
      <c r="A3656" s="7">
        <v>1</v>
      </c>
      <c r="B3656" s="7">
        <v>5498</v>
      </c>
      <c r="C3656" s="7">
        <v>108</v>
      </c>
      <c r="D3656" s="8">
        <v>241147.91</v>
      </c>
      <c r="E3656" s="9">
        <v>1</v>
      </c>
    </row>
    <row r="3657" spans="1:5" x14ac:dyDescent="0.25">
      <c r="A3657" s="7">
        <v>1</v>
      </c>
      <c r="B3657" s="7">
        <v>5499</v>
      </c>
      <c r="C3657" s="7">
        <v>108</v>
      </c>
      <c r="D3657" s="8">
        <v>18970.67</v>
      </c>
      <c r="E3657" s="9">
        <v>1</v>
      </c>
    </row>
    <row r="3658" spans="1:5" x14ac:dyDescent="0.25">
      <c r="A3658" s="7">
        <v>1</v>
      </c>
      <c r="B3658" s="7">
        <v>5500</v>
      </c>
      <c r="C3658" s="7">
        <v>108</v>
      </c>
      <c r="D3658" s="8">
        <v>60424.11</v>
      </c>
      <c r="E3658" s="9">
        <v>1</v>
      </c>
    </row>
    <row r="3659" spans="1:5" x14ac:dyDescent="0.25">
      <c r="A3659" s="7">
        <v>1</v>
      </c>
      <c r="B3659" s="7">
        <v>5502</v>
      </c>
      <c r="C3659" s="7">
        <v>152</v>
      </c>
      <c r="D3659" s="8">
        <v>45570.05</v>
      </c>
      <c r="E3659" s="9">
        <v>1</v>
      </c>
    </row>
    <row r="3660" spans="1:5" x14ac:dyDescent="0.25">
      <c r="A3660" s="7">
        <v>1</v>
      </c>
      <c r="B3660" s="7">
        <v>5503</v>
      </c>
      <c r="C3660" s="7">
        <v>152</v>
      </c>
      <c r="D3660" s="8">
        <v>45570.05</v>
      </c>
      <c r="E3660" s="9">
        <v>1</v>
      </c>
    </row>
    <row r="3661" spans="1:5" x14ac:dyDescent="0.25">
      <c r="A3661" s="7">
        <v>1</v>
      </c>
      <c r="B3661" s="7">
        <v>5504</v>
      </c>
      <c r="C3661" s="7">
        <v>152</v>
      </c>
      <c r="D3661" s="8">
        <v>45570.05</v>
      </c>
      <c r="E3661" s="9">
        <v>1</v>
      </c>
    </row>
    <row r="3662" spans="1:5" x14ac:dyDescent="0.25">
      <c r="A3662" s="7">
        <v>1</v>
      </c>
      <c r="B3662" s="7">
        <v>5505</v>
      </c>
      <c r="C3662" s="7">
        <v>152</v>
      </c>
      <c r="D3662" s="8">
        <v>45570.05</v>
      </c>
      <c r="E3662" s="9">
        <v>1</v>
      </c>
    </row>
    <row r="3663" spans="1:5" x14ac:dyDescent="0.25">
      <c r="A3663" s="7">
        <v>1</v>
      </c>
      <c r="B3663" s="7">
        <v>5506</v>
      </c>
      <c r="C3663" s="7">
        <v>902</v>
      </c>
      <c r="D3663" s="8">
        <v>44831.56</v>
      </c>
      <c r="E3663" s="9">
        <v>1</v>
      </c>
    </row>
    <row r="3664" spans="1:5" x14ac:dyDescent="0.25">
      <c r="A3664" s="7">
        <v>1</v>
      </c>
      <c r="B3664" s="7">
        <v>5507</v>
      </c>
      <c r="C3664" s="7">
        <v>152</v>
      </c>
      <c r="D3664" s="8">
        <v>45570.05</v>
      </c>
      <c r="E3664" s="9">
        <v>1</v>
      </c>
    </row>
    <row r="3665" spans="1:5" x14ac:dyDescent="0.25">
      <c r="A3665" s="7">
        <v>1</v>
      </c>
      <c r="B3665" s="7">
        <v>5508</v>
      </c>
      <c r="C3665" s="7">
        <v>902</v>
      </c>
      <c r="D3665" s="8">
        <v>44831.56</v>
      </c>
      <c r="E3665" s="9">
        <v>1</v>
      </c>
    </row>
    <row r="3666" spans="1:5" x14ac:dyDescent="0.25">
      <c r="A3666" s="7">
        <v>1</v>
      </c>
      <c r="B3666" s="7">
        <v>5509</v>
      </c>
      <c r="C3666" s="7">
        <v>152</v>
      </c>
      <c r="D3666" s="8">
        <v>45570.05</v>
      </c>
      <c r="E3666" s="9">
        <v>1</v>
      </c>
    </row>
    <row r="3667" spans="1:5" x14ac:dyDescent="0.25">
      <c r="A3667" s="7">
        <v>1</v>
      </c>
      <c r="B3667" s="7">
        <v>5510</v>
      </c>
      <c r="C3667" s="7">
        <v>152</v>
      </c>
      <c r="D3667" s="8">
        <v>45570.05</v>
      </c>
      <c r="E3667" s="9">
        <v>1</v>
      </c>
    </row>
    <row r="3668" spans="1:5" x14ac:dyDescent="0.25">
      <c r="A3668" s="7">
        <v>1</v>
      </c>
      <c r="B3668" s="7">
        <v>5511</v>
      </c>
      <c r="C3668" s="7">
        <v>196</v>
      </c>
      <c r="D3668" s="8">
        <v>12900</v>
      </c>
      <c r="E3668" s="9">
        <v>1</v>
      </c>
    </row>
    <row r="3669" spans="1:5" x14ac:dyDescent="0.25">
      <c r="A3669" s="7">
        <v>1</v>
      </c>
      <c r="B3669" s="7">
        <v>5512</v>
      </c>
      <c r="C3669" s="7">
        <v>196</v>
      </c>
      <c r="D3669" s="8">
        <v>13800</v>
      </c>
      <c r="E3669" s="9">
        <v>1</v>
      </c>
    </row>
    <row r="3670" spans="1:5" x14ac:dyDescent="0.25">
      <c r="A3670" s="7">
        <v>1</v>
      </c>
      <c r="B3670" s="7">
        <v>5513</v>
      </c>
      <c r="C3670" s="7">
        <v>196</v>
      </c>
      <c r="D3670" s="8">
        <v>13800</v>
      </c>
      <c r="E3670" s="9">
        <v>1</v>
      </c>
    </row>
    <row r="3671" spans="1:5" x14ac:dyDescent="0.25">
      <c r="A3671" s="7">
        <v>1</v>
      </c>
      <c r="B3671" s="7">
        <v>5514</v>
      </c>
      <c r="C3671" s="7">
        <v>196</v>
      </c>
      <c r="D3671" s="8">
        <v>16000</v>
      </c>
      <c r="E3671" s="9">
        <v>1</v>
      </c>
    </row>
    <row r="3672" spans="1:5" x14ac:dyDescent="0.25">
      <c r="A3672" s="7">
        <v>1</v>
      </c>
      <c r="B3672" s="7">
        <v>5515</v>
      </c>
      <c r="C3672" s="7">
        <v>196</v>
      </c>
      <c r="D3672" s="8">
        <v>7950</v>
      </c>
      <c r="E3672" s="9">
        <v>1</v>
      </c>
    </row>
    <row r="3673" spans="1:5" x14ac:dyDescent="0.25">
      <c r="A3673" s="7">
        <v>1</v>
      </c>
      <c r="B3673" s="7">
        <v>5516</v>
      </c>
      <c r="C3673" s="7">
        <v>196</v>
      </c>
      <c r="D3673" s="8">
        <v>8000</v>
      </c>
      <c r="E3673" s="9">
        <v>1</v>
      </c>
    </row>
    <row r="3674" spans="1:5" x14ac:dyDescent="0.25">
      <c r="A3674" s="7">
        <v>1</v>
      </c>
      <c r="B3674" s="7">
        <v>5517</v>
      </c>
      <c r="C3674" s="7">
        <v>196</v>
      </c>
      <c r="D3674" s="8">
        <v>23980</v>
      </c>
      <c r="E3674" s="9">
        <v>1</v>
      </c>
    </row>
    <row r="3675" spans="1:5" x14ac:dyDescent="0.25">
      <c r="A3675" s="7">
        <v>1</v>
      </c>
      <c r="B3675" s="7">
        <v>5518</v>
      </c>
      <c r="C3675" s="7">
        <v>196</v>
      </c>
      <c r="D3675" s="8">
        <v>12100</v>
      </c>
      <c r="E3675" s="9">
        <v>1</v>
      </c>
    </row>
    <row r="3676" spans="1:5" x14ac:dyDescent="0.25">
      <c r="A3676" s="7">
        <v>1</v>
      </c>
      <c r="B3676" s="7">
        <v>5519</v>
      </c>
      <c r="C3676" s="7">
        <v>196</v>
      </c>
      <c r="D3676" s="8">
        <v>3720</v>
      </c>
      <c r="E3676" s="9">
        <v>1</v>
      </c>
    </row>
    <row r="3677" spans="1:5" x14ac:dyDescent="0.25">
      <c r="A3677" s="7">
        <v>1</v>
      </c>
      <c r="B3677" s="7">
        <v>5520</v>
      </c>
      <c r="C3677" s="7">
        <v>196</v>
      </c>
      <c r="D3677" s="8">
        <v>10780</v>
      </c>
      <c r="E3677" s="9">
        <v>1</v>
      </c>
    </row>
    <row r="3678" spans="1:5" x14ac:dyDescent="0.25">
      <c r="A3678" s="7">
        <v>1</v>
      </c>
      <c r="B3678" s="7">
        <v>5521</v>
      </c>
      <c r="C3678" s="7">
        <v>196</v>
      </c>
      <c r="D3678" s="8">
        <v>14080</v>
      </c>
      <c r="E3678" s="9">
        <v>1</v>
      </c>
    </row>
    <row r="3679" spans="1:5" x14ac:dyDescent="0.25">
      <c r="A3679" s="7">
        <v>1</v>
      </c>
      <c r="B3679" s="7">
        <v>5522</v>
      </c>
      <c r="C3679" s="7">
        <v>196</v>
      </c>
      <c r="D3679" s="8">
        <v>23100</v>
      </c>
      <c r="E3679" s="9">
        <v>1</v>
      </c>
    </row>
    <row r="3680" spans="1:5" x14ac:dyDescent="0.25">
      <c r="A3680" s="7">
        <v>1</v>
      </c>
      <c r="B3680" s="7">
        <v>5530</v>
      </c>
      <c r="C3680" s="7">
        <v>176</v>
      </c>
      <c r="D3680" s="8">
        <v>12042.14</v>
      </c>
      <c r="E3680" s="9">
        <v>1</v>
      </c>
    </row>
    <row r="3681" spans="1:5" x14ac:dyDescent="0.25">
      <c r="A3681" s="7">
        <v>1</v>
      </c>
      <c r="B3681" s="7">
        <v>5531</v>
      </c>
      <c r="C3681" s="7">
        <v>176</v>
      </c>
      <c r="D3681" s="8">
        <v>14980.63</v>
      </c>
      <c r="E3681" s="9">
        <v>1</v>
      </c>
    </row>
    <row r="3682" spans="1:5" x14ac:dyDescent="0.25">
      <c r="A3682" s="7">
        <v>1</v>
      </c>
      <c r="B3682" s="7">
        <v>5532</v>
      </c>
      <c r="C3682" s="7">
        <v>176</v>
      </c>
      <c r="D3682" s="8">
        <v>15125.24</v>
      </c>
      <c r="E3682" s="9">
        <v>1</v>
      </c>
    </row>
    <row r="3683" spans="1:5" x14ac:dyDescent="0.25">
      <c r="A3683" s="7">
        <v>1</v>
      </c>
      <c r="B3683" s="7">
        <v>5533</v>
      </c>
      <c r="C3683" s="7">
        <v>176</v>
      </c>
      <c r="D3683" s="8">
        <v>16031.42</v>
      </c>
      <c r="E3683" s="9">
        <v>1</v>
      </c>
    </row>
    <row r="3684" spans="1:5" x14ac:dyDescent="0.25">
      <c r="A3684" s="7">
        <v>1</v>
      </c>
      <c r="B3684" s="7">
        <v>5534</v>
      </c>
      <c r="C3684" s="7">
        <v>176</v>
      </c>
      <c r="D3684" s="8">
        <v>16809.94</v>
      </c>
      <c r="E3684" s="9">
        <v>1</v>
      </c>
    </row>
    <row r="3685" spans="1:5" x14ac:dyDescent="0.25">
      <c r="A3685" s="7">
        <v>1</v>
      </c>
      <c r="B3685" s="7">
        <v>5535</v>
      </c>
      <c r="C3685" s="7">
        <v>176</v>
      </c>
      <c r="D3685" s="8">
        <v>9699.48</v>
      </c>
      <c r="E3685" s="9">
        <v>1</v>
      </c>
    </row>
    <row r="3686" spans="1:5" x14ac:dyDescent="0.25">
      <c r="A3686" s="7">
        <v>1</v>
      </c>
      <c r="B3686" s="7">
        <v>5536</v>
      </c>
      <c r="C3686" s="7">
        <v>176</v>
      </c>
      <c r="D3686" s="8">
        <v>10301.12</v>
      </c>
      <c r="E3686" s="9">
        <v>1</v>
      </c>
    </row>
    <row r="3687" spans="1:5" x14ac:dyDescent="0.25">
      <c r="A3687" s="7">
        <v>1</v>
      </c>
      <c r="B3687" s="7">
        <v>5537</v>
      </c>
      <c r="C3687" s="7">
        <v>176</v>
      </c>
      <c r="D3687" s="8">
        <v>13878.65</v>
      </c>
      <c r="E3687" s="9">
        <v>1</v>
      </c>
    </row>
    <row r="3688" spans="1:5" x14ac:dyDescent="0.25">
      <c r="A3688" s="7">
        <v>1</v>
      </c>
      <c r="B3688" s="7">
        <v>5538</v>
      </c>
      <c r="C3688" s="7">
        <v>176</v>
      </c>
      <c r="D3688" s="8">
        <v>16683.54</v>
      </c>
      <c r="E3688" s="9">
        <v>1</v>
      </c>
    </row>
    <row r="3689" spans="1:5" x14ac:dyDescent="0.25">
      <c r="A3689" s="7">
        <v>1</v>
      </c>
      <c r="B3689" s="7">
        <v>5539</v>
      </c>
      <c r="C3689" s="7">
        <v>176</v>
      </c>
      <c r="D3689" s="8">
        <v>19808.93</v>
      </c>
      <c r="E3689" s="9">
        <v>1</v>
      </c>
    </row>
    <row r="3690" spans="1:5" x14ac:dyDescent="0.25">
      <c r="A3690" s="7">
        <v>1</v>
      </c>
      <c r="B3690" s="7">
        <v>5540</v>
      </c>
      <c r="C3690" s="7">
        <v>176</v>
      </c>
      <c r="D3690" s="8">
        <v>21088.7</v>
      </c>
      <c r="E3690" s="9">
        <v>1</v>
      </c>
    </row>
    <row r="3691" spans="1:5" x14ac:dyDescent="0.25">
      <c r="A3691" s="7">
        <v>1</v>
      </c>
      <c r="B3691" s="7">
        <v>5541</v>
      </c>
      <c r="C3691" s="7">
        <v>176</v>
      </c>
      <c r="D3691" s="8">
        <v>23825.28</v>
      </c>
      <c r="E3691" s="9">
        <v>1</v>
      </c>
    </row>
    <row r="3692" spans="1:5" x14ac:dyDescent="0.25">
      <c r="A3692" s="7">
        <v>1</v>
      </c>
      <c r="B3692" s="7">
        <v>5542</v>
      </c>
      <c r="C3692" s="7">
        <v>176</v>
      </c>
      <c r="D3692" s="8">
        <v>3134.73</v>
      </c>
      <c r="E3692" s="9">
        <v>1</v>
      </c>
    </row>
    <row r="3693" spans="1:5" x14ac:dyDescent="0.25">
      <c r="A3693" s="7">
        <v>1</v>
      </c>
      <c r="B3693" s="7">
        <v>5543</v>
      </c>
      <c r="C3693" s="7">
        <v>176</v>
      </c>
      <c r="D3693" s="8">
        <v>3734.55</v>
      </c>
      <c r="E3693" s="9">
        <v>1</v>
      </c>
    </row>
    <row r="3694" spans="1:5" x14ac:dyDescent="0.25">
      <c r="A3694" s="7">
        <v>1</v>
      </c>
      <c r="B3694" s="7">
        <v>5544</v>
      </c>
      <c r="C3694" s="7">
        <v>176</v>
      </c>
      <c r="D3694" s="8">
        <v>4518.27</v>
      </c>
      <c r="E3694" s="9">
        <v>1</v>
      </c>
    </row>
    <row r="3695" spans="1:5" x14ac:dyDescent="0.25">
      <c r="A3695" s="7">
        <v>1</v>
      </c>
      <c r="B3695" s="7">
        <v>5545</v>
      </c>
      <c r="C3695" s="7">
        <v>176</v>
      </c>
      <c r="D3695" s="8">
        <v>6171.54</v>
      </c>
      <c r="E3695" s="9">
        <v>1</v>
      </c>
    </row>
    <row r="3696" spans="1:5" x14ac:dyDescent="0.25">
      <c r="A3696" s="7">
        <v>1</v>
      </c>
      <c r="B3696" s="7">
        <v>5546</v>
      </c>
      <c r="C3696" s="7">
        <v>176</v>
      </c>
      <c r="D3696" s="8">
        <v>7194.45</v>
      </c>
      <c r="E3696" s="9">
        <v>1</v>
      </c>
    </row>
    <row r="3697" spans="1:5" x14ac:dyDescent="0.25">
      <c r="A3697" s="7">
        <v>1</v>
      </c>
      <c r="B3697" s="7">
        <v>5547</v>
      </c>
      <c r="C3697" s="7">
        <v>176</v>
      </c>
      <c r="D3697" s="8">
        <v>7569.09</v>
      </c>
      <c r="E3697" s="9">
        <v>1</v>
      </c>
    </row>
    <row r="3698" spans="1:5" x14ac:dyDescent="0.25">
      <c r="A3698" s="7">
        <v>1</v>
      </c>
      <c r="B3698" s="7">
        <v>5548</v>
      </c>
      <c r="C3698" s="7">
        <v>176</v>
      </c>
      <c r="D3698" s="8">
        <v>13097.15</v>
      </c>
      <c r="E3698" s="9">
        <v>1</v>
      </c>
    </row>
    <row r="3699" spans="1:5" x14ac:dyDescent="0.25">
      <c r="A3699" s="7">
        <v>1</v>
      </c>
      <c r="B3699" s="7">
        <v>5549</v>
      </c>
      <c r="C3699" s="7">
        <v>176</v>
      </c>
      <c r="D3699" s="8">
        <v>14559.15</v>
      </c>
      <c r="E3699" s="9">
        <v>1</v>
      </c>
    </row>
    <row r="3700" spans="1:5" x14ac:dyDescent="0.25">
      <c r="A3700" s="7">
        <v>1</v>
      </c>
      <c r="B3700" s="7">
        <v>5550</v>
      </c>
      <c r="C3700" s="7">
        <v>176</v>
      </c>
      <c r="D3700" s="8">
        <v>18722.1</v>
      </c>
      <c r="E3700" s="9">
        <v>1</v>
      </c>
    </row>
    <row r="3701" spans="1:5" x14ac:dyDescent="0.25">
      <c r="A3701" s="7">
        <v>1</v>
      </c>
      <c r="B3701" s="7">
        <v>5551</v>
      </c>
      <c r="C3701" s="7">
        <v>176</v>
      </c>
      <c r="D3701" s="8">
        <v>26130</v>
      </c>
      <c r="E3701" s="9">
        <v>1</v>
      </c>
    </row>
    <row r="3702" spans="1:5" x14ac:dyDescent="0.25">
      <c r="A3702" s="7">
        <v>1</v>
      </c>
      <c r="B3702" s="7">
        <v>5552</v>
      </c>
      <c r="C3702" s="7">
        <v>176</v>
      </c>
      <c r="D3702" s="8">
        <v>26130</v>
      </c>
      <c r="E3702" s="9">
        <v>1</v>
      </c>
    </row>
    <row r="3703" spans="1:5" x14ac:dyDescent="0.25">
      <c r="A3703" s="7">
        <v>1</v>
      </c>
      <c r="B3703" s="7">
        <v>5553</v>
      </c>
      <c r="C3703" s="7">
        <v>176</v>
      </c>
      <c r="D3703" s="8">
        <v>26130</v>
      </c>
      <c r="E3703" s="9">
        <v>1</v>
      </c>
    </row>
    <row r="3704" spans="1:5" x14ac:dyDescent="0.25">
      <c r="A3704" s="7">
        <v>1</v>
      </c>
      <c r="B3704" s="7">
        <v>5554</v>
      </c>
      <c r="C3704" s="7">
        <v>176</v>
      </c>
      <c r="D3704" s="8">
        <v>26130</v>
      </c>
      <c r="E3704" s="9">
        <v>1</v>
      </c>
    </row>
    <row r="3705" spans="1:5" x14ac:dyDescent="0.25">
      <c r="A3705" s="7">
        <v>1</v>
      </c>
      <c r="B3705" s="7">
        <v>5555</v>
      </c>
      <c r="C3705" s="7">
        <v>176</v>
      </c>
      <c r="D3705" s="8">
        <v>23407.78</v>
      </c>
      <c r="E3705" s="9">
        <v>1</v>
      </c>
    </row>
    <row r="3706" spans="1:5" x14ac:dyDescent="0.25">
      <c r="A3706" s="7">
        <v>1</v>
      </c>
      <c r="B3706" s="7">
        <v>5556</v>
      </c>
      <c r="C3706" s="7">
        <v>176</v>
      </c>
      <c r="D3706" s="8">
        <v>16853.74</v>
      </c>
      <c r="E3706" s="9">
        <v>1</v>
      </c>
    </row>
    <row r="3707" spans="1:5" x14ac:dyDescent="0.25">
      <c r="A3707" s="7">
        <v>1</v>
      </c>
      <c r="B3707" s="7">
        <v>5557</v>
      </c>
      <c r="C3707" s="7">
        <v>195</v>
      </c>
      <c r="D3707" s="8">
        <v>93936.34</v>
      </c>
      <c r="E3707" s="9">
        <v>1</v>
      </c>
    </row>
    <row r="3708" spans="1:5" x14ac:dyDescent="0.25">
      <c r="A3708" s="7">
        <v>1</v>
      </c>
      <c r="B3708" s="7">
        <v>5558</v>
      </c>
      <c r="C3708" s="7">
        <v>195</v>
      </c>
      <c r="D3708" s="8">
        <v>411200.51</v>
      </c>
      <c r="E3708" s="9">
        <v>1</v>
      </c>
    </row>
    <row r="3709" spans="1:5" x14ac:dyDescent="0.25">
      <c r="A3709" s="7">
        <v>1</v>
      </c>
      <c r="B3709" s="7">
        <v>5559</v>
      </c>
      <c r="C3709" s="7">
        <v>195</v>
      </c>
      <c r="D3709" s="8">
        <v>105987.26</v>
      </c>
      <c r="E3709" s="9">
        <v>1</v>
      </c>
    </row>
    <row r="3710" spans="1:5" x14ac:dyDescent="0.25">
      <c r="A3710" s="7">
        <v>1</v>
      </c>
      <c r="B3710" s="7">
        <v>5560</v>
      </c>
      <c r="C3710" s="7">
        <v>195</v>
      </c>
      <c r="D3710" s="8">
        <v>463952.77</v>
      </c>
      <c r="E3710" s="9">
        <v>1</v>
      </c>
    </row>
    <row r="3711" spans="1:5" x14ac:dyDescent="0.25">
      <c r="A3711" s="7">
        <v>1</v>
      </c>
      <c r="B3711" s="7">
        <v>5561</v>
      </c>
      <c r="C3711" s="7">
        <v>163</v>
      </c>
      <c r="D3711" s="8">
        <v>19188.9</v>
      </c>
      <c r="E3711" s="9">
        <v>1</v>
      </c>
    </row>
    <row r="3712" spans="1:5" x14ac:dyDescent="0.25">
      <c r="A3712" s="7">
        <v>1</v>
      </c>
      <c r="B3712" s="7">
        <v>5562</v>
      </c>
      <c r="C3712" s="7">
        <v>163</v>
      </c>
      <c r="D3712" s="8">
        <v>15474.92</v>
      </c>
      <c r="E3712" s="9">
        <v>1</v>
      </c>
    </row>
    <row r="3713" spans="1:5" x14ac:dyDescent="0.25">
      <c r="A3713" s="7">
        <v>1</v>
      </c>
      <c r="B3713" s="7">
        <v>5572</v>
      </c>
      <c r="C3713" s="7">
        <v>107</v>
      </c>
      <c r="D3713" s="8">
        <v>60968.29</v>
      </c>
      <c r="E3713" s="9">
        <v>1</v>
      </c>
    </row>
    <row r="3714" spans="1:5" x14ac:dyDescent="0.25">
      <c r="A3714" s="7">
        <v>1</v>
      </c>
      <c r="B3714" s="7">
        <v>5573</v>
      </c>
      <c r="C3714" s="7">
        <v>107</v>
      </c>
      <c r="D3714" s="8">
        <v>125727.74</v>
      </c>
      <c r="E3714" s="9">
        <v>1</v>
      </c>
    </row>
    <row r="3715" spans="1:5" x14ac:dyDescent="0.25">
      <c r="A3715" s="7">
        <v>1</v>
      </c>
      <c r="B3715" s="7">
        <v>5574</v>
      </c>
      <c r="C3715" s="7">
        <v>107</v>
      </c>
      <c r="D3715" s="8">
        <v>209546.66</v>
      </c>
      <c r="E3715" s="9">
        <v>1</v>
      </c>
    </row>
    <row r="3716" spans="1:5" x14ac:dyDescent="0.25">
      <c r="A3716" s="7">
        <v>1</v>
      </c>
      <c r="B3716" s="7">
        <v>5575</v>
      </c>
      <c r="C3716" s="7">
        <v>107</v>
      </c>
      <c r="D3716" s="8">
        <v>60968.29</v>
      </c>
      <c r="E3716" s="9">
        <v>1</v>
      </c>
    </row>
    <row r="3717" spans="1:5" x14ac:dyDescent="0.25">
      <c r="A3717" s="7">
        <v>1</v>
      </c>
      <c r="B3717" s="7">
        <v>5576</v>
      </c>
      <c r="C3717" s="7">
        <v>107</v>
      </c>
      <c r="D3717" s="8">
        <v>125727.74</v>
      </c>
      <c r="E3717" s="9">
        <v>1</v>
      </c>
    </row>
    <row r="3718" spans="1:5" x14ac:dyDescent="0.25">
      <c r="A3718" s="7">
        <v>1</v>
      </c>
      <c r="B3718" s="7">
        <v>5577</v>
      </c>
      <c r="C3718" s="7">
        <v>107</v>
      </c>
      <c r="D3718" s="8">
        <v>209546.66</v>
      </c>
      <c r="E3718" s="9">
        <v>1</v>
      </c>
    </row>
    <row r="3719" spans="1:5" x14ac:dyDescent="0.25">
      <c r="A3719" s="7">
        <v>1</v>
      </c>
      <c r="B3719" s="7">
        <v>5578</v>
      </c>
      <c r="C3719" s="7">
        <v>107</v>
      </c>
      <c r="D3719" s="8">
        <v>125727.74</v>
      </c>
      <c r="E3719" s="9">
        <v>1</v>
      </c>
    </row>
    <row r="3720" spans="1:5" x14ac:dyDescent="0.25">
      <c r="A3720" s="7">
        <v>1</v>
      </c>
      <c r="B3720" s="7">
        <v>5579</v>
      </c>
      <c r="C3720" s="7">
        <v>107</v>
      </c>
      <c r="D3720" s="8">
        <v>209546.66</v>
      </c>
      <c r="E3720" s="9">
        <v>1</v>
      </c>
    </row>
    <row r="3721" spans="1:5" x14ac:dyDescent="0.25">
      <c r="A3721" s="7">
        <v>1</v>
      </c>
      <c r="B3721" s="7">
        <v>5580</v>
      </c>
      <c r="C3721" s="7">
        <v>107</v>
      </c>
      <c r="D3721" s="8">
        <v>125727.74</v>
      </c>
      <c r="E3721" s="9">
        <v>1</v>
      </c>
    </row>
    <row r="3722" spans="1:5" x14ac:dyDescent="0.25">
      <c r="A3722" s="7">
        <v>1</v>
      </c>
      <c r="B3722" s="7">
        <v>5581</v>
      </c>
      <c r="C3722" s="7">
        <v>107</v>
      </c>
      <c r="D3722" s="8">
        <v>209546.66</v>
      </c>
      <c r="E3722" s="9">
        <v>1</v>
      </c>
    </row>
    <row r="3723" spans="1:5" x14ac:dyDescent="0.25">
      <c r="A3723" s="7">
        <v>1</v>
      </c>
      <c r="B3723" s="7">
        <v>5582</v>
      </c>
      <c r="C3723" s="7">
        <v>107</v>
      </c>
      <c r="D3723" s="8">
        <v>64625.83</v>
      </c>
      <c r="E3723" s="9">
        <v>1</v>
      </c>
    </row>
    <row r="3724" spans="1:5" x14ac:dyDescent="0.25">
      <c r="A3724" s="7">
        <v>1</v>
      </c>
      <c r="B3724" s="7">
        <v>5583</v>
      </c>
      <c r="C3724" s="7">
        <v>107</v>
      </c>
      <c r="D3724" s="8">
        <v>133270.51</v>
      </c>
      <c r="E3724" s="9">
        <v>1</v>
      </c>
    </row>
    <row r="3725" spans="1:5" x14ac:dyDescent="0.25">
      <c r="A3725" s="7">
        <v>1</v>
      </c>
      <c r="B3725" s="7">
        <v>5584</v>
      </c>
      <c r="C3725" s="7">
        <v>107</v>
      </c>
      <c r="D3725" s="8">
        <v>222118.64</v>
      </c>
      <c r="E3725" s="9">
        <v>1</v>
      </c>
    </row>
    <row r="3726" spans="1:5" x14ac:dyDescent="0.25">
      <c r="A3726" s="7">
        <v>1</v>
      </c>
      <c r="B3726" s="7">
        <v>5585</v>
      </c>
      <c r="C3726" s="7">
        <v>107</v>
      </c>
      <c r="D3726" s="8">
        <v>64625.83</v>
      </c>
      <c r="E3726" s="9">
        <v>1</v>
      </c>
    </row>
    <row r="3727" spans="1:5" x14ac:dyDescent="0.25">
      <c r="A3727" s="7">
        <v>1</v>
      </c>
      <c r="B3727" s="7">
        <v>5586</v>
      </c>
      <c r="C3727" s="7">
        <v>107</v>
      </c>
      <c r="D3727" s="8">
        <v>133270.51</v>
      </c>
      <c r="E3727" s="9">
        <v>1</v>
      </c>
    </row>
    <row r="3728" spans="1:5" x14ac:dyDescent="0.25">
      <c r="A3728" s="7">
        <v>1</v>
      </c>
      <c r="B3728" s="7">
        <v>5587</v>
      </c>
      <c r="C3728" s="7">
        <v>107</v>
      </c>
      <c r="D3728" s="8">
        <v>222118.64</v>
      </c>
      <c r="E3728" s="9">
        <v>1</v>
      </c>
    </row>
    <row r="3729" spans="1:5" x14ac:dyDescent="0.25">
      <c r="A3729" s="7">
        <v>1</v>
      </c>
      <c r="B3729" s="7">
        <v>5588</v>
      </c>
      <c r="C3729" s="7">
        <v>107</v>
      </c>
      <c r="D3729" s="8">
        <v>133270.51</v>
      </c>
      <c r="E3729" s="9">
        <v>1</v>
      </c>
    </row>
    <row r="3730" spans="1:5" x14ac:dyDescent="0.25">
      <c r="A3730" s="7">
        <v>1</v>
      </c>
      <c r="B3730" s="7">
        <v>5589</v>
      </c>
      <c r="C3730" s="7">
        <v>107</v>
      </c>
      <c r="D3730" s="8">
        <v>222118.64</v>
      </c>
      <c r="E3730" s="9">
        <v>1</v>
      </c>
    </row>
    <row r="3731" spans="1:5" x14ac:dyDescent="0.25">
      <c r="A3731" s="7">
        <v>1</v>
      </c>
      <c r="B3731" s="7">
        <v>5590</v>
      </c>
      <c r="C3731" s="7">
        <v>107</v>
      </c>
      <c r="D3731" s="8">
        <v>13346.43</v>
      </c>
      <c r="E3731" s="9">
        <v>1</v>
      </c>
    </row>
    <row r="3732" spans="1:5" x14ac:dyDescent="0.25">
      <c r="A3732" s="7">
        <v>1</v>
      </c>
      <c r="B3732" s="7">
        <v>5591</v>
      </c>
      <c r="C3732" s="7">
        <v>107</v>
      </c>
      <c r="D3732" s="8">
        <v>42470.84</v>
      </c>
      <c r="E3732" s="9">
        <v>1</v>
      </c>
    </row>
    <row r="3733" spans="1:5" x14ac:dyDescent="0.25">
      <c r="A3733" s="7">
        <v>1</v>
      </c>
      <c r="B3733" s="7">
        <v>5592</v>
      </c>
      <c r="C3733" s="7">
        <v>107</v>
      </c>
      <c r="D3733" s="8">
        <v>13346.43</v>
      </c>
      <c r="E3733" s="9">
        <v>1</v>
      </c>
    </row>
    <row r="3734" spans="1:5" x14ac:dyDescent="0.25">
      <c r="A3734" s="7">
        <v>1</v>
      </c>
      <c r="B3734" s="7">
        <v>5593</v>
      </c>
      <c r="C3734" s="7">
        <v>107</v>
      </c>
      <c r="D3734" s="8">
        <v>42470.84</v>
      </c>
      <c r="E3734" s="9">
        <v>1</v>
      </c>
    </row>
    <row r="3735" spans="1:5" x14ac:dyDescent="0.25">
      <c r="A3735" s="7">
        <v>1</v>
      </c>
      <c r="B3735" s="7">
        <v>5594</v>
      </c>
      <c r="C3735" s="7">
        <v>107</v>
      </c>
      <c r="D3735" s="8">
        <v>13346.43</v>
      </c>
      <c r="E3735" s="9">
        <v>1</v>
      </c>
    </row>
    <row r="3736" spans="1:5" x14ac:dyDescent="0.25">
      <c r="A3736" s="7">
        <v>1</v>
      </c>
      <c r="B3736" s="7">
        <v>5595</v>
      </c>
      <c r="C3736" s="7">
        <v>107</v>
      </c>
      <c r="D3736" s="8">
        <v>42470.84</v>
      </c>
      <c r="E3736" s="9">
        <v>1</v>
      </c>
    </row>
    <row r="3737" spans="1:5" x14ac:dyDescent="0.25">
      <c r="A3737" s="7">
        <v>1</v>
      </c>
      <c r="B3737" s="7">
        <v>5596</v>
      </c>
      <c r="C3737" s="7">
        <v>107</v>
      </c>
      <c r="D3737" s="8">
        <v>13346.43</v>
      </c>
      <c r="E3737" s="9">
        <v>1</v>
      </c>
    </row>
    <row r="3738" spans="1:5" x14ac:dyDescent="0.25">
      <c r="A3738" s="7">
        <v>1</v>
      </c>
      <c r="B3738" s="7">
        <v>5597</v>
      </c>
      <c r="C3738" s="7">
        <v>107</v>
      </c>
      <c r="D3738" s="8">
        <v>42470.84</v>
      </c>
      <c r="E3738" s="9">
        <v>1</v>
      </c>
    </row>
    <row r="3739" spans="1:5" x14ac:dyDescent="0.25">
      <c r="A3739" s="7">
        <v>1</v>
      </c>
      <c r="B3739" s="7">
        <v>5598</v>
      </c>
      <c r="C3739" s="7">
        <v>107</v>
      </c>
      <c r="D3739" s="8">
        <v>13346.43</v>
      </c>
      <c r="E3739" s="9">
        <v>1</v>
      </c>
    </row>
    <row r="3740" spans="1:5" x14ac:dyDescent="0.25">
      <c r="A3740" s="7">
        <v>1</v>
      </c>
      <c r="B3740" s="7">
        <v>5599</v>
      </c>
      <c r="C3740" s="7">
        <v>107</v>
      </c>
      <c r="D3740" s="8">
        <v>42470.84</v>
      </c>
      <c r="E3740" s="9">
        <v>1</v>
      </c>
    </row>
    <row r="3741" spans="1:5" x14ac:dyDescent="0.25">
      <c r="A3741" s="7">
        <v>1</v>
      </c>
      <c r="B3741" s="7">
        <v>5600</v>
      </c>
      <c r="C3741" s="7">
        <v>107</v>
      </c>
      <c r="D3741" s="8">
        <v>13346.43</v>
      </c>
      <c r="E3741" s="9">
        <v>1</v>
      </c>
    </row>
    <row r="3742" spans="1:5" x14ac:dyDescent="0.25">
      <c r="A3742" s="7">
        <v>1</v>
      </c>
      <c r="B3742" s="7">
        <v>5601</v>
      </c>
      <c r="C3742" s="7">
        <v>107</v>
      </c>
      <c r="D3742" s="8">
        <v>42470.84</v>
      </c>
      <c r="E3742" s="9">
        <v>1</v>
      </c>
    </row>
    <row r="3743" spans="1:5" x14ac:dyDescent="0.25">
      <c r="A3743" s="7">
        <v>1</v>
      </c>
      <c r="B3743" s="7">
        <v>5602</v>
      </c>
      <c r="C3743" s="7">
        <v>107</v>
      </c>
      <c r="D3743" s="8">
        <v>13346.43</v>
      </c>
      <c r="E3743" s="9">
        <v>1</v>
      </c>
    </row>
    <row r="3744" spans="1:5" x14ac:dyDescent="0.25">
      <c r="A3744" s="7">
        <v>1</v>
      </c>
      <c r="B3744" s="7">
        <v>5603</v>
      </c>
      <c r="C3744" s="7">
        <v>107</v>
      </c>
      <c r="D3744" s="8">
        <v>42470.84</v>
      </c>
      <c r="E3744" s="9">
        <v>1</v>
      </c>
    </row>
    <row r="3745" spans="1:5" x14ac:dyDescent="0.25">
      <c r="A3745" s="7">
        <v>1</v>
      </c>
      <c r="B3745" s="7">
        <v>5604</v>
      </c>
      <c r="C3745" s="7">
        <v>107</v>
      </c>
      <c r="D3745" s="8">
        <v>13346.43</v>
      </c>
      <c r="E3745" s="9">
        <v>1</v>
      </c>
    </row>
    <row r="3746" spans="1:5" x14ac:dyDescent="0.25">
      <c r="A3746" s="7">
        <v>1</v>
      </c>
      <c r="B3746" s="7">
        <v>5605</v>
      </c>
      <c r="C3746" s="7">
        <v>107</v>
      </c>
      <c r="D3746" s="8">
        <v>42470.84</v>
      </c>
      <c r="E3746" s="9">
        <v>1</v>
      </c>
    </row>
    <row r="3747" spans="1:5" x14ac:dyDescent="0.25">
      <c r="A3747" s="7">
        <v>1</v>
      </c>
      <c r="B3747" s="7">
        <v>5606</v>
      </c>
      <c r="C3747" s="7">
        <v>107</v>
      </c>
      <c r="D3747" s="8">
        <v>13346.43</v>
      </c>
      <c r="E3747" s="9">
        <v>1</v>
      </c>
    </row>
    <row r="3748" spans="1:5" x14ac:dyDescent="0.25">
      <c r="A3748" s="7">
        <v>1</v>
      </c>
      <c r="B3748" s="7">
        <v>5607</v>
      </c>
      <c r="C3748" s="7">
        <v>107</v>
      </c>
      <c r="D3748" s="8">
        <v>42470.84</v>
      </c>
      <c r="E3748" s="9">
        <v>1</v>
      </c>
    </row>
    <row r="3749" spans="1:5" x14ac:dyDescent="0.25">
      <c r="A3749" s="7">
        <v>1</v>
      </c>
      <c r="B3749" s="7">
        <v>5608</v>
      </c>
      <c r="C3749" s="7">
        <v>152</v>
      </c>
      <c r="D3749" s="8">
        <v>24781.67</v>
      </c>
      <c r="E3749" s="9">
        <v>1</v>
      </c>
    </row>
    <row r="3750" spans="1:5" x14ac:dyDescent="0.25">
      <c r="A3750" s="7">
        <v>1</v>
      </c>
      <c r="B3750" s="7">
        <v>5609</v>
      </c>
      <c r="C3750" s="7">
        <v>152</v>
      </c>
      <c r="D3750" s="8">
        <v>92966.06</v>
      </c>
      <c r="E3750" s="9">
        <v>1</v>
      </c>
    </row>
    <row r="3751" spans="1:5" x14ac:dyDescent="0.25">
      <c r="A3751" s="7">
        <v>1</v>
      </c>
      <c r="B3751" s="7">
        <v>5610</v>
      </c>
      <c r="C3751" s="7">
        <v>152</v>
      </c>
      <c r="D3751" s="8">
        <v>92966.06</v>
      </c>
      <c r="E3751" s="9">
        <v>1</v>
      </c>
    </row>
    <row r="3752" spans="1:5" x14ac:dyDescent="0.25">
      <c r="A3752" s="7">
        <v>1</v>
      </c>
      <c r="B3752" s="7">
        <v>5611</v>
      </c>
      <c r="C3752" s="7">
        <v>152</v>
      </c>
      <c r="D3752" s="8">
        <v>53217.09</v>
      </c>
      <c r="E3752" s="9">
        <v>1</v>
      </c>
    </row>
    <row r="3753" spans="1:5" x14ac:dyDescent="0.25">
      <c r="A3753" s="7">
        <v>1</v>
      </c>
      <c r="B3753" s="7">
        <v>5612</v>
      </c>
      <c r="C3753" s="7">
        <v>152</v>
      </c>
      <c r="D3753" s="8">
        <v>50994.65</v>
      </c>
      <c r="E3753" s="9">
        <v>1</v>
      </c>
    </row>
    <row r="3754" spans="1:5" x14ac:dyDescent="0.25">
      <c r="A3754" s="7">
        <v>1</v>
      </c>
      <c r="B3754" s="7">
        <v>5614</v>
      </c>
      <c r="C3754" s="7">
        <v>163</v>
      </c>
      <c r="D3754" s="8">
        <v>14741</v>
      </c>
      <c r="E3754" s="9">
        <v>1</v>
      </c>
    </row>
    <row r="3755" spans="1:5" x14ac:dyDescent="0.25">
      <c r="A3755" s="7">
        <v>1</v>
      </c>
      <c r="B3755" s="7">
        <v>5615</v>
      </c>
      <c r="C3755" s="7">
        <v>152</v>
      </c>
      <c r="D3755" s="8">
        <v>53217.09</v>
      </c>
      <c r="E3755" s="9">
        <v>1</v>
      </c>
    </row>
    <row r="3756" spans="1:5" x14ac:dyDescent="0.25">
      <c r="A3756" s="7">
        <v>1</v>
      </c>
      <c r="B3756" s="7">
        <v>5616</v>
      </c>
      <c r="C3756" s="7">
        <v>163</v>
      </c>
      <c r="D3756" s="8">
        <v>71639.06</v>
      </c>
      <c r="E3756" s="9">
        <v>1</v>
      </c>
    </row>
    <row r="3757" spans="1:5" x14ac:dyDescent="0.25">
      <c r="A3757" s="7">
        <v>1</v>
      </c>
      <c r="B3757" s="7">
        <v>5617</v>
      </c>
      <c r="C3757" s="7">
        <v>152</v>
      </c>
      <c r="D3757" s="8">
        <v>13656.98</v>
      </c>
      <c r="E3757" s="9">
        <v>1</v>
      </c>
    </row>
    <row r="3758" spans="1:5" x14ac:dyDescent="0.25">
      <c r="A3758" s="7">
        <v>1</v>
      </c>
      <c r="B3758" s="7">
        <v>5618</v>
      </c>
      <c r="C3758" s="7">
        <v>152</v>
      </c>
      <c r="D3758" s="8">
        <v>45570.05</v>
      </c>
      <c r="E3758" s="9">
        <v>1</v>
      </c>
    </row>
    <row r="3759" spans="1:5" x14ac:dyDescent="0.25">
      <c r="A3759" s="7">
        <v>1</v>
      </c>
      <c r="B3759" s="7">
        <v>5619</v>
      </c>
      <c r="C3759" s="7">
        <v>152</v>
      </c>
      <c r="D3759" s="8">
        <v>13656.98</v>
      </c>
      <c r="E3759" s="9">
        <v>1</v>
      </c>
    </row>
    <row r="3760" spans="1:5" x14ac:dyDescent="0.25">
      <c r="A3760" s="7">
        <v>1</v>
      </c>
      <c r="B3760" s="7">
        <v>5620</v>
      </c>
      <c r="C3760" s="7">
        <v>152</v>
      </c>
      <c r="D3760" s="8">
        <v>45570.05</v>
      </c>
      <c r="E3760" s="9">
        <v>1</v>
      </c>
    </row>
    <row r="3761" spans="1:5" x14ac:dyDescent="0.25">
      <c r="A3761" s="7">
        <v>1</v>
      </c>
      <c r="B3761" s="7">
        <v>5621</v>
      </c>
      <c r="C3761" s="7">
        <v>152</v>
      </c>
      <c r="D3761" s="8">
        <v>13656.98</v>
      </c>
      <c r="E3761" s="9">
        <v>1</v>
      </c>
    </row>
    <row r="3762" spans="1:5" x14ac:dyDescent="0.25">
      <c r="A3762" s="7">
        <v>1</v>
      </c>
      <c r="B3762" s="7">
        <v>5622</v>
      </c>
      <c r="C3762" s="7">
        <v>152</v>
      </c>
      <c r="D3762" s="8">
        <v>45570.05</v>
      </c>
      <c r="E3762" s="9">
        <v>1</v>
      </c>
    </row>
    <row r="3763" spans="1:5" x14ac:dyDescent="0.25">
      <c r="A3763" s="7">
        <v>1</v>
      </c>
      <c r="B3763" s="7">
        <v>5627</v>
      </c>
      <c r="C3763" s="7">
        <v>152</v>
      </c>
      <c r="D3763" s="8">
        <v>53217.09</v>
      </c>
      <c r="E3763" s="9">
        <v>1</v>
      </c>
    </row>
    <row r="3764" spans="1:5" x14ac:dyDescent="0.25">
      <c r="A3764" s="7">
        <v>1</v>
      </c>
      <c r="B3764" s="7">
        <v>5628</v>
      </c>
      <c r="C3764" s="7">
        <v>102</v>
      </c>
      <c r="D3764" s="8">
        <v>1461.43</v>
      </c>
      <c r="E3764" s="9">
        <v>1</v>
      </c>
    </row>
    <row r="3765" spans="1:5" x14ac:dyDescent="0.25">
      <c r="A3765" s="7">
        <v>1</v>
      </c>
      <c r="B3765" s="7">
        <v>5629</v>
      </c>
      <c r="C3765" s="7">
        <v>102</v>
      </c>
      <c r="D3765" s="8">
        <v>1461.43</v>
      </c>
      <c r="E3765" s="9">
        <v>1</v>
      </c>
    </row>
    <row r="3766" spans="1:5" x14ac:dyDescent="0.25">
      <c r="A3766" s="7">
        <v>1</v>
      </c>
      <c r="B3766" s="7">
        <v>5630</v>
      </c>
      <c r="C3766" s="7">
        <v>102</v>
      </c>
      <c r="D3766" s="8">
        <v>1461.43</v>
      </c>
      <c r="E3766" s="9">
        <v>1</v>
      </c>
    </row>
    <row r="3767" spans="1:5" x14ac:dyDescent="0.25">
      <c r="A3767" s="7">
        <v>1</v>
      </c>
      <c r="B3767" s="7">
        <v>5631</v>
      </c>
      <c r="C3767" s="7">
        <v>102</v>
      </c>
      <c r="D3767" s="8">
        <v>1461.43</v>
      </c>
      <c r="E3767" s="9">
        <v>1</v>
      </c>
    </row>
    <row r="3768" spans="1:5" x14ac:dyDescent="0.25">
      <c r="A3768" s="7">
        <v>1</v>
      </c>
      <c r="B3768" s="7">
        <v>5632</v>
      </c>
      <c r="C3768" s="7">
        <v>102</v>
      </c>
      <c r="D3768" s="8">
        <v>1461.43</v>
      </c>
      <c r="E3768" s="9">
        <v>1</v>
      </c>
    </row>
    <row r="3769" spans="1:5" x14ac:dyDescent="0.25">
      <c r="A3769" s="7">
        <v>1</v>
      </c>
      <c r="B3769" s="7">
        <v>5633</v>
      </c>
      <c r="C3769" s="7">
        <v>102</v>
      </c>
      <c r="D3769" s="8">
        <v>1461.43</v>
      </c>
      <c r="E3769" s="9">
        <v>1</v>
      </c>
    </row>
    <row r="3770" spans="1:5" x14ac:dyDescent="0.25">
      <c r="A3770" s="7">
        <v>1</v>
      </c>
      <c r="B3770" s="7">
        <v>5634</v>
      </c>
      <c r="C3770" s="7">
        <v>102</v>
      </c>
      <c r="D3770" s="8">
        <v>1461.43</v>
      </c>
      <c r="E3770" s="9">
        <v>1</v>
      </c>
    </row>
    <row r="3771" spans="1:5" x14ac:dyDescent="0.25">
      <c r="A3771" s="7">
        <v>1</v>
      </c>
      <c r="B3771" s="7">
        <v>5635</v>
      </c>
      <c r="C3771" s="7">
        <v>102</v>
      </c>
      <c r="D3771" s="8">
        <v>1461.43</v>
      </c>
      <c r="E3771" s="9">
        <v>1</v>
      </c>
    </row>
    <row r="3772" spans="1:5" x14ac:dyDescent="0.25">
      <c r="A3772" s="7">
        <v>1</v>
      </c>
      <c r="B3772" s="7">
        <v>5636</v>
      </c>
      <c r="C3772" s="7">
        <v>102</v>
      </c>
      <c r="D3772" s="8">
        <v>1461.43</v>
      </c>
      <c r="E3772" s="9">
        <v>1</v>
      </c>
    </row>
    <row r="3773" spans="1:5" x14ac:dyDescent="0.25">
      <c r="A3773" s="7">
        <v>1</v>
      </c>
      <c r="B3773" s="7">
        <v>5637</v>
      </c>
      <c r="C3773" s="7">
        <v>102</v>
      </c>
      <c r="D3773" s="8">
        <v>1461.43</v>
      </c>
      <c r="E3773" s="9">
        <v>1</v>
      </c>
    </row>
    <row r="3774" spans="1:5" x14ac:dyDescent="0.25">
      <c r="A3774" s="7">
        <v>1</v>
      </c>
      <c r="B3774" s="7">
        <v>5638</v>
      </c>
      <c r="C3774" s="7">
        <v>102</v>
      </c>
      <c r="D3774" s="8">
        <v>1461.43</v>
      </c>
      <c r="E3774" s="9">
        <v>1</v>
      </c>
    </row>
    <row r="3775" spans="1:5" x14ac:dyDescent="0.25">
      <c r="A3775" s="7">
        <v>1</v>
      </c>
      <c r="B3775" s="7">
        <v>5639</v>
      </c>
      <c r="C3775" s="7">
        <v>102</v>
      </c>
      <c r="D3775" s="8">
        <v>1461.43</v>
      </c>
      <c r="E3775" s="9">
        <v>1</v>
      </c>
    </row>
    <row r="3776" spans="1:5" x14ac:dyDescent="0.25">
      <c r="A3776" s="7">
        <v>1</v>
      </c>
      <c r="B3776" s="7">
        <v>5640</v>
      </c>
      <c r="C3776" s="7">
        <v>102</v>
      </c>
      <c r="D3776" s="8">
        <v>1461.43</v>
      </c>
      <c r="E3776" s="9">
        <v>1</v>
      </c>
    </row>
    <row r="3777" spans="1:5" x14ac:dyDescent="0.25">
      <c r="A3777" s="7">
        <v>1</v>
      </c>
      <c r="B3777" s="7">
        <v>5641</v>
      </c>
      <c r="C3777" s="7">
        <v>102</v>
      </c>
      <c r="D3777" s="8">
        <v>1461.43</v>
      </c>
      <c r="E3777" s="9">
        <v>1</v>
      </c>
    </row>
    <row r="3778" spans="1:5" x14ac:dyDescent="0.25">
      <c r="A3778" s="7">
        <v>1</v>
      </c>
      <c r="B3778" s="7">
        <v>5642</v>
      </c>
      <c r="C3778" s="7">
        <v>102</v>
      </c>
      <c r="D3778" s="8">
        <v>1461.43</v>
      </c>
      <c r="E3778" s="9">
        <v>1</v>
      </c>
    </row>
    <row r="3779" spans="1:5" x14ac:dyDescent="0.25">
      <c r="A3779" s="7">
        <v>1</v>
      </c>
      <c r="B3779" s="7">
        <v>5643</v>
      </c>
      <c r="C3779" s="7">
        <v>165</v>
      </c>
      <c r="D3779" s="8">
        <v>5229.37</v>
      </c>
      <c r="E3779" s="9">
        <v>1</v>
      </c>
    </row>
    <row r="3780" spans="1:5" x14ac:dyDescent="0.25">
      <c r="A3780" s="7">
        <v>1</v>
      </c>
      <c r="B3780" s="7">
        <v>5644</v>
      </c>
      <c r="C3780" s="7">
        <v>152</v>
      </c>
      <c r="D3780" s="8">
        <v>53217.09</v>
      </c>
      <c r="E3780" s="9">
        <v>1</v>
      </c>
    </row>
    <row r="3781" spans="1:5" x14ac:dyDescent="0.25">
      <c r="A3781" s="7">
        <v>1</v>
      </c>
      <c r="B3781" s="7">
        <v>5645</v>
      </c>
      <c r="C3781" s="7">
        <v>182</v>
      </c>
      <c r="D3781" s="8">
        <v>8812.04</v>
      </c>
      <c r="E3781" s="9">
        <v>1</v>
      </c>
    </row>
    <row r="3782" spans="1:5" x14ac:dyDescent="0.25">
      <c r="A3782" s="7">
        <v>1</v>
      </c>
      <c r="B3782" s="7">
        <v>5646</v>
      </c>
      <c r="C3782" s="7">
        <v>182</v>
      </c>
      <c r="D3782" s="8">
        <v>26341.4</v>
      </c>
      <c r="E3782" s="9">
        <v>1</v>
      </c>
    </row>
    <row r="3783" spans="1:5" x14ac:dyDescent="0.25">
      <c r="A3783" s="7">
        <v>1</v>
      </c>
      <c r="B3783" s="7">
        <v>5647</v>
      </c>
      <c r="C3783" s="7">
        <v>182</v>
      </c>
      <c r="D3783" s="8">
        <v>105442.64</v>
      </c>
      <c r="E3783" s="9">
        <v>1</v>
      </c>
    </row>
    <row r="3784" spans="1:5" x14ac:dyDescent="0.25">
      <c r="A3784" s="7">
        <v>1</v>
      </c>
      <c r="B3784" s="7">
        <v>5648</v>
      </c>
      <c r="C3784" s="7">
        <v>182</v>
      </c>
      <c r="D3784" s="8">
        <v>78507.49</v>
      </c>
      <c r="E3784" s="9">
        <v>1</v>
      </c>
    </row>
    <row r="3785" spans="1:5" x14ac:dyDescent="0.25">
      <c r="A3785" s="7">
        <v>1</v>
      </c>
      <c r="B3785" s="7">
        <v>5650</v>
      </c>
      <c r="C3785" s="7">
        <v>163</v>
      </c>
      <c r="D3785" s="8">
        <v>91970.22</v>
      </c>
      <c r="E3785" s="9">
        <v>1</v>
      </c>
    </row>
    <row r="3786" spans="1:5" x14ac:dyDescent="0.25">
      <c r="A3786" s="7">
        <v>1</v>
      </c>
      <c r="B3786" s="7">
        <v>5651</v>
      </c>
      <c r="C3786" s="7">
        <v>163</v>
      </c>
      <c r="D3786" s="8">
        <v>22265.47</v>
      </c>
      <c r="E3786" s="9">
        <v>1</v>
      </c>
    </row>
    <row r="3787" spans="1:5" x14ac:dyDescent="0.25">
      <c r="A3787" s="7">
        <v>1</v>
      </c>
      <c r="B3787" s="7">
        <v>5652</v>
      </c>
      <c r="C3787" s="7">
        <v>163</v>
      </c>
      <c r="D3787" s="8">
        <v>25145.05</v>
      </c>
      <c r="E3787" s="9">
        <v>1</v>
      </c>
    </row>
    <row r="3788" spans="1:5" x14ac:dyDescent="0.25">
      <c r="A3788" s="7">
        <v>1</v>
      </c>
      <c r="B3788" s="7">
        <v>5653</v>
      </c>
      <c r="C3788" s="7">
        <v>163</v>
      </c>
      <c r="D3788" s="8">
        <v>824027.03</v>
      </c>
      <c r="E3788" s="9">
        <v>1</v>
      </c>
    </row>
    <row r="3789" spans="1:5" x14ac:dyDescent="0.25">
      <c r="A3789" s="7">
        <v>1</v>
      </c>
      <c r="B3789" s="7">
        <v>5654</v>
      </c>
      <c r="C3789" s="7">
        <v>163</v>
      </c>
      <c r="D3789" s="8">
        <v>464491.12</v>
      </c>
      <c r="E3789" s="9">
        <v>1</v>
      </c>
    </row>
    <row r="3790" spans="1:5" x14ac:dyDescent="0.25">
      <c r="A3790" s="7">
        <v>1</v>
      </c>
      <c r="B3790" s="7">
        <v>5655</v>
      </c>
      <c r="C3790" s="7">
        <v>163</v>
      </c>
      <c r="D3790" s="8">
        <v>373011.54</v>
      </c>
      <c r="E3790" s="9">
        <v>1</v>
      </c>
    </row>
    <row r="3791" spans="1:5" x14ac:dyDescent="0.25">
      <c r="A3791" s="7">
        <v>1</v>
      </c>
      <c r="B3791" s="7">
        <v>5656</v>
      </c>
      <c r="C3791" s="7">
        <v>163</v>
      </c>
      <c r="D3791" s="8">
        <v>607002.02</v>
      </c>
      <c r="E3791" s="9">
        <v>1</v>
      </c>
    </row>
    <row r="3792" spans="1:5" x14ac:dyDescent="0.25">
      <c r="A3792" s="7">
        <v>1</v>
      </c>
      <c r="B3792" s="7">
        <v>5657</v>
      </c>
      <c r="C3792" s="7">
        <v>163</v>
      </c>
      <c r="D3792" s="8">
        <v>644071.48</v>
      </c>
      <c r="E3792" s="9">
        <v>1</v>
      </c>
    </row>
    <row r="3793" spans="1:5" x14ac:dyDescent="0.25">
      <c r="A3793" s="7">
        <v>1</v>
      </c>
      <c r="B3793" s="7">
        <v>5658</v>
      </c>
      <c r="C3793" s="7">
        <v>163</v>
      </c>
      <c r="D3793" s="8">
        <v>273818.75</v>
      </c>
      <c r="E3793" s="9">
        <v>1</v>
      </c>
    </row>
    <row r="3794" spans="1:5" x14ac:dyDescent="0.25">
      <c r="A3794" s="7">
        <v>1</v>
      </c>
      <c r="B3794" s="7">
        <v>5659</v>
      </c>
      <c r="C3794" s="7">
        <v>163</v>
      </c>
      <c r="D3794" s="8">
        <v>279583.42</v>
      </c>
      <c r="E3794" s="9">
        <v>1</v>
      </c>
    </row>
    <row r="3795" spans="1:5" x14ac:dyDescent="0.25">
      <c r="A3795" s="7">
        <v>1</v>
      </c>
      <c r="B3795" s="7">
        <v>5660</v>
      </c>
      <c r="C3795" s="7">
        <v>165</v>
      </c>
      <c r="D3795" s="8">
        <v>2128.14</v>
      </c>
      <c r="E3795" s="9">
        <v>1</v>
      </c>
    </row>
    <row r="3796" spans="1:5" x14ac:dyDescent="0.25">
      <c r="A3796" s="7">
        <v>1</v>
      </c>
      <c r="B3796" s="7">
        <v>5661</v>
      </c>
      <c r="C3796" s="7">
        <v>165</v>
      </c>
      <c r="D3796" s="8">
        <v>2407.95</v>
      </c>
      <c r="E3796" s="9">
        <v>1</v>
      </c>
    </row>
    <row r="3797" spans="1:5" x14ac:dyDescent="0.25">
      <c r="A3797" s="7">
        <v>1</v>
      </c>
      <c r="B3797" s="7">
        <v>5662</v>
      </c>
      <c r="C3797" s="7">
        <v>165</v>
      </c>
      <c r="D3797" s="8">
        <v>2992.09</v>
      </c>
      <c r="E3797" s="9">
        <v>1</v>
      </c>
    </row>
    <row r="3798" spans="1:5" x14ac:dyDescent="0.25">
      <c r="A3798" s="7">
        <v>1</v>
      </c>
      <c r="B3798" s="7">
        <v>5663</v>
      </c>
      <c r="C3798" s="7">
        <v>165</v>
      </c>
      <c r="D3798" s="8">
        <v>7205.99</v>
      </c>
      <c r="E3798" s="9">
        <v>1</v>
      </c>
    </row>
    <row r="3799" spans="1:5" x14ac:dyDescent="0.25">
      <c r="A3799" s="7">
        <v>1</v>
      </c>
      <c r="B3799" s="7">
        <v>5664</v>
      </c>
      <c r="C3799" s="7">
        <v>165</v>
      </c>
      <c r="D3799" s="8">
        <v>9040.97</v>
      </c>
      <c r="E3799" s="9">
        <v>1</v>
      </c>
    </row>
    <row r="3800" spans="1:5" x14ac:dyDescent="0.25">
      <c r="A3800" s="7">
        <v>1</v>
      </c>
      <c r="B3800" s="7">
        <v>5665</v>
      </c>
      <c r="C3800" s="7">
        <v>165</v>
      </c>
      <c r="D3800" s="8">
        <v>12316.69</v>
      </c>
      <c r="E3800" s="9">
        <v>1</v>
      </c>
    </row>
    <row r="3801" spans="1:5" x14ac:dyDescent="0.25">
      <c r="A3801" s="7">
        <v>1</v>
      </c>
      <c r="B3801" s="7">
        <v>5666</v>
      </c>
      <c r="C3801" s="7">
        <v>165</v>
      </c>
      <c r="D3801" s="8">
        <v>12054.88</v>
      </c>
      <c r="E3801" s="9">
        <v>1</v>
      </c>
    </row>
    <row r="3802" spans="1:5" x14ac:dyDescent="0.25">
      <c r="A3802" s="7">
        <v>1</v>
      </c>
      <c r="B3802" s="7">
        <v>5667</v>
      </c>
      <c r="C3802" s="7">
        <v>165</v>
      </c>
      <c r="D3802" s="8">
        <v>9382.37</v>
      </c>
      <c r="E3802" s="9">
        <v>1</v>
      </c>
    </row>
    <row r="3803" spans="1:5" x14ac:dyDescent="0.25">
      <c r="A3803" s="7">
        <v>1</v>
      </c>
      <c r="B3803" s="7">
        <v>5668</v>
      </c>
      <c r="C3803" s="7">
        <v>165</v>
      </c>
      <c r="D3803" s="8">
        <v>12249.75</v>
      </c>
      <c r="E3803" s="9">
        <v>1</v>
      </c>
    </row>
    <row r="3804" spans="1:5" x14ac:dyDescent="0.25">
      <c r="A3804" s="7">
        <v>1</v>
      </c>
      <c r="B3804" s="7">
        <v>5670</v>
      </c>
      <c r="C3804" s="7">
        <v>134</v>
      </c>
      <c r="D3804" s="8">
        <v>2275.03</v>
      </c>
      <c r="E3804" s="9">
        <v>3</v>
      </c>
    </row>
    <row r="3805" spans="1:5" x14ac:dyDescent="0.25">
      <c r="A3805" s="7">
        <v>1</v>
      </c>
      <c r="B3805" s="7">
        <v>5671</v>
      </c>
      <c r="C3805" s="7">
        <v>163</v>
      </c>
      <c r="D3805" s="8">
        <v>39398623.66</v>
      </c>
      <c r="E3805" s="9">
        <v>1</v>
      </c>
    </row>
    <row r="3806" spans="1:5" x14ac:dyDescent="0.25">
      <c r="A3806" s="7">
        <v>1</v>
      </c>
      <c r="B3806" s="7">
        <v>5672</v>
      </c>
      <c r="C3806" s="7">
        <v>195</v>
      </c>
      <c r="D3806" s="8">
        <v>397060.73</v>
      </c>
      <c r="E3806" s="9">
        <v>1</v>
      </c>
    </row>
    <row r="3807" spans="1:5" x14ac:dyDescent="0.25">
      <c r="A3807" s="7">
        <v>1</v>
      </c>
      <c r="B3807" s="7">
        <v>5676</v>
      </c>
      <c r="C3807" s="7">
        <v>181</v>
      </c>
      <c r="D3807" s="8">
        <v>0.63</v>
      </c>
      <c r="E3807" s="9">
        <v>2</v>
      </c>
    </row>
    <row r="3808" spans="1:5" x14ac:dyDescent="0.25">
      <c r="A3808" s="7">
        <v>1</v>
      </c>
      <c r="B3808" s="7">
        <v>5677</v>
      </c>
      <c r="C3808" s="7">
        <v>181</v>
      </c>
      <c r="D3808" s="8">
        <v>0.63</v>
      </c>
      <c r="E3808" s="9">
        <v>2</v>
      </c>
    </row>
    <row r="3809" spans="1:5" x14ac:dyDescent="0.25">
      <c r="A3809" s="7">
        <v>1</v>
      </c>
      <c r="B3809" s="7">
        <v>5678</v>
      </c>
      <c r="C3809" s="7">
        <v>181</v>
      </c>
      <c r="D3809" s="8">
        <v>0.63</v>
      </c>
      <c r="E3809" s="9">
        <v>2</v>
      </c>
    </row>
    <row r="3810" spans="1:5" x14ac:dyDescent="0.25">
      <c r="A3810" s="7">
        <v>1</v>
      </c>
      <c r="B3810" s="7">
        <v>5679</v>
      </c>
      <c r="C3810" s="7">
        <v>181</v>
      </c>
      <c r="D3810" s="8">
        <v>0.63</v>
      </c>
      <c r="E3810" s="9">
        <v>2</v>
      </c>
    </row>
    <row r="3811" spans="1:5" x14ac:dyDescent="0.25">
      <c r="A3811" s="7">
        <v>1</v>
      </c>
      <c r="B3811" s="7">
        <v>5680</v>
      </c>
      <c r="C3811" s="7">
        <v>181</v>
      </c>
      <c r="D3811" s="8">
        <v>0.63</v>
      </c>
      <c r="E3811" s="9">
        <v>2</v>
      </c>
    </row>
    <row r="3812" spans="1:5" x14ac:dyDescent="0.25">
      <c r="A3812" s="7">
        <v>1</v>
      </c>
      <c r="B3812" s="7">
        <v>5681</v>
      </c>
      <c r="C3812" s="7">
        <v>181</v>
      </c>
      <c r="D3812" s="8">
        <v>0.63</v>
      </c>
      <c r="E3812" s="9">
        <v>2</v>
      </c>
    </row>
    <row r="3813" spans="1:5" x14ac:dyDescent="0.25">
      <c r="A3813" s="7">
        <v>1</v>
      </c>
      <c r="B3813" s="7">
        <v>5682</v>
      </c>
      <c r="C3813" s="7">
        <v>181</v>
      </c>
      <c r="D3813" s="8">
        <v>0.63</v>
      </c>
      <c r="E3813" s="9">
        <v>2</v>
      </c>
    </row>
    <row r="3814" spans="1:5" x14ac:dyDescent="0.25">
      <c r="A3814" s="7">
        <v>1</v>
      </c>
      <c r="B3814" s="7">
        <v>5699</v>
      </c>
      <c r="C3814" s="7">
        <v>152</v>
      </c>
      <c r="D3814" s="8">
        <v>53217.09</v>
      </c>
      <c r="E3814" s="9">
        <v>1</v>
      </c>
    </row>
    <row r="3815" spans="1:5" x14ac:dyDescent="0.25">
      <c r="A3815" s="7">
        <v>1</v>
      </c>
      <c r="B3815" s="7">
        <v>5700</v>
      </c>
      <c r="C3815" s="7">
        <v>165</v>
      </c>
      <c r="D3815" s="8">
        <v>3441.38</v>
      </c>
      <c r="E3815" s="9">
        <v>1</v>
      </c>
    </row>
    <row r="3816" spans="1:5" x14ac:dyDescent="0.25">
      <c r="A3816" s="7">
        <v>1</v>
      </c>
      <c r="B3816" s="7">
        <v>5702</v>
      </c>
      <c r="C3816" s="7">
        <v>134</v>
      </c>
      <c r="D3816" s="8">
        <v>355.32</v>
      </c>
      <c r="E3816" s="9">
        <v>3</v>
      </c>
    </row>
    <row r="3817" spans="1:5" x14ac:dyDescent="0.25">
      <c r="A3817" s="7">
        <v>1</v>
      </c>
      <c r="B3817" s="7">
        <v>5703</v>
      </c>
      <c r="C3817" s="7">
        <v>134</v>
      </c>
      <c r="D3817" s="8">
        <v>131.79</v>
      </c>
      <c r="E3817" s="9">
        <v>3</v>
      </c>
    </row>
    <row r="3818" spans="1:5" x14ac:dyDescent="0.25">
      <c r="A3818" s="7">
        <v>1</v>
      </c>
      <c r="B3818" s="7">
        <v>5704</v>
      </c>
      <c r="C3818" s="7">
        <v>134</v>
      </c>
      <c r="D3818" s="8">
        <v>186.1</v>
      </c>
      <c r="E3818" s="9">
        <v>3</v>
      </c>
    </row>
    <row r="3819" spans="1:5" x14ac:dyDescent="0.25">
      <c r="A3819" s="7">
        <v>1</v>
      </c>
      <c r="B3819" s="7">
        <v>5705</v>
      </c>
      <c r="C3819" s="7">
        <v>134</v>
      </c>
      <c r="D3819" s="8">
        <v>200.07</v>
      </c>
      <c r="E3819" s="9">
        <v>3</v>
      </c>
    </row>
    <row r="3820" spans="1:5" x14ac:dyDescent="0.25">
      <c r="A3820" s="7">
        <v>1</v>
      </c>
      <c r="B3820" s="7">
        <v>5706</v>
      </c>
      <c r="C3820" s="7">
        <v>134</v>
      </c>
      <c r="D3820" s="8">
        <v>200.07</v>
      </c>
      <c r="E3820" s="9">
        <v>3</v>
      </c>
    </row>
    <row r="3821" spans="1:5" x14ac:dyDescent="0.25">
      <c r="A3821" s="7">
        <v>1</v>
      </c>
      <c r="B3821" s="7">
        <v>5707</v>
      </c>
      <c r="C3821" s="7">
        <v>134</v>
      </c>
      <c r="D3821" s="8">
        <v>163.02</v>
      </c>
      <c r="E3821" s="9">
        <v>3</v>
      </c>
    </row>
    <row r="3822" spans="1:5" x14ac:dyDescent="0.25">
      <c r="A3822" s="7">
        <v>1</v>
      </c>
      <c r="B3822" s="7">
        <v>5708</v>
      </c>
      <c r="C3822" s="7">
        <v>134</v>
      </c>
      <c r="D3822" s="8">
        <v>163.02</v>
      </c>
      <c r="E3822" s="9">
        <v>3</v>
      </c>
    </row>
    <row r="3823" spans="1:5" x14ac:dyDescent="0.25">
      <c r="A3823" s="7">
        <v>1</v>
      </c>
      <c r="B3823" s="7">
        <v>5709</v>
      </c>
      <c r="C3823" s="7">
        <v>134</v>
      </c>
      <c r="D3823" s="8">
        <v>163.02</v>
      </c>
      <c r="E3823" s="9">
        <v>3</v>
      </c>
    </row>
    <row r="3824" spans="1:5" x14ac:dyDescent="0.25">
      <c r="A3824" s="7">
        <v>1</v>
      </c>
      <c r="B3824" s="7">
        <v>5710</v>
      </c>
      <c r="C3824" s="7">
        <v>134</v>
      </c>
      <c r="D3824" s="8">
        <v>166.7</v>
      </c>
      <c r="E3824" s="9">
        <v>3</v>
      </c>
    </row>
    <row r="3825" spans="1:5" x14ac:dyDescent="0.25">
      <c r="A3825" s="7">
        <v>1</v>
      </c>
      <c r="B3825" s="7">
        <v>5711</v>
      </c>
      <c r="C3825" s="7">
        <v>134</v>
      </c>
      <c r="D3825" s="8">
        <v>217.98</v>
      </c>
      <c r="E3825" s="9">
        <v>3</v>
      </c>
    </row>
    <row r="3826" spans="1:5" x14ac:dyDescent="0.25">
      <c r="A3826" s="7">
        <v>1</v>
      </c>
      <c r="B3826" s="7">
        <v>5712</v>
      </c>
      <c r="C3826" s="7">
        <v>134</v>
      </c>
      <c r="D3826" s="8">
        <v>131.79</v>
      </c>
      <c r="E3826" s="9">
        <v>3</v>
      </c>
    </row>
    <row r="3827" spans="1:5" x14ac:dyDescent="0.25">
      <c r="A3827" s="7">
        <v>1</v>
      </c>
      <c r="B3827" s="7">
        <v>5713</v>
      </c>
      <c r="C3827" s="7">
        <v>134</v>
      </c>
      <c r="D3827" s="8">
        <v>131.79</v>
      </c>
      <c r="E3827" s="9">
        <v>3</v>
      </c>
    </row>
    <row r="3828" spans="1:5" x14ac:dyDescent="0.25">
      <c r="A3828" s="7">
        <v>1</v>
      </c>
      <c r="B3828" s="7">
        <v>5714</v>
      </c>
      <c r="C3828" s="7">
        <v>134</v>
      </c>
      <c r="D3828" s="8">
        <v>185.39</v>
      </c>
      <c r="E3828" s="9">
        <v>3</v>
      </c>
    </row>
    <row r="3829" spans="1:5" x14ac:dyDescent="0.25">
      <c r="A3829" s="7">
        <v>1</v>
      </c>
      <c r="B3829" s="7">
        <v>5715</v>
      </c>
      <c r="C3829" s="7">
        <v>134</v>
      </c>
      <c r="D3829" s="8">
        <v>118.48</v>
      </c>
      <c r="E3829" s="9">
        <v>3</v>
      </c>
    </row>
    <row r="3830" spans="1:5" x14ac:dyDescent="0.25">
      <c r="A3830" s="7">
        <v>1</v>
      </c>
      <c r="B3830" s="7">
        <v>5716</v>
      </c>
      <c r="C3830" s="7">
        <v>134</v>
      </c>
      <c r="D3830" s="8">
        <v>155.38</v>
      </c>
      <c r="E3830" s="9">
        <v>3</v>
      </c>
    </row>
    <row r="3831" spans="1:5" x14ac:dyDescent="0.25">
      <c r="A3831" s="7">
        <v>1</v>
      </c>
      <c r="B3831" s="7">
        <v>5717</v>
      </c>
      <c r="C3831" s="7">
        <v>134</v>
      </c>
      <c r="D3831" s="8">
        <v>199.97</v>
      </c>
      <c r="E3831" s="9">
        <v>3</v>
      </c>
    </row>
    <row r="3832" spans="1:5" x14ac:dyDescent="0.25">
      <c r="A3832" s="7">
        <v>1</v>
      </c>
      <c r="B3832" s="7">
        <v>5718</v>
      </c>
      <c r="C3832" s="7">
        <v>134</v>
      </c>
      <c r="D3832" s="8">
        <v>172.48</v>
      </c>
      <c r="E3832" s="9">
        <v>3</v>
      </c>
    </row>
    <row r="3833" spans="1:5" x14ac:dyDescent="0.25">
      <c r="A3833" s="7">
        <v>1</v>
      </c>
      <c r="B3833" s="7">
        <v>5719</v>
      </c>
      <c r="C3833" s="7">
        <v>134</v>
      </c>
      <c r="D3833" s="8">
        <v>163.02</v>
      </c>
      <c r="E3833" s="9">
        <v>3</v>
      </c>
    </row>
    <row r="3834" spans="1:5" x14ac:dyDescent="0.25">
      <c r="A3834" s="7">
        <v>1</v>
      </c>
      <c r="B3834" s="7">
        <v>5720</v>
      </c>
      <c r="C3834" s="7">
        <v>134</v>
      </c>
      <c r="D3834" s="8">
        <v>232.85</v>
      </c>
      <c r="E3834" s="9">
        <v>3</v>
      </c>
    </row>
    <row r="3835" spans="1:5" x14ac:dyDescent="0.25">
      <c r="A3835" s="7">
        <v>1</v>
      </c>
      <c r="B3835" s="7">
        <v>5721</v>
      </c>
      <c r="C3835" s="7">
        <v>134</v>
      </c>
      <c r="D3835" s="8">
        <v>163.02</v>
      </c>
      <c r="E3835" s="9">
        <v>3</v>
      </c>
    </row>
    <row r="3836" spans="1:5" x14ac:dyDescent="0.25">
      <c r="A3836" s="7">
        <v>1</v>
      </c>
      <c r="B3836" s="7">
        <v>5722</v>
      </c>
      <c r="C3836" s="7">
        <v>134</v>
      </c>
      <c r="D3836" s="8">
        <v>112.92</v>
      </c>
      <c r="E3836" s="9">
        <v>3</v>
      </c>
    </row>
    <row r="3837" spans="1:5" x14ac:dyDescent="0.25">
      <c r="A3837" s="7">
        <v>1</v>
      </c>
      <c r="B3837" s="7">
        <v>5723</v>
      </c>
      <c r="C3837" s="7">
        <v>134</v>
      </c>
      <c r="D3837" s="8">
        <v>131.79</v>
      </c>
      <c r="E3837" s="9">
        <v>3</v>
      </c>
    </row>
    <row r="3838" spans="1:5" x14ac:dyDescent="0.25">
      <c r="A3838" s="7">
        <v>1</v>
      </c>
      <c r="B3838" s="7">
        <v>5724</v>
      </c>
      <c r="C3838" s="7">
        <v>134</v>
      </c>
      <c r="D3838" s="8">
        <v>118.48</v>
      </c>
      <c r="E3838" s="9">
        <v>3</v>
      </c>
    </row>
    <row r="3839" spans="1:5" x14ac:dyDescent="0.25">
      <c r="A3839" s="7">
        <v>1</v>
      </c>
      <c r="B3839" s="7">
        <v>5725</v>
      </c>
      <c r="C3839" s="7">
        <v>134</v>
      </c>
      <c r="D3839" s="8">
        <v>355.32</v>
      </c>
      <c r="E3839" s="9">
        <v>3</v>
      </c>
    </row>
    <row r="3840" spans="1:5" x14ac:dyDescent="0.25">
      <c r="A3840" s="7">
        <v>1</v>
      </c>
      <c r="B3840" s="7">
        <v>5726</v>
      </c>
      <c r="C3840" s="7">
        <v>134</v>
      </c>
      <c r="D3840" s="8">
        <v>335.23</v>
      </c>
      <c r="E3840" s="9">
        <v>3</v>
      </c>
    </row>
    <row r="3841" spans="1:5" x14ac:dyDescent="0.25">
      <c r="A3841" s="7">
        <v>1</v>
      </c>
      <c r="B3841" s="7">
        <v>5727</v>
      </c>
      <c r="C3841" s="7">
        <v>134</v>
      </c>
      <c r="D3841" s="8">
        <v>335.23</v>
      </c>
      <c r="E3841" s="9">
        <v>3</v>
      </c>
    </row>
    <row r="3842" spans="1:5" x14ac:dyDescent="0.25">
      <c r="A3842" s="7">
        <v>1</v>
      </c>
      <c r="B3842" s="7">
        <v>5728</v>
      </c>
      <c r="C3842" s="7">
        <v>134</v>
      </c>
      <c r="D3842" s="8">
        <v>131.79</v>
      </c>
      <c r="E3842" s="9">
        <v>3</v>
      </c>
    </row>
    <row r="3843" spans="1:5" x14ac:dyDescent="0.25">
      <c r="A3843" s="7">
        <v>1</v>
      </c>
      <c r="B3843" s="7">
        <v>5729</v>
      </c>
      <c r="C3843" s="7">
        <v>134</v>
      </c>
      <c r="D3843" s="8">
        <v>150.94</v>
      </c>
      <c r="E3843" s="9">
        <v>3</v>
      </c>
    </row>
    <row r="3844" spans="1:5" x14ac:dyDescent="0.25">
      <c r="A3844" s="7">
        <v>1</v>
      </c>
      <c r="B3844" s="7">
        <v>5730</v>
      </c>
      <c r="C3844" s="7">
        <v>134</v>
      </c>
      <c r="D3844" s="8">
        <v>122.57</v>
      </c>
      <c r="E3844" s="9">
        <v>3</v>
      </c>
    </row>
    <row r="3845" spans="1:5" x14ac:dyDescent="0.25">
      <c r="A3845" s="7">
        <v>1</v>
      </c>
      <c r="B3845" s="7">
        <v>5731</v>
      </c>
      <c r="C3845" s="7">
        <v>134</v>
      </c>
      <c r="D3845" s="8">
        <v>112.92</v>
      </c>
      <c r="E3845" s="9">
        <v>3</v>
      </c>
    </row>
    <row r="3846" spans="1:5" x14ac:dyDescent="0.25">
      <c r="A3846" s="7">
        <v>1</v>
      </c>
      <c r="B3846" s="7">
        <v>5732</v>
      </c>
      <c r="C3846" s="7">
        <v>134</v>
      </c>
      <c r="D3846" s="8">
        <v>185.39</v>
      </c>
      <c r="E3846" s="9">
        <v>3</v>
      </c>
    </row>
    <row r="3847" spans="1:5" x14ac:dyDescent="0.25">
      <c r="A3847" s="7">
        <v>1</v>
      </c>
      <c r="B3847" s="7">
        <v>5733</v>
      </c>
      <c r="C3847" s="7">
        <v>134</v>
      </c>
      <c r="D3847" s="8">
        <v>278.66</v>
      </c>
      <c r="E3847" s="9">
        <v>3</v>
      </c>
    </row>
    <row r="3848" spans="1:5" x14ac:dyDescent="0.25">
      <c r="A3848" s="7">
        <v>1</v>
      </c>
      <c r="B3848" s="7">
        <v>5734</v>
      </c>
      <c r="C3848" s="7">
        <v>134</v>
      </c>
      <c r="D3848" s="8">
        <v>194.51</v>
      </c>
      <c r="E3848" s="9">
        <v>3</v>
      </c>
    </row>
    <row r="3849" spans="1:5" x14ac:dyDescent="0.25">
      <c r="A3849" s="7">
        <v>1</v>
      </c>
      <c r="B3849" s="7">
        <v>5735</v>
      </c>
      <c r="C3849" s="7">
        <v>134</v>
      </c>
      <c r="D3849" s="8">
        <v>194.51</v>
      </c>
      <c r="E3849" s="9">
        <v>3</v>
      </c>
    </row>
    <row r="3850" spans="1:5" x14ac:dyDescent="0.25">
      <c r="A3850" s="7">
        <v>1</v>
      </c>
      <c r="B3850" s="7">
        <v>5736</v>
      </c>
      <c r="C3850" s="7">
        <v>134</v>
      </c>
      <c r="D3850" s="8">
        <v>150.94</v>
      </c>
      <c r="E3850" s="9">
        <v>3</v>
      </c>
    </row>
    <row r="3851" spans="1:5" x14ac:dyDescent="0.25">
      <c r="A3851" s="7">
        <v>1</v>
      </c>
      <c r="B3851" s="7">
        <v>5737</v>
      </c>
      <c r="C3851" s="7">
        <v>134</v>
      </c>
      <c r="D3851" s="8">
        <v>225.5</v>
      </c>
      <c r="E3851" s="9">
        <v>3</v>
      </c>
    </row>
    <row r="3852" spans="1:5" x14ac:dyDescent="0.25">
      <c r="A3852" s="7">
        <v>1</v>
      </c>
      <c r="B3852" s="7">
        <v>5738</v>
      </c>
      <c r="C3852" s="7">
        <v>134</v>
      </c>
      <c r="D3852" s="8">
        <v>163.02</v>
      </c>
      <c r="E3852" s="9">
        <v>3</v>
      </c>
    </row>
    <row r="3853" spans="1:5" x14ac:dyDescent="0.25">
      <c r="A3853" s="7">
        <v>1</v>
      </c>
      <c r="B3853" s="7">
        <v>5739</v>
      </c>
      <c r="C3853" s="7">
        <v>134</v>
      </c>
      <c r="D3853" s="8">
        <v>79.5</v>
      </c>
      <c r="E3853" s="9">
        <v>3</v>
      </c>
    </row>
    <row r="3854" spans="1:5" x14ac:dyDescent="0.25">
      <c r="A3854" s="7">
        <v>1</v>
      </c>
      <c r="B3854" s="7">
        <v>5740</v>
      </c>
      <c r="C3854" s="7">
        <v>134</v>
      </c>
      <c r="D3854" s="8">
        <v>262.81</v>
      </c>
      <c r="E3854" s="9">
        <v>3</v>
      </c>
    </row>
    <row r="3855" spans="1:5" x14ac:dyDescent="0.25">
      <c r="A3855" s="7">
        <v>1</v>
      </c>
      <c r="B3855" s="7">
        <v>5741</v>
      </c>
      <c r="C3855" s="7">
        <v>134</v>
      </c>
      <c r="D3855" s="8">
        <v>262.81</v>
      </c>
      <c r="E3855" s="9">
        <v>3</v>
      </c>
    </row>
    <row r="3856" spans="1:5" x14ac:dyDescent="0.25">
      <c r="A3856" s="7">
        <v>1</v>
      </c>
      <c r="B3856" s="7">
        <v>5742</v>
      </c>
      <c r="C3856" s="7">
        <v>134</v>
      </c>
      <c r="D3856" s="8">
        <v>163.02</v>
      </c>
      <c r="E3856" s="9">
        <v>3</v>
      </c>
    </row>
    <row r="3857" spans="1:5" x14ac:dyDescent="0.25">
      <c r="A3857" s="7">
        <v>1</v>
      </c>
      <c r="B3857" s="7">
        <v>5743</v>
      </c>
      <c r="C3857" s="7">
        <v>134</v>
      </c>
      <c r="D3857" s="8">
        <v>163.02</v>
      </c>
      <c r="E3857" s="9">
        <v>3</v>
      </c>
    </row>
    <row r="3858" spans="1:5" x14ac:dyDescent="0.25">
      <c r="A3858" s="7">
        <v>1</v>
      </c>
      <c r="B3858" s="7">
        <v>5744</v>
      </c>
      <c r="C3858" s="7">
        <v>134</v>
      </c>
      <c r="D3858" s="8">
        <v>163.02</v>
      </c>
      <c r="E3858" s="9">
        <v>3</v>
      </c>
    </row>
    <row r="3859" spans="1:5" x14ac:dyDescent="0.25">
      <c r="A3859" s="7">
        <v>1</v>
      </c>
      <c r="B3859" s="7">
        <v>5745</v>
      </c>
      <c r="C3859" s="7">
        <v>134</v>
      </c>
      <c r="D3859" s="8">
        <v>163.02</v>
      </c>
      <c r="E3859" s="9">
        <v>3</v>
      </c>
    </row>
    <row r="3860" spans="1:5" x14ac:dyDescent="0.25">
      <c r="A3860" s="7">
        <v>1</v>
      </c>
      <c r="B3860" s="7">
        <v>5746</v>
      </c>
      <c r="C3860" s="7">
        <v>134</v>
      </c>
      <c r="D3860" s="8">
        <v>278.66</v>
      </c>
      <c r="E3860" s="9">
        <v>3</v>
      </c>
    </row>
    <row r="3861" spans="1:5" x14ac:dyDescent="0.25">
      <c r="A3861" s="7">
        <v>1</v>
      </c>
      <c r="B3861" s="7">
        <v>5747</v>
      </c>
      <c r="C3861" s="7">
        <v>134</v>
      </c>
      <c r="D3861" s="8">
        <v>252.2</v>
      </c>
      <c r="E3861" s="9">
        <v>3</v>
      </c>
    </row>
    <row r="3862" spans="1:5" x14ac:dyDescent="0.25">
      <c r="A3862" s="7">
        <v>1</v>
      </c>
      <c r="B3862" s="7">
        <v>5748</v>
      </c>
      <c r="C3862" s="7">
        <v>134</v>
      </c>
      <c r="D3862" s="8">
        <v>163.02</v>
      </c>
      <c r="E3862" s="9">
        <v>3</v>
      </c>
    </row>
    <row r="3863" spans="1:5" x14ac:dyDescent="0.25">
      <c r="A3863" s="7">
        <v>1</v>
      </c>
      <c r="B3863" s="7">
        <v>5749</v>
      </c>
      <c r="C3863" s="7">
        <v>134</v>
      </c>
      <c r="D3863" s="8">
        <v>163.02</v>
      </c>
      <c r="E3863" s="9">
        <v>3</v>
      </c>
    </row>
    <row r="3864" spans="1:5" x14ac:dyDescent="0.25">
      <c r="A3864" s="7">
        <v>1</v>
      </c>
      <c r="B3864" s="7">
        <v>5750</v>
      </c>
      <c r="C3864" s="7">
        <v>134</v>
      </c>
      <c r="D3864" s="8">
        <v>163.02</v>
      </c>
      <c r="E3864" s="9">
        <v>3</v>
      </c>
    </row>
    <row r="3865" spans="1:5" x14ac:dyDescent="0.25">
      <c r="A3865" s="7">
        <v>1</v>
      </c>
      <c r="B3865" s="7">
        <v>5751</v>
      </c>
      <c r="C3865" s="7">
        <v>134</v>
      </c>
      <c r="D3865" s="8">
        <v>163.02</v>
      </c>
      <c r="E3865" s="9">
        <v>3</v>
      </c>
    </row>
    <row r="3866" spans="1:5" x14ac:dyDescent="0.25">
      <c r="A3866" s="7">
        <v>1</v>
      </c>
      <c r="B3866" s="7">
        <v>5752</v>
      </c>
      <c r="C3866" s="7">
        <v>134</v>
      </c>
      <c r="D3866" s="8">
        <v>163.02</v>
      </c>
      <c r="E3866" s="9">
        <v>3</v>
      </c>
    </row>
    <row r="3867" spans="1:5" x14ac:dyDescent="0.25">
      <c r="A3867" s="7">
        <v>1</v>
      </c>
      <c r="B3867" s="7">
        <v>5753</v>
      </c>
      <c r="C3867" s="7">
        <v>134</v>
      </c>
      <c r="D3867" s="8">
        <v>163.02</v>
      </c>
      <c r="E3867" s="9">
        <v>3</v>
      </c>
    </row>
    <row r="3868" spans="1:5" x14ac:dyDescent="0.25">
      <c r="A3868" s="7">
        <v>1</v>
      </c>
      <c r="B3868" s="7">
        <v>5754</v>
      </c>
      <c r="C3868" s="7">
        <v>134</v>
      </c>
      <c r="D3868" s="8">
        <v>194.51</v>
      </c>
      <c r="E3868" s="9">
        <v>3</v>
      </c>
    </row>
    <row r="3869" spans="1:5" x14ac:dyDescent="0.25">
      <c r="A3869" s="7">
        <v>1</v>
      </c>
      <c r="B3869" s="7">
        <v>5755</v>
      </c>
      <c r="C3869" s="7">
        <v>134</v>
      </c>
      <c r="D3869" s="8">
        <v>185.39</v>
      </c>
      <c r="E3869" s="9">
        <v>3</v>
      </c>
    </row>
    <row r="3870" spans="1:5" x14ac:dyDescent="0.25">
      <c r="A3870" s="7">
        <v>1</v>
      </c>
      <c r="B3870" s="7">
        <v>5756</v>
      </c>
      <c r="C3870" s="7">
        <v>134</v>
      </c>
      <c r="D3870" s="8">
        <v>180.91</v>
      </c>
      <c r="E3870" s="9">
        <v>3</v>
      </c>
    </row>
    <row r="3871" spans="1:5" x14ac:dyDescent="0.25">
      <c r="A3871" s="7">
        <v>1</v>
      </c>
      <c r="B3871" s="7">
        <v>5757</v>
      </c>
      <c r="C3871" s="7">
        <v>134</v>
      </c>
      <c r="D3871" s="8">
        <v>151.66</v>
      </c>
      <c r="E3871" s="9">
        <v>3</v>
      </c>
    </row>
    <row r="3872" spans="1:5" x14ac:dyDescent="0.25">
      <c r="A3872" s="7">
        <v>1</v>
      </c>
      <c r="B3872" s="7">
        <v>5758</v>
      </c>
      <c r="C3872" s="7">
        <v>134</v>
      </c>
      <c r="D3872" s="8">
        <v>112.92</v>
      </c>
      <c r="E3872" s="9">
        <v>3</v>
      </c>
    </row>
    <row r="3873" spans="1:5" x14ac:dyDescent="0.25">
      <c r="A3873" s="7">
        <v>1</v>
      </c>
      <c r="B3873" s="7">
        <v>5759</v>
      </c>
      <c r="C3873" s="7">
        <v>134</v>
      </c>
      <c r="D3873" s="8">
        <v>112.92</v>
      </c>
      <c r="E3873" s="9">
        <v>3</v>
      </c>
    </row>
    <row r="3874" spans="1:5" x14ac:dyDescent="0.25">
      <c r="A3874" s="7">
        <v>1</v>
      </c>
      <c r="B3874" s="7">
        <v>5760</v>
      </c>
      <c r="C3874" s="7">
        <v>134</v>
      </c>
      <c r="D3874" s="8">
        <v>112.92</v>
      </c>
      <c r="E3874" s="9">
        <v>3</v>
      </c>
    </row>
    <row r="3875" spans="1:5" x14ac:dyDescent="0.25">
      <c r="A3875" s="7">
        <v>1</v>
      </c>
      <c r="B3875" s="7">
        <v>5761</v>
      </c>
      <c r="C3875" s="7">
        <v>134</v>
      </c>
      <c r="D3875" s="8">
        <v>112.92</v>
      </c>
      <c r="E3875" s="9">
        <v>3</v>
      </c>
    </row>
    <row r="3876" spans="1:5" x14ac:dyDescent="0.25">
      <c r="A3876" s="7">
        <v>1</v>
      </c>
      <c r="B3876" s="7">
        <v>5762</v>
      </c>
      <c r="C3876" s="7">
        <v>134</v>
      </c>
      <c r="D3876" s="8">
        <v>112.92</v>
      </c>
      <c r="E3876" s="9">
        <v>3</v>
      </c>
    </row>
    <row r="3877" spans="1:5" x14ac:dyDescent="0.25">
      <c r="A3877" s="7">
        <v>1</v>
      </c>
      <c r="B3877" s="7">
        <v>5763</v>
      </c>
      <c r="C3877" s="7">
        <v>134</v>
      </c>
      <c r="D3877" s="8">
        <v>105.06</v>
      </c>
      <c r="E3877" s="9">
        <v>3</v>
      </c>
    </row>
    <row r="3878" spans="1:5" x14ac:dyDescent="0.25">
      <c r="A3878" s="7">
        <v>1</v>
      </c>
      <c r="B3878" s="7">
        <v>5764</v>
      </c>
      <c r="C3878" s="7">
        <v>134</v>
      </c>
      <c r="D3878" s="8">
        <v>192.72</v>
      </c>
      <c r="E3878" s="9">
        <v>3</v>
      </c>
    </row>
    <row r="3879" spans="1:5" x14ac:dyDescent="0.25">
      <c r="A3879" s="7">
        <v>1</v>
      </c>
      <c r="B3879" s="7">
        <v>5765</v>
      </c>
      <c r="C3879" s="7">
        <v>134</v>
      </c>
      <c r="D3879" s="8">
        <v>194.51</v>
      </c>
      <c r="E3879" s="9">
        <v>3</v>
      </c>
    </row>
    <row r="3880" spans="1:5" x14ac:dyDescent="0.25">
      <c r="A3880" s="7">
        <v>1</v>
      </c>
      <c r="B3880" s="7">
        <v>5766</v>
      </c>
      <c r="C3880" s="7">
        <v>134</v>
      </c>
      <c r="D3880" s="8">
        <v>185.39</v>
      </c>
      <c r="E3880" s="9">
        <v>3</v>
      </c>
    </row>
    <row r="3881" spans="1:5" x14ac:dyDescent="0.25">
      <c r="A3881" s="7">
        <v>1</v>
      </c>
      <c r="B3881" s="7">
        <v>5767</v>
      </c>
      <c r="C3881" s="7">
        <v>134</v>
      </c>
      <c r="D3881" s="8">
        <v>194.51</v>
      </c>
      <c r="E3881" s="9">
        <v>3</v>
      </c>
    </row>
    <row r="3882" spans="1:5" x14ac:dyDescent="0.25">
      <c r="A3882" s="7">
        <v>1</v>
      </c>
      <c r="B3882" s="7">
        <v>5768</v>
      </c>
      <c r="C3882" s="7">
        <v>134</v>
      </c>
      <c r="D3882" s="8">
        <v>194.51</v>
      </c>
      <c r="E3882" s="9">
        <v>3</v>
      </c>
    </row>
    <row r="3883" spans="1:5" x14ac:dyDescent="0.25">
      <c r="A3883" s="7">
        <v>1</v>
      </c>
      <c r="B3883" s="7">
        <v>5769</v>
      </c>
      <c r="C3883" s="7">
        <v>134</v>
      </c>
      <c r="D3883" s="8">
        <v>185.39</v>
      </c>
      <c r="E3883" s="9">
        <v>3</v>
      </c>
    </row>
    <row r="3884" spans="1:5" x14ac:dyDescent="0.25">
      <c r="A3884" s="7">
        <v>1</v>
      </c>
      <c r="B3884" s="7">
        <v>5770</v>
      </c>
      <c r="C3884" s="7">
        <v>134</v>
      </c>
      <c r="D3884" s="8">
        <v>163.02</v>
      </c>
      <c r="E3884" s="9">
        <v>3</v>
      </c>
    </row>
    <row r="3885" spans="1:5" x14ac:dyDescent="0.25">
      <c r="A3885" s="7">
        <v>1</v>
      </c>
      <c r="B3885" s="7">
        <v>5771</v>
      </c>
      <c r="C3885" s="7">
        <v>134</v>
      </c>
      <c r="D3885" s="8">
        <v>185.39</v>
      </c>
      <c r="E3885" s="9">
        <v>3</v>
      </c>
    </row>
    <row r="3886" spans="1:5" x14ac:dyDescent="0.25">
      <c r="A3886" s="7">
        <v>1</v>
      </c>
      <c r="B3886" s="7">
        <v>5772</v>
      </c>
      <c r="C3886" s="7">
        <v>134</v>
      </c>
      <c r="D3886" s="8">
        <v>185.39</v>
      </c>
      <c r="E3886" s="9">
        <v>3</v>
      </c>
    </row>
    <row r="3887" spans="1:5" x14ac:dyDescent="0.25">
      <c r="A3887" s="7">
        <v>1</v>
      </c>
      <c r="B3887" s="7">
        <v>5773</v>
      </c>
      <c r="C3887" s="7">
        <v>134</v>
      </c>
      <c r="D3887" s="8">
        <v>112.92</v>
      </c>
      <c r="E3887" s="9">
        <v>3</v>
      </c>
    </row>
    <row r="3888" spans="1:5" x14ac:dyDescent="0.25">
      <c r="A3888" s="7">
        <v>1</v>
      </c>
      <c r="B3888" s="7">
        <v>5774</v>
      </c>
      <c r="C3888" s="7">
        <v>134</v>
      </c>
      <c r="D3888" s="8">
        <v>215.75</v>
      </c>
      <c r="E3888" s="9">
        <v>3</v>
      </c>
    </row>
    <row r="3889" spans="1:5" x14ac:dyDescent="0.25">
      <c r="A3889" s="7">
        <v>1</v>
      </c>
      <c r="B3889" s="7">
        <v>5775</v>
      </c>
      <c r="C3889" s="7">
        <v>134</v>
      </c>
      <c r="D3889" s="8">
        <v>186.1</v>
      </c>
      <c r="E3889" s="9">
        <v>3</v>
      </c>
    </row>
    <row r="3890" spans="1:5" x14ac:dyDescent="0.25">
      <c r="A3890" s="7">
        <v>1</v>
      </c>
      <c r="B3890" s="7">
        <v>5776</v>
      </c>
      <c r="C3890" s="7">
        <v>134</v>
      </c>
      <c r="D3890" s="8">
        <v>231.55</v>
      </c>
      <c r="E3890" s="9">
        <v>3</v>
      </c>
    </row>
    <row r="3891" spans="1:5" x14ac:dyDescent="0.25">
      <c r="A3891" s="7">
        <v>1</v>
      </c>
      <c r="B3891" s="7">
        <v>5777</v>
      </c>
      <c r="C3891" s="7">
        <v>134</v>
      </c>
      <c r="D3891" s="8">
        <v>231.55</v>
      </c>
      <c r="E3891" s="9">
        <v>3</v>
      </c>
    </row>
    <row r="3892" spans="1:5" x14ac:dyDescent="0.25">
      <c r="A3892" s="7">
        <v>1</v>
      </c>
      <c r="B3892" s="7">
        <v>5778</v>
      </c>
      <c r="C3892" s="7">
        <v>134</v>
      </c>
      <c r="D3892" s="8">
        <v>215.38</v>
      </c>
      <c r="E3892" s="9">
        <v>3</v>
      </c>
    </row>
    <row r="3893" spans="1:5" x14ac:dyDescent="0.25">
      <c r="A3893" s="7">
        <v>1</v>
      </c>
      <c r="B3893" s="7">
        <v>5779</v>
      </c>
      <c r="C3893" s="7">
        <v>134</v>
      </c>
      <c r="D3893" s="8">
        <v>231.55</v>
      </c>
      <c r="E3893" s="9">
        <v>3</v>
      </c>
    </row>
    <row r="3894" spans="1:5" x14ac:dyDescent="0.25">
      <c r="A3894" s="7">
        <v>1</v>
      </c>
      <c r="B3894" s="7">
        <v>5780</v>
      </c>
      <c r="C3894" s="7">
        <v>134</v>
      </c>
      <c r="D3894" s="8">
        <v>231.55</v>
      </c>
      <c r="E3894" s="9">
        <v>3</v>
      </c>
    </row>
    <row r="3895" spans="1:5" x14ac:dyDescent="0.25">
      <c r="A3895" s="7">
        <v>1</v>
      </c>
      <c r="B3895" s="7">
        <v>5781</v>
      </c>
      <c r="C3895" s="7">
        <v>134</v>
      </c>
      <c r="D3895" s="8">
        <v>215.38</v>
      </c>
      <c r="E3895" s="9">
        <v>3</v>
      </c>
    </row>
    <row r="3896" spans="1:5" x14ac:dyDescent="0.25">
      <c r="A3896" s="7">
        <v>1</v>
      </c>
      <c r="B3896" s="7">
        <v>5782</v>
      </c>
      <c r="C3896" s="7">
        <v>134</v>
      </c>
      <c r="D3896" s="8">
        <v>231.55</v>
      </c>
      <c r="E3896" s="9">
        <v>3</v>
      </c>
    </row>
    <row r="3897" spans="1:5" x14ac:dyDescent="0.25">
      <c r="A3897" s="7">
        <v>1</v>
      </c>
      <c r="B3897" s="7">
        <v>5783</v>
      </c>
      <c r="C3897" s="7">
        <v>134</v>
      </c>
      <c r="D3897" s="8">
        <v>203.2</v>
      </c>
      <c r="E3897" s="9">
        <v>3</v>
      </c>
    </row>
    <row r="3898" spans="1:5" x14ac:dyDescent="0.25">
      <c r="A3898" s="7">
        <v>1</v>
      </c>
      <c r="B3898" s="7">
        <v>5784</v>
      </c>
      <c r="C3898" s="7">
        <v>134</v>
      </c>
      <c r="D3898" s="8">
        <v>215.38</v>
      </c>
      <c r="E3898" s="9">
        <v>3</v>
      </c>
    </row>
    <row r="3899" spans="1:5" x14ac:dyDescent="0.25">
      <c r="A3899" s="7">
        <v>1</v>
      </c>
      <c r="B3899" s="7">
        <v>5785</v>
      </c>
      <c r="C3899" s="7">
        <v>163</v>
      </c>
      <c r="D3899" s="8">
        <v>324836.02</v>
      </c>
      <c r="E3899" s="9">
        <v>1</v>
      </c>
    </row>
    <row r="3900" spans="1:5" x14ac:dyDescent="0.25">
      <c r="A3900" s="7">
        <v>1</v>
      </c>
      <c r="B3900" s="7">
        <v>5786</v>
      </c>
      <c r="C3900" s="7">
        <v>163</v>
      </c>
      <c r="D3900" s="8">
        <v>272349.49</v>
      </c>
      <c r="E3900" s="9">
        <v>1</v>
      </c>
    </row>
    <row r="3901" spans="1:5" x14ac:dyDescent="0.25">
      <c r="A3901" s="7">
        <v>1</v>
      </c>
      <c r="B3901" s="7">
        <v>5787</v>
      </c>
      <c r="C3901" s="7">
        <v>201</v>
      </c>
      <c r="D3901" s="8">
        <v>40436.55</v>
      </c>
      <c r="E3901" s="9">
        <v>1</v>
      </c>
    </row>
    <row r="3902" spans="1:5" x14ac:dyDescent="0.25">
      <c r="A3902" s="7">
        <v>1</v>
      </c>
      <c r="B3902" s="7">
        <v>5788</v>
      </c>
      <c r="C3902" s="7">
        <v>201</v>
      </c>
      <c r="D3902" s="8">
        <v>88306.28</v>
      </c>
      <c r="E3902" s="9">
        <v>1</v>
      </c>
    </row>
    <row r="3903" spans="1:5" x14ac:dyDescent="0.25">
      <c r="A3903" s="7">
        <v>1</v>
      </c>
      <c r="B3903" s="7">
        <v>5789</v>
      </c>
      <c r="C3903" s="7">
        <v>201</v>
      </c>
      <c r="D3903" s="8">
        <v>163191.35</v>
      </c>
      <c r="E3903" s="9">
        <v>1</v>
      </c>
    </row>
    <row r="3904" spans="1:5" x14ac:dyDescent="0.25">
      <c r="A3904" s="7">
        <v>1</v>
      </c>
      <c r="B3904" s="7">
        <v>5790</v>
      </c>
      <c r="C3904" s="7">
        <v>201</v>
      </c>
      <c r="D3904" s="8">
        <v>40436.55</v>
      </c>
      <c r="E3904" s="9">
        <v>1</v>
      </c>
    </row>
    <row r="3905" spans="1:5" x14ac:dyDescent="0.25">
      <c r="A3905" s="7">
        <v>1</v>
      </c>
      <c r="B3905" s="7">
        <v>5791</v>
      </c>
      <c r="C3905" s="7">
        <v>201</v>
      </c>
      <c r="D3905" s="8">
        <v>88306.28</v>
      </c>
      <c r="E3905" s="9">
        <v>1</v>
      </c>
    </row>
    <row r="3906" spans="1:5" x14ac:dyDescent="0.25">
      <c r="A3906" s="7">
        <v>1</v>
      </c>
      <c r="B3906" s="7">
        <v>5792</v>
      </c>
      <c r="C3906" s="7">
        <v>201</v>
      </c>
      <c r="D3906" s="8">
        <v>163191.35</v>
      </c>
      <c r="E3906" s="9">
        <v>1</v>
      </c>
    </row>
    <row r="3907" spans="1:5" x14ac:dyDescent="0.25">
      <c r="A3907" s="7">
        <v>1</v>
      </c>
      <c r="B3907" s="7">
        <v>5793</v>
      </c>
      <c r="C3907" s="7">
        <v>201</v>
      </c>
      <c r="D3907" s="8">
        <v>40436.55</v>
      </c>
      <c r="E3907" s="9">
        <v>1</v>
      </c>
    </row>
    <row r="3908" spans="1:5" x14ac:dyDescent="0.25">
      <c r="A3908" s="7">
        <v>1</v>
      </c>
      <c r="B3908" s="7">
        <v>5794</v>
      </c>
      <c r="C3908" s="7">
        <v>201</v>
      </c>
      <c r="D3908" s="8">
        <v>88306.28</v>
      </c>
      <c r="E3908" s="9">
        <v>1</v>
      </c>
    </row>
    <row r="3909" spans="1:5" x14ac:dyDescent="0.25">
      <c r="A3909" s="7">
        <v>1</v>
      </c>
      <c r="B3909" s="7">
        <v>5807</v>
      </c>
      <c r="C3909" s="7">
        <v>150</v>
      </c>
      <c r="D3909" s="8">
        <v>218620.37</v>
      </c>
      <c r="E3909" s="9">
        <v>1</v>
      </c>
    </row>
    <row r="3910" spans="1:5" x14ac:dyDescent="0.25">
      <c r="A3910" s="7">
        <v>1</v>
      </c>
      <c r="B3910" s="7">
        <v>5808</v>
      </c>
      <c r="C3910" s="7">
        <v>195</v>
      </c>
      <c r="D3910" s="8">
        <v>431941.27</v>
      </c>
      <c r="E3910" s="9">
        <v>1</v>
      </c>
    </row>
    <row r="3911" spans="1:5" x14ac:dyDescent="0.25">
      <c r="A3911" s="7">
        <v>1</v>
      </c>
      <c r="B3911" s="7">
        <v>5809</v>
      </c>
      <c r="C3911" s="7">
        <v>132</v>
      </c>
      <c r="D3911" s="8">
        <v>19.13</v>
      </c>
      <c r="E3911" s="9">
        <v>3</v>
      </c>
    </row>
    <row r="3912" spans="1:5" x14ac:dyDescent="0.25">
      <c r="A3912" s="7">
        <v>1</v>
      </c>
      <c r="B3912" s="7">
        <v>5811</v>
      </c>
      <c r="C3912" s="7">
        <v>152</v>
      </c>
      <c r="D3912" s="8">
        <v>215390.22</v>
      </c>
      <c r="E3912" s="9">
        <v>1</v>
      </c>
    </row>
    <row r="3913" spans="1:5" x14ac:dyDescent="0.25">
      <c r="A3913" s="7">
        <v>1</v>
      </c>
      <c r="B3913" s="7">
        <v>5815</v>
      </c>
      <c r="C3913" s="7">
        <v>152</v>
      </c>
      <c r="D3913" s="8">
        <v>215390.22</v>
      </c>
      <c r="E3913" s="9">
        <v>1</v>
      </c>
    </row>
    <row r="3914" spans="1:5" x14ac:dyDescent="0.25">
      <c r="A3914" s="7">
        <v>1</v>
      </c>
      <c r="B3914" s="7">
        <v>5818</v>
      </c>
      <c r="C3914" s="7">
        <v>152</v>
      </c>
      <c r="D3914" s="8">
        <v>78322.38</v>
      </c>
      <c r="E3914" s="9">
        <v>1</v>
      </c>
    </row>
    <row r="3915" spans="1:5" x14ac:dyDescent="0.25">
      <c r="A3915" s="7">
        <v>1</v>
      </c>
      <c r="B3915" s="7">
        <v>5822</v>
      </c>
      <c r="C3915" s="7">
        <v>191</v>
      </c>
      <c r="D3915" s="8">
        <v>76010.31</v>
      </c>
      <c r="E3915" s="9">
        <v>1</v>
      </c>
    </row>
    <row r="3916" spans="1:5" x14ac:dyDescent="0.25">
      <c r="A3916" s="7">
        <v>1</v>
      </c>
      <c r="B3916" s="7">
        <v>5823</v>
      </c>
      <c r="C3916" s="7">
        <v>191</v>
      </c>
      <c r="D3916" s="8">
        <v>68884.06</v>
      </c>
      <c r="E3916" s="9">
        <v>1</v>
      </c>
    </row>
    <row r="3917" spans="1:5" x14ac:dyDescent="0.25">
      <c r="A3917" s="7">
        <v>1</v>
      </c>
      <c r="B3917" s="7">
        <v>5824</v>
      </c>
      <c r="C3917" s="7">
        <v>146</v>
      </c>
      <c r="D3917" s="8">
        <v>43984.15</v>
      </c>
      <c r="E3917" s="9">
        <v>1</v>
      </c>
    </row>
    <row r="3918" spans="1:5" x14ac:dyDescent="0.25">
      <c r="A3918" s="7">
        <v>1</v>
      </c>
      <c r="B3918" s="7">
        <v>5825</v>
      </c>
      <c r="C3918" s="7">
        <v>146</v>
      </c>
      <c r="D3918" s="8">
        <v>43984.15</v>
      </c>
      <c r="E3918" s="9">
        <v>1</v>
      </c>
    </row>
    <row r="3919" spans="1:5" x14ac:dyDescent="0.25">
      <c r="A3919" s="7">
        <v>1</v>
      </c>
      <c r="B3919" s="7">
        <v>5826</v>
      </c>
      <c r="C3919" s="7">
        <v>146</v>
      </c>
      <c r="D3919" s="8">
        <v>43984.15</v>
      </c>
      <c r="E3919" s="9">
        <v>1</v>
      </c>
    </row>
    <row r="3920" spans="1:5" x14ac:dyDescent="0.25">
      <c r="A3920" s="7">
        <v>1</v>
      </c>
      <c r="B3920" s="7">
        <v>5827</v>
      </c>
      <c r="C3920" s="7">
        <v>152</v>
      </c>
      <c r="D3920" s="8">
        <v>215390.22</v>
      </c>
      <c r="E3920" s="9">
        <v>1</v>
      </c>
    </row>
    <row r="3921" spans="1:5" x14ac:dyDescent="0.25">
      <c r="A3921" s="7">
        <v>1</v>
      </c>
      <c r="B3921" s="7">
        <v>5828</v>
      </c>
      <c r="C3921" s="7">
        <v>138</v>
      </c>
      <c r="D3921" s="8">
        <v>41609.05</v>
      </c>
      <c r="E3921" s="9">
        <v>1</v>
      </c>
    </row>
    <row r="3922" spans="1:5" x14ac:dyDescent="0.25">
      <c r="A3922" s="7">
        <v>1</v>
      </c>
      <c r="B3922" s="7">
        <v>5829</v>
      </c>
      <c r="C3922" s="7">
        <v>138</v>
      </c>
      <c r="D3922" s="8">
        <v>146813.76</v>
      </c>
      <c r="E3922" s="9">
        <v>1</v>
      </c>
    </row>
    <row r="3923" spans="1:5" x14ac:dyDescent="0.25">
      <c r="A3923" s="7">
        <v>1</v>
      </c>
      <c r="B3923" s="7">
        <v>5830</v>
      </c>
      <c r="C3923" s="7">
        <v>138</v>
      </c>
      <c r="D3923" s="8">
        <v>41609.05</v>
      </c>
      <c r="E3923" s="9">
        <v>1</v>
      </c>
    </row>
    <row r="3924" spans="1:5" x14ac:dyDescent="0.25">
      <c r="A3924" s="7">
        <v>1</v>
      </c>
      <c r="B3924" s="7">
        <v>5831</v>
      </c>
      <c r="C3924" s="7">
        <v>138</v>
      </c>
      <c r="D3924" s="8">
        <v>146813.76</v>
      </c>
      <c r="E3924" s="9">
        <v>1</v>
      </c>
    </row>
    <row r="3925" spans="1:5" x14ac:dyDescent="0.25">
      <c r="A3925" s="7">
        <v>1</v>
      </c>
      <c r="B3925" s="7">
        <v>5832</v>
      </c>
      <c r="C3925" s="7">
        <v>138</v>
      </c>
      <c r="D3925" s="8">
        <v>41609.05</v>
      </c>
      <c r="E3925" s="9">
        <v>1</v>
      </c>
    </row>
    <row r="3926" spans="1:5" x14ac:dyDescent="0.25">
      <c r="A3926" s="7">
        <v>1</v>
      </c>
      <c r="B3926" s="7">
        <v>5833</v>
      </c>
      <c r="C3926" s="7">
        <v>138</v>
      </c>
      <c r="D3926" s="8">
        <v>146813.76</v>
      </c>
      <c r="E3926" s="9">
        <v>1</v>
      </c>
    </row>
    <row r="3927" spans="1:5" x14ac:dyDescent="0.25">
      <c r="A3927" s="7">
        <v>1</v>
      </c>
      <c r="B3927" s="7">
        <v>5834</v>
      </c>
      <c r="C3927" s="7">
        <v>138</v>
      </c>
      <c r="D3927" s="8">
        <v>41609.05</v>
      </c>
      <c r="E3927" s="9">
        <v>1</v>
      </c>
    </row>
    <row r="3928" spans="1:5" x14ac:dyDescent="0.25">
      <c r="A3928" s="7">
        <v>1</v>
      </c>
      <c r="B3928" s="7">
        <v>5835</v>
      </c>
      <c r="C3928" s="7">
        <v>138</v>
      </c>
      <c r="D3928" s="8">
        <v>146813.76</v>
      </c>
      <c r="E3928" s="9">
        <v>1</v>
      </c>
    </row>
    <row r="3929" spans="1:5" x14ac:dyDescent="0.25">
      <c r="A3929" s="7">
        <v>1</v>
      </c>
      <c r="B3929" s="7">
        <v>5836</v>
      </c>
      <c r="C3929" s="7">
        <v>152</v>
      </c>
      <c r="D3929" s="8">
        <v>62505.91</v>
      </c>
      <c r="E3929" s="9">
        <v>1</v>
      </c>
    </row>
    <row r="3930" spans="1:5" x14ac:dyDescent="0.25">
      <c r="A3930" s="7">
        <v>1</v>
      </c>
      <c r="B3930" s="7">
        <v>5837</v>
      </c>
      <c r="C3930" s="7">
        <v>152</v>
      </c>
      <c r="D3930" s="8">
        <v>15824.42</v>
      </c>
      <c r="E3930" s="9">
        <v>1</v>
      </c>
    </row>
    <row r="3931" spans="1:5" x14ac:dyDescent="0.25">
      <c r="A3931" s="7">
        <v>1</v>
      </c>
      <c r="B3931" s="7">
        <v>5838</v>
      </c>
      <c r="C3931" s="7">
        <v>152</v>
      </c>
      <c r="D3931" s="8">
        <v>53813.43</v>
      </c>
      <c r="E3931" s="9">
        <v>1</v>
      </c>
    </row>
    <row r="3932" spans="1:5" x14ac:dyDescent="0.25">
      <c r="A3932" s="7">
        <v>1</v>
      </c>
      <c r="B3932" s="7">
        <v>5839</v>
      </c>
      <c r="C3932" s="7">
        <v>152</v>
      </c>
      <c r="D3932" s="8">
        <v>121419</v>
      </c>
      <c r="E3932" s="9">
        <v>1</v>
      </c>
    </row>
    <row r="3933" spans="1:5" x14ac:dyDescent="0.25">
      <c r="A3933" s="7">
        <v>1</v>
      </c>
      <c r="B3933" s="7">
        <v>5840</v>
      </c>
      <c r="C3933" s="7">
        <v>152</v>
      </c>
      <c r="D3933" s="8">
        <v>208844.69</v>
      </c>
      <c r="E3933" s="9">
        <v>1</v>
      </c>
    </row>
    <row r="3934" spans="1:5" x14ac:dyDescent="0.25">
      <c r="A3934" s="7">
        <v>1</v>
      </c>
      <c r="B3934" s="7">
        <v>5844</v>
      </c>
      <c r="C3934" s="7">
        <v>152</v>
      </c>
      <c r="D3934" s="8">
        <v>215390.22</v>
      </c>
      <c r="E3934" s="9">
        <v>1</v>
      </c>
    </row>
    <row r="3935" spans="1:5" x14ac:dyDescent="0.25">
      <c r="A3935" s="7">
        <v>1</v>
      </c>
      <c r="B3935" s="7">
        <v>5845</v>
      </c>
      <c r="C3935" s="7">
        <v>138</v>
      </c>
      <c r="D3935" s="8">
        <v>40723.08</v>
      </c>
      <c r="E3935" s="9">
        <v>1</v>
      </c>
    </row>
    <row r="3936" spans="1:5" x14ac:dyDescent="0.25">
      <c r="A3936" s="7">
        <v>1</v>
      </c>
      <c r="B3936" s="7">
        <v>5846</v>
      </c>
      <c r="C3936" s="7">
        <v>138</v>
      </c>
      <c r="D3936" s="8">
        <v>67642.15</v>
      </c>
      <c r="E3936" s="9">
        <v>1</v>
      </c>
    </row>
    <row r="3937" spans="1:5" x14ac:dyDescent="0.25">
      <c r="A3937" s="7">
        <v>1</v>
      </c>
      <c r="B3937" s="7">
        <v>5847</v>
      </c>
      <c r="C3937" s="7">
        <v>138</v>
      </c>
      <c r="D3937" s="8">
        <v>122116.52</v>
      </c>
      <c r="E3937" s="9">
        <v>1</v>
      </c>
    </row>
    <row r="3938" spans="1:5" x14ac:dyDescent="0.25">
      <c r="A3938" s="7">
        <v>1</v>
      </c>
      <c r="B3938" s="7">
        <v>5848</v>
      </c>
      <c r="C3938" s="7">
        <v>138</v>
      </c>
      <c r="D3938" s="8">
        <v>40723.05</v>
      </c>
      <c r="E3938" s="9">
        <v>1</v>
      </c>
    </row>
    <row r="3939" spans="1:5" x14ac:dyDescent="0.25">
      <c r="A3939" s="7">
        <v>1</v>
      </c>
      <c r="B3939" s="7">
        <v>5849</v>
      </c>
      <c r="C3939" s="7">
        <v>138</v>
      </c>
      <c r="D3939" s="8">
        <v>67642.15</v>
      </c>
      <c r="E3939" s="9">
        <v>1</v>
      </c>
    </row>
    <row r="3940" spans="1:5" x14ac:dyDescent="0.25">
      <c r="A3940" s="7">
        <v>1</v>
      </c>
      <c r="B3940" s="7">
        <v>5850</v>
      </c>
      <c r="C3940" s="7">
        <v>138</v>
      </c>
      <c r="D3940" s="8">
        <v>122116.5</v>
      </c>
      <c r="E3940" s="9">
        <v>1</v>
      </c>
    </row>
    <row r="3941" spans="1:5" x14ac:dyDescent="0.25">
      <c r="A3941" s="7">
        <v>1</v>
      </c>
      <c r="B3941" s="7">
        <v>5851</v>
      </c>
      <c r="C3941" s="7">
        <v>138</v>
      </c>
      <c r="D3941" s="8">
        <v>40723.05</v>
      </c>
      <c r="E3941" s="9">
        <v>1</v>
      </c>
    </row>
    <row r="3942" spans="1:5" x14ac:dyDescent="0.25">
      <c r="A3942" s="7">
        <v>1</v>
      </c>
      <c r="B3942" s="7">
        <v>5852</v>
      </c>
      <c r="C3942" s="7">
        <v>138</v>
      </c>
      <c r="D3942" s="8">
        <v>67642.15</v>
      </c>
      <c r="E3942" s="9">
        <v>1</v>
      </c>
    </row>
    <row r="3943" spans="1:5" x14ac:dyDescent="0.25">
      <c r="A3943" s="7">
        <v>1</v>
      </c>
      <c r="B3943" s="7">
        <v>5853</v>
      </c>
      <c r="C3943" s="7">
        <v>138</v>
      </c>
      <c r="D3943" s="8">
        <v>122116.5</v>
      </c>
      <c r="E3943" s="9">
        <v>1</v>
      </c>
    </row>
    <row r="3944" spans="1:5" x14ac:dyDescent="0.25">
      <c r="A3944" s="7">
        <v>1</v>
      </c>
      <c r="B3944" s="7">
        <v>5857</v>
      </c>
      <c r="C3944" s="7">
        <v>195</v>
      </c>
      <c r="D3944" s="8">
        <v>140581.79</v>
      </c>
      <c r="E3944" s="9">
        <v>1</v>
      </c>
    </row>
    <row r="3945" spans="1:5" x14ac:dyDescent="0.25">
      <c r="A3945" s="7">
        <v>1</v>
      </c>
      <c r="B3945" s="7">
        <v>5859</v>
      </c>
      <c r="C3945" s="7">
        <v>195</v>
      </c>
      <c r="D3945" s="8">
        <v>137240.4</v>
      </c>
      <c r="E3945" s="9">
        <v>1</v>
      </c>
    </row>
    <row r="3946" spans="1:5" x14ac:dyDescent="0.25">
      <c r="A3946" s="7">
        <v>1</v>
      </c>
      <c r="B3946" s="7">
        <v>5866</v>
      </c>
      <c r="C3946" s="7">
        <v>163</v>
      </c>
      <c r="D3946" s="8">
        <v>44106.91</v>
      </c>
      <c r="E3946" s="9">
        <v>1</v>
      </c>
    </row>
    <row r="3947" spans="1:5" x14ac:dyDescent="0.25">
      <c r="A3947" s="7">
        <v>1</v>
      </c>
      <c r="B3947" s="7">
        <v>5868</v>
      </c>
      <c r="C3947" s="7">
        <v>163</v>
      </c>
      <c r="D3947" s="8">
        <v>130623.03</v>
      </c>
      <c r="E3947" s="9">
        <v>1</v>
      </c>
    </row>
    <row r="3948" spans="1:5" x14ac:dyDescent="0.25">
      <c r="A3948" s="7">
        <v>1</v>
      </c>
      <c r="B3948" s="7">
        <v>5876</v>
      </c>
      <c r="C3948" s="7">
        <v>108</v>
      </c>
      <c r="D3948" s="8">
        <v>21056.76</v>
      </c>
      <c r="E3948" s="9">
        <v>1</v>
      </c>
    </row>
    <row r="3949" spans="1:5" x14ac:dyDescent="0.25">
      <c r="A3949" s="7">
        <v>1</v>
      </c>
      <c r="B3949" s="7">
        <v>5877</v>
      </c>
      <c r="C3949" s="7">
        <v>108</v>
      </c>
      <c r="D3949" s="8">
        <v>66976.37</v>
      </c>
      <c r="E3949" s="9">
        <v>1</v>
      </c>
    </row>
    <row r="3950" spans="1:5" x14ac:dyDescent="0.25">
      <c r="A3950" s="7">
        <v>1</v>
      </c>
      <c r="B3950" s="7">
        <v>5878</v>
      </c>
      <c r="C3950" s="7">
        <v>108</v>
      </c>
      <c r="D3950" s="8">
        <v>229603.4</v>
      </c>
      <c r="E3950" s="9">
        <v>1</v>
      </c>
    </row>
    <row r="3951" spans="1:5" x14ac:dyDescent="0.25">
      <c r="A3951" s="7">
        <v>1</v>
      </c>
      <c r="B3951" s="7">
        <v>5879</v>
      </c>
      <c r="C3951" s="7">
        <v>108</v>
      </c>
      <c r="D3951" s="8">
        <v>22266.74</v>
      </c>
      <c r="E3951" s="9">
        <v>1</v>
      </c>
    </row>
    <row r="3952" spans="1:5" x14ac:dyDescent="0.25">
      <c r="A3952" s="7">
        <v>1</v>
      </c>
      <c r="B3952" s="7">
        <v>5880</v>
      </c>
      <c r="C3952" s="7">
        <v>108</v>
      </c>
      <c r="D3952" s="8">
        <v>70826.16</v>
      </c>
      <c r="E3952" s="9">
        <v>1</v>
      </c>
    </row>
    <row r="3953" spans="1:5" x14ac:dyDescent="0.25">
      <c r="A3953" s="7">
        <v>1</v>
      </c>
      <c r="B3953" s="7">
        <v>5881</v>
      </c>
      <c r="C3953" s="7">
        <v>108</v>
      </c>
      <c r="D3953" s="8">
        <v>145916.9</v>
      </c>
      <c r="E3953" s="9">
        <v>1</v>
      </c>
    </row>
    <row r="3954" spans="1:5" x14ac:dyDescent="0.25">
      <c r="A3954" s="7">
        <v>1</v>
      </c>
      <c r="B3954" s="7">
        <v>5882</v>
      </c>
      <c r="C3954" s="7">
        <v>108</v>
      </c>
      <c r="D3954" s="8">
        <v>242799.18</v>
      </c>
      <c r="E3954" s="9">
        <v>1</v>
      </c>
    </row>
    <row r="3955" spans="1:5" x14ac:dyDescent="0.25">
      <c r="A3955" s="7">
        <v>1</v>
      </c>
      <c r="B3955" s="7">
        <v>5883</v>
      </c>
      <c r="C3955" s="7">
        <v>108</v>
      </c>
      <c r="D3955" s="8">
        <v>18635.41</v>
      </c>
      <c r="E3955" s="9">
        <v>1</v>
      </c>
    </row>
    <row r="3956" spans="1:5" x14ac:dyDescent="0.25">
      <c r="A3956" s="7">
        <v>1</v>
      </c>
      <c r="B3956" s="7">
        <v>5884</v>
      </c>
      <c r="C3956" s="7">
        <v>108</v>
      </c>
      <c r="D3956" s="8">
        <v>59278.13</v>
      </c>
      <c r="E3956" s="9">
        <v>1</v>
      </c>
    </row>
    <row r="3957" spans="1:5" x14ac:dyDescent="0.25">
      <c r="A3957" s="7">
        <v>1</v>
      </c>
      <c r="B3957" s="7">
        <v>5885</v>
      </c>
      <c r="C3957" s="7">
        <v>107</v>
      </c>
      <c r="D3957" s="8">
        <v>23172.57</v>
      </c>
      <c r="E3957" s="9">
        <v>1</v>
      </c>
    </row>
    <row r="3958" spans="1:5" x14ac:dyDescent="0.25">
      <c r="A3958" s="7">
        <v>1</v>
      </c>
      <c r="B3958" s="7">
        <v>5886</v>
      </c>
      <c r="C3958" s="7">
        <v>107</v>
      </c>
      <c r="D3958" s="8">
        <v>73637.81</v>
      </c>
      <c r="E3958" s="9">
        <v>1</v>
      </c>
    </row>
    <row r="3959" spans="1:5" x14ac:dyDescent="0.25">
      <c r="A3959" s="7">
        <v>1</v>
      </c>
      <c r="B3959" s="7">
        <v>5887</v>
      </c>
      <c r="C3959" s="7">
        <v>107</v>
      </c>
      <c r="D3959" s="8">
        <v>151395.21</v>
      </c>
      <c r="E3959" s="9">
        <v>1</v>
      </c>
    </row>
    <row r="3960" spans="1:5" x14ac:dyDescent="0.25">
      <c r="A3960" s="7">
        <v>1</v>
      </c>
      <c r="B3960" s="7">
        <v>5888</v>
      </c>
      <c r="C3960" s="7">
        <v>107</v>
      </c>
      <c r="D3960" s="8">
        <v>251038.19</v>
      </c>
      <c r="E3960" s="9">
        <v>1</v>
      </c>
    </row>
    <row r="3961" spans="1:5" x14ac:dyDescent="0.25">
      <c r="A3961" s="7">
        <v>1</v>
      </c>
      <c r="B3961" s="7">
        <v>5889</v>
      </c>
      <c r="C3961" s="7">
        <v>108</v>
      </c>
      <c r="D3961" s="8">
        <v>47353.95</v>
      </c>
      <c r="E3961" s="9">
        <v>1</v>
      </c>
    </row>
    <row r="3962" spans="1:5" x14ac:dyDescent="0.25">
      <c r="A3962" s="7">
        <v>1</v>
      </c>
      <c r="B3962" s="7">
        <v>5890</v>
      </c>
      <c r="C3962" s="7">
        <v>108</v>
      </c>
      <c r="D3962" s="8">
        <v>162755.02</v>
      </c>
      <c r="E3962" s="9">
        <v>1</v>
      </c>
    </row>
    <row r="3963" spans="1:5" x14ac:dyDescent="0.25">
      <c r="A3963" s="7">
        <v>1</v>
      </c>
      <c r="B3963" s="7">
        <v>5899</v>
      </c>
      <c r="C3963" s="7">
        <v>152</v>
      </c>
      <c r="D3963" s="8">
        <v>215390.22</v>
      </c>
      <c r="E3963" s="9">
        <v>1</v>
      </c>
    </row>
    <row r="3964" spans="1:5" x14ac:dyDescent="0.25">
      <c r="A3964" s="7">
        <v>1</v>
      </c>
      <c r="B3964" s="7">
        <v>5900</v>
      </c>
      <c r="C3964" s="7">
        <v>136</v>
      </c>
      <c r="D3964" s="8">
        <v>12747.45</v>
      </c>
      <c r="E3964" s="9">
        <v>1</v>
      </c>
    </row>
    <row r="3965" spans="1:5" x14ac:dyDescent="0.25">
      <c r="A3965" s="7">
        <v>1</v>
      </c>
      <c r="B3965" s="7">
        <v>5902</v>
      </c>
      <c r="C3965" s="7">
        <v>152</v>
      </c>
      <c r="D3965" s="8">
        <v>11798.81</v>
      </c>
      <c r="E3965" s="9">
        <v>1</v>
      </c>
    </row>
    <row r="3966" spans="1:5" x14ac:dyDescent="0.25">
      <c r="A3966" s="7">
        <v>1</v>
      </c>
      <c r="B3966" s="7">
        <v>5903</v>
      </c>
      <c r="C3966" s="7">
        <v>152</v>
      </c>
      <c r="D3966" s="8">
        <v>41905.67</v>
      </c>
      <c r="E3966" s="9">
        <v>1</v>
      </c>
    </row>
    <row r="3967" spans="1:5" x14ac:dyDescent="0.25">
      <c r="A3967" s="7">
        <v>1</v>
      </c>
      <c r="B3967" s="7">
        <v>5904</v>
      </c>
      <c r="C3967" s="7">
        <v>152</v>
      </c>
      <c r="D3967" s="8">
        <v>171646.92</v>
      </c>
      <c r="E3967" s="9">
        <v>1</v>
      </c>
    </row>
    <row r="3968" spans="1:5" x14ac:dyDescent="0.25">
      <c r="A3968" s="7">
        <v>1</v>
      </c>
      <c r="B3968" s="7">
        <v>5916</v>
      </c>
      <c r="C3968" s="7">
        <v>198</v>
      </c>
      <c r="D3968" s="8">
        <v>12.13</v>
      </c>
      <c r="E3968" s="9">
        <v>2</v>
      </c>
    </row>
    <row r="3969" spans="1:5" x14ac:dyDescent="0.25">
      <c r="A3969" s="7">
        <v>1</v>
      </c>
      <c r="B3969" s="7">
        <v>5917</v>
      </c>
      <c r="C3969" s="7">
        <v>198</v>
      </c>
      <c r="D3969" s="8">
        <v>45.99</v>
      </c>
      <c r="E3969" s="9">
        <v>2</v>
      </c>
    </row>
    <row r="3970" spans="1:5" x14ac:dyDescent="0.25">
      <c r="A3970" s="7">
        <v>1</v>
      </c>
      <c r="B3970" s="7">
        <v>5918</v>
      </c>
      <c r="C3970" s="7">
        <v>198</v>
      </c>
      <c r="D3970" s="8">
        <v>107.02</v>
      </c>
      <c r="E3970" s="9">
        <v>2</v>
      </c>
    </row>
    <row r="3971" spans="1:5" x14ac:dyDescent="0.25">
      <c r="A3971" s="7">
        <v>1</v>
      </c>
      <c r="B3971" s="7">
        <v>5919</v>
      </c>
      <c r="C3971" s="7">
        <v>198</v>
      </c>
      <c r="D3971" s="8">
        <v>187.04</v>
      </c>
      <c r="E3971" s="9">
        <v>2</v>
      </c>
    </row>
    <row r="3972" spans="1:5" x14ac:dyDescent="0.25">
      <c r="A3972" s="7">
        <v>1</v>
      </c>
      <c r="B3972" s="7">
        <v>5920</v>
      </c>
      <c r="C3972" s="7">
        <v>198</v>
      </c>
      <c r="D3972" s="8">
        <v>16.25</v>
      </c>
      <c r="E3972" s="9">
        <v>2</v>
      </c>
    </row>
    <row r="3973" spans="1:5" x14ac:dyDescent="0.25">
      <c r="A3973" s="7">
        <v>1</v>
      </c>
      <c r="B3973" s="7">
        <v>5921</v>
      </c>
      <c r="C3973" s="7">
        <v>198</v>
      </c>
      <c r="D3973" s="8">
        <v>60.29</v>
      </c>
      <c r="E3973" s="9">
        <v>2</v>
      </c>
    </row>
    <row r="3974" spans="1:5" x14ac:dyDescent="0.25">
      <c r="A3974" s="7">
        <v>1</v>
      </c>
      <c r="B3974" s="7">
        <v>5922</v>
      </c>
      <c r="C3974" s="7">
        <v>198</v>
      </c>
      <c r="D3974" s="8">
        <v>249.46</v>
      </c>
      <c r="E3974" s="9">
        <v>2</v>
      </c>
    </row>
    <row r="3975" spans="1:5" x14ac:dyDescent="0.25">
      <c r="A3975" s="7">
        <v>1</v>
      </c>
      <c r="B3975" s="7">
        <v>5923</v>
      </c>
      <c r="C3975" s="7">
        <v>198</v>
      </c>
      <c r="D3975" s="8">
        <v>42.73</v>
      </c>
      <c r="E3975" s="9">
        <v>2</v>
      </c>
    </row>
    <row r="3976" spans="1:5" x14ac:dyDescent="0.25">
      <c r="A3976" s="7">
        <v>1</v>
      </c>
      <c r="B3976" s="7">
        <v>5924</v>
      </c>
      <c r="C3976" s="7">
        <v>198</v>
      </c>
      <c r="D3976" s="8">
        <v>159.47</v>
      </c>
      <c r="E3976" s="9">
        <v>2</v>
      </c>
    </row>
    <row r="3977" spans="1:5" x14ac:dyDescent="0.25">
      <c r="A3977" s="7">
        <v>1</v>
      </c>
      <c r="B3977" s="7">
        <v>5925</v>
      </c>
      <c r="C3977" s="7">
        <v>198</v>
      </c>
      <c r="D3977" s="8">
        <v>659.84</v>
      </c>
      <c r="E3977" s="9">
        <v>2</v>
      </c>
    </row>
    <row r="3978" spans="1:5" x14ac:dyDescent="0.25">
      <c r="A3978" s="7">
        <v>1</v>
      </c>
      <c r="B3978" s="7">
        <v>5926</v>
      </c>
      <c r="C3978" s="7">
        <v>198</v>
      </c>
      <c r="D3978" s="8">
        <v>10.15</v>
      </c>
      <c r="E3978" s="9">
        <v>2</v>
      </c>
    </row>
    <row r="3979" spans="1:5" x14ac:dyDescent="0.25">
      <c r="A3979" s="7">
        <v>1</v>
      </c>
      <c r="B3979" s="7">
        <v>5927</v>
      </c>
      <c r="C3979" s="7">
        <v>198</v>
      </c>
      <c r="D3979" s="8">
        <v>17.83</v>
      </c>
      <c r="E3979" s="9">
        <v>2</v>
      </c>
    </row>
    <row r="3980" spans="1:5" x14ac:dyDescent="0.25">
      <c r="A3980" s="7">
        <v>1</v>
      </c>
      <c r="B3980" s="7">
        <v>5928</v>
      </c>
      <c r="C3980" s="7">
        <v>198</v>
      </c>
      <c r="D3980" s="8">
        <v>66.4</v>
      </c>
      <c r="E3980" s="9">
        <v>2</v>
      </c>
    </row>
    <row r="3981" spans="1:5" x14ac:dyDescent="0.25">
      <c r="A3981" s="7">
        <v>1</v>
      </c>
      <c r="B3981" s="7">
        <v>5929</v>
      </c>
      <c r="C3981" s="7">
        <v>198</v>
      </c>
      <c r="D3981" s="8">
        <v>154.49</v>
      </c>
      <c r="E3981" s="9">
        <v>2</v>
      </c>
    </row>
    <row r="3982" spans="1:5" x14ac:dyDescent="0.25">
      <c r="A3982" s="7">
        <v>1</v>
      </c>
      <c r="B3982" s="7">
        <v>5930</v>
      </c>
      <c r="C3982" s="7">
        <v>137</v>
      </c>
      <c r="D3982" s="8">
        <v>27403.83</v>
      </c>
      <c r="E3982" s="9">
        <v>1</v>
      </c>
    </row>
    <row r="3983" spans="1:5" x14ac:dyDescent="0.25">
      <c r="A3983" s="7">
        <v>1</v>
      </c>
      <c r="B3983" s="7">
        <v>5931</v>
      </c>
      <c r="C3983" s="7">
        <v>137</v>
      </c>
      <c r="D3983" s="8">
        <v>22497.48</v>
      </c>
      <c r="E3983" s="9">
        <v>1</v>
      </c>
    </row>
    <row r="3984" spans="1:5" x14ac:dyDescent="0.25">
      <c r="A3984" s="7">
        <v>1</v>
      </c>
      <c r="B3984" s="7">
        <v>5932</v>
      </c>
      <c r="C3984" s="7">
        <v>137</v>
      </c>
      <c r="D3984" s="8">
        <v>80415.2</v>
      </c>
      <c r="E3984" s="9">
        <v>1</v>
      </c>
    </row>
    <row r="3985" spans="1:5" x14ac:dyDescent="0.25">
      <c r="A3985" s="7">
        <v>1</v>
      </c>
      <c r="B3985" s="7">
        <v>5933</v>
      </c>
      <c r="C3985" s="7">
        <v>137</v>
      </c>
      <c r="D3985" s="8">
        <v>22782.08</v>
      </c>
      <c r="E3985" s="9">
        <v>1</v>
      </c>
    </row>
    <row r="3986" spans="1:5" x14ac:dyDescent="0.25">
      <c r="A3986" s="7">
        <v>1</v>
      </c>
      <c r="B3986" s="7">
        <v>5934</v>
      </c>
      <c r="C3986" s="7">
        <v>137</v>
      </c>
      <c r="D3986" s="8">
        <v>21808.08</v>
      </c>
      <c r="E3986" s="9">
        <v>1</v>
      </c>
    </row>
    <row r="3987" spans="1:5" x14ac:dyDescent="0.25">
      <c r="A3987" s="7">
        <v>1</v>
      </c>
      <c r="B3987" s="7">
        <v>5935</v>
      </c>
      <c r="C3987" s="7">
        <v>137</v>
      </c>
      <c r="D3987" s="8">
        <v>34854.9</v>
      </c>
      <c r="E3987" s="9">
        <v>1</v>
      </c>
    </row>
    <row r="3988" spans="1:5" x14ac:dyDescent="0.25">
      <c r="A3988" s="7">
        <v>1</v>
      </c>
      <c r="B3988" s="7">
        <v>5936</v>
      </c>
      <c r="C3988" s="7">
        <v>137</v>
      </c>
      <c r="D3988" s="8">
        <v>125191.06</v>
      </c>
      <c r="E3988" s="9">
        <v>1</v>
      </c>
    </row>
    <row r="3989" spans="1:5" x14ac:dyDescent="0.25">
      <c r="A3989" s="7">
        <v>1</v>
      </c>
      <c r="B3989" s="7">
        <v>5937</v>
      </c>
      <c r="C3989" s="7">
        <v>137</v>
      </c>
      <c r="D3989" s="8">
        <v>21778.53</v>
      </c>
      <c r="E3989" s="9">
        <v>1</v>
      </c>
    </row>
    <row r="3990" spans="1:5" x14ac:dyDescent="0.25">
      <c r="A3990" s="7">
        <v>1</v>
      </c>
      <c r="B3990" s="7">
        <v>5938</v>
      </c>
      <c r="C3990" s="7">
        <v>137</v>
      </c>
      <c r="D3990" s="8">
        <v>77818.52</v>
      </c>
      <c r="E3990" s="9">
        <v>1</v>
      </c>
    </row>
    <row r="3991" spans="1:5" x14ac:dyDescent="0.25">
      <c r="A3991" s="7">
        <v>1</v>
      </c>
      <c r="B3991" s="7">
        <v>5939</v>
      </c>
      <c r="C3991" s="7">
        <v>137</v>
      </c>
      <c r="D3991" s="8">
        <v>16974.52</v>
      </c>
      <c r="E3991" s="9">
        <v>1</v>
      </c>
    </row>
    <row r="3992" spans="1:5" x14ac:dyDescent="0.25">
      <c r="A3992" s="7">
        <v>1</v>
      </c>
      <c r="B3992" s="7">
        <v>5940</v>
      </c>
      <c r="C3992" s="7">
        <v>137</v>
      </c>
      <c r="D3992" s="8">
        <v>26129.6</v>
      </c>
      <c r="E3992" s="9">
        <v>1</v>
      </c>
    </row>
    <row r="3993" spans="1:5" x14ac:dyDescent="0.25">
      <c r="A3993" s="7">
        <v>1</v>
      </c>
      <c r="B3993" s="7">
        <v>5941</v>
      </c>
      <c r="C3993" s="7">
        <v>137</v>
      </c>
      <c r="D3993" s="8">
        <v>16974.52</v>
      </c>
      <c r="E3993" s="9">
        <v>1</v>
      </c>
    </row>
    <row r="3994" spans="1:5" x14ac:dyDescent="0.25">
      <c r="A3994" s="7">
        <v>1</v>
      </c>
      <c r="B3994" s="7">
        <v>5942</v>
      </c>
      <c r="C3994" s="7">
        <v>137</v>
      </c>
      <c r="D3994" s="8">
        <v>26129.6</v>
      </c>
      <c r="E3994" s="9">
        <v>1</v>
      </c>
    </row>
    <row r="3995" spans="1:5" x14ac:dyDescent="0.25">
      <c r="A3995" s="7">
        <v>1</v>
      </c>
      <c r="B3995" s="7">
        <v>5943</v>
      </c>
      <c r="C3995" s="7">
        <v>137</v>
      </c>
      <c r="D3995" s="8">
        <v>16974.52</v>
      </c>
      <c r="E3995" s="9">
        <v>1</v>
      </c>
    </row>
    <row r="3996" spans="1:5" x14ac:dyDescent="0.25">
      <c r="A3996" s="7">
        <v>1</v>
      </c>
      <c r="B3996" s="7">
        <v>5944</v>
      </c>
      <c r="C3996" s="7">
        <v>137</v>
      </c>
      <c r="D3996" s="8">
        <v>26129.6</v>
      </c>
      <c r="E3996" s="9">
        <v>1</v>
      </c>
    </row>
    <row r="3997" spans="1:5" x14ac:dyDescent="0.25">
      <c r="A3997" s="7">
        <v>1</v>
      </c>
      <c r="B3997" s="7">
        <v>5947</v>
      </c>
      <c r="C3997" s="7">
        <v>195</v>
      </c>
      <c r="D3997" s="8">
        <v>299560.25</v>
      </c>
      <c r="E3997" s="9">
        <v>1</v>
      </c>
    </row>
    <row r="3998" spans="1:5" x14ac:dyDescent="0.25">
      <c r="A3998" s="7">
        <v>1</v>
      </c>
      <c r="B3998" s="7">
        <v>5952</v>
      </c>
      <c r="C3998" s="7">
        <v>108</v>
      </c>
      <c r="D3998" s="8">
        <v>13657.42</v>
      </c>
      <c r="E3998" s="9">
        <v>1</v>
      </c>
    </row>
    <row r="3999" spans="1:5" x14ac:dyDescent="0.25">
      <c r="A3999" s="7">
        <v>1</v>
      </c>
      <c r="B3999" s="7">
        <v>5953</v>
      </c>
      <c r="C3999" s="7">
        <v>108</v>
      </c>
      <c r="D3999" s="8">
        <v>43498.51</v>
      </c>
      <c r="E3999" s="9">
        <v>1</v>
      </c>
    </row>
    <row r="4000" spans="1:5" x14ac:dyDescent="0.25">
      <c r="A4000" s="7">
        <v>1</v>
      </c>
      <c r="B4000" s="7">
        <v>5954</v>
      </c>
      <c r="C4000" s="7">
        <v>108</v>
      </c>
      <c r="D4000" s="8">
        <v>150228.34</v>
      </c>
      <c r="E4000" s="9">
        <v>1</v>
      </c>
    </row>
    <row r="4001" spans="1:5" x14ac:dyDescent="0.25">
      <c r="A4001" s="7">
        <v>1</v>
      </c>
      <c r="B4001" s="7">
        <v>5955</v>
      </c>
      <c r="C4001" s="7">
        <v>108</v>
      </c>
      <c r="D4001" s="8">
        <v>14442.65</v>
      </c>
      <c r="E4001" s="9">
        <v>1</v>
      </c>
    </row>
    <row r="4002" spans="1:5" x14ac:dyDescent="0.25">
      <c r="A4002" s="7">
        <v>1</v>
      </c>
      <c r="B4002" s="7">
        <v>5956</v>
      </c>
      <c r="C4002" s="7">
        <v>108</v>
      </c>
      <c r="D4002" s="8">
        <v>45998.43</v>
      </c>
      <c r="E4002" s="9">
        <v>1</v>
      </c>
    </row>
    <row r="4003" spans="1:5" x14ac:dyDescent="0.25">
      <c r="A4003" s="7">
        <v>1</v>
      </c>
      <c r="B4003" s="7">
        <v>5957</v>
      </c>
      <c r="C4003" s="7">
        <v>108</v>
      </c>
      <c r="D4003" s="8">
        <v>158862.82</v>
      </c>
      <c r="E4003" s="9">
        <v>1</v>
      </c>
    </row>
    <row r="4004" spans="1:5" x14ac:dyDescent="0.25">
      <c r="A4004" s="7">
        <v>1</v>
      </c>
      <c r="B4004" s="7">
        <v>5958</v>
      </c>
      <c r="C4004" s="7">
        <v>107</v>
      </c>
      <c r="D4004" s="8">
        <v>15069.69</v>
      </c>
      <c r="E4004" s="9">
        <v>1</v>
      </c>
    </row>
    <row r="4005" spans="1:5" x14ac:dyDescent="0.25">
      <c r="A4005" s="7">
        <v>1</v>
      </c>
      <c r="B4005" s="7">
        <v>5959</v>
      </c>
      <c r="C4005" s="7">
        <v>107</v>
      </c>
      <c r="D4005" s="8">
        <v>53598.42</v>
      </c>
      <c r="E4005" s="9">
        <v>1</v>
      </c>
    </row>
    <row r="4006" spans="1:5" x14ac:dyDescent="0.25">
      <c r="A4006" s="7">
        <v>1</v>
      </c>
      <c r="B4006" s="7">
        <v>5960</v>
      </c>
      <c r="C4006" s="7">
        <v>107</v>
      </c>
      <c r="D4006" s="8">
        <v>110530.96</v>
      </c>
      <c r="E4006" s="9">
        <v>1</v>
      </c>
    </row>
    <row r="4007" spans="1:5" x14ac:dyDescent="0.25">
      <c r="A4007" s="7">
        <v>1</v>
      </c>
      <c r="B4007" s="7">
        <v>5961</v>
      </c>
      <c r="C4007" s="7">
        <v>107</v>
      </c>
      <c r="D4007" s="8">
        <v>187451.18</v>
      </c>
      <c r="E4007" s="9">
        <v>1</v>
      </c>
    </row>
    <row r="4008" spans="1:5" x14ac:dyDescent="0.25">
      <c r="A4008" s="7">
        <v>1</v>
      </c>
      <c r="B4008" s="7">
        <v>5962</v>
      </c>
      <c r="C4008" s="7">
        <v>107</v>
      </c>
      <c r="D4008" s="8">
        <v>32826.42</v>
      </c>
      <c r="E4008" s="9">
        <v>1</v>
      </c>
    </row>
    <row r="4009" spans="1:5" x14ac:dyDescent="0.25">
      <c r="A4009" s="7">
        <v>1</v>
      </c>
      <c r="B4009" s="7">
        <v>5962</v>
      </c>
      <c r="C4009" s="7">
        <v>107</v>
      </c>
      <c r="D4009" s="8">
        <v>32826.42</v>
      </c>
      <c r="E4009" s="9">
        <v>1</v>
      </c>
    </row>
    <row r="4010" spans="1:5" x14ac:dyDescent="0.25">
      <c r="A4010" s="7">
        <v>1</v>
      </c>
      <c r="B4010" s="7">
        <v>5963</v>
      </c>
      <c r="C4010" s="7">
        <v>107</v>
      </c>
      <c r="D4010" s="8">
        <v>110837.02</v>
      </c>
      <c r="E4010" s="9">
        <v>1</v>
      </c>
    </row>
    <row r="4011" spans="1:5" x14ac:dyDescent="0.25">
      <c r="A4011" s="7">
        <v>1</v>
      </c>
      <c r="B4011" s="7">
        <v>5963</v>
      </c>
      <c r="C4011" s="7">
        <v>107</v>
      </c>
      <c r="D4011" s="8">
        <v>110837.02</v>
      </c>
      <c r="E4011" s="9">
        <v>1</v>
      </c>
    </row>
    <row r="4012" spans="1:5" x14ac:dyDescent="0.25">
      <c r="A4012" s="7">
        <v>1</v>
      </c>
      <c r="B4012" s="7">
        <v>6000</v>
      </c>
      <c r="C4012" s="7">
        <v>202</v>
      </c>
      <c r="D4012" s="8">
        <v>126</v>
      </c>
      <c r="E4012" s="9">
        <v>2</v>
      </c>
    </row>
    <row r="4013" spans="1:5" x14ac:dyDescent="0.25">
      <c r="A4013" s="7">
        <v>1</v>
      </c>
      <c r="B4013" s="7">
        <v>6005</v>
      </c>
      <c r="C4013" s="7">
        <v>199</v>
      </c>
      <c r="D4013" s="8">
        <v>988680.15</v>
      </c>
      <c r="E4013" s="9">
        <v>1</v>
      </c>
    </row>
    <row r="4014" spans="1:5" x14ac:dyDescent="0.25">
      <c r="A4014" s="7">
        <v>1</v>
      </c>
      <c r="B4014" s="7">
        <v>6006</v>
      </c>
      <c r="C4014" s="7">
        <v>199</v>
      </c>
      <c r="D4014" s="8">
        <v>6163812.02</v>
      </c>
      <c r="E4014" s="9">
        <v>1</v>
      </c>
    </row>
    <row r="4015" spans="1:5" x14ac:dyDescent="0.25">
      <c r="A4015" s="7">
        <v>1</v>
      </c>
      <c r="B4015" s="7">
        <v>6007</v>
      </c>
      <c r="C4015" s="7">
        <v>199</v>
      </c>
      <c r="D4015" s="8">
        <v>1413548.8</v>
      </c>
      <c r="E4015" s="9">
        <v>1</v>
      </c>
    </row>
    <row r="4016" spans="1:5" x14ac:dyDescent="0.25">
      <c r="A4016" s="7">
        <v>1</v>
      </c>
      <c r="B4016" s="7">
        <v>6008</v>
      </c>
      <c r="C4016" s="7">
        <v>201</v>
      </c>
      <c r="D4016" s="8">
        <v>163191.35</v>
      </c>
      <c r="E4016" s="9">
        <v>1</v>
      </c>
    </row>
    <row r="4017" spans="1:5" x14ac:dyDescent="0.25">
      <c r="A4017" s="7">
        <v>1</v>
      </c>
      <c r="B4017" s="7">
        <v>6012</v>
      </c>
      <c r="C4017" s="7">
        <v>134</v>
      </c>
      <c r="D4017" s="8">
        <v>8800</v>
      </c>
      <c r="E4017" s="9">
        <v>3</v>
      </c>
    </row>
    <row r="4018" spans="1:5" x14ac:dyDescent="0.25">
      <c r="A4018" s="7">
        <v>1</v>
      </c>
      <c r="B4018" s="7">
        <v>6059</v>
      </c>
      <c r="C4018" s="7">
        <v>137</v>
      </c>
      <c r="D4018" s="8">
        <v>15440.91</v>
      </c>
      <c r="E4018" s="9">
        <v>1</v>
      </c>
    </row>
    <row r="4019" spans="1:5" x14ac:dyDescent="0.25">
      <c r="A4019" s="7">
        <v>1</v>
      </c>
      <c r="B4019" s="7">
        <v>6061</v>
      </c>
      <c r="C4019" s="7">
        <v>137</v>
      </c>
      <c r="D4019" s="8">
        <v>39037.33</v>
      </c>
      <c r="E4019" s="9">
        <v>1</v>
      </c>
    </row>
    <row r="4020" spans="1:5" x14ac:dyDescent="0.25">
      <c r="A4020" s="7">
        <v>1</v>
      </c>
      <c r="B4020" s="7">
        <v>6071</v>
      </c>
      <c r="C4020" s="7">
        <v>140</v>
      </c>
      <c r="D4020" s="8">
        <v>9504.08</v>
      </c>
      <c r="E4020" s="9">
        <v>1</v>
      </c>
    </row>
    <row r="4021" spans="1:5" x14ac:dyDescent="0.25">
      <c r="A4021" s="7">
        <v>1</v>
      </c>
      <c r="B4021" s="7">
        <v>6072</v>
      </c>
      <c r="C4021" s="7">
        <v>140</v>
      </c>
      <c r="D4021" s="8">
        <v>10799.43</v>
      </c>
      <c r="E4021" s="9">
        <v>1</v>
      </c>
    </row>
    <row r="4022" spans="1:5" x14ac:dyDescent="0.25">
      <c r="A4022" s="7">
        <v>1</v>
      </c>
      <c r="B4022" s="7">
        <v>6101</v>
      </c>
      <c r="C4022" s="7">
        <v>195</v>
      </c>
      <c r="D4022" s="8">
        <v>373646.32</v>
      </c>
      <c r="E4022" s="9">
        <v>1</v>
      </c>
    </row>
    <row r="4023" spans="1:5" x14ac:dyDescent="0.25">
      <c r="A4023" s="7">
        <v>1</v>
      </c>
      <c r="B4023" s="7">
        <v>6102</v>
      </c>
      <c r="C4023" s="7">
        <v>195</v>
      </c>
      <c r="D4023" s="8">
        <v>366320</v>
      </c>
      <c r="E4023" s="9">
        <v>1</v>
      </c>
    </row>
    <row r="4024" spans="1:5" x14ac:dyDescent="0.25">
      <c r="A4024" s="7">
        <v>1</v>
      </c>
      <c r="B4024" s="7">
        <v>6188</v>
      </c>
      <c r="C4024" s="7">
        <v>162</v>
      </c>
      <c r="D4024" s="8">
        <v>415.38</v>
      </c>
      <c r="E4024" s="9">
        <v>3</v>
      </c>
    </row>
    <row r="4025" spans="1:5" x14ac:dyDescent="0.25">
      <c r="A4025" s="7">
        <v>1</v>
      </c>
      <c r="B4025" s="7">
        <v>7002</v>
      </c>
      <c r="C4025" s="7">
        <v>114</v>
      </c>
      <c r="D4025" s="8">
        <v>3207.4</v>
      </c>
      <c r="E4025" s="9">
        <v>1</v>
      </c>
    </row>
    <row r="4026" spans="1:5" x14ac:dyDescent="0.25">
      <c r="A4026" s="7">
        <v>1</v>
      </c>
      <c r="B4026" s="7">
        <v>7003</v>
      </c>
      <c r="C4026" s="7">
        <v>114</v>
      </c>
      <c r="D4026" s="8">
        <v>4215</v>
      </c>
      <c r="E4026" s="9">
        <v>1</v>
      </c>
    </row>
    <row r="4027" spans="1:5" x14ac:dyDescent="0.25">
      <c r="A4027" s="7">
        <v>1</v>
      </c>
      <c r="B4027" s="7">
        <v>7004</v>
      </c>
      <c r="C4027" s="7">
        <v>114</v>
      </c>
      <c r="D4027" s="8">
        <v>3709.2</v>
      </c>
      <c r="E4027" s="9">
        <v>1</v>
      </c>
    </row>
    <row r="4028" spans="1:5" x14ac:dyDescent="0.25">
      <c r="A4028" s="7">
        <v>1</v>
      </c>
      <c r="B4028" s="7">
        <v>7005</v>
      </c>
      <c r="C4028" s="7">
        <v>114</v>
      </c>
      <c r="D4028" s="8">
        <v>5143.9</v>
      </c>
      <c r="E4028" s="9">
        <v>1</v>
      </c>
    </row>
    <row r="4029" spans="1:5" x14ac:dyDescent="0.25">
      <c r="A4029" s="7">
        <v>1</v>
      </c>
      <c r="B4029" s="7">
        <v>7006</v>
      </c>
      <c r="C4029" s="7">
        <v>114</v>
      </c>
      <c r="D4029" s="8">
        <v>5338.15</v>
      </c>
      <c r="E4029" s="9">
        <v>1</v>
      </c>
    </row>
    <row r="4030" spans="1:5" x14ac:dyDescent="0.25">
      <c r="A4030" s="7">
        <v>1</v>
      </c>
      <c r="B4030" s="7">
        <v>7007</v>
      </c>
      <c r="C4030" s="7">
        <v>114</v>
      </c>
      <c r="D4030" s="8">
        <v>5649.45</v>
      </c>
      <c r="E4030" s="9">
        <v>1</v>
      </c>
    </row>
    <row r="4031" spans="1:5" x14ac:dyDescent="0.25">
      <c r="A4031" s="7">
        <v>1</v>
      </c>
      <c r="B4031" s="7">
        <v>7008</v>
      </c>
      <c r="C4031" s="7">
        <v>114</v>
      </c>
      <c r="D4031" s="8">
        <v>5946.2</v>
      </c>
      <c r="E4031" s="9">
        <v>1</v>
      </c>
    </row>
    <row r="4032" spans="1:5" x14ac:dyDescent="0.25">
      <c r="A4032" s="7">
        <v>1</v>
      </c>
      <c r="B4032" s="7">
        <v>7009</v>
      </c>
      <c r="C4032" s="7">
        <v>114</v>
      </c>
      <c r="D4032" s="8">
        <v>6330.1</v>
      </c>
      <c r="E4032" s="9">
        <v>1</v>
      </c>
    </row>
    <row r="4033" spans="1:5" x14ac:dyDescent="0.25">
      <c r="A4033" s="7">
        <v>1</v>
      </c>
      <c r="B4033" s="7">
        <v>7010</v>
      </c>
      <c r="C4033" s="7">
        <v>114</v>
      </c>
      <c r="D4033" s="8">
        <v>7526.35</v>
      </c>
      <c r="E4033" s="9">
        <v>1</v>
      </c>
    </row>
    <row r="4034" spans="1:5" x14ac:dyDescent="0.25">
      <c r="A4034" s="7">
        <v>1</v>
      </c>
      <c r="B4034" s="7">
        <v>7011</v>
      </c>
      <c r="C4034" s="7">
        <v>114</v>
      </c>
      <c r="D4034" s="8">
        <v>8178.15</v>
      </c>
      <c r="E4034" s="9">
        <v>1</v>
      </c>
    </row>
    <row r="4035" spans="1:5" x14ac:dyDescent="0.25">
      <c r="A4035" s="7">
        <v>1</v>
      </c>
      <c r="B4035" s="7">
        <v>7012</v>
      </c>
      <c r="C4035" s="7">
        <v>114</v>
      </c>
      <c r="D4035" s="8">
        <v>8910.55</v>
      </c>
      <c r="E4035" s="9">
        <v>1</v>
      </c>
    </row>
    <row r="4036" spans="1:5" x14ac:dyDescent="0.25">
      <c r="A4036" s="7">
        <v>1</v>
      </c>
      <c r="B4036" s="7">
        <v>7013</v>
      </c>
      <c r="C4036" s="7">
        <v>114</v>
      </c>
      <c r="D4036" s="8">
        <v>9847.7</v>
      </c>
      <c r="E4036" s="9">
        <v>1</v>
      </c>
    </row>
    <row r="4037" spans="1:5" x14ac:dyDescent="0.25">
      <c r="A4037" s="7">
        <v>1</v>
      </c>
      <c r="B4037" s="7">
        <v>7014</v>
      </c>
      <c r="C4037" s="7">
        <v>114</v>
      </c>
      <c r="D4037" s="8">
        <v>10811.05</v>
      </c>
      <c r="E4037" s="9">
        <v>1</v>
      </c>
    </row>
    <row r="4038" spans="1:5" x14ac:dyDescent="0.25">
      <c r="A4038" s="7">
        <v>1</v>
      </c>
      <c r="B4038" s="7">
        <v>7015</v>
      </c>
      <c r="C4038" s="7">
        <v>114</v>
      </c>
      <c r="D4038" s="8">
        <v>3993.75</v>
      </c>
      <c r="E4038" s="9">
        <v>1</v>
      </c>
    </row>
    <row r="4039" spans="1:5" x14ac:dyDescent="0.25">
      <c r="A4039" s="7">
        <v>1</v>
      </c>
      <c r="B4039" s="7">
        <v>7016</v>
      </c>
      <c r="C4039" s="7">
        <v>114</v>
      </c>
      <c r="D4039" s="8">
        <v>4465.8</v>
      </c>
      <c r="E4039" s="9">
        <v>1</v>
      </c>
    </row>
    <row r="4040" spans="1:5" x14ac:dyDescent="0.25">
      <c r="A4040" s="7">
        <v>1</v>
      </c>
      <c r="B4040" s="7">
        <v>7017</v>
      </c>
      <c r="C4040" s="7">
        <v>114</v>
      </c>
      <c r="D4040" s="8">
        <v>6146.55</v>
      </c>
      <c r="E4040" s="9">
        <v>1</v>
      </c>
    </row>
    <row r="4041" spans="1:5" x14ac:dyDescent="0.25">
      <c r="A4041" s="7">
        <v>1</v>
      </c>
      <c r="B4041" s="7">
        <v>7018</v>
      </c>
      <c r="C4041" s="7">
        <v>114</v>
      </c>
      <c r="D4041" s="8">
        <v>6026.1</v>
      </c>
      <c r="E4041" s="9">
        <v>1</v>
      </c>
    </row>
    <row r="4042" spans="1:5" x14ac:dyDescent="0.25">
      <c r="A4042" s="7">
        <v>1</v>
      </c>
      <c r="B4042" s="7">
        <v>7034</v>
      </c>
      <c r="C4042" s="7">
        <v>105</v>
      </c>
      <c r="D4042" s="8">
        <v>297666.45</v>
      </c>
      <c r="E4042" s="9">
        <v>1</v>
      </c>
    </row>
    <row r="4043" spans="1:5" x14ac:dyDescent="0.25">
      <c r="A4043" s="7">
        <v>1</v>
      </c>
      <c r="B4043" s="7">
        <v>7035</v>
      </c>
      <c r="C4043" s="7">
        <v>105</v>
      </c>
      <c r="D4043" s="8">
        <v>297666.45</v>
      </c>
      <c r="E4043" s="9">
        <v>1</v>
      </c>
    </row>
    <row r="4044" spans="1:5" x14ac:dyDescent="0.25">
      <c r="A4044" s="7">
        <v>1</v>
      </c>
      <c r="B4044" s="7">
        <v>7036</v>
      </c>
      <c r="C4044" s="7">
        <v>105</v>
      </c>
      <c r="D4044" s="8">
        <v>297666.45</v>
      </c>
      <c r="E4044" s="9">
        <v>1</v>
      </c>
    </row>
    <row r="4045" spans="1:5" x14ac:dyDescent="0.25">
      <c r="A4045" s="7">
        <v>1</v>
      </c>
      <c r="B4045" s="7">
        <v>7037</v>
      </c>
      <c r="C4045" s="7">
        <v>105</v>
      </c>
      <c r="D4045" s="8">
        <v>297666.45</v>
      </c>
      <c r="E4045" s="9">
        <v>1</v>
      </c>
    </row>
    <row r="4046" spans="1:5" x14ac:dyDescent="0.25">
      <c r="A4046" s="7">
        <v>1</v>
      </c>
      <c r="B4046" s="7">
        <v>7038</v>
      </c>
      <c r="C4046" s="7">
        <v>105</v>
      </c>
      <c r="D4046" s="8">
        <v>297666.45</v>
      </c>
      <c r="E4046" s="9">
        <v>1</v>
      </c>
    </row>
    <row r="4047" spans="1:5" x14ac:dyDescent="0.25">
      <c r="A4047" s="7">
        <v>1</v>
      </c>
      <c r="B4047" s="7">
        <v>7039</v>
      </c>
      <c r="C4047" s="7">
        <v>105</v>
      </c>
      <c r="D4047" s="8">
        <v>297666.45</v>
      </c>
      <c r="E4047" s="9">
        <v>1</v>
      </c>
    </row>
    <row r="4048" spans="1:5" x14ac:dyDescent="0.25">
      <c r="A4048" s="7">
        <v>1</v>
      </c>
      <c r="B4048" s="7">
        <v>7040</v>
      </c>
      <c r="C4048" s="7">
        <v>106</v>
      </c>
      <c r="D4048" s="8">
        <v>29644.79</v>
      </c>
      <c r="E4048" s="9">
        <v>1</v>
      </c>
    </row>
    <row r="4049" spans="1:5" x14ac:dyDescent="0.25">
      <c r="A4049" s="7">
        <v>1</v>
      </c>
      <c r="B4049" s="7">
        <v>7041</v>
      </c>
      <c r="C4049" s="7">
        <v>106</v>
      </c>
      <c r="D4049" s="8">
        <v>103669.52</v>
      </c>
      <c r="E4049" s="9">
        <v>1</v>
      </c>
    </row>
    <row r="4050" spans="1:5" x14ac:dyDescent="0.25">
      <c r="A4050" s="7">
        <v>1</v>
      </c>
      <c r="B4050" s="7">
        <v>7042</v>
      </c>
      <c r="C4050" s="7">
        <v>106</v>
      </c>
      <c r="D4050" s="8">
        <v>29644.79</v>
      </c>
      <c r="E4050" s="9">
        <v>1</v>
      </c>
    </row>
    <row r="4051" spans="1:5" x14ac:dyDescent="0.25">
      <c r="A4051" s="7">
        <v>1</v>
      </c>
      <c r="B4051" s="7">
        <v>7043</v>
      </c>
      <c r="C4051" s="7">
        <v>106</v>
      </c>
      <c r="D4051" s="8">
        <v>103669.52</v>
      </c>
      <c r="E4051" s="9">
        <v>1</v>
      </c>
    </row>
    <row r="4052" spans="1:5" x14ac:dyDescent="0.25">
      <c r="A4052" s="7">
        <v>1</v>
      </c>
      <c r="B4052" s="7">
        <v>7044</v>
      </c>
      <c r="C4052" s="7">
        <v>106</v>
      </c>
      <c r="D4052" s="8">
        <v>29644.79</v>
      </c>
      <c r="E4052" s="9">
        <v>1</v>
      </c>
    </row>
    <row r="4053" spans="1:5" x14ac:dyDescent="0.25">
      <c r="A4053" s="7">
        <v>1</v>
      </c>
      <c r="B4053" s="7">
        <v>7045</v>
      </c>
      <c r="C4053" s="7">
        <v>106</v>
      </c>
      <c r="D4053" s="8">
        <v>103669.52</v>
      </c>
      <c r="E4053" s="9">
        <v>1</v>
      </c>
    </row>
    <row r="4054" spans="1:5" x14ac:dyDescent="0.25">
      <c r="A4054" s="7">
        <v>1</v>
      </c>
      <c r="B4054" s="7">
        <v>7046</v>
      </c>
      <c r="C4054" s="7">
        <v>106</v>
      </c>
      <c r="D4054" s="8">
        <v>29644.79</v>
      </c>
      <c r="E4054" s="9">
        <v>1</v>
      </c>
    </row>
    <row r="4055" spans="1:5" x14ac:dyDescent="0.25">
      <c r="A4055" s="7">
        <v>1</v>
      </c>
      <c r="B4055" s="7">
        <v>7047</v>
      </c>
      <c r="C4055" s="7">
        <v>106</v>
      </c>
      <c r="D4055" s="8">
        <v>103669.52</v>
      </c>
      <c r="E4055" s="9">
        <v>1</v>
      </c>
    </row>
    <row r="4056" spans="1:5" x14ac:dyDescent="0.25">
      <c r="A4056" s="7">
        <v>1</v>
      </c>
      <c r="B4056" s="7">
        <v>7048</v>
      </c>
      <c r="C4056" s="7">
        <v>106</v>
      </c>
      <c r="D4056" s="8">
        <v>29644.79</v>
      </c>
      <c r="E4056" s="9">
        <v>1</v>
      </c>
    </row>
    <row r="4057" spans="1:5" x14ac:dyDescent="0.25">
      <c r="A4057" s="7">
        <v>1</v>
      </c>
      <c r="B4057" s="7">
        <v>7049</v>
      </c>
      <c r="C4057" s="7">
        <v>106</v>
      </c>
      <c r="D4057" s="8">
        <v>103669.52</v>
      </c>
      <c r="E4057" s="9">
        <v>1</v>
      </c>
    </row>
    <row r="4058" spans="1:5" x14ac:dyDescent="0.25">
      <c r="A4058" s="7">
        <v>1</v>
      </c>
      <c r="B4058" s="7">
        <v>7050</v>
      </c>
      <c r="C4058" s="7">
        <v>106</v>
      </c>
      <c r="D4058" s="8">
        <v>29644.79</v>
      </c>
      <c r="E4058" s="9">
        <v>1</v>
      </c>
    </row>
    <row r="4059" spans="1:5" x14ac:dyDescent="0.25">
      <c r="A4059" s="7">
        <v>1</v>
      </c>
      <c r="B4059" s="7">
        <v>7051</v>
      </c>
      <c r="C4059" s="7">
        <v>106</v>
      </c>
      <c r="D4059" s="8">
        <v>103669.52</v>
      </c>
      <c r="E4059" s="9">
        <v>1</v>
      </c>
    </row>
    <row r="4060" spans="1:5" x14ac:dyDescent="0.25">
      <c r="A4060" s="7">
        <v>1</v>
      </c>
      <c r="B4060" s="7">
        <v>7052</v>
      </c>
      <c r="C4060" s="7">
        <v>105</v>
      </c>
      <c r="D4060" s="8">
        <v>34124.14</v>
      </c>
      <c r="E4060" s="9">
        <v>1</v>
      </c>
    </row>
    <row r="4061" spans="1:5" x14ac:dyDescent="0.25">
      <c r="A4061" s="7">
        <v>1</v>
      </c>
      <c r="B4061" s="7">
        <v>7053</v>
      </c>
      <c r="C4061" s="7">
        <v>105</v>
      </c>
      <c r="D4061" s="8">
        <v>115218.84</v>
      </c>
      <c r="E4061" s="9">
        <v>1</v>
      </c>
    </row>
    <row r="4062" spans="1:5" x14ac:dyDescent="0.25">
      <c r="A4062" s="7">
        <v>1</v>
      </c>
      <c r="B4062" s="7">
        <v>7054</v>
      </c>
      <c r="C4062" s="7">
        <v>105</v>
      </c>
      <c r="D4062" s="8">
        <v>34124.14</v>
      </c>
      <c r="E4062" s="9">
        <v>1</v>
      </c>
    </row>
    <row r="4063" spans="1:5" x14ac:dyDescent="0.25">
      <c r="A4063" s="7">
        <v>1</v>
      </c>
      <c r="B4063" s="7">
        <v>7055</v>
      </c>
      <c r="C4063" s="7">
        <v>105</v>
      </c>
      <c r="D4063" s="8">
        <v>115218.84</v>
      </c>
      <c r="E4063" s="9">
        <v>1</v>
      </c>
    </row>
    <row r="4064" spans="1:5" x14ac:dyDescent="0.25">
      <c r="A4064" s="7">
        <v>1</v>
      </c>
      <c r="B4064" s="7">
        <v>7056</v>
      </c>
      <c r="C4064" s="7">
        <v>105</v>
      </c>
      <c r="D4064" s="8">
        <v>34124.14</v>
      </c>
      <c r="E4064" s="9">
        <v>1</v>
      </c>
    </row>
    <row r="4065" spans="1:5" x14ac:dyDescent="0.25">
      <c r="A4065" s="7">
        <v>1</v>
      </c>
      <c r="B4065" s="7">
        <v>7057</v>
      </c>
      <c r="C4065" s="7">
        <v>105</v>
      </c>
      <c r="D4065" s="8">
        <v>115218.84</v>
      </c>
      <c r="E4065" s="9">
        <v>1</v>
      </c>
    </row>
    <row r="4066" spans="1:5" x14ac:dyDescent="0.25">
      <c r="A4066" s="7">
        <v>1</v>
      </c>
      <c r="B4066" s="7">
        <v>7058</v>
      </c>
      <c r="C4066" s="7">
        <v>105</v>
      </c>
      <c r="D4066" s="8">
        <v>34124.14</v>
      </c>
      <c r="E4066" s="9">
        <v>1</v>
      </c>
    </row>
    <row r="4067" spans="1:5" x14ac:dyDescent="0.25">
      <c r="A4067" s="7">
        <v>1</v>
      </c>
      <c r="B4067" s="7">
        <v>7059</v>
      </c>
      <c r="C4067" s="7">
        <v>105</v>
      </c>
      <c r="D4067" s="8">
        <v>115218.84</v>
      </c>
      <c r="E4067" s="9">
        <v>1</v>
      </c>
    </row>
    <row r="4068" spans="1:5" x14ac:dyDescent="0.25">
      <c r="A4068" s="7">
        <v>1</v>
      </c>
      <c r="B4068" s="7">
        <v>7060</v>
      </c>
      <c r="C4068" s="7">
        <v>105</v>
      </c>
      <c r="D4068" s="8">
        <v>26250.44</v>
      </c>
      <c r="E4068" s="9">
        <v>1</v>
      </c>
    </row>
    <row r="4069" spans="1:5" x14ac:dyDescent="0.25">
      <c r="A4069" s="7">
        <v>1</v>
      </c>
      <c r="B4069" s="7">
        <v>7061</v>
      </c>
      <c r="C4069" s="7">
        <v>105</v>
      </c>
      <c r="D4069" s="8">
        <v>88630.96</v>
      </c>
      <c r="E4069" s="9">
        <v>1</v>
      </c>
    </row>
    <row r="4070" spans="1:5" x14ac:dyDescent="0.25">
      <c r="A4070" s="7">
        <v>1</v>
      </c>
      <c r="B4070" s="7">
        <v>7062</v>
      </c>
      <c r="C4070" s="7">
        <v>105</v>
      </c>
      <c r="D4070" s="8">
        <v>26250.44</v>
      </c>
      <c r="E4070" s="9">
        <v>1</v>
      </c>
    </row>
    <row r="4071" spans="1:5" x14ac:dyDescent="0.25">
      <c r="A4071" s="7">
        <v>1</v>
      </c>
      <c r="B4071" s="7">
        <v>7063</v>
      </c>
      <c r="C4071" s="7">
        <v>105</v>
      </c>
      <c r="D4071" s="8">
        <v>88630.96</v>
      </c>
      <c r="E4071" s="9">
        <v>1</v>
      </c>
    </row>
    <row r="4072" spans="1:5" x14ac:dyDescent="0.25">
      <c r="A4072" s="7">
        <v>1</v>
      </c>
      <c r="B4072" s="7">
        <v>7064</v>
      </c>
      <c r="C4072" s="7">
        <v>105</v>
      </c>
      <c r="D4072" s="8">
        <v>26250.44</v>
      </c>
      <c r="E4072" s="9">
        <v>1</v>
      </c>
    </row>
    <row r="4073" spans="1:5" x14ac:dyDescent="0.25">
      <c r="A4073" s="7">
        <v>1</v>
      </c>
      <c r="B4073" s="7">
        <v>7065</v>
      </c>
      <c r="C4073" s="7">
        <v>105</v>
      </c>
      <c r="D4073" s="8">
        <v>88630.96</v>
      </c>
      <c r="E4073" s="9">
        <v>1</v>
      </c>
    </row>
    <row r="4074" spans="1:5" x14ac:dyDescent="0.25">
      <c r="A4074" s="7">
        <v>1</v>
      </c>
      <c r="B4074" s="7">
        <v>7066</v>
      </c>
      <c r="C4074" s="7">
        <v>105</v>
      </c>
      <c r="D4074" s="8">
        <v>26250.44</v>
      </c>
      <c r="E4074" s="9">
        <v>1</v>
      </c>
    </row>
    <row r="4075" spans="1:5" x14ac:dyDescent="0.25">
      <c r="A4075" s="7">
        <v>1</v>
      </c>
      <c r="B4075" s="7">
        <v>7067</v>
      </c>
      <c r="C4075" s="7">
        <v>105</v>
      </c>
      <c r="D4075" s="8">
        <v>88630.96</v>
      </c>
      <c r="E4075" s="9">
        <v>1</v>
      </c>
    </row>
    <row r="4076" spans="1:5" x14ac:dyDescent="0.25">
      <c r="A4076" s="7">
        <v>1</v>
      </c>
      <c r="B4076" s="7">
        <v>7068</v>
      </c>
      <c r="C4076" s="7">
        <v>106</v>
      </c>
      <c r="D4076" s="8">
        <v>243182.22</v>
      </c>
      <c r="E4076" s="9">
        <v>1</v>
      </c>
    </row>
    <row r="4077" spans="1:5" x14ac:dyDescent="0.25">
      <c r="A4077" s="7">
        <v>1</v>
      </c>
      <c r="B4077" s="7">
        <v>7069</v>
      </c>
      <c r="C4077" s="7">
        <v>106</v>
      </c>
      <c r="D4077" s="8">
        <v>243182.22</v>
      </c>
      <c r="E4077" s="9">
        <v>1</v>
      </c>
    </row>
    <row r="4078" spans="1:5" x14ac:dyDescent="0.25">
      <c r="A4078" s="7">
        <v>1</v>
      </c>
      <c r="B4078" s="7">
        <v>7070</v>
      </c>
      <c r="C4078" s="7">
        <v>106</v>
      </c>
      <c r="D4078" s="8">
        <v>243182.22</v>
      </c>
      <c r="E4078" s="9">
        <v>1</v>
      </c>
    </row>
    <row r="4079" spans="1:5" x14ac:dyDescent="0.25">
      <c r="A4079" s="7">
        <v>1</v>
      </c>
      <c r="B4079" s="7">
        <v>7072</v>
      </c>
      <c r="C4079" s="7">
        <v>106</v>
      </c>
      <c r="D4079" s="8">
        <v>243182.22</v>
      </c>
      <c r="E4079" s="9">
        <v>1</v>
      </c>
    </row>
    <row r="4080" spans="1:5" x14ac:dyDescent="0.25">
      <c r="A4080" s="7">
        <v>1</v>
      </c>
      <c r="B4080" s="7">
        <v>7076</v>
      </c>
      <c r="C4080" s="7">
        <v>105</v>
      </c>
      <c r="D4080" s="8">
        <v>32237.44</v>
      </c>
      <c r="E4080" s="9">
        <v>1</v>
      </c>
    </row>
    <row r="4081" spans="1:5" x14ac:dyDescent="0.25">
      <c r="A4081" s="7">
        <v>1</v>
      </c>
      <c r="B4081" s="7">
        <v>7077</v>
      </c>
      <c r="C4081" s="7">
        <v>105</v>
      </c>
      <c r="D4081" s="8">
        <v>108847.51</v>
      </c>
      <c r="E4081" s="9">
        <v>1</v>
      </c>
    </row>
    <row r="4082" spans="1:5" x14ac:dyDescent="0.25">
      <c r="A4082" s="7">
        <v>1</v>
      </c>
      <c r="B4082" s="7">
        <v>7080</v>
      </c>
      <c r="C4082" s="7">
        <v>902</v>
      </c>
      <c r="D4082" s="8">
        <v>33652.78</v>
      </c>
      <c r="E4082" s="9">
        <v>1</v>
      </c>
    </row>
    <row r="4083" spans="1:5" x14ac:dyDescent="0.25">
      <c r="A4083" s="7">
        <v>1</v>
      </c>
      <c r="B4083" s="7">
        <v>7081</v>
      </c>
      <c r="C4083" s="7">
        <v>902</v>
      </c>
      <c r="D4083" s="8">
        <v>122202.84</v>
      </c>
      <c r="E4083" s="9">
        <v>1</v>
      </c>
    </row>
    <row r="4084" spans="1:5" x14ac:dyDescent="0.25">
      <c r="A4084" s="7">
        <v>1</v>
      </c>
      <c r="B4084" s="7">
        <v>7082</v>
      </c>
      <c r="C4084" s="7">
        <v>902</v>
      </c>
      <c r="D4084" s="8">
        <v>36192.6</v>
      </c>
      <c r="E4084" s="9">
        <v>1</v>
      </c>
    </row>
    <row r="4085" spans="1:5" x14ac:dyDescent="0.25">
      <c r="A4085" s="7">
        <v>1</v>
      </c>
      <c r="B4085" s="7">
        <v>7083</v>
      </c>
      <c r="C4085" s="7">
        <v>902</v>
      </c>
      <c r="D4085" s="8">
        <v>113627.2</v>
      </c>
      <c r="E4085" s="9">
        <v>1</v>
      </c>
    </row>
    <row r="4086" spans="1:5" x14ac:dyDescent="0.25">
      <c r="A4086" s="7">
        <v>1</v>
      </c>
      <c r="B4086" s="7">
        <v>7084</v>
      </c>
      <c r="C4086" s="7">
        <v>105</v>
      </c>
      <c r="D4086" s="8">
        <v>39088.16</v>
      </c>
      <c r="E4086" s="9">
        <v>1</v>
      </c>
    </row>
    <row r="4087" spans="1:5" x14ac:dyDescent="0.25">
      <c r="A4087" s="7">
        <v>1</v>
      </c>
      <c r="B4087" s="7">
        <v>7085</v>
      </c>
      <c r="C4087" s="7">
        <v>105</v>
      </c>
      <c r="D4087" s="8">
        <v>131979.32</v>
      </c>
      <c r="E4087" s="9">
        <v>1</v>
      </c>
    </row>
    <row r="4088" spans="1:5" x14ac:dyDescent="0.25">
      <c r="A4088" s="7">
        <v>1</v>
      </c>
      <c r="B4088" s="7">
        <v>7086</v>
      </c>
      <c r="C4088" s="7">
        <v>105</v>
      </c>
      <c r="D4088" s="8">
        <v>39088.16</v>
      </c>
      <c r="E4088" s="9">
        <v>1</v>
      </c>
    </row>
    <row r="4089" spans="1:5" x14ac:dyDescent="0.25">
      <c r="A4089" s="7">
        <v>1</v>
      </c>
      <c r="B4089" s="7">
        <v>7087</v>
      </c>
      <c r="C4089" s="7">
        <v>105</v>
      </c>
      <c r="D4089" s="8">
        <v>131979.32</v>
      </c>
      <c r="E4089" s="9">
        <v>1</v>
      </c>
    </row>
    <row r="4090" spans="1:5" x14ac:dyDescent="0.25">
      <c r="A4090" s="7">
        <v>1</v>
      </c>
      <c r="B4090" s="7">
        <v>7088</v>
      </c>
      <c r="C4090" s="7">
        <v>902</v>
      </c>
      <c r="D4090" s="8">
        <v>36192.6</v>
      </c>
      <c r="E4090" s="9">
        <v>1</v>
      </c>
    </row>
    <row r="4091" spans="1:5" x14ac:dyDescent="0.25">
      <c r="A4091" s="7">
        <v>1</v>
      </c>
      <c r="B4091" s="7">
        <v>7089</v>
      </c>
      <c r="C4091" s="7">
        <v>902</v>
      </c>
      <c r="D4091" s="8">
        <v>122202.84</v>
      </c>
      <c r="E4091" s="9">
        <v>1</v>
      </c>
    </row>
    <row r="4092" spans="1:5" x14ac:dyDescent="0.25">
      <c r="A4092" s="7">
        <v>1</v>
      </c>
      <c r="B4092" s="7">
        <v>7090</v>
      </c>
      <c r="C4092" s="7">
        <v>105</v>
      </c>
      <c r="D4092" s="8">
        <v>30067.5</v>
      </c>
      <c r="E4092" s="9">
        <v>1</v>
      </c>
    </row>
    <row r="4093" spans="1:5" x14ac:dyDescent="0.25">
      <c r="A4093" s="7">
        <v>1</v>
      </c>
      <c r="B4093" s="7">
        <v>7091</v>
      </c>
      <c r="C4093" s="7">
        <v>105</v>
      </c>
      <c r="D4093" s="8">
        <v>101522.77</v>
      </c>
      <c r="E4093" s="9">
        <v>1</v>
      </c>
    </row>
    <row r="4094" spans="1:5" x14ac:dyDescent="0.25">
      <c r="A4094" s="7">
        <v>1</v>
      </c>
      <c r="B4094" s="7">
        <v>7092</v>
      </c>
      <c r="C4094" s="7">
        <v>105</v>
      </c>
      <c r="D4094" s="8">
        <v>30067.5</v>
      </c>
      <c r="E4094" s="9">
        <v>1</v>
      </c>
    </row>
    <row r="4095" spans="1:5" x14ac:dyDescent="0.25">
      <c r="A4095" s="7">
        <v>1</v>
      </c>
      <c r="B4095" s="7">
        <v>7093</v>
      </c>
      <c r="C4095" s="7">
        <v>105</v>
      </c>
      <c r="D4095" s="8">
        <v>101522.77</v>
      </c>
      <c r="E4095" s="9">
        <v>1</v>
      </c>
    </row>
    <row r="4096" spans="1:5" x14ac:dyDescent="0.25">
      <c r="A4096" s="7">
        <v>1</v>
      </c>
      <c r="B4096" s="7">
        <v>7094</v>
      </c>
      <c r="C4096" s="7">
        <v>105</v>
      </c>
      <c r="D4096" s="8">
        <v>30067.5</v>
      </c>
      <c r="E4096" s="9">
        <v>1</v>
      </c>
    </row>
    <row r="4097" spans="1:5" x14ac:dyDescent="0.25">
      <c r="A4097" s="7">
        <v>1</v>
      </c>
      <c r="B4097" s="7">
        <v>7095</v>
      </c>
      <c r="C4097" s="7">
        <v>105</v>
      </c>
      <c r="D4097" s="8">
        <v>101522.77</v>
      </c>
      <c r="E4097" s="9">
        <v>1</v>
      </c>
    </row>
    <row r="4098" spans="1:5" x14ac:dyDescent="0.25">
      <c r="A4098" s="7">
        <v>1</v>
      </c>
      <c r="B4098" s="7">
        <v>7096</v>
      </c>
      <c r="C4098" s="7">
        <v>902</v>
      </c>
      <c r="D4098" s="8">
        <v>27841.22</v>
      </c>
      <c r="E4098" s="9">
        <v>1</v>
      </c>
    </row>
    <row r="4099" spans="1:5" x14ac:dyDescent="0.25">
      <c r="A4099" s="7">
        <v>1</v>
      </c>
      <c r="B4099" s="7">
        <v>7097</v>
      </c>
      <c r="C4099" s="7">
        <v>105</v>
      </c>
      <c r="D4099" s="8">
        <v>101522.77</v>
      </c>
      <c r="E4099" s="9">
        <v>1</v>
      </c>
    </row>
    <row r="4100" spans="1:5" x14ac:dyDescent="0.25">
      <c r="A4100" s="7">
        <v>1</v>
      </c>
      <c r="B4100" s="7">
        <v>7098</v>
      </c>
      <c r="C4100" s="7">
        <v>105</v>
      </c>
      <c r="D4100" s="8">
        <v>30067.5</v>
      </c>
      <c r="E4100" s="9">
        <v>1</v>
      </c>
    </row>
    <row r="4101" spans="1:5" x14ac:dyDescent="0.25">
      <c r="A4101" s="7">
        <v>1</v>
      </c>
      <c r="B4101" s="7">
        <v>7099</v>
      </c>
      <c r="C4101" s="7">
        <v>105</v>
      </c>
      <c r="D4101" s="8">
        <v>101522.77</v>
      </c>
      <c r="E4101" s="9">
        <v>1</v>
      </c>
    </row>
    <row r="4102" spans="1:5" x14ac:dyDescent="0.25">
      <c r="A4102" s="7">
        <v>1</v>
      </c>
      <c r="B4102" s="7">
        <v>7100</v>
      </c>
      <c r="C4102" s="7">
        <v>105</v>
      </c>
      <c r="D4102" s="8">
        <v>17415.72</v>
      </c>
      <c r="E4102" s="9">
        <v>1</v>
      </c>
    </row>
    <row r="4103" spans="1:5" x14ac:dyDescent="0.25">
      <c r="A4103" s="7">
        <v>1</v>
      </c>
      <c r="B4103" s="7">
        <v>7102</v>
      </c>
      <c r="C4103" s="7">
        <v>106</v>
      </c>
      <c r="D4103" s="8">
        <v>28162.5</v>
      </c>
      <c r="E4103" s="9">
        <v>1</v>
      </c>
    </row>
    <row r="4104" spans="1:5" x14ac:dyDescent="0.25">
      <c r="A4104" s="7">
        <v>1</v>
      </c>
      <c r="B4104" s="7">
        <v>7103</v>
      </c>
      <c r="C4104" s="7">
        <v>106</v>
      </c>
      <c r="D4104" s="8">
        <v>98486.08</v>
      </c>
      <c r="E4104" s="9">
        <v>1</v>
      </c>
    </row>
    <row r="4105" spans="1:5" x14ac:dyDescent="0.25">
      <c r="A4105" s="7">
        <v>1</v>
      </c>
      <c r="B4105" s="7">
        <v>7104</v>
      </c>
      <c r="C4105" s="7">
        <v>106</v>
      </c>
      <c r="D4105" s="8">
        <v>28162.5</v>
      </c>
      <c r="E4105" s="9">
        <v>1</v>
      </c>
    </row>
    <row r="4106" spans="1:5" x14ac:dyDescent="0.25">
      <c r="A4106" s="7">
        <v>1</v>
      </c>
      <c r="B4106" s="7">
        <v>7105</v>
      </c>
      <c r="C4106" s="7">
        <v>106</v>
      </c>
      <c r="D4106" s="8">
        <v>98486.08</v>
      </c>
      <c r="E4106" s="9">
        <v>1</v>
      </c>
    </row>
    <row r="4107" spans="1:5" x14ac:dyDescent="0.25">
      <c r="A4107" s="7">
        <v>1</v>
      </c>
      <c r="B4107" s="7">
        <v>7106</v>
      </c>
      <c r="C4107" s="7">
        <v>106</v>
      </c>
      <c r="D4107" s="8">
        <v>28162.5</v>
      </c>
      <c r="E4107" s="9">
        <v>1</v>
      </c>
    </row>
    <row r="4108" spans="1:5" x14ac:dyDescent="0.25">
      <c r="A4108" s="7">
        <v>1</v>
      </c>
      <c r="B4108" s="7">
        <v>7107</v>
      </c>
      <c r="C4108" s="7">
        <v>106</v>
      </c>
      <c r="D4108" s="8">
        <v>98486.08</v>
      </c>
      <c r="E4108" s="9">
        <v>1</v>
      </c>
    </row>
    <row r="4109" spans="1:5" x14ac:dyDescent="0.25">
      <c r="A4109" s="7">
        <v>1</v>
      </c>
      <c r="B4109" s="7">
        <v>7108</v>
      </c>
      <c r="C4109" s="7">
        <v>105</v>
      </c>
      <c r="D4109" s="8">
        <v>33580.26</v>
      </c>
      <c r="E4109" s="9">
        <v>1</v>
      </c>
    </row>
    <row r="4110" spans="1:5" x14ac:dyDescent="0.25">
      <c r="A4110" s="7">
        <v>1</v>
      </c>
      <c r="B4110" s="7">
        <v>7109</v>
      </c>
      <c r="C4110" s="7">
        <v>105</v>
      </c>
      <c r="D4110" s="8">
        <v>113382.53</v>
      </c>
      <c r="E4110" s="9">
        <v>1</v>
      </c>
    </row>
    <row r="4111" spans="1:5" x14ac:dyDescent="0.25">
      <c r="A4111" s="7">
        <v>1</v>
      </c>
      <c r="B4111" s="7">
        <v>7112</v>
      </c>
      <c r="C4111" s="7">
        <v>105</v>
      </c>
      <c r="D4111" s="8">
        <v>26250.44</v>
      </c>
      <c r="E4111" s="9">
        <v>1</v>
      </c>
    </row>
    <row r="4112" spans="1:5" x14ac:dyDescent="0.25">
      <c r="A4112" s="7">
        <v>1</v>
      </c>
      <c r="B4112" s="7">
        <v>7114</v>
      </c>
      <c r="C4112" s="7">
        <v>105</v>
      </c>
      <c r="D4112" s="8">
        <v>88630.96</v>
      </c>
      <c r="E4112" s="9">
        <v>1</v>
      </c>
    </row>
    <row r="4113" spans="1:5" x14ac:dyDescent="0.25">
      <c r="A4113" s="7">
        <v>1</v>
      </c>
      <c r="B4113" s="7">
        <v>7116</v>
      </c>
      <c r="C4113" s="7">
        <v>105</v>
      </c>
      <c r="D4113" s="8">
        <v>16807.9</v>
      </c>
      <c r="E4113" s="9">
        <v>1</v>
      </c>
    </row>
    <row r="4114" spans="1:5" x14ac:dyDescent="0.25">
      <c r="A4114" s="7">
        <v>1</v>
      </c>
      <c r="B4114" s="7">
        <v>7117</v>
      </c>
      <c r="C4114" s="7">
        <v>105</v>
      </c>
      <c r="D4114" s="8">
        <v>62146.01</v>
      </c>
      <c r="E4114" s="9">
        <v>1</v>
      </c>
    </row>
    <row r="4115" spans="1:5" x14ac:dyDescent="0.25">
      <c r="A4115" s="7">
        <v>1</v>
      </c>
      <c r="B4115" s="7">
        <v>7118</v>
      </c>
      <c r="C4115" s="7">
        <v>105</v>
      </c>
      <c r="D4115" s="8">
        <v>16807.9</v>
      </c>
      <c r="E4115" s="9">
        <v>1</v>
      </c>
    </row>
    <row r="4116" spans="1:5" x14ac:dyDescent="0.25">
      <c r="A4116" s="7">
        <v>1</v>
      </c>
      <c r="B4116" s="7">
        <v>7119</v>
      </c>
      <c r="C4116" s="7">
        <v>105</v>
      </c>
      <c r="D4116" s="8">
        <v>62146.01</v>
      </c>
      <c r="E4116" s="9">
        <v>1</v>
      </c>
    </row>
    <row r="4117" spans="1:5" x14ac:dyDescent="0.25">
      <c r="A4117" s="7">
        <v>1</v>
      </c>
      <c r="B4117" s="7">
        <v>7120</v>
      </c>
      <c r="C4117" s="7">
        <v>145</v>
      </c>
      <c r="D4117" s="8">
        <v>37315.87</v>
      </c>
      <c r="E4117" s="9">
        <v>1</v>
      </c>
    </row>
    <row r="4118" spans="1:5" x14ac:dyDescent="0.25">
      <c r="A4118" s="7">
        <v>1</v>
      </c>
      <c r="B4118" s="7">
        <v>7121</v>
      </c>
      <c r="C4118" s="7">
        <v>145</v>
      </c>
      <c r="D4118" s="8">
        <v>37315.87</v>
      </c>
      <c r="E4118" s="9">
        <v>1</v>
      </c>
    </row>
    <row r="4119" spans="1:5" x14ac:dyDescent="0.25">
      <c r="A4119" s="7">
        <v>1</v>
      </c>
      <c r="B4119" s="7">
        <v>7122</v>
      </c>
      <c r="C4119" s="7">
        <v>902</v>
      </c>
      <c r="D4119" s="8">
        <v>33923.55</v>
      </c>
      <c r="E4119" s="9">
        <v>1</v>
      </c>
    </row>
    <row r="4120" spans="1:5" x14ac:dyDescent="0.25">
      <c r="A4120" s="7">
        <v>1</v>
      </c>
      <c r="B4120" s="7">
        <v>7123</v>
      </c>
      <c r="C4120" s="7">
        <v>902</v>
      </c>
      <c r="D4120" s="8">
        <v>33923.53</v>
      </c>
      <c r="E4120" s="9">
        <v>1</v>
      </c>
    </row>
    <row r="4121" spans="1:5" x14ac:dyDescent="0.25">
      <c r="A4121" s="7">
        <v>1</v>
      </c>
      <c r="B4121" s="7">
        <v>7124</v>
      </c>
      <c r="C4121" s="7">
        <v>145</v>
      </c>
      <c r="D4121" s="8">
        <v>37315.87</v>
      </c>
      <c r="E4121" s="9">
        <v>1</v>
      </c>
    </row>
    <row r="4122" spans="1:5" x14ac:dyDescent="0.25">
      <c r="A4122" s="7">
        <v>1</v>
      </c>
      <c r="B4122" s="7">
        <v>7125</v>
      </c>
      <c r="C4122" s="7">
        <v>902</v>
      </c>
      <c r="D4122" s="8">
        <v>33923.48</v>
      </c>
      <c r="E4122" s="9">
        <v>1</v>
      </c>
    </row>
    <row r="4123" spans="1:5" x14ac:dyDescent="0.25">
      <c r="A4123" s="7">
        <v>1</v>
      </c>
      <c r="B4123" s="7">
        <v>7126</v>
      </c>
      <c r="C4123" s="7">
        <v>902</v>
      </c>
      <c r="D4123" s="8">
        <v>33923.53</v>
      </c>
      <c r="E4123" s="9">
        <v>1</v>
      </c>
    </row>
    <row r="4124" spans="1:5" x14ac:dyDescent="0.25">
      <c r="A4124" s="7">
        <v>1</v>
      </c>
      <c r="B4124" s="7">
        <v>7127</v>
      </c>
      <c r="C4124" s="7">
        <v>145</v>
      </c>
      <c r="D4124" s="8">
        <v>37315.87</v>
      </c>
      <c r="E4124" s="9">
        <v>1</v>
      </c>
    </row>
    <row r="4125" spans="1:5" x14ac:dyDescent="0.25">
      <c r="A4125" s="7">
        <v>1</v>
      </c>
      <c r="B4125" s="7">
        <v>7129</v>
      </c>
      <c r="C4125" s="7">
        <v>145</v>
      </c>
      <c r="D4125" s="8">
        <v>31123.52</v>
      </c>
      <c r="E4125" s="9">
        <v>1</v>
      </c>
    </row>
    <row r="4126" spans="1:5" x14ac:dyDescent="0.25">
      <c r="A4126" s="7">
        <v>1</v>
      </c>
      <c r="B4126" s="7">
        <v>7130</v>
      </c>
      <c r="C4126" s="7">
        <v>105</v>
      </c>
      <c r="D4126" s="8">
        <v>36345.14</v>
      </c>
      <c r="E4126" s="9">
        <v>1</v>
      </c>
    </row>
    <row r="4127" spans="1:5" x14ac:dyDescent="0.25">
      <c r="A4127" s="7">
        <v>1</v>
      </c>
      <c r="B4127" s="7">
        <v>7131</v>
      </c>
      <c r="C4127" s="7">
        <v>902</v>
      </c>
      <c r="D4127" s="8">
        <v>122202.84</v>
      </c>
      <c r="E4127" s="9">
        <v>1</v>
      </c>
    </row>
    <row r="4128" spans="1:5" x14ac:dyDescent="0.25">
      <c r="A4128" s="7">
        <v>1</v>
      </c>
      <c r="B4128" s="7">
        <v>7132</v>
      </c>
      <c r="C4128" s="7">
        <v>902</v>
      </c>
      <c r="D4128" s="8">
        <v>27841.22</v>
      </c>
      <c r="E4128" s="9">
        <v>1</v>
      </c>
    </row>
    <row r="4129" spans="1:5" x14ac:dyDescent="0.25">
      <c r="A4129" s="7">
        <v>1</v>
      </c>
      <c r="B4129" s="7">
        <v>7133</v>
      </c>
      <c r="C4129" s="7">
        <v>902</v>
      </c>
      <c r="D4129" s="8">
        <v>94002.07</v>
      </c>
      <c r="E4129" s="9">
        <v>1</v>
      </c>
    </row>
    <row r="4130" spans="1:5" x14ac:dyDescent="0.25">
      <c r="A4130" s="7">
        <v>1</v>
      </c>
      <c r="B4130" s="7">
        <v>7152</v>
      </c>
      <c r="C4130" s="7">
        <v>145</v>
      </c>
      <c r="D4130" s="8">
        <v>31123.52</v>
      </c>
      <c r="E4130" s="9">
        <v>1</v>
      </c>
    </row>
    <row r="4131" spans="1:5" x14ac:dyDescent="0.25">
      <c r="A4131" s="7">
        <v>1</v>
      </c>
      <c r="B4131" s="7">
        <v>7153</v>
      </c>
      <c r="C4131" s="7">
        <v>145</v>
      </c>
      <c r="D4131" s="8">
        <v>31123.52</v>
      </c>
      <c r="E4131" s="9">
        <v>1</v>
      </c>
    </row>
    <row r="4132" spans="1:5" x14ac:dyDescent="0.25">
      <c r="A4132" s="7">
        <v>1</v>
      </c>
      <c r="B4132" s="7">
        <v>7154</v>
      </c>
      <c r="C4132" s="7">
        <v>105</v>
      </c>
      <c r="D4132" s="8">
        <v>37069.03</v>
      </c>
      <c r="E4132" s="9">
        <v>1</v>
      </c>
    </row>
    <row r="4133" spans="1:5" x14ac:dyDescent="0.25">
      <c r="A4133" s="7">
        <v>1</v>
      </c>
      <c r="B4133" s="7">
        <v>7155</v>
      </c>
      <c r="C4133" s="7">
        <v>145</v>
      </c>
      <c r="D4133" s="8">
        <v>31123.52</v>
      </c>
      <c r="E4133" s="9">
        <v>1</v>
      </c>
    </row>
    <row r="4134" spans="1:5" x14ac:dyDescent="0.25">
      <c r="A4134" s="7">
        <v>1</v>
      </c>
      <c r="B4134" s="7">
        <v>7156</v>
      </c>
      <c r="C4134" s="7">
        <v>105</v>
      </c>
      <c r="D4134" s="8">
        <v>64152.18</v>
      </c>
      <c r="E4134" s="9">
        <v>1</v>
      </c>
    </row>
    <row r="4135" spans="1:5" x14ac:dyDescent="0.25">
      <c r="A4135" s="7">
        <v>1</v>
      </c>
      <c r="B4135" s="7">
        <v>7157</v>
      </c>
      <c r="C4135" s="7">
        <v>105</v>
      </c>
      <c r="D4135" s="8">
        <v>216604.99</v>
      </c>
      <c r="E4135" s="9">
        <v>1</v>
      </c>
    </row>
    <row r="4136" spans="1:5" x14ac:dyDescent="0.25">
      <c r="A4136" s="7">
        <v>1</v>
      </c>
      <c r="B4136" s="7">
        <v>7160</v>
      </c>
      <c r="C4136" s="7">
        <v>105</v>
      </c>
      <c r="D4136" s="8">
        <v>53458.99</v>
      </c>
      <c r="E4136" s="9">
        <v>1</v>
      </c>
    </row>
    <row r="4137" spans="1:5" x14ac:dyDescent="0.25">
      <c r="A4137" s="7">
        <v>1</v>
      </c>
      <c r="B4137" s="7">
        <v>7161</v>
      </c>
      <c r="C4137" s="7">
        <v>105</v>
      </c>
      <c r="D4137" s="8">
        <v>180502.84</v>
      </c>
      <c r="E4137" s="9">
        <v>1</v>
      </c>
    </row>
    <row r="4138" spans="1:5" x14ac:dyDescent="0.25">
      <c r="A4138" s="7">
        <v>1</v>
      </c>
      <c r="B4138" s="7">
        <v>7185</v>
      </c>
      <c r="C4138" s="7">
        <v>105</v>
      </c>
      <c r="D4138" s="8">
        <v>26250.44</v>
      </c>
      <c r="E4138" s="9">
        <v>1</v>
      </c>
    </row>
    <row r="4139" spans="1:5" x14ac:dyDescent="0.25">
      <c r="A4139" s="7">
        <v>1</v>
      </c>
      <c r="B4139" s="7">
        <v>7186</v>
      </c>
      <c r="C4139" s="7">
        <v>105</v>
      </c>
      <c r="D4139" s="8">
        <v>88630.96</v>
      </c>
      <c r="E4139" s="9">
        <v>1</v>
      </c>
    </row>
    <row r="4140" spans="1:5" x14ac:dyDescent="0.25">
      <c r="A4140" s="7">
        <v>1</v>
      </c>
      <c r="B4140" s="7">
        <v>7187</v>
      </c>
      <c r="C4140" s="7">
        <v>105</v>
      </c>
      <c r="D4140" s="8">
        <v>34124.14</v>
      </c>
      <c r="E4140" s="9">
        <v>1</v>
      </c>
    </row>
    <row r="4141" spans="1:5" x14ac:dyDescent="0.25">
      <c r="A4141" s="7">
        <v>1</v>
      </c>
      <c r="B4141" s="7">
        <v>7188</v>
      </c>
      <c r="C4141" s="7">
        <v>105</v>
      </c>
      <c r="D4141" s="8">
        <v>115218.84</v>
      </c>
      <c r="E4141" s="9">
        <v>1</v>
      </c>
    </row>
    <row r="4142" spans="1:5" x14ac:dyDescent="0.25">
      <c r="A4142" s="7">
        <v>1</v>
      </c>
      <c r="B4142" s="7">
        <v>7189</v>
      </c>
      <c r="C4142" s="7">
        <v>105</v>
      </c>
      <c r="D4142" s="8">
        <v>34124.14</v>
      </c>
      <c r="E4142" s="9">
        <v>1</v>
      </c>
    </row>
    <row r="4143" spans="1:5" x14ac:dyDescent="0.25">
      <c r="A4143" s="7">
        <v>1</v>
      </c>
      <c r="B4143" s="7">
        <v>7190</v>
      </c>
      <c r="C4143" s="7">
        <v>105</v>
      </c>
      <c r="D4143" s="8">
        <v>115218.84</v>
      </c>
      <c r="E4143" s="9">
        <v>1</v>
      </c>
    </row>
    <row r="4144" spans="1:5" x14ac:dyDescent="0.25">
      <c r="A4144" s="7">
        <v>1</v>
      </c>
      <c r="B4144" s="7">
        <v>7211</v>
      </c>
      <c r="C4144" s="7">
        <v>106</v>
      </c>
      <c r="D4144" s="8">
        <v>329655.39</v>
      </c>
      <c r="E4144" s="9">
        <v>1</v>
      </c>
    </row>
    <row r="4145" spans="1:5" x14ac:dyDescent="0.25">
      <c r="A4145" s="7">
        <v>1</v>
      </c>
      <c r="B4145" s="7">
        <v>7213</v>
      </c>
      <c r="C4145" s="7">
        <v>106</v>
      </c>
      <c r="D4145" s="8">
        <v>329655.39</v>
      </c>
      <c r="E4145" s="9">
        <v>1</v>
      </c>
    </row>
    <row r="4146" spans="1:5" x14ac:dyDescent="0.25">
      <c r="A4146" s="7">
        <v>1</v>
      </c>
      <c r="B4146" s="7">
        <v>7214</v>
      </c>
      <c r="C4146" s="7">
        <v>106</v>
      </c>
      <c r="D4146" s="8">
        <v>329655.39</v>
      </c>
      <c r="E4146" s="9">
        <v>1</v>
      </c>
    </row>
    <row r="4147" spans="1:5" x14ac:dyDescent="0.25">
      <c r="A4147" s="7">
        <v>1</v>
      </c>
      <c r="B4147" s="7">
        <v>7251</v>
      </c>
      <c r="C4147" s="7">
        <v>106</v>
      </c>
      <c r="D4147" s="8">
        <v>30139.36</v>
      </c>
      <c r="E4147" s="9">
        <v>1</v>
      </c>
    </row>
    <row r="4148" spans="1:5" x14ac:dyDescent="0.25">
      <c r="A4148" s="7">
        <v>1</v>
      </c>
      <c r="B4148" s="7">
        <v>7253</v>
      </c>
      <c r="C4148" s="7">
        <v>106</v>
      </c>
      <c r="D4148" s="8">
        <v>30139.36</v>
      </c>
      <c r="E4148" s="9">
        <v>1</v>
      </c>
    </row>
    <row r="4149" spans="1:5" x14ac:dyDescent="0.25">
      <c r="A4149" s="7">
        <v>1</v>
      </c>
      <c r="B4149" s="7">
        <v>7254</v>
      </c>
      <c r="C4149" s="7">
        <v>106</v>
      </c>
      <c r="D4149" s="8">
        <v>30139.36</v>
      </c>
      <c r="E4149" s="9">
        <v>1</v>
      </c>
    </row>
    <row r="4150" spans="1:5" x14ac:dyDescent="0.25">
      <c r="A4150" s="7">
        <v>1</v>
      </c>
      <c r="B4150" s="7">
        <v>7261</v>
      </c>
      <c r="C4150" s="7">
        <v>106</v>
      </c>
      <c r="D4150" s="8">
        <v>95914.3</v>
      </c>
      <c r="E4150" s="9">
        <v>1</v>
      </c>
    </row>
    <row r="4151" spans="1:5" x14ac:dyDescent="0.25">
      <c r="A4151" s="7">
        <v>1</v>
      </c>
      <c r="B4151" s="7">
        <v>7263</v>
      </c>
      <c r="C4151" s="7">
        <v>106</v>
      </c>
      <c r="D4151" s="8">
        <v>95914.3</v>
      </c>
      <c r="E4151" s="9">
        <v>1</v>
      </c>
    </row>
    <row r="4152" spans="1:5" x14ac:dyDescent="0.25">
      <c r="A4152" s="7">
        <v>1</v>
      </c>
      <c r="B4152" s="7">
        <v>7264</v>
      </c>
      <c r="C4152" s="7">
        <v>106</v>
      </c>
      <c r="D4152" s="8">
        <v>95914.3</v>
      </c>
      <c r="E4152" s="9">
        <v>1</v>
      </c>
    </row>
    <row r="4153" spans="1:5" x14ac:dyDescent="0.25">
      <c r="A4153" s="7">
        <v>1</v>
      </c>
      <c r="B4153" s="7">
        <v>7281</v>
      </c>
      <c r="C4153" s="7">
        <v>106</v>
      </c>
      <c r="D4153" s="8">
        <v>197793.51</v>
      </c>
      <c r="E4153" s="9">
        <v>1</v>
      </c>
    </row>
    <row r="4154" spans="1:5" x14ac:dyDescent="0.25">
      <c r="A4154" s="7">
        <v>1</v>
      </c>
      <c r="B4154" s="7">
        <v>7283</v>
      </c>
      <c r="C4154" s="7">
        <v>106</v>
      </c>
      <c r="D4154" s="8">
        <v>197793.51</v>
      </c>
      <c r="E4154" s="9">
        <v>1</v>
      </c>
    </row>
    <row r="4155" spans="1:5" x14ac:dyDescent="0.25">
      <c r="A4155" s="7">
        <v>1</v>
      </c>
      <c r="B4155" s="7">
        <v>7284</v>
      </c>
      <c r="C4155" s="7">
        <v>106</v>
      </c>
      <c r="D4155" s="8">
        <v>197793.51</v>
      </c>
      <c r="E4155" s="9">
        <v>1</v>
      </c>
    </row>
    <row r="4156" spans="1:5" x14ac:dyDescent="0.25">
      <c r="A4156" s="7">
        <v>1</v>
      </c>
      <c r="B4156" s="7">
        <v>7300</v>
      </c>
      <c r="C4156" s="7">
        <v>133</v>
      </c>
      <c r="D4156" s="8">
        <v>197.38</v>
      </c>
      <c r="E4156" s="9">
        <v>3</v>
      </c>
    </row>
    <row r="4157" spans="1:5" x14ac:dyDescent="0.25">
      <c r="A4157" s="7">
        <v>1</v>
      </c>
      <c r="B4157" s="7">
        <v>7301</v>
      </c>
      <c r="C4157" s="7">
        <v>133</v>
      </c>
      <c r="D4157" s="8">
        <v>462.99</v>
      </c>
      <c r="E4157" s="9">
        <v>3</v>
      </c>
    </row>
    <row r="4158" spans="1:5" x14ac:dyDescent="0.25">
      <c r="A4158" s="7">
        <v>1</v>
      </c>
      <c r="B4158" s="7">
        <v>7302</v>
      </c>
      <c r="C4158" s="7">
        <v>133</v>
      </c>
      <c r="D4158" s="8">
        <v>248.61</v>
      </c>
      <c r="E4158" s="9">
        <v>3</v>
      </c>
    </row>
    <row r="4159" spans="1:5" x14ac:dyDescent="0.25">
      <c r="A4159" s="7">
        <v>1</v>
      </c>
      <c r="B4159" s="7">
        <v>7304</v>
      </c>
      <c r="C4159" s="7">
        <v>133</v>
      </c>
      <c r="D4159" s="8">
        <v>209.25</v>
      </c>
      <c r="E4159" s="9">
        <v>3</v>
      </c>
    </row>
    <row r="4160" spans="1:5" x14ac:dyDescent="0.25">
      <c r="A4160" s="7">
        <v>1</v>
      </c>
      <c r="B4160" s="7">
        <v>7305</v>
      </c>
      <c r="C4160" s="7">
        <v>133</v>
      </c>
      <c r="D4160" s="8">
        <v>509.32</v>
      </c>
      <c r="E4160" s="9">
        <v>3</v>
      </c>
    </row>
    <row r="4161" spans="1:5" x14ac:dyDescent="0.25">
      <c r="A4161" s="7">
        <v>1</v>
      </c>
      <c r="B4161" s="7">
        <v>7306</v>
      </c>
      <c r="C4161" s="7">
        <v>133</v>
      </c>
      <c r="D4161" s="8">
        <v>485.73</v>
      </c>
      <c r="E4161" s="9">
        <v>3</v>
      </c>
    </row>
    <row r="4162" spans="1:5" x14ac:dyDescent="0.25">
      <c r="A4162" s="7">
        <v>1</v>
      </c>
      <c r="B4162" s="7">
        <v>7308</v>
      </c>
      <c r="C4162" s="7">
        <v>133</v>
      </c>
      <c r="D4162" s="8">
        <v>197.02</v>
      </c>
      <c r="E4162" s="9">
        <v>3</v>
      </c>
    </row>
    <row r="4163" spans="1:5" x14ac:dyDescent="0.25">
      <c r="A4163" s="7">
        <v>1</v>
      </c>
      <c r="B4163" s="7">
        <v>7309</v>
      </c>
      <c r="C4163" s="7">
        <v>133</v>
      </c>
      <c r="D4163" s="8">
        <v>281.09</v>
      </c>
      <c r="E4163" s="9">
        <v>3</v>
      </c>
    </row>
    <row r="4164" spans="1:5" x14ac:dyDescent="0.25">
      <c r="A4164" s="7">
        <v>1</v>
      </c>
      <c r="B4164" s="7">
        <v>7311</v>
      </c>
      <c r="C4164" s="7">
        <v>133</v>
      </c>
      <c r="D4164" s="8">
        <v>8796.48</v>
      </c>
      <c r="E4164" s="9">
        <v>1</v>
      </c>
    </row>
    <row r="4165" spans="1:5" x14ac:dyDescent="0.25">
      <c r="A4165" s="7">
        <v>1</v>
      </c>
      <c r="B4165" s="7">
        <v>7312</v>
      </c>
      <c r="C4165" s="7">
        <v>133</v>
      </c>
      <c r="D4165" s="8">
        <v>101.62</v>
      </c>
      <c r="E4165" s="9">
        <v>3</v>
      </c>
    </row>
    <row r="4166" spans="1:5" x14ac:dyDescent="0.25">
      <c r="A4166" s="7">
        <v>1</v>
      </c>
      <c r="B4166" s="7">
        <v>7313</v>
      </c>
      <c r="C4166" s="7">
        <v>133</v>
      </c>
      <c r="D4166" s="8">
        <v>513.86</v>
      </c>
      <c r="E4166" s="9">
        <v>3</v>
      </c>
    </row>
    <row r="4167" spans="1:5" x14ac:dyDescent="0.25">
      <c r="A4167" s="7">
        <v>1</v>
      </c>
      <c r="B4167" s="7">
        <v>7314</v>
      </c>
      <c r="C4167" s="7">
        <v>133</v>
      </c>
      <c r="D4167" s="8">
        <v>199.84</v>
      </c>
      <c r="E4167" s="9">
        <v>3</v>
      </c>
    </row>
    <row r="4168" spans="1:5" x14ac:dyDescent="0.25">
      <c r="A4168" s="7">
        <v>1</v>
      </c>
      <c r="B4168" s="7">
        <v>7315</v>
      </c>
      <c r="C4168" s="7">
        <v>133</v>
      </c>
      <c r="D4168" s="8">
        <v>295.83</v>
      </c>
      <c r="E4168" s="9">
        <v>3</v>
      </c>
    </row>
    <row r="4169" spans="1:5" x14ac:dyDescent="0.25">
      <c r="A4169" s="7">
        <v>1</v>
      </c>
      <c r="B4169" s="7">
        <v>7316</v>
      </c>
      <c r="C4169" s="7">
        <v>133</v>
      </c>
      <c r="D4169" s="8">
        <v>172.31</v>
      </c>
      <c r="E4169" s="9">
        <v>3</v>
      </c>
    </row>
    <row r="4170" spans="1:5" x14ac:dyDescent="0.25">
      <c r="A4170" s="7">
        <v>1</v>
      </c>
      <c r="B4170" s="7">
        <v>7317</v>
      </c>
      <c r="C4170" s="7">
        <v>133</v>
      </c>
      <c r="D4170" s="8">
        <v>207.33</v>
      </c>
      <c r="E4170" s="9">
        <v>3</v>
      </c>
    </row>
    <row r="4171" spans="1:5" x14ac:dyDescent="0.25">
      <c r="A4171" s="7">
        <v>1</v>
      </c>
      <c r="B4171" s="7">
        <v>7318</v>
      </c>
      <c r="C4171" s="7">
        <v>133</v>
      </c>
      <c r="D4171" s="8">
        <v>129.22</v>
      </c>
      <c r="E4171" s="9">
        <v>3</v>
      </c>
    </row>
    <row r="4172" spans="1:5" x14ac:dyDescent="0.25">
      <c r="A4172" s="7">
        <v>1</v>
      </c>
      <c r="B4172" s="7">
        <v>7319</v>
      </c>
      <c r="C4172" s="7">
        <v>133</v>
      </c>
      <c r="D4172" s="8">
        <v>157.81</v>
      </c>
      <c r="E4172" s="9">
        <v>3</v>
      </c>
    </row>
    <row r="4173" spans="1:5" x14ac:dyDescent="0.25">
      <c r="A4173" s="7">
        <v>1</v>
      </c>
      <c r="B4173" s="7">
        <v>7320</v>
      </c>
      <c r="C4173" s="7">
        <v>133</v>
      </c>
      <c r="D4173" s="8">
        <v>280.11</v>
      </c>
      <c r="E4173" s="9">
        <v>3</v>
      </c>
    </row>
    <row r="4174" spans="1:5" x14ac:dyDescent="0.25">
      <c r="A4174" s="7">
        <v>1</v>
      </c>
      <c r="B4174" s="7">
        <v>7321</v>
      </c>
      <c r="C4174" s="7">
        <v>133</v>
      </c>
      <c r="D4174" s="8">
        <v>188.86</v>
      </c>
      <c r="E4174" s="9">
        <v>3</v>
      </c>
    </row>
    <row r="4175" spans="1:5" x14ac:dyDescent="0.25">
      <c r="A4175" s="7">
        <v>1</v>
      </c>
      <c r="B4175" s="7">
        <v>7323</v>
      </c>
      <c r="C4175" s="7">
        <v>133</v>
      </c>
      <c r="D4175" s="8">
        <v>348.69</v>
      </c>
      <c r="E4175" s="9">
        <v>3</v>
      </c>
    </row>
    <row r="4176" spans="1:5" x14ac:dyDescent="0.25">
      <c r="A4176" s="7">
        <v>1</v>
      </c>
      <c r="B4176" s="7">
        <v>7324</v>
      </c>
      <c r="C4176" s="7">
        <v>133</v>
      </c>
      <c r="D4176" s="8">
        <v>155.19</v>
      </c>
      <c r="E4176" s="9">
        <v>3</v>
      </c>
    </row>
    <row r="4177" spans="1:5" x14ac:dyDescent="0.25">
      <c r="A4177" s="7">
        <v>1</v>
      </c>
      <c r="B4177" s="7">
        <v>7325</v>
      </c>
      <c r="C4177" s="7">
        <v>133</v>
      </c>
      <c r="D4177" s="8">
        <v>297.2</v>
      </c>
      <c r="E4177" s="9">
        <v>3</v>
      </c>
    </row>
    <row r="4178" spans="1:5" x14ac:dyDescent="0.25">
      <c r="A4178" s="7">
        <v>1</v>
      </c>
      <c r="B4178" s="7">
        <v>7328</v>
      </c>
      <c r="C4178" s="7">
        <v>133</v>
      </c>
      <c r="D4178" s="8">
        <v>322.3</v>
      </c>
      <c r="E4178" s="9">
        <v>3</v>
      </c>
    </row>
    <row r="4179" spans="1:5" x14ac:dyDescent="0.25">
      <c r="A4179" s="7">
        <v>1</v>
      </c>
      <c r="B4179" s="7">
        <v>7341</v>
      </c>
      <c r="C4179" s="7">
        <v>133</v>
      </c>
      <c r="D4179" s="8">
        <v>540.43</v>
      </c>
      <c r="E4179" s="9">
        <v>3</v>
      </c>
    </row>
    <row r="4180" spans="1:5" x14ac:dyDescent="0.25">
      <c r="A4180" s="7">
        <v>1</v>
      </c>
      <c r="B4180" s="7">
        <v>7342</v>
      </c>
      <c r="C4180" s="7">
        <v>133</v>
      </c>
      <c r="D4180" s="8">
        <v>118.6</v>
      </c>
      <c r="E4180" s="9">
        <v>3</v>
      </c>
    </row>
    <row r="4181" spans="1:5" x14ac:dyDescent="0.25">
      <c r="A4181" s="7">
        <v>1</v>
      </c>
      <c r="B4181" s="7">
        <v>7346</v>
      </c>
      <c r="C4181" s="7">
        <v>133</v>
      </c>
      <c r="D4181" s="8">
        <v>205.41</v>
      </c>
      <c r="E4181" s="9">
        <v>3</v>
      </c>
    </row>
    <row r="4182" spans="1:5" x14ac:dyDescent="0.25">
      <c r="A4182" s="7">
        <v>1</v>
      </c>
      <c r="B4182" s="7">
        <v>7349</v>
      </c>
      <c r="C4182" s="7">
        <v>133</v>
      </c>
      <c r="D4182" s="8">
        <v>35.62</v>
      </c>
      <c r="E4182" s="9">
        <v>3</v>
      </c>
    </row>
    <row r="4183" spans="1:5" x14ac:dyDescent="0.25">
      <c r="A4183" s="7">
        <v>1</v>
      </c>
      <c r="B4183" s="7">
        <v>7351</v>
      </c>
      <c r="C4183" s="7">
        <v>133</v>
      </c>
      <c r="D4183" s="8">
        <v>162.5</v>
      </c>
      <c r="E4183" s="9">
        <v>3</v>
      </c>
    </row>
    <row r="4184" spans="1:5" x14ac:dyDescent="0.25">
      <c r="A4184" s="7">
        <v>1</v>
      </c>
      <c r="B4184" s="7">
        <v>7359</v>
      </c>
      <c r="C4184" s="7">
        <v>133</v>
      </c>
      <c r="D4184" s="8">
        <v>38.32</v>
      </c>
      <c r="E4184" s="9">
        <v>3</v>
      </c>
    </row>
    <row r="4185" spans="1:5" x14ac:dyDescent="0.25">
      <c r="A4185" s="7">
        <v>1</v>
      </c>
      <c r="B4185" s="7">
        <v>7361</v>
      </c>
      <c r="C4185" s="7">
        <v>132</v>
      </c>
      <c r="D4185" s="8">
        <v>141.98</v>
      </c>
      <c r="E4185" s="9">
        <v>3</v>
      </c>
    </row>
    <row r="4186" spans="1:5" x14ac:dyDescent="0.25">
      <c r="A4186" s="7">
        <v>1</v>
      </c>
      <c r="B4186" s="7">
        <v>7362</v>
      </c>
      <c r="C4186" s="7">
        <v>133</v>
      </c>
      <c r="D4186" s="8">
        <v>38.22</v>
      </c>
      <c r="E4186" s="9">
        <v>3</v>
      </c>
    </row>
    <row r="4187" spans="1:5" x14ac:dyDescent="0.25">
      <c r="A4187" s="7">
        <v>1</v>
      </c>
      <c r="B4187" s="7">
        <v>7365</v>
      </c>
      <c r="C4187" s="7">
        <v>133</v>
      </c>
      <c r="D4187" s="8">
        <v>1219.1</v>
      </c>
      <c r="E4187" s="9">
        <v>1</v>
      </c>
    </row>
    <row r="4188" spans="1:5" x14ac:dyDescent="0.25">
      <c r="A4188" s="7">
        <v>1</v>
      </c>
      <c r="B4188" s="7">
        <v>7369</v>
      </c>
      <c r="C4188" s="7">
        <v>133</v>
      </c>
      <c r="D4188" s="8">
        <v>343.93</v>
      </c>
      <c r="E4188" s="9">
        <v>3</v>
      </c>
    </row>
    <row r="4189" spans="1:5" x14ac:dyDescent="0.25">
      <c r="A4189" s="7">
        <v>1</v>
      </c>
      <c r="B4189" s="7">
        <v>7372</v>
      </c>
      <c r="C4189" s="7">
        <v>132</v>
      </c>
      <c r="D4189" s="8">
        <v>114.59</v>
      </c>
      <c r="E4189" s="9">
        <v>3</v>
      </c>
    </row>
    <row r="4190" spans="1:5" x14ac:dyDescent="0.25">
      <c r="A4190" s="7">
        <v>1</v>
      </c>
      <c r="B4190" s="7">
        <v>7380</v>
      </c>
      <c r="C4190" s="7">
        <v>132</v>
      </c>
      <c r="D4190" s="8">
        <v>2934.8</v>
      </c>
      <c r="E4190" s="9">
        <v>1</v>
      </c>
    </row>
    <row r="4191" spans="1:5" x14ac:dyDescent="0.25">
      <c r="A4191" s="7">
        <v>1</v>
      </c>
      <c r="B4191" s="7">
        <v>7381</v>
      </c>
      <c r="C4191" s="7">
        <v>133</v>
      </c>
      <c r="D4191" s="8">
        <v>242.61</v>
      </c>
      <c r="E4191" s="9">
        <v>3</v>
      </c>
    </row>
    <row r="4192" spans="1:5" x14ac:dyDescent="0.25">
      <c r="A4192" s="7">
        <v>1</v>
      </c>
      <c r="B4192" s="7">
        <v>7385</v>
      </c>
      <c r="C4192" s="7">
        <v>133</v>
      </c>
      <c r="D4192" s="8">
        <v>38.02</v>
      </c>
      <c r="E4192" s="9">
        <v>3</v>
      </c>
    </row>
    <row r="4193" spans="1:5" x14ac:dyDescent="0.25">
      <c r="A4193" s="7">
        <v>1</v>
      </c>
      <c r="B4193" s="7">
        <v>7392</v>
      </c>
      <c r="C4193" s="7">
        <v>133</v>
      </c>
      <c r="D4193" s="8">
        <v>115.02</v>
      </c>
      <c r="E4193" s="9">
        <v>3</v>
      </c>
    </row>
    <row r="4194" spans="1:5" x14ac:dyDescent="0.25">
      <c r="A4194" s="7">
        <v>1</v>
      </c>
      <c r="B4194" s="7">
        <v>7393</v>
      </c>
      <c r="C4194" s="7">
        <v>133</v>
      </c>
      <c r="D4194" s="8">
        <v>157.24</v>
      </c>
      <c r="E4194" s="9">
        <v>3</v>
      </c>
    </row>
    <row r="4195" spans="1:5" x14ac:dyDescent="0.25">
      <c r="A4195" s="7">
        <v>1</v>
      </c>
      <c r="B4195" s="7">
        <v>7400</v>
      </c>
      <c r="C4195" s="7">
        <v>133</v>
      </c>
      <c r="D4195" s="8">
        <v>282.01</v>
      </c>
      <c r="E4195" s="9">
        <v>3</v>
      </c>
    </row>
    <row r="4196" spans="1:5" x14ac:dyDescent="0.25">
      <c r="A4196" s="7">
        <v>1</v>
      </c>
      <c r="B4196" s="7">
        <v>7402</v>
      </c>
      <c r="C4196" s="7">
        <v>133</v>
      </c>
      <c r="D4196" s="8">
        <v>31.4</v>
      </c>
      <c r="E4196" s="9">
        <v>3</v>
      </c>
    </row>
    <row r="4197" spans="1:5" x14ac:dyDescent="0.25">
      <c r="A4197" s="7">
        <v>1</v>
      </c>
      <c r="B4197" s="7">
        <v>7420</v>
      </c>
      <c r="C4197" s="7">
        <v>133</v>
      </c>
      <c r="D4197" s="8">
        <v>324.32</v>
      </c>
      <c r="E4197" s="9">
        <v>3</v>
      </c>
    </row>
    <row r="4198" spans="1:5" x14ac:dyDescent="0.25">
      <c r="A4198" s="7">
        <v>1</v>
      </c>
      <c r="B4198" s="7">
        <v>7421</v>
      </c>
      <c r="C4198" s="7">
        <v>133</v>
      </c>
      <c r="D4198" s="8">
        <v>90.42</v>
      </c>
      <c r="E4198" s="9">
        <v>3</v>
      </c>
    </row>
    <row r="4199" spans="1:5" x14ac:dyDescent="0.25">
      <c r="A4199" s="7">
        <v>1</v>
      </c>
      <c r="B4199" s="7">
        <v>7440</v>
      </c>
      <c r="C4199" s="7">
        <v>133</v>
      </c>
      <c r="D4199" s="8">
        <v>50.17</v>
      </c>
      <c r="E4199" s="9">
        <v>3</v>
      </c>
    </row>
    <row r="4200" spans="1:5" x14ac:dyDescent="0.25">
      <c r="A4200" s="7">
        <v>1</v>
      </c>
      <c r="B4200" s="7">
        <v>7445</v>
      </c>
      <c r="C4200" s="7">
        <v>145</v>
      </c>
      <c r="D4200" s="8">
        <v>33216.12</v>
      </c>
      <c r="E4200" s="9">
        <v>1</v>
      </c>
    </row>
    <row r="4201" spans="1:5" x14ac:dyDescent="0.25">
      <c r="A4201" s="7">
        <v>1</v>
      </c>
      <c r="B4201" s="7">
        <v>7446</v>
      </c>
      <c r="C4201" s="7">
        <v>145</v>
      </c>
      <c r="D4201" s="8">
        <v>33216.12</v>
      </c>
      <c r="E4201" s="9">
        <v>1</v>
      </c>
    </row>
    <row r="4202" spans="1:5" x14ac:dyDescent="0.25">
      <c r="A4202" s="7">
        <v>1</v>
      </c>
      <c r="B4202" s="7">
        <v>7447</v>
      </c>
      <c r="C4202" s="7">
        <v>145</v>
      </c>
      <c r="D4202" s="8">
        <v>33216.12</v>
      </c>
      <c r="E4202" s="9">
        <v>1</v>
      </c>
    </row>
    <row r="4203" spans="1:5" x14ac:dyDescent="0.25">
      <c r="A4203" s="7">
        <v>1</v>
      </c>
      <c r="B4203" s="7">
        <v>7448</v>
      </c>
      <c r="C4203" s="7">
        <v>145</v>
      </c>
      <c r="D4203" s="8">
        <v>33216.12</v>
      </c>
      <c r="E4203" s="9">
        <v>1</v>
      </c>
    </row>
    <row r="4204" spans="1:5" x14ac:dyDescent="0.25">
      <c r="A4204" s="7">
        <v>1</v>
      </c>
      <c r="B4204" s="7">
        <v>7449</v>
      </c>
      <c r="C4204" s="7">
        <v>145</v>
      </c>
      <c r="D4204" s="8">
        <v>28618.53</v>
      </c>
      <c r="E4204" s="9">
        <v>1</v>
      </c>
    </row>
    <row r="4205" spans="1:5" x14ac:dyDescent="0.25">
      <c r="A4205" s="7">
        <v>1</v>
      </c>
      <c r="B4205" s="7">
        <v>7450</v>
      </c>
      <c r="C4205" s="7">
        <v>145</v>
      </c>
      <c r="D4205" s="8">
        <v>31123.52</v>
      </c>
      <c r="E4205" s="9">
        <v>1</v>
      </c>
    </row>
    <row r="4206" spans="1:5" x14ac:dyDescent="0.25">
      <c r="A4206" s="7">
        <v>1</v>
      </c>
      <c r="B4206" s="7">
        <v>7451</v>
      </c>
      <c r="C4206" s="7">
        <v>902</v>
      </c>
      <c r="D4206" s="8">
        <v>28282.07</v>
      </c>
      <c r="E4206" s="9">
        <v>1</v>
      </c>
    </row>
    <row r="4207" spans="1:5" x14ac:dyDescent="0.25">
      <c r="A4207" s="7">
        <v>1</v>
      </c>
      <c r="B4207" s="7">
        <v>7452</v>
      </c>
      <c r="C4207" s="7">
        <v>146</v>
      </c>
      <c r="D4207" s="8">
        <v>26316.65</v>
      </c>
      <c r="E4207" s="9">
        <v>1</v>
      </c>
    </row>
    <row r="4208" spans="1:5" x14ac:dyDescent="0.25">
      <c r="A4208" s="7">
        <v>1</v>
      </c>
      <c r="B4208" s="7">
        <v>7453</v>
      </c>
      <c r="C4208" s="7">
        <v>902</v>
      </c>
      <c r="D4208" s="8">
        <v>17780.87</v>
      </c>
      <c r="E4208" s="9">
        <v>1</v>
      </c>
    </row>
    <row r="4209" spans="1:5" x14ac:dyDescent="0.25">
      <c r="A4209" s="7">
        <v>1</v>
      </c>
      <c r="B4209" s="7">
        <v>7454</v>
      </c>
      <c r="C4209" s="7">
        <v>146</v>
      </c>
      <c r="D4209" s="8">
        <v>26316.65</v>
      </c>
      <c r="E4209" s="9">
        <v>1</v>
      </c>
    </row>
    <row r="4210" spans="1:5" x14ac:dyDescent="0.25">
      <c r="A4210" s="7">
        <v>1</v>
      </c>
      <c r="B4210" s="7">
        <v>7455</v>
      </c>
      <c r="C4210" s="7">
        <v>902</v>
      </c>
      <c r="D4210" s="8">
        <v>17780.91</v>
      </c>
      <c r="E4210" s="9">
        <v>1</v>
      </c>
    </row>
    <row r="4211" spans="1:5" x14ac:dyDescent="0.25">
      <c r="A4211" s="7">
        <v>1</v>
      </c>
      <c r="B4211" s="7">
        <v>7456</v>
      </c>
      <c r="C4211" s="7">
        <v>146</v>
      </c>
      <c r="D4211" s="8">
        <v>20728.49</v>
      </c>
      <c r="E4211" s="9">
        <v>1</v>
      </c>
    </row>
    <row r="4212" spans="1:5" x14ac:dyDescent="0.25">
      <c r="A4212" s="7">
        <v>1</v>
      </c>
      <c r="B4212" s="7">
        <v>7457</v>
      </c>
      <c r="C4212" s="7">
        <v>145</v>
      </c>
      <c r="D4212" s="8">
        <v>24934.28</v>
      </c>
      <c r="E4212" s="9">
        <v>1</v>
      </c>
    </row>
    <row r="4213" spans="1:5" x14ac:dyDescent="0.25">
      <c r="A4213" s="7">
        <v>1</v>
      </c>
      <c r="B4213" s="7">
        <v>7458</v>
      </c>
      <c r="C4213" s="7">
        <v>145</v>
      </c>
      <c r="D4213" s="8">
        <v>24934.28</v>
      </c>
      <c r="E4213" s="9">
        <v>1</v>
      </c>
    </row>
    <row r="4214" spans="1:5" x14ac:dyDescent="0.25">
      <c r="A4214" s="7">
        <v>1</v>
      </c>
      <c r="B4214" s="7">
        <v>7461</v>
      </c>
      <c r="C4214" s="7">
        <v>163</v>
      </c>
      <c r="D4214" s="8">
        <v>260743.2</v>
      </c>
      <c r="E4214" s="9">
        <v>1</v>
      </c>
    </row>
    <row r="4215" spans="1:5" x14ac:dyDescent="0.25">
      <c r="A4215" s="7">
        <v>1</v>
      </c>
      <c r="B4215" s="7">
        <v>7462</v>
      </c>
      <c r="C4215" s="7">
        <v>163</v>
      </c>
      <c r="D4215" s="8">
        <v>1961729.4</v>
      </c>
      <c r="E4215" s="9">
        <v>1</v>
      </c>
    </row>
    <row r="4216" spans="1:5" x14ac:dyDescent="0.25">
      <c r="A4216" s="7">
        <v>1</v>
      </c>
      <c r="B4216" s="7">
        <v>7800</v>
      </c>
      <c r="C4216" s="7">
        <v>134</v>
      </c>
      <c r="D4216" s="8">
        <v>26.65</v>
      </c>
      <c r="E4216" s="9">
        <v>3</v>
      </c>
    </row>
    <row r="4217" spans="1:5" x14ac:dyDescent="0.25">
      <c r="A4217" s="7">
        <v>1</v>
      </c>
      <c r="B4217" s="7">
        <v>7803</v>
      </c>
      <c r="C4217" s="7">
        <v>134</v>
      </c>
      <c r="D4217" s="8">
        <v>60.24</v>
      </c>
      <c r="E4217" s="9">
        <v>3</v>
      </c>
    </row>
    <row r="4218" spans="1:5" x14ac:dyDescent="0.25">
      <c r="A4218" s="7">
        <v>1</v>
      </c>
      <c r="B4218" s="7">
        <v>7812</v>
      </c>
      <c r="C4218" s="7">
        <v>134</v>
      </c>
      <c r="D4218" s="8">
        <v>273.27</v>
      </c>
      <c r="E4218" s="9">
        <v>3</v>
      </c>
    </row>
    <row r="4219" spans="1:5" x14ac:dyDescent="0.25">
      <c r="A4219" s="7">
        <v>1</v>
      </c>
      <c r="B4219" s="7">
        <v>7841</v>
      </c>
      <c r="C4219" s="7">
        <v>134</v>
      </c>
      <c r="D4219" s="8">
        <v>58.58</v>
      </c>
      <c r="E4219" s="9">
        <v>3</v>
      </c>
    </row>
    <row r="4220" spans="1:5" x14ac:dyDescent="0.25">
      <c r="A4220" s="7">
        <v>1</v>
      </c>
      <c r="B4220" s="7">
        <v>7884</v>
      </c>
      <c r="C4220" s="7">
        <v>105</v>
      </c>
      <c r="D4220" s="8">
        <v>21875.33</v>
      </c>
      <c r="E4220" s="9">
        <v>1</v>
      </c>
    </row>
    <row r="4221" spans="1:5" x14ac:dyDescent="0.25">
      <c r="A4221" s="7">
        <v>1</v>
      </c>
      <c r="B4221" s="7">
        <v>7885</v>
      </c>
      <c r="C4221" s="7">
        <v>105</v>
      </c>
      <c r="D4221" s="8">
        <v>21875.33</v>
      </c>
      <c r="E4221" s="9">
        <v>1</v>
      </c>
    </row>
    <row r="4222" spans="1:5" x14ac:dyDescent="0.25">
      <c r="A4222" s="7">
        <v>1</v>
      </c>
      <c r="B4222" s="7">
        <v>7886</v>
      </c>
      <c r="C4222" s="7">
        <v>105</v>
      </c>
      <c r="D4222" s="8">
        <v>21875.33</v>
      </c>
      <c r="E4222" s="9">
        <v>1</v>
      </c>
    </row>
    <row r="4223" spans="1:5" x14ac:dyDescent="0.25">
      <c r="A4223" s="7">
        <v>1</v>
      </c>
      <c r="B4223" s="7">
        <v>7887</v>
      </c>
      <c r="C4223" s="7">
        <v>105</v>
      </c>
      <c r="D4223" s="8">
        <v>21875.33</v>
      </c>
      <c r="E4223" s="9">
        <v>1</v>
      </c>
    </row>
    <row r="4224" spans="1:5" x14ac:dyDescent="0.25">
      <c r="A4224" s="7">
        <v>1</v>
      </c>
      <c r="B4224" s="7">
        <v>7888</v>
      </c>
      <c r="C4224" s="7">
        <v>105</v>
      </c>
      <c r="D4224" s="8">
        <v>21875.33</v>
      </c>
      <c r="E4224" s="9">
        <v>1</v>
      </c>
    </row>
    <row r="4225" spans="1:5" x14ac:dyDescent="0.25">
      <c r="A4225" s="7">
        <v>1</v>
      </c>
      <c r="B4225" s="7">
        <v>7889</v>
      </c>
      <c r="C4225" s="7">
        <v>105</v>
      </c>
      <c r="D4225" s="8">
        <v>21875.33</v>
      </c>
      <c r="E4225" s="9">
        <v>1</v>
      </c>
    </row>
    <row r="4226" spans="1:5" x14ac:dyDescent="0.25">
      <c r="A4226" s="7">
        <v>1</v>
      </c>
      <c r="B4226" s="7">
        <v>7894</v>
      </c>
      <c r="C4226" s="7">
        <v>105</v>
      </c>
      <c r="D4226" s="8">
        <v>73858.68</v>
      </c>
      <c r="E4226" s="9">
        <v>1</v>
      </c>
    </row>
    <row r="4227" spans="1:5" x14ac:dyDescent="0.25">
      <c r="A4227" s="7">
        <v>1</v>
      </c>
      <c r="B4227" s="7">
        <v>7895</v>
      </c>
      <c r="C4227" s="7">
        <v>105</v>
      </c>
      <c r="D4227" s="8">
        <v>73858.68</v>
      </c>
      <c r="E4227" s="9">
        <v>1</v>
      </c>
    </row>
    <row r="4228" spans="1:5" x14ac:dyDescent="0.25">
      <c r="A4228" s="7">
        <v>1</v>
      </c>
      <c r="B4228" s="7">
        <v>7896</v>
      </c>
      <c r="C4228" s="7">
        <v>105</v>
      </c>
      <c r="D4228" s="8">
        <v>73858.68</v>
      </c>
      <c r="E4228" s="9">
        <v>1</v>
      </c>
    </row>
    <row r="4229" spans="1:5" x14ac:dyDescent="0.25">
      <c r="A4229" s="7">
        <v>1</v>
      </c>
      <c r="B4229" s="7">
        <v>7897</v>
      </c>
      <c r="C4229" s="7">
        <v>105</v>
      </c>
      <c r="D4229" s="8">
        <v>73858.68</v>
      </c>
      <c r="E4229" s="9">
        <v>1</v>
      </c>
    </row>
    <row r="4230" spans="1:5" x14ac:dyDescent="0.25">
      <c r="A4230" s="7">
        <v>1</v>
      </c>
      <c r="B4230" s="7">
        <v>7898</v>
      </c>
      <c r="C4230" s="7">
        <v>105</v>
      </c>
      <c r="D4230" s="8">
        <v>73858.68</v>
      </c>
      <c r="E4230" s="9">
        <v>1</v>
      </c>
    </row>
    <row r="4231" spans="1:5" x14ac:dyDescent="0.25">
      <c r="A4231" s="7">
        <v>1</v>
      </c>
      <c r="B4231" s="7">
        <v>7899</v>
      </c>
      <c r="C4231" s="7">
        <v>105</v>
      </c>
      <c r="D4231" s="8">
        <v>73858.68</v>
      </c>
      <c r="E4231" s="9">
        <v>1</v>
      </c>
    </row>
    <row r="4232" spans="1:5" x14ac:dyDescent="0.25">
      <c r="A4232" s="7">
        <v>1</v>
      </c>
      <c r="B4232" s="7">
        <v>7901</v>
      </c>
      <c r="C4232" s="7">
        <v>105</v>
      </c>
      <c r="D4232" s="8">
        <v>4591.62</v>
      </c>
      <c r="E4232" s="9">
        <v>1</v>
      </c>
    </row>
    <row r="4233" spans="1:5" x14ac:dyDescent="0.25">
      <c r="A4233" s="7">
        <v>1</v>
      </c>
      <c r="B4233" s="7">
        <v>7902</v>
      </c>
      <c r="C4233" s="7">
        <v>105</v>
      </c>
      <c r="D4233" s="8">
        <v>4591.62</v>
      </c>
      <c r="E4233" s="9">
        <v>1</v>
      </c>
    </row>
    <row r="4234" spans="1:5" x14ac:dyDescent="0.25">
      <c r="A4234" s="7">
        <v>1</v>
      </c>
      <c r="B4234" s="7">
        <v>7903</v>
      </c>
      <c r="C4234" s="7">
        <v>105</v>
      </c>
      <c r="D4234" s="8">
        <v>4591.62</v>
      </c>
      <c r="E4234" s="9">
        <v>1</v>
      </c>
    </row>
    <row r="4235" spans="1:5" x14ac:dyDescent="0.25">
      <c r="A4235" s="7">
        <v>1</v>
      </c>
      <c r="B4235" s="7">
        <v>7904</v>
      </c>
      <c r="C4235" s="7">
        <v>105</v>
      </c>
      <c r="D4235" s="8">
        <v>4591.62</v>
      </c>
      <c r="E4235" s="9">
        <v>1</v>
      </c>
    </row>
    <row r="4236" spans="1:5" x14ac:dyDescent="0.25">
      <c r="A4236" s="7">
        <v>1</v>
      </c>
      <c r="B4236" s="7">
        <v>7905</v>
      </c>
      <c r="C4236" s="7">
        <v>105</v>
      </c>
      <c r="D4236" s="8">
        <v>4591.62</v>
      </c>
      <c r="E4236" s="9">
        <v>1</v>
      </c>
    </row>
    <row r="4237" spans="1:5" x14ac:dyDescent="0.25">
      <c r="A4237" s="7">
        <v>1</v>
      </c>
      <c r="B4237" s="7">
        <v>7906</v>
      </c>
      <c r="C4237" s="7">
        <v>105</v>
      </c>
      <c r="D4237" s="8">
        <v>4591.62</v>
      </c>
      <c r="E4237" s="9">
        <v>1</v>
      </c>
    </row>
    <row r="4238" spans="1:5" x14ac:dyDescent="0.25">
      <c r="A4238" s="7">
        <v>1</v>
      </c>
      <c r="B4238" s="7">
        <v>7907</v>
      </c>
      <c r="C4238" s="7">
        <v>105</v>
      </c>
      <c r="D4238" s="8">
        <v>4591.62</v>
      </c>
      <c r="E4238" s="9">
        <v>1</v>
      </c>
    </row>
    <row r="4239" spans="1:5" x14ac:dyDescent="0.25">
      <c r="A4239" s="7">
        <v>1</v>
      </c>
      <c r="B4239" s="7">
        <v>7908</v>
      </c>
      <c r="C4239" s="7">
        <v>105</v>
      </c>
      <c r="D4239" s="8">
        <v>4591.62</v>
      </c>
      <c r="E4239" s="9">
        <v>1</v>
      </c>
    </row>
    <row r="4240" spans="1:5" x14ac:dyDescent="0.25">
      <c r="A4240" s="7">
        <v>1</v>
      </c>
      <c r="B4240" s="7">
        <v>7909</v>
      </c>
      <c r="C4240" s="7">
        <v>105</v>
      </c>
      <c r="D4240" s="8">
        <v>4591.62</v>
      </c>
      <c r="E4240" s="9">
        <v>1</v>
      </c>
    </row>
    <row r="4241" spans="1:5" x14ac:dyDescent="0.25">
      <c r="A4241" s="7">
        <v>1</v>
      </c>
      <c r="B4241" s="7">
        <v>8125</v>
      </c>
      <c r="C4241" s="7">
        <v>134</v>
      </c>
      <c r="D4241" s="8">
        <v>49.06</v>
      </c>
      <c r="E4241" s="9">
        <v>3</v>
      </c>
    </row>
    <row r="4242" spans="1:5" x14ac:dyDescent="0.25">
      <c r="A4242" s="7">
        <v>1</v>
      </c>
      <c r="B4242" s="7">
        <v>8126</v>
      </c>
      <c r="C4242" s="7">
        <v>134</v>
      </c>
      <c r="D4242" s="8">
        <v>198.36</v>
      </c>
      <c r="E4242" s="9">
        <v>3</v>
      </c>
    </row>
    <row r="4243" spans="1:5" x14ac:dyDescent="0.25">
      <c r="A4243" s="7">
        <v>1</v>
      </c>
      <c r="B4243" s="7">
        <v>8260</v>
      </c>
      <c r="C4243" s="7">
        <v>169</v>
      </c>
      <c r="D4243" s="8">
        <v>51.36</v>
      </c>
      <c r="E4243" s="9">
        <v>3</v>
      </c>
    </row>
    <row r="4244" spans="1:5" x14ac:dyDescent="0.25">
      <c r="A4244" s="7">
        <v>1</v>
      </c>
      <c r="B4244" s="7">
        <v>8263</v>
      </c>
      <c r="C4244" s="7">
        <v>134</v>
      </c>
      <c r="D4244" s="8">
        <v>30.41</v>
      </c>
      <c r="E4244" s="9">
        <v>3</v>
      </c>
    </row>
    <row r="4245" spans="1:5" x14ac:dyDescent="0.25">
      <c r="A4245" s="7">
        <v>1</v>
      </c>
      <c r="B4245" s="7">
        <v>8264</v>
      </c>
      <c r="C4245" s="7">
        <v>134</v>
      </c>
      <c r="D4245" s="8">
        <v>112.91</v>
      </c>
      <c r="E4245" s="9">
        <v>3</v>
      </c>
    </row>
    <row r="4246" spans="1:5" x14ac:dyDescent="0.25">
      <c r="A4246" s="7">
        <v>1</v>
      </c>
      <c r="B4246" s="7">
        <v>8302</v>
      </c>
      <c r="C4246" s="7">
        <v>107</v>
      </c>
      <c r="D4246" s="8">
        <v>22802.86</v>
      </c>
      <c r="E4246" s="9">
        <v>1</v>
      </c>
    </row>
    <row r="4247" spans="1:5" x14ac:dyDescent="0.25">
      <c r="A4247" s="7">
        <v>1</v>
      </c>
      <c r="B4247" s="7">
        <v>8304</v>
      </c>
      <c r="C4247" s="7">
        <v>107</v>
      </c>
      <c r="D4247" s="8">
        <v>22802.86</v>
      </c>
      <c r="E4247" s="9">
        <v>1</v>
      </c>
    </row>
    <row r="4248" spans="1:5" x14ac:dyDescent="0.25">
      <c r="A4248" s="7">
        <v>1</v>
      </c>
      <c r="B4248" s="7">
        <v>8318</v>
      </c>
      <c r="C4248" s="7">
        <v>107</v>
      </c>
      <c r="D4248" s="8">
        <v>15505.9</v>
      </c>
      <c r="E4248" s="9">
        <v>1</v>
      </c>
    </row>
    <row r="4249" spans="1:5" x14ac:dyDescent="0.25">
      <c r="A4249" s="7">
        <v>1</v>
      </c>
      <c r="B4249" s="7">
        <v>8320</v>
      </c>
      <c r="C4249" s="7">
        <v>107</v>
      </c>
      <c r="D4249" s="8">
        <v>15505.9</v>
      </c>
      <c r="E4249" s="9">
        <v>1</v>
      </c>
    </row>
    <row r="4250" spans="1:5" x14ac:dyDescent="0.25">
      <c r="A4250" s="7">
        <v>1</v>
      </c>
      <c r="B4250" s="7">
        <v>8329</v>
      </c>
      <c r="C4250" s="7">
        <v>107</v>
      </c>
      <c r="D4250" s="8">
        <v>18241.71</v>
      </c>
      <c r="E4250" s="9">
        <v>1</v>
      </c>
    </row>
    <row r="4251" spans="1:5" x14ac:dyDescent="0.25">
      <c r="A4251" s="7">
        <v>1</v>
      </c>
      <c r="B4251" s="7">
        <v>8330</v>
      </c>
      <c r="C4251" s="7">
        <v>107</v>
      </c>
      <c r="D4251" s="8">
        <v>18241.71</v>
      </c>
      <c r="E4251" s="9">
        <v>1</v>
      </c>
    </row>
    <row r="4252" spans="1:5" x14ac:dyDescent="0.25">
      <c r="A4252" s="7">
        <v>1</v>
      </c>
      <c r="B4252" s="7">
        <v>8338</v>
      </c>
      <c r="C4252" s="7">
        <v>107</v>
      </c>
      <c r="D4252" s="8">
        <v>18241.71</v>
      </c>
      <c r="E4252" s="9">
        <v>1</v>
      </c>
    </row>
    <row r="4253" spans="1:5" x14ac:dyDescent="0.25">
      <c r="A4253" s="7">
        <v>1</v>
      </c>
      <c r="B4253" s="7">
        <v>8341</v>
      </c>
      <c r="C4253" s="7">
        <v>107</v>
      </c>
      <c r="D4253" s="8">
        <v>18241.71</v>
      </c>
      <c r="E4253" s="9">
        <v>1</v>
      </c>
    </row>
    <row r="4254" spans="1:5" x14ac:dyDescent="0.25">
      <c r="A4254" s="7">
        <v>1</v>
      </c>
      <c r="B4254" s="7">
        <v>8343</v>
      </c>
      <c r="C4254" s="7">
        <v>107</v>
      </c>
      <c r="D4254" s="8">
        <v>18241.71</v>
      </c>
      <c r="E4254" s="9">
        <v>1</v>
      </c>
    </row>
    <row r="4255" spans="1:5" x14ac:dyDescent="0.25">
      <c r="A4255" s="7">
        <v>1</v>
      </c>
      <c r="B4255" s="7">
        <v>8347</v>
      </c>
      <c r="C4255" s="7">
        <v>107</v>
      </c>
      <c r="D4255" s="8">
        <v>16353.12</v>
      </c>
      <c r="E4255" s="9">
        <v>1</v>
      </c>
    </row>
    <row r="4256" spans="1:5" x14ac:dyDescent="0.25">
      <c r="A4256" s="7">
        <v>1</v>
      </c>
      <c r="B4256" s="7">
        <v>8402</v>
      </c>
      <c r="C4256" s="7">
        <v>107</v>
      </c>
      <c r="D4256" s="8">
        <v>38104.66</v>
      </c>
      <c r="E4256" s="9">
        <v>1</v>
      </c>
    </row>
    <row r="4257" spans="1:5" x14ac:dyDescent="0.25">
      <c r="A4257" s="7">
        <v>1</v>
      </c>
      <c r="B4257" s="7">
        <v>8404</v>
      </c>
      <c r="C4257" s="7">
        <v>107</v>
      </c>
      <c r="D4257" s="8">
        <v>38104.66</v>
      </c>
      <c r="E4257" s="9">
        <v>1</v>
      </c>
    </row>
    <row r="4258" spans="1:5" x14ac:dyDescent="0.25">
      <c r="A4258" s="7">
        <v>1</v>
      </c>
      <c r="B4258" s="7">
        <v>8418</v>
      </c>
      <c r="C4258" s="7">
        <v>107</v>
      </c>
      <c r="D4258" s="8">
        <v>25910.84</v>
      </c>
      <c r="E4258" s="9">
        <v>1</v>
      </c>
    </row>
    <row r="4259" spans="1:5" x14ac:dyDescent="0.25">
      <c r="A4259" s="7">
        <v>1</v>
      </c>
      <c r="B4259" s="7">
        <v>8420</v>
      </c>
      <c r="C4259" s="7">
        <v>107</v>
      </c>
      <c r="D4259" s="8">
        <v>25910.84</v>
      </c>
      <c r="E4259" s="9">
        <v>1</v>
      </c>
    </row>
    <row r="4260" spans="1:5" x14ac:dyDescent="0.25">
      <c r="A4260" s="7">
        <v>1</v>
      </c>
      <c r="B4260" s="7">
        <v>8429</v>
      </c>
      <c r="C4260" s="7">
        <v>107</v>
      </c>
      <c r="D4260" s="8">
        <v>30484.6</v>
      </c>
      <c r="E4260" s="9">
        <v>1</v>
      </c>
    </row>
    <row r="4261" spans="1:5" x14ac:dyDescent="0.25">
      <c r="A4261" s="7">
        <v>1</v>
      </c>
      <c r="B4261" s="7">
        <v>8430</v>
      </c>
      <c r="C4261" s="7">
        <v>107</v>
      </c>
      <c r="D4261" s="8">
        <v>30484.6</v>
      </c>
      <c r="E4261" s="9">
        <v>1</v>
      </c>
    </row>
    <row r="4262" spans="1:5" x14ac:dyDescent="0.25">
      <c r="A4262" s="7">
        <v>1</v>
      </c>
      <c r="B4262" s="7">
        <v>8438</v>
      </c>
      <c r="C4262" s="7">
        <v>107</v>
      </c>
      <c r="D4262" s="8">
        <v>30484.6</v>
      </c>
      <c r="E4262" s="9">
        <v>1</v>
      </c>
    </row>
    <row r="4263" spans="1:5" x14ac:dyDescent="0.25">
      <c r="A4263" s="7">
        <v>1</v>
      </c>
      <c r="B4263" s="7">
        <v>8441</v>
      </c>
      <c r="C4263" s="7">
        <v>107</v>
      </c>
      <c r="D4263" s="8">
        <v>30484.6</v>
      </c>
      <c r="E4263" s="9">
        <v>1</v>
      </c>
    </row>
    <row r="4264" spans="1:5" x14ac:dyDescent="0.25">
      <c r="A4264" s="7">
        <v>1</v>
      </c>
      <c r="B4264" s="7">
        <v>8443</v>
      </c>
      <c r="C4264" s="7">
        <v>107</v>
      </c>
      <c r="D4264" s="8">
        <v>30484.6</v>
      </c>
      <c r="E4264" s="9">
        <v>1</v>
      </c>
    </row>
    <row r="4265" spans="1:5" x14ac:dyDescent="0.25">
      <c r="A4265" s="7">
        <v>1</v>
      </c>
      <c r="B4265" s="7">
        <v>8502</v>
      </c>
      <c r="C4265" s="7">
        <v>107</v>
      </c>
      <c r="D4265" s="8">
        <v>128659.78</v>
      </c>
      <c r="E4265" s="9">
        <v>1</v>
      </c>
    </row>
    <row r="4266" spans="1:5" x14ac:dyDescent="0.25">
      <c r="A4266" s="7">
        <v>1</v>
      </c>
      <c r="B4266" s="7">
        <v>8504</v>
      </c>
      <c r="C4266" s="7">
        <v>107</v>
      </c>
      <c r="D4266" s="8">
        <v>128659.78</v>
      </c>
      <c r="E4266" s="9">
        <v>1</v>
      </c>
    </row>
    <row r="4267" spans="1:5" x14ac:dyDescent="0.25">
      <c r="A4267" s="7">
        <v>1</v>
      </c>
      <c r="B4267" s="7">
        <v>8518</v>
      </c>
      <c r="C4267" s="7">
        <v>107</v>
      </c>
      <c r="D4267" s="8">
        <v>87488.57</v>
      </c>
      <c r="E4267" s="9">
        <v>1</v>
      </c>
    </row>
    <row r="4268" spans="1:5" x14ac:dyDescent="0.25">
      <c r="A4268" s="7">
        <v>1</v>
      </c>
      <c r="B4268" s="7">
        <v>8520</v>
      </c>
      <c r="C4268" s="7">
        <v>107</v>
      </c>
      <c r="D4268" s="8">
        <v>87488.57</v>
      </c>
      <c r="E4268" s="9">
        <v>1</v>
      </c>
    </row>
    <row r="4269" spans="1:5" x14ac:dyDescent="0.25">
      <c r="A4269" s="7">
        <v>1</v>
      </c>
      <c r="B4269" s="7">
        <v>8529</v>
      </c>
      <c r="C4269" s="7">
        <v>902</v>
      </c>
      <c r="D4269" s="8">
        <v>87721.04</v>
      </c>
      <c r="E4269" s="9">
        <v>1</v>
      </c>
    </row>
    <row r="4270" spans="1:5" x14ac:dyDescent="0.25">
      <c r="A4270" s="7">
        <v>1</v>
      </c>
      <c r="B4270" s="7">
        <v>8530</v>
      </c>
      <c r="C4270" s="7">
        <v>107</v>
      </c>
      <c r="D4270" s="8">
        <v>102927.24</v>
      </c>
      <c r="E4270" s="9">
        <v>1</v>
      </c>
    </row>
    <row r="4271" spans="1:5" x14ac:dyDescent="0.25">
      <c r="A4271" s="7">
        <v>1</v>
      </c>
      <c r="B4271" s="7">
        <v>8538</v>
      </c>
      <c r="C4271" s="7">
        <v>107</v>
      </c>
      <c r="D4271" s="8">
        <v>102927.24</v>
      </c>
      <c r="E4271" s="9">
        <v>1</v>
      </c>
    </row>
    <row r="4272" spans="1:5" x14ac:dyDescent="0.25">
      <c r="A4272" s="7">
        <v>1</v>
      </c>
      <c r="B4272" s="7">
        <v>8541</v>
      </c>
      <c r="C4272" s="7">
        <v>107</v>
      </c>
      <c r="D4272" s="8">
        <v>102927.24</v>
      </c>
      <c r="E4272" s="9">
        <v>1</v>
      </c>
    </row>
    <row r="4273" spans="1:5" x14ac:dyDescent="0.25">
      <c r="A4273" s="7">
        <v>1</v>
      </c>
      <c r="B4273" s="7">
        <v>8543</v>
      </c>
      <c r="C4273" s="7">
        <v>107</v>
      </c>
      <c r="D4273" s="8">
        <v>102927.24</v>
      </c>
      <c r="E4273" s="9">
        <v>1</v>
      </c>
    </row>
    <row r="4274" spans="1:5" x14ac:dyDescent="0.25">
      <c r="A4274" s="7">
        <v>1</v>
      </c>
      <c r="B4274" s="7">
        <v>8601</v>
      </c>
      <c r="C4274" s="7">
        <v>105</v>
      </c>
      <c r="D4274" s="8">
        <v>11037.49</v>
      </c>
      <c r="E4274" s="9">
        <v>1</v>
      </c>
    </row>
    <row r="4275" spans="1:5" x14ac:dyDescent="0.25">
      <c r="A4275" s="7">
        <v>1</v>
      </c>
      <c r="B4275" s="7">
        <v>8602</v>
      </c>
      <c r="C4275" s="7">
        <v>105</v>
      </c>
      <c r="D4275" s="8">
        <v>11037.49</v>
      </c>
      <c r="E4275" s="9">
        <v>1</v>
      </c>
    </row>
    <row r="4276" spans="1:5" x14ac:dyDescent="0.25">
      <c r="A4276" s="7">
        <v>1</v>
      </c>
      <c r="B4276" s="7">
        <v>8603</v>
      </c>
      <c r="C4276" s="7">
        <v>105</v>
      </c>
      <c r="D4276" s="8">
        <v>11037.49</v>
      </c>
      <c r="E4276" s="9">
        <v>1</v>
      </c>
    </row>
    <row r="4277" spans="1:5" x14ac:dyDescent="0.25">
      <c r="A4277" s="7">
        <v>1</v>
      </c>
      <c r="B4277" s="7">
        <v>8604</v>
      </c>
      <c r="C4277" s="7">
        <v>105</v>
      </c>
      <c r="D4277" s="8">
        <v>11037.49</v>
      </c>
      <c r="E4277" s="9">
        <v>1</v>
      </c>
    </row>
    <row r="4278" spans="1:5" x14ac:dyDescent="0.25">
      <c r="A4278" s="7">
        <v>1</v>
      </c>
      <c r="B4278" s="7">
        <v>8605</v>
      </c>
      <c r="C4278" s="7">
        <v>105</v>
      </c>
      <c r="D4278" s="8">
        <v>11037.49</v>
      </c>
      <c r="E4278" s="9">
        <v>1</v>
      </c>
    </row>
    <row r="4279" spans="1:5" x14ac:dyDescent="0.25">
      <c r="A4279" s="7">
        <v>1</v>
      </c>
      <c r="B4279" s="7">
        <v>8606</v>
      </c>
      <c r="C4279" s="7">
        <v>105</v>
      </c>
      <c r="D4279" s="8">
        <v>11037.49</v>
      </c>
      <c r="E4279" s="9">
        <v>1</v>
      </c>
    </row>
    <row r="4280" spans="1:5" x14ac:dyDescent="0.25">
      <c r="A4280" s="7">
        <v>1</v>
      </c>
      <c r="B4280" s="7">
        <v>8607</v>
      </c>
      <c r="C4280" s="7">
        <v>105</v>
      </c>
      <c r="D4280" s="8">
        <v>11037.49</v>
      </c>
      <c r="E4280" s="9">
        <v>1</v>
      </c>
    </row>
    <row r="4281" spans="1:5" x14ac:dyDescent="0.25">
      <c r="A4281" s="7">
        <v>1</v>
      </c>
      <c r="B4281" s="7">
        <v>8608</v>
      </c>
      <c r="C4281" s="7">
        <v>105</v>
      </c>
      <c r="D4281" s="8">
        <v>11037.49</v>
      </c>
      <c r="E4281" s="9">
        <v>1</v>
      </c>
    </row>
    <row r="4282" spans="1:5" x14ac:dyDescent="0.25">
      <c r="A4282" s="7">
        <v>1</v>
      </c>
      <c r="B4282" s="7">
        <v>8609</v>
      </c>
      <c r="C4282" s="7">
        <v>105</v>
      </c>
      <c r="D4282" s="8">
        <v>11037.49</v>
      </c>
      <c r="E4282" s="9">
        <v>1</v>
      </c>
    </row>
    <row r="4283" spans="1:5" x14ac:dyDescent="0.25">
      <c r="A4283" s="7">
        <v>1</v>
      </c>
      <c r="B4283" s="7">
        <v>8707</v>
      </c>
      <c r="C4283" s="7">
        <v>153</v>
      </c>
      <c r="D4283" s="8">
        <v>407115.84</v>
      </c>
      <c r="E4283" s="9">
        <v>1</v>
      </c>
    </row>
    <row r="4284" spans="1:5" x14ac:dyDescent="0.25">
      <c r="A4284" s="7">
        <v>1</v>
      </c>
      <c r="B4284" s="7">
        <v>8717</v>
      </c>
      <c r="C4284" s="7">
        <v>153</v>
      </c>
      <c r="D4284" s="8">
        <v>377356.34</v>
      </c>
      <c r="E4284" s="9">
        <v>1</v>
      </c>
    </row>
    <row r="4285" spans="1:5" x14ac:dyDescent="0.25">
      <c r="A4285" s="7">
        <v>1</v>
      </c>
      <c r="B4285" s="7">
        <v>8727</v>
      </c>
      <c r="C4285" s="7">
        <v>153</v>
      </c>
      <c r="D4285" s="8">
        <v>295036.32</v>
      </c>
      <c r="E4285" s="9">
        <v>1</v>
      </c>
    </row>
    <row r="4286" spans="1:5" x14ac:dyDescent="0.25">
      <c r="A4286" s="7">
        <v>1</v>
      </c>
      <c r="B4286" s="7">
        <v>8737</v>
      </c>
      <c r="C4286" s="7">
        <v>153</v>
      </c>
      <c r="D4286" s="8">
        <v>297013.2</v>
      </c>
      <c r="E4286" s="9">
        <v>1</v>
      </c>
    </row>
    <row r="4287" spans="1:5" x14ac:dyDescent="0.25">
      <c r="A4287" s="7">
        <v>1</v>
      </c>
      <c r="B4287" s="7">
        <v>8747</v>
      </c>
      <c r="C4287" s="7">
        <v>153</v>
      </c>
      <c r="D4287" s="8">
        <v>235792.34</v>
      </c>
      <c r="E4287" s="9">
        <v>1</v>
      </c>
    </row>
    <row r="4288" spans="1:5" x14ac:dyDescent="0.25">
      <c r="A4288" s="7">
        <v>1</v>
      </c>
      <c r="B4288" s="7">
        <v>8757</v>
      </c>
      <c r="C4288" s="7">
        <v>153</v>
      </c>
      <c r="D4288" s="8">
        <v>275534.86</v>
      </c>
      <c r="E4288" s="9">
        <v>1</v>
      </c>
    </row>
    <row r="4289" spans="1:5" x14ac:dyDescent="0.25">
      <c r="A4289" s="7">
        <v>1</v>
      </c>
      <c r="B4289" s="7">
        <v>8767</v>
      </c>
      <c r="C4289" s="7">
        <v>153</v>
      </c>
      <c r="D4289" s="8">
        <v>662818.78</v>
      </c>
      <c r="E4289" s="9">
        <v>1</v>
      </c>
    </row>
    <row r="4290" spans="1:5" x14ac:dyDescent="0.25">
      <c r="A4290" s="7">
        <v>1</v>
      </c>
      <c r="B4290" s="7">
        <v>8777</v>
      </c>
      <c r="C4290" s="7">
        <v>153</v>
      </c>
      <c r="D4290" s="8">
        <v>194556.46</v>
      </c>
      <c r="E4290" s="9">
        <v>1</v>
      </c>
    </row>
    <row r="4291" spans="1:5" x14ac:dyDescent="0.25">
      <c r="A4291" s="7">
        <v>1</v>
      </c>
      <c r="B4291" s="7">
        <v>8787</v>
      </c>
      <c r="C4291" s="7">
        <v>153</v>
      </c>
      <c r="D4291" s="8">
        <v>245712</v>
      </c>
      <c r="E4291" s="9">
        <v>1</v>
      </c>
    </row>
    <row r="4292" spans="1:5" x14ac:dyDescent="0.25">
      <c r="A4292" s="7">
        <v>1</v>
      </c>
      <c r="B4292" s="7">
        <v>8805</v>
      </c>
      <c r="C4292" s="7">
        <v>153</v>
      </c>
      <c r="D4292" s="8">
        <v>71490.27</v>
      </c>
      <c r="E4292" s="9">
        <v>1</v>
      </c>
    </row>
    <row r="4293" spans="1:5" x14ac:dyDescent="0.25">
      <c r="A4293" s="7">
        <v>1</v>
      </c>
      <c r="B4293" s="7">
        <v>8815</v>
      </c>
      <c r="C4293" s="7">
        <v>153</v>
      </c>
      <c r="D4293" s="8">
        <v>129723.85</v>
      </c>
      <c r="E4293" s="9">
        <v>1</v>
      </c>
    </row>
    <row r="4294" spans="1:5" x14ac:dyDescent="0.25">
      <c r="A4294" s="7">
        <v>1</v>
      </c>
      <c r="B4294" s="7">
        <v>8829</v>
      </c>
      <c r="C4294" s="7">
        <v>153</v>
      </c>
      <c r="D4294" s="8">
        <v>2521825.13</v>
      </c>
      <c r="E4294" s="9">
        <v>1</v>
      </c>
    </row>
    <row r="4295" spans="1:5" x14ac:dyDescent="0.25">
      <c r="A4295" s="7">
        <v>1</v>
      </c>
      <c r="B4295" s="7">
        <v>8839</v>
      </c>
      <c r="C4295" s="7">
        <v>153</v>
      </c>
      <c r="D4295" s="8">
        <v>858868.1</v>
      </c>
      <c r="E4295" s="9">
        <v>1</v>
      </c>
    </row>
    <row r="4296" spans="1:5" x14ac:dyDescent="0.25">
      <c r="A4296" s="7">
        <v>1</v>
      </c>
      <c r="B4296" s="7">
        <v>8847</v>
      </c>
      <c r="C4296" s="7">
        <v>153</v>
      </c>
      <c r="D4296" s="8">
        <v>797193.07</v>
      </c>
      <c r="E4296" s="9">
        <v>1</v>
      </c>
    </row>
    <row r="4297" spans="1:5" x14ac:dyDescent="0.25">
      <c r="A4297" s="7">
        <v>1</v>
      </c>
      <c r="B4297" s="7">
        <v>8951</v>
      </c>
      <c r="C4297" s="7">
        <v>134</v>
      </c>
      <c r="D4297" s="8">
        <v>294.21</v>
      </c>
      <c r="E4297" s="9">
        <v>3</v>
      </c>
    </row>
    <row r="4298" spans="1:5" x14ac:dyDescent="0.25">
      <c r="A4298" s="7">
        <v>1</v>
      </c>
      <c r="B4298" s="7">
        <v>9011</v>
      </c>
      <c r="C4298" s="7">
        <v>136</v>
      </c>
      <c r="D4298" s="8">
        <v>4.63</v>
      </c>
      <c r="E4298" s="9">
        <v>2</v>
      </c>
    </row>
    <row r="4299" spans="1:5" x14ac:dyDescent="0.25">
      <c r="A4299" s="7">
        <v>1</v>
      </c>
      <c r="B4299" s="7">
        <v>9421</v>
      </c>
      <c r="C4299" s="7">
        <v>136</v>
      </c>
      <c r="D4299" s="8">
        <v>9.68</v>
      </c>
      <c r="E4299" s="9">
        <v>2</v>
      </c>
    </row>
    <row r="4300" spans="1:5" x14ac:dyDescent="0.25">
      <c r="A4300" s="7">
        <v>1</v>
      </c>
      <c r="B4300" s="7">
        <v>9431</v>
      </c>
      <c r="C4300" s="7">
        <v>136</v>
      </c>
      <c r="D4300" s="8">
        <v>17150.05</v>
      </c>
      <c r="E4300" s="9">
        <v>1</v>
      </c>
    </row>
    <row r="4301" spans="1:5" x14ac:dyDescent="0.25">
      <c r="A4301" s="7">
        <v>1</v>
      </c>
      <c r="B4301" s="7">
        <v>9491</v>
      </c>
      <c r="C4301" s="7">
        <v>136</v>
      </c>
      <c r="D4301" s="8">
        <v>22348.78</v>
      </c>
      <c r="E4301" s="9">
        <v>1</v>
      </c>
    </row>
    <row r="4302" spans="1:5" x14ac:dyDescent="0.25">
      <c r="A4302" s="7">
        <v>1</v>
      </c>
      <c r="B4302" s="7">
        <v>9501</v>
      </c>
      <c r="C4302" s="7">
        <v>107</v>
      </c>
      <c r="D4302" s="8">
        <v>18241.71</v>
      </c>
      <c r="E4302" s="9">
        <v>1</v>
      </c>
    </row>
    <row r="4303" spans="1:5" x14ac:dyDescent="0.25">
      <c r="A4303" s="7">
        <v>1</v>
      </c>
      <c r="B4303" s="7">
        <v>9515</v>
      </c>
      <c r="C4303" s="7">
        <v>107</v>
      </c>
      <c r="D4303" s="8">
        <v>15505.9</v>
      </c>
      <c r="E4303" s="9">
        <v>1</v>
      </c>
    </row>
    <row r="4304" spans="1:5" x14ac:dyDescent="0.25">
      <c r="A4304" s="7">
        <v>1</v>
      </c>
      <c r="B4304" s="7">
        <v>9591</v>
      </c>
      <c r="C4304" s="7">
        <v>136</v>
      </c>
      <c r="D4304" s="8">
        <v>26149.08</v>
      </c>
      <c r="E4304" s="9">
        <v>1</v>
      </c>
    </row>
    <row r="4305" spans="1:5" x14ac:dyDescent="0.25">
      <c r="A4305" s="7">
        <v>1</v>
      </c>
      <c r="B4305" s="7">
        <v>9701</v>
      </c>
      <c r="C4305" s="7">
        <v>107</v>
      </c>
      <c r="D4305" s="8">
        <v>30484.6</v>
      </c>
      <c r="E4305" s="9">
        <v>1</v>
      </c>
    </row>
    <row r="4306" spans="1:5" x14ac:dyDescent="0.25">
      <c r="A4306" s="7">
        <v>1</v>
      </c>
      <c r="B4306" s="7">
        <v>9715</v>
      </c>
      <c r="C4306" s="7">
        <v>107</v>
      </c>
      <c r="D4306" s="8">
        <v>25910.84</v>
      </c>
      <c r="E4306" s="9">
        <v>1</v>
      </c>
    </row>
    <row r="4307" spans="1:5" x14ac:dyDescent="0.25">
      <c r="A4307" s="7">
        <v>1</v>
      </c>
      <c r="B4307" s="7">
        <v>9781</v>
      </c>
      <c r="C4307" s="7">
        <v>136</v>
      </c>
      <c r="D4307" s="8">
        <v>10194.65</v>
      </c>
      <c r="E4307" s="9">
        <v>1</v>
      </c>
    </row>
    <row r="4308" spans="1:5" x14ac:dyDescent="0.25">
      <c r="A4308" s="7">
        <v>1</v>
      </c>
      <c r="B4308" s="7">
        <v>9851</v>
      </c>
      <c r="C4308" s="7">
        <v>136</v>
      </c>
      <c r="D4308" s="8">
        <v>45035.24</v>
      </c>
      <c r="E4308" s="9">
        <v>1</v>
      </c>
    </row>
    <row r="4309" spans="1:5" x14ac:dyDescent="0.25">
      <c r="A4309" s="7">
        <v>1</v>
      </c>
      <c r="B4309" s="7">
        <v>9901</v>
      </c>
      <c r="C4309" s="7">
        <v>107</v>
      </c>
      <c r="D4309" s="8">
        <v>102927.24</v>
      </c>
      <c r="E4309" s="9">
        <v>1</v>
      </c>
    </row>
    <row r="4310" spans="1:5" x14ac:dyDescent="0.25">
      <c r="A4310" s="7">
        <v>1</v>
      </c>
      <c r="B4310" s="7">
        <v>9915</v>
      </c>
      <c r="C4310" s="7">
        <v>107</v>
      </c>
      <c r="D4310" s="8">
        <v>87488.57</v>
      </c>
      <c r="E4310" s="9">
        <v>1</v>
      </c>
    </row>
    <row r="4311" spans="1:5" x14ac:dyDescent="0.25">
      <c r="A4311" s="7">
        <v>1</v>
      </c>
      <c r="B4311" s="7">
        <v>10001</v>
      </c>
      <c r="C4311" s="7">
        <v>112</v>
      </c>
      <c r="D4311" s="8">
        <v>47173.83</v>
      </c>
      <c r="E4311" s="9">
        <v>1</v>
      </c>
    </row>
    <row r="4312" spans="1:5" x14ac:dyDescent="0.25">
      <c r="A4312" s="7">
        <v>1</v>
      </c>
      <c r="B4312" s="7">
        <v>10101</v>
      </c>
      <c r="C4312" s="7">
        <v>107</v>
      </c>
      <c r="D4312" s="8">
        <v>413898.87</v>
      </c>
      <c r="E4312" s="9">
        <v>1</v>
      </c>
    </row>
    <row r="4313" spans="1:5" x14ac:dyDescent="0.25">
      <c r="A4313" s="7">
        <v>1</v>
      </c>
      <c r="B4313" s="7">
        <v>10503</v>
      </c>
      <c r="C4313" s="7">
        <v>186</v>
      </c>
      <c r="D4313" s="8">
        <v>4260</v>
      </c>
      <c r="E4313" s="9">
        <v>1</v>
      </c>
    </row>
    <row r="4314" spans="1:5" x14ac:dyDescent="0.25">
      <c r="A4314" s="7">
        <v>1</v>
      </c>
      <c r="B4314" s="7">
        <v>10623</v>
      </c>
      <c r="C4314" s="7">
        <v>186</v>
      </c>
      <c r="D4314" s="8">
        <v>609840</v>
      </c>
      <c r="E4314" s="9">
        <v>1</v>
      </c>
    </row>
    <row r="4315" spans="1:5" x14ac:dyDescent="0.25">
      <c r="A4315" s="7">
        <v>1</v>
      </c>
      <c r="B4315" s="7">
        <v>10698</v>
      </c>
      <c r="C4315" s="7">
        <v>121</v>
      </c>
      <c r="D4315" s="8">
        <v>18009.77</v>
      </c>
      <c r="E4315" s="9">
        <v>1</v>
      </c>
    </row>
    <row r="4316" spans="1:5" x14ac:dyDescent="0.25">
      <c r="A4316" s="7">
        <v>1</v>
      </c>
      <c r="B4316" s="7">
        <v>10702</v>
      </c>
      <c r="C4316" s="7">
        <v>186</v>
      </c>
      <c r="D4316" s="8">
        <v>6210</v>
      </c>
      <c r="E4316" s="9">
        <v>1</v>
      </c>
    </row>
    <row r="4317" spans="1:5" x14ac:dyDescent="0.25">
      <c r="A4317" s="7">
        <v>1</v>
      </c>
      <c r="B4317" s="7">
        <v>10707</v>
      </c>
      <c r="C4317" s="7">
        <v>186</v>
      </c>
      <c r="D4317" s="8">
        <v>7035</v>
      </c>
      <c r="E4317" s="9">
        <v>1</v>
      </c>
    </row>
    <row r="4318" spans="1:5" x14ac:dyDescent="0.25">
      <c r="A4318" s="7">
        <v>1</v>
      </c>
      <c r="B4318" s="7">
        <v>10804</v>
      </c>
      <c r="C4318" s="7">
        <v>105</v>
      </c>
      <c r="D4318" s="8">
        <v>28437.21</v>
      </c>
      <c r="E4318" s="9">
        <v>1</v>
      </c>
    </row>
    <row r="4319" spans="1:5" x14ac:dyDescent="0.25">
      <c r="A4319" s="7">
        <v>1</v>
      </c>
      <c r="B4319" s="7">
        <v>10805</v>
      </c>
      <c r="C4319" s="7">
        <v>105</v>
      </c>
      <c r="D4319" s="8">
        <v>28437.21</v>
      </c>
      <c r="E4319" s="9">
        <v>1</v>
      </c>
    </row>
    <row r="4320" spans="1:5" x14ac:dyDescent="0.25">
      <c r="A4320" s="7">
        <v>1</v>
      </c>
      <c r="B4320" s="7">
        <v>10806</v>
      </c>
      <c r="C4320" s="7">
        <v>105</v>
      </c>
      <c r="D4320" s="8">
        <v>28437.21</v>
      </c>
      <c r="E4320" s="9">
        <v>1</v>
      </c>
    </row>
    <row r="4321" spans="1:5" x14ac:dyDescent="0.25">
      <c r="A4321" s="7">
        <v>1</v>
      </c>
      <c r="B4321" s="7">
        <v>10807</v>
      </c>
      <c r="C4321" s="7">
        <v>105</v>
      </c>
      <c r="D4321" s="8">
        <v>28437.21</v>
      </c>
      <c r="E4321" s="9">
        <v>1</v>
      </c>
    </row>
    <row r="4322" spans="1:5" x14ac:dyDescent="0.25">
      <c r="A4322" s="7">
        <v>1</v>
      </c>
      <c r="B4322" s="7">
        <v>10808</v>
      </c>
      <c r="C4322" s="7">
        <v>105</v>
      </c>
      <c r="D4322" s="8">
        <v>28437.21</v>
      </c>
      <c r="E4322" s="9">
        <v>1</v>
      </c>
    </row>
    <row r="4323" spans="1:5" x14ac:dyDescent="0.25">
      <c r="A4323" s="7">
        <v>1</v>
      </c>
      <c r="B4323" s="7">
        <v>10809</v>
      </c>
      <c r="C4323" s="7">
        <v>105</v>
      </c>
      <c r="D4323" s="8">
        <v>28437.21</v>
      </c>
      <c r="E4323" s="9">
        <v>1</v>
      </c>
    </row>
    <row r="4324" spans="1:5" x14ac:dyDescent="0.25">
      <c r="A4324" s="7">
        <v>1</v>
      </c>
      <c r="B4324" s="7">
        <v>10814</v>
      </c>
      <c r="C4324" s="7">
        <v>105</v>
      </c>
      <c r="D4324" s="8">
        <v>96015.05</v>
      </c>
      <c r="E4324" s="9">
        <v>1</v>
      </c>
    </row>
    <row r="4325" spans="1:5" x14ac:dyDescent="0.25">
      <c r="A4325" s="7">
        <v>1</v>
      </c>
      <c r="B4325" s="7">
        <v>10815</v>
      </c>
      <c r="C4325" s="7">
        <v>105</v>
      </c>
      <c r="D4325" s="8">
        <v>96015.05</v>
      </c>
      <c r="E4325" s="9">
        <v>1</v>
      </c>
    </row>
    <row r="4326" spans="1:5" x14ac:dyDescent="0.25">
      <c r="A4326" s="7">
        <v>1</v>
      </c>
      <c r="B4326" s="7">
        <v>10816</v>
      </c>
      <c r="C4326" s="7">
        <v>105</v>
      </c>
      <c r="D4326" s="8">
        <v>96015.05</v>
      </c>
      <c r="E4326" s="9">
        <v>1</v>
      </c>
    </row>
    <row r="4327" spans="1:5" x14ac:dyDescent="0.25">
      <c r="A4327" s="7">
        <v>1</v>
      </c>
      <c r="B4327" s="7">
        <v>10817</v>
      </c>
      <c r="C4327" s="7">
        <v>105</v>
      </c>
      <c r="D4327" s="8">
        <v>96015.05</v>
      </c>
      <c r="E4327" s="9">
        <v>1</v>
      </c>
    </row>
    <row r="4328" spans="1:5" x14ac:dyDescent="0.25">
      <c r="A4328" s="7">
        <v>1</v>
      </c>
      <c r="B4328" s="7">
        <v>10818</v>
      </c>
      <c r="C4328" s="7">
        <v>105</v>
      </c>
      <c r="D4328" s="8">
        <v>96015.05</v>
      </c>
      <c r="E4328" s="9">
        <v>1</v>
      </c>
    </row>
    <row r="4329" spans="1:5" x14ac:dyDescent="0.25">
      <c r="A4329" s="7">
        <v>1</v>
      </c>
      <c r="B4329" s="7">
        <v>10819</v>
      </c>
      <c r="C4329" s="7">
        <v>105</v>
      </c>
      <c r="D4329" s="8">
        <v>96015.05</v>
      </c>
      <c r="E4329" s="9">
        <v>1</v>
      </c>
    </row>
    <row r="4330" spans="1:5" x14ac:dyDescent="0.25">
      <c r="A4330" s="7">
        <v>1</v>
      </c>
      <c r="B4330" s="7">
        <v>10824</v>
      </c>
      <c r="C4330" s="7">
        <v>105</v>
      </c>
      <c r="D4330" s="8">
        <v>225226.21</v>
      </c>
      <c r="E4330" s="9">
        <v>1</v>
      </c>
    </row>
    <row r="4331" spans="1:5" x14ac:dyDescent="0.25">
      <c r="A4331" s="7">
        <v>1</v>
      </c>
      <c r="B4331" s="7">
        <v>10825</v>
      </c>
      <c r="C4331" s="7">
        <v>105</v>
      </c>
      <c r="D4331" s="8">
        <v>225226.21</v>
      </c>
      <c r="E4331" s="9">
        <v>1</v>
      </c>
    </row>
    <row r="4332" spans="1:5" x14ac:dyDescent="0.25">
      <c r="A4332" s="7">
        <v>1</v>
      </c>
      <c r="B4332" s="7">
        <v>10826</v>
      </c>
      <c r="C4332" s="7">
        <v>105</v>
      </c>
      <c r="D4332" s="8">
        <v>225226.21</v>
      </c>
      <c r="E4332" s="9">
        <v>1</v>
      </c>
    </row>
    <row r="4333" spans="1:5" x14ac:dyDescent="0.25">
      <c r="A4333" s="7">
        <v>1</v>
      </c>
      <c r="B4333" s="7">
        <v>10827</v>
      </c>
      <c r="C4333" s="7">
        <v>105</v>
      </c>
      <c r="D4333" s="8">
        <v>225226.21</v>
      </c>
      <c r="E4333" s="9">
        <v>1</v>
      </c>
    </row>
    <row r="4334" spans="1:5" x14ac:dyDescent="0.25">
      <c r="A4334" s="7">
        <v>1</v>
      </c>
      <c r="B4334" s="7">
        <v>10828</v>
      </c>
      <c r="C4334" s="7">
        <v>105</v>
      </c>
      <c r="D4334" s="8">
        <v>225226.21</v>
      </c>
      <c r="E4334" s="9">
        <v>1</v>
      </c>
    </row>
    <row r="4335" spans="1:5" x14ac:dyDescent="0.25">
      <c r="A4335" s="7">
        <v>1</v>
      </c>
      <c r="B4335" s="7">
        <v>10829</v>
      </c>
      <c r="C4335" s="7">
        <v>105</v>
      </c>
      <c r="D4335" s="8">
        <v>225226.21</v>
      </c>
      <c r="E4335" s="9">
        <v>1</v>
      </c>
    </row>
    <row r="4336" spans="1:5" x14ac:dyDescent="0.25">
      <c r="A4336" s="7">
        <v>1</v>
      </c>
      <c r="B4336" s="7">
        <v>10881</v>
      </c>
      <c r="C4336" s="7">
        <v>120</v>
      </c>
      <c r="D4336" s="8">
        <v>20242.46</v>
      </c>
      <c r="E4336" s="9">
        <v>1</v>
      </c>
    </row>
    <row r="4337" spans="1:5" x14ac:dyDescent="0.25">
      <c r="A4337" s="7">
        <v>1</v>
      </c>
      <c r="B4337" s="7">
        <v>10887</v>
      </c>
      <c r="C4337" s="7">
        <v>186</v>
      </c>
      <c r="D4337" s="8">
        <v>114817.5</v>
      </c>
      <c r="E4337" s="9">
        <v>1</v>
      </c>
    </row>
    <row r="4338" spans="1:5" x14ac:dyDescent="0.25">
      <c r="A4338" s="7">
        <v>1</v>
      </c>
      <c r="B4338" s="7">
        <v>10997</v>
      </c>
      <c r="C4338" s="7">
        <v>186</v>
      </c>
      <c r="D4338" s="8">
        <v>7867.8</v>
      </c>
      <c r="E4338" s="9">
        <v>1</v>
      </c>
    </row>
    <row r="4339" spans="1:5" x14ac:dyDescent="0.25">
      <c r="A4339" s="7">
        <v>1</v>
      </c>
      <c r="B4339" s="7">
        <v>11002</v>
      </c>
      <c r="C4339" s="7">
        <v>112</v>
      </c>
      <c r="D4339" s="8">
        <v>40098.34</v>
      </c>
      <c r="E4339" s="9">
        <v>1</v>
      </c>
    </row>
    <row r="4340" spans="1:5" x14ac:dyDescent="0.25">
      <c r="A4340" s="7">
        <v>1</v>
      </c>
      <c r="B4340" s="7">
        <v>11046</v>
      </c>
      <c r="C4340" s="7">
        <v>186</v>
      </c>
      <c r="D4340" s="8">
        <v>110700</v>
      </c>
      <c r="E4340" s="9">
        <v>1</v>
      </c>
    </row>
    <row r="4341" spans="1:5" x14ac:dyDescent="0.25">
      <c r="A4341" s="7">
        <v>1</v>
      </c>
      <c r="B4341" s="7">
        <v>11161</v>
      </c>
      <c r="C4341" s="7">
        <v>186</v>
      </c>
      <c r="D4341" s="8">
        <v>120825</v>
      </c>
      <c r="E4341" s="9">
        <v>1</v>
      </c>
    </row>
    <row r="4342" spans="1:5" x14ac:dyDescent="0.25">
      <c r="A4342" s="7">
        <v>1</v>
      </c>
      <c r="B4342" s="7">
        <v>11165</v>
      </c>
      <c r="C4342" s="7">
        <v>186</v>
      </c>
      <c r="D4342" s="8">
        <v>136215</v>
      </c>
      <c r="E4342" s="9">
        <v>1</v>
      </c>
    </row>
    <row r="4343" spans="1:5" x14ac:dyDescent="0.25">
      <c r="A4343" s="7">
        <v>1</v>
      </c>
      <c r="B4343" s="7">
        <v>12008</v>
      </c>
      <c r="C4343" s="7">
        <v>112</v>
      </c>
      <c r="D4343" s="8">
        <v>47173.83</v>
      </c>
      <c r="E4343" s="9">
        <v>1</v>
      </c>
    </row>
    <row r="4344" spans="1:5" x14ac:dyDescent="0.25">
      <c r="A4344" s="7">
        <v>1</v>
      </c>
      <c r="B4344" s="7">
        <v>12200</v>
      </c>
      <c r="C4344" s="7">
        <v>902</v>
      </c>
      <c r="D4344" s="8">
        <v>40514.65</v>
      </c>
      <c r="E4344" s="9">
        <v>1</v>
      </c>
    </row>
    <row r="4345" spans="1:5" x14ac:dyDescent="0.25">
      <c r="A4345" s="7">
        <v>1</v>
      </c>
      <c r="B4345" s="7">
        <v>12201</v>
      </c>
      <c r="C4345" s="7">
        <v>902</v>
      </c>
      <c r="D4345" s="8">
        <v>11708.57</v>
      </c>
      <c r="E4345" s="9">
        <v>1</v>
      </c>
    </row>
    <row r="4346" spans="1:5" x14ac:dyDescent="0.25">
      <c r="A4346" s="7">
        <v>1</v>
      </c>
      <c r="B4346" s="7">
        <v>12215</v>
      </c>
      <c r="C4346" s="7">
        <v>902</v>
      </c>
      <c r="D4346" s="8">
        <v>11708.97</v>
      </c>
      <c r="E4346" s="9">
        <v>1</v>
      </c>
    </row>
    <row r="4347" spans="1:5" x14ac:dyDescent="0.25">
      <c r="A4347" s="7">
        <v>1</v>
      </c>
      <c r="B4347" s="7">
        <v>12301</v>
      </c>
      <c r="C4347" s="7">
        <v>107</v>
      </c>
      <c r="D4347" s="8">
        <v>25554.35</v>
      </c>
      <c r="E4347" s="9">
        <v>1</v>
      </c>
    </row>
    <row r="4348" spans="1:5" x14ac:dyDescent="0.25">
      <c r="A4348" s="7">
        <v>1</v>
      </c>
      <c r="B4348" s="7">
        <v>12315</v>
      </c>
      <c r="C4348" s="7">
        <v>107</v>
      </c>
      <c r="D4348" s="8">
        <v>25554.35</v>
      </c>
      <c r="E4348" s="9">
        <v>1</v>
      </c>
    </row>
    <row r="4349" spans="1:5" x14ac:dyDescent="0.25">
      <c r="A4349" s="7">
        <v>1</v>
      </c>
      <c r="B4349" s="7">
        <v>12327</v>
      </c>
      <c r="C4349" s="7">
        <v>107</v>
      </c>
      <c r="D4349" s="8">
        <v>25554.35</v>
      </c>
      <c r="E4349" s="9">
        <v>1</v>
      </c>
    </row>
    <row r="4350" spans="1:5" x14ac:dyDescent="0.25">
      <c r="A4350" s="7">
        <v>1</v>
      </c>
      <c r="B4350" s="7">
        <v>12399</v>
      </c>
      <c r="C4350" s="7">
        <v>902</v>
      </c>
      <c r="D4350" s="8">
        <v>17999.04</v>
      </c>
      <c r="E4350" s="9">
        <v>1</v>
      </c>
    </row>
    <row r="4351" spans="1:5" x14ac:dyDescent="0.25">
      <c r="A4351" s="7">
        <v>1</v>
      </c>
      <c r="B4351" s="7">
        <v>12401</v>
      </c>
      <c r="C4351" s="7">
        <v>107</v>
      </c>
      <c r="D4351" s="8">
        <v>86282.75</v>
      </c>
      <c r="E4351" s="9">
        <v>1</v>
      </c>
    </row>
    <row r="4352" spans="1:5" x14ac:dyDescent="0.25">
      <c r="A4352" s="7">
        <v>1</v>
      </c>
      <c r="B4352" s="7">
        <v>12415</v>
      </c>
      <c r="C4352" s="7">
        <v>107</v>
      </c>
      <c r="D4352" s="8">
        <v>86282.75</v>
      </c>
      <c r="E4352" s="9">
        <v>1</v>
      </c>
    </row>
    <row r="4353" spans="1:5" x14ac:dyDescent="0.25">
      <c r="A4353" s="7">
        <v>1</v>
      </c>
      <c r="B4353" s="7">
        <v>12427</v>
      </c>
      <c r="C4353" s="7">
        <v>107</v>
      </c>
      <c r="D4353" s="8">
        <v>86282.75</v>
      </c>
      <c r="E4353" s="9">
        <v>1</v>
      </c>
    </row>
    <row r="4354" spans="1:5" x14ac:dyDescent="0.25">
      <c r="A4354" s="7">
        <v>1</v>
      </c>
      <c r="B4354" s="7">
        <v>14002</v>
      </c>
      <c r="C4354" s="7">
        <v>112</v>
      </c>
      <c r="D4354" s="8">
        <v>39642</v>
      </c>
      <c r="E4354" s="9">
        <v>1</v>
      </c>
    </row>
    <row r="4355" spans="1:5" x14ac:dyDescent="0.25">
      <c r="A4355" s="7">
        <v>1</v>
      </c>
      <c r="B4355" s="7">
        <v>16033</v>
      </c>
      <c r="C4355" s="7">
        <v>112</v>
      </c>
      <c r="D4355" s="8">
        <v>40029.79</v>
      </c>
      <c r="E4355" s="9">
        <v>1</v>
      </c>
    </row>
    <row r="4356" spans="1:5" x14ac:dyDescent="0.25">
      <c r="A4356" s="7">
        <v>1</v>
      </c>
      <c r="B4356" s="7">
        <v>16050</v>
      </c>
      <c r="C4356" s="7">
        <v>112</v>
      </c>
      <c r="D4356" s="8">
        <v>50723.95</v>
      </c>
      <c r="E4356" s="9">
        <v>1</v>
      </c>
    </row>
    <row r="4357" spans="1:5" x14ac:dyDescent="0.25">
      <c r="A4357" s="7">
        <v>1</v>
      </c>
      <c r="B4357" s="7">
        <v>16051</v>
      </c>
      <c r="C4357" s="7">
        <v>112</v>
      </c>
      <c r="D4357" s="8">
        <v>39772.42</v>
      </c>
      <c r="E4357" s="9">
        <v>1</v>
      </c>
    </row>
    <row r="4358" spans="1:5" x14ac:dyDescent="0.25">
      <c r="A4358" s="7">
        <v>1</v>
      </c>
      <c r="B4358" s="7">
        <v>16315</v>
      </c>
      <c r="C4358" s="7">
        <v>107</v>
      </c>
      <c r="D4358" s="8">
        <v>306205.58</v>
      </c>
      <c r="E4358" s="9">
        <v>1</v>
      </c>
    </row>
    <row r="4359" spans="1:5" x14ac:dyDescent="0.25">
      <c r="A4359" s="7">
        <v>1</v>
      </c>
      <c r="B4359" s="7">
        <v>17001</v>
      </c>
      <c r="C4359" s="7">
        <v>112</v>
      </c>
      <c r="D4359" s="8">
        <v>51129.19</v>
      </c>
      <c r="E4359" s="9">
        <v>1</v>
      </c>
    </row>
    <row r="4360" spans="1:5" x14ac:dyDescent="0.25">
      <c r="A4360" s="7">
        <v>1</v>
      </c>
      <c r="B4360" s="7">
        <v>18402</v>
      </c>
      <c r="C4360" s="7">
        <v>902</v>
      </c>
      <c r="D4360" s="8">
        <v>7491.7</v>
      </c>
      <c r="E4360" s="9">
        <v>1</v>
      </c>
    </row>
    <row r="4361" spans="1:5" x14ac:dyDescent="0.25">
      <c r="A4361" s="7">
        <v>1</v>
      </c>
      <c r="B4361" s="7">
        <v>18404</v>
      </c>
      <c r="C4361" s="7">
        <v>902</v>
      </c>
      <c r="D4361" s="8">
        <v>7491.7</v>
      </c>
      <c r="E4361" s="9">
        <v>1</v>
      </c>
    </row>
    <row r="4362" spans="1:5" x14ac:dyDescent="0.25">
      <c r="A4362" s="7">
        <v>1</v>
      </c>
      <c r="B4362" s="7">
        <v>18417</v>
      </c>
      <c r="C4362" s="7">
        <v>902</v>
      </c>
      <c r="D4362" s="8">
        <v>7491.7</v>
      </c>
      <c r="E4362" s="9">
        <v>1</v>
      </c>
    </row>
    <row r="4363" spans="1:5" x14ac:dyDescent="0.25">
      <c r="A4363" s="7">
        <v>1</v>
      </c>
      <c r="B4363" s="7">
        <v>18502</v>
      </c>
      <c r="C4363" s="7">
        <v>107</v>
      </c>
      <c r="D4363" s="8">
        <v>19846.97</v>
      </c>
      <c r="E4363" s="9">
        <v>1</v>
      </c>
    </row>
    <row r="4364" spans="1:5" x14ac:dyDescent="0.25">
      <c r="A4364" s="7">
        <v>1</v>
      </c>
      <c r="B4364" s="7">
        <v>18504</v>
      </c>
      <c r="C4364" s="7">
        <v>107</v>
      </c>
      <c r="D4364" s="8">
        <v>19846.97</v>
      </c>
      <c r="E4364" s="9">
        <v>1</v>
      </c>
    </row>
    <row r="4365" spans="1:5" x14ac:dyDescent="0.25">
      <c r="A4365" s="7">
        <v>1</v>
      </c>
      <c r="B4365" s="7">
        <v>18510</v>
      </c>
      <c r="C4365" s="7">
        <v>902</v>
      </c>
      <c r="D4365" s="8">
        <v>12154.87</v>
      </c>
      <c r="E4365" s="9">
        <v>1</v>
      </c>
    </row>
    <row r="4366" spans="1:5" x14ac:dyDescent="0.25">
      <c r="A4366" s="7">
        <v>1</v>
      </c>
      <c r="B4366" s="7">
        <v>18517</v>
      </c>
      <c r="C4366" s="7">
        <v>107</v>
      </c>
      <c r="D4366" s="8">
        <v>19846.97</v>
      </c>
      <c r="E4366" s="9">
        <v>1</v>
      </c>
    </row>
    <row r="4367" spans="1:5" x14ac:dyDescent="0.25">
      <c r="A4367" s="7">
        <v>1</v>
      </c>
      <c r="B4367" s="7">
        <v>18556</v>
      </c>
      <c r="C4367" s="7">
        <v>902</v>
      </c>
      <c r="D4367" s="8">
        <v>12154.87</v>
      </c>
      <c r="E4367" s="9">
        <v>1</v>
      </c>
    </row>
    <row r="4368" spans="1:5" x14ac:dyDescent="0.25">
      <c r="A4368" s="7">
        <v>1</v>
      </c>
      <c r="B4368" s="7">
        <v>18602</v>
      </c>
      <c r="C4368" s="7">
        <v>107</v>
      </c>
      <c r="D4368" s="8">
        <v>33166</v>
      </c>
      <c r="E4368" s="9">
        <v>1</v>
      </c>
    </row>
    <row r="4369" spans="1:5" x14ac:dyDescent="0.25">
      <c r="A4369" s="7">
        <v>1</v>
      </c>
      <c r="B4369" s="7">
        <v>18603</v>
      </c>
      <c r="C4369" s="7">
        <v>107</v>
      </c>
      <c r="D4369" s="8">
        <v>33166</v>
      </c>
      <c r="E4369" s="9">
        <v>1</v>
      </c>
    </row>
    <row r="4370" spans="1:5" x14ac:dyDescent="0.25">
      <c r="A4370" s="7">
        <v>1</v>
      </c>
      <c r="B4370" s="7">
        <v>18604</v>
      </c>
      <c r="C4370" s="7">
        <v>107</v>
      </c>
      <c r="D4370" s="8">
        <v>33166</v>
      </c>
      <c r="E4370" s="9">
        <v>1</v>
      </c>
    </row>
    <row r="4371" spans="1:5" x14ac:dyDescent="0.25">
      <c r="A4371" s="7">
        <v>1</v>
      </c>
      <c r="B4371" s="7">
        <v>18610</v>
      </c>
      <c r="C4371" s="7">
        <v>107</v>
      </c>
      <c r="D4371" s="8">
        <v>26532.23</v>
      </c>
      <c r="E4371" s="9">
        <v>1</v>
      </c>
    </row>
    <row r="4372" spans="1:5" x14ac:dyDescent="0.25">
      <c r="A4372" s="7">
        <v>1</v>
      </c>
      <c r="B4372" s="7">
        <v>18617</v>
      </c>
      <c r="C4372" s="7">
        <v>107</v>
      </c>
      <c r="D4372" s="8">
        <v>33166</v>
      </c>
      <c r="E4372" s="9">
        <v>1</v>
      </c>
    </row>
    <row r="4373" spans="1:5" x14ac:dyDescent="0.25">
      <c r="A4373" s="7">
        <v>1</v>
      </c>
      <c r="B4373" s="7">
        <v>18656</v>
      </c>
      <c r="C4373" s="7">
        <v>107</v>
      </c>
      <c r="D4373" s="8">
        <v>33166</v>
      </c>
      <c r="E4373" s="9">
        <v>1</v>
      </c>
    </row>
    <row r="4374" spans="1:5" x14ac:dyDescent="0.25">
      <c r="A4374" s="7">
        <v>1</v>
      </c>
      <c r="B4374" s="7">
        <v>18702</v>
      </c>
      <c r="C4374" s="7">
        <v>107</v>
      </c>
      <c r="D4374" s="8">
        <v>111980.78</v>
      </c>
      <c r="E4374" s="9">
        <v>1</v>
      </c>
    </row>
    <row r="4375" spans="1:5" x14ac:dyDescent="0.25">
      <c r="A4375" s="7">
        <v>1</v>
      </c>
      <c r="B4375" s="7">
        <v>18703</v>
      </c>
      <c r="C4375" s="7">
        <v>107</v>
      </c>
      <c r="D4375" s="8">
        <v>111980.78</v>
      </c>
      <c r="E4375" s="9">
        <v>1</v>
      </c>
    </row>
    <row r="4376" spans="1:5" x14ac:dyDescent="0.25">
      <c r="A4376" s="7">
        <v>1</v>
      </c>
      <c r="B4376" s="7">
        <v>18704</v>
      </c>
      <c r="C4376" s="7">
        <v>107</v>
      </c>
      <c r="D4376" s="8">
        <v>111980.78</v>
      </c>
      <c r="E4376" s="9">
        <v>1</v>
      </c>
    </row>
    <row r="4377" spans="1:5" x14ac:dyDescent="0.25">
      <c r="A4377" s="7">
        <v>1</v>
      </c>
      <c r="B4377" s="7">
        <v>18710</v>
      </c>
      <c r="C4377" s="7">
        <v>107</v>
      </c>
      <c r="D4377" s="8">
        <v>89584.34</v>
      </c>
      <c r="E4377" s="9">
        <v>1</v>
      </c>
    </row>
    <row r="4378" spans="1:5" x14ac:dyDescent="0.25">
      <c r="A4378" s="7">
        <v>1</v>
      </c>
      <c r="B4378" s="7">
        <v>18717</v>
      </c>
      <c r="C4378" s="7">
        <v>107</v>
      </c>
      <c r="D4378" s="8">
        <v>111980.78</v>
      </c>
      <c r="E4378" s="9">
        <v>1</v>
      </c>
    </row>
    <row r="4379" spans="1:5" x14ac:dyDescent="0.25">
      <c r="A4379" s="7">
        <v>1</v>
      </c>
      <c r="B4379" s="7">
        <v>18756</v>
      </c>
      <c r="C4379" s="7">
        <v>107</v>
      </c>
      <c r="D4379" s="8">
        <v>111980.78</v>
      </c>
      <c r="E4379" s="9">
        <v>1</v>
      </c>
    </row>
    <row r="4380" spans="1:5" x14ac:dyDescent="0.25">
      <c r="A4380" s="7">
        <v>1</v>
      </c>
      <c r="B4380" s="7">
        <v>18817</v>
      </c>
      <c r="C4380" s="7">
        <v>902</v>
      </c>
      <c r="D4380" s="8">
        <v>274949.3</v>
      </c>
      <c r="E4380" s="9">
        <v>1</v>
      </c>
    </row>
    <row r="4381" spans="1:5" x14ac:dyDescent="0.25">
      <c r="A4381" s="7">
        <v>1</v>
      </c>
      <c r="B4381" s="7">
        <v>18915</v>
      </c>
      <c r="C4381" s="7">
        <v>107</v>
      </c>
      <c r="D4381" s="8">
        <v>8910.73</v>
      </c>
      <c r="E4381" s="9">
        <v>1</v>
      </c>
    </row>
    <row r="4382" spans="1:5" x14ac:dyDescent="0.25">
      <c r="A4382" s="7">
        <v>1</v>
      </c>
      <c r="B4382" s="7">
        <v>18918</v>
      </c>
      <c r="C4382" s="7">
        <v>902</v>
      </c>
      <c r="D4382" s="8">
        <v>5299.03</v>
      </c>
      <c r="E4382" s="9">
        <v>1</v>
      </c>
    </row>
    <row r="4383" spans="1:5" x14ac:dyDescent="0.25">
      <c r="A4383" s="7">
        <v>1</v>
      </c>
      <c r="B4383" s="7">
        <v>18930</v>
      </c>
      <c r="C4383" s="7">
        <v>902</v>
      </c>
      <c r="D4383" s="8">
        <v>6273.58</v>
      </c>
      <c r="E4383" s="9">
        <v>1</v>
      </c>
    </row>
    <row r="4384" spans="1:5" x14ac:dyDescent="0.25">
      <c r="A4384" s="7">
        <v>1</v>
      </c>
      <c r="B4384" s="7">
        <v>18943</v>
      </c>
      <c r="C4384" s="7">
        <v>902</v>
      </c>
      <c r="D4384" s="8">
        <v>7491.7</v>
      </c>
      <c r="E4384" s="9">
        <v>1</v>
      </c>
    </row>
    <row r="4385" spans="1:5" x14ac:dyDescent="0.25">
      <c r="A4385" s="7">
        <v>1</v>
      </c>
      <c r="B4385" s="7">
        <v>19013</v>
      </c>
      <c r="C4385" s="7">
        <v>107</v>
      </c>
      <c r="D4385" s="8">
        <v>13495.01</v>
      </c>
      <c r="E4385" s="9">
        <v>1</v>
      </c>
    </row>
    <row r="4386" spans="1:5" x14ac:dyDescent="0.25">
      <c r="A4386" s="7">
        <v>1</v>
      </c>
      <c r="B4386" s="7">
        <v>19015</v>
      </c>
      <c r="C4386" s="7">
        <v>107</v>
      </c>
      <c r="D4386" s="8">
        <v>13495.01</v>
      </c>
      <c r="E4386" s="9">
        <v>1</v>
      </c>
    </row>
    <row r="4387" spans="1:5" x14ac:dyDescent="0.25">
      <c r="A4387" s="7">
        <v>1</v>
      </c>
      <c r="B4387" s="7">
        <v>19018</v>
      </c>
      <c r="C4387" s="7">
        <v>107</v>
      </c>
      <c r="D4387" s="8">
        <v>13495.01</v>
      </c>
      <c r="E4387" s="9">
        <v>1</v>
      </c>
    </row>
    <row r="4388" spans="1:5" x14ac:dyDescent="0.25">
      <c r="A4388" s="7">
        <v>1</v>
      </c>
      <c r="B4388" s="7">
        <v>19020</v>
      </c>
      <c r="C4388" s="7">
        <v>107</v>
      </c>
      <c r="D4388" s="8">
        <v>13495.01</v>
      </c>
      <c r="E4388" s="9">
        <v>1</v>
      </c>
    </row>
    <row r="4389" spans="1:5" x14ac:dyDescent="0.25">
      <c r="A4389" s="7">
        <v>1</v>
      </c>
      <c r="B4389" s="7">
        <v>19023</v>
      </c>
      <c r="C4389" s="7">
        <v>902</v>
      </c>
      <c r="D4389" s="8">
        <v>8838.23</v>
      </c>
      <c r="E4389" s="9">
        <v>1</v>
      </c>
    </row>
    <row r="4390" spans="1:5" x14ac:dyDescent="0.25">
      <c r="A4390" s="7">
        <v>1</v>
      </c>
      <c r="B4390" s="7">
        <v>19029</v>
      </c>
      <c r="C4390" s="7">
        <v>902</v>
      </c>
      <c r="D4390" s="8">
        <v>9725.3</v>
      </c>
      <c r="E4390" s="9">
        <v>1</v>
      </c>
    </row>
    <row r="4391" spans="1:5" x14ac:dyDescent="0.25">
      <c r="A4391" s="7">
        <v>1</v>
      </c>
      <c r="B4391" s="7">
        <v>19030</v>
      </c>
      <c r="C4391" s="7">
        <v>107</v>
      </c>
      <c r="D4391" s="8">
        <v>15876.99</v>
      </c>
      <c r="E4391" s="9">
        <v>1</v>
      </c>
    </row>
    <row r="4392" spans="1:5" x14ac:dyDescent="0.25">
      <c r="A4392" s="7">
        <v>1</v>
      </c>
      <c r="B4392" s="7">
        <v>19035</v>
      </c>
      <c r="C4392" s="7">
        <v>902</v>
      </c>
      <c r="D4392" s="8">
        <v>8838.23</v>
      </c>
      <c r="E4392" s="9">
        <v>1</v>
      </c>
    </row>
    <row r="4393" spans="1:5" x14ac:dyDescent="0.25">
      <c r="A4393" s="7">
        <v>1</v>
      </c>
      <c r="B4393" s="7">
        <v>19037</v>
      </c>
      <c r="C4393" s="7">
        <v>902</v>
      </c>
      <c r="D4393" s="8">
        <v>9725.3</v>
      </c>
      <c r="E4393" s="9">
        <v>1</v>
      </c>
    </row>
    <row r="4394" spans="1:5" x14ac:dyDescent="0.25">
      <c r="A4394" s="7">
        <v>1</v>
      </c>
      <c r="B4394" s="7">
        <v>19038</v>
      </c>
      <c r="C4394" s="7">
        <v>902</v>
      </c>
      <c r="D4394" s="8">
        <v>9725.3</v>
      </c>
      <c r="E4394" s="9">
        <v>1</v>
      </c>
    </row>
    <row r="4395" spans="1:5" x14ac:dyDescent="0.25">
      <c r="A4395" s="7">
        <v>1</v>
      </c>
      <c r="B4395" s="7">
        <v>19041</v>
      </c>
      <c r="C4395" s="7">
        <v>107</v>
      </c>
      <c r="D4395" s="8">
        <v>15876.99</v>
      </c>
      <c r="E4395" s="9">
        <v>1</v>
      </c>
    </row>
    <row r="4396" spans="1:5" x14ac:dyDescent="0.25">
      <c r="A4396" s="7">
        <v>1</v>
      </c>
      <c r="B4396" s="7">
        <v>19043</v>
      </c>
      <c r="C4396" s="7">
        <v>107</v>
      </c>
      <c r="D4396" s="8">
        <v>15876.99</v>
      </c>
      <c r="E4396" s="9">
        <v>1</v>
      </c>
    </row>
    <row r="4397" spans="1:5" x14ac:dyDescent="0.25">
      <c r="A4397" s="7">
        <v>1</v>
      </c>
      <c r="B4397" s="7">
        <v>19047</v>
      </c>
      <c r="C4397" s="7">
        <v>107</v>
      </c>
      <c r="D4397" s="8">
        <v>13495.01</v>
      </c>
      <c r="E4397" s="9">
        <v>1</v>
      </c>
    </row>
    <row r="4398" spans="1:5" x14ac:dyDescent="0.25">
      <c r="A4398" s="7">
        <v>1</v>
      </c>
      <c r="B4398" s="7">
        <v>19109</v>
      </c>
      <c r="C4398" s="7">
        <v>107</v>
      </c>
      <c r="D4398" s="8">
        <v>22551.69</v>
      </c>
      <c r="E4398" s="9">
        <v>1</v>
      </c>
    </row>
    <row r="4399" spans="1:5" x14ac:dyDescent="0.25">
      <c r="A4399" s="7">
        <v>1</v>
      </c>
      <c r="B4399" s="7">
        <v>19113</v>
      </c>
      <c r="C4399" s="7">
        <v>107</v>
      </c>
      <c r="D4399" s="8">
        <v>22551.69</v>
      </c>
      <c r="E4399" s="9">
        <v>1</v>
      </c>
    </row>
    <row r="4400" spans="1:5" x14ac:dyDescent="0.25">
      <c r="A4400" s="7">
        <v>1</v>
      </c>
      <c r="B4400" s="7">
        <v>19115</v>
      </c>
      <c r="C4400" s="7">
        <v>107</v>
      </c>
      <c r="D4400" s="8">
        <v>22551.69</v>
      </c>
      <c r="E4400" s="9">
        <v>1</v>
      </c>
    </row>
    <row r="4401" spans="1:5" x14ac:dyDescent="0.25">
      <c r="A4401" s="7">
        <v>1</v>
      </c>
      <c r="B4401" s="7">
        <v>19118</v>
      </c>
      <c r="C4401" s="7">
        <v>107</v>
      </c>
      <c r="D4401" s="8">
        <v>22551.69</v>
      </c>
      <c r="E4401" s="9">
        <v>1</v>
      </c>
    </row>
    <row r="4402" spans="1:5" x14ac:dyDescent="0.25">
      <c r="A4402" s="7">
        <v>1</v>
      </c>
      <c r="B4402" s="7">
        <v>19119</v>
      </c>
      <c r="C4402" s="7">
        <v>107</v>
      </c>
      <c r="D4402" s="8">
        <v>22551.69</v>
      </c>
      <c r="E4402" s="9">
        <v>1</v>
      </c>
    </row>
    <row r="4403" spans="1:5" x14ac:dyDescent="0.25">
      <c r="A4403" s="7">
        <v>1</v>
      </c>
      <c r="B4403" s="7">
        <v>19120</v>
      </c>
      <c r="C4403" s="7">
        <v>107</v>
      </c>
      <c r="D4403" s="8">
        <v>22551.69</v>
      </c>
      <c r="E4403" s="9">
        <v>1</v>
      </c>
    </row>
    <row r="4404" spans="1:5" x14ac:dyDescent="0.25">
      <c r="A4404" s="7">
        <v>1</v>
      </c>
      <c r="B4404" s="7">
        <v>19122</v>
      </c>
      <c r="C4404" s="7">
        <v>107</v>
      </c>
      <c r="D4404" s="8">
        <v>22551.69</v>
      </c>
      <c r="E4404" s="9">
        <v>1</v>
      </c>
    </row>
    <row r="4405" spans="1:5" x14ac:dyDescent="0.25">
      <c r="A4405" s="7">
        <v>1</v>
      </c>
      <c r="B4405" s="7">
        <v>19123</v>
      </c>
      <c r="C4405" s="7">
        <v>902</v>
      </c>
      <c r="D4405" s="8">
        <v>14128.56</v>
      </c>
      <c r="E4405" s="9">
        <v>1</v>
      </c>
    </row>
    <row r="4406" spans="1:5" x14ac:dyDescent="0.25">
      <c r="A4406" s="7">
        <v>1</v>
      </c>
      <c r="B4406" s="7">
        <v>19124</v>
      </c>
      <c r="C4406" s="7">
        <v>107</v>
      </c>
      <c r="D4406" s="8">
        <v>26532.23</v>
      </c>
      <c r="E4406" s="9">
        <v>1</v>
      </c>
    </row>
    <row r="4407" spans="1:5" x14ac:dyDescent="0.25">
      <c r="A4407" s="7">
        <v>1</v>
      </c>
      <c r="B4407" s="7">
        <v>19126</v>
      </c>
      <c r="C4407" s="7">
        <v>107</v>
      </c>
      <c r="D4407" s="8">
        <v>26532.23</v>
      </c>
      <c r="E4407" s="9">
        <v>1</v>
      </c>
    </row>
    <row r="4408" spans="1:5" x14ac:dyDescent="0.25">
      <c r="A4408" s="7">
        <v>1</v>
      </c>
      <c r="B4408" s="7">
        <v>19128</v>
      </c>
      <c r="C4408" s="7">
        <v>107</v>
      </c>
      <c r="D4408" s="8">
        <v>22551.69</v>
      </c>
      <c r="E4408" s="9">
        <v>1</v>
      </c>
    </row>
    <row r="4409" spans="1:5" x14ac:dyDescent="0.25">
      <c r="A4409" s="7">
        <v>1</v>
      </c>
      <c r="B4409" s="7">
        <v>19129</v>
      </c>
      <c r="C4409" s="7">
        <v>107</v>
      </c>
      <c r="D4409" s="8">
        <v>26532.23</v>
      </c>
      <c r="E4409" s="9">
        <v>1</v>
      </c>
    </row>
    <row r="4410" spans="1:5" x14ac:dyDescent="0.25">
      <c r="A4410" s="7">
        <v>1</v>
      </c>
      <c r="B4410" s="7">
        <v>19130</v>
      </c>
      <c r="C4410" s="7">
        <v>107</v>
      </c>
      <c r="D4410" s="8">
        <v>26532.23</v>
      </c>
      <c r="E4410" s="9">
        <v>1</v>
      </c>
    </row>
    <row r="4411" spans="1:5" x14ac:dyDescent="0.25">
      <c r="A4411" s="7">
        <v>1</v>
      </c>
      <c r="B4411" s="7">
        <v>19132</v>
      </c>
      <c r="C4411" s="7">
        <v>107</v>
      </c>
      <c r="D4411" s="8">
        <v>26532.23</v>
      </c>
      <c r="E4411" s="9">
        <v>1</v>
      </c>
    </row>
    <row r="4412" spans="1:5" x14ac:dyDescent="0.25">
      <c r="A4412" s="7">
        <v>1</v>
      </c>
      <c r="B4412" s="7">
        <v>19133</v>
      </c>
      <c r="C4412" s="7">
        <v>107</v>
      </c>
      <c r="D4412" s="8">
        <v>26532.23</v>
      </c>
      <c r="E4412" s="9">
        <v>1</v>
      </c>
    </row>
    <row r="4413" spans="1:5" x14ac:dyDescent="0.25">
      <c r="A4413" s="7">
        <v>1</v>
      </c>
      <c r="B4413" s="7">
        <v>19134</v>
      </c>
      <c r="C4413" s="7">
        <v>902</v>
      </c>
      <c r="D4413" s="8">
        <v>15258.46</v>
      </c>
      <c r="E4413" s="9">
        <v>1</v>
      </c>
    </row>
    <row r="4414" spans="1:5" x14ac:dyDescent="0.25">
      <c r="A4414" s="7">
        <v>1</v>
      </c>
      <c r="B4414" s="7">
        <v>19135</v>
      </c>
      <c r="C4414" s="7">
        <v>902</v>
      </c>
      <c r="D4414" s="8">
        <v>13909.56</v>
      </c>
      <c r="E4414" s="9">
        <v>1</v>
      </c>
    </row>
    <row r="4415" spans="1:5" x14ac:dyDescent="0.25">
      <c r="A4415" s="7">
        <v>1</v>
      </c>
      <c r="B4415" s="7">
        <v>19136</v>
      </c>
      <c r="C4415" s="7">
        <v>902</v>
      </c>
      <c r="D4415" s="8">
        <v>15258.46</v>
      </c>
      <c r="E4415" s="9">
        <v>1</v>
      </c>
    </row>
    <row r="4416" spans="1:5" x14ac:dyDescent="0.25">
      <c r="A4416" s="7">
        <v>1</v>
      </c>
      <c r="B4416" s="7">
        <v>19138</v>
      </c>
      <c r="C4416" s="7">
        <v>107</v>
      </c>
      <c r="D4416" s="8">
        <v>26532.23</v>
      </c>
      <c r="E4416" s="9">
        <v>1</v>
      </c>
    </row>
    <row r="4417" spans="1:5" x14ac:dyDescent="0.25">
      <c r="A4417" s="7">
        <v>1</v>
      </c>
      <c r="B4417" s="7">
        <v>19141</v>
      </c>
      <c r="C4417" s="7">
        <v>107</v>
      </c>
      <c r="D4417" s="8">
        <v>26532.23</v>
      </c>
      <c r="E4417" s="9">
        <v>1</v>
      </c>
    </row>
    <row r="4418" spans="1:5" x14ac:dyDescent="0.25">
      <c r="A4418" s="7">
        <v>1</v>
      </c>
      <c r="B4418" s="7">
        <v>19143</v>
      </c>
      <c r="C4418" s="7">
        <v>107</v>
      </c>
      <c r="D4418" s="8">
        <v>26532.23</v>
      </c>
      <c r="E4418" s="9">
        <v>1</v>
      </c>
    </row>
    <row r="4419" spans="1:5" x14ac:dyDescent="0.25">
      <c r="A4419" s="7">
        <v>1</v>
      </c>
      <c r="B4419" s="7">
        <v>19145</v>
      </c>
      <c r="C4419" s="7">
        <v>107</v>
      </c>
      <c r="D4419" s="8">
        <v>26532.23</v>
      </c>
      <c r="E4419" s="9">
        <v>1</v>
      </c>
    </row>
    <row r="4420" spans="1:5" x14ac:dyDescent="0.25">
      <c r="A4420" s="7">
        <v>1</v>
      </c>
      <c r="B4420" s="7">
        <v>19147</v>
      </c>
      <c r="C4420" s="7">
        <v>107</v>
      </c>
      <c r="D4420" s="8">
        <v>22551.69</v>
      </c>
      <c r="E4420" s="9">
        <v>1</v>
      </c>
    </row>
    <row r="4421" spans="1:5" x14ac:dyDescent="0.25">
      <c r="A4421" s="7">
        <v>1</v>
      </c>
      <c r="B4421" s="7">
        <v>19209</v>
      </c>
      <c r="C4421" s="7">
        <v>107</v>
      </c>
      <c r="D4421" s="8">
        <v>76146.19</v>
      </c>
      <c r="E4421" s="9">
        <v>1</v>
      </c>
    </row>
    <row r="4422" spans="1:5" x14ac:dyDescent="0.25">
      <c r="A4422" s="7">
        <v>1</v>
      </c>
      <c r="B4422" s="7">
        <v>19211</v>
      </c>
      <c r="C4422" s="7">
        <v>902</v>
      </c>
      <c r="D4422" s="8">
        <v>56329.24</v>
      </c>
      <c r="E4422" s="9">
        <v>1</v>
      </c>
    </row>
    <row r="4423" spans="1:5" x14ac:dyDescent="0.25">
      <c r="A4423" s="7">
        <v>1</v>
      </c>
      <c r="B4423" s="7">
        <v>19213</v>
      </c>
      <c r="C4423" s="7">
        <v>107</v>
      </c>
      <c r="D4423" s="8">
        <v>76146.19</v>
      </c>
      <c r="E4423" s="9">
        <v>1</v>
      </c>
    </row>
    <row r="4424" spans="1:5" x14ac:dyDescent="0.25">
      <c r="A4424" s="7">
        <v>1</v>
      </c>
      <c r="B4424" s="7">
        <v>19215</v>
      </c>
      <c r="C4424" s="7">
        <v>107</v>
      </c>
      <c r="D4424" s="8">
        <v>76146.19</v>
      </c>
      <c r="E4424" s="9">
        <v>1</v>
      </c>
    </row>
    <row r="4425" spans="1:5" x14ac:dyDescent="0.25">
      <c r="A4425" s="7">
        <v>1</v>
      </c>
      <c r="B4425" s="7">
        <v>19218</v>
      </c>
      <c r="C4425" s="7">
        <v>107</v>
      </c>
      <c r="D4425" s="8">
        <v>76146.19</v>
      </c>
      <c r="E4425" s="9">
        <v>1</v>
      </c>
    </row>
    <row r="4426" spans="1:5" x14ac:dyDescent="0.25">
      <c r="A4426" s="7">
        <v>1</v>
      </c>
      <c r="B4426" s="7">
        <v>19219</v>
      </c>
      <c r="C4426" s="7">
        <v>107</v>
      </c>
      <c r="D4426" s="8">
        <v>76146.19</v>
      </c>
      <c r="E4426" s="9">
        <v>1</v>
      </c>
    </row>
    <row r="4427" spans="1:5" x14ac:dyDescent="0.25">
      <c r="A4427" s="7">
        <v>1</v>
      </c>
      <c r="B4427" s="7">
        <v>19220</v>
      </c>
      <c r="C4427" s="7">
        <v>107</v>
      </c>
      <c r="D4427" s="8">
        <v>76146.19</v>
      </c>
      <c r="E4427" s="9">
        <v>1</v>
      </c>
    </row>
    <row r="4428" spans="1:5" x14ac:dyDescent="0.25">
      <c r="A4428" s="7">
        <v>1</v>
      </c>
      <c r="B4428" s="7">
        <v>19221</v>
      </c>
      <c r="C4428" s="7">
        <v>902</v>
      </c>
      <c r="D4428" s="8">
        <v>51341.25</v>
      </c>
      <c r="E4428" s="9">
        <v>1</v>
      </c>
    </row>
    <row r="4429" spans="1:5" x14ac:dyDescent="0.25">
      <c r="A4429" s="7">
        <v>1</v>
      </c>
      <c r="B4429" s="7">
        <v>19222</v>
      </c>
      <c r="C4429" s="7">
        <v>107</v>
      </c>
      <c r="D4429" s="8">
        <v>76146.19</v>
      </c>
      <c r="E4429" s="9">
        <v>1</v>
      </c>
    </row>
    <row r="4430" spans="1:5" x14ac:dyDescent="0.25">
      <c r="A4430" s="7">
        <v>1</v>
      </c>
      <c r="B4430" s="7">
        <v>19223</v>
      </c>
      <c r="C4430" s="7">
        <v>902</v>
      </c>
      <c r="D4430" s="8">
        <v>51341.25</v>
      </c>
      <c r="E4430" s="9">
        <v>1</v>
      </c>
    </row>
    <row r="4431" spans="1:5" x14ac:dyDescent="0.25">
      <c r="A4431" s="7">
        <v>1</v>
      </c>
      <c r="B4431" s="7">
        <v>19224</v>
      </c>
      <c r="C4431" s="7">
        <v>107</v>
      </c>
      <c r="D4431" s="8">
        <v>89584.34</v>
      </c>
      <c r="E4431" s="9">
        <v>1</v>
      </c>
    </row>
    <row r="4432" spans="1:5" x14ac:dyDescent="0.25">
      <c r="A4432" s="7">
        <v>1</v>
      </c>
      <c r="B4432" s="7">
        <v>19226</v>
      </c>
      <c r="C4432" s="7">
        <v>107</v>
      </c>
      <c r="D4432" s="8">
        <v>89584.34</v>
      </c>
      <c r="E4432" s="9">
        <v>1</v>
      </c>
    </row>
    <row r="4433" spans="1:5" x14ac:dyDescent="0.25">
      <c r="A4433" s="7">
        <v>1</v>
      </c>
      <c r="B4433" s="7">
        <v>19228</v>
      </c>
      <c r="C4433" s="7">
        <v>107</v>
      </c>
      <c r="D4433" s="8">
        <v>76146.19</v>
      </c>
      <c r="E4433" s="9">
        <v>1</v>
      </c>
    </row>
    <row r="4434" spans="1:5" x14ac:dyDescent="0.25">
      <c r="A4434" s="7">
        <v>1</v>
      </c>
      <c r="B4434" s="7">
        <v>19229</v>
      </c>
      <c r="C4434" s="7">
        <v>107</v>
      </c>
      <c r="D4434" s="8">
        <v>89584.34</v>
      </c>
      <c r="E4434" s="9">
        <v>1</v>
      </c>
    </row>
    <row r="4435" spans="1:5" x14ac:dyDescent="0.25">
      <c r="A4435" s="7">
        <v>1</v>
      </c>
      <c r="B4435" s="7">
        <v>19230</v>
      </c>
      <c r="C4435" s="7">
        <v>107</v>
      </c>
      <c r="D4435" s="8">
        <v>89584.34</v>
      </c>
      <c r="E4435" s="9">
        <v>1</v>
      </c>
    </row>
    <row r="4436" spans="1:5" x14ac:dyDescent="0.25">
      <c r="A4436" s="7">
        <v>1</v>
      </c>
      <c r="B4436" s="7">
        <v>19232</v>
      </c>
      <c r="C4436" s="7">
        <v>107</v>
      </c>
      <c r="D4436" s="8">
        <v>89584.34</v>
      </c>
      <c r="E4436" s="9">
        <v>1</v>
      </c>
    </row>
    <row r="4437" spans="1:5" x14ac:dyDescent="0.25">
      <c r="A4437" s="7">
        <v>1</v>
      </c>
      <c r="B4437" s="7">
        <v>19233</v>
      </c>
      <c r="C4437" s="7">
        <v>107</v>
      </c>
      <c r="D4437" s="8">
        <v>89584.34</v>
      </c>
      <c r="E4437" s="9">
        <v>1</v>
      </c>
    </row>
    <row r="4438" spans="1:5" x14ac:dyDescent="0.25">
      <c r="A4438" s="7">
        <v>1</v>
      </c>
      <c r="B4438" s="7">
        <v>19234</v>
      </c>
      <c r="C4438" s="7">
        <v>902</v>
      </c>
      <c r="D4438" s="8">
        <v>56329.24</v>
      </c>
      <c r="E4438" s="9">
        <v>1</v>
      </c>
    </row>
    <row r="4439" spans="1:5" x14ac:dyDescent="0.25">
      <c r="A4439" s="7">
        <v>1</v>
      </c>
      <c r="B4439" s="7">
        <v>19236</v>
      </c>
      <c r="C4439" s="7">
        <v>902</v>
      </c>
      <c r="D4439" s="8">
        <v>56329.24</v>
      </c>
      <c r="E4439" s="9">
        <v>1</v>
      </c>
    </row>
    <row r="4440" spans="1:5" x14ac:dyDescent="0.25">
      <c r="A4440" s="7">
        <v>1</v>
      </c>
      <c r="B4440" s="7">
        <v>19237</v>
      </c>
      <c r="C4440" s="7">
        <v>902</v>
      </c>
      <c r="D4440" s="8">
        <v>56329.24</v>
      </c>
      <c r="E4440" s="9">
        <v>1</v>
      </c>
    </row>
    <row r="4441" spans="1:5" x14ac:dyDescent="0.25">
      <c r="A4441" s="7">
        <v>1</v>
      </c>
      <c r="B4441" s="7">
        <v>19238</v>
      </c>
      <c r="C4441" s="7">
        <v>107</v>
      </c>
      <c r="D4441" s="8">
        <v>89584.34</v>
      </c>
      <c r="E4441" s="9">
        <v>1</v>
      </c>
    </row>
    <row r="4442" spans="1:5" x14ac:dyDescent="0.25">
      <c r="A4442" s="7">
        <v>1</v>
      </c>
      <c r="B4442" s="7">
        <v>19241</v>
      </c>
      <c r="C4442" s="7">
        <v>107</v>
      </c>
      <c r="D4442" s="8">
        <v>89584.34</v>
      </c>
      <c r="E4442" s="9">
        <v>1</v>
      </c>
    </row>
    <row r="4443" spans="1:5" x14ac:dyDescent="0.25">
      <c r="A4443" s="7">
        <v>1</v>
      </c>
      <c r="B4443" s="7">
        <v>19243</v>
      </c>
      <c r="C4443" s="7">
        <v>107</v>
      </c>
      <c r="D4443" s="8">
        <v>89584.34</v>
      </c>
      <c r="E4443" s="9">
        <v>1</v>
      </c>
    </row>
    <row r="4444" spans="1:5" x14ac:dyDescent="0.25">
      <c r="A4444" s="7">
        <v>1</v>
      </c>
      <c r="B4444" s="7">
        <v>19245</v>
      </c>
      <c r="C4444" s="7">
        <v>107</v>
      </c>
      <c r="D4444" s="8">
        <v>89584.34</v>
      </c>
      <c r="E4444" s="9">
        <v>1</v>
      </c>
    </row>
    <row r="4445" spans="1:5" x14ac:dyDescent="0.25">
      <c r="A4445" s="7">
        <v>1</v>
      </c>
      <c r="B4445" s="7">
        <v>19247</v>
      </c>
      <c r="C4445" s="7">
        <v>107</v>
      </c>
      <c r="D4445" s="8">
        <v>76146.19</v>
      </c>
      <c r="E4445" s="9">
        <v>1</v>
      </c>
    </row>
    <row r="4446" spans="1:5" x14ac:dyDescent="0.25">
      <c r="A4446" s="7">
        <v>1</v>
      </c>
      <c r="B4446" s="7">
        <v>20503</v>
      </c>
      <c r="C4446" s="7">
        <v>186</v>
      </c>
      <c r="D4446" s="8">
        <v>15655.5</v>
      </c>
      <c r="E4446" s="9">
        <v>1</v>
      </c>
    </row>
    <row r="4447" spans="1:5" x14ac:dyDescent="0.25">
      <c r="A4447" s="7">
        <v>1</v>
      </c>
      <c r="B4447" s="7">
        <v>20623</v>
      </c>
      <c r="C4447" s="7">
        <v>186</v>
      </c>
      <c r="D4447" s="8">
        <v>69120</v>
      </c>
      <c r="E4447" s="9">
        <v>1</v>
      </c>
    </row>
    <row r="4448" spans="1:5" x14ac:dyDescent="0.25">
      <c r="A4448" s="7">
        <v>1</v>
      </c>
      <c r="B4448" s="7">
        <v>20702</v>
      </c>
      <c r="C4448" s="7">
        <v>186</v>
      </c>
      <c r="D4448" s="8">
        <v>23961</v>
      </c>
      <c r="E4448" s="9">
        <v>1</v>
      </c>
    </row>
    <row r="4449" spans="1:5" x14ac:dyDescent="0.25">
      <c r="A4449" s="7">
        <v>1</v>
      </c>
      <c r="B4449" s="7">
        <v>20707</v>
      </c>
      <c r="C4449" s="7">
        <v>186</v>
      </c>
      <c r="D4449" s="8">
        <v>27636</v>
      </c>
      <c r="E4449" s="9">
        <v>1</v>
      </c>
    </row>
    <row r="4450" spans="1:5" x14ac:dyDescent="0.25">
      <c r="A4450" s="7">
        <v>1</v>
      </c>
      <c r="B4450" s="7">
        <v>20881</v>
      </c>
      <c r="C4450" s="7">
        <v>120</v>
      </c>
      <c r="D4450" s="8">
        <v>4817.68</v>
      </c>
      <c r="E4450" s="9">
        <v>1</v>
      </c>
    </row>
    <row r="4451" spans="1:5" x14ac:dyDescent="0.25">
      <c r="A4451" s="7">
        <v>1</v>
      </c>
      <c r="B4451" s="7">
        <v>20887</v>
      </c>
      <c r="C4451" s="7">
        <v>186</v>
      </c>
      <c r="D4451" s="8">
        <v>29256</v>
      </c>
      <c r="E4451" s="9">
        <v>1</v>
      </c>
    </row>
    <row r="4452" spans="1:5" x14ac:dyDescent="0.25">
      <c r="A4452" s="7">
        <v>1</v>
      </c>
      <c r="B4452" s="7">
        <v>20997</v>
      </c>
      <c r="C4452" s="7">
        <v>186</v>
      </c>
      <c r="D4452" s="8">
        <v>28110.6</v>
      </c>
      <c r="E4452" s="9">
        <v>1</v>
      </c>
    </row>
    <row r="4453" spans="1:5" x14ac:dyDescent="0.25">
      <c r="A4453" s="7">
        <v>1</v>
      </c>
      <c r="B4453" s="7">
        <v>21046</v>
      </c>
      <c r="C4453" s="7">
        <v>186</v>
      </c>
      <c r="D4453" s="8">
        <v>28290</v>
      </c>
      <c r="E4453" s="9">
        <v>1</v>
      </c>
    </row>
    <row r="4454" spans="1:5" x14ac:dyDescent="0.25">
      <c r="A4454" s="7">
        <v>1</v>
      </c>
      <c r="B4454" s="7">
        <v>21155</v>
      </c>
      <c r="C4454" s="7">
        <v>902</v>
      </c>
      <c r="D4454" s="8">
        <v>15022.76</v>
      </c>
      <c r="E4454" s="9">
        <v>1</v>
      </c>
    </row>
    <row r="4455" spans="1:5" x14ac:dyDescent="0.25">
      <c r="A4455" s="7">
        <v>1</v>
      </c>
      <c r="B4455" s="7">
        <v>21161</v>
      </c>
      <c r="C4455" s="7">
        <v>186</v>
      </c>
      <c r="D4455" s="8">
        <v>30153</v>
      </c>
      <c r="E4455" s="9">
        <v>1</v>
      </c>
    </row>
    <row r="4456" spans="1:5" x14ac:dyDescent="0.25">
      <c r="A4456" s="7">
        <v>1</v>
      </c>
      <c r="B4456" s="7">
        <v>21165</v>
      </c>
      <c r="C4456" s="7">
        <v>186</v>
      </c>
      <c r="D4456" s="8">
        <v>34362</v>
      </c>
      <c r="E4456" s="9">
        <v>1</v>
      </c>
    </row>
    <row r="4457" spans="1:5" x14ac:dyDescent="0.25">
      <c r="A4457" s="7">
        <v>1</v>
      </c>
      <c r="B4457" s="7">
        <v>21308</v>
      </c>
      <c r="C4457" s="7">
        <v>902</v>
      </c>
      <c r="D4457" s="8">
        <v>24807.19</v>
      </c>
      <c r="E4457" s="9">
        <v>1</v>
      </c>
    </row>
    <row r="4458" spans="1:5" x14ac:dyDescent="0.25">
      <c r="A4458" s="7">
        <v>1</v>
      </c>
      <c r="B4458" s="7">
        <v>21401</v>
      </c>
      <c r="C4458" s="7">
        <v>107</v>
      </c>
      <c r="D4458" s="8">
        <v>90505.92</v>
      </c>
      <c r="E4458" s="9">
        <v>1</v>
      </c>
    </row>
    <row r="4459" spans="1:5" x14ac:dyDescent="0.25">
      <c r="A4459" s="7">
        <v>1</v>
      </c>
      <c r="B4459" s="7">
        <v>21404</v>
      </c>
      <c r="C4459" s="7">
        <v>107</v>
      </c>
      <c r="D4459" s="8">
        <v>90505.92</v>
      </c>
      <c r="E4459" s="9">
        <v>1</v>
      </c>
    </row>
    <row r="4460" spans="1:5" x14ac:dyDescent="0.25">
      <c r="A4460" s="7">
        <v>1</v>
      </c>
      <c r="B4460" s="7">
        <v>21408</v>
      </c>
      <c r="C4460" s="7">
        <v>107</v>
      </c>
      <c r="D4460" s="8">
        <v>90505.92</v>
      </c>
      <c r="E4460" s="9">
        <v>1</v>
      </c>
    </row>
    <row r="4461" spans="1:5" x14ac:dyDescent="0.25">
      <c r="A4461" s="7">
        <v>1</v>
      </c>
      <c r="B4461" s="7">
        <v>22819</v>
      </c>
      <c r="C4461" s="7">
        <v>152</v>
      </c>
      <c r="D4461" s="8">
        <v>233900.75</v>
      </c>
      <c r="E4461" s="9">
        <v>1</v>
      </c>
    </row>
    <row r="4462" spans="1:5" x14ac:dyDescent="0.25">
      <c r="A4462" s="7">
        <v>1</v>
      </c>
      <c r="B4462" s="7">
        <v>24250</v>
      </c>
      <c r="C4462" s="7">
        <v>902</v>
      </c>
      <c r="D4462" s="8">
        <v>22714.94</v>
      </c>
      <c r="E4462" s="9">
        <v>1</v>
      </c>
    </row>
    <row r="4463" spans="1:5" x14ac:dyDescent="0.25">
      <c r="A4463" s="7">
        <v>1</v>
      </c>
      <c r="B4463" s="7">
        <v>24253</v>
      </c>
      <c r="C4463" s="7">
        <v>902</v>
      </c>
      <c r="D4463" s="8">
        <v>22714.94</v>
      </c>
      <c r="E4463" s="9">
        <v>1</v>
      </c>
    </row>
    <row r="4464" spans="1:5" x14ac:dyDescent="0.25">
      <c r="A4464" s="7">
        <v>1</v>
      </c>
      <c r="B4464" s="7">
        <v>24255</v>
      </c>
      <c r="C4464" s="7">
        <v>902</v>
      </c>
      <c r="D4464" s="8">
        <v>22714.94</v>
      </c>
      <c r="E4464" s="9">
        <v>1</v>
      </c>
    </row>
    <row r="4465" spans="1:5" x14ac:dyDescent="0.25">
      <c r="A4465" s="7">
        <v>1</v>
      </c>
      <c r="B4465" s="7">
        <v>26715</v>
      </c>
      <c r="C4465" s="7">
        <v>902</v>
      </c>
      <c r="D4465" s="8">
        <v>34919.3</v>
      </c>
      <c r="E4465" s="9">
        <v>1</v>
      </c>
    </row>
    <row r="4466" spans="1:5" x14ac:dyDescent="0.25">
      <c r="A4466" s="7">
        <v>1</v>
      </c>
      <c r="B4466" s="7">
        <v>26717</v>
      </c>
      <c r="C4466" s="7">
        <v>107</v>
      </c>
      <c r="D4466" s="8">
        <v>34049.45</v>
      </c>
      <c r="E4466" s="9">
        <v>1</v>
      </c>
    </row>
    <row r="4467" spans="1:5" x14ac:dyDescent="0.25">
      <c r="A4467" s="7">
        <v>1</v>
      </c>
      <c r="B4467" s="7">
        <v>27301</v>
      </c>
      <c r="C4467" s="7">
        <v>107</v>
      </c>
      <c r="D4467" s="8">
        <v>18392.2</v>
      </c>
      <c r="E4467" s="9">
        <v>1</v>
      </c>
    </row>
    <row r="4468" spans="1:5" x14ac:dyDescent="0.25">
      <c r="A4468" s="7">
        <v>1</v>
      </c>
      <c r="B4468" s="7">
        <v>27303</v>
      </c>
      <c r="C4468" s="7">
        <v>107</v>
      </c>
      <c r="D4468" s="8">
        <v>18392.2</v>
      </c>
      <c r="E4468" s="9">
        <v>1</v>
      </c>
    </row>
    <row r="4469" spans="1:5" x14ac:dyDescent="0.25">
      <c r="A4469" s="7">
        <v>1</v>
      </c>
      <c r="B4469" s="7">
        <v>27304</v>
      </c>
      <c r="C4469" s="7">
        <v>902</v>
      </c>
      <c r="D4469" s="8">
        <v>17188.87</v>
      </c>
      <c r="E4469" s="9">
        <v>1</v>
      </c>
    </row>
    <row r="4470" spans="1:5" x14ac:dyDescent="0.25">
      <c r="A4470" s="7">
        <v>1</v>
      </c>
      <c r="B4470" s="7">
        <v>27305</v>
      </c>
      <c r="C4470" s="7">
        <v>902</v>
      </c>
      <c r="D4470" s="8">
        <v>11642.83</v>
      </c>
      <c r="E4470" s="9">
        <v>1</v>
      </c>
    </row>
    <row r="4471" spans="1:5" x14ac:dyDescent="0.25">
      <c r="A4471" s="7">
        <v>1</v>
      </c>
      <c r="B4471" s="7">
        <v>27306</v>
      </c>
      <c r="C4471" s="7">
        <v>902</v>
      </c>
      <c r="D4471" s="8">
        <v>17188.87</v>
      </c>
      <c r="E4471" s="9">
        <v>1</v>
      </c>
    </row>
    <row r="4472" spans="1:5" x14ac:dyDescent="0.25">
      <c r="A4472" s="7">
        <v>1</v>
      </c>
      <c r="B4472" s="7">
        <v>27307</v>
      </c>
      <c r="C4472" s="7">
        <v>107</v>
      </c>
      <c r="D4472" s="8">
        <v>18392.2</v>
      </c>
      <c r="E4472" s="9">
        <v>1</v>
      </c>
    </row>
    <row r="4473" spans="1:5" x14ac:dyDescent="0.25">
      <c r="A4473" s="7">
        <v>1</v>
      </c>
      <c r="B4473" s="7">
        <v>27308</v>
      </c>
      <c r="C4473" s="7">
        <v>902</v>
      </c>
      <c r="D4473" s="8">
        <v>17188.87</v>
      </c>
      <c r="E4473" s="9">
        <v>1</v>
      </c>
    </row>
    <row r="4474" spans="1:5" x14ac:dyDescent="0.25">
      <c r="A4474" s="7">
        <v>1</v>
      </c>
      <c r="B4474" s="7">
        <v>27340</v>
      </c>
      <c r="C4474" s="7">
        <v>107</v>
      </c>
      <c r="D4474" s="8">
        <v>18392.2</v>
      </c>
      <c r="E4474" s="9">
        <v>1</v>
      </c>
    </row>
    <row r="4475" spans="1:5" x14ac:dyDescent="0.25">
      <c r="A4475" s="7">
        <v>1</v>
      </c>
      <c r="B4475" s="7">
        <v>27341</v>
      </c>
      <c r="C4475" s="7">
        <v>902</v>
      </c>
      <c r="D4475" s="8">
        <v>17188.87</v>
      </c>
      <c r="E4475" s="9">
        <v>1</v>
      </c>
    </row>
    <row r="4476" spans="1:5" x14ac:dyDescent="0.25">
      <c r="A4476" s="7">
        <v>1</v>
      </c>
      <c r="B4476" s="7">
        <v>27344</v>
      </c>
      <c r="C4476" s="7">
        <v>902</v>
      </c>
      <c r="D4476" s="8">
        <v>18588.96</v>
      </c>
      <c r="E4476" s="9">
        <v>1</v>
      </c>
    </row>
    <row r="4477" spans="1:5" x14ac:dyDescent="0.25">
      <c r="A4477" s="7">
        <v>1</v>
      </c>
      <c r="B4477" s="7">
        <v>27501</v>
      </c>
      <c r="C4477" s="7">
        <v>902</v>
      </c>
      <c r="D4477" s="8">
        <v>10990.87</v>
      </c>
      <c r="E4477" s="9">
        <v>1</v>
      </c>
    </row>
    <row r="4478" spans="1:5" x14ac:dyDescent="0.25">
      <c r="A4478" s="7">
        <v>1</v>
      </c>
      <c r="B4478" s="7">
        <v>27601</v>
      </c>
      <c r="C4478" s="7">
        <v>902</v>
      </c>
      <c r="D4478" s="8">
        <v>52981.03</v>
      </c>
      <c r="E4478" s="9">
        <v>1</v>
      </c>
    </row>
    <row r="4479" spans="1:5" x14ac:dyDescent="0.25">
      <c r="A4479" s="7">
        <v>1</v>
      </c>
      <c r="B4479" s="7">
        <v>27607</v>
      </c>
      <c r="C4479" s="7">
        <v>902</v>
      </c>
      <c r="D4479" s="8">
        <v>52981.03</v>
      </c>
      <c r="E4479" s="9">
        <v>1</v>
      </c>
    </row>
    <row r="4480" spans="1:5" x14ac:dyDescent="0.25">
      <c r="A4480" s="7">
        <v>1</v>
      </c>
      <c r="B4480" s="7">
        <v>27701</v>
      </c>
      <c r="C4480" s="7">
        <v>902</v>
      </c>
      <c r="D4480" s="8">
        <v>109257.53</v>
      </c>
      <c r="E4480" s="9">
        <v>1</v>
      </c>
    </row>
    <row r="4481" spans="1:5" x14ac:dyDescent="0.25">
      <c r="A4481" s="7">
        <v>1</v>
      </c>
      <c r="B4481" s="7">
        <v>27707</v>
      </c>
      <c r="C4481" s="7">
        <v>902</v>
      </c>
      <c r="D4481" s="8">
        <v>109257.53</v>
      </c>
      <c r="E4481" s="9">
        <v>1</v>
      </c>
    </row>
    <row r="4482" spans="1:5" x14ac:dyDescent="0.25">
      <c r="A4482" s="7">
        <v>1</v>
      </c>
      <c r="B4482" s="7">
        <v>27801</v>
      </c>
      <c r="C4482" s="7">
        <v>902</v>
      </c>
      <c r="D4482" s="8">
        <v>182094.89</v>
      </c>
      <c r="E4482" s="9">
        <v>1</v>
      </c>
    </row>
    <row r="4483" spans="1:5" x14ac:dyDescent="0.25">
      <c r="A4483" s="7">
        <v>1</v>
      </c>
      <c r="B4483" s="7">
        <v>27807</v>
      </c>
      <c r="C4483" s="7">
        <v>902</v>
      </c>
      <c r="D4483" s="8">
        <v>182094.89</v>
      </c>
      <c r="E4483" s="9">
        <v>1</v>
      </c>
    </row>
    <row r="4484" spans="1:5" x14ac:dyDescent="0.25">
      <c r="A4484" s="7">
        <v>1</v>
      </c>
      <c r="B4484" s="7">
        <v>30702</v>
      </c>
      <c r="C4484" s="7">
        <v>200</v>
      </c>
      <c r="D4484" s="8">
        <v>570.78</v>
      </c>
      <c r="E4484" s="9">
        <v>3</v>
      </c>
    </row>
    <row r="4485" spans="1:5" x14ac:dyDescent="0.25">
      <c r="A4485" s="7">
        <v>1</v>
      </c>
      <c r="B4485" s="7">
        <v>30707</v>
      </c>
      <c r="C4485" s="7">
        <v>200</v>
      </c>
      <c r="D4485" s="8">
        <v>697.2</v>
      </c>
      <c r="E4485" s="9">
        <v>3</v>
      </c>
    </row>
    <row r="4486" spans="1:5" x14ac:dyDescent="0.25">
      <c r="A4486" s="7">
        <v>1</v>
      </c>
      <c r="B4486" s="7">
        <v>30715</v>
      </c>
      <c r="C4486" s="7">
        <v>107</v>
      </c>
      <c r="D4486" s="8">
        <v>22225.71</v>
      </c>
      <c r="E4486" s="9">
        <v>1</v>
      </c>
    </row>
    <row r="4487" spans="1:5" x14ac:dyDescent="0.25">
      <c r="A4487" s="7">
        <v>1</v>
      </c>
      <c r="B4487" s="7">
        <v>30717</v>
      </c>
      <c r="C4487" s="7">
        <v>902</v>
      </c>
      <c r="D4487" s="8">
        <v>18536.23</v>
      </c>
      <c r="E4487" s="9">
        <v>1</v>
      </c>
    </row>
    <row r="4488" spans="1:5" x14ac:dyDescent="0.25">
      <c r="A4488" s="7">
        <v>1</v>
      </c>
      <c r="B4488" s="7">
        <v>31002</v>
      </c>
      <c r="C4488" s="7">
        <v>112</v>
      </c>
      <c r="D4488" s="8">
        <v>135127.99</v>
      </c>
      <c r="E4488" s="9">
        <v>1</v>
      </c>
    </row>
    <row r="4489" spans="1:5" x14ac:dyDescent="0.25">
      <c r="A4489" s="7">
        <v>1</v>
      </c>
      <c r="B4489" s="7">
        <v>31046</v>
      </c>
      <c r="C4489" s="7">
        <v>186</v>
      </c>
      <c r="D4489" s="8">
        <v>7994.7</v>
      </c>
      <c r="E4489" s="9">
        <v>1</v>
      </c>
    </row>
    <row r="4490" spans="1:5" x14ac:dyDescent="0.25">
      <c r="A4490" s="7">
        <v>1</v>
      </c>
      <c r="B4490" s="7">
        <v>31117</v>
      </c>
      <c r="C4490" s="7">
        <v>107</v>
      </c>
      <c r="D4490" s="8">
        <v>114966.43</v>
      </c>
      <c r="E4490" s="9">
        <v>1</v>
      </c>
    </row>
    <row r="4491" spans="1:5" x14ac:dyDescent="0.25">
      <c r="A4491" s="7">
        <v>1</v>
      </c>
      <c r="B4491" s="7">
        <v>31161</v>
      </c>
      <c r="C4491" s="7">
        <v>186</v>
      </c>
      <c r="D4491" s="8">
        <v>8601</v>
      </c>
      <c r="E4491" s="9">
        <v>1</v>
      </c>
    </row>
    <row r="4492" spans="1:5" x14ac:dyDescent="0.25">
      <c r="A4492" s="7">
        <v>1</v>
      </c>
      <c r="B4492" s="7">
        <v>31165</v>
      </c>
      <c r="C4492" s="7">
        <v>186</v>
      </c>
      <c r="D4492" s="8">
        <v>9432.9</v>
      </c>
      <c r="E4492" s="9">
        <v>1</v>
      </c>
    </row>
    <row r="4493" spans="1:5" x14ac:dyDescent="0.25">
      <c r="A4493" s="7">
        <v>1</v>
      </c>
      <c r="B4493" s="7">
        <v>31291</v>
      </c>
      <c r="C4493" s="7">
        <v>110</v>
      </c>
      <c r="D4493" s="8">
        <v>69612.74</v>
      </c>
      <c r="E4493" s="9">
        <v>1</v>
      </c>
    </row>
    <row r="4494" spans="1:5" x14ac:dyDescent="0.25">
      <c r="A4494" s="7">
        <v>1</v>
      </c>
      <c r="B4494" s="7">
        <v>31391</v>
      </c>
      <c r="C4494" s="7">
        <v>110</v>
      </c>
      <c r="D4494" s="8">
        <v>271902.82</v>
      </c>
      <c r="E4494" s="9">
        <v>1</v>
      </c>
    </row>
    <row r="4495" spans="1:5" x14ac:dyDescent="0.25">
      <c r="A4495" s="7">
        <v>1</v>
      </c>
      <c r="B4495" s="7">
        <v>31592</v>
      </c>
      <c r="C4495" s="7">
        <v>110</v>
      </c>
      <c r="D4495" s="8">
        <v>188562.82</v>
      </c>
      <c r="E4495" s="9">
        <v>1</v>
      </c>
    </row>
    <row r="4496" spans="1:5" x14ac:dyDescent="0.25">
      <c r="A4496" s="7">
        <v>1</v>
      </c>
      <c r="B4496" s="7">
        <v>32012</v>
      </c>
      <c r="C4496" s="7">
        <v>136</v>
      </c>
      <c r="D4496" s="8">
        <v>9447.89</v>
      </c>
      <c r="E4496" s="9">
        <v>1</v>
      </c>
    </row>
    <row r="4497" spans="1:5" x14ac:dyDescent="0.25">
      <c r="A4497" s="7">
        <v>1</v>
      </c>
      <c r="B4497" s="7">
        <v>32013</v>
      </c>
      <c r="C4497" s="7">
        <v>136</v>
      </c>
      <c r="D4497" s="8">
        <v>9048.36</v>
      </c>
      <c r="E4497" s="9">
        <v>1</v>
      </c>
    </row>
    <row r="4498" spans="1:5" x14ac:dyDescent="0.25">
      <c r="A4498" s="7">
        <v>1</v>
      </c>
      <c r="B4498" s="7">
        <v>32014</v>
      </c>
      <c r="C4498" s="7">
        <v>136</v>
      </c>
      <c r="D4498" s="8">
        <v>14775.6</v>
      </c>
      <c r="E4498" s="9">
        <v>1</v>
      </c>
    </row>
    <row r="4499" spans="1:5" x14ac:dyDescent="0.25">
      <c r="A4499" s="7">
        <v>1</v>
      </c>
      <c r="B4499" s="7">
        <v>32015</v>
      </c>
      <c r="C4499" s="7">
        <v>136</v>
      </c>
      <c r="D4499" s="8">
        <v>59294.64</v>
      </c>
      <c r="E4499" s="9">
        <v>1</v>
      </c>
    </row>
    <row r="4500" spans="1:5" x14ac:dyDescent="0.25">
      <c r="A4500" s="7">
        <v>1</v>
      </c>
      <c r="B4500" s="7">
        <v>39101</v>
      </c>
      <c r="C4500" s="7">
        <v>107</v>
      </c>
      <c r="D4500" s="8">
        <v>60968.29</v>
      </c>
      <c r="E4500" s="9">
        <v>1</v>
      </c>
    </row>
    <row r="4501" spans="1:5" x14ac:dyDescent="0.25">
      <c r="A4501" s="7">
        <v>1</v>
      </c>
      <c r="B4501" s="7">
        <v>39103</v>
      </c>
      <c r="C4501" s="7">
        <v>107</v>
      </c>
      <c r="D4501" s="8">
        <v>60968.29</v>
      </c>
      <c r="E4501" s="9">
        <v>1</v>
      </c>
    </row>
    <row r="4502" spans="1:5" x14ac:dyDescent="0.25">
      <c r="A4502" s="7">
        <v>1</v>
      </c>
      <c r="B4502" s="7">
        <v>39107</v>
      </c>
      <c r="C4502" s="7">
        <v>107</v>
      </c>
      <c r="D4502" s="8">
        <v>60968.29</v>
      </c>
      <c r="E4502" s="9">
        <v>1</v>
      </c>
    </row>
    <row r="4503" spans="1:5" x14ac:dyDescent="0.25">
      <c r="A4503" s="7">
        <v>1</v>
      </c>
      <c r="B4503" s="7">
        <v>39301</v>
      </c>
      <c r="C4503" s="7">
        <v>107</v>
      </c>
      <c r="D4503" s="8">
        <v>19158.72</v>
      </c>
      <c r="E4503" s="9">
        <v>1</v>
      </c>
    </row>
    <row r="4504" spans="1:5" x14ac:dyDescent="0.25">
      <c r="A4504" s="7">
        <v>1</v>
      </c>
      <c r="B4504" s="7">
        <v>39303</v>
      </c>
      <c r="C4504" s="7">
        <v>107</v>
      </c>
      <c r="D4504" s="8">
        <v>19158.72</v>
      </c>
      <c r="E4504" s="9">
        <v>1</v>
      </c>
    </row>
    <row r="4505" spans="1:5" x14ac:dyDescent="0.25">
      <c r="A4505" s="7">
        <v>1</v>
      </c>
      <c r="B4505" s="7">
        <v>39305</v>
      </c>
      <c r="C4505" s="7">
        <v>902</v>
      </c>
      <c r="D4505" s="8">
        <v>13531.06</v>
      </c>
      <c r="E4505" s="9">
        <v>1</v>
      </c>
    </row>
    <row r="4506" spans="1:5" x14ac:dyDescent="0.25">
      <c r="A4506" s="7">
        <v>1</v>
      </c>
      <c r="B4506" s="7">
        <v>39307</v>
      </c>
      <c r="C4506" s="7">
        <v>107</v>
      </c>
      <c r="D4506" s="8">
        <v>19158.72</v>
      </c>
      <c r="E4506" s="9">
        <v>1</v>
      </c>
    </row>
    <row r="4507" spans="1:5" x14ac:dyDescent="0.25">
      <c r="A4507" s="7">
        <v>1</v>
      </c>
      <c r="B4507" s="7">
        <v>39344</v>
      </c>
      <c r="C4507" s="7">
        <v>902</v>
      </c>
      <c r="D4507" s="8">
        <v>15512.3</v>
      </c>
      <c r="E4507" s="9">
        <v>1</v>
      </c>
    </row>
    <row r="4508" spans="1:5" x14ac:dyDescent="0.25">
      <c r="A4508" s="7">
        <v>1</v>
      </c>
      <c r="B4508" s="7">
        <v>39401</v>
      </c>
      <c r="C4508" s="7">
        <v>107</v>
      </c>
      <c r="D4508" s="8">
        <v>209545.41</v>
      </c>
      <c r="E4508" s="9">
        <v>1</v>
      </c>
    </row>
    <row r="4509" spans="1:5" x14ac:dyDescent="0.25">
      <c r="A4509" s="7">
        <v>1</v>
      </c>
      <c r="B4509" s="7">
        <v>39403</v>
      </c>
      <c r="C4509" s="7">
        <v>107</v>
      </c>
      <c r="D4509" s="8">
        <v>209545.41</v>
      </c>
      <c r="E4509" s="9">
        <v>1</v>
      </c>
    </row>
    <row r="4510" spans="1:5" x14ac:dyDescent="0.25">
      <c r="A4510" s="7">
        <v>1</v>
      </c>
      <c r="B4510" s="7">
        <v>39407</v>
      </c>
      <c r="C4510" s="7">
        <v>107</v>
      </c>
      <c r="D4510" s="8">
        <v>209545.41</v>
      </c>
      <c r="E4510" s="9">
        <v>1</v>
      </c>
    </row>
    <row r="4511" spans="1:5" x14ac:dyDescent="0.25">
      <c r="A4511" s="7">
        <v>1</v>
      </c>
      <c r="B4511" s="7">
        <v>39601</v>
      </c>
      <c r="C4511" s="7">
        <v>902</v>
      </c>
      <c r="D4511" s="8">
        <v>15698.57</v>
      </c>
      <c r="E4511" s="9">
        <v>1</v>
      </c>
    </row>
    <row r="4512" spans="1:5" x14ac:dyDescent="0.25">
      <c r="A4512" s="7">
        <v>1</v>
      </c>
      <c r="B4512" s="7">
        <v>39602</v>
      </c>
      <c r="C4512" s="7">
        <v>902</v>
      </c>
      <c r="D4512" s="8">
        <v>15698.5</v>
      </c>
      <c r="E4512" s="9">
        <v>1</v>
      </c>
    </row>
    <row r="4513" spans="1:5" x14ac:dyDescent="0.25">
      <c r="A4513" s="7">
        <v>1</v>
      </c>
      <c r="B4513" s="7">
        <v>39604</v>
      </c>
      <c r="C4513" s="7">
        <v>902</v>
      </c>
      <c r="D4513" s="8">
        <v>15698.5</v>
      </c>
      <c r="E4513" s="9">
        <v>1</v>
      </c>
    </row>
    <row r="4514" spans="1:5" x14ac:dyDescent="0.25">
      <c r="A4514" s="7">
        <v>1</v>
      </c>
      <c r="B4514" s="7">
        <v>39701</v>
      </c>
      <c r="C4514" s="7">
        <v>902</v>
      </c>
      <c r="D4514" s="8">
        <v>24531.22</v>
      </c>
      <c r="E4514" s="9">
        <v>1</v>
      </c>
    </row>
    <row r="4515" spans="1:5" x14ac:dyDescent="0.25">
      <c r="A4515" s="7">
        <v>1</v>
      </c>
      <c r="B4515" s="7">
        <v>39702</v>
      </c>
      <c r="C4515" s="7">
        <v>902</v>
      </c>
      <c r="D4515" s="8">
        <v>24531.41</v>
      </c>
      <c r="E4515" s="9">
        <v>1</v>
      </c>
    </row>
    <row r="4516" spans="1:5" x14ac:dyDescent="0.25">
      <c r="A4516" s="7">
        <v>1</v>
      </c>
      <c r="B4516" s="7">
        <v>39704</v>
      </c>
      <c r="C4516" s="7">
        <v>902</v>
      </c>
      <c r="D4516" s="8">
        <v>24531.41</v>
      </c>
      <c r="E4516" s="9">
        <v>1</v>
      </c>
    </row>
    <row r="4517" spans="1:5" x14ac:dyDescent="0.25">
      <c r="A4517" s="7">
        <v>1</v>
      </c>
      <c r="B4517" s="7">
        <v>39801</v>
      </c>
      <c r="C4517" s="7">
        <v>902</v>
      </c>
      <c r="D4517" s="8">
        <v>90389.18</v>
      </c>
      <c r="E4517" s="9">
        <v>1</v>
      </c>
    </row>
    <row r="4518" spans="1:5" x14ac:dyDescent="0.25">
      <c r="A4518" s="7">
        <v>1</v>
      </c>
      <c r="B4518" s="7">
        <v>39802</v>
      </c>
      <c r="C4518" s="7">
        <v>902</v>
      </c>
      <c r="D4518" s="8">
        <v>90389.18</v>
      </c>
      <c r="E4518" s="9">
        <v>1</v>
      </c>
    </row>
    <row r="4519" spans="1:5" x14ac:dyDescent="0.25">
      <c r="A4519" s="7">
        <v>1</v>
      </c>
      <c r="B4519" s="7">
        <v>39804</v>
      </c>
      <c r="C4519" s="7">
        <v>902</v>
      </c>
      <c r="D4519" s="8">
        <v>90389.18</v>
      </c>
      <c r="E4519" s="9">
        <v>1</v>
      </c>
    </row>
    <row r="4520" spans="1:5" x14ac:dyDescent="0.25">
      <c r="A4520" s="7">
        <v>1</v>
      </c>
      <c r="B4520" s="7">
        <v>40001</v>
      </c>
      <c r="C4520" s="7">
        <v>112</v>
      </c>
      <c r="D4520" s="8">
        <v>158973.45</v>
      </c>
      <c r="E4520" s="9">
        <v>1</v>
      </c>
    </row>
    <row r="4521" spans="1:5" x14ac:dyDescent="0.25">
      <c r="A4521" s="7">
        <v>1</v>
      </c>
      <c r="B4521" s="7">
        <v>40901</v>
      </c>
      <c r="C4521" s="7">
        <v>107</v>
      </c>
      <c r="D4521" s="8">
        <v>58528.99</v>
      </c>
      <c r="E4521" s="9">
        <v>1</v>
      </c>
    </row>
    <row r="4522" spans="1:5" x14ac:dyDescent="0.25">
      <c r="A4522" s="7">
        <v>1</v>
      </c>
      <c r="B4522" s="7">
        <v>40903</v>
      </c>
      <c r="C4522" s="7">
        <v>107</v>
      </c>
      <c r="D4522" s="8">
        <v>58528.99</v>
      </c>
      <c r="E4522" s="9">
        <v>1</v>
      </c>
    </row>
    <row r="4523" spans="1:5" x14ac:dyDescent="0.25">
      <c r="A4523" s="7">
        <v>1</v>
      </c>
      <c r="B4523" s="7">
        <v>40904</v>
      </c>
      <c r="C4523" s="7">
        <v>107</v>
      </c>
      <c r="D4523" s="8">
        <v>58528.99</v>
      </c>
      <c r="E4523" s="9">
        <v>1</v>
      </c>
    </row>
    <row r="4524" spans="1:5" x14ac:dyDescent="0.25">
      <c r="A4524" s="7">
        <v>1</v>
      </c>
      <c r="B4524" s="7">
        <v>40905</v>
      </c>
      <c r="C4524" s="7">
        <v>902</v>
      </c>
      <c r="D4524" s="8">
        <v>43057.17</v>
      </c>
      <c r="E4524" s="9">
        <v>1</v>
      </c>
    </row>
    <row r="4525" spans="1:5" x14ac:dyDescent="0.25">
      <c r="A4525" s="7">
        <v>1</v>
      </c>
      <c r="B4525" s="7">
        <v>40906</v>
      </c>
      <c r="C4525" s="7">
        <v>107</v>
      </c>
      <c r="D4525" s="8">
        <v>58528.99</v>
      </c>
      <c r="E4525" s="9">
        <v>1</v>
      </c>
    </row>
    <row r="4526" spans="1:5" x14ac:dyDescent="0.25">
      <c r="A4526" s="7">
        <v>1</v>
      </c>
      <c r="B4526" s="7">
        <v>40907</v>
      </c>
      <c r="C4526" s="7">
        <v>107</v>
      </c>
      <c r="D4526" s="8">
        <v>58528.99</v>
      </c>
      <c r="E4526" s="9">
        <v>1</v>
      </c>
    </row>
    <row r="4527" spans="1:5" x14ac:dyDescent="0.25">
      <c r="A4527" s="7">
        <v>1</v>
      </c>
      <c r="B4527" s="7">
        <v>40908</v>
      </c>
      <c r="C4527" s="7">
        <v>107</v>
      </c>
      <c r="D4527" s="8">
        <v>58528.99</v>
      </c>
      <c r="E4527" s="9">
        <v>1</v>
      </c>
    </row>
    <row r="4528" spans="1:5" x14ac:dyDescent="0.25">
      <c r="A4528" s="7">
        <v>1</v>
      </c>
      <c r="B4528" s="7">
        <v>40940</v>
      </c>
      <c r="C4528" s="7">
        <v>107</v>
      </c>
      <c r="D4528" s="8">
        <v>58528.99</v>
      </c>
      <c r="E4528" s="9">
        <v>1</v>
      </c>
    </row>
    <row r="4529" spans="1:5" x14ac:dyDescent="0.25">
      <c r="A4529" s="7">
        <v>1</v>
      </c>
      <c r="B4529" s="7">
        <v>40941</v>
      </c>
      <c r="C4529" s="7">
        <v>107</v>
      </c>
      <c r="D4529" s="8">
        <v>58528.99</v>
      </c>
      <c r="E4529" s="9">
        <v>1</v>
      </c>
    </row>
    <row r="4530" spans="1:5" x14ac:dyDescent="0.25">
      <c r="A4530" s="7">
        <v>1</v>
      </c>
      <c r="B4530" s="7">
        <v>41001</v>
      </c>
      <c r="C4530" s="7">
        <v>107</v>
      </c>
      <c r="D4530" s="8">
        <v>201162.87</v>
      </c>
      <c r="E4530" s="9">
        <v>1</v>
      </c>
    </row>
    <row r="4531" spans="1:5" x14ac:dyDescent="0.25">
      <c r="A4531" s="7">
        <v>1</v>
      </c>
      <c r="B4531" s="7">
        <v>41003</v>
      </c>
      <c r="C4531" s="7">
        <v>107</v>
      </c>
      <c r="D4531" s="8">
        <v>201162.87</v>
      </c>
      <c r="E4531" s="9">
        <v>1</v>
      </c>
    </row>
    <row r="4532" spans="1:5" x14ac:dyDescent="0.25">
      <c r="A4532" s="7">
        <v>1</v>
      </c>
      <c r="B4532" s="7">
        <v>41004</v>
      </c>
      <c r="C4532" s="7">
        <v>107</v>
      </c>
      <c r="D4532" s="8">
        <v>201162.87</v>
      </c>
      <c r="E4532" s="9">
        <v>1</v>
      </c>
    </row>
    <row r="4533" spans="1:5" x14ac:dyDescent="0.25">
      <c r="A4533" s="7">
        <v>1</v>
      </c>
      <c r="B4533" s="7">
        <v>41006</v>
      </c>
      <c r="C4533" s="7">
        <v>107</v>
      </c>
      <c r="D4533" s="8">
        <v>201162.87</v>
      </c>
      <c r="E4533" s="9">
        <v>1</v>
      </c>
    </row>
    <row r="4534" spans="1:5" x14ac:dyDescent="0.25">
      <c r="A4534" s="7">
        <v>1</v>
      </c>
      <c r="B4534" s="7">
        <v>41007</v>
      </c>
      <c r="C4534" s="7">
        <v>107</v>
      </c>
      <c r="D4534" s="8">
        <v>201162.87</v>
      </c>
      <c r="E4534" s="9">
        <v>1</v>
      </c>
    </row>
    <row r="4535" spans="1:5" x14ac:dyDescent="0.25">
      <c r="A4535" s="7">
        <v>1</v>
      </c>
      <c r="B4535" s="7">
        <v>41008</v>
      </c>
      <c r="C4535" s="7">
        <v>107</v>
      </c>
      <c r="D4535" s="8">
        <v>201162.87</v>
      </c>
      <c r="E4535" s="9">
        <v>1</v>
      </c>
    </row>
    <row r="4536" spans="1:5" x14ac:dyDescent="0.25">
      <c r="A4536" s="7">
        <v>1</v>
      </c>
      <c r="B4536" s="7">
        <v>41041</v>
      </c>
      <c r="C4536" s="7">
        <v>107</v>
      </c>
      <c r="D4536" s="8">
        <v>201162.87</v>
      </c>
      <c r="E4536" s="9">
        <v>1</v>
      </c>
    </row>
    <row r="4537" spans="1:5" x14ac:dyDescent="0.25">
      <c r="A4537" s="7">
        <v>1</v>
      </c>
      <c r="B4537" s="7">
        <v>41046</v>
      </c>
      <c r="C4537" s="7">
        <v>186</v>
      </c>
      <c r="D4537" s="8">
        <v>1020600</v>
      </c>
      <c r="E4537" s="9">
        <v>1</v>
      </c>
    </row>
    <row r="4538" spans="1:5" x14ac:dyDescent="0.25">
      <c r="A4538" s="7">
        <v>1</v>
      </c>
      <c r="B4538" s="7">
        <v>41161</v>
      </c>
      <c r="C4538" s="7">
        <v>186</v>
      </c>
      <c r="D4538" s="8">
        <v>1121400</v>
      </c>
      <c r="E4538" s="9">
        <v>1</v>
      </c>
    </row>
    <row r="4539" spans="1:5" x14ac:dyDescent="0.25">
      <c r="A4539" s="7">
        <v>1</v>
      </c>
      <c r="B4539" s="7">
        <v>41165</v>
      </c>
      <c r="C4539" s="7">
        <v>186</v>
      </c>
      <c r="D4539" s="8">
        <v>1253700</v>
      </c>
      <c r="E4539" s="9">
        <v>1</v>
      </c>
    </row>
    <row r="4540" spans="1:5" x14ac:dyDescent="0.25">
      <c r="A4540" s="7">
        <v>1</v>
      </c>
      <c r="B4540" s="7">
        <v>42008</v>
      </c>
      <c r="C4540" s="7">
        <v>112</v>
      </c>
      <c r="D4540" s="8">
        <v>158973.45</v>
      </c>
      <c r="E4540" s="9">
        <v>1</v>
      </c>
    </row>
    <row r="4541" spans="1:5" x14ac:dyDescent="0.25">
      <c r="A4541" s="7">
        <v>1</v>
      </c>
      <c r="B4541" s="7">
        <v>42200</v>
      </c>
      <c r="C4541" s="7">
        <v>902</v>
      </c>
      <c r="D4541" s="8">
        <v>136378.42</v>
      </c>
      <c r="E4541" s="9">
        <v>1</v>
      </c>
    </row>
    <row r="4542" spans="1:5" x14ac:dyDescent="0.25">
      <c r="A4542" s="7">
        <v>1</v>
      </c>
      <c r="B4542" s="7">
        <v>44002</v>
      </c>
      <c r="C4542" s="7">
        <v>112</v>
      </c>
      <c r="D4542" s="8">
        <v>146740.27</v>
      </c>
      <c r="E4542" s="9">
        <v>1</v>
      </c>
    </row>
    <row r="4543" spans="1:5" x14ac:dyDescent="0.25">
      <c r="A4543" s="7">
        <v>1</v>
      </c>
      <c r="B4543" s="7">
        <v>46033</v>
      </c>
      <c r="C4543" s="7">
        <v>112</v>
      </c>
      <c r="D4543" s="8">
        <v>148030.77</v>
      </c>
      <c r="E4543" s="9">
        <v>1</v>
      </c>
    </row>
    <row r="4544" spans="1:5" x14ac:dyDescent="0.25">
      <c r="A4544" s="7">
        <v>1</v>
      </c>
      <c r="B4544" s="7">
        <v>46050</v>
      </c>
      <c r="C4544" s="7">
        <v>112</v>
      </c>
      <c r="D4544" s="8">
        <v>188627.08</v>
      </c>
      <c r="E4544" s="9">
        <v>1</v>
      </c>
    </row>
    <row r="4545" spans="1:5" x14ac:dyDescent="0.25">
      <c r="A4545" s="7">
        <v>1</v>
      </c>
      <c r="B4545" s="7">
        <v>46051</v>
      </c>
      <c r="C4545" s="7">
        <v>112</v>
      </c>
      <c r="D4545" s="8">
        <v>153582.28</v>
      </c>
      <c r="E4545" s="9">
        <v>1</v>
      </c>
    </row>
    <row r="4546" spans="1:5" x14ac:dyDescent="0.25">
      <c r="A4546" s="7">
        <v>1</v>
      </c>
      <c r="B4546" s="7">
        <v>47001</v>
      </c>
      <c r="C4546" s="7">
        <v>112</v>
      </c>
      <c r="D4546" s="8">
        <v>197175.2</v>
      </c>
      <c r="E4546" s="9">
        <v>1</v>
      </c>
    </row>
    <row r="4547" spans="1:5" x14ac:dyDescent="0.25">
      <c r="A4547" s="7">
        <v>1</v>
      </c>
      <c r="B4547" s="7">
        <v>49805</v>
      </c>
      <c r="C4547" s="7">
        <v>107</v>
      </c>
      <c r="D4547" s="8">
        <v>71371.13</v>
      </c>
      <c r="E4547" s="9">
        <v>1</v>
      </c>
    </row>
    <row r="4548" spans="1:5" x14ac:dyDescent="0.25">
      <c r="A4548" s="7">
        <v>1</v>
      </c>
      <c r="B4548" s="7">
        <v>49806</v>
      </c>
      <c r="C4548" s="7">
        <v>107</v>
      </c>
      <c r="D4548" s="8">
        <v>71371.13</v>
      </c>
      <c r="E4548" s="9">
        <v>1</v>
      </c>
    </row>
    <row r="4549" spans="1:5" x14ac:dyDescent="0.25">
      <c r="A4549" s="7">
        <v>1</v>
      </c>
      <c r="B4549" s="7">
        <v>49821</v>
      </c>
      <c r="C4549" s="7">
        <v>107</v>
      </c>
      <c r="D4549" s="8">
        <v>71371.13</v>
      </c>
      <c r="E4549" s="9">
        <v>1</v>
      </c>
    </row>
    <row r="4550" spans="1:5" x14ac:dyDescent="0.25">
      <c r="A4550" s="7">
        <v>1</v>
      </c>
      <c r="B4550" s="7">
        <v>49822</v>
      </c>
      <c r="C4550" s="7">
        <v>107</v>
      </c>
      <c r="D4550" s="8">
        <v>71371.13</v>
      </c>
      <c r="E4550" s="9">
        <v>1</v>
      </c>
    </row>
    <row r="4551" spans="1:5" x14ac:dyDescent="0.25">
      <c r="A4551" s="7">
        <v>1</v>
      </c>
      <c r="B4551" s="7">
        <v>49840</v>
      </c>
      <c r="C4551" s="7">
        <v>107</v>
      </c>
      <c r="D4551" s="8">
        <v>71371.13</v>
      </c>
      <c r="E4551" s="9">
        <v>1</v>
      </c>
    </row>
    <row r="4552" spans="1:5" x14ac:dyDescent="0.25">
      <c r="A4552" s="7">
        <v>1</v>
      </c>
      <c r="B4552" s="7">
        <v>49841</v>
      </c>
      <c r="C4552" s="7">
        <v>107</v>
      </c>
      <c r="D4552" s="8">
        <v>71371.13</v>
      </c>
      <c r="E4552" s="9">
        <v>1</v>
      </c>
    </row>
    <row r="4553" spans="1:5" x14ac:dyDescent="0.25">
      <c r="A4553" s="7">
        <v>1</v>
      </c>
      <c r="B4553" s="7">
        <v>49905</v>
      </c>
      <c r="C4553" s="7">
        <v>107</v>
      </c>
      <c r="D4553" s="8">
        <v>245302.3</v>
      </c>
      <c r="E4553" s="9">
        <v>1</v>
      </c>
    </row>
    <row r="4554" spans="1:5" x14ac:dyDescent="0.25">
      <c r="A4554" s="7">
        <v>1</v>
      </c>
      <c r="B4554" s="7">
        <v>49906</v>
      </c>
      <c r="C4554" s="7">
        <v>107</v>
      </c>
      <c r="D4554" s="8">
        <v>245302.3</v>
      </c>
      <c r="E4554" s="9">
        <v>1</v>
      </c>
    </row>
    <row r="4555" spans="1:5" x14ac:dyDescent="0.25">
      <c r="A4555" s="7">
        <v>1</v>
      </c>
      <c r="B4555" s="7">
        <v>49921</v>
      </c>
      <c r="C4555" s="7">
        <v>107</v>
      </c>
      <c r="D4555" s="8">
        <v>245302.3</v>
      </c>
      <c r="E4555" s="9">
        <v>1</v>
      </c>
    </row>
    <row r="4556" spans="1:5" x14ac:dyDescent="0.25">
      <c r="A4556" s="7">
        <v>1</v>
      </c>
      <c r="B4556" s="7">
        <v>49922</v>
      </c>
      <c r="C4556" s="7">
        <v>107</v>
      </c>
      <c r="D4556" s="8">
        <v>245302.3</v>
      </c>
      <c r="E4556" s="9">
        <v>1</v>
      </c>
    </row>
    <row r="4557" spans="1:5" x14ac:dyDescent="0.25">
      <c r="A4557" s="7">
        <v>1</v>
      </c>
      <c r="B4557" s="7">
        <v>49941</v>
      </c>
      <c r="C4557" s="7">
        <v>107</v>
      </c>
      <c r="D4557" s="8">
        <v>245302.3</v>
      </c>
      <c r="E4557" s="9">
        <v>1</v>
      </c>
    </row>
    <row r="4558" spans="1:5" x14ac:dyDescent="0.25">
      <c r="A4558" s="7">
        <v>1</v>
      </c>
      <c r="B4558" s="7">
        <v>53584</v>
      </c>
      <c r="C4558" s="7">
        <v>902</v>
      </c>
      <c r="D4558" s="8">
        <v>36749.52</v>
      </c>
      <c r="E4558" s="9">
        <v>1</v>
      </c>
    </row>
    <row r="4559" spans="1:5" x14ac:dyDescent="0.25">
      <c r="A4559" s="7">
        <v>1</v>
      </c>
      <c r="B4559" s="7">
        <v>53850</v>
      </c>
      <c r="C4559" s="7">
        <v>902</v>
      </c>
      <c r="D4559" s="8">
        <v>30619.06</v>
      </c>
      <c r="E4559" s="9">
        <v>1</v>
      </c>
    </row>
    <row r="4560" spans="1:5" x14ac:dyDescent="0.25">
      <c r="A4560" s="7">
        <v>1</v>
      </c>
      <c r="B4560" s="7">
        <v>53851</v>
      </c>
      <c r="C4560" s="7">
        <v>902</v>
      </c>
      <c r="D4560" s="8">
        <v>30619.06</v>
      </c>
      <c r="E4560" s="9">
        <v>1</v>
      </c>
    </row>
    <row r="4561" spans="1:5" x14ac:dyDescent="0.25">
      <c r="A4561" s="7">
        <v>1</v>
      </c>
      <c r="B4561" s="7">
        <v>53858</v>
      </c>
      <c r="C4561" s="7">
        <v>902</v>
      </c>
      <c r="D4561" s="8">
        <v>30619.06</v>
      </c>
      <c r="E4561" s="9">
        <v>1</v>
      </c>
    </row>
    <row r="4562" spans="1:5" x14ac:dyDescent="0.25">
      <c r="A4562" s="7">
        <v>1</v>
      </c>
      <c r="B4562" s="7">
        <v>53903</v>
      </c>
      <c r="C4562" s="7">
        <v>902</v>
      </c>
      <c r="D4562" s="8">
        <v>30619.06</v>
      </c>
      <c r="E4562" s="9">
        <v>1</v>
      </c>
    </row>
    <row r="4563" spans="1:5" x14ac:dyDescent="0.25">
      <c r="A4563" s="7">
        <v>1</v>
      </c>
      <c r="B4563" s="7">
        <v>53904</v>
      </c>
      <c r="C4563" s="7">
        <v>902</v>
      </c>
      <c r="D4563" s="8">
        <v>30619.06</v>
      </c>
      <c r="E4563" s="9">
        <v>1</v>
      </c>
    </row>
    <row r="4564" spans="1:5" x14ac:dyDescent="0.25">
      <c r="A4564" s="7">
        <v>1</v>
      </c>
      <c r="B4564" s="7">
        <v>53905</v>
      </c>
      <c r="C4564" s="7">
        <v>902</v>
      </c>
      <c r="D4564" s="8">
        <v>30619.06</v>
      </c>
      <c r="E4564" s="9">
        <v>1</v>
      </c>
    </row>
    <row r="4565" spans="1:5" x14ac:dyDescent="0.25">
      <c r="A4565" s="7">
        <v>1</v>
      </c>
      <c r="B4565" s="7">
        <v>53906</v>
      </c>
      <c r="C4565" s="7">
        <v>902</v>
      </c>
      <c r="D4565" s="8">
        <v>30619.06</v>
      </c>
      <c r="E4565" s="9">
        <v>1</v>
      </c>
    </row>
    <row r="4566" spans="1:5" x14ac:dyDescent="0.25">
      <c r="A4566" s="7">
        <v>1</v>
      </c>
      <c r="B4566" s="7">
        <v>79235</v>
      </c>
      <c r="C4566" s="7">
        <v>138</v>
      </c>
      <c r="D4566" s="8">
        <v>4293.45</v>
      </c>
      <c r="E4566" s="9">
        <v>1</v>
      </c>
    </row>
    <row r="4567" spans="1:5" x14ac:dyDescent="0.25">
      <c r="A4567" s="7">
        <v>1</v>
      </c>
      <c r="B4567" s="7">
        <v>79236</v>
      </c>
      <c r="C4567" s="7">
        <v>138</v>
      </c>
      <c r="D4567" s="8">
        <v>4293.45</v>
      </c>
      <c r="E4567" s="9">
        <v>1</v>
      </c>
    </row>
    <row r="4568" spans="1:5" x14ac:dyDescent="0.25">
      <c r="A4568" s="7">
        <v>1</v>
      </c>
      <c r="B4568" s="7">
        <v>79237</v>
      </c>
      <c r="C4568" s="7">
        <v>138</v>
      </c>
      <c r="D4568" s="8">
        <v>4293.45</v>
      </c>
      <c r="E4568" s="9">
        <v>1</v>
      </c>
    </row>
    <row r="4569" spans="1:5" x14ac:dyDescent="0.25">
      <c r="A4569" s="7">
        <v>1</v>
      </c>
      <c r="B4569" s="7">
        <v>79238</v>
      </c>
      <c r="C4569" s="7">
        <v>138</v>
      </c>
      <c r="D4569" s="8">
        <v>4293.45</v>
      </c>
      <c r="E4569" s="9">
        <v>1</v>
      </c>
    </row>
    <row r="4570" spans="1:5" x14ac:dyDescent="0.25">
      <c r="A4570" s="7">
        <v>1</v>
      </c>
      <c r="B4570" s="7">
        <v>79239</v>
      </c>
      <c r="C4570" s="7">
        <v>138</v>
      </c>
      <c r="D4570" s="8">
        <v>4293.45</v>
      </c>
      <c r="E4570" s="9">
        <v>1</v>
      </c>
    </row>
    <row r="4571" spans="1:5" x14ac:dyDescent="0.25">
      <c r="A4571" s="7">
        <v>1</v>
      </c>
      <c r="B4571" s="7">
        <v>79240</v>
      </c>
      <c r="C4571" s="7">
        <v>138</v>
      </c>
      <c r="D4571" s="8">
        <v>4293.45</v>
      </c>
      <c r="E4571" s="9">
        <v>1</v>
      </c>
    </row>
    <row r="4572" spans="1:5" x14ac:dyDescent="0.25">
      <c r="A4572" s="7">
        <v>1</v>
      </c>
      <c r="B4572" s="7">
        <v>79241</v>
      </c>
      <c r="C4572" s="7">
        <v>138</v>
      </c>
      <c r="D4572" s="8">
        <v>4293.45</v>
      </c>
      <c r="E4572" s="9">
        <v>1</v>
      </c>
    </row>
    <row r="4573" spans="1:5" x14ac:dyDescent="0.25">
      <c r="A4573" s="7">
        <v>1</v>
      </c>
      <c r="B4573" s="7">
        <v>79244</v>
      </c>
      <c r="C4573" s="7">
        <v>138</v>
      </c>
      <c r="D4573" s="8">
        <v>4293.45</v>
      </c>
      <c r="E4573" s="9">
        <v>1</v>
      </c>
    </row>
    <row r="4574" spans="1:5" x14ac:dyDescent="0.25">
      <c r="A4574" s="7">
        <v>1</v>
      </c>
      <c r="B4574" s="7">
        <v>79245</v>
      </c>
      <c r="C4574" s="7">
        <v>138</v>
      </c>
      <c r="D4574" s="8">
        <v>4293.45</v>
      </c>
      <c r="E4574" s="9">
        <v>1</v>
      </c>
    </row>
    <row r="4575" spans="1:5" x14ac:dyDescent="0.25">
      <c r="A4575" s="7">
        <v>1</v>
      </c>
      <c r="B4575" s="7">
        <v>79335</v>
      </c>
      <c r="C4575" s="7">
        <v>138</v>
      </c>
      <c r="D4575" s="8">
        <v>13024.69</v>
      </c>
      <c r="E4575" s="9">
        <v>1</v>
      </c>
    </row>
    <row r="4576" spans="1:5" x14ac:dyDescent="0.25">
      <c r="A4576" s="7">
        <v>1</v>
      </c>
      <c r="B4576" s="7">
        <v>79336</v>
      </c>
      <c r="C4576" s="7">
        <v>138</v>
      </c>
      <c r="D4576" s="8">
        <v>13024.69</v>
      </c>
      <c r="E4576" s="9">
        <v>1</v>
      </c>
    </row>
    <row r="4577" spans="1:5" x14ac:dyDescent="0.25">
      <c r="A4577" s="7">
        <v>1</v>
      </c>
      <c r="B4577" s="7">
        <v>79337</v>
      </c>
      <c r="C4577" s="7">
        <v>138</v>
      </c>
      <c r="D4577" s="8">
        <v>13024.69</v>
      </c>
      <c r="E4577" s="9">
        <v>1</v>
      </c>
    </row>
    <row r="4578" spans="1:5" x14ac:dyDescent="0.25">
      <c r="A4578" s="7">
        <v>1</v>
      </c>
      <c r="B4578" s="7">
        <v>79338</v>
      </c>
      <c r="C4578" s="7">
        <v>138</v>
      </c>
      <c r="D4578" s="8">
        <v>13024.69</v>
      </c>
      <c r="E4578" s="9">
        <v>1</v>
      </c>
    </row>
    <row r="4579" spans="1:5" x14ac:dyDescent="0.25">
      <c r="A4579" s="7">
        <v>1</v>
      </c>
      <c r="B4579" s="7">
        <v>79339</v>
      </c>
      <c r="C4579" s="7">
        <v>138</v>
      </c>
      <c r="D4579" s="8">
        <v>13024.69</v>
      </c>
      <c r="E4579" s="9">
        <v>1</v>
      </c>
    </row>
    <row r="4580" spans="1:5" x14ac:dyDescent="0.25">
      <c r="A4580" s="7">
        <v>1</v>
      </c>
      <c r="B4580" s="7">
        <v>79340</v>
      </c>
      <c r="C4580" s="7">
        <v>138</v>
      </c>
      <c r="D4580" s="8">
        <v>13024.69</v>
      </c>
      <c r="E4580" s="9">
        <v>1</v>
      </c>
    </row>
    <row r="4581" spans="1:5" x14ac:dyDescent="0.25">
      <c r="A4581" s="7">
        <v>1</v>
      </c>
      <c r="B4581" s="7">
        <v>79341</v>
      </c>
      <c r="C4581" s="7">
        <v>138</v>
      </c>
      <c r="D4581" s="8">
        <v>13024.69</v>
      </c>
      <c r="E4581" s="9">
        <v>1</v>
      </c>
    </row>
    <row r="4582" spans="1:5" x14ac:dyDescent="0.25">
      <c r="A4582" s="7">
        <v>1</v>
      </c>
      <c r="B4582" s="7">
        <v>79344</v>
      </c>
      <c r="C4582" s="7">
        <v>138</v>
      </c>
      <c r="D4582" s="8">
        <v>13024.69</v>
      </c>
      <c r="E4582" s="9">
        <v>1</v>
      </c>
    </row>
    <row r="4583" spans="1:5" x14ac:dyDescent="0.25">
      <c r="A4583" s="7">
        <v>1</v>
      </c>
      <c r="B4583" s="7">
        <v>79345</v>
      </c>
      <c r="C4583" s="7">
        <v>138</v>
      </c>
      <c r="D4583" s="8">
        <v>13024.69</v>
      </c>
      <c r="E4583" s="9">
        <v>1</v>
      </c>
    </row>
    <row r="4584" spans="1:5" x14ac:dyDescent="0.25">
      <c r="A4584" s="7">
        <v>1</v>
      </c>
      <c r="B4584" s="7">
        <v>80016</v>
      </c>
      <c r="C4584" s="7">
        <v>168</v>
      </c>
      <c r="D4584" s="8">
        <v>4.38</v>
      </c>
      <c r="E4584" s="9">
        <v>2</v>
      </c>
    </row>
    <row r="4585" spans="1:5" x14ac:dyDescent="0.25">
      <c r="A4585" s="7">
        <v>1</v>
      </c>
      <c r="B4585" s="7">
        <v>80017</v>
      </c>
      <c r="C4585" s="7">
        <v>168</v>
      </c>
      <c r="D4585" s="8">
        <v>2.63</v>
      </c>
      <c r="E4585" s="9">
        <v>2</v>
      </c>
    </row>
    <row r="4586" spans="1:5" x14ac:dyDescent="0.25">
      <c r="A4586" s="7">
        <v>1</v>
      </c>
      <c r="B4586" s="7">
        <v>85015</v>
      </c>
      <c r="C4586" s="7">
        <v>137</v>
      </c>
      <c r="D4586" s="8">
        <v>19113.2</v>
      </c>
      <c r="E4586" s="9">
        <v>1</v>
      </c>
    </row>
    <row r="4587" spans="1:5" x14ac:dyDescent="0.25">
      <c r="A4587" s="7">
        <v>1</v>
      </c>
      <c r="B4587" s="7">
        <v>85016</v>
      </c>
      <c r="C4587" s="7">
        <v>137</v>
      </c>
      <c r="D4587" s="8">
        <v>19113.2</v>
      </c>
      <c r="E4587" s="9">
        <v>1</v>
      </c>
    </row>
    <row r="4588" spans="1:5" x14ac:dyDescent="0.25">
      <c r="A4588" s="7">
        <v>1</v>
      </c>
      <c r="B4588" s="7">
        <v>86315</v>
      </c>
      <c r="C4588" s="7">
        <v>902</v>
      </c>
      <c r="D4588" s="8">
        <v>12470.52</v>
      </c>
      <c r="E4588" s="9">
        <v>1</v>
      </c>
    </row>
    <row r="4589" spans="1:5" x14ac:dyDescent="0.25">
      <c r="A4589" s="7">
        <v>1</v>
      </c>
      <c r="B4589" s="7">
        <v>86318</v>
      </c>
      <c r="C4589" s="7">
        <v>902</v>
      </c>
      <c r="D4589" s="8">
        <v>12470.26</v>
      </c>
      <c r="E4589" s="9">
        <v>1</v>
      </c>
    </row>
    <row r="4590" spans="1:5" x14ac:dyDescent="0.25">
      <c r="A4590" s="7">
        <v>1</v>
      </c>
      <c r="B4590" s="7">
        <v>86326</v>
      </c>
      <c r="C4590" s="7">
        <v>902</v>
      </c>
      <c r="D4590" s="8">
        <v>12470.26</v>
      </c>
      <c r="E4590" s="9">
        <v>1</v>
      </c>
    </row>
    <row r="4591" spans="1:5" x14ac:dyDescent="0.25">
      <c r="A4591" s="7">
        <v>1</v>
      </c>
      <c r="B4591" s="7">
        <v>86330</v>
      </c>
      <c r="C4591" s="7">
        <v>902</v>
      </c>
      <c r="D4591" s="8">
        <v>12470.26</v>
      </c>
      <c r="E4591" s="9">
        <v>1</v>
      </c>
    </row>
    <row r="4592" spans="1:5" x14ac:dyDescent="0.25">
      <c r="A4592" s="7">
        <v>1</v>
      </c>
      <c r="B4592" s="7">
        <v>86333</v>
      </c>
      <c r="C4592" s="7">
        <v>902</v>
      </c>
      <c r="D4592" s="8">
        <v>12470.26</v>
      </c>
      <c r="E4592" s="9">
        <v>1</v>
      </c>
    </row>
    <row r="4593" spans="1:5" x14ac:dyDescent="0.25">
      <c r="A4593" s="7">
        <v>1</v>
      </c>
      <c r="B4593" s="7">
        <v>86338</v>
      </c>
      <c r="C4593" s="7">
        <v>902</v>
      </c>
      <c r="D4593" s="8">
        <v>12470.26</v>
      </c>
      <c r="E4593" s="9">
        <v>1</v>
      </c>
    </row>
    <row r="4594" spans="1:5" x14ac:dyDescent="0.25">
      <c r="A4594" s="7">
        <v>1</v>
      </c>
      <c r="B4594" s="7">
        <v>86341</v>
      </c>
      <c r="C4594" s="7">
        <v>902</v>
      </c>
      <c r="D4594" s="8">
        <v>12470.52</v>
      </c>
      <c r="E4594" s="9">
        <v>1</v>
      </c>
    </row>
    <row r="4595" spans="1:5" x14ac:dyDescent="0.25">
      <c r="A4595" s="7">
        <v>1</v>
      </c>
      <c r="B4595" s="7">
        <v>86343</v>
      </c>
      <c r="C4595" s="7">
        <v>902</v>
      </c>
      <c r="D4595" s="8">
        <v>15698.5</v>
      </c>
      <c r="E4595" s="9">
        <v>1</v>
      </c>
    </row>
    <row r="4596" spans="1:5" x14ac:dyDescent="0.25">
      <c r="A4596" s="7">
        <v>1</v>
      </c>
      <c r="B4596" s="7">
        <v>86415</v>
      </c>
      <c r="C4596" s="7">
        <v>902</v>
      </c>
      <c r="D4596" s="8">
        <v>19468.9</v>
      </c>
      <c r="E4596" s="9">
        <v>1</v>
      </c>
    </row>
    <row r="4597" spans="1:5" x14ac:dyDescent="0.25">
      <c r="A4597" s="7">
        <v>1</v>
      </c>
      <c r="B4597" s="7">
        <v>86418</v>
      </c>
      <c r="C4597" s="7">
        <v>902</v>
      </c>
      <c r="D4597" s="8">
        <v>19468.51</v>
      </c>
      <c r="E4597" s="9">
        <v>1</v>
      </c>
    </row>
    <row r="4598" spans="1:5" x14ac:dyDescent="0.25">
      <c r="A4598" s="7">
        <v>1</v>
      </c>
      <c r="B4598" s="7">
        <v>86426</v>
      </c>
      <c r="C4598" s="7">
        <v>902</v>
      </c>
      <c r="D4598" s="8">
        <v>19468.51</v>
      </c>
      <c r="E4598" s="9">
        <v>1</v>
      </c>
    </row>
    <row r="4599" spans="1:5" x14ac:dyDescent="0.25">
      <c r="A4599" s="7">
        <v>1</v>
      </c>
      <c r="B4599" s="7">
        <v>86430</v>
      </c>
      <c r="C4599" s="7">
        <v>902</v>
      </c>
      <c r="D4599" s="8">
        <v>19468.51</v>
      </c>
      <c r="E4599" s="9">
        <v>1</v>
      </c>
    </row>
    <row r="4600" spans="1:5" x14ac:dyDescent="0.25">
      <c r="A4600" s="7">
        <v>1</v>
      </c>
      <c r="B4600" s="7">
        <v>86433</v>
      </c>
      <c r="C4600" s="7">
        <v>902</v>
      </c>
      <c r="D4600" s="8">
        <v>19468.51</v>
      </c>
      <c r="E4600" s="9">
        <v>1</v>
      </c>
    </row>
    <row r="4601" spans="1:5" x14ac:dyDescent="0.25">
      <c r="A4601" s="7">
        <v>1</v>
      </c>
      <c r="B4601" s="7">
        <v>86438</v>
      </c>
      <c r="C4601" s="7">
        <v>902</v>
      </c>
      <c r="D4601" s="8">
        <v>19468.51</v>
      </c>
      <c r="E4601" s="9">
        <v>1</v>
      </c>
    </row>
    <row r="4602" spans="1:5" x14ac:dyDescent="0.25">
      <c r="A4602" s="7">
        <v>1</v>
      </c>
      <c r="B4602" s="7">
        <v>86441</v>
      </c>
      <c r="C4602" s="7">
        <v>902</v>
      </c>
      <c r="D4602" s="8">
        <v>19468.9</v>
      </c>
      <c r="E4602" s="9">
        <v>1</v>
      </c>
    </row>
    <row r="4603" spans="1:5" x14ac:dyDescent="0.25">
      <c r="A4603" s="7">
        <v>1</v>
      </c>
      <c r="B4603" s="7">
        <v>86443</v>
      </c>
      <c r="C4603" s="7">
        <v>902</v>
      </c>
      <c r="D4603" s="8">
        <v>24531.41</v>
      </c>
      <c r="E4603" s="9">
        <v>1</v>
      </c>
    </row>
    <row r="4604" spans="1:5" x14ac:dyDescent="0.25">
      <c r="A4604" s="7">
        <v>1</v>
      </c>
      <c r="B4604" s="7">
        <v>86518</v>
      </c>
      <c r="C4604" s="7">
        <v>902</v>
      </c>
      <c r="D4604" s="8">
        <v>71699.13</v>
      </c>
      <c r="E4604" s="9">
        <v>1</v>
      </c>
    </row>
    <row r="4605" spans="1:5" x14ac:dyDescent="0.25">
      <c r="A4605" s="7">
        <v>1</v>
      </c>
      <c r="B4605" s="7">
        <v>86526</v>
      </c>
      <c r="C4605" s="7">
        <v>902</v>
      </c>
      <c r="D4605" s="8">
        <v>71699.13</v>
      </c>
      <c r="E4605" s="9">
        <v>1</v>
      </c>
    </row>
    <row r="4606" spans="1:5" x14ac:dyDescent="0.25">
      <c r="A4606" s="7">
        <v>1</v>
      </c>
      <c r="B4606" s="7">
        <v>86530</v>
      </c>
      <c r="C4606" s="7">
        <v>902</v>
      </c>
      <c r="D4606" s="8">
        <v>71699.13</v>
      </c>
      <c r="E4606" s="9">
        <v>1</v>
      </c>
    </row>
    <row r="4607" spans="1:5" x14ac:dyDescent="0.25">
      <c r="A4607" s="7">
        <v>1</v>
      </c>
      <c r="B4607" s="7">
        <v>86533</v>
      </c>
      <c r="C4607" s="7">
        <v>902</v>
      </c>
      <c r="D4607" s="8">
        <v>71699.13</v>
      </c>
      <c r="E4607" s="9">
        <v>1</v>
      </c>
    </row>
    <row r="4608" spans="1:5" x14ac:dyDescent="0.25">
      <c r="A4608" s="7">
        <v>1</v>
      </c>
      <c r="B4608" s="7">
        <v>86538</v>
      </c>
      <c r="C4608" s="7">
        <v>902</v>
      </c>
      <c r="D4608" s="8">
        <v>71699.13</v>
      </c>
      <c r="E4608" s="9">
        <v>1</v>
      </c>
    </row>
    <row r="4609" spans="1:5" x14ac:dyDescent="0.25">
      <c r="A4609" s="7">
        <v>1</v>
      </c>
      <c r="B4609" s="7">
        <v>86541</v>
      </c>
      <c r="C4609" s="7">
        <v>902</v>
      </c>
      <c r="D4609" s="8">
        <v>71699.13</v>
      </c>
      <c r="E4609" s="9">
        <v>1</v>
      </c>
    </row>
    <row r="4610" spans="1:5" x14ac:dyDescent="0.25">
      <c r="A4610" s="7">
        <v>1</v>
      </c>
      <c r="B4610" s="7">
        <v>86543</v>
      </c>
      <c r="C4610" s="7">
        <v>902</v>
      </c>
      <c r="D4610" s="8">
        <v>90389.18</v>
      </c>
      <c r="E4610" s="9">
        <v>1</v>
      </c>
    </row>
    <row r="4611" spans="1:5" x14ac:dyDescent="0.25">
      <c r="A4611" s="7">
        <v>1</v>
      </c>
      <c r="B4611" s="7">
        <v>89018</v>
      </c>
      <c r="C4611" s="7">
        <v>164</v>
      </c>
      <c r="D4611" s="8">
        <v>42459.4</v>
      </c>
      <c r="E4611" s="9">
        <v>1</v>
      </c>
    </row>
    <row r="4612" spans="1:5" x14ac:dyDescent="0.25">
      <c r="A4612" s="7">
        <v>1</v>
      </c>
      <c r="B4612" s="7">
        <v>89019</v>
      </c>
      <c r="C4612" s="7">
        <v>191</v>
      </c>
      <c r="D4612" s="8">
        <v>81260.33</v>
      </c>
      <c r="E4612" s="9">
        <v>1</v>
      </c>
    </row>
    <row r="4613" spans="1:5" x14ac:dyDescent="0.25">
      <c r="A4613" s="7">
        <v>1</v>
      </c>
      <c r="B4613" s="7">
        <v>89020</v>
      </c>
      <c r="C4613" s="7">
        <v>191</v>
      </c>
      <c r="D4613" s="8">
        <v>114395.65</v>
      </c>
      <c r="E4613" s="9">
        <v>1</v>
      </c>
    </row>
    <row r="4614" spans="1:5" x14ac:dyDescent="0.25">
      <c r="A4614" s="7">
        <v>1</v>
      </c>
      <c r="B4614" s="7">
        <v>89021</v>
      </c>
      <c r="C4614" s="7">
        <v>191</v>
      </c>
      <c r="D4614" s="8">
        <v>103670.37</v>
      </c>
      <c r="E4614" s="9">
        <v>1</v>
      </c>
    </row>
    <row r="4615" spans="1:5" x14ac:dyDescent="0.25">
      <c r="A4615" s="7">
        <v>1</v>
      </c>
      <c r="B4615" s="7">
        <v>89022</v>
      </c>
      <c r="C4615" s="7">
        <v>191</v>
      </c>
      <c r="D4615" s="8">
        <v>73372.39</v>
      </c>
      <c r="E4615" s="9">
        <v>1</v>
      </c>
    </row>
    <row r="4616" spans="1:5" x14ac:dyDescent="0.25">
      <c r="A4616" s="7">
        <v>1</v>
      </c>
      <c r="B4616" s="7">
        <v>89023</v>
      </c>
      <c r="C4616" s="7">
        <v>191</v>
      </c>
      <c r="D4616" s="8">
        <v>103670.37</v>
      </c>
      <c r="E4616" s="9">
        <v>1</v>
      </c>
    </row>
    <row r="4617" spans="1:5" x14ac:dyDescent="0.25">
      <c r="A4617" s="7">
        <v>1</v>
      </c>
      <c r="B4617" s="7">
        <v>89026</v>
      </c>
      <c r="C4617" s="7">
        <v>191</v>
      </c>
      <c r="D4617" s="8">
        <v>42077.72</v>
      </c>
      <c r="E4617" s="9">
        <v>1</v>
      </c>
    </row>
    <row r="4618" spans="1:5" x14ac:dyDescent="0.25">
      <c r="A4618" s="7">
        <v>1</v>
      </c>
      <c r="B4618" s="7">
        <v>89027</v>
      </c>
      <c r="C4618" s="7">
        <v>164</v>
      </c>
      <c r="D4618" s="8">
        <v>168326.63</v>
      </c>
      <c r="E4618" s="9">
        <v>1</v>
      </c>
    </row>
    <row r="4619" spans="1:5" x14ac:dyDescent="0.25">
      <c r="A4619" s="7">
        <v>1</v>
      </c>
      <c r="B4619" s="7">
        <v>89028</v>
      </c>
      <c r="C4619" s="7">
        <v>191</v>
      </c>
      <c r="D4619" s="8">
        <v>68884.06</v>
      </c>
      <c r="E4619" s="9">
        <v>1</v>
      </c>
    </row>
    <row r="4620" spans="1:5" x14ac:dyDescent="0.25">
      <c r="A4620" s="6">
        <v>1</v>
      </c>
      <c r="B4620" s="6">
        <v>98405</v>
      </c>
      <c r="C4620" s="6">
        <v>902</v>
      </c>
      <c r="D4620" s="10">
        <v>20960.88</v>
      </c>
      <c r="E4620">
        <v>1</v>
      </c>
    </row>
    <row r="4621" spans="1:5" x14ac:dyDescent="0.25">
      <c r="A4621" s="6">
        <v>1</v>
      </c>
      <c r="B4621" s="6">
        <v>98406</v>
      </c>
      <c r="C4621" s="6">
        <v>107</v>
      </c>
      <c r="D4621" s="10">
        <v>22427.69</v>
      </c>
      <c r="E4621">
        <v>1</v>
      </c>
    </row>
    <row r="4622" spans="1:5" x14ac:dyDescent="0.25">
      <c r="A4622" s="6">
        <v>1</v>
      </c>
      <c r="B4622" s="6">
        <v>98421</v>
      </c>
      <c r="C4622" s="6">
        <v>902</v>
      </c>
      <c r="D4622" s="10">
        <v>20960.88</v>
      </c>
      <c r="E4622">
        <v>1</v>
      </c>
    </row>
    <row r="4623" spans="1:5" x14ac:dyDescent="0.25">
      <c r="A4623" s="6">
        <v>1</v>
      </c>
      <c r="B4623" s="6">
        <v>98422</v>
      </c>
      <c r="C4623" s="6">
        <v>107</v>
      </c>
      <c r="D4623" s="10">
        <v>22427.69</v>
      </c>
      <c r="E4623">
        <v>1</v>
      </c>
    </row>
    <row r="4624" spans="1:5" x14ac:dyDescent="0.25">
      <c r="A4624" s="6">
        <v>1</v>
      </c>
      <c r="B4624" s="6">
        <v>98440</v>
      </c>
      <c r="C4624" s="6">
        <v>107</v>
      </c>
      <c r="D4624" s="10">
        <v>22427.69</v>
      </c>
      <c r="E4624">
        <v>1</v>
      </c>
    </row>
    <row r="4625" spans="1:5" x14ac:dyDescent="0.25">
      <c r="A4625" s="6">
        <v>1</v>
      </c>
      <c r="B4625" s="6">
        <v>98441</v>
      </c>
      <c r="C4625" s="6">
        <v>902</v>
      </c>
      <c r="D4625" s="10">
        <v>20960.88</v>
      </c>
      <c r="E4625">
        <v>1</v>
      </c>
    </row>
    <row r="4626" spans="1:5" x14ac:dyDescent="0.25">
      <c r="A4626" s="6">
        <v>1</v>
      </c>
      <c r="B4626" s="6">
        <v>99998</v>
      </c>
      <c r="C4626" s="6">
        <v>147</v>
      </c>
      <c r="D4626" s="10">
        <v>30.15</v>
      </c>
      <c r="E4626">
        <v>3</v>
      </c>
    </row>
    <row r="4627" spans="1:5" x14ac:dyDescent="0.25">
      <c r="A4627" s="6">
        <v>1</v>
      </c>
      <c r="B4627" s="6">
        <v>99999</v>
      </c>
      <c r="C4627" s="6">
        <v>147</v>
      </c>
      <c r="D4627" s="10">
        <v>63.22</v>
      </c>
      <c r="E4627">
        <v>3</v>
      </c>
    </row>
    <row r="4628" spans="1:5" x14ac:dyDescent="0.25">
      <c r="A4628" s="6">
        <v>1</v>
      </c>
      <c r="B4628" s="6">
        <v>111111</v>
      </c>
      <c r="C4628" s="6">
        <v>107</v>
      </c>
      <c r="D4628" s="10">
        <v>0</v>
      </c>
      <c r="E4628">
        <v>1</v>
      </c>
    </row>
    <row r="4629" spans="1:5" x14ac:dyDescent="0.25">
      <c r="A4629" s="6">
        <v>1</v>
      </c>
      <c r="B4629" s="6">
        <v>200623</v>
      </c>
      <c r="C4629" s="6">
        <v>120</v>
      </c>
      <c r="D4629" s="10">
        <v>219056.08</v>
      </c>
      <c r="E4629">
        <v>1</v>
      </c>
    </row>
    <row r="4630" spans="1:4" x14ac:dyDescent="0.25">
      <c r="A4630" s="6"/>
      <c r="B4630" s="6"/>
      <c r="C4630" s="6"/>
      <c r="D4630" s="10"/>
    </row>
    <row r="4631" spans="1:4" x14ac:dyDescent="0.25">
      <c r="A4631" s="6"/>
      <c r="B4631" s="6"/>
      <c r="C4631" s="6"/>
      <c r="D4631" s="10"/>
    </row>
    <row r="4632" spans="1:4" x14ac:dyDescent="0.25">
      <c r="A4632" s="6"/>
      <c r="B4632" s="6"/>
      <c r="C4632" s="6"/>
      <c r="D4632" s="10"/>
    </row>
    <row r="4633" spans="1:4" x14ac:dyDescent="0.25">
      <c r="A4633" s="6"/>
      <c r="B4633" s="6"/>
      <c r="C4633" s="6"/>
      <c r="D4633" s="10"/>
    </row>
    <row r="4634" spans="1:4" x14ac:dyDescent="0.25">
      <c r="A4634" s="6"/>
      <c r="B4634" s="6"/>
      <c r="C4634" s="6"/>
      <c r="D4634" s="10"/>
    </row>
    <row r="4635" spans="1:4" x14ac:dyDescent="0.25">
      <c r="A4635" s="6"/>
      <c r="B4635" s="6"/>
      <c r="C4635" s="6"/>
      <c r="D4635" s="10"/>
    </row>
    <row r="4636" spans="1:4" x14ac:dyDescent="0.25">
      <c r="A4636" s="6"/>
      <c r="B4636" s="6"/>
      <c r="C4636" s="6"/>
      <c r="D4636" s="10"/>
    </row>
    <row r="4637" spans="1:4" x14ac:dyDescent="0.25">
      <c r="A4637" s="6"/>
      <c r="B4637" s="6"/>
      <c r="C4637" s="6"/>
      <c r="D4637" s="10"/>
    </row>
    <row r="4638" spans="1:4" x14ac:dyDescent="0.25">
      <c r="A4638" s="6"/>
      <c r="B4638" s="6"/>
      <c r="C4638" s="6"/>
      <c r="D4638" s="10"/>
    </row>
    <row r="4639" spans="1:4" x14ac:dyDescent="0.25">
      <c r="A4639" s="6"/>
      <c r="B4639" s="6"/>
      <c r="C4639" s="6"/>
      <c r="D4639" s="10"/>
    </row>
    <row r="4640" spans="1:4" x14ac:dyDescent="0.25">
      <c r="A4640" s="6"/>
      <c r="B4640" s="6"/>
      <c r="C4640" s="6"/>
      <c r="D4640" s="10"/>
    </row>
    <row r="4641" spans="1:4" x14ac:dyDescent="0.25">
      <c r="A4641" s="6"/>
      <c r="B4641" s="6"/>
      <c r="C4641" s="6"/>
      <c r="D4641" s="10"/>
    </row>
    <row r="4642" spans="1:4" x14ac:dyDescent="0.25">
      <c r="A4642" s="6"/>
      <c r="B4642" s="6"/>
      <c r="C4642" s="6"/>
      <c r="D4642" s="10"/>
    </row>
    <row r="4643" spans="1:4" x14ac:dyDescent="0.25">
      <c r="A4643" s="6"/>
      <c r="B4643" s="6"/>
      <c r="C4643" s="6"/>
      <c r="D4643" s="10"/>
    </row>
    <row r="4644" spans="1:4" x14ac:dyDescent="0.25">
      <c r="A4644" s="6"/>
      <c r="B4644" s="6"/>
      <c r="C4644" s="6"/>
      <c r="D4644" s="10"/>
    </row>
    <row r="4645" spans="1:4" x14ac:dyDescent="0.25">
      <c r="A4645" s="6"/>
      <c r="B4645" s="6"/>
      <c r="C4645" s="6"/>
      <c r="D4645" s="10"/>
    </row>
    <row r="4646" spans="1:4" x14ac:dyDescent="0.25">
      <c r="A4646" s="6"/>
      <c r="B4646" s="6"/>
      <c r="C4646" s="6"/>
      <c r="D4646" s="10"/>
    </row>
    <row r="4647" spans="1:4" x14ac:dyDescent="0.25">
      <c r="A4647" s="6"/>
      <c r="B4647" s="6"/>
      <c r="C4647" s="6"/>
      <c r="D4647" s="10"/>
    </row>
    <row r="4648" spans="1:4" x14ac:dyDescent="0.25">
      <c r="A4648" s="6"/>
      <c r="B4648" s="6"/>
      <c r="C4648" s="6"/>
      <c r="D4648" s="10"/>
    </row>
    <row r="4649" spans="1:4" x14ac:dyDescent="0.25">
      <c r="A4649" s="6"/>
      <c r="B4649" s="6"/>
      <c r="C4649" s="6"/>
      <c r="D4649" s="10"/>
    </row>
    <row r="4650" spans="1:4" x14ac:dyDescent="0.25">
      <c r="A4650" s="6"/>
      <c r="B4650" s="6"/>
      <c r="C4650" s="6"/>
      <c r="D465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SB1</vt:lpstr>
      <vt:lpstr>001</vt:lpstr>
      <vt:lpstr>DA1</vt:lpstr>
      <vt:lpstr>ListaCorte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2025-12-03T19:24:04Z</dcterms:created>
  <dcterms:modified xsi:type="dcterms:W3CDTF">2026-05-14T11:06:11Z</dcterms:modified>
</cp:coreProperties>
</file>